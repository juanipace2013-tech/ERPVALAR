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codeName="ThisWorkbook"/>
  <mc:AlternateContent xmlns:mc="http://schemas.openxmlformats.org/markup-compatibility/2006">
    <mc:Choice Requires="x15">
      <x15ac:absPath xmlns:x15ac="http://schemas.microsoft.com/office/spreadsheetml/2010/11/ac" url="C:\Users\santi\VAL ARG SRL\SP - VALARG - Documentos\Presupuestos VALAR\"/>
    </mc:Choice>
  </mc:AlternateContent>
  <xr:revisionPtr revIDLastSave="0" documentId="13_ncr:1_{3B7AF361-83CE-49E5-AE85-DD8340735BBD}" xr6:coauthVersionLast="47" xr6:coauthVersionMax="47" xr10:uidLastSave="{00000000-0000-0000-0000-000000000000}"/>
  <bookViews>
    <workbookView xWindow="-120" yWindow="-120" windowWidth="29040" windowHeight="15720" tabRatio="700" xr2:uid="{00000000-000D-0000-FFFF-FFFF00000000}"/>
  </bookViews>
  <sheets>
    <sheet name="Armado Presupuesto" sheetId="26" r:id="rId1"/>
    <sheet name="Presupuesto" sheetId="25" r:id="rId2"/>
    <sheet name="Carta" sheetId="15" r:id="rId3"/>
    <sheet name="Contactos" sheetId="16" r:id="rId4"/>
    <sheet name="Precio Lista" sheetId="18" r:id="rId5"/>
    <sheet name="Clientes" sheetId="30" r:id="rId6"/>
    <sheet name="Registro" sheetId="22" r:id="rId7"/>
  </sheets>
  <externalReferences>
    <externalReference r:id="rId8"/>
  </externalReferences>
  <definedNames>
    <definedName name="_xlnm._FilterDatabase" localSheetId="5" hidden="1">Clientes!$A$1:$E$4974</definedName>
    <definedName name="A_Z">Clientes!$A$2:$A$20587</definedName>
    <definedName name="ABC">'Armado Presupuesto'!$C$1</definedName>
    <definedName name="_xlnm.Print_Area" localSheetId="2">Carta!$B$1:$E$27</definedName>
    <definedName name="_xlnm.Print_Area" localSheetId="3">Info_Contacto[#All]</definedName>
    <definedName name="_xlnm.Print_Area" localSheetId="4">'Precio Lista'!$B$2:$F$12926,'Precio Lista'!$H$2:$J$27</definedName>
    <definedName name="_xlnm.Print_Area" localSheetId="1">Presupuesto!$B$1:$H$48</definedName>
    <definedName name="Beneficio_Stock">'[1]Control Panel'!$C$8</definedName>
    <definedName name="Clientes_2">Clientes!$B$2:$E$6938</definedName>
    <definedName name="DatosExternos_1" localSheetId="5" hidden="1">Clientes!$B$1:$E$2464</definedName>
    <definedName name="Multiplicador">Clientes!$B$2:$D$20587</definedName>
    <definedName name="NombreClientes">Clientes!$B$2:$B$20587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554" i="30" l="1"/>
  <c r="A5497" i="30"/>
  <c r="A5471" i="30"/>
  <c r="A5456" i="30"/>
  <c r="A5306" i="30"/>
  <c r="A5115" i="30"/>
  <c r="A5071" i="30"/>
  <c r="A5028" i="30"/>
  <c r="A5002" i="30"/>
  <c r="A4820" i="30"/>
  <c r="A4740" i="30"/>
  <c r="A4683" i="30"/>
  <c r="A4650" i="30"/>
  <c r="A4630" i="30"/>
  <c r="A4457" i="30"/>
  <c r="A4445" i="30"/>
  <c r="A4440" i="30"/>
  <c r="A4345" i="30"/>
  <c r="A4210" i="30"/>
  <c r="A4173" i="30"/>
  <c r="A4150" i="30"/>
  <c r="A3991" i="30"/>
  <c r="A3926" i="30"/>
  <c r="A3878" i="30"/>
  <c r="A3772" i="30"/>
  <c r="A3761" i="30"/>
  <c r="A3636" i="30"/>
  <c r="A3551" i="30"/>
  <c r="A3546" i="30"/>
  <c r="A3495" i="30"/>
  <c r="A3361" i="30"/>
  <c r="A3350" i="30"/>
  <c r="A3251" i="30"/>
  <c r="A3236" i="30"/>
  <c r="A3183" i="30"/>
  <c r="A3127" i="30"/>
  <c r="A3090" i="30"/>
  <c r="A3049" i="30"/>
  <c r="A2986" i="30"/>
  <c r="A2932" i="30"/>
  <c r="A2892" i="30"/>
  <c r="A2794" i="30"/>
  <c r="A2654" i="30"/>
  <c r="A2613" i="30"/>
  <c r="A2422" i="30"/>
  <c r="A2382" i="30"/>
  <c r="A2358" i="30"/>
  <c r="A2345" i="30"/>
  <c r="A2249" i="30"/>
  <c r="A2227" i="30"/>
  <c r="A2167" i="30"/>
  <c r="A2160" i="30"/>
  <c r="A2159" i="30"/>
  <c r="A2155" i="30"/>
  <c r="A2120" i="30"/>
  <c r="A2082" i="30"/>
  <c r="A1995" i="30"/>
  <c r="A1971" i="30"/>
  <c r="A1779" i="30"/>
  <c r="A1720" i="30"/>
  <c r="A1599" i="30"/>
  <c r="A1584" i="30"/>
  <c r="A1570" i="30"/>
  <c r="A1556" i="30"/>
  <c r="A1544" i="30"/>
  <c r="A1477" i="30"/>
  <c r="A1460" i="30"/>
  <c r="A1423" i="30"/>
  <c r="A1406" i="30"/>
  <c r="A1310" i="30"/>
  <c r="A1231" i="30"/>
  <c r="A1105" i="30"/>
  <c r="A1089" i="30"/>
  <c r="A1077" i="30"/>
  <c r="A1049" i="30"/>
  <c r="A1041" i="30"/>
  <c r="A1040" i="30"/>
  <c r="A1036" i="30"/>
  <c r="A1033" i="30"/>
  <c r="A892" i="30"/>
  <c r="A883" i="30"/>
  <c r="A846" i="30"/>
  <c r="A788" i="30"/>
  <c r="A719" i="30"/>
  <c r="A625" i="30"/>
  <c r="A595" i="30"/>
  <c r="A538" i="30"/>
  <c r="A530" i="30"/>
  <c r="A457" i="30"/>
  <c r="A371" i="30"/>
  <c r="A355" i="30"/>
  <c r="A350" i="30"/>
  <c r="A301" i="30"/>
  <c r="A206" i="30"/>
  <c r="A5546" i="30"/>
  <c r="A5520" i="30"/>
  <c r="A5514" i="30"/>
  <c r="A5511" i="30"/>
  <c r="A5482" i="30"/>
  <c r="A5465" i="30"/>
  <c r="A5442" i="30"/>
  <c r="A5411" i="30"/>
  <c r="A5390" i="30"/>
  <c r="A5368" i="30"/>
  <c r="A5347" i="30"/>
  <c r="A5344" i="30"/>
  <c r="A5303" i="30"/>
  <c r="A5302" i="30"/>
  <c r="A5293" i="30"/>
  <c r="A5283" i="30"/>
  <c r="A5282" i="30"/>
  <c r="A5266" i="30"/>
  <c r="A5246" i="30"/>
  <c r="A5235" i="30"/>
  <c r="A5228" i="30"/>
  <c r="A5219" i="30"/>
  <c r="A5179" i="30"/>
  <c r="A5142" i="30"/>
  <c r="A5105" i="30"/>
  <c r="A5015" i="30"/>
  <c r="A4964" i="30"/>
  <c r="A4939" i="30"/>
  <c r="A4883" i="30"/>
  <c r="A4880" i="30"/>
  <c r="A4849" i="30"/>
  <c r="A4845" i="30"/>
  <c r="A4839" i="30"/>
  <c r="A4835" i="30"/>
  <c r="A4733" i="30"/>
  <c r="A4714" i="30"/>
  <c r="A4680" i="30"/>
  <c r="A4666" i="30"/>
  <c r="A4656" i="30"/>
  <c r="A4655" i="30"/>
  <c r="A4654" i="30"/>
  <c r="A4652" i="30"/>
  <c r="A4612" i="30"/>
  <c r="A4607" i="30"/>
  <c r="A4601" i="30"/>
  <c r="A4578" i="30"/>
  <c r="A4571" i="30"/>
  <c r="A4565" i="30"/>
  <c r="A4561" i="30"/>
  <c r="A4551" i="30"/>
  <c r="A4533" i="30"/>
  <c r="A4519" i="30"/>
  <c r="A4465" i="30"/>
  <c r="A4462" i="30"/>
  <c r="A4458" i="30"/>
  <c r="A4436" i="30"/>
  <c r="A4420" i="30"/>
  <c r="A4413" i="30"/>
  <c r="A4351" i="30"/>
  <c r="A4334" i="30"/>
  <c r="A4328" i="30"/>
  <c r="A4277" i="30"/>
  <c r="A4253" i="30"/>
  <c r="A4172" i="30"/>
  <c r="A4137" i="30"/>
  <c r="A4093" i="30"/>
  <c r="A4073" i="30"/>
  <c r="A4070" i="30"/>
  <c r="A4067" i="30"/>
  <c r="A4039" i="30"/>
  <c r="A4008" i="30"/>
  <c r="A3990" i="30"/>
  <c r="A3989" i="30"/>
  <c r="A3967" i="30"/>
  <c r="A3954" i="30"/>
  <c r="A3866" i="30"/>
  <c r="A3858" i="30"/>
  <c r="A3840" i="30"/>
  <c r="A3776" i="30"/>
  <c r="A3768" i="30"/>
  <c r="A3758" i="30"/>
  <c r="A3744" i="30"/>
  <c r="A3731" i="30"/>
  <c r="A3719" i="30"/>
  <c r="A3707" i="30"/>
  <c r="A3696" i="30"/>
  <c r="A3660" i="30"/>
  <c r="A3656" i="30"/>
  <c r="A3646" i="30"/>
  <c r="A3596" i="30"/>
  <c r="A3556" i="30"/>
  <c r="A3542" i="30"/>
  <c r="A3538" i="30"/>
  <c r="A3510" i="30"/>
  <c r="A3506" i="30"/>
  <c r="A3501" i="30"/>
  <c r="A3492" i="30"/>
  <c r="A3474" i="30"/>
  <c r="A3432" i="30"/>
  <c r="A3394" i="30"/>
  <c r="A3367" i="30"/>
  <c r="A3362" i="30"/>
  <c r="A3359" i="30"/>
  <c r="A3326" i="30"/>
  <c r="A3306" i="30"/>
  <c r="A3298" i="30"/>
  <c r="A3281" i="30"/>
  <c r="A3276" i="30"/>
  <c r="A3259" i="30"/>
  <c r="A3248" i="30"/>
  <c r="A3246" i="30"/>
  <c r="A3229" i="30"/>
  <c r="A3208" i="30"/>
  <c r="A3163" i="30"/>
  <c r="A3156" i="30"/>
  <c r="A3123" i="30"/>
  <c r="A3077" i="30"/>
  <c r="A2989" i="30"/>
  <c r="A2970" i="30"/>
  <c r="A2949" i="30"/>
  <c r="A2936" i="30"/>
  <c r="A2915" i="30"/>
  <c r="A2864" i="30"/>
  <c r="A2848" i="30"/>
  <c r="A2836" i="30"/>
  <c r="A2813" i="30"/>
  <c r="A2775" i="30"/>
  <c r="A2687" i="30"/>
  <c r="A2635" i="30"/>
  <c r="A2628" i="30"/>
  <c r="A2561" i="30"/>
  <c r="A2498" i="30"/>
  <c r="A2468" i="30"/>
  <c r="A2443" i="30"/>
  <c r="A2442" i="30"/>
  <c r="A2415" i="30"/>
  <c r="A2411" i="30"/>
  <c r="A2395" i="30"/>
  <c r="A2369" i="30"/>
  <c r="A2368" i="30"/>
  <c r="A2355" i="30"/>
  <c r="A2350" i="30"/>
  <c r="A2336" i="30"/>
  <c r="A2296" i="30"/>
  <c r="A2287" i="30"/>
  <c r="A2258" i="30"/>
  <c r="A2239" i="30"/>
  <c r="A2235" i="30"/>
  <c r="A2232" i="30"/>
  <c r="A2203" i="30"/>
  <c r="A2171" i="30"/>
  <c r="A2143" i="30"/>
  <c r="A2002" i="30"/>
  <c r="A1999" i="30"/>
  <c r="A1928" i="30"/>
  <c r="A1913" i="30"/>
  <c r="A1904" i="30"/>
  <c r="A1875" i="30"/>
  <c r="A1869" i="30"/>
  <c r="A1852" i="30"/>
  <c r="A1693" i="30"/>
  <c r="A1684" i="30"/>
  <c r="A1677" i="30"/>
  <c r="A1624" i="30"/>
  <c r="A1576" i="30"/>
  <c r="A1574" i="30"/>
  <c r="A1564" i="30"/>
  <c r="A1559" i="30"/>
  <c r="A1465" i="30"/>
  <c r="A1462" i="30"/>
  <c r="A1456" i="30"/>
  <c r="A1428" i="30"/>
  <c r="A1427" i="30"/>
  <c r="A1419" i="30"/>
  <c r="A1385" i="30"/>
  <c r="A1380" i="30"/>
  <c r="A1317" i="30"/>
  <c r="A1316" i="30"/>
  <c r="A1303" i="30"/>
  <c r="A1281" i="30"/>
  <c r="A1249" i="30"/>
  <c r="A1248" i="30"/>
  <c r="A1246" i="30"/>
  <c r="A1236" i="30"/>
  <c r="A1223" i="30"/>
  <c r="A1217" i="30"/>
  <c r="A1178" i="30"/>
  <c r="A1160" i="30"/>
  <c r="A1146" i="30"/>
  <c r="A1136" i="30"/>
  <c r="A1123" i="30"/>
  <c r="A1109" i="30"/>
  <c r="A1102" i="30"/>
  <c r="A1099" i="30"/>
  <c r="A1078" i="30"/>
  <c r="A1056" i="30"/>
  <c r="A1028" i="30"/>
  <c r="A1026" i="30"/>
  <c r="A976" i="30"/>
  <c r="A963" i="30"/>
  <c r="A953" i="30"/>
  <c r="A940" i="30"/>
  <c r="A933" i="30"/>
  <c r="A930" i="30"/>
  <c r="A914" i="30"/>
  <c r="A895" i="30"/>
  <c r="A886" i="30"/>
  <c r="A870" i="30"/>
  <c r="A867" i="30"/>
  <c r="A785" i="30"/>
  <c r="A771" i="30"/>
  <c r="A725" i="30"/>
  <c r="A674" i="30"/>
  <c r="A646" i="30"/>
  <c r="A633" i="30"/>
  <c r="A629" i="30"/>
  <c r="A590" i="30"/>
  <c r="A588" i="30"/>
  <c r="A577" i="30"/>
  <c r="A569" i="30"/>
  <c r="A565" i="30"/>
  <c r="A539" i="30"/>
  <c r="A531" i="30"/>
  <c r="A510" i="30"/>
  <c r="A505" i="30"/>
  <c r="A489" i="30"/>
  <c r="A482" i="30"/>
  <c r="A469" i="30"/>
  <c r="A407" i="30"/>
  <c r="A352" i="30"/>
  <c r="A348" i="30"/>
  <c r="A339" i="30"/>
  <c r="A315" i="30"/>
  <c r="A281" i="30"/>
  <c r="A265" i="30"/>
  <c r="A212" i="30"/>
  <c r="A150" i="30"/>
  <c r="A94" i="30"/>
  <c r="A90" i="30"/>
  <c r="A75" i="30"/>
  <c r="A70" i="30"/>
  <c r="A38" i="30"/>
  <c r="A5542" i="30"/>
  <c r="A5515" i="30"/>
  <c r="A5492" i="30"/>
  <c r="A5474" i="30"/>
  <c r="A5469" i="30"/>
  <c r="A5463" i="30"/>
  <c r="A5461" i="30"/>
  <c r="A5460" i="30"/>
  <c r="A5430" i="30"/>
  <c r="A5414" i="30"/>
  <c r="A5402" i="30"/>
  <c r="A5400" i="30"/>
  <c r="A5384" i="30"/>
  <c r="A5381" i="30"/>
  <c r="A5378" i="30"/>
  <c r="A5367" i="30"/>
  <c r="A5339" i="30"/>
  <c r="A5319" i="30"/>
  <c r="A5308" i="30"/>
  <c r="A5295" i="30"/>
  <c r="A5233" i="30"/>
  <c r="A5217" i="30"/>
  <c r="A5159" i="30"/>
  <c r="A5147" i="30"/>
  <c r="A5038" i="30"/>
  <c r="A5036" i="30"/>
  <c r="A4947" i="30"/>
  <c r="A4919" i="30"/>
  <c r="A4860" i="30"/>
  <c r="A4825" i="30"/>
  <c r="A4819" i="30"/>
  <c r="A4810" i="30"/>
  <c r="A4793" i="30"/>
  <c r="A4755" i="30"/>
  <c r="A4743" i="30"/>
  <c r="A4712" i="30"/>
  <c r="A4697" i="30"/>
  <c r="A4691" i="30"/>
  <c r="A4686" i="30"/>
  <c r="A4636" i="30"/>
  <c r="A4632" i="30"/>
  <c r="A4625" i="30"/>
  <c r="A4582" i="30"/>
  <c r="A4528" i="30"/>
  <c r="A4517" i="30"/>
  <c r="A4504" i="30"/>
  <c r="A4494" i="30"/>
  <c r="A4472" i="30"/>
  <c r="A4469" i="30"/>
  <c r="A4418" i="30"/>
  <c r="A4387" i="30"/>
  <c r="A4386" i="30"/>
  <c r="A4356" i="30"/>
  <c r="A4318" i="30"/>
  <c r="A4292" i="30"/>
  <c r="A4285" i="30"/>
  <c r="A4268" i="30"/>
  <c r="A4230" i="30"/>
  <c r="A4223" i="30"/>
  <c r="A4221" i="30"/>
  <c r="A4195" i="30"/>
  <c r="A4194" i="30"/>
  <c r="A4114" i="30"/>
  <c r="A4076" i="30"/>
  <c r="A4065" i="30"/>
  <c r="A4052" i="30"/>
  <c r="A4045" i="30"/>
  <c r="A4038" i="30"/>
  <c r="A4023" i="30"/>
  <c r="A4006" i="30"/>
  <c r="A3977" i="30"/>
  <c r="A3971" i="30"/>
  <c r="A3970" i="30"/>
  <c r="A3919" i="30"/>
  <c r="A3898" i="30"/>
  <c r="A3855" i="30"/>
  <c r="A3805" i="30"/>
  <c r="A3778" i="30"/>
  <c r="A3754" i="30"/>
  <c r="A3746" i="30"/>
  <c r="A3729" i="30"/>
  <c r="A3674" i="30"/>
  <c r="A3673" i="30"/>
  <c r="A3659" i="30"/>
  <c r="A3590" i="30"/>
  <c r="A3573" i="30"/>
  <c r="A3567" i="30"/>
  <c r="A3539" i="30"/>
  <c r="A3531" i="30"/>
  <c r="A3518" i="30"/>
  <c r="A3516" i="30"/>
  <c r="A3484" i="30"/>
  <c r="A3593" i="30"/>
  <c r="A3476" i="30"/>
  <c r="A3447" i="30"/>
  <c r="A3417" i="30"/>
  <c r="A3406" i="30"/>
  <c r="A3375" i="30"/>
  <c r="A3371" i="30"/>
  <c r="A3370" i="30"/>
  <c r="A3365" i="30"/>
  <c r="A3337" i="30"/>
  <c r="A3328" i="30"/>
  <c r="A3299" i="30"/>
  <c r="A3240" i="30"/>
  <c r="A3237" i="30"/>
  <c r="A3224" i="30"/>
  <c r="A3186" i="30"/>
  <c r="A3132" i="30"/>
  <c r="A3126" i="30"/>
  <c r="A3063" i="30"/>
  <c r="A3062" i="30"/>
  <c r="A3048" i="30"/>
  <c r="A3036" i="30"/>
  <c r="A3034" i="30"/>
  <c r="A3028" i="30"/>
  <c r="A3000" i="30"/>
  <c r="A2925" i="30"/>
  <c r="A2896" i="30"/>
  <c r="A2890" i="30"/>
  <c r="A2866" i="30"/>
  <c r="A2850" i="30"/>
  <c r="A2734" i="30"/>
  <c r="A2664" i="30"/>
  <c r="A2658" i="30"/>
  <c r="A2645" i="30"/>
  <c r="A2598" i="30"/>
  <c r="A2593" i="30"/>
  <c r="A2576" i="30"/>
  <c r="A2555" i="30"/>
  <c r="A2494" i="30"/>
  <c r="A2479" i="30"/>
  <c r="A2463" i="30"/>
  <c r="A2460" i="30"/>
  <c r="A2455" i="30"/>
  <c r="A2423" i="30"/>
  <c r="A2420" i="30"/>
  <c r="A2418" i="30"/>
  <c r="A2384" i="30"/>
  <c r="A2285" i="30"/>
  <c r="A2281" i="30"/>
  <c r="A2250" i="30"/>
  <c r="A2205" i="30"/>
  <c r="A2188" i="30"/>
  <c r="A2182" i="30"/>
  <c r="A2179" i="30"/>
  <c r="A2157" i="30"/>
  <c r="A2144" i="30"/>
  <c r="A2103" i="30"/>
  <c r="A2085" i="30"/>
  <c r="A2065" i="30"/>
  <c r="A2060" i="30"/>
  <c r="A2036" i="30"/>
  <c r="A2032" i="30"/>
  <c r="A2021" i="30"/>
  <c r="A2020" i="30"/>
  <c r="A1998" i="30"/>
  <c r="A1992" i="30"/>
  <c r="A1982" i="30"/>
  <c r="A1980" i="30"/>
  <c r="A1959" i="30"/>
  <c r="A1952" i="30"/>
  <c r="A1933" i="30"/>
  <c r="A1910" i="30"/>
  <c r="A1907" i="30"/>
  <c r="A1882" i="30"/>
  <c r="A1858" i="30"/>
  <c r="A1843" i="30"/>
  <c r="A1832" i="30"/>
  <c r="A1807" i="30"/>
  <c r="A1801" i="30"/>
  <c r="A1781" i="30"/>
  <c r="A1702" i="30"/>
  <c r="A1682" i="30"/>
  <c r="A1660" i="30"/>
  <c r="A1643" i="30"/>
  <c r="A1638" i="30"/>
  <c r="A1634" i="30"/>
  <c r="A1611" i="30"/>
  <c r="A1557" i="30"/>
  <c r="A1555" i="30"/>
  <c r="A1531" i="30"/>
  <c r="A1459" i="30"/>
  <c r="A1433" i="30"/>
  <c r="A1411" i="30"/>
  <c r="A1392" i="30"/>
  <c r="A1355" i="30"/>
  <c r="A1352" i="30"/>
  <c r="A1300" i="30"/>
  <c r="A1282" i="30"/>
  <c r="A1247" i="30"/>
  <c r="A1228" i="30"/>
  <c r="A1216" i="30"/>
  <c r="A1215" i="30"/>
  <c r="A1214" i="30"/>
  <c r="A1199" i="30"/>
  <c r="A1150" i="30"/>
  <c r="A1119" i="30"/>
  <c r="A1110" i="30"/>
  <c r="A1103" i="30"/>
  <c r="A1097" i="30"/>
  <c r="A1079" i="30"/>
  <c r="A1064" i="30"/>
  <c r="A1043" i="30"/>
  <c r="A1038" i="30"/>
  <c r="A1030" i="30"/>
  <c r="A987" i="30"/>
  <c r="A972" i="30"/>
  <c r="A966" i="30"/>
  <c r="A929" i="30"/>
  <c r="A922" i="30"/>
  <c r="A889" i="30"/>
  <c r="A823" i="30"/>
  <c r="A797" i="30"/>
  <c r="A759" i="30"/>
  <c r="A744" i="30"/>
  <c r="A710" i="30"/>
  <c r="A703" i="30"/>
  <c r="A697" i="30"/>
  <c r="A621" i="30"/>
  <c r="A619" i="30"/>
  <c r="A613" i="30"/>
  <c r="A576" i="30"/>
  <c r="A572" i="30"/>
  <c r="A554" i="30"/>
  <c r="A528" i="30"/>
  <c r="A494" i="30"/>
  <c r="A478" i="30"/>
  <c r="A449" i="30"/>
  <c r="A447" i="30"/>
  <c r="A410" i="30"/>
  <c r="A408" i="30"/>
  <c r="A402" i="30"/>
  <c r="A375" i="30"/>
  <c r="A353" i="30"/>
  <c r="A338" i="30"/>
  <c r="A330" i="30"/>
  <c r="A325" i="30"/>
  <c r="A321" i="30"/>
  <c r="A309" i="30"/>
  <c r="A286" i="30"/>
  <c r="A274" i="30"/>
  <c r="A266" i="30"/>
  <c r="A222" i="30"/>
  <c r="A158" i="30"/>
  <c r="A132" i="30"/>
  <c r="A114" i="30"/>
  <c r="A71" i="30"/>
  <c r="A55" i="30"/>
  <c r="A3175" i="30"/>
  <c r="A5524" i="30"/>
  <c r="A5512" i="30"/>
  <c r="A5508" i="30"/>
  <c r="A5454" i="30"/>
  <c r="A5424" i="30"/>
  <c r="A5421" i="30"/>
  <c r="A5418" i="30"/>
  <c r="A5416" i="30"/>
  <c r="A5377" i="30"/>
  <c r="A5340" i="30"/>
  <c r="A5309" i="30"/>
  <c r="A5299" i="30"/>
  <c r="A5265" i="30"/>
  <c r="A5262" i="30"/>
  <c r="A5261" i="30"/>
  <c r="A5260" i="30"/>
  <c r="A5221" i="30"/>
  <c r="A5215" i="30"/>
  <c r="A5206" i="30"/>
  <c r="A5165" i="30"/>
  <c r="A5164" i="30"/>
  <c r="A5139" i="30"/>
  <c r="A5076" i="30"/>
  <c r="A5049" i="30"/>
  <c r="A5046" i="30"/>
  <c r="A5024" i="30"/>
  <c r="A4999" i="30"/>
  <c r="A4997" i="30"/>
  <c r="A4972" i="30"/>
  <c r="A4961" i="30"/>
  <c r="A4953" i="30"/>
  <c r="A4925" i="30"/>
  <c r="A4921" i="30"/>
  <c r="A4901" i="30"/>
  <c r="A4897" i="30"/>
  <c r="A4878" i="30"/>
  <c r="A4848" i="30"/>
  <c r="A4832" i="30"/>
  <c r="A4823" i="30"/>
  <c r="A4788" i="30"/>
  <c r="A4781" i="30"/>
  <c r="A4761" i="30"/>
  <c r="A4748" i="30"/>
  <c r="A4732" i="30"/>
  <c r="A4730" i="30"/>
  <c r="A4720" i="30"/>
  <c r="A4657" i="30"/>
  <c r="A4615" i="30"/>
  <c r="A4600" i="30"/>
  <c r="A4579" i="30"/>
  <c r="A4573" i="30"/>
  <c r="A4559" i="30"/>
  <c r="A4509" i="30"/>
  <c r="A4493" i="30"/>
  <c r="A4468" i="30"/>
  <c r="A4461" i="30"/>
  <c r="A4382" i="30"/>
  <c r="A4373" i="30"/>
  <c r="A4369" i="30"/>
  <c r="A4329" i="30"/>
  <c r="A4301" i="30"/>
  <c r="A4300" i="30"/>
  <c r="A4274" i="30"/>
  <c r="A4272" i="30"/>
  <c r="A4259" i="30"/>
  <c r="A4220" i="30"/>
  <c r="A4198" i="30"/>
  <c r="A4189" i="30"/>
  <c r="A4176" i="30"/>
  <c r="A4161" i="30"/>
  <c r="A4148" i="30"/>
  <c r="A4144" i="30"/>
  <c r="A4133" i="30"/>
  <c r="A4102" i="30"/>
  <c r="A4097" i="30"/>
  <c r="A4021" i="30"/>
  <c r="A4011" i="30"/>
  <c r="A3999" i="30"/>
  <c r="A3988" i="30"/>
  <c r="A3969" i="30"/>
  <c r="A3948" i="30"/>
  <c r="A3927" i="30"/>
  <c r="A3908" i="30"/>
  <c r="A3893" i="30"/>
  <c r="A3885" i="30"/>
  <c r="A3872" i="30"/>
  <c r="A3862" i="30"/>
  <c r="A3830" i="30"/>
  <c r="A3804" i="30"/>
  <c r="A3799" i="30"/>
  <c r="A3796" i="30"/>
  <c r="A3787" i="30"/>
  <c r="A3762" i="30"/>
  <c r="A3737" i="30"/>
  <c r="A3733" i="30"/>
  <c r="A3740" i="30"/>
  <c r="A3644" i="30"/>
  <c r="A3631" i="30"/>
  <c r="A3630" i="30"/>
  <c r="A3618" i="30"/>
  <c r="A3606" i="30"/>
  <c r="A3598" i="30"/>
  <c r="A3597" i="30"/>
  <c r="A3581" i="30"/>
  <c r="A3564" i="30"/>
  <c r="A3545" i="30"/>
  <c r="A3521" i="30"/>
  <c r="A3497" i="30"/>
  <c r="A3475" i="30"/>
  <c r="A3464" i="30"/>
  <c r="A3456" i="30"/>
  <c r="A3430" i="30"/>
  <c r="A3408" i="30"/>
  <c r="A3390" i="30"/>
  <c r="A3363" i="30"/>
  <c r="A3351" i="30"/>
  <c r="A3341" i="30"/>
  <c r="A3327" i="30"/>
  <c r="A3320" i="30"/>
  <c r="A3309" i="30"/>
  <c r="A3287" i="30"/>
  <c r="A3257" i="30"/>
  <c r="A3249" i="30"/>
  <c r="A3245" i="30"/>
  <c r="A3235" i="30"/>
  <c r="A3222" i="30"/>
  <c r="A3212" i="30"/>
  <c r="A3159" i="30"/>
  <c r="A3145" i="30"/>
  <c r="A3144" i="30"/>
  <c r="A3121" i="30"/>
  <c r="A3093" i="30"/>
  <c r="A3088" i="30"/>
  <c r="A3002" i="30"/>
  <c r="A2967" i="30"/>
  <c r="A2955" i="30"/>
  <c r="A2953" i="30"/>
  <c r="A2910" i="30"/>
  <c r="A2901" i="30"/>
  <c r="A2895" i="30"/>
  <c r="A2856" i="30"/>
  <c r="A2843" i="30"/>
  <c r="A2817" i="30"/>
  <c r="A2800" i="30"/>
  <c r="A2776" i="30"/>
  <c r="A2765" i="30"/>
  <c r="A2761" i="30"/>
  <c r="A2700" i="30"/>
  <c r="A2657" i="30"/>
  <c r="A2639" i="30"/>
  <c r="A2583" i="30"/>
  <c r="A2581" i="30"/>
  <c r="A2557" i="30"/>
  <c r="A2508" i="30"/>
  <c r="A2447" i="30"/>
  <c r="A2419" i="30"/>
  <c r="A2406" i="30"/>
  <c r="A2404" i="30"/>
  <c r="A2388" i="30"/>
  <c r="A2363" i="30"/>
  <c r="A2343" i="30"/>
  <c r="A2333" i="30"/>
  <c r="A2320" i="30"/>
  <c r="A2316" i="30"/>
  <c r="A2314" i="30"/>
  <c r="A2309" i="30"/>
  <c r="A2306" i="30"/>
  <c r="A2305" i="30"/>
  <c r="A2304" i="30"/>
  <c r="A2277" i="30"/>
  <c r="A2245" i="30"/>
  <c r="A2223" i="30"/>
  <c r="A2184" i="30"/>
  <c r="A2115" i="30"/>
  <c r="A2094" i="30"/>
  <c r="A2073" i="30"/>
  <c r="A2057" i="30"/>
  <c r="A2027" i="30"/>
  <c r="A2015" i="30"/>
  <c r="A1984" i="30"/>
  <c r="A1973" i="30"/>
  <c r="A1969" i="30"/>
  <c r="A1955" i="30"/>
  <c r="A1943" i="30"/>
  <c r="A1896" i="30"/>
  <c r="A1880" i="30"/>
  <c r="A1868" i="30"/>
  <c r="A1846" i="30"/>
  <c r="A1826" i="30"/>
  <c r="A1805" i="30"/>
  <c r="A1787" i="30"/>
  <c r="A1782" i="30"/>
  <c r="A1777" i="30"/>
  <c r="A1747" i="30"/>
  <c r="A1744" i="30"/>
  <c r="A1710" i="30"/>
  <c r="A1701" i="30"/>
  <c r="A1696" i="30"/>
  <c r="A1670" i="30"/>
  <c r="A1636" i="30"/>
  <c r="A1630" i="30"/>
  <c r="A1598" i="30"/>
  <c r="A1590" i="30"/>
  <c r="A1567" i="30"/>
  <c r="A1548" i="30"/>
  <c r="A1615" i="30"/>
  <c r="A1503" i="30"/>
  <c r="A1497" i="30"/>
  <c r="A1493" i="30"/>
  <c r="A1471" i="30"/>
  <c r="A1468" i="30"/>
  <c r="A1464" i="30"/>
  <c r="A1416" i="30"/>
  <c r="A1368" i="30"/>
  <c r="A1351" i="30"/>
  <c r="A1343" i="30"/>
  <c r="A1330" i="30"/>
  <c r="A1309" i="30"/>
  <c r="A1298" i="30"/>
  <c r="A1294" i="30"/>
  <c r="A1280" i="30"/>
  <c r="A1195" i="30"/>
  <c r="A1192" i="30"/>
  <c r="A1190" i="30"/>
  <c r="A1175" i="30"/>
  <c r="A1174" i="30"/>
  <c r="A1155" i="30"/>
  <c r="A1154" i="30"/>
  <c r="A1153" i="30"/>
  <c r="A1151" i="30"/>
  <c r="A1126" i="30"/>
  <c r="A1108" i="30"/>
  <c r="A1101" i="30"/>
  <c r="A1100" i="30"/>
  <c r="A1095" i="30"/>
  <c r="A1092" i="30"/>
  <c r="A1071" i="30"/>
  <c r="A1065" i="30"/>
  <c r="A1055" i="30"/>
  <c r="A1054" i="30"/>
  <c r="A1052" i="30"/>
  <c r="A1024" i="30"/>
  <c r="A1017" i="30"/>
  <c r="A1013" i="30"/>
  <c r="A1009" i="30"/>
  <c r="A997" i="30"/>
  <c r="A948" i="30"/>
  <c r="A935" i="30"/>
  <c r="A927" i="30"/>
  <c r="A863" i="30"/>
  <c r="A861" i="30"/>
  <c r="A857" i="30"/>
  <c r="A839" i="30"/>
  <c r="A838" i="30"/>
  <c r="A803" i="30"/>
  <c r="A787" i="30"/>
  <c r="A783" i="30"/>
  <c r="A768" i="30"/>
  <c r="A762" i="30"/>
  <c r="A737" i="30"/>
  <c r="A723" i="30"/>
  <c r="A714" i="30"/>
  <c r="A673" i="30"/>
  <c r="A664" i="30"/>
  <c r="A663" i="30"/>
  <c r="A653" i="30"/>
  <c r="A627" i="30"/>
  <c r="A596" i="30"/>
  <c r="A593" i="30"/>
  <c r="A581" i="30"/>
  <c r="A566" i="30"/>
  <c r="A559" i="30"/>
  <c r="A529" i="30"/>
  <c r="A522" i="30"/>
  <c r="A518" i="30"/>
  <c r="A517" i="30"/>
  <c r="A506" i="30"/>
  <c r="A502" i="30"/>
  <c r="A450" i="30"/>
  <c r="A446" i="30"/>
  <c r="A419" i="30"/>
  <c r="A406" i="30"/>
  <c r="A404" i="30"/>
  <c r="A403" i="30"/>
  <c r="A401" i="30"/>
  <c r="A390" i="30"/>
  <c r="A382" i="30"/>
  <c r="A358" i="30"/>
  <c r="A354" i="30"/>
  <c r="A347" i="30"/>
  <c r="A335" i="30"/>
  <c r="A311" i="30"/>
  <c r="A282" i="30"/>
  <c r="A248" i="30"/>
  <c r="A239" i="30"/>
  <c r="A238" i="30"/>
  <c r="A232" i="30"/>
  <c r="A226" i="30"/>
  <c r="A186" i="30"/>
  <c r="A172" i="30"/>
  <c r="A168" i="30"/>
  <c r="A166" i="30"/>
  <c r="A153" i="30"/>
  <c r="A152" i="30"/>
  <c r="A144" i="30"/>
  <c r="A143" i="30"/>
  <c r="A118" i="30"/>
  <c r="A111" i="30"/>
  <c r="A110" i="30"/>
  <c r="A100" i="30"/>
  <c r="A97" i="30"/>
  <c r="A59" i="30"/>
  <c r="A57" i="30"/>
  <c r="C6" i="26"/>
  <c r="A5547" i="30"/>
  <c r="A5528" i="30"/>
  <c r="A5523" i="30"/>
  <c r="A5494" i="30"/>
  <c r="A5462" i="30"/>
  <c r="A5450" i="30"/>
  <c r="A5439" i="30"/>
  <c r="A5425" i="30"/>
  <c r="A5393" i="30"/>
  <c r="A5382" i="30"/>
  <c r="A5352" i="30"/>
  <c r="A5275" i="30"/>
  <c r="A5252" i="30"/>
  <c r="A5243" i="30"/>
  <c r="A5208" i="30"/>
  <c r="A5163" i="30"/>
  <c r="A5032" i="30"/>
  <c r="A5004" i="30"/>
  <c r="A4983" i="30"/>
  <c r="A4980" i="30"/>
  <c r="A4959" i="30"/>
  <c r="A4934" i="30"/>
  <c r="A4895" i="30"/>
  <c r="A4871" i="30"/>
  <c r="A4851" i="30"/>
  <c r="A4827" i="30"/>
  <c r="A4807" i="30"/>
  <c r="A4742" i="30"/>
  <c r="A4734" i="30"/>
  <c r="A4702" i="30"/>
  <c r="A4670" i="30"/>
  <c r="A4642" i="30"/>
  <c r="A4606" i="30"/>
  <c r="A4570" i="30"/>
  <c r="A4566" i="30"/>
  <c r="A4538" i="30"/>
  <c r="A4524" i="30"/>
  <c r="A4507" i="30"/>
  <c r="A4460" i="30"/>
  <c r="A4380" i="30"/>
  <c r="A4371" i="30"/>
  <c r="A4365" i="30"/>
  <c r="A4348" i="30"/>
  <c r="A4314" i="30"/>
  <c r="A4299" i="30"/>
  <c r="A4295" i="30"/>
  <c r="A4270" i="30"/>
  <c r="A4269" i="30"/>
  <c r="A4244" i="30"/>
  <c r="A4224" i="30"/>
  <c r="A4218" i="30"/>
  <c r="A4215" i="30"/>
  <c r="A4213" i="30"/>
  <c r="A4196" i="30"/>
  <c r="A4182" i="30"/>
  <c r="A4171" i="30"/>
  <c r="A4110" i="30"/>
  <c r="A4087" i="30"/>
  <c r="A4077" i="30"/>
  <c r="A4027" i="30"/>
  <c r="A3987" i="30"/>
  <c r="A3979" i="30"/>
  <c r="A3974" i="30"/>
  <c r="A3972" i="30"/>
  <c r="A3937" i="30"/>
  <c r="A3931" i="30"/>
  <c r="A3911" i="30"/>
  <c r="A3909" i="30"/>
  <c r="A3888" i="30"/>
  <c r="A3879" i="30"/>
  <c r="A3839" i="30"/>
  <c r="A3818" i="30"/>
  <c r="A3817" i="30"/>
  <c r="A3800" i="30"/>
  <c r="A3777" i="30"/>
  <c r="A3766" i="30"/>
  <c r="A3724" i="30"/>
  <c r="A3657" i="30"/>
  <c r="A3610" i="30"/>
  <c r="A3609" i="30"/>
  <c r="A3571" i="30"/>
  <c r="A3565" i="30"/>
  <c r="A3560" i="30"/>
  <c r="A3540" i="30"/>
  <c r="A3535" i="30"/>
  <c r="A3514" i="30"/>
  <c r="A3513" i="30"/>
  <c r="A3496" i="30"/>
  <c r="A3488" i="30"/>
  <c r="A3486" i="30"/>
  <c r="A3482" i="30"/>
  <c r="A3449" i="30"/>
  <c r="A3441" i="30"/>
  <c r="A3437" i="30"/>
  <c r="A3425" i="30"/>
  <c r="A3398" i="30"/>
  <c r="A3392" i="30"/>
  <c r="A3391" i="30"/>
  <c r="A3383" i="30"/>
  <c r="A3377" i="30"/>
  <c r="A3352" i="30"/>
  <c r="A3348" i="30"/>
  <c r="A3338" i="30"/>
  <c r="A3313" i="30"/>
  <c r="A3303" i="30"/>
  <c r="A3296" i="30"/>
  <c r="A3283" i="30"/>
  <c r="A3265" i="30"/>
  <c r="A3264" i="30"/>
  <c r="A3244" i="30"/>
  <c r="A3238" i="30"/>
  <c r="A3219" i="30"/>
  <c r="A3213" i="30"/>
  <c r="A3201" i="30"/>
  <c r="A3162" i="30"/>
  <c r="A3035" i="30"/>
  <c r="A3025" i="30"/>
  <c r="A3019" i="30"/>
  <c r="A3003" i="30"/>
  <c r="A2975" i="30"/>
  <c r="A2965" i="30"/>
  <c r="A2920" i="30"/>
  <c r="A2918" i="30"/>
  <c r="A2900" i="30"/>
  <c r="A2886" i="30"/>
  <c r="A2869" i="30"/>
  <c r="A2854" i="30"/>
  <c r="A2852" i="30"/>
  <c r="A2847" i="30"/>
  <c r="A2845" i="30"/>
  <c r="A2829" i="30"/>
  <c r="A2746" i="30"/>
  <c r="A2711" i="30"/>
  <c r="A2707" i="30"/>
  <c r="A2683" i="30"/>
  <c r="A2681" i="30"/>
  <c r="A2660" i="30"/>
  <c r="A2642" i="30"/>
  <c r="A2629" i="30"/>
  <c r="A2584" i="30"/>
  <c r="A2578" i="30"/>
  <c r="A2529" i="30"/>
  <c r="A2519" i="30"/>
  <c r="A2493" i="30"/>
  <c r="A2475" i="30"/>
  <c r="A2458" i="30"/>
  <c r="A2454" i="30"/>
  <c r="A2433" i="30"/>
  <c r="A2380" i="30"/>
  <c r="A2372" i="30"/>
  <c r="A2351" i="30"/>
  <c r="A2332" i="30"/>
  <c r="A2319" i="30"/>
  <c r="A2289" i="30"/>
  <c r="A2284" i="30"/>
  <c r="A2259" i="30"/>
  <c r="A2244" i="30"/>
  <c r="A2237" i="30"/>
  <c r="A2231" i="30"/>
  <c r="A2208" i="30"/>
  <c r="A2197" i="30"/>
  <c r="A2149" i="30"/>
  <c r="A2146" i="30"/>
  <c r="A2114" i="30"/>
  <c r="A2113" i="30"/>
  <c r="A2072" i="30"/>
  <c r="A2064" i="30"/>
  <c r="A2062" i="30"/>
  <c r="A2058" i="30"/>
  <c r="A1965" i="30"/>
  <c r="A1949" i="30"/>
  <c r="A1916" i="30"/>
  <c r="A1851" i="30"/>
  <c r="A1850" i="30"/>
  <c r="A1823" i="30"/>
  <c r="A1798" i="30"/>
  <c r="A1793" i="30"/>
  <c r="A1766" i="30"/>
  <c r="A1753" i="30"/>
  <c r="A1721" i="30"/>
  <c r="A1712" i="30"/>
  <c r="A1687" i="30"/>
  <c r="A1673" i="30"/>
  <c r="A1665" i="30"/>
  <c r="A1644" i="30"/>
  <c r="A1596" i="30"/>
  <c r="A1554" i="30"/>
  <c r="A1818" i="30"/>
  <c r="A1538" i="30"/>
  <c r="A1515" i="30"/>
  <c r="A1504" i="30"/>
  <c r="A1489" i="30"/>
  <c r="A1458" i="30"/>
  <c r="A1445" i="30"/>
  <c r="A1444" i="30"/>
  <c r="A1436" i="30"/>
  <c r="A1430" i="30"/>
  <c r="A1341" i="30"/>
  <c r="A1332" i="30"/>
  <c r="A1328" i="30"/>
  <c r="A1296" i="30"/>
  <c r="A1262" i="30"/>
  <c r="A1225" i="30"/>
  <c r="A1189" i="30"/>
  <c r="A1184" i="30"/>
  <c r="A1070" i="30"/>
  <c r="A1067" i="30"/>
  <c r="A1058" i="30"/>
  <c r="A1011" i="30"/>
  <c r="A1003" i="30"/>
  <c r="A962" i="30"/>
  <c r="A958" i="30"/>
  <c r="A955" i="30"/>
  <c r="A943" i="30"/>
  <c r="A885" i="30"/>
  <c r="A872" i="30"/>
  <c r="A860" i="30"/>
  <c r="A834" i="30"/>
  <c r="A789" i="30"/>
  <c r="A784" i="30"/>
  <c r="A774" i="30"/>
  <c r="A766" i="30"/>
  <c r="A716" i="30"/>
  <c r="A695" i="30"/>
  <c r="A628" i="30"/>
  <c r="A603" i="30"/>
  <c r="A602" i="30"/>
  <c r="A587" i="30"/>
  <c r="A586" i="30"/>
  <c r="A558" i="30"/>
  <c r="A535" i="30"/>
  <c r="A434" i="30"/>
  <c r="A426" i="30"/>
  <c r="A362" i="30"/>
  <c r="A361" i="30"/>
  <c r="A344" i="30"/>
  <c r="A328" i="30"/>
  <c r="A326" i="30"/>
  <c r="A246" i="30"/>
  <c r="A236" i="30"/>
  <c r="A200" i="30"/>
  <c r="A190" i="30"/>
  <c r="A184" i="30"/>
  <c r="A167" i="30"/>
  <c r="A165" i="30"/>
  <c r="A156" i="30"/>
  <c r="A141" i="30"/>
  <c r="A134" i="30"/>
  <c r="A128" i="30"/>
  <c r="A122" i="30"/>
  <c r="A92" i="30"/>
  <c r="A83" i="30"/>
  <c r="A82" i="30"/>
  <c r="A68" i="30"/>
  <c r="A56" i="30"/>
  <c r="A47" i="30"/>
  <c r="A30" i="30"/>
  <c r="A368" i="30"/>
  <c r="A5562" i="30"/>
  <c r="A5561" i="30"/>
  <c r="A5560" i="30"/>
  <c r="A5559" i="30"/>
  <c r="A5558" i="30"/>
  <c r="A5557" i="30"/>
  <c r="A5556" i="30"/>
  <c r="A5555" i="30"/>
  <c r="A5553" i="30"/>
  <c r="A5552" i="30"/>
  <c r="A5551" i="30"/>
  <c r="A5550" i="30"/>
  <c r="A5549" i="30"/>
  <c r="A5548" i="30"/>
  <c r="A5545" i="30"/>
  <c r="A5544" i="30"/>
  <c r="A5543" i="30"/>
  <c r="A5541" i="30"/>
  <c r="A5538" i="30"/>
  <c r="A5540" i="30"/>
  <c r="A5539" i="30"/>
  <c r="A5537" i="30"/>
  <c r="A5535" i="30"/>
  <c r="A5534" i="30"/>
  <c r="A5533" i="30"/>
  <c r="A5532" i="30"/>
  <c r="A5531" i="30"/>
  <c r="A5530" i="30"/>
  <c r="A5529" i="30"/>
  <c r="A5527" i="30"/>
  <c r="A5526" i="30"/>
  <c r="A5525" i="30"/>
  <c r="A5522" i="30"/>
  <c r="A5495" i="30"/>
  <c r="A5505" i="30"/>
  <c r="A73" i="30"/>
  <c r="A163" i="30"/>
  <c r="A210" i="30"/>
  <c r="A241" i="30"/>
  <c r="A252" i="30"/>
  <c r="A280" i="30"/>
  <c r="A294" i="30"/>
  <c r="A304" i="30"/>
  <c r="A332" i="30"/>
  <c r="A380" i="30"/>
  <c r="A415" i="30"/>
  <c r="A427" i="30"/>
  <c r="A433" i="30"/>
  <c r="A483" i="30"/>
  <c r="A570" i="30"/>
  <c r="A662" i="30"/>
  <c r="A721" i="30"/>
  <c r="A724" i="30"/>
  <c r="A748" i="30"/>
  <c r="A778" i="30"/>
  <c r="A791" i="30"/>
  <c r="A817" i="30"/>
  <c r="A830" i="30"/>
  <c r="A832" i="30"/>
  <c r="A855" i="30"/>
  <c r="A862" i="30"/>
  <c r="A897" i="30"/>
  <c r="A911" i="30"/>
  <c r="A1010" i="30"/>
  <c r="A1047" i="30"/>
  <c r="A1072" i="30"/>
  <c r="A1177" i="30"/>
  <c r="A1273" i="30"/>
  <c r="A1321" i="30"/>
  <c r="A1339" i="30"/>
  <c r="A1441" i="30"/>
  <c r="A1490" i="30"/>
  <c r="A1633" i="30"/>
  <c r="A1703" i="30"/>
  <c r="A1788" i="30"/>
  <c r="A1900" i="30"/>
  <c r="A1911" i="30"/>
  <c r="A1920" i="30"/>
  <c r="A1946" i="30"/>
  <c r="A1954" i="30"/>
  <c r="A2004" i="30"/>
  <c r="A2010" i="30"/>
  <c r="A2041" i="30"/>
  <c r="A2051" i="30"/>
  <c r="A2092" i="30"/>
  <c r="A2124" i="30"/>
  <c r="A2150" i="30"/>
  <c r="A2163" i="30"/>
  <c r="A2192" i="30"/>
  <c r="A2198" i="30"/>
  <c r="A2211" i="30"/>
  <c r="A2215" i="30"/>
  <c r="A2224" i="30"/>
  <c r="A2229" i="30"/>
  <c r="A2297" i="30"/>
  <c r="A2318" i="30"/>
  <c r="A2356" i="30"/>
  <c r="A2387" i="30"/>
  <c r="A2429" i="30"/>
  <c r="A2485" i="30"/>
  <c r="A2572" i="30"/>
  <c r="A2577" i="30"/>
  <c r="A2580" i="30"/>
  <c r="A2607" i="30"/>
  <c r="A2621" i="30"/>
  <c r="A2626" i="30"/>
  <c r="A2652" i="30"/>
  <c r="A2751" i="30"/>
  <c r="A2823" i="30"/>
  <c r="A2828" i="30"/>
  <c r="A2876" i="30"/>
  <c r="A2878" i="30"/>
  <c r="A2943" i="30"/>
  <c r="A2945" i="30"/>
  <c r="A2964" i="30"/>
  <c r="A3008" i="30"/>
  <c r="A3009" i="30"/>
  <c r="A3016" i="30"/>
  <c r="A3022" i="30"/>
  <c r="A3029" i="30"/>
  <c r="A3033" i="30"/>
  <c r="A3041" i="30"/>
  <c r="A3066" i="30"/>
  <c r="A3072" i="30"/>
  <c r="A3073" i="30"/>
  <c r="A3075" i="30"/>
  <c r="A3084" i="30"/>
  <c r="A3094" i="30"/>
  <c r="A3102" i="30"/>
  <c r="A3122" i="30"/>
  <c r="A3174" i="30"/>
  <c r="A3253" i="30"/>
  <c r="A3269" i="30"/>
  <c r="A3318" i="30"/>
  <c r="A3342" i="30"/>
  <c r="A3360" i="30"/>
  <c r="A3378" i="30"/>
  <c r="A3387" i="30"/>
  <c r="A3424" i="30"/>
  <c r="A3457" i="30"/>
  <c r="A3479" i="30"/>
  <c r="A3500" i="30"/>
  <c r="A3548" i="30"/>
  <c r="A3562" i="30"/>
  <c r="A3574" i="30"/>
  <c r="A3578" i="30"/>
  <c r="A3583" i="30"/>
  <c r="A3632" i="30"/>
  <c r="A3634" i="30"/>
  <c r="A3639" i="30"/>
  <c r="A3658" i="30"/>
  <c r="A3676" i="30"/>
  <c r="A3714" i="30"/>
  <c r="A3715" i="30"/>
  <c r="A3765" i="30"/>
  <c r="A3771" i="30"/>
  <c r="A3865" i="30"/>
  <c r="A3869" i="30"/>
  <c r="A3897" i="30"/>
  <c r="A3901" i="30"/>
  <c r="A3920" i="30"/>
  <c r="A3930" i="30"/>
  <c r="A3933" i="30"/>
  <c r="A3934" i="30"/>
  <c r="A3943" i="30"/>
  <c r="A3945" i="30"/>
  <c r="A3958" i="30"/>
  <c r="A3962" i="30"/>
  <c r="A4017" i="30"/>
  <c r="A4026" i="30"/>
  <c r="A4061" i="30"/>
  <c r="A4085" i="30"/>
  <c r="A4111" i="30"/>
  <c r="A4126" i="30"/>
  <c r="A4153" i="30"/>
  <c r="A4203" i="30"/>
  <c r="A4240" i="30"/>
  <c r="A4242" i="30"/>
  <c r="A4284" i="30"/>
  <c r="A4302" i="30"/>
  <c r="A4375" i="30"/>
  <c r="A4443" i="30"/>
  <c r="A4530" i="30"/>
  <c r="A4624" i="30"/>
  <c r="A4644" i="30"/>
  <c r="A4722" i="30"/>
  <c r="A4814" i="30"/>
  <c r="A4822" i="30"/>
  <c r="A4826" i="30"/>
  <c r="A4829" i="30"/>
  <c r="A4950" i="30"/>
  <c r="A4984" i="30"/>
  <c r="A5006" i="30"/>
  <c r="A5011" i="30"/>
  <c r="A5013" i="30"/>
  <c r="A5033" i="30"/>
  <c r="A5035" i="30"/>
  <c r="A5060" i="30"/>
  <c r="A5118" i="30"/>
  <c r="A5144" i="30"/>
  <c r="A5166" i="30"/>
  <c r="A5334" i="30"/>
  <c r="A5357" i="30"/>
  <c r="A5362" i="30"/>
  <c r="A5427" i="30"/>
  <c r="A5435" i="30"/>
  <c r="A16" i="30"/>
  <c r="A5536" i="30" l="1"/>
  <c r="A5491" i="30"/>
  <c r="A5477" i="30"/>
  <c r="A5448" i="30"/>
  <c r="A5371" i="30"/>
  <c r="A5320" i="30"/>
  <c r="A5315" i="30"/>
  <c r="A5300" i="30"/>
  <c r="A5258" i="30"/>
  <c r="A5226" i="30"/>
  <c r="A5198" i="30"/>
  <c r="A5174" i="30"/>
  <c r="A5155" i="30"/>
  <c r="A5124" i="30"/>
  <c r="A5119" i="30"/>
  <c r="A5058" i="30"/>
  <c r="A4991" i="30"/>
  <c r="A4982" i="30"/>
  <c r="A4888" i="30"/>
  <c r="A4850" i="30"/>
  <c r="A4821" i="30"/>
  <c r="A4797" i="30"/>
  <c r="A4757" i="30"/>
  <c r="A4731" i="30"/>
  <c r="A4708" i="30"/>
  <c r="A4704" i="30"/>
  <c r="A4700" i="30"/>
  <c r="A4662" i="30"/>
  <c r="A4633" i="30"/>
  <c r="A4609" i="30"/>
  <c r="A4584" i="30"/>
  <c r="A4555" i="30"/>
  <c r="A4546" i="30"/>
  <c r="A4543" i="30"/>
  <c r="A4505" i="30"/>
  <c r="A4502" i="30"/>
  <c r="A4444" i="30"/>
  <c r="A4414" i="30"/>
  <c r="A4319" i="30"/>
  <c r="A4316" i="30"/>
  <c r="A4265" i="30"/>
  <c r="A4258" i="30"/>
  <c r="A4214" i="30"/>
  <c r="A4151" i="30"/>
  <c r="A4112" i="30"/>
  <c r="A4053" i="30"/>
  <c r="A4004" i="30"/>
  <c r="A3996" i="30"/>
  <c r="A3955" i="30"/>
  <c r="A3936" i="30"/>
  <c r="A3928" i="30"/>
  <c r="A3918" i="30"/>
  <c r="A3902" i="30"/>
  <c r="A3853" i="30"/>
  <c r="A3852" i="30"/>
  <c r="A3832" i="30"/>
  <c r="A3812" i="30"/>
  <c r="A3809" i="30"/>
  <c r="A3774" i="30"/>
  <c r="A3721" i="30"/>
  <c r="A3629" i="30"/>
  <c r="A3624" i="30"/>
  <c r="A3614" i="30"/>
  <c r="A3607" i="30"/>
  <c r="A3588" i="30"/>
  <c r="A3577" i="30"/>
  <c r="A3570" i="30"/>
  <c r="A3569" i="30"/>
  <c r="A3566" i="30"/>
  <c r="A3561" i="30"/>
  <c r="A3523" i="30"/>
  <c r="A3490" i="30"/>
  <c r="A3462" i="30"/>
  <c r="A3463" i="30"/>
  <c r="A3419" i="30"/>
  <c r="A3349" i="30"/>
  <c r="A3304" i="30"/>
  <c r="A3292" i="30"/>
  <c r="A3280" i="30"/>
  <c r="A3279" i="30"/>
  <c r="A3258" i="30"/>
  <c r="A3226" i="30"/>
  <c r="A3124" i="30"/>
  <c r="A3112" i="30"/>
  <c r="A3097" i="30"/>
  <c r="A3089" i="30"/>
  <c r="A3061" i="30"/>
  <c r="A3058" i="30"/>
  <c r="A3020" i="30"/>
  <c r="A2946" i="30"/>
  <c r="A2919" i="30"/>
  <c r="A2916" i="30"/>
  <c r="A2909" i="30"/>
  <c r="A2861" i="30"/>
  <c r="A2842" i="30"/>
  <c r="A2841" i="30"/>
  <c r="A2824" i="30"/>
  <c r="A2810" i="30"/>
  <c r="A2803" i="30"/>
  <c r="A2784" i="30"/>
  <c r="A2778" i="30"/>
  <c r="A2772" i="30"/>
  <c r="A2757" i="30"/>
  <c r="A2745" i="30"/>
  <c r="A2726" i="30"/>
  <c r="A2709" i="30"/>
  <c r="A2702" i="30"/>
  <c r="A2679" i="30"/>
  <c r="A2669" i="30"/>
  <c r="A2638" i="30"/>
  <c r="A2624" i="30"/>
  <c r="A2609" i="30"/>
  <c r="A2587" i="30"/>
  <c r="A2585" i="30"/>
  <c r="A2538" i="30"/>
  <c r="A2516" i="30"/>
  <c r="A2434" i="30"/>
  <c r="A2409" i="30"/>
  <c r="A2402" i="30"/>
  <c r="A2393" i="30"/>
  <c r="A2377" i="30"/>
  <c r="A2376" i="30"/>
  <c r="A2371" i="30"/>
  <c r="A2370" i="30"/>
  <c r="A2341" i="30"/>
  <c r="A2340" i="30"/>
  <c r="A2334" i="30"/>
  <c r="A2321" i="30"/>
  <c r="A2288" i="30"/>
  <c r="A2265" i="30"/>
  <c r="A2260" i="30"/>
  <c r="A2234" i="30"/>
  <c r="A2230" i="30"/>
  <c r="A2214" i="30"/>
  <c r="A2174" i="30"/>
  <c r="A2170" i="30"/>
  <c r="A2147" i="30"/>
  <c r="A2141" i="30"/>
  <c r="A2131" i="30"/>
  <c r="A2128" i="30"/>
  <c r="A2090" i="30"/>
  <c r="A2066" i="30"/>
  <c r="A2028" i="30"/>
  <c r="A2019" i="30"/>
  <c r="A1991" i="30"/>
  <c r="A1934" i="30"/>
  <c r="A1918" i="30"/>
  <c r="A1898" i="30"/>
  <c r="A1893" i="30"/>
  <c r="A1872" i="30"/>
  <c r="A1871" i="30"/>
  <c r="A1864" i="30"/>
  <c r="A1860" i="30"/>
  <c r="A1853" i="30"/>
  <c r="A1791" i="30"/>
  <c r="A1760" i="30"/>
  <c r="A1740" i="30"/>
  <c r="A1715" i="30"/>
  <c r="A1698" i="30"/>
  <c r="A1691" i="30"/>
  <c r="A1616" i="30"/>
  <c r="A1614" i="30"/>
  <c r="A1585" i="30"/>
  <c r="A1575" i="30"/>
  <c r="A1563" i="30"/>
  <c r="A1537" i="30"/>
  <c r="A1534" i="30"/>
  <c r="A1511" i="30"/>
  <c r="A1501" i="30"/>
  <c r="A1485" i="30"/>
  <c r="A1466" i="30"/>
  <c r="A1434" i="30"/>
  <c r="A1424" i="30"/>
  <c r="A1422" i="30"/>
  <c r="A1398" i="30"/>
  <c r="A1386" i="30"/>
  <c r="A1370" i="30"/>
  <c r="A1322" i="30"/>
  <c r="A1299" i="30"/>
  <c r="A1289" i="30"/>
  <c r="A1264" i="30"/>
  <c r="A1169" i="30"/>
  <c r="A1143" i="30"/>
  <c r="A1139" i="30"/>
  <c r="A1122" i="30"/>
  <c r="A1107" i="30"/>
  <c r="A1019" i="30"/>
  <c r="A944" i="30"/>
  <c r="A941" i="30"/>
  <c r="A907" i="30"/>
  <c r="A906" i="30"/>
  <c r="A898" i="30"/>
  <c r="A850" i="30"/>
  <c r="A822" i="30"/>
  <c r="A786" i="30"/>
  <c r="A773" i="30"/>
  <c r="A767" i="30"/>
  <c r="A765" i="30"/>
  <c r="A808" i="30"/>
  <c r="A645" i="30"/>
  <c r="A642" i="30"/>
  <c r="A604" i="30"/>
  <c r="A600" i="30"/>
  <c r="A594" i="30"/>
  <c r="A573" i="30"/>
  <c r="A568" i="30"/>
  <c r="A562" i="30"/>
  <c r="A561" i="30"/>
  <c r="A537" i="30"/>
  <c r="A526" i="30"/>
  <c r="A435" i="30"/>
  <c r="A413" i="30"/>
  <c r="A409" i="30"/>
  <c r="A400" i="30"/>
  <c r="A399" i="30"/>
  <c r="A395" i="30"/>
  <c r="A381" i="30"/>
  <c r="A377" i="30"/>
  <c r="A369" i="30"/>
  <c r="A333" i="30"/>
  <c r="A299" i="30"/>
  <c r="A244" i="30"/>
  <c r="A230" i="30"/>
  <c r="A225" i="30"/>
  <c r="A218" i="30"/>
  <c r="A217" i="30"/>
  <c r="A183" i="30"/>
  <c r="A133" i="30"/>
  <c r="A126" i="30"/>
  <c r="A53" i="30"/>
  <c r="A33" i="30"/>
  <c r="A66" i="30"/>
  <c r="A77" i="30"/>
  <c r="A99" i="30"/>
  <c r="A103" i="30"/>
  <c r="A113" i="30"/>
  <c r="A142" i="30"/>
  <c r="A161" i="30"/>
  <c r="A180" i="30"/>
  <c r="A182" i="30"/>
  <c r="A203" i="30"/>
  <c r="A208" i="30"/>
  <c r="A253" i="30"/>
  <c r="A254" i="30"/>
  <c r="A260" i="30"/>
  <c r="A270" i="30"/>
  <c r="A272" i="30"/>
  <c r="A284" i="30"/>
  <c r="A324" i="30"/>
  <c r="A346" i="30"/>
  <c r="A366" i="30"/>
  <c r="A367" i="30"/>
  <c r="A370" i="30"/>
  <c r="A394" i="30"/>
  <c r="A411" i="30"/>
  <c r="A420" i="30"/>
  <c r="A430" i="30"/>
  <c r="A439" i="30"/>
  <c r="A444" i="30"/>
  <c r="A473" i="30"/>
  <c r="A480" i="30"/>
  <c r="A481" i="30"/>
  <c r="A508" i="30"/>
  <c r="A540" i="30"/>
  <c r="A560" i="30"/>
  <c r="A630" i="30"/>
  <c r="A644" i="30"/>
  <c r="A677" i="30"/>
  <c r="A678" i="30"/>
  <c r="A691" i="30"/>
  <c r="A701" i="30"/>
  <c r="A704" i="30"/>
  <c r="A708" i="30"/>
  <c r="A751" i="30"/>
  <c r="A761" i="30"/>
  <c r="A782" i="30"/>
  <c r="A807" i="30"/>
  <c r="A819" i="30"/>
  <c r="A820" i="30"/>
  <c r="A841" i="30"/>
  <c r="A842" i="30"/>
  <c r="A849" i="30"/>
  <c r="A851" i="30"/>
  <c r="A881" i="30"/>
  <c r="A921" i="30"/>
  <c r="A945" i="30"/>
  <c r="A970" i="30"/>
  <c r="A1016" i="30"/>
  <c r="A1027" i="30"/>
  <c r="A1037" i="30"/>
  <c r="A1085" i="30"/>
  <c r="A1121" i="30"/>
  <c r="A1130" i="30"/>
  <c r="A1134" i="30"/>
  <c r="A1138" i="30"/>
  <c r="A1173" i="30"/>
  <c r="A1180" i="30"/>
  <c r="A1200" i="30"/>
  <c r="A1203" i="30"/>
  <c r="A1240" i="30"/>
  <c r="A1243" i="30"/>
  <c r="A1257" i="30"/>
  <c r="A1266" i="30"/>
  <c r="A1270" i="30"/>
  <c r="A1276" i="30"/>
  <c r="A1277" i="30"/>
  <c r="A1324" i="30"/>
  <c r="A1350" i="30"/>
  <c r="A1354" i="30"/>
  <c r="A1356" i="30"/>
  <c r="A1394" i="30"/>
  <c r="A1400" i="30"/>
  <c r="A1420" i="30"/>
  <c r="A1431" i="30"/>
  <c r="A1448" i="30"/>
  <c r="A1463" i="30"/>
  <c r="A1486" i="30"/>
  <c r="A1500" i="30"/>
  <c r="A1502" i="30"/>
  <c r="A1509" i="30"/>
  <c r="A1518" i="30"/>
  <c r="A1523" i="30"/>
  <c r="A1543" i="30"/>
  <c r="A1571" i="30"/>
  <c r="A1572" i="30"/>
  <c r="A1595" i="30"/>
  <c r="A1602" i="30"/>
  <c r="A1603" i="30"/>
  <c r="A1613" i="30"/>
  <c r="A1664" i="30"/>
  <c r="A1666" i="30"/>
  <c r="A1683" i="30"/>
  <c r="A1692" i="30"/>
  <c r="A1707" i="30"/>
  <c r="A1711" i="30"/>
  <c r="A1728" i="30"/>
  <c r="A1751" i="30"/>
  <c r="A1828" i="30"/>
  <c r="A1857" i="30"/>
  <c r="A1862" i="30"/>
  <c r="A1877" i="30"/>
  <c r="A1878" i="30"/>
  <c r="A1912" i="30"/>
  <c r="A1914" i="30"/>
  <c r="A1941" i="30"/>
  <c r="A1944" i="30"/>
  <c r="A1950" i="30"/>
  <c r="A1957" i="30"/>
  <c r="A1961" i="30"/>
  <c r="A1981" i="30"/>
  <c r="A2000" i="30"/>
  <c r="A2018" i="30"/>
  <c r="A2025" i="30"/>
  <c r="A2039" i="30"/>
  <c r="A2040" i="30"/>
  <c r="A2069" i="30"/>
  <c r="A2070" i="30"/>
  <c r="A2110" i="30"/>
  <c r="A2118" i="30"/>
  <c r="A2151" i="30"/>
  <c r="A2180" i="30"/>
  <c r="A2194" i="30"/>
  <c r="A2209" i="30"/>
  <c r="A2251" i="30"/>
  <c r="A2253" i="30"/>
  <c r="A2262" i="30"/>
  <c r="A2273" i="30"/>
  <c r="A2276" i="30"/>
  <c r="A2279" i="30"/>
  <c r="A2300" i="30"/>
  <c r="A2315" i="30"/>
  <c r="A2317" i="30"/>
  <c r="A2325" i="30"/>
  <c r="A2379" i="30"/>
  <c r="A2383" i="30"/>
  <c r="A2391" i="30"/>
  <c r="A2412" i="30"/>
  <c r="A2413" i="30"/>
  <c r="A2459" i="30"/>
  <c r="A2482" i="30"/>
  <c r="A2512" i="30"/>
  <c r="A2518" i="30"/>
  <c r="A2523" i="30"/>
  <c r="A2539" i="30"/>
  <c r="A2553" i="30"/>
  <c r="A2582" i="30"/>
  <c r="A2599" i="30"/>
  <c r="A2647" i="30"/>
  <c r="A2655" i="30"/>
  <c r="A2659" i="30"/>
  <c r="A2666" i="30"/>
  <c r="A2685" i="30"/>
  <c r="A2695" i="30"/>
  <c r="A2724" i="30"/>
  <c r="A2731" i="30"/>
  <c r="A2732" i="30"/>
  <c r="A2750" i="30"/>
  <c r="A2753" i="30"/>
  <c r="A2754" i="30"/>
  <c r="A2756" i="30"/>
  <c r="A2771" i="30"/>
  <c r="A2793" i="30"/>
  <c r="A2897" i="30"/>
  <c r="A2924" i="30"/>
  <c r="A2937" i="30"/>
  <c r="A2941" i="30"/>
  <c r="A2952" i="30"/>
  <c r="A2977" i="30"/>
  <c r="A2994" i="30"/>
  <c r="A3014" i="30"/>
  <c r="A3021" i="30"/>
  <c r="A3031" i="30"/>
  <c r="A3032" i="30"/>
  <c r="A3052" i="30"/>
  <c r="A3053" i="30"/>
  <c r="A3078" i="30"/>
  <c r="A3083" i="30"/>
  <c r="A3116" i="30"/>
  <c r="A3129" i="30"/>
  <c r="A3133" i="30"/>
  <c r="A3165" i="30"/>
  <c r="A3172" i="30"/>
  <c r="A3173" i="30"/>
  <c r="A3194" i="30"/>
  <c r="A3203" i="30"/>
  <c r="A3218" i="30"/>
  <c r="A3221" i="30"/>
  <c r="A3231" i="30"/>
  <c r="A3262" i="30"/>
  <c r="A3271" i="30"/>
  <c r="A3389" i="30"/>
  <c r="A3413" i="30"/>
  <c r="A3428" i="30"/>
  <c r="A3452" i="30"/>
  <c r="A3465" i="30"/>
  <c r="A3473" i="30"/>
  <c r="A3477" i="30"/>
  <c r="A3527" i="30"/>
  <c r="A3529" i="30"/>
  <c r="A3555" i="30"/>
  <c r="A3600" i="30"/>
  <c r="A3604" i="30"/>
  <c r="A3640" i="30"/>
  <c r="A3653" i="30"/>
  <c r="A3669" i="30"/>
  <c r="A3682" i="30"/>
  <c r="A3690" i="30"/>
  <c r="A3705" i="30"/>
  <c r="A3712" i="30"/>
  <c r="A3716" i="30"/>
  <c r="A3723" i="30"/>
  <c r="A3739" i="30"/>
  <c r="A3747" i="30"/>
  <c r="A3753" i="30"/>
  <c r="A3756" i="30"/>
  <c r="A3782" i="30"/>
  <c r="A3813" i="30"/>
  <c r="A3837" i="30"/>
  <c r="A3860" i="30"/>
  <c r="A3881" i="30"/>
  <c r="A3886" i="30"/>
  <c r="A3894" i="30"/>
  <c r="A3912" i="30"/>
  <c r="A3946" i="30"/>
  <c r="A3965" i="30"/>
  <c r="A3983" i="30"/>
  <c r="A4029" i="30"/>
  <c r="A4062" i="30"/>
  <c r="A4082" i="30"/>
  <c r="A4091" i="30"/>
  <c r="A4094" i="30"/>
  <c r="A4099" i="30"/>
  <c r="A4100" i="30"/>
  <c r="A4115" i="30"/>
  <c r="A4117" i="30"/>
  <c r="A4140" i="30"/>
  <c r="A4160" i="30"/>
  <c r="A4188" i="30"/>
  <c r="A4190" i="30"/>
  <c r="A4206" i="30"/>
  <c r="A4261" i="30"/>
  <c r="A4263" i="30"/>
  <c r="A4293" i="30"/>
  <c r="A4309" i="30"/>
  <c r="A4335" i="30"/>
  <c r="A4353" i="30"/>
  <c r="A4360" i="30"/>
  <c r="A4364" i="30"/>
  <c r="A4381" i="30"/>
  <c r="A4400" i="30"/>
  <c r="A4409" i="30"/>
  <c r="A4411" i="30"/>
  <c r="A4439" i="30"/>
  <c r="A4466" i="30"/>
  <c r="A4467" i="30"/>
  <c r="A4500" i="30"/>
  <c r="A4526" i="30"/>
  <c r="A4527" i="30"/>
  <c r="A4536" i="30"/>
  <c r="A4557" i="30"/>
  <c r="A4580" i="30"/>
  <c r="A4587" i="30"/>
  <c r="A4588" i="30"/>
  <c r="A4608" i="30"/>
  <c r="A4645" i="30"/>
  <c r="A4675" i="30"/>
  <c r="A4677" i="30"/>
  <c r="A4684" i="30"/>
  <c r="A4687" i="30"/>
  <c r="A4741" i="30"/>
  <c r="A4749" i="30"/>
  <c r="A4759" i="30"/>
  <c r="A4805" i="30"/>
  <c r="A4853" i="30"/>
  <c r="A4879" i="30"/>
  <c r="A4881" i="30"/>
  <c r="A4931" i="30"/>
  <c r="A4978" i="30"/>
  <c r="A4987" i="30"/>
  <c r="A4996" i="30"/>
  <c r="A5023" i="30"/>
  <c r="A5104" i="30"/>
  <c r="A5120" i="30"/>
  <c r="A5121" i="30"/>
  <c r="A5122" i="30"/>
  <c r="A5126" i="30"/>
  <c r="A5129" i="30"/>
  <c r="A5151" i="30"/>
  <c r="A5150" i="30"/>
  <c r="A5180" i="30"/>
  <c r="A5184" i="30"/>
  <c r="A5189" i="30"/>
  <c r="A5224" i="30"/>
  <c r="A5264" i="30"/>
  <c r="A5273" i="30"/>
  <c r="A5280" i="30"/>
  <c r="A5297" i="30"/>
  <c r="A5337" i="30"/>
  <c r="A5365" i="30"/>
  <c r="A5404" i="30"/>
  <c r="A5413" i="30"/>
  <c r="A5432" i="30"/>
  <c r="A5437" i="30"/>
  <c r="A5489" i="30"/>
  <c r="A5509" i="30"/>
  <c r="A25" i="30"/>
  <c r="C1662" i="18"/>
  <c r="C1661" i="18"/>
  <c r="C1660" i="18"/>
  <c r="C1659" i="18"/>
  <c r="C1658" i="18"/>
  <c r="C1657" i="18"/>
  <c r="C1656" i="18"/>
  <c r="C1655" i="18"/>
  <c r="C1654" i="18"/>
  <c r="C1653" i="18"/>
  <c r="C1652" i="18"/>
  <c r="C1651" i="18"/>
  <c r="C1650" i="18"/>
  <c r="C1649" i="18"/>
  <c r="C1648" i="18"/>
  <c r="C1647" i="18"/>
  <c r="C1646" i="18"/>
  <c r="C1645" i="18"/>
  <c r="C1644" i="18"/>
  <c r="C1643" i="18"/>
  <c r="C1642" i="18"/>
  <c r="C1641" i="18"/>
  <c r="C1640" i="18"/>
  <c r="C1639" i="18"/>
  <c r="C1638" i="18"/>
  <c r="C1637" i="18"/>
  <c r="C1691" i="18"/>
  <c r="C1690" i="18"/>
  <c r="C1689" i="18"/>
  <c r="C1688" i="18"/>
  <c r="C1687" i="18"/>
  <c r="C1686" i="18"/>
  <c r="C1685" i="18"/>
  <c r="C1684" i="18"/>
  <c r="C1683" i="18"/>
  <c r="C1682" i="18"/>
  <c r="C1681" i="18"/>
  <c r="C1680" i="18"/>
  <c r="C1679" i="18"/>
  <c r="C1678" i="18"/>
  <c r="C1677" i="18"/>
  <c r="C1676" i="18"/>
  <c r="C1675" i="18"/>
  <c r="C1674" i="18"/>
  <c r="C1673" i="18"/>
  <c r="C1672" i="18"/>
  <c r="C1671" i="18"/>
  <c r="C1670" i="18"/>
  <c r="C1636" i="18"/>
  <c r="C1635" i="18"/>
  <c r="C1634" i="18"/>
  <c r="C1630" i="18"/>
  <c r="C1629" i="18"/>
  <c r="C1628" i="18"/>
  <c r="C1627" i="18"/>
  <c r="C1626" i="18"/>
  <c r="C1625" i="18"/>
  <c r="C1624" i="18"/>
  <c r="C1623" i="18"/>
  <c r="C1622" i="18"/>
  <c r="C1621" i="18"/>
  <c r="C1620" i="18"/>
  <c r="C1619" i="18"/>
  <c r="C1618" i="18"/>
  <c r="C1617" i="18"/>
  <c r="C1616" i="18"/>
  <c r="C1615" i="18"/>
  <c r="C1614" i="18"/>
  <c r="C1613" i="18"/>
  <c r="C1612" i="18"/>
  <c r="C1611" i="18"/>
  <c r="C1610" i="18"/>
  <c r="C1609" i="18"/>
  <c r="C1608" i="18"/>
  <c r="C1607" i="18"/>
  <c r="C1606" i="18"/>
  <c r="C1605" i="18"/>
  <c r="C1604" i="18"/>
  <c r="C1603" i="18"/>
  <c r="C1602" i="18"/>
  <c r="C1601" i="18"/>
  <c r="C1491" i="18"/>
  <c r="C1492" i="18"/>
  <c r="C1493" i="18"/>
  <c r="C1494" i="18"/>
  <c r="C1495" i="18"/>
  <c r="C1496" i="18"/>
  <c r="C1497" i="18"/>
  <c r="C1498" i="18"/>
  <c r="C1499" i="18"/>
  <c r="C1500" i="18"/>
  <c r="C1501" i="18"/>
  <c r="C1502" i="18"/>
  <c r="C1503" i="18"/>
  <c r="C1504" i="18"/>
  <c r="C1505" i="18"/>
  <c r="C1506" i="18"/>
  <c r="C1507" i="18"/>
  <c r="C1508" i="18"/>
  <c r="C1509" i="18"/>
  <c r="C1510" i="18"/>
  <c r="C1511" i="18"/>
  <c r="C1512" i="18"/>
  <c r="C1513" i="18"/>
  <c r="C1514" i="18"/>
  <c r="C1515" i="18"/>
  <c r="C1516" i="18"/>
  <c r="C1517" i="18"/>
  <c r="C1518" i="18"/>
  <c r="C1519" i="18"/>
  <c r="C1520" i="18"/>
  <c r="C1521" i="18"/>
  <c r="C1522" i="18"/>
  <c r="C1523" i="18"/>
  <c r="C1524" i="18"/>
  <c r="C1525" i="18"/>
  <c r="C1526" i="18"/>
  <c r="C1527" i="18"/>
  <c r="C1528" i="18"/>
  <c r="C1529" i="18"/>
  <c r="C1530" i="18"/>
  <c r="C1531" i="18"/>
  <c r="C1532" i="18"/>
  <c r="C1533" i="18"/>
  <c r="C1534" i="18"/>
  <c r="C1535" i="18"/>
  <c r="C1536" i="18"/>
  <c r="C1537" i="18"/>
  <c r="C1538" i="18"/>
  <c r="C1539" i="18"/>
  <c r="C1540" i="18"/>
  <c r="C1541" i="18"/>
  <c r="C1542" i="18"/>
  <c r="C1543" i="18"/>
  <c r="C1544" i="18"/>
  <c r="C1545" i="18"/>
  <c r="C1546" i="18"/>
  <c r="C1547" i="18"/>
  <c r="C1548" i="18"/>
  <c r="C1549" i="18"/>
  <c r="C1550" i="18"/>
  <c r="C1551" i="18"/>
  <c r="C1552" i="18"/>
  <c r="C1553" i="18"/>
  <c r="C1554" i="18"/>
  <c r="C1555" i="18"/>
  <c r="C1556" i="18"/>
  <c r="C1557" i="18"/>
  <c r="C1558" i="18"/>
  <c r="C1559" i="18"/>
  <c r="C1560" i="18"/>
  <c r="C1561" i="18"/>
  <c r="C1562" i="18"/>
  <c r="C1563" i="18"/>
  <c r="C1564" i="18"/>
  <c r="C1565" i="18"/>
  <c r="C1566" i="18"/>
  <c r="C1567" i="18"/>
  <c r="C1568" i="18"/>
  <c r="C1569" i="18"/>
  <c r="C1570" i="18"/>
  <c r="C1571" i="18"/>
  <c r="C1572" i="18"/>
  <c r="C1573" i="18"/>
  <c r="C1574" i="18"/>
  <c r="C1575" i="18"/>
  <c r="C1576" i="18"/>
  <c r="C1577" i="18"/>
  <c r="C1578" i="18"/>
  <c r="C1579" i="18"/>
  <c r="C1580" i="18"/>
  <c r="C1581" i="18"/>
  <c r="C1582" i="18"/>
  <c r="C1583" i="18"/>
  <c r="C1584" i="18"/>
  <c r="C1585" i="18"/>
  <c r="C1586" i="18"/>
  <c r="C1587" i="18"/>
  <c r="C1588" i="18"/>
  <c r="C1589" i="18"/>
  <c r="C1590" i="18"/>
  <c r="C1591" i="18"/>
  <c r="C1592" i="18"/>
  <c r="C1593" i="18"/>
  <c r="C1594" i="18"/>
  <c r="C1595" i="18"/>
  <c r="C1596" i="18"/>
  <c r="C1597" i="18"/>
  <c r="C1598" i="18"/>
  <c r="C1599" i="18"/>
  <c r="C1600" i="18"/>
  <c r="B6" i="25"/>
  <c r="B37" i="25" s="1"/>
  <c r="D40" i="25" l="1"/>
  <c r="F18" i="26"/>
  <c r="F28" i="26" s="1"/>
  <c r="F19" i="26"/>
  <c r="F27" i="26" l="1"/>
  <c r="B18" i="26"/>
  <c r="B28" i="26" l="1"/>
  <c r="B27" i="26"/>
  <c r="D6" i="26"/>
  <c r="E6" i="26" s="1"/>
  <c r="F6" i="26" s="1"/>
  <c r="G6" i="26" s="1"/>
  <c r="H6" i="26" s="1"/>
  <c r="I6" i="26" s="1"/>
  <c r="J6" i="26" s="1"/>
  <c r="K6" i="26" s="1"/>
  <c r="L6" i="26" s="1"/>
  <c r="M6" i="26" s="1"/>
  <c r="N6" i="26" s="1"/>
  <c r="O6" i="26" s="1"/>
  <c r="P6" i="26" s="1"/>
  <c r="Q6" i="26" s="1"/>
  <c r="R6" i="26" s="1"/>
  <c r="S6" i="26" s="1"/>
  <c r="T6" i="26" s="1"/>
  <c r="U6" i="26" s="1"/>
  <c r="M14" i="25" l="1" a="1"/>
  <c r="M14" i="25" s="1"/>
  <c r="AC13" i="25"/>
  <c r="F2" i="25"/>
  <c r="B24" i="26" l="1"/>
  <c r="B23" i="26"/>
  <c r="U22" i="26"/>
  <c r="T22" i="26"/>
  <c r="S22" i="26"/>
  <c r="R22" i="26"/>
  <c r="Q22" i="26"/>
  <c r="P22" i="26"/>
  <c r="O22" i="26"/>
  <c r="N22" i="26"/>
  <c r="M22" i="26"/>
  <c r="L22" i="26"/>
  <c r="K22" i="26"/>
  <c r="J22" i="26"/>
  <c r="I22" i="26"/>
  <c r="H22" i="26"/>
  <c r="G22" i="26"/>
  <c r="F22" i="26"/>
  <c r="E22" i="26"/>
  <c r="D22" i="26"/>
  <c r="C22" i="26"/>
  <c r="B22" i="26"/>
  <c r="U21" i="26"/>
  <c r="T21" i="26"/>
  <c r="S21" i="26"/>
  <c r="R21" i="26"/>
  <c r="Q21" i="26"/>
  <c r="P21" i="26"/>
  <c r="O21" i="26"/>
  <c r="N21" i="26"/>
  <c r="M21" i="26"/>
  <c r="L21" i="26"/>
  <c r="K21" i="26"/>
  <c r="J21" i="26"/>
  <c r="I21" i="26"/>
  <c r="H21" i="26"/>
  <c r="G21" i="26"/>
  <c r="F21" i="26"/>
  <c r="E21" i="26"/>
  <c r="D21" i="26"/>
  <c r="C21" i="26"/>
  <c r="B21" i="26"/>
  <c r="U24" i="26"/>
  <c r="T24" i="26"/>
  <c r="S24" i="26"/>
  <c r="R24" i="26"/>
  <c r="Q24" i="26"/>
  <c r="P24" i="26"/>
  <c r="O24" i="26"/>
  <c r="N24" i="26"/>
  <c r="M24" i="26"/>
  <c r="L24" i="26"/>
  <c r="K24" i="26"/>
  <c r="J24" i="26"/>
  <c r="I24" i="26"/>
  <c r="H24" i="26"/>
  <c r="G24" i="26"/>
  <c r="F24" i="26"/>
  <c r="E24" i="26"/>
  <c r="D24" i="26"/>
  <c r="C24" i="26"/>
  <c r="U23" i="26"/>
  <c r="T23" i="26"/>
  <c r="S23" i="26"/>
  <c r="R23" i="26"/>
  <c r="Q23" i="26"/>
  <c r="P23" i="26"/>
  <c r="O23" i="26"/>
  <c r="N23" i="26"/>
  <c r="M23" i="26"/>
  <c r="L23" i="26"/>
  <c r="K23" i="26"/>
  <c r="J23" i="26"/>
  <c r="I23" i="26"/>
  <c r="H23" i="26"/>
  <c r="G23" i="26"/>
  <c r="F23" i="26"/>
  <c r="E23" i="26"/>
  <c r="D23" i="26"/>
  <c r="C23" i="26"/>
  <c r="U20" i="26"/>
  <c r="T20" i="26"/>
  <c r="S20" i="26"/>
  <c r="R20" i="26"/>
  <c r="Q20" i="26"/>
  <c r="P20" i="26"/>
  <c r="O20" i="26"/>
  <c r="N20" i="26"/>
  <c r="M20" i="26"/>
  <c r="L20" i="26"/>
  <c r="K20" i="26"/>
  <c r="J20" i="26"/>
  <c r="I20" i="26"/>
  <c r="H20" i="26"/>
  <c r="G20" i="26"/>
  <c r="F20" i="26"/>
  <c r="E20" i="26"/>
  <c r="D20" i="26"/>
  <c r="C20" i="26"/>
  <c r="U19" i="26"/>
  <c r="T19" i="26"/>
  <c r="S19" i="26"/>
  <c r="R19" i="26"/>
  <c r="Q19" i="26"/>
  <c r="P19" i="26"/>
  <c r="O19" i="26"/>
  <c r="N19" i="26"/>
  <c r="M19" i="26"/>
  <c r="L19" i="26"/>
  <c r="K19" i="26"/>
  <c r="J19" i="26"/>
  <c r="I19" i="26"/>
  <c r="H19" i="26"/>
  <c r="G19" i="26"/>
  <c r="E19" i="26"/>
  <c r="D19" i="26"/>
  <c r="C19" i="26"/>
  <c r="B20" i="26"/>
  <c r="B19" i="26"/>
  <c r="U18" i="26"/>
  <c r="U28" i="26" s="1"/>
  <c r="T18" i="26"/>
  <c r="T28" i="26" s="1"/>
  <c r="S18" i="26"/>
  <c r="S28" i="26" s="1"/>
  <c r="R18" i="26"/>
  <c r="R28" i="26" s="1"/>
  <c r="Q18" i="26"/>
  <c r="Q28" i="26" s="1"/>
  <c r="P18" i="26"/>
  <c r="P28" i="26" s="1"/>
  <c r="O18" i="26"/>
  <c r="O28" i="26" s="1"/>
  <c r="N18" i="26"/>
  <c r="N28" i="26" s="1"/>
  <c r="M18" i="26"/>
  <c r="M28" i="26" s="1"/>
  <c r="L18" i="26"/>
  <c r="L28" i="26" s="1"/>
  <c r="K18" i="26"/>
  <c r="K28" i="26" s="1"/>
  <c r="J18" i="26"/>
  <c r="J28" i="26" s="1"/>
  <c r="I18" i="26"/>
  <c r="I28" i="26" s="1"/>
  <c r="H18" i="26"/>
  <c r="H28" i="26" s="1"/>
  <c r="G18" i="26"/>
  <c r="G28" i="26" s="1"/>
  <c r="E18" i="26"/>
  <c r="E28" i="26" s="1"/>
  <c r="D18" i="26"/>
  <c r="D28" i="26" s="1"/>
  <c r="C18" i="26"/>
  <c r="C28" i="26" s="1"/>
  <c r="L25" i="25" l="1"/>
  <c r="D25" i="25" s="1"/>
  <c r="L29" i="25"/>
  <c r="D29" i="25" s="1"/>
  <c r="L33" i="25"/>
  <c r="D33" i="25" s="1"/>
  <c r="L26" i="25"/>
  <c r="D26" i="25" s="1"/>
  <c r="L30" i="25"/>
  <c r="D30" i="25" s="1"/>
  <c r="L24" i="25"/>
  <c r="D24" i="25" s="1"/>
  <c r="L28" i="25"/>
  <c r="D28" i="25" s="1"/>
  <c r="L32" i="25"/>
  <c r="D32" i="25" s="1"/>
  <c r="L23" i="25"/>
  <c r="D23" i="25" s="1"/>
  <c r="L27" i="25"/>
  <c r="D27" i="25" s="1"/>
  <c r="L31" i="25"/>
  <c r="D31" i="25" s="1"/>
  <c r="J27" i="26"/>
  <c r="N27" i="26"/>
  <c r="R27" i="26"/>
  <c r="C27" i="26"/>
  <c r="G27" i="26"/>
  <c r="K27" i="26"/>
  <c r="O27" i="26"/>
  <c r="S27" i="26"/>
  <c r="D27" i="26"/>
  <c r="H27" i="26"/>
  <c r="L27" i="26"/>
  <c r="P27" i="26"/>
  <c r="T27" i="26"/>
  <c r="E27" i="26"/>
  <c r="I27" i="26"/>
  <c r="M27" i="26"/>
  <c r="Q27" i="26"/>
  <c r="U27" i="26"/>
  <c r="B26" i="26"/>
  <c r="F26" i="26"/>
  <c r="J26" i="26"/>
  <c r="N26" i="26"/>
  <c r="R26" i="26"/>
  <c r="D26" i="26"/>
  <c r="T26" i="26"/>
  <c r="G26" i="26"/>
  <c r="K26" i="26"/>
  <c r="O26" i="26"/>
  <c r="S26" i="26"/>
  <c r="E26" i="26"/>
  <c r="I26" i="26"/>
  <c r="M26" i="26"/>
  <c r="Q26" i="26"/>
  <c r="U26" i="26"/>
  <c r="C26" i="26"/>
  <c r="H26" i="26"/>
  <c r="L26" i="26"/>
  <c r="P26" i="26"/>
  <c r="N23" i="25" l="1"/>
  <c r="E23" i="25" s="1"/>
  <c r="P25" i="25"/>
  <c r="V25" i="25" s="1"/>
  <c r="S33" i="25"/>
  <c r="Y33" i="25" s="1"/>
  <c r="B28" i="25"/>
  <c r="B31" i="25"/>
  <c r="B33" i="25"/>
  <c r="AB33" i="25"/>
  <c r="G33" i="25" s="1"/>
  <c r="N25" i="25"/>
  <c r="E25" i="25" s="1"/>
  <c r="AA28" i="25"/>
  <c r="O31" i="25"/>
  <c r="N26" i="25"/>
  <c r="E26" i="25" s="1"/>
  <c r="AF27" i="25"/>
  <c r="P32" i="25"/>
  <c r="V32" i="25" s="1"/>
  <c r="B24" i="25"/>
  <c r="AB29" i="25"/>
  <c r="G29" i="25" s="1"/>
  <c r="S24" i="25"/>
  <c r="Y24" i="25" s="1"/>
  <c r="B32" i="25"/>
  <c r="B23" i="25"/>
  <c r="O29" i="25"/>
  <c r="AB32" i="25"/>
  <c r="G32" i="25" s="1"/>
  <c r="N27" i="25"/>
  <c r="E27" i="25" s="1"/>
  <c r="AF28" i="25"/>
  <c r="S28" i="25"/>
  <c r="Y28" i="25" s="1"/>
  <c r="S29" i="25"/>
  <c r="Y29" i="25" s="1"/>
  <c r="B25" i="25"/>
  <c r="AA25" i="25"/>
  <c r="AA24" i="25"/>
  <c r="N30" i="25"/>
  <c r="E30" i="25" s="1"/>
  <c r="AF26" i="25"/>
  <c r="Q24" i="25"/>
  <c r="W24" i="25" s="1"/>
  <c r="T27" i="25"/>
  <c r="Z27" i="25" s="1"/>
  <c r="B27" i="25"/>
  <c r="B29" i="25"/>
  <c r="N33" i="25"/>
  <c r="E33" i="25" s="1"/>
  <c r="N29" i="25"/>
  <c r="E29" i="25" s="1"/>
  <c r="O25" i="25"/>
  <c r="N28" i="25"/>
  <c r="E28" i="25" s="1"/>
  <c r="AB31" i="25"/>
  <c r="G31" i="25" s="1"/>
  <c r="AB23" i="25"/>
  <c r="G23" i="25" s="1"/>
  <c r="AA26" i="25"/>
  <c r="AF29" i="25"/>
  <c r="Q32" i="25"/>
  <c r="W32" i="25" s="1"/>
  <c r="P24" i="25"/>
  <c r="V24" i="25" s="1"/>
  <c r="R31" i="25"/>
  <c r="X31" i="25" s="1"/>
  <c r="R30" i="25"/>
  <c r="X30" i="25" s="1"/>
  <c r="B30" i="25"/>
  <c r="AA33" i="25"/>
  <c r="AA29" i="25"/>
  <c r="AB25" i="25"/>
  <c r="G25" i="25" s="1"/>
  <c r="N32" i="25"/>
  <c r="E32" i="25" s="1"/>
  <c r="N24" i="25"/>
  <c r="E24" i="25" s="1"/>
  <c r="AB27" i="25"/>
  <c r="G27" i="25" s="1"/>
  <c r="AA30" i="25"/>
  <c r="AF33" i="25"/>
  <c r="S32" i="25"/>
  <c r="Y32" i="25" s="1"/>
  <c r="T28" i="25"/>
  <c r="Z28" i="25" s="1"/>
  <c r="R25" i="25"/>
  <c r="X25" i="25" s="1"/>
  <c r="T23" i="25"/>
  <c r="Z23" i="25" s="1"/>
  <c r="T31" i="25"/>
  <c r="Z31" i="25" s="1"/>
  <c r="R23" i="25"/>
  <c r="X23" i="25" s="1"/>
  <c r="T33" i="25"/>
  <c r="Z33" i="25" s="1"/>
  <c r="S31" i="25"/>
  <c r="Y31" i="25" s="1"/>
  <c r="S23" i="25"/>
  <c r="Y23" i="25" s="1"/>
  <c r="Q30" i="25"/>
  <c r="W30" i="25" s="1"/>
  <c r="S26" i="25"/>
  <c r="Y26" i="25" s="1"/>
  <c r="O32" i="25"/>
  <c r="AB28" i="25"/>
  <c r="G28" i="25" s="1"/>
  <c r="AB24" i="25"/>
  <c r="G24" i="25" s="1"/>
  <c r="AA31" i="25"/>
  <c r="AA27" i="25"/>
  <c r="AA23" i="25"/>
  <c r="O30" i="25"/>
  <c r="O26" i="25"/>
  <c r="AF24" i="25"/>
  <c r="AF23" i="25"/>
  <c r="AF25" i="25"/>
  <c r="T32" i="25"/>
  <c r="Z32" i="25" s="1"/>
  <c r="P28" i="25"/>
  <c r="V28" i="25" s="1"/>
  <c r="R24" i="25"/>
  <c r="X24" i="25" s="1"/>
  <c r="Q25" i="25"/>
  <c r="W25" i="25" s="1"/>
  <c r="T25" i="25"/>
  <c r="Z25" i="25" s="1"/>
  <c r="Q31" i="25"/>
  <c r="W31" i="25" s="1"/>
  <c r="Q27" i="25"/>
  <c r="W27" i="25" s="1"/>
  <c r="Q23" i="25"/>
  <c r="W23" i="25" s="1"/>
  <c r="P30" i="25"/>
  <c r="V30" i="25" s="1"/>
  <c r="S30" i="25"/>
  <c r="Y30" i="25" s="1"/>
  <c r="P33" i="25"/>
  <c r="V33" i="25" s="1"/>
  <c r="B26" i="25"/>
  <c r="O33" i="25"/>
  <c r="AA32" i="25"/>
  <c r="O28" i="25"/>
  <c r="O24" i="25"/>
  <c r="N31" i="25"/>
  <c r="E31" i="25" s="1"/>
  <c r="O27" i="25"/>
  <c r="O23" i="25"/>
  <c r="AB30" i="25"/>
  <c r="G30" i="25" s="1"/>
  <c r="AB26" i="25"/>
  <c r="G26" i="25" s="1"/>
  <c r="AF32" i="25"/>
  <c r="AG32" i="25" s="1"/>
  <c r="AF31" i="25"/>
  <c r="AF30" i="25"/>
  <c r="R32" i="25"/>
  <c r="X32" i="25" s="1"/>
  <c r="R28" i="25"/>
  <c r="X28" i="25" s="1"/>
  <c r="Q28" i="25"/>
  <c r="W28" i="25" s="1"/>
  <c r="T24" i="25"/>
  <c r="Z24" i="25" s="1"/>
  <c r="S25" i="25"/>
  <c r="Y25" i="25" s="1"/>
  <c r="P31" i="25"/>
  <c r="V31" i="25" s="1"/>
  <c r="P27" i="25"/>
  <c r="V27" i="25" s="1"/>
  <c r="P23" i="25"/>
  <c r="V23" i="25" s="1"/>
  <c r="Q29" i="25"/>
  <c r="W29" i="25" s="1"/>
  <c r="T30" i="25"/>
  <c r="Z30" i="25" s="1"/>
  <c r="Q33" i="25"/>
  <c r="W33" i="25" s="1"/>
  <c r="R27" i="25"/>
  <c r="X27" i="25" s="1"/>
  <c r="P29" i="25"/>
  <c r="V29" i="25" s="1"/>
  <c r="R33" i="25"/>
  <c r="X33" i="25" s="1"/>
  <c r="S27" i="25"/>
  <c r="Y27" i="25" s="1"/>
  <c r="R29" i="25"/>
  <c r="X29" i="25" s="1"/>
  <c r="T29" i="25"/>
  <c r="Z29" i="25" s="1"/>
  <c r="T26" i="25"/>
  <c r="Z26" i="25" s="1"/>
  <c r="Q26" i="25"/>
  <c r="W26" i="25" s="1"/>
  <c r="P26" i="25"/>
  <c r="V26" i="25" s="1"/>
  <c r="R26" i="25"/>
  <c r="X26" i="25" s="1"/>
  <c r="U31" i="25"/>
  <c r="Q29" i="26"/>
  <c r="Q31" i="26" s="1"/>
  <c r="L29" i="26"/>
  <c r="L31" i="26" s="1"/>
  <c r="H29" i="26"/>
  <c r="H31" i="26" s="1"/>
  <c r="M29" i="26"/>
  <c r="M31" i="26" s="1"/>
  <c r="P29" i="26"/>
  <c r="P31" i="26" s="1"/>
  <c r="U29" i="26"/>
  <c r="U31" i="26" s="1"/>
  <c r="E29" i="26"/>
  <c r="E31" i="26" s="1"/>
  <c r="C29" i="26"/>
  <c r="C31" i="26" s="1"/>
  <c r="I29" i="26"/>
  <c r="I31" i="26" s="1"/>
  <c r="B29" i="26"/>
  <c r="B31" i="26" s="1"/>
  <c r="J29" i="26"/>
  <c r="J31" i="26" s="1"/>
  <c r="R29" i="26"/>
  <c r="R31" i="26" s="1"/>
  <c r="O29" i="26"/>
  <c r="O31" i="26" s="1"/>
  <c r="F29" i="26"/>
  <c r="F31" i="26" s="1"/>
  <c r="K29" i="26"/>
  <c r="K31" i="26" s="1"/>
  <c r="G29" i="26"/>
  <c r="G31" i="26" s="1"/>
  <c r="N29" i="26"/>
  <c r="N31" i="26" s="1"/>
  <c r="S29" i="26"/>
  <c r="S31" i="26" s="1"/>
  <c r="T29" i="26"/>
  <c r="T31" i="26" s="1"/>
  <c r="D29" i="26"/>
  <c r="D31" i="26" s="1"/>
  <c r="E1" i="25"/>
  <c r="AG25" i="25" l="1"/>
  <c r="F30" i="25"/>
  <c r="AG30" i="25"/>
  <c r="AH31" i="25"/>
  <c r="U30" i="25"/>
  <c r="AH30" i="25" s="1"/>
  <c r="C30" i="25"/>
  <c r="U24" i="25"/>
  <c r="AH24" i="25" s="1"/>
  <c r="C24" i="25"/>
  <c r="U25" i="25"/>
  <c r="AH25" i="25" s="1"/>
  <c r="C25" i="25"/>
  <c r="U29" i="25"/>
  <c r="AH29" i="25" s="1"/>
  <c r="C29" i="25"/>
  <c r="AG23" i="25"/>
  <c r="C23" i="25"/>
  <c r="U28" i="25"/>
  <c r="AH28" i="25" s="1"/>
  <c r="C28" i="25"/>
  <c r="C27" i="25"/>
  <c r="U32" i="25"/>
  <c r="AH32" i="25" s="1"/>
  <c r="C32" i="25"/>
  <c r="C31" i="25"/>
  <c r="U33" i="25"/>
  <c r="AH33" i="25" s="1"/>
  <c r="C33" i="25"/>
  <c r="C26" i="25"/>
  <c r="F32" i="25"/>
  <c r="F33" i="25"/>
  <c r="AG27" i="25"/>
  <c r="AG26" i="25"/>
  <c r="F25" i="25"/>
  <c r="F28" i="25"/>
  <c r="AG28" i="25"/>
  <c r="F24" i="25"/>
  <c r="F29" i="25"/>
  <c r="AG29" i="25"/>
  <c r="F23" i="25"/>
  <c r="F26" i="25"/>
  <c r="F27" i="25"/>
  <c r="U26" i="25"/>
  <c r="AH26" i="25" s="1"/>
  <c r="AG31" i="25"/>
  <c r="F31" i="25"/>
  <c r="U23" i="25"/>
  <c r="AH23" i="25" s="1"/>
  <c r="U27" i="25"/>
  <c r="AH27" i="25" s="1"/>
  <c r="AG33" i="25"/>
  <c r="AG24" i="25"/>
  <c r="L15" i="25"/>
  <c r="AD30" i="25"/>
  <c r="AC30" i="25" s="1"/>
  <c r="AD26" i="25"/>
  <c r="AC26" i="25" s="1"/>
  <c r="AD33" i="25"/>
  <c r="AC33" i="25" s="1"/>
  <c r="AD31" i="25"/>
  <c r="AC31" i="25" s="1"/>
  <c r="AD24" i="25"/>
  <c r="AC24" i="25" s="1"/>
  <c r="AD23" i="25"/>
  <c r="AC23" i="25" s="1"/>
  <c r="AD28" i="25"/>
  <c r="AC28" i="25" s="1"/>
  <c r="AD25" i="25"/>
  <c r="AC25" i="25" s="1"/>
  <c r="AD29" i="25"/>
  <c r="AC29" i="25" s="1"/>
  <c r="AD27" i="25"/>
  <c r="AC27" i="25" s="1"/>
  <c r="AD32" i="25"/>
  <c r="AC32" i="25" s="1"/>
  <c r="AF15" i="25" l="1"/>
  <c r="R15" i="25"/>
  <c r="X15" i="25" s="1"/>
  <c r="Q15" i="25"/>
  <c r="W15" i="25" s="1"/>
  <c r="T15" i="25"/>
  <c r="Z15" i="25" s="1"/>
  <c r="P15" i="25"/>
  <c r="V15" i="25" s="1"/>
  <c r="S15" i="25"/>
  <c r="Y15" i="25" s="1"/>
  <c r="L16" i="25"/>
  <c r="L14" i="25"/>
  <c r="AD15" i="25"/>
  <c r="AC15" i="25" s="1"/>
  <c r="AA15" i="25"/>
  <c r="AB15" i="25"/>
  <c r="G15" i="25" s="1"/>
  <c r="N15" i="25"/>
  <c r="E15" i="25" s="1"/>
  <c r="O15" i="25"/>
  <c r="L18" i="25"/>
  <c r="L17" i="25"/>
  <c r="L22" i="25"/>
  <c r="L20" i="25"/>
  <c r="L21" i="25"/>
  <c r="L19" i="25"/>
  <c r="B15" i="25"/>
  <c r="Q14" i="25" l="1"/>
  <c r="W14" i="25" s="1"/>
  <c r="C15" i="25"/>
  <c r="Q19" i="25"/>
  <c r="W19" i="25" s="1"/>
  <c r="AG15" i="25"/>
  <c r="T14" i="25"/>
  <c r="Z14" i="25" s="1"/>
  <c r="S22" i="25"/>
  <c r="Y22" i="25" s="1"/>
  <c r="R22" i="25"/>
  <c r="X22" i="25" s="1"/>
  <c r="T22" i="25"/>
  <c r="Z22" i="25" s="1"/>
  <c r="Q22" i="25"/>
  <c r="W22" i="25" s="1"/>
  <c r="P22" i="25"/>
  <c r="V22" i="25" s="1"/>
  <c r="AF19" i="25"/>
  <c r="R19" i="25"/>
  <c r="X19" i="25" s="1"/>
  <c r="S19" i="25"/>
  <c r="Y19" i="25" s="1"/>
  <c r="T19" i="25"/>
  <c r="Z19" i="25" s="1"/>
  <c r="P19" i="25"/>
  <c r="V19" i="25" s="1"/>
  <c r="AF17" i="25"/>
  <c r="T17" i="25"/>
  <c r="Z17" i="25" s="1"/>
  <c r="P17" i="25"/>
  <c r="V17" i="25" s="1"/>
  <c r="S17" i="25"/>
  <c r="Y17" i="25" s="1"/>
  <c r="R17" i="25"/>
  <c r="X17" i="25" s="1"/>
  <c r="Q17" i="25"/>
  <c r="W17" i="25" s="1"/>
  <c r="AF16" i="25"/>
  <c r="Q16" i="25"/>
  <c r="W16" i="25" s="1"/>
  <c r="T16" i="25"/>
  <c r="Z16" i="25" s="1"/>
  <c r="P16" i="25"/>
  <c r="V16" i="25" s="1"/>
  <c r="R16" i="25"/>
  <c r="X16" i="25" s="1"/>
  <c r="S16" i="25"/>
  <c r="Y16" i="25" s="1"/>
  <c r="AF21" i="25"/>
  <c r="T21" i="25"/>
  <c r="Z21" i="25" s="1"/>
  <c r="P21" i="25"/>
  <c r="V21" i="25" s="1"/>
  <c r="S21" i="25"/>
  <c r="Y21" i="25" s="1"/>
  <c r="Q21" i="25"/>
  <c r="W21" i="25" s="1"/>
  <c r="R21" i="25"/>
  <c r="X21" i="25" s="1"/>
  <c r="AF18" i="25"/>
  <c r="S18" i="25"/>
  <c r="Y18" i="25" s="1"/>
  <c r="R18" i="25"/>
  <c r="X18" i="25" s="1"/>
  <c r="P18" i="25"/>
  <c r="V18" i="25" s="1"/>
  <c r="Q18" i="25"/>
  <c r="W18" i="25" s="1"/>
  <c r="T18" i="25"/>
  <c r="Z18" i="25" s="1"/>
  <c r="AF20" i="25"/>
  <c r="Q20" i="25"/>
  <c r="W20" i="25" s="1"/>
  <c r="T20" i="25"/>
  <c r="Z20" i="25" s="1"/>
  <c r="P20" i="25"/>
  <c r="V20" i="25" s="1"/>
  <c r="S20" i="25"/>
  <c r="Y20" i="25" s="1"/>
  <c r="R20" i="25"/>
  <c r="X20" i="25" s="1"/>
  <c r="AF14" i="25"/>
  <c r="S14" i="25"/>
  <c r="Y14" i="25" s="1"/>
  <c r="O14" i="25"/>
  <c r="R14" i="25"/>
  <c r="X14" i="25" s="1"/>
  <c r="P14" i="25"/>
  <c r="V14" i="25" s="1"/>
  <c r="AD22" i="25"/>
  <c r="AC22" i="25" s="1"/>
  <c r="AF22" i="25"/>
  <c r="B14" i="25"/>
  <c r="AA14" i="25"/>
  <c r="N16" i="25"/>
  <c r="E16" i="25" s="1"/>
  <c r="B16" i="25"/>
  <c r="AB16" i="25"/>
  <c r="G16" i="25" s="1"/>
  <c r="AD14" i="25"/>
  <c r="N14" i="25"/>
  <c r="E14" i="25" s="1"/>
  <c r="O16" i="25"/>
  <c r="AB14" i="25"/>
  <c r="G14" i="25" s="1"/>
  <c r="AD16" i="25"/>
  <c r="AC16" i="25" s="1"/>
  <c r="AA16" i="25"/>
  <c r="AD19" i="25"/>
  <c r="AC19" i="25" s="1"/>
  <c r="AA19" i="25"/>
  <c r="AB19" i="25"/>
  <c r="G19" i="25" s="1"/>
  <c r="N19" i="25"/>
  <c r="E19" i="25" s="1"/>
  <c r="O19" i="25"/>
  <c r="B19" i="25"/>
  <c r="AB17" i="25"/>
  <c r="G17" i="25" s="1"/>
  <c r="N17" i="25"/>
  <c r="E17" i="25" s="1"/>
  <c r="O17" i="25"/>
  <c r="AD17" i="25"/>
  <c r="AC17" i="25" s="1"/>
  <c r="AA17" i="25"/>
  <c r="B17" i="25"/>
  <c r="F15" i="25"/>
  <c r="AD21" i="25"/>
  <c r="AC21" i="25" s="1"/>
  <c r="N21" i="25"/>
  <c r="E21" i="25" s="1"/>
  <c r="O21" i="25"/>
  <c r="AB21" i="25"/>
  <c r="G21" i="25" s="1"/>
  <c r="AA21" i="25"/>
  <c r="B21" i="25"/>
  <c r="AD18" i="25"/>
  <c r="AC18" i="25" s="1"/>
  <c r="AB18" i="25"/>
  <c r="G18" i="25" s="1"/>
  <c r="AA18" i="25"/>
  <c r="O18" i="25"/>
  <c r="N18" i="25"/>
  <c r="E18" i="25" s="1"/>
  <c r="B18" i="25"/>
  <c r="N20" i="25"/>
  <c r="E20" i="25" s="1"/>
  <c r="O20" i="25"/>
  <c r="AB20" i="25"/>
  <c r="G20" i="25" s="1"/>
  <c r="AD20" i="25"/>
  <c r="AC20" i="25" s="1"/>
  <c r="AA20" i="25"/>
  <c r="B20" i="25"/>
  <c r="U15" i="25"/>
  <c r="AH15" i="25" s="1"/>
  <c r="D15" i="25" s="1"/>
  <c r="AA22" i="25"/>
  <c r="N22" i="25"/>
  <c r="E22" i="25" s="1"/>
  <c r="O22" i="25"/>
  <c r="AB22" i="25"/>
  <c r="G22" i="25" s="1"/>
  <c r="B22" i="25"/>
  <c r="C22" i="25" l="1"/>
  <c r="C17" i="25"/>
  <c r="C19" i="25"/>
  <c r="C16" i="25"/>
  <c r="C18" i="25"/>
  <c r="C20" i="25"/>
  <c r="C21" i="25"/>
  <c r="C14" i="25"/>
  <c r="U14" i="25"/>
  <c r="AH14" i="25" s="1"/>
  <c r="AG17" i="25"/>
  <c r="AG18" i="25"/>
  <c r="AG19" i="25"/>
  <c r="AG20" i="25"/>
  <c r="AG21" i="25"/>
  <c r="AG14" i="25"/>
  <c r="AG22" i="25"/>
  <c r="AG16" i="25"/>
  <c r="F16" i="25"/>
  <c r="AC14" i="25"/>
  <c r="G34" i="25"/>
  <c r="U16" i="25"/>
  <c r="AH16" i="25" s="1"/>
  <c r="D16" i="25" s="1"/>
  <c r="F14" i="25"/>
  <c r="F18" i="25"/>
  <c r="F21" i="25"/>
  <c r="F20" i="25"/>
  <c r="F17" i="25"/>
  <c r="F19" i="25"/>
  <c r="F22" i="25"/>
  <c r="U22" i="25"/>
  <c r="AH22" i="25" s="1"/>
  <c r="D22" i="25" s="1"/>
  <c r="U19" i="25"/>
  <c r="AH19" i="25" s="1"/>
  <c r="D19" i="25" s="1"/>
  <c r="U18" i="25"/>
  <c r="AH18" i="25" s="1"/>
  <c r="D18" i="25" s="1"/>
  <c r="U20" i="25"/>
  <c r="AH20" i="25" s="1"/>
  <c r="D20" i="25" s="1"/>
  <c r="U21" i="25"/>
  <c r="AH21" i="25" s="1"/>
  <c r="D21" i="25" s="1"/>
  <c r="U17" i="25"/>
  <c r="AH17" i="25" s="1"/>
  <c r="D17" i="25" s="1"/>
  <c r="D14" i="25" l="1"/>
  <c r="B3" i="22"/>
  <c r="L3" i="22" l="1"/>
  <c r="I3" i="22"/>
  <c r="E3" i="22"/>
  <c r="F3" i="22"/>
  <c r="C3" i="22"/>
  <c r="K3" i="22"/>
  <c r="J3" i="22"/>
  <c r="H3" i="22"/>
  <c r="N3" i="22"/>
  <c r="G3" i="22"/>
  <c r="B4" i="22"/>
  <c r="D3" i="22"/>
  <c r="G4" i="22" l="1"/>
  <c r="O4" i="22"/>
  <c r="L4" i="22"/>
  <c r="M4" i="22"/>
  <c r="K4" i="22"/>
  <c r="E4" i="22"/>
  <c r="J4" i="22"/>
  <c r="I4" i="22"/>
  <c r="N4" i="22"/>
  <c r="B5" i="22"/>
  <c r="C4" i="22"/>
  <c r="D4" i="22"/>
  <c r="F4" i="22"/>
  <c r="H4" i="22"/>
  <c r="O3" i="22"/>
  <c r="C5" i="22" l="1"/>
  <c r="O5" i="22"/>
  <c r="L5" i="22"/>
  <c r="M5" i="22"/>
  <c r="N5" i="22"/>
  <c r="B6" i="22"/>
  <c r="I5" i="22"/>
  <c r="D5" i="22"/>
  <c r="F5" i="22"/>
  <c r="K5" i="22"/>
  <c r="E5" i="22"/>
  <c r="J5" i="22"/>
  <c r="H5" i="22"/>
  <c r="G5" i="22"/>
  <c r="C6" i="22" l="1"/>
  <c r="O6" i="22"/>
  <c r="L6" i="22"/>
  <c r="M6" i="22"/>
  <c r="D6" i="22"/>
  <c r="H6" i="22"/>
  <c r="I6" i="22"/>
  <c r="E6" i="22"/>
  <c r="B7" i="22"/>
  <c r="J6" i="22"/>
  <c r="G6" i="22"/>
  <c r="K6" i="22"/>
  <c r="F6" i="22"/>
  <c r="N6" i="22"/>
  <c r="M7" i="22" l="1"/>
  <c r="O7" i="22"/>
  <c r="L7" i="22"/>
  <c r="L8" i="22" s="1"/>
  <c r="H7" i="22"/>
  <c r="E7" i="22"/>
  <c r="K7" i="22"/>
  <c r="F7" i="22"/>
  <c r="N7" i="22"/>
  <c r="N8" i="22" s="1"/>
  <c r="C7" i="22"/>
  <c r="J7" i="22"/>
  <c r="I7" i="22"/>
  <c r="D7" i="22"/>
  <c r="G7" i="22"/>
  <c r="O8" i="22" l="1"/>
  <c r="M3" i="22" l="1"/>
  <c r="M8" i="2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5A6DD90-A332-402E-8794-9838254430C4}" keepAlive="1" name="Consulta - Clientes" description="Conexión a la consulta 'Clientes' en el libro." type="5" refreshedVersion="7" background="1" saveData="1">
    <dbPr connection="Provider=Microsoft.Mashup.OleDb.1;Data Source=$Workbook$;Location=Clientes;Extended Properties=&quot;&quot;" command="SELECT * FROM [Clientes]"/>
  </connection>
  <connection id="2" xr16:uid="{0B1243F8-9094-4EE3-8B56-EF3B992214BB}" keepAlive="1" name="Consulta - Clientes (2)" description="Conexión a la consulta 'Clientes (2)' en el libro." type="5" refreshedVersion="6" background="1" saveData="1">
    <dbPr connection="Provider=Microsoft.Mashup.OleDb.1;Data Source=$Workbook$;Location=&quot;Clientes (2)&quot;;Extended Properties=&quot;&quot;" command="SELECT * FROM [Clientes (2)]"/>
  </connection>
  <connection id="3" xr16:uid="{E31EEB7C-51F5-40A1-AA7D-D63F092E6880}" keepAlive="1" name="Consulta - Clientes (3)" description="Conexión a la consulta 'Clientes (3)' en el libro." type="5" refreshedVersion="7" background="1" saveData="1">
    <dbPr connection="Provider=Microsoft.Mashup.OleDb.1;Data Source=$Workbook$;Location=&quot;Clientes (3)&quot;;Extended Properties=&quot;&quot;" command="SELECT * FROM [Clientes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<sst xmlns="http://schemas.openxmlformats.org/spreadsheetml/2006/main" count="70483" uniqueCount="29286">
  <si>
    <t>Cliente</t>
  </si>
  <si>
    <t>Oferta</t>
  </si>
  <si>
    <t>Planilla Ofertas</t>
  </si>
  <si>
    <t>Item Oferta</t>
  </si>
  <si>
    <t>Alternativa a item</t>
  </si>
  <si>
    <t>Nro de Artículo Producto</t>
  </si>
  <si>
    <t>Con adicionales</t>
  </si>
  <si>
    <t>Adicional 1</t>
  </si>
  <si>
    <t>Adicional 2</t>
  </si>
  <si>
    <t>Adicional 3</t>
  </si>
  <si>
    <t>Adicional 4</t>
  </si>
  <si>
    <t>Adicional 5</t>
  </si>
  <si>
    <t>Cantidad de unidades</t>
  </si>
  <si>
    <t xml:space="preserve">Proveedor </t>
  </si>
  <si>
    <t>Precio Lista Unitario</t>
  </si>
  <si>
    <t>Precio Lista Adicional 1</t>
  </si>
  <si>
    <t>Precio Lista Adicional 2</t>
  </si>
  <si>
    <t>Precio Lista Adicional 3</t>
  </si>
  <si>
    <t>Precio Lista Adicional 4</t>
  </si>
  <si>
    <t>Precio Lista Adicional 5</t>
  </si>
  <si>
    <t>Precio Lista con Montaje</t>
  </si>
  <si>
    <t>Descuento</t>
  </si>
  <si>
    <t>Multiplicador Cliente</t>
  </si>
  <si>
    <t>Precio Venta Unitario</t>
  </si>
  <si>
    <t>Precio de venta total</t>
  </si>
  <si>
    <t>14 de Julio 175, C.P: 1427 - C.A.B.A.</t>
  </si>
  <si>
    <t>Oferta:</t>
  </si>
  <si>
    <t>Teléfono: + 54 11 4551-3343 | 4552-2874</t>
  </si>
  <si>
    <t>VAL ARG S.R.L. CUIT: 30-71537357-9</t>
  </si>
  <si>
    <t>Atn:</t>
  </si>
  <si>
    <t>Ref:</t>
  </si>
  <si>
    <t xml:space="preserve"> Por medio de la presente tenemos el agrado de cotizarles los siguientes ítems:</t>
  </si>
  <si>
    <t>Item</t>
  </si>
  <si>
    <t>Codigo</t>
  </si>
  <si>
    <t>Descripción</t>
  </si>
  <si>
    <t>Cantidad</t>
  </si>
  <si>
    <r>
      <t xml:space="preserve">Precio 
</t>
    </r>
    <r>
      <rPr>
        <sz val="10"/>
        <rFont val="Calibri"/>
        <family val="2"/>
        <scheme val="minor"/>
      </rPr>
      <t>(Unitario)</t>
    </r>
  </si>
  <si>
    <r>
      <t xml:space="preserve">Precio 
</t>
    </r>
    <r>
      <rPr>
        <sz val="10"/>
        <rFont val="Calibri"/>
        <family val="2"/>
        <scheme val="minor"/>
      </rPr>
      <t>(Total)</t>
    </r>
  </si>
  <si>
    <t>Plazo de entrega</t>
  </si>
  <si>
    <t>Descripción extra</t>
  </si>
  <si>
    <t>Check</t>
  </si>
  <si>
    <t>Pos</t>
  </si>
  <si>
    <t>Codigo 1</t>
  </si>
  <si>
    <t>Codigo 2</t>
  </si>
  <si>
    <t>Codigo 3</t>
  </si>
  <si>
    <t>Codigo 4</t>
  </si>
  <si>
    <t>Codigo 5</t>
  </si>
  <si>
    <t>Descripción 1</t>
  </si>
  <si>
    <t>Descripción 2</t>
  </si>
  <si>
    <t>Descripción 3</t>
  </si>
  <si>
    <t>Descripción 4</t>
  </si>
  <si>
    <t>Descripción 5</t>
  </si>
  <si>
    <t>Marca</t>
  </si>
  <si>
    <t>Precio</t>
  </si>
  <si>
    <t>Alt</t>
  </si>
  <si>
    <t>ADICIONALES</t>
  </si>
  <si>
    <t>Total</t>
  </si>
  <si>
    <r>
      <rPr>
        <b/>
        <u/>
        <sz val="14"/>
        <color theme="1"/>
        <rFont val="Calibri"/>
        <family val="2"/>
      </rPr>
      <t>Condiciones comerciales</t>
    </r>
    <r>
      <rPr>
        <sz val="11"/>
        <color theme="1"/>
        <rFont val="Calibri"/>
        <family val="2"/>
        <scheme val="minor"/>
      </rPr>
      <t>:</t>
    </r>
  </si>
  <si>
    <t>Validez de la oferta: 5 días.</t>
  </si>
  <si>
    <t xml:space="preserve">Lugar de entrega: </t>
  </si>
  <si>
    <t>14 de Julio 175 - Paternal. CABA</t>
  </si>
  <si>
    <t>Condición de pago:</t>
  </si>
  <si>
    <t>Si hubiere una diferencia de cambio ±3% entre la fecha real de acreditación de los fondos y la fecha de emisión de la factura, nos veremos obligados a la emisión de una nota de débito o de crédito correspondiente a dicha diferencia.</t>
  </si>
  <si>
    <t>Sin otro particular, le saluda muy atentamente</t>
  </si>
  <si>
    <t>Santiago Tejedor</t>
  </si>
  <si>
    <t>Office: + 54 (11) 4552-2874 | 4551-3343</t>
  </si>
  <si>
    <t>www.val-ar.com.ar</t>
  </si>
  <si>
    <t>ventas@val-ar.com.ar</t>
  </si>
  <si>
    <t xml:space="preserve">VAL ARG S.R.L.         </t>
  </si>
  <si>
    <t>14 de Julio 175, Ciudad Autónoma de Buenos Aires (CP 1427)</t>
  </si>
  <si>
    <t xml:space="preserve">Teléfono +54 11 4551-3343 </t>
  </si>
  <si>
    <t>Términos y Condiciones Generales de Cotización de Precios de Materiales</t>
  </si>
  <si>
    <t>General</t>
  </si>
  <si>
    <t xml:space="preserve">VAL ARG S.R.L. efectúa la provisión de acuerdo a los requerimientos del Comprador, y en ningún caso será responsable por la mala interpretación de especificaciones técnicas vinculadas al material cotizado o derivados de la presente cotización. El material cotizado deberá ser objeto de aprobación técnica por parte del comprador, interpretándose su conformidad con la orden de compra correspondiente. 
VAL ARG S.R.L. no será, bajo ninguna circunstancia, responsable ante la otra parte por lucro cesante, por las consecuencias mediatas, remotas o indirectas de los daños y perjuicios que se pudieren ocasionar con relación a la presente cotización de materiales. A todos los fines y supuestos, VAL ARG S.R.L. limita su responsabilidad en virtud de la presente al doble del monto aquí cotizado del material que originó el perjuicio.  </t>
  </si>
  <si>
    <t>Precios</t>
  </si>
  <si>
    <t>Los precios detallados en la presente cotización serán validos exclusivamente en caso de adjudicación total de los materiales y cantidades indicadas. Los precios estarán sujetos a modificación en caso de que hubiere cambios en las especificaciones, cantidades o requerimientos de los materiales aquí cotizados. 
Salvo acuerdo por escrito en caso contrario, los precios indicados en la presente cotización no incluyen condiciones especiales de pintura, embalaje, ensayos, pruebas e inspección por parte del cliente o de terceras partes.</t>
  </si>
  <si>
    <t>Aceptación</t>
  </si>
  <si>
    <t>No existirá compromiso alguno entre VAL ARG S.R.L. y el comprador, hasta que la orden sea aceptada por escrito. 
Con la aceptación por escrito de la orden de compra por parte de VAL ARG S.R.L., estos términos y condiciones, así como aquellos establecidos de común acuerdo con el comprador, constituyen un compromiso para el suministro del material descrito en la presente cotización, el cual solo podrá ser modificado por escrito.</t>
  </si>
  <si>
    <t>Pago</t>
  </si>
  <si>
    <t>Mora: La falta de pago en término de las facturas que emitiera VAL ARG S.R.L.., facultará a VAL ARG S.R.L. a reclamar el pago de un interés compensatorio equivalente a dos veces la Tasa Activa del Banco de la Nación Argentina S.A. para Operaciones de Descuento, sobre el saldo deudor, hasta que se haga efectivo el pago de las mismas.</t>
  </si>
  <si>
    <t>Garantía</t>
  </si>
  <si>
    <t>Los usos y servicios normales, quedarán establecidos a través de las especificaciones técnicas y condiciones de servicio por parte del cliente. Este material se entiende aceptado y apto para la aplicación por parte del cliente al ordenarlo.
Ninguna garantía mantendrá su vigencia para productos o componentes, que habiendo sido entregados en condiciones óptimas, hubiesen sido objeto de uso o instalación inadecuada, mal almacenados, modificados o reparados por personal no autorizado por VAL ARG S.R.L.
Todo gasto incurrido en la reparación o inspección de materiales, que estando dentro del período de garantía, hubieren resultado dañados por mal uso, mala instalación o maltrato, serán facturados al cliente en su totalidad.</t>
  </si>
  <si>
    <t>Ley y Jurisdicción</t>
  </si>
  <si>
    <t>La validez, ejecución de esta cotización y de la contratación resultante se regirá por las leyes de la República Argentina. A todos los efectos, serán competentes en forma exclusiva los Tribunales Ordinarios Nacionales en lo Comercial de la Ciudad Autónoma de Buenos Aires.</t>
  </si>
  <si>
    <t>Domicilio</t>
  </si>
  <si>
    <t>Los domicilios indicados en el encabezamiento de este instrumento se tendrán por válidos para todo tipo de emplazamientos, requerimientos y/o notificaciones judiciales o extrajudiciales que en ellos se realicen.</t>
  </si>
  <si>
    <t>Contacto</t>
  </si>
  <si>
    <t>Nombre Completo</t>
  </si>
  <si>
    <t>e-mail</t>
  </si>
  <si>
    <t>Santiago</t>
  </si>
  <si>
    <t>Juan</t>
  </si>
  <si>
    <t>Juan Ignacio Pace</t>
  </si>
  <si>
    <t>Paula</t>
  </si>
  <si>
    <t>Paula A. Rodriguez</t>
  </si>
  <si>
    <t>German</t>
  </si>
  <si>
    <t>German Acevedo</t>
  </si>
  <si>
    <t>Carolina</t>
  </si>
  <si>
    <t>Carolina Rutolo</t>
  </si>
  <si>
    <t>Material</t>
  </si>
  <si>
    <t>Tipo</t>
  </si>
  <si>
    <t>Description</t>
  </si>
  <si>
    <t>Precio_lista</t>
  </si>
  <si>
    <t>Desucento</t>
  </si>
  <si>
    <t>0090 02</t>
  </si>
  <si>
    <t>GENEBRE</t>
  </si>
  <si>
    <t>ACCESORIOS-GE</t>
  </si>
  <si>
    <t>CODO 90º INOX 316 HH - GNB Diámetro 1/4".</t>
  </si>
  <si>
    <t>0090 03</t>
  </si>
  <si>
    <t>CODO 90º INOX 316 HH - GNB Diámetro 3/8".</t>
  </si>
  <si>
    <t>ACTUADOR</t>
  </si>
  <si>
    <t>0090 04</t>
  </si>
  <si>
    <t>CODO 90º INOX 316 HH - GNB Diámetro 1/2".</t>
  </si>
  <si>
    <t>VALVULAS</t>
  </si>
  <si>
    <t>0090 05</t>
  </si>
  <si>
    <t>CODO 90º INOX 316 HH - GNB Diámetro 3/4".</t>
  </si>
  <si>
    <t>LATON</t>
  </si>
  <si>
    <t>0090 06</t>
  </si>
  <si>
    <t>CODO 90º INOX 316 HH - GNB Diámetro 1".</t>
  </si>
  <si>
    <t>MANOMETRO</t>
  </si>
  <si>
    <t>0090 07</t>
  </si>
  <si>
    <t>CODO 90º INOX 316 HH - GNB Diámetro 1 1/4".</t>
  </si>
  <si>
    <t>REPUESTOS</t>
  </si>
  <si>
    <t>0090 08</t>
  </si>
  <si>
    <t>CODO 90º INOX 316 HH - GNB Diámetro 1 1/2".</t>
  </si>
  <si>
    <t>ELECTROVALVULAS</t>
  </si>
  <si>
    <t>0090 09</t>
  </si>
  <si>
    <t>CODO 90º INOX 316 HH - GNB Diámetro 2".</t>
  </si>
  <si>
    <t>SANITARIA</t>
  </si>
  <si>
    <t>0090 10</t>
  </si>
  <si>
    <t>CODO 90º INOX 316 HH - GNB Diámetro 2 1/2".</t>
  </si>
  <si>
    <t>PRESOSTATO</t>
  </si>
  <si>
    <t>DANFOSS</t>
  </si>
  <si>
    <t>0090 11</t>
  </si>
  <si>
    <t>CODO 90º INOX 316 HH - GNB Diámetro 3".</t>
  </si>
  <si>
    <t>PVC</t>
  </si>
  <si>
    <t>ASTRAL</t>
  </si>
  <si>
    <t>0090 12</t>
  </si>
  <si>
    <t>CODO 90º INOX 316 HH - GNB Diámetro 4".</t>
  </si>
  <si>
    <t>AZUD</t>
  </si>
  <si>
    <t>0092 02</t>
  </si>
  <si>
    <t>CODO 90º INOX 316 MH - GNB Diámetro 1/4".</t>
  </si>
  <si>
    <t>CEPEX</t>
  </si>
  <si>
    <t>0092 03</t>
  </si>
  <si>
    <t>CODO 90º INOX 316 MH - GNB Diámetro 3/8".</t>
  </si>
  <si>
    <t>ERA</t>
  </si>
  <si>
    <t>0092 04</t>
  </si>
  <si>
    <t>CODO 90º INOX 316 MH - GNB Diámetro 1/2".</t>
  </si>
  <si>
    <t>OTROS</t>
  </si>
  <si>
    <t>0092 05</t>
  </si>
  <si>
    <t>CODO 90º INOX 316 MH - GNB Diámetro 3/4".</t>
  </si>
  <si>
    <t>SIN MARCA ASIGNADA</t>
  </si>
  <si>
    <t>0092 06</t>
  </si>
  <si>
    <t>CODO 90º INOX 316 MH - GNB Diámetro 1".</t>
  </si>
  <si>
    <t>PLASTICO BVI CORP</t>
  </si>
  <si>
    <t>0092 07</t>
  </si>
  <si>
    <t>CODO 90º INOX 316 MH - GNB Diámetro 1 1/4".</t>
  </si>
  <si>
    <t>RAIN BIRD</t>
  </si>
  <si>
    <t>0092 08</t>
  </si>
  <si>
    <t>CODO 90º INOX 316 MH - GNB Diámetro 1 1/2".</t>
  </si>
  <si>
    <t>SAB S.P.A.</t>
  </si>
  <si>
    <t>0092 09</t>
  </si>
  <si>
    <t>CODO 90º INOX 316 MH - GNB Diámetro 2".</t>
  </si>
  <si>
    <t>CUCHILLAS</t>
  </si>
  <si>
    <t>IF</t>
  </si>
  <si>
    <t>0092 10</t>
  </si>
  <si>
    <t>CODO 90º INOX 316 MH - GNB Diámetro 2 1/2".</t>
  </si>
  <si>
    <t>MANOMETROS</t>
  </si>
  <si>
    <t>CENI</t>
  </si>
  <si>
    <t>0092 11</t>
  </si>
  <si>
    <t>CODO 90º INOX 316 MH - GNB Diámetro 3".</t>
  </si>
  <si>
    <t>WINTERS</t>
  </si>
  <si>
    <t>0092 12</t>
  </si>
  <si>
    <t>CODO 90º INOX 316 MH - GNB Diámetro 4".</t>
  </si>
  <si>
    <t>TERMOMETRO</t>
  </si>
  <si>
    <t>0120 02</t>
  </si>
  <si>
    <t>CODO 45º INOX 316 HH - GNB Diámetro 1/4".</t>
  </si>
  <si>
    <t>TRANSMISORES</t>
  </si>
  <si>
    <t>0120 03</t>
  </si>
  <si>
    <t>CODO 45º INOX 316 HH - GNB Diámetro 3/8".</t>
  </si>
  <si>
    <t>ACCESORIOS-WINTERS</t>
  </si>
  <si>
    <t>0120 04</t>
  </si>
  <si>
    <t>CODO 45º INOX 316 HH - GNB Diámetro 1/2".</t>
  </si>
  <si>
    <t>VALV AGUJA</t>
  </si>
  <si>
    <t>0120 05</t>
  </si>
  <si>
    <t>CODO 45º INOX 316 HH - GNB Diámetro 3/4".</t>
  </si>
  <si>
    <t>0120 06</t>
  </si>
  <si>
    <t>CODO 45º INOX 316 HH - GNB Diámetro 1".</t>
  </si>
  <si>
    <t>0120 07</t>
  </si>
  <si>
    <t>CODO 45º INOX 316 HH - GNB Diámetro 1 1/4".</t>
  </si>
  <si>
    <t>0120 08</t>
  </si>
  <si>
    <t>CODO 45º INOX 316 HH - GNB Diámetro 1 1/2".</t>
  </si>
  <si>
    <t>0120 09</t>
  </si>
  <si>
    <t>CODO 45º INOX 316 HH - GNB Diámetro 2".</t>
  </si>
  <si>
    <t>0120 10</t>
  </si>
  <si>
    <t>CODO 45º INOX 316 HH - GNB Diámetro 2 1/2".</t>
  </si>
  <si>
    <t>0130 02</t>
  </si>
  <si>
    <t>TE HEMBRA INOX 316 H-H - GNB Diámetro 1/4".</t>
  </si>
  <si>
    <t>0130 03</t>
  </si>
  <si>
    <t>TE HEMBRA INOX 316 H-H - GNB Diámetro 3/8".</t>
  </si>
  <si>
    <t>0130 04</t>
  </si>
  <si>
    <t>TE HEMBRA INOX 316 H-H - GNB Diámetro 1/2".</t>
  </si>
  <si>
    <t>0130 05</t>
  </si>
  <si>
    <t>TE HEMBRA INOX 316 H-H - GNB Diámetro 3/4".</t>
  </si>
  <si>
    <t>0130 06</t>
  </si>
  <si>
    <t>TE HEMBRA INOX 316 H-H - GNB Diámetro 1".</t>
  </si>
  <si>
    <t>0130 07</t>
  </si>
  <si>
    <t>TE HEMBRA INOX 316 H-H - GNB Diámetro 1 1/4".</t>
  </si>
  <si>
    <t>0130 08</t>
  </si>
  <si>
    <t>TE HEMBRA INOX 316 H-H - GNB Diámetro 1 1/2".</t>
  </si>
  <si>
    <t>0130 09</t>
  </si>
  <si>
    <t>TE HEMBRA INOX 316 H-H - GNB Diámetro 2".</t>
  </si>
  <si>
    <t>0130 10</t>
  </si>
  <si>
    <t>TE HEMBRA INOX 316 H-H - GNB Diámetro 2 1/2".</t>
  </si>
  <si>
    <t>0130 11</t>
  </si>
  <si>
    <t>TE HEMBRA INOX 316 H-H - GNB Diámetro 3".</t>
  </si>
  <si>
    <t>0130 12</t>
  </si>
  <si>
    <t>TE HEMBRA INOX 316 H-H - GNB Diámetro 4".</t>
  </si>
  <si>
    <t>0149 02</t>
  </si>
  <si>
    <t>MEDIONIPLE INOX 316 - GNB Diámetro 1/4".</t>
  </si>
  <si>
    <t>0149 03</t>
  </si>
  <si>
    <t>MEDIONIPLE INOX 316 - GNB Diámetro 3/8".</t>
  </si>
  <si>
    <t>0149 04</t>
  </si>
  <si>
    <t>MEDIONIPLE INOX 316 - GNB Diámetro 1/2".</t>
  </si>
  <si>
    <t>0149 05</t>
  </si>
  <si>
    <t>MEDIONIPLE INOX 316 - GNB Diámetro 3/4".</t>
  </si>
  <si>
    <t>0149 06</t>
  </si>
  <si>
    <t>MEDIONIPLE INOX 316 - GNB Diámetro 1".</t>
  </si>
  <si>
    <t>0149 07</t>
  </si>
  <si>
    <t>MEDIONIPLE INOX 316 - GNB Diámetro 1 1/4".</t>
  </si>
  <si>
    <t>0149 08</t>
  </si>
  <si>
    <t>MEDIONIPLE INOX 316 - GNB Diámetro 1 1/2".</t>
  </si>
  <si>
    <t>0149 09</t>
  </si>
  <si>
    <t>MEDIONIPLE INOX 316 - GNB Diámetro 2".</t>
  </si>
  <si>
    <t>0149 10</t>
  </si>
  <si>
    <t>MEDIONIPLE INOX 316 - GNB Diámetro 2 1/2".</t>
  </si>
  <si>
    <t>0149 11</t>
  </si>
  <si>
    <t>MEDIONIPLE INOX 316 - GNB Diámetro 3".</t>
  </si>
  <si>
    <t>0149 12</t>
  </si>
  <si>
    <t>MEDIONIPLE INOX 316 - GNB Diámetro 4".</t>
  </si>
  <si>
    <t>0150 02</t>
  </si>
  <si>
    <t>NIPLE STD INOX 316 - GNB Diámetro 1/4" x  40.</t>
  </si>
  <si>
    <t>0150 03</t>
  </si>
  <si>
    <t>NIPLE STD INOX 316 - GNB Diámetro 3/8" x  40.</t>
  </si>
  <si>
    <t>0150 04</t>
  </si>
  <si>
    <t>NIPLE STD INOX 316 - GNB Diámetro 1/2" x  60.</t>
  </si>
  <si>
    <t>0150 05</t>
  </si>
  <si>
    <t>NIPLE STD INOX 316 - GNB Diámetro 3/4" x  60.</t>
  </si>
  <si>
    <t>0150 06</t>
  </si>
  <si>
    <t>NIPLE STD INOX 316 - GNB Diámetro 1" x  60.</t>
  </si>
  <si>
    <t>0150 07</t>
  </si>
  <si>
    <t>NIPLE STD INOX 316 - GNB Diámetro 1.1/4"x 80.</t>
  </si>
  <si>
    <t>0150 08</t>
  </si>
  <si>
    <t>NIPLE STD INOX 316 - GNB Diámetro 1.1/2"x 80.</t>
  </si>
  <si>
    <t>0150 09</t>
  </si>
  <si>
    <t>NIPLE STD INOX 316 - GNB Diámetro 2" x 100.</t>
  </si>
  <si>
    <t>0150 10</t>
  </si>
  <si>
    <t>NIPLE STD INOX 316 - GNB Diámetro 2.1/2"x100.</t>
  </si>
  <si>
    <t>0150 11</t>
  </si>
  <si>
    <t>NIPLE STD INOX 316 - GNB Diámetro 3" x 120.</t>
  </si>
  <si>
    <t>0150 12</t>
  </si>
  <si>
    <t>NIPLE STD INOX 316 - GNB Diámetro 4" x 150.</t>
  </si>
  <si>
    <t>0180 02</t>
  </si>
  <si>
    <t>CRUZ INOX 316 - GNB Diámetro 1/4".</t>
  </si>
  <si>
    <t>0180 03</t>
  </si>
  <si>
    <t>CRUZ INOX 316 - GNB Diámetro 3/8".</t>
  </si>
  <si>
    <t>0180 04</t>
  </si>
  <si>
    <t>CRUZ INOX 316 - GNB Diámetro 1/2".</t>
  </si>
  <si>
    <t>0180 05</t>
  </si>
  <si>
    <t>CRUZ INOX 316 - GNB Diámetro 3/4".</t>
  </si>
  <si>
    <t>0180 06</t>
  </si>
  <si>
    <t>CRUZ INOX 316 - GNB Diámetro 1".</t>
  </si>
  <si>
    <t>0180 07</t>
  </si>
  <si>
    <t>CRUZ INOX 316 - GNB Diámetro 1 1/4".</t>
  </si>
  <si>
    <t>0180 08</t>
  </si>
  <si>
    <t>CRUZ INOX 316 - GNB Diámetro 1 1/2".</t>
  </si>
  <si>
    <t>0180 09</t>
  </si>
  <si>
    <t>CRUZ INOX 316 - GNB Diámetro 2".</t>
  </si>
  <si>
    <t>0240 02</t>
  </si>
  <si>
    <t>CUPLA REDUC. INOX 316 - GNB Diámetro 1/4".</t>
  </si>
  <si>
    <t>0240 03</t>
  </si>
  <si>
    <t>CUPLA REDUC. INOX 316 - GNB Diámetro 3/8".</t>
  </si>
  <si>
    <t>0240 04</t>
  </si>
  <si>
    <t>CUPLA REDUC. INOX 316 - GNB Diámetro 1/2".</t>
  </si>
  <si>
    <t>0240 05</t>
  </si>
  <si>
    <t>CUPLA REDUC. INOX 316 - GNB Diámetro 3/4".</t>
  </si>
  <si>
    <t>0240 06</t>
  </si>
  <si>
    <t>CUPLA REDUC. INOX 316 - GNB Diámetro 1".</t>
  </si>
  <si>
    <t>0240 07</t>
  </si>
  <si>
    <t>CUPLA REDUC. INOX 316 - GNB Diámetro 1 1/4".</t>
  </si>
  <si>
    <t>0240 08</t>
  </si>
  <si>
    <t>CUPLA REDUC. INOX 316 - GNB Diámetro 1 1/2".</t>
  </si>
  <si>
    <t>0240 09</t>
  </si>
  <si>
    <t>CUPLA REDUC. INOX 316 - GNB Diámetro 2".</t>
  </si>
  <si>
    <t>0240 10</t>
  </si>
  <si>
    <t>CUPLA REDUC. INOX 316 - GNB Diámetro 2 1/2".</t>
  </si>
  <si>
    <t>0241 02</t>
  </si>
  <si>
    <t>BUJE REDUC. INOX 316 - GNB Diámetro 1/4".</t>
  </si>
  <si>
    <t>0241 03</t>
  </si>
  <si>
    <t>BUJE REDUC. INOX 316 - GNB Diámetro 3/8".</t>
  </si>
  <si>
    <t>0241 04</t>
  </si>
  <si>
    <t>BUJE REDUC. INOX 316 - GNB Diámetro 1/2".</t>
  </si>
  <si>
    <t>0241 05</t>
  </si>
  <si>
    <t>BUJE REDUC. INOX 316 - GNB Diámetro 3/4".</t>
  </si>
  <si>
    <t>0241 06</t>
  </si>
  <si>
    <t>BUJE REDUC. INOX 316 - GNB Diámetro 1".</t>
  </si>
  <si>
    <t>0241 07</t>
  </si>
  <si>
    <t>BUJE REDUC. INOX 316 - GNB Diámetro 1 1/4".</t>
  </si>
  <si>
    <t>0241 08</t>
  </si>
  <si>
    <t>BUJE REDUC. INOX 316 - GNB Diámetro 1 1/2".</t>
  </si>
  <si>
    <t>0241 09</t>
  </si>
  <si>
    <t>BUJE REDUC. INOX 316 - GNB Diámetro 2".</t>
  </si>
  <si>
    <t>0241 10</t>
  </si>
  <si>
    <t>BUJE REDUC. INOX 316 - GNB Diámetro 2 1/2".</t>
  </si>
  <si>
    <t>0241 11</t>
  </si>
  <si>
    <t>BUJE REDUC. INOX 316 - GNB Diámetro 3".</t>
  </si>
  <si>
    <t>0245 02</t>
  </si>
  <si>
    <t>ENTRERROSCA RED.INOX 316-GNB Diámetro 1/4".</t>
  </si>
  <si>
    <t>0245 03</t>
  </si>
  <si>
    <t>ENTRERROSCA RED.INOX 316-GNB Diámetro 3/8".</t>
  </si>
  <si>
    <t>0245 04</t>
  </si>
  <si>
    <t>ENTRERROSCA RED.INOX 316-GNB Diámetro 1/2".</t>
  </si>
  <si>
    <t>0245 05</t>
  </si>
  <si>
    <t>ENTRERROSCA RED.INOX 316-GNB Diámetro 3/4".</t>
  </si>
  <si>
    <t>0245 06</t>
  </si>
  <si>
    <t>ENTRERROSCA RED.INOX 316-GNB Diámetro 1".</t>
  </si>
  <si>
    <t>0245 07</t>
  </si>
  <si>
    <t>ENTRERROSCA RED.INOX 316-GNB Diámetro 1 1/4".</t>
  </si>
  <si>
    <t>0245 08</t>
  </si>
  <si>
    <t>ENTRERROSCA RED.INOX 316-GNB Diámetro 1 1/2".</t>
  </si>
  <si>
    <t>0245 09</t>
  </si>
  <si>
    <t>ENTRERROSCA RED.INOX 316-GNB Diámetro 2".</t>
  </si>
  <si>
    <t>0270 02</t>
  </si>
  <si>
    <t>CUPLA INOX 316 - GNB Diámetro 1/4".</t>
  </si>
  <si>
    <t>0270 03</t>
  </si>
  <si>
    <t>CUPLA INOX 316 - GNB Diámetro 3/8".</t>
  </si>
  <si>
    <t>0270 04</t>
  </si>
  <si>
    <t>CUPLA INOX 316 - GNB Diámetro 1/2".</t>
  </si>
  <si>
    <t>0270 05</t>
  </si>
  <si>
    <t>CUPLA INOX 316 - GNB Diámetro 3/4".</t>
  </si>
  <si>
    <t>0270 06</t>
  </si>
  <si>
    <t>CUPLA INOX 316 - GNB Diámetro 1".</t>
  </si>
  <si>
    <t>0270 07</t>
  </si>
  <si>
    <t>CUPLA INOX 316 - GNB Diámetro 1 1/4".</t>
  </si>
  <si>
    <t>0270 08</t>
  </si>
  <si>
    <t>CUPLA INOX 316 - GNB Diámetro 1 1/2".</t>
  </si>
  <si>
    <t>0270 09</t>
  </si>
  <si>
    <t>CUPLA INOX 316 - GNB Diámetro 2".</t>
  </si>
  <si>
    <t>0270 10</t>
  </si>
  <si>
    <t>CUPLA INOX 316 - GNB Diámetro 2 1/2".</t>
  </si>
  <si>
    <t>0270 11</t>
  </si>
  <si>
    <t>CUPLA INOX 316 - GNB Diámetro 3".</t>
  </si>
  <si>
    <t>0280 02</t>
  </si>
  <si>
    <t>ENTRERROSCA INOX 316 - GNB Diámetro 1/4".</t>
  </si>
  <si>
    <t>0280 03</t>
  </si>
  <si>
    <t>ENTRERROSCA INOX 316 - GNB Diámetro 3/8".</t>
  </si>
  <si>
    <t>0280 04</t>
  </si>
  <si>
    <t>ENTRERROSCA INOX 316 - GNB Diámetro 1/2".</t>
  </si>
  <si>
    <t>0280 05</t>
  </si>
  <si>
    <t>ENTRERROSCA INOX 316 - GNB Diámetro 3/4".</t>
  </si>
  <si>
    <t>0280 06</t>
  </si>
  <si>
    <t>ENTRERROSCA INOX 316 - GNB Diámetro 1".</t>
  </si>
  <si>
    <t>0280 07</t>
  </si>
  <si>
    <t>ENTRERROSCA INOX 316 - GNB Diámetro 1 1/4".</t>
  </si>
  <si>
    <t>0280 08</t>
  </si>
  <si>
    <t>ENTRERROSCA INOX 316 - GNB Diámetro 1 1/2".</t>
  </si>
  <si>
    <t>0280 09</t>
  </si>
  <si>
    <t>ENTRERROSCA INOX 316 - GNB Diámetro 2".</t>
  </si>
  <si>
    <t>0280 10</t>
  </si>
  <si>
    <t>ENTRERROSCA INOX 316 - GNB Diámetro 2 1/2".</t>
  </si>
  <si>
    <t>0280 11</t>
  </si>
  <si>
    <t>ENTRERROSCA INOX 316 - GNB Diámetro 3".</t>
  </si>
  <si>
    <t>0290 02</t>
  </si>
  <si>
    <t>TAPON HEXAGONAL INOX 316-GNB Diámetro 1/4".</t>
  </si>
  <si>
    <t>0290 03</t>
  </si>
  <si>
    <t>TAPON HEXAGONAL INOX 316-GNB Diámetro 3/8".</t>
  </si>
  <si>
    <t>0290 04</t>
  </si>
  <si>
    <t>TAPON HEXAGONAL INOX 316-GNB Diámetro 1/2".</t>
  </si>
  <si>
    <t>0290 05</t>
  </si>
  <si>
    <t>TAPON HEXAGONAL INOX 316-GNB Diámetro 3/4".</t>
  </si>
  <si>
    <t>0290 06</t>
  </si>
  <si>
    <t>TAPON HEXAGONAL INOX 316-GNB Diámetro 1".</t>
  </si>
  <si>
    <t>0290 07</t>
  </si>
  <si>
    <t>TAPON HEXAGONAL INOX 316-GNB Diámetro 1 1/4".</t>
  </si>
  <si>
    <t>0290 08</t>
  </si>
  <si>
    <t>TAPON HEXAGONAL INOX 316-GNB Diámetro 1 1/2".</t>
  </si>
  <si>
    <t>0290 09</t>
  </si>
  <si>
    <t>TAPON HEXAGONAL INOX 316-GNB Diámetro 2".</t>
  </si>
  <si>
    <t>0290 10</t>
  </si>
  <si>
    <t>TAPON HEXAGONAL INOX 316-GNB Diámetro 2 1/2".</t>
  </si>
  <si>
    <t>0290 11</t>
  </si>
  <si>
    <t>TAPON HEXAGONAL INOX 316-GNB Diámetro 3".</t>
  </si>
  <si>
    <t>0300 02</t>
  </si>
  <si>
    <t>TAPA HEXAGONAL INOX 316-GNB Diámetro 1/4".</t>
  </si>
  <si>
    <t>0300 03</t>
  </si>
  <si>
    <t>TAPA HEXAGONAL INOX 316-GNB Diámetro 3/8".</t>
  </si>
  <si>
    <t>0300 04</t>
  </si>
  <si>
    <t>TAPA HEXAGONAL INOX 316-GNB Diámetro 1/2".</t>
  </si>
  <si>
    <t>0300 05</t>
  </si>
  <si>
    <t>TAPA HEXAGONAL INOX 316-GNB Diámetro 3/4".</t>
  </si>
  <si>
    <t>0300 06</t>
  </si>
  <si>
    <t>TAPA HEXAGONAL INOX 316-GNB Diámetro 1".</t>
  </si>
  <si>
    <t>0300 07</t>
  </si>
  <si>
    <t>TAPA HEXAGONAL INOX 316-GNB Diámetro 1 1/4".</t>
  </si>
  <si>
    <t>0300 08</t>
  </si>
  <si>
    <t>TAPA HEXAGONAL INOX 316-GNB Diámetro 1 1/2".</t>
  </si>
  <si>
    <t>0300 09</t>
  </si>
  <si>
    <t>TAPA HEXAGONAL INOX 316-GNB Diámetro 2".</t>
  </si>
  <si>
    <t>0300 10</t>
  </si>
  <si>
    <t>TAPA HEXAGONAL INOX 316-GNB Diámetro 2 1/2".</t>
  </si>
  <si>
    <t>0300 11</t>
  </si>
  <si>
    <t>TAPA HEXAGONAL INOX 316-GNB Diámetro 3".</t>
  </si>
  <si>
    <t>0300 12</t>
  </si>
  <si>
    <t>TAPA HEXAGONAL INOX 316-GNB Diámetro 4".</t>
  </si>
  <si>
    <t>0312 02</t>
  </si>
  <si>
    <t>TUERCA HEXAGONAL Diámetro 1/4".</t>
  </si>
  <si>
    <t>0312 03</t>
  </si>
  <si>
    <t>TUERCA HEXAGONAL Diámetro 3/8".</t>
  </si>
  <si>
    <t>0312 04</t>
  </si>
  <si>
    <t>TUERCA HEXAGONAL Diámetro 1/2".</t>
  </si>
  <si>
    <t>0312 05</t>
  </si>
  <si>
    <t>TUERCA HEXAGONAL Diámetro 3/4".</t>
  </si>
  <si>
    <t>0312 06</t>
  </si>
  <si>
    <t>TUERCA HEXAGONAL Diámetro 1".</t>
  </si>
  <si>
    <t>0312 07</t>
  </si>
  <si>
    <t>TUERCA HEXAGONAL Diámetro 1 1/4".</t>
  </si>
  <si>
    <t>0312 08</t>
  </si>
  <si>
    <t>TUERCA HEXAGONAL Diámetro 1 1/2".</t>
  </si>
  <si>
    <t>0312 09</t>
  </si>
  <si>
    <t>TUERCA HEXAGONAL Diámetro 2".</t>
  </si>
  <si>
    <t>0340 02</t>
  </si>
  <si>
    <t>UNION DOBLE HH INOX 316-GNB Diámetro 1/4".</t>
  </si>
  <si>
    <t>0340 03</t>
  </si>
  <si>
    <t>UNION DOBLE HH INOX 316-GNB Diámetro 3/8".</t>
  </si>
  <si>
    <t>0340 04</t>
  </si>
  <si>
    <t>UNION DOBLE HH INOX 316-GNB Diámetro 1/2".</t>
  </si>
  <si>
    <t>0340 05</t>
  </si>
  <si>
    <t>UNION DOBLE HH INOX 316-GNB Diámetro 3/4".</t>
  </si>
  <si>
    <t>0340 06</t>
  </si>
  <si>
    <t>UNION DOBLE HH INOX 316-GNB Diámetro 1".</t>
  </si>
  <si>
    <t>0340 07</t>
  </si>
  <si>
    <t>UNION DOBLE HH INOX 316-GNB Diámetro 1 1/4".</t>
  </si>
  <si>
    <t>0340 08</t>
  </si>
  <si>
    <t>UNION DOBLE HH INOX 316-GNB Diámetro 1 1/2".</t>
  </si>
  <si>
    <t>0340 09</t>
  </si>
  <si>
    <t>UNION DOBLE HH INOX 316-GNB Diámetro 2".</t>
  </si>
  <si>
    <t>0340 10</t>
  </si>
  <si>
    <t>UNION DOBLE HH INOX 316-GNB Diámetro 2 1/2".</t>
  </si>
  <si>
    <t>0340 11</t>
  </si>
  <si>
    <t>UNION DOBLE HH INOX 316-GNB Diámetro 3".</t>
  </si>
  <si>
    <t>0399 02</t>
  </si>
  <si>
    <t>RACCORD INOX 316-GNB Diámetro 1/4".</t>
  </si>
  <si>
    <t>0399 03</t>
  </si>
  <si>
    <t>RACCORD INOX 316-GNB Diámetro 3/8".</t>
  </si>
  <si>
    <t>0399 04</t>
  </si>
  <si>
    <t>RACCORD INOX 316-GNB Diámetro 1/2".</t>
  </si>
  <si>
    <t>0399 05</t>
  </si>
  <si>
    <t>RACCORD INOX 316-GNB Diámetro 3/4".</t>
  </si>
  <si>
    <t>0399 06</t>
  </si>
  <si>
    <t>RACCORD INOX 316-GNB Diámetro 1".</t>
  </si>
  <si>
    <t>0399 07</t>
  </si>
  <si>
    <t>RACCORD INOX 316-GNB Diámetro 1 1/4".</t>
  </si>
  <si>
    <t>0399 08</t>
  </si>
  <si>
    <t>RACCORD INOX 316-GNB Diámetro 1 1/2".</t>
  </si>
  <si>
    <t>0399 09</t>
  </si>
  <si>
    <t>RACCORD INOX 316-GNB Diámetro 2".</t>
  </si>
  <si>
    <t>0399 10</t>
  </si>
  <si>
    <t>RACCORD INOX 316-GNB Diámetro 2 1/2".</t>
  </si>
  <si>
    <t>0399 11</t>
  </si>
  <si>
    <t>RACCORD INOX 316-GNB Diámetro 3".</t>
  </si>
  <si>
    <t>1431S 05</t>
  </si>
  <si>
    <t>VALVULA</t>
  </si>
  <si>
    <t>MEZCL.TERMOST.VERT.P/SOLAR 3/4"</t>
  </si>
  <si>
    <t>2007N 02</t>
  </si>
  <si>
    <t>Válvula de Esfera Alta Presión. Construcción en Acero al Carbono ASTM A105. Extremos roscados según ASME B 2.1 NPT. Asientos en material PEEK. Dispositivo anti-estático. Presión máxima de trabajo 255 bar / 3700 PSI. (ASME B16.34 Clase 1500). Diámetro 1/4".</t>
  </si>
  <si>
    <t>2007N 03</t>
  </si>
  <si>
    <t>Válvula de Esfera Alta Presión. Construcción en Acero al Carbono ASTM A105. Extremos roscados según ASME B 2.1 NPT. Asientos en material PEEK. Dispositivo anti-estático. Presión máxima de trabajo 255 bar / 3700 PSI. (ASME B16.34 Clase 1500). Diámetro 3/8".</t>
  </si>
  <si>
    <t>2007N 04</t>
  </si>
  <si>
    <t>Válvula de Esfera Alta Presión. Construcción en Acero al Carbono ASTM A105. Extremos roscados según ASME B 2.1 NPT. Asientos en material PEEK. Dispositivo anti-estático. Presión máxima de trabajo 255 bar / 3700 PSI. (ASME B16.34 Clase 1500). Diámetro 1/2".</t>
  </si>
  <si>
    <t>2007N 05</t>
  </si>
  <si>
    <t>Válvula de Esfera Alta Presión. Construcción en Acero al Carbono ASTM A105. Extremos roscados según ASME B 2.1 NPT. Asientos en material PEEK. Dispositivo anti-estático. Presión máxima de trabajo 255 bar / 3700 PSI. (ASME B16.34 Clase 1500). Diámetro 3/4".</t>
  </si>
  <si>
    <t>2007N 06</t>
  </si>
  <si>
    <t>Válvula de Esfera Alta Presión. Construcción en Acero al Carbono ASTM A105. Extremos roscados según ASME B 2.1 NPT. Asientos en material PEEK. Dispositivo anti-estático. Presión máxima de trabajo 255 bar / 3700 PSI. (ASME B16.34 Clase 1500). Diámetro 1".</t>
  </si>
  <si>
    <t>2008 02</t>
  </si>
  <si>
    <t>Válvula Esférica 2 piezas acero inoxidable. Paso reducido AISI 316. PN-140 / 2000 PSI. Asto. PTFE Reforzado. Vástago inexpulsable. Temp -25°C +180°C. Rosca BSPT. Diámetro 1/4".</t>
  </si>
  <si>
    <t>2008 03</t>
  </si>
  <si>
    <t>Válvula Esférica 2 piezas acero inoxidable. Paso reducido AISI 316. PN-140 / 2000 PSI. Asto. PTFE Reforzado. Vástago inexpulsable. Temp -25°C +180°C. Rosca BSPT. Diámetro 3/8".</t>
  </si>
  <si>
    <t>2008 04</t>
  </si>
  <si>
    <t>Válvula Esférica 2 piezas acero inoxidable. Paso reducido AISI 316. PN-140 / 2000 PSI. Asto. PTFE Reforzado. Vástago inexpulsable. Temp -25°C +180°C.  Rosca BSPT. Diámetro 1/2".</t>
  </si>
  <si>
    <t>2008 05</t>
  </si>
  <si>
    <t>Válvula Esférica 2 piezas acero inoxidable. Paso reducido AISI 316. PN-140 / 2000 PSI. Asto. PTFE Reforzado. Vástago inexpulsable. Temp -25°C +180°C. Rosca BSPT. Diámetro 3/4".</t>
  </si>
  <si>
    <t>2008 06</t>
  </si>
  <si>
    <t>Válvula Esférica 2 piezas acero inoxidable. Paso reducido AISI 316. PN-140 / 2000 PSI. Asto. PTFE Reforzado. Vástago inexpulsable. Temp -25°C +180°C. Rosca BSPT. Diámetro 1".</t>
  </si>
  <si>
    <t>2009 02</t>
  </si>
  <si>
    <t>Válvula esfera paso total 2 piezas Const.: acero inox. 316. Extremos H-H rosca BSP. Asientos PTFE + 15%. FV tórica eje viton. PN 63. Temp. -25ºC +180ºC. Rosca BSPT. Mando manual por palomilla.  Diámetro 1/4".</t>
  </si>
  <si>
    <t>2009 03</t>
  </si>
  <si>
    <t>Válvula esfera paso total 2 piezas Const.: acero inox. 316. Extremos H-H rosca BSP. Asientos PTFE + 15%. FV tórica eje viton. PN 63. Temp. -25ºC +180ºC. Mando manual por palomilla. Diámetro 3/8".</t>
  </si>
  <si>
    <t>2009 04</t>
  </si>
  <si>
    <t>Válvula esfera paso total 2 piezas Const.: acero inox. 316. Extremos H-H rosca BSP. Asientos PTFE + 15%. FV tórica eje viton. PN 63. Temp. -25ºC +180ºC. Mando manual por palomilla. Diámetro 1/2".</t>
  </si>
  <si>
    <t>2009 05</t>
  </si>
  <si>
    <t>Válvula esfera paso total 2 piezas Const.: acero inox. 316. Extremos H-H rosca BSP. Asientos PTFE + 15%. FV tórica eje viton. PN 63. Temp. -25ºC +180ºC. Mando manual por palomilla. Diámetro 3/4".</t>
  </si>
  <si>
    <t>2009 06</t>
  </si>
  <si>
    <t>Válvula esfera paso total 2 piezas Const.: acero inox. 316. Extremos H-H rosca BSP. Asientos PTFE + 15%. FV tórica eje viton. PN 63. Temp. -25ºC +180ºC. Mando manual por palomilla. Diámetro 1".</t>
  </si>
  <si>
    <t>2010 02</t>
  </si>
  <si>
    <t>Válvula esfera paso total 2 piezas Const.: acero inox. 316. Extremos M-H rosca BSP. Asientos PTFE + 15%. FV tórica eje viton. PN 63. Temp. -25ºC +180ºC. Mando manual por palomilla.  Diámetro 1/4".</t>
  </si>
  <si>
    <t>2010 03</t>
  </si>
  <si>
    <t>Válvula esfera paso total 2 piezas Const.: acero inox. 316. Extremos M-H rosca BSP. Asientos PTFE + 15%. FV tórica eje viton. PN 63. Temp. -25ºC +180ºC. Mando manual por palomilla.  Diámetro 3/8".</t>
  </si>
  <si>
    <t>2010 04</t>
  </si>
  <si>
    <t>Válvula esfera paso total 2 piezas Const.: acero inox. 316. Extremos M-H rosca BSP. Asientos PTFE + 15%. FV tórica eje viton. PN 63. Temp. -25ºC +180ºC. Mando manual por palomilla.  Diámetro 1/2".</t>
  </si>
  <si>
    <t>2010 05</t>
  </si>
  <si>
    <t>Válvula esfera paso total 2 piezas Const.: acero inox. 316. Extremos M-H rosca BSP. Asientos PTFE + 15%. FV tórica eje viton. PN 63. Temp. -25ºC +180ºC. Mando manual por palomilla.  Diámetro 3/4".</t>
  </si>
  <si>
    <t>2010 06</t>
  </si>
  <si>
    <t>Válvula esfera paso total 2 piezas Const.: acero inox. 316. Extremos M-H rosca BSP. Asientos PTFE + 15%. FV tórica eje viton. PN 63. Temp. -25ºC +180ºC. Mando manual por palomilla.  Diámetro 1".</t>
  </si>
  <si>
    <t>2013 02</t>
  </si>
  <si>
    <t>Válvula esfera paso total 2 piezas Construcción: acero inox. 316. Extremos: M-H. Rosca gas ISO 7-1 (EN 10226-1). Asientos: PTFE + 15% FV. PN 63, Temperatura: -25ºC +180ºC. Mando manual por palanca con sistema de bloqueo. Diámetro 1/4".</t>
  </si>
  <si>
    <t>2013 03</t>
  </si>
  <si>
    <t>Válvula esfera paso total 2 piezas Construcción: acero inox. 316. Extremos: M-H. Rosca gas ISO 7-1 (EN 10226-1). Asientos: PTFE + 15% FV. PN 63, Temperatura: -25ºC +180ºC. Mando manual por palanca con sistema de bloqueo. Diámetro 3/8".</t>
  </si>
  <si>
    <t>2013 04</t>
  </si>
  <si>
    <t>Válvula esfera paso total 2 piezas Construcción: acero inox. 316. Extremos: M-H. Rosca gas ISO 7-1 (EN 10226-1). Asientos: PTFE + 15% FV. PN 63, Temperatura: -25ºC +180ºC. Mando manual por palanca con sistema de bloqueo. Diámetro 1/2".</t>
  </si>
  <si>
    <t>2013 05</t>
  </si>
  <si>
    <t>Válvula esfera paso total 2 piezas Construcción: acero inox. 316. Extremos: M-H. Rosca gas ISO 7-1 (EN 10226-1). Asientos: PTFE + 15% FV. PN 63, Temperatura: -25ºC +180ºC. Mando manual por palanca con sistema de bloqueo. Diámetro 3/4".</t>
  </si>
  <si>
    <t>2013 06</t>
  </si>
  <si>
    <t>Válvula esfera paso total 2 piezas Construcción: acero inox. 316. Extremos: M-H. Rosca gas ISO 7-1 (EN 10226-1). Asientos: PTFE + 15% FV. PN 63, Temperatura: -25ºC +180ºC. Mando manual por palanca con sistema de bloqueo. Diámetro 1".</t>
  </si>
  <si>
    <t>2014 02</t>
  </si>
  <si>
    <t>Válvula esfera paso total 2 piezas  Const. acero inox. 316. Extremos: rosca BSPT. Juntas y asiento: PTFE + 15%. PN 63. Temp: -25ºC + 180ºC. Mando manual por palanca con sistema de bloqueo. Diámetro 1/4".</t>
  </si>
  <si>
    <t>2014 03</t>
  </si>
  <si>
    <t>Válvula esfera paso total 2 piezas  Const. acero inox. 316. Extremos: rosca BSPT. Juntas y asiento: PTFE + 15%. PN 63. Temp: -25ºC + 180ºC. Mando manual por palanca con sistema de bloqueo. Diámetro 3/8".</t>
  </si>
  <si>
    <t>2014 04</t>
  </si>
  <si>
    <t>Válvula esfera paso total 2 piezas  Const. acero inox. 316. Extremos: rosca BSPT. Juntas y asiento: PTFE + 15%. PN 63. Temp: -25ºC + 180ºC. Mando manual por palanca con sistema de bloqueo. Diámetro 1/2".</t>
  </si>
  <si>
    <t>2014 05</t>
  </si>
  <si>
    <t>Válvula esfera paso total 2 piezas  Const. acero inox. 316. Extremos: rosca BSPT. Juntas y asiento: PTFE + 15%. PN 63. Temp: -25ºC + 180ºC. Mando manual por palanca con sistema de bloqueo. Diámetro 3/4".</t>
  </si>
  <si>
    <t>2014 06</t>
  </si>
  <si>
    <t>Válvula esfera paso total 2 piezas  Const. acero inox. 316. Extremos: rosca BSPT. Juntas y asiento: PTFE + 15%. PN 63. Temp: -25ºC + 180ºC. Mando manual por palanca con sistema de bloqueo. Diámetro 1".</t>
  </si>
  <si>
    <t>2014 07</t>
  </si>
  <si>
    <t>Válvula esfera paso total 2 piezas  Const. acero inox. 316. Extremos: rosca BSPT. Juntas y asiento: PTFE + 15%. PN 63. Temp: -25ºC + 180ºC. Mando manual por palanca con sistema de bloqueo. Diámetro 1 1/4".</t>
  </si>
  <si>
    <t>2014 08</t>
  </si>
  <si>
    <t>Válvula esfera paso total 2 piezas  Const. acero inox. 316. Extremos: rosca BSPT. Juntas y asiento: PTFE + 15%. PN 63. Temp: -25ºC + 180ºC. Mando manual por palanca con sistema de bloqueo. Diámetro 1 1/2".</t>
  </si>
  <si>
    <t>2014 09</t>
  </si>
  <si>
    <t>Válvula esfera paso total 2 piezas  Const. acero inox. 316. Extremos: rosca BSPT. Juntas y asiento: PTFE + 15%. PN 63. Temp: -25ºC + 180ºC. Mando manual por palanca con sistema de bloqueo. Diámetro 2".</t>
  </si>
  <si>
    <t>2014 10</t>
  </si>
  <si>
    <t>Válvula esfera paso total 2 piezas  Const. acero inox. 316. Extremos: rosca BSPT. Juntas y asiento: PTFE + 15%. PN 63. Temp: -25ºC + 180ºC. Mando manual por palanca con sistema de bloqueo. Diámetro 2 1/2".</t>
  </si>
  <si>
    <t>2014 11</t>
  </si>
  <si>
    <t>Válvula esfera paso total 2 piezas  Const. acero inox. 316. Extremos: rosca BSPT. Juntas y asiento: PTFE + 15%. PN 63. Temp: -25ºC + 180ºC. Mando manual por palanca con sistema de bloqueo. Diámetro 3".</t>
  </si>
  <si>
    <t>2014N 02</t>
  </si>
  <si>
    <t>Válvula esfera paso total 2 piezas  Const. acero inox. 316. Extremos: rosca NPT. Juntas y asiento: PTFE + 15%. PN 63. Temp: -25ºC + 180ºC. Mando manual por palanca con sistema de bloqueo. Diámetro 1/4".</t>
  </si>
  <si>
    <t>2014N 03</t>
  </si>
  <si>
    <t>Válvula esfera paso total 2 piezas  Const. acero inox. 316. Extremos: rosca NPT. Juntas y asiento: PTFE + 15%. PN 63. Temp: -25ºC + 180ºC. Mando manual por palanca con sistema de bloqueo. Diámetro 3/8".</t>
  </si>
  <si>
    <t>2014N 04</t>
  </si>
  <si>
    <t>Válvula esfera paso total 2 piezas  Const. acero inox. 316. Extremos: rosca NPT. Juntas y asiento: PTFE + 15%. PN 63. Temp: -25ºC + 180ºC. Mando manual por palanca con sistema de bloqueo. Diámetro 1/2".</t>
  </si>
  <si>
    <t>2014N 05</t>
  </si>
  <si>
    <t>Válvula esfera paso total 2 piezas  Const. acero inox. 316. Extremos: rosca NPT. Juntas y asiento: PTFE + 15%. PN 63. Temp: -25ºC + 180ºC. Mando manual por palanca con sistema de bloqueo. Diámetro 3/4".</t>
  </si>
  <si>
    <t>2014N 06</t>
  </si>
  <si>
    <t>Válvula esfera paso total 2 piezas  Const. acero inox. 316. Extremos: rosca NPT. Juntas y asiento: PTFE + 15%. PN 63. Temp: -25ºC + 180ºC. Mando manual por palanca con sistema de bloqueo. Diámetro 1".</t>
  </si>
  <si>
    <t>2014N 07</t>
  </si>
  <si>
    <t>Válvula esfera paso total 2 piezas  Const. acero inox. 316. Extremos: rosca NPT. Juntas y asiento: PTFE + 15%. PN 63. Temp: -25ºC + 180ºC. Mando manual por palanca con sistema de bloqueo. Diámetro 1 1/4".</t>
  </si>
  <si>
    <t>2014N 08</t>
  </si>
  <si>
    <t>Válvula esfera paso total 2 piezas  Const. acero inox. 316. Extremos: rosca NPT. Juntas y asiento: PTFE + 15%. PN 63. Temp: -25ºC + 180ºC. Mando manual por palanca con sistema de bloqueo. Diámetro 1 1/2".</t>
  </si>
  <si>
    <t>2014N 09</t>
  </si>
  <si>
    <t>Válvula esfera paso total 2 piezas  Const. acero inox. 316. Extremos: rosca NPT. Juntas y asiento: PTFE + 15%. PN 63. Temp: -25ºC + 180ºC. Mando manual por palanca con sistema de bloqueo. Diámetro 2".</t>
  </si>
  <si>
    <t>2014N 10</t>
  </si>
  <si>
    <t>Válvula esfera paso total 2 piezas  Const. acero inox. 316. Extremos: rosca NPT. Juntas y asiento: PTFE + 15%. PN 63. Temp: -25ºC + 180ºC. Mando manual por palanca con sistema de bloqueo. Diámetro 2 1/2".</t>
  </si>
  <si>
    <t>2014N 11</t>
  </si>
  <si>
    <t>Válvula esfera paso total 2 piezas  Const. acero inox. 316. Extremos: rosca NPT. Juntas y asiento: PTFE + 15%. PN 63. Temp: -25ºC + 180ºC. Mando manual por palanca con sistema de bloqueo. Diámetro 3".</t>
  </si>
  <si>
    <t>2016 04</t>
  </si>
  <si>
    <t>Válvula Esfera 2 piezas. Const.: acero inox. CF8M (316) microfusión. Extremos: Hembra rosca gas ISO 7-1 (EN 10226-1), Macho Camlock. Asientos:PTFE + 15% FV. Tórica eje Viton. PN63. Temp: -25ºC +180ºC. Mando manual por palanca con sistema de bloqueo. Diametro 1/2".</t>
  </si>
  <si>
    <t>2016 05</t>
  </si>
  <si>
    <t>Válvula Esfera 2 piezas. Const.: acero inox. CF8M (316) microfusión. Extremos: Hembra rosca gas ISO 7-1 (EN 10226-1), Macho Camlock. Asientos:PTFE + 15% FV. Tórica eje Viton. PN63. Temp: -25ºC +180ºC. Mando manual por palanca con sistema de bloqueo. Diametro 3/4".</t>
  </si>
  <si>
    <t xml:space="preserve">2016 06 </t>
  </si>
  <si>
    <t>Válvula Esfera 2 piezas. Const.: acero inox. CF8M (316) microfusión. Extremos: Hembra rosca gas ISO 7-1 (EN 10226-1), Macho Camlock. Asientos:PTFE + 15% FV. Tórica eje Viton. PN63. Temp: -25ºC +180ºC. Mando manual por palanca con sistema de bloqueo. Diametro 1".</t>
  </si>
  <si>
    <t xml:space="preserve">2016 07 </t>
  </si>
  <si>
    <t>Válvula Esfera 2 piezas. Const.: acero inox. CF8M (316) microfusión. Extremos: Hembra rosca gas ISO 7-1 (EN 10226-1), Macho Camlock. Asientos:PTFE + 15% FV. Tórica eje Viton. PN63. Temp: -25ºC +180ºC. Mando manual por palanca con sistema de bloqueo. Diametro 1 1/4".</t>
  </si>
  <si>
    <t xml:space="preserve">2016 08 </t>
  </si>
  <si>
    <t>Válvula Esfera 2 piezas. Const.: acero inox. CF8M (316) microfusión. Extremos: Hembra rosca gas ISO 7-1 (EN 10226-1), Macho Camlock. Asientos:PTFE + 15% FV. Tórica eje Viton. PN63. Temp: -25ºC +180ºC. Mando manual por palanca con sistema de bloqueo. Diametro 1 1/2".</t>
  </si>
  <si>
    <t>2016 09</t>
  </si>
  <si>
    <t>Válvula Esfera 2 piezas. Const.: acero inox. CF8M (316) microfusión. Extremos: Hembra rosca gas ISO 7-1 (EN 10226-1), Macho Camlock. Asientos:PTFE + 15% FV. Tórica eje Viton. PN63. Temp: -25ºC +180ºC. Mando manual por palanca con sistema de bloqueo. Diametro 2".</t>
  </si>
  <si>
    <t>2016 10</t>
  </si>
  <si>
    <t>Válvula Esfera 2 piezas. Const.: acero inox. CF8M (316) microfusión. Extremos: Hembra rosca gas ISO 7-1 (EN 10226-1), Macho Camlock. Asientos:PTFE + 15% FV. Tórica eje Viton. PN63. Temp: -25ºC +180ºC. Mando manual por palanca con sistema de bloqueo. Diametro 2 1/2".</t>
  </si>
  <si>
    <t xml:space="preserve">2016 11 </t>
  </si>
  <si>
    <t>Válvula Esfera 2 piezas. Const.: acero inox. CF8M (316) microfusión. Extremos: Hembra rosca gas ISO 7-1 (EN 10226-1), Macho Camlock. Asientos:PTFE + 15% FV. Tórica eje Viton. PN63. Temp: -25ºC +180ºC. Mando manual por palanca con sistema de bloqueo. Diametro 3".</t>
  </si>
  <si>
    <t>2025 02</t>
  </si>
  <si>
    <t>Válvula esfera paso total 3 piezas. Rosca BSPT. Const.: Acero inox. 316. Juntas y asientos PTFE + 15% FV. PN - 63. Temp. -25ºC + 180ºC. Montaje directo ISO 5211 con sistema de bloqueo. Diámetro 1/4" MONTAJE DIRECTO.</t>
  </si>
  <si>
    <t>2025 03</t>
  </si>
  <si>
    <t>Válvula esfera paso total 3 piezas. Rosca BSPT. Const.: Acero inox. 316. Juntas y asientos PTFE + 15% FV. PN - 63. Temp. -25ºC + 180ºC. Montaje directo ISO 5211 con sistema de bloqueo. Diámetro 3/8" MONTAJE DIRECTO.</t>
  </si>
  <si>
    <t>2025 04</t>
  </si>
  <si>
    <t>Válvula esfera paso total 3 piezas. Rosca BSPT. Const.: Acero inox. 316. Juntas y asientos PTFE + 15% FV. PN - 63. Temp. -25ºC + 180ºC. Montaje directo ISO 5211 con sistema de bloqueo. Diámetro 1/2" MONTAJE DIRECTO.</t>
  </si>
  <si>
    <t>2025 05</t>
  </si>
  <si>
    <t>Válvula esfera paso total 3 piezas. Rosca BSPT. Const.: Acero inox. 316. Juntas y asientos PTFE + 15% FV. PN - 63. Temp. -25ºC + 180ºC. Montaje directo ISO 5211 con sistema de bloqueo. Diámetro 3/4" MONTAJE DIRECTO.</t>
  </si>
  <si>
    <t>2025 06</t>
  </si>
  <si>
    <t>Válvula esfera paso total 3 piezas. Rosca BSPT. Const.: Acero inox. 316. Juntas y asientos PTFE + 15% FV. PN - 63. Temp. -25ºC + 180ºC. Montaje directo ISO 5211 con sistema de bloqueo. Diámetro 1" MONTAJE DIRECTO.</t>
  </si>
  <si>
    <t>2025 07</t>
  </si>
  <si>
    <t>Válvula esfera paso total 3 piezas. Rosca BSPT. Const.: Acero inox. 316. Juntas y asientos PTFE + 15% FV. PN - 63. Temp. -25ºC + 180ºC. Montaje directo ISO 5211 con sistema de bloqueo. Diámetro   1 1/4" MONTAJE DIRECTO.</t>
  </si>
  <si>
    <t>2025 08</t>
  </si>
  <si>
    <t>Válvula esfera paso total 3 piezas. Rosca BSPT. Const.: Acero inox. 316. Juntas y asientos PTFE + 15% FV. PN - 63. Temp. -25ºC + 180ºC. Montaje directo ISO 5211 con sistema de bloqueo. Diámetro   1 1/2" MONTAJE DIRECTO.</t>
  </si>
  <si>
    <t>2025 09</t>
  </si>
  <si>
    <t>Válvula esfera paso total 3 piezas. Rosca BSPT. Const.: Acero inox. 316. Juntas y asientos PTFE + 15% FV. PN - 63. Temp. -25ºC + 180ºC. Montaje directo ISO 5211 con sistema de bloqueo. Diámetro 2" MONTAJE DIRECTO.</t>
  </si>
  <si>
    <t>2025 10</t>
  </si>
  <si>
    <t>Válvula esfera paso total 3 piezas. Rosca BSPT. Const.: Acero inox. 316. Juntas y asientos PTFE + 15% FV. PN - 63. Temp. -25ºC + 180ºC. Montaje directo ISO 5211 con sistema de bloqueo. Diámetro 2 1/2" MONTAJE DIRECTO.</t>
  </si>
  <si>
    <t>2025 11</t>
  </si>
  <si>
    <t>Válvula esfera paso total 3 piezas. Rosca BSPT. Const.: Acero inox. 316. Juntas y asientos PTFE + 15% FV. PN - 63. Temp. -25ºC + 180ºC. Montaje directo ISO 5211 con sistema de bloqueo. Diámetro 3" MONTAJE DIRECTO.</t>
  </si>
  <si>
    <t>2025 12</t>
  </si>
  <si>
    <t>Válvula esfera paso total 3 piezas. Rosca BSPT. Const.: Acero inox. 316. Juntas y asientos PTFE + 15% FV. PN - 63. Temp. -25ºC + 180ºC. Montaje directo ISO 5211 con sistema de bloqueo. Diámetro 4" MONTAJE DIRECTO.</t>
  </si>
  <si>
    <t>2025N 02</t>
  </si>
  <si>
    <t>Válvula esfera paso total 3 piezas. Rosca NPT. Const.: Acero inox. 316. Juntas y asientos PTFE + 15% FV. PN - 63. Temp. -25ºC + 180ºC. Montaje directo ISO 5211 con sistema de bloqueo. Diámetro 1/4".</t>
  </si>
  <si>
    <t>2025N 03</t>
  </si>
  <si>
    <t>Válvula esfera paso total 3 piezas. Rosca NPT. Const.: Acero inox. 316. Juntas y asientos PTFE + 15% FV. PN - 63. Temp. -25ºC + 180ºC. Montaje directo ISO 5211 con sistema de bloqueo. Diámetro 3/8".</t>
  </si>
  <si>
    <t>2025N 04</t>
  </si>
  <si>
    <t>Válvula esfera paso total 3 piezas. Rosca NPT. Const.: Acero inox. 316. Juntas y asientos PTFE + 15% FV. PN - 63. Temp. -25ºC + 180ºC. Montaje directo ISO 5211 con sistema de bloqueo. Diámetro 1/2".</t>
  </si>
  <si>
    <t>2025N 05</t>
  </si>
  <si>
    <t>Válvula esfera paso total 3 piezas. Rosca NPT. Const.: Acero inox. 316. Juntas y asientos PTFE + 15% FV. PN - 63. Temp. -25ºC + 180ºC. Montaje directo ISO 5211 con sistema de bloqueo. Diámetro 3/4".</t>
  </si>
  <si>
    <t>2025N 06</t>
  </si>
  <si>
    <t>Válvula esfera paso total 3 piezas. Rosca NPT. Const.: Acero inox. 316. Juntas y asientos PTFE + 15% FV. PN - 63. Temp. -25ºC + 180ºC. Montaje directo ISO 5211 con sistema de bloqueo. Diámetro 1".</t>
  </si>
  <si>
    <t>2025N 07</t>
  </si>
  <si>
    <t>Válvula esfera paso total 3 piezas. Rosca NPT. Const.: Acero inox. 316. Juntas y asientos PTFE + 15% FV. PN - 63. Temp. -25ºC + 180ºC. Montaje directo ISO 5211 con sistema de bloqueo. Diámetro 1 1/4".</t>
  </si>
  <si>
    <t>2025N 08</t>
  </si>
  <si>
    <t>Válvula esfera paso total 3 piezas. Rosca NPT. Const.: Acero inox. 316. Juntas y asientos PTFE + 15% FV. PN - 63. Temp. -25ºC + 180ºC. Montaje directo ISO 5211 con sistema de bloqueo. Diámetro 1 1/2".</t>
  </si>
  <si>
    <t>2025N 09</t>
  </si>
  <si>
    <t>Válvula esfera paso total 3 piezas. Rosca NPT. Const.: Acero inox. 316. Juntas y asientos PTFE + 15% FV. PN - 63. Temp. -25ºC + 180ºC. Montaje directo ISO 5211 con sistema de bloqueo. Diámetro 2".</t>
  </si>
  <si>
    <t>2025N 10</t>
  </si>
  <si>
    <t>Válvula esfera paso total 3 piezas. Rosca NPT. Const.: Acero inox. 316. Juntas y asientos PTFE + 15% FV. PN - 63. Temp. -25ºC + 180ºC. Montaje directo ISO 5211 con sistema de bloqueo. Diámetro 2 1/2".</t>
  </si>
  <si>
    <t>2025N 11</t>
  </si>
  <si>
    <t>Válvula esfera paso total 3 piezas. Rosca NPT. Const.: Acero inox. 316. Juntas y asientos PTFE + 15% FV. PN - 63. Temp. -25ºC + 180ºC. Montaje directo ISO 5211 con sistema de bloqueo. Diámetro 3".</t>
  </si>
  <si>
    <t>2025N 12</t>
  </si>
  <si>
    <t>Válvula esfera paso total 3 piezas. Rosca NPT. Const.: Acero inox. 316. Juntas y asientos PTFE + 15% FV. PN - 63. Temp. -25ºC + 180ºC. Montaje directo ISO 5211 con sistema de bloqueo. Diámetro 4".</t>
  </si>
  <si>
    <t>2026 02</t>
  </si>
  <si>
    <t>Válvula esfera paso total 3 piezas. Butt weld. Const.: Acero inox. 316. Juntas y asientos PTFE + 15% FV. PN - 63. Temp. -25ºC + 180ºC. Montaje directo ISO 5211 con sistema de bloqueo. Diámetro 1/4".</t>
  </si>
  <si>
    <t>2026 03</t>
  </si>
  <si>
    <t>Válvula esfera paso total 3 piezas. Butt weld. Const.: Acero inox. 316. Juntas y asientos PTFE + 15% FV. PN - 63. Temp. -25ºC + 180ºC. Montaje directo ISO 5211 con sistema de bloqueo. Diámetro 3/8".</t>
  </si>
  <si>
    <t>2026 04</t>
  </si>
  <si>
    <t>Válvula esfera paso total 3 piezas. Butt weld. Const.: Acero inox. 316. Juntas y asientos PTFE + 15% FV. PN - 63. Temp. -25ºC + 180ºC. Montaje directo ISO 5211 con sistema de bloqueo. Diámetro 1/2".</t>
  </si>
  <si>
    <t>2026 05</t>
  </si>
  <si>
    <t>Válvula esfera paso total 3 piezas. Butt weld. Const.: Acero inox. 316. Juntas y asientos PTFE + 15% FV. PN - 63. Temp. -25ºC + 180ºC. Montaje directo ISO 5211 con sistema de bloqueo. Diámetro 3/4".</t>
  </si>
  <si>
    <t>2026 06</t>
  </si>
  <si>
    <t>Válvula esfera paso total 3 piezas. Butt weld. Const.: Acero inox. 316. Juntas y asientos PTFE + 15% FV. PN - 63. Temp. -25ºC + 180ºC. Montaje directo ISO 5211 con sistema de bloqueo. Diámetro 1".</t>
  </si>
  <si>
    <t>2026 07</t>
  </si>
  <si>
    <t>Válvula esfera paso total 3 piezas. Butt weld. Const.: Acero inox. 316. Juntas y asientos PTFE + 15% FV. PN - 63. Temp. -25ºC + 180ºC. Montaje directo ISO 5211 con sistema de bloqueo. Diámetro 1 1/4".</t>
  </si>
  <si>
    <t>2026 08</t>
  </si>
  <si>
    <t>Válvula esfera paso total 3 piezas. Butt weld. Const.: Acero inox. 316. Juntas y asientos PTFE + 15% FV. PN - 63. Temp. -25ºC + 180ºC. Montaje directo ISO 5211 con sistema de bloqueo. Diámetro 1 1/2".</t>
  </si>
  <si>
    <t>2026 09</t>
  </si>
  <si>
    <t>Válvula esfera paso total 3 piezas. Butt weld. Const.: Acero inox. 316. Juntas y asientos PTFE + 15% FV. PN - 63. Temp. -25ºC + 180ºC. Montaje directo ISO 5211 con sistema de bloqueo. Diámetro 2".</t>
  </si>
  <si>
    <t>2026 10</t>
  </si>
  <si>
    <t>Válvula esfera paso total 3 piezas. Butt weld. Const.: Acero inox. 316. Juntas y asientos PTFE + 15% FV. PN - 63. Temp. -25ºC + 180ºC. Montaje directo ISO 5211 con sistema de bloqueo. Diámetro 2 1/2".</t>
  </si>
  <si>
    <t>2026 11</t>
  </si>
  <si>
    <t>Válvula esfera paso total 3 piezas. Butt weld. Const.: Acero inox. 316. Juntas y asientos PTFE + 15% FV. PN - 63. Temp. -25ºC + 180ºC. Montaje directo ISO 5211 con sistema de bloqueo. Diámetro 3".</t>
  </si>
  <si>
    <t>2026 12</t>
  </si>
  <si>
    <t>Válvula esfera paso total 3 piezas. Butt weld. Const.: Acero inox. 316. Juntas y asientos PTFE + 15% FV. PN - 63. Temp. -25ºC + 180ºC. Montaje directo ISO 5211 con sistema de bloqueo. Diámetro 4".</t>
  </si>
  <si>
    <t>2027 02</t>
  </si>
  <si>
    <t>Válvula esfera paso total 3 piezas. Socket weld. Const.: Acero inox. 316. Juntas y asientos PTFE + 15% FV. PN - 63. Temp. -25ºC + 180ºC. Montaje directo ISO 5211 con sistema de bloqueo. Diámetro 1/4".</t>
  </si>
  <si>
    <t>2027 03</t>
  </si>
  <si>
    <t>Válvula esfera paso total 3 piezas. Socket weld. Const.: Acero inox. 316. Juntas y asientos PTFE + 15% FV. PN - 63. Temp. -25ºC + 180ºC. Montaje directo ISO 5211 con sistema de bloqueo. Diámetro 3/8".</t>
  </si>
  <si>
    <t>2027 04</t>
  </si>
  <si>
    <t>Válvula esfera paso total 3 piezas. Socket weld. Const.: Acero inox. 316. Juntas y asientos PTFE + 15% FV. PN - 63. Temp. -25ºC + 180ºC. Montaje directo ISO 5211 con sistema de bloqueo. Diámetro 1/2".</t>
  </si>
  <si>
    <t>2027 05</t>
  </si>
  <si>
    <t>Válvula esfera paso total 3 piezas. Socket weld. Const.: Acero inox. 316. Juntas y asientos PTFE + 15% FV. PN - 63. Temp. -25ºC + 180ºC. Montaje directo ISO 5211 con sistema de bloqueo. Diámetro 3/4".</t>
  </si>
  <si>
    <t>2027 06</t>
  </si>
  <si>
    <t>Válvula esfera paso total 3 piezas. Socket weld. Const.: Acero inox. 316. Juntas y asientos PTFE + 15% FV. PN - 63. Temp. -25ºC + 180ºC. Montaje directo ISO 5211 con sistema de bloqueo. Diámetro 1".</t>
  </si>
  <si>
    <t>2027 07</t>
  </si>
  <si>
    <t>Válvula esfera paso total 3 piezas. Socket weld. Const.: Acero inox. 316. Juntas y asientos PTFE + 15% FV. PN - 63. Temp. -25ºC + 180ºC. Montaje directo ISO 5211 con sistema de bloqueo. Diámetro 1 1/4".</t>
  </si>
  <si>
    <t>2027 08</t>
  </si>
  <si>
    <t>Válvula esfera paso total 3 piezas. Socket weld. Const.: Acero inox. 316. Juntas y asientos PTFE + 15% FV. PN - 63. Temp. -25ºC + 180ºC. Montaje directo ISO 5211 con sistema de bloqueo. Diámetro 1 1/2".</t>
  </si>
  <si>
    <t>2027 09</t>
  </si>
  <si>
    <t>Válvula esfera paso total 3 piezas. Socket weld. Const.: Acero inox. 316. Juntas y asientos PTFE + 15% FV. PN - 63. Temp. -25ºC + 180ºC. Montaje directo ISO 5211 con sistema de bloqueo. Diámetro 2".</t>
  </si>
  <si>
    <t>2027 10</t>
  </si>
  <si>
    <t>Válvula esfera paso total 3 piezas. Socket weld. Const.: Acero inox. 316. Juntas y asientos PTFE + 15% FV. PN - 63. Temp. -25ºC + 180ºC. Montaje directo ISO 5211 con sistema de bloqueo. Diámetro 2 1/2".</t>
  </si>
  <si>
    <t>2027 11</t>
  </si>
  <si>
    <t>Válvula esfera paso total 3 piezas. Socket weld. Const.: Acero inox. 316. Juntas y asientos PTFE + 15% FV. PN - 63. Temp. -25ºC + 180ºC. Montaje directo ISO 5211 con sistema de bloqueo. Diámetro 3".</t>
  </si>
  <si>
    <t>2027 12</t>
  </si>
  <si>
    <t>Válvula esfera paso total 3 piezas. Socket weld. Const.: Acero inox. 316. Juntas y asientos PTFE + 15% FV. PN - 63. Temp. -25ºC + 180ºC. Montaje directo ISO 5211 con sistema de bloqueo. Diámetro 4".</t>
  </si>
  <si>
    <t>2034 02</t>
  </si>
  <si>
    <t>Válvula esfera paso total 3 piezas. Rosca BSPT. Const. Acero al carbono WCB. Esfera y eje inoxidable 316. Asientos PTFE + 15% FV. 1000 Wog. Temp. -25ºC +180ºC. Mando manual por palanca con sistema de bloqueo. Diámetro 1/4".</t>
  </si>
  <si>
    <t>2034 03</t>
  </si>
  <si>
    <t>Válvula esfera paso total 3 piezas. Rosca BSPT. Const. Acero al carbono WCB. Esfera y eje inoxidable 316. Asientos PTFE + 15% FV. 1000 Wog. Temp. -25ºC +180ºC. Mando manual por palanca con sistema de bloqueo. Diámetro 3/8".</t>
  </si>
  <si>
    <t>2034 04</t>
  </si>
  <si>
    <t>Válvula esfera paso total 3 piezas. Rosca BSPT. Const. Acero al carbono WCB. Esfera y eje inoxidable 316. Asientos PTFE + 15% FV. 1000 Wog. Temp. -25ºC +180ºC. Mando manual por palanca con sistema de bloqueo. Diámetro 1/2".</t>
  </si>
  <si>
    <t>2034 05</t>
  </si>
  <si>
    <t>Válvula esfera paso total 3 piezas. Rosca BSPT. Const. Acero al carbono WCB. Esfera y eje inoxidable 316. Asientos PTFE + 15% FV. 1000 Wog. Temp. -25ºC +180ºC. Mando manual por palanca con sistema de bloqueo. Diámetro 3/4".</t>
  </si>
  <si>
    <t>2034 06</t>
  </si>
  <si>
    <t>Válvula esfera paso total 3 piezas. Rosca BSPT. Const. Acero al carbono WCB. Esfera y eje inoxidable 316. Asientos PTFE + 15% FV. 1000 Wog. Temp. -25ºC +180ºC. Mando manual por palanca con sistema de bloqueo. Diámetro 1".</t>
  </si>
  <si>
    <t>2034 07</t>
  </si>
  <si>
    <t>Válvula esfera paso total 3 piezas. Rosca BSPT. Const. Acero al carbono WCB. Esfera y eje inoxidable 316. Asientos PTFE + 15% FV. 1000 Wog. Temp. -25ºC +180ºC. Mando manual por palanca con sistema de bloqueo. Diámetro 1 1/4".</t>
  </si>
  <si>
    <t>2034 08</t>
  </si>
  <si>
    <t>Válvula esfera paso total 3 piezas. Rosca BSPT. Const. Acero al carbono WCB. Esfera y eje inoxidable 316. Asientos PTFE + 15% FV. 1000 Wog. Temp. -25ºC +180ºC. Mando manual por palanca con sistema de bloqueo. Diámetro 1 1/2".</t>
  </si>
  <si>
    <t>2034 09</t>
  </si>
  <si>
    <t>Válvula esfera paso total 3 piezas. Rosca BSPT. Const. Acero al carbono WCB. Esfera y eje inoxidable 316. Asientos PTFE + 15% FV. 1000 Wog. Temp. -25ºC +180ºC. Mando manual por palanca con sistema de bloqueo. Diámetro 2".</t>
  </si>
  <si>
    <t>2034 10</t>
  </si>
  <si>
    <t>Válvula esfera paso total 3 piezas. Rosca BSPT. Const. Acero al carbono WCB. Esfera y eje inoxidable 316. Asientos PTFE + 15% FV. 1000 Wog. Temp. -25ºC +180ºC. Mando manual por palanca con sistema de bloqueo. Diámetro 2 1/2".</t>
  </si>
  <si>
    <t>2034 11</t>
  </si>
  <si>
    <t>Válvula esfera paso total 3 piezas. Rosca BSPT. Const. Acero al carbono WCB. Esfera y eje inoxidable 316. Asientos PTFE + 15% FV. 1000 Wog. Temp. -25ºC +180ºC. Mando manual por palanca con sistema de bloqueo. Diámetro 3".</t>
  </si>
  <si>
    <t>2034 12</t>
  </si>
  <si>
    <t>Válvula esfera paso total 3 piezas. Rosca BSPT. Const. Acero al carbono WCB. Esfera y eje inoxidable 316. Asientos PTFE + 15% FV. 1000 Wog. Temp. -25ºC +180ºC. Mando manual por palanca con sistema de bloqueo. Diámetro 4".</t>
  </si>
  <si>
    <t>2034C 04</t>
  </si>
  <si>
    <t>Válvula esfera paso total 3 piezas. Rosca BSPT. Const. Acero al carbono WCB. Esfera y eje inoxidable 316. Asientos PTFE + 25% FV (10 bar de vapor). 1000 Wog. Temp. -25ºC +180ºC. Mando manual por palanca con sistema de bloqueo. Diámetro 1/2".</t>
  </si>
  <si>
    <t>2034C 05</t>
  </si>
  <si>
    <t>Válvula esfera paso total 3 piezas. Rosca BSPT. Const. Acero al carbono WCB. Esfera y eje inoxidable 316. Asientos PTFE + 25% FV (10 bar de vapor). 1000 Wog. Temp. -25ºC +180ºC. Mando manual por palanca con sistema de bloqueo. Diámetro 3/4".</t>
  </si>
  <si>
    <t>2034C 06</t>
  </si>
  <si>
    <t>Válvula esfera paso total 3 piezas. Rosca BSPT. Const. Acero al carbono WCB. Esfera y eje inoxidable 316. Asientos PTFE + 25% FV (10 bar de vapor). 1000 Wog. Temp. -25ºC +180ºC. Mando manual por palanca con sistema de bloqueo. Diámetro 1".</t>
  </si>
  <si>
    <t>2034E 04</t>
  </si>
  <si>
    <t>Válvula esfera paso total 3 piezas. Rosca BSPT. Const. Acero al carbono WCB. Esfera y eje inoxidable 304. Asientos PTFE + 15% FV. 1000 Wog. Temp. -25ºC +180ºC. Mando manual por palanca con sistema de bloqueo. Diámetro 1/2".</t>
  </si>
  <si>
    <t>2034E 05</t>
  </si>
  <si>
    <t>Válvula esfera paso total 3 piezas. Rosca BSPT. Const. Acero al carbono WCB. Esfera y eje inoxidable 304. Asientos PTFE + 15% FV. 1000 Wog. Temp. -25ºC +180ºC. Mando manual por palanca con sistema de bloqueo. Diámetro 3/4".</t>
  </si>
  <si>
    <t>2034E 06</t>
  </si>
  <si>
    <t>Válvula esfera paso total 3 piezas. Rosca BSPT. Const. Acero al carbono WCB. Esfera y eje inoxidable 304. Asientos PTFE + 15% FV. 1000 Wog. Temp. -25ºC +180ºC. Mando manual por palanca con sistema de bloqueo. Diámetro 1".</t>
  </si>
  <si>
    <t>2034E 08</t>
  </si>
  <si>
    <t>Válvula esfera paso total 3 piezas. Rosca BSPT. Const. Acero al carbono WCB. Esfera y eje inoxidable 304. Asientos PTFE + 15% FV. 1000 Wog. Temp. -25ºC +180ºC. Mando manual por palanca con sistema de bloqueo. Diámetro 1 1/2".</t>
  </si>
  <si>
    <t>2034N 02</t>
  </si>
  <si>
    <t>Válvula esfera paso total 3 piezas. Rosca NPT. Const. Acero al carbono WCB. Esfera y eje inoxidable 316. Asientos PTFE + 15% FV. 1000 Wog. Temp. -25ºC +180ºC. Mando manual por palanca con sistema de bloqueo. Diámetro 1/4".</t>
  </si>
  <si>
    <t>2034N 03</t>
  </si>
  <si>
    <t>Válvula esfera paso total 3 piezas. Rosca NPT. Const. Acero al carbono WCB. Esfera y eje inoxidable 316. Asientos PTFE + 15% FV. 1000 Wog. Temp. -25ºC +180ºC. Mando manual por palanca con sistema de bloqueo. Diámetro 3/8".</t>
  </si>
  <si>
    <t>2034N 04</t>
  </si>
  <si>
    <t>Válvula esfera paso total 3 piezas. Rosca NPT. Const. Acero al carbono WCB. Esfera y eje inoxidable 316. Asientos PTFE + 15% FV. 1000 Wog. Temp. -25ºC +180ºC. Mando manual por palanca con sistema de bloqueo. Diámetro 1/2".</t>
  </si>
  <si>
    <t>2034N 05</t>
  </si>
  <si>
    <t>Válvula esfera paso total 3 piezas. Rosca NPT. Const. Acero al carbono WCB. Esfera y eje inoxidable 316. Asientos PTFE + 15% FV. 1000 Wog. Temp. -25ºC +180ºC. Mando manual por palanca con sistema de bloqueo. Diámetro 3/4".</t>
  </si>
  <si>
    <t>2034N 06</t>
  </si>
  <si>
    <t>Válvula esfera paso total 3 piezas. Rosca NPT. Const. Acero al carbono WCB. Esfera y eje inoxidable 316. Asientos PTFE + 15% FV. 1000 Wog. Temp. -25ºC +180ºC. Mando manual por palanca con sistema de bloqueo. Diámetro 1".</t>
  </si>
  <si>
    <t>2034N 07</t>
  </si>
  <si>
    <t>Válvula esfera paso total 3 piezas. Rosca NPT. Const. Acero al carbono WCB. Esfera y eje inoxidable 316. Asientos PTFE + 15% FV. 1000 Wog. Temp. -25ºC +180ºC. Mando manual por palanca con sistema de bloqueo. Diámetro 1 1/4".</t>
  </si>
  <si>
    <t>2034N 08</t>
  </si>
  <si>
    <t>Válvula esfera paso total 3 piezas. Rosca NPT. Const. Acero al carbono WCB. Esfera y eje inoxidable 316. Asientos PTFE + 15% FV. 1000 Wog. Temp. -25ºC +180ºC. Mando manual por palanca con sistema de bloqueo. Diámetro 1 1/2".</t>
  </si>
  <si>
    <t>2034N 09</t>
  </si>
  <si>
    <t>Válvula esfera paso total 3 piezas. Rosca NPT. Const. Acero al carbono WCB. Esfera y eje inoxidable 316. Asientos PTFE + 15% FV. 1000 Wog. Temp. -25ºC +180ºC. Mando manual por palanca con sistema de bloqueo. Diámetro 2".</t>
  </si>
  <si>
    <t>2034N 10</t>
  </si>
  <si>
    <t>Válvula esfera paso total 3 piezas. Rosca NPT. Const. Acero al carbono WCB. Esfera y eje inoxidable 316. Asientos PTFE + 15% FV. 1000 Wog. Temp. -25ºC +180ºC. Mando manual por palanca con sistema de bloqueo. Diámetro 2 1/2".</t>
  </si>
  <si>
    <t>2034N 11</t>
  </si>
  <si>
    <t>Válvula esfera paso total 3 piezas. Rosca NPT. Const. Acero al carbono WCB. Esfera y eje inoxidable 316. Asientos PTFE + 15% FV. 1000 Wog. Temp. -25ºC +180ºC. Mando manual por palanca con sistema de bloqueo. Diámetro 3".</t>
  </si>
  <si>
    <t>2034N 12</t>
  </si>
  <si>
    <t>Válvula esfera paso total 3 piezas. Rosca NPT. Const. Acero al carbono WCB. Esfera y eje inoxidable 316. Asientos PTFE + 15% FV. 1000 Wog. Temp. -25ºC +180ºC. Mando manual por palanca con sistema de bloqueo. Diámetro 4".</t>
  </si>
  <si>
    <t>2034S 02</t>
  </si>
  <si>
    <t>Válvula esfera paso total 3 piezas. Socket weld. Const. Acero al carbono WCB. Esfera y eje inoxidable 316. Asientos PTFE + 15% FV. 1000 Wog. Temp. -25ºC +180ºC. Mando manual por palanca con sistema de bloqueo. Diámetro 1/4".</t>
  </si>
  <si>
    <t>2034S 03</t>
  </si>
  <si>
    <t>Válvula esfera paso total 3 piezas. Socket weld. Const. Acero al carbono WCB. Esfera y eje inoxidable 316. Asientos PTFE + 15% FV. 1000 Wog. Temp. -25ºC +180ºC. Mando manual por palanca con sistema de bloqueo. Diámetro 3/8".</t>
  </si>
  <si>
    <t>2034S 04</t>
  </si>
  <si>
    <t>Válvula esfera paso total 3 piezas. Socket weld. Const. Acero al carbono WCB. Esfera y eje inoxidable 316. Asientos PTFE + 15% FV. 1000 Wog. Temp. -25ºC +180ºC. Mando manual por palanca con sistema de bloqueo. Diámetro 1/2".</t>
  </si>
  <si>
    <t>2034S 05</t>
  </si>
  <si>
    <t>Válvula esfera paso total 3 piezas. Socket weld. Const. Acero al carbono WCB. Esfera y eje inoxidable 316. Asientos PTFE + 15% FV. 1000 Wog. Temp. -25ºC +180ºC. Mando manual por palanca con sistema de bloqueo. Diámetro 3/4".</t>
  </si>
  <si>
    <t>2034S 06</t>
  </si>
  <si>
    <t>Válvula esfera paso total 3 piezas. Socket weld. Const. Acero al carbono WCB. Esfera y eje inoxidable 316. Asientos PTFE + 15% FV. 1000 Wog. Temp. -25ºC +180ºC. Mando manual por palanca con sistema de bloqueo. Diámetro 1".</t>
  </si>
  <si>
    <t>2034S 07</t>
  </si>
  <si>
    <t>Válvula esfera paso total 3 piezas. Socket weld. Const. Acero al carbono WCB. Esfera y eje inoxidable 316. Asientos PTFE + 15% FV. 1000 Wog. Temp. -25ºC +180ºC. Mando manual por palanca con sistema de bloqueo. Diámetro 1 1/4".</t>
  </si>
  <si>
    <t>2034S 08</t>
  </si>
  <si>
    <t>Válvula esfera paso total 3 piezas. Socket weld. Const. Acero al carbono WCB. Esfera y eje inoxidable 316. Asientos PTFE + 15% FV. 1000 Wog. Temp. -25ºC +180ºC. Mando manual por palanca con sistema de bloqueo. Diámetro 1 1/2".</t>
  </si>
  <si>
    <t>2034S 09</t>
  </si>
  <si>
    <t>Válvula esfera paso total 3 piezas. Socket weld. Const. Acero al carbono WCB. Esfera y eje inoxidable 316. Asientos PTFE + 15% FV. 1000 Wog. Temp. -25ºC +180ºC. Mando manual por palanca con sistema de bloqueo. Diámetro 2".</t>
  </si>
  <si>
    <t>2034S 10</t>
  </si>
  <si>
    <t>Válvula esfera paso total 3 piezas. Socket weld. Const. Acero al carbono WCB. Esfera y eje inoxidable 316. Asientos PTFE + 15% FV. 1000 Wog. Temp. -25ºC +180ºC. Mando manual por palanca con sistema de bloqueo. Diámetro 2 1/2".</t>
  </si>
  <si>
    <t>2034S 11</t>
  </si>
  <si>
    <t>Válvula esfera paso total 3 piezas. Socket weld. Const. Acero al carbono WCB. Esfera y eje inoxidable 316. Asientos PTFE + 15% FV. 1000 Wog. Temp. -25ºC +180ºC. Mando manual por palanca con sistema de bloqueo. Diámetro 3".</t>
  </si>
  <si>
    <t>2034S 12</t>
  </si>
  <si>
    <t>Válvula esfera paso total 3 piezas. Socket weld. Const. Acero al carbono WCB. Esfera y eje inoxidable 316. Asientos PTFE + 15% FV. 1000 Wog. Temp. -25ºC +180ºC. Mando manual por palanca con sistema de bloqueo. Diámetro 4".</t>
  </si>
  <si>
    <t>2040 02</t>
  </si>
  <si>
    <t>Válvula esfera 3 vías paso reducido. Paso tipo L. Const.: AISI 316 - Cuatro asientos PTFE+FV juntas cuerpo y eje: PTFE. Rosca BSP. PN 63. Temp. -25ºC +180ºC. Montaje directo S/ISO 5211. Diámetro 1/4".</t>
  </si>
  <si>
    <t>2040 03</t>
  </si>
  <si>
    <t>Válvula esfera 3 vías paso reducido. Paso tipo L. Const.: AISI 316 - Cuatro asientos PTFE+FV juntas cuerpo y eje: PTFE. Rosca BSP. PN 63. Temp. -25ºC +180ºC. Montaje directo S/ISO 5211. Diámetro 3/8".</t>
  </si>
  <si>
    <t>2040 04</t>
  </si>
  <si>
    <t>Válvula esfera 3 vías paso reducido. Paso tipo L. Const.: AISI 316 - Cuatro asientos PTFE+FV juntas cuerpo y eje: PTFE. Rosca BSP. PN 63. Temp. -25ºC +180ºC. Montaje directo S/ISO 5211. Diámetro 1/2".</t>
  </si>
  <si>
    <t>2040 05</t>
  </si>
  <si>
    <t>Válvula esfera 3 vías paso reducido. Paso tipo L. Const.: AISI 316 - Cuatro asientos PTFE+FV juntas cuerpo y eje: PTFE. Rosca BSP. PN 63. Temp. -25ºC +180ºC. Montaje directo S/ISO 5211. Diámetro 3/4".</t>
  </si>
  <si>
    <t>2040 06</t>
  </si>
  <si>
    <t>Válvula esfera 3 vías paso reducido. Paso tipo L. Const.: AISI 316 - Cuatro asientos PTFE+FV juntas cuerpo y eje: PTFE. Rosca BSP. PN 63. Temp. -25ºC +180ºC. Montaje directo S/ISO 5211. Diámetro 1".</t>
  </si>
  <si>
    <t>2040 07</t>
  </si>
  <si>
    <t>Válvula esfera 3 vías paso reducido. Paso tipo L. Const.: AISI 316 - Cuatro asientos PTFE+FV juntas cuerpo y eje: PTFE. Rosca BSP. PN 63. Temp. -25ºC +180ºC. Montaje directo S/ISO 5211. Diámetro 1 1/4".</t>
  </si>
  <si>
    <t>2040 08</t>
  </si>
  <si>
    <t>Válvula esfera 3 vías paso reducido. Paso tipo L. Const.: AISI 316 - Cuatro asientos PTFE+FV juntas cuerpo y eje: PTFE. Rosca BSP. PN 63. Temp. -25ºC +180ºC. Montaje directo S/ISO 5211. Diámetro 1 1/2".</t>
  </si>
  <si>
    <t>2040 09</t>
  </si>
  <si>
    <t>Válvula esfera 3 vías paso reducido. Paso tipo L. Const.: AISI 316 - Cuatro asientos PTFE+FV juntas cuerpo y eje: PTFE. Rosca BSP. PN 63. Temp. -25ºC +180ºC. Montaje directo S/ISO 5211. Diámetro 2".</t>
  </si>
  <si>
    <t>2040 10</t>
  </si>
  <si>
    <t>Válvula esfera 3 vías paso reducido. Paso tipo L. Const.: AISI 316 - Cuatro asientos PTFE+FV juntas cuerpo y eje: PTFE. Rosca BSP. PN 63. Temp. -25ºC +180ºC. Montaje directo S/ISO 5211. Diámetro 2 1/2".</t>
  </si>
  <si>
    <t>2041 02</t>
  </si>
  <si>
    <t>Válvula esfera 3 vías paso reducido. Paso tipo T. Const.: AISI 316 - Cuatro asientos PTFE+FV juntas cuerpo y eje: PTFE. Rosca BSP. PN 63. Temp. -25ºC +180ºC. Montaje directo S/ISO 5211. Diámetro 1/4".</t>
  </si>
  <si>
    <t>2041 03</t>
  </si>
  <si>
    <t>Válvula esfera 3 vías paso reducido. Paso tipo T. Const.: AISI 316 - Cuatro asientos PTFE+FV juntas cuerpo y eje: PTFE. Rosca BSP. PN 63. Temp. -25ºC +180ºC. Montaje directo S/ISO 5211. Diámetro 3/8".</t>
  </si>
  <si>
    <t>2041 04</t>
  </si>
  <si>
    <t>Válvula esfera 3 vías paso reducido. Paso tipo T. Const.: AISI 316 - Cuatro asientos PTFE+FV juntas cuerpo y eje: PTFE. Rosca BSP. PN 63. Temp. -25ºC +180ºC. Montaje directo S/ISO 5211. Diámetro 1/2".</t>
  </si>
  <si>
    <t>2041 05</t>
  </si>
  <si>
    <t>Válvula esfera 3 vías paso reducido. Paso tipo T. Const.: AISI 316 - Cuatro asientos PTFE+FV juntas cuerpo y eje: PTFE. Rosca BSP. PN 63. Temp. -25ºC +180ºC. Montaje directo S/ISO 5211. Diámetro 3/4".</t>
  </si>
  <si>
    <t>2041 06</t>
  </si>
  <si>
    <t>Válvula esfera 3 vías paso reducido. Paso tipo T. Const.: AISI 316 - Cuatro asientos PTFE+FV juntas cuerpo y eje: PTFE. Rosca BSP. PN 63. Temp. -25ºC +180ºC. Montaje directo S/ISO 5211. Diámetro 1".</t>
  </si>
  <si>
    <t>2041 07</t>
  </si>
  <si>
    <t>Válvula esfera 3 vías paso reducido. Paso tipo T. Const.: AISI 316 - Cuatro asientos PTFE+FV juntas cuerpo y eje: PTFE. Rosca BSP. PN 63. Temp. -25ºC +180ºC. Montaje directo S/ISO 5211. Diámetro 1 1/4".</t>
  </si>
  <si>
    <t>2041 08</t>
  </si>
  <si>
    <t>Válvula esfera 3 vías paso reducido. Paso tipo T. Const.: AISI 316 - Cuatro asientos PTFE+FV juntas cuerpo y eje: PTFE. Rosca BSP. PN 63. Temp. -25ºC +180ºC. Montaje directo S/ISO 5211. Diámetro 1 1/2".</t>
  </si>
  <si>
    <t>2041 09</t>
  </si>
  <si>
    <t>Válvula esfera 3 vías paso reducido. Paso tipo T. Const.: AISI 316 - Cuatro asientos PTFE+FV juntas cuerpo y eje: PTFE. Rosca BSP. PN 63. Temp. -25ºC +180ºC. Montaje directo S/ISO 5211. Diámetro 2".</t>
  </si>
  <si>
    <t>2041 10</t>
  </si>
  <si>
    <t>Válvula esfera 3 vías paso reducido. Paso tipo T. Const.: AISI 316 - Cuatro asientos PTFE+FV juntas cuerpo y eje: PTFE. Rosca BSP. PN 63. Temp. -25ºC +180ºC. Montaje directo S/ISO 5211. Diámetro 2 1/2".</t>
  </si>
  <si>
    <t>2094 10</t>
  </si>
  <si>
    <t>Válvula de compuerta con cierre de EPDM – Extremos Bridados. Construcción en fundición nodular EN-GJS400 (GGG-40).  Diseño según AWWA C515.  Recubrimiento interior y exterior con pintura epoxi RAL 3000. Certificación UL/FM. Diametro 2 1/2"</t>
  </si>
  <si>
    <t>2094 11</t>
  </si>
  <si>
    <t>Válvula de compuerta con cierre de EPDM – Extremos Bridados. Construcción en fundición nodular EN-GJS400 (GGG-40).  Diseño según AWWA C515.  Recubrimiento interior y exterior con pintura epoxi RAL 3000. Certificación UL/FM. Diametro 3"</t>
  </si>
  <si>
    <t>2094 12</t>
  </si>
  <si>
    <t>Válvula de compuerta con cierre de EPDM – Extremos Bridados. Construcción en fundición nodular EN-GJS400 (GGG-40).  Diseño según AWWA C515.  Recubrimiento interior y exterior con pintura epoxi RAL 3000. Certificación UL/FM. Diametro 4"</t>
  </si>
  <si>
    <t>2094 13</t>
  </si>
  <si>
    <t>Válvula de compuerta con cierre de EPDM – Extremos Bridados. Construcción en fundición nodular EN-GJS400 (GGG-40).  Diseño según AWWA C515.  Recubrimiento interior y exterior con pintura epoxi RAL 3000. Certificación UL/FM. Diametro 5"</t>
  </si>
  <si>
    <t>2094 14</t>
  </si>
  <si>
    <t>Válvula de compuerta con cierre de EPDM – Extremos Bridados. Construcción en fundición nodular EN-GJS400 (GGG-40).  Diseño según AWWA C515.  Recubrimiento interior y exterior con pintura epoxi RAL 3000. Certificación UL/FM. Diametro 6"</t>
  </si>
  <si>
    <t>2094 16</t>
  </si>
  <si>
    <t>Válvula de compuerta con cierre de EPDM – Extremos Bridados. Construcción en fundición nodular EN-GJS400 (GGG-40).  Diseño según AWWA C515.  Recubrimiento interior y exterior con pintura epoxi RAL 3000. Certificación UL/FM. Diametro 8"</t>
  </si>
  <si>
    <t>2094 18</t>
  </si>
  <si>
    <t>Válvula de compuerta con cierre de EPDM – Extremos Bridados. Construcción en fundición nodular EN-GJS400 (GGG-40).  Diseño según AWWA C515.  Recubrimiento interior y exterior con pintura epoxi RAL 3000. Certificación UL/FM. Diametro 10"</t>
  </si>
  <si>
    <t>2094 20</t>
  </si>
  <si>
    <t>Válvula de compuerta con cierre de EPDM – Extremos Bridados. Construcción en fundición nodular EN-GJS400 (GGG-40).  Diseño según AWWA C515.  Recubrimiento interior y exterior con pintura epoxi RAL 3000. Certificación UL/FM. Diametro 12"</t>
  </si>
  <si>
    <t>2048 06</t>
  </si>
  <si>
    <t>Válvula esfera paso total con racord dos piezas Const.: acero inox. CF8M (316) microfusión. Extremos: M-H rosca gas ISO 7-1 (EN 10226-1). Asientos:PTFE + 15% FV. Tórica eje Viton. PN 63, Temp: -25ºC + 180ºC. Mando manual por palanca con sistema bloqueo. Diametro 1".</t>
  </si>
  <si>
    <t>2048 07</t>
  </si>
  <si>
    <t>Válvula esfera paso total con racord dos piezas Const.: acero inox. CF8M (316) microfusión. Extremos: M-H rosca gas ISO 7-1 (EN 10226-1). Asientos:PTFE + 15% FV. Tórica eje Viton. PN 63, Temp: -25ºC + 180ºC. Mando manual por palanca con sistema bloqueo. Diametro 1 1/4".</t>
  </si>
  <si>
    <t>2048 08</t>
  </si>
  <si>
    <t>Válvula esfera paso total con racord dos piezas Const.: acero inox. CF8M (316) microfusión. Extremos: M-H rosca gas ISO 7-1 (EN 10226-1). Asientos:PTFE + 15% FV. Tórica eje Viton. PN 63, Temp: -25ºC + 180ºC. Mando manual por palanca con sistema bloqueo. Diametro 1 1/2".</t>
  </si>
  <si>
    <t>2101 09</t>
  </si>
  <si>
    <t>Válvula mariposa tipo wafer Montaje entre bridas PN 10/16 - ANSI 150 lbs Cuerpo fundición nodular GGG-40. Eje y disco: Inox. 316. Asiento: PTFE con base de EPDM. Temp. -25ºC +180ºC. Mando manual por palanca. Longitud entre caras según DIN 3202K1. Presión de trabajo: 10 bar Diámetro 2".</t>
  </si>
  <si>
    <t>2101 10</t>
  </si>
  <si>
    <t>Válvula mariposa tipo wafer Montaje entre bridas PN 10/16 - ANSI 150 lbs Cuerpo fundición nodular GGG-40. Eje y disco: Inox. 316. Asiento: PTFE con base de EPDM. Temp. -25ºC +180ºC. Mando manual por palanca. Longitud entre caras según DIN 3202K1. Presión de trabajo: 10 bar Diámetro 2 1/2".</t>
  </si>
  <si>
    <t>2101 11</t>
  </si>
  <si>
    <t>Válvula mariposa tipo wafer Montaje entre bridas PN 10/16 - ANSI 150 lbs Cuerpo fundición nodular GGG-40. Eje y disco: Inox. 316. Asiento: PTFE con base de EPDM. Temp. -25ºC +180ºC. Mando manual por palanca. Longitud entre caras según DIN 3202K1. Presión de trabajo: 10 bar Diámetro 3".</t>
  </si>
  <si>
    <t>2101 12</t>
  </si>
  <si>
    <t>Válvula mariposa tipo wafer Montaje entre bridas PN 10/16 - ANSI 150 lbs Cuerpo fundición nodular GGG-40. Eje y disco: Inox. 316. Asiento: PTFE con base de EPDM. Temp. -25ºC +180ºC. Mando manual por palanca. Longitud entre caras según DIN 3202K1. Presión de trabajo: 10 bar Diámetro 4".</t>
  </si>
  <si>
    <t>2101 13</t>
  </si>
  <si>
    <t>Válvula mariposa tipo wafer Montaje entre bridas PN 10/16 - ANSI 150 lbs Cuerpo fundición nodular GGG-40. Eje y disco: Inox. 316. Asiento: PTFE con base de EPDM. Temp. -25ºC +180ºC. Mando manual por palanca. Longitud entre caras según DIN 3202K1. Presión de trabajo: 10 bar Diámetro 5".</t>
  </si>
  <si>
    <t>2101 14</t>
  </si>
  <si>
    <t>Válvula mariposa tipo wafer Montaje entre bridas PN 10/16 - ANSI 150 lbs Cuerpo fundición nodular GGG-40. Eje y disco: Inox. 316. Asiento: PTFE con base de EPDM. Temp. -25ºC +180ºC. Mando manual reductor manual a volante. Longitud entre caras según DIN 3202K1. Presión de trabajo: 10 bar Diámetro 6".</t>
  </si>
  <si>
    <t>2101 16</t>
  </si>
  <si>
    <t>Válvula mariposa tipo wafer Montaje entre bridas PN 10/16 - ANSI 150 lbs Cuerpo fundición nodular GGG-40. Eje y disco: Inox. 316. Asiento: PTFE con base de EPDM. Temp. -25ºC +180ºC. Mando manual reductor manual a volante. Longitud entre caras según DIN 3202K1. Presión de trabajo: 10 bar Diámetro 8".</t>
  </si>
  <si>
    <t>2102 09</t>
  </si>
  <si>
    <t>Válvula de compuerta con cierre de EPDM y cuerpo de fundición nodular PN 16 Vástago fijo. Diseño según DIN 3352, DIN 2501, DIN 3202-F4 apta para conducción de agua. Temp. máx. de trabajo 80ºC. Diámetro 2".</t>
  </si>
  <si>
    <t>2102 10</t>
  </si>
  <si>
    <t>Válvula de compuerta con cierre de EPDM y cuerpo de fundición nodular PN 16 Vástago fijo. Diseño según DIN 3352, DIN 2501, DIN 3202-F4 apta para conducción de agua. Temp. máx. de trabajo 80ºC. Diámetro 2 1/2".</t>
  </si>
  <si>
    <t>2102 11</t>
  </si>
  <si>
    <t>Válvula de compuerta con cierre de EPDM y cuerpo de fundición nodular PN 16 Vástago fijo. Diseño según DIN 3352, DIN 2501, DIN 3202-F4 apta para conducción de agua. Temp. máx. de trabajo 80ºC. Diámetro 3".</t>
  </si>
  <si>
    <t>2102 12</t>
  </si>
  <si>
    <t>Válvula de compuerta con cierre de EPDM y cuerpo de fundición nodular PN 16 Vástago fijo. Diseño según DIN 3352, DIN 2501, DIN 3202-F4 apta para conducción de agua. Temp. máx. de trabajo 80ºC. Diámetro 4".</t>
  </si>
  <si>
    <t>2102 13</t>
  </si>
  <si>
    <t>Válvula de compuerta con cierre de EPDM y cuerpo de fundición nodular PN 16 Vástago fijo. Diseño según DIN 3352, DIN 2501, DIN 3202-F4 apta para conducción de agua. Temp. máx. de trabajo 80ºC. Diámetro 5".</t>
  </si>
  <si>
    <t>2102 14</t>
  </si>
  <si>
    <t>Válvula de compuerta con cierre de EPDM y cuerpo de fundición nodular PN 16 Vástago fijo. Diseño según DIN 3352, DIN 2501, DIN 3202-F4 apta para conducción de agua. Temp. máx. de trabajo 80ºC. Diámetro 6".</t>
  </si>
  <si>
    <t>2102 16</t>
  </si>
  <si>
    <t>Válvula de compuerta con cierre de EPDM y cuerpo de fundición nodular PN 16 Vástago fijo. Diseño según DIN 3352, DIN 2501, DIN 3202-F4 apta para conducción de agua. Temp. máx. de trabajo 80ºC. Diámetro 8".</t>
  </si>
  <si>
    <t>2102 18</t>
  </si>
  <si>
    <t>Válvula de compuerta con cierre de EPDM y cuerpo de fundición nodular PN 16 Vástago fijo. Diseño según DIN 3352, DIN 2501, DIN 3202-F4 apta para conducción de agua. Temp. máx. de trabajo 80ºC. Diámetro 10".</t>
  </si>
  <si>
    <t>2102 20</t>
  </si>
  <si>
    <t>Válvula de compuerta con cierre de EPDM y cuerpo de fundición nodular PN 16 Vástago fijo. Diseño según DIN 3352, DIN 2501, DIN 3202-F4 apta para conducción de agua. Temp. máx. de trabajo 80ºC. Diámetro 12".</t>
  </si>
  <si>
    <t>6060 09</t>
  </si>
  <si>
    <t>CONTADOR A BRIDA "WOLTMANN". REGISTRO EN SECO. POSICION DE MONTAJE HORIZONTAL (RECOMENDADA), VERTICAL O INCLINADA. EXTREMOS CONEXION CON BRIDAS DIN (ISO 7005, PN16). CONDICIONES DE TRABAJO: PRESION MAXIMA DE TRABAJO: 16 BAR (ISO 7005, PN16). TEMPERATURA MAXIMA DEL AGUA 30ºC Diámetro 2".</t>
  </si>
  <si>
    <t>6060 10</t>
  </si>
  <si>
    <t>CONTADOR A BRIDA "WOLTMANN". REGISTRO EN SECO. POSICION DE MONTAJE HORIZONTAL (RECOMENDADA), VERTICAL O INCLINADA. EXTREMOS CONEXION CON BRIDAS DIN (ISO 7005, PN16). CONDICIONES DE TRABAJO: PRESION MAXIMA DE TRABAJO: 16 BAR (ISO 7005, PN16). TEMPERATURA MAXIMA DEL AGUA 30ºC Diámetro 2 1/2".</t>
  </si>
  <si>
    <t>6060 11</t>
  </si>
  <si>
    <t>CONTADOR A BRIDA "WOLTMANN". REGISTRO EN SECO. POSICION DE MONTAJE HORIZONTAL (RECOMENDADA), VERTICAL O INCLINADA. EXTREMOS CONEXION CON BRIDAS DIN (ISO 7005, PN16). CONDICIONES DE TRABAJO: PRESION MAXIMA DE TRABAJO: 16 BAR (ISO 7005, PN16). TEMPERATURA MAXIMA DEL AGUA 30ºC Diámetro 3".</t>
  </si>
  <si>
    <t>6060 12</t>
  </si>
  <si>
    <t>CONTADOR A BRIDA "WOLTMANN". REGISTRO EN SECO. POSICION DE MONTAJE HORIZONTAL (RECOMENDADA), VERTICAL O INCLINADA. EXTREMOS CONEXION CON BRIDAS DIN (ISO 7005, PN16). CONDICIONES DE TRABAJO: PRESION MAXIMA DE TRABAJO: 16 BAR (ISO 7005, PN16). TEMPERATURA MAXIMA DEL AGUA 30ºC Diámetro 4".</t>
  </si>
  <si>
    <t>6060 13</t>
  </si>
  <si>
    <t>CONTADOR A BRIDA "WOLTMANN". REGISTRO EN SECO. POSICION DE MONTAJE HORIZONTAL (RECOMENDADA), VERTICAL O INCLINADA. EXTREMOS CONEXION CON BRIDAS DIN (ISO 7005, PN16). CONDICIONES DE TRABAJO: PRESION MAXIMA DE TRABAJO: 16 BAR (ISO 7005, PN16). TEMPERATURA MAXIMA DEL AGUA 30ºC Diámetro 5".</t>
  </si>
  <si>
    <t>6060 14</t>
  </si>
  <si>
    <t>CONTADOR A BRIDA "WOLTMANN". REGISTRO EN SECO. POSICION DE MONTAJE HORIZONTAL (RECOMENDADA), VERTICAL O INCLINADA. EXTREMOS CONEXION CON BRIDAS DIN (ISO 7005, PN16). CONDICIONES DE TRABAJO: PRESION MAXIMA DE TRABAJO: 16 BAR (ISO 7005, PN16). TEMPERATURA MAXIMA DEL AGUA 30ºC Diámetro 6".</t>
  </si>
  <si>
    <t>6060 16</t>
  </si>
  <si>
    <t>CONTADOR A BRIDA "WOLTMANN". REGISTRO EN SECO. POSICION DE MONTAJE HORIZONTAL (RECOMENDADA), VERTICAL O INCLINADA. EXTREMOS CONEXION CON BRIDAS DIN (ISO 7005, PN16). CONDICIONES DE TRABAJO: PRESION MAXIMA DE TRABAJO: 16 BAR (ISO 7005, PN16). TEMPERATURA MAXIMA DEL AGUA 30ºC Diámetro 8".</t>
  </si>
  <si>
    <t>6060 18</t>
  </si>
  <si>
    <t>CONTADOR A BRIDA "WOLTMANN". REGISTRO EN SECO. POSICION DE MONTAJE HORIZONTAL (RECOMENDADA), VERTICAL O INCLINADA. EXTREMOS CONEXION CON BRIDAS DIN (ISO 7005, PN16). CONDICIONES DE TRABAJO: PRESION MAXIMA DE TRABAJO: 16 BAR (ISO 7005, PN16). TEMPERATURA MAXIMA DEL AGUA 30ºC Diámetro 10".</t>
  </si>
  <si>
    <t>2104 09</t>
  </si>
  <si>
    <t>Válvula mariposa tipo wafer Montaje entre bridas PN 10/16 - ANSI 150 lbs Cuerpo, eje y disco: inoxidable 316 (CF8M). Asiento: PTFE con base de EPDM. Temp. -25ºC +180ºC. Longitud entre caras según DIN 3202K1. Presión de trabajo: 10 bar Diámetro 2".</t>
  </si>
  <si>
    <t>2104 10</t>
  </si>
  <si>
    <t>Válvula mariposa tipo wafer Montaje entre bridas PN 10/16 - ANSI 150 lbs Cuerpo, eje y disco: inoxidable 316 (CF8M). Asiento: PTFE con base de EPDM. Temp. -25ºC +180ºC. Longitud entre caras según DIN 3202K1. Presión de trabajo: 10 bar Diámetro 2 1/2".</t>
  </si>
  <si>
    <t>2104 11</t>
  </si>
  <si>
    <t>Válvula mariposa tipo wafer Montaje entre bridas PN 10/16 - ANSI 150 lbs Cuerpo, eje y disco: inoxidable 316 (CF8M). Asiento: PTFE con base de EPDM. Temp. -25ºC +180ºC. Longitud entre caras según DIN 3202K1. Presión de trabajo: 10 bar Diámetro 3".</t>
  </si>
  <si>
    <t>2104 12</t>
  </si>
  <si>
    <t>Válvula mariposa tipo wafer Montaje entre bridas PN 10/16 - ANSI 150 lbs Cuerpo, eje y disco: inoxidable 316 (CF8M). Asiento: PTFE con base de EPDM. Temp. -25ºC +180ºC. Longitud entre caras según DIN 3202K1. Presión de trabajo: 10 bar Diámetro 4".</t>
  </si>
  <si>
    <t>2104 13</t>
  </si>
  <si>
    <t>Válvula mariposa tipo wafer Montaje entre bridas PN 10/16 - ANSI 150 lbs Cuerpo, eje y disco: inoxidable 316 (CF8M). Asiento: PTFE con base de EPDM. Temp. -25ºC +180ºC. Longitud entre caras según DIN 3202K1. Presión de trabajo: 10 bar Diámetro 5".</t>
  </si>
  <si>
    <t>2104 14</t>
  </si>
  <si>
    <t>Válvula mariposa tipo wafer Montaje entre bridas PN 10/16 - ANSI 150 lbs Cuerpo, eje y disco: inoxidable 316 (CF8M). Asiento: PTFE con base de EPDM. Temp. -25ºC +180ºC. Longitud entre caras según DIN 3202K1. Presión de trabajo: 10 bar Diámetro 6".</t>
  </si>
  <si>
    <t>2104 16</t>
  </si>
  <si>
    <t>Válvula mariposa tipo wafer Montaje entre bridas PN 10/16 - ANSI 150 lbs Cuerpo, eje y disco: inoxidable 316 (CF8M). Asiento: PTFE con base de EPDM. Temp. -25ºC +180ºC. Longitud entre caras según DIN 3202K1. Presión de trabajo: 10 bar Diámetro 8".</t>
  </si>
  <si>
    <t>2104 18</t>
  </si>
  <si>
    <t>Válvula mariposa tipo wafer Montaje entre bridas PN 10/16 - ANSI 150 lbs Cuerpo, eje y disco: inoxidable 316 (CF8M). Asiento: PTFE con base de EPDM. Temp. -25ºC +180ºC. Longitud entre caras según DIN 3202K1. Presión de trabajo: 10 bar Diámetro 10".</t>
  </si>
  <si>
    <t>2108A 09</t>
  </si>
  <si>
    <t>Válvula mariposa tipo Lug. Montaje entre bridas ANSI 125/150. Cuerpo fundición nodular GGG-40. Disco CF8M (316) Elastómero EPDM. Tóricas eje NBR. Temperatura de trabajo -20ºC +120ºC. Montaje actuador s/ISO 5211. Diámetro 2".</t>
  </si>
  <si>
    <t>2108A 10</t>
  </si>
  <si>
    <t>Válvula mariposa tipo Lug. Montaje entre bridas ANSI 125/150. Cuerpo fundición nodular GGG-40. Disco CF8M (316) Elastómero EPDM. Tóricas eje NBR. Temperatura de trabajo -20ºC +120ºC. Montaje actuador s/ISO 5211.  Diámetro 2 1/2".</t>
  </si>
  <si>
    <t>2108A 11</t>
  </si>
  <si>
    <t>Válvula mariposa tipo Lug. Montaje entre bridas ANSI 125/150. Cuerpo fundición nodular GGG-40. Disco CF8M (316) Elastómero EPDM. Tóricas eje NBR. Temperatura de trabajo -20ºC +120ºC. Montaje actuador s/ISO 5211. Diámetro 3".</t>
  </si>
  <si>
    <t>2108A 12</t>
  </si>
  <si>
    <t>Válvula mariposa tipo Lug. Montaje entre bridas ANSI 125/150. Cuerpo fundición nodular GGG-40. Disco CF8M (316) Elastómero EPDM. Tóricas eje NBR. Temperatura de trabajo -20ºC +120ºC. Montaje actuador s/ISO 5211. Diámetro 4".</t>
  </si>
  <si>
    <t>2108A 13</t>
  </si>
  <si>
    <t>Válvula mariposa tipo Lug. Montaje entre bridas ANSI 125/150. Cuerpo fundición nodular GGG-40. Disco CF8M (316) Elastómero EPDM. Tóricas eje NBR. Temperatura de trabajo -20ºC +120ºC. Montaje actuador s/ISO 5211.  Diámetro 5".</t>
  </si>
  <si>
    <t>2108A 14</t>
  </si>
  <si>
    <t>Válvula mariposa tipo Lug. Montaje entre bridas ANSI 125/150. Cuerpo fundición nodular GGG-40. Disco CF8M (316) Elastómero EPDM. Tóricas eje NBR. Temperatura de trabajo -20ºC +120ºC. Montaje actuador s/ISO 5211. Diámetro 6".</t>
  </si>
  <si>
    <t>2108A 16</t>
  </si>
  <si>
    <t>Válvula mariposa tipo Lug. Montaje entre bridas ANSI 125/150. Cuerpo fundición nodular GGG-40. Disco CF8M (316) Elastómero EPDM. Tóricas eje NBR. Temperatura de trabajo -20ºC +120ºC. Montaje actuador s/ISO 5211. Diámetro 8".</t>
  </si>
  <si>
    <t>2108A 18</t>
  </si>
  <si>
    <t>Válvula mariposa tipo Lug. Montaje entre bridas ANSI 125/150. Cuerpo fundición nodular GGG-40. Disco CF8M (316) Elastómero EPDM. Tóricas eje NBR. Temperatura de trabajo -20ºC +120ºC. Montaje actuador s/ISO 5211. Diámetro 10".</t>
  </si>
  <si>
    <t>2108A 20</t>
  </si>
  <si>
    <t>Válvula mariposa tipo Lug. Montaje entre bridas ANSI 125/150. Cuerpo fundición nodular GGG-40. Disco CF8M (316) Elastómero EPDM. Tóricas eje NBR. Temperatura de trabajo -20ºC +120ºC. Montaje actuador s/ISO 5211. Diámetro 12".</t>
  </si>
  <si>
    <t>2108A 22</t>
  </si>
  <si>
    <t>Válvula mariposa tipo Lug. Montaje entre bridas ANSI 125/150. Cuerpo fundición nodular GGG-40. Disco CF8M (316) Elastómero EPDM. Tóricas eje NBR. Temperatura de trabajo -20ºC +120ºC. Montaje actuador s/ISO 5211. Diámetro 14".</t>
  </si>
  <si>
    <t>2108A 24</t>
  </si>
  <si>
    <t>Válvula mariposa tipo Lug. Montaje entre bridas ANSI 125/150. Cuerpo fundición nodular GGG-40. Disco CF8M (316) Elastómero EPDM. Tóricas eje NBR. Temperatura de trabajo -20ºC +120ºC. Montaje actuador s/ISO 5211. Diámetro 16".</t>
  </si>
  <si>
    <t>2108A 26</t>
  </si>
  <si>
    <t>Válvula mariposa tipo Lug. Montaje entre bridas ANSI 125/150. Cuerpo fundición nodular GGG-40. Disco CF8M (316) Elastómero EPDM. Tóricas eje NBR. Temperatura de trabajo -20ºC +120ºC. Montaje actuador s/ISO 5211.  Diámetro 18".</t>
  </si>
  <si>
    <t>2108A 28</t>
  </si>
  <si>
    <t>Válvula mariposa tipo Lug. Montaje entre bridas ANSI 125/150. Cuerpo fundición nodular GGG-40. Disco CF8M (316) Elastómero EPDM. Tóricas eje NBR. Temperatura de trabajo -20ºC +120ºC. Montaje actuador s/ISO 5211.  Diámetro 20".</t>
  </si>
  <si>
    <t>2109 09</t>
  </si>
  <si>
    <t>Válvula mariposa tipo wafer PN-10/16. ANSI 150 lbs. Cuerpo hierro fundido + epoxy disco acero inox. AISI 316. Elastómero EPDM. Tóricas eje NBR. Temp. máx. 120ºC. Brida montaje actuadores S/ISO 5211.  Diámetro 2".</t>
  </si>
  <si>
    <t>2109 10</t>
  </si>
  <si>
    <t>Válvula mariposa tipo wafer PN-10/16. ANSI 150 lbs. Cuerpo hierro fundido + epoxy disco acero inox. AISI 316. Elastómero EPDM. Tóricas eje NBR. Temp. máx. 120ºC. Brida montaje actuadores S/ISO 5211.  Diámetro 2 1/2".</t>
  </si>
  <si>
    <t>2109 11</t>
  </si>
  <si>
    <t>Válvula mariposa tipo wafer PN-10/16. ANSI 150 lbs. Cuerpo hierro fundido + epoxy disco acero inox. AISI 316. Elastómero EPDM. Tóricas eje NBR. Temp. máx. 120ºC. Brida montaje actuadores S/ISO 5211.  Diámetro 3".</t>
  </si>
  <si>
    <t>2109 12</t>
  </si>
  <si>
    <t>Válvula mariposa tipo wafer PN-10/16. ANSI 150 lbs. Cuerpo hierro fundido + epoxy disco acero inox. AISI 316. Elastómero EPDM. Tóricas eje NBR. Temp. máx. 120ºC. Brida montaje actuadores S/ISO 5211.  Diámetro 4".</t>
  </si>
  <si>
    <t>2109 13</t>
  </si>
  <si>
    <t>Válvula mariposa tipo wafer PN-10/16. ANSI 150 lbs. Cuerpo hierro fundido + epoxy disco acero inox. AISI 316. Elastómero EPDM. Tóricas eje NBR. Temp. máx. 120ºC. Brida montaje actuadores S/ISO 5211.   Diámetro 5".</t>
  </si>
  <si>
    <t>2109 14</t>
  </si>
  <si>
    <t>Válvula mariposa tipo wafer PN-10/16. ANSI 150 lbs. Cuerpo hierro fundido + epoxy disco acero inox. AISI 316. Elastómero EPDM. Tóricas eje NBR. Temp. máx. 120ºC. Brida montaje actuadores S/ISO 5211.  Diámetro 6".</t>
  </si>
  <si>
    <t>2109 16</t>
  </si>
  <si>
    <t>Válvula mariposa tipo wafer PN-10/16. ANSI 150 lbs. Cuerpo hierro fundido + epoxy disco acero inox. AISI 316. Elastómero EPDM. Tóricas eje NBR. Temp. máx. 120ºC. Brida montaje actuadores S/ISO 5211.  Diámetro 8".</t>
  </si>
  <si>
    <t>2109 18</t>
  </si>
  <si>
    <t>Válvula mariposa tipo wafer PN-10/16. ANSI 150 lbs. Cuerpo hierro fundido + epoxy disco acero inox. AISI 316. Elastómero EPDM. Tóricas eje NBR. Temp. máx. 120ºC. Brida montaje actuadores S/ISO 5211.  Diámetro 10".</t>
  </si>
  <si>
    <t>2109 20</t>
  </si>
  <si>
    <t>Válvula mariposa tipo wafer PN-10/16. ANSI 150 lbs. Cuerpo hierro fundido + epoxy disco acero inox. AISI 316. Elastómero EPDM. Tóricas eje NBR. Temp. máx. 120ºC. Brida montaje actuadores S/ISO 5211.  Diámetro 12" CON REDUCTOR.</t>
  </si>
  <si>
    <t>2109 22</t>
  </si>
  <si>
    <t>Válvula mariposa tipo wafer PN-10/16. ANSI 150 lbs. Cuerpo hierro fundido + epoxy disco acero inox. AISI 316. Elastómero EPDM. Tóricas eje NBR. Temp. máx. 120ºC. Brida montaje actuadores S/ISO 5211.  Diámetro 14" CON REDUCTOR.</t>
  </si>
  <si>
    <t>2109 24</t>
  </si>
  <si>
    <t>Válvula mariposa tipo wafer PN-10/16. ANSI 150 lbs. Cuerpo hierro fundido + epoxy disco acero inox. AISI 316. Elastómero EPDM. Tóricas eje NBR. Temp. máx. 120ºC. Brida montaje actuadores S/ISO 5211.  Diámetro 16" CON REDUCTOR.</t>
  </si>
  <si>
    <t>2109 26</t>
  </si>
  <si>
    <t>Válvula mariposa tipo wafer PN-10/16. ANSI 150 lbs. Cuerpo hierro fundido + epoxy disco acero inox. AISI 316. Elastómero EPDM. Tóricas eje NBR. Temp. máx. 120ºC. Brida montaje actuadores S/ISO 5211.  Diámetro 18" CON REDUCTOR.</t>
  </si>
  <si>
    <t>2109 28</t>
  </si>
  <si>
    <t>Válvula mariposa tipo wafer PN-10/16. ANSI 150 lbs. Cuerpo hierro fundido + epoxy disco acero inox. AISI 316. Elastómero EPDM. Tóricas eje NBR. Temp. máx. 120ºC. Brida montaje actuadores S/ISO 5211. Diámetro 20" CON REDUCTOR.</t>
  </si>
  <si>
    <t>2109 32</t>
  </si>
  <si>
    <t>Válvula mariposa tipo wafer PN-10/16. ANSI 150 lbs. Cuerpo hierro fundido + epoxy disco acero inox. AISI 316. Elastómero EPDM. Tóricas eje NBR. Temp. máx. 120ºC. Brida montaje actuadores S/ISO 5211. Diámetro 24".</t>
  </si>
  <si>
    <t>2109B 09</t>
  </si>
  <si>
    <t>Válvula mariposa tipo wafer PN-10/16. ANSI 150 lbs. Cuerpo hierro fundido + epoxy disco acero inox. AISI 316. Elastómero BUNA. Tóricas eje NBR. Temp. máx. 120ºC. Brida montaje actuadores S/ISO 5211.  Diámetro 2".</t>
  </si>
  <si>
    <t>2109B 10</t>
  </si>
  <si>
    <t>Válvula mariposa tipo wafer PN-10/16. ANSI 150 lbs. Cuerpo hierro fundido + epoxy disco acero inox. AISI 316. Elastómero BUNA. Tóricas eje NBR. Temp. máx. 120ºC. Brida montaje actuadores S/ISO 5211.  Diámetro 2 1/2".</t>
  </si>
  <si>
    <t>2109B 11</t>
  </si>
  <si>
    <t>Válvula mariposa tipo wafer PN-10/16. ANSI 150 lbs. Cuerpo hierro fundido + epoxy disco acero inox. AISI 316. Elastómero BUNA. Tóricas eje NBR. Temp. máx. 120ºC. Brida montaje actuadores S/ISO 5211.  Diámetro 3".</t>
  </si>
  <si>
    <t>2109B 12</t>
  </si>
  <si>
    <t>Válvula mariposa tipo wafer PN-10/16. ANSI 150 lbs. Cuerpo hierro fundido + epoxy disco acero inox. AISI 316. Elastómero BUNA. Tóricas eje NBR. Temp. máx. 120ºC. Brida montaje actuadores S/ISO 5211.  Diámetro 4".</t>
  </si>
  <si>
    <t>2109B 13</t>
  </si>
  <si>
    <t>Válvula mariposa tipo wafer PN-10/16. ANSI 150 lbs. Cuerpo hierro fundido + epoxy disco acero inox. AISI 316. Elastómero BUNA. Tóricas eje NBR. Temp. máx. 120ºC. Brida montaje actuadores S/ISO 5211.   Diámetro 5".</t>
  </si>
  <si>
    <t>2109B 14</t>
  </si>
  <si>
    <t>Válvula mariposa tipo wafer PN-10/16. ANSI 150 lbs. Cuerpo hierro fundido + epoxy disco acero inox. AISI 316. Elastómero BUNA. Tóricas eje NBR. Temp. máx. 120ºC. Brida montaje actuadores S/ISO 5211.  Diámetro 6".</t>
  </si>
  <si>
    <t>2109B 16</t>
  </si>
  <si>
    <t>Válvula mariposa tipo wafer PN-10/16. ANSI 150 lbs. Cuerpo hierro fundido + epoxy disco acero inox. AISI 316. Elastómero BUNA. Tóricas eje NBR. Temp. máx. 120ºC. Brida montaje actuadores S/ISO 5211.  Diámetro 8".</t>
  </si>
  <si>
    <t>2109B 18</t>
  </si>
  <si>
    <t>Válvula mariposa tipo wafer PN-10/16. ANSI 150 lbs. Cuerpo hierro fundido + epoxy disco acero inox. AISI 316. Elastómero BUNA. Tóricas eje NBR. Temp. máx. 120ºC. Brida montaje actuadores S/ISO 5211.  Diámetro 10".</t>
  </si>
  <si>
    <t>2109B 20</t>
  </si>
  <si>
    <t>Válvula mariposa tipo wafer PN-10/16. ANSI 150 lbs. Cuerpo hierro fundido + epoxy disco acero inox. AISI 316. Elastómero BUNA. Tóricas eje NBR. Temp. máx. 120ºC. Brida montaje actuadores S/ISO 5211.  Diámetro 12" CON REDUCTOR.</t>
  </si>
  <si>
    <t>2109B 22</t>
  </si>
  <si>
    <t>Válvula mariposa tipo wafer PN-10/16. ANSI 150 lbs. Cuerpo hierro fundido + epoxy disco acero inox. AISI 316. Elastómero BUNA. Tóricas eje NBR. Temp. máx. 120ºC. Brida montaje actuadores S/ISO 5211. Diámetro 14" CON REDUCTOR.</t>
  </si>
  <si>
    <t>2109B 24</t>
  </si>
  <si>
    <t>Válvula mariposa tipo wafer PN-10/16. ANSI 150 lbs. Cuerpo hierro fundido + epoxy disco acero inox. AISI 316. Elastómero BUNA. Tóricas eje NBR. Temp. máx. 120ºC. Brida montaje actuadores S/ISO 5211. . Diámetro 16".</t>
  </si>
  <si>
    <t>2109B 26</t>
  </si>
  <si>
    <t>Válvula mariposa tipo wafer PN-10/16. ANSI 150 lbs. Cuerpo hierro fundido + epoxy disco acero inox. AISI 316. Elastómero BUNA. Tóricas eje NBR. Temp. máx. 120ºC. Brida montaje actuadores S/ISO 5211. Diámetro 18" CON REDUCTOR.</t>
  </si>
  <si>
    <t>2109B 28</t>
  </si>
  <si>
    <t>Válvula mariposa tipo wafer PN-10/16. ANSI 150 lbs. Cuerpo hierro fundido + epoxy disco acero inox. AISI 316. Elastómero BUNA. Tóricas eje NBR. Temp. máx. 120ºC. Brida montaje actuadores S/ISO 5211. Diámetro 20".</t>
  </si>
  <si>
    <t>2118 04</t>
  </si>
  <si>
    <t>Válvula esfera Tipo Wafer paso total 1 pieza montaje entre bridas PN 16. Const. acero inox 316. Esfera y eje inoxidable 316. Asientos PTFE + 15% FV. PN 16. Temp. -25ºC +180ºC. Montaje directo S/ISO 5211. Diámetro 1/2".</t>
  </si>
  <si>
    <t>2118 05</t>
  </si>
  <si>
    <t>Válvula esfera Tipo Wafer paso total 1 pieza montaje entre bridas PN 16. Const. acero inox 316. Esfera y eje inoxidable 316. Asientos PTFE + 15% FV. PN 16. Temp. -25ºC +180ºC. Montaje directo S/ISO 5211.  Diámetro 3/4".</t>
  </si>
  <si>
    <t>2118 06</t>
  </si>
  <si>
    <t>Válvula esfera Tipo Wafer paso total 1 pieza montaje entre bridas PN 16. Const. acero inox 316. Esfera y eje inoxidable 316. Asientos PTFE + 15% FV. PN 16. Temp. -25ºC +180ºC. Montaje directo S/ISO 5211. Diámetro 1".</t>
  </si>
  <si>
    <t>2118 07</t>
  </si>
  <si>
    <t>Válvula esfera Tipo Wafer paso total 1 pieza montaje entre bridas PN 16. Const. acero inox 316. Esfera y eje inoxidable 316. Asientos PTFE + 15% FV. PN 16. Temp. -25ºC +180ºC. Montaje directo S/ISO 5211. Diámetro 1 1/4".</t>
  </si>
  <si>
    <t>2118 08</t>
  </si>
  <si>
    <t>Válvula esfera Tipo Wafer paso total 1 pieza montaje entre bridas PN 16. Const. acero inox 316. Esfera y eje inoxidable 316. Asientos PTFE + 15% FV. PN 16. Temp. -25ºC +180ºC. Montaje directo S/ISO 5211. Diámetro 1 1/2".</t>
  </si>
  <si>
    <t>2118 09</t>
  </si>
  <si>
    <t>Válvula esfera Tipo Wafer paso total 1 pieza montaje entre bridas PN 16. Const. acero inox 316. Esfera y eje inoxidable 316. Asientos PTFE + 15% FV. PN 16. Temp. -25ºC +180ºC. Montaje directo S/ISO 5211. Diámetro 2".</t>
  </si>
  <si>
    <t>2118 10</t>
  </si>
  <si>
    <t>Válvula esfera Tipo Wafer paso total 1 pieza montaje entre bridas PN 16. Const. acero inox 316. Esfera y eje inoxidable 316. Asientos PTFE + 15% FV. PN 16. Temp. -25ºC +180ºC. Montaje directo S/ISO 5211. Diámetro 2 1/2".</t>
  </si>
  <si>
    <t>2118 11</t>
  </si>
  <si>
    <t>Válvula esfera Tipo Wafer paso total 1 pieza montaje entre bridas PN 16. Const. acero inox 316. Esfera y eje inoxidable 316. Asientos PTFE + 15% FV. PN 16. Temp. -25ºC +180ºC. Montaje directo S/ISO 5211.  Diámetro 3".</t>
  </si>
  <si>
    <t>2118 12</t>
  </si>
  <si>
    <t>Válvula esfera Tipo Wafer paso total 1 pieza montaje entre bridas PN 16. Const. acero inox 316. Esfera y eje inoxidable 316. Asientos PTFE + 15% FV. PN 16. Temp. -25ºC +180ºC. Montaje directo S/ISO 5211. Diámetro 4".</t>
  </si>
  <si>
    <t>2119 04</t>
  </si>
  <si>
    <t>Válvula esfera Paso Total 1 pieza con cámara de calefacción. Montaje entre bridas PN 16 Const. acero inox CF8M (316) Microfusión. Esfera y eje inoxidable 316. Asientos PTFE + 15% FV. PN 16. Temp. -25 ºC +180 ºC. Montaje directo s/ ISO 5211. Mando manual por palanca con sistema de bloqueo. Diametro 1/2".</t>
  </si>
  <si>
    <t>2119 05</t>
  </si>
  <si>
    <t>Válvula esfera Paso Total 1 pieza con cámara de calefacción. Montaje entre bridas PN 16 Const. acero inox CF8M (316) Microfusión. Esfera y eje inoxidable 316. Asientos PTFE + 15% FV. PN 16. Temp. -25 ºC +180 ºC. Montaje directo s/ ISO 5211. Mando manual por palanca con sistema de bloqueo. Diametro 3/4".</t>
  </si>
  <si>
    <t>2119 06</t>
  </si>
  <si>
    <t>Válvula esfera Paso Total 1 pieza con cámara de calefacción. Montaje entre bridas PN 16 Const. acero inox CF8M (316) Microfusión. Esfera y eje inoxidable 316. Asientos PTFE + 15% FV. PN 16. Temp. -25 ºC +180 ºC. Montaje directo s/ ISO 5211. Mando manual por palanca con sistema de bloqueo. Diametro 1".</t>
  </si>
  <si>
    <t>2119 07</t>
  </si>
  <si>
    <t>Válvula esfera Paso Total 1 pieza con cámara de calefacción. Montaje entre bridas PN 16 Const. acero inox CF8M (316) Microfusión. Esfera y eje inoxidable 316. Asientos PTFE + 15% FV. PN 16. Temp. -25 ºC +180 ºC. Montaje directo s/ ISO 5211. Mando manual por palanca con sistema de bloqueo. Diametro 1 1/4".</t>
  </si>
  <si>
    <t>2119 08</t>
  </si>
  <si>
    <t>Válvula esfera Paso Total 1 pieza con cámara de calefacción. Montaje entre bridas PN 16 Const. acero inox CF8M (316) Microfusión. Esfera y eje inoxidable 316. Asientos PTFE + 15% FV. PN 16. Temp. -25 ºC +180 ºC. Montaje directo s/ ISO 5211. Mando manual por palanca con sistema de bloqueo. Diametro 1 1/2".</t>
  </si>
  <si>
    <t>2119 09</t>
  </si>
  <si>
    <t>Válvula esfera Paso Total 1 pieza con cámara de calefacción. Montaje entre bridas PN 16 Const. acero inox CF8M (316) Microfusión. Esfera y eje inoxidable 316. Asientos PTFE + 15% FV. PN 16. Temp. -25 ºC +180 ºC. Montaje directo s/ ISO 5211. Mando manual por palanca con sistema de bloqueo. Diametro 2".</t>
  </si>
  <si>
    <t>2119 10</t>
  </si>
  <si>
    <t>Válvula esfera Paso Total 1 pieza con cámara de calefacción. Montaje entre bridas PN 16 Const. acero inox CF8M (316) Microfusión. Esfera y eje inoxidable 316. Asientos PTFE + 15% FV. PN 16. Temp. -25 ºC +180 ºC. Montaje directo s/ ISO 5211. Mando manual por palanca con sistema de bloqueo. Diametro 2 1/2".</t>
  </si>
  <si>
    <t>2119 11</t>
  </si>
  <si>
    <t>Válvula esfera Paso Total 1 pieza con cámara de calefacción. Montaje entre bridas PN 16 Const. acero inox CF8M (316) Microfusión. Esfera y eje inoxidable 316. Asientos PTFE + 15% FV. PN 16. Temp. -25 ºC +180 ºC. Montaje directo s/ ISO 5211. Mando manual por palanca con sistema de bloqueo. Diametro 3".</t>
  </si>
  <si>
    <t>2119 12</t>
  </si>
  <si>
    <t>Válvula esfera Paso Total 1 pieza con cámara de calefacción. Montaje entre bridas PN 16 Const. acero inox CF8M (316) Microfusión. Esfera y eje inoxidable 316. Asientos PTFE + 15% FV. PN 16. Temp. -25 ºC +180 ºC. Montaje directo s/ ISO 5211. Mando manual por palanca con sistema de bloqueo. Diametro 4".</t>
  </si>
  <si>
    <t>2220 04</t>
  </si>
  <si>
    <t>Válvula de compuerta PN-16. Rosca BSP. Construcción: inox. CF8M (316) microfusión. Juntas: PTFE. Conexión: rosca gas ISO 7-1 (EN 10226-1). Presión máx.: 16BAR a 120ºC - 10 BAR a 180ºC. Temp. mín. -30ºC. Diámetro 1/2".</t>
  </si>
  <si>
    <t>2220 05</t>
  </si>
  <si>
    <t>Válvula de compuerta PN-16. Rosca BSP. Construcción: inox. CF8M (316) microfusión. Juntas: PTFE. Conexión: rosca gas ISO 7-1 (EN 10226-1). Presión máx.: 16BAR a 120ºC - 10 BAR a 180ºC. Temp. mín. -30ºC. Diámetro 3/4".</t>
  </si>
  <si>
    <t>2220 06</t>
  </si>
  <si>
    <t>Válvula de compuerta PN-16. Rosca BSP. Construcción: inox. CF8M (316) microfusión. Juntas: PTFE. Conexión: rosca gas ISO 7-1 (EN 10226-1). Presión máx.: 16BAR a 120ºC - 10 BAR a 180ºC. Temp. mín. -30ºC. Diámetro 1".</t>
  </si>
  <si>
    <t>2220 07</t>
  </si>
  <si>
    <t>Válvula de compuerta PN-16. Rosca BSP. Construcción: inox. CF8M (316) microfusión. Juntas: PTFE. Conexión: rosca gas ISO 7-1 (EN 10226-1). Presión máx.: 16BAR a 120ºC - 10 BAR a 180ºC. Temp. mín. -30ºC. Diámetro 1 1/4".</t>
  </si>
  <si>
    <t>2220 08</t>
  </si>
  <si>
    <t>Válvula de compuerta PN-16. Rosca BSP. Construcción: inox. CF8M (316) microfusión. Juntas: PTFE. Conexión: rosca gas ISO 7-1 (EN 10226-1). Presión máx.: 16BAR a 120ºC - 10 BAR a 180ºC. Temp. mín. -30ºC. Diámetro 1 1/2".</t>
  </si>
  <si>
    <t>2220 09</t>
  </si>
  <si>
    <t>Válvula de compuerta PN-16. Rosca BSP. Construcción: inox. CF8M (316) microfusión. Juntas: PTFE. Conexión: rosca gas ISO 7-1 (EN 10226-1). Presión máx.: 16BAR a 120ºC - 10 BAR a 180ºC. Temp. mín. -30ºC. Diámetro 2".</t>
  </si>
  <si>
    <t>2221 02</t>
  </si>
  <si>
    <t>Válvulas de aguja – 3000 Lbs Art. 2221. Rosca BSP H/H. Construcción: acero A105 / aguja INOX A182 F316 + T. Térmico. Estopada: PTFE Presión máxima de trabajo 210 bar.  Temperatura de trabajo -20ºC a 250ºC. Diámetro 1/4".</t>
  </si>
  <si>
    <t>2221 03</t>
  </si>
  <si>
    <t>Válvulas de aguja – 3000 Lbs Art. 2221. Rosca BSP H/H. Construcción: acero A105 / aguja INOX A182 F316 + T. Térmico. Estopada: PTFE Presión máxima de trabajo 210 bar.  Temperatura de trabajo -20ºC a 250ºC. Diámetro 3/8".</t>
  </si>
  <si>
    <t>2221 04</t>
  </si>
  <si>
    <t>Válvulas de aguja – 3000 Lbs Art. 2221. Rosca BSP H/H. Construcción: acero A105 / aguja INOX A182 F316 + T. Térmico. Estopada: PTFE Presión máxima de trabajo 210 bar.  Temperatura de trabajo -20ºC a 250ºC. Diámetro 1/2".</t>
  </si>
  <si>
    <t>2221 05</t>
  </si>
  <si>
    <t>Válvulas de aguja – 3000 Lbs Art. 2221. Rosca BSP H/H. Construcción: acero A105 / aguja INOX A182 F316 + T. Térmico. Estopada: PTFE Presión máxima de trabajo 210 bar.  Temperatura de trabajo -20ºC a 250ºC. Diámetro 3/4".</t>
  </si>
  <si>
    <t>2221 06</t>
  </si>
  <si>
    <t>Válvulas de aguja – 3000 Lbs Art. 2221. Rosca BSP H/H. Construcción: acero A105 / aguja INOX A182 F316 + T. Térmico. Estopada: PTFE Presión máxima de trabajo 210 bar.  Temperatura de trabajo -20ºC a 250ºC. Diámetro 1".</t>
  </si>
  <si>
    <t>2223 02</t>
  </si>
  <si>
    <t>Válvulas de aguja – 3000 Lbs Art. 2223. Rosca gas H/H. Construcción: acero inoxidable A182 F316/aguja inox A182 F316 + T. térmico. Estopada: PTFE. Presión máxima de trabajo 210 bar. Temperatura de trabajo: -20ºC a 250ºC. Diámetro 1/4".</t>
  </si>
  <si>
    <t>2223 03</t>
  </si>
  <si>
    <t>Válvulas de aguja – 3000 Lbs Art. 2223. Rosca gas H/H. Construcción: acero inoxidable A182 F316/aguja inox A182 F316 + T. térmico. Estopada: PTFE. Presión máxima de trabajo 210 bar. Temperatura de trabajo: -20ºC a 250ºC. Diámetro 3/8".</t>
  </si>
  <si>
    <t>2223 04</t>
  </si>
  <si>
    <t>Válvulas de aguja – 3000 Lbs Art. 2223. Rosca gas H/H. Construcción: acero inoxidable A182 F316/aguja inox A182 F316 + T. térmico. Estopada: PTFE. Presión máxima de trabajo 210 bar. Temperatura de trabajo: -20ºC a 250ºC. Diámetro 1/2".</t>
  </si>
  <si>
    <t>2223 05</t>
  </si>
  <si>
    <t>Válvulas de aguja – 3000 Lbs Art. 2223. Rosca gas H/H. Construcción: acero inoxidable A182 F316/aguja inox A182 F316 + T. térmico. Estopada: PTFE. Presión máxima de trabajo 210 bar. Temperatura de trabajo: -20ºC a 250ºC. Diámetro 3/4".</t>
  </si>
  <si>
    <t>2223 06</t>
  </si>
  <si>
    <t>Válvulas de aguja – 3000 Lbs Art. 2223. Rosca gas H/H. Construcción: acero inoxidable A182 F316/aguja inox A182 F316 + T. térmico. Estopada: PTFE. Presión máxima de trabajo 210 bar. Temperatura de trabajo: -20ºC a 250ºC. Diámetro 1".</t>
  </si>
  <si>
    <t>2223 07</t>
  </si>
  <si>
    <t>Válvulas de aguja – 3000 Lbs Art. 2223. Rosca gas H/H. Construcción: acero inoxidable A182 F316/aguja inox A182 F316 + T. térmico. Estopada: PTFE. Presión máxima de trabajo 210 bar. Temperatura de trabajo: -20ºC a 250ºC. Diámetro 1 1/4".</t>
  </si>
  <si>
    <t>2223 08</t>
  </si>
  <si>
    <t>Válvulas de aguja – 3000 Lbs Art. 2223. Rosca gas H/H. Construcción: acero inoxidable A182 F316/aguja inox A182 F316 + T. térmico. Estopada: PTFE. Presión máxima de trabajo 210 bar. Temperatura de trabajo: -20ºC a 250ºC. Diámetro 1 1/2".</t>
  </si>
  <si>
    <t>2223 09</t>
  </si>
  <si>
    <t>Válvulas de aguja – 3000 Lbs Art. 2223. Rosca gas H/H. Construcción: acero inoxidable A182 F316/aguja inox A182 F316 + T. térmico. Estopada: PTFE. Presión máxima de trabajo 210 bar. Temperatura de trabajo: -20ºC a 250ºC. Diámetro 2".</t>
  </si>
  <si>
    <t>2225N 02</t>
  </si>
  <si>
    <t>Válvula de aguja – 6000 Lbs. Rosca NPT. Construcción: Acero inox. A182 F316 / Aguja inox A182 F316 + T. Térmico. Rosca ISO 7-1 (EN 10226-1). Estopada PTFE. Presión máxima de trabajo 410 bar. Temperatura de trabajo -54ºC a 250ºC. Diámetro 1/4".</t>
  </si>
  <si>
    <t>2225N 03</t>
  </si>
  <si>
    <t>Válvula de aguja – 6000 Lbs. Rosca NPT. Construcción: Acero inox. A182 F316 / Aguja inox A182 F316 + T. Térmico. Rosca ISO 7-1 (EN 10226-1). Estopada PTFE. Presión máxima de trabajo 410 bar. Temperatura de trabajo -54ºC a 250ºC. Diámetro 3/8".</t>
  </si>
  <si>
    <t>2225N 04</t>
  </si>
  <si>
    <t>Válvula de aguja – 6000 Lbs. Rosca NPT. Construcción: Acero inox. A182 F316 / Aguja inox A182 F316 + T. Térmico. Rosca ISO 7-1 (EN 10226-1). Estopada PTFE. Presión máxima de trabajo 410 bar. Temperatura de trabajo -54ºC a 250ºC. Diámetro 1/2".</t>
  </si>
  <si>
    <t>2225N 05</t>
  </si>
  <si>
    <t>Válvula de aguja – 6000 Lbs. Rosca NPT. Construcción: Acero inox. A182 F316 / Aguja inox A182 F316 + T. Térmico. Rosca ISO 7-1 (EN 10226-1). Estopada PTFE. Presión máxima de trabajo 410 bar. Temperatura de trabajo -54ºC a 250ºC. Diámetro 3/4".</t>
  </si>
  <si>
    <t>2225N 06</t>
  </si>
  <si>
    <t>Válvula de aguja – 6000 Lbs. Rosca NPT. Construcción: Acero inox. A182 F316 / Aguja inox A182 F316 + T. Térmico. Rosca ISO 7-1 (EN 10226-1). Estopada PTFE. Presión máxima de trabajo 410 bar. Temperatura de trabajo -54ºC a 250ºC. Diámetro 1".</t>
  </si>
  <si>
    <t>2226N 02</t>
  </si>
  <si>
    <t>Válvula de aguja – 6000 lbs con purga. Rosca NPT. Construcción: Acero inox. A182 F316 / Aguja inox A182 F316 + T. térmico. Rosca ISO 7-1 (EN 10226-1). Estopada PTFE. Presión máxima de trabajo 410 bar. Temperatura de trabajo -54ºC a 250ºC. Diámetro 1/4".</t>
  </si>
  <si>
    <t>2226N 04</t>
  </si>
  <si>
    <t>Válvula de aguja – 6000 lbs con purga. Rosca NPT. Construcción: Acero inox. A182 F316 / Aguja inox A182 F316 + T. térmico. Rosca ISO 7-1 (EN 10226-1). Estopada PTFE. Presión máxima de trabajo 410 bar. Temperatura de trabajo -54ºC a 250ºC. Diámetro 1/2".</t>
  </si>
  <si>
    <t>2228 09</t>
  </si>
  <si>
    <t>Válvula de equilibrado estático – Bridas DIN PN 16 Const. cuerpo y bonete fundición nodular GGG-40. Eje acero inoxidable. Cierre en EPDM. Orificio variable. Doble regulación.
Temperatura de trabajo -10ºC +120ºC.  Diámetro 2".</t>
  </si>
  <si>
    <t>2228 10</t>
  </si>
  <si>
    <t>Válvula de equilibrado estático – Bridas DIN PN 16 Const. cuerpo y bonete fundición nodular GGG-40. Eje acero inoxidable. Cierre en EPDM. Orificio variable. Doble regulación.
Temperatura de trabajo -10ºC +120ºC.  Diámetro 2 1/2".</t>
  </si>
  <si>
    <t>2228 11</t>
  </si>
  <si>
    <t>Válvula de equilibrado estático – Bridas DIN PN 16 Const. cuerpo y bonete fundición nodular GGG-40. Eje acero inoxidable. Cierre en EPDM. Orificio variable. Doble regulación.
Temperatura de trabajo -10ºC +120ºC.  Diámetro 3".</t>
  </si>
  <si>
    <t>2228 12</t>
  </si>
  <si>
    <t>Válvula de equilibrado estático – Bridas DIN PN 16 Const. cuerpo y bonete fundición nodular GGG-40. Eje acero inoxidable. Cierre en EPDM. Orificio variable. Doble regulación.
Temperatura de trabajo -10ºC +120ºC.  Diámetro 4".</t>
  </si>
  <si>
    <t>2228 13</t>
  </si>
  <si>
    <t>Válvula de equilibrado estático – Bridas DIN PN 16 Const. cuerpo y bonete fundición nodular GGG-40. Eje acero inoxidable. Cierre en EPDM. Orificio variable. Doble regulación.
Temperatura de trabajo -10ºC +120ºC.  Diámetro 5".</t>
  </si>
  <si>
    <t>2228 14</t>
  </si>
  <si>
    <t>Válvula de equilibrado estático – Bridas DIN PN 16 Const. cuerpo y bonete fundición nodular GGG-40. Eje acero inoxidable. Cierre en EPDM. Orificio variable. Doble regulación.
Temperatura de trabajo -10ºC +120ºC.  Diámetro 6".</t>
  </si>
  <si>
    <t>2228 16</t>
  </si>
  <si>
    <t>Válvula de equilibrado estático – Bridas DIN PN 16 Const. cuerpo y bonete fundición nodular GGG-40. Eje acero inoxidable. Cierre en EPDM. Orificio variable. Doble regulación.
Temperatura de trabajo -10ºC +120ºC.  Diámetro 8".</t>
  </si>
  <si>
    <t>2228 18</t>
  </si>
  <si>
    <t>Válvula de equilibrado estático – Bridas DIN PN 16 Const. cuerpo y bonete fundición nodular GGG-40. Eje acero inoxidable. Cierre en EPDM. Orificio variable. Doble regulación.
Temperatura de trabajo -10ºC +120ºC.  Diámetro 10".</t>
  </si>
  <si>
    <t>2228 20</t>
  </si>
  <si>
    <t>Válvula de equilibrado estático – Bridas DIN PN 16 Const. cuerpo y bonete fundición nodular GGG-40. Eje acero inoxidable. Cierre en EPDM. Orificio variable. Doble regulación.
Temperatura de trabajo -10ºC +120ºC.  Diámetro 12".</t>
  </si>
  <si>
    <t>2229A 09</t>
  </si>
  <si>
    <t>Válvula de compuerta con bridas ANSI clase 150. Const. Cuerpo y bonete acero al carbono ASTM A216 WCB. Diseño según API 600. Compuerta: ASTM A216 WCB + 13 Cr. Distancia entre bridas según ASME B16.10. Bridas según ASME B16.5. Temp. de trabajo: -20ºC +400ºC. Diámetro 2".</t>
  </si>
  <si>
    <t>2229A 10</t>
  </si>
  <si>
    <t>Válvula de compuerta con bridas ANSI clase 150. Const. Cuerpo y bonete acero al carbono ASTM A216 WCB. Diseño según API 600. Compuerta: ASTM A216 WCB + 13 Cr. Distancia entre bridas según ASME B16.10. Bridas según ASME B16.5. Temp. de trabajo: -20ºC +400ºC. Diámetro 2 1/2".</t>
  </si>
  <si>
    <t>2229A 11</t>
  </si>
  <si>
    <t>Válvula de compuerta con bridas ANSI clase 150. Const. Cuerpo y bonete acero al carbono ASTM A216 WCB. Diseño según API 600. Compuerta: ASTM A216 WCB + 13 Cr. Distancia entre bridas según ASME B16.10. Bridas según ASME B16.5. Temp. de trabajo: -20ºC +400ºC. Diámetro 3".</t>
  </si>
  <si>
    <t>2229A 12</t>
  </si>
  <si>
    <t>Válvula de compuerta con bridas ANSI clase 150. Const. Cuerpo y bonete acero al carbono ASTM A216 WCB. Diseño según API 600. Compuerta: ASTM A216 WCB + 13 Cr. Distancia entre bridas según ASME B16.10. Bridas según ASME B16.5. Temp. de trabajo: -20ºC +400ºC. Diámetro 4".</t>
  </si>
  <si>
    <t>2229A 13</t>
  </si>
  <si>
    <t>Válvula de compuerta con bridas ANSI clase 150. Const. Cuerpo y bonete acero al carbono ASTM A216 WCB. Diseño según API 600. Compuerta: ASTM A216 WCB + 13 Cr. Distancia entre bridas según ASME B16.10. Bridas según ASME B16.5. Temp. de trabajo: -20ºC +400ºC. Diámetro 5".</t>
  </si>
  <si>
    <t>2229A 14</t>
  </si>
  <si>
    <t>Válvula de compuerta con bridas ANSI clase 150. Const. Cuerpo y bonete acero al carbono ASTM A216 WCB. Diseño según API 600. Compuerta: ASTM A216 WCB + 13 Cr. Distancia entre bridas según ASME B16.10. Bridas según ASME B16.5. Temp. de trabajo: -20ºC +400ºC. Diámetro 6".</t>
  </si>
  <si>
    <t>2229A 16</t>
  </si>
  <si>
    <t>Válvula de compuerta con bridas ANSI clase 150. Const. Cuerpo y bonete acero al carbono ASTM A216 WCB. Diseño según API 600. Compuerta: ASTM A216 WCB + 13 Cr. Distancia entre bridas según ASME B16.10. Bridas según ASME B16.5. Temp. de trabajo: -20ºC +400ºC. Diámetro 8".</t>
  </si>
  <si>
    <t>2229A 18</t>
  </si>
  <si>
    <t>Válvula de compuerta con bridas ANSI clase 150. Const. Cuerpo y bonete acero al carbono ASTM A216 WCB. Diseño según API 600. Compuerta: ASTM A216 WCB + 13 Cr. Distancia entre bridas según ASME B16.10. Bridas según ASME B16.5. Temp. de trabajo: -20ºC +400ºC. Diámetro 10".</t>
  </si>
  <si>
    <t>2229A 20</t>
  </si>
  <si>
    <t>Válvula de compuerta con bridas ANSI clase 150. Const. Cuerpo y bonete acero al carbono ASTM A216 WCB. Diseño según API 600. Compuerta: ASTM A216 WCB + 13 Cr. Distancia entre bridas según ASME B16.10. Bridas según ASME B16.5. Temp. de trabajo: -20ºC +400ºC. Diámetro 12".</t>
  </si>
  <si>
    <t>2230 04</t>
  </si>
  <si>
    <t>Válvula de globo PN 16. Rosca BSP. Construcción: inox.316. Juntas: PTFE . Presión máx.: 16 BAR a 120ºC 10 BAR a 180ºC. Diámetro 1/2".</t>
  </si>
  <si>
    <t>2230 05</t>
  </si>
  <si>
    <t>Válvula de globo PN 16. Rosca BSP. Construcción: inox.316. Juntas: PTFE . Presión máx.: 16 BAR a 120ºC 10 BAR a 180ºC. Diámetro 3/4".</t>
  </si>
  <si>
    <t>2230 06</t>
  </si>
  <si>
    <t>Válvula de globo PN 16. Rosca BSP. Construcción: inox.316. Juntas: PTFE . Presión máx.: 16 BAR a 120ºC 10 BAR a 180ºC. Diámetro 1".</t>
  </si>
  <si>
    <t>2230 07</t>
  </si>
  <si>
    <t>Válvula de globo PN 16. Rosca BSP. Construcción: inox.316. Juntas: PTFE . Presión máx.: 16 BAR a 120ºC 10 BAR a 180ºC. Diámetro 1 1/4".</t>
  </si>
  <si>
    <t>2230 08</t>
  </si>
  <si>
    <t>Válvula de globo PN 16. Rosca BSP. Construcción: inox.316. Juntas: PTFE . Presión máx.: 16 BAR a 120ºC 10 BAR a 180ºC. Diámetro 1 1/2".</t>
  </si>
  <si>
    <t>2230 09</t>
  </si>
  <si>
    <t>Válvula de globo PN 16. Rosca BSP. Construcción: inox.316. Juntas: PTFE . Presión máx.: 16 BAR a 120ºC 10 BAR a 180ºC. Diámetro 2".</t>
  </si>
  <si>
    <t>2231 04</t>
  </si>
  <si>
    <t>Válvula de globo con fuelle – Bridas DIN PN 16. Const. cuerpo y bonete acero al carbono WCB. Material del fuelle: inoxidable 304. Junta y empaquetadura de grafito. Material de cierre: inoxidable. Temperatura máxima de trabajo 350ºC. Diámetro 1/2".</t>
  </si>
  <si>
    <t>2231 05</t>
  </si>
  <si>
    <t>Válvula de globo con fuelle – Bridas DIN PN 16. Const. cuerpo y bonete acero al carbono WCB. Material del fuelle: inoxidable 304. Junta y empaquetadura de grafito. Material de cierre: inoxidable. Temperatura máxima de trabajo 350ºC. Diámetro 3/4".</t>
  </si>
  <si>
    <t>2231 06</t>
  </si>
  <si>
    <t>Válvula de globo con fuelle – Bridas DIN PN 16. Const. cuerpo y bonete acero al carbono WCB. Material del fuelle: inoxidable 304. Junta y empaquetadura de grafito. Material de cierre: inoxidable. Temperatura máxima de trabajo 350ºC. Diámetro 1".</t>
  </si>
  <si>
    <t>2231 07</t>
  </si>
  <si>
    <t>Válvula de globo con fuelle – Bridas DIN PN 16. Const. cuerpo y bonete acero al carbono WCB. Material del fuelle: inoxidable 304. Junta y empaquetadura de grafito. Material de cierre: inoxidable. Temperatura máxima de trabajo 350ºC. Diámetro 1 1/4".</t>
  </si>
  <si>
    <t>2231 08</t>
  </si>
  <si>
    <t>Válvula de globo con fuelle – Bridas DIN PN 16. Const. cuerpo y bonete acero al carbono WCB. Material del fuelle: inoxidable 304. Junta y empaquetadura de grafito. Material de cierre: inoxidable. Temperatura máxima de trabajo 350ºC. Diámetro 1 1/2".</t>
  </si>
  <si>
    <t>2231 09</t>
  </si>
  <si>
    <t>Válvula de globo con fuelle – Bridas DIN PN 16. Const. cuerpo y bonete acero al carbono WCB. Material del fuelle: inoxidable 304. Junta y empaquetadura de grafito. Material de cierre: inoxidable. Temperatura máxima de trabajo 350ºC. Diámetro 2".</t>
  </si>
  <si>
    <t>2231 10</t>
  </si>
  <si>
    <t>Válvula de globo con fuelle – Bridas DIN PN 16. Const. cuerpo y bonete acero al carbono WCB. Material del fuelle: inoxidable 304. Junta y empaquetadura de grafito. Material de cierre: inoxidable. Temperatura máxima de trabajo 350ºC. Diámetro 2 1/2".</t>
  </si>
  <si>
    <t>2231 11</t>
  </si>
  <si>
    <t>Válvula de globo con fuelle – Bridas DIN PN 16. Const. cuerpo y bonete acero al carbono WCB. Material del fuelle: inoxidable 304. Junta y empaquetadura de grafito. Material de cierre: inoxidable. Temperatura máxima de trabajo 350ºC. Diámetro 3".</t>
  </si>
  <si>
    <t>2231 12</t>
  </si>
  <si>
    <t>Válvula de globo con fuelle – Bridas DIN PN 16. Const. cuerpo y bonete acero al carbono WCB. Material del fuelle: inoxidable 304. Junta y empaquetadura de grafito. Material de cierre: inoxidable. Temperatura máxima de trabajo 350ºC. Diámetro 4".</t>
  </si>
  <si>
    <t>2231 13</t>
  </si>
  <si>
    <t>Válvula de globo con fuelle – Bridas DIN PN 16. Const. cuerpo y bonete acero al carbono WCB. Material del fuelle: inoxidable 304. Junta y empaquetadura de grafito. Material de cierre: inoxidable. Temperatura máxima de trabajo 350ºC. Diámetro 5".</t>
  </si>
  <si>
    <t>2231 14</t>
  </si>
  <si>
    <t>Válvula de globo con fuelle – Bridas DIN PN 16. Const. cuerpo y bonete acero al carbono WCB. Material del fuelle: inoxidable 304. Junta y empaquetadura de grafito. Material de cierre: inoxidable. Temperatura máxima de trabajo 350ºC. Diámetro 6".</t>
  </si>
  <si>
    <t>2231 16</t>
  </si>
  <si>
    <t>Válvula de globo con fuelle – Bridas DIN PN 16. Const. cuerpo y bonete acero al carbono WCB. Material del fuelle: inoxidable 304. Junta y empaquetadura de grafito. Material de cierre: inoxidable. Temperatura máxima de trabajo 350ºC. Diámetro 8".</t>
  </si>
  <si>
    <t>2232A 04</t>
  </si>
  <si>
    <t>Válvula de compuerta con bridas ANSI clase 150. Const. cuerpo y bonete acero forjado ASTM A105N. Material de cierre: asiento con stellite. Compuerta: ASTM A182 - F6a. (Trim #8/XU). Bonete atornillado. Diámetro 1/2".</t>
  </si>
  <si>
    <t>2232A 05</t>
  </si>
  <si>
    <t>Válvula de compuerta con bridas ANSI clase 150. Const. cuerpo y bonete acero forjado ASTM A105N. Material de cierre: asiento con stellite. Compuerta: ASTM A182 - F6a. (Trim #8/XU). Bonete atornillado. Diámetro 3/4".</t>
  </si>
  <si>
    <t>2232A 06</t>
  </si>
  <si>
    <t>Válvula de compuerta con bridas ANSI clase 150. Const. cuerpo y bonete acero forjado ASTM A105N. Material de cierre: asiento con stellite. Compuerta: ASTM A182 - F6a. (Trim #8/XU). Bonete atornillado. Diámetro 1".</t>
  </si>
  <si>
    <t>2232A 07</t>
  </si>
  <si>
    <t>Válvula de compuerta con bridas ANSI clase 150. Const. cuerpo y bonete acero forjado ASTM A105N. Material de cierre: asiento con stellite. Compuerta: ASTM A182 - F6a. (Trim #8/XU). Bonete atornillado. Diámetro 1 1/4".</t>
  </si>
  <si>
    <t>2232A 08</t>
  </si>
  <si>
    <t>Válvula de compuerta con bridas ANSI clase 150. Const. cuerpo y bonete acero forjado ASTM A105N. Material de cierre: asiento con stellite. Compuerta: ASTM A182 - F6a. (Trim #8/XU). Bonete atornillado. Diámetro 1 1/2".</t>
  </si>
  <si>
    <t>2232A 09</t>
  </si>
  <si>
    <t>Válvula de compuerta con bridas ANSI clase 150. Const. cuerpo y bonete acero forjado ASTM A105N. Material de cierre: asiento con stellite. Compuerta: ASTM A182 - F6a. (Trim #8/XU). Bonete atornillado. Diámetro 2".</t>
  </si>
  <si>
    <t>2232N 04</t>
  </si>
  <si>
    <t>Válvula de compuerta clase 800 Const. cuerpo y bonete acero forjado ASTM A105N. Material de cierre: asiento con stellite. Compuerta: ASTM A182 - F6a. (trim #8/XU). Bonete atornillado. Extremos roscados NPT. Diámetro 1/2".</t>
  </si>
  <si>
    <t>2232N 05</t>
  </si>
  <si>
    <t>Válvula de compuerta clase 800 Const. cuerpo y bonete acero forjado ASTM A105N. Material de cierre: asiento con stellite. Compuerta: ASTM A182 - F6a. (trim #8/XU). Bonete atornillado. Extremos roscados NPT. Diámetro 3/4".</t>
  </si>
  <si>
    <t>2232N 06</t>
  </si>
  <si>
    <t>Válvula de compuerta clase 800 Const. cuerpo y bonete acero forjado ASTM A105N. Material de cierre: asiento con stellite. Compuerta: ASTM A182 - F6a. (trim #8/XU). Bonete atornillado. Extremos roscados NPT. Diámetro 1".</t>
  </si>
  <si>
    <t>2232N 07</t>
  </si>
  <si>
    <t>Válvula de compuerta clase 800 Const. cuerpo y bonete acero forjado ASTM A105N. Material de cierre: asiento con stellite. Compuerta: ASTM A182 - F6a. (trim #8/XU). Bonete atornillado. Extremos roscados NPT. Diámetro 1 1/4".</t>
  </si>
  <si>
    <t>2232N 08</t>
  </si>
  <si>
    <t>Válvula de compuerta clase 800 Const. cuerpo y bonete acero forjado ASTM A105N. Material de cierre: asiento con stellite. Compuerta: ASTM A182 - F6a. (trim #8/XU). Bonete atornillado. Extremos roscados NPT. Diámetro 1 1/2".</t>
  </si>
  <si>
    <t>2232N 09</t>
  </si>
  <si>
    <t>Válvula de compuerta clase 800 Const. cuerpo y bonete acero forjado ASTM A105N. Material de cierre: asiento con stellite. Compuerta: ASTM A182 - F6a. (trim #8/XU). Bonete atornillado. Extremos roscados NPT. Diámetro 2".</t>
  </si>
  <si>
    <t>2232S 04</t>
  </si>
  <si>
    <t>Válvula de compuerta clase 800 Const. cuerpo y bonete acero forjado ASTM A105N. Material de cierre: asiento con stellite. Compuerta: ASTM A182 - F6a. (trim #8/XU). Bonete atornillado. Extremos S.W. Diámetro 1/2".</t>
  </si>
  <si>
    <t>2232S 05</t>
  </si>
  <si>
    <t>Válvula de compuerta clase 800 Const. cuerpo y bonete acero forjado ASTM A105N. Material de cierre: asiento con stellite. Compuerta: ASTM A182 - F6a. (trim #8/XU). Bonete atornillado. Extremos S.W. Diámetro 3/4".</t>
  </si>
  <si>
    <t>2232S 06</t>
  </si>
  <si>
    <t>Válvula de compuerta clase 800 Const. cuerpo y bonete acero forjado ASTM A105N. Material de cierre: asiento con stellite. Compuerta: ASTM A182 - F6a. (trim #8/XU). Bonete atornillado. Extremos S.W. Diámetro 1".</t>
  </si>
  <si>
    <t>2232S 07</t>
  </si>
  <si>
    <t>Válvula de compuerta clase 800 Const. cuerpo y bonete acero forjado ASTM A105N. Material de cierre: asiento con stellite. Compuerta: ASTM A182 - F6a. (trim #8/XU). Bonete atornillado. Extremos S.W. Diámetro 1 1/4".</t>
  </si>
  <si>
    <t>2232S 08</t>
  </si>
  <si>
    <t>Válvula de compuerta clase 800 Const. cuerpo y bonete acero forjado ASTM A105N. Material de cierre: asiento con stellite. Compuerta: ASTM A182 - F6a. (trim #8/XU). Bonete atornillado. Extremos S.W. Diámetro 1 1/2".</t>
  </si>
  <si>
    <t>2232S 09</t>
  </si>
  <si>
    <t>Válvula de compuerta clase 800 Const. cuerpo y bonete acero forjado ASTM A105N. Material de cierre: asiento con stellite. Compuerta: ASTM A182 - F6a. (trim #8/XU). Bonete atornillado. Extremos S.W. Diámetro 2".</t>
  </si>
  <si>
    <t>2233A 04</t>
  </si>
  <si>
    <t>Válvula de globo con bridas ANSI clase 150. Const. cuerpo y bonete acero forjado ASTM A105N. Material de cierre: asiento con stellite. Compuerta: ASTM A182 - F6a. (Trim #8/XU). Bonete atornillado. Diámetro 1/2".</t>
  </si>
  <si>
    <t>2233A 05</t>
  </si>
  <si>
    <t>Válvula de globo con bridas ANSI clase 150. Const. cuerpo y bonete acero forjado ASTM A105N. Material de cierre: asiento con stellite. Compuerta: ASTM A182 - F6a. (Trim #8/XU). Bonete atornillado. Diámetro 3/4".</t>
  </si>
  <si>
    <t>2233A 06</t>
  </si>
  <si>
    <t>Válvula de globo con bridas ANSI clase 150. Const. cuerpo y bonete acero forjado ASTM A105N. Material de cierre: asiento con stellite. Compuerta: ASTM A182 - F6a. (Trim #8/XU). Bonete atornillado. Diámetro 1".</t>
  </si>
  <si>
    <t>2233A 07</t>
  </si>
  <si>
    <t>Válvula de globo con bridas ANSI clase 150. Const. cuerpo y bonete acero forjado ASTM A105N. Material de cierre: asiento con stellite. Compuerta: ASTM A182 - F6a. (Trim #8/XU). Bonete atornillado. Diámetro 1 1/4".</t>
  </si>
  <si>
    <t>2233A 08</t>
  </si>
  <si>
    <t>Válvula de globo con bridas ANSI clase 150. Const. cuerpo y bonete acero forjado ASTM A105N. Material de cierre: asiento con stellite. Compuerta: ASTM A182 - F6a. (Trim #8/XU). Bonete atornillado. Diámetro 1 1/2".</t>
  </si>
  <si>
    <t>2233A 09</t>
  </si>
  <si>
    <t>Válvula de globo con bridas ANSI clase 150. Const. cuerpo y bonete acero forjado ASTM A105N. Material de cierre: asiento con stellite. Compuerta: ASTM A182 - F6a. (Trim #8/XU). Bonete atornillado. Diámetro 2".</t>
  </si>
  <si>
    <t>2233N 04</t>
  </si>
  <si>
    <t>Válvula de globo clase 800. Const. cuerpo y bonete acero forjado ASTM A105N. Material de cierre: asiento con stellite. Disco: ASTM A182 - F6a. (trim #8/XU). Bonete atornillado. Extremos roscados NPT. Diámetro 1/2".</t>
  </si>
  <si>
    <t>2233N 05</t>
  </si>
  <si>
    <t>Válvula de globo clase 800. Const. cuerpo y bonete acero forjado ASTM A105N. Material de cierre: asiento con stellite. Disco: ASTM A182 - F6a. (trim #8/XU). Bonete atornillado. Extremos roscados NPT. Diámetro 3/4".</t>
  </si>
  <si>
    <t>2233N 06</t>
  </si>
  <si>
    <t>Válvula de globo clase 800. Const. cuerpo y bonete acero forjado ASTM A105N. Material de cierre: asiento con stellite. Disco: ASTM A182 - F6a. (trim #8/XU). Bonete atornillado. Extremos roscados NPT. Diámetro 1".</t>
  </si>
  <si>
    <t>2233N 07</t>
  </si>
  <si>
    <t>Válvula de globo clase 800. Const. cuerpo y bonete acero forjado ASTM A105N. Material de cierre: asiento con stellite. Disco: ASTM A182 - F6a. (trim #8/XU). Bonete atornillado. Extremos roscados NPT. Diámetro 1 1/4".</t>
  </si>
  <si>
    <t>2233N 08</t>
  </si>
  <si>
    <t>Válvula de globo clase 800. Const. cuerpo y bonete acero forjado ASTM A105N. Material de cierre: asiento con stellite. Disco: ASTM A182 - F6a. (trim #8/XU). Bonete atornillado. Extremos roscados NPT. Diámetro 1 1/2".</t>
  </si>
  <si>
    <t>2233N 09</t>
  </si>
  <si>
    <t>Válvula de globo clase 800. Const. cuerpo y bonete acero forjado ASTM A105N. Material de cierre: asiento con stellite. Disco: ASTM A182 - F6a. (trim #8/XU). Bonete atornillado. Extremos roscados NPT. Diámetro 2".</t>
  </si>
  <si>
    <t>2233S 04</t>
  </si>
  <si>
    <t>Válvula de globo clase 800. Const. cuerpo y bonete acero forjado ASTM A105N. Material de cierre: asiento con stellite. Disco: ASTM A182 - F6a. (trim #8/XU). Bonete atornillado. Extremos S.W. Diámetro 1/2".</t>
  </si>
  <si>
    <t>2233S 05</t>
  </si>
  <si>
    <t>Válvula de globo clase 800. Const. cuerpo y bonete acero forjado ASTM A105N. Material de cierre: asiento con stellite. Disco: ASTM A182 - F6a. (trim #8/XU). Bonete atornillado. Extremos S.W. Diámetro 3/4".</t>
  </si>
  <si>
    <t>2233S 06</t>
  </si>
  <si>
    <t>Válvula de globo clase 800. Const. cuerpo y bonete acero forjado ASTM A105N. Material de cierre: asiento con stellite. Disco: ASTM A182 - F6a. (trim #8/XU). Bonete atornillado. Extremos S.W. Diámetro 1".</t>
  </si>
  <si>
    <t>2233S 07</t>
  </si>
  <si>
    <t>Válvula de globo clase 800. Const. cuerpo y bonete acero forjado ASTM A105N. Material de cierre: asiento con stellite. Disco: ASTM A182 - F6a. (trim #8/XU). Bonete atornillado. Extremos S.W. Diámetro 1 1/4".</t>
  </si>
  <si>
    <t>2233S 08</t>
  </si>
  <si>
    <t>Válvula de globo clase 800. Const. cuerpo y bonete acero forjado ASTM A105N. Material de cierre: asiento con stellite. Disco: ASTM A182 - F6a. (trim #8/XU). Bonete atornillado. Extremos S.W. Diámetro 1 1/2".</t>
  </si>
  <si>
    <t>2233S 09</t>
  </si>
  <si>
    <t>Válvula de globo clase 800. Const. cuerpo y bonete acero forjado ASTM A105N. Material de cierre: asiento con stellite. Disco: ASTM A182 - F6a. (trim #8/XU). Bonete atornillado. Extremos S.W. Diámetro 2".</t>
  </si>
  <si>
    <t>2234N 04</t>
  </si>
  <si>
    <t>Válvula de retención clase 800 tipo pistón. Const. cuerpo y tapa acero forjado ASTM A105N. Material de cierre: asiento con stellite. Pistón: ASTM A182 - F6a. (trim #8/XU). Tapa atornillada. Extremos roscados NPT. Diámetro 1/2".</t>
  </si>
  <si>
    <t>2234N 05</t>
  </si>
  <si>
    <t>Válvula de retención clase 800 tipo pistón. Const. cuerpo y tapa acero forjado ASTM A105N. Material de cierre: asiento con stellite. Pistón: ASTM A182 - F6a. (trim #8/XU). Tapa atornillada. Extremos roscados NPT. Diámetro 3/4".</t>
  </si>
  <si>
    <t>2234N 06</t>
  </si>
  <si>
    <t>Válvula de retención clase 800 tipo pistón. Const. cuerpo y tapa acero forjado ASTM A105N. Material de cierre: asiento con stellite. Pistón: ASTM A182 - F6a. (trim #8/XU). Tapa atornillada. Extremos roscados NPT. Diámetro 1".</t>
  </si>
  <si>
    <t>2234N 07</t>
  </si>
  <si>
    <t>Válvula de retención clase 800 tipo pistón. Const. cuerpo y tapa acero forjado ASTM A105N. Material de cierre: asiento con stellite. Pistón: ASTM A182 - F6a. (trim #8/XU). Tapa atornillada. Extremos roscados NPT. Diámetro 1 1/4".</t>
  </si>
  <si>
    <t>2234N 08</t>
  </si>
  <si>
    <t>Válvula de retención clase 800 tipo pistón. Const. cuerpo y tapa acero forjado ASTM A105N. Material de cierre: asiento con stellite. Pistón: ASTM A182 - F6a. (trim #8/XU). Tapa atornillada. Extremos roscados NPT. Diámetro 1 1/2".</t>
  </si>
  <si>
    <t>2234N 09</t>
  </si>
  <si>
    <t>Válvula de retención clase 800 tipo pistón. Const. cuerpo y tapa acero forjado ASTM A105N. Material de cierre: asiento con stellite. Pistón: ASTM A182 - F6a. (trim #8/XU). Tapa atornillada. Extremos roscados NPT. Diámetro 2".</t>
  </si>
  <si>
    <t>2234S 04</t>
  </si>
  <si>
    <t>Válvula de retención clase 800 tipo pistón. Const. cuerpo y tapa acero forjado ASTM A105N. Material de cierre: asiento con stellite. Pistón: ASTM A182 - F6a. (trim #8/XU). Tapa atornillada. Extremos S.W. Diámetro 1/2".</t>
  </si>
  <si>
    <t>2234S 05</t>
  </si>
  <si>
    <t>Válvula de retención clase 800 tipo pistón. Const. cuerpo y tapa acero forjado ASTM A105N. Material de cierre: asiento con stellite. Pistón: ASTM A182 - F6a. (trim #8/XU). Tapa atornillada. Extremos S.W. Diámetro 3/4".</t>
  </si>
  <si>
    <t>2234S 06</t>
  </si>
  <si>
    <t>Válvula de retención clase 800 tipo pistón. Const. cuerpo y tapa acero forjado ASTM A105N. Material de cierre: asiento con stellite. Pistón: ASTM A182 - F6a. (trim #8/XU). Tapa atornillada. Extremos S.W. Diámetro 1".</t>
  </si>
  <si>
    <t>2234S 07</t>
  </si>
  <si>
    <t>Válvula de retención clase 800 tipo pistón. Const. cuerpo y tapa acero forjado ASTM A105N. Material de cierre: asiento con stellite. Pistón: ASTM A182 - F6a. (trim #8/XU). Tapa atornillada. Extremos S.W. Diámetro 1 1/4".</t>
  </si>
  <si>
    <t>2234S 08</t>
  </si>
  <si>
    <t>Válvula de retención clase 800 tipo pistón. Const. cuerpo y tapa acero forjado ASTM A105N. Material de cierre: asiento con stellite. Pistón: ASTM A182 - F6a. (trim #8/XU). Tapa atornillada. Extremos S.W. Diámetro 1 1/2".</t>
  </si>
  <si>
    <t>2234S 09</t>
  </si>
  <si>
    <t>Válvula de retención clase 800 tipo pistón. Const. cuerpo y tapa acero forjado ASTM A105N. Material de cierre: asiento con stellite. Pistón: ASTM A182 - F6a. (trim #8/XU). Tapa atornillada. Extremos S.W. Diámetro 2".</t>
  </si>
  <si>
    <t>2240 04</t>
  </si>
  <si>
    <t>Mirillas de turbulencia doble cristal Construcción: cuerpo inox. AISI 316. Extremos rosca BSP. Cristal: normal con tratamiento térmico bajo demanda: cristal “pyrex”. Presión máx. de trabajo: 16 BAR a 50ºC. Temp. máx. de trabajo: 200ºC a 10 BAR. Diámetro 1/2".</t>
  </si>
  <si>
    <t>2240 05</t>
  </si>
  <si>
    <t>Mirillas de turbulencia doble cristal Construcción: cuerpo inox. AISI 316. Extremos rosca BSP. Cristal: normal con tratamiento térmico bajo demanda: cristal “pyrex”. Presión máx. de trabajo: 16 BAR a 50ºC. Temp. máx. de trabajo: 200ºC a 10 BAR. Diámetro 3/4".</t>
  </si>
  <si>
    <t>2240 06</t>
  </si>
  <si>
    <t>Mirillas de turbulencia doble cristal Construcción: cuerpo inox. AISI 316. Extremos rosca BSP. Cristal: normal con tratamiento térmico bajo demanda: cristal “pyrex”. Presión máx. de trabajo: 16 BAR a 50ºC. Temp. máx. de trabajo: 200ºC a 10 BAR. Diámetro 1".</t>
  </si>
  <si>
    <t>2240 07</t>
  </si>
  <si>
    <t>Mirillas de turbulencia doble cristal Construcción: cuerpo inox. AISI 316. Extremos rosca BSP. Cristal: normal con tratamiento térmico bajo demanda: cristal “pyrex”. Presión máx. de trabajo: 16 BAR a 50ºC. Temp. máx. de trabajo: 200ºC a 10 BAR. Diámetro 1 1/4".</t>
  </si>
  <si>
    <t>2240 08</t>
  </si>
  <si>
    <t>Mirillas de turbulencia doble cristal Construcción: cuerpo inox. AISI 316. Extremos rosca BSP. Cristal: normal con tratamiento térmico bajo demanda: cristal “pyrex”. Presión máx. de trabajo: 16 BAR a 50ºC. Temp. máx. de trabajo: 200ºC a 10 BAR. Diámetro 1 1/2".</t>
  </si>
  <si>
    <t>2240 09</t>
  </si>
  <si>
    <t>Mirillas de turbulencia doble cristal Construcción: cuerpo inox. AISI 316. Extremos rosca BSP. Cristal: normal con tratamiento térmico bajo demanda: cristal “pyrex”. Presión máx. de trabajo: 16 BAR a 50ºC. Temp. máx. de trabajo: 200ºC a 10 BAR. Diámetro 2".</t>
  </si>
  <si>
    <t>2258 04 06 11</t>
  </si>
  <si>
    <t>2258 04 06 12</t>
  </si>
  <si>
    <t>2258 05 06 11</t>
  </si>
  <si>
    <t>2258 05 06 12</t>
  </si>
  <si>
    <t>2258 06 06 11</t>
  </si>
  <si>
    <t>2258 06 06 12</t>
  </si>
  <si>
    <t>2258 06 07 11</t>
  </si>
  <si>
    <t>2258 06 07 12</t>
  </si>
  <si>
    <t>2258 07 07 11</t>
  </si>
  <si>
    <t>2258 07 07 12</t>
  </si>
  <si>
    <t>2258 08 09 11</t>
  </si>
  <si>
    <t>2258 08 09 12</t>
  </si>
  <si>
    <t>2258 09 09 11</t>
  </si>
  <si>
    <t>2258 09 09 12</t>
  </si>
  <si>
    <t>2272 04</t>
  </si>
  <si>
    <t>Válvula reductora de presión. Construcción: acero inox. 316. Extremos rosca gas ISO 7-1 (EN 10226-1). Asiento y diafragma FPM (Viton). Presión máxima de entrada 25 bar. Presion de salida: 1 – 6 bar (tarado a 3 bar).Temperatura de trabajo: -15ºC +120ºC. Diámetro 1/2".</t>
  </si>
  <si>
    <t>2272 05</t>
  </si>
  <si>
    <t>Válvula reductora de presión. Construcción: acero inox. 316. Extremos rosca gas ISO 7-1 (EN 10226-1). Asiento y diafragma FPM (Viton). Presión máxima de entrada 25 bar. Presion de salida: 1 – 6 bar (tarado a 3 bar).Temperatura de trabajo: -15ºC +120ºC. Diámetro 3/4".</t>
  </si>
  <si>
    <t>2272 06</t>
  </si>
  <si>
    <t>Válvula reductora de presión. Construcción: acero inox. 316. Extremos rosca gas ISO 7-1 (EN 10226-1). Asiento y diafragma FPM (Viton). Presión máxima de entrada 25 bar. Presion de salida: 1 – 6 bar (tarado a 3 bar).Temperatura de trabajo: -15ºC +120ºC. Diámetro 1".</t>
  </si>
  <si>
    <t>2274 04</t>
  </si>
  <si>
    <t>Válvula Reductora de Presión pilotada. Conexión rosca gas BSP. Construcción: Acero al Carbono 1.0619 (WCB). Presión de entrada máxima 25 bar. Presión de salida desde 0,5 a 12 bar. Temperatura máxima de trabajo 260ºC. Diámetro 1/2".</t>
  </si>
  <si>
    <t>2274 05</t>
  </si>
  <si>
    <t>Válvula Reductora de Presión pilotada. Conexión rosca gas BSP. Construcción: Acero al Carbono 1.0619 (WCB). Presión de entrada máxima 25 bar. Presión de salida desde 0,5 a 12 bar. Temperatura máxima de trabajo 260ºC. Diámetro 3/4".</t>
  </si>
  <si>
    <t>2274 06</t>
  </si>
  <si>
    <t>Válvula Reductora de Presión pilotada. Conexión rosca gas BSP. Construcción: Acero al Carbono 1.0619 (WCB). Presión de entrada máxima 25 bar. Presión de salida desde 0,5 a 12 bar. Temperatura máxima de trabajo 260ºC. Diámetro 1".</t>
  </si>
  <si>
    <t>2274 07</t>
  </si>
  <si>
    <t>Válvula Reductora de Presión pilotada. Conexión rosca gas BSP. Construcción: Acero al Carbono 1.0619 (WCB). Presión de entrada máxima 25 bar. Presión de salida desde 0,5 a 12 bar. Temperatura máxima de trabajo 260ºC. Diámetro 1 1/4".</t>
  </si>
  <si>
    <t>2274 08</t>
  </si>
  <si>
    <t>Válvula Reductora de Presión pilotada. Conexión rosca gas BSP. Construcción: Acero al Carbono 1.0619 (WCB). Presión de entrada máxima 25 bar. Presión de salida desde 0,5 a 12 bar. Temperatura máxima de trabajo 260ºC. Diámetro 1 1/2".</t>
  </si>
  <si>
    <t>2274 09</t>
  </si>
  <si>
    <t>Válvula Reductora de Presión pilotada. Conexión rosca gas BSP. Construcción: Acero al Carbono 1.0619 (WCB). Presión de entrada máxima 25 bar. Presión de salida desde 0,5 a 12 bar. Temperatura máxima de trabajo 260ºC. Diámetro 2".</t>
  </si>
  <si>
    <t>2275 04</t>
  </si>
  <si>
    <t>Válvula Reductora de Presión pilotada. Extremos bridados según EN 1092-1 PN25. Construcción: Acero al Carbono 1.0619 (WCB). Presión de entrada máxima 25 bar. Presión de salida desde 0,5 a 12 bar. Temperatura máxima de trabajo 260ºC. Diámetro 1/2".</t>
  </si>
  <si>
    <t>2275 05</t>
  </si>
  <si>
    <t>Válvula Reductora de Presión pilotada. Extremos bridados según EN 1092-1 PN25. Construcción: Acero al Carbono 1.0619 (WCB). Presión de entrada máxima 25 bar. Presión de salida desde 0,5 a 12 bar. Temperatura máxima de trabajo 260ºC. Diámetro 3/4".</t>
  </si>
  <si>
    <t>2275 06</t>
  </si>
  <si>
    <t>Válvula Reductora de Presión pilotada. Extremos bridados según EN 1092-1 PN25. Construcción: Acero al Carbono 1.0619 (WCB). Presión de entrada máxima 25 bar. Presión de salida desde 0,5 a 12 bar. Temperatura máxima de trabajo 260ºC. Diámetro 1".</t>
  </si>
  <si>
    <t>2275 07</t>
  </si>
  <si>
    <t>Válvula Reductora de Presión pilotada. Extremos bridados según EN 1092-1 PN25. Construcción: Acero al Carbono 1.0619 (WCB). Presión de entrada máxima 25 bar. Presión de salida desde 0,5 a 12 bar. Temperatura máxima de trabajo 260ºC. Diámetro 1 1/4".</t>
  </si>
  <si>
    <t>2275 08</t>
  </si>
  <si>
    <t>Válvula Reductora de Presión pilotada. Extremos bridados según EN 1092-1 PN25. Construcción: Acero al Carbono 1.0619 (WCB). Presión de entrada máxima 25 bar. Presión de salida desde 0,5 a 12 bar. Temperatura máxima de trabajo 260ºC. Diámetro 1 1/2".</t>
  </si>
  <si>
    <t>2275 09</t>
  </si>
  <si>
    <t>Válvula Reductora de Presión pilotada. Extremos bridados según EN 1092-1 PN25. Construcción: Acero al Carbono 1.0619 (WCB). Presión de entrada máxima 25 bar. Presión de salida desde 0,5 a 12 bar. Temperatura máxima de trabajo 260ºC. Diámetro 2".</t>
  </si>
  <si>
    <t>2281 04</t>
  </si>
  <si>
    <t>Válvula Reductora de Presión. Conexión rosca gas BSP s/ISO 228/1. Construcción: Acero inox. CF8 (304). Presión de entrada máxima 16 bar. Presión de salida desde 2 a 8 bar.Temperatura máxima de trabajo 200ºC.  Diámetro 1/2".</t>
  </si>
  <si>
    <t>2281 05</t>
  </si>
  <si>
    <t>Válvula Reductora de Presión. Conexión rosca gas BSP s/ISO 228/1. Construcción: Acero inox. CF8 (304). Presión de entrada máxima 16 bar. Presión de salida desde 2 a 8 bar.Temperatura máxima de trabajo 200ºC.  Diámetro 3/4".</t>
  </si>
  <si>
    <t>2281 06</t>
  </si>
  <si>
    <t>Válvula Reductora de Presión. Conexión rosca gas BSP s/ISO 228/1. Construcción: Acero inox. CF8 (304). Presión de entrada máxima 16 bar. Presión de salida desde 2 a 8 bar.Temperatura máxima de trabajo 200ºC.  Diámetro 1".</t>
  </si>
  <si>
    <t>2282 04</t>
  </si>
  <si>
    <t>Purgador termodinámico con filtro incorporado para vapor PN 63. Const.: acero inox. 420. Tamiz: AISI 304. Extremos: rosca gas ISO 228-1. PMO: 52 bar. TMO: 400ºC. Diámetro 1/2".</t>
  </si>
  <si>
    <t>2282 05</t>
  </si>
  <si>
    <t>Purgador termodinámico con filtro incorporado para vapor PN 63. Const.: acero inox. 420. Tamiz: AISI 304. Extremos: rosca gas ISO 228-1. PMO: 52 bar. TMO: 400ºC. Diámetro 3/4".</t>
  </si>
  <si>
    <t>2282 06</t>
  </si>
  <si>
    <t>Purgador termodinámico con filtro incorporado para vapor PN 63. Const.: acero inox. 420. Tamiz: AISI 304. Extremos: rosca gas ISO 228-1. PMO: 52 bar. TMO: 400ºC. Diámetro 1".</t>
  </si>
  <si>
    <t>2284 04</t>
  </si>
  <si>
    <t>Purgador termodinámico sin filtro para vapor PN 63. Const.: acero inox. 420 (ASTM A743 Gr-CA40). Extremos: rosca gas ISO 228-1. PMO: 52 bar. TMO: 400ºC. Diámetro 1/2".</t>
  </si>
  <si>
    <t>2284 05</t>
  </si>
  <si>
    <t>Purgador termodinámico sin filtro para vapor PN 63. Const.: acero inox. 420 (ASTM A743 Gr-CA40). Extremos: rosca gas ISO 228-1. PMO: 52 bar. TMO: 400ºC. Diámetro 3/4".</t>
  </si>
  <si>
    <t>2284 06</t>
  </si>
  <si>
    <t>Purgador termodinámico sin filtro para vapor PN 63. Const.: acero inox. 420 (ASTM A743 Gr-CA40). Extremos: rosca gas ISO 228-1. PMO: 52 bar. TMO: 400ºC. Diámetro 1".</t>
  </si>
  <si>
    <t>2285 04 100</t>
  </si>
  <si>
    <t>Purgador de boya cerrada para vapor Conexión rosca gas BSP. Construcción: Acero al Carbono 1.0619 (WCB). Partes internas en acero inoxidable. Eliminador termostático de aire interno. Instalación horizontal. Máxima presión de trabajo PN16. Presión diferencial máxima: 10 bar (100). Temperatura máxima de trabajo 250ºC. Diámetro 1/2" DP.10 BAR.</t>
  </si>
  <si>
    <t>2285 04 045</t>
  </si>
  <si>
    <t>Purgador de boya cerrada para vapor Conexión rosca gas BSP. Construcción: Acero al Carbono 1.0619 (WCB). Partes internas en acero inoxidable. Eliminador termostático de aire interno. Instalación horizontal. Máxima presión de trabajo PN16. Presión diferencial máxima: 4,5 bar (45). Temperatura máxima de trabajo 250ºC. Diámetro 1/2" DP.4,5 BAR.</t>
  </si>
  <si>
    <t>2285 05 100</t>
  </si>
  <si>
    <t>Purgador de boya cerrada para vapor Conexión rosca gas BSP. Construcción: Acero al Carbono 1.0619 (WCB). Partes internas en acero inoxidable. Eliminador termostático de aire interno. Instalación horizontal. Máxima presión de trabajo PN16. Presión diferencial máxima: 10 bar (100). Temperatura máxima de trabajo 250ºC. Diámetro 3/4" DP.10 BAR.</t>
  </si>
  <si>
    <t>2285 05 045</t>
  </si>
  <si>
    <t>Purgador de boya cerrada para vapor Conexión rosca gas BSP. Construcción: Acero al Carbono 1.0619 (WCB). Partes internas en acero inoxidable. Eliminador termostático de aire interno. Instalación horizontal. Máxima presión de trabajo PN16. Presión diferencial máxima: 4,5 bar (45). Temperatura máxima de trabajo 250ºC. Diámetro 3/4" DP.4,5 BAR.</t>
  </si>
  <si>
    <t>2285 06 100</t>
  </si>
  <si>
    <t>Purgador de boya cerrada para vapor Conexión rosca gas BSP. Construcción: Acero al Carbono 1.0619 (WCB). Partes internas en acero inoxidable. Eliminador termostático de aire interno. Instalación horizontal. Máxima presión de trabajo PN16. Presión diferencial máxima: 10 bar (100). Temperatura máxima de trabajo 250ºC. Diámetro 1" DP.10 BAR.</t>
  </si>
  <si>
    <t>2285 06 045</t>
  </si>
  <si>
    <t>Purgador de boya cerrada para vapor Conexión rosca gas BSP. Construcción: Acero al Carbono 1.0619 (WCB). Partes internas en acero inoxidable. Eliminador termostático de aire interno. Instalación horizontal. Máxima presión de trabajo PN16. Presión diferencial máxima: 4,5 bar (45). Temperatura máxima de trabajo 250ºC. Diámetro 1" DP.4,5 BAR.</t>
  </si>
  <si>
    <t>2287 06 100</t>
  </si>
  <si>
    <t>Purgador de boya cerrada para vapor. Extremos bridados según EN 1092-1 PN16. Construcción: Acero al Carbono WCB. Partes internas en acero inoxidable. Eliminador  termostático de aire interno. Instalación horizontal. DN25: asiento simple, DN40/50: Asiento doble. Máxima presión de trabajo PN16. Presión diferencial máxima: 10 bar (100). Temperatura máxima de trabajo 250ºC. Diámetro 1" DP.10 BAR.</t>
  </si>
  <si>
    <t>2287 06 045</t>
  </si>
  <si>
    <t>Purgador de boya cerrada para vapor. Extremos bridados según EN 1092-1 PN16. Construcción: Acero al Carbono WCB. Partes internas en acero inoxidable. Eliminador  termostático de aire interno. Instalación horizontal. DN25: asiento simple, DN40/50: Asiento doble. Máxima presión de trabajo PN16. Presión diferencial máxima: 4,5 bar (45). Temperatura máxima de trabajo 250ºC. Diámetro 1" DP.4,5 BAR.</t>
  </si>
  <si>
    <t>2287 08 100</t>
  </si>
  <si>
    <t>Purgador de boya cerrada para vapor. Extremos bridados según EN 1092-1 PN16. Construcción: Acero al Carbono WCB. Partes internas en acero inoxidable. Eliminador  termostático de aire interno. Instalación horizontal. DN25: asiento simple, DN40/50: Asiento doble. Máxima presión de trabajo PN16. Presión diferencial máxima: 10 bar (100). Temperatura máxima de trabajo 250ºC. Diámetro 1 1/2" DP.10 BAR.</t>
  </si>
  <si>
    <t>2287 08 045</t>
  </si>
  <si>
    <t>Purgador de boya cerrada para vapor. Extremos bridados según EN 1092-1 PN16. Construcción: Acero al Carbono WCB. Partes internas en acero inoxidable. Eliminador  termostático de aire interno. Instalación horizontal. DN25: asiento simple, DN40/50: Asiento doble. Máxima presión de trabajo PN16. Presión diferencial máxima: 4,5 bar (45). Temperatura máxima de trabajo 250ºC. Diámetro 1 1/2" DP.4,5 BAR.</t>
  </si>
  <si>
    <t>2287 09 100</t>
  </si>
  <si>
    <t>Purgador de boya cerrada para vapor. Extremos bridados según EN 1092-1 PN16. Construcción: Acero al Carbono WCB. Partes internas en acero inoxidable. Eliminador  termostático de aire interno. Instalación horizontal. DN25: asiento simple, DN40/50: Asiento doble. Máxima presión de trabajo PN16. Presión diferencial máxima: 10 bar (100). Temperatura máxima de trabajo 250ºC. Diámetro 2" DP.10 BAR.</t>
  </si>
  <si>
    <t>2287 09 045</t>
  </si>
  <si>
    <t>Purgador de boya cerrada para vapor. Extremos bridados según EN 1092-1 PN16. Construcción: Acero al Carbono WCB. Partes internas en acero inoxidable. Eliminador  termostático de aire interno. Instalación horizontal. DN25: asiento simple, DN40/50: Asiento doble. Máxima presión de trabajo PN16. Presión diferencial máxima: 4,5 bar (45). Temperatura máxima de trabajo 250ºC. Diámetro 2" DP.4,5 BAR.</t>
  </si>
  <si>
    <t>2401 09</t>
  </si>
  <si>
    <t>Válvula retención doble disco Tipo wafer PN 16. Construcción: cuerpo hierro fundido GG-25. Discos inox 316. Ejes y resortes: AISI 316. Cojinetes: PTFE. Montaje entre bridas PN 10/16 - ANSI 150 lbs. Asiento NBR. Diámetro 2".</t>
  </si>
  <si>
    <t>2401 10</t>
  </si>
  <si>
    <t>Válvula retención doble disco Tipo wafer PN 16. Construcción: cuerpo hierro fundido GG-25. Discos inox 316. Ejes y resortes: AISI 316. Cojinetes: PTFE. Montaje entre bridas PN 10/16 - ANSI 150 lbs. Asiento NBR. Diámetro 2 1/2".</t>
  </si>
  <si>
    <t>2401 11</t>
  </si>
  <si>
    <t>Válvula retención doble disco Tipo wafer PN 16. Construcción: cuerpo hierro fundido GG-25. Discos inox 316. Ejes y resortes: AISI 316. Cojinetes: PTFE. Montaje entre bridas PN 10/16 - ANSI 150 lbs. Asiento NBR. Diámetro 3".</t>
  </si>
  <si>
    <t>2401 12</t>
  </si>
  <si>
    <t>Válvula retención doble disco Tipo wafer PN 16. Construcción: cuerpo hierro fundido GG-25. Discos inox 316. Ejes y resortes: AISI 316. Cojinetes: PTFE. Montaje entre bridas PN 10/16 - ANSI 150 lbs. Asiento NBR. Diámetro 4".</t>
  </si>
  <si>
    <t>2401 13</t>
  </si>
  <si>
    <t>Válvula retención doble disco Tipo wafer PN 16. Construcción: cuerpo hierro fundido GG-25. Discos inox 316. Ejes y resortes: AISI 316. Cojinetes: PTFE. Montaje entre bridas PN 10/16 - ANSI 150 lbs. Asiento NBR. Diámetro 5".</t>
  </si>
  <si>
    <t>2401 14</t>
  </si>
  <si>
    <t>Válvula retención doble disco Tipo wafer PN 16. Construcción: cuerpo hierro fundido GG-25. Discos inox 316. Ejes y resortes: AISI 316. Cojinetes: PTFE. Montaje entre bridas PN 10/16 - ANSI 150 lbs. Asiento NBR. Diámetro DE 6".</t>
  </si>
  <si>
    <t>2401 16</t>
  </si>
  <si>
    <t>Válvula retención doble disco Tipo wafer PN 16. Construcción: cuerpo hierro fundido GG-25. Discos inox 316. Ejes y resortes: AISI 316. Cojinetes: PTFE. Montaje entre bridas PN 10/16 - ANSI 150 lbs. Asiento NBR. Diámetro DE 8".</t>
  </si>
  <si>
    <t>2401 18</t>
  </si>
  <si>
    <t>Válvula retención doble disco Tipo wafer PN 16. Construcción: cuerpo hierro fundido GG-25. Discos inox 316. Ejes y resortes: AISI 316. Cojinetes: PTFE. Montaje entre bridas PN 10/16 - ANSI 150 lbs. Asiento NBR. Diámetro 10".</t>
  </si>
  <si>
    <t>2401 20</t>
  </si>
  <si>
    <t>Válvula retención doble disco Tipo wafer PN 16. Construcción: cuerpo hierro fundido GG-25. Discos inox 316. Ejes y resortes: AISI 316. Cojinetes: PTFE. Montaje entre bridas PN 10/16 - ANSI 150 lbs. Asiento NBR. Diámetro 12".</t>
  </si>
  <si>
    <t>2402 09</t>
  </si>
  <si>
    <t>Válvula retención doble disco tipo wafer. PN 25. Const.: AISI 316. Cojinetes PTFE - asiento vitón. Montaje entre bridas PN 25 - ANSI 150 lbs. Asiento vitón vulcanizado en ranura. Diámetro 2".</t>
  </si>
  <si>
    <t>2402 10</t>
  </si>
  <si>
    <t>Válvula retención doble disco tipo wafer. PN 25. Const.: AISI 316. Cojinetes PTFE - asiento vitón. Montaje entre bridas PN 25 - ANSI 150 lbs. Asiento vitón vulcanizado en ranura. Diámetro 2 1/2".</t>
  </si>
  <si>
    <t>2402 11</t>
  </si>
  <si>
    <t>Válvula retención doble disco tipo wafer. PN 25. Const.: AISI 316. Cojinetes PTFE - asiento vitón. Montaje entre bridas PN 25 - ANSI 150 lbs. Asiento vitón vulcanizado en ranura. Diámetro 3".</t>
  </si>
  <si>
    <t>2402 12</t>
  </si>
  <si>
    <t>Válvula retención doble disco tipo wafer. PN 25. Const.: AISI 316. Cojinetes PTFE - asiento vitón. Montaje entre bridas PN 25 - ANSI 150 lbs. Asiento vitón vulcanizado en ranura. Diámetro 4".</t>
  </si>
  <si>
    <t>2402 13</t>
  </si>
  <si>
    <t>Válvula retención doble disco tipo wafer. PN 25. Const.: AISI 316. Cojinetes PTFE - asiento vitón. Montaje entre bridas PN 25 - ANSI 150 lbs. Asiento vitón vulcanizado en ranura. Diámetro 5".</t>
  </si>
  <si>
    <t>2402 14</t>
  </si>
  <si>
    <t>Válvula retención doble disco tipo wafer. PN 25. Const.: AISI 316. Cojinetes PTFE - asiento vitón. Montaje entre bridas PN 25 - ANSI 150 lbs. Asiento vitón vulcanizado en ranura. Diámetro 6".</t>
  </si>
  <si>
    <t>2402 16</t>
  </si>
  <si>
    <t>Válvula retención doble disco tipo wafer. PN 25. Const.: AISI 316. Cojinetes PTFE - asiento vitón. Montaje entre bridas PN 25 - ANSI 150 lbs. Asiento vitón vulcanizado en ranura. Diámetro 8".</t>
  </si>
  <si>
    <t>2402 18</t>
  </si>
  <si>
    <t>Válvula retención doble disco tipo wafer. PN 25. Const.: AISI 316. Cojinetes PTFE - asiento vitón. Montaje entre bridas PN 25 - ANSI 150 lbs. Asiento vitón vulcanizado en ranura. Diámetro 10".</t>
  </si>
  <si>
    <t>2402 20</t>
  </si>
  <si>
    <t>Válvula retención doble disco tipo wafer. PN 25. Const.: AISI 316. Cojinetes PTFE - asiento vitón. Montaje entre bridas PN 25 - ANSI 150 lbs. Asiento vitón vulcanizado en ranura. Diámetro 12".</t>
  </si>
  <si>
    <t>2406 08</t>
  </si>
  <si>
    <t>Válvula de retención a clapeta Tipo wafer. PN 16. Cuerpo y disco acero INOX 316. Junta tórica: vitón montaje entre bridas PN 10/16 - ANSI 150 lbs. Diámetro 1 1/2".</t>
  </si>
  <si>
    <t>2406 09</t>
  </si>
  <si>
    <t>Válvula de retención a clapeta Tipo wafer. PN 16. Cuerpo y disco acero INOX 316. Junta tórica: vitón montaje entre bridas PN 10/16 - ANSI 150 lbs. Diámetro 2".</t>
  </si>
  <si>
    <t>2406 10</t>
  </si>
  <si>
    <t>Válvula de retención a clapeta Tipo wafer. PN 16. Cuerpo y disco acero INOX 316. Junta tórica: vitón montaje entre bridas PN 10/16 - ANSI 150 lbs. Diámetro 2 1/2".</t>
  </si>
  <si>
    <t>2406 11</t>
  </si>
  <si>
    <t>Válvula de retención a clapeta Tipo wafer. PN 16. Cuerpo y disco acero INOX 316. Junta tórica: vitón montaje entre bridas PN 10/16 - ANSI 150 lbs. Diámetro 3".</t>
  </si>
  <si>
    <t>2406 12</t>
  </si>
  <si>
    <t>Válvula de retención a clapeta Tipo wafer. PN 16. Cuerpo y disco acero INOX 316. Junta tórica: vitón montaje entre bridas PN 10/16 - ANSI 150 lbs. Diámetro 4".</t>
  </si>
  <si>
    <t>2406 13</t>
  </si>
  <si>
    <t>Válvula de retención a clapeta Tipo wafer. PN 16. Cuerpo y disco acero INOX 316. Junta tórica: vitón montaje entre bridas PN 10/16 - ANSI 150 lbs. Diámetro 5".</t>
  </si>
  <si>
    <t>2406 14</t>
  </si>
  <si>
    <t>Válvula de retención a clapeta Tipo wafer. PN 16. Cuerpo y disco acero INOX 316. Junta tórica: vitón montaje entre bridas PN 10/16 - ANSI 150 lbs. Diámetro 6".</t>
  </si>
  <si>
    <t>2406 16</t>
  </si>
  <si>
    <t>Válvula de retención a clapeta Tipo wafer. PN 16. Cuerpo y disco acero INOX 316. Junta tórica: vitón montaje entre bridas PN 10/16 - ANSI 150 lbs. Diámetro 8".</t>
  </si>
  <si>
    <t>2406 18</t>
  </si>
  <si>
    <t>Válvula de retención a clapeta Tipo wafer. PN 16. Cuerpo y disco acero INOX 316. Junta tórica: vitón montaje entre bridas PN 10/16 - ANSI 150 lbs. Diámetro 10".</t>
  </si>
  <si>
    <t>2406 20</t>
  </si>
  <si>
    <t>Válvula de retención a clapeta Tipo wafer. PN 16. Cuerpo y disco acero INOX 316. Junta tórica: vitón montaje entre bridas PN 10/16 - ANSI 150 lbs. Diámetro 12".</t>
  </si>
  <si>
    <t>2413 04</t>
  </si>
  <si>
    <t>Válvula de retención a disco PN 63.  Construcción: acero inox. CF8M (316) microfusión. Extremos: rosca BSP. Asiento: PTFE. PN 63, temp: -20ºC +200ºC. Diámetro 1/2".</t>
  </si>
  <si>
    <t>2413 05</t>
  </si>
  <si>
    <t>Válvula de retención a disco PN 63.  Construcción: acero inox. CF8M (316) microfusión. Extremos: rosca BSP. Asiento: PTFE. PN 63, temp: -20ºC +200ºC. Diámetro 3/4".</t>
  </si>
  <si>
    <t>2413 06</t>
  </si>
  <si>
    <t>Válvula de retención a disco PN 63.  Construcción: acero inox. CF8M (316) microfusión. Extremos: rosca BSP. Asiento: PTFE. PN 63, temp: -20ºC +200ºC. Diámetro 1".</t>
  </si>
  <si>
    <t>2415 04</t>
  </si>
  <si>
    <t>Válvula retención disco tipo wafer PN 40. Construcción: AISI 316. disco y resorte: AISI 316. Montaje entre bridas PN 10/40. ANSI 150 lbs. Longitud s/DIN 3202 K4. Diámetro 1/2".</t>
  </si>
  <si>
    <t>2415 05</t>
  </si>
  <si>
    <t>Válvula retención disco tipo wafer PN 40. Construcción: AISI 316. disco y resorte: AISI 316. Montaje entre bridas PN 10/40. ANSI 150 lbs. Longitud s/DIN 3202 K4. Diámetro 3/4".</t>
  </si>
  <si>
    <t>2415 06</t>
  </si>
  <si>
    <t>Válvula retención disco tipo wafer PN 40. Construcción: AISI 316. disco y resorte: AISI 316. Montaje entre bridas PN 10/40. ANSI 150 lbs. Longitud s/DIN 3202 K4. Diámetro 1".</t>
  </si>
  <si>
    <t>2415 07</t>
  </si>
  <si>
    <t>Válvula retención disco tipo wafer PN 40. Construcción: AISI 316. disco y resorte: AISI 316. Montaje entre bridas PN 10/40. ANSI 150 lbs. Longitud s/DIN 3202 K4. Diámetro 1 1/4".</t>
  </si>
  <si>
    <t>2415 08</t>
  </si>
  <si>
    <t>Válvula retención disco tipo wafer PN 40. Construcción: AISI 316. disco y resorte: AISI 316. Montaje entre bridas PN 10/40. ANSI 150 lbs. Longitud s/DIN 3202 K4. Diámetro 1 1/2".</t>
  </si>
  <si>
    <t>2415 09</t>
  </si>
  <si>
    <t>Válvula retención disco tipo wafer PN 40. Construcción: AISI 316. disco y resorte: AISI 316. Montaje entre bridas PN 10/40. ANSI 150 lbs. Longitud s/DIN 3202 K4. Diámetro 2".</t>
  </si>
  <si>
    <t>2415 10</t>
  </si>
  <si>
    <t>Válvula retención disco tipo wafer PN 40. Construcción: AISI 316. disco y resorte: AISI 316. Montaje entre bridas PN 10/40. ANSI 150 lbs. Longitud s/DIN 3202 K4. Diámetro 2 1/2".</t>
  </si>
  <si>
    <t>2415 11</t>
  </si>
  <si>
    <t>Válvula retención disco tipo wafer PN 40. Construcción: AISI 316. disco y resorte: AISI 316. Montaje entre bridas PN 10/40. ANSI 150 lbs. Longitud s/DIN 3202 K4. Diámetro 3".</t>
  </si>
  <si>
    <t>2415 12</t>
  </si>
  <si>
    <t>Válvula retención disco tipo wafer PN 40. Construcción: AISI 316. disco y resorte: AISI 316. Montaje entre bridas PN 10/40. ANSI 150 lbs. Longitud s/DIN 3202 K4. Diámetro 4".</t>
  </si>
  <si>
    <t>2415 13</t>
  </si>
  <si>
    <t>Válvula retención disco tipo wafer PN 40. Construcción: AISI 316. disco y resorte: AISI 316. Montaje entre bridas PN 10/40. ANSI 150 lbs. Longitud s/DIN 3202 K4. Diámetro 5".</t>
  </si>
  <si>
    <t>2415 14</t>
  </si>
  <si>
    <t>Válvula retención disco tipo wafer PN 40. Construcción: AISI 316. disco y resorte: AISI 316. Montaje entre bridas PN 10/40. ANSI 150 lbs. Longitud s/DIN 3202 K4. Diámetro 6".</t>
  </si>
  <si>
    <t>2415 16</t>
  </si>
  <si>
    <t>Válvula retención disco tipo wafer PN 40. Construcción: AISI 316. disco y resorte: AISI 316. Montaje entre bridas PN 10/40. ANSI 150 lbs. Longitud s/DIN 3202 K4. Diámetro 8".</t>
  </si>
  <si>
    <t>2416 02</t>
  </si>
  <si>
    <t>Válvula de retención a disco PN 63. Construcción: acero inox. 316. Extremos: rosca BSP. Disco y resorte: AISI 316. PN 63, temp: -20ºC +240ºC. Diámetro 1/4".</t>
  </si>
  <si>
    <t>2416 03</t>
  </si>
  <si>
    <t>Válvula de retención a disco PN 63. Construcción: acero inox. 316. Extremos: rosca BSP. Disco y resorte: AISI 316. PN 63, temp: -20ºC +240ºC. Diámetro 3/8".</t>
  </si>
  <si>
    <t>2416 04</t>
  </si>
  <si>
    <t>Válvula de retención a disco PN 63. Construcción: acero inox. 316. Extremos: rosca BSP. Disco y resorte: AISI 316. PN 63, temp: -20ºC +240ºC. Diámetro 1/2".</t>
  </si>
  <si>
    <t>2416 05</t>
  </si>
  <si>
    <t>Válvula de retención a disco PN 63. Construcción: acero inox. 316. Extremos: rosca BSP. Disco y resorte: AISI 316. PN 63, temp: -20ºC +240ºC. Diámetro 3/4".</t>
  </si>
  <si>
    <t>2416 06</t>
  </si>
  <si>
    <t>Válvula de retención a disco PN 63. Construcción: acero inox. 316. Extremos: rosca BSP. Disco y resorte: AISI 316. PN 63, temp: -20ºC +240ºC. Diámetro 1".</t>
  </si>
  <si>
    <t>2416 07</t>
  </si>
  <si>
    <t>Válvula de retención a disco PN 63. Construcción: acero inox. 316. Extremos: rosca BSP. Disco y resorte: AISI 316. PN 63, temp: -20ºC +240ºC. Diámetro 1 1/4".</t>
  </si>
  <si>
    <t>2416 08</t>
  </si>
  <si>
    <t>Válvula de retención a disco PN 63. Construcción: acero inox. 316. Extremos: rosca BSP. Disco y resorte: AISI 316. PN 63, temp: -20ºC +240ºC. Diámetro 1 1/2".</t>
  </si>
  <si>
    <t>2416 09</t>
  </si>
  <si>
    <t>Válvula de retención a disco PN 63. Construcción: acero inox. 316. Extremos: rosca BSP. Disco y resorte: AISI 316. PN 63, temp: -20ºC +240ºC. Diámetro 2".</t>
  </si>
  <si>
    <t>2416 10</t>
  </si>
  <si>
    <t>Válvula de retención a disco PN 63. Construcción: acero inox. 316. Extremos: rosca BSP. Disco y resorte: AISI 316. PN 63, temp: -20ºC +240ºC. Diámetro 2 1/2".</t>
  </si>
  <si>
    <t>2416 11</t>
  </si>
  <si>
    <t>Válvula de retención a disco PN 63. Construcción: acero inox. 316. Extremos: rosca BSP. Disco y resorte: AISI 316. PN 63, temp: -20ºC +240ºC. Diámetro 3".</t>
  </si>
  <si>
    <t>2416 12</t>
  </si>
  <si>
    <t>Válvula de retención a disco PN 63. Construcción: acero inox. 316. Extremos: rosca BSP. Disco y resorte: AISI 316. PN 63, temp: -20ºC +240ºC. Diámetro 4".</t>
  </si>
  <si>
    <t>2430 04</t>
  </si>
  <si>
    <t>Válvula retención a clapeta oscilante PN 16. Construcción: inox. 316. Juntas: PTFE conexión: rosca BSP.Presión máx.: 16 kg/cm2 a 120ºC - 10 kg/cm2 a 180ºC. Temp. mín.: -30ºC.  Diámetro 1/2".</t>
  </si>
  <si>
    <t>2430 05</t>
  </si>
  <si>
    <t>Válvula retención a clapeta oscilante PN 16. Construcción: inox. 316. Juntas: PTFE conexión: rosca BSP.Presión máx.: 16 kg/cm2 a 120ºC - 10 kg/cm2 a 180ºC. Temp. mín.: -30ºC.  Diámetro 3/4".</t>
  </si>
  <si>
    <t>2430 06</t>
  </si>
  <si>
    <t>Válvula retención a clapeta oscilante PN 16. Construcción: inox. 316. Juntas: PTFE conexión: rosca BSP.Presión máx.: 16 kg/cm2 a 120ºC - 10 kg/cm2 a 180ºC. Temp. mín.: -30ºC.  Diámetro 1".</t>
  </si>
  <si>
    <t>2430 07</t>
  </si>
  <si>
    <t>Válvula retención a clapeta oscilante PN 16. Construcción: inox. 316. Juntas: PTFE conexión: rosca BSP.Presión máx.: 16 kg/cm2 a 120ºC - 10 kg/cm2 a 180ºC. Temp. mín.: -30ºC.  Diámetro 1 1/4".</t>
  </si>
  <si>
    <t>2430 08</t>
  </si>
  <si>
    <t>Válvula retención a clapeta oscilante PN 16. Construcción: inox. 316. Juntas: PTFE conexión: rosca BSP.Presión máx.: 16 kg/cm2 a 120ºC - 10 kg/cm2 a 180ºC. Temp. mín.: -30ºC.  Diámetro 1 1/2".</t>
  </si>
  <si>
    <t>2430 09</t>
  </si>
  <si>
    <t>Válvula retención a clapeta oscilante PN 16. Construcción: inox. 316. Juntas: PTFE conexión: rosca BSP.Presión máx.: 16 kg/cm2 a 120ºC - 10 kg/cm2 a 180ºC. Temp. mín.: -30ºC.  Diámetro 2".</t>
  </si>
  <si>
    <t>2440 02</t>
  </si>
  <si>
    <t>Válvula retención “Cromax” . Construcción: AISI 304 - asiento vitón. Extremos roscados ISO 228. Temp. de trabajo, mín. -25ºC máx. +150ºC. Presión de trabajo, 16 bar. Presión de apertura, 0,03 bar. Diámetro 1/4".</t>
  </si>
  <si>
    <t>2440 03</t>
  </si>
  <si>
    <t>Válvula retención “Cromax” . Construcción: AISI 304 - asiento vitón. Extremos roscados ISO 228. Temp. de trabajo, mín. -25ºC máx. +150ºC. Presión de trabajo, 16 bar. Presión de apertura, 0,03 bar. Diámetro 3/8".</t>
  </si>
  <si>
    <t>2440 04</t>
  </si>
  <si>
    <t>Válvula retención “Cromax” . Construcción: AISI 304 - asiento vitón. Extremos roscados ISO 228. Temp. de trabajo, mín. -25ºC máx. +150ºC. Presión de trabajo, 16 bar. Presión de apertura, 0,03 bar. Diámetro 1/2".</t>
  </si>
  <si>
    <t>2440 05</t>
  </si>
  <si>
    <t>Válvula retención “Cromax” . Construcción: AISI 304 - asiento vitón. Extremos roscados ISO 228. Temp. de trabajo, mín. -25ºC máx. +150ºC. Presión de trabajo, 16 bar. Presión de apertura, 0,03 bar. Diámetro 3/4".</t>
  </si>
  <si>
    <t>2440 06</t>
  </si>
  <si>
    <t>Válvula retención “Cromax” . Construcción: AISI 304 - asiento vitón. Extremos roscados ISO 228. Temp. de trabajo, mín. -25ºC máx. +150ºC. Presión de trabajo, 16 bar. Presión de apertura, 0,03 bar. Diámetro 1".</t>
  </si>
  <si>
    <t>2440 07</t>
  </si>
  <si>
    <t>Válvula retención “Cromax” . Construcción: AISI 304 - asiento vitón. Extremos roscados ISO 228. Temp. de trabajo, mín. -25ºC máx. +150ºC. Presión de trabajo, 16 bar. Presión de apertura, 0,03 bar. Diámetro 1 1/4".</t>
  </si>
  <si>
    <t>2440 08</t>
  </si>
  <si>
    <t>Válvula retención “Cromax” . Construcción: AISI 304 - asiento vitón. Extremos roscados ISO 228. Temp. de trabajo, mín. -25ºC máx. +150ºC. Presión de trabajo, 16 bar. Presión de apertura, 0,03 bar. Diámetro 1 1/2".</t>
  </si>
  <si>
    <t>2440 09</t>
  </si>
  <si>
    <t>Válvula retención “Cromax” . Construcción: AISI 304 - asiento vitón. Extremos roscados ISO 228. Temp. de trabajo, mín. -25ºC máx. +150ºC. Presión de trabajo, 16 bar. Presión de apertura, 0,03 bar. Diámetro 2".</t>
  </si>
  <si>
    <t>2442 04</t>
  </si>
  <si>
    <t>Filtro válvula retención inox 304. Construcción: AISI 304 malla AISI 304. Extremos roscados. Gas exterior PN 16 bar. Diámetro malla: 1/2” a 2”: máx. 1 mm - 2 1/2” a 4”: máx. 1,9 mm. Diámetro 1/2".</t>
  </si>
  <si>
    <t>2442 05</t>
  </si>
  <si>
    <t>Filtro válvula retención inox 304. Construcción: AISI 304 malla AISI 304. Extremos roscados. Gas exterior PN 16 bar. Diámetro malla: 1/2” a 2”: máx. 1 mm - 2 1/2” a 4”: máx. 1,9 mm. Diámetro 3/4".</t>
  </si>
  <si>
    <t>2442 06</t>
  </si>
  <si>
    <t>Filtro válvula retención inox 304. Construcción: AISI 304 malla AISI 304. Extremos roscados. Gas exterior PN 16 bar. Diámetro malla: 1/2” a 2”: máx. 1 mm - 2 1/2” a 4”: máx. 1,9 mm. Diámetro 1".</t>
  </si>
  <si>
    <t>2448 09</t>
  </si>
  <si>
    <t>Válvula de retención de pie con brida DIN PN 16. Construcción en acero inoxidable 316. Asiento de vitón, junta PTFE. Con sistema manual de vaciado. Presión máxima de trabajo 16 bar. Diámetro 2".</t>
  </si>
  <si>
    <t>2448 10</t>
  </si>
  <si>
    <t>Válvula de retención de pie con brida DIN PN 16. Construcción en acero inoxidable 316. Asiento de vitón, junta PTFE. Con sistema manual de vaciado. Presión máxima de trabajo 16 bar. Diámetro 2 1/2".</t>
  </si>
  <si>
    <t>2448 11</t>
  </si>
  <si>
    <t>Válvula de retención de pie con brida DIN PN 16. Construcción en acero inoxidable 316. Asiento de vitón, junta PTFE. Con sistema manual de vaciado. Presión máxima de trabajo 16 bar. Diámetro 3".</t>
  </si>
  <si>
    <t>2448 12</t>
  </si>
  <si>
    <t>Válvula de retención de pie con brida DIN PN 16. Construcción en acero inoxidable 316. Asiento de vitón, junta PTFE. Con sistema manual de vaciado. Presión máxima de trabajo 16 bar. Diámetro 4".</t>
  </si>
  <si>
    <t>2448 13</t>
  </si>
  <si>
    <t>Válvula de retención de pie con brida DIN PN 16. Construcción en acero inoxidable 316. Asiento de vitón, junta PTFE. Con sistema manual de vaciado. Presión máxima de trabajo 16 bar. Diámetro 5".</t>
  </si>
  <si>
    <t>2448 14</t>
  </si>
  <si>
    <t>Válvula de retención de pie con brida DIN PN 16. Construcción en acero inoxidable 316. Asiento de vitón, junta PTFE. Con sistema manual de vaciado. Presión máxima de trabajo 16 bar. Diámetro 6".</t>
  </si>
  <si>
    <t>2448 16</t>
  </si>
  <si>
    <t>Válvula de retención de pie con brida DIN PN 16. Construcción en acero inoxidable 316. Asiento de vitón, junta PTFE. Con sistema manual de vaciado. Presión máxima de trabajo 16 bar. Diámetro 8".</t>
  </si>
  <si>
    <t>2450 09</t>
  </si>
  <si>
    <t>Válvula retención a disco con bridas DIN PN 16. Cuerpo: fund. hierro GG-25. Disco: fund. hierro GG-25. Guía: DN 50-80 latón DIN -17660. Guía: DN 100-250 fund. GG-25. Soporte: latón DIN 17660. Cierre blando: NBR 80 SH. Diámetro 2".</t>
  </si>
  <si>
    <t>2450 10</t>
  </si>
  <si>
    <t>Válvula retención a disco con bridas DIN PN 16. Cuerpo: fund. hierro GG-25. Disco: fund. hierro GG-25. Guía: DN 50-80 latón DIN -17660. Guía: DN 100-250 fund. GG-25. Soporte: latón DIN 17660. Cierre blando: NBR 80 SH. Diámetro 2 1/2".</t>
  </si>
  <si>
    <t>2450 11</t>
  </si>
  <si>
    <t>Válvula retención a disco con bridas DIN PN 16. Cuerpo: fund. hierro GG-25. Disco: fund. hierro GG-25. Guía: DN 50-80 latón DIN -17660. Guía: DN 100-250 fund. GG-25. Soporte: latón DIN 17660. Cierre blando: NBR 80 SH. Diámetro 3".</t>
  </si>
  <si>
    <t>2450 12</t>
  </si>
  <si>
    <t>Válvula retención a disco con bridas DIN PN 16. Cuerpo: fund. hierro GG-25. Disco: fund. hierro GG-25. Guía: DN 50-80 latón DIN -17660. Guía: DN 100-250 fund. GG-25. Soporte: latón DIN 17660. Cierre blando: NBR 80 SH. Diámetro 4".</t>
  </si>
  <si>
    <t>2450 13</t>
  </si>
  <si>
    <t>Válvula retención a disco con bridas DIN PN 16. Cuerpo: fund. hierro GG-25. Disco: fund. hierro GG-25. Guía: DN 50-80 latón DIN -17660. Guía: DN 100-250 fund. GG-25. Soporte: latón DIN 17660. Cierre blando: NBR 80 SH. Diámetro 5".</t>
  </si>
  <si>
    <t>2450 14</t>
  </si>
  <si>
    <t>Válvula retención a disco con bridas DIN PN 16. Cuerpo: fund. hierro GG-25. Disco: fund. hierro GG-25. Guía: DN 50-80 latón DIN -17660. Guía: DN 100-250 fund. GG-25. Soporte: latón DIN 17660. Cierre blando: NBR 80 SH. Diámetro 6".</t>
  </si>
  <si>
    <t>2450 16</t>
  </si>
  <si>
    <t>Válvula retención a disco con bridas DIN PN 16. Cuerpo: fund. hierro GG-25. Disco: fund. hierro GG-25. Guía: DN 50-80 latón DIN -17660. Guía: DN 100-250 fund. GG-25. Soporte: latón DIN 17660. Cierre blando: NBR 80 SH. Diámetro 8".</t>
  </si>
  <si>
    <t>2450 18</t>
  </si>
  <si>
    <t>Válvula retención a disco con bridas DIN PN 16. Cuerpo: fund. hierro GG-25. Disco: fund. hierro GG-25. Guía: DN 50-80 latón DIN -17660. Guía: DN 100-250 fund. GG-25. Soporte: latón DIN 17660. Cierre blando: NBR 80 SH. Diámetro 10".</t>
  </si>
  <si>
    <t>2451 09</t>
  </si>
  <si>
    <t>Filtro colador para ensamblar - brida PN 16. Construcción acero zincado. Diámetro 2".</t>
  </si>
  <si>
    <t>2451 10</t>
  </si>
  <si>
    <t>Filtro colador para ensamblar - brida PN 16. Construcción acero zincado. Diámetro 2 1/2".</t>
  </si>
  <si>
    <t>2451 11</t>
  </si>
  <si>
    <t>Filtro colador para ensamblar - brida PN 16. Construcción acero zincado. Diámetro 3".</t>
  </si>
  <si>
    <t>2451 12</t>
  </si>
  <si>
    <t>Filtro colador para ensamblar - brida PN 16. Construcción acero zincado. Diámetro 4".</t>
  </si>
  <si>
    <t>2451 13</t>
  </si>
  <si>
    <t>Filtro colador para ensamblar - brida PN 16. Construcción acero zincado. Diámetro 5".</t>
  </si>
  <si>
    <t>2451 14</t>
  </si>
  <si>
    <t>Filtro colador para ensamblar - brida PN 16. Construcción acero zincado. Diámetro 6".</t>
  </si>
  <si>
    <t>2451 16</t>
  </si>
  <si>
    <t>Filtro colador para ensamblar - brida PN 16. Construcción acero zincado. Diámetro 8".</t>
  </si>
  <si>
    <t>2451 18</t>
  </si>
  <si>
    <t>Filtro colador para ensamblar - brida PN 16. Construcción acero zincado. Diámetro 10".</t>
  </si>
  <si>
    <t>2453 09</t>
  </si>
  <si>
    <t>Válvula retención a bola - bridas DIN PN 16. Cuerpo fundido hierro GGG-40. Esfera recubierta con NBR. Presión máx: 16 BAR. Temperatura: -10ºC +80ºC. Diámetro 2".</t>
  </si>
  <si>
    <t>2453 10</t>
  </si>
  <si>
    <t>Válvula retención a bola - bridas DIN PN 16. Cuerpo fundido hierro GGG-40. Esfera recubierta con NBR. Presión máx: 16 BAR. Temperatura: -10ºC +80ºC. Diámetro 2 1/2".</t>
  </si>
  <si>
    <t>2453 11</t>
  </si>
  <si>
    <t>Válvula retención a bola - bridas DIN PN 16. Cuerpo fundido hierro GGG-40. Esfera recubierta con NBR. Presión máx: 16 BAR. Temperatura: -10ºC +80ºC. Diámetro 3".</t>
  </si>
  <si>
    <t>2453 12</t>
  </si>
  <si>
    <t>Válvula retención a bola - bridas DIN PN 16. Cuerpo fundido hierro GGG-40. Esfera recubierta con NBR. Presión máx: 16 BAR. Temperatura: -10ºC +80ºC. Diámetro 4".</t>
  </si>
  <si>
    <t>2453 13</t>
  </si>
  <si>
    <t>Válvula retención a bola - bridas DIN PN 16. Cuerpo fundido hierro GGG-40. Esfera recubierta con NBR. Presión máx: 16 BAR. Temperatura: -10ºC +80ºC. Diámetro 5".</t>
  </si>
  <si>
    <t>2453 14</t>
  </si>
  <si>
    <t>Válvula retención a bola - bridas DIN PN 16. Cuerpo fundido hierro GGG-40. Esfera recubierta con NBR. Presión máx: 16 BAR. Temperatura: -10ºC +80ºC. Diámetro 6".</t>
  </si>
  <si>
    <t>2453 16</t>
  </si>
  <si>
    <t>Válvula retención a bola - bridas DIN PN 16. Cuerpo fundido hierro GGG-40. Esfera recubierta con NBR. Presión máx: 16 BAR. Temperatura: -10ºC +80ºC. Diámetro 8".</t>
  </si>
  <si>
    <t>2453 18</t>
  </si>
  <si>
    <t>Válvula retención a bola - bridas DIN PN 16. Cuerpo fundido hierro GGG-40. Esfera recubierta con NBR. Presión máx: 16 BAR. Temperatura: -10ºC +80ºC. Diámetro 10".</t>
  </si>
  <si>
    <t>2458 10</t>
  </si>
  <si>
    <t>Filtro Y bridas DIN PN 16.  Construcción: Fundición GG25. Junta: Grafito. Conexión: Bridas DIN PN 16. Presión de trabajo 16 bar. Temp: -10ºC +120ºC. Tamiz: AISI 304 chapa Perforada. Diámetro 2 1/2".</t>
  </si>
  <si>
    <t>2458 18</t>
  </si>
  <si>
    <t>Filtro Y bridas DIN PN 16.  Construcción: Fundición GG25. Junta: Grafito. Conexión: Bridas DIN PN 16. Presión de trabajo 16 bar. Temp: -10ºC +120ºC. Tamiz: AISI 304 chapa Perforada. Diámetro 10".</t>
  </si>
  <si>
    <t>2458G 08</t>
  </si>
  <si>
    <t>Filtro "Y". Bridas en 1092 pn 16 (DIN). Longitud entre caras según en 558 Serie 1 (DIN 3202 F1). Cuerpo Fundición GGG-40. Junta: PTFE+Grafito. Conexión: Bridas DIN PN 16. Presión de trabajo: 16 bar. Temp: -10ºC + 120ºC. Tamiz: AISI 304 chapa perforada. Diametro 1 1/2".</t>
  </si>
  <si>
    <t>2458G 09</t>
  </si>
  <si>
    <t>Filtro "Y". Bridas en 1092 pn 16 (DIN). Longitud entre caras según en 558 Serie 1 (DIN 3202 F1). Cuerpo Fundición GGG-40. Junta: PTFE+Grafito. Conexión: Bridas DIN PN 16. Presión de trabajo: 16 bar. Temp: -10ºC + 120ºC. Tamiz: AISI 304 chapa perforada. Diametro 2".</t>
  </si>
  <si>
    <t>2458G 10</t>
  </si>
  <si>
    <t>Filtro "Y". Bridas en 1092 pn 16 (DIN). Longitud entre caras según en 558 Serie 1 (DIN 3202 F1). Cuerpo Fundición GGG-40. Junta: PTFE+Grafito. Conexión: Bridas DIN PN 16. Presión de trabajo: 16 bar. Temp: -10ºC + 120ºC. Tamiz: AISI 304 chapa perforada. Diametro 2 1/2".</t>
  </si>
  <si>
    <t>2458G 11</t>
  </si>
  <si>
    <t>Filtro "Y". Bridas en 1092 pn 16 (DIN). Longitud entre caras según en 558 Serie 1 (DIN 3202 F1). Cuerpo Fundición GGG-40. Junta: PTFE+Grafito. Conexión: Bridas DIN PN 16. Presión de trabajo: 16 bar. Temp: -10ºC + 120ºC. Tamiz: AISI 304 chapa perforada. Diametro 3".</t>
  </si>
  <si>
    <t>2458G 12</t>
  </si>
  <si>
    <t>Filtro "Y". Bridas en 1092 pn 16 (DIN). Longitud entre caras según en 558 Serie 1 (DIN 3202 F1). Cuerpo Fundición GGG-40. Junta: PTFE+Grafito. Conexión: Bridas DIN PN 16. Presión de trabajo: 16 bar. Temp: -10ºC + 120ºC. Tamiz: AISI 304 chapa perforada. Diametro 4".</t>
  </si>
  <si>
    <t>2458G 13</t>
  </si>
  <si>
    <t>Filtro "Y". Bridas en 1092 pn 16 (DIN). Longitud entre caras según en 558 Serie 1 (DIN 3202 F1). Cuerpo Fundición GGG-40. Junta: PTFE+Grafito. Conexión: Bridas DIN PN 16. Presión de trabajo: 16 bar. Temp: -10ºC + 120ºC. Tamiz: AISI 304 chapa perforada. Diametro 5".</t>
  </si>
  <si>
    <t>2458G 14</t>
  </si>
  <si>
    <t>Filtro "Y". Bridas en 1092 pn 16 (DIN). Longitud entre caras según en 558 Serie 1 (DIN 3202 F1). Cuerpo Fundición GGG-40. Junta: PTFE+Grafito. Conexión: Bridas DIN PN 16. Presión de trabajo: 16 bar. Temp: -10ºC + 120ºC. Tamiz: AISI 304 chapa perforada. Diametro 6".</t>
  </si>
  <si>
    <t>2458G 16</t>
  </si>
  <si>
    <t>Filtro "Y". Bridas en 1092 pn 16 (DIN). Longitud entre caras según en 558 Serie 1 (DIN 3202 F1). Cuerpo Fundición GGG-40. Junta: PTFE+Grafito. Conexión: Bridas DIN PN 16. Presión de trabajo: 16 bar. Temp: -10ºC + 120ºC. Tamiz: AISI 304 chapa perforada. Diametro 8".</t>
  </si>
  <si>
    <t>2458G 18</t>
  </si>
  <si>
    <t>Filtro "Y". Bridas en 1092 pn 16 (DIN). Longitud entre caras según en 558 Serie 1 (DIN 3202 F1). Cuerpo Fundición GGG-40. Junta: PTFE+Grafito. Conexión: Bridas DIN PN 16. Presión de trabajo: 16 bar. Temp: -10ºC + 120ºC. Tamiz: AISI 304 chapa perforada. Diametro 10".</t>
  </si>
  <si>
    <t>2458G 20</t>
  </si>
  <si>
    <t>Filtro "Y". Bridas en 1092 pn 16 (DIN). Longitud entre caras según en 558 Serie 1 (DIN 3202 F1). Cuerpo Fundición GGG-40. Junta: PTFE+Grafito. Conexión: Bridas DIN PN 16. Presión de trabajo: 16 bar. Temp: -10ºC + 120ºC. Tamiz: AISI 304 chapa perforada. Diametro 12".</t>
  </si>
  <si>
    <t>2460 02</t>
  </si>
  <si>
    <t>Filtro - Y PN 40. Construcción: inox. CF8M (316). Juntas: PTFE. Conexión: rosca BSP. Presión de trabajo: 40 BAR. Temperatura: -30ºC +240ºC. Tamiz: AISI 316 chapa perforada. Diámetro 1/4".</t>
  </si>
  <si>
    <t>2460 03</t>
  </si>
  <si>
    <t>Filtro - Y PN 40. Construcción: inox. CF8M (316). Juntas: PTFE. Conexión: rosca BSP. Presión de trabajo: 40 BAR. Temperatura: -30ºC +240ºC. Tamiz: AISI 316 chapa perforada. Diámetro 3/8".</t>
  </si>
  <si>
    <t>2460 04</t>
  </si>
  <si>
    <t>Filtro - Y PN 40. Construcción: inox. CF8M (316). Juntas: PTFE. Conexión: rosca BSP. Presión de trabajo: 40 BAR. Temperatura: -30ºC +240ºC. Tamiz: AISI 316 chapa perforada. Diámetro 1/2".</t>
  </si>
  <si>
    <t>2460 05</t>
  </si>
  <si>
    <t>Filtro - Y PN 40. Construcción: inox. CF8M (316). Juntas: PTFE. Conexión: rosca BSP. Presión de trabajo: 40 BAR. Temperatura: -30ºC +240ºC. Tamiz: AISI 316 chapa perforada. Diámetro 3/4".</t>
  </si>
  <si>
    <t>2460 06</t>
  </si>
  <si>
    <t>Filtro - Y PN 40. Construcción: inox. CF8M (316). Juntas: PTFE. Conexión: rosca BSP. Presión de trabajo: 40 BAR. Temperatura: -30ºC +240ºC. Tamiz: AISI 316 chapa perforada. Diámetro 1".</t>
  </si>
  <si>
    <t>2460 07</t>
  </si>
  <si>
    <t>Filtro - Y PN 40. Construcción: inox. CF8M (316). Juntas: PTFE. Conexión: rosca BSP. Presión de trabajo: 40 BAR. Temperatura: -30ºC +240ºC. Tamiz: AISI 316 chapa perforada. Diámetro 1 1/4".</t>
  </si>
  <si>
    <t>2460 08</t>
  </si>
  <si>
    <t>Filtro - Y PN 40. Construcción: inox. CF8M (316). Juntas: PTFE. Conexión: rosca BSP. Presión de trabajo: 40 BAR. Temperatura: -30ºC +240ºC. Tamiz: AISI 316 chapa perforada. Diámetro 1 1/2".</t>
  </si>
  <si>
    <t>2460 09</t>
  </si>
  <si>
    <t>Filtro - Y PN 40. Construcción: inox. CF8M (316). Juntas: PTFE. Conexión: rosca BSP. Presión de trabajo: 40 BAR. Temperatura: -30ºC +240ºC. Tamiz: AISI 316 chapa perforada. Diámetro 2".</t>
  </si>
  <si>
    <t>2461A 09</t>
  </si>
  <si>
    <t>Filtro - Y bridas ANSI B 16.5 S-150. Construcción: AISI 316. Juntas: PTFE. Presión de trabajo: 16 BAR. Temp.: -30ºC +240ºC. Tamiz: AISI 316 chapa perforada. Diámetro 2".</t>
  </si>
  <si>
    <t>2461A 10</t>
  </si>
  <si>
    <t>Filtro - Y bridas ANSI B 16.5 S-150. Construcción: AISI 316. Juntas: PTFE. Presión de trabajo: 16 BAR. Temp.: -30ºC +240ºC. Tamiz: AISI 316 chapa perforada. Diámetro 2 1/2".</t>
  </si>
  <si>
    <t>2461A 11</t>
  </si>
  <si>
    <t>Filtro - Y bridas ANSI B 16.5 S-150. Construcción: AISI 316. Juntas: PTFE. Presión de trabajo: 16 BAR. Temp.: -30ºC +240ºC. Tamiz: AISI 316 chapa perforada. Diámetro 3".</t>
  </si>
  <si>
    <t>2461A 12</t>
  </si>
  <si>
    <t>Filtro - Y bridas ANSI B 16.5 S-150. Construcción: AISI 316. Juntas: PTFE. Presión de trabajo: 16 BAR. Temp.: -30ºC +240ºC. Tamiz: AISI 316 chapa perforada. Diámetro 4".</t>
  </si>
  <si>
    <t>2461A 14</t>
  </si>
  <si>
    <t>Filtro - Y bridas ANSI B 16.5 S-150. Construcción: AISI 316. Juntas: PTFE. Presión de trabajo: 16 BAR. Temp.: -30ºC +240ºC. Tamiz: AISI 316 chapa perforada. Diámetro 6".</t>
  </si>
  <si>
    <t>2461A 16</t>
  </si>
  <si>
    <t>Filtro - Y bridas ANSI B 16.5 S-150. Construcción: AISI 316. Juntas: PTFE. Presión de trabajo: 16 BAR. Temp.: -30ºC +240ºC. Tamiz: AISI 316 chapa perforada. Diámetro 8".</t>
  </si>
  <si>
    <t>2526A 04</t>
  </si>
  <si>
    <t>Válvula esfera paso total 2 piezas bridas ANSI B 16.5 S-150. Montaje directo de actuadores s/ISO 5211. Dispositivo antiestático. Cuerpo: acero al carbono WCB. Esfera y eje: AISI 316. Asientos: PTFE + 25 % Grafito. Tórica eje: vitón. Presión máx.: 19 kg/cm2. Temp. -30ºC +220ºC. Mando manual por palanca con sistema de bloqueo. Diámetro 1/2".</t>
  </si>
  <si>
    <t>2526A 05</t>
  </si>
  <si>
    <t>Válvula esfera paso total 2 piezas bridas ANSI B 16.5 S-150. Montaje directo de actuadores s/ISO 5211. Dispositivo antiestático. Cuerpo: acero al carbono WCB. Esfera y eje: AISI 316. Asientos: PTFE + 25 % Grafito. Tórica eje: vitón. Presión máx.: 19 kg/cm2. Temp. -30ºC +220ºC. Mando manual por palanca con sistema de bloqueo. Diámetro 3/4".</t>
  </si>
  <si>
    <t>2526A 06</t>
  </si>
  <si>
    <t>Válvula esfera paso total 2 piezas bridas ANSI B 16.5 S-150. Montaje directo de actuadores s/ISO 5211. Dispositivo antiestático. Cuerpo: acero al carbono WCB. Esfera y eje: AISI 316. Asientos: PTFE + 25 % Grafito. Tórica eje: vitón. Presión máx.: 19 kg/cm2. Temp. -30ºC +220ºC. Mando manual por palanca con sistema de bloqueo. Diámetro 1".</t>
  </si>
  <si>
    <t>2526A 07</t>
  </si>
  <si>
    <t>Válvula esfera paso total 2 piezas bridas ANSI B 16.5 S-150. Montaje directo de actuadores s/ISO 5211. Dispositivo antiestático. Cuerpo: acero al carbono WCB. Esfera y eje: AISI 316. Asientos: PTFE + 25 % Grafito. Tórica eje: vitón. Presión máx.: 19 kg/cm2. Temp. -30ºC +220ºC. Mando manual por palanca con sistema de bloqueo. Diámetro 1 1/4".</t>
  </si>
  <si>
    <t>2526A 08</t>
  </si>
  <si>
    <t>Válvula esfera paso total 2 piezas bridas ANSI B 16.5 S-150. Montaje directo de actuadores s/ISO 5211. Dispositivo antiestático. Cuerpo: acero al carbono WCB. Esfera y eje: AISI 316. Asientos: PTFE + 25 % Grafito. Tórica eje: vitón. Presión máx.: 19 kg/cm2. Temp. -30ºC +220ºC. Mando manual por palanca con sistema de bloqueo. Diámetro 1 1/2".</t>
  </si>
  <si>
    <t>2526A 09</t>
  </si>
  <si>
    <t>Válvula esfera paso total 2 piezas bridas ANSI B 16.5 S-150. Montaje directo de actuadores s/ISO 5211. Dispositivo antiestático. Cuerpo: acero al carbono WCB. Esfera y eje: AISI 316. Asientos: PTFE + 25 % Grafito. Tórica eje: vitón. Presión máx.: 19 kg/cm2. Temp. -30ºC +220ºC. Mando manual por palanca con sistema de bloqueo. Diámetro 2".</t>
  </si>
  <si>
    <t>2526A 10</t>
  </si>
  <si>
    <t>Válvula esfera paso total 2 piezas bridas ANSI B 16.5 S-150. Montaje directo de actuadores s/ISO 5211. Dispositivo antiestático. Cuerpo: acero al carbono WCB. Esfera y eje: AISI 316. Asientos: PTFE + 25 % Grafito. Tórica eje: vitón. Presión máx.: 19 kg/cm2. Temp. -30ºC +220ºC. Mando manual por palanca con sistema de bloqueo. Diámetro 2 1/2".</t>
  </si>
  <si>
    <t>2526A 11</t>
  </si>
  <si>
    <t>Válvula esfera paso total 2 piezas bridas ANSI B 16.5 S-150. Montaje directo de actuadores s/ISO 5211. Dispositivo antiestático. Cuerpo: acero al carbono WCB. Esfera y eje: AISI 316. Asientos: PTFE + 25 % Grafito. Tórica eje: vitón. Presión máx.: 19 kg/cm2. Temp. -30ºC +220ºC. Mando manual por palanca con sistema de bloqueo. Diámetro 3".</t>
  </si>
  <si>
    <t>2526A 12</t>
  </si>
  <si>
    <t>Válvula esfera paso total 2 piezas bridas ANSI B 16.5 S-150. Montaje directo de actuadores s/ISO 5211. Dispositivo antiestático. Cuerpo: acero al carbono WCB. Esfera y eje: AISI 316. Asientos: PTFE + 25 % Grafito. Tórica eje: vitón. Presión máx.: 19 kg/cm2. Temp. -30ºC +220ºC. Mando manual por palanca con sistema de bloqueo. Diámetro 4".</t>
  </si>
  <si>
    <t>2526A 14</t>
  </si>
  <si>
    <t>Válvula esfera paso total 2 piezas bridas ANSI B 16.5 S-150. Montaje directo de actuadores s/ISO 5211. Dispositivo antiestático. Cuerpo: acero al carbono WCB. Esfera y eje: AISI 316. Asientos: PTFE + 25 % Grafito. Tórica eje: vitón. Presión máx.: 19 kg/cm2. Temp. -30ºC +220ºC. Mando manual por palanca con sistema de bloqueo. Diámetro 6".</t>
  </si>
  <si>
    <t>2528 04</t>
  </si>
  <si>
    <t>Válvula esfera paso total 2 piezas montaje directo de actuadores S/ISO 5211. Bridas DIN. Cuerpo: inox. 316. Asientos y juntas: PTFE +15% FV tórica eje: vitón. Dispositivo antiestático. Presión máx.: 40/16 BAR según medida. Temp.: -30ºC +180ºC. Mando manual por palanca. Long: S/DIN 3202 F-4 DN 15 DN 100 F-5 DN 125 DN 200. Diámetro 1/2".</t>
  </si>
  <si>
    <t>2528 05</t>
  </si>
  <si>
    <t>Válvula esfera paso total 2 piezas montaje directo de actuadores S/ISO 5211. Bridas DIN. Cuerpo: inox. 316. Asientos y juntas: PTFE +15% FV tórica eje: vitón. Dispositivo antiestático. Presión máx.: 40/16 BAR según medida. Temp.: -30ºC +180ºC. Mando manual por palanca. Long: S/DIN 3202 F-4 DN 15 DN 100 F-5 DN 125 DN 200. Diámetro 3/4".</t>
  </si>
  <si>
    <t>2528 06</t>
  </si>
  <si>
    <t>Válvula esfera paso total 2 piezas montaje directo de actuadores S/ISO 5211. Bridas DIN. Cuerpo: inox. 316. Asientos y juntas: PTFE +15% FV tórica eje: vitón. Dispositivo antiestático. Presión máx.: 40/16 BAR según medida. Temp.: -30ºC +180ºC. Mando manual por palanca. Long: S/DIN 3202 F-4 DN 15 DN 100 F-5 DN 125 DN 200. Diámetro 1".</t>
  </si>
  <si>
    <t>2528 07</t>
  </si>
  <si>
    <t>Válvula esfera paso total 2 piezas montaje directo de actuadores S/ISO 5211. Bridas DIN. Cuerpo: inox. 316. Asientos y juntas: PTFE +15% FV tórica eje: vitón. Dispositivo antiestático. Presión máx.: 40/16 BAR según medida. Temp.: -30ºC +180ºC. Mando manual por palanca. Long: S/DIN 3202 F-4 DN 15 DN 100 F-5 DN 125 DN 200. Diámetro 1 1/4".</t>
  </si>
  <si>
    <t>2528 08</t>
  </si>
  <si>
    <t>Válvula esfera paso total 2 piezas montaje directo de actuadores S/ISO 5211. Bridas DIN. Cuerpo: inox. 316. Asientos y juntas: PTFE +15% FV tórica eje: vitón. Dispositivo antiestático. Presión máx.: 40/16 BAR según medida. Temp.: -30ºC +180ºC. Mando manual por palanca. Long: S/DIN 3202 F-4 DN 15 DN 100 F-5 DN 125 DN 200. Diámetro 1 1/2".</t>
  </si>
  <si>
    <t>2528 09</t>
  </si>
  <si>
    <t>Válvula esfera paso total 2 piezas montaje directo de actuadores S/ISO 5211. Bridas DIN. Cuerpo: inox. 316. Asientos y juntas: PTFE +15% FV tórica eje: vitón. Dispositivo antiestático. Presión máx.: 40/16 BAR según medida. Temp.: -30ºC +180ºC. Mando manual por palanca. Long: S/DIN 3202 F-4 DN 15 DN 100 F-5 DN 125 DN 200. Diámetro 2".</t>
  </si>
  <si>
    <t>2528 10</t>
  </si>
  <si>
    <t>Válvula esfera paso total 2 piezas montaje directo de actuadores S/ISO 5211. Bridas DIN. Cuerpo: inox. 316. Asientos y juntas: PTFE +15% FV tórica eje: vitón. Dispositivo antiestático. Presión máx.: 40/16 BAR según medida. Temp.: -30ºC +180ºC. Mando manual por palanca. Long: S/DIN 3202 F-4 DN 15 DN 100 F-5 DN 125 DN 200. Diámetro 2 1/2".</t>
  </si>
  <si>
    <t>2528 11</t>
  </si>
  <si>
    <t>Válvula esfera paso total 2 piezas montaje directo de actuadores S/ISO 5211. Bridas DIN. Cuerpo: inox. 316. Asientos y juntas: PTFE +15% FV tórica eje: vitón. Dispositivo antiestático. Presión máx.: 40/16 BAR según medida. Temp.: -30ºC +180ºC. Mando manual por palanca. Long: S/DIN 3202 F-4 DN 15 DN 100 F-5 DN 125 DN 200. Diámetro 3".</t>
  </si>
  <si>
    <t>2528 12</t>
  </si>
  <si>
    <t>Válvula esfera paso total 2 piezas montaje directo de actuadores S/ISO 5211. Bridas DIN. Cuerpo: inox. 316. Asientos y juntas: PTFE +15% FV tórica eje: vitón. Dispositivo antiestático. Presión máx.: 40/16 BAR según medida. Temp.: -30ºC +180ºC. Mando manual por palanca. Long: S/DIN 3202 F-4 DN 15 DN 100 F-5 DN 125 DN 200. Diámetro 4".</t>
  </si>
  <si>
    <t>2528 14</t>
  </si>
  <si>
    <t>Válvula esfera paso total 2 piezas montaje directo de actuadores S/ISO 5211. Bridas DIN. Cuerpo: inox. 316. Asientos y juntas: PTFE +15% FV tórica eje: vitón. Dispositivo antiestático. Presión máx.: 40/16 BAR según medida. Temp.: -30ºC +180ºC. Mando manual por palanca. Long: S/DIN 3202 F-4 DN 15 DN 100 F-5 DN 125 DN 200. Diámetro 6".</t>
  </si>
  <si>
    <t>2528 16</t>
  </si>
  <si>
    <t>Válvula esfera paso total 2 piezas montaje directo de actuadores S/ISO 5211. Bridas DIN. Cuerpo: inox. 316. Asientos y juntas: PTFE +15% FV tórica eje: vitón. Dispositivo antiestático. Presión máx.: 40/16 BAR según medida. Temp.: -30ºC +180ºC. Mando manual por palanca. Long: S/DIN 3202 F-4 DN 15 DN 100 F-5 DN 125 DN 200. Diámetro 8".</t>
  </si>
  <si>
    <t>2528A 04</t>
  </si>
  <si>
    <t>Válvula esfera paso total 2 piezas montaje directo de actuadores S/ISO 5211. Bridas ANSI 150. Cuerpo: inox. 316. Asientos y juntas: PTFE +15% FV tórica eje: vitón. Dispositivo antiestático. Presión máx.: 40/16 BAR según medida. Temp.: -30ºC +180ºC. Mando manual por palanca. Diámetro 1/2".</t>
  </si>
  <si>
    <t>2528A 05</t>
  </si>
  <si>
    <t>Válvula esfera paso total 2 piezas montaje directo de actuadores S/ISO 5211. Bridas ANSI 150. Cuerpo: inox. 316. Asientos y juntas: PTFE +15% FV tórica eje: vitón. Dispositivo antiestático. Presión máx.: 40/16 BAR según medida. Temp.: -30ºC +180ºC. Mando manual por palanca. Diámetro 3/4".</t>
  </si>
  <si>
    <t>2528A 06</t>
  </si>
  <si>
    <t>Válvula esfera paso total 2 piezas montaje directo de actuadores S/ISO 5211. Bridas ANSI 150. Cuerpo: inox. 316. Asientos y juntas: PTFE +15% FV tórica eje: vitón. Dispositivo antiestático. Presión máx.: 40/16 BAR según medida. Temp.: -30ºC +180ºC. Mando manual por palanca. Diámetro 1".</t>
  </si>
  <si>
    <t>2528A 07</t>
  </si>
  <si>
    <t>Válvula esfera paso total 2 piezas montaje directo de actuadores S/ISO 5211. Bridas ANSI 150. Cuerpo: inox. 316. Asientos y juntas: PTFE +15% FV tórica eje: vitón. Dispositivo antiestático. Presión máx.: 40/16 BAR según medida. Temp.: -30ºC +180ºC. Mando manual por palanca. Diámetro 1 1/4".</t>
  </si>
  <si>
    <t>2528A 08</t>
  </si>
  <si>
    <t>Válvula esfera paso total 2 piezas montaje directo de actuadores S/ISO 5211. Bridas ANSI 150. Cuerpo: inox. 316. Asientos y juntas: PTFE +15% FV tórica eje: vitón. Dispositivo antiestático. Presión máx.: 40/16 BAR según medida. Temp.: -30ºC +180ºC. Mando manual por palanca. Diámetro 1 1/2".</t>
  </si>
  <si>
    <t>2528A 09</t>
  </si>
  <si>
    <t>Válvula esfera paso total 2 piezas montaje directo de actuadores S/ISO 5211. Bridas ANSI 150. Cuerpo: inox. 316. Asientos y juntas: PTFE +15% FV tórica eje: vitón. Dispositivo antiestático. Presión máx.: 40/16 BAR según medida. Temp.: -30ºC +180ºC. Mando manual por palanca.  Diámetro 2".</t>
  </si>
  <si>
    <t>2528A 10</t>
  </si>
  <si>
    <t>Válvula esfera paso total 2 piezas montaje directo de actuadores S/ISO 5211. Bridas ANSI 150. Cuerpo: inox. 316. Asientos y juntas: PTFE +15% FV tórica eje: vitón. Dispositivo antiestático. Presión máx.: 40/16 BAR según medida. Temp.: -30ºC +180ºC. Mando manual por palanca. Diámetro 2 1/2".</t>
  </si>
  <si>
    <t>2528A 11</t>
  </si>
  <si>
    <t>Válvula esfera paso total 2 piezas montaje directo de actuadores S/ISO 5211. Bridas ANSI 150. Cuerpo: inox. 316. Asientos y juntas: PTFE +15% FV tórica eje: vitón. Dispositivo antiestático. Presión máx.: 40/16 BAR según medida. Temp.: -30ºC +180ºC. Mando manual por palanca. Diámetro 3".</t>
  </si>
  <si>
    <t>2528A 12</t>
  </si>
  <si>
    <t>Válvula esfera paso total 2 piezas montaje directo de actuadores S/ISO 5211. Bridas ANSI 150. Cuerpo: inox. 316. Asientos y juntas: PTFE +15% FV tórica eje: vitón. Dispositivo antiestático. Presión máx.: 40/16 BAR según medida. Temp.: -30ºC +180ºC. Mando manual por palanca. Diámetro 4".</t>
  </si>
  <si>
    <t>2528A 14</t>
  </si>
  <si>
    <t>Válvula esfera paso total 2 piezas montaje directo de actuadores S/ISO 5211. Bridas ANSI 150. Cuerpo: inox. 316. Asientos y juntas: PTFE +15% FV tórica eje: vitón. Dispositivo antiestático. Presión máx.: 40/16 BAR según medida. Temp.: -30ºC +180ºC. Mando manual por palanca. Diámetro 6".</t>
  </si>
  <si>
    <t>2528A 16</t>
  </si>
  <si>
    <t>Válvula esfera paso total 2 piezas montaje directo de actuadores S/ISO 5211. Bridas ANSI 150. Cuerpo: inox. 316. Asientos y juntas: PTFE +15% FV tórica eje: vitón. Dispositivo antiestático. Presión máx.: 40/16 BAR según medida. Temp.: -30ºC +180ºC. Mando manual por palanca. Diámetro 8".</t>
  </si>
  <si>
    <t>2540 06</t>
  </si>
  <si>
    <t>Válvula de esfera 3 vías paso total. Paso tipo “L” . Bridas DIN PN 40. Montaje directo de actuadores s/ISO 5211. Cuerpo: inox 316. 4 asientos: PTFE + 15% FV. Presión máx. 16/40 BAR según medida. Temp.: -30ºC +180ºC. Mando manual por palanca. Diámetro 1".</t>
  </si>
  <si>
    <t>2540 07</t>
  </si>
  <si>
    <t>Válvula de esfera 3 vías paso total. Paso tipo “L” . Bridas DIN PN 40. Montaje directo de actuadores s/ISO 5211. Cuerpo: inox 316. 4 asientos: PTFE + 15% FV. Presión máx. 16/40 BAR según medida. Temp.: -30ºC +180ºC. Mando manual por palanca. Diámetro 1 1/4".</t>
  </si>
  <si>
    <t>2540 08</t>
  </si>
  <si>
    <t>Válvula de esfera 3 vías paso total. Paso tipo “L” . Bridas DIN PN 40. Montaje directo de actuadores s/ISO 5211. Cuerpo: inox 316. 4 asientos: PTFE + 15% FV. Presión máx. 16/40 BAR según medida. Temp.: -30ºC +180ºC. Mando manual por palanca. Diámetro 1 1/2".</t>
  </si>
  <si>
    <t>2540 09</t>
  </si>
  <si>
    <t>Válvula de esfera 3 vías paso total. Paso tipo “L” . Bridas DIN PN 40. Montaje directo de actuadores s/ISO 5211. Cuerpo: inox 316. 4 asientos: PTFE + 15% FV. Presión máx. 16/40 BAR según medida. Temp.: -30ºC +180ºC. Mando manual por palanca. Diámetro 2".</t>
  </si>
  <si>
    <t>2540 10</t>
  </si>
  <si>
    <t>Válvula de esfera 3 vías paso total. Paso tipo “L” . Bridas DIN PN 40. Montaje directo de actuadores s/ISO 5211. Cuerpo: inox 316. 4 asientos: PTFE + 15% FV. Presión máx. 16/40 BAR según medida. Temp.: -30ºC +180ºC. Mando manual por palanca. Diámetro 2 1/2".</t>
  </si>
  <si>
    <t>2540 11</t>
  </si>
  <si>
    <t>Válvula de esfera 3 vías paso total. Paso tipo “L” . Bridas DIN PN 40. Montaje directo de actuadores s/ISO 5211. Cuerpo: inox 316. 4 asientos: PTFE + 15% FV. Presión máx. 16/40 BAR según medida. Temp.: -30ºC +180ºC. Mando manual por palanca. Diámetro 3".</t>
  </si>
  <si>
    <t>2540 12</t>
  </si>
  <si>
    <t>Válvula de esfera 3 vías paso total. Paso tipo “L” . Bridas DIN PN 40. Montaje directo de actuadores s/ISO 5211. Cuerpo: inox 316. 4 asientos: PTFE + 15% FV. Presión máx. 16/40 BAR según medida. Temp.: -30ºC +180ºC. Mando manual por palanca. Diámetro 4".</t>
  </si>
  <si>
    <t>2541 06</t>
  </si>
  <si>
    <t>Válvula de esfera 3 vías paso total. Paso tipo “T” . Bridas DIN PN 40. Montaje directo de actuadores s/ISO 5211. Cuerpo: inox 316. 4 asientos: PTFE + 15% FV. Presión máx. 16/40 BAR según medida. Temp.: -30ºC +180ºC. Mando manual por palanca. Diámetro 1".</t>
  </si>
  <si>
    <t>2541 07</t>
  </si>
  <si>
    <t>Válvula de esfera 3 vías paso total. Paso tipo “T” . Bridas DIN PN 40. Montaje directo de actuadores s/ISO 5211. Cuerpo: inox 316. 4 asientos: PTFE + 15% FV. Presión máx. 16/40 BAR según medida. Temp.: -30ºC +180ºC. Mando manual por palanca. Diámetro 1 1/4".</t>
  </si>
  <si>
    <t>2541 08</t>
  </si>
  <si>
    <t>Válvula de esfera 3 vías paso total. Paso tipo “T” . Bridas DIN PN 40. Montaje directo de actuadores s/ISO 5211. Cuerpo: inox 316. 4 asientos: PTFE + 15% FV. Presión máx. 16/40 BAR según medida. Temp.: -30ºC +180ºC. Mando manual por palanca. Diámetro 1 1/2".</t>
  </si>
  <si>
    <t>2541 09</t>
  </si>
  <si>
    <t>Válvula de esfera 3 vías paso total. Paso tipo “T” . Bridas DIN PN 40. Montaje directo de actuadores s/ISO 5211. Cuerpo: inox 316. 4 asientos: PTFE + 15% FV. Presión máx. 16/40 BAR según medida. Temp.: -30ºC +180ºC. Mando manual por palanca. Diámetro 2".</t>
  </si>
  <si>
    <t>2541 10</t>
  </si>
  <si>
    <t>Válvula de esfera 3 vías paso total. Paso tipo “T” . Bridas DIN PN 40. Montaje directo de actuadores s/ISO 5211. Cuerpo: inox 316. 4 asientos: PTFE + 15% FV. Presión máx. 16/40 BAR según medida. Temp.: -30ºC +180ºC. Mando manual por palanca. Diámetro 2 1/2".</t>
  </si>
  <si>
    <t>2541 11</t>
  </si>
  <si>
    <t>Válvula de esfera 3 vías paso total. Paso tipo “T” . Bridas DIN PN 40. Montaje directo de actuadores s/ISO 5211. Cuerpo: inox 316. 4 asientos: PTFE + 15% FV. Presión máx. 16/40 BAR según medida. Temp.: -30ºC +180ºC. Mando manual por palanca. Diámetro 3".</t>
  </si>
  <si>
    <t>2541 12</t>
  </si>
  <si>
    <t>Manguito elástico - doble onda Rosca BSP. Cuerpo EPDM, extremos racors. Roscas gas galvanizados. Presión de trabajo máx.: 10 BAR. Temp. -10ºC +105ºC. Longitud: 200 mm. Diámetro 4".</t>
  </si>
  <si>
    <t>2544 06</t>
  </si>
  <si>
    <t>Válvula esfera 3 vías paso total. 2544 paso tipo “L”. Bridas DIN PN40 DN50. Bridas DIN PN16 DN50. Montaje directo de actuadores s/ISO 5211. Cuerpo: Acero al Carbono 1.0619 (WCB) microfusión. Esfera acero inox. 304. Asientos PTFE. Presión máx. 16/40 bar según medida. Temp.: -30ºC +160ºC. Mando manual por palanca con sistema de bloqueo. Diametro 1".</t>
  </si>
  <si>
    <t>2544 07</t>
  </si>
  <si>
    <t>Válvula esfera 3 vías paso total. 2544 paso tipo “L”. Bridas DIN PN40 DN50. Bridas DIN PN16 DN50. Montaje directo de actuadores s/ISO 5211. Cuerpo: Acero al Carbono 1.0619 (WCB) microfusión. Esfera acero inox. 304. Asientos PTFE. Presión máx. 16/40 bar según medida. Temp.: -30ºC +160ºC. Mando manual por palanca con sistema de bloqueo. Diametro 1 1/4".</t>
  </si>
  <si>
    <t>2544 08</t>
  </si>
  <si>
    <t>Válvula esfera 3 vías paso total. 2544 paso tipo “L”. Bridas DIN PN40 DN50. Bridas DIN PN16 DN50. Montaje directo de actuadores s/ISO 5211. Cuerpo: Acero al Carbono 1.0619 (WCB) microfusión. Esfera acero inox. 304. Asientos PTFE. Presión máx. 16/40 bar según medida. Temp.: -30ºC +160ºC. Mando manual por palanca con sistema de bloqueo. Diametro 1 1/2".</t>
  </si>
  <si>
    <t>2544 09</t>
  </si>
  <si>
    <t>Válvula esfera 3 vías paso total. 2544 paso tipo “L”. Bridas DIN PN40 DN50. Bridas DIN PN16 DN50. Montaje directo de actuadores s/ISO 5211. Cuerpo: Acero al Carbono 1.0619 (WCB) microfusión. Esfera acero inox. 304. Asientos PTFE. Presión máx. 16/40 bar según medida. Temp.: -30ºC +160ºC. Mando manual por palanca con sistema de bloqueo. Diametro 2".</t>
  </si>
  <si>
    <t>2544 10</t>
  </si>
  <si>
    <t>Válvula esfera 3 vías paso total. 2544 paso tipo “L”. Bridas DIN PN40 DN50. Bridas DIN PN16 DN50. Montaje directo de actuadores s/ISO 5211. Cuerpo: Acero al Carbono 1.0619 (WCB) microfusión. Esfera acero inox. 304. Asientos PTFE. Presión máx. 16/40 bar según medida. Temp.: -30ºC +160ºC. Mando manual por palanca con sistema de bloqueo. Diametro 2 1/2".</t>
  </si>
  <si>
    <t>2544 11</t>
  </si>
  <si>
    <t>Válvula esfera 3 vías paso total. 2544 paso tipo “L”. Bridas DIN PN40 DN50. Bridas DIN PN16 DN50. Montaje directo de actuadores s/ISO 5211. Cuerpo: Acero al Carbono 1.0619 (WCB) microfusión. Esfera acero inox. 304. Asientos PTFE. Presión máx. 16/40 bar según medida. Temp.: -30ºC +160ºC. Mando manual por palanca con sistema de bloqueo. Diametro 3".</t>
  </si>
  <si>
    <t>2544 12</t>
  </si>
  <si>
    <t>Válvula esfera 3 vías paso total. 2544 paso tipo “L”. Bridas DIN PN40 DN50. Bridas DIN PN16 DN50. Montaje directo de actuadores s/ISO 5211. Cuerpo: Acero al Carbono 1.0619 (WCB) microfusión. Esfera acero inox. 304. Asientos PTFE. Presión máx. 16/40 bar según medida. Temp.: -30ºC +160ºC. Mando manual por palanca con sistema de bloqueo. Diametro 4".</t>
  </si>
  <si>
    <t>2545 06</t>
  </si>
  <si>
    <t>Válvula esfera 3 vías paso total. 2545 paso tipo “T”. Bridas DIN PN40 DN50. Bridas DIN PN16 DN50. Montaje directo de actuadores s/ISO 5211. Cuerpo: Acero al Carbono 1.0619 (WCB) microfusión. Esfera acero inox. 304. Asientos PTFE. Presión máx. 16/40 bar según medida. Temp.: -30ºC +160ºC. Mando manual por palanca con sistema de bloqueo. Diametro 1".</t>
  </si>
  <si>
    <t>2545 07</t>
  </si>
  <si>
    <t>Válvula esfera 3 vías paso total. 2545 paso tipo “T”. Bridas DIN PN40 DN50. Bridas DIN PN16 DN50. Montaje directo de actuadores s/ISO 5211. Cuerpo: Acero al Carbono 1.0619 (WCB) microfusión. Esfera acero inox. 304. Asientos PTFE. Presión máx. 16/40 bar según medida. Temp.: -30ºC +160ºC. Mando manual por palanca con sistema de bloqueo. Diametro 1 1/4".</t>
  </si>
  <si>
    <t xml:space="preserve">2545 08 </t>
  </si>
  <si>
    <t>Válvula esfera 3 vías paso total. 2545 paso tipo “T”. Bridas DIN PN40 DN50. Bridas DIN PN16 DN50. Montaje directo de actuadores s/ISO 5211. Cuerpo: Acero al Carbono 1.0619 (WCB) microfusión. Esfera acero inox. 304. Asientos PTFE. Presión máx. 16/40 bar según medida. Temp.: -30ºC +160ºC. Mando manual por palanca con sistema de bloqueo. Diametro 1 1/2".</t>
  </si>
  <si>
    <t>2545 09</t>
  </si>
  <si>
    <t>Válvula esfera 3 vías paso total. 2545 paso tipo “T”. Bridas DIN PN40 DN50. Bridas DIN PN16 DN50. Montaje directo de actuadores s/ISO 5211. Cuerpo: Acero al Carbono 1.0619 (WCB) microfusión. Esfera acero inox. 304. Asientos PTFE. Presión máx. 16/40 bar según medida. Temp.: -30ºC +160ºC. Mando manual por palanca con sistema de bloqueo. Diametro 2".</t>
  </si>
  <si>
    <t>2545 10</t>
  </si>
  <si>
    <t>Válvula esfera 3 vías paso total. 2545 paso tipo “T”. Bridas DIN PN40 DN50. Bridas DIN PN16 DN50. Montaje directo de actuadores s/ISO 5211. Cuerpo: Acero al Carbono 1.0619 (WCB) microfusión. Esfera acero inox. 304. Asientos PTFE. Presión máx. 16/40 bar según medida. Temp.: -30ºC +160ºC. Mando manual por palanca con sistema de bloqueo. Diametro 2 1/2".</t>
  </si>
  <si>
    <t xml:space="preserve">2545 11 </t>
  </si>
  <si>
    <t>Válvula esfera 3 vías paso total. 2545 paso tipo “T”. Bridas DIN PN40 DN50. Bridas DIN PN16 DN50. Montaje directo de actuadores s/ISO 5211. Cuerpo: Acero al Carbono 1.0619 (WCB) microfusión. Esfera acero inox. 304. Asientos PTFE. Presión máx. 16/40 bar según medida. Temp.: -30ºC +160ºC. Mando manual por palanca con sistema de bloqueo. Diametro 3".</t>
  </si>
  <si>
    <t>2545 12</t>
  </si>
  <si>
    <t>Válvula esfera 3 vías paso total. 2545 paso tipo “T”. Bridas DIN PN40 DN50. Bridas DIN PN16 DN50. Montaje directo de actuadores s/ISO 5211. Cuerpo: Acero al Carbono 1.0619 (WCB) microfusión. Esfera acero inox. 304. Asientos PTFE. Presión máx. 16/40 bar según medida. Temp.: -30ºC +160ºC. Mando manual por palanca con sistema de bloqueo. Diametro 4".</t>
  </si>
  <si>
    <t>2830 05</t>
  </si>
  <si>
    <t>Manguito elástico - doble onda Rosca BSP. Cuerpo EPDM, extremos racors. Roscas gas galvanizados. Presión de trabajo máx.: 10 BAR. Temp. -10ºC +105ºC. Longitud: 200 mm. Diámetro 3/4".</t>
  </si>
  <si>
    <t>2830 06</t>
  </si>
  <si>
    <t>Manguito elástico - doble onda Rosca BSP. Cuerpo EPDM, extremos racors. Roscas gas galvanizados. Presión de trabajo máx.: 10 BAR. Temp. -10ºC +105ºC. Longitud: 200 mm. Diámetro 1".</t>
  </si>
  <si>
    <t>2830 07</t>
  </si>
  <si>
    <t>Manguito elástico - doble onda Rosca BSP. Cuerpo EPDM, extremos racors. Roscas gas galvanizados. Presión de trabajo máx.: 10 BAR. Temp. -10ºC +105ºC. Longitud: 200 mm. Diámetro 1 1/4".</t>
  </si>
  <si>
    <t>2830 08</t>
  </si>
  <si>
    <t>Manguito elástico - doble onda Rosca BSP. Cuerpo EPDM, extremos racors. Roscas gas galvanizados. Presión de trabajo máx.: 10 BAR. Temp. -10ºC +105ºC. Longitud: 200 mm. Diámetro 1 1/2".</t>
  </si>
  <si>
    <t>2830 09</t>
  </si>
  <si>
    <t>Manguito elástico - doble onda Rosca BSP. Cuerpo EPDM, extremos racors. Roscas gas galvanizados. Presión de trabajo máx.: 10 BAR. Temp. -10ºC +105ºC. Longitud: 200 mm. Diámetro 2".</t>
  </si>
  <si>
    <t>2830 10</t>
  </si>
  <si>
    <t>Manguito elástico - doble onda Rosca BSP. Cuerpo EPDM, extremos racors. Roscas gas galvanizados. Presión de trabajo máx.: 10 BAR. Temp. -10ºC +105ºC. Longitud: 200 mm. Diámetro 2 1/2".</t>
  </si>
  <si>
    <t>2830 11</t>
  </si>
  <si>
    <t>Manguito elástico - doble onda Rosca BSP. Cuerpo EPDM, extremos racors. Roscas gas galvanizados. Presión de trabajo máx.: 10 BAR. Temp. -10ºC +105ºC. Longitud: 200 mm. Diámetro 3".</t>
  </si>
  <si>
    <t>2831A 07</t>
  </si>
  <si>
    <t>Manguito elástico bridas Cuerpo EPDM. Bridas ANSI 150 lbs zincadas.Presión de trabajo máx.: 19 kg/ cm2. Temp: -10ºC +105ºC. Diámetro DN-30.</t>
  </si>
  <si>
    <t>2831A 08</t>
  </si>
  <si>
    <t>Manguito elástico bridas Cuerpo EPDM. Bridas ANSI 150 lbs zincadas.Presión de trabajo máx.: 19 kg/ cm2. Temp: -10ºC +105ºC. Diámetro DN-40.</t>
  </si>
  <si>
    <t>2831A 09</t>
  </si>
  <si>
    <t>Manguito elástico bridas Cuerpo EPDM. Bridas ANSI 150 lbs zincadas.Presión de trabajo máx.: 19 kg/ cm2. Temp: -10ºC +105ºC. Diámetro DN-50.</t>
  </si>
  <si>
    <t>2831A 10</t>
  </si>
  <si>
    <t>Manguito elástico bridas Cuerpo EPDM. Bridas ANSI 150 lbs zincadas.Presión de trabajo máx.: 19 kg/ cm2. Temp: -10ºC +105ºC. Diámetro DN-65.</t>
  </si>
  <si>
    <t>2831A 11</t>
  </si>
  <si>
    <t>Manguito elástico bridas Cuerpo EPDM. Bridas ANSI 150 lbs zincadas.Presión de trabajo máx.: 19 kg/ cm2. Temp: -10ºC +105ºC. Diámetro DN-80.</t>
  </si>
  <si>
    <t>2831A 12</t>
  </si>
  <si>
    <t>Manguito elástico bridas Cuerpo EPDM. Bridas ANSI 150 lbs zincadas.Presión de trabajo máx.: 19 kg/ cm2. Temp: -10ºC +105ºC. Diámetro DN-100.</t>
  </si>
  <si>
    <t>2831A 13</t>
  </si>
  <si>
    <t>Manguito elástico bridas Cuerpo EPDM. Bridas ANSI 150 lbs zincadas.Presión de trabajo máx.: 19 kg/ cm2. Temp: -10ºC +105ºC. Diámetro DN-125.</t>
  </si>
  <si>
    <t>2831A 14</t>
  </si>
  <si>
    <t>Manguito elástico bridas Cuerpo EPDM. Bridas ANSI 150 lbs zincadas.Presión de trabajo máx.: 19 kg/ cm2. Temp: -10ºC +105ºC. Diámetro DN-150.</t>
  </si>
  <si>
    <t>2831A 16</t>
  </si>
  <si>
    <t>Manguito elástico bridas Cuerpo EPDM. Bridas ANSI 150 lbs zincadas.Presión de trabajo máx.: 19 kg/ cm2. Temp: -10ºC +105ºC. Diámetro DN-200.</t>
  </si>
  <si>
    <t>2831A 18</t>
  </si>
  <si>
    <t>Manguito elástico bridas Cuerpo EPDM. Bridas ANSI 150 lbs zincadas.Presión de trabajo máx.: 19 kg/ cm2. Temp: -10ºC +105ºC. Diámetro DN-250.</t>
  </si>
  <si>
    <t>2831A 20</t>
  </si>
  <si>
    <t>Manguito elástico bridas Cuerpo EPDM. Bridas ANSI 150 lbs zincadas.Presión de trabajo máx.: 19 kg/ cm2. Temp: -10ºC +105ºC. Diámetro DN-300.</t>
  </si>
  <si>
    <t>2831A 22</t>
  </si>
  <si>
    <t>Manguito elástico bridas Cuerpo EPDM. Bridas ANSI 150 lbs zincadas.Presión de trabajo máx.: 19 kg/ cm2. Temp: -10ºC +105ºC. Diámetro DN-350.</t>
  </si>
  <si>
    <t>2831A 24</t>
  </si>
  <si>
    <t>Manguito elástico bridas Cuerpo EPDM. Bridas ANSI 150 lbs zincadas.Presión de trabajo máx.: 19 kg/ cm2. Temp: -10ºC +105ºC. Diámetro DN-400.</t>
  </si>
  <si>
    <t>2831A 26</t>
  </si>
  <si>
    <t>Manguito elástico bridas Cuerpo EPDM. Bridas ANSI 150 lbs zincadas.Presión de trabajo máx.: 19 kg/ cm2. Temp: -10ºC +105ºC. Diámetro DN-450.</t>
  </si>
  <si>
    <t>2831A 28</t>
  </si>
  <si>
    <t>Manguito elástico bridas Cuerpo EPDM. Bridas ANSI 150 lbs zincadas.Presión de trabajo máx.: 19 kg/ cm2. Temp: -10ºC +105ºC. Diámetro DN-500.</t>
  </si>
  <si>
    <t>2831AB 09</t>
  </si>
  <si>
    <t>Manguito elástico bridas Cuerpo BUNA. Bridas ANSI 150 lbs zincadas.Presión de trabajo máx.: 19 kg/ cm2. Temp: -10ºC +105ºC. Diámetro DN-50.</t>
  </si>
  <si>
    <t>2831AB 10</t>
  </si>
  <si>
    <t>Manguito elástico bridas Cuerpo BUNA. Bridas ANSI 150 lbs zincadas.Presión de trabajo máx.: 19 kg/ cm2. Temp: -10ºC +105ºC. Diámetro DN-65.</t>
  </si>
  <si>
    <t>2831AB 11</t>
  </si>
  <si>
    <t>Manguito elástico bridas Cuerpo BUNA. Bridas ANSI 150 lbs zincadas.Presión de trabajo máx.: 19 kg/ cm2. Temp: -10ºC +105ºC. Diámetro DN-80.</t>
  </si>
  <si>
    <t>2831AB 12</t>
  </si>
  <si>
    <t>Manguito elástico bridas Cuerpo BUNA. Bridas ANSI 150 lbs zincadas.Presión de trabajo máx.: 19 kg/ cm2. Temp: -10ºC +105ºC. Diámetro DN-100.</t>
  </si>
  <si>
    <t>2831AB 13</t>
  </si>
  <si>
    <t>Manguito elástico bridas Cuerpo BUNA. Bridas ANSI 150 lbs zincadas.Presión de trabajo máx.: 19 kg/ cm2. Temp: -10ºC +105ºC. Diámetro DN-125.</t>
  </si>
  <si>
    <t>2831AB 14</t>
  </si>
  <si>
    <t>Manguito elástico bridas Cuerpo BUNA. Bridas ANSI 150 lbs zincadas.Presión de trabajo máx.: 19 kg/ cm2. Temp: -10ºC +105ºC. Diámetro DN-150.</t>
  </si>
  <si>
    <t>2831AB 16</t>
  </si>
  <si>
    <t>Manguito elástico bridas Cuerpo BUNA. Bridas ANSI 150 lbs zincadas.Presión de trabajo máx.: 19 kg/ cm2. Temp: -10ºC +105ºC. Diámetro DN-200.</t>
  </si>
  <si>
    <t>2831AB 18</t>
  </si>
  <si>
    <t>Manguito elástico bridas Cuerpo BUNA. Bridas ANSI 150 lbs zincadas.Presión de trabajo máx.: 19 kg/ cm2. Temp: -10ºC +105ºC. Diámetro DN-250.</t>
  </si>
  <si>
    <t>2831AB 20</t>
  </si>
  <si>
    <t>Manguito elástico bridas Cuerpo BUNA. Bridas ANSI 150 lbs zincadas.Presión de trabajo máx.: 19 kg/ cm2. Temp: -10ºC +105ºC. Diámetro DN-300.</t>
  </si>
  <si>
    <t>2835AE 09</t>
  </si>
  <si>
    <t>Junta de expansión metálica con camisa interior Extremos bridas ANSI 150lbs. Fuelle acero INOX. AISI 304. Camisa interior acero inox. AISI 304. Extremos bridas en acero carbono. Presión máx. trabajo: 19 kg/cm2. Temp. máx.: 300ºC. Diámetro DN-50.</t>
  </si>
  <si>
    <t>2835AE 10</t>
  </si>
  <si>
    <t>Junta de expansión metálica con camisa interior Extremos bridas ANSI 150lbs. Fuelle acero INOX. AISI 304. Camisa interior acero inox. AISI 304. Extremos bridas en acero carbono. Presión máx. trabajo: 19 kg/cm2. Temp. máx.: 300ºC. Diámetro DN-65.</t>
  </si>
  <si>
    <t>2835AE 11</t>
  </si>
  <si>
    <t>Junta de expansión metálica con camisa interior Extremos bridas ANSI 150lbs. Fuelle acero INOX. AISI 304. Camisa interior acero inox. AISI 304. Extremos bridas en acero carbono. Presión máx. trabajo: 19 kg/cm2. Temp. máx.: 300ºC. Diámetro DN-80.</t>
  </si>
  <si>
    <t>2835AE 12</t>
  </si>
  <si>
    <t>Junta de expansión metálica con camisa interior Extremos bridas ANSI 150lbs. Fuelle acero INOX. AISI 304. Camisa interior acero inox. AISI 304. Extremos bridas en acero carbono. Presión máx. trabajo: 19 kg/cm2. Temp. máx.: 300ºC. Diámetro DN-100.</t>
  </si>
  <si>
    <t>2835AE 13</t>
  </si>
  <si>
    <t>Junta de expansión metálica con camisa interior Extremos bridas ANSI 150lbs. Fuelle acero INOX. AISI 304. Camisa interior acero inox. AISI 304. Extremos bridas en acero carbono. Presión máx. trabajo: 19 kg/cm2. Temp. máx.: 300ºC. Diámetro DN-125.</t>
  </si>
  <si>
    <t>2835AE 14</t>
  </si>
  <si>
    <t>Junta de expansión metálica con camisa interior Extremos bridas ANSI 150lbs. Fuelle acero INOX. AISI 304. Camisa interior acero inox. AISI 304. Extremos bridas en acero carbono. Presión máx. trabajo: 19 kg/cm2. Temp. máx.: 300ºC. Diámetro DN-150.</t>
  </si>
  <si>
    <t>2835AE 16</t>
  </si>
  <si>
    <t>Junta de expansión metálica con camisa interior Extremos bridas ANSI 150lbs. Fuelle acero INOX. AISI 304. Camisa interior acero inox. AISI 304. Extremos bridas en acero carbono. Presión máx. trabajo: 19 kg/cm2. Temp. máx.: 300ºC. Diámetro DN-200.</t>
  </si>
  <si>
    <t>2848 06</t>
  </si>
  <si>
    <t>Controlador de flujo (líquidos).  Caja aleación aluminio. Racor latón. Lengüetas en acero inox. Para tuberías de 1” a 8”. Conexión rosca 1” ISO 7/1 (EN 10226-1). Temp. máx. 110ºC. Presión máx. 10 bar. 250V - 10A. Protección IP-64. Diámetro 1".</t>
  </si>
  <si>
    <t>2852 110</t>
  </si>
  <si>
    <t>Boya para flotador - inox. 316. Diámetro 110 mm..</t>
  </si>
  <si>
    <t>2852 160</t>
  </si>
  <si>
    <t>Boya para flotador - inox. 316. Diámetro 160 mm..</t>
  </si>
  <si>
    <t>2852 200</t>
  </si>
  <si>
    <t>Boya para flotador - inox. 316. Diámetro 200 mm..</t>
  </si>
  <si>
    <t>2856 04</t>
  </si>
  <si>
    <t>Válvula de flotador sin boya. Construcción: inox. AISI 316. Cierre silicona. Presión máx.: 10 BAR. Conexión rosca BSP. Diámetro 1/2".</t>
  </si>
  <si>
    <t>2856 05</t>
  </si>
  <si>
    <t>Válvula de flotador sin boya. Construcción: inox. AISI 316. Cierre silicona. Presión máx.: 10 BAR. Conexión rosca BSP. Diámetro 3/4".</t>
  </si>
  <si>
    <t>2856 06</t>
  </si>
  <si>
    <t>Válvula de flotador sin boya. Construcción: inox. AISI 316. Cierre silicona. Presión máx.: 10 BAR. Conexión rosca BSP. Diámetro 1".</t>
  </si>
  <si>
    <t>2856 07</t>
  </si>
  <si>
    <t>Válvula de flotador sin boya. Construcción: inox. AISI 316. Cierre silicona. Presión máx.: 10 BAR. Conexión rosca BSP. Diámetro 1 1/4".</t>
  </si>
  <si>
    <t>2856 08</t>
  </si>
  <si>
    <t>Válvula de flotador sin boya. Construcción: inox. AISI 316. Cierre silicona. Presión máx.: 10 BAR. Conexión rosca BSP. Diámetro 1 1/2".</t>
  </si>
  <si>
    <t>2856 09</t>
  </si>
  <si>
    <t>Válvula de flotador sin boya. Construcción: inox. AISI 316. Cierre silicona. Presión máx.: 10 BAR. Conexión rosca BSP. Diámetro 2".</t>
  </si>
  <si>
    <t>2856 10</t>
  </si>
  <si>
    <t>Válvula de flotador sin boya. Construcción: inox. AISI 316. Cierre silicona. Presión máx.: 10 BAR. Conexión rosca BSP. Diámetro 2 1/2".</t>
  </si>
  <si>
    <t>2907V 30 04</t>
  </si>
  <si>
    <t>REP.ESF."V" 2025/26A/28A  30º ANGULO 1/2".</t>
  </si>
  <si>
    <t>2907V 30 05</t>
  </si>
  <si>
    <t>REP.ESF."V" 2025/26A/28A  30º ANGULO 3/4".</t>
  </si>
  <si>
    <t>2907V 30 06</t>
  </si>
  <si>
    <t>REP.ESF."V" 2025/26A/28A  30º ANGULO 1".</t>
  </si>
  <si>
    <t>2907V 30 07</t>
  </si>
  <si>
    <t>REP.ESF."V" 2025/26A/28A  30º ANGULO 1 1/4".</t>
  </si>
  <si>
    <t>2907V 30 08</t>
  </si>
  <si>
    <t>REP.ESF."V" 2025/26A/28A  30º ANGULO 1 1/2".</t>
  </si>
  <si>
    <t>2907V 30 09</t>
  </si>
  <si>
    <t>REP.ESF."V" 2025/26A/28A  30º ANGULO 2".</t>
  </si>
  <si>
    <t>2907V 60 04</t>
  </si>
  <si>
    <t>REP.ESF."V" 2025/26A/28A  60º ANGULO 1/2".</t>
  </si>
  <si>
    <t>2907V 60 05</t>
  </si>
  <si>
    <t>REP.ESF."V" 2025/26A/28A  60º ANGULO 3/4".</t>
  </si>
  <si>
    <t>2907V 60 06</t>
  </si>
  <si>
    <t>REP.ESF."V" 2025/26A/28A  60º ANGULO 1".</t>
  </si>
  <si>
    <t>2907V 60 07</t>
  </si>
  <si>
    <t>REP.ESF."V" 2025/26A/28A  60º ANGULO 1 1/4".</t>
  </si>
  <si>
    <t>2907V 60 08</t>
  </si>
  <si>
    <t>REP.ESF."V" 2025/26A/28A  60º ANGULO 1 1/2".</t>
  </si>
  <si>
    <t>2907V 60 09</t>
  </si>
  <si>
    <t>REP.ESF."V" 2025/26A/28A  60º ANGULO 2".</t>
  </si>
  <si>
    <t>2907V 90 04</t>
  </si>
  <si>
    <t>REP.ESF."V" 2025/26A/28A  90º ANGULO 1/2".</t>
  </si>
  <si>
    <t>2907V 90 05</t>
  </si>
  <si>
    <t>REP.ESF."V" 2025/26A/28A  90º ANGULO 3/4".</t>
  </si>
  <si>
    <t>2907V 90 06</t>
  </si>
  <si>
    <t>REP.ESF."V" 2025/26A/28A  90º ANGULO 1".</t>
  </si>
  <si>
    <t>2907V 90 07</t>
  </si>
  <si>
    <t>REP.ESF."V" 2025/26A/28A  90º ANGULO 1 1/4".</t>
  </si>
  <si>
    <t>2907V 90 08</t>
  </si>
  <si>
    <t>REP.ESF."V" 2025/26A/28A  90º ANGULO 1 1/2".</t>
  </si>
  <si>
    <t>2907V 90 09</t>
  </si>
  <si>
    <t>REP.ESF."V" 2025/26A/28A  90º ANGULO 2".</t>
  </si>
  <si>
    <t>3073 04</t>
  </si>
  <si>
    <t>Válvula de equilibrado estático PN 20. Construcción cuerpo y componentes internos en latón. Juntas VITON. Extremos rosca BSP H-H. Toma de presión G 1/8” H. Temperatura trabajo de -30°C a 120°C.  Diámetro 1/2".</t>
  </si>
  <si>
    <t>3073 05</t>
  </si>
  <si>
    <t>Válvula de equilibrado estático PN 20. Construcción cuerpo y componentes internos en latón. Juntas VITON. Extremos rosca BSP H-H. Toma de presión G 1/8” H. Temperatura trabajo de -30°C a 120°C.  Diámetro 3/4".</t>
  </si>
  <si>
    <t>3073 06</t>
  </si>
  <si>
    <t>Válvula de equilibrado estático PN 20. Construcción cuerpo y componentes internos en latón. Juntas VITON. Extremos rosca BSP H-H. Toma de presión G 1/8” H. Temperatura trabajo de -30°C a 120°C.  Diámetro 1".</t>
  </si>
  <si>
    <t>3073 07</t>
  </si>
  <si>
    <t>Válvula de equilibrado estático PN 20. Construcción cuerpo y componentes internos en latón. Juntas VITON. Extremos rosca BSP H-H. Toma de presión G 1/8” H. Temperatura trabajo de -30°C a 120°C.  Diámetro 1 1/4".</t>
  </si>
  <si>
    <t>3073 08</t>
  </si>
  <si>
    <t>Válvula de equilibrado estático PN 20. Construcción cuerpo y componentes internos en latón. Juntas VITON. Extremos rosca BSP H-H. Toma de presión G 1/8” H. Temperatura trabajo de -30°C a 120°C.  Diámetro 1 1/2".</t>
  </si>
  <si>
    <t>3073 09</t>
  </si>
  <si>
    <t>Válvula de equilibrado estático PN 20. Construcción cuerpo y componentes internos en latón. Juntas VITON. Extremos rosca BSP H-H. Toma de presión G 1/8” H. Temperatura trabajo de -30°C a 120°C.  Diámetro 2".</t>
  </si>
  <si>
    <t>3342 04</t>
  </si>
  <si>
    <t>Válvula reductora de presión a membrana. PN 25. Construcción en latón anticorrosión. Membrana en EPDM reforzada en poliamida. Filtro en acero inox AISI 304, 500 m. Juntas de EPDM. Muelle de acero galvanizado. Extremos rosca con racores M-M conico. Temperatura màx. de trabajo 80ºC. Presión máx. de trabajo 25 bar. Campo de regulación 1 a 6 bar. Presión de salida establecida 3 bar. Diámetro 1/2".</t>
  </si>
  <si>
    <t>3342 05</t>
  </si>
  <si>
    <t>Válvula reductora de presión a membrana. PN 25. Construcción en latón anticorrosión. Membrana en EPDM reforzada en poliamida. Filtro en acero inox AISI 304, 500 m. Juntas de EPDM. Muelle de acero galvanizado. Extremos rosca con racores M-M conico. Temperatura màx. de trabajo 80ºC. Presión máx. de trabajo 25 bar. Campo de regulación 1 a 6 bar. Presión de salida establecida 3 bar. Diámetro 3/4".</t>
  </si>
  <si>
    <t>3342 06</t>
  </si>
  <si>
    <t>Válvula reductora de presión a membrana. PN 25. Construcción en latón anticorrosión. Membrana en EPDM reforzada en poliamida. Filtro en acero inox AISI 304, 500 m. Juntas de EPDM. Muelle de acero galvanizado. Extremos rosca con racores M-M conico. Temperatura màx. de trabajo 80ºC. Presión máx. de trabajo 25 bar. Campo de regulación 1 a 6 bar. Presión de salida establecida 3 bar. Diámetro 1".</t>
  </si>
  <si>
    <t>3342 07</t>
  </si>
  <si>
    <t>Válvula reductora de presión a membrana. PN 25. Construcción en latón anticorrosión. Membrana en EPDM reforzada en poliamida. Filtro en acero inox AISI 304, 500 m. Juntas de EPDM. Muelle de acero galvanizado. Extremos rosca con racores M-M conico. Temperatura màx. de trabajo 80ºC. Presión máx. de trabajo 25 bar. Campo de regulación 1 a 6 bar. Presión de salida establecida 3 bar. Diámetro 1 1/4".</t>
  </si>
  <si>
    <t>3342 08</t>
  </si>
  <si>
    <t>Válvula reductora de presión a membrana. PN 25. Construcción en latón anticorrosión. Membrana en EPDM reforzada en poliamida. Filtro en acero inox AISI 304, 500 m. Juntas de EPDM. Muelle de acero galvanizado. Extremos rosca con racores M-M conico. Temperatura màx. de trabajo 80ºC. Presión máx. de trabajo 25 bar. Campo de regulación 1 a 6 bar. Presión de salida establecida 3 bar. Diámetro 1 1/2".</t>
  </si>
  <si>
    <t>3342 09</t>
  </si>
  <si>
    <t>Válvula reductora de presión a membrana. PN 25. Construcción en latón anticorrosión. Membrana en EPDM reforzada en poliamida. Filtro en acero inox AISI 304, 500 m. Juntas de EPDM. Muelle de acero galvanizado. Extremos rosca con racores M-M conico. Temperatura màx. de trabajo 80ºC. Presión máx. de trabajo 25 bar. Campo de regulación 1 a 6 bar. Presión de salida establecida 3 bar. Diámetro 2".</t>
  </si>
  <si>
    <t>3784 02</t>
  </si>
  <si>
    <t>Presostato 1 vía para controlar presión de bombas de aire. Tensión de conexion 240V 50HZ. Potencia máxima de conexión 2,2 KW. Presión máxima de trabajo 12 BAR. Regulación de 1,5 A 12 BAR. Diferencial variable. Rosca 1/4" NPT. Válvula de descarga incorporada. Función desconexion manual..</t>
  </si>
  <si>
    <t>3785 02</t>
  </si>
  <si>
    <t>Presostato 4 vía para controlar presión de bombas de aire. Tensión de conexion 240V 50HZ. Potencia máxima de conexión 2,2 KW. Presión máxima de trabajo 12 BAR. Regulación de 1,5 A 12 BAR. Diferencial variable. Rosca 1/4" NPT. Válvula de descarga incorporada. Función desconexion manual..</t>
  </si>
  <si>
    <t>3820 02</t>
  </si>
  <si>
    <t>Manómetro Ø 53. Salida inferior, rosca  BSP. Caja ABS. Tubo bourdón y racor latón UNE-EN 12165. Rosca gas (BSP) Macho 1/4" ISO 228/1. Clase 2,5  Rango 0-2,5 Bar.</t>
  </si>
  <si>
    <t>3820 04</t>
  </si>
  <si>
    <t>Manómetro Ø 53. Salida inferior, rosca  BSP. Caja ABS. Tubo bourdón y racor latón UNE-EN 12165. Rosca gas (BSP) Macho 1/4" ISO 228/1. Clase 2,5  Rango 0-4 bar.</t>
  </si>
  <si>
    <t>3820 06</t>
  </si>
  <si>
    <t>Manómetro Ø 53. Salida inferior, rosca  BSP. Caja ABS. Tubo bourdón y racor latón UNE-EN 12165. Rosca gas (BSP) Macho 1/4" ISO 228/1. Clase 2,5  Rango 0-6 Bar.</t>
  </si>
  <si>
    <t>3820 10</t>
  </si>
  <si>
    <t>Manómetro Ø 53. Salida inferior, rosca  BSP. Caja ABS. Tubo bourdón y racor latón UNE-EN 12165. Rosca gas (BSP) Macho 1/4" ISO 228/1. Clase 2,5  Rango 0-10 Bar.</t>
  </si>
  <si>
    <t>3820 16</t>
  </si>
  <si>
    <t>Manómetro Ø 53. Salida inferior, rosca  BSP. Caja ABS. Tubo bourdón y racor latón UNE-EN 12165. Rosca gas (BSP) Macho 1/4" ISO 228/1. Clase 2,5  Rango 0-16 Bar.</t>
  </si>
  <si>
    <t>3820 25</t>
  </si>
  <si>
    <t>Manómetro Ø 53. Salida inferior, rosca  BSP. Caja ABS. Tubo bourdón y racor latón UNE-EN 12165. Rosca gas (BSP) Macho 1/4" ISO 228/1. Clase 2,5  Rango 0-25 Bar.</t>
  </si>
  <si>
    <t>3821 02</t>
  </si>
  <si>
    <t>Manómetro Ø 53. Salida posterior, rosca  BSP. Caja ABS. Tubo bourdón y racor latón UNE-EN 12165. Rosca gas (BSP) Macho 1/4" ISO 228/1. Clase 2,5  Rango 0-2,5 Bar.</t>
  </si>
  <si>
    <t>3821 04</t>
  </si>
  <si>
    <t>Manómetro Ø 53. Salida posterior, rosca  BSP. Caja ABS. Tubo bourdón y racor latón UNE-EN 12165. Rosca gas (BSP) Macho 1/4" ISO 228/1. Clase 2,5  Rango 0-4 Bar.</t>
  </si>
  <si>
    <t>3821 06</t>
  </si>
  <si>
    <t>Manómetro Ø 53. Salida posterior, rosca  BSP. Caja ABS. Tubo bourdón y racor latón UNE-EN 12165. Rosca gas (BSP) Macho 1/4" ISO 228/1. Clase 2,5  Rango 0-6 Bar.</t>
  </si>
  <si>
    <t>3821 10</t>
  </si>
  <si>
    <t>Manómetro Ø 53. Salida posterior, rosca  BSP. Caja ABS. Tubo bourdón y racor latón UNE-EN 12165. Rosca gas (BSP) Macho 1/4" ISO 228/1. Clase 2,5  Rango 0-10 Bar.</t>
  </si>
  <si>
    <t>3821 16</t>
  </si>
  <si>
    <t>Manómetro Ø 53. Salida posterior, rosca  BSP. Caja ABS. Tubo bourdón y racor latón UNE-EN 12165. Rosca gas (BSP) Macho 1/4" ISO 228/1. Clase 2,5  Rango 0-16 Bar</t>
  </si>
  <si>
    <t>3821 25</t>
  </si>
  <si>
    <t>Manómetro Ø 53. Salida posterior, rosca  BSP. Caja ABS. Tubo bourdón y racor latón UNE-EN 12165. Rosca gas (BSP) Macho 1/4" ISO 228/1. Clase 2,5  Rango 0-25 Bar</t>
  </si>
  <si>
    <t>3822 02</t>
  </si>
  <si>
    <t>3822 04</t>
  </si>
  <si>
    <t>3822 06</t>
  </si>
  <si>
    <t>3822 10</t>
  </si>
  <si>
    <t>3822 16</t>
  </si>
  <si>
    <t>3822 25</t>
  </si>
  <si>
    <t>3822 60</t>
  </si>
  <si>
    <t>3822 100</t>
  </si>
  <si>
    <t>3824 02</t>
  </si>
  <si>
    <t>Manómetro Ø 100 con glicerina. Salida inferior (Radial). Caja acero inoxidable AISI 304. Tubo bourdon y racor en acero inoxidable AISI 304. Rosca 1/2" Macho gas. . Rango 0-2,5 Bar.</t>
  </si>
  <si>
    <t>3824 04</t>
  </si>
  <si>
    <t>Manómetro Ø 100 con glicerina. Salida inferior (Radial). Caja acero inoxidable AISI 304. Tubo bourdon y racor en acero inoxidable AISI 304. Rosca 1/2" Macho gas. . Rango 0-4 Bar.</t>
  </si>
  <si>
    <t>3824 06</t>
  </si>
  <si>
    <t>Manómetro Ø 100 con glicerina. Salida inferior (Radial). Caja acero inoxidable AISI 304. Tubo bourdon y racor en acero inoxidable AISI 304. Rosca 1/2" Macho gas. . Rango 0-6 Bar.</t>
  </si>
  <si>
    <t>3824 10</t>
  </si>
  <si>
    <t>Manómetro Ø 100 con glicerina. Salida inferior (Radial). Caja acero inoxidable AISI 304. Tubo bourdon y racor en acero inoxidable AISI 304. Rosca 1/2" Macho gas. . Rango 0-10 Bar.</t>
  </si>
  <si>
    <t>3824 16</t>
  </si>
  <si>
    <t>Manómetro Ø 100 con glicerina. Salida inferior (Radial). Caja acero inoxidable AISI 304. Tubo bourdon y racor en acero inoxidable AISI 304. Rosca 1/2" Macho gas. . Rango 0-16 Bar.</t>
  </si>
  <si>
    <t>3824 25</t>
  </si>
  <si>
    <t>Manómetro Ø 100 con glicerina. Salida inferior (Radial). Caja acero inoxidable AISI 304. Tubo bourdon y racor en acero inoxidable AISI 304. Rosca 1/2" Macho gas. . Rango 0-25 Bar.</t>
  </si>
  <si>
    <t>3824 60</t>
  </si>
  <si>
    <t>Manómetro Ø 100 con glicerina. Salida inferior (Radial). Caja acero inoxidable AISI 304. Tubo bourdon y racor en acero inoxidable AISI 304. Rosca 1/2" Macho gas. . Rango 0-60 Bar.</t>
  </si>
  <si>
    <t>3824 100</t>
  </si>
  <si>
    <t>Manómetro Ø 100 con glicerina. Salida inferior (Radial). Caja acero inoxidable AISI 304. Tubo bourdon y racor en acero inoxidable AISI 304. Rosca 1/2" Macho gas. . Rango 0-100 Bar.</t>
  </si>
  <si>
    <t>3825 02</t>
  </si>
  <si>
    <t>Manómetro Ø 63. Salida inferior, rosca  BSP. Caja ABS. Tubo bourdón y racor latón UNE-EN 12165. Rosca gas (BSP) Macho 1/4" ISO 228/1. Clase 2,5 - Indicador rojo. Rango 0-2,5 Bar.</t>
  </si>
  <si>
    <t>3825 04</t>
  </si>
  <si>
    <t>Manómetro Ø 63. Salida inferior, rosca  BSP. Caja ABS. Tubo bourdón y racor latón UNE-EN 12165. Rosca gas (BSP) Macho 1/4" ISO 228/1. Clase 2,5 - Indicador rojo. Rango 0-4 Bar.</t>
  </si>
  <si>
    <t>3825 06</t>
  </si>
  <si>
    <t>Manómetro Ø 63. Salida inferior, rosca  BSP. Caja ABS. Tubo bourdón y racor latón UNE-EN 12165. Rosca gas (BSP) Macho 1/4" ISO 228/1. Clase 2,5 - Indicador rojo. Rango 0-6 Bar.</t>
  </si>
  <si>
    <t>3825 10</t>
  </si>
  <si>
    <t>Manómetro Ø 63. Salida inferior, rosca  BSP. Caja ABS. Tubo bourdón y racor latón UNE-EN 12165. Rosca gas (BSP) Macho 1/4" ISO 228/1. Clase 2,5 - Indicador rojo. Rango 0-10 Bar.</t>
  </si>
  <si>
    <t>3825 16</t>
  </si>
  <si>
    <t>Manómetro Ø 63. Salida inferior, rosca  BSP. Caja ABS. Tubo bourdón y racor latón UNE-EN 12165. Rosca gas (BSP) Macho 1/4" ISO 228/1. Clase 2,5 - Indicador rojo. Rango 0-16 Bar.</t>
  </si>
  <si>
    <t>3825 25</t>
  </si>
  <si>
    <t>Manómetro Ø 63. Salida inferior, rosca  BSP. Caja ABS. Tubo bourdón y racor latón UNE-EN 12165. Rosca gas (BSP) Macho 1/4" ISO 228/1. Clase 2,5 - Indicador rojo. Rango 0-25 Bar.</t>
  </si>
  <si>
    <t>3826 02</t>
  </si>
  <si>
    <t>Manómetro Ø 63. Salida posterior, rosca  BSP. Caja ABS. Tubo bourdón y racor latón UNE-EN 12165. Rosca gas (BSP) Macho 1/4" ISO 228/1. Clase 2,5 - Indicador rojo. Rango 0-2,5 Bar.</t>
  </si>
  <si>
    <t>3826 04</t>
  </si>
  <si>
    <t>Manómetro Ø 63. Salida posterior, rosca  BSP. Caja ABS. Tubo bourdón y racor latón UNE-EN 12165. Rosca gas (BSP) Macho 1/4" ISO 228/1. Clase 2,5 - Indicador rojo. Rango 0-4 Bar.</t>
  </si>
  <si>
    <t>3826 06</t>
  </si>
  <si>
    <t>Manómetro Ø 63. Salida posterior, rosca  BSP. Caja ABS. Tubo bourdón y racor latón UNE-EN 12165. Rosca gas (BSP) Macho 1/4" ISO 228/1. Clase 2,5 - Indicador rojo. Rango 0-6 Bar</t>
  </si>
  <si>
    <t>3826 10</t>
  </si>
  <si>
    <t>Manómetro Ø 63. Salida posterior, rosca  BSP. Caja ABS. Tubo bourdón y racor latón UNE-EN 12165. Rosca gas (BSP) Macho 1/4" ISO 228/1. Clase 2,5 - Indicador rojo. Rango 0-10 Bar.</t>
  </si>
  <si>
    <t>3826 16</t>
  </si>
  <si>
    <t>Manómetro Ø 63. Salida posterior, rosca  BSP. Caja ABS. Tubo bourdón y racor latón UNE-EN 12165. Rosca gas (BSP) Macho 1/4" ISO 228/1. Clase 2,5 - Indicador rojo. Rango 0-16 Bar.</t>
  </si>
  <si>
    <t>3826 25</t>
  </si>
  <si>
    <t>Manómetro Ø 63. Salida posterior, rosca  BSP. Caja ABS. Tubo bourdón y racor latón UNE-EN 12165. Rosca gas (BSP) Macho 1/4" ISO 228/1. Clase 2,5 - Indicador rojo. Rango 0-25 Bar.</t>
  </si>
  <si>
    <t>4519 110</t>
  </si>
  <si>
    <t>Electroválvula Namur 5/2 y 3/2 Vías. Voltaje 110V. A.C..</t>
  </si>
  <si>
    <t>4519 220</t>
  </si>
  <si>
    <t>Electroválvula Namur 5/2 y 3/2 Vías. Voltaje 220V.A.C..</t>
  </si>
  <si>
    <t>4519 24</t>
  </si>
  <si>
    <t>Electroválvula Namur 5/2 y 3/2 Vías. Voltaje 24 V. A.C..</t>
  </si>
  <si>
    <t>4519 C12</t>
  </si>
  <si>
    <t>Electroválvula Namur 5/2 y 3/2 Vías. Voltaje 12V. D.C..</t>
  </si>
  <si>
    <t>4519 C24</t>
  </si>
  <si>
    <t>Electroválvula Namur 5/2 y 3/2 Vías. Voltaje 24V. D.C..</t>
  </si>
  <si>
    <t>4521 C24</t>
  </si>
  <si>
    <t>Electroválvula 5 vías con bobina de seguridad Intrínseca = ATEX Ex 2G EEx ia IIC T6. Diámetro 24V. D.C..</t>
  </si>
  <si>
    <t>4523 02 C24V</t>
  </si>
  <si>
    <t>Electroválvula 5 vías biestable. Acoplamiento conforme con la norma Namur. 24 VDC-5.0W</t>
  </si>
  <si>
    <t>4523 02 220V</t>
  </si>
  <si>
    <t>Electroválvula 5 vías biestable. Acoplamiento conforme con la norma Namur. 220 VAC-5.1VA.</t>
  </si>
  <si>
    <t>4790 04</t>
  </si>
  <si>
    <t>Válvula de zona motorizada 2 vías. Cable de 2 hilos. Construcción en laton. Extremos rosca gas hembra, ISO 228/1. Aplicación agua fría o caliente. Temp. fluido &lt;94ºC. Temp. ambiente &lt;40ºC. Tensiones 220 V (±10%) 50-60 HZ. Presión nominal 16 BAR. Protección IP 40. Palanca para accionamiento manual con muelle de retorno. Diámetro 1/2".</t>
  </si>
  <si>
    <t>4790 05</t>
  </si>
  <si>
    <t>Válvula de zona motorizada 2 vías. Cable de 2 hilos. Construcción en laton. Extremos rosca gas hembra, ISO 228/1. Aplicación agua fría o caliente. Temp. fluido &lt;94ºC. Temp. ambiente &lt;40ºC. Tensiones 220 V (±10%) 50-60 HZ. Presión nominal 16 BAR. Protección IP 40. Palanca para accionamiento manual con muelle de retorno. Diámetro 3/4".</t>
  </si>
  <si>
    <t>4790 06</t>
  </si>
  <si>
    <t>Válvula de zona motorizada 2 vías. Cable de 2 hilos. Construcción en laton. Extremos rosca gas hembra, ISO 228/1. Aplicación agua fría o caliente. Temp. fluido &lt;94ºC. Temp. ambiente &lt;40ºC. Tensiones 220 V (±10%) 50-60 HZ. Presión nominal 16 BAR. Protección IP 40. Palanca para accionamiento manual con muelle de retorno. Diámetro 1".</t>
  </si>
  <si>
    <t>4791 04</t>
  </si>
  <si>
    <t>Válvula de zona motorizada 3 vías. Cable de 2 hilos. Construcción en laton. Extremos rosca gas hembra, ISO 228/1. Aplicación agua fría o caliente. Temp. fluido &lt;94ºC. Temp. ambiente &lt;40ºC. Tensiones 220 V (±10%) 50-60 HZ. Presión nominal 16 BAR. Protección IP 40. Palanca para accionamiento manual con muelle de retorno. Diámetro 1/2".</t>
  </si>
  <si>
    <t>4791 05</t>
  </si>
  <si>
    <t>Válvula de zona motorizada 3 vías. Cable de 2 hilos. Construcción en laton. Extremos rosca gas hembra, ISO 228/1. Aplicación agua fría o caliente. Temp. fluido &lt;94ºC. Temp. ambiente &lt;40ºC. Tensiones 220 V (±10%) 50-60 HZ. Presión nominal 16 BAR. Protección IP 40. Palanca para accionamiento manual con muelle de retorno. Diámetro 3/4".</t>
  </si>
  <si>
    <t>4791 06</t>
  </si>
  <si>
    <t>Válvula de zona motorizada 3 vías. Cable de 2 hilos. Construcción en laton. Extremos rosca gas hembra, ISO 228/1. Aplicación agua fría o caliente. Temp. fluido &lt;94ºC. Temp. ambiente &lt;40ºC. Tensiones 220 V (±10%) 50-60 HZ. Presión nominal 16 BAR. Protección IP 40. Palanca para accionamiento manual con muelle de retorno. Diámetro 1".</t>
  </si>
  <si>
    <t>4819 110</t>
  </si>
  <si>
    <t>Bobina para electroválvulas 5 vías.  Voltaje 110V. A.C..</t>
  </si>
  <si>
    <t>4819 220</t>
  </si>
  <si>
    <t>Bobina para electroválvulas 5 vías.  Voltaje 220V.A.C..</t>
  </si>
  <si>
    <t>4819 24</t>
  </si>
  <si>
    <t>Bobina para electroválvulas 5 vías.  Voltaje 24 V. A.C..</t>
  </si>
  <si>
    <t>4819 C12</t>
  </si>
  <si>
    <t>Bobina para electroválvulas 5 vías.  Voltaje 12V. D.C..</t>
  </si>
  <si>
    <t>4819 C24</t>
  </si>
  <si>
    <t>Bobina para electroválvulas 5 vías.  Voltaje 24V. D.C..</t>
  </si>
  <si>
    <t>5012 09 11</t>
  </si>
  <si>
    <t>Dado adaptador 09 x 11.</t>
  </si>
  <si>
    <t>5012 09 14</t>
  </si>
  <si>
    <t>Dado adaptador 09 x 14.</t>
  </si>
  <si>
    <t>5012 11 14</t>
  </si>
  <si>
    <t>Dado adaptador 11 x 14.</t>
  </si>
  <si>
    <t>5012 11 17</t>
  </si>
  <si>
    <t>Dado adaptador 11 x 17.</t>
  </si>
  <si>
    <t>5012 14 17</t>
  </si>
  <si>
    <t>Dado adaptador 14 x 17.</t>
  </si>
  <si>
    <t>5012 17 22</t>
  </si>
  <si>
    <t>Dado adaptador 17 x 22.</t>
  </si>
  <si>
    <t>5012 17 24</t>
  </si>
  <si>
    <t>Dado adaptador 17 x 24.</t>
  </si>
  <si>
    <t>5012 22 27</t>
  </si>
  <si>
    <t>Dado adaptador 22 x 27.</t>
  </si>
  <si>
    <t>5012 22 30</t>
  </si>
  <si>
    <t>Dado adaptador 22 x 30.</t>
  </si>
  <si>
    <t>5012 27 30</t>
  </si>
  <si>
    <t>Dado adaptador 27 x 30.</t>
  </si>
  <si>
    <t>5012 27 36</t>
  </si>
  <si>
    <t>Dado adaptador 27 x 36.</t>
  </si>
  <si>
    <t>5012 36 46</t>
  </si>
  <si>
    <t>Dado adaptador 36 x 46.</t>
  </si>
  <si>
    <t>5060 04</t>
  </si>
  <si>
    <t>Válvula asiento inclinado con actuador neumático de simple efecto.  Extremos rosca gas ISO 228-1, PN-16. Const.: acero inox. AISI 316 microfusión. Junta actuador: NBR. Presión mando. Actuador: 3-10 kg/cm2. Rango temp. trabajo: -10ºC +180ºC. Diámetro 1/2".</t>
  </si>
  <si>
    <t>5060 05</t>
  </si>
  <si>
    <t>Válvula asiento inclinado con actuador neumático de simple efecto.  Extremos rosca gas ISO 228-1, PN-16. Const.: acero inox. AISI 316 microfusión. Junta actuador: NBR. Presión mando. Actuador: 3-10 kg/cm2. Rango temp. trabajo: -10ºC +180ºC. Diámetro 3/4".</t>
  </si>
  <si>
    <t>5060 06</t>
  </si>
  <si>
    <t>Válvula asiento inclinado con actuador neumático de simple efecto.  Extremos rosca gas ISO 228-1, PN-16. Const.: acero inox. AISI 316 microfusión. Junta actuador: NBR. Presión mando. Actuador: 3-10 kg/cm2. Rango temp. trabajo: -10ºC +180ºC. Diámetro 1".</t>
  </si>
  <si>
    <t>5060 07</t>
  </si>
  <si>
    <t>Válvula asiento inclinado con actuador neumático de simple efecto.  Extremos rosca gas ISO 228-1, PN-16. Const.: acero inox. AISI 316 microfusión. Junta actuador: NBR. Presión mando. Actuador: 3-10 kg/cm2. Rango temp. trabajo: -10ºC +180ºC. Diámetro 1 1/4".</t>
  </si>
  <si>
    <t>5060 08</t>
  </si>
  <si>
    <t>Válvula asiento inclinado con actuador neumático de simple efecto.  Extremos rosca gas ISO 228-1, PN-16. Const.: acero inox. AISI 316 microfusión. Junta actuador: NBR. Presión mando. Actuador: 3-10 kg/cm2. Rango temp. trabajo: -10ºC +180ºC. Diámetro 1 1/2".</t>
  </si>
  <si>
    <t>5060 09</t>
  </si>
  <si>
    <t>Válvula asiento inclinado con actuador neumático de simple efecto.  Extremos rosca gas ISO 228-1, PN-16. Const.: acero inox. AISI 316 microfusión. Junta actuador: NBR. Presión mando. Actuador: 3-10 kg/cm2. Rango temp. trabajo: -10ºC +180ºC. Diámetro 2".</t>
  </si>
  <si>
    <t>5062 04</t>
  </si>
  <si>
    <t>Válvula neumática de corredera.  Construcción en acero inoxidable AISI 304. Extremos rosca gas ISO 228-1. Material de cierre: EPDM. Conexión neumática Namur. Presión máxima de trabajo 16 PN. Accionamiento simple efecto (retorno a resorte). Diámetro 1/2".</t>
  </si>
  <si>
    <t>5062 05</t>
  </si>
  <si>
    <t>Válvula neumática de corredera.  Construcción en acero inoxidable AISI 304. Extremos rosca gas ISO 228-1. Material de cierre: EPDM. Conexión neumática Namur. Presión máxima de trabajo 16 PN. Accionamiento simple efecto (retorno a resorte). Diámetro 3/4".</t>
  </si>
  <si>
    <t>5062 06</t>
  </si>
  <si>
    <t>Válvula neumática de corredera.  Construcción en acero inoxidable AISI 304. Extremos rosca gas ISO 228-1. Material de cierre: EPDM. Conexión neumática Namur. Presión máxima de trabajo 16 PN. Accionamiento simple efecto (retorno a resorte). Diámetro 1".</t>
  </si>
  <si>
    <t>5062 07</t>
  </si>
  <si>
    <t>Válvula neumática de corredera.  Construcción en acero inoxidable AISI 304. Extremos rosca gas ISO 228-1. Material de cierre: EPDM. Conexión neumática Namur. Presión máxima de trabajo 16 PN. Accionamiento simple efecto (retorno a resorte). Diámetro 1 1/4".</t>
  </si>
  <si>
    <t>5062 08</t>
  </si>
  <si>
    <t>Válvula neumática de corredera.  Construcción en acero inoxidable AISI 304. Extremos rosca gas ISO 228-1. Material de cierre: EPDM. Conexión neumática Namur. Presión máxima de trabajo 16 PN. Accionamiento simple efecto (retorno a resorte). Diámetro 1 1/2".</t>
  </si>
  <si>
    <t>5062 09</t>
  </si>
  <si>
    <t>Válvula neumática de corredera.  Construcción en acero inoxidable AISI 304. Extremos rosca gas ISO 228-1. Material de cierre: EPDM. Conexión neumática Namur. Presión máxima de trabajo 16 PN. Accionamiento simple efecto (retorno a resorte). Diámetro 2".</t>
  </si>
  <si>
    <t>5065A 05</t>
  </si>
  <si>
    <t>Válvula neumática 2 vías modulante. Construcción en acero al carbono WCB. Extremos bridados ANSI S-150. Asientos PPL. Temperatura de trabajo: -10ºC/+230ºC. Diámetro 3/4".</t>
  </si>
  <si>
    <t>5065A 06</t>
  </si>
  <si>
    <t>Válvula neumática 2 vías modulante. Construcción en acero al carbono WCB. Extremos bridados ANSI S-150. Asientos PPL. Temperatura de trabajo: -10ºC/+230ºC. Diámetro 1".</t>
  </si>
  <si>
    <t>5065A 07</t>
  </si>
  <si>
    <t>Válvula neumática 2 vías modulante. Construcción en acero al carbono WCB. Extremos bridados ANSI S-150. Asientos PPL. Temperatura de trabajo: -10ºC/+230ºC. Diámetro 1 1/4".</t>
  </si>
  <si>
    <t>5065A 08</t>
  </si>
  <si>
    <t>Válvula neumática 2 vías modulante. Construcción en acero al carbono WCB. Extremos bridados ANSI S-150. Asientos PPL. Temperatura de trabajo: -10ºC/+230ºC. Diámetro 1 1/2".</t>
  </si>
  <si>
    <t>5065A 09</t>
  </si>
  <si>
    <t>Válvula neumática 2 vías modulante. Construcción en acero al carbono WCB. Extremos bridados ANSI S-150. Asientos PPL. Temperatura de trabajo: -10ºC/+230ºC. Diámetro 2".</t>
  </si>
  <si>
    <t>5065A 10</t>
  </si>
  <si>
    <t>Válvula neumática 2 vías modulante. Construcción en acero al carbono WCB. Extremos bridados ANSI S-150. Asientos PPL. Temperatura de trabajo: -10ºC/+230ºC. Diámetro 2 1/2".</t>
  </si>
  <si>
    <t>5065A 11</t>
  </si>
  <si>
    <t>Válvula neumática 2 vías modulante. Construcción en acero al carbono WCB. Extremos bridados ANSI S-150. Asientos PPL. Temperatura de trabajo: -10ºC/+230ºC. Diámetro 3".</t>
  </si>
  <si>
    <t>5065A 12</t>
  </si>
  <si>
    <t>Válvula neumática 2 vías modulante. Construcción en acero al carbono WCB. Extremos bridados ANSI S-150. Asientos PPL. Temperatura de trabajo: -10ºC/+230ºC. Diámetro 4".</t>
  </si>
  <si>
    <t>5800 120</t>
  </si>
  <si>
    <t>Actuador neumático de doble efecto con indicador de posición y travel stop. Cuerpo de aluminio extrusionado ASTM6005. Protección anticorrosiva interna y externa.</t>
  </si>
  <si>
    <t>5800 122</t>
  </si>
  <si>
    <t>5800 124</t>
  </si>
  <si>
    <t>Actuador neumático de simple efecto con indicador de posición y travel stop. Cuerpo de aluminio extrusionado ASTM6005. Protección anticorrosiva interna y externa.</t>
  </si>
  <si>
    <t>5800 126</t>
  </si>
  <si>
    <t>5800 128</t>
  </si>
  <si>
    <t>5800 132</t>
  </si>
  <si>
    <t>5800 134</t>
  </si>
  <si>
    <t>5800 136</t>
  </si>
  <si>
    <t>5800 138</t>
  </si>
  <si>
    <t>5800 140</t>
  </si>
  <si>
    <t>5800 142</t>
  </si>
  <si>
    <t>5800 144</t>
  </si>
  <si>
    <t>5800 146</t>
  </si>
  <si>
    <t>5800 148</t>
  </si>
  <si>
    <t>5800 150</t>
  </si>
  <si>
    <t>5800 152</t>
  </si>
  <si>
    <t>5800 154</t>
  </si>
  <si>
    <t>5800 156</t>
  </si>
  <si>
    <t>5800 158</t>
  </si>
  <si>
    <t>5800 160</t>
  </si>
  <si>
    <t>5800 162</t>
  </si>
  <si>
    <t>5800 164</t>
  </si>
  <si>
    <t>5800 166</t>
  </si>
  <si>
    <t>5800 168</t>
  </si>
  <si>
    <t>5800 170</t>
  </si>
  <si>
    <t>5800 171</t>
  </si>
  <si>
    <t>5800 172</t>
  </si>
  <si>
    <t>5800 174</t>
  </si>
  <si>
    <t>5800 176</t>
  </si>
  <si>
    <t>5800 178</t>
  </si>
  <si>
    <t>5800 180</t>
  </si>
  <si>
    <t>5803 47</t>
  </si>
  <si>
    <t>Actuador eléctrico multivoltaje. Poliamida Anticorrosiva. Engranajes Acero/Poliam. Ejes Externos Acero Inox. Protección IP-65.</t>
  </si>
  <si>
    <t>5803 48</t>
  </si>
  <si>
    <t>5803 51</t>
  </si>
  <si>
    <t>5803 52</t>
  </si>
  <si>
    <t>5803 53</t>
  </si>
  <si>
    <t>5803 54</t>
  </si>
  <si>
    <t>5803 55</t>
  </si>
  <si>
    <t>Actuador eléctrico multivoltaje. Poliamida Anticorrosiva. Engranajes Acero/Poliam. Ejes Externos Acero Inox. Protección IP-65 TRIFÁSICO 2100NM.</t>
  </si>
  <si>
    <t>5803 56</t>
  </si>
  <si>
    <t>5803 57</t>
  </si>
  <si>
    <t>5803 58</t>
  </si>
  <si>
    <t>5803 59</t>
  </si>
  <si>
    <t>5803 60</t>
  </si>
  <si>
    <t>5803 61</t>
  </si>
  <si>
    <t>5803 62</t>
  </si>
  <si>
    <t>5803 64</t>
  </si>
  <si>
    <t xml:space="preserve">Placa posicionadora para actuador modelo J3. DPS-2005. Señal 4-20 mA. </t>
  </si>
  <si>
    <t>5810 01</t>
  </si>
  <si>
    <t>5950 00</t>
  </si>
  <si>
    <t>Posicionador rotativo - Neumático. Señal 3 - 15 PSI.</t>
  </si>
  <si>
    <t>5951 00</t>
  </si>
  <si>
    <t>Posicionador rotativo - Electroneumático. Señal 4-20 mA. ACOPLADO P-3.</t>
  </si>
  <si>
    <t>5951 04</t>
  </si>
  <si>
    <t>Posicionador rotativo - Electroneumático.  Señal 4-20 mA con retransmisor de posición.</t>
  </si>
  <si>
    <t>5951 06</t>
  </si>
  <si>
    <t>Posicionador rotativo - Electroneumático. Señal 4-20 mA con final de carrera Positioners rotary - Electropneumatic. 1/1.</t>
  </si>
  <si>
    <t>5952 00</t>
  </si>
  <si>
    <t>Posicionador lineal - Electroneumático. Señal 4-20 mA,</t>
  </si>
  <si>
    <t>5952 04</t>
  </si>
  <si>
    <t>Posicionador lineal - Electroneumático.  Señal 4 – 20 mA con retransmisor de posición.</t>
  </si>
  <si>
    <t>5953 02</t>
  </si>
  <si>
    <t>Controlador de velocidad para actuadores neumáticos.  Montaje directo entre actuador y electroválvula NAMUR 5/2.</t>
  </si>
  <si>
    <t>5954 00</t>
  </si>
  <si>
    <t>Posicionador Digital.  Para actuador lineal ó rotativo Simple efecto - Señal 4 – 20 mA.</t>
  </si>
  <si>
    <t>5971 04</t>
  </si>
  <si>
    <t>Reductor manual de emergencia. PAR 300NM.</t>
  </si>
  <si>
    <t>5971 05</t>
  </si>
  <si>
    <t>Reductor manual de emergencia. PAR 700NM.</t>
  </si>
  <si>
    <t>5971 06</t>
  </si>
  <si>
    <t>Reductor manual de emergencia. PAR 1200NM F-12.</t>
  </si>
  <si>
    <t>5971 07</t>
  </si>
  <si>
    <t>Reductor manual de emergencia. PAR 1200NM F-14.</t>
  </si>
  <si>
    <t>Reductores manuales. Tipo sin fin corona. Cuerpo de aluminio. DN 50-150  PAR 300NM.</t>
  </si>
  <si>
    <t>Reductor manual. Tipo sin fin corona. Cuerpo de aluminio. DN200-150  PAR 750NM.</t>
  </si>
  <si>
    <t>Reductores manuales. Tipo sin fin corona. Cuerpo de aluminio. DN 300 PAR 1.200NM.</t>
  </si>
  <si>
    <t>5977A</t>
  </si>
  <si>
    <t>5977B</t>
  </si>
  <si>
    <t>Reductores manuales. Tipo sin fin corona. Cuerpo de aluminio. DN  PAR 2.000NM.</t>
  </si>
  <si>
    <t>5978A</t>
  </si>
  <si>
    <t xml:space="preserve">Reductores manuales. Tipo sin fin corona. Cuerpo de aluminio. </t>
  </si>
  <si>
    <t>5984 04</t>
  </si>
  <si>
    <t>Reductores manuales. Tipo sin fin corona. Cuerpo de aluminio. EPOXY P/2104.</t>
  </si>
  <si>
    <t>5984 05</t>
  </si>
  <si>
    <t>5984 06</t>
  </si>
  <si>
    <t>5985 02</t>
  </si>
  <si>
    <t>Mando manual con retorno por muelle. 14-11 Nm/F03-F05/11x11.</t>
  </si>
  <si>
    <t>5985 07</t>
  </si>
  <si>
    <t>Mando manual con retorno por muelle. 24-20,5 Nm/F03-F05-F07/14x14.</t>
  </si>
  <si>
    <t>5985 09</t>
  </si>
  <si>
    <t>Mando manual con retorno por muelle. 45,5-39,7 Nm/F05-F07/17x17.</t>
  </si>
  <si>
    <t>5987 02</t>
  </si>
  <si>
    <t>Microrruptor final de carrera Electromecánico.  Electromecánico.</t>
  </si>
  <si>
    <t>5987 04</t>
  </si>
  <si>
    <t>Microrruptor final de carrera Electromecánico.  Inductivo ALPS.</t>
  </si>
  <si>
    <t>5987 08</t>
  </si>
  <si>
    <t>Caja Final de Carrera con 2 Detectores Inductivos “P + F” NCB2-V3-N0 para Actuadores Neumáticos</t>
  </si>
  <si>
    <t>5987 10</t>
  </si>
  <si>
    <t>Microrruptor final de carrera Electromecánico.  Induc ATEX II 2.</t>
  </si>
  <si>
    <t>5987 20</t>
  </si>
  <si>
    <t>Microrruptores final de carrera Electromécanico. 125-250 Vca 15A</t>
  </si>
  <si>
    <t>5988 00</t>
  </si>
  <si>
    <t>Microrruptor final de carrera Electromecánico.  Para válvula de asiento inclinado.</t>
  </si>
  <si>
    <t xml:space="preserve">Emisor de impulsos para Woltman. Sensor de contacto libre de potencial. Cable de 2 hilos por 1,5 m de longitud. </t>
  </si>
  <si>
    <t>D2102 09</t>
  </si>
  <si>
    <t>Adaptador opcional para válvula esclusa de cuña flexible (2102) DN-40 a 80 (2").</t>
  </si>
  <si>
    <t>D2102 13</t>
  </si>
  <si>
    <t>Adaptador opcional para válvula esclusa de cuña flexible (2102) DN-125a150 /5"a 6".</t>
  </si>
  <si>
    <t>D2102 16</t>
  </si>
  <si>
    <t>Adaptador opcional para válvula esclusa de cuña flexible (2102) DN-200a300 (8"a 12").</t>
  </si>
  <si>
    <t>D2102 18</t>
  </si>
  <si>
    <t>Adaptador opcional para válvula esclusa de cuña flexible (2102) DN-250a300/10"a 12".</t>
  </si>
  <si>
    <t>EV2109 09</t>
  </si>
  <si>
    <t>Elastámero para válvulas mariposa 2109. Viton. Diámetro 2".</t>
  </si>
  <si>
    <t>EV2109 10</t>
  </si>
  <si>
    <t>Elastámero para válvulas mariposa 2109. Viton. Diámetro 2 1/2".</t>
  </si>
  <si>
    <t>EV2109 11</t>
  </si>
  <si>
    <t>Elastámero para válvulas mariposa 2109. Viton. Diámetro 3".</t>
  </si>
  <si>
    <t>EV2109 12</t>
  </si>
  <si>
    <t>Elastámero para válvulas mariposa 2109. Viton. Diámetro 4".</t>
  </si>
  <si>
    <t>EV2109 13</t>
  </si>
  <si>
    <t>Elastámero para válvulas mariposa 2109. Viton. Diámetro 5".</t>
  </si>
  <si>
    <t>EV2109 14</t>
  </si>
  <si>
    <t>Elastámero para válvulas mariposa 2109. Viton. Diámetro 6".</t>
  </si>
  <si>
    <t>EV2109 16</t>
  </si>
  <si>
    <t>Elastámero para válvulas mariposa 2109. Viton. Diámetro 8".</t>
  </si>
  <si>
    <t>EV2109 18</t>
  </si>
  <si>
    <t>Elastámero para válvulas mariposa 2109. Viton. Diámetro 10".</t>
  </si>
  <si>
    <t>EV2109 20</t>
  </si>
  <si>
    <t>Elastámero para válvulas mariposa 2109. Viton. Diámetro 12".</t>
  </si>
  <si>
    <t>IBSG 00</t>
  </si>
  <si>
    <t>Bloque de Seguridad BSR. Lo que permite accione el actuador cuando la unidad detecta un fallo de suministro electrico. P/GE-0/05/1/15.</t>
  </si>
  <si>
    <t>IBSG 01</t>
  </si>
  <si>
    <t>Bloque de Seguridad BSR. Lo que permite accione el actuador cuando la unidad detecta un fallo de suministro electrico. P/GE-2/GE-2+.</t>
  </si>
  <si>
    <t xml:space="preserve">P5953 </t>
  </si>
  <si>
    <t>Placa adaptadora para controlador de velocidad de actuadores neumáticos. Montaje directo sobre actuador conexión NAMUR. .</t>
  </si>
  <si>
    <t>2820 02</t>
  </si>
  <si>
    <t>KIT JUNTAS PTFE+FV 15%2025 "I" Diámetro 1/4".</t>
  </si>
  <si>
    <t>2820 03</t>
  </si>
  <si>
    <t>KIT JUNTAS PTFE+FV 15%2025 "I" Diámetro 3/8".</t>
  </si>
  <si>
    <t>2820 04</t>
  </si>
  <si>
    <t>KIT JUNTAS PTFE+FV 15%2025 "I" Diámetro 1/2".</t>
  </si>
  <si>
    <t>2820 05</t>
  </si>
  <si>
    <t>KIT JUNTAS PTFE+FV 15%2025 "I" Diámetro 3/4".</t>
  </si>
  <si>
    <t>2820 06</t>
  </si>
  <si>
    <t>KIT JUNTAS PTFE+FV 15%2025 "I" Diámetro 1".</t>
  </si>
  <si>
    <t>2820 07</t>
  </si>
  <si>
    <t>KIT JUNTAS PTFE+FV 15%2025 "I" Diámetro 1 1/4".</t>
  </si>
  <si>
    <t>2820 08</t>
  </si>
  <si>
    <t>KIT JUNTAS PTFE+FV 15%2025 "I" Diámetro 1 1/2".</t>
  </si>
  <si>
    <t>2820 09</t>
  </si>
  <si>
    <t>KIT JUNTAS PTFE+FV 15%2025 "I" Diámetro 2".</t>
  </si>
  <si>
    <t>2820 10</t>
  </si>
  <si>
    <t>KIT JUNTAS PTFE+FV 15%2025 "I" Diámetro 2 1/2".</t>
  </si>
  <si>
    <t>2820 11</t>
  </si>
  <si>
    <t>KIT JUNTAS PTFE+FV 15%2025 "I" Diámetro 3".</t>
  </si>
  <si>
    <t>2820 12</t>
  </si>
  <si>
    <t>KIT JUNTAS PTFE+FV 15%2025 "I" Diámetro 4".</t>
  </si>
  <si>
    <t>2820C 02</t>
  </si>
  <si>
    <t>KIT 2025 PTFE+25%GRAFITO ("I") Diámetro 1/4".</t>
  </si>
  <si>
    <t>2820C 03</t>
  </si>
  <si>
    <t>KIT 2025 PTFE+25%GRAFITO ("I") Diámetro 3/8".</t>
  </si>
  <si>
    <t>2820C 04</t>
  </si>
  <si>
    <t>KIT 2025 PTFE+25%GRAFITO ("I") Diámetro 1/2".</t>
  </si>
  <si>
    <t>2820C 05</t>
  </si>
  <si>
    <t>KIT 2025 PTFE+25%GRAFITO ("I") Diámetro 3/4".</t>
  </si>
  <si>
    <t>2820C 06</t>
  </si>
  <si>
    <t>KIT 2025 PTFE+25%GRAFITO ("I") Diámetro 1".</t>
  </si>
  <si>
    <t>2820C 07</t>
  </si>
  <si>
    <t>KIT 2025 PTFE+25%GRAFITO ("I") Diámetro 1 1/4".</t>
  </si>
  <si>
    <t>2820C 08</t>
  </si>
  <si>
    <t>KIT 2025 PTFE+25%GRAFITO ("I") Diámetro 1 1/2".</t>
  </si>
  <si>
    <t>2820C 09</t>
  </si>
  <si>
    <t>KIT 2025 PTFE+25%GRAFITO ("I") Diámetro 2".</t>
  </si>
  <si>
    <t>2820C 10</t>
  </si>
  <si>
    <t>KIT 2025 PTFE+25%GRAFITO ("I") Diámetro 2 1/2".</t>
  </si>
  <si>
    <t>2820C 11</t>
  </si>
  <si>
    <t>KIT 2025 PTFE+25%GRAFITO ("I") Diámetro 3".</t>
  </si>
  <si>
    <t>2820C 12</t>
  </si>
  <si>
    <t>KIT 2025 PTFE+25%GRAFITO ("I") Diámetro 4".</t>
  </si>
  <si>
    <t>2819 02</t>
  </si>
  <si>
    <t>KIT JUNTAS PTFE+FV 15%2040/41 Diámetro 1/4"-1/2".</t>
  </si>
  <si>
    <t>2819 05</t>
  </si>
  <si>
    <t>KIT JUNTAS PTFE+FV 15%2040/41 Diámetro 3/4".</t>
  </si>
  <si>
    <t>2819 06</t>
  </si>
  <si>
    <t>KIT JUNTAS PTFE+FV 15%2040/41 Diámetro 1".</t>
  </si>
  <si>
    <t>2819 07</t>
  </si>
  <si>
    <t>KIT JUNTAS PTFE+FV 15%2040/41 Diámetro 1 1/4".</t>
  </si>
  <si>
    <t>2819 08</t>
  </si>
  <si>
    <t>KIT JUNTAS PTFE+FV 15%2040/41 Diámetro 1 1/2".</t>
  </si>
  <si>
    <t>2819 09</t>
  </si>
  <si>
    <t>KIT JUNTAS PTFE+FV 15%2040/41 Diámetro 2".</t>
  </si>
  <si>
    <t>2819 10</t>
  </si>
  <si>
    <t>KIT JUNTAS PTFE+FV 15%2040/41 Diámetro 2 1/2".</t>
  </si>
  <si>
    <t>2838 02</t>
  </si>
  <si>
    <t>KIT 2034/2034S PTFE+15% FV Diámetro 1/4".</t>
  </si>
  <si>
    <t>2838 04</t>
  </si>
  <si>
    <t>KIT 2034/2034S PTFE+15% FV Diámetro 1/2".</t>
  </si>
  <si>
    <t>2838 05</t>
  </si>
  <si>
    <t>KIT 2034/2034S PTFE+15% FV Diámetro 3/4".</t>
  </si>
  <si>
    <t>2838 06</t>
  </si>
  <si>
    <t>KIT 2034/2034S PTFE+15% FV Diámetro 1".</t>
  </si>
  <si>
    <t>2838 07</t>
  </si>
  <si>
    <t>KIT 2034/2034S PTFE+15% FV Diámetro 1 1/4".</t>
  </si>
  <si>
    <t>2838 08</t>
  </si>
  <si>
    <t>KIT 2034/2034S PTFE+15% FV Diámetro 1 1/2".</t>
  </si>
  <si>
    <t>2838 09</t>
  </si>
  <si>
    <t>KIT 2034/2034S PTFE+15% FV Diámetro 2".</t>
  </si>
  <si>
    <t>2838 10</t>
  </si>
  <si>
    <t>KIT 2034/2034S PTFE+15% FV Diámetro 2 1/2".</t>
  </si>
  <si>
    <t>2838 11</t>
  </si>
  <si>
    <t>KIT 2034/2034S PTFE+15% FV Diámetro 3".</t>
  </si>
  <si>
    <t>2838 12</t>
  </si>
  <si>
    <t>KIT 2034/2034S PTFE+15% FV Diámetro 4".</t>
  </si>
  <si>
    <t>2838C 02</t>
  </si>
  <si>
    <t>KIT 2034/2034S PTFE+25% GRAF Diámetro 1/4".</t>
  </si>
  <si>
    <t>2838C 04</t>
  </si>
  <si>
    <t>KIT 2034/2034S PTFE+25% GRAF Diámetro 1/2".</t>
  </si>
  <si>
    <t>2838C 05</t>
  </si>
  <si>
    <t>KIT 2034/2034S PTFE+25% GRAF Diámetro 3/4".</t>
  </si>
  <si>
    <t>2838C 06</t>
  </si>
  <si>
    <t>KIT 2034/2034S PTFE+25% GRAF Diámetro 1".</t>
  </si>
  <si>
    <t>2838C 07</t>
  </si>
  <si>
    <t>KIT 2034/2034S PTFE+25% GRAF Diámetro 1 1/4".</t>
  </si>
  <si>
    <t>2838C 08</t>
  </si>
  <si>
    <t>KIT 2034/2034S PTFE+25% GRAF Diámetro 1 1/2".</t>
  </si>
  <si>
    <t>2838C 09</t>
  </si>
  <si>
    <t>KIT 2034/2034S PTFE+25% GRAF Diámetro 2".</t>
  </si>
  <si>
    <t>2838C 10</t>
  </si>
  <si>
    <t>KIT 2034/2034S PTFE+25% GRAF Diámetro 2 1/2".</t>
  </si>
  <si>
    <t>2838C 11</t>
  </si>
  <si>
    <t>KIT 2034/2034S PTFE+25% GRAF Diámetro 3".</t>
  </si>
  <si>
    <t>2838C 12</t>
  </si>
  <si>
    <t>KIT 2034/2034S PTFE+25% GRAF Diámetro 4".</t>
  </si>
  <si>
    <t>1290 04</t>
  </si>
  <si>
    <t>KIT 2528A MD STD PTFE+15% FV Diámetro 1/2".</t>
  </si>
  <si>
    <t>1290 05</t>
  </si>
  <si>
    <t>KIT 2528A MD STD PTFE+15% FV Diámetro 3/4".</t>
  </si>
  <si>
    <t>1290 06</t>
  </si>
  <si>
    <t>KIT 2528A MD STD PTFE+15% FV Diámetro 1".</t>
  </si>
  <si>
    <t>1290 07</t>
  </si>
  <si>
    <t>KIT 2528A MD STD PTFE+15% FV Diámetro 1 1/4".</t>
  </si>
  <si>
    <t>1290 08</t>
  </si>
  <si>
    <t>KIT 2528A MD STD PTFE+15% FV Diámetro 1 1/2".</t>
  </si>
  <si>
    <t>1290 09</t>
  </si>
  <si>
    <t>KIT 2528A MD STD PTFE+15% FV Diámetro 2".</t>
  </si>
  <si>
    <t>1290 10</t>
  </si>
  <si>
    <t>KIT 2528A MD STD PTFE+15% FV Diámetro 2 1/2".</t>
  </si>
  <si>
    <t>1290 11</t>
  </si>
  <si>
    <t>KIT 2528A MD STD PTFE+15% FV Diámetro 3".</t>
  </si>
  <si>
    <t>1290 12</t>
  </si>
  <si>
    <t>KIT 2528A MD STD PTFE+15% FV Diámetro 4".</t>
  </si>
  <si>
    <t>1290 14</t>
  </si>
  <si>
    <t>KIT 2528A MD STD PTFE+15% FV Diámetro 6".</t>
  </si>
  <si>
    <t>2909 04</t>
  </si>
  <si>
    <t>KIT 2526A MD STD PTFE+15% FV Diámetro 1/2".</t>
  </si>
  <si>
    <t>2909 05</t>
  </si>
  <si>
    <t>KIT 2526A MD STD PTFE+15% FV Diámetro 3/4".</t>
  </si>
  <si>
    <t>2909 06</t>
  </si>
  <si>
    <t>KIT 2526A MD STD PTFE+15% FV Diámetro 1".</t>
  </si>
  <si>
    <t>2909 07</t>
  </si>
  <si>
    <t>KIT 2526A MD STD PTFE+15% FV Diámetro 1 1/4".</t>
  </si>
  <si>
    <t>2909 08</t>
  </si>
  <si>
    <t>KIT 2526A MD STD PTFE+15% FV Diámetro 1 1/2".</t>
  </si>
  <si>
    <t>2909 09</t>
  </si>
  <si>
    <t>KIT 2526A MD STD PTFE+15% FV Diámetro 2".</t>
  </si>
  <si>
    <t>2909 10</t>
  </si>
  <si>
    <t>KIT 2526A MD STD PTFE+15% FV Diámetro 2 1/2".</t>
  </si>
  <si>
    <t>2909 11</t>
  </si>
  <si>
    <t>KIT 2526A MD STD PTFE+15% FV Diámetro 3".</t>
  </si>
  <si>
    <t>2909 12</t>
  </si>
  <si>
    <t>KIT 2526A MD STD PTFE+15% FV Diámetro 4".</t>
  </si>
  <si>
    <t>2909 14</t>
  </si>
  <si>
    <t>KIT 2526A MD STD PTFE+15% FV Diámetro 6".</t>
  </si>
  <si>
    <t>2909C 04</t>
  </si>
  <si>
    <t>KIT2526A MD PTFE+25% GRAF "1/2 Diámetro .</t>
  </si>
  <si>
    <t>2909C 05</t>
  </si>
  <si>
    <t>KIT2526A MD PTFE+25% GRAF 3/4" Diámetro 3/4".</t>
  </si>
  <si>
    <t>2909C 06</t>
  </si>
  <si>
    <t>KIT2526A MD PTFE+25% GRAF 1" Diámetro .</t>
  </si>
  <si>
    <t>2909C 07</t>
  </si>
  <si>
    <t>KIT2526A MD PTFE+25% GRAF1 1/4 Diámetro .</t>
  </si>
  <si>
    <t>2909C 08</t>
  </si>
  <si>
    <t>KIT2526A MD PTFE+25% GRAF1 1/2 Diámetro .</t>
  </si>
  <si>
    <t>2909C 09</t>
  </si>
  <si>
    <t>KIT2526A MD PTFE+25% GRAF 2" Diámetro .</t>
  </si>
  <si>
    <t>2909C 10</t>
  </si>
  <si>
    <t>KIT2526A MD PTFE+25% GRAF21/2" Diámetro .</t>
  </si>
  <si>
    <t>2909C 11</t>
  </si>
  <si>
    <t>KIT2526A MD PTFE+25% GRAF 3" Diámetro .</t>
  </si>
  <si>
    <t>2909C 12</t>
  </si>
  <si>
    <t>KIT 2526A MD PTFE+25% GRAF 4" Diámetro .</t>
  </si>
  <si>
    <t>2909C 14</t>
  </si>
  <si>
    <t>KIT 2526A MD PTFE+25% GRAF 6" Diámetro .</t>
  </si>
  <si>
    <t>290C 04</t>
  </si>
  <si>
    <t>KIT 2528A MD PTFE+25%GRAFITO Diámetro 1/2".</t>
  </si>
  <si>
    <t>290C 05</t>
  </si>
  <si>
    <t>KIT 2528A MD PTFE+25%GRAFITO Diámetro 3/4".</t>
  </si>
  <si>
    <t>290C 06</t>
  </si>
  <si>
    <t>KIT 2528A MD PTFE+25%GRAFITO Diámetro 1".</t>
  </si>
  <si>
    <t>290C 07</t>
  </si>
  <si>
    <t>KIT 2528A MD PTFE+25%GRAFITO Diámetro 1 1/4".</t>
  </si>
  <si>
    <t>290C 08</t>
  </si>
  <si>
    <t>KIT 2528A MD PTFE+25%GRAFITO Diámetro 1 1/2".</t>
  </si>
  <si>
    <t>290C 09</t>
  </si>
  <si>
    <t>KIT 2528A MD PTFE+25%GRAFITO Diámetro 2".</t>
  </si>
  <si>
    <t>290C 10</t>
  </si>
  <si>
    <t>KIT 2528A MD PTFE+25%GRAFITO Diámetro 2 1/2".</t>
  </si>
  <si>
    <t>290C 11</t>
  </si>
  <si>
    <t>KIT 2528A MD PTFE+25%GRAFITO Diámetro 3".</t>
  </si>
  <si>
    <t>290C 12</t>
  </si>
  <si>
    <t>KIT 2528A MD PTFE+25%GRAFITO Diámetro 4".</t>
  </si>
  <si>
    <t>EMB 014</t>
  </si>
  <si>
    <t>PISTON (UNIDAD) Diámetro ACT.GNP 0014.</t>
  </si>
  <si>
    <t>EMB 024</t>
  </si>
  <si>
    <t>PISTON (UNIDAD) Diámetro ACT.GNP 0024.</t>
  </si>
  <si>
    <t>EMB 044</t>
  </si>
  <si>
    <t>PISTON (UNIDAD) Diámetro ACT.GNP 0044.</t>
  </si>
  <si>
    <t>EMB 060</t>
  </si>
  <si>
    <t>PISTON (UNIDAD) Diámetro ACT.GNP 0060.</t>
  </si>
  <si>
    <t>EMB 094</t>
  </si>
  <si>
    <t>PISTON (UNIDAD) Diámetro ACT.GNP 0094.</t>
  </si>
  <si>
    <t>EMB 135</t>
  </si>
  <si>
    <t>PISTON (UNIDAD) Diámetro ACT.GNP 135.</t>
  </si>
  <si>
    <t>EMB 198</t>
  </si>
  <si>
    <t>PISTON (UNIDAD) Diámetro ACT.GNP 0198.</t>
  </si>
  <si>
    <t>EMB 300</t>
  </si>
  <si>
    <t>PISTON (UNIDAD) Diámetro ACT.GNP 0300.</t>
  </si>
  <si>
    <t>EMB 513</t>
  </si>
  <si>
    <t>PISTON (UNIDAD) Diámetro ACT.GNP 0513.</t>
  </si>
  <si>
    <t>EMB 800</t>
  </si>
  <si>
    <t>PISTON (UNIDAD) Diámetro ACT.GNP 0800.</t>
  </si>
  <si>
    <t>EMB 1280</t>
  </si>
  <si>
    <t>PISTON (UNIDAD) Diámetro ACT.GNP 1280.</t>
  </si>
  <si>
    <t>EMB 1600</t>
  </si>
  <si>
    <t>PISTON (UNIDAD) Diámetro ACT.GNP 1600.</t>
  </si>
  <si>
    <t>EMB 2300</t>
  </si>
  <si>
    <t>PISTON (UNIDAD) Diámetro ACT.GNP 2300.</t>
  </si>
  <si>
    <t>EMB 2500</t>
  </si>
  <si>
    <t>PISTON (UNIDAD) Diámetro ACT.GNP 2500.</t>
  </si>
  <si>
    <t>KGNP 14</t>
  </si>
  <si>
    <t>KIT REPARACION ACT.GNP 14 Diámetro OïRINGS.</t>
  </si>
  <si>
    <t>KGNP 24</t>
  </si>
  <si>
    <t>KIT REPARACION ACT.GNP 24 Diámetro OïRINGS.</t>
  </si>
  <si>
    <t>KGNP 44</t>
  </si>
  <si>
    <t>KIT REPARACION ACT.GNP 44 Diámetro OïRINGS.</t>
  </si>
  <si>
    <t>KGNP 60</t>
  </si>
  <si>
    <t>KIT REPARACION ACT.GNP 60 Diámetro OïRINGS.</t>
  </si>
  <si>
    <t>KGNP 94</t>
  </si>
  <si>
    <t>KIT REPARACION ACT.GNP 94 Diámetro OïRINGS.</t>
  </si>
  <si>
    <t>KGNP 135</t>
  </si>
  <si>
    <t>KIT REPARACION ACT.GNP 135 Diámetro OïRINGS.</t>
  </si>
  <si>
    <t>KGNP 198</t>
  </si>
  <si>
    <t>KIT REPARACION ACT.GNP 198 Diámetro OïRINGS.</t>
  </si>
  <si>
    <t>KGNP 300</t>
  </si>
  <si>
    <t>KIT REPARACION ACT.GNP 300 Diámetro OïRINGS.</t>
  </si>
  <si>
    <t>KGNP 513</t>
  </si>
  <si>
    <t>KIT REPARACION ACT.GNP 513 Diámetro OïRINGS.</t>
  </si>
  <si>
    <t>KGNP 800</t>
  </si>
  <si>
    <t>KIT REPARACION ACT.GNP 800 Diámetro OïRINGS.</t>
  </si>
  <si>
    <t>KGNP 1280</t>
  </si>
  <si>
    <t>KIT REPARACION ACT.GNP 1280 Diámetro OïRINGS.</t>
  </si>
  <si>
    <t>KGNP 1600</t>
  </si>
  <si>
    <t>KIT REPARACION ACT.GNP 1600 Diámetro OïRINGS.</t>
  </si>
  <si>
    <t>KGNP 2300</t>
  </si>
  <si>
    <t>KIT REPARACION ACT.GNP 2300 Diámetro OïRINGS.</t>
  </si>
  <si>
    <t>KGNP 2500</t>
  </si>
  <si>
    <t>KIT REPARACION ACT.GNP 2500 Diámetro OïRINGS.</t>
  </si>
  <si>
    <t>R5060 04</t>
  </si>
  <si>
    <t>KIT COMPLETO P/ VALV. 5060 Diámetro 1/2".</t>
  </si>
  <si>
    <t>R5060 05</t>
  </si>
  <si>
    <t>KIT COMPLETO P/ VALV. 5060 Diámetro 3/4".</t>
  </si>
  <si>
    <t>R5060 06</t>
  </si>
  <si>
    <t>KIT COMPLETO P/ VALV. 5060 Diámetro 1".</t>
  </si>
  <si>
    <t>R5060 07</t>
  </si>
  <si>
    <t>KIT COMPLETO P/ VALV. 5060 Diámetro 1 1/4".</t>
  </si>
  <si>
    <t>R5060 08</t>
  </si>
  <si>
    <t>KIT COMPLETO P/ VALV. 5060 Diámetro 1 1/2".</t>
  </si>
  <si>
    <t>R5060 09</t>
  </si>
  <si>
    <t>KIT COMPLETO P/ VALV. 5060 Diámetro 2".</t>
  </si>
  <si>
    <t>2109C 09</t>
  </si>
  <si>
    <t>CUBETA/ELASTOMERO P/2109 EPDM Diámetro 2".</t>
  </si>
  <si>
    <t>2109C 10</t>
  </si>
  <si>
    <t>CUBETA/ELASTOMERO P/2109 EPDM Diámetro 2 1/2".</t>
  </si>
  <si>
    <t>2109C 11</t>
  </si>
  <si>
    <t>CUBETA/ELASTOMERO P/2109 EPDM Diámetro 3".</t>
  </si>
  <si>
    <t>2109C 12</t>
  </si>
  <si>
    <t>CUBETA/ELASTOMERO P/2109 EPDM Diámetro 4".</t>
  </si>
  <si>
    <t>2109C 13</t>
  </si>
  <si>
    <t>CUBETA/ELASTOMERO P/2109 EPDM Diámetro 5".</t>
  </si>
  <si>
    <t>2109C 14</t>
  </si>
  <si>
    <t>CUBETA/ELASTOMERO P/2109 EPDM Diámetro 6".</t>
  </si>
  <si>
    <t>2109C 16</t>
  </si>
  <si>
    <t>CUBETA/ELASTOMERO P/2109 EPDM Diámetro 8".</t>
  </si>
  <si>
    <t>2109C 18</t>
  </si>
  <si>
    <t>CUBETA/ELASTOMERO P/2109 EPDM Diámetro 10".</t>
  </si>
  <si>
    <t>2109C 20</t>
  </si>
  <si>
    <t>CUBETA/ELASTOMERO P/2109 EPDM Diámetro 12".</t>
  </si>
  <si>
    <t>2109C 22</t>
  </si>
  <si>
    <t>CUBETA/ELASTOMERO P/2109 EPDM Diámetro 14".</t>
  </si>
  <si>
    <t>2109C 24</t>
  </si>
  <si>
    <t>CUBETA/ELASTOMERO P/2109 EPDM Diámetro 16".</t>
  </si>
  <si>
    <t>2109C 26</t>
  </si>
  <si>
    <t>CUBETA/ELASTOMERO P/2109 EPDM Diámetro 18".</t>
  </si>
  <si>
    <t>2109C 28</t>
  </si>
  <si>
    <t>CUBETA/ELASTOMERO P/2109 EPDM Diámetro 20".</t>
  </si>
  <si>
    <t>EB2109 09</t>
  </si>
  <si>
    <t>CUBETA/ELASTOMERO P/2109 BUNA Diámetro 2".</t>
  </si>
  <si>
    <t>EB2109 10</t>
  </si>
  <si>
    <t>CUBETA/ELASTOMERO P/2109 BUNA Diámetro 2 1/2".</t>
  </si>
  <si>
    <t>EB2109 11</t>
  </si>
  <si>
    <t>CUBETA/ELASTOMERO P/2109 BUNA Diámetro 3".</t>
  </si>
  <si>
    <t>EB2109 12</t>
  </si>
  <si>
    <t>CUBETA/ELASTOMERO P/2109 BUNA Diámetro 4".</t>
  </si>
  <si>
    <t>EB2109 13</t>
  </si>
  <si>
    <t>CUBETA/ELASTOMERO P/2109 BUNA Diámetro 5".</t>
  </si>
  <si>
    <t>EB2109 14</t>
  </si>
  <si>
    <t>CUBETA/ELASTOMERO P/2109 BUNA Diámetro 6".</t>
  </si>
  <si>
    <t>EB2109 16</t>
  </si>
  <si>
    <t>CUBETA/ELASTOMERO P/2109 BUNA Diámetro 8".</t>
  </si>
  <si>
    <t>EB2109 18</t>
  </si>
  <si>
    <t>CUBETA/ELASTOMERO P/2109 BUNA Diámetro 10".</t>
  </si>
  <si>
    <t>EB2109 20</t>
  </si>
  <si>
    <t>CUBETA/ELASTOMERO P/2109 BUNA Diámetro 12".</t>
  </si>
  <si>
    <t>EB2109 22</t>
  </si>
  <si>
    <t>CUBETA/ELASTOMERO P/2109 BUNA Diámetro 14".</t>
  </si>
  <si>
    <t>EB2109 24</t>
  </si>
  <si>
    <t>CUBETA/ELASTOMERO P/2109 BUNA Diámetro 16".</t>
  </si>
  <si>
    <t>EB2109 26</t>
  </si>
  <si>
    <t>CUBETA/ELASTOMERO P/2109 BUNA Diámetro 18".</t>
  </si>
  <si>
    <t>EB2109 28</t>
  </si>
  <si>
    <t>CUBETA/ELASTOMERO P/2109 BUNA Diámetro 20".</t>
  </si>
  <si>
    <t>2906 02</t>
  </si>
  <si>
    <t>KIT JUNTAS PTFE+FV 15%2025 "E" Diámetro 1/4".</t>
  </si>
  <si>
    <t>2906 03</t>
  </si>
  <si>
    <t>KIT JUNTAS PTFE+FV 15%2025 "E" Diámetro 3/8".</t>
  </si>
  <si>
    <t>2906 04</t>
  </si>
  <si>
    <t>KIT JUNTAS PTFE+FV 15%2025 "E" Diámetro 1/2".</t>
  </si>
  <si>
    <t>2906 05</t>
  </si>
  <si>
    <t>KIT JUNTAS PTFE+FV 15%2025 "E" Diámetro 3/4".</t>
  </si>
  <si>
    <t>2906 06</t>
  </si>
  <si>
    <t>KIT JUNTAS PTFE+FV 15%2025 "E" Diámetro 1".</t>
  </si>
  <si>
    <t>2906 07</t>
  </si>
  <si>
    <t>KIT JUNTAS PTFE+FV 15%2025 "E" Diámetro 1 1/4".</t>
  </si>
  <si>
    <t>2906 08</t>
  </si>
  <si>
    <t>KIT JUNTAS PTFE+FV 15%2025 "E" Diámetro 1 1/2".</t>
  </si>
  <si>
    <t>2906 09</t>
  </si>
  <si>
    <t>KIT JUNTAS PTFE+FV 15%2025 "E" Diámetro 2".</t>
  </si>
  <si>
    <t>2906 10</t>
  </si>
  <si>
    <t>KIT JUNTAS PTFE+FV 15%2025 "E" Diámetro 2 1/2".</t>
  </si>
  <si>
    <t>2906 11</t>
  </si>
  <si>
    <t>KIT JUNTAS PTFE+FV 15%2025 "E" Diámetro 3".</t>
  </si>
  <si>
    <t>2906 12</t>
  </si>
  <si>
    <t>KIT JUNTAS PTFE+FV15% (E) ANT. Diámetro 4".</t>
  </si>
  <si>
    <t>ET2104 09</t>
  </si>
  <si>
    <t>CUBETA-ELASTOM.PTFE P/2104 Diámetro 2".</t>
  </si>
  <si>
    <t>ET2104 10</t>
  </si>
  <si>
    <t>CUBETA-ELASTOM.PTFE P/2104 Diámetro 2 1/2".</t>
  </si>
  <si>
    <t>ET2104 11</t>
  </si>
  <si>
    <t>CUBETA-ELASTOM.PTFE P/2104 Diámetro 3".</t>
  </si>
  <si>
    <t>ET2104 12</t>
  </si>
  <si>
    <t>CUBETA-ELASTOM.PTFE P/2104 Diámetro 4".</t>
  </si>
  <si>
    <t>ET2104 13</t>
  </si>
  <si>
    <t>CUBETA-ELASTOM.PTFE P/2104 Diámetro 5".</t>
  </si>
  <si>
    <t>ET2104 14</t>
  </si>
  <si>
    <t>CUBETA-ELASTOM.PTFE P/2104 Diámetro 6".</t>
  </si>
  <si>
    <t>ET2104 16</t>
  </si>
  <si>
    <t>CUBETA-ELASTOM.PTFE P/2104 Diámetro 8".</t>
  </si>
  <si>
    <t>3023 04</t>
  </si>
  <si>
    <t>Válvula de esfera para montaje actuador PN 40. Paso total. Construcción en latón UNE-EN 12165 cromado. Asientos PTFE. Extremos rosca gas (BSP) H-H ISO 228/1. Temp. máx. 110ºC. Conexión a actuador s/ ISO 5211. Palanca en acero.  DIAMETRO 1/2"</t>
  </si>
  <si>
    <t>3023 05</t>
  </si>
  <si>
    <t>Válvula de esfera para montaje actuador PN 40. Paso total. Construcción en latón UNE-EN 12165 cromado. Asientos PTFE. Extremos rosca gas (BSP) H-H ISO 228/1. Temp. máx. 110ºC. Conexión a actuador s/ ISO 5211. Palanca en acero.  DIAMETRO 3/4"</t>
  </si>
  <si>
    <t>3023 06</t>
  </si>
  <si>
    <t>Válvula de esfera para montaje actuador PN 40. Paso total. Construcción en latón UNE-EN 12165 cromado. Asientos PTFE. Extremos rosca gas (BSP) H-H ISO 228/1. Temp. máx. 110ºC. Conexión a actuador s/ ISO 5211. Palanca en acero.  DIAMETRO 1"</t>
  </si>
  <si>
    <t>3023 07</t>
  </si>
  <si>
    <t>Válvula de esfera para montaje actuador PN 40. Paso total. Construcción en latón UNE-EN 12165 cromado. Asientos PTFE. Extremos rosca gas (BSP) H-H ISO 228/1. Temp. máx. 110ºC. Conexión a actuador s/ ISO 5211. Palanca en acero.  DIAMETRO 1 1/4"</t>
  </si>
  <si>
    <t>3023 08</t>
  </si>
  <si>
    <t>Válvula de esfera para montaje actuador PN 40. Paso total. Construcción en latón UNE-EN 12165 cromado. Asientos PTFE. Extremos rosca gas (BSP) H-H ISO 228/1. Temp. máx. 110ºC. Conexión a actuador s/ ISO 5211. Palanca en acero.  DIAMETRO 1 1/2"</t>
  </si>
  <si>
    <t>3023 09</t>
  </si>
  <si>
    <t>Válvula de esfera para montaje actuador PN 40. Paso total. Construcción en latón UNE-EN 12165 cromado. Asientos PTFE. Extremos rosca gas (BSP) H-H ISO 228/1. Temp. máx. 110ºC. Conexión a actuador s/ ISO 5211. Palanca en acero.  DIAMETRO 2"</t>
  </si>
  <si>
    <t>3028 04</t>
  </si>
  <si>
    <t>Válvula esfera PN 25. Paso estándar. Construcción en latón UNE-EN 12165 cromado. Asientos PTFE. Extremos rosca gas (BSP) H-H - ISO 228/1. Temp. máx. 110ºC. Mando manual por palanca de acero. DIAMETRO    1/2"</t>
  </si>
  <si>
    <t>3028 05</t>
  </si>
  <si>
    <t>Válvula esfera PN 25. Paso estándar. Construcción en latón UNE-EN 12165 cromado. Asientos PTFE. Extremos rosca gas (BSP) H-H - ISO 228/1. Temp. máx. 110ºC. Mando manual por palanca de acero. DIAMETRO    3/4"</t>
  </si>
  <si>
    <t>3028 06</t>
  </si>
  <si>
    <t>Válvula esfera PN 25. Paso estándar. Construcción en latón UNE-EN 12165 cromado. Asientos PTFE. Extremos rosca gas (BSP) H-H - ISO 228/1. Temp. máx. 110ºC. Mando manual por palanca de acero. DIAMETRO    1"</t>
  </si>
  <si>
    <t>3028 07</t>
  </si>
  <si>
    <t>Válvula esfera PN 25. Paso estándar. Construcción en latón UNE-EN 12165 cromado. Asientos PTFE. Extremos rosca gas (BSP) H-H - ISO 228/1. Temp. máx. 110ºC. Mando manual por palanca de acero. DIAMETRO    1 1/4"</t>
  </si>
  <si>
    <t>3028 08</t>
  </si>
  <si>
    <t>Válvula esfera PN 25. Paso estándar. Construcción en latón UNE-EN 12165 cromado. Asientos PTFE. Extremos rosca gas (BSP) H-H - ISO 228/1. Temp. máx. 110ºC. Mando manual por palanca de acero. DIAMETRO    1 1/2"</t>
  </si>
  <si>
    <t>3028 09</t>
  </si>
  <si>
    <t>Válvula esfera PN 25. Paso estándar. Construcción en latón UNE-EN 12165 cromado. Asientos PTFE. Extremos rosca gas (BSP) H-H - ISO 228/1. Temp. máx. 110ºC. Mando manual por palanca de acero. DIAMETRO  2"</t>
  </si>
  <si>
    <t>3028 10</t>
  </si>
  <si>
    <t>Válvula esfera PN 25. Paso estándar. Construcción en latón UNE-EN 12165 cromado. Asientos PTFE. Extremos rosca gas (BSP) H-H - ISO 228/1. Temp. máx. 110ºC. Mando manual por palanca de acero. DIAMETRO  2 1/2"</t>
  </si>
  <si>
    <t>3028 11</t>
  </si>
  <si>
    <t>Válvula esfera PN 25. Paso estándar. Construcción en latón UNE-EN 12165 cromado. Asientos PTFE. Extremos rosca gas (BSP) H-H - ISO 228/1. Temp. máx. 110ºC. Mando manual por palanca de acero. DIAMETRO  3"</t>
  </si>
  <si>
    <t>3028 12</t>
  </si>
  <si>
    <t>Válvula esfera PN 25. Paso estándar. Construcción en latón UNE-EN 12165 cromado. Asientos PTFE. Extremos rosca gas (BSP) H-H - ISO 228/1. Temp. máx. 110ºC. Mando manual por palanca de acero. DIAMETRO  4"</t>
  </si>
  <si>
    <t>3029 02</t>
  </si>
  <si>
    <t>Válvula esfera PN 25. Paso Total. Construcción en latón UNE-EN 12165 cromado. Asientos PTFE. Extremos rosca gas (BSP) H-H - ISO 228/1. Temp. máx. 110ºC. Mando manual por palanca de acero. DIAMETRO 1/4"</t>
  </si>
  <si>
    <t>3029 03</t>
  </si>
  <si>
    <t>Válvula esfera PN 25. Paso Total. Construcción en latón UNE-EN 12165 cromado. Asientos PTFE. Extremos rosca gas (BSP) H-H - ISO 228/1. Temp. máx. 110ºC. Mando manual por palanca de acero. DIAMETRO 3/8"</t>
  </si>
  <si>
    <t>3029 10</t>
  </si>
  <si>
    <t>Válvula esfera PN 25. Paso Total. Construcción en latón UNE-EN 12165 cromado. Asientos PTFE. Extremos rosca gas (BSP) H-H - ISO 228/1. Temp. máx. 110ºC. Mando manual por palanca de acero. DIAMETRO 2 1/2"</t>
  </si>
  <si>
    <t>3029 11</t>
  </si>
  <si>
    <t>Válvula esfera PN 25. Paso Total. Construcción en latón UNE-EN 12165 cromado. Asientos PTFE. Extremos rosca gas (BSP) H-H - ISO 228/1. Temp. máx. 110ºC. Mando manual por palanca de acero. DIAMETRO 3"</t>
  </si>
  <si>
    <t>3029 12</t>
  </si>
  <si>
    <t>Válvula esfera PN 25. Paso Total. Construcción en latón UNE-EN 12165 cromado. Asientos PTFE. Extremos rosca gas (BSP) H-H - ISO 228/1. Temp. máx. 110ºC. Mando manual por palanca de acero. DIAMETRO 4"</t>
  </si>
  <si>
    <t>3034 02</t>
  </si>
  <si>
    <t>Válvula de esfera PN 25. Paso total. Construcción en latón UNE-EN 12165 cromado. Asientos PTFE. Extremos rosca gas (BSP) M-H ISO 228/1. Temp. máx. 110ºC. Mando manual por palanca de acero.  DIAMETRO 1/4"</t>
  </si>
  <si>
    <t>3034 03</t>
  </si>
  <si>
    <t>Válvula de esfera PN 25. Paso total. Construcción en latón UNE-EN 12165 cromado. Asientos PTFE. Extremos rosca gas (BSP) M-H ISO 228/1. Temp. máx. 110ºC. Mando manual por palanca de acero.  DIAMETRO 3/8"</t>
  </si>
  <si>
    <t>3034 04</t>
  </si>
  <si>
    <t>Válvula de esfera PN 25. Paso total. Construcción en latón UNE-EN 12165 cromado. Asientos PTFE. Extremos rosca gas (BSP) M-H ISO 228/1. Temp. máx. 110ºC. Mando manual por palanca de acero.  DIAMETRO 1/2"</t>
  </si>
  <si>
    <t>3034 05</t>
  </si>
  <si>
    <t>Válvula de esfera PN 25. Paso total. Construcción en latón UNE-EN 12165 cromado. Asientos PTFE. Extremos rosca gas (BSP) M-H ISO 228/1. Temp. máx. 110ºC. Mando manual por palanca de acero.  DIAMETRO 3/4"</t>
  </si>
  <si>
    <t>3034 06</t>
  </si>
  <si>
    <t>Válvula de esfera PN 25. Paso total. Construcción en latón UNE-EN 12165 cromado. Asientos PTFE. Extremos rosca gas (BSP) M-H ISO 228/1. Temp. máx. 110ºC. Mando manual por palanca de acero.  DIAMETRO 1"</t>
  </si>
  <si>
    <t>3034 07</t>
  </si>
  <si>
    <t>Válvula de esfera PN 25. Paso total. Construcción en latón UNE-EN 12165 cromado. Asientos PTFE. Extremos rosca gas (BSP) M-H ISO 228/1. Temp. máx. 110ºC. Mando manual por palanca de acero.  DIAMETRO 1 1/4"</t>
  </si>
  <si>
    <t>3034 08</t>
  </si>
  <si>
    <t>Válvula de esfera PN 25. Paso total. Construcción en latón UNE-EN 12165 cromado. Asientos PTFE. Extremos rosca gas (BSP) M-H ISO 228/1. Temp. máx. 110ºC. Mando manual por palanca de acero.  DIAMETRO 1 1/2"</t>
  </si>
  <si>
    <t>3034 09</t>
  </si>
  <si>
    <t>Válvula de esfera PN 25. Paso total. Construcción en latón UNE-EN 12165 cromado. Asientos PTFE. Extremos rosca gas (BSP) M-H ISO 228/1. Temp. máx. 110ºC. Mando manual por palanca de acero.  DIAMETRO 2"</t>
  </si>
  <si>
    <t>3035 02</t>
  </si>
  <si>
    <t>Válvula de esfera PN 25. Paso total. Construcción en latón UNE-EN 12165 cromado. Asiento PTFE. Extremos rosca gas (BSP) H-H. ISO 228/1. Temp. máx. 110ºC. Mando manual por palomilla aluminio. DIAMETRO 1/4"</t>
  </si>
  <si>
    <t>3035 03</t>
  </si>
  <si>
    <t>Válvula de esfera PN 25. Paso total. Construcción en latón UNE-EN 12165 cromado. Asiento PTFE. Extremos rosca gas (BSP) H-H. ISO 228/1. Temp. máx. 110ºC. Mando manual por palomilla aluminio. DIAMETRO 3/8"</t>
  </si>
  <si>
    <t>3035 04</t>
  </si>
  <si>
    <t>Válvula de esfera PN 25. Paso total. Construcción en latón UNE-EN 12165 cromado. Asiento PTFE. Extremos rosca gas (BSP) H-H. ISO 228/1. Temp. máx. 110ºC. Mando manual por palomilla aluminio. DIAMETRO 1/2"</t>
  </si>
  <si>
    <t>3035 05</t>
  </si>
  <si>
    <t>Válvula de esfera PN 25. Paso total. Construcción en latón UNE-EN 12165 cromado. Asiento PTFE. Extremos rosca gas (BSP) H-H. ISO 228/1. Temp. máx. 110ºC. Mando manual por palomilla aluminio. DIAMETRO 3/4"</t>
  </si>
  <si>
    <t>3035 06</t>
  </si>
  <si>
    <t>Válvula de esfera PN 25. Paso total. Construcción en latón UNE-EN 12165 cromado. Asiento PTFE. Extremos rosca gas (BSP) H-H. ISO 228/1. Temp. máx. 110ºC. Mando manual por palomilla aluminio. DIAMETRO 1"</t>
  </si>
  <si>
    <t>3036 02</t>
  </si>
  <si>
    <t>Válvula de esfera PN 25. Paso total. Construcción en latón UNE-EN 12165 cromado. Asientos PTFE. Extremos rosca gas (BSP) M-H - ISO 228/1. Temp. máx. 110ºC. Mando manual por palomilla aluminio. DIAMETRO 1/4"</t>
  </si>
  <si>
    <t>3036 03</t>
  </si>
  <si>
    <t>Válvula de esfera PN 25. Paso total. Construcción en latón UNE-EN 12165 cromado. Asientos PTFE. Extremos rosca gas (BSP) M-H - ISO 228/1. Temp. máx. 110ºC. Mando manual por palomilla aluminio. DIAMETRO 3/8"</t>
  </si>
  <si>
    <t>3036 04</t>
  </si>
  <si>
    <t>Válvula de esfera PN 25. Paso total. Construcción en latón UNE-EN 12165 cromado. Asientos PTFE. Extremos rosca gas (BSP) M-H - ISO 228/1. Temp. máx. 110ºC. Mando manual por palomilla aluminio. DIAMETRO 1/2"</t>
  </si>
  <si>
    <t>3036 05</t>
  </si>
  <si>
    <t>Válvula de esfera PN 25. Paso total. Construcción en latón UNE-EN 12165 cromado. Asientos PTFE. Extremos rosca gas (BSP) M-H - ISO 228/1. Temp. máx. 110ºC. Mando manual por palomilla aluminio. DIAMETRO 3/4"</t>
  </si>
  <si>
    <t>3036 06</t>
  </si>
  <si>
    <t>Válvula de esfera PN 25. Paso total. Construcción en latón UNE-EN 12165 cromado. Asientos PTFE. Extremos rosca gas (BSP) M-H - ISO 228/1. Temp. máx. 110ºC. Mando manual por palomilla aluminio. DIAMETRO 1"</t>
  </si>
  <si>
    <t>3044 04</t>
  </si>
  <si>
    <t>Válvula de descarga para caldera PN 25. Paso total. Construcción en latón niquelado UNE-EN 12165. Asientos PTFE. Extremos rosca gas (BSP) M ISO 228/1 y conexión a manguera Ø 15 con tapón seguridad. Temp. máx. 110ºC. Mando manual por palomilla aluminio color rojo. DIAMETRO 1/2"</t>
  </si>
  <si>
    <t>3046 04</t>
  </si>
  <si>
    <t>Válvula esfera con racor media unión PN 25. Construcción en latón cromado  UNE-EN 12165. Asientos PTFE. Extremos rosca gas (BSP) M ISO 228/1. Temp. máx. 110ºC. DIAMETRO 1/2"</t>
  </si>
  <si>
    <t>3046 05</t>
  </si>
  <si>
    <t>Válvula esfera con racor media unión PN 25. Construcción en latón cromado  UNE-EN 12165. Asientos PTFE. Extremos rosca gas (BSP) M ISO 228/1. Temp. máx. 110ºC. DIAMETRO 3/4"</t>
  </si>
  <si>
    <t>3046 06</t>
  </si>
  <si>
    <t>Válvula esfera con racor media unión PN 25. Construcción en latón cromado  UNE-EN 12165. Asientos PTFE. Extremos rosca gas (BSP) M ISO 228/1. Temp. máx. 110ºC. DIAMETRO 1"</t>
  </si>
  <si>
    <t>3046 07</t>
  </si>
  <si>
    <t>Válvula esfera con racor media unión PN 25. Construcción en latón cromado  UNE-EN 12165. Asientos PTFE. Extremos rosca gas (BSP) M ISO 228/1. Temp. máx. 110ºC. DIAMETRO 1 1/4"</t>
  </si>
  <si>
    <t>3056 04</t>
  </si>
  <si>
    <t>Válvula de esfera empotrar rosca gas PN 25. Paso total. Construcción en latón según UNE-EN 12165. Asientos PTFE. Extremos roscados gas (BSP) H-H ISO 228/1. Temp. máx. 110 ºC. DIAMETRO 1/2"</t>
  </si>
  <si>
    <t>3056 05</t>
  </si>
  <si>
    <t>Válvula de esfera empotrar rosca gas PN 25. Paso total. Construcción en latón según UNE-EN 12165. Asientos PTFE. Extremos roscados gas (BSP) H-H ISO 228/1. Temp. máx. 110 ºC. DIAMETRO 3/4"</t>
  </si>
  <si>
    <t>3056 06</t>
  </si>
  <si>
    <t>Válvula de esfera empotrar rosca gas PN 25. Paso total. Construcción en latón según UNE-EN 12165. Asientos PTFE. Extremos roscados gas (BSP) H-H ISO 228/1. Temp. máx. 110 ºC. DIAMETRO 1"</t>
  </si>
  <si>
    <t>3059 04</t>
  </si>
  <si>
    <t>Válvula de esfera para manguera. Paso total. PN 16. Paso total. Construcción en latón UNE-EN 12165 cromado. Asientos PTFE. Entrada rosca gas (BSP) M - ISO 228/1. Salida racor dos piezas conexión manguera. Temp. máx. 100ºC. Mando manual por palanca de acero. Precintable en posición de apertura y cierre. DIAMETRO 1/2"x3/4"</t>
  </si>
  <si>
    <t>3059 05</t>
  </si>
  <si>
    <t>Válvula de esfera para manguera. Paso total. PN 16. Paso total. Construcción en latón UNE-EN 12165 cromado. Asientos PTFE. Entrada rosca gas (BSP) M - ISO 228/1. Salida racor dos piezas conexión manguera. Temp. máx. 100ºC. Mando manual por palanca de acero. Precintable en posición de apertura y cierre. DIAMETRO 3/4"x1"</t>
  </si>
  <si>
    <t>3059 06</t>
  </si>
  <si>
    <t>Válvula de esfera para manguera. Paso total. PN 16. Paso total. Construcción en latón UNE-EN 12165 cromado. Asientos PTFE. Entrada rosca gas (BSP) M - ISO 228/1. Salida racor dos piezas conexión manguera. Temp. máx. 100ºC. Mando manual por palanca de acero. Precintable en posición de apertura y cierre. DIAMETRO 1"x1 1/4"</t>
  </si>
  <si>
    <t>Válvula de esfera para manguera con dos salidas PN 16. Paso total. Construcción en latón UNE-EN 12165 cromado. Asientos PTFE. Entrada rosca gas (BSP) M - ISO 228/1. Salida racor dos piezas conexión manguera. Salida rosca macho 3/4". Temp. máx. 100ºC. Mando manual por palanca de acero / aluminio. Precintable en posición de apertura y cierre. DIAMETRO 1/2"x3/4"</t>
  </si>
  <si>
    <t>3060 04</t>
  </si>
  <si>
    <t>Válvula de esfera para manguera Rapid-Ge. PN 16. Paso total. Construcción en latón UNE-EN 12165 cromado. Asientos PTFE. Entrada rosca gas (BSP) M - ISO 228/1. Salida racor Rapid-Ge conexión manguera. Temp. máx. 100ºC. Mando manual por palanca de acero inoxidable. Precintable en posición de apertura y cierre. DIAMETRO 1/2"x3/4"</t>
  </si>
  <si>
    <t>3060 05</t>
  </si>
  <si>
    <t>Válvula de esfera para manguera Rapid-Ge. PN 16. Paso total. Construcción en latón UNE-EN 12165 cromado. Asientos PTFE. Entrada rosca gas (BSP) M - ISO 228/1. Salida racor Rapid-Ge conexión manguera. Temp. máx. 100ºC. Mando manual por palanca de acero inoxidable. Precintable en posición de apertura y cierre. DIAMETRO 3/4"x1"</t>
  </si>
  <si>
    <t>3060 06</t>
  </si>
  <si>
    <t>Válvula de esfera para manguera Rapid-Ge. PN 16. Paso total. Construcción en latón UNE-EN 12165 cromado. Asientos PTFE. Entrada rosca gas (BSP) M - ISO 228/1. Salida racor Rapid-Ge conexión manguera. Temp. máx. 100ºC. Mando manual por palanca de acero inoxidable. Precintable en posición de apertura y cierre. DIAMETRO 1"x1 1/4"</t>
  </si>
  <si>
    <t>3061 04</t>
  </si>
  <si>
    <t>VALV.P/MANGUERA 2 SALIDAS 360º DIAMETRO 1/2" x 3/4"</t>
  </si>
  <si>
    <t>3062 04</t>
  </si>
  <si>
    <t>VALV.MANGUERA 2 SAL INDEPEND. DIAMETRO 1/2" x 1/2"</t>
  </si>
  <si>
    <t>3064 04</t>
  </si>
  <si>
    <t>VALV.ESF.BOCA RIEGO VERT.LATÓN DIAMETRO 1/2"x3/4"</t>
  </si>
  <si>
    <t>3064 05</t>
  </si>
  <si>
    <t>VALV.ESF.BOCA RIEGO VERT.LATÓN DIAMETRO 3/4"x1"</t>
  </si>
  <si>
    <t>3064 06</t>
  </si>
  <si>
    <t>VALV.ESF.BOCA RIEGO VERT.LATÓN DIAMETRO 1"x1 1/4"</t>
  </si>
  <si>
    <t>3066B 04</t>
  </si>
  <si>
    <t>CANILLA ESFÉRICA MOÑO C/PICO DIAMETRO 1/2"x3/4"</t>
  </si>
  <si>
    <t>3066B 05</t>
  </si>
  <si>
    <t>CANILLA ESFÉRICA MOÑO C/PICO DIAMETRO 3/4"x1"</t>
  </si>
  <si>
    <t>3070 04</t>
  </si>
  <si>
    <t>Válvula esfera 3 vías tipo “L” PN 25. Construcción en latón UNE-EN 12165 cromado. Asientos de PTFE. Extremos rosca gas (BSP) H - ISO 228/1. Obturador esférico en  dos/tres vías en forma “L”. Temp. máx. 120ºC. Mando manual por palanca. DIAMETRO 1/2"</t>
  </si>
  <si>
    <t>3070 05</t>
  </si>
  <si>
    <t>Válvula esfera 3 vías tipo “L” PN 25. Construcción en latón UNE-EN 12165 cromado. Asientos de PTFE. Extremos rosca gas (BSP) H - ISO 228/1. Obturador esférico en  dos/tres vías en forma “L”. Temp. máx. 120ºC. Mando manual por palanca. DIAMETRO 3/4"</t>
  </si>
  <si>
    <t>3070 06</t>
  </si>
  <si>
    <t>Válvula esfera 3 vías tipo “L” PN 25. Construcción en latón UNE-EN 12165 cromado. Asientos de PTFE. Extremos rosca gas (BSP) H - ISO 228/1. Obturador esférico en  dos/tres vías en forma “L”. Temp. máx. 120ºC. Mando manual por palanca. DIAMETRO 1"</t>
  </si>
  <si>
    <t>3070 07</t>
  </si>
  <si>
    <t>Válvula esfera 3 vías tipo “L” PN 25. Construcción en latón UNE-EN 12165 cromado. Asientos de PTFE. Extremos rosca gas (BSP) H - ISO 228/1. Obturador esférico en  dos/tres vías en forma “L”. Temp. máx. 120ºC. Mando manual por palanca. DIAMETRO 1 1/4"</t>
  </si>
  <si>
    <t>3070 08</t>
  </si>
  <si>
    <t>Válvula esfera 3 vías tipo “L” PN 25. Construcción en latón UNE-EN 12165 cromado. Asientos de PTFE. Extremos rosca gas (BSP) H - ISO 228/1. Obturador esférico en  dos/tres vías en forma “L”. Temp. máx. 120ºC. Mando manual por palanca. DIAMETRO 1 1/2"</t>
  </si>
  <si>
    <t>3070 09</t>
  </si>
  <si>
    <t>Válvula esfera 3 vías tipo “L” PN 25. Construcción en latón UNE-EN 12165 cromado. Asientos de PTFE. Extremos rosca gas (BSP) H - ISO 228/1. Obturador esférico en  dos/tres vías en forma “L”. Temp. máx. 120ºC. Mando manual por palanca. DIAMETRO 2"</t>
  </si>
  <si>
    <t>3075 05</t>
  </si>
  <si>
    <t>Válvula de esfera escuadra M-H con racor dos piezas PN 25. Paso total. Construcción en latón UNE-EN 12165 cromado. Asientos PTFE. Extremos rosca gas (BSP) M-H - ISO 228/1. Temp. máx. 110ºC. Mando manual por palomilla aluminio. DIAMETRO 3/4"</t>
  </si>
  <si>
    <t>3075 06</t>
  </si>
  <si>
    <t>Válvula de esfera escuadra M-H con racor dos piezas PN 25. Paso total. Construcción en latón UNE-EN 12165 cromado. Asientos PTFE. Extremos rosca gas (BSP) M-H - ISO 228/1. Temp. máx. 110ºC. Mando manual por palomilla aluminio. DIAMETRO 1"</t>
  </si>
  <si>
    <t>3080 04</t>
  </si>
  <si>
    <t>Válvula esfera 3 vías tipo “T” PN 25. Construcción en latón UNE-EN 12165 cromado. Asientos de PTFE. Extremos rosca gas (BSP) H - ISO 228/1. Obturador esférico en  dos/tres vías en forma “T”. Temp. máx. 120ºC. Mando manual por palanca. DIAMETRO 1/2"</t>
  </si>
  <si>
    <t>3080 05</t>
  </si>
  <si>
    <t>Válvula esfera 3 vías tipo “T” PN 25. Construcción en latón UNE-EN 12165 cromado. Asientos de PTFE. Extremos rosca gas (BSP) H - ISO 228/1. Obturador esférico en  dos/tres vías en forma “T”. Temp. máx. 120ºC. Mando manual por palanca. DIAMETRO 3/4"</t>
  </si>
  <si>
    <t>3080 06</t>
  </si>
  <si>
    <t>Válvula esfera 3 vías tipo “T” PN 25. Construcción en latón UNE-EN 12165 cromado. Asientos de PTFE. Extremos rosca gas (BSP) H - ISO 228/1. Obturador esférico en  dos/tres vías en forma “T”. Temp. máx. 120ºC. Mando manual por palanca. DIAMETRO 1"</t>
  </si>
  <si>
    <t>3080 07</t>
  </si>
  <si>
    <t>Válvula esfera 3 vías tipo “T” PN 25. Construcción en latón UNE-EN 12165 cromado. Asientos de PTFE. Extremos rosca gas (BSP) H - ISO 228/1. Obturador esférico en  dos/tres vías en forma “T”. Temp. máx. 120ºC. Mando manual por palanca. DIAMETRO 1 1/4"</t>
  </si>
  <si>
    <t>3080 08</t>
  </si>
  <si>
    <t>Válvula esfera 3 vías tipo “T” PN 25. Construcción en latón UNE-EN 12165 cromado. Asientos de PTFE. Extremos rosca gas (BSP) H - ISO 228/1. Obturador esférico en  dos/tres vías en forma “T”. Temp. máx. 120ºC. Mando manual por palanca. DIAMETRO 1 1/2"</t>
  </si>
  <si>
    <t>3080 09</t>
  </si>
  <si>
    <t>Válvula esfera 3 vías tipo “T” PN 25. Construcción en latón UNE-EN 12165 cromado. Asientos de PTFE. Extremos rosca gas (BSP) H - ISO 228/1. Obturador esférico en  dos/tres vías en forma “T”. Temp. máx. 120ºC. Mando manual por palanca. DIAMETRO 2"</t>
  </si>
  <si>
    <t>3086 02</t>
  </si>
  <si>
    <t>VALV.ESF.MINI M-M DIAMETRO 1/4"</t>
  </si>
  <si>
    <t>3086 03</t>
  </si>
  <si>
    <t>VALV.ESF.MINI M-M DIAMETRO 3/8"</t>
  </si>
  <si>
    <t>3088 04</t>
  </si>
  <si>
    <t>VALV.ESF.LAT.TUBERIA PP RAC-GE DIAMETRO 20 - 1/2"</t>
  </si>
  <si>
    <t>3088 05</t>
  </si>
  <si>
    <t>VALV.ESF.LAT.TUBERIA PP RAC-GE DIAMETRO 25 - 3/4"</t>
  </si>
  <si>
    <t>3088 06</t>
  </si>
  <si>
    <t>VALV.ESF.LAT.TUBERIA PP RAC-GE DIAMETRO 32 - 1"</t>
  </si>
  <si>
    <t>3089 04</t>
  </si>
  <si>
    <t>VALV.ESF.LAT.TUB PP RAC-GE+BSP DIAMETRO 20 - 1/2"</t>
  </si>
  <si>
    <t>3089 05</t>
  </si>
  <si>
    <t>VALV.ESF.LAT.TUB PP RAC-GE+BSP DIAMETRO 25 - 3/4"</t>
  </si>
  <si>
    <t>3089 06</t>
  </si>
  <si>
    <t>VALV.ESF.LAT.TUB PP RAC-GE+BSP DIAMETRO 32 - 1"</t>
  </si>
  <si>
    <t>3091 04</t>
  </si>
  <si>
    <t>VALV.ESF.ESCUA.LAVADORA  LATÓN DIAMETRO 1/2"x3/4"</t>
  </si>
  <si>
    <t>3092 04</t>
  </si>
  <si>
    <t>VALV.MIXTA LAVADORA - LAVABO DIAMETRO 1/2" x 3/4" x 3/8"</t>
  </si>
  <si>
    <t>3094 03</t>
  </si>
  <si>
    <t>VALV. ESCUADRA "ISIS" DIAMETRO 3/8" x 1/2"</t>
  </si>
  <si>
    <t>3094 04</t>
  </si>
  <si>
    <t>VALV. ESCUADRA "ISIS" DIAMETRO 1/2" x 1/2"</t>
  </si>
  <si>
    <t>3095 03</t>
  </si>
  <si>
    <t>VALV.ESCUADRA M-M C/ FILTRO DIAMETRO 1/2" x 3/8"</t>
  </si>
  <si>
    <t>3095 04</t>
  </si>
  <si>
    <t>VALV.ESCUADRA M-M C/ FILTRO DIAMETRO 1/2" x 1/2"</t>
  </si>
  <si>
    <t>3095 05</t>
  </si>
  <si>
    <t>VALV.ESCUADRA M-M C/ FILTRO DIAMETRO 1/2" x 3/4"</t>
  </si>
  <si>
    <t>3096 01</t>
  </si>
  <si>
    <t>Válvula esférica mini H-H Diámetro 1/8".</t>
  </si>
  <si>
    <t>3096 02</t>
  </si>
  <si>
    <t>Válvula esférica mini H-H Diámetro 1/4".</t>
  </si>
  <si>
    <t>3096 03</t>
  </si>
  <si>
    <t>Válvula esférica mini H-H Diámetro 3/8".</t>
  </si>
  <si>
    <t>3096 04</t>
  </si>
  <si>
    <t>Válvula esférica mini H-H Diámetro 1/2".</t>
  </si>
  <si>
    <t>3096H 02</t>
  </si>
  <si>
    <t>3096H 03</t>
  </si>
  <si>
    <t>3096H 04</t>
  </si>
  <si>
    <t>Válvula esférica mini H-H Diámetro 1/2"</t>
  </si>
  <si>
    <t>3097 01</t>
  </si>
  <si>
    <t>Válvula esférica mini M-H Diámetro 1/8".</t>
  </si>
  <si>
    <t>3097 02</t>
  </si>
  <si>
    <t>Válvula esférica mini M-H Diámetro 1/4".</t>
  </si>
  <si>
    <t>3097 03</t>
  </si>
  <si>
    <t>Válvula esférica mini M-H Diámetro  3/8".</t>
  </si>
  <si>
    <t>3097 04</t>
  </si>
  <si>
    <t>Válvula esférica mini M-H Diámetro  1/2"</t>
  </si>
  <si>
    <t>3097H 02</t>
  </si>
  <si>
    <t>Válvula esférica mini M-H (Barra Hex) Diámetro  1/4".</t>
  </si>
  <si>
    <t>3097H 03</t>
  </si>
  <si>
    <t>Válvula esférica mini M-H (Barra Hex) Diámetro  3/8".</t>
  </si>
  <si>
    <t>3097H 04</t>
  </si>
  <si>
    <t>Válvula esférica mini M-H (Barra Hex) Diámetro 1/2".</t>
  </si>
  <si>
    <t>3104 04</t>
  </si>
  <si>
    <t>VALV.ESCUADRA REDONDA TAU DIAMETRO 1/2"x3/8".</t>
  </si>
  <si>
    <t>3106 04</t>
  </si>
  <si>
    <t>VALV.ESCUADRA CUADRADA CUBIK DIAMETRO 1/2"x3/8"</t>
  </si>
  <si>
    <t>3109 04</t>
  </si>
  <si>
    <t xml:space="preserve">VALV.ESCUADRA DOBLE REDONDATAU DIAMETRO 1/2"x1/2"3/8". </t>
  </si>
  <si>
    <t>3121 04</t>
  </si>
  <si>
    <t>Válvula de retención “REGE” PN 25/12. Construcción en latón UNE-EN 12165. Junta de clapeta vulcanizada de NBR. Muelle en acero inox. AISI 304. Extremos rosca gas (BSP) H-H - ISO 228/1. Temp. máx. 90ºC. Montaje en cualquier posición. DIAMETRO 1/2"</t>
  </si>
  <si>
    <t>3121 05</t>
  </si>
  <si>
    <t>Válvula de retención “REGE” PN 25/12. Construcción en latón UNE-EN 12165. Junta de clapeta vulcanizada de NBR. Muelle en acero inox. AISI 304. Extremos rosca gas (BSP) H-H - ISO 228/1. Temp. máx. 90ºC. Montaje en cualquier posición. DIAMETRO 3/4"</t>
  </si>
  <si>
    <t>3121 06</t>
  </si>
  <si>
    <t>Válvula de retención “REGE” PN 25/12. Construcción en latón UNE-EN 12165. Junta de clapeta vulcanizada de NBR. Muelle en acero inox. AISI 304. Extremos rosca gas (BSP) H-H - ISO 228/1. Temp. máx. 90ºC. Montaje en cualquier posición. DIAMETRO 1"</t>
  </si>
  <si>
    <t>3121 07</t>
  </si>
  <si>
    <t>Válvula de retención “REGE” PN 25/12. Construcción en latón UNE-EN 12165. Junta de clapeta vulcanizada de NBR. Muelle en acero inox. AISI 304. Extremos rosca gas (BSP) H-H - ISO 228/1. Temp. máx. 90ºC. Montaje en cualquier posición. DIAMETRO 1 1/4"</t>
  </si>
  <si>
    <t>3121 08</t>
  </si>
  <si>
    <t>Válvula de retención “REGE” PN 25/12. Construcción en latón UNE-EN 12165. Junta de clapeta vulcanizada de NBR. Muelle en acero inox. AISI 304. Extremos rosca gas (BSP) H-H - ISO 228/1. Temp. máx. 90ºC. Montaje en cualquier posición. DIAMETRO 1 1/2"</t>
  </si>
  <si>
    <t>3121 09</t>
  </si>
  <si>
    <t>Válvula de retención “REGE” PN 25/12. Construcción en latón UNE-EN 12165. Junta de clapeta vulcanizada de NBR. Muelle en acero inox. AISI 304. Extremos rosca gas (BSP) H-H - ISO 228/1. Temp. máx. 90ºC. Montaje en cualquier posición. DIAMETRO 2"</t>
  </si>
  <si>
    <t>3121 10</t>
  </si>
  <si>
    <t>Válvula de retención “REGE” PN 25/12. Construcción en latón UNE-EN 12165. Junta de clapeta vulcanizada de NBR. Muelle en acero inox. AISI 304. Extremos rosca gas (BSP) H-H - ISO 228/1. Temp. máx. 90ºC. Montaje en cualquier posición. DIAMETRO 2 1/2"</t>
  </si>
  <si>
    <t>3121 11</t>
  </si>
  <si>
    <t>Válvula de retención “REGE” PN 25/12. Construcción en latón UNE-EN 12165. Junta de clapeta vulcanizada de NBR. Muelle en acero inox. AISI 304. Extremos rosca gas (BSP) H-H - ISO 228/1. Temp. máx. 90ºC. Montaje en cualquier posición. DIAMETRO 3"</t>
  </si>
  <si>
    <t>3121 12</t>
  </si>
  <si>
    <t>Válvula de retención “REGE” PN 25/12. Construcción en latón UNE-EN 12165. Junta de clapeta vulcanizada de NBR. Muelle en acero inox. AISI 304. Extremos rosca gas (BSP) H-H - ISO 228/1. Temp. máx. 90ºC. Montaje en cualquier posición. DIAMETRO 4"</t>
  </si>
  <si>
    <t>3160 04</t>
  </si>
  <si>
    <t>Filtro válvula retención Tamiz acero inox - AISI 304. Racor nylon 6.6. Extremos rosca gas (BSP) M - ISO 228/1. DIAMETRO 1/2"</t>
  </si>
  <si>
    <t>3160 05</t>
  </si>
  <si>
    <t>Filtro válvula retención Tamiz acero inox - AISI 304. Racor nylon 6.6. Extremos rosca gas (BSP) M - ISO 228/1. DIAMETRO 3/4"</t>
  </si>
  <si>
    <t>3160 06</t>
  </si>
  <si>
    <t>Filtro válvula retención Tamiz acero inox - AISI 304. Racor nylon 6.6. Extremos rosca gas (BSP) M - ISO 228/1. DIAMETRO 1"</t>
  </si>
  <si>
    <t>3160 07</t>
  </si>
  <si>
    <t>Filtro válvula retención Tamiz acero inox - AISI 304. Racor nylon 6.6. Extremos rosca gas (BSP) M - ISO 228/1. DIAMETRO 1 1/4"</t>
  </si>
  <si>
    <t>3160 08</t>
  </si>
  <si>
    <t>Filtro válvula retención Tamiz acero inox - AISI 304. Racor nylon 6.6. Extremos rosca gas (BSP) M - ISO 228/1. DIAMETRO 1 1/2"</t>
  </si>
  <si>
    <t>3160 09</t>
  </si>
  <si>
    <t>Filtro válvula retención Tamiz acero inox - AISI 304. Racor nylon 6.6. Extremos rosca gas (BSP) M - ISO 228/1. DIAMETRO 2"</t>
  </si>
  <si>
    <t>3160 10</t>
  </si>
  <si>
    <t>Filtro válvula retención Tamiz acero inox - AISI 304. Racor nylon 6.6. Extremos rosca gas (BSP) M - ISO 228/1. DIAMETRO 2 1/2"</t>
  </si>
  <si>
    <t>3160 11</t>
  </si>
  <si>
    <t>Filtro válvula retención Tamiz acero inox - AISI 304. Racor nylon 6.6. Extremos rosca gas (BSP) M - ISO 228/1. DIAMETRO 3"</t>
  </si>
  <si>
    <t>3160 12</t>
  </si>
  <si>
    <t>Filtro válvula retención Tamiz acero inox - AISI 304. Racor nylon 6.6. Extremos rosca gas (BSP) M - ISO 228/1. DIAMETRO 4"</t>
  </si>
  <si>
    <t>3190 04</t>
  </si>
  <si>
    <t>Válvula de alivio de presión con escape conducido PN 16. Cierre PTFE. Construcción en latón UNE-EN 12165. Muelle en acero galvanizado. Regulación de: 0 - 10 bar (3/8" - 3") y de 5 - 10 bar (4"). Extremos en escuadra rosca gas (BSP) H-H - ISO 228/1. Temp. –10ºC +180ºC. DIAMETRO 1/2"</t>
  </si>
  <si>
    <t>3190 05</t>
  </si>
  <si>
    <t>Válvula de alivio de presión con escape conducido PN 16. Cierre PTFE. Construcción en latón UNE-EN 12165. Muelle en acero galvanizado. Regulación de: 0 - 10 bar (3/8" - 3") y de 5 - 10 bar (4"). Extremos en escuadra rosca gas (BSP) H-H - ISO 228/1. Temp. –10ºC +180ºC. DIAMETRO 3/4"</t>
  </si>
  <si>
    <t>3190 06</t>
  </si>
  <si>
    <t>Válvula de alivio de presión con escape conducido PN 16. Cierre PTFE. Construcción en latón UNE-EN 12165. Muelle en acero galvanizado. Regulación de: 0 - 10 bar (3/8" - 3") y de 5 - 10 bar (4"). Extremos en escuadra rosca gas (BSP) H-H - ISO 228/1. Temp. –10ºC +180ºC. DIAMETRO 1"</t>
  </si>
  <si>
    <t>3190 07</t>
  </si>
  <si>
    <t>Válvula de alivio de presión con escape conducido PN 16. Cierre PTFE. Construcción en latón UNE-EN 12165. Muelle en acero galvanizado. Regulación de: 0 - 10 bar (3/8" - 3") y de 5 - 10 bar (4"). Extremos en escuadra rosca gas (BSP) H-H - ISO 228/1. Temp. –10ºC +180ºC. DIAMETRO 1 1/4"</t>
  </si>
  <si>
    <t>3190 08</t>
  </si>
  <si>
    <t>Válvula de alivio de presión con escape conducido PN 16. Cierre PTFE. Construcción en latón UNE-EN 12165. Muelle en acero galvanizado. Regulación de: 0 - 10 bar (3/8" - 3") y de 5 - 10 bar (4"). Extremos en escuadra rosca gas (BSP) H-H - ISO 228/1. Temp. –10ºC +180ºC. DIAMETRO 1 1/2"</t>
  </si>
  <si>
    <t>3190 09</t>
  </si>
  <si>
    <t>Válvula de alivio de presión con escape conducido PN 16. Cierre PTFE. Construcción en latón UNE-EN 12165. Muelle en acero galvanizado. Regulación de: 0 - 10 bar (3/8" - 3") y de 5 - 10 bar (4"). Extremos en escuadra rosca gas (BSP) H-H - ISO 228/1. Temp. –10ºC +180ºC. DIAMETRO 2"</t>
  </si>
  <si>
    <t>3190 10</t>
  </si>
  <si>
    <t>Válvula de alivio de presión con escape conducido PN 16. Cierre PTFE. Construcción en latón UNE-EN 12165. Muelle en acero galvanizado. Regulación de: 0 - 10 bar (3/8" - 3") y de 5 - 10 bar (4"). Extremos en escuadra rosca gas (BSP) H-H - ISO 228/1. Temp. –10ºC +180ºC. DIAMETRO 2 1/2"</t>
  </si>
  <si>
    <t>3190 11</t>
  </si>
  <si>
    <t>Válvula de alivio de presión con escape conducido PN 16. Cierre PTFE. Construcción en latón UNE-EN 12165. Muelle en acero galvanizado. Regulación de: 0 - 10 bar (3/8" - 3") y de 5 - 10 bar (4"). Extremos en escuadra rosca gas (BSP) H-H - ISO 228/1. Temp. –10ºC +180ºC. DIAMETRO 3"</t>
  </si>
  <si>
    <t>3190 12</t>
  </si>
  <si>
    <t>Válvula de alivio de presión con escape conducido PN 16. Cierre PTFE. Construcción en latón UNE-EN 12165. Muelle en acero galvanizado. Regulación de: 0 - 10 bar (3/8" - 3") y de 5 - 10 bar (4"). Extremos en escuadra rosca gas (BSP) H-H - ISO 228/1. Temp. –10ºC +180ºC. DIAMETRO 4"</t>
  </si>
  <si>
    <t>3193 04</t>
  </si>
  <si>
    <t>VALV.DE SEGURIDAD Y RETENCION DIAMETRO 1/2"</t>
  </si>
  <si>
    <t>3194 05</t>
  </si>
  <si>
    <t>VALV.DE ALIVIO DE PRESION 8bar DIAMETRO 3/4"</t>
  </si>
  <si>
    <t>3211 04</t>
  </si>
  <si>
    <t>CONEX.ACOP.RAP.MACHO CROMADO DIAMETRO 1/2"</t>
  </si>
  <si>
    <t>3211 05</t>
  </si>
  <si>
    <t>CONEX.ACOP.RAP.MACHO CROMADO DIAMETRO 3/4"</t>
  </si>
  <si>
    <t>3215 04</t>
  </si>
  <si>
    <t>CONEX.ACOP.RAP.HEMBRA MANGUERA DIAMETRO 1/2"</t>
  </si>
  <si>
    <t>3215 05</t>
  </si>
  <si>
    <t>CONEX.ACOP.RAP.HEMBRA MANGUERA DIAMETRO 3/4"</t>
  </si>
  <si>
    <t>3220 04</t>
  </si>
  <si>
    <t>Válvula de compuerta latón PN 16. Paso estándard. Construcción en latón UNE-EN 12165. Temp. máx. 110ºC. Extremos rosca gas (BSP) H-H - ISO 228/1. DIAMETRO 1/2"</t>
  </si>
  <si>
    <t>3220 05</t>
  </si>
  <si>
    <t>Válvula de compuerta latón PN 16. Paso estándard. Construcción en latón UNE-EN 12165. Temp. máx. 110ºC. Extremos rosca gas (BSP) H-H - ISO 228/1. DIAMETRO 3/4"</t>
  </si>
  <si>
    <t>3220 06</t>
  </si>
  <si>
    <t>Válvula de compuerta latón PN 16. Paso estándard. Construcción en latón UNE-EN 12165. Temp. máx. 110ºC. Extremos rosca gas (BSP) H-H - ISO 228/1. DIAMETRO 1"</t>
  </si>
  <si>
    <t>3220 07</t>
  </si>
  <si>
    <t>Válvula de compuerta latón PN 16. Paso estándard. Construcción en latón UNE-EN 12165. Temp. máx. 110ºC. Extremos rosca gas (BSP) H-H - ISO 228/1. DIAMETRO 1 1/4"</t>
  </si>
  <si>
    <t>3220 08</t>
  </si>
  <si>
    <t>Válvula de compuerta latón PN 16. Paso estándard. Construcción en latón UNE-EN 12165. Temp. máx. 110ºC. Extremos rosca gas (BSP) H-H - ISO 228/1. DIAMETRO 1 1/2"</t>
  </si>
  <si>
    <t>3220 09</t>
  </si>
  <si>
    <t>Válvula de compuerta latón PN 16. Paso estándard. Construcción en latón UNE-EN 12165. Temp. máx. 110ºC. Extremos rosca gas (BSP) H-H - ISO 228/1. DIAMETRO 2"</t>
  </si>
  <si>
    <t>3220 10</t>
  </si>
  <si>
    <t>Válvula de compuerta latón PN 16. Paso estándard. Construcción en latón UNE-EN 12165. Temp. máx. 110ºC. Extremos rosca gas (BSP) H-H - ISO 228/1. DIAMETRO 2 1/2"</t>
  </si>
  <si>
    <t>3220 11</t>
  </si>
  <si>
    <t>Válvula de compuerta latón PN 16. Paso estándard. Construcción en latón UNE-EN 12165. Temp. máx. 110ºC. Extremos rosca gas (BSP) H-H - ISO 228/1. DIAMETRO 3"</t>
  </si>
  <si>
    <t>3220 12</t>
  </si>
  <si>
    <t>Válvula de compuerta latón PN 16. Paso estándard. Construcción en latón UNE-EN 12165. Temp. máx. 110ºC. Extremos rosca gas (BSP) H-H - ISO 228/1. DIAMETRO 4"</t>
  </si>
  <si>
    <t>CONTROL AUT.BOMBA C/MANOMETRO DIAMETRO 220VAC/50HZ(1,5 BAR)</t>
  </si>
  <si>
    <t>CONTROL AUT.BOMBA Ø 1" DIAMETRO 220VAC/50HZ</t>
  </si>
  <si>
    <t>3272E 04</t>
  </si>
  <si>
    <t>Válvula de esfera 3 vías para montaje actuador tipo "L" PN 25. Paso total. Construcción en latón niquelado UNE-EN 12165. Asientos PTFE. Extremos rosca gas (BSP) H ISO 228/1. Obturador esférico en 2/3 vías en forma "L". Juntas tóricas EPDM. Temp. máx. 150ºC. Mando manual por palanca. Conexión a actuador s/ ISO 5211. DIAMETRO 1/2"</t>
  </si>
  <si>
    <t>3272E 05</t>
  </si>
  <si>
    <t>Válvula de esfera 3 vías para montaje actuador tipo "L" PN 25. Paso total. Construcción en latón niquelado UNE-EN 12165. Asientos PTFE. Extremos rosca gas (BSP) H ISO 228/1. Obturador esférico en 2/3 vías en forma "L". Juntas tóricas EPDM. Temp. máx. 150ºC. Mando manual por palanca. Conexión a actuador s/ ISO 5211. DIAMETRO 3/4"</t>
  </si>
  <si>
    <t>3272E 06</t>
  </si>
  <si>
    <t>Válvula de esfera 3 vías para montaje actuador tipo "L" PN 25. Paso total. Construcción en latón niquelado UNE-EN 12165. Asientos PTFE. Extremos rosca gas (BSP) H ISO 228/1. Obturador esférico en 2/3 vías en forma "L". Juntas tóricas EPDM. Temp. máx. 150ºC. Mando manual por palanca. Conexión a actuador s/ ISO 5211. DIAMETRO 1"</t>
  </si>
  <si>
    <t>3282E 04</t>
  </si>
  <si>
    <t>Válvula de esfera 3 vías para montaje actuador tipo "T" PN 25. Paso total. Construcción en latón niquelado UNE-EN 12165. Asientos PTFE. Extremos rosca gas (BSP) H ISO 228/1. Obturador esférico en 2/3 vías en forma "T". Juntas tóricas EPDM. Temp. máx. 150ºC. Mando manual por palanca. Conexión a actuador s/ ISO 5211. DIAMETRO 1/2"</t>
  </si>
  <si>
    <t>3282E 05</t>
  </si>
  <si>
    <t>Válvula de esfera 3 vías para montaje actuador tipo "T" PN 25. Paso total. Construcción en latón niquelado UNE-EN 12165. Asientos PTFE. Extremos rosca gas (BSP) H ISO 228/1. Obturador esférico en 2/3 vías en forma "T". Juntas tóricas EPDM. Temp. máx. 150ºC. Mando manual por palanca. Conexión a actuador s/ ISO 5211. DIAMETRO 3/4"</t>
  </si>
  <si>
    <t>3282E 06</t>
  </si>
  <si>
    <t>Válvula de esfera 3 vías para montaje actuador tipo "T" PN 25. Paso total. Construcción en latón niquelado UNE-EN 12165. Asientos PTFE. Extremos rosca gas (BSP) H ISO 228/1. Obturador esférico en 2/3 vías en forma "T". Juntas tóricas EPDM. Temp. máx. 150ºC. Mando manual por palanca. Conexión a actuador s/ ISO 5211. DIAMETRO 1"</t>
  </si>
  <si>
    <t>3302 04</t>
  </si>
  <si>
    <t>Filtro colador tipo “Y” latón. PN 16. Cuerpo latón UNE-EN 12165. Tamiz: inox. AISI 304. Junta tapa: NBR. Temp. máx. 100ºC. Extremos rosca gas (BSP). DIAMETRO 1/2"</t>
  </si>
  <si>
    <t>3302 05</t>
  </si>
  <si>
    <t>Filtro colador tipo “Y” latón. PN 16. Cuerpo latón UNE-EN 12165. Tamiz: inox. AISI 304. Junta tapa: NBR. Temp. máx. 100ºC. Extremos rosca gas (BSP). DIAMETRO 3/4"</t>
  </si>
  <si>
    <t>3302 06</t>
  </si>
  <si>
    <t>Filtro colador tipo “Y” latón. PN 16. Cuerpo latón UNE-EN 12165. Tamiz: inox. AISI 304. Junta tapa: NBR. Temp. máx. 100ºC. Extremos rosca gas (BSP). DIAMETRO 1"</t>
  </si>
  <si>
    <t>3302 07</t>
  </si>
  <si>
    <t>Filtro colador tipo “Y” latón. PN 16. Cuerpo latón UNE-EN 12165. Tamiz: inox. AISI 304. Junta tapa: NBR. Temp. máx. 100ºC. Extremos rosca gas (BSP). DIAMETRO 1 1/4"</t>
  </si>
  <si>
    <t>3302 08</t>
  </si>
  <si>
    <t>Filtro colador tipo “Y” latón. PN 16. Cuerpo latón UNE-EN 12165. Tamiz: inox. AISI 304. Junta tapa: NBR. Temp. máx. 100ºC. Extremos rosca gas (BSP). DIAMETRO 1 1/2"</t>
  </si>
  <si>
    <t>3302 09</t>
  </si>
  <si>
    <t>Filtro colador tipo “Y” latón. PN 16. Cuerpo latón UNE-EN 12165. Tamiz: inox. AISI 304. Junta tapa: NBR. Temp. máx. 100ºC. Extremos rosca gas (BSP). DIAMETRO 2"</t>
  </si>
  <si>
    <t>3302 10</t>
  </si>
  <si>
    <t>Filtro colador tipo “Y” latón. PN 16. Cuerpo latón UNE-EN 12165. Tamiz: inox. AISI 304. Junta tapa: NBR. Temp. máx. 100ºC. Extremos rosca gas (BSP). DIAMETRO 2.1/2"</t>
  </si>
  <si>
    <t>3302 11</t>
  </si>
  <si>
    <t>Filtro colador tipo “Y” latón. PN 16. Cuerpo latón UNE-EN 12165. Tamiz: inox. AISI 304. Junta tapa: NBR. Temp. máx. 100ºC. Extremos rosca gas (BSP). DIAMETRO 3"</t>
  </si>
  <si>
    <t>3302 12</t>
  </si>
  <si>
    <t>Filtro colador tipo “Y” latón. PN 16. Cuerpo latón UNE-EN 12165. Tamiz: inox. AISI 304. Junta tapa: NBR. Temp. máx. 100ºC. Extremos rosca gas (BSP). DIAMETRO 4"</t>
  </si>
  <si>
    <t>3310 04</t>
  </si>
  <si>
    <t>FILTRO POLIVALENTE P/AGUA 800u DIAMETRO 1/2"</t>
  </si>
  <si>
    <t>3310 05</t>
  </si>
  <si>
    <t>FILTRO POLIVALENTE P/AGUA 800u DIAMETRO 3/4"</t>
  </si>
  <si>
    <t>3310 06</t>
  </si>
  <si>
    <t>FILTRO POLIVALENTE P/AGUA 800u DIAMETRO 1"</t>
  </si>
  <si>
    <t>3310 07</t>
  </si>
  <si>
    <t>FILTRO POLIVALENTE P/AGUA 800u DIAMETRO 1 1/4"</t>
  </si>
  <si>
    <t>3310 08</t>
  </si>
  <si>
    <t>FILTRO POLIVALENTE P/AGUA 800u DIAMETRO 1 1/2"</t>
  </si>
  <si>
    <t>3310 09</t>
  </si>
  <si>
    <t>FILTRO POLIVALENTE P/AGUA 800u DIAMETRO 2"</t>
  </si>
  <si>
    <t>3311 04</t>
  </si>
  <si>
    <t>FILTRO POLIVALENTE P/G.OIL300u DIAMETRO 1/2"</t>
  </si>
  <si>
    <t>3311 05</t>
  </si>
  <si>
    <t>FILTRO POLIVALENTE P/G.OIL300u DIAMETRO 3/4"</t>
  </si>
  <si>
    <t>3311 06</t>
  </si>
  <si>
    <t>FILTRO POLIVALENTE P/G.OIL300u DIAMETRO 1"</t>
  </si>
  <si>
    <t>3311 07</t>
  </si>
  <si>
    <t>FILTRO POLIVALENTE P/G.OIL300u DIAMETRO 1 1/4"</t>
  </si>
  <si>
    <t>3311 08</t>
  </si>
  <si>
    <t>FILTRO POLIVALENTE P/G.OIL300u DIAMETRO 1 1/2"</t>
  </si>
  <si>
    <t>3311 09</t>
  </si>
  <si>
    <t>FILTRO POLIVALENTE P/G.OIL300u DIAMETRO 2"</t>
  </si>
  <si>
    <t>3312 04</t>
  </si>
  <si>
    <t>FILTRO POLIVALENTE P/GAS 100u DIAMETRO 1/2"</t>
  </si>
  <si>
    <t>3312 05</t>
  </si>
  <si>
    <t>FILTRO POLIVALENTE P/GAS 100u DIAMETRO 3/4"</t>
  </si>
  <si>
    <t>3312 06</t>
  </si>
  <si>
    <t>FILTRO POLIVALENTE P/GAS 100u DIAMETRO 1"</t>
  </si>
  <si>
    <t>3312 07</t>
  </si>
  <si>
    <t>FILTRO POLIVALENTE P/GAS 100u DIAMETRO 1 1/4"</t>
  </si>
  <si>
    <t>3312 08</t>
  </si>
  <si>
    <t>FILTRO POLIVALENTE P/GAS 100u DIAMETRO 1 1/2"</t>
  </si>
  <si>
    <t>3312 09</t>
  </si>
  <si>
    <t>FILTRO POLIVALENTE P/GAS 100u DIAMETRO 2"</t>
  </si>
  <si>
    <t>3318 04</t>
  </si>
  <si>
    <t>Válvula reductora de presión Redux-GE a pistón PN 25. Construcción en latón UNE-EN 12165 niquelado. Cierre acero inox. AISI 303. Muelle en acero zincado EN-10270. Juntas EPDM perox. Extremos rosca gas (BSP) H-H - ISO 228/1. Temp. máx. trabajo 130ºC. DIAMETRO 1/2"</t>
  </si>
  <si>
    <t>3318 05</t>
  </si>
  <si>
    <t>Válvula reductora de presión Redux-GE a pistón PN 25. Construcción en latón UNE-EN 12165 niquelado. Cierre acero inox. AISI 303. Muelle en acero zincado EN-10270. Juntas EPDM perox. Extremos rosca gas (BSP) H-H - ISO 228/1. Temp. máx. trabajo 130ºC. DIAMETRO 3/4"</t>
  </si>
  <si>
    <t>3318 06</t>
  </si>
  <si>
    <t>Válvula reductora de presión Redux-GE a pistón PN 25. Construcción en latón UNE-EN 12165 niquelado. Cierre acero inox. AISI 303. Muelle en acero zincado EN-10270. Juntas EPDM perox. Extremos rosca gas (BSP) H-H - ISO 228/1. Temp. máx. trabajo 130ºC. DIAMETRO 1"</t>
  </si>
  <si>
    <t>3318 07</t>
  </si>
  <si>
    <t>Válvula reductora de presión Redux-GE a pistón PN 25. Construcción en latón UNE-EN 12165 niquelado. Cierre acero inox. AISI 303. Muelle en acero zincado EN-10270. Juntas EPDM perox. Extremos rosca gas (BSP) H-H - ISO 228/1. Temp. máx. trabajo 130ºC. DIAMETRO 1 1/4"</t>
  </si>
  <si>
    <t>3318 08</t>
  </si>
  <si>
    <t>Válvula reductora de presión Redux-GE a pistón PN 25. Construcción en latón UNE-EN 12165 niquelado. Cierre acero inox. AISI 303. Muelle en acero zincado EN-10270. Juntas EPDM perox. Extremos rosca gas (BSP) H-H - ISO 228/1. Temp. máx. trabajo 130ºC. DIAMETRO 1 1/2"</t>
  </si>
  <si>
    <t>3318 09</t>
  </si>
  <si>
    <t>Válvula reductora de presión Redux-GE a pistón PN 25. Construcción en latón UNE-EN 12165 niquelado. Cierre acero inox. AISI 303. Muelle en acero zincado EN-10270. Juntas EPDM perox. Extremos rosca gas (BSP) H-H - ISO 228/1. Temp. máx. trabajo 130ºC. DIAMETRO 2"</t>
  </si>
  <si>
    <t>3318 10</t>
  </si>
  <si>
    <t>Válvula reductora de presión Redux-GE a pistón PN 25. Construcción en latón UNE-EN 12165 niquelado. Cierre acero inox. AISI 303. Muelle en acero zincado EN-10270. Juntas EPDM perox. Extremos rosca gas (BSP) H-H - ISO 228/1. Temp. máx. trabajo 130ºC. DIAMETRO 2 1/2"</t>
  </si>
  <si>
    <t>3318 11</t>
  </si>
  <si>
    <t>Válvula reductora de presión Redux-GE a pistón PN 25. Construcción en latón UNE-EN 12165 niquelado. Cierre acero inox. AISI 303. Muelle en acero zincado EN-10270. Juntas EPDM perox. Extremos rosca gas (BSP) H-H - ISO 228/1. Temp. máx. trabajo 130ºC. DIAMETRO 3"</t>
  </si>
  <si>
    <t>3318 12</t>
  </si>
  <si>
    <t>Válvula reductora de presión Redux-GE a pistón PN 25. Construcción en latón UNE-EN 12165 niquelado. Cierre acero inox. AISI 303. Muelle en acero zincado EN-10270. Juntas EPDM perox. Extremos rosca gas (BSP) H-H - ISO 228/1. Temp. máx. trabajo 130ºC. DIAMETRO 4"</t>
  </si>
  <si>
    <t>3772 06</t>
  </si>
  <si>
    <t>RACORD 5 VÍAS CORTO DE LATÓN DIAMETRO 1"</t>
  </si>
  <si>
    <t>3773 06</t>
  </si>
  <si>
    <t>RACORD 5 VÍAS LARGO DE LATÓN DIAMETRO 1"</t>
  </si>
  <si>
    <t>3780 02</t>
  </si>
  <si>
    <t>PRESÓSTATO PRESIÓN 4 KGS DIAMETRO 1/4"</t>
  </si>
  <si>
    <t>3781 02</t>
  </si>
  <si>
    <t>PRESÓSTATO PRESIÓN 10 KGS DIAMETRO 1/4"</t>
  </si>
  <si>
    <t>INTERRUPTOR DE NIVEL VERTICAL DIAMETRO MARCA GENEBRE</t>
  </si>
  <si>
    <t xml:space="preserve">3883 </t>
  </si>
  <si>
    <t>INTERRUPTOR NIVEL HORIZ. 300MM DIAMETRO CONMUTABLE</t>
  </si>
  <si>
    <t>3886 04</t>
  </si>
  <si>
    <t>Válvula de flotador sin boya. Construcción en acero inoxidable AISI 304. Conexión rosca gas. Paso total. Cierre de silicona progresivo. Presión de trabajo máxima 10 BAR. Máx. temp. trabajo 150º. DIAMETRO 1/2"</t>
  </si>
  <si>
    <t>3886 05</t>
  </si>
  <si>
    <t>Válvula de flotador sin boya. Construcción en acero inoxidable AISI 304. Conexión rosca gas. Paso total. Cierre de silicona progresivo. Presión de trabajo máxima 10 BAR. Máx. temp. trabajo 150º. DIAMETRO 3/4"</t>
  </si>
  <si>
    <t>3886 06</t>
  </si>
  <si>
    <t>Válvula de flotador sin boya. Construcción en acero inoxidable AISI 304. Conexión rosca gas. Paso total. Cierre de silicona progresivo. Presión de trabajo máxima 10 BAR. Máx. temp. trabajo 150º. DIAMETRO 1"</t>
  </si>
  <si>
    <t>3886 07</t>
  </si>
  <si>
    <t>Válvula de flotador sin boya. Construcción en acero inoxidable AISI 304. Conexión rosca gas. Paso total. Cierre de silicona progresivo. Presión de trabajo máxima 10 BAR. Máx. temp. trabajo 150º. DIAMETRO 1 1/4"</t>
  </si>
  <si>
    <t>3887 110</t>
  </si>
  <si>
    <t>BOYA ACERO INOX 304 P/ART.3886 DIAMETRO 110 mm.</t>
  </si>
  <si>
    <t>3887 160</t>
  </si>
  <si>
    <t>BOYA ACERO INOX 304 P/ART.3886 DIAMETRO 160 mm.</t>
  </si>
  <si>
    <t>3950 00</t>
  </si>
  <si>
    <t>3950 - Cinta “PTFE” 12 m de longitud 0,075 mm de espesor, 12 mm de ancho 0,35 g/cm3 de densidad. DIAMETRO 0,075x1212</t>
  </si>
  <si>
    <t>3952 00</t>
  </si>
  <si>
    <t>3952 - Cinta “PTFE” 12 m de longitud 0,060 mm de espesor 12 mm de ancho 0,26 g/cm3 de densidad. DIAMETRO 0,060x1212</t>
  </si>
  <si>
    <t>3955 00</t>
  </si>
  <si>
    <t>3955 - Cinta “PTFE” 50 m de longitud 0,1 mm de espesor, 19 mm de ancho 0,54 g/cm3 de densidad. DIAMETRO 0,1x19x50</t>
  </si>
  <si>
    <t>3955 20</t>
  </si>
  <si>
    <t>3955 - Cinta “PTFE” 20 m de longitud 0,1 mm de espesor, 19 mm de ancho 0,54 g/cm3 de densidad. DIAMETRO 0,1x19x20</t>
  </si>
  <si>
    <t>6040 04</t>
  </si>
  <si>
    <t>RACOR LATON 2 PIEZAS DIAMETRO 1/2"x3/4"</t>
  </si>
  <si>
    <t>6040 05</t>
  </si>
  <si>
    <t>RACOR LATON 2 PIEZAS DIAMETRO 3/4"x1"</t>
  </si>
  <si>
    <t>FT00</t>
  </si>
  <si>
    <t xml:space="preserve">KIT FILTRO DECLORADOR  DIAMETRO </t>
  </si>
  <si>
    <t>FT92</t>
  </si>
  <si>
    <t>REP. P/KIT FILTRO DECLORADOR  DIAMETRO PARA REF. FT 00</t>
  </si>
  <si>
    <t>KIT PROLONGADOR P/VALV.EMPOTRA DIAMETRO GENEBRE</t>
  </si>
  <si>
    <t>MANDO OCULTO C/ FLORON P/3056 DIAMETRO GENEBRE</t>
  </si>
  <si>
    <t>MANETA C/ FLORON NEW MAGA DIAMETRO GENEBRE</t>
  </si>
  <si>
    <t>MANETA C/ FLORON NEW GORA DIAMETRO GENEBRE</t>
  </si>
  <si>
    <t>R360 04</t>
  </si>
  <si>
    <t>PICO CONEX.CANILLA P/MANGUERA DIAMETRO 1/2"</t>
  </si>
  <si>
    <t>R360 05</t>
  </si>
  <si>
    <t>PICO CONEX.CANILLA P/MANGUERA DIAMETRO 3/4"</t>
  </si>
  <si>
    <t>R360 06</t>
  </si>
  <si>
    <t>PICO CONEX.CANILLA P/MANGUERA DIAMETRO 1"</t>
  </si>
  <si>
    <t>5090 02</t>
  </si>
  <si>
    <t>VALV.ESF.BCE P.TOTAL"IDEAL" HH DIAMETRO 1/4"</t>
  </si>
  <si>
    <t>5090 03</t>
  </si>
  <si>
    <t>VALV.ESF.BCE P.TOTAL"IDEAL" HH DIAMETRO 3/8"</t>
  </si>
  <si>
    <t>5090 10</t>
  </si>
  <si>
    <t>VALV.ESF.BCE P.TOTAL"IDEAL" HH DIAMETRO 2 1/2"</t>
  </si>
  <si>
    <t>5090 11</t>
  </si>
  <si>
    <t>VALV.ESF.BCE P.TOTAL"IDEAL" HH DIAMETRO 3"</t>
  </si>
  <si>
    <t>5090 12</t>
  </si>
  <si>
    <t>VALV.ESF.BCE P.TOTAL"IDEAL" HH DIAMETRO 4"</t>
  </si>
  <si>
    <t>5100 04</t>
  </si>
  <si>
    <t>Válvula de retención “Europa” PN 25 - PN 18 - PN 12. Construcción en latón UNE-EN 12165. Cierre en NBR (goma) 65 sh. Muelle en acero inox. AISI 302. Extremos rosca gas (BSP) H-H - ISO 228/1. Temp. máx. 100ºC. Montaje en cualquier posición. DIAMETRO 1/2"</t>
  </si>
  <si>
    <t>5100 05</t>
  </si>
  <si>
    <t>Válvula de retención “Europa” PN 25 - PN 18 - PN 12. Construcción en latón UNE-EN 12165. Cierre en NBR (goma) 65 sh. Muelle en acero inox. AISI 302. Extremos rosca gas (BSP) H-H - ISO 228/1. Temp. máx. 100ºC. Montaje en cualquier posición. DIAMETRO 3/4"</t>
  </si>
  <si>
    <t>5100 06</t>
  </si>
  <si>
    <t>Válvula de retención “Europa” PN 25 - PN 18 - PN 12. Construcción en latón UNE-EN 12165. Cierre en NBR (goma) 65 sh. Muelle en acero inox. AISI 302. Extremos rosca gas (BSP) H-H - ISO 228/1. Temp. máx. 100ºC. Montaje en cualquier posición. DIAMETRO 1"</t>
  </si>
  <si>
    <t>5100 07</t>
  </si>
  <si>
    <t>Válvula de retención “Europa” PN 25 - PN 18 - PN 12. Construcción en latón UNE-EN 12165. Cierre en NBR (goma) 65 sh. Muelle en acero inox. AISI 302. Extremos rosca gas (BSP) H-H - ISO 228/1. Temp. máx. 100ºC. Montaje en cualquier posición. DIAMETRO 1 1/4"</t>
  </si>
  <si>
    <t>5100 08</t>
  </si>
  <si>
    <t>Válvula de retención “Europa” PN 25 - PN 18 - PN 12. Construcción en latón UNE-EN 12165. Cierre en NBR (goma) 65 sh. Muelle en acero inox. AISI 302. Extremos rosca gas (BSP) H-H - ISO 228/1. Temp. máx. 100ºC. Montaje en cualquier posición. DIAMETRO 1 1/2"</t>
  </si>
  <si>
    <t>5100 09</t>
  </si>
  <si>
    <t>Válvula de retención “Europa” PN 25 - PN 18 - PN 12. Construcción en latón UNE-EN 12165. Cierre en NBR (goma) 65 sh. Muelle en acero inox. AISI 302. Extremos rosca gas (BSP) H-H - ISO 228/1. Temp. máx. 100ºC. Montaje en cualquier posición. DIAMETRO 2"</t>
  </si>
  <si>
    <t>5100 10</t>
  </si>
  <si>
    <t>Válvula de retención “Europa” PN 25 - PN 18 - PN 12. Construcción en latón UNE-EN 12165. Cierre en NBR (goma) 65 sh. Muelle en acero inox. AISI 302. Extremos rosca gas (BSP) H-H - ISO 228/1. Temp. máx. 100ºC. Montaje en cualquier posición. DIAMETRO 2 1/2"</t>
  </si>
  <si>
    <t>5100 11</t>
  </si>
  <si>
    <t>Válvula de retención “Europa” PN 25 - PN 18 - PN 12. Construcción en latón UNE-EN 12165. Cierre en NBR (goma) 65 sh. Muelle en acero inox. AISI 302. Extremos rosca gas (BSP) H-H - ISO 228/1. Temp. máx. 100ºC. Montaje en cualquier posición. DIAMETRO 3"</t>
  </si>
  <si>
    <t>5100 12</t>
  </si>
  <si>
    <t>Válvula de retención “Europa” PN 25 - PN 18 - PN 12. Construcción en latón UNE-EN 12165. Cierre en NBR (goma) 65 sh. Muelle en acero inox. AISI 302. Extremos rosca gas (BSP) H-H - ISO 228/1. Temp. máx. 100ºC. Montaje en cualquier posición. DIAMETRO 4"</t>
  </si>
  <si>
    <t>5103 04</t>
  </si>
  <si>
    <t>Válvula de retención “York” PN 12 - PN 10 - PN 8. Construcción en latón UNE-EN 12165. Obturador de disco en poliamida 6. Cierre en NBR (goma) 65 sh. Muelle en acero inox. AISI 302. Extremos rosca gas (BSP) H-H - ISO 228/1. Temp. máx. 100ºC. Montaje en cualquier posición. DIAMETRO 1/2"</t>
  </si>
  <si>
    <t>5103 05</t>
  </si>
  <si>
    <t>Válvula de retención “York” PN 12 - PN 10 - PN 8. Construcción en latón UNE-EN 12165. Obturador de disco en poliamida 6. Cierre en NBR (goma) 65 sh. Muelle en acero inox. AISI 302. Extremos rosca gas (BSP) H-H - ISO 228/1. Temp. máx. 100ºC. Montaje en cualquier posición. DIAMETRO 3/4"</t>
  </si>
  <si>
    <t>5103 06</t>
  </si>
  <si>
    <t>Válvula de retención “York” PN 12 - PN 10 - PN 8. Construcción en latón UNE-EN 12165. Obturador de disco en poliamida 6. Cierre en NBR (goma) 65 sh. Muelle en acero inox. AISI 302. Extremos rosca gas (BSP) H-H - ISO 228/1. Temp. máx. 100ºC. Montaje en cualquier posición. DIAMETRO 1"</t>
  </si>
  <si>
    <t>5103 07</t>
  </si>
  <si>
    <t>Válvula de retención “York” PN 12 - PN 10 - PN 8. Construcción en latón UNE-EN 12165. Obturador de disco en poliamida 6. Cierre en NBR (goma) 65 sh. Muelle en acero inox. AISI 302. Extremos rosca gas (BSP) H-H - ISO 228/1. Temp. máx. 100ºC. Montaje en cualquier posición. DIAMETRO 1 1/4"</t>
  </si>
  <si>
    <t>5103 08</t>
  </si>
  <si>
    <t>5103 09</t>
  </si>
  <si>
    <t>Válvula de retención “York” PN 12 - PN 10 - PN 8. Construcción en latón UNE-EN 12165. Obturador de disco en poliamida 6. Cierre en NBR (goma) 65 sh. Muelle en acero inox. AISI 302. Extremos rosca gas (BSP) H-H - ISO 228/1. Temp. máx. 100ºC. Montaje en cualquier posición. DIAMETRO 2"</t>
  </si>
  <si>
    <t>5103 10</t>
  </si>
  <si>
    <t>Válvula de retención “York” PN 12 - PN 10 - PN 8. Construcción en latón UNE-EN 12165. Obturador de disco en poliamida 6. Cierre en NBR (goma) 65 sh. Muelle en acero inox. AISI 302. Extremos rosca gas (BSP) H-H - ISO 228/1. Temp. máx. 100ºC. Montaje en cualquier posición. DIAMETRO 2 1/2"</t>
  </si>
  <si>
    <t>5103 11</t>
  </si>
  <si>
    <t>Válvula de retención “York” PN 12 - PN 10 - PN 8. Construcción en latón UNE-EN 12165. Obturador de disco en poliamida 6. Cierre en NBR (goma) 65 sh. Muelle en acero inox. AISI 302. Extremos rosca gas (BSP) H-H - ISO 228/1. Temp. máx. 100ºC. Montaje en cualquier posición. DIAMETRO 3"</t>
  </si>
  <si>
    <t>5103 12</t>
  </si>
  <si>
    <t>5104 04</t>
  </si>
  <si>
    <t>VÁLVULA DE RETENCIÓN "ROMA" Cuerpo en latón. Extremos Rosca H-H Gas (BSP) ISO 228/1. Obturador y Resorte Acero Inox. Cierre VITON. Temp. Máx. 150ºC "NO APTA PARA VAPOR". 2 salidas para toma de manómetro 1/4" H Gas. Pres. Máx. Ø 1/2" a 1" 25bar Pres. Máx. Ø 1 1/4" a 2" 18bar DIAMETRO 1/2"</t>
  </si>
  <si>
    <t>5104 05</t>
  </si>
  <si>
    <t>VÁLVULA DE RETENCIÓN "ROMA" Cuerpo en latón. Extremos Rosca H-H Gas (BSP) ISO 228/1. Obturador y Resorte Acero Inox. Cierre VITON. Temp. Máx. 150ºC "NO APTA PARA VAPOR". 2 salidas para toma de manómetro 1/4" H Gas. Pres. Máx. Ø 1/2" a 1" 25bar Pres. Máx. Ø 1 1/4" a 2" 18bar DIAMETRO 3/4"</t>
  </si>
  <si>
    <t>5104 06</t>
  </si>
  <si>
    <t>VÁLVULA DE RETENCIÓN "ROMA" Cuerpo en latón. Extremos Rosca H-H Gas (BSP) ISO 228/1. Obturador y Resorte Acero Inox. Cierre VITON. Temp. Máx. 150ºC "NO APTA PARA VAPOR". 2 salidas para toma de manómetro 1/4" H Gas. Pres. Máx. Ø 1/2" a 1" 25bar Pres. Máx. Ø 1 1/4" a 2" 18bar DIAMETRO 1"</t>
  </si>
  <si>
    <t>5104 07</t>
  </si>
  <si>
    <t>VÁLVULA DE RETENCIÓN "ROMA" Cuerpo en latón. Extremos Rosca H-H Gas (BSP) ISO 228/1. Obturador y Resorte Acero Inox. Cierre VITON. Temp. Máx. 150ºC "NO APTA PARA VAPOR". 2 salidas para toma de manómetro 1/4" H Gas. Pres. Máx. Ø 1/2" a 1" 25bar Pres. Máx. Ø 1 1/4" a 2" 18bar DIAMETRO 1.1/4"</t>
  </si>
  <si>
    <t>5104 08</t>
  </si>
  <si>
    <t>5104 09</t>
  </si>
  <si>
    <t>VÁLVULA DE RETENCIÓN "ROMA" Cuerpo en latón. Extremos Rosca H-H Gas (BSP) ISO 228/1. Obturador y Resorte Acero Inox. Cierre VITON. Temp. Máx. 150ºC "NO APTA PARA VAPOR". 2 salidas para toma de manómetro 1/4" H Gas. Pres. Máx. Ø 1/2" a 1" 25bar Pres. Máx. Ø 1 1/4" a 2" 18bar DIAMETRO 2"</t>
  </si>
  <si>
    <t>5116 04</t>
  </si>
  <si>
    <t>VÁLVULA ESFÉRICA Cuerpo en latón CW614N Niquelado Extremos Rosca H-H Gas (BSP) ISO 228/1. Asientos PTFE - Dobre O´ring Viton y NBR. Pres.Máx. Ø 1/2" a 1" 30bar - Ø 1 1/4" a 2" 25bar.  DIAMETRO 1/2"</t>
  </si>
  <si>
    <t>5116 05</t>
  </si>
  <si>
    <t>VÁLVULA ESFÉRICA Cuerpo en latón CW614N Niquelado Extremos Rosca H-H Gas (BSP) ISO 228/1. Asientos PTFE - Dobre O´ring Viton y NBR. Pres.Máx. Ø 1/2" a 1" 30bar - Ø 1 1/4" a 2" 25bar.  DIAMETRO 3/4"</t>
  </si>
  <si>
    <t>5116 06</t>
  </si>
  <si>
    <t>VÁLVULA ESFÉRICA Cuerpo en latón CW614N Niquelado Extremos Rosca H-H Gas (BSP) ISO 228/1. Asientos PTFE - Dobre O´ring Viton y NBR. Pres.Máx. Ø 1/2" a 1" 30bar - Ø 1 1/4" a 2" 25bar.  DIAMETRO 1"</t>
  </si>
  <si>
    <t>5116 07</t>
  </si>
  <si>
    <t>VÁLVULA ESFÉRICA Cuerpo en latón CW614N Niquelado Extremos Rosca H-H Gas (BSP) ISO 228/1. Asientos PTFE - Dobre O´ring Viton y NBR. Pres.Máx. Ø 1/2" a 1" 30bar - Ø 1 1/4" a 2" 25bar.  DIAMETRO 1.1/4"</t>
  </si>
  <si>
    <t>5116 08</t>
  </si>
  <si>
    <t>VÁLVULA ESFÉRICA Cuerpo en latón CW614N Niquelado Extremos Rosca H-H Gas (BSP) ISO 228/1. Asientos PTFE - Dobre O´ring Viton y NBR. Pres.Máx. Ø 1/2" a 1" 30bar - Ø 1 1/4" a 2" 25bar.  DIAMETRO 1.1/2"</t>
  </si>
  <si>
    <t>5116 09</t>
  </si>
  <si>
    <t>VÁLVULA ESFÉRICA Cuerpo en latón CW614N Niquelado Extremos Rosca H-H Gas (BSP) ISO 228/1. Asientos PTFE - Dobre O´ring Viton y NBR. Pres.Máx. Ø 1/2" a 1" 30bar - Ø 1 1/4" a 2" 25bar.  DIAMETRO 2"</t>
  </si>
  <si>
    <t>3180 04</t>
  </si>
  <si>
    <t xml:space="preserve">Válvula de retención clapeta asiento metalico. Construcción en latón según UNE-EN 12165. Extremos roscados gas (BSP) H-H s/ ISO 228/1. Presión máxima de trabajo PN 12 para 1/2", 3/4" y 1". Temperatura de trabajo desde -20ºC a 100ºC. Cierre metal. Montaje en horizontal. DIAMETRO 1/2" </t>
  </si>
  <si>
    <t>3180 05</t>
  </si>
  <si>
    <t xml:space="preserve">Válvula de retención clapeta asiento metalico. Construcción en latón según UNE-EN 12165. Extremos roscados gas (BSP) H-H s/ ISO 228/1. Presión máxima de trabajo PN 12 para 1/2", 3/4" y 1". Temperatura de trabajo desde -20ºC a 100ºC. Cierre metal. Montaje en horizontal. DIAMETRO 3/4" </t>
  </si>
  <si>
    <t>3180 06</t>
  </si>
  <si>
    <t xml:space="preserve">Válvula de retención clapeta asiento metalico. Construcción en latón según UNE-EN 12165. Extremos roscados gas (BSP) H-H s/ ISO 228/1. Presión máxima de trabajo PN 12 para 1/2", 3/4" y 1". Temperatura de trabajo desde -20ºC a 100ºC. Cierre metal. Montaje en horizontal. DIAMETRO 1" </t>
  </si>
  <si>
    <t>3180 07</t>
  </si>
  <si>
    <t xml:space="preserve">Válvula de retención clapeta asiento metalico. Construcción en latón según UNE-EN 12165. Extremos roscados gas (BSP) H-H s/ ISO 228/1. Presión máxima de trabajo PN 10 para 1 1/4" y 1 1/2". Temperatura de trabajo desde -20ºC a 100ºC. Cierre metal. Montaje en horizontal. DIAMETRO 1 1/4" </t>
  </si>
  <si>
    <t>3180 08</t>
  </si>
  <si>
    <t xml:space="preserve">Válvula de retención clapeta asiento metalico. Construcción en latón según UNE-EN 12165. Extremos roscados gas (BSP) H-H s/ ISO 228/1. Presión máxima de trabajo PN 10 para 1 1/4" y 1 1/2". Temperatura de trabajo desde -20ºC a 100ºC. Cierre metal. Montaje en horizontal. DIAMETRO 1 1/2" </t>
  </si>
  <si>
    <t>3180 09</t>
  </si>
  <si>
    <t xml:space="preserve">Válvula de retención clapeta asiento metalico. Construcción en latón según UNE-EN 12165. Extremos roscados gas (BSP) H-H s/ ISO 228/1. Presión máxima de trabajo PN 8 para 2"; 2 1/2"; 3" y 4". Temperatura de trabajo desde -20ºC a 100ºC. Cierre metal. Montaje en horizontal. DIAMETRO 2" </t>
  </si>
  <si>
    <t>3185 10</t>
  </si>
  <si>
    <t xml:space="preserve">Válvula de retención clapeta asiento metalico. Construcción en latón según UNE-EN 12165. Extremos roscados gas (BSP) H-H s/ ISO 228/1. Presión máxima de trabajo PN 8 para 2"; 2 1/2"; 3" y 4". Temperatura de trabajo desde -20ºC a 100ºC. Cierre metal. Montaje en horizontal. DIAMETRO 2 1/2" </t>
  </si>
  <si>
    <t>3185 11</t>
  </si>
  <si>
    <t xml:space="preserve">Válvula de retención clapeta asiento metalico. Construcción en latón según UNE-EN 12165. Extremos roscados gas (BSP) H-H s/ ISO 228/1. Presión máxima de trabajo PN 8 para 2"; 2 1/2"; 3" y 4". Temperatura de trabajo desde -20ºC a 100ºC. Cierre metal. Montaje en horizontal. DIAMETRO 3" </t>
  </si>
  <si>
    <t>3185 12</t>
  </si>
  <si>
    <t xml:space="preserve">Válvula de retención clapeta asiento metalico. Construcción en latón según UNE-EN 12165. Extremos roscados gas (BSP) H-H s/ ISO 228/1. Presión máxima de trabajo PN 8 para 2"; 2 1/2"; 3" y 4". Temperatura de trabajo desde -20ºC a 100ºC. Cierre metal. Montaje en horizontal. DIAMETRO 4" </t>
  </si>
  <si>
    <t>70037 03</t>
  </si>
  <si>
    <t>PURGADOR  AUT.DE AIRE 3/8"</t>
  </si>
  <si>
    <t>70037 04</t>
  </si>
  <si>
    <t>PURGADOR  AUT.DE AIRE 1/2"</t>
  </si>
  <si>
    <t>70037 05</t>
  </si>
  <si>
    <t>PURGADOR  AUT.DE AIRE 3/4"</t>
  </si>
  <si>
    <t>70037 06</t>
  </si>
  <si>
    <t>PURGADOR  AUT.DE AIRE 1"</t>
  </si>
  <si>
    <t>2918 04</t>
  </si>
  <si>
    <t>Válvula de esfera para barril PN 16. Paso red. Construcción en acero inox - AISI 316. Asientos PTFE. Entrada rosca gas (BSP) macho según ISO 228/1. Temp. max. 110ºC. Accionamiento mediante palomilla de acero inoxidable. Diámetro 1/2".</t>
  </si>
  <si>
    <t>2918 05</t>
  </si>
  <si>
    <t>Válvula de esfera para barril PN 16. Paso red. Construcción en acero inox - AISI 316. Asientos PTFE. Entrada rosca gas (BSP) macho según ISO 228/1. Temp. max. 110ºC. Accionamiento mediante palomilla de acero inoxidable. Diámetro 3/4".</t>
  </si>
  <si>
    <t>2919 04</t>
  </si>
  <si>
    <t>Válvula de esfera para barril PN 16. Paso red. Construcción en acero inox - AISI 316. Entrada rosca cónica macho. Temp. máx. 110ºC. Accionamiento mediante palomilla de acero inoxidable. Diámetro 1/2".</t>
  </si>
  <si>
    <t>2933 04</t>
  </si>
  <si>
    <t>Válvula esfera 3 piezas extremos clamp. Const. acero inox. CF8M (316) microfusión. Asientos integrales y juntas eje: PTFE PN-25 (400 wog). Temp. -25ºC +180ºC. Mando manual por palanca con bloqueo de seguridad. Montaje directo S/ISO 5211. Diámetro 1/2".</t>
  </si>
  <si>
    <t>2933 05</t>
  </si>
  <si>
    <t>Válvula esfera 3 piezas extremos clamp. Const. acero inox. CF8M (316) microfusión. Asientos integrales y juntas eje: PTFE PN-25 (400 wog). Temp. -25ºC +180ºC. Mando manual por palanca con bloqueo de seguridad. Montaje directo S/ISO 5211. Diámetro 3/4".</t>
  </si>
  <si>
    <t>2933 06</t>
  </si>
  <si>
    <t>Válvula esfera 3 piezas extremos clamp. Const. acero inox. CF8M (316) microfusión. Asientos integrales y juntas eje: PTFE PN-25 (400 wog). Temp. -25ºC +180ºC. Mando manual por palanca con bloqueo de seguridad. Montaje directo S/ISO 5211. Diámetro 1".</t>
  </si>
  <si>
    <t>2933 08</t>
  </si>
  <si>
    <t>Válvula esfera 3 piezas extremos clamp. Const. acero inox. CF8M (316) microfusión. Asientos integrales y juntas eje: PTFE PN-25 (400 wog). Temp. -25ºC +180ºC. Mando manual por palanca con bloqueo de seguridad. Montaje directo S/ISO 5211. Diámetro 1 1/2".</t>
  </si>
  <si>
    <t>2933 09</t>
  </si>
  <si>
    <t>Válvula esfera 3 piezas extremos clamp. Const. acero inox. CF8M (316) microfusión. Asientos integrales y juntas eje: PTFE PN-25 (400 wog). Temp. -25ºC +180ºC. Mando manual por palanca con bloqueo de seguridad. Montaje directo S/ISO 5211. Diámetro 2".</t>
  </si>
  <si>
    <t>2933 10</t>
  </si>
  <si>
    <t>Válvula esfera 3 piezas extremos clamp. Const. acero inox. CF8M (316) microfusión. Asientos integrales y juntas eje: PTFE PN-25 (400 wog). Temp. -25ºC +180ºC. Mando manual por palanca con bloqueo de seguridad. Montaje directo S/ISO 5211. Diámetro 2 1/2".</t>
  </si>
  <si>
    <t>2933 11</t>
  </si>
  <si>
    <t>Válvula esfera 3 piezas extremos clamp. Const. acero inox. CF8M (316) microfusión. Asientos integrales y juntas eje: PTFE PN-25 (400 wog). Temp. -25ºC +180ºC. Mando manual por palanca con bloqueo de seguridad. Montaje directo S/ISO 5211. Diámetro 3".</t>
  </si>
  <si>
    <t>2933 12</t>
  </si>
  <si>
    <t>Válvula esfera 3 piezas extremos clamp. Const. acero inox. CF8M (316) microfusión. Asientos integrales y juntas eje: PTFE PN-25 (400 wog). Temp. -25ºC +180ºC. Mando manual por palanca con bloqueo de seguridad. Montaje directo S/ISO 5211. Diámetro 4".</t>
  </si>
  <si>
    <t>2934 06</t>
  </si>
  <si>
    <t>Válvula retención extremos clamp. Cuerpo: acero inox AISI 316L. Cierre EPDM - junta silicona. Extremos clamp en pulgadas. Pulido sanitario. Presión máx. de trabajo: 10 bar. Temp. máx. 120ºC. Diámetro 1".</t>
  </si>
  <si>
    <t>2934 08</t>
  </si>
  <si>
    <t>Válvula retención extremos clamp. Cuerpo: acero inox AISI 316L. Cierre EPDM - junta silicona. Extremos clamp en pulgadas. Pulido sanitario. Presión máx. de trabajo: 10 bar. Temp. máx. 120ºC. Diámetro 1 1/2".</t>
  </si>
  <si>
    <t>2934 09</t>
  </si>
  <si>
    <t>Válvula retención extremos clamp. Cuerpo: acero inox AISI 316L. Cierre EPDM - junta silicona. Extremos clamp en pulgadas. Pulido sanitario. Presión máx. de trabajo: 10 bar. Temp. máx. 120ºC. Diámetro 2".</t>
  </si>
  <si>
    <t>2934 10</t>
  </si>
  <si>
    <t>Válvula retención extremos clamp. Cuerpo: acero inox AISI 316L. Cierre EPDM - junta silicona. Extremos clamp en pulgadas. Pulido sanitario. Presión máx. de trabajo: 10 bar. Temp. máx. 120ºC. Diámetro 2 1/2".</t>
  </si>
  <si>
    <t>2934 11</t>
  </si>
  <si>
    <t>Válvula retención extremos clamp. Cuerpo: acero inox AISI 316L. Cierre EPDM - junta silicona. Extremos clamp en pulgadas. Pulido sanitario. Presión máx. de trabajo: 10 bar. Temp. máx. 120ºC. Diámetro 3".</t>
  </si>
  <si>
    <t>2934 12</t>
  </si>
  <si>
    <t>Válvula retención extremos clamp. Cuerpo: acero inox AISI 316L. Cierre EPDM - junta silicona. Extremos clamp en pulgadas. Pulido sanitario. Presión máx. de trabajo: 10 bar. Temp. máx. 120ºC. Diámetro 4".</t>
  </si>
  <si>
    <t>2935 06</t>
  </si>
  <si>
    <t>Válvula retención extremos soldar. Cuerpo: acero inox AISI 304. Cierre EPDM - junta silicona. Extremos soldar. Pulido sanitario. Presión máx. de trabajo: 10 bar. Temp. máx. 120ºC. Diámetro 1".</t>
  </si>
  <si>
    <t>2935 08</t>
  </si>
  <si>
    <t>Válvula retención extremos soldar. Cuerpo: acero inox AISI 304. Cierre EPDM - junta silicona. Extremos soldar. Pulido sanitario. Presión máx. de trabajo: 10 bar. Temp. máx. 120ºC. Diámetro 1 1/2".</t>
  </si>
  <si>
    <t>2935 09</t>
  </si>
  <si>
    <t>Válvula retención extremos soldar. Cuerpo: acero inox AISI 304. Cierre EPDM - junta silicona. Extremos soldar. Pulido sanitario. Presión máx. de trabajo: 10 bar. Temp. máx. 120ºC. Diámetro 2".</t>
  </si>
  <si>
    <t>2935 10</t>
  </si>
  <si>
    <t>Válvula retención extremos soldar. Cuerpo: acero inox AISI 304. Cierre EPDM - junta silicona. Extremos soldar. Pulido sanitario. Presión máx. de trabajo: 10 bar. Temp. máx. 120ºC. Diámetro 2 1/2".</t>
  </si>
  <si>
    <t>2935 11</t>
  </si>
  <si>
    <t>Válvula retención extremos soldar. Cuerpo: acero inox AISI 304. Cierre EPDM - junta silicona. Extremos soldar. Pulido sanitario. Presión máx. de trabajo: 10 bar. Temp. máx. 120ºC. Diámetro 3".</t>
  </si>
  <si>
    <t>2935 12</t>
  </si>
  <si>
    <t>Válvula retención extremos soldar. Cuerpo: acero inox AISI 304. Cierre EPDM - junta silicona. Extremos soldar. Pulido sanitario. Presión máx. de trabajo: 10 bar. Temp. máx. 120ºC. Diámetro 4".</t>
  </si>
  <si>
    <t>2940 06</t>
  </si>
  <si>
    <t>Válvula mariposa extremos clamp. Cuerpo acero inoxidable AISI 316L. Elastómero EPDM. Extremos clamp en pulgadas. Pulido sanitario. Presión máx. de trabajo: 10 bar. Temp. máx.: 120ºC. Accionamiento manual. Diámetro 1".</t>
  </si>
  <si>
    <t>2940 08</t>
  </si>
  <si>
    <t>Válvula mariposa extremos clamp. Cuerpo acero inoxidable AISI 316L. Elastómero EPDM. Extremos clamp en pulgadas. Pulido sanitario. Presión máx. de trabajo: 10 bar. Temp. máx.: 120ºC. Accionamiento manual. Diámetro 1 1/2".</t>
  </si>
  <si>
    <t>2940 09</t>
  </si>
  <si>
    <t>Válvula mariposa extremos clamp. Cuerpo acero inoxidable AISI 316L. Elastómero EPDM. Extremos clamp en pulgadas. Pulido sanitario. Presión máx. de trabajo: 10 bar. Temp. máx.: 120ºC. Accionamiento manual. Diámetro 2".</t>
  </si>
  <si>
    <t>2940 10</t>
  </si>
  <si>
    <t>Válvula mariposa extremos clamp. Cuerpo acero inoxidable AISI 316L. Elastómero EPDM. Extremos clamp en pulgadas. Pulido sanitario. Presión máx. de trabajo: 10 bar. Temp. máx.: 120ºC. Accionamiento manual. Diámetro 2 1/2".</t>
  </si>
  <si>
    <t>2940 11</t>
  </si>
  <si>
    <t>Válvula mariposa extremos clamp. Cuerpo acero inoxidable AISI 316L. Elastómero EPDM. Extremos clamp en pulgadas. Pulido sanitario. Presión máx. de trabajo: 10 bar. Temp. máx.: 120ºC. Accionamiento manual. Diámetro 3".</t>
  </si>
  <si>
    <t>2940 12</t>
  </si>
  <si>
    <t>Válvula mariposa extremos clamp. Cuerpo acero inoxidable AISI 316L. Elastómero EPDM. Extremos clamp en pulgadas. Pulido sanitario. Presión máx. de trabajo: 10 bar. Temp. máx.: 120ºC. Accionamiento manual. Diámetro 4".</t>
  </si>
  <si>
    <t>2941 06</t>
  </si>
  <si>
    <t>Válvula mariposa extremos roscados Cuerpo: acero inoxidable AISI 304. Elastómero: EPDM. Extremos roscados DIN 11851. Presión máx. de trabajo: 10 bar. Temp. máx.: 120ºC. Accionamiento manual: 3 posiciones. Diámetro 1".</t>
  </si>
  <si>
    <t>2941 07</t>
  </si>
  <si>
    <t>Válvula mariposa extremos roscados Cuerpo: acero inoxidable AISI 304. Elastómero: EPDM. Extremos roscados DIN 11851. Presión máx. de trabajo: 10 bar. Temp. máx.: 120ºC. Accionamiento manual: 3 posiciones. Diámetro 1 1/4".</t>
  </si>
  <si>
    <t>2941 08</t>
  </si>
  <si>
    <t>Válvula mariposa extremos roscados Cuerpo: acero inoxidable AISI 304. Elastómero: EPDM. Extremos roscados DIN 11851. Presión máx. de trabajo: 10 bar. Temp. máx.: 120ºC. Accionamiento manual: 3 posiciones. Diámetro 1 1/2".</t>
  </si>
  <si>
    <t>2941 09</t>
  </si>
  <si>
    <t>Válvula mariposa extremos roscados Cuerpo: acero inoxidable AISI 304. Elastómero: EPDM. Extremos roscados DIN 11851. Presión máx. de trabajo: 10 bar. Temp. máx.: 120ºC. Accionamiento manual: 3 posiciones. Diámetro 2".</t>
  </si>
  <si>
    <t>2941 10</t>
  </si>
  <si>
    <t>Válvula mariposa extremos roscados Cuerpo: acero inoxidable AISI 304. Elastómero: EPDM. Extremos roscados DIN 11851. Presión máx. de trabajo: 10 bar. Temp. máx.: 120ºC. Accionamiento manual: 3 posiciones. Diámetro 2 1/2".</t>
  </si>
  <si>
    <t>2941 11</t>
  </si>
  <si>
    <t>Válvula mariposa extremos roscados Cuerpo: acero inoxidable AISI 304. Elastómero: EPDM. Extremos roscados DIN 11851. Presión máx. de trabajo: 10 bar. Temp. máx.: 120ºC. Accionamiento manual: 3 posiciones. Diámetro 3".</t>
  </si>
  <si>
    <t>2941 12</t>
  </si>
  <si>
    <t>Válvula mariposa extremos roscados Cuerpo: acero inoxidable AISI 304. Elastómero: EPDM. Extremos roscados DIN 11851. Presión máx. de trabajo: 10 bar. Temp. máx.: 120ºC. Accionamiento manual: 3 posiciones. Diámetro 4".</t>
  </si>
  <si>
    <t>2942 06</t>
  </si>
  <si>
    <t>Válvula mariposa extremo roscado/soldar. Cuerpo: acero inoxidable AISI 304. Elastómero: EPDM. Extremos roscados DIN 11851/soldar. Presión máx. de trabajo 10 bar. Temp.  máx.: 120ºC. Accionamiento manual: 3 posiciones. Diámetro 1".</t>
  </si>
  <si>
    <t>2942 07</t>
  </si>
  <si>
    <t>Válvula mariposa extremo roscado/soldar. Cuerpo: acero inoxidable AISI 304. Elastómero: EPDM. Extremos roscados DIN 11851/soldar. Presión máx. de trabajo 10 bar. Temp.  máx.: 120ºC. Accionamiento manual: 3 posiciones. Diámetro 1 1/4".</t>
  </si>
  <si>
    <t>2942 08</t>
  </si>
  <si>
    <t>Válvula mariposa extremo roscado/soldar. Cuerpo: acero inoxidable AISI 304. Elastómero: EPDM. Extremos roscados DIN 11851/soldar. Presión máx. de trabajo 10 bar. Temp.  máx.: 120ºC. Accionamiento manual: 3 posiciones. Diámetro 1 1/2".</t>
  </si>
  <si>
    <t>2942 09</t>
  </si>
  <si>
    <t>Válvula mariposa extremo roscado/soldar. Cuerpo: acero inoxidable AISI 304. Elastómero: EPDM. Extremos roscados DIN 11851/soldar. Presión máx. de trabajo 10 bar. Temp.  máx.: 120ºC. Accionamiento manual: 3 posiciones. Diámetro 2".</t>
  </si>
  <si>
    <t>2942 10</t>
  </si>
  <si>
    <t>Válvula mariposa extremo roscado/soldar. Cuerpo: acero inoxidable AISI 304. Elastómero: EPDM. Extremos roscados DIN 11851/soldar. Presión máx. de trabajo 10 bar. Temp.  máx.: 120ºC. Accionamiento manual: 3 posiciones. Diámetro 2 1/2".</t>
  </si>
  <si>
    <t>2942 11</t>
  </si>
  <si>
    <t>Válvula mariposa extremo roscado/soldar. Cuerpo: acero inoxidable AISI 304. Elastómero: EPDM. Extremos roscados DIN 11851/soldar. Presión máx. de trabajo 10 bar. Temp.  máx.: 120ºC. Accionamiento manual: 3 posiciones. Diámetro 3".</t>
  </si>
  <si>
    <t>2942 12</t>
  </si>
  <si>
    <t>Válvula mariposa extremo roscado/soldar. Cuerpo: acero inoxidable AISI 304. Elastómero: EPDM. Extremos roscados DIN 11851/soldar. Presión máx. de trabajo 10 bar. Temp.  máx.: 120ºC. Accionamiento manual: 3 posiciones. Diámetro 4".</t>
  </si>
  <si>
    <t>2943 06</t>
  </si>
  <si>
    <t>2943 07</t>
  </si>
  <si>
    <t>2943 08</t>
  </si>
  <si>
    <t>2943 09</t>
  </si>
  <si>
    <t>2943 10</t>
  </si>
  <si>
    <t>2943 11</t>
  </si>
  <si>
    <t>2943 12</t>
  </si>
  <si>
    <t>Actuador neumático simple efecto para válvulas mariposa línea sanitaria (2944). Extremos clamp/rosca DIN 11851/soldar. Cuerpo de actuador: acero inoxidable 304.  Accionamiento neumático a 5 bar. Diámetro .</t>
  </si>
  <si>
    <t>2945 04</t>
  </si>
  <si>
    <t>Válvula diafragma extremos clamp. Cuerpo acero inoxidable AISI 316L. Diafragma silicona. Extremos: clamp en pulgadas. Pulido sanitario. Presión máx. de trabajo: 10 bar. Temp. máx.: 95ºC. Accionamiento manual. Diámetro 1/2".</t>
  </si>
  <si>
    <t>2945 05</t>
  </si>
  <si>
    <t>Válvula diafragma extremos clamp. Cuerpo acero inoxidable AISI 316L. Diafragma silicona. Extremos: clamp en pulgadas. Pulido sanitario. Presión máx. de trabajo: 10 bar. Temp. máx.: 95ºC. Accionamiento manual. Diámetro 3/4".</t>
  </si>
  <si>
    <t>2945 06</t>
  </si>
  <si>
    <t>Válvula diafragma extremos clamp. Cuerpo acero inoxidable AISI 316L. Diafragma silicona. Extremos: clamp en pulgadas. Pulido sanitario. Presión máx. de trabajo: 10 bar. Temp. máx.: 95ºC. Accionamiento manual. Diámetro 1".</t>
  </si>
  <si>
    <t>2945 08</t>
  </si>
  <si>
    <t>Válvula diafragma extremos clamp. Cuerpo acero inoxidable AISI 316L. Diafragma silicona. Extremos: clamp en pulgadas. Pulido sanitario. Presión máx. de trabajo: 10 bar. Temp. máx.: 95ºC. Accionamiento manual. Diámetro 1 1/2".</t>
  </si>
  <si>
    <t>2945 09</t>
  </si>
  <si>
    <t>Válvula diafragma extremos clamp. Cuerpo acero inoxidable AISI 316L. Diafragma silicona. Extremos: clamp en pulgadas. Pulido sanitario. Presión máx. de trabajo: 10 bar. Temp. máx.: 95ºC. Accionamiento manual. Diámetro 2".</t>
  </si>
  <si>
    <t>2946 06</t>
  </si>
  <si>
    <t>Válvula a diafragma extremos clamp accionamiento neumático simple efecto N.C. Cuerpo válvula: acero inoxidable 316L (art. 2945). Cuerpo de actuador acero inoxidable 304. Extremos: clamp en pulgadas. Pulido sanitario. Accionamiento neumático a 5 bar. Diámetro 1".</t>
  </si>
  <si>
    <t>2946 08</t>
  </si>
  <si>
    <t>Válvula a diafragma extremos clamp accionamiento neumático simple efecto N.C. Cuerpo válvula: acero inoxidable 316L (art. 2945). Cuerpo de actuador acero inoxidable 304. Extremos: clamp en pulgadas. Pulido sanitario. Accionamiento neumático a 5 bar. Diámetro 1 1/2".</t>
  </si>
  <si>
    <t>2946 09</t>
  </si>
  <si>
    <t>Válvula a diafragma extremos clamp accionamiento neumático simple efecto N.C. Cuerpo válvula: acero inoxidable 316L (art. 2945). Cuerpo de actuador acero inoxidable 304. Extremos: clamp en pulgadas. Pulido sanitario. Accionamiento neumático a 5 bar. Diámetro 2".</t>
  </si>
  <si>
    <t>2951 06</t>
  </si>
  <si>
    <t>Válvula toma muestra extremo clamp Cuerpo: acero inoxidable 316L. Cierre de silicona. Extremo clamp en pulgadas pulido sanitario. Presión máx. de trabajo: 10 bar. Diámetro A-316  1" - 1.1/2".</t>
  </si>
  <si>
    <t>2952 06</t>
  </si>
  <si>
    <t>Esfera de limpieza. Cuerpo: acero inoxidable 316L. Extremo roscado ISO 7-1 (EN 10226-1). Ángulo de limpieza 360º. Pulido sanitario. Giro sobre rodamientos (2). Diámetro 1".</t>
  </si>
  <si>
    <t>2952 08</t>
  </si>
  <si>
    <t>Esfera de limpieza. Cuerpo: acero inoxidable 316L. Extremo roscado ISO 7-1 (EN 10226-1). Ángulo de limpieza 360º. Pulido sanitario. Giro sobre rodamientos (2). Diámetro 1 1/2".</t>
  </si>
  <si>
    <t>2952 09</t>
  </si>
  <si>
    <t>Esfera de limpieza. Cuerpo: acero inoxidable 316L. Extremo roscado ISO 7-1 (EN 10226-1). Ángulo de limpieza 360º. Pulido sanitario. Giro sobre rodamientos (2). Diámetro 2".</t>
  </si>
  <si>
    <t>2981 04</t>
  </si>
  <si>
    <t>Casquillo para soldar clamp. Material acero inoxidable 316L. Clamp en pulgadas. Pulido sanitario. Diámetro 1/2".</t>
  </si>
  <si>
    <t>2981 05</t>
  </si>
  <si>
    <t>Casquillo para soldar clamp. Material acero inoxidable 316L. Clamp en pulgadas. Pulido sanitario. Diámetro 3/4".</t>
  </si>
  <si>
    <t>2981 06</t>
  </si>
  <si>
    <t>Casquillo para soldar clamp. Material acero inoxidable 316L. Clamp en pulgadas. Pulido sanitario. Diámetro 1".</t>
  </si>
  <si>
    <t>2981 08</t>
  </si>
  <si>
    <t>Casquillo para soldar clamp. Material acero inoxidable 316L. Clamp en pulgadas. Pulido sanitario. Diámetro 1 1/2".</t>
  </si>
  <si>
    <t>2981 09</t>
  </si>
  <si>
    <t>Casquillo para soldar clamp. Material acero inoxidable 316L. Clamp en pulgadas. Pulido sanitario. Diámetro 2".</t>
  </si>
  <si>
    <t>2981 10</t>
  </si>
  <si>
    <t>Casquillo para soldar clamp. Material acero inoxidable 316L. Clamp en pulgadas. Pulido sanitario. Diámetro 2 1/2".</t>
  </si>
  <si>
    <t>2981 11</t>
  </si>
  <si>
    <t>Casquillo para soldar clamp. Material acero inoxidable 316L. Clamp en pulgadas. Pulido sanitario. Diámetro 3".</t>
  </si>
  <si>
    <t>2981 12</t>
  </si>
  <si>
    <t>Casquillo para soldar clamp. Material acero inoxidable 316L. Clamp en pulgadas. Pulido sanitario. Diámetro 4".</t>
  </si>
  <si>
    <t>2982 04</t>
  </si>
  <si>
    <t>Tapa ciega clamp Material acero inoxidable 316L. Clamp en pulgadas. Pulido sanitario. Diámetro 1/2" - 3/4".</t>
  </si>
  <si>
    <t>2982 06</t>
  </si>
  <si>
    <t>Tapa ciega clamp Material acero inoxidable 316L. Clamp en pulgadas. Pulido sanitario. Diámetro 1".</t>
  </si>
  <si>
    <t>2982 08</t>
  </si>
  <si>
    <t>Tapa ciega clamp Material acero inoxidable 316L. Clamp en pulgadas. Pulido sanitario. Diámetro 1 1/2".</t>
  </si>
  <si>
    <t>2982 09</t>
  </si>
  <si>
    <t>Tapa ciega clamp Material acero inoxidable 316L. Clamp en pulgadas. Pulido sanitario. Diámetro 2".</t>
  </si>
  <si>
    <t>2982 10</t>
  </si>
  <si>
    <t>Tapa ciega clamp Material acero inoxidable 316L. Clamp en pulgadas. Pulido sanitario. Diámetro 2 1/2".</t>
  </si>
  <si>
    <t>2982 11</t>
  </si>
  <si>
    <t>Tapa ciega clamp Material acero inoxidable 316L. Clamp en pulgadas. Pulido sanitario. Diámetro 3".</t>
  </si>
  <si>
    <t>2982 12</t>
  </si>
  <si>
    <t>Tapa ciega clamp Material acero inoxidable 316L. Clamp en pulgadas. Pulido sanitario. Diámetro 4".</t>
  </si>
  <si>
    <t>2983 06</t>
  </si>
  <si>
    <t>Accesorios línea sanitaria codo 90º clamp. Material: acero inoxidable 316L. Clamp en pulgadas. Pulido sanitario. Diámetro 1".</t>
  </si>
  <si>
    <t>2983 08</t>
  </si>
  <si>
    <t>Accesorios línea sanitaria codo 90º clamp. Material: acero inoxidable 316L. Clamp en pulgadas. Pulido sanitario. Diámetro 1 1/2".</t>
  </si>
  <si>
    <t>2983 09</t>
  </si>
  <si>
    <t>Accesorios línea sanitaria codo 90º clamp. Material: acero inoxidable 316L. Clamp en pulgadas. Pulido sanitario. Diámetro 2".</t>
  </si>
  <si>
    <t>2983 10</t>
  </si>
  <si>
    <t>Accesorios línea sanitaria codo 90º clamp. Material: acero inoxidable 316L. Clamp en pulgadas. Pulido sanitario. Diámetro 2 1/2".</t>
  </si>
  <si>
    <t>2983 11</t>
  </si>
  <si>
    <t>Accesorios línea sanitaria codo 90º clamp. Material: acero inoxidable 316L. Clamp en pulgadas. Pulido sanitario. Diámetro 3".</t>
  </si>
  <si>
    <t>2983 12</t>
  </si>
  <si>
    <t>Accesorios línea sanitaria codo 90º clamp. Material: acero inoxidable 316L. Clamp en pulgadas. Pulido sanitario. Diámetro 4".</t>
  </si>
  <si>
    <t>2984 06</t>
  </si>
  <si>
    <t>Accesorios línea sanitaria codo 45º clamp. Material: acero inoxidable 316L. Clamp en pulgadas. Pulido sanitario. Diámetro 1".</t>
  </si>
  <si>
    <t>2984 08</t>
  </si>
  <si>
    <t>Accesorios línea sanitaria codo 45º clamp. Material: acero inoxidable 316L. Clamp en pulgadas. Pulido sanitario. Diámetro 1 1/2".</t>
  </si>
  <si>
    <t>2984 09</t>
  </si>
  <si>
    <t>Accesorios línea sanitaria codo 45º clamp. Material: acero inoxidable 316L. Clamp en pulgadas. Pulido sanitario. Diámetro 2".</t>
  </si>
  <si>
    <t>2984 10</t>
  </si>
  <si>
    <t>Accesorios línea sanitaria codo 45º clamp. Material: acero inoxidable 316L. Clamp en pulgadas. Pulido sanitario. Diámetro 2 1/2".</t>
  </si>
  <si>
    <t>2984 11</t>
  </si>
  <si>
    <t>Accesorios línea sanitaria codo 45º clamp. Material: acero inoxidable 316L. Clamp en pulgadas. Pulido sanitario. Diámetro 3".</t>
  </si>
  <si>
    <t>2984 12</t>
  </si>
  <si>
    <t>Accesorios línea sanitaria codo 45º clamp. Material: acero inoxidable 316L. Clamp en pulgadas. Pulido sanitario. Diámetro 4".</t>
  </si>
  <si>
    <t>2985 06</t>
  </si>
  <si>
    <t>Accesorios línea sanitaria “T” clamp Material: acero inoxidable 316L. Clamp en pulgadas. Pulido sanitario. Diámetro 1".</t>
  </si>
  <si>
    <t>2985 08</t>
  </si>
  <si>
    <t>Accesorios línea sanitaria “T” clamp Material: acero inoxidable 316L. Clamp en pulgadas. Pulido sanitario. Diámetro 1 1/2".</t>
  </si>
  <si>
    <t>2985 09</t>
  </si>
  <si>
    <t>Accesorios línea sanitaria “T” clamp Material: acero inoxidable 316L. Clamp en pulgadas. Pulido sanitario. Diámetro 2".</t>
  </si>
  <si>
    <t>2985 10</t>
  </si>
  <si>
    <t>Accesorios línea sanitaria “T” clamp Material: acero inoxidable 316L. Clamp en pulgadas. Pulido sanitario. Diámetro 2 1/2".</t>
  </si>
  <si>
    <t>2985 11</t>
  </si>
  <si>
    <t>Accesorios línea sanitaria “T” clamp Material: acero inoxidable 316L. Clamp en pulgadas. Pulido sanitario. Diámetro 3".</t>
  </si>
  <si>
    <t>2985 12</t>
  </si>
  <si>
    <t>Accesorios línea sanitaria “T” clamp Material: acero inoxidable 316L. Clamp en pulgadas. Pulido sanitario. Diámetro 4".</t>
  </si>
  <si>
    <t>2986 04</t>
  </si>
  <si>
    <t>Abrazadera cierre rápido clamp Material acero inoxidable 304. Aplicación clamp en pulgadas. Pulido sanitario. Diámetro 1/2" - 3/4.</t>
  </si>
  <si>
    <t>2986 06</t>
  </si>
  <si>
    <t>Abrazadera cierre rápido clamp Material acero inoxidable 304. Aplicación clamp en pulgadas. Pulido sanitario. Diámetro 1" - 1 "1/2.</t>
  </si>
  <si>
    <t>2986 09</t>
  </si>
  <si>
    <t>Abrazadera cierre rápido clamp Material acero inoxidable 304. Aplicación clamp en pulgadas. Pulido sanitario. Diámetro 2".</t>
  </si>
  <si>
    <t>2986 10</t>
  </si>
  <si>
    <t>Abrazadera cierre rápido clamp Material acero inoxidable 304. Aplicación clamp en pulgadas. Pulido sanitario. Diámetro 2 1/2".</t>
  </si>
  <si>
    <t>2986 11</t>
  </si>
  <si>
    <t>Abrazadera cierre rápido clamp Material acero inoxidable 304. Aplicación clamp en pulgadas. Pulido sanitario. Diámetro 3".</t>
  </si>
  <si>
    <t>2986 12</t>
  </si>
  <si>
    <t>Abrazadera cierre rápido clamp Material acero inoxidable 304. Aplicación clamp en pulgadas. Pulido sanitario. Diámetro 4".</t>
  </si>
  <si>
    <t>2987 04</t>
  </si>
  <si>
    <t>Junta para extremos clamp Material silicona. Aplicación clamp en pulgadas. Diámetro 1/2".</t>
  </si>
  <si>
    <t>2987 05</t>
  </si>
  <si>
    <t>Junta para extremos clamp Material silicona. Aplicación clamp en pulgadas. Diámetro 3/4".</t>
  </si>
  <si>
    <t>2987 06</t>
  </si>
  <si>
    <t>Junta para extremos clamp Material silicona. Aplicación clamp en pulgadas. Diámetro 1".</t>
  </si>
  <si>
    <t>2987 08</t>
  </si>
  <si>
    <t>Junta para extremos clamp Material silicona. Aplicación clamp en pulgadas. Diámetro 1 1/2".</t>
  </si>
  <si>
    <t>2987 09</t>
  </si>
  <si>
    <t>Junta para extremos clamp Material silicona. Aplicación clamp en pulgadas. Diámetro 2".</t>
  </si>
  <si>
    <t>2987 10</t>
  </si>
  <si>
    <t>Junta para extremos clamp Material silicona. Aplicación clamp en pulgadas. Diámetro 2 1/2".</t>
  </si>
  <si>
    <t>2987 11</t>
  </si>
  <si>
    <t>Junta para extremos clamp Material silicona. Aplicación clamp en pulgadas. Diámetro 3".</t>
  </si>
  <si>
    <t>2987 12</t>
  </si>
  <si>
    <t>Junta para extremos clamp Material silicona. Aplicación clamp en pulgadas. Diámetro 4".</t>
  </si>
  <si>
    <t>4010 03</t>
  </si>
  <si>
    <t>Válvula Solenoide ODE p/uso general. Asiento de NBR+PA. Presión diferencial: 0 a 14 bar. Normal Cerrada. Cuerpo de Latón. Núcleo de inox.  Aplicaciones en agua, aceite y aire. Diametro: 3/8".</t>
  </si>
  <si>
    <t>4010 04</t>
  </si>
  <si>
    <t>Válvula Solenoide ODE p/uso general. Asiento de NBR+PA. Presión diferencial: 0 a 14 bar. Normal Cerrada. Cuerpo de Latón. Núcleo de inox.  Aplicaciones en agua, aceite y aire. Diametro: 1/2".</t>
  </si>
  <si>
    <t>4010 05</t>
  </si>
  <si>
    <t>Válvula Solenoide ODE p/uso general. Asiento de NBR+PA. Presión diferencial: 0 a 14 bar. Normal Cerrada. Cuerpo de Latón. Núcleo de inox.  Aplicaciones en agua, aceite y aire. Diametro: 3/4".</t>
  </si>
  <si>
    <t>4010 06</t>
  </si>
  <si>
    <t>Válvula Solenoide ODE p/uso general. Asiento de NBR+PA. Presión diferencial: 0 a 14 bar. Normal Cerrada. Cuerpo de Latón. Núcleo de inox.  Aplicaciones en agua, aceite y aire. Diametro: 1".</t>
  </si>
  <si>
    <t>4010 07</t>
  </si>
  <si>
    <t>Válvula Solenoide ODE p/uso general. Asiento de Viton. Presión diferencial: 0 a 16 bar. Normal Cerrada. Cuerpo de Latón. Núcleo de inox.  Aplicaciones en agua, aceite y aire. Diametro: 1 1/2".</t>
  </si>
  <si>
    <t>4010 08</t>
  </si>
  <si>
    <t>Válvula Solenoide ODE p/uso general. Asiento de Viton. Presión diferencial: 0 a 16 bar. Normal Cerrada. Cuerpo de Latón. Núcleo de inox.  Aplicaciones en agua, aceite y aire. Diametro: 2".</t>
  </si>
  <si>
    <t>4020 03</t>
  </si>
  <si>
    <t>Válvula Solenoide ODE p/uso general. Diafragma de BUNA. Presión diferencial: 0,2 a 16 bar. Normal cerrada. Cuerpo de Latón. Aplicaciones en agua, aceite y aire. Diametro: 3/8".</t>
  </si>
  <si>
    <t>4020 04</t>
  </si>
  <si>
    <t>Válvula Solenoide ODE p/uso general. Diafragma de BUNA. Presión diferencial: 0,2 a 16 bar. Normal cerrada. Cuerpo de Latón. Aplicaciones en agua, aceite y aire. Diametro: 1/2".</t>
  </si>
  <si>
    <t>4020 05</t>
  </si>
  <si>
    <t>Válvula Solenoide ODE p/uso general. Diafragma de BUNA. Presión diferencial: 0,2 a 16 bar. Normal cerrada. Cuerpo de Latón. Aplicaciones en agua, aceite y aire. Diametro: 3/4".</t>
  </si>
  <si>
    <t>4020 06</t>
  </si>
  <si>
    <t>Válvula Solenoide ODE p/uso general. Diafragma de BUNA. Presión diferencial: 0,2 a 16 bar. Normal cerrada. Cuerpo de Latón. Aplicaciones en agua, aceite y aire. Diametro: 1".</t>
  </si>
  <si>
    <t>4020 07</t>
  </si>
  <si>
    <t>Válvula Solenoide ODE p/uso general. Diafragma de BUNA. Presión diferencial: 0,2 a 10 bar. Normal cerrada. Cuerpo de Latón. Aplicaciones en agua, aceite y aire. Diametro: 1 1/4".</t>
  </si>
  <si>
    <t>4020 08</t>
  </si>
  <si>
    <t>Válvula Solenoide ODE p/uso general. Diafragma de BUNA. Presión diferencial: 0,2 a 10 bar. Normal cerrada. Cuerpo de Latón. Aplicaciones en agua, aceite y aire. Diametro: 1 1/2".</t>
  </si>
  <si>
    <t>4020 09</t>
  </si>
  <si>
    <t>Válvula Solenoide ODE p/uso general. Diafragma de BUNA. Presión diferencial: 0,2 a 10 bar. Normal cerrada. Cuerpo de Latón. Aplicaciones en agua, aceite y aire. Diametro: 2".</t>
  </si>
  <si>
    <t>4020V 03</t>
  </si>
  <si>
    <t>Válvula Solenoide ODE p/uso general. Diafragma de VITON. Presión diferencial: 0,2 a 16 bar. Normal cerrada. Cuerpo de Latón. Aplicaciones en agua, aceite y aire. Diametro: 3/8".</t>
  </si>
  <si>
    <t>4020V 04</t>
  </si>
  <si>
    <t>Válvula Solenoide ODE p/uso general. Diafragma de VITON. Presión diferencial: 0,2 a 16 bar. Normal cerrada. Cuerpo de Latón. Aplicaciones en agua, aceite y aire. Diametro: 1/2".</t>
  </si>
  <si>
    <t>4020V 05</t>
  </si>
  <si>
    <t>Válvula Solenoide ODE p/uso general. Diafragma de VITON. Presión diferencial: 0,2 a 16 bar. Normal cerrada. Cuerpo de Latón. Aplicaciones en agua, aceite y aire. Diametro: 3/4".</t>
  </si>
  <si>
    <t>4020V 06</t>
  </si>
  <si>
    <t>Válvula Solenoide ODE p/uso general. Diafragma de VITON. Presión diferencial: 0,2 a 16 bar. Normal cerrada. Cuerpo de Latón. Aplicaciones en agua, aceite y aire. Diametro: 1".</t>
  </si>
  <si>
    <t>4020V 07</t>
  </si>
  <si>
    <t>Válvula Solenoide ODE p/uso general. Diafragma de VITON. Presión diferencial: 0,2 a 10 bar. Normal cerrada. Cuerpo de Latón. Aplicaciones en agua, aceite y aire. Diametro: 1 1/4".</t>
  </si>
  <si>
    <t>4020V 08</t>
  </si>
  <si>
    <t>Válvula Solenoide ODE p/uso general. Diafragma de VITON. Presión diferencial: 0,2 a 10 bar. Normal cerrada. Cuerpo de Latón. Aplicaciones en agua, aceite y aire. Diametro: 1 1/2".</t>
  </si>
  <si>
    <t>4020V 09</t>
  </si>
  <si>
    <t>Válvula Solenoide ODE p/uso general. Diafragma de VITON. Presión diferencial: 0,2 a 10 bar. Normal cerrada. Cuerpo de Latón. Aplicaciones en agua, aceite y aire. Diametro: 2".</t>
  </si>
  <si>
    <t>4020E 05</t>
  </si>
  <si>
    <t>Válvula Solenoide ODE p/uso general. Diafragma de EPDM. Presión diferencial: 0,2 a 16 bar. Normal cerrada. Cuerpo de Latón. Aplicaciones en agua, aceite y aire. Diametro: 3/4".</t>
  </si>
  <si>
    <t>4020E 06</t>
  </si>
  <si>
    <t>Válvula Solenoide ODE p/uso general. Diafragma de EPDM. Presión diferencial: 0,2 a 16 bar. Normal cerrada. Cuerpo de Latón. Aplicaciones en agua, aceite y aire. Diametro: 1".</t>
  </si>
  <si>
    <t>4020E 07</t>
  </si>
  <si>
    <t>Válvula Solenoide ODE p/uso general. Diafragma de EPDM. Presión diferencial: 0,2 a 10 bar. Normal cerrada. Cuerpo de Latón. Aplicaciones en agua, aceite y aire. Diametro: 1 1/4".</t>
  </si>
  <si>
    <t>4020E 08</t>
  </si>
  <si>
    <t>Válvula Solenoide ODE p/uso general. Diafragma de EPDM. Presión diferencial: 0,2 a 10 bar. Normal cerrada. Cuerpo de Latón. Aplicaciones en agua, aceite y aire. Diametro: 1 1/2".</t>
  </si>
  <si>
    <t>4020E 09</t>
  </si>
  <si>
    <t>Válvula Solenoide ODE p/uso general. Diafragma de EPDM. Presión diferencial: 0,2 a 10 bar. Normal cerrada. Cuerpo de Latón. Aplicaciones en agua, aceite y aire. Diametro: 2".</t>
  </si>
  <si>
    <t>4425 04</t>
  </si>
  <si>
    <t>Valvula solenoide acción indirecta. Normal cerrada 2 VÍAS. Cuerpo de latón. Núcleo INOX INOX. Temp. Máx. 180ºC. Apta para Vapor. Presión Minima 0,5 a 10 Bar. pistón PTFE. Diametro 1/2".</t>
  </si>
  <si>
    <t>4425 05</t>
  </si>
  <si>
    <t>Valvula solenoide acción indirecta. Normal cerrada 2 VÍAS. Cuerpo de latón. Núcleo INOX INOX. Temp. Máx. 180ºC. Apta para Vapor. Presión Minima 0,5 a 10 Bar. pistón PTFE. Diametro 3/4".</t>
  </si>
  <si>
    <t>4425 06</t>
  </si>
  <si>
    <t>Valvula solenoide acción indirecta. Normal cerrada 2 VÍAS. Cuerpo de latón. Núcleo INOX INOX. Temp. Máx. 180ºC. Apta para Vapor. Presión Minima 0,5 a 10 Bar. pistón PTFE. Diametro 1".</t>
  </si>
  <si>
    <t>4420 05</t>
  </si>
  <si>
    <t>Valvula solenoide acción indirecta. Normal cerrada 2 VÍAS. Cuerpo de latón. Núcleo INOX INOX. Temp. Máx. 160ºC. Apta para Vapor. Presión Minima 0,3 a 10 Bar. pistón PTFE. Diametro 3/4".</t>
  </si>
  <si>
    <t>4630 02</t>
  </si>
  <si>
    <t>Válvula Solenoide ODE. Asiento de PTFE. Presión diferencial: 0 a 10 bar. Normal Cerrada. Cuerpo de acero inoxidable AISI 316. Nucleo de INOX. Diametro:  1/4".</t>
  </si>
  <si>
    <t>4631 04</t>
  </si>
  <si>
    <t>Válvula Solenoide ODE. Asiento de  Viton. Presión diferencial: 0 a 20 bar. Normal Cerrada. Cuerpo de acero inoxidable AISI 316. Nucleo de INOX. Diametro: 1/2".</t>
  </si>
  <si>
    <t>4631 05</t>
  </si>
  <si>
    <t>Válvula Solenoide ODE. Asiento de  Viton. Presión diferencial: 0 a 20 bar. Normal Cerrada. Cuerpo de acero inoxidable AISI 316. Nucleo de INOX. Diametro: 3/4"</t>
  </si>
  <si>
    <t>4631 06</t>
  </si>
  <si>
    <t>Válvula Solenoide ODE. Asiento de  Viton. Presión diferencial: 0 a 20 bar. Normal Cerrada. Cuerpo de acero inoxidable AISI 316. Nucleo de INOX. Diametro: 1"</t>
  </si>
  <si>
    <t>4632 04</t>
  </si>
  <si>
    <t>Válvula Solenoide ODE. Asiento de  Viton. Presión diferencial: 0,1 a 20 bar. Normal Cerrada. Cuerpo de acero inoxidable AISI 316. Nucleo de INOX. Diametro: 1/2".</t>
  </si>
  <si>
    <t>4632 05</t>
  </si>
  <si>
    <t>Válvula Solenoide ODE. Asiento de  Viton. Presión diferencial: 0,1 a 20 bar. Normal Cerrada. Cuerpo de acero inoxidable AISI 316. Nucleo de INOX. Diametro: 3/4".</t>
  </si>
  <si>
    <t>4632 06</t>
  </si>
  <si>
    <t>Válvula Solenoide ODE. Asiento de  Viton. Presión diferencial: 0,1 a 20 bar. Normal Cerrada. Cuerpo de acero inoxidable AISI 316. Nucleo de INOX. Diametro: 1".</t>
  </si>
  <si>
    <t>4021 03</t>
  </si>
  <si>
    <t>Válvula Solenoide ODE p/uso general. Diafragma de BUNA. Presión diferencial: 0,2 a 16 bar. Normal Abierta. Cuerpo de Latón. Aplicaciones en agua, aceite y aire. Diametro: 3/8".</t>
  </si>
  <si>
    <t>4021 04</t>
  </si>
  <si>
    <t>Válvula Solenoide ODE p/uso general. Diafragma de BUNA. Presión diferencial: 0,2 a 16 bar. Normal Abierta. Cuerpo de Latón. Aplicaciones en agua, aceite y aire. Diametro: 1/2".</t>
  </si>
  <si>
    <t>4021 05</t>
  </si>
  <si>
    <t>Válvula Solenoide ODE p/uso general. Diafragma de BUNA. Presión diferencial: 0,2 a 16 bar. Normal Abierta. Cuerpo de Latón. Aplicaciones en agua, aceite y aire. Diametro: 3/4".</t>
  </si>
  <si>
    <t>4021 06</t>
  </si>
  <si>
    <t>Válvula Solenoide ODE p/uso general. Diafragma de BUNA. Presión diferencial: 0,2 a 16 bar. Normal Abierta. Cuerpo de Latón. Aplicaciones en agua, aceite y aire. Diametro: 1".</t>
  </si>
  <si>
    <t>4021 07</t>
  </si>
  <si>
    <t>Válvula Solenoide ODE p/uso general. Diafragma de BUNA. Presión diferencial: 0,2 a 10 bar. Normal Abierta. Cuerpo de Latón. Aplicaciones en agua, aceite y aire. Diametro: 1 1/4".</t>
  </si>
  <si>
    <t>4021 08</t>
  </si>
  <si>
    <t>Válvula Solenoide ODE p/uso general. Diafragma de BUNA. Presión diferencial: 0,2 a 10 bar. Normal Abierta. Cuerpo de Latón. Aplicaciones en agua, aceite y aire. Diametro: 1 1/2".</t>
  </si>
  <si>
    <t>4021 09</t>
  </si>
  <si>
    <t>Válvula Solenoide ODE p/uso general. Diafragma de BUNA. Presión diferencial: 0,2 a 10 bar. Normal Abierta. Cuerpo de Latón. Aplicaciones en agua, aceite y aire. Diametro: 2".</t>
  </si>
  <si>
    <t>4021V 03</t>
  </si>
  <si>
    <t>Válvula Solenoide ODE p/uso general. Diafragma de VITON. Presión diferencial: 0,2 a 16 bar. Normal Abierta. Cuerpo de Latón. Aplicaciones en agua, aceite y aire. Diametro: 3/8".</t>
  </si>
  <si>
    <t>4021V 04</t>
  </si>
  <si>
    <t>Válvula Solenoide ODE p/uso general. Diafragma de VITON. Presión diferencial: 0,2 a 16 bar. Normal Abierta. Cuerpo de Latón. Aplicaciones en agua, aceite y aire. Diametro: 1/2".</t>
  </si>
  <si>
    <t>4021V 05</t>
  </si>
  <si>
    <t>Válvula Solenoide ODE p/uso general. Diafragma de VITON. Presión diferencial: 0,2 a 16 bar. Normal Abierta. Cuerpo de Latón. Aplicaciones en agua, aceite y aire. Diametro: 3/4".</t>
  </si>
  <si>
    <t>4021V 06</t>
  </si>
  <si>
    <t>Válvula Solenoide ODE p/uso general. Diafragma de VITON. Presión diferencial: 0,2 a 16 bar. Normal Abierta. Cuerpo de Latón. Aplicaciones en agua, aceite y aire. Diametro: 1".</t>
  </si>
  <si>
    <t>4021V 07</t>
  </si>
  <si>
    <t>Válvula Solenoide ODE p/uso general. Diafragma de VITON. Presión diferencial: 0,2 a 10 bar. Normal Abierta. Cuerpo de Latón. Aplicaciones en agua, aceite y aire. Diametro: 1 1/4".</t>
  </si>
  <si>
    <t>4021V 08</t>
  </si>
  <si>
    <t>Válvula Solenoide ODE p/uso general. Diafragma de VITON. Presión diferencial: 0,2 a 10 bar. Normal Abierta. Cuerpo de Latón. Aplicaciones en agua, aceite y aire. Diametro: 1 1/2".</t>
  </si>
  <si>
    <t>4021V 09</t>
  </si>
  <si>
    <t>Válvula Solenoide ODE p/uso general. Diafragma de VITON. Presión diferencial: 0,2 a 10 bar. Normal Abierta. Cuerpo de Latón. Aplicaciones en agua, aceite y aire. Diametro: 2".</t>
  </si>
  <si>
    <t>4021E 05</t>
  </si>
  <si>
    <t>Válvula Solenoide ODE p/uso general. Diafragma de EPDM. Presión diferencial: 0,2 a 16 bar. Normal Abierta. Cuerpo de Latón. Aplicaciones en agua, aceite y aire. Diametro: 3/4".</t>
  </si>
  <si>
    <t>4021E 06</t>
  </si>
  <si>
    <t>Válvula Solenoide ODE p/uso general. Diafragma de EPDM. Presión diferencial: 0,2 a 16 bar. Normal Abierta. Cuerpo de Latón. Aplicaciones en agua, aceite y aire. Diametro: 1".</t>
  </si>
  <si>
    <t>4021E 07</t>
  </si>
  <si>
    <t>Válvula Solenoide ODE p/uso general. Diafragma de EPDM. Presión diferencial: 0,2 a 10 bar. Normal Abierta. Cuerpo de Latón. Aplicaciones en agua, aceite y aire. Diametro: 1 1/4".</t>
  </si>
  <si>
    <t>4021E 08</t>
  </si>
  <si>
    <t>Válvula Solenoide ODE p/uso general. Diafragma de EPDM. Presión diferencial: 0,2 a 10 bar. Normal Abierta. Cuerpo de Latón. Aplicaciones en agua, aceite y aire. Diametro: 1 1/2".</t>
  </si>
  <si>
    <t>4021E 09</t>
  </si>
  <si>
    <t>Válvula Solenoide ODE p/uso general. Diafragma de EPDM. Presión diferencial: 0,2 a 10 bar. Normal Abierta. Cuerpo de Latón. Aplicaciones en agua, aceite y aire. Diametro: 2".</t>
  </si>
  <si>
    <t>4426 04</t>
  </si>
  <si>
    <t>Valvula solenoide acción indirecta. Normal Abierta 2 VÍAS. Cuerpo de latón. Núcleo INOX INOX. Temp. Máx. 180ºC. Apta para Vapor. Presión Minima 0,5 a 10 Bar. pistón PTFE. Diametro 1/2".</t>
  </si>
  <si>
    <t>4426 05</t>
  </si>
  <si>
    <t>Valvula solenoide acción indirecta. Normal Abierta 2 VÍAS. Cuerpo de latón. Núcleo INOX INOX. Temp. Máx. 180ºC. Apta para Vapor. Presión Minima 0,5 a 10 Bar. pistón PTFE. Diametro 3/4".</t>
  </si>
  <si>
    <t>4426 06</t>
  </si>
  <si>
    <t>Valvula solenoide acción indirecta. Normal Abierta 2 VÍAS. Cuerpo de latón. Núcleo INOX INOX. Temp. Máx. 180ºC. Apta para Vapor. Presión Minima 0,5 a 10 Bar. pistón PTFE. Diametro 1".</t>
  </si>
  <si>
    <t>4640 02</t>
  </si>
  <si>
    <t>Válvula Solenoide ODE. Asiento de PTFE. Presión diferencial: 0 a 10 bar. Normal Abierta. Cuerpo de acero inoxidable AISI 316. Nucleo de INOX. Diametro:  1/4".</t>
  </si>
  <si>
    <t>4642 04</t>
  </si>
  <si>
    <t>Válvula Solenoide ODE. Asiento de  Viton. Presión diferencial: 0,1 a 20 bar. Normal Abierta. Cuerpo de acero inoxidable AISI 316. Nucleo de INOX. Diametro: 1/2".</t>
  </si>
  <si>
    <t>4642 05</t>
  </si>
  <si>
    <t>Válvula Solenoide ODE. Asiento de  Viton. Presión diferencial: 0,1 a 20 bar. Normal Abierta. Cuerpo de acero inoxidable AISI 316. Nucleo de INOX. Diametro: 3/4".</t>
  </si>
  <si>
    <t>4642 06</t>
  </si>
  <si>
    <t>Válvula Solenoide ODE. Asiento de  Viton. Presión diferencial: 0,1 a 20 bar. Normal Abierta. Cuerpo de acero inoxidable AISI 316. Nucleo de INOX. Diametro: 1".</t>
  </si>
  <si>
    <t>4731 11</t>
  </si>
  <si>
    <t>Valvula Hidraulica con Flotador. Mismas características que la anterior pero con extremos con bridas DIN PN 10/16. Diametro 3".</t>
  </si>
  <si>
    <t xml:space="preserve">4731 12 </t>
  </si>
  <si>
    <t>Valvula Hidraulica con Flotador. Mismas características que la anterior pero con extremos con bridas DIN PN 10/16. Diametro 4".</t>
  </si>
  <si>
    <t>4731 13</t>
  </si>
  <si>
    <t>Valvula Hidraulica con Flotador. Mismas características que la anterior pero con extremos con bridas DIN PN 10/16. Diametro 5".</t>
  </si>
  <si>
    <t>4731 14</t>
  </si>
  <si>
    <t>Valvula Hidraulica con Flotador. Mismas características que la anterior pero con extremos con bridas DIN PN 10/16. Diametro 6".</t>
  </si>
  <si>
    <t>4731 16</t>
  </si>
  <si>
    <t>Valvula Hidraulica con Flotador. Mismas características que la anterior pero con extremos con bridas DIN PN 10/16. Diametro 8".</t>
  </si>
  <si>
    <t>4731 18</t>
  </si>
  <si>
    <t>Valvula Hidraulica con Flotador. Mismas características que la anterior pero con extremos con bridas DIN PN 10/16. Diametro 10".</t>
  </si>
  <si>
    <t>4731 20</t>
  </si>
  <si>
    <t>Valvula Hidraulica con Flotador. Mismas características que la anterior pero con extremos con bridas DIN PN 10/16. Diametro 12".</t>
  </si>
  <si>
    <t>4808 11</t>
  </si>
  <si>
    <t>Bobina Corr. Alterna p/ Solen.110V. 8 Watt. 155º C</t>
  </si>
  <si>
    <t>4808 22</t>
  </si>
  <si>
    <t>Bobina Corr. Alterna p/ Solen.220V. 8 Watt. 155º C</t>
  </si>
  <si>
    <t>4808 24</t>
  </si>
  <si>
    <t>Bobina Corr. Alterna p/ Solen.24V. 8 Watt. 155º C</t>
  </si>
  <si>
    <t>4808 C12</t>
  </si>
  <si>
    <t>Bobina Corr. Continua p/ Solen.12V. 8 Watt. 155º C</t>
  </si>
  <si>
    <t>4808 C24</t>
  </si>
  <si>
    <t>Bobina Corr. Continua p/ Solen.24V. 8 Watt. 155º C</t>
  </si>
  <si>
    <t>4808F 11</t>
  </si>
  <si>
    <t>Bobina Corr. Alterna p/ Solen.110V. 8 Watt. 180º C</t>
  </si>
  <si>
    <t>4808F 22</t>
  </si>
  <si>
    <t>Bobina Corr. Alterna p/ Solen.220V. 8 Watt. 180º C</t>
  </si>
  <si>
    <t>4808F 24</t>
  </si>
  <si>
    <t>Bobina Corr. Alterna p/ Solen.24V. 8 Watt. 180º C</t>
  </si>
  <si>
    <t>4808F C12</t>
  </si>
  <si>
    <t>Bobina Corr. Continua p/ Solen.12V. 11 Watt. 180º C</t>
  </si>
  <si>
    <t>4808F C24</t>
  </si>
  <si>
    <t>Bobina Corr. Continua p/ Solen.24V. 11 Watt. 180º C</t>
  </si>
  <si>
    <t>4814 11</t>
  </si>
  <si>
    <t>Bobina Corr. Alterna p/ Solen.110V. 14 Watt. 180º C</t>
  </si>
  <si>
    <t>4814 22</t>
  </si>
  <si>
    <t>Bobina Corr. Alterna p/ Solen.220V. 14 Watt. 180º C</t>
  </si>
  <si>
    <t>4814 24</t>
  </si>
  <si>
    <t>Bobina Corr. Alterna p/ Solen.24V. 14 Watt. 180º C</t>
  </si>
  <si>
    <t>4814 C12</t>
  </si>
  <si>
    <t>Bobina Corr. Continua p/ Solen.12V. 14 Watt. 180º C</t>
  </si>
  <si>
    <t>4814 C24</t>
  </si>
  <si>
    <t>Bobina Corr. Continua p/ Solen.24V. 14 Watt. 180º C</t>
  </si>
  <si>
    <t>4805 11</t>
  </si>
  <si>
    <t>Bobina Corr. Alterna p/ Solen.110V. 5 Watt. 155º C</t>
  </si>
  <si>
    <t>4805 22</t>
  </si>
  <si>
    <t>Bobina Corr. Alterna p/ Solen.220V. 5 Watt. 155º C</t>
  </si>
  <si>
    <t>4805 24</t>
  </si>
  <si>
    <t>Bobina Corr. Alterna p/ Solen.24V. 5 Watt. 155º C</t>
  </si>
  <si>
    <t>4805 C12</t>
  </si>
  <si>
    <t>Bobina Corr. Continua p/ Solen.12V. 5 Watt. 155º C</t>
  </si>
  <si>
    <t>4805 C24</t>
  </si>
  <si>
    <t>Bobina Corr. Continua p/ Solen.24V. 5 Watt. 155º C</t>
  </si>
  <si>
    <t>4801 05</t>
  </si>
  <si>
    <t>Conector Tripolar 5 Watt IP-65</t>
  </si>
  <si>
    <t>4801 08</t>
  </si>
  <si>
    <t>Conector Tripolar 8 Watt IP-65</t>
  </si>
  <si>
    <t>VBC2-150</t>
  </si>
  <si>
    <t>CUCHILLA</t>
  </si>
  <si>
    <t>Válvula Cuchilla, tipo LUG, con orejas roscadas intercaladas. Conexión ANSI 150.Presión max. 19 bar. Cuerpo de Fundición Gris GG25, Cuchilla de Acero Inoxidable AISI 304, Asiento EPDM, Empaquetadura fibra sintética teflonada (ST). Medida 2"</t>
  </si>
  <si>
    <t>VBC3-150</t>
  </si>
  <si>
    <t>Válvula Cuchilla, tipo LUG, con orejas roscadas intercaladas. Conexión ANSI 150.Presión max. 19 bar. Cuerpo de Fundición Gris GG25, Cuchilla de Acero Inoxidable AISI 304, Asiento EPDM, Empaquetadura fibra sintética teflonada (ST). Medida 3"</t>
  </si>
  <si>
    <t>VBC4-150</t>
  </si>
  <si>
    <t>Válvula Cuchilla, tipo LUG, con orejas roscadas intercaladas. Conexión ANSI 150.Presión max. 19 bar. Cuerpo de Fundición Gris GG25, Cuchilla de Acero Inoxidable AISI 304, Asiento EPDM, Empaquetadura fibra sintética teflonada (ST). Medida 4"</t>
  </si>
  <si>
    <t>VBC6-150</t>
  </si>
  <si>
    <t>Válvula Cuchilla, tipo LUG, con orejas roscadas intercaladas. Conexión ANSI 150.Presión max. 19 bar. Cuerpo de Fundición Gris GG25, Cuchilla de Acero Inoxidable AISI 304, Asiento EPDM, Empaquetadura fibra sintética teflonada (ST). Medida 6"</t>
  </si>
  <si>
    <t>VBC8-150</t>
  </si>
  <si>
    <t>Válvula Cuchilla, tipo LUG, con orejas roscadas intercaladas. Conexión ANSI 150.Presión max. 19 bar. Cuerpo de Fundición Gris GG25, Cuchilla de Acero Inoxidable AISI 304, Asiento EPDM, Empaquetadura fibra sintética teflonada (ST). Medida 8"</t>
  </si>
  <si>
    <t>VBC10-150</t>
  </si>
  <si>
    <t>Válvula Cuchilla, tipo LUG, con orejas roscadas intercaladas. Conexión ANSI 150.Presión max. 19 bar. Cuerpo de Fundición Gris GG25, Cuchilla de Acero Inoxidable AISI 304, Asiento EPDM, Empaquetadura fibra sintética teflonada (ST). Medida 10"</t>
  </si>
  <si>
    <t>VBC12-150</t>
  </si>
  <si>
    <t>Válvula Cuchilla, tipo LUG, con orejas roscadas intercaladas. Conexión ANSI 150.Presión max. 19 bar. Cuerpo de Fundición Gris GG25, Cuchilla de Acero Inoxidable AISI 304, Asiento EPDM, Empaquetadura fibra sintética teflonada (ST). Medida 12"</t>
  </si>
  <si>
    <t>KPI 35</t>
  </si>
  <si>
    <t>Danfoss KPI35. Presostato industrial -0,2 a 8 bar. Diferencial ajustable: 0,4 a 1,5 bar. Conexión: G 1/4". Adecuados para CC y CA. Aplicable para líquidos, medios gasesos y aire.</t>
  </si>
  <si>
    <t>KPI 36</t>
  </si>
  <si>
    <t>Danfoss KPI36. Presostato industrial 4 a 12 bar. Diferencial ajustable: 0,5 a 1,6 bar. Conexión: G 1/4". Adecuados para CC y CA. Aplicable para líquidos, medios gasesos y aire.</t>
  </si>
  <si>
    <t>KPI 38</t>
  </si>
  <si>
    <t>Danfoss KPI38. Presostato industrial 8 a 28 bar. Diferencial ajustable: 1,8 a 6 bar. Conexión: G 1/4". Adecuados para CC y CA. Aplicable para líquidos, medios gasesos y aire.</t>
  </si>
  <si>
    <t>MN72150RF0050D</t>
  </si>
  <si>
    <t>Manómetro marca CENI - Serie: 72 - Caja: Acero inoxidable Ø150 mm - Internos: Acero inoxidable - Cierre: Bayoneta - Salida: Inferior 1/2"NPT - Rango: 0-50 bar/psi - Clase: 1% - Apto para carga con glicerina - Apto reparación</t>
  </si>
  <si>
    <t>TPSMP131TLD400I</t>
  </si>
  <si>
    <t>Transmisor de presión LEEG - Modelo: SMP131-TLD con seguridad intrinseca (Ex NEPSI)
Salida: 4-20 mA 2 cables - Alimentación: 24 vcc - Rango: 0-400 bar - Precisión: 0,5%
Conex. Proceso: 1/2"NPT</t>
  </si>
  <si>
    <t>MN22100RF0700D</t>
  </si>
  <si>
    <t xml:space="preserve">Manómetro marca CENI - Serie: 22 - Caja: Acero inoxidable Ø100 mm - Internos: Bronce - Salida: Inferior 1/2"NPT - Rango: 0-700 bar/psi - Clase: 1,6% - Con glicerina </t>
  </si>
  <si>
    <t>MN22063RF0030D</t>
  </si>
  <si>
    <t xml:space="preserve">Manómetro marca CENI - Serie: 22 - Caja: Acero inoxidable Ø63 mm - Internos: Bronce - Salida: Inferior 1/4"NPT - Rango: 0-30 bar/psi - Clase: 1,6% - Con glicerina </t>
  </si>
  <si>
    <t>MN22063PC0020D</t>
  </si>
  <si>
    <t>Manómetro marca CENI - Serie: 22 - Caja: Acero inoxidable Ø63 mm - Internos: Bronce - Salida: Posterior 1/4"NPT - Rango: 0-20 bar/psi - Clase: 1,6% - Con glicerina</t>
  </si>
  <si>
    <t>SE01401154</t>
  </si>
  <si>
    <t>Tipo: Danesa, Conex. Instrumento: 1/2"NPTH, Tamaño: 1 1/2", Conexión Proceso: n/a, Presión: 2 bar - 40 bar, Materiales: Cuerpo: AISI 316 - Membrana: AISI 316L</t>
  </si>
  <si>
    <t>SE01251151</t>
  </si>
  <si>
    <t>Tipo: Danesa, Conex. Instrumento: 1/4"NPTH, Tamaño: 1", Conexión Proceso: n/a, Presión: 8 bar - 40 bar, Materiales: Cuerpo: AISI 316 - Membrana: AISI 316L</t>
  </si>
  <si>
    <t>MN72150RF0150D</t>
  </si>
  <si>
    <t>Manómetro marca CENI - Serie: 72 - Caja: Acero inoxidable Ø150 mm - Internos: Acero inoxidable - Cierre: Bayoneta - Salida: Inferior 1/2"NPT - Rango: 0-150 bar/psi - Clase: 1% - Apto para carga con glicerina - Apto reparación</t>
  </si>
  <si>
    <t>MN22063PF0014D</t>
  </si>
  <si>
    <t xml:space="preserve">Manómetro marca CENI - Serie: 22 - Caja: Acero inoxidable Ø63 mm - Internos: Bronce - Salida: Posterior 1/4"NPT - Rango: 0-14 bar/psi - Clase: 1,6% - Con glicerina </t>
  </si>
  <si>
    <t>MN22100PF0020D</t>
  </si>
  <si>
    <t>Manómetro marca CENI - Serie: 22 - Caja: Acero inoxidable Ø100 mm - Internos: Bronce - Salida: Posterior 1/2"NPT - Rango: 0-20 bar/psi - Clase: 1,6% - Con glicerina</t>
  </si>
  <si>
    <t>MN22100RF0014D</t>
  </si>
  <si>
    <t>Manómetro marca CENI - Serie: 22 - Caja: Acero inoxidable Ø100 mm - Internos: Bronce - Salida: Inferior 1/2"NPT - Rango: 0-14 bar/psi - Clase: 1,6% - Con glicerina</t>
  </si>
  <si>
    <t>MN22063RF0140D</t>
  </si>
  <si>
    <t xml:space="preserve">Manómetro marca CENI - Serie: 22 - Caja: Acero inoxidable Ø63 mm - Internos: Bronce - Salida: Inferior 1/4"NPT - Rango: 0-140 bar/psi - Clase: 1,6% - Con glicerina </t>
  </si>
  <si>
    <t>MN22100RF0140D</t>
  </si>
  <si>
    <t>MN220100PF0140D</t>
  </si>
  <si>
    <t xml:space="preserve">Manómetro marca CENI - Serie: 22 - Caja: Acero inoxidable Ø63 mm - Internos: Bronce - Salida: Posterior 1/4"NPT - Rango: 0-140 bar/psi - Clase: 1,6% - Con glicerina </t>
  </si>
  <si>
    <t>MN22100PF0200D</t>
  </si>
  <si>
    <t>Manómetro marca CENI - Serie: 22 - Caja: Acero inoxidable Ø100 mm - Internos: Bronce - Salida: Posterior 1/2"NPT - Rango: 0-200 bar/psi - Clase: 1,6% - Con glicerina</t>
  </si>
  <si>
    <t>MN22100RF0020D</t>
  </si>
  <si>
    <t xml:space="preserve">Manómetro marca CENI - Serie: 22 - Caja: Acero inoxidable Ø63 mm - Internos: Bronce - Salida: Inferior 1/4"NPT - Rango: 0-20 bar/psi - Clase: 1,6% - Con glicerina </t>
  </si>
  <si>
    <t>MN22100PF0004D</t>
  </si>
  <si>
    <t>Manómetro marca CENI - Serie: 22 - Caja: Acero inoxidable Ø100 mm - Internos: Bronce - Salida: Posterior 1/2"NPT - Rango: 0-4 bar/psi - Clase: 1,6% - Con glicerina</t>
  </si>
  <si>
    <t>MN74100RF0070D</t>
  </si>
  <si>
    <t>Manómetro marca CENI - Serie: 74 - Caja: Acero inoxidable Ø100 mm solid front - Internos: Acero inoxidable - Cierre: Bayoneta - Safety glass - Salida: Inferior 1/2"NPT - Rango: 0-70 bar/psi - Clase: 1% - Apto para carga con glicerina - Apto reparación</t>
  </si>
  <si>
    <t>MN74100RF0040D</t>
  </si>
  <si>
    <t>Manómetro marca CENI - Serie: 74 - Caja: Acero inoxidable Ø100 mm solid front - Internos: Acero inoxidable - Cierre: Bayoneta - Safety glass - Salida: Inferior 1/2"NPT - Rango: 0-40 bar - Clase: 1% - Apto para carga con glicerina - Apto reparación</t>
  </si>
  <si>
    <t>MN74100RF0030D</t>
  </si>
  <si>
    <t>Manómetro marca CENI - Serie: 74 - Caja: Acero inoxidable Ø100 mm solid front - Internos: Acero inoxidable - Cierre: Bayoneta - Safety glass - Salida: Inferior 1/2"NPT - Rango: 0-30 bar/psi - Clase: 1% - Apto para carga con glicerina - Apto reparación</t>
  </si>
  <si>
    <t>MN72100RF15000P</t>
  </si>
  <si>
    <t>Manómetro marca CENI - Serie: 72 - Caja: Acero inoxidable Ø100 mm - Internos: Acero inoxidable - Cierre: Bayoneta - Salida: Inferior 1/2"NPT - Rango: 0-15000 psi - Clase: 1% - Safety glass (vidrio de seguridad) - Tapón trasero expulsable - Apto para carga con glicerina - Apto reparación</t>
  </si>
  <si>
    <t>MN72100RF10000P</t>
  </si>
  <si>
    <t>Manómetro marca CENI - Serie: 72 - Caja: Acero inoxidable Ø100 mm - Internos: Acero inoxidable - Cierre: Bayoneta - Salida: Inferior 1/2"NPT - Rango: 0-10000 psi - Clase: 1% - Safety glass (vidrio de seguridad) - Tapón trasero expulsable - Apto para carga con glicerina - Apto reparación</t>
  </si>
  <si>
    <t>SM01401150</t>
  </si>
  <si>
    <t>Tipo: SMS (HEMBRA), Conex. Instrumento: 1/4"NPTH, Tamaño: 1 1/2", Conexión Proceso: n/a, Presión: 2 bar - 40 bar, Materiales: Cuerpo: AISI 316 - Membrana: AISI 316L</t>
  </si>
  <si>
    <t>MN51050PB0016D</t>
  </si>
  <si>
    <t>Manómetro marca CENI - Serie: 11 - Caja: Acero negra Ø50 mm - Internos: Bronce - Salida: Posterior 1/4"NPT - Rango: 0-16 bar/psi - Clase: 2,5%</t>
  </si>
  <si>
    <t>MN51050RD0400D</t>
  </si>
  <si>
    <t>Serie: 51 Diámetro: 50 mm Salida: Inferior Rosca: 1/4"G Escala: 0-400 bar/psi; GNC</t>
  </si>
  <si>
    <t>MN22100PF0600D</t>
  </si>
  <si>
    <t>Manómetro marca CENI - Serie: 22 - Caja: Acero inoxidable Ø100 mm - Internos: Bronce - Salida: Posterior 1/2"NPT - Rango: 0-600 bar/psi - Clase: 1,6% - Con glicerina</t>
  </si>
  <si>
    <t>MN22100PF0016D</t>
  </si>
  <si>
    <t xml:space="preserve">Manómetro marca CENI - Serie: 22 - Caja: Acero inoxidable Ø100 mm - Internos: Bronce - Salida: Posterior 1/2"NPT - Rango: 0-16 bar/psi - Clase: 1,6% - Con glicerina </t>
  </si>
  <si>
    <t>MN72150RF0105D</t>
  </si>
  <si>
    <t>Manovacuómetro marca CENI - Serie: 72 - Caja: Acero inoxidable Ø150 mm - Internos: Acero inoxidable - Cierre: Bayoneta - Salida: Inferior 1/2"NPT - Rango: -1+5 bar/psi - Clase: 1% - Apto para carga con glicerina - Apto reparación</t>
  </si>
  <si>
    <t>PROT.NEG.50</t>
  </si>
  <si>
    <t>Protector de goma, color negro, para manómetros Ø50 mm</t>
  </si>
  <si>
    <t>PROT.NEG.40</t>
  </si>
  <si>
    <t>Protector de goma, color negro, para manómetros Ø40 mm</t>
  </si>
  <si>
    <t>SS-V8-F8-M8-6</t>
  </si>
  <si>
    <t>Válvula de bloqueo. SS-V8-F8-M8-6. Conex. Instrumento: 1/2"NPTH - Conex. Proceso: 1/2"NPTM. Presión máxima: 10.000 psi.</t>
  </si>
  <si>
    <t>MN72100RM0010D</t>
  </si>
  <si>
    <t>Manómetro marca CENI - Serie: 72 - Caja: Acero inoxidable Ø100 mm - Internos: Acero inoxidable - Cierre: Bayoneta - Salida: Inferior 3/8"NPT - Rango: 0-10 bar/psi - Clase: 1% - Safety glass (vidrio de seguridad) - Tapón trasero expulsable - Apto para carga con glicerina - Apto reparación</t>
  </si>
  <si>
    <t>MPVC08001002020</t>
  </si>
  <si>
    <t>Para manómetros serie 22, 70 y 72 salida posterior. Material; AISI 304</t>
  </si>
  <si>
    <t>MN51063RD0030T</t>
  </si>
  <si>
    <t>Manómetro marca CENI - Serie: 11 - Caja: Acero negra Ø63 mm - Internos: Bronce - Salida: Inferior 1/4"BSP - Rango: 0-30 TN - Clase: 1,6-2,5%</t>
  </si>
  <si>
    <t>REPSELLO6</t>
  </si>
  <si>
    <t>Rango:
Modelo:
Rosca:
ID JMH:
No incluye fluido trasmisor (carga de sistema)
*Informe de Estado*
Sello: APTO / NO APTO</t>
  </si>
  <si>
    <t>REPSELLO2</t>
  </si>
  <si>
    <t>Rango:
NORMA/Modelo: 
Rosca:
ID JMH:
No incluye fluido trasmisor (carga de sistema)
*Informe de Estado*
Sello: APTO / NO APTO</t>
  </si>
  <si>
    <t>MN60063RC0600M</t>
  </si>
  <si>
    <t>Manómetro marca CENI - Serie: 60 - Caja: Acero negra Ø63 mm - Internos: Bronce - Salida: Inferior 1/4"G - Rango: 0-600 mbar - Clase: 2,5%</t>
  </si>
  <si>
    <t>MN22100RF0200D</t>
  </si>
  <si>
    <t xml:space="preserve">Manómetro marca CENI - Serie: 22 - Caja: Acero inoxidable Ø100 mm - Internos: Bronce - Salida: Inferior 1/2"NPT - Rango: 0-200 bar/psi - Clase: 1,6% - Con glicerina </t>
  </si>
  <si>
    <t>MN74100RF0160E</t>
  </si>
  <si>
    <t>Manómetro marca CENI - Serie: 74 - Caja: Acero inoxidable Ø100 mm solid front - Internos: Acero inoxidable - Cierre: Bayoneta - Safety glass - Salida: Inferior 1/2"NPT - Rango: 0-160 kpa/psi - Clase: 1% - Apto para carga con glicerina - Apto reparación</t>
  </si>
  <si>
    <t>TPSMP131TLD0040</t>
  </si>
  <si>
    <t>Transmisor de presión LEEG - Modelo: SMP131-TLD
Salida: 4-20 mA 2 cables - Alimentación: 24 vcc - Rango: 0-40 bar - Precisión: 0,5%
Conex. Proceso: 1/2"NPT-M</t>
  </si>
  <si>
    <t>MN62100RC0100M</t>
  </si>
  <si>
    <t xml:space="preserve">Vacuómetro marca CENI - Serie: 62 - Caja: Acero inoxidable Ø100 mm - Cierre: Bayoneta - Internos: Acero inoxidable, a cápsula para baja presión - Safety glass - Salida: Inferior 1/2"G - Rango: -100 mbar - Clase: 1% - No apto para carga con glicerina - Apto reparación </t>
  </si>
  <si>
    <t>REPSELLO4</t>
  </si>
  <si>
    <t>SS-V8-F8-6</t>
  </si>
  <si>
    <t>Válvula de bloqueo. SS-V8-F8-6. Conex. Instrumento: 1/2"NPTH. Conex. Proceso: 1/2"NPTH Presión máxima: 10.000 psi</t>
  </si>
  <si>
    <t>SS-GV-NT8-FNT8-C-P</t>
  </si>
  <si>
    <t>Válvula de bloqueo marca CENI - 1 vía. Modelo: MIP-1V. Construida totalmente en acero inoxidable - Conex. Instrumento: 1/2"NPTH - Conex. Proceso: 1/2"NPTM - Empaquetadura: PTFE - Presión máxima: 6.000 psi</t>
  </si>
  <si>
    <t>SS-2R-NT8-FNT8-H-TP</t>
  </si>
  <si>
    <t>Válvula de bloqueo y purga marca CENI - Construida totalmente en acero inoxidable - Conex. Instrumento: 1/2"NPTH - Conex. Proceso: 1/2"NPTM - Purga: 1/4"NPTH con tapón - Empaquetadura: PTFE - Presión máxima: 6.000 psi</t>
  </si>
  <si>
    <t>SS-2R-NT8-FNT8-H-TP-G</t>
  </si>
  <si>
    <t>Válvula de bloqueo y purga para alta temperatura marca CENI - Construida totalmente en acero inoxidable - Conex. Instrumento: 1/2"NPTH - Conex. Proceso: 1/2"NPTM - Purga: 1/4"NPTH con tapón - Empaquetadura: GRAFOIL - Presión máxima: 6.000 psi - Temperatura máxima: 650ºC</t>
  </si>
  <si>
    <t>SS-2RN15-NT8-FNT8-H</t>
  </si>
  <si>
    <t>Válvula de bloqueo y purga para alta presión marca CENI - Construida totalmente en acero inoxidable - Conex. Instrumento: 1/2"NPTH - Conex. Proceso: 1/2"NPTM - Purga: 1/4"NPTH con tapón - Empaquetadura: PTFE - Presión máxima: 15.000 psi</t>
  </si>
  <si>
    <t>SS-2RH-NT8-FNT8-H-TP</t>
  </si>
  <si>
    <t>Válvula de bloqueo y purga para alta presión marca CENI - Construida totalmente en acero inoxidable - Conex. Instrumento: 1/2"NPTH - Conex. Proceso: 1/2"NPTM - Purga: 1/4"NPTH con tapón - Empaquetadura: PTFE - Presión máxima: 10.000 psi</t>
  </si>
  <si>
    <t>MIP-1V</t>
  </si>
  <si>
    <t>Válvula aguja para alta presión marca CENI - Construida totalmente en acero inoxidable - Conexiones: 3/8" OD - 1/2" OD - Empaquetadura: PTFE - Presión máxima: 60.000 psi</t>
  </si>
  <si>
    <t>Válvula aguja para alta presión marca CENI - Construida totalmente en acero inoxidable - Conexiones: 3/8" OD - 1/2" OD - Empaquetadura: PTFE - Presión máxima: 30.000 psi</t>
  </si>
  <si>
    <t>Válvula aguja para alta presión marca CENI - Construida totalmente en acero inoxidable - Conexiones: 3/8" OD - 1/2" OD - Empaquetadura: PTFE - Presión máxima: 20.000 psi</t>
  </si>
  <si>
    <t>Válvula aguja para alta presión marca CENI - Construida totalmente en acero inoxidable - Conexiones: 3/8" OD - 1/2" OD - Empaquetadura: PTFE - Presión máxima: 15.000 psi</t>
  </si>
  <si>
    <t>Válvula aguja marca CENI - 1 vía. Construida totalmente en acero inoxidable - Conex. Instrumento: 1/2"NPTH - Conex. Proceso: 1/2"NPTM - Empaquetadura: PTFE - Presión máxima: 6.000 psi</t>
  </si>
  <si>
    <t>Válvula aguja marca CENI - 1 vía. Construida totalmente en acero inoxidable - Conex. Instrumento: 1/2"NPTH - Conex. Proceso: 1/2"NPTH - Empaquetadura: PTFE - Presión máxima: 6.000 psi</t>
  </si>
  <si>
    <t>TP420010060105</t>
  </si>
  <si>
    <t>TRANSMISORES DE PRESION SERIE WP 401B. Marca: CENI Rango: 0-60 Milibar. Sensor piezorresistivo (Diffuse Silicon Single Cristal). Alimentación: 24 VCC (12 - 30 VCC). Señal de salida: 4 - 20 mA 2 cables C/ AJUSTE  DE CERO y SPAN</t>
  </si>
  <si>
    <t>TPSMP131TLDC006</t>
  </si>
  <si>
    <t>Transmisor de presión LEEG - Modelo: SMP131-TLD
Salida: 4-20 mA 2 cables - Alimentación: 24 vcc - Rango: 0-6 bar - Precisión: 0,5%
Conex. Proceso: 1/4"NPT</t>
  </si>
  <si>
    <t>TPSMP131TLDC400</t>
  </si>
  <si>
    <t>Transmisor de presión LEEG - Modelo: SMP131-TLD
Salida: 4-20 mA 2 cables - Alimentación: 24 vcc - Rango: 0-400 bar - Precisión: 0,5%
Conex. Proceso: 1/4"NPT</t>
  </si>
  <si>
    <t>TPSMP131TLDC025</t>
  </si>
  <si>
    <t>Transmisor de presión LEEG - Modelo: SMP131-TLD
Salida: 4-20 mA 2 cables - Alimentación: 24 vcc - Rango: 0-25bar - Precisión: 0,5%
Conex. Proceso: 1/4"NPT</t>
  </si>
  <si>
    <t>TPSMP131TLDC010</t>
  </si>
  <si>
    <t>Transmisor de presión LEEG - Modelo: SMP131-TLD
Salida: 4-20 mA 2 cables - Alimentación: 24 vcc - Rango: 0-10 bar - Precisión: 0,5%
Conex. Proceso: 1/4"NPT</t>
  </si>
  <si>
    <t>TPSMP131TLD0600</t>
  </si>
  <si>
    <t>Transmisor de presión LEEG - Modelo: SMP131-TLD
Salida: 4-20 mA 2 cables - Alimentación: 24 vcc - Rango: 0-600 bar - Precisión: 0,5%
Conex. Proceso: 1/2"NPT</t>
  </si>
  <si>
    <t>TPSMP131TLD0060</t>
  </si>
  <si>
    <t>Transmisor de presión LEEG - Modelo: SMP131-TLD
Salida: 4-20 mA 2 cables - Alimentación: 24 vcc - Rango: 0-60 bar - Precisión: 0,5%
Conex. Proceso: 1/2"NPT</t>
  </si>
  <si>
    <t>TPSMP131TLD0006</t>
  </si>
  <si>
    <t>Transmisor de presión LEEG - Modelo: SMP131-TLD
Salida: 4-20 mA 2 cables - Alimentación: 24 vcc - Rango: 0-6 bar - Precisión: 0,5%
Conex. Proceso: 1/2"NPT</t>
  </si>
  <si>
    <t>TPSMP131TLD0400</t>
  </si>
  <si>
    <t>Transmisor de presión LEEG - Modelo: SMP131-TLD
Salida: 4-20 mA 2 cables - Alimentación: 24 vcc - Rango: 0-400 bar - Precisión: 0,5%
Conex. Proceso: 1/2"NPT</t>
  </si>
  <si>
    <t>TPSMP131TLD0004</t>
  </si>
  <si>
    <t>Transmisor de presión LEEG - Modelo: SMP131-TLD
Salida: 4-20 mA 2 cables - Alimentación: 24 vcc - Rango: 0-4 bar - Precisión: 0,5%
Conex. Proceso: 1/2"NPT</t>
  </si>
  <si>
    <t>TPSMP131TLD0112</t>
  </si>
  <si>
    <t>Transmisor de presión LEEG - Modelo: SMP131-TLD
Salida: 4-20 mA 2 cables - Alimentación: 24 vcc - Rango: 0-250 mbar - Precisión: 0,5%
Conex. Proceso: 1/2"NPT</t>
  </si>
  <si>
    <t>TPSMP131TLD0250</t>
  </si>
  <si>
    <t>Transmisor de presión LEEG - Modelo: SMP131-TLD
Salida: 4-20 mA 2 cables - Alimentación: 24 vcc - Rango: 0-250 bar - Precisión: 0,5%
Conex. Proceso: 1/2"NPT</t>
  </si>
  <si>
    <t>TPSMP131TLD0025</t>
  </si>
  <si>
    <t>Transmisor de presión LEEG - Modelo: SMP131-TLD
Salida: 4-20 mA 2 cables - Alimentación: 24 vcc - Rango: 0-25 bar - Precisión: 0,5%
Conex. Proceso: 1/2"NPT</t>
  </si>
  <si>
    <t>TPSMP131TLD0205</t>
  </si>
  <si>
    <t>Transmisor de presión LEEG - Modelo: SMP131-TLD
Salida: 4-20 mA 2 cables - Alimentación: 24 vcc - Rango: 0-2,5 bar - Precisión: 0,5%
Conex. Proceso: 1/2"NPT</t>
  </si>
  <si>
    <t>TPSMP131TLD0016</t>
  </si>
  <si>
    <t>Transmisor de presión LEEG - Modelo: SMP131-TLD
Salida: 4-20 mA 2 cables - Alimentación: 24 vcc - Rango: 0-16 bar - Precisión: 0,5%
Conex. Proceso: 1/2"NPT</t>
  </si>
  <si>
    <t>TPSMP131TLD1000</t>
  </si>
  <si>
    <t>Transmisor de presión LEEG - Modelo: SMP131-TLD
Salida: 4-20 mA 2 cables - Alimentación: 24 vcc - Rango: 0-1000 bar - Precisión: 0,5%
Conex. Proceso: 1/2"NPT</t>
  </si>
  <si>
    <t>TPSMP131TLD0111</t>
  </si>
  <si>
    <t>Transmisor de presión LEEG - Modelo: SMP131-TLD
Salida: 4-20 mA 2 cables - Alimentación: 24 vcc - Rango: 0-100 mbar - Precisión: 0,5%
Conex. Proceso: 1/2"NPT</t>
  </si>
  <si>
    <t>TPSMP131TLD0100</t>
  </si>
  <si>
    <t>Transmisor de presión LEEG - Modelo: SMP131-TLD
Salida: 4-20 mA 2 cables - Alimentación: 24 vcc - Rango: 0-100 bar - Precisión: 0,5%
Conex. Proceso: 1/2"NPT</t>
  </si>
  <si>
    <t>TPSMP131TLD0010</t>
  </si>
  <si>
    <t>Transmisor de presión LEEG - Modelo: SMP131-TLD
Salida: 4-20 mA 2 cables - Alimentación: 24 vcc - Rango: 0-10 bar - Precisión: 0,5%
Conex. Proceso: 1/2"NPT-M</t>
  </si>
  <si>
    <t>TPSMP131TLD0109</t>
  </si>
  <si>
    <t>Transmisor de presión LEEG - Modelo: SMP131-TLD
Salida: 4-20 mA 2 cables - Alimentación: 24 vcc - Rango: -1+8 bar - Precisión: 0,5%
Conex. Proceso: 1/2"NPT</t>
  </si>
  <si>
    <t>TPSMP131TLD0103</t>
  </si>
  <si>
    <t>Transmisor de presión LEEG - Modelo: SMP131-TLD
Salida: 4-20 mA 2 cables - Alimentación: 24 vcc - Rango: -1+2 bar - Precisión: 0,5%
Conex. Proceso: 1/2"NPT</t>
  </si>
  <si>
    <t>TPSMP131TLD0001</t>
  </si>
  <si>
    <t>Transmisor de presión LEEG - Modelo: SMP131-TLD
Salida: 4-20 mA 2 cables - Alimentación: 24 vcc - Rango: 0-1 bar - Precisión: 0,5%
Conex. Proceso: 1/2"NPT</t>
  </si>
  <si>
    <t>TP420INLED0000</t>
  </si>
  <si>
    <t xml:space="preserve">Indicador local universal. Marca: LEEG, Modelo: LDC11. Conexión DIN 42650, IP65. Señal de salida: 4-20 mA/ 1 PNP </t>
  </si>
  <si>
    <t>TVR02010307V</t>
  </si>
  <si>
    <t>TERMOVAINA 1/2"x 3/4". Marca: CENI. Modelo: Serie TVR-1C50. Conexión Instrumento: 1/2'' NPTH Conexión a proceso: 1/2'' NPTM. Material: total inox AISI 316. Mecanizada en una sola pieza Largo útil de inserción: 150 mm.</t>
  </si>
  <si>
    <t>TVR02060305S</t>
  </si>
  <si>
    <t>Marca: CENI. Modelo: Serie TVR-1C50. Conexión Instrumento: 1/2'' NPTH Conexión a proceso: 3/4'' NPT M. Material: total inox AISI 316. Mecanizada en una sola pieza Largo útil de inserción: 130 mm (Acorde a sensor de 150 mm U)</t>
  </si>
  <si>
    <t>TVR02010305S</t>
  </si>
  <si>
    <t>TERMOVAINA 1/2"x 3/4". Marca: CENI. Modelo: Serie TVR-1C75. Conexión Instrumento: 1/2'' NPTH. Conexión a proceso: 3/4'' NPTM. Material: total inox AISI 316. Mecanizada en una sola pieza Largo útil de inserción: 100 mm.</t>
  </si>
  <si>
    <t>TVR02010303Y</t>
  </si>
  <si>
    <t>Marca: CENI. Modelo: Serie TVR-1C50. Conexión Instrumento: 1/2'' NPTH Conexión a proceso: 1/2'' NPTM. Material: total inox AISI 316 Mecanizada en una sola pieza Largo útil de inserción: 50 mm.</t>
  </si>
  <si>
    <t>TVR02020303S</t>
  </si>
  <si>
    <t>TERMOVAINA 1/2"x 1/2" Marca: CENI. Modelo: Serie TVR-1C50. Conexión Instrumento: 1/2'' NPTH Conexión a proceso: 1/2'' NPTM. Material: total inox AISI 316 Mecanizada en una sola pieza Largo útil de inserción: 150 mm</t>
  </si>
  <si>
    <t>TVR02060303S</t>
  </si>
  <si>
    <t>Marca: CENI. Modelo: Serie TVR-1C50. Conexión Instrumento: 1/2'' NPTH. Conexión a proceso: 1/2'' NPTM Material: total inox AISI 316. Mecanizada en una sola pieza Largo útil de inserción: 130 mm</t>
  </si>
  <si>
    <t>TVR02010303S</t>
  </si>
  <si>
    <t>TERMOVAINA 1/2"x 1/2". Marca: CENI. Modelo: Serie TVR-1C50. Conexión Instrumento: 1/2'' NPTH Conexión a proceso: 1/2'' BSPT M. Material: total inox AISI 316 Mecanizada en una sola pieza Largo útil de inserción: 100 mm</t>
  </si>
  <si>
    <t>TEB02R01A0400</t>
  </si>
  <si>
    <t>Termómetro bimetálico marca CENI - Construido totalmente en acero inoxidable - Caja: Ø63 mm - Salida: Inferior - Rosca: 1/4"NPT - Largo vaina: 100 mm - Rango: 0-400°C - Clase: 1,6%</t>
  </si>
  <si>
    <t>TEB02R01A0250</t>
  </si>
  <si>
    <t>Termómetro bimetálico marca CENI - Construido totalmente en acero inoxidable - Caja: Ø63 mm - Salida: Inferior - Rosca: 1/4"NPT - Largo vaina: 100 mm - Rango: 0-250°C - Clase: 1,6%</t>
  </si>
  <si>
    <t>TEB02R01A0120</t>
  </si>
  <si>
    <t>Termómetro bimetálico marca CENI - Construido totalmente en acero inoxidable - Caja: Ø63 mm - Salida: Inferior - Rosca: 1/4"NPT - Largo vaina: 100 mm - Rango: 0-120°C - Clase: 1,6%</t>
  </si>
  <si>
    <t>TEB02P01A4040</t>
  </si>
  <si>
    <t>Termómetro bimetálico marca CENI - Construido totalmente en acero inoxidable - Caja: Ø63 mm - Salida: Posterior - Rosca: 1/4"NPT - Largo vaina: 100 mm - Rango: -40+40°C - Clase: 1,6%</t>
  </si>
  <si>
    <t>TEB02P01A4041</t>
  </si>
  <si>
    <t>Termómetro bimetálico marca CENI - Construido totalmente en acero inoxidable - Caja: Ø63 mm - Salida: Posterior - Rosca: 1/4"NPT - Largo vaina: 100 mm - Rango: -10+40°C - Clase: 1,6%</t>
  </si>
  <si>
    <t>TEB02P01A0060</t>
  </si>
  <si>
    <t>Termómetro bimetálico marca CENI - Construido totalmente en acero inoxidable - Caja: Ø63 mm - Salida: Posterior - Rosca: 1/4"NPT - Largo vaina: 85 mm UTIL - Rango: 0-60°C - Clase: 1,6%</t>
  </si>
  <si>
    <t>TEB02P01A0400</t>
  </si>
  <si>
    <t>Termómetro bimetálico marca CENI - Construido totalmente en acero inoxidable - Caja: Ø63 mm - Salida: Posterior - Rosca: 1/4"NPT - Largo vaina: 100 mm - Rango: 0-400°C - Clase: 1,6%</t>
  </si>
  <si>
    <t>TEB02P01A0300</t>
  </si>
  <si>
    <t>Termómetro bimetálico marca CENI - Construido totalmente en acero inoxidable - Caja: Ø63 mm - Salida: Posterior - Rosca: 1/4"NPT - Largo vaina: 100 mm - Rango: 0-300°C - Clase: 1,6%</t>
  </si>
  <si>
    <t>TEB02P01A0250</t>
  </si>
  <si>
    <t>Termómetro bimetálico marca CENI - Construido totalmente en acero inoxidable - Caja: Ø63 mm - Salida: Posterior - Rosca: 1/4"NPT - Largo vaina: 100 mm - Rango: 0-250°C - Clase: 1,6%</t>
  </si>
  <si>
    <t>TEB02P01A0120</t>
  </si>
  <si>
    <t>Termómetro bimetálico marca CENI - Construido totalmente en acero inoxidable - Caja: Ø63 mm - Salida: Posterior - Rosca: 1/4"NPT - Largo vaina: 100 mm - Rango: 0-120°C - Clase: 1,6%</t>
  </si>
  <si>
    <t>TEB02P01A0100</t>
  </si>
  <si>
    <t>Termómetro bimetálico marca CENI - Construido totalmente en acero inoxidable - Caja: Ø63 mm - Salida: Posterior - Rosca: 1/4"NPT - Largo vaina: 85 mm UTIL - Rango: 0-100°C - Clase: 1,6%</t>
  </si>
  <si>
    <t>TEB03V02C0060</t>
  </si>
  <si>
    <t>Termómetro bimetálico marca CENI - Construido totalmente en acero inoxidable - Caja: Ø100 mm ARO REPUJADO- Salida: Angula variable - Rosca: 1/2"BSP M (buje deslizable) - Largo vaina: 200 mm U - Rango: 0-60°C, con tornillo externo p/ajuste de spam - Clase: 1,6%</t>
  </si>
  <si>
    <t>TEB03V02C0400</t>
  </si>
  <si>
    <t>Termómetro bimetálico marca CENI - Construido totalmente en acero inoxidable - Caja: Ø100 mm - Salida: Trasera articulada - Rosca: 1/2"NPT M - Largo vaina: 200 mm Máximo, REGUALABLE mediante Buje - Rango: 0-400°C - Clase: 1%</t>
  </si>
  <si>
    <t>TEB03V02C0300</t>
  </si>
  <si>
    <t>Termómetro bimetálico marca CENI - Construido totalmente en acero inoxidable - Caja: Ø100 mm - Salida: Angula variable - Rosca: 1/2"NPT - Largo vaina: 200 mm Util, c/buje deslizable - Rango: 0-300°C - Clase: 1%</t>
  </si>
  <si>
    <t>TEB03V02C0250</t>
  </si>
  <si>
    <t>Termómetro bimetálico marca CENI - Construido totalmente en acero inoxidable - Caja: Ø100 mm - Salida: Angula variable - Rosca: 1/2"NPT - Largo vaina: 130 mm Util, fijo - sin regulación- Rango: 0-250°C - Clase: 1%</t>
  </si>
  <si>
    <t>TEB03V02C0120</t>
  </si>
  <si>
    <t>Termómetro bimetálico marca CENI - Construido totalmente en acero inoxidable - Caja: Ø100 mm - Salida: Angula variable - Rosca: 1/2"NPT - Largo vaina: 150 mm, Util (c/buje deslizable) - Rango: 0-120°C - Clase: 1%</t>
  </si>
  <si>
    <t>TEB03R02C0400</t>
  </si>
  <si>
    <t>Termómetro bimetálico marca CENI - Construido totalmente en acero inoxidable - Caja: Ø100 mm - Salida: Inferior - Rosca: 1/2"NPT - Largo vaina: 150 mm - Rango: 0-400°C - Clase: 1%</t>
  </si>
  <si>
    <t>TEB03R02C0250</t>
  </si>
  <si>
    <t>Termómetro bimetálico marca CENI - Construido totalmente en acero inoxidable - Caja: Ø100 mm - Salida: Inferior - Rosca: 1/2"NPT - Largo vaina: 200 mm - Rango: 0-250°C - Clase: 1,6%</t>
  </si>
  <si>
    <t>TEB03R02C0120</t>
  </si>
  <si>
    <t>Termómetro bimetálico marca CENI - Construido totalmente en acero inoxidable - Caja: Ø100 mm - Salida: Inferior - Rosca: 1/2"NPT - Largo vaina: 200 mm - Rango: 0-120°C - Clase: 1,6%</t>
  </si>
  <si>
    <t>TEB03P02C4040</t>
  </si>
  <si>
    <t>Termómetro bimetálico marca CENI - Construido totalmente en acero inoxidable - Caja: Ø100 mm - Salida: Posterior - Rosca: 1/2"NPT - Largo vaina: 150 mm - Rango: -40+40°C - Clase: 1,6%</t>
  </si>
  <si>
    <t>TEB03P02C1040</t>
  </si>
  <si>
    <t>Termómetro bimetálico marca CENI - Construido totalmente en acero inoxidable - Caja: Ø100 mm - Salida: Posterior - Rosca: 1/2"NPT - Largo vaina: 150 mm - Rango: -10+40°C - Clase: 1,6%</t>
  </si>
  <si>
    <t>TEB03P02C0400</t>
  </si>
  <si>
    <t>Termómetro bimetálico marca CENI - Construido totalmente en acero inoxidable - Caja: Ø100 mm - Salida: Posterior - Rosca: 1/2"NPT - Largo vaina: 135 mm - Rango: 0-400°C - Clase: 1%</t>
  </si>
  <si>
    <t>TEB03P02C0300</t>
  </si>
  <si>
    <t>Termómetro bimetálico marca CENI - Construido totalmente en acero inoxidable - Caja: Ø100 mm - Salida: Posterior - Rosca: 1/2"NPT - Largo vaina: 150 mm - Rango: 0-300°C - Clase: 1,6%</t>
  </si>
  <si>
    <t>TEB03P02C0250</t>
  </si>
  <si>
    <t>Termómetro bimetálico marca CENI - Construido totalmente en acero inoxidable - Caja: Ø100 mm - Salida: Posterior - Rosca: 1/2"NPT - Largo vaina: 150 mm - Rango: 0-250°C - Clase: 1,6%</t>
  </si>
  <si>
    <t>TEC03P02C0120</t>
  </si>
  <si>
    <t>Termómetro bimetálico marca CENI - Construido totalmente en acero inoxidable - Caja: Ø100 mm - Salida: Posterior con conexión clamp - Largo vaina: 50 mm util - Rango: 0-120°C - Clase: 1,6%</t>
  </si>
  <si>
    <t>TEB03P02C0120</t>
  </si>
  <si>
    <t>Termómetro bimetálico marca CENI - Construido totalmente en acero inoxidable - Caja: Ø100 mm - Salida: Posterior - Rosca: 1/2"NPT - Largo vaina: 150 mm - Rango: 0-120°C - Clase: 1%</t>
  </si>
  <si>
    <t>TEC02P01A0120</t>
  </si>
  <si>
    <t>Termómetro bimetálico marca CENI - Construido totalmente en acero inoxidable - Caja: Ø100 mm - Salida: Posterior con conexión clamp - Largo vaina: 100 mm - Rango: 0-120°C - Clase: 1,6%</t>
  </si>
  <si>
    <t>AH00001004</t>
  </si>
  <si>
    <t>Condensador tipo sifón para instrumentos de presión Serie CS-10. Material del tubo: AISI 316 Material de los conectores: AISI 316. Presión de trabajo: 0- 600 bar. Conex. Instrumento: 1/2"NPTH Conex. Proceso: 1/2"NPTM</t>
  </si>
  <si>
    <t>AH00001001</t>
  </si>
  <si>
    <t>Condensador tipo sifón para instrumentos de presión . Modelo Serie CS-10 *CS-1025V*. Material del tubo: AISI 316 Material de los conectores: AISI 316 Presión de trabajo: 0- 600 bar. Conex. Instrumento: 1/4"NPTH Conex. Proceso: 1/4"NPTM</t>
  </si>
  <si>
    <t>AH00001002</t>
  </si>
  <si>
    <t>Condensador tipo sifón para instrumentos de presión. Modelo: Serie CS-10 *CS-1050V*. Material del tubo: AISI 316. Material de los conectores: AISI 316 Presión de trabajo: 0- 600 bar. Conex. Instrumento: 1/2"NPTH Conex. Proceso: 1/2"NPTM</t>
  </si>
  <si>
    <t>SW00822161</t>
  </si>
  <si>
    <t>Tipo: Wafer, Conex. Instrumento: via capilar 1/2"NPTH, Tamaño: 2", Conexión Proceso: n/a, Presión: , Materiales: Cuerpo: AISI 316 - Membrana: AISI 316L</t>
  </si>
  <si>
    <t>SV00012120</t>
  </si>
  <si>
    <t>Tipo: Varivent, Conex. Instrumento: 1/2"NPTH, Tamaño: , Conexión Proceso: n/a, Presión: , Materiales: Cuerpo: AISI 316 - Membrana: AISI 316L</t>
  </si>
  <si>
    <t>SC01401153</t>
  </si>
  <si>
    <t>Tipo: Cupla, Conex. Instrumento: 1/2"NPTH, Tamaño: DN40, Conexión Proceso: 1/2"NPTH, Presión: 1 bar - 40 bar, Materiales: Cuerpo: AISI 316 - Membrana: AISI 316L</t>
  </si>
  <si>
    <t>SC01301153</t>
  </si>
  <si>
    <t>Tipo: Cupla, Conex. Instrumento: 1/2"NPTH, Tamaño: DN32, Conexión Proceso: 1/2"NPTH, Presión: 4 bar - 80 bar, Materiales: Cuerpo: AISI 316 - Membrana: AISI 316L</t>
  </si>
  <si>
    <t>SR01301153</t>
  </si>
  <si>
    <t>Tipo: Buje, Conex. Instrumento: 1/2"NPTH, Tamaño: 3/4", Conexión Proceso: 3/4"NPTM, Presión: 40 bar - 250 bar, Materiales: Cuerpo: AISI 316 - Membrana: AISI 316L</t>
  </si>
  <si>
    <t>SR01241153</t>
  </si>
  <si>
    <t>Tipo: Buje, Conex. Instrumento: 1/2"NPTH, Tamaño: 1/2", Conexión Proceso: 1/2"NPTM, Presión: 80 bar - 400 bar, Materiales: Cuerpo: AISI 316 - Membrana: AISI 316L</t>
  </si>
  <si>
    <t>SR01241154</t>
  </si>
  <si>
    <t>Tipo: Buje, Conex. Instrumento: 1/4"NPTH, Tamaño: 1/2", Conexión Proceso: 1/2"NPTM, Presión: 80 bar - 400 bar, Materiales: Cuerpo: AISI 316 - Membrana: AISI 316L</t>
  </si>
  <si>
    <t>SR01351153</t>
  </si>
  <si>
    <t>Tipo: Buje, Conex. Instrumento: 1/2"NPTH, Tamaño: 1", Conexión Proceso: 1"NPTM, Presión: 8 bar - 80 bar, Materiales: Cuerpo: AISI 316 - Membrana: AISI 316L</t>
  </si>
  <si>
    <t>SR01401153</t>
  </si>
  <si>
    <t>Tipo: Buje, Conex. Instrumento: 1/2"NPTH, Tamaño: 1 1/2", Conexión Proceso: 1 1/2"NPTM, Presión: 2 bar - 25 bar, Materiales: Cuerpo: AISI 316 - Membrana: AISI 316L</t>
  </si>
  <si>
    <t>SM01501154</t>
  </si>
  <si>
    <t>Tipo: SMS (MACHO), Conex. Instrumento: 1/2"NPTH, Tamaño: 2", Conexión Proceso: n/a, Presión: 0,25 bar - 25 bar, Materiales: Cuerpo: AISI 316 - Membrana: AISI 316L</t>
  </si>
  <si>
    <t>SM01501150</t>
  </si>
  <si>
    <t>Tipo: SMS (HEMBRA), Conex. Instrumento: 1/2"NPTH, Tamaño: 2", Conexión Proceso: n/a, Presión: 0,25 bar - 25 bar, Materiales: Cuerpo: AISI 316 - Membrana: AISI 316L</t>
  </si>
  <si>
    <t>SM01501153</t>
  </si>
  <si>
    <t>Tipo: SMS (MACHO), Conex. Instrumento: 1/2"NPTH, Tamaño: 1 1/2", Conexión Proceso: n/a, Presión: 2 bar - 40 bar, Materiales: Cuerpo: AISI 316 - Membrana: AISI 316L</t>
  </si>
  <si>
    <t>Tipo: SMS (HEMBRA), Conex. Instrumento: 1/2"NPTH, Tamaño: 1 1/2", Conexión Proceso: n/a, Presión: 2 bar - 40 bar, Materiales: Cuerpo: AISI 316 - Membrana: AISI 316L</t>
  </si>
  <si>
    <t>SH01001111</t>
  </si>
  <si>
    <t>Tipo: Homogenizador, Conex. Instrumento: 1/4"NPTH, Tamaño: SA-308, Conexión Proceso: n/a, Presión: Hasta 600 bar, Materiales: Cuerpo: AISI 316 - Membrana: AISI 316L</t>
  </si>
  <si>
    <t>SH01001110</t>
  </si>
  <si>
    <t>Modelo; CENI - Serie SH 22
Tipo: Homogenizador, Conex. Instrumento: 1/4"NPTH, Tamaño: , Conexión Proceso: n/a, Presión: Hasta 600 bar, Materiales: Cuerpo: AISI 316 - Membrana: AISI 316L (SA335-)</t>
  </si>
  <si>
    <t>SD01501150</t>
  </si>
  <si>
    <t>Tipo: DIN (HEMBRA), Conex. Instrumento: 1/2"NPTH, Tamaño: DN50, Conexión Proceso: n/a, Presión: 0,25 bar - 25 bar, Materiales: Cuerpo: AISI 316 - Membrana: AISI 316L</t>
  </si>
  <si>
    <t>SD01401154</t>
  </si>
  <si>
    <t>Tipo: DIN (MACHO), Conex. Instrumento: 1/4"NPTH, Tamaño: DN40, Conexión Proceso: n/a, Presión: 2 bar - 40 bar, Materiales: Cuerpo: AISI 316 - Membrana: AISI 316L</t>
  </si>
  <si>
    <t>SD01401153</t>
  </si>
  <si>
    <t>Tipo: DIN (MACHO), Conex. Instrumento: 1/2"NPTH, Tamaño: DN40, Conexión Proceso: n/a, Presión: 2 bar - 40 bar, Materiales: Cuerpo: AISI 316 - Membrana: AISI 316L</t>
  </si>
  <si>
    <t>SD01401151</t>
  </si>
  <si>
    <t>Tipo: DIN (HEMBRA), Conex. Instrumento: 1/4"NPTH, Tamaño: DN40, Conexión Proceso: n/a, Presión: 2 bar - 40 bar, Materiales: Cuerpo: AISI 316 - Membrana: AISI 316L</t>
  </si>
  <si>
    <t>SD01401152</t>
  </si>
  <si>
    <t>Tipo: DIN (HEMBRA), Conex. Instrumento: 1/2"NPTH, Tamaño: DN40, Conexión Proceso: n/a, Presión: 2 bar - 40 bar, Materiales: Cuerpo: AISI 316 - Membrana: AISI 316L</t>
  </si>
  <si>
    <t>SD01301150</t>
  </si>
  <si>
    <t>Tipo: DIN (HEMBRA), Conex. Instrumento: 1/2"NPTH, Tamaño: DN32, Conexión Proceso: n/a, Presión: 6 bar - 40 bar, Materiales: Cuerpo: AISI 316 - Membrana: AISI 316L</t>
  </si>
  <si>
    <t>SD01251153</t>
  </si>
  <si>
    <t>Tipo: DIN (MACHO), Conex. Instrumento: 1/4"NPTH, Tamaño: DN25, Conexión Proceso: n/a, Materiales: Cuerpo: AISI 316 - Membrana: AISI 316L. Modelo según catalogo: SD 0125R</t>
  </si>
  <si>
    <t>SD01251150</t>
  </si>
  <si>
    <t>Tipo: DIN (HEMBRA), Conex. Instrumento: 1/2"NPTH, Tamaño: DN25, Conexión Proceso: n/a, Presión: 8 bar - 40 bar, Materiales: Cuerpo: AISI 316 - Membrana: AISI 316L</t>
  </si>
  <si>
    <t>SE01501150</t>
  </si>
  <si>
    <t>Tipo: Danesa, Conex. Instrumento: 1/2"NPTH, Tamaño: 2", Conexión Proceso: n/a, Presión: 0,25 bar - 25 bar, Materiales: Cuerpo: AISI 316 - Membrana: AISI 316L</t>
  </si>
  <si>
    <t>SE01251150</t>
  </si>
  <si>
    <t>Tipo: Danesa, Conex. Instrumento: 1/2"NPTH, Tamaño: 1", Conexión Proceso: n/a, Presión: 8 bar - 40 bar, Materiales: Cuerpo: AISI 316 - Membrana: AISI 316L</t>
  </si>
  <si>
    <t>SE01401150</t>
  </si>
  <si>
    <t>SI01301150</t>
  </si>
  <si>
    <t>Tipo: Clamp, Conex. Instrumento: 1/4"NPTH, Tamaño: 3/4", Conexión Proceso: n/a, Presión: 10 bar - 25 bar, Materiales: Cuerpo: AISI 316 - Membrana: AISI 316L</t>
  </si>
  <si>
    <t>SI01501150</t>
  </si>
  <si>
    <t>Tipo: Clamp, Conex. Instrumento: 1/2"NPTH, Tamaño: 2", Conexión Proceso: n/a, Presión: 2 bar - 25 bar, Materiales: Cuerpo: AISI 316 - Membrana: AISI 316L</t>
  </si>
  <si>
    <t>SI01631150</t>
  </si>
  <si>
    <t>Tipo: Clamp, Conex. Instrumento: 1/2"NPTH, Tamaño: 2 1/2", Conexión Proceso: n/a, Presión: 0,25 bar - 25 bar, Materiales: Cuerpo: AISI 316 - Membrana: AISI 316L</t>
  </si>
  <si>
    <t>SI01301152</t>
  </si>
  <si>
    <t>Tipo: Clamp, Conex. Instrumento: 1/2"NPTH, Tamaño: 1", Conexión Proceso: n/a, Presión: 6 bar - 25 bar, Materiales: Cuerpo: AISI 316 - Membrana: AISI 316L</t>
  </si>
  <si>
    <t>SI01401151</t>
  </si>
  <si>
    <t>Tipo: Clamp, Conex. Instrumento: 1/4"NPTH, Tamaño: 1 1/2", Conexión Proceso: n/a, Presión: 6 bar - 25 bar, Materiales: Cuerpo: AISI 316 - Membrana: AISI 316L</t>
  </si>
  <si>
    <t>SI01401152</t>
  </si>
  <si>
    <t>Tipo: Clamp, Conex. Instrumento: 1/2"NPTH, Tamaño: 1 1/2", Conexión Proceso: n/a, Presión: 6 bar - 25 bar, Materiales: Cuerpo: AISI 316 - Membrana: AISI 316L</t>
  </si>
  <si>
    <t>SB04502154</t>
  </si>
  <si>
    <t>Tipo: Bridado, Conex. Instrumento: 1/2"NPTH, Tamaño: , Conexión Proceso: 1/2"NPTM, Presión: Media presión, Materiales: Cuerpo superior: AISI 316 con membrana soldada en TITANIO - Cuerpo Inferior: TITANIO</t>
  </si>
  <si>
    <t>SB04505153</t>
  </si>
  <si>
    <t>Tipo: Bridado plastico, Conex. Instrumento: 1/2"NPTH, Tamaño: , Conexión Proceso: 1/2"NPTM, Presión: Media presión, Materiales: Cuerpo superior: AISI 316 con membrana en AISI 316L y recubrimiento de teflon - Cuerpo inferior: PVDF</t>
  </si>
  <si>
    <t>SB04503153</t>
  </si>
  <si>
    <t>Tipo: Bridado plastico, Conex. Instrumento: 1/2"NPTH, Tamaño: , Conexión Proceso: 1/2"NPTM, Presión: Media presión, Materiales: Cuerpo superior: AISI 316 con membrana en AISI 316L y recubrimiento de teflon - Cuerpo inferior: PVC</t>
  </si>
  <si>
    <t>SB04504154</t>
  </si>
  <si>
    <t>Modelo: Serie SBP
Tipo: Bridado plastico, Conex. Instrumento: 1/4"NPTH, Tamaño: , Conexión Proceso: 1/2"NPTM, Presión: Media presión, Materiales: Cuerpo superior: AISI 316 con membrana en AISI 316L y recubrimiento de teflón - Cuerpo inferior y partes mojadas: PTFE</t>
  </si>
  <si>
    <t>SB04504153</t>
  </si>
  <si>
    <t>Modelo: Serie SBP
Tipo: Bridado plastico, Conex. Instrumento: 1/2"NPTH, Tamaño: , Conexión Proceso: 1/2"NPTM, Presión: Media presión, Materiales: Cuerpo superior: AISI 316 con membrana en AISI 316L y recubrimiento de teflón - Cuerpo inferior y partes mojadas: PTFE</t>
  </si>
  <si>
    <t>SB04503154</t>
  </si>
  <si>
    <t>Tipo: Bridado plastico, Conex. Instrumento: 1/2"NPTH, Conexión Proceso: 1/2"NPTM, Presión: Media presión, Materiales: Cuerpo superior: AISI 316 con membrana en AISI 316L y recubrimiento de teflon - Cuerpo inferior: Polipropileno (PP)</t>
  </si>
  <si>
    <t>SB04851151</t>
  </si>
  <si>
    <t>Tipo: Bridado con Flushing, Conex. Instrumento: 1/2"NPTH, Tamaño: , Conexión Proceso: 1/2"NPTM, Presión: Media presión, Materiales: Cuerpo: AISI 316 - Membrana: AISI 316L</t>
  </si>
  <si>
    <t>SB04502113</t>
  </si>
  <si>
    <t>Tipo: Bridado, Conex. Instrumento: 1/4"NPTH, Tamaño: , Conexión Proceso: 1/2"NPTM, Presión: Media presión, Materiales: Cuerpo: AISI 316 - Membrana: AISI 316L</t>
  </si>
  <si>
    <t>SB04502153</t>
  </si>
  <si>
    <t>Sello separador de fluidos modelo: Serie SBR *M*
Cuerpo: full AISI 316 - Membrana: Soldada AISI 316L
Conex. Instrumento: 1/2"NPTH - Conex. Proceso: 1/2"NPTM</t>
  </si>
  <si>
    <t>SH04802124</t>
  </si>
  <si>
    <t>Tipo: Bridado ANSI, Conex. Instrumento: 1/2"NPTH, Tamaño: 2", Conexión Proceso: via brida ANSI 2", Presión: #RF 150, Materiales: Cuerpo: AISI 316 - Diafragma: Hastelloy</t>
  </si>
  <si>
    <t>SB04851150</t>
  </si>
  <si>
    <t>Tipo: Bridado, Modelo: Serie SBR L,  Conex. Instrumento: 1/2"NPTH, Tamaño: , Conexión Proceso: 1/2"NPTM, Presión: Baja Presión, Materiales: Cuerpo: AISI 316 - Membrana: AISI 316L</t>
  </si>
  <si>
    <t>SB04851152</t>
  </si>
  <si>
    <t>Tipo: Bridado ANSI, Conex. Instrumento: 1/2"NPTH, Tamaño: 3", Conexión Proceso: via brida ANSI 3", Presión: #RF 150, Materiales: Cuerpo: AISI 316 - Membrana: AISI 316L</t>
  </si>
  <si>
    <t>SB04812124</t>
  </si>
  <si>
    <t>Tipo: Bridado ANSI, Conex. Instrumento: 1/2"NPTH, Tamaño: 2", Conexión Proceso: via brida ANSI 2", Presión: #RF 300, Materiales: Cuerpo: AISI 316 - Membrana: AISI 316L</t>
  </si>
  <si>
    <t>SB04802124</t>
  </si>
  <si>
    <t>Tipo: Bridado ANSI, Conex. Instrumento: 1/2"NPTH, Tamaño: 2", Conexión Proceso: via brida ANSI 2", Presión: #RF 150, Materiales: Cuerpo: AISI 316 - Membrana: AISI 316L</t>
  </si>
  <si>
    <t>SB04802123</t>
  </si>
  <si>
    <t>Tipo: Bridado ANSI, Conex. Instrumento: 1/2"NPTH, Tamaño: 1", Conexión Proceso: via brida ANSI 1", Presión: #RF 150, Materiales: Cuerpo: AISI 316 - Membrana: AISI 316L</t>
  </si>
  <si>
    <t>SB04812122</t>
  </si>
  <si>
    <t>Tipo: Bridado ANSI, Conex. Instrumento: 1/2"NPTH, Tamaño: 1 1/2", Conexión Proceso: via brida ANSI 1 1/2", Presión: #RF 300, Materiales: Cuerpo: AISI 316 - Membrana: AISI 316L</t>
  </si>
  <si>
    <t>SB04802122</t>
  </si>
  <si>
    <t>Tipo: Bridado ANSI, Conex. Instrumento: 1/2"NPTH, Tamaño: 1 1/2", Conexión Proceso: via brida ANSI 1 1/2", Presión: #RF 150, Materiales: Cuerpo: AISI 316 - Membrana: AISI 316L</t>
  </si>
  <si>
    <t>SB04301150</t>
  </si>
  <si>
    <t>Tipo: Bridado Modelo: Serie SBR High , Conex. Instrumento: 1/2"NPTH, Tamaño: , Conexión Proceso: 1/2"NPTM, Presión: Alta presión, Materiales: Cuerpo: AISI 316 - Membrana: AISI 316L</t>
  </si>
  <si>
    <t>REPSELLO</t>
  </si>
  <si>
    <t>REPSELLO5</t>
  </si>
  <si>
    <t>Rango:
NORMA: 
Rosca:
ID JMH:
*Informe de Estado*
Sello: APTO / NO APTO</t>
  </si>
  <si>
    <t>REPSELLO3</t>
  </si>
  <si>
    <t>PROT.NEG.63</t>
  </si>
  <si>
    <t>Protector de goma, color negro, para manómetros Ø63 mm</t>
  </si>
  <si>
    <t>MPCC1201050000N</t>
  </si>
  <si>
    <t>PROT.NEG.100</t>
  </si>
  <si>
    <t>Protector de goma, color negro, para manómetros Ø100 mm</t>
  </si>
  <si>
    <t>PROT.NAR.63</t>
  </si>
  <si>
    <t>Protector de goma, color naranja, para manómetros Ø63 mm</t>
  </si>
  <si>
    <t>PROT.NAR.100</t>
  </si>
  <si>
    <t>Protector de goma, color naranja, para manómetros Ø100 mm</t>
  </si>
  <si>
    <t>MIPD-5V</t>
  </si>
  <si>
    <t>Manifold 5 vías marca CENI - Construida totalmente en acero inoxidable - Conex. Instrumento: COPLANAR - Conex. Proceso: 1/2"NPTH - Venteo: 1/4"NPTH - Empaquetadura: PTFE - Presión máxima: 6.000 psi</t>
  </si>
  <si>
    <t>SS-5D-F8-B</t>
  </si>
  <si>
    <t>Manifold 5 vías marca CENI - Construida totalmente en acero inoxidable - Conex. Instrumento: via Brida - Conex. Proceso: 1/2"NPTH - Venteo: 1/4"NPTH - Empaquetadura: PTFE - Presión máxima: 6.000 psi</t>
  </si>
  <si>
    <t>MIPD-3V</t>
  </si>
  <si>
    <t>Manifold integral de 3 vías Material: Acero inoxidable Conexión a instrumento: 1/2" NPTH Conexión a proceso: 1/2" NPTH Empaquetaduras: PTFE. Presión máxima: 6.000 psi</t>
  </si>
  <si>
    <t>SS-3D-FNT8-V</t>
  </si>
  <si>
    <t>Manifold 3 vías marca CENI - Construida totalmente en acero inoxidable - Conex. Instrumento: vía brida - Conex. Proceso: 1/2"NPTH
Empaquetadura: PTFE - Presión máxima: 6.000 psi</t>
  </si>
  <si>
    <t>Manifold 3 vías marca CENI - Construida totalmente en acero inoxidable - Conex. Instrumento: vía brida coplanar - Conex. Proceso: 1/2"NPTH 
Empaquetadura: PTFE - Presión máxima: 6.000 psi</t>
  </si>
  <si>
    <t>Manifold 3 vías marca CENI - Construida totalmente en acero inoxidable - Conex. Instrumento: vía brida - Conex. Proceso: 1/2"NPTH 
Empaquetadura: PTFE - Presión máxima: 6.000 psi</t>
  </si>
  <si>
    <t>MIP-2V</t>
  </si>
  <si>
    <t>Manifold 2 vías marca CENI - Construida totalmente en acero inoxidable - Conex. Instrumento: vía brida - Conex. Proceso: 1/2"NPTH - Venteo: 1/4"NPTH - Empaquetadura: PTFE - Presión máxima: 6.000 psi</t>
  </si>
  <si>
    <t>SI02401003</t>
  </si>
  <si>
    <t>Mecanizado en una sola pieza Full AISI 316. Conexión a proceso Macho: 1/2"BSPT</t>
  </si>
  <si>
    <t>SI02401002</t>
  </si>
  <si>
    <t>p/ Roscar a proceso: 1/2" NPT HEMBRA</t>
  </si>
  <si>
    <t>1001/00001003</t>
  </si>
  <si>
    <t>Grampa de sujeción trasera. Incluye 2 tornillos para manómetros 22Ø63 P</t>
  </si>
  <si>
    <t>1001/00001001</t>
  </si>
  <si>
    <t>Anclaje trasero, Incluye dos tornillos compatible únicamente con modelos SERIE 22</t>
  </si>
  <si>
    <t>FR00000003</t>
  </si>
  <si>
    <t>Flushing Ring 3". Anillos de lavado para montaje entre bridas Serie FR-10. Material del cuerpo: Acero inoxidable AISI 316. Tipo de conexión de lavado: Roscadas (a pedido) Tipo de conexión: Bridada ASME B 16.5</t>
  </si>
  <si>
    <t>FR00000002</t>
  </si>
  <si>
    <t>Flushing Ring 2". Anillos de lavado para montaje entre bridas Serie FR-10. Material del cuerpo: Acero inoxidable AISI 316. Tipo de conexión de lavado: Roscadas (a pedido) Tipo de conexión: Bridada ASME B 16.5</t>
  </si>
  <si>
    <t>FR00000001</t>
  </si>
  <si>
    <t>Flushing Ring 1 1/2". Anillos de lavado para montaje entre bridas Serie FR-10. Material del cuerpo: Acero inoxidable AISI 316. Tipo de conexión de lavado: Roscadas (a pedido) Tipo de conexión: Bridada ASME B 16.5 /</t>
  </si>
  <si>
    <t>HR10-6Y2Y3650</t>
  </si>
  <si>
    <t>Los disipadores de calor de la serie DC-100 están diseñados para producir la eliminación del calor que se transfiere desde el fluido de proceso y o la instalación con alta temperatura, hacia los instrumentos de medición (manómetros, transmisores, presostatos, etc.), protegiendo tanto la integridad de los mismos, como así también la fidelidad de la medición. Material: AISI 316
Conex. Instrumento: 1/2"NPTH
Conex. Proceso: 1/2"NPTM</t>
  </si>
  <si>
    <t>CS-2R-NT8-FNT8-H-TP</t>
  </si>
  <si>
    <t>Válvula de bloqueo y purga marca CENI - Construida totalmente en acero al carbono - Conex. Instrumento: 1/2"NPTH - Conex. Proceso: 1/2"NPTM - Purga: 1/4"NPTH con tapón - Empaquetadura: PTFE - Presión máxima: 6.000 psi</t>
  </si>
  <si>
    <t>CERTIF1.6</t>
  </si>
  <si>
    <t>Los patrones utilizados en las calibraciones tienen trazabilidad a los patrones del INTI</t>
  </si>
  <si>
    <t>CERTIF1</t>
  </si>
  <si>
    <t>CERTIF0.5</t>
  </si>
  <si>
    <t>CERTIF0.25</t>
  </si>
  <si>
    <t>MPVC08001000000</t>
  </si>
  <si>
    <t>Para manómetros serie 22, 70 y 72 salida posterior.
Material; AISI 304</t>
  </si>
  <si>
    <t>BGP</t>
  </si>
  <si>
    <t>Equipo hidráulico para contraste de instrumentos de medición de presión. Modelo: CHP-701 Material: Acero Inoxidable AISI 304 / 316. Presión máx. de trabajo: 700 BAR / 10000 PSI. Deposito de fluido: Material: Acrílico con extremos de acero inox.  Dos bocas p/contraste simultáneo: 1/2" BSP-H  AISI 316 - Capacidad: 450 cm³ ***No incluye instrumento patrón***</t>
  </si>
  <si>
    <t>CG00000063</t>
  </si>
  <si>
    <t>Relleno de glicerina para manómetros Ø63 mm, de la serie 72/73.</t>
  </si>
  <si>
    <t>CG00000150</t>
  </si>
  <si>
    <t>Relleno de glicerina para manómetros serie 72, de 150 mm.</t>
  </si>
  <si>
    <t>CG00000125</t>
  </si>
  <si>
    <t>Relleno de glicerina para manómetros serie 90</t>
  </si>
  <si>
    <t>CG00000100</t>
  </si>
  <si>
    <t>Baño de glicerina para manómetros de la serie 70, 72 y 74</t>
  </si>
  <si>
    <t>SS-PA-NT8-RS4</t>
  </si>
  <si>
    <t>Material: 100% AISI 316
1/2"NPT H x 1/4" NPT M</t>
  </si>
  <si>
    <t>MN90114RF0076V</t>
  </si>
  <si>
    <t xml:space="preserve">Vacuómetro marca CENI - Serie: 90 - Caja: Fenólica Ø90 mm solid front - Internos: Acero inoxidable - Safety glass - Salida: Inferior 1/2"NPT - Rango: -76 cm/hg - Clase: 1% - Apto para carga con glicerina - Apto reparación </t>
  </si>
  <si>
    <t>MN90114RF0060D</t>
  </si>
  <si>
    <t xml:space="preserve">Manómetro marca CENI - Serie: 90 - Caja: Fenólica Ø90 mm solid front - Internos: Acero inoxidable - Safety glass - Salida: Inferior 1/2"NPT - Rango: 0-60 bar/psi - Clase: 1% - Apto para carga con glicerina - Apto reparación </t>
  </si>
  <si>
    <t>MN90114RF0006D</t>
  </si>
  <si>
    <t xml:space="preserve">Manómetro marca CENI - Serie: 90 - Caja: Fenólica Ø90 mm solid front - Internos: Acero inoxidable - Safety glass - Salida: Inferior 1/2"NPT - Rango: 0-6 bar/psi - Clase: 1% - Apto para carga con glicerina - Apto reparación  </t>
  </si>
  <si>
    <t>MN90114RF0400D</t>
  </si>
  <si>
    <t xml:space="preserve">Manómetro marca CENI - Serie: 90 - Caja: Fenólica Ø90 mm solid front - Internos: Acero inoxidable - Safety glass - Salida: Inferior 1/2"NPT - Rango: 0-400 bar/psi - Clase: 1% - Apto para carga con glicerina - Apto reparación </t>
  </si>
  <si>
    <t>MN90114RF0040D</t>
  </si>
  <si>
    <t xml:space="preserve">Manómetro marca CENI - Serie: 90 - Caja: Fenólica Ø90 mm solid front - Internos: Acero inoxidable - Safety glass - Salida: Inferior 1/2"NPT - Rango: 0-40 bar/psi - Clase: 1% - Apto para carga con glicerina - Apto reparación </t>
  </si>
  <si>
    <t>MN90114RF0004D</t>
  </si>
  <si>
    <t xml:space="preserve">Manómetro marca CENI - Serie: 90 - Caja: Fenólica Ø90 mm solid front - Internos: Acero inoxidable - Safety glass - Salida: Inferior 1/2"NPT - Rango: 0-4 bar/psi - Clase: 1% - Apto para carga con glicerina - Apto reparación </t>
  </si>
  <si>
    <t>MN90114RF0250D</t>
  </si>
  <si>
    <t xml:space="preserve">Manómetro marca CENI - Serie: 90 - Caja: Fenólica Ø125 mm solid front - Internos: Acero inoxidable - Safety glass - Salida: Inferior 1/2"NPT - Rango: 0-250 bar/psi - Clase: 1% - Apto para carga con glicerina - Apto reparación </t>
  </si>
  <si>
    <t>MN90114RF0025D</t>
  </si>
  <si>
    <t xml:space="preserve">Manómetro marca CENI - Serie: 90 - Caja: Fenólica Ø90 mm solid front - Internos: Acero inoxidable - Safety glass - Salida: Inferior 1/2"NPT - Rango: 0-25 bar/psi - Clase: 1% - Apto para carga con glicerina - Apto reparación </t>
  </si>
  <si>
    <t>MN90114RF0205D</t>
  </si>
  <si>
    <t xml:space="preserve">Manómetro marca CENI - Serie: 90 - Caja: Fenólica Ø90 mm solid front - Internos: Acero inoxidable - Safety glass - Salida: Inferior 1/2"NPT - Rango: 0-2,5 bar/psi - Clase: 1% - Apto para carga con glicerina - Apto reparación </t>
  </si>
  <si>
    <t>MN90114RF0160D</t>
  </si>
  <si>
    <t xml:space="preserve">Manómetro marca CENI - Serie: 90 - Caja: Fenólica Ø90 mm solid front - Internos: Acero inoxidable - Safety glass - Salida: Inferior 1/2"NPT - Rango: 0-160 bar/psi - Clase: 1% - Apto para carga con glicerina - Apto reparación </t>
  </si>
  <si>
    <t>MN90114RF0016D</t>
  </si>
  <si>
    <t xml:space="preserve">Manómetro marca CENI - Serie: 90 - Caja: Fenólica Ø90 mm solid front - Internos: Acero inoxidable - Safety glass - Salida: Inferior 1/2"NPT - Rango: 0-16 bar/psi - Clase: 1% - Apto para carga con glicerina - Apto reparación </t>
  </si>
  <si>
    <t>MN90114RF0010D</t>
  </si>
  <si>
    <t xml:space="preserve">Manómetro marca CENI - Serie: 90 - Caja: Fenólica Ø90 mm solid front - Internos: Acero inoxidable - Safety glass - Salida: Inferior 1/2"NPT - Rango: 0-10 bar/psi - Clase: 1% - Apto para carga con glicerina - Apto reparación </t>
  </si>
  <si>
    <t>MN74100RF0007D</t>
  </si>
  <si>
    <t>Manómetro marca CENI - Serie: 74 - Caja: Acero inoxidable Ø100 mm solid front - Internos: Acero inoxidable - Cierre: Bayoneta - Safety glass - Salida: Inferior 1/2"NPT - Rango: 0-7 bar/psi - Clase: 1% - Apto para carga con glicerina - Apto reparación</t>
  </si>
  <si>
    <t>MN74100RF0060D</t>
  </si>
  <si>
    <t>Manómetro marca CENI - Serie: 74 - Caja: Acero inoxidable Ø100 mm solid front - Internos: Acero inoxidable - Cierre: Bayoneta - Safety glass - Salida: Inferior 1/2"NPT - Rango: 0-60 bar/psi - Clase: 1% - Apto para carga con glicerina - Apto reparación</t>
  </si>
  <si>
    <t>MN74100RF0004B</t>
  </si>
  <si>
    <t>Manómetro marca CENI - Serie: 74 - Caja: Acero inoxidable Ø100 mm solid front - Internos: Acero inoxidable - Cierre: Bayoneta - Safety glass - Salida: Inferior 1/2"NPT - Rango: 0-4 bar - Clase: 1% - Apto para carga con glicerina - Apto reparación</t>
  </si>
  <si>
    <t>MN74100RF0100D</t>
  </si>
  <si>
    <t>Manómetro marca CENI - Serie: 74 - Caja: Acero inoxidable Ø100 mm solid front - Internos: Acero inoxidable - Cierre: Bayoneta - Safety glass - Salida: Inferior 1/2"NPT - Rango: 0-100 bar/psi - Clase: 1% - Apto para carga con glicerina - Apto reparación</t>
  </si>
  <si>
    <t>MN74100RF0010D</t>
  </si>
  <si>
    <t>Manómetro marca CENI - Serie: 74 - Caja: Acero inoxidable Ø100 mm solid front - Internos: Acero inoxidable - Cierre: Bayoneta - Safety glass - Salida: Inferior 1/2"NPT - Rango: 0-10 bar/psi - Clase: 1% - Apto para carga con glicerina - Apto reparación</t>
  </si>
  <si>
    <t>MN74100RF0600F</t>
  </si>
  <si>
    <t>Manómetro marca CENI - Serie: 74 - Caja: Acero inoxidable Ø100 mm solid front - Internos: Acero inoxidable - Cierre: Bayoneta - Safety glass - Salida: Inferior 1/2"NPT - Rango: 0-600 kpa/psi - Clase: 1% - Apto para carga con glicerina - Apto reparación</t>
  </si>
  <si>
    <t>MN74100RF0300F</t>
  </si>
  <si>
    <t>Manómetro marca CENI - Serie: 74 - Caja: Acero inoxidable Ø100 mm solid front - Internos: Acero inoxidable - Cierre: Bayoneta - Safety glass - Salida: Inferior 1/2"NPT - Rango: 0-300 kpa/psi - Clase: 1% - Apto para carga con glicerina - Apto reparación</t>
  </si>
  <si>
    <t>MN74100RF2000F</t>
  </si>
  <si>
    <t>Manómetro marca CENI - Serie: 74 - Caja: Acero inoxidable Ø100 mm solid front - Internos: Acero inoxidable - Cierre: Bayoneta - Safety glass - Salida: Inferior 1/2"NPT - Rango: 0-2000 kpa/psi - Clase: 1% - Apto para carga con glicerina - Apto reparación</t>
  </si>
  <si>
    <t>MN74100RF1600F</t>
  </si>
  <si>
    <t>Manómetro marca CENI - Serie: 74 - Caja: Acero inoxidable Ø100 mm solid front - Internos: Acero inoxidable - Cierre: Bayoneta - Safety glass - Salida: Inferior 1/2"NPT - Rango: 0-1600 kpa/psi - Clase: 1% - Apto para carga con glicerina - Apto reparación</t>
  </si>
  <si>
    <t>MN73063RC0076V</t>
  </si>
  <si>
    <t>Vacuómetro marca CENI - Serie: 72 - Caja: Acero inoxidable Ø63 mm - Internos: Acero inoxidable - Cierre: Bayoneta - Salida: Inferior 1/4"NPT - Rango: -1 bar . cm/hg - Clase: 1,6% - Apto para carga con glicerina - Apto reparación</t>
  </si>
  <si>
    <t>MN73063RC0007D</t>
  </si>
  <si>
    <t>Manómetro marca CENI - Serie: 72 - Caja: Acero inoxidable Ø63 mm - Internos: Acero inoxidable - Cierre: Bayoneta - Salida: Inferior 1/4"NPT - Rango: 0-7 bar/psi - Clase: 1,6% - Apto para carga con glicerina - Apto reparación</t>
  </si>
  <si>
    <t>MN73063RC0600D</t>
  </si>
  <si>
    <t>Manómetro marca CENI - Serie: 72 - Caja: Acero inoxidable Ø63 mm - Internos: Acero inoxidable - Cierre: Bayoneta - Salida: Inferior 1/4"NPT - Rango: 0-600 bar/psi - Clase: 1,6% - Apto para carga con glicerina - Apto reparación</t>
  </si>
  <si>
    <t>MN73063RC0060D</t>
  </si>
  <si>
    <t>Manómetro marca CENI - Serie: 72 - Caja: Acero inoxidable Ø63 mm - Internos: Acero inoxidable - Cierre: Bayoneta - Salida: Inferior 1/4"NPT - Rango: 0-60 bar/psi - Clase: 1,6% - Apto para carga con glicerina - Apto reparación</t>
  </si>
  <si>
    <t>MN73063RC0006D</t>
  </si>
  <si>
    <t>Manómetro marca CENI - Serie: 72 - Caja: Acero inoxidable Ø63 mm - Internos: Acero inoxidable - Cierre: Bayoneta - Salida: Inferior 1/4"NPT - Rango: 0-6 bar/psi - Clase: 1,6% - Apto para carga con glicerina - Apto reparación</t>
  </si>
  <si>
    <t>MN73063RC0400D</t>
  </si>
  <si>
    <t>Manómetro marca CENI - Serie: 72 - Caja: Acero inoxidable Ø63 mm - Internos: Acero inoxidable - Cierre: Bayoneta - Salida: Inferior 1/4"NPT - Rango: 0-400 bar/psi - Clase: 1,6% - Apto para carga con glicerina - Apto reparación</t>
  </si>
  <si>
    <t>MN73063RC0040D</t>
  </si>
  <si>
    <t>Manómetro marca CENI - Serie: 72 - Caja: Acero inoxidable Ø63 mm - Internos: Acero inoxidable - Cierre: Bayoneta - Salida: Inferior 1/4"NPT - Rango: 0-40 bar/psi - Clase: 1,6% - Apto para carga con glicerina - Apto reparación</t>
  </si>
  <si>
    <t>MN73063RC0004D</t>
  </si>
  <si>
    <t>Manómetro marca CENI - Serie: 72 - Caja: Acero inoxidable Ø63 mm - Internos: Acero inoxidable - Cierre: Bayoneta - Salida: Inferior 1/4"NPT - Rango: 0-4 bar/psi - Clase: 1,6% - Apto para carga con glicerina - Apto reparación</t>
  </si>
  <si>
    <t>MN73063RC0315D</t>
  </si>
  <si>
    <t>Manómetro marca CENI - Serie: 72 - Caja: Acero inoxidable Ø63 mm - Internos: Acero inoxidable - Cierre: Bayoneta - Salida: Inferior 1/4"NPT - Rango: 0-315 bar/psi - Clase: 1,6% - Apto para carga con glicerina - Apto reparación</t>
  </si>
  <si>
    <t>MN73063RC0250D</t>
  </si>
  <si>
    <t>Manómetro marca CENI - Serie: 72 - Caja: Acero inoxidable Ø63 mm - Internos: Acero inoxidable - Cierre: Bayoneta - Salida: Inferior 1/4"NPT - Rango: 0-250 bar/psi - Clase: 1,6% - Apto para carga con glicerina - Apto reparación</t>
  </si>
  <si>
    <t>MN73063RC0025D</t>
  </si>
  <si>
    <t>Manómetro marca CENI - Serie: 72 - Caja: Acero inoxidable Ø63 mm - Internos: Acero inoxidable - Cierre: Bayoneta - Salida: Inferior 1/4"NPT - Rango: 0-25 bar/psi - Clase: 1,6% - Apto para carga con glicerina - Apto reparación</t>
  </si>
  <si>
    <t>MN73063RC2500D</t>
  </si>
  <si>
    <t>Manómetro marca CENI - Serie: 72 - Caja: Acero inoxidable Ø63 mm - Internos: Acero inoxidable - Cierre: Bayoneta - Salida: Inferior 1/4"NPT - Rango: 0-2,5 bar/psi - Clase: 1,6% - Apto para carga con glicerina - Apto reparación</t>
  </si>
  <si>
    <t>MN73063RC0160D</t>
  </si>
  <si>
    <t>Manómetro marca CENI - Serie: 72 - Caja: Acero inoxidable Ø63 mm - Internos: Acero inoxidable - Cierre: Bayoneta - Salida: Inferior 1/4"NPT - Rango: 0-160 bar/psi - Clase: 1,6% - Apto para carga con glicerina - Apto reparación</t>
  </si>
  <si>
    <t>MN73063RC0016D</t>
  </si>
  <si>
    <t>Manómetro marca CENI - Serie: 72 - Caja: Acero inoxidable Ø63 mm - Internos: Acero inoxidable - Cierre: Bayoneta - Salida: Inferior 1/4"NPT - Rango: 0-16 bar/psi - Clase: 1,6% - Apto para carga con glicerina - Apto reparación</t>
  </si>
  <si>
    <t>MN73063RC0014D</t>
  </si>
  <si>
    <t>Manómetro marca CENI - Serie: 72 - Caja: Acero inoxidable Ø63 mm - Internos: Acero inoxidable - Cierre: Bayoneta - Salida: Inferior 1/4"NPT - Rango: 0-14 bar/psi - Clase: 1,6% - Apto para carga con glicerina - Apto reparación</t>
  </si>
  <si>
    <t>MN73063RC1000D</t>
  </si>
  <si>
    <t>Manómetro marca CENI - Serie: 72 - Caja: Acero inoxidable Ø63 mm - Internos: Acero inoxidable - Cierre: Bayoneta - Salida: Inferior 1/4"NPT - Rango: 0-1000 bar/psi - Clase: 1,6% - Apto para carga con glicerina - Apto reparación</t>
  </si>
  <si>
    <t>MN73063RC0100D</t>
  </si>
  <si>
    <t>Manómetro marca CENI - Serie: 72 - Caja: Acero inoxidable Ø63 mm - Internos: Acero inoxidable - Cierre: Bayoneta - Salida: Inferior 1/4"NPT - Rango: 0-100 bar/psi - Clase: 1,6% - Apto para carga con glicerina - Apto reparación</t>
  </si>
  <si>
    <t>MN73063RC0010D</t>
  </si>
  <si>
    <t>Manómetro marca CENI - Serie: 72 - Caja: Acero inoxidable Ø63 mm - Internos: Acero inoxidable - Cierre: Bayoneta - Salida: Inferior 1/4"NPT - Rango: 0-10 bar/psi - Clase: 1,6% - Apto para carga con glicerina - Apto reparación</t>
  </si>
  <si>
    <t>MN73063RC0103D</t>
  </si>
  <si>
    <t>Manovacuómetro marca CENI - Serie: 72 - Caja: Acero inoxidable Ø63 mm - Internos: Acero inoxidable - Cierre: Bayoneta - Salida: Inferior 1/4"NPT - Rango: -1+3 bar/psi - Clase: 1,6% - Apto para carga con glicerina - Apto reparación</t>
  </si>
  <si>
    <t>MN73063RC1600D</t>
  </si>
  <si>
    <t>Manómetro marca CENI - Serie: 72 - Caja: Acero inoxidable Ø63 mm - Internos: Acero inoxidable - Cierre: Bayoneta - Salida: Inferior 1/4"NPT - Rango: 0-1,6 bar/psi - Clase: 1,6% - Apto para carga con glicerina - Apto reparación</t>
  </si>
  <si>
    <t>MN73063RC0001D</t>
  </si>
  <si>
    <t>Manómetro marca CENI - Serie: 72 - Caja: Acero inoxidable Ø63 mm - Internos: Acero inoxidable - Cierre: Bayoneta - Salida: Inferior 1/4"NPT - Rango: 0-1 bar/psi - Clase: 1,6% - Apto para carga con glicerina - Apto reparación</t>
  </si>
  <si>
    <t>MN73063EC0007D</t>
  </si>
  <si>
    <t>Manómetro marca CENI - Serie: 72 - Caja: Acero inoxidable Ø63 mm - Internos: Acero inoxidable - Cierre: Bayoneta - Salida: Posterior 1/4"NPT - Rango: 0-7 bar/psi - Clase: 1,6% - Apto para carga con glicerina - Apto reparación</t>
  </si>
  <si>
    <t>MN73063PC0600D</t>
  </si>
  <si>
    <t>Manómetro marca CENI - Serie: 72 - Caja: Acero inoxidable Ø63 mm - Internos: Acero inoxidable - Cierre: Bayoneta - Salida: Posterior 1/4"NPT - Rango: 0-600 bar/psi - Clase: 1,6% - Apto para carga con glicerina - Apto reparación</t>
  </si>
  <si>
    <t>MN73063PC0060D</t>
  </si>
  <si>
    <t>Manómetro marca CENI - Serie: 72 - Caja: Acero inoxidable Ø63 mm - Internos: Acero inoxidable - Cierre: Bayoneta - Salida: Posterior 1/4"NPT - Rango: 0-60 bar/psi - Clase: 1,6% - Apto para carga con glicerina - Apto reparación</t>
  </si>
  <si>
    <t>MN73063EC0006D</t>
  </si>
  <si>
    <t>Manómetro marca CENI - Serie: 72 - Caja: Acero inoxidable Ø63 mm - Internos: Acero inoxidable - Cierre: Bayoneta - Salida: Posterior 1/4"NPT - Rango: 0-6 bar/psi - Clase: 1,6% - Apto para carga con glicerina - Apto reparación</t>
  </si>
  <si>
    <t>MN73063PC0400D</t>
  </si>
  <si>
    <t>Manómetro marca CENI - Serie: 72 - Caja: Acero inoxidable Ø63 mm - Internos: Acero inoxidable - Cierre: Bayoneta - Salida: Posterior 1/4"NPT - Rango: 0-400 bar/psi - Clase: 1,6% - Apto para carga con glicerina - Apto reparación</t>
  </si>
  <si>
    <t>MN73063EC0040D</t>
  </si>
  <si>
    <t>Manómetro marca CENI - Serie: 72 - Caja: Acero inoxidable Ø63 mm - Internos: Acero inoxidable - Cierre: Bayoneta - Salida: Posterior 1/4"NPT - Rango: 0-40 bar/psi - Clase: 1,6% - Apto para carga con glicerina - Apto reparación</t>
  </si>
  <si>
    <t>MN73063EC0004D</t>
  </si>
  <si>
    <t>Manómetro marca CENI - Serie: 72 - Caja: Acero inoxidable Ø63 mm - Internos: Acero inoxidable - Cierre: Bayoneta - Salida: Posterior 1/4"NPT - Rango: 0-4 bar/psi - Clase: 1,6% - Apto para carga con glicerina - Apto reparación</t>
  </si>
  <si>
    <t>MN73063PC0250D</t>
  </si>
  <si>
    <t>Manómetro marca CENI - Serie: 72 - Caja: Acero inoxidable Ø63 mm - Internos: Acero inoxidable - Cierre: Bayoneta - Salida: Posterior 1/4"NPT - Rango: 0-250 bar/psi - Clase: 1,6% - Apto para carga con glicerina - Apto reparación</t>
  </si>
  <si>
    <t>MN73063PC0025D</t>
  </si>
  <si>
    <t>Manómetro marca CENI - Serie: 72 - Caja: Acero inoxidable Ø63 mm - Internos: Acero inoxidable - Cierre: Bayoneta - Salida: Posterior 1/4"NPT - Rango: 0-25 bar/psi - Clase: 1,6% - Apto para carga con glicerina - Apto reparación</t>
  </si>
  <si>
    <t>MN73063PC2500D</t>
  </si>
  <si>
    <t>Manómetro marca CENI - Serie: 72 - Caja: Acero inoxidable Ø63 mm - Internos: Acero inoxidable - Cierre: Bayoneta - Salida: Posterior 1/4"NPT - Rango: 0-2,5 bar/psi - Clase: 1,6% - Apto para carga con glicerina - Apto reparación</t>
  </si>
  <si>
    <t>MN73063EC0002D</t>
  </si>
  <si>
    <t>Manómetro marca CENI - Serie: 72 - Caja: Acero inoxidable Ø63 mm - Internos: Acero inoxidable - Cierre: Bayoneta - Salida: Posterior 1/4"NPT - Rango: 0-2 bar/psi - Clase: 1,6% - Apto para carga con glicerina - Apto reparación</t>
  </si>
  <si>
    <t>MN73063PC0160D</t>
  </si>
  <si>
    <t>Manómetro marca CENI - Serie: 72 - Caja: Acero inoxidable Ø63 mm - Internos: Acero inoxidable - Cierre: Bayoneta - Salida: Posterior 1/4"NPT - Rango: 0-160 bar/psi - Clase: 1,6% - Apto para carga con glicerina - Apto reparación</t>
  </si>
  <si>
    <t>MN73063EC0016D</t>
  </si>
  <si>
    <t>Manómetro marca CENI - Serie: 72 - Caja: Acero inoxidable Ø63 mm - Internos: Acero inoxidable - Cierre: Bayoneta - Salida: Posterior 1/4"NPT - Rango: 0-16 bar/psi - Clase: 1,6% - Apto para carga con glicerina - Apto reparación</t>
  </si>
  <si>
    <t>MN73063EC0014D</t>
  </si>
  <si>
    <t>Manómetro marca CENI - Serie: 72 - Caja: Acero inoxidable Ø63 mm - Internos: Acero inoxidable - Cierre: Bayoneta - Salida: Posterior 1/4"NPT - Rango: 0-14 bar/psi - Clase: 1,6% - Apto para carga con glicerina - Apto reparación</t>
  </si>
  <si>
    <t>MN73063PC1000D</t>
  </si>
  <si>
    <t xml:space="preserve">Manómetro marca CENI - Serie: 72 - Caja: Acero inoxidable Ø63 mm - Internos: Acero inoxidable - Cierre: Bayoneta - Salida: Posterior 1/4"NPT - Rango: 0-1000 bar/psi - Clase: 1,6% - Apto para carga con glicerina - Apto reparación </t>
  </si>
  <si>
    <t>MN73063PC0100D</t>
  </si>
  <si>
    <t>Manómetro marca CENI - Serie: 72 - Caja: Acero inoxidable Ø63 mm - Internos: Acero inoxidable - Cierre: Bayoneta - Salida: Posterior 1/4"NPT - Rango: 0-100 bar/psi - Clase: 1,6% - Apto para carga con glicerina - Apto reparación</t>
  </si>
  <si>
    <t>MN73063EC0010D</t>
  </si>
  <si>
    <t>Manómetro marca CENI - Serie: 72 - Caja: Acero inoxidable Ø63 mm - Internos: Acero inoxidable - Cierre: Bayoneta - Salida: Posterior 1/4"NPT - Rango: 0-10 bar/psi - Clase: 1,6% - Apto para carga con glicerina - Apto reparación</t>
  </si>
  <si>
    <t>MN73063PC0105D</t>
  </si>
  <si>
    <t>Manovacuómetro marca CENI - Serie: 72 - Caja: Acero inoxidable Ø63 mm - Internos: Acero inoxidable - Cierre: Bayoneta - Salida: Inferior 1/4"NPT - Rango: -1+5 bar/psi - Clase: 1,6% - Apto para carga con glicerina - Apto reparación</t>
  </si>
  <si>
    <t>MN73063EC0001D</t>
  </si>
  <si>
    <t>Manómetro marca CENI - Serie: 72 - Caja: Acero inoxidable Ø63 mm - Internos: Acero inoxidable - Cierre: Bayoneta - Salida: Posterior 1/4"NPT - Rango: 0-1 bar/psi - Clase: 1,6% - Apto para carga con glicerina - Apto reparación</t>
  </si>
  <si>
    <t>MN73040PC0004D</t>
  </si>
  <si>
    <t xml:space="preserve">Serie: 72 Diámetro: 40 mm Salida: Posterior Rosca: 1/8"NPT Escala: 0-4 bar/psi; </t>
  </si>
  <si>
    <t>MN73040PC2500D</t>
  </si>
  <si>
    <t xml:space="preserve">Serie: 72 Diámetro: 40 mm Salida: Posterior Rosca: 1/8"NPT Escala: 0-2,5 bar/psi; </t>
  </si>
  <si>
    <t>MN72150RF0076V</t>
  </si>
  <si>
    <t>Vacuómetro marca CENI - Serie: 72 - Caja: Acero inoxidable Ø150 mm - Internos: Acero inoxidable - Cierre: Bayoneta - Salida: Inferior 1/2"NPT - Escala: -76 cm/hg-0 bar - Clase: 1% - Apto para carga con glicerina - Apto reparación.</t>
  </si>
  <si>
    <t>MN72150RF0060D</t>
  </si>
  <si>
    <t>Manómetro marca CENI - Serie: 72 - Caja: Acero inoxidable Ø150 mm - Internos: Acero inoxidable - Cierre: Bayoneta - Salida: Inferior 1/2"NPT - Rango: 0-60 bar/psi - Clase: 1% - Apto para carga con glicerina - Apto reparación</t>
  </si>
  <si>
    <t>MN72150RF0006D</t>
  </si>
  <si>
    <t>Manómetro marca CENI - Serie: 72 - Caja: Acero inoxidable Ø150 mm - Internos: Acero inoxidable - Cierre: Bayoneta - Salida: Inferior 1/2"NPT - Rango: 0-6 bar/psi - Clase: 1% - Apto para carga con glicerina - Apto reparación</t>
  </si>
  <si>
    <t>MN72150RF0400D</t>
  </si>
  <si>
    <t>Manómetro marca CENI - Serie: 72 - Caja: Acero inoxidable Ø150 mm - Internos: Acero inoxidable - Cierre: Bayoneta - Salida: Inferior 1/2"NPT - Rango: 0-400 bar/psi - Clase: 1% - Apto para carga con glicerina - Apto reparación</t>
  </si>
  <si>
    <t>MN72150RF0040D</t>
  </si>
  <si>
    <t>Manómetro marca CENI - Serie: 72 - Caja: Acero inoxidable Ø150 mm - Internos: Acero inoxidable - Cierre: Bayoneta - Salida: Inferior 1/2"NPT - Rango: 0-40 bar/psi - Clase: 1% - Apto para carga con glicerina - Apto reparación</t>
  </si>
  <si>
    <t>MN72150RF0004D</t>
  </si>
  <si>
    <t>Manómetro marca CENI - Serie: 72 - Caja: Acero inoxidable Ø150 mm - Internos: Acero inoxidable - Cierre: Bayoneta - Salida: Inferior 1/2"NPT - Rango: 0-4 bar/psi - Clase: 1% - Apto para carga con glicerina - Apto reparación</t>
  </si>
  <si>
    <t>MN72150RF0250D</t>
  </si>
  <si>
    <t>Manómetro marca CENI - Serie: 72 - Caja: Acero inoxidable Ø150 mm - Internos: Acero inoxidable - Cierre: Bayoneta - Salida: Inferior 1/2"NPT - Rango: 0-250 bar/psi - Clase: 1% - Apto para carga con glicerina - Apto reparación</t>
  </si>
  <si>
    <t>MN72150RF0025D</t>
  </si>
  <si>
    <t>Manómetro marca CENI - Serie: 72 - Caja: Acero inoxidable Ø150 mm - Internos: Acero inoxidable - Cierre: Bayoneta - Salida: Inferior 1/2"NPT - Rango: 0-25 bar/psi - Clase: 1% - Apto para carga con glicerina - Apto reparación</t>
  </si>
  <si>
    <t>MN72150RF0205D</t>
  </si>
  <si>
    <t>Manómetro marca CENI - Serie: 72 - Caja: Acero inoxidable Ø150 mm - Internos: Acero inoxidable - Cierre: Bayoneta - Salida: Inferior 1/2"NPT - Rango: 0-2,5 bar/psi - Clase: 1% - Apto para carga con glicerina - Apto reparación</t>
  </si>
  <si>
    <t>MN72150RF0160D</t>
  </si>
  <si>
    <t>Manómetro marca CENI - Serie: 72 - Caja: Acero inoxidable Ø150 mm - Internos: Acero inoxidable - Cierre: Bayoneta - Salida: Inferior 1/2"NPT - Rango: 0-160 bar/psi - Clase: 1% - Apto para carga con glicerina - Apto reparación</t>
  </si>
  <si>
    <t>MN72150RF0016D</t>
  </si>
  <si>
    <t>Manómetro marca CENI - Serie: 72 - Caja: Acero inoxidable Ø150 mm - Internos: Acero inoxidable - Cierre: Bayoneta - Salida: Inferior 1/2"NPT - Rango: 0-16 bar/psi - Clase: 1% - Apto para carga con glicerina - Apto reparación</t>
  </si>
  <si>
    <t>MN72150RF0100D</t>
  </si>
  <si>
    <t>Manómetro marca CENI - Serie: 72 - Caja: Acero inoxidable Ø150 mm - Internos: Acero inoxidable - Cierre: Bayoneta - Salida: Inferior 1/2"NPT - Rango: 0-100 bar/psi - Clase: 1% - Apto para carga con glicerina - Apto reparación</t>
  </si>
  <si>
    <t>MN72150EF0010E</t>
  </si>
  <si>
    <t>Manómetro marca CENI - Serie: 72 - Caja: Acero inoxidable Ø150 mm - Internos: Acero inoxidable - Cierre: Bayoneta - Salida: Inferior 1/2"NPT - Rango: 0-10 bar/psi - Clase: 1% - Apto para carga con glicerina - Apto reparación</t>
  </si>
  <si>
    <t>MN72150RF0001D</t>
  </si>
  <si>
    <t>Manómetro marca CENI - Serie: 72 - Caja: Acero inoxidable Ø150 mm - Internos: Acero inoxidable - Cierre: Bayoneta - Salida: Inferior 1/2"NPT - Rango: 0-1 bar/psi - Clase: 1% - Apto para carga con glicerina - Apto reparación</t>
  </si>
  <si>
    <t>MN72150PF0010D</t>
  </si>
  <si>
    <t>Manómetro marca CENI - Serie: 72 - Caja: Acero inoxidable Ø150 mm - Internos: Acero inoxidable - Cierre: Bayoneta - Salida: Posterior 1/2"NPT - Rango: 0-10 bar/psi - Clase: 1% - Apto para carga con glicerina - Apto reparación</t>
  </si>
  <si>
    <t>MN72100RD0400D</t>
  </si>
  <si>
    <t>Manómetro marca CENI - Serie: 72 - Caja: Acero inoxidable Ø100 mm - Internos: Acero inoxidable - Cierre: Bayoneta - Salida: Inferior 1/4"BSP - Rango: 0-400 bar/psi - Clase: 1% - Safety glass (vidrio de seguridad) - Tapón trasero expulsable - Apto para carga con glicerina - Apto reparación</t>
  </si>
  <si>
    <t>MN72100RD0600D</t>
  </si>
  <si>
    <t>Manómetro marca CENI - Serie: 72 - Caja: Acero inoxidable Ø100 mm - Internos: Acero inoxidable - Cierre: Bayoneta - Salida: Inferior 1/4"NPT - Rango: 0-600 bar/psi - Clase: 1% - Safety glass (vidrio de seguridad) - Tapón trasero expulsable - Apto para carga con glicerina - Apto reparación</t>
  </si>
  <si>
    <t>MN72100RF0076V</t>
  </si>
  <si>
    <t>Vacuómetro marca CENI - Serie: 72 - Caja: Acero inoxidable Ø100 mm - Internos: Acero inoxidable - Cierre: Bayoneta - Salida: Inferior 1/2"NPT - Rango: -76 cm/hg - Clase: 1% - Safety glass (vidrio de seguridad) - Tapón trasero expulsable - Apto para carga con glicerina - Apto reparación</t>
  </si>
  <si>
    <t>MN72100RF0070D</t>
  </si>
  <si>
    <t>Manómetro marca CENI - Serie: 72 - Caja: Acero inoxidable Ø100 mm - Internos: Acero inoxidable - Cierre: Bayoneta - Salida: Inferior 1/2"NPT - Rango: 0-70 bar/psi - Clase: 1% - Safety glass (vidrio de seguridad) - Tapón trasero expulsable - Apto para carga con glicerina - Apto reparación</t>
  </si>
  <si>
    <t>MN72100RF0007D</t>
  </si>
  <si>
    <t>Manómetro marca CENI - Serie: 72 - Caja: Acero inoxidable Ø100 mm - Internos: Acero inoxidable - Cierre: Bayoneta - Salida: Inferior 1/2"NPT - Rango: 0-7 bar/psi - Clase: 1% - Safety glass (vidrio de seguridad) - Tapón trasero expulsable - Apto para carga con glicerina - Apto reparación</t>
  </si>
  <si>
    <t>MN72100RF0600D</t>
  </si>
  <si>
    <t>Manómetro marca CENI - Serie: 72 - Caja: Acero inoxidable Ø100 mm - Internos: Acero inoxidable - Cierre: Bayoneta - Salida: Inferior 1/2"NPT - Rango: 0-600 bar/psi - Clase: 1% - Safety glass (vidrio de seguridad) - Tapón trasero expulsable - Apto para carga con glicerina - Apto reparación</t>
  </si>
  <si>
    <t>MN72100RF0060D</t>
  </si>
  <si>
    <t>Manómetro marca CENI - Serie: 72 - Caja: Acero inoxidable Ø100 mm - Internos: Acero inoxidable - Cierre: Bayoneta - Salida: Inferior 1/2"NPT - Rango: 0-60 bar/psi - Clase: 1% - Safety glass (vidrio de seguridad) - Tapón trasero expulsable - Apto para carga con glicerina - Apto reparación</t>
  </si>
  <si>
    <t>MN72100RF0006D</t>
  </si>
  <si>
    <t>Manómetro marca CENI - Serie: 72 - Caja: Acero inoxidable Ø100 mm - Internos: Acero inoxidable - Cierre: Bayoneta - Salida: Inferior 1/2"NPT - Rango: 0-6 bar/psi - Clase: 1% - Safety glass (vidrio de seguridad) - Tapón trasero expulsable - Apto para carga con glicerina - Apto reparación</t>
  </si>
  <si>
    <t>MN72100RF0005D</t>
  </si>
  <si>
    <t>Manómetro marca CENI - Serie: 72 - Caja: Acero inoxidable Ø100 mm - Internos: Acero inoxidable - Cierre: Bayoneta - Salida: Inferior 1/2"NPT - Rango: 0-5 bar/psi - Clase: 1% - Safety glass (vidrio de seguridad) - Tapón trasero expulsable - Apto para carga con glicerina - Apto reparación</t>
  </si>
  <si>
    <t>MN72100RF0400D</t>
  </si>
  <si>
    <t>Manómetro marca CENI - Serie: 72 - Caja: Acero inoxidable Ø100 mm - Internos: Acero inoxidable - Cierre: Bayoneta - Salida: Inferior 1/2"NPT - Rango: 0-400 bar/psi - Clase: 1% - Safety glass (vidrio de seguridad) - Tapón trasero expulsable - Apto para carga con glicerina - Apto reparación</t>
  </si>
  <si>
    <t>MN72100RF0040D</t>
  </si>
  <si>
    <t>Manómetro marca CENI - Serie: 72 - Caja: Acero inoxidable Ø100 mm - Internos: Acero inoxidable - Cierre: Bayoneta - Salida: Inferior 1/2"NPT - Rango: 0-40 bar/psi - Clase: 1% - Safety glass (vidrio de seguridad) - Tapón trasero expulsable - Apto para carga con glicerina - Apto reparación</t>
  </si>
  <si>
    <t>MN72100RF0004D</t>
  </si>
  <si>
    <t>Manómetro marca CENI - Serie: 72 - Caja: Acero inoxidable Ø100 mm - Internos: Acero inoxidable - Cierre: Bayoneta - Salida: Inferior 1/2"NPT - Rango: 0-4 bar/psi - Clase: 1% - Safety glass (vidrio de seguridad) - Tapón trasero expulsable - Apto para carga con glicerina - Apto reparación</t>
  </si>
  <si>
    <t>MN72100RF0315D</t>
  </si>
  <si>
    <t>Manómetro marca CENI - Serie: 72 - Caja: Acero inoxidable Ø100 mm - Internos: Acero inoxidable - Cierre: Bayoneta - Salida: Inferior 1/2"NPT - Rango: 0-315 bar/psi - Clase: 1% - Safety glass (vidrio de seguridad) - Tapón trasero expulsable - Apto para carga con glicerina - Apto reparación</t>
  </si>
  <si>
    <t>MN72100RF0030D</t>
  </si>
  <si>
    <t>Manómetro marca CENI - Serie: 72 - Caja: Acero inoxidable Ø100 mm - Internos: Acero inoxidable - Cierre: Bayoneta - Salida: Inferior 1/2"NPT - Rango: 0-30 bar/psi - Clase: 1% - Safety glass (vidrio de seguridad) - Tapón trasero expulsable - Apto para carga con glicerina - Apto reparación</t>
  </si>
  <si>
    <t>MN72100RF0250D</t>
  </si>
  <si>
    <t>Manómetro marca CENI - Serie: 72 - Caja: Acero inoxidable Ø100 mm - Internos: Acero inoxidable - Cierre: Bayoneta - Salida: Inferior 1/2"NPT - Rango: 0-250 bar/psi - Clase: 1% - Safety glass (vidrio de seguridad) - Tapón trasero expulsable - Apto para carga con glicerina - Apto reparación</t>
  </si>
  <si>
    <t>MN72100RF0025C</t>
  </si>
  <si>
    <t>Manómetro marca CENI - Serie: 72 - Caja: Acero inoxidable Ø100 mm - Internos: Acero inoxidable - Cierre: Bayoneta - Salida: Inferior 1/2"NPT - Rango: 0-25 MCA - Clase: 1% - Safety glass (vidrio de seguridad) - Tapón trasero expulsable - Apto para carga con glicerina - Apto reparación</t>
  </si>
  <si>
    <t>MN72100RF0025D</t>
  </si>
  <si>
    <t>Manómetro marca CENI - Serie: 72 - Caja: Acero inoxidable Ø100 mm - Internos: Acero inoxidable - Cierre: Bayoneta - Salida: Inferior 1/2"NPT - Rango: 0-25 bar/psi - Clase: 1% - Safety glass (vidrio de seguridad) - Tapón trasero expulsable - Apto para carga con glicerina - Apto reparación</t>
  </si>
  <si>
    <t>MN72100RF0200D</t>
  </si>
  <si>
    <t>Manómetro marca CENI - Serie: 72 - Caja: Acero inoxidable Ø100 mm - Internos: Acero inoxidable - Cierre: Bayoneta - Salida: Inferior 1/2"NPT - Rango: 0-200 bar/psi - Clase: 1% - Safety glass (vidrio de seguridad) - Tapón trasero expulsable - Apto para carga con glicerina - Apto reparación</t>
  </si>
  <si>
    <t>MN72100RF0020D</t>
  </si>
  <si>
    <t>Manómetro marca CENI - Serie: 72 - Caja: Acero inoxidable Ø100 mm - Internos: Acero inoxidable - Cierre: Bayoneta - Salida: Inferior 1/2"NPT - Rango: 0-20 bar/psi - Clase: 1% - Safety glass (vidrio de seguridad) - Tapón trasero expulsable - Apto para carga con glicerina - Apto reparación</t>
  </si>
  <si>
    <t>MN72100RF0205D</t>
  </si>
  <si>
    <t>Manómetro marca CENI - Serie: 72 - Caja: Acero inoxidable Ø100 mm - Internos: Acero inoxidable - Cierre: Bayoneta - Salida: Inferior 1/2"NPT - Rango: 0-2,5 bar/psi - Clase: 1% - Safety glass (vidrio de seguridad) - Tapón trasero expulsable - Apto para carga con glicerina - Apto reparación</t>
  </si>
  <si>
    <t>MN72100RF0160D</t>
  </si>
  <si>
    <t>Manómetro marca CENI - Serie: 72 - Caja: Acero inoxidable Ø100 mm - Internos: Acero inoxidable - Cierre: Bayoneta - Salida: Inferior 1/2"NPT - Rango: 0-160 bar/psi - Clase: 1% - Safety glass (vidrio de seguridad) - Tapón trasero expulsable - Apto para carga con glicerina - Apto reparación</t>
  </si>
  <si>
    <t>MN72100RF0016C</t>
  </si>
  <si>
    <t>Manómetro marca CENI - Serie: 72 - Caja: Acero inoxidable Ø100 mm - Internos: Acero inoxidable - Cierre: Bayoneta - Salida: Inferior 1/2"NPT - Rango: 0-16 MCA - Clase: 1% - Safety glass (vidrio de seguridad) - Tapón trasero expulsable - Apto para carga con glicerina - Apto reparación</t>
  </si>
  <si>
    <t>MN72100RF0016D</t>
  </si>
  <si>
    <t>Manómetro marca CENI - Serie: 72 - Caja: Acero inoxidable Ø100 mm - Internos: Acero inoxidable - Cierre: Bayoneta - Salida: Inferior 1/2"NPT - Rango: 0-16 bar/psi - Clase: 1% - Safety glass (vidrio de seguridad) - Tapón trasero expulsable - Apto para carga con glicerina - Apto reparación</t>
  </si>
  <si>
    <t>MN72100RF1000D</t>
  </si>
  <si>
    <t>Manómetro marca CENI - Serie: 72 - Caja: Acero inoxidable Ø100 mm - Internos: Acero inoxidable - Cierre: Bayoneta - Salida: Inferior 1/2"NPT - Rango: 0-1000 bar/psi - Clase: 1% - Safety glass (vidrio de seguridad) - Tapón trasero expulsable - Apto para carga con glicerina - Apto reparación</t>
  </si>
  <si>
    <t>MN72100RF0100D</t>
  </si>
  <si>
    <t>Manómetro marca CENI - Serie: 72 - Caja: Acero inoxidable Ø100 mm - Internos: Acero inoxidable - Cierre: Bayoneta - Salida: Inferior 1/2"NPT - Rango: 0-100 bar/psi - Clase: 1% - Safety glass (vidrio de seguridad) - Tapón trasero expulsable - Apto para carga con glicerina - Apto reparación</t>
  </si>
  <si>
    <t>MN72100RF0010D</t>
  </si>
  <si>
    <t>Manómetro marca CENI - Serie: 72 - Caja: Acero inoxidable Ø100 mm - Internos: Acero inoxidable - Cierre: Bayoneta - Salida: Inferior 1/2"NPT - Rango: 0-10 bar/psi - Clase: 1% - Safety glass (vidrio de seguridad) - Tapón trasero expulsable - Apto para carga con glicerina - Apto reparación</t>
  </si>
  <si>
    <t>MN72100RF0105D</t>
  </si>
  <si>
    <t>Manovacuómetro marca CENI - Serie: 72 - Caja: Acero inoxidable Ø100 mm - Internos: Acero inoxidable - Cierre: Bayoneta - Salida: Inferior 1/2"NPT - Rango: -1+5 bar/psi - Clase: 1% - Safety glass (vidrio de seguridad) - Tapón trasero expulsable - Apto para carga con glicerina - Apto reparación</t>
  </si>
  <si>
    <t>MN72100RF0103D</t>
  </si>
  <si>
    <t>Manovacuómetro marca CENI - Serie: 72 - Caja: Acero inoxidable Ø100 mm - Internos: Acero inoxidable - Cierre: Bayoneta - Salida: Inferior 1/2"NPT - Rango: -1+3 bar/psi - Clase: 1% - Safety glass (vidrio de seguridad) - Tapón trasero expulsable - Apto para carga con glicerina - Apto reparación</t>
  </si>
  <si>
    <t>MN72100RF0125D</t>
  </si>
  <si>
    <t>Manovacuómetro marca CENI - Serie: 72 - Caja: Acero inoxidable Ø100 mm - Internos: Acero inoxidable - Cierre: Bayoneta - Salida: Inferior 1/2"NPT - Rango: -1+25 bar/psi - Clase: 1% - Safety glass (vidrio de seguridad) - Tapón trasero expulsable - Apto para carga con glicerina - Apto reparación</t>
  </si>
  <si>
    <t>MN72100RF0124D</t>
  </si>
  <si>
    <t>Manovacuómetro marca CENI - Serie: 72 - Caja: Acero inoxidable Ø100 mm - Internos: Acero inoxidable - Cierre: Bayoneta - Salida: Inferior 1/2"NPT - Rango: -1+24 bar/psi/c° - Clase: 1% - Safety glass (vidrio de seguridad) - Tapón trasero expulsable - Apto para carga con glicerina - Apto reparación</t>
  </si>
  <si>
    <t>MN72100RF0115D</t>
  </si>
  <si>
    <t>Manovacuómetro marca CENI - Serie: 72 - Caja: Acero inoxidable Ø100 mm - Internos: Acero inoxidable - Cierre: Bayoneta - Salida: Inferior 1/2"NPT - Rango: -1+15 bar/psi/c° - Clase: 1% - Safety glass (vidrio de seguridad) - Tapón trasero expulsable - Apto para carga con glicerina - Apto reparación</t>
  </si>
  <si>
    <t>MN72100RF0112D</t>
  </si>
  <si>
    <t>Manovacuómetro marca CENI - Serie: 72 - Caja: Acero inoxidable Ø100 mm - Internos: Acero inoxidable - Cierre: Bayoneta - Salida: Inferior 1/2"NPT - Rango: -1+12,5 bar/psi - Clase: 1% - Safety glass (vidrio de seguridad) - Tapón trasero expulsable - Apto para carga con glicerina - Apto reparación</t>
  </si>
  <si>
    <t>MN72100RF0101D</t>
  </si>
  <si>
    <t>Manovacuómetro marca CENI - Serie: 72 - Caja: Acero inoxidable Ø100 mm - Internos: Acero inoxidable - Cierre: Bayoneta - Salida: Inferior 1/2"NPT - Rango: -1+1,5 bar/psi - Clase: 1% - Safety glass (vidrio de seguridad) - Tapón trasero expulsable - Apto para carga con glicerina - Apto reparación</t>
  </si>
  <si>
    <t>MN72100RF1600D</t>
  </si>
  <si>
    <t>Manómetro marca CENI - Serie: 72 - Caja: Acero inoxidable Ø100 mm - Internos: Acero inoxidable - Cierre: Bayoneta - Salida: Inferior 1/2"NPT - Rango: 0-1,6 bar/psi - Clase: 1% - Safety glass (vidrio de seguridad) - Tapón trasero expulsable - Apto para carga con glicerina - Apto reparación</t>
  </si>
  <si>
    <t>MN72100RF0001D</t>
  </si>
  <si>
    <t>Manómetro marca CENI - Serie: 72 - Caja: Acero inoxidable Ø100 mm - Internos: Acero inoxidable - Cierre: Bayoneta - Salida: Inferior 1/2"NPT - Rango: 0-1 bar/psi - Clase: 1% - Safety glass (vidrio de seguridad) - Tapón trasero expulsable - Apto para carga con glicerina - Apto reparación</t>
  </si>
  <si>
    <t>MN72100RF6000D</t>
  </si>
  <si>
    <t>Manómetro marca CENI - Serie: 72 - Caja: Acero inoxidable Ø100 mm - Internos: Acero inoxidable - Cierre: Bayoneta - Salida: Inferior 1/2"NPT - Rango: 0-0,6 bar/psi - Clase: 1% - Safety glass (vidrio de seguridad) - Tapón trasero expulsable - Apto para carga con glicerina - Apto reparación</t>
  </si>
  <si>
    <t>MN72100RF5000D</t>
  </si>
  <si>
    <t>Manómetro marca CENI - Serie: 72 - Caja: Acero inoxidable Ø100 mm - Internos: Acero inoxidable - Cierre: Bayoneta - Salida: Inferior 1/2"NPT - Rango: 0-0,5 bar/psi - Clase: 1% - Safety glass (vidrio de seguridad) - Tapón trasero expulsable - Apto para carga con glicerina - Apto reparación</t>
  </si>
  <si>
    <t>MN72100PF0076V</t>
  </si>
  <si>
    <t>Vacuómetro marca CENI - Serie: 72 - Caja: Acero inoxidable Ø100 mm - Internos: Acero inoxidable - Cierre: Bayoneta - Salida: Posterior 1/2"NPT - Rango: -76 cm/hg - Clase: 1% - Apto para carga con glicerina - Apto reparación</t>
  </si>
  <si>
    <t>MN72100PF0600D</t>
  </si>
  <si>
    <t>Manómetro marca CENI - Serie: 72 - Caja: Acero inoxidable Ø100 mm - Internos: Acero inoxidable - Cierre: Bayoneta - Salida: Posterior 1/2"NPT - Rango: 0-600 bar/psi - Clase: 1% - Apto para carga con glicerina - Apto reparación</t>
  </si>
  <si>
    <t>MN72100PF0006D</t>
  </si>
  <si>
    <t>Manómetro marca CENI - Serie: 72 - Caja: Acero inoxidable Ø100 mm - Internos: Acero inoxidable - Cierre: Bayoneta - Salida: Posterior 1/2"NPT - Rango: 0-6 bar/psi - Clase: 1% - Apto para carga con glicerina - Apto reparación</t>
  </si>
  <si>
    <t>MN72100PF0400D</t>
  </si>
  <si>
    <t>Manómetro marca CENI - Serie: 72 - Caja: Acero inoxidable Ø100 mm - Internos: Acero inoxidable - Cierre: Bayoneta - Salida: Posterior 1/2"NPT - Rango: 0-400 bar/psi - Clase: 1% - Apto para carga con glicerina - Apto reparación</t>
  </si>
  <si>
    <t>MN72100PF0040D</t>
  </si>
  <si>
    <t>Manómetro marca CENI - Serie: 72 - Caja: Acero inoxidable Ø100 mm - Internos: Acero inoxidable - Cierre: Bayoneta - Salida: Posterior 1/2"NPT - Rango: 0-40 bar/psi - Clase: 1% - Apto para carga con glicerina - Apto reparación</t>
  </si>
  <si>
    <t>MN72100PF0004D</t>
  </si>
  <si>
    <t>Manómetro marca CENI - Serie: 72 - Caja: Acero inoxidable Ø100 mm - Internos: Acero inoxidable - Cierre: Bayoneta - Salida: Posterior 1/2"NPT - Rango: 0-4 bar/psi - Clase: 1% - Apto para carga con glicerina - Apto reparación</t>
  </si>
  <si>
    <t>MN72100PF0315D</t>
  </si>
  <si>
    <t>Manómetro marca CENI - Serie: 72 - Caja: Acero inoxidable Ø100 mm - Internos: Acero inoxidable - Cierre: Bayoneta - Salida: Posterior 1/2"NPT - Rango: 0-315 bar/psi - Clase: 1% - Apto para carga con glicerina - Apto reparación</t>
  </si>
  <si>
    <t>MN72100PF0250D</t>
  </si>
  <si>
    <t>Manómetro marca CENI - Serie: 72 - Caja: Acero inoxidable Ø100 mm - Internos: Acero inoxidable - Cierre: Bayoneta - Salida: Posterior 1/2"NPT - Rango: 0-250 bar/psi - Clase: 1% - Apto para carga con glicerina - Apto reparación</t>
  </si>
  <si>
    <t>MN72100PF0025D</t>
  </si>
  <si>
    <t>Manómetro marca CENI - Serie: 72 - Caja: Acero inoxidable Ø100 mm - Internos: Acero inoxidable - Cierre: Bayoneta - Salida: Posterior 1/2"NPT - Rango: 0-25 bar/psi - Clase: 1% - Apto para carga con glicerina - Apto reparación</t>
  </si>
  <si>
    <t>MN72100PF0205D</t>
  </si>
  <si>
    <t>Manómetro marca CENI - Serie: 72 - Caja: Acero inoxidable Ø100 mm - Internos: Acero inoxidable - Cierre: Bayoneta - Salida: Posterior 1/2"NPT - Rango: 0-2,5 bar/psi - Clase: 1% - Apto para carga con glicerina - Apto reparación</t>
  </si>
  <si>
    <t>MN72100PF0160D</t>
  </si>
  <si>
    <t>Manómetro marca CENI - Serie: 72 - Caja: Acero inoxidable Ø100 mm - Internos: Acero inoxidable - Cierre: Bayoneta - Salida: Posterior 1/2"NPT - Rango: 0-160 bar/psi - Clase: 1% - Apto para carga con glicerina - Apto reparación</t>
  </si>
  <si>
    <t>MN72100PF0016D</t>
  </si>
  <si>
    <t>Manómetro marca CENI - Serie: 72 - Caja: Acero inoxidable Ø100 mm - Internos: Acero inoxidable - Cierre: Bayoneta - Salida: Posterior 1/2"NPT - Rango: 0-16 bar/psi - Clase: 1% - Apto para carga con glicerina - Apto reparación</t>
  </si>
  <si>
    <t>MN72100PF0100D</t>
  </si>
  <si>
    <t>Manómetro marca CENI - Serie: 72 - Caja: Acero inoxidable Ø100 mm - Internos: Acero inoxidable - Cierre: Bayoneta - Salida: Posterior 1/2"NPT - Rango: 0-100 bar/psi - Clase: 1% - Apto para carga con glicerina - Apto reparación</t>
  </si>
  <si>
    <t>MN72100PF0010D</t>
  </si>
  <si>
    <t>Manómetro marca CENI - Serie: 72 - Caja: Acero inoxidable Ø100 mm - Internos: Acero inoxidable - Cierre: Bayoneta - Salida: Posterior 1/2"NPT - Rango: 0-10 bar/psi - Clase: 1% - Apto para carga con glicerina - Apto reparación</t>
  </si>
  <si>
    <t>MN72100PF0105D</t>
  </si>
  <si>
    <t>Manovacuómetro marca CENI - Serie: 72 - Caja: Acero inoxidable Ø100 mm - Internos: Acero inoxidable - Cierre: Bayoneta - Salida: Posterior 1/2"NPT - Rango: -1+5 bar/psi - Clase: 1% - Apto para carga con glicerina - Apto reparación</t>
  </si>
  <si>
    <t>MN72100PF0001D</t>
  </si>
  <si>
    <t>Manómetro marca CENI - Serie: 72 - Caja: Acero inoxidable Ø100 mm - Internos: Acero inoxidable - Cierre: Bayoneta - Salida: Posterior 1/2"NPT - Rango: 0-1 bar/psi - Clase: 1% - Apto para carga con glicerina - Apto reparación</t>
  </si>
  <si>
    <t>MN70063RC1000D</t>
  </si>
  <si>
    <t xml:space="preserve">Serie: 70 Diámetro: 63 mm Salida: Inferior Rosca: 1/4"NPT Escala: 0-1000 bar/psi; </t>
  </si>
  <si>
    <t>MN70063RC0010D</t>
  </si>
  <si>
    <t xml:space="preserve">Serie: 70 Diámetro: 63 mm Salida: Inferior Rosca: 1/4"NPT Escala: 0-10 bar/psi; </t>
  </si>
  <si>
    <t>MN70100RC0006D</t>
  </si>
  <si>
    <t>Manómetro marca CENI - Serie: 70 - Caja: Acero inoxidable Ø100 mm - Internos: Acero inoxidable - Cierre: Bordoneado - Salida: Inferior 1/4"NPT - Rango: 0-6 bar/psi - Clase: 1,6% - Apto para carga con glicerina - No apto para reparación</t>
  </si>
  <si>
    <t>MN70100RC0004D</t>
  </si>
  <si>
    <t>Manómetro marca CENI - Serie: 70 - Caja: Acero inoxidable Ø100 mm - Internos: Acero inoxidable - Cierre: Bordoneado - Salida: Inferior 1/4"NPT - Rango: 0-4 bar/psi - Clase: 1,6% - Apto para carga con glicerina - No apto para reparación</t>
  </si>
  <si>
    <t>MN70100RC0025D</t>
  </si>
  <si>
    <t>Manómetro marca CENI - Serie: 70 - Caja: Acero inoxidable Ø100 mm - Internos: Acero inoxidable - Cierre: Bordoneado - Salida: Inferior 1/4"NPT - Rango: 0-25 bar/psi - Clase: 1,6% - Apto para carga con glicerina - No apto para reparación</t>
  </si>
  <si>
    <t>MN70100RC0016D</t>
  </si>
  <si>
    <t>Manómetro marca CENI - Serie: 70 - Caja: Acero inoxidable Ø100 mm - Internos: Acero inoxidable - Cierre: Bordoneado - Salida: Inferior 1/4"NPT - Rango: 0-16 bar/psi - Clase: 1,6% - Apto para carga con glicerina - No apto para reparación</t>
  </si>
  <si>
    <t>MN70100RC0010D</t>
  </si>
  <si>
    <t>Manómetro marca CENI - Serie: 70 - Caja: Acero inoxidable Ø100 mm - Internos: Acero inoxidable - Cierre: Bordoneado - Salida: Inferior 1/4"NPT - Rango: 0-10 bar/psi - Clase: 1,6% - Apto para carga con glicerina - No apto para reparación</t>
  </si>
  <si>
    <t>MN70100RF0076V</t>
  </si>
  <si>
    <t>Vacuómetro marca CENI - Serie: 70 - Caja: Acero inoxidable Ø100 mm - Internos: Acero inoxidable - Cierre: Bordoneado - Salida: Inferior 1/2"NPT - Rango: -76cm/hg - Clase: 1,6% - Apto para carga con glicerina - No apto para reparación</t>
  </si>
  <si>
    <t>MN70100RF0006D</t>
  </si>
  <si>
    <t>MN70100RF0400D</t>
  </si>
  <si>
    <t>Manómetro marca CENI - Serie: 70 - Caja: Acero inoxidable Ø100 mm - Internos: Acero inoxidable - Cierre: Bordoneado - Salida: Inferior 1/2"NPT - Rango: 0-400 bar/psi - Clase: 1,6% - Apto para carga con glicerina - No apto para reparación</t>
  </si>
  <si>
    <t>MN70100RF0040D</t>
  </si>
  <si>
    <t>Manómetro marca CENI - Serie: 70 - Caja: Acero inoxidable Ø100 mm - Internos: Acero inoxidable - Cierre: Bordoneado - Salida: Inferior 1/2"NPT - Rango: 0-40 bar/psi - Clase: 1,6% - Apto para carga con glicerina - No apto para reparación</t>
  </si>
  <si>
    <t>MN70100RF0004D</t>
  </si>
  <si>
    <t>Manómetro marca CENI - Serie: 70 - Caja: Acero inoxidable Ø100 mm - Internos: Acero inoxidable - Cierre: Bordoneado - Salida: Inferior 1/2"NPT - Rango: 0-4 bar/psi - Clase: 1,6% - Apto para carga con glicerina - No apto para reparación</t>
  </si>
  <si>
    <t>MN70100RF0250D</t>
  </si>
  <si>
    <t>Manómetro marca CENI - Serie: 70 - Caja: Acero inoxidable Ø100 mm - Internos: Acero inoxidable - Cierre: Bordoneado - Salida: Inferior 1/2"NPT - Rango: 0-250 bar/psi - Clase: 1,6% - Apto para carga con glicerina - No apto para reparación</t>
  </si>
  <si>
    <t>MN70100RF0025D</t>
  </si>
  <si>
    <t>Manómetro marca CENI - Serie: 70 - Caja: Acero inoxidable Ø100 mm - Internos: Acero inoxidable - Cierre: Bordoneado - Salida: Inferior 1/2"NPT - Rango: 0-25 bar/psi - Clase: 1,6% - Apto para carga con glicerina - No apto para reparación</t>
  </si>
  <si>
    <t>MN70100RF0016D</t>
  </si>
  <si>
    <t>Manómetro marca CENI - Serie: 70 - Caja: Acero inoxidable Ø100 mm - Internos: Acero inoxidable - Cierre: Bordoneado - Salida: Inferior 1/2"NPT - Rango: 0-16 bar/psi - Clase: 1,6% - Apto para carga con glicerina - No apto para reparación</t>
  </si>
  <si>
    <t>MN70100RF1000D</t>
  </si>
  <si>
    <t>Manómetro marca CENI - Serie: 70 - Caja: Acero inoxidable Ø100 mm - Internos: Acero inoxidable - Cierre: Bordoneado - Salida: Inferior 1/2"NPT - Rango: 0-1000 bar/psi - Clase: 1,6% - Apto para carga con glicerina - No apto para reparación</t>
  </si>
  <si>
    <t>MN70100RF0100D</t>
  </si>
  <si>
    <t>Manómetro marca CENI - Serie: 70 - Caja: Acero inoxidable Ø100 mm - Internos: Acero inoxidable - Cierre: Bordoneado - Salida: Inferior 1/2"NPT - Rango: 0-100 bar/psi - Clase: 1,6% - Apto para carga con glicerina - No apto para reparación</t>
  </si>
  <si>
    <t>MN70100RF0010D</t>
  </si>
  <si>
    <t>Manómetro marca CENI - Serie: 70 - Caja: Acero inoxidable Ø100 mm - Internos: Acero inoxidable - Cierre: Bordoneado - Salida: Inferior 1/2"NPT - Rango: 0-10 bar/psi - Clase: 1,6% - Apto para carga con glicerina - No apto para reparación</t>
  </si>
  <si>
    <t>MN70100RC0105D</t>
  </si>
  <si>
    <t>Manovacuómetro marca CENI - Serie: 70 - Caja: Acero inoxidable Ø100 mm - Internos: Acero inoxidable - Cierre: Bordoneado - Salida: Inferior 1/2"NPT - Rango: -1+5 bar/psi - Clase: 1,6% - Apto para carga con glicerina - No apto para reparación</t>
  </si>
  <si>
    <t>MN70100RF0001D</t>
  </si>
  <si>
    <t>Manómetro marca CENI - Serie: 70 - Caja: Acero inoxidable Ø100 mm - Internos: Acero inoxidable - Cierre: Bordoneado - Salida: Inferior 1/2"NPT - Rango: 0-1 bar/psi - Clase: 1,6% - Apto para carga con glicerina - No apto para reparación</t>
  </si>
  <si>
    <t>MN70100PF0010D</t>
  </si>
  <si>
    <t xml:space="preserve">Serie: 70 Diámetro: 100 mm Salida: Posterior Rosca: 1/2"NPT Escala: 0-10 bar/psi; </t>
  </si>
  <si>
    <t>MN63063RE0600M</t>
  </si>
  <si>
    <t>Manómetro marca CENI - Serie: 60 - Caja: Acero inoxidable Ø63 mm - Internos: Bronce - Salida: Inferior 1/4"G - Rango: 0-600 mbar - Clase: 2,5% - No apto para carga de glicerina
***Hasta agotar stock***</t>
  </si>
  <si>
    <t>MN63063RE0250M</t>
  </si>
  <si>
    <t>Manómetro marca CENI - Serie: 60 - Caja: Acero inoxidable Ø63 mm - Internos: Bronce - Salida: Inferior 1/4"G - Rango: 0-250 mbar - Clase: 2,5% - No apto para carga de glicerina
***Hasta agotar stock***</t>
  </si>
  <si>
    <t>MN63063RE0160M</t>
  </si>
  <si>
    <t>Manómetro marca CENI - Serie: 60 - Caja: Acero inoxidable Ø63 mm - Internos: Bronce - Salida: Inferior 1/4"G - Rango: 0-160 mbar - Clase: 2,5% - No apto para carga de glicerina
***Hasta agotar stock***</t>
  </si>
  <si>
    <t>MN62100RE0600M</t>
  </si>
  <si>
    <t xml:space="preserve">Manómetro marca CENI - Serie: 62 - Caja: Acero inoxidable Ø100 mm - Cierre: Bayoneta - Internos: Acero inoxidable, a cápsula para baja presión - Safety glass - Salida: Inferior 1/2"G - Rango: 0-600 mbar - Clase: 1% - No apto para carga con glicerina - Apto reparación </t>
  </si>
  <si>
    <t>MN62100RE0060M</t>
  </si>
  <si>
    <t xml:space="preserve">Manómetro marca CENI - Serie: 62 - Caja: Acero inoxidable Ø100 mm - Cierre: Bayoneta - Internos: Acero inoxidable, a cápsula para baja presión - Safety glass - Salida: Inferior 1/2"G - Rango: 0-60 mbar - Clase: 1% - No apto para carga con glicerina - Apto reparación </t>
  </si>
  <si>
    <t>MN62100RE0400M</t>
  </si>
  <si>
    <t xml:space="preserve">Manómetro marca CENI - Serie: 62 - Caja: Acero inoxidable Ø100 mm - Cierre: Bayoneta - Internos: Acero inoxidable, a cápsula para baja presión - Safety glass - Salida: Inferior 1/2"G - Rango: 0-400 mbar - Clase: 1% - No apto para carga con glicerina - Apto reparación </t>
  </si>
  <si>
    <t>MN62100RE0250M</t>
  </si>
  <si>
    <t xml:space="preserve">Manómetro marca CENI - Serie: 62 - Caja: Acero inoxidable Ø100 mm - Cierre: Bayoneta - Internos: Acero inoxidable, a cápsula para baja presión - Safety glass - Salida: Inferior 1/2"G - Rango: 0-250 mbar - Clase: 1% - No apto para carga con glicerina - Apto reparación </t>
  </si>
  <si>
    <t>MN62100RE0160M</t>
  </si>
  <si>
    <t xml:space="preserve">Manómetro marca CENI - Serie: 62 - Caja: Acero inoxidable Ø100 mm - Cierre: Bayoneta - Internos: Acero inoxidable, a cápsula para baja presión - Safety glass - Salida: Inferior 1/2"G - Rango: 0-160 mbar - Clase: 1% - No apto para carga con glicerina - Apto reparación </t>
  </si>
  <si>
    <t>MN62100RE0100M</t>
  </si>
  <si>
    <t xml:space="preserve">Manómetro marca CENI - Serie: 62 - Caja: Acero inoxidable Ø100 mm - Cierre: Bayoneta - Internos: Acero inoxidable, a cápsula para baja presión - Safety glass - Salida: Inferior 1/2"G - Rango: 0-100 mbar - Clase: 1% - No apto para carga con glicerina - Apto reparación </t>
  </si>
  <si>
    <t>MN60063RE0600M</t>
  </si>
  <si>
    <t>MN60063RE0060M</t>
  </si>
  <si>
    <t>Manómetro marca CENI - Serie: 60 - Caja: Acero negra Ø63 mm - Internos: Bronce - Salida: Inferior 1/4"G - Rango: 0-60 mbar - Clase: 2,5%</t>
  </si>
  <si>
    <t>MN60063RE0400M</t>
  </si>
  <si>
    <t>Manómetro marca CENI - Serie: 60 - Caja: Acero negra Ø63 mm - Internos: Bronce - Salida: Inferior 1/4"G - Rango: 0-400 mbar - Clase: 2,5%</t>
  </si>
  <si>
    <t>MN60063RE0250M</t>
  </si>
  <si>
    <t>Manómetro marca CENI - Serie: 60 - Caja: Acero negra Ø63 mm - Internos: Bronce - Salida: Inferior 1/4"G - Rango: 0-250 mbar - Clase: 2,5%</t>
  </si>
  <si>
    <t>MN60063RE0160M</t>
  </si>
  <si>
    <t>Manómetro marca CENI - Serie: 60 - Caja: Acero negra Ø63 mm - Internos: Bronce - Salida: Inferior 1/4"G - Rango: 0-160 mbar - Clase: 2,5%</t>
  </si>
  <si>
    <t>MN60063RC0100M</t>
  </si>
  <si>
    <t>Vacuómetro marca CENI - Serie: 60 - Caja: Acero negra Ø63 mm - Internos: Bronce - Salida: Inferior 1/4"G - Rango: -100 mbar - Clase: 2,5%</t>
  </si>
  <si>
    <t>MN60063RE0100M</t>
  </si>
  <si>
    <t>Manómetro marca CENI - Serie: 60 - Caja: Acero negra Ø63 mm - Internos: Bronce - Salida: Inferior 1/4"G - Rango: 0-100 mbar - Clase: 2,5%</t>
  </si>
  <si>
    <t>MN52050RD0076X</t>
  </si>
  <si>
    <t>Serie: 52 Diámetro: 50 mm Salida: Inferior Rosca: 1/4"BSP Escala: -76 cm/hg-0 bar; Rebron</t>
  </si>
  <si>
    <t>MN52040PA0006X</t>
  </si>
  <si>
    <t>Serie: 52 Diámetro: 40 mm Salida: Posterior Rosca: 1/8"NPT Escala: 0-6 bar/psi; Caja Roja</t>
  </si>
  <si>
    <t>MN51063RA0030P</t>
  </si>
  <si>
    <t xml:space="preserve">Serie: 11 Diámetro: 63 mm Salida: Inferior Rosca: 1/8"NPT Escala: 0-30 psi/kpa; </t>
  </si>
  <si>
    <t>MN51063RC0076V</t>
  </si>
  <si>
    <t>Vacuómetro marca CENI - Serie: 11 - Caja: Acero negra Ø63 mm - Internos: Bronce - Salida: Inferior 1/4"NPT - Rango: -76 cm/hg - Clase: 1,6-2,5%</t>
  </si>
  <si>
    <t>MN51063RC0600D</t>
  </si>
  <si>
    <t>Manómetro marca CENI - Serie: 11 - Caja: Acero negra Ø63 mm - Internos: Bronce - Salida: Inferior 1/4"NPT - Rango: 0-600 bar/psi - Clase: 1,6-2,5%</t>
  </si>
  <si>
    <t>MN51063RC0060D</t>
  </si>
  <si>
    <t>Manómetro marca CENI - Serie: 11 - Caja: Acero negra Ø63 mm - Internos: Bronce - Salida: Inferior 1/4"NPT - Rango: 0-60 bar/psi - Clase: 1,6-2,5%</t>
  </si>
  <si>
    <t>MN51063RC0006D</t>
  </si>
  <si>
    <t>Manómetro marca CENI - Serie: 11 - Caja: Acero negra Ø63 mm - Internos: Bronce - Salida: Inferior 1/4"NPT - Rango: 0-6 bar/psi - Clase: 1,6-2,5%</t>
  </si>
  <si>
    <t>MN51063RC0006B</t>
  </si>
  <si>
    <t>Manómetro marca CENI - Serie: 11 - Caja: Acero negra Ø63 mm - Internos: Bronce - Salida: Inferior 1/4"NPT - Rango: 0-6 bar - Clase: 1,6-2,5%</t>
  </si>
  <si>
    <t>MN51063RC0040D</t>
  </si>
  <si>
    <t>Manómetro marca CENI - Serie: 11 - Caja: Acero negra Ø63 mm - Internos: Bronce - Salida: Inferior 1/4"NPT - Rango: 0-40 bar/psi - Clase: 1,6-2,5%</t>
  </si>
  <si>
    <t>MN51063RC0004D</t>
  </si>
  <si>
    <t>Manómetro marca CENI - Serie: 11 - Caja: Acero negra Ø63 mm - Internos: Bronce - Salida: Inferior 1/4"NPT - Rango: 0-4 bar/psi - Clase: 1,6-2,5%</t>
  </si>
  <si>
    <t>MN51063RC0315D</t>
  </si>
  <si>
    <t>Manómetro marca CENI - Serie: 11 - Caja: Acero negra Ø63 mm - Internos: Bronce - Salida: Inferior 1/4"NPT - Rango: 0-315 bar/psi - Clase: 1,6-2,5%</t>
  </si>
  <si>
    <t>MN51063RC0030D</t>
  </si>
  <si>
    <t>Manómetro marca CENI - Serie: 11 - Caja: Acero negra Ø63 mm - Internos: Bronce - Salida: Inferior 1/4"NPT - Rango: 0-30 bar/psi - Clase: 1,6-2,5%</t>
  </si>
  <si>
    <t>MN51063RC0250D</t>
  </si>
  <si>
    <t>Manómetro marca CENI - Serie: 11 - Caja: Acero negra Ø63 mm - Internos: Bronce - Salida: Inferior 1/4"NPT - Rango: 0-250 bar/psi - Clase: 1,6-2,5%</t>
  </si>
  <si>
    <t>MN51063RC0025D</t>
  </si>
  <si>
    <t>Manómetro marca CENI - Serie: 11 - Caja: Acero negra Ø63 mm - Internos: Bronce - Salida: Inferior 1/4"NPT - Rango: 0-25 bar/psi - Clase: 1,6-2,5%</t>
  </si>
  <si>
    <t>MN51063RD0020T</t>
  </si>
  <si>
    <t>Manómetro marca CENI - Serie: 11 - Caja: Acero negra Ø63 mm - Internos: Bronce - Salida: Inferior 1/4"NPT - Rango: 0-20 TN - Clase: 1,6-2,5%</t>
  </si>
  <si>
    <t>MN51063RC2500D</t>
  </si>
  <si>
    <t>Manómetro marca CENI - Serie: 11 - Caja: Acero negra Ø63 mm - Internos: Bronce - Salida: Inferior 1/4"NPT - Rango: 0-2,5 bar/psi - Clase: 1,6-2,5%</t>
  </si>
  <si>
    <t>MN51063RC0160D</t>
  </si>
  <si>
    <t>Manómetro marca CENI - Serie: 11 - Caja: Acero negra Ø63 mm - Internos: Bronce - Salida: Inferior 1/4"NPT - Rango: 0-160 bar/psi - Clase: 1,6-2,5%</t>
  </si>
  <si>
    <t>MN51063RC0016D</t>
  </si>
  <si>
    <t>Manómetro marca CENI - Serie: 11 - Caja: Acero negra Ø63 mm - Internos: Bronce - Salida: Inferior 1/4"NPT - Rango: 0-16 bar/psi - Clase: 1,6-2,5%</t>
  </si>
  <si>
    <t>MN51063RC0100D</t>
  </si>
  <si>
    <t>Manómetro marca CENI - Serie: 11 - Caja: Acero negra Ø63 mm - Internos: Bronce - Salida: Inferior 1/4"NPT - Rango: 0-100 bar/psi - Clase: 1,6-2,5%</t>
  </si>
  <si>
    <t>MN51063RC0100B</t>
  </si>
  <si>
    <t>Manómetro marca CENI - Serie: 11 - Caja: Acero negra Ø63 mm - Internos: Bronce - Salida: Inferior 1/4"NPT - Rango: 0-100 bar - Clase: 1,6-2,5%</t>
  </si>
  <si>
    <t>MN51063RC0010D</t>
  </si>
  <si>
    <t>Manómetro marca CENI - Serie: 11 - Caja: Acero negra Ø63 mm - Internos: Bronce - Salida: Inferior 1/4"NPT - Rango: 0-10 bar/psi - Clase: 1,6-2,5%</t>
  </si>
  <si>
    <t>MN51063RC0001D</t>
  </si>
  <si>
    <t>Manómetro marca CENI - Serie: 11 - Caja: Acero negra Ø63 mm - Internos: Bronce - Salida: Inferior 1/4"NPT - Rango: 0-1 bar/psi - Clase: 1,6-2,5%</t>
  </si>
  <si>
    <t>MN51063RC6000D</t>
  </si>
  <si>
    <t>Manómetro marca CENI - Serie: 11 - Caja: Acero negra Ø63 mm - Internos: Bronce - Salida: Inferior 1/4"NPT - Rango: 0-0,6 bar/psi - Clase: 1,6-2,5%</t>
  </si>
  <si>
    <t>MN51063RL0004B</t>
  </si>
  <si>
    <t>Manómetro marca CENI - Serie: 11 - Caja: Acero negra Ø63 mm - Internos: Bronce - Salida: Inferior 1/4"BSPT - Rango: 0-4 bar - Clase: 1,6-2,5%</t>
  </si>
  <si>
    <t>MN51063RD0076V</t>
  </si>
  <si>
    <t>Vacuómetro marca CENI - Serie: 11 - Caja: Acero negra Ø63 mm - Internos: Bronce - Salida: Inferior 1/4"BSP - Rango: -76 cm/hg - Clase: 1,6-2,5%</t>
  </si>
  <si>
    <t>MN51063RD0060Q</t>
  </si>
  <si>
    <t>Manómetro marca CENI - Serie: 11 - Caja: Acero negra Ø63 mm - Internos: Bronce - Salida: Inferior 1/4"BSP - Rango: 0-60 bar/psi - Clase: 1,6-2,5%</t>
  </si>
  <si>
    <t>MN51063RD0060B</t>
  </si>
  <si>
    <t>Manómetro marca CENI - Serie: 11 - Caja: Acero negra Ø63 mm - Internos: Bronce - Salida: Inferior 1/4"BSP - Rango: 0-60 bar - Clase: 1,6-2,5%</t>
  </si>
  <si>
    <t>MN51063RD0006K</t>
  </si>
  <si>
    <t>Manómetro marca CENI - Serie: 11 - Caja: Acero negra Ø63 mm - Internos: Bronce - Salida: Inferior 1/4"BSP - Rango: 0-6 bar/kpa - Clase: 1,6-2,5%</t>
  </si>
  <si>
    <t>MN51063RD0006B</t>
  </si>
  <si>
    <t>Manómetro marca CENI - Serie: 11 - Caja: Acero negra Ø63 mm - Internos: Bronce - Salida: Inferior 1/4"BSP - Rango: 0-6 bar - Clase: 1,6-2,5%</t>
  </si>
  <si>
    <t>MN51063RD0040D</t>
  </si>
  <si>
    <t>Manómetro marca CENI - Serie: 11 - Caja: Acero negra Ø63 mm - Internos: Bronce - Salida: Inferior 1/4"BSP - Rango: 0-40 bar/psi - Clase: 1,6-2,5%</t>
  </si>
  <si>
    <t>MN51063RD0004B</t>
  </si>
  <si>
    <t>Manómetro marca CENI - Serie: 11 - Caja: Acero negra Ø63 mm - Internos: Bronce - Salida: Inferior 1/4"BSP - Rango: 0-4 bar - Clase: 1,6-2,5%</t>
  </si>
  <si>
    <t>MN51063RD0315D</t>
  </si>
  <si>
    <t>Manómetro marca CENI - Serie: 11 - Caja: Acero negra Ø63 mm - Internos: Bronce - Salida: Inferior 1/4"BSP - Rango: 0-315 bar/psi - Clase: 1,6-2,5%</t>
  </si>
  <si>
    <t>MN51063RD0315K</t>
  </si>
  <si>
    <t>Serie: 11 Diámetro: 63 mm Salida: Inferior Rosca: 1/4"BSP Escala: 0-315 bar/kpa; Rebron</t>
  </si>
  <si>
    <t>MN51063RD0315B</t>
  </si>
  <si>
    <t>Manómetro marca CENI - Serie: 11 - Caja: Acero negra Ø63 mm - Internos: Bronce - Salida: Inferior 1/4"BSP - Rango: 0-315 bar - Clase: 1,6-2,5%</t>
  </si>
  <si>
    <t>MN51063RD0030L</t>
  </si>
  <si>
    <t>Manómetro marca CENI - Serie: 11 - Caja: Acero negra Ø63 mm - Internos: Bronce - Salida: Inferior 1/4"BSP - Rango: 0-30 lts/min - Clase: 1,6-2,5%</t>
  </si>
  <si>
    <t>MN51063RD0030K</t>
  </si>
  <si>
    <t>Manómetro marca CENI - Serie: 11 - Caja: Acero negra Ø63 mm - Internos: Bronce - Salida: Inferior 1/4"BSP - Rango: 0-30 bar/kpa - Clase: 1,6-2,5%</t>
  </si>
  <si>
    <t>MN51063RD0030B</t>
  </si>
  <si>
    <t>Manómetro marca CENI - Serie: 11 - Caja: Acero negra Ø63 mm - Internos: Bronce - Salida: Inferior 1/4"BSP - Rango: 0-30 bar - Clase: 1,6-2,5%</t>
  </si>
  <si>
    <t>MN51063RD0025B</t>
  </si>
  <si>
    <t>Manómetro marca CENI - Serie: 11 - Caja: Acero negra Ø63 mm - Internos: Bronce - Salida: Inferior 1/4"BSP - Rango: 0-25 bar - Clase: 1,6-2,5%</t>
  </si>
  <si>
    <t>MN51063RD2500D</t>
  </si>
  <si>
    <t>Manómetro marca CENI - Serie: 11 - Caja: Acero negra Ø63 mm - Internos: Bronce - Salida: Inferior 1/4"BSP - Rango: 0-2,5 bar/psi - Clase: 1,6-2,5%</t>
  </si>
  <si>
    <t>MN51063RD2500B</t>
  </si>
  <si>
    <t>Manómetro marca CENI - Serie: 11 - Caja: Acero negra Ø63 mm - Internos: Bronce - Salida: Inferior 1/4"BSP - Rango: 0-2,5 bar/psi - Clase: 1,6-2,5%
Cuadrante especial para acetileno</t>
  </si>
  <si>
    <t>MN51063RD0018L</t>
  </si>
  <si>
    <t>Manómetro marca CENI - Serie: 11 - Caja: Acero negra Ø63 mm - Internos: Bronce - Salida: Inferior 1/4"BSP - Rango: 0-18 lts/min - Clase: 1,6-2,5%</t>
  </si>
  <si>
    <t>MN51063RD0160D</t>
  </si>
  <si>
    <t>Manómetro marca CENI - Serie: 11 - Caja: Acero negra Ø63 mm - Internos: Bronce - Salida: Inferior 1/4"BSP - Rango: 0-160 bar/psi - Clase: 1,6-2,5%</t>
  </si>
  <si>
    <t>MN51063RD0016D</t>
  </si>
  <si>
    <t>Manómetro marca CENI - Serie: 11 - Caja: Acero negra Ø63 mm - Internos: Bronce - Salida: Inferior 1/4"BSP - Rango: 0-16 bar/psi - Clase: 1,6-2,5%</t>
  </si>
  <si>
    <t>MN51063RD0016B</t>
  </si>
  <si>
    <t>Manómetro marca CENI - Serie: 11 - Caja: Acero negra Ø63 mm - Internos: Bronce - Salida: Inferior 1/4"BSP - Rango: 0-16 bar - Clase: 1,6-2,5%</t>
  </si>
  <si>
    <t>MN51063RD0100K</t>
  </si>
  <si>
    <t>Vacuómetro marca CENI - Serie: 11 - Caja: Acero negra Ø63 mm - Internos: Bronce - Salida: Inferior 1/4"BSP - Rango: -100 kpa/cm.hg - Clase: 1,6-2,5%</t>
  </si>
  <si>
    <t>MN51063RD0100D</t>
  </si>
  <si>
    <t>Manómetro marca CENI - Serie: 11 - Caja: Acero negra Ø63 mm - Internos: Bronce - Salida: Inferior 1/4"BSP - Rango: 0-100 bar/psi - Clase: 1,6-2,5%</t>
  </si>
  <si>
    <t>MN51063RD0010K</t>
  </si>
  <si>
    <t>Serie: 11 Diámetro: 63 mm Salida: Inferior Rosca: 1/4"BSP Escala: 0-10 bar/kpa; Rebron</t>
  </si>
  <si>
    <t>MN51063RD0010B</t>
  </si>
  <si>
    <t>Manómetro marca CENI - Serie: 11 - Caja: Acero negra Ø63 mm - Internos: Bronce - Salida: Inferior 1/4"BSP - Rango: 0-10 bar - Clase: 1,6-2,5%</t>
  </si>
  <si>
    <t>MN51063RD0001D</t>
  </si>
  <si>
    <t>Manómetro marca CENI - Serie: 11 - Caja: Acero negra Ø63 mm - Internos: Bronce - Salida: Inferior 1/4"BSP - Rango: 0-1 bar/psi - Clase: 1,6-2,5%</t>
  </si>
  <si>
    <t>MN51063DA0016X</t>
  </si>
  <si>
    <t>Serie: 11 Diámetro: 63 mm Salida: Posterior con pestaña Rosca: 1/4"NPT Escala: 0-16 bar/psi; MICRO</t>
  </si>
  <si>
    <t>MN51063DC0076V</t>
  </si>
  <si>
    <t xml:space="preserve">Serie: 11 Diámetro: 63 mm Salida: Posterior con pestaña Rosca: 1/4"NPT Escala: -76 cm/hg-0 bar; </t>
  </si>
  <si>
    <t>MN51063DC0016D</t>
  </si>
  <si>
    <t xml:space="preserve">Serie: 11 Diámetro: 63 mm Salida: Posterior con pestaña Rosca: 1/4"NPT Escala: 0-16 bar/psi; </t>
  </si>
  <si>
    <t>MN51063DC0010D</t>
  </si>
  <si>
    <t xml:space="preserve">Serie: 11 Diámetro: 63 mm Salida: Posterior con pestaña Rosca: 1/4"NPT Escala: 0-10 bar/psi; </t>
  </si>
  <si>
    <t>MN51063PC0060D</t>
  </si>
  <si>
    <t>Manómetro marca CENI - Serie: 11 - Caja: Acero negra Ø63 mm - Internos: Bronce - Salida: Posterior 1/4"NPT - Rango: 0-60 bar/psi - Clase: 1,6%</t>
  </si>
  <si>
    <t>MN51063PC0004D</t>
  </si>
  <si>
    <t>Manómetro marca CENI - Serie: 11 - Caja: Acero negra Ø63 mm - Internos: Bronce - Salida: Posterior 1/4"NPT - Rango: 0-4 bar/psi - Clase: 1,6%</t>
  </si>
  <si>
    <t>MN51063PC0300D</t>
  </si>
  <si>
    <t>MN51063PC0025D</t>
  </si>
  <si>
    <t>Manómetro marca CENI - Serie: 11 - Caja: Acero negra Ø63 mm - Internos: Bronce - Salida: Posterior 1/4"NPT - Rango: 0-25 bar/psi - Clase: 1,6%</t>
  </si>
  <si>
    <t>MN51063PC2500D</t>
  </si>
  <si>
    <t>Manómetro marca CENI - Serie: 11 - Caja: Acero negra Ø63 mm - Internos: Bronce - Salida: Posterior 1/4"NPT - Rango: 0-2,5 bar/psi - Clase: 1,6%</t>
  </si>
  <si>
    <t>MN51063PC0160D</t>
  </si>
  <si>
    <t>Manómetro marca CENI - Serie: 11 - Caja: Acero negra Ø63 mm - Internos: Bronce - Salida: Posterior 1/4"NPT - Rango: 0-160 bar/psi - Clase: 1,6%</t>
  </si>
  <si>
    <t>MN51063PC0016D</t>
  </si>
  <si>
    <t>Manómetro marca CENI - Serie: 11 - Caja: Acero negra Ø63 mm - Internos: Bronce - Salida: Posterior 1/4"NPT - Rango: 0-16 bar/psi - Clase: 1,6%</t>
  </si>
  <si>
    <t>MN51063PC0100D</t>
  </si>
  <si>
    <t>Manómetro marca CENI - Serie: 11 - Caja: Acero negra Ø63 mm - Internos: Bronce - Salida: Posterior 1/4"NPT - Rango: 0-100 bar/psi - Clase: 1,6%</t>
  </si>
  <si>
    <t>MN51063PC6000D</t>
  </si>
  <si>
    <t>Manómetro marca CENI - Serie: 11 - Caja: Acero negra Ø63 mm - Internos: Bronce - Salida: Posterior 1/4"NPT - Rango: 0-0,6 bar/psi - Clase: 1,6%</t>
  </si>
  <si>
    <t>MN51063PD0315B</t>
  </si>
  <si>
    <t>Manómetro marca CENI - Serie: 11 - Caja: Acero negra Ø63 mm - Internos: Bronce - Salida: Posterior 1/4"BSP - Rango: 0-315 bar/psi - Clase: 1,6%</t>
  </si>
  <si>
    <t>MN51050RH0004B</t>
  </si>
  <si>
    <t>Manómetro marca CENI - Serie: 11 - Caja: Acero negra Ø50 mm - Internos: Bronce - Salida: Inferior 11*1 - Rango: 0-4 bar - Clase: 1,6-2,5%</t>
  </si>
  <si>
    <t>MN51050RH0315B</t>
  </si>
  <si>
    <t>Manómetro marca CENI - Serie: 11 - Caja: Acero negra Ø50 mm - Internos: Bronce - Salida: Inferior 11*1 - Rango: 0-315 bar - Clase: 1,6-2,5%</t>
  </si>
  <si>
    <t>MN51050RH0025B</t>
  </si>
  <si>
    <t>Manómetro marca CENI - Serie: 11 - Caja: Acero negra Ø50 mm - Internos: Bronce - Salida: Inferior 11*1 - Rango: 0-25 bar - Clase: 1,6-2,5%</t>
  </si>
  <si>
    <t>MN51050RH0018L</t>
  </si>
  <si>
    <t>Manómetro marca CENI - Serie: 11 - Caja: Acero negra Ø50 mm - Internos: Bronce - Salida: Inferior 11*1 - Rango: 0-18 lts/min - Clase: 1,6-2,5%</t>
  </si>
  <si>
    <t>MN51050RH0010B</t>
  </si>
  <si>
    <t>Manómetro marca CENI - Serie: 11 - Caja: Acero negra Ø50 mm - Internos: Bronce - Salida: Inferior 11*1 - Rango: 0-10 bar - Clase: 1,6-2,5%</t>
  </si>
  <si>
    <t>MN51050RB0006B</t>
  </si>
  <si>
    <t>Manómetro marca CENI - Serie: 11 - Caja: Acero negra Ø50 mm - Internos: Bronce - Salida: Inferior 1/8"BSP - Rango: 0-6 bar - Clase: 1,6-2,5%</t>
  </si>
  <si>
    <t>MN51050RB0004B</t>
  </si>
  <si>
    <t>Manómetro marca CENI - Serie: 11 - Caja: Acero negra Ø50 mm - Internos: Bronce - Salida: Inferior 1/8"BSP - Rango: 0-4 bar - Clase: 1,6-2,5%</t>
  </si>
  <si>
    <t>MN51050RB0315B</t>
  </si>
  <si>
    <t>Manómetro marca CENI - Serie: 11 - Caja: Acero negra Ø50 mm - Internos: Bronce - Salida: Inferior 1/8"BSP - Rango: 0-315 bar - Clase: 1,6-2,5%</t>
  </si>
  <si>
    <t>MN51050RB0030L</t>
  </si>
  <si>
    <t>Manómetro marca CENI - Serie: 11 - Caja: Acero negra Ø50 mm - Internos: Bronce - Salida: Inferior 1/8"BSP - Rango: 0-30 lts/min - Clase: 1,6-2,5%</t>
  </si>
  <si>
    <t>MN51050RB0030B</t>
  </si>
  <si>
    <t>Manómetro marca CENI - Serie: 11 - Caja: Acero negra Ø50 mm - Internos: Bronce - Salida: Inferior 1/8"BSP - Rango: 0-30 bar - Clase: 1,6-2,5%</t>
  </si>
  <si>
    <t>MN51050RB0020B</t>
  </si>
  <si>
    <t>Manómetro marca CENI - Serie: 11 - Caja: Acero negra Ø50 mm - Internos: Bronce - Salida: Inferior 1/8"BSP - Rango: 0-20 bar - Clase: 1,6-2,5%</t>
  </si>
  <si>
    <t>MN51050RB0018L</t>
  </si>
  <si>
    <t>Manómetro marca CENI - Serie: 11 - Caja: Acero negra Ø50 mm - Internos: Bronce - Salida: Inferior 1/8"BSP - Rango: 0-18 lts/min - Clase: 1,6-2,5%</t>
  </si>
  <si>
    <t>MN51050RB0010B</t>
  </si>
  <si>
    <t>Manómetro marca CENI - Serie: 11 - Caja: Acero negra Ø50 mm - Internos: Bronce - Salida: Inferior 1/8"BSP - Rango: 0-10 bar - Clase: 1,6-2,5%</t>
  </si>
  <si>
    <t>MN51050RC0076V</t>
  </si>
  <si>
    <t>Vacuómetro marca CENI - Serie: 11 - Caja: Acero negra Ø50 mm - Internos: Bronce - Salida: Inferior 1/4"NPT - Rango: -76 cm/hg - Clase: 1,6-2,5%</t>
  </si>
  <si>
    <t>MN51050RC0006B</t>
  </si>
  <si>
    <t>Manómetro marca CENI - Serie: 11 - Caja: Acero negra Ø50 mm - Internos: Bronce - Salida: Inferior 1/4"NPT - Rango: 0-6 bar - Clase: 1,6-2,5%</t>
  </si>
  <si>
    <t>MN51050RC0040D</t>
  </si>
  <si>
    <t>Manómetro marca CENI - Serie: 11 - Caja: Acero negra Ø50 mm - Internos: Bronce - Salida: Inferior 1/4"NPT - Rango: 0-40 bar/psi - Clase: 1,6-2,5%</t>
  </si>
  <si>
    <t>MN51050RC0004D</t>
  </si>
  <si>
    <t>Manómetro marca CENI - Serie: 11 - Caja: Acero negra Ø50 mm - Internos: Bronce - Salida: Inferior 1/4"NPT - Rango: 0-4 bar/psi - Clase: 1,6-2,5%</t>
  </si>
  <si>
    <t>MN51050RC0030B</t>
  </si>
  <si>
    <t>Manómetro marca CENI - Serie: 11 - Caja: Acero negra Ø50 mm - Internos: Bronce - Salida: Inferior 1/4"NPT - Rango: 0-30 bar - Clase: 1,6-2,5%</t>
  </si>
  <si>
    <t>MN51050RC0025D</t>
  </si>
  <si>
    <t>Manómetro marca CENI - Serie: 11 - Caja: Acero negra Ø50 mm - Internos: Bronce - Salida: Inferior 1/4"NPT - Rango: 0-25 bar/psi - Clase: 1,6-2,5%</t>
  </si>
  <si>
    <t>MN51050RC0010D</t>
  </si>
  <si>
    <t>Manómetro marca CENI - Serie: 11 - Caja: Acero negra Ø50 mm - Internos: Bronce - Salida: Inferior 1/4"NPT - Rango: 0-10 bar/psi - Clase: 1,6-2,5%</t>
  </si>
  <si>
    <t>MN51050RC0010B</t>
  </si>
  <si>
    <t>Manómetro marca CENI - Serie: 11 - Caja: Acero negra Ø50 mm - Internos: Bronce - Salida: Inferior 1/4"NPT - Rango: 0-10 bar - Clase: 1,6-2,5%</t>
  </si>
  <si>
    <t>MN51050RD0076V</t>
  </si>
  <si>
    <t>Vacuómetro marca CENI - Serie: 11 - Caja: Acero negra Ø50 mm - Internos: Bronce - Salida: Inferior 1/4"BSP - Rango: -76 cm/hg - Clase: 1,6-2,5%</t>
  </si>
  <si>
    <t>MN51050RE0060D</t>
  </si>
  <si>
    <t>Manómetro marca CENI - Serie: 11 - Caja: Acero negra Ø50 mm - Internos: Bronce - Salida: Inferior 1/4"BSP - Rango: 0-60 bar - Clase: 1,6-2,5%</t>
  </si>
  <si>
    <t>MN51050RD0006D</t>
  </si>
  <si>
    <t>Manómetro marca CENI - Serie: 11 - Caja: Acero negra Ø50 mm - Internos: Bronce - Salida: Inferior 1/4"BSP - Rango: 0-6 bar/psi - Clase: 1,6-2,5%</t>
  </si>
  <si>
    <t>MN51050RD0006B</t>
  </si>
  <si>
    <t>Manómetro marca CENI - Serie: 11 - Caja: Acero negra Ø50 mm - Internos: Bronce - Salida: Inferior 1/4"BSP - Rango: 0-6 bar - Clase: 1,6-2,5%</t>
  </si>
  <si>
    <t>MN51050RD0004B</t>
  </si>
  <si>
    <t>Manómetro marca CENI - Serie: 11 - Caja: Acero negra Ø50 mm - Internos: Bronce - Salida: Inferior 1/4"BSP - Rango: 0-4 bar - Clase: 1,6-2,5%</t>
  </si>
  <si>
    <t>MN51050RE0315D</t>
  </si>
  <si>
    <t>Manómetro marca CENI - Serie: 11 - Caja: Acero negra Ø50 mm - Internos: Bronce - Salida: Inferior 1/4"BSP - Rango: 0-315 bar/psi - Clase: 1,6-2,5%</t>
  </si>
  <si>
    <t>MN51050RD0315K</t>
  </si>
  <si>
    <t>Serie: 11 Diámetro: 50 mm Salida: Inferior Rosca: 1/4"BSP Escala: 0-315 bar/kpa; Rebron</t>
  </si>
  <si>
    <t>MN51050RD0315B</t>
  </si>
  <si>
    <t>Manómetro marca CENI - Serie: 11 - Caja: Acero negra Ø50 mm - Internos: Bronce - Salida: Inferior 1/4"BSP - Rango: 0-315 bar - Clase: 1,6-2,5%</t>
  </si>
  <si>
    <t>MN51050RD0030L</t>
  </si>
  <si>
    <t>Manómetro marca CENI - Serie: 11 - Caja: Acero negra Ø50 mm - Internos: Bronce - Salida: Inferior 1/4"BSP - Rango: 0-30 lts/min - Clase: 1,6-2,5%</t>
  </si>
  <si>
    <t>MN51050RD0030K</t>
  </si>
  <si>
    <t>Serie: 11 Diámetro: 50 mm Salida: Inferior Rosca: 1/4"BSP Escala: 0-30 bar/kpa; Rebron</t>
  </si>
  <si>
    <t>MN51050RD0030B</t>
  </si>
  <si>
    <t>Manómetro marca CENI - Serie: 11 - Caja: Acero negra Ø50 mm - Internos: Bronce - Salida: Inferior 1/4"BSP - Rango: 0-30 bar - Clase: 1,6-2,5%</t>
  </si>
  <si>
    <t>MN51050RD0025B</t>
  </si>
  <si>
    <t>Manómetro marca CENI - Serie: 11 - Caja: Acero negra Ø50 mm - Internos: Bronce - Salida: Inferior 1/4"BSP - Rango: 0-25 bar - Clase: 1,6-2,5%</t>
  </si>
  <si>
    <t>MN51050RD0020B</t>
  </si>
  <si>
    <t>Manómetro marca CENI - Serie: 11 - Caja: Acero negra Ø50 mm - Internos: Bronce - Salida: Inferior 1/4"BSP - Rango: 0-20 bar - Clase: 1,6-2,5%</t>
  </si>
  <si>
    <t>MN51050RD0205B</t>
  </si>
  <si>
    <t>Manómetro marca CENI - Serie: 11 - Caja: Acero negra Ø50 mm - Internos: Bronce - Salida: Inferior 1/4"BSP - Rango: 0-2,5 bar - Clase: 1,6-2,5%. Cuadrante con escala para acetileno</t>
  </si>
  <si>
    <t>MN51050RD0018L</t>
  </si>
  <si>
    <t>Manómetro marca CENI - Serie: 11 - Caja: Acero negra Ø50 mm - Internos: Bronce - Salida: Inferior 1/4"BSP - Rango: 0-18 lts/min - Clase: 1,6-2,5%</t>
  </si>
  <si>
    <t>MN51050RD0160D</t>
  </si>
  <si>
    <t>Manómetro marca CENI - Serie: 11 - Caja: Acero negra Ø50 mm - Internos: Bronce - Salida: Inferior 1/4"BSP - Rango: 0-160 bar/psi - Clase: 1,6-2,5%</t>
  </si>
  <si>
    <t>MN51050RD0100D</t>
  </si>
  <si>
    <t>Manómetro marca CENI - Serie: 11 - Caja: Acero negra Ø50 mm - Internos: Bronce - Salida: Inferior 1/4"BSP - Rango: 0-100 bar/psi - Clase: 1,6-2,5%</t>
  </si>
  <si>
    <t>MN51050RD0100B</t>
  </si>
  <si>
    <t>Manómetro marca CENI - Serie: 11 - Caja: Acero negra Ø50 mm - Internos: Bronce - Salida: Inferior 1/4"BSP - Rango: 0-100 bar - Clase: 1,6-2,5%</t>
  </si>
  <si>
    <t>MN51050RD0010K</t>
  </si>
  <si>
    <t>Manómetro marca CENI - Serie: 11 - Caja: Acero negra Ø50 mm - Internos: Bronce - Salida: Inferior 1/4"BSP - Rango: 0-10 bar/kpa - Clase: 1,6-2,5%</t>
  </si>
  <si>
    <t>MN51050RD0010B</t>
  </si>
  <si>
    <t>Manómetro marca CENI - Serie: 11 - Caja: Acero negra Ø50 mm - Internos: Bronce - Salida: Inferior 1/4"BSP - Rango: 0-10 bar - Clase: 1,6-2,5%</t>
  </si>
  <si>
    <t>MN51050DA0076V</t>
  </si>
  <si>
    <t xml:space="preserve">Serie: 11 Diámetro: 50 mm Salida: Posterior con pestaña Rosca: 1/8"NPT Escala: -76 cm/hg-0 bar; </t>
  </si>
  <si>
    <t xml:space="preserve">Serie: 11 Diámetro: 50 mm Salida: Posterior con pestaña Rosca: 1/8"BSP Escala: 0-16 bar/psi; </t>
  </si>
  <si>
    <t>MN51050DC0076V</t>
  </si>
  <si>
    <t xml:space="preserve">Serie: 11 Diámetro: 50 mm Salida: Posterior con pestaña Rosca: 1/4"NPT Escala: -76 cm/hg-0 bar; </t>
  </si>
  <si>
    <t>MN51050DC0016D</t>
  </si>
  <si>
    <t xml:space="preserve">Serie: 11 Diámetro: 50 mm Salida: Posterior con pestaña Rosca: 1/4"NPT Escala: 0-16 bar/psi; </t>
  </si>
  <si>
    <t>MN51050PD0010D</t>
  </si>
  <si>
    <t xml:space="preserve">Serie: 11 Diámetro: 50 mm Salida: Posterior con pestaña Rosca: 1/4"NPT Escala: 0-10 bar/psi; </t>
  </si>
  <si>
    <t>MN51050PA0250A</t>
  </si>
  <si>
    <t xml:space="preserve">Serie: 11 Diámetro: 50 mm Salida: Posterior Rosca: 1/8"NPT Escala: 0-250 kg/cm2; </t>
  </si>
  <si>
    <t>MN51050PA2500D</t>
  </si>
  <si>
    <t>Manómetro marca CENI - Serie: 11 - Caja: Acero negra Ø50 mm - Internos: Bronce - Salida: Posterior 1/8"BSP - Rango: 0-2,5 bar/psi - Clase: 2,5%</t>
  </si>
  <si>
    <t>MN51050PA0016D</t>
  </si>
  <si>
    <t>Manómetro marca CENI - Serie: 11 - Caja: Acero negra Ø50 mm - Internos: Bronce - Salida: Posterior 1/8"BSP - Rango: 0-16 bar/psi - Clase: 2,5%</t>
  </si>
  <si>
    <t>MN51050PC0004D</t>
  </si>
  <si>
    <t>Manómetro marca CENI - Serie: 11 - Caja: Acero negra Ø50 mm - Internos: Bronce - Salida: Posterior 1/4"NPT - Rango: 0-4 bar/psi - Clase: 2,5%</t>
  </si>
  <si>
    <t>MN51050PC0025D</t>
  </si>
  <si>
    <t>Manómetro marca CENI - Serie: 11 - Caja: Acero negra Ø50 mm - Internos: Bronce - Salida: Posterior 1/4"NPT - Rango: 0-25 bar/psi - Clase: 2,5%</t>
  </si>
  <si>
    <t>MN51050PC2500D</t>
  </si>
  <si>
    <t>Manómetro marca CENI - Serie: 11 - Caja: Acero negra Ø50 mm - Internos: Bronce - Salida: Posterior 1/4"NPT - Rango: 0-2,5 bar/psi - Clase: 2,5%</t>
  </si>
  <si>
    <t>MN51050PD0016D</t>
  </si>
  <si>
    <t>MN51050PC0010D</t>
  </si>
  <si>
    <t>Manómetro marca CENI - Serie: 11 - Caja: Acero negra Ø50 mm - Internos: Bronce - Salida: Posterior 1/4"NPT - Rango: 0-10 bar/psi - Clase: 2,5%</t>
  </si>
  <si>
    <t>MN51050PD0315B</t>
  </si>
  <si>
    <t>Manómetro marca CENI - Serie: 11 - Caja: Acero negra Ø50 mm - Internos: Bronce - Salida: Posterior 1/4"BSP - Rango: 0-315 bar - Clase: 2,5%</t>
  </si>
  <si>
    <t>MN51040RA0004D</t>
  </si>
  <si>
    <t>Manómetro marca CENI - Serie: 11 - Caja: Acero negra Ø40 mm - Internos: Bronce - Salida: Inferior 1/8"NPT - Rango: 0-4 bar/psi - Clase: 2,5%</t>
  </si>
  <si>
    <t>MN51040RA0315D</t>
  </si>
  <si>
    <t>Manómetro marca CENI - Serie: 11 - Caja: Acero negra Ø40 mm - Internos: Bronce - Salida: Inferior 1/8"NPT - Rango: 0-315 bar/psi - Clase: 2,5%</t>
  </si>
  <si>
    <t>MN51040RA0205D</t>
  </si>
  <si>
    <t>Manómetro marca CENI - Serie: 11 - Caja: Acero negra Ø40 mm - Internos: Bronce - Salida: Inferior 1/8"NPT - Rango: 0-2,5 bar/psi - Clase: 2,5%</t>
  </si>
  <si>
    <t>MN51040RA0016D</t>
  </si>
  <si>
    <t>Manómetro marca CENI - Serie: 11 - Caja: Acero negra Ø40 mm - Internos: Bronce - Salida: Inferior 1/8"NPT - Rango: 0-16 bar/psi - Clase: 2,5%</t>
  </si>
  <si>
    <t>MN51040RB0076V</t>
  </si>
  <si>
    <t>Vacuómetro marca CENI - Serie: 11 - Caja: Acero negra Ø40 mm - Internos: Bronce - Salida: Inferior 1/8"BSP - Rango: -76 cm/hg - Clase: 2,5%</t>
  </si>
  <si>
    <t>MN51040RB0315D</t>
  </si>
  <si>
    <t>Manómetro marca CENI - Serie: 11 - Caja: Acero negra Ø40 mm - Internos: Bronce - Salida: Inferior 1/8"BSP - Rango: 0-315 bar/psi - Clase: 2,5%</t>
  </si>
  <si>
    <t>MN51040RB0205D</t>
  </si>
  <si>
    <t>Manómetro marca CENI - Serie: 11 - Caja: Acero negra Ø40 mm - Internos: Bronce - Salida: Inferior 1/8"BSP - Rango: 0-2,5 bar/psi - Clase: 2,5%</t>
  </si>
  <si>
    <t>MN51040DA1000V</t>
  </si>
  <si>
    <t xml:space="preserve">Serie: 11 Diámetro: 40 mm Salida: Posterior con pestaña Rosca: 1/8"NPT Escala: -1000 mbar-0; </t>
  </si>
  <si>
    <t>MN51040DA1000M</t>
  </si>
  <si>
    <t xml:space="preserve">Serie: 11 Diámetro: 40 mm Salida: Posterior con pestaña Rosca: 1/8"NPT Escala: 0-1000 mbar; </t>
  </si>
  <si>
    <t>MN51040PA0006D</t>
  </si>
  <si>
    <t>Manómetro marca CENI - Serie: 11 - Caja: Acero negra Ø40 mm - Internos: Bronce - Salida: Posterior 1/8"NPT - Rango: 0-6 bar/psi - Clase: 2,5%</t>
  </si>
  <si>
    <t>MN51040PA0400D</t>
  </si>
  <si>
    <t>Manómetro marca CENI - Serie: 11 - Caja: Acero negra Ø40 mm - Internos: Bronce - Salida: Posterior 1/8"NPT - Rango: 0-400 bar/psi - Clase: 2,5%</t>
  </si>
  <si>
    <t>MN51040PA0004D</t>
  </si>
  <si>
    <t>Manómetro marca CENI - Serie: 11 - Caja: Acero negra Ø40 mm - Internos: Bronce - Salida: Posterior 1/8"NPT - Rango: 0-4 bar/psi - Clase: 2,5%</t>
  </si>
  <si>
    <t>MN51040PA0315D</t>
  </si>
  <si>
    <t>Manómetro marca CENI - Serie: 11 - Caja: Acero negra Ø40 mm - Internos: Bronce - Salida: Posterior 1/8"NPT - Rango: 0-315 bar/psi - Clase: 2,5%</t>
  </si>
  <si>
    <t>MN51040PA0315B</t>
  </si>
  <si>
    <t>Manómetro marca CENI - Serie: 11 - Caja: Acero negra Ø40 mm - Internos: Bronce - Salida: Posterior 1/8"NPT - Rango: 0-315 bar - Clase: 2,5%</t>
  </si>
  <si>
    <t>MN51040PA0025D</t>
  </si>
  <si>
    <t>Manómetro marca CENI - Serie: 11 - Caja: Acero negra Ø40 mm - Internos: Bronce - Salida: Posterior 1/8"NPT - Rango: 0-25 bar/psi - Clase: 2,5%</t>
  </si>
  <si>
    <t>MN51040PA0205D</t>
  </si>
  <si>
    <t>Manómetro marca CENI - Serie: 11 - Caja: Acero negra Ø40 mm - Internos: Bronce - Salida: Posterior 1/8"NPT - Rango: 0-2,5 bar/psi - Clase: 2,5%</t>
  </si>
  <si>
    <t>MN51040PA0016D</t>
  </si>
  <si>
    <t>Manómetro marca CENI - Serie: 11 - Caja: Acero negra Ø40 mm - Internos: Bronce - Salida: Posterior 1/8"NPT - Rango: 0-16 bar/psi - Clase: 2,5%</t>
  </si>
  <si>
    <t>MN51040PA0010D</t>
  </si>
  <si>
    <t>Manómetro marca CENI - Serie: 11 - Caja: Acero negra Ø40 mm - Internos: Bronce - Salida: Posterior 1/8"NPT - Rango: 0-10 bar/psi - Clase: 2,5%</t>
  </si>
  <si>
    <t>MN51040PB0006D</t>
  </si>
  <si>
    <t>Manómetro marca CENI - Serie: 11 - Caja: Acero negra Ø40 mm - Internos: Bronce - Salida: Posterior 1/8"BSP - Rango: 0-6 bar/psi - Clase: 2,5%</t>
  </si>
  <si>
    <t>MN51040PB0400D</t>
  </si>
  <si>
    <t>Manómetro marca CENI - Serie: 11 - Caja: Acero negra Ø40 mm - Internos: Bronce - Salida: Posterior 1/8"BSP - Rango: 0-400 bar/psi - Clase: 2,5%</t>
  </si>
  <si>
    <t>MN51040PB0004D</t>
  </si>
  <si>
    <t>Manómetro marca CENI - Serie: 11 - Caja: Acero negra Ø40 mm - Internos: Bronce - Salida: Posterior 1/8"BSP - Rango: 0-4 bar/psi - Clase: 2,5%</t>
  </si>
  <si>
    <t>MN51040PB0315D</t>
  </si>
  <si>
    <t>Manómetro marca CENI - Serie: 11 - Caja: Acero negra Ø40 mm - Internos: Bronce - Salida: Posterior 1/8"BSP - Rango: 0-315 bar/psi - Clase: 2,5%</t>
  </si>
  <si>
    <t>MN51040PB0315B</t>
  </si>
  <si>
    <t xml:space="preserve">Serie: 11 Diámetro: 40 mm Salida: Posterior Rosca: 1/8"BSP Escala: 0-315 bar; </t>
  </si>
  <si>
    <t>MN51040PB0018L</t>
  </si>
  <si>
    <t>Manómetro marca CENI - Serie: 11 - Caja: Acero negra Ø40 mm - Internos: Bronce - Salida: Posterior 1/8"BSP - Rango: 0-18 lts/min - Clase: 2,5%</t>
  </si>
  <si>
    <t>MN51040PB0010D</t>
  </si>
  <si>
    <t>Manómetro marca CENI - Serie: 11 - Caja: Acero negra Ø40 mm - Internos: Bronce - Salida: Posterior 1/8"BSP - Rango: 0-10 bar/psi - Clase: 2,5%</t>
  </si>
  <si>
    <t>1007/0000013488</t>
  </si>
  <si>
    <t>Serie: 51 Diámetro: 50 mm Salida: Inferior Rosca: 1/4"G Escala: 0-400 bar/psi; ZETRONIC</t>
  </si>
  <si>
    <t>1001/0000134488</t>
  </si>
  <si>
    <t>Serie: 51 Diámetro: 50 mm Salida: Inferior Rosca: 1/4"G Escala: 0-400 bar/psi; JMH</t>
  </si>
  <si>
    <t>1020/0000013488</t>
  </si>
  <si>
    <t>Serie: 51 Diámetro: 50 mm Salida: Inferior Rosca: 1/4"G Escala: 0-400 bar/psi; ELECTRODIEL</t>
  </si>
  <si>
    <t>1004/0000013488</t>
  </si>
  <si>
    <t>Serie: 51 Diámetro: 50 mm Salida: Inferior Rosca: 1/4"G Escala: 0-400 bar/psi; CEGA</t>
  </si>
  <si>
    <t>1011/0000013488</t>
  </si>
  <si>
    <t>Serie: 51 Diámetro: 50 mm Salida: Inferior Rosca: 1/4"G Escala: 0-400 bar/psi; AEB</t>
  </si>
  <si>
    <t>1002/0000013488</t>
  </si>
  <si>
    <t>Serie: 51 Diámetro: 50 mm Salida: Inferior Rosca: 1/4"G Escala: 0-400 bar/psi; ABALOS</t>
  </si>
  <si>
    <t>MN50063RD0004B</t>
  </si>
  <si>
    <t>Manómetro marca CENI - Serie: 50 - Caja: Cromada Ø63 mm - Internos: Cromados - Salida: Inferior 1/4"BSP - Rango: 0-4 bar - Clase: 1,6%</t>
  </si>
  <si>
    <t>MN50063RD0315D</t>
  </si>
  <si>
    <t>Manómetro marca CENI - Serie: 50 - Caja: Cromada Ø63 mm - Internos: Cromados - Salida: Inferior 1/4"BSP - Rango: 0-315 bar/psi - Clase: 1,6%</t>
  </si>
  <si>
    <t>MN50063RD0315B</t>
  </si>
  <si>
    <t>Manómetro marca CENI - Serie: 50 - Caja: Cromada Ø63 mm - Internos: Cromados - Salida: Inferior 1/4"BSP - Rango: 0-315 bar - Clase: 1,6%</t>
  </si>
  <si>
    <t>MN50063RD0025B</t>
  </si>
  <si>
    <t>Manómetro marca CENI - Serie: 50 - Caja: Cromada Ø63 mm - Internos: Cromados - Salida: Inferior 1/4"BSP - Rango: 0-25 bar - Clase: 1,6%</t>
  </si>
  <si>
    <t>MN50063RD0018L</t>
  </si>
  <si>
    <t>Manómetro marca CENI - Serie: 50 - Caja: Cromada Ø63 mm - Internos: Cromados - Salida: Inferior 1/4"BSP - Rango: 0-18 lts/min - Clase: 1,6%</t>
  </si>
  <si>
    <t>MN50050RB0315B</t>
  </si>
  <si>
    <t>Manómetro marca CENI - Serie: 50 - Caja: Cromada Ø50 mm - Internos: Cromados - Salida: Inferior 1/8"BSP - Rango: 0-315 bar - Clase: 1,6%</t>
  </si>
  <si>
    <t>MN50050RB0025B</t>
  </si>
  <si>
    <t>Manómetro marca CENI - Serie: 50 - Caja: Cromada Ø50 mm - Internos: Cromados - Salida: Inferior 1/8"BSP - Rango: 0-25 bar - Clase: 1,6%</t>
  </si>
  <si>
    <t>MN50050RB0018L</t>
  </si>
  <si>
    <t>Manómetro marca CENI - Serie: 50 - Caja: Cromada Ø50 mm - Internos: Cromados - Salida: Inferior 1/8"BSP - Rango: 0-18 lts/min - Clase: 1,6%</t>
  </si>
  <si>
    <t>MN50050RB0010B</t>
  </si>
  <si>
    <t>Manómetro marca CENI - Serie: 50 - Caja: Cromada Ø50 mm - Internos: Cromados - Salida: Inferior 1/8"BSP - Rango: 0-10 bar - Clase: 1,6%</t>
  </si>
  <si>
    <t>MN50050RD0006B</t>
  </si>
  <si>
    <t>Manómetro marca CENI - Serie: 50 - Caja: Cromada Ø50 mm - Internos: Cromados - Salida: Inferior 1/4"BSP - Rango: 0-6 bar - Clase: 1,6%</t>
  </si>
  <si>
    <t>MN50050RD0004B</t>
  </si>
  <si>
    <t>Manómetro marca CENI - Serie: 50 - Caja: Cromada Ø50 mm - Internos: Cromados - Salida: Inferior 1/4"BSP - Rango: 0-64bar - Clase: 1,6%</t>
  </si>
  <si>
    <t>MN50050RD0315B</t>
  </si>
  <si>
    <t>Manómetro marca CENI - Serie: 50 - Caja: Cromada Ø50 mm - Internos: Cromados - Salida: Inferior 1/4"BSP - Rango: 0-315 bar - Clase: 1,6%</t>
  </si>
  <si>
    <t>MN50050RD0025B</t>
  </si>
  <si>
    <t>Manómetro marca CENI - Serie: 50 - Caja: Cromada Ø50 mm - Internos: Cromados - Salida: Inferior 1/4"BSP - Rango: 0-25 bar - Clase: 1,6%</t>
  </si>
  <si>
    <t>MN50050RD0018L</t>
  </si>
  <si>
    <t>Manómetro marca CENI - Serie: 50 - Caja: Cromada Ø50 mm - Internos: Cromados - Salida: Inferior 1/4"BSP - Rango: 0-18 lts/min - Clase: 1,6%</t>
  </si>
  <si>
    <t>MN50050RD0010D</t>
  </si>
  <si>
    <t xml:space="preserve">Serie: 50 Diámetro: 50 mm Salida: Inferior Rosca: 1/4"BSP Escala: 0-10 bar/psi; </t>
  </si>
  <si>
    <t>MN50050RD0010X</t>
  </si>
  <si>
    <t xml:space="preserve">Serie: 50 Diámetro: 50 mm Salida: Inferior Rosca: 1/4"BSP Escala: 0-10 bar/kpa; </t>
  </si>
  <si>
    <t>MN50050RD0010B</t>
  </si>
  <si>
    <t>Manómetro marca CENI - Serie: 50 - Caja: Cromada Ø50 mm - Internos: Cromados - Salida: Inferior 1/4"BSP - Rango: 0-10 bar - Clase: 1,6%</t>
  </si>
  <si>
    <t>MN50040RB0076X</t>
  </si>
  <si>
    <t>Serie: 50 Diámetro: 40 mm Salida: Inferior Rosca: 1/8"BSP Escala: -76 cm/hg-0 bar; Pharmaservice</t>
  </si>
  <si>
    <t>MN50040RB0076V</t>
  </si>
  <si>
    <t>Vacuómetro marca CENI - Serie: 50 - Caja: Cromada Ø40 mm - Internos: Cromados - Salida: Inferior 1/8"BSP - Rango: -76 cm/hg - Clase: 1,6%
***Foto a modo de ejemplo***</t>
  </si>
  <si>
    <t>MN50040RD0018L</t>
  </si>
  <si>
    <t>Manómetro marca CENI - Serie: 50 - Caja: Cromada Ø40 mm - Internos: Cromados - Salida: Inferior 1/4"BSP - Rango: 0-18 lts/min  - Clase: 1,6%</t>
  </si>
  <si>
    <t>MN50025PB0315B</t>
  </si>
  <si>
    <t>Manómetro marca CENI - Serie: 50 - Caja: Cromada Ø25 mm - Salida: Posterior 1/8"BSP - Rango: 0-315 bar - Clase: 2,5%</t>
  </si>
  <si>
    <t>MN32063RD0315B</t>
  </si>
  <si>
    <t xml:space="preserve">Serie: 32 Diámetro: 63 mm Salida: Inferior Rosca: 1/8"NPT Escala: 0-315 bar; </t>
  </si>
  <si>
    <t>MN32063RC0315B</t>
  </si>
  <si>
    <t xml:space="preserve">Serie: 32 Diámetro: 63 mm Salida: Inferior Rosca: 1/4"NPT Escala: 0-315 bar; </t>
  </si>
  <si>
    <t>MN32063RC0025B</t>
  </si>
  <si>
    <t xml:space="preserve">Serie: 32 Diámetro: 63 mm Salida: Inferior Rosca: 1/4"NPT Escala: 0-25 bar; </t>
  </si>
  <si>
    <t>MN32063RD0025B</t>
  </si>
  <si>
    <t xml:space="preserve">Serie: 32 Diámetro: 63 mm Salida: Inferior Rosca: 1/4"BSP Escala: 0-25 bar; </t>
  </si>
  <si>
    <t>MN32050RB0025D</t>
  </si>
  <si>
    <t xml:space="preserve">Serie: 32 Diámetro: 50 mm Salida: Inferior Rosca: 1/8"NPT Escala: 0-25 bar; </t>
  </si>
  <si>
    <t>MN32050RA0012D</t>
  </si>
  <si>
    <t xml:space="preserve">Serie: 32 Diámetro: 50 mm Salida: Inferior Rosca: 1/8"NPT Escala: 0-12 bar/psi; </t>
  </si>
  <si>
    <t>MN32050RA0012B</t>
  </si>
  <si>
    <t>Serie: 32 Diámetro: 50 mm Salida: Inferior Rosca: 1/8"NPT Escala: 0-12 bar; Automación Argentina</t>
  </si>
  <si>
    <t>MN32050RA0025B</t>
  </si>
  <si>
    <t xml:space="preserve">Serie: 32 Diámetro: 50 mm Salida: Inferior Rosca: 1/4"NPT Escala: 0-25 bar; </t>
  </si>
  <si>
    <t>MN32050PA0004D</t>
  </si>
  <si>
    <t xml:space="preserve">Serie: 32 Diámetro: 50 mm Salida: Posterior Rosca: 1/8"NPT Escala: 0-4 bar/psi; </t>
  </si>
  <si>
    <t>MN32050PA2500D</t>
  </si>
  <si>
    <t xml:space="preserve">Serie: 32 Diámetro: 50 mm Salida: Posterior Rosca: 1/8"NPT Escala: 0-2,5 bar/psi; </t>
  </si>
  <si>
    <t>MN32050PA0012B</t>
  </si>
  <si>
    <t>Serie: 32 Diámetro: 50 mm Salida: Posterior Rosca: 1/8"NPT Escala: 0-12 bar; Automación Argentina</t>
  </si>
  <si>
    <t>MN32050PA0010D</t>
  </si>
  <si>
    <t xml:space="preserve">Serie: 32 Diámetro: 50 mm Salida: Posterior Rosca: 1/8"NPT Escala: 0-10 bar/psi; </t>
  </si>
  <si>
    <t>MN32050PA0030B</t>
  </si>
  <si>
    <t xml:space="preserve">Serie: 32 Diámetro: 50 mm Salida: Posterior Rosca: 1/4"NPT Escala: 0-30 bar; </t>
  </si>
  <si>
    <t>MN32050PA0100D</t>
  </si>
  <si>
    <t xml:space="preserve">Serie: 32 Diámetro: 50 mm Salida: Posterior Rosca: 1/4"NPT Escala: 0-100 bar/psi; </t>
  </si>
  <si>
    <t>MN32050PA0006B</t>
  </si>
  <si>
    <t xml:space="preserve">Serie: 32 Diámetro: 50 mm Salida: Posterior Rosca: 1/4"NPT Escala: 0-0,6 bar; </t>
  </si>
  <si>
    <t>MN32040RA0002C</t>
  </si>
  <si>
    <t xml:space="preserve">Serie: 32 Diámetro: 40 mm Salida: Inferior Rosca: 1/8"NPT Escala: 0-2 bar/psi; </t>
  </si>
  <si>
    <t>MN32040RA0012C</t>
  </si>
  <si>
    <t xml:space="preserve">Serie: 32 Diámetro: 40 mm Salida: Inferior Rosca: 1/8"NPT Escala: 0-12 bar/psi; </t>
  </si>
  <si>
    <t>MN32040RA0012B</t>
  </si>
  <si>
    <t>Serie: 32 Diámetro: 40 mm Salida: Inferior Rosca: 1/8"NPT Escala: 0-12 bar; Automación Argentina</t>
  </si>
  <si>
    <t>MN32040PA0006D</t>
  </si>
  <si>
    <t xml:space="preserve">Serie: 32 Diámetro: 40 mm Salida: Posterior Rosca: 1/8"NPT Escala: 0-6 bar/psi; </t>
  </si>
  <si>
    <t>MN32040PB2500D</t>
  </si>
  <si>
    <t xml:space="preserve">Serie: 32 Diámetro: 40 mm Salida: Posterior Rosca: 1/8"NPT Escala: 0-2,5 bar/psi; </t>
  </si>
  <si>
    <t>MN32040PA0012B</t>
  </si>
  <si>
    <t>Serie: 32 Diámetro: 40 mm Salida: Posterior Rosca: 1/8"NPT Escala: 0-12 bar; Automación Argentina</t>
  </si>
  <si>
    <t>MN28063RC0525I</t>
  </si>
  <si>
    <t>Manómetro marca CENI - Serie 28 - Isometrico
Caja: Acero inoxidable Ø63 mm - Internos: Acero inoxidable - Salida: Inferior 1/4"NPT - Rango: 0-5/25 bar - Clase: 5% - Con glicerina
***Hasta agotar stock***</t>
  </si>
  <si>
    <t>MN28063PC0525I</t>
  </si>
  <si>
    <t>Manómetro marca CENI - Serie 28 - Isometrico
Caja: Acero inoxidable Ø63 mm - Internos: Acero inoxidable - Salida: Posterior 1/4"NPT - Rango: 0-5/25 bar - Clase: 5% - Con glicerina
***Hasta agotar stock***</t>
  </si>
  <si>
    <t>MN23063RC0010D</t>
  </si>
  <si>
    <t xml:space="preserve">Serie: 23 Diámetro: 63 mm Salida: Inferior Rosca: 1/4"NPT Escala: 0-10 bar/psi; </t>
  </si>
  <si>
    <t>MN23100RF0006D</t>
  </si>
  <si>
    <t xml:space="preserve">Serie: 23 Diámetro: 100 mm Salida: Inferior Rosca: 1/2"NPT Escala: 0-6 bar/psi; </t>
  </si>
  <si>
    <t>MN23100RF0040D</t>
  </si>
  <si>
    <t xml:space="preserve">Serie: 23 Diámetro: 100 mm Salida: Inferior Rosca: 1/2"NPT Escala: 0-40 bar/psi; </t>
  </si>
  <si>
    <t>MN23100RF0025D</t>
  </si>
  <si>
    <t xml:space="preserve">Serie: 23 Diámetro: 100 mm Salida: Inferior Rosca: 1/2"NPT Escala: 0-25 bar/psi; </t>
  </si>
  <si>
    <t>MN23100RF1000D</t>
  </si>
  <si>
    <t xml:space="preserve">Serie: 23 Diámetro: 100 mm Salida: Inferior Rosca: 1/2"NPT Escala: 0-1000 bar/psi; </t>
  </si>
  <si>
    <t>MN23100RF0010D</t>
  </si>
  <si>
    <t xml:space="preserve">Serie: 23 Diámetro: 100 mm Salida: Inferior Rosca: 1/2"NPT Escala: 0-10 bar/psi; </t>
  </si>
  <si>
    <t>MN22063RF0008D</t>
  </si>
  <si>
    <t xml:space="preserve">Manómetro marca CENI - Serie: 22 - Caja: Acero inoxidable Ø63 mm - Internos: Bronce - Salida: Inferior 1/4"NPT - Rango: 0-8 bar/psi - Clase: 1,6% - Con glicerina </t>
  </si>
  <si>
    <t>MN22063RC0076V</t>
  </si>
  <si>
    <t>Vacuómetro marca CENI - Serie: 22 - Caja: Acero inoxidable Ø63 mm - Internos: Bronce - Salida: Inferior 1/4"NPT - Rango: -76 cmHg /-1 Bar - Clase: 1,6% - Con glicerina</t>
  </si>
  <si>
    <t>MN22063RC0070D</t>
  </si>
  <si>
    <t xml:space="preserve">Manómetro marca CENI - Serie: 22 - Caja: Acero inoxidable Ø63 mm - Internos: Bronce - Salida: Inferior 1/4"NPT - Rango: 0-70 bar/psi - Clase: 1,6% - Con glicerina </t>
  </si>
  <si>
    <t>MN22063RC0007D</t>
  </si>
  <si>
    <t xml:space="preserve">Manómetro marca CENI - Serie: 22 - Caja: Acero inoxidable Ø63 mm - Internos: Bronce - Salida: Inferior 1/4"NPT - Rango: 0-7 bar/psi - Clase: 1,6% - Con glicerina </t>
  </si>
  <si>
    <t>MN22063RC0600D</t>
  </si>
  <si>
    <t xml:space="preserve">Manómetro Modelo - Serie: 22 - Caja: Acero inoxidable Ø63 mm - Internos: Bronce - Salida: Inferior 1/4"NPT - Rango: 0-600 bar/psi - Clase: 1,6% - Con glicerina </t>
  </si>
  <si>
    <t>MN22063RF0060D</t>
  </si>
  <si>
    <t xml:space="preserve">Manómetro marca CENI - Serie: 22 - Caja: Acero inoxidable Ø63 mm - Internos: Bronce - Salida: Inferior 1/4"NPT - Rango: 0-60 bar/psi - Clase: 1,6% - Con glicerina </t>
  </si>
  <si>
    <t>MN22063RC0006D</t>
  </si>
  <si>
    <t xml:space="preserve">Manómetro marca CENI - Serie: 22 - Caja: Acero inoxidable Ø63 mm - Internos: Bronce - Salida: Inferior 1/4"NPT - Rango: 0-6 bar/psi - Clase: 1,6% - Con glicerina </t>
  </si>
  <si>
    <t>MN22063RF0400D</t>
  </si>
  <si>
    <t xml:space="preserve">Manómetro marca CENI - Serie: 22 - Caja: Acero inoxidable Ø63 mm - Internos: Bronce - Salida: Inferior 1/4"NPT - Rango: 0-400 bar/psi - Clase: 1,6% - Con glicerina </t>
  </si>
  <si>
    <t>MN22063RF0040D</t>
  </si>
  <si>
    <t xml:space="preserve">Manómetro marca CENI - Serie: 22 - Caja: Acero inoxidable Ø63 mm - Internos: Bronce - Salida: Inferior 1/4"NPT - Rango: 0-40 bar/psi - Clase: 1,6% - Con glicerina </t>
  </si>
  <si>
    <t>MN22063RC0004D</t>
  </si>
  <si>
    <t xml:space="preserve">Manómetro marca CENI - Serie: 22 - Caja: Acero inoxidable Ø63 mm - Internos: Bronce - Salida: Inferior 1/4"NPT - Rango: 0-4 bar/psi - Clase: 1,6% - Con glicerina </t>
  </si>
  <si>
    <t>MN22063RF0315D</t>
  </si>
  <si>
    <t xml:space="preserve">Manómetro marca CENI - Serie: 22 - Caja: Acero inoxidable Ø63 mm - Internos: Bronce - Salida: Inferior 1/4"NPT - Rango: 0-315 bar/psi - Clase: 1,6% - Con glicerina </t>
  </si>
  <si>
    <t>MN22063RC0300D</t>
  </si>
  <si>
    <t xml:space="preserve">Manómetro marca CENI - Serie: 22 - Caja: Acero inoxidable Ø63 mm - Internos: Bronce - Salida: Inferior 1/4"NPT - Rango: 0-300 bar/psi - Clase: 1,6% - Con glicerina </t>
  </si>
  <si>
    <t>MN22063RC0280D</t>
  </si>
  <si>
    <t xml:space="preserve">Manómetro marca CENI - Serie: 22 - Caja: Acero inoxidable Ø63 mm - Internos: Bronce - Salida: Inferior 1/4"NPT - Rango: 0-280 bar/psi - Clase: 1,6% - Con glicerina </t>
  </si>
  <si>
    <t>MN22063RF0250D</t>
  </si>
  <si>
    <t xml:space="preserve">Manómetro marca CENI - Serie: 22 - Caja: Acero inoxidable Ø63 mm - Internos: Bronce - Salida: Inferior 1/4"NPT - Rango: 0-250 bar/psi - Clase: 1,6% - Con glicerina </t>
  </si>
  <si>
    <t>MN22063RC0025D</t>
  </si>
  <si>
    <t xml:space="preserve">Manómetro marca CENI - Serie: 22 - Caja: Acero inoxidable Ø63 mm - Internos: Bronce - Salida: Inferior 1/4"NPT - Rango: 0-25 bar/psi - Clase: 1,6% - Con glicerina </t>
  </si>
  <si>
    <t>MN22063RC0025C</t>
  </si>
  <si>
    <t xml:space="preserve">Manómetro marca CENI - Serie: 22 - Caja: Acero inoxidable Ø63 mm - Internos: Bronce - Salida: Inferior 1/4"NPT - Rango: 0-200 kg/cm2 - Clase: 1,6% - Con glicerina </t>
  </si>
  <si>
    <t>MN22063RC0200D</t>
  </si>
  <si>
    <t xml:space="preserve">Manómetro marca CENI - Serie: 22 - Caja: Acero inoxidable Ø63 mm - Internos: Bronce - Salida: Inferior 1/4"NPT - Rango: 0-200 bar/psi - Clase: 1,6% - Con glicerina </t>
  </si>
  <si>
    <t>MN22063RC0020D</t>
  </si>
  <si>
    <t>MN22063RC0205D</t>
  </si>
  <si>
    <t xml:space="preserve">Manómetro marca CENI - Serie: 22 - Caja: Acero inoxidable Ø63 mm - Internos: Bronce - Salida: Inferior 1/4"NPT - Rango: 0-2,5 bar/psi - Clase: 1,6% - Con glicerina </t>
  </si>
  <si>
    <t>MN22063RC0160D</t>
  </si>
  <si>
    <t xml:space="preserve">Manómetro marca CENI - Serie: 22 - Caja: Acero inoxidable Ø63 mm - Internos: Bronce - Salida: Inferior 1/4"NPT - Rango: 0-160 bar/psi - Clase: 1,6% - Con glicerina </t>
  </si>
  <si>
    <t>MN22063RC0016D</t>
  </si>
  <si>
    <t xml:space="preserve">Manómetro marca CENI - Serie: 22 - Caja: Acero inoxidable Ø63 mm - Internos: Bronce - Salida: Inferior 1/4"NPT - Rango: 0-16 bar/psi - Clase: 1,6% - Con glicerina </t>
  </si>
  <si>
    <t>MN22063RC0014D</t>
  </si>
  <si>
    <t xml:space="preserve">Manómetro marca CENI - Serie: 22 - Caja: Acero inoxidable Ø63 mm - Internos: Bronce - Salida: Inferior 1/4"NPT - Rango: 0-14 bar/psi - Clase: 1,6% - Con glicerina </t>
  </si>
  <si>
    <t>MN22063RC0012D</t>
  </si>
  <si>
    <t xml:space="preserve">Manómetro marca CENI - Serie: 22 - Caja: Acero inoxidable Ø63 mm - Internos: Bronce - Salida: Inferior 1/4"NPT - Rango: 0-12 bar/psi - Clase: 1,6% - Con glicerina </t>
  </si>
  <si>
    <t>MN22063RC1000D</t>
  </si>
  <si>
    <t xml:space="preserve">Manómetro marca CENI - Serie: 22 - Caja: Acero inoxidable Ø63 mm - Internos: Bronce - Salida: Inferior 1/4"NPT - Rango: 0-1000 bar/psi - Clase: 1,6% - Con glicerina </t>
  </si>
  <si>
    <t>MN22063RC0100D</t>
  </si>
  <si>
    <t xml:space="preserve">Manómetro marca CENI - Serie: 22 - Caja: Acero inoxidable Ø63 mm - Internos: Bronce - Salida: Inferior 1/4"NPT - Rango: 0-100 bar/psi - Clase: 1,6% - Con glicerina </t>
  </si>
  <si>
    <t>MN22063RC0010D</t>
  </si>
  <si>
    <t xml:space="preserve">Manómetro marca CENI - Serie: 22 - Caja: Acero inoxidable Ø63 mm - Internos: Bronce - Salida: Inferior 1/4"NPT - Rango: 0-10 bar/psi - Clase: 1,6% - Con glicerina  </t>
  </si>
  <si>
    <t>MN22063RF0104D</t>
  </si>
  <si>
    <t>Manóvacuometro marca CENI - Serie: 22 - Caja: Acero inoxidable Ø63 mm - Internos: Bronce - Salida: Inferior 1/4"NPT - Rango: -1+4 bar/psi - Clase: 1,6% - Con glicerina</t>
  </si>
  <si>
    <t>MN22063RC0102D</t>
  </si>
  <si>
    <t>Manóvacuometro marca CENI - Serie: 22 - Caja: Acero inoxidable Ø63 mm - Internos: Bronce - Salida: Inferior 1/4"NPT - Rango: -1+2 bar/psi - Clase: 1,6% - Con glicerina</t>
  </si>
  <si>
    <t>MN22063RC0001D</t>
  </si>
  <si>
    <t xml:space="preserve">Manómetro marca CENI - Serie: 22 - Caja: Acero inoxidable Ø63 mm - Internos: Bronce - Salida: Inferior 1/4"NPT - Rango: 0-1 bar/psi - Clase: 1,6% - Con glicerina </t>
  </si>
  <si>
    <t>MN22063RC0001V</t>
  </si>
  <si>
    <t>Vacuómetro marca CENI - Serie: 22 - Caja: Acero inoxidable Ø63 mm - Internos: Bronce - Salida: Inferior 1/4"NPT - Rango: -1 bar/psi - Clase: 1,6% - Con glicerina</t>
  </si>
  <si>
    <t>MN22063PC0008D</t>
  </si>
  <si>
    <t>Manómetro marca CENI - Serie: 22 - Caja: Acero inoxidable Ø63 mm - Internos: Bronce - Salida: Posterior 1/4"NPT - Rango: 0-8 bar/psi - Clase: 1,6% - Con glicerina</t>
  </si>
  <si>
    <t>MN22063PC0076V</t>
  </si>
  <si>
    <t>Vacuómetro marca CENI - Serie: 22 - Caja: Acero inoxidable Ø63 mm - Internos: Bronce - Salida: Posterior 1/4"NPT - Rango: -76 cm/hg - Clase: 1,6% - Con glicerina</t>
  </si>
  <si>
    <t>MN22063PC0007D</t>
  </si>
  <si>
    <t>Manómetro marca CENI - Serie: 22 - Caja: Acero inoxidable Ø63 mm - Internos: Bronce - Salida: Posterior 1/4"NPT - Rango: 0-7 bar/psi - Clase: 1,6% - Con glicerina</t>
  </si>
  <si>
    <t>MN22063PC0600D</t>
  </si>
  <si>
    <t>Manómetro marca CENI - Serie: 22 - Caja: Acero inoxidable Ø63 mm - Internos: Bronce - Salida: Posterior 1/4"NPT - Rango: 0-600 bar/psi - Clase: 1,6% - Con glicerina</t>
  </si>
  <si>
    <t>MN22063PF0060D</t>
  </si>
  <si>
    <t>Manómetro marca CENI - Serie: 22 - Caja: Acero inoxidable Ø63 mm - Internos: Bronce - Salida: Posterior 1/4"NPT - Rango: 0-60 bar/psi - Clase: 1,6% - Con glicerina</t>
  </si>
  <si>
    <t>MN22063PC0006D</t>
  </si>
  <si>
    <t>Manómetro marca CENI - Serie: 22 - Caja: Acero inoxidable Ø63 mm - Internos: Bronce - Salida: Posterior 1/4"NPT - Rango: 0-6 bar/psi - Clase: 1,6% - Con glicerina</t>
  </si>
  <si>
    <t>MN22063PC0400D</t>
  </si>
  <si>
    <t>Manómetro marca CENI - Serie: 22 - Caja: Acero inoxidable Ø63 mm - Internos: Bronce - Salida: Posterior 1/4"NPT - Rango: 0-400 bar/psi - Clase: 1,6% - Con glicerina</t>
  </si>
  <si>
    <t>MN22063PC0040D</t>
  </si>
  <si>
    <t>Manómetro marca CENI - Serie: 22 - Caja: Acero inoxidable Ø63 mm - Internos: Bronce - Salida: Posterior 1/4"NPT - Rango: 0-40 bar/psi - Clase: 1,6% - Con glicerina</t>
  </si>
  <si>
    <t>MN22063PC0004D</t>
  </si>
  <si>
    <t>Manómetro marca CENI - Serie: 22 - Caja: Acero inoxidable Ø63 mm - Internos: Bronce - Salida: Posterior 1/4"NPT - Rango: 0-4 bar/psi - Clase: 1,6% - Con glicerina</t>
  </si>
  <si>
    <t>MN22063PC0315D</t>
  </si>
  <si>
    <t>Manómetro marca CENI - Serie: 22 - Caja: Acero inoxidable Ø63 mm - Internos: Bronce - Salida: Posterior 1/4"NPT - Rango: 0-315 bar/psi - Clase: 1,6% - Con glicerina</t>
  </si>
  <si>
    <t>MN22063PC0280D</t>
  </si>
  <si>
    <t>Manómetro marca CENI - Serie: 22 - Caja: Acero inoxidable Ø63 mm - Internos: Bronce - Salida: Posterior 1/4"NPT - Rango: 0-280 bar/psi - Clase: 1,6% - Con glicerina</t>
  </si>
  <si>
    <t>MN22063PF0250D</t>
  </si>
  <si>
    <t>Manómetro marca CENI - Serie: 22 - Caja: Acero inoxidable Ø63 mm - Internos: Bronce - Salida: Posterior 1/4"NPT - Rango: 0-250 bar/psi - Clase: 1,6% - Con glicerina</t>
  </si>
  <si>
    <t>MN22063PF0020D</t>
  </si>
  <si>
    <t>Manómetro marca CENI - Serie: 22 - Caja: Acero inoxidable Ø63 mm - Internos: Bronce - Salida: Posterior 1/4"NPT - Rango: 0-25 bar/psi - Clase: 1,6% - Con glicerina</t>
  </si>
  <si>
    <t>MN22063PF0200D</t>
  </si>
  <si>
    <t>Manómetro marca CENI - Serie: 22 - Caja: Acero inoxidable Ø63 mm - Internos: Bronce - Salida: Posterior 1/4"NPT - Rango: 0-200 bar/psi - Clase: 1,6% - Con glicerina</t>
  </si>
  <si>
    <t>MN22063PC2500D</t>
  </si>
  <si>
    <t>Manómetro marca CENI - Serie: 22 - Caja: Acero inoxidable Ø63 mm - Internos: Bronce - Salida: Posterior 1/4"NPT - Rango: 0-2,5 bar/psi - Clase: 1,6% - Con glicerina</t>
  </si>
  <si>
    <t>MN22063PC0160D</t>
  </si>
  <si>
    <t>Manómetro marca CENI - Serie: 22 - Caja: Acero inoxidable Ø63 mm - Internos: Bronce - Salida: Posterior 1/4"NPT - Rango: 0-160 bar/psi - Clase: 1,6% - Con glicerina</t>
  </si>
  <si>
    <t>MN22063PC0016D</t>
  </si>
  <si>
    <t>Manómetro marca CENI - Serie: 22 - Caja: Acero inoxidable Ø63 mm - Internos: Bronce - Salida: Posterior 1/4"NPT - Rango: 0-16 bar/psi - Clase: 1,6% - Con glicerina</t>
  </si>
  <si>
    <t>MN22063PC1000D</t>
  </si>
  <si>
    <t>Manómetro marca CENI - Serie: 22 - Caja: Acero inoxidable Ø63 mm - Internos: Bronce - Salida: Posterior 1/4"NPT - Rango: 0-1000 bar/psi - Clase: 1,6% - Con glicerina</t>
  </si>
  <si>
    <t>MN22063PC0100D</t>
  </si>
  <si>
    <t>Manómetro marca CENI - Serie: 22 - Caja: Acero inoxidable Ø63 mm - Internos: Bronce - Salida: Posterior 1/4"NPT - Rango: 0-100 bar/psi - Clase: 1,6% - Con glicerina</t>
  </si>
  <si>
    <t>MN22063PC0010D</t>
  </si>
  <si>
    <t>Manómetro marca CENI - Serie: 22 - Caja: Acero inoxidable Ø63 mm - Internos: Bronce - Salida: Posterior 1/4"NPT - Rango: 0-10 bar/psi - Clase: 1,6% - Con glicerina</t>
  </si>
  <si>
    <t>MN22063PC0001D</t>
  </si>
  <si>
    <t>Manómetro marca CENI - Serie: 22 - Caja: Acero inoxidable Ø63 mm - Internos: Bronce - Salida: Posterior 1/4"NPT - Rango: 0-1 bar/psi - Clase: 1,6% - Con glicerina</t>
  </si>
  <si>
    <t>MN22063PC0001V</t>
  </si>
  <si>
    <t>Vacuómetro marca CENI - Serie: 22 - Caja: Acero inoxidable Ø63 mm - Internos: Bronce - Salida: Posterior 1/4"NPT - Rango: -1 bar/in.hg - Clase: 1,6% - Con glicerina</t>
  </si>
  <si>
    <t>MN22040RA0004D</t>
  </si>
  <si>
    <t xml:space="preserve">Serie: 22 Diámetro: 40 mm Salida: Inferior Rosca: 1/8"NPT Escala: 0-4 bar/psi; </t>
  </si>
  <si>
    <t>MN22040RA0025C</t>
  </si>
  <si>
    <t xml:space="preserve">Serie: 22 Diámetro: 40 mm Salida: Inferior Rosca: 1/8"NPT Escala: 0-25 bar/psi; </t>
  </si>
  <si>
    <t>MN22040RA0025B</t>
  </si>
  <si>
    <t xml:space="preserve">Serie: 22 Diámetro: 40 mm Salida: Inferior Rosca: 1/8"NPT Escala: 0-25 bar; </t>
  </si>
  <si>
    <t>MN22040PA0006D</t>
  </si>
  <si>
    <t xml:space="preserve">Modelo: Serie 22 Diámetro: 40 mm Salida: Posterior Rosca: 1/8"BSP (con alojamiento p/ oring) Escala: 0-6 bar/psi; </t>
  </si>
  <si>
    <t>MN22040PA0400D</t>
  </si>
  <si>
    <t xml:space="preserve">Serie: 22 Diámetro: 40 mm Salida: Posterior Rosca: 1/8"NPT Escala: 0-400 bar/psi; </t>
  </si>
  <si>
    <t>MN22040PA0004D</t>
  </si>
  <si>
    <t xml:space="preserve">Serie: 22 Diámetro: 40 mm Salida: Posterior Rosca: 1/8"NPT Escala: 0-4 bar/psi; </t>
  </si>
  <si>
    <t>MN22040PA0300D</t>
  </si>
  <si>
    <t xml:space="preserve">Serie: 22 Diámetro: 40 mm Salida: Posterior Rosca: 1/8"NPT Escala: 0-300 bar/psi; </t>
  </si>
  <si>
    <t>MN22040PA0025B</t>
  </si>
  <si>
    <t xml:space="preserve">Serie: 22 Diámetro: 40 mm Salida: Posterior Rosca: 1/8"NPT Escala: 0-25 bar/psi; </t>
  </si>
  <si>
    <t>MN22040PA0016D</t>
  </si>
  <si>
    <t xml:space="preserve">Serie: 22 Diámetro: 40 mm Salida: Posterior Rosca: 1/8"NPT Escala: 0-16 bar/psi; </t>
  </si>
  <si>
    <t>MN22040PA0015P</t>
  </si>
  <si>
    <t xml:space="preserve">Serie: 22 Diámetro: 40 mm Salida: Posterior Rosca: 1/8"NPT Escala: 0-15 psi; </t>
  </si>
  <si>
    <t>MN22040PA0010D</t>
  </si>
  <si>
    <t xml:space="preserve">Serie: 22 Diámetro: 40 mm Salida: Posterior Rosca: 1/8"NPT Escala: 0-10 bar/psi; </t>
  </si>
  <si>
    <t>MN22100RF0008D</t>
  </si>
  <si>
    <t>Manómetro marca CENI - Serie: 22 - Caja: Acero inoxidable Ø100 mm - Internos: Bronce - Salida: Inferior 1/2"NPT - Rango: 0-8 bar/psi - Clase: 1,6% - Con glicerina</t>
  </si>
  <si>
    <t>MN22100RF0076V</t>
  </si>
  <si>
    <t>Vacuómetro marca CENI - Serie: 22 - Caja: Acero inoxidable Ø100 mm - Internos: Bronce - Salida: Inferior 1/2"NPT - Rango: -76 cm/hg - Clase: 1,6% - Con glicerina</t>
  </si>
  <si>
    <t>MN22100RF0070D</t>
  </si>
  <si>
    <t>Manómetro marca CENI - Serie: 22 - Caja: Acero inoxidable Ø100 mm - Internos: Bronce - Salida: Inferior 1/2"NPT - Rango: 0-70 bar/psi - Clase: 1,6% - Con glicerina</t>
  </si>
  <si>
    <t>MN22100RF0600D</t>
  </si>
  <si>
    <t>Manómetro marca CENI - Serie: 22 - Caja: Acero inoxidable Ø100 mm - Internos: Bronce - Salida: Inferior 1/2"NPT - Rango: 0-600 bar/psi - Clase: 1,6% - Con glicerina</t>
  </si>
  <si>
    <t>MN22100RF0060D</t>
  </si>
  <si>
    <t>Manómetro marca CENI - Serie: 22 - Caja: Acero inoxidable Ø100 mm - Internos: Bronce - Salida: Inferior 1/2"NPT - Rango: 0-60 bar/psi - Clase: 1,6% - Con glicerina</t>
  </si>
  <si>
    <t>MN22100RF0006D</t>
  </si>
  <si>
    <t>Manómetro marca CENI - Serie: 22 - Caja: Acero inoxidable Ø100 mm - Internos: Bronce - Salida: Inferior 1/2"NPT - Rango: 0-6 bar/psi - Clase: 1,6% - Con glicerina</t>
  </si>
  <si>
    <t>MN22100RF0400D</t>
  </si>
  <si>
    <t>Manómetro marca CENI - Serie: 22 - Caja: Acero inoxidable Ø100 mm - Internos: Bronce - Salida: Inferior 1/2"NPT - Rango: 0-400 bar/psi - Clase: 1,6% - Con glicerina</t>
  </si>
  <si>
    <t>MN22100RF0040D</t>
  </si>
  <si>
    <t>Manómetro marca CENI - Serie: 22 - Caja: Acero inoxidable Ø100 mm - Internos: Bronce - Salida: Inferior 1/2"NPT - Rango: 0-40 bar/psi - Clase: 1,6% - Con glicerina</t>
  </si>
  <si>
    <t>MN22100RF0004D</t>
  </si>
  <si>
    <t>Manómetro marca CENI - Serie: 22 - Caja: Acero inoxidable Ø100 mm - Internos: Bronce - Salida: Inferior 1/2"NPT - Rango: 0-4 bar/psi - Clase: 1,6% - Con glicerina</t>
  </si>
  <si>
    <t>MN22100RF0315D</t>
  </si>
  <si>
    <t>Manómetro marca CENI - Serie: 22 - Caja: Acero inoxidable Ø100 mm - Internos: Bronce - Salida: Inferior 1/2"NPT - Rango: 0-315 bar/psi - Clase: 1,6% - Con glicerina</t>
  </si>
  <si>
    <t>MN22100RF0250D</t>
  </si>
  <si>
    <t>Manómetro marca CENI - Serie: 22 - Caja: Acero inoxidable Ø100 mm - Internos: Bronce - Salida: Inferior 1/2"NPT - Rango: 0-250 bar/psi - Clase: 1,6% - Con glicerina</t>
  </si>
  <si>
    <t>MN22100RF0025D</t>
  </si>
  <si>
    <t>Manómetro marca CENI - Serie: 22 - Caja: Acero inoxidable Ø100 mm - Internos: Bronce - Salida: Inferior 1/2"NPT - Rango: 0-25 bar/psi - Clase: 1,6% - Con glicerina</t>
  </si>
  <si>
    <t>MN22100RF2500D</t>
  </si>
  <si>
    <t>Manómetro marca CENI - Serie: 22 - Caja: Acero inoxidable Ø100 mm - Internos: Bronce - Salida: Inferior 1/2"NPT - Rango: 0-2,5 bar/psi - Clase: 1,6% - Con glicerina</t>
  </si>
  <si>
    <t>MN22100RF0160D</t>
  </si>
  <si>
    <t>Manómetro marca CENI - Serie: 22 - Caja: Acero inoxidable Ø100 mm - Internos: Bronce - Salida: Inferior 1/2"NPT - Rango: 0-160 bar/psi - Clase: 1,6% - Con glicerina</t>
  </si>
  <si>
    <t>MN22100RF0016D</t>
  </si>
  <si>
    <t>Manómetro marca CENI - Serie: 22 - Caja: Acero inoxidable Ø100 mm - Internos: Bronce - Salida: Inferior 1/2"NPT - Rango: 0-16 bar/psi - Clase: 1,6% - Con glicerina</t>
  </si>
  <si>
    <t>MN22100RF1000D</t>
  </si>
  <si>
    <t>Manómetro marca CENI - Serie: 22 - Caja: Acero inoxidable Ø100 mm - Internos: Bronce - Salida: Inferior 1/2"NPT - Rango: 0-1000 bar/psi - Clase: 1,6% - Con glicerina</t>
  </si>
  <si>
    <t>MN22100RF0100D</t>
  </si>
  <si>
    <t>Manómetro marca CENI - Serie: 22 - Caja: Acero inoxidable Ø100 mm - Internos: Bronce - Salida: Inferior 1/2"NPT - Rango: 0-100 bar/psi - Clase: 1,6% - Con glicerina</t>
  </si>
  <si>
    <t>MN22100RF0010D</t>
  </si>
  <si>
    <t>Manómetro marca CENI - Serie: 22 - Caja: Acero inoxidable Ø100 mm - Internos: Bronce - Salida: Inferior 1/2"NPT - Rango: 0-10 bar/psi - Clase: 1,6% - Con glicerina</t>
  </si>
  <si>
    <t>MN22100RF0001D</t>
  </si>
  <si>
    <t>Manómetro marca CENI - Serie: 22 - Caja: Acero inoxidable Ø100 mm - Internos: Bronce - Salida: Inferior 1/2"NPT - Rango: 0-1 bar/psi - Clase: 1,6% - Con glicerina</t>
  </si>
  <si>
    <t>MN22100RF6000D</t>
  </si>
  <si>
    <t>Manómetro marca CENI - Serie: 22 - Caja: Acero inoxidable Ø100 mm - Internos: Bronce - Salida: Inferior 1/2"NPT - Rango: 0-0,6 bar/psi - Clase: 1,6% - Sin glicerina</t>
  </si>
  <si>
    <t>MN22100PF0060D</t>
  </si>
  <si>
    <t>Manómetro marca CENI - Serie: 22 - Caja: Acero inoxidable Ø100 mm - Internos: Bronce - Salida: Posterior 1/2"NPT - Rango: 0-60 bar/psi - Clase: 1,6% - Con glicerina</t>
  </si>
  <si>
    <t>MN22100PF0006D</t>
  </si>
  <si>
    <t>Manómetro marca CENI - Serie: 22 - Caja: Acero inoxidable Ø100 mm - Internos: Bronce - Salida: Posterior 1/2"NPT - Rango: 0-6 bar/psi - Clase: 1,6% - Con glicerina</t>
  </si>
  <si>
    <t>MN22100PF0400D</t>
  </si>
  <si>
    <t>Manómetro marca CENI - Serie: 22 - Caja: Acero inoxidable Ø100 mm - Internos: Bronce - Salida: Posterior 1/2"NPT - Rango: 0-400 bar/psi - Clase: 1,6% - Con glicerina</t>
  </si>
  <si>
    <t>MN22100PF0315D</t>
  </si>
  <si>
    <t xml:space="preserve">Manómetro marca CENI - Serie: 22 - Caja: Acero inoxidable Ø100 mm - Internos: Bronce - Salida: Posterior 1/2"NPT - Rango: 0-315 bar/psi - Clase: 1,6% - Con glicerina </t>
  </si>
  <si>
    <t>MN22100PF0250D</t>
  </si>
  <si>
    <t>Manómetro marca CENI - Serie: 22 - Caja: Acero inoxidable Ø100 mm - Internos: Bronce - Salida: Posterior 1/2"NPT - Rango: 0-250 bar/psi - Clase: 1,6% - Con glicerina</t>
  </si>
  <si>
    <t>MN22100PF0025D</t>
  </si>
  <si>
    <t>Manómetro marca CENI - Serie: 22 - Caja: Acero inoxidable Ø100 mm - Internos: Bronce - Salida: Posterior 1/2"NPT - Rango: 0-25 bar/psi - Clase: 1,6% - Con glicerina</t>
  </si>
  <si>
    <t>MN22100PF0160D</t>
  </si>
  <si>
    <t>Manómetro marca CENI - Serie: 22 - Caja: Acero inoxidable Ø100 mm - Internos: Bronce - Salida: Posterior 1/2"NPT - Rango: 0-160 bar/psi - Clase: 1,6% - Con glicerina</t>
  </si>
  <si>
    <t>MN22100PF1000D</t>
  </si>
  <si>
    <t>Manómetro marca CENI - Serie: 22 - Caja: Acero inoxidable Ø100 mm - Internos: Bronce - Salida: Posterior 1/2"NPT - Rango: 0-1000 bar/psi - Clase: 1,6% - Con glicerina</t>
  </si>
  <si>
    <t>MN22100PF0100D</t>
  </si>
  <si>
    <t>Manómetro marca CENI - Serie: 22 - Caja: Acero inoxidable Ø100 mm - Internos: Bronce - Salida: Posterior 1/2"NPT - Rango: 0-100 bar/psi - Clase: 1,6% - Con glicerina</t>
  </si>
  <si>
    <t>MN22100PF0010D</t>
  </si>
  <si>
    <t>Manómetro marca CENI - Serie: 22 - Caja: Acero inoxidable Ø100 mm - Internos: Bronce - Salida: Posterior 1/2"NPT - Rango: 0-10 bar/psi - Clase: 1,6% - Con glicerina</t>
  </si>
  <si>
    <t>MS13063RC0006D</t>
  </si>
  <si>
    <t xml:space="preserve">Serie: 13 Diámetro: 63 mm Salida: Inferior Rosca: 1/4"NPT Escala: 0-6 bar/psi; </t>
  </si>
  <si>
    <t>MN51100RF0004E</t>
  </si>
  <si>
    <t xml:space="preserve">Serie: 11 Diámetro: 100 mm Salida: Inferior Rosca: 1/4"BSP Escala: 0-4 bar/psi; </t>
  </si>
  <si>
    <t>MN11100RF0008D</t>
  </si>
  <si>
    <t>Manómetro marca CENI - Serie: 11 - Caja: Acero negra Ø100 mm - Internos: Bronce - Salida: Inferior 1/2"NPT - Rango: 0-8 bar/psi - Clase: 1,6%</t>
  </si>
  <si>
    <t>MN11100RF0076V</t>
  </si>
  <si>
    <t>Vacuómetro marca CENI - Serie: 11 - Caja: Acero negra Ø100 mm - Internos: Bronce - Salida: Inferior 1/2"NPT - Rango: -76 cm/hg - Clase: 1,6%</t>
  </si>
  <si>
    <t>MN51100RF0600D</t>
  </si>
  <si>
    <t>Manómetro marca CENI - Serie: 11 - Caja: Acero negra Ø100 mm - Internos: Bronce - Salida: Inferior 1/2"NPT - Rango: 0-600 bar/psi - Clase: 1,6%</t>
  </si>
  <si>
    <t>MN11100RF0060A</t>
  </si>
  <si>
    <t xml:space="preserve">Serie: 11 Diámetro: 100 mm Salida: Inferior Rosca: 1/2"NPT Escala: 0-60 kg/cm2; </t>
  </si>
  <si>
    <t>MN11100RF0060D</t>
  </si>
  <si>
    <t>Manómetro marca CENI - Serie: 11 - Caja: Acero negra Ø100 mm - Internos: Bronce - Salida: Inferior 1/2"NPT - Rango: 0-60 bar/psi - Clase: 1,6%</t>
  </si>
  <si>
    <t>MN11100RF0006D</t>
  </si>
  <si>
    <t>Manómetro marca CENI - Serie: 11 - Caja: Acero negra Ø100 mm - Internos: Bronce - Salida: Inferior 1/2"NPT - Rango: 0-6 bar/psi - Clase: 1,6%</t>
  </si>
  <si>
    <t>MN11100RF0400D</t>
  </si>
  <si>
    <t>Manómetro marca CENI - Serie: 11 - Caja: Acero negra Ø100 mm - Internos: Bronce - Salida: Inferior 1/2"NPT - Rango: 0-400 bar/psi - Clase: 1,6%</t>
  </si>
  <si>
    <t>MN11100RF0040D</t>
  </si>
  <si>
    <t>Manómetro marca CENI - Serie: 11 - Caja: Acero negra Ø100 mm - Internos: Bronce - Salida: Inferior 1/2"NPT - Rango: 0-40 bar/psi - Clase: 1,6%</t>
  </si>
  <si>
    <t>MN51100RF0004D</t>
  </si>
  <si>
    <t>Manómetro marca CENI - Serie: 11 - Caja: Acero negra Ø100 mm - Internos: Bronce - Salida: Inferior 1/2"NPT - Rango: 0-4 bar/psi - Clase: 1,6%</t>
  </si>
  <si>
    <t>MN11100RF0315D</t>
  </si>
  <si>
    <t>Manómetro marca CENI - Serie: 11 - Caja: Acero negra Ø100 mm - Internos: Bronce - Salida: Inferior 1/2"NPT - Rango: 0-315 bar/psi - Clase: 1,6%</t>
  </si>
  <si>
    <t>MN11100RF0250D</t>
  </si>
  <si>
    <t>Manómetro marca CENI - Serie: 11 - Caja: Acero negra Ø100 mm - Internos: Bronce - Salida: Inferior 1/2"NPT - Rango: 0-250 bar/psi - Clase: 1,6%</t>
  </si>
  <si>
    <t>MN51100RF0025D</t>
  </si>
  <si>
    <t>Manómetro marca CENI - Serie: 11 - Caja: Acero negra Ø100 mm - Internos: Bronce - Salida: Inferior 1/2"NPT - Rango: 0-25 bar/psi - Clase: 1,6%</t>
  </si>
  <si>
    <t>MN51100RF0205D</t>
  </si>
  <si>
    <t>Manómetro marca CENI - Serie: 11 - Caja: Acero negra Ø100 mm - Internos: Bronce - Salida: Inferior 1/2"NPT - Rango: 0-2,5 bar/psi - Clase: 1,6%</t>
  </si>
  <si>
    <t>MN11100RF0160D</t>
  </si>
  <si>
    <t>Manómetro marca CENI - Serie: 11 - Caja: Acero negra Ø100 mm - Internos: Bronce - Salida: Inferior 1/2"NPT - Rango: 0-160 bar/psi - Clase: 1,6%</t>
  </si>
  <si>
    <t>MN11100RF0016D</t>
  </si>
  <si>
    <t>Manómetro marca CENI - Serie: 11 - Caja: Acero negra Ø100 mm - Internos: Bronce - Salida: Inferior 1/2"NPT - Rango: 0-16 bar/psi - Clase: 1,6%</t>
  </si>
  <si>
    <t>MN51100RF1000D</t>
  </si>
  <si>
    <t>Manómetro marca CENI - Serie: 11 - Caja: Acero negra Ø100 mm - Internos: Bronce - Salida: Inferior 1/2"NPT - Rango: 0-1000 bar/psi - Clase: 1,6%</t>
  </si>
  <si>
    <t>MN11100RF0100K</t>
  </si>
  <si>
    <t>Manómetro marca CENI - Serie: 11 - Caja: Acero negra Ø100 mm - Internos: Bronce - Salida: Inferior 1/2"NPT - Rango: -100 kpa/cm.hg - Clase: 1,6%</t>
  </si>
  <si>
    <t>MN11100RF0100D</t>
  </si>
  <si>
    <t>Manómetro marca CENI - Serie: 11 - Caja: Acero negra Ø100 mm - Internos: Bronce - Salida: Inferior 1/2"NPT - Rango: 0-100 bar/psi - Clase: 1,6%</t>
  </si>
  <si>
    <t>MN11100RF0010D</t>
  </si>
  <si>
    <t>Manómetro marca CENI - Serie: 11 - Caja: Acero negra Ø100 mm - Internos: Bronce - Salida: Inferior 1/2"NPT - Rango: 0-10 bar/psi - Clase: 1,6%</t>
  </si>
  <si>
    <t>MN11100RF0001D</t>
  </si>
  <si>
    <t>Manómetro marca CENI - Serie: 11 - Caja: Acero negra Ø100 mm - Internos: Bronce - Salida: Inferior 1/2"NPT - Rango: 0-1 bar/psi - Clase: 1,6%</t>
  </si>
  <si>
    <t>MN11100RF6000D</t>
  </si>
  <si>
    <t>Manómetro marca CENI - Serie: 11 - Caja: Acero negra Ø100 mm - Internos: Bronce - Salida: Inferior 1/2"NPT - Rango: 0-0,6 bar/psi - Clase: 1,6%</t>
  </si>
  <si>
    <t>MD100100RF2600D</t>
  </si>
  <si>
    <t>Manómetro marca CENI - Serie: 100 (Digital) - Diámetro: 100 mm - Salida: Inferior - Rosca: 1/2"NPT - Escala: 0-2600 bar - Clase: 0,5%</t>
  </si>
  <si>
    <t>MD100100RF1600D</t>
  </si>
  <si>
    <t>Manómetro marca CENI - Serie: 100 (Digital) - Diámetro: 100 mm - Salida: Inferior - Rosca: 1/2"NPT - Escala: 0-1600 bar - Clase: 0,5%</t>
  </si>
  <si>
    <t>MD100100RF0100</t>
  </si>
  <si>
    <t>Manómetro marca CENI - Serie: 100 (Digital) - Diámetro: 100 mm - Salida: Inferior - Rosca: 1/2"NPT - Escala: 0-100 bar - Clase: 0,5%</t>
  </si>
  <si>
    <t>MD100100RF0010</t>
  </si>
  <si>
    <t>Manómetro marca CENI - Serie: 100 (Digital) - Diámetro: 100 mm - Salida: Inferior - Rosca: 1/2"NPT - Escala: 0-10 bar - Clase: 0,5%</t>
  </si>
  <si>
    <t>PZ01020</t>
  </si>
  <si>
    <t>PZ01020 MANGUITO UNION D20</t>
  </si>
  <si>
    <t>PZ01032</t>
  </si>
  <si>
    <t>PZ01032 MANGUITO UNION D32</t>
  </si>
  <si>
    <t>PZ01040</t>
  </si>
  <si>
    <t>PZ01040 MANGUITO UNION D40</t>
  </si>
  <si>
    <t>PZ01050</t>
  </si>
  <si>
    <t>PZ01050 MANGUITO UNION D50</t>
  </si>
  <si>
    <t>PZ01063</t>
  </si>
  <si>
    <t>PZ01063 MANGUITO UNION D63</t>
  </si>
  <si>
    <t>PZ01075</t>
  </si>
  <si>
    <t>PZ01075 MANGUITO UNION D75</t>
  </si>
  <si>
    <t>PZ01090</t>
  </si>
  <si>
    <t>PZ01090 MANGUITO UNION D90</t>
  </si>
  <si>
    <t>PZ01110</t>
  </si>
  <si>
    <t>PZ01110 MANGUITO UNION D110</t>
  </si>
  <si>
    <t>PZ01160</t>
  </si>
  <si>
    <t>PZ01160 MANGUITO UNION D160</t>
  </si>
  <si>
    <t>PZ01200</t>
  </si>
  <si>
    <t>PZ01200 MANGUITO UNION D200</t>
  </si>
  <si>
    <t>PZ02025</t>
  </si>
  <si>
    <t>PZ02025 TAPON D25</t>
  </si>
  <si>
    <t>PZ02032</t>
  </si>
  <si>
    <t>PZ02032 TAPON D32</t>
  </si>
  <si>
    <t>PZ02040</t>
  </si>
  <si>
    <t>PZ02040 TAPON D40</t>
  </si>
  <si>
    <t>PZ02050</t>
  </si>
  <si>
    <t>PZ02050 TAPON D50</t>
  </si>
  <si>
    <t>PZ02063</t>
  </si>
  <si>
    <t>PZ02063 TAPON D63</t>
  </si>
  <si>
    <t>PZ02075</t>
  </si>
  <si>
    <t>PZ02075 TAPON D75</t>
  </si>
  <si>
    <t>PZ02090</t>
  </si>
  <si>
    <t>PZ02090 TAPON D90</t>
  </si>
  <si>
    <t>PZ02110</t>
  </si>
  <si>
    <t>PZ02110 TAPON D110</t>
  </si>
  <si>
    <t>PZ031190</t>
  </si>
  <si>
    <t>PZ031190 BUJE REDUCCION D110-90</t>
  </si>
  <si>
    <t>PZ032520</t>
  </si>
  <si>
    <t>PZ032520 BUJE REDUCCION D25-20</t>
  </si>
  <si>
    <t>PZ033225</t>
  </si>
  <si>
    <t>PZ033225 BUJE REDUCCION D32-25</t>
  </si>
  <si>
    <t>PZ034032</t>
  </si>
  <si>
    <t>PZ034032 BUJE REDUCCION D40-32</t>
  </si>
  <si>
    <t>PZ035040</t>
  </si>
  <si>
    <t>PZ035040 BUJE REDUCCION D50-40</t>
  </si>
  <si>
    <t>PZ036350</t>
  </si>
  <si>
    <t>PZ036350 BUJE REDUCCION D63-50</t>
  </si>
  <si>
    <t>PZ037563</t>
  </si>
  <si>
    <t>PZ037563 BUJE REDUCCION D75-63</t>
  </si>
  <si>
    <t>PZ039075</t>
  </si>
  <si>
    <t>PZ039075 BUJE REDUCCION D90-75</t>
  </si>
  <si>
    <t>PZ04020</t>
  </si>
  <si>
    <t>PZ04020 TE D20</t>
  </si>
  <si>
    <t>PZ04025</t>
  </si>
  <si>
    <t>PZ04025 TE D25</t>
  </si>
  <si>
    <t>PZ04032</t>
  </si>
  <si>
    <t>PZ04032 TE D32</t>
  </si>
  <si>
    <t>PZ04040</t>
  </si>
  <si>
    <t>PZ04040 TE D40</t>
  </si>
  <si>
    <t>PZ04050</t>
  </si>
  <si>
    <t>PZ04050 TE D50</t>
  </si>
  <si>
    <t>PZ04063</t>
  </si>
  <si>
    <t>PZ04063 TE D63</t>
  </si>
  <si>
    <t>PZ04075</t>
  </si>
  <si>
    <t>PZ04075 TE D75</t>
  </si>
  <si>
    <t>PZ04090</t>
  </si>
  <si>
    <t>PZ04090 TE D90</t>
  </si>
  <si>
    <t>PZ04110</t>
  </si>
  <si>
    <t>PZ04110 TE D110</t>
  </si>
  <si>
    <t>PZ04160</t>
  </si>
  <si>
    <t>PZ04160 TE D160</t>
  </si>
  <si>
    <t>PZ04200</t>
  </si>
  <si>
    <t>PZ04200 TE D200</t>
  </si>
  <si>
    <t>PZ05020</t>
  </si>
  <si>
    <t>PZ05020 CODO 90º D20</t>
  </si>
  <si>
    <t>PZ05025</t>
  </si>
  <si>
    <t>PZ05025 CODO 90º D25</t>
  </si>
  <si>
    <t>PZ05032</t>
  </si>
  <si>
    <t>PZ05032 CODO 90º D32</t>
  </si>
  <si>
    <t>PZ05040</t>
  </si>
  <si>
    <t>PZ05040 CODO 90º D40</t>
  </si>
  <si>
    <t>PZ05050</t>
  </si>
  <si>
    <t>PZ05050 CODO 90º D50</t>
  </si>
  <si>
    <t>PZ05063</t>
  </si>
  <si>
    <t>PZ05063 CODO 90º D63</t>
  </si>
  <si>
    <t>PZ05160</t>
  </si>
  <si>
    <t>PZ05160 CODO 90º D160</t>
  </si>
  <si>
    <t>PZ05200</t>
  </si>
  <si>
    <t>PZ05200 CODO 90º D200</t>
  </si>
  <si>
    <t>PZ06025</t>
  </si>
  <si>
    <t>PZ06025 CODO 45º D25</t>
  </si>
  <si>
    <t>PZ06032</t>
  </si>
  <si>
    <t>PZ06032 CODO 45º D32</t>
  </si>
  <si>
    <t>PZ06040</t>
  </si>
  <si>
    <t>PZ06040 CODO 45º D40</t>
  </si>
  <si>
    <t>PZ06050</t>
  </si>
  <si>
    <t>PZ06050 CODO 45º D50</t>
  </si>
  <si>
    <t>PZ06063</t>
  </si>
  <si>
    <t>PZ06063 CODO 45º D63</t>
  </si>
  <si>
    <t>PZ06075</t>
  </si>
  <si>
    <t>PZ06075 CODO 45º D75</t>
  </si>
  <si>
    <t>PZ06110</t>
  </si>
  <si>
    <t>PZ06110 CODO 45º D110</t>
  </si>
  <si>
    <t>PZ06160</t>
  </si>
  <si>
    <t>PZ06160 CODO 45º D160</t>
  </si>
  <si>
    <t>PZ06200</t>
  </si>
  <si>
    <t>PZ06200 CODO 45º D200</t>
  </si>
  <si>
    <t>PZ07020</t>
  </si>
  <si>
    <t>PZ07020 MANGUITO MACHO D20X1/2"</t>
  </si>
  <si>
    <t>PZ07025</t>
  </si>
  <si>
    <t>PZ07025 MANGUITO MACHO D25X3/4"</t>
  </si>
  <si>
    <t>PZ07032</t>
  </si>
  <si>
    <t>PZ07032 MANGUITO MACHO D32X1"</t>
  </si>
  <si>
    <t>PZ07040</t>
  </si>
  <si>
    <t>PZ07040 MANGUITO MACHO D40X1 1/4"</t>
  </si>
  <si>
    <t>PZ07050</t>
  </si>
  <si>
    <t>PZ07050 MANGUITO MACHO D50X1 1/2"</t>
  </si>
  <si>
    <t>PZ07063</t>
  </si>
  <si>
    <t>PZ07063 MANGUITO MACHO D63X2"</t>
  </si>
  <si>
    <t>PZ07075</t>
  </si>
  <si>
    <t>PZ07075 MANGUITO MACHO D75X2 1/2"</t>
  </si>
  <si>
    <t>PZ07090</t>
  </si>
  <si>
    <t>PZ07090 MANGUITO MACHO D90X3"</t>
  </si>
  <si>
    <t>PZ07110</t>
  </si>
  <si>
    <t>PZ07110 MANGUITO MACHO D110X4"</t>
  </si>
  <si>
    <t>PZ08020</t>
  </si>
  <si>
    <t>PZ08020 MANGUITO HEMBRA D20X1/2"</t>
  </si>
  <si>
    <t>PZ08025</t>
  </si>
  <si>
    <t>PZ08025 MANGUITO HEMBRA D25X3/4"</t>
  </si>
  <si>
    <t>PZ08032</t>
  </si>
  <si>
    <t>PZ08032 MANGUITO HEMBRA D32X1"</t>
  </si>
  <si>
    <t>PZ08040</t>
  </si>
  <si>
    <t>PZ08040 MANGUITO HEMBRA D40 X 1 1/4"</t>
  </si>
  <si>
    <t>PZ08050</t>
  </si>
  <si>
    <t>PZ08050 MANGUITO HEMBRA D50 X 1  1/2"</t>
  </si>
  <si>
    <t>PZ08063</t>
  </si>
  <si>
    <t>PZ08063 MANGUITO HEMBRA D63X2"</t>
  </si>
  <si>
    <t>PZ08075</t>
  </si>
  <si>
    <t>PZ08075 MANGUITO HEMBRA D75 X 2 1/2"</t>
  </si>
  <si>
    <t>PZ08090</t>
  </si>
  <si>
    <t>PZ08090 MANGUITO HEMBRA D90X3"</t>
  </si>
  <si>
    <t>PZ08110</t>
  </si>
  <si>
    <t>PZ08110 MANGUITO HEMBRA D110X4"</t>
  </si>
  <si>
    <t>PZ2001</t>
  </si>
  <si>
    <t>PZ2001 VALVULA BOLA COMPACTA SERVICIO LIVIANO D1/2"</t>
  </si>
  <si>
    <t>PZ2002</t>
  </si>
  <si>
    <t>PZ2002 VALVULA BOLA COMPACTA SERVICIO LIVIANO D3/4"</t>
  </si>
  <si>
    <t>PZ2003</t>
  </si>
  <si>
    <t>PZ2003 VALVULA BOLA COMPACTA SERVICIO LIVIANO D1"</t>
  </si>
  <si>
    <t>PZ2004</t>
  </si>
  <si>
    <t>PZ2004 VALVULA BOLA COMPACTA SERVICIO LIVIANO D1 1/4"</t>
  </si>
  <si>
    <t>PZ2005</t>
  </si>
  <si>
    <t>PZ2005 VALVULA BOLA COMPACTA SERVICIO LIVIANO D1 1/2"</t>
  </si>
  <si>
    <t>PZ2006</t>
  </si>
  <si>
    <t>PZ2006 VALVULA BOLA COMPACTA SERVICIO LIVIANO D2"</t>
  </si>
  <si>
    <t>PZ2101</t>
  </si>
  <si>
    <t>PZ2101 VALVULA BOLA COMPACTA SERVICIO PESADO D 1/2"</t>
  </si>
  <si>
    <t>PZ2102</t>
  </si>
  <si>
    <t>PZ2102 VALVULA BOLA COMPACTA SERVICIO PESADO D3/4"</t>
  </si>
  <si>
    <t>PZ2103</t>
  </si>
  <si>
    <t>PZ2103 VALVULA BOLA COMPACTA SERVICIO PESADO D1"</t>
  </si>
  <si>
    <t>PZ2104</t>
  </si>
  <si>
    <t>PZ2104 VALVULA BOLA COMPACTA SERVICIO PESADO D1 1/4"</t>
  </si>
  <si>
    <t>PZ2105</t>
  </si>
  <si>
    <t>PZ2105 VALVULA BOLA COMPACTA SERVICIO PESADO D1 1/2"</t>
  </si>
  <si>
    <t>PZ2106</t>
  </si>
  <si>
    <t>PZ2106 VALVULA BOLA COMPACTA SERVICIO PESADO D2"</t>
  </si>
  <si>
    <t>PZ2107</t>
  </si>
  <si>
    <t>PZ2107 VALVULA BOLA COMPACTA SERVICIO PESADO D2 1/2"</t>
  </si>
  <si>
    <t>PZ2108</t>
  </si>
  <si>
    <t>PZ2108 VALVULA BOLA COMPACTA SERVICIO PESADO D3"</t>
  </si>
  <si>
    <t>PZ2109</t>
  </si>
  <si>
    <t>PZ2109 VALVULA BOLA COMPACTA SERVICIO PESADO D4"</t>
  </si>
  <si>
    <t>PZ2201</t>
  </si>
  <si>
    <t>PZ2201 VALVULA BOLA SIMPLE UNION D1/2"</t>
  </si>
  <si>
    <t>PZ2202</t>
  </si>
  <si>
    <t>PZ2202 VALVULA BOLA SIMPLE UNION D3/4"</t>
  </si>
  <si>
    <t>PZ2203</t>
  </si>
  <si>
    <t>PZ2203 VALVULA BOLA SIMPLE UNION D1"</t>
  </si>
  <si>
    <t>PZ2204</t>
  </si>
  <si>
    <t>PZ2204 VALVULA BOLA SIMPLE UNION D1 1/4"</t>
  </si>
  <si>
    <t>PZ2205</t>
  </si>
  <si>
    <t>PZ2205 VALVULA BOLA SIMPLE UNION D1 1/2"</t>
  </si>
  <si>
    <t>PZ2206</t>
  </si>
  <si>
    <t>PZ2206 VALVULA BOLA SIMPLE UNION D110</t>
  </si>
  <si>
    <t>PZ2207</t>
  </si>
  <si>
    <t>PZ2207 VALVULA BOLA SIMPLE UNION D2"</t>
  </si>
  <si>
    <t>PZ2208</t>
  </si>
  <si>
    <t>PZ2208 VALVULA BOLA SIMPLE UNION D2 1/2"</t>
  </si>
  <si>
    <t>PZ2209</t>
  </si>
  <si>
    <t>PZ2209 VALVULA BOLA SIMPLE UNION D3"</t>
  </si>
  <si>
    <t>PZ2210</t>
  </si>
  <si>
    <t>PZ2210 VALVULA BOLA SIMPLE UNION D4"</t>
  </si>
  <si>
    <t>PZ2211</t>
  </si>
  <si>
    <t>PZ2211 VALVULA BOLA SIMPLE UNION D20</t>
  </si>
  <si>
    <t>PZ2212</t>
  </si>
  <si>
    <t>PZ2212 VALVULA BOLA SIMPLE UNION D25</t>
  </si>
  <si>
    <t>PZ2213</t>
  </si>
  <si>
    <t>PZ2213 VALVULA BOLA SIMPLE UNION D32</t>
  </si>
  <si>
    <t>PZ2214</t>
  </si>
  <si>
    <t>PZ2214 VALVULA BOLA SIMPLE UNION D40</t>
  </si>
  <si>
    <t>PZ2215</t>
  </si>
  <si>
    <t>PZ2215 VALVULA BOLA SIMPLE UNION D50</t>
  </si>
  <si>
    <t>PZ2216</t>
  </si>
  <si>
    <t>PZ2216 VALVULA BOLA SIMPLE UNION D63</t>
  </si>
  <si>
    <t>PZ2217</t>
  </si>
  <si>
    <t>PZ2217 VALVULA BOLA SIMPLE UNION D75</t>
  </si>
  <si>
    <t>PZ2218</t>
  </si>
  <si>
    <t>PZ2218 VALVULA BOLA SIMPLE UNION D90</t>
  </si>
  <si>
    <t>01473 PP CODO 90 D40</t>
  </si>
  <si>
    <t>01476 PP CODO PERFORMANCE D75</t>
  </si>
  <si>
    <t>01487 PP CODO 90 HEMBRA D50 X 1 1/2"</t>
  </si>
  <si>
    <t>01491 PP CODO PERFORMANCE D75 X 2 1/2"</t>
  </si>
  <si>
    <t>01501 PP CODO 90 MACHO D50 X 1 1/2"</t>
  </si>
  <si>
    <t>01513 PP TE PERFORMANCE D75</t>
  </si>
  <si>
    <t>01519 PP TE REDUCIDA D50 X 40</t>
  </si>
  <si>
    <t>01524 PP TE MIXTA HEMBRA D. 20-1/2</t>
  </si>
  <si>
    <t>01529 PP TE MIXTA HEMBRA D.32-1"</t>
  </si>
  <si>
    <t>01532 PP TE "PERFORMANCE" RH D50 X 2" X 50</t>
  </si>
  <si>
    <t>01534 PP TE "PERFORMANCE" RH D75 X 2 1/2" X 75</t>
  </si>
  <si>
    <t>01554 PP MANGUITO UNION PERFORMANCE D63</t>
  </si>
  <si>
    <t>01555 PP MANGUITO UNION PERFORMANCE D75</t>
  </si>
  <si>
    <t>01560 PP MANGUITO REDUCCION D40 X 32</t>
  </si>
  <si>
    <t>01561 PP MANGUITO REDUCCION D50 X 40</t>
  </si>
  <si>
    <t>01563 PP MANGUITO REDUCIDO "PERFORMANCE" D75X63</t>
  </si>
  <si>
    <t>01580 PP ENLACE PERFORMANCE RH D75 X 2 1/2"</t>
  </si>
  <si>
    <t>01591 ENLACE PERFORMANCE RM D 40 X 1 1/4"</t>
  </si>
  <si>
    <t>01593 ENLACE PERFORMANCE RM D 50 X 1 1/2"</t>
  </si>
  <si>
    <t>01594 ENLACE PERFORMANCE RM D 50 X 2"</t>
  </si>
  <si>
    <t>01596 ENLACE PERFORMANCE RM D 63 X 2"</t>
  </si>
  <si>
    <t>01597 ENLACE PERFORMANCE RM D 75 X 2"</t>
  </si>
  <si>
    <t>01598 ENLACE PERFORMANCE RM D 75 X 2 1/2"</t>
  </si>
  <si>
    <t>01712 CODO 90 ENCOLAR D20</t>
  </si>
  <si>
    <t>01713 CODO 90 ENCOLAR D25</t>
  </si>
  <si>
    <t>01714 CODO 90 ENCOLAR D32</t>
  </si>
  <si>
    <t>01715 CODO 90 ENCOLAR D40</t>
  </si>
  <si>
    <t>01716 CODO 90 ENCOLAR D50</t>
  </si>
  <si>
    <t>01717 CODO 90 ENCOLAR D63</t>
  </si>
  <si>
    <t>01718 CODO 90 ENCOLAR D75</t>
  </si>
  <si>
    <t>01719 CODO 90 ENCOLAR D90</t>
  </si>
  <si>
    <t>01720 CODO 90 P/ENCOLAR D110</t>
  </si>
  <si>
    <t>01721 CODO 90 P/ENCOLAR D125</t>
  </si>
  <si>
    <t>01722 CODO 90 P/ENCOLAR D140</t>
  </si>
  <si>
    <t>01723 CODO 90 P/ENCOLAR D160</t>
  </si>
  <si>
    <t>01724 CODO 90 P/ENCOLAR D200</t>
  </si>
  <si>
    <t>01725 CODO 90 P/ENCOLAR D225</t>
  </si>
  <si>
    <t>01726 CODO 90 P/ENCOLAR D250</t>
  </si>
  <si>
    <t>01727 CODO 90 P/ENCOLAR D315</t>
  </si>
  <si>
    <t>01728 CODO 90 MIXTO D20</t>
  </si>
  <si>
    <t>01729 CODO 90 MIXTO D25</t>
  </si>
  <si>
    <t>01730 CODO 90 MIXTO D32</t>
  </si>
  <si>
    <t>01731 CODO 90 MIXTO D40</t>
  </si>
  <si>
    <t>01732 CODO 90 MIXTO D50</t>
  </si>
  <si>
    <t>01733 CODO 90 MIXTO D63</t>
  </si>
  <si>
    <t>01734 CODO 90 ROSCADO H D1/2"</t>
  </si>
  <si>
    <t>01735 CODO 90 ROSCADO H D3/4"</t>
  </si>
  <si>
    <t>01736 CODO 90 ROSCADO H D 1"</t>
  </si>
  <si>
    <t>01737 CODO 90 ROSCADO H D 1 1/4"</t>
  </si>
  <si>
    <t>01738 CODO 90 ROSCADO H D 1 1/2"</t>
  </si>
  <si>
    <t>01739 CODO 90 ROSCADO H D 2"</t>
  </si>
  <si>
    <t>01740 CODO 90 MIXTO REF. D1/2"</t>
  </si>
  <si>
    <t>01741 CODO 90 MIXTO REF. D3/4"</t>
  </si>
  <si>
    <t>01742 CODO 90 MIXTO REF. D1"</t>
  </si>
  <si>
    <t>01743 CODO 90 MIXTO REF. D1 1/4"</t>
  </si>
  <si>
    <t>01744 CODO 90 MIXTO REF. D1 1/2"</t>
  </si>
  <si>
    <t>01745 CODO 90 MIXTO REF. D2"</t>
  </si>
  <si>
    <t>01746 CODO 45 ENCOLAR D20</t>
  </si>
  <si>
    <t>01747 CODO 45 ENCOLAR D25</t>
  </si>
  <si>
    <t>01748 CODO 45 ENCOLAR D32</t>
  </si>
  <si>
    <t>01749 CODO 45 ENCOLAR D40</t>
  </si>
  <si>
    <t>01750 CODO 45 ENCOLAR D50</t>
  </si>
  <si>
    <t>01751 CODO 45 ENCOLAR D63</t>
  </si>
  <si>
    <t>01752 CODO 45 ENCOLAR D75</t>
  </si>
  <si>
    <t>01753 CODO 45 ENCOLAR D90</t>
  </si>
  <si>
    <t>01754 CODO 45 ENCOLAR D110</t>
  </si>
  <si>
    <t>01755 CODO 45 P/ENCOLAR D125</t>
  </si>
  <si>
    <t>01756 CODO 45 P/ENCOLAR D140</t>
  </si>
  <si>
    <t>01757 CODO 45 P/ENCOLAR D160</t>
  </si>
  <si>
    <t>01758 CODO 45 P/ENCOLAR D200</t>
  </si>
  <si>
    <t>01759 CODO 45 P/ENCOLAR D225</t>
  </si>
  <si>
    <t>01760 CODO 45 P/ENCOLAR D250</t>
  </si>
  <si>
    <t>01761 CODO 45 P/ENCOLAR D315</t>
  </si>
  <si>
    <t>01762 CODO 45 MIXTO D20</t>
  </si>
  <si>
    <t>01763 CODO 45 MIXTO D25</t>
  </si>
  <si>
    <t>01764 CODO 45 MIXTO D32</t>
  </si>
  <si>
    <t>01765 CODO 45 MIXTO D40</t>
  </si>
  <si>
    <t>01766 CODO 45 MIXTO D50</t>
  </si>
  <si>
    <t>01767 CODO 45 MIXTO D63</t>
  </si>
  <si>
    <t>01768 CODO 45 ROSCADO H D1/2"</t>
  </si>
  <si>
    <t>01769 CODO 45 ROSCADO H D3/4"</t>
  </si>
  <si>
    <t>01770 CODO 45 ROSCADO H D1"</t>
  </si>
  <si>
    <t>01771 CODO 45 ROSCADO H D1 1/4</t>
  </si>
  <si>
    <t>01772 CODO 45 ROSCADO H D1 1/2</t>
  </si>
  <si>
    <t>01773 CODO 45 ROSCADO H D2"</t>
  </si>
  <si>
    <t>01780 TE ENCOLAR D20</t>
  </si>
  <si>
    <t>01781 TE ENCOLAR D25</t>
  </si>
  <si>
    <t>01782 TE ENCOLAR D32</t>
  </si>
  <si>
    <t>01783 TE ENCOLAR D40</t>
  </si>
  <si>
    <t>01784 TE ENCOLAR D50</t>
  </si>
  <si>
    <t>01785 TE ENCOLAR D63</t>
  </si>
  <si>
    <t>01786 TE ENCOLAR D75</t>
  </si>
  <si>
    <t>01787 TE ENCOLAR D90</t>
  </si>
  <si>
    <t>01788 TE ENCOLAR D110</t>
  </si>
  <si>
    <t>01789 TE ENCOLAR D125</t>
  </si>
  <si>
    <t>01790 TE ENCOLAR D140</t>
  </si>
  <si>
    <t>01791 TE ENCOLAR D160</t>
  </si>
  <si>
    <t>01792 TE ENCOLAR D200</t>
  </si>
  <si>
    <t>01793 TE ENCOLAR D225</t>
  </si>
  <si>
    <t>01794 TE ENCOLAR D250</t>
  </si>
  <si>
    <t>01795 TE ENCOLAR D315</t>
  </si>
  <si>
    <t>01796 TE MIXTA D20 X 1/2"</t>
  </si>
  <si>
    <t>01797 TE MIXTA D25 X 3/4"</t>
  </si>
  <si>
    <t>01798 TE MIXTA D32 X 1"</t>
  </si>
  <si>
    <t>01799 TE MIXTA D40 X 1 1/4"</t>
  </si>
  <si>
    <t>01800 TE MIXTA D50 X 1 1/2"</t>
  </si>
  <si>
    <t>01801 TE MIXTA D63 X 2"</t>
  </si>
  <si>
    <t>01802 TE ROSCADA D1/2"</t>
  </si>
  <si>
    <t>01803 TE ROSCADA D3/4"</t>
  </si>
  <si>
    <t>01804 TE ROSCADA D1"</t>
  </si>
  <si>
    <t>01805 TE ROSCADA D1 1/4"</t>
  </si>
  <si>
    <t>01806 TE ROSCADA D 1 1/2"</t>
  </si>
  <si>
    <t>01807 TE ROSCADA D2"</t>
  </si>
  <si>
    <t>01808 TE MIXTA REFORZADA D20 X1/2"</t>
  </si>
  <si>
    <t>01809 TE MIXTA REFORZADA D25 X3/4"</t>
  </si>
  <si>
    <t>01810 TE MIXTA REFORZADA D32 X 1"</t>
  </si>
  <si>
    <t>01811 TE MIXTA REFORZADA D40 X 1 1/4</t>
  </si>
  <si>
    <t>01812 TE MIXTA REFORZADA D50 X 1 1/2"</t>
  </si>
  <si>
    <t>01813 TE MIXTA REFORZADA D63 X 2"</t>
  </si>
  <si>
    <t>01814 TE REDUCIDA  D25-20</t>
  </si>
  <si>
    <t>01815 TE REDUCIDA  D32-25</t>
  </si>
  <si>
    <t>01816 TE REDUCIDA D32-20</t>
  </si>
  <si>
    <t>01817 TE REDUCIDA  D40-32</t>
  </si>
  <si>
    <t>01818 TE REDUCIDA  D40-25</t>
  </si>
  <si>
    <t>01819 TE REDUCIDA  D40-20</t>
  </si>
  <si>
    <t>01820 TE REDUCIDA  D50-40</t>
  </si>
  <si>
    <t>01821 TE REDUCIDA  D50-32</t>
  </si>
  <si>
    <t>01822 TE REDUCIDA  D50-25</t>
  </si>
  <si>
    <t>01823 TE REDUCIDA  D50-20</t>
  </si>
  <si>
    <t>01824 TE REDUCIDA  D63-50</t>
  </si>
  <si>
    <t>01825 TE REDUCIDA  D63-40</t>
  </si>
  <si>
    <t>01826 TE REDUCIDA  D63-32</t>
  </si>
  <si>
    <t>01827 TE REDUCIDA  D63-25</t>
  </si>
  <si>
    <t>01828 TE REDUCIDA  D63-20</t>
  </si>
  <si>
    <t>01829 TE REDUCIDA  D75-63</t>
  </si>
  <si>
    <t>01830 TE REDUCIDA  D75-50</t>
  </si>
  <si>
    <t>01831 TE REDUCIDA  D75-40</t>
  </si>
  <si>
    <t>01832 TE REDUCIDA  D75-32</t>
  </si>
  <si>
    <t>01833 TE REDUCIDA  D90-75</t>
  </si>
  <si>
    <t>01834 TE REDUCIDA D90-63</t>
  </si>
  <si>
    <t>01835 TE REDUCIDA D90-50</t>
  </si>
  <si>
    <t>01836 TE REDUCIDA D90-40</t>
  </si>
  <si>
    <t>01837 TE REDUCIDA D110-90</t>
  </si>
  <si>
    <t>01838 TE REDUCIDA D110-75</t>
  </si>
  <si>
    <t>01839 TE REDUCIDA D110-63</t>
  </si>
  <si>
    <t>01840 TE REDUCIDA D110-50</t>
  </si>
  <si>
    <t>01841 TE REDUCIDA D125-110</t>
  </si>
  <si>
    <t>01842 TE REDUCIDA D125 X 90</t>
  </si>
  <si>
    <t>01843 TE REDUCIDA D125 X 75</t>
  </si>
  <si>
    <t>01844 TE REDUCIDA D125 X 63</t>
  </si>
  <si>
    <t>01845 TE REDUCIDA D140 X 125</t>
  </si>
  <si>
    <t>01846 TE REDUCIDA D140 X 110</t>
  </si>
  <si>
    <t>01847 TE REDUCIDA D140 X 90</t>
  </si>
  <si>
    <t>01848 TE REDUCIDA D140 X 75</t>
  </si>
  <si>
    <t>01849 TE MIXTA D25 X 1/2"</t>
  </si>
  <si>
    <t>01850 TE MIXTA D32 X 3/4</t>
  </si>
  <si>
    <t>01851 TE MIXTA D32 X 1/2"</t>
  </si>
  <si>
    <t>01852 TE MIXTA D40 X 1"</t>
  </si>
  <si>
    <t>01853 TE MIXTA D40 X 3/4"</t>
  </si>
  <si>
    <t>01854 TE MIXTA D40 X 1/2</t>
  </si>
  <si>
    <t>01855 TE MIXTA D50 X 1 1/4"</t>
  </si>
  <si>
    <t>01856 TE MIXTA D50 X 1"</t>
  </si>
  <si>
    <t>01857 TE MIXTA D50 X 3/4"</t>
  </si>
  <si>
    <t>01858 TE MIXTA D50 X 1/2"</t>
  </si>
  <si>
    <t>01859 TE MIXTA D63 X 1 1/2"</t>
  </si>
  <si>
    <t>01860 TE MIXTA D63 X 1 1/4"</t>
  </si>
  <si>
    <t>01861 TE MIXTA D63 X 1"</t>
  </si>
  <si>
    <t>01862 TE MIXTA D63 X 3/4"</t>
  </si>
  <si>
    <t>01863 TE MIXTA D63 X 1/2"</t>
  </si>
  <si>
    <t>01864 TE MIXTA D75 X 2"</t>
  </si>
  <si>
    <t>01865 TE MIXTA D75 X 1 1/2"</t>
  </si>
  <si>
    <t>01866 TE MIXTA D75 X 1 1/4"</t>
  </si>
  <si>
    <t>01867 TE MIXTA D75 X 1"</t>
  </si>
  <si>
    <t>01868 TE MIXTA D90 X 2 1/2"</t>
  </si>
  <si>
    <t>01869 TE MIXTA D90 X 2"</t>
  </si>
  <si>
    <t>01870 TE MIXTA D90 X 1 1/2"</t>
  </si>
  <si>
    <t>01871 TE MIXTA D90 X 1 1/4"</t>
  </si>
  <si>
    <t>01872 MANGUITO DE UNION D20</t>
  </si>
  <si>
    <t>01873 MANGUITO DE UNION D25</t>
  </si>
  <si>
    <t>01874 MANGUITO DE UNION D32</t>
  </si>
  <si>
    <t>01875 MANGUITO DE UNION D40</t>
  </si>
  <si>
    <t>01876 MANGUITO DE UNION D50</t>
  </si>
  <si>
    <t>01877 MANGUITO DE UNION D63</t>
  </si>
  <si>
    <t>01878 MANGUITO DE UNION D75</t>
  </si>
  <si>
    <t>01879 MANGUITO DE UNION D90</t>
  </si>
  <si>
    <t>01880 MANGUITO DE UNION D110</t>
  </si>
  <si>
    <t>01881 MANGUITO DE UNION D125</t>
  </si>
  <si>
    <t>01882 MANGUITO DE UNION D140</t>
  </si>
  <si>
    <t>01883 MANGUITO DE UNION D160</t>
  </si>
  <si>
    <t>01884 MANGUITO DE UNION D200</t>
  </si>
  <si>
    <t>01885 MANGUITO DE UNION D225</t>
  </si>
  <si>
    <t>01886 MANGUITO DE UNION D250</t>
  </si>
  <si>
    <t>01887 MANGUITO DE UNION D315</t>
  </si>
  <si>
    <t>01889 MANGUITO UNION MIXTO HH D20 X 1/2"</t>
  </si>
  <si>
    <t>01890 MANGUITO UNION MIXTO HH D25 X 3/4"</t>
  </si>
  <si>
    <t>01891 MANGUITO UNION MIXTO HH D32 X 1"</t>
  </si>
  <si>
    <t>01892 MANGUITO UNION MIXTO HH D40 X 1 1/4"</t>
  </si>
  <si>
    <t>01893 MANGUITO UNION MIXTO HH D50 X 1 1/2"</t>
  </si>
  <si>
    <t>01894 MANGUITO UNION MIXTO HH D63 X 2"</t>
  </si>
  <si>
    <t>01895 MANGUITO UNION MIXTO HH D75 X 2 1/2"</t>
  </si>
  <si>
    <t>01896 MANGUITO UNION MIXTO HH D90 X 3"</t>
  </si>
  <si>
    <t>01897 MANGUITO UNION MIXTO HH D110 X 4"</t>
  </si>
  <si>
    <t>01899 MANGUITO UNION ROSCADO D1/2"</t>
  </si>
  <si>
    <t>01900 MANGUITO UNION ROSCADO D3/4"</t>
  </si>
  <si>
    <t>01901 MANGUITO UNION ROSCADO D1"</t>
  </si>
  <si>
    <t>01902 MANGUITO UNION ROSCADO D1 1/4"</t>
  </si>
  <si>
    <t>01903 MANGUITO UNION ROSCADO D1 1/2"</t>
  </si>
  <si>
    <t>01904 MANGUITO UNION ROSCADO D2"</t>
  </si>
  <si>
    <t>01905 MANGUITO UNION ROSCADO D2 1/2"</t>
  </si>
  <si>
    <t>01906 MANGUITO UNION ROSCADO D3"</t>
  </si>
  <si>
    <t>01907 MANGUITO UNION ROSCADO D4"</t>
  </si>
  <si>
    <t>01908 MANGUITO UNION MIXTO REF. D20 X 1/2"</t>
  </si>
  <si>
    <t>01909 MANGUITO UNION MIXTO REF. D25 X 3/4"</t>
  </si>
  <si>
    <t>01910 MANGUITO UNION MIXTO REF. D32 X 1"</t>
  </si>
  <si>
    <t>01911 MANGUITO UNION MIXTO REF. D40 X 1 1/4"</t>
  </si>
  <si>
    <t>01912 MANGUITO UNION MIXTO REF. D50 X 1 1/2"</t>
  </si>
  <si>
    <t>01913 MANGUITO UNION MIXTO REF. D63 X 2"</t>
  </si>
  <si>
    <t>01915 CASQUILLO REDUCCION D25-20</t>
  </si>
  <si>
    <t>01916 CASQUILLO REDUCCION D32-25</t>
  </si>
  <si>
    <t>01917 CASQUILLO REDUCCION D32-20</t>
  </si>
  <si>
    <t>01918 CASQUILLO REDUCCION D40-32</t>
  </si>
  <si>
    <t>01919 CASQUILLO REDUCCION D40-25</t>
  </si>
  <si>
    <t>01920 CASQUILLO REDUCCION D40-20</t>
  </si>
  <si>
    <t>01921 CASQUILLO REDUCCION D50-40</t>
  </si>
  <si>
    <t>01922 CASQUILLO REDUCCION D50-32</t>
  </si>
  <si>
    <t>01923 CASQUILLO REDUCCION D50-25</t>
  </si>
  <si>
    <t>01924 CASQUILLO REDUCCION D50-20</t>
  </si>
  <si>
    <t>01925 CASQUILLO REDUCCION D63-50</t>
  </si>
  <si>
    <t>01926 CASQUILLO REDUCCION D63-40</t>
  </si>
  <si>
    <t>01927 CASQUILLO REDUCCION D63-32</t>
  </si>
  <si>
    <t>01928 CASQUILLO REDUCCION D75-63</t>
  </si>
  <si>
    <t>01929 CASQUILLO REDUCCION D90-75</t>
  </si>
  <si>
    <t>01930 CASQUILLO REDUCCION D110-90</t>
  </si>
  <si>
    <t>01931 CASQUILLO REDUCCION D125-110</t>
  </si>
  <si>
    <t>01932 CASQUILLO REDUCCION D140-125</t>
  </si>
  <si>
    <t>01933 CASQUILLO REDUCCION D160-140</t>
  </si>
  <si>
    <t>01935 CASQUILLO REDUCCION D200-160</t>
  </si>
  <si>
    <t>01936 CASQUILLO REDUCCION D225-200</t>
  </si>
  <si>
    <t>01937 CASQUILLO REDUCCION D225-160</t>
  </si>
  <si>
    <t>01938 CASQUILLO REDUCCION D250-225</t>
  </si>
  <si>
    <t>01939 CASQUILLO REDUCCION D250-200</t>
  </si>
  <si>
    <t>01940 CASQUILLO REDUCCION D315-250</t>
  </si>
  <si>
    <t>01943 TAPON ENCOLAR D20</t>
  </si>
  <si>
    <t>01944 TAPON ENCOLAR D25</t>
  </si>
  <si>
    <t>01945 TAPON ENCOLAR D32</t>
  </si>
  <si>
    <t>01946 TAPON ENCOLAR D40</t>
  </si>
  <si>
    <t>01947 TAPON ENCOLAR D50</t>
  </si>
  <si>
    <t>01948 TAPON ENCOLAR D63</t>
  </si>
  <si>
    <t>01949 TAPON ENCOLAR D75</t>
  </si>
  <si>
    <t>01950 TAPON ENCOLAR D90</t>
  </si>
  <si>
    <t>01951 TAPON ENCOLAR D110</t>
  </si>
  <si>
    <t>01952 TAPON ENCOLAR D125</t>
  </si>
  <si>
    <t>01953 TAPON ENCOLAR D140</t>
  </si>
  <si>
    <t>01954 TAPON ENCOLAR D160</t>
  </si>
  <si>
    <t>01955 TAPON ENCOLAR D200</t>
  </si>
  <si>
    <t>01956 TAPON ENCOLAR D225</t>
  </si>
  <si>
    <t>01957 TAPON ROSCA HEMBRA 3/8"</t>
  </si>
  <si>
    <t>01958 TAPON ROSCA HEMBRA 1/2"</t>
  </si>
  <si>
    <t>01959 TAPON ROSCA HEMBRA 3/4"</t>
  </si>
  <si>
    <t>01960 TAPON ROSCA HEMBRA 1"</t>
  </si>
  <si>
    <t>01961 TAPON ROSCA HEMBRA 1 1/4"</t>
  </si>
  <si>
    <t>01962 TAPON ROSCA HEMBRA 1 1/2"</t>
  </si>
  <si>
    <t>01963 TAPON ROSCA HEMBRA 2"</t>
  </si>
  <si>
    <t>01964 TAPON ROSCA HEMBRA 2 1/2"</t>
  </si>
  <si>
    <t>01965 TAPON ROSCA HEMBRA 3"</t>
  </si>
  <si>
    <t>01966 TAPON ROSCA HEMBRA 4"</t>
  </si>
  <si>
    <t>01967 CURVA 90 ENCOLAR D20</t>
  </si>
  <si>
    <t>01968 CURVA 90 ENCOLAR D25</t>
  </si>
  <si>
    <t>01969 CURVA 90 ENCOLAR D32</t>
  </si>
  <si>
    <t>01970 CURVA 90 ENCOLAR D40</t>
  </si>
  <si>
    <t>01971 CURVA 90 ENCOLAR D50</t>
  </si>
  <si>
    <t>01972 CURVA 90 ENCOLAR D63</t>
  </si>
  <si>
    <t>01973 CURVA 90 ENCOLAR D75</t>
  </si>
  <si>
    <t>01974 RED. CONICA D32-25 X 25</t>
  </si>
  <si>
    <t>01975 RED. CONICA D32-25 X 20</t>
  </si>
  <si>
    <t>01976 RED. CONICA D40-32 X 32</t>
  </si>
  <si>
    <t>01977 RED. CONICA D40-32 X 25</t>
  </si>
  <si>
    <t>01978 RED. CONICA D40-32 X 20</t>
  </si>
  <si>
    <t>01979 RED. CONICA D50-40 X 40</t>
  </si>
  <si>
    <t>01980 RED. CONICA D50-40 X 32</t>
  </si>
  <si>
    <t>01981 RED. CONICA D50-40 X 25</t>
  </si>
  <si>
    <t>01982 RED. CONICA D50-40 X 20</t>
  </si>
  <si>
    <t>01983 RED. CONICA D63-50 X 50</t>
  </si>
  <si>
    <t>01984 RED. CONICA D63-50 X 40</t>
  </si>
  <si>
    <t>01985 RED. CONICA D63-50 X 32</t>
  </si>
  <si>
    <t>01986 RED. CONICA D63-50 X 25</t>
  </si>
  <si>
    <t>01987 RED. CONICA D63-50 X 20</t>
  </si>
  <si>
    <t>01988 RED. CONICA D75-63 X 63</t>
  </si>
  <si>
    <t>01989 RED. CONICA D75-63 X 50</t>
  </si>
  <si>
    <t>01990 RED. CONICA D75-63 X 40</t>
  </si>
  <si>
    <t>01991 RED. CONICA D75-63 X 32</t>
  </si>
  <si>
    <t>01992 RED. CONICA D90-75 X 75</t>
  </si>
  <si>
    <t>01993 RED. CONICA D90-75 X 63</t>
  </si>
  <si>
    <t>01994 RED. CONICA D90-75 X 50</t>
  </si>
  <si>
    <t>01995 RED. CONICA D90-75 X 40</t>
  </si>
  <si>
    <t>01996 RED. CONICA D110-90 X 90</t>
  </si>
  <si>
    <t>01997 RED. CONICA D110-90 X 75</t>
  </si>
  <si>
    <t>01998 RED. CONICA D110-90 X 63</t>
  </si>
  <si>
    <t>01999 RED. CONICA D110-90 X 50</t>
  </si>
  <si>
    <t>02000 RED. CONICA D125-110 X 90</t>
  </si>
  <si>
    <t>02001 RED. CONICA D125-110 X 75</t>
  </si>
  <si>
    <t>02002 RED. CONICA D125-110 X 63</t>
  </si>
  <si>
    <t>02003 RED. CONICA D140-125 X 110</t>
  </si>
  <si>
    <t>02004 RED. CONICA D140-125 X 90</t>
  </si>
  <si>
    <t>02005 RED. CONICA D140-125 X 75</t>
  </si>
  <si>
    <t>02006 RED. CONICA D160-140 X 125</t>
  </si>
  <si>
    <t>02007 RED. CONICA D160-140 X 110</t>
  </si>
  <si>
    <t>02008 RED. CONICA D160-140 X 90</t>
  </si>
  <si>
    <t>02009 RED. CONICA D200-180 X 140</t>
  </si>
  <si>
    <t>02010 RED. CONICA D200-180 X 125</t>
  </si>
  <si>
    <t>02011 RED. CONICA D200-180 X 110</t>
  </si>
  <si>
    <t>02012 RED. CONICA D225-200 X 160</t>
  </si>
  <si>
    <t>02013 RED. CONICA D225-200 X 140</t>
  </si>
  <si>
    <t>02014 RED. CONICA D225-200 X 125</t>
  </si>
  <si>
    <t>02015 RED. CONICA D250-225 X 200</t>
  </si>
  <si>
    <t>02016 RED. CONICA D250-225 X 160</t>
  </si>
  <si>
    <t>02017 RED. CONICA D250-225 X 140</t>
  </si>
  <si>
    <t>02018 RED. CONICA D315-280 X 200</t>
  </si>
  <si>
    <t>02019 RED. CONICA D315-280 X 160</t>
  </si>
  <si>
    <t>02020 MANGUITO PORTABRIDAS D50</t>
  </si>
  <si>
    <t>02021 MANGUITO PORTABRIDAS D63</t>
  </si>
  <si>
    <t>02022 MANGUITO PORTABRIDAS D75</t>
  </si>
  <si>
    <t>02023 MANGUITO PORTABRIDAS D90</t>
  </si>
  <si>
    <t>02024 MANGUITO PORTABRIDAS D110</t>
  </si>
  <si>
    <t>02025 MANGUITO PORTABRIDAS D125</t>
  </si>
  <si>
    <t>02026 MANGUITO PORTABRIDAS D140</t>
  </si>
  <si>
    <t>02027 MANGUITO PORTABRIDAS D160</t>
  </si>
  <si>
    <t>02028 MANGUITO PORTABRIDAS D200</t>
  </si>
  <si>
    <t>02029 MANGUITO PORTABRIDAS D225</t>
  </si>
  <si>
    <t>02030 MANGUITO PORTABRIDAS D250</t>
  </si>
  <si>
    <t>02031 MANGUITO PORTABRIDAS D315</t>
  </si>
  <si>
    <t>02032 BRIDA PVC (GIRATORIA) DIN D50</t>
  </si>
  <si>
    <t>02033 BRIDA PVC (GIRATORIA) DIN D63</t>
  </si>
  <si>
    <t>02034 BRIDA PVC (GIRATORIA) DIN D75</t>
  </si>
  <si>
    <t>02035 BRIDA PVC (GIRATORIA) DIN D90</t>
  </si>
  <si>
    <t>02036 BRIDA PVC (GIRATORIA) DIN D110</t>
  </si>
  <si>
    <t>02037 BRIDA PVC (GIRATORIA) DIN D125</t>
  </si>
  <si>
    <t>02038 BRIDA PVC (GIRATORIA) DIN D140</t>
  </si>
  <si>
    <t>02039  BRIDA PVC D140X125</t>
  </si>
  <si>
    <t>02040 BRIDA PVC (GIRATORIA) DIN D160</t>
  </si>
  <si>
    <t>02041 BRIDA PVC (GIRATORIA) DIN D200</t>
  </si>
  <si>
    <t>02042 BRIDA PVC (GIRATORIA) DIN D225</t>
  </si>
  <si>
    <t>02043 BRIDA PVC (GIRATORIA) DIN D250</t>
  </si>
  <si>
    <t>02044 BRIDA PVC (GIRATORIA) DIN D315</t>
  </si>
  <si>
    <t>02061 JUNTA PLANA EVA D 50</t>
  </si>
  <si>
    <t>02062 JUNTA PLANA EVA D 63</t>
  </si>
  <si>
    <t>02063 JUNTA PLANA EVA D 75</t>
  </si>
  <si>
    <t>02064 JUNTA PLANA EVA D 90</t>
  </si>
  <si>
    <t>02065 JUNTA PLANA EVA D 110</t>
  </si>
  <si>
    <t>02066 JUNTA PLANA EVA D 125</t>
  </si>
  <si>
    <t>02067 JUNTA PLANA EVA D 140</t>
  </si>
  <si>
    <t>02068 JUNTA PLANA EVA D 160</t>
  </si>
  <si>
    <t>02069 JUNTA PLANA EVA D 200</t>
  </si>
  <si>
    <t>02070 JUNTA PLANA EVA D 225</t>
  </si>
  <si>
    <t>02071 JUNTA PLANA EVA D 250</t>
  </si>
  <si>
    <t>02072 JUNTA PLANA EVA D 315</t>
  </si>
  <si>
    <t>02074 MACHON MIXTO M 20-16 X 1/2"</t>
  </si>
  <si>
    <t>02075 MACHON MIXTO D.20-16 X 3/8"</t>
  </si>
  <si>
    <t>02076 MACHON MIXTO M 25-20 X 3/4"</t>
  </si>
  <si>
    <t>02077 MACHON MIXTO M 25-20 X 1/2"</t>
  </si>
  <si>
    <t>02079 MACHON MIXTO M 32-25 X 1"</t>
  </si>
  <si>
    <t>02080 MACHON MIXTO M 32-25 X 3/4"</t>
  </si>
  <si>
    <t>02081 MACHON MIXTO M 32-25 X 1/2"</t>
  </si>
  <si>
    <t>02082 MACHON MIXTO M 40-32 X 1 1/4"</t>
  </si>
  <si>
    <t>02083 MACHON MIXTO M 40-32 X 1"</t>
  </si>
  <si>
    <t>02084 MACHON MIXTO M 40-32 X 3/4"</t>
  </si>
  <si>
    <t>02085 MACHON MIXTO M 50-40 X 1 1/2"</t>
  </si>
  <si>
    <t>02086 MACHON MIXTO M 50-40 X 1 1/4"</t>
  </si>
  <si>
    <t>02087 MACHON MIXTO M 50-40 X 1"</t>
  </si>
  <si>
    <t>02088 MACHON MIXTO M 63-50 X 2"</t>
  </si>
  <si>
    <t>02089 MACHON MIXTO M 63-50 X 1 1/2"</t>
  </si>
  <si>
    <t>02090 MACHON MIXTO M 63-50 X 1 1/4"</t>
  </si>
  <si>
    <t>02091 MACHON MIXTO M 75-63 X 2 1/2"</t>
  </si>
  <si>
    <t>02092 MACHON MIXTO M 75-63 X 2"</t>
  </si>
  <si>
    <t>02093 MACHON MIXTO M 75-63 X 1 1/2"</t>
  </si>
  <si>
    <t>02094 MACHON MIXTO M 90-75 X 3"</t>
  </si>
  <si>
    <t>02095 MACHON MIXTO M 90-75 X 2 1/2"</t>
  </si>
  <si>
    <t>02096 MACHON MIXTO M 90-75 X 2"</t>
  </si>
  <si>
    <t>02097 MACHON MIXTO M 110-90 X 4"</t>
  </si>
  <si>
    <t>02098 MACHON MIXTO M 110-90 X 3"</t>
  </si>
  <si>
    <t>02099 MACHON MIXTO M 110-90 X 2 1/2"</t>
  </si>
  <si>
    <t>02102 TERMINAL ROSCA MACHO D20 X 1/2"</t>
  </si>
  <si>
    <t>02103 TERMINAL ROSCA MACHO D25 X 3/4"</t>
  </si>
  <si>
    <t>02104 TERMINAL ROSCA MACHO D32 X 1"</t>
  </si>
  <si>
    <t>02105 TERMINAL ROSCA MACHO D40 X 1 1/4"</t>
  </si>
  <si>
    <t>02106 TERMINAL ROSCA MACHO D50 X 1 1/2"</t>
  </si>
  <si>
    <t>02107 TERMINAL ROSCA MACHO D63 X 2"</t>
  </si>
  <si>
    <t>02108 TERMINAL ROSCA MACHO D75 X 2 1/2"</t>
  </si>
  <si>
    <t>02109 TERMINAL ROSCA MACHO D90 X 3"</t>
  </si>
  <si>
    <t>02110 TERMINAL ROSCA MACHO D110 X 4"</t>
  </si>
  <si>
    <t>02112 NIPLE ROSCADO D1/2"</t>
  </si>
  <si>
    <t>02113 NIPLE ROSCADO D3/4"</t>
  </si>
  <si>
    <t>02114 NIPLE ROSCADO D1"</t>
  </si>
  <si>
    <t>02115 NIPLE ROSCADO D1 1/4"</t>
  </si>
  <si>
    <t>02116 NIPLE ROSCADO D1 1/2"</t>
  </si>
  <si>
    <t>02117 NIPLE ROSCADO D2"</t>
  </si>
  <si>
    <t>02118 NIPLE ROSCADO D2 1/2"</t>
  </si>
  <si>
    <t>02119 NIPLE ROSCADO D3</t>
  </si>
  <si>
    <t>02120 NIPLE ROSCADO D4"</t>
  </si>
  <si>
    <t>NO USAR!!!  USAR 4404121107 TAPON ROSCADO MACHO 1/4" DE CUER</t>
  </si>
  <si>
    <t>02123 TAPON MACHO ROSCADO D1/2"</t>
  </si>
  <si>
    <t>02124 TAPON MACHO ROSCADO D3/4"</t>
  </si>
  <si>
    <t>02125 TAPON MACHO ROSCADO D1"</t>
  </si>
  <si>
    <t>02126 TAPON MACHO ROSCADO D1 1/4"</t>
  </si>
  <si>
    <t>02127 TAPON MACHO ROSCADO D1 1/2"</t>
  </si>
  <si>
    <t>02128 TAPON MACHO ROSCADO D2"</t>
  </si>
  <si>
    <t>02129 TAPON MACHO ROSCADO D2 1/2"</t>
  </si>
  <si>
    <t>02130 TAPON MACHO ROSCADO D3"</t>
  </si>
  <si>
    <t>02131 TAPON MACHO ROSCADO D4"</t>
  </si>
  <si>
    <t>02132 PINZA ABIERTA D20</t>
  </si>
  <si>
    <t>02133 PINZA ABIERTA D25</t>
  </si>
  <si>
    <t>02134 PINZA ABIERTA D32</t>
  </si>
  <si>
    <t>02135 PINZA ABIERTA D40</t>
  </si>
  <si>
    <t>02136 PINZA ABIERTA D50</t>
  </si>
  <si>
    <t>02137 PINZA ABIERTA D63</t>
  </si>
  <si>
    <t>02138 PINZA ABIERTA D75</t>
  </si>
  <si>
    <t>02139 PINZA ABIERTA D90</t>
  </si>
  <si>
    <t>02144 PESTILLO PINZA PP D.50</t>
  </si>
  <si>
    <t>02145 PESTILLO PINZA PP D.63</t>
  </si>
  <si>
    <t>02146 PESTILLO PINZA PP D.75</t>
  </si>
  <si>
    <t>02147 PESTILLO PINZA PP D.90</t>
  </si>
  <si>
    <t>02205 ESPIGA CONEX PE LISA D40 X 40</t>
  </si>
  <si>
    <t>02206 ESPIGA LISA D50X50</t>
  </si>
  <si>
    <t>02207 ESPIGA LISA D50X38</t>
  </si>
  <si>
    <t>02218 ESPIGA CONEXION PE 1/2 X D.18</t>
  </si>
  <si>
    <t>02219 ESPIGA CONEX PE ROSCA M 20-1/2"</t>
  </si>
  <si>
    <t>02220 ESPIGA CONEX PE ROSCA M 25-3/4"</t>
  </si>
  <si>
    <t>02221 ESPIGA CONEX PE ROSCA M 30-1"</t>
  </si>
  <si>
    <t>02222 ESPIGA CONEX PE ROSCA M 40-1 1/4"</t>
  </si>
  <si>
    <t>02223 ESPIGA CONEX PE ROSCA M 50-1 1/2"</t>
  </si>
  <si>
    <t>02224 ESPIGA CONEX PE ROSCA M 38-1 1/2"</t>
  </si>
  <si>
    <t>02225 ESPIGA CONEX PE ROSCA M 60-2"</t>
  </si>
  <si>
    <t>02226 BRIDA C/MANGUITO PVC D75</t>
  </si>
  <si>
    <t>02227 BRIDA C/MANGUITO PVC D90</t>
  </si>
  <si>
    <t>02228 BRIDA C/MANGUITO PVC D110</t>
  </si>
  <si>
    <t>02229 BRIDA C/MANGUITO PVC D125</t>
  </si>
  <si>
    <t>02230 BRIDA C/MANGUITO PVC D140</t>
  </si>
  <si>
    <t>02231 BRIDA C/MANGUITO PVC D160</t>
  </si>
  <si>
    <t>02235 CRUZ ENCOLAR D50</t>
  </si>
  <si>
    <t>02236 CRUZ ENCOLAR D63</t>
  </si>
  <si>
    <t>02237 CODO 90 REDUCIDO P/ENC. D50 X 50-40</t>
  </si>
  <si>
    <t>02238 CODO 90 REDUCIDO P/ENC. D63 X 63-50</t>
  </si>
  <si>
    <t>02239 CODO 90 P/ENC. Y ROSCAR M 50 X 11/2"</t>
  </si>
  <si>
    <t>02240 CODO 90 P/ENC. Y ROSCAR M 63 X 2"</t>
  </si>
  <si>
    <t>02241 CODO 45 REDUCIDO P/ENC. D50 X 50-40</t>
  </si>
  <si>
    <t>02242 CODO 45 REDUCIDO P/ENC. D63 X 63-50</t>
  </si>
  <si>
    <t>02243 ADAP. MIXTO  H 20-16 X 3/4"</t>
  </si>
  <si>
    <t>02244 ADAP. MIXTO  H 20-16 X 1/2"</t>
  </si>
  <si>
    <t>02245 ADAP. MIXTO  H 20-16 X 3/8"</t>
  </si>
  <si>
    <t>02246 ADAP. MIXTO  H 20-16 X 1/4"</t>
  </si>
  <si>
    <t>02247 ADAP. MIXTO  H 25-20 X 1"</t>
  </si>
  <si>
    <t>02248 ADAP. MIXTO  H 25-20 X 3/4"</t>
  </si>
  <si>
    <t>02249 ADAP. MIXTO  H 25-20 X 1/2"</t>
  </si>
  <si>
    <t>02250 ADAP. MIXTO  H 32-25 X 1 1/4"</t>
  </si>
  <si>
    <t>02251 ADAP. MIXTO  H 32-25 X 1"</t>
  </si>
  <si>
    <t>02252 ADAP. MIXTO  H 32-25 X 3/4"</t>
  </si>
  <si>
    <t>02253 ADAP. MIXTO  H 40-32 X 1 1/2"</t>
  </si>
  <si>
    <t>02254 ADAP. MIXTO  H 40-32 X 1 1/4"</t>
  </si>
  <si>
    <t>02255 ADAP. MIXTO  H 40-32 X 1"</t>
  </si>
  <si>
    <t>02256 ADAP. MIXTO  H 50-40 X 2"</t>
  </si>
  <si>
    <t>02257 ADAP. MIXTO  H 50-40 X 1 1/2"</t>
  </si>
  <si>
    <t>02258 ADAP. MIXTO  H 50-40 X 1 1/4"</t>
  </si>
  <si>
    <t>02259 ADAP. MIXTO  H 63-50 X 2 1/2"</t>
  </si>
  <si>
    <t>02260 ADAP. MIXTO  H 63-50 X 2"</t>
  </si>
  <si>
    <t>02261 ADAP. MIXTO  H 63-50 X 1 1/2"</t>
  </si>
  <si>
    <t>02262 ADAP. MIXTO  H 75-63 X 3"</t>
  </si>
  <si>
    <t>02263 ADAP. MIXTO  H 75-63 X 2 1/2"</t>
  </si>
  <si>
    <t>02264 ADAP. MIXTO  H 75-63 X 2"</t>
  </si>
  <si>
    <t>02265 ADAP. MIXTO  H 90-75 X 4"</t>
  </si>
  <si>
    <t>02266 ADAP. MIXTO  H 90-75 X 3"</t>
  </si>
  <si>
    <t>02267 ADAP. MIXTO  H 90-75 X 2 1/2"</t>
  </si>
  <si>
    <t>02268 ADAP. MIXTO  H 110-90 X 4"</t>
  </si>
  <si>
    <t>02269 ADAP. MIXTO  H 110-90 X 3"</t>
  </si>
  <si>
    <t>02271 BUJE RED. ROSCADO MH D1/2"X 3/4"</t>
  </si>
  <si>
    <t>02273 BUJE RED. ROSCADO MH D3/4" X 1"</t>
  </si>
  <si>
    <t>02274 BUJE RED. ROSCADO MH D3/4"X 1/2"</t>
  </si>
  <si>
    <t>02277 BUJE RED. ROSCADO MH D1" X 3/4"</t>
  </si>
  <si>
    <t>02278 BUJE RED. ROSCADO MH D1" X 1/2"</t>
  </si>
  <si>
    <t>02281 BUJE RED. ROSCADO MH D1 1/4" X 1"</t>
  </si>
  <si>
    <t>02282 BUJE RED. ROSCADO MH D1 1/4" X 3/4"</t>
  </si>
  <si>
    <t>02283 BUJE RED. ROSCADO MH D1 1/4" X 1/2"</t>
  </si>
  <si>
    <t>02285 BUJE RED. ROSCADO MH D1 1/2" X 1 1/4"</t>
  </si>
  <si>
    <t>02286 BUJE RED. ROSCADO MH D1 1/2" X 1"</t>
  </si>
  <si>
    <t>02287 BUJE RED. ROSCADO MH D1 1/2 X 3/4"</t>
  </si>
  <si>
    <t>02289 BUJE RED. ROSCADO MH D2" X 1 1/2"</t>
  </si>
  <si>
    <t>02290 BUJE RED. ROSCADO MH D2" X 1 1/4"</t>
  </si>
  <si>
    <t>02291 BUJE RED. ROSCADO MH D2" X 1"</t>
  </si>
  <si>
    <t>02293 BUJE RED. ROSCADO MH D2 1/2" X 2"</t>
  </si>
  <si>
    <t>02294 BUJE RED. ROSCADO MH D2 1/2" X 1 1/2"</t>
  </si>
  <si>
    <t>02295 BUJE RED. ROSCADO MH D2 1/2" X 1 1/4"</t>
  </si>
  <si>
    <t>02297 BUJE RED. ROSCADO MH D3" X 2 1/2"</t>
  </si>
  <si>
    <t>02298 BUJE RED. ROSCADO MH D3" X 2"</t>
  </si>
  <si>
    <t>02299 BUJE RED. ROSCADO MH D3" X 1 1/2"</t>
  </si>
  <si>
    <t>02300 BUJE RED. ROSCADO MH D4" X 3"</t>
  </si>
  <si>
    <t>02301 BUJE RED. ROSCADO MH D4" X 2 1/2"</t>
  </si>
  <si>
    <t>02302 BUJE RED. ROSCADO MH D4" X 2"</t>
  </si>
  <si>
    <t>02304 REDUCCION ROSCA M M  3/4" X 1/2"</t>
  </si>
  <si>
    <t>02306 REDUCCION ROSCA M M 1" X 3/4"</t>
  </si>
  <si>
    <t>02309 REDUCCION ROSCA M M 1 1/4" X 1"</t>
  </si>
  <si>
    <t>02312 REDUCCION ROSCA M M 1 1/2" X 1 1/4"</t>
  </si>
  <si>
    <t>02315 REDUCCION ROSCA M M 2" X 1 1/2"</t>
  </si>
  <si>
    <t>02327 UNION DOBLE ENCOLAR (EPDM) D20</t>
  </si>
  <si>
    <t>02328 UNION DOBLE ENCOLAR (EPDM) D25</t>
  </si>
  <si>
    <t>02329 UNION DOBLE ENCOLAR (EPDM) D32</t>
  </si>
  <si>
    <t>02330 UNION DOBLE ENCOLAR (EPDM) D40</t>
  </si>
  <si>
    <t>02331 UNION DOBLE ENCOLAR (EPDM) D50</t>
  </si>
  <si>
    <t>02332 UNION DOBLE ENCOLAR (EPDM) D63</t>
  </si>
  <si>
    <t>02333 UNION DOBLE ENCOLAR (EPDM) D75</t>
  </si>
  <si>
    <t>02334 UNION DOBLE ENCOLAR (EPDM) D90</t>
  </si>
  <si>
    <t>02335 UNION DOBLE ENCOLAR (EPDM) D110</t>
  </si>
  <si>
    <t>02339 ENLACE MIXTO 3 PIEZAS 40 X 1 1/4"</t>
  </si>
  <si>
    <t>02340 ENLACE MIXTO 3 PIEZAS 50 X 1 1/2"</t>
  </si>
  <si>
    <t>02341 ENLACE MIXTO 3 PIEZAS 63 X 2"</t>
  </si>
  <si>
    <t>02343 ENLACE MIXTO 3 PIEZAS 90 X 3"</t>
  </si>
  <si>
    <t>02345 UNION DOBLE ROSCADA (EPDM) D1/2"</t>
  </si>
  <si>
    <t>02346 UNION DOBLE ROSCADA (EPDM) D3/4"</t>
  </si>
  <si>
    <t>02347 UNION DOBLE ROSCADA (EPDM) D1"</t>
  </si>
  <si>
    <t>02348 UNION DOBLE ROSCADA (EPDM) D1 1/4"</t>
  </si>
  <si>
    <t>02349 UNION DOBLE ROSCADA (EPDM) D1 1/2"</t>
  </si>
  <si>
    <t>02350 UNION DOBLE ROSCADA (EPDM) D2"</t>
  </si>
  <si>
    <t>02351 ENLACE MIXTO M/H 3 PIEZAS 50X50  M-H</t>
  </si>
  <si>
    <t>02353 ENLACE MIXTO M/H 3 PIEZAS 20X1/2"</t>
  </si>
  <si>
    <t>02354 ENLACE MIXTO M/H 3 PIEZAS 25 X 3/4"</t>
  </si>
  <si>
    <t>02355 ENLACE MIXTO M/H 3 PIEZAS 32 X 1"</t>
  </si>
  <si>
    <t>02356 ENLACE MIXTO M/H 3 PIEZAS 40 X 1 1/4"</t>
  </si>
  <si>
    <t>02357 ENLACE MIXTO M/H 3 PIEZAS 50 X 1 1/2</t>
  </si>
  <si>
    <t>02358 ENLACE MIXTO M/H 3 PIEZAS 63 X 2"</t>
  </si>
  <si>
    <t>02366 ENLACE 3 PIEZAS ROSCA D1 1/2" X 1 1/2"</t>
  </si>
  <si>
    <t>02397 VISOR DE LIQUIDOS 1 1/2"</t>
  </si>
  <si>
    <t>02398 VISOR DE LIQUIDOS 2"</t>
  </si>
  <si>
    <t>02403 CONJUNTO ESPIGA + ROSCA 1 1/4" X 30</t>
  </si>
  <si>
    <t>02404 CONJUNTO ESPIGA + TUERCA 1 1/2" X 40"</t>
  </si>
  <si>
    <t>02422 ENLACE ESPIGA RM 40 X 1 1/4"</t>
  </si>
  <si>
    <t>02423 ENLACE ESPIGA 50 X 1/2"</t>
  </si>
  <si>
    <t>02424 ENLACE ESPIGA RM 38 X 1 1/2"</t>
  </si>
  <si>
    <t>02425 ENLACE ESPIGA RM 60 X 2"</t>
  </si>
  <si>
    <t>02426 ADHESIVO 1000 C.C</t>
  </si>
  <si>
    <t>02427 ADHESIVO 500 C.C</t>
  </si>
  <si>
    <t>02428 ADHESIVO 250 C.C</t>
  </si>
  <si>
    <t>02429 ADHESIVO 125 C.C</t>
  </si>
  <si>
    <t>02430 ADHESIVO 250 C.C CON PINCEL</t>
  </si>
  <si>
    <t>02432 DISOLVENTE 500CC</t>
  </si>
  <si>
    <t>02453 VALV. BOLA STD PE-EPDM PEGAR D 20</t>
  </si>
  <si>
    <t>02454 VALV. BOLA STD PE-EPDM PEGAR D 25</t>
  </si>
  <si>
    <t>02455 VALV. BOLA STD PE-EPDM PEGAR D 32</t>
  </si>
  <si>
    <t>02456 VALV. BOLA STD PE-EPDM PEGAR D 40</t>
  </si>
  <si>
    <t>02457 VALV. BOLA STD PE-EPDM PEGAR D 50</t>
  </si>
  <si>
    <t>02458 VALV. BOLA STD PE-EPDM PEGAR D 63</t>
  </si>
  <si>
    <t>02459 VALV. BOLA STD PE-EPDM PEGAR D 75</t>
  </si>
  <si>
    <t>02460 VALV. BOLA STD PE-EPDM PEGAR D 90</t>
  </si>
  <si>
    <t>02461 VALV. BOLA STD PE-EPDM PEGAR D 110</t>
  </si>
  <si>
    <t>02462 VALV. BOLA STD PE-EPDM ROSCA D 1/2"</t>
  </si>
  <si>
    <t>02463 VALV. BOLA STD PE-EPDM ROSCA D 3/4"</t>
  </si>
  <si>
    <t>02464 VALV. BOLA STD PE-EPDM ROSCA D 1"</t>
  </si>
  <si>
    <t>02465 VALV. BOLA STD PE-EPDM ROSCA D 1 1/4"</t>
  </si>
  <si>
    <t>02466 VALV. BOLA STD PE-EPDM ROSCA D 1 1/2"</t>
  </si>
  <si>
    <t>02467 VALV. BOLA STD PE-EPDM ROSCA D 2"</t>
  </si>
  <si>
    <t>02468 VALV. BOLA STD PE-EPDM ROSCA D 2 1/2"</t>
  </si>
  <si>
    <t>02469 VALV. BOLA STD PE-EPDM ROSCA D 3"</t>
  </si>
  <si>
    <t>02470 VALV. BOLA STD PTFE-EPDM D 20</t>
  </si>
  <si>
    <t>02471 VALV. BOLA STD PTFE-EPDM D 25</t>
  </si>
  <si>
    <t>02472 VALV. BOLA STD PTFE-EPDM D 32</t>
  </si>
  <si>
    <t>02473 VALV. BOLA STD PTFE-EPDM D 40</t>
  </si>
  <si>
    <t>02474 VALV. BOLA STD PTFE-EPDM D 50</t>
  </si>
  <si>
    <t>02475 VALV. BOLA STD PTFE-EPDM D 63</t>
  </si>
  <si>
    <t>02476 VALV. BOLA STD PTFE-EPDM D 75</t>
  </si>
  <si>
    <t>02477 VALV. BOLA STD PTFE-EPDM D 90</t>
  </si>
  <si>
    <t>02478 VALV. BOLA STD PTFE-EPDM D 1/2"</t>
  </si>
  <si>
    <t>02479 VALV. BOLA STD PTFE-EPDM D 3/4"</t>
  </si>
  <si>
    <t>02480 VALV. BOLA STD PTFE-EPDM D 1"</t>
  </si>
  <si>
    <t>02481 VALV. BOLA STD PTFE-EPDM D 1 1/4"</t>
  </si>
  <si>
    <t>02482 VALV. BOLA STD PTFE-EPDM D 1 1/2"</t>
  </si>
  <si>
    <t>02483 VALV. BOLA STD PTFE-EPDM D 2"</t>
  </si>
  <si>
    <t>02484 VALV. BOLA STD PTFE-EPDM D 2 1/2"</t>
  </si>
  <si>
    <t>02485 VALV. BOLA STD PTFE-EPDM D 3"</t>
  </si>
  <si>
    <t>02502 VALV. BOLA PN10 PE-EPDM PEGAR D 50</t>
  </si>
  <si>
    <t>02503 VALV. BOLA PN10 PE-EPDM PEGAR D 63</t>
  </si>
  <si>
    <t>02504 VALV. BOLA PN10 PE-EPDM ROSCA D 1 1/2"</t>
  </si>
  <si>
    <t>02505 VALV. BOLA PN10 PE-EPDM ROSCA D 2"</t>
  </si>
  <si>
    <t>02579 VALVULA BOLA PURGA PE EPDM ROSCADA D3/4"</t>
  </si>
  <si>
    <t>02581 VALV. MARIPOSA (EPDM) D 75X2 1/2"</t>
  </si>
  <si>
    <t>02582 VALV. MARIPOSA (EPDM) D 90X3"</t>
  </si>
  <si>
    <t>02583 VALV. MARIPOSA (EPDM) D 110X 4"</t>
  </si>
  <si>
    <t>02585 VALV. MARIPOSA (EPDM) D 140 X 5"</t>
  </si>
  <si>
    <t>02586 VALV. MARIPOSA (EPDM) D 160 X 6"</t>
  </si>
  <si>
    <t>02587 VALV. MARIPOSA (EPDM) D 200 X 8"</t>
  </si>
  <si>
    <t>02706 ML.DE TUBERIA PVC, PN10,D25</t>
  </si>
  <si>
    <t>02707 ML.DE TUBERIA PVC, PN10,D32</t>
  </si>
  <si>
    <t>02708 ML.DE TUBERIA PVC, PN10,D40</t>
  </si>
  <si>
    <t>02709 ML.DE TUBERIA PVC, PN10,D50</t>
  </si>
  <si>
    <t>02710 ML.DE TUBERIA PVC, PN10,D63</t>
  </si>
  <si>
    <t>02711 ML.DE TUBERIA PVC, PN10,D75</t>
  </si>
  <si>
    <t>02712 ML.DE TUBERIA PVC, PN10,D90</t>
  </si>
  <si>
    <t>02713 ML.DE TUBERIA PVC, PN10,D110</t>
  </si>
  <si>
    <t>02722 ML.DE TUBERIA PVC, PN16,D20</t>
  </si>
  <si>
    <t>02723 ML.DE TUBERIA PVC, PN16,D25</t>
  </si>
  <si>
    <t>02724 ML.DE TUBERIA PVC, PN16,D32</t>
  </si>
  <si>
    <t>02725 ML.DE TUBERIA PVC, PN16 D40</t>
  </si>
  <si>
    <t>02726 ML.DE TUBERIA PVC, PN16,D50</t>
  </si>
  <si>
    <t>02727 ML.DE TUBERIA PVC, PN16,D63</t>
  </si>
  <si>
    <t>02728 ML.DE TUBERIA PVC, PN16,D75</t>
  </si>
  <si>
    <t>02729 ML.DE TUBERIA PVC, PN16,D90</t>
  </si>
  <si>
    <t>02730 ML.DE TUBERIA PVC, PN16, D110</t>
  </si>
  <si>
    <t>02731 ML.DE TUBERIA PVC, PN16,D125</t>
  </si>
  <si>
    <t>02732 ML. DE TUBERÌA PVC, PN16, D140.</t>
  </si>
  <si>
    <t>03338 PP TE MIXTA MACHO D40 X 1 1/2"</t>
  </si>
  <si>
    <t>05331 CURVA 90 ENCOLAR D90</t>
  </si>
  <si>
    <t>05332 CURVA 90 ENCOLAR D110</t>
  </si>
  <si>
    <t>05354 VALV. BOLA STD PE-EPDM ROSCA 4"</t>
  </si>
  <si>
    <t>05356 VALV. BOLA STD PTFE-EPDM D 110</t>
  </si>
  <si>
    <t>05358 VALV. BOLA STD PTFE-EPDM ROSCA D 4"</t>
  </si>
  <si>
    <t>05360 VALVULA BOLSA PTFE VITON D110 DN80</t>
  </si>
  <si>
    <t>07002 VALV. RETENCION RESORTE CEPEX EPDM D 1 1/2"  MA</t>
  </si>
  <si>
    <t>07003 VALV. RETENCION RESORTE CEPEX EPDM D2"  MA</t>
  </si>
  <si>
    <t>07688 TE REDUCIDA 90 P/ENCOLAR 160 X 140</t>
  </si>
  <si>
    <t>07689 TE REDUCIDA 90 P/ENCOLAR 160 X 125</t>
  </si>
  <si>
    <t>07690 TE REDUCIDA 90 P/ENCOLAR 160 X 110</t>
  </si>
  <si>
    <t>07691 TE REDUCIDA 90 P/ENCOLAR 160 X 90</t>
  </si>
  <si>
    <t>07692 MANGUITO PORTABRIDAS D20</t>
  </si>
  <si>
    <t>07693 MANGUITO PORTABRIDAS D25</t>
  </si>
  <si>
    <t>07694 MANGUITO PORTABRIDAS D32</t>
  </si>
  <si>
    <t>07695 MANGUITO PORTABRIDAS D40</t>
  </si>
  <si>
    <t>07696 BRIDA PVC (GIRATORIA) DIN D 20</t>
  </si>
  <si>
    <t>07697 BRIDA PVC (GIRATORIA) DIN D25</t>
  </si>
  <si>
    <t>07698 BRIDA PVC (GIRATORIA) DIN D32</t>
  </si>
  <si>
    <t>07699 BRIDA PVC (GIRATORIA) DIN D40</t>
  </si>
  <si>
    <t>07700 JUNTA PLANA EVA D 20</t>
  </si>
  <si>
    <t>07701 JUNTA PLANA EVA D 25</t>
  </si>
  <si>
    <t>07702 JUNTA PLANA EVA D 32</t>
  </si>
  <si>
    <t>07703 JUNTA PLANA EVA D 40</t>
  </si>
  <si>
    <t>07713 UNION DOBLE ROSCADA (EPDM) D2 1/2"</t>
  </si>
  <si>
    <t>07714 UNION DOBLE ROSCADA (EPDM) D3"</t>
  </si>
  <si>
    <t>07715 UNION DOBLE ROSCADA (EPDM) D4"</t>
  </si>
  <si>
    <t>08908 PINZA ABIERTA D 110</t>
  </si>
  <si>
    <t>08909 PINZA ABIERTA D125</t>
  </si>
  <si>
    <t>08910 PINZA ABIERTA D160</t>
  </si>
  <si>
    <t>08911 PINZA ABIERTA D200</t>
  </si>
  <si>
    <t>08912 PESTILLO PINZA PP D110</t>
  </si>
  <si>
    <t>08913 PESTILLO PINZA PP D125</t>
  </si>
  <si>
    <t>08914 PESTILLO PINZA PP D160</t>
  </si>
  <si>
    <t>08915 PESTILLO PINZA PP D200</t>
  </si>
  <si>
    <t>08916 PINZA CON CIERRE D110</t>
  </si>
  <si>
    <t>08977 VALV. MARIPOSA C/REDUCTOR MANUAL (EPDM) D90X3"</t>
  </si>
  <si>
    <t>08981 VALV. MARIPOSA C/REDUCTOR MANUAL (EPDM) D150X6"</t>
  </si>
  <si>
    <t>08982 VALV. MARIPOSA C/REDUCTOR MANUAL (EPDM) D200X8"</t>
  </si>
  <si>
    <t>08984 VALV. RET. CLAPETA EPDM D 75</t>
  </si>
  <si>
    <t>08985 VALV. RET. CLAPETA EPDM D 90</t>
  </si>
  <si>
    <t>08986 VALV. RET. CLAPETA EPDM D 110</t>
  </si>
  <si>
    <t>08987 VALV. RET. CLAPETA EPDM D 140</t>
  </si>
  <si>
    <t>08988 VALV. RET. CLAPETA EPDM D 160</t>
  </si>
  <si>
    <t>08989 VALV. RET. CLAPETA EPDM D 225</t>
  </si>
  <si>
    <t>08994 VALVULA DE PIE D40</t>
  </si>
  <si>
    <t>09005 VALVULA DE PIE D1 1/2"</t>
  </si>
  <si>
    <t>09011 VALV. RET. RESORTE EPDM PEGAR D 20</t>
  </si>
  <si>
    <t>09012 VALV. RET. RESORTE EPDM PEGAR D 25</t>
  </si>
  <si>
    <t>09013 VALV. RET. RESORTE EPDM PEGAR D 32</t>
  </si>
  <si>
    <t>09014 VALV. RET. RESORTE EPDM PEGAR D 40</t>
  </si>
  <si>
    <t>09015 VALV. RET. RESORTE EPDM PEGAR D 50</t>
  </si>
  <si>
    <t>09016 VALV. RET. RESORTE EPDM PEGAR D 63</t>
  </si>
  <si>
    <t>09017 VALV. RET. RESORTE EPDM PEGAR D 75</t>
  </si>
  <si>
    <t>09018 VALV. RET. RESORTE EPDM PEGAR D 90</t>
  </si>
  <si>
    <t>09019 VALV. RET. RESORTE EPDM PEGAR D 110</t>
  </si>
  <si>
    <t>09021 VALV. RET. RESORTE EPDM ROSCA D 1/2"</t>
  </si>
  <si>
    <t>09022 VALV. RET. RESORTE EPDM ROSCA D 3/4"</t>
  </si>
  <si>
    <t>09023 VALV. RET. RESORTE EPDM ROSCA D 1"</t>
  </si>
  <si>
    <t>09024 VALV. RET. RESORTE EPDM ROSCA D 1 1/4"</t>
  </si>
  <si>
    <t>09025 VALV. RET. RESORTE EPDM ROSCA D 1 1/2"</t>
  </si>
  <si>
    <t>09026 VALV. RET. RESORTE EPDM ROSCA D 2"</t>
  </si>
  <si>
    <t>09027 VALV. RET. RESORTE EPDM ROSCA D 2 1/2"</t>
  </si>
  <si>
    <t>09028 VALV. RET. RESORTE EPDM ROSCA D 3"</t>
  </si>
  <si>
    <t>09029 VALV. RET. RESORTE EPDM ROSCA D 4"</t>
  </si>
  <si>
    <t>09030 RED.CONICA EXCENTRICA U-PVC CEPEX. D.90-75X63</t>
  </si>
  <si>
    <t>09031 ESPIGA CONEXION PE 1" X D.25</t>
  </si>
  <si>
    <t>09039 BRIDA D225X200</t>
  </si>
  <si>
    <t>09040 VALV. RET. CLAPETA EPDM D 125</t>
  </si>
  <si>
    <t>09041 VALV. RET. CLAPETA EPDM D 200</t>
  </si>
  <si>
    <t>09043 ADHESIVO 500 C.C CON PINCEL</t>
  </si>
  <si>
    <t>09044 ADHESIVO 1000 C.C CON PINCEL</t>
  </si>
  <si>
    <t>09711 ENLACE PERFORMANCE RM D 75 X 3"</t>
  </si>
  <si>
    <t>10955 PINZA ABIERTA D140</t>
  </si>
  <si>
    <t>10957 PINZA ABIERTA D225</t>
  </si>
  <si>
    <t>10997 PINZA ABIERTA D225</t>
  </si>
  <si>
    <t>11300 PESTILLO PINZA PP D140</t>
  </si>
  <si>
    <t>11301 PESTILLO PINZA PP D225</t>
  </si>
  <si>
    <t>11374 VALVULA UNIBLOCK D50-11/2"M</t>
  </si>
  <si>
    <t>11375 VALVULA UNIBLOCK D50</t>
  </si>
  <si>
    <t>11376 VALVULA DE BOLA UNIBLOCK 1 1/2"M</t>
  </si>
  <si>
    <t>11377 VALVULA UNIBLOCK D 1 1/2"</t>
  </si>
  <si>
    <t>11656 VALVULA BOLA PURGA 1/4"</t>
  </si>
  <si>
    <t>15763 ESPIGA CONEXION PE 3/4" X D.20</t>
  </si>
  <si>
    <t>15765 VALVULA DE 3 VIAS</t>
  </si>
  <si>
    <t>15776 TAPON ENCOLAR D250</t>
  </si>
  <si>
    <t>15826 VALVULA UNIBLOCK D 63</t>
  </si>
  <si>
    <t>15829 VALVULA UNIBLOCK D 2"</t>
  </si>
  <si>
    <t>15846 VALV. MARIPOSA (EPDM) D 250 X 10"</t>
  </si>
  <si>
    <t>17898 PP CODO PERFORMANCE D90</t>
  </si>
  <si>
    <t>17899 PP CODO PERFORMANCE D110</t>
  </si>
  <si>
    <t>17906 PP TE PERFORMANCE D90</t>
  </si>
  <si>
    <t>17907 PP TE PERFORMANCE D110</t>
  </si>
  <si>
    <t>17910 PP TE "PERFORMANCE" RH D90 X 3" X 90</t>
  </si>
  <si>
    <t>17912 PP TE "PERFORMANCE" RH D110 X 4" X 110</t>
  </si>
  <si>
    <t>17916 PP MANGUITO UNION PERFORMANCE D90</t>
  </si>
  <si>
    <t>17917 PP MANGUITO UNION PERFORMANCE D110</t>
  </si>
  <si>
    <t>17918 PP MANGUITO REDUCIDO "PERFORMANCE" D90X63</t>
  </si>
  <si>
    <t>17919 PP MANGUITO REDUCIDO "PERFORMANCE" D90X75</t>
  </si>
  <si>
    <t>17920 PP MANGUITO REDUCIDO "PERFORMANCE" D110X90</t>
  </si>
  <si>
    <t>17923 PP ENLACE PERFORMANCE RH D90 X 3"</t>
  </si>
  <si>
    <t>17927 PP ENLACE PERFORMANCE RH D110 X 4"</t>
  </si>
  <si>
    <t>17930 PP ENLACE PERFORMANCE RM D90 X 3"</t>
  </si>
  <si>
    <t>17931 PP ENLACE PERFORMANCE RM D90 X 4</t>
  </si>
  <si>
    <t>17933 PP ENLACE PERFORMANCE RM D110 X 3"</t>
  </si>
  <si>
    <t>17934 PP ENLACE PERFORMANCE RM D110 X 4</t>
  </si>
  <si>
    <t>17935 TAPON D90</t>
  </si>
  <si>
    <t>17936 TAPON D110</t>
  </si>
  <si>
    <t>18435 VALV. BOLA IND. PTFE-EPDM PEGAR D 20</t>
  </si>
  <si>
    <t>18436 VALV. BOLA IND. PTFE-EPDM PEGAR D 25</t>
  </si>
  <si>
    <t>18437 VALV. BOLA IND. PTFE-EPDM PEGAR D 32</t>
  </si>
  <si>
    <t>18438 VALV. BOLA IND. PTFE-EPDM PEGAR D 40</t>
  </si>
  <si>
    <t>18439 VALV. BOLA IND. PTFE-EPDM PEGAR D 50</t>
  </si>
  <si>
    <t>18440 VALV. BOLA IND. PTFE-EPDM PEGAR D 63</t>
  </si>
  <si>
    <t>18441 VALV. BOLA IND. PTFE-EPDM PEGAR D 75</t>
  </si>
  <si>
    <t>18442 VALV. BOLA IND. PTFE-EPDM PEGAR D 90</t>
  </si>
  <si>
    <t>18443 VALV. BOLA IND. PTFE-EPDM ROSCA 4"</t>
  </si>
  <si>
    <t>18455 VALV. BOLA IND. PTFE-EPDM PEGAR D 3/4</t>
  </si>
  <si>
    <t>18459 VALV. BOLA PTFE IND D 2"</t>
  </si>
  <si>
    <t>18685 CASQUILLO REDUCCION D75-50</t>
  </si>
  <si>
    <t>18686 CASQUILLO REDUCCION D75-40</t>
  </si>
  <si>
    <t>18687 CASQUILLO REDUCCION D90-63</t>
  </si>
  <si>
    <t>18688 CASQUILLO REDUCCION D 90-50</t>
  </si>
  <si>
    <t>18689 CASQUILLO REDUCCION D 110-75</t>
  </si>
  <si>
    <t>18690 CASQUILLO REDUCCION D 110-63</t>
  </si>
  <si>
    <t>18691 CASQUILLO REDUCCION D 125-90</t>
  </si>
  <si>
    <t>18692 CASQUILLO REDUCCION D 140-110</t>
  </si>
  <si>
    <t>18693 CASQUILLO REDUCCION D 160-110</t>
  </si>
  <si>
    <t>18874 ENLACE MIXTO ORIENTABLE 50 X 1 1/2"</t>
  </si>
  <si>
    <t>19711 PP ENLACE PERFORMANCE RM D75 X 3"</t>
  </si>
  <si>
    <t>20143 CRUZ ENCOLAR D20</t>
  </si>
  <si>
    <t>20144 CRUZ ENCOLAR D25</t>
  </si>
  <si>
    <t>20145 CRUZ ENCOLAR D32</t>
  </si>
  <si>
    <t>20146 CRUZ ENCOLAR D40</t>
  </si>
  <si>
    <t>20147 RED. ROSCADA CORTA D3/4"X1/2"</t>
  </si>
  <si>
    <t>20148 RED. ROSCADA CORTA D1"X3/4"</t>
  </si>
  <si>
    <t>20150 RED. ROSCA CORTA 1 1/2"-1 1/4"</t>
  </si>
  <si>
    <t>20151 RED. ROSCA CORTA 2"-1 1/2"</t>
  </si>
  <si>
    <t>20152 REDUCCION ROSCA CORTA 2 1/2"-2"</t>
  </si>
  <si>
    <t>20153 REDUCCION ROSCA CORTA 3"-2 1/2"</t>
  </si>
  <si>
    <t>20154 REDUCCION ROSCA CORTA 4"-3"</t>
  </si>
  <si>
    <t>20155 TE 45º PVC D50</t>
  </si>
  <si>
    <t>20156 TE 45º PVC D63</t>
  </si>
  <si>
    <t>20162 MANGUITO BRIDA STYLE D75-63X2"</t>
  </si>
  <si>
    <t>20163 MANGUITO BRIDA STYLE D110X90X3</t>
  </si>
  <si>
    <t>20164 MANGUITO BRIDA STYLE D125-110X4</t>
  </si>
  <si>
    <t>20165 BRIDA VICTAULIC 2"</t>
  </si>
  <si>
    <t>20166 BRIDA VICTAULIC 3"</t>
  </si>
  <si>
    <t>20167 BRIDA VICTAULIC 4"</t>
  </si>
  <si>
    <t>20213 CAUDALIMETRO 1/2" H (25-250 L/H) CEPEX</t>
  </si>
  <si>
    <t>20214 CAUDALIMETRO 3/4" H (40-400 L/H) CEPEX</t>
  </si>
  <si>
    <t>20215 CAUDALIMETRO 3/4" H (60-630 L/H) CEPEX</t>
  </si>
  <si>
    <t>20216 CAUDALIMETRO 3/4" H (100-1000 L/H) CEPEX</t>
  </si>
  <si>
    <t>20786 PP ENLACE PERFORMANCE RH D75 X 3"</t>
  </si>
  <si>
    <t>21444 MANGUITO BRIDA STYLE D180-160X6"</t>
  </si>
  <si>
    <t>21445 BRIDA NATIONAL  TIPO VICTAULIC 6"</t>
  </si>
  <si>
    <t>21948 CODO ROSCADO D 1/2" SBE</t>
  </si>
  <si>
    <t>21949 CODO ROSCADO D 3/4" SBE</t>
  </si>
  <si>
    <t>22061 VALV. RET. BOLA D 1/2"</t>
  </si>
  <si>
    <t>22062 VALV. RET. BOLA D 3/4"</t>
  </si>
  <si>
    <t>22065 VALV. BOLA PTFE-EPDM D110</t>
  </si>
  <si>
    <t>22066 VALV. BOLA PTFE-EPDM D4"</t>
  </si>
  <si>
    <t>22085 VALV. RET. BOLA D 1"</t>
  </si>
  <si>
    <t>22086 VALV. RET. BOLA D 1 1/4"</t>
  </si>
  <si>
    <t>22242 VALVULA RETENCION BOLA D110 VITON</t>
  </si>
  <si>
    <t>22246 VALV BOLA INDUSTRIAL D3" SW CORZAN CPVC(TEFLON-EPDM)</t>
  </si>
  <si>
    <t>22270 VALV. RET. BOLA D 3" FPM</t>
  </si>
  <si>
    <t>22275 / 3522020VA MANGUITO D20 VALV BOLA PVC-C</t>
  </si>
  <si>
    <t>22276 / 3522025VA MANGUITO CONEX D25 VALV BOLA PVC-C ENCOLAR</t>
  </si>
  <si>
    <t>22277 / 3522032VA MANGUITO CONEX D32 VALV BOLA PVC-C ENCOLAR</t>
  </si>
  <si>
    <t>22278 / 3522040VA MANGUITO CONEX D40 VALV BOLA PVC-C ENCOLAR</t>
  </si>
  <si>
    <t>22279 / 3522050VA MANGUITO CONEX D50 VALV BOLA PVC-C ENCOLAR</t>
  </si>
  <si>
    <t>22280 / 3522063VA MANGUITO CONEX D63 VALV BOLA PVC-C ENCOLAR</t>
  </si>
  <si>
    <t>22281 / 3522075VA MANGUITO CONEX D75 VALV BOLA PVC-C ENCOLAR</t>
  </si>
  <si>
    <t>22282 / 3522090VA MANGUITO CONEX D90 VALV BOLA PVC-C ENCOLAR</t>
  </si>
  <si>
    <t>22283 / 3522111VA MANGUITO CONEX D110 VALV BOLA PVC-C ENCOL</t>
  </si>
  <si>
    <t>22284 MANGUITO V. 1/2" MA CPVC</t>
  </si>
  <si>
    <t>22285 MANGUITO V. 3/4" MA CPVC</t>
  </si>
  <si>
    <t>22286 MANGUITO V. 1" MA CPVC</t>
  </si>
  <si>
    <t>22287 MANGUITO V. 1 1/4" MA PVC</t>
  </si>
  <si>
    <t>22288 MANGUITO V. 1 1/2" MA PVC</t>
  </si>
  <si>
    <t>22289 MANGUITO  2" MA CPVC</t>
  </si>
  <si>
    <t>22291 MANG.VAL 3" MA CPVC</t>
  </si>
  <si>
    <t>22292 MANG. VAL 4" MA CPVC</t>
  </si>
  <si>
    <t>22565 BRIDA DIN CIEGA PVC D50</t>
  </si>
  <si>
    <t>22566 BRIDA DIN CIEGA PVC D63</t>
  </si>
  <si>
    <t>22567 BRIDA DIN CIEGA PVC D75</t>
  </si>
  <si>
    <t>22568 BRIDA DIN CIEGA PVC D90</t>
  </si>
  <si>
    <t>22569 BRIDA DIN CIEGA PVC D110</t>
  </si>
  <si>
    <t>22572 BRIDA DIN CIEGA PVC D160</t>
  </si>
  <si>
    <t>22581 CRUZ ENCOLAR D.90</t>
  </si>
  <si>
    <t>22582 CRUZ ENCOLAR D110</t>
  </si>
  <si>
    <t>22586 TE 45º PVC D40</t>
  </si>
  <si>
    <t>22588 CODO ROSCADO 3"</t>
  </si>
  <si>
    <t>22593 TE 90 D2 1/2"</t>
  </si>
  <si>
    <t>22594 TE 90 D.3"</t>
  </si>
  <si>
    <t>22595 TE 90º D.4"</t>
  </si>
  <si>
    <t>22596 CODO MIXTO D75 X 2  1/2"</t>
  </si>
  <si>
    <t>22597 CODO MIXTO D90 X 3"</t>
  </si>
  <si>
    <t>22598 CODO MIXTO D110 X 4"</t>
  </si>
  <si>
    <t>22602 TE MIXTA D75 X 2 1/2"</t>
  </si>
  <si>
    <t>22603 TE MIXTA D90 X 3"</t>
  </si>
  <si>
    <t>22604 TE MIXTA D110 X 4"</t>
  </si>
  <si>
    <t>22773 VALVULA UNIBLOCK D20</t>
  </si>
  <si>
    <t>22774 VALVULA UNIBLOCK D25</t>
  </si>
  <si>
    <t>22775 VALVULA UNIBLOCK D32</t>
  </si>
  <si>
    <t>22776 VALVULA UNIBLOCK D40</t>
  </si>
  <si>
    <t>22777 VALVULA UNIBLOCK D75</t>
  </si>
  <si>
    <t>22778 VALVULA UNIBLOCK D90</t>
  </si>
  <si>
    <t>22791 VALVULA UNIBLOCK D 1/2"</t>
  </si>
  <si>
    <t>22792 VALVULA UNIBLOCK D 3/4"</t>
  </si>
  <si>
    <t>22793 VALVULA UNIBLOCK D 1"</t>
  </si>
  <si>
    <t>22794 VALVULA UNIBLOCK D 1 1/4"</t>
  </si>
  <si>
    <t>22795 VALVULA UNIBLOCK D 2 1/2"</t>
  </si>
  <si>
    <t>22796 VALVULA UNIBLOCK D 3"</t>
  </si>
  <si>
    <t>22797 VALV. BOLA PE-EPDM D110</t>
  </si>
  <si>
    <t>22798 VALV. BOLA PE-EPDM 4"</t>
  </si>
  <si>
    <t>22814 VALV BOLA INDUSTRIAL D3/8 CORZAN CPVC(TEFLON-EPDM)</t>
  </si>
  <si>
    <t>22815 VALV BOLA INDUSTRIAL D1/2" CORZAN CPVC(TEFLON-EPDM)</t>
  </si>
  <si>
    <t>22816 VALV BOLA INDUSTRIAL D3/4" CORZAN CPVC(TEFLON-EPDM)</t>
  </si>
  <si>
    <t>22817 VALV BOLA INDUSTRIAL D1" CORZAN CPVC(TEFLON-EPDM)</t>
  </si>
  <si>
    <t>22818 VALV BOLA INDUSTRIAL D1 1/4" CORZAN CPVC(TEFLON-EPDM)</t>
  </si>
  <si>
    <t>22819 VALV BOLA INDUSTRIAL D1 1/2" CORZAN CPVC(TEFLON-EPDM)</t>
  </si>
  <si>
    <t>22820 VALV BOLA INDUSTRIAL D2" CORZAN CPVC(TEFLON-EPDM)</t>
  </si>
  <si>
    <t>22821 VALV BOLA INDUSTRIAL D2 1/2" CORZAN CPVC(TEFLON-EPDM)</t>
  </si>
  <si>
    <t>22822 VALV BOLA INDUSTRIAL D3" CORZAN CPVC(TEFLON-EPDM)</t>
  </si>
  <si>
    <t>22858 VALV.  RET.  RESORTE  1" 1/4 CPVC</t>
  </si>
  <si>
    <t>22859 VALV.  RET.  RESORTE  1" 1/2 CPVC</t>
  </si>
  <si>
    <t>22860 VALV.  RET.  RESORTE  2" CPVC</t>
  </si>
  <si>
    <t>22885 VALVULA ASIENTO INCLINADO PVC D20</t>
  </si>
  <si>
    <t>22894 TE PVC D63 JUNTA ELASTICA</t>
  </si>
  <si>
    <t>22895 TE PVC D75 JUNTA ELASTICA</t>
  </si>
  <si>
    <t>22896 TE PVC D90 JUNTA ELASTICA</t>
  </si>
  <si>
    <t>22897 TE PVC D110 JUNTA ELASTICA</t>
  </si>
  <si>
    <t>22898 TE PVC D125 JUNTA ELASTICA</t>
  </si>
  <si>
    <t>22899 TE PVC D140 JUNTA ELASTICA</t>
  </si>
  <si>
    <t>22900 TE PVC D160 JUNTA ELASTICA</t>
  </si>
  <si>
    <t>22907 TE RED. PVC D75X63 JUNTA ELASTICA</t>
  </si>
  <si>
    <t>22908 TE RED. PVC D90XD63 JUNTA ELASTICA</t>
  </si>
  <si>
    <t>22909 TE RED. PVC D90XD75 JUNTA ELASTICA</t>
  </si>
  <si>
    <t>22910 TE RED. PVC D110X63 JUNTA ELASTICA</t>
  </si>
  <si>
    <t>22911 TE RED. PVC D110X75 JUNTA ELASTICA</t>
  </si>
  <si>
    <t>22912 TE RED. PVC D110X90 JUNTA ELASTICA</t>
  </si>
  <si>
    <t>22913 TE RED. PVC D125X110 JUNTA ELASTICA</t>
  </si>
  <si>
    <t>22914 TE RED. PVC D140X110 JUNTA ELASTICA</t>
  </si>
  <si>
    <t>22915 TE RED. PVC D160X90 JUNTA ELASTICA</t>
  </si>
  <si>
    <t>22916 TE RED. PVC D160X110 JUNTA ELASTICA</t>
  </si>
  <si>
    <t>23084 VALV. BOLA PE-EPDM D125</t>
  </si>
  <si>
    <t>23087 REDUCCION ROSCA CORTA M-H 1/2" X 1/4"</t>
  </si>
  <si>
    <t>23088 REDUCCION ROSCA CORTA M-H 3/4" X 1/4"</t>
  </si>
  <si>
    <t>23089 REDUCCION ROSCA CORTA M-H 1" X 1/4"</t>
  </si>
  <si>
    <t>23129 MANGUITO CONEXIÓN  PE D20</t>
  </si>
  <si>
    <t>23130 MANGUITO CONEXIÓN  PE D25</t>
  </si>
  <si>
    <t>24248 MANG.VAL ENCOLAR 1/2 MA</t>
  </si>
  <si>
    <t>24249 MANG.VAL ENCOLAR 3/4 MA</t>
  </si>
  <si>
    <t>24250 MANG.VAL ENCOLAR 1 MA</t>
  </si>
  <si>
    <t>24251 MANG.VAL ENCOLAR  1 1/4 MA</t>
  </si>
  <si>
    <t>24252 MANG.VAL ENCOLAR 1 1/2 MA</t>
  </si>
  <si>
    <t>24253 MANG.VAL. ENCOLAR 2" MA</t>
  </si>
  <si>
    <t>24636 TE PP "STANDARD" RH 25X1/2"</t>
  </si>
  <si>
    <t>24637 TE PP "STANDARD" RH 25X3/4X25</t>
  </si>
  <si>
    <t>24640 TE PP "STANDARD" RH 32X1"X32</t>
  </si>
  <si>
    <t>24641 TE PP "STANDARD" RH 40X1 1/4"X40</t>
  </si>
  <si>
    <t>24642 TE PP "STANDARD" RH 50X1 1/2" X50</t>
  </si>
  <si>
    <t>24644 TE PP "STANDARD" RH 63 X 2" X 63</t>
  </si>
  <si>
    <t>24658 PP MANGUITO UNION STD D20</t>
  </si>
  <si>
    <t>24659 PP MANGUITO UNION STD D25</t>
  </si>
  <si>
    <t>24660 PP MANGUITO UNION STD D32</t>
  </si>
  <si>
    <t>24661 PP MANGUITO UNION STD D40</t>
  </si>
  <si>
    <t>24662 PP MANGUITO UNION STD D50</t>
  </si>
  <si>
    <t>24663 PP MANGUITO UNION STD D63</t>
  </si>
  <si>
    <t>24665 PP MANGUITO REDUCIDO "STD" D25X20</t>
  </si>
  <si>
    <t>24666 PP MANGUITO REDUCIDO "STD" D32X25</t>
  </si>
  <si>
    <t>24667 PP MANGUITO REDUCIDO "STD" D40X32</t>
  </si>
  <si>
    <t>24668 PP MANGUITO REDUCIDO "STD" D50X40</t>
  </si>
  <si>
    <t>24669 PP MANGUITO REDUCIDO "STD" D63X50</t>
  </si>
  <si>
    <t>24672 PP CODO STD D20</t>
  </si>
  <si>
    <t>24673 PP CODO STD D25</t>
  </si>
  <si>
    <t>24674 PP CODO STD D32</t>
  </si>
  <si>
    <t>24675 PP CODO STD D40</t>
  </si>
  <si>
    <t>24676 PP CODO STD D50</t>
  </si>
  <si>
    <t>24677 PP CODO STD D63</t>
  </si>
  <si>
    <t>24683 PP CODO STD H 25-3/4"</t>
  </si>
  <si>
    <t>24686 PP CODO STD H 32-1"</t>
  </si>
  <si>
    <t>24689 PP CODO STD H 50-1 1/2"</t>
  </si>
  <si>
    <t>24691 CODO STD H D63-2"</t>
  </si>
  <si>
    <t>24708 PP TE STD D20</t>
  </si>
  <si>
    <t>24709 PP TE STD D25</t>
  </si>
  <si>
    <t>24710 PP TE STD D32</t>
  </si>
  <si>
    <t>24711 PP TE STD D40</t>
  </si>
  <si>
    <t>24712 PP TE STD D50</t>
  </si>
  <si>
    <t>24713 PP TE STD D63</t>
  </si>
  <si>
    <t>24716 PP MANGUITO STD H D20 X 1/2"</t>
  </si>
  <si>
    <t>24719 PP MANGUITO STD H D25 X 3/4"</t>
  </si>
  <si>
    <t>24722 PP MANGUITO STD H D32 X 1"</t>
  </si>
  <si>
    <t>24724 PP MANGUITO STD H D40 X 1 1/4"</t>
  </si>
  <si>
    <t>24726 PP MANGUITO STD H D50 X 1 1/2"</t>
  </si>
  <si>
    <t>24728 PP MANGUITO STD H D63 X 2"</t>
  </si>
  <si>
    <t>24731 ENLACE PP STD RM D20 X 1/2"</t>
  </si>
  <si>
    <t>24732 ENLACE PP STD RM D20 X 3/4</t>
  </si>
  <si>
    <t>24734 ENLACE PP STD RM D25 X 1/2"</t>
  </si>
  <si>
    <t>24735 ENLACE PP STD RM D25 X 3/4"</t>
  </si>
  <si>
    <t>24739 ENLACE PP STD RM D25 X 1"</t>
  </si>
  <si>
    <t>24740 MANG STD M 32-3/4</t>
  </si>
  <si>
    <t>24741 ENLACE PP STD RM D32 X 1"</t>
  </si>
  <si>
    <t>24742 ENLACE PP STD RM D32 X 1 1/4</t>
  </si>
  <si>
    <t>24743 ENLACE PP STD RM D40 X 1 1/4"</t>
  </si>
  <si>
    <t>24744 ENLACE PP STD RM D40 X 1 1/2</t>
  </si>
  <si>
    <t>24746 ENLACE PP STD RM D50 X 1 1/2"</t>
  </si>
  <si>
    <t>24749 ENLACE PP STD RM D63 X 2"</t>
  </si>
  <si>
    <t>24751 TAPON STD D20</t>
  </si>
  <si>
    <t>24752 TAPON STD D25</t>
  </si>
  <si>
    <t>24753 TAPON STD D32</t>
  </si>
  <si>
    <t>24754 TAPON STD D40</t>
  </si>
  <si>
    <t>24755 TAPON STD D50</t>
  </si>
  <si>
    <t>24756 TAPON STD D63</t>
  </si>
  <si>
    <t>25216 VALV BOLA INDUSTRIAL D1/2" SW CORZAN CPVC(PTFE-EPDM)</t>
  </si>
  <si>
    <t>25220 VALV BOLA INDUSTRIAL D1 1/2" SW CORZAN CPVC(PTFE-EPDM)</t>
  </si>
  <si>
    <t>25221 VALV BOLA INDUSTRIAL D2" SW CORZAN CPVC(PTFE-EPDM)</t>
  </si>
  <si>
    <t>25699 VALV. RET. BOLA D 1 1/2"</t>
  </si>
  <si>
    <t>25700 VALV. RET. BOLA D 2"</t>
  </si>
  <si>
    <t>25701 VALV. RET. BOLA CEPEX VITON D50</t>
  </si>
  <si>
    <t>25702 VALV. RET. BOLA CEPEX VITON D63</t>
  </si>
  <si>
    <t>25714 FILTRO Y PVC D20</t>
  </si>
  <si>
    <t>26445 VALV BOLA INDUSTRIAL D4" CORZAN CPVC(TEFLON-EPDM)</t>
  </si>
  <si>
    <t>07051 ADHESIVO 500 CC C/ PINCEL BOONDTITE</t>
  </si>
  <si>
    <t>27052 ADHESIVO 1000CC C/ PINCEL BONDTITE</t>
  </si>
  <si>
    <t>27400 VALV. RET. BOLA C-PVC CEPEX VITON D3" SW</t>
  </si>
  <si>
    <t>27510 VALV.  RET.  BOLA CPVC 1/2"</t>
  </si>
  <si>
    <t>27511 VALV.  RET.  BOLA CPVC 3/4"</t>
  </si>
  <si>
    <t>27512 VALV.  RET.  BOLA CPVC 1"</t>
  </si>
  <si>
    <t>27513 VALV.  RET.  BOLA CPVC 1" 1/4</t>
  </si>
  <si>
    <t>27514 VALV.  RET.  BOLA CPVC 1" 1/2</t>
  </si>
  <si>
    <t>27515 VALV.  RET.  BOLA CPVC 2"</t>
  </si>
  <si>
    <t>27958 CRUZ ENCOLAR D75</t>
  </si>
  <si>
    <t>28052 MANGUITO VALV ENCOLAR 2" 1/2</t>
  </si>
  <si>
    <t>28053 MANG.VAL. ENCOLAR 3" MA</t>
  </si>
  <si>
    <t>28054 MANG.VAL. ENCOLAR 4" MA</t>
  </si>
  <si>
    <t>28570 ML. CEPEXFLEX PVC D20</t>
  </si>
  <si>
    <t>28571 ML. CEPEXFLEX PVC D25</t>
  </si>
  <si>
    <t>28572 ML. CEPEXFLEX PVC D32</t>
  </si>
  <si>
    <t>28573 ML. CEPEXFLEX PVC D40</t>
  </si>
  <si>
    <t>28574 ML. CEPEXFLEX PVC D50</t>
  </si>
  <si>
    <t>28575 ML. CEPEXFLEX PVC D63</t>
  </si>
  <si>
    <t>28671 ENLACE RM D 3/4" - ESPIGA</t>
  </si>
  <si>
    <t>NO USAR!! 28672 ENLACE CONEXION ESPIIGA</t>
  </si>
  <si>
    <t>28673 TE CONEXION ESPIGA</t>
  </si>
  <si>
    <t>28918 VALVULA DE DIAFRAGMA PVC-U MANUAL D32</t>
  </si>
  <si>
    <t>28920 VALVULA DE DIAFRAGMA PVC-U MANUAL D50</t>
  </si>
  <si>
    <t>28921 VALVULA DE DIAFRAGMA PVC-U MANUAL D63</t>
  </si>
  <si>
    <t>29403 CONEXIÓN  PE100 D.50</t>
  </si>
  <si>
    <t>29404 CONEXION  PE100 D.63</t>
  </si>
  <si>
    <t>29405 CONEXIÓN  PE100 D.75</t>
  </si>
  <si>
    <t>29406 CONEXIÓN  PE100 D.90</t>
  </si>
  <si>
    <t>29407 CONEXIÓN  PE100 D.110</t>
  </si>
  <si>
    <t>32614 VALVULA MARIPOSA STD D75</t>
  </si>
  <si>
    <t>32615 VALVULA MARIPOSA STD D90</t>
  </si>
  <si>
    <t>32616 VALVULA MARIPOSA STD D110</t>
  </si>
  <si>
    <t>32617 VALVULA MARIPOSA STD D125-140</t>
  </si>
  <si>
    <t>32618 VALVULA MARIPOSA STD D160</t>
  </si>
  <si>
    <t>32619 VALVULA MARIPOSA STD D200-225</t>
  </si>
  <si>
    <t>32621 VALVULA MARIPOSA IND PVC/EPDM D90</t>
  </si>
  <si>
    <t>32622 VALVULA MARIPOSA INDUSTRIAL PVC/EPDM D110</t>
  </si>
  <si>
    <t>32624 VALVULA MARIPOSA INDUSTRIAL PVC/EPDM D160</t>
  </si>
  <si>
    <t>32629 VALVULA MARIPOSA INDUSTRIAL PVC/FPM D90</t>
  </si>
  <si>
    <t>32630 VALVULA MARIPOSA PVC/FPM D110</t>
  </si>
  <si>
    <t>32632 VALVULA MARIPOSA IND PVC/ FPM D160</t>
  </si>
  <si>
    <t>32738 VALV. MARIPOSA IND PVC-U INOX EPDM ALIM. RED D315</t>
  </si>
  <si>
    <t>32804 TE 45º PVC D75</t>
  </si>
  <si>
    <t>32805 TE 45º PVC D90</t>
  </si>
  <si>
    <t>32806 TE 45º PVC D110</t>
  </si>
  <si>
    <t>33961 VALVULA MARIPOSA CPVC/EPDM D110</t>
  </si>
  <si>
    <t>33963 VALVULA MARIPOSA PP EPDM D110</t>
  </si>
  <si>
    <t>34472 VALV. MARIPOSA IND PVC-U INOX EPDM ALIM. RED D250</t>
  </si>
  <si>
    <t>34480 VALVULA MARIPOSA CPVC/EPDM D63/75</t>
  </si>
  <si>
    <t>34481 VALVULA MARIPOSA CPVC/EPDM D90</t>
  </si>
  <si>
    <t>34483 VALVULA MARIPOSA CPVC/EPDM D160</t>
  </si>
  <si>
    <t>34484 VALVULA MARIPOSA CPVC/EPDM D200/D225</t>
  </si>
  <si>
    <t>34507-61543 VALVULA MARIPOSA PP EPDM D90</t>
  </si>
  <si>
    <t>34508 VALVULA MARIPOSA PP EPDM D125-140</t>
  </si>
  <si>
    <t>34509 VALVULA MARIPOSA PP EPDM D160</t>
  </si>
  <si>
    <t>34510 VALVULA MARIPOSA PP EPDM D200</t>
  </si>
  <si>
    <t>34512 VALV. MARIPOSA IND. PP/VITON D90</t>
  </si>
  <si>
    <t>34515 VALV. MARIPOSA IND PP/VITON D200</t>
  </si>
  <si>
    <t>34588 ML. CEPEXFLEX PVC D75</t>
  </si>
  <si>
    <t>35898 KIT NEUMATICO MARIPOSA D75</t>
  </si>
  <si>
    <t>35901 KIT ACTUACION ELEC/ NEUM VALV MARIP IND D90-D110"</t>
  </si>
  <si>
    <t>35905 KIT NEUMATICO D/EF MAR D140-160</t>
  </si>
  <si>
    <t>36128-64589 V.BOLA IND U-PVC EPDM D63</t>
  </si>
  <si>
    <t>36133 VALVULA BOLA INDUSTRIAL PVC-U EPDM 1/2"</t>
  </si>
  <si>
    <t>36134 VALVULA BOLA INDUSTRIAL PVC-U EPDM 3/4"</t>
  </si>
  <si>
    <t>36135 VALVULA BOLA INDUSTRIAL PVC-U EPDM 1"</t>
  </si>
  <si>
    <t>36136 VALVULA BOLA INDUSTRIAL PVC-U EPDM 1" 1/4</t>
  </si>
  <si>
    <t>36137 VALVULA BOLA INDUSTRIAL PVC-U EPDM 1" 1/2</t>
  </si>
  <si>
    <t>36138 VALVULA BOLA INDUSTRIAL PVC-U EPDM 2"</t>
  </si>
  <si>
    <t>36173 VALVULA BOLA INDUSTRIAL CPVC EPDM 1/2"</t>
  </si>
  <si>
    <t>36174 VALVULA BOLA INDUSTRIAL CPVC EPDM 3/4"</t>
  </si>
  <si>
    <t>36175 VALVULA BOLA INDUSTRIAL CPVC EPDM 1"</t>
  </si>
  <si>
    <t>36176 VALVULA BOLA INDUSTRIAL CPVC EPDM 1" 1/4</t>
  </si>
  <si>
    <t>36177 VALVULA BOLA INDUSTRIAL CPVC EPDM 1" 1/2</t>
  </si>
  <si>
    <t>36178 VALVULA BOLA INDUSTRIAL CPVC EPDM 2"</t>
  </si>
  <si>
    <t>36213-64911 VALVULA BOLA IND PP PTFE FPM D1/2"</t>
  </si>
  <si>
    <t>36214 VALVULA BOLA IND PP PTFE FPM D3/4"</t>
  </si>
  <si>
    <t>36215 VALVULA BOLA IND PP PTFE FPM D1"</t>
  </si>
  <si>
    <t>36217 VALVULA BOLA IND PP PTFE FPM D1 1/2"</t>
  </si>
  <si>
    <t>36218 VALVULA BOLA IND PP PTFE FPM D2"</t>
  </si>
  <si>
    <t>36501 VALVULA BOLA STD D20 PE-EPDM</t>
  </si>
  <si>
    <t>36502 VALVULA BOLA STD D25 PE-EPDM</t>
  </si>
  <si>
    <t>36503 VALVULA BOLA STD D32 PE-EPDM</t>
  </si>
  <si>
    <t>36504 VALVULA BOLA STD D40 PE-EPDM</t>
  </si>
  <si>
    <t>36505 VALVULA BOLA STD D50 PE-EPDM</t>
  </si>
  <si>
    <t>36506 VALVULA BOLA STD D63 PE-EPDM</t>
  </si>
  <si>
    <t>36507 VALVULA BOLA STD D75 PE-EPDM</t>
  </si>
  <si>
    <t>36508 VALVULA BOLA STD D90 PE-EPDM</t>
  </si>
  <si>
    <t>36509 VALVULA BOLA STD D110 PE-EPDM</t>
  </si>
  <si>
    <t>36511 VALVULA BOLA STD D 1/2" PE-EPDM</t>
  </si>
  <si>
    <t>36512 VALVULA BOLA STD D 3/4" PE-EPDM</t>
  </si>
  <si>
    <t>36513 VALVULA BOLA STD D 1" PE-EPDM</t>
  </si>
  <si>
    <t>36514 VALVULA BOLA STD D 1 1/4" PE-EPDM</t>
  </si>
  <si>
    <t>36515 VALVULA BOLA STD D 1 1/2" PE-EPDM</t>
  </si>
  <si>
    <t>36516 VALVULA BOLA STD D 2" PE-EPDM</t>
  </si>
  <si>
    <t>36517 VALVULA BOLA STD D 2 1/2" PE- EPDM</t>
  </si>
  <si>
    <t>36518 VALVULA BOLA STD D 3" PE-EPDM</t>
  </si>
  <si>
    <t>36519 VALVULA BOLA STD D 4" PE-EPDM</t>
  </si>
  <si>
    <t>36692 VALV. MARIPOSA IND. PVDF/FPM D110</t>
  </si>
  <si>
    <t>36694 VALV. MARIPOSA IND. PVDF/FPM D160</t>
  </si>
  <si>
    <t>36728 VALVULA UNIBLOCK D110</t>
  </si>
  <si>
    <t>36729 VALVULA UNIBLOCK D4"</t>
  </si>
  <si>
    <t>36790 V.BOLA IND PP/FPM D50 CEPEX</t>
  </si>
  <si>
    <t>36800 V.BOLA IND PP/FPM D63 CEPEX</t>
  </si>
  <si>
    <t>37039 VALVULA BOLA STD D20 PTFE-EPDM ALIMENTARIO</t>
  </si>
  <si>
    <t>37040 VALVULA BOLA STD D25 PTFE-EPDM ALIMENTARIO</t>
  </si>
  <si>
    <t>37041 VALVULA BOLA STD D32 PTEF-EPDM ALIMENTARIO</t>
  </si>
  <si>
    <t>37042 VALVULA BOLA STD D40 PTEF-EPDM ALIMENTARIO</t>
  </si>
  <si>
    <t>37043 VALVULA BOLA STD D50 PTEF-EPDM ALIMENTARIO</t>
  </si>
  <si>
    <t>37044 VALVULA BOLA STD D63 PTEF-EPDM ALIMENTARIO</t>
  </si>
  <si>
    <t>37045 VALVULA BOLA STD D75 PTEF-EPDM ALIMENTARIO</t>
  </si>
  <si>
    <t>37047 VALVULA BOLA STD D 1/2" PTEF-EPDM ALIMENTARIO</t>
  </si>
  <si>
    <t>37048 VALVULA BOLA STD D 3/4" PTEF-EPDM ALIMENTARIO</t>
  </si>
  <si>
    <t>37049 VALVULA BOLA STD D 1" PTEF-EPDM ALIMENTARIO</t>
  </si>
  <si>
    <t>37050 VALVULA BOLA STD D1 1/4" PTEF-EPDM ALIMENTARIO</t>
  </si>
  <si>
    <t>37051 VALVULA BOLA STD D1 1/2" PTEF-EPDM ALIMENTARIO</t>
  </si>
  <si>
    <t>37052 VALVULA BOLA STD D2" PTEF-EPDM ALIMENTARIO</t>
  </si>
  <si>
    <t>37053 VALVULA BOLA STD D2 1/2" PTEF-EPDM ALIMENTARIO</t>
  </si>
  <si>
    <t>37056 VALVULA DE CLAPETA PVC-U D250</t>
  </si>
  <si>
    <t>37057 VALVULA DE CLAPETA PVC-U D315</t>
  </si>
  <si>
    <t>37076 VALV. RET. RESORTE D110 (DN100)</t>
  </si>
  <si>
    <t>37077 VALV. RET. RESORTE  D4" (DN100)</t>
  </si>
  <si>
    <t>41867 VALVULA BOLA STD D 90 PTEF-EPDM ALIMENTARIO</t>
  </si>
  <si>
    <t>41868 VALVULA BOLA STD D110 PTFE-EPDM ALIMENTARIO</t>
  </si>
  <si>
    <t>41870 VALVULA BOLA STD D 3" PTEF-EPDM ALIMENTARIO</t>
  </si>
  <si>
    <t>41871 VALVULA BOLA STD D 4" PTFE-EPDM ALIMENTARIO</t>
  </si>
  <si>
    <t>41962 VALV. ANTIRETORNO ESFERA FPM ½" MA</t>
  </si>
  <si>
    <t>41963 VALV. ANTIRETORNO ESFERA FPM 3/4" MA</t>
  </si>
  <si>
    <t>41964 VALV. ANTIRETORNO ESFERA FPM 1" MA</t>
  </si>
  <si>
    <t>41966 VALV. ANTIRETORNO ESFERA FPM 1 1/2" MA</t>
  </si>
  <si>
    <t>41967 VALV. ANTIRETORNO ESFERA FPM 2" MA</t>
  </si>
  <si>
    <t>41969 VALV. ANTIRETORNO ESFERA FPM 3" MA</t>
  </si>
  <si>
    <t>42624 PP ADAPTADOR H 90X3" CEPEX</t>
  </si>
  <si>
    <t>42626 PP ADAPTADOR H 110X4"</t>
  </si>
  <si>
    <t>42628 UNION D 20 CEPEX</t>
  </si>
  <si>
    <t>42629 UNION D 25 CEPEX</t>
  </si>
  <si>
    <t>42630 UNION D 32 CEPEX</t>
  </si>
  <si>
    <t>42631 UNION D 40 CEPEX</t>
  </si>
  <si>
    <t>42632 UNION D 50 CEPEX</t>
  </si>
  <si>
    <t>42634 UNION D 75 CEPEX</t>
  </si>
  <si>
    <t>42635 UNION D 90 CEPEX</t>
  </si>
  <si>
    <t>42636 UNION D 110 CEPEX</t>
  </si>
  <si>
    <t>42639 ADAPTADOR M. 20X1/2" E-QUA CEPEX</t>
  </si>
  <si>
    <t>42643 ADAPTADOR M. 25X3/4" E-QUA CEPEX</t>
  </si>
  <si>
    <t>42646 ADAPTADOR M. 32X1" E-QUA CEPEX</t>
  </si>
  <si>
    <t>42650 ADAPTADOR M. 40X1 1/2" CEPEX</t>
  </si>
  <si>
    <t>42653 ADAPTADOR M. 50X1 1/2" E-QUA CEPEX</t>
  </si>
  <si>
    <t>42654 ADAPTADOR M. 50X2" E-QUA CEPEX</t>
  </si>
  <si>
    <t>42656 ADAPTADOR M. 63X2" E-QUA CEPEX</t>
  </si>
  <si>
    <t>42659 ADAPTADOR M. 75X2 1/2" E-QUA CEPEX</t>
  </si>
  <si>
    <t>42660 ADAPTADOR M. 75X3" E-QUA CEPEX</t>
  </si>
  <si>
    <t>42663 ADAPTADOR M. 90X3" E-QUA CEPEX</t>
  </si>
  <si>
    <t>42667 ADAPTADOR M. 110X4" E-QUA CEPEX</t>
  </si>
  <si>
    <t>42703 PP TE D 75 CEPEX</t>
  </si>
  <si>
    <t>42704 PP TE D 90 CEPEX</t>
  </si>
  <si>
    <t>42705 PP TE D 110 CEPEX</t>
  </si>
  <si>
    <t>42711 PP TE H D25X3/4" CEPEX</t>
  </si>
  <si>
    <t>42718 PP TE H D40X1 1/4" CEPEX</t>
  </si>
  <si>
    <t>42726 PP TE H D75X2 1/2" CEPEX</t>
  </si>
  <si>
    <t>42729 PP TE H 90X3"</t>
  </si>
  <si>
    <t>42732 PP TE H 110X4"</t>
  </si>
  <si>
    <t>42809 TAPON D 20 CEPEX</t>
  </si>
  <si>
    <t>42810 TAPON D 25 CEPEX</t>
  </si>
  <si>
    <t>42811 TAPON D 32 CEPEX</t>
  </si>
  <si>
    <t>42812 TAPON D 40 CEPEX</t>
  </si>
  <si>
    <t>42813 TAPON D 50 CEPEX</t>
  </si>
  <si>
    <t>42814 TAPON D 63 CEPEX</t>
  </si>
  <si>
    <t>42815 TAPON D 75 CEPEX</t>
  </si>
  <si>
    <t>42816 TAPON D 90 CEPEX</t>
  </si>
  <si>
    <t>42817 TAPON D 110 CEPEX</t>
  </si>
  <si>
    <t>43684 KIT CONEXION NEUMATICO D.20</t>
  </si>
  <si>
    <t>43685 KIT CONEXION NEUMATICO D.25</t>
  </si>
  <si>
    <t>43686 KIT CONEXION NEUMATICO D.32</t>
  </si>
  <si>
    <t>43687 KIT CONEXION NEUMATICO D.40</t>
  </si>
  <si>
    <t>43688 KIT CONEXION NEUMATICO D.50</t>
  </si>
  <si>
    <t>43689 KIT CONEXION NEUMATICO D.63</t>
  </si>
  <si>
    <t>43700 VALV. MARIPOSA IND. PVDF/FPM D75</t>
  </si>
  <si>
    <t>44338 VALVULA BOLA STD PP PTFE EPDM D20</t>
  </si>
  <si>
    <t>44339 VALVULA BOLA STD PP PTFE EPDM D25</t>
  </si>
  <si>
    <t>44340 VALVULA BOLA STD PP PTFE EPDM D32</t>
  </si>
  <si>
    <t>44341 VALVULA BOLA STD PP PTFE EPDM D40</t>
  </si>
  <si>
    <t>44342 VALVULA BOLA STD PP PTFE EPDM D50</t>
  </si>
  <si>
    <t>44343 VALVULA BOLA STD PP PTFE EPDM D63</t>
  </si>
  <si>
    <t>44344 VALVULA BOLA STD PP PTFE EPDM D1/2"</t>
  </si>
  <si>
    <t>44345 VALVULA BOLA STD PP PTFE EPDM D3/4"</t>
  </si>
  <si>
    <t>44346 VALVULA BOLA STD PP PTFE EPDM D1"</t>
  </si>
  <si>
    <t>44347 VALVULA BOLA STD PP PTFE EPDM D1 1/4"</t>
  </si>
  <si>
    <t>44348 VALVULA BOLA STD PP PTFE EPDM D1 1/2"</t>
  </si>
  <si>
    <t>44349 VALVULA BOLA STD PP PTFE EPDM D2"</t>
  </si>
  <si>
    <t>46647 VALVULA MARIPOSA ESTANDARD PVC/EPDM D250</t>
  </si>
  <si>
    <t>52708 ADHESIVO C-PVC HT-120 500CC CON PINCEL</t>
  </si>
  <si>
    <t>52711 ADHESIVO C-PVC / PVC HCR 40</t>
  </si>
  <si>
    <t>54503 MANGUITO V.BOLA STD-IND 1/2" MA</t>
  </si>
  <si>
    <t>54504 MANGUITO V.BOLA STD-IND 3/4" MA</t>
  </si>
  <si>
    <t>54505 MANGUITO V.BOLA STD-IND 1" MA</t>
  </si>
  <si>
    <t>54506 MANGUITO V.BOLA STD-IND 1 1/4" MA</t>
  </si>
  <si>
    <t>54507 MANGUITO V.BOLA STD-IND 1" 1/2 MA</t>
  </si>
  <si>
    <t>54508 MANGUITO V.BOLA STD-IND 2" MA</t>
  </si>
  <si>
    <t>54509 MANGUITO V.BOLA STD-IND 2" 1/2 MA</t>
  </si>
  <si>
    <t>54510 MANGUITO V.BOLA STD-IND 3" MA</t>
  </si>
  <si>
    <t>54511 MANGUITO V.BOLA STD-IND 4" MA</t>
  </si>
  <si>
    <t>54817 VALVULA DIAFRAGMA PVC-U D20 EPDM</t>
  </si>
  <si>
    <t>54818 VALVULA DIAFRAGMA PVC-U D25 EPDM</t>
  </si>
  <si>
    <t>56663 VALVULA DIAFRAGMA PVC-U D32 EPDM</t>
  </si>
  <si>
    <t>56664 VALVULA DIAFRAGMA PVC-U D40 EPDM</t>
  </si>
  <si>
    <t>56675 VALVULA DIAFRAGMA PVC-U D50 EPDM</t>
  </si>
  <si>
    <t>56676 VALVULA DIAFRAGMA PVC-U D63 EPDM</t>
  </si>
  <si>
    <t>V. MARIPOSA PP/FPM EXTREME D90- 3" CEPEX</t>
  </si>
  <si>
    <t>V. MARIPOSA PP/FPM EXTREME D160- 6" CEPEX</t>
  </si>
  <si>
    <t>62206 MANG. VAL BOLA CPVC STD-IND 1/2 MA</t>
  </si>
  <si>
    <t>62207 MANGUITO V.BOLA CPVC STD-IND 3/4" MA</t>
  </si>
  <si>
    <t>62208 MANGUITO V.BOLA CPVC STD-IND 1" MA</t>
  </si>
  <si>
    <t>62209 MANGUITO V.BOLA CPVC STD-IND 1"1/4 MA</t>
  </si>
  <si>
    <t>62210 MANGUITO V.BOLA CPVC STD-IND 1"1/2 MA</t>
  </si>
  <si>
    <t>62211 MANGUITO V. BOLA CPVC STD-IND 2" MA</t>
  </si>
  <si>
    <t>63215 TUBERIA U-PVC CEPEX PN10 D225X10.8 X 5M</t>
  </si>
  <si>
    <t>63223 TUBERIA U-PVC CEPEX PN16 D20X2.0 X 5M</t>
  </si>
  <si>
    <t>63224 TUBERIA U-PVC CEPEX PN16 D25X2.0 X 5M</t>
  </si>
  <si>
    <t>63225 TUBERIA U-PVC CEPEX PN16 D32X2.4 X 5M</t>
  </si>
  <si>
    <t>63226 TUBERIA U-PVC CEPEX PN16 D40X3.0 X 5M</t>
  </si>
  <si>
    <t>63227 TUBERIA U-PVC CEPEX PN16 D50X3.7 X 5M</t>
  </si>
  <si>
    <t>63228 TUBERIA U-PVC CEPEX PN16 D63X4.7 X 5M</t>
  </si>
  <si>
    <t>63229 TUBERIA U-PVC CEPEX PN16 D75X5.6 X 5M</t>
  </si>
  <si>
    <t>63230 TUBERIA U-PVC CEPEX PN16 D90X6.7 X 5M</t>
  </si>
  <si>
    <t>63231 TUBERIA U-PVC CEPEX PN16 D110X8.1 X 5M</t>
  </si>
  <si>
    <t>64589 VALV. BOLA EXTREME PVC/EPDM D63</t>
  </si>
  <si>
    <t>64915 VALV. BOLA EXTREME PP/EPDM D50 SW</t>
  </si>
  <si>
    <t>64916 VALV. BOLA EXTREME PP/EPDM D63SW</t>
  </si>
  <si>
    <t>67181 VALV BOLA EXTREME PVDF/FPM D20 (DN15) BW CEPEX</t>
  </si>
  <si>
    <t>67183 VALV BOLA EXTREME PVDF/FPM D32 (DN25) BW CEPEX</t>
  </si>
  <si>
    <t>68859 V.MARIPOSA LUG DIN U-PVC/FPM EXTREME D110-(DN100)CEPEX</t>
  </si>
  <si>
    <t>68993 VALV MARIPOSA LUG EXTREME PVDF/FPM D90 (DN80) CEPEX</t>
  </si>
  <si>
    <t>69134 VALV. RETENCION BOLA C-PVC/FPM 1/4" SW (DN10)</t>
  </si>
  <si>
    <t>69135 VALV. RETENCION BOLA C-PVC/FPM 1/2" SW (DN15)</t>
  </si>
  <si>
    <t>69137 VALV. RETENCION BOLA C-PVC/FPM 1" SW DN(25)</t>
  </si>
  <si>
    <t>69208-64669AS VALV. BOLA EXTREME PVC/FPM 1/2" MA(DN15)</t>
  </si>
  <si>
    <t>69209 VALV. BOLA EXTREME PVC/FPM 3/4" MA(DN20)</t>
  </si>
  <si>
    <t>69210-64671AS VALV. BOLA EXTREME PVC/FPM 1" MA(DN25)</t>
  </si>
  <si>
    <t>69211-64672AS VALV. BOLA EXTREME PVC/FPM 1 1/4" MA(DN32)</t>
  </si>
  <si>
    <t>69212-64673AS VALV. BOLA EXTREME PVC/FPM 1 1/2" MA(DN40)</t>
  </si>
  <si>
    <t>69213 VALV. BOLA EXTREME PVC/FPM 2" MA(DN50)</t>
  </si>
  <si>
    <t>69214 VALV. BOLA EXTREME PVC/FPM 2 1 1/2" MA(DN65)</t>
  </si>
  <si>
    <t>69215 VALV. BOLA EXTREME PVC/FPM 3" MA(DN80)</t>
  </si>
  <si>
    <t>7003200 TE PVC D200 JUNTA ELASTICA</t>
  </si>
  <si>
    <t>7003250 TE PVC D250 JUNTA ELASTICA</t>
  </si>
  <si>
    <t>7003315 TE PVC D315 JUNTA ELASTICA</t>
  </si>
  <si>
    <t>7004164 TE RED PVC D160X75 JUNTA ELASTICA</t>
  </si>
  <si>
    <t>7004165 TE RED PVC D160X63 JUNTA ELASTICA</t>
  </si>
  <si>
    <t>7004201 TE RED PVC D200X110 JUNTA ELASTICA</t>
  </si>
  <si>
    <t>7004206 TE RED PVC D200X63 JUNTA ELASTICA</t>
  </si>
  <si>
    <t>7004207 TE RED PVC D200X75 JUNTA ELASTICA</t>
  </si>
  <si>
    <t>7004209 TE RED PVC D200X90 JUNTA ELASTICA</t>
  </si>
  <si>
    <t>7004216 TE RED PVC D200X160 JUNTA ELASTICA</t>
  </si>
  <si>
    <t>02453R0105 MANG ENLACE VAL BOLA D20</t>
  </si>
  <si>
    <t>02454R0105 MANG ENLACE VAL BOLA D25</t>
  </si>
  <si>
    <t>02455R0105 MANG ENLACE VAL BOLA D32</t>
  </si>
  <si>
    <t>02456R0105 MANG ENLACE VAL BOLA D40</t>
  </si>
  <si>
    <t>02457R0105 MANG ENLACE VAL BOLA D50</t>
  </si>
  <si>
    <t>02457R0121 CONJ. EJE MAS JUNTAS D50 - 63</t>
  </si>
  <si>
    <t>02458R0102 BOLA REPUESTO D63</t>
  </si>
  <si>
    <t>02458R0105 MANG ENLACE VAL BOLA D63</t>
  </si>
  <si>
    <t>02458R0107 ASIENTO HDPE BOLA D63</t>
  </si>
  <si>
    <t>02459R0102 BOLA REPUESTO D75</t>
  </si>
  <si>
    <t>02459R0105 MANG ENLACE VAL BOLA D75</t>
  </si>
  <si>
    <t>02459R0107 ASIENTO HDPE BOLA D75</t>
  </si>
  <si>
    <t>02459R0121 CONJ. EJE MAS JUNTAS D75</t>
  </si>
  <si>
    <t>02459R0124 CONJ. MANETA D75</t>
  </si>
  <si>
    <t>02459R0129 CONJ. JUNTAS EPDM D75</t>
  </si>
  <si>
    <t>02460R0102 BOLA REPUESTO D90</t>
  </si>
  <si>
    <t>02460R0105 MANG ENLACE VAL BOLA D90</t>
  </si>
  <si>
    <t>02460R0107 ASIENTO HDPE BOLA D90</t>
  </si>
  <si>
    <t>02460R0121 CONJ. EJE MAS JUNTAS D90-110</t>
  </si>
  <si>
    <t>02460R0124 CONJ. MANETA D90 - 110</t>
  </si>
  <si>
    <t>02460R0129 CONJ. JUNTAS EPDM D90</t>
  </si>
  <si>
    <t>02461R0105 MANG ENLACE VAL BOLA D110</t>
  </si>
  <si>
    <t>02463R0105 MANG ENLACE VAL BOLA D3/4"</t>
  </si>
  <si>
    <t>02464R0105 MANG ENLACE VAL BOLA D1"</t>
  </si>
  <si>
    <t>02465R0105 MANG ENLACE VAL BOLA D1 1/4"</t>
  </si>
  <si>
    <t>02466R0105 MANG ENLACE VAL BOLA D1 1/2"</t>
  </si>
  <si>
    <t>02467R0105 MANG ENLACE VAL BOLA D2"</t>
  </si>
  <si>
    <t>02468R0105 MANG ENLACE VAL BOLA D2 1/2"</t>
  </si>
  <si>
    <t>02469R0105 MANG ENLACE VAL BOLA D3"</t>
  </si>
  <si>
    <t>02486R0129 CONJ. JUNTAS VITON V. BOLA D20</t>
  </si>
  <si>
    <t>02487R0129 CONJ. JUNTAS VITON V. BOLA D25</t>
  </si>
  <si>
    <t>02488R0129 CONJ. JUNTAS VITON V. BOLA D32</t>
  </si>
  <si>
    <t>02489R0129 CONJ. JUNTAS VITON V. BOLA D40</t>
  </si>
  <si>
    <t>02490R0129 CONJ. JUNTAS VITON V. BOLA D50</t>
  </si>
  <si>
    <t>02491R0129 CONJ. JUNTAS VITON V. BOLA D63</t>
  </si>
  <si>
    <t>02492R0129 CONJ. JUNTAS VITON V. BOLA D75</t>
  </si>
  <si>
    <t>02493R0129 CONJ. JUNTAS VITON V. BOLA D90</t>
  </si>
  <si>
    <t>02502R0121  CONJ. EJE MAS JUNTAS D50</t>
  </si>
  <si>
    <t>05354R0105 MANG ENLACE VAL BOLA D4"</t>
  </si>
  <si>
    <t>059073013 TAPA REPUESTO VALVULA 3 VIAS</t>
  </si>
  <si>
    <t>11374R0105 MANGUITO 1 1/2" RM UNIBLOCK</t>
  </si>
  <si>
    <t>11375R0124 CONJUNTO MANETA UNIBLOCK D50</t>
  </si>
  <si>
    <t>11375R0129 CONJ. JUNTAS EPDM D50</t>
  </si>
  <si>
    <t>15826R0124 CONJUNTO MANETA UNIBLOCK D63</t>
  </si>
  <si>
    <t>15826R0129 CONJ JUNTAS EPDM UNIBLOC D63</t>
  </si>
  <si>
    <t>158270105 MANG MACHO UNIBLACK 2"</t>
  </si>
  <si>
    <t>227770105 MANGUITO VALV. UNIBLOCK D75</t>
  </si>
  <si>
    <t>22777R0124 CONJUNTO MANETA UNIBLOCK D75 XUNIDAD</t>
  </si>
  <si>
    <t>227780105  MANG ENC UNIBLOCK D90</t>
  </si>
  <si>
    <t>22778R0124 CONJUNTO MANETA UNIBLOCK D90</t>
  </si>
  <si>
    <t>22797R0102 BOLA REPUESTO D110</t>
  </si>
  <si>
    <t>22797R0107 ASIENTO HDPE BOLA D110</t>
  </si>
  <si>
    <t>22797R0121 CONJ. EJE MAS JUNTAS D110-4"</t>
  </si>
  <si>
    <t>22797R0124 CONJUNTO MANETA UNIBLOCK D110</t>
  </si>
  <si>
    <t>36143R0135 CONJ. JUNTAS VITON D20 - 1/2"</t>
  </si>
  <si>
    <t>36144R0135 CONJ. JUNTAS VITON D25 - 3/4"</t>
  </si>
  <si>
    <t>36145R0135 CONJ. JUNTAS VITON D32 - 1"</t>
  </si>
  <si>
    <t>35146R0135 CONJ. JUNTAS VITON D40 - 1" 1/4</t>
  </si>
  <si>
    <t>36147R0135 CONJ. JUNTAS VITON D50 - 1" 1/2</t>
  </si>
  <si>
    <t>36148R0135 CONJ. JUNTAS VITON D63 - 2"</t>
  </si>
  <si>
    <t>36728R0129 CONJ JUNTAS EPDM UNIBLOC D110</t>
  </si>
  <si>
    <t>723R0470053 JUNTA MANGUITO EPDM VAL. D.50</t>
  </si>
  <si>
    <t>01720L</t>
  </si>
  <si>
    <t>01720L CODO 90 P/ENCOLAR D110 LOCAL</t>
  </si>
  <si>
    <t>02029L</t>
  </si>
  <si>
    <t>02029L MANGUITO PORTABRIDAS D225 NACIONAL</t>
  </si>
  <si>
    <t>02030L</t>
  </si>
  <si>
    <t>MANGUITO PORTABRIDAS D250</t>
  </si>
  <si>
    <t>02042L</t>
  </si>
  <si>
    <t>02042L BRIDA PVC (GIRATORIA) DIN D225 NACIONAL</t>
  </si>
  <si>
    <t>02043L</t>
  </si>
  <si>
    <t>BRIDA PVC (GIRATORIA) DIN D250</t>
  </si>
  <si>
    <t>02225L</t>
  </si>
  <si>
    <t>02225L BRIDA C/MANGUITO PVC D63</t>
  </si>
  <si>
    <t>02228L</t>
  </si>
  <si>
    <t>02228L BRIDA C/MANGUITO PVC D110</t>
  </si>
  <si>
    <t>02231L</t>
  </si>
  <si>
    <t>02231L BRIDA C/MANGUITO PVC D160</t>
  </si>
  <si>
    <t>02462R0105</t>
  </si>
  <si>
    <t>02462R0105 MANG ENLACE VAL BOLA D1/2"</t>
  </si>
  <si>
    <t>02493R0129</t>
  </si>
  <si>
    <t>02493R0129 CONJ. FPM V.BOLA D90-110</t>
  </si>
  <si>
    <t>02543R0106</t>
  </si>
  <si>
    <t>02543R0106 REJILLA D20</t>
  </si>
  <si>
    <t>02544R0106</t>
  </si>
  <si>
    <t>02544R0106 REJILLA D25</t>
  </si>
  <si>
    <t>02545R0106</t>
  </si>
  <si>
    <t>02545R0106 REJILLA D32</t>
  </si>
  <si>
    <t>02546R0106</t>
  </si>
  <si>
    <t>02546R0106 REJILLA D40</t>
  </si>
  <si>
    <t>02547R0106</t>
  </si>
  <si>
    <t>02547R0106 REJILLA D50</t>
  </si>
  <si>
    <t>02548R0106</t>
  </si>
  <si>
    <t>02548R0106 REJILLA D63</t>
  </si>
  <si>
    <t>02549R0106</t>
  </si>
  <si>
    <t>02549R0106 REJILLA D75</t>
  </si>
  <si>
    <t>02550R0106</t>
  </si>
  <si>
    <t>02550R0106 REJILLA D90 - 110</t>
  </si>
  <si>
    <t>08984R0120</t>
  </si>
  <si>
    <t>08984R0120 COMPUERTA JUNTA Y TAPON D75</t>
  </si>
  <si>
    <t>08985R0120</t>
  </si>
  <si>
    <t>08985R0120 COMPUERTA JUNTA Y TAPON D90</t>
  </si>
  <si>
    <t>08986R0120</t>
  </si>
  <si>
    <t>08986R0120 COMPUERTA JUNTA Y TAPON D110</t>
  </si>
  <si>
    <t>08987R0120</t>
  </si>
  <si>
    <t>08987R0120 COMPUERTA JUNTA Y TAPON D140</t>
  </si>
  <si>
    <t>08988R0120</t>
  </si>
  <si>
    <t>08988R0120 COMPUERTA JUNTA Y TAPON D160</t>
  </si>
  <si>
    <t>08989R0120</t>
  </si>
  <si>
    <t>08989R0120 COMPUERTA JUNTA Y TAPON D225</t>
  </si>
  <si>
    <t>09041R0120</t>
  </si>
  <si>
    <t>09041R0120 COMPUERTA JUNTA Y TAPON D200</t>
  </si>
  <si>
    <t>11375R0105</t>
  </si>
  <si>
    <t>11375R0105 MANGUITO VALV. UNIBLOCK D.50</t>
  </si>
  <si>
    <t>11377R0105</t>
  </si>
  <si>
    <t>11377R0105 MANGUITO VALV. UNIBLOCK D 1 1/2"</t>
  </si>
  <si>
    <t>15765R0124</t>
  </si>
  <si>
    <t>15765R0124 MANETA VALVULA 3 VIAS</t>
  </si>
  <si>
    <t>15826R0105</t>
  </si>
  <si>
    <t>15826R0105 MANGUITO VALV. UNIBLOCK D.63</t>
  </si>
  <si>
    <t>22090R0107</t>
  </si>
  <si>
    <t>22090R0107 JUNTA CIERRE BOLA FPM V.BOLA D20</t>
  </si>
  <si>
    <t>22091R0107</t>
  </si>
  <si>
    <t>22091R0107 JUNTA CIERRE BOLA FPM V.BOLA D25</t>
  </si>
  <si>
    <t>22092R0107</t>
  </si>
  <si>
    <t>22092R0107 JUNTA CIERRE BOLA FPM V.BOLA D32</t>
  </si>
  <si>
    <t>22239R0107</t>
  </si>
  <si>
    <t>22239R0107 JUNTA CIERRE BOLA FPM V.BOLA D40</t>
  </si>
  <si>
    <t>22775R0124</t>
  </si>
  <si>
    <t>22775R0124 CONJUNTO MANETA UNIBLOCK D32</t>
  </si>
  <si>
    <t>22776R0124</t>
  </si>
  <si>
    <t>22776R0124 CONJUNTO MANETA UNIBLOCK D40</t>
  </si>
  <si>
    <t>22777R0104</t>
  </si>
  <si>
    <t>22777R0104 TUERCA VALV. UNIBLOCK D.75</t>
  </si>
  <si>
    <t>22778R0104</t>
  </si>
  <si>
    <t>22778R0104 TUERCA VALV. UNIBLOCK D.90</t>
  </si>
  <si>
    <t>22795R0105</t>
  </si>
  <si>
    <t>22795R0105 MANGUITO ENLACE UNIBLOCK 21/2"</t>
  </si>
  <si>
    <t>22796R0105</t>
  </si>
  <si>
    <t>22796R0105 MANGUITO ENLACE UNIBLOCK 3"</t>
  </si>
  <si>
    <t>25702R0107</t>
  </si>
  <si>
    <t>25702R0107 JUNTA CIERRE BOLA FPM V.BOLA D50</t>
  </si>
  <si>
    <t>36143R0135</t>
  </si>
  <si>
    <t>36143R0135 CONJ.JUNTA. FPM/PTFE D16-3/8" D20-1/2"</t>
  </si>
  <si>
    <t>36147R0135</t>
  </si>
  <si>
    <t>36147R0135 CONJ.JUNTA. FPM/PTFE D50-1 1/2"</t>
  </si>
  <si>
    <t>36148R0135</t>
  </si>
  <si>
    <t>36148R0135 CONJ.JUNTA. FPM/PTFE D63-2"</t>
  </si>
  <si>
    <t>36163R0105</t>
  </si>
  <si>
    <t>36163R0105 MANG ENLACE VAL BOLA NOVA CPVC D20</t>
  </si>
  <si>
    <t>36164R0105</t>
  </si>
  <si>
    <t>36164R0105 MANG ENLACE VAL BOLA NOVA CPVC D25</t>
  </si>
  <si>
    <t>36165R0105</t>
  </si>
  <si>
    <t>36165R0105 MANG ENLACE VAL BOLA NOVA CPVC D32</t>
  </si>
  <si>
    <t>36166R0105</t>
  </si>
  <si>
    <t>36166R0105 MANG ENLACE VAL BOLA NOVA CPVC D40</t>
  </si>
  <si>
    <t>36167R0105</t>
  </si>
  <si>
    <t>36167R0105 MANG ENLACE VAL BOLA NOVA CPVC D50</t>
  </si>
  <si>
    <t>36168R0105</t>
  </si>
  <si>
    <t>36168R0105 MANG ENLACE VAL BOLA NOVA CPVC D63</t>
  </si>
  <si>
    <t>36175MA</t>
  </si>
  <si>
    <t>36175MA VALVULA BOLA IND CPVC EPDM 1"</t>
  </si>
  <si>
    <t>36501R0105</t>
  </si>
  <si>
    <t>36501R0105 MANG ENLACE VAL BOLA NOVA UPVC D20</t>
  </si>
  <si>
    <t>36502R0105</t>
  </si>
  <si>
    <t>36502R0105 MANG ENLACE VAL BOLA NOVA UPVC D25</t>
  </si>
  <si>
    <t>36503R0105</t>
  </si>
  <si>
    <t>36503R0105 MANG ENLACE VAL BOLA NOVA UPVC D32</t>
  </si>
  <si>
    <t>36504R0105</t>
  </si>
  <si>
    <t>36504R0105 MANG ENLACE VAL BOLA NOVA UPVC D40</t>
  </si>
  <si>
    <t>36505R0105</t>
  </si>
  <si>
    <t>36505R0105 MANG ENLACE VAL BOLA NOVA UPVC D50</t>
  </si>
  <si>
    <t>36506R0105</t>
  </si>
  <si>
    <t>36506R0105 MANG ENLACE VAL BOLA NOVA UPVC D63</t>
  </si>
  <si>
    <t>36507R0105</t>
  </si>
  <si>
    <t>36507R0105 MANG ENLACE VAL BOLA NOVA UPVC D75</t>
  </si>
  <si>
    <t>36508R0105</t>
  </si>
  <si>
    <t>36508R0105 MANG ENLACE VAL BOLA NOVA UPVC D90</t>
  </si>
  <si>
    <t>36508R0124</t>
  </si>
  <si>
    <t>36508R0124 CONJUNTO MANETA STD D90</t>
  </si>
  <si>
    <t>36509R0105</t>
  </si>
  <si>
    <t>36509R0105 MANG ENLACE VAL BOLA NOVA UPVC D110</t>
  </si>
  <si>
    <t>36511R0105</t>
  </si>
  <si>
    <t>36511R0105 MANG ENLACE VAL BOLA NOVA UPVC D1/2"</t>
  </si>
  <si>
    <t>36512R0105</t>
  </si>
  <si>
    <t>36512R0105 MANG ENLACE VAL BOLA NOVA UPVC D3/4"</t>
  </si>
  <si>
    <t>36513R0105</t>
  </si>
  <si>
    <t>36513R0105 MANG ENLACE VAL BOLA NOVA UPVC D1"</t>
  </si>
  <si>
    <t>36514R0105</t>
  </si>
  <si>
    <t>36514R0105 MANG ENLACE VAL BOLA NOVA UPVC D1 1/4"</t>
  </si>
  <si>
    <t>36515R0105</t>
  </si>
  <si>
    <t>36515R0105 MANG ENLACE VAL BOLA NOVA UPVC D1 1/2"</t>
  </si>
  <si>
    <t>36516R0105</t>
  </si>
  <si>
    <t>36516R0105 MANG ENLACE VAL BOLA NOVA UPVC D2"</t>
  </si>
  <si>
    <t>36517R0105</t>
  </si>
  <si>
    <t>36517R0105 MANG ENLACE VAL BOLA NOVA UPVC D2 1/2"</t>
  </si>
  <si>
    <t>36518R0105</t>
  </si>
  <si>
    <t>36518R0105 MANG ENLACE VAL BOLA NOVA UPVC D3"</t>
  </si>
  <si>
    <t>36519R0105</t>
  </si>
  <si>
    <t>36519R0105 MANG ENLACE VAL BOLA NOVA UPVC D4"</t>
  </si>
  <si>
    <t>36521R0105</t>
  </si>
  <si>
    <t>36521R0105 MANG ENLACE VAL BOLA STD-IND UPVC D1 1/2"</t>
  </si>
  <si>
    <t>36786R0105</t>
  </si>
  <si>
    <t>36786R0105 MANGUITO VALV. PP-H D.20</t>
  </si>
  <si>
    <t>36786R0105R</t>
  </si>
  <si>
    <t>36786R0105R MANGUITO VALV. ROSCA D.20</t>
  </si>
  <si>
    <t>36787R0105</t>
  </si>
  <si>
    <t>36787R0105 MANGUITO VALV. PP-H D.25</t>
  </si>
  <si>
    <t>36788R0105</t>
  </si>
  <si>
    <t>36788R0105 MANGUITO VALV. PP-H D.32</t>
  </si>
  <si>
    <t>36789R0105</t>
  </si>
  <si>
    <t>36789R0105 MANGUITO VALV. PP-H D.40</t>
  </si>
  <si>
    <t>36790R0105</t>
  </si>
  <si>
    <t>36790R0105 MANGUITO VALV. PP-H D.50</t>
  </si>
  <si>
    <t>36790R0105R</t>
  </si>
  <si>
    <t>36790R0105R MANGUITO VALV. ROSCA D 1 1/2"</t>
  </si>
  <si>
    <t>36791R0105</t>
  </si>
  <si>
    <t>36791R0105 MANGUITO VALV. PP-H D.63</t>
  </si>
  <si>
    <t>36791R0105R</t>
  </si>
  <si>
    <t>36791R0105R MANGUITO VALV. PP-H 2"</t>
  </si>
  <si>
    <t>37047M.A</t>
  </si>
  <si>
    <t>37047M.A VALVULA BOLA STD D 1/2" PTEF-EPDM ALIMENTARIO</t>
  </si>
  <si>
    <t>38788R0105R</t>
  </si>
  <si>
    <t>36788R0105R MANGUITO VALV.  D.32</t>
  </si>
  <si>
    <t>63223M4</t>
  </si>
  <si>
    <t>63223M4 TUBERIA U-PVC CEPEX PN16 D20X2.0 X 4M</t>
  </si>
  <si>
    <t>6458905R</t>
  </si>
  <si>
    <t>6458905R V.B.XTREM PVC/EPDM S/EFECTO D63 (DN50)</t>
  </si>
  <si>
    <t>6467509J</t>
  </si>
  <si>
    <t>6467509J VALVULA ESFERICA EXTREME U-PVC D75</t>
  </si>
  <si>
    <t>6468005R3SY</t>
  </si>
  <si>
    <t>6468005R3SY  V B EXTREME PVC/FPM S/EF  24VDC 3/4"</t>
  </si>
  <si>
    <t>64875AS</t>
  </si>
  <si>
    <t>64875AS VALV. BOLA EXTREME C-PVC/FPM 1/4" SW (DN10)</t>
  </si>
  <si>
    <t>64876AS</t>
  </si>
  <si>
    <t>64876AS VALV. BOLA EXTREME C-PVC/FPM 1/2" SW(DN15)</t>
  </si>
  <si>
    <t>64877AS</t>
  </si>
  <si>
    <t>64877AS VALV. BOLA EXTREME C-PVC/FPM 3/4" SW (DN20)</t>
  </si>
  <si>
    <t>64878AS</t>
  </si>
  <si>
    <t>VALV. BOLA EXTREME C-PVC/FPM 1" SW(DN25)</t>
  </si>
  <si>
    <t>64880AS</t>
  </si>
  <si>
    <t>64880AS VALV. BOLA EXTREME C-PVC/FPM 1 1/2" SW (DN40)</t>
  </si>
  <si>
    <t>64881AS</t>
  </si>
  <si>
    <t>64881AS VALV. BOLA EXTREME C-PVC/FPM  2" SW (DN50)</t>
  </si>
  <si>
    <t>64883AS</t>
  </si>
  <si>
    <t>64883AS VALV. BOLA EXTREME C-PVC/FPM 3 SW (DN80)</t>
  </si>
  <si>
    <t>6681805R2SLE</t>
  </si>
  <si>
    <t>6681805R2SLE VAL. BOLA C-PVC/EPDM D1" (DN25) SW MA ACT PNEUN</t>
  </si>
  <si>
    <t>69534AB</t>
  </si>
  <si>
    <t>69534AB VALV. RET BOLA EXTREME U-PVC/EPDM 3" DN80 BRIDADA FF</t>
  </si>
  <si>
    <t>714R0202035</t>
  </si>
  <si>
    <t>714R0202035 JUNTA TORICA FPM 20.22 X 3.53</t>
  </si>
  <si>
    <t>714R0282035</t>
  </si>
  <si>
    <t>714R0282035 JUNTA TORICA FPM 28.17 X 3.53</t>
  </si>
  <si>
    <t>714R0329035</t>
  </si>
  <si>
    <t>714R0329035 JUNTA TORICA FPM 32.93 X 3.53</t>
  </si>
  <si>
    <t>714R0407053</t>
  </si>
  <si>
    <t>714R0407053 JUNTA TORICA FPM 40.65 X 5.34</t>
  </si>
  <si>
    <t>714R0470053</t>
  </si>
  <si>
    <t>714R0470053 JUNTA TORICA FPM 47.00 X 5.34</t>
  </si>
  <si>
    <t>714R0565053</t>
  </si>
  <si>
    <t>714R0565053   JUNTA TORICA FPM 56.52 X 5.34</t>
  </si>
  <si>
    <t>714R0597053</t>
  </si>
  <si>
    <t>714R0597053 JUNTA TORICA FPM 59.70 X 5.34</t>
  </si>
  <si>
    <t>714R110505.3</t>
  </si>
  <si>
    <t>714R1105053 JUNTA TORICA FPM 110.49 X 5.34</t>
  </si>
  <si>
    <t>CREDCEPEX</t>
  </si>
  <si>
    <t>CREDITO CEPEX</t>
  </si>
  <si>
    <t>DEBCEPEX</t>
  </si>
  <si>
    <t>DEBITO CEPEX</t>
  </si>
  <si>
    <t>PCTV2032D</t>
  </si>
  <si>
    <t>PCTV2032D VALV BOLA PP/PTFE-FPM D1" C/ACT ELECTRICO</t>
  </si>
  <si>
    <t>PCTV3032D</t>
  </si>
  <si>
    <t>PCTV3032D VALV BOLA PP/PTFE-FPM D1" C/ACT NEUMATICO SE NA</t>
  </si>
  <si>
    <t>PV01050</t>
  </si>
  <si>
    <t>PV01050 CODO 90º ENCOLAR D50 AQ</t>
  </si>
  <si>
    <t>PV01063</t>
  </si>
  <si>
    <t>PV01063 CODO 90º ENCOLAR D63 AQ</t>
  </si>
  <si>
    <t>PV01075</t>
  </si>
  <si>
    <t>PV01075 CODO 90º ENCOLAR D75 AQ</t>
  </si>
  <si>
    <t>PV01090</t>
  </si>
  <si>
    <t>PV01090 CODO 90º ENCOLAR D90 AQ</t>
  </si>
  <si>
    <t>PV01110</t>
  </si>
  <si>
    <t>PV01110 CODO 90º ENCOLAR D110 AQ</t>
  </si>
  <si>
    <t>PV02050</t>
  </si>
  <si>
    <t>PV02050 CODO 45º ENCOLAR D50 AQ</t>
  </si>
  <si>
    <t>PV02063</t>
  </si>
  <si>
    <t>PV02063 CODO 45º ENCOLAR D63 AQ</t>
  </si>
  <si>
    <t>PV02075</t>
  </si>
  <si>
    <t>PV02075 CODO 45º ENCOLAR D75 AQ</t>
  </si>
  <si>
    <t>PV02090</t>
  </si>
  <si>
    <t>PV02090 CODO 45º ENCOLAR D90 AQ</t>
  </si>
  <si>
    <t>PV03050</t>
  </si>
  <si>
    <t>PV03050 TE ENCOLAR D50 AQ</t>
  </si>
  <si>
    <t>PV03063</t>
  </si>
  <si>
    <t>PV03063 TE ENCOLAR D63 AQ</t>
  </si>
  <si>
    <t>PV03075</t>
  </si>
  <si>
    <t>PV03075 TE ENCOLAR D75 AQ</t>
  </si>
  <si>
    <t>PV03090</t>
  </si>
  <si>
    <t>PV03090 TE ENCOLAR D90 AQ</t>
  </si>
  <si>
    <t>PV05050</t>
  </si>
  <si>
    <t>PV05050 MANGUITO DE UNION D50 AQ</t>
  </si>
  <si>
    <t>PV05063</t>
  </si>
  <si>
    <t>PV05063 MANGUITO DE UNION D63 AQ</t>
  </si>
  <si>
    <t>PV05075</t>
  </si>
  <si>
    <t>PV05075 MANGUITO DE UNION D75 AQ</t>
  </si>
  <si>
    <t>PV05090</t>
  </si>
  <si>
    <t>PV05090 MANGUITO DE UNION D90 AQ</t>
  </si>
  <si>
    <t>PV06063</t>
  </si>
  <si>
    <t>PV06063 CASQUILLO REDUCION D63-50 AQ</t>
  </si>
  <si>
    <t>PV06075</t>
  </si>
  <si>
    <t>PV06075 CASQUILLO REDUCION D75-63 AQ</t>
  </si>
  <si>
    <t>E01002</t>
  </si>
  <si>
    <t>E01002 MANGUITO DE UNION D20</t>
  </si>
  <si>
    <t>E01003</t>
  </si>
  <si>
    <t>E01003 MANGUITO DE UNION D32</t>
  </si>
  <si>
    <t>E01004</t>
  </si>
  <si>
    <t>E01004 MANGUITO DE UNION D40</t>
  </si>
  <si>
    <t>E01005</t>
  </si>
  <si>
    <t>E01005 MANGUITO DE UNION D50</t>
  </si>
  <si>
    <t>E01006</t>
  </si>
  <si>
    <t>E01006 MANGUITO DE UNION D63</t>
  </si>
  <si>
    <t>E01007</t>
  </si>
  <si>
    <t>E01007 MANGUITO DE UNION D75</t>
  </si>
  <si>
    <t>E01008</t>
  </si>
  <si>
    <t>E01008 MANGUITO DE UNION D90</t>
  </si>
  <si>
    <t>E01009</t>
  </si>
  <si>
    <t>E01009 MANGUITO DE UNION D110</t>
  </si>
  <si>
    <t>E01011</t>
  </si>
  <si>
    <t>E01011 MANGUITO DE UNION D140</t>
  </si>
  <si>
    <t>E01012</t>
  </si>
  <si>
    <t>E01012 MANGUITO DE UNION D160</t>
  </si>
  <si>
    <t>E01013</t>
  </si>
  <si>
    <t>E01013 MANGUITO DE UNION D200</t>
  </si>
  <si>
    <t>E01082</t>
  </si>
  <si>
    <t>E01082 CASQUILLO REDUCCION D25-20</t>
  </si>
  <si>
    <t>E01083</t>
  </si>
  <si>
    <t>E01083 CASQUILLO REDUCCION D32-25</t>
  </si>
  <si>
    <t>E01084</t>
  </si>
  <si>
    <t>E01084 CASQUILLO REDUCCION D50-40</t>
  </si>
  <si>
    <t>E01088</t>
  </si>
  <si>
    <t>E01088 CASQUILLO REDUCCION D63-50</t>
  </si>
  <si>
    <t>E01090</t>
  </si>
  <si>
    <t>E01090 CASQUILLO REDUCCION D75-63</t>
  </si>
  <si>
    <t>E01093</t>
  </si>
  <si>
    <t>E01093 CASQUILLO REDUCCION D90-75</t>
  </si>
  <si>
    <t>E01095</t>
  </si>
  <si>
    <t>E01095 CASQUILLO REDUCCION D160-110</t>
  </si>
  <si>
    <t>E01096</t>
  </si>
  <si>
    <t>E01096 CASQUILLO REDUCCION D110-90</t>
  </si>
  <si>
    <t>E01176</t>
  </si>
  <si>
    <t>E01176 TAPON ENCOLAR D25</t>
  </si>
  <si>
    <t>E01177</t>
  </si>
  <si>
    <t>E01177 TAPON ENCOLAR D40</t>
  </si>
  <si>
    <t>E01178</t>
  </si>
  <si>
    <t>E01178 TAPON ENCOLAR D50</t>
  </si>
  <si>
    <t>E01179</t>
  </si>
  <si>
    <t>E01179 TAPON ENCOLAR D63</t>
  </si>
  <si>
    <t>E01180</t>
  </si>
  <si>
    <t>E01180 TAPON ENCOLAR D75</t>
  </si>
  <si>
    <t>E01181</t>
  </si>
  <si>
    <t>E01181 TAPON ENCOLAR D90</t>
  </si>
  <si>
    <t>E01182</t>
  </si>
  <si>
    <t>E01182 TAPON ENCOLAR D110</t>
  </si>
  <si>
    <t>E01184</t>
  </si>
  <si>
    <t>E01184 TAPON ENCOLAR D140</t>
  </si>
  <si>
    <t>E01185</t>
  </si>
  <si>
    <t>E01185 TAPON ENCOLAR D160</t>
  </si>
  <si>
    <t>E01186</t>
  </si>
  <si>
    <t>E01186 TAPON ENCOLAR D200</t>
  </si>
  <si>
    <t>E01201</t>
  </si>
  <si>
    <t>E01201 CODO 45 ENCOLAR D32</t>
  </si>
  <si>
    <t>E01202</t>
  </si>
  <si>
    <t>E01202 CODO 45 ENCOLAR D40</t>
  </si>
  <si>
    <t>E01203</t>
  </si>
  <si>
    <t>E01203 CODO 45 ENCOLAR D50</t>
  </si>
  <si>
    <t>E01205</t>
  </si>
  <si>
    <t>E01205 CODO 45 ENCOLAR D75</t>
  </si>
  <si>
    <t>E01206</t>
  </si>
  <si>
    <t>E01206 CODO 45 ENCOLAR D140</t>
  </si>
  <si>
    <t>E01207</t>
  </si>
  <si>
    <t>E01207 CODO 45 ENCOLAR D110</t>
  </si>
  <si>
    <t>E01210</t>
  </si>
  <si>
    <t>E01210 CODO 45 ENCOLAR D160</t>
  </si>
  <si>
    <t>E01211</t>
  </si>
  <si>
    <t>E01211 CODO 45 ENCOLAR D200</t>
  </si>
  <si>
    <t>E01212</t>
  </si>
  <si>
    <t>E01212 CODO 90 ENCOLAR D20</t>
  </si>
  <si>
    <t>E01213</t>
  </si>
  <si>
    <t>E01213 CODO 90 ENCOLAR D25</t>
  </si>
  <si>
    <t>E01214</t>
  </si>
  <si>
    <t>E01214 CODO 90 ENCOLAR D32</t>
  </si>
  <si>
    <t>E01215</t>
  </si>
  <si>
    <t>E01215 CODO 90 ENCOLAR D40</t>
  </si>
  <si>
    <t>E01216</t>
  </si>
  <si>
    <t>E01216 CODO 90 ENCOLAR D50</t>
  </si>
  <si>
    <t>E01217</t>
  </si>
  <si>
    <t>E01217 CODO 90 ENCOLAR D63</t>
  </si>
  <si>
    <t>E01222</t>
  </si>
  <si>
    <t>E01222 CODO 90 ENCOLAR D140</t>
  </si>
  <si>
    <t>E01223</t>
  </si>
  <si>
    <t>E01223 CODO 90 ENCOLAR D160</t>
  </si>
  <si>
    <t>E01224</t>
  </si>
  <si>
    <t>E01224 CODO 90 ENCOLAR D200</t>
  </si>
  <si>
    <t>E01262</t>
  </si>
  <si>
    <t>E01262 TE ENCOLAR D20</t>
  </si>
  <si>
    <t>E01263</t>
  </si>
  <si>
    <t>E01263 TE ENCOLAR D25</t>
  </si>
  <si>
    <t>E01264</t>
  </si>
  <si>
    <t>E01264 TE ENCOLAR D32</t>
  </si>
  <si>
    <t>E01265</t>
  </si>
  <si>
    <t>E01265 TE ENCOLAR D40</t>
  </si>
  <si>
    <t>E01266</t>
  </si>
  <si>
    <t>E01266 TE ENCOLAR D50</t>
  </si>
  <si>
    <t>E01267</t>
  </si>
  <si>
    <t>E01267 TE ENCOLAR D63</t>
  </si>
  <si>
    <t>E01268</t>
  </si>
  <si>
    <t>E01268 TE ENCOLAR D75</t>
  </si>
  <si>
    <t>E01269</t>
  </si>
  <si>
    <t>E01269 TE ENCOLAR D90</t>
  </si>
  <si>
    <t>E01270</t>
  </si>
  <si>
    <t>E01270 TE ENCOLAR D110</t>
  </si>
  <si>
    <t>E01272</t>
  </si>
  <si>
    <t>E01272 TE ENCOLAR D140</t>
  </si>
  <si>
    <t>E01273</t>
  </si>
  <si>
    <t>E01273 TE ENCOLAR D160</t>
  </si>
  <si>
    <t>E01274</t>
  </si>
  <si>
    <t>E01274 TE ENCOLAR D200</t>
  </si>
  <si>
    <t>E02327</t>
  </si>
  <si>
    <t>E02327 UNION DOBLE ENCOLAR D20</t>
  </si>
  <si>
    <t>E02328</t>
  </si>
  <si>
    <t>E02328 UNION DOBLE ENCOLAR D25</t>
  </si>
  <si>
    <t>E02329</t>
  </si>
  <si>
    <t>E02329 UNION DOBLE ENCOLAR D32</t>
  </si>
  <si>
    <t>E02330</t>
  </si>
  <si>
    <t>E02330 UNION DOBLE ENCOLAR D40</t>
  </si>
  <si>
    <t>E02331</t>
  </si>
  <si>
    <t>E02331 UNION DOBLE ENCOLAR D50</t>
  </si>
  <si>
    <t>E02332</t>
  </si>
  <si>
    <t>E02332 UNION DOBLE ENCOLAR D63</t>
  </si>
  <si>
    <t>E02333</t>
  </si>
  <si>
    <t>E02333 UNION DOBLE ENCOLAR D75</t>
  </si>
  <si>
    <t>E02334</t>
  </si>
  <si>
    <t>E02334 UNION DOBLE ENCOLAR D90</t>
  </si>
  <si>
    <t>E02335</t>
  </si>
  <si>
    <t>E02335 UNION DOBLE ENCOLAR D110</t>
  </si>
  <si>
    <t>E05003</t>
  </si>
  <si>
    <t>E05003 MANGUITO UNION ROSCADO D1 1/2"</t>
  </si>
  <si>
    <t>E05005</t>
  </si>
  <si>
    <t>E05005 MANGUITO UNION ROSCADO D2"</t>
  </si>
  <si>
    <t>E05007</t>
  </si>
  <si>
    <t>E05007 MANGUITO UNION ROSCADO D3"</t>
  </si>
  <si>
    <t>E05009</t>
  </si>
  <si>
    <t>E05009 MANGUITO UNION ROSCADO D4"</t>
  </si>
  <si>
    <t>E05010</t>
  </si>
  <si>
    <t>E05010 CODO 90 ROSCADO H D1"</t>
  </si>
  <si>
    <t>E05011</t>
  </si>
  <si>
    <t>E05011 CODO 90 ROSCADO H D1/2"</t>
  </si>
  <si>
    <t>E05012</t>
  </si>
  <si>
    <t>E05012 CODO 90 ROSCADO H D1 1/2"</t>
  </si>
  <si>
    <t>E05013</t>
  </si>
  <si>
    <t>E05013 CODO 90 ROSCADO H D1 1/4"</t>
  </si>
  <si>
    <t>E05014</t>
  </si>
  <si>
    <t>E05014 CODO 90 ROSCADO H D2"</t>
  </si>
  <si>
    <t>E05016</t>
  </si>
  <si>
    <t>E05016 CODO 90 ROSCADO H D3"</t>
  </si>
  <si>
    <t>E05017</t>
  </si>
  <si>
    <t>E05017 CODO 90 ROSCADO H D3/4"</t>
  </si>
  <si>
    <t>E05018</t>
  </si>
  <si>
    <t>E05018 CODO 90 ROSCADO H D4"</t>
  </si>
  <si>
    <t>E05035</t>
  </si>
  <si>
    <t>E05035  TAPON MACHO ROSCADO D2"</t>
  </si>
  <si>
    <t>E05053</t>
  </si>
  <si>
    <t>E05053 BUJE RED. ROSCADO MH D1"X 1/2"</t>
  </si>
  <si>
    <t>E05054</t>
  </si>
  <si>
    <t>E05054 BUJE RED. ROSCADO MH D1"X 3/4"</t>
  </si>
  <si>
    <t>E05055</t>
  </si>
  <si>
    <t>E05055 BUJE RED. ROSCADO MH D1 1/2"X 1"</t>
  </si>
  <si>
    <t>E05056</t>
  </si>
  <si>
    <t>E05056 BUJE RED. ROSCADO MH D1 1/2"X 1 1/4"</t>
  </si>
  <si>
    <t>E05060</t>
  </si>
  <si>
    <t>E05060 BUJE RED. ROSCADO MH D2"X 1"</t>
  </si>
  <si>
    <t>E05061</t>
  </si>
  <si>
    <t>E05061 BUJE RED. ROSCADO MH D2"X 1 1/2"</t>
  </si>
  <si>
    <t>E05065</t>
  </si>
  <si>
    <t>E05065 BUJE RED. ROSCADO MH D3/4"X 1/2"</t>
  </si>
  <si>
    <t>E05071</t>
  </si>
  <si>
    <t>E05071 TE ROSCADA D1"</t>
  </si>
  <si>
    <t>E05074</t>
  </si>
  <si>
    <t>E05074 TE ROSCADA D1 1/4"</t>
  </si>
  <si>
    <t>E05077</t>
  </si>
  <si>
    <t>E05077 TE ROSCADA D3"</t>
  </si>
  <si>
    <t>E05078</t>
  </si>
  <si>
    <t>E05078 TE MIXTA 90 X 3" RH</t>
  </si>
  <si>
    <t>E05079</t>
  </si>
  <si>
    <t>E05079 TE ROSCADA D4"</t>
  </si>
  <si>
    <t>E07020</t>
  </si>
  <si>
    <t>E07020 MANGUITO MACHO D20X1/2"</t>
  </si>
  <si>
    <t>E07025</t>
  </si>
  <si>
    <t>E07025 MANGUITO MACHO D25X3/4"</t>
  </si>
  <si>
    <t>E07032</t>
  </si>
  <si>
    <t>E07032 MANGUITO MACHO D32X1"</t>
  </si>
  <si>
    <t>E07040</t>
  </si>
  <si>
    <t>E07040 MANGUITO MACHO D40X1 1/4"</t>
  </si>
  <si>
    <t>E07050</t>
  </si>
  <si>
    <t>E07050 MANGUITO MACHO D50X1 1/2"</t>
  </si>
  <si>
    <t>E07063</t>
  </si>
  <si>
    <t>E07063 MANGUITO MACHO D63X2"</t>
  </si>
  <si>
    <t>E07075</t>
  </si>
  <si>
    <t>E07075 MANGUITO MACHO D75X/2 1/2"</t>
  </si>
  <si>
    <t>E07090</t>
  </si>
  <si>
    <t>E07090 MANGUITO MACHO D90X3"</t>
  </si>
  <si>
    <t>E07110</t>
  </si>
  <si>
    <t>E07110 MANGUITO MACHO D110X4"</t>
  </si>
  <si>
    <t>E08020</t>
  </si>
  <si>
    <t>E08020 MANGUITO HEMBRA D20X1/2"</t>
  </si>
  <si>
    <t>E08025</t>
  </si>
  <si>
    <t>E08025 MANGUITO HEMBRA D25X3/4"</t>
  </si>
  <si>
    <t>E08032</t>
  </si>
  <si>
    <t>E08032 MANGUITO HEMBRA D32X1"</t>
  </si>
  <si>
    <t>E08040</t>
  </si>
  <si>
    <t>E08040 MANGUITO HEMBRA D40X1 1/4"</t>
  </si>
  <si>
    <t>E08050</t>
  </si>
  <si>
    <t>E08050 MANGUITO HEMBRA D50X1 1/2"</t>
  </si>
  <si>
    <t>E08063</t>
  </si>
  <si>
    <t>E08063 MANGUITO HEMBRA D63X2"</t>
  </si>
  <si>
    <t>E08075</t>
  </si>
  <si>
    <t>E08075 MANGUITO HEMBRA D75X2 1/2"</t>
  </si>
  <si>
    <t>E08090</t>
  </si>
  <si>
    <t>E08090 MANGUITO HEMBRA D90X3"</t>
  </si>
  <si>
    <t>E08110</t>
  </si>
  <si>
    <t>E08110 MANGUITO HEMBRA D110X4"</t>
  </si>
  <si>
    <t>E1200</t>
  </si>
  <si>
    <t>E01200 CODO 45 ENCOLAR D25</t>
  </si>
  <si>
    <t>E12013</t>
  </si>
  <si>
    <t>E12013 MACHO MIXTO M 110X125X3"</t>
  </si>
  <si>
    <t>E12076</t>
  </si>
  <si>
    <t>E12076 MACHO MIXTO M 25X20X3/4"</t>
  </si>
  <si>
    <t>E12079</t>
  </si>
  <si>
    <t>E12079 MACHO MIXTO M 25X32X1"</t>
  </si>
  <si>
    <t>E12082</t>
  </si>
  <si>
    <t>E12082 MACHO MIXTO M 40X32X1-1/4"</t>
  </si>
  <si>
    <t>E12083</t>
  </si>
  <si>
    <t>E12083 MACHO MIXTO M 40X32X1"</t>
  </si>
  <si>
    <t>E12085</t>
  </si>
  <si>
    <t>E12085 MACHO MIXTO M 50X40X1-1/2"</t>
  </si>
  <si>
    <t>E12086</t>
  </si>
  <si>
    <t>E12086 MACHO MIXTO M 50X40X1-1/4"</t>
  </si>
  <si>
    <t>E12087</t>
  </si>
  <si>
    <t>E12087 MACHO MIXTO M  50X40X1”</t>
  </si>
  <si>
    <t>E12088</t>
  </si>
  <si>
    <t>E12088 MACHO MIXTO M 63X50X2"</t>
  </si>
  <si>
    <t>E12089</t>
  </si>
  <si>
    <t>E12089 MACHO MIXTO M 63X50X1-1/2"</t>
  </si>
  <si>
    <t>E12092</t>
  </si>
  <si>
    <t>E12092 MACHO MIXTO M 75X63X2"</t>
  </si>
  <si>
    <t>E12094</t>
  </si>
  <si>
    <t>E12094 MACHO MIXTO M 90X75X3"</t>
  </si>
  <si>
    <t>E12096</t>
  </si>
  <si>
    <t>E12096 MACHO MIXTO M 90X75X2"</t>
  </si>
  <si>
    <t>E12098</t>
  </si>
  <si>
    <t>E12098 MACHO MIXTO M 110X90X3"</t>
  </si>
  <si>
    <t>E12103</t>
  </si>
  <si>
    <t>E12103 MACHO MIXTO M 110X125X3"</t>
  </si>
  <si>
    <t>E12104</t>
  </si>
  <si>
    <t>E12104 MACHO MIXTO M 125*110*4"</t>
  </si>
  <si>
    <t>E12113</t>
  </si>
  <si>
    <t>E12113 MACHO MIXTO M 110X125X3"</t>
  </si>
  <si>
    <t>E20001</t>
  </si>
  <si>
    <t>E20001 UNION COMPRESION 25 MM</t>
  </si>
  <si>
    <t>E20002</t>
  </si>
  <si>
    <t>E20002 UNION COMPRESION 32 MM</t>
  </si>
  <si>
    <t>E20003</t>
  </si>
  <si>
    <t>E20003 UNION COMPRESION 40 MM</t>
  </si>
  <si>
    <t>E20004</t>
  </si>
  <si>
    <t>E20004 UNION COMPRESION 50 MM</t>
  </si>
  <si>
    <t>EC01078</t>
  </si>
  <si>
    <t>EC01078 TUBERIA PVC PN16 D63 X 4,7 X 4 MTS</t>
  </si>
  <si>
    <t>EC01081</t>
  </si>
  <si>
    <t>EC01081 TUBERIA PVC PN16 D32 X 2,4 X 5 MTS</t>
  </si>
  <si>
    <t>EC01082</t>
  </si>
  <si>
    <t>EC01082 TUBERIA PVC PN10 D40 X 2,0 X 5 MTS</t>
  </si>
  <si>
    <t>EC01083</t>
  </si>
  <si>
    <t>EC01083 TUBERIA PVC PN10 D50 X 2.4 X 5 MTS</t>
  </si>
  <si>
    <t>EC01084</t>
  </si>
  <si>
    <t>EC01084 TUBERIA PVC PN10 D63 X 3,0 X 5 MTS</t>
  </si>
  <si>
    <t>PZ01025</t>
  </si>
  <si>
    <t>PZ01025 MANGUITO UNION D25</t>
  </si>
  <si>
    <t>PZ02020</t>
  </si>
  <si>
    <t>PZ02020 TAPON D20</t>
  </si>
  <si>
    <t>PZ05075</t>
  </si>
  <si>
    <t>PZ05075 CODO 90º D75</t>
  </si>
  <si>
    <t>PZ05090</t>
  </si>
  <si>
    <t>PZ05090 CODO 90º D90</t>
  </si>
  <si>
    <t>PZ05110</t>
  </si>
  <si>
    <t>PZ05110 CODO 90º D110</t>
  </si>
  <si>
    <t>PZ06020</t>
  </si>
  <si>
    <t>PZ06020 CODO 45º D20</t>
  </si>
  <si>
    <t>PZ06090</t>
  </si>
  <si>
    <t>PZ06090 CODO 45º D90</t>
  </si>
  <si>
    <t>V00656</t>
  </si>
  <si>
    <t>V00656 VALVULA BOLA SIMPLE UNION D20</t>
  </si>
  <si>
    <t>V00657</t>
  </si>
  <si>
    <t>V00657 VALVULA BOLA SIMPLE UNION D25</t>
  </si>
  <si>
    <t>V00658</t>
  </si>
  <si>
    <t>V00658 VALVULA BOLA SIMPLE UNION D32</t>
  </si>
  <si>
    <t>V00659</t>
  </si>
  <si>
    <t>V00659 VALVULA BOLA SIMPLE UNION D40</t>
  </si>
  <si>
    <t>V00660</t>
  </si>
  <si>
    <t>V00660 VALVULA BOLA SIMPLE UNION D50</t>
  </si>
  <si>
    <t>V00661</t>
  </si>
  <si>
    <t>V00661 VALVULA BOLA SIMPLE UNION D63</t>
  </si>
  <si>
    <t>V00662</t>
  </si>
  <si>
    <t>V00662 VALVULA BOLA SIMPLE UNION D75</t>
  </si>
  <si>
    <t>V00663</t>
  </si>
  <si>
    <t>V00663 VALVULA BOLA SIMPLE UNION D90</t>
  </si>
  <si>
    <t>V00664</t>
  </si>
  <si>
    <t>V00664 VALVULA BOLA SIMPLE UNION D110</t>
  </si>
  <si>
    <t>V00756</t>
  </si>
  <si>
    <t>V00756 VALVULA BOLA SIMPLE UNION D 1/2"</t>
  </si>
  <si>
    <t>V00757</t>
  </si>
  <si>
    <t>V00757 VALVULA BOLA SIMPLE UNION D 3/4"</t>
  </si>
  <si>
    <t>V00758</t>
  </si>
  <si>
    <t>V00758 VALVULA BOLA SIMPLE UNION D 1"</t>
  </si>
  <si>
    <t>V00759</t>
  </si>
  <si>
    <t>V00759 VALVULA BOLA SIMPLE UNION D 1 1/4"</t>
  </si>
  <si>
    <t>V00760</t>
  </si>
  <si>
    <t>V00760 VALVULA BOLA SIMPLE UNION D 1 1/2"</t>
  </si>
  <si>
    <t>V00761</t>
  </si>
  <si>
    <t>V00761 VALVULA BOLA SIMPLE UNION D 2"</t>
  </si>
  <si>
    <t>V00762</t>
  </si>
  <si>
    <t>V00762 VALVULA BOLA SIMPLE UNION D 2 1/2"</t>
  </si>
  <si>
    <t>V00763</t>
  </si>
  <si>
    <t>V00763 VALVULA BOLA SIMPLE UNION D 3"</t>
  </si>
  <si>
    <t>V00764</t>
  </si>
  <si>
    <t>V00764 VALVULA BOLA SIMPLE UNION D 4"</t>
  </si>
  <si>
    <t>V00861</t>
  </si>
  <si>
    <t>V00861 VALVULA MARIPOSA D 63X2"</t>
  </si>
  <si>
    <t>V00862</t>
  </si>
  <si>
    <t>V00862 VALVULA MARIPOSA D 75X2 1/2"</t>
  </si>
  <si>
    <t>V00863</t>
  </si>
  <si>
    <t>V00863 VALVULA MARIPOSA D 90X3"</t>
  </si>
  <si>
    <t>V00864</t>
  </si>
  <si>
    <t>V00864 VALVULA MARIPOSA D 110X4"</t>
  </si>
  <si>
    <t>V00865</t>
  </si>
  <si>
    <t>V00865 VALVULA MARIPOSA D 125X5"</t>
  </si>
  <si>
    <t>V00866</t>
  </si>
  <si>
    <t>V00866 VALVULA MARIPOSA D 140X5"</t>
  </si>
  <si>
    <t>V00867</t>
  </si>
  <si>
    <t>V00867 VALVULA MARIPOSA D 160X6"</t>
  </si>
  <si>
    <t>V00868</t>
  </si>
  <si>
    <t>V00868 VALVULA MARIPOSA D 200X8"</t>
  </si>
  <si>
    <t>V00956</t>
  </si>
  <si>
    <t>V00956 VALVULA BOLA DOBLE UNION D20</t>
  </si>
  <si>
    <t>V00957</t>
  </si>
  <si>
    <t>V00957 VALVULA BOLA DOBLE UNION D25</t>
  </si>
  <si>
    <t>V00958</t>
  </si>
  <si>
    <t>V00958 VALVULA BOLA DOBLE UNION D32</t>
  </si>
  <si>
    <t>V00959</t>
  </si>
  <si>
    <t>V00959 VALVULA BOLA DOBLE UNION D40</t>
  </si>
  <si>
    <t>V00960</t>
  </si>
  <si>
    <t>V00960 VALVULA BOLA DOBLE UNION D50</t>
  </si>
  <si>
    <t>V00961</t>
  </si>
  <si>
    <t>V00961 VALVULA BOLA DOBLE UNION D63</t>
  </si>
  <si>
    <t>V00962</t>
  </si>
  <si>
    <t>V00962 VALVULA BOLA DOBLE UNION D75</t>
  </si>
  <si>
    <t>V00963</t>
  </si>
  <si>
    <t>V00963 VALVULA BOLA DOBLE UNION D90</t>
  </si>
  <si>
    <t>V00964</t>
  </si>
  <si>
    <t>V00964 VALVULA BOLA DOBLE UNION D110</t>
  </si>
  <si>
    <t>V00965</t>
  </si>
  <si>
    <t>V00965 VALVULA BOLA DOBLE UNION D 1/2"</t>
  </si>
  <si>
    <t>V00966</t>
  </si>
  <si>
    <t>V00966 VALVULA BOLA DOBLE UNION D 3/4"</t>
  </si>
  <si>
    <t>V00967</t>
  </si>
  <si>
    <t>V00967 VALVULA BOLA DOBLE UNION D 1"</t>
  </si>
  <si>
    <t>V00968</t>
  </si>
  <si>
    <t>V00968 VALVULA BOLA DOBLE UNION D 1 1/4"</t>
  </si>
  <si>
    <t>V00969</t>
  </si>
  <si>
    <t>V00969 VALVULA BOLA DOBLE UNION D 1 1/2"</t>
  </si>
  <si>
    <t>V00970</t>
  </si>
  <si>
    <t>V00970 VALVULA BOLA DOBLE UNION D 2"</t>
  </si>
  <si>
    <t>PZ04040L</t>
  </si>
  <si>
    <t>TEE D40 LOCAL</t>
  </si>
  <si>
    <t>01607 TAPON D75</t>
  </si>
  <si>
    <t>01609 LLAVE DE CINTA</t>
  </si>
  <si>
    <t>01610 MANGUITO UNION MANGUERA D30</t>
  </si>
  <si>
    <t>01612 MANGUITO UNION MANGUERA D40</t>
  </si>
  <si>
    <t>01630 PE CONO DE FIJACION D40</t>
  </si>
  <si>
    <t>01648 PE CASQUILLO PRENSA D40</t>
  </si>
  <si>
    <t>01649 PE CASQUILLO PRENSA D50</t>
  </si>
  <si>
    <t>01658 PE JUNTA TORICA D50</t>
  </si>
  <si>
    <t>02193 TUERCA PARA ROSCAR 2 1/4"</t>
  </si>
  <si>
    <t>05351 CONJ. RACCORD 50X2"</t>
  </si>
  <si>
    <t>18606 MANGUITO "EASY" D25</t>
  </si>
  <si>
    <t>18622 ENLACE EASY ROSCA M D32 X1"</t>
  </si>
  <si>
    <t>23131 MANGUITO CONEXIÓN  PE D32</t>
  </si>
  <si>
    <t>23132 MANGUITO CONEXIÓN  PE D40</t>
  </si>
  <si>
    <t>23133 MANGUITO CONEXIÓN  PE D50</t>
  </si>
  <si>
    <t>23134 MANGUITO CONEXION  PE D63</t>
  </si>
  <si>
    <t>23135 MANGUITO CONEXIÓN  PE D75</t>
  </si>
  <si>
    <t>24634 TE 99 "STANDARD" RH 20X1/2"X20</t>
  </si>
  <si>
    <t>28407 VALVULA HIDRAULICA PVC-U ROSCAR HEMBRA D 2"</t>
  </si>
  <si>
    <t>28409 VALVULA HIDRAULICA PVC-U ROSCAR HEMBRA D 3"</t>
  </si>
  <si>
    <t>34646 MANGUITO CONEXION PE D90</t>
  </si>
  <si>
    <t>34647 MANGUITO CONEXIÓN PE D110</t>
  </si>
  <si>
    <t>059901 VALVULA 3 VIAS 1/2" T VITON</t>
  </si>
  <si>
    <t>059902 VALVULA 3 VIAS 3/4"T VITON</t>
  </si>
  <si>
    <t>059903 VALVULA 3 VIAS 1" T VITON</t>
  </si>
  <si>
    <t>059904 VALVULA 3 VIAS 1 1/4" T VITON</t>
  </si>
  <si>
    <t>059905 VALVULA 3 VIAS 1 1/2" T VITON</t>
  </si>
  <si>
    <t>059906 VALVULA 3 VIAS 2" T VITON</t>
  </si>
  <si>
    <t>059907 VALVULA 3 VIAS 1/2" T EPDM</t>
  </si>
  <si>
    <t>059908 VALVULA 3 VIAS 3/4" T EPDM</t>
  </si>
  <si>
    <t>059909 VALVULA 3 VIAS 1" T EPDM</t>
  </si>
  <si>
    <t>059910 VALVULA 3 VIAS 1 1/4" T EPDM</t>
  </si>
  <si>
    <t>059911 VALVULA 3 VIAS 1 1/2" T EPDM</t>
  </si>
  <si>
    <t>059912 VALVULA 3 VIAS 2" T EPDM</t>
  </si>
  <si>
    <t>62648 VARILLA APORTE U-PVC CIRC 3MM EL KG</t>
  </si>
  <si>
    <t>62749 VARILLA APORTE C-PVC CIRC 3MM EL KG</t>
  </si>
  <si>
    <t>63499 CODO 45º U-PVC SCH80 CEPEX PEGAR 3/4"</t>
  </si>
  <si>
    <t>162030 TUBERIA FLEXIBLE PVC 20 MM</t>
  </si>
  <si>
    <t>202530 TUBERIA FLEXIBLE PVC 25 MM</t>
  </si>
  <si>
    <t>263230 TUBERIA FLEXIBLE PVC 32 MM</t>
  </si>
  <si>
    <t>354030 TUBERIA FLEXIBLE PVC 40 MM</t>
  </si>
  <si>
    <t>435050 TUBERIA FLEXIBLE PVC 50 MM</t>
  </si>
  <si>
    <t>566330 TUBERIA FLEXIBLE PVC 63 MM</t>
  </si>
  <si>
    <t>02583R0121 COMPUERTA MAS JUNTAS EPDM D110</t>
  </si>
  <si>
    <t>70101R08050 TORNILLO M.8 X 50 DIN-933</t>
  </si>
  <si>
    <t>70220R08000 ARANDELA D.8 DIN-127 INOX.</t>
  </si>
  <si>
    <t>70221R08000 TUERCA M8 DIN-934 INOX.</t>
  </si>
  <si>
    <t>722R0090030 JUNTA TORICA ENTRADA</t>
  </si>
  <si>
    <t>723R0202035 JUNTA MANGUITO</t>
  </si>
  <si>
    <t>723R0282035 JUNTA MANGUITO</t>
  </si>
  <si>
    <t>723R0597053 JUNTA MANGUITO</t>
  </si>
  <si>
    <t>723R0599035 JUNTA TORICA 59.92 X 3.53</t>
  </si>
  <si>
    <t>723R0756053 JUNTA MANGUITO</t>
  </si>
  <si>
    <t>14014031511 BRIDA DIN PP-FRP BLACK AGRU PN 10/16 D315</t>
  </si>
  <si>
    <t>01599L</t>
  </si>
  <si>
    <t>01599L ENLACE PP RM D63 X 2 1/2</t>
  </si>
  <si>
    <t>01791L</t>
  </si>
  <si>
    <t>01791 TE PVC ENCOLAR D160</t>
  </si>
  <si>
    <t>01793L</t>
  </si>
  <si>
    <t>TE D225 LOCAL</t>
  </si>
  <si>
    <t>01940L</t>
  </si>
  <si>
    <t>01940L CASQUILLO REDUCCION D315-250 LOCAL</t>
  </si>
  <si>
    <t>01941L</t>
  </si>
  <si>
    <t>01941L CASQUILLO REDUCCION D315-225 LOCAL</t>
  </si>
  <si>
    <t>02026L</t>
  </si>
  <si>
    <t>02026L MANGUITO PORTABRIDAS D140 LOCAL</t>
  </si>
  <si>
    <t>02028L</t>
  </si>
  <si>
    <t>02028L MANGUITO PORTABRIDAS D200</t>
  </si>
  <si>
    <t>02038L</t>
  </si>
  <si>
    <t>02038L BRIDA DE 140 MM LOCAL</t>
  </si>
  <si>
    <t>02041L</t>
  </si>
  <si>
    <t>02041L BRIDA PVC (GIRATORIA) DIN D200</t>
  </si>
  <si>
    <t>02227L</t>
  </si>
  <si>
    <t>02227L BRIDA C/MANGUITO PVC D90</t>
  </si>
  <si>
    <t>17916L</t>
  </si>
  <si>
    <t>17916L MANGUITO UNION D90 COMPRESION NAC.</t>
  </si>
  <si>
    <t>17929L</t>
  </si>
  <si>
    <t>17929L PP ENLACE PERFORMANCE RM D90 X 2 1/2</t>
  </si>
  <si>
    <t>22778R0105</t>
  </si>
  <si>
    <t>22778R0105 MANGUITO VALV. UNIBLOCK D.90</t>
  </si>
  <si>
    <t>66976DL</t>
  </si>
  <si>
    <t>66976DL BRIDA UPVC DN100 CON MANGUITO SOCKET 4"</t>
  </si>
  <si>
    <t>70177116311L</t>
  </si>
  <si>
    <t>E-REDUCTOR CONCÉNTRICO 110/63 SDR 17-11</t>
  </si>
  <si>
    <t>BR105</t>
  </si>
  <si>
    <t>BRIDA METALICA 6"</t>
  </si>
  <si>
    <t>GMD25NC</t>
  </si>
  <si>
    <t>VALVULA DIAF D25 C/ACTUADOR NEUM NC</t>
  </si>
  <si>
    <t>GMP160</t>
  </si>
  <si>
    <t>VALVULA MARIPOSA METALICA LOCAL D160 EPDM/INOX</t>
  </si>
  <si>
    <t>GN331805</t>
  </si>
  <si>
    <t>VALVULA REG PRESION D3/4" C/MANOMETRO</t>
  </si>
  <si>
    <t>JP050</t>
  </si>
  <si>
    <t>TUBERIA PVC YREF D50 X 6 MTS</t>
  </si>
  <si>
    <t>JP075</t>
  </si>
  <si>
    <t>TUBERIA PVC YJSTD D75 PN6 X6 MTS</t>
  </si>
  <si>
    <t>JP090</t>
  </si>
  <si>
    <t>TUBERIA PVC YJSTD D90 PN6 X 6 MTS</t>
  </si>
  <si>
    <t>JP110</t>
  </si>
  <si>
    <t>TUBERIA PVC YJSTD D110 PN6 X 6 MTS</t>
  </si>
  <si>
    <t>JP200</t>
  </si>
  <si>
    <t>TUBERIA PVC Y JREF D200 PN10 X 6 MTS</t>
  </si>
  <si>
    <t>P010A</t>
  </si>
  <si>
    <t>ADHESIVO AR X 250CC</t>
  </si>
  <si>
    <t>P010B</t>
  </si>
  <si>
    <t>ADHESIVO AR X 500CC</t>
  </si>
  <si>
    <t>P010C</t>
  </si>
  <si>
    <t>DISOLVENTE 500CC. NACIONAL</t>
  </si>
  <si>
    <t>P011A</t>
  </si>
  <si>
    <t>ADHESIVO VISCOSIDAD MEDIA X 1000 LATA</t>
  </si>
  <si>
    <t>P011B</t>
  </si>
  <si>
    <t>ADHESIVO VISCOSIDAD MEDIA X 500 C/A</t>
  </si>
  <si>
    <t>P011C</t>
  </si>
  <si>
    <t>ADHESIVO VISCOSIDAD MEDIA X 250 C/A</t>
  </si>
  <si>
    <t>P011D</t>
  </si>
  <si>
    <t>PRIMER-SOLUCION LIMPIADORA</t>
  </si>
  <si>
    <t>P011E</t>
  </si>
  <si>
    <t>ADHESIVO U-PVC/C-PVC WELD ON 724. POTE 946CC CON APLICADOR</t>
  </si>
  <si>
    <t>P020D</t>
  </si>
  <si>
    <t>P020D TUBERIA PVC PN16 D20 X 1,5 X 5 MTS NAC.</t>
  </si>
  <si>
    <t>P025B</t>
  </si>
  <si>
    <t>P025B TUBERIA PVC PN10 D25 X 1.2X5 MTS NAC</t>
  </si>
  <si>
    <t>P025D</t>
  </si>
  <si>
    <t>P025D TUBERIA PVC PN16 D25 X 1.9 X 5 MTS NAC.</t>
  </si>
  <si>
    <t>P032B</t>
  </si>
  <si>
    <t>P032B TUBERIA PVC PN10 D32 X 1.6X5 MTS NAC</t>
  </si>
  <si>
    <t>P032D</t>
  </si>
  <si>
    <t>P032D TUBERIA PVC PN16 D32 X 2,4 X 5 MTS NAC.</t>
  </si>
  <si>
    <t>P040B</t>
  </si>
  <si>
    <t>P040B TUBERIA PVC PN10 D40 X 6MTS NACIONAL</t>
  </si>
  <si>
    <t>P040C</t>
  </si>
  <si>
    <t>P040C TUBERIA PVC PN10 D40 X 1,9 X 5 MTS NAC.</t>
  </si>
  <si>
    <t>P040D</t>
  </si>
  <si>
    <t>P040D TUBERIA PVC PN16 D40 X 3,0 X 5 MTS NAC.</t>
  </si>
  <si>
    <t>P040E</t>
  </si>
  <si>
    <t>P040E TUBERIA PVC PN6 D40 X 1.3 X 5 NAC.</t>
  </si>
  <si>
    <t>P050A</t>
  </si>
  <si>
    <t>P050A TUBERIA PVC PN10 D50 X 6MTS NACIONAL</t>
  </si>
  <si>
    <t>P050B</t>
  </si>
  <si>
    <t>P050B TUBERIA PVC PN10 D50 X 2.4 X 5 MTS NAC.</t>
  </si>
  <si>
    <t>P050D</t>
  </si>
  <si>
    <t>P050D TUBERIA PVC PN16 D50 X 3,7 X 5 MTS NAC.</t>
  </si>
  <si>
    <t>P050E</t>
  </si>
  <si>
    <t>P050E TUBERIA PVC PN6 D50 X 1,7 X 5 NAC.</t>
  </si>
  <si>
    <t>P063A</t>
  </si>
  <si>
    <t>P063A TUBERIA PVC PN10 D63 X 6MTS NACIONAL</t>
  </si>
  <si>
    <t>P063B</t>
  </si>
  <si>
    <t>P063B TUBERIA PVC PN10 D63 X 3,0 X 5 MTS NAC.</t>
  </si>
  <si>
    <t>P063D</t>
  </si>
  <si>
    <t>P063D TUBERIA PVC PN16 D63 X 4,7 X 5 MTS NAC.</t>
  </si>
  <si>
    <t>P063E</t>
  </si>
  <si>
    <t>P063E TUBERIA PVC PN6   D63 X 1,9 X 5 MTS NAC.</t>
  </si>
  <si>
    <t>P075A</t>
  </si>
  <si>
    <t>P075A TUBERIA PVC PN10 D75 X 6 MTS JUNTA ELASTICA  NAC.</t>
  </si>
  <si>
    <t>P075B</t>
  </si>
  <si>
    <t>P075B TUBERIA PVC PN10 D75 X 3.6 X 5 MTS NAC.</t>
  </si>
  <si>
    <t>P075C</t>
  </si>
  <si>
    <t>P075C TUBERIA PVC PN10 D75 X 3.5 X 6 MTS NACIONAL</t>
  </si>
  <si>
    <t>P075D</t>
  </si>
  <si>
    <t>P075D TUBERIA PVC PN16 D75 X 5.6 X 5 MTS NAC.</t>
  </si>
  <si>
    <t>P075E</t>
  </si>
  <si>
    <t>P075E TUBERIA PVC PN6 D75 X 2,2 X 5 NAC.</t>
  </si>
  <si>
    <t>P090A</t>
  </si>
  <si>
    <t>P090A TUBERIA PVC PN10 D90 X 4.2 X 6 NAC</t>
  </si>
  <si>
    <t>P090B</t>
  </si>
  <si>
    <t>P090B TUBERIA PVC PN10 D90 X 4.3 X 5 MTS NAC.</t>
  </si>
  <si>
    <t>P090C</t>
  </si>
  <si>
    <t>P090C TUBERIA PVC PN10 D90 X 6 MTS JUNTA ELASTICA  NAC</t>
  </si>
  <si>
    <t>P090D</t>
  </si>
  <si>
    <t>P090D TUBERIA PVC PN16 D90 X 6,7 X 5 MTS NAC.</t>
  </si>
  <si>
    <t>P090E</t>
  </si>
  <si>
    <t>P090E TUBERIA PVC PN6 90 X 2,7 X 6 JE NAC.</t>
  </si>
  <si>
    <t>P1032A</t>
  </si>
  <si>
    <t>ML PEAD K6 D32</t>
  </si>
  <si>
    <t>P1040A</t>
  </si>
  <si>
    <t>ML PEAD K6 D40</t>
  </si>
  <si>
    <t>P1050A</t>
  </si>
  <si>
    <t>ML PEAD K6 D50</t>
  </si>
  <si>
    <t>P1063A</t>
  </si>
  <si>
    <t>ML PEAD K6 D63</t>
  </si>
  <si>
    <t>P1075A</t>
  </si>
  <si>
    <t>ML PEAD K6 D75</t>
  </si>
  <si>
    <t>P1090A</t>
  </si>
  <si>
    <t>ML PEAD K6 D90</t>
  </si>
  <si>
    <t>P110A</t>
  </si>
  <si>
    <t>P110A TUBERIA PVC PN10 D110 X 4.2 X 6 NAC</t>
  </si>
  <si>
    <t>P110B</t>
  </si>
  <si>
    <t>P110B TUBERIA PVC PN10 D110 X 5.3 X 5 MTS NAC.</t>
  </si>
  <si>
    <t>P110C</t>
  </si>
  <si>
    <t>P110C TUBERIA PVC PN10 D110 X 5.3 X 6M JE NAC</t>
  </si>
  <si>
    <t>P110D</t>
  </si>
  <si>
    <t>P110D TUBERIA PVC PN16 D110X8.2X5 MTS. NACIONAL</t>
  </si>
  <si>
    <t>P110E</t>
  </si>
  <si>
    <t>TUBERIA PVC PN6 110 X 3.2 X 5 NAC.</t>
  </si>
  <si>
    <t>P110F</t>
  </si>
  <si>
    <t>TUBERIA PVC PN10 D110 X 5 MTS JUNTA ELASTICA NAC.</t>
  </si>
  <si>
    <t>P110G</t>
  </si>
  <si>
    <t>TUBERIA PVC PN6 D110 X 6 MTS</t>
  </si>
  <si>
    <t>P125A</t>
  </si>
  <si>
    <t>P125A TUBERIA PVC PN10 D125 X 6.0 X 6M JE NAC</t>
  </si>
  <si>
    <t>P140A</t>
  </si>
  <si>
    <t>P140A TUBERIA PVC PN10 D140 X 6.7 X 6M JE NAC</t>
  </si>
  <si>
    <t>P140B</t>
  </si>
  <si>
    <t>P140B TUBERIA PVC PN10 D140 X 6.7 X 5 IRAM NAC</t>
  </si>
  <si>
    <t>P160A</t>
  </si>
  <si>
    <t>P160A TUBERIA PVC PN10 D160 X 6.0 X 6 NAC</t>
  </si>
  <si>
    <t>P160B</t>
  </si>
  <si>
    <t>P160B TUBERIA PVC PN10 D160 X 7.7 X 5 NAC.</t>
  </si>
  <si>
    <t>P160C</t>
  </si>
  <si>
    <t>P160C TUBERIA PVC PN6 D160 X4.7 X 6 MTS NAC</t>
  </si>
  <si>
    <t>P160D</t>
  </si>
  <si>
    <t>P160D TUBERIA PVC PN10 D160 X 7.7 X 6M JE NAC</t>
  </si>
  <si>
    <t>P200A</t>
  </si>
  <si>
    <t>P200A TUBERIA PVC PN10 D200 X 7.6 X 5 NAC</t>
  </si>
  <si>
    <t>P200B</t>
  </si>
  <si>
    <t>P200B TUBERIA PVC PN6 D200 X 5,9 X 6 JE NACIONAL</t>
  </si>
  <si>
    <t>P200C</t>
  </si>
  <si>
    <t>P200C TUBERIA PVC PN10 D200 X 9.6 X 6M JE NACIONAL</t>
  </si>
  <si>
    <t>P225A</t>
  </si>
  <si>
    <t>P225A TUBERIA PVC PN10 D225 X 10.8 X 6M JE NACIONAL</t>
  </si>
  <si>
    <t>P250B</t>
  </si>
  <si>
    <t>P250B TUBERIA PVC PN10 D250 X 11.9 X 6M JE NACIONAL</t>
  </si>
  <si>
    <t>P315B</t>
  </si>
  <si>
    <t>P315B TUBERIA PVC PN 6  D315 X  9,2 X 6M JE NACIONAL</t>
  </si>
  <si>
    <t>P315C</t>
  </si>
  <si>
    <t>P315C TUBERIA PVC PN10 D315 X 15,0 X 6M JE NACIONAL</t>
  </si>
  <si>
    <t>P355A</t>
  </si>
  <si>
    <t>P355A TUBERIA PVC PN10 D355 X 16,9 X 6M JE NACIONAL</t>
  </si>
  <si>
    <t>P355E</t>
  </si>
  <si>
    <t>P355E TUBERIA PVC PN6 D355 X 10.4 X 6M JE NACIONAL</t>
  </si>
  <si>
    <t>P999Y1/75</t>
  </si>
  <si>
    <t>CUADRO EN 75 MM P/ 1 FILTRO 1050 (00545) SERVAQUA</t>
  </si>
  <si>
    <t>P999Y1/90</t>
  </si>
  <si>
    <t>CUADRO EN 90 MM P/1 FILTRO 1200 MM (00546) SERVAQUA</t>
  </si>
  <si>
    <t>P999Y2/110</t>
  </si>
  <si>
    <t>P999Y2/110 CUADRO EN 110 MM P/1 FILTRO DE 1200 MM (00546) SE</t>
  </si>
  <si>
    <t>P999Y3/110X2</t>
  </si>
  <si>
    <t>P999Y3/110X2 CUADRO EN 110 MM P/2 FILTROS DE 1200 MM (00546)</t>
  </si>
  <si>
    <t>P999Y4/75-63</t>
  </si>
  <si>
    <t>CONJUNTO CONEXION NADO 75-63</t>
  </si>
  <si>
    <t>P999Y5/90-75</t>
  </si>
  <si>
    <t>CONJUNTO CONEXION NADO 90-75</t>
  </si>
  <si>
    <t>P999Z</t>
  </si>
  <si>
    <t>BATERIA CUADRO DE VALVULAS Ø 160 P/1200  CONJUNTO HIDRAULIC</t>
  </si>
  <si>
    <t>PCTV01A</t>
  </si>
  <si>
    <t>ACTUADOR  ELEC C/ IND Y VOL GE-0 F05 25</t>
  </si>
  <si>
    <t>PCTV10A</t>
  </si>
  <si>
    <t>ACTUADOR  NEUMATICO S/E DN2"</t>
  </si>
  <si>
    <t>PCTV11A</t>
  </si>
  <si>
    <t>ACTUADOR  NEUMATICO S/E DN1 1/2"</t>
  </si>
  <si>
    <t>PCTV50A</t>
  </si>
  <si>
    <t>VALVULA SOLENOIDE PARA ACTUADOR NEUMATICO</t>
  </si>
  <si>
    <t>PJG1075A</t>
  </si>
  <si>
    <t>CURVA 90ª PVC JE TERMOFORMADO K10 D75</t>
  </si>
  <si>
    <t>PJG1090A</t>
  </si>
  <si>
    <t>PJG1090A CURVA 90º PVC JE TERMOFORMADO K10 D90</t>
  </si>
  <si>
    <t>PJG1110A</t>
  </si>
  <si>
    <t>CURVA 90º PVC JE TERMOFORMADO K10 D110</t>
  </si>
  <si>
    <t>PJG1140A</t>
  </si>
  <si>
    <t>CURVA 90º PVC JE TERMOFORMADO K10 D140</t>
  </si>
  <si>
    <t>PJG1160A</t>
  </si>
  <si>
    <t>CURVA 90º PVC JE TERMOFORMADO K10 D160</t>
  </si>
  <si>
    <t>PJG1200A</t>
  </si>
  <si>
    <t>CURVA 90º PVC JE TERMOFORMADO K10 D200</t>
  </si>
  <si>
    <t>PJG1201A</t>
  </si>
  <si>
    <t>CURVA 30º PVC JE TERMOFORMADO K10 D200</t>
  </si>
  <si>
    <t>PJG1225A</t>
  </si>
  <si>
    <t>CURVA 90º PVC JE TERMOFORMADO K10 D225</t>
  </si>
  <si>
    <t>PJG1250A</t>
  </si>
  <si>
    <t>CURVA 90º PVC JE TERMOFORMADO K10 D250</t>
  </si>
  <si>
    <t>PJG1315A</t>
  </si>
  <si>
    <t>CURVA 90º PVC JE TERMOFORMADO K10 D315</t>
  </si>
  <si>
    <t>PJG16110A</t>
  </si>
  <si>
    <t>PJG16110A TAPA PVC JE TERMOFORMADO K10 D110</t>
  </si>
  <si>
    <t>PJG2075A</t>
  </si>
  <si>
    <t>PJG2075A CURVA 45º PVC JE TERMOFORMADO K10 D75</t>
  </si>
  <si>
    <t>PJG2090A</t>
  </si>
  <si>
    <t>PJG2090A CURVA 45º PVC JE TERMOFORMADO K10 D90</t>
  </si>
  <si>
    <t>PJG2110A</t>
  </si>
  <si>
    <t>PJG2110A CURVA 45º PVC JE TERMOFORMADO K10 D110</t>
  </si>
  <si>
    <t>PJG2160A</t>
  </si>
  <si>
    <t>CURVA 45º PVC JE TERMOFORMADO K10 D160</t>
  </si>
  <si>
    <t>PJG2200A</t>
  </si>
  <si>
    <t>CURVA 45º PVC JE TERMOFORMADO K10 D200</t>
  </si>
  <si>
    <t>PJG2315A</t>
  </si>
  <si>
    <t>CURVA 45º PVC JE TERMOFORMADO K10 D315</t>
  </si>
  <si>
    <t>PJG28355A</t>
  </si>
  <si>
    <t>PJG28355A BRIDA DE PUNTA PVC DE 355 JE TERMOFORMADO K10</t>
  </si>
  <si>
    <t>PJG3160A</t>
  </si>
  <si>
    <t>TAPA D160 PVC JE K10 TERMOFORMADO PARA AGUA</t>
  </si>
  <si>
    <t>PJG3250A</t>
  </si>
  <si>
    <t>TAPA D250 PVC JE K10 TERMOFORMADO PARA AGUA</t>
  </si>
  <si>
    <t>PJG3315A</t>
  </si>
  <si>
    <t>TAPA D315 PVC JE K10 TERMOFORMADO PARA AGUA</t>
  </si>
  <si>
    <t>PJG3355A</t>
  </si>
  <si>
    <t>PJG3355A TAPA D355 PVC JE K10 TERMOFORMADO PARA AGUA</t>
  </si>
  <si>
    <t>PJG4250A</t>
  </si>
  <si>
    <t>TE D250 PVC JE K10 TERMOFORMADO PARA AGUA</t>
  </si>
  <si>
    <t>PJG5063A</t>
  </si>
  <si>
    <t>MANGUITO UNION PVC JE TERMOFORMADO K10 D63</t>
  </si>
  <si>
    <t>PJG5075A</t>
  </si>
  <si>
    <t>MANGUITO UNION PVC JE TERMOFORMADO K10 D75</t>
  </si>
  <si>
    <t>PJG5090A</t>
  </si>
  <si>
    <t>MANGUITO UNION PVC JE TERMOFORMADO K10 D90</t>
  </si>
  <si>
    <t>PJG5110A</t>
  </si>
  <si>
    <t>MANGUITO UNION PVC JE TERMOFORMADO K10 D110</t>
  </si>
  <si>
    <t>PJG5140A</t>
  </si>
  <si>
    <t>MANGUITO UNION PVC JE TERMOFORMADO K10 D140</t>
  </si>
  <si>
    <t>PJG5160A</t>
  </si>
  <si>
    <t>MANGUITO UNION PVC JE TERMOFORMADO K10 D160</t>
  </si>
  <si>
    <t>PJG5200A</t>
  </si>
  <si>
    <t>MANGUITO UNION PVC JE TERMOFORMADO K10 D200</t>
  </si>
  <si>
    <t>PJG5250A</t>
  </si>
  <si>
    <t>MANGUITO UNION PVC JE TERMOFORMADO K10 D250</t>
  </si>
  <si>
    <t>PJG5315A</t>
  </si>
  <si>
    <t>MANGUITO UNION PVC JE TERMOFORMADO K10 D315</t>
  </si>
  <si>
    <t>PJG6075A</t>
  </si>
  <si>
    <t>PJG6075A TAPA PVC JE TERMOFORMADO K10 D75</t>
  </si>
  <si>
    <t>PJG6090A</t>
  </si>
  <si>
    <t>PJG6090A TAPA PVC JE TERMOFORMADO K10 D90</t>
  </si>
  <si>
    <t>PJG61163A</t>
  </si>
  <si>
    <t>PJG61163A REDUCCION PVC JE TERMOFORMADO K10 D110-63</t>
  </si>
  <si>
    <t>PJG61175A</t>
  </si>
  <si>
    <t>PJG61175A REDUCCION PVC JE TERMOFORMADO K10 D110-75</t>
  </si>
  <si>
    <t>PJG61190A</t>
  </si>
  <si>
    <t>PJG61190A REDUCCION PVC JE TERMOFORMADO K10 D110-90</t>
  </si>
  <si>
    <t>PJG6141A</t>
  </si>
  <si>
    <t>REDUCCION PVC JE TERMOFORMADO K10 D140-110</t>
  </si>
  <si>
    <t>PJG6141B</t>
  </si>
  <si>
    <t>REDUCCION INVERSA PVC JE TERMOFORMADO K10 D140-110</t>
  </si>
  <si>
    <t>PJG6164A</t>
  </si>
  <si>
    <t>REDUCCION PVC JE TERMOFORMADO K10 D160-140</t>
  </si>
  <si>
    <t>PJG6164B</t>
  </si>
  <si>
    <t>REDUCCION INVERSA PVC JE TERMOFORMADO K10 D160-140</t>
  </si>
  <si>
    <t>PJG6216A</t>
  </si>
  <si>
    <t>CUPLA REDUCCION PVC JE TERMOFORMADA K10 D200-160</t>
  </si>
  <si>
    <t>PJG6216B</t>
  </si>
  <si>
    <t>REDUCCION PVC JE TERMOFORMADO K10 D200-160</t>
  </si>
  <si>
    <t>PJG6222A</t>
  </si>
  <si>
    <t>REDUCCION PVC JE TERMOFORMADO K10 D225-200</t>
  </si>
  <si>
    <t>PJG6252B</t>
  </si>
  <si>
    <t>REDUCCION PVC JE TERMOFORMADO K10 D250-200</t>
  </si>
  <si>
    <t>PJG67563B</t>
  </si>
  <si>
    <t>REDUCCION INVERSA PVC JE TERMOFORMADO K10 D75-63</t>
  </si>
  <si>
    <t>PJG69075A</t>
  </si>
  <si>
    <t>PJG69075A REDUCCION PVC JE TERMOFORMADO K10 D90-75</t>
  </si>
  <si>
    <t>PJG69110B</t>
  </si>
  <si>
    <t>PJG69110B REDUCCION PVC JE TERMOFORMADO K10 D90-110</t>
  </si>
  <si>
    <t>PJG8075A</t>
  </si>
  <si>
    <t>PJG8075A TEE PVC JE TERMOFORMADO K10 D75</t>
  </si>
  <si>
    <t>PJG8090A</t>
  </si>
  <si>
    <t>PJG8090A TEE PVC JE TERMOFORMADO K10 D90</t>
  </si>
  <si>
    <t>PJG8110A</t>
  </si>
  <si>
    <t>PJG8110A TEE PVC JE TERMOFORMADO K10 D110</t>
  </si>
  <si>
    <t>PJG8140A</t>
  </si>
  <si>
    <t>PJG8140A TEE PVC JE TERMOFORMADO K10 D140</t>
  </si>
  <si>
    <t>PJG8230A</t>
  </si>
  <si>
    <t>PJG8230A TRANSICION FC 230 PVC 200 JG</t>
  </si>
  <si>
    <t>PJG89075A</t>
  </si>
  <si>
    <t>PJG89075A  TEE RED. PVC JE TERMOFORMADO K10 D90-75</t>
  </si>
  <si>
    <t>PJP1063A</t>
  </si>
  <si>
    <t>PJP1063A CURVA 90º PVC JP TERMOFORMADO K10 D63</t>
  </si>
  <si>
    <t>PJP1075A</t>
  </si>
  <si>
    <t>PJP1075A CURVA 90º PVC JP TERMOFORMADO K10 D75</t>
  </si>
  <si>
    <t>PJP1090A</t>
  </si>
  <si>
    <t>PJP1090A CURVA 90º PVC JP TERMOFORMADO K10 D90</t>
  </si>
  <si>
    <t>PJP1110A</t>
  </si>
  <si>
    <t>PJP1110A CURVA 90º PVC JP TERMOFORMADO K10 D110</t>
  </si>
  <si>
    <t>PJP1140A</t>
  </si>
  <si>
    <t>PJP1140A CURVA 90º PVC JP TERMOFORMADO K10 D140</t>
  </si>
  <si>
    <t>PJP1160A</t>
  </si>
  <si>
    <t>PJP1160A CURVA 90º PVC JP TERMOFORMADO K10 D160</t>
  </si>
  <si>
    <t>PJP1200A</t>
  </si>
  <si>
    <t>PJP1200A CURVA 90º PVC JP TERMOFORMADO K10 D200</t>
  </si>
  <si>
    <t>PJP1250A</t>
  </si>
  <si>
    <t>PJP1250A CURVA 90º PVC JP TERMOFORMADO K10 D250</t>
  </si>
  <si>
    <t>PJP1355A</t>
  </si>
  <si>
    <t>PJP1355A CURVA 90 PVC 355 TERMOFORMADO K10 D355</t>
  </si>
  <si>
    <t>PJP2050A</t>
  </si>
  <si>
    <t>PJP2050A CURVA 45º PVC JP TERMOFORMADO K10 D50</t>
  </si>
  <si>
    <t>PJP2063A</t>
  </si>
  <si>
    <t>PJP2063A CURVA 45º PVC JP TERMOFORMADO K10 D63</t>
  </si>
  <si>
    <t>PJP2110A</t>
  </si>
  <si>
    <t>PJP2110A CURVA 45º PVC JP TERMOFORMADO K10 D110</t>
  </si>
  <si>
    <t>PJP2140A</t>
  </si>
  <si>
    <t>PJP2140A CURVA 45º PVC JP TERMOFORMADO K10 D140</t>
  </si>
  <si>
    <t>PJP2160A</t>
  </si>
  <si>
    <t>PJP2160A CURVA 45º PVC JP TERMOFORMADO K10 D160</t>
  </si>
  <si>
    <t>PJP2250A</t>
  </si>
  <si>
    <t>PJP2250A CURVA 45º PVC JP TERMOFORMADO K10 D250</t>
  </si>
  <si>
    <t>PJP3315A</t>
  </si>
  <si>
    <t>TAPA D315 PVC JP K10 TERMOFORMADO PARA AGUA</t>
  </si>
  <si>
    <t>PJP5140A</t>
  </si>
  <si>
    <t>MANGUITO UNION PVC JP TERMOFORMADO K10 D140</t>
  </si>
  <si>
    <t>PJP5315A</t>
  </si>
  <si>
    <t>MANGUITO UNION PVC JP TERMOFORMADO K10 D315</t>
  </si>
  <si>
    <t>PJP6355315A</t>
  </si>
  <si>
    <t>PJP6355315A REDUCCION PVC TERMOFORMADA K10 D355-315</t>
  </si>
  <si>
    <t>PJP7160A</t>
  </si>
  <si>
    <t>MANGUITO CON ROSCA MACHO D160X6" TERMOFORMADO K10</t>
  </si>
  <si>
    <t>PJP8125A</t>
  </si>
  <si>
    <t>CRUZ PVC JP TERMOFORMADO K10 D125</t>
  </si>
  <si>
    <t>PJP8140A</t>
  </si>
  <si>
    <t>CRUZ PVC JP TERMOFORMADO K10 D140</t>
  </si>
  <si>
    <t>PM01160B</t>
  </si>
  <si>
    <t>PM01160B VALVULA MARIPOSA D160 DISCO Aº1º P/ ACTUAR</t>
  </si>
  <si>
    <t>PM01160Z</t>
  </si>
  <si>
    <t>PM01160Z VOLANTE REDUCTOR P/ MARIPOSA D160</t>
  </si>
  <si>
    <t>PN10 D110</t>
  </si>
  <si>
    <t>ML TUBERIA NACIONAL PN10 D110</t>
  </si>
  <si>
    <t>PN10 D140</t>
  </si>
  <si>
    <t>ML TUBERIA NACIONAL PN10 D140</t>
  </si>
  <si>
    <t>PN10 D20</t>
  </si>
  <si>
    <t>ML TUBERIA NACIONAL PN10 D20</t>
  </si>
  <si>
    <t>PN10 D25</t>
  </si>
  <si>
    <t>ML TUBERIA NACIONAL PN10 D25</t>
  </si>
  <si>
    <t>PN10 D250</t>
  </si>
  <si>
    <t>ML TUBERIA NACIONAL PN10 D250</t>
  </si>
  <si>
    <t>PN10 D32</t>
  </si>
  <si>
    <t>ML TUBERIA NACIONAL PN10 D32</t>
  </si>
  <si>
    <t>PN10 D40</t>
  </si>
  <si>
    <t>ML TUBERIA NACIONAL PN10 D40</t>
  </si>
  <si>
    <t>PN10 D50</t>
  </si>
  <si>
    <t>ML TUBERIA NACIONAL PN10 D50</t>
  </si>
  <si>
    <t>PN10 D63</t>
  </si>
  <si>
    <t>ML TUBERIA NACIONAL PN10 D63</t>
  </si>
  <si>
    <t>PN10 D75</t>
  </si>
  <si>
    <t>ML TUBERIA NACIONAL PN10 D75</t>
  </si>
  <si>
    <t>PN10 D90</t>
  </si>
  <si>
    <t>ML TUBERIA NACIONAL PN10 D90</t>
  </si>
  <si>
    <t>PN16 D110</t>
  </si>
  <si>
    <t>ML TUBERIA NACIONAL PN16 D110</t>
  </si>
  <si>
    <t>PN16 D140</t>
  </si>
  <si>
    <t>ML TUBERIA NACIONAL PN16 D140</t>
  </si>
  <si>
    <t>PN16 D160</t>
  </si>
  <si>
    <t>ML TUBERIA NACIONAL PN16 D160</t>
  </si>
  <si>
    <t>PN16 D2</t>
  </si>
  <si>
    <t>ML TUBERIA NACIONAL PN16 D20</t>
  </si>
  <si>
    <t>PN16 D25</t>
  </si>
  <si>
    <t>ML TUBERIA NACIONAL PN16 D25</t>
  </si>
  <si>
    <t>PN16 D32</t>
  </si>
  <si>
    <t>ML TUBERIA NACIONAL PN16 D32</t>
  </si>
  <si>
    <t>PN16 D40</t>
  </si>
  <si>
    <t>ML TUBERIA NACIONAL PN16 D40</t>
  </si>
  <si>
    <t>PN16 D50</t>
  </si>
  <si>
    <t>ML TUBERIA NACIONAL PN16 D50</t>
  </si>
  <si>
    <t>PN16 D63</t>
  </si>
  <si>
    <t>ML TUBERIA NACIONAL PN16 D63</t>
  </si>
  <si>
    <t>PN6 D110</t>
  </si>
  <si>
    <t>ML TUBERIA NACIONAL PN6 D110</t>
  </si>
  <si>
    <t>PN6 D40</t>
  </si>
  <si>
    <t>ML TUBERIA NACIONAL PN6 D40</t>
  </si>
  <si>
    <t>PN6 D50</t>
  </si>
  <si>
    <t>ML TUBERIA NACIONAL PN6 D50</t>
  </si>
  <si>
    <t>PN6 D75</t>
  </si>
  <si>
    <t>ML TUBERIA NACIONAL PN6 D75</t>
  </si>
  <si>
    <t>PZ01040L</t>
  </si>
  <si>
    <t>PZ01040L MANGUITO UNION D40 LOCAL</t>
  </si>
  <si>
    <t>RIEGO</t>
  </si>
  <si>
    <t>INYECTOR DE FERTILIZANTE TIPO VENTURI</t>
  </si>
  <si>
    <t>INYECT DE FERTILIZANTE VENTURI CON REGULADOR Y CAUDALIMETRO</t>
  </si>
  <si>
    <t>03R70000</t>
  </si>
  <si>
    <t>GOTERO REGULABLE 0-70 L/H</t>
  </si>
  <si>
    <t>17A23CUERPOC</t>
  </si>
  <si>
    <t>17A23CUERPOCH AZUD CUERPO FILTRO CHICO 2" CIERRE METALICO</t>
  </si>
  <si>
    <t>17A23CUERPOGRD</t>
  </si>
  <si>
    <t>17A23CUERPOGRD AZUD CUERPO FILTRO GRANDE 2" CIERRE MET</t>
  </si>
  <si>
    <t>17A2NRH6</t>
  </si>
  <si>
    <t>17A2NRH6 FILTRO DE ANILLA HELIX 2'' 130 MIC</t>
  </si>
  <si>
    <t>17A2NRM6</t>
  </si>
  <si>
    <t>17A2NRM6 FILTRO DE MALLA 2'' 130 MIC</t>
  </si>
  <si>
    <t>17A2SRH6</t>
  </si>
  <si>
    <t>17A2SRH6 FILTRO DE ANILLA HELIX SUPER 2'' 130 MIC</t>
  </si>
  <si>
    <t>17A2SRM6</t>
  </si>
  <si>
    <t>17A2SRM6 FILTRO DE MALLA SUPER 2'' 130 MIC</t>
  </si>
  <si>
    <t>17A3CRH6</t>
  </si>
  <si>
    <t>17A3CRH6 FILTRO DE ANILLA HELIX 3'' COMPACTA 130 MIC</t>
  </si>
  <si>
    <t>17A3CRM6</t>
  </si>
  <si>
    <t>17A3CRM6 FILTRO DE MALLA 3'' COMPACTA 130 MIC</t>
  </si>
  <si>
    <t>17A3NRH6</t>
  </si>
  <si>
    <t>17A3NRH6 FILTRO DE ANILLA HELIX 3'' 130 MIC</t>
  </si>
  <si>
    <t>17A3NRM6</t>
  </si>
  <si>
    <t>17A3NRM6 FILTRO DE MALLA 3'' 130 MIC</t>
  </si>
  <si>
    <t>17AREPANILLCH</t>
  </si>
  <si>
    <t>17AREPANILLCH  AZUD ANILLA HELIX REP CHICO</t>
  </si>
  <si>
    <t>17AREPANILLGRD</t>
  </si>
  <si>
    <t>17AREPANILLGRD AZUD ANILLA HELIX REP GRANDE</t>
  </si>
  <si>
    <t>17AREPMALLACH</t>
  </si>
  <si>
    <t>17AREPMALLACH AZUD MALLA REPUESTO CHICA</t>
  </si>
  <si>
    <t>17B2NRD6</t>
  </si>
  <si>
    <t>17B2NRD6 AZUD FILTRO MALLA SPIRAL CLEAN 2" 130 MIC</t>
  </si>
  <si>
    <t>17B3CUERPOGRD</t>
  </si>
  <si>
    <t>17B3CUERPOGRD AZUD CUERPO FILTRO GRANDE 3" CIERRE MET</t>
  </si>
  <si>
    <t>17B3NRD6</t>
  </si>
  <si>
    <t>17B3NRD6 AZUD FILTRO MALLA SPIRAL CLEAN 3" 130 MIC</t>
  </si>
  <si>
    <t>17C200M6</t>
  </si>
  <si>
    <t>17C200M6 AZUD CARTUCHO MALLA REPUESTO 2" 130 MIC</t>
  </si>
  <si>
    <t>17C20A03</t>
  </si>
  <si>
    <t>ACOPLE PARA UNION VICTAULICA 2"</t>
  </si>
  <si>
    <t>17C2R0H6</t>
  </si>
  <si>
    <t>17C2R0H6 AZUD CARTUCHO ANILLA REPUESTO 2" 130 MIC</t>
  </si>
  <si>
    <t>17C300M0</t>
  </si>
  <si>
    <t>17C300M0 AZUD CARTUCHO MALLA REPUESTO 3" 200 MIC</t>
  </si>
  <si>
    <t>17C300M6</t>
  </si>
  <si>
    <t>17C300M6 AZUD CARTUCHO MALLA REPUESTO 3" 130 MIC</t>
  </si>
  <si>
    <t>17C300M8</t>
  </si>
  <si>
    <t>17C300M8 AZUD CARTUCHO MALLA REPUESTO 3" 100 MIC</t>
  </si>
  <si>
    <t>17C30A03</t>
  </si>
  <si>
    <t>ACOPLE PARA UNION VICTAULICA 3"</t>
  </si>
  <si>
    <t>17C3R0H5</t>
  </si>
  <si>
    <t>17C3R0H5 AZUD CARTUCHO ANILLA REPUESTO 3" 400 MIC</t>
  </si>
  <si>
    <t>17C3R0H6</t>
  </si>
  <si>
    <t>17C3R0H6 AZUD CARTUCHO ANILLA REPUESTO 3" 130 MIC</t>
  </si>
  <si>
    <t>17C3R0H8</t>
  </si>
  <si>
    <t>17C3R0H8 AZUD CARTUCHO ANILLA REPUESTO 3" 100 MIC</t>
  </si>
  <si>
    <t>17C40A03</t>
  </si>
  <si>
    <t>ACOPLE PARA UNION VICTAULICA 4"</t>
  </si>
  <si>
    <t>17CMG110</t>
  </si>
  <si>
    <t>MANOMETRO DE GLICERINA 1/4" 0-10 BAR</t>
  </si>
  <si>
    <t>17CMG125</t>
  </si>
  <si>
    <t>MANOMETRO DE GLICERINA 1/4" 0-2,5 BAR</t>
  </si>
  <si>
    <t>17CMG160</t>
  </si>
  <si>
    <t>MANOMETRO DE GLICERINA 1/4" 0-6 BAR</t>
  </si>
  <si>
    <t>17L1A120</t>
  </si>
  <si>
    <t>FILTRO DE LIMPIEZA MANUAL,  AZUD Q: 5 M3/H - ANILLAS 3/4" 1C</t>
  </si>
  <si>
    <t>17L1A220</t>
  </si>
  <si>
    <t>FILTRO DE LIMPIEZA MANUAL AZUD Q: 5 M3/H - MALLA 3/4" 130MIC</t>
  </si>
  <si>
    <t>17L1B120</t>
  </si>
  <si>
    <t>FILTRO DE LIMPIEZA MANUAL, AZUD Q: 6 M3/H- ANILLAS 1" 130MIC</t>
  </si>
  <si>
    <t>17L1B120REPANI</t>
  </si>
  <si>
    <t>17L1B120REPANILL AZUD REPUESTO ANILLAS P/FILTRO 1"</t>
  </si>
  <si>
    <t>17L1B220</t>
  </si>
  <si>
    <t>FILTRO DE LIMPIEZA MANUAL AZUD Q: 6 M3/H - MALLA 1" 130MIC</t>
  </si>
  <si>
    <t>17L1C120</t>
  </si>
  <si>
    <t>FILTRO DE LIMPIEZA MANUAL AZUD Q: 10 M3/H - ANILLAS 1 1/4" C</t>
  </si>
  <si>
    <t>17L1C220</t>
  </si>
  <si>
    <t>FILTRO DE LIMPIEZA MANUAL AZUD Q: 10 M3/H- MALLA 1 1/4" 130M</t>
  </si>
  <si>
    <t>17L1D120</t>
  </si>
  <si>
    <t>FILTRO DE LIMPIEZA MANUAL,  AZUD Q: 14 M3/H - ANILLAS 1 1/2C</t>
  </si>
  <si>
    <t>17L1D220</t>
  </si>
  <si>
    <t>FILTRO DE LIMPIEZA MANUAL, AZUD Q: 14 M3/H- MALLA 1 1/2" 13C</t>
  </si>
  <si>
    <t>17L1F120</t>
  </si>
  <si>
    <t>FILTRO DE LIMPIEZA MANUAL, AZUD Q: 25 M3/H- ANILLAS 2" 130MC</t>
  </si>
  <si>
    <t>17L1F220</t>
  </si>
  <si>
    <t>FILTRO DE LIMPIEZA MANUAL, AZUD Q: 25 M3/H - MALLA 2" 130MIC</t>
  </si>
  <si>
    <t>17MREPMALLAGRD</t>
  </si>
  <si>
    <t>17MREPMALLAGRD AZUD MALLA REPUESTO GRANDE</t>
  </si>
  <si>
    <t>17Q01BA6</t>
  </si>
  <si>
    <t>17Q01BA6 AZUD  FILTRO DE ANILLAS AGL 2" 130 MIC</t>
  </si>
  <si>
    <t>17Q04BA6</t>
  </si>
  <si>
    <t>17Q04BA6 AZUD FILTRO DE ANILLAS AGL 3" 130 MIC</t>
  </si>
  <si>
    <t>17RLG001</t>
  </si>
  <si>
    <t>17RLG001 AZUD CARTUCHO MALLA REPUESTO 3/4-1" 130 MIC</t>
  </si>
  <si>
    <t>17RLG004</t>
  </si>
  <si>
    <t>17RLG004 AZUD CARTUCHO MALLA REPUESTO 11/4-11/2" 130 MIC</t>
  </si>
  <si>
    <t>17RLG005</t>
  </si>
  <si>
    <t>17RLG005 AZUD CARTUCHO MALLA REPUESTO 11/4-11/2" 200 MIC</t>
  </si>
  <si>
    <t>17RLG006</t>
  </si>
  <si>
    <t>17RLG006 AZUD CARTUCHO MALLA REPUESTO11/4-11/2" 100 MIC</t>
  </si>
  <si>
    <t>17RLG007</t>
  </si>
  <si>
    <t>17RLG007 AZUD CARTUCHO MALLA REPUESTO 11/2-2" 130 MIC</t>
  </si>
  <si>
    <t>17RLG020</t>
  </si>
  <si>
    <t>17RLG020 AZUD CARTUCHO MALLA REPUESTO 11/2-2" 530 MIC</t>
  </si>
  <si>
    <t>17RLG100</t>
  </si>
  <si>
    <t>17RLG100 AZUD CARTUCHO ANILLA REPUESTO 3/4-1" 130 MIC</t>
  </si>
  <si>
    <t>17RLG101</t>
  </si>
  <si>
    <t>17RLG101 AZUD CARTUCHO ANILLA REPUESTO 11/4-11/2" 130 MIC</t>
  </si>
  <si>
    <t>17RLG102</t>
  </si>
  <si>
    <t>17RLG102 AZUD CARTUCHO ANILLA REPUESTO 11/2-2" 130 MIC</t>
  </si>
  <si>
    <t>17VA0003</t>
  </si>
  <si>
    <t>VALVULA DE AIRE DOBLE EFECTO 1"</t>
  </si>
  <si>
    <t>17VA0006</t>
  </si>
  <si>
    <t>VALVULA DE AIRE DOBLE EFECTO 2"</t>
  </si>
  <si>
    <t>17VB0003</t>
  </si>
  <si>
    <t>VALVULA DE AIRE TRIPLE EFECTO 1"</t>
  </si>
  <si>
    <t>17VB0006</t>
  </si>
  <si>
    <t>VALVULA DE AIRE TRIPLE EFECTO 2"</t>
  </si>
  <si>
    <t>1812SRX6</t>
  </si>
  <si>
    <t>1812SRX6 AZUD  FILTRO ANILLAS AUTOMATICAS HELIX 2" 130 MIC</t>
  </si>
  <si>
    <t>1813NRX6</t>
  </si>
  <si>
    <t>1813NRX6 AZUD FILTRO ANILLAS AUTOMATICAS HELIX 3" 130 MIC</t>
  </si>
  <si>
    <t>7026264F</t>
  </si>
  <si>
    <t>7026264F AZUD HELIX AUTOMATIC 302/4FX DLP MG 130 MICRON</t>
  </si>
  <si>
    <t>02672 PP CAJA CPX-708 Ø162 CEPEX</t>
  </si>
  <si>
    <t>02673 PP CAJA CPX-910 Ø241 CEPEX</t>
  </si>
  <si>
    <t>02674 PP CAJA CPX 1419 460X266X300 CEPEX</t>
  </si>
  <si>
    <t>02675 PP CAJA CPX-1225 600X330X295 CEPEX</t>
  </si>
  <si>
    <t>05138 PP COLLARIN 40X1/2" CEPEX</t>
  </si>
  <si>
    <t>05139 PP COLLARIN 40X3/4" CEPEX</t>
  </si>
  <si>
    <t>05140 PP COLLARIN 40 X 1" CEPEX</t>
  </si>
  <si>
    <t>05141 PP COLLARIN 50X1/2" CEPEX</t>
  </si>
  <si>
    <t>05142 PP COLLARIN 50X3/4" CEPEX</t>
  </si>
  <si>
    <t>05143 PP COLLARIN 50X1" CEPEX</t>
  </si>
  <si>
    <t>05145 PP COLLARIN 63X 3/4" CEPEX</t>
  </si>
  <si>
    <t>05146 PP COLLARIN 63X 1"  CEPEX</t>
  </si>
  <si>
    <t>05148 PP COLLARIN 75X1" CEPEX</t>
  </si>
  <si>
    <t>05150 COLLARIN 75X 1 1/2" - 4 BULONES</t>
  </si>
  <si>
    <t>05151 PP COLLARIN 75X2"</t>
  </si>
  <si>
    <t>05152 COLLARIN DE TOMA D90-1"</t>
  </si>
  <si>
    <t>05154 COLLARIN DE TOMA D90 X 1 1/2"</t>
  </si>
  <si>
    <t>05287 PP COLLARIN 25X1/2" CEPEX</t>
  </si>
  <si>
    <t>05288 PP COLLARIN 32X1/2" CEPEX</t>
  </si>
  <si>
    <t>05289 PP COLLARIN 32X3/4" CEPEX</t>
  </si>
  <si>
    <t>05438 COLLARIN DE TOMA D75 X 1/2"</t>
  </si>
  <si>
    <t>05439 COLLARIN DE TOMA D75 X 3/4"</t>
  </si>
  <si>
    <t>05440 COLLARIN 90X1/2" - 4 BULONES</t>
  </si>
  <si>
    <t>05441 PP COLLARIN 63 X 1 1/2" CEPEX</t>
  </si>
  <si>
    <t>06011 COLLARIN DE TOMA D90 X 3/4"</t>
  </si>
  <si>
    <t>NO USAR 06013 COLLARIN DE TOMA D110 X 1"</t>
  </si>
  <si>
    <t>NO USAR 06015 COLLARIN DE TOMA D110 X 1 1/2"</t>
  </si>
  <si>
    <t>NO USAR 06016 COLLARIN DE TOMA D110 X 2"</t>
  </si>
  <si>
    <t>06018 COLLARIN 125X1" - 4 BULONES</t>
  </si>
  <si>
    <t>06020 COLLARIN 125X1 1/2" - 4 BULONES</t>
  </si>
  <si>
    <t>NO USAR 06021 COLLARIN 125X2" - 4 BULONES</t>
  </si>
  <si>
    <t>06026 COLLARIN TOMA REF. D 140X3"</t>
  </si>
  <si>
    <t>"NO USAR" 06031 COLLARIN TOMA REF. D 160X3"</t>
  </si>
  <si>
    <t>NO USAR 06052 COLLARIN 25X3/4" - 2 BULONES</t>
  </si>
  <si>
    <t>ROTOR EMERGENTE 3/4" NELSON - CAJA X 20 UNID</t>
  </si>
  <si>
    <t>NO USAR 11446 COLLARIN TOMA REF. D75X 1/2"</t>
  </si>
  <si>
    <t>18785 COLLARIN DE TOMA D140 X 1"</t>
  </si>
  <si>
    <t>NO USAR 18786 COLLARIN DE TOMA D140 X 1 1/2"</t>
  </si>
  <si>
    <t>18787 COLLARIN DE TOMA D140 X 2"</t>
  </si>
  <si>
    <t>18788 COLLARIN DE TOMA D140 X 3"</t>
  </si>
  <si>
    <t>18789 COLLARIN 160X1" - 6 BULONES</t>
  </si>
  <si>
    <t>18790 COLLARIN 160X1 1/2" 6 BULONES</t>
  </si>
  <si>
    <t>18791 COLLARIN DE TOMA D160 X 2"</t>
  </si>
  <si>
    <t>18792 COLLARIN DE TOMA D160 X 3"</t>
  </si>
  <si>
    <t>18795 COLLARIN TOMA D200-2"</t>
  </si>
  <si>
    <t>18796 COLLARIN 200X3" - 6 BULONES</t>
  </si>
  <si>
    <t>18797 COLLARIN DE TOMA D200 X 4"</t>
  </si>
  <si>
    <t>NO USAR 18800 COLLARIN DE TOMA D225 X 2"</t>
  </si>
  <si>
    <t>18801 COLLARIN 225X3" - 6 BULONES</t>
  </si>
  <si>
    <t>18802 COLLARIN DE TOMA D225 X 4"</t>
  </si>
  <si>
    <t>18805 COLLARIN 250X2" - 6 BULONES</t>
  </si>
  <si>
    <t>18806 COLLARIN 250X3" - 6 BULONES</t>
  </si>
  <si>
    <t>18807 COLLARIN DE TOMA D250 X 4</t>
  </si>
  <si>
    <t>18810 COLLARIN 315X2" - 6 BULONES</t>
  </si>
  <si>
    <t>18811 COLLARIN 315X3" - 6 BULONES</t>
  </si>
  <si>
    <t>18812 COLLARIN DE TOMA D315 X 4"</t>
  </si>
  <si>
    <t>20596 COLLARIN DE TOMA D32 X 1"</t>
  </si>
  <si>
    <t>28670 ENLACE RM D1/2" - ESPIGA</t>
  </si>
  <si>
    <t>28675 PP COLLARIN 63X 1/2" CEPEX</t>
  </si>
  <si>
    <t>33000 PP CAJA CIRCULAR CHICA AQ</t>
  </si>
  <si>
    <t>33001 PP CAJA CIRCULAR GRANDE AQ</t>
  </si>
  <si>
    <t>33002 PP CAJA RECTANGULAR AQ</t>
  </si>
  <si>
    <t>33003 PP CAJA RECTANGULAR JUMBO</t>
  </si>
  <si>
    <t>56157 CTD075 CONTROLADOR DE CANILLA DIGITAL CEPEX D3/4"</t>
  </si>
  <si>
    <t>56158 CTA075 CONTROLADOR DE CANILLA ANALOGIGO CEPEX D3/4"</t>
  </si>
  <si>
    <t>57188 CSP075 ROTOR EMERGENTE D3/4" CEPEX 15,5 MTS</t>
  </si>
  <si>
    <t>57188C</t>
  </si>
  <si>
    <t>57188CSP075 CAJAX20- ROTOR EMERGENTE D3/4" CEPEX 15,5 MTS</t>
  </si>
  <si>
    <t>PR00101</t>
  </si>
  <si>
    <t>VALVULA SAGIV 3 VIAS1/4"NO USAR"</t>
  </si>
  <si>
    <t>PR00103</t>
  </si>
  <si>
    <t>CONECTOR RECTO1/8X 8MM"NO USAR"</t>
  </si>
  <si>
    <t>PR00104</t>
  </si>
  <si>
    <t>CONECTOR RECTO 1/4 X 8 MM "NO USAR"</t>
  </si>
  <si>
    <t>PR00105</t>
  </si>
  <si>
    <t>CONECTOR INICIAL 16  C/ ARO DE GOMA</t>
  </si>
  <si>
    <t>PR0123</t>
  </si>
  <si>
    <t>CONECTOR INICIAL 20 C/ARO DE GOMA</t>
  </si>
  <si>
    <t>PD-0800</t>
  </si>
  <si>
    <t>PD-0800 MICROJET 360</t>
  </si>
  <si>
    <t>PD-0850</t>
  </si>
  <si>
    <t>PD-0850 MICROJET 360 AJUSTABLE C/VALVULA</t>
  </si>
  <si>
    <t>PD-0900</t>
  </si>
  <si>
    <t>PD-0900 MICROJET 180</t>
  </si>
  <si>
    <t>PD-0950</t>
  </si>
  <si>
    <t>PD-0950 MICROJET 180 AJUSTABLE C/VALVULA</t>
  </si>
  <si>
    <t>PD-1000</t>
  </si>
  <si>
    <t>PD-1000 MICROJET 90</t>
  </si>
  <si>
    <t>PD-1050</t>
  </si>
  <si>
    <t>PD-1050 MICROJET 90 AJUSTABLE C/VALVULA</t>
  </si>
  <si>
    <t>PD-1401</t>
  </si>
  <si>
    <t>PD-1401 MICROASPERSOR AJUSTABLE 360° CONECTOR A PE</t>
  </si>
  <si>
    <t>PD-1403</t>
  </si>
  <si>
    <t>PD-1403 MICROASPERSOR CON ESTACA 360°</t>
  </si>
  <si>
    <t>PD-1501</t>
  </si>
  <si>
    <t>PD-1501 MICROASPERSOR AJUSTABLE 180°CONECTOR A PE</t>
  </si>
  <si>
    <t>PD-1503</t>
  </si>
  <si>
    <t>PD-1503 MICROASPERSOR CON ESTACA 180°</t>
  </si>
  <si>
    <t>PD-3204</t>
  </si>
  <si>
    <t>PD-3204 TUBIN PVC 4MM PARA GOTEO (10M)</t>
  </si>
  <si>
    <t>PD-3402</t>
  </si>
  <si>
    <t>PD-3402 ESTACA MULTIFUNCION (ASPERSION/MICROASPERSION)</t>
  </si>
  <si>
    <t>PD-4404</t>
  </si>
  <si>
    <t>PD-4404 VALVULA PARA MICROTUBO 4MM</t>
  </si>
  <si>
    <t>PD-KITMIC</t>
  </si>
  <si>
    <t>KIT MICROASPERSION (TUBIN X10M, VALV, MICRO, MICRO C ESTACA)</t>
  </si>
  <si>
    <t>PL-3100</t>
  </si>
  <si>
    <t>PL-3100 ASPERSOR DE IMPACTO PLASTICO RM 1/2"</t>
  </si>
  <si>
    <t>PL-3100P</t>
  </si>
  <si>
    <t>PL-3100P ASPERSOR DE IMPACTO PLASTICO RM 1/2"</t>
  </si>
  <si>
    <t>PW-2100</t>
  </si>
  <si>
    <t>PW-2100 REPARADOR/UNION DE MANGUERA 1/2"</t>
  </si>
  <si>
    <t>PW-2100P</t>
  </si>
  <si>
    <t>PW-2100P REPARADOR/UNION DE MANGUERA 1/2"</t>
  </si>
  <si>
    <t>PW-2110</t>
  </si>
  <si>
    <t>PW-2110 REPARADOR/UNION DE MANGUERA 3/4"</t>
  </si>
  <si>
    <t>PW-2110P</t>
  </si>
  <si>
    <t>PW-2110P REPARADOR/UNION DE MANGUERA 3/4"</t>
  </si>
  <si>
    <t>PW-2120</t>
  </si>
  <si>
    <t>PW-2120 ACOPLE RAPIDO PARA MANGUERA DE 1/2" SIN CIERRE</t>
  </si>
  <si>
    <t>PW-2120P</t>
  </si>
  <si>
    <t>PW-2120P ACOPLE RAPIDO PARA MANGUERA DE 1/2" SIN CIERRE</t>
  </si>
  <si>
    <t>PW-2130</t>
  </si>
  <si>
    <t>PW-2130 ACOPLE RAPIDO PARA MANGUERA DE 3/4" SIN CIERRE</t>
  </si>
  <si>
    <t>PW-2130P</t>
  </si>
  <si>
    <t>PW-2130P ACOPLE RAPIDO PARA MANGUERA DE 3/4" SIN CIERRE</t>
  </si>
  <si>
    <t>PW-2140</t>
  </si>
  <si>
    <t>PW-2140 ACOPLE RAPIDO PARA MANGUERA DE 1/2" CON CIERRE</t>
  </si>
  <si>
    <t>PW-2140P</t>
  </si>
  <si>
    <t>PW-2140P ACOPLE RAPIDO PARA MANGUERA DE 1/2" CON CIERRE</t>
  </si>
  <si>
    <t>PW-2150</t>
  </si>
  <si>
    <t>PW-2150 ACOPLE RAPIDO PARA MANGUERA DE 3/4" CON CIERRE</t>
  </si>
  <si>
    <t>PW-2150P</t>
  </si>
  <si>
    <t>PW-2150P ACOPLE RAPIDO PARA MANGUERA DE 3/4" CON CIERRE</t>
  </si>
  <si>
    <t>PW-2185</t>
  </si>
  <si>
    <t>PW-2185 CONECTOR ROSCA MACHO 3/4" BSP</t>
  </si>
  <si>
    <t>PW-2185P</t>
  </si>
  <si>
    <t>PW-2185P CONECTOR ROSCA MACHO 3/4" BSP</t>
  </si>
  <si>
    <t>PW-2195</t>
  </si>
  <si>
    <t>PW-2195 CONECTOR PARA CANILLA ROSCA HEMBRA 3/4" BSP</t>
  </si>
  <si>
    <t>PW-2195P</t>
  </si>
  <si>
    <t>PW-2195P CONECTOR PARA CANILLA ROSCA HEMBRA 3/4" BSP</t>
  </si>
  <si>
    <t>PW-2197</t>
  </si>
  <si>
    <t>PW-2197 CONECTOR PARA CANILLA ROSCA HEMBRA 1" BSP</t>
  </si>
  <si>
    <t>PW-2197P</t>
  </si>
  <si>
    <t>PW-2197P CONECTOR PARA CANILLA ROSCA HEMBRA 1" BSP</t>
  </si>
  <si>
    <t>PW-2198</t>
  </si>
  <si>
    <t>PW-2198 CONECTOR PARA CANILLA DOBLE ROSCA 3/4-1" BSP</t>
  </si>
  <si>
    <t>PW-2198P</t>
  </si>
  <si>
    <t>PW-2198P CONECTOR PARA CANILLA DOBLE ROSCA 1/2-3/4" BSP</t>
  </si>
  <si>
    <t>PW-2200</t>
  </si>
  <si>
    <t>PW-2200 UNION 2 VIAS PARA ACOPLES RAPIDOS</t>
  </si>
  <si>
    <t>PW-2200P</t>
  </si>
  <si>
    <t>PW-2200P UNION 2 VIAS PARA ACOPLES RAPIDOS</t>
  </si>
  <si>
    <t>PW-2210</t>
  </si>
  <si>
    <t>PW-2210 UNION 3 VIAS PARA ACOPLES RAPIDOS</t>
  </si>
  <si>
    <t>PW-2210P</t>
  </si>
  <si>
    <t>PW-2210P UNION 3 VIAS PARA ACOPLES RAPIDOS</t>
  </si>
  <si>
    <t>PW-3520</t>
  </si>
  <si>
    <t>PW-3520 ASPERSOR HOJA 3 BRAZOS RM 1/2"</t>
  </si>
  <si>
    <t>PW-3520P</t>
  </si>
  <si>
    <t>PW-3520P ASPERSOR HOJA 3 BRAZOS RM 1/2"</t>
  </si>
  <si>
    <t>PW-3565</t>
  </si>
  <si>
    <t>PW-3565 BASE PLASTICA PARA APERSORES 1/2"</t>
  </si>
  <si>
    <t>PW-3565P</t>
  </si>
  <si>
    <t>PW-3565P BASE PLASTICA PARA SPERSORES 1/2"</t>
  </si>
  <si>
    <t>PW-3585</t>
  </si>
  <si>
    <t>PW-3585 ESTACA PLASTICA PARA ASPERSORES 1/2"</t>
  </si>
  <si>
    <t>PW-3585P</t>
  </si>
  <si>
    <t>PW-3585P ESTACA PLASTICA PARA ASPERSORES 1/2"</t>
  </si>
  <si>
    <t>PW-4250</t>
  </si>
  <si>
    <t>PW-4250 LANZA DE RIEGO 7 EFECTOS</t>
  </si>
  <si>
    <t>PW-4250P</t>
  </si>
  <si>
    <t>PW-4250P LANZA DE RIEGO 7 EFECTOS</t>
  </si>
  <si>
    <t>PW-4350</t>
  </si>
  <si>
    <t>PW-4350 LANZA EFECTO DUCHA</t>
  </si>
  <si>
    <t>PW-4350P</t>
  </si>
  <si>
    <t>PW-4350P LANZA EFECTO DUCHA</t>
  </si>
  <si>
    <t>PW-4710</t>
  </si>
  <si>
    <t>PW-4710 LANZA PARA MANGUERA AJUSTABLE</t>
  </si>
  <si>
    <t>PW-4710P</t>
  </si>
  <si>
    <t>PW-4710P LANZA PARA MANGUERA AJUSTABLE</t>
  </si>
  <si>
    <t>PW-4815</t>
  </si>
  <si>
    <t>PW-4815 PISTOLA PARA MANGUERA AJUSTABLE</t>
  </si>
  <si>
    <t>PW-4815P</t>
  </si>
  <si>
    <t>PW-4815P PISTOLA PARA MANGUERA AJUSTABLE</t>
  </si>
  <si>
    <t>64393 ENSAMBLE "NO USAR" SWING JOINT PVC RM 1"X30 RAIN BIRD</t>
  </si>
  <si>
    <t>64411 ROTOR EMERG 8005 RH 1 RAIN BIRD "NO USAR"</t>
  </si>
  <si>
    <t>SCRNASYNST RAIN BIRD 5000 SAM KIT ANTIDRENAJE</t>
  </si>
  <si>
    <t>DIAPH200PG - MEMBRANA DE REPUESTO PGA200</t>
  </si>
  <si>
    <t>RPKBONNETA - TAPA PARA VALVULA PGA200</t>
  </si>
  <si>
    <t>SOLASSG4 G4 SOLENOIDE CONEXIÓN</t>
  </si>
  <si>
    <t>236307 RPKHSOLA2 SOLENOIDE 24 VAC P/VALVULA HV</t>
  </si>
  <si>
    <t>639392 PANEL REPUESTO ESP-ME WIFI</t>
  </si>
  <si>
    <t>SOLENOIDE REPUESTO P/ VALV. DV.</t>
  </si>
  <si>
    <t>SOLASSG4 SOLENOIDE REPUESTO P/ VALV. PGA</t>
  </si>
  <si>
    <t>NO USAR!! 0250201215 RAIN BIRD SPRAY US215</t>
  </si>
  <si>
    <t>NO USAR!! 0250201410 RAIN BIRD PULVERIZADOR US410</t>
  </si>
  <si>
    <t>NO USAR!! 0250201412 RAIN BIRD PULVERIZADOR US412</t>
  </si>
  <si>
    <t>NO USAR!! 0250201415 RAIN BIRD PULVERIZADOR US415</t>
  </si>
  <si>
    <t>NO USAR!! 0250201418 RAIN BIRD PULVERIZADOR US418</t>
  </si>
  <si>
    <t>NO USAR!! 0250201419 RAIN BIRD PULVERIZADOR US-400</t>
  </si>
  <si>
    <t>NO USAR!! RAIN BIRD US-SAM KIT ANTIDRENAJE</t>
  </si>
  <si>
    <t>A44120 - 1804 RAIN BIRD POP UP 1804 CUERPO</t>
  </si>
  <si>
    <t>RAIN BIRD BOQUILLA MPR 15Q "NO USAR"</t>
  </si>
  <si>
    <t>RAIN BIRD BOQUILLA MPR 15H"NO USAR"</t>
  </si>
  <si>
    <t>RAIN BIRD BOQUILLA MPR 15TQ " NO USAR"</t>
  </si>
  <si>
    <t>RAIN BIRD BOQUILLA MPR 15 F "NO USAR"</t>
  </si>
  <si>
    <t>NO USAR!! RAIN BIRD BOQUILLA 15 CST</t>
  </si>
  <si>
    <t>NO USAR!! RAIN BIRD BOQUILLA 15 EST</t>
  </si>
  <si>
    <t>NO USAR!! RAIN BIRD BOQUILLA 15 SST</t>
  </si>
  <si>
    <t>RAIN BIRD BOQUILLA 15SQ</t>
  </si>
  <si>
    <t>NO USAR!! RAIN BIRD BOQUILLA 9SST</t>
  </si>
  <si>
    <t>NO USAR!! RAIN BIRD BOQUILLA 4-VAN</t>
  </si>
  <si>
    <t>NO USAR!! RAIN BIRD BOQUILLA 6-VAN</t>
  </si>
  <si>
    <t>NO USAR!! RAIN BIRD BOQUILLA 8-VAN</t>
  </si>
  <si>
    <t>NO USAR!! RAIN BIRD BOQUILLA 10-VAN</t>
  </si>
  <si>
    <t>NO USAR!! RAIN BIRD BOQUILLA 12-VAN</t>
  </si>
  <si>
    <t>NO USAR!! RAIN BIRD BOQUILLA 15-VAN</t>
  </si>
  <si>
    <t>NO USAR!! RAIN BIRD BOQUILLA 18-VAN</t>
  </si>
  <si>
    <t>RAIN BIRD 5000 SAM KIT ANTIDRENAJE</t>
  </si>
  <si>
    <t>NO USAR!! RAIN BIRD ROTOR 3504E PC</t>
  </si>
  <si>
    <t>NO USAR!! ROTOR 5004 E PC</t>
  </si>
  <si>
    <t>NO USAR!! 0250305015 LLAVE P/ ASP 5000 ROTOR TOOL</t>
  </si>
  <si>
    <t>232693S</t>
  </si>
  <si>
    <t>SOPORTE PARA ROTOR CON NIVEL</t>
  </si>
  <si>
    <t>A11400</t>
  </si>
  <si>
    <t>VBSTD CAJA P/ VALVULAS STANDARD (55,4 X 42,2 X 30,5 CM)</t>
  </si>
  <si>
    <t>A11430</t>
  </si>
  <si>
    <t>VBJMB CAJA P/ VALVULAS JUMBO (66,8 X 50,3 X 30,7 CM)</t>
  </si>
  <si>
    <t>A11450</t>
  </si>
  <si>
    <t>VB10RND CAJA P/ VALVULASREDONDA GRANDE (26 X 25.4 X 34.9 CM)</t>
  </si>
  <si>
    <t>A11462</t>
  </si>
  <si>
    <t>VB6RND  CAJA P/ VALVULA REDONDA CHICA (15.5 X 22.9 X 21.1 CM</t>
  </si>
  <si>
    <t>A11480</t>
  </si>
  <si>
    <t>VB7RND CAJA PARA VALVULAS REDONDA MED 16X23X25</t>
  </si>
  <si>
    <t>A118410B</t>
  </si>
  <si>
    <t>A118410B GOTERO AUTOCOMPENSADO 05 AZUL -2 L/H</t>
  </si>
  <si>
    <t>A118411B</t>
  </si>
  <si>
    <t>A118411B GOTERO AUTOCOMPENSADO 10 NEGRO -4 L/H</t>
  </si>
  <si>
    <t>A16001</t>
  </si>
  <si>
    <t>1300AF BORBOTEADOR CAUDAL REG 1/2" RH</t>
  </si>
  <si>
    <t>A16501A</t>
  </si>
  <si>
    <t>PA8S ADAPTADOR DE BOQUILLA PARA ARBUSTOS</t>
  </si>
  <si>
    <t>A16734</t>
  </si>
  <si>
    <t>TOBERA P/ARBUSTOS ALCANCE 4.6M 180ª - CAJA X 25 UNID</t>
  </si>
  <si>
    <t>A16734-U</t>
  </si>
  <si>
    <t>TOBERA P/ARBUSTOS ALCANCE 4.6M 180º UNIDAD</t>
  </si>
  <si>
    <t>A16736</t>
  </si>
  <si>
    <t>TOBERA P/ARBUSTOS ALC 4.6M ANG 90ª - 25 U/CAJA</t>
  </si>
  <si>
    <t>A16736-U</t>
  </si>
  <si>
    <t>TOBERA P/ARBUSTOS ALC 4.6M ANG 90º UNIDAD</t>
  </si>
  <si>
    <t>A16738</t>
  </si>
  <si>
    <t>TOBERA P/ARBUSTOS FRANJA CENTRAL 1.2X9.2M - CAJA X 25 UNID</t>
  </si>
  <si>
    <t>A16738-U</t>
  </si>
  <si>
    <t>A16738-U TOBERA P/ARBUSTOS FRANJA CENTRAL 1.2X9.2M - X UNID</t>
  </si>
  <si>
    <t>A16741</t>
  </si>
  <si>
    <t>TOBERA P/ARBUSTO FRANJA LATERAL 1.2X9.2M - CAJA X 25 UNID</t>
  </si>
  <si>
    <t>A16741-U</t>
  </si>
  <si>
    <t>A16741-U TOBERA P/ARBUSTO FRANJA LATERAL 1.2X9.2M - X UNIDAD</t>
  </si>
  <si>
    <t>A16911</t>
  </si>
  <si>
    <t>TOBERA P/ARBUSTOS ALCANCE 4.6M ANG VAR - CAJA X 25 UNID</t>
  </si>
  <si>
    <t>A16911-U</t>
  </si>
  <si>
    <t>TOBERA P/ARBUSTOS ALCANCE 4.6M ANGULO VAR UNIDAD</t>
  </si>
  <si>
    <t>A18100</t>
  </si>
  <si>
    <t>TOBERA EMERGENTE 4" C/BOQUILLA 360ª - CAJA X 54 UNID</t>
  </si>
  <si>
    <t>A18100-U</t>
  </si>
  <si>
    <t>A18100-U TOBERA EMERGENTE 4" C/BOQUILLA 360ª - X UNIDAD</t>
  </si>
  <si>
    <t>A18101</t>
  </si>
  <si>
    <t>TOBERA EMERGENTE 4" C/BOQUILLA 180ª - CAJA X  54 UNID</t>
  </si>
  <si>
    <t>A18101-U</t>
  </si>
  <si>
    <t>TOBERA EMERGENTE 4" C/BOQUILLA 180ª - UNIDAD</t>
  </si>
  <si>
    <t>A18102</t>
  </si>
  <si>
    <t>TOBERA EMERGENTE 4"C/BOQUILLA 90ª - CAJA X 54 UNID</t>
  </si>
  <si>
    <t>A18102-U</t>
  </si>
  <si>
    <t>A18102 TOB EMERG 4" C/BOQ 90º UNIDAD</t>
  </si>
  <si>
    <t>A18103</t>
  </si>
  <si>
    <t>TOBERA EMERGENTE 4"C/BOQUILLA 9SS - CAJA X 27 UNID</t>
  </si>
  <si>
    <t>A18104</t>
  </si>
  <si>
    <t>TOBERA EMERGENTE C/BOQUILLA 15 ES - CAJA X 27 UNID</t>
  </si>
  <si>
    <t>A18105</t>
  </si>
  <si>
    <t>TOBERA EMERGENTE 4" C/BOQUILLA 15 SS - CAJA X 27 UNID</t>
  </si>
  <si>
    <t>A18106</t>
  </si>
  <si>
    <t>TOBERA EMERGENTE 4" C/ BOQUILLA 15 CS - CAJA X 27 UNID</t>
  </si>
  <si>
    <t>A18107</t>
  </si>
  <si>
    <t>*TOBERA EMERGENTE 4" C/BOQUILLA ARCO VAR- CAJA X 54 UD</t>
  </si>
  <si>
    <t>A18107-U</t>
  </si>
  <si>
    <t>TOBERA EMERGENTE 4" C/BOQUILLA ARCO VAR - UNIDAD</t>
  </si>
  <si>
    <t>A181100-U</t>
  </si>
  <si>
    <t>A181100 TOB EMERG 4" C/BOQ 360º UNIDAD</t>
  </si>
  <si>
    <t>A18200</t>
  </si>
  <si>
    <t>*TOBERA EMERGENTE 2.5" C/BOQUILLA 360ª - CAJA X 72 UNID</t>
  </si>
  <si>
    <t>A18200-U</t>
  </si>
  <si>
    <t>TOBERA EMERGENTE 2,5" C/BOQUILLA 360º - UNIDAD</t>
  </si>
  <si>
    <t>A18201</t>
  </si>
  <si>
    <t>TOBERA EMERGENTE 2.5" C/BOQUILLA 180ª - CAJA X 72 UNID</t>
  </si>
  <si>
    <t>A18201-U</t>
  </si>
  <si>
    <t>TOBERA EMERGENTE 2,5" C/BOQUILLA 180ª - UNIDAD</t>
  </si>
  <si>
    <t>A18202</t>
  </si>
  <si>
    <t>TOBERA EMERGENTE 2.5" C/BOQUILLA 90ª - CAJA X 72 UNID</t>
  </si>
  <si>
    <t>A18202-U</t>
  </si>
  <si>
    <t>TOBERA EMERGENTE 2,5" C/BOQUILLA 90ª - UNIDAD</t>
  </si>
  <si>
    <t>A18207</t>
  </si>
  <si>
    <t>TOBERA EMERGENTE 2.5" C/BOQUILLA ARCO VAR - CAJA X 72 UNID</t>
  </si>
  <si>
    <t>A18207-U</t>
  </si>
  <si>
    <t>TOBERA EMERGENTE 2.5" C/BOQUILLA ARCO VAR - UNIDAD</t>
  </si>
  <si>
    <t>A19814</t>
  </si>
  <si>
    <t>BOQUILLA ALCANCE 5.5M ANG VARIABLE - CAJA X 25 UNID</t>
  </si>
  <si>
    <t>A19814-U</t>
  </si>
  <si>
    <t>BOQUILLA ALCANCE 5.5M ANG VARIABLE UNIDAD</t>
  </si>
  <si>
    <t>A43905</t>
  </si>
  <si>
    <t>1804SAM CUERPO 4" SIN BOQUILLA Y VALV RET SAM</t>
  </si>
  <si>
    <t>A44020</t>
  </si>
  <si>
    <t>1802 CUERPO 2" SIN BOQUILLA</t>
  </si>
  <si>
    <t>A44305</t>
  </si>
  <si>
    <t>1812 CUERPO 12" SIN BOQUILLA</t>
  </si>
  <si>
    <t>A46003</t>
  </si>
  <si>
    <t>SBA050 ADAPTADOR ESPIRALADOº 1/2" ESP RM 1/2"</t>
  </si>
  <si>
    <t>A46004</t>
  </si>
  <si>
    <t>SBTEE TE ESPIRALADA 1/2" ESP</t>
  </si>
  <si>
    <t>A46005</t>
  </si>
  <si>
    <t>SBA075 ADAPTADOR ESPIRALADO 1/2" ESP X 3/4" RM</t>
  </si>
  <si>
    <t>A46006</t>
  </si>
  <si>
    <t>SBCPLG UNION ESPIRALADA 1/2"  ESP X 1/2" ESP</t>
  </si>
  <si>
    <t>A46016</t>
  </si>
  <si>
    <t>SBE050 CODO ESPIRALADO 1/2" ESP X 1/2" RM</t>
  </si>
  <si>
    <t>A46017</t>
  </si>
  <si>
    <t>A46011 SBE075 CODO ESPIRALADO 1/2" ESP X 3/4" RM</t>
  </si>
  <si>
    <t>A47000</t>
  </si>
  <si>
    <t>A47000 15-F BOQUILLA MPR 360ª ALC 5M</t>
  </si>
  <si>
    <t>A47001</t>
  </si>
  <si>
    <t>A47001 15-TQ BOQUILLA MPR 270ª ALC 5M</t>
  </si>
  <si>
    <t>A47004</t>
  </si>
  <si>
    <t>A47004 15-T BOQUILLA MPR 120º ALC 5M</t>
  </si>
  <si>
    <t>A47005</t>
  </si>
  <si>
    <t>A47005 15-Q BOQUILLA MPR 90º ALC 5M</t>
  </si>
  <si>
    <t>A47006</t>
  </si>
  <si>
    <t>15 EST BOQ FRANJA TERMINAL 1.2 X 4.6M</t>
  </si>
  <si>
    <t>A47007</t>
  </si>
  <si>
    <t>15 CST BOQ FRANJA CENTRADA 1.2 X 9.2M</t>
  </si>
  <si>
    <t>A47008</t>
  </si>
  <si>
    <t>15 SST BOQ FRANJA LATERAL 1.2 X 9.2M</t>
  </si>
  <si>
    <t>A47009</t>
  </si>
  <si>
    <t>A47009 12-F BOQUILLA MPR 360º ALC 3.6 M</t>
  </si>
  <si>
    <t>A47010</t>
  </si>
  <si>
    <t>A47010 12-TQ BOQUILLA MPR 270º ALC 3.6M</t>
  </si>
  <si>
    <t>A47012</t>
  </si>
  <si>
    <t>A47012 12-H BOQUILLA MPR 180º ALC 3.6 M</t>
  </si>
  <si>
    <t>A47013</t>
  </si>
  <si>
    <t>A47012 12-T BOQUILLA MPR 120º ALC 3.6M</t>
  </si>
  <si>
    <t>A47014</t>
  </si>
  <si>
    <t>047014 12-Q BOQUILLA MPR 90ºALC 3.6M</t>
  </si>
  <si>
    <t>A47015</t>
  </si>
  <si>
    <t>A47015 10-F BOQUILLA MPR 360º ALC 3M</t>
  </si>
  <si>
    <t>A47016</t>
  </si>
  <si>
    <t>A47016 10-H BOQUILLA MPR 180º ALC 3M</t>
  </si>
  <si>
    <t>A47017</t>
  </si>
  <si>
    <t>A47017 10-Q BOQUILLA MPR 90º ALC 3M</t>
  </si>
  <si>
    <t>A4701801</t>
  </si>
  <si>
    <t>A4701801 8-F BOQUILLA MPR 360º ALC 2.5M</t>
  </si>
  <si>
    <t>A4701901</t>
  </si>
  <si>
    <t>A4701901 8-H BOQUILLA MPR 180º ALC 2.5M</t>
  </si>
  <si>
    <t>A4702001</t>
  </si>
  <si>
    <t>A4702001 8-Q BOQUILLA MPR 90º ALC 2.5M</t>
  </si>
  <si>
    <t>A47033A</t>
  </si>
  <si>
    <t>15 LCS BOQ. FRANJA ESQUINA IZQ. 1.2X4.6M</t>
  </si>
  <si>
    <t>A47034A</t>
  </si>
  <si>
    <t>15 RCS BOQ. FRANJA ESQUINA DER. 1.2X4.6M</t>
  </si>
  <si>
    <t>A47047</t>
  </si>
  <si>
    <t>9 SST BOQ FRANJA LATERAL EXTENDIDA 2.7 X 5.5M</t>
  </si>
  <si>
    <t>A47070</t>
  </si>
  <si>
    <t>A47070 15-H BOQUILLA MPR 180º ALC 4.6M</t>
  </si>
  <si>
    <t>A47075</t>
  </si>
  <si>
    <t>A47075 8-HFLT BOQUILLA PLANA 180º ALC 2.5M</t>
  </si>
  <si>
    <t>A47077</t>
  </si>
  <si>
    <t>A47077 8-QFLT BOQUILLA PLANA 90º ALC 2.5M</t>
  </si>
  <si>
    <t>A48030</t>
  </si>
  <si>
    <t>SA6050 ENSAMBLE ARTICULADO 1/2"X1/2" PARA TOBERAS</t>
  </si>
  <si>
    <t>A48035</t>
  </si>
  <si>
    <t>SA125050 ENSAMBLE ARTICULADO 1/2"X1/2" - 30,5 CM</t>
  </si>
  <si>
    <t>A48045</t>
  </si>
  <si>
    <t>SA125075 ENSAMBLE ARTICULADO 1/2"X3/4" - 30,5 CM</t>
  </si>
  <si>
    <t>A48050</t>
  </si>
  <si>
    <t>SA127575 ENSAMBLE ARTICULADO 3/4"X3/4" - 30,5 CM</t>
  </si>
  <si>
    <t>A48055</t>
  </si>
  <si>
    <t>SA65075 ENSAMBLE ARTICULADO 1/2" C 3/4" PARA ROTOR 5004</t>
  </si>
  <si>
    <t>A50205</t>
  </si>
  <si>
    <t>1804 PRS CUERPO 4" CON REGULADOR DE PRESION</t>
  </si>
  <si>
    <t>A55010</t>
  </si>
  <si>
    <t>KIT PROTECTOR ANTIHUMEDAD P/ CABLE</t>
  </si>
  <si>
    <t>A553050</t>
  </si>
  <si>
    <t>WR2RS SENSOR DE LLUVIA INALAMBRICO</t>
  </si>
  <si>
    <t>A61200</t>
  </si>
  <si>
    <t>RSDBEX SENSOR DE LLUVIA C/SOPORTE Y CABLE</t>
  </si>
  <si>
    <t>A61200A</t>
  </si>
  <si>
    <t>NO USAR !!!! USAR N97010  RSDBEX SENSOR DE LLUVIA C/SOPORTE</t>
  </si>
  <si>
    <t>A65022</t>
  </si>
  <si>
    <t>A65022 SMRT-YI SENSOR HUMEDAD</t>
  </si>
  <si>
    <t>A66705</t>
  </si>
  <si>
    <t>TSJ12 ENSAMBLE ARTICULADO SWING JOINT PVC RM 1"X30 RAIN BIRD</t>
  </si>
  <si>
    <t>A82060</t>
  </si>
  <si>
    <t>A82060 TUBERIA EXTRAFLEX P/BRAZO ARTICULADO X 100 M</t>
  </si>
  <si>
    <t>A84535</t>
  </si>
  <si>
    <t>R1318Q BOQ. ROTATIVA 90 ALC. 5.6 M</t>
  </si>
  <si>
    <t>A84537</t>
  </si>
  <si>
    <t>R1318T BOQ. ROTATIVA 120 ALC 5.6M</t>
  </si>
  <si>
    <t>A84540</t>
  </si>
  <si>
    <t>R1318H BOQ. ROTATIVA 180º ALC. 5.6M</t>
  </si>
  <si>
    <t>A84542</t>
  </si>
  <si>
    <t>R1318TT BOQ. ROTATIVA 240º ALC 5.6 M</t>
  </si>
  <si>
    <t>A84544</t>
  </si>
  <si>
    <t>R1318TQ BOQ ROTATIVA 270º ALC 5.6M</t>
  </si>
  <si>
    <t>A84545</t>
  </si>
  <si>
    <t>A84545 BOQ. ROTATIVA 360º ALC. 5.6M R-VAN 18</t>
  </si>
  <si>
    <t>A84550</t>
  </si>
  <si>
    <t>R1724Q BOQ. ROTATIVA 90 ALC. 7.4M</t>
  </si>
  <si>
    <t>A84552</t>
  </si>
  <si>
    <t>R1724T BOQ. ROTATIVA 120º ALC. 7.4 M</t>
  </si>
  <si>
    <t>A84555</t>
  </si>
  <si>
    <t>R1724H BOQ. ROTATIVA 180 º ALC. 7.4M</t>
  </si>
  <si>
    <t>A84557</t>
  </si>
  <si>
    <t>R1724TT BOQ. ROTATIVA 240º ALC. 7.4 M</t>
  </si>
  <si>
    <t>A84559</t>
  </si>
  <si>
    <t>R1724TQ BOQ. ROTATIVA 270º ALC. 7.4M</t>
  </si>
  <si>
    <t>A84560</t>
  </si>
  <si>
    <t>A84666 BOQ. ROTATIVA 360º ALC 7.4 M R-VAN 24</t>
  </si>
  <si>
    <t>A84659</t>
  </si>
  <si>
    <t>A84659 BOQ. ROTATIVA AJUST (0-270) R-VAN 14</t>
  </si>
  <si>
    <t>A84660</t>
  </si>
  <si>
    <t>A84660 BOQ. ROTATIVA AJUST (0-270) R-VAN 18</t>
  </si>
  <si>
    <t>A84663</t>
  </si>
  <si>
    <t>A84661 BOQ. ROTATIVA AJUST (0-270º) R-VAN 24</t>
  </si>
  <si>
    <t>A84664</t>
  </si>
  <si>
    <t>A84664 BOQ. ROTATIVA 360° ALC 4.5 R-VAN 14</t>
  </si>
  <si>
    <t>A84665</t>
  </si>
  <si>
    <t>A84665 BOQ. ROTATIVA 360° ALC 5.6 M R-VAN 18</t>
  </si>
  <si>
    <t>A84667</t>
  </si>
  <si>
    <t>A84667 BOQ. ROTATIVA FRANJA ESQ. IZQUIERDA R-VAN LCS</t>
  </si>
  <si>
    <t>A84668</t>
  </si>
  <si>
    <t>A84668 BOQ. ROTATIVA FRANJA ESQ. DERECHA R-VAN RCS</t>
  </si>
  <si>
    <t>A84669</t>
  </si>
  <si>
    <t>A84669 BOQ. ROTATIVA FRANJA LATERAL R-VAN SST</t>
  </si>
  <si>
    <t>B0690008</t>
  </si>
  <si>
    <t>2045A08 MAXI PAW 3/4 RH SECT. EMERG. 4"</t>
  </si>
  <si>
    <t>B31510</t>
  </si>
  <si>
    <t>I150PGA VALVULA SOLEN. 1 1/2" PGA C/REG FLUJO = B34083</t>
  </si>
  <si>
    <t>B31610</t>
  </si>
  <si>
    <t>I200PGA VALVULA SOLEN. 2" PGA C/REG DE FLUJO = B34093 PEB</t>
  </si>
  <si>
    <t>B33135</t>
  </si>
  <si>
    <t>B33135 PRS-DIAL REGULADOR DE PRESION PARA VALVULA RAIN BIRD</t>
  </si>
  <si>
    <t>B40475</t>
  </si>
  <si>
    <t>16AFDV VALVULA DE DRENAJE 1/2" RM</t>
  </si>
  <si>
    <t>B45296</t>
  </si>
  <si>
    <t>ASP IMPACT 3/4" EMERG VAR ALCANCE 13M - CAJA X 12 UNID</t>
  </si>
  <si>
    <t>B45296-U</t>
  </si>
  <si>
    <t>B45296 ASP IMPACT 3/4 EMERG UNIDAD</t>
  </si>
  <si>
    <t>B60111</t>
  </si>
  <si>
    <t xml:space="preserve"> VALVULA SOLENOIDE 1" S/REGULADOR DE FLUJO - CAJA X 5 UNID</t>
  </si>
  <si>
    <t>B60111 - U</t>
  </si>
  <si>
    <t>B60111 - U VALVULA SOLENOIDE 1" S/REGULADOR DE FLUJO - UNIDA</t>
  </si>
  <si>
    <t>B61287</t>
  </si>
  <si>
    <t>B61287 VALVULA SOLENOIDE 1" C/REGULADOR FLUJO</t>
  </si>
  <si>
    <t>B61287-U</t>
  </si>
  <si>
    <t xml:space="preserve"> B61287 VALVULA SOLENOIDE 1" C/REGULADOR DE FLUJO - UNIDAD</t>
  </si>
  <si>
    <t>B65301</t>
  </si>
  <si>
    <t>B65301 ROTOR 6504 PC RH 1"</t>
  </si>
  <si>
    <t>B65311</t>
  </si>
  <si>
    <t>B65311 ROTOR EMERGENTE RH 1" 6504 CIRCULO COMPLETO</t>
  </si>
  <si>
    <t>B65801</t>
  </si>
  <si>
    <t>B65801 IF4PCSS ROTOR 6504 PC RH 1'' VASTAGO INOXIDABLE</t>
  </si>
  <si>
    <t>B65841</t>
  </si>
  <si>
    <t>B65841 IF4PCSSHS ROTOR 6504 PC RH 1'' ALTA VELOC METALICO</t>
  </si>
  <si>
    <t>B70211</t>
  </si>
  <si>
    <t>I100DV VALVULA SOLENOIDE 1" DV S/REG DE FLUJO 24 VCA</t>
  </si>
  <si>
    <t>B70311</t>
  </si>
  <si>
    <t>I100DVF VALVULA SOLEN. 1" DVF C/REG DE FLUJO 24 VCA</t>
  </si>
  <si>
    <t>B80000</t>
  </si>
  <si>
    <t>B80000 TASA PROTECTORA SUPERIOR P/8005</t>
  </si>
  <si>
    <t>B81200</t>
  </si>
  <si>
    <t>I8005 ROTOR 8005 PC/FC RH 1" SAM</t>
  </si>
  <si>
    <t>B81400</t>
  </si>
  <si>
    <t>B81400 ROTOR I8005SS  PC/FC SAM 1"VASTAGO INOX</t>
  </si>
  <si>
    <t>B8160004</t>
  </si>
  <si>
    <t>B8160004 BOQUILLA # 4 NEGRA P/8005</t>
  </si>
  <si>
    <t>B8160006</t>
  </si>
  <si>
    <t>B8160006 BOQUILLA # 6 CELESTE P/8005</t>
  </si>
  <si>
    <t>B8160008</t>
  </si>
  <si>
    <t>B8160008 BOQUILLA # 8 VERDE OSCURO P/8005</t>
  </si>
  <si>
    <t>B8160010</t>
  </si>
  <si>
    <t>B8160010 BOQUILLA #10 GRIS P/8005</t>
  </si>
  <si>
    <t>B8160012</t>
  </si>
  <si>
    <t>B8160012 BOQUILLA #12 BEIGE P/8005</t>
  </si>
  <si>
    <t>B8160014</t>
  </si>
  <si>
    <t>B8160014 BOQUILLA #14 VERDE AGUA P/8005</t>
  </si>
  <si>
    <t>B8160016</t>
  </si>
  <si>
    <t>B8160016 BOQUILLA #16 MARRON P/8005</t>
  </si>
  <si>
    <t>B8160018</t>
  </si>
  <si>
    <t>B8160018 BOQUILLA #18 AZUL P/8005</t>
  </si>
  <si>
    <t>B8160020</t>
  </si>
  <si>
    <t>B8160020 BOQUILLA #20 ROJO P/8005</t>
  </si>
  <si>
    <t>B8160022</t>
  </si>
  <si>
    <t>B8160022 BOQUILLA #22 AMARILLO P/8005</t>
  </si>
  <si>
    <t>B8160024</t>
  </si>
  <si>
    <t>B8160024 BOQUILLA #24 NARANJA P/8005</t>
  </si>
  <si>
    <t>B8160026</t>
  </si>
  <si>
    <t>B8160026 BOQUILLA #26 BLANCO P/8005</t>
  </si>
  <si>
    <t>B81610</t>
  </si>
  <si>
    <t>B81610 SET BOQUILLAS PARA 6504/8005 BAJO VOLUMEN</t>
  </si>
  <si>
    <t>B81630</t>
  </si>
  <si>
    <t>B81630 SET BOQUILLAS PARA 6504/8005 ALTO VOLUMEN</t>
  </si>
  <si>
    <t>B8200018</t>
  </si>
  <si>
    <t>B8200018 ROTOR 7005 PC/PF RH 1" SAM BOQ #18</t>
  </si>
  <si>
    <t>B82200</t>
  </si>
  <si>
    <t>I7005SS ROTOR 7005 PC RH 1" VASTAGO INOX</t>
  </si>
  <si>
    <t>B8240002</t>
  </si>
  <si>
    <t>B8240002 BOQUILLA Nº2 P/ROTOR 5505</t>
  </si>
  <si>
    <t>B8240003</t>
  </si>
  <si>
    <t>B8240003 BOQUILLA Nº3 P/ROTOR 5505</t>
  </si>
  <si>
    <t>B8240004</t>
  </si>
  <si>
    <t>B8240004 BOQUILLA Nº4 P/ROTOR 5505</t>
  </si>
  <si>
    <t>B8240005</t>
  </si>
  <si>
    <t>B8240005 BOQUILLA Nº5 P/ROTOR 5505</t>
  </si>
  <si>
    <t>B8240006</t>
  </si>
  <si>
    <t>B8240006 BOQUILLA Nº6 P/ROTOR 5505</t>
  </si>
  <si>
    <t>B8240008</t>
  </si>
  <si>
    <t>B8240008 BOQUILLA Nº8 P/ROTOR 5505</t>
  </si>
  <si>
    <t>B8240010</t>
  </si>
  <si>
    <t>B8240010 BOQUILLA Nº10 P/ROTOR 5505</t>
  </si>
  <si>
    <t>B8240012</t>
  </si>
  <si>
    <t>B8240012 BOQUILLA Nº12 P/ ROTOR 5505</t>
  </si>
  <si>
    <t>B82500</t>
  </si>
  <si>
    <t>B82500 ROTOR 5505 PC/FC SAM 3/4"</t>
  </si>
  <si>
    <t>C10000</t>
  </si>
  <si>
    <t>IZEHTMR CONTROLADOR DE CANILLA RAIN BIRD</t>
  </si>
  <si>
    <t>D16250</t>
  </si>
  <si>
    <t>FD101 DECODER 1 DIRECCION, 1 VALVULA X DIRECCION</t>
  </si>
  <si>
    <t>D16300</t>
  </si>
  <si>
    <t>FD102 DECODER 1 DIRECCION, 2 VALVULA X DIRECCION</t>
  </si>
  <si>
    <t>D16350</t>
  </si>
  <si>
    <t>LSP-1 PROTECTOR DE LINEAP/DECODER</t>
  </si>
  <si>
    <t>D18000</t>
  </si>
  <si>
    <t>FD601 DECODER 6 DIRECCIONES, 1 VALVULA X DIRECCION</t>
  </si>
  <si>
    <t>D18600</t>
  </si>
  <si>
    <t>FD202 DECODER 2 DIRECCIONES, 2 VALVULA X DIRECCION</t>
  </si>
  <si>
    <t>D18610</t>
  </si>
  <si>
    <t>FD401 DECODER 4 DIRECCIONES, 1 VALVULA X DIRECCION</t>
  </si>
  <si>
    <t>D18700</t>
  </si>
  <si>
    <t>SD210 DECODER PARA SENSORES</t>
  </si>
  <si>
    <t>DBRY20</t>
  </si>
  <si>
    <t>PROTECTOR ANTIHUMEDAD PARA CABLE 15.9 MM</t>
  </si>
  <si>
    <t>DBT020</t>
  </si>
  <si>
    <t>PROTECTOR ANTIHUMEDAD PARA CABLE 12.7MM</t>
  </si>
  <si>
    <t>DR0214</t>
  </si>
  <si>
    <t>DR0214 CABLE BIPOLAR P/DECODER ULSTD493 X METRO</t>
  </si>
  <si>
    <t>F31034</t>
  </si>
  <si>
    <t>NO USAR!! STP 4 CONTROLADOR  4 ESTACIONES 220/24 VCA</t>
  </si>
  <si>
    <t>F31036</t>
  </si>
  <si>
    <t>NO USAR!!! STP 6 CONTROLADOR  6 ESTACIONES 220/24 VCA</t>
  </si>
  <si>
    <t>F31039</t>
  </si>
  <si>
    <t>NO USAR!!! STP 9 CONTROLADOR  9 ESTACIONES 220/24 VCA</t>
  </si>
  <si>
    <t>F31134</t>
  </si>
  <si>
    <t>CONTROLADOR 4 EST ISTP4 PLUS "EX4"</t>
  </si>
  <si>
    <t>F31134A</t>
  </si>
  <si>
    <t>NO USAR- CONTROLADOR 4 EST ISTP PLUS X UNIDAD</t>
  </si>
  <si>
    <t>F31136</t>
  </si>
  <si>
    <t>CONTROLADOR 6 EST ISTP6 PLUS "EX 4"</t>
  </si>
  <si>
    <t>F31136A</t>
  </si>
  <si>
    <t>NO USAR!! CONTROLADOR 6EST ISTP 6 PLUS X UNIDAD</t>
  </si>
  <si>
    <t>F31136-U</t>
  </si>
  <si>
    <t>NO USAR!! F31136 CONTROLADOR 6 EST ISTP6 PLUS - UNIDAD</t>
  </si>
  <si>
    <t>F31139</t>
  </si>
  <si>
    <t>F31139 CONTROLADOR 9 EST ISTP9 PLUS</t>
  </si>
  <si>
    <t>F38160</t>
  </si>
  <si>
    <t>NO USAR  ESP 4M CONTROLADOR MOD</t>
  </si>
  <si>
    <t>F38200</t>
  </si>
  <si>
    <t>F38200 SM-3 MODULO DE AMPL 3 EST P/ CONTR ESP-ME 4EST</t>
  </si>
  <si>
    <t>F38260</t>
  </si>
  <si>
    <t>F38260 SM-6 MODULO DE AMPLI 6 EST P/CONTR ESP-ME</t>
  </si>
  <si>
    <t>F38430</t>
  </si>
  <si>
    <t>F38430 ESP-ME CONTROLADOR MODULAR 4-22 EST</t>
  </si>
  <si>
    <t>F42210</t>
  </si>
  <si>
    <t>ESPLXMSM8 MODULO DE AMPLIACION 8 ESTACIONES</t>
  </si>
  <si>
    <t>F42220</t>
  </si>
  <si>
    <t>ESPLXMSM12 MODULO DE AMPLIACION 12 ESTACIONES</t>
  </si>
  <si>
    <t>F43110</t>
  </si>
  <si>
    <t>F43110 ESP-LXD CONTROLADOR P/ DECODER 50-200 EST</t>
  </si>
  <si>
    <t>F43150</t>
  </si>
  <si>
    <t>F43150 MODULO DE EXPANSION PARA ESPL-LXD 75 EST</t>
  </si>
  <si>
    <t>F43501</t>
  </si>
  <si>
    <t>F43501 KIT CONTROLADOR ESP-LXD + DECODERS</t>
  </si>
  <si>
    <t>F44081</t>
  </si>
  <si>
    <t>F44081 ESP-LXME CONTROLADOR MODULAR 8-44 EST</t>
  </si>
  <si>
    <t>F44081CERT</t>
  </si>
  <si>
    <t>F44081 ESP-LXME CONTROLADOR MODULAR 8-44 EST PARA CERT</t>
  </si>
  <si>
    <t>F45424</t>
  </si>
  <si>
    <t>RZX4I- CONTROLADOR 4 EST ESP-RZX</t>
  </si>
  <si>
    <t>F45426</t>
  </si>
  <si>
    <t>RZX6I- CONTROLADOR 6 EST ESP-RZX</t>
  </si>
  <si>
    <t>F45428</t>
  </si>
  <si>
    <t>RZX8I- CONTROLADOR 8 EST ESP-RZX</t>
  </si>
  <si>
    <t>F46110</t>
  </si>
  <si>
    <t>ESP-LXIVM CONTROLADOR 2 CABLES IVM 60 ESTACIONES</t>
  </si>
  <si>
    <t>F47100</t>
  </si>
  <si>
    <t>SOLENOIDE 24VAC PARA CONTROLADOR IVM</t>
  </si>
  <si>
    <t>F47110</t>
  </si>
  <si>
    <t xml:space="preserve">MODULO PARA SENSORES </t>
  </si>
  <si>
    <t>F47120</t>
  </si>
  <si>
    <t>MODULO PARA SALIDAS</t>
  </si>
  <si>
    <t>F48210</t>
  </si>
  <si>
    <t>F48210 TRANSMISOR DE CAMPO P/SOL 9V</t>
  </si>
  <si>
    <t>F48221</t>
  </si>
  <si>
    <t>F48221 MODULO DE CONTROL T-BOS 2 ESTACIONES</t>
  </si>
  <si>
    <t>F48222</t>
  </si>
  <si>
    <t>F48222 MODULO DE CONTROL T-BOS 2 ESTACIONES</t>
  </si>
  <si>
    <t>F48312</t>
  </si>
  <si>
    <t>F48312 CONTROLADOR A BATERIA WPX  2 ESTACIONES WPX 2</t>
  </si>
  <si>
    <t>F48321</t>
  </si>
  <si>
    <t>F48321 CONTROLADOR A BATERIA WPX 1 ESTACION CON SOLENOIDE</t>
  </si>
  <si>
    <t>F48331</t>
  </si>
  <si>
    <t>F48331 CONTROLADOR A BATERIA WPX  1 ESTACION MAS VALVULA</t>
  </si>
  <si>
    <t>F54224</t>
  </si>
  <si>
    <t>F54224 ESP-TM2 CONTROLADOR  4 EST OUTDOOR APTO WIFI</t>
  </si>
  <si>
    <t>F54226</t>
  </si>
  <si>
    <t>F54226 ESP-TM2 CONTROLADOR 6 EST OUTDOOR APTO WIFI</t>
  </si>
  <si>
    <t>F54228</t>
  </si>
  <si>
    <t>F54228 ESP-TM2 CONTROLADOR 8 EST OUTDOOR APTO WIFI</t>
  </si>
  <si>
    <t>F54232</t>
  </si>
  <si>
    <t>F54232 ESP-TM2 CONTROLADOR 12 EST OUTDOOR APTO WIFI</t>
  </si>
  <si>
    <t>F54232CERT</t>
  </si>
  <si>
    <t>F54232 ESP-TM2 CONTROLADOR 12 EST OUTDOOR APTO WIFI P/ CERT</t>
  </si>
  <si>
    <t>F55001</t>
  </si>
  <si>
    <t>F55001 ESP-LNK MODULO WIFI</t>
  </si>
  <si>
    <t>F55130</t>
  </si>
  <si>
    <t>F55130 ESP4ME CONTROLADOR MODULAR WIFI S/MODULO</t>
  </si>
  <si>
    <t>F55334</t>
  </si>
  <si>
    <t>F55334 CONTROLADOR 4 EST ESP-RZXE4I APTO WIFI</t>
  </si>
  <si>
    <t>F55334CERT</t>
  </si>
  <si>
    <t>F55334 CONTROLADOR 4 EST ESP-RZXE4I APTO WIFI PARA CERT</t>
  </si>
  <si>
    <t>F55336</t>
  </si>
  <si>
    <t>F55336 CONTROLADOR 6 EST ESP-RZXE6I APTO WIFI</t>
  </si>
  <si>
    <t>F55338</t>
  </si>
  <si>
    <t>F55338 CONTROLADOR 8 EST ESP-RZXE8I APTO WIFI</t>
  </si>
  <si>
    <t>F55420</t>
  </si>
  <si>
    <t>F55420 CONTROLADOR MODULAR ESP-ME3 4-22 ESTACIONES</t>
  </si>
  <si>
    <t>H01000</t>
  </si>
  <si>
    <t>I100-HV   BSP VALVULA SOLENOIDE 1" HV S/ REG FLUJO 24 VA</t>
  </si>
  <si>
    <t>H01010</t>
  </si>
  <si>
    <t>I100-HVF BSP VALVULA SOLENOIDE 1" HV C/ REG FLUJO 24 VA</t>
  </si>
  <si>
    <t>H04230ARG</t>
  </si>
  <si>
    <t>H04230ARG COMBO CONTROLADOR RZX4 + 4 VALVULAS HV 1"</t>
  </si>
  <si>
    <t>H06230ARG</t>
  </si>
  <si>
    <t>H06230ARG COMBO CONTROLADOR RZX6 + 6 VALVULAS HV 1"</t>
  </si>
  <si>
    <t>HE0801</t>
  </si>
  <si>
    <t>HE0801 BOQUILLA HE-VAN-08</t>
  </si>
  <si>
    <t>HE1001</t>
  </si>
  <si>
    <t>HE1001 BOQUILLA HE-VAN-10</t>
  </si>
  <si>
    <t>HE1201</t>
  </si>
  <si>
    <t>HE1201 BOQUILLA HE-VAN-12</t>
  </si>
  <si>
    <t>HE1501</t>
  </si>
  <si>
    <t>HE1501 BOQUILLA HE-VAN-15</t>
  </si>
  <si>
    <t>IQ4613E</t>
  </si>
  <si>
    <t>IQ4613E MODULO CONEXION 3G P/ESP-LXME-LXD</t>
  </si>
  <si>
    <t>IQNCCEN</t>
  </si>
  <si>
    <t>IQNCCEN CARTUCHO DE COMUNICACION ETHERNET P/ESP-LX</t>
  </si>
  <si>
    <t>K80920</t>
  </si>
  <si>
    <t>K80920 SOLENOIDE LATCH 9V</t>
  </si>
  <si>
    <t>M80108</t>
  </si>
  <si>
    <t>M80108 SENSOR DE FLUJO FS100P - TE PVC 1"</t>
  </si>
  <si>
    <t>N97010</t>
  </si>
  <si>
    <t>N97010 CPRSDBEX CP SENSOR DE LLUVIA CAJA X 5 UNIDAD</t>
  </si>
  <si>
    <t>N97010-U</t>
  </si>
  <si>
    <t>N97010 CPRSDBEX CP SENSOR LLUVIA UNIDAD</t>
  </si>
  <si>
    <t>P10004</t>
  </si>
  <si>
    <t>4 VAN BOQ. 4 VAN ALCANCE 1.2M</t>
  </si>
  <si>
    <t>P10006</t>
  </si>
  <si>
    <t>6 VAN BOQ. 6 VAN ALCANCE 1.8M</t>
  </si>
  <si>
    <t>P10008</t>
  </si>
  <si>
    <t>8 VAN BOQ. 8 VAN ALCANCE 2.5M</t>
  </si>
  <si>
    <t>P1001001</t>
  </si>
  <si>
    <t>10VAN BOQ. 10 VAN ALCANCE 3.0 M.</t>
  </si>
  <si>
    <t>P1001201</t>
  </si>
  <si>
    <t>12VAN BOQ. 12 VAN ALCANCE 3.6M</t>
  </si>
  <si>
    <t>P1001501</t>
  </si>
  <si>
    <t>15VAN BOQ. 15 VAN ALCANCE 4.5</t>
  </si>
  <si>
    <t>P10018</t>
  </si>
  <si>
    <t>18VAN BOQ. 18 VAN ALCANCE 5.5M</t>
  </si>
  <si>
    <t>P2101201</t>
  </si>
  <si>
    <t>US212 CUERPO 2" MAS 12 VAN ALCANCE 3.60 M</t>
  </si>
  <si>
    <t>P2101501</t>
  </si>
  <si>
    <t>US215 CUERPO 2" MAS 15 VAN ALCANCE 4.50 M</t>
  </si>
  <si>
    <t>P40000</t>
  </si>
  <si>
    <t>US400 CUERPO 4" SIN BOQUILLA</t>
  </si>
  <si>
    <t>P4101001</t>
  </si>
  <si>
    <t>US410 CUERPO 4 MAS 10 VAN ALCANCE 3.0MTS</t>
  </si>
  <si>
    <t>P4101201</t>
  </si>
  <si>
    <t>US412 CUERPO 4" MAS 12 VAN ALCANCE 3.6M</t>
  </si>
  <si>
    <t>P4101501</t>
  </si>
  <si>
    <t>US415 CUERPO 4" MAS 15 VAN ALCANCE 4.5M</t>
  </si>
  <si>
    <t>P41018</t>
  </si>
  <si>
    <t>US418 CUERPO 4" MAS 18 VAN ALCANCE 5.5M</t>
  </si>
  <si>
    <t>P90000</t>
  </si>
  <si>
    <t>US SAM UNI-SPRAY SAM VALV. RETENCION</t>
  </si>
  <si>
    <t>PR0009</t>
  </si>
  <si>
    <t>IESP4MROW CONTROLADOR MODULAR RAIN BIRD 4-13"NO USAR"</t>
  </si>
  <si>
    <t>PR0010</t>
  </si>
  <si>
    <t>MODULO DE AMPLIACION 3 EST P/ ESP 4"NO USAR"</t>
  </si>
  <si>
    <t>PR0188</t>
  </si>
  <si>
    <t>EXHIBIDOR ACRILICO RAIN BIRD RZX</t>
  </si>
  <si>
    <t>PR0189</t>
  </si>
  <si>
    <t>CATALOGO RAIN BIRD 2013</t>
  </si>
  <si>
    <t>U10010</t>
  </si>
  <si>
    <t>U15H BOQUILLA"U" 180º</t>
  </si>
  <si>
    <t>U10015</t>
  </si>
  <si>
    <t>U15Q BOQUILLA "U" 90º</t>
  </si>
  <si>
    <t>U10020</t>
  </si>
  <si>
    <t>U15F BOQUILLA "U" 360º U15F</t>
  </si>
  <si>
    <t>U10025</t>
  </si>
  <si>
    <t>U15T BOQUILLA "U" 120º</t>
  </si>
  <si>
    <t>U10030</t>
  </si>
  <si>
    <t>U15TT BOQUILLA "U" 240º</t>
  </si>
  <si>
    <t>U10035</t>
  </si>
  <si>
    <t>U15TQ BOQUILLA "U" 270º</t>
  </si>
  <si>
    <t>U10110</t>
  </si>
  <si>
    <t>U10110 U12-H BOQUILLA "U" 180ª ALC 3.6 M</t>
  </si>
  <si>
    <t>U10115</t>
  </si>
  <si>
    <t>U10115 U12-Q BOQUILLA "U" 90ª ALC 3.6 M</t>
  </si>
  <si>
    <t>U10120</t>
  </si>
  <si>
    <t>U10120 U12-F BOQUILLA "U" 360ª ALC 3.6 M</t>
  </si>
  <si>
    <t>U10125</t>
  </si>
  <si>
    <t>U10125 U12-T BOQUILLA "U" 120ª ALC 3.6 M</t>
  </si>
  <si>
    <t>U10130</t>
  </si>
  <si>
    <t>U10130 U12-TT BOQUILLA "U" 240 ALC 3.6M</t>
  </si>
  <si>
    <t>U10135</t>
  </si>
  <si>
    <t>U10135 U12-TQ BOQUILLA "U" 270ª ALC 3.6 M</t>
  </si>
  <si>
    <t>U10210</t>
  </si>
  <si>
    <t>U10210 U10-H BOQUILLA "U" 180ª ALC 3M</t>
  </si>
  <si>
    <t>U10215</t>
  </si>
  <si>
    <t>U10215 U10-Q BOQUILLA "U" 90ª ALC 3M</t>
  </si>
  <si>
    <t>U10220</t>
  </si>
  <si>
    <t>U10220 U10-F BOQUILLA "U" 180º ALC 3M</t>
  </si>
  <si>
    <t>U10225</t>
  </si>
  <si>
    <t>U10225 U10-T BOQUILLA "U" 120ª ALC 3 M</t>
  </si>
  <si>
    <t>V85222</t>
  </si>
  <si>
    <t>V85222 CAÑON DE RIEGO SR2005 RG</t>
  </si>
  <si>
    <t>V85224</t>
  </si>
  <si>
    <t>V85224 CAÑON DE RIEGO SR3003 RG</t>
  </si>
  <si>
    <t>V90055A</t>
  </si>
  <si>
    <t>4521WDG 146 BANDERIN INDICADOR BLANCO</t>
  </si>
  <si>
    <t>V90058A</t>
  </si>
  <si>
    <t>4521W1463 1463 BANDERIN INDICADOR VERDE</t>
  </si>
  <si>
    <t>W32001</t>
  </si>
  <si>
    <t>ROTOR EMERGENTE 3504 RH1/2 ALCANCE 10.5M - CAJA X 24 UNID</t>
  </si>
  <si>
    <t>W32001-U</t>
  </si>
  <si>
    <t>ROTOR EMERGENTE 3504 RH1/2 ALCANCE 10.5M - UNIDAD</t>
  </si>
  <si>
    <t>W42003</t>
  </si>
  <si>
    <t>ROTOR EMERGENTE 5004 RH 3/4 ALCANCE 15.5M - CAJA X 28 UNID.</t>
  </si>
  <si>
    <t>W42003-U</t>
  </si>
  <si>
    <t>ROTOR EMERGENTE 5004 RH 3/4 ALCANCE 15.5M - UNIDAD</t>
  </si>
  <si>
    <t>WC20</t>
  </si>
  <si>
    <t>WPSK20 CONECTOR DE EMPALME KIT 20</t>
  </si>
  <si>
    <t>X17001</t>
  </si>
  <si>
    <t>X17001 VALVULA DE AIRE, INTERRUPTOR DE VACIO RM 1/2"</t>
  </si>
  <si>
    <t>X42001</t>
  </si>
  <si>
    <t>XBF3TEE TE PARA MICROTUBO</t>
  </si>
  <si>
    <t>X42011</t>
  </si>
  <si>
    <t>XBF2EL CODO PARA MICROTUBO</t>
  </si>
  <si>
    <t>X42021</t>
  </si>
  <si>
    <t>XBF1CONN CONECTOR INICIAL PARA MICROTUBO</t>
  </si>
  <si>
    <t>X43000</t>
  </si>
  <si>
    <t>MDCFCOUP ACOPLE EASY FIT - CUPLA</t>
  </si>
  <si>
    <t>X43001</t>
  </si>
  <si>
    <t>MDCFEL ACOPLE EASY FIT - CODO</t>
  </si>
  <si>
    <t>X43002</t>
  </si>
  <si>
    <t>MDCFTEE ACOPLE EASY FIT - TE</t>
  </si>
  <si>
    <t>X48000</t>
  </si>
  <si>
    <t>X48000 TUBO DE GOTEO 2.3 L/H C/ 30 CM SUBTERRANEO ROLLOX30M</t>
  </si>
  <si>
    <t>X48002</t>
  </si>
  <si>
    <t>X48002 TUBO DE GOTEO 2.3 L/H C/30CM SUBTERRANEO ROLLOX152M</t>
  </si>
  <si>
    <t>X50001</t>
  </si>
  <si>
    <t>PC DIFUSER TAPA DIFUSORA C/ COMPENSACION DE PRESION</t>
  </si>
  <si>
    <t>X51000</t>
  </si>
  <si>
    <t>XBA1800 ADAPTADOR MICROASPERSOR A TOBERA</t>
  </si>
  <si>
    <t>X54000</t>
  </si>
  <si>
    <t>TS025 ESTACA PARA MICROTUBO</t>
  </si>
  <si>
    <t>X54001</t>
  </si>
  <si>
    <t>TS025WCAP ESTACA PASRA MICROTUBO CON TAPA ANTI INSECTO</t>
  </si>
  <si>
    <t>X54900</t>
  </si>
  <si>
    <t>SQ FULL BOQUILLAS DE PATRON CUADRADO - SERIE SQ ROJO</t>
  </si>
  <si>
    <t>X54901</t>
  </si>
  <si>
    <t>SQ HALF BOQUILLAS DE PATRON CUADRADO - SERIE SQ MARRON</t>
  </si>
  <si>
    <t>X54902</t>
  </si>
  <si>
    <t>SQ QTR BOQUILLAS DE PATRON CUADRADO - SERIE SQ VIOLETA</t>
  </si>
  <si>
    <t>X54903</t>
  </si>
  <si>
    <t>SQ ADP ADAPTADOR 1/2" PARA POLIFLEX</t>
  </si>
  <si>
    <t>X54904</t>
  </si>
  <si>
    <t>SQ ADP12 ADAPTADOR 1/2" PARA POLIFLEX + TUB POLIFLEX 30,5"</t>
  </si>
  <si>
    <t>X54905</t>
  </si>
  <si>
    <t>SQ ADP24 ADAPTADOR 1/2" P/POLIFLEX + TUB POLIFLEX 61CM</t>
  </si>
  <si>
    <t>X55020</t>
  </si>
  <si>
    <t>NO USAR</t>
  </si>
  <si>
    <t>X55050</t>
  </si>
  <si>
    <t>RS025T ESTACA ROSCADA PARA TUBERIA POLIFLEX</t>
  </si>
  <si>
    <t>X56000</t>
  </si>
  <si>
    <t>PFR-12 TUBERIA DE ELEVACION POLIFLEX 30,5 CM</t>
  </si>
  <si>
    <t>X56200</t>
  </si>
  <si>
    <t>PRDFRA TUBERIA POLIFLEX 30,5 CM MAS ADAPTADOR 1/2"</t>
  </si>
  <si>
    <t>X57000</t>
  </si>
  <si>
    <t>EMT6XERI DISTRIBUIDOR 6 SALIDAS P/MICROTUBO</t>
  </si>
  <si>
    <t>X59000</t>
  </si>
  <si>
    <t>1032A ADAPTADOR 1/2"  PARA MICROASPERSOR</t>
  </si>
  <si>
    <t>X6010</t>
  </si>
  <si>
    <t>X64036</t>
  </si>
  <si>
    <t>SXB360025 XERI BUBBLER 360°</t>
  </si>
  <si>
    <t>X64039</t>
  </si>
  <si>
    <t>SXB360SPYK XERI BUBBLER 360°  CON ESTACA</t>
  </si>
  <si>
    <t>X64046</t>
  </si>
  <si>
    <t>SXB180025 XERI BUBBLER 180°</t>
  </si>
  <si>
    <t>X64049</t>
  </si>
  <si>
    <t>SXB180SPYK XERI BUBBLER 180°  CON ESTACA</t>
  </si>
  <si>
    <t>X66000</t>
  </si>
  <si>
    <t>XS090 MICROASPERSOR XERI SPRAY 90°</t>
  </si>
  <si>
    <t>X66010</t>
  </si>
  <si>
    <t>XS180 MICROASPERSOR XERI SPRAY 180°</t>
  </si>
  <si>
    <t>X66020</t>
  </si>
  <si>
    <t>XS360 MICROASPERSOR XERI SPRAY 360°</t>
  </si>
  <si>
    <t>X66039</t>
  </si>
  <si>
    <t>XS360TSPYK MICROASPERSOR XERI SPRAY 360°  CON ESTACA</t>
  </si>
  <si>
    <t>X67000</t>
  </si>
  <si>
    <t>XB-10-6 EMISOR XERI BUG AUTOCOMP 3,79 L/H NEGRO 6 SALIDAS</t>
  </si>
  <si>
    <t>X67021</t>
  </si>
  <si>
    <t>XB-20-6 EMISOR XERI BUG AUTOCOMP 7,57 L/H ROJO 6 SALIDAS</t>
  </si>
  <si>
    <t>X67051</t>
  </si>
  <si>
    <t>XB-05-6 EMISOR XERI BUG AUTOCOMP 1,89 L/H AZUL 6 SALIDAS</t>
  </si>
  <si>
    <t>X68030</t>
  </si>
  <si>
    <t>XB-05 EMISOR XERI BUG AUTOCOMP 1,89 L/H AZUL</t>
  </si>
  <si>
    <t>X68040</t>
  </si>
  <si>
    <t>XB-10 EMISOR XERI BUG AUTOCOMP 3,79 L/H NEGRO</t>
  </si>
  <si>
    <t>X68050</t>
  </si>
  <si>
    <t>XB-20 EMISOR XERI BUG AUTOCOMP 7,57 L/H ROJO</t>
  </si>
  <si>
    <t>X71005</t>
  </si>
  <si>
    <t>PC-05 EMISOR COMP DE PRESION MARRON CLARO 18,93 L/H</t>
  </si>
  <si>
    <t>X71007</t>
  </si>
  <si>
    <t>PC-07 EMISOR COMP DE PRESION VIOLETA 26,5 L/H</t>
  </si>
  <si>
    <t>X71010</t>
  </si>
  <si>
    <t>PC-10 EMISOR COMP DE PRESION VERDE 37,85 L/H</t>
  </si>
  <si>
    <t>X71012</t>
  </si>
  <si>
    <t>PC-12 EMISOR COMP DE PRESION MARRON OSCURO 45,42 L/H</t>
  </si>
  <si>
    <t>X71018</t>
  </si>
  <si>
    <t>PC-18 EMISOR COMP DE PRESION BLANCO 68,13 L/H</t>
  </si>
  <si>
    <t>X71024</t>
  </si>
  <si>
    <t>PC-24 EMISOR COMP DE PRESION NARANJA 90,84 L/H</t>
  </si>
  <si>
    <t>XLR24BSP</t>
  </si>
  <si>
    <t>XLR24BSP CAÑON RIE XLR WATERJET RH2" 31-61M 42-79M3/H 2-7BAR</t>
  </si>
  <si>
    <t>XLRNOZ110</t>
  </si>
  <si>
    <t>XLRNOZ110 BOQUILLA PARA XLR WATER JET 28 MM</t>
  </si>
  <si>
    <t>XLRNOZ55</t>
  </si>
  <si>
    <t>XLRNOZ55 BOQUILLA PARA CAÑON XLR WATER JET 14 MM</t>
  </si>
  <si>
    <t>XLRNOZ79</t>
  </si>
  <si>
    <t>XLRNOZ79 BOQUILLA PARA CAÑON XLR WATER JET 20 MM</t>
  </si>
  <si>
    <t>XLRNOZ94</t>
  </si>
  <si>
    <t>XLRNOZ94 BOQUILLA PARA CAÑON XLR WATER JET 24 MM</t>
  </si>
  <si>
    <t>Y03500</t>
  </si>
  <si>
    <t>Y03500 3500TREE - JUEGO DE BOQUILLAS 3500</t>
  </si>
  <si>
    <t>Y04500</t>
  </si>
  <si>
    <t>5000 PL PLUS NOZZLE TREE</t>
  </si>
  <si>
    <t>Y04625</t>
  </si>
  <si>
    <t>5000-MPR-25 BOQUILLA ROJA 90º,120º,180º Y 360º</t>
  </si>
  <si>
    <t>Y04630</t>
  </si>
  <si>
    <t>5000-MPR-30 BOQUILLA VERDE 90º,120º,180º Y 360º</t>
  </si>
  <si>
    <t>Y04635</t>
  </si>
  <si>
    <t>5000-MPR-35 BOQUILLA BEIGE 90º,120º,180º Y 360º</t>
  </si>
  <si>
    <t>Y05100</t>
  </si>
  <si>
    <t>ROTORTOOL DESTORNILLADOR P/ROTORES RB</t>
  </si>
  <si>
    <t>Y34000</t>
  </si>
  <si>
    <t>3504PC ROTOR 3504 PC RH 1/2</t>
  </si>
  <si>
    <t>Y34500</t>
  </si>
  <si>
    <t>Y34500 ROTOR 3504 PCS RH 1/2 CON SAM</t>
  </si>
  <si>
    <t>Y45000</t>
  </si>
  <si>
    <t>5004 PLPC ROTOR 5004 PC PLUS RH3/4" C/ CORTE</t>
  </si>
  <si>
    <t>Y45650</t>
  </si>
  <si>
    <t>5004 PLUS PC SAM ROTOR 5004 RH 3/4</t>
  </si>
  <si>
    <t>Y54007</t>
  </si>
  <si>
    <t>5004 PC ROTOR 5004 PC RH 3/4</t>
  </si>
  <si>
    <t>Y55007</t>
  </si>
  <si>
    <t>5004 PCSAM ROTOR 5004 PC RH3/4" C/ VALV RET SAM</t>
  </si>
  <si>
    <t>Y65000</t>
  </si>
  <si>
    <t>5004 PLUS PRS PC ROTOR 5004 RH 3/4</t>
  </si>
  <si>
    <t>ZA84005</t>
  </si>
  <si>
    <t>ZA84005 CONTROLADOR DE CANILLA RAIN BIRD ROSCA BSP</t>
  </si>
  <si>
    <t>2003035 SACABOCADO</t>
  </si>
  <si>
    <t>2010002 GOTERO RAMBO N 2 L/H</t>
  </si>
  <si>
    <t>2010004 GOTERO RAMBO N 4 L/H</t>
  </si>
  <si>
    <t>201008 GOTERO RAMBO N 8 L/H</t>
  </si>
  <si>
    <t>2010016 GOTERO RAMBO N 16 L/H</t>
  </si>
  <si>
    <t>2013180 PICO PARA MICROJET 180º</t>
  </si>
  <si>
    <t>2013360 PICO PARA MICROJET 360º</t>
  </si>
  <si>
    <t>2015015 GOTERO AUTOCOMPENSADO RAMBO 15 L/H</t>
  </si>
  <si>
    <t>2015040 GOTERO AUTOCOMPENSADO RAMBO 4 L/H</t>
  </si>
  <si>
    <t>2015080 GOTERO AUTOCOMPENSADO RAMBO 8 L/H</t>
  </si>
  <si>
    <t>2016008 BASE PARA MICROJET 0.8MM</t>
  </si>
  <si>
    <t>2060004 TAPON ENMIENDA ERRORES 4MM</t>
  </si>
  <si>
    <t>2060016 TAPON ESPIGA 16 MM</t>
  </si>
  <si>
    <t>2061004 CONECTOR MICROTUBO 4MM</t>
  </si>
  <si>
    <t>912300016 ESTACA PARA TUBERIA PE 16 MM</t>
  </si>
  <si>
    <t>2210016000 VALVULA ESPIGA 16 X 16 MM</t>
  </si>
  <si>
    <t>2210020000 VALVULA ESPIGA 20 X 20 MM</t>
  </si>
  <si>
    <t>2235016000 VALVULA INICIAL C/GOMA A TUB 16 MM</t>
  </si>
  <si>
    <t>2248016016  VALVULA ESPIGA 16 MM X CINTA</t>
  </si>
  <si>
    <t>9190016000 CONECTOR RECTO ESP X ESPIGA 16</t>
  </si>
  <si>
    <t>9190020000 CONECTOR RECTO ESP X ESPIGA 20</t>
  </si>
  <si>
    <t>9190020016 ESPIGA REDUCCION PE 20 X 16MM</t>
  </si>
  <si>
    <t>9191016000 TE PE 16X16X16</t>
  </si>
  <si>
    <t>9191020000 TE PE 20X20X20</t>
  </si>
  <si>
    <t>9193016000 CODO PE 16MM</t>
  </si>
  <si>
    <t>9193020000 CODO PE 20MM</t>
  </si>
  <si>
    <t>014102500B</t>
  </si>
  <si>
    <t>014102500B COLLARIN D. 25X1/2"</t>
  </si>
  <si>
    <t>014102500C</t>
  </si>
  <si>
    <t>014102500C COLLARIN D. 25X3/4"</t>
  </si>
  <si>
    <t>014103200B</t>
  </si>
  <si>
    <t>014103200B COLLARIN D.32X1/2"</t>
  </si>
  <si>
    <t>014103200C</t>
  </si>
  <si>
    <t>014103200C COLLARIN D.32X3/4"</t>
  </si>
  <si>
    <t>014104000B</t>
  </si>
  <si>
    <t>014104000B COLLARIN D. 40X1/2"</t>
  </si>
  <si>
    <t>014104000C</t>
  </si>
  <si>
    <t>014104000C COLLARIN D. 40X3/4</t>
  </si>
  <si>
    <t>014104000D</t>
  </si>
  <si>
    <t>014104000D COLLARIN D. 40X1"</t>
  </si>
  <si>
    <t>014105000B</t>
  </si>
  <si>
    <t>014105000B COLLARIN D.50X1/2"</t>
  </si>
  <si>
    <t>014105000C</t>
  </si>
  <si>
    <t>014105000C COLLARIN D. 50X3/4"</t>
  </si>
  <si>
    <t>014105000D</t>
  </si>
  <si>
    <t>014105000D COLLARIN D.50X1</t>
  </si>
  <si>
    <t>014106300B</t>
  </si>
  <si>
    <t>014106300B COLLARIN D. 63X1/2"</t>
  </si>
  <si>
    <t>014106300C</t>
  </si>
  <si>
    <t>014106300C COLLARIN D. 63X3/4"</t>
  </si>
  <si>
    <t>014106300D</t>
  </si>
  <si>
    <t>014106300D COLLARIN D. 63X1"</t>
  </si>
  <si>
    <t>014107500B</t>
  </si>
  <si>
    <t>014107500B COLLARIN D. 75X1/2"</t>
  </si>
  <si>
    <t>014107500C</t>
  </si>
  <si>
    <t>014107500C COLLARIN D. 75X3/4"</t>
  </si>
  <si>
    <t>014107500D</t>
  </si>
  <si>
    <t>014107500D COLLARIN D.75X1"</t>
  </si>
  <si>
    <t>014109000B</t>
  </si>
  <si>
    <t>014109000B COLLARIN D. 90X1/2"</t>
  </si>
  <si>
    <t>014109000C</t>
  </si>
  <si>
    <t>014109000C COLLARIN D. 90X3/4</t>
  </si>
  <si>
    <t>014109000D</t>
  </si>
  <si>
    <t>014109000D COLLARIN D.90X1"</t>
  </si>
  <si>
    <t>014111000B</t>
  </si>
  <si>
    <t>014111000B COLLARIN D. 110X1/2"</t>
  </si>
  <si>
    <t>014111000C</t>
  </si>
  <si>
    <t>014111000C COLLARIN D.110 X 3/4</t>
  </si>
  <si>
    <t>014111000D</t>
  </si>
  <si>
    <t>014111000D COLLARIN D. 110X1"</t>
  </si>
  <si>
    <t>01461100BB</t>
  </si>
  <si>
    <t>01461100BB COLLARIN DOBLE  D. PN12,5 110X1/2"</t>
  </si>
  <si>
    <t>014803200D</t>
  </si>
  <si>
    <t>014803200D COLLARIN D. 32X1" PN 12,5</t>
  </si>
  <si>
    <t>014806300F</t>
  </si>
  <si>
    <t>014806300F COLLARIN PN 12,5 D63 X 1 1/2"</t>
  </si>
  <si>
    <t>014807500F</t>
  </si>
  <si>
    <t>014807500F  COLLARIN PN 12.5 D75 X 1 1/2"</t>
  </si>
  <si>
    <t>014807500G</t>
  </si>
  <si>
    <t>014807500G COLLARIN PN 12,5 D75 X 2"</t>
  </si>
  <si>
    <t>014809000F</t>
  </si>
  <si>
    <t>014809000F COLLARIN PN 12,5 D90 X1 1/2"</t>
  </si>
  <si>
    <t>014809000G</t>
  </si>
  <si>
    <t>014809000G COLLARIN PN 12,5 D90 X 2"</t>
  </si>
  <si>
    <t>014811000F</t>
  </si>
  <si>
    <t>014811000F COLLARIN PN 12,5 D110X1 1/2"</t>
  </si>
  <si>
    <t>014811000G</t>
  </si>
  <si>
    <t>014811000G COLLARIN PN 12,5 D110X2"</t>
  </si>
  <si>
    <t>014812500D</t>
  </si>
  <si>
    <t>014812500D COLLARIN PN 12,5 D125X1</t>
  </si>
  <si>
    <t>014812500F</t>
  </si>
  <si>
    <t>014812500F COLLARIN PN 12,5 D125X 1 1/2"</t>
  </si>
  <si>
    <t>014812500G</t>
  </si>
  <si>
    <t>014812500G COLLARIN PN 12,5 D125X2"</t>
  </si>
  <si>
    <t>014814000D</t>
  </si>
  <si>
    <t>014814000D COLLARIN PN 12,5 D140X1"</t>
  </si>
  <si>
    <t>014814000F</t>
  </si>
  <si>
    <t>014814000F COLLARIN PN 12,5 D140X1 1/2"</t>
  </si>
  <si>
    <t>014814000G</t>
  </si>
  <si>
    <t>014814000G COLLARIN PN 12,5 D140X2"</t>
  </si>
  <si>
    <t>014816000B</t>
  </si>
  <si>
    <t>014816000B COLLARIN PN 12,5 D160X1/2"</t>
  </si>
  <si>
    <t>014816000D</t>
  </si>
  <si>
    <t>014816000D COLLARIN PN 12,5 D160X1"</t>
  </si>
  <si>
    <t>014816000F</t>
  </si>
  <si>
    <t>014816000F COLLARIN PN 12,5 D160X1 1/2"</t>
  </si>
  <si>
    <t>014816000G</t>
  </si>
  <si>
    <t>014816000G COLLARIN PN 12,5 D160X2"</t>
  </si>
  <si>
    <t>01491600BB</t>
  </si>
  <si>
    <t>01491600BB COLLARIN DOBLE  D. PN12,5 160X1/2"</t>
  </si>
  <si>
    <t>01491600GG</t>
  </si>
  <si>
    <t>01491600GG COLLARIN DOBLE D160X2"</t>
  </si>
  <si>
    <t>015011000LX</t>
  </si>
  <si>
    <t>015011000LX COLLARIN PN10 D110X3 ANILLO INOX</t>
  </si>
  <si>
    <t>015014000LX</t>
  </si>
  <si>
    <t>015014000LX COLLARIN PN10 D140X3" ANILLO INOX</t>
  </si>
  <si>
    <t>015016000EX</t>
  </si>
  <si>
    <t>015016000EX COLLARIN PN16 D160X1 1/4 ANILLO METALICO</t>
  </si>
  <si>
    <t>015016000LX</t>
  </si>
  <si>
    <t>015016000LX COLLARIN PN10 D160X3" ANILLO INOX</t>
  </si>
  <si>
    <t>015020000GX</t>
  </si>
  <si>
    <t>015020000GX COLLARIN PN10 D200X2" ANILLO INOX</t>
  </si>
  <si>
    <t>015020000LX</t>
  </si>
  <si>
    <t>015020000LX COLLARIN PN8 D200X3" ANILLO INOX</t>
  </si>
  <si>
    <t>015020000MX</t>
  </si>
  <si>
    <t>015020000M COLLARIN PN8 D200X4" ANILLO INOX</t>
  </si>
  <si>
    <t>015022500GX</t>
  </si>
  <si>
    <t>015022500GX COLLARIN PN10 D225X2"ANILLO INOX</t>
  </si>
  <si>
    <t>015022500LX</t>
  </si>
  <si>
    <t>015022500LX COLLARIN PN8 D225X3"ANILLO INOX</t>
  </si>
  <si>
    <t>015022500MX</t>
  </si>
  <si>
    <t>015022500MX COLLARIN PN8 D225X4"ANILLO INOX</t>
  </si>
  <si>
    <t>015025000GX</t>
  </si>
  <si>
    <t>015025000GX COLLARIN PN10 D250X2" ANILLO INOX</t>
  </si>
  <si>
    <t>015025000LX</t>
  </si>
  <si>
    <t>015025000LX COLLARIN PN8 D250X3" ANILLO INOX</t>
  </si>
  <si>
    <t>015025000MX</t>
  </si>
  <si>
    <t>015025000MX COLLARIN PN8 D250X4" ANILLO INOX</t>
  </si>
  <si>
    <t>015031500GX</t>
  </si>
  <si>
    <t>015031500GX COLLARIN PN10 D315X2" ANILLO INOX</t>
  </si>
  <si>
    <t>015031500LX</t>
  </si>
  <si>
    <t>015031500LX COLLARIN PN8 D315X3" ANILLO INOX</t>
  </si>
  <si>
    <t>015031500MX</t>
  </si>
  <si>
    <t>015031500MX COLLARIN PN8 D315X4" ANILLO INOX</t>
  </si>
  <si>
    <t>02040016M</t>
  </si>
  <si>
    <t>02040016M CONECTOR CINTA X CINTA</t>
  </si>
  <si>
    <t>02042016M</t>
  </si>
  <si>
    <t>02042016M CONECTOR INICIAL PARA CINTA C/GOMA INCORPORADA</t>
  </si>
  <si>
    <t>02048016016M</t>
  </si>
  <si>
    <t>02048016016M CONECTOR ESPIGA 16 - CINTA</t>
  </si>
  <si>
    <t>0224401600M</t>
  </si>
  <si>
    <t>0224401600M VALVULA INICIAL A CINTA (NO INCLUYE GOMA)</t>
  </si>
  <si>
    <t>72060016B</t>
  </si>
  <si>
    <t>72060016B GOMA BILABIAL 16MM P/VALVULA INICIAL CINTA</t>
  </si>
  <si>
    <t>9191016020R</t>
  </si>
  <si>
    <t>9191016020R TE REDUCIDA PARA PE 16X20X16</t>
  </si>
  <si>
    <t>9191020016R</t>
  </si>
  <si>
    <t>9191020016R TE REDUCIDA PARA PE 20X16X20</t>
  </si>
  <si>
    <t>919202000B</t>
  </si>
  <si>
    <t>919202000B TE PE ESP 20 X RM 1/2 X 20</t>
  </si>
  <si>
    <t>919401600B</t>
  </si>
  <si>
    <t>919401600B CODO DENTADO CON ROSCA 16X1/2''</t>
  </si>
  <si>
    <t>919401600C</t>
  </si>
  <si>
    <t>919401600C CODO DENTADO CON ROSCA 16X3/4''</t>
  </si>
  <si>
    <t>919402000B</t>
  </si>
  <si>
    <t>919402000B CODO DENTADO CON ROSCA 20X1/2''</t>
  </si>
  <si>
    <t>919402000C</t>
  </si>
  <si>
    <t>919402000C CODO DENTADO CON ROSCA 20X3/4''</t>
  </si>
  <si>
    <t>919501600B</t>
  </si>
  <si>
    <t>919501600B ADAPTADOR ESPIGA 16 MM X 1/2" RM</t>
  </si>
  <si>
    <t>919501600C</t>
  </si>
  <si>
    <t>919501600C ADAPTADOR ESPIGA 16 MM X 3/4" RM</t>
  </si>
  <si>
    <t>919502000B</t>
  </si>
  <si>
    <t>919502000B ADAPTADOR ESPIGA 20 MM X 1/2" RM</t>
  </si>
  <si>
    <t>919502000C</t>
  </si>
  <si>
    <t>919502000C ADAPTADOR ESPIGA 20 MM X 3/4" RM</t>
  </si>
  <si>
    <t>919600000C</t>
  </si>
  <si>
    <t>919600000C VALVULA PARA ACOPLE RAPIDO 3/4"</t>
  </si>
  <si>
    <t>919600000D</t>
  </si>
  <si>
    <t>919600000D VALVULA PARA ACOPLE RAPIDO 1"</t>
  </si>
  <si>
    <t>919700000C</t>
  </si>
  <si>
    <t>919700000C LANZA/BAYONETA 3/4" P/ VALV ACOPLE RAPIDO</t>
  </si>
  <si>
    <t>985101200D</t>
  </si>
  <si>
    <t>985101200D FILTRO DE ANILLAS 120 MESH 1"</t>
  </si>
  <si>
    <t>985101200F</t>
  </si>
  <si>
    <t>985101200F FILTRO DE ANILLAS 120 MESH 1 1/2"</t>
  </si>
  <si>
    <t>985101200G</t>
  </si>
  <si>
    <t>985101200G FILTRO DE ANILLAS 120 MESH 2"</t>
  </si>
  <si>
    <t>985201200D</t>
  </si>
  <si>
    <t>985201200D FILTRO DE MALLA INOX 120 MESH 1"</t>
  </si>
  <si>
    <t>985201200F</t>
  </si>
  <si>
    <t>985201200F FILTRO DE MALLA INOX 120 MESH 1 1/2"</t>
  </si>
  <si>
    <t>985201200G</t>
  </si>
  <si>
    <t>985201200G FILTRO DE MALLA INOX 120 MESH 2"</t>
  </si>
  <si>
    <t>B110032020A</t>
  </si>
  <si>
    <t>B110032020A MANGUITO REDUCIDO 32X20 SELLO AZUL</t>
  </si>
  <si>
    <t>B110040025A</t>
  </si>
  <si>
    <t>B110040025A MANGUITO REDUCIDO 40X25 SELLO AZUL</t>
  </si>
  <si>
    <t>B110063040A</t>
  </si>
  <si>
    <t>B110063040A MANGUITO REDUCIDO 63X40 SELLO AZUL</t>
  </si>
  <si>
    <t>B110075050A</t>
  </si>
  <si>
    <t>B110075050A MANGUITO REDUCIDO 75X50 SELLO AZUL</t>
  </si>
  <si>
    <t>B110090063A</t>
  </si>
  <si>
    <t>B110090063A  MANGUITO REDUCIDO 90X63 SELLO AZUL</t>
  </si>
  <si>
    <t>B13506300GA</t>
  </si>
  <si>
    <t>B13506300GA ENLANCE REBORDEATO 63X2 SELLO AZUL</t>
  </si>
  <si>
    <t>B13509000LA</t>
  </si>
  <si>
    <t>B13509000LA ELANCE REBORDEATO 90X3 SEAL</t>
  </si>
  <si>
    <t>B13511000MA</t>
  </si>
  <si>
    <t>B13511000MA RACC. BRIDADO 110X4" DN100 SELLO AZUL</t>
  </si>
  <si>
    <t>PR001</t>
  </si>
  <si>
    <t>FIN DE LINEA TIPO 8 - 16 MM</t>
  </si>
  <si>
    <t>PR00200</t>
  </si>
  <si>
    <t>MICROTUBO FLEXIBLE PVC 4 X 7</t>
  </si>
  <si>
    <t>PR00201</t>
  </si>
  <si>
    <t>MICROTUBO FLEXIBLE PVC 3 X 5</t>
  </si>
  <si>
    <t>PR00202</t>
  </si>
  <si>
    <t>VALVULA DE ACOPLE RAPIDO BRONCE 3/4" RH</t>
  </si>
  <si>
    <t>PR00203</t>
  </si>
  <si>
    <t>COLUMNA BAYONETA BRONCE 3/4"- RH 1/2"</t>
  </si>
  <si>
    <t>PR00204</t>
  </si>
  <si>
    <t>ROSCA C/TUERCA RM 1/2" GALVANIZADA</t>
  </si>
  <si>
    <t>PR00205</t>
  </si>
  <si>
    <t>CODO RH 3/4 X RH 1/2" GALVANIZADO</t>
  </si>
  <si>
    <t>PR00206</t>
  </si>
  <si>
    <t>CAUDALIMETRO 8" GENERICO</t>
  </si>
  <si>
    <t>PR00207</t>
  </si>
  <si>
    <t>HIDROCICLON PLASTICO 2"</t>
  </si>
  <si>
    <t>PR0021</t>
  </si>
  <si>
    <t>VALVULA ESFERICA 3" RH METAL</t>
  </si>
  <si>
    <t>PR0034</t>
  </si>
  <si>
    <t>VALVULA HIDRAULICA 2" DOROT C/REG. FLUJO "NO USAR"</t>
  </si>
  <si>
    <t>PR0035</t>
  </si>
  <si>
    <t>NO USAR ----VALVULA HIDRAULICA 2"  "NO USAR"</t>
  </si>
  <si>
    <t>PR0037</t>
  </si>
  <si>
    <t>PILOTO AZUL DOROT 29-200 "NO USAR"</t>
  </si>
  <si>
    <t>PR0039</t>
  </si>
  <si>
    <t>CODO 1/4" X 8 MM "NO USAR"</t>
  </si>
  <si>
    <t>PR0040</t>
  </si>
  <si>
    <t>TUBO PE 16 X 1.3 MM - PEBD K 2.5 PRECIO X METRO ROLLO 200 M</t>
  </si>
  <si>
    <t>PR0041</t>
  </si>
  <si>
    <t>HIDROMETRO 4" BRIDADO DOROT "NO USAR"</t>
  </si>
  <si>
    <t>PR0042</t>
  </si>
  <si>
    <t>SALIDA DIGITAL PARA HIDROMETRO</t>
  </si>
  <si>
    <t>PR0044</t>
  </si>
  <si>
    <t>PROLONGADOR P/ VALV PLAST 3/4"</t>
  </si>
  <si>
    <t>PR0045</t>
  </si>
  <si>
    <t>TE 1/8 X 8 MM "NO USAR"</t>
  </si>
  <si>
    <t>PR0046</t>
  </si>
  <si>
    <t>TE 8 X 8 X 8 MM "NO USAR"</t>
  </si>
  <si>
    <t>PR0047</t>
  </si>
  <si>
    <t>CODO 1/8 X 8 MM "NO USAR"</t>
  </si>
  <si>
    <t>PR0048</t>
  </si>
  <si>
    <t>FILTRO 1/4 X 1/8 "NO USAR"</t>
  </si>
  <si>
    <t>PR0049</t>
  </si>
  <si>
    <t>COLLARIN DE TOMA 75 X 1 1/2</t>
  </si>
  <si>
    <t>PR0050</t>
  </si>
  <si>
    <t>VALVULA ESFERICA 2" METAL</t>
  </si>
  <si>
    <t>PR0051</t>
  </si>
  <si>
    <t>TE ESPIGA X ESPIGA 16 MM</t>
  </si>
  <si>
    <t>PR0052</t>
  </si>
  <si>
    <t>FILTRO DE ANILLAS 3" RM DOBLE T ARKAL</t>
  </si>
  <si>
    <t>PR0053</t>
  </si>
  <si>
    <t>MANOMETRO 10 BAR EN GLICERINA 1/4" RM</t>
  </si>
  <si>
    <t>PR0086</t>
  </si>
  <si>
    <t>VALVULA EXCLUSA GN3220 D2"</t>
  </si>
  <si>
    <t>PR0087</t>
  </si>
  <si>
    <t>FILTRO DE MALLA 3/4" 130 MIC</t>
  </si>
  <si>
    <t>PR0088</t>
  </si>
  <si>
    <t>"NO USAR" COLLARIN DE TOMA D200X2"</t>
  </si>
  <si>
    <t>PR0089</t>
  </si>
  <si>
    <t>TUBO GOTEO D16 ESP0,9 2.2 L/H C/70CM (PRECIO X M) ROLLO 500M</t>
  </si>
  <si>
    <t>PR0090</t>
  </si>
  <si>
    <t>INYECTOR VENTURI 3/4 MAS KIT DE SUCCION</t>
  </si>
  <si>
    <t>PR0091</t>
  </si>
  <si>
    <t>FILTRO DE ANILLAS LEADER 2" 25 M3/H</t>
  </si>
  <si>
    <t>PR0092</t>
  </si>
  <si>
    <t>VALVULA DE AIRE CINETICA 2" RH</t>
  </si>
  <si>
    <t>PR0093</t>
  </si>
  <si>
    <t>VALVULA DE ALIVIO DE 1" BRONCE</t>
  </si>
  <si>
    <t>PR0094</t>
  </si>
  <si>
    <t>VALVULA ACOPLE RAPIDO 1  BRONCE</t>
  </si>
  <si>
    <t>PR0095</t>
  </si>
  <si>
    <t>PR0095 COLUMNA P/ VALVULA 1  BRONCE</t>
  </si>
  <si>
    <t>PR0096</t>
  </si>
  <si>
    <t>PR0096 VALVULA ESFERICA 1/2  RH METAL</t>
  </si>
  <si>
    <t>PR0097</t>
  </si>
  <si>
    <t>PR0097 VALVULA DE AIRE 2" RM TRIFUNCIONAL</t>
  </si>
  <si>
    <t>PR0098</t>
  </si>
  <si>
    <t>CODO ESPIGA 16</t>
  </si>
  <si>
    <t>PR0099</t>
  </si>
  <si>
    <t>PR0099 TUBERIA PEAD 42.5 MM EXT/38.5 INT X 100 M</t>
  </si>
  <si>
    <t>PR0100</t>
  </si>
  <si>
    <t>ML TUBO PE D20 PN4 (PRECIO X METRO) ROLLO 100 M</t>
  </si>
  <si>
    <t>PR0101</t>
  </si>
  <si>
    <t>FLUJOMETRO 1/2" 50-500 L/H</t>
  </si>
  <si>
    <t>PR0102</t>
  </si>
  <si>
    <t>CONECTOR INICIAL PARA CINTA C/GOMA INCORPORADA</t>
  </si>
  <si>
    <t>PR0103</t>
  </si>
  <si>
    <t>CUPLA PVC D110 JE K-10</t>
  </si>
  <si>
    <t>PR0104</t>
  </si>
  <si>
    <t>CONECTOR CINTA / CINTA 16 MM</t>
  </si>
  <si>
    <t>PR0115</t>
  </si>
  <si>
    <t>VALVULA DE ALIVIO RAPIDO 11/2"</t>
  </si>
  <si>
    <t>PR0116</t>
  </si>
  <si>
    <t>VALVULA DE ALIVIO RAPIDO 2"</t>
  </si>
  <si>
    <t>PR0117</t>
  </si>
  <si>
    <t>NO USAR!! VALVULA HIDRAULICA DOROT 3X2X3 BASICA</t>
  </si>
  <si>
    <t>PR0119</t>
  </si>
  <si>
    <t>VALVULA  ESCLUSA 2" BRONCE</t>
  </si>
  <si>
    <t>PR0120</t>
  </si>
  <si>
    <t>VALVULA  ESCLUSA 3" BRONCE</t>
  </si>
  <si>
    <t>PR0121</t>
  </si>
  <si>
    <t>BASE PARA AGUJA DE MANOMETRO</t>
  </si>
  <si>
    <t>PR0122</t>
  </si>
  <si>
    <t>CONECTOR ESPIGA 16 X 20</t>
  </si>
  <si>
    <t>PR0124</t>
  </si>
  <si>
    <t>CONECTOR RECTO ESP X ESPIGA 17</t>
  </si>
  <si>
    <t>PR0125</t>
  </si>
  <si>
    <t>CONECTOR RECTO ESP X ESPIGA 20</t>
  </si>
  <si>
    <t>PR0126</t>
  </si>
  <si>
    <t>FIN DE LINEA TIPO 8 - 20 MM</t>
  </si>
  <si>
    <t>PR0127</t>
  </si>
  <si>
    <t>GOTERO 2 L/H BOTON DE LABERINTO</t>
  </si>
  <si>
    <t>PR0128</t>
  </si>
  <si>
    <t>GOTERO 4 L/H  BOTON DE LABERINTO</t>
  </si>
  <si>
    <t>PR0132</t>
  </si>
  <si>
    <t>CONECTOR ESPIGA 16 MM-CINTA</t>
  </si>
  <si>
    <t>PR0133</t>
  </si>
  <si>
    <t>FILTRO DE MALLA 2" 120 MESH</t>
  </si>
  <si>
    <t>PR0134</t>
  </si>
  <si>
    <t>BASE METALICA PARA ASPERSORES 1/2"</t>
  </si>
  <si>
    <t>PR0135</t>
  </si>
  <si>
    <t>BASE METALICA PARA ASPERSORES 3/4"</t>
  </si>
  <si>
    <t>PR0136</t>
  </si>
  <si>
    <t>BASE METALICA PARA ASPERSORES 1"</t>
  </si>
  <si>
    <t>PR0137</t>
  </si>
  <si>
    <t>BASE METALICA PARA ASPERSORES 1 1/4"</t>
  </si>
  <si>
    <t>PR0139</t>
  </si>
  <si>
    <t>AGUJA PARA MANOMETRO</t>
  </si>
  <si>
    <t>PR0141</t>
  </si>
  <si>
    <t>ASPERSOR FLIPPER BOQUILLA VIOLETA</t>
  </si>
  <si>
    <t>PR0142</t>
  </si>
  <si>
    <t>VALVULA DE AIRE 3/4" CINETICA</t>
  </si>
  <si>
    <t>PR0143</t>
  </si>
  <si>
    <t>VALVULA DE AIRE 1" RM TRIFUNCIONAL</t>
  </si>
  <si>
    <t>PR0144</t>
  </si>
  <si>
    <t>PR0151</t>
  </si>
  <si>
    <t>FILTRO DE ANILLAS EN Y 2" 130 MIC</t>
  </si>
  <si>
    <t>PR0161</t>
  </si>
  <si>
    <t>COLLARIN DE TOMA D110 X 3"</t>
  </si>
  <si>
    <t>PR0170</t>
  </si>
  <si>
    <t>COLLARIN DE TOMA D90 X 2"</t>
  </si>
  <si>
    <t>PR0171</t>
  </si>
  <si>
    <t>PR0171-CONECTOR INICIAL CINTA CON GOMA BILIABIAL</t>
  </si>
  <si>
    <t>PR0172</t>
  </si>
  <si>
    <t>CONECTOR INICIAL CINTA CON CONTRATUERCA</t>
  </si>
  <si>
    <t>PR0190</t>
  </si>
  <si>
    <t>CONECTOR INICIAL PARA MICROTUBO</t>
  </si>
  <si>
    <t>PR0191</t>
  </si>
  <si>
    <t>INYECTOR TIPO VENTURI D1"</t>
  </si>
  <si>
    <t>PR0192</t>
  </si>
  <si>
    <t>TUBO GOTEO IN-LINE D16 ESP 0,9MM Q: 2L/H C/50CM (X M)</t>
  </si>
  <si>
    <t>PR0193</t>
  </si>
  <si>
    <t>ESTACA PLASTICA P/ASP 1/2"</t>
  </si>
  <si>
    <t>PR0203</t>
  </si>
  <si>
    <t>VALVULA PLASTICA P/ACOPLE RAPIDO 1"</t>
  </si>
  <si>
    <t>PR0204</t>
  </si>
  <si>
    <t>BAYONETA PLASTICA 1"</t>
  </si>
  <si>
    <t>PR0205</t>
  </si>
  <si>
    <t>TE ESPIGA X ESPIGA X ESPIGA 20 MM</t>
  </si>
  <si>
    <t>PR0206</t>
  </si>
  <si>
    <t>TRANSFORMADOR 220-24 VAC RIEGO</t>
  </si>
  <si>
    <t>PR0207</t>
  </si>
  <si>
    <t>TUBO GOTEO  IN LINE D16 0.9 MM Q:2 L/H C/33CM  X 100</t>
  </si>
  <si>
    <t>PR0210</t>
  </si>
  <si>
    <t>ML TUBO DE GOTEO IN LINE D16 ESP 0.9 Q:4 L/H C/100 CM (ROLLO</t>
  </si>
  <si>
    <t>PR099</t>
  </si>
  <si>
    <t>TUBERIA PEAD 42.5 MM EXT/38.5 INT X 100 M</t>
  </si>
  <si>
    <t>PR190</t>
  </si>
  <si>
    <t>FILTRO DE ANILLAS 1" 130MIC</t>
  </si>
  <si>
    <t>PEM1297R6R11</t>
  </si>
  <si>
    <t>Vacuómetro Winters Serie PEM Economy, dial 1,5", -30/0"Hg &amp; -1/0 bar, 1/8" NPT inferior, caja acero, internos latón, clase ±3-2-3%, seco.</t>
  </si>
  <si>
    <t>PEM1299R1R11</t>
  </si>
  <si>
    <t>Manómetro Winters Serie PEM Economy, dial 1,5", 0/15 psi &amp; 0/1 bar, 1/8" NPT inferior, caja acero, internos latón, clase ±3-2-3%, seco.</t>
  </si>
  <si>
    <t>PEM1300R1R11</t>
  </si>
  <si>
    <t>Manómetro Winters Serie PEM Economy, dial 1,5", 0/30 psi &amp; 0/2 bar, 1/8" NPT inferior, caja acero, internos latón, clase ±3-2-3%, seco.</t>
  </si>
  <si>
    <t>PEM1300R3R1-BSPT</t>
  </si>
  <si>
    <t>Manómetro Winters Serie PEM Economy, dial 1,5", 0/2 Kg/cm2 &amp; 0/28 psi, 1/8" BSPT inferior, caja acero, internos latón, clase ±3-2-3%, seco.</t>
  </si>
  <si>
    <t>PEM1301R1R11</t>
  </si>
  <si>
    <t>Manómetro Winters Serie PEM Economy, dial 1,5", 0/60 psi &amp; 0/4 bar, 1/8" NPT inferior, caja acero, internos latón, clase ±3-2-3%, seco.</t>
  </si>
  <si>
    <t>PEM1301R3R1-BSPT</t>
  </si>
  <si>
    <t>Manómetro Winters Serie PEM Economy, dial 1,5", 0/4 Kg/cm2 &amp; 0/57 psi, 1/8" BSPT inferior, caja acero, internos latón, clase ±3-2-3%, seco.</t>
  </si>
  <si>
    <t>PEM1320R1R11</t>
  </si>
  <si>
    <t>Manómetro Winters Serie PEM Economy, dial 1,5", 0/100 psi &amp; 0/7 bar, 1/8" NPT inferior, caja acero, internos latón, clase ±3-2-3%, seco.</t>
  </si>
  <si>
    <t>PEM1321R1R11</t>
  </si>
  <si>
    <t>Manómetro Winters Serie PEM Economy, dial 1,5", 0/160 psi &amp; 0/11 bar, 1/8" NPT inferior, caja acero, internos latón, clase ±3-2-3%, seco.</t>
  </si>
  <si>
    <t>PEM1321R3R1-BSPT</t>
  </si>
  <si>
    <t>Manómetro Winters Serie PEM Economy, dial 1,5", 0/10 Kg/cm2 &amp; 0/140 psi, 1/8" BSPT inferior, caja acero, internos latón, clase ±3-2-3%, seco.</t>
  </si>
  <si>
    <t>PEM1322R1R11</t>
  </si>
  <si>
    <t>Manómetro Winters Serie PEM Economy, dial 1,5", 0/200 psi &amp; 0/14 bar, 1/8" NPT inferior, caja acero, internos latón, clase ±3-2-3%, seco.</t>
  </si>
  <si>
    <t>PEM1322R3R1-BSPT</t>
  </si>
  <si>
    <t>Manómetro Winters Serie PEM Economy, dial 1,5", 0/14 Kg/cm2 &amp; 0/200 psi, 1/8" BSPT inferior, caja acero, internos latón, clase ±3-2-3%, seco.</t>
  </si>
  <si>
    <t>PEM1323R1R11</t>
  </si>
  <si>
    <t>Manómetro Winters Serie PEM Economy, dial 1,5", 0/300 psi &amp; 0/20 bar, 1/8" NPT inferior, caja acero, internos latón, clase ±3-2-3%, seco.</t>
  </si>
  <si>
    <t>PEM1397R6R11</t>
  </si>
  <si>
    <t>Vacuómetro Winters Serie PEM Economy, dial 1,5", -30/0"Hg &amp; -1/0 bar, 1/8" NPT posterior, caja acero, internos latón, clase ±3-2-3%, seco.</t>
  </si>
  <si>
    <t>PEM1399R1R11</t>
  </si>
  <si>
    <t>Manómetro Winters Serie PEM Economy, dial 1,5", 0/15 psi &amp; 0/1 bar, 1/8" NPT posterior, caja acero, internos latón, clase ±3-2-3%, seco.</t>
  </si>
  <si>
    <t>PEM1399R3R1-BSPT</t>
  </si>
  <si>
    <t>Manómetro Winters Serie PEM Economy, dial 1,5", 0/1 Kg/cm2 &amp; 0/15 psi, 1/8" BSPT posterior, caja acero, internos latón, clase ±3-2-3%, seco.</t>
  </si>
  <si>
    <t>PEM1400R1R11</t>
  </si>
  <si>
    <t>Manómetro Winters Serie PEM Economy, dial 1,5", 0/30 psi &amp; 0/2 bar, 1/8" NPT posterior, caja acero, internos latón, clase ±3-2-3%, seco.</t>
  </si>
  <si>
    <t>PEM1400R3R1-BSPT</t>
  </si>
  <si>
    <t>Manómetro Winters Serie PEM Economy, dial 1,5", 0/2 Kg/cm2 &amp; 0/28 psi, 1/8" BSPT posterior, caja acero, internos latón, clase ±3-2-3%, seco.</t>
  </si>
  <si>
    <t>PEM1401R1R11</t>
  </si>
  <si>
    <t>Manómetro Winters Serie PEM Economy, dial 1,5", 0/60 psi &amp; 0/4 bar, 1/8" NPT posterior, caja acero, internos latón, clase ±3-2-3%, seco.</t>
  </si>
  <si>
    <t>PEM1420R1R11</t>
  </si>
  <si>
    <t>Manómetro Winters Serie PEM Economy, dial 1,5", 0/100 psi &amp; 0/7 bar, 1/8" NPT posterior, caja acero, internos latón, clase ±3-2-3%, seco.</t>
  </si>
  <si>
    <t>PEM1420R3R1-BSPT</t>
  </si>
  <si>
    <t>Manómetro Winters Serie PEM Economy, dial 1,5", 0/7 Kg/cm2 &amp; 0/100 psi, 1/8" BSPT posterior, caja acero, internos latón, clase ±3-2-3%, seco.</t>
  </si>
  <si>
    <t>PEM1421R1R11</t>
  </si>
  <si>
    <t>Manómetro Winters Serie PEM Economy, dial 1,5", 0/160 psi &amp; 0/11 bar, 1/8" NPT posterior, caja acero, internos latón, clase ±3-2-3%, seco.</t>
  </si>
  <si>
    <t>PEM1421R3R1-BSPT</t>
  </si>
  <si>
    <t>Manómetro Winters Serie PEM Economy, dial 1,5", 0/10 Kg/cm2 &amp; 0/140 psi, 1/8" BSPT posterior, caja acero, internos latón, clase ±3-2-3%, seco.</t>
  </si>
  <si>
    <t>PEM1422R1R11</t>
  </si>
  <si>
    <t>Manómetro Winters Serie PEM Economy, dial 1,5", 0/200 psi &amp; 0/14 bar, 1/8" NPT posterior, caja acero, internos latón, clase ±3-2-3%, seco.</t>
  </si>
  <si>
    <t>PEM1423R1R11</t>
  </si>
  <si>
    <t>Manómetro Winters Serie PEM Economy, dial 1,5", 0/300 psi &amp; 0/20 bar, 1/8" NPT posterior, caja acero, internos latón, clase ±3-2-3%, seco.</t>
  </si>
  <si>
    <t>PEM1423R3R1-BSPT</t>
  </si>
  <si>
    <t>Manómetro Winters Serie PEM Economy, dial 1,5", 0/21 Kg/cm2 &amp; 0/300 psi, 1/8" BSPT posterior, caja acero, internos latón, clase ±3-2-3%, seco.</t>
  </si>
  <si>
    <t>PEM195R1R11</t>
  </si>
  <si>
    <t>Vacuómetro Winters Serie PEM Economy, dial 2", -30/0"Hg &amp; -1/0 bar, 1/8" NPT inferior, caja acero, internos latón, clase ±3-2-3%, seco.</t>
  </si>
  <si>
    <t>PEM196R1R11</t>
  </si>
  <si>
    <t>Manómetro Winters Serie PEM Economy, dial 2", 0/15 psi &amp; 0/1 bar, 1/8" NPT inferior, caja acero, internos latón, clase ±3-2-3%, seco.</t>
  </si>
  <si>
    <t>PEM206R1R11</t>
  </si>
  <si>
    <t>Manómetro Winters Serie PEM Economy, dial 2", 0/30 psi &amp; 0/2 bar, 1/8" NPT inferior, caja acero, internos latón, clase ±3-2-3%, seco.</t>
  </si>
  <si>
    <t>PEM207R1R11</t>
  </si>
  <si>
    <t>Manómetro Winters Serie PEM Economy, dial 2", 0/60 psi &amp; 0/4 bar, 1/8" NPT inferior, caja acero, internos latón, clase ±3-2-3%, seco.</t>
  </si>
  <si>
    <t>PEM208R1R11</t>
  </si>
  <si>
    <t>Manómetro Winters Serie PEM Economy, dial 2", 0/100 psi &amp; 0/7 bar, 1/8" NPT inferior, caja acero, internos latón, clase ±3-2-3%, seco.</t>
  </si>
  <si>
    <t>PEM197R1R11</t>
  </si>
  <si>
    <t>Manómetro Winters Serie PEM Economy, dial 2", 0/160 psi &amp; 0/11 bar, 1/8" NPT inferior, caja acero, internos latón, clase ±3-2-3%, seco.</t>
  </si>
  <si>
    <t>PEM209R1R11</t>
  </si>
  <si>
    <t>Manómetro Winters Serie PEM Economy, dial 2", 0/200 psi &amp; 0/14 bar, 1/8" NPT inferior, caja acero, internos latón, clase ±3-2-3%, seco.</t>
  </si>
  <si>
    <t>PEM198R1R11</t>
  </si>
  <si>
    <t>Manómetro Winters Serie PEM Economy, dial 2", 0/300 psi &amp; 0/20 bar, 1/8" NPT inferior, caja acero, internos latón, clase ±3-2-3%, seco.</t>
  </si>
  <si>
    <t>PEM1424R6R11</t>
  </si>
  <si>
    <t>Vacuómetro Winters Serie PEM Economy, dial 2", -30/0"Hg &amp; -1/0 bar, 1/8" NPT posterior, caja acero, internos latón, clase ±3-2-3%, seco.</t>
  </si>
  <si>
    <t>PEM1425R1R11</t>
  </si>
  <si>
    <t>Manómetro Winters Serie PEM Economy, dial 2", 0/15 psi &amp; 0/1 bar, 1/8" NPT posterior, caja acero, internos latón, clase ±3-2-3%, seco.</t>
  </si>
  <si>
    <t>PEM1402R1R11</t>
  </si>
  <si>
    <t>Manómetro Winters Serie PEM Economy, dial 2", 0/30 psi &amp; 0/2 bar, 1/8" NPT posterior, caja acero, internos latón, clase ±3-2-3%, seco.</t>
  </si>
  <si>
    <t>PEM1404R1R11</t>
  </si>
  <si>
    <t>Manómetro Winters Serie PEM Economy, dial 2", 0/60 psi &amp; 0/4 bar, 1/8" NPT posterior, caja acero, internos latón, clase ±3-2-3%, seco.</t>
  </si>
  <si>
    <t>PEM1406R1R11</t>
  </si>
  <si>
    <t>Manómetro Winters Serie PEM Economy, dial 2", 0/100 psi &amp; 0/7 bar, 1/8" NPT posterior, caja acero, internos latón, clase ±3-2-3%, seco.</t>
  </si>
  <si>
    <t>PEM1408R1R11</t>
  </si>
  <si>
    <t>Manómetro Winters Serie PEM Economy, dial 2", 0/160 psi &amp; 0/11 bar, 1/8" NPT posterior, caja acero, internos latón, clase ±3-2-3%, seco.</t>
  </si>
  <si>
    <t>PEM1408R11R1S-BSP</t>
  </si>
  <si>
    <t>Manómetro Winters Serie PEM Economy, dial 2", 0/12 bar &amp; 0/165 psi, 1/8" BSP posterior, caja acero, internos latón, clase ±3-2-3%, seco.</t>
  </si>
  <si>
    <t>PEM1426R1R11</t>
  </si>
  <si>
    <t>Manómetro Winters Serie PEM Economy, dial 2", 0/200 psi &amp; 0/14 bar, 1/8" NPT posterior, caja acero, internos latón, clase ±3-2-3%, seco.</t>
  </si>
  <si>
    <t>PEM1427R1R11</t>
  </si>
  <si>
    <t>Manómetro Winters Serie PEM Economy, dial 2", 0/300 psi &amp; 0/20 bar, 1/8" NPT posterior, caja acero, internos latón, clase ±3-2-3%, seco.</t>
  </si>
  <si>
    <t>PEM135R6R11</t>
  </si>
  <si>
    <t>Vacuómetro Winters Serie PEM Economy, dial 2", -30/0"Hg &amp; -1/0 bar, 1/4" NPT inferior, caja acero, internos latón, clase ±3-2-3%, seco.</t>
  </si>
  <si>
    <t>PEM136R1R11</t>
  </si>
  <si>
    <t>Manómetro Winters Serie PEM Economy, dial 2", 0/15 psi &amp; 0/1 bar, 1/4" NPT inferior, caja acero, internos latón, clase ±3-2-3%, seco.</t>
  </si>
  <si>
    <t>PEM136R3R1-BSPT</t>
  </si>
  <si>
    <t>Manómetro Winters Serie PEM Economy, dial 2", 0/1 Kg/cm2 &amp; 0/15 psi, 1/4" BSPT inferior, caja acero, internos latón, clase ±3-2-3%, seco.</t>
  </si>
  <si>
    <t>PEM199R1R11</t>
  </si>
  <si>
    <t>Manómetro Winters Serie PEM Economy, dial 2", 0/30 psi &amp; 0/2 bar, 1/4" NPT inferior, caja acero, internos latón, clase ±3-2-3%, seco.</t>
  </si>
  <si>
    <t>PEM199R3R1-BSPT</t>
  </si>
  <si>
    <t>Manómetro Winters Serie PEM Economy, dial 2", 0/2 Kg/cm2 &amp; 0/30 psi, 1/4" BSPT inferior, caja acero, internos latón, clase ±3-2-3%, seco.</t>
  </si>
  <si>
    <t>PEM201R1R11</t>
  </si>
  <si>
    <t>Manómetro Winters Serie PEM Economy, dial 2", 0/60 psi &amp; 0/4 bar, 1/4" NPT inferior, caja acero, internos latón, clase ±3-2-3%, seco.</t>
  </si>
  <si>
    <t>PEM202R1R11</t>
  </si>
  <si>
    <t>Manómetro Winters Serie PEM Economy, dial 2", 0/100 psi &amp; 0/7 bar, 1/4" NPT inferior, caja acero, internos latón, clase ±3-2-3%, seco.</t>
  </si>
  <si>
    <t>PEM203R1R11</t>
  </si>
  <si>
    <t>Manómetro Winters Serie PEM Economy, dial 2", 0/160 psi &amp; 0/11 bar, 1/4" NPT inferior, caja acero, internos latón, clase ±3-2-3%, seco.</t>
  </si>
  <si>
    <t>PEM203R3R1-BSPT</t>
  </si>
  <si>
    <t>Manómetro Winters Serie PEM Economy, dial 2", 0/10 Kg/cm2 &amp; 0/140 psi, 1/4" BSPT inferior, caja acero, internos latón, clase ±3-2-3%, seco.</t>
  </si>
  <si>
    <t>PEM204R1R11</t>
  </si>
  <si>
    <t>Manómetro Winters Serie PEM Economy, dial 2", 0/200 psi &amp; 0/14 bar, 1/4" NPT inferior, caja acero, internos latón, clase ±3-2-3%, seco.</t>
  </si>
  <si>
    <t>PEM204R3R1-BSPT</t>
  </si>
  <si>
    <t>Manómetro Winters Serie PEM Economy, dial 2", 0/14 Kg/cm2 &amp; 0/200 psi, 1/4" BSPT inferior, caja acero, internos latón, clase ±3-2-3%, seco.</t>
  </si>
  <si>
    <t>PEM205R1R11</t>
  </si>
  <si>
    <t>Manómetro Winters Serie PEM Economy, dial 2", 0/300 psi &amp; 0/20 bar, 1/4" NPT inferior, caja acero, internos latón, clase ±3-2-3%, seco.</t>
  </si>
  <si>
    <t>PEM205R3R1-BSPT</t>
  </si>
  <si>
    <t>Manómetro Winters Serie PEM Economy, dial 2", 0/20 Kg/cm2 &amp; 0/300 psi, 1/4" BSPT inferior, caja acero, internos latón, clase ±3-2-3%, seco.</t>
  </si>
  <si>
    <t>PEM1428R6R11</t>
  </si>
  <si>
    <t>Manómetro Winters Serie PEM Economy, dial 2", -30/0"Hg &amp; -1/0 bar, 1/4" NPT posterior, caja acero, internos latón, clase ±3-2-3%, seco.</t>
  </si>
  <si>
    <t>PEM1429R1R11</t>
  </si>
  <si>
    <t>Manómetro Winters Serie PEM Economy, dial 2", 0/15 psi &amp; 0/1 bar, 1/4" NPT posterior, caja acero, internos latón, clase ±3-2-3%, seco.</t>
  </si>
  <si>
    <t>PEM1429R3R1-BSPT</t>
  </si>
  <si>
    <t>Manómetro Winters Serie PEM Economy, dial 2", 0/1 Kg/cm2 &amp; 0/14 psi, 1/4" BSPT posterior, caja acero, internos latón, clase ±3-2-3%, seco.</t>
  </si>
  <si>
    <t>PEM1403R1R11</t>
  </si>
  <si>
    <t>Manómetro Winters Serie PEM Economy, dial 2", 0/30 psi &amp; 0/2 bar, 1/4" NPT posterior, caja acero, internos latón, clase ±3-2-3%, seco.</t>
  </si>
  <si>
    <t>PEM1403R3R1-BSPT</t>
  </si>
  <si>
    <t>Manómetro Winters Serie PEM Economy, dial 2", 0/2 Kg/cm2 &amp; 0/30 psi, 1/4" BSPT posterior, caja acero, internos latón, clase ±3-2-3%, seco.</t>
  </si>
  <si>
    <t>PEM1405R1R11</t>
  </si>
  <si>
    <t>Manómetro Winters Serie PEM Economy, dial 2", 0/60 psi &amp; 0/4 bar, 1/4" NPT posterior, caja acero, internos latón, clase ±3-2-3%, seco.</t>
  </si>
  <si>
    <t>PEM1407R1R11</t>
  </si>
  <si>
    <t>Manómetro Winters Serie PEM Economy, dial 2", 0/100 psi &amp; 0/7 bar, 1/4" NPT posterior, caja acero, internos latón, clase ±3-2-3%, seco.</t>
  </si>
  <si>
    <t>PEM1409R1R11</t>
  </si>
  <si>
    <t>Manómetro Winters Serie PEM Economy, dial 2", 0/160 psi &amp; 0/11 bar, 1/4" NPT posterior, caja acero, internos latón, clase ±3-2-3%, seco.</t>
  </si>
  <si>
    <t>PEM1410R1R11</t>
  </si>
  <si>
    <t>Manómetro Winters Serie PEM Economy, dial 2", 0/200 psi &amp; 0/14 bar, 1/4" NPT posterior, caja acero, internos latón, clase ±3-2-3%, seco.</t>
  </si>
  <si>
    <t>PEM1411R1R11</t>
  </si>
  <si>
    <t>Manómetro Winters Serie PEM Economy, dial 2", 0/300 psi &amp; 0/20 bar, 1/4" NPT posterior, caja acero, internos latón, clase ±3-2-3%, seco.</t>
  </si>
  <si>
    <t>PEM1414R1R11</t>
  </si>
  <si>
    <t>Manómetro Winters Serie PEM Economy, dial 2", 0/400 psi &amp; 0/30 bar, 1/4" NPT posterior, caja acero, internos latón, clase ±3-2-3%, seco.</t>
  </si>
  <si>
    <t>PEM1412R1R11</t>
  </si>
  <si>
    <t>Manómetro Winters Serie PEM Economy, dial 2", 0/600 psi &amp; 0/40 bar, 1/4" NPT posterior, caja acero, internos latón, clase ±3-2-3%, seco.</t>
  </si>
  <si>
    <t>PEM210R6R11</t>
  </si>
  <si>
    <t>Vacuómetro Winters Serie PEM Economy, dial 2,5", -30/0"Hg &amp; -1/0 bar, 1/4" NPT inferior, caja acero, internos latón, clase ±3-2-3%, seco.</t>
  </si>
  <si>
    <t>PEM210R7R6</t>
  </si>
  <si>
    <t>Vacuómetro Winters Serie PEM Economy, dial 2,5", -760 mmHg/0 &amp; -30/0"Hg, 1/4" NPT inferior, caja acero, internos latón, clase ±3-2-3%, seco.</t>
  </si>
  <si>
    <t>PEM152R1R11</t>
  </si>
  <si>
    <t>Manovacuómetro Winters Serie PEM Economy, dial 2,5", -30"Hg/0/15 psi &amp; -1/0/1 bar, 1/4" NPT inferior, caja acero, internos latón, clase ±3-2-3%, seco.</t>
  </si>
  <si>
    <t>PEM153R1R11</t>
  </si>
  <si>
    <t>Manovacuómetro Winters Serie PEM Economy, dial 2,5", -30"Hg/0/30 psi &amp; -1/0/2 bar, 1/4" NPT inferior, caja acero, internos latón, clase ±3-2-3%, seco.</t>
  </si>
  <si>
    <t>PEM154R1R11</t>
  </si>
  <si>
    <t>Manovacuómetro Winters Serie PEM Economy, dial 2,5", -30"Hg/0/60 psi &amp; -1/0/4 bar, 1/4" NPT inferior, caja acero, internos latón, clase ±3-2-3%, seco.</t>
  </si>
  <si>
    <t>PEM155R1R11</t>
  </si>
  <si>
    <t>Manovacuómetro Winters Serie PEM Economy, dial 2,5", -30"Hg/0/100 psi &amp; -1/0/7 bar, 1/4" NPT inferior, caja acero, internos latón, clase ±3-2-3%, seco.</t>
  </si>
  <si>
    <t>PEM155R3R1-BSPT</t>
  </si>
  <si>
    <t>Manovacuómetro Winters Serie PEM Economy, dial 2,5", -1/0/7 Kg/cm2 &amp; -30"Hg/0/100 psi, 1/4" BSPT inferior, caja acero, internos latón, clase ±3-2-3%, seco.</t>
  </si>
  <si>
    <t>PEM211R1R11</t>
  </si>
  <si>
    <t>Manómetro Winters Serie PEM Economy, dial 2,5", 0/15 psi &amp; 0/1 bar, 1/4" NPT inferior, caja acero, internos latón, clase ±3-2-3%, seco.</t>
  </si>
  <si>
    <t>PEM211R3R1-BSPT</t>
  </si>
  <si>
    <t>Manómetro Winters Serie PEM Economy, dial 2,5", 0/1 Kg/cm2 &amp; 0/14 psi, 1/4" BSPT inferior, caja acero, internos latón, clase ±3-2-3%, seco.</t>
  </si>
  <si>
    <t>PEM212R1R11</t>
  </si>
  <si>
    <t>Manómetro Winters Serie PEM Economy, dial 2,5", 0/30 psi &amp; 0/2 bar, 1/4" NPT inferior, caja acero, internos latón, clase ±3-2-3%, seco.</t>
  </si>
  <si>
    <t>PEM212R3R1-BSPT</t>
  </si>
  <si>
    <t>Manómetro Winters Serie PEM Economy, dial 2,5", 0/2 Kg/cm2 &amp; 0/30 psi, 1/4" BSPT inferior, caja acero, internos latón, clase ±3-2-3%, seco.</t>
  </si>
  <si>
    <t>PEM212R3R1S-BSPT</t>
  </si>
  <si>
    <t>Manómetro Winters Serie PEM Economy, dial 2,5", 0/2,5 Kg/cm2 &amp; 0/35 psi, 1/4" BSPT inferior, caja acero, internos latón, clase ±3-2-3%, seco.</t>
  </si>
  <si>
    <t>PEM213R1R11</t>
  </si>
  <si>
    <t>Manómetro Winters Serie PEM Economy, dial 2,5", 0/60 psi &amp; 0/4 bar, 1/4" NPT inferior, caja acero, internos latón, clase ±3-2-3%, seco.</t>
  </si>
  <si>
    <t>PEM214R1R11</t>
  </si>
  <si>
    <t>Manómetro Winters Serie PEM Economy, dial 2,5", 0/100 psi &amp; 0/7 bar, 1/4" NPT inferior, caja acero, internos latón, clase ±3-2-3%, seco.</t>
  </si>
  <si>
    <t>PEM215R1R11</t>
  </si>
  <si>
    <t>Manómetro Winters Serie PEM Economy, dial 2,5", 0/160 psi &amp; 0/11 bar, 1/4" NPT inferior, caja acero, internos latón, clase ±3-2-3%, seco.</t>
  </si>
  <si>
    <t>PEM216R1R11</t>
  </si>
  <si>
    <t>Manómetro Winters Serie PEM Economy, dial 2,5", 0/200 psi &amp; 0/14 bar, 1/4" NPT inferior, caja acero, internos latón, clase ±3-2-3%, seco.</t>
  </si>
  <si>
    <t>PEM216R3R1S</t>
  </si>
  <si>
    <t>Manómetro Winters Serie PEM Economy, dial 2,5", 0/16 Kg/cm2 &amp; 0/230 psi, 1/4" NPT inferior, caja acero, internos latón, clase ±3-2-3%, seco.</t>
  </si>
  <si>
    <t>PEM217R1R11</t>
  </si>
  <si>
    <t>Manómetro Winters Serie PEM Economy, dial 2,5", 0/300 psi &amp; 0/20 bar, 1/4" NPT inferior, caja acero, internos latón, clase ±3-2-3%, seco.</t>
  </si>
  <si>
    <t>PEM217R3R1-BSPT</t>
  </si>
  <si>
    <t>Manómetro Winters Serie PEM Economy, dial 2,5", 0/20 Kg/cm2 &amp; 0/300 psi, 1/4" BSPT inferior, caja acero, internos latón, clase ±3-2-3%, seco.</t>
  </si>
  <si>
    <t>PEM219R1R11</t>
  </si>
  <si>
    <t>Manómetro Winters Serie PEM Economy, dial 2,5", 0/400 psi &amp; 0/30 bar, 1/4" NPT inferior, caja acero, internos latón, clase ±3-2-3%, seco.</t>
  </si>
  <si>
    <t>PEM219R3R1-BSPT</t>
  </si>
  <si>
    <t>Manómetro Winters Serie PEM Economy, dial 2,5", 0/30 Kg/cm2 &amp; 0/400 psi, 1/4" BSPT inferior, caja acero, internos latón, clase ±3-2-3%, seco.</t>
  </si>
  <si>
    <t>PEM218R1R11</t>
  </si>
  <si>
    <t>Manómetro Winters Serie PEM Economy, dial 2,5", 0/600 psi &amp; 0/40 bar, 1/4" NPT inferior, caja acero, internos latón, clase ±3-2-3%, seco.</t>
  </si>
  <si>
    <t>PEM218R3R1-BSPT</t>
  </si>
  <si>
    <t>Manómetro Winters Serie PEM Economy, dial 2,5", 0/40 Kg/cm2 &amp; 0/600 psi, 1/4" BSPT inferior, caja acero, internos latón, clase ±3-2-3%, seco.</t>
  </si>
  <si>
    <t>PEM290R1R11</t>
  </si>
  <si>
    <t>Manómetro Winters Serie PEM Economy, dial 2,5", 0/1.000 psi &amp; 0/70 bar, 1/4" NPT inferior, caja acero, internos latón, clase ±3-2-3%, seco.</t>
  </si>
  <si>
    <t>PEM290R3R1S1-BSPT</t>
  </si>
  <si>
    <t>Manómetro Winters Serie PEM Economy, dial 2,5", 0/140 Kg/cm2 &amp; 0/2.000 psi, 1/4" BSPT inferior, caja acero, internos latón, clase ±3-2-3%, seco.</t>
  </si>
  <si>
    <t>PEM291R1R11</t>
  </si>
  <si>
    <t>Manómetro Winters Serie PEM Economy, dial 2,5", 0/3.000 psi &amp; 0/200 bar, 1/4" NPT inferior, caja acero, internos latón, clase ±3-2-3%, seco.</t>
  </si>
  <si>
    <t>PEM291R3R1-BSPT</t>
  </si>
  <si>
    <t>Manómetro Winters Serie PEM Economy, dial 2,5", 0/210 Kg/cm2 &amp; 0/3.045 psi, 1/4" BSPT inferior, caja acero, internos latón, clase ±3-2-3%, seco.</t>
  </si>
  <si>
    <t>PEM292R1R11</t>
  </si>
  <si>
    <t>Manómetro Winters Serie PEM Economy, dial 2,5", 0/5.000 psi &amp; 0/350 bar, 1/4" NPT inferior, caja acero, internos latón, clase ±3-2-3%, seco.</t>
  </si>
  <si>
    <t>PEM292R3R1-BSPT</t>
  </si>
  <si>
    <t>Manómetro Winters Serie PEM Economy, dial 2,5",  0/350 Kg/cm2 &amp; 0/5.000 psi, 1/4" BSPT inferior, caja acero, internos latón, clase ±3-2-3%, seco.</t>
  </si>
  <si>
    <t>PEM1431R1R11</t>
  </si>
  <si>
    <t>Vacuómetro Winters Serie PEM Economy, dial 2,5", -30/0"Hg &amp; -1/0 bar, 1/4" NPT posterior, caja acero, internos latón, clase ±3-2-3%, seco.</t>
  </si>
  <si>
    <t>PEM1436GASISTA-BSPT</t>
  </si>
  <si>
    <t>Manómetro Winters Serie PEM Economy, dial 2,5", 0/0,6 Kg/cm2 &amp; 0/8 psi, 1/4" BSPT posterior, caja acero, internos latón, clase ±3-2-3%, seco.</t>
  </si>
  <si>
    <t>PEM1436R1R11</t>
  </si>
  <si>
    <t>Manómetro Winters Serie PEM Economy, dial 2,5", 0/15 psi &amp; 0/1 bar, 1/4" NPT posterior, caja acero, internos latón, clase ±3-2-3%, seco.</t>
  </si>
  <si>
    <t>PEM1436R3R1-BSPT</t>
  </si>
  <si>
    <t>Manómetro Winters Serie PEM Economy, dial 2,5", 0/1 Kg/cm2 &amp; 0/15 psi, 1/4" BSPT posterior, caja acero, internos latón, clase ±3-2-3%, seco.</t>
  </si>
  <si>
    <t>PEM1437R1R11</t>
  </si>
  <si>
    <t>Manómetro Winters Serie PEM Economy, dial 2,5", 0/30 psi &amp; 0/2 bar, 1/4" NPT posterior, caja acero, internos latón, clase ±3-2-3%, seco.</t>
  </si>
  <si>
    <t>PEM1437R3R1-BSPT</t>
  </si>
  <si>
    <t>Manómetro Winters Serie PEM Economy, dial 2,5", 0/2 Kg/cm2 &amp; 0/28 psi, 1/4" BSPT posterior, caja acero, internos latón, clase ±3-2-3%, seco.</t>
  </si>
  <si>
    <t>PEM1438R1R11</t>
  </si>
  <si>
    <t>Manómetro Winters Serie PEM Economy, dial 2,5", 0/60 psi &amp; 0/4 bar, 1/4" NPT posterior, caja acero, internos latón, clase ±3-2-3%, seco.</t>
  </si>
  <si>
    <t>PEM1439R1R11</t>
  </si>
  <si>
    <t>Manómetro Winters Serie PEM Economy, dial 2,5", 0/100 psi &amp; 0/7 bar, 1/4" NPT posterior, caja acero, internos latón, clase ±3-2-3%, seco.</t>
  </si>
  <si>
    <t>PEM1440R1R11</t>
  </si>
  <si>
    <t>Manómetro Winters Serie PEM Economy, dial 2,5", 0/160 psi &amp; 0/11 bar, 1/4" NPT posterior, caja acero, internos latón, clase ±3-2-3%, seco.</t>
  </si>
  <si>
    <t>PEM1441R1R11</t>
  </si>
  <si>
    <t>Manómetro Winters Serie PEM Economy, dial 2,5", 0/200 psi &amp; 0/14 bar, 1/4" NPT posterior, caja acero, internos latón, clase ±3-2-3%, seco.</t>
  </si>
  <si>
    <t>PEM1442R1R11</t>
  </si>
  <si>
    <t>Manómetro Winters Serie PEM Economy, dial 2,5", 0/300 psi &amp; 0/20 bar, 1/4" NPT posterior, caja acero, internos latón, clase ±3-2-3%, seco.</t>
  </si>
  <si>
    <t>PEM3412R1R11</t>
  </si>
  <si>
    <t>Manómetro Winters Serie PEM Economy, dial 2,5", 0/400 psi &amp; 0/30 bar, 1/4" NPT posterior, caja acero, internos latón, clase ±3-2-3%, seco.</t>
  </si>
  <si>
    <t>PEM3413R1R11</t>
  </si>
  <si>
    <t>Manómetro Winters Serie PEM Economy, dial 2,5", 0/600 psi &amp; 0/40 bar, 1/4" NPT posterior, caja acero, internos latón, clase ±3-2-3%, seco.</t>
  </si>
  <si>
    <t>PEM220R6R11</t>
  </si>
  <si>
    <t>Vacuómetro Winters Serie PEM Economy, dial 4", -30/0"Hg &amp; -1/0 bar, 1/4" NPT inferior, caja acero, internos latón, clase ±3-2-3%, seco.</t>
  </si>
  <si>
    <t>PEM295R1R11</t>
  </si>
  <si>
    <t>Manómetro Winters Serie PEM Economy, dial 4", 0/15 psi &amp; 0/1 bar, 1/4" NPT inferior, caja acero, internos latón, clase ±3-2-3%, seco.</t>
  </si>
  <si>
    <t>PEM221R1R11</t>
  </si>
  <si>
    <t>Manómetro Winters Serie PEM Economy, dial 4", 0/30 psi &amp; 0/2 bar, 1/4" NPT inferior, caja acero, internos latón, clase ±3-2-3%, seco.</t>
  </si>
  <si>
    <t>PEM222R1R11</t>
  </si>
  <si>
    <t>Manómetro Winters Serie PEM Economy, dial 4", 0/60 psi &amp; 0/4 bar, 1/4" NPT inferior, caja acero, internos latón, clase ±3-2-3%, seco.</t>
  </si>
  <si>
    <t>PEM223R1R11</t>
  </si>
  <si>
    <t>Manómetro Winters Serie PEM Economy, dial 4", 0/100 psi &amp; 0/7 bar, 1/4" NPT inferior, caja acero, internos latón, clase ±3-2-3%, seco.</t>
  </si>
  <si>
    <t>PEM224R1R11</t>
  </si>
  <si>
    <t>Manómetro Winters Serie PEM Economy, dial 4", 0/160 psi &amp; 0/11 bar, 1/4" NPT inferior, caja acero, internos latón, clase ±3-2-3%, seco.</t>
  </si>
  <si>
    <t>PEM225R1R11</t>
  </si>
  <si>
    <t>Manómetro Winters Serie PEM Economy, dial 4", 0/200 psi &amp; 0/14 bar, 1/4" NPT inferior, caja acero, internos latón, clase ±3-2-3%, seco.</t>
  </si>
  <si>
    <t>PEM226R1R11</t>
  </si>
  <si>
    <t>Manómetro Winters Serie PEM Economy, dial 4", 0/300 psi &amp; 0/20 bar, 1/4" NPT inferior, caja acero, internos latón, clase ±3-2-3%, seco.</t>
  </si>
  <si>
    <t>PEM227R1R11</t>
  </si>
  <si>
    <t>Manómetro Winters Serie PEM Economy, dial 4", 0/400 psi &amp; 0/30 bar, 1/4" NPT inferior, caja acero, internos latón, clase ±3-2-3%, seco.</t>
  </si>
  <si>
    <t>PEM220R6R11-1/2</t>
  </si>
  <si>
    <t>Vacuómetro Winters Serie PEM Economy, dial 4", -30/0"Hg &amp; -1/0 bar, 1/2" NPT inferior, caja acero, internos latón, clase ±3-2-3%, seco.</t>
  </si>
  <si>
    <t>PEM220R7R6-1/2BSPT</t>
  </si>
  <si>
    <t>Vacuómetro Winters Serie PEM Economy, dial 4", -760 mmHg/0 &amp; -30/0"Hg, 1/2" BSPT inferior, caja acero, internos latón, clase ±3-2-3%, seco.</t>
  </si>
  <si>
    <t>PEM295R1R11-1/2</t>
  </si>
  <si>
    <t>Manómetro Winters Serie PEM Economy, dial 4", 0/15 psi &amp; 0/1 bar, 1/2" NPT inferior, caja acero, internos latón, clase ±3-2-3%, seco.</t>
  </si>
  <si>
    <t>PEM221GASISTA</t>
  </si>
  <si>
    <t>Manómetro Winters Serie PEM Economy, dial 4", 0/0,6 Kg/cm2 &amp; 0/8 psi, 1/2" BSPT inferior, caja acero, internos latón, clase ±3-2-3%, seco.</t>
  </si>
  <si>
    <t>PEM221R3R1S-1/2BSPT</t>
  </si>
  <si>
    <t>Manómetro Winters Serie PEM Economy, dial 4", 0/1 Kg/cm2 &amp; 0/15 psi, 1/2" BSPT inferior, caja acero, internos latón, clase ±3-2-3%, seco.</t>
  </si>
  <si>
    <t>PEM221R1R11-1/2</t>
  </si>
  <si>
    <t>Manómetro Winters Serie PEM Economy, dial 4", 0/30 psi &amp; 0/2 bar, 1/2" NPT inferior, caja acero, internos latón, clase ±3-2-3%, seco.</t>
  </si>
  <si>
    <t>PEM222R1R11-1/2</t>
  </si>
  <si>
    <t>Manómetro Winters Serie PEM Economy, dial 4", 0/60 psi &amp; 0/4 bar, 1/2" NPT inferior, caja acero, internos latón, clase ±3-2-3%, seco.</t>
  </si>
  <si>
    <t>PEM223R1R11-1/2</t>
  </si>
  <si>
    <t>Manómetro Winters Serie PEM Economy, dial 4", 0/100 psi &amp; 0/7 bar, 1/2" NPT inferior, caja acero, internos latón, clase ±3-2-3%, seco.</t>
  </si>
  <si>
    <t>PEM224R1R11-1/2</t>
  </si>
  <si>
    <t>Manómetro Winters Serie PEM Economy, dial 4", 0/160 psi &amp; 0/11 bar, 1/2" NPT inferior, caja acero, internos latón, clase ±3-2-3%, seco.</t>
  </si>
  <si>
    <t>PEM224R3R1-1/2BSPT</t>
  </si>
  <si>
    <t>Manómetro Winters Serie PEM Economy, dial 4", 0/10 Kg/cm2 &amp; 0/150 psi, 1/2" BSPT inferior, caja acero, internos latón, clase ±3-2-3%, seco.</t>
  </si>
  <si>
    <t>PEM225R1R11-1/2</t>
  </si>
  <si>
    <t>Manómetro Winters Serie PEM Economy, dial 4", 0/200 psi &amp; 0/14 bar, 1/2" NPT inferior, caja acero, internos latón, clase ±3-2-3%, seco.</t>
  </si>
  <si>
    <t>PEM226R1R11-1/2</t>
  </si>
  <si>
    <t>Manómetro Winters Serie PEM Economy, dial 4", 0/300 psi &amp; 0/20 bar, 1/2" NPT inferior, caja acero, internos latón, clase ±3-2-3%, seco.</t>
  </si>
  <si>
    <t>PEM227R1R11-1/2</t>
  </si>
  <si>
    <t>Manómetro Winters Serie PEM Economy, dial 4", 0/400 psi &amp; 0/30 bar, 1/2" NPT inferior, caja acero, internos latón, clase ±3-2-3%, seco.</t>
  </si>
  <si>
    <t>PEM226R3R1S-1/2BSPT</t>
  </si>
  <si>
    <t>Manómetro Winters Serie PEM Economy, dial 4", 0/40 Kg/cm2 &amp; 0/600 psi, 1/2" BSPT inferior, caja acero, internos latón, clase ±3-2-3%, seco.</t>
  </si>
  <si>
    <t>PEM226R3R1S1-1/2BSPT</t>
  </si>
  <si>
    <t>Manómetro Winters Serie PEM Economy, dial 4", 0/70 Kg/cm2 &amp; 0/1.000 psi, 1/2" BSPT inferior, caja acero, internos latón, clase ±3-2-3%, seco.</t>
  </si>
  <si>
    <t>PEM226R3R1S2-1/2BSPT</t>
  </si>
  <si>
    <t>Manómetro Winters Serie PEM Economy, dial 4", 0/100 Kg/cm2 &amp; 0/1.400 psi, 1/2" BSPT inferior, caja acero, internos latón, clase ±3-2-3%, seco.</t>
  </si>
  <si>
    <t>PEM226R3R1S3-1/2BSPT</t>
  </si>
  <si>
    <t>Manómetro Winters Serie PEM Economy, dial 4", 0/200 Kg/cm2 &amp; 0/3.000 psi, 1/2" BSPT inferior, caja acero, internos latón, clase ±3-2-3%, seco.</t>
  </si>
  <si>
    <t>PEM226R3R1S4-1/2BSPT</t>
  </si>
  <si>
    <t>Manómetro Winters Serie PEM Economy, dial 4", 0/300 Kg/cm2 &amp; 0/4.000 psi, 1/2" BSPT inferior, caja acero, internos latón, clase ±3-2-3%, seco.</t>
  </si>
  <si>
    <t>PEM226R3R1S5-1/2BSPT</t>
  </si>
  <si>
    <t>Manómetro Winters Serie PEM Economy, dial 4", 0/400 Kg/cm2 &amp; 0/6.000 psi, 1/2" BSPT inferior, caja acero, internos latón, clase ±3-2-3%, seco.</t>
  </si>
  <si>
    <t>PEM226R3R1S6-1/2BSPT</t>
  </si>
  <si>
    <t>Manómetro Winters Serie PEM Economy, dial 4", 0/600 Kg/cm2 &amp; 0/8.700 psi, 1/2" BSPT inferior, caja acero, internos latón, clase ±3-2-3%, seco.</t>
  </si>
  <si>
    <t>PEM220R6R11-BACK</t>
  </si>
  <si>
    <t>Manómetro Winters Serie PEM Economy, dial 4", -30/0"Hg &amp; -1/0 bar, 1/2" NPT posterior, caja acero, internos latón, clase ±3-2-3%, seco.</t>
  </si>
  <si>
    <t>PEM220R7R6-BACK-BSPT</t>
  </si>
  <si>
    <t>Vacuómetro Winters Serie PEM Economy, dial 4", -760 mmHg/0 &amp; -30/0"Hg, 1/2" BSPT posterior, caja acero, internos latón, clase ±3-2-3%, seco.</t>
  </si>
  <si>
    <t>PEM295R1R11-BACK</t>
  </si>
  <si>
    <t>Manómetro Winters Serie PEM Economy, dial 4", 0/15 psi &amp; 0/1 bar, 1/2" NPT posterior, caja acero, internos latón, clase ±3-2-3%, seco.</t>
  </si>
  <si>
    <t>PEM221R3R1S-BACK-BSPT</t>
  </si>
  <si>
    <t>Manómetro Winters Serie PEM Economy, dial 4", 0/1 Kg/cm2 &amp; 0/15 psi, 1/2" BSPT posterior, caja acero, internos latón, clase ±3-2-3%, seco.</t>
  </si>
  <si>
    <t>PEM221R1R11-BACK</t>
  </si>
  <si>
    <t>Manómetro Winters Serie PEM Economy, dial 4", 0/30 psi &amp; 0/2 bar, 1/2" NPT posterior, caja acero, internos latón, clase ±3-2-3%, seco.</t>
  </si>
  <si>
    <t>PEM221R3R1-BACK-BSPT</t>
  </si>
  <si>
    <t>Manómetro Winters Serie PEM Economy, dial 4", 0/2 Kg/cm2 &amp; 0/30 psi, 1/2" BSPT posterior, caja acero, internos latón, clase ±3-2-3%, seco.</t>
  </si>
  <si>
    <t>PEM222R1R11-BACK</t>
  </si>
  <si>
    <t>Manómetro Winters Serie PEM Economy, dial 4", 0/60 psi &amp; 0/4 bar, 1/2" NPT posterior, caja acero, internos latón, clase ±3-2-3%, seco.</t>
  </si>
  <si>
    <t>PEM223R1R11-BACK</t>
  </si>
  <si>
    <t>Manómetro Winters Serie PEM Economy, dial 4", 0/100 psi &amp; 0/7 bar, 1/2" NPT posterior, caja acero, internos latón, clase ±3-2-3%, seco.</t>
  </si>
  <si>
    <t>PEM223R3R1-BACK-BSPT</t>
  </si>
  <si>
    <t>Manómetro Winters Serie PEM Economy, dial 4", 0/7 Kg/cm2 &amp; 0/100 psi, 1/2" BSPT posterior, caja acero, internos latón, clase ±3-2-3%, seco.</t>
  </si>
  <si>
    <t>PEM224R1R11-BACK</t>
  </si>
  <si>
    <t>Manómetro Winters Serie PEM Economy, dial 4", 0/160 psi &amp; 0/11 bar, 1/2" NPT posterior, caja acero, internos latón, clase ±3-2-3%, seco.</t>
  </si>
  <si>
    <t>PEM224R3R1-BACK-BSPT</t>
  </si>
  <si>
    <t>Manómetro Winters Serie PEM Economy, dial 4", 0/10 Kg/cm2 &amp; 0/150 psi, 1/2" BSPT posterior, caja acero, internos latón, clase ±3-2-3%, seco.</t>
  </si>
  <si>
    <t>PEM225R1R11-BACK</t>
  </si>
  <si>
    <t>Manómetro Winters Serie PEM Economy, dial 4", 0/200 psi &amp; 0/14 bar, 1/2" NPT posterior, caja acero, internos latón, clase ±3-2-3%, seco.</t>
  </si>
  <si>
    <t>PEM225R3R1-BACK-BSPT</t>
  </si>
  <si>
    <t>Manómetro Winters Serie PEM Economy, dial 4", 0/14 Kg/cm2 &amp; 0/200 psi, 1/2" BSPT posterior, caja acero, internos latón, clase ±3-2-3%, seco.</t>
  </si>
  <si>
    <t>PEM226R1R11-BACK</t>
  </si>
  <si>
    <t>Manómetro Winters Serie PEM Economy, dial 4", 0/300 psi &amp; 0/20 bar, 1/2" NPT posterior, caja acero, internos latón, clase ±3-2-3%, seco.</t>
  </si>
  <si>
    <t>PEM226R3R1-BACK-BSPT</t>
  </si>
  <si>
    <t>Manómetro Winters Serie PEM Economy, dial 4", 0/20 Kg/cm2 &amp; 0/300 psi, 1/2" BSPT posterior, caja acero, internos latón, clase ±3-2-3%, seco.</t>
  </si>
  <si>
    <t>PEM227R1R11-BACK</t>
  </si>
  <si>
    <t>Manómetro Winters Serie PEM Economy, dial 4", 0/400 psi &amp; 0/30 bar, 1/2" NPT posterior, caja acero, internos latón, clase ±3-2-3%, seco.</t>
  </si>
  <si>
    <t>ECASE15SSBK</t>
  </si>
  <si>
    <t>Accesorio Winters Caja de acero inoxidable para PEM dial 1,5" posterior</t>
  </si>
  <si>
    <t>ECASE15SSBTM</t>
  </si>
  <si>
    <t>Accesorio Winters Caja de acero inoxidable para PEM dial 1,5" inferior</t>
  </si>
  <si>
    <t>ECASE20SSBK</t>
  </si>
  <si>
    <t>Accesorio Winters Caja de acero inoxidable para PEM dial 2" posterior</t>
  </si>
  <si>
    <t>ECASE20SSBTM</t>
  </si>
  <si>
    <t>Accesorio Winters Caja de acero inoxidable para PEM dial 2" inferior</t>
  </si>
  <si>
    <t>GL15</t>
  </si>
  <si>
    <t>Accesorio Winters Lente de vidrio para PEM dial 1,5"</t>
  </si>
  <si>
    <t>GL2</t>
  </si>
  <si>
    <t>Accesorio Winters Lente de vidrio para PEM dial 2"</t>
  </si>
  <si>
    <t>GL25</t>
  </si>
  <si>
    <t>Accesorio Winters Lente de vidrio para PEM dial 2,5"</t>
  </si>
  <si>
    <t>PEM1297ZRR6R11</t>
  </si>
  <si>
    <t>Vacuómetro Winters Serie PEM-ZR Economy StabiliZR, dial 1,5", -30/0"Hg &amp; -1/0 bar, 1/8" NPT inferior, caja acero, internos latón, clase ±3-2-3%, amortiguador seco.</t>
  </si>
  <si>
    <t>PEM1299ZRR1R11</t>
  </si>
  <si>
    <t>Manómetro Winters Serie PEM-ZR Economy StabiliZR, dial 1,5", 0/15 psi &amp; 0/1 bar, 1/8" NPT inferior, caja acero, internos latón, clase ±3-2-3%, amortiguador seco.</t>
  </si>
  <si>
    <t>PEM1300ZRR1R11</t>
  </si>
  <si>
    <t>Manómetro Winters Serie PEM-ZR Economy StabiliZR, dial 1,5", 0/30 psi &amp; 0/2 bar, 1/8" NPT inferior, caja acero, internos latón, clase ±3-2-3%, amortiguador seco.</t>
  </si>
  <si>
    <t>PEM1301ZRR1R11</t>
  </si>
  <si>
    <t>Manómetro Winters Serie PEM-ZR Economy StabiliZR, dial 1,5", 0/60 psi &amp; 0/4 bar, 1/8" NPT inferior, caja acero, internos latón, clase ±3-2-3%, amortiguador seco.</t>
  </si>
  <si>
    <t>PEM1320ZRR1R11</t>
  </si>
  <si>
    <t>Manómetro Winters Serie PEM-ZR Economy StabiliZR, dial 1,5", 0/100 psi &amp; 0/7 bar, 1/8" NPT inferior, caja acero, internos latón, clase ±3-2-3%, amortiguador seco.</t>
  </si>
  <si>
    <t>PEM1321ZRR1R11</t>
  </si>
  <si>
    <t>Manómetro Winters Serie PEM-ZR Economy StabiliZR, dial 1,5", 0/160 psi &amp; 0/11 bar, 1/8" NPT inferior, caja acero, internos latón, clase ±3-2-3%, amortiguador seco.</t>
  </si>
  <si>
    <t>PEM1322ZRR1R11</t>
  </si>
  <si>
    <t>Manómetro Winters Serie PEM-ZR Economy StabiliZR, dial 1,5", 0/200 psi &amp; 0/14 bar, 1/8" NPT inferior, caja acero, internos latón, clase ±3-2-3%, amortiguador seco.</t>
  </si>
  <si>
    <t>PEM1323ZRR1R11</t>
  </si>
  <si>
    <t>Manómetro Winters Serie PEM-ZR Economy StabiliZR, dial 1,5", 0/300 psi &amp; 0/20 bar, 1/8" NPT inferior, caja acero, internos latón, clase ±3-2-3%, amortiguador seco.</t>
  </si>
  <si>
    <t>PEM1397ZRR6R11</t>
  </si>
  <si>
    <t>Vacuómetro Winters Serie PEM-ZR Economy StabiliZR, dial 1,5", -30/0"Hg &amp; -1/0 bar, 1/8" NPT posterior, caja acero, internos latón, clase ±3-2-3%, amortiguador seco.</t>
  </si>
  <si>
    <t>PEM1399ZRR1R11</t>
  </si>
  <si>
    <t>Manómetro Winters Serie PEM-ZR Economy StabiliZR, dial 1,5", 0/15 psi &amp; 0/1 bar, 1/8" NPT posterior, caja acero, internos latón, clase ±3-2-3%, amortiguador seco.</t>
  </si>
  <si>
    <t>PEM1400ZRR1R11</t>
  </si>
  <si>
    <t>Manómetro Winters Serie PEM-ZR Economy StabiliZR, dial 1,5", 0/30 psi &amp; 0/2 bar, 1/8" NPT posterior, caja acero, internos latón, clase ±3-2-3%, amortiguador seco.</t>
  </si>
  <si>
    <t>PEM1401ZRR1R11</t>
  </si>
  <si>
    <t>Manómetro Winters Serie PEM-ZR Economy StabiliZR, dial 1,5", 0/60 psi &amp; 0/4 bar, 1/8" NPT posterior, caja acero, internos latón, clase ±3-2-3%, amortiguador seco.</t>
  </si>
  <si>
    <t>PEM1420ZRR1R11</t>
  </si>
  <si>
    <t>Manómetro Winters Serie PEM-ZR Economy StabiliZR, dial 1,5", 0/100 psi &amp; 0/7 bar, 1/8" NPT posterior, caja acero, internos latón, clase ±3-2-3%, amortiguador seco.</t>
  </si>
  <si>
    <t>PEM1421ZRR1R11</t>
  </si>
  <si>
    <t>Manómetro Winters Serie PEM-ZR Economy StabiliZR, dial 1,5", 0/160 psi &amp; 0/11 bar, 1/8" NPT posterior, caja acero, internos latón, clase ±3-2-3%, amortiguador seco.</t>
  </si>
  <si>
    <t>PEM1422ZRR1R11</t>
  </si>
  <si>
    <t>Manómetro Winters Serie PEM-ZR Economy StabiliZR, dial 1,5", 0/200 psi &amp; 0/14 bar, 1/8" NPT posterior, caja acero, internos latón, clase ±3-2-3%, amortiguador seco.</t>
  </si>
  <si>
    <t>PEM1423ZRR1R11</t>
  </si>
  <si>
    <t>Manómetro Winters Serie PEM-ZR Economy StabiliZR, dial 1,5", 0/300 psi &amp; 0/20 bar, 1/8" NPT posterior, caja acero, internos latón, clase ±3-2-3%, amortiguador seco.</t>
  </si>
  <si>
    <t>PEM195ZRR6R11</t>
  </si>
  <si>
    <t>Vacuómetro Winters Serie PEM-ZR Economy StabiliZR, dial 2", -30/0"Hg &amp; -1/0 bar, 1/8" NPT inferior, caja acero, internos latón, clase ±3-2-3%, amortiguador seco.</t>
  </si>
  <si>
    <t>PEM196ZRR1R11</t>
  </si>
  <si>
    <t>Manómetro Winters Serie PEM-ZR Economy StabiliZR, dial 2", 0/15 psi &amp; 0/1 bar, 1/8" NPT inferior, caja acero, internos latón, clase ±3-2-3%, amortiguador seco.</t>
  </si>
  <si>
    <t>PEM206ZRR1R11</t>
  </si>
  <si>
    <t>Manómetro Winters Serie PEM-ZR Economy StabiliZR, dial 2", 0/30 psi &amp; 0/2 bar, 1/8" NPT inferior, caja acero, internos latón, clase ±3-2-3%, amortiguador seco.</t>
  </si>
  <si>
    <t>PEM206ZRR11-BSP</t>
  </si>
  <si>
    <t>Manómetro Winters Serie PEM-ZR Economy StabiliZR, dial 2", 0/2 bar, 1/8" BSP inferior, caja acero, internos latón, clase ±3-2-3%, amortiguador seco.</t>
  </si>
  <si>
    <t>PEM207ZRR1R11</t>
  </si>
  <si>
    <t>Manómetro Winters Serie PEM-ZR Economy StabiliZR, dial 2", 0/60 psi &amp; 0/4 bar, 1/8" NPT inferior, caja acero, internos latón, clase ±3-2-3%, amortiguador seco.</t>
  </si>
  <si>
    <t>PEM208ZRR1R11</t>
  </si>
  <si>
    <t>Manómetro Winters Serie PEM-ZR Economy StabiliZR, dial 2", 0/100 psi &amp; 0/7 bar, 1/8" NPT inferior, caja acero, internos latón, clase ±3-2-3%, amortiguador seco.</t>
  </si>
  <si>
    <t>PEM197ZRR1R11</t>
  </si>
  <si>
    <t>Manómetro Winters Serie PEM-ZR Economy StabiliZR, dial 2", 0/160 psi &amp; 0/11 bar, 1/8" NPT inferior, caja acero, internos latón, clase ±3-2-3%, amortiguador seco.</t>
  </si>
  <si>
    <t>PEM209ZRR1R11</t>
  </si>
  <si>
    <t>Manómetro Winters Serie PEM-ZR Economy StabiliZR, dial 2", 0/200 psi &amp; 0/14 bar, 1/8" NPT inferior, caja acero, internos latón, clase ±3-2-3%, amortiguador seco.</t>
  </si>
  <si>
    <t>PEM198ZRR1R11</t>
  </si>
  <si>
    <t>Manómetro Winters Serie PEM-ZR Economy StabiliZR, dial 2", 0/300 psi &amp; 0/20 bar, 1/8" NPT inferior, caja acero, internos latón, clase ±3-2-3%, amortiguador seco.</t>
  </si>
  <si>
    <t>PEM1424ZRR6R11</t>
  </si>
  <si>
    <t>Vacuómetro Winters Serie PEM-ZR Economy StabiliZR, dial 2", -30/0"Hg &amp; -1/0 bar, 1/8" NPT posterior, caja acero, internos latón, clase ±3-2-3%, amortiguador seco.</t>
  </si>
  <si>
    <t>PEM1425ZRR1R11</t>
  </si>
  <si>
    <t>Manómetro Winters Serie PEM-ZR Economy StabiliZR, dial 2", 0/15 psi &amp; 0/1 bar, 1/8" NPT posterior, caja acero, internos latón, clase ±3-2-3%, amortiguador seco.</t>
  </si>
  <si>
    <t>PEM1402ZRR1R11</t>
  </si>
  <si>
    <t>Manómetro Winters Serie PEM-ZR Economy StabiliZR, dial 2", 0/30 psi &amp; 0/2 bar, 1/8" NPT posterior, caja acero, internos latón, clase ±3-2-3%, amortiguador seco.</t>
  </si>
  <si>
    <t>PEM1404ZRR1R11</t>
  </si>
  <si>
    <t>Manómetro Winters Serie PEM-ZR Economy StabiliZR, dial 2", 0/60 psi &amp; 0/4 bar, 1/8" NPT posterior, caja acero, internos latón, clase ±3-2-3%, amortiguador seco.</t>
  </si>
  <si>
    <t>PEM1406ZRR1R11</t>
  </si>
  <si>
    <t>Manómetro Winters Serie PEM-ZR Economy StabiliZR, dial 2", 0/100 psi &amp; 0/7 bar, 1/8" NPT posterior, caja acero, internos latón, clase ±3-2-3%, amortiguador seco.</t>
  </si>
  <si>
    <t>PEM1408ZRR1R11</t>
  </si>
  <si>
    <t>Manómetro Winters Serie PEM-ZR Economy StabiliZR, dial 2", 0/160 psi &amp; 0/11 bar, 1/8" NPT posterior, caja acero, internos latón, clase ±3-2-3%, amortiguador seco.</t>
  </si>
  <si>
    <t>PEM1426ZRR1R11</t>
  </si>
  <si>
    <t>Manómetro Winters Serie PEM-ZR Economy StabiliZR, dial 2", 0/200 psi &amp; 0/14 bar, 1/8" NPT posterior, caja acero, internos latón, clase ±3-2-3%, amortiguador seco.</t>
  </si>
  <si>
    <t>PEM1427ZRR1R11</t>
  </si>
  <si>
    <t>Manómetro Winters Serie PEM-ZR Economy StabiliZR, dial 2", 0/300 psi &amp; 0/20 bar, 1/8" NPT posterior, caja acero, internos latón, clase ±3-2-3%, amortiguador seco.</t>
  </si>
  <si>
    <t>PEM135ZRR6R11</t>
  </si>
  <si>
    <t>Vacuómetro Winters Serie PEM-ZR Economy StabiliZR, dial 2", -30/0"Hg &amp; -1/0 bar, 1/4" NPT inferior, caja acero, internos latón, clase ±3-2-3%, amortiguador seco.</t>
  </si>
  <si>
    <t>PEM136ZRR1R11</t>
  </si>
  <si>
    <t>Manómetro Winters Serie PEM-ZR Economy StabiliZR, dial 2", 0/15 psi &amp; 0/1 bar, 1/4" NPT inferior, caja acero, internos latón, clase ±3-2-3%, amortiguador seco.</t>
  </si>
  <si>
    <t>PEM199ZRR1R11</t>
  </si>
  <si>
    <t>Manómetro Winters Serie PEM-ZR Economy StabiliZR, dial 2", 0/30 psi &amp; 0/2 bar, 1/4" NPT inferior, caja acero, internos latón, clase ±3-2-3%, amortiguador seco.</t>
  </si>
  <si>
    <t>PEM201ZRR1R11</t>
  </si>
  <si>
    <t>Manómetro Winters Serie PEM-ZR Economy StabiliZR, dial 2", 0/60 psi &amp; 0/4 bar, 1/4" NPT inferior, caja acero, internos latón, clase ±3-2-3%, amortiguador seco.</t>
  </si>
  <si>
    <t>PEM202ZRR1R11</t>
  </si>
  <si>
    <t>Manómetro Winters Serie PEM-ZR Economy StabiliZR, dial 2", 0/100 psi &amp; 0/7 bar, 1/4" inferior, caja acero, internos latón, clase ±3-2-3%, amortiguador seco.</t>
  </si>
  <si>
    <t>PEM203ZRR1R11</t>
  </si>
  <si>
    <t>Manómetro Winters Serie PEM-ZR Economy StabiliZR, dial 2", 0/160 psi &amp; 0/11 bar, 1/4" inferior, caja acero, internos latón, clase ±3-2-3%, amortiguador seco.</t>
  </si>
  <si>
    <t>PEM204ZRR1R11</t>
  </si>
  <si>
    <t>Manómetro Winters Serie PEM-ZR Economy StabiliZR, dial 2", 0/200 psi &amp; 0/14 bar, 1/4" inferior, caja acero, internos latón, clase ±3-2-3%, amortiguador seco.</t>
  </si>
  <si>
    <t>PEM205ZRR1R11</t>
  </si>
  <si>
    <t>Manómetro Winters Serie PEM-ZR Economy StabiliZR, dial 2", 0/300 psi &amp; 0/20 bar, 1/4" inferior, caja acero, internos latón, clase ±3-2-3%, amortiguador seco.</t>
  </si>
  <si>
    <t>PEM1428ZRR6R11</t>
  </si>
  <si>
    <t>Vacuómetro Winters Serie PEM-ZR Economy StabiliZR, dial 2", -30/0"Hg &amp; -1/0 bar, 1/4" NPT posterior, caja acero, internos latón, clase ±3-2-3%, amortiguador seco.</t>
  </si>
  <si>
    <t>PEM1429ZRR1R11</t>
  </si>
  <si>
    <t>Manómetro Winters Serie PEM-ZR Economy StabiliZR, dial 2", 0/15 psi &amp; 0/1 bar, 1/4" NPT posterior, caja acero, internos latón, clase ±3-2-3%, amortiguador seco.</t>
  </si>
  <si>
    <t>PEM1403ZRR1R11</t>
  </si>
  <si>
    <t>Manómetro Winters Serie PEM-ZR Economy StabiliZR, dial 2", 0/30 psi &amp; 0/2 bar, 1/4" NPT posterior, caja acero, internos latón, clase ±3-2-3%, amortiguador seco.</t>
  </si>
  <si>
    <t>PEM1405ZRR1R11</t>
  </si>
  <si>
    <t>Manómetro Winters Serie PEM-ZR Economy StabiliZR, dial 2", 0/60 psi &amp; 0/4 bar, 1/4" NPT posterior, caja acero, internos latón, clase ±3-2-3%, amortiguador seco.</t>
  </si>
  <si>
    <t>PEM1407ZRR1R11</t>
  </si>
  <si>
    <t>Manómetro Winters Serie PEM-ZR Economy StabiliZR, dial 2", 0/100 psi &amp; 0/7 bar, 1/4" NPT posterior, caja acero, internos latón, clase ±3-2-3%, amortiguador seco.</t>
  </si>
  <si>
    <t>PEM1409ZRR1R11</t>
  </si>
  <si>
    <t>Manómetro Winters Serie PEM-ZR Economy StabiliZR, dial 2", 0/160 psi &amp; 0/11 bar, 1/4" NPT posterior, caja acero, internos latón, clase ±3-2-3%, amortiguador seco.</t>
  </si>
  <si>
    <t>PEM1410ZRR1R11</t>
  </si>
  <si>
    <t>Manómetro Winters Serie PEM-ZR Economy StabiliZR, dial 2", 0/200 psi &amp; 0/14 bar, 1/4" NPT posterior, caja acero, internos latón, clase ±3-2-3%, amortiguador seco.</t>
  </si>
  <si>
    <t>PEM1411ZRR1R11</t>
  </si>
  <si>
    <t>Manómetro Winters Serie PEM-ZR Economy StabiliZR, dial 2", 0/300 psi &amp; 0/20 bar, 1/4" NPT posterior, caja acero, internos latón, clase ±3-2-3%, amortiguador seco.</t>
  </si>
  <si>
    <t>PEM1414ZRR1R11</t>
  </si>
  <si>
    <t>Manómetro Winters Serie PEM-ZR Economy StabiliZR, dial 2", 0/400 psi &amp; 0/30 bar, 1/4" NPT posterior, caja acero, internos latón, clase ±3-2-3%, amortiguador seco.</t>
  </si>
  <si>
    <t>PEM1412ZRR1R11</t>
  </si>
  <si>
    <t>Manómetro Winters Serie PEM-ZR Economy StabiliZR, dial 2", 0/600 psi &amp; 0/40 bar, 1/4" NPT posterior, caja acero, internos latón, clase ±3-2-3%, amortiguador seco.</t>
  </si>
  <si>
    <t>PEM210ZRR6R11</t>
  </si>
  <si>
    <t>Vacuómetro Winters Serie PEM-ZR Economy StabiliZR, dial 2,5", -30/0"Hg &amp; -1/0 bar, 1/4" inferior, caja acero, internos latón, clase ±3-2-3%, amortiguador seco.</t>
  </si>
  <si>
    <t>PEM152ZRR1R11</t>
  </si>
  <si>
    <t>Manómetro Winters Serie PEM-ZR Economy StabiliZR, dial 2,5", 30/0/15 psi &amp; 0/1 bar, 1/4" inferior, caja acero, internos latón, clase ±3-2-3%, amortiguador seco.</t>
  </si>
  <si>
    <t>PEM153ZRR1R11</t>
  </si>
  <si>
    <t>Manómetro Winters Serie PEM-ZR Economy StabiliZR, dial 2,5", 30/0/30 psi &amp; 0/2 bar, 1/4" inferior, caja acero, internos latón, clase ±3-2-3%, amortiguador seco.</t>
  </si>
  <si>
    <t>PEM154ZRR1R11</t>
  </si>
  <si>
    <t>Manómetro Winters Serie PEM-ZR Economy StabiliZR, dial 2,5", 30/0/60 psi &amp; 0/4 bar, 1/4" inferior, caja acero, internos latón, clase ±3-2-3%, amortiguador seco.</t>
  </si>
  <si>
    <t>PEM155ZRR1R11</t>
  </si>
  <si>
    <t>Manómetro Winters Serie PEM-ZR Economy StabiliZR, dial 2,5", 30/0/100 psi &amp; 0/7 bar, 1/4" inferior, caja acero, internos latón, clase ±3-2-3%, amortiguador seco.</t>
  </si>
  <si>
    <t>PEM211ZRR1R11</t>
  </si>
  <si>
    <t>Manómetro Winters Serie PEM-ZR Economy StabiliZR, dial 2,5", 0/15 psi &amp; 0/1 bar, 1/4" NPT inferior, caja acero, internos latón, clase ±3-2-3%, amortiguador seco.</t>
  </si>
  <si>
    <t>PEM212ZRR1R11</t>
  </si>
  <si>
    <t>Manómetro Winters Serie PEM-ZR Economy StabiliZR, dial 2,5", 0/30 psi &amp; 0/2 bar, 1/4" NPT inferior, caja acero, internos latón, clase ±3-2-3%, amortiguador seco.</t>
  </si>
  <si>
    <t>PEM213ZRR1R11</t>
  </si>
  <si>
    <t>Manómetro Winters Serie PEM-ZR Economy StabiliZR, dial 2,5", 0/60 psi &amp; 0/4 bar, 1/4" NPT inferior, caja acero, internos latón, clase ±3-2-3%, amortiguador seco.</t>
  </si>
  <si>
    <t>PEM214ZRR1R11</t>
  </si>
  <si>
    <t>Manómetro Winters Serie PEM-ZR Economy StabiliZR, dial 2,5", 0/100 psi &amp; 0/7 bar, 1/4" NPT inferior, caja acero, internos latón, clase ±3-2-3%, amortiguador seco.</t>
  </si>
  <si>
    <t>PEM215ZRR1R11</t>
  </si>
  <si>
    <t>Manómetro Winters Serie PEM-ZR Economy StabiliZR, dial 2,5", 0/160 psi &amp; 0/11 bar, 1/4" NPT inferior, caja acero, internos latón, clase ±3-2-3%, amortiguador seco.</t>
  </si>
  <si>
    <t>PEM216ZRR1R11</t>
  </si>
  <si>
    <t>Manómetro Winters Serie PEM-ZR Economy StabiliZR, dial 2,5", 0/200 psi &amp; 0/14 bar, 1/4" NPT inferior, caja acero, internos latón, clase ±3-2-3%, amortiguador seco.</t>
  </si>
  <si>
    <t>PEM217ZRR1R11</t>
  </si>
  <si>
    <t>Manómetro Winters Serie PEM-ZR Economy StabiliZR, dial 2,5", 0/300 psi &amp; 0/20 bar, 1/4" NPT inferior, caja acero, internos latón, clase ±3-2-3%, amortiguador seco.</t>
  </si>
  <si>
    <t>PEM219ZRR1R11</t>
  </si>
  <si>
    <t>Manómetro Winters Serie PEM-ZR Economy StabiliZR, dial 2,5", 0/400 psi &amp; 0/30 bar, 1/4" NPT inferior, caja acero, internos latón, clase ±3-2-3%, amortiguador seco.</t>
  </si>
  <si>
    <t>PEM218ZRR1R11</t>
  </si>
  <si>
    <t>Manómetro Winters Serie PEM-ZR Economy StabiliZR, dial 2,5", 0/600 psi &amp; 0/40 bar, 1/4" NPT inferior, caja acero, internos latón, clase ±3-2-3%, amortiguador seco.</t>
  </si>
  <si>
    <t>PEM290ZRR1R11</t>
  </si>
  <si>
    <t>Manómetro Winters Serie PEM-ZR Economy StabiliZR, dial 2,5", 0/1.000 psi &amp; 0/70 bar, 1/4" NPT inferior, caja acero, internos latón, clase ±3-2-3%, amortiguador seco.</t>
  </si>
  <si>
    <t>PEM291ZRR1R11</t>
  </si>
  <si>
    <t>Manómetro Winters Serie PEM-ZR Economy StabiliZR, dial 2,5", 0/3.000 psi &amp; 0/200 bar, 1/4" NPT inferior, caja acero, internos latón, clase ±3-2-3%, amortiguador seco.</t>
  </si>
  <si>
    <t>PEM292ZRR1R11</t>
  </si>
  <si>
    <t>Manómetro Winters Serie PEM-ZR Economy StabiliZR, dial 2,5", 0/5.000 psi &amp; 0/350 bar, 1/4" NPT inferior, caja acero, internos latón, clase ±3-2-3%, amortiguador seco.</t>
  </si>
  <si>
    <t>PEM1431ZRR6R11</t>
  </si>
  <si>
    <t>Vacuómetro Winters Serie PEM-ZR Economy StabiliZR, dial 2,5", -30/0"Hg &amp; -1/0 bar, 1/4" NPT posterior, caja acero, internos latón, clase ±3-2-3%, amortiguador seco.</t>
  </si>
  <si>
    <t>PEM1436ZRR1R11</t>
  </si>
  <si>
    <t>Manómetro Winters Serie PEM-ZR Economy StabiliZR, dial 2,5", 0/15 psi &amp; 0/1 bar, 1/4" NPT posterior, caja acero, internos latón, clase ±3-2-3%, amortiguador seco.</t>
  </si>
  <si>
    <t>PEM1437ZRR1R11</t>
  </si>
  <si>
    <t>Manómetro Winters Serie PEM-ZR Economy StabiliZR, dial 2,5", 0/30 psi &amp; 0/2 bar, 1/4" NPT posterior, caja acero, internos latón, clase ±3-2-3%, amortiguador seco.</t>
  </si>
  <si>
    <t>PEM1438ZRR1R11</t>
  </si>
  <si>
    <t>Manómetro Winters Serie PEM-ZR Economy StabiliZR, dial 2,5", 0/60 psi &amp; 0/4 bar, 1/4" NPT posterior, caja acero, internos latón, clase ±3-2-3%, amortiguador seco.</t>
  </si>
  <si>
    <t>PEM1439ZRR1R11</t>
  </si>
  <si>
    <t>Manómetro Winters Serie PEM-ZR Economy StabiliZR, dial 2,5", 0/100 psi &amp; 0/7 bar, 1/4" NPT posterior, caja acero, internos latón, clase ±3-2-3%, amortiguador seco.</t>
  </si>
  <si>
    <t>PEM1440ZRR1R11</t>
  </si>
  <si>
    <t>Manómetro Winters Serie PEM-ZR Economy StabiliZR, dial 2,5", 0/160 psi &amp; 0/11 bar, 1/4" NPT posterior, caja acero, internos latón, clase ±3-2-3%, amortiguador seco.</t>
  </si>
  <si>
    <t>PEM1441ZRR1R11</t>
  </si>
  <si>
    <t>Manómetro Winters Serie PEM-ZR Economy StabiliZR, dial 2,5", 0/200 psi &amp; 0/14 bar, 1/4" NPT posterior, caja acero, internos latón, clase ±3-2-3%, amortiguador seco.</t>
  </si>
  <si>
    <t>PEM1442ZRR1R11</t>
  </si>
  <si>
    <t>Manómetro Winters Serie PEM-ZR Economy StabiliZR, dial 2,5", 0/300 psi &amp; 0/20 bar, 1/4" NPT posterior, caja acero, internos latón, clase ±3-2-3%, amortiguador seco.</t>
  </si>
  <si>
    <t>PEM3412ZRR1R11</t>
  </si>
  <si>
    <t>Manómetro Winters Serie PEM-ZR Economy StabiliZR, dial 2,5", 0/400 psi &amp; 0/30 bar, 1/4" NPT posterior, caja acero, internos latón, clase ±3-2-3%, amortiguador seco.</t>
  </si>
  <si>
    <t>PEM3413ZRR1R11</t>
  </si>
  <si>
    <t>Manómetro Winters Serie PEM-ZR Economy StabiliZR, dial 2,5", 0/600 psi &amp; 0/40 bar, 1/4" NPT posterior, caja acero, internos latón, clase ±3-2-3%, amortiguador seco.</t>
  </si>
  <si>
    <t>PEM220ZRR6R11</t>
  </si>
  <si>
    <t>Vacuómetro Winters Serie PEM-ZR Economy StabiliZR, dial 4", -30/0"Hg &amp; -1/0 bar, 1/4" NPT inferior, caja acero, internos latón, clase ±3-2-3%, amortiguador seco.</t>
  </si>
  <si>
    <t>PEM295ZRR1R11</t>
  </si>
  <si>
    <t>Manómetro Winters Serie PEM-ZR Economy StabiliZR, dial 4", 0/15 psi &amp; 0/1 bar, 1/4" NPT inferior, caja acero, internos latón, clase ±3-2-3%, amortiguador seco.</t>
  </si>
  <si>
    <t>PEM221ZRR1R11</t>
  </si>
  <si>
    <t>Manómetro Winters Serie PEM-ZR Economy StabiliZR, dial 4", 0/30 psi &amp; 0/2 bar, 1/4" NPT inferior, caja acero, internos latón, clase ±3-2-3%, amortiguador seco.</t>
  </si>
  <si>
    <t>PEM222ZRR1R11</t>
  </si>
  <si>
    <t>Manómetro Winters Serie PEM-ZR Economy StabiliZR, dial 4", 0/60 psi &amp; 0/4 bar, 1/4" NPT inferior, caja acero, internos latón, clase ±3-2-3%, amortiguador seco.</t>
  </si>
  <si>
    <t>PEM223ZRR1R11</t>
  </si>
  <si>
    <t>Manómetro Winters Serie PEM-ZR Economy StabiliZR, dial 4", 0/100 psi &amp; 0/7 bar, 1/4" NPT inferior, caja acero, internos latón, clase ±3-2-3%, amortiguador seco.</t>
  </si>
  <si>
    <t>PEM224ZRR1R11</t>
  </si>
  <si>
    <t>Manómetro Winters Serie PEM-ZR Economy StabiliZR, dial 4", 0/160 psi &amp; 0/11 bar, 1/4" NPT inferior, caja acero, internos latón, clase ±3-2-3%, amortiguador seco.</t>
  </si>
  <si>
    <t>PEM225ZRR1R11</t>
  </si>
  <si>
    <t>Manómetro Winters Serie PEM-ZR Economy StabiliZR, dial 4", 0/200 psi &amp; 0/14 bar, 1/4" NPT inferior, caja acero, internos latón, clase ±3-2-3%, amortiguador seco.</t>
  </si>
  <si>
    <t>PEM226ZRR1R11</t>
  </si>
  <si>
    <t>Manómetro Winters Serie PEM-ZR Economy StabiliZR, dial 4", 0/300 psi &amp; 0/20 bar, 1/4" NPT inferior, caja acero, internos latón, clase ±3-2-3%, amortiguador seco.</t>
  </si>
  <si>
    <t>PEM227ZRR1R11</t>
  </si>
  <si>
    <t>Manómetro Winters Serie PEM-ZR Economy StabiliZR, dial 4", 0/400 psi &amp; 0/30 bar, 1/4" NPT inferior, caja acero, internos latón, clase ±3-2-3%, amortiguador seco.</t>
  </si>
  <si>
    <t>PEM220ZRR6R11-1/2</t>
  </si>
  <si>
    <t>Vacuómetro Winters Serie PEM-ZR Economy StabiliZR, dial 4", -30/0"Hg &amp; -1/0 bar, 1/2" NPT inferior, caja acero, internos latón, clase ±3-2-3%, amortiguador seco.</t>
  </si>
  <si>
    <t>PEM295ZRR1R11-1/2</t>
  </si>
  <si>
    <t>Manómetro Winters Serie PEM-ZR Economy StabiliZR, dial 4", 0/15 psi &amp; 0/1 bar, 1/2" NPT inferior, caja acero, internos latón, clase ±3-2-3%, amortiguador seco.</t>
  </si>
  <si>
    <t>PEM221ZRR1R11-1/2</t>
  </si>
  <si>
    <t>Manómetro Winters Serie PEM-ZR Economy StabiliZR, dial 4", 0/30 psi &amp; 0/2 bar, 1/2" NPT inferior, caja acero, internos latón, clase ±3-2-3%, amortiguador seco.</t>
  </si>
  <si>
    <t>PEM222ZRR1R11-1/2</t>
  </si>
  <si>
    <t>Manómetro Winters Serie PEM-ZR Economy StabiliZR, dial 4", 0/60 psi &amp; 0/4 bar, 1/2" NPT inferior, caja acero, internos latón, clase ±3-2-3%, amortiguador seco.</t>
  </si>
  <si>
    <t>PEM223ZRR1R11-1/2</t>
  </si>
  <si>
    <t>Manómetro Winters Serie PEM-ZR Economy StabiliZR, dial 4", 0/100 psi &amp; 0/7 bar, 1/2" NPT inferior, caja acero, internos latón, clase ±3-2-3%, amortiguador seco.</t>
  </si>
  <si>
    <t>PEM224ZRR1R11-1/2</t>
  </si>
  <si>
    <t>Manómetro Winters Serie PEM-ZR Economy StabiliZR, dial 4", 0/160 psi &amp; 0/11 bar, 1/2" NPT inferior, caja acero, internos latón, clase ±3-2-3%, amortiguador seco.</t>
  </si>
  <si>
    <t>PEM225ZRR1R11-1/2</t>
  </si>
  <si>
    <t>Manómetro Winters Serie PEM-ZR Economy StabiliZR, dial 4", 0/200 psi &amp; 0/14 bar, 1/2" NPT inferior, caja acero, internos latón, clase ±3-2-3%, amortiguador seco.</t>
  </si>
  <si>
    <t>PEM226ZRR1R11-1/2</t>
  </si>
  <si>
    <t>Manómetro Winters Serie PEM-ZR Economy StabiliZR, dial 4", 0/300 psi &amp; 0/20 bar, 1/2" NPT inferior, caja acero, internos latón, clase ±3-2-3%, amortiguador seco.</t>
  </si>
  <si>
    <t>PEM227ZRR1R11-1/2</t>
  </si>
  <si>
    <t>Manómetro Winters Serie PEM-ZR Economy StabiliZR, dial 4", 0/400 psi &amp; 0/30 bar, 1/2" NPT inferior, caja acero, internos latón, clase ±3-2-3%, amortiguador seco.</t>
  </si>
  <si>
    <t>PFQ1102R6R11</t>
  </si>
  <si>
    <t>Manómetro Winters Serie PFQ Quality, dial 1,5", 0/30 psi &amp; 0/2 bar, 1/8" NPT inferior, caja Ac. Inox 304, internos latón, clase 2,5%, cierre repujado, con glicerina.</t>
  </si>
  <si>
    <t>PFQ1102R3R1</t>
  </si>
  <si>
    <t>Manómetro Winters Serie PFQ Quality, dial 1,5", 0/2 Kg/cm2 &amp; 0/30 psi, 1/8" NPT inferior, caja Ac. Inox 304, internos latón, clase 2,5%, cierre repujado, con glicerina.</t>
  </si>
  <si>
    <t>PFQ1102R1</t>
  </si>
  <si>
    <t>Manómetro Winters Serie PFQ Quality, dial 1,5", 0/30 psi, 1/8" NPT inferior, caja Ac. Inox 304, internos latón, clase 2,5%, cierre repujado, con glicerina.</t>
  </si>
  <si>
    <t>PFQ1103R1</t>
  </si>
  <si>
    <t>Manómetro Winters Serie PFQ Quality, dial 1,5", 0/60 psi, 1/8" NPT inferior, caja Ac. Inox 304, internos latón, clase 2,5%, cierre repujado, con glicerina.</t>
  </si>
  <si>
    <t>PFQ1103R1R11</t>
  </si>
  <si>
    <t>Manómetro Winters Serie PFQ Quality, dial 1,5", 0/60 psi &amp; 0/4 bar, 1/8" NPT inferior, caja Ac. Inox 304, internos latón, clase 2,5%, cierre repujado, con glicerina.</t>
  </si>
  <si>
    <t>PFQ1103R3R1</t>
  </si>
  <si>
    <t>Manómetro Winters Serie PFQ Quality, dial 1,5", 0/4 Kg/cm2 &amp; 0/60 psi, 1/8" NPT inferior, caja Ac. Inox 304, internos latón, clase 2,5%, cierre repujado, con glicerina.</t>
  </si>
  <si>
    <t>PFQ1104R1R11</t>
  </si>
  <si>
    <t>Manómetro Winters Serie PFQ Quality, dial 1,5", 0/100 psi &amp; 0/7 bar, 1/8" NPT inferior, caja Ac. Inox 304, internos latón, clase 2,5%, cierre repujado, con glicerina.</t>
  </si>
  <si>
    <t>PFQ1104R3R1</t>
  </si>
  <si>
    <t>Manómetro Winters Serie PFQ Quality, dial 1,5", 0/7 Kg/cm2 &amp; 0/100 psi, 1/8" NPT inferior, caja Ac. Inox 304, internos latón, clase 2,5%, cierre repujado, con glicerina.</t>
  </si>
  <si>
    <t>PFQ1105R3R1</t>
  </si>
  <si>
    <t>Manómetro Winters Serie PFQ Quality, dial 1,5", 0/10 Kg/cm2 &amp; 0/150 psi, 1/8" NPT inferior, caja Ac. Inox 304, internos latón, clase 2,5%, cierre repujado, con glicerina.</t>
  </si>
  <si>
    <t>PFQ1105R1R11</t>
  </si>
  <si>
    <t>Manómetro Winters Serie PFQ Quality, dial 1,5", 0/160 psi &amp; 0/11 bar, 1/8" NPT inferior, caja Ac. Inox 304, internos latón, clase 2,5%, cierre repujado, con glicerina.</t>
  </si>
  <si>
    <t>PFQ1106R1R11</t>
  </si>
  <si>
    <t>Manómetro Winters Serie PFQ Quality, dial 1,5", 0/200 psi &amp; 0/14 bar, 1/8" NPT inferior, caja Ac. Inox 304, internos latón, clase 2,5%, cierre repujado, con glicerina.</t>
  </si>
  <si>
    <t>PFQ1106R3R1S</t>
  </si>
  <si>
    <t>Manómetro Winters Serie PFQ Quality, dial 1,5", 0/16 Kg/cm2 &amp; 0/230 psi, 1/8" NPT inferior, caja Ac. Inox 304, internos latón, clase 2,5%, cierre repujado, con glicerina.</t>
  </si>
  <si>
    <t>PFQ1107R1R11</t>
  </si>
  <si>
    <t>Manómetro Winters Serie PFQ Quality, dial 1,5", 0/300 psi &amp; 0/20 bar, 1/8" NPT inferior, caja Ac. Inox 304, internos latón, clase 2,5%, cierre repujado, con glicerina.</t>
  </si>
  <si>
    <t>PFQ1107R3R1</t>
  </si>
  <si>
    <t>Manómetro Winters Serie PFQ Quality, dial 1,5", 0/20 Kg/cm2 &amp; 0/300 psi, 1/8" NPT inferior, caja Ac. Inox 304, internos latón, clase 2,5%, cierre repujado, con glicerina.</t>
  </si>
  <si>
    <t>PFQ1108R1R11</t>
  </si>
  <si>
    <t>Manómetro Winters Serie PFQ Quality, dial 1,5", 0/600 psi &amp; 0/40 bar, 1/8" NPT inferior, caja Ac. Inox 304, internos latón, clase 2,5%, cierre repujado, con glicerina.</t>
  </si>
  <si>
    <t>PFQ1108R3R1</t>
  </si>
  <si>
    <t>Manómetro Winters Serie PFQ Quality, dial 1,5", 0/40 Kg/cm2 &amp; 0/600 psi, 1/8" NPT inferior, caja Ac. Inox 304, internos latón, clase 2,5%, cierre repujado, con glicerina.</t>
  </si>
  <si>
    <t>PFQ1109R1R11</t>
  </si>
  <si>
    <t>Manómetro Winters Serie PFQ Quality, dial 1,5", 0/1.000 psi &amp; 0/70 bar, 1/8" NPT inferior, caja Ac. Inox 304, internos latón, clase 2,5%, cierre repujado, con glicerina.</t>
  </si>
  <si>
    <t>PFQ1110R1R11</t>
  </si>
  <si>
    <t>Manómetro Winters Serie PFQ Quality, dial 1,5", 0/1.500 psi &amp; 0/100 bar, 1/8" NPT inferior, caja Ac. Inox 304, internos latón, clase 2,5%, cierre repujado, con glicerina.</t>
  </si>
  <si>
    <t>PFQ1111R1R11</t>
  </si>
  <si>
    <t>Manómetro Winters Serie PFQ Quality, dial 1,5", 0/2.000 psi &amp; 0/140 bar, 1/8" NPT inferior, caja Ac. Inox 304, internos latón, clase 2,5%, cierre repujado, con glicerina.</t>
  </si>
  <si>
    <t>PFQ1111R3R1</t>
  </si>
  <si>
    <t>Manómetro Winters Serie PFQ Quality, dial 1,5", 0/140 Kg/cm2 &amp; 0/2.000 psi, 1/8" NPT inferior, caja Ac. Inox 304, internos latón, clase 2,5%, cierre repujado.</t>
  </si>
  <si>
    <t>PFQ1112R1R11</t>
  </si>
  <si>
    <t>Manómetro Winters Serie PFQ Quality, dial 1,5", 0/3.000 psi &amp; 0/200 bar, 1/8" NPT inferior, caja Ac. Inox 304, internos latón, clase 2,5%, cierre repujado, con glicerina.</t>
  </si>
  <si>
    <t>PFQ1113R3R1S</t>
  </si>
  <si>
    <t>Manómetro Winters Serie PFQ Quality, dial 1,5", 0/300 Kg/cm2 &amp; 0/4.300 psi, 1/8" NPT inferior, caja Ac. Inox 304, internos latón, clase 2,5%, cierre repujado.</t>
  </si>
  <si>
    <t>PFQ1113R1R11</t>
  </si>
  <si>
    <t>Manómetro Winters Serie PFQ Quality, dial 1,5", 0/5.000 psi &amp; 0/350 bar, 1/8" NPT inferior, caja Ac. Inox 304, internos latón, clase 2,5%, cierre repujado, con glicerina.</t>
  </si>
  <si>
    <t>PFQ1122R1R11</t>
  </si>
  <si>
    <t>Manómetro Winters Serie PFQ Quality, dial 1,5", 0/30 psi &amp; 0/2 bar, 1/8" NPT posterior, caja Ac. Inox 304, internos latón, clase 2,5%, cierre repujado, con glicerina.</t>
  </si>
  <si>
    <t>PFQ1122R3R1</t>
  </si>
  <si>
    <t>Manómetro Winters Serie PFQ Quality, dial 1,5", 0/2 Kg/cm2 &amp; 0/30 psi, 1/8" NPT posterior, caja Ac. Inox 304, internos latón, clase 2,5%, cierre repujado, con glicerina.</t>
  </si>
  <si>
    <t>PFQ1122R1</t>
  </si>
  <si>
    <t>Manómetro Winters Serie PFQ Quality, dial 1,5", 0/30 psi, 1/8" NPT posterior, caja Ac. Inox 304, internos latón, clase 2,5%, cierre repujado, con glicerina.</t>
  </si>
  <si>
    <t>PFQ1123R1R11</t>
  </si>
  <si>
    <t>Manómetro Winters Serie PFQ Quality, dial 1,5", 0/60 psi &amp; 0/4 bar, 1/8" NPT posterior, caja Ac. Inox 304, internos latón, clase 2,5%, cierre repujado, con glicerina.</t>
  </si>
  <si>
    <t>PFQ1123R3R1</t>
  </si>
  <si>
    <t>Manómetro Winters Serie PFQ Quality, dial 1,5", 0/4 Kg/cm2 &amp; 0/60 psi, 1/8" NPT posterior, caja Ac. Inox 304, internos latón, clase 2,5%, cierre repujado, con glicerina.</t>
  </si>
  <si>
    <t>PFQ1123R1</t>
  </si>
  <si>
    <t>Manómetro Winters Serie PFQ Quality, dial 1,5", 0/60 psi, 1/8" NPT posterior, caja Ac. Inox 304, internos latón, clase 2,5%, cierre repujado, con glicerina.</t>
  </si>
  <si>
    <t>PFQ1123R3</t>
  </si>
  <si>
    <t>Manómetro Winters Serie PFQ Quality, dial 1,5", 0/4 Kg/cm2, 1/8" NPT posterior, caja Ac. Inox 304, internos latón, clase 2,5%, cierre repujado, con glicerina.</t>
  </si>
  <si>
    <t>PFQ1124R1R11</t>
  </si>
  <si>
    <t>Manómetro Winters Serie PFQ Quality, dial 1,5", 0/100 psi &amp; 0/7 bar, 1/8" NPT posterior, caja Ac. Inox 304, internos latón, clase 2,5%, cierre repujado, con glicerina.</t>
  </si>
  <si>
    <t xml:space="preserve">PFQ1124R3R1 </t>
  </si>
  <si>
    <t>Manómetro Winters Serie PFQ Quality, dial 1,5", 0/7 kg/cm2 &amp; 0/100 psi, 1/8" NPT posterior, caja Ac. Inox 304, internos latón, clase 2,5%, cierre repujado, con glicerina.</t>
  </si>
  <si>
    <t>PFQ1125R1R11</t>
  </si>
  <si>
    <t>Manómetro Winters Serie PFQ Quality, dial 1,5", 0/160 psi &amp; 0/11 bar, 1/8" NPT posterior, caja Ac. Inox 304, internos latón, clase 2,5%, cierre repujado, con glicerina.</t>
  </si>
  <si>
    <t>PFQ1126R1R11</t>
  </si>
  <si>
    <t>Manómetro Winters Serie PFQ Quality, dial 1,5", 0/200 psi &amp; 0/14 bar, 1/8" NPT posterior, caja Ac. Inox 304, internos latón, clase 2,5%, cierre repujado, con glicerina.</t>
  </si>
  <si>
    <t>PFQ1127R1R11</t>
  </si>
  <si>
    <t>Manómetro Winters Serie PFQ Quality, dial 1,5", 0/300 psi &amp; 0/20 bar, 1/8" NPT posterior, caja Ac. Inox 304, internos latón, clase 2,5%, cierre repujado, con glicerina.</t>
  </si>
  <si>
    <t>PFQ1128R1R11</t>
  </si>
  <si>
    <t>Manómetro Winters Serie PFQ Quality, dial 1,5", 0/600 psi &amp; 0/40 bar, 1/8" NPT posterior, caja Ac. Inox 304, internos latón, clase 2,5%, cierre repujado, con glicerina.</t>
  </si>
  <si>
    <t>PFQ1129R1R11</t>
  </si>
  <si>
    <t>Manómetro Winters Serie PFQ Quality, dial 1,5", 0/1.000 psi &amp; 0/70 bar, 1/8" NPT posterior, caja Ac. Inox 304, internos latón, clase 2,5%, cierre repujado, con glicerina.</t>
  </si>
  <si>
    <t>PFQ1130R1R11</t>
  </si>
  <si>
    <t>Manómetro Winters Serie PFQ Quality, dial 1,5", 0/1.500 psi &amp; 0/100 bar, 1/8" NPT posterior, caja Ac. Inox 304, internos latón, clase 2,5%, cierre repujado, con glicerina.</t>
  </si>
  <si>
    <t>PFQ1130R3R1</t>
  </si>
  <si>
    <t>Manómetro Winters Serie PFQ Quality, dial 1,5", 0/100 Kg/cm2 &amp; 0/1.500 psi, 1/8" NPT posterior, caja Ac. Inox 304, internos latón, clase 2,5%, cierre repujado, con glicerina.</t>
  </si>
  <si>
    <t>PFQ1131R1R11</t>
  </si>
  <si>
    <t>Manómetro Winters Serie PFQ Quality, dial 1,5", 0/2.000 psi &amp; 0/140 bar, 1/8" NPT posterior, caja Ac. Inox 304, internos latón, clase 2,5%, cierre repujado, con glicerina.</t>
  </si>
  <si>
    <t>PFQ1131R3R1</t>
  </si>
  <si>
    <t>Manómetro Winters Serie PFQ Quality, dial 1,5", 0/140 Kg/cm2 &amp; 0/2.000 psi, 1/8" NPT posterior, caja Ac. Inox 304, internos latón, clase 2,5%, cierre repujado, con glicerina.</t>
  </si>
  <si>
    <t>PFQ1132R1R11</t>
  </si>
  <si>
    <t>Manómetro Winters Serie PFQ Quality, dial 1,5", 0/3.000 psi &amp; 0/200 bar, 1/8" NPT posterior, caja Ac. Inox 304, internos latón, clase 2,5%, cierre repujado, con glicerina.</t>
  </si>
  <si>
    <t>PFQ1133HIDROLAV</t>
  </si>
  <si>
    <t>Manómetro Winters Serie PFQ Quality, dial 1,5", 0/250 Kg/cm2 &amp; 0/3.750 psi, 1/8" NPT posterior, caja Ac. Inox 304, internos latón, clase 2,5%, cierre repujado, con glicerina.</t>
  </si>
  <si>
    <t>PFQ1133R3R1S</t>
  </si>
  <si>
    <t>Manómetro Winters Serie PFQ Quality, dial 1,5", 0/300 Kg/cm2 &amp; 0/4.200 psi, 1/8" NPT posterior, caja Ac. Inox 304, internos latón, clase 2,5%, cierre repujado, con glicerina.</t>
  </si>
  <si>
    <t>PFQ1133R1R11</t>
  </si>
  <si>
    <t>Manómetro Winters Serie PFQ Quality, dial 1,5", 0/5.000 psi &amp; 0/350 bar, 1/8" NPT posterior, caja Ac. Inox 304, internos latón, clase 2,5%, cierre repujado, con glicerina.</t>
  </si>
  <si>
    <t>PFQ1133R3R1S2</t>
  </si>
  <si>
    <t>Manómetro Winters Serie PFQ Quality, dial 1,5", 0/600 Kg/cm2 &amp; 0/8.700 psi, 1/8" NPT posterior, caja Ac. Inox 304, internos latón, clase 2,5%, cierre repujado, con glicerina.</t>
  </si>
  <si>
    <t>PFQ1200R6R11</t>
  </si>
  <si>
    <t>Vacuómetro Winters Serie PFQ Quality, dial 1,5", -30/0"Hg &amp; -1/0 bar, 1/8" NPT inferior, caja Ac. Inox 304, internos Ac. Inox. 316, clase 2,5%, cierre repujado, con glicerina.</t>
  </si>
  <si>
    <t>PFQ1201R1R11</t>
  </si>
  <si>
    <t>Manómetro Winters Serie PFQ Quality, dial 1,5", 0/15 psi &amp; 0/1 bar, 1/8" NPT inferior, caja Ac. Inox 304, internos Ac. Inox. 316, clase 2,5%, cierre repujado, con glicerina.</t>
  </si>
  <si>
    <t>PFQ1202R1R11</t>
  </si>
  <si>
    <t>Manómetro Winters Serie PFQ Quality, dial 1,5", 0/30 psi &amp; 0/2 bar, 1/8" NPT inferior, caja Ac. Inox 304, internos Ac. Inox. 316, clase 2,5%, cierre repujado, con glicerina.</t>
  </si>
  <si>
    <t>PFQ1203R1R11</t>
  </si>
  <si>
    <t>Manómetro Winters Serie PFQ Quality, dial 1,5", 0/60 psi &amp; 0/4 bar, 1/8" NPT inferior, caja Ac. Inox 304, internos Ac. Inox. 316, clase 2,5%, cierre repujado, con glicerina.</t>
  </si>
  <si>
    <t>PFQ1204R1R11</t>
  </si>
  <si>
    <t>Manómetro Winters Serie PFQ Quality, dial 1,5", 0/100 psi &amp; 0/7 bar, 1/8" NPT inferior, caja Ac. Inox 304, internos Ac. Inox. 316, clase 2,5%, cierre repujado, con glicerina.</t>
  </si>
  <si>
    <t>PFQ1205R1R11</t>
  </si>
  <si>
    <t>Manómetro Winters Serie PFQ Quality, dial 1,5", 0/160 psi &amp; 0/11 bar, 1/8" NPT inferior, caja Ac. Inox 304, internos Ac. Inox. 316, clase 2,5%, cierre repujado, con glicerina.</t>
  </si>
  <si>
    <t>PFQ1206R1R11</t>
  </si>
  <si>
    <t>Manómetro Winters Serie PFQ Quality, dial 1,5", 0/200 psi &amp; 0/14 bar, 1/8" NPT inferior, caja Ac. Inox 304, internos Ac. Inox. 316, clase 2,5%, cierre repujado, con glicerina.</t>
  </si>
  <si>
    <t>PFQ1207R1R11</t>
  </si>
  <si>
    <t>Manómetro Winters Serie PFQ Quality, dial 1,5", 0/300 psi &amp; 0/20 bar, 1/8" NPT inferior, caja Ac. Inox 304, internos Ac. Inox. 316, clase 2,5%, cierre repujado, con glicerina.</t>
  </si>
  <si>
    <t>PFQ1208R1R11</t>
  </si>
  <si>
    <t>Manómetro Winters Serie PFQ Quality, dial 1,5", 0/600 psi &amp; 0/40 bar, 1/8" NPT inferior, caja Ac. Inox 304, internos Ac. Inox. 316, clase 2,5%, cierre repujado, con glicerina.</t>
  </si>
  <si>
    <t>PFQ1209R1R11</t>
  </si>
  <si>
    <t>Manómetro Winters Serie PFQ Quality, dial 1,5", 0/1.000 psi &amp; 0/70 bar, 1/8" NPT inferior, caja Ac. Inox 304, internos Ac. Inox. 316, clase 2,5%, cierre repujado, con glicerina.</t>
  </si>
  <si>
    <t>PFQ1210R1R11</t>
  </si>
  <si>
    <t>Manómetro Winters Serie PFQ Quality, dial 1,5", 0/1.500 psi &amp; 0/100 bar, 1/8" NPT inferior, caja Ac. Inox 304, internos Ac. Inox. 316, clase 2,5%, cierre repujado, con glicerina.</t>
  </si>
  <si>
    <t>PFQ1211R1R11</t>
  </si>
  <si>
    <t>Manómetro Winters Serie PFQ Quality, dial 1,5", 0/2.000 psi &amp; 0/140 bar, 1/8" NPT inferior, caja Ac. Inox 304, internos Ac. Inox. 316, clase 2,5%, cierre repujado, con glicerina.</t>
  </si>
  <si>
    <t>PFQ1212R1R11</t>
  </si>
  <si>
    <t>Manómetro Winters Serie PFQ Quality, dial 1,5", 0/3.000 psi &amp; 0/200 bar, 1/8" NPT inferior, caja Ac. Inox 304, internos Ac. Inox. 316, clase 2,5%, cierre repujado, con glicerina.</t>
  </si>
  <si>
    <t>PFQ1213R1R11</t>
  </si>
  <si>
    <t>Manómetro Winters Serie PFQ Quality, dial 1,5", 0/5.000 psi &amp; 0/350 bar, 1/8" NPT inferior, caja Ac. Inox 304, internos Ac. Inox. 316, clase 2,5%, cierre repujado, con glicerina.</t>
  </si>
  <si>
    <t>PFQ1220R6R11</t>
  </si>
  <si>
    <t>Vacuómetro Winters Serie PFQ Quality, dial 1,5", -30/0"Hg &amp; -1/0 bar, 1/8" NPT posterior, caja Ac. Inox 304, internos Ac. Inox. 316, clase 2,5%, cierre repujado, con glicerina.</t>
  </si>
  <si>
    <t>PFQ1221R1R11</t>
  </si>
  <si>
    <t>Manómetro Winters Serie PFQ Quality, dial 1,5", 0/15 psi &amp; 0/1 bar, 1/8" NPT posterior, caja Ac. Inox 304, internos Ac. Inox. 316, clase 2,5%, cierre repujado, con glicerina.</t>
  </si>
  <si>
    <t>PFQ1222R1R11</t>
  </si>
  <si>
    <t>Manómetro Winters Serie PFQ Quality, dial 1,5", 0/30 psi &amp; 0/2 bar, 1/8" NPT posterior, caja Ac. Inox 304, internos Ac. Inox. 316, clase 2,5%, cierre repujado, con glicerina.</t>
  </si>
  <si>
    <t>PFQ1223R1R11</t>
  </si>
  <si>
    <t>Manómetro Winters Serie PFQ Quality, dial 1,5", 0/60 psi &amp; 0/4 bar, 1/8" NPT posterior, caja Ac. Inox 304, internos Ac. Inox. 316, clase 2,5%, cierre repujado, con glicerina.</t>
  </si>
  <si>
    <t>PFQ1224R1R11</t>
  </si>
  <si>
    <t>Manómetro Winters Serie PFQ Quality, dial 1,5", 0/100 psi &amp; 0/7 bar, 1/8" NPT posterior, caja Ac. Inox 304, internos Ac. Inox. 316, clase 2,5%, cierre repujado, con glicerina.</t>
  </si>
  <si>
    <t>PFQ1225R1R11</t>
  </si>
  <si>
    <t>Manómetro Winters Serie PFQ Quality, dial 1,5", 0/160 psi &amp; 0/11 bar, 1/8" NPT posterior, caja Ac. Inox 304, internos Ac. Inox. 316, clase 2,5%, cierre repujado, con glicerina.</t>
  </si>
  <si>
    <t>PFQ1225R3R1</t>
  </si>
  <si>
    <t>Manómetro Winters Serie PFQ Quality, dial 1,5", 0/10 Kg/cm2 &amp; 0/150 psi, 1/8" NPT posterior, caja Ac. Inox 304, internos Ac. Inox. 316, clase 2,5%, cierre repujado, con glicerina.</t>
  </si>
  <si>
    <t>PFQ1226R1R11</t>
  </si>
  <si>
    <t>Manómetro Winters Serie PFQ Quality, dial 1,5", 0/200 psi &amp; 0/14 bar, 1/8" NPT posterior, caja Ac. Inox 304, internos Ac. Inox. 316, clase 2,5%, cierre repujado, con glicerina.</t>
  </si>
  <si>
    <t>PFQ1226R3R1S</t>
  </si>
  <si>
    <t>Manómetro Winters Serie PFQ Quality, dial 1,5", 0/16 Kg/cm2 &amp; 0/230 psi, 1/8" NPT posterior, caja Ac. Inox 304, internos Ac. Inox. 316, clase 2,5%, cierre repujado, con glicerina.</t>
  </si>
  <si>
    <t>PFQ1227R1R11</t>
  </si>
  <si>
    <t>Manómetro Winters Serie PFQ Quality, dial 1,5", 0/300 psi &amp; 0/20 bar, 1/8" NPT posterior, caja Ac. Inox 304, internos Ac. Inox. 316, clase 2,5%, cierre repujado, con glicerina.</t>
  </si>
  <si>
    <t>PFQ1228R3R1</t>
  </si>
  <si>
    <t>Manómetro Winters Serie PFQ Quality, dial 1,5", 0/40 kg/cm2 &amp; 600 psi, 1/8" NPT posterior, caja Ac. Inox 304, internos Ac. Inox. 316, clase 2,5%, cierre repujado, con glicerina.</t>
  </si>
  <si>
    <t>PFQ1228R1R11</t>
  </si>
  <si>
    <t>Manómetro Winters Serie PFQ Quality, dial 1,5", 0/600 psi &amp; 0/40 bar, 1/8" NPT posterior, caja Ac. Inox 304, internos Ac. Inox. 316, clase 2,5%, cierre repujado, con glicerina.</t>
  </si>
  <si>
    <t>PFQ1229R1R11</t>
  </si>
  <si>
    <t>Manómetro Winters Serie PFQ Quality, dial 1,5", 0/1.000 psi &amp; 0/70 bar, 1/8" NPT posterior, caja Ac. Inox 304, internos Ac. Inox. 316, clase 2,5%, cierre repujado, con glicerina.</t>
  </si>
  <si>
    <t>PFQ1230R1R11</t>
  </si>
  <si>
    <t>Manómetro Winters Serie PFQ Quality, dial 1,5", 0/1.500 psi &amp; 0/100 bar, 1/8" NPT posterior, caja Ac. Inox 304, internos Ac. Inox. 316, clase 2,5%, cierre repujado, con glicerina.</t>
  </si>
  <si>
    <t>PFQ1231R1R11</t>
  </si>
  <si>
    <t>Manómetro Winters Serie PFQ Quality, dial 1,5", 0/2.000 psi &amp; 0/140 bar, 1/8" NPT posterior, caja Ac. Inox 304, internos Ac. Inox. 316, clase 2,5%, cierre repujado, con glicerina.</t>
  </si>
  <si>
    <t>PFQ1232R1R11</t>
  </si>
  <si>
    <t>Manómetro Winters Serie PFQ Quality, dial 1,5", 0/3.000 psi &amp; 0/200 bar, 1/8" NPT posterior, caja Ac. Inox 304, internos Ac. Inox. 316, clase 2,5%, cierre repujado, con glicerina.</t>
  </si>
  <si>
    <t>PFQ1233R1R11</t>
  </si>
  <si>
    <t>Manómetro Winters Serie PFQ Quality, dial 1,5", 0/5.000 psi &amp; 0/350 bar, 1/8" NPT posterior, caja Ac. Inox 304, internos Ac. Inox. 316, clase 2,5%, cierre repujado, con glicerina.</t>
  </si>
  <si>
    <t>PFQ1233R3R1S1</t>
  </si>
  <si>
    <t>Manómetro Winters Serie PFQ Quality, dial 1,5", 0/400 Kg/cm2 &amp; 0/5.800 psi, 1/8" NPT posterior, caja Ac. Inox 304, internos Ac. Inox. 316, clase 2,5%, cierre repujado, con glicerina.</t>
  </si>
  <si>
    <t>PFQ2400R6R11</t>
  </si>
  <si>
    <t>Vacuómetro Winters Serie PFQ Quality, dial 2", -30/0"Hg &amp; -1/0 bar, 1/8" NPT inferior, caja Ac. Inox 304, internos de latón, clase 2,5%, cierre repujado, con glicerina.</t>
  </si>
  <si>
    <t>PFQ2401R1R11</t>
  </si>
  <si>
    <t>Manovacuómetro Winters Serie PFQ Quality, dial 2", -30"Hg/0/15 psi &amp; -1/0/1 bar, 1/8" NPT inferior, caja Ac. Inox. 304, internos de latón, clase 2,5%, cierre repujado, con glicerina.</t>
  </si>
  <si>
    <t>PFQ2402R1R11</t>
  </si>
  <si>
    <t>Manovacuómetro Winters Serie PFQ Quality, dial 2", -30"Hg/0/30 psi &amp; -1/0/2 bar, 1/8" NPT inferior, caja Ac. Inox. 304, internos de latón, clase 2,5%, cierre repujado, con glicerina.</t>
  </si>
  <si>
    <t>PFQ2403R1R11</t>
  </si>
  <si>
    <t>Manovacuómetro Winters Serie PFQ Quality, dial 2", -30"Hg/0/60 psi &amp; -1/0/4 bar, 1/8" NPT inferior, caja Ac. Inox. 304, internos de latón, clase 2,5%, cierre repujado, con glicerina.</t>
  </si>
  <si>
    <t>PFQ2404R1R11</t>
  </si>
  <si>
    <t>Manovacuómetro Winters Serie PFQ Quality, dial 2", -30"Hg/0/100 psi &amp; -1/0/7 bar, 1/8" NPT inferior, caja Ac. Inox. 304, internos de latón, clase 2,5%, cierre repujado, con glicerina.</t>
  </si>
  <si>
    <t>PFQ2405R1R11</t>
  </si>
  <si>
    <t>Manovacuómetro Winters Serie PFQ Quality, dial 2", -30"Hg/0/100 psi &amp; -1/0/10 bar, 1/8" NPT inferior, caja Ac. Inox. 304, internos de latón, clase 2,5%, cierre repujado, con glicerina.</t>
  </si>
  <si>
    <t>PFQ2406R1R11</t>
  </si>
  <si>
    <t>Manovacuómetro Winters Serie PFQ Quality, dial 2", -30"Hg/0/200 psi &amp; -1/0/14 bar, 1/8" NPT inferior, caja Ac. Inox. 304, internos de latón, clase 2,5%, cierre repujado, con glicerina.</t>
  </si>
  <si>
    <t>PFQ2407R1R11</t>
  </si>
  <si>
    <t>Manovacuómetro Winters Serie PFQ Quality, dial 2", -30"Hg/0/300 psi &amp; -1/0/20 bar, 1/8" NPT inferior, caja Ac. Inox. 304, internos de latón, clase 2,5%, cierre repujado, con glicerina.</t>
  </si>
  <si>
    <t>PFQ2408R1R11</t>
  </si>
  <si>
    <t>Manómetro Winters Serie PFQ Quality, dial 2", 0/30 psi &amp; 0/2 bar, 1/8" NPT inferior, caja Ac. Inox. 304, internos de latón, clase 2,5%, cierre repujado, con glicerina.</t>
  </si>
  <si>
    <t>PFQ2409R1R11</t>
  </si>
  <si>
    <t>PFQ2410R1R11</t>
  </si>
  <si>
    <t>Manómetro Winters Serie PFQ Quality, dial 2", 0/60 psi &amp; 0/4 bar, 1/8" NPT inferior, caja Ac. Inox. 304, internos de latón, clase 2,5%, cierre repujado, con glicerina.</t>
  </si>
  <si>
    <t>PFQ2411R1R11</t>
  </si>
  <si>
    <t>Manómetro Winters Serie PFQ Quality, dial 2", 0/100 psi &amp; 0/7 bar, 1/8" NPT inferior, caja Ac. Inox. 304, internos de latón, clase 2,5%, cierre repujado, con glicerina.</t>
  </si>
  <si>
    <t>PFQ2412R1R11</t>
  </si>
  <si>
    <t>Manómetro Winters Serie PFQ Quality, dial 2", 0/160 psi &amp; 0/11 bar, 1/8" NPT inferior, caja Ac. Inox. 304, internos de latón, clase 2,5%, cierre repujado, con glicerina.</t>
  </si>
  <si>
    <t>PFQ2413R1R11</t>
  </si>
  <si>
    <t>Manómetro Winters Serie PFQ Quality, dial 2", 0/200 psi &amp; 0/14 bar, 1/8" NPT inferior, caja Ac. Inox. 304, internos de latón, clase 2,5%, cierre repujado, con glicerina.</t>
  </si>
  <si>
    <t>PFQ2414R1R11</t>
  </si>
  <si>
    <t>Manómetro Winters Serie PFQ Quality, dial 2", 0/300 psi &amp; 0/20 bar, 1/8" NPT inferior, caja Ac. Inox. 304, internos de latón, clase 2,5%, cierre repujado, con glicerina.</t>
  </si>
  <si>
    <t>PFQ2415R1R11</t>
  </si>
  <si>
    <t>Manómetro Winters Serie PFQ Quality, dial 2", 0/400 psi &amp; 0/30 bar, 1/8" NPT inferior, caja Ac. Inox. 304, internos de latón, clase 2,5%, cierre repujado, con glicerina.</t>
  </si>
  <si>
    <t>PFQ2416R1R11</t>
  </si>
  <si>
    <t>Manómetro Winters Serie PFQ Quality, dial 2", 0/600 psi &amp; 0/40 bar, 1/8" NPT inferior, caja Ac. Inox. 304, internos de latón, clase 2,5%, cierre repujado, con glicerina.</t>
  </si>
  <si>
    <t>PFQ2417R1R11</t>
  </si>
  <si>
    <t>Manómetro Winters Serie PFQ Quality, dial 2", 0/1.000 psi &amp; 0/70 bar, 1/8" NPT inferior, caja Ac. Inox. 304, internos de latón, clase 2,5%, cierre repujado, con glicerina.</t>
  </si>
  <si>
    <t>PFQ2418R1R11</t>
  </si>
  <si>
    <t>Manómetro Winters Serie PFQ Quality, dial 2", 0/1.500 psi &amp; 0/100 bar, 1/8" NPT inferior, caja Ac. Inox. 304, internos de latón, clase 2,5%, cierre repujado, con glicerina.</t>
  </si>
  <si>
    <t>PFQ2419R1R11</t>
  </si>
  <si>
    <t>Manómetro Winters Serie PFQ Quality, dial 2", 0/2.000 psi &amp; 0/140 bar, 1/8" NPT inferior, caja Ac. Inox. 304, internos de latón, clase 2,5%, cierre repujado, con glicerina.</t>
  </si>
  <si>
    <t>PFQ2420R1R11</t>
  </si>
  <si>
    <t>Manómetro Winters Serie PFQ Quality, dial 2", 0/3.000 psi &amp; 0/200 bar, 1/8" NPT inferior, caja Ac. Inox. 304, internos de latón, clase 2,5%, cierre repujado, con glicerina.</t>
  </si>
  <si>
    <t>PFQ2421R1R11</t>
  </si>
  <si>
    <t>Manómetro Winters Serie PFQ Quality, dial 2", 0/5.000 psi &amp; 0/350 bar, 1/8" NPT inferior, caja Ac. Inox. 304, internos de latón, clase 2,5%, cierre repujado, con glicerina.</t>
  </si>
  <si>
    <t>PFQ2422R1R11</t>
  </si>
  <si>
    <t>Manómetro Winters Serie PFQ Quality, dial 2", 0/6.000 psi &amp; 0/400 bar, 1/8" NPT inferior, caja Ac. Inox. 304, internos de latón, clase 2,5%, cierre repujado, con glicerina.</t>
  </si>
  <si>
    <t>PFQ2423R1R11</t>
  </si>
  <si>
    <t>Manómetro Winters Serie PFQ Quality, dial 2", 0/7.500 psi &amp; 0/500 bar, 1/8" NPT inferior, caja Ac. Inox. 304, internos de latón, clase 2,5%, cierre repujado, con glicerina.</t>
  </si>
  <si>
    <t>PFQ2424R1R11</t>
  </si>
  <si>
    <t>Manómetro Winters Serie PFQ Quality, dial 2", 0/10.000 psi &amp; 0/700 bar, 1/8" NPT inferior, caja Ac. Inox. 304, internos de latón, clase 2,5%, cierre repujado, con glicerina.</t>
  </si>
  <si>
    <t>PFQ2425R1R11</t>
  </si>
  <si>
    <t>Manómetro Winters Serie PFQ Quality, dial 2", 0/15.000 psi &amp; 0/1.000 bar, 1/8" NPT inferior, caja Ac. Inox. 304, internos de latón, clase 2,5%, cierre repujado, con glicerina.</t>
  </si>
  <si>
    <t>PFQ2426R6R11</t>
  </si>
  <si>
    <t>Vacuómetro Winters Serie PFQ Quality, dial 2", -30/0"Hg &amp; -1/0 bar, 1/8" NPT posterior, caja Ac. Inox 304, internos de latón, clase 2,5%, cierre repujado, con glicerina.</t>
  </si>
  <si>
    <t>PFQ2427R1R11</t>
  </si>
  <si>
    <t>Manovacuómetro Winters Serie PFQ Quality, dial 2", -30"Hg/0/15 psi &amp; -1/0/1 bar, 1/8" NPT posterior, caja Ac. Inox. 304, internos de latón, clase 2,5%, cierre repujado, con glicerina.</t>
  </si>
  <si>
    <t>PFQ2428R1R11</t>
  </si>
  <si>
    <t>Manovacuómetro Winters Serie PFQ Quality, dial 2", -30"Hg/0/30 psi &amp; -1/0/2 bar, 1/8" NPT posterior, caja Ac. Inox. 304, internos de latón, clase 2,5%, cierre repujado, con glicerina.</t>
  </si>
  <si>
    <t>PFQ2429R1R11</t>
  </si>
  <si>
    <t>Manovacuómetro Winters Serie PFQ Quality, dial 2", -30"Hg/0/60 psi &amp; -1/0/4 bar, 1/8" NPT posterior, caja Ac. Inox. 304, internos de latón, clase 2,5%, cierre repujado, con glicerina.</t>
  </si>
  <si>
    <t>PFQ2430R1R11</t>
  </si>
  <si>
    <t>Manovacuómetro Winters Serie PFQ Quality, dial 2", -30"Hg/0/100 psi &amp; -1/0/7 bar, 1/8" NPT posterior, caja Ac. Inox. 304, internos de latón, clase 2,5%, cierre repujado, con glicerina.</t>
  </si>
  <si>
    <t>PFQ2431R1R11</t>
  </si>
  <si>
    <t>Manovacuómetro Winters Serie PFQ Quality, dial 2", -30"Hg/0/100 psi &amp; -1/0/10 bar, 1/8" NPT posterior, caja Ac. Inox. 304, internos de latón, clase 2,5%, cierre repujado, con glicerina.</t>
  </si>
  <si>
    <t>PFQ2432R1R11</t>
  </si>
  <si>
    <t>Manovacuómetro Winters Serie PFQ Quality, dial 2", -30"Hg/0/200 psi &amp; -1/0/14 bar, 1/8" NPT posterior, caja Ac. Inox. 304, internos de latón, clase 2,5%, cierre repujado, con glicerina.</t>
  </si>
  <si>
    <t>PFQ2433R1R11</t>
  </si>
  <si>
    <t>Manovacuómetro Winters Serie PFQ Quality, dial 2", -30"Hg/0/300 psi &amp; -1/0/20 bar, 1/8" NPT posterior, caja Ac. Inox. 304, internos de latón, clase 2,5%, cierre repujado, con glicerina.</t>
  </si>
  <si>
    <t>PFQ2434R1R11</t>
  </si>
  <si>
    <t>Manómetro Winters Serie PFQ Quality, dial 2", 0/15 psi &amp; 0/1 bar, 1/8" NPT posterior, caja Ac. Inox. 304, internos de latón, clase 2,5%, cierre repujado, con glicerina.</t>
  </si>
  <si>
    <t>PFQ2435R1R11</t>
  </si>
  <si>
    <t>Manómetro Winters Serie PFQ Quality, dial 2", 0/30 psi &amp; 0/2 bar, 1/8" NPT posterior, caja Ac. Inox. 304, internos de latón, clase 2,5%, cierre repujado, con glicerina.</t>
  </si>
  <si>
    <t>PFQ2436R1R11</t>
  </si>
  <si>
    <t>Manómetro Winters Serie PFQ Quality, dial 2", 0/60 psi &amp; 0/4 bar, 1/8" NPT posterior, caja Ac. Inox. 304, internos de latón, clase 2,5%, cierre repujado, con glicerina.</t>
  </si>
  <si>
    <t>PFQ2437R1R11</t>
  </si>
  <si>
    <t>Manómetro Winters Serie PFQ Quality, dial 2", 0/100 psi &amp; 0/7 bar, 1/8" NPT posterior, caja Ac. Inox. 304, internos de latón, clase 2,5%, cierre repujado, con glicerina.</t>
  </si>
  <si>
    <t>PFQ2438R1R11</t>
  </si>
  <si>
    <t>Manómetro Winters Serie PFQ Quality, dial 2", 0/160 psi &amp; 0/11 bar, 1/8" NPT posterior, caja Ac. Inox. 304, internos de latón, clase 2,5%, cierre repujado, con glicerina.</t>
  </si>
  <si>
    <t>PFQ2439R1R11</t>
  </si>
  <si>
    <t>Manómetro Winters Serie PFQ Quality, dial 2", 0/200 psi &amp; 0/14 bar, 1/8" NPT posterior, caja Ac. Inox. 304, internos de latón, clase 2,5%, cierre repujado, con glicerina.</t>
  </si>
  <si>
    <t>PFQ2440R1R11</t>
  </si>
  <si>
    <t>Manómetro Winters Serie PFQ Quality, dial 2", 0/300 psi &amp; 0/20 bar, 1/8" NPT posterior, caja Ac. Inox. 304, internos de latón, clase 2,5%, cierre repujado, con glicerina.</t>
  </si>
  <si>
    <t>PFQ2441R1R11</t>
  </si>
  <si>
    <t>Manómetro Winters Serie PFQ Quality, dial 2", 0/400 psi &amp; 0/30 bar, 1/8" NPT posterior, caja Ac. Inox. 304, internos de latón, clase 2,5%, cierre repujado, con glicerina.</t>
  </si>
  <si>
    <t>PFQ2442R1R11</t>
  </si>
  <si>
    <t>Manómetro Winters Serie PFQ Quality, dial 2", 0/600 psi &amp; 0/40 bar, 1/8" NPT posterior, caja Ac. Inox. 304, internos de latón, clase 2,5%, cierre repujado, con glicerina.</t>
  </si>
  <si>
    <t>PFQ2443R1R11</t>
  </si>
  <si>
    <t>Manómetro Winters Serie PFQ Quality, dial 2", 0/1.000 psi &amp; 0/70 bar, 1/8" NPT posterior, caja Ac. Inox. 304, internos de latón, clase 2,5%, cierre repujado, con glicerina.</t>
  </si>
  <si>
    <t>PFQ2444R1R11</t>
  </si>
  <si>
    <t>Manómetro Winters Serie PFQ Quality, dial 2", 0/1.500 psi &amp; 0/100 bar, 1/8" NPT posterior, caja Ac. Inox. 304, internos de latón, clase 2,5%, cierre repujado, con glicerina.</t>
  </si>
  <si>
    <t>PFQ2445R1R11</t>
  </si>
  <si>
    <t>Manómetro Winters Serie PFQ Quality, dial 2", 0/2.000 psi &amp; 0/140 bar, 1/8" NPT posterior, caja Ac. Inox. 304, internos de latón, clase 2,5%, cierre repujado, con glicerina.</t>
  </si>
  <si>
    <t>PFQ2446R1R11</t>
  </si>
  <si>
    <t>Manómetro Winters Serie PFQ Quality, dial 2", 0/3.000 psi &amp; 0/200 bar, 1/8" NPT posterior, caja Ac. Inox. 304, internos de latón, clase 2,5%, cierre repujado, con glicerina.</t>
  </si>
  <si>
    <t>PFQ2447R1R11</t>
  </si>
  <si>
    <t>Manómetro Winters Serie PFQ Quality, dial 2", 0/5.000 psi &amp; 0/350 bar, 1/8" NPT posterior, caja Ac. Inox. 304, internos de latón, clase 2,5%, cierre repujado, con glicerina.</t>
  </si>
  <si>
    <t>PFQ2448R1R11</t>
  </si>
  <si>
    <t>Manómetro Winters Serie PFQ Quality, dial 2", 0/6.000 psi &amp; 0/400 bar, 1/8" NPT posterior, caja Ac. Inox. 304, internos de latón, clase 2,5%, cierre repujado, con glicerina.</t>
  </si>
  <si>
    <t>PFQ2449R1R11</t>
  </si>
  <si>
    <t>Manómetro Winters Serie PFQ Quality, dial 2", 0/7.500 psi &amp; 0/500 bar, 1/8" NPT posterior, caja Ac. Inox. 304, internos de latón, clase 2,5%, cierre repujado, con glicerina.</t>
  </si>
  <si>
    <t>PFQ2450R1R11</t>
  </si>
  <si>
    <t>Manómetro Winters Serie PFQ Quality, dial 2", 0/10.000 psi &amp; 0/700 bar, 1/8" NPT posterior, caja Ac. Inox. 304, internos de latón, clase 2,5%, cierre repujado, con glicerina.</t>
  </si>
  <si>
    <t>PFQ2451R1R11</t>
  </si>
  <si>
    <t>Manómetro Winters Serie PFQ Quality, dial 2", 0/15.000 psi &amp; 0/1.000 bar, 1/8" NPT posterior, caja Ac. Inox. 304, internos de latón, clase 2,5%, cierre repujado, con glicerina.</t>
  </si>
  <si>
    <t>PFQ2452R6R11</t>
  </si>
  <si>
    <t>Vacuómetro Winters Serie PFQ Quality, dial 2", -30/0"Hg &amp; -1/0 bar, 1/4" NPT inferior, caja Ac. Inox 304, internos de latón, clase 2,5%, cierre repujado, con glicerina.</t>
  </si>
  <si>
    <t>PFQ2453R1R11</t>
  </si>
  <si>
    <t>Manovacuómetro Winters Serie PFQ Quality, dial 2", -30"Hg/0/15 psi &amp; -1/0/1 bar, 1/4" NPT inferior, caja Ac. Inox. 304, internos de latón, clase 2,5%, cierre repujado, con glicerina.</t>
  </si>
  <si>
    <t>PFQ2454R1R11</t>
  </si>
  <si>
    <t>Manovacuómetro Winters Serie PFQ Quality, dial 2", -30"Hg/0/30 psi &amp; -1/0/2 bar, 1/4" NPT inferior, caja Ac. Inox. 304, internos de latón, clase 2,5%, cierre repujado, con glicerina.</t>
  </si>
  <si>
    <t>PFQ2455R1R11</t>
  </si>
  <si>
    <t>Manovacuómetro Winters Serie PFQ Quality, dial 2", -30"Hg/0/60 psi &amp; -1/0/4 bar, 1/4" NPT inferior, caja Ac. Inox. 304, internos de latón, clase 2,5%, cierre repujado, con glicerina.</t>
  </si>
  <si>
    <t>PFQ2456R1R11</t>
  </si>
  <si>
    <t>Manovacuómetro Winters Serie PFQ Quality, dial 2", -30"Hg/0/100 psi &amp; -1/0/7 bar, 1/4" NPT inferior, caja Ac. Inox. 304, internos de latón, clase 2,5%, cierre repujado, con glicerina.</t>
  </si>
  <si>
    <t>PFQ2457R1R11</t>
  </si>
  <si>
    <t>Manovacuómetro Winters Serie PFQ Quality, dial 2", -30"Hg/0/100 psi &amp; -1/0/10 bar, 1/4" NPT inferior, caja Ac. Inox. 304, internos de latón, clase 2,5%, cierre repujado, con glicerina.</t>
  </si>
  <si>
    <t>PFQ2458R1R11</t>
  </si>
  <si>
    <t>Manovacuómetro Winters Serie PFQ Quality, dial 2", -30"Hg/0/200 psi &amp; -1/0/14 bar, 1/4" NPT inferior, caja Ac. Inox. 304, internos de latón, clase 2,5%, cierre repujado, con glicerina.</t>
  </si>
  <si>
    <t>PFQ2459R1R11</t>
  </si>
  <si>
    <t>Manovacuómetro Winters Serie PFQ Quality, dial 2", -30"Hg/0/300 psi &amp; -1/0/20 bar, 1/4" NPT inferior, caja Ac. Inox. 304, internos de latón, clase 2,5%, cierre repujado, con glicerina.</t>
  </si>
  <si>
    <t>PFQ2460R1R11</t>
  </si>
  <si>
    <t>Manómetro Winters Serie PFQ Quality, dial 2", 0/15 psi &amp; 0/1 bar, 1/4" NPT inferior, caja Ac. Inox. 304, internos de latón, clase 2,5%, cierre repujado, con glicerina.</t>
  </si>
  <si>
    <t>PFQ2461R1R11</t>
  </si>
  <si>
    <t>Manómetro Winters Serie PFQ Quality, dial 2", 0/30 psi &amp; 0/2 bar, 1/4" NPT inferior, caja Ac. Inox. 304, internos de latón, clase 2,5%, cierre repujado, con glicerina.</t>
  </si>
  <si>
    <t>PFQ2462R1R11</t>
  </si>
  <si>
    <t>Manómetro Winters Serie PFQ Quality, dial 2", 0/60 psi &amp; 0/4 bar, 1/4" NPT inferior, caja Ac. Inox. 304, internos de latón, clase 2,5%, cierre repujado, con glicerina.</t>
  </si>
  <si>
    <t>PFQ2463R1R11</t>
  </si>
  <si>
    <t>Manómetro Winters Serie PFQ Quality, dial 2", 0/100 psi &amp; 0/7 bar, 1/4" NPT inferior, caja Ac. Inox. 304, internos de latón, clase 2,5%, cierre repujado, con glicerina.</t>
  </si>
  <si>
    <t>PFQ2464R1R11</t>
  </si>
  <si>
    <t>Manómetro Winters Serie PFQ Quality, dial 2", 0/160 psi &amp; 0/11 bar, 1/4" NPT inferior, caja Ac. Inox. 304, internos de latón, clase 2,5%, cierre repujado, con glicerina.</t>
  </si>
  <si>
    <t>PFQ2465R1R11</t>
  </si>
  <si>
    <t>Manómetro Winters Serie PFQ Quality, dial 2", 0/200 psi &amp; 0/14 bar, 1/4" NPT inferior, caja Ac. Inox. 304, internos de latón, clase 2,5%, cierre repujado, con glicerina.</t>
  </si>
  <si>
    <t>PFQ2466R1R11</t>
  </si>
  <si>
    <t>Manómetro Winters Serie PFQ Quality, dial 2", 0/300 psi &amp; 0/20 bar, 1/4" NPT inferior, caja Ac. Inox. 304, internos de latón, clase 2,5%, cierre repujado, con glicerina.</t>
  </si>
  <si>
    <t>PFQ2467R1R11</t>
  </si>
  <si>
    <t>Manómetro Winters Serie PFQ Quality, dial 2", 0/400 psi &amp; 0/30 bar, 1/4" NPT inferior, caja Ac. Inox. 304, internos de latón, clase 2,5%, cierre repujado, con glicerina.</t>
  </si>
  <si>
    <t>PFQ2468R1R11</t>
  </si>
  <si>
    <t>Manómetro Winters Serie PFQ Quality, dial 2", 0/600 psi &amp; 0/40 bar, 1/4" NPT inferior, caja Ac. Inox. 304, internos de latón, clase 2,5%, cierre repujado, con glicerina.</t>
  </si>
  <si>
    <t>PFQ2469R1R11</t>
  </si>
  <si>
    <t>Manómetro Winters Serie PFQ Quality, dial 2", 0/1.000 psi &amp; 0/70 bar, 1/4" NPT inferior, caja Ac. Inox. 304, internos de latón, clase 2,5%, cierre repujado, con glicerina.</t>
  </si>
  <si>
    <t>PFQ2470R1R11</t>
  </si>
  <si>
    <t>Manómetro Winters Serie PFQ Quality, dial 2", 0/1.500 psi &amp; 0/100 bar, 1/4" NPT inferior, caja Ac. Inox. 304, internos de latón, clase 2,5%, cierre repujado, con glicerina.</t>
  </si>
  <si>
    <t>PFQ2471R1R11</t>
  </si>
  <si>
    <t>Manómetro Winters Serie PFQ Quality, dial 2", 0/2.000 psi &amp; 0/140 bar, 1/4" NPT inferior, caja Ac. Inox. 304, internos de latón, clase 2,5%, cierre repujado, con glicerina.</t>
  </si>
  <si>
    <t>PFQ2472R1R11</t>
  </si>
  <si>
    <t>Manómetro Winters Serie PFQ Quality, dial 2", 0/3.000 psi &amp; 0/200 bar, 1/4" NPT inferior, caja Ac. Inox. 304, internos de latón, clase 2,5%, cierre repujado, con glicerina.</t>
  </si>
  <si>
    <t>PFQ2473R1R11</t>
  </si>
  <si>
    <t>Manómetro Winters Serie PFQ Quality, dial 2", 0/5.000 psi &amp; 0/350 bar, 1/4" NPT inferior, caja Ac. Inox. 304, internos de latón, clase 2,5%, cierre repujado, con glicerina.</t>
  </si>
  <si>
    <t>PFQ2474R1R11</t>
  </si>
  <si>
    <t>Manómetro Winters Serie PFQ Quality, dial 2", 0/6.000 psi &amp; 0/400 bar, 1/4" NPT inferior, caja Ac. Inox. 304, internos de latón, clase 2,5%, cierre repujado, con glicerina.</t>
  </si>
  <si>
    <t>PFQ2475R1R11</t>
  </si>
  <si>
    <t>Manómetro Winters Serie PFQ Quality, dial 2", 0/7.500 psi &amp; 0/500 bar, 1/4" NPT inferior, caja Ac. Inox. 304, internos de latón, clase 2,5%, cierre repujado, con glicerina.</t>
  </si>
  <si>
    <t>PFQ2476R1R11</t>
  </si>
  <si>
    <t>Manómetro Winters Serie PFQ Quality, dial 2", 0/10.000 psi &amp; 0/700 bar, 1/4" NPT inferior, caja Ac. Inox. 304, internos de latón, clase 2,5%, cierre repujado, con glicerina.</t>
  </si>
  <si>
    <t>PFQ2477R1R11</t>
  </si>
  <si>
    <t>Manómetro Winters Serie PFQ Quality, dial 2", 0/15.000 psi &amp; 0/1.000 bar, 1/4" NPT inferior, caja Ac. Inox. 304, internos de latón, clase 2,5%, cierre repujado, con glicerina.</t>
  </si>
  <si>
    <t>PFQ2478R6R11</t>
  </si>
  <si>
    <t>Vacuómetro Winters Serie PFQ Quality, dial 2", -30/0"Hg &amp; -1/0 bar, 1/4" NPT posterior, caja Ac. Inox 304, internos de latón, clase 2,5%, cierre repujado, con glicerina.</t>
  </si>
  <si>
    <t>PFQ2479R1R11</t>
  </si>
  <si>
    <t>Manovacuómetro Winters Serie PFQ Quality, dial 2", -30"Hg/0/15 psi &amp; -1/0/1 bar, 1/4" NPT posterior, caja Ac. Inox. 304, internos de latón, clase 2,5%, cierre repujado, con glicerina.</t>
  </si>
  <si>
    <t>PFQ2480R1R11</t>
  </si>
  <si>
    <t>Manovacuómetro Winters Serie PFQ Quality, dial 2", -30"Hg/0/30 psi &amp; -1/0/2 bar, 1/4" NPT posterior, caja Ac. Inox. 304, internos de latón, clase 2,5%, cierre repujado, con glicerina.</t>
  </si>
  <si>
    <t>PFQ2481R1R11</t>
  </si>
  <si>
    <t>Manovacuómetro Winters Serie PFQ Quality, dial 2", -30"Hg/0/60 psi &amp; -1/0/4 bar, 1/4" NPT posterior, caja Ac. Inox. 304, internos de latón, clase 2,5%, cierre repujado, con glicerina.</t>
  </si>
  <si>
    <t>PFQ2482R1R11</t>
  </si>
  <si>
    <t>Manovacuómetro Winters Serie PFQ Quality, dial 2", -30"Hg/0/100 psi &amp; -1/0/7 bar, 1/4" NPT posterior, caja Ac. Inox. 304, internos de latón, clase 2,5%, cierre repujado, con glicerina.</t>
  </si>
  <si>
    <t>PFQ2483R1R11</t>
  </si>
  <si>
    <t>Manovacuómetro Winters Serie PFQ Quality, dial 2", -30"Hg/0/100 psi &amp; -1/0/10 bar, 1/4" NPT posterior, caja Ac. Inox. 304, internos de latón, clase 2,5%, cierre repujado, con glicerina.</t>
  </si>
  <si>
    <t>PFQ2484R1R11</t>
  </si>
  <si>
    <t>Manovacuómetro Winters Serie PFQ Quality, dial 2", -30"Hg/0/200 psi &amp; -1/0/14 bar, 1/4" NPT posterior, caja Ac. Inox. 304, internos de latón, clase 2,5%, cierre repujado, con glicerina.</t>
  </si>
  <si>
    <t>PFQ2485R1R11</t>
  </si>
  <si>
    <t>Manovacuómetro Winters Serie PFQ Quality, dial 2", -30"Hg/0/300 psi &amp; -1/0/20 bar, 1/4" NPT posterior, caja Ac. Inox. 304, internos de latón, clase 2,5%, cierre repujado, con glicerina.</t>
  </si>
  <si>
    <t>PFQ2486R1R11</t>
  </si>
  <si>
    <t>Manómetro Winters Serie PFQ Quality, dial 2", 0/15 psi &amp; 0/1 bar, 1/4" NPT posterior, caja Ac. Inox. 304, internos de latón, clase 2,5%, cierre repujado, con glicerina.</t>
  </si>
  <si>
    <t>PFQ2487R1R11</t>
  </si>
  <si>
    <t>Manómetro Winters Serie PFQ Quality, dial 2", 0/30 psi &amp; 0/2 bar, 1/4" NPT posterior, caja Ac. Inox. 304, internos de latón, clase 2,5%, cierre repujado, con glicerina.</t>
  </si>
  <si>
    <t>PFQ2488R1R11</t>
  </si>
  <si>
    <t>Manómetro Winters Serie PFQ Quality, dial 2", 0/60 psi &amp; 0/4 bar, 1/4" NPT posterior, caja Ac. Inox. 304, internos de latón, clase 2,5%, cierre repujado, con glicerina.</t>
  </si>
  <si>
    <t>PFQ2488R1</t>
  </si>
  <si>
    <t>Manómetro Winters Serie PFQ Quality, dial 2", 0/60 psi, 1/4" NPT posterior, caja Ac. Inox. 304, internos de latón, clase 2,5%, cierre repujado, con glicerina.</t>
  </si>
  <si>
    <t>PFQ2489R1R11</t>
  </si>
  <si>
    <t>Manómetro Winters Serie PFQ Quality, dial 2", 0/100 psi &amp; 0/7 bar, 1/4" NPT posterior, caja Ac. Inox. 304, internos de latón, clase 2,5%, cierre repujado, con glicerina.</t>
  </si>
  <si>
    <t>PFQ2490R1R11</t>
  </si>
  <si>
    <t>Manómetro Winters Serie PFQ Quality, dial 2", 0/160 psi &amp; 0/11 bar, 1/4" NPT posterior, caja Ac. Inox. 304, internos de latón, clase 2,5%, cierre repujado, con glicerina.</t>
  </si>
  <si>
    <t>PFQ2491R1R11</t>
  </si>
  <si>
    <t>Manómetro Winters Serie PFQ Quality, dial 2", 0/200 psi &amp; 0/14 bar, 1/4" NPT posterior, caja Ac. Inox. 304, internos de latón, clase 2,5%, cierre repujado, con glicerina.</t>
  </si>
  <si>
    <t>PFQ2492R1R11</t>
  </si>
  <si>
    <t>Manómetro Winters Serie PFQ Quality, dial 2", 0/300 psi &amp; 0/20 bar, 1/4" NPT posterior, caja Ac. Inox. 304, internos de latón, clase 2,5%, cierre repujado, con glicerina.</t>
  </si>
  <si>
    <t>PFQ2493R1R11</t>
  </si>
  <si>
    <t>Manómetro Winters Serie PFQ Quality, dial 2", 0/400 psi &amp; 0/30 bar, 1/4" NPT posterior, caja Ac. Inox. 304, internos de latón, clase 2,5%, cierre repujado, con glicerina.</t>
  </si>
  <si>
    <t>PFQ2494R1R11</t>
  </si>
  <si>
    <t>Manómetro Winters Serie PFQ Quality, dial 2", 0/600 psi &amp; 0/40 bar, 1/4" NPT posterior, caja Ac. Inox. 304, internos de latón, clase 2,5%, cierre repujado, con glicerina.</t>
  </si>
  <si>
    <t>PFQ2495R1R11</t>
  </si>
  <si>
    <t>Manómetro Winters Serie PFQ Quality, dial 2", 0/1.000 psi &amp; 0/70 bar, 1/4" NPT posterior, caja Ac. Inox. 304, internos de latón, clase 2,5%, cierre repujado, con glicerina.</t>
  </si>
  <si>
    <t>PFQ2496R1R11</t>
  </si>
  <si>
    <t>Manómetro Winters Serie PFQ Quality, dial 2", 0/1.500 psi &amp; 0/100 bar, 1/4" NPT posterior, caja Ac. Inox. 304, internos de latón, clase 2,5%, cierre repujado, con glicerina.</t>
  </si>
  <si>
    <t>PFQ2497R1R11</t>
  </si>
  <si>
    <t>Manómetro Winters Serie PFQ Quality, dial 2", 0/2.000 psi &amp; 0/140 bar, 1/4" NPT posterior, caja Ac. Inox. 304, internos de latón, clase 2,5%, cierre repujado, con glicerina.</t>
  </si>
  <si>
    <t>PFQ2498R1R11</t>
  </si>
  <si>
    <t>Manómetro Winters Serie PFQ Quality, dial 2", 0/3.000 psi &amp; 0/200 bar, 1/4" NPT posterior, caja Ac. Inox. 304, internos de latón, clase 2,5%, cierre repujado, con glicerina.</t>
  </si>
  <si>
    <t>PFQ2499R1R11</t>
  </si>
  <si>
    <t>Manómetro Winters Serie PFQ Quality, dial 2", 0/5.000 psi &amp; 0/350 bar, 1/4" NPT posterior, caja Ac. Inox. 304, internos de latón, clase 2,5%, cierre repujado, con glicerina.</t>
  </si>
  <si>
    <t>PFQ2500R1R11</t>
  </si>
  <si>
    <t>Manómetro Winters Serie PFQ Quality, dial 2", 0/6.000 psi &amp; 0/400 bar, 1/4" NPT posterior, caja Ac. Inox. 304, internos de latón, clase 2,5%, cierre repujado, con glicerina.</t>
  </si>
  <si>
    <t>PFQ2501R1R11</t>
  </si>
  <si>
    <t>Manómetro Winters Serie PFQ Quality, dial 2", 0/7.500 psi &amp; 0/500 bar, 1/4" NPT posterior, caja Ac. Inox. 304, internos de latón, clase 2,5%, cierre repujado, con glicerina.</t>
  </si>
  <si>
    <t>PFQ2502R1R11</t>
  </si>
  <si>
    <t>Manómetro Winters Serie PFQ Quality, dial 2", 0/10.000 psi &amp; 0/700 bar, 1/4" NPT posterior, caja Ac. Inox. 304, internos de latón, clase 2,5%, cierre repujado, con glicerina.</t>
  </si>
  <si>
    <t>PFQ2503R1R11</t>
  </si>
  <si>
    <t>Manómetro Winters Serie PFQ Quality, dial 2", 0/15.000 psi &amp; 0/1.000 bar, 1/4" NPT posterior, caja Ac. Inox. 304, internos de latón, clase 2,5%, cierre repujado, con glicerina.</t>
  </si>
  <si>
    <t>PFQ2248R6R11</t>
  </si>
  <si>
    <t>Vacuómetro Winters Serie PFQ Quality, dial 2", -30/0"Hg &amp; -1/0 bar, 1/8" NPT inferior, caja Ac. Inox 304, internos Ac. Inox. 316, clase 2,5%, cierre repujado, con glicerina.</t>
  </si>
  <si>
    <t>PFQ2295R1R11</t>
  </si>
  <si>
    <t>Manovacuómetro Winters Serie PFQ Quality, dial 2", -30"Hg/0/15 psi &amp; -1/0/1 bar, 1/8" NPT inferior, caja Ac. Inox. 304, internos de Ac. Inox. 316, clase 2,5%, cierre repujado, con glicerina.</t>
  </si>
  <si>
    <t>PFQ2241R1R11</t>
  </si>
  <si>
    <t>Manovacuómetro Winters Serie PFQ Quality, dial 2", -30"Hg/0/30 psi &amp; -1/0/2 bar, 1/8" NPT inferior, caja Ac. Inox. 304, internos de Ac. Inox. 316, clase 2,5%, cierre repujado, con glicerina.</t>
  </si>
  <si>
    <t>PFQ2296R1R11</t>
  </si>
  <si>
    <t>Manovacuómetro Winters Serie PFQ Quality, dial 2", -30"Hg/0/60 psi &amp; -1/0/4 bar, 1/8" NPT inferior, caja Ac. Inox. 304, internos de Ac. Inox. 316, clase 2,5%, cierre repujado, con glicerina.</t>
  </si>
  <si>
    <t>PFQ2297R1R11</t>
  </si>
  <si>
    <t>Manovacuómetro Winters Serie PFQ Quality, dial 2", -30"Hg/0/100 psi &amp; -1/0/7 bar, 1/8" NPT inferior, caja Ac. Inox. 304, internos de Ac. Inox. 316, clase 2,5%, cierre repujado, con glicerina.</t>
  </si>
  <si>
    <t>PFQ2298R1R11</t>
  </si>
  <si>
    <t>Manovacuómetro Winters Serie PFQ Quality, dial 2", -30"Hg/0/100 psi &amp; -1/0/10 bar, 1/8" NPT inferior, caja Ac. Inox. 304, internos de Ac. Inox. 316, clase 2,5%, cierre repujado, con glicerina.</t>
  </si>
  <si>
    <t>PFQ2299R1R11</t>
  </si>
  <si>
    <t>Manovacuómetro Winters Serie PFQ Quality, dial 2", -30"Hg/0/200 psi &amp; -1/0/14 bar, 1/8" NPT inferior, caja Ac. Inox. 304, internos de Ac. Inox. 316, clase 2,5%, cierre repujado, con glicerina.</t>
  </si>
  <si>
    <t>PFQ2300R1R11</t>
  </si>
  <si>
    <t>Manovacuómetro Winters Serie PFQ Quality, dial 2", -30"Hg/0/300 psi &amp; -1/0/20 bar, 1/8" NPT inferior, caja Ac. Inox. 304, internos de Ac. Inox. 316, clase 2,5%, cierre repujado, con glicerina.</t>
  </si>
  <si>
    <t>PFQ2218R1R11</t>
  </si>
  <si>
    <t>Manómetro Winters Serie PFQ Quality, dial 2", 0/15 psi &amp; 0/1 bar, 1/8" NPT inferior, caja Ac. Inox. 304, internos de Ac. Inox. 316, clase 2,5%, cierre repujado, con glicerina.</t>
  </si>
  <si>
    <t>PFQ2253R1R11</t>
  </si>
  <si>
    <t>Manómetro Winters Serie PFQ Quality, dial 2", 0/30 psi &amp; 0/2 bar, 1/8" NPT inferior, caja Ac. Inox. 304, internos de Ac. Inox. 316, clase 2,5%, cierre repujado, con glicerina.</t>
  </si>
  <si>
    <t>PFQ2270R1R11</t>
  </si>
  <si>
    <t>Manómetro Winters Serie PFQ Quality, dial 2", 0/60 psi &amp; 0/4 bar, 1/8" NPT inferior, caja Ac. Inox. 304, internos de Ac. Inox. 316, clase 2,5%, cierre repujado, con glicerina.</t>
  </si>
  <si>
    <t>PFQ2209R1R11</t>
  </si>
  <si>
    <t>Manómetro Winters Serie PFQ Quality, dial 2", 0/100 psi &amp; 0/7 bar, 1/8" NPT inferior, caja Ac. Inox. 304, internos de Ac. Inox. 316, clase 2,5%, cierre repujado, con glicerina.</t>
  </si>
  <si>
    <t>PFQ2206R1R11</t>
  </si>
  <si>
    <t>Manómetro Winters Serie PFQ Quality, dial 2", 0/160 psi &amp; 0/11 bar, 1/8" NPT inferior, caja Ac. Inox. 304, internos de Ac. Inox. 316, clase 2,5%, cierre repujado, con glicerina.</t>
  </si>
  <si>
    <t>PFQ2301R1R11</t>
  </si>
  <si>
    <t>Manómetro Winters Serie PFQ Quality, dial 2", 0/200 psi &amp; 0/14 bar, 1/8" NPT inferior, caja Ac. Inox. 304, internos de Ac. Inox. 316, clase 2,5%, cierre repujado, con glicerina.</t>
  </si>
  <si>
    <t>PFQ2245R1R11</t>
  </si>
  <si>
    <t>Manómetro Winters Serie PFQ Quality, dial 2", 0/300 psi &amp; 0/20 bar, 1/8" NPT inferior, caja Ac. Inox. 304, internos de Ac. Inox. 316, clase 2,5%, cierre repujado, con glicerina.</t>
  </si>
  <si>
    <t>PFQ2302R1R11</t>
  </si>
  <si>
    <t>Manómetro Winters Serie PFQ Quality, dial 2", 0/400 psi &amp; 0/30 bar, 1/8" NPT inferior, caja Ac. Inox. 304, internos de Ac. Inox. 316, clase 2,5%, cierre repujado, con glicerina.</t>
  </si>
  <si>
    <t>PFQ2264R1R11</t>
  </si>
  <si>
    <t>Manómetro Winters Serie PFQ Quality, dial 2", 0/600 psi &amp; 0/40 bar, 1/8" NPT inferior, caja Ac. Inox. 304, internos de Ac. Inox. 316, clase 2,5%, cierre repujado, con glicerina.</t>
  </si>
  <si>
    <t>PFQ2203R1R11</t>
  </si>
  <si>
    <t>Manómetro Winters Serie PFQ Quality, dial 2", 0/1.000 psi &amp; 0/70 bar, 1/8" NPT inferior, caja Ac. Inox. 304, internos de Ac. Inox. 316, clase 2,5%, cierre repujado, con glicerina.</t>
  </si>
  <si>
    <t>PFQ2213R1R11</t>
  </si>
  <si>
    <t>Manómetro Winters Serie PFQ Quality, dial 2", 0/1.500 psi &amp; 0/100 bar, 1/8" NPT inferior, caja Ac. Inox. 304, internos de Ac. Inox. 316, clase 2,5%, cierre repujado, con glicerina.</t>
  </si>
  <si>
    <t>PFQ2304R1R11</t>
  </si>
  <si>
    <t>Manómetro Winters Serie PFQ Quality, dial 2", 0/2.000 psi &amp; 0/140 bar, 1/8" NPT inferior, caja Ac. Inox. 304, internos de Ac. Inox. 316, clase 2,5%, cierre repujado, con glicerina.</t>
  </si>
  <si>
    <t>PFQ2305R1R11</t>
  </si>
  <si>
    <t>Manómetro Winters Serie PFQ Quality, dial 2", 0/3.000 psi &amp; 0/200 bar, 1/8" NPT inferior, caja Ac. Inox. 304, internos de Ac. Inox. 316, clase 2,5%, cierre repujado, con glicerina.</t>
  </si>
  <si>
    <t>PFQ2258R1R11</t>
  </si>
  <si>
    <t>Manómetro Winters Serie PFQ Quality, dial 2", 0/5.000 psi &amp; 0/350 bar, 1/8" NPT inferior, caja Ac. Inox. 304, internos de Ac. Inox. 316, clase 2,5%, cierre repujado, con glicerina.</t>
  </si>
  <si>
    <t>PFQ2262R1R11</t>
  </si>
  <si>
    <t>Manómetro Winters Serie PFQ Quality, dial 2", 0/6.000 psi &amp; 0/400 bar, 1/8" NPT inferior, caja Ac. Inox. 304, internos de Ac. Inox. 316, clase 2,5%, cierre repujado, con glicerina.</t>
  </si>
  <si>
    <t>PFQ2306R1R11</t>
  </si>
  <si>
    <t>Manómetro Winters Serie PFQ Quality, dial 2", 0/7.500 psi &amp; 0/500 bar, 1/8" NPT inferior, caja Ac. Inox. 304, internos de Ac. Inox. 316, clase 2,5%, cierre repujado, con glicerina.</t>
  </si>
  <si>
    <t>PFQ2307R1R11</t>
  </si>
  <si>
    <t>Manómetro Winters Serie PFQ Quality, dial 2", 0/10.000 psi &amp; 0/700 bar, 1/8" NPT inferior, caja Ac. Inox. 304, internos de Ac. Inox. 316, clase 2,5%, cierre repujado, con glicerina.</t>
  </si>
  <si>
    <t>PFQ2308R1R11</t>
  </si>
  <si>
    <t>Manómetro Winters Serie PFQ Quality, dial 2", 0/15.000 psi &amp; 0/1.000 bar, 1/8" NPT inferior, caja Ac. Inox. 304, internos de Ac. Inox. 316, clase 2,5%, cierre repujado, con glicerina.</t>
  </si>
  <si>
    <t>PFQ2309R6R11</t>
  </si>
  <si>
    <t>Vacuómetro Winters Serie PFQ Quality, dial 2", -30/0"Hg &amp; -1/0 bar, 1/8" NPT posterior, caja Ac. Inox 304, internos Ac. Inox. 316, clase 2,5%, cierre repujado, con glicerina.</t>
  </si>
  <si>
    <t>PFQ2310R1R11</t>
  </si>
  <si>
    <t>Manovacuómetro Winters Serie PFQ Quality, dial 2", -30"Hg/0/15 psi &amp; -1/0/1 bar, 1/8" NPT posterior, caja Ac. Inox. 304, internos de Ac. Inox. 316, clase 2,5%, cierre repujado, con glicerina.</t>
  </si>
  <si>
    <t>PFQ2311R1R11</t>
  </si>
  <si>
    <t>Manovacuómetro Winters Serie PFQ Quality, dial 2", -30"Hg/0/30 psi &amp; -1/0/2 bar, 1/8" NPT posterior, caja Ac. Inox. 304, internos de Ac. Inox. 316, clase 2,5%, cierre repujado, con glicerina.</t>
  </si>
  <si>
    <t>PFQ2312R1R11</t>
  </si>
  <si>
    <t>Manovacuómetro Winters Serie PFQ Quality, dial 2", -30"Hg/0/60 psi &amp; -1/0/4 bar, 1/8" NPT posterior, caja Ac. Inox. 304, internos de Ac. Inox. 316, clase 2,5%, cierre repujado, con glicerina.</t>
  </si>
  <si>
    <t>PFQ2313R1R11</t>
  </si>
  <si>
    <t>Manovacuómetro Winters Serie PFQ Quality, dial 2", -30"Hg/0/100 psi &amp; -1/0/7 bar, 1/8" NPT posterior, caja Ac. Inox. 304, internos de Ac. Inox. 316, clase 2,5%, cierre repujado, con glicerina.</t>
  </si>
  <si>
    <t>PFQ2314R1R11</t>
  </si>
  <si>
    <t>Manovacuómetro Winters Serie PFQ Quality, dial 2", -30"Hg/0/100 psi &amp; -1/0/10 bar, 1/8" NPT posterior, caja Ac. Inox. 304, internos de Ac. Inox. 316, clase 2,5%, cierre repujado, con glicerina.</t>
  </si>
  <si>
    <t>PFQ2315R1R11</t>
  </si>
  <si>
    <t>Manovacuómetro Winters Serie PFQ Quality, dial 2", -30"Hg/0/200 psi &amp; -1/0/14 bar, 1/8" NPT posterior, caja Ac. Inox. 304, internos de Ac. Inox. 316, clase 2,5%, cierre repujado, con glicerina.</t>
  </si>
  <si>
    <t>PFQ2316R1R11</t>
  </si>
  <si>
    <t>Manovacuómetro Winters Serie PFQ Quality, dial 2", -30"Hg/0/300 psi &amp; -1/0/20 bar, 1/8" NPT posterior, caja Ac. Inox. 304, internos de Ac. Inox. 316, clase 2,5%, cierre repujado, con glicerina.</t>
  </si>
  <si>
    <t>PFQ2217R1R11</t>
  </si>
  <si>
    <t>Manómetro Winters Serie PFQ Quality, dial 2", 0/15 psi &amp; 0/1 bar, 1/8" NPT posterior, caja Ac. Inox. 304, internos de Ac. Inox. 316, clase 2,5%, cierre repujado, con glicerina.</t>
  </si>
  <si>
    <t>PFQ2252R1R11</t>
  </si>
  <si>
    <t>Manómetro Winters Serie PFQ Quality, dial 2", 0/30 psi &amp; 0/2 bar, 1/8" NPT posterior, caja Ac. Inox. 304, internos de Ac. Inox. 316, clase 2,5%, cierre repujado, con glicerina.</t>
  </si>
  <si>
    <t>PFQ2269R1R11</t>
  </si>
  <si>
    <t>Manómetro Winters Serie PFQ Quality, dial 2", 0/60 psi &amp; 0/4 bar, 1/8" NPT posterior, caja Ac. Inox. 304, internos de Ac. Inox. 316, clase 2,5%, cierre repujado, con glicerina.</t>
  </si>
  <si>
    <t>PFQ2208R1R11</t>
  </si>
  <si>
    <t>Manómetro Winters Serie PFQ Quality, dial 2", 0/100 psi &amp; 0/7 bar, 1/8" NPT posterior, caja Ac. Inox. 304, internos de Ac. Inox. 316, clase 2,5%, cierre repujado, con glicerina.</t>
  </si>
  <si>
    <t>PFQ2207R1R11</t>
  </si>
  <si>
    <t>Manómetro Winters Serie PFQ Quality, dial 2", 0/160 psi &amp; 0/11 bar, 1/8" NPT posterior, caja Ac. Inox. 304, internos de Ac. Inox. 316, clase 2,5%, cierre repujado, con glicerina.</t>
  </si>
  <si>
    <t>PFQ2951R1R11</t>
  </si>
  <si>
    <t>Manómetro Winters Serie PFQ Quality, dial 2", 0/200 psi &amp; 0/14 bar, 1/8" NPT posterior, caja Ac. Inox. 304, internos de Ac. Inox. 316, clase 2,5%, cierre repujado, con glicerina.</t>
  </si>
  <si>
    <t>PFQ2318R1R11</t>
  </si>
  <si>
    <t>Manómetro Winters Serie PFQ Quality, dial 2", 0/300 psi &amp; 0/20 bar, 1/8" NPT posterior, caja Ac. Inox. 304, internos de Ac. Inox. 316, clase 2,5%, cierre repujado, con glicerina.</t>
  </si>
  <si>
    <t>PFQ2319R1R11</t>
  </si>
  <si>
    <t>Manómetro Winters Serie PFQ Quality, dial 2", 0/400 psi &amp; 0/30 bar, 1/8" NPT posterior, caja Ac. Inox. 304, internos de Ac. Inox. 316, clase 2,5%, cierre repujado, con glicerina.</t>
  </si>
  <si>
    <t>PFQ2320R1R11</t>
  </si>
  <si>
    <t>Manómetro Winters Serie PFQ Quality, dial 2", 0/600 psi &amp; 0/40 bar, 1/8" NPT posterior, caja Ac. Inox. 304, internos de Ac. Inox. 316, clase 2,5%, cierre repujado, con glicerina.</t>
  </si>
  <si>
    <t>PFQ2321R1R11</t>
  </si>
  <si>
    <t>Manómetro Winters Serie PFQ Quality, dial 2", 0/1.000 psi &amp; 0/70 bar, 1/8" NPT posterior, caja Ac. Inox. 304, internos de Ac. Inox. 316, clase 2,5%, cierre repujado, con glicerina.</t>
  </si>
  <si>
    <t>PFQ2322R1R11</t>
  </si>
  <si>
    <t>Manómetro Winters Serie PFQ Quality, dial 2", 0/1.500 psi &amp; 0/100 bar, 1/8" NPT posterior, caja Ac. Inox. 304, internos de Ac. Inox. 316, clase 2,5%, cierre repujado, con glicerina.</t>
  </si>
  <si>
    <t>PFQ2323R1R11</t>
  </si>
  <si>
    <t>Manómetro Winters Serie PFQ Quality, dial 2", 0/2.000 psi &amp; 0/140 bar, 1/8" NPT posterior, caja Ac. Inox. 304, internos de Ac. Inox. 316, clase 2,5%, cierre repujado, con glicerina.</t>
  </si>
  <si>
    <t>PFQ2324R1R11</t>
  </si>
  <si>
    <t>Manómetro Winters Serie PFQ Quality, dial 2", 0/3.000 psi &amp; 0/200 bar, 1/8" NPT posterior, caja Ac. Inox. 304, internos de Ac. Inox. 316, clase 2,5%, cierre repujado, con glicerina.</t>
  </si>
  <si>
    <t>PFQ2257R1R11</t>
  </si>
  <si>
    <t>Manómetro Winters Serie PFQ Quality, dial 2", 0/5.000 psi &amp; 0/350 bar, 1/8" NPT posterior, caja Ac. Inox. 304, internos de Ac. Inox. 316, clase 2,5%, cierre repujado, con glicerina.</t>
  </si>
  <si>
    <t>PFQ2261R1R11</t>
  </si>
  <si>
    <t>Manómetro Winters Serie PFQ Quality, dial 2", 0/6.000 psi &amp; 0/400 bar, 1/8" NPT posterior, caja Ac. Inox. 304, internos de Ac. Inox. 316, clase 2,5%, cierre repujado, con glicerina.</t>
  </si>
  <si>
    <t>PFQ2325R1R11</t>
  </si>
  <si>
    <t>Manómetro Winters Serie PFQ Quality, dial 2", 0/7.500 psi &amp; 0/500 bar, 1/8" NPT posterior, caja Ac. Inox. 304, internos de Ac. Inox. 316, clase 2,5%, cierre repujado, con glicerina.</t>
  </si>
  <si>
    <t>PFQ2326R1R11</t>
  </si>
  <si>
    <t>Manómetro Winters Serie PFQ Quality, dial 2", 0/10.000 psi &amp; 0/700 bar, 1/8" NPT posterior, caja Ac. Inox. 304, internos de Ac. Inox. 316, clase 2,5%, cierre repujado, con glicerina.</t>
  </si>
  <si>
    <t>PFQ2327R1R11</t>
  </si>
  <si>
    <t>Manómetro Winters Serie PFQ Quality, dial 2", 0/15.000 psi &amp; 0/1.000 bar, 1/8" NPT posterior, caja Ac. Inox. 304, internos de Ac. Inox. 316, clase 2,5%, cierre repujado, con glicerina.</t>
  </si>
  <si>
    <t>PFQ2247R6R11</t>
  </si>
  <si>
    <t>Vacuómetro Winters Serie PFQ Quality, dial 2", -30/0"Hg &amp; -1/0 bar, 1/4" NPT inferior, caja Ac. Inox 304, internos Ac. Inox. 316, clase 2,5%, cierre repujado, con glicerina.</t>
  </si>
  <si>
    <t>PFQ2271R1R11</t>
  </si>
  <si>
    <t>Manovacuómetro Winters Serie PFQ Quality, dial 2", -30"Hg/0/15 psi &amp; -1/0/1 bar, 1/4" NPT inferior, caja Ac. Inox. 304, internos de Ac. Inox. 316, clase 2,5%, cierre repujado, con glicerina.</t>
  </si>
  <si>
    <t>PFQ2272R1R11</t>
  </si>
  <si>
    <t>Manovacuómetro Winters Serie PFQ Quality, dial 2", -30"Hg/0/30 psi &amp; -1/0/2 bar, 1/4" NPT inferior, caja Ac. Inox. 304, internos de Ac. Inox. 316, clase 2,5%, cierre repujado, con glicerina.</t>
  </si>
  <si>
    <t>PFQ2273R1R11</t>
  </si>
  <si>
    <t>Manovacuómetro Winters Serie PFQ Quality, dial 2", -30"Hg/0/60 psi &amp; -1/0/4 bar, 1/4" NPT inferior, caja Ac. Inox. 304, internos de Ac. Inox. 316, clase 2,5%, cierre repujado, con glicerina.</t>
  </si>
  <si>
    <t>PFQ2274R1R11</t>
  </si>
  <si>
    <t>Manovacuómetro Winters Serie PFQ Quality, dial 2", -30"Hg/0/100 psi &amp; -1/0/7 bar, 1/4" NPT inferior, caja Ac. Inox. 304, internos de Ac. Inox. 316, clase 2,5%, cierre repujado, con glicerina.</t>
  </si>
  <si>
    <t>PFQ2275R1R11</t>
  </si>
  <si>
    <t>Manovacuómetro Winters Serie PFQ Quality, dial 2", -30"Hg/0/100 psi &amp; -1/0/10 bar, 1/4" NPT inferior, caja Ac. Inox. 304, internos de Ac. Inox. 316, clase 2,5%, cierre repujado, con glicerina.</t>
  </si>
  <si>
    <t>PFQ2276R1R11</t>
  </si>
  <si>
    <t>Manovacuómetro Winters Serie PFQ Quality, dial 2", -30"Hg/0/200 psi &amp; -1/0/14 bar, 1/4" NPT inferior, caja Ac. Inox. 304, internos de Ac. Inox. 316, clase 2,5%, cierre repujado, con glicerina.</t>
  </si>
  <si>
    <t>PFQ2277R1R11</t>
  </si>
  <si>
    <t>Manovacuómetro Winters Serie PFQ Quality, dial 2", -30"Hg/0/300 psi &amp; -1/0/20 bar, 1/4" NPT inferior, caja Ac. Inox. 304, internos de Ac. Inox. 316, clase 2,5%, cierre repujado, con glicerina.</t>
  </si>
  <si>
    <t>PFQ2215R1R11</t>
  </si>
  <si>
    <t>Manómetro Winters Serie PFQ Quality, dial 2", 0/15 psi &amp; 0/1 bar, 1/4" NPT inferior, caja Ac. Inox. 304, internos de Ac. Inox. 316, clase 2,5%, cierre repujado, con glicerina.</t>
  </si>
  <si>
    <t>PFQ2250R1R11</t>
  </si>
  <si>
    <t>Manómetro Winters Serie PFQ Quality, dial 2", 0/30 psi &amp; 0/2 bar, 1/4" NPT inferior, caja Ac. Inox. 304, internos de Ac. Inox. 316, clase 2,5%, cierre repujado, con glicerina.</t>
  </si>
  <si>
    <t>PFQ2266R1R11</t>
  </si>
  <si>
    <t>Manómetro Winters Serie PFQ Quality, dial 2", 0/60 psi &amp; 0/4 bar, 1/4" NPT inferior, caja Ac. Inox. 304, internos de Ac. Inox. 316, clase 2,5%, cierre repujado, con glicerina.</t>
  </si>
  <si>
    <t>PFQ2205R1R11</t>
  </si>
  <si>
    <t>Manómetro Winters Serie PFQ Quality, dial 2", 0/100 psi &amp; 0/7 bar, 1/4" NPT inferior, caja Ac. Inox. 304, internos de Ac. Inox. 316, clase 2,5%, cierre repujado, con glicerina.</t>
  </si>
  <si>
    <t>PFQ2220R1R11</t>
  </si>
  <si>
    <t>Manómetro Winters Serie PFQ Quality, dial 2", 0/160 psi &amp; 0/11 bar, 1/4" NPT inferior, caja Ac. Inox. 304, internos de Ac. Inox. 316, clase 2,5%, cierre repujado, con glicerina.</t>
  </si>
  <si>
    <t>PFQ2267R1R11</t>
  </si>
  <si>
    <t>Manómetro Winters Serie PFQ Quality, dial 2", 0/200 psi &amp; 0/14 bar, 1/4" NPT inferior, caja Ac. Inox. 304, internos de Ac. Inox. 316, clase 2,5%, cierre repujado, con glicerina.</t>
  </si>
  <si>
    <t>PFQ2244R1R11</t>
  </si>
  <si>
    <t>Manómetro Winters Serie PFQ Quality, dial 2", 0/300 psi &amp; 0/20 bar, 1/4" NPT inferior, caja Ac. Inox. 304, internos de Ac. Inox. 316, clase 2,5%, cierre repujado, con glicerina.</t>
  </si>
  <si>
    <t>PFQ2254R1R11</t>
  </si>
  <si>
    <t>Manómetro Winters Serie PFQ Quality, dial 2", 0/400 psi &amp; 0/30 bar, 1/4" NPT inferior, caja Ac. Inox. 304, internos de Ac. Inox. 316, clase 2,5%, cierre repujado, con glicerina.</t>
  </si>
  <si>
    <t>PFQ2278R1R11</t>
  </si>
  <si>
    <t>Manómetro Winters Serie PFQ Quality, dial 2", 0/600 psi &amp; 0/40 bar, 1/4" NPT inferior, caja Ac. Inox. 304, internos de Ac. Inox. 316, clase 2,5%, cierre repujado, con glicerina.</t>
  </si>
  <si>
    <t>PFQ2202R1R11</t>
  </si>
  <si>
    <t>Manómetro Winters Serie PFQ Quality, dial 2", 0/1.000 psi &amp; 0/70 bar, 1/4" NPT inferior, caja Ac. Inox. 304, internos de Ac. Inox. 316, clase 2,5%, cierre repujado, con glicerina.</t>
  </si>
  <si>
    <t>PFQ2212R1R11</t>
  </si>
  <si>
    <t>Manómetro Winters Serie PFQ Quality, dial 2", 0/1.500 psi &amp; 0/100 bar, 1/4" NPT inferior, caja Ac. Inox. 304, internos de Ac. Inox. 316, clase 2,5%, cierre repujado, con glicerina.</t>
  </si>
  <si>
    <t>PFQ2279R1R11</t>
  </si>
  <si>
    <t>Manómetro Winters Serie PFQ Quality, dial 2", 0/2.000 psi &amp; 0/140 bar, 1/4" NPT inferior, caja Ac. Inox. 304, internos de Ac. Inox. 316, clase 2,5%, cierre repujado, con glicerina.</t>
  </si>
  <si>
    <t>PFQ2280R1R11</t>
  </si>
  <si>
    <t>Manómetro Winters Serie PFQ Quality, dial 2", 0/3.000 psi &amp; 0/200 bar, 1/4" NPT inferior, caja Ac. Inox. 304, internos de Ac. Inox. 316, clase 2,5%, cierre repujado, con glicerina.</t>
  </si>
  <si>
    <t>PFQ2256R1R11</t>
  </si>
  <si>
    <t>Manómetro Winters Serie PFQ Quality, dial 2", 0/5.000 psi &amp; 0/350 bar, 1/4" NPT inferior, caja Ac. Inox. 304, internos de Ac. Inox. 316, clase 2,5%, cierre repujado, con glicerina.</t>
  </si>
  <si>
    <t>PFQ2260R1R11</t>
  </si>
  <si>
    <t>Manómetro Winters Serie PFQ Quality, dial 2", 0/6.000 psi &amp; 0/400 bar, 1/4" NPT inferior, caja Ac. Inox. 304, internos de Ac. Inox. 316, clase 2,5%, cierre repujado, con glicerina.</t>
  </si>
  <si>
    <t>PFQ2281R1R11</t>
  </si>
  <si>
    <t>Manómetro Winters Serie PFQ Quality, dial 2", 0/7.500 psi &amp; 0/500 bar, 1/4" NPT inferior, caja Ac. Inox. 304, internos de Ac. Inox. 316, clase 2,5%, cierre repujado, con glicerina.</t>
  </si>
  <si>
    <t>PFQ2200R1R11</t>
  </si>
  <si>
    <t>Manómetro Winters Serie PFQ Quality, dial 2", 0/10.000 psi &amp; 0/700 bar, 1/4" NPT inferior, caja Ac. Inox. 304, internos de Ac. Inox. 316, clase 2,5%, cierre repujado, con glicerina.</t>
  </si>
  <si>
    <t>PFQ2210R1R11</t>
  </si>
  <si>
    <t>Manómetro Winters Serie PFQ Quality, dial 2", 0/15.000 psi &amp; 0/1.000 bar, 1/4" NPT inferior, caja Ac. Inox. 304, internos de Ac. Inox. 316, clase 2,5%, cierre repujado, con glicerina.</t>
  </si>
  <si>
    <t>PFQ2246R6R11</t>
  </si>
  <si>
    <t>Vacuómetro Winters Serie PFQ Quality, dial 2", -30/0"Hg &amp; -1/0 bar, 1/4" NPT posterior, caja Ac. Inox 304, internos Ac. Inox. 316, clase 2,5%, cierre repujado, con glicerina.</t>
  </si>
  <si>
    <t>PFQ2282R1R11</t>
  </si>
  <si>
    <t>Manovacuómetro Winters Serie PFQ Quality, dial 2", -30"Hg/0/15 psi &amp; -1/0/1 bar, 1/4" NPT posterior, caja Ac. Inox. 304, internos de Ac. Inox. 316, clase 2,5%, cierre repujado, con glicerina.</t>
  </si>
  <si>
    <t>PFQ2283R1R11</t>
  </si>
  <si>
    <t>Manovacuómetro Winters Serie PFQ Quality, dial 2", -30"Hg/0/30 psi &amp; -1/0/2 bar, 1/4" NPT posterior, caja Ac. Inox. 304, internos de Ac. Inox. 316, clase 2,5%, cierre repujado, con glicerina.</t>
  </si>
  <si>
    <t>PFQ2242R1R11</t>
  </si>
  <si>
    <t>Manovacuómetro Winters Serie PFQ Quality, dial 2", -30"Hg/0/60 psi &amp; -1/0/4 bar, 1/4" NPT posterior, caja Ac. Inox. 304, internos de Ac. Inox. 316, clase 2,5%, cierre repujado, con glicerina.</t>
  </si>
  <si>
    <t>PFQ2284R1R11</t>
  </si>
  <si>
    <t>Manovacuómetro Winters Serie PFQ Quality, dial 2", -30"Hg/0/100 psi &amp; -1/0/7 bar, 1/4" NPT posterior, caja Ac. Inox. 304, internos de Ac. Inox. 316, clase 2,5%, cierre repujado, con glicerina.</t>
  </si>
  <si>
    <t>PFQ2285R1R11</t>
  </si>
  <si>
    <t>Manovacuómetro Winters Serie PFQ Quality, dial 2", -30"Hg/0/100 psi &amp; -1/0/10 bar, 1/4" NPT posterior, caja Ac. Inox. 304, internos de Ac. Inox. 316, clase 2,5%, cierre repujado, con glicerina.</t>
  </si>
  <si>
    <t>PFQ2286R1R11</t>
  </si>
  <si>
    <t>Manovacuómetro Winters Serie PFQ Quality, dial 2", -30"Hg/0/200 psi &amp; -1/0/14 bar, 1/4" NPT posterior, caja Ac. Inox. 304, internos de Ac. Inox. 316, clase 2,5%, cierre repujado, con glicerina.</t>
  </si>
  <si>
    <t>PFQ2287R1R11</t>
  </si>
  <si>
    <t>Manovacuómetro Winters Serie PFQ Quality, dial 2", -30"Hg/0/300 psi &amp; -1/0/20 bar, 1/4" NPT posterior, caja Ac. Inox. 304, internos de Ac. Inox. 316, clase 2,5%, cierre repujado, con glicerina.</t>
  </si>
  <si>
    <t>PFQ2214R1R11</t>
  </si>
  <si>
    <t>Manómetro Winters Serie PFQ Quality, dial 2", 0/15 psi &amp; 0/1 bar, 1/4" NPT posterior, caja Ac. Inox. 304, internos de Ac. Inox. 316, clase 2,5%, cierre repujado, con glicerina.</t>
  </si>
  <si>
    <t>PFQ2249R1R11</t>
  </si>
  <si>
    <t>Manómetro Winters Serie PFQ Quality, dial 2", 0/30 psi &amp; 0/2 bar, 1/4" NPT posterior, caja Ac. Inox. 304, internos de Ac. Inox. 316, clase 2,5%, cierre repujado, con glicerina.</t>
  </si>
  <si>
    <t>PFQ2265R1R11</t>
  </si>
  <si>
    <t>Manómetro Winters Serie PFQ Quality, dial 2", 0/60 psi &amp; 0/4 bar, 1/4" NPT posterior, caja Ac. Inox. 304, internos de Ac. Inox. 316, clase 2,5%, cierre repujado, con glicerina.</t>
  </si>
  <si>
    <t>PFQ2204R1R11</t>
  </si>
  <si>
    <t>Manómetro Winters Serie PFQ Quality, dial 2", 0/100 psi &amp; 0/7 bar, 1/4" NPT posterior, caja Ac. Inox. 304, internos de Ac. Inox. 316, clase 2,5%, cierre repujado, con glicerina.</t>
  </si>
  <si>
    <t>PFQ2219R1R11</t>
  </si>
  <si>
    <t>Manómetro Winters Serie PFQ Quality, dial 2", 0/160 psi &amp; 0/11 bar, 1/4" NPT posterior, caja Ac. Inox. 304, internos de Ac. Inox. 316, clase 2,5%, cierre repujado, con glicerina.</t>
  </si>
  <si>
    <t>PFQ2268R1R11</t>
  </si>
  <si>
    <t>Manómetro Winters Serie PFQ Quality, dial 2", 0/200 psi &amp; 0/14 bar, 1/4" NPT posterior, caja Ac. Inox. 304, internos de Ac. Inox. 316, clase 2,5%, cierre repujado, con glicerina.</t>
  </si>
  <si>
    <t>PFQ2243R1R11</t>
  </si>
  <si>
    <t>Manómetro Winters Serie PFQ Quality, dial 2", 0/300 psi &amp; 0/20 bar, 1/4" NPT posterior, caja Ac. Inox. 304, internos de Ac. Inox. 316, clase 2,5%, cierre repujado, con glicerina.</t>
  </si>
  <si>
    <t>PFQ2288R1R11</t>
  </si>
  <si>
    <t>Manómetro Winters Serie PFQ Quality, dial 2", 0/400 psi &amp; 0/30 bar, 1/4" NPT posterior, caja Ac. Inox. 304, internos de Ac. Inox. 316, clase 2,5%, cierre repujado, con glicerina.</t>
  </si>
  <si>
    <t>PFQ2289R1R11</t>
  </si>
  <si>
    <t>Manómetro Winters Serie PFQ Quality, dial 2", 0/600 psi &amp; 0/40 bar, 1/4" NPT posterior, caja Ac. Inox. 304, internos de Ac. Inox. 316, clase 2,5%, cierre repujado, con glicerina.</t>
  </si>
  <si>
    <t>PFQ2201R1R11</t>
  </si>
  <si>
    <t>Manómetro Winters Serie PFQ Quality, dial 2", 0/1.000 psi &amp; 0/70 bar, 1/4" NPT posterior, caja Ac. Inox. 304, internos de Ac. Inox. 316, clase 2,5%, cierre repujado, con glicerina.</t>
  </si>
  <si>
    <t>PFQ2211R1R11</t>
  </si>
  <si>
    <t>Manómetro Winters Serie PFQ Quality, dial 2", 0/1.500 psi &amp; 0/100 bar, 1/4" NPT posterior, caja Ac. Inox. 304, internos de Ac. Inox. 316, clase 2,5%, cierre repujado, con glicerina.</t>
  </si>
  <si>
    <t>PFQ2290R1R11</t>
  </si>
  <si>
    <t>Manómetro Winters Serie PFQ Quality, dial 2", 0/2.000 psi &amp; 0/140 bar, 1/4" NPT posterior, caja Ac. Inox. 304, internos de Ac. Inox. 316, clase 2,5%, cierre repujado, con glicerina.</t>
  </si>
  <si>
    <t>PFQ2291R1R11</t>
  </si>
  <si>
    <t>Manómetro Winters Serie PFQ Quality, dial 2", 0/3.000 psi &amp; 0/200 bar, 1/4" NPT posterior, caja Ac. Inox. 304, internos de Ac. Inox. 316, clase 2,5%, cierre repujado, con glicerina.</t>
  </si>
  <si>
    <t>PFQ2255R1R11</t>
  </si>
  <si>
    <t>Manómetro Winters Serie PFQ Quality, dial 2", 0/5.000 psi &amp; 0/350 bar, 1/4" NPT posterior, caja Ac. Inox. 304, internos de Ac. Inox. 316, clase 2,5%, cierre repujado, con glicerina.</t>
  </si>
  <si>
    <t>PFQ2259R1R11</t>
  </si>
  <si>
    <t>Manómetro Winters Serie PFQ Quality, dial 2", 0/6.000 psi &amp; 0/400 bar, 1/4" NPT posterior, caja Ac. Inox. 304, internos de Ac. Inox. 316, clase 2,5%, cierre repujado, con glicerina.</t>
  </si>
  <si>
    <t>PFQ2292R1R11</t>
  </si>
  <si>
    <t>Manómetro Winters Serie PFQ Quality, dial 2", 0/7.500 psi &amp; 0/500 bar, 1/4" NPT posterior, caja Ac. Inox. 304, internos de Ac. Inox. 316, clase 2,5%, cierre repujado, con glicerina.</t>
  </si>
  <si>
    <t>PFQ2293R1R11</t>
  </si>
  <si>
    <t>Manómetro Winters Serie PFQ Quality, dial 2", 0/10.000 psi &amp; 0/700 bar, 1/4" NPT posterior, caja Ac. Inox. 304, internos de Ac. Inox. 316, clase 2,5%, cierre repujado, con glicerina.</t>
  </si>
  <si>
    <t>PFQ2294R1R11</t>
  </si>
  <si>
    <t>Manómetro Winters Serie PFQ Quality, dial 2", 0/15.000 psi &amp; 0/1.000 bar, 1/4" NPT posterior, caja Ac. Inox. 304, internos de Ac. Inox. 316, clase 2,5%, cierre repujado, con glicerina.</t>
  </si>
  <si>
    <t>PFQ801R6R11</t>
  </si>
  <si>
    <t>Vacuómetro Winters Serie PFQ Quality, dial 2,5", -30"Hg/0 &amp; -1/0 bar, 1/4" NPT inferior, caja Ac. Inox 304, internos latón, clase 1,5%, cierre repujado, con glicerina.</t>
  </si>
  <si>
    <t>PFQ801R7R6</t>
  </si>
  <si>
    <t>Vacuómetro Winters Serie PFQ Quality, dial 2,5", -760/0mmHg &amp; -30"Hg/0, 1/4" NPT inferior, caja Ac. Inox 304, internos latón, clase 1,5%, cierre repujado, con glicerina.</t>
  </si>
  <si>
    <t>PFQ790R1R11</t>
  </si>
  <si>
    <t>Manovacuómetro Winters Serie PFQ Quality, dial 2,5", -30"Hg/0/15 psi &amp; -1/0/1 bar, 1/4" NPT inferior, caja Ac. Inox. 304, internos de latón, clase 1,5%, cierre repujado, con glicerina.</t>
  </si>
  <si>
    <t>PFQ790R3R1</t>
  </si>
  <si>
    <t>Manovacuómetro Winters Serie PFQ Quality, dial 2,5", -1/0/1 Kg/cm2 &amp; -30"Hg/0/15 psi, 1/4" NPT inferior, caja Ac. Inox. 304, internos de latón, clase 1,5%, cierre repujado, con glicerina.</t>
  </si>
  <si>
    <t>PFQ798R1R11</t>
  </si>
  <si>
    <t>Manovacuómetro Winters Serie PFQ Quality, dial 2,5", -30"Hg/0/30 psi &amp; -1/0/2 bar, 1/4" NPT inferior, caja Ac. Inox. 304, internos de latón, clase 1,5%, cierre repujado, con glicerina.</t>
  </si>
  <si>
    <t>PFQ798R3R1</t>
  </si>
  <si>
    <t>Manovacuómetro Winters Serie PFQ Quality, dial 2,5",-1/0/2 Kg/cm2 &amp; -30"Hg/0/30 psi, 1/4" NPT inferior, caja Ac. Inox. 304, internos de latón, clase 1,5%, cierre repujado, con glicerina.</t>
  </si>
  <si>
    <t>PFQ799R1R11</t>
  </si>
  <si>
    <t>Manovacuómetro Winters Serie PFQ Quality, dial 2,5", -30"Hg/0/60 psi &amp; -1/0/4 bar, 1/4" NPT inferior, caja Ac. Inox. 304, internos de latón, clase 1,5%, cierre repujado, con glicerina.</t>
  </si>
  <si>
    <t>PFQ799R3R1</t>
  </si>
  <si>
    <t>Manovacuómetro Winters Serie PFQ Quality, dial 2,5",-1/0/4 Kg/cm2 &amp; -30"Hg/0/60 psi, 1/4" NPT inferior, caja Ac. Inox. 304, internos de latón, clase 1,5%, cierre repujado, con glicerina.</t>
  </si>
  <si>
    <t>PFQ791R1R11</t>
  </si>
  <si>
    <t>Manovacuómetro Winters Serie PFQ Quality, dial 2,5", -30"Hg/0/100 psi &amp; -1/0/7 bar, 1/4" NPT inferior, caja Ac. Inox. 304, internos de latón, clase 1,5%, cierre repujado, con glicerina.</t>
  </si>
  <si>
    <t>PFQ792R1R11</t>
  </si>
  <si>
    <t>Manovacuómetro Winters Serie PFQ Quality, dial 2,5", -30"Hg/0/100 psi &amp; -1/0/10 bar, 1/4" NPT inferior, caja Ac. Inox. 304, internos de latón, clase 1,5%, cierre repujado, con glicerina.</t>
  </si>
  <si>
    <t>PFQ792R3R1</t>
  </si>
  <si>
    <t>Manovacuómetro Winters Serie PFQ Quality, dial 2,5",-1/0/10 Kg/cm2 &amp; -30"Hg/0/160 psi, 1/4" NPT inferior, caja Ac. Inox. 304, internos de latón, clase 1,5%, cierre repujado, con glicerina.</t>
  </si>
  <si>
    <t>PFQ794R1R11</t>
  </si>
  <si>
    <t>Manovacuómetro Winters Serie PFQ Quality, dial 2,5", -30"Hg/0/200 psi &amp; -1/0/14 bar, 1/4" NPT inferior, caja Ac. Inox. 304, internos de latón, clase 1,5%, cierre repujado, con glicerina.</t>
  </si>
  <si>
    <t>PFQ795R1R11</t>
  </si>
  <si>
    <t>Manovacuómetro Winters Serie PFQ Quality, dial 2,5", -30"Hg/0/300 psi &amp; -1/0/20 bar, 1/4" NPT inferior, caja Ac. Inox. 304, internos de latón, clase 1,5%, cierre repujado, con glicerina.</t>
  </si>
  <si>
    <t>PFQ800GASISTA</t>
  </si>
  <si>
    <t>Manómetro Winters Serie PFQ Quality, dial 2,5", 0/0,6 Kg/cm2 &amp; 0/8,4 psi, 1/4" NPT inferior, caja Ac. Inox. 304, internos de latón, clase 1,5%, cierre repujado, con glicerina.</t>
  </si>
  <si>
    <t>PFQ800R1R11</t>
  </si>
  <si>
    <t>Manómetro Winters Serie PFQ Quality, dial 2,5", 0/15 psi &amp; 0/1 bar, 1/4" NPT inferior, caja Ac. Inox. 304, internos de latón, clase 1,5%, cierre repujado, con glicerina.</t>
  </si>
  <si>
    <t>PFQ800R3R1</t>
  </si>
  <si>
    <t>Manómetro Winters Serie PFQ Quality, dial 2,5", 0/1 Kg/cm2 &amp; 0/15 psi, 1/4" NPT inferior, caja Ac. Inox. 304, internos de latón, clase 1,5%, cierre repujado, con glicerina.</t>
  </si>
  <si>
    <t>PFQ802R1R11</t>
  </si>
  <si>
    <t>Manómetro Winters Serie PFQ Quality, dial 2,5", 0/30 psi &amp; 0/2 bar, 1/4" NPT inferior, caja Ac. Inox. 304, internos de latón, clase 1,5%, cierre repujado, con glicerina.</t>
  </si>
  <si>
    <t>PFQ802R3R1</t>
  </si>
  <si>
    <t>Manómetro Winters Serie PFQ Quality, dial 2,5", 0/2 Kg/cm2 &amp; 0/30 psi, 1/4" NPT inferior, caja Ac. Inox. 304, internos de latón, clase 1,5%, cierre repujado, con glicerina.</t>
  </si>
  <si>
    <t>PFQ802R3R1S</t>
  </si>
  <si>
    <t>Manómetro Winters Serie PFQ Quality, dial 2,5", 0/2,5 Kg/cm2 &amp; 0/36 psi, 1/4" NPT inferior, caja Ac. Inox. 304, internos de latón, clase 1,5%, cierre repujado, con glicerina.</t>
  </si>
  <si>
    <t>PFQ803R1R11</t>
  </si>
  <si>
    <t>Manómetro Winters Serie PFQ Quality, dial 2,5", 0/60 psi &amp; 0/4 bar, 1/4" NPT inferior, caja Ac. Inox. 304, internos de latón, clase 1,5%, cierre repujado, con glicerina.</t>
  </si>
  <si>
    <t>PFQ803R3R1</t>
  </si>
  <si>
    <t>Manómetro Winters Serie PFQ Quality, dial 2,5", 0/4 Kg/cm2 &amp; 0/60 psi, 1/4" NPT inferior, caja Ac. Inox. 304, internos de latón, clase 1,5%, cierre repujado, con glicerina.</t>
  </si>
  <si>
    <t>PFQ803R3R1-SG-25</t>
  </si>
  <si>
    <t>Manómetro Winters Serie PFQ Quality, dial 2,5", 0/4 Kg/cm2 &amp; 0/60 psi, 1/4" NPT inferior, caja Ac. Inox. 304, internos de latón, clase 1,5%, cierre repujado, con glicerina, con vidrio de seguridad.</t>
  </si>
  <si>
    <t>PFQ804R1R11</t>
  </si>
  <si>
    <t>Manómetro Winters Serie PFQ Quality, dial 2,5", 0/100 psi &amp; 0/7 bar, 1/4" NPT inferior, caja Ac. Inox. 304, internos de latón, clase 1,5%, cierre repujado, con glicerina.</t>
  </si>
  <si>
    <t>PFQ804R3R1</t>
  </si>
  <si>
    <t>Manómetro Winters Serie PFQ Quality, dial 2,5", 0/7 Kg/cm2 &amp; 0/100 psi, 1/4" NPT inferior, caja Ac. Inox. 304, internos de latón, clase 1,5%, cierre repujado, con glicerina.</t>
  </si>
  <si>
    <t>PFQ804R3R1-SG-25</t>
  </si>
  <si>
    <t>Manómetro Winters Serie PFQ Quality, dial 2,5", 0/7 Kg/cm2 &amp; 0/100 psi, 1/4" NPT inferior, caja Ac. Inox. 304, internos de latón, clase 1,5%, cierre repujado, con glicerina, con vidrio de seguridad.</t>
  </si>
  <si>
    <t>PFQ805R3R1</t>
  </si>
  <si>
    <t>Manómetro Winters Serie PFQ Quality, dial 2,5", 0/10 Kg/cm2 &amp; 0/150 psi, 1/4" NPT inferior, caja Ac. Inox. 304, internos de latón, clase 1,5%, cierre repujado, con glicerina.</t>
  </si>
  <si>
    <t>PFQ805R1R11</t>
  </si>
  <si>
    <t>Manómetro Winters Serie PFQ Quality, dial 2,5", 0/160 psi &amp; 0/11 bar, 1/4" NPT inferior, caja Ac. Inox. 304, internos de latón, clase 1,5%, cierre repujado, con glicerina.</t>
  </si>
  <si>
    <t>PFQ806R1R11</t>
  </si>
  <si>
    <t>Manómetro Winters Serie PFQ Quality, dial 2,5", 0/200 psi &amp; 0/14 bar, 1/4" NPT inferior, caja Ac. Inox. 304, internos de latón, clase 1,5%, cierre repujado, con glicerina.</t>
  </si>
  <si>
    <t>PFQ806R3R1</t>
  </si>
  <si>
    <t>Manómetro Winters Serie PFQ Quality, dial 2,5", 0/14 Kg/cm2 &amp; 0/200 psi, 1/4" NPT inferior, caja Ac. Inox. 304, internos de latón, clase 1,5%, cierre repujado, con glicerina.</t>
  </si>
  <si>
    <t>PFQ806R3R1-SG-25</t>
  </si>
  <si>
    <t>Manómetro Winters Serie PFQ Quality, dial 2,5", 0/14 Kg/cm2 &amp; 0/200 psi, 1/4" NPT inferior, caja Ac. Inox. 304, internos de latón, clase 1,5%, cierre repujado, con glicerina, con vidrio de seguridad.</t>
  </si>
  <si>
    <t>PFQ806R3R1S</t>
  </si>
  <si>
    <t>Manómetro Winters Serie PFQ Quality, dial 2,5", 0/16 Kg/cm2 &amp; 0/230 psi, 1/4" NPT inferior, caja Ac. Inox. 304, internos de latón, clase 1,5%, cierre repujado, con glicerina.</t>
  </si>
  <si>
    <t>PFQ807R1R11</t>
  </si>
  <si>
    <t>Manómetro Winters Serie PFQ Quality, dial 2,5", 0/300 psi &amp; 0/20 bar, 1/4" NPT inferior, caja Ac. Inox. 304, internos de latón, clase 1,5%, cierre repujado, con glicerina.</t>
  </si>
  <si>
    <t>PFQ807R3R1</t>
  </si>
  <si>
    <t>Manómetro Winters Serie PFQ Quality, dial 2,5", 0/20 Kg/cm2 &amp; 0/300 psi, 1/4" NPT inferior, caja Ac. Inox. 304, internos de latón, clase 1,5%, cierre repujado, con glicerina.</t>
  </si>
  <si>
    <t>PFQ807R3R1-SG-25</t>
  </si>
  <si>
    <t>Manómetro Winters Serie PFQ Quality, dial 2,5", 0/20 Kg/cm2 &amp; 0/300 psi, 1/4" NPT inferior, caja Ac. Inox. 304, internos de latón, clase 1,5%, cierre repujado, con glicerina, con vidrio de seguridad.</t>
  </si>
  <si>
    <t>PFQ807R3R1S</t>
  </si>
  <si>
    <t>Manómetro Winters Serie PFQ Quality, dial 2,5", 0/25 Kg/cm2 &amp; 0/360 psi, 1/4" NPT inferior, caja Ac. Inox. 304, internos de latón, clase 1,5%, cierre repujado, con glicerina.</t>
  </si>
  <si>
    <t>PFQ817R1R11</t>
  </si>
  <si>
    <t>Manómetro Winters Serie PFQ Quality, dial 2,5", 0/400 psi &amp; 0/30 bar, 1/4" NPT inferior, caja Ac. Inox. 304, internos de latón, clase 1,5%, cierre repujado, con glicerina.</t>
  </si>
  <si>
    <t>PFQ808R1R11</t>
  </si>
  <si>
    <t>Manómetro Winters Serie PFQ Quality, dial 2,5", 0/600 psi &amp; 0/40 bar, 1/4" NPT inferior, caja Ac. Inox. 304, internos de latón, clase 1,5%, cierre repujado, con glicerina.</t>
  </si>
  <si>
    <t>PFQ808R3R1</t>
  </si>
  <si>
    <t>Manómetro Winters Serie PFQ Quality, dial 2,5", 0/40 Kg/cm2 &amp; 0/600 psi, 1/4" NPT inferior, caja Ac. Inox. 304, internos de latón, clase 1,5%, cierre repujado, con glicerina.</t>
  </si>
  <si>
    <t>PFQ809R1R11</t>
  </si>
  <si>
    <t>Manómetro Winters Serie PFQ Quality, dial 2,5", 0/1.000 psi &amp; 0/70 bar, 1/4" NPT inferior, caja Ac. Inox. 304, internos de latón, clase 1,5%, cierre repujado, con glicerina.</t>
  </si>
  <si>
    <t>PFQ809R3R1</t>
  </si>
  <si>
    <t>Manómetro Winters Serie PFQ Quality, dial 2,5", 0/70 Kg/cm2 &amp; 0/1.000 psi, 1/4" NPT inferior, caja Ac. Inox. 304, internos de latón, clase 1,5%, cierre repujado, con glicerina.</t>
  </si>
  <si>
    <t>PFQ816R1R11</t>
  </si>
  <si>
    <t>Manómetro Winters Serie PFQ Quality, dial 2,5", 0/1.500 psi &amp; 0/100 bar, 1/4" NPT inferior, caja Ac. Inox. 304, internos de latón, clase 1,5%, cierre repujado, con glicerina.</t>
  </si>
  <si>
    <t>PFQ816R3R1</t>
  </si>
  <si>
    <t>Manómetro Winters Serie PFQ Quality, dial 2,5", 0/100 Kg/cm2 &amp; 0/1.500 psi, 1/4" NPT inferior, caja Ac. Inox. 304, internos de latón, clase 1,5%, cierre repujado, con glicerina.</t>
  </si>
  <si>
    <t>PFQ810R1R11</t>
  </si>
  <si>
    <t>Manómetro Winters Serie PFQ Quality, dial 2,5", 0/2.000 psi &amp; 0/140 bar, 1/4" NPT inferior, caja Ac. Inox. 304, internos de latón, clase 1,5%, cierre repujado, con glicerina.</t>
  </si>
  <si>
    <t xml:space="preserve">PFQ810R3R1 </t>
  </si>
  <si>
    <t>Manómetro Winters Serie PFQ Quality, dial 2,5", 0/140 Kg/cm2 &amp; 0/2.000 psi, 1/4" NPT inferior, caja Ac. Inox. 304, internos de latón, clase 1,5%, cierre repujado, con glicerina.</t>
  </si>
  <si>
    <t>PFQ810R3R1-SG-25</t>
  </si>
  <si>
    <t>Manómetro Winters Serie PFQ Quality, dial 2,5", 0/140 Kg/cm2 &amp; 0/2.000 psi, 1/4" NPT inferior, caja Ac. Inox. 304, internos de latón, clase 1,5%, cierre repujado, con glicerina, con vidrio de seguridad.</t>
  </si>
  <si>
    <t>PFQ811R1R11</t>
  </si>
  <si>
    <t>Manómetro Winters Serie PFQ Quality, dial 2,5", 0/3.000 psi &amp; 0/200 bar, 1/4" NPT inferior, caja Ac. Inox. 304, internos de latón, clase 1,5%, cierre repujado, con glicerina.</t>
  </si>
  <si>
    <t>PFQ811R3R1</t>
  </si>
  <si>
    <t>Manómetro Winters Serie PFQ Quality, dial 2,5", 0/200 Kg/cm2 &amp; 0/3.000 psi, 1/4" NPT inferior, caja Ac. Inox. 304, internos de latón, clase 1,5%, cierre repujado, con glicerina.</t>
  </si>
  <si>
    <t>PFQ811R3R1-SG-25</t>
  </si>
  <si>
    <t>Manómetro Winters Serie PFQ Quality, dial 2,5", 0/200 Kg/cm2 &amp; 0/3.000 psi, 1/4" NPT inferior, caja Ac. Inox. 304, internos de latón, clase 1,5%, cierre repujado, con glicerina, con vidrio de seguridad.</t>
  </si>
  <si>
    <t>PFQ819R1R11</t>
  </si>
  <si>
    <t>Manómetro Winters Serie PFQ Quality, dial 2,5", 0/4.000 psi &amp; 0/275 bar, 1/4" NPT inferior, caja Ac. Inox. 304, internos de latón, clase 1,5%, cierre repujado, con glicerina.</t>
  </si>
  <si>
    <t>PFQ819R3R1-SG-25</t>
  </si>
  <si>
    <t>Manómetro Winters Serie PFQ Quality, dial 2,5", 0/280 Kg/cm2, 1/4" NPT inferior, caja Ac. Inox. 304, internos de latón, clase 1,5%, cierre repujado, con glicerina, con vidrio de seguridad.</t>
  </si>
  <si>
    <t>PFQ812R1R11</t>
  </si>
  <si>
    <t>Manómetro Winters Serie PFQ Quality, dial 2,5", 0/5.000 psi &amp; 0/350 bar, 1/4" NPT inferior, caja Ac. Inox. 304, internos de latón, clase 1,5%, cierre repujado, con glicerina.</t>
  </si>
  <si>
    <t>PFQ812R3R1</t>
  </si>
  <si>
    <t>Manómetro Winters Serie PFQ Quality, dial 2,5", 0/300 Kg/cm2 &amp; 0/4.200 psi, 1/4" NPT inferior, caja Ac. Inox. 304, internos de latón, clase 1,5%, cierre repujado, con glicerina.</t>
  </si>
  <si>
    <t>PFQ814R1R11</t>
  </si>
  <si>
    <t>Manómetro Winters Serie PFQ Quality, dial 2,5", 0/6.000 psi &amp; 0/400 bar, 1/4" NPT inferior, caja Ac. Inox. 304, internos de latón, clase 1,5%, cierre repujado, con glicerina.</t>
  </si>
  <si>
    <t>PFQ814R3R1</t>
  </si>
  <si>
    <t>Manómetro Winters Serie PFQ Quality, dial 2,5", 0/400 Kg/cm2 &amp; 0/5.800 psi, 1/4" NPT inferior, caja Ac. Inox. 304, internos de latón, clase 1,5%, cierre repujado, con glicerina.</t>
  </si>
  <si>
    <t>PFQ814R3R1-SG-25</t>
  </si>
  <si>
    <t>Manómetro Winters Serie PFQ Quality, dial 2,5", 0/400 Kg/cm2 &amp; 0/5.800 psi, 1/4" NPT inferior, caja Ac. Inox. 304, internos de latón, clase 1,5%, cierre repujado, con glicerina, con vidrio de seguridad.</t>
  </si>
  <si>
    <t>PFQ818R1R11</t>
  </si>
  <si>
    <t>Manómetro Winters Serie PFQ Quality, dial 2,5", 0/7.500 psi &amp; 0/500 bar, 1/4" NPT inferior, caja Ac. Inox. 304, internos de latón, clase 1,5%, cierre repujado, con glicerina.</t>
  </si>
  <si>
    <t>PFQ813R1R11</t>
  </si>
  <si>
    <t>Manómetro Winters Serie PFQ Quality, dial 2,5", 0/10.000 psi &amp; 0/700 bar, 1/4" NPT inferior, caja Ac. Inox. 304, internos de latón, clase 1,5%, cierre repujado, con glicerina.</t>
  </si>
  <si>
    <t>PFQ813R3R1</t>
  </si>
  <si>
    <t>Manómetro Winters Serie PFQ Quality, dial 2,5", 0/600 Kg/cm2 &amp; 0/8.700 psi, 1/4" NPT inferior, caja Ac. Inox. 304, internos de latón, clase 1,5%, cierre repujado, con glicerina.</t>
  </si>
  <si>
    <t>PFQ813R3R1S</t>
  </si>
  <si>
    <t>Manómetro Winters Serie PFQ Quality, dial 2,5", 0/1.000 Kg/cm2 &amp; 0/15.000 psi, 1/4" NPT inferior, caja Ac. Inox. 304, internos de latón, clase 1,5%, cierre repujado, con glicerina.</t>
  </si>
  <si>
    <t>PFQ900R6R11</t>
  </si>
  <si>
    <t>Vacuómetro Winters Serie PFQ Quality, dial 2,5", -30"Hg/0 &amp; -1/0 bar, 1/4" NPT posterior, caja Ac. Inox 304, internos latón, clase 1,5%, cierre repujado, con glicerina.</t>
  </si>
  <si>
    <t>PFQ900R7R6</t>
  </si>
  <si>
    <t>Vacuómetro Winters Serie PFQ Quality, dial 2,5", -760 mmHg/0 &amp; -30"Hg/0, 1/4" NPT posterior, caja Ac. Inox 304, internos latón, clase 1,5%, cierre repujado, con glicerina.</t>
  </si>
  <si>
    <t>PFQ900R3</t>
  </si>
  <si>
    <t>Vacuómetro Winters Serie PFQ Quality, dial 2,5", -1/0 Kg/cm2, 1/4" NPT posterior, caja Ac. Inox 304, internos latón, clase 1,5%, cierre repujado, con glicerina.</t>
  </si>
  <si>
    <t>PFQ890R1R11</t>
  </si>
  <si>
    <t>Manovacuómetro Winters Serie PFQ Quality, dial 2,5", -30"Hg/0/15 psi &amp; -1/0/1 bar, 1/4" NPT posterior, caja Ac. Inox. 304, internos de latón, clase 1,5%, cierre repujado, con glicerina.</t>
  </si>
  <si>
    <t>PFQ890R3R1</t>
  </si>
  <si>
    <t>Manovacuómetro Winters Serie PFQ Quality, dial 2,5", -1/0/1 Kg/cm2 &amp; -30"Hg/0/15 psi, 1/4" NPT posterior, caja Ac. Inox. 304, internos de latón, clase 1,5%, cierre repujado, con glicerina.</t>
  </si>
  <si>
    <t>PFQ898R1R11</t>
  </si>
  <si>
    <t>Manovacuómetro Winters Serie PFQ Quality, dial 2,5", -30"Hg/0/30 psi &amp; -1/0/2 bar, 1/4" NPT posterior, caja Ac. Inox. 304, internos de latón, clase 1,5%, cierre repujado, con glicerina.</t>
  </si>
  <si>
    <t>PFQ898R3R1</t>
  </si>
  <si>
    <t>Manovacuómetro Winters Serie PFQ Quality, dial 2,5", -1/0/2 Kg/cm2 &amp; -30"Hg/0/30 psi, 1/4" NPT posterior, caja Ac. Inox. 304, internos de latón, clase 1,5%, cierre repujado, con glicerina.</t>
  </si>
  <si>
    <t>PFQ899R1R11</t>
  </si>
  <si>
    <t>Manovacuómetro Winters Serie PFQ Quality, dial 2,5", -30"Hg/0/60 psi &amp; -1/0/4 bar, 1/4" NPT posterior, caja Ac. Inox. 304, internos de latón, clase 1,5%, cierre repujado, con glicerina.</t>
  </si>
  <si>
    <t>PFQ899R3R1</t>
  </si>
  <si>
    <t>Manovacuómetro Winters Serie PFQ Quality, dial 2,5", -1/0/4 Kg/cm2 &amp; -30"Hg/0/60 psi, 1/4" NPT posterior, caja Ac. Inox. 304, internos de latón, clase 1,5%, cierre repujado, con glicerina.</t>
  </si>
  <si>
    <t>PFQ891R1R11</t>
  </si>
  <si>
    <t>Manovacuómetro Winters Serie PFQ Quality, dial 2,5", -30"Hg/0/100 psi &amp; -1/0/7 bar, 1/4" NPT posterior, caja Ac. Inox. 304, internos de latón, clase 1,5%, cierre repujado, con glicerina.</t>
  </si>
  <si>
    <t>PFQ891R3R1</t>
  </si>
  <si>
    <t>Manovacuómetro Winters Serie PFQ Quality, dial 2,5", -1/0/7 Kg/cm2 &amp; -30"Hg/0/100 psi, 1/4" NPT posterior, caja Ac. Inox. 304, internos de latón, clase 1,5%, cierre repujado, con glicerina.</t>
  </si>
  <si>
    <t>PFQ892R1R11</t>
  </si>
  <si>
    <t>Manovacuómetro Winters Serie PFQ Quality, dial 2,5", -30"Hg/0/100 psi &amp; -1/0/10 bar, 1/4" NPT posterior, caja Ac. Inox. 304, internos de latón, clase 1,5%, cierre repujado, con glicerina.</t>
  </si>
  <si>
    <t>PFQ892R3R1</t>
  </si>
  <si>
    <t>Manovacuómetro Winters Serie PFQ Quality, dial 2,5", -1/0/10 Kg/cm2 &amp; -30"Hg/0/160 psi, 1/4" NPT posterior, caja Ac. Inox. 304, internos de latón, clase 1,5%, cierre repujado, con glicerina.</t>
  </si>
  <si>
    <t>PFQ894R1R11</t>
  </si>
  <si>
    <t>Manovacuómetro Winters Serie PFQ Quality, dial 2,5", -30"Hg/0/300 psi &amp; -1/0/20 bar, 1/4" NPT posterior, caja Ac. Inox. 304, internos de latón, clase 1,5%, cierre repujado, con glicerina.</t>
  </si>
  <si>
    <t>PFQ895R1R11</t>
  </si>
  <si>
    <t>PFQ901R3R1S</t>
  </si>
  <si>
    <t>Manómetro Winters Serie PFQ Quality, dial 2,5", 0/0,6 Kg/cm2 &amp; 0/8 psi, 1/4" NPT posterior, caja Ac. Inox. 304, internos de latón, clase 1,5%, cierre repujado, con glicerina.</t>
  </si>
  <si>
    <t>PFQ901R1R11</t>
  </si>
  <si>
    <t>Manómetro Winters Serie PFQ Quality, dial 2,5", 0/15 psi &amp; 0/1 bar, 1/4" NPT posterior, caja Ac. Inox. 304, internos de latón, clase 1,5%, cierre repujado, con glicerina.</t>
  </si>
  <si>
    <t>PFQ901R3R1</t>
  </si>
  <si>
    <t>Manómetro Winters Serie PFQ Quality, dial 2,5", 0/1 Kg/cm2 &amp; 0/15 psi, 1/4" NPT posterior, caja Ac. Inox. 304, internos de latón, clase 1,5%, cierre repujado, con glicerina.</t>
  </si>
  <si>
    <t>PFQ902R1R11</t>
  </si>
  <si>
    <t>Manómetro Winters Serie PFQ Quality, dial 2,5", 0/30 psi &amp; 0/2 bar, 1/4" NPT posterior, caja Ac. Inox. 304, internos de latón, clase 1,5%, cierre repujado, con glicerina.</t>
  </si>
  <si>
    <t>PFQ902R3R1</t>
  </si>
  <si>
    <t>Manómetro Winters Serie PFQ Quality, dial 2,5", 0/2 Kg/cm2 &amp; 0/30 psi, 1/4" NPT posterior, caja Ac. Inox. 304, internos de latón, clase 1,5%, cierre repujado, con glicerina.</t>
  </si>
  <si>
    <t>PFQ903R1R11</t>
  </si>
  <si>
    <t>Manómetro Winters Serie PFQ Quality, dial 2,5", 0/60 psi &amp; 0/4 bar, 1/4" NPT posterior, caja Ac. Inox. 304, internos de latón, clase 1,5%, cierre repujado, con glicerina.</t>
  </si>
  <si>
    <t>PFQ903R3R1</t>
  </si>
  <si>
    <t>Manómetro Winters Serie PFQ Quality, dial 2,5", 0/4 Kg/cm2 &amp; 0/60 psi, 1/4" NPT posterior, caja Ac. Inox. 304, internos de latón, clase 1,5%, cierre repujado, con glicerina.</t>
  </si>
  <si>
    <t>PFQ904R1R11</t>
  </si>
  <si>
    <t>Manómetro Winters Serie PFQ Quality, dial 2,5", 0/100 psi &amp; 0/7 bar, 1/4" NPT posterior, caja Ac. Inox. 304, internos de latón, clase 1,5%, cierre repujado, con glicerina.</t>
  </si>
  <si>
    <t>PFQ904R3R1</t>
  </si>
  <si>
    <t>Manómetro Winters Serie PFQ Quality, dial 2,5", 0/7 Kg/cm2 &amp; 0/100 psi, 1/4" NPT posterior, caja Ac. Inox. 304, internos de latón, clase 1,5%, cierre repujado, con glicerina.</t>
  </si>
  <si>
    <t>PFQ904R3R1-SG-25</t>
  </si>
  <si>
    <t>Manómetro Winters Serie PFQ Quality, dial 2,5", 0/7 Kg/cm2 &amp; 0/100 psi, 1/4" NPT posterior, caja Ac. Inox. 304, internos de latón, clase 1,5%, cierre repujado, con glicerina, con vidrio de seguridad.</t>
  </si>
  <si>
    <t>PFQ905R1R11</t>
  </si>
  <si>
    <t>Manómetro Winters Serie PFQ Quality, dial 2,5", 0/160 psi &amp; 0/11 bar, 1/4" NPT posterior, caja Ac. Inox. 304, internos de latón, clase 1,5%, cierre repujado, con glicerina.</t>
  </si>
  <si>
    <t>PFQ905R3R1</t>
  </si>
  <si>
    <t>Manómetro Winters Serie PFQ Quality, dial 2,5", 0/10 Kg/cm2 &amp; 0/160 psi, 1/4" NPT posterior, caja Ac. Inox. 304, internos de latón, clase 1,5%, cierre repujado, con glicerina.</t>
  </si>
  <si>
    <t>PFQ906R1R11</t>
  </si>
  <si>
    <t>Manómetro Winters Serie PFQ Quality, dial 2,5", 0/200 psi &amp; 0/14 bar, 1/4" NPT posterior, caja Ac. Inox. 304, internos de latón, clase 1,5%, cierre repujado, con glicerina.</t>
  </si>
  <si>
    <t>PFQ906R3R1-SG-25</t>
  </si>
  <si>
    <t>Manómetro Winters Serie PFQ Quality, dial 2,5", 0/14 Kg/cm2 &amp; 0/200 psi, 1/4" NPT posterior, caja Ac. Inox. 304, internos de latón, clase 1,5%, cierre repujado, con glicerina, con vidrio de seguridad.</t>
  </si>
  <si>
    <t>PFQ907R1R11</t>
  </si>
  <si>
    <t>Manómetro Winters Serie PFQ Quality, dial 2,5", 0/300 psi &amp; 0/20 bar, 1/4" NPT posterior, caja Ac. Inox. 304., internos de latón, clase 1,5%, cierre repujado, con glicerina.</t>
  </si>
  <si>
    <t>PFQ907R3R1</t>
  </si>
  <si>
    <t>Manómetro Winters Serie PFQ Quality, dial 2,5", 0/20 Kg/cm2 &amp; 0/300 psi, 1/4" NPT posterior, caja Ac. Inox. 304., internos de latón, clase 1,5%, cierre repujado, con glicerina.</t>
  </si>
  <si>
    <t>PFQ917R3R1</t>
  </si>
  <si>
    <t>Manómetro Winters Serie PFQ-ZR Quality STABILIZR®, dial 2,5", 0/28 kg/cm2 &amp; 0/400 psi, 1/4" NPT posterior, caja Ac. Inox. 304, internos de latón, clase 1,5%, cierre repujado, con glicerina</t>
  </si>
  <si>
    <t>PFQ917R3R1-SG-25</t>
  </si>
  <si>
    <t>Manómetro Winters Serie PFQ-ZR Quality STABILIZR®, dial 2,5", 0/28 kg/cm2 &amp; 0/400 psi, 1/4" NPT posterior, caja Ac. Inox. 304, internos de latón, clase 1,5%, cierre repujado, con glicerina, con vidrio de seguridad.</t>
  </si>
  <si>
    <t>PFQ917R1R11</t>
  </si>
  <si>
    <t>Manómetro Winters Serie PFQ Quality, dial 2,5", 0/400 psi &amp; 0/30 bar, 1/4" NPT posterior, caja Ac. Inox. 304, internos de latón, clase 1,5%, cierre repujado, con glicerina.</t>
  </si>
  <si>
    <t>PFQ908R1R11</t>
  </si>
  <si>
    <t>Manómetro Winters Serie PFQ Quality, dial 2,5", 0/600 psi &amp; 0/40 bar, 1/4" NPT posterior, caja Ac. Inox. 304, internos de latón, clase 1,5%, cierre repujado, con glicerina.</t>
  </si>
  <si>
    <t>PFQ908R3R1</t>
  </si>
  <si>
    <t>Manómetro Winters Serie PFQ Quality, dial 2,5", 0/40 Kg/cm2 &amp; 0/600 psi, 1/4" NPT posterior, caja Ac. Inox. 304, internos de latón, clase 1,5%, cierre repujado, con glicerina.</t>
  </si>
  <si>
    <t>PFQ908R11R1</t>
  </si>
  <si>
    <t>Manómetro Winters Serie PFQ Quality, dial 2,5", 0/40 bar &amp; 0/600 psi, 1/4" NPT posterior, caja Ac. Inox. 304, internos de latón, clase 1,5%, cierre repujado, con glicerina.</t>
  </si>
  <si>
    <t>PFQ909R1R11</t>
  </si>
  <si>
    <t>Manómetro Winters Serie PFQ Quality, dial 2,5", 0/1.000 psi &amp; 0/70 bar, 1/4" NPT posterior, caja Ac. Inox. 304, internos de latón, clase 1,5%, cierre repujado, con glicerina.</t>
  </si>
  <si>
    <t>PFQ909R3R1</t>
  </si>
  <si>
    <t>Manómetro Winters Serie PFQ Quality, dial 2,5", 0/70 Kg/cm2 &amp; 0/1.000 psi, 1/4" NPT posterior, caja Ac. Inox. 304, internos de latón, clase 1,5%, cierre repujado, con glicerina.</t>
  </si>
  <si>
    <t>PFQ914R1R11</t>
  </si>
  <si>
    <t>Manómetro Winters Serie PFQ Quality, dial 2,5", 0/1.500 psi &amp; 0/100 bar, 1/4" NPT posterior, caja Ac. Inox. 304, internos de latón, clase 1,5%, cierre repujado, con glicerina.</t>
  </si>
  <si>
    <t>PFQ914R3R1</t>
  </si>
  <si>
    <t>Manómetro Winters Serie PFQ Quality, dial 2,5", 0/100 Kg/cm2 &amp; 0/1.500 psi, 1/4" NPT posterior, caja Ac. Inox. 304, internos de latón, clase 1,5%, cierre repujado, con glicerina.</t>
  </si>
  <si>
    <t>PFQ910R1R11</t>
  </si>
  <si>
    <t>Manómetro Winters Serie PFQ Quality, dial 2,5", 0/2.000 psi &amp; 0/140 bar, 1/4" NPT posterior, caja Ac. Inox. 304, internos de latón, clase 1,5%, cierre repujado, con glicerina.</t>
  </si>
  <si>
    <t>PFQ910R3R1</t>
  </si>
  <si>
    <t>Manómetro Winters Serie PFQ Quality, dial 2,5", 0/140 Kg/cm2 &amp; 0/2.000 psi, 1/4" NPT posterior, caja Ac. Inox. 304, internos de latón, clase 1,5%, cierre repujado, con glicerina.</t>
  </si>
  <si>
    <t>PFQ911R1R11</t>
  </si>
  <si>
    <t>Manómetro Winters Serie PFQ Quality, dial 2,5", 0/3.000 psi &amp; 0/200 bar, 1/4" NPT posterior, caja Ac. Inox. 304, internos de latón, clase 1,5%, cierre repujado, con glicerina.</t>
  </si>
  <si>
    <t>PFQ911R3R1</t>
  </si>
  <si>
    <t>Manómetro Winters Serie PFQ Quality, dial 2,5", 0/200 Kg/cm2 &amp; 0/3.000 psi, 1/4" NPT posterior, caja Ac. Inox. 304, internos de latón, clase 1,5%, cierre repujado, con glicerina.</t>
  </si>
  <si>
    <t>PFQ911R3R1-SG-25</t>
  </si>
  <si>
    <t>Manómetro Winters Serie PFQ Quality, dial 2,5", 0/200 Kg/cm2 &amp; 0/3.000 psi, 1/4" NPT posterior, caja Ac. Inox. 304, internos de latón, clase 1,5%, cierre repujado, con glicerina, con vidrio de seguridad.</t>
  </si>
  <si>
    <t>PFQ911R3R1S-SG-25</t>
  </si>
  <si>
    <t>Manómetro Winters Serie PFQ Quality, dial 2,5", 0/210 Kg/cm2 &amp; 0/3.045 psi, 1/4" NPT posterior, caja Ac. Inox. 304, internos de latón, clase 1,5%, cierre repujado, con glicerina, con vidrio de seguridad.</t>
  </si>
  <si>
    <t>PFQ919R11R1S</t>
  </si>
  <si>
    <t>Manómetro Winters Serie PFQ Quality, dial 2,5", 0/3.600 psi &amp; 0/250 bar, 1/4" NPT posterior, caja Ac. Inox. 304, internos de latón, clase 1,5%, cierre repujado, con glicerina.</t>
  </si>
  <si>
    <t>PFQ919R1R11</t>
  </si>
  <si>
    <t>Manómetro Winters Serie PFQ Quality, dial 2,5", 0/4.000 psi &amp; 0/275 bar, 1/4" NPT posterior, caja Ac. Inox. 304, internos de latón, clase 1,5%, cierre repujado, con glicerina.</t>
  </si>
  <si>
    <t>PFQ912R1R11</t>
  </si>
  <si>
    <t>Manómetro Winters Serie PFQ Quality, dial 2,5", 0/5.000 psi &amp; 0/350 bar, 1/4" NPT posterior, caja Ac. Inox. 304, internos de latón, clase 1,5%, cierre repujado, con glicerina.</t>
  </si>
  <si>
    <t>PFQ915R1R11</t>
  </si>
  <si>
    <t>Manómetro Winters Serie PFQ Quality, dial 2,5", 0/6.000 psi &amp; 0/400 bar, 1/4" NPT posterior, caja Ac. Inox. 304, internos de latón, clase 1,5%, cierre repujado, con glicerina.</t>
  </si>
  <si>
    <t>PFQ915R11R1</t>
  </si>
  <si>
    <t>Manómetro Winters Serie PFQ Quality, dial 2,5", 0/400 bar &amp; 0/6.000 psi, 1/4" NPT posterior, caja Ac. Inox. 304, internos de latón, clase 1,5%, cierre repujado, con glicerina.</t>
  </si>
  <si>
    <t>PFQ915R3R1</t>
  </si>
  <si>
    <t>Manómetro Winters Serie PFQ Quality, dial 2,5", 0/400 kg/cm2 &amp; 0/6.000 psi, 1/4" NPT posterior, caja Ac. Inox. 304, internos de latón, clase 1,5%, cierre repujado, con glicerina.</t>
  </si>
  <si>
    <t>PFQ918R1R11</t>
  </si>
  <si>
    <t>Manómetro Winters Serie PFQ Quality, dial 2,5", 0/7.500 psi &amp; 0/500 bar, 1/4" NPT posterior, caja Ac. Inox. 304, internos de latón, clase 1,5%, cierre repujado, con glicerina.</t>
  </si>
  <si>
    <t>PFQ918R3R1</t>
  </si>
  <si>
    <t>Manómetro Winters Serie PFQ Quality, dial 2,5", 0/600 Kg/cm2 &amp; 0/8.700 psi, 1/4" NPT posterior, caja Ac. Inox. 304, internos de latón, clase 1,5%, cierre repujado, con glicerina.</t>
  </si>
  <si>
    <t>PFQ913R1R11</t>
  </si>
  <si>
    <t>Manómetro Winters Serie PFQ Quality, dial 2,5", 0/10.000 psi &amp; 0/700 bar, 1/4" NPT posterior, caja Ac. Inox. 304, internos de latón, clase 1,5%, cierre repujado, con glicerina.</t>
  </si>
  <si>
    <t>PFQ106R6R11</t>
  </si>
  <si>
    <t>Vacuómetro Winters Serie PFQ Quality, dial 2,5", -30"Hg/0 &amp; -1/0 bar, 1/4" NPT inferior, caja Ac. Inox 304, internos Ac. Inox. 316, clase 1,5%, cierre repujado, con glicerina.</t>
  </si>
  <si>
    <t>PFQ107R1R11</t>
  </si>
  <si>
    <t>Manovacuómetro Winters Serie PFQ Quality, dial 2,5", -30"Hg/0/15 psi &amp; -1/0/1 bar, 1/4" NPT inferior, caja Ac. Inox. 304, internos de Ac. Inox. 316, clase 1,5%, cierre repujado, con glicerina.</t>
  </si>
  <si>
    <t>PFQ108R1R11</t>
  </si>
  <si>
    <t>Manovacuómetro Winters Serie PFQ Quality, dial 2,5", -30"Hg/0/30 psi &amp; -1/0/2 bar, 1/4" NPT inferior, caja Ac. Inox. 304, internos de Ac. Inox. 316, clase 1,5%, cierre repujado, con glicerina.</t>
  </si>
  <si>
    <t>PFQ109R1R11</t>
  </si>
  <si>
    <t>Manovacuómetro Winters Serie PFQ Quality, dial 2,5", -30"Hg/0/60 psi &amp; -1/0/4 bar, 1/4" NPT inferior, caja Ac. Inox. 304, internos de Ac. Inox. 316, clase 1,5%, cierre repujado, con glicerina.</t>
  </si>
  <si>
    <t>PFQ110R1R11</t>
  </si>
  <si>
    <t>Manovacuómetro Winters Serie PFQ Quality, dial 2,5", -30"Hg/0/100 psi &amp; -1/0/7 bar, 1/4" NPT inferior, caja Ac. Inox. 304, internos de Ac. Inox. 316, clase 1,5%, cierre repujado, con glicerina.</t>
  </si>
  <si>
    <t>PFQ111R1R11</t>
  </si>
  <si>
    <t>Manovacuómetro Winters Serie PFQ Quality, dial 2,5", -30"Hg/0/100 psi &amp; -1/0/10 bar, 1/4" NPT inferior, caja Ac. Inox. 304, internos de Ac. Inox. 316, clase 1,5%, cierre repujado, con glicerina.</t>
  </si>
  <si>
    <t>PFQ112R1R11</t>
  </si>
  <si>
    <t>Manovacuómetro Winters Serie PFQ Quality, dial 2,5", -30"Hg/0/200 psi &amp; -1/0/14 bar, 1/4" NPT inferior, caja Ac. Inox. 304, internos de Ac. Inox. 316, clase 1,5%, cierre repujado, con glicerina.</t>
  </si>
  <si>
    <t>PFQ113R1R11</t>
  </si>
  <si>
    <t>Manovacuómetro Winters Serie PFQ Quality, dial 2,5", -30"Hg/0/300 psi &amp; -1/0/20 bar, 1/4" NPT inferior, caja Ac. Inox. 304, internos de Ac. Inox. 316, clase 1,5%, cierre repujado, con glicerina.</t>
  </si>
  <si>
    <t>PFQ118R1R11</t>
  </si>
  <si>
    <t>Manómetro Winters Serie PFQ Quality, dial 2,5", 0/15 psi &amp; 0/1 bar, 1/4" NPT inferior, caja Ac. Inox. 304, internos de Ac. Inox. 316, clase 1,5%, cierre repujado, con glicerina.</t>
  </si>
  <si>
    <t>PFQ119R1R11</t>
  </si>
  <si>
    <t>Manómetro Winters Serie PFQ Quality, dial 2,5", 0/30 psi &amp; 0/2 bar, 1/4" NPT inferior, caja Ac. Inox. 304, internos de Ac. Inox. 316, clase 1,5%, cierre repujado, con glicerina.</t>
  </si>
  <si>
    <t>PFQ120R1R11</t>
  </si>
  <si>
    <t>Manómetro Winters Serie PFQ Quality, dial 2,5", 0/60 psi &amp; 0/4 bar, 1/4" NPT inferior, caja Ac. Inox. 304, internos de Ac. Inox. 316, clase 1,5%, cierre repujado, con glicerina.</t>
  </si>
  <si>
    <t>PFQ121R1R11</t>
  </si>
  <si>
    <t>Manómetro Winters Serie PFQ Quality, dial 2,5", 0/100 psi &amp; 0/7 bar, 1/4" NPT inferior, caja Ac. Inox. 304, internos de Ac. Inox. 316, clase 1,5%, cierre repujado, con glicerina.</t>
  </si>
  <si>
    <t>PFQ122R1R11</t>
  </si>
  <si>
    <t>Manómetro Winters Serie PFQ Quality, dial 2,5", 0/160 psi &amp; 0/11 bar, 1/4" NPT inferior, caja Ac. Inox. 304, internos de Ac. Inox. 316, clase 1,5%, cierre repujado, con glicerina.</t>
  </si>
  <si>
    <t>PFQ123R1R11</t>
  </si>
  <si>
    <t>Manómetro Winters Serie PFQ Quality, dial 2,5", 0/200 psi &amp; 0/14 bar, 1/4" NPT inferior, caja Ac. Inox. 304, internos de Ac. Inox. 316, clase 1,5%, cierre repujado, con glicerina.</t>
  </si>
  <si>
    <t>PFQ124R1R11</t>
  </si>
  <si>
    <t>Manómetro Winters Serie PFQ Quality, dial 2,5", 0/300 psi &amp; 0/20 bar, 1/4" NPT inferior, caja Ac. Inox. 304, internos de Ac. Inox. 316, clase 1,5%, cierre repujado, con glicerina.</t>
  </si>
  <si>
    <t>PFQ125R1R11</t>
  </si>
  <si>
    <t>Manómetro Winters Serie PFQ Quality, dial 2,5", 0/400 psi &amp; 0/30 bar, 1/4" NPT inferior, caja Ac. Inox. 304, internos de Ac. Inox. 316, clase 1,5%, cierre repujado, con glicerina.</t>
  </si>
  <si>
    <t>PFQ126R1R11</t>
  </si>
  <si>
    <t>Manómetro Winters Serie PFQ Quality, dial 2,5", 0/600 psi &amp; 0/40 bar, 1/4" NPT inferior, caja Ac. Inox. 304, internos de Ac. Inox. 316, clase 1,5%, cierre repujado, con glicerina.</t>
  </si>
  <si>
    <t>PFQ127R1R11</t>
  </si>
  <si>
    <t>Manómetro Winters Serie PFQ Quality, dial 2,5", 0/1.000 psi &amp; 0/70 bar, 1/4" NPT inferior, caja Ac. Inox. 304, internos de Ac. Inox. 316, clase 1,5%, cierre repujado, con glicerina.</t>
  </si>
  <si>
    <t>PFQ128R1R11</t>
  </si>
  <si>
    <t>Manómetro Winters Serie PFQ Quality, dial 2,5", 0/1.500 psi &amp; 0/100 bar, 1/4" NPT inferior, caja Ac. Inox. 304, internos de Ac. Inox. 316, clase 1,5%, cierre repujado, con glicerina.</t>
  </si>
  <si>
    <t>PFQ129R1R11</t>
  </si>
  <si>
    <t>Manómetro Winters Serie PFQ Quality, dial 2,5", 0/2.000 psi &amp; 0/140 bar, 1/4" NPT inferior, caja Ac. Inox. 304, internos de Ac. Inox. 316, clase 1,5%, cierre repujado, con glicerina.</t>
  </si>
  <si>
    <t>PFQ137R1R11</t>
  </si>
  <si>
    <t>Manómetro Winters Serie PFQ Quality, dial 2,5", 0/3.000 psi &amp; 0/200 bar, 1/4" NPT inferior, caja Ac. Inox. 304, internos de Ac. Inox. 316, clase 1,5%, cierre repujado, con glicerina.</t>
  </si>
  <si>
    <t>PFQ130R1R11</t>
  </si>
  <si>
    <t>Manómetro Winters Serie PFQ Quality, dial 2,5", 0/4.000 psi &amp; 0/275 bar, 1/4" NPT inferior, caja Ac. Inox. 304, internos de Ac. Inox. 316, clase 1,5%, cierre repujado, con glicerina.</t>
  </si>
  <si>
    <t>PFQ138R1R11</t>
  </si>
  <si>
    <t>Manómetro Winters Serie PFQ Quality, dial 2,5", 0/5.000 psi &amp; 0/350 bar, 1/4" NPT inferior, caja Ac. Inox. 304, internos de Ac. Inox. 316, clase 1,5%, cierre repujado, con glicerina.</t>
  </si>
  <si>
    <t>PFQ139R1R11</t>
  </si>
  <si>
    <t>Manómetro Winters Serie PFQ Quality, dial 2,5", 0/6.000 psi &amp; 0/400 bar, 1/4" NPT inferior, caja Ac. Inox. 304, internos de Ac. Inox. 316, clase 1,5%, cierre repujado, con glicerina.</t>
  </si>
  <si>
    <t>PFQ144R1R11</t>
  </si>
  <si>
    <t>Manómetro Winters Serie PFQ Quality, dial 2,5", 0/7.500 psi &amp; 0/500 bar, 1/4" NPT inferior, caja Ac. Inox. 304, internos de Ac. Inox. 316, clase 1,5%, cierre repujado, con glicerina.</t>
  </si>
  <si>
    <t>PFQ145R1R11</t>
  </si>
  <si>
    <t>Manómetro Winters Serie PFQ Quality, dial 2,5", 0/10.000 psi &amp; 0/700 bar, 1/4" NPT inferior, caja Ac. Inox. 304, internos de Ac. Inox. 316, clase 1,5%, cierre repujado, con glicerina.</t>
  </si>
  <si>
    <t>PFQ146R1R11</t>
  </si>
  <si>
    <t>Manómetro Winters Serie PFQ Quality, dial 2,5", 0/15.000 psi &amp; 0/1.000 bar, 1/4" NPT inferior, caja Ac. Inox. 304, internos de Ac. Inox. 316, clase 1,5%, cierre repujado, con glicerina.</t>
  </si>
  <si>
    <t>PFQ147R6R11</t>
  </si>
  <si>
    <t>PFQ148R1R11</t>
  </si>
  <si>
    <t>PFQ149R1R11</t>
  </si>
  <si>
    <t>PFQ151R1R11</t>
  </si>
  <si>
    <t>PFQ156R1R11</t>
  </si>
  <si>
    <t>PFQ157R1R11</t>
  </si>
  <si>
    <t>PFQ158R1R11</t>
  </si>
  <si>
    <t>PFQ159R1R11</t>
  </si>
  <si>
    <t>PFQ162R1R11</t>
  </si>
  <si>
    <t>PFQ163R1R11</t>
  </si>
  <si>
    <t>PFQ164R1R11</t>
  </si>
  <si>
    <t>PFQ169R1R11</t>
  </si>
  <si>
    <t>PFQ170R1R11</t>
  </si>
  <si>
    <t>PFQ171R1R11</t>
  </si>
  <si>
    <t>PFQ175R1R11</t>
  </si>
  <si>
    <t>PFQ177R1R11</t>
  </si>
  <si>
    <t>PFQ178R1R11</t>
  </si>
  <si>
    <t>PFQ179R1R11</t>
  </si>
  <si>
    <t>PFQ180R1R11</t>
  </si>
  <si>
    <t>PFQ181R1R11</t>
  </si>
  <si>
    <t>PFQ182R1R11</t>
  </si>
  <si>
    <t>PFQ183R1R11</t>
  </si>
  <si>
    <t>PFQ184R1R11</t>
  </si>
  <si>
    <t>PFQ186R1R11</t>
  </si>
  <si>
    <t>PFQ190R1R11</t>
  </si>
  <si>
    <t>PFQ191R1R11</t>
  </si>
  <si>
    <t>PFQ700R6R11</t>
  </si>
  <si>
    <t>Vacuómetro Winters Serie PFQ Quality, dial 4", -30"Hg/0 &amp; -1/0 bar, 1/4" NPT inferior, caja Ac. Inox 304, internos latón, clase 1,5%, cierre repujado, con glicerina.</t>
  </si>
  <si>
    <t>PFQ701R1R11</t>
  </si>
  <si>
    <t>Manovacuómetro Winters Serie PFQ Quality, dial 4", -30"Hg/0/15 psi &amp; -1/0/1 bar, 1/4" NPT inferior, caja Ac. Inox. 304, internos de latón, clase 1,5%, cierre repujado, con glicerina.</t>
  </si>
  <si>
    <t>PFQ702R1R11</t>
  </si>
  <si>
    <t>Manovacuómetro Winters Serie PFQ Quality, dial 4", -30"Hg/0/30 psi &amp; -1/0/2 bar, 1/4" NPT inferior, caja Ac. Inox. 304, internos de latón, clase 1,5%, cierre repujado, con glicerina.</t>
  </si>
  <si>
    <t>PFQ703R1R11</t>
  </si>
  <si>
    <t>Manovacuómetro Winters Serie PFQ Quality, dial 4", -30"Hg/0/60 psi &amp; -1/0/4 bar, 1/4" NPT inferior, caja Ac. Inox. 304, internos de latón, clase 1,5%, cierre repujado, con glicerina.</t>
  </si>
  <si>
    <t>PFQ704R1R11</t>
  </si>
  <si>
    <t>Manovacuómetro Winters Serie PFQ Quality, dial 4", -30"Hg/0/100 psi &amp; -1/0/7 bar, 1/4" NPT inferior, caja Ac. Inox. 304, internos de latón, clase 1,5%, cierre repujado, con glicerina.</t>
  </si>
  <si>
    <t>PFQ705R1R11</t>
  </si>
  <si>
    <t>Manovacuómetro Winters Serie PFQ Quality, dial 4", -30"Hg/0/100 psi &amp; -1/0/10 bar, 1/4" NPT inferior, caja Ac. Inox. 304, internos de latón, clase 1,5%, cierre repujado, con glicerina.</t>
  </si>
  <si>
    <t>PFQ706R1R11</t>
  </si>
  <si>
    <t>Manovacuómetro Winters Serie PFQ Quality, dial 4", -30"Hg/0/200 psi &amp; -1/0/14 bar, 1/4" NPT inferior, caja Ac. Inox. 304, internos de latón, clase 1,5%, cierre repujado, con glicerina.</t>
  </si>
  <si>
    <t>PFQ707R1R11</t>
  </si>
  <si>
    <t>Manovacuómetro Winters Serie PFQ Quality, dial 4", -30"Hg/0/300 psi &amp; -1/0/20 bar, 1/4" NPT inferior, caja Ac. Inox. 304, internos de latón, clase 1,5%, cierre repujado, con glicerina.</t>
  </si>
  <si>
    <t>PFQ708R1R11</t>
  </si>
  <si>
    <t>Manómetro Winters Serie PFQ Quality, dial 4", 0/15 psi &amp; 0/1 bar, 1/4" NPT inferior, caja Ac. Inox. 304, internos de latón, clase 1,5%, cierre repujado, con glicerina.</t>
  </si>
  <si>
    <t>PFQ709R1R11</t>
  </si>
  <si>
    <t>Manómetro Winters Serie PFQ Quality, dial 4", 0/30 psi &amp; 0/2 bar, 1/4" NPT inferior, caja Ac. Inox. 304, internos de latón, clase 1,5%, cierre repujado, con glicerina.</t>
  </si>
  <si>
    <t>PFQ710R1R11</t>
  </si>
  <si>
    <t>Manómetro Winters Serie PFQ Quality, dial 4", 0/60 psi &amp; 0/4 bar, 1/4" NPT inferior, caja Ac. Inox. 304, internos de latón, clase 1,5%, cierre repujado, con glicerina.</t>
  </si>
  <si>
    <t>PFQ711R1R11</t>
  </si>
  <si>
    <t>Manómetro Winters Serie PFQ Quality, dial 4", 0/100 psi &amp; 0/7 bar, 1/4" NPT inferior, caja Ac. Inox. 304, internos de latón, clase 1,5%, cierre repujado, con glicerina.</t>
  </si>
  <si>
    <t>PFQ712R1R11</t>
  </si>
  <si>
    <t>Manómetro Winters Serie PFQ Quality, dial 4", 0/160 psi &amp; 0/11 bar, 1/4" NPT inferior, caja Ac. Inox. 304, internos de latón, clase 1,5%, cierre repujado, con glicerina.</t>
  </si>
  <si>
    <t>PFQ713R1R11</t>
  </si>
  <si>
    <t>Manómetro Winters Serie PFQ Quality, dial 4", 0/200 psi &amp; 0/14 bar, 1/4" NPT inferior, caja Ac. Inox. 304, internos de latón, clase 1,5%, cierre repujado, con glicerina.</t>
  </si>
  <si>
    <t>PFQ714R1R11</t>
  </si>
  <si>
    <t>Manómetro Winters Serie PFQ Quality, dial 4", 0/300 psi &amp; 0/20 bar, 1/4" NPT inferior, caja Ac. Inox. 304, internos de latón, clase 1,5%, cierre repujado, con glicerina.</t>
  </si>
  <si>
    <t>PFQ715R1R11</t>
  </si>
  <si>
    <t>Manómetro Winters Serie PFQ Quality, dial 4", 0/400 psi &amp; 0/30 bar, 1/4" NPT inferior, caja Ac. Inox. 304, internos de latón, clase 1,5%, cierre repujado, con glicerina.</t>
  </si>
  <si>
    <t>PFQ716R1R11</t>
  </si>
  <si>
    <t>Manómetro Winters Serie PFQ Quality, dial 4", 0/600 psi &amp; 0/40 bar, 1/4" NPT inferior, caja Ac. Inox. 304, internos de latón, clase 1,5%, cierre repujado, con glicerina.</t>
  </si>
  <si>
    <t>PFQ724R1R11</t>
  </si>
  <si>
    <t>Manómetro Winters Serie PFQ Quality, dial 4", 0/1.000 psi &amp; 0/70 bar, 1/4" NPT inferior, caja Ac. Inox. 304, internos de latón, clase 1,5%, cierre repujado, con glicerina.</t>
  </si>
  <si>
    <t>PFQ725R1R11</t>
  </si>
  <si>
    <t>Manómetro Winters Serie PFQ Quality, dial 4", 0/1.500 psi &amp; 0/100 bar, 1/4" NPT inferior, caja Ac. Inox. 304, internos de latón, clase 1,5%, cierre repujado, con glicerina.</t>
  </si>
  <si>
    <t>PFQ726R1R11</t>
  </si>
  <si>
    <t>Manómetro Winters Serie PFQ Quality, dial 4", 0/2.000 psi &amp; 0/140 bar, 1/4" NPT inferior, caja Ac. Inox. 304, internos de latón, clase 1,5%, cierre repujado, con glicerina.</t>
  </si>
  <si>
    <t>PFQ727R1R11</t>
  </si>
  <si>
    <t>Manómetro Winters Serie PFQ Quality, dial 4", 0/3.000 psi &amp; 0/200 bar, 1/4" NPT inferior, caja Ac. Inox. 304, internos de latón, clase 1,5%, cierre repujado, con glicerina.</t>
  </si>
  <si>
    <t>PFQ728R1R11</t>
  </si>
  <si>
    <t>Manómetro Winters Serie PFQ Quality, dial 4", 0/5.000 psi &amp; 0/350 bar, 1/4" NPT inferior, caja Ac. Inox. 304, internos de latón, clase 1,5%, cierre repujado, con glicerina.</t>
  </si>
  <si>
    <t>PFQ346R1R11</t>
  </si>
  <si>
    <t>Manómetro Winters Serie PFQ Quality, dial 4", 0/6.000 psi &amp; 0/400 bar, 1/4" NPT inferior, caja Ac. Inox. 304, internos de latón, clase 1,5%, cierre repujado, con glicerina.</t>
  </si>
  <si>
    <t>PFQ347R1R11</t>
  </si>
  <si>
    <t>Manómetro Winters Serie PFQ Quality, dial 4", 0/7.500 psi &amp; 0/500 bar, 1/4" NPT inferior, caja Ac. Inox. 304, internos de latón, clase 1,5%, cierre repujado, con glicerina.</t>
  </si>
  <si>
    <t>PFQ729R1R11</t>
  </si>
  <si>
    <t>Manómetro Winters Serie PFQ Quality, dial 4", 0/10.000 psi &amp; 0/700 bar, 1/4" NPT inferior, caja Ac. Inox. 304, internos de latón, clase 1,5%, cierre repujado, con glicerina.</t>
  </si>
  <si>
    <t>PFQ261R1R11</t>
  </si>
  <si>
    <t>Manómetro Winters Serie PFQ Quality, dial 4", 0/15.000 psi &amp; 0/1.000 bar, 1/4" NPT inferior, caja Ac. Inox. 304, internos de latón, clase 1,5%, cierre repujado, con glicerina.</t>
  </si>
  <si>
    <t>PFQ730R6R11</t>
  </si>
  <si>
    <t>Vacuómetro Winters Serie PFQ Quality, dial 4", -30/0"Hg &amp; -1/0 bar, 1/4" NPT posterior, caja Ac. Inox 304, internos latón, clase 1,5%, cierre repujado, con glicerina.</t>
  </si>
  <si>
    <t>PFQ731R1R11</t>
  </si>
  <si>
    <t>Manovacuómetro Winters Serie PFQ Quality, dial 4", -30"Hg/0/15 psi &amp; -1/0/1 bar, 1/4" NPT posterior, caja Ac. Inox. 304, internos de latón, clase 1,5%, cierre repujado, con glicerina.</t>
  </si>
  <si>
    <t>PFQ732R1R11</t>
  </si>
  <si>
    <t>Manovacuómetro Winters Serie PFQ Quality, dial 4", -30"Hg/0/30 psi &amp; -1/0/2 bar, 1/4" NPT posterior, caja Ac. Inox. 304, internos de latón, clase 1,5%, cierre repujado, con glicerina.</t>
  </si>
  <si>
    <t>PFQ733R1R11</t>
  </si>
  <si>
    <t>Manovacuómetro Winters Serie PFQ Quality, dial 4", -30"Hg/0/60 psi &amp; -1/0/4 bar, 1/4" NPT posterior, caja Ac. Inox. 304, internos de latón, clase 1,5%, cierre repujado, con glicerina.</t>
  </si>
  <si>
    <t>PFQ734R1R11</t>
  </si>
  <si>
    <t>Manovacuómetro Winters Serie PFQ Quality, dial 4", -30"Hg/0/100 psi &amp; -1/0/7 bar, 1/4" NPT posterior, caja Ac. Inox. 304, internos de latón, clase 1,5%, cierre repujado, con glicerina.</t>
  </si>
  <si>
    <t>PFQ735R1R11</t>
  </si>
  <si>
    <t>Manovacuómetro Winters Serie PFQ Quality, dial 4", -30"Hg/0/100 psi &amp; -1/0/10 bar, 1/4" NPT posterior, caja Ac. Inox. 304, internos de latón, clase 1,5%, cierre repujado, con glicerina.</t>
  </si>
  <si>
    <t>PFQ736R1R11</t>
  </si>
  <si>
    <t>Manovacuómetro Winters Serie PFQ Quality, dial 4", -30"Hg/0/200 psi &amp; -1/0/14 bar, 1/4" NPT posterior, caja Ac. Inox. 304, internos de latón, clase 1,5%, cierre repujado, con glicerina.</t>
  </si>
  <si>
    <t>PFQ737R1R11</t>
  </si>
  <si>
    <t>Manovacuómetro Winters Serie PFQ Quality, dial 4", -30"Hg/0/300 psi &amp; -1/0/20 bar, 1/4" NPT posterior, caja Ac. Inox. 304, internos de latón, clase 1,5%, cierre repujado, con glicerina.</t>
  </si>
  <si>
    <t>PFQ738R1R11</t>
  </si>
  <si>
    <t>Manómetro Winters Serie PFQ Quality, dial 4", 0/15 psi &amp; 0/1 bar, 1/4" NPT posterior, caja Ac. Inox. 304, internos de latón, clase 1,5%, cierre repujado, con glicerina.</t>
  </si>
  <si>
    <t>PFQ739R1R11</t>
  </si>
  <si>
    <t>Manómetro Winters Serie PFQ Quality, dial 4", 0/30 psi &amp; 0/2 bar, 1/4" NPT posterior, caja Ac. Inox. 304, internos de latón, clase 1,5%, cierre repujado, con glicerina.</t>
  </si>
  <si>
    <t>PFQ740R1R11</t>
  </si>
  <si>
    <t>Manómetro Winters Serie PFQ Quality, dial 4", 0/60 psi &amp; 0/4 bar, 1/4" NPT posterior, caja Ac. Inox. 304, internos de latón, clase 1,5%, cierre repujado, con glicerina.</t>
  </si>
  <si>
    <t>PFQ741R1R11</t>
  </si>
  <si>
    <t>Manómetro Winters Serie PFQ Quality, dial 4", 0/100 psi &amp; 0/7 bar, 1/4" NPT posterior, caja Ac. Inox. 304, internos de latón, clase 1,5%, cierre repujado, con glicerina.</t>
  </si>
  <si>
    <t>PFQ742R1R11</t>
  </si>
  <si>
    <t>Manómetro Winters Serie PFQ Quality, dial 4", 0/160 psi &amp; 0/11 bar, 1/4" NPT posterior, caja Ac. Inox. 304, internos de latón, clase 1,5%, cierre repujado, con glicerina.</t>
  </si>
  <si>
    <t>PFQ743R1R11</t>
  </si>
  <si>
    <t>Manómetro Winters Serie PFQ Quality, dial 4", 0/200 psi &amp; 0/14 bar, 1/4" NPT posterior, caja Ac. Inox. 304, internos de latón, clase 1,5%, cierre repujado, con glicerina.</t>
  </si>
  <si>
    <t>PFQ744R1R11</t>
  </si>
  <si>
    <t>Manómetro Winters Serie PFQ Quality, dial 4", 0/300 psi &amp; 0/20 bar, 1/4" NPT posterior, caja Ac. Inox. 304, internos de latón, clase 1,5%, cierre repujado, con glicerina.</t>
  </si>
  <si>
    <t>PFQ745R1R11</t>
  </si>
  <si>
    <t>Manómetro Winters Serie PFQ Quality, dial 4", 0/400 psi &amp; 0/30 bar, 1/4" NPT posterior, caja Ac. Inox. 304, internos de latón, clase 1,5%, cierre repujado, con glicerina.</t>
  </si>
  <si>
    <t>PFQ746R1R11</t>
  </si>
  <si>
    <t>Manómetro Winters Serie PFQ Quality, dial 4", 0/600 psi &amp; 0/40 bar, 1/4" NPT posterior, caja Ac. Inox. 304, internos de latón, clase 1,5%, cierre repujado, con glicerina.</t>
  </si>
  <si>
    <t>PFQ192R1R11</t>
  </si>
  <si>
    <t>Manómetro Winters Serie PFQ Quality, dial 4", 0/1.000 psi &amp; 0/70 bar, 1/4" NPT posterior, caja Ac. Inox. 304, internos de latón, clase 1,5%, cierre repujado, con glicerina.</t>
  </si>
  <si>
    <t>PFQ241R1R11</t>
  </si>
  <si>
    <t>Manómetro Winters Serie PFQ Quality, dial 4", 0/1.500 psi &amp; 0/100 bar, 1/4" NPT posterior, caja Ac. Inox. 304, internos de latón, clase 1,5%, cierre repujado, con glicerina.</t>
  </si>
  <si>
    <t>PFQ242R1R11</t>
  </si>
  <si>
    <t>Manómetro Winters Serie PFQ Quality, dial 4", 0/2.000 psi &amp; 0/140 bar, 1/4" NPT posterior, caja Ac. Inox. 304, internos de latón, clase 1,5%, cierre repujado, con glicerina.</t>
  </si>
  <si>
    <t>PFQ243R1R11</t>
  </si>
  <si>
    <t>Manómetro Winters Serie PFQ Quality, dial 4", 0/3.000 psi &amp; 0/200 bar, 1/4" NPT posterior, caja Ac. Inox. 304, internos de latón, clase 1,5%, cierre repujado, con glicerina.</t>
  </si>
  <si>
    <t>PFQ244R1R11</t>
  </si>
  <si>
    <t>Manómetro Winters Serie PFQ Quality, dial 4", 0/5.000 psi &amp; 0/350 bar, 1/4" NPT posterior, caja Ac. Inox. 304, internos de latón, clase 1,5%, cierre repujado, con glicerina.</t>
  </si>
  <si>
    <t>PFQ246R1R11</t>
  </si>
  <si>
    <t>Manómetro Winters Serie PFQ Quality, dial 4", 0/6.000 psi &amp; 0/400 bar, 1/4" NPT posterior, caja Ac. Inox. 304, internos de latón, clase 1,5%, cierre repujado, con glicerina.</t>
  </si>
  <si>
    <t>PFQ247R1R11</t>
  </si>
  <si>
    <t>Manómetro Winters Serie PFQ Quality, dial 4", 0/7.500 psi &amp; 0/500 bar, 1/4" NPT posterior, caja Ac. Inox. 304, internos de latón, clase 1,5%, cierre repujado, con glicerina.</t>
  </si>
  <si>
    <t>PFQ360R1R11</t>
  </si>
  <si>
    <t>Manómetro Winters Serie PFQ Quality, dial 4", 0/10.000 psi &amp; 0/700 bar, 1/4" NPT posterior, caja Ac. Inox. 304, internos de latón, clase 1,5%, cierre repujado, con glicerina.</t>
  </si>
  <si>
    <t>PFQ361R1R11</t>
  </si>
  <si>
    <t>Manómetro Winters Serie PFQ Quality, dial 4", 0/15.000 psi &amp; 0/1.000 bar, 1/4" NPT posterior, caja Ac. Inox. 304, internos de latón, clase 1,5%, cierre repujado, con glicerina.</t>
  </si>
  <si>
    <t>PFQ1234R6R11</t>
  </si>
  <si>
    <t>Vacuómetro Winters Serie PFQ Quality, dial 4", -30"Hg/0 &amp; -1/0 bar, 1/2" NPT inferior, caja Ac. Inox 304, internos latón, clase 1,5%, cierre repujado, con glicerina.</t>
  </si>
  <si>
    <t>PFQ1234R7R6</t>
  </si>
  <si>
    <t>Vacuómetro Winters Serie PFQ Quality, dial 4", -760 mmHg/0 &amp; -30"Hg/0, 1/2" NPT inferior, caja Ac. Inox 304, internos latón, clase 1,5%, cierre repujado, con glicerina.</t>
  </si>
  <si>
    <t>PFQ1235R1R11</t>
  </si>
  <si>
    <t>Manovacuómetro Winters Serie PFQ Quality, dial 4", -30"Hg/0/15 psi &amp; -1/0/1 bar, 1/2" NPT inferior, caja Ac. Inox. 304, internos de latón, clase 1,5%, cierre repujado, con glicerina.</t>
  </si>
  <si>
    <t>PFQ1235R3R1</t>
  </si>
  <si>
    <t>Manovacuómetro Winters Serie PFQ Quality, dial 4",  -1/0/1 Kg/cm2 &amp; -30"Hg/0/15 psi, 1/2" NPT inferior, caja Ac. Inox. 304, internos de latón, clase 1,5%, cierre repujado, con glicerina.</t>
  </si>
  <si>
    <t>PFQ1236R1R11</t>
  </si>
  <si>
    <t>Manovacuómetro Winters Serie PFQ Quality, dial 4", -30"Hg/0/30 psi &amp; -1/0/2 bar, 1/2" NPT inferior, caja Ac. Inox. 304, internos de latón, clase 1,5%, cierre repujado, con glicerina.</t>
  </si>
  <si>
    <t>PFQ1237R1R11</t>
  </si>
  <si>
    <t>Manovacuómetro Winters Serie PFQ Quality, dial 4", -30"Hg/0/60 psi &amp; -1/0/4 bar, 1/2" NPT inferior, caja Ac. Inox. 304, internos de latón, clase 1,5%, cierre repujado, con glicerina.</t>
  </si>
  <si>
    <t>PFQ1237R3R1</t>
  </si>
  <si>
    <t>Manovacuómetro Winters Serie PFQ Quality, dial 4",-1/0/4 Kg/cm2 &amp; -30"Hg/0/60 psi, 1/2" NPT inferior, caja Ac. Inox. 304, internos de latón, clase 1,5%, cierre repujado, con glicerina.</t>
  </si>
  <si>
    <t>PFQ1238R1R11</t>
  </si>
  <si>
    <t>Manovacuómetro Winters Serie PFQ Quality, dial 4", -30"Hg/0/100 psi &amp; -1/0/7 bar, 1/2" NPT inferior, caja Ac. Inox. 304, internos de latón, clase 1,5%, cierre repujado, con glicerina.</t>
  </si>
  <si>
    <t>PFQ1238R3R1</t>
  </si>
  <si>
    <t>Manovacuómetro Winters Serie PFQ Quality, dial 4", -1/0/7 Kg/cm2 &amp; -30"Hg/0/100 psi, 1/2" NPT inferior, caja Ac. Inox. 304, internos de latón, clase 1,5%, cierre repujado, con glicerina.</t>
  </si>
  <si>
    <t>PFQ1239R1R11</t>
  </si>
  <si>
    <t>Manovacuómetro Winters Serie PFQ Quality, dial 4", -30"Hg/0/100 psi &amp; -1/0/10 bar, 1/2" NPT inferior, caja Ac. Inox. 304, internos de latón, clase 1,5%, cierre repujado, con glicerina.</t>
  </si>
  <si>
    <t>PFQ1239R3R1</t>
  </si>
  <si>
    <t>Manovacuómetro Winters Serie PFQ Quality, dial 4",-1/0/10 Kg/cm2 &amp; -30"Hg/0/160 psi, 1/2" NPT inferior, caja Ac. Inox. 304, internos de latón, clase 1,5%, cierre repujado, con glicerina.</t>
  </si>
  <si>
    <t>PFQ1240R1R11</t>
  </si>
  <si>
    <t>Manovacuómetro Winters Serie PFQ Quality, dial 4", -30"Hg/0/200 psi &amp; -1/0/14 bar, 1/2" NPT inferior, caja Ac. Inox. 304, internos de latón, clase 1,5%, cierre repujado, con glicerina.</t>
  </si>
  <si>
    <t>PFQ1240R3R1</t>
  </si>
  <si>
    <t>Manovacuómetro Winters Serie PFQ Quality, dial 4", -1/0/14 Kg/cm2 &amp; -30"Hg/0/200 psi, 1/2" NPT inferior, caja Ac. Inox. 304, internos de latón, clase 1,5%, cierre repujado, con glicerina.</t>
  </si>
  <si>
    <t>PFQ1242R3R1S</t>
  </si>
  <si>
    <t>Manómetro Winters Serie PFQ Quality, dial 4", 0/0,6 Kg/cm2 &amp; 0/8 psi, 1/2" NPT inferior, caja Ac. Inox. 304, internos de latón, clase 1,5%, cierre repujado, con glicerina.</t>
  </si>
  <si>
    <t>PFQ1242R1R11</t>
  </si>
  <si>
    <t>Manómetro Winters Serie PFQ Quality, dial 4", 0/15 psi &amp; 0/1 bar, 1/2" NPT inferior, caja Ac. Inox. 304, internos de latón, clase 1,5%, cierre repujado, con glicerina.</t>
  </si>
  <si>
    <t>PFQ1242R3R1</t>
  </si>
  <si>
    <t>Manómetro Winters Serie PFQ Quality, dial 4", 0/1 Kg/cm2 &amp; 0/15 psi, 1/2" NPT inferior, caja Ac. Inox. 304, internos de latón, clase 1,5%, cierre repujado, con glicerina.</t>
  </si>
  <si>
    <t>PFQ1243R1R11</t>
  </si>
  <si>
    <t>Manómetro Winters Serie PFQ Quality, dial 4", 0/30 psi &amp; 0/2 bar, 1/2" NPT inferior, caja Ac. Inox. 304, internos de latón, clase 1,5%, cierre repujado, con glicerina.</t>
  </si>
  <si>
    <t>PFQ1243R3R1</t>
  </si>
  <si>
    <t>Manómetro Winters Serie PFQ Quality, dial 4", 0/2 Kg/cm2 &amp; 0/30 psi, 1/2" NPT inferior, caja Ac. Inox. 304, internos de latón, clase 1,5%, cierre repujado, con glicerina.</t>
  </si>
  <si>
    <t>PFQ1244R1R11</t>
  </si>
  <si>
    <t>Manómetro Winters Serie PFQ Quality, dial 4", 0/60 psi &amp; 0/4 bar, 1/2" NPT inferior, caja Ac. Inox. 304, internos de latón, clase 1,5%, cierre repujado, con glicerina.</t>
  </si>
  <si>
    <t>PFQ1244R3R1</t>
  </si>
  <si>
    <t>Manómetro Winters Serie PFQ Quality, dial 4", 0/4 Kg/cm2 &amp; 0/60 psi, 1/2" NPT inferior, caja Ac. Inox. 304, internos de latón, clase 1,5%, cierre repujado, con glicerina.</t>
  </si>
  <si>
    <t>PFQ1245R1R11</t>
  </si>
  <si>
    <t>Manómetro Winters Serie PFQ Quality, dial 4", 0/100 psi &amp; 0/7 bar, 1/2" NPT inferior, caja Ac. Inox. 304, internos de latón, clase 1,5%, cierre repujado, con glicerina.</t>
  </si>
  <si>
    <t>PFQ1245R3R1</t>
  </si>
  <si>
    <t>Manómetro Winters Serie PFQ Quality, dial 4", 0/7 Kg/cm2 &amp; 0/100 psi, 1/2" NPT inferior, caja Ac. Inox. 304, internos de latón, clase 1,5%, cierre repujado, con glicerina.</t>
  </si>
  <si>
    <t>PFQ1246R3R1</t>
  </si>
  <si>
    <t>Manómetro Winters Serie PFQ Quality, dial 4", 0/10 Kg/cm2 &amp; 0/150 psi, 1/2" NPT inferior, caja Ac. Inox. 304, internos de latón, clase 1,5%, cierre repujado, con glicerina.</t>
  </si>
  <si>
    <t>PFQ1246R1R11</t>
  </si>
  <si>
    <t>Manómetro Winters Serie PFQ Quality, dial 4", 0/160 psi &amp; 0/11 bar, 1/2" NPT inferior, caja Ac. Inox. 304, internos de latón, clase 1,5%, cierre repujado, con glicerina.</t>
  </si>
  <si>
    <t>PFQ1247R1R11</t>
  </si>
  <si>
    <t>Manómetro Winters Serie PFQ Quality, dial 4", 0/200 psi &amp; 0/14 bar, 1/2" NPT inferior, caja Ac. Inox. 304, internos de latón, clase 1,5%, cierre repujado, con glicerina.</t>
  </si>
  <si>
    <t>PFQ1247R3R1</t>
  </si>
  <si>
    <t>Manómetro Winters Serie PFQ Quality, dial 4", 0/14 Kg/cm2 &amp; 0/200 psi, 1/2" NPT inferior, caja Ac. Inox. 304, internos de latón, clase 1,5%, cierre repujado, con glicerina.</t>
  </si>
  <si>
    <t>PFQ1248R1R11</t>
  </si>
  <si>
    <t>Manómetro Winters Serie PFQ Quality, dial 4", 0/300 psi &amp; 0/20 bar, 1/2" NPT inferior, caja Ac. Inox. 304, internos de latón, clase 1,5%, cierre repujado, con glicerina.</t>
  </si>
  <si>
    <t>PFQ1248R3R1</t>
  </si>
  <si>
    <t>Manómetro Winters Serie PFQ Quality, dial 4", 0/20 Kg/cm2 &amp; 0/300 psi, 1/2" NPT inferior, caja Ac. Inox. 304, internos de latón, clase 1,5%, cierre repujado, con glicerina.</t>
  </si>
  <si>
    <t>PFQ1249R1R11</t>
  </si>
  <si>
    <t>Manómetro Winters Serie PFQ Quality, dial 4", 0/400 psi &amp; 0/30 bar, 1/2" NPT inferior, caja Ac. Inox. 304, internos de latón, clase 1,5%, cierre repujado, con glicerina.</t>
  </si>
  <si>
    <t>PFQ1249R3R1</t>
  </si>
  <si>
    <t>Manómetro Winters Serie PFQ Quality, dial 4", 0/30 Kg/cm2 &amp; 0/400 psi, 1/2" NPT inferior, caja Ac. Inox. 304, internos de latón, clase 1,5%, cierre repujado, con glicerina.</t>
  </si>
  <si>
    <t>PFQ1250R1R11</t>
  </si>
  <si>
    <t>Manómetro Winters Serie PFQ Quality, dial 4", 0/600 psi &amp; 0/40 bar, 1/2" NPT inferior, caja Ac. Inox. 304, internos de latón, clase 1,5%, cierre repujado, con glicerina.</t>
  </si>
  <si>
    <t>PFQ1250R3R1</t>
  </si>
  <si>
    <t>Manómetro Winters Serie PFQ Quality, dial 4", 0/40 Kg/cm2 &amp; 0/600 psi, 1/2" NPT inferior, caja Ac. Inox. 304, internos de latón, clase 1,5%, cierre repujado, con glicerina.</t>
  </si>
  <si>
    <t>PFQ717R3R1S</t>
  </si>
  <si>
    <t>Manómetro Winters Serie PFQ Quality, dial 4", 0/50 Kg/cm2 &amp; 0/700 psi, 1/2" NPT inferior, caja Ac. Inox. 304, internos de latón, clase 1,5%, cierre repujado, con glicerina.</t>
  </si>
  <si>
    <t>PFQ717R1R11</t>
  </si>
  <si>
    <t>Manómetro Winters Serie PFQ Quality, dial 4", 0/1.000 psi &amp; 0/70 bar, 1/2" NPT inferior, caja Ac. Inox. 304, internos de latón, clase 1,5%, cierre repujado, con glicerina.</t>
  </si>
  <si>
    <t>PFQ718R1R11</t>
  </si>
  <si>
    <t>Manómetro Winters Serie PFQ Quality, dial 4", 0/1.500 psi &amp; 0/100 bar, 1/2" NPT inferior, caja Ac. Inox. 304, internos de latón, clase 1,5%, cierre repujado, con glicerina.</t>
  </si>
  <si>
    <t>PFQ718R3R1</t>
  </si>
  <si>
    <t>Manómetro Winters Serie PFQ Quality, dial 4", 0/100 Kg/cm2 &amp; 0/1.500 psi, 1/2" NPT inferior, caja Ac. Inox. 304, internos de latón, clase 1,5%, cierre repujado, con glicerina.</t>
  </si>
  <si>
    <t>PFQ719R1R11</t>
  </si>
  <si>
    <t>Manómetro Winters Serie PFQ Quality, dial 4", 0/2.000 psi &amp; 0/140 bar, 1/2" NPT inferior, caja Ac. Inox. 304, internos de latón, clase 1,5%, cierre repujado, con glicerina.</t>
  </si>
  <si>
    <t>PFQ719R3R1</t>
  </si>
  <si>
    <t>Manómetro Winters Serie PFQ Quality, dial 4", 0/140 Kg/cm2 &amp; 0/2.000 psi, 1/2" NPT inferior, caja Ac. Inox. 304, internos de latón, clase 1,5%, cierre repujado, con glicerina.</t>
  </si>
  <si>
    <t>PFQ720R1R11</t>
  </si>
  <si>
    <t>Manómetro Winters Serie PFQ Quality, dial 4", 0/3.000 psi &amp; 0/200 bar, 1/2" NPT inferior, caja Ac. Inox. 304, internos de latón, clase 1,5%, cierre repujado, con glicerina.</t>
  </si>
  <si>
    <t>PFQ720R3R1</t>
  </si>
  <si>
    <t>Manómetro Winters Serie PFQ Quality, dial 4", 0/200 Kg/cm2 &amp; 0/3.000 psi, 1/2" NPT inferior, caja Ac. Inox. 304, internos de latón, clase 1,5%, cierre repujado, con glicerina.</t>
  </si>
  <si>
    <t>PFQ721R3R1</t>
  </si>
  <si>
    <t>Manómetro Winters Serie PFQ Quality, dial 4", 0/300 Kg/cm2 &amp; 0/4.000 psi, 1/2" NPT inferior, caja Ac. Inox. 304, internos de latón, clase 1,5%, cierre repujado, con glicerina.</t>
  </si>
  <si>
    <t>PFQ721R1R11</t>
  </si>
  <si>
    <t>Manómetro Winters Serie PFQ Quality, dial 4", 0/5.000 psi &amp; 0/350 bar, 1/2" NPT inferior, caja Ac. Inox. 304, internos de latón, clase 1,5%, cierre repujado, con glicerina.</t>
  </si>
  <si>
    <t>PFQ784R1R11</t>
  </si>
  <si>
    <t>Manómetro Winters Serie PFQ Quality, dial 4", 0/6.000 psi &amp; 0/400 bar, 1/2" NPT inferior, caja Ac. Inox. 304, internos de latón, clase 1,5%, cierre repujado, con glicerina.</t>
  </si>
  <si>
    <t>PFQ784R3R1</t>
  </si>
  <si>
    <t>Manómetro Winters Serie PFQ Quality, dial 4", 0/400 Kg/cm2 &amp; 0/5.500 psi, 1/2" NPT inferior, caja Ac. Inox. 304, internos de latón, clase 1,5%, cierre repujado, con glicerina.</t>
  </si>
  <si>
    <t>PFQ786R1R11</t>
  </si>
  <si>
    <t>Manómetro Winters Serie PFQ Quality, dial 4", 0/7.500 psi &amp; 0/500 bar, 1/2" NPT inferior, caja Ac. Inox. 304, internos de latón, clase 1,5%, cierre repujado, con glicerina.</t>
  </si>
  <si>
    <t>PFQ722R3R1</t>
  </si>
  <si>
    <t>Manómetro Winters Serie PFQ Quality, dial 4", 0/600 Kg/cm2 &amp; 0/8.500 psi, 1/2" NPT inferior, caja Ac. Inox. 304, internos de latón, clase 1,5%, cierre repujado, con glicerina.</t>
  </si>
  <si>
    <t>PFQ722R1R11</t>
  </si>
  <si>
    <t>Manómetro Winters Serie PFQ Quality, dial 4", 0/10.000 psi &amp; 0/700 bar, 1/2" NPT inferior, caja Ac. Inox. 304, internos de latón, clase 1,5%, cierre repujado, con glicerina.</t>
  </si>
  <si>
    <t>PFQ723R1R11</t>
  </si>
  <si>
    <t>Manómetro Winters Serie PFQ Quality, dial 4", 0/15.000 psi &amp; 0/1.000 bar, 1/2" NPT inferior, caja Ac. Inox. 304, internos de latón, clase 1,5%, cierre repujado, con glicerina.</t>
  </si>
  <si>
    <t>PFQ723R3R1</t>
  </si>
  <si>
    <t>Manómetro Winters Serie PFQ Quality, dial 4", 0/1.000 Kg/cm2 &amp; 0/15.000 psi, 1/2" NPT inferior, caja Ac. Inox. 304, internos de latón, clase 1,5%, cierre repujado, con glicerina.</t>
  </si>
  <si>
    <t>PFQ1285R6R11</t>
  </si>
  <si>
    <t>Vacuómetro Winters Serie PFQ Quality, dial 4", -30"Hg/0 &amp; -1/0 bar, 1/2" NPT posterior, caja Ac. Inox 304, internos latón, clase 1,5%, cierre repujado, con glicerina.</t>
  </si>
  <si>
    <t>PFQ1285R7R6</t>
  </si>
  <si>
    <t>Vacuómetro Winters Serie PFQ Quality, dial 4", -760 mmHg/0 &amp; -30/0"Hg, 1/2" NPT posterior, caja Ac. Inox 304, internos latón, clase 1,5%, cierre repujado, con glicerina.</t>
  </si>
  <si>
    <t>PFQ1285R99-BSP</t>
  </si>
  <si>
    <t>Vacuómetro Winters Serie PFQ Quality, dial 4", -76 cmHg/0, 1/2" BSP posterior, caja Ac. Inox 304, internos latón, clase 1,5%, cierre repujado, con glicerina.</t>
  </si>
  <si>
    <t>PFQ1285R3</t>
  </si>
  <si>
    <t>Vacuómetro Winters Serie PFQ Quality, dial 4", -1/0 kg/cm2 &amp; -30"Hg/0 psi, 1/2" NPT posterior, caja Ac. Inox 304, internos latón, clase 1,5%, cierre repujado, con glicerina.</t>
  </si>
  <si>
    <t>PFQ1286R1R11</t>
  </si>
  <si>
    <t>Manovacuómetro Winters Serie PFQ Quality, dial 4", -30"Hg/0/15 psi &amp; -1/0/1 bar, 1/2" NPT posterior, caja Ac. Inox. 304, internos de latón, clase 1,5%, cierre repujado, con glicerina.</t>
  </si>
  <si>
    <t>PFQ1287R1R11</t>
  </si>
  <si>
    <t>Manovacuómetro Winters Serie PFQ Quality, dial 4", -30"Hg/0/30 psi &amp; -1/0/2 bar, 1/2" NPT posterior, caja Ac. Inox. 304, internos de latón, clase 1,5%, cierre repujado, con glicerina.</t>
  </si>
  <si>
    <t>PFQ1287R3R1</t>
  </si>
  <si>
    <t>Manovacuómetro Winters Serie PFQ Quality, dial 4",-1/0/2 Kg/cm2 &amp; -30"Hg/0/30 psi, 1/2" NPT posterior, caja Ac. Inox. 304, internos de latón, clase 1,5%, cierre repujado, con glicerina.</t>
  </si>
  <si>
    <t>PFQ1288R1R11</t>
  </si>
  <si>
    <t>Manovacuómetro Winters Serie PFQ Quality, dial 4", -30"Hg/0/60 psi &amp; -1/0/4 bar, 1/2" NPT posterior, caja Ac. Inox. 304, internos de latón, clase 1,5%, cierre repujado, con glicerina.</t>
  </si>
  <si>
    <t>PFQ1288R3R1</t>
  </si>
  <si>
    <t>Manovacuómetro Winters Serie PFQ Quality, dial 4",-1/0/4 Kg/cm2 &amp; -30"Hg/0/60 psi, 1/2" NPT posterior, caja Ac. Inox. 304, internos de latón, clase 1,5%, cierre repujado, con glicerina.</t>
  </si>
  <si>
    <t>PFQ1289R1R11</t>
  </si>
  <si>
    <t>Manovacuómetro Winters Serie PFQ Quality, dial 4", -30"Hg/0/100 psi &amp; -1/0/7 bar, 1/2" NPT posterior, caja Ac. Inox. 304, internos de latón, clase 1,5%, cierre repujado, con glicerina.</t>
  </si>
  <si>
    <t>PFQ1290R1R11</t>
  </si>
  <si>
    <t>Manovacuómetro Winters Serie PFQ Quality, dial 4", -30"Hg/0/100 psi &amp; -1/0/10 bar, 1/2" NPT posterior, caja Ac. Inox. 304, internos de latón, clase 1,5%, cierre repujado, con glicerina.</t>
  </si>
  <si>
    <t>PFQ1290R3R1</t>
  </si>
  <si>
    <t>Manovacuómetro Winters Serie PFQ Quality, dial 4",-1/0/10 Kg/cm2 &amp; -30"Hg/0/160 psi, 1/2" NPT posterior, caja Ac. Inox. 304, internos de latón, clase 1,5%, cierre repujado, con glicerina.</t>
  </si>
  <si>
    <t>PFQ1291R1R11</t>
  </si>
  <si>
    <t>Manovacuómetro Winters Serie PFQ Quality, dial 4", -30"Hg/0/200 psi &amp; -1/0/14 bar, 1/2" NPT posterior, caja Ac. Inox. 304, internos de latón, clase 1,5%, cierre repujado, con glicerina.</t>
  </si>
  <si>
    <t>PFQ1292R1R11</t>
  </si>
  <si>
    <t>Manovacuómetro Winters Serie PFQ Quality, dial 4", -30"Hg/0/300 psi &amp; -1/0/20 bar, 1/2" NPT posterior, caja Ac. Inox. 304, internos de latón, clase 1,5%, cierre repujado, con glicerina.</t>
  </si>
  <si>
    <t>PFQ1293R3R1S</t>
  </si>
  <si>
    <t>Manómetro Winters Serie PFQ Quality, dial 4", 0/0,6 Kg/cm2 &amp; 0/8 psi, 1/2" NPT posterior, caja Ac. Inox. 304, internos de latón, clase 1,5%, cierre repujado, con glicerina.</t>
  </si>
  <si>
    <t>PFQ1293R1R11</t>
  </si>
  <si>
    <t>Manómetro Winters Serie PFQ Quality, dial 4", 0/15 psi &amp; 0/1 bar, 1/2" NPT posterior, caja Ac. Inox. 304, internos de latón, clase 1,5%, cierre repujado, con glicerina.</t>
  </si>
  <si>
    <t>PFQ1293R3R1</t>
  </si>
  <si>
    <t>Manómetro Winters Serie PFQ Quality, dial 4", 0/1 Kg/cm2 &amp; 0/14 psi, 1/2" NPT posterior, caja Ac. Inox. 304, internos de latón, clase 1,5%, cierre repujado, con glicerina.</t>
  </si>
  <si>
    <t>PFQ1294R1R11</t>
  </si>
  <si>
    <t>Manómetro Winters Serie PFQ Quality, dial 4", 0/30 psi &amp; 0/2 bar, 1/2" NPT posterior, caja Ac. Inox. 304, internos de latón, clase 1,5%, cierre repujado, con glicerina.</t>
  </si>
  <si>
    <t>PFQ1294R3R1</t>
  </si>
  <si>
    <t>Manómetro Winters Serie PFQ Quality, dial 4", 0/2 Kg/cm2 &amp; 0/28 psi, 1/2" NPT posterior, caja Ac. Inox. 304, internos de latón, clase 1,5%, cierre repujado, con glicerina.</t>
  </si>
  <si>
    <t>PFQ1295R1R11</t>
  </si>
  <si>
    <t>Manómetro Winters Serie PFQ Quality, dial 4", 0/60 psi &amp; 0/4 bar, 1/2" NPT posterior, caja Ac. Inox. 304, internos de latón, clase 1,5%, cierre repujado, con glicerina.</t>
  </si>
  <si>
    <t>PFQ1295R3R1</t>
  </si>
  <si>
    <t>Manómetro Winters Serie PFQ Quality, dial 4", 0/4 Kg/cm2 &amp; 0/55 psi, 1/2" NPT posterior, caja Ac. Inox. 304, internos de latón, clase 1,5%, cierre repujado, con glicerina.</t>
  </si>
  <si>
    <t>PFQ1296R1R11</t>
  </si>
  <si>
    <t>Manómetro Winters Serie PFQ Quality, dial 4", 0/100 psi &amp; 0/7 bar, 1/2" NPT posterior, caja Ac. Inox. 304, internos de latón, clase 1,5%, cierre repujado, con glicerina.</t>
  </si>
  <si>
    <t>PFQ1296R3R1</t>
  </si>
  <si>
    <t>Manómetro Winters Serie PFQ Quality, dial 4", 0/7 Kg/cm2 &amp; 0/100 psi, 1/2" NPT posterior, caja Ac. Inox. 304, internos de latón, clase 1,5%, cierre repujado, con glicerina.</t>
  </si>
  <si>
    <t>PFQ1298R3R1</t>
  </si>
  <si>
    <t>Manómetro Winters Serie PFQ Quality, dial 4", 0/10 Kg/cm2 &amp; 0/150 psi, 1/2" NPT posterior, caja Ac. Inox. 304, internos de latón, clase 1,5%, cierre repujado, con glicerina.</t>
  </si>
  <si>
    <t>PFQ1298R1R11</t>
  </si>
  <si>
    <t>Manómetro Winters Serie PFQ Quality, dial 4", 0/160 psi &amp; 0/11 bar, 1/2" NPT posterior, caja Ac. Inox. 304, internos de latón, clase 1,5%, cierre repujado, con glicerina.</t>
  </si>
  <si>
    <t>PFQ1524R1R11</t>
  </si>
  <si>
    <t>Manómetro Winters Serie PFQ Quality, dial 4", 0/200 psi &amp; 0/14 bar, 1/2" NPT posterior, caja Ac. Inox. 304, internos de latón, clase 1,5%, cierre repujado, con glicerina.</t>
  </si>
  <si>
    <t>PFQ1524R3R1</t>
  </si>
  <si>
    <t>Manómetro Winters Serie PFQ Quality, dial 4", 0/14 Kg/cm2 &amp; 0/200 psi, 1/2" NPT posterior, caja Ac. Inox. 304, internos de latón, clase 1,5%, cierre repujado, con glicerina.</t>
  </si>
  <si>
    <t>PFQ1525R1R11</t>
  </si>
  <si>
    <t>Manómetro Winters Serie PFQ Quality, dial 4", 0/300 psi &amp; 0/20 bar, 1/2" NPT posterior, caja Ac. Inox. 304, internos de latón, clase 1,5%, cierre repujado, con glicerina.</t>
  </si>
  <si>
    <t>PFQ1525R3R1</t>
  </si>
  <si>
    <t>Manómetro Winters Serie PFQ Quality, dial 4", 0/20 Kg/cm2 &amp; 0/280 psi, 1/2" NPT posterior, caja Ac. Inox. 304, internos de latón, clase 1,5%, cierre repujado, con glicerina.</t>
  </si>
  <si>
    <t>PFQ1526R1R11</t>
  </si>
  <si>
    <t>Manómetro Winters Serie PFQ Quality, dial 4", 0/400 psi &amp; 0/30 bar, 1/2" NPT posterior, caja Ac. Inox. 304, internos de latón, clase 1,5%, cierre repujado, con glicerina.</t>
  </si>
  <si>
    <t>PFQ1526R3R1</t>
  </si>
  <si>
    <t>Manómetro Winters Serie PFQ Quality, dial 4", 0/30 Kg/cm2 &amp; 0/425 psi, 1/2" NPT posterior, caja Ac. Inox. 304, internos de latón, clase 1,5%, cierre repujado, con glicerina.</t>
  </si>
  <si>
    <t>PFQ1527R1R11</t>
  </si>
  <si>
    <t>Manómetro Winters Serie PFQ Quality, dial 4", 0/600 psi &amp; 0/40 bar, 1/2" NPT posterior, caja Ac. Inox. 304, internos de latón, clase 1,5%, cierre repujado, con glicerina.</t>
  </si>
  <si>
    <t>PFQ1527R3R1</t>
  </si>
  <si>
    <t>Manómetro Winters Serie PFQ Quality, dial 4", 0/40 Kg/cm2 &amp; 0/550 psi, 1/2" NPT posterior, caja Ac. Inox. 304, internos de latón, clase 1,5%, cierre repujado, con glicerina.</t>
  </si>
  <si>
    <t>PFQ747R1R11</t>
  </si>
  <si>
    <t>Manómetro Winters Serie PFQ Quality, dial 4", 0/1.000 psi &amp; 0/70 bar, 1/2" NPT posterior, caja Ac. Inox. 304, internos de latón, clase 1,5%, cierre repujado, con glicerina.</t>
  </si>
  <si>
    <t>PFQ747R3R1</t>
  </si>
  <si>
    <t>Manómetro Winters Serie PFQ Quality, dial 4", 0/70 Kg/cm2 &amp; 0/1.000 psi, 1/2" NPT posterior, caja Ac. Inox. 304, internos de latón, clase 1,5%, cierre repujado, con glicerina.</t>
  </si>
  <si>
    <t>PFQ748R1R11</t>
  </si>
  <si>
    <t>Manómetro Winters Serie PFQ Quality, dial 4", 0/1.500 psi &amp; 0/100 bar, 1/2" NPT posterior, caja Ac. Inox. 304, internos de latón, clase 1,5%, cierre repujado, con glicerina.</t>
  </si>
  <si>
    <t>PFQ749R1R11</t>
  </si>
  <si>
    <t>Manómetro Winters Serie PFQ Quality, dial 4", 0/2.000 psi &amp; 0/140 bar, 1/2" NPT posterior, caja Ac. Inox. 304, internos de latón, clase 1,5%, cierre repujado, con glicerina.</t>
  </si>
  <si>
    <t>PFQ750R1R11</t>
  </si>
  <si>
    <t>Manómetro Winters Serie PFQ Quality, dial 4", 0/3.000 psi &amp; 0/200 bar, 1/2" NPT posterior, caja Ac. Inox. 304, internos de latón, clase 1,5%, cierre repujado, con glicerina.</t>
  </si>
  <si>
    <t>PFQ750R3R1</t>
  </si>
  <si>
    <t>Manómetro Winters Serie PFQ Quality, dial 4", 0/200 Kg/cm2 &amp; 0/2.800 psi, 1/2" NPT posterior, caja Ac. Inox. 304, internos de latón, clase 1,5%, cierre repujado, con glicerina.</t>
  </si>
  <si>
    <t>PFQ751R3R1</t>
  </si>
  <si>
    <t>Manómetro Winters Serie PFQ Quality, dial 4", 0/300 Kg/cm2 &amp; 0/4.500 psi, 1/2" NPT posterior, caja Ac. Inox. 304, internos de latón, clase 1,5%, cierre repujado, con glicerina.</t>
  </si>
  <si>
    <t>PFQ751R1R11</t>
  </si>
  <si>
    <t>Manómetro Winters Serie PFQ Quality, dial 4", 0/5.000 psi &amp; 0/350 bar, 1/2" NPT posterior, caja Ac. Inox. 304, internos de latón, clase 1,5%, cierre repujado, con glicerina.</t>
  </si>
  <si>
    <t>PFQ785R1R11</t>
  </si>
  <si>
    <t>Manómetro Winters Serie PFQ Quality, dial 4", 0/6.000 psi &amp; 0/400 bar, 1/2" NPT posterior, caja Ac. Inox. 304, internos de latón, clase 1,5%, cierre repujado, con glicerina.</t>
  </si>
  <si>
    <t>PFQ785R3R1</t>
  </si>
  <si>
    <t>Manómetro Winters Serie PFQ Quality, dial 4", 0/400 Kg/cm2 &amp; 0/5.800 psi, 1/2" NPT posterior, caja Ac. Inox. 304, internos de latón, clase 1,5%, cierre repujado, con glicerina.</t>
  </si>
  <si>
    <t>PFQ886R1R11</t>
  </si>
  <si>
    <t>Manómetro Winters Serie PFQ Quality, dial 4", 0/7.500 psi &amp; 0/500 bar, 1/2" NPT posterior, caja Ac. Inox. 304, internos de latón, clase 1,5%, cierre repujado, con glicerina.</t>
  </si>
  <si>
    <t>PFQ752R3R1</t>
  </si>
  <si>
    <t>Manómetro Winters Serie PFQ Quality, dial 4", 0/600 Kg/cm2 &amp; 0/8.500 psi, 1/2" NPT posterior, caja Ac. Inox. 304, internos de latón, clase 1,5%, cierre repujado, con glicerina.</t>
  </si>
  <si>
    <t>PFQ752R1R11</t>
  </si>
  <si>
    <t>Manómetro Winters Serie PFQ Quality, dial 4", 0/10.000 psi &amp; 0/700 bar, 1/2" NPT posterior, caja Ac. Inox. 304, internos de latón, clase 1,5%, cierre repujado, con glicerina.</t>
  </si>
  <si>
    <t>PFQ753R1R11</t>
  </si>
  <si>
    <t>Manómetro Winters Serie PFQ Quality, dial 4", 0/15.000 psi &amp; 0/1.000 bar, 1/2" NPT posterior, caja Ac. Inox. 304, internos de latón, clase 1,5%, cierre repujado, con glicerina.</t>
  </si>
  <si>
    <t>PFQ753R3R1</t>
  </si>
  <si>
    <t>Manómetro Winters Serie PFQ Quality, dial 4", 0/1.000 Kg/cm2 &amp; 0/15.000 psi, 1/2" NPT posterior, caja Ac. Inox. 304, internos de latón, clase 1,5%, cierre repujado, con glicerina.</t>
  </si>
  <si>
    <t>PFQ760R6R11</t>
  </si>
  <si>
    <t>Vacuómetro Winters Serie PFQ Quality, dial 4", -30"Hg/0 &amp; -1/0 bar, 1/4" NPT inferior, caja Ac. Inox 304, internos Ac. Inox. 316, clase 1,5%, cierre repujado, con glicerina.</t>
  </si>
  <si>
    <t>PFQ761R1R11</t>
  </si>
  <si>
    <t>Manovacuómetro Winters Serie PFQ Quality, dial 4", -30"Hg/0/15 psi &amp; -1/0/1 bar, 1/4" NPT inferior, caja Ac. Inox. 304, internos de Ac. Inox. 316, clase 1,5%, cierre repujado, con glicerina.</t>
  </si>
  <si>
    <t>PFQ762R1R11</t>
  </si>
  <si>
    <t>Manovacuómetro Winters Serie PFQ Quality, dial 4", -30"Hg/0/30 psi &amp; -1/0/2 bar, 1/4" NPT inferior, caja Ac. Inox. 304, internos de Ac. Inox. 316, clase 1,5%, cierre repujado, con glicerina.</t>
  </si>
  <si>
    <t>PFQ763R1R11</t>
  </si>
  <si>
    <t>Manovacuómetro Winters Serie PFQ Quality, dial 4", -30"Hg/0/60 psi &amp; -1/0/4 bar, 1/4" NPT inferior, caja Ac. Inox. 304, internos de Ac. Inox. 316, clase 1,5%, cierre repujado, con glicerina.</t>
  </si>
  <si>
    <t>PFQ764R1R11</t>
  </si>
  <si>
    <t>Manovacuómetro Winters Serie PFQ Quality, dial 4", -30"Hg/0/100 psi &amp; -1/0/7 bar, 1/4" NPT inferior, caja Ac. Inox. 304, internos de Ac. Inox. 316, clase 1,5%, cierre repujado, con glicerina.</t>
  </si>
  <si>
    <t>PFQ765R1R11</t>
  </si>
  <si>
    <t>Manovacuómetro Winters Serie PFQ Quality, dial 4", -30"Hg/0/100 psi &amp; -1/0/10 bar, 1/4" NPT inferior, caja Ac. Inox. 304, internos de Ac. Inox. 316, clase 1,5%, cierre repujado, con glicerina.</t>
  </si>
  <si>
    <t>PFQ766R1R11</t>
  </si>
  <si>
    <t>Manovacuómetro Winters Serie PFQ Quality, dial 4", -30"Hg/0/200 psi &amp; -1/0/14 bar, 1/4" NPT inferior, caja Ac. Inox. 304, internos de Ac. Inox. 316, clase 1,5%, cierre repujado, con glicerina.</t>
  </si>
  <si>
    <t>PFQ767R1R11</t>
  </si>
  <si>
    <t>Manovacuómetro Winters Serie PFQ Quality, dial 4", -30"Hg/0/300 psi &amp; -1/0/20 bar, 1/4" NPT inferior, caja Ac. Inox. 304, internos de Ac. Inox. 316, clase 1,5%, cierre repujado, con glicerina.</t>
  </si>
  <si>
    <t>PFQ768R1R11</t>
  </si>
  <si>
    <t>Manómetro Winters Serie PFQ Quality, dial 4", 0/15 psi &amp; 0/1 bar, 1/4" NPT inferior, caja Ac. Inox. 304, internos de Ac. Inox. 316, clase 1,5%, cierre repujado, con glicerina.</t>
  </si>
  <si>
    <t>PFQ769R1R11</t>
  </si>
  <si>
    <t>Manómetro Winters Serie PFQ Quality, dial 4", 0/30 psi &amp; 0/2 bar, 1/4" NPT inferior, caja Ac. Inox. 304, internos de Ac. Inox. 316, clase 1,5%, cierre repujado, con glicerina.</t>
  </si>
  <si>
    <t>PFQ770R1R11</t>
  </si>
  <si>
    <t>Manómetro Winters Serie PFQ Quality, dial 4", 0/60 psi &amp; 0/4 bar, 1/4" NPT inferior, caja Ac. Inox. 304, internos de Ac. Inox. 316, clase 1,5%, cierre repujado, con glicerina.</t>
  </si>
  <si>
    <t>PFQ771R1R11</t>
  </si>
  <si>
    <t>Manómetro Winters Serie PFQ Quality, dial 4", 0/100 psi &amp; 0/7 bar, 1/4" NPT inferior, caja Ac. Inox. 304, internos de Ac. Inox. 316, clase 1,5%, cierre repujado, con glicerina.</t>
  </si>
  <si>
    <t>PFQ772R1R11</t>
  </si>
  <si>
    <t>Manómetro Winters Serie PFQ Quality, dial 4", 0/160 psi &amp; 0/11 bar, 1/4" NPT inferior, caja Ac. Inox. 304, internos de Ac. Inox. 316, clase 1,5%, cierre repujado, con glicerina.</t>
  </si>
  <si>
    <t>PFQ773R1R11</t>
  </si>
  <si>
    <t>Manómetro Winters Serie PFQ Quality, dial 4", 0/200 psi &amp; 0/14 bar, 1/4" NPT inferior, caja Ac. Inox. 304, internos de Ac. Inox. 316, clase 1,5%, cierre repujado, con glicerina.</t>
  </si>
  <si>
    <t>PFQ774R1R11</t>
  </si>
  <si>
    <t>Manómetro Winters Serie PFQ Quality, dial 4", 0/300 psi &amp; 0/20 bar, 1/4" NPT inferior, caja Ac. Inox. 304, internos de Ac. Inox. 316, clase 1,5%, cierre repujado, con glicerina.</t>
  </si>
  <si>
    <t>PFQ775R1R11</t>
  </si>
  <si>
    <t>Manómetro Winters Serie PFQ Quality, dial 4", 0/400 psi &amp; 0/30 bar, 1/4" NPT inferior, caja Ac. Inox. 304, internos de Ac. Inox. 316, clase 1,5%, cierre repujado, con glicerina.</t>
  </si>
  <si>
    <t>PFQ776R1R11</t>
  </si>
  <si>
    <t>Manómetro Winters Serie PFQ Quality, dial 4", 0/600 psi &amp; 0/40 bar, 1/4" NPT inferior, caja Ac. Inox. 304, internos de Ac. Inox. 316, clase 1,5%, cierre repujado, con glicerina.</t>
  </si>
  <si>
    <t>PFQ1528R1R11</t>
  </si>
  <si>
    <t>Manómetro Winters Serie PFQ Quality, dial 4", 0/1.000 psi &amp; 0/70 bar, 1/4" NPT inferior, caja Ac. Inox. 304, internos de Ac. Inox. 316, clase 1,5%, cierre repujado, con glicerina.</t>
  </si>
  <si>
    <t>PFQ1529R1R11</t>
  </si>
  <si>
    <t>Manómetro Winters Serie PFQ Quality, dial 4", 0/1.500 psi &amp; 0/100 bar, 1/4" NPT inferior, caja Ac. Inox. 304, internos de Ac. Inox. 316, clase 1,5%, cierre repujado, con glicerina.</t>
  </si>
  <si>
    <t>PFQ1530R1R11</t>
  </si>
  <si>
    <t>Manómetro Winters Serie PFQ Quality, dial 4", 0/2.000 psi &amp; 0/140 bar, 1/4" NPT inferior, caja Ac. Inox. 304, internos de Ac. Inox. 316, clase 1,5%, cierre repujado, con glicerina.</t>
  </si>
  <si>
    <t>PFQ1531R1R11</t>
  </si>
  <si>
    <t>Manómetro Winters Serie PFQ Quality, dial 4", 0/3.000 psi &amp; 0/200 bar, 1/4" NPT inferior, caja Ac. Inox. 304, internos de Ac. Inox. 316, clase 1,5%, cierre repujado, con glicerina.</t>
  </si>
  <si>
    <t>PFQ1532R1R11</t>
  </si>
  <si>
    <t>Manómetro Winters Serie PFQ Quality, dial 4", 0/5.000 psi &amp; 0/350 bar, 1/4" NPT inferior, caja Ac. Inox. 304, internos de Ac. Inox. 316, clase 1,5%, cierre repujado, con glicerina.</t>
  </si>
  <si>
    <t>PFQ1533R1R11</t>
  </si>
  <si>
    <t>Manómetro Winters Serie PFQ Quality, dial 4", 0/10.000 psi &amp; 0/700 bar, 1/4" NPT inferior, caja Ac. Inox. 304, internos de Ac. Inox. 316, clase 1,5%, cierre repujado, con glicerina.</t>
  </si>
  <si>
    <t>PFQ1534R1R11</t>
  </si>
  <si>
    <t>Manómetro Winters Serie PFQ Quality, dial 4", 0/15.000 psi &amp; 0/1.000 bar, 1/4" NPT inferior, caja Ac. Inox. 304, internos de Ac. Inox. 316, clase 1,5%, cierre repujado, con glicerina.</t>
  </si>
  <si>
    <t>PFQ1260R6R11</t>
  </si>
  <si>
    <t>Vacuómetro Winters Serie PFQ Quality, dial 4", -30/0"Hg &amp; -1/0 bar, 1/4" NPT posterior, caja Ac. Inox 304, internos Ac. Inox. 316, clase 1,5%, cierre repujado, con glicerina.</t>
  </si>
  <si>
    <t>PFQ1261R1R11</t>
  </si>
  <si>
    <t>Manovacuómetro Winters Serie PFQ Quality, dial 4", -30"Hg/0/15 psi &amp; -1/0/1 bar, 1/4" NPT posterior, caja Ac. Inox. 304, internos de Ac. Inox. 316, clase 1,5%, cierre repujado, con glicerina.</t>
  </si>
  <si>
    <t>PFQ1262R1R11</t>
  </si>
  <si>
    <t>Manovacuómetro Winters Serie PFQ Quality, dial 4", -30"Hg/0/30 psi &amp; -1/0/2 bar, 1/4" NPT posterior, caja Ac. Inox. 304, internos de Ac. Inox. 316, clase 1,5%, cierre repujado, con glicerina.</t>
  </si>
  <si>
    <t>PFQ1263R1R11</t>
  </si>
  <si>
    <t>Manovacuómetro Winters Serie PFQ Quality, dial 4", -30"Hg/0/60 psi &amp; -1/0/4 bar, 1/4" NPT posterior, caja Ac. Inox. 304, internos de Ac. Inox. 316, clase 1,5%, cierre repujado, con glicerina.</t>
  </si>
  <si>
    <t>PFQ1264R1R11</t>
  </si>
  <si>
    <t>Manovacuómetro Winters Serie PFQ Quality, dial 4", -30"Hg/0/100 psi &amp; -1/0/7 bar, 1/4" NPT posterior, caja Ac. Inox. 304, internos de Ac. Inox. 316, clase 1,5%, cierre repujado, con glicerina.</t>
  </si>
  <si>
    <t>PFQ1265R1R11</t>
  </si>
  <si>
    <t>Manovacuómetro Winters Serie PFQ Quality, dial 4", -30"Hg/0/100 psi &amp; -1/0/10 bar, 1/4" NPT posterior, caja Ac. Inox. 304, internos de Ac. Inox. 316, clase 1,5%, cierre repujado, con glicerina.</t>
  </si>
  <si>
    <t>PFQ1266R1R11</t>
  </si>
  <si>
    <t>Manovacuómetro Winters Serie PFQ Quality, dial 4", -30"Hg/0/200 psi &amp; -1/0/14 bar, 1/4" NPT posterior, caja Ac. Inox. 304, internos de Ac. Inox. 316, clase 1,5%, cierre repujado, con glicerina.</t>
  </si>
  <si>
    <t>PFQ1267R1R11</t>
  </si>
  <si>
    <t>Manovacuómetro Winters Serie PFQ Quality, dial 4", -30"Hg/0/300 psi &amp; -1/0/20 bar, 1/4" NPT posterior, caja Ac. Inox. 304, internos de Ac. Inox. 316, clase 1,5%, cierre repujado, con glicerina.</t>
  </si>
  <si>
    <t>PFQ1268R1R11</t>
  </si>
  <si>
    <t>Manómetro Winters Serie PFQ Quality, dial 4", 0/15 psi &amp; 0/1 bar, 1/4" NPT posterior, caja Ac. Inox. 304, internos de Ac. Inox. 316, clase 1,5%, cierre repujado, con glicerina.</t>
  </si>
  <si>
    <t>PFQ1269R1R11</t>
  </si>
  <si>
    <t>Manómetro Winters Serie PFQ Quality, dial 4", 0/30 psi &amp; 0/2 bar, 1/4" NPT posterior, caja Ac. Inox. 304, internos de Ac. Inox. 316, clase 1,5%, cierre repujado, con glicerina.</t>
  </si>
  <si>
    <t>PFQ1270R1R11</t>
  </si>
  <si>
    <t>Manómetro Winters Serie PFQ Quality, dial 4", 0/60 psi &amp; 0/4 bar, 1/4" NPT posterior, caja Ac. Inox. 304, internos de Ac. Inox. 316, clase 1,5%, cierre repujado, con glicerina.</t>
  </si>
  <si>
    <t>PFQ1271R11S-BSP</t>
  </si>
  <si>
    <t>Manómetro Winters Serie PFQ Quality, dial 4", 0/6 bar, 1/4" BSP posterior, caja Ac. Inox. 304, internos de Ac. Inox. 316, clase 1,5%, cierre repujado, con glicerina.</t>
  </si>
  <si>
    <t>PFQ1271R1R11</t>
  </si>
  <si>
    <t>Manómetro Winters Serie PFQ Quality, dial 4", 0/100 psi &amp; 0/7 bar, 1/4" NPT posterior, caja Ac. Inox. 304, internos de Ac. Inox. 316, clase 1,5%, cierre repujado, con glicerina.</t>
  </si>
  <si>
    <t>PFQ1272R1R11</t>
  </si>
  <si>
    <t>Manómetro Winters Serie PFQ Quality, dial 4", 0/160 psi &amp; 0/11 bar, 1/4" NPT posterior, caja Ac. Inox. 304, internos de Ac. Inox. 316, clase 1,5%, cierre repujado, con glicerina.</t>
  </si>
  <si>
    <t>PFQ1273R1R11</t>
  </si>
  <si>
    <t>Manómetro Winters Serie PFQ Quality, dial 4", 0/200 psi &amp; 0/14 bar, 1/4" NPT posterior, caja Ac. Inox. 304, internos de Ac. Inox. 316, clase 1,5%, cierre repujado, con glicerina.</t>
  </si>
  <si>
    <t>PFQ1274R1R11</t>
  </si>
  <si>
    <t>Manómetro Winters Serie PFQ Quality, dial 4", 0/300 psi &amp; 0/20 bar, 1/4" NPT posterior, caja Ac. Inox. 304, internos de Ac. Inox. 316, clase 1,5%, cierre repujado, con glicerina.</t>
  </si>
  <si>
    <t>PFQ1275R1R11</t>
  </si>
  <si>
    <t>Manómetro Winters Serie PFQ Quality, dial 4", 0/400 psi &amp; 0/30 bar, 1/4" NPT posterior, caja Ac. Inox. 304, internos de Ac. Inox. 316, clase 1,5%, cierre repujado, con glicerina.</t>
  </si>
  <si>
    <t>PFQ1276R1R11</t>
  </si>
  <si>
    <t>Manómetro Winters Serie PFQ Quality, dial 4", 0/600 psi &amp; 0/40 bar, 1/4" NPT posterior, caja Ac. Inox. 304, internos de Ac. Inox. 316, clase 1,5%, cierre repujado, con glicerina.</t>
  </si>
  <si>
    <t>PFQ1552R1R11</t>
  </si>
  <si>
    <t>Manómetro Winters Serie PFQ Quality, dial 4", 0/1.000 psi &amp; 0/70 bar, 1/4" NPT posterior, caja Ac. Inox. 304, internos de Ac. Inox. 316, clase 1,5%, cierre repujado, con glicerina.</t>
  </si>
  <si>
    <t>PFQ1553R1R11</t>
  </si>
  <si>
    <t>Manómetro Winters Serie PFQ Quality, dial 4", 0/1.500 psi &amp; 0/100 bar, 1/4" NPT posterior, caja Ac. Inox. 304, internos de Ac. Inox. 316, clase 1,5%, cierre repujado, con glicerina.</t>
  </si>
  <si>
    <t>PFQ1554R1R11</t>
  </si>
  <si>
    <t>Manómetro Winters Serie PFQ Quality, dial 4", 0/2.000 psi &amp; 0/140 bar, 1/4" NPT posterior, caja Ac. Inox. 304, internos de Ac. Inox. 316, clase 1,5%, cierre repujado, con glicerina.</t>
  </si>
  <si>
    <t>PFQ1555R1R11</t>
  </si>
  <si>
    <t>Manómetro Winters Serie PFQ Quality, dial 4", 0/3.000 psi &amp; 0/200 bar, 1/4" NPT posterior, caja Ac. Inox. 304, internos de Ac. Inox. 316, clase 1,5%, cierre repujado, con glicerina.</t>
  </si>
  <si>
    <t>PFQ1556R1R11</t>
  </si>
  <si>
    <t>Manómetro Winters Serie PFQ Quality, dial 4", 0/5.000 psi &amp; 0/350 bar, 1/4" NPT posterior, caja Ac. Inox. 304, internos de Ac. Inox. 316, clase 1,5%, cierre repujado, con glicerina.</t>
  </si>
  <si>
    <t>PFQ1557R1R11</t>
  </si>
  <si>
    <t>Manómetro Winters Serie PFQ Quality, dial 4", 0/10.000 psi &amp; 0/700 bar, 1/4" NPT posterior, caja Ac. Inox. 304, internos de Ac. Inox. 316, clase 1,5%, cierre repujado, con glicerina.</t>
  </si>
  <si>
    <t>PFQ1558R1R11</t>
  </si>
  <si>
    <t>Manómetro Winters Serie PFQ Quality, dial 4", 0/20.000 psi &amp; 0/1.400 bar, 1/4" NPT posterior, caja Ac. Inox. 304, internos de Ac. Inox. 316, clase 1,5%, cierre repujado, con glicerina.</t>
  </si>
  <si>
    <t>PFQ1535R6R11</t>
  </si>
  <si>
    <t>Vacuómetro Winters Serie PFQ Quality, dial 4", -30/0"Hg &amp; -1/0 bar, 1/2" NPT inferior, caja Ac. Inox 304, internos Ac. Inox. 316, clase 1,5%, cierre repujado, con glicerina.</t>
  </si>
  <si>
    <t>PFQ1535R7R6</t>
  </si>
  <si>
    <t>Vacuómetro Winters Serie PFQ Quality, dial 4", -760 mmHg/0 &amp; -30/0"Hg, 1/2" NPT inferior, caja Ac. Inox 304, internos Ac. Inox. 316, clase 1,5%, cierre repujado, con glicerina.</t>
  </si>
  <si>
    <t>PFQ1535R6R7</t>
  </si>
  <si>
    <t>Vacuómetro Winters Serie PFQ Quality, dial 4", -30"Hg/0 &amp; -760 mmHg/0, 1/2" NPT inferior, caja Ac. Inox 304, internos Ac. Inox. 316, clase 1,5%, cierre repujado, con glicerina.</t>
  </si>
  <si>
    <t>PFQ1535R11-BSP</t>
  </si>
  <si>
    <t>Vacuómetro Winters Serie PFQ Quality, dial 4", -1/0 bar, 1/2" BSP inferior, caja Ac. Inox 304, internos Ac. Inox. 316, clase 1,5%, cierre repujado, con glicerina.</t>
  </si>
  <si>
    <t>PFQ1536R1R11</t>
  </si>
  <si>
    <t>Manovacuómetro Winters Serie PFQ Quality, dial 4", -30"Hg/0/15 psi &amp; -1/0/1 bar, 1/2" NPT inferior, caja Ac. Inox. 304, internos de Ac. Inox. 316, clase 1,5%, cierre repujado, con glicerina.</t>
  </si>
  <si>
    <t>PFQ1537R1R11</t>
  </si>
  <si>
    <t>Manovacuómetro Winters Serie PFQ Quality, dial 4", -30"Hg/0/30 psi &amp; -1/0/2 bar, 1/2" NPT inferior, caja Ac. Inox. 304, internos de Ac. Inox. 316, clase 1,5%, cierre repujado, con glicerina.</t>
  </si>
  <si>
    <t>PFQ1538R1R11</t>
  </si>
  <si>
    <t>Manovacuómetro Winters Serie PFQ Quality, dial 4", -30"Hg/0/60 psi &amp; -1/0/4 bar, 1/2" NPT inferior, caja Ac. Inox. 304, internos de Ac. Inox. 316, clase 1,5%, cierre repujado, con glicerina.</t>
  </si>
  <si>
    <t>PFQ1539R1R11</t>
  </si>
  <si>
    <t>Manovacuómetro Winters Serie PFQ Quality, dial 4", -30"Hg/0/100 psi &amp; -1/0/7 bar, 1/2" NPT inferior, caja Ac. Inox. 304, internos de Ac. Inox. 316, clase 1,5%, cierre repujado, con glicerina.</t>
  </si>
  <si>
    <t>PFQ1540R1R11</t>
  </si>
  <si>
    <t>Manovacuómetro Winters Serie PFQ Quality, dial 4", -30"Hg/0/100 psi &amp; -1/0/10 bar, 1/2" NPT inferior, caja Ac. Inox. 304, internos de Ac. Inox. 316, clase 1,5%, cierre repujado, con glicerina.</t>
  </si>
  <si>
    <t>PFQ1541R1R11</t>
  </si>
  <si>
    <t>Manovacuómetro Winters Serie PFQ Quality, dial 4", -30"Hg/0/200 psi &amp; -1/0/14 bar, 1/2" NPT inferior, caja Ac. Inox. 304, internos de Ac. Inox. 316, clase 1,5%, cierre repujado, con glicerina.</t>
  </si>
  <si>
    <t>PFQ1541R3R1</t>
  </si>
  <si>
    <t>Manovacuómetro Winters Serie PFQ Quality, dial 4", -1/0/14 bar &amp; -10/0/200 psi &amp;, 1/2" NPT inferior, caja Ac. Inox. 304, internos de Ac. Inox. 316, clase 1,5%, cierre repujado, con glicerina.</t>
  </si>
  <si>
    <t>PFQ1542R1R11</t>
  </si>
  <si>
    <t>Manovacuómetro Winters Serie PFQ Quality, dial 4", -30"Hg/0/300 psi &amp; -1/0/20 bar, 1/2" NPT inferior, caja Ac. Inox. 304, internos de Ac. Inox. 316, clase 1,5%, cierre repujado, con glicerina.</t>
  </si>
  <si>
    <t>PFQ1543R1R11</t>
  </si>
  <si>
    <t>Manómetro Winters Serie PFQ Quality, dial 4", 0/15 psi &amp; 0/1 bar, 1/2" NPT inferior, caja Ac. Inox. 304, internos de Ac. Inox. 316, clase 1,5%, cierre repujado, con glicerina.</t>
  </si>
  <si>
    <t>PFQ1543R3R1</t>
  </si>
  <si>
    <t>Manómetro Winters Serie PFQ Quality, dial 4", 0/1 Kg/cm2 &amp; 0/15 psi, 1/2" NPT inferior, caja Ac. Inox. 304, internos de Ac. Inox. 316, clase 1,5%, cierre repujado, con glicerina.</t>
  </si>
  <si>
    <t>PFQ1543R11-BSP</t>
  </si>
  <si>
    <t>Manómetro Winters Serie PFQ Quality, dial 4", 0/1 bar, 1/2" BSP inferior, caja Ac. Inox. 304, internos de Ac. Inox. 316, clase 1,5%, cierre repujado, con glicerina.</t>
  </si>
  <si>
    <t>PFQ1544R1R11</t>
  </si>
  <si>
    <t>Manómetro Winters Serie PFQ Quality, dial 4", 0/30 psi &amp; 0/2 bar, 1/2" NPT inferior, caja Ac. Inox. 304, internos de Ac. Inox. 316, clase 1,5%, cierre repujado, con glicerina.</t>
  </si>
  <si>
    <t>PFQ1544R3R1</t>
  </si>
  <si>
    <t>Manómetro Winters Serie PFQ Quality, dial 4", 0/2 Kg/cm2 &amp; 0/30 psi, 1/2" NPT inferior, caja Ac. Inox. 304, internos de Ac. Inox. 316, clase 1,5%, cierre repujado, con glicerina.</t>
  </si>
  <si>
    <t>PFQ1545R1R11</t>
  </si>
  <si>
    <t>Manómetro Winters Serie PFQ Quality, dial 4", 0/60 psi &amp; 0/4 bar, 1/2" NPT inferior, caja Ac. Inox. 304, internos de Ac. Inox. 316, clase 1,5%, cierre repujado, con glicerina.</t>
  </si>
  <si>
    <t>PFQ1545R3R1</t>
  </si>
  <si>
    <t>Manómetro Winters Serie PFQ Quality, dial 4", 0/4 Kg/cm2 &amp; 0/60 psi, 1/2" NPT inferior, caja Ac. Inox. 304, internos de Ac. Inox. 316, clase 1,5%, cierre repujado, con glicerina.</t>
  </si>
  <si>
    <t>PFQ1546R1R11</t>
  </si>
  <si>
    <t>Manómetro Winters Serie PFQ Quality, dial 4", 0/100 psi &amp; 0/7 bar, 1/2" NPT inferior, caja Ac. Inox. 304, internos de Ac. Inox. 316, clase 1,5%, cierre repujado, con glicerina.</t>
  </si>
  <si>
    <t>PFQ1546R3R1</t>
  </si>
  <si>
    <t>Manómetro Winters Serie PFQ Quality, dial 4", 0/7 Kg/cm2 &amp; 0/100 psi, 1/2" NPT inferior, caja Ac. Inox. 304, internos de Ac. Inox. 316, clase 1,5%, cierre repujado, con glicerina.</t>
  </si>
  <si>
    <t>PFQ1547R3R1</t>
  </si>
  <si>
    <t>Manómetro Winters Serie PFQ Quality, dial 4", 0/10 Kg/cm2 &amp; 0/150 psi, 1/2" NPT inferior, caja Ac. Inox. 304, internos de Ac. Inox. 316, clase 1,5%, cierre repujado, con glicerina.</t>
  </si>
  <si>
    <t>PFQ1547R1R11</t>
  </si>
  <si>
    <t>Manómetro Winters Serie PFQ Quality, dial 4", 0/160 psi &amp; 0/11 bar, 1/2" NPT inferior, caja Ac. Inox. 304, internos de Ac. Inox. 316, clase 1,5%, cierre repujado, con glicerina.</t>
  </si>
  <si>
    <t>PFQ1548R1R11</t>
  </si>
  <si>
    <t>Manómetro Winters Serie PFQ Quality, dial 4", 0/200 psi &amp; 0/14 bar, 1/2" NPT inferior, caja Ac. Inox. 304, internos de Ac. Inox. 316, clase 1,5%, cierre repujado, con glicerina.</t>
  </si>
  <si>
    <t>PFQ1548R3R1</t>
  </si>
  <si>
    <t>Manómetro Winters Serie PFQ Quality, dial 4", 0/14 Kg/cm2 &amp; 0/200 psi, 1/2" NPT inferior, caja Ac. Inox. 304, internos de Ac. Inox. 316, clase 1,5%, cierre repujado, con glicerina.</t>
  </si>
  <si>
    <t>PFQ1549R1R11</t>
  </si>
  <si>
    <t>Manómetro Winters Serie PFQ Quality, dial 4", 0/300 psi &amp; 0/20 bar, 1/2" NPT inferior, caja Ac. Inox. 304, internos de Ac. Inox. 316, clase 1,5%, cierre repujado, con glicerina.</t>
  </si>
  <si>
    <t>PFQ1549R3R1</t>
  </si>
  <si>
    <t>Manómetro Winters Serie PFQ Quality, dial 4", 0/20 Kg/cm2 &amp; 0/300 psi, 1/2" NPT inferior, caja Ac. Inox. 304, internos de Ac. Inox. 316, clase 1,5%, cierre repujado, con glicerina.</t>
  </si>
  <si>
    <t>PFQ1550R1R11</t>
  </si>
  <si>
    <t>Manómetro Winters Serie PFQ Quality, dial 4", 0/400 psi &amp; 0/30 bar, 1/2" NPT inferior, caja Ac. Inox. 304, internos de Ac. Inox. 316, clase 1,5%, cierre repujado, con glicerina.</t>
  </si>
  <si>
    <t>PFQ1550R3R1</t>
  </si>
  <si>
    <t>Manómetro Winters Serie PFQ Quality, dial 4", 0/30 kg/cm2 &amp; 0/400 psi, 1/2" NPT inferior, caja Ac. Inox. 304, internos de Ac. Inox. 316, clase 1,5%, cierre repujado, con glicerina.</t>
  </si>
  <si>
    <t>PFQ1551R1R11</t>
  </si>
  <si>
    <t>Manómetro Winters Serie PFQ Quality, dial 4", 0/600 psi &amp; 0/40 bar, 1/2" NPT inferior, caja Ac. Inox. 304, internos de Ac. Inox. 316, clase 1,5%, cierre repujado, con glicerina.</t>
  </si>
  <si>
    <t>PFQ1551R3R1</t>
  </si>
  <si>
    <t>Manómetro Winters Serie PFQ Quality, dial 4", 0/40 Kg/cm2 &amp; 0/600 psi, 1/2" NPT inferior, caja Ac. Inox. 304, internos de Ac. Inox. 316, clase 1,5%, cierre repujado, con glicerina.</t>
  </si>
  <si>
    <t>PFQ777R3R1S</t>
  </si>
  <si>
    <t>Manómetro Winters Serie PFQ Quality, dial 4", 0/50 Kg/cm2 &amp; 0/725 psi, 1/2" NPT inferior, caja Ac. Inox. 304, internos de Ac. Inox. 316, clase 1,5%, cierre repujado, con glicerina.</t>
  </si>
  <si>
    <t>PFQ777R1R11</t>
  </si>
  <si>
    <t>Manómetro Winters Serie PFQ Quality, dial 4", 0/1.000 psi &amp; 0/70 bar, 1/2" NPT inferior, caja Ac. Inox. 304, internos de Ac. Inox. 316, clase 1,5%, cierre repujado, con glicerina.</t>
  </si>
  <si>
    <t>PFQ777R3R1</t>
  </si>
  <si>
    <t>Manómetro Winters Serie PFQ Quality, dial 4", 0/70 Kg/cm2 &amp; 0/1.000 psi, 1/2" NPT inferior, caja Ac. Inox. 304, internos de Ac. Inox. 316, clase 1,5%, cierre repujado, con glicerina.</t>
  </si>
  <si>
    <t>PFQ778R1R11</t>
  </si>
  <si>
    <t>Manómetro Winters Serie PFQ Quality, dial 4", 0/1.500 psi &amp; 0/100 bar, 1/2" NPT inferior, caja Ac. Inox. 304, internos de Ac. Inox. 316, clase 1,5%, cierre repujado, con glicerina.</t>
  </si>
  <si>
    <t>PFQ778R3R1</t>
  </si>
  <si>
    <t>Manómetro Winters Serie PFQ Quality, dial 4", 0/100 Kg/cm2 &amp; 0/1.500 psi, 1/2" NPT inferior, caja Ac. Inox. 304, internos de Ac. Inox. 316, clase 1,5%, cierre repujado, con glicerina.</t>
  </si>
  <si>
    <t>PFQ779R1R11</t>
  </si>
  <si>
    <t>Manómetro Winters Serie PFQ Quality, dial 4", 0/2.000 psi &amp; 0/140 bar, 1/2" NPT inferior, caja Ac. Inox. 304, internos de Ac. Inox. 316, clase 1,5%, cierre repujado, con glicerina.</t>
  </si>
  <si>
    <t>PFQ779R3R1</t>
  </si>
  <si>
    <t>Manómetro Winters Serie PFQ Quality, dial 4", 0/140 Kg/cm2 &amp; 0/2.000 psi, 1/2" NPT inferior, caja Ac. Inox. 304, internos de Ac. Inox. 316, clase 1,5%, cierre repujado, con glicerina.</t>
  </si>
  <si>
    <t>PFQ780R1R11</t>
  </si>
  <si>
    <t>Manómetro Winters Serie PFQ Quality, dial 4", 0/3.000 psi &amp; 0/200 bar, 1/2" NPT inferior, caja Ac. Inox. 304, internos de Ac. Inox. 316, clase 1,5%, cierre repujado, con glicerina.</t>
  </si>
  <si>
    <t>PFQ781R1R11</t>
  </si>
  <si>
    <t>Manómetro Winters Serie PFQ Quality, dial 4", 0/5.000 psi &amp; 0/350 bar, 1/2" NPT inferior, caja Ac. Inox. 304, internos de Ac. Inox. 316, clase 1,5%, cierre repujado, con glicerina.</t>
  </si>
  <si>
    <t>PFQ789R1R11</t>
  </si>
  <si>
    <t>Manómetro Winters Serie PFQ Quality, dial 4", 0/6.000 psi &amp; 0/400 bar, 1/2" NPT inferior, caja Ac. Inox. 304, internos de Ac. Inox. 316, clase 1,5%, cierre repujado, con glicerina.</t>
  </si>
  <si>
    <t>PFQ789R3R1</t>
  </si>
  <si>
    <t>Manómetro Winters Serie PFQ Quality, dial 4", 0/400 Kg/cm2 &amp; 0/5.800 psi, 1/2" NPT inferior, caja Ac. Inox. 304, internos de Ac. Inox. 316, clase 1,5%, cierre repujado, con glicerina.</t>
  </si>
  <si>
    <t>PFQ782R1R11</t>
  </si>
  <si>
    <t>Manómetro Winters Serie PFQ Quality, dial 4", 0/10.000 psi &amp; 0/700 bar, 1/2" NPT inferior, caja Ac. Inox. 304, internos de Ac. Inox. 316, clase 1,5%, cierre repujado, con glicerina.</t>
  </si>
  <si>
    <t>PFQ782R3R1</t>
  </si>
  <si>
    <t>Manómetro Winters Serie PFQ Quality, dial 4", 0/600 Kg/cm2 &amp; 0/8.700 psi, 1/2" NPT inferior, caja Ac. Inox. 304, internos de Ac. Inox. 316, clase 1,5%, cierre repujado, con glicerina.</t>
  </si>
  <si>
    <t>PFQ782R11R1</t>
  </si>
  <si>
    <t>Manómetro Winters Serie PFQ Quality, dial 4", 0/700 bar &amp; 0/10.000 psi,, 1/2" NPT inferior, caja Ac. Inox. 304, internos de Ac. Inox. 316, clase 1,5%, cierre repujado, con glicerina.</t>
  </si>
  <si>
    <t>PFQ783R1R11</t>
  </si>
  <si>
    <t>Manómetro Winters Serie PFQ Quality, dial 4", 0/15.000 psi &amp; 0/1.000 bar, 1/2" NPT inferior, caja Ac. Inox. 304, internos de Ac. Inox. 316, clase 1,5%, cierre repujado, con glicerina.</t>
  </si>
  <si>
    <t>PFQ783R11R1</t>
  </si>
  <si>
    <t>Manómetro Winters Serie PFQ Quality, dial 4", 0/1.000 bar &amp; 0/15.000 psi,, 1/2" NPT inferior, caja Ac. Inox. 304, internos de Ac. Inox. 316, clase 1,5%, cierre repujado, con glicerina.</t>
  </si>
  <si>
    <t>PFQ1559R6R11</t>
  </si>
  <si>
    <t>Vacuómetro Winters Serie PFQ Quality, dial 4", -30/0"Hg &amp; -1/0 bar, 1/2" NPT posterior, caja Ac. Inox 304, internos Ac. Inox. 316, clase 1,5%, cierre repujado, con glicerina.</t>
  </si>
  <si>
    <t>PFQ1560R1R11</t>
  </si>
  <si>
    <t>Manovacuómetro Winters Serie PFQ Quality, dial 4", -30"Hg/0/15 psi &amp; -1/0/1 bar, 1/2" NPT posterior, caja Ac. Inox. 304, internos de Ac. Inox. 316, clase 1,5%, cierre repujado, con glicerina.</t>
  </si>
  <si>
    <t>PFQ1561R1R11</t>
  </si>
  <si>
    <t>Manovacuómetro Winters Serie PFQ Quality, dial 4", -30"Hg/0/30 psi &amp; -1/0/2 bar, 1/2" NPT posterior, caja Ac. Inox. 304, internos de Ac. Inox. 316, clase 1,5%, cierre repujado, con glicerina.</t>
  </si>
  <si>
    <t>PFQ1562R1R11</t>
  </si>
  <si>
    <t>Manovacuómetro Winters Serie PFQ Quality, dial 4", -30"Hg/0/60 psi &amp; -1/0/4 bar, 1/2" NPT posterior, caja Ac. Inox. 304, internos de Ac. Inox. 316, clase 1,5%, cierre repujado, con glicerina.</t>
  </si>
  <si>
    <t>PFQ1563R1R11</t>
  </si>
  <si>
    <t>Manovacuómetro Winters Serie PFQ Quality, dial 4", -30"Hg/0/100 psi &amp; -1/0/7 bar, 1/2" NPT posterior, caja Ac. Inox. 304, internos de Ac. Inox. 316, clase 1,5%, cierre repujado, con glicerina.</t>
  </si>
  <si>
    <t>PFQ1564R1R11</t>
  </si>
  <si>
    <t>Manovacuómetro Winters Serie PFQ Quality, dial 4", -30"Hg/0/100 psi &amp; -1/0/10 bar, 1/2" NPT posterior, caja Ac. Inox. 304, internos de Ac. Inox. 316, clase 1,5%, cierre repujado, con glicerina.</t>
  </si>
  <si>
    <t>PFQ1565R1R11</t>
  </si>
  <si>
    <t>Manovacuómetro Winters Serie PFQ Quality, dial 4", -30"Hg/0/200 psi &amp; -1/0/14 bar, 1/2" NPT posterior, caja Ac. Inox. 304, internos de Ac. Inox. 316, clase 1,5%, cierre repujado, con glicerina.</t>
  </si>
  <si>
    <t>PFQ1566R1R11</t>
  </si>
  <si>
    <t>Manovacuómetro Winters Serie PFQ Quality, dial 4", -30"Hg/0/300 psi &amp; -1/0/20 bar, 1/2" NPT posterior, caja Ac. Inox. 304, internos de Ac. Inox. 316, clase 1,5%, cierre repujado, con glicerina.</t>
  </si>
  <si>
    <t>PFQ1567R1R11</t>
  </si>
  <si>
    <t>Manómetro Winters Serie PFQ Quality, dial 4", 0/15 psi &amp; 0/1 bar, 1/2" NPT posterior, caja Ac. Inox. 304, internos de Ac. Inox. 316, clase 1,5%, cierre repujado, con glicerina.</t>
  </si>
  <si>
    <t>PFQ1568R1R11</t>
  </si>
  <si>
    <t>Manómetro Winters Serie PFQ Quality, dial 4", 0/30 psi &amp; 0/2 bar, 1/2" NPT posterior, caja Ac. Inox. 304, internos de Ac. Inox. 316, clase 1,5%, cierre repujado, con glicerina.</t>
  </si>
  <si>
    <t>PFQ1569R1R11</t>
  </si>
  <si>
    <t>Manómetro Winters Serie PFQ Quality, dial 4", 0/60 psi &amp; 0/4 bar, 1/2" NPT posterior, caja Ac. Inox. 304, internos de Ac. Inox. 316, clase 1,5%, cierre repujado, con glicerina.</t>
  </si>
  <si>
    <t>PFQ1570R1R11</t>
  </si>
  <si>
    <t>Manómetro Winters Serie PFQ Quality, dial 4", 0/100 psi &amp; 0/7 bar, 1/2" NPT posterior, caja Ac. Inox. 304, internos de Ac. Inox. 316, clase 1,5%, cierre repujado, con glicerina.</t>
  </si>
  <si>
    <t>PFQ1571R1R11</t>
  </si>
  <si>
    <t>Manómetro Winters Serie PFQ Quality, dial 4", 0/160 psi &amp; 0/11 bar, 1/2" NPT posterior, caja Ac. Inox. 304, internos de Ac. Inox. 316, clase 1,5%, cierre repujado, con glicerina.</t>
  </si>
  <si>
    <t>PFQ1572R1R11</t>
  </si>
  <si>
    <t>Manómetro Winters Serie PFQ Quality, dial 4", 0/200 psi &amp; 0/14 bar, 1/2" NPT posterior, caja Ac. Inox. 304, internos de Ac. Inox. 316, clase 1,5%, cierre repujado, con glicerina.</t>
  </si>
  <si>
    <t>PFQ1573R1R11</t>
  </si>
  <si>
    <t>Manómetro Winters Serie PFQ Quality, dial 4", 0/300 psi &amp; 0/20 bar, 1/2" NPT posterior, caja Ac. Inox. 304, internos de Ac. Inox. 316, clase 1,5%, cierre repujado, con glicerina.</t>
  </si>
  <si>
    <t>PFQ1574R1R11</t>
  </si>
  <si>
    <t>Manómetro Winters Serie PFQ Quality, dial 4", 0/400 psi &amp; 0/30 bar, 1/2" NPT posterior, caja Ac. Inox. 304, internos de Ac. Inox. 316, clase 1,5%, cierre repujado, con glicerina.</t>
  </si>
  <si>
    <t>PFQ1575R1R11</t>
  </si>
  <si>
    <t>Manómetro Winters Serie PFQ Quality, dial 4", 0/600 psi &amp; 0/40 bar, 1/2" NPT posterior, caja Ac. Inox. 304, internos de Ac. Inox. 316, clase 1,5%, cierre repujado, con glicerina.</t>
  </si>
  <si>
    <t>PFQ1277R1R11</t>
  </si>
  <si>
    <t>Manómetro Winters Serie PFQ Quality, dial 4", 0/1.000 psi &amp; 0/70 bar, 1/2" NPT posterior, caja Ac. Inox. 304, internos de Ac. Inox. 316, clase 1,5%, cierre repujado, con glicerina.</t>
  </si>
  <si>
    <t>PFQ1278R1R11</t>
  </si>
  <si>
    <t>Manómetro Winters Serie PFQ Quality, dial 4", 0/1.500 psi &amp; 0/100 bar, 1/2" NPT posterior, caja Ac. Inox. 304, internos de Ac. Inox. 316, clase 1,5%, cierre repujado, con glicerina.</t>
  </si>
  <si>
    <t>PFQ1279R1R11</t>
  </si>
  <si>
    <t>Manómetro Winters Serie PFQ Quality, dial 4", 0/2.000 psi &amp; 0/140 bar, 1/2" NPT posterior, caja Ac. Inox. 304, internos de Ac. Inox. 316, clase 1,5%, cierre repujado, con glicerina.</t>
  </si>
  <si>
    <t>PFQ1280R1R11</t>
  </si>
  <si>
    <t>Manómetro Winters Serie PFQ Quality, dial 4", 0/3.000 psi &amp; 0/200 bar, 1/2" NPT posterior, caja Ac. Inox. 304, internos de Ac. Inox. 316, clase 1,5%, cierre repujado, con glicerina.</t>
  </si>
  <si>
    <t>PFQ1281R1R11</t>
  </si>
  <si>
    <t>Manómetro Winters Serie PFQ Quality, dial 4", 0/5.000 psi &amp; 0/350 bar, 1/2" NPT posterior, caja Ac. Inox. 304, internos de Ac. Inox. 316, clase 1,5%, cierre repujado, con glicerina.</t>
  </si>
  <si>
    <t>PFQ1284R1R11</t>
  </si>
  <si>
    <t>Manómetro Winters Serie PFQ Quality, dial 4", 0/6.000 psi &amp; 0/400 bar, 1/2" NPT posterior, caja Ac. Inox. 304, internos de Ac. Inox. 316, clase 1,5%, cierre repujado, con glicerina.</t>
  </si>
  <si>
    <t>PFQ1282R1R11</t>
  </si>
  <si>
    <t>Manómetro Winters Serie PFQ Quality, dial 4", 0/10.000 psi &amp; 0/700 bar, 1/2" NPT posterior, caja Ac. Inox. 304, internos de Ac. Inox. 316, clase 1,5%, cierre repujado, con glicerina.</t>
  </si>
  <si>
    <t>PFQ1282R11R1</t>
  </si>
  <si>
    <t>Manómetro Winters Serie PFQ Quality, dial 4", 0/700 bar &amp; 0/10.000 psi, 1/2" NPT posterior, caja Ac. Inox. 304, internos de Ac. Inox. 316, clase 1,5%, cierre repujado, con glicerina.</t>
  </si>
  <si>
    <t>PFQ1283R1R11</t>
  </si>
  <si>
    <t>Manómetro Winters Serie PFQ Quality, dial 4", 0/15.000 psi &amp; 0/1.000 bar, 1/2" NPT posterior, caja Ac. Inox. 304, internos de Ac. Inox. 316, clase 1,5%, cierre repujado, con glicerina.</t>
  </si>
  <si>
    <t>PFQ1283R11R1</t>
  </si>
  <si>
    <t>Manómetro Winters Serie PFQ Quality, dial 4", 0/1.000 bar &amp; 0/15.000 psi, 1/2" NPT posterior, caja Ac. Inox. 304, internos de Ac. Inox. 316, clase 1,5%, cierre repujado, con glicerina.</t>
  </si>
  <si>
    <t>PFQ1103ZRR1R11</t>
  </si>
  <si>
    <t>Manómetro Winters Serie PFQ-ZR Quality STABILIZR®, dial 2,5", 0/60 psi &amp; 0/4 bar, 1/8" NPT inferior, caja Ac. Inox. 304, internos de latón, clase 2,5%, cierre repujado, amortiguador seco.</t>
  </si>
  <si>
    <t>PFQ1108ZRR1R11</t>
  </si>
  <si>
    <t>Manómetro Winters Serie PFQ-ZR Quality STABILIZR®, dial 2,5", 0/600 psi &amp; 0/40 bar, 1/8" NPT inferior, caja Ac. Inox. 304, internos de latón, clase 2,5%, cierre repujado, amortiguador seco.</t>
  </si>
  <si>
    <t>PFQ1226ZRR1R11S</t>
  </si>
  <si>
    <t>Manómetro Winters Serie PFQ-ZR Quality STABILIZR®, dial 2,5", 0/230 psi &amp; 0/16 bar, 1/8" NPT posterior, caja Ac. Inox. 304, internos de Ac. Inox., clase 2,5%, cierre repujado, amortiguador seco.</t>
  </si>
  <si>
    <t>PFQ801ZRR6R11</t>
  </si>
  <si>
    <t>Vacuómetro Winters Serie PFQ-ZR Quality STABILIZR®, dial 2,5", -30"Hg/0 &amp; -1/0 bar 1/4" NPT inferior, caja Ac. Inox 304, internos latón, clase 1,5%, cierre repujado, amortiguador seco.</t>
  </si>
  <si>
    <t>PFQ801ZRR7R6</t>
  </si>
  <si>
    <t>Vacuómetro Winters Serie PFQ-ZR Quality STABILIZR®, dial 2,5", -760 mmHg/0 &amp; -30"Hg/0, 1/4" NPT inferior, caja Ac. Inox 304, internos latón, clase 1,5%, cierre repujado, amortiguador seco.</t>
  </si>
  <si>
    <t>PFQ790ZRR1R11</t>
  </si>
  <si>
    <t>Manovacuómetro Winters Serie PFQ Quality STABILIZR®, dial 2,5", -30"Hg/0/15 psi &amp; -1/0/1 bar, 1/4" NPT inferior, caja Ac. Inox. 304, internos de latón, clase 1,5%, cierre repujado, amortiguador seco.</t>
  </si>
  <si>
    <t>PFQ798ZRR1R11</t>
  </si>
  <si>
    <t>Manovacuómetro Winters Serie PFQ Quality STABILIZR®, dial 2,5", -30"Hg/0/30 psi &amp; -1/0/2 bar, 1/4" NPT inferior, caja Ac. Inox. 304, internos de latón, clase 1,5%, cierre repujado, amortiguador seco.</t>
  </si>
  <si>
    <t>PFQ799ZRR1R11</t>
  </si>
  <si>
    <t>Manovacuómetro Winters Serie PFQ Quality STABILIZR®, dial 2,5", -30"Hg/0/60 psi &amp; -1/0/4 bar, 1/4" NPT inferior, caja Ac. Inox. 304, internos de latón, clase 1,5%, cierre repujado, amortiguador seco.</t>
  </si>
  <si>
    <t>PFQ791ZRR1R11</t>
  </si>
  <si>
    <t>Manovacuómetro Winters Serie PFQ Quality STABILIZR®, dial 2,5", -30"Hg/0/100 psi &amp; -1/0/7 bar, 1/4" NPT inferior, caja Ac. Inox. 304, internos de latón, clase 1,5%, cierre repujado, amortiguador seco.</t>
  </si>
  <si>
    <t>PFQ792ZRR1R11</t>
  </si>
  <si>
    <t>Manovacuómetro Winters Serie PFQ Quality STABILIZR®, dial 2,5", -30"Hg/0/100 psi &amp; -1/0/10 bar, 1/4" NPT inferior, caja Ac. Inox. 304, internos de latón, clase 1,5%, cierre repujado, amortiguador seco.</t>
  </si>
  <si>
    <t>PFQ794ZRR1R11</t>
  </si>
  <si>
    <t>Manovacuómetro Winters Serie PFQ Quality STABILIZR®, dial 2,5", -30"Hg/0/200 psi &amp; -1/0/14 bar, 1/4" NPT inferior, caja Ac. Inox. 304, internos de latón, clase 1,5%, cierre repujado, amortiguador seco.</t>
  </si>
  <si>
    <t>PFQ795ZRR1R11</t>
  </si>
  <si>
    <t>Manovacuómetro Winters Serie PFQ Quality STABILIZR®, dial 2,5", -30"Hg/0/300 psi &amp; -1/0/20 bar, 1/4" NPT inferior, caja Ac. Inox. 304, internos de latón, clase 1,5%, cierre repujado, amortiguador seco.</t>
  </si>
  <si>
    <t>PFQ800ZRR1R11</t>
  </si>
  <si>
    <t>Manómetro Winters Serie PFQ-ZR Quality STABILIZR®, dial 2,5", 0/15 psi &amp; 0/1 bar, 1/4" NPT inferior, caja Ac. Inox. 304, internos de latón, clase 1,5%, cierre repujado, amortiguador seco.</t>
  </si>
  <si>
    <t>PFQ802ZRR1R11</t>
  </si>
  <si>
    <t>Manómetro Winters Serie PFQ-ZR Quality STABILIZR®, dial 2,5", 0/30 psi &amp; 0/2 bar, 1/4" NPT inferior, caja Ac. Inox. 304, internos de latón, clase 1,5%, cierre repujado, amortiguador seco.</t>
  </si>
  <si>
    <t>PFQ802ZRR3R1</t>
  </si>
  <si>
    <t>Manómetro Winters Serie PFQ-ZR Quality STABILIZR®, dial 2,5", 0/2 Kg/cm2 &amp; 0/30 psi, 1/4" NPT inferior, caja Ac. Inox. 304, internos de latón, clase 1,5%, cierre repujado, amortiguador seco.</t>
  </si>
  <si>
    <t>PFQ802ZRR11R1-BSPT</t>
  </si>
  <si>
    <t>Manómetro Winters Serie PFQ-ZR Quality STABILIZR®, dial 2,5", 0/2 bar &amp; 0/30 psi, 1/4" BSPT inferior, caja Ac. Inox. 304, internos de latón, clase 1,5%, cierre repujado, amortiguador seco.</t>
  </si>
  <si>
    <t>PFQ803ZRR1R11</t>
  </si>
  <si>
    <t>Manómetro Winters Serie PFQ-ZR Quality STABILIZR®, dial 2,5", 0/60 psi &amp; 0/4 bar, 1/4" NPT inferior, caja Ac. Inox. 304, internos de latón, clase 1,5%, cierre repujado, amortiguador seco.</t>
  </si>
  <si>
    <t>PFQ803ZRR11R1-BSPT</t>
  </si>
  <si>
    <t>Manómetro Winters Serie PFQ-ZR Quality STABILIZR®, dial 2,5", 0/4 bar &amp; 0/60 psi, 1/4" BSPT inferior, caja Ac. Inox. 304, internos de latón, clase 1,5%, cierre repujado, amortiguador seco.</t>
  </si>
  <si>
    <t>PFQ804ZRR1R11</t>
  </si>
  <si>
    <t>Manómetro Winters Serie PFQ-ZR Quality STABILIZR®, dial 2,5", 0/100 psi &amp; 0/7 bar, 1/4" NPT inferior, caja Ac. Inox. 304, internos de latón, clase 1,5%, cierre repujado, amortiguador seco.</t>
  </si>
  <si>
    <t>PFQ804ZRR11R1-BSPT</t>
  </si>
  <si>
    <t>Manómetro Winters Serie PFQ-ZR Quality STABILIZR®, dial 2,5", 0/7 bar &amp; 0/100 psi, 1/4" BSPT inferior, caja Ac. Inox. 304, internos de latón, clase 1,5%, cierre repujado, amortiguador seco.</t>
  </si>
  <si>
    <t>PFQ805ZRR1R11S</t>
  </si>
  <si>
    <t>Manómetro Winters Serie PFQ-ZR Quality STABILIZR®, dial 2,5", 0/150 psi &amp; 0/10 bar, 1/4" NPT inferior, caja Ac. Inox. 304, internos de latón, clase 1,5%, cierre repujado, amortiguador seco.</t>
  </si>
  <si>
    <t>PFQ805ZRR1R11</t>
  </si>
  <si>
    <t>Manómetro Winters Serie PFQ-ZR Quality STABILIZR®, dial 2,5", 0/160 psi &amp; 0/11 bar, 1/4" NPT inferior, caja Ac. Inox. 304, internos de latón, clase 1,5%, cierre repujado, amortiguador seco.</t>
  </si>
  <si>
    <t>PFQ806ZRR1R11</t>
  </si>
  <si>
    <t>Manómetro Winters Serie PFQ-ZR Quality STABILIZR®, dial 2,5", 0/200 psi &amp; 0/14 bar, 1/4" NPT inferior, caja Ac. Inox. 304, internos de latón, clase 1,5%, cierre repujado, amortiguador seco.</t>
  </si>
  <si>
    <t>PFQ806ZRR3R1</t>
  </si>
  <si>
    <t>Manómetro Winters Serie PFQ-ZR Quality STABILIZR®, dial 2,5", 0/14 Kg/cm2 &amp; 0/200 psi, 1/4" NPT inferior, caja Ac. Inox. 304, internos de latón, clase 1,5%, cierre repujado, amortiguador seco.</t>
  </si>
  <si>
    <t>PFQ807ZRR1R11</t>
  </si>
  <si>
    <t>Manómetro Winters Serie PFQ-ZR Quality STABILIZR®, dial 2,5", 0/300 psi &amp; 0/20 bar, 1/4" NPT inferior, caja Ac. Inox. 304, internos de latón, clase 1,5%, cierre repujado, amortiguador seco.</t>
  </si>
  <si>
    <t>PFQ807ZRR11R1-BSPT</t>
  </si>
  <si>
    <t>Manómetro Winters Serie PFQ-ZR Quality STABILIZR®, dial 2,5", 0/20 bar &amp; 0/300 psi, 1/4" BSPT inferior, caja Ac. Inox. 304, internos de latón, clase 1,5%, cierre repujado, amortiguador seco.</t>
  </si>
  <si>
    <t>PFQ807ZRR1R11S</t>
  </si>
  <si>
    <t>Manómetro Winters Serie PFQ-ZR Quality STABILIZR®, dial 2,5", 0/350 psi &amp; 0/24 bar, 1/4" NPT inferior, caja Ac. Inox. 304, internos de latón, clase 1,5%, cierre repujado, amortiguador seco.</t>
  </si>
  <si>
    <t>PFQ817ZRR1R11</t>
  </si>
  <si>
    <t>Manómetro Winters Serie PFQ-ZR Quality STABILIZR®, dial 2,5", 0/400 psi &amp; 0/28 bar, 1/4" NPT inferior, caja Ac. Inox. 304, internos de latón, clase 1,5%, cierre repujado, amortiguador seco.</t>
  </si>
  <si>
    <t>PFQ817R3R1</t>
  </si>
  <si>
    <t>Manómetro Winters Serie PFQ-ZR Quality STABILIZR®, dial 2,5", 0/30 bar &amp; 0/400 psi, 1/4" NPT inferior, caja Ac. Inox. 304, internos de latón, clase 1,5%, cierre repujado, amortiguador seco.</t>
  </si>
  <si>
    <t>PFQ817ZRR3R1</t>
  </si>
  <si>
    <t>Manómetro Winters Serie PFQ-ZR Quality STABILIZR®, dial 2,5", 0/30 Kg/cm2 &amp; 0/400 psi, 1/4" NPT inferior, caja Ac. Inox. 304, internos de latón, clase 1,5%, cierre repujado, amortiguador seco.</t>
  </si>
  <si>
    <t>PFQ817ZRR11R1-BSPT</t>
  </si>
  <si>
    <t>Manómetro Winters Serie PFQ-ZR Quality STABILIZR®, dial 2,5", 0/30 bar &amp; 0/400 psi, 1/4" BSPT inferior, caja Ac. Inox. 304, internos de latón, clase 1,5%, cierre repujado, amortiguador seco.</t>
  </si>
  <si>
    <t>PFQ808ZRR1R11S</t>
  </si>
  <si>
    <t>Manómetro Winters Serie PFQ-ZR Quality STABILIZR®, dial 2,5", 0/500 psi &amp; 0/35 bar, 1/4" NPT inferior, caja Ac. Inox. 304, internos de latón, clase 1,5%, cierre repujado, amortiguador seco.</t>
  </si>
  <si>
    <t>PFQ808ZRR1R11</t>
  </si>
  <si>
    <t>Manómetro Winters Serie PFQ-ZR Quality STABILIZR®, dial 2,5", 0/600 psi &amp; 0/40 bar, 1/4" NPT inferior, caja Ac. Inox. 304, internos de latón, clase 1,5%, cierre repujado, amortiguador seco.</t>
  </si>
  <si>
    <t>PFQ808ZRR3R1</t>
  </si>
  <si>
    <t>Manómetro Winters Serie PFQ-ZR Quality STABILIZR®, dial 2,5", 0/40 Kg/cm2 &amp; 0/600 psi, 1/4" NPT inferior, caja Ac. Inox. 304, internos de latón, clase 1,5%, cierre repujado, amortiguador seco.</t>
  </si>
  <si>
    <t>PFQ808ZRR11R1-BSPT</t>
  </si>
  <si>
    <t>Manómetro Winters Serie PFQ-ZR Quality STABILIZR®, dial 2,5", 0/40 bar &amp; 0/600 psi, 1/4" BSPT inferior, caja Ac. Inox. 304, internos de latón, clase 1,5%, cierre repujado, amortiguador seco.</t>
  </si>
  <si>
    <t>PFQ809ZRR1R11</t>
  </si>
  <si>
    <t>Manómetro Winters Serie PFQ-ZR Quality STABILIZR®, dial 2,5", 0/1.000 psi &amp; 0/70 bar, 1/4" NPT inferior, caja Ac. Inox. 304, internos de latón, clase 1,5%, cierre repujado, amortiguador seco.</t>
  </si>
  <si>
    <t>PFQ809ZRR11R1-BSPT</t>
  </si>
  <si>
    <t>Manómetro Winters Serie PFQ-ZR Quality STABILIZR®, dial 2,5", 0/70 bar &amp; 0/1.000 psi, 1/4" BSPT inferior, caja Ac. Inox. 304, internos de latón, clase 1,5%, cierre repujado, amortiguador seco.</t>
  </si>
  <si>
    <t>PFQ816ZRR1R11</t>
  </si>
  <si>
    <t>Manómetro Winters Serie PFQ-ZR Quality STABILIZR®, dial 2,5", 0/1.500 psi &amp; 0/100 bar, 1/4" NPT inferior, caja Ac. Inox. 304, internos de latón, clase 1,5%, cierre repujado, amortiguador seco.</t>
  </si>
  <si>
    <t>PFQ816ZRR11R1-BSPT</t>
  </si>
  <si>
    <t>Manómetro Winters Serie PFQ-ZR Quality STABILIZR®, dial 2,5", 0/100 bar &amp; 0/1.500 psi, 1/4" BSPT inferior, caja Ac. Inox. 304, internos de latón, clase 1,5%, cierre repujado, amortiguador seco.</t>
  </si>
  <si>
    <t>PFQ810ZRR1R11</t>
  </si>
  <si>
    <t>Manómetro Winters Serie PFQ-ZR Quality STABILIZR®, dial 2,5", 0/2.000 psi &amp; 0/140 bar, 1/4" NPT inferior, caja Ac. Inox. 304, internos de latón, clase 1,5%, cierre repujado, amortiguador seco.</t>
  </si>
  <si>
    <t>PFQ810ZRR11R1-BSPT</t>
  </si>
  <si>
    <t>Manómetro Winters Serie PFQ-ZR Quality STABILIZR®, dial 2,5", 0/140 bar &amp; 0/2.000 psi, 1/4" BSPT inferior, caja Ac. Inox. 304, internos de latón, clase 1,5%, cierre repujado, amortiguador seco.</t>
  </si>
  <si>
    <t>PFQ811ZRR1R11</t>
  </si>
  <si>
    <t>Manómetro Winters Serie PFQ-ZR Quality STABILIZR®, dial 2,5", 0/3.000 psi &amp; 0/200 bar, 1/4" NPT inferior, caja Ac. Inox. 304, internos de latón, clase 1,5%, cierre repujado, amortiguador seco.</t>
  </si>
  <si>
    <t>PFQ811ZRR11R1-BSPT</t>
  </si>
  <si>
    <t>Manómetro Winters Serie PFQ-ZR Quality STABILIZR®, dial 2,5", 0/200 bar &amp; 0/3.000 psi, 1/4" BSPT inferior, caja Ac. Inox. 304, internos de latón, clase 1,5%, cierre repujado, amortiguador seco.</t>
  </si>
  <si>
    <t>PFQ812ZRR1R11</t>
  </si>
  <si>
    <t>Manómetro Winters Serie PFQ-ZR Quality STABILIZR®, dial 2,5", 0/5.000 psi &amp; 0/350 bar, 1/4" NPT inferior, caja Ac. Inox. 304, internos de latón, clase 1,5%, cierre repujado, amortiguador seco.</t>
  </si>
  <si>
    <t>PFQ812ZRR11R1-BSPT</t>
  </si>
  <si>
    <t>Manómetro Winters Serie PFQ-ZR Quality STABILIZR®, dial 2,5", 0/300 bar &amp; 0/4.300 psi, 1/4" BSPT inferior, caja Ac. Inox. 304, internos de latón, clase 1,5%, cierre repujado, amortiguador seco.</t>
  </si>
  <si>
    <t>PFQ814ZRR1R11</t>
  </si>
  <si>
    <t>Manómetro Winters Serie PFQ-ZR Quality STABILIZR®, dial 2,5", 0/6.000 psi &amp; 0/400 bar, 1/4" NPT inferior, caja Ac. Inox. 304, internos de latón, clase 1,5%, cierre repujado, amortiguador seco.</t>
  </si>
  <si>
    <t>PFQ814ZRR11R1-BSPT</t>
  </si>
  <si>
    <t>Manómetro Winters Serie PFQ-ZR Quality STABILIZR®, dial 2,5", 0/400 bar &amp; 0/6.000 psi, 1/4" BSPT inferior, caja Ac. Inox. 304, internos de latón, clase 1,5%, cierre repujado, amortiguador seco.</t>
  </si>
  <si>
    <t>PFQ818ZRR1R11</t>
  </si>
  <si>
    <t>Manómetro Winters Serie PFQ-ZR Quality STABILIZR®, dial 2,5", 0/7.500 psi &amp; 0/500 bar, 1/4" NPT inferior, caja Ac. Inox. 304, internos de latón, clase 1,5%, cierre repujado, amortiguador seco.</t>
  </si>
  <si>
    <t>PFQ813ZRR1R11</t>
  </si>
  <si>
    <t>Manómetro Winters Serie PFQ-ZR Quality STABILIZR®, dial 2,5", 0/10.000 psi &amp; 0/700 bar, 1/4" NPT inferior, caja Ac. Inox. 304, internos de latón, clase 1,5%, cierre repujado, amortiguador seco.</t>
  </si>
  <si>
    <t>PFQ813ZRR11R1</t>
  </si>
  <si>
    <t>Manómetro Winters Serie PFQ-ZR Quality STABILIZR®, dial 2,5", 0/600 bar &amp; 0/10.000 psi, 1/4" NPT inferior, caja Ac. Inox. 304, internos de latón, clase 1,5%, cierre repujado, amortiguador seco.</t>
  </si>
  <si>
    <t>PFQ813ZRR1R11S</t>
  </si>
  <si>
    <t>Manómetro Winters Serie PFQ-ZR Quality STABILIZR®, dial 2,5", 0/15.000 psi &amp; 0/1.000 bar, 1/4" NPT inferior, caja Ac. Inox. 304, internos de latón, clase 1,5%, cierre repujado, amortiguador seco.</t>
  </si>
  <si>
    <t>PFQ900ZRR6R11</t>
  </si>
  <si>
    <t>Vacuómetro Winters Serie PFQ-ZR Quality STABILIZR®, dial 2,5", -30/0"Hg &amp; -1/0 bar 1/4" NPT posterior, caja Ac. Inox 304, internos latón, clase 1,5%, cierre repujado, amortiguador seco.</t>
  </si>
  <si>
    <t>PFQ900ZRR7R6</t>
  </si>
  <si>
    <t>Vacuómetro Winters Serie PFQ-ZR Quality STABILIZR®, dial 2,5", -760mmHg/0 &amp; -30"Hg/0, 1/4" NPT posterior, caja Ac. Inox 304, internos latón, clase 1,5%, cierre repujado, amortiguador seco.</t>
  </si>
  <si>
    <t>PFQ890ZRR1R11</t>
  </si>
  <si>
    <t>Manovacuómetro Winters Serie PFQ Quality STABILIZR®, dial 2,5", -30"Hg/0/15 psi &amp; -1/0/1 bar, 1/4" NPT posterior, caja Ac. Inox. 304, internos de latón, clase 1,5%, cierre repujado, amortiguador seco.</t>
  </si>
  <si>
    <t>PFQ898ZRR1R11</t>
  </si>
  <si>
    <t>Manovacuómetro Winters Serie PFQ Quality STABILIZR®, dial 2,5", -30"Hg/0/30 psi &amp; -1/0/2 bar, 1/4" NPT posterior, caja Ac. Inox. 304, internos de latón, clase 1,5%, cierre repujado, amortiguador seco.</t>
  </si>
  <si>
    <t>PFQ899ZRR1R11</t>
  </si>
  <si>
    <t>Manovacuómetro Winters Serie PFQ Quality STABILIZR®, dial 2,5", -30"Hg/0/60 psi &amp; -1/0/4 bar, 1/4" NPT posterior, caja Ac. Inox. 304, internos de latón, clase 1,5%, cierre repujado, amortiguador seco.</t>
  </si>
  <si>
    <t>PFQ891ZRR1R11</t>
  </si>
  <si>
    <t>Manovacuómetro Winters Serie PFQ Quality STABILIZR®, dial 2,5", -30"Hg/0/100 psi &amp; -1/0/7 bar, 1/4" NPT posterior, caja Ac. Inox. 304, internos de latón, clase 1,5%, cierre repujado, amortiguador seco.</t>
  </si>
  <si>
    <t>PFQ892ZRR1R11</t>
  </si>
  <si>
    <t>Manovacuómetro Winters Serie PFQ Quality STABILIZR®, dial 2,5", -30"Hg/0/100 psi &amp; -1/0/10 bar, 1/4" NPT posterior, caja Ac. Inox. 304, internos de latón, clase 1,5%, cierre repujado, amortiguador seco.</t>
  </si>
  <si>
    <t>PFQ894ZRR1R11</t>
  </si>
  <si>
    <t>Manovacuómetro Winters Serie PFQ Quality STABILIZR®, dial 2,5", -30"Hg/0/200 psi &amp; -1/0/14 bar, 1/4" NPT posterior, caja Ac. Inox. 304, internos de latón, clase 1,5%, cierre repujado, amortiguador seco.</t>
  </si>
  <si>
    <t>PFQ895ZRR1R11</t>
  </si>
  <si>
    <t>Manovacuómetro Winters Serie PFQ Quality STABILIZR®, dial 2,5", -30"Hg/0/300 psi &amp; -1/0/20 bar, 1/4" NPT posterior, caja Ac. Inox. 304, internos de latón, clase 1,5%, cierre repujado, amortiguador seco.</t>
  </si>
  <si>
    <t>PFQ901ZRR1R11</t>
  </si>
  <si>
    <t>Manómetro Winters Serie PFQ-ZR Quality STABILIZR®, dial 2,5", 0/15 psi &amp; 0/1 bar, 1/4" NPT posterior, caja Ac. Inox. 304, internos de latón, clase 1,5%, cierre repujado, amortiguador seco.</t>
  </si>
  <si>
    <t>PFQ901ZRR3R1</t>
  </si>
  <si>
    <t>Manómetro Winters Serie PFQ-ZR Quality STABILIZR®, dial 2,5", 0/1 Kg/cm2 &amp; 0/15 psi, 1/4" NPT posterior, caja Ac. Inox. 304, internos de latón, clase 1,5%, cierre repujado, amortiguador seco.</t>
  </si>
  <si>
    <t>PFQ901ZR11R1-BSPT</t>
  </si>
  <si>
    <t>Manómetro Winters Serie PFQ-ZR Quality STABILIZR®, dial 2,5", 0/1 bar &amp; 0/15 psi, 1/4" BSPT posterior, caja Ac. Inox. 304, internos de latón, clase 1,5%, cierre repujado, amortiguador seco.</t>
  </si>
  <si>
    <t>PFQ902ZRR1R11</t>
  </si>
  <si>
    <t>Manómetro Winters Serie PFQ-ZR Quality STABILIZR®, dial 2,5", 0/30 psi &amp; 0/2 bar, 1/4" NPT posterior, caja Ac. Inox. 304, internos de latón, clase 1,5%, cierre repujado, amortiguador seco.</t>
  </si>
  <si>
    <t>PFQ903ZRR1R11</t>
  </si>
  <si>
    <t>Manómetro Winters Serie PFQ-ZR Quality STABILIZR®, dial 2,5", 0/60 psi &amp; 0/4 bar, 1/4" NPT posterior, caja Ac. Inox. 304, internos de latón, clase 1,5%, cierre repujado, amortiguador seco.</t>
  </si>
  <si>
    <t>PFQ904ZRR1R11</t>
  </si>
  <si>
    <t>Manómetro Winters Serie PFQ-ZR Quality STABILIZR®, dial 2,5", 0/100 psi &amp; 0/7 bar, 1/4" NPT posterior, caja Ac. Inox. 304, internos de latón, clase 1,5%, cierre repujado, amortiguador seco.</t>
  </si>
  <si>
    <t>PFQ904ZR11R1-BSPT</t>
  </si>
  <si>
    <t>Manómetro Winters Serie PFQ-ZR Quality STABILIZR®, dial 2,5", 0/7 bar &amp; 0/100 psi, 1/4" BSPT posterior, caja Ac. Inox. 304, internos de latón, clase 1,5%, cierre repujado, amortiguador seco.</t>
  </si>
  <si>
    <t>PFQ905ZRR11R1-BSPT</t>
  </si>
  <si>
    <t>Manómetro Winters Serie PFQ-ZR Quality STABILIZR®, dial 2,5", 0/10 bar &amp; 0/150 psi, 1/4" BSPT posterior, caja Ac. Inox. 304, internos de latón, clase 1,5%, cierre repujado, amortiguador seco.</t>
  </si>
  <si>
    <t>PFQ905ZRR1R11S</t>
  </si>
  <si>
    <t>Manómetro Winters Serie PFQ-ZR Quality STABILIZR®, dial 2,5", 0/150 psi &amp; 0/10 bar, 1/4" NPT posterior, caja Ac. Inox. 304, internos de latón, clase 1,5%, cierre repujado, amortiguador seco.</t>
  </si>
  <si>
    <t>PFQ905ZRR1R11</t>
  </si>
  <si>
    <t>Manómetro Winters Serie PFQ-ZR Quality STABILIZR®, dial 2,5", 0/160 psi &amp; 0/11 bar, 1/4" NPT posterior, caja Ac. Inox. 304, internos de latón, clase 1,5%, cierre repujado, amortiguador seco.</t>
  </si>
  <si>
    <t>PFQ906ZRR1R11</t>
  </si>
  <si>
    <t>Manómetro Winters Serie PFQ-ZR Quality STABILIZR®, dial 2,5", 0/200 psi &amp; 0/14 bar, 1/4" NPT posterior, caja Ac. Inox. 304, internos de latón, clase 1,5%, cierre repujado, amortiguador seco.</t>
  </si>
  <si>
    <t>PFQ907ZRR1R11</t>
  </si>
  <si>
    <t>Manómetro Winters Serie PFQ-ZR Quality STABILIZR®, dial 2,5", 0/300 psi &amp; 0/20 bar, 1/4" NPT posterior, caja Ac. Inox. 304, internos de latón, clase 1,5%, cierre repujado, amortiguador seco.</t>
  </si>
  <si>
    <t>PFQ917ZRR1R11</t>
  </si>
  <si>
    <t>Manómetro Winters Serie PFQ-ZR Quality STABILIZR®, dial 2,5", 0/400 psi &amp; 0/28 bar, 1/4" NPT posterior, caja Ac. Inox. 304, internos de latón, clase 1,5%, cierre repujado, amortiguador seco.</t>
  </si>
  <si>
    <t>PFQ917ZRR11R1-BSPT</t>
  </si>
  <si>
    <t>Manómetro Winters Serie PFQ-ZR Quality STABILIZR®, dial 2,5", 0/30 bar &amp; 0/400 psi, 1/4" BSPT posterior, caja Ac. Inox. 304, internos de latón, clase 1,5%, cierre repujado, amortiguador seco.</t>
  </si>
  <si>
    <t>PFQ908ZRR1R11</t>
  </si>
  <si>
    <t>Manómetro Winters Serie PFQ-ZR Quality STABILIZR®, dial 2,5", 0/600 psi &amp; 0/40 bar, 1/4" NPT posterior, caja Ac. Inox. 304, internos de latón, clase 1,5%, cierre repujado, amortiguador seco.</t>
  </si>
  <si>
    <t>PFQ908ZRR11R1-BSPT</t>
  </si>
  <si>
    <t>Manómetro Winters Serie PFQ-ZR Quality STABILIZR®, dial 2,5", 0/40 bar &amp; 0/600 psi, 1/4" BSPT posterior, caja Ac. Inox. 304, internos de latón, clase 1,5%, cierre repujado, amortiguador seco.</t>
  </si>
  <si>
    <t>PFQ908ZRR3R1</t>
  </si>
  <si>
    <t>Manómetro Winters Serie PFQ-ZR Quality STABILIZR®, dial 2,5", 0/40 Kg/cm2 &amp; 0/600 psi, 1/4" NPT posterior, caja Ac. Inox. 304, internos de latón, clase 1,5%, cierre repujado, amortiguador seco.</t>
  </si>
  <si>
    <t>PFQ909ZRR1R11</t>
  </si>
  <si>
    <t>Manómetro Winters Serie PFQ-ZR Quality STABILIZR®, dial 2,5", 0/1.000 psi &amp; 0/70 bar, 1/4" NPT posterior, caja Ac. Inox. 304, internos de latón, clase 1,5%, cierre repujado, amortiguador seco.</t>
  </si>
  <si>
    <t>PFQ909ZRR11R1-BSPT</t>
  </si>
  <si>
    <t>Manómetro Winters Serie PFQ-ZR Quality STABILIZR®, dial 2,5", 0/70 bar &amp; 0/1.000 psi, 1/4" BSPT posterior, caja Ac. Inox. 304, internos de latón, clase 1,5%, cierre repujado, amortiguador seco.</t>
  </si>
  <si>
    <t>PFQ914ZRR1R11</t>
  </si>
  <si>
    <t>Manómetro Winters Serie PFQ-ZR Quality STABILIZR®, dial 2,5", 0/1.500 psi &amp; 0/100 bar, 1/4" NPT posterior, caja Ac. Inox. 304, internos de latón, clase 1,5%, cierre repujado, amortiguador seco.</t>
  </si>
  <si>
    <t>PFQ914ZRR11R1-BSPT</t>
  </si>
  <si>
    <t>Manómetro Winters Serie PFQ-ZR Quality STABILIZR®, dial 2,5", 0/100 bar &amp; 0/1.440 psi, 1/4" BSPT posterior, caja Ac. Inox. 304, internos de latón, clase 1,5%, cierre repujado, amortiguador seco.</t>
  </si>
  <si>
    <t>PFQ910ZRR1R11</t>
  </si>
  <si>
    <t>Manómetro Winters Serie PFQ-ZR Quality STABILIZR®, dial 2,5", 0/2.000 psi &amp; 0/140 bar, 1/4" NPT posterior, caja Ac. Inox. 304, internos de latón, clase 1,5%, cierre repujado, amortiguador seco.</t>
  </si>
  <si>
    <t>PFQ910ZRR11R1-BSPT</t>
  </si>
  <si>
    <t>Manómetro Winters Serie PFQ-ZR Quality STABILIZR®, dial 2,5", 0/140 bar &amp; 0/2.000 psi, 1/4" BSPT posterior, caja Ac. Inox. 304, internos de latón, clase 1,5%, cierre repujado, amortiguador seco.</t>
  </si>
  <si>
    <t>PFQ911ZRR1R11</t>
  </si>
  <si>
    <t>Manómetro Winters Serie PFQ-ZR Quality STABILIZR®, dial 2,5", 0/3.000 psi &amp; 0/200 bar, 1/4" NPT posterior, caja Ac. Inox. 304, internos de latón, clase 1,5%, cierre repujado, amortiguador seco.</t>
  </si>
  <si>
    <t>PFQ911ZRR3R1</t>
  </si>
  <si>
    <t>Manómetro Winters Serie PFQ-ZR Quality STABILIZR®, dial 2,5", 0/200 Kg/cm2 &amp; 0/3.000 psi, 1/4" NPT posterior, caja Ac. Inox. 304, internos de latón, clase 1,5%, cierre repujado, amortiguador seco.</t>
  </si>
  <si>
    <t>PFQ911ZRR11R1-BSPT</t>
  </si>
  <si>
    <t>Manómetro Winters Serie PFQ-ZR Quality STABILIZR®, dial 2,5", 0/200 bar &amp; 0/3.000 psi, 1/4" BSPT posterior, caja Ac. Inox. 304, internos de latón, clase 1,5%, cierre repujado, amortiguador seco.</t>
  </si>
  <si>
    <t>PFQ912ZRR1R11</t>
  </si>
  <si>
    <t>Manómetro Winters Serie PFQ-ZR Quality STABILIZR®, dial 2,5", 0/5.000 psi &amp; 0/350 bar, 1/4" NPT posterior, caja Ac. Inox. 304, internos de latón, clase 1,5%, cierre repujado, amortiguador seco.</t>
  </si>
  <si>
    <t>PFQ912ZRR11R1-BSPT</t>
  </si>
  <si>
    <t>Manómetro Winters Serie PFQ-ZR Quality STABILIZR®, dial 2,5", 0/300 bar &amp; 0/5.000 psi, 1/4" BSPT posterior, caja Ac. Inox. 304, internos de latón, clase 1,5%, cierre repujado, amortiguador seco.</t>
  </si>
  <si>
    <t>PFQ915ZRR1R11</t>
  </si>
  <si>
    <t>Manómetro Winters Serie PFQ-ZR Quality STABILIZR®, dial 2,5", 0/6.000 psi &amp; 0/400 bar, 1/4" NPT posterior, caja Ac. Inox. 304, internos de latón, clase 1,5%, cierre repujado, amortiguador seco.</t>
  </si>
  <si>
    <t>PFQ918ZRR1R11</t>
  </si>
  <si>
    <t>Manómetro Winters Serie PFQ-ZR Quality STABILIZR®, dial 2,5", 0/7.500 psi &amp; 0/500 bar, 1/4" NPT posterior, caja Ac. Inox. 304, internos de latón, clase 1,5%, cierre repujado, amortiguador seco.</t>
  </si>
  <si>
    <t>PFQ913ZRR1R11</t>
  </si>
  <si>
    <t>Manómetro Winters Serie PFQ-ZR Quality STABILIZR®, dial 2,5", 0/10.000 psi &amp; 0/700 bar, 1/4" NPT posterior, caja Ac. Inox. 304, internos de latón, clase 1,5%, cierre repujado, amortiguador seco.</t>
  </si>
  <si>
    <t>PFQ106ZRR6R11</t>
  </si>
  <si>
    <t>Vacuómetro Winters Serie PFQ-ZR Quality STABILIZR®, dial 2,5", -30/0"Hg &amp; -1/0 bar 1/4" NPT inferior, caja Ac. Inox 304, internos Ac. Inox. 316, clase 1,5%, cierre repujado, amortiguador seco.</t>
  </si>
  <si>
    <t>PFQ106ZRR7R6-BSPT</t>
  </si>
  <si>
    <t>Vacuómetro Winters Serie PFQ-ZR Quality STABILIZR®, dial 2,5", -760/0 mmHg &amp; 30"Hg/0, 1/4" BSPT inferior, caja Ac. Inox 304, internos Ac. Inox. 316, clase 1,5%, cierre repujado, amortiguador seco.</t>
  </si>
  <si>
    <t>PFQ107ZRR1R11</t>
  </si>
  <si>
    <t>Manovacuómetro Winters Serie PFQ Quality STABILIZR®, dial 2,5", -30"Hg/0/15 psi &amp; -1/0/1 bar, 1/4" NPT inferior, caja Ac. Inox. 304, internos Ac. Inox. 316, clase 1,5%, cierre repujado, amortiguador seco.</t>
  </si>
  <si>
    <t>PFQ108ZRR1R11</t>
  </si>
  <si>
    <t>Manovacuómetro Winters Serie PFQ Quality STABILIZR®, dial 2,5", -30"Hg/0/30 psi &amp; -1/0/2 bar, 1/4" NPT inferior, caja Ac. Inox. 304, internos Ac. Inox. 316, clase 1,5%, cierre repujado, amortiguador seco.</t>
  </si>
  <si>
    <t>PFQ109ZRR1R11</t>
  </si>
  <si>
    <t>Manovacuómetro Winters Serie PFQ Quality STABILIZR®, dial 2,5", -30"Hg/0/60 psi &amp; -1/0/4 bar, 1/4" NPT inferior, caja Ac. Inox. 304, internos Ac. Inox. 316, clase 1,5%, cierre repujado, amortiguador seco.</t>
  </si>
  <si>
    <t>PFQ110ZRR1R11</t>
  </si>
  <si>
    <t>Manovacuómetro Winters Serie PFQ Quality STABILIZR®, dial 2,5", -30"Hg/0/100 psi &amp; -1/0/7 bar, 1/4" NPT inferior, caja Ac. Inox. 304, internos Ac. Inox. 316, clase 1,5%, cierre repujado, amortiguador seco.</t>
  </si>
  <si>
    <t>PFQ111ZRR1R11</t>
  </si>
  <si>
    <t>Manovacuómetro Winters Serie PFQ Quality STABILIZR®, dial 2,5", -30"Hg/0/100 psi &amp; -1/0/10 bar, 1/4" NPT inferior, caja Ac. Inox. 304, internos Ac. Inox. 316, clase 1,5%, cierre repujado, amortiguador seco.</t>
  </si>
  <si>
    <t>PFQ112ZRR1R11</t>
  </si>
  <si>
    <t>Manovacuómetro Winters Serie PFQ Quality STABILIZR®, dial 2,5", -30"Hg/0/200 psi &amp; -1/0/14 bar, 1/4" NPT inferior, caja Ac. Inox. 304, internos Ac. Inox. 316, clase 1,5%, cierre repujado, amortiguador seco.</t>
  </si>
  <si>
    <t>PFQ113ZRR1R11</t>
  </si>
  <si>
    <t>Manovacuómetro Winters Serie PFQ Quality STABILIZR®, dial 2,5", -30"Hg/0/300 psi &amp; -1/0/20 bar, 1/4" NPT inferior, caja Ac. Inox. 304, internos Ac. Inox. 316, clase 1,5%, cierre repujado, amortiguador seco.</t>
  </si>
  <si>
    <t>PFQ118ZRR1R11</t>
  </si>
  <si>
    <t>Manómetro Winters Serie PFQ-ZR Quality STABILIZR®, dial 2,5", 0/15 psi &amp; 0/1 bar, 1/4" NPT inferior, caja Ac. Inox. 304, internos Ac. Inox. 316, clase 1,5%, cierre repujado, amortiguador seco.</t>
  </si>
  <si>
    <t>PFQ118ZRR11R1-BSPT</t>
  </si>
  <si>
    <t>Manómetro Winters Serie PFQ-ZR Quality STABILIZR®, dial 2,5", 0/1 bar &amp; 0/15 psi, 1/4" BSPT inferior, caja Ac. Inox. 304, internos Ac. Inox. 316, clase 1,5%, cierre repujado, amortiguador seco.</t>
  </si>
  <si>
    <t>PFQ119ZRR1R11</t>
  </si>
  <si>
    <t>Manómetro Winters Serie PFQ-ZR Quality STABILIZR®, dial 2,5", 0/30 psi &amp; 0/2 bar, 1/4" NPT inferior, caja Ac. Inox. 304, internos Ac. Inox. 316, clase 1,5%, cierre repujado, amortiguador seco.</t>
  </si>
  <si>
    <t>PFQ119ZRR11R1-BSPT</t>
  </si>
  <si>
    <t>Manómetro Winters Serie PFQ-ZR Quality STABILIZR®, dial 2,5", 0/2 bar &amp; 0/30 psi, 1/4" BSPT inferior, caja Ac. Inox. 304, internos Ac. Inox. 316, clase 1,5%, cierre repujado, amortiguador seco.</t>
  </si>
  <si>
    <t>PFQ120ZRR1R11</t>
  </si>
  <si>
    <t>Manómetro Winters Serie PFQ-ZR Quality STABILIZR®, dial 2,5", 0/60 psi &amp; 0/4 bar, 1/4" NPT inferior, caja Ac. Inox. 304, internos Ac. Inox. 316, clase 1,5%, cierre repujado, amortiguador seco.</t>
  </si>
  <si>
    <t>PFQ121ZRR1R11</t>
  </si>
  <si>
    <t>Manómetro Winters Serie PFQ-ZR Quality STABILIZR®, dial 2,5", 0/100 psi &amp; 0/7 bar, 1/4" NPT inferior, caja Ac. Inox. 304, internos Ac. Inox. 316, clase 1,5%, cierre repujado, amortiguador seco.</t>
  </si>
  <si>
    <t>PFQ121ZRR11R1-BSPT</t>
  </si>
  <si>
    <t>Manómetro Winters Serie PFQ-ZR Quality STABILIZR®, dial 2,5", 0/7 bar &amp; 0/100 psi, 1/4" BSPT inferior, caja Ac. Inox. 304, internos Ac. Inox. 316, clase 1,5%, cierre repujado, amortiguador seco.</t>
  </si>
  <si>
    <t>PFQ122ZRR11R1-BSPT</t>
  </si>
  <si>
    <t>Manómetro Winters Serie PFQ-ZR Quality STABILIZR®, dial 2,5", 0/10 bar &amp; 0/150 psi, 1/4" BSPT inferior, caja Ac. Inox. 304, internos Ac. Inox. 316, clase 1,5%, cierre repujado, amortiguador seco.</t>
  </si>
  <si>
    <t>PFQ122ZRR1R11</t>
  </si>
  <si>
    <t>Manómetro Winters Serie PFQ-ZR Quality STABILIZR®, dial 2,5", 0/160 psi &amp; 0/11 bar, 1/4" NPT inferior, caja Ac. Inox. 304, internos Ac. Inox. 316, clase 1,5%, cierre repujado, amortiguador seco.</t>
  </si>
  <si>
    <t>PFQ123ZRR1R11</t>
  </si>
  <si>
    <t>Manómetro Winters Serie PFQ-ZR Quality STABILIZR®, dial 2,5", 0/200 psi &amp; 0/14 bar, 1/4" NPT inferior, caja Ac. Inox. 304, internos Ac. Inox. 316, clase 1,5%, cierre repujado, amortiguador seco.</t>
  </si>
  <si>
    <t>PFQ123ZRR11R1-BSPT</t>
  </si>
  <si>
    <t>Manómetro Winters Serie PFQ-ZR Quality STABILIZR®, dial 2,5", 0/14 bar &amp; 0/200 psi, 1/4" BSPT inferior, caja Ac. Inox. 304, internos Ac. Inox. 316, clase 1,5%, cierre repujado, amortiguador seco.</t>
  </si>
  <si>
    <t>PFQ124ZRR1R11</t>
  </si>
  <si>
    <t>Manómetro Winters Serie PFQ-ZR Quality STABILIZR®, dial 2,5", 0/300 psi &amp; 0/20 bar, 1/4" NPT inferior, caja Ac. Inox. 304, internos Ac. Inox. 316, clase 1,5%, cierre repujado, amortiguador seco.</t>
  </si>
  <si>
    <t>PFQ124ZRR11R1-BSPT</t>
  </si>
  <si>
    <t>Manómetro Winters Serie PFQ-ZR Quality STABILIZR®, dial 2,5", 0/20 bar &amp; 0/300 psi, 1/4" BSPT inferior, caja Ac. Inox. 304, internos Ac. Inox. 316, clase 1,5%, cierre repujado, amortiguador seco.</t>
  </si>
  <si>
    <t>PFQ125ZRR1R11</t>
  </si>
  <si>
    <t>Manómetro Winters Serie PFQ-ZR Quality STABILIZR®, dial 2,5", 0/30 bar &amp; 0/400 psi, 1/4" BSPT inferior, caja Ac. Inox. 304, internos Ac. Inox. 316, clase 1,5%, cierre repujado, amortiguador seco.</t>
  </si>
  <si>
    <t>PFQ125ZRR11R1-BSPT</t>
  </si>
  <si>
    <t>PFQ126ZRR1R11</t>
  </si>
  <si>
    <t>Manómetro Winters Serie PFQ-ZR Quality STABILIZR®, dial 2,5", 0/600 psi &amp; 0/40 bar, 1/4" NPT inferior, caja Ac. Inox. 304, internos Ac. Inox. 316, clase 1,5%, cierre repujado, amortiguador seco.</t>
  </si>
  <si>
    <t>PFQ126ZRR11R1-BSPT</t>
  </si>
  <si>
    <t>Manómetro Winters Serie PFQ-ZR Quality STABILIZR®, dial 2,5", 0/40 bar &amp; 0/600 psi, 1/4" BSPT inferior, caja Ac. Inox. 304, internos Ac. Inox. 316, clase 1,5%, cierre repujado, amortiguador seco.</t>
  </si>
  <si>
    <t>PFQ127ZRR1R11</t>
  </si>
  <si>
    <t>Manómetro Winters Serie PFQ-ZR Quality STABILIZR®, dial 2,5", 0/1.000 psi &amp; 0/70 bar, 1/4" NPT inferior, caja Ac. Inox. 304, internos Ac. Inox. 316, clase 1,5%, cierre repujado, amortiguador seco.</t>
  </si>
  <si>
    <t>PFQ127ZRR11R1-BSPT</t>
  </si>
  <si>
    <t>Manómetro Winters Serie PFQ-ZR Quality STABILIZR®, dial 2,5", 0/70 bar &amp; 0/1.000 psi, 1/4" BSPT inferior, caja Ac. Inox. 304, internos Ac. Inox. 316, clase 1,5%, cierre repujado, amortiguador seco.</t>
  </si>
  <si>
    <t>PFQ128ZRR1R11</t>
  </si>
  <si>
    <t>Manómetro Winters Serie PFQ-ZR Quality STABILIZR®, dial 2,5", 0/1.500 psi &amp; 0/100 bar, 1/4" NPT inferior, caja Ac. Inox. 304, internos Ac. Inox. 316, clase 1,5%, cierre repujado, amortiguador seco.</t>
  </si>
  <si>
    <t>PFQ128ZRR11R1-BSPT</t>
  </si>
  <si>
    <t>Manómetro Winters Serie PFQ-ZR Quality STABILIZR®, dial 2,5", 0/100 bar &amp; 0/1.500 psi, 1/4" BSPT inferior, caja Ac. Inox. 304, internos Ac. Inox. 316, clase 1,5%, cierre repujado, amortiguador seco.</t>
  </si>
  <si>
    <t>PFQ129ZRR1R11</t>
  </si>
  <si>
    <t>Manómetro Winters Serie PFQ-ZR Quality STABILIZR®, dial 2,5", 0/2.000 psi &amp; 0/140 bar, 1/4" NPT inferior, caja Ac. Inox. 304, internos Ac. Inox. 316, clase 1,5%, cierre repujado, amortiguador seco.</t>
  </si>
  <si>
    <t>PFQ129ZRR11R1-BSPT</t>
  </si>
  <si>
    <t>Manómetro Winters Serie PFQ-ZR Quality STABILIZR®, dial 2,5", 0/140 bar &amp; 0/2.000 psi, 1/4" NPT inferior, caja Ac. Inox. 304, internos Ac. Inox. 316, clase 1,5%, cierre repujado, amortiguador seco.</t>
  </si>
  <si>
    <t>PFQ137ZRR1R11</t>
  </si>
  <si>
    <t>Manómetro Winters Serie PFQ-ZR Quality STABILIZR®, dial 2,5", 0/3.000 psi &amp; 0/200 bar, 1/4" NPT inferior, caja Ac. Inox. 304, internos Ac. Inox. 316, clase 1,5%, cierre repujado, amortiguador seco.</t>
  </si>
  <si>
    <t>PFQ137ZRR11R1-BSPT</t>
  </si>
  <si>
    <t>Manómetro Winters Serie PFQ-ZR Quality STABILIZR®, dial 2,5", 0/200 bar &amp; 0/3.000 psi, 1/4" BSPT inferior, caja Ac. Inox. 304, internos Ac. Inox. 316, clase 1,5%, cierre repujado, amortiguador seco.</t>
  </si>
  <si>
    <t>PFQ138ZRR1R11</t>
  </si>
  <si>
    <t>Manómetro Winters Serie PFQ-ZR Quality STABILIZR®, dial 2,5", 0/5.000 psi &amp; 0/350 bar, 1/4" NPT inferior, caja Ac. Inox. 304, internos Ac. Inox. 316, clase 1,5%, cierre repujado, amortiguador seco.</t>
  </si>
  <si>
    <t>PFQ138ZRR11R1S-BSPT</t>
  </si>
  <si>
    <t>Manómetro Winters Serie PFQ-ZR Quality STABILIZR®, dial 2,5", 0/300 bar &amp; 0/5.000 psi, 1/4" BSPT inferior, caja Ac. Inox. 304, internos Ac. Inox. 316, clase 1,5%, cierre repujado, amortiguador seco.</t>
  </si>
  <si>
    <t>PFQ139ZRR1R11</t>
  </si>
  <si>
    <t>Manómetro Winters Serie PFQ-ZR Quality STABILIZR®, dial 2,5", 0/6.000 psi &amp; 0/400 bar, 1/4" NPT inferior, caja Ac. Inox. 304, internos Ac. Inox. 316, clase 1,5%, cierre repujado, amortiguador seco.</t>
  </si>
  <si>
    <t>PFQ139ZRR11R1-BSPT</t>
  </si>
  <si>
    <t>Manómetro Winters Serie PFQ-ZR Quality STABILIZR®, dial 2,5", 0/400 bar &amp; 0/6.000 psi, 1/4" BSPT inferior, caja Ac. Inox. 304, internos Ac. Inox. 316, clase 1,5%, cierre repujado, amortiguador seco.</t>
  </si>
  <si>
    <t>PFQ144ZRR1R11</t>
  </si>
  <si>
    <t>Manómetro Winters Serie PFQ-ZR Quality STABILIZR®, dial 2,5", 0/7.500 psi &amp; 0/500 bar, 1/4" NPT inferior, caja Ac. Inox. 304, internos Ac. Inox. 316, clase 1,5%, cierre repujado, amortiguador seco.</t>
  </si>
  <si>
    <t>PFQ145ZRR1R11</t>
  </si>
  <si>
    <t>Manómetro Winters Serie PFQ-ZR Quality STABILIZR®, dial 2,5", 0/10.000 psi &amp; 0/700 bar, 1/4" NPT inferior, caja Ac. Inox. 304, internos Ac. Inox. 316, clase 1,5%, cierre repujado, amortiguador seco.</t>
  </si>
  <si>
    <t>PFQ145ZRR11R1-BSPT</t>
  </si>
  <si>
    <t>Manómetro Winters Serie PFQ-ZR Quality STABILIZR®, dial 2,5", 0/700 bar &amp; 0/10.000 psi, 1/4" BSPT inferior, caja Ac. Inox. 304, internos Ac. Inox. 316, clase 1,5%, cierre repujado, amortiguador seco.</t>
  </si>
  <si>
    <t>PFQ146ZRR1R11</t>
  </si>
  <si>
    <t>Manómetro Winters Serie PFQ-ZR Quality STABILIZR®, dial 2,5", 0/15.000 psi &amp; 0/1.000 bar, 1/4" NPT inferior, caja Ac. Inox. 304, internos Ac. Inox. 316, clase 1,5%, cierre repujado, amortiguador seco.</t>
  </si>
  <si>
    <t>PFQ146ZRR11R1-BSPT</t>
  </si>
  <si>
    <t>Manómetro Winters Serie PFQ-ZR Quality STABILIZR®, dial 2,5", 0/1.000 bar &amp; 0/15.000 psi, 1/4" BSPT inferior, caja Ac. Inox. 304, internos Ac. Inox. 316, clase 1,5%, cierre repujado, amortiguador seco.</t>
  </si>
  <si>
    <t>PFQ147ZRR6R11</t>
  </si>
  <si>
    <t>Vacuómetro Winters Serie PFQ-ZR Quality STABILIZR®, dial 2,5", -30/0"Hg &amp; -1/0 bar 1/4" NPT posterior, caja Ac. Inox 304, internos Ac. Inox. 316, clase 1,5%, cierre repujado, amortiguador seco.</t>
  </si>
  <si>
    <t>PFQ147ZRR7R6-BSPT</t>
  </si>
  <si>
    <t>Vacuómetro Winters Serie PFQ-ZR Quality STABILIZR®, dial 2,5", -760 mmHg/0 &amp; -30"Hg/0, 1/4" BSPT posterior, caja Ac. Inox 304, internos Ac. Inox. 316, clase 1,5%, cierre repujado, amortiguador seco.</t>
  </si>
  <si>
    <t>PFQ148ZRR1R11</t>
  </si>
  <si>
    <t>Manovacuómetro Winters Serie PFQ Quality STABILIZR®, dial 2,5", -30"Hg/0/15 psi &amp; -1/0/1 bar, 1/4" NPT posterior, caja Ac. Inox. 304, internos Ac. Inox. 316, clase 1,5%, cierre repujado, amortiguador seco.</t>
  </si>
  <si>
    <t>PFQ149ZRR1R11</t>
  </si>
  <si>
    <t>Manovacuómetro Winters Serie PFQ Quality STABILIZR®, dial 2,5", -30"Hg/0/30 psi &amp; -1/0/2 bar, 1/4" NPT posterior, caja Ac. Inox. 304, internos Ac. Inox. 316, clase 1,5%, cierre repujado, amortiguador seco.</t>
  </si>
  <si>
    <t>PFQ151ZRR1R11</t>
  </si>
  <si>
    <t>Manovacuómetro Winters Serie PFQ Quality STABILIZR®, dial 2,5", -30"Hg/0/60 psi &amp; -1/0/4 bar, 1/4" NPT posterior, caja Ac. Inox. 304, internos Ac. Inox. 316, clase 1,5%, cierre repujado, amortiguador seco.</t>
  </si>
  <si>
    <t>PFQ156ZRR1R11</t>
  </si>
  <si>
    <t>Manovacuómetro Winters Serie PFQ Quality STABILIZR®, dial 2,5", -30"Hg/0/100 psi &amp; -1/0/7 bar, 1/4" NPT posterior, caja Ac. Inox. 304, internos Ac. Inox. 316, clase 1,5%, cierre repujado, amortiguador seco.</t>
  </si>
  <si>
    <t>PFQ157ZRR1R11</t>
  </si>
  <si>
    <t>Manovacuómetro Winters Serie PFQ Quality STABILIZR®, dial 2,5", -30"Hg/0/100 psi &amp; -1/0/10 bar, 1/4" NPT posterior, caja Ac. Inox. 304, internos Ac. Inox. 316, clase 1,5%, cierre repujado, amortiguador seco.</t>
  </si>
  <si>
    <t>PFQ158ZRR1R11</t>
  </si>
  <si>
    <t>Manovacuómetro Winters Serie PFQ Quality STABILIZR®, dial 2,5", -30"Hg/0/200 psi &amp; -1/0/14 bar, 1/4" NPT posterior, caja Ac. Inox. 304, internos Ac. Inox. 316, clase 1,5%, cierre repujado, amortiguador seco.</t>
  </si>
  <si>
    <t>PFQ159ZRR1R11</t>
  </si>
  <si>
    <t>Manovacuómetro Winters Serie PFQ Quality STABILIZR®, dial 2,5", -30"Hg/0/300 psi &amp; -1/0/20 bar, 1/4" NPT posterior, caja Ac. Inox. 304, internos Ac. Inox. 316, clase 1,5%, cierre repujado, amortiguador seco.</t>
  </si>
  <si>
    <t>PFQ162ZRR1R11</t>
  </si>
  <si>
    <t>Manómetro Winters Serie PFQ-ZR Quality STABILIZR®, dial 2,5", 0/15 psi &amp; 0/1 bar, 1/4" NPT posterior, caja Ac. Inox. 304, internos Ac. Inox. 316, clase 1,5%, cierre repujado, amortiguador seco.</t>
  </si>
  <si>
    <t>PFQ162ZRR11R1-BSPT</t>
  </si>
  <si>
    <t>Manómetro Winters Serie PFQ-ZR Quality STABILIZR®, dial 2,5", 0/1 bar &amp; 0/15 psi, 1/4" BSPT posterior, caja Ac. Inox. 304, internos Ac. Inox. 316, clase 1,5%, cierre repujado, amortiguador seco.</t>
  </si>
  <si>
    <t>PFQ163ZRR1R11</t>
  </si>
  <si>
    <t>Manómetro Winters Serie PFQ-ZR Quality STABILIZR®, dial 2,5", 0/30 psi &amp; 0/2 bar, 1/4" NPT posterior, caja Ac. Inox. 304, internos Ac. Inox. 316, clase 1,5%, cierre repujado, amortiguador seco.</t>
  </si>
  <si>
    <t>PFQ163ZRR11R1-BSPT</t>
  </si>
  <si>
    <t>Manómetro Winters Serie PFQ-ZR Quality STABILIZR®, dial 2,5", 0/2 bar &amp; 0/30 psi, 1/4" BSPT posterior, caja Ac. Inox. 304, internos Ac. Inox. 316, clase 1,5%, cierre repujado, amortiguador seco.</t>
  </si>
  <si>
    <t>PFQ164ZRR1R11</t>
  </si>
  <si>
    <t>Manómetro Winters Serie PFQ-ZR Quality STABILIZR®, dial 2,5", 0/60 psi &amp; 0/4 bar, 1/4" NPT posterior, caja Ac. Inox. 304, internos Ac. Inox. 316, clase 1,5%, cierre repujado, amortiguador seco.</t>
  </si>
  <si>
    <t>PFQ169ZRR1R11</t>
  </si>
  <si>
    <t>Manómetro Winters Serie PFQ-ZR Quality STABILIZR®, dial 2,5", 0/100 psi &amp; 0/7 bar, 1/4" NPT posterior, caja Ac. Inox. 304, internos Ac. Inox. 316, clase 1,5%, cierre repujado, amortiguador seco.</t>
  </si>
  <si>
    <t>PFQ169ZRR11R1-BSPT</t>
  </si>
  <si>
    <t>Manómetro Winters Serie PFQ-ZR Quality STABILIZR®, dial 2,5", 0/7 bar &amp; 0/100 psi, 1/4" BSPT posterior, caja Ac. Inox. 304, internos Ac. Inox. 316, clase 1,5%, cierre repujado, amortiguador seco.</t>
  </si>
  <si>
    <t>PFQ170ZRR11R1-BSPT</t>
  </si>
  <si>
    <t>Manómetro Winters Serie PFQ-ZR Quality STABILIZR®, dial 2,5", 0/10 bar &amp; 0/150 psi, 1/4" BSPT posterior, caja Ac. Inox. 304, internos Ac. Inox. 316, clase 1,5%, cierre repujado, amortiguador seco.</t>
  </si>
  <si>
    <t>PFQ170ZRR1R11</t>
  </si>
  <si>
    <t>Manómetro Winters Serie PFQ-ZR Quality STABILIZR®, dial 2,5", 0/160 psi &amp; 0/11 bar, 1/4" NPT posterior, caja Ac. Inox. 304, internos Ac. Inox. 316, clase 1,5%, cierre repujado, amortiguador seco.</t>
  </si>
  <si>
    <t>PFQ171ZRR1R11</t>
  </si>
  <si>
    <t>Manómetro Winters Serie PFQ-ZR Quality STABILIZR®, dial 2,5", 0/200 psi &amp; 0/14 bar, 1/4" NPT posterior, caja Ac. Inox. 304, internos Ac. Inox. 316, clase 1,5%, cierre repujado, amortiguador seco.</t>
  </si>
  <si>
    <t>PFQ171ZRR11R1-BSPT</t>
  </si>
  <si>
    <t>Manómetro Winters Serie PFQ-ZR Quality STABILIZR®, dial 2,5", 0/14 bar &amp; 0/200 psi, 1/4" BSPT posterior, caja Ac. Inox. 304, internos Ac. Inox. 316, clase 1,5%, cierre repujado, amortiguador seco.</t>
  </si>
  <si>
    <t>PFQ175ZRR1R11</t>
  </si>
  <si>
    <t>Manómetro Winters Serie PFQ-ZR Quality STABILIZR®, dial 2,5", 0/300 psi &amp; 0/20 bar, 1/4" NPT posterior, caja Ac. Inox. 304, internos Ac. Inox. 316, clase 1,5%, cierre repujado, amortiguador seco.</t>
  </si>
  <si>
    <t>PFQ175ZRR11R1-BSPT</t>
  </si>
  <si>
    <t>Manómetro Winters Serie PFQ-ZR Quality STABILIZR®, dial 2,5", 0/20 bar &amp; 0/300 psi, 1/4" BSPT posterior, caja Ac. Inox. 304, internos Ac. Inox. 316, clase 1,5%, cierre repujado, amortiguador seco.</t>
  </si>
  <si>
    <t>PFQ177ZRR1R11</t>
  </si>
  <si>
    <t>Manómetro Winters Serie PFQ-ZR Quality STABILIZR®, dial 2,5", 0/400 psi &amp; 0/30 bar, 1/4" NPT posterior, caja Ac. Inox. 304, internos Ac. Inox. 316, clase 1,5%, cierre repujado, amortiguador seco.</t>
  </si>
  <si>
    <t>PFQ178ZRR1R11</t>
  </si>
  <si>
    <t>Manómetro Winters Serie PFQ-ZR Quality STABILIZR®, dial 2,5", 0/600 psi &amp; 0/40 bar, 1/4" NPT posterior, caja Ac. Inox. 304, internos Ac. Inox. 316, clase 1,5%, cierre repujado, amortiguador seco.</t>
  </si>
  <si>
    <t>PFQ178ZRR11R1-BSPT</t>
  </si>
  <si>
    <t>Manómetro Winters Serie PFQ-ZR Quality STABILIZR®, dial 2,5", 0/40 bar &amp; 0/600 psi, 1/4" BSPT posterior, caja Ac. Inox. 304, internos Ac. Inox. 316, clase 1,5%, cierre repujado, amortiguador seco.</t>
  </si>
  <si>
    <t>PFQ179ZRR1R11</t>
  </si>
  <si>
    <t>Manómetro Winters Serie PFQ-ZR Quality STABILIZR®, dial 2,5", 0/1.000 psi &amp; 0/70 bar, 1/4" NPT posterior, caja Ac. Inox. 304, internos Ac. Inox. 316, clase 1,5%, cierre repujado, amortiguador seco.</t>
  </si>
  <si>
    <t>PFQ179ZRR11R1-BSPT</t>
  </si>
  <si>
    <t>Manómetro Winters Serie PFQ-ZR Quality STABILIZR®, dial 2,5", 0/70 bar &amp; 0/1.000 psi, 1/4" BSPT posterior, caja Ac. Inox. 304, internos Ac. Inox. 316, clase 1,5%, cierre repujado, amortiguador seco.</t>
  </si>
  <si>
    <t>PFQ180ZRR1R11</t>
  </si>
  <si>
    <t>Manómetro Winters Serie PFQ-ZR Quality STABILIZR®, dial 2,5", 0/1.500 psi &amp; 0/100 bar, 1/4" NPT posterior, caja Ac. Inox. 304, internos Ac. Inox. 316, clase 1,5%, cierre repujado, amortiguador seco.</t>
  </si>
  <si>
    <t>PFQ180ZRR11R1-BSPT</t>
  </si>
  <si>
    <t>Manómetro Winters Serie PFQ-ZR Quality STABILIZR®, dial 2,5", 0/100 bar &amp; 0/1.500 psi, 1/4" BSPT posterior, caja Ac. Inox. 304, internos Ac. Inox. 316, clase 1,5%, cierre repujado, amortiguador seco.</t>
  </si>
  <si>
    <t>PFQ181ZRR1R11</t>
  </si>
  <si>
    <t>Manómetro Winters Serie PFQ-ZR Quality STABILIZR®, dial 2,5", 0/2.000 psi &amp; 0/140 bar, 1/4" NPT posterior, caja Ac. Inox. 304, internos Ac. Inox. 316, clase 1,5%, cierre repujado, amortiguador seco.</t>
  </si>
  <si>
    <t>PFQ181ZRR11R1-BSPT</t>
  </si>
  <si>
    <t>Manómetro Winters Serie PFQ-ZR Quality STABILIZR®, dial 2,5", 0/140 bar &amp; 0/2.000 psi, 1/4" BSPT posterior, caja Ac. Inox. 304, internos Ac. Inox. 316, clase 1,5%, cierre repujado, amortiguador seco.</t>
  </si>
  <si>
    <t>PFQ182ZRR1R11</t>
  </si>
  <si>
    <t>Manómetro Winters Serie PFQ-ZR Quality STABILIZR®, dial 2,5", 0/3.000 psi &amp; 0/200 bar, 1/4" NPT posterior, caja Ac. Inox. 304, internos Ac. Inox. 316, clase 1,5%, cierre repujado, amortiguador seco.</t>
  </si>
  <si>
    <t>PFQ183ZRR1R11</t>
  </si>
  <si>
    <t>Manómetro Winters Serie PFQ-ZR Quality STABILIZR®, dial 2,5", 0/5.000 psi &amp; 0/350 bar, 1/4" NPT posterior, caja Ac. Inox. 304, internos Ac. Inox. 316, clase 1,5%, cierre repujado, amortiguador seco.</t>
  </si>
  <si>
    <t>PFQ184ZRR1R11</t>
  </si>
  <si>
    <t>Manómetro Winters Serie PFQ-ZR Quality STABILIZR®, dial 2,5", 0/6.000 psi &amp; 0/400 bar, 1/4" NPT posterior, caja Ac. Inox. 304, internos Ac. Inox. 316, clase 1,5%, cierre repujado, amortiguador seco.</t>
  </si>
  <si>
    <t>PFQ184ZRR11R1-BSPT</t>
  </si>
  <si>
    <t>Manómetro Winters Serie PFQ-ZR Quality STABILIZR®, dial 2,5", 0/400 bar &amp; 0/6.000 psi, 1/4" BSPT posterior, caja Ac. Inox. 304, internos Ac. Inox. 316, clase 1,5%, cierre repujado, amortiguador seco.</t>
  </si>
  <si>
    <t>PFQ186ZRR1R11</t>
  </si>
  <si>
    <t>Manómetro Winters Serie PFQ-ZR Quality STABILIZR®, dial 2,5", 0/7.500 psi &amp; 0/500 bar, 1/4" NPT posterior, caja Ac. Inox. 304, internos Ac. Inox. 316, clase 1,5%, cierre repujado, amortiguador seco.</t>
  </si>
  <si>
    <t>PFQ190ZRR1R11</t>
  </si>
  <si>
    <t>Manómetro Winters Serie PFQ-ZR Quality STABILIZR®, dial 2,5", 0/10.000 psi &amp; 0/700 bar, 1/4" NPT posterior, caja Ac. Inox. 304, internos Ac. Inox. 316, clase 1,5%, cierre repujado, amortiguador seco.</t>
  </si>
  <si>
    <t>PFQ190ZRR11R1-BSPT</t>
  </si>
  <si>
    <t>Manómetro Winters Serie PFQ-ZR Quality STABILIZR®, dial 2,5", 0/700 bar &amp; 0/10.000 psi, 1/4" BSPT posterior, caja Ac. Inox. 304, internos Ac. Inox. 316, clase 1,5%, cierre repujado, amortiguador seco.</t>
  </si>
  <si>
    <t>PFQ191ZRR1R11</t>
  </si>
  <si>
    <t>Manómetro Winters Serie PFQ-ZR Quality STABILIZR®, dial 2,5", 0/15.000 psi &amp; 0/1.000 bar, 1/4" NPT posterior, caja Ac. Inox. 304, internos Ac. Inox. 316, clase 1,5%, cierre repujado, amortiguador seco.</t>
  </si>
  <si>
    <t>PFQ191ZRR11R1-BSPT</t>
  </si>
  <si>
    <t>Manómetro Winters Serie PFQ-ZR Quality STABILIZR®, dial 2,5", 0/1.000 bar &amp; 0/15.000 psi, 1/4" BSPT posterior, caja Ac. Inox. 304, internos Ac. Inox. 316, clase 1,5%, cierre repujado, amortiguador seco.</t>
  </si>
  <si>
    <t>PFQ700ZRR6R11</t>
  </si>
  <si>
    <t>Vacuómetro Winters Serie PFQ-ZR Quality STABILIZR®, dial 4", -30/0"Hg &amp; -1/0 bar 1/4"NPT inferior, caja Ac. Inox 304, internos latón, clase 1,5%, cierre repujado, amortiguador seco.</t>
  </si>
  <si>
    <t>PFQ701ZRR1R11</t>
  </si>
  <si>
    <t>Manovacuómetro Winters Serie PFQ Quality STABILIZR®, dial 4", -30"Hg/0/15 psi &amp; -1/0/1 bar, 1/4"NPT inferior, caja Ac. Inox. 304, internos latón, clase 1,5%, cierre repujado, amortiguador seco.</t>
  </si>
  <si>
    <t>PFQ702ZRR1R11</t>
  </si>
  <si>
    <t>Manovacuómetro Winters Serie PFQ Quality STABILIZR®, dial 4", -30"Hg/0/30 psi &amp; -1/0/2 bar, 1/4"NPT inferior, caja Ac. Inox. 304, internos latón, clase 1,5%, cierre repujado, amortiguador seco.</t>
  </si>
  <si>
    <t>PFQ703ZRR1R11</t>
  </si>
  <si>
    <t>Manovacuómetro Winters Serie PFQ Quality STABILIZR®, dial 4", -30"Hg/0/60 psi &amp; -1/0/4 bar, 1/4"NPT inferior, caja Ac. Inox. 304, internos latón, clase 1,5%, cierre repujado, amortiguador seco.</t>
  </si>
  <si>
    <t>PFQ704ZRR1R11</t>
  </si>
  <si>
    <t>Manovacuómetro Winters Serie PFQ Quality STABILIZR®, dial 4", -30"Hg/0/100 psi &amp; -1/0/7 bar, 1/4"NPT inferior, caja Ac. Inox. 304, internos latón, clase 1,5%, cierre repujado, amortiguador seco.</t>
  </si>
  <si>
    <t>PFQ705ZRR1R11</t>
  </si>
  <si>
    <t>Manovacuómetro Winters Serie PFQ Quality STABILIZR®, dial 4", -30"Hg/0/100 psi &amp; -1/0/10 bar, 1/4"NPT inferior, caja Ac. Inox. 304, internos latón, clase 1,5%, cierre repujado, amortiguador seco.</t>
  </si>
  <si>
    <t>PFQ706ZRR1R11</t>
  </si>
  <si>
    <t>Manovacuómetro Winters Serie PFQ Quality STABILIZR®, dial 4", -30"Hg/0/200 psi &amp; -1/0/14 bar, 1/4"NPT inferior, caja Ac. Inox. 304, internos latón, clase 1,5%, cierre repujado, amortiguador seco.</t>
  </si>
  <si>
    <t>PFQ707ZRR1R11</t>
  </si>
  <si>
    <t>Manovacuómetro Winters Serie PFQ Quality STABILIZR®, dial 4", -30"Hg/0/300 psi &amp; -1/0/20 bar, 1/4"NPT inferior, caja Ac. Inox. 304, internos latón, clase 1,5%, cierre repujado, amortiguador seco.</t>
  </si>
  <si>
    <t>PFQ708ZRR1R11</t>
  </si>
  <si>
    <t>Manómetro Winters Serie PFQ-ZR Quality STABILIZR®, dial 4", 0/15 psi &amp; 0/1 bar, 1/4"NPT inferior, caja Ac. Inox. 304, internos latón, clase 1,5%, cierre repujado, amortiguador seco.</t>
  </si>
  <si>
    <t>PFQ709ZRR1R11</t>
  </si>
  <si>
    <t>Manómetro Winters Serie PFQ-ZR Quality STABILIZR®, dial 4", 0/30 psi &amp; 0/2 bar, 1/4"NPT inferior, caja Ac. Inox. 304, internos latón, clase 1,5%, cierre repujado, amortiguador seco.</t>
  </si>
  <si>
    <t>PFQ710ZRR1R11</t>
  </si>
  <si>
    <t>Manómetro Winters Serie PFQ-ZR Quality STABILIZR®, dial 4", 0/60 psi &amp; 0/4 bar, 1/4"NPT inferior, caja Ac. Inox. 304, internos latón, clase 1,5%, cierre repujado, amortiguador seco.</t>
  </si>
  <si>
    <t>PFQ711ZRR1R11</t>
  </si>
  <si>
    <t>Manómetro Winters Serie PFQ-ZR Quality STABILIZR®, dial 4", 0/100 psi &amp; 0/7 bar, 1/4"NPT inferior, caja Ac. Inox. 304, internos latón, clase 1,5%, cierre repujado, amortiguador seco.</t>
  </si>
  <si>
    <t>PFQ712ZRR1R11</t>
  </si>
  <si>
    <t>Manómetro Winters Serie PFQ-ZR Quality STABILIZR®, dial 4", 0/160 psi &amp; 0/11 bar, 1/4"NPT inferior, caja Ac. Inox. 304, internos latón, clase 1,5%, cierre repujado, amortiguador seco.</t>
  </si>
  <si>
    <t>PFQ713ZRR1R11</t>
  </si>
  <si>
    <t>Manómetro Winters Serie PFQ-ZR Quality STABILIZR®, dial 4", 0/200 psi &amp; 0/14 bar, 1/4"NPT inferior, caja Ac. Inox. 304, internos latón, clase 1,5%, cierre repujado, amortiguador seco.</t>
  </si>
  <si>
    <t>PFQ714ZRR1R11</t>
  </si>
  <si>
    <t>Manómetro Winters Serie PFQ-ZR Quality STABILIZR®, dial 4", 0/300 psi &amp; 0/20 bar, 1/4"NPT inferior, caja Ac. Inox. 304, internos latón, clase 1,5%, cierre repujado, amortiguador seco.</t>
  </si>
  <si>
    <t>PFQ715ZRR1R11</t>
  </si>
  <si>
    <t>Manómetro Winters Serie PFQ-ZR Quality STABILIZR®, dial 4", 0/400 psi &amp; 0/30 bar, 1/4"NPT inferior, caja Ac. Inox. 304, internos latón, clase 1,5%, cierre repujado, amortiguador seco.</t>
  </si>
  <si>
    <t>PFQ716ZRR1R11</t>
  </si>
  <si>
    <t>Manómetro Winters Serie PFQ-ZR Quality STABILIZR®, dial 4", 0/600 psi &amp; 0/40 bar, 1/4"NPT inferior, caja Ac. Inox. 304, internos latón, clase 1,5%, cierre repujado, amortiguador seco.</t>
  </si>
  <si>
    <t>PFQ724ZRR1R11</t>
  </si>
  <si>
    <t>Manómetro Winters Serie PFQ-ZR Quality STABILIZR®, dial 4", 0/1.000 psi &amp; 0/70 bar, 1/4"NPT inferior, caja Ac. Inox. 304, internos latón, clase 1,5%, cierre repujado, amortiguador seco.</t>
  </si>
  <si>
    <t>PFQ725ZRR1R11</t>
  </si>
  <si>
    <t>Manómetro Winters Serie PFQ-ZR Quality STABILIZR®, dial 4", 0/1.500 psi &amp; 0/100 bar, 1/4"NPT inferior, caja Ac. Inox. 304, internos latón, clase 1,5%, cierre repujado, amortiguador seco.</t>
  </si>
  <si>
    <t>PFQ726ZRR1R11</t>
  </si>
  <si>
    <t>Manómetro Winters Serie PFQ-ZR Quality STABILIZR®, dial 4", 0/2.000 psi &amp; 0/140 bar, 1/4"NPT inferior, caja Ac. Inox. 304, internos latón, clase 1,5%, cierre repujado, amortiguador seco.</t>
  </si>
  <si>
    <t>PFQ727ZRR1R11</t>
  </si>
  <si>
    <t>Manómetro Winters Serie PFQ-ZR Quality STABILIZR®, dial 4", 0/3.000 psi &amp; 0/200 bar, 1/4"NPT inferior, caja Ac. Inox. 304, internos latón, clase 1,5%, cierre repujado, amortiguador seco.</t>
  </si>
  <si>
    <t>PFQ728ZRR1R11</t>
  </si>
  <si>
    <t>Manómetro Winters Serie PFQ-ZR Quality STABILIZR®, dial 4", 0/5.000 psi &amp; 0/350 bar, 1/4"NPT inferior, caja Ac. Inox. 304, internos latón, clase 1,5%, cierre repujado, amortiguador seco.</t>
  </si>
  <si>
    <t>PFQ346ZRR1R11</t>
  </si>
  <si>
    <t>Manómetro Winters Serie PFQ-ZR Quality STABILIZR®, dial 4", 0/6.000 psi &amp; 0/400 bar, 1/4"NPT inferior, caja Ac. Inox. 304, internos latón, clase 1,5%, cierre repujado, amortiguador seco.</t>
  </si>
  <si>
    <t>PFQ347ZRR1R11</t>
  </si>
  <si>
    <t>Manómetro Winters Serie PFQ-ZR Quality STABILIZR®, dial 4", 0/7.500 psi &amp; 0/500 bar, 1/4"NPT inferior, caja Ac. Inox. 304, internos latón, clase 1,5%, cierre repujado, amortiguador seco.</t>
  </si>
  <si>
    <t>PFQ729ZRR1R11</t>
  </si>
  <si>
    <t>Manómetro Winters Serie PFQ-ZR Quality STABILIZR®, dial 4", 0/10.000 psi &amp; 0/700 bar, 1/4"NPT inferior, caja Ac. Inox. 304, internos latón, clase 1,5%, cierre repujado, amortiguador seco.</t>
  </si>
  <si>
    <t>PFQ261ZRR1R11</t>
  </si>
  <si>
    <t>Manómetro Winters Serie PFQ-ZR Quality STABILIZR®, dial 4", 0/15.000 psi &amp; 0/1.000 bar, 1/4"NPT inferior, caja Ac. Inox. 304, internos latón, clase 1,5%, cierre repujado, amortiguador seco.</t>
  </si>
  <si>
    <t>PFQ730ZRR6R11</t>
  </si>
  <si>
    <t>Vacuómetro Winters Serie PFQ-ZR Quality STABILIZR®, dial 4", -30/0"Hg &amp; -1/0 bar 1/4"NPT posterior, caja Ac. Inox 304, internos latón, clase 1,5%, cierre repujado, amortiguador seco.</t>
  </si>
  <si>
    <t>PFQ731ZRR1R11</t>
  </si>
  <si>
    <t>Manovacuómetro Winters Serie PFQ Quality STABILIZR®, dial 4", -30"Hg/0/15 psi &amp; -1/0/1 bar, 1/4"NPT posterior, caja Ac. Inox. 304, internos latón, clase 1,5%, cierre repujado, amortiguador seco.</t>
  </si>
  <si>
    <t>PFQ732ZRR1R11</t>
  </si>
  <si>
    <t>Manovacuómetro Winters Serie PFQ Quality STABILIZR®, dial 4", -30"Hg/0/30 psi &amp; -1/0/2 bar, 1/4"NPT posterior, caja Ac. Inox. 304, internos latón, clase 1,5%, cierre repujado, amortiguador seco.</t>
  </si>
  <si>
    <t>PFQ733ZRR1R11</t>
  </si>
  <si>
    <t>Manovacuómetro Winters Serie PFQ Quality STABILIZR®, dial 4", -30"Hg/0/60 psi &amp; -1/0/4 bar, 1/4"NPT posterior, caja Ac. Inox. 304, internos latón, clase 1,5%, cierre repujado, amortiguador seco.</t>
  </si>
  <si>
    <t>PFQ734ZRR1R11</t>
  </si>
  <si>
    <t>Manovacuómetro Winters Serie PFQ Quality STABILIZR®, dial 4", -30"Hg/0/100 psi &amp; -1/0/7 bar, 1/4"NPT posterior, caja Ac. Inox. 304, internos latón, clase 1,5%, cierre repujado, amortiguador seco.</t>
  </si>
  <si>
    <t>PFQ735ZRR1R11</t>
  </si>
  <si>
    <t>Manovacuómetro Winters Serie PFQ Quality STABILIZR®, dial 4", -30"Hg/0/100 psi &amp; -1/0/10 bar, 1/4"NPT posterior, caja Ac. Inox. 304, internos latón, clase 1,5%, cierre repujado, amortiguador seco.</t>
  </si>
  <si>
    <t>PFQ736ZRR1R11</t>
  </si>
  <si>
    <t>Manovacuómetro Winters Serie PFQ Quality STABILIZR®, dial 4", -30"Hg/0/200 psi &amp; -1/0/14 bar, 1/4"NPT posterior, caja Ac. Inox. 304, internos latón, clase 1,5%, cierre repujado, amortiguador seco.</t>
  </si>
  <si>
    <t>PFQ737ZRR1R11</t>
  </si>
  <si>
    <t>Manovacuómetro Winters Serie PFQ Quality STABILIZR®, dial 4", -30"Hg/0/300 psi &amp; -1/0/20 bar, 1/4"NPT posterior, caja Ac. Inox. 304, internos latón, clase 1,5%, cierre repujado, amortiguador seco.</t>
  </si>
  <si>
    <t>PFQ738ZRR1R11</t>
  </si>
  <si>
    <t>Manómetro Winters Serie PFQ-ZR Quality STABILIZR®, dial 4", 0/15 psi &amp; 0/1 bar, 1/4"NPT posterior, caja Ac. Inox. 304, internos latón, clase 1,5%, cierre repujado, amortiguador seco.</t>
  </si>
  <si>
    <t>PFQ739ZRR1R11</t>
  </si>
  <si>
    <t>Manómetro Winters Serie PFQ-ZR Quality STABILIZR®, dial 4", 0/30 psi &amp; 0/2 bar, 1/4"NPT posterior, caja Ac. Inox. 304, internos latón, clase 1,5%, cierre repujado, amortiguador seco.</t>
  </si>
  <si>
    <t>PFQ740ZRR1R11</t>
  </si>
  <si>
    <t>Manómetro Winters Serie PFQ-ZR Quality STABILIZR®, dial 4", 0/60 psi &amp; 0/4 bar, 1/4"NPT posterior, caja Ac. Inox. 304, internos latón, clase 1,5%, cierre repujado, amortiguador seco.</t>
  </si>
  <si>
    <t>PFQ741ZRR1R11</t>
  </si>
  <si>
    <t>Manómetro Winters Serie PFQ-ZR Quality STABILIZR®, dial 4", 0/100 psi &amp; 0/7 bar, 1/4"NPT posterior, caja Ac. Inox. 304, internos latón, clase 1,5%, cierre repujado, amortiguador seco.</t>
  </si>
  <si>
    <t>PFQ742ZRR1R11</t>
  </si>
  <si>
    <t>Manómetro Winters Serie PFQ-ZR Quality STABILIZR®, dial 4", 0/160 psi &amp; 0/11 bar, 1/4"NPT posterior, caja Ac. Inox. 304, internos latón, clase 1,5%, cierre repujado, amortiguador seco.</t>
  </si>
  <si>
    <t>PFQ743ZRR1R11</t>
  </si>
  <si>
    <t>Manómetro Winters Serie PFQ-ZR Quality STABILIZR®, dial 4", 0/200 psi &amp; 0/14 bar, 1/4"NPT posterior, caja Ac. Inox. 304, internos latón, clase 1,5%, cierre repujado, amortiguador seco.</t>
  </si>
  <si>
    <t>PFQ744ZRR1R11</t>
  </si>
  <si>
    <t>Manómetro Winters Serie PFQ-ZR Quality STABILIZR®, dial 4", 0/300 psi &amp; 0/20 bar, 1/4"NPT posterior, caja Ac. Inox. 304, internos latón, clase 1,5%, cierre repujado, amortiguador seco.</t>
  </si>
  <si>
    <t>PFQ745ZRR1R11</t>
  </si>
  <si>
    <t>Manómetro Winters Serie PFQ-ZR Quality STABILIZR®, dial 4", 0/400 psi &amp; 0/30 bar, 1/4"NPT posterior, caja Ac. Inox. 304, internos latón, clase 1,5%, cierre repujado, amortiguador seco.</t>
  </si>
  <si>
    <t>PFQ746ZRR1R11</t>
  </si>
  <si>
    <t>Manómetro Winters Serie PFQ-ZR Quality STABILIZR®, dial 4", 0/600 psi &amp; 0/40 bar, 1/4"NPT posterior, caja Ac. Inox. 304, internos latón, clase 1,5%, cierre repujado, amortiguador seco.</t>
  </si>
  <si>
    <t>PFQ192ZRR1R11</t>
  </si>
  <si>
    <t>Manómetro Winters Serie PFQ-ZR Quality STABILIZR®, dial 4", 0/1.000 psi &amp; 0/70 bar, 1/4"NPT posterior, caja Ac. Inox. 304, internos latón, clase 1,5%, cierre repujado, amortiguador seco.</t>
  </si>
  <si>
    <t>PFQ241ZRR1R11</t>
  </si>
  <si>
    <t>Manómetro Winters Serie PFQ-ZR Quality STABILIZR®, dial 4", 0/1.500 psi &amp; 0/100 bar, 1/4"NPT posterior, caja Ac. Inox. 304, internos latón, clase 1,5%, cierre repujado, amortiguador seco.</t>
  </si>
  <si>
    <t>PFQ242ZRR1R11</t>
  </si>
  <si>
    <t>Manómetro Winters Serie PFQ-ZR Quality STABILIZR®, dial 4", 0/2.000 psi &amp; 0/140 bar, 1/4"NPT posterior, caja Ac. Inox. 304, internos latón, clase 1,5%, cierre repujado, amortiguador seco.</t>
  </si>
  <si>
    <t>PFQ243ZRR1R11</t>
  </si>
  <si>
    <t>Manómetro Winters Serie PFQ-ZR Quality STABILIZR®, dial 4", 0/3.000 psi &amp; 0/200 bar, 1/4"NPT posterior, caja Ac. Inox. 304, internos latón, clase 1,5%, cierre repujado, amortiguador seco.</t>
  </si>
  <si>
    <t>PFQ244ZRR1R11</t>
  </si>
  <si>
    <t>Manómetro Winters Serie PFQ-ZR Quality STABILIZR®, dial 4", 0/5.000 psi &amp; 0/350 bar, 1/4"NPT posterior, caja Ac. Inox. 304, internos latón, clase 1,5%, cierre repujado, amortiguador seco.</t>
  </si>
  <si>
    <t>PFQ246ZRR1R11</t>
  </si>
  <si>
    <t>Manómetro Winters Serie PFQ-ZR Quality STABILIZR®, dial 4", 0/6.000 psi &amp; 0/400 bar, 1/4"NPT posterior, caja Ac. Inox. 304, internos latón, clase 1,5%, cierre repujado, amortiguador seco.</t>
  </si>
  <si>
    <t>PFQ247ZRR1R11</t>
  </si>
  <si>
    <t>Manómetro Winters Serie PFQ-ZR Quality STABILIZR®, dial 4", 0/7.500 psi &amp; 0/500 bar, 1/4"NPT posterior, caja Ac. Inox. 304, internos latón, clase 1,5%, cierre repujado, amortiguador seco.</t>
  </si>
  <si>
    <t>PFQ360ZRR1R11</t>
  </si>
  <si>
    <t>Manómetro Winters Serie PFQ-ZR Quality STABILIZR®, dial 4", 0/10.000 psi &amp; 0/700 bar, 1/4"NPT posterior, caja Ac. Inox. 304, internos latón, clase 1,5%, cierre repujado, amortiguador seco.</t>
  </si>
  <si>
    <t>PFQ361ZRR1R11</t>
  </si>
  <si>
    <t>Manómetro Winters Serie PFQ-ZR Quality STABILIZR®, dial 4", 0/15.000 psi &amp; 0/1.000 bar, 1/4"NPT posterior, caja Ac. Inox. 304, internos latón, clase 1,5%, cierre repujado, amortiguador seco.</t>
  </si>
  <si>
    <t>PFQ1234ZRR6R11</t>
  </si>
  <si>
    <t>Vacuómetro Winters Serie PFQ-ZR Quality STABILIZR®, dial 4", -30/0"Hg &amp; -1/0 bar 1/2" NPT inferior, caja Ac. Inox 304, internos latón, clase 1,5%, cierre repujado, amortiguador seco.</t>
  </si>
  <si>
    <t>PFQ1234ZRR7R6</t>
  </si>
  <si>
    <t>Vacuómetro Winters Serie PFQ-ZR Quality STABILIZR®, dial 4", -760 mmHg/0 &amp; -30"Hg/0 1/2" NPT inferior, caja Ac. Inox 304, internos latón, clase 1,5%, cierre repujado, amortiguador seco.</t>
  </si>
  <si>
    <t>PFQ1235ZRR1R11</t>
  </si>
  <si>
    <t>Manovacuómetro Winters Serie PFQ Quality STABILIZR®, dial 4", -30"Hg/0/15 psi &amp; -1/0/1 bar, 1/2" NPT inferior, caja Ac. Inox. 304, internos latón, clase 1,5%, cierre repujado, amortiguador seco.</t>
  </si>
  <si>
    <t>PFQ1235ZRR7R3</t>
  </si>
  <si>
    <t>Manovacuómetro Winters Serie PFQ Quality STABILIZR®, dial 4", -760/0/760 mmHg &amp; -1/0/1 kg/cm2, 1/2" NPT inferior, caja Ac. Inox. 304, internos latón, clase 1,5%, cierre repujado, amortiguador seco.</t>
  </si>
  <si>
    <t>PFQ1236ZRR1R11</t>
  </si>
  <si>
    <t>Manovacuómetro Winters Serie PFQ Quality STABILIZR®, dial 4", -30"Hg/0/30 psi &amp; -1/0/2 bar, 1/2" NPT inferior, caja Ac. Inox. 304, internos latón, clase 1,5%, cierre repujado, amortiguador seco.</t>
  </si>
  <si>
    <t>PFQ1237ZRR1R11</t>
  </si>
  <si>
    <t>Manovacuómetro Winters Serie PFQ Quality STABILIZR®, dial 4", -30"Hg/0/60 psi &amp; -1/0/4 bar, 1/2" NPT inferior, caja Ac. Inox. 304, internos latón, clase 1,5%, cierre repujado, amortiguador seco.</t>
  </si>
  <si>
    <t>PFQ1238ZRR1R11</t>
  </si>
  <si>
    <t>Manovacuómetro Winters Serie PFQ Quality STABILIZR®, dial 4", -30"Hg/0/100 psi &amp; -1/0/7 bar, 1/2" NPT inferior, caja Ac. Inox. 304, internos latón, clase 1,5%, cierre repujado, amortiguador seco.</t>
  </si>
  <si>
    <t>PFQ1239ZRR1R11</t>
  </si>
  <si>
    <t>Manovacuómetro Winters Serie PFQ Quality STABILIZR®, dial 4", -30"Hg/0/100 psi &amp; -1/0/10 bar, 1/2" NPT inferior, caja Ac. Inox. 304, internos latón, clase 1,5%, cierre repujado, amortiguador seco.</t>
  </si>
  <si>
    <t>PFQ1240ZRR1R11</t>
  </si>
  <si>
    <t>Manovacuómetro Winters Serie PFQ Quality STABILIZR®, dial 4", -30"Hg/0/200 psi &amp; -1/0/14 bar, 1/2" NPT inferior, caja Ac. Inox. 304, internos latón, clase 1,5%, cierre repujado, amortiguador seco.</t>
  </si>
  <si>
    <t>PFQ1241ZRR1R11</t>
  </si>
  <si>
    <t>Manovacuómetro Winters Serie PFQ Quality STABILIZR®, dial 4", -30"Hg/0/300 psi &amp; -1/0/20 bar, 1/2" NPT inferior, caja Ac. Inox. 304, internos latón, clase 1,5%, cierre repujado, amortiguador seco.</t>
  </si>
  <si>
    <t>PFQ1242ZRR1R11</t>
  </si>
  <si>
    <t>Manómetro Winters Serie PFQ-ZR Quality STABILIZR®, dial 4", 0/15 psi &amp; 0/1 bar, 1/2" NPT inferior, caja Ac. Inox. 304, internos latón, clase 1,5%, cierre repujado, amortiguador seco.</t>
  </si>
  <si>
    <t>PFQ1243ZRR1R11</t>
  </si>
  <si>
    <t>Manómetro Winters Serie PFQ-ZR Quality STABILIZR®, dial 4", 0/30 psi &amp; 0/2 bar, 1/2" NPT inferior, caja Ac. Inox. 304, internos latón, clase 1,5%, cierre repujado, amortiguador seco.</t>
  </si>
  <si>
    <t>PFQ1243ZR11R1-BSPT</t>
  </si>
  <si>
    <t>Manómetro Winters Serie PFQ-ZR Quality STABILIZR®, dial 4", 0/2 bar &amp; 0/30 psi, 1/2" BSPT inferior, caja Ac. Inox. 304, internos latón, clase 1,5%, cierre repujado, amortiguador seco.</t>
  </si>
  <si>
    <t>PFQ1244ZRR1R11</t>
  </si>
  <si>
    <t>Manómetro Winters Serie PFQ-ZR Quality STABILIZR®, dial 4", 0/60 psi &amp; 0/4 bar, 1/2" NPT inferior, caja Ac. Inox. 304, internos latón, clase 1,5%, cierre repujado, amortiguador seco.</t>
  </si>
  <si>
    <t>PFQ1244ZRR11R1-BSPT</t>
  </si>
  <si>
    <t>Manómetro Winters Serie PFQ-ZR Quality STABILIZR®, dial 4", 0/4 bar &amp; 0/60 psi, 1/2" BSPT inferior, caja Ac. Inox. 304, internos latón, clase 1,5%, cierre repujado, amortiguador seco.</t>
  </si>
  <si>
    <t>PFQ1245ZRR1R11</t>
  </si>
  <si>
    <t>Manómetro Winters Serie PFQ-ZR Quality STABILIZR®, dial 4", 0/100 psi &amp; 0/7 bar, 1/2" NPT inferior, caja Ac. Inox. 304, internos latón, clase 1,5%, cierre repujado, amortiguador seco.</t>
  </si>
  <si>
    <t>PFQ1245ZRR11R1-BSPT</t>
  </si>
  <si>
    <t>Manómetro Winters Serie PFQ-ZR Quality STABILIZR®, dial 4", 0/7 bar &amp; 0/100 psi, 1/2" BSPT inferior, caja Ac. Inox. 304, internos latón, clase 1,5%, cierre repujado, amortiguador seco.</t>
  </si>
  <si>
    <t>PFQ1246ZRR3R1</t>
  </si>
  <si>
    <t>Manómetro Winters Serie PFQ-ZR Quality STABILIZR®, dial 4", 0/10 Kg/cm2 &amp; 0/150 psi, 1/2" NPT inferior, caja Ac. Inox. 304, internos latón, clase 1,5%, cierre repujado, amortiguador seco.</t>
  </si>
  <si>
    <t>PFQ1246ZRR11R1-BSPT</t>
  </si>
  <si>
    <t>Manómetro Winters Serie PFQ-ZR Quality STABILIZR®, dial 4", 0/10 bar &amp; 0/150 psi, 1/2" BSPT inferior, caja Ac. Inox. 304, internos latón, clase 1,5%, cierre repujado, amortiguador seco.</t>
  </si>
  <si>
    <t>PFQ1246ZRR1R11S</t>
  </si>
  <si>
    <t>Manómetro Winters Serie PFQ-ZR Quality STABILIZR®, dial 4", 0/150 psi &amp; 0/10 bar, 1/2" NPT inferior, caja Ac. Inox. 304, internos latón, clase 1,5%, cierre repujado, amortiguador seco.</t>
  </si>
  <si>
    <t>PFQ1246ZRR1R11</t>
  </si>
  <si>
    <t>Manómetro Winters Serie PFQ-ZR Quality STABILIZR®, dial 4", 0/160 psi &amp; 0/11 bar, 1/2" NPT inferior, caja Ac. Inox. 304, internos latón, clase 1,5%, cierre repujado, amortiguador seco.</t>
  </si>
  <si>
    <t>PFQ1247ZRR1R11</t>
  </si>
  <si>
    <t>Manómetro Winters Serie PFQ-ZR Quality STABILIZR®, dial 4", 0/200 psi &amp; 0/14 bar, 1/2" NPT inferior, caja Ac. Inox. 304, internos latón, clase 1,5%, cierre repujado, amortiguador seco.</t>
  </si>
  <si>
    <t>PFQ1247ZRR11R1-BSPT</t>
  </si>
  <si>
    <t>Manómetro Winters Serie PFQ-ZR Quality STABILIZR®, dial 4", 0/14 bar &amp; 0/200 psi, 1/2" BSPT inferior, caja Ac. Inox. 304, internos latón, clase 1,5%, cierre repujado, amortiguador seco.</t>
  </si>
  <si>
    <t>PFQ1248ZRR1R11</t>
  </si>
  <si>
    <t>Manómetro Winters Serie PFQ-ZR Quality STABILIZR®, dial 4", 0/300 psi &amp; 0/20 bar, 1/2" NPT inferior, caja Ac. Inox. 304, internos latón, clase 1,5%, cierre repujado, amortiguador seco.</t>
  </si>
  <si>
    <t>PFQ1248ZRR11R1</t>
  </si>
  <si>
    <t>Manómetro Winters Serie PFQ-ZR Quality STABILIZR®, dial 4", 0/20 bar &amp; 0/300 psi, 1/2" NPT inferior, caja Ac. Inox. 304, internos latón, clase 1,5%, cierre repujado, amortiguador seco.</t>
  </si>
  <si>
    <t>PFQ1248ZRR11R1-BSPT</t>
  </si>
  <si>
    <t>Manómetro Winters Serie PFQ-ZR Quality STABILIZR®, dial 4", 0/20 bar &amp; 0/300 psi, 1/2" BSPT inferior, caja Ac. Inox. 304, internos latón, clase 1,5%, cierre repujado, amortiguador seco.</t>
  </si>
  <si>
    <t>PFQ1249ZRR1R11</t>
  </si>
  <si>
    <t>Manómetro Winters Serie PFQ-ZR Quality STABILIZR®, dial 4", 0/400 psi &amp; 0/30 bar, 1/2" NPT inferior, caja Ac. Inox. 304, internos latón, clase 1,5%, cierre repujado, amortiguador seco.</t>
  </si>
  <si>
    <t>PFQ1249ZRR3R1</t>
  </si>
  <si>
    <t>Manómetro Winters Serie PFQ-ZR Quality STABILIZR®, dial 4", 0/30 Kg/cm2 &amp; 0/420 psi, 1/2" NPT inferior, caja Ac. Inox. 304, internos latón, clase 1,5%, cierre repujado, amortiguador seco.</t>
  </si>
  <si>
    <t>PFQ1249ZRR11R1-BSPT</t>
  </si>
  <si>
    <t>Manómetro Winters Serie PFQ-ZR Quality STABILIZR®, dial 4", 0/30 bar &amp; 0/400 psi, 1/2" BSPT inferior, caja Ac. Inox. 304, internos latón, clase 1,5%, cierre repujado, amortiguador seco.</t>
  </si>
  <si>
    <t>PFQ1250ZRR1R11</t>
  </si>
  <si>
    <t>Manómetro Winters Serie PFQ-ZR Quality STABILIZR®, dial 4", 0/600 psi &amp; 0/40 bar, 1/2" NPT inferior, caja Ac. Inox. 304, internos latón, clase 1,5%, cierre repujado, amortiguador seco.</t>
  </si>
  <si>
    <t>PFQ1250ZRR11R1</t>
  </si>
  <si>
    <t>Manómetro Winters Serie PFQ-ZR Quality STABILIZR®, dial 4", 0/40 bar &amp; 0/600 psi, 1/2" NPT inferior, caja Ac. Inox. 304, internos latón, clase 1,5%, cierre repujado, amortiguador seco.</t>
  </si>
  <si>
    <t>PFQ717ZRR1R11</t>
  </si>
  <si>
    <t>Manómetro Winters Serie PFQ-ZR Quality STABILIZR®, dial 4", 0/1.000 psi &amp; 0/70 bar, 1/2" NPT inferior, caja Ac. Inox. 304, internos latón, clase 1,5%, cierre repujado, amortiguador seco.</t>
  </si>
  <si>
    <t>PFQ717ZRR3R1S</t>
  </si>
  <si>
    <t>Manómetro Winters Serie PFQ-ZR Quality STABILIZR®, dial 4", 0/50 Kg/cm2 &amp; 0/725 psi, 1/2" NPT inferior, caja Ac. Inox. 304, internos latón, clase 1,5%, cierre repujado, amortiguador seco.</t>
  </si>
  <si>
    <t>PFQ718ZRR1R11</t>
  </si>
  <si>
    <t>Manómetro Winters Serie PFQ-ZR Quality STABILIZR®, dial 4", 0/1.500 psi &amp; 0/100 bar, 1/2" NPT inferior, caja Ac. Inox. 304, internos latón, clase 1,5%, cierre repujado, amortiguador seco.</t>
  </si>
  <si>
    <t>PFQ718ZRR11R1</t>
  </si>
  <si>
    <t>Manómetro Winters Serie PFQ-ZR Quality STABILIZR®, dial 4", 0/100 bar &amp; 0/1.500 psi, 1/2" NPT inferior, caja Ac. Inox. 304, internos latón, clase 1,5%, cierre repujado, amortiguador seco.</t>
  </si>
  <si>
    <t>PFQ719ZRR1R11</t>
  </si>
  <si>
    <t>Manómetro Winters Serie PFQ-ZR Quality STABILIZR®, dial 4", 0/2.000 psi &amp; 0/140 bar, 1/2" NPT inferior, caja Ac. Inox. 304, internos latón, clase 1,5%, cierre repujado, amortiguador seco.</t>
  </si>
  <si>
    <t>PFQ720ZRR1R11</t>
  </si>
  <si>
    <t>Manómetro Winters Serie PFQ-ZR Quality STABILIZR®, dial 4", 0/3.000 psi &amp; 0/200 bar, 1/2" NPT inferior, caja Ac. Inox. 304, internos latón, clase 1,5%, cierre repujado, amortiguador seco.</t>
  </si>
  <si>
    <t>PFQ720ZRR3R1</t>
  </si>
  <si>
    <t>Manómetro Winters Serie PFQ-ZR Quality STABILIZR®, dial 4", 0/200 Kg/cm2 &amp; 0/3.000 psi, 1/2" NPT inferior, caja Ac. Inox. 304, internos latón, clase 1,5%, cierre repujado, amortiguador seco.</t>
  </si>
  <si>
    <t>PFQ721ZRR1R11</t>
  </si>
  <si>
    <t>Manómetro Winters Serie PFQ-ZR Quality STABILIZR®, dial 4", 0/5.000 psi &amp; 0/350 bar, 1/2" NPT inferior, caja Ac. Inox. 304, internos latón, clase 1,5%, cierre repujado, amortiguador seco.</t>
  </si>
  <si>
    <t>PFQ784ZRR1R11</t>
  </si>
  <si>
    <t>Manómetro Winters Serie PFQ-ZR Quality STABILIZR®, dial 4", 0/6.000 psi &amp; 0/400 bar, 1/2" NPT inferior, caja Ac. Inox. 304, internos latón, clase 1,5%, cierre repujado, amortiguador seco.</t>
  </si>
  <si>
    <t>PFQ784ZRR11R1</t>
  </si>
  <si>
    <t>Manómetro Winters Serie PFQ-ZR Quality STABILIZR®, dial 4", 0/400 bar &amp; 0/6.000 psi, 1/2" NPT inferior, caja Ac. Inox. 304, internos latón, clase 1,5%, cierre repujado, amortiguador seco.</t>
  </si>
  <si>
    <t>PFQ784ZRR3R1</t>
  </si>
  <si>
    <t>Manómetro Winters Serie PFQ-ZR Quality STABILIZR®, dial 4", 0/400 Kg/cm2 &amp; 0/5.800 psi, 1/2" NPT inferior, caja Ac. Inox. 304, internos latón, clase 1,5%, cierre repujado, amortiguador seco.</t>
  </si>
  <si>
    <t>PFQ786ZRR1R11</t>
  </si>
  <si>
    <t>Manómetro Winters Serie PFQ-ZR Quality STABILIZR®, dial 4", 0/7.500 psi &amp; 0/500 bar, 1/2" NPT inferior, caja Ac. Inox. 304, internos latón, clase 1,5%, cierre repujado, amortiguador seco.</t>
  </si>
  <si>
    <t>PFQ722ZRR1R11</t>
  </si>
  <si>
    <t>Manómetro Winters Serie PFQ-ZR Quality STABILIZR®, dial 4", 0/10.000 psi &amp; 0/700 bar, 1/2" NPT inferior, caja Ac. Inox. 304, internos latón, clase 1,5%, cierre repujado, amortiguador seco.</t>
  </si>
  <si>
    <t>PFQ723ZRR1R11</t>
  </si>
  <si>
    <t>Manómetro Winters Serie PFQ-ZR Quality STABILIZR®, dial 4", 0/15.000 psi &amp; 0/1.000 bar, 1/2" NPT inferior, caja Ac. Inox. 304, internos latón, clase 1,5%, cierre repujado, amortiguador seco.</t>
  </si>
  <si>
    <t>PFQ1285ZRR6R11</t>
  </si>
  <si>
    <t>Vacuómetro Winters Serie PFQ-ZR Quality STABILIZR®, dial 4", -30/0"Hg &amp; -1/0 bar 1/2" NPT posterior, caja Ac. Inox 304, internos latón, clase 1,5%, cierre repujado, amortiguador seco.</t>
  </si>
  <si>
    <t>PFQ1285ZRR7R6-BSPT</t>
  </si>
  <si>
    <t>Vacuómetro Winters Serie PFQ-ZR Quality STABILIZR®, dial 4", -760 mmHg/0 &amp; -30"Hg/0, 1/2" BSPT posterior, caja Ac. Inox 304, internos latón, clase 1,5%, cierre repujado, amortiguador seco.</t>
  </si>
  <si>
    <t>PFQ1286ZRR1R11</t>
  </si>
  <si>
    <t>Manovacuómetro Winters Serie PFQ Quality STABILIZR®, dial 4", -30"Hg/0/15 psi &amp; -1/0/1 bar, 1/2" NPT posterior, caja Ac. Inox. 304, internos latón, clase 1,5%, cierre repujado, amortiguador seco.</t>
  </si>
  <si>
    <t>PFQ1287ZRR1R11</t>
  </si>
  <si>
    <t>Manovacuómetro Winters Serie PFQ Quality STABILIZR®, dial 4", -30"Hg/0/30 psi &amp; -1/0/2 bar, 1/2" NPT posterior, caja Ac. Inox. 304, internos latón, clase 1,5%, cierre repujado, amortiguador seco.</t>
  </si>
  <si>
    <t>PFQ1288ZRR1R11</t>
  </si>
  <si>
    <t>Manovacuómetro Winters Serie PFQ Quality STABILIZR®, dial 4", -30"Hg/0/60 psi &amp; -1/0/4 bar, 1/2" NPT posterior, caja Ac. Inox. 304, internos latón, clase 1,5%, cierre repujado, amortiguador seco.</t>
  </si>
  <si>
    <t>PFQ1289ZRR1R11</t>
  </si>
  <si>
    <t>Manovacuómetro Winters Serie PFQ Quality STABILIZR®, dial 4", -30"Hg/0/100 psi &amp; -1/0/7 bar, 1/2" NPT posterior, caja Ac. Inox. 304, internos latón, clase 1,5%, cierre repujado, amortiguador seco.</t>
  </si>
  <si>
    <t>PFQ1290ZRR1R11</t>
  </si>
  <si>
    <t>Manovacuómetro Winters Serie PFQ Quality STABILIZR®, dial 4", -30"Hg/0/100 psi &amp; -1/0/10 bar, 1/2" NPT posterior, caja Ac. Inox. 304, internos latón, clase 1,5%, cierre repujado, amortiguador seco.</t>
  </si>
  <si>
    <t>PFQ1291ZRR1R11</t>
  </si>
  <si>
    <t>Manovacuómetro Winters Serie PFQ Quality STABILIZR®, dial 4", -30"Hg/0/200 psi &amp; -1/0/14 bar, 1/2" NPT posterior, caja Ac. Inox. 304, internos latón, clase 1,5%, cierre repujado, amortiguador seco.</t>
  </si>
  <si>
    <t>PFQ1292ZRR1R11</t>
  </si>
  <si>
    <t>Manovacuómetro Winters Serie PFQ Quality STABILIZR®, dial 4", -30"Hg/0/300 psi &amp; -1/0/20 bar, 1/2" NPT posterior, caja Ac. Inox. 304, internos latón, clase 1,5%, cierre repujado, amortiguador seco.</t>
  </si>
  <si>
    <t>PFQ1293ZRR1R11</t>
  </si>
  <si>
    <t>Manómetro Winters Serie PFQ-ZR Quality STABILIZR®, dial 4", 0/15 psi &amp; 0/1 bar, 1/2" NPT posterior, caja Ac. Inox. 304, internos latón, clase 1,5%, cierre repujado, amortiguador seco.</t>
  </si>
  <si>
    <t>PFQ1293ZRR11R1-BSPT</t>
  </si>
  <si>
    <t>Manómetro Winters Serie PFQ-ZR Quality STABILIZR®, dial 4", 0/1 bar &amp; 0/15 psi, 1/2" BSPT posterior, caja Ac. Inox. 304, internos latón, clase 1,5%, cierre repujado, amortiguador seco.</t>
  </si>
  <si>
    <t>PFQ1294ZRR1R11</t>
  </si>
  <si>
    <t>Manómetro Winters Serie PFQ-ZR Quality STABILIZR®, dial 4", 0/30 psi &amp; 0/2 bar, 1/2" NPT posterior, caja Ac. Inox. 304, internos latón, clase 1,5%, cierre repujado, amortiguador seco.</t>
  </si>
  <si>
    <t>PFQ1294ZRR11R1-BSPT</t>
  </si>
  <si>
    <t>Manómetro Winters Serie PFQ-ZR Quality STABILIZR®, dial 4", 0/2 bar &amp; 0/30 psi, 1/2" BSPT posterior, caja Ac. Inox. 304, internos latón, clase 1,5%, cierre repujado, amortiguador seco.</t>
  </si>
  <si>
    <t>PFQ1295ZRR1R11</t>
  </si>
  <si>
    <t>Manómetro Winters Serie PFQ-ZR Quality STABILIZR®, dial 4", 0/60 psi &amp; 0/4 bar, 1/2" NPT posterior, caja Ac. Inox. 304, internos latón, clase 1,5%, cierre repujado, amortiguador seco.</t>
  </si>
  <si>
    <t>PFQ1295ZRR11R1-BSPT</t>
  </si>
  <si>
    <t>Manómetro Winters Serie PFQ-ZR Quality STABILIZR®, dial 4", 0/4 bar &amp; 0/60 psi, 1/2" BSPT posterior, caja Ac. Inox. 304, internos latón, clase 1,5%, cierre repujado, amortiguador seco.</t>
  </si>
  <si>
    <t>PFQ1296ZRR1R11</t>
  </si>
  <si>
    <t>Manómetro Winters Serie PFQ-ZR Quality STABILIZR®, dial 4", 0/100 psi &amp; 0/7 bar, 1/2" NPT posterior, caja Ac. Inox. 304, internos latón, clase 1,5%, cierre repujado, amortiguador seco.</t>
  </si>
  <si>
    <t>PFQ1296ZRR11R1-BSPT</t>
  </si>
  <si>
    <t>Manómetro Winters Serie PFQ-ZR Quality STABILIZR®, dial 4", 0/7 bar &amp; 0/100 psi, 1/2" BSPT posterior, caja Ac. Inox. 304, internos latón, clase 1,5%, cierre repujado, amortiguador seco.</t>
  </si>
  <si>
    <t>PFQ1298ZRR11R1-BSPT</t>
  </si>
  <si>
    <t>Manómetro Winters Serie PFQ-ZR Quality STABILIZR®, dial 4", 0/10 bar &amp; 0/150 psi, 1/2" BSPT posterior, caja Ac. Inox. 304, internos latón, clase 1,5%, cierre repujado, amortiguador seco.</t>
  </si>
  <si>
    <t>PFQ1298ZRR1R11</t>
  </si>
  <si>
    <t>Manómetro Winters Serie PFQ-ZR Quality STABILIZR®, dial 4", 0/160 psi &amp; 0/11 bar, 1/2" NPT posterior, caja Ac. Inox. 304, internos latón, clase 1,5%, cierre repujado, amortiguador seco.</t>
  </si>
  <si>
    <t>PFQ1524ZRR1R11</t>
  </si>
  <si>
    <t>Manómetro Winters Serie PFQ-ZR Quality STABILIZR®, dial 4", 0/200 psi &amp; 0/14 bar, 1/2" NPT posterior, caja Ac. Inox. 304, internos latón, clase 1,5%, cierre repujado, amortiguador seco.</t>
  </si>
  <si>
    <t>PFQ1524ZRR11R1-BSPT</t>
  </si>
  <si>
    <t>Manómetro Winters Serie PFQ-ZR Quality STABILIZR®, dial 4", 0/15 bar/psi, 1/2" BSPT posterior, caja Ac. Inox. 304, internos latón, clase 1,5%, cierre repujado, amortiguador seco.</t>
  </si>
  <si>
    <t>PFQ1525ZRR1R11</t>
  </si>
  <si>
    <t>Manómetro Winters Serie PFQ-ZR Quality STABILIZR®, dial 4", 0/300 psi &amp; 0/20 bar, 1/2" NPT posterior, caja Ac. Inox. 304, internos latón, clase 1,5%, cierre repujado, amortiguador seco.</t>
  </si>
  <si>
    <t>PFQ1525ZRR11R1</t>
  </si>
  <si>
    <t>Manómetro Winters Serie PFQ-ZR Quality STABILIZR®, dial 4", 0/20 bar &amp; 0/300 psi, 1/2" NPT posterior, caja Ac. Inox. 304, internos latón, clase 1,5%, cierre repujado, amortiguador seco.</t>
  </si>
  <si>
    <t>PFQ1526ZRR1R11</t>
  </si>
  <si>
    <t>Manómetro Winters Serie PFQ-ZR Quality STABILIZR®, dial 4", 0/400 psi &amp; 0/30 bar, 1/2" NPT posterior, caja Ac. Inox. 304, internos latón, clase 1,5%, cierre repujado, amortiguador seco.</t>
  </si>
  <si>
    <t>PFQ1526ZRR11R1</t>
  </si>
  <si>
    <t>Manómetro Winters Serie PFQ-ZR Quality STABILIZR®, dial 4", 0/30 bar &amp; 0/400 psi, 1/2" NPT posterior, caja Ac. Inox. 304, internos latón, clase 1,5%, cierre repujado, amortiguador seco.</t>
  </si>
  <si>
    <t>PFQ1527ZRR1R11</t>
  </si>
  <si>
    <t>Manómetro Winters Serie PFQ-ZR Quality STABILIZR®, dial 4", 0/600 psi &amp; 0/40 bar, 1/2" NPT posterior, caja Ac. Inox. 304, internos latón, clase 1,5%, cierre repujado, amortiguador seco.</t>
  </si>
  <si>
    <t>PFQ1527ZRR11R1</t>
  </si>
  <si>
    <t>Manómetro Winters Serie PFQ-ZR Quality STABILIZR®, dial 4", 0/40 bar &amp; 0/600 psi, 1/2" NPT posterior, caja Ac. Inox. 304, internos latón, clase 1,5%, cierre repujado, amortiguador seco.</t>
  </si>
  <si>
    <t>PFQ747ZRR1R11</t>
  </si>
  <si>
    <t>Manómetro Winters Serie PFQ-ZR Quality STABILIZR®, dial 4", 0/1.000 psi &amp; 0/70 bar, 1/2" NPT posterior, caja Ac. Inox. 304, internos latón, clase 1,5%, cierre repujado, amortiguador seco.</t>
  </si>
  <si>
    <t>PFQ747ZRR11R1</t>
  </si>
  <si>
    <t>Manómetro Winters Serie PFQ-ZR Quality STABILIZR®, dial 4", 0/70 bar &amp; 0/1.000 psi, 1/2" NPT posterior, caja Ac. Inox. 304, internos latón, clase 1,5%, cierre repujado, amortiguador seco.</t>
  </si>
  <si>
    <t>PFQ748ZRR1R11</t>
  </si>
  <si>
    <t>Manómetro Winters Serie PFQ-ZR Quality STABILIZR®, dial 4", 0/1.500 psi &amp; 0/100 bar, 1/2" NPT posterior, caja Ac. Inox. 304, internos latón, clase 1,5%, cierre repujado, amortiguador seco.</t>
  </si>
  <si>
    <t>PFQ749ZRR1R11</t>
  </si>
  <si>
    <t>Manómetro Winters Serie PFQ-ZR Quality STABILIZR®, dial 4", 0/2.000 psi &amp; 0/140 bar, 1/2" NPT posterior, caja Ac. Inox. 304, internos latón, clase 1,5%, cierre repujado, amortiguador seco.</t>
  </si>
  <si>
    <t>PFQ750ZRR1R11</t>
  </si>
  <si>
    <t>Manómetro Winters Serie PFQ-ZR Quality STABILIZR®, dial 4", 0/3.000 psi &amp; 0/200 bar, 1/2" NPT posterior, caja Ac. Inox. 304, internos latón, clase 1,5%, cierre repujado, amortiguador seco.</t>
  </si>
  <si>
    <t>PFQ750ZRR11R1</t>
  </si>
  <si>
    <t>Manómetro Winters Serie PFQ-ZR Quality STABILIZR®, dial 4", 0/200 bar &amp; 0/3.000 psi, 1/2" NPT posterior, caja Ac. Inox. 304, internos latón, clase 1,5%, cierre repujado, amortiguador seco.</t>
  </si>
  <si>
    <t>PFQ751ZRR11R1</t>
  </si>
  <si>
    <t>Manómetro Winters Serie PFQ-ZR Quality STABILIZR®, dial 4", 0/350 bar &amp; 0/4.500 psi, 1/2" NPT posterior, caja Ac. Inox. 304, internos latón, clase 1,5%, cierre repujado, amortiguador seco.</t>
  </si>
  <si>
    <t>PFQ751ZRR1R11</t>
  </si>
  <si>
    <t>Manómetro Winters Serie PFQ-ZR Quality STABILIZR®, dial 4", 0/5.000 psi &amp; 0/350 bar, 1/2" NPT posterior, caja Ac. Inox. 304, internos latón, clase 1,5%, cierre repujado, amortiguador seco.</t>
  </si>
  <si>
    <t>PFQ785ZRR1R11</t>
  </si>
  <si>
    <t>Manómetro Winters Serie PFQ-ZR Quality STABILIZR®, dial 4", 0/6.000 psi &amp; 0/400 bar, 1/2" NPT posterior, caja Ac. Inox. 304, internos latón, clase 1,5%, cierre repujado, amortiguador seco.</t>
  </si>
  <si>
    <t>PFQ785ZRR11R1</t>
  </si>
  <si>
    <t>Manómetro Winters Serie PFQ-ZR Quality STABILIZR®, dial 4", 0/400 bar &amp; 0/6.000 psi, 1/2" NPT posterior, caja Ac. Inox. 304, internos latón, clase 1,5%, cierre repujado, amortiguador seco.</t>
  </si>
  <si>
    <t>PFQ886ZRR1R11</t>
  </si>
  <si>
    <t>Manómetro Winters Serie PFQ-ZR Quality STABILIZR®, dial 4", 0/7.500 psi &amp; 0/500 bar, 1/2" NPT posterior, caja Ac. Inox. 304, internos latón, clase 1,5%, cierre repujado, amortiguador seco.</t>
  </si>
  <si>
    <t>PFQ752ZRR1R11</t>
  </si>
  <si>
    <t>Manómetro Winters Serie PFQ-ZR Quality STABILIZR®, dial 4", 0/10.000 psi &amp; 0/700 bar, 1/2" NPT posterior, caja Ac. Inox. 304, internos latón, clase 1,5%, cierre repujado, amortiguador seco.</t>
  </si>
  <si>
    <t>PFQ753ZRR1R11</t>
  </si>
  <si>
    <t>Manómetro Winters Serie PFQ-ZR Quality STABILIZR®, dial 4", 0/15.000 psi &amp; 0/1.000 bar, 1/2" NPT posterior, caja Ac. Inox. 304, internos latón, clase 1,5%, cierre repujado, amortiguador seco.</t>
  </si>
  <si>
    <t>PFQ1535ZRR6R11</t>
  </si>
  <si>
    <t>Vacuómetro Winters Serie PFQ-ZR Quality STABILIZR®, dial 4", -30/0"Hg &amp; -1/0 bar 1/2" NPT inferior, caja Ac. Inox 304, internos Ac. Inox. 316, clase 1,5%, cierre repujado, amortiguador seco.</t>
  </si>
  <si>
    <t>PFQ1535ZRR7R6-BSPT</t>
  </si>
  <si>
    <t>Vacuómetro Winters Serie PFQ-ZR Quality STABILIZR®, dial 4", -760mm/0"Hg &amp; -30"Hg/0, 1/2" BSPT inferior, caja Ac. Inox 304, internos Ac. Inox. 316, clase 1,5%, cierre repujado, amortiguador seco.</t>
  </si>
  <si>
    <t>PFQ1536ZRR1R11</t>
  </si>
  <si>
    <t>Manovacuómetro Winters Serie PFQ Quality STABILIZR®, dial 4", -30"Hg/0/15 psi &amp; -1/0/1 bar, 1/2" NPT inferior, caja Ac. Inox. 304, internos Ac. Inox. 316, clase 1,5%, cierre repujado, amortiguador seco.</t>
  </si>
  <si>
    <t>PFQ1537ZRR1R11</t>
  </si>
  <si>
    <t>Manovacuómetro Winters Serie PFQ Quality STABILIZR®, dial 4", -30"Hg/0/30 psi &amp; -1/0/2 bar, 1/2" NPT inferior, caja Ac. Inox. 304, internos Ac. Inox. 316, clase 1,5%, cierre repujado, amortiguador seco.</t>
  </si>
  <si>
    <t>PFQ1538ZRR1R11</t>
  </si>
  <si>
    <t>Manovacuómetro Winters Serie PFQ Quality STABILIZR®, dial 4", -30"Hg/0/60 psi &amp; -1/0/4 bar, 1/2" NPT inferior, caja Ac. Inox. 304, internos Ac. Inox. 316, clase 1,5%, cierre repujado, amortiguador seco.</t>
  </si>
  <si>
    <t>PFQ1539ZRR1R11</t>
  </si>
  <si>
    <t>Manovacuómetro Winters Serie PFQ Quality STABILIZR®, dial 4", -30"Hg/0/100 psi &amp; -1/0/7 bar, 1/2" NPT inferior, caja Ac. Inox. 304, internos Ac. Inox. 316, clase 1,5%, cierre repujado, amortiguador seco.</t>
  </si>
  <si>
    <t>PFQ1540ZRR1R11</t>
  </si>
  <si>
    <t>Manovacuómetro Winters Serie PFQ Quality STABILIZR®, dial 4", -30"Hg/0/100 psi &amp; -1/0/10 bar, 1/2" NPT inferior, caja Ac. Inox. 304, internos Ac. Inox. 316, clase 1,5%, cierre repujado, amortiguador seco.</t>
  </si>
  <si>
    <t>PFQ1541ZRR1R11</t>
  </si>
  <si>
    <t>Manovacuómetro Winters Serie PFQ Quality STABILIZR®, dial 4", -30"Hg/0/200 psi &amp; -1/0/14 bar, 1/2" NPT inferior, caja Ac. Inox. 304, internos Ac. Inox. 316, clase 1,5%, cierre repujado, amortiguador seco.</t>
  </si>
  <si>
    <t>PFQ1542ZRR1R11</t>
  </si>
  <si>
    <t>Manovacuómetro Winters Serie PFQ Quality STABILIZR®, dial 4", -30"Hg/0/300 psi &amp; -1/0/20 bar, 1/2" NPT inferior, caja Ac. Inox. 304, internos Ac. Inox. 316, clase 1,5%, cierre repujado, amortiguador seco.</t>
  </si>
  <si>
    <t>PFQ1543ZRR1R11</t>
  </si>
  <si>
    <t>Manómetro Winters Serie PFQ-ZR Quality STABILIZR®, dial 4", 0/15 psi &amp; 0/1 bar, 1/2" NPT inferior, caja Ac. Inox. 304, internos Ac. Inox. 316, clase 1,5%, cierre repujado, amortiguador seco.</t>
  </si>
  <si>
    <t>PFQ1543ZRR11R1-BSPT</t>
  </si>
  <si>
    <t>Manómetro Winters Serie PFQ-ZR Quality STABILIZR®, dial 4", 0/1 bar &amp; 0/15 psi, 1/2" BSPT inferior, caja Ac. Inox. 304, internos Ac. Inox. 316, clase 1,5%, cierre repujado, amortiguador seco.</t>
  </si>
  <si>
    <t>PFQ1544ZRR1R11</t>
  </si>
  <si>
    <t>Manómetro Winters Serie PFQ-ZR Quality STABILIZR®, dial 4", 0/30 psi &amp; 0/2 bar, 1/2" NPT inferior, caja Ac. Inox. 304, internos Ac. Inox. 316, clase 1,5%, cierre repujado, amortiguador seco.</t>
  </si>
  <si>
    <t>PFQ1545ZRR1R11</t>
  </si>
  <si>
    <t>Manómetro Winters Serie PFQ-ZR Quality STABILIZR®, dial 4", 0/60 psi &amp; 0/4 bar, 1/2" NPT inferior, caja Ac. Inox. 304, internos Ac. Inox. 316, clase 1,5%, cierre repujado, amortiguador seco.</t>
  </si>
  <si>
    <t>PFQ1545ZRR11R1-BSPT</t>
  </si>
  <si>
    <t>Manómetro Winters Serie PFQ-ZR Quality STABILIZR®, dial 4", 0/4 bar &amp; 0/60 psi, 1/2" BSPT inferior, caja Ac. Inox. 304, internos Ac. Inox. 316, clase 1,5%, cierre repujado, amortiguador seco.</t>
  </si>
  <si>
    <t>PFQ1546ZRR1R11</t>
  </si>
  <si>
    <t>Manómetro Winters Serie PFQ-ZR Quality STABILIZR®, dial 4", 0/100 psi &amp; 0/7 bar, 1/2" NPT inferior, caja Ac. Inox. 304, internos Ac. Inox. 316, clase 1,5%, cierre repujado, amortiguador seco.</t>
  </si>
  <si>
    <t>PFQ1546ZRR11R1-BSPT</t>
  </si>
  <si>
    <t>Manómetro Winters Serie PFQ-ZR Quality STABILIZR®, dial 4", 0/7 bar &amp; 0/100 psi, 1/2" BSPT inferior, caja Ac. Inox. 304, internos Ac. Inox. 316, clase 1,5%, cierre repujado, amortiguador seco.</t>
  </si>
  <si>
    <t>PFQ1547ZRR11R1-BSPT</t>
  </si>
  <si>
    <t>Manómetro Winters Serie PFQ-ZR Quality STABILIZR®, dial 4", 0/10 bar &amp; 0/150 psi, 1/2" BSPT inferior, caja Ac. Inox. 304, internos Ac. Inox. 316, clase 1,5%, cierre repujado, amortiguador seco.</t>
  </si>
  <si>
    <t>PFQ1547ZRR1R11</t>
  </si>
  <si>
    <t>Manómetro Winters Serie PFQ-ZR Quality STABILIZR®, dial 4", 0/160 psi &amp; 0/11 bar, 1/2" NPT inferior, caja Ac. Inox. 304, internos Ac. Inox. 316, clase 1,5%, cierre repujado, amortiguador seco.</t>
  </si>
  <si>
    <t>PFQ1548ZRR1R11</t>
  </si>
  <si>
    <t>Manómetro Winters Serie PFQ-ZR Quality STABILIZR®, dial 4", 0/200 psi &amp; 0/14 bar, 1/2" NPT inferior, caja Ac. Inox. 304, internos Ac. Inox. 316, clase 1,5%, cierre repujado, amortiguador seco.</t>
  </si>
  <si>
    <t>PFQ1548ZRR11R1-BSPT</t>
  </si>
  <si>
    <t>Manómetro Winters Serie PFQ-ZR Quality STABILIZR®, dial 4", 0/14 bar &amp; 0/200 psi, 1/2" BSPT inferior, caja Ac. Inox. 304, internos Ac. Inox. 316, clase 1,5%, cierre repujado, amortiguador seco.</t>
  </si>
  <si>
    <t>PFQ1549ZRR1R11</t>
  </si>
  <si>
    <t>Manómetro Winters Serie PFQ-ZR Quality STABILIZR®, dial 4", 0/300 psi &amp; 0/20 bar, 1/2" NPT inferior, caja Ac. Inox. 304, internos Ac. Inox. 316, clase 1,5%, cierre repujado, amortiguador seco.</t>
  </si>
  <si>
    <t>PFQ1549ZRR11R1-BSPT</t>
  </si>
  <si>
    <t>Manómetro Winters Serie PFQ-ZR Quality STABILIZR®, dial 4", 0/20 bar &amp; 0/300 psi, 1/2" BSPT inferior, caja Ac. Inox. 304, internos Ac. Inox. 316, clase 1,5%, cierre repujado, amortiguador seco.</t>
  </si>
  <si>
    <t>PFQ1550ZRR1R11</t>
  </si>
  <si>
    <t>Manómetro Winters Serie PFQ-ZR Quality STABILIZR®, dial 4", 0/400 psi &amp; 0/25 bar, 1/2" NPT inferior, caja Ac. Inox. 304, internos Ac. Inox. 316, clase 1,5%, cierre repujado, amortiguador seco.</t>
  </si>
  <si>
    <t>PFQ1550ZRR11R1-BSPT</t>
  </si>
  <si>
    <t>Manómetro Winters Serie PFQ-ZR Quality STABILIZR®, dial 4", 0/30 bar &amp; 0/400 psi, 1/2" BSPT inferior, caja Ac. Inox. 304, internos Ac. Inox. 316, clase 1,5%, cierre repujado, amortiguador seco.</t>
  </si>
  <si>
    <t>PFQ1551ZRR1R11</t>
  </si>
  <si>
    <t>Manómetro Winters Serie PFQ-ZR Quality STABILIZR®, dial 4", 0/600 psi &amp; 0/40 bar, 1/2" NPT inferior, caja Ac. Inox. 304, internos Ac. Inox. 316, clase 1,5%, cierre repujado, amortiguador seco.</t>
  </si>
  <si>
    <t>PFQ1551ZRR11R1-BSPT</t>
  </si>
  <si>
    <t>Manómetro Winters Serie PFQ-ZR Quality STABILIZR®, dial 4", 0/40 bar &amp; 0/600 psi, 1/2" BSPT inferior, caja Ac. Inox. 304, internos Ac. Inox. 316, clase 1,5%, cierre repujado, amortiguador seco.</t>
  </si>
  <si>
    <t>PFQ777ZRR1R11</t>
  </si>
  <si>
    <t>Manómetro Winters Serie PFQ-ZR Quality STABILIZR®, dial 4", 0/1.000 psi &amp; 0/70 bar, 1/2" NPT inferior, caja Ac. Inox. 304, internos Ac. Inox. 316, clase 1,5%, cierre repujado, amortiguador seco.</t>
  </si>
  <si>
    <t>PFQ777ZRR11R1-BSPT</t>
  </si>
  <si>
    <t>Manómetro Winters Serie PFQ-ZR Quality STABILIZR®, dial 4", 0/70 bar &amp; 0/1.000 psi, 1/2" BSPT inferior, caja Ac. Inox. 304, internos Ac. Inox. 316, clase 1,5%, cierre repujado, amortiguador seco.</t>
  </si>
  <si>
    <t>PFQ778ZRR1R11</t>
  </si>
  <si>
    <t>Manómetro Winters Serie PFQ-ZR Quality STABILIZR®, dial 4", 0/1.500 psi &amp; 0/100 bar, 1/2" NPT inferior, caja Ac. Inox. 304, internos Ac. Inox. 316, clase 1,5%, cierre repujado, amortiguador seco.</t>
  </si>
  <si>
    <t>PFQ778ZRR11R1-BSPT</t>
  </si>
  <si>
    <t>Manómetro Winters Serie PFQ-ZR Quality STABILIZR®, dial 4", 0/100 bar &amp; 0/1.500 psi, 1/2" BSPT inferior, caja Ac. Inox. 304, internos Ac. Inox. 316, clase 1,5%, cierre repujado, amortiguador seco.</t>
  </si>
  <si>
    <t>PFQ779ZRR1R11</t>
  </si>
  <si>
    <t>Manómetro Winters Serie PFQ-ZR Quality STABILIZR®, dial 4", 0/2.000 psi &amp; 0/140 bar, 1/2" NPT inferior, caja Ac. Inox. 304, internos Ac. Inox. 316, clase 1,5%, cierre repujado, amortiguador seco.</t>
  </si>
  <si>
    <t>PFQ779ZRR11R1-BSPT</t>
  </si>
  <si>
    <t>Manómetro Winters Serie PFQ-ZR Quality STABILIZR®, dial 4", 0/140 bar &amp; 0/2.000 psi, 1/2" BSPT inferior, caja Ac. Inox. 304, internos Ac. Inox. 316, clase 1,5%, cierre repujado, amortiguador seco.</t>
  </si>
  <si>
    <t>PFQ780ZRR1R11</t>
  </si>
  <si>
    <t>Manómetro Winters Serie PFQ-ZR Quality STABILIZR®, dial 4", 0/3.000 psi &amp; 0/200 bar, 1/2" NPT inferior, caja Ac. Inox. 304, internos Ac. Inox. 316, clase 1,5%, cierre repujado, amortiguador seco.</t>
  </si>
  <si>
    <t>PFQ780ZRR11R1-BSPT</t>
  </si>
  <si>
    <t>Manómetro Winters Serie PFQ-ZR Quality STABILIZR®, dial 4", 0/200 bar &amp; 0/3.000 psi, 1/2" BSPT inferior, caja Ac. Inox. 304, internos Ac. Inox. 316, clase 1,5%, cierre repujado, amortiguador seco.</t>
  </si>
  <si>
    <t>PFQ781ZRR11R1S-BSPT</t>
  </si>
  <si>
    <t>Manómetro Winters Serie PFQ-ZR Quality STABILIZR®, dial 4", 0/300 bar &amp; 0/4.500 psi, 1/2" BSPT inferior, caja Ac. Inox. 304, internos Ac. Inox. 316, clase 1,5%, cierre repujado, amortiguador seco.</t>
  </si>
  <si>
    <t>PFQ781ZRR1R11</t>
  </si>
  <si>
    <t>Manómetro Winters Serie PFQ-ZR Quality STABILIZR®, dial 4", 0/5.000 psi &amp; 0/350 bar, 1/2" NPT inferior, caja Ac. Inox. 304, internos Ac. Inox. 316, clase 1,5%, cierre repujado, amortiguador seco.</t>
  </si>
  <si>
    <t>PFQ789ZRR1R11</t>
  </si>
  <si>
    <t>Manómetro Winters Serie PFQ-ZR Quality STABILIZR®, dial 4", 0/6.000 psi &amp; 0/400 bar, 1/2" NPT inferior, caja Ac. Inox. 304, internos Ac. Inox. 316, clase 1,5%, cierre repujado, amortiguador seco.</t>
  </si>
  <si>
    <t>PFQ789ZRR11R1-BSPT</t>
  </si>
  <si>
    <t>Manómetro Winters Serie PFQ-ZR Quality STABILIZR®, dial 4", 0/400 bar &amp; 0/6.000 psi, 1/2" BSPT inferior, caja Ac. Inox. 304, internos Ac. Inox. 316, clase 1,5%, cierre repujado, amortiguador seco.</t>
  </si>
  <si>
    <t>PFQ782ZRR1R11</t>
  </si>
  <si>
    <t>Manómetro Winters Serie PFQ-ZR Quality STABILIZR®, dial 4", 0/10.000 psi &amp; 0/700 bar, 1/2" NPT inferior, caja Ac. Inox. 304, internos Ac. Inox. 316, clase 1,5%, cierre repujado, amortiguador seco.</t>
  </si>
  <si>
    <t>PFQ782ZRR11R1-BSPT</t>
  </si>
  <si>
    <t>Manómetro Winters Serie PFQ-ZR Quality STABILIZR®, dial 4", 0/700 bar &amp; 0/10.000 psi, 1/2" BSPT inferior, caja Ac. Inox. 304, internos Ac. Inox. 316, clase 1,5%, cierre repujado, amortiguador seco.</t>
  </si>
  <si>
    <t>PFQ783ZRR1R11</t>
  </si>
  <si>
    <t>Manómetro Winters Serie PFQ-ZR Quality STABILIZR®, dial 4", 0/15.000 psi &amp; 0/1.000 bar, 1/2" NPT inferior, caja Ac. Inox. 304, internos Ac. Inox. 316, clase 1,5%, cierre repujado, amortiguador seco.</t>
  </si>
  <si>
    <t>PFQ783ZRR11R1-BSPT</t>
  </si>
  <si>
    <t>Manómetro Winters Serie PFQ-ZR Quality STABILIZR®, dial 4", 0/1.000 bar &amp; 0/15.000 psi, 1/2" BSPT inferior, caja Ac. Inox. 304, internos Ac. Inox. 316, clase 1,5%, cierre repujado, amortiguador seco.</t>
  </si>
  <si>
    <t>PFQ1559ZRR6R11</t>
  </si>
  <si>
    <t>Vacuómetro Winters Serie PFQ-ZR Quality STABILIZR®, dial 4", -30/0"Hg &amp; -1/0 bar 1/2" NPT posterior, caja Ac. Inox 304, internos Ac. Inox. 316, clase 1,5%, cierre repujado, amortiguador seco.</t>
  </si>
  <si>
    <t>PFQ1559ZRR7R6-BSPT</t>
  </si>
  <si>
    <t>Vacuómetro Winters Serie PFQ-ZR Quality STABILIZR®, dial 4", -760 mmHg/0 &amp; -30"Hg/0, 1/2" BSPT posterior, caja Ac. Inox 304, internos Ac. Inox. 316, clase 1,5%, cierre repujado, amortiguador seco.</t>
  </si>
  <si>
    <t>PFQ1560ZRR1R11</t>
  </si>
  <si>
    <t>Manovacuómetro Winters Serie PFQ Quality STABILIZR®, dial 4", -30"Hg/0/15 psi &amp; -1/0/1 bar, 1/2" NPT posterior, caja Ac. Inox. 304, internos Ac. Inox. 316, clase 1,5%, cierre repujado, amortiguador seco.</t>
  </si>
  <si>
    <t>PFQ1561ZRR1R11</t>
  </si>
  <si>
    <t>Manovacuómetro Winters Serie PFQ Quality STABILIZR®, dial 4", -30"Hg/0/30 psi &amp; -1/0/2 bar, 1/2" NPT posterior, caja Ac. Inox. 304, internos Ac. Inox. 316, clase 1,5%, cierre repujado, amortiguador seco.</t>
  </si>
  <si>
    <t>PFQ1562ZRR1R11</t>
  </si>
  <si>
    <t>Manovacuómetro Winters Serie PFQ Quality STABILIZR®, dial 4", -30"Hg/0/60 psi &amp; -1/0/4 bar, 1/2" NPT posterior, caja Ac. Inox. 304, internos Ac. Inox. 316, clase 1,5%, cierre repujado, amortiguador seco.</t>
  </si>
  <si>
    <t>PFQ1563ZRR1R11</t>
  </si>
  <si>
    <t>Manovacuómetro Winters Serie PFQ Quality STABILIZR®, dial 4", -30"Hg/0/100 psi &amp; -1/0/7 bar, 1/2" NPT posterior, caja Ac. Inox. 304, internos Ac. Inox. 316, clase 1,5%, cierre repujado, amortiguador seco.</t>
  </si>
  <si>
    <t>PFQ1564ZRR1R11</t>
  </si>
  <si>
    <t>Manovacuómetro Winters Serie PFQ Quality STABILIZR®, dial 4", -30"Hg/0/100 psi &amp; -1/0/10 bar, 1/2" NPT posterior, caja Ac. Inox. 304, internos Ac. Inox. 316, clase 1,5%, cierre repujado, amortiguador seco.</t>
  </si>
  <si>
    <t>PFQ1565ZRR1R11</t>
  </si>
  <si>
    <t>Manovacuómetro Winters Serie PFQ Quality STABILIZR®, dial 4", -30"Hg/0/200 psi &amp; -1/0/14 bar, 1/2" NPT posterior, caja Ac. Inox. 304, internos Ac. Inox. 316, clase 1,5%, cierre repujado, amortiguador seco.</t>
  </si>
  <si>
    <t>PFQ1566ZRR1R11</t>
  </si>
  <si>
    <t>Manovacuómetro Winters Serie PFQ Quality STABILIZR®, dial 4", -30"Hg/0/300 psi &amp; -1/0/20 bar, 1/2" NPT posterior, caja Ac. Inox. 304, internos Ac. Inox. 316, clase 1,5%, cierre repujado, amortiguador seco.</t>
  </si>
  <si>
    <t>PFQ1567ZRR1R11</t>
  </si>
  <si>
    <t>Manómetro Winters Serie PFQ-ZR Quality STABILIZR®, dial 4", 0/15 psi &amp; 0/1 bar, 1/2" NPT posterior, caja Ac. Inox. 304, internos Ac. Inox. 316, clase 1,5%, cierre repujado, amortiguador seco.</t>
  </si>
  <si>
    <t>PFQ1567ZRR11R1-BSPT</t>
  </si>
  <si>
    <t>Manómetro Winters Serie PFQ-ZR Quality STABILIZR®, dial 4", 0/1 bar &amp; 0/15 psi, 1/2" BSPT posterior, caja Ac. Inox. 304, internos Ac. Inox. 316, clase 1,5%, cierre repujado, amortiguador seco.</t>
  </si>
  <si>
    <t>PFQ1568ZRR1R11</t>
  </si>
  <si>
    <t>Manómetro Winters Serie PFQ-ZR Quality STABILIZR®, dial 4", 0/30 psi &amp; 0/2 bar, 1/2" NPT posterior, caja Ac. Inox. 304, internos Ac. Inox. 316, clase 1,5%, cierre repujado, amortiguador seco.</t>
  </si>
  <si>
    <t>PFQ1568ZRR11R1-BSPT</t>
  </si>
  <si>
    <t>Manómetro Winters Serie PFQ-ZR Quality STABILIZR®, dial 4", 0/2 bar &amp; 0/30 psi, 1/2" BSPT posterior, caja Ac. Inox. 304, internos Ac. Inox. 316, clase 1,5%, cierre repujado, amortiguador seco.</t>
  </si>
  <si>
    <t>PFQ1569ZRR1R11</t>
  </si>
  <si>
    <t>Manómetro Winters Serie PFQ-ZR Quality STABILIZR®, dial 4", 0/60 psi &amp; 0/4 bar, 1/2" NPT posterior, caja Ac. Inox. 304, internos Ac. Inox. 316, clase 1,5%, cierre repujado, amortiguador seco.</t>
  </si>
  <si>
    <t>PFQ1569ZRR11R1-BSPT</t>
  </si>
  <si>
    <t>Manómetro Winters Serie PFQ-ZR Quality STABILIZR®, dial 4", 0/4 bar &amp; 0/60 psi, 1/2" BSPT posterior, caja Ac. Inox. 304, internos Ac. Inox. 316, clase 1,5%, cierre repujado, amortiguador seco.</t>
  </si>
  <si>
    <t>PFQ1570ZRR1R11</t>
  </si>
  <si>
    <t>Manómetro Winters Serie PFQ-ZR Quality STABILIZR®, dial 4", 0/100 psi &amp; 0/7 bar, 1/2" NPT posterior, caja Ac. Inox. 304, internos Ac. Inox. 316, clase 1,5%, cierre repujado, amortiguador seco.</t>
  </si>
  <si>
    <t>PFQ1570ZRR11R1-BSPT</t>
  </si>
  <si>
    <t>Manómetro Winters Serie PFQ-ZR Quality STABILIZR®, dial 4", 0/7 bar &amp; 0/100 psi, 1/2" BSPT posterior, caja Ac. Inox. 304, internos Ac. Inox. 316, clase 1,5%, cierre repujado, amortiguador seco.</t>
  </si>
  <si>
    <t>PFQ1571ZRR11R1-BSPT</t>
  </si>
  <si>
    <t>Manómetro Winters Serie PFQ-ZR Quality STABILIZR®, dial 4", 0/10 bar &amp; 0/150 psi, 1/2" BSPT posterior, caja Ac. Inox. 304, internos Ac. Inox. 316, clase 1,5%, cierre repujado, amortiguador seco.</t>
  </si>
  <si>
    <t>PFQ1571ZRR1R11</t>
  </si>
  <si>
    <t>Manómetro Winters Serie PFQ-ZR Quality STABILIZR®, dial 4", 0/160 psi &amp; 0/11 bar, 1/2" NPT posterior, caja Ac. Inox. 304, internos Ac. Inox. 316, clase 1,5%, cierre repujado, amortiguador seco.</t>
  </si>
  <si>
    <t>PFQ1572ZRR1R11</t>
  </si>
  <si>
    <t>Manómetro Winters Serie PFQ-ZR Quality STABILIZR®, dial 4", 0/200 psi &amp; 0/14 bar, 1/2" NPT posterior, caja Ac. Inox. 304, internos Ac. Inox. 316, clase 1,5%, cierre repujado, amortiguador seco.</t>
  </si>
  <si>
    <t>PFQ1572ZRR11R1-BSPT</t>
  </si>
  <si>
    <t>Manómetro Winters Serie PFQ-ZR Quality STABILIZR®, dial 4", 0/14 bar &amp; 0/200 psi, 1/2" BSPT posterior, caja Ac. Inox. 304, internos Ac. Inox. 316, clase 1,5%, cierre repujado, amortiguador seco.</t>
  </si>
  <si>
    <t>PFQ1573ZRR1R11</t>
  </si>
  <si>
    <t>Manómetro Winters Serie PFQ-ZR Quality STABILIZR®, dial 4", 0/300 psi &amp; 0/20 bar, 1/2" NPT posterior, caja Ac. Inox. 304, internos Ac. Inox. 316, clase 1,5%, cierre repujado, amortiguador seco.</t>
  </si>
  <si>
    <t>PFQ1573ZRR11R1-BSPT</t>
  </si>
  <si>
    <t>Manómetro Winters Serie PFQ-ZR Quality STABILIZR®, dial 4", 0/20 bar &amp; 0/300 psi, 1/2" BSPT posterior, caja Ac. Inox. 304, internos Ac. Inox. 316, clase 1,5%, cierre repujado, amortiguador seco.</t>
  </si>
  <si>
    <t>PFQ1574ZRR1R11</t>
  </si>
  <si>
    <t>Manómetro Winters Serie PFQ-ZR Quality STABILIZR®, dial 4", 0/400 psi &amp; 0/30 bar, 1/2" NPT posterior, caja Ac. Inox. 304, internos Ac. Inox. 316, clase 1,5%, cierre repujado, amortiguador seco.</t>
  </si>
  <si>
    <t>PFQ1574ZRR11R1-BSPT</t>
  </si>
  <si>
    <t>Manómetro Winters Serie PFQ-ZR Quality STABILIZR®, dial 4", 0/30 bar &amp; 0/400 psi, 1/2" BSPT posterior, caja Ac. Inox. 304, internos Ac. Inox. 316, clase 1,5%, cierre repujado, amortiguador seco.</t>
  </si>
  <si>
    <t>PFQ1575ZRR1R11</t>
  </si>
  <si>
    <t>Manómetro Winters Serie PFQ-ZR Quality STABILIZR®, dial 4", 0/600 psi &amp; 0/40 bar, 1/2" NPT posterior, caja Ac. Inox. 304, internos Ac. Inox. 316, clase 1,5%, cierre repujado, amortiguador seco.</t>
  </si>
  <si>
    <t>PFQ1575ZRR11R1-BSPT</t>
  </si>
  <si>
    <t>Manómetro Winters Serie PFQ-ZR Quality STABILIZR®, dial 4", 0/40 bar &amp; 0/600 psi, 1/2" BSPT posterior, caja Ac. Inox. 304, internos Ac. Inox. 316, clase 1,5%, cierre repujado, amortiguador seco.</t>
  </si>
  <si>
    <t>PFQ1277ZRR1R11</t>
  </si>
  <si>
    <t>Manómetro Winters Serie PFQ-ZR Quality STABILIZR®, dial 4", 0/1.000 psi &amp; 0/70 bar, 1/2" NPT posterior, caja Ac. Inox. 304, internos Ac. Inox. 316, clase 1,5%, cierre repujado, amortiguador seco.</t>
  </si>
  <si>
    <t>PFQ1278ZRR1R11</t>
  </si>
  <si>
    <t>Manómetro Winters Serie PFQ-ZR Quality STABILIZR®, dial 4", 0/1.500 psi &amp; 0/100 bar, 1/2" NPT posterior, caja Ac. Inox. 304, internos Ac. Inox. 316, clase 1,5%, cierre repujado, amortiguador seco.</t>
  </si>
  <si>
    <t>PFQ1278ZRR11R1-BSPT</t>
  </si>
  <si>
    <t>Manómetro Winters Serie PFQ-ZR Quality STABILIZR®, dial 4", 0/100 bar &amp; 0/1.500 psi, 1/2" BSPT posterior, caja Ac. Inox. 304, internos Ac. Inox. 316, clase 1,5%, cierre repujado, amortiguador seco.</t>
  </si>
  <si>
    <t>PFQ1279ZRR1R11</t>
  </si>
  <si>
    <t>Manómetro Winters Serie PFQ-ZR Quality STABILIZR®, dial 4", 0/2.000 psi &amp; 0/140 bar, 1/2" NPT posterior, caja Ac. Inox. 304, internos Ac. Inox. 316, clase 1,5%, cierre repujado, amortiguador seco.</t>
  </si>
  <si>
    <t>PFQ1279ZRR11R1-BSPT</t>
  </si>
  <si>
    <t>Manómetro Winters Serie PFQ-ZR Quality STABILIZR®, dial 4", 0/140 bar &amp; 0/2.000 psi, 1/2" BSPT posterior, caja Ac. Inox. 304, internos Ac. Inox. 316, clase 1,5%, cierre repujado, amortiguador seco.</t>
  </si>
  <si>
    <t>PFQ1280ZRR1R11</t>
  </si>
  <si>
    <t>Manómetro Winters Serie PFQ-ZR Quality STABILIZR®, dial 4", 0/3.000 psi &amp; 0/200 bar, 1/2" NPT posterior, caja Ac. Inox. 304, internos Ac. Inox. 316, clase 1,5%, cierre repujado, amortiguador seco.</t>
  </si>
  <si>
    <t>PFQ1280ZRR11R1-BSPT</t>
  </si>
  <si>
    <t>Manómetro Winters Serie PFQ-ZR Quality STABILIZR®, dial 4", 0/200 bar &amp; 0/3.000 psi, 1/2" BSPT posterior, caja Ac. Inox. 304, internos Ac. Inox. 316, clase 1,5%, cierre repujado, amortiguador seco.</t>
  </si>
  <si>
    <t>PFQ1281ZRR1R11</t>
  </si>
  <si>
    <t>Manómetro Winters Serie PFQ-ZR Quality STABILIZR®, dial 4", 0/5.000 psi &amp; 0/350 bar, 1/2" NPT posterior, caja Ac. Inox. 304, internos Ac. Inox. 316, clase 1,5%, cierre repujado, amortiguador seco.</t>
  </si>
  <si>
    <t>PFQ1281ZRR11R1S-BSPT</t>
  </si>
  <si>
    <t>Manómetro Winters Serie PFQ-ZR Quality STABILIZR®, dial 4", 0/350 bar &amp; 0/5.000 psi, 1/2" BSPT posterior, caja Ac. Inox. 304, internos Ac. Inox. 316, clase 1,5%, cierre repujado, amortiguador seco.</t>
  </si>
  <si>
    <t>PFQ1284ZRR1R11</t>
  </si>
  <si>
    <t>Manómetro Winters Serie PFQ-ZR Quality STABILIZR®, dial 4", 0/6.000 psi &amp; 0/400 bar, 1/2" NPT posterior, caja Ac. Inox. 304, internos Ac. Inox. 316, clase 1,5%, cierre repujado, amortiguador seco.</t>
  </si>
  <si>
    <t>PFQ1284ZRR11R1-BSPT</t>
  </si>
  <si>
    <t>Manómetro Winters Serie PFQ-ZR Quality STABILIZR®, dial 4", 0/400 bar &amp; 0/6.000 psi, 1/2" BSPT posterior, caja Ac. Inox. 304, internos Ac. Inox. 316, clase 1,5%, cierre repujado, amortiguador seco.</t>
  </si>
  <si>
    <t>PFQ1282ZRR1R11</t>
  </si>
  <si>
    <t>Manómetro Winters Serie PFQ-ZR Quality STABILIZR®, dial 4", 0/10.000 psi &amp; 0/700 bar, 1/2" NPT posterior, caja Ac. Inox. 304, internos Ac. Inox. 316, clase 1,5%, cierre repujado, amortiguador seco.</t>
  </si>
  <si>
    <t>PFQ1282ZRR11R1-BSPT</t>
  </si>
  <si>
    <t>Manómetro Winters Serie PFQ-ZR Quality STABILIZR®, dial 4", 0/700 bar &amp; 0/10.000 psi, 1/2" BSPT posterior, caja Ac. Inox. 304, internos Ac. Inox. 316, clase 1,5%, cierre repujado, amortiguador seco.</t>
  </si>
  <si>
    <t>PFQ1283ZRR1R11</t>
  </si>
  <si>
    <t>Manómetro Winters Serie PFQ-ZR Quality STABILIZR®, dial 4", 0/15.000 psi &amp; 0/1.000 bar, 1/2" NPT posterior, caja Ac. Inox. 304, internos Ac. Inox. 316, clase 1,5%, cierre repujado, amortiguador seco.</t>
  </si>
  <si>
    <t>PFQ1283ZRR11R1-BSPT</t>
  </si>
  <si>
    <t>Manómetro Winters Serie PFQ-ZR Quality STABILIZR®, dial 4", 0/1.000 bar &amp; 0/15.000 psi, 1/2" BSPT posterior, caja Ac. Inox. 304, internos Ac. Inox. 316, clase 1,5%, cierre repujado, amortiguador seco.</t>
  </si>
  <si>
    <t>15UC</t>
  </si>
  <si>
    <t>Accesorio Winters Brida en U (pestaña) para manómetros Serie PFQ de dial 1,5"</t>
  </si>
  <si>
    <t>15FF</t>
  </si>
  <si>
    <t>Accesorio Winters Brida Frontal para manómetros Serie PFQ de dial 1,5"</t>
  </si>
  <si>
    <t>2FF</t>
  </si>
  <si>
    <t>Accesorio Winters Brida Frontal para manómetros Serie PFQ de dial 2"</t>
  </si>
  <si>
    <t>2UC</t>
  </si>
  <si>
    <t>Accesorio Winters Brida en U (pestaña) para manómetros Serie PFQ de dial 2"</t>
  </si>
  <si>
    <t>25FF</t>
  </si>
  <si>
    <t>Accesorio Winters Brida Frontal para manómetros Series PFQ y PFP de dial 2,5"</t>
  </si>
  <si>
    <t>25BF</t>
  </si>
  <si>
    <t>Accesorio Winters Brida posterior para manómetros Series PFQ y PFP de dial 2,5"</t>
  </si>
  <si>
    <t>25UC</t>
  </si>
  <si>
    <t>Accesorio Winters Brida en U (pestaña) para manómetros Serie PFQ y PFP de dial 2,5"</t>
  </si>
  <si>
    <t>4UC</t>
  </si>
  <si>
    <t>Accesorio Winters Brida en U (U-Clamp) para manómetros Winters Serie PFQ de dial 4"</t>
  </si>
  <si>
    <t>4UC-PR-DIN</t>
  </si>
  <si>
    <t>[solo Argentina] Brida en U (U-Clamp) para manómetros Winters serie PFP dial 4" caja DIN</t>
  </si>
  <si>
    <t>4FF</t>
  </si>
  <si>
    <t>Accesorio Winters Brida en frontal para manómetros Serie PFQ de dial 4"</t>
  </si>
  <si>
    <t>4BF</t>
  </si>
  <si>
    <t>Accesorio Winters Brida posterior para manómetros de dial 4"</t>
  </si>
  <si>
    <t>SF25</t>
  </si>
  <si>
    <t xml:space="preserve">Relleno de silicona de manometros Winters de dial 2,5"  </t>
  </si>
  <si>
    <t>SF4</t>
  </si>
  <si>
    <t xml:space="preserve">Relleno de silicona de manometros Wintersde dial 4"  </t>
  </si>
  <si>
    <t>SF6</t>
  </si>
  <si>
    <t xml:space="preserve">Relleno de silicona de manometros Winters de dial 6"  </t>
  </si>
  <si>
    <t>DIAL-CHARGE</t>
  </si>
  <si>
    <t>Cambio de escalas para manómetros Winters: PSI/BAR, KPA, KG/CM2, BAR, PSI/BAR, PSI/BAR, PSI/BAR/KG/CM2 y Logos customizados</t>
  </si>
  <si>
    <t>PFP820R6R11</t>
  </si>
  <si>
    <t>Vacuómetro Winters Serie PFP Premium, dial 2,5", -30/0"Hg &amp; -1/0 bar, 1/4"NPT inferior, caja Ac. Inox 304, internos Ac. Inox. 316, clase 1,5%, aro bayoneta, con glicerina.</t>
  </si>
  <si>
    <t>PFP820R7R6</t>
  </si>
  <si>
    <t>Vacuómetro Winters Serie PFP Premium, dial 2,5", -760 mmHg/0 &amp; -30/0"Hg, 1/4"NPT inferior, caja Ac. Inox 304, internos Ac. Inox. 316, clase 1,5%, aro bayoneta, con glicerina.</t>
  </si>
  <si>
    <t>PFP860R1R11</t>
  </si>
  <si>
    <t>Manovacuómetro Winters Serie PFP Premium, dial 2,5", -30"Hg/0/15 psi &amp; -1/0/1 bar, 1/4"NPT inferior, caja Ac. Inox. 304., internos Ac. Inox. 316, clase 1,5%, aro bayoneta, con glicerina.</t>
  </si>
  <si>
    <t>PFP861R1R11</t>
  </si>
  <si>
    <t>Manovacuómetro Winters Serie PFP Premium, dial 2,5", -30"Hg/0/30 psi &amp; -1/0/2 bar, 1/4"NPT inferior, caja Ac. Inox. 304., internos Ac. Inox. 316, clase 1,5%, aro bayoneta, con glicerina.</t>
  </si>
  <si>
    <t>PFP862R1R11</t>
  </si>
  <si>
    <t>Manovacuómetro Winters Serie PFP Premium, dial 2,5", -30"Hg/0/60 psi &amp; -1/0/4 bar, 1/4"NPT inferior, caja Ac. Inox. 304., internos Ac. Inox. 316, clase 1,5%, aro bayoneta, con glicerina.</t>
  </si>
  <si>
    <t>PFP862R3R1</t>
  </si>
  <si>
    <t>Manovacuómetro Winters Serie PFP Premium, dial 2,5",-1/0/4 Kg/cm2 &amp; -30"Hg/0/60 psi,  1/4"NPT inferior, caja Ac. Inox. 304, int. Ac. Inox. 316, clase 1,5%, aro bayoneta, con glicerina.</t>
  </si>
  <si>
    <t>PFP863R1R11</t>
  </si>
  <si>
    <t>Manovacuómetro Winters Serie PFP Premium, dial 2,5", -30"Hg/0/100 psi &amp; -1/0/7 bar, 1/4"NPT inferior, caja Ac. Inox. 304., internos Ac. Inox. 316, clase 1,5%, aro bayoneta, con glicerina.</t>
  </si>
  <si>
    <t>PFP863R3R1</t>
  </si>
  <si>
    <t>Manovacuómetro Winters Serie PFP Premium, -1/0/7 Kg/cm2 &amp; -30"Hg/0/100 psi, dial 2,5", 1/4"NPT inferior, caja Ac. Inox. 304, int. Ac. Inox. 316, clase 1,5%, aro bayoneta, con glicerina.</t>
  </si>
  <si>
    <t>PFP864R1R11</t>
  </si>
  <si>
    <t>Manovacuómetro Winters Serie PFP Premium, dial 2,5", -30"Hg/0/100 psi &amp; -1/0/10 bar, 1/4"NPT inferior, caja Ac. Inox. 304., internos Ac. Inox. 316, clase 1,5%, aro bayoneta, con glicerina.</t>
  </si>
  <si>
    <t>PFP864R3R1</t>
  </si>
  <si>
    <t>Manovacuómetro Winters Serie PFP Premium, dial 2,5",-1/0/10 Kg/cm2 &amp; -30"Hg/0/160 psi,  1/4"NPT inferior, caja Ac. Inox. 304, int. Ac. Inox. 316, clase 1,5%, aro bayoneta, con glicerina.</t>
  </si>
  <si>
    <t>PFP866R1R11</t>
  </si>
  <si>
    <t>Manovacuómetro Winters Serie PFP Premium, dial 2,5", -30"Hg/0/200 psi &amp; -1/0/14 bar, 1/4"NPT inferior, caja Ac. Inox. 304., internos Ac. Inox. 316, clase 1,5%, aro bayoneta, con glicerina.</t>
  </si>
  <si>
    <t>PFP866R3R1</t>
  </si>
  <si>
    <t>Manovacuómetro Winters Serie PFP Premium, dial 2,5", -1/0/14 Kg/cm2 &amp; -30"Hg/0/200 psi, 1/4"NPT inferior, caja Ac. Inox. 304, int. Ac. Inox. 316, clase 1,5%, aro bayoneta, con glicerina.</t>
  </si>
  <si>
    <t>PFP867R1R11</t>
  </si>
  <si>
    <t>Manovacuómetro Winters Serie PFP Premium, dial 2,5", -30"Hg/0/300 psi &amp; -1/0/20 bar, 1/4"NPT inferior, caja Ac. Inox. 304., internos Ac. Inox. 316, clase 1,5%, aro bayoneta, con glicerina.</t>
  </si>
  <si>
    <t>PFP821R11S</t>
  </si>
  <si>
    <t>Manómetro Winters Serie PFP Premium, dial 2,5", 0/0,6 bar, 1/4"NPT inferior, caja Ac. Inox. 304, int. Ac. Inox. 316, clase 1,5%, aro bayoneta, con glicerina.</t>
  </si>
  <si>
    <t>PFP821R3R1S</t>
  </si>
  <si>
    <t>Manómetro Winters Serie PFP Premium, dial 2,5", 0/0,6 Kg/cm2 &amp; 0/8 psi, 1/4"NPT inferior, caja Ac. Inox. 304, int. Ac. Inox. 316, clase 1,5%, aro bayoneta, con glicerina.</t>
  </si>
  <si>
    <t>PFP821R1R11</t>
  </si>
  <si>
    <t>Manómetro Winters Serie PFP Premium, dial 2,5", 0/15 psi &amp; 0/1 bar, 1/4"NPT inferior, caja Ac. Inox. 304., internos Ac. Inox. 316, clase 1,5%, aro bayoneta, con glicerina.</t>
  </si>
  <si>
    <t>PFP822R3R1</t>
  </si>
  <si>
    <t>Manómetro Winters Serie PFP Premium, dial 2,5", 0/2 Kg/cm2 &amp; 0/30 psi, 1/4"NPT inferior, caja Ac. Inox. 304, int. Ac. Inox. 316, clase 1,5%, aro bayoneta, con glicerina.</t>
  </si>
  <si>
    <t>PFP822R3S-SG-25</t>
  </si>
  <si>
    <t>Manómetro Winters Serie PFP Premium, dial 2,5", 0/2,5 Kg/cm2, 1/4"NPT inferior, caja Ac. Inox. 304, int. Ac. Inox. 316, clase 1,5%, aro bayoneta, con glicerina, con vidrio de seguridad.</t>
  </si>
  <si>
    <t>PFP823R1R11</t>
  </si>
  <si>
    <t>Manómetro Winters Serie PFP Premium, dial 2,5", 0/60 psi &amp; 0/4 bar, 1/4"NPT inferior, caja Ac. Inox. 304., internos Ac. Inox. 316, clase 1,5%, aro bayoneta, con glicerina.</t>
  </si>
  <si>
    <t>PFP823R3</t>
  </si>
  <si>
    <t>Manómetro Winters Serie PFP Premium, dial 2,5", 0/4 Kg/cm2, 1/4"NPT inferior, caja Ac. Inox. 304, int. Ac. Inox. 316, clase 1,5%, aro bayoneta, con glicerina.</t>
  </si>
  <si>
    <t>PFP824R3R1S</t>
  </si>
  <si>
    <t>Manovacuómetro Winters Serie PFP Premium, dial 2,5", 0/5 kg/cm2 &amp; 0/70 psi, 1/4"NPT inferior, caja Ac. Inox. 304, int. Ac. Inox. 316, clase 1,5%, aro bayoneta, con glicerina.</t>
  </si>
  <si>
    <t>PFP824R1R11</t>
  </si>
  <si>
    <t>Manómetro Winters Serie PFP Premium, dial 2,5", 0/100 psi &amp; 0/7 bar, 1/4"NPT inferior, caja Ac. Inox. 304., internos Ac. Inox. 316, clase 1,5%, aro bayoneta, con glicerina.</t>
  </si>
  <si>
    <t>PFP824R3R1</t>
  </si>
  <si>
    <t>Manómetro Winters Serie PFP Premium, dial 2,5", 0/7 Kg/cm2 &amp; 0/100 psi, 1/4"NPT inferior, caja Ac. Inox. 304, int. Ac. Inox. 316, clase 1,5%, aro bayoneta, con glicerina.</t>
  </si>
  <si>
    <t>PFP825R3R1</t>
  </si>
  <si>
    <t>Manómetro Winters Serie PFP Premium, dial 2,5", 0/10 Kg/cm2 &amp; 0/160 psi, 1/4"NPT inferior, caja Ac. Inox. 304, int. Ac. Inox. 316, clase 1,5%, aro bayoneta, con glicerina.</t>
  </si>
  <si>
    <t>PFP825R1R11</t>
  </si>
  <si>
    <t>Manómetro Winters Serie PFP Premium, dial 2,5", 0/160 psi &amp; 0/11 bar, 1/4"NPT inferior, caja Ac. Inox. 304., internos Ac. Inox. 316, clase 1,5%, aro bayoneta, con glicerina.</t>
  </si>
  <si>
    <t>PFP826R1R11</t>
  </si>
  <si>
    <t>Manómetro Winters Serie PFP Premium, dial 2,5", 0/200 psi &amp; 0/14 bar, 1/4"NPT inferior, caja Ac. Inox. 304., internos Ac. Inox. 316, clase 1,5%, aro bayoneta, con glicerina.</t>
  </si>
  <si>
    <t>PFP826R3R1</t>
  </si>
  <si>
    <t>Manómetro Winters Serie PFP Premium, dial 2,5", 0/14 Kg/cm2 &amp; 0/200 psi, 1/4"NPT inferior, caja Ac. Inox. 304, int. Ac. Inox. 316, clase 1,5%, aro bayoneta, con glicerina.</t>
  </si>
  <si>
    <t>PFP827R1R11</t>
  </si>
  <si>
    <t>Manómetro Winters Serie PFP Premium, dial 2,5", 0/300 psi &amp; 0/20 bar, 1/4"NPT inferior, caja Ac. Inox. 304., internos Ac. Inox. 316, clase 1,5%, aro bayoneta, con glicerina.</t>
  </si>
  <si>
    <t>PFP827R3R1</t>
  </si>
  <si>
    <t>Manómetro Winters Serie PFP Premium, dial 2,5", 0/20 Kg/cm2 &amp; 0/300 psi, 1/4"NPT inferior, caja Ac. Inox. 304, int. Ac. Inox. 316, clase 1,5%, aro bayoneta, con glicerina.</t>
  </si>
  <si>
    <t>PFP827R3-SG-25</t>
  </si>
  <si>
    <t>Manómetro Winters Serie PFP Premium, dial 2,5", 0/20 Kg/cm2, 1/4"NPT inferior, caja Ac. Inox. 304, int. Ac. Inox. 316, clase 1,5%, aro bayoneta, con glicerina, con vidrio de seguridad.</t>
  </si>
  <si>
    <t>PFP880R3R1</t>
  </si>
  <si>
    <t>Manómetro Winters Serie PFP Premium, dial 2,5", 0/30 kg/cm2 &amp; 0/400 psi, 1/4"NPT inferior, caja Ac. Inox. 304., internos Ac. Inox. 316, clase 1,5%, aro bayoneta, con glicerina.</t>
  </si>
  <si>
    <t>PFP880R1R11</t>
  </si>
  <si>
    <t>Manómetro Winters Serie PFP Premium, dial 2,5", 0/400 psi &amp; 0/30 bar, 1/4"NPT inferior, caja Ac. Inox. 304., internos Ac. Inox. 316, clase 1,5%, aro bayoneta, con glicerina.</t>
  </si>
  <si>
    <t>PFP880R1R11S</t>
  </si>
  <si>
    <t>Manómetro Winters Serie PFP Premium, dial 2,5", 0/500 psi &amp; 0/35 bar, 1/4"NPT inferior, caja Ac. Inox. 304., internos Ac. Inox. 316, clase 1,5%, aro bayoneta, con glicerina.</t>
  </si>
  <si>
    <t>PFP828R1R11</t>
  </si>
  <si>
    <t>Manómetro Winters Serie PFP Premium, dial 2,5", 0/600 psi &amp; 0/40 bar, 1/4"NPT inferior, caja Ac. Inox. 304., internos Ac. Inox. 316, clase 1,5%, aro bayoneta, con glicerina.</t>
  </si>
  <si>
    <t>PFP828R3R1</t>
  </si>
  <si>
    <t>Manovacuómetro Winters Serie PFP Premium, dial 2,5", 0/40 Kg/cm2 &amp; 0/600 psi, 1/4"NPT inferior, caja Ac. Inox. 304, int. Ac. Inox. 316, clase 1,5%, aro bayoneta, con glicerina.</t>
  </si>
  <si>
    <t>PFP828R3-SG-25</t>
  </si>
  <si>
    <t>Manovacuómetro Winters Serie PFP Premium, dial 2,5", 0/40 Kg/cm2, 1/4"NPT inferior, caja Ac. Inox. 304, int. Ac. Inox. 316, clase 1,5%, aro bayoneta, con glicerina, con vidrio de seguridad.</t>
  </si>
  <si>
    <t>PFP829R1R11</t>
  </si>
  <si>
    <t>Manómetro Winters Serie PFP Premium, dial 2,5", 0/1.000 psi &amp; 0/70 bar, 1/4"NPT inferior, caja Ac. Inox. 304., internos Ac. Inox. 316, clase 1,5%, aro bayoneta, con glicerina.</t>
  </si>
  <si>
    <t>PFP829R3R1</t>
  </si>
  <si>
    <t>Manovacuómetro Winters Serie PFP Premium, dial 2,5", 0/70 Kg/cm2 &amp; 0/1.000 psi, 1/4"NPT inferior, caja Ac. Inox. 304, int. Ac. Inox. 316, clase 1,5%, aro bayoneta, con glicerina.</t>
  </si>
  <si>
    <t>PFP834R1R11</t>
  </si>
  <si>
    <t>Manómetro Winters Serie PFP Premium, dial 2,5", 0/1.500 psi &amp; 0/100 bar, 1/4"NPT inferior, caja Ac. Inox. 304., internos Ac. Inox. 316, clase 1,5%, aro bayoneta, con glicerina.</t>
  </si>
  <si>
    <t>PFP834R3R1</t>
  </si>
  <si>
    <t>Manómetro Winters Serie PFP Premium, dial 2,5", 0/100 Kg/cm2 &amp; 0/1.500 psi, 1/4"NPT inferior, caja Ac. Inox. 304, int. Ac. Inox. 316, clase 1,5%, aro bayoneta, con glicerina.</t>
  </si>
  <si>
    <t>PFP834R11</t>
  </si>
  <si>
    <t>Manómetro Winters Serie PFP Premium, dial 2,5", 0/100 bar, 1/4" NPT inferior, caja Ac. Inox. 304, int. Ac. Inox. 316, clase 1,5%, aro bayoneta, 1,5%, aro bayoneta, con glicerina.</t>
  </si>
  <si>
    <t>PFP830R1R11</t>
  </si>
  <si>
    <t>Manómetro Winters Serie PFP Premium, dial 2,5", 0/2.000 psi &amp; 0/140 bar, 1/4"NPT inferior, caja Ac. Inox. 304., internos Ac. Inox. 316, clase 1,5%, aro bayoneta, con glicerina.</t>
  </si>
  <si>
    <t>PFP830R3R1</t>
  </si>
  <si>
    <t>Manovacuómetro Winters Serie PFP Premium, dial 2,5", 0/140 Kg/cm2 &amp; 0/2.000 psi, 1/4"NPT inferior, caja Ac. Inox. 304, int. Ac. Inox. 316, clase 1,5%, aro bayoneta, con glicerina.</t>
  </si>
  <si>
    <t>PFP831R1R11</t>
  </si>
  <si>
    <t>Manómetro Winters Serie PFP Premium, dial 2,5", 0/3.000 psi &amp; 0/200 bar, 1/4"NPT inferior, caja Ac. Inox. 304., internos Ac. Inox. 316, clase 1,5%, aro bayoneta, con glicerina.</t>
  </si>
  <si>
    <t>PFP831R3R1</t>
  </si>
  <si>
    <t>Manómetro Winters Serie PFP Premium, 0/200 Kg/cm2 &amp; 0/3.000 psi, dial 2,5", 1/4"NPT inferior, caja Ac. Inox. 304, int. Ac. Inox. 316, clase 1,5%, aro bayoneta, con glicerina.</t>
  </si>
  <si>
    <t>PFP832R3R1</t>
  </si>
  <si>
    <t>Manómetro Winters Serie PFP Premium, dial 2,5", 0/280 Kg/cm2 &amp; 0/4.000 psi, 1/4"NPT inferior, caja Ac. Inox. 304, int. Ac. Inox. 316, clase 1,5%, aro bayoneta, con glicerina.</t>
  </si>
  <si>
    <t>PFP832R1R11</t>
  </si>
  <si>
    <t>Manómetro Winters Serie PFP Premium, dial 2,5", 0/5.000 psi &amp; 0/350 bar, 1/4"NPT inferior, caja Ac. Inox. 304., internos Ac. Inox. 316, clase 1,5%, aro bayoneta, con glicerina.</t>
  </si>
  <si>
    <t>PFP836R1R11</t>
  </si>
  <si>
    <t>Manómetro Winters Serie PFP Premium, dial 2,5", 0/6.000 psi &amp; 0/400 bar, 1/4"NPT inferior, caja Ac. Inox. 304., internos Ac. Inox. 316, clase 1,5%, aro bayoneta, con glicerina.</t>
  </si>
  <si>
    <t>PFP836R3R1</t>
  </si>
  <si>
    <t>Manómetro Winters Serie PFP Premium, dial 2,5", 0/400 Kg/cm2 &amp; 0/6.000 psi, 1/4"NPT inferior, caja Ac. Inox. 304, int. Ac. Inox. 316, clase 1,5%, aro bayoneta, con glicerina.</t>
  </si>
  <si>
    <t>PFP833R3R1</t>
  </si>
  <si>
    <t>Manómetro Winters Serie PFP Premium, dial 2,5", 0/600 Kg/cm2 &amp; 0/8.600 psi, 1/4"NPT inferior, caja Ac. Inox. 304, int. Ac. Inox. 316, clase 1,5%, aro bayoneta, con glicerina.</t>
  </si>
  <si>
    <t>PFP833R1R11</t>
  </si>
  <si>
    <t>Manómetro Winters Serie PFP Premium, dial 2,5", 0/10.000 psi &amp; 0/700 bar, 1/4"NPT inferior, caja Ac. Inox. 304., internos Ac. Inox. 316, clase 1,5%, aro bayoneta, con glicerina.</t>
  </si>
  <si>
    <t>PFP835R1R11</t>
  </si>
  <si>
    <t>Manómetro Winters Serie PFP Premium, dial 2,5", 0/15.000 psi &amp; 0/1.000 bar, 1/4"NPT inferior, caja Ac. Inox. 304., internos Ac. Inox. 316, clase 1,5%, aro bayoneta, con glicerina.</t>
  </si>
  <si>
    <t>PFP835R3R1</t>
  </si>
  <si>
    <t>Manómetro Winters Serie PFP Premium, dial 2,5", 0/1.000 Kg/cm2 &amp; 0/15.000 psi, 1/4"NPT inferior, caja Ac. Inox. 304, int. Ac. Inox. 316, clase 1,5%, aro bayoneta, con glicerina.</t>
  </si>
  <si>
    <t>PFP837R1R11</t>
  </si>
  <si>
    <t>Manómetro Winters Serie PFP Premium, dial 2,5", 0/20.000 psi &amp; 0/1.400 bar, 1/4"NPT inferior, caja Ac. Inox. 304., internos Ac. Inox. 316, clase 1,5%, aro bayoneta, con glicerina.</t>
  </si>
  <si>
    <t>PFP840R6R11</t>
  </si>
  <si>
    <t>Vacuómetro Winters Serie PFP Premium, dial 2,5", -30/0"Hg &amp; -1/0 bar, 1/4"NPT posterior, caja Ac. Inox 304, internos Ac. Inox. 316, clase 1,5%, aro bayoneta, con glicerina.</t>
  </si>
  <si>
    <t>PFP840R7R6</t>
  </si>
  <si>
    <t>Vacuómetro Winters Serie PFP Premium, dial 2,5", -760/0 mmHg &amp; -30"Hg/0, 1/4"NPT posterior, caja Ac. Inox 304, internos c. Inox. 316, clase 1,5%, aro bayoneta, con glicerina.</t>
  </si>
  <si>
    <t>PFP870R1R11</t>
  </si>
  <si>
    <t>Manovacuómetro Winters Serie PFP Premium, dial 2,5", -30"Hg/0/15 psi &amp; -1/0/1 bar, 1/4"NPT posterior., caja Ac. Inox. 304., internos Ac. Inox. 316, clase 1,5%, aro bayoneta, con glicerina.</t>
  </si>
  <si>
    <t>PFP871R1R11</t>
  </si>
  <si>
    <t>Manovacuómetro Winters Serie PFP Premium, dial 2,5", -30"Hg/0/30 psi &amp; -1/0/2 bar, 1/4"NPT posterior., caja Ac. Inox. 304., internos Ac. Inox. 316, clase 1,5%, aro bayoneta, con glicerina.</t>
  </si>
  <si>
    <t>PFP871R3R1</t>
  </si>
  <si>
    <t>Manovacuómetro Winters Serie PFP Premium, dial 2,5",-1/0/2 Kg/cm2 &amp; -30"Hg/0/30 psi,  1/4"NPT posterior, caja Ac. Inox. 304, int. Ac. Inox. 316, clase 1,5%, aro bayoneta, con glicerina.</t>
  </si>
  <si>
    <t>PFP872R1R11</t>
  </si>
  <si>
    <t>Manovacuómetro Winters Serie PFP Premium, dial 2,5", -30"Hg/0/60 psi &amp; -1/0/4 bar, 1/4"NPT posterior., caja Ac. Inox. 304., internos Ac. Inox. 316, clase 1,5%, aro bayoneta, con glicerina.</t>
  </si>
  <si>
    <t>PFP872R3R1</t>
  </si>
  <si>
    <t>Manovacuómetro Winters Serie PFP Premium, dial 2,5",-1/0/4 Kg/cm2 &amp; -30"Hg/0/60 psi,  1/4"NPT posterior, caja Ac. Inox. 304, int. Ac. Inox. 316, clase 1,5%, aro bayoneta, con glicerina.</t>
  </si>
  <si>
    <t>PFP873R1R11</t>
  </si>
  <si>
    <t>Manovacuómetro Winters Serie PFP Premium, dial 2,5", -30"Hg/0/100 psi &amp; -1/0/7 bar, 1/4"NPT posterior., caja Ac. Inox. 304., internos Ac. Inox. 316, clase 1,5%, aro bayoneta, con glicerina.</t>
  </si>
  <si>
    <t>PFP874R1R11</t>
  </si>
  <si>
    <t>Manovacuómetro Winters Serie PFP Premium, dial 2,5", -30"Hg/0/100 psi &amp; -1/0/10 bar, 1/4"NPT posterior., caja Ac. Inox. 304., internos Ac. Inox. 316, clase 1,5%, aro bayoneta, con glicerina.</t>
  </si>
  <si>
    <t>PFP874R3R1</t>
  </si>
  <si>
    <t>Manovacuómetro Winters Serie PFP Premium, dial 2,5",-1/0/10 Kg/cm2 &amp; -30"Hg/0/160 psi,  1/4"NPT posterior, caja Ac. Inox. 304, int. Ac. Inox. 316, clase 1,5%, aro bayoneta, con glicerina.</t>
  </si>
  <si>
    <t>PFP876R1R11</t>
  </si>
  <si>
    <t>Manovacuómetro Winters Serie PFP Premium, dial 2,5", -30"Hg/0/200 psi &amp; -1/0/14 bar, 1/4"NPT posterior., caja Ac. Inox. 304., internos Ac. Inox. 316, clase 1,5%, aro bayoneta, con glicerina.</t>
  </si>
  <si>
    <t>PFP877R1R11</t>
  </si>
  <si>
    <t>Manovacuómetro Winters Serie PFP Premium, dial 2,5", -30"Hg/0/300 psi &amp; -1/0/20 bar, 1/4"NPT posterior., caja Ac. Inox. 304., internos Ac. Inox. 316, clase 1,5%, aro bayoneta, con glicerina.</t>
  </si>
  <si>
    <t>PFP921R1R11</t>
  </si>
  <si>
    <t>Manómetro Winters Serie PFP Premium, dial 2,5", 0/15 psi &amp; 0/1 bar, 1/4"NPT posterior, caja Ac. Inox. 304., internos Ac. Inox. 316, clase 1,5%, aro bayoneta, con glicerina.</t>
  </si>
  <si>
    <t>PFP921R3R1</t>
  </si>
  <si>
    <t>Manómetro Winters Serie PFP Premium, dial 2,5", 0/1 Kg/cm2 &amp; 0/15 psi, 1/4"NPT posterior, caja Ac. Inox. 304, int. Ac. Inox. 316, clase 1,5%, aro bayoneta, con glicerina.</t>
  </si>
  <si>
    <t>PFP922R1R11</t>
  </si>
  <si>
    <t>Manómetro Winters Serie PFP Premium, dial 2,5", 0/30 psi &amp; 0/2 bar, 1/4"NPT posterior, caja Ac. Inox. 304., internos Ac. Inox. 316, clase 1,5%, aro bayoneta, con glicerina.</t>
  </si>
  <si>
    <t>PFP922R3R1</t>
  </si>
  <si>
    <t>Manómetro Winters Serie PFP Premium, dial 2,5", 0/2 Kg/cm2 &amp; 0/30 psi, 1/4"NPT posterior, caja Ac. Inox. 304, int. Ac. Inox. 316, clase 1,5%, aro bayoneta, con glicerina.</t>
  </si>
  <si>
    <t>PFP922R3S</t>
  </si>
  <si>
    <t>Manómetro Winters Serie PFP Premium, dial 2,5", 0/2,5 Kg/cm2, 1/4"NPT posterior, caja Ac. Inox. 304, int. Ac. Inox. 316, clase 1,5%, aro bayoneta, con glicerina.</t>
  </si>
  <si>
    <t>PFP922R1-SG-25</t>
  </si>
  <si>
    <t>Manómetro Winters Serie PFP Premium, dial 2,5", 0/30 psi, 1/4"NPT posterior, caja Ac. Inox. 304, int. Ac. Inox. 316, clase 1,5%, aro bayoneta, con glicerina, con vidrio de seguridad.</t>
  </si>
  <si>
    <t>PFP923R1R11</t>
  </si>
  <si>
    <t>Manómetro Winters Serie PFP Premium, dial 2,5", 0/60 psi &amp; 0/4 bar, 1/4"NPT posterior, caja Ac. Inox. 304., internos Ac. Inox. 316, clase 1,5%, aro bayoneta, con glicerina.</t>
  </si>
  <si>
    <t>PFP923R3R1</t>
  </si>
  <si>
    <t>Manómetro Winters Serie PFP Premium, dial 2,5", 0/4 Kg/cm2 &amp; 0/60 psi, 1/4"NPT posterior, caja Ac. Inox. 304, int. Ac. Inox. 316, clase 1,5%, aro bayoneta, con glicerina.</t>
  </si>
  <si>
    <t>PFP924R1R11</t>
  </si>
  <si>
    <t>Manómetro Winters Serie PFP Premium, dial 2,5", 0/100 psi &amp; 0/7 bar, 1/4"NPT posterior, caja Ac. Inox. 304., internos Ac. Inox. 316, clase 1,5%, aro bayoneta, con glicerina.</t>
  </si>
  <si>
    <t>PFP924R3R1</t>
  </si>
  <si>
    <t>Manómetro Winters Serie PFP Premium, dial 2,5", 0/7 Kg/cm2 &amp; 0/100 psi, 1/4"NPT posterior, caja Ac. Inox. 304, int. Ac. Inox. 316, clase 1,5%, aro bayoneta, con glicerina.</t>
  </si>
  <si>
    <t>PFP925R3</t>
  </si>
  <si>
    <t>Manómetro Winters Serie PFP Premium, dial 2,5", 0/10 Kg/cm2, 1/4"NPT posterior, caja Ac. Inox. 304, int. Ac. Inox. 316, clase 1,5%, aro bayoneta, con glicerina.</t>
  </si>
  <si>
    <t>PFP925R3R1</t>
  </si>
  <si>
    <t>Manómetro Winters Serie PFP Premium, dial 2,5", 0/10 Kg/cm2 &amp; 0/150 psi, 1/4"NPT posterior, caja Ac. Inox. 304, int. Ac. Inox. 316, clase 1,5%, aro bayoneta, con glicerina.</t>
  </si>
  <si>
    <t>PFP925R1R11</t>
  </si>
  <si>
    <t>Manómetro Winters Serie PFP Premium, dial 2,5", 0/160 psi &amp; 0/11 bar, 1/4"NPT posterior, caja Ac. Inox. 304., internos Ac. Inox. 316, clase 1,5%, aro bayoneta, con glicerina.</t>
  </si>
  <si>
    <t>PFP926R1R11</t>
  </si>
  <si>
    <t>Manómetro Winters Serie PFP Premium, dial 2,5", 0/200 psi &amp; 0/14 bar, 1/4"NPT posterior, caja Ac. Inox. 304., internos Ac. Inox. 316, clase 1,5%, aro bayoneta, con glicerina.</t>
  </si>
  <si>
    <t>PFP926R3R1</t>
  </si>
  <si>
    <t>Manómetro Winters Serie PFP Premium, dial 2,5", 0/14 Kg/cm2 &amp; 0/200 psi, 1/4"NPT posterior, caja Ac. Inox. 304, int. Ac. Inox. 316, clase 1,5%, aro bayoneta, con glicerina.</t>
  </si>
  <si>
    <t>PFP927R1R11</t>
  </si>
  <si>
    <t>Manómetro Winters Serie PFP Premium, dial 2,5", 0/300 psi &amp; 0/20 bar, 1/4"NPT posterior, caja Ac. Inox. 304., internos Ac. Inox. 316, clase 1,5%, aro bayoneta, con glicerina.</t>
  </si>
  <si>
    <t>PFP881R3R1S</t>
  </si>
  <si>
    <t>Manómetro Winters Serie PFP Premium, dial 2,5", 0/25 Kg/cm2 &amp; 0/360 psi, 1/4"NPT posterior, caja Ac. Inox. 304, int. Ac. Inox. 316, clase 1,5%, aro bayoneta, con glicerina.</t>
  </si>
  <si>
    <t>PFP881R3S-SG-25</t>
  </si>
  <si>
    <t>Manómetro Winters Serie PFP Premium, dial 2,5", 0/25 Kg/cm2, 1/4"NPT posterior, caja Ac. Inox. 304, int. Ac. Inox. 316, clase 1,5%, aro bayoneta, con glicerina, con vidrio de seguridad.</t>
  </si>
  <si>
    <t>PFP881R3R1</t>
  </si>
  <si>
    <t>Manómetro Winters Serie PFP Premium, dial 2,5", 0/28 Kg/cm2 &amp; 0/400 psi, 1/4"NPT posterior, caja Ac. Inox. 304, int. Ac. Inox. 316, clase 1,5%, aro bayoneta, con glicerina.</t>
  </si>
  <si>
    <t>PFP881R1R11</t>
  </si>
  <si>
    <t>Manómetro Winters Serie PFP Premium, dial 2,5", 0/400 psi &amp; 0/30 bar, 1/4"NPT posterior, caja Ac. Inox. 304., internos Ac. Inox. 316, clase 1,5%, aro bayoneta, con glicerina.</t>
  </si>
  <si>
    <t>PFP928R1R11</t>
  </si>
  <si>
    <t>Manómetro Winters Serie PFP Premium, dial 2,5", 0/600 psi &amp; 0/40 bar, 1/4"NPT posterior, caja Ac. Inox. 304., internos Ac. Inox. 316, clase 1,5%, aro bayoneta, con glicerina.</t>
  </si>
  <si>
    <t>PFP928R3R1</t>
  </si>
  <si>
    <t>Manómetro Winters Serie PFP Premium, dial 2,5", 0/40 Kg/cm2 &amp; 0/600 psi, 1/4"NPT posterior, caja Ac. Inox. 304, int. Ac. Inox. 316, clase 1,5%, aro bayoneta, con glicerina.</t>
  </si>
  <si>
    <t>PFP929R1R11</t>
  </si>
  <si>
    <t>Manómetro Winters Serie PFP Premium, dial 2,5", 0/1.000 psi &amp; 0/70 bar, 1/4"NPT posterior, caja Ac. Inox. 304., internos Ac. Inox. 316, clase 1,5%, aro bayoneta, con glicerina.</t>
  </si>
  <si>
    <t>PFP929R3R1</t>
  </si>
  <si>
    <t>Manómetro Winters Serie PFP Premium, dial 2,5", 0/70 Kg/cm2 &amp; 0/1.000 psi, 1/4"NPT posterior, caja Ac. Inox. 304, int. Ac. Inox. 316, clase 1,5%, aro bayoneta, con glicerina.</t>
  </si>
  <si>
    <t>PFP934R1R11</t>
  </si>
  <si>
    <t>Manómetro Winters Serie PFP Premium, dial 2,5", 0/1.500 psi &amp; 0/100 bar, 1/4"NPT posterior, caja Ac. Inox. 304., internos Ac. Inox. 316, clase 1,5%, aro bayoneta, con glicerina.</t>
  </si>
  <si>
    <t>PFP934R3R1</t>
  </si>
  <si>
    <t>Manómetro Winters Serie PFP Premium, dial 2,5", 0/100 Kg/cm2 &amp; 0/1.500 psi, 1/4"NPT posterior, caja Ac. Inox. 304, int. Ac. Inox. 316, clase 1,5%, aro bayoneta, con glicerina.</t>
  </si>
  <si>
    <t>PFP930R1R11</t>
  </si>
  <si>
    <t>Manómetro Winters Serie PFP Premium, dial 2,5", 0/2.000 psi &amp; 0/140 bar, 1/4"NPT posterior, caja Ac. Inox. 304., internos Ac. Inox. 316, clase 1,5%, aro bayoneta, con glicerina.</t>
  </si>
  <si>
    <t>PFP930R3R1</t>
  </si>
  <si>
    <t>Manómetro Winters Serie PFP Premium, dial 2,5", 0/140 Kg/cm2 &amp; 0/2.000 psi, 1/4"NPT posterior, caja Ac. Inox. 304, int. Ac. Inox. 316, clase 1,5%, aro bayoneta, con glicerina.</t>
  </si>
  <si>
    <t>PFP931R3S1-SG-25</t>
  </si>
  <si>
    <t>Manómetro Winters Serie PFP Premium, dial 2,5", 0/150 Kg/cm2, 1/4"NPT posterior, caja Ac. Inox. 304, int. Ac. Inox. 316, clase 1,5%, aro bayoneta, con glicerina, con vidrio de seguridad.</t>
  </si>
  <si>
    <t>PFP931R1R11</t>
  </si>
  <si>
    <t>Manómetro Winters Serie PFP Premium, dial 2,5", 0/3.000 psi &amp; 0/200 bar, 1/4"NPT posterior, caja Ac. Inox. 304., internos Ac. Inox. 316, clase 1,5%, aro bayoneta, con glicerina.</t>
  </si>
  <si>
    <t>PFP931R3R1</t>
  </si>
  <si>
    <t>Manómetro Winters Serie PFP Premium, dial 2,5", 0/200 Kg/cm2 &amp; 0/3.000 psi, 1/4"NPT posterior, caja Ac. Inox. 304, int. Ac. Inox. 316, clase 1,5%, aro bayoneta, con glicerina.</t>
  </si>
  <si>
    <t>PFP852R3R1S</t>
  </si>
  <si>
    <t>Manómetro Winters Serie PFP Premium, dial 2,5", 0/280 Kg/cm2 &amp; 0/4.000 psi, 1/4"NPT posterior, caja Ac. Inox. 304, int. Ac. Inox. 316, clase 1,5%, aro bayoneta, con glicerina.</t>
  </si>
  <si>
    <t>PFP852R1R11</t>
  </si>
  <si>
    <t>Manómetro Winters Serie PFP Premium, dial 2,5", 0/5.000 psi &amp; 0/350 bar, 1/4"NPT posterior, caja Ac. Inox. 304., internos Ac. Inox. 316, clase 1,5%, aro bayoneta, con glicerina.</t>
  </si>
  <si>
    <t>PFP851R1R11</t>
  </si>
  <si>
    <t>Manómetro Winters Serie PFP Premium, dial 2,5", 0/6.000 psi &amp; 0/400 bar, 1/4"NPT posterior, caja Ac. Inox. 304., internos Ac. Inox. 316, clase 1,5%, aro bayoneta, con glicerina.</t>
  </si>
  <si>
    <t>PFP851R3R1</t>
  </si>
  <si>
    <t>Manómetro Winters Serie PFP Premium, dial 2,5", 0/400 Kg/cm2 &amp; 0/6.000 psi, 1/4"NPT posterior, caja Ac. Inox. 304, int. Ac. Inox. 316, clase 1,5%, aro bayoneta, con glicerina.</t>
  </si>
  <si>
    <t>PFP853R3R1S</t>
  </si>
  <si>
    <t>Manómetro Winters Serie PFP Premium, dial 2,5", 0/600 Kg/cm2 &amp; 0/8.700 psi, 1/4"NPT posterior, caja Ac. Inox. 304, int. Ac. Inox. 316, clase 1,5%, aro bayoneta, con glicerina.</t>
  </si>
  <si>
    <t>PFP853R1R11</t>
  </si>
  <si>
    <t>Manómetro Winters Serie PFP Premium, dial 2,5", 0/10.000 psi &amp; 0/700 bar, 1/4"NPT posterior, caja Ac. Inox. 304., internos Ac. Inox. 316, clase 1,5%, aro bayoneta, con glicerina.</t>
  </si>
  <si>
    <t>PFP855R1R11</t>
  </si>
  <si>
    <t>Manómetro Winters Serie PFP Premium, dial 2,5", 0/15.000 psi &amp; 0/1.000 bar, 1/4"NPT posterior, caja Ac. Inox. 304., internos Ac. Inox. 316, clase 1,5%, aro bayoneta, con glicerina.</t>
  </si>
  <si>
    <t>PFP600R6R11</t>
  </si>
  <si>
    <t>Vacuómetro Winters Serie PFP Premium, dial 4", -30/0"Hg &amp; -1/0 bar, 1/4"NPT inferior, caja Ac. Inox 304, internos latón, clase 1%, aro bayoneta, con glicerina.</t>
  </si>
  <si>
    <t>PFP1020R1R11</t>
  </si>
  <si>
    <t>Manovacuómetro Winters Serie PFP Premium, dial 4", -30"Hg/0/15 psi &amp; -1/0/1 bar, 1/4"NPT inferior, caja Ac. Inox 304, internos latón, clase 1%, aro bayoneta, con glicerina.</t>
  </si>
  <si>
    <t>PFP1021R1R11</t>
  </si>
  <si>
    <t>Manovacuómetro Winters Serie PFP Premium, dial 4", -30"Hg/0/30 psi &amp; -1/0/2 bar, 1/4"NPT inferior, caja Ac. Inox 304, internos latón, clase 1%, aro bayoneta, con glicerina.</t>
  </si>
  <si>
    <t>PFP1022R1R11</t>
  </si>
  <si>
    <t>Manovacuómetro Winters Serie PFP Premium, dial 4", -30"Hg/0/60 psi &amp; -1/0/4 bar, 1/4"NPT inferior, caja Ac. Inox 304, internos latón, clase 1%, aro bayoneta, con glicerina.</t>
  </si>
  <si>
    <t>PFP1023R1R11</t>
  </si>
  <si>
    <t>Manovacuómetro Winters Serie PFP Premium, dial 4", -30"Hg/0/100 psi &amp; -1/0/7 bar, 1/4"NPT inferior, caja Ac. Inox 304, internos latón, clase 1%, aro bayoneta, con glicerina.</t>
  </si>
  <si>
    <t>PFP1024R1R11</t>
  </si>
  <si>
    <t>Manovacuómetro Winters Serie PFP Premium, dial 4", -30"Hg/0/100 psi &amp; -1/0/10 bar, 1/4"NPT inferior, caja Ac. Inox 304, internos latón, clase 1%, aro bayoneta, con glicerina.</t>
  </si>
  <si>
    <t>PFP1026R1R11</t>
  </si>
  <si>
    <t>Manovacuómetro Winters Serie PFP Premium, dial 4", -30"Hg/0/200 psi &amp; -1/0/14 bar, 1/4"NPT inferior, caja Ac. Inox 304, internos latón, clase 1%, aro bayoneta, con glicerina.</t>
  </si>
  <si>
    <t>PFP1027R1R11</t>
  </si>
  <si>
    <t>Manovacuómetro Winters Serie PFP Premium, dial 4", -30"Hg/0/300 psi &amp; -1/0/20 bar, 1/4"NPT inferior, caja Ac. Inox 304, internos latón, clase 1%, aro bayoneta, con glicerina.</t>
  </si>
  <si>
    <t>PFP601R1R11</t>
  </si>
  <si>
    <t>Manómetro Winters Serie PFP Premium, dial 4", 0/15 psi &amp; 0/1 bar, 1/4"NPT inferior, caja Ac. Inox. 304., internos latón, clase 1%, aro bayoneta, con glicerina.</t>
  </si>
  <si>
    <t>PFP602R1R11</t>
  </si>
  <si>
    <t>Manómetro Winters Serie PFP Premium, dial 4", 0/30 psi &amp; 0/2 bar, 1/4"NPT inferior, caja Ac. Inox. 304., internos latón, clase 1%, aro bayoneta, con glicerina.</t>
  </si>
  <si>
    <t>PFP603R1R11</t>
  </si>
  <si>
    <t>Manómetro Winters Serie PFP Premium, dial 4", 0/60 psi &amp; 0/4 bar, 1/4"NPT inferior, caja Ac. Inox. 304., internos latón, clase 1%, aro bayoneta, con glicerina.</t>
  </si>
  <si>
    <t>PFP604R1R11</t>
  </si>
  <si>
    <t>Manómetro Winters Serie PFP Premium, dial 4", 0/100 psi &amp; 0/7 bar, 1/4"NPT inferior, caja Ac. Inox. 304., internos latón, clase 1%, aro bayoneta, con glicerina.</t>
  </si>
  <si>
    <t>PFP605R1R11</t>
  </si>
  <si>
    <t>Manómetro Winters Serie PFP Premium, dial 4", 0/160 psi &amp; 0/11 bar, 1/4"NPT inferior, caja Ac. Inox. 304., internos latón, clase 1%, aro bayoneta, con glicerina.</t>
  </si>
  <si>
    <t>PFP606R1R11</t>
  </si>
  <si>
    <t>Manómetro Winters Serie PFP Premium, dial 4", 0/200 psi &amp; 0/14 bar, 1/4"NPT inferior, caja Ac. Inox. 304., internos latón, clase 1%, aro bayoneta, con glicerina.</t>
  </si>
  <si>
    <t>PFP607R1R11</t>
  </si>
  <si>
    <t>Manómetro Winters Serie PFP Premium, dial 4", 0/300 psi &amp; 0/20 bar, 1/4"NPT inferior, caja Ac. Inox. 304., internos latón, clase 1%, aro bayoneta, con glicerina.</t>
  </si>
  <si>
    <t>PFP610R1R11</t>
  </si>
  <si>
    <t>Manómetro Winters Serie PFP Premium, dial 4", 0/400 psi &amp; 0/30 bar, 1/4"NPT inferior, caja Ac. Inox. 304., internos latón, clase 1%, aro bayoneta, con glicerina.</t>
  </si>
  <si>
    <t>PFP608R1R11</t>
  </si>
  <si>
    <t>Manómetro Winters Serie PFP Premium, dial 4", 0/600 psi &amp; 0/40 bar, 1/4"NPT inferior, caja Ac. Inox. 304., internos latón, clase 1%, aro bayoneta, con glicerina.</t>
  </si>
  <si>
    <t>PFP609R1R11</t>
  </si>
  <si>
    <t>Manómetro Winters Serie PFP Premium, dial 4", 0/1.000 psi &amp; 0/70 bar, 1/4"NPT inferior, caja Ac. Inox. 304., internos latón, clase 1%, aro bayoneta, con glicerina.</t>
  </si>
  <si>
    <t>PFP1000R6R11</t>
  </si>
  <si>
    <t>Vacuómetro Winters Serie PFP Premium, dial 4", -30/0"Hg &amp; -1/0 bar, 1/4"NPT posterior, caja Ac. Inox 304, internos latón, clase 1%, aro bayoneta, con glicerina.</t>
  </si>
  <si>
    <t>PFP1028R1R11</t>
  </si>
  <si>
    <t>Manovacuómetro Winters Serie PFP Premium, dial 4", -30"Hg/0/15 psi &amp; -1/0/1 bar, 1/4"NPT posterior, caja Ac. Inox 304, internos latón, clase 1%, aro bayoneta, con glicerina.</t>
  </si>
  <si>
    <t>PFP1029R1R11</t>
  </si>
  <si>
    <t>Manovacuómetro Winters Serie PFP Premium, dial 4", -30"Hg/0/30 psi &amp; -1/0/2 bar, 1/4"NPT posterior, caja Ac. Inox 304, internos latón, clase 1%, aro bayoneta, con glicerina.</t>
  </si>
  <si>
    <t>PFP1030R1R11</t>
  </si>
  <si>
    <t>Manovacuómetro Winters Serie PFP Premium, dial 4", -30"Hg/0/60 psi &amp; -1/0/4 bar, 1/4"NPT posterior, caja Ac. Inox 304, internos latón, clase 1%, aro bayoneta, con glicerina.</t>
  </si>
  <si>
    <t>PFP1031R1R11</t>
  </si>
  <si>
    <t>Manovacuómetro Winters Serie PFP Premium, dial 4", -30"Hg/0/100 psi &amp; -1/0/7 bar, 1/4"NPT posterior, caja Ac. Inox 304, internos latón, clase 1%, aro bayoneta, con glicerina.</t>
  </si>
  <si>
    <t>PFP1032R1R11</t>
  </si>
  <si>
    <t>Manovacuómetro Winters Serie PFP Premium, dial 4", -30"Hg/0/100 psi &amp; -1/0/10 bar, 1/4"NPT posterior, caja Ac. Inox 304, internos latón, clase 1%, aro bayoneta, con glicerina.</t>
  </si>
  <si>
    <t>PFP1034R1R11</t>
  </si>
  <si>
    <t>Manovacuómetro Winters Serie PFP Premium, dial 4", -30"Hg/0/200 psi &amp; -1/0/14 bar, 1/4"NPT posterior, caja Ac. Inox 304, internos latón, clase 1%, aro bayoneta, con glicerina.</t>
  </si>
  <si>
    <t>PFP1035R1R11</t>
  </si>
  <si>
    <t>Manovacuómetro Winters Serie PFP Premium, dial 4", -30"Hg/0/300 psi &amp; -1/0/20 bar, 1/4"NPT posterior, caja Ac. Inox 304, internos latón, clase 1%, aro bayoneta, con glicerina.</t>
  </si>
  <si>
    <t>PFP1001R1R11</t>
  </si>
  <si>
    <t>Manómetro Winters Serie PFP Premium, dial 4", 0/15 psi &amp; 0/1 bar, 1/4"NPT posterior, caja Ac. Inox. 304., internos latón, clase 1%, aro bayoneta, con glicerina.</t>
  </si>
  <si>
    <t>PFP1002R1R11</t>
  </si>
  <si>
    <t>Manómetro Winters Serie PFP Premium, dial 4", 0/30 psi &amp; 0/2 bar, 1/4"NPT posterior, caja Ac. Inox. 304., internos latón, clase 1%, aro bayoneta, con glicerina.</t>
  </si>
  <si>
    <t>PFP1003R1R11</t>
  </si>
  <si>
    <t>Manómetro Winters Serie PFP Premium, dial 4", 0/60 psi &amp; 0/4 bar, 1/4"NPT posterior, caja Ac. Inox. 304., internos latón, clase 1%, aro bayoneta, con glicerina.</t>
  </si>
  <si>
    <t>PFP1004R1R11</t>
  </si>
  <si>
    <t>Manómetro Winters Serie PFP Premium, dial 4", 0/100 psi &amp; 0/7 bar, 1/4"NPT posterior, caja Ac. Inox. 304., internos latón, clase 1%, aro bayoneta, con glicerina.</t>
  </si>
  <si>
    <t>PFP1005R1R11</t>
  </si>
  <si>
    <t>Manómetro Winters Serie PFP Premium, dial 4", 0/160 psi &amp; 0/11 bar, 1/4"NPT posterior, caja Ac. Inox. 304., internos latón, clase 1%, aro bayoneta, con glicerina.</t>
  </si>
  <si>
    <t>PFP1006R1R11</t>
  </si>
  <si>
    <t>Manómetro Winters Serie PFP Premium, dial 4", 0/200 psi &amp; 0/14 bar, 1/4"NPT posterior, caja Ac. Inox. 304., internos latón, clase 1%, aro bayoneta, con glicerina.</t>
  </si>
  <si>
    <t>PFP1007R1R11</t>
  </si>
  <si>
    <t>Manómetro Winters Serie PFP Premium, dial 4", 0/300 psi &amp; 0/20 bar, 1/4"NPT posterior, caja Ac. Inox. 304., internos latón, clase 1%, aro bayoneta, con glicerina.</t>
  </si>
  <si>
    <t>PFP1016R1R11</t>
  </si>
  <si>
    <t>Manómetro Winters Serie PFP Premium, dial 4", 0/400 psi &amp; 0/30 bar, 1/4"NPT posterior, caja Ac. Inox. 304., internos latón, clase 1%, aro bayoneta, con glicerina.</t>
  </si>
  <si>
    <t>PFP1008R1R11</t>
  </si>
  <si>
    <t>Manómetro Winters Serie PFP Premium, dial 4", 0/600 psi &amp; 0/40 bar, 1/4"NPT posterior, caja Ac. Inox. 304., internos latón, clase 1%, aro bayoneta, con glicerina.</t>
  </si>
  <si>
    <t>PFP2284R6R11</t>
  </si>
  <si>
    <t>Vacuómetro Winters Serie PFP Premium, dial 4", -30/0"Hg &amp; -1/0 bar, 1/2"NPT inferior, caja Ac. Inox 304, internos latón, clase 1%, aro bayoneta, con glicerina.</t>
  </si>
  <si>
    <t>PFP2285R1R11</t>
  </si>
  <si>
    <t>Manovacuómetro Winters Serie PFP Premium, dial 4", -30"Hg/0/15 psi &amp; -1/0/1 bar, 1/2"NPT inferior, caja Ac. Inox 304, internos latón, clase 1%, aro bayoneta, con glicerina.</t>
  </si>
  <si>
    <t>PFP2286R1R11</t>
  </si>
  <si>
    <t>Manovacuómetro Winters Serie PFP Premium, dial 4", -30"Hg/0/30 psi &amp; -1/0/2 bar, 1/2"NPT inferior, caja Ac. Inox 304, internos latón, clase 1%, aro bayoneta, con glicerina.</t>
  </si>
  <si>
    <t>PFP2287R1R11</t>
  </si>
  <si>
    <t>Manovacuómetro Winters Serie PFP Premium, dial 4", -30"Hg/0/60 psi &amp; -1/0/4 bar, 1/2"NPT inferior, caja Ac. Inox 304, internos latón, clase 1%, aro bayoneta, con glicerina.</t>
  </si>
  <si>
    <t>PFP2288R1R11</t>
  </si>
  <si>
    <t>Manovacuómetro Winters Serie PFP Premium, dial 4", -30"Hg/0/100 psi &amp; -1/0/7 bar, 1/2"NPT inferior, caja Ac. Inox 304, internos latón, clase 1%, aro bayoneta, con glicerina.</t>
  </si>
  <si>
    <t>PFP2289R1R11</t>
  </si>
  <si>
    <t>Manovacuómetro Winters Serie PFP Premium, dial 4", -30"Hg/0/100 psi &amp; -1/0/10 bar, 1/2"NPT inferior, caja Ac. Inox 304, internos latón, clase 1%, aro bayoneta, con glicerina.</t>
  </si>
  <si>
    <t>PFP2290R1R11</t>
  </si>
  <si>
    <t>Manovacuómetro Winters Serie PFP Premium, dial 4", -30"Hg/0/200 psi &amp; -1/0/14 bar, 1/2"NPT inferior, caja Ac. Inox 304, internos latón, clase 1%, aro bayoneta, con glicerina.</t>
  </si>
  <si>
    <t>PFP2291R1R11</t>
  </si>
  <si>
    <t>Manovacuómetro Winters Serie PFP Premium, dial 4", -30"Hg/0/300 psi &amp; -1/0/20 bar, 1/2"NPT inferior, caja Ac. Inox 304, internos latón, clase 1%, aro bayoneta, con glicerina.</t>
  </si>
  <si>
    <t>PFP2292R1R11</t>
  </si>
  <si>
    <t>Manómetro Winters Serie PFP Premium, dial 4", 0/15 psi &amp; 0/1 bar, 1/2"NPT inferior, caja Ac. Inox. 304., internos latón, clase 1%, aro bayoneta, con glicerina.</t>
  </si>
  <si>
    <t>PFP2293R1R11</t>
  </si>
  <si>
    <t>Manómetro Winters Serie PFP Premium, dial 4", 0/30 psi &amp; 0/2 bar, 1/2"NPT inferior, caja Ac. Inox. 304., internos latón, clase 1%, aro bayoneta, con glicerina.</t>
  </si>
  <si>
    <t>PFP2294R1R11</t>
  </si>
  <si>
    <t>Manómetro Winters Serie PFP Premium, dial 4", 0/60 psi &amp; 0/4 bar, 1/2"NPT inferior, caja Ac. Inox. 304., internos latón, clase 1%, aro bayoneta, con glicerina.</t>
  </si>
  <si>
    <t>PFP2295R1R11</t>
  </si>
  <si>
    <t>Manómetro Winters Serie PFP Premium, dial 4", 0/100 psi &amp; 0/7 bar, 1/2"NPT inferior, caja Ac. Inox. 304., internos latón, clase 1%, aro bayoneta, con glicerina.</t>
  </si>
  <si>
    <t>PFP2296R1R11</t>
  </si>
  <si>
    <t>Manómetro Winters Serie PFP Premium, dial 4", 0/160 psi &amp; 0/11 bar, 1/2"NPT inferior, caja Ac. Inox. 304., internos latón, clase 1%, aro bayoneta, con glicerina.</t>
  </si>
  <si>
    <t>PFP2297R1R11</t>
  </si>
  <si>
    <t>Manómetro Winters Serie PFP Premium, dial 4", 0/200 psi &amp; 0/14 bar, 1/2"NPT inferior, caja Ac. Inox. 304., internos latón, clase 1%, aro bayoneta, con glicerina.</t>
  </si>
  <si>
    <t>PFP2298R1R11</t>
  </si>
  <si>
    <t>Manómetro Winters Serie PFP Premium, dial 4", 0/300 psi &amp; 0/20 bar, 1/2"NPT inferior, caja Ac. Inox. 304., internos latón, clase 1%, aro bayoneta, con glicerina.</t>
  </si>
  <si>
    <t>PFP2299R1R11</t>
  </si>
  <si>
    <t>Manómetro Winters Serie PFP Premium, dial 4", 0/400 psi &amp; 0/30 bar, 1/2"NPT inferior, caja Ac. Inox. 304., internos latón, clase 1%, aro bayoneta, con glicerina.</t>
  </si>
  <si>
    <t>PFP2300R1R11</t>
  </si>
  <si>
    <t>Manómetro Winters Serie PFP Premium, dial 4", 0/600 psi &amp; 0/40 bar, 1/2"NPT inferior, caja Ac. Inox. 304., internos latón, clase 1%, aro bayoneta, con glicerina.</t>
  </si>
  <si>
    <t>PFP624R1R11</t>
  </si>
  <si>
    <t>Manómetro Winters Serie PFP Premium, dial 4", 0/1.000 psi &amp; 0/70 bar, 1/2"NPT inferior, caja Ac. Inox. 304., internos latón, clase 1%, aro bayoneta, con glicerina.</t>
  </si>
  <si>
    <t>PFP625R1R11</t>
  </si>
  <si>
    <t>Manómetro Winters Serie PFP Premium, dial 4", 0/1.500 psi &amp; 0/100 bar, 1/2"NPT inferior, caja Ac. Inox. 304., internos latón, clase 1%, aro bayoneta, con glicerina.</t>
  </si>
  <si>
    <t>PFP626R1R11</t>
  </si>
  <si>
    <t>Manómetro Winters Serie PFP Premium, dial 4", 0/2.000 psi &amp; 0/140 bar, 1/2"NPT inferior, caja Ac. Inox. 304., internos latón, clase 1%, aro bayoneta, con glicerina.</t>
  </si>
  <si>
    <t>PFP627R1R11</t>
  </si>
  <si>
    <t>Manómetro Winters Serie PFP Premium, dial 4", 0/3.000 psi &amp; 0/200 bar, 1/2"NPT inferior, caja Ac. Inox. 304., internos latón, clase 1%, aro bayoneta, con glicerina.</t>
  </si>
  <si>
    <t>PFP628R1R11</t>
  </si>
  <si>
    <t>Manómetro Winters Serie PFP Premium, dial 4", 0/5.000 psi &amp; 0/350 bar, 1/2"NPT inferior, caja Ac. Inox. 304., internos latón, clase 1%, aro bayoneta, con glicerina.</t>
  </si>
  <si>
    <t>PFP631R1R11</t>
  </si>
  <si>
    <t>Manómetro Winters Serie PFP Premium, dial 4", 0/6.000 psi &amp; 0/400 bar, 1/2"NPT inferior, caja Ac. Inox. 304., internos latón, clase 1%, aro bayoneta, con glicerina.</t>
  </si>
  <si>
    <t>PFP629R1R11</t>
  </si>
  <si>
    <t>Manómetro Winters Serie PFP Premium, dial 4", 0/10.000 psi &amp; 0/700 bar, 1/2"NPT inferior, caja Ac. Inox. 304., internos latón, clase 1%, aro bayoneta, con glicerina.</t>
  </si>
  <si>
    <t>PFP630R1R11</t>
  </si>
  <si>
    <t>Manómetro Winters Serie PFP Premium, dial 4", 0/15.000 psi &amp; 0/1.000 bar, 1/2"NPT inferior, caja Ac. Inox. 304., internos latón, clase 1%, aro bayoneta, con glicerina.</t>
  </si>
  <si>
    <t>PFP639R1R11</t>
  </si>
  <si>
    <t>Manómetro Winters Serie PFP Premium, dial 4", 0/20.000 psi &amp; 0/1.400 bar, 1/2"NPT inferior, caja Ac. Inox. 304., internos latón, clase 1%, aro bayoneta, con glicerina.</t>
  </si>
  <si>
    <t>PFP1009R1R11</t>
  </si>
  <si>
    <t>Manómetro Winters Serie PFP Premium, dial 4", 0/1.000 psi &amp; 0/70 bar, 1/2"NPT posterior, caja Ac. Inox. 304., internos latón, clase 1%, aro bayoneta, con glicerina.</t>
  </si>
  <si>
    <t>PFP1010R1R11</t>
  </si>
  <si>
    <t>Manómetro Winters Serie PFP Premium, dial 4", 0/1.500 psi &amp; 0/100 bar, 1/2"NPT posterior, caja Ac. Inox. 304., internos latón, clase 1%, aro bayoneta, con glicerina.</t>
  </si>
  <si>
    <t>PFP1011R1R11</t>
  </si>
  <si>
    <t>Manómetro Winters Serie PFP Premium, dial 4", 0/2.000 psi &amp; 0/140 bar, 1/2"NPT posterior, caja Ac. Inox. 304., internos latón, clase 1%, aro bayoneta, con glicerina.</t>
  </si>
  <si>
    <t>PFP1012R1R11</t>
  </si>
  <si>
    <t>Manómetro Winters Serie PFP Premium, dial 4", 0/3.000 psi &amp; 0/200 bar, 1/2"NPT posterior, caja Ac. Inox. 304., internos latón, clase 1%, aro bayoneta, con glicerina.</t>
  </si>
  <si>
    <t>PFP1013R1R11</t>
  </si>
  <si>
    <t>Manómetro Winters Serie PFP Premium, dial 4", 0/5.000 psi &amp; 0/350 bar, 1/2"NPT posterior, caja Ac. Inox. 304., internos latón, clase 1%, aro bayoneta, con glicerina.</t>
  </si>
  <si>
    <t>PFP1015R1R11</t>
  </si>
  <si>
    <t>Manómetro Winters Serie PFP Premium, dial 4", 0/6.000 psi &amp; 0/400 bar, 1/2"NPT posterior, caja Ac. Inox. 304., internos latón, clase 1%, aro bayoneta, con glicerina.</t>
  </si>
  <si>
    <t>PFP1014R1R11</t>
  </si>
  <si>
    <t>Manómetro Winters Serie PFP Premium, dial 4", 0/10.000 psi &amp; 0/700 bar, 1/2"NPT posterior, caja Ac. Inox. 304., internos latón, clase 1%, aro bayoneta, con glicerina.</t>
  </si>
  <si>
    <t>PFP1018R1R11</t>
  </si>
  <si>
    <t>Manómetro Winters Serie PFP Premium, dial 4", 0/15.000 psi &amp; 0/1.000 bar, 1/2"NPT posterior, caja Ac. Inox. 304., internos latón, clase 1%, aro bayoneta, con glicerina.</t>
  </si>
  <si>
    <t>PFP1019R1R11</t>
  </si>
  <si>
    <t>Manómetro Winters Serie PFP Premium, dial 4", 0/20.000 psi &amp; 0/1.400 bar, 1/2"NPT posterior, caja Ac. Inox. 304., internos latón, clase 1%, aro bayoneta, con glicerina.</t>
  </si>
  <si>
    <t>PFP640R6R11</t>
  </si>
  <si>
    <t>Vacuómetro Winters Serie PFP Premium, dial 4", -30/0"Hg &amp; -1/0 bar, 1/4"NPT inferior, caja Ac. Inox 304, internos Ac. Inox. 316, clase 1%, aro bayoneta, con glicerina.</t>
  </si>
  <si>
    <t>PFP1036R1R11</t>
  </si>
  <si>
    <t>Manovacuómetro Winters Serie PFP Premium, dial 4", -30"Hg/0/15 psi &amp; -1/0/1 bar, 1/4"NPT inferior, caja Ac. Inox 304, internos Ac. Inox. 316, clase 1%, aro bayoneta, con glicerina.</t>
  </si>
  <si>
    <t>PFP1037R1R11</t>
  </si>
  <si>
    <t>Manovacuómetro Winters Serie PFP Premium, dial 4", -30"Hg/0/30 psi &amp; -1/0/2 bar, 1/4"NPT inferior, caja Ac. Inox 304, internos Ac. Inox. 316, clase 1%, aro bayoneta, con glicerina.</t>
  </si>
  <si>
    <t>PFP1038R1R11</t>
  </si>
  <si>
    <t>Manovacuómetro Winters Serie PFP Premium, dial 4", -30"Hg/0/60 psi &amp; -1/0/4 bar, 1/4"NPT inferior, caja Ac. Inox 304, internos Ac. Inox. 316, clase 1%, aro bayoneta, con glicerina.</t>
  </si>
  <si>
    <t>PFP1039R1R11</t>
  </si>
  <si>
    <t>Manovacuómetro Winters Serie PFP Premium, dial 4", -30"Hg/0/100 psi &amp; -1/0/7 bar, 1/4"NPT inferior, caja Ac. Inox 304, internos Ac. Inox. 316, clase 1%, aro bayoneta, con glicerina.</t>
  </si>
  <si>
    <t>PFP1040R1R11</t>
  </si>
  <si>
    <t>Manovacuómetro Winters Serie PFP Premium, dial 4", -30"Hg/0/100 psi &amp; -1/0/10 bar, 1/4"NPT inferior, caja Ac. Inox 304, internos Ac. Inox. 316, clase 1%, aro bayoneta, con glicerina.</t>
  </si>
  <si>
    <t>PFP1042R1R11</t>
  </si>
  <si>
    <t>Manovacuómetro Winters Serie PFP Premium, dial 4", -30"Hg/0/200 psi &amp; -1/0/14 bar, 1/4"NPT inferior, caja Ac. Inox 304, internos Ac. Inox. 316, clase 1%, aro bayoneta, con glicerina.</t>
  </si>
  <si>
    <t>PFP1043R1R11</t>
  </si>
  <si>
    <t>Manovacuómetro Winters Serie PFP Premium, dial 4", -30"Hg/0/300 psi &amp; -1/0/20 bar, 1/4"NPT inferior, caja Ac. Inox 304, internos Ac. Inox. 316, clase 1%, aro bayoneta, con glicerina.</t>
  </si>
  <si>
    <t>PFP641R1R11</t>
  </si>
  <si>
    <t>Manómetro Winters Serie PFP Premium, dial 4", 0/15 psi &amp; 0/1 bar, 1/4"NPT inferior, caja Ac. Inox 304, internos Ac. Inox. 316, clase 1%, aro bayoneta, con glicerina.</t>
  </si>
  <si>
    <t>PFP642R1R11</t>
  </si>
  <si>
    <t>Manómetro Winters Serie PFP Premium, dial 4", 0/30 psi &amp; 0/2 bar, 1/4"NPT inferior, caja Ac. Inox 304, internos Ac. Inox. 316, clase 1%, aro bayoneta, con glicerina.</t>
  </si>
  <si>
    <t>PFP643R1R11</t>
  </si>
  <si>
    <t>Manómetro Winters Serie PFP Premium, dial 4", 0/60 psi &amp; 0/4 bar, 1/4"NPT inferior, caja Ac. Inox 304, internos Ac. Inox. 316, clase 1%, aro bayoneta, con glicerina.</t>
  </si>
  <si>
    <t>PFP644R1R11</t>
  </si>
  <si>
    <t>Manómetro Winters Serie PFP Premium, dial 4", 0/100 psi &amp; 0/7 bar, 1/4"NPT inferior, caja Ac. Inox 304, internos Ac. Inox. 316, clase 1%, aro bayoneta, con glicerina.</t>
  </si>
  <si>
    <t>PFP645R3R1-BSPT-SG-4</t>
  </si>
  <si>
    <t>Manómetro Winters Serie PFP Premium, dial 4", 0/10 Kg/cm2 &amp; 0/150 psi, 1/4"BSPT inf, caja Ac. Inox. 304, internos Ac. Inox. 316, clase 1%, aro bayoneta, con glicerina, con vidrio de seguridad.</t>
  </si>
  <si>
    <t>PFP645R1R11</t>
  </si>
  <si>
    <t>Manómetro Winters Serie PFP Premium, dial 4", 0/160 psi &amp; 0/11 bar, 1/4"NPT inferior, caja Ac. Inox 304, internos Ac. Inox. 316, clase 1%, aro bayoneta, con glicerina.</t>
  </si>
  <si>
    <t>PFP646R1R11</t>
  </si>
  <si>
    <t>Manómetro Winters Serie PFP Premium, dial 4", 0/200 psi &amp; 0/14 bar, 1/4"NPT inferior, caja Ac. Inox 304, internos Ac. Inox. 316, clase 1%, aro bayoneta, con glicerina.</t>
  </si>
  <si>
    <t>PFP647R1R11</t>
  </si>
  <si>
    <t>Manómetro Winters Serie PFP Premium, dial 4", 0/300 psi &amp; 0/20 bar, 1/4"NPT inferior, caja Ac. Inox 304, internos Ac. Inox. 316, clase 1%, aro bayoneta, con glicerina.</t>
  </si>
  <si>
    <t>PFP650R3R1S</t>
  </si>
  <si>
    <t>Manómetro Winters Serie PFP Premium, dial 4", 0/25 Kg/cm2 &amp; 0/360 psi, 1/4" NPT inferior, caja Ac. Inox 304, internos Ac. Inox. 316, clase 1%, aro bayoneta, con glicerina.</t>
  </si>
  <si>
    <t>PFP650R1R11</t>
  </si>
  <si>
    <t>Manómetro Winters Serie PFP Premium, dial 4", 0/400 psi &amp; 0/30 bar, 1/4"NPT inferior, caja Ac. Inox 304, internos Ac. Inox. 316, clase 1%, aro bayoneta, con glicerina.</t>
  </si>
  <si>
    <t>PFP648R1R11</t>
  </si>
  <si>
    <t>Manómetro Winters Serie PFP Premium, dial 4", 0/600 psi &amp; 0/40 bar, 1/4"NPT inferior, caja Ac. Inox 304, internos Ac. Inox. 316, clase 1%, aro bayoneta, con glicerina.</t>
  </si>
  <si>
    <t>PFP649R1R11</t>
  </si>
  <si>
    <t>Manómetro Winters Serie PFP Premium, dial 4", 0/1.000 psi &amp; 0/70 bar, 1/4"NPT inferior, caja Ac. Inox 304, internos Ac. Inox. 316, clase 1%, aro bayoneta, con glicerina.</t>
  </si>
  <si>
    <t>PFP2301R1R11</t>
  </si>
  <si>
    <t>Manómetro Winters Serie PFP Premium, dial 4", 0/1.500 psi &amp; 0/100 bar, 1/4"NPT inferior, caja Ac. Inox 304, internos Ac. Inox. 316, clase 1%, aro bayoneta, con glicerina.</t>
  </si>
  <si>
    <t>PFP2302R1R11</t>
  </si>
  <si>
    <t>Manómetro Winters Serie PFP Premium, dial 4", 0/2.000 psi &amp; 0/140 bar, 1/4"NPT inferior, caja Ac. Inox 304, internos Ac. Inox. 316, clase 1%, aro bayoneta, con glicerina.</t>
  </si>
  <si>
    <t>PFP2303R1R11</t>
  </si>
  <si>
    <t>Manómetro Winters Serie PFP Premium, dial 4", 0/3.000 psi &amp; 0/200 bar, 1/4"NPT inferior, caja Ac. Inox 304, internos Ac. Inox. 316, clase 1%, aro bayoneta, con glicerina.</t>
  </si>
  <si>
    <t>PFP2304R1R11</t>
  </si>
  <si>
    <t>Manómetro Winters Serie PFP Premium, dial 4", 0/5.000 psi &amp; 0/350 bar, 1/4"NPT inferior, caja Ac. Inox 304, internos Ac. Inox. 316, clase 1%, aro bayoneta, con glicerina.</t>
  </si>
  <si>
    <t>PFP2305R1R11</t>
  </si>
  <si>
    <t>Manómetro Winters Serie PFP Premium, dial 4", 0/6.000 psi &amp; 0/400 bar, 1/4"NPT inferior, caja Ac. Inox 304, internos Ac. Inox. 316, clase 1%, aro bayoneta, con glicerina.</t>
  </si>
  <si>
    <t>PFP2306R1R11</t>
  </si>
  <si>
    <t>Manómetro Winters Serie PFP Premium, dial 4", 0/10.000 psi &amp; 0/700 bar, 1/4"NPT inferior, caja Ac. Inox 304, internos Ac. Inox. 316, clase 1%, aro bayoneta, con glicerina.</t>
  </si>
  <si>
    <t>PFP2307R1R11</t>
  </si>
  <si>
    <t>Manómetro Winters Serie PFP Premium, dial 4", 0/15.000 psi &amp; 0/1.000 bar, 1/4"NPT inferior, caja Ac. Inox 304, internos Ac. Inox. 316, clase 1%, aro bayoneta, con glicerina.</t>
  </si>
  <si>
    <t>PFP1090R6R11</t>
  </si>
  <si>
    <t>Vacuómetro Winters Serie PFP Premium, dial 4", -30/0"Hg &amp; -1/0 bar, 1/4"NPT posterior, caja Ac. Inox 304, internos Ac. Inox. 316, clase 1%, aro bayoneta, con glicerina.</t>
  </si>
  <si>
    <t>PFP1244R1R11</t>
  </si>
  <si>
    <t>Manovacuómetro Winters Serie PFP Premium, dial 4", -30"Hg/0/15 psi &amp; -1/0/1 bar, 1/4"NPT posterior, caja Ac. Inox 304, internos Ac. Inox. 316, clase 1%, aro bayoneta, con glicerina.</t>
  </si>
  <si>
    <t>PFP1245R1R11</t>
  </si>
  <si>
    <t>Manovacuómetro Winters Serie PFP Premium, dial 4", -30"Hg/0/30 psi &amp; -1/0/2 bar, 1/4"NPT posterior, caja Ac. Inox 304, internos Ac. Inox. 316, clase 1%, aro bayoneta, con glicerina.</t>
  </si>
  <si>
    <t>PFP1246R1R11</t>
  </si>
  <si>
    <t>Manovacuómetro Winters Serie PFP Premium, dial 4", -30"Hg/0/60 psi &amp; -1/0/4 bar, 1/4"NPT posterior, caja Ac. Inox 304, internos Ac. Inox. 316, clase 1%, aro bayoneta, con glicerina.</t>
  </si>
  <si>
    <t>PFP1247R1R11</t>
  </si>
  <si>
    <t>Manovacuómetro Winters Serie PFP Premium, dial 4", -30"Hg/0/100 psi &amp; -1/0/7 bar, 1/4"NPT posterior, caja Ac. Inox 304, internos Ac. Inox. 316, clase 1%, aro bayoneta, con glicerina.</t>
  </si>
  <si>
    <t>PFP1248R1R11</t>
  </si>
  <si>
    <t>Manovacuómetro Winters Serie PFP Premium, dial 4", -30"Hg/0/100 psi &amp; -1/0/10 bar, 1/4"NPT posterior, caja Ac. Inox 304, internos Ac. Inox. 316, clase 1%, aro bayoneta, con glicerina.</t>
  </si>
  <si>
    <t>PFP1249R1R11</t>
  </si>
  <si>
    <t>Manovacuómetro Winters Serie PFP Premium, dial 4", -30"Hg/0/200 psi &amp; -1/0/14 bar, 1/4"NPT posterior, caja Ac. Inox 304, internos Ac. Inox. 316, clase 1%, aro bayoneta, con glicerina.</t>
  </si>
  <si>
    <t>PFP1250R1R11</t>
  </si>
  <si>
    <t>Manovacuómetro Winters Serie PFP Premium, dial 4", -30"Hg/0/300 psi &amp; -1/0/20 bar, 1/4"NPT posterior, caja Ac. Inox 304, internos Ac. Inox. 316, clase 1%, aro bayoneta, con glicerina.</t>
  </si>
  <si>
    <t>PFP1091R1R11</t>
  </si>
  <si>
    <t>Manómetro Winters Serie PFP Premium, dial 4", 0/15 psi &amp; 0/1 bar, 1/4"NPT posterior, caja Ac. Inox 304, internos Ac. Inox. 316, clase 1%, aro bayoneta, con glicerina.</t>
  </si>
  <si>
    <t>PFP1092R1R11</t>
  </si>
  <si>
    <t>Manómetro Winters Serie PFP Premium, dial 4", 0/30 psi &amp; 0/2 bar, 1/4"NPT posterior, caja Ac. Inox 304, internos Ac. Inox. 316, clase 1%, aro bayoneta, con glicerina.</t>
  </si>
  <si>
    <t>PFP1093R1R11</t>
  </si>
  <si>
    <t>Manómetro Winters Serie PFP Premium, dial 4", 0/60 psi &amp; 0/4 bar, 1/4"NPT posterior, caja Ac. Inox 304, internos Ac. Inox. 316, clase 1%, aro bayoneta, con glicerina.</t>
  </si>
  <si>
    <t>PFP1094R1R11</t>
  </si>
  <si>
    <t>Manómetro Winters Serie PFP Premium, dial 4", 0/100 psi &amp; 0/7 bar, 1/4"NPT posterior, caja Ac. Inox 304, internos Ac. Inox. 316, clase 1%, aro bayoneta, con glicerina.</t>
  </si>
  <si>
    <t>PFP1095R1R11</t>
  </si>
  <si>
    <t>Manómetro Winters Serie PFP Premium, dial 4", 0/160 psi &amp; 0/11 bar, 1/4"NPT posterior, caja Ac. Inox 304, internos Ac. Inox. 316, clase 1%, aro bayoneta, con glicerina.</t>
  </si>
  <si>
    <t>PFP1096R1R11</t>
  </si>
  <si>
    <t>Manómetro Winters Serie PFP Premium, dial 4", 0/200 psi &amp; 0/14 bar, 1/4"NPT posterior, caja Ac. Inox 304, internos Ac. Inox. 316, clase 1%, aro bayoneta, con glicerina.</t>
  </si>
  <si>
    <t>PFP1097R1R11</t>
  </si>
  <si>
    <t>Manómetro Winters Serie PFP Premium, dial 4", 0/300 psi &amp; 0/20 bar, 1/4"NPT posterior, caja Ac. Inox 304, internos Ac. Inox. 316, clase 1%, aro bayoneta, con glicerina.</t>
  </si>
  <si>
    <t>PFP1251R1R11</t>
  </si>
  <si>
    <t>Manómetro Winters Serie PFP Premium, dial 4", 0/400 psi &amp; 0/30 bar, 1/4"NPT posterior, caja Ac. Inox 304, internos Ac. Inox. 316, clase 1%, aro bayoneta, con glicerina.</t>
  </si>
  <si>
    <t>PFP1098R1R11</t>
  </si>
  <si>
    <t>Manómetro Winters Serie PFP Premium, dial 4", 0/600 psi &amp; 0/40 bar, 1/4"NPT posterior, caja Ac. Inox 304, internos Ac. Inox. 316, clase 1%, aro bayoneta, con glicerina.</t>
  </si>
  <si>
    <t>PFP1099R1R11</t>
  </si>
  <si>
    <t>Manómetro Winters Serie PFP Premium, dial 4", 0/1.000 psi &amp; 0/70 bar, 1/4"NPT posterior, caja Ac. Inox 304, internos Ac. Inox. 316, clase 1%, aro bayoneta, con glicerina.</t>
  </si>
  <si>
    <t>PFP1252R1R11</t>
  </si>
  <si>
    <t>Manómetro Winters Serie PFP Premium, dial 4", 0/1.500 psi &amp; 0/100 bar, 1/4"NPT posterior, caja Ac. Inox 304, internos Ac. Inox. 316, clase 1%, aro bayoneta, con glicerina.</t>
  </si>
  <si>
    <t>PFP1253R1R11</t>
  </si>
  <si>
    <t>Manómetro Winters Serie PFP Premium, dial 4", 0/2.000 psi &amp; 0/140 bar, 1/4"NPT posterior, caja Ac. Inox 304, internos Ac. Inox. 316, clase 1%, aro bayoneta, con glicerina.</t>
  </si>
  <si>
    <t>PFP1254R1R11</t>
  </si>
  <si>
    <t>Manómetro Winters Serie PFP Premium, dial 4", 0/3.000 psi &amp; 0/200 bar, 1/4"NPT posterior, caja Ac. Inox 304, internos Ac. Inox. 316, clase 1%, aro bayoneta, con glicerina.</t>
  </si>
  <si>
    <t>PFP1255R1R11</t>
  </si>
  <si>
    <t>Manómetro Winters Serie PFP Premium, dial 4", 0/5.000 psi &amp; 0/350 bar, 1/4"NPT posterior, caja Ac. Inox 304, internos Ac. Inox. 316, clase 1%, aro bayoneta, con glicerina.</t>
  </si>
  <si>
    <t>PFP1259R1R11</t>
  </si>
  <si>
    <t>Manómetro Winters Serie PFP Premium, dial 4", 0/6.000 psi &amp; 0/400 bar, 1/4"NPT posterior, caja Ac. Inox 304, internos Ac. Inox. 316, clase 1%, aro bayoneta, con glicerina.</t>
  </si>
  <si>
    <t>PFP1256R1R11</t>
  </si>
  <si>
    <t>Manómetro Winters Serie PFP Premium, dial 4", 0/10.000 psi &amp; 0/700 bar, 1/4"NPT posterior, caja Ac. Inox 304, internos Ac. Inox. 316, clase 1%, aro bayoneta, con glicerina.</t>
  </si>
  <si>
    <t>PFP1257R1R11</t>
  </si>
  <si>
    <t>Manómetro Winters Serie PFP Premium, dial 4", 0/15.000 psi &amp; 0/1.000 bar, 1/4"NPT posterior, caja Ac. Inox 304, internos Ac. Inox. 316, clase 1%, aro bayoneta, con glicerina.</t>
  </si>
  <si>
    <t>PFP655R6R11</t>
  </si>
  <si>
    <t>Vacuómetro Winters Serie PFP Premium, dial 4", -30/0"Hg &amp; -1/0 bar, 1/2"NPT inferior, caja Ac. Inox 304, internos Ac. Inox. 316, clase 1%, aro bayoneta, con glicerina.</t>
  </si>
  <si>
    <t>PFP655R7R6</t>
  </si>
  <si>
    <t>Vacuómetro Winters Serie PFP Premium, dial 4", -760 mmHg/0 &amp; -30/0"Hg, 1/2"NPT inferior, caja Ac. Inox. 304, int. Ac. Inox. 316, clase 1%, aro bayoneta, con glicerina.</t>
  </si>
  <si>
    <t>PFP655R3R7-SG-4</t>
  </si>
  <si>
    <t>Vacuómetro Winters Serie PFP Premium, dial 4", -1/0 Kg/cm2 &amp; -760/0 mmHg, 1/2"NPT inferior, caja Ac. Inox. 304, int. Ac. Inox. 316, clase 1%, aro bayoneta, con glicerina, con vidrio de seguridad.</t>
  </si>
  <si>
    <t>PFP1044R1R11</t>
  </si>
  <si>
    <t>Manovacuómetro Winters Serie PFP Premium, dial 4", -30"Hg/0/15 psi &amp; -1/0/1 bar, 1/2"NPT inferior, caja Ac. Inox 304, internos Ac. Inox. 316, clase 1%, aro bayoneta, con glicerina.</t>
  </si>
  <si>
    <t>PFP1044R3-SG-4</t>
  </si>
  <si>
    <t>Manovacuómetro Winters Serie PFP Premium, dial 4", -760 mmHg/0/1 Kg/cm2, 1/2"NPT inferior, caja Ac. Inox. 304, int. Ac. Inox. 316, clase 1%, aro bayoneta, con glicerina, con vidrio de seguridad</t>
  </si>
  <si>
    <t>PFP1044R3R1</t>
  </si>
  <si>
    <t>Manovacuómetro Winters Serie PFP Premium, dial 4", -1/0/1 Kg/cm2 &amp; -15/0/15 psi, 1/2"NPT inferior, caja Ac. Inox. 304, int. Ac. Inox. 316, clase 1%, aro bayoneta, con glicerina.</t>
  </si>
  <si>
    <t>PFP1045R1R11</t>
  </si>
  <si>
    <t>Manovacuómetro Winters Serie PFP Premium, dial 4", -30"Hg/0/30 psi &amp; -1/0/2 bar, 1/2"NPT inferior, caja Ac. Inox 304, internos Ac. Inox. 316, clase 1%, aro bayoneta, con glicerina.</t>
  </si>
  <si>
    <t>PFP1045R3R1</t>
  </si>
  <si>
    <t>Manovacuómetro Winters Serie PFP Premium, dial 4", -1/0/2 Kg/cm2 &amp; -30"Hg/0/30 psi, 1/2"NPT inferior, caja Ac. Inox. 304, int. Ac. Inox. 316, clase 1%, aro bayoneta, con glicerina.</t>
  </si>
  <si>
    <t>PFP1046R1R11</t>
  </si>
  <si>
    <t>Manovacuómetro Winters Serie PFP Premium, dial 4", -30"Hg/0/60 psi &amp; -1/0/4 bar, 1/2"NPT inferior, caja Ac. Inox 304, internos Ac. Inox. 316, clase 1%, aro bayoneta, con glicerina.</t>
  </si>
  <si>
    <t>PFP1046R3R1</t>
  </si>
  <si>
    <t>Manovacuómetro Winters Serie PFP Premium, dial 4", -1/0/4 Kg/cm2 &amp; -15/0/60 psi, 1/2"NPT inferior, caja Ac. Inox. 304, int. Ac. Inox. 316, clase 1%, aro bayoneta, con glicerina.</t>
  </si>
  <si>
    <t>PFP1047R1R11</t>
  </si>
  <si>
    <t>Manovacuómetro Winters Serie PFP Premium, dial 4", -30"Hg/0/100 psi &amp; -1/0/7 bar, 1/2"NPT inferior, caja Ac. Inox 304, internos Ac. Inox. 316, clase 1%, aro bayoneta, con glicerina.</t>
  </si>
  <si>
    <t>PFP1047R3R1</t>
  </si>
  <si>
    <t>Manovacuómetro Winters Serie PFP Premium, dial 4", -1/0/7 Kg/cm2 &amp; -15/0/100 psi, 1/2"NPT inferior, caja Ac. Inox. 304, int. Ac. Inox. 316, clase 1%, aro bayoneta, con glicerina.</t>
  </si>
  <si>
    <t>PFP1048R3S-SG-4</t>
  </si>
  <si>
    <t>Manovacuómetro Winters Serie PFP Premium, dial 4", -1/0/9 Kg/cm2, 1/2"NPT inferior, caja Ac. Inox. 304, int. Ac. Inox. 316, clase 1% aro bayoneta, con glicerina, con vidrio de seguridad.</t>
  </si>
  <si>
    <t>PFP1048R1R11</t>
  </si>
  <si>
    <t>Manovacuómetro Winters Serie PFP Premium, dial 4", -30"Hg/0/150 psi &amp; -1/0/10 bar, 1/2"NPT inferior, caja Ac. Inox 304, internos Ac. Inox. 316, clase 1%, aro bayoneta, con glicerina.</t>
  </si>
  <si>
    <t>PFP1048R3R1DRY</t>
  </si>
  <si>
    <t>Manovacuómetro Winters Serie PFP Premium, dial 4", -1/0/10 Kg/cm2 &amp; -30"Hg/0/160 psi, 1/2"NPT inferior, caja Ac. Inox. 304, int. Ac. Inox. 316, clase 1% aro bayoneta, seco, con vidrio de seguridad.</t>
  </si>
  <si>
    <t>PFP1050R1R11</t>
  </si>
  <si>
    <t>Manovacuómetro Winters Serie PFP Premium, dial 4", -30"Hg/0/200 psi &amp; -1/0/14 bar, 1/2"NPT inferior, caja Ac. Inox 304, internos Ac. Inox. 316, clase 1%, aro bayoneta, con glicerina.</t>
  </si>
  <si>
    <t>PFP1050R3R1</t>
  </si>
  <si>
    <t>Manovacuómetro Winters Serie PFP Premium, dial 4", -1/0/14 Kg/cm2 &amp; -30"Hg/0/200 psi, 1/2"NPT inferior, caja Ac. Inox. 304, int. Ac. Inox. 316, clase 1% aro bayoneta, con glicerina.</t>
  </si>
  <si>
    <t>PFP1050R3R1DRY</t>
  </si>
  <si>
    <t>Manovacuómetro Winters Serie PFP Premium, dial 4", -1/0/14 Kg/cm2 &amp; -30"Hg/0/200 psi, 1/2"NPT inferior, caja Ac. Inox. 304, int. Ac. Inox. 316, clase 1%, aro bayoneta, seco.</t>
  </si>
  <si>
    <t>PFP1051R1R11</t>
  </si>
  <si>
    <t>Manovacuómetro Winters Serie PFP Premium, dial 4", -30"Hg/0/300 psi &amp; -1/0/20 bar, 1/2"NPT inferior, caja Ac. Inox 304, internos Ac. Inox. 316, clase 1%, aro bayoneta, con glicerina.</t>
  </si>
  <si>
    <t>PFP656R1R11</t>
  </si>
  <si>
    <t>Manómetro Winters Serie PFP Premium, dial 4", 0/15 psi &amp; 0/1 bar, 1/2"NPT inferior, caja Ac. Inox 304, internos Ac. Inox. 316, clase 1%, aro bayoneta, con glicerina.</t>
  </si>
  <si>
    <t>PFP656R3R1</t>
  </si>
  <si>
    <t>Manómetro Winters Serie PFP Premium, dial 4", 0/1 Kg/cm2 &amp; 0/15 psi, 1/2"NPT inferior, caja Ac. Inox. 304, int. Ac. Inox. 316, clase 1%, aro bayoneta, con glicerina.</t>
  </si>
  <si>
    <t>PFP657R1R11</t>
  </si>
  <si>
    <t>Manómetro Winters Serie PFP Premium, dial 4", 0/30 psi &amp; 0/2 bar, 1/2"NPT inferior, caja Ac. Inox 304, internos Ac. Inox. 316, clase 1%, aro bayoneta, con glicerina.</t>
  </si>
  <si>
    <t>PFP657R3R1</t>
  </si>
  <si>
    <t>Manómetro Winters Serie PFP Premium, dial 4", 0/2 Kg/cm2 &amp; 0/30 psi, 1/2"NPT inferior, caja Ac. Inox 304, internos Ac. Inox. 316, clase 1%, aro bayoneta, con glicerina.</t>
  </si>
  <si>
    <t>PFP658R1R11</t>
  </si>
  <si>
    <t>Manómetro Winters Serie PFP Premium, dial 4", 0/60 psi &amp; 0/4 bar, 1/2"NPT inferior, caja Ac. Inox 304, internos Ac. Inox. 316, clase 1%, aro bayoneta, con glicerina.</t>
  </si>
  <si>
    <t>PFP658R3R1</t>
  </si>
  <si>
    <t>Manómetro Winters Serie PFP Premium, dial 4", 0/4 Kg/cm2 &amp; 0/60 psi, 1/2"NPT inferior, caja Ac. Inox. 304, int. Ac. Inox. 316, clase 1%, aro bayoneta, con glicerina.</t>
  </si>
  <si>
    <t>PFP659R3S1-SG-4</t>
  </si>
  <si>
    <t>Manómetro Winters Serie PFP Premium, dial 4", 0/5 Kg/cm2, 1/2"NPT inferior, caja Ac. Inox. 304, int. Ac. Inox. 316, clase 1%, aro bayoneta, con glicerina, con vidrio de seguridad.</t>
  </si>
  <si>
    <t>PFP659R1R11</t>
  </si>
  <si>
    <t>Manómetro Winters Serie PFP Premium, dial 4", 0/100 psi &amp; 0/7 bar, 1/2"NPT inferior, caja Ac. Inox 304, internos Ac. Inox. 316, clase 1%, aro bayoneta, con glicerina.</t>
  </si>
  <si>
    <t>PFP659R3R1</t>
  </si>
  <si>
    <t>Manómetro Winters Serie PFP Premium, dial 4", 0/7 Kg/cm2 &amp; 0/100 psi, 1/2"NPT inferior, caja Ac. Inox. 304, int. Ac. Inox. 316, clase 1%, aro bayoneta, con glicerina.</t>
  </si>
  <si>
    <t>PFP659R3-SG-4</t>
  </si>
  <si>
    <t>Manómetro Winters Serie PFP Premium, dial 4", 0/7 Kg/cm2, 1/2"NPT inferior, caja Ac. Inox. 304, int. Ac. Inox. 316, clase 1%, aro bayoneta, con glicerina, con vidrio de seguridad.</t>
  </si>
  <si>
    <t>PFP660R3R1</t>
  </si>
  <si>
    <t>Manómetro Winters Serie PFP Premium, dial 4", 0/10 Kg/cm2 &amp; 0/150 psi, 1/2"NPT inferior, caja Ac. Inox. 304, int. Ac. Inox. 316, clase 1%, aro bayoneta, con glicerina.</t>
  </si>
  <si>
    <t>PFP660R3-SG-4</t>
  </si>
  <si>
    <t>Manómetro Winters Serie PFP Premium, dial 4", 0/10 kg/cm2, 1/2"NPT inferior, caja Ac. Inox 304, internos Ac. Inox. 316, clase 1%, aro bayoneta, con glicerina, con vidrio de seguridad.</t>
  </si>
  <si>
    <t>PFP660R1R11</t>
  </si>
  <si>
    <t>Manómetro Winters Serie PFP Premium, dial 4", 0/160 psi &amp; 0/11 bar, 1/2"NPT inferior, caja Ac. Inox 304, internos Ac. Inox. 316, clase 1%, aro bayoneta, con glicerina.</t>
  </si>
  <si>
    <t>PFP661R1R11</t>
  </si>
  <si>
    <t>Manómetro Winters Serie PFP Premium, dial 4", 0/200 psi &amp; 0/14 bar, 1/2"NPT inferior, caja Ac. Inox 304, internos Ac. Inox. 316, clase 1%, aro bayoneta, con glicerina.</t>
  </si>
  <si>
    <t>PFP661R3R1DRY</t>
  </si>
  <si>
    <t>Manómetro Winters Serie PFP Premium, dial 4", 0/14 Kg/cm2 &amp; 0/200 psi, 1/2"NPT inferior, caja Ac. Inox. 304, int. Ac. Inox. 316, clase 1%, aro bayoneta, seco.</t>
  </si>
  <si>
    <t>PFP662R1R11</t>
  </si>
  <si>
    <t>Manómetro Winters Serie PFP Premium, dial 4", 0/300 psi &amp; 0/20 bar, 1/2"NPT inferior, caja Ac. Inox 304, internos Ac. Inox. 316, clase 1%, aro bayoneta, con glicerina.</t>
  </si>
  <si>
    <t>PFP662R3-SG-4</t>
  </si>
  <si>
    <t>Manómetro Winters Serie PFP Premium, dial 4", 0/20 Kg/cm2, 1/2"NPT inferior, caja Ac. Inox. 304, int. Ac. Inox. 316, clase 1%, aro bayoneta, con glicerina, con vidrio de seguridad.</t>
  </si>
  <si>
    <t>PFP662R3R1-SG-4</t>
  </si>
  <si>
    <t>Manómetro Winters Serie PFP Premium, dial 4", 0/20 Kg/cm2 &amp; 0/300 psi, 1/2"NPT inferior, caja Ac. Inox. 304, int. Ac. Inox. 316, clase 1%, aro bayoneta, con glicerina, con vidrio de seguridad.</t>
  </si>
  <si>
    <t>PFP666R11R1S</t>
  </si>
  <si>
    <t>Manómetro Winters Serie PFP Premium, dial 4", 0/25 bar &amp; 0/360 psi, 1/2"NPT inferior, caja Ac. Inox. 304, int. Ac. Inox. 316, clase 1%, aro bayoneta, con glicerina.</t>
  </si>
  <si>
    <t>PFP666R3S-SG-4</t>
  </si>
  <si>
    <t>Manómetro Winters Serie PFP Premium, dial 4", 0/25 Kg/cm2, 1/2"NPT inferior, caja Ac. Inox. 304, int. Ac. Inox. 316, clase 1%, aro bayoneta, con glicerina, con vidrio de seguridad.</t>
  </si>
  <si>
    <t>PFP666R3R1</t>
  </si>
  <si>
    <t>Manómetro Winters Serie PFP Premium, dial 4", 0/28 kg/cm2 &amp; 0/400 psi, 1/2"NPT inferior, caja Ac. Inox. 304, int. Ac. Inox. 316, clase 1%, aro bayoneta, con glicerina.</t>
  </si>
  <si>
    <t>PFP666R1R11</t>
  </si>
  <si>
    <t>Manómetro Winters Serie PFP Premium, dial 4", 0/400 psi &amp; 0/30 bar, 1/2"NPT inferior, caja Ac. Inox 304, internos Ac. Inox. 316, clase 1%, aro bayoneta, con glicerina.</t>
  </si>
  <si>
    <t>PFP663R3S-SG-4</t>
  </si>
  <si>
    <t>Manómetro Winters Serie PFP Premium, dial 4", 0/30 Kg/cm2, 1/2"NPT inferior, caja Ac. Inox 304, internos Ac. Inox. 316, clase 1%, aro bayoneta, con glicerina, con vidrio de seguridad.</t>
  </si>
  <si>
    <t>PFP663R3S1-SG-4</t>
  </si>
  <si>
    <t>Manómetro Winters Serie PFP Premium, dial 4", 0/35 Kg/cm2, 1/2"NPT inferior, caja Ac. Inox 304, internos Ac. Inox. 316, clase 1%, aro bayoneta, con glicerina, con vidrio de seguridad.</t>
  </si>
  <si>
    <t>PFP663R1R11</t>
  </si>
  <si>
    <t>Manómetro Winters Serie PFP Premium, dial 4", 0/600 psi &amp; 0/40 bar, 1/2"NPT inferior, caja Ac. Inox 304, internos Ac. Inox. 316, clase 1%, aro bayoneta, con glicerina.</t>
  </si>
  <si>
    <t>PFP664R3S-SG-4</t>
  </si>
  <si>
    <t>Manómetro Winters Serie PFP Premium, dial 4", 0/50 kg/cm2, 1/2"NPT inferior, caja Ac. Inox 304, internos Ac. Inox. 316, clase 1%, aro bayoneta, con glicerina, con vidrio de seguridad.</t>
  </si>
  <si>
    <t>PFP664R1R11</t>
  </si>
  <si>
    <t>Manómetro Winters Serie PFP Premium, dial 4", 0/1.000 psi &amp; 0/70 bar, 1/2"NPT inferior, caja Ac. Inox 304, internos Ac. Inox. 316, clase 1%, aro bayoneta, con glicerina.</t>
  </si>
  <si>
    <t>PFP665R1R11</t>
  </si>
  <si>
    <t>Manómetro Winters Serie PFP Premium, dial 4", 0/1.500 psi &amp; 0/100 bar, 1/2"NPT inferior, caja Ac. Inox 304, internos Ac. Inox. 316, clase 1%, aro bayoneta, con glicerina.</t>
  </si>
  <si>
    <t>PFP665R3R1</t>
  </si>
  <si>
    <t>Manómetro Winters Serie PFP Premium, dial 4", 0/100 Kg/cm2 &amp; 0/1.500 psi, 1/2"NPT inferior, caja Ac. Inox. 304, int. Ac. Inox. 316, clase 1%, aro bayoneta, con glicerina.</t>
  </si>
  <si>
    <t>PFP667R1R11</t>
  </si>
  <si>
    <t>Manómetro Winters Serie PFP Premium, dial 4", 0/2.000 psi &amp; 0/140 bar, 1/2"NPT inferior, caja Ac. Inox 304, internos Ac. Inox. 316, clase 1%, aro bayoneta, con glicerina.</t>
  </si>
  <si>
    <t>PFP668R1R11</t>
  </si>
  <si>
    <t>Manómetro Winters Serie PFP Premium, dial 4", 0/3.000 psi &amp; 0/200 bar, 1/2"NPT inferior, caja Ac. Inox 304, internos Ac. Inox. 316, clase 1%, aro bayoneta, con glicerina.</t>
  </si>
  <si>
    <t>PFP668R3R1</t>
  </si>
  <si>
    <t>Manómetro Winters Serie PFP Premium, dial 4", 0/200 Kg/cm2 &amp; 0/3.000 psi, 1/2"NPT inferior, caja Ac. Inox. 304, int. Ac. Inox. 316, clase 1%, aro bayoneta, con glicerina.</t>
  </si>
  <si>
    <t>PFP668R3R1S-SG-4</t>
  </si>
  <si>
    <t>Manómetro Winters Serie PFP Premium, dial 4", 0/210 Kg/cm2/psi, 1/2"NPT inferior, caja Ac. Inox. 304, int. Ac. Inox. 316, clase 1%, aro bayneta, con glicerina, con vidrio de seguridad.</t>
  </si>
  <si>
    <t>PFP669R3R1DRYS</t>
  </si>
  <si>
    <t>Manovacuómetro Winters Serie PFP Premium, dial 4", 0/280 Kg/cm2/psi, dial 4", 1/2"NPT inferior, caja Ac. Inox. 304, int. Ac. Inox. 316, clase 1%, aro bayoneta, seco.</t>
  </si>
  <si>
    <t>PFP669R3R1S</t>
  </si>
  <si>
    <t>Manovacuómetro Winters Serie PFP Premium, dial 4", 0/280 Kg/cm2/psi, 1/2"NPT inferior, caja Ac. Inox. 304, int. Ac. Inox. 316, 1%, aro bayoneta, con glicerina.</t>
  </si>
  <si>
    <t>PFP669R1R11</t>
  </si>
  <si>
    <t>Manómetro Winters Serie PFP Premium, dial 4", 0/5.000 psi &amp; 0/350 bar, 1/2"NPT inferior, caja Ac. Inox 304, internos Ac. Inox. 316, clase 1%, aro bayoneta, con glicerina.</t>
  </si>
  <si>
    <t>88-800-004</t>
  </si>
  <si>
    <t>Manómetro Winters Serie PFP Premium "669R1/SG4/SF4", 0/5.000 psi/Mpa, ½"NPT inferior, clase 1% aro bayoneta, con silicona, con vidrio de seguridad.</t>
  </si>
  <si>
    <t>PFP675R1R11</t>
  </si>
  <si>
    <t>Manómetro Winters Serie PFP Premium, dial 4", 0/6.000 psi &amp; 0/400 bar, 1/2"NPT inferior, caja Ac. Inox 304, internos Ac. Inox. 316, clase clase 1%, aro bayoneta, con glicerina.</t>
  </si>
  <si>
    <t>PFP675R3R1</t>
  </si>
  <si>
    <t>Manómetro Winters Serie PFP Premium, dial 4", 0/400 Kg/cm2 &amp; 0/6.000 psi, 1/2"NPT inferior, caja Ac. Inox. 304, int. Ac. Inox. 316, clase 1%, aro bayoneta, con glicerina.</t>
  </si>
  <si>
    <t>PFP675R3R1-SG-4</t>
  </si>
  <si>
    <t>Manómetro Winters Serie PFP Premium, dial 4", 0/400 Kg/cm2 &amp; 0/6.000 psi, 1/2"NPT inferior, caja Ac. Inox. 304, int. Ac. Inox. 316, clase 1%, aro bayoneta, con glicerina, con vidrio de seguridad.</t>
  </si>
  <si>
    <t>PFP670R1R11</t>
  </si>
  <si>
    <t>Manómetro Winters Serie PFP Premium, dial 4", 0/10.000 psi &amp; 0/700 bar, 1/2"NPT inferior, caja Ac. Inox 304, internos Ac. Inox. 316, clase 1%, aro bayoneta, con glicerina.</t>
  </si>
  <si>
    <t>PFP670R3R1DRY</t>
  </si>
  <si>
    <t>Manómetro Winters Serie PFP Premium, dial 4", 0/600 Kg/cm2 &amp; 0/8.700 psi, 1/2"NPT inferior, caja Ac. Inox. 304, int. Ac. Inox. 316, clase 1%, aro bayoneta, seco.</t>
  </si>
  <si>
    <t>PFP670R3R1S</t>
  </si>
  <si>
    <t>Manómetro Winters Serie PFP Premium, dial 4", 0/700 kg/cm2 &amp; 0/6.000 psi, 1/2"NPT inferior, caja Ac. Inox. 304, int. Ac. Inox. 316, clase 1%, aro bayoneta, con glicerina.</t>
  </si>
  <si>
    <t>PFP671R1R11</t>
  </si>
  <si>
    <t>Manómetro Winters Serie PFP Premium, dial 4", 0/15.000 psi &amp; 0/1.000 bar, 1/2"NPT inferior, caja Ac. Inox 304, internos Ac. Inox. 316, clase 1%, aro bayoneta, con glicerina.</t>
  </si>
  <si>
    <t>PFP671R3R1</t>
  </si>
  <si>
    <t>Manómetro Winters Serie PFP Premium, dial 4", 0/1.000 Kg/cm2 &amp; 0/15.000 psi, 1/2"NPT inferior, caja Ac. Inox. 304, int. Ac. Inox. 316, clase 1%, aro bayoneta, con glicerina.</t>
  </si>
  <si>
    <t>PFP671R3R1-BSPT</t>
  </si>
  <si>
    <t>Manómetro Winters Serie PFP Premium, dial 4", 0/1.000 Kg/cm2 &amp; 0/15.000 psi, 1/2"BSPT inferior, caja Ac. Inox. 304, int. Ac. Inox. 316, clase 1%, aro bayoneta, con glicerina.</t>
  </si>
  <si>
    <t>PFP672R1R11</t>
  </si>
  <si>
    <t>Manómetro Winters Serie PFP Premium, dial 4", 0/20.000 psi &amp; 0/1.400 bar, 1/2"NPT inferior, caja Ac. Inox 304, internos Ac. Inox. 316, clase 1%, aro bayoneta, con glicerina.</t>
  </si>
  <si>
    <t>PFP2308R6R11</t>
  </si>
  <si>
    <t>Vacuómetro Winters Serie PFP Premium, dial 4", -30/0"Hg &amp; -1/0 bar, 1/2"NPT posterior, caja Ac. Inox 304, internos Ac. Inox. 316, clase 1%, aro bayoneta, con glicerina.</t>
  </si>
  <si>
    <t>PFP2308R7R6</t>
  </si>
  <si>
    <t>Vacuómetro Winters Serie PFP Premium, dial 4", -760 mmHg/0 &amp; -30/0"Hg, dial 4", 1/2"NPT posterior, caja Ac. Inox. 304, int. Ac. Inox. 316, clase 1%, aro bayoneta, con glicerina.</t>
  </si>
  <si>
    <t>PFP2309R1R11</t>
  </si>
  <si>
    <t>Manovacuómetro Winters Serie PFP Premium, dial 4", -30"Hg/0/15 psi &amp; -1/0/1 bar, 1/2"NPT posterior, caja Ac. Inox 304, internos Ac. Inox. 316, clase 1%, aro bayoneta, con glicerina.</t>
  </si>
  <si>
    <t>PFP2309R3R1</t>
  </si>
  <si>
    <t>Manovacuómetro Winters Serie PFP Premium, dial 4", -76cmHg/0/1 Kg/cm2 &amp; -30"Hg/0/15 psi, 1/2"NPT posterior, caja Ac. Inox. 304, int, Ac. Inox. 316, clase 1%, aro bayoneta, con glicerina.</t>
  </si>
  <si>
    <t>PFP2309R3R1-SG-4</t>
  </si>
  <si>
    <t>Manovacuómetro Winters Serie PFP Premium, dial 4", -76cmHg/0/1 Kg/cm2 &amp; -30"Hg/0/14 psi, 1/2"NPT posterior, caja Ac. Inox. 304, int, Ac. Inox. 316, clase 1%, aro bayoneta, con glicerina, con vidrio de seguridad.</t>
  </si>
  <si>
    <t>PFP2310R1R11</t>
  </si>
  <si>
    <t>Manovacuómetro Winters Serie PFP Premium, dial 4", -30"Hg/0/30 psi &amp; -1/0/2 bar, 1/2"NPT posterior, caja Ac. Inox 304, internos Ac. Inox. 316, clase 1%, aro bayoneta, con glicerina.</t>
  </si>
  <si>
    <t>PFP2310R3R1</t>
  </si>
  <si>
    <t>Manovacuómetro Winters Serie PFP Premium, dial 4",-1/0/2 Kg/cm2 &amp; -30"Hg/0/30 psi, 1/2"NPT posterior, caja Ac. Inox. 304, int, Ac. Inox. 316, clase 1%, aro bayoneta, con glicerina.</t>
  </si>
  <si>
    <t>PFP2311R1R11</t>
  </si>
  <si>
    <t>Manovacuómetro Winters Serie PFP Premium, dial 4", -30"Hg/0/60 psi &amp; -1/0/4 bar, 1/2"NPT posterior, caja Ac. Inox 304, internos Ac. Inox. 316, clase 1%, aro bayoneta, con glicerina.</t>
  </si>
  <si>
    <t>PFP2312R1R11</t>
  </si>
  <si>
    <t>Manovacuómetro Winters Serie PFP Premium, dial 4", -30"Hg/0/100 psi &amp; -1/0/7 bar, 1/2"NPT posterior, caja Ac. Inox 304, internos Ac. Inox. 316, clase 1%, aro bayoneta, con glicerina.</t>
  </si>
  <si>
    <t>PFP2313R1R11</t>
  </si>
  <si>
    <t>Manovacuómetro Winters Serie PFP Premium, dial 4", -30"Hg/0/100 psi &amp; -1/0/10 bar, 1/2"NPT posterior, caja Ac. Inox 304, internos Ac. Inox. 316, clase 1%, aro bayoneta, con glicerina.</t>
  </si>
  <si>
    <t>PFP2313R3R1</t>
  </si>
  <si>
    <t>Manovacuómetro Winters Serie PFP Premium, dial 4",-1/0/10 Kg/cm2 &amp; -30"Hg/0/160 psi, 1/2"NPT posterior caja Ac. Inox. 304, int. Ac. Inox. 316, clase 1%, aro bayoneta con glicerina</t>
  </si>
  <si>
    <t>PFP2314R1R11</t>
  </si>
  <si>
    <t>Manovacuómetro Winters Serie PFP Premium, dial 4", -30"Hg/0/200 psi &amp; -1/0/14 bar, 1/2"NPT posterior, caja Ac. Inox 304, internos Ac. Inox. 316, clase 1%, aro bayoneta, con glicerina.</t>
  </si>
  <si>
    <t>PFP2315R1R11</t>
  </si>
  <si>
    <t>Manovacuómetro Winters Serie PFP Premium, dial 4", -30"Hg/0/300 psi &amp; -1/0/20 bar, 1/2"NPT posterior, caja Ac. Inox 304, internos Ac. Inox. 316, clase 1%, aro bayoneta, con glicerina.</t>
  </si>
  <si>
    <t>PFP2316R3R1S</t>
  </si>
  <si>
    <t>Manómetro Winters Serie PFP Premium, dial 4", 0/0,6 Kg/cm2 &amp; 0/8 psi, 1/2"NPT posterior, caja Ac. Inox. 304, int. Ac. Inox. 316, clase 1%, aro bayoneta, con glicerina.</t>
  </si>
  <si>
    <t>PFP2316R1R11</t>
  </si>
  <si>
    <t>Manómetro Winters Serie PFP Premium, dial 4", 0/15 psi &amp; 0/1 bar, 1/2"NPT posterior, caja Ac. Inox 304, internos Ac. Inox. 316, clase 1%, aro bayoneta, con glicerina.</t>
  </si>
  <si>
    <t>PFP2316R3R1</t>
  </si>
  <si>
    <t>Manómetro Winters Serie PFP Premium, dial 4", 0/1 Kg/cm2 &amp; 0/15 psi, 1/2"NPT posterior, caja Ac. Inox. 304, int. Ac. Inox. 316, clase 1%, aro bayoneta, con glicerina.</t>
  </si>
  <si>
    <t>PFP2317R1R11</t>
  </si>
  <si>
    <t>Manómetro Winters Serie PFP Premium, dial 4", 0/30 psi &amp; 0/2 bar, 1/2"NPT posterior, caja Ac. Inox 304, internos Ac. Inox. 316, clase 1%, aro bayoneta, con glicerina.</t>
  </si>
  <si>
    <t>PFP2317R3R1</t>
  </si>
  <si>
    <t>Manómetro Winters Serie PFP Premium, dial 4", 0/2 Kg/cm2 &amp; 0/30 psi, 1/2"NPT posterior, caja Ac. Inox. 304, int. Ac. Inox. 316, clase 1%, aro bayoneta, con glicerina.</t>
  </si>
  <si>
    <t>PFP2318R1R11</t>
  </si>
  <si>
    <t>Manómetro Winters Serie PFP Premium, dial 4", 0/60 psi &amp; 0/4 bar, 1/2"NPT posterior, caja Ac. Inox 304, internos Ac. Inox. 316, clase 1%, aro bayoneta, con glicerina.</t>
  </si>
  <si>
    <t>PFP2318R3R1</t>
  </si>
  <si>
    <t>Manómetro Winters Serie PFP Premium, dial 4", 0/4 Kg/cm2 &amp; 0/60 psi, 1/2"NPT posterior, caja Ac. Inox. 304, int. Ac. Inox. 316, clase 1%, aro bayoneta, con glicerina.</t>
  </si>
  <si>
    <t>PFP2319R1R11</t>
  </si>
  <si>
    <t>Manómetro Winters Serie PFP Premium, dial 4", 0/100 psi &amp; 0/7 bar, 1/2"NPT posterior, caja Ac. Inox 304, internos Ac. Inox. 316, clase 1%, aro bayoneta, con glicerina.</t>
  </si>
  <si>
    <t>PFP2320R1R11</t>
  </si>
  <si>
    <t>Manómetro Winters Serie PFP Premium, dial 4", 0/160 psi &amp; 0/11 bar, 1/2"NPT posterior, caja Ac. Inox 304, internos Ac. Inox. 316, clase 1%, aro bayoneta, con glicerina.</t>
  </si>
  <si>
    <t>PFP2320R3R1</t>
  </si>
  <si>
    <t>Manómetro Winters Serie PFP Premium, dial 4", 0/10 Kg/cm2 &amp; 0/160 psi, 1/2"NPT posterior, caja Ac. Inox. 304, int. Ac. Inox. 316, clase 1%, aro bayoneta, con glicerina</t>
  </si>
  <si>
    <t>PFP2321R1R11</t>
  </si>
  <si>
    <t>Manómetro Winters Serie PFP Premium, dial 4", 0/200 psi &amp; 0/14 bar, 1/2"NPT posterior, caja Ac. Inox 304, internos Ac. Inox. 316, clase 1%, aro bayoneta, con glicerina.</t>
  </si>
  <si>
    <t>PFP2321R3R1</t>
  </si>
  <si>
    <t>Manómetro Winters Serie PFP Premium, dial 4", 0/14 Kg/cm2 &amp; 0/200 psi, 1/2"NPT posterior, caja Ac. Inox. 304, int. Ac. Inox. 316, clase 1%, aro bayoneta, con glicerina.</t>
  </si>
  <si>
    <t>PFP2322R1R11</t>
  </si>
  <si>
    <t>Manómetro Winters Serie PFP Premium, dial 4", 0/300 psi &amp; 0/20 bar, 1/2"NPT posterior, caja Ac. Inox 304, internos Ac. Inox. 316, clase 1%, aro bayoneta, con glicerina.</t>
  </si>
  <si>
    <t>PFP2322R3R1</t>
  </si>
  <si>
    <t>Manómetro Winters Serie PFP Premium, dial 4", 0/20 Kg/cm2 &amp; 0/300 psi, 1/2"NPT posterior, caja Ac. Inox. 304, int. Ac. Inox. 316, clase 1%, aro bayoneta, con glicerina.</t>
  </si>
  <si>
    <t>PFP2323R3R1</t>
  </si>
  <si>
    <t>Manómetro Winters Serie PFP Premium, dial 4", 0/28 kg/cm2 &amp; 0/400 psi, 1/2"NPT posterior, caja Ac. Inox. 304, int. Ac. Inox. 316, clase 1%, aro bayoneta, con glicerina.</t>
  </si>
  <si>
    <t>PFP2323R1R11</t>
  </si>
  <si>
    <t>Manómetro Winters Serie PFP Premium, dial 4", 0/400 psi &amp; 0/30 bar, 1/2"NPT posterior, caja Ac. Inox 304, internos Ac. Inox. 316, clase 1%, aro bayoneta, con glicerina.</t>
  </si>
  <si>
    <t>PFP2323R3R1S</t>
  </si>
  <si>
    <t>Manómetro Winters Serie PFP Premium dial 4", 0/30 Kg/cm2 &amp; 0/400 psi, 1/2"NPT posterior, caja Ac. Inox. 304, internos Ac. Inox. 316, clase 1%, aro bayoneta, con glicerina.</t>
  </si>
  <si>
    <t>PFP2324R1R11</t>
  </si>
  <si>
    <t>Manómetro Winters Serie PFP Premium, dial 4", 0/600 psi &amp; 0/40 bar, 1/2"NPT posterior, caja Ac. Inox 304, internos Ac. Inox. 316, clase 1%, aro bayoneta, con glicerina.</t>
  </si>
  <si>
    <t>PFP2324R3R1</t>
  </si>
  <si>
    <t>Manómetro Winters Serie PFP Premium, dial 4", 0/40 Kg/cm2 &amp; 0/600 psi,  1/2"NPT posterior, caja Ac. Inox. 304, int. Ac. Inox. 316, clase 1%, aro bayoneta, con glicerina.</t>
  </si>
  <si>
    <t>PFP2325R1R11</t>
  </si>
  <si>
    <t>Manómetro Winters Serie PFP Premium, dial 4", 0/1.000 psi &amp; 0/70 bar, 1/2"NPT posterior, caja Ac. Inox 304, internos Ac. Inox. 316, clase 1%, aro bayoneta, con glicerina.</t>
  </si>
  <si>
    <t>PFP2325R3R1</t>
  </si>
  <si>
    <t>Manómetro Winters Serie PFP Premium, dial 4", 0/70 Kg/cm2 &amp; 0/1.000 psi,  1/2"NPT posterior, caja Ac. Inox. 304, int. Ac. Inox. 316, clase 1%, aro bayoneta, con glicerina.</t>
  </si>
  <si>
    <t>PFP1190R1R11</t>
  </si>
  <si>
    <t>Manómetro Winters Serie PFP Premium, dial 4", 0/1.500 psi &amp; 0/100 bar, 1/2"NPT posterior, caja Ac. Inox 304, internos Ac. Inox. 316, clase 1%, aro bayoneta, con glicerina.</t>
  </si>
  <si>
    <t>PFP1190R3R1</t>
  </si>
  <si>
    <t>Manómetro Winters Serie PFP Premium, dial 4", 0/100 Kg/cm2 &amp; 0/1.500 psi,  1/2"NPT posterior, caja Ac. Inox. 304, int. Ac. Inox. 316, clase 1%, aro bayoneta, con glicerina.</t>
  </si>
  <si>
    <t>PFP1191R1R11</t>
  </si>
  <si>
    <t>Manómetro Winters Serie PFP Premium, dial 4", 0/2.000 psi &amp; 0/140 bar, 1/2"NPT posterior, caja Ac. Inox 304, internos Ac. Inox. 316, clase 1%, aro bayoneta, con glicerina.</t>
  </si>
  <si>
    <t>PFP1191R3R1</t>
  </si>
  <si>
    <t>Manómetro Winters Serie PFP Premium, dial 4", 0/140 Kg/cm2 &amp; 0/2.000 psi,  1/2"NPT posterior, caja Ac. Inox. 304, internos Ac. Inox. 316, clase 1%, aro bayoneta con glicerina.</t>
  </si>
  <si>
    <t>PFP1192R1R11</t>
  </si>
  <si>
    <t>Manómetro Winters Serie PFP Premium, dial 4", 0/3.000 psi &amp; 0/200 bar, 1/2"NPT posterior, caja Ac. Inox 304, internos Ac. Inox. 316, clase 1%, aro bayoneta, con glicerina.</t>
  </si>
  <si>
    <t>PFP1192R3R1</t>
  </si>
  <si>
    <t>Manómetro Winters Serie PFP Premium, dial 4", 0/200 Kg/cm2 &amp; 0/3.000 psi,  1/2"NPT posterior, caja Ac. Inox. 304, internos Ac. Inox. 316, clase 1%, aro bayoneta con glicerina.</t>
  </si>
  <si>
    <t>PFP1193R1R11</t>
  </si>
  <si>
    <t>Manómetro Winters Serie PFP Premium, dial 4", 0/5.000 psi &amp; 0/350 bar, 1/2"NPT posterior, caja Ac. Inox 304, internos Ac. Inox. 316, clase 1%, aro bayoneta, con glicerina.</t>
  </si>
  <si>
    <t>PFP1197R1R11</t>
  </si>
  <si>
    <t>Manómetro Winters Serie PFP Premium, dial 4", 0/6.000 psi &amp; 0/400 bar, 1/2"NPT posterior, caja Ac. Inox 304, internos Ac. Inox. 316, clase 1%, aro bayoneta, con glicerina.</t>
  </si>
  <si>
    <t>PFP1197R3R1</t>
  </si>
  <si>
    <t>Manómetro Winters  Serie PFP Premium, dial 4", 0/400 Kg/cm2 &amp; 0/6.000 psi,  1/2"NPT posterior, caja Ac. Inox. 304, int. Ac. Inox. 316, clase 1%, aro bayoneta, con glicerina.</t>
  </si>
  <si>
    <t>PFP1194R1R11</t>
  </si>
  <si>
    <t>Manómetro Winters Serie PFP Premium, dial 4", 0/10.000 psi &amp; 0/700 bar, 1/2"NPT posterior, caja Ac. Inox 304, internos Ac. Inox. 316, clase 1%, aro bayoneta, con glicerina.</t>
  </si>
  <si>
    <t>PFP1194R3R1</t>
  </si>
  <si>
    <t>Manómetro Winters  Serie PFP Premium, dial 4", 0/700 Kg/cm2 &amp; 0/10.000 psi,  1/2"NPT posterior, caja Ac. Inox. 304, int. Ac. Inox. 316, clase 1%, aro bayoneta, con glicerina.</t>
  </si>
  <si>
    <t>PFP1195R1R11</t>
  </si>
  <si>
    <t>Manómetro Winters Serie PFP Premium, dial 4", 0/15.000 psi &amp; 0/1.000 bar, 1/2"NPT posterior, caja Ac. Inox 304, internos Ac. Inox. 316, clase 1%, aro bayoneta, con glicerina.</t>
  </si>
  <si>
    <t>PFP1195R3R1</t>
  </si>
  <si>
    <t>Manómetro Winters Serie PFP Premium, dial 4",  0/1.000 Kg/cm2 &amp; 0/15.000 psi,  1/2"NPT posterior, caja Ac. Inox. 304, int. Ac. Inox. 316, clase 1%, aro bayoneta, con glicerina.</t>
  </si>
  <si>
    <t>PFP1196R1R11</t>
  </si>
  <si>
    <t>Manómetro Winters Serie PFP Premium, dial 4", 0/20.000 psi &amp; 0/1.400 bar, 1/2"NPT posterior, caja Ac. Inox 304, internos Ac. Inox. 316, clase 1%, aro bayoneta, con glicerina.</t>
  </si>
  <si>
    <t>PFP9602T1R1R11</t>
  </si>
  <si>
    <t>Manómetro Winters Serie PFP Premium, dial 4", 0/25.000 psi/bar, 1/2"BSP inferior, caja Ac. Inox 304, internos Ac. Inox. 316, clase 1%, aro bayoneta, con glicerina.</t>
  </si>
  <si>
    <t>PFP9603T1R1R11</t>
  </si>
  <si>
    <t>Manómetro Winters Serie PFP Premium, dial 4", 0/30.000 psi/bar, 1/2"BSP inferior, caja Ac. Inox 304, internos Ac. Inox. 316, clase 1%, aro bayoneta, con glicerina.</t>
  </si>
  <si>
    <t>PFP9652T1R1R11</t>
  </si>
  <si>
    <t>Manómetro Winters Serie PFP Premium, dial 4", 0/25.000 psi/bar, 1/2"BSP posterior, caja Ac. Inox 304, internos Ac. Inox. 316, clase 1%, aro bayoneta, con glicerina.</t>
  </si>
  <si>
    <t>PFP9653T1R1R11</t>
  </si>
  <si>
    <t>Manómetro Winters Serie PFP Premium, dial 4", 0/30.000 psi/bar, 1/2"BSP posterior, caja Ac. Inox 304, internos Ac. Inox. 316, clase 1%, aro bayoneta, con glicerina.</t>
  </si>
  <si>
    <t>PFP9601R1R11</t>
  </si>
  <si>
    <t>Manómetro Winters Serie PFP Premium, dial 4", 0/20.000 psi &amp; 0/1.400 bar, 9/16"HP inferior, caja Ac. Inox 304, internos Ac. Inox. 316, clase 1%, aro bayoneta, con glicerina.</t>
  </si>
  <si>
    <t>PFP9602R1R11</t>
  </si>
  <si>
    <t>Manómetro Winters Serie PFP Premium, dial 4", 0/25.000 psi/bar, 9/16"HP inferior, caja Ac. Inox 304, internos Ac. Inox. 316, clase 1%, aro bayoneta, con glicerina.</t>
  </si>
  <si>
    <t>PFP9603R1R11</t>
  </si>
  <si>
    <t>Manómetro Winters Serie PFP Premium, dial 4", 0/30.000 psi/bar, 9/16"HP inferior, caja Ac. Inox 304, internos Ac. Inox. 316, clase 1%, aro bayoneta, con glicerina.</t>
  </si>
  <si>
    <t>PFP9604R1R11</t>
  </si>
  <si>
    <t>Manómetro Winters Serie PFP Premium, dial 4", 0/35.000 psi/bar, 9/16"HP inferior, caja Ac. Inox 304, internos Ac. Inox. 316, clase 1%, aro bayoneta, con glicerina.</t>
  </si>
  <si>
    <t>PFP9605R1R11</t>
  </si>
  <si>
    <t>Manómetro Winters Serie PFP Premium, dial 4", 0/40.000 psi/bar, 9/16"HP inferior, caja Ac. Inox 304, internos Ac. Inox. 316, clase 1%, aro bayoneta, con glicerina.</t>
  </si>
  <si>
    <t>PFP9605R1R11-SG4</t>
  </si>
  <si>
    <t>Manómetro Winters Serie PFP Premium, dial 4", 0/40.000 psi/bar, 9/16"HP inferior, caja Ac. Inox 304, internos Ac. Inox. 316, clase 1%, aro bayoneta, con glicerina, con vidrio de seguridad.</t>
  </si>
  <si>
    <t>PFP9601R1R11-SG-4-BACK</t>
  </si>
  <si>
    <t>Manómetro Winters Serie PFP Premium, dial 4", 0/20.000 psi &amp; 0/1.400 bar, 9/16" HP posterior, caja Ac. Inox 304, internos Ac. Inox. 316, clase 1%, aro bayoneta, con glicerina, con vidrio de seguridad.</t>
  </si>
  <si>
    <t>PFP9602R1R11-SG-4-BACK</t>
  </si>
  <si>
    <t>Manómetro Winters Serie PFP Premium, dial 4", 0/25.000 psi/bar, 9/16" HP posterior, caja Ac. Inox 304, internos Ac. Inox. 316, clase 1%, aro bayoneta, con glicerina, con vidrio de seguridad.</t>
  </si>
  <si>
    <t>PFP9603R1R11-SG-4-BACK</t>
  </si>
  <si>
    <t>Manómetro Winters Serie PFP Premium, dial 4", 0/30.000 psi/bar, 9/16" HP posterior, caja Ac. Inox 304, internos Ac. Inox. 316, clase 1%, aro bayoneta, con glicerina, con vidrio de seguridad.</t>
  </si>
  <si>
    <t>PFP9604R1R11-SG-4-BACK</t>
  </si>
  <si>
    <t>Manómetro Winters Serie PFP Premium, dial 4", 0/35.000 psi/bar, 9/16" HP posterior, caja Ac. Inox 304, internos Ac. Inox. 316, clase 1%, aro bayoneta, con glicerina, con vidrio de seguridad.</t>
  </si>
  <si>
    <t>PFP9605R1R11-SG-4-BACK</t>
  </si>
  <si>
    <t>Manómetro Winters Serie PFP Premium, dial 4", 0/40.000 psi/bar, 9/16" HP posterior, Caja 304SS, Int. 316SS, clase 1%, aro bayoneta, con glicerina, con vidrio de seguridad.</t>
  </si>
  <si>
    <t>PFP9621R1R11</t>
  </si>
  <si>
    <t>Manómetro Winters Serie PFP Premium, dial 4", 0/20.000 psi &amp; 0/1.400 bar, 1/4” HP Autoclave con collar y glándula de 9/16” inferior, Caja Ac. Inox. 304, Int. Ac. Inox. 316, clase 1%, aro bayoneta, con glicerina.</t>
  </si>
  <si>
    <t>PFP9622R1R11</t>
  </si>
  <si>
    <t>Manómetro Winters Serie PFP Premium, dial 4", 0/25.000 psi/bar, 1/4” HP Autoclave con collar y glándula de 9/16” inferior, Caja Ac. Inox. 304, Int. Ac. Inox. Ac. Inox. 316, clase 1%, aro bayoneta, con glicerina.</t>
  </si>
  <si>
    <t>PFP9623R1R11</t>
  </si>
  <si>
    <t>Manómetro Winters Serie PFP Premium, dial 4", 0/30.000 psi/bar, 1/4” HP Autoclave con collar y glándula de 9/16” inferior, Caja Ac. Inox. 304, Int. Ac. Inox. 316, clase 1%, aro bayoneta, con glicerina.</t>
  </si>
  <si>
    <t>PFP9624R1R11</t>
  </si>
  <si>
    <t>Manómetro Winters Serie PFP Premium, dial 4", 0/35.000 psi/bar, 1/4” HP Autoclave con collar y glándula de 9/16” inferior, Caja Ac. Inox. 304, Int. Ac. Inox. 316, clase 1%, aro bayoneta, con glicerina.</t>
  </si>
  <si>
    <t>PFP9625R1R11</t>
  </si>
  <si>
    <t>Manómetro Winters Serie PFP Premium, dial 4", 0/40.000 psi/bar, 1/4” HP Autoclave con collar y glándula de 9/16” inferior, Caja Ac. Inox. 304, Int. Ac. Inox. 316, clase 1%, aro bayoneta, con glicerina.</t>
  </si>
  <si>
    <t>PFP500R6R11</t>
  </si>
  <si>
    <t>Vacuómetro Winters Serie PFP Premium, dial 4,5", -30/0"Hg &amp; -1/0 bar, 1/4"NPT inferior, caja Ac. Inox 304, internos latón, clase 1%, aro bayoneta, con glicerina.</t>
  </si>
  <si>
    <t>PFP501R1R11</t>
  </si>
  <si>
    <t>Manovacuómetro Winters Serie PFP Premium, dial 4,5", -30"Hg/0/15 psi &amp; -1/0/1 bar, 1/4"NPT inferior, caja Ac. Inox 304, internos latón, clase 1%, aro bayoneta, con glicerina.</t>
  </si>
  <si>
    <t>PFP502R1R11</t>
  </si>
  <si>
    <t>Manovacuómetro Winters Serie PFP Premium, dial 4,5", -30"Hg/0/30 psi &amp; -1/0/2 bar, 1/4"NPT inferior, caja Ac. Inox 304, internos latón, clase 1%, aro bayoneta, con glicerina.</t>
  </si>
  <si>
    <t>PFP503R1R11</t>
  </si>
  <si>
    <t>Manovacuómetro Winters Serie PFP Premium, dial 4,5", -30"Hg/0/60 psi &amp; -1/0/4 bar, 1/4"NPT inferior, caja Ac. Inox 304, internos latón, clase 1%, aro bayoneta, con glicerina.</t>
  </si>
  <si>
    <t>PFP504R1R11</t>
  </si>
  <si>
    <t>Manovacuómetro Winters Serie PFP Premium, dial 4,5", -30"Hg/0/100 psi &amp; -1/0/7 bar, 1/4"NPT inferior, caja Ac. Inox 304, internos latón, clase 1%, aro bayoneta, con glicerina.</t>
  </si>
  <si>
    <t>PFP505R1R11</t>
  </si>
  <si>
    <t>Manovacuómetro Winters Serie PFP Premium, dial 4,5", -30"Hg/0/100 psi &amp; -1/0/10 bar, 1/4"NPT inferior, caja Ac. Inox 304, internos latón, clase 1%, aro bayoneta, con glicerina.</t>
  </si>
  <si>
    <t>PFP506R1R11</t>
  </si>
  <si>
    <t>Manovacuómetro Winters Serie PFP Premium, dial 4,5", -30"Hg/0/200 psi &amp; -1/0/14 bar, 1/4"NPT inferior, caja Ac. Inox 304, internos latón, clase 1%, aro bayoneta, con glicerina.</t>
  </si>
  <si>
    <t>PFP507R1R11</t>
  </si>
  <si>
    <t>Manovacuómetro Winters Serie PFP Premium, dial 4,5", -30"Hg/0/300 psi &amp; -1/0/20 bar, 1/4"NPT inferior, caja Ac. Inox 304, internos latón, clase 1%, aro bayoneta, con glicerina.</t>
  </si>
  <si>
    <t>PFP508R1R11</t>
  </si>
  <si>
    <t>Manómetro Winters Serie PFP Premium, dial 4,5", 0/15 psi &amp; 0/1 bar, 1/4"NPT inferior, caja Ac. Inox 304, internos latón, clase 1%, aro bayoneta, con glicerina.</t>
  </si>
  <si>
    <t>PFP509R1R11</t>
  </si>
  <si>
    <t>Manómetro Winters Serie PFP Premium, dial 4,5", 0/30 psi &amp; 0/2 bar, 1/4"NPT inferior, caja Ac. Inox 304, internos latón, clase 1%, aro bayoneta, con glicerina.</t>
  </si>
  <si>
    <t>PFP510R1R11</t>
  </si>
  <si>
    <t>Manómetro Winters Serie PFP Premium, dial 4,5", 0/60 psi &amp; 0/4 bar, 1/4"NPT inferior, caja Ac. Inox 304, internos latón, clase 1%, aro bayoneta, con glicerina.</t>
  </si>
  <si>
    <t>PFP511R1R11</t>
  </si>
  <si>
    <t>Manómetro Winters Serie PFP Premium, dial 4,5", 0/100 psi &amp; 0/7 bar, 1/4"NPT inferior, caja Ac. Inox 304, internos latón, clase 1%, aro bayoneta, con glicerina.</t>
  </si>
  <si>
    <t>PFP512R1R11</t>
  </si>
  <si>
    <t>Manómetro Winters Serie PFP Premium, dial 4,5", 0/160 psi &amp; 0/11 bar, 1/4"NPT inferior, caja Ac. Inox 304, internos latón, clase 1%, aro bayoneta, con glicerina.</t>
  </si>
  <si>
    <t>PFP513R1R11</t>
  </si>
  <si>
    <t>Manómetro Winters Serie PFP Premium, dial 4,5", 0/200 psi &amp; 0/14 bar, 1/4"NPT inferior, caja Ac. Inox 304, internos latón, clase 1%, aro bayoneta, con glicerina.</t>
  </si>
  <si>
    <t>PFP514R1R11</t>
  </si>
  <si>
    <t>Manómetro Winters Serie PFP Premium, dial 4,5", 0/300 psi &amp; 0/20 bar, 1/4"NPT inferior, caja Ac. Inox 304, internos latón, clase 1%, aro bayoneta, con glicerina.</t>
  </si>
  <si>
    <t>PFP515R1R11</t>
  </si>
  <si>
    <t>Manómetro Winters Serie PFP Premium, dial 4,5", 0/400 psi &amp; 0/30 bar, 1/4"NPT inferior, caja Ac. Inox 304, internos latón, clase 1%, aro bayoneta, con glicerina.</t>
  </si>
  <si>
    <t>PFP516R1R11</t>
  </si>
  <si>
    <t>Manómetro Winters Serie PFP Premium, dial 4,5", 0/600 psi &amp; 0/40 bar, 1/4"NPT inferior, caja Ac. Inox 304, internos latón, clase 1%, aro bayoneta, con glicerina.</t>
  </si>
  <si>
    <t>PFP517R1R11</t>
  </si>
  <si>
    <t>Manómetro Winters Serie PFP Premium, dial 4,5", 0/1.000 psi &amp; 0/70 bar, 1/4"NPT inferior, caja Ac. Inox 304, internos latón, clase 1%, aro bayoneta, con glicerina.</t>
  </si>
  <si>
    <t>PFP518R1R11</t>
  </si>
  <si>
    <t>Manómetro Winters Serie PFP Premium, dial 4,5", 0/1.500 psi &amp; 0/100 bar, 1/4"NPT inferior, caja Ac. Inox 304, internos latón, clase 1%, aro bayoneta, con glicerina.</t>
  </si>
  <si>
    <t>PFP519R1R11</t>
  </si>
  <si>
    <t>Manómetro Winters Serie PFP Premium, dial 4,5", 0/2.000 psi &amp; 0/140 bar, 1/4"NPT inferior, caja Ac. Inox 304, internos latón, clase 1%, aro bayoneta, con glicerina.</t>
  </si>
  <si>
    <t>PFP520R1R11</t>
  </si>
  <si>
    <t>Manómetro Winters Serie PFP Premium, dial 4,5", 0/3.000 psi &amp; 0/200 bar, 1/4"NPT inferior, caja Ac. Inox 304, internos latón, clase 1%, aro bayoneta, con glicerina.</t>
  </si>
  <si>
    <t>PFP521R1R11</t>
  </si>
  <si>
    <t>Manómetro Winters Serie PFP Premium, dial 4,5", 0/5.000 psi &amp; 0/350 bar, 1/4"NPT inferior, caja Ac. Inox 304, internos latón, clase 1%, aro bayoneta, con glicerina.</t>
  </si>
  <si>
    <t>PFP522R1R11</t>
  </si>
  <si>
    <t>Manómetro Winters Serie PFP Premium, dial 4,5", 0/6.000 psi &amp; 0/400 bar, 1/4"NPT inferior, caja Ac. Inox 304, internos latón, clase 1%, aro bayoneta, con glicerina.</t>
  </si>
  <si>
    <t>PFP523R1R11</t>
  </si>
  <si>
    <t>Manómetro Winters Serie PFP Premium, dial 4,5", 0/10.000 psi &amp; 0/700 bar, 1/4"NPT inferior, caja Ac. Inox 304, internos latón, clase 1%, aro bayoneta, con glicerina.</t>
  </si>
  <si>
    <t>PFP524R1R11</t>
  </si>
  <si>
    <t>Manómetro Winters Serie PFP Premium, dial 4,5", 0/15.000 psi &amp; 0/1.000 bar, 1/4"NPT inferior, caja Ac. Inox 304, internos latón, clase 1%, aro bayoneta, con glicerina.</t>
  </si>
  <si>
    <t>PFP525R1R11</t>
  </si>
  <si>
    <t>Manómetro Winters Serie PFP Premium, dial 4,5", 0/20.000 psi &amp; 0/1.400 bar, 1/4"NPT inferior, caja Ac. Inox 304, internos latón, clase 1%, aro bayoneta, con glicerina.</t>
  </si>
  <si>
    <t>PFP1300R6R11</t>
  </si>
  <si>
    <t>Vacuómetro Winters Serie PFP Premium, dial 4,5", -30/0"Hg &amp; -1/0 bar, 1/4"NPT posterior, caja Ac. Inox 304, internos latón, clase 1%, con glicerina.</t>
  </si>
  <si>
    <t>PFP1301R1R11</t>
  </si>
  <si>
    <t>Manovacuómetro Winters Serie PFP Premium, dial 4,5", -30"Hg/0/15 psi &amp; -1/0/1 bar, 1/4"NPT posterior, caja Ac. Inox 304, internos latón, clase 1%, aro bayoneta, con glicerina.</t>
  </si>
  <si>
    <t>PFP1302R1R11</t>
  </si>
  <si>
    <t>Manovacuómetro Winters Serie PFP Premium, dial 4,5", -30"Hg/0/30 psi &amp; -1/0/2 bar, 1/4"NPT posterior, caja Ac. Inox 304, internos latón, clase 1%, aro bayoneta, con glicerina.</t>
  </si>
  <si>
    <t>PFP1303R1R11</t>
  </si>
  <si>
    <t>Manovacuómetro Winters Serie PFP Premium, dial 4,5", -30"Hg/0/60 psi &amp; -1/0/4 bar, 1/4"NPT posterior, caja Ac. Inox 304, internos latón, clase 1%, aro bayoneta, con glicerina.</t>
  </si>
  <si>
    <t>PFP1304R1R11</t>
  </si>
  <si>
    <t>Manovacuómetro Winters Serie PFP Premium, dial 4,5", -30"Hg/0/100 psi &amp; -1/0/7 bar, 1/4"NPT posterior, caja Ac. Inox 304, internos latón, clase 1%, aro bayoneta, con glicerina.</t>
  </si>
  <si>
    <t>PFP1305R1R11</t>
  </si>
  <si>
    <t>Manovacuómetro Winters Serie PFP Premium, dial 4,5", -30"Hg/0/100 psi &amp; -1/0/10 bar, 1/4"NPT posterior, caja Ac. Inox 304, internos latón, clase 1%, aro bayoneta, con glicerina.</t>
  </si>
  <si>
    <t>PFP1306R1R11</t>
  </si>
  <si>
    <t>Manovacuómetro Winters Serie PFP Premium, dial 4,5", -30"Hg/0/200 psi &amp; -1/0/14 bar, 1/4"NPT posterior, caja Ac. Inox 304, internos latón, clase 1%, aro bayoneta, con glicerina.</t>
  </si>
  <si>
    <t>PFP1307R1R11</t>
  </si>
  <si>
    <t>Manovacuómetro Winters Serie PFP Premium, dial 4,5", -30"Hg/0/300 psi &amp; -1/0/20 bar, 1/4"NPT posterior, caja Ac. Inox 304, internos latón, clase 1%, aro bayoneta, con glicerina.</t>
  </si>
  <si>
    <t>PFP1308R1R11</t>
  </si>
  <si>
    <t>Manómetro Winters Serie PFP Premium, dial 4,5", 0/15 psi &amp; 0/1 bar, 1/4"NPT posterior, caja Ac. Inox 304, internos latón, clase 1%, aro bayoneta, con glicerina.</t>
  </si>
  <si>
    <t>PFP1309R1R11</t>
  </si>
  <si>
    <t>Manómetro Winters Serie PFP Premium, dial 4,5", 0/30 psi &amp; 0/2 bar, 1/4"NPT posterior, caja Ac. Inox 304, internos latón, clase 1%, aro bayoneta, con glicerina.</t>
  </si>
  <si>
    <t>PFP1310R1R11</t>
  </si>
  <si>
    <t>Manómetro Winters Serie PFP Premium, dial 4,5", 0/60 psi &amp; 0/4 bar, 1/4"NPT posterior, caja Ac. Inox 304, internos latón, clase 1%, aro bayoneta, con glicerina.</t>
  </si>
  <si>
    <t>PFP1311R1R11</t>
  </si>
  <si>
    <t>Manómetro Winters Serie PFP Premium, dial 4,5", 0/100 psi &amp; 0/7 bar, 1/4"NPT posterior, caja Ac. Inox 304, internos latón, clase 1%, aro bayoneta, con glicerina.</t>
  </si>
  <si>
    <t>PFP1312R1R11</t>
  </si>
  <si>
    <t>Manómetro Winters Serie PFP Premium, dial 4,5", 0/160 psi &amp; 0/11 bar, 1/4"NPT posterior, caja Ac. Inox 304, internos latón, clase 1%, aro bayoneta, con glicerina.</t>
  </si>
  <si>
    <t>PFP1313R1R11</t>
  </si>
  <si>
    <t>Manómetro Winters Serie PFP Premium, dial 4,5", 0/200 psi &amp; 0/14 bar, 1/4"NPT posterior, caja Ac. Inox 304, internos latón, clase 1%, aro bayoneta, con glicerina.</t>
  </si>
  <si>
    <t>PFP1314R1R11</t>
  </si>
  <si>
    <t>Manómetro Winters Serie PFP Premium, dial 4,5", 0/300 psi &amp; 0/20 bar, 1/4"NPT posterior, caja Ac. Inox 304, internos latón, clase 1%, aro bayoneta, con glicerina.</t>
  </si>
  <si>
    <t>PFP1315R1R11</t>
  </si>
  <si>
    <t>Manómetro Winters Serie PFP Premium, dial 4,5", 0/400 psi &amp; 0/30 bar, 1/4"NPT posterior, caja Ac. Inox 304, internos latón, clase 1%, aro bayoneta, con glicerina.</t>
  </si>
  <si>
    <t>PFP1316R1R11</t>
  </si>
  <si>
    <t>Manómetro Winters Serie PFP Premium, dial 4,5", 0/600 psi &amp; 0/40 bar, 1/4"NPT posterior, caja Ac. Inox 304, internos latón, clase 1%, aro bayoneta, con glicerina.</t>
  </si>
  <si>
    <t>PFP1317R1R11</t>
  </si>
  <si>
    <t>Manómetro Winters Serie PFP Premium, dial 4,5", 0/1.000 psi &amp; 0/70 bar, 1/4"NPT posterior, caja Ac. Inox 304, internos latón, clase 1%, aro bayoneta, con glicerina.</t>
  </si>
  <si>
    <t>PFP1318R1R11</t>
  </si>
  <si>
    <t>Manómetro Winters Serie PFP Premium, dial 4,5", 0/1.500 psi &amp; 0/100 bar, 1/4"NPT posterior, caja Ac. Inox 304, internos latón, clase 1%, aro bayoneta, con glicerina.</t>
  </si>
  <si>
    <t>PFP1319R1R11</t>
  </si>
  <si>
    <t>Manómetro Winters Serie PFP Premium, dial 4,5", 0/2.000 psi &amp; 0/140 bar, 1/4"NPT posterior, caja Ac. Inox 304, internos latón, clase 1%, aro bayoneta, con glicerina.</t>
  </si>
  <si>
    <t>PFP1320R1R11</t>
  </si>
  <si>
    <t>Manómetro Winters Serie PFP Premium, dial 4,5", 0/3.000 psi &amp; 0/200 bar, 1/4"NPT posterior, caja Ac. Inox 304, internos latón, clase 1%, aro bayoneta, con glicerina.</t>
  </si>
  <si>
    <t>PFP1321R1R11</t>
  </si>
  <si>
    <t>Manómetro Winters Serie PFP Premium, dial 4,5", 0/5.000 psi &amp; 0/350 bar, 1/4"NPT posterior, caja Ac. Inox 304, internos latón, clase 1%, aro bayoneta, con glicerina.</t>
  </si>
  <si>
    <t>PFP1322R1R11</t>
  </si>
  <si>
    <t>Manómetro Winters Serie PFP Premium, dial 4,5", 0/6.000 psi &amp; 0/400 bar, 1/4"NPT posterior, caja Ac. Inox 304, internos latón, clase 1%, aro bayoneta, con glicerina.</t>
  </si>
  <si>
    <t>PFP1323R1R11</t>
  </si>
  <si>
    <t>Manómetro Winters Serie PFP Premium, dial 4,5", 0/10.000 psi &amp; 0/700 bar, 1/4"NPT posterior, caja Ac. Inox 304, internos latón, clase 1%, aro bayoneta, con glicerina.</t>
  </si>
  <si>
    <t>PFP1324R1R11</t>
  </si>
  <si>
    <t>Manómetro Winters Serie PFP Premium, dial 4,5", 0/15.000 psi &amp; 0/1.000 bar, 1/4"NPT posterior, caja Ac. Inox 304, internos latón, clase 1%, aro bayoneta, con glicerina.</t>
  </si>
  <si>
    <t>PFP1325R1R11</t>
  </si>
  <si>
    <t>Manómetro Winters Serie PFP Premium, dial 4,5", 0/20.000 psi &amp; 0/1.400 bar, 1/4"NPT posterior, caja Ac. Inox 304, internos latón, clase 1%, aro bayoneta, con glicerina.</t>
  </si>
  <si>
    <t>PFP550R6R11</t>
  </si>
  <si>
    <t>Vacuómetro Winters Serie PFP Premium, dial 4,5", -30/0"Hg &amp; -1/0 bar, 1/2"NPT inferior, caja Ac. Inox 304, internos latón, clase 1%, con glicerina.</t>
  </si>
  <si>
    <t>PFP551R1R11</t>
  </si>
  <si>
    <t>Manovacuómetro Winters Serie PFP Premium, dial 4,5", -30"Hg/0/15 psi &amp; -1/0/1 bar, 1/2"NPT inferior, caja Ac. Inox 304, internos latón, clase 1%, aro bayoneta, con glicerina.</t>
  </si>
  <si>
    <t>PFP552R1R11</t>
  </si>
  <si>
    <t>Manovacuómetro Winters Serie PFP Premium, dial 4,5", -30"Hg/0/30 psi &amp; -1/0/2 bar, 1/2"NPT inferior, caja Ac. Inox 304, internos latón, clase 1%, aro bayoneta, con glicerina.</t>
  </si>
  <si>
    <t>PFP553R1R11</t>
  </si>
  <si>
    <t>Manovacuómetro Winters Serie PFP Premium, dial 4,5", -30"Hg/0/60 psi &amp; -1/0/4 bar, 1/2"NPT inferior, caja Ac. Inox 304, internos latón, clase 1%, aro bayoneta, con glicerina.</t>
  </si>
  <si>
    <t>PFP554R1R11</t>
  </si>
  <si>
    <t>Manovacuómetro Winters Serie PFP Premium, dial 4,5", -30"Hg/0/100 psi &amp; -1/0/7 bar, 1/2"NPT inferior, caja Ac. Inox 304, internos latón, clase 1%, aro bayoneta, con glicerina.</t>
  </si>
  <si>
    <t>PFP555R1R11</t>
  </si>
  <si>
    <t>Manovacuómetro Winters Serie PFP Premium, dial 4,5", -30"Hg/0/100 psi &amp; -1/0/10 bar, 1/2"NPT inferior, caja Ac. Inox 304, internos latón, clase 1%, aro bayoneta, con glicerina.</t>
  </si>
  <si>
    <t>PFP556R1R11</t>
  </si>
  <si>
    <t>Manovacuómetro Winters Serie PFP Premium, dial 4,5", -30"Hg/0/200 psi &amp; -1/0/14 bar, 1/2"NPT inferior, caja Ac. Inox 304, internos latón, clase 1%, aro bayoneta, con glicerina.</t>
  </si>
  <si>
    <t>PFP557R1R11</t>
  </si>
  <si>
    <t>Manovacuómetro Winters Serie PFP Premium, dial 4,5", -30"Hg/0/300 psi &amp; -1/0/20 bar, 1/2"NPT inferior, caja Ac. Inox 304, internos latón, clase 1%, aro bayoneta, con glicerina.</t>
  </si>
  <si>
    <t>PFP558R1R11</t>
  </si>
  <si>
    <t>Manómetro Winters Serie PFP Premium, dial 4,5", 0/15 psi &amp; 0/1 bar, 1/2"NPT inferior, caja Ac. Inox 304, internos latón, clase 1%, aro bayoneta, con glicerina.</t>
  </si>
  <si>
    <t>PFP559R1R11</t>
  </si>
  <si>
    <t>Manómetro Winters Serie PFP Premium, dial 4,5", 0/30 psi &amp; 0/2 bar, 1/2"NPT inferior, caja Ac. Inox 304, internos latón, clase 1%, aro bayoneta, con glicerina.</t>
  </si>
  <si>
    <t>PFP560R1R11</t>
  </si>
  <si>
    <t>Manómetro Winters Serie PFP Premium, dial 4,5", 0/60 psi &amp; 0/4 bar, 1/2"NPT inferior, caja Ac. Inox 304, internos latón, clase 1%, aro bayoneta, con glicerina.</t>
  </si>
  <si>
    <t>PFP561R1R11</t>
  </si>
  <si>
    <t>Manómetro Winters Serie PFP Premium, dial 4,5", 0/100 psi &amp; 0/7 bar, 1/2"NPT inferior, caja Ac. Inox 304, internos latón, clase 1%, aro bayoneta, con glicerina.</t>
  </si>
  <si>
    <t>PFP562R1R11</t>
  </si>
  <si>
    <t>Manómetro Winters Serie PFP Premium, dial 4,5", 0/160 psi &amp; 0/11 bar, 1/2"NPT inferior, caja Ac. Inox 304, internos latón, clase 1%, aro bayoneta, con glicerina.</t>
  </si>
  <si>
    <t>PFP563R1R11</t>
  </si>
  <si>
    <t>Manómetro Winters Serie PFP Premium, dial 4,5", 0/200 psi &amp; 0/14 bar, 1/2"NPT inferior, caja Ac. Inox 304, internos latón, clase 1%, aro bayoneta, con glicerina.</t>
  </si>
  <si>
    <t>PFP564R1R11</t>
  </si>
  <si>
    <t>Manómetro Winters Serie PFP Premium, dial 4,5", 0/300 psi &amp; 0/20 bar, 1/2"NPT inferior, caja Ac. Inox 304, internos latón, clase 1%, aro bayoneta, con glicerina.</t>
  </si>
  <si>
    <t>PFP565R1R11</t>
  </si>
  <si>
    <t>Manómetro Winters Serie PFP Premium, dial 4,5", 0/400 psi &amp; 0/30 bar, 1/2"NPT inferior, caja Ac. Inox 304, internos latón, clase 1%, aro bayoneta, con glicerina.</t>
  </si>
  <si>
    <t>PFP566R1R11</t>
  </si>
  <si>
    <t>Manómetro Winters Serie PFP Premium, dial 4,5", 0/600 psi &amp; 0/40 bar, 1/2"NPT inferior, caja Ac. Inox 304, internos latón, clase 1%, aro bayoneta, con glicerina.</t>
  </si>
  <si>
    <t>PFP567R1R11</t>
  </si>
  <si>
    <t>Manómetro Winters Serie PFP Premium, dial 4,5", 0/1.000 psi &amp; 0/70 bar, 1/2"NPT inferior, caja Ac. Inox 304, internos latón, clase 1%, aro bayoneta, con glicerina.</t>
  </si>
  <si>
    <t>PFP568R1R11</t>
  </si>
  <si>
    <t>Manómetro Winters Serie PFP Premium, dial 4,5", 0/1.500 psi &amp; 0/100 bar, 1/2"NPT inferior, caja Ac. Inox 304, internos latón, clase 1%, aro bayoneta, con glicerina.</t>
  </si>
  <si>
    <t>PFP569R1R11</t>
  </si>
  <si>
    <t>Manómetro Winters Serie PFP Premium, dial 4,5", 0/2.000 psi &amp; 0/140 bar, 1/2"NPT inferior, caja Ac. Inox 304, internos latón, clase 1%, aro bayoneta, con glicerina.</t>
  </si>
  <si>
    <t>PFP570R1R11</t>
  </si>
  <si>
    <t>Manómetro Winters Serie PFP Premium, dial 4,5", 0/3.000 psi &amp; 0/200 bar, 1/2"NPT inferior, caja Ac. Inox 304, internos latón, clase 1%, aro bayoneta, con glicerina.</t>
  </si>
  <si>
    <t>PFP571R1R11</t>
  </si>
  <si>
    <t>Manómetro Winters Serie PFP Premium, dial 4,5", 0/5.000 psi &amp; 0/350 bar, 1/2"NPT inferior, caja Ac. Inox 304, internos latón, clase 1%, aro bayoneta, con glicerina.</t>
  </si>
  <si>
    <t>PFP572R1R11</t>
  </si>
  <si>
    <t>Manómetro Winters Serie PFP Premium, dial 4,5", 0/6.000 psi &amp; 0/400 bar, 1/2"NPT inferior, caja Ac. Inox 304, internos latón, clase 1%, aro bayoneta, con glicerina.</t>
  </si>
  <si>
    <t>PFP573R1R11</t>
  </si>
  <si>
    <t>Manómetro Winters Serie PFP Premium, dial 4,5", 0/10.000 psi &amp; 0/700 bar, 1/2"NPT inferior, caja Ac. Inox 304, internos latón, clase 1%, aro bayoneta, con glicerina.</t>
  </si>
  <si>
    <t>PFP574R1R11</t>
  </si>
  <si>
    <t>Manómetro Winters Serie PFP Premium, dial 4,5", 0/15.000 psi &amp; 0/1.000 bar, 1/2"NPT inferior, caja Ac. Inox 304, internos latón, clase 1%, aro bayoneta, con glicerina.</t>
  </si>
  <si>
    <t>PFP575R1R11</t>
  </si>
  <si>
    <t>Manómetro Winters Serie PFP Premium, dial 4,5", 0/20.000 psi &amp; 0/1.400 bar, 1/2"NPT inferior, caja Ac. Inox 304, internos latón, clase 1%, aro bayoneta, con glicerina.</t>
  </si>
  <si>
    <t>PFP1350R6R11</t>
  </si>
  <si>
    <t>Vacuómetro Winters Serie PFP Premium, dial 4,5", -30/0"Hg &amp; -1/0 bar, 1/2"NPT posterior, caja Ac. Inox 304, internos latón, clase 1%, con glicerina.</t>
  </si>
  <si>
    <t>PFP1351R1R11</t>
  </si>
  <si>
    <t>Manovacuómetro Winters Serie PFP Premium, dial 4,5", -30"Hg/0/15 psi &amp; -1/0/1 bar, 1/2"NPT posterior, caja Ac. Inox 304, internos latón, clase 1%, aro bayoneta, con glicerina.</t>
  </si>
  <si>
    <t>PFP1352R1R11</t>
  </si>
  <si>
    <t>Manovacuómetro Winters Serie PFP Premium, dial 4,5", -30"Hg/0/30 psi &amp; -1/0/2 bar, 1/2"NPT posterior, caja Ac. Inox 304, internos latón, clase 1%, aro bayoneta, con glicerina.</t>
  </si>
  <si>
    <t>PFP1353R1R11</t>
  </si>
  <si>
    <t>Manovacuómetro Winters Serie PFP Premium, dial 4,5", -30"Hg/0/60 psi &amp; -1/0/4 bar, 1/2"NPT posterior, caja Ac. Inox 304, internos latón, clase 1%, aro bayoneta, con glicerina.</t>
  </si>
  <si>
    <t>PFP1354R1R11</t>
  </si>
  <si>
    <t>Manovacuómetro Winters Serie PFP Premium, dial 4,5", -30"Hg/0/100 psi &amp; -1/0/7 bar, 1/2"NPT posterior, caja Ac. Inox 304, internos latón, clase 1%, aro bayoneta, con glicerina.</t>
  </si>
  <si>
    <t>PFP1355R1R11</t>
  </si>
  <si>
    <t>Manovacuómetro Winters Serie PFP Premium, dial 4,5", -30"Hg/0/100 psi &amp; -1/0/10 bar, 1/2"NPT posterior, caja Ac. Inox 304, internos latón, clase 1%, aro bayoneta, con glicerina.</t>
  </si>
  <si>
    <t>PFP1356R1R11</t>
  </si>
  <si>
    <t>Manovacuómetro Winters Serie PFP Premium, dial 4,5", -30"Hg/0/200 psi &amp; -1/0/14 bar, 1/2"NPT posterior, caja Ac. Inox 304, internos latón, clase 1%, aro bayoneta, con glicerina.</t>
  </si>
  <si>
    <t>PFP1357R1R11</t>
  </si>
  <si>
    <t>Manovacuómetro Winters Serie PFP Premium, dial 4,5", -30"Hg/0/300 psi &amp; -1/0/20 bar, 1/2"NPT posterior, caja Ac. Inox 304, internos latón, clase 1%, aro bayoneta, con glicerina.</t>
  </si>
  <si>
    <t>PFP1358R1R11</t>
  </si>
  <si>
    <t>Manómetro Winters Serie PFP Premium, dial 4,5", 0/15 psi &amp; 0/1 bar, 1/2"NPT posterior, caja Ac. Inox 304, internos latón, clase 1%, aro bayoneta, con glicerina.</t>
  </si>
  <si>
    <t>PFP1359R1R11</t>
  </si>
  <si>
    <t>Manómetro Winters Serie PFP Premium, dial 4,5", 0/30 psi &amp; 0/2 bar, 1/2"NPT posterior, caja Ac. Inox 304, internos latón, clase 1%, aro bayoneta, con glicerina.</t>
  </si>
  <si>
    <t>PFP1360R1R11</t>
  </si>
  <si>
    <t>Manómetro Winters Serie PFP Premium, dial 4,5", 0/60 psi &amp; 0/4 bar, 1/2"NPT posterior, caja Ac. Inox 304, internos latón, clase 1%, aro bayoneta, con glicerina.</t>
  </si>
  <si>
    <t>PFP1361R1R11</t>
  </si>
  <si>
    <t>Manómetro Winters Serie PFP Premium, dial 4,5", 0/100 psi &amp; 0/7 bar, 1/2"NPT posterior, caja Ac. Inox 304, internos latón, clase 1%, aro bayoneta, con glicerina.</t>
  </si>
  <si>
    <t>PFP1362R1R11</t>
  </si>
  <si>
    <t>Manómetro Winters Serie PFP Premium, dial 4,5", 0/160 psi &amp; 0/11 bar, 1/2"NPT posterior, caja Ac. Inox 304, internos latón, clase 1%, aro bayoneta, con glicerina.</t>
  </si>
  <si>
    <t>PFP1363R1R11</t>
  </si>
  <si>
    <t>Manómetro Winters Serie PFP Premium, dial 4,5", 0/200 psi &amp; 0/14 bar, 1/2"NPT posterior, caja Ac. Inox 304, internos latón, clase 1%, aro bayoneta, con glicerina.</t>
  </si>
  <si>
    <t>PFP1364R1R11</t>
  </si>
  <si>
    <t>Manómetro Winters Serie PFP Premium, dial 4,5", 0/300 psi &amp; 0/20 bar, 1/2"NPT posterior, caja Ac. Inox 304, internos latón, clase 1%, aro bayoneta, con glicerina.</t>
  </si>
  <si>
    <t>PFP1365R1R11</t>
  </si>
  <si>
    <t>Manómetro Winters Serie PFP Premium, dial 4,5", 0/400 psi &amp; 0/30 bar, 1/2"NPT posterior, caja Ac. Inox 304, internos latón, clase 1%, aro bayoneta, con glicerina.</t>
  </si>
  <si>
    <t>PFP1366R1R11</t>
  </si>
  <si>
    <t>Manómetro Winters Serie PFP Premium, dial 4,5", 0/600 psi &amp; 0/40 bar, 1/2"NPT posterior, caja Ac. Inox 304, internos latón, clase 1%, aro bayoneta, con glicerina.</t>
  </si>
  <si>
    <t>PFP1367R1R11</t>
  </si>
  <si>
    <t>Manómetro Winters Serie PFP Premium, dial 4,5", 0/1.000 psi &amp; 0/70 bar, 1/2"NPT posterior, caja Ac. Inox 304, internos latón, clase 1%, aro bayoneta, con glicerina.</t>
  </si>
  <si>
    <t>PFP1368R1R11</t>
  </si>
  <si>
    <t>Manómetro Winters Serie PFP Premium, dial 4,5", 0/1.500 psi &amp; 0/100 bar, 1/2"NPT posterior, caja Ac. Inox 304, internos latón, clase 1%, aro bayoneta, con glicerina.</t>
  </si>
  <si>
    <t>PFP1369R1R11</t>
  </si>
  <si>
    <t>Manómetro Winters Serie PFP Premium, dial 4,5", 0/2.000 psi &amp; 0/140 bar, 1/2"NPT posterior, caja Ac. Inox 304, internos latón, clase 1%, aro bayoneta, con glicerina.</t>
  </si>
  <si>
    <t>PFP1370R1R11</t>
  </si>
  <si>
    <t>Manómetro Winters Serie PFP Premium, dial 4,5", 0/3.000 psi &amp; 0/200 bar, 1/2"NPT posterior, caja Ac. Inox 304, internos latón, clase 1%, aro bayoneta, con glicerina.</t>
  </si>
  <si>
    <t>PFP1371R1R11</t>
  </si>
  <si>
    <t>Manómetro Winters Serie PFP Premium, dial 4,5", 0/5.000 psi &amp; 0/350 bar, 1/2"NPT posterior, caja Ac. Inox 304, internos latón, clase 1%, aro bayoneta, con glicerina.</t>
  </si>
  <si>
    <t>PFP1372R1R11</t>
  </si>
  <si>
    <t>Manómetro Winters Serie PFP Premium, dial 4,5", 0/6.000 psi &amp; 0/400 bar, 1/2"NPT posterior, caja Ac. Inox 304, internos latón, clase 1%, aro bayoneta, con glicerina.</t>
  </si>
  <si>
    <t>PFP1373R1R11</t>
  </si>
  <si>
    <t>Manómetro Winters Serie PFP Premium, dial 4,5", 0/10.000 psi &amp; 0/700 bar, 1/2"NPT posterior, caja Ac. Inox 304, internos latón, clase 1%, aro bayoneta, con glicerina.</t>
  </si>
  <si>
    <t>PFP1374R1R11</t>
  </si>
  <si>
    <t>Manómetro Winters Serie PFP Premium, dial 4,5", 0/15.000 psi &amp; 0/1.000 bar, 1/2"NPT posterior, caja Ac. Inox 304, internos latón, clase 1%, aro bayoneta, con glicerina.</t>
  </si>
  <si>
    <t>PFP1375R1R11</t>
  </si>
  <si>
    <t>Manómetro Winters Serie PFP Premium, dial 4,5", 0/20.000 psi &amp; 0/1.400 bar, 1/2"NPT posterior, caja Ac. Inox 304, internos latón, clase 1%, aro bayoneta, con glicerina.</t>
  </si>
  <si>
    <t>PFP700R6R11</t>
  </si>
  <si>
    <t>Vacuómetro Winters Serie PFP Premium, dial 4,5", -30/0"Hg &amp; -1/0 bar, 1/4"NPT inferior, caja Ac. Inox 304, internos Ac. Inox. 316, clase 1%, con glicerina.</t>
  </si>
  <si>
    <t>PFP701R1R11</t>
  </si>
  <si>
    <t>Manovacuómetro Winters Serie PFP Premium, dial 4,5", -30"Hg/0/15 psi &amp; -1/0/1 bar, 1/4"NPT inferior, caja Ac. Inox 304, internos Ac. Inox. 316, clase 1%, aro bayoneta, con glicerina.</t>
  </si>
  <si>
    <t>PFP702R1R11</t>
  </si>
  <si>
    <t>Manovacuómetro Winters Serie PFP Premium, dial 4,5", -30"Hg/0/30 psi &amp; -1/0/2 bar, 1/4"NPT inferior, caja Ac. Inox 304, internos Ac. Inox. 316, clase 1%, aro bayoneta, con glicerina.</t>
  </si>
  <si>
    <t>PFP703R1R11</t>
  </si>
  <si>
    <t>Manovacuómetro Winters Serie PFP Premium, dial 4,5", -30"Hg/0/60 psi &amp; -1/0/4 bar, 1/4"NPT inferior, caja Ac. Inox 304, internos Ac. Inox. 316, clase 1%, aro bayoneta, con glicerina.</t>
  </si>
  <si>
    <t>PFP704R1R11</t>
  </si>
  <si>
    <t>Manovacuómetro Winters Serie PFP Premium, dial 4,5", -30"Hg/0/100 psi &amp; -1/0/7 bar, 1/4"NPT inferior, caja Ac. Inox 304, internos Ac. Inox. 316, clase 1%, aro bayoneta, con glicerina.</t>
  </si>
  <si>
    <t>PFP705R1R11</t>
  </si>
  <si>
    <t>Manovacuómetro Winters Serie PFP Premium, dial 4,5", -30"Hg/0/100 psi &amp; -1/0/10 bar, 1/4"NPT inferior, caja Ac. Inox 304, internos Ac. Inox. 316, clase 1%, aro bayoneta, con glicerina.</t>
  </si>
  <si>
    <t>PFP706R1R11</t>
  </si>
  <si>
    <t>Manovacuómetro Winters Serie PFP Premium, dial 4,5", -30"Hg/0/200 psi &amp; -1/0/14 bar, 1/4"NPT inferior, caja Ac. Inox 304, internos Ac. Inox. 316, clase 1%, aro bayoneta, con glicerina.</t>
  </si>
  <si>
    <t>PFP707R1R11</t>
  </si>
  <si>
    <t>Manovacuómetro Winters Serie PFP Premium, dial 4,5", -30"Hg/0/300 psi &amp; -1/0/20 bar, 1/4"NPT inferior, caja Ac. Inox 304, internos Ac. Inox. 316, clase 1%, aro bayoneta, con glicerina.</t>
  </si>
  <si>
    <t>PFP708R1R11</t>
  </si>
  <si>
    <t>Manómetro Winters Serie PFP Premium, dial 4,5", 0/15 psi &amp; 0/1 bar, 1/4"NPT inferior, caja Ac. Inox 304, internos Ac. Inox. 316, clase 1%, aro bayoneta, con glicerina.</t>
  </si>
  <si>
    <t>PFP709R1R11</t>
  </si>
  <si>
    <t>Manómetro Winters Serie PFP Premium, dial 4,5", 0/30 psi &amp; 0/2 bar, 1/4"NPT inferior, caja Ac. Inox 304, internos Ac. Inox. 316, clase 1%, aro bayoneta, con glicerina.</t>
  </si>
  <si>
    <t>PFP710R1R11</t>
  </si>
  <si>
    <t>Manómetro Winters Serie PFP Premium, dial 4,5", 0/60 psi &amp; 0/4 bar, 1/4"NPT inferior, caja Ac. Inox 304, internos Ac. Inox. 316, clase 1%, aro bayoneta, con glicerina.</t>
  </si>
  <si>
    <t>PFP711R1R11</t>
  </si>
  <si>
    <t>Manómetro Winters Serie PFP Premium, dial 4,5", 0/100 psi &amp; 0/7 bar, 1/4"NPT inferior, caja Ac. Inox 304, internos Ac. Inox. 316, clase 1%, aro bayoneta, con glicerina.</t>
  </si>
  <si>
    <t>PFP712R1R11</t>
  </si>
  <si>
    <t>Manómetro Winters Serie PFP Premium, dial 4,5", 0/160 psi &amp; 0/11 bar, 1/4"NPT inferior, caja Ac. Inox 304, internos Ac. Inox. 316, clase 1%, aro bayoneta, con glicerina.</t>
  </si>
  <si>
    <t>PFP713R1R11</t>
  </si>
  <si>
    <t>Manómetro Winters Serie PFP Premium, dial 4,5", 0/200 psi &amp; 0/14 bar, 1/4"NPT inferior, caja Ac. Inox 304, internos Ac. Inox. 316, clase 1%, aro bayoneta, con glicerina.</t>
  </si>
  <si>
    <t>PFP714R1R11</t>
  </si>
  <si>
    <t>Manómetro Winters Serie PFP Premium, dial 4,5", 0/300 psi &amp; 0/20 bar, 1/4"NPT inferior, caja Ac. Inox 304, internos Ac. Inox. 316, clase 1%, aro bayoneta, con glicerina.</t>
  </si>
  <si>
    <t>PFP715R1R11</t>
  </si>
  <si>
    <t>Manómetro Winters Serie PFP Premium, dial 4,5", 0/400 psi &amp; 0/30 bar, 1/4"NPT inferior, caja Ac. Inox 304, internos Ac. Inox. 316, clase 1%, aro bayoneta, con glicerina.</t>
  </si>
  <si>
    <t>PFP716R1R11</t>
  </si>
  <si>
    <t>Manómetro Winters Serie PFP Premium, dial 4,5", 0/600 psi &amp; 0/40 bar, 1/4"NPT inferior, caja Ac. Inox 304, internos Ac. Inox. 316, clase 1%, aro bayoneta, con glicerina.</t>
  </si>
  <si>
    <t>PFP717R1R11</t>
  </si>
  <si>
    <t>Manómetro Winters Serie PFP Premium, dial 4,5", 0/1.000 psi &amp; 0/70 bar, 1/4"NPT inferior, caja Ac. Inox 304, internos Ac. Inox. 316, clase 1%, aro bayoneta, con glicerina.</t>
  </si>
  <si>
    <t>PFP718R1R11</t>
  </si>
  <si>
    <t>Manómetro Winters Serie PFP Premium, dial 4,5", 0/1.500 psi &amp; 0/100 bar, 1/4"NPT inferior, caja Ac. Inox 304, internos Ac. Inox. 316, clase 1%, aro bayoneta, con glicerina.</t>
  </si>
  <si>
    <t>PFP719R1R11</t>
  </si>
  <si>
    <t>Manómetro Winters Serie PFP Premium, dial 4,5", 0/2.000 psi &amp; 0/140 bar, 1/4"NPT inferior, caja Ac. Inox 304, internos Ac. Inox. 316, clase 1%, aro bayoneta, con glicerina.</t>
  </si>
  <si>
    <t>PFP720R1R11</t>
  </si>
  <si>
    <t>Manómetro Winters Serie PFP Premium, dial 4,5", 0/3.000 psi &amp; 0/200 bar, 1/4"NPT inferior, caja Ac. Inox 304, internos Ac. Inox. 316, clase 1%, aro bayoneta, con glicerina.</t>
  </si>
  <si>
    <t>PFP721R1R11</t>
  </si>
  <si>
    <t>Manómetro Winters Serie PFP Premium, dial 4,5", 0/5.000 psi &amp; 0/350 bar, 1/4"NPT inferior, caja Ac. Inox 304, internos Ac. Inox. 316, clase 1%, aro bayoneta, con glicerina.</t>
  </si>
  <si>
    <t>PFP722R1R11</t>
  </si>
  <si>
    <t>Manómetro Winters Serie PFP Premium, dial 4,5", 0/6.000 psi &amp; 0/400 bar, 1/4"NPT inferior, caja Ac. Inox 304, internos Ac. Inox. 316, clase 1%, aro bayoneta, con glicerina.</t>
  </si>
  <si>
    <t>PFP723R1R11</t>
  </si>
  <si>
    <t>Manómetro Winters Serie PFP Premium, dial 4,5", 0/10.000 psi &amp; 0/700 bar, 1/4"NPT inferior, caja Ac. Inox 304, internos Ac. Inox. 316, clase 1%, aro bayoneta, con glicerina.</t>
  </si>
  <si>
    <t>PFP724R1R11</t>
  </si>
  <si>
    <t>Manómetro Winters Serie PFP Premium, dial 4,5", 0/15.000 psi &amp; 0/1.000 bar, 1/4"NPT inferior, caja Ac. Inox 304, internos Ac. Inox. 316, clase 1%, aro bayoneta, con glicerina.</t>
  </si>
  <si>
    <t>PFP725R1R11</t>
  </si>
  <si>
    <t>Manómetro Winters Serie PFP Premium, dial 4,5", 0/20.000 psi &amp; 0/1.400 bar, 1/4"NPT inferior, caja Ac. Inox 304, internos Ac. Inox. 316, clase 1%, aro bayoneta, con glicerina.</t>
  </si>
  <si>
    <t>PFP400R6R11</t>
  </si>
  <si>
    <t>Vacuómetro Winters Serie PFP Premium, dial 4,5", -30/0"Hg &amp; -1/0 bar, 1/4"NPT posterior, caja Ac. Inox 304, internos Ac. Inox. 316, clase 1%, con glicerina.</t>
  </si>
  <si>
    <t>PFP401R1R11</t>
  </si>
  <si>
    <t>Manovacuómetro Winters Serie PFP Premium, dial 4,5", -30"Hg/0/15 psi &amp; -1/0/1 bar, 1/4"NPT posterior, caja Ac. Inox 304, internos Ac. Inox. 316, clase 1%, aro bayoneta, con glicerina.</t>
  </si>
  <si>
    <t>PFP402R1R11</t>
  </si>
  <si>
    <t>Manovacuómetro Winters Serie PFP Premium, dial 4,5", -30"Hg/0/30 psi &amp; -1/0/2 bar, 1/4"NPT posterior, caja Ac. Inox 304, internos Ac. Inox. 316, clase 1%, aro bayoneta, con glicerina.</t>
  </si>
  <si>
    <t>PFP403R1R11</t>
  </si>
  <si>
    <t>Manovacuómetro Winters Serie PFP Premium, dial 4,5", -30"Hg/0/60 psi &amp; -1/0/4 bar, 1/4"NPT posterior, caja Ac. Inox 304, internos Ac. Inox. 316, clase 1%, aro bayoneta, con glicerina.</t>
  </si>
  <si>
    <t>PFP404R1R11</t>
  </si>
  <si>
    <t>Manovacuómetro Winters Serie PFP Premium, dial 4,5", -30"Hg/0/100 psi &amp; -1/0/7 bar, 1/4"NPT posterior, caja Ac. Inox 304, internos Ac. Inox. 316, clase 1%, aro bayoneta, con glicerina.</t>
  </si>
  <si>
    <t>PFP405R1R11</t>
  </si>
  <si>
    <t>Manovacuómetro Winters Serie PFP Premium, dial 4,5", -30"Hg/0/100 psi &amp; -1/0/10 bar, 1/4"NPT posterior, caja Ac. Inox 304, internos Ac. Inox. 316, clase 1%, aro bayoneta, con glicerina.</t>
  </si>
  <si>
    <t>PFP406R1R11</t>
  </si>
  <si>
    <t>Manovacuómetro Winters Serie PFP Premium, dial 4,5", -30"Hg/0/200 psi &amp; -1/0/14 bar, 1/4"NPT posterior, caja Ac. Inox 304, internos Ac. Inox. 316, clase 1%, aro bayoneta, con glicerina.</t>
  </si>
  <si>
    <t>PFP407R1R11</t>
  </si>
  <si>
    <t>Manovacuómetro Winters Serie PFP Premium, dial 4,5", -30"Hg/0/300 psi &amp; -1/0/20 bar, 1/4"NPT posterior, caja Ac. Inox 304, internos Ac. Inox. 316, clase 1%, aro bayoneta, con glicerina.</t>
  </si>
  <si>
    <t>PFP408R1R11</t>
  </si>
  <si>
    <t>Manómetro Winters Serie PFP Premium, dial 4,5", 0/15 psi &amp; 0/1 bar, 1/4"NPT posterior, caja Ac. Inox 304, internos Ac. Inox. 316, clase 1%, aro bayoneta, con glicerina.</t>
  </si>
  <si>
    <t>PFP409R1R11</t>
  </si>
  <si>
    <t>Manómetro Winters Serie PFP Premium, dial 4,5", 0/30 psi &amp; 0/2 bar, 1/4"NPT posterior, caja Ac. Inox 304, internos Ac. Inox. 316, clase 1%, aro bayoneta, con glicerina.</t>
  </si>
  <si>
    <t>PFP410R1R11</t>
  </si>
  <si>
    <t>Manómetro Winters Serie PFP Premium, dial 4,5", 0/60 psi &amp; 0/4 bar, 1/4"NPT posterior, caja Ac. Inox 304, internos Ac. Inox. 316, clase 1%, aro bayoneta, con glicerina.</t>
  </si>
  <si>
    <t>PFP411R1R11</t>
  </si>
  <si>
    <t>Manómetro Winters Serie PFP Premium, dial 4,5", 0/100 psi &amp; 0/7 bar, 1/4"NPT posterior, caja Ac. Inox 304, internos Ac. Inox. 316, clase 1%, aro bayoneta, con glicerina.</t>
  </si>
  <si>
    <t>PFP412R1R11</t>
  </si>
  <si>
    <t>Manómetro Winters Serie PFP Premium, dial 4,5", 0/160 psi &amp; 0/11 bar, 1/4"NPT posterior, caja Ac. Inox 304, internos Ac. Inox. 316, clase 1%, aro bayoneta, con glicerina.</t>
  </si>
  <si>
    <t>PFP413R1R11</t>
  </si>
  <si>
    <t>Manómetro Winters Serie PFP Premium, dial 4,5", 0/200 psi &amp; 0/14 bar, 1/4"NPT posterior, caja Ac. Inox 304, internos Ac. Inox. 316, clase 1%, aro bayoneta, con glicerina.</t>
  </si>
  <si>
    <t>PFP414R1R11</t>
  </si>
  <si>
    <t>Manómetro Winters Serie PFP Premium, dial 4,5", 0/300 psi &amp; 0/20 bar, 1/4"NPT posterior, caja Ac. Inox 304, internos Ac. Inox. 316, clase 1%, aro bayoneta, con glicerina.</t>
  </si>
  <si>
    <t>PFP415R1R11</t>
  </si>
  <si>
    <t>Manómetro Winters Serie PFP Premium, dial 4,5", 0/400 psi &amp; 0/30 bar, 1/4"NPT posterior, caja Ac. Inox 304, internos Ac. Inox. 316, clase 1%, aro bayoneta, con glicerina.</t>
  </si>
  <si>
    <t>PFP416R1R11</t>
  </si>
  <si>
    <t>Manómetro Winters Serie PFP Premium, dial 4,5", 0/600 psi &amp; 0/40 bar, 1/4"NPT posterior, caja Ac. Inox 304, internos Ac. Inox. 316, clase 1%, aro bayoneta, con glicerina.</t>
  </si>
  <si>
    <t>PFP417R1R11</t>
  </si>
  <si>
    <t>Manómetro Winters Serie PFP Premium, dial 4,5", 0/1.000 psi &amp; 0/70 bar, 1/4"NPT posterior, caja Ac. Inox 304, internos Ac. Inox. 316, clase 1%, aro bayoneta, con glicerina.</t>
  </si>
  <si>
    <t>PFP418R1R11</t>
  </si>
  <si>
    <t>Manómetro Winters Serie PFP Premium, dial 4,5", 0/1.500 psi &amp; 0/100 bar, 1/4"NPT posterior, caja Ac. Inox 304, internos Ac. Inox. 316, clase 1%, aro bayoneta, con glicerina.</t>
  </si>
  <si>
    <t>PFP419R1R11</t>
  </si>
  <si>
    <t>Manómetro Winters Serie PFP Premium, dial 4,5", 0/2.000 psi &amp; 0/140 bar, 1/4"NPT posterior, caja Ac. Inox 304, internos Ac. Inox. 316, clase 1%, aro bayoneta, con glicerina.</t>
  </si>
  <si>
    <t>PFP420R1R11</t>
  </si>
  <si>
    <t>Manómetro Winters Serie PFP Premium, dial 4,5", 0/3.000 psi &amp; 0/200 bar, 1/4"NPT posterior, caja Ac. Inox 304, internos Ac. Inox. 316, clase 1%, aro bayoneta, con glicerina.</t>
  </si>
  <si>
    <t>PFP421R1R11</t>
  </si>
  <si>
    <t>Manómetro Winters Serie PFP Premium, dial 4,5", 0/5.000 psi &amp; 0/350 bar, 1/4"NPT posterior, caja Ac. Inox 304, internos Ac. Inox. 316, clase 1%, aro bayoneta, con glicerina.</t>
  </si>
  <si>
    <t>PFP422R1R11</t>
  </si>
  <si>
    <t>Manómetro Winters Serie PFP Premium, dial 4,5", 0/6.000 psi &amp; 0/400 bar, 1/4"NPT posterior, caja Ac. Inox 304, internos Ac. Inox. 316, clase 1%, aro bayoneta, con glicerina.</t>
  </si>
  <si>
    <t>PFP423R1R11</t>
  </si>
  <si>
    <t>Manómetro Winters Serie PFP Premium, dial 4,5", 0/10.000 psi &amp; 0/700 bar, 1/4"NPT posterior, caja Ac. Inox 304, internos Ac. Inox. 316, clase 1%, aro bayoneta, con glicerina.</t>
  </si>
  <si>
    <t>PFP424R1R11</t>
  </si>
  <si>
    <t>Manómetro Winters Serie PFP Premium, dial 4,5", 0/15.000 psi &amp; 0/1.000 bar, 1/4"NPT posterior, caja Ac. Inox 304, internos Ac. Inox. 316, clase 1%, aro bayoneta, con glicerina.</t>
  </si>
  <si>
    <t>PFP425R1R11</t>
  </si>
  <si>
    <t>Manómetro Winters Serie PFP Premium, dial 4,5", 0/20.000 psi &amp; 0/1.400 bar, 1/4"NPT posterior, caja Ac. Inox 304, internos Ac. Inox. 316, clase 1%, aro bayoneta, con glicerina.</t>
  </si>
  <si>
    <t>PFP750R6R11</t>
  </si>
  <si>
    <t>Vacuómetro Winters Serie PFP Premium, dial 4,5", -30/0"Hg &amp; -1/0 bar, 1/2"NPT inferior, caja Ac. Inox 304, internos Ac. Inox. 316, clase 1%, con glicerina.</t>
  </si>
  <si>
    <t>PFP751R1R11</t>
  </si>
  <si>
    <t>Manovacuómetro Winters Serie PFP Premium, dial 4,5", -30"Hg/0/15 psi &amp; -1/0/1 bar, 1/2"NPT inferior, caja Ac. Inox 304, internos Ac. Inox. 316, clase 1%, aro bayoneta, con glicerina.</t>
  </si>
  <si>
    <t>PFP752R1R11</t>
  </si>
  <si>
    <t>Manovacuómetro Winters Serie PFP Premium, dial 4,5", -30"Hg/0/30 psi &amp; -1/0/2 bar, 1/2"NPT inferior, caja Ac. Inox 304, internos Ac. Inox. 316, clase 1%, aro bayoneta, con glicerina.</t>
  </si>
  <si>
    <t>PFP752R1R11+SG-45</t>
  </si>
  <si>
    <t>Manovacuómetro Winters Serie PFP Premium, dial 4,5", -30''HG/bar/0/30 psi &amp; 0/2 bar, 1/2" NPT inferior, caja Ac. Inox. 304, int. Ac. Inox. 316, clase 1% aro bayoneta, con glicerina, con vidrio de seguridad.</t>
  </si>
  <si>
    <t>PFP753R1R11</t>
  </si>
  <si>
    <t>Manovacuómetro Winters Serie PFP Premium, dial 4,5", -30"Hg/0/60 psi &amp; -1/0/4 bar, 1/2"NPT inferior, caja Ac. Inox 304, internos Ac. Inox. 316, clase 1%, aro bayoneta, con glicerina.</t>
  </si>
  <si>
    <t>PFP754R1R11</t>
  </si>
  <si>
    <t>Manovacuómetro Winters Serie PFP Premium, dial 4,5", -30"Hg/0/100 psi &amp; -1/0/7 bar, 1/2"NPT inferior, caja Ac. Inox 304, internos Ac. Inox. 316, clase 1%, aro bayoneta, con glicerina.</t>
  </si>
  <si>
    <t>PFP755R1R11</t>
  </si>
  <si>
    <t>Manovacuómetro Winters Serie PFP Premium, dial 4,5", -30"Hg/0/100 psi &amp; -1/0/10 bar, 1/2"NPT inferior, caja Ac. Inox 304, internos Ac. Inox. 316, clase 1%, aro bayoneta, con glicerina.</t>
  </si>
  <si>
    <t>PFP756R1R11</t>
  </si>
  <si>
    <t>Manovacuómetro Winters Serie PFP Premium, dial 4,5", -30"Hg/0/200 psi &amp; -1/0/14 bar, 1/2"NPT inferior, caja Ac. Inox 304, internos Ac. Inox. 316, clase 1%, aro bayoneta, con glicerina.</t>
  </si>
  <si>
    <t>PFP757R1R11</t>
  </si>
  <si>
    <t>Manovacuómetro Winters Serie PFP Premium, dial 4,5", -30"Hg/0/300 psi &amp; -1/0/20 bar, 1/2"NPT inferior, caja Ac. Inox 304, internos Ac. Inox. 316, clase 1%, aro bayoneta, con glicerina.</t>
  </si>
  <si>
    <t>PFP758R1R11</t>
  </si>
  <si>
    <t>Manómetro Winters Serie PFP Premium, dial 4,5", 0/15 psi &amp; 0/1 bar, 1/2"NPT inferior, caja Ac. Inox 304, internos Ac. Inox. 316, clase 1%, aro bayoneta, con glicerina.</t>
  </si>
  <si>
    <t>PFP759R1R11</t>
  </si>
  <si>
    <t>Manómetro Winters Serie PFP Premium, dial 4,5", 0/30 psi &amp; 0/2 bar, 1/2"NPT inferior, caja Ac. Inox 304, internos Ac. Inox. 316, clase 1%, aro bayoneta, con glicerina.</t>
  </si>
  <si>
    <t>PFP760R1R11</t>
  </si>
  <si>
    <t>Manómetro Winters Serie PFP Premium, dial 4,5", 0/60 psi &amp; 0/4 bar, 1/2"NPT inferior, caja Ac. Inox 304, internos Ac. Inox. 316, clase 1%, aro bayoneta, con glicerina.</t>
  </si>
  <si>
    <t>PFP761R1R11</t>
  </si>
  <si>
    <t>Manómetro Winters Serie PFP Premium, dial 4,5", 0/100 psi &amp; 0/7 bar, 1/2"NPT inferior, caja Ac. Inox 304, internos Ac. Inox. 316, clase 1%, aro bayoneta, con glicerina.</t>
  </si>
  <si>
    <t>PFP761R1R11+SG-45</t>
  </si>
  <si>
    <t>Manómetro Winters Serie PFP Premium, dial 4,5", 0/100 psi &amp; 0/7 bar, 1/2" NPT inferior, caja Ac. Inox. 304, int. Ac. Inox. 316, clase 1%, aro bayoneta, con glicerina, con vidrio de seguridad</t>
  </si>
  <si>
    <t>PFP762R11S+TP+TC</t>
  </si>
  <si>
    <t>Manómetro Winters Serie PFP Premium, dial 4,5", 0/10 bar, 1/2" NPT inferior, caja Ac. Inox. 304, int. Ac. Inox. 316, clase 1% aro bayoneta, con glicerina, PLATE + TC</t>
  </si>
  <si>
    <t>PFP762R1R11</t>
  </si>
  <si>
    <t>Manómetro Winters Serie PFP Premium, dial 4,5", 0/160 psi &amp; 0/11 bar, 1/2"NPT inferior, caja Ac. Inox 304, internos Ac. Inox. 316, clase 1%, aro bayoneta, con glicerina.</t>
  </si>
  <si>
    <t>PFP763R1R11</t>
  </si>
  <si>
    <t>Manómetro Winters Serie PFP Premium, dial 4,5", 0/200 psi &amp; 0/14 bar, 1/2"NPT inferior, caja Ac. Inox 304, internos Ac. Inox. 316, clase 1%, aro bayoneta, con glicerina.</t>
  </si>
  <si>
    <t>PFP763R1R11+SG-45</t>
  </si>
  <si>
    <t>Manómetro Winters Serie PFP Premium, dial 4,5", 0/200 psi &amp; 0/14 bar, 1/2" NPT inferior, caja Ac. Inox. 304, int. Ac. Inox. 316, clase 1%, aro bayoneta, con glicerina, con vidrio de seguridad</t>
  </si>
  <si>
    <t>PFP764R1R11</t>
  </si>
  <si>
    <t>Manómetro Winters Serie PFP Premium, dial 4,5", 0/300 psi &amp; 0/20 bar, 1/2"NPT inferior, caja Ac. Inox 304, internos Ac. Inox. 316, clase 1%, aro bayoneta, con glicerina.</t>
  </si>
  <si>
    <t>PFP764R1R11+SG-45</t>
  </si>
  <si>
    <t>Manómetro Winters Serie PFP Premium, dial 4,5", 0/300 psi &amp; 0/20 bar, 1/2" NPT inferior, caja Ac. Inox. 304, int. Ac. Inox. 316, clase 1%, aro bayon con glicerina, con vidrio de seguridad</t>
  </si>
  <si>
    <t>PFP765R1R11</t>
  </si>
  <si>
    <t>Manómetro Winters Serie PFP Premium, dial 4,5", 0/400 psi &amp; 0/30 bar, 1/2"NPT inferior, caja Ac. Inox 304, internos Ac. Inox. 316, clase 1%, aro bayoneta, con glicerina.</t>
  </si>
  <si>
    <t>PFP766R1R11</t>
  </si>
  <si>
    <t>Manómetro Winters Serie PFP Premium, dial 4,5", 0/600 psi &amp; 0/40 bar, 1/2"NPT inferior, caja Ac. Inox 304, internos Ac. Inox. 316, clase 1%, aro bayoneta, con glicerina.</t>
  </si>
  <si>
    <t>PFP766R1R11+SG-45</t>
  </si>
  <si>
    <t>Manómetro Winters Serie PFP Premium, dial 4,5", 0/600 psi &amp; 0/40 bar, 1/2" NPT inferior, caja Ac. Inox. 304, int. Ac. Inox. 316, clase 1%, aro bayoneta, con glicerina, con vidrio de seguridad.</t>
  </si>
  <si>
    <t>PFP767R1R11</t>
  </si>
  <si>
    <t>Manómetro Winters Serie PFP Premium, dial 4,5", 0/1.000 psi &amp; 0/70 bar, 1/2"NPT inferior, caja Ac. Inox 304, internos Ac. Inox. 316, clase 1%, aro bayoneta, con glicerina.</t>
  </si>
  <si>
    <t>PFP767R1R11+SG-45</t>
  </si>
  <si>
    <t>Manómetro Winters Serie PFP Premium, dial 4,5", 0/1.000 psi &amp; 0/70 bar, 1/2" NPT inferior, caja Ac. Inox. 304, int. Ac. Inox. 316, clase 1%, aro bayon con glicerina, con vidrio de seguridad.</t>
  </si>
  <si>
    <t>PFP768R1R11</t>
  </si>
  <si>
    <t>Manómetro Winters Serie PFP Premium, dial 4,5", 0/1.500 psi &amp; 0/100 bar, 1/2"NPT inferior, caja Ac. Inox 304, internos Ac. Inox. 316, clase 1%, aro bayoneta, con glicerina.</t>
  </si>
  <si>
    <t>PFP768R3-SG-45-ACC-0.5</t>
  </si>
  <si>
    <t>Manómetro Winters Serie PFP Premium, dial 4,5", 0/1.500 psi &amp; 0/100 bar, 1/2"NPT inferior, caja Ac. Inox 304, internos Ac. Inox. 316, clase 0,5%, aro bayoneta, con glicerina, con vidrio de seguridad.</t>
  </si>
  <si>
    <t>PFP769R1R11</t>
  </si>
  <si>
    <t>Manómetro Winters Serie PFP Premium, dial 4,5", 0/2.000 psi &amp; 0/140 bar, 1/2"NPT inferior, caja Ac. Inox 304, internos Ac. Inox. 316, clase 1%, aro bayoneta, con glicerina.</t>
  </si>
  <si>
    <t>PFP769R1R11+SG-45</t>
  </si>
  <si>
    <t>Manómetro Winters Serie PFP Premium, dial 4,5", 0/2.000 psi &amp; 0/140 bar, 1/2" NPT inferior, caja Ac. Inox. 304, int. Ac. Inox. 316, clase 1%, aro bayoneta, con glicerina, con vidrio de seguridad.</t>
  </si>
  <si>
    <t>PFP770R1R11</t>
  </si>
  <si>
    <t>Manómetro Winters Serie PFP Premium, dial 4,5", 0/3.000 psi &amp; 0/200 bar, 1/2"NPT inferior, caja Ac. Inox 304, internos Ac. Inox. 316, clase 1%, aro bayoneta, con glicerina.</t>
  </si>
  <si>
    <t>PFP771R1R11</t>
  </si>
  <si>
    <t>Manómetro Winters Serie PFP Premium, dial 4,5", 0/5.000 psi &amp; 0/350 bar, 1/2"NPT inferior, caja Ac. Inox 304, internos Ac. Inox. 316, clase 1%, aro bayoneta, con glicerina.</t>
  </si>
  <si>
    <t>PFP771R1R11+SG-45</t>
  </si>
  <si>
    <t>Manómetro Winters Serie PFP Premium, dial 4,5", 0/5.000 psi &amp; 0/350 bar, 1/2" NPT inferior, caja Ac. Inox. 304, int. Ac. Inox. 316, clase 1%, aro bayoneta, con glicerina, con vidrio de seguridad.</t>
  </si>
  <si>
    <t>PFP772R1R11</t>
  </si>
  <si>
    <t>Manómetro Winters Serie PFP Premium, dial 4,5", 0/6.000 psi &amp; 0/400 bar, 1/2"NPT inferior, caja Ac. Inox 304, internos Ac. Inox. 316, clase 1%, aro bayoneta, con glicerina.</t>
  </si>
  <si>
    <t>PFP773R1R11</t>
  </si>
  <si>
    <t>Manómetro Winters Serie PFP Premium, dial 4,5", 0/10.000 psi &amp; 0/700 bar, 1/2"NPT inferior, caja Ac. Inox 304, internos Ac. Inox. 316, clase 1%, aro bayoneta, con glicerina.</t>
  </si>
  <si>
    <t>PFP774R1R11</t>
  </si>
  <si>
    <t>Manómetro Winters Serie PFP Premium, dial 4,5", 0/15.000 psi &amp; 0/1.000 bar, 1/2"NPT inferior, caja Ac. Inox 304, internos Ac. Inox. 316, clase 1%, aro bayoneta, con glicerina.</t>
  </si>
  <si>
    <t>PFP775R1R11</t>
  </si>
  <si>
    <t>Manómetro Winters Serie PFP Premium, dial 4,5", 0/20.000 psi &amp; 0/1.400 bar, 1/2"NPT inferior, caja Ac. Inox 304, internos Ac. Inox. 316, clase 1%, aro bayoneta, con glicerina.</t>
  </si>
  <si>
    <t>PFP450R6R11</t>
  </si>
  <si>
    <t>Vacuómetro Winters Serie PFP Premium, dial 4,5", -30/0"Hg &amp; -1/0 bar, 1/2"NPT posterior, caja Ac. Inox 304, internos Ac. Inox. 316, clase 1%, con glicerina.</t>
  </si>
  <si>
    <t>PFP451R1R11</t>
  </si>
  <si>
    <t>Manovacuómetro Winters Serie PFP Premium, dial 4,5", -30"Hg/0/15 psi &amp; -1/0/1 bar, 1/2"NPT posterior, caja Ac. Inox 304, internos Ac. Inox. 316, clase 1%, aro bayoneta, con glicerina.</t>
  </si>
  <si>
    <t>PFP452R1R11</t>
  </si>
  <si>
    <t>Manovacuómetro Winters Serie PFP Premium, dial 4,5", -30"Hg/0/30 psi &amp; -1/0/2 bar, 1/2"NPT posterior, caja Ac. Inox 304, internos Ac. Inox. 316, clase 1%, aro bayoneta, con glicerina.</t>
  </si>
  <si>
    <t>PFP453R1R11</t>
  </si>
  <si>
    <t>Manovacuómetro Winters Serie PFP Premium, dial 4,5", -30"Hg/0/60 psi &amp; -1/0/4 bar, 1/2"NPT posterior, caja Ac. Inox 304, internos Ac. Inox. 316, clase 1%, aro bayoneta, con glicerina.</t>
  </si>
  <si>
    <t>PFP454R1R11</t>
  </si>
  <si>
    <t>Manovacuómetro Winters Serie PFP Premium, dial 4,5", -30"Hg/0/100 psi &amp; -1/0/7 bar, 1/2"NPT posterior, caja Ac. Inox 304, internos Ac. Inox. 316, clase 1%, aro bayoneta, con glicerina.</t>
  </si>
  <si>
    <t>PFP455R1R11</t>
  </si>
  <si>
    <t>Manovacuómetro Winters Serie PFP Premium, dial 4,5", -30"Hg/0/100 psi &amp; -1/0/10 bar, 1/2"NPT posterior, caja Ac. Inox 304, internos Ac. Inox. 316, clase 1%, aro bayoneta, con glicerina.</t>
  </si>
  <si>
    <t>PFP456R1R11</t>
  </si>
  <si>
    <t>Manovacuómetro Winters Serie PFP Premium, dial 4,5", -30"Hg/0/200 psi &amp; -1/0/14 bar, 1/2"NPT posterior, caja Ac. Inox 304, internos Ac. Inox. 316, clase 1%, aro bayoneta, con glicerina.</t>
  </si>
  <si>
    <t>PFP457R1R11</t>
  </si>
  <si>
    <t>Manovacuómetro Winters Serie PFP Premium, dial 4,5", -30"Hg/0/300 psi &amp; -1/0/20 bar, 1/2"NPT posterior, caja Ac. Inox 304, internos Ac. Inox. 316, clase 1%, aro bayoneta, con glicerina.</t>
  </si>
  <si>
    <t>PFP458R1R11</t>
  </si>
  <si>
    <t>Manómetro Winters Serie PFP Premium, dial 4,5", 0/15 psi &amp; 0/1 bar, 1/2"NPT posterior, caja Ac. Inox 304, internos Ac. Inox. 316, clase 1%, aro bayoneta, con glicerina.</t>
  </si>
  <si>
    <t>PFP459R1R11</t>
  </si>
  <si>
    <t>Manómetro Winters Serie PFP Premium, dial 4,5", 0/30 psi &amp; 0/2 bar, 1/2"NPT posterior, caja Ac. Inox 304, internos Ac. Inox. 316, clase 1%, aro bayoneta, con glicerina.</t>
  </si>
  <si>
    <t>PFP460R1R11</t>
  </si>
  <si>
    <t>Manómetro Winters Serie PFP Premium, dial 4,5", 0/60 psi &amp; 0/4 bar, 1/2"NPT posterior, caja Ac. Inox 304, internos Ac. Inox. 316, clase 1%, aro bayoneta, con glicerina.</t>
  </si>
  <si>
    <t>PFP461R1R11</t>
  </si>
  <si>
    <t>Manómetro Winters Serie PFP Premium, dial 4,5", 0/100 psi &amp; 0/7 bar, 1/2"NPT posterior, caja Ac. Inox 304, internos Ac. Inox. 316, clase 1%, aro bayoneta, con glicerina.</t>
  </si>
  <si>
    <t>PFP462R1R11</t>
  </si>
  <si>
    <t>Manómetro Winters Serie PFP Premium, dial 4,5", 0/160 psi &amp; 0/11 bar, 1/2"NPT posterior, caja Ac. Inox 304, internos Ac. Inox. 316, clase 1%, aro bayoneta, con glicerina.</t>
  </si>
  <si>
    <t>PFP463R1R11</t>
  </si>
  <si>
    <t>Manómetro Winters Serie PFP Premium, dial 4,5", 0/200 psi &amp; 0/14 bar, 1/2"NPT posterior, caja Ac. Inox 304, internos Ac. Inox. 316, clase 1%, aro bayoneta, con glicerina.</t>
  </si>
  <si>
    <t>PFP464R1R11</t>
  </si>
  <si>
    <t>Manómetro Winters Serie PFP Premium, dial 4,5", 0/300 psi &amp; 0/20 bar, 1/2"NPT posterior, caja Ac. Inox 304, internos Ac. Inox. 316, clase 1%, aro bayoneta, con glicerina.</t>
  </si>
  <si>
    <t>PFP465R1R11</t>
  </si>
  <si>
    <t>Manómetro Winters Serie PFP Premium, dial 4,5", 0/400 psi &amp; 0/30 bar, 1/2"NPT posterior, caja Ac. Inox 304, internos Ac. Inox. 316, clase 1%, aro bayoneta, con glicerina.</t>
  </si>
  <si>
    <t>PFP466R1R11</t>
  </si>
  <si>
    <t>Manómetro Winters Serie PFP Premium, dial 4,5", 0/600 psi &amp; 0/40 bar, 1/2"NPT posterior, caja Ac. Inox 304, internos Ac. Inox. 316, clase 1%, aro bayoneta, con glicerina.</t>
  </si>
  <si>
    <t>PFP467R1R11</t>
  </si>
  <si>
    <t>Manómetro Winters Serie PFP Premium, dial 4,5", 0/1.000 psi &amp; 0/70 bar, 1/2"NPT posterior, caja Ac. Inox 304, internos Ac. Inox. 316, clase 1%, aro bayoneta, con glicerina.</t>
  </si>
  <si>
    <t>PFP468R1R11</t>
  </si>
  <si>
    <t>Manómetro Winters Serie PFP Premium, dial 4,5", 0/1.500 psi &amp; 0/100 bar, 1/2"NPT posterior, caja Ac. Inox 304, internos Ac. Inox. 316, clase 1%, aro bayoneta, con glicerina.</t>
  </si>
  <si>
    <t>PFP469R1R11</t>
  </si>
  <si>
    <t>Manómetro Winters Serie PFP Premium, dial 4,5", 0/2.000 psi &amp; 0/140 bar, 1/2"NPT posterior, caja Ac. Inox 304, internos Ac. Inox. 316, clase 1%, aro bayoneta, con glicerina.</t>
  </si>
  <si>
    <t>PFP470R1R11</t>
  </si>
  <si>
    <t>Manómetro Winters Serie PFP Premium, dial 4,5", 0/3.000 psi &amp; 0/200 bar, 1/2"NPT posterior, caja Ac. Inox 304, internos Ac. Inox. 316, clase 1%, aro bayoneta, con glicerina.</t>
  </si>
  <si>
    <t>PFP471R1R11</t>
  </si>
  <si>
    <t>Manómetro Winters Serie PFP Premium, dial 4,5", 0/5.000 psi &amp; 0/350 bar, 1/2"NPT posterior, caja Ac. Inox 304, internos Ac. Inox. 316, clase 1%, aro bayoneta, con glicerina.</t>
  </si>
  <si>
    <t>PFP472R1R11</t>
  </si>
  <si>
    <t>Manómetro Winters Serie PFP Premium, dial 4,5", 0/6.000 psi &amp; 0/400 bar, 1/2"NPT posterior, caja Ac. Inox 304, internos Ac. Inox. 316, clase 1%, aro bayoneta, con glicerina.</t>
  </si>
  <si>
    <t>PFP473R1R11</t>
  </si>
  <si>
    <t>Manómetro Winters Serie PFP Premium, dial 4,5", 0/10.000 psi &amp; 0/700 bar, 1/2"NPT posterior, caja Ac. Inox 304, internos Ac. Inox. 316, clase 1%, aro bayoneta, con glicerina.</t>
  </si>
  <si>
    <t>PFP474R1R11</t>
  </si>
  <si>
    <t>Manómetro Winters Serie PFP Premium, dial 4,5", 0/15.000 psi &amp; 0/1.000 bar, 1/2"NPT posterior, caja Ac. Inox 304, internos Ac. Inox. 316, clase 1%, aro bayoneta, con glicerina.</t>
  </si>
  <si>
    <t>PFP475R1R11</t>
  </si>
  <si>
    <t>Manómetro Winters Serie PFP Premium, dial 4,5", 0/20.000 psi &amp; 0/1.400 bar, 1/2"NPT posterior, caja Ac. Inox 304, internos Ac. Inox. 316, clase 1%, aro bayoneta, con glicerina.</t>
  </si>
  <si>
    <t>PFP1078R6R11</t>
  </si>
  <si>
    <t>Vacuómetro Winters Serie PFP Premium, dial 6", -30/0"Hg &amp; -1/0 bar, 1/4"NPT inferior, caja Ac. Inox 304, internos Ac. Inox. 316, clase 1%, con glicerina.</t>
  </si>
  <si>
    <t>PFP1079R1R11</t>
  </si>
  <si>
    <t>Manovacuómetro Winters Serie PFP Premium, dial 6", -30"Hg/0/15 psi &amp; -1/0/1 bar, 1/4"NPT inferior, caja Ac. Inox 304, internos Ac. Inox. 316, clase 1%, aro bayoneta, con glicerina.</t>
  </si>
  <si>
    <t>PFP1052R1R11</t>
  </si>
  <si>
    <t>Manovacuómetro Winters Serie PFP Premium, dial 6", -30"Hg/0/30 psi &amp; -1/0/2 bar, 1/4"NPT inferior, caja Ac. Inox 304, internos Ac. Inox. 316, clase 1%, aro bayoneta, con glicerina.</t>
  </si>
  <si>
    <t>PFP1053R1R11</t>
  </si>
  <si>
    <t>Manovacuómetro Winters Serie PFP Premium, dial 6", -30"Hg/0/60 psi &amp; -1/0/4 bar, 1/4"NPT inferior, caja Ac. Inox 304, internos Ac. Inox. 316, clase 1%, aro bayoneta, con glicerina.</t>
  </si>
  <si>
    <t>PFP1054R1R11</t>
  </si>
  <si>
    <t>Manovacuómetro Winters Serie PFP Premium, dial 6", -30"Hg/0/100 psi &amp; -1/0/7 bar, 1/4"NPT inferior, caja Ac. Inox 304, internos Ac. Inox. 316, clase 1%, aro bayoneta, con glicerina.</t>
  </si>
  <si>
    <t>PFP1055R1R11</t>
  </si>
  <si>
    <t>Manovacuómetro Winters Serie PFP Premium, dial 6", -30"Hg/0/100 psi &amp; -1/0/10 bar, 1/4"NPT inferior, caja Ac. Inox 304, internos Ac. Inox. 316, clase 1%, aro bayoneta, con glicerina.</t>
  </si>
  <si>
    <t>PFP1057R1R11</t>
  </si>
  <si>
    <t>Manovacuómetro Winters Serie PFP Premium, dial 6", -30"Hg/0/200 psi &amp; -1/0/14 bar, 1/4"NPT inferior, caja Ac. Inox 304, internos Ac. Inox. 316, clase 1%, aro bayoneta, con glicerina.</t>
  </si>
  <si>
    <t>PFP1058R1R11</t>
  </si>
  <si>
    <t>Manovacuómetro Winters Serie PFP Premium, dial 6", -30"Hg/0/300 psi &amp; -1/0/20 bar, 1/4"NPT inferior, caja Ac. Inox 304, internos Ac. Inox. 316, clase 1%, aro bayoneta, con glicerina.</t>
  </si>
  <si>
    <t>PFP1059R1R11</t>
  </si>
  <si>
    <t>Manómetro Winters Serie PFP Premium, dial 6", 0/15 psi &amp; 0/1 bar, 1/4"NPT inferior, caja Ac. Inox 304, internos Ac. Inox. 316, clase 1%, aro bayoneta, con glicerina.</t>
  </si>
  <si>
    <t>PFP1060R1R11</t>
  </si>
  <si>
    <t>Manómetro Winters Serie PFP Premium, dial 6", 0/30 psi &amp; 0/2 bar, 1/4"NPT inferior, caja Ac. Inox 304, internos Ac. Inox. 316, clase 1%, aro bayoneta, con glicerina.</t>
  </si>
  <si>
    <t>PFP1061R1R11</t>
  </si>
  <si>
    <t>Manómetro Winters Serie PFP Premium, dial 6", 0/60 psi &amp; 0/4 bar, 1/4"NPT inferior, caja Ac. Inox 304, internos Ac. Inox. 316, clase 1%, aro bayoneta, con glicerina.</t>
  </si>
  <si>
    <t>PFP1062R1R11</t>
  </si>
  <si>
    <t>Manómetro Winters Serie PFP Premium, dial 6", 0/100 psi &amp; 0/7 bar, 1/4"NPT inferior, caja Ac. Inox 304, internos Ac. Inox. 316, clase 1%, aro bayoneta, con glicerina.</t>
  </si>
  <si>
    <t>PFP1063R1R11</t>
  </si>
  <si>
    <t>Manómetro Winters Serie PFP Premium, dial 6", 0/160 psi &amp; 0/11 bar, 1/4"NPT inferior, caja Ac. Inox 304, internos Ac. Inox. 316, clase 1%, aro bayoneta, con glicerina.</t>
  </si>
  <si>
    <t>PFP1064R1R11</t>
  </si>
  <si>
    <t>Manómetro Winters Serie PFP Premium, dial 6", 0/200 psi &amp; 0/14 bar, 1/4"NPT inferior, caja Ac. Inox 304, internos Ac. Inox. 316, clase 1%, aro bayoneta, con glicerina.</t>
  </si>
  <si>
    <t>PFP1065R1R11</t>
  </si>
  <si>
    <t>Manómetro Winters Serie PFP Premium, dial 6", 0/300 psi &amp; 0/20 bar, 1/4"NPT inferior, caja Ac. Inox 304, internos Ac. Inox. 316, clase 1%, aro bayoneta, con glicerina.</t>
  </si>
  <si>
    <t>PFP1077R1R11</t>
  </si>
  <si>
    <t>Manómetro Winters Serie PFP Premium, dial 6", 0/400 psi &amp; 0/30 bar, 1/4"NPT inferior, caja Ac. Inox 304, internos Ac. Inox. 316, clase 1%, aro bayoneta, con glicerina.</t>
  </si>
  <si>
    <t>PFP1066R1R11</t>
  </si>
  <si>
    <t>Manómetro Winters Serie PFP Premium, dial 6", 0/600 psi &amp; 0/40 bar, 1/4"NPT inferior, caja Ac. Inox 304, internos Ac. Inox. 316, clase 1%, aro bayoneta, con glicerina.</t>
  </si>
  <si>
    <t>PFP1067R1R11</t>
  </si>
  <si>
    <t>Manómetro Winters Serie PFP Premium, dial 6", 0/1.000 psi &amp; 0/70 bar, 1/4"NPT inferior, caja Ac. Inox 304, internos Ac. Inox. 316, clase 1%, aro bayoneta, con glicerina.</t>
  </si>
  <si>
    <t>PFP1068R1R11</t>
  </si>
  <si>
    <t>Manómetro Winters Serie PFP Premium, dial 6", 0/1.500 psi &amp; 0/100 bar, 1/4"NPT inferior, caja Ac. Inox 304, internos Ac. Inox. 316, clase 1%, aro bayoneta, con glicerina.</t>
  </si>
  <si>
    <t>PFP1069R1R11</t>
  </si>
  <si>
    <t>Manómetro Winters Serie PFP Premium, dial 6", 0/2.000 psi &amp; 0/140 bar, 1/4"NPT inferior, caja Ac. Inox 304, internos Ac. Inox. 316, clase 1%, aro bayoneta, con glicerina.</t>
  </si>
  <si>
    <t>PFP1070R1R11</t>
  </si>
  <si>
    <t>Manómetro Winters Serie PFP Premium, dial 6", 0/3.000 psi &amp; 0/200 bar, 1/4"NPT inferior, caja Ac. Inox 304, internos Ac. Inox. 316, clase 1%, aro bayoneta, con glicerina.</t>
  </si>
  <si>
    <t>PFP1071R1R11</t>
  </si>
  <si>
    <t>Manómetro Winters Serie PFP Premium, dial 6", 0/4.000 psi &amp; 0/275 bar, 1/4"NPT inferior, caja Ac. Inox 304, internos Ac. Inox. 316, clase 1%, aro bayoneta, con glicerina.</t>
  </si>
  <si>
    <t>PFP1072R1R11</t>
  </si>
  <si>
    <t>Manómetro Winters Serie PFP Premium, dial 6", 0/5.000 psi &amp; 0/350 bar, 1/4"NPT inferior, caja Ac. Inox 304, internos Ac. Inox. 316, clase 1%, aro bayoneta, con glicerina.</t>
  </si>
  <si>
    <t>PFP1289R1R11</t>
  </si>
  <si>
    <t>Manómetro Winters Serie PFP Premium, dial 6", 0/6.000 psi &amp; 0/400 bar, 1/4"NPT inferior, caja Ac. Inox 304, internos Ac. Inox. 316, clase 1%, aro bayoneta, con glicerina.</t>
  </si>
  <si>
    <t>PFP1073R1R11</t>
  </si>
  <si>
    <t>Manómetro Winters Serie PFP Premium, dial 6", 0/10.000 psi &amp; 0/700 bar, 1/4"NPT inferior, caja Ac. Inox 304, internos Ac. Inox. 316, clase 1%, aro bayoneta, con glicerina.</t>
  </si>
  <si>
    <t>PFP1074R1R11</t>
  </si>
  <si>
    <t>Manómetro Winters Serie PFP Premium, dial 6", 0/15.000 psi &amp; 0/1.000 bar, 1/4"NPT inferior, caja Ac. Inox 304, internos Ac. Inox. 316, clase 1%, aro bayoneta, con glicerina.</t>
  </si>
  <si>
    <t>PFP1075R1R11</t>
  </si>
  <si>
    <t>Manómetro Winters Serie PFP Premium, dial 6", 0/20.000 psi &amp; 0/1.400 bar, 1/4"NPT inferior, caja Ac. Inox 304, internos Ac. Inox. 316, clase 1%, aro bayoneta, con glicerina.</t>
  </si>
  <si>
    <t>PFP1168R6R11</t>
  </si>
  <si>
    <t>Vacuómetro Winters Serie PFP Premium, dial 6", -30/0"Hg &amp; -1/0 bar, 1/4"NPT posterior, caja Ac. Inox 304, internos Ac. Inox. 316, clase 1%, con glicerina.</t>
  </si>
  <si>
    <t>PFP1168R7R6-1/2</t>
  </si>
  <si>
    <t>Vacuómetro Winters Serie PFP Premium, dial 6", -760 mmHg/0 &amp; -30/0"Hg, 1/2"NPT posterior, caja Ac. Inox 304, internos Ac. Inox. 316, 1%, aro bayoneta, con glicerina.</t>
  </si>
  <si>
    <t>PFP1152R1R11</t>
  </si>
  <si>
    <t>Manovacuómetro Winters Serie PFP Premium, dial 6", -30"Hg/0/30 psi &amp; -1/0/2 bar, 1/4"NPT posterior, caja Ac. Inox 304, internos Ac. Inox. 316, clase 1%, aro bayoneta, con glicerina.</t>
  </si>
  <si>
    <t>PFP1153R1R11</t>
  </si>
  <si>
    <t>Manovacuómetro Winters Serie PFP Premium, dial 6", -30"Hg/0/60 psi &amp; -1/0/4 bar, 1/4"NPT posterior, caja Ac. Inox 304, internos Ac. Inox. 316, clase 1%, aro bayoneta, con glicerina.</t>
  </si>
  <si>
    <t>PFP1154R1R11</t>
  </si>
  <si>
    <t>Manovacuómetro Winters Serie PFP Premium, dial 6", -30"Hg/0/100 psi &amp; -1/0/7 bar, 1/4"NPT posterior, caja Ac. Inox 304, internos Ac. Inox. 316, clase 1%, aro bayoneta, con glicerina.</t>
  </si>
  <si>
    <t>PFP1155R1R11</t>
  </si>
  <si>
    <t>Manovacuómetro Winters Serie PFP Premium, dial 6", -30"Hg/0/100 psi &amp; -1/0/10 bar, 1/4"NPT posterior, caja Ac. Inox 304, internos Ac. Inox. 316, clase 1%, aro bayoneta, con glicerina.</t>
  </si>
  <si>
    <t>PFP1157R1R11</t>
  </si>
  <si>
    <t>Manovacuómetro Winters Serie PFP Premium, dial 6", -30"Hg/0/200 psi &amp; -1/0/14 bar, 1/4"NPT posterior, caja Ac. Inox 304, internos Ac. Inox. 316, clase 1%, aro bayoneta, con glicerina.</t>
  </si>
  <si>
    <t>PFP1158R1R11</t>
  </si>
  <si>
    <t>Manovacuómetro Winters Serie PFP Premium, dial 6", -30"Hg/0/300 psi &amp; -1/0/20 bar, 1/4"NPT posterior, caja Ac. Inox 304, internos Ac. Inox. 316, clase 1%, aro bayoneta, con glicerina.</t>
  </si>
  <si>
    <t>PFP1159R1R11</t>
  </si>
  <si>
    <t>Manovacuómetro Winters Serie PFP Premium, dial 6", -30"Hg/0/15 psi &amp; -1/0/1 bar, 1/4"NPT posterior, caja Ac. Inox 304, internos Ac. Inox. 316, clase 1%, aro bayoneta, con glicerina.</t>
  </si>
  <si>
    <t>PFP1159R3R1-1/2</t>
  </si>
  <si>
    <t>Manómetro Winters Serie PFP Premium, dial 6", 0/1 Kg/cm2 &amp; 0/15 psi, 1/2"NPT posterior, caja Ac. Inox 304, internos Ac. Inox. 316, clase 1%, aro bayoneta, con glicerina.</t>
  </si>
  <si>
    <t>PFP1160R1R11</t>
  </si>
  <si>
    <t>PFP1160R3R1-1/2</t>
  </si>
  <si>
    <t>Manómetro Winters Serie PFP Premium, dial 6", 0/2 Kg/cm2 &amp; 0/30 psi, 1/2"NPT posterior, caja Ac. Inox 304, internos Ac. Inox. 316, clase 1%, aro bayoneta, con glicerina.</t>
  </si>
  <si>
    <t>PFP1161R1R11</t>
  </si>
  <si>
    <t>PFP1162R1R11</t>
  </si>
  <si>
    <t>PFP1162R3R1-1/2</t>
  </si>
  <si>
    <t>Manómetro Winters Serie PFP Premium, dial 6", 0/7 Kg/cm2 &amp; 0/100 psi, 1/2"NPT posterior, caja Ac. Inox 304, internos Ac. Inox. 316, clase 1%, aro bayoneta, con glicerina.</t>
  </si>
  <si>
    <t>PFP1163R3R1-1/2</t>
  </si>
  <si>
    <t>Manovacuómetro Winters Serie PFP Premium, dial 6", 0/10 Kg/cm2 &amp; 0/150 psi, 1/2"NPT posterior, caja Ac. Inox 304, internos Ac. Inox. 316, clase 1%, aro bayoneta, con glicerina.</t>
  </si>
  <si>
    <t>PFP1163R1R11</t>
  </si>
  <si>
    <t>Manómetro Winters Serie PFP Premium, dial 6", 0/160 psi &amp; 0/11 bar, 1/4"NPT posterior, caja Ac. Inox 304, internos Ac. Inox. 316, clase 1%, aro bayoneta, con glicerina.</t>
  </si>
  <si>
    <t>PFP1164R1R11</t>
  </si>
  <si>
    <t>Manómetro Winters Serie PFP Premium, dial 6", 0/200 psi &amp; 0/14 bar, 1/4"NPT posterior, caja Ac. Inox 304, internos Ac. Inox. 316, clase 1%, aro bayoneta, con glicerina.</t>
  </si>
  <si>
    <t>PFP1164R3R1-1/2</t>
  </si>
  <si>
    <t>Manómetro Winters Serie PFP Premium, dial 6", 0/14 Kg/cm2 &amp; 0/200 psi, 1/2"NPT posterior, caja Ac. Inox 304, internos Ac. Inox. 316, clase 1%, aro bayoneta, con glicerina.</t>
  </si>
  <si>
    <t>PFP1165R1R11</t>
  </si>
  <si>
    <t>Manómetro Winters Serie PFP Premium, dial 6", 0/300 psi &amp; 0/20 bar, 1/4"NPT posterior, caja Ac. Inox 304, internos Ac. Inox. 316, clase 1%, aro bayoneta, con glicerina.</t>
  </si>
  <si>
    <t>PFP1165R3R1-1/2</t>
  </si>
  <si>
    <t>Manómetro Winters Serie PFP Premium, dial 6", 0/20 Kg/cm2 &amp; 0/300 psi, 1/2"NPT posterior, caja Ac. Inox 304, internos Ac. Inox. 316, clase 1%, aro bayoneta, con glicerina.</t>
  </si>
  <si>
    <t>PFP1177R1R11</t>
  </si>
  <si>
    <t>Manómetro Winters Serie PFP Premium, dial 6", 0/400 psi &amp; 0/30 bar, 1/4"NPT posterior, caja Ac. Inox 304, internos Ac. Inox. 316, clase 1%, aro bayoneta, con glicerina.</t>
  </si>
  <si>
    <t>PFP1166R1R11</t>
  </si>
  <si>
    <t>Manómetro Winters Serie PFP Premium, dial 6", 0/600 psi &amp; 0/40 bar, 1/4"NPT posterior, caja Ac. Inox 304, internos Ac. Inox. 316, clase 1%, aro bayoneta, con glicerina.</t>
  </si>
  <si>
    <t>PFP1166R3R1-1/2</t>
  </si>
  <si>
    <t>Manómetro Winters Serie PFP Premium, dial 6", 0/40 kg/cm2, 1/2"NPT posterior, caja Ac. Inox 304, internos Ac. Inox. 316, clase 1%, aro bayoneta, con glicerina.</t>
  </si>
  <si>
    <t>PFP1167R1R11</t>
  </si>
  <si>
    <t>Manómetro Winters Serie PFP Premium, dial 6", 0/1.000 psi &amp; 0/70 bar, 1/4"NPT posterior, caja Ac. Inox 304, internos Ac. Inox. 316, clase 1%, aro bayoneta, con glicerina.</t>
  </si>
  <si>
    <t>PFP1167R3-SG-6-1/2+6FF</t>
  </si>
  <si>
    <t>Manómetro Winters Serie PFP Premium, dial 6", 0/70Kg/cm2, 1/2"NPT posterior, caja Ac. Inox 304, internos Ac. Inox. 316, clase 1%, con glicerina, con vidrio de seguridad y 6FF</t>
  </si>
  <si>
    <t>PFP2326R6R11</t>
  </si>
  <si>
    <t>Vacuómetro Winters Serie PFP Premium, dial 6", -30/0"Hg &amp; -1/0 bar, 1/2"NPT inferior, caja Ac. Inox 304, internos Ac. Inox. 316, clase 1%, con glicerina.</t>
  </si>
  <si>
    <t>PFP2326R7R6</t>
  </si>
  <si>
    <t>Vacuómetro Winters Serie PFP Premium, -760 mmHg/0 &amp; -30/0"Hg, dial 6", 1/2"NPT inferior, caja Ac. Inox 304, internos Ac. Inox. 316, clase 1%, aro bayoneta con glicerina</t>
  </si>
  <si>
    <t>PFP2327R1R11</t>
  </si>
  <si>
    <t>Manovacuómetro Winters Serie PFP Premium, dial 6", -30"Hg/0/15 psi &amp; -1/0/1 bar, 1/2"NPT inferior, caja Ac. Inox 304, internos Ac. Inox. 316, clase 1%, aro bayoneta, con glicerina.</t>
  </si>
  <si>
    <t>PFP2327R3R1</t>
  </si>
  <si>
    <t>Manovacuómetro Winters Serie PFP Premium, -1/0/1 Kg/cm2 &amp; -30"Hg/0/15 psi, dial 6", 1/2"NPT inferior, caja Ac. Inox 304, internos Ac. Inox. 316, clase 1%, aro bayoneta con glicerina</t>
  </si>
  <si>
    <t>PFP2328R1R11</t>
  </si>
  <si>
    <t>Manovacuómetro Winters Serie PFP Premium, dial 6", -30"Hg/0/30 psi &amp; -1/0/2 bar, 1/2"NPT inferior, caja Ac. Inox 304, internos Ac. Inox. 316, clase 1%, aro bayoneta, con glicerina.</t>
  </si>
  <si>
    <t>PFP2329R1R11</t>
  </si>
  <si>
    <t>Manovacuómetro Winters Serie PFP Premium, dial 6", -30"Hg/0/60 psi &amp; -1/0/4 bar, 1/2"NPT inferior, caja Ac. Inox 304, internos Ac. Inox. 316, clase 1%, aro bayoneta, con glicerina.</t>
  </si>
  <si>
    <t>PFP2329R3R1</t>
  </si>
  <si>
    <t>Manovacuómetro Winters Serie PFP Premium, -1/0/4 Kg/cm2 &amp; -30"Hg/0/60 psi, dial 6", 1/2"NPT inferior, caja Ac. Inox 304, internos Ac. Inox. 316, clase 1%, aro bayoneta con glicerina</t>
  </si>
  <si>
    <t>PFP2330R1R11</t>
  </si>
  <si>
    <t>Manovacuómetro Winters Serie PFP Premium, dial 6", -30"Hg/0/100 psi &amp; -1/0/7 bar, 1/2"NPT inferior, caja Ac. Inox 304, internos Ac. Inox. 316, clase 1%, aro bayoneta, con glicerina.</t>
  </si>
  <si>
    <t>PFP2330R3R1</t>
  </si>
  <si>
    <t>Manovacuómetro Winters Serie PFP Premium, -1/0/7 Kg/cm2 &amp; -30"Hg/0/100 psi, dial 6", 1/2"NPT inferior, caja Ac. Inox 304, internos Ac. Inox. 316, clase 1%, aro bayoneta con glicerina</t>
  </si>
  <si>
    <t>PFP2331R1R11</t>
  </si>
  <si>
    <t>Manovacuómetro Winters Serie PFP Premium, dial 6", -30"Hg/0/100 psi &amp; -1/0/10 bar, 1/2"NPT inferior, caja Ac. Inox 304, internos Ac. Inox. 316, clase 1%, aro bayoneta, con glicerina.</t>
  </si>
  <si>
    <t>PFP2331R3R1</t>
  </si>
  <si>
    <t>Manovacuómetro Winters Serie PFP Premium, -1/0/10 Kg/cm2 &amp; -30"Hg/0/150 psi, dial 6", 1/2"NPT inferior, caja Ac. Inox 304, internos Ac. Inox. 316, clase 1%, aro bayoneta con glicerina</t>
  </si>
  <si>
    <t>PFP2332R1R11</t>
  </si>
  <si>
    <t>Manovacuómetro Winters Serie PFP Premium, dial 6", -30"Hg/0/200 psi &amp; -1/0/14 bar, 1/2"NPT inferior, caja Ac. Inox 304, internos Ac. Inox. 316, clase 1%, aro bayoneta, con glicerina.</t>
  </si>
  <si>
    <t>PFP2333R1R11</t>
  </si>
  <si>
    <t>Manovacuómetro Winters Serie PFP Premium, dial 6", -30"Hg/0/300 psi &amp; -1/0/20 bar, 1/2"NPT inferior, caja Ac. Inox 304, internos Ac. Inox. 316, clase 1%, aro bayoneta, con glicerina.</t>
  </si>
  <si>
    <t>PFP2334R1R11</t>
  </si>
  <si>
    <t>Manómetro Winters Serie PFP Premium, dial 6", 0/15 psi &amp; 0/1 bar, 1/2"NPT inferior, caja Ac. Inox 304, internos Ac. Inox. 316, clase 1%, aro bayoneta, con glicerina.</t>
  </si>
  <si>
    <t>PFP2334R3R1</t>
  </si>
  <si>
    <t>Manómetro Winters Serie PFP Premium, 0/1 Kg/cm2 &amp; 0/15 psi, dial 6", 1/2"NPT inferior, caja Ac. Inox 304, internos Ac. Inox. 316, clase 1%, aro bayoneta, con glicerina</t>
  </si>
  <si>
    <t>PFP2335R1R11</t>
  </si>
  <si>
    <t>Manómetro Winters Serie PFP Premium, dial 6", 0/30 psi &amp; 0/2 bar, 1/2"NPT inferior, caja Ac. Inox 304, internos Ac. Inox. 316, clase 1%, aro bayoneta, con glicerina.</t>
  </si>
  <si>
    <t>PFP2335R3R1</t>
  </si>
  <si>
    <t>Manómetro Winters Serie PFP Premium, 0/2 Kg/cm2 &amp; 0/30 psi, dial 6", 1/2"NPT inferior, caja Ac. Inox 304, internos Ac. Inox. 316, clase 1%, aro bayoneta con glicerina.</t>
  </si>
  <si>
    <t>PFP2335R3R1S</t>
  </si>
  <si>
    <t>Manovacuómetro Winters Serie PFP Premium, 0/2,5 Kg/cm2 &amp; 0/36 psi, dial 6", 1/2"NPT inferior, caja Ac. Inox 304, internos Ac. Inox. 316, clase 1%, aro bayoneta con glicerina.</t>
  </si>
  <si>
    <t>PFP2336R1R11</t>
  </si>
  <si>
    <t>Manómetro Winters Serie PFP Premium, dial 6", 0/60 psi &amp; 0/4 bar, 1/2"NPT inferior, caja Ac. Inox 304, internos Ac. Inox. 316, clase 1%, aro bayoneta, con glicerina.</t>
  </si>
  <si>
    <t>PFP2336R3R1</t>
  </si>
  <si>
    <t>Manovacuómetro Winters Serie PFP Premium, 0/4 Kg/cm2 &amp; 0/60 psi, dial 6", 1/2"NPT inferior, caja Ac. Inox 304, internos Ac. Inox. 316, clase 1%, aro bayoneta, con glicerina</t>
  </si>
  <si>
    <t>PFP2337R1R11</t>
  </si>
  <si>
    <t>Manómetro Winters Serie PFP Premium, dial 6", 0/100 psi &amp; 0/7 bar, 1/2"NPT inferior, caja Ac. Inox 304, internos Ac. Inox. 316, clase 1%, aro bayoneta, con glicerina.</t>
  </si>
  <si>
    <t>PFP2337R3R1</t>
  </si>
  <si>
    <t>Manómetro Winters Serie PFP Premium, 0/7 Kg/cm2 &amp; 0/100 psi, dial 6", 1/2"NPT inferior, caja Ac. Inox 304, internos Ac. Inox. 316, clase 1%, aro bayoneta, con glicerina</t>
  </si>
  <si>
    <t>PFP2338R3R1</t>
  </si>
  <si>
    <t>Manómetro Winters Serie PFP Premium, 0/10 Kg/cm2 &amp; 0/150 psi, dial 6", 1/2"NPT inferior, caja Ac. Inox 304, internos Ac. Inox. 316, clase 1%, aro bayoneta con glicerina.</t>
  </si>
  <si>
    <t>PFP2338R3</t>
  </si>
  <si>
    <t>Manómetro Winters Serie PFP Premium, 0/10 kg/cm2, dial 6", 1/2" NPT inferior, caja Ac. Inox 304, internos Ac. Inox. 316, clase 1%, aro bayonet, con glicerina.</t>
  </si>
  <si>
    <t>PFP2338R1R11</t>
  </si>
  <si>
    <t>Manómetro Winters Serie PFP Premium, dial 6", 0/160 psi &amp; 0/11 bar, 1/2"NPT inferior, caja Ac. Inox 304, internos Ac. Inox. 316, clase 1%, aro bayoneta, con glicerina.</t>
  </si>
  <si>
    <t>PFP2339R1R11</t>
  </si>
  <si>
    <t>Manómetro Winters Serie PFP Premium, dial 6", 0/200 psi &amp; 0/14 bar, 1/2"NPT inferior, caja Ac. Inox 304, internos Ac. Inox. 316, clase 1%, aro bayoneta, con glicerina.</t>
  </si>
  <si>
    <t>PFP2339R3R1</t>
  </si>
  <si>
    <t>Manómetro Winters Serie PFP Premium, 0/14 Kg/cm2 &amp; 0/200 psi, dial 6", 1/2"NPT inferior, caja Ac. Inox 304, internos Ac. Inox. 316, clase 1%, aro bayoneta, con glicerina.</t>
  </si>
  <si>
    <t>PFP2340R1R11</t>
  </si>
  <si>
    <t>Manómetro Winters Serie PFP Premium, dial 6", 0/300 psi &amp; 0/20 bar, 1/2"NPT inferior, caja Ac. Inox 304, internos Ac. Inox. 316, clase 1%, aro bayoneta, con glicerina.</t>
  </si>
  <si>
    <t>PFP2340R3R1</t>
  </si>
  <si>
    <t>Manómetro Winters Serie PFP Premium, 0/20 Kg/cm2 &amp; 0/300 psi, dial 6", 1/2"NPT inferior, caja Ac. Inox 304, internos Ac. Inox. 316, clase 1%, aro bayoneta, con glicerina</t>
  </si>
  <si>
    <t>PFP2340R3R1S</t>
  </si>
  <si>
    <t>Manómetro Winters Serie PFP Premium, 0/25 Kg/cm2 &amp; 0/360 psi, dial 6", 1/2"NPT inferior, caja Ac. Inox 304, internos Ac. Inox. 316, clase 1%, aro bayoneta, con glicerina</t>
  </si>
  <si>
    <t>PFP2341R1R11</t>
  </si>
  <si>
    <t>Manómetro Winters Serie PFP Premium, dial 6", 0/400 psi &amp; 0/30 bar, 1/2"NPT inferior, caja Ac. Inox 304, internos Ac. Inox. 316, clase 1%, aro bayoneta, con glicerina.</t>
  </si>
  <si>
    <t>PFP2342R1R11</t>
  </si>
  <si>
    <t>Manómetro Winters Serie PFP Premium, dial 6", 0/600 psi &amp; 0/40 bar, 1/2"NPT inferior, caja Ac. Inox 304, internos Ac. Inox. 316, clase 1%, aro bayoneta, con glicerina.</t>
  </si>
  <si>
    <t>PFP2342R3R1</t>
  </si>
  <si>
    <t>Manovacuómetro Winters Serie PFP Premium, 0/40 Kg/cm2 &amp; 0/600 psi, dial 6", 1/2"NPT inferior, caja Ac. Inox 304, internos Ac. Inox. 316, clase 1%, aro bayoneta, con glicerina</t>
  </si>
  <si>
    <t>PFP1080R1R11</t>
  </si>
  <si>
    <t>Manómetro Winters Serie PFP Premium, dial 6", 0/1.000 psi &amp; 0/70 bar, 1/2"NPT inferior, caja Ac. Inox 304, internos Ac. Inox. 316, clase 1%, aro bayoneta, con glicerina.</t>
  </si>
  <si>
    <t>PFP1080R3</t>
  </si>
  <si>
    <t>Manómetro Winters Serie PFP Premium, 0/70 Kg/cm2, dial 6", 1/2"NPT inferior, caja Ac. Inox 304, internos Ac. Inox. 316, clase 1%, aro bayoneta, con glicerina</t>
  </si>
  <si>
    <t>PFP1080R3R1</t>
  </si>
  <si>
    <t>Manómetro Winters Serie PFP Premium, 0/70 Kg/cm2 &amp; 0/1.000 psi, dial 6", 1/2"NPT inferior, caja Ac. Inox 304, internos Ac. Inox. 316, clase 1%, aro bayoneta, con glicerina</t>
  </si>
  <si>
    <t>PFP1081R1R11</t>
  </si>
  <si>
    <t>Manómetro Winters Serie PFP Premium, dial 6", 0/1.500 psi &amp; 0/100 bar, 1/2"NPT inferior, caja Ac. Inox 304, internos Ac. Inox. 316, clase 1%, aro bayoneta, con glicerina.</t>
  </si>
  <si>
    <t>PFP1081R3R1</t>
  </si>
  <si>
    <t>Manómetro Winters Serie PFP Premium, 0/100 Kg/cm2 &amp; 0/1.500 psi, dial 6", 1/2"NPT inferior, caja Ac. Inox 304, internos Ac. Inox. 316, clase 1%, aro bayoneta, con glicerina</t>
  </si>
  <si>
    <t>PFP1082R1R11</t>
  </si>
  <si>
    <t>Manómetro Winters Serie PFP Premium, dial 6", 0/2.000 psi &amp; 0/140 bar, 1/2"NPT inferior, caja Ac. Inox 304, internos Ac. Inox. 316, clase 1%, aro bayoneta, con glicerina.</t>
  </si>
  <si>
    <t>PFP1082R3R1</t>
  </si>
  <si>
    <t>Manómetro Winters Serie PFP Premium, 0/140 Kg/cm2 &amp; 0/2.000 psi, dial 6", 1/2"NPT inferior, caja Ac. Inox 304, internos Ac. Inox. 316, clase 1%, aro bayoneta, con glicerina</t>
  </si>
  <si>
    <t>PFP1083R1R11</t>
  </si>
  <si>
    <t>Manómetro Winters Serie PFP Premium, dial 6", 0/3.000 psi &amp; 0/200 bar, 1/2"NPT inferior, caja Ac. Inox 304, internos Ac. Inox. 316, clase 1%, aro bayoneta, con glicerina.</t>
  </si>
  <si>
    <t>PFP1083R3R1</t>
  </si>
  <si>
    <t>Manómetro Winters Serie PFP Premium, 0/200 Kg/cm2 &amp; 0/3.000 psi, dial 6", 1/2"NPT inferior, caja Ac. Inox 304, internos Ac. Inox. 316, clase 1%, aro bayoneta, con gli</t>
  </si>
  <si>
    <t>PFP1084R1R11</t>
  </si>
  <si>
    <t>Manómetro Winters Serie PFP Premium, dial 6", 0/4.000 psi &amp; 0/275 bar, 1/2"NPT inferior, caja Ac. Inox 304, internos Ac. Inox. 316, clase 1%, aro bayoneta, con glicerina.</t>
  </si>
  <si>
    <t>PFP1085R1R11</t>
  </si>
  <si>
    <t>Manómetro Winters Serie PFP Premium, dial 6", 0/5.000 psi &amp; 0/350 bar, 1/2"NPT inferior, caja Ac. Inox 304, internos Ac. Inox. 316, clase 1%, aro bayoneta, con glicerina.</t>
  </si>
  <si>
    <t>PFP1089R1R11</t>
  </si>
  <si>
    <t>Manómetro Winters Serie PFP Premium, dial 6", 0/6.000 psi &amp; 0/400 bar, 1/2"NPT inferior, caja Ac. Inox 304, internos Ac. Inox. 316, clase 1%, aro bayoneta, con glicerina.</t>
  </si>
  <si>
    <t>PFP1089R3R1</t>
  </si>
  <si>
    <t>Manómetro Winters Serie PFP Premium, 0/400 Kg/cm2 &amp; 0/6.000 psi, dial 6", 1/2"NPT inferior, caja Ac. Inox 304, internos Ac. Inox. 316, clase 1%, aro bayoneta, con glicerina</t>
  </si>
  <si>
    <t>PFP1086R3R1</t>
  </si>
  <si>
    <t>Manómetro Winters Serie PFP Premium, 0/600 Kg/cm2 &amp; 0/8.700 psi, dial 6", 1/2"NPT inferior, caja Ac. Inox 304, internos Ac. Inox. 316, clase 1%, aro bayoneta. con glicerina</t>
  </si>
  <si>
    <t>PFP1086R1R11</t>
  </si>
  <si>
    <t>Manómetro Winters Serie PFP Premium, dial 6", 0/10.000 psi &amp; 0/700 bar, 1/2"NPT inferior, caja Ac. Inox 304, internos Ac. Inox. 316, clase 1%, aro bayoneta, con glicerina.</t>
  </si>
  <si>
    <t>PFP1087R1R11</t>
  </si>
  <si>
    <t>Manómetro Winters Serie PFP Premium, dial 6", 0/15.000 psi &amp; 0/1.000 bar, 1/2"NPT inferior, caja Ac. Inox 304, internos Ac. Inox. 316, clase 1%, aro bayoneta, con glicerina.</t>
  </si>
  <si>
    <t>PFP1088R1R11</t>
  </si>
  <si>
    <t>Manómetro Winters Serie PFP Premium, dial 6", 0/20.000 psi &amp; 0/1.400 bar, 1/2"NPT inferior, caja Ac. Inox 304, internos Ac. Inox. 316, clase 1%, aro bayoneta, con glicerina.</t>
  </si>
  <si>
    <t>PFP1169R1R11</t>
  </si>
  <si>
    <t>Manómetro Winters Serie PFP Premium, dial 6", 0/1.500 psi &amp; 0/100 bar, 1/2"NPT posterior, caja Ac. Inox 304, internos Ac. Inox. 316, clase 1%, aro bayoneta, con glicerina.</t>
  </si>
  <si>
    <t>PFP1169R3R1</t>
  </si>
  <si>
    <t>Manómetro Winters Serie PFP Premium, dial 6", 0/100 Kg/cm2 &amp; 0/1.500 psi, 1/2"NPT posterior, caja Ac. Inox 304, internos Ac. Inox. 316, clase 1%, aro bayoneta, con glicerina.</t>
  </si>
  <si>
    <t>PFP1169R3-SG-6+6FF</t>
  </si>
  <si>
    <t>Manómetro Winters Serie PFP Premium, dial 6", 0/100 Kg/cm2, 1/2"NPT posterior, caja Ac. Inox 304, internos Ac. Inox. 316, clase 1%, con glicerina, con vidrio de Seguridad y pestaña se sujeción 6FF.</t>
  </si>
  <si>
    <t>PFP1170R1R11</t>
  </si>
  <si>
    <t>Manómetro Winters Serie PFP Premium, dial 6", 0/2.000 psi &amp; 0/140 bar, 1/2"NPT posterior, caja Ac. Inox 304, internos Ac. Inox. 316, clase 1%, aro bayoneta, con glicerina.</t>
  </si>
  <si>
    <t>PFP1171R1R11</t>
  </si>
  <si>
    <t>Manómetro Winters Serie PFP Premium, dial 6", 0/3.000 psi &amp; 0/200 bar, 1/2"NPT posterior, caja Ac. Inox 304, internos Ac. Inox. 316, clase 1%, aro bayoneta, con glicerina.</t>
  </si>
  <si>
    <t>PFP1171R3R1</t>
  </si>
  <si>
    <t>Manómetro Winters Serie PFP Premium, dial 6", 0/200 Kg/cm2 &amp; 0/3.000 psi, 1/2"NPT posterior, caja Ac. Inox 304, internos Ac. Inox. 316, clase 1%, aro bayoneta, con glicerina.</t>
  </si>
  <si>
    <t>PFP1172R1R11</t>
  </si>
  <si>
    <t>Manómetro Winters Serie PFP Premium, dial 6", 0/5.000 psi &amp; 0/350 bar, 1/2"NPT posterior, caja Ac. Inox 304, internos Ac. Inox. 316, clase 1%, aro bayoneta, con glicerina.</t>
  </si>
  <si>
    <t>PFP1176R1R11</t>
  </si>
  <si>
    <t>Manómetro Winters Serie PFP Premium, dial 6", 0/6.000 psi &amp; 0/400 bar, 1/2"NPT posterior, caja Ac. Inox 304, internos Ac. Inox. 316, clase 1%, aro bayoneta, con glicerina.</t>
  </si>
  <si>
    <t>PFP1173R1R11</t>
  </si>
  <si>
    <t>Manómetro Winters Serie PFP Premium, dial 6", 0/10.000 psi &amp; 0/700 bar, 1/2"NPT posterior, caja Ac. Inox 304, internos Ac. Inox. 316, clase 1%, aro bayoneta, con glicerina.</t>
  </si>
  <si>
    <t>PFP1174R1R11</t>
  </si>
  <si>
    <t>Manómetro Winters Serie PFP Premium, dial 6", 0/15.000 psi &amp; 0/1.000 bar, 1/2"NPT posterior, caja Ac. Inox 304, internos Ac. Inox. 316, clase 1%, aro bayoneta, con glicerina.</t>
  </si>
  <si>
    <t>PFP1175R1R11</t>
  </si>
  <si>
    <t>Manómetro Winters Serie PFP Premium, dial 6", 0/20.000 psi &amp; 0/1.400 bar, 1/2"NPT posterior, caja Ac. Inox 304, internos Ac. Inox. 316, clase 1%, aro bayoneta, con glicerina.</t>
  </si>
  <si>
    <t>PFP655R6R11-10INCH</t>
  </si>
  <si>
    <t>Vacuómetro Winters Serie PFP Premium, dial 10", -30/0"Hg &amp; -1/0 bar, 1/2"NPT inferior, caja Ac. Inox 304, internos Ac. Inox. 316, clase 1%, seco</t>
  </si>
  <si>
    <t>PFP1044R1R11-10INCH</t>
  </si>
  <si>
    <t>Manovacuómetro Winters Serie PFP Premium, dial 10", -30"Hg/0/15 psi &amp; -1/0/1 bar, 1/2"NPT inferior, caja Ac. Inox 304, internos Ac. Inox. 316, clase 1%, aro bayoneta, seco</t>
  </si>
  <si>
    <t>PFP2033R11+TP+TC</t>
  </si>
  <si>
    <t>Manovacuómetro Winters Serie PFP Premium dial 10", -1/0/10 bar, 1/2" NPT inferior caja Ac. Inox 304, internos Ac. Inox. 316, clase 1%, aro bayoneta + TAG PLATE + TC, con glicerina</t>
  </si>
  <si>
    <t>PFP2031R11R1DRY-1/2</t>
  </si>
  <si>
    <t>Manómetro Winters PFP Serie Premium, dial 10", 0/7 bar &amp; 0/100 psi 1/2" NPT inferior, caja Ac. Inox 304, internos Ac. Inox. 316, clase 1%, aro bayoneta, seco</t>
  </si>
  <si>
    <t>PFP2032R11R1DRY-1/2</t>
  </si>
  <si>
    <t>Manómetro Winters PFP Serie Premium, dial 10", 0/10 bar &amp; 0/140 psi 1/2" NPT inferior, caja Ac. Inox 304, internos Ac. Inox. 316, clase 1%, aro bayoneta, seco</t>
  </si>
  <si>
    <t>PFP2033R11R1DRY-1/2</t>
  </si>
  <si>
    <t>Manómetro Winters PFP Serie Premium, dial 10", 0/16 bar &amp; 0/230 psi 1/2" NPT inferior, caja Ac. Inox 304, internos Ac. Inox. 316, clase 1%, aro bayoneta, seco</t>
  </si>
  <si>
    <t>PFP2035R11R1DRY-1/2</t>
  </si>
  <si>
    <t>Manómetro Winters PFP Serie Premium, dial 10", 0/25 bar &amp; 0/350 psi 1/2" NPT inferior, caja Ac. Inox 304, internos Ac. Inox. 316, clase 1%, aro bayoneta, seco</t>
  </si>
  <si>
    <t>PFP2036R11R1DRY-1/2</t>
  </si>
  <si>
    <t>Manómetro Winters PFP Serie Premium, dial 10", 0/40 bar &amp; 0/600 psi, 1/2" NPT inferior, caja Ac. Inox 304, internos Ac. Inox. 316, clase 1%, aro bayoneta, seco</t>
  </si>
  <si>
    <t>PFP2046R11R1DRY-1/2</t>
  </si>
  <si>
    <t>Manómetro Winters Serie PFP Premium, dial 10", 0/1.500 psi &amp; 0/100 bar, 1/2"NPT inferior, caja Ac. Inox 304, internos Ac. Inox. 316, clase 1%, aro bayoneta, seco</t>
  </si>
  <si>
    <t>PFP2034R1R11DRY-1/2</t>
  </si>
  <si>
    <t>Manómetro Winters Serie PFP Premium, dial 10", 0/300 psi &amp; 0/20 bar, 1/2"NPT posterior, caja Ac. Inox 304, internos Ac. Inox. 316, clase 1%, aro bayoneta, seco</t>
  </si>
  <si>
    <t>PFP820ZRR6R11</t>
  </si>
  <si>
    <t>Vacuómetro Winters Serie PFP-ZR Premium STABILIZR®, dial 2,5", -30/0"Hg &amp; -1/0 bar, 1/4" NPT inferior, caja Ac. Inox 304, internos Ac. Inox. 316, clase 1,5%, aro bayoneta.</t>
  </si>
  <si>
    <t>PFP820ZRR7R6</t>
  </si>
  <si>
    <t>Vacuómetro Winters Serie PFP-ZR Premium STABILIZR®, dial 2,5", -760 mmHg/0 &amp; -30/0"Hg, 1/4" NPT inferior, caja Ac. Inox 304, internos Ac. Inox. 316, clase 1,5%, aro bayoneta.</t>
  </si>
  <si>
    <t>PFP860ZRR1R11</t>
  </si>
  <si>
    <t>Manovacuómetro Winters Serie PFP-ZR Premium STABILIZR®, dial 2,5", -30"Hg/0/15 psi &amp; -1/0/1 bar, 1/4" NPT inferior, caja Ac. Inox. 304., internos Ac. Inox. 316, clase 1,5%, aro bayoneta.</t>
  </si>
  <si>
    <t>PFP860ZRR11R1</t>
  </si>
  <si>
    <t>Manovacuómetro Winters Serie PFP-ZR Premium STABILIZR®, dial 2,5", -1/0/1 bar &amp; -30"Hg/0/15 psi, 1/4" NPT inferior, caja Ac. Inox. 304, internos Ac. Inox. 316, clase 1,5%, aro bayoneta.</t>
  </si>
  <si>
    <t>PFP861ZRR1R11</t>
  </si>
  <si>
    <t>Manovacuómetro Winters Serie PFP-ZR Premium STABILIZR®, dial 2,5", -30"Hg/0/30 psi &amp; -1/0/2 bar, 1/4" NPT inferior, caja Ac. Inox. 304., internos Ac. Inox. 316, clase 1,5%, aro bayoneta.</t>
  </si>
  <si>
    <t>PFP861ZRR11R1</t>
  </si>
  <si>
    <t>Manovacuómetro Winters Serie PFP-ZR Premium STABILIZR®, dial 2,5", -1/0/2 bar &amp; -30"Hg/0/30 psi, 1/4" NPT inferior, caja Ac. Inox. 304, internos Ac. Inox. 316, clase 1,5%, aro bayoneta.</t>
  </si>
  <si>
    <t>PFP862ZRR1R11</t>
  </si>
  <si>
    <t>Manovacuómetro Winters Serie PFP-ZR Premium STABILIZR®, dial 2,5", -30"Hg/0/60 psi &amp; -1/0/4 bar, 1/4" NPT inferior, caja Ac. Inox. 304., internos Ac. Inox. 316, clase 1,5%, aro bayoneta.</t>
  </si>
  <si>
    <t>PFP862ZRR11R1</t>
  </si>
  <si>
    <t>Manovacuómetro Winters Serie PFP-ZR Premium STABILIZR®, dial 2,5", -1/0/4 bar &amp; -30"Hg/0/60 psi, 1/4" NPT inferior, caja Ac. Inox. 304, internos Ac. Inox. 316, clase 1,5%, aro bayoneta.</t>
  </si>
  <si>
    <t>PFP863ZRR1R11</t>
  </si>
  <si>
    <t>Manovacuómetro Winters Serie PFP-ZR Premium STABILIZR®, dial 2,5", -30"Hg/0/100 psi &amp; -1/0/7 bar, 1/4" NPT inferior, caja Ac. Inox. 304., internos Ac. Inox. 316, clase 1,5%, aro bayoneta.</t>
  </si>
  <si>
    <t>PFP863ZRR11R1</t>
  </si>
  <si>
    <t>Manovacuómetro Winters Serie PFP-ZR Premium STABILIZR®, dial 2,5", -1/0/7 bar &amp; -1/0/100 psi, 1/4" NPT inferior, caja Ac. Inox. 304, internos Ac. Inox. 316, clase 1,5%, aro bayoneta.</t>
  </si>
  <si>
    <t>PFP864ZRR1R11</t>
  </si>
  <si>
    <t>Manovacuómetro Winters Serie PFP-ZR Premium STABILIZR®, dial 2,5", -30"Hg/0/100 psi &amp; -1/0/10 bar, 1/4" NPT inferior, caja Ac. Inox. 304., internos Ac. Inox. 316, clase 1,5%, aro bayoneta.</t>
  </si>
  <si>
    <t>PFP864ZRR11R1</t>
  </si>
  <si>
    <t>Manovacuómetro Winters Serie PFP-ZR Premium STABILIZR®, dial 2,5", -1/0/10 bar &amp; -30inHg/0/150 psi, 1/4" NPT inferior, caja Ac. Inox. 304, internos Ac. Inox. 316, clase 1,5%, aro bayoneta.</t>
  </si>
  <si>
    <t>PFP866ZRR1R11</t>
  </si>
  <si>
    <t>Manovacuómetro Winters Serie PFP-ZR Premium STABILIZR®, dial 2,5", -30"Hg/0/200 psi &amp; -1/0/14 bar, 1/4" NPT inferior, caja Ac. Inox. 304., internos Ac. Inox. 316, clase 1,5%, aro bayoneta.</t>
  </si>
  <si>
    <t>PFP867ZRR1R11</t>
  </si>
  <si>
    <t>Manovacuómetro Winters Serie PFP-ZR Premium STABILIZR®, dial 2,5", -30"Hg/0/300 psi &amp; -1/0/20 bar, 1/4" NPT inferior, caja Ac. Inox. 304., internos Ac. Inox. 316, clase 1,5%, aro bayoneta.</t>
  </si>
  <si>
    <t>PFP821ZRR1R11</t>
  </si>
  <si>
    <t>Manómetro Winters Serie PFP-ZR Premium STABILIZR®, dial 2,5", 0/15 psi &amp; 0/1 bar, 1/4" NPT inferior, caja Ac. Inox. 304., internos Ac. Inox. 316, clase 1,5%, aro bayoneta.</t>
  </si>
  <si>
    <t>PFP821ZRR3R1-SG-25</t>
  </si>
  <si>
    <t>Manómetro Winters Serie PFP-ZR Premium STABILIZR®, dial 2,5", 0/1 Kg/cm2 &amp; 0/15 psi, 1/4" NPT inferior, caja Ac. Inox. 304, internos Ac. Inox. 316, clase 1,5%, aro bayoneta, con vidrio de seguridad.</t>
  </si>
  <si>
    <t>PFP822ZRR1R11</t>
  </si>
  <si>
    <t>Manómetro Winters Serie PFP-ZR Premium STABILIZR®, dial 2,5", 0/30 psi &amp; 0/2 bar, 1/4" NPT inferior, caja Ac. Inox. 304., internos Ac. Inox. 316, clase 1,5%, aro bayoneta.</t>
  </si>
  <si>
    <t>PFP822ZRR3R1S-SG-25</t>
  </si>
  <si>
    <t>Manómetro Winters Serie PFP-ZR Premium STABILIZR®, dial 2,5", 0/1,6 kg/cm2 &amp; 0/23 psi, 1/4" NPT inferior, caja Ac. Inox. 304, internos Ac. Inox. 316, clase 1,5%, aro bayoneta, con vidrio de seguridad.</t>
  </si>
  <si>
    <t>PFP822ZRR11R1</t>
  </si>
  <si>
    <t>Manómetro Winters Serie PFP-ZR Premium STABILIZR®, dial 2,5", 0/2 bar &amp; 0/30 psi, 1/4" NPT inferior, caja Ac. Inox. 304, internos Ac. Inox. 316, clase 1,5%, aro bayoneta.</t>
  </si>
  <si>
    <t>PFP823ZRR3R1S-SG-25</t>
  </si>
  <si>
    <t>Manómetro Winters Serie PFP-ZR Premium STABILIZR®, dial 2,5", 0/2,5 Kg/cm2 &amp; 0/35 psi, 1/4" NPT inferior, caja Ac. Inox. 304, internos Ac. Inox. 316, clase 1,5%, aro bayoneta, con vidrio de seguridad.</t>
  </si>
  <si>
    <t>PFP823ZRR1R11</t>
  </si>
  <si>
    <t>Manómetro Winters Serie PFP-ZR Premium STABILIZR®, dial 2,5", 0/60 psi &amp; 0/4 bar, 1/4" NPT inferior, caja Ac. Inox. 304., internos Ac. Inox. 316, clase 1,5%, aro bayoneta.</t>
  </si>
  <si>
    <t>PFP823ZRR11R1</t>
  </si>
  <si>
    <t>Manómetro Winters Serie PFP-ZR Premium STABILIZR®, dial 2,5", 0/4 bar &amp; 0/60 psi, 1/4" NPT inferior, caja Ac. Inox. 304, internos Ac. Inox. 316, clase 1,5%, aro bayoneta.</t>
  </si>
  <si>
    <t>PFP823ZRR3R1-SG-25</t>
  </si>
  <si>
    <t>Manómetro Winters Serie PFP-ZR Premium STABILIZR®, dial 2,5", 0/4 Kg/cm2 &amp; 0/60 psi, 1/4" NPT inferior, caja Ac. Inox. 304, internos Ac. Inox. 316, clase 1,5%, aro bayoneta, con vidrio de seguridad.</t>
  </si>
  <si>
    <t>PFP824ZRR3R1S-SG-25</t>
  </si>
  <si>
    <t>Manómetro Winters Serie PFP-ZR Premium STABILIZR®, dial 2,5", 0/6 kg/cm2 &amp; 0/90 psi, 1/4" NPT inferior, caja Ac. Inox. 304, internos Ac. Inox. 316, clase 1,5%, aro bayoneta, con vidrio de seguridad.</t>
  </si>
  <si>
    <t>PFP824ZRR1R11</t>
  </si>
  <si>
    <t>Manómetro Winters Serie PFP-ZR Premium STABILIZR®, dial 2,5", 0/100 psi &amp; 0/7 bar, 1/4" NPT inferior, caja Ac. Inox. 304, internos Ac. Inox. 316, clase 1,5%, aro bayoneta.</t>
  </si>
  <si>
    <t>PFP824ZRR11R1</t>
  </si>
  <si>
    <t>Manómetro Winters Serie PFP-ZR Premium STABILIZR®, dial 2,5", 0/7 bar &amp; 0/100 psi, 1/4" NPT inferior, caja Ac. Inox. 304, internos Ac. Inox. 316, clase 1,5%, aro bayoneta.</t>
  </si>
  <si>
    <t>PFP824ZRR1R3</t>
  </si>
  <si>
    <t>Manómetro Winters Serie PFP-ZR Premium STABILIZR®, dial 2,5", 0/100 psi &amp; 0/7 kg/cm2, 1/4" NPT inferior, caja Ac. Inox. 304, internos Ac. Inox. 316, clase 1,5%, aro bayoneta.</t>
  </si>
  <si>
    <t>PFP825ZRR11R1</t>
  </si>
  <si>
    <t>Manómetro Winters Serie PFP-ZR Premium STABILIZR®, dial 2,5", 0/10 bar &amp; 0/150 psi, 1/4" NPT inferior, caja Ac. Inox. 304, internos Inox. 316, clase 1,5%, aro bayoneta.</t>
  </si>
  <si>
    <t>PFP825ZRR3R1-SG-25</t>
  </si>
  <si>
    <t>Manómetro Winters Serie PFP-ZR Premium STABILIZR®, dial 2,5", 0/10 Kg/cm2 &amp; 0/150 psi, 1/4" NPT inferior, caja Ac. Inox. 304, internos Ac. Inox. 316, clase 1,5%, aro bayoneta, con vidrio de seguridad.</t>
  </si>
  <si>
    <t>PFP825ZRR1R11S</t>
  </si>
  <si>
    <t>Manómetro Winters Serie PFP-ZR Premium STABILIZR®, dial 2,5", 0/150 psi &amp; 0/10 bar, 1/4" NPT inferior, caja Ac. Inox. 304., internos Ac. Inox. 316, clase 1,5%, aro bayoneta.</t>
  </si>
  <si>
    <t>PFP825ZRR1R11</t>
  </si>
  <si>
    <t>Manómetro Winters Serie PFP-ZR Premium STABILIZR®, dial 2,5", 0/160 psi &amp; 0/11 bar, 1/4" NPT inferior, caja Ac. Inox. 304., internos Ac. Inox. 316, clase 1,5%, aro bayoneta.</t>
  </si>
  <si>
    <t>PFP826ZRR1R11</t>
  </si>
  <si>
    <t>Manómetro Winters Serie PFP-ZR Premium STABILIZR®, dial 2,5", 0/200 psi &amp; 0/14 bar, 1/4" NPT inferior, caja Ac. Inox. 304., internos Ac. Inox. 316, clase 1,5%, aro bayoneta.</t>
  </si>
  <si>
    <t>PFP826ZRR11R1</t>
  </si>
  <si>
    <t>Manómetro Winters Serie PFP-ZR Premium STABILIZR®, dial 2,5", 0/14 bar &amp; 0/200 psi, 1/4" NPT inferior, caja Ac. Inox. 304, internos Ac. Inox. 316, clase 1,5%, aro bayoneta.</t>
  </si>
  <si>
    <t>PFP827ZRR1R11</t>
  </si>
  <si>
    <t>Manómetro Winters Serie PFP-ZR Premium STABILIZR®, dial 2,5", 0/300 psi &amp; 0/20 bar, 1/4" NPT inferior, caja Ac. Inox. 304., internos Ac. Inox. 316, clase 1,5%, aro bayoneta.</t>
  </si>
  <si>
    <t>PFP827ZRR1R3</t>
  </si>
  <si>
    <t>Manómetro Winters Serie PFP-ZR Premium STABILIZR®, dial 2,5", 0/300 psi &amp; 0/20 kg/cm2, 1/4" NPT inferior, caja Ac. Inox. 304., internos Ac. Inox. 316, clase 1,5%, aro bayoneta.</t>
  </si>
  <si>
    <t>PFP827ZRR3R1S-SG-25</t>
  </si>
  <si>
    <t>Manómetro Winters Serie PFP-ZR Premium STABILIZR®, dial 2,5", 0/16 Kg/cm2 &amp; 0/230 psi, 1/4" NPT inferior, caja Ac. Inox. 304, internos Ac. Inox. 316, clase 1,5%, aro bayoneta, con vidrio de seguridad.</t>
  </si>
  <si>
    <t>PFP880ZRR3S-SG-25</t>
  </si>
  <si>
    <t>Manómetro Winters Serie PFP-ZR Premium STABILIZR®, dial 2,5", 0/25 kg/cm2, 1/4" NPT inferior, caja Ac. Inox. 304, internos Ac. Inox. 316, clase 1,5%, aro bayoneta, con vidrio de seguridad.</t>
  </si>
  <si>
    <t>PFP880ZRR3S-T-SG-25</t>
  </si>
  <si>
    <t>Manómetro Winters Serie PFP-ZR Premium STABILIZR®, dial 2,5", 0/25 kg/cm2, 1/4" NPT inferior, caja Ac. Inox. 304, internos Ac. Inox. 316, clase 1,5%, aro bayoneta, con tope fin escala, con vidrio de seguridad.</t>
  </si>
  <si>
    <t>PFP880ZRR3R1S-SG-25</t>
  </si>
  <si>
    <t>Manómetro Winters Serie PFP-ZR Premium STABILIZR®, dial 2,5", 0/25 kg/cm2 &amp; 0/350 psi, 1/4" NPT inferior, caja Ac. Inox. 304, internos Ac. Inox. 316, clase 1,5%, aro bayoneta, con tope fin escala, con vidrio de seguridad.</t>
  </si>
  <si>
    <t>PFP880ZRR1R11</t>
  </si>
  <si>
    <t>Manómetro Winters Serie PFP-ZR Premium STABILIZR®, dial 2,5", 0/400 psi &amp; 0/30 bar, 1/4" NPT inferior, caja Ac. Inox. 304., internos Ac. Inox. 316, clase 1,5%, aro bayoneta.</t>
  </si>
  <si>
    <t>PFP880ZRR11R1</t>
  </si>
  <si>
    <t>Manómetro Winters Serie PFP-ZR Premium STABILIZR®, dial 2,5", 0/30 bar &amp; 0/400 psi, 1/4" NPT inferior, caja Ac. Inox. 304, internos Ac. Inox. 316, clase 1,5%, aro bayoneta.</t>
  </si>
  <si>
    <t>PFP880ZRR1-SG-25</t>
  </si>
  <si>
    <t>Manómetro Winters Serie PFP-ZR Premium STABILIZR®, dial 2,5", 0/400 psi, 1/4" NPT inferior, caja Ac. Inox. 304, internos Ac. Inox. 316, clase 1,5%, aro bayoneta, con vidrio de seguridad</t>
  </si>
  <si>
    <t>PFP828ZRR1R11</t>
  </si>
  <si>
    <t>Manómetro Winters Serie PFP-ZR Premium STABILIZR®, dial 2,5", 0/600 psi &amp; 0/40 bar, 1/4" NPT inferior, caja Ac. Inox. 304., internos Ac. Inox. 316, clase 1,5%, aro bayoneta.</t>
  </si>
  <si>
    <t>PFP828ZRR3R1-SG-25</t>
  </si>
  <si>
    <t>Manómetro Winters Serie PFP-ZR Premium STABILIZR®, dial 2,5", 0/40 Kg/cm2 &amp; 0/600 psi, 1/4" NPT inferior, caja Ac. Inox. 304, internos Ac. Inox. 316, clase 1,5%, aro bayoneta, con vidrio de seguridad.</t>
  </si>
  <si>
    <t>PFP828ZRR3-T-SG-25</t>
  </si>
  <si>
    <t>Manómetro Winters Serie PFP-ZR Premium STABILIZR®, dial 2,5", 0/40 Kg/cm2, 1/4" NPT inferior, caja Ac. Inox. 304, internos Ac. Inox. 316, clase 1,5%, aro bayoneta, con tope fin escala, con vidrio de seguridad.</t>
  </si>
  <si>
    <t>PFP829ZRR3R1S1-SG-25</t>
  </si>
  <si>
    <t>Manómetro Winters Serie PFP-ZR Premium STABILIZR®, dial 2,5", 0/60 kg/cm2 &amp; 0/900 psi, 1/4" NPT inferior, caja Ac. Inox. 304, internos Ac. Inox. 316, clase 1,5%, aro bayoneta, con vidrio de seguridad.</t>
  </si>
  <si>
    <t>PFP829ZRR1R11</t>
  </si>
  <si>
    <t>Manómetro Winters Serie PFP-ZR Premium STABILIZR®, dial 2,5", 0/1.000 psi &amp; 0/70 bar, 1/4" NPT inferior, caja Ac. Inox. 304., internos Ac. Inox. 316, clase 1,5%, aro bayoneta.</t>
  </si>
  <si>
    <t>PFP829ZRR11R1</t>
  </si>
  <si>
    <t>Manómetro Winters Serie PFP-ZR Premium STABILIZR®, dial 2,5", 0/70 bar &amp; 0/1.000 psi, 1/4" NPT inferior, caja Ac. Inox. 304, internos Ac. Inox. 316, clase 1,5%, aro bayoneta.</t>
  </si>
  <si>
    <t>PFP834ZRR1R11</t>
  </si>
  <si>
    <t>Manómetro Winters Serie PFP-ZR Premium STABILIZR®, dial 2,5", 0/1.500 psi &amp; 0/100 bar, 1/4" NPT inferior, caja Ac. Inox. 304., internos Ac. Inox. 316, clase 1,5%, aro bayoneta.</t>
  </si>
  <si>
    <t>PFP834ZRR11R1</t>
  </si>
  <si>
    <t>Manómetro Winters Serie PFP-ZR Premium STABILIZR®, dial 2,5", 0/100 bar &amp; 0/1.500 psi, 1/4" NPT inferior, caja Ac. Inox. 304, internos Ac. Inox. 316, clase 1,5%, aro bayoneta.</t>
  </si>
  <si>
    <t>PFP834ZRR3R1-SG-25</t>
  </si>
  <si>
    <t>Manómetro Winters Serie PFP-ZR Premium STABILIZR®, dial 2,5", 0/100 Kg/cm2 &amp; 0/1.500 psi, 1/4" NPT inferior, caja Ac. Inox. 304, internos Ac. Inox. 316, clase 1,5%, aro bayoneta, con vidrio de seguridad.</t>
  </si>
  <si>
    <t>PFP830ZRR1R11</t>
  </si>
  <si>
    <t>Manómetro Winters Serie PFP-ZR Premium STABILIZR®, dial 2,5", 0/2.000 psi &amp; 0/140 bar, 1/4" NPT inferior, caja Ac. Inox. 304., internos Ac. Inox. 316, clase 1,5%, aro bayoneta.</t>
  </si>
  <si>
    <t>PFP830ZRR11R1</t>
  </si>
  <si>
    <t>Manómetro Winters Serie PFP-ZR Premium STABILIZR®, dial 2,5", 0/140 bar &amp; 0/2.000 psi, 1/4" NPT inferior, caja Ac. Inox. 304, internos Ac. Inox. 316, clase 1,5%, aro bayoneta.</t>
  </si>
  <si>
    <t>PFP831ZRR1R11</t>
  </si>
  <si>
    <t>Manómetro Winters Serie PFP-ZR Premium STABILIZR®, dial 2,5", 0/3.000 psi &amp; 0/200 bar, 1/4" NPT inferior, caja Ac. Inox. 304., internos Ac. Inox. 316, clase 1,5%, aro bayoneta.</t>
  </si>
  <si>
    <t>PFP831ZRR3R1S-SG-25</t>
  </si>
  <si>
    <t>Manómetro Winters Serie PFP-ZR Premium STABILIZR®, dial 2,5", 0/160 kg/cm2 &amp; 0/3.000 psi, 1/4" NPT inferior, caja Ac. Inox. 304, internos Ac. Inox. 316, clase 1,5%, aro bayoneta, con vidrio de seguridad.</t>
  </si>
  <si>
    <t>PFP832ZRR1R11</t>
  </si>
  <si>
    <t>Manómetro Winters Serie PFP-ZR Premium STABILIZR®, dial 2,5", 0/5.000 psi &amp; 0/350 bar, 1/4" NPT inferior, caja Ac. Inox. 304., internos Ac. Inox. 316, clase 1,5%, aro bayoneta.</t>
  </si>
  <si>
    <t>PFP836ZRR1R11</t>
  </si>
  <si>
    <t>Manómetro Winters Serie PFP-ZR Premium STABILIZR®, dial 2,5", 0/6.000 psi &amp; 0/400 bar, 1/4" NPT inferior, caja Ac. Inox. 304., internos Ac. Inox. 316, clase 1,5%, aro bayoneta.</t>
  </si>
  <si>
    <t>PFP836ZRR11R1</t>
  </si>
  <si>
    <t>Manómetro Winters Serie PFP-ZR Premium STABILIZR®, dial 2,5", 0/400 bar &amp; 0/6.000 psi, 1/4" NPT inferior, caja Ac. Inox. 304, internos Ac. Inox. 316, clase 1,5%, aro bayoneta.</t>
  </si>
  <si>
    <t>PFP833ZRR1R11</t>
  </si>
  <si>
    <t>Manómetro Winters Serie PFP-ZR Premium STABILIZR®, dial 2,5", 0/10.000 psi &amp; 0/700 bar, 1/4" NPT inferior, caja Ac. Inox. 304., internos Ac. Inox. 316, clase 1,5%, aro bayoneta.</t>
  </si>
  <si>
    <t>PFP833ZRR11R1</t>
  </si>
  <si>
    <t>Manómetro Winters Serie PFP-ZR Premium STABILIZR®, dial 2,5", 0/700 bar &amp; 0/10.000 psi, 1/4" NPT inferior, caja Ac. Inox. 304, internos Ac. Inox. 316, clase 1,5%, aro bayoneta.</t>
  </si>
  <si>
    <t>PFP835ZRR1R11</t>
  </si>
  <si>
    <t>Manómetro Winters Serie PFP-ZR Premium STABILIZR®, dial 2,5", 0/15.000 psi &amp; 0/1.000 bar, 1/4" NPT inferior, caja Ac. Inox. 304., internos Ac. Inox. 316, clase 1,5%, aro bayoneta.</t>
  </si>
  <si>
    <t>PFP835ZRR11R1</t>
  </si>
  <si>
    <t>Manómetro Winters Serie PFP-ZR Premium STABILIZR®, dial 2,5", 0/1.000 bar &amp; 0/15.000 psi, 1/4" NPT inferior, caja Ac. Inox. 304, internos Ac. Inox. 316, clase 1,5%, aro bayoneta.</t>
  </si>
  <si>
    <t>PFP837ZRR1R11</t>
  </si>
  <si>
    <t>Manómetro Winters Serie PFP-ZR Premium STABILIZR®, dial 2,5", 0/20.000 psi &amp; 0/1.400 bar, 1/4" NPT inferior, caja Ac. Inox. 304., internos Ac. Inox. 316, clase 1,5%, aro bayoneta.</t>
  </si>
  <si>
    <t>PFP840ZRR6R11</t>
  </si>
  <si>
    <t>Vacuómetro Winters Serie PFP-ZR Premium STABILIZR®, dial 2,5", -30/0"Hg &amp; -1/0 bar, 1/4" NPT posterior, caja Ac. Inox 304, internos Ac. Inox. 316, clase 1,5%, aro bayoneta.</t>
  </si>
  <si>
    <t>PFP840ZRR7R6</t>
  </si>
  <si>
    <t>Vacuómetro Winters Serie PFP-ZR Premium STABILIZR®, dial 2,5", -760 mmHg/0 &amp; -30/0"Hg, 1/4" NPT posterior, caja Ac. Inox 304, internos Ac. Inox. 316, clase 1,5%, aro bayoneta.</t>
  </si>
  <si>
    <t>PFP870ZRR1R11</t>
  </si>
  <si>
    <t>Manovacuómetro Winters Serie PFP-ZR Premium STABILIZR®, dial 2,5", -30"Hg/0/15 psi &amp; -1/0/1 bar, 1/4" NPT posterior, caja Ac. Inox. 304., internos Ac. Inox. 316, clase 1,5%, aro bayoneta.</t>
  </si>
  <si>
    <t>PFP871ZRR1R11</t>
  </si>
  <si>
    <t>Manovacuómetro Winters Serie PFP-ZR Premium STABILIZR®, dial 2,5", -30"Hg/0/30 psi &amp; -1/0/2 bar, 1/4" NPT posterior, caja Ac. Inox. 304., internos Ac. Inox. 316, clase 1,5%, aro bayoneta.</t>
  </si>
  <si>
    <t>PFP871ZRR11R1</t>
  </si>
  <si>
    <t>Manovacuómetro Winters Serie PFP-ZR Premium STABILIZR®, dial 2,5", -1/0/2 bar &amp; -30"Hg/0/30 psi, 1/4" NPT posterior, caja Ac. Inox. 304, internos Ac. Inox. 316, clase 1,5%, aro bayoneta.</t>
  </si>
  <si>
    <t>PFP872ZRR3R1S-SG-25</t>
  </si>
  <si>
    <t>Manovacuómetro Winters Serie PFP-ZR Premium STABILIZR®, dial 2,5", -1/0/3 kg/cm2 &amp; -30"Hg/0/45 psi, 1/4" NPT posterior, caja Ac. Inox. 304, internos Ac. Inox. 316, clase 1,5%, aro bayoneta, con vidrio de seguridad.</t>
  </si>
  <si>
    <t>PFP872ZRR1R11</t>
  </si>
  <si>
    <t>Manovacuómetro Winters Serie PFP-ZR Premium STABILIZR®, dial 2,5", -30"Hg/0/60 psi &amp; -1/0/4 bar, 1/4" NPT posterior, caja Ac. Inox. 304., internos Ac. Inox. 316, clase 1,5%, aro bayoneta.</t>
  </si>
  <si>
    <t>PFP872ZRR11R1</t>
  </si>
  <si>
    <t>Manovacuómetro Winters Serie PFP-ZR Premium STABILIZR®, dial 2,5", -1/0/4 bar &amp; -30"Hg/0/60 psi, 1/4" NPT posterior, caja Ac. Inox. 304, internos Ac. Inox. 316, clase 1,5%, aro bayoneta.</t>
  </si>
  <si>
    <t>PFP873ZRR1R11</t>
  </si>
  <si>
    <t>Manovacuómetro Winters Serie PFP-ZR Premium STABILIZR®, dial 2,5", -30"Hg/100 psi &amp; -1/0/7 bar, 1/4" NPT posterior, caja Ac. Inox. 304., internos Ac. Inox. 316, clase 1,5%, aro bayoneta.</t>
  </si>
  <si>
    <t>PFP873ZRR1R3+25BF</t>
  </si>
  <si>
    <t>Manovacuómetro Winters Serie PFP-ZR Premium STABILIZR®, dial 2,5", -30"Hg/100 psi &amp; -1/0/7 Kg/cm2, 1/4" NPT posterior, caja Ac. Inox. 304., internos Ac. Inox. 316, clase 1,5%, aro bayoneta, con brida posterior.</t>
  </si>
  <si>
    <t>PFP874ZRR1R11</t>
  </si>
  <si>
    <t>Manovacuómetro Winters Serie PFP-ZR Premium STABILIZR®, dial 2,5", -30"Hg/150 psi &amp; -1/0/10 bar, 1/4" NPT posterior, caja Ac. Inox. 304., internos Ac. Inox. 316, clase 1,5%, aro bayoneta.</t>
  </si>
  <si>
    <t>PFP874ZRR11R1</t>
  </si>
  <si>
    <t>Manovacuómetro Winters Serie PFP-ZR Premium STABILIZR®, dial 2,5", -1/0/10 bar &amp; -30"Hg/0/150 psi, 1/4" NPT posterior, caja Ac. Inox. 304, internos Ac. Inox. 316, clase 1,5%, aro bayoneta.</t>
  </si>
  <si>
    <t>PFP877ZRR1R11</t>
  </si>
  <si>
    <t>Manovacuómetro Winters Serie PFP-ZR Premium STABILIZR®, dial 2,5", -30"Hg/300 psi &amp; -1/0/20 bar, 1/4" NPT posterior, caja Ac. Inox. 304., internos Ac. Inox. 316, clase 1,5%, aro bayoneta.</t>
  </si>
  <si>
    <t>PFP921ZRR1R11</t>
  </si>
  <si>
    <t>Manómetro Winters Serie PFP-ZR Premium STABILIZR®, dial 2,5", 0/15 psi &amp; 0/1 bar, 1/4" NPT posterior, caja Ac. Inox. 304, internos Ac. Inox. 316, clase 1,5%, aro bayoneta.</t>
  </si>
  <si>
    <t>PFP921ZRR11R1</t>
  </si>
  <si>
    <t>Manómetro Winters Serie PFP-ZR Premium STABILIZR®, dial 2,5", 0/1 bar &amp; 0/15 psi, 1/4" NPT posterior, caja Ac. Inox. 304, internos Ac. Inox. 316, clase 1,5%, aro bayoneta.</t>
  </si>
  <si>
    <t>PFP921ZRR3R1-SG-25</t>
  </si>
  <si>
    <t>Manómetro Winters Serie PFP-ZR Premium STABILIZR®, dial 2,5", 0/1 Kg/cm2 &amp; 0/15 psi, 1/4" NPT posterior, caja Ac. Inox. 304, internos Ac. Inox. 316, clase 1,5%, aro bayoneta, con vidrio de seguridad.</t>
  </si>
  <si>
    <t>PFP922ZRR3R1S-SG-25</t>
  </si>
  <si>
    <t>Manómetro Winters Serie PFP-ZR Premium STABILIZR®, dial 2,5", 0/1,6 kg/cm2 &amp; 0/23 psi, 1/4" NPT posterior, caja Ac. Inox. 304, internos Ac. Inox. 316, clase 1,5%, aro bayoneta, con vidrio de seguridad.</t>
  </si>
  <si>
    <t>PFP922ZRR1R11</t>
  </si>
  <si>
    <t>Manómetro Winters Serie PFP-ZR Premium STABILIZR®, dial 2,5", 0/30 psi &amp; 0/2 bar, 1/4" NPT posterior, caja Ac. Inox. 304., internos Ac. Inox. 316, clase 1,5%, aro bayoneta.</t>
  </si>
  <si>
    <t>PFP922ZRR11R1</t>
  </si>
  <si>
    <t>Manómetro Winters Serie PFP-ZR Premium STABILIZR®, dial 2,5", 0/2 bar &amp; 0/30 psi, 1/4" NPT posterior, caja Ac. Inox. 304., internos Ac. Inox. 316, clase 1,5%, aro bayoneta.</t>
  </si>
  <si>
    <t>PFP923ZRR3R1S-SG-25</t>
  </si>
  <si>
    <t>Manómetro Winters Serie PFP-ZR Premium STABILIZR®, dial 2,5", 0/2,5 Kg/cm2 &amp; 0/35 psi, 1/4" NPT posterior, caja Ac. Inox. 304, internos Ac. Inox. 316, clase 1,5%, aro bayoneta, con vidrio de seguridad.</t>
  </si>
  <si>
    <t>PFP923ZRR1R11</t>
  </si>
  <si>
    <t>Manómetro Winters Serie PFP-ZR Premium STABILIZR®, dial 2,5", 0/60 psi &amp; 0/4 bar, 1/4" NPT posterior, caja Ac. Inox. 304., internos Ac. Inox. 316, clase 1,5%, aro bayoneta.</t>
  </si>
  <si>
    <t>PFP923ZRR11R1</t>
  </si>
  <si>
    <t>Manómetro Winters Serie PFP-ZR Premium STABILIZR®, dial 2,5", 0/4 bar &amp; 0/60 psi, 1/4" NPT posterior, caja Ac. Inox. 304, internos Ac. Inox. 316, clase 1,5%, aro bayoneta.</t>
  </si>
  <si>
    <t>PFP923ZRR3R1-SG-25</t>
  </si>
  <si>
    <t>Manómetro Winters Serie PFP-ZR Premium STABILIZR®, dial 2,5", 0/4 Kg/cm2 &amp; 0/60 psi, 1/4" NPT posterior, caja Ac. Inox. 304, internos Ac. Inox. 316, clase 1,5%, aro bayoneta, con vidrio de seguridad.</t>
  </si>
  <si>
    <t>PFP924ZRR3R1S-SG-25</t>
  </si>
  <si>
    <t>Manómetro Winters Serie PFP-ZR Premium STABILIZR®, dial 2,5", 0/6 kg/cm2 &amp; 0/90 psi, 1/4" NPT posterior, caja Ac. Inox. 304, internos Ac. Inox. 316, clase 1,5%, aro bayoneta, con vidrio de seguridad.</t>
  </si>
  <si>
    <t>PFP924ZRR1R11</t>
  </si>
  <si>
    <t>Manómetro Winters Serie PFP-ZR Premium STABILIZR®, dial 2,5", 0/100 psi &amp; 0/7 bar, 1/4" NPT posterior, caja Ac. Inox. 304., internos Ac. Inox. 316, clase 1,5%, aro bayoneta.</t>
  </si>
  <si>
    <t>PFP925ZRR11R1</t>
  </si>
  <si>
    <t>Manómetro Winters Serie PFP-ZR Premium STABILIZR®, dial 2,5", 0/10 bar &amp; 0/150 psi, 1/4" NPT posterior, caja Ac. Inox. 304, internos Ac. Inox. 316, clase 1,5%, aro bayoneta.</t>
  </si>
  <si>
    <t>PFP925ZRR3R1-SG-25</t>
  </si>
  <si>
    <t>Manómetro Winters Serie PFP-ZR Premium STABILIZR®, dial 2,5", 0/10 Kg/cm2 &amp; 0/150 psi, 1/4" NPT posterior, caja Ac. Inox. 304, internos Ac. Inox. 316, clase 1,5%, aro bayoneta, con vidrio de seguridad.</t>
  </si>
  <si>
    <t>PFP925ZRR1R11</t>
  </si>
  <si>
    <t>Manómetro Winters Serie PFP-ZR Premium STABILIZR®, dial 2,5", 0/160 psi &amp; 0/11 bar, 1/4" NPT posterior, caja Ac. Inox. 304., internos Ac. Inox. 316, clase 1,5%, aro bayoneta.</t>
  </si>
  <si>
    <t>PFP926ZRR1R11</t>
  </si>
  <si>
    <t>Manómetro Winters Serie PFP-ZR Premium STABILIZR®, dial 2,5", 0/200 psi &amp; 0/14 bar, 1/4" NPT posterior, caja Ac. Inox. 304., internos Ac. Inox. 316, clase 1,5%, aro bayoneta.</t>
  </si>
  <si>
    <t>PFP926ZRR1R11S</t>
  </si>
  <si>
    <t>Manómetro Winters Serie PFP-ZR Premium STABILIZR®, dial 2,5", 0/240 psi &amp; 0/16 bar, 1/4" NPT posterior, caja Ac. Inox. 304., internos Ac. Inox. 316, clase 1,5%, aro bayoneta.</t>
  </si>
  <si>
    <t>PFP926ZRR11R1</t>
  </si>
  <si>
    <t>Manómetro Winters Serie PFP-ZR Premium STABILIZR®, dial 2,5", 0/14 bar &amp; 0/200 psi, 1/4" NPT posterior, caja Ac. Inox. 304, internos Ac. Inox. 316, clase 1,5%, aro bayoneta.</t>
  </si>
  <si>
    <t>PFP927ZRR3R1S-SG-25</t>
  </si>
  <si>
    <t>Manómetro Winters Serie PFP-ZR Premium STABILIZR®, dial 2,5", 0/16 Kg/cm2 &amp; 0/230 psi, 1/4" NPT posterior, caja Ac. Inox. 304, internos Ac. Inox. 316, clase 1,5%, aro bayoneta, con vidrio de seguridad.</t>
  </si>
  <si>
    <t>PFP927ZRR1R11</t>
  </si>
  <si>
    <t>Manómetro Winters Serie PFP-ZR Premium STABILIZR®, dial 2,5", 0/300 psi &amp; 0/20 bar, 1/4" NPT posterior, caja Ac. Inox. 304., internos Ac. Inox. 316, clase 1,5%, aro bayoneta.</t>
  </si>
  <si>
    <t>PFP927ZRR11R1</t>
  </si>
  <si>
    <t>Manómetro Winters Serie PFP-ZR Premium STABILIZR®, dial 2,5", 0/20 bar &amp; 0/300 psi, 1/4" NPT posterior, caja Ac. Inox. 304, internos Ac. Inox. 316, clase 1,5%, aro bayoneta.</t>
  </si>
  <si>
    <t>PFP881ZRR3R1S-SG-25</t>
  </si>
  <si>
    <t>Manómetro Winters Serie PFP-ZR Premium STABILIZR®, dial 2,5", 0/25 Kg/cm2 &amp; 0/350 psi, 1/4" NPT posterior, caja Ac. Inox. 304, internos Ac. Inox. 316, clase 1,5%, aro bayoneta, con vidrio de seguridad.</t>
  </si>
  <si>
    <t>PFP881ZRR11R1</t>
  </si>
  <si>
    <t>Manómetro Winters Serie PFP-ZR Premium STABILIZR®, dial 2,5", 0/28 bar &amp; 0/400 psi, 1/4" NPT posterior, caja Ac. Inox. 304, internos Ac. Inox. 316, clase 1,5%, aro bayoneta.</t>
  </si>
  <si>
    <t>PFP881ZRR1R11</t>
  </si>
  <si>
    <t>Manómetro Winters Serie PFP-ZR Premium STABILIZR®, dial 2,5", 0/400 psi &amp; 0/30 bar, 1/4" NPT posterior, caja Ac. Inox. 304., internos Ac. Inox. 316, clase 1,5%, aro bayoneta.</t>
  </si>
  <si>
    <t>PFP928ZRR1R11</t>
  </si>
  <si>
    <t>Manómetro Winters Serie PFP-ZR Premium STABILIZR®, dial 2,5", 0/600 psi &amp; 0/40 bar, 1/4" NPT posterior, caja Ac. Inox. 304., internos Ac. Inox. 316, clase 1,5%, aro bayoneta.</t>
  </si>
  <si>
    <t>PFP928ZRR11R1</t>
  </si>
  <si>
    <t>Manómetro Winters Serie PFP-ZR Premium STABILIZR®, dial 2,5", 0/40 bar &amp; 0/600 psi, 1/4" NPT posterior, caja Ac. Inox. 304, internos Ac. Inox. 316, clase 1,5%, aro bayoneta.</t>
  </si>
  <si>
    <t>PFP928ZRR3R1-SG-25</t>
  </si>
  <si>
    <t>Manómetro Winters Serie PFP-ZR Premium STABILIZR®, dial 2,5", 0/40 Kg/cm2 &amp; 0/600 psi, 1/4" NPT posterior, caja Ac. Inox. 304, internos Ac. Inox. 316, clase 1,5%, aro bayoneta, con vidrio de seguridad.</t>
  </si>
  <si>
    <t>PFP929ZRR1R11</t>
  </si>
  <si>
    <t>Manómetro Winters Serie PFP-ZR Premium STABILIZR®, dial 2,5", 0/1.000 psi &amp; 0/70 bar, 1/4" NPT posterior, caja Ac. Inox. 304., internos Ac. Inox. 316, clase 1,5%, aro bayoneta.</t>
  </si>
  <si>
    <t>PFP929ZRR11R1</t>
  </si>
  <si>
    <t>Manómetro Winters Serie PFP-ZR Premium STABILIZR®, dial 2,5", 0/70 bar &amp; 0/1.000 psi, 1/4" NPT posterior, caja Ac. Inox. 304, internos Ac. Inox. 316, clase 1,5%, aro bayoneta.</t>
  </si>
  <si>
    <t>PFP929ZRR3R1S1-SG-25</t>
  </si>
  <si>
    <t>Manómetro Winters Serie PFP-ZR Premium STABILIZR®, dial 2,5", 0/70 Kg/cm2 &amp; 0/1.000 psi, 1/4" NPT posterior, caja Ac. Inox. 304, internos Ac. Inox. 316, clase 1,5%, aro bayoneta, con vidrio de seguridad.</t>
  </si>
  <si>
    <t>PFP934ZRR1R11</t>
  </si>
  <si>
    <t>Manómetro Winters Serie PFP-ZR Premium STABILIZR®, dial 2,5", 0/1.500 psi &amp; 0/100 bar, 1/4" NPT posterior, caja Ac. Inox. 304., internos Ac. Inox. 316, clase 1,5%, aro bayoneta.</t>
  </si>
  <si>
    <t>PFP934ZRR11R1</t>
  </si>
  <si>
    <t>Manómetro Winters Serie PFP-ZR Premium STABILIZR®, dial 2,5", 0/100 bar &amp; 0/1.500 psi, 1/4" NPT posterior, caja Ac. Inox. 304, internos Ac. Inox. 316, clase 1,5%, aro bayoneta.</t>
  </si>
  <si>
    <t>PFP934ZRR3R1-SG-25</t>
  </si>
  <si>
    <t>Manómetro Winters Serie PFP-ZR Premium STABILIZR®, dial 2,5", 0/100 Kg/cm2 &amp; 0/1.500 psi, 1/4" NPT posterior, caja Ac. Inox. 304, internos Ac. Inox. 316, clase 1,5%, aro bayoneta, con vidrio de seguridad.</t>
  </si>
  <si>
    <t>PFP930ZRR1R11</t>
  </si>
  <si>
    <t>Manómetro Winters Serie PFP-ZR Premium STABILIZR®, dial 2,5", 0/2.000 psi &amp; 0/140 bar, 1/4" NPT posterior, caja Ac. Inox. 304., internos Ac. Inox. 316, clase 1,5%, aro bayoneta.</t>
  </si>
  <si>
    <t>PFP930ZRR11R1</t>
  </si>
  <si>
    <t>Manómetro Winters Serie PFP-ZR Premium STABILIZR®, dial 2,5", 0/140 bar &amp; 0/2.000 psi, 1/4" NPT posterior, caja Ac. Inox. 304, internos Ac. Inox. 316, clase 1,5%, aro bayoneta.</t>
  </si>
  <si>
    <t>PFP931ZRR1R11</t>
  </si>
  <si>
    <t>Manómetro Winters Serie PFP-ZR Premium STABILIZR®, dial 2,5", 0/3.000 psi &amp; 0/200 bar, 1/4" NPT posterior, caja Ac. Inox. 304., internos Ac. Inox. 316, clase 1,5%, aro bayoneta.</t>
  </si>
  <si>
    <t>PFP931ZRR11R1</t>
  </si>
  <si>
    <t>Manómetro Winters Serie PFP-ZR Premium STABILIZR®, dial 2,5", 0/200 bar &amp; 0/3.000 psi, 1/4" NPT posterior, caja Ac. Inox. 304, internos Ac. Inox. 316, clase 1,5%, aro bayoneta.</t>
  </si>
  <si>
    <t>PFP931ZRR11S</t>
  </si>
  <si>
    <t>Manómetro Winters Serie PFP-ZR Premium STABILIZR®, dial 2,5", 0/200 bar, 1/4" NPT posterior, caja Ac. Inox. 304, internos Ac. Inox. 316, clase 1,5%, aro bayoneta, lente de policarbonato.</t>
  </si>
  <si>
    <t>PFP931ZRR1-SG-25</t>
  </si>
  <si>
    <t>Manómetro Winters Serie PFP-ZR Premium STABILIZR®, dial 2,5", 0/3.000 psi, 1/4" NPT posterior, caja Ac. Inox. 304, internos Ac. Inox. 316, clase 1,5%, aro bayoneta, con vidrio de seguridad.</t>
  </si>
  <si>
    <t>PFP852ZRR1R11</t>
  </si>
  <si>
    <t>Manómetro Winters Serie PFP-ZR Premium STABILIZR®, dial 2,5", 0/5.000 psi &amp; 0/350 bar, 1/4" NPT posterior, caja Ac. Inox. 304., internos Ac. Inox. 316, clase 1,5%, aro bayoneta.</t>
  </si>
  <si>
    <t>PFP852ZRR11R1</t>
  </si>
  <si>
    <t>Manómetro Winters Serie PFP-ZR Premium STABILIZR®, dial 2,5", 0/300 bar &amp; 0/5.000 psi, 1/4" NPT posterior, caja Ac. Inox. 304, internos Ac. Inox. 316, clase 1,5%, aro bayoneta.</t>
  </si>
  <si>
    <t>PFP851ZRR1R11</t>
  </si>
  <si>
    <t>Manómetro Winters Serie PFP-ZR Premium STABILIZR®, dial 2,5", 0/6.000 psi &amp; 0/400 bar, 1/4" NPT posterior, caja Ac. Inox. 304., internos Ac. Inox. 316, clase 1,5%, aro bayoneta.</t>
  </si>
  <si>
    <t>PFP851ZRR11R1</t>
  </si>
  <si>
    <t>Manómetro Winters Serie PFP-ZR Premium STABILIZR®, dial 2,5", 0/400 bar &amp; 0/6.000 psi, 1/4" NPT posterior, caja Ac. Inox. 304, internos Ac. Inox. 316, clase 1,5%, aro bayoneta.</t>
  </si>
  <si>
    <t>PFP853ZRR1R11</t>
  </si>
  <si>
    <t>Manómetro Winters Serie PFP-ZR Premium STABILIZR®, dial 2,5", 0/10.000 psi &amp; 0/700 bar, 1/4" NPT posterior, caja Ac. Inox. 304., internos Ac. Inox. 316, clase 1,5%, aro bayoneta.</t>
  </si>
  <si>
    <t>PFP853ZRR11R1S</t>
  </si>
  <si>
    <t>Manómetro Winters Serie PFP-ZR Premium STABILIZR®, dial 2,5", 0/700 bar &amp; 0/10.000 psi, 1/4" NPT posterior, caja Ac. Inox. 304, internos Ac. Inox. 316, clase 1,5%, aro bayoneta.</t>
  </si>
  <si>
    <t>PFP3796ZRR1R11</t>
  </si>
  <si>
    <t>Manómetro Winters Serie PFP-ZR Premium STABILIZR®, dial 2,5", 0/10.000 psi &amp; 0/700 bar, 1/4" NPT posterior, caja Ac. Inox. 304., internos Ac. Inox. 316, clase 1,5%, aro bayoneta, con brida frontal</t>
  </si>
  <si>
    <t>PFP855ZRR1R11</t>
  </si>
  <si>
    <t>Manómetro Winters Serie PFP-ZR Premium STABILIZR®, dial 2,5", 0/15.000 psi &amp; 0/1.000 bar, 1/4" NPT posterior, caja Ac. Inox. 304., internos Ac. Inox. 316, clase 1,5%, aro bayoneta.</t>
  </si>
  <si>
    <t>PFP640ZRR6R11</t>
  </si>
  <si>
    <t>Vacuómetro Winters Serie PFP-ZR Premium STABILIZR®, dial 4", -30/0"Hg &amp; -1/0 bar, 1/4" NPT inferior, caja Ac. Inox 304, internos Ac. Inox. 316, clase 1%, aro bayoneta.</t>
  </si>
  <si>
    <t>PFP1036ZRR1R11</t>
  </si>
  <si>
    <t>Manovacuómetro Winters Serie PFP-ZR Premium STABILIZR®, dial 4", -30"Hg/0/15 psi &amp; -1/0/1 bar, 1/4" NPT inferior, caja Ac. Inox. 304., internos Ac. Inox. 316, clase 1%, aro bayoneta.</t>
  </si>
  <si>
    <t>PFP1037ZRR1R11</t>
  </si>
  <si>
    <t>Manovacuómetro Winters Serie PFP-ZR Premium STABILIZR®, dial 4", -30"Hg/0/30 psi &amp; -1/0/2 bar, 1/4" NPT inferior, caja Ac. Inox. 304., internos Ac. Inox. 316, clase 1%, aro bayoneta.</t>
  </si>
  <si>
    <t>PFP1038ZRR1R11</t>
  </si>
  <si>
    <t>Manovacuómetro Winters Serie PFP-ZR Premium STABILIZR®, dial 4", -30"Hg/0/60 psi &amp; -1/0/4 bar, 1/4" NPT inferior, caja Ac. Inox. 304., internos Ac. Inox. 316, clase 1%, aro bayoneta.</t>
  </si>
  <si>
    <t>PFP1039ZRR1R11</t>
  </si>
  <si>
    <t>Manovacuómetro Winters Serie PFP-ZR Premium STABILIZR®, dial 4", -30"Hg/0/100 psi &amp; -1/0/7 bar, 1/4" NPT inferior, caja Ac. Inox. 304., internos Ac. Inox. 316, clase 1%, aro bayoneta.</t>
  </si>
  <si>
    <t>PFP1040ZRR1R11</t>
  </si>
  <si>
    <t>Manovacuómetro Winters Serie PFP-ZR Premium STABILIZR®, dial 4", -30"Hg/0/100 psi &amp; -1/0/10 bar, 1/4" NPT inferior, caja Ac. Inox. 304., internos Ac. Inox. 316, clase 1%, aro bayoneta.</t>
  </si>
  <si>
    <t>PFP1042ZRR1R11</t>
  </si>
  <si>
    <t>Manovacuómetro Winters Serie PFP-ZR Premium STABILIZR®, dial 4", -30"Hg/0/200 psi &amp; -1/0/14 bar, 1/4" NPT inferior, caja Ac. Inox. 304., internos Ac. Inox. 316, clase 1%, aro bayoneta.</t>
  </si>
  <si>
    <t>PFP1043ZRR1R11</t>
  </si>
  <si>
    <t>Manovacuómetro Winters Serie PFP-ZR Premium STABILIZR®, dial 4", -30"Hg/0/300 psi &amp; -1/0/20 bar, 1/4" NPT inferior, caja Ac. Inox. 304., internos Ac. Inox. 316, clase 1%, aro bayoneta.</t>
  </si>
  <si>
    <t>PFP641ZRR1R11</t>
  </si>
  <si>
    <t>Manómetro Winters Serie PFP-ZR Premium STABILIZR®, dial 4", 0/15 psi &amp; 0/1 bar, 1/4" NPT inferior, caja Ac. Inox. 304., internos Ac. Inox. 316, clase 1%, aro bayoneta.</t>
  </si>
  <si>
    <t>PFP642ZRR1R11</t>
  </si>
  <si>
    <t>Manómetro Winters Serie PFP-ZR Premium STABILIZR®, dial 4", 0/30 psi &amp; 0/2 bar, 1/4" NPT inferior, caja Ac. Inox. 304., internos Ac. Inox. 316, clase 1%, aro bayoneta.</t>
  </si>
  <si>
    <t>PFP643ZRR1R11</t>
  </si>
  <si>
    <t>Manómetro Winters Serie PFP-ZR Premium STABILIZR®, dial 4", 0/60 psi &amp; 0/4 bar, 1/4" NPT inferior, caja Ac. Inox. 304., internos Ac. Inox. 316, clase 1%, aro bayoneta.</t>
  </si>
  <si>
    <t>PFP644ZRR1R11</t>
  </si>
  <si>
    <t>Manómetro Winters Serie PFP-ZR Premium STABILIZR®, dial 4", 0/100 psi &amp; 0/7 bar, 1/4" NPT inferior, caja Ac. Inox. 304., internos Ac. Inox. 316, clase 1%, aro bayoneta.</t>
  </si>
  <si>
    <t>PFP645ZRR1R11</t>
  </si>
  <si>
    <t>Manómetro Winters Serie PFP-ZR Premium STABILIZR®, dial 4", 0/160 psi &amp; 0/11 bar, 1/4" NPT inferior, caja Ac. Inox. 304., internos Ac. Inox. 316, clase 1%, aro bayoneta.</t>
  </si>
  <si>
    <t>PFP646ZRR1R11</t>
  </si>
  <si>
    <t>Manómetro Winters Serie PFP-ZR Premium STABILIZR®, dial 4", 0/200 psi &amp; 0/14 bar, 1/4" NPT inferior, caja Ac. Inox. 304., internos Ac. Inox. 316, clase 1%, aro bayoneta.</t>
  </si>
  <si>
    <t>PFP647ZRR1R11</t>
  </si>
  <si>
    <t>Manómetro Winters Serie PFP-ZR Premium STABILIZR®, dial 4", 0/300 psi &amp; 0/20 bar, 1/4" NPT inferior, caja Ac. Inox. 304., internos Ac. Inox. 316, clase 1%, aro bayoneta.</t>
  </si>
  <si>
    <t>PFP650ZRR1R11</t>
  </si>
  <si>
    <t>Manómetro Winters Serie PFP-ZR Premium STABILIZR®, dial 4", 0/400 psi &amp; 0/30 bar, 1/4" NPT inferior, caja Ac. Inox. 304., internos Ac. Inox. 316, clase 1%, aro bayoneta.</t>
  </si>
  <si>
    <t>PFP648ZRR1R11</t>
  </si>
  <si>
    <t>Manómetro Winters Serie PFP-ZR Premium STABILIZR®, dial 4", 0/600 psi &amp; 0/40 bar, 1/4" NPT inferior, caja Ac. Inox. 304., internos Ac. Inox. 316, clase 1%, aro bayoneta.</t>
  </si>
  <si>
    <t>PFP649ZRR1R11</t>
  </si>
  <si>
    <t>Manómetro Winters Serie PFP-ZR Premium STABILIZR®, dial 4", 0/1.000 psi &amp; 0/70 bar, 1/4" NPT inferior, caja Ac. Inox. 304., internos Ac. Inox. 316, clase 1%, aro bayoneta.</t>
  </si>
  <si>
    <t>PFP2301ZRR1R11</t>
  </si>
  <si>
    <t>Manómetro Winters Serie PFP-ZR Premium STABILIZR®, dial 4", 0/1.500 psi &amp; 0/100 bar, 1/4" NPT inferior, caja Ac. Inox. 304., internos Ac. Inox. 316, clase 1%, aro bayoneta.</t>
  </si>
  <si>
    <t>PFP2302ZRR1R11</t>
  </si>
  <si>
    <t>Manómetro Winters Serie PFP-ZR Premium STABILIZR®, dial 4", 0/2.000 psi &amp; 0/140 bar, 1/4" NPT inferior, caja Ac. Inox. 304., internos Ac. Inox. 316, clase 1%, aro bayoneta.</t>
  </si>
  <si>
    <t>PFP2303ZRR1R11</t>
  </si>
  <si>
    <t>Manómetro Winters Serie PFP-ZR Premium STABILIZR®, dial 4", 0/3.000 psi &amp; 0/200 bar, 1/4" NPT inferior, caja Ac. Inox. 304., internos Ac. Inox. 316, clase 1%, aro bayoneta.</t>
  </si>
  <si>
    <t>PFP2304ZRR1R11</t>
  </si>
  <si>
    <t>Manómetro Winters Serie PFP-ZR Premium STABILIZR®, dial 4", 0/5.000 psi &amp; 0/350 bar, 1/4" NPT inferior, caja Ac. Inox. 304., internos Ac. Inox. 316, clase 1%, aro bayoneta.</t>
  </si>
  <si>
    <t>PFP2305ZRR1R11</t>
  </si>
  <si>
    <t>Manómetro Winters Serie PFP-ZR Premium STABILIZR®, dial 4", 0/6.000 psi &amp; 0/400 bar, 1/4" NPT inferior, caja Ac. Inox. 304., internos Ac. Inox. 316, clase 1%, aro bayoneta.</t>
  </si>
  <si>
    <t>PFP2306ZRR1R11</t>
  </si>
  <si>
    <t>Manómetro Winters Serie PFP-ZR Premium STABILIZR®, dial 4", 0/10.000 psi &amp; 0/700 bar, 1/4" NPT inferior, caja Ac. Inox. 304., internos Ac. Inox. 316, clase 1%, aro bayoneta.</t>
  </si>
  <si>
    <t>PFP2307ZRR1R11</t>
  </si>
  <si>
    <t>Manómetro Winters Serie PFP-ZR Premium STABILIZR®, dial 4", 0/15.000 psi &amp; 0/1.000 bar, 1/4" NPT inferior, caja Ac. Inox. 304., internos Ac. Inox. 316, clase 1%, aro bayoneta.</t>
  </si>
  <si>
    <t>PFP1090ZRR6R11</t>
  </si>
  <si>
    <t>Vacuómetro Winters Serie PFP-ZR Premium STABILIZR®, dial 4", -30/0"Hg &amp; -1/0 bar, 1/4" NPT posterior, caja Ac. Inox 304, internos Ac. Inox. 316, clase 1%, aro bayoneta.</t>
  </si>
  <si>
    <t>PFP1244ZRR1R11</t>
  </si>
  <si>
    <t>Manovacuómetro Winters Serie PFP-ZR Premium STABILIZR®, dial 4", -30"Hg/0/15 psi &amp; -1/0/1 bar, 1/4" NPT posterior, caja Ac. Inox. 304., internos Ac. Inox. 316, clase 1%, aro bayoneta.</t>
  </si>
  <si>
    <t>PFP1245ZRR1R11</t>
  </si>
  <si>
    <t>Manovacuómetro Winters Serie PFP-ZR Premium STABILIZR®, dial 4", -30"Hg/0/30 psi &amp; -1/0/2 bar, 1/4" NPT posterior, caja Ac. Inox. 304., internos Ac. Inox. 316, clase 1%, aro bayoneta.</t>
  </si>
  <si>
    <t>PFP1246ZRR1R11</t>
  </si>
  <si>
    <t>Manovacuómetro Winters Serie PFP-ZR Premium STABILIZR®, dial 4", -30"Hg/0/60 psi &amp; -1/0/4 bar, 1/4" NPT posterior, caja Ac. Inox. 304., internos Ac. Inox. 316, clase 1%, aro bayoneta.</t>
  </si>
  <si>
    <t>PFP1247ZRR1R11</t>
  </si>
  <si>
    <t>Manovacuómetro Winters Serie PFP-ZR Premium STABILIZR®, dial 4", -30"Hg/0/100 psi &amp; -1/0/7 bar, 1/4" NPT posterior, caja Ac. Inox. 304., internos Ac. Inox. 316, clase 1%, aro bayoneta.</t>
  </si>
  <si>
    <t>PFP1248ZRR1R11</t>
  </si>
  <si>
    <t>Manovacuómetro Winters Serie PFP-ZR Premium STABILIZR®, dial 4", -30"Hg/0/100 psi &amp; -1/0/10 bar, 1/4" NPT posterior, caja Ac. Inox. 304., internos Ac. Inox. 316, clase 1%, aro bayoneta.</t>
  </si>
  <si>
    <t>PFP1249ZRR1R11</t>
  </si>
  <si>
    <t>Manovacuómetro Winters Serie PFP-ZR Premium STABILIZR®, dial 4", -30"Hg/0/200 psi &amp; -1/0/14 bar, 1/4" NPT posterior, caja Ac. Inox. 304., internos Ac. Inox. 316, clase 1%, aro bayoneta.</t>
  </si>
  <si>
    <t>PFP1250ZRR1R11</t>
  </si>
  <si>
    <t>Manovacuómetro Winters Serie PFP-ZR Premium STABILIZR®, dial 4", -30"Hg/0/300 psi &amp; -1/0/20 bar, 1/4" NPT posterior, caja Ac. Inox. 304., internos Ac. Inox. 316, clase 1%, aro bayoneta.</t>
  </si>
  <si>
    <t>PFP1091ZRR1R11</t>
  </si>
  <si>
    <t>Manómetro Winters Serie PFP-ZR Premium STABILIZR®, dial 4", 0/15 psi &amp; 0/1 bar, 1/4" NPT posterior, caja Ac. Inox. 304., internos Ac. Inox. 316, clase 1%, aro bayoneta.</t>
  </si>
  <si>
    <t>PFP1092ZRR1R11</t>
  </si>
  <si>
    <t>Manómetro Winters Serie PFP-ZR Premium STABILIZR®, dial 4", 0/30 psi &amp; 0/2 bar, 1/4" NPT posterior, caja Ac. Inox. 304., internos Ac. Inox. 316, clase 1%, aro bayoneta.</t>
  </si>
  <si>
    <t>PFP1093ZRR1R11</t>
  </si>
  <si>
    <t>Manómetro Winters Serie PFP-ZR Premium STABILIZR®, dial 4", 0/60 psi &amp; 0/4 bar, 1/4" NPT posterior, caja Ac. Inox. 304., internos Ac. Inox. 316, clase 1%, aro bayoneta.</t>
  </si>
  <si>
    <t>PFP1094ZRR1R11</t>
  </si>
  <si>
    <t>Manómetro Winters Serie PFP-ZR Premium STABILIZR®, dial 4", 0/100 psi &amp; 0/7 bar, 1/4" NPT posterior, caja Ac. Inox. 304., internos Ac. Inox. 316, clase 1%, aro bayoneta.</t>
  </si>
  <si>
    <t>PFP1095ZRR1R11</t>
  </si>
  <si>
    <t>Manómetro Winters Serie PFP-ZR Premium STABILIZR®, dial 4", 0/160 psi &amp; 0/11 bar, 1/4" NPT posterior, caja Ac. Inox. 304., internos Ac. Inox. 316, clase 1%, aro bayoneta.</t>
  </si>
  <si>
    <t>PFP1096ZRR1R11</t>
  </si>
  <si>
    <t>Manómetro Winters Serie PFP-ZR Premium STABILIZR®, dial 4", 0/200 psi &amp; 0/14 bar, 1/4" NPT posterior, caja Ac. Inox. 304., internos Ac. Inox. 316, clase 1%, aro bayoneta.</t>
  </si>
  <si>
    <t>PFP1097ZRR1R11</t>
  </si>
  <si>
    <t>Manómetro Winters Serie PFP-ZR Premium STABILIZR®, dial 4", 0/300 psi &amp; 0/20 bar, 1/4" NPT posterior, caja Ac. Inox. 304., internos Ac. Inox. 316, clase 1%, aro bayoneta.</t>
  </si>
  <si>
    <t>PFP1251ZRR1R11</t>
  </si>
  <si>
    <t>Manómetro Winters Serie PFP-ZR Premium STABILIZR®, dial 4", 0/400 psi &amp; 0/30 bar, 1/4" NPT posterior, caja Ac. Inox. 304., internos Ac. Inox. 316, clase 1%, aro bayoneta.</t>
  </si>
  <si>
    <t>PFP1098ZRR1R11</t>
  </si>
  <si>
    <t>Manómetro Winters Serie PFP-ZR Premium STABILIZR®, dial 4", 0/600 psi &amp; 0/40 bar, 1/4" NPT posterior, caja Ac. Inox. 304., internos Ac. Inox. 316, clase 1%, aro bayoneta.</t>
  </si>
  <si>
    <t>PFP1099ZRR1R11</t>
  </si>
  <si>
    <t>Manómetro Winters Serie PFP-ZR Premium STABILIZR®, dial 4", 0/1.000 psi &amp; 0/70 bar, 1/4" NPT posterior, caja Ac. Inox. 304., internos Ac. Inox. 316, clase 1%, aro bayoneta.</t>
  </si>
  <si>
    <t>PFP1252ZRR1R11</t>
  </si>
  <si>
    <t>Manómetro Winters Serie PFP-ZR Premium STABILIZR®, dial 4", 0/1.500 psi &amp; 0/100 bar, 1/4" NPT posterior, caja Ac. Inox. 304., internos Ac. Inox. 316, clase 1%, aro bayoneta.</t>
  </si>
  <si>
    <t>PFP1252ZRR3R1-SG-4</t>
  </si>
  <si>
    <t>Manómetro Winters Serie PFP-ZR Premium STABILIZR®, dial 4", 0/100 kg/cm2 &amp; 0/1.500 psi, 1/4" NPT posterior, caja Ac. Inox. 304., internos Ac. Inox. 316, clase 1%, aro bayoneta.</t>
  </si>
  <si>
    <t>PFP1253ZRR1R11</t>
  </si>
  <si>
    <t>Manómetro Winters Serie PFP-ZR Premium STABILIZR®, dial 4", 0/2.000 psi &amp; 0/140 bar, 1/4" NPT posterior, caja Ac. Inox. 304., internos Ac. Inox. 316, clase 1%, aro bayoneta.</t>
  </si>
  <si>
    <t>PFP1254ZRR1R11</t>
  </si>
  <si>
    <t>Manómetro Winters Serie PFP-ZR Premium STABILIZR®, dial 4", 0/3.000 psi &amp; 0/200 bar, 1/4" NPT posterior, caja Ac. Inox. 304., internos Ac. Inox. 316, clase 1%, aro bayoneta.</t>
  </si>
  <si>
    <t>PFP1255ZRR1R11</t>
  </si>
  <si>
    <t>Manómetro Winters Serie PFP-ZR Premium STABILIZR®, dial 4", 0/5.000 psi &amp; 0/350 bar, 1/4" NPT posterior, caja Ac. Inox. 304., internos Ac. Inox. 316, clase 1%, aro bayoneta.</t>
  </si>
  <si>
    <t>PFP1259ZRR1R11</t>
  </si>
  <si>
    <t>Manómetro Winters Serie PFP-ZR Premium STABILIZR®, dial 4", 0/6.000 psi &amp; 0/400 bar, 1/4" NPT posterior, caja Ac. Inox. 304., internos Ac. Inox. 316, clase 1%, aro bayoneta.</t>
  </si>
  <si>
    <t>PFP1256ZRR1R11</t>
  </si>
  <si>
    <t>Manómetro Winters Serie PFP-ZR Premium STABILIZR®, dial 4", 0/10.000 psi &amp; 0/700 bar, 1/4" NPT posterior, caja Ac. Inox. 304., internos Ac. Inox. 316, clase 1%, aro bayoneta.</t>
  </si>
  <si>
    <t>PFP1257ZRR1R11</t>
  </si>
  <si>
    <t>Manómetro Winters Serie PFP-ZR Premium STABILIZR®, dial 4", 0/15.000 psi &amp; 0/1.000 bar, 1/4" NPT posterior, caja Ac. Inox. 304., internos Ac. Inox. 316, clase 1%, aro bayoneta.</t>
  </si>
  <si>
    <t>PFP1258ZRR1R11</t>
  </si>
  <si>
    <t>Manómetro Winters Serie PFP-ZR Premium STABILIZR®, dial 4", 0/20.000 psi &amp; 0/1.400 bar, 1/4" NPT posterior, caja Ac. Inox. 304., internos Ac. Inox. 316, clase 1%, aro bayoneta.</t>
  </si>
  <si>
    <t>PFP655ZRR6R11</t>
  </si>
  <si>
    <t>Vacuómetro Winters Serie PFP-ZR Premium STABILIZR®, dial 4", -30/0"Hg &amp; -1/0 bar, 1/2" NPT inferior, caja Ac. Inox 304, internos Ac. Inox. 316, clase 1%, aro bayoneta.</t>
  </si>
  <si>
    <t>PFP655ZRR7R6-SG-4</t>
  </si>
  <si>
    <t>Vacuómetro Winters Serie PFP-ZR Premium STABILIZR®, dial 4", -760 mmHg/0 &amp; -30/0"Hg, 1/2" NPT inferior, caja Ac. Inox 304, internos Ac. Inox. 316, clase 1%, aro bayoneta, con vidrio de seguridad.</t>
  </si>
  <si>
    <t>PFP655ZRR7R3-SG-4</t>
  </si>
  <si>
    <t>Vacuómetro Winters Serie PFP-ZR Premium STABILIZR®, dial 4", 760/0 mmHg &amp; -1/0 kg/cm2, 1/2" NPT inferior, caja Ac. Inox 304, internos Ac. Inox. 316, clase 1%, aro bayoneta, con vidrio de seguridad.</t>
  </si>
  <si>
    <t>PFP1044ZRR1R11</t>
  </si>
  <si>
    <t>Manovacuómetro Winters Serie PFP-ZR Premium STABILIZR®, dial 4", -30"Hg/0/15 psi &amp; -1/0/1 bar, 1/2" NPT inferior, caja Ac. Inox. 304., internos Ac. Inox. 316, clase 1%, aro bayoneta.</t>
  </si>
  <si>
    <t>PFP1044ZRR3-SG-4</t>
  </si>
  <si>
    <t>Manovacuómetro Winters Serie PFP-ZR Premium STABILIZR®, dial 4", -760mmHg/0/1 kg/cm2, 1/2" NPT inferior, caja Ac. Inox. 304., internos Ac. Inox. 316, clase 1%, aro bayoneta.</t>
  </si>
  <si>
    <t>PFP1045ZRR1R11</t>
  </si>
  <si>
    <t>Manovacuómetro Winters Serie PFP-ZR Premium STABILIZR®, dial 4", -30"Hg/0/30 psi &amp; -1/0/2 bar, 1/2" NPT inferior, caja Ac. Inox. 304., internos Ac. Inox. 316, clase 1%, aro bayoneta.</t>
  </si>
  <si>
    <t>PFP1045ZRR3-SG-4</t>
  </si>
  <si>
    <t>Manovacuómetro Winters Serie PFP-ZR Premium STABILIZR®, dial 4", -760mmHg/0/2 kg/cm2, 1/2" NPT inferior, caja Ac. Inox. 304., internos Ac. Inox. 316, clase 1%, aro bayoneta, con vidrio de seguridad.</t>
  </si>
  <si>
    <t>PFP1046ZRR1R11</t>
  </si>
  <si>
    <t>Manovacuómetro Winters Serie PFP-ZR Premium STABILIZR®, dial 4", -30"Hg/0/60 psi &amp; -1/0/4 bar, 1/2" NPT inferior, caja Ac. Inox. 304., internos Ac. Inox. 316, clase 1%, aro bayoneta.</t>
  </si>
  <si>
    <t>PFP1047ZRR1R11</t>
  </si>
  <si>
    <t>Manovacuómetro Winters Serie PFP-ZR Premium STABILIZR®, dial 4", -30"Hg/0/100 psi &amp; -1/0/7 bar, 1/2" NPT inferior, caja Ac. Inox. 304., internos Ac. Inox. 316, clase 1%, aro bayoneta.</t>
  </si>
  <si>
    <t>PFP1048ZRR1R11</t>
  </si>
  <si>
    <t>Manovacuómetro Winters Serie PFP-ZR Premium STABILIZR®, dial 4", -30"Hg/0/100 psi &amp; -1/0/10 bar, 1/2" NPT inferior, caja Ac. Inox. 304., internos Ac. Inox. 316, clase 1%, aro bayoneta.</t>
  </si>
  <si>
    <t>PFP1050ZRR1R11</t>
  </si>
  <si>
    <t>Manovacuómetro Winters Serie PFP-ZR Premium STABILIZR®, dial 4", -30"Hg/0/200 psi &amp; -1/0/14 bar, 1/2" NPT inferior, caja Ac. Inox. 304., internos Ac. Inox. 316, clase 1%, aro bayoneta.</t>
  </si>
  <si>
    <t>PFP1051ZRR1R11</t>
  </si>
  <si>
    <t>Manovacuómetro Winters Serie PFP-ZR Premium STABILIZR®, dial 4", -30"Hg/0/300 psi &amp; -1/0/20 bar, 1/2" NPT inferior, caja Ac. Inox. 304., internos Ac. Inox. 316, clase 1%, aro bayoneta.</t>
  </si>
  <si>
    <t>PFP656ZRR1R11S</t>
  </si>
  <si>
    <t>Manómetro Winters Serie PFP-ZR Premium STABILIZR®, dial 4", 0/10 psi &amp; 0/0,6 bar, 1/2" NPT inferior, caja Ac. Inox. 304., internos Ac. Inox. 316, clase 1%, aro bayoneta.</t>
  </si>
  <si>
    <t>PFP656ZRR1R11</t>
  </si>
  <si>
    <t>Manómetro Winters Serie PFP-ZR Premium STABILIZR®, dial 4", 0/15 psi &amp; 0/1 bar, 1/2" NPT inferior, caja Ac. Inox. 304., internos Ac. Inox. 316, clase 1%, aro bayoneta.</t>
  </si>
  <si>
    <t>PFP656ZRR3-SG-4</t>
  </si>
  <si>
    <t>Manómetro Winters Serie PFP-ZR Premium STABILIZR®, dial 4", 0/1 Kg/cm2, 1/2" NPT inferior, caja Ac. Inox. 304., internos Ac. Inox. 316, clase 1%, aro bayoneta, con vidrio de seguridad.</t>
  </si>
  <si>
    <t>PFP656ZRR3R1-SG-4</t>
  </si>
  <si>
    <t>Manómetro Winters Serie PFP-ZR Premium STABILIZR®, dial 4", 0/1 Kg/cm2 &amp; 0/15 psi, 1/2" NPT inferior, caja Ac. Inox. 304., internos Ac. Inox. 316, clase 1%, aro bayoneta, con vidrio de seguridad.</t>
  </si>
  <si>
    <t>PFP656ZR11R1-BSPT-SG-4</t>
  </si>
  <si>
    <t>Manómetro Winters Serie PFP-ZR Premium STABILIZR®, dial 4", 0/1 bar &amp; 0/15 psi, 1/2" BSPT inferior, caja Ac. Inox. 304., internos Ac. Inox. 316, clase 1%, aro bayoneta, con vidrio de seguridad.</t>
  </si>
  <si>
    <t>PFP656ZRR3-T-SG-4</t>
  </si>
  <si>
    <t>Manómetro Winters Serie PFP-ZR Premium STABILIZR®, dial 4", 0/1 Kg/cm2, 1/2" NPT inferior, caja Ac. Inox. 304., internos Ac. Inox. 316, clase 1%, aro bayoneta, con tope fin escala, con vidrio de seguridad.</t>
  </si>
  <si>
    <t>PFP656ZRR1R99-SG-4</t>
  </si>
  <si>
    <t>Manómetro Winters Serie PFP-ZR Premium STABILIZR®, dial 4", 3/15 psi, 1/2" NPT inferior, caja Ac. Inox. 304., internos Ac. Inox. 316, clase 1%, aro bayoneta, con vidrio de seguridad.</t>
  </si>
  <si>
    <t>PFP657ZRR1R11</t>
  </si>
  <si>
    <t>Manómetro Winters Serie PFP-ZR Premium STABILIZR®, dial 4", 0/30 psi &amp; 0/2 bar, 1/2" NPT inferior, caja Ac. Inox. 304., internos Ac. Inox. 316, clase 1%, aro bayoneta.</t>
  </si>
  <si>
    <t>PFP657ZRR3-SG-4</t>
  </si>
  <si>
    <t>Manómetro Winters Serie PFP-ZR Premium STABILIZR®, dial 4", 0/2 kg/cm2, 1/2" NPT inferior, caja Ac. Inox. 304., internos Ac. Inox. 316, clase 1%, aro bayoneta, con vidrio de seguridad.</t>
  </si>
  <si>
    <t>PFP657ZR11R1-BSPT-SG4</t>
  </si>
  <si>
    <t>Manómetro Winters Serie PFP-ZR Premium STABILIZR®, dial 4", 0/2 bar &amp; 0/30 psi, 1/2" BSPT inferior, caja Ac. Inox. 304., internos Ac. Inox. 316, clase 1%, aro bayoneta, con vidrio de seguridad.</t>
  </si>
  <si>
    <t>PFP657ZRR3R1-SG-4</t>
  </si>
  <si>
    <t>Manómetro Winters Serie PFP-ZR Premium STABILIZR®, dial 4", 0/2 Kg/cm2 &amp; 0/30 psi, 1/2" NPT inferior, caja Ac. Inox. 304., internos Ac. Inox. 316, clase 1%, aro bayoneta, con vidrio de seguridad.</t>
  </si>
  <si>
    <t>PFP657ZRR3-T-SG-4</t>
  </si>
  <si>
    <t>Manómetro Winters Serie PFP-ZR Premium STABILIZR®, dial 4", 0/2 Kg/cm2, 1/2" NPT inferior, caja Ac. Inox. 304., internos Ac. Inox. 316, clase 1%, aro bayoneta, con tope fin escala, con vidrio de seguridad.</t>
  </si>
  <si>
    <t xml:space="preserve">PFP657ZRR3S1-SG-4 </t>
  </si>
  <si>
    <t>Manómetro Winters Serie PFP-ZR Premium STABILIZR®, dial 4", 0/2,5 Kg/cm2 &amp; 0/40 psi, 1/2" NPT inferior, caja Ac. Inox. 304., internos Ac. Inox. 316, clase 1%, aro bayoneta, con vidrio de seguridad.</t>
  </si>
  <si>
    <t>PFP657ZRR3S1-T-SG-4</t>
  </si>
  <si>
    <t>Manómetro Winters Serie PFP-ZR Premium STABILIZR®, dial 4", 0/2,5 Kg/cm2 &amp; 0/40 psi, 1/2" NPT inferior, caja Ac. Inox. 304., internos Ac. Inox. 316, clase 1%, aro bayoneta, con tope fin escala, con vidrio de seguridad.</t>
  </si>
  <si>
    <t>PFP658ZRR3S-SG-4</t>
  </si>
  <si>
    <t>Manómetro Winters Serie PFP-ZR Premium STABILIZR®, dial 4", 0/3 kg/cm2, 1/2" NPT inferior, caja Ac. Inox. 304., internos Ac. Inox. 316, clase 1%, aro bayoneta, con vidrio de seguridad.</t>
  </si>
  <si>
    <t>PFP658ZRR3-SG-4</t>
  </si>
  <si>
    <t>Manómetro Winters Serie PFP-ZR Premium STABILIZR®, dial 4", 0/4 kg/cm2, 1/2" NPT inferior, caja Ac. Inox. 304., internos Ac. Inox. 316, clase 1%, aro bayoneta, con vidrio de seguridad.</t>
  </si>
  <si>
    <t>PFP658ZRR1R11</t>
  </si>
  <si>
    <t>Manómetro Winters Serie PFP-ZR Premium STABILIZR®, dial 4", 0/60 psi &amp; 0/4 bar, 1/2" NPT inferior, caja Ac. Inox. 304., internos Ac. Inox. 316, clase 1%, aro bayoneta.</t>
  </si>
  <si>
    <t>PFP658R3-SG-4</t>
  </si>
  <si>
    <t>PFP658ZRR3-T-SG-4</t>
  </si>
  <si>
    <t>Manómetro Winters Serie PFP-ZR Premium STABILIZR®, dial 4", 0/4 kg/cm2, 1/2" NPT inferior, caja Ac. Inox. 304., internos Ac. Inox. 316, clase 1%, aro bayoneta, con tope fin escala, con vidrio de seguridad.</t>
  </si>
  <si>
    <t>PFP659ZRR3S-T-SG-4</t>
  </si>
  <si>
    <t>Manómetro Winters Serie PFP-ZR Premium STABILIZR®, dial 4", 0/6 kg/cm2, 1/2" NPT inferior, caja Ac. Inox. 304., internos Ac. Inox. 316, clase 1%, aro bayoneta, con tope fin escala, con vidrio de seguridad.</t>
  </si>
  <si>
    <t>PFP659ZRR3S-SG-4</t>
  </si>
  <si>
    <t>Manómetro Winters Serie PFP-ZR Premium STABILIZR®, dial 4", 0/6 kg/cm2, 1/2" NPT inferior, caja Ac. Inox. 304., internos Ac. Inox. 316, clase 1%, aro bayoneta, con vidrio de seguridad.</t>
  </si>
  <si>
    <t xml:space="preserve">PFP659ZRR3-SG-4 </t>
  </si>
  <si>
    <t>Manómetro Winters Serie PFP-ZR Premium STABILIZR®, dial 4", 0/7 kg/cm2, 1/2" NPT inferior, caja Ac. Inox. 304., internos Ac. Inox. 316, clase 1%, aro bayoneta, con vidrio de seguridad.</t>
  </si>
  <si>
    <t>PFP659ZRR1R11</t>
  </si>
  <si>
    <t>Manómetro Winters Serie PFP-ZR Premium STABILIZR®, dial 4", 0/100 psi &amp; 0/7 bar, 1/2" NPT inferior, caja Ac. Inox. 304., internos Ac. Inox. 316, clase 1%, aro bayoneta.</t>
  </si>
  <si>
    <t>PFP660ZRR3-SG-4</t>
  </si>
  <si>
    <t>Manómetro Winters Serie PFP-ZR Premium STABILIZR®, dial 4", 0/10 bar, 1/2" NPT inferior, caja Ac. Inox. 304., internos Ac. Inox. 316, clase 1%, aro bayoneta, con vidrio de seguridad.</t>
  </si>
  <si>
    <t>PFP660ZRR3-T-SG-4</t>
  </si>
  <si>
    <t>Manómetro Winters Serie PFP-ZR Premium STABILIZR®, dial 4", 0/10 kg/cm2, 1/2" NPT inferior, caja Ac. Inox. 304., internos Ac. Inox. 316, clase 1%, aro bayoneta, con tope fin escala, con vidrio de seguridad.</t>
  </si>
  <si>
    <t>PFP660ZRR1R11S</t>
  </si>
  <si>
    <t>Manómetro Winters Serie PFP-ZR Premium STABILIZR®, dial 4", 0/150 psi &amp; 0/10 bar, 1/2" NPT inferior, caja Ac. Inox. 304., internos Ac. Inox. 316, clase 1%, aro bayoneta.</t>
  </si>
  <si>
    <t>PFP660ZRR1R11</t>
  </si>
  <si>
    <t>Manómetro Winters Serie PFP-ZR Premium STABILIZR®, dial 4", 0/160 psi &amp; 0/11 bar, 1/2" NPT inferior, caja Ac. Inox. 304., internos Ac. Inox. 316, clase 1%, aro bayoneta.</t>
  </si>
  <si>
    <t>PFP661ZRR1R11</t>
  </si>
  <si>
    <t>Manómetro Winters Serie PFP-ZR Premium STABILIZR®, dial 4", 0/200 psi &amp; 0/14 bar, 1/2" NPT inferior, caja Ac. Inox. 304., internos Ac. Inox. 316, clase 1%, aro bayoneta.</t>
  </si>
  <si>
    <t>PFP661ZRR3S-T-SG-4</t>
  </si>
  <si>
    <t>Manómetro Winters Serie PFP-ZR Premium STABILIZR®, dial 4", 0/16 kg/cm2, 1/2" NPT inferior, caja Ac. Inox. 304., internos Ac. Inox. 316, clase 1%, aro bayoneta, con tope escala, con vidrio de seguridad.</t>
  </si>
  <si>
    <t>PFP662ZRR3S-SG-4</t>
  </si>
  <si>
    <t>Manómetro Winters Serie PFP-ZR Premium STABILIZR®, dial 4", 0/16 kg/cm2, 1/2" NPT inferior, caja Ac. Inox. 304., internos Ac. Inox. 316, clase 1%, aro bayoneta, con vidrio de seguridad.</t>
  </si>
  <si>
    <t>PFP662ZRR3S-T-SG-4</t>
  </si>
  <si>
    <t>Manómetro Winters Serie PFP-ZR Premium STABILIZR®, dial 4", 0/20 kg/cm2, 1/2" NPT inferior, caja Ac. Inox. 304., internos Ac. Inox. 316, clase 1%, aro bayoneta, con tope escala, con vidrio de seguridad.</t>
  </si>
  <si>
    <t>PFP662ZRR1R11</t>
  </si>
  <si>
    <t>Manómetro Winters Serie PFP-ZR Premium STABILIZR®, dial 4", 0/300 psi &amp; 0/20 bar, 1/2" NPT inferior, caja Ac. Inox. 304., internos Ac. Inox. 316, clase 1%, aro bayoneta.</t>
  </si>
  <si>
    <t>PFP662ZRR3-SG-4</t>
  </si>
  <si>
    <t>Manómetro Winters Serie PFP-ZR Premium STABILIZR®, dial 4", 0/300 psi &amp; 0/20 bar, 1/2" NPT inferior, caja Ac. Inox. 304., internos Ac. Inox. 316, clase 1%, aro bayoneta, con vidrio de seguridad.</t>
  </si>
  <si>
    <t>PFP662ZRR3R1-SG-4</t>
  </si>
  <si>
    <t>Manómetro Winters Serie PFP-ZR Premium STABILIZR®, dial 4", 0/20 kg/cm2 &amp; 0/300 psi, 1/2" NPT inferior, caja Ac. Inox. 304., internos Ac. Inox. 316, clase 1%, aro bayoneta, con vidrio de seguridad.</t>
  </si>
  <si>
    <t>PFP666ZRR3S-T-SG-4</t>
  </si>
  <si>
    <t>Manómetro Winters Serie PFP-ZR Premium STABILIZR®, dial 4", 0/25 kg/cm2, 1/2" NPT inferior, caja Ac. Inox. 304., internos Ac. Inox. 316, clase 1%, aro bayoneta, tope fin escala, con vidrio de seguridad.</t>
  </si>
  <si>
    <t xml:space="preserve">PFP666ZRR3S1-SG-4 </t>
  </si>
  <si>
    <t>Manómetro Winters Serie PFP-ZR Premium STABILIZR®, dial 4", 0/25 kg/cm2, 1/2" NPT inferior, caja Ac. Inox. 304., internos Ac. Inox. 316, clase 1%, aro bayoneta, con vidrio de seguridad.</t>
  </si>
  <si>
    <t>PFP666ZRR1R11</t>
  </si>
  <si>
    <t>Manómetro Winters Serie PFP-ZR Premium STABILIZR®, dial 4", 0/400 psi &amp; 0/30 bar, 1/2" NPT inferior, caja Ac. Inox. 304., internos Ac. Inox. 316, clase 1%, aro bayoneta.</t>
  </si>
  <si>
    <t>PFP666ZRR3S-SG-4</t>
  </si>
  <si>
    <t>Manómetro Winters Serie PFP-ZR Premium STABILIZR®, dial 4", 0/30 kg/cm2, 1/2" NPT inferior, caja Ac. Inox. 304., internos Ac. Inox. 316, clase 1%, aro bayoneta, tope fin escala, con vidrio de seguridad.</t>
  </si>
  <si>
    <t>PFP663ZRR3S-SG-4</t>
  </si>
  <si>
    <t>Manómetro Winters Serie PFP-ZR Premium STABILIZR®, dial 4", 0/30 kg/cm2, 1/2" NPT inferior, caja Ac. Inox. 304., internos Ac. Inox. 316, clase 1%, aro bayoneta, con vidrio de seguridad.</t>
  </si>
  <si>
    <t>PFP663ZRR3S1-SG-4</t>
  </si>
  <si>
    <t>Manómetro Winters Serie PFP-ZR Premium STABILIZR®, dial 4", 0/35 kg/cm2, 1/2" NPT inferior, caja Ac. Inox. 304., internos Ac. Inox. 316, clase 1%, aro bayoneta, con vidrio de seguridad.</t>
  </si>
  <si>
    <t>PFP663ZRR3-T-SG-4</t>
  </si>
  <si>
    <t xml:space="preserve">Manómetro Winters Serie PFP-ZR Premium STABILIZR®, dial 4", 0/40 kg/cm2, 1/2" NPT inferior, caja Ac. Inox. 304., internos Ac. Inox. 316, clase 1%, aro bayoneta, tope fin escala, con vidrio de seguridad. </t>
  </si>
  <si>
    <t>PFP663ZRR1R11</t>
  </si>
  <si>
    <t>Manómetro Winters Serie PFP-ZR Premium STABILIZR®, dial 4", 0/600 psi &amp; 0/40 bar, 1/2" NPT inferior, caja Ac. Inox. 304., internos Ac. Inox. 316, clase 1%, aro bayoneta.</t>
  </si>
  <si>
    <t>PFP663ZRR3-SG-4</t>
  </si>
  <si>
    <t>Manómetro Winters Serie PFP-ZR Premium STABILIZR®, dial 4", 0/40 kg/cm2, 1/2" NPT inferior, caja Ac. Inox. 304., internos Ac. Inox. 316, clase 1%, aro bayoneta, con vidrio de seguridad.</t>
  </si>
  <si>
    <t>PFP664ZRR3R1S-SG-4</t>
  </si>
  <si>
    <t>Manómetro Winters Serie PFP-ZR Premium STABILIZR®, dial 4", 0/50 kg/cm2 &amp; 0/750 psi, 1/2" NPT inferior, caja Ac. Inox. 304., internos Ac. Inox. 316, clase 1%, aro bayoneta, con vidrio de seguridad.</t>
  </si>
  <si>
    <t>PFP664ZRR3S-SG-4</t>
  </si>
  <si>
    <t>Manómetro Winters Serie PFP-ZR Premium STABILIZR®, dial 4", 0/50 kg/cm2, 1/2" NPT inferior, caja Ac. Inox. 304., internos Ac. Inox. 316, clase 1%, aro bayoneta, con vidrio de seguridad.</t>
  </si>
  <si>
    <t>PFP664ZRR3S1-SG-4</t>
  </si>
  <si>
    <t>Manómetro Winters Serie PFP-ZR Premium STABILIZR®, dial 4", 0/60 kg/cm2, 1/2" NPT inferior, caja Ac. Inox. 304., internos Ac. Inox. 316, clase 1%, aro bayoneta, con vidrio de seguridad.</t>
  </si>
  <si>
    <t>PFP664ZRR3S-T-SG-4</t>
  </si>
  <si>
    <t>Manómetro Winters Serie PFP-ZR Premium STABILIZR®, dial 4", 0/60 kg/cm2, 1/2" NPT inferior, caja Ac. Inox. 304., internos Ac. Inox. 316, clase 1%, aro bayoneta, con tope fin escala, con vidrio de seguridad.</t>
  </si>
  <si>
    <t>PFP664ZRR1R11</t>
  </si>
  <si>
    <t>Manómetro Winters Serie PFP-ZR Premium STABILIZR®, dial 4", 0/1.000 psi &amp; 0/70 bar, 1/2" NPT inferior, caja Ac. Inox. 304., internos Ac. Inox. 316, clase 1%, aro bayoneta.</t>
  </si>
  <si>
    <t>PFP664ZRR3R1-SG-4</t>
  </si>
  <si>
    <t>Manómetro Winters Serie PFP-ZR Premium STABILIZR®, dial 4", 0/70 kg/cm2 &amp; 0/1.000 psi, 1/2" NPT inferior, caja Ac. Inox. 304., internos Ac. Inox. 316, clase 1%, aro bayoneta, con vidrio de seguridad.</t>
  </si>
  <si>
    <t>PFP664ZRR3-SG-4</t>
  </si>
  <si>
    <t>Manómetro Winters Serie PFP-ZR Premium STABILIZR®, dial 4", 0/70 kg/cm2, 1/2" NPT inferior, caja Ac. Inox. 304., internos Ac. Inox. 316, clase 1%, aro bayoneta, con vidrio de seguridad.</t>
  </si>
  <si>
    <t>PFP664ZRR3-T-SG-4</t>
  </si>
  <si>
    <t>Manómetro Winters Serie PFP-ZR Premium STABILIZR®, dial 4", 0/70 kg/cm2, 1/2" NPT inferior, caja Ac. Inox. 304., internos Ac. Inox. 316, clase 1%, aro bayoneta, con tope fin escala, con vidrio de seguridad.</t>
  </si>
  <si>
    <t>PFP665ZRR1R11</t>
  </si>
  <si>
    <t>Manómetro Winters Serie PFP-ZR Premium STABILIZR®, dial 4", 0/1.500 psi &amp; 0/100 bar, 1/2" NPT inferior, caja Ac. Inox. 304., internos Ac. Inox. 316, clase 1%, aro bayoneta.</t>
  </si>
  <si>
    <t>PFP665ZRR3-SG-4</t>
  </si>
  <si>
    <t>Manómetro Winters Serie PFP-ZR Premium STABILIZR®, dial 4", 0/100 kg/cm2, 1/2" NPT inferior, caja Ac. Inox. 304., internos Ac. Inox. 316, clase 1%, aro bayoneta, con vidrio de seguridad.</t>
  </si>
  <si>
    <t>PFP665ZRR3-T-SG-4</t>
  </si>
  <si>
    <t>Manómetro Winters Serie PFP-ZR Premium STABILIZR®, dial 4", 0/100 kg/cm2, 1/2" NPT inferior, caja Ac. Inox. 304., internos Ac. Inox. 316, clase 1%, aro bayoneta, con tope fin escala, con vidrio de seguridad.</t>
  </si>
  <si>
    <t>PFP667ZRR1R11</t>
  </si>
  <si>
    <t>Manómetro Winters Serie PFP-ZR Premium STABILIZR®, dial 4", 0/2.000 psi &amp; 0/140 bar, 1/2" NPT inferior, caja Ac. Inox. 304., internos Ac. Inox. 316, clase 1%, aro bayoneta.</t>
  </si>
  <si>
    <t>PFP667ZRR3S-SG-4</t>
  </si>
  <si>
    <t>Manómetro Winters Serie PFP-ZR Premium STABILIZR®, dial 4", 0/150 kg/cm2, 1/2" NPT inferior, caja Ac. Inox. 304., internos Ac. Inox. 316, clase 1%, aro bayoneta, con vidrio de seguridad.</t>
  </si>
  <si>
    <t>PFP667ZRR3S1-SG-4</t>
  </si>
  <si>
    <t>Manómetro Winters Serie PFP-ZR Premium STABILIZR®, dial 4", 0/160 kg/cm2, 1/2" NPT inferior, caja Ac. Inox. 304., internos Ac. Inox. 316, clase 1%, aro bayoneta, con vidrio de seguridad.</t>
  </si>
  <si>
    <t>PFP668ZRR3S-T-SG-4</t>
  </si>
  <si>
    <t>Manómetro Winters Serie PFP-ZR Premium STABILIZR®, dial 4", 0/150 kg/cm2, 1/2" NPT inferior, caja Ac. Inox. 304., internos Ac. Inox. 316, clase 1%, aro bayoneta, con tope fin escala, con vidrio de seguridad.</t>
  </si>
  <si>
    <t>PFP668ZRR3-T-SG-4</t>
  </si>
  <si>
    <t>Manómetro Winters Serie PFP-ZR Premium STABILIZR®, dial 4", 0/200 kg/cm2, 1/2" NPT inferior, caja Ac. Inox. 304., internos Ac. Inox. 316, clase 1%, aro bayoneta, con tope fin escala, con vidrio de seguridad.</t>
  </si>
  <si>
    <t>PFP668ZRR1R11</t>
  </si>
  <si>
    <t>Manómetro Winters Serie PFP-ZR Premium STABILIZR®, dial 4", 0/3.000 psi &amp; 0/200 bar, 1/2" NPT inferior, caja Ac. Inox. 304., internos Ac. Inox. 316, clase 1%, aro bayoneta.</t>
  </si>
  <si>
    <t>PFP668ZRR3-SG-4</t>
  </si>
  <si>
    <t>Manómetro Winters Serie PFP-ZR Premium STABILIZR®, dial 4", 0/200 kg/cm2, 1/2" NPT inferior, caja Ac. Inox. 304., internos Ac. Inox. 316, clase 1%, aro bayoneta, con vidrio de seguridad.</t>
  </si>
  <si>
    <t>PFP669ZRR3S1-T-SG-4</t>
  </si>
  <si>
    <t>Manómetro Winters Serie PFP-ZR Premium STABILIZR®, dial 4", 0/250 kg/cm2, 1/2" NPT inferior, caja Ac. Inox. 304., internos Ac. Inox. 316, clase 1%, aro bayoneta, tope fin de escala, con vidrio de seguridad.</t>
  </si>
  <si>
    <t>PFP669ZRR1R11</t>
  </si>
  <si>
    <t>Manómetro Winters Serie PFP-ZR Premium STABILIZR®, dial 4", 0/4.000 psi &amp; 0/280 bar, 1/2" NPT inferior, caja Ac. Inox. 304., internos Ac. Inox. 316, clase 1%, aro bayoneta.</t>
  </si>
  <si>
    <t>Manómetro Winters Serie PFP-ZR Premium STABILIZR®, dial 4", 0/5.000 psi &amp; 0/350 bar, 1/2" NPT inferior, caja Ac. Inox. 304., internos Ac. Inox. 316, clase 1%, aro bayoneta.</t>
  </si>
  <si>
    <t>PFP669R3S2-SG-4</t>
  </si>
  <si>
    <t>Manómetro Winters Serie PFP-ZR Premium STABILIZR®, dial 4", 0/350 kg/cm2, 1/2" NPT inferior, caja Ac. Inox. 304., internos Ac. Inox. 316, clase 1%, aro bayoneta, con vidrio de seguridad.</t>
  </si>
  <si>
    <t>PFP675ZRR1R11</t>
  </si>
  <si>
    <t>Manómetro Winters Serie PFP-ZR Premium STABILIZR®, dial 4", 0/6.000 psi &amp; 0/400 bar, 1/2" NPT inferior, caja Ac. Inox. 304., internos Ac. Inox. 316, clase 1%, aro bayoneta.</t>
  </si>
  <si>
    <t>PFP675ZRR3R1</t>
  </si>
  <si>
    <t>Manómetro Winters Serie PFP-ZR Premium STABILIZR®, dial 4", 0/400 kg/cm2 &amp; 0/6.000 psi, 1/2" NPT inferior, caja Ac. Inox. 304., internos Ac. Inox. 316, clase 1%, aro bayoneta.</t>
  </si>
  <si>
    <t>PFP675ZRR3-SG-4</t>
  </si>
  <si>
    <t>Manómetro Winters Serie PFP-ZR Premium STABILIZR®, dial 4", 0/400 kg/cm2, 1/2" NPT inferior, caja Ac. Inox. 304., internos Ac. Inox. 316, clase 1%, aro bayoneta, con vidrio de seguridad.</t>
  </si>
  <si>
    <t>PFP675ZRR3R1-SG-4</t>
  </si>
  <si>
    <t>Manómetro Winters Serie PFP-ZR Premium STABILIZR®, dial 4", 0/400 kg/cm2 &amp; 0/6.000 psi, 1/2" NPT inferior, caja Ac. Inox. 304., internos Ac. Inox. 316, clase 1%, aro bayoneta, con vidrio de seguridad.</t>
  </si>
  <si>
    <t>PFP670ZRR1R11</t>
  </si>
  <si>
    <t>Manómetro Winters Serie PFP-ZR Premium STABILIZR®, dial 4", 0/10.000 psi &amp; 0/700 bar, 1/2" NPT inferior, caja Ac. Inox. 304., internos Ac. Inox. 316, clase 1%, aro bayoneta.</t>
  </si>
  <si>
    <t>PFP671ZRR1R11</t>
  </si>
  <si>
    <t>Manómetro Winters Serie PFP-ZR Premium STABILIZR®, dial 4", 0/15.000 psi &amp; 0/1.000 bar, 1/2" NPT inferior, caja Ac. Inox. 304., internos Ac. Inox. 316, clase 1%, aro bayoneta.</t>
  </si>
  <si>
    <t>PFP671ZRR11R1-BSPT</t>
  </si>
  <si>
    <t>Manómetro Winters Serie PFP-ZR Premium STABILIZR®, dial 4", 0/15.000 psi &amp; 0/1.000 bar, 1/2" BSPT inferior, caja Ac. Inox. 304., internos Ac. Inox. 316, clase 1%, aro bayoneta.</t>
  </si>
  <si>
    <t>PFP672ZRR1R11</t>
  </si>
  <si>
    <t>Manómetro Winters Serie PFP-ZR Premium STABILIZR®, dial 4", 0/20.000 psi &amp; 0/1.400 bar, 1/2" NPT inferior, caja Ac. Inox. 304., internos Ac. Inox. 316, clase 1%, aro bayoneta.</t>
  </si>
  <si>
    <t>PFP2308ZRR6R11</t>
  </si>
  <si>
    <t>Vacuómetro Winters Serie PFP-ZR Premium STABILIZR®, dial 4", -30/0"Hg &amp; -1/0 bar, 1/2" NPT posterior, caja Ac. Inox 304, internos Ac. Inox. 316, clase 1%, aro bayoneta.</t>
  </si>
  <si>
    <t>PFP2308ZRR7R6-SG-4</t>
  </si>
  <si>
    <t>Vacuómetro Winters Serie PFP-ZR Premium STABILIZR®, dial 4", -760 mmHg/0 &amp; -30/0"Hg, 1/2" NPT posterior, caja Ac. Inox 304, internos Ac. Inox. 316, clase 1%, aro bayoneta, con vidrio de seguridad.</t>
  </si>
  <si>
    <t>PFP2309ZRR1R11</t>
  </si>
  <si>
    <t>Manovacuómetro Winters Serie PFP-ZR Premium STABILIZR®, dial 4", -30"Hg/0/15 psi &amp; -1/0/1 bar, 1/2" NPT posterior, caja Ac. Inox. 304., internos Ac. Inox. 316, clase 1%, aro bayoneta.</t>
  </si>
  <si>
    <t>PFP2310ZRR3R1-SG-4</t>
  </si>
  <si>
    <t>Manovacuómetro Winters Serie PFP-ZR Premium STABILIZR®, dial 4", -1/0/2 Kg/cm2 &amp; -30"Hg/0/30 psi, 1/2" NPT posterior, caja Ac. Inox. 304., internos Ac. Inox. 316, clase 1%, aro bayoneta, con vidrio de seguridad.</t>
  </si>
  <si>
    <t>PFP2310ZRR1R11</t>
  </si>
  <si>
    <t>Manovacuómetro Winters Serie PFP-ZR Premium STABILIZR®, dial 4", -30"Hg/0/30 psi &amp; -1/0/2 bar, 1/2" NPT posterior, caja Ac. Inox. 304., internos Ac. Inox. 316, clase 1%, aro bayoneta.</t>
  </si>
  <si>
    <t>PFP2311ZRR1R11</t>
  </si>
  <si>
    <t>Manovacuómetro Winters Serie PFP-ZR Premium STABILIZR®, dial 4", -30"Hg/0/60 psi &amp; -1/0/4 bar, 1/2" NPT posterior, caja Ac. Inox. 304., internos Ac. Inox. 316, clase 1%, aro bayoneta.</t>
  </si>
  <si>
    <t>PFP2312ZRR1R11</t>
  </si>
  <si>
    <t>Manovacuómetro Winters Serie PFP-ZR Premium STABILIZR®, dial 4", -30"Hg/0/100 psi &amp; -1/0/7 bar, 1/2" NPT posterior, caja Ac. Inox. 304., internos Ac. Inox. 316, clase 1%, aro bayoneta.</t>
  </si>
  <si>
    <t>PFP2313ZRR1R11</t>
  </si>
  <si>
    <t>Manovacuómetro Winters Serie PFP-ZR Premium STABILIZR®, dial 4", -30"Hg/0/150 psi &amp; -1/0/10 bar, 1/2" NPT posterior, caja Ac. Inox. 304., internos Ac. Inox. 316, clase 1%, aro bayoneta.</t>
  </si>
  <si>
    <t>PFP2313ZRR3R1-SG-4</t>
  </si>
  <si>
    <t>Manovacuómetro Winters Serie PFP-ZR Premium STABILIZR®, dial 4", -1/0/10Kg/cm2 &amp; -30"Hg/0/150 psi, 1/2" NPT posterior, caja Ac. Inox. 304., internos Ac. Inox. 316, clase 1%, aro bayoneta, con vidrio de seguridad.</t>
  </si>
  <si>
    <t>PFP2314ZRR1R11</t>
  </si>
  <si>
    <t>Manovacuómetro Winters Serie PFP-ZR Premium STABILIZR®, dial 4", -30"Hg/0/200 psi &amp; -1/0/14 bar, 1/2" NPT posterior, caja Ac. Inox. 304., internos Ac. Inox. 316, clase 1%, aro bayoneta.</t>
  </si>
  <si>
    <t>PFP2315ZRR1R11</t>
  </si>
  <si>
    <t>Manovacuómetro Winters Serie PFP-ZR Premium STABILIZR®, dial 4", -30"Hg/0/300 psi &amp; -1/0/20 bar, 1/2" NPT posterior, caja Ac. Inox. 304., internos Ac. Inox. 316, clase 1%, aro bayoneta.</t>
  </si>
  <si>
    <t>PFP2316ZRR1R11</t>
  </si>
  <si>
    <t>Manómetro Winters Serie PFP-ZR Premium STABILIZR®, dial 4", 0/15 psi &amp; 0/1 bar, 1/2" NPT posterior, caja Ac. Inox. 304., internos Ac. Inox. 316, clase 1%, aro bayoneta.</t>
  </si>
  <si>
    <t>PFP2316ZRR3R1-SG-4</t>
  </si>
  <si>
    <t>Manómetro Winters Serie PFP-ZR Premium STABILIZR®, dial 4", 0/1 Kg/cm2 &amp; 0/15 psi, 1/2" NPT posterior, caja Ac. Inox. 304., internos Ac. Inox. 316, clase 1%, aro bayoneta, con vidrio de seguridad.</t>
  </si>
  <si>
    <t>PFP2317ZRR1R11</t>
  </si>
  <si>
    <t>Manómetro Winters Serie PFP-ZR Premium STABILIZR®, dial 4", 0/30 psi &amp; 0/2 bar, 1/2" NPT posterior, caja Ac. Inox. 304., internos Ac. Inox. 316, clase 1%, aro bayoneta.</t>
  </si>
  <si>
    <t>PFP2317ZRR3R1-SG-4</t>
  </si>
  <si>
    <t>Manómetro Winters Serie PFP-ZR Premium STABILIZR®, dial 4", 0/2 Kg/cm2 &amp; 0/30 psi, 1/2" NPT posterior, caja Ac. Inox. 304., internos Ac. Inox. 316, clase 1%, aro bayoneta, con vidrio de seguridad.</t>
  </si>
  <si>
    <t>PFP2318ZRR1R11</t>
  </si>
  <si>
    <t>Manómetro Winters Serie PFP-ZR Premium STABILIZR®, dial 4", 0/60 psi &amp; 0/4 bar, 1/2" NPT posterior, caja Ac. Inox. 304., internos Ac. Inox. 316, clase 1%, aro bayoneta.</t>
  </si>
  <si>
    <t>PFP2318ZRR3R1-SG-4</t>
  </si>
  <si>
    <t>Manómetro Winters Serie PFP-ZR Premium STABILIZR®, dial 4", 0/4 Kg/cm2 &amp; 0/60 psi, 1/2" NPT posterior, caja Ac. Inox. 304., internos Ac. Inox. 316, clase 1%, aro bayoneta, con vidrio de seguridad.</t>
  </si>
  <si>
    <t>PFP2319ZRR1R11</t>
  </si>
  <si>
    <t>Manómetro Winters Serie PFP-ZR Premium STABILIZR®, dial 4", 0/100 psi &amp; 0/7 bar, 1/2" NPT posterior, caja Ac. Inox. 304., internos Ac. Inox. 316, clase 1%, aro bayoneta.</t>
  </si>
  <si>
    <t>PFP2319ZRR3R1-SG-4</t>
  </si>
  <si>
    <t>Manómetro Winters Serie PFP-ZR Premium STABILIZR®, dial 4", 0/7 Kg/cm2 &amp; 0/100 psi, 1/2" NPT posterior, caja Ac. Inox. 304., internos Ac. Inox. 316, clase 1%, aro bayoneta, con vidrio de seguridad.</t>
  </si>
  <si>
    <t>PFP2319ZRR2-SG-4</t>
  </si>
  <si>
    <t>Manómetro Winters Serie PFP-ZR Premium STABILIZR®, dial 4", 0/700 KPa, 1/2" NPT posterior, caja Ac. Inox. 304., internos Ac. Inox. 316, clase 1%, aro bayoneta, con vidrio de seguridad.</t>
  </si>
  <si>
    <t>PFP2320ZRR3R1-SG-4</t>
  </si>
  <si>
    <t>Manómetro Winters Serie PFP-ZR Premium STABILIZR®, dial 4", 0/10 Kg/cm2 &amp; 0/150 psi, 1/2" NPT posterior, caja Ac. Inox. 304., internos Ac. Inox. 316, clase 1%, aro bayoneta, con vidrio de seguridad.</t>
  </si>
  <si>
    <t>PFP2320ZRR1R11</t>
  </si>
  <si>
    <t>Manómetro Winters Serie PFP-ZR Premium STABILIZR®, dial 4", 0/160 psi &amp; 0/11 bar, 1/2" NPT posterior, caja Ac. Inox. 304., internos Ac. Inox. 316, clase 1%, aro bayoneta.</t>
  </si>
  <si>
    <t>PFP2321ZRR1R11</t>
  </si>
  <si>
    <t>Manómetro Winters Serie PFP-ZR Premium STABILIZR®, dial 4", 0/200 psi &amp; 0/14 bar, 1/2" NPT posterior, caja Ac. Inox. 304., internos Ac. Inox. 316, clase 1%, aro bayoneta.</t>
  </si>
  <si>
    <t>PFP2321ZRR3R1-SG-4</t>
  </si>
  <si>
    <t>Manómetro Winters Serie PFP-ZR Premium STABILIZR®, dial 4", 0/14 Kg/cm2 &amp; 0/200 psi, 1/2" NPT posterior, caja Ac. Inox. 304., internos Ac. Inox. 316, clase 1%, aro bayoneta, con vidrio de seguridad.</t>
  </si>
  <si>
    <t>PFP2322ZRR1R11</t>
  </si>
  <si>
    <t>Manómetro Winters Serie PFP-ZR Premium STABILIZR®, dial 4", 0/300 psi &amp; 0/20 bar, 1/2" NPT posterior, caja Ac. Inox. 304., internos Ac. Inox. 316, clase 1%, aro bayoneta.</t>
  </si>
  <si>
    <t>PFP2322ZRR3R1-SG-4</t>
  </si>
  <si>
    <t>Manómetro Winters Serie PFP-ZR Premium STABILIZR®, dial 4", 0/20 Kg/cm2 &amp; 0/300 psi, 1/2" NPT posterior, caja Ac. Inox. 304., internos Ac. Inox. 316, clase 1%, aro bayoneta, con vidrio de seguridad.</t>
  </si>
  <si>
    <t>PFP2323ZRR3R1-SG-4</t>
  </si>
  <si>
    <t>Manómetro Winters Serie PFP-ZR Premium STABILIZR®, dial 4", 0/28 Kg/cm2 &amp; 0/400 psi, 1/2" NPT posterior, caja Ac. Inox. 304., internos Ac. Inox. 316, clase 1%, aro bayoneta, con vidrio de seguridad.</t>
  </si>
  <si>
    <t>PFP2323ZRR1R11</t>
  </si>
  <si>
    <t>Manómetro Winters Serie PFP-ZR Premium STABILIZR®, dial 4", 0/400 psi &amp; 0/30 bar, 1/2" NPT posterior, caja Ac. Inox. 304., internos Ac. Inox. 316, clase 1%, aro bayoneta.</t>
  </si>
  <si>
    <t>PFP2324ZRR1R11</t>
  </si>
  <si>
    <t>Manómetro Winters Serie PFP-ZR Premium STABILIZR®, dial 4", 0/600 psi &amp; 0/40 bar, 1/2" NPT posterior, caja Ac. Inox. 304., internos Ac. Inox. 316, clase 1%, aro bayoneta.</t>
  </si>
  <si>
    <t>PFP2324ZRR3R1-SG-4</t>
  </si>
  <si>
    <t>Manómetro Winters Serie PFP-ZR Premium STABILIZR®, dial 4", 0/40 Kg/cm2 &amp; 0/600 psi, 1/2" NPT posterior, caja Ac. Inox. 304., internos Ac. Inox. 316, clase 1%, aro bayoneta, con vidrio de seguridad.</t>
  </si>
  <si>
    <t>PFP2325ZRR1R11</t>
  </si>
  <si>
    <t>Manómetro Winters Serie PFP-ZR Premium STABILIZR®, dial 4", 0/1.000 psi &amp; 0/70 bar, 1/2" NPT posterior, caja Ac. Inox. 304., internos Ac. Inox. 316, clase 1%, aro bayoneta.</t>
  </si>
  <si>
    <t>PFP2325ZRR3R1-SG-4</t>
  </si>
  <si>
    <t>Manómetro Winters Serie PFP-ZR Premium STABILIZR®, dial 4", 0/70 Kg/cm2 &amp; 0/1.000 psi, 1/2" NPT posterior, caja Ac. Inox. 304., internos Ac. Inox. 316, clase 1%, aro bayoneta, con vidrio de seguridad.</t>
  </si>
  <si>
    <t>PFP2325ZRR3-SG-4-4FF</t>
  </si>
  <si>
    <t xml:space="preserve">Manómetro Winters Serie PFP-ZR Premium STABILIZR®, dial 4", 0/70 Kg/cm2, 1/2" NPT posterior, caja Ac. Inox. 304., internos Ac. Inox. 316, clase 1%, aro bayoneta, con vidrio de seguridad, con brida frontal. </t>
  </si>
  <si>
    <t>PFP1190ZRR1R11</t>
  </si>
  <si>
    <t>Manómetro Winters Serie PFP-ZR Premium STABILIZR®, dial 4", 0/1.500 psi &amp; 0/100 bar, 1/2" NPT posterior, caja Ac. Inox. 304., internos Ac. Inox. 316, clase 1%, aro bayoneta.</t>
  </si>
  <si>
    <t>PFP1190ZRR1R11-SG-4</t>
  </si>
  <si>
    <t>Manómetro Winters Serie PFP-ZR Premium STABILIZR®, dial 4", 0/1.500 psi &amp; 0/100 bar, 1/2" NPT posterior, caja Ac. Inox. 304., internos Ac. Inox. 316, clase 1%, aro bayoneta, con vidrio de seguridad.</t>
  </si>
  <si>
    <t>PFP1190ZRR1R11-SG4</t>
  </si>
  <si>
    <t>PFP1190ZRR3R1-SG-4</t>
  </si>
  <si>
    <t>Manómetro Winters Serie PFP-ZR Premium STABILIZR®, dial 4", 0/100 Kg/cm2 &amp; 0/1.500 psi, 1/2" NPT posterior, caja Ac. Inox. 304., internos Ac. Inox. 316, clase 1%, aro bayoneta, con vidrio de seguridad.</t>
  </si>
  <si>
    <t>PFP1191ZRR1R11</t>
  </si>
  <si>
    <t>Manómetro Winters Serie PFP-ZR Premium STABILIZR®, dial 4", 0/2.000 psi &amp; 0/140 bar, 1/2" NPT posterior, caja Ac. Inox. 304., internos Ac. Inox. 316, clase 1%, aro bayoneta.</t>
  </si>
  <si>
    <t>PFP1191ZRR3R1-SG-4</t>
  </si>
  <si>
    <t>Manómetro Winters Serie PFP-ZR Premium STABILIZR®, dial 4", 0/140 Kg/cm2 &amp; 0/2.000 psi, 1/2" NPT posterior, caja Ac. Inox. 304., internos Ac. Inox. 316, clase 1%, aro bayoneta, con vidrio de seguridad.</t>
  </si>
  <si>
    <t>PFP1192ZRR1R11</t>
  </si>
  <si>
    <t>Manómetro Winters Serie PFP-ZR Premium STABILIZR®, dial 4", 0/3.000 psi &amp; 0/200 bar, 1/2" NPT posterior, caja Ac. Inox. 304., internos Ac. Inox. 316, clase 1%, aro bayoneta.</t>
  </si>
  <si>
    <t>PFP1192ZRR3R1-SG-4</t>
  </si>
  <si>
    <t>Manómetro Winters Serie PFP-ZR Premium STABILIZR®, dial 4", 0/200 Kg/cm2 &amp; 3.000 psi, 1/2" NPT posterior, caja Ac. Inox. 304., internos Ac. Inox. 316, clase 1%, aro bayoneta, con vidrio de seguridad.</t>
  </si>
  <si>
    <t>PFP1193ZRR1R11</t>
  </si>
  <si>
    <t>Manómetro Winters Serie PFP-ZR Premium STABILIZR®, dial 4", 0/5.000 psi &amp; 0/350 bar, 1/2" NPT posterior, caja Ac. Inox. 304., internos Ac. Inox. 316, clase 1%, aro bayoneta.</t>
  </si>
  <si>
    <t>PFP1197ZRR1R11</t>
  </si>
  <si>
    <t>Manómetro Winters Serie PFP-ZR Premium STABILIZR®, dial 4", 0/6.000 psi &amp; 0/400 bar, 1/2" NPT posterior, caja Ac. Inox. 304., internos Ac. Inox. 316, clase 1%, aro bayoneta.</t>
  </si>
  <si>
    <t>PFP1197ZRR3R1-SG-4</t>
  </si>
  <si>
    <t>Manómetro Winters Serie PFP-ZR Premium STABILIZR®, dial 4", 0/400 kg/cm2 &amp; 0/6.000 psi, 1/2" NPT posterior, caja Ac. Inox. 304., internos Ac. Inox. 316, clase 1%, aro bayoneta, con vidrio de seguridad.</t>
  </si>
  <si>
    <t>PFP1194ZRR1R11</t>
  </si>
  <si>
    <t>Manómetro Winters Serie PFP-ZR Premium STABILIZR®, dial 4", 0/10.000 psi &amp; 0/700 bar, 1/2" NPT posterior, caja Ac. Inox. 304., internos Ac. Inox. 316, clase 1%, aro bayoneta.</t>
  </si>
  <si>
    <t>PFP1194ZRR3R1-SG-4</t>
  </si>
  <si>
    <t>Manómetro Winters Serie PFP-ZR Premium STABILIZR®, dial 4", 0/700 Kg/cm2 &amp; 0/10.000 psi, 1/2" NPT posterior, caja Ac. Inox. 304., internos Ac. Inox. 316, clase 1%, aro bayoneta, con vidrio de seguridad.</t>
  </si>
  <si>
    <t>PFP1195ZRR1R11</t>
  </si>
  <si>
    <t>Manómetro Winters Serie PFP-ZR Premium STABILIZR®, dial 4", 0/15.000 psi &amp; 0/1.000 bar, 1/2" NPT posterior, caja Ac. Inox. 304., internos Ac. Inox. 316, clase 1%, aro bayoneta.</t>
  </si>
  <si>
    <t>PFP1195ZRR3R1-SG-4</t>
  </si>
  <si>
    <t>Manómetro Winters Serie PFP-ZR Premium STABILIZR®, dial 4", 0/1.000 Kg/cm2 &amp; 0/15.000 psi, 1/2" NPT posterior, caja Ac. Inox. 304., internos Ac. Inox. 316, clase 1%, aro bayoneta, con vidrio de seguridad.</t>
  </si>
  <si>
    <t>PFP1196ZRR1R11</t>
  </si>
  <si>
    <t>Manómetro Winters Serie PFP-ZR Premium STABILIZR®, dial 4", 0/20.000 psi &amp; 0/1.400 bar, 1/2" NPT posterior, caja Ac. Inox. 304., internos Ac. Inox. 316, clase 1%, aro bayoneta.</t>
  </si>
  <si>
    <t>PFP750ZRR6R11</t>
  </si>
  <si>
    <t>Vacuómetro Winters Serie PFP-ZR Premium STABILIZR®, dial 4,5", -30/0"Hg &amp; -1/0 bar, 1/2" NPT inferior, caja Ac. Inox 304, internos Ac. Inox. 316, clase 1%, aro bayoneta.</t>
  </si>
  <si>
    <t>PFP751ZRR1R11</t>
  </si>
  <si>
    <t>Manovacuómetro Winters Serie PFP-ZR Premium STABILIZR®, dial 4,5", -30"Hg/0/15 psi &amp; -1/0/1 bar, 1/2" NPT inferior, caja Ac. Inox. 304., internos Ac. Inox. 316, clase 1%, aro bayoneta.</t>
  </si>
  <si>
    <t>PFP752ZRR1R11</t>
  </si>
  <si>
    <t>Manovacuómetro Winters Serie PFP-ZR Premium STABILIZR®, dial 4,5", -30"Hg/0/30 psi &amp; -1/0/2 bar, 1/2" NPT inferior, caja Ac. Inox. 304., internos Ac. Inox. 316, clase 1%, aro bayoneta.</t>
  </si>
  <si>
    <t>PFP753ZRR1R11</t>
  </si>
  <si>
    <t>Manovacuómetro Winters Serie PFP-ZR Premium STABILIZR®, dial 4,5", -30"Hg/0/60 psi &amp; -1/0/4 bar, 1/2" NPT inferior, caja Ac. Inox. 304., internos Ac. Inox. 316, clase 1%, aro bayoneta.</t>
  </si>
  <si>
    <t>PFP754ZRR1R11</t>
  </si>
  <si>
    <t>Manovacuómetro Winters Serie PFP-ZR Premium STABILIZR®, dial 4,5", -30"Hg/0/100 psi &amp; -1/0/7 bar, 1/2" NPT inferior, caja Ac. Inox. 304., internos Ac. Inox. 316, clase 1%, aro bayoneta.</t>
  </si>
  <si>
    <t>PFP755ZRR1R11</t>
  </si>
  <si>
    <t>Manovacuómetro Winters Serie PFP-ZR Premium STABILIZR®, dial 4,5", -30"Hg/0/150 psi &amp; -1/0/10 bar, 1/2" NPT inferior, caja Ac. Inox. 304., internos Ac. Inox. 316, clase 1%, aro bayoneta.</t>
  </si>
  <si>
    <t>PFP756ZRR1R11</t>
  </si>
  <si>
    <t>Manovacuómetro Winters Serie PFP-ZR Premium STABILIZR®, dial 4,5", -30"Hg/0/200 psi &amp; -1/0/14 bar, 1/2" NPT inferior, caja Ac. Inox. 304., internos Ac. Inox. 316, clase 1%, aro bayoneta.</t>
  </si>
  <si>
    <t>PFP757ZRR1R11</t>
  </si>
  <si>
    <t>Manovacuómetro Winters Serie PFP-ZR Premium STABILIZR®, dial 4,5", -30"Hg/0/300 psi &amp; -1/0/20 bar, 1/2" NPT inferior, caja Ac. Inox. 304., internos Ac. Inox. 316, clase 1%, aro bayoneta.</t>
  </si>
  <si>
    <t>PFP758ZRR1R11</t>
  </si>
  <si>
    <t>Manómetro Winters Serie PFP-ZR Premium STABILIZR®, dial 4,5", 0/15 psi &amp; 0/1 bar, 1/2" NPT inferior, caja Ac. Inox. 304., internos Ac. Inox. 316, clase 1%, aro bayoneta.</t>
  </si>
  <si>
    <t>PFP759ZRR1R11</t>
  </si>
  <si>
    <t>Manómetro Winters Serie PFP-ZR Premium STABILIZR®, dial 4,5", 0/30 psi &amp; 0/2 bar, 1/2" NPT inferior, caja Ac. Inox. 304., internos Ac. Inox. 316, clase 1%, aro bayoneta.</t>
  </si>
  <si>
    <t>PFP760ZRR1R11</t>
  </si>
  <si>
    <t>Manómetro Winters Serie PFP-ZR Premium STABILIZR®, dial 4,5", 0/60 psi &amp; 0/4 bar, 1/2" NPT inferior, caja Ac. Inox. 304., internos Ac. Inox. 316, clase 1%, aro bayoneta.</t>
  </si>
  <si>
    <t>PFP761ZRR1R11</t>
  </si>
  <si>
    <t>Manómetro Winters Serie PFP-ZR Premium STABILIZR®, dial 4,5", 0/100 psi &amp; 0/7 bar, 1/2" NPT inferior, caja Ac. Inox. 304., internos Ac. Inox. 316, clase 1%, aro bayoneta.</t>
  </si>
  <si>
    <t>PFP762ZRR1R11</t>
  </si>
  <si>
    <t>Manómetro Winters Serie PFP-ZR Premium STABILIZR®, dial 4,5", 0/160 psi &amp; 0/11 bar, 1/2" NPT inferior, caja Ac. Inox. 304., internos Ac. Inox. 316, clase 1%, aro bayoneta.</t>
  </si>
  <si>
    <t>PFP763ZRR1R11</t>
  </si>
  <si>
    <t>Manómetro Winters Serie PFP-ZR Premium STABILIZR®, dial 4,5", 0/200 psi &amp; 0/14 bar, 1/2" NPT inferior, caja Ac. Inox. 304., internos Ac. Inox. 316, clase 1%, aro bayoneta.</t>
  </si>
  <si>
    <t>PFP764ZRR1R11</t>
  </si>
  <si>
    <t>Manómetro Winters Serie PFP-ZR Premium STABILIZR®, dial 4,5", 0/300 psi &amp; 0/20 bar, 1/2" NPT inferior, caja Ac. Inox. 304., internos Ac. Inox. 316, clase 1%, aro bayoneta.</t>
  </si>
  <si>
    <t>PFP765ZRR1R11</t>
  </si>
  <si>
    <t>Manómetro Winters Serie PFP-ZR Premium STABILIZR®, dial 4,5", 0/400 psi &amp; 0/30 bar, 1/2" NPT inferior, caja Ac. Inox. 304., internos Ac. Inox. 316, clase 1%, aro bayoneta.</t>
  </si>
  <si>
    <t>PFP766ZRR1R11</t>
  </si>
  <si>
    <t>Manómetro Winters Serie PFP-ZR Premium STABILIZR®, dial 4,5", 0/600 psi &amp; 0/40 bar, 1/2" NPT inferior, caja Ac. Inox. 304., internos Ac. Inox. 316, clase 1%, aro bayoneta.</t>
  </si>
  <si>
    <t>PFP767ZRR1R11</t>
  </si>
  <si>
    <t>Manómetro Winters Serie PFP-ZR Premium STABILIZR®, dial 4,5", 0/1.000 psi &amp; 0/70 bar, 1/2" NPT inferior, caja Ac. Inox. 304., internos Ac. Inox. 316, clase 1%, aro bayoneta.</t>
  </si>
  <si>
    <t>PFP768ZRR1R11</t>
  </si>
  <si>
    <t>Manómetro Winters Serie PFP-ZR Premium STABILIZR®, dial 4,5", 0/1.500 psi &amp; 0/100 bar, 1/2" NPT inferior, caja Ac. Inox. 304., internos Ac. Inox. 316, clase 1%, aro bayoneta.</t>
  </si>
  <si>
    <t>PFP769ZRR1R11</t>
  </si>
  <si>
    <t>Manómetro Winters Serie PFP-ZR Premium STABILIZR®, dial 4,5", 0/2.000 psi &amp; 0/140 bar, 1/2" NPT inferior, caja Ac. Inox. 304., internos Ac. Inox. 316, clase 1%, aro bayoneta.</t>
  </si>
  <si>
    <t>PFP770ZRR1R11</t>
  </si>
  <si>
    <t>Manómetro Winters Serie PFP-ZR Premium STABILIZR®, dial 4,5", 0/3.000 psi &amp; 0/200 bar, 1/2" NPT inferior, caja Ac. Inox. 304., internos Ac. Inox. 316, clase 1%, aro bayoneta.</t>
  </si>
  <si>
    <t>PFP771ZRR1R11</t>
  </si>
  <si>
    <t>Manómetro Winters Serie PFP-ZR Premium STABILIZR®, dial 4,5", 0/4.000 psi &amp; 0/275 bar, 1/2" NPT inferior, caja Ac. Inox. 304., internos Ac. Inox. 316, clase 1%, aro bayoneta.</t>
  </si>
  <si>
    <t>PFP772ZRR1R11</t>
  </si>
  <si>
    <t>Manómetro Winters Serie PFP-ZR Premium STABILIZR®, dial 4,5", 0/6.000 psi &amp; 0/400 bar, 1/2" NPT inferior, caja Ac. Inox. 304., internos Ac. Inox. 316, clase 1%, aro bayoneta.</t>
  </si>
  <si>
    <t>PFP773ZRR1R11</t>
  </si>
  <si>
    <t>Manómetro Winters Serie PFP-ZR Premium STABILIZR®, dial 4,5", 0/10.000 psi &amp; 0/700 bar, 1/2" NPT inferior, caja Ac. Inox. 304., internos Ac. Inox. 316, clase 1%, aro bayoneta.</t>
  </si>
  <si>
    <t>PFP774ZRR1R11</t>
  </si>
  <si>
    <t>Manómetro Winters Serie PFP-ZR Premium STABILIZR®, dial 4,5", 0/15.000 psi &amp; 0/1.000 bar, 1/2" NPT inferior, caja Ac. Inox. 304., internos Ac. Inox. 316, clase 1%, aro bayoneta.</t>
  </si>
  <si>
    <t>PFP775ZRR1R11</t>
  </si>
  <si>
    <t>Manómetro Winters Serie PFP-ZR Premium STABILIZR®, dial 4,5", 0/20.000 psi &amp; 0/1.400 bar, 1/2" NPT inferior, caja Ac. Inox. 304., internos Ac. Inox. 316, clase 1%, aro bayoneta.</t>
  </si>
  <si>
    <t>PFP450ZRR6R11</t>
  </si>
  <si>
    <t>Vacuómetro Winters Serie PFP-ZR Premium STABILIZR®, dial 4,5", -30/0"Hg &amp; -1/0 bar, 1/2" NPT posterior, caja Ac. Inox 304, internos Ac. Inox. 316, clase 1%, aro bayoneta.</t>
  </si>
  <si>
    <t>PFP451ZRR1R11</t>
  </si>
  <si>
    <t>Manovacuómetro Winters Serie PFP-ZR Premium STABILIZR®, dial 4,5", -30"Hg/0/15 psi &amp; -1/0/1 bar, 1/2" NPT posterior, caja Ac. Inox. 304., internos Ac. Inox. 316, clase 1%, aro bayoneta.</t>
  </si>
  <si>
    <t>PFP452ZRR1R11</t>
  </si>
  <si>
    <t>Manovacuómetro Winters Serie PFP-ZR Premium STABILIZR®, dial 4,5", -30"Hg/0/30 psi &amp; -1/0/2 bar, 1/2" NPT posterior, caja Ac. Inox. 304., internos Ac. Inox. 316, clase 1%, aro bayoneta.</t>
  </si>
  <si>
    <t>PFP453ZRR1R11</t>
  </si>
  <si>
    <t>Manovacuómetro Winters Serie PFP-ZR Premium STABILIZR®, dial 4,5", -30"Hg/0/60 psi &amp; -1/0/4 bar, 1/2" NPT posterior, caja Ac. Inox. 304., internos Ac. Inox. 316, clase 1%, aro bayoneta.</t>
  </si>
  <si>
    <t>PFP454ZRR1R11</t>
  </si>
  <si>
    <t>Manovacuómetro Winters Serie PFP-ZR Premium STABILIZR®, dial 4,5", -30"Hg/0/100 psi &amp; -1/0/7 bar, 1/2" NPT posterior, caja Ac. Inox. 304., internos Ac. Inox. 316, clase 1%, aro bayoneta.</t>
  </si>
  <si>
    <t>PFP455ZRR1R11</t>
  </si>
  <si>
    <t>Manovacuómetro Winters Serie PFP-ZR Premium STABILIZR®, dial 4,5", -30"Hg/0/150 psi &amp; -1/0/10 bar, 1/2" NPT posterior, caja Ac. Inox. 304., internos Ac. Inox. 316, clase 1%, aro bayoneta.</t>
  </si>
  <si>
    <t>PFP456ZRR1R11</t>
  </si>
  <si>
    <t>Manovacuómetro Winters Serie PFP-ZR Premium STABILIZR®, dial 4,5", -30"Hg/0/200 psi &amp; -1/0/14 bar, 1/2" NPT posterior, caja Ac. Inox. 304., internos Ac. Inox. 316, clase 1%, aro bayoneta.</t>
  </si>
  <si>
    <t>PFP457ZRR1R11</t>
  </si>
  <si>
    <t>Manovacuómetro Winters Serie PFP-ZR Premium STABILIZR®, dial 4,5", -30"Hg/0/300 psi &amp; -1/0/20 bar, 1/2" NPT posterior, caja Ac. Inox. 304., internos Ac. Inox. 316, clase 1%, aro bayoneta.</t>
  </si>
  <si>
    <t>PFP458ZRR1R11</t>
  </si>
  <si>
    <t>Manómetro Winters Serie PFP-ZR Premium STABILIZR®, dial 4,5", 0/15 psi &amp; 0/1 bar, 1/2" NPT posterior, caja Ac. Inox. 304., internos Ac. Inox. 316, clase 1%, aro bayoneta.</t>
  </si>
  <si>
    <t>PFP459ZRR1R11</t>
  </si>
  <si>
    <t>Manómetro Winters Serie PFP-ZR Premium STABILIZR®, dial 4,5", 0/30 psi &amp; 0/2 bar, 1/2" NPT posterior, caja Ac. Inox. 304., internos Ac. Inox. 316, clase 1%, aro bayoneta.</t>
  </si>
  <si>
    <t>PFP460ZRR1R11</t>
  </si>
  <si>
    <t>Manómetro Winters Serie PFP-ZR Premium STABILIZR®, dial 4,5", 0/60 psi &amp; 0/4 bar, 1/2" NPT posterior, caja Ac. Inox. 304., internos Ac. Inox. 316, clase 1%, aro bayoneta.</t>
  </si>
  <si>
    <t>PFP461ZRR1R11</t>
  </si>
  <si>
    <t>Manómetro Winters Serie PFP-ZR Premium STABILIZR®, dial 4,5", 0/100 psi &amp; 0/7 bar, 1/2" NPT posterior, caja Ac. Inox. 304., internos Ac. Inox. 316, clase 1%, aro bayoneta.</t>
  </si>
  <si>
    <t>PFP462ZRR1R11</t>
  </si>
  <si>
    <t>Manómetro Winters Serie PFP-ZR Premium STABILIZR®, dial 4,5", 0/160 psi &amp; 0/11 bar, 1/2" NPT posterior, caja Ac. Inox. 304., internos Ac. Inox. 316, clase 1%, aro bayoneta.</t>
  </si>
  <si>
    <t>PFP463ZRR1R11</t>
  </si>
  <si>
    <t>Manómetro Winters Serie PFP-ZR Premium STABILIZR®, dial 4,5", 0/200 psi &amp; 0/14 bar, 1/2" NPT posterior, caja Ac. Inox. 304., internos Ac. Inox. 316, clase 1%, aro bayoneta.</t>
  </si>
  <si>
    <t>PFP464ZRR1R11</t>
  </si>
  <si>
    <t>Manómetro Winters Serie PFP-ZR Premium STABILIZR®, dial 4,5", 0/300 psi &amp; 0/20 bar, 1/2" NPT posterior, caja Ac. Inox. 304., internos Ac. Inox. 316, clase 1%, aro bayoneta.</t>
  </si>
  <si>
    <t>PFP465ZRR1R11</t>
  </si>
  <si>
    <t>Manómetro Winters Serie PFP-ZR Premium STABILIZR®, dial 4,5", 0/400 psi &amp; 0/30 bar, 1/2" NPT posterior, caja Ac. Inox. 304., internos Ac. Inox. 316, clase 1%, aro bayoneta.</t>
  </si>
  <si>
    <t>PFP466ZRR1R11</t>
  </si>
  <si>
    <t>Manómetro Winters Serie PFP-ZR Premium STABILIZR®, dial 4,5", 0/600 psi &amp; 0/40 bar, 1/2" NPT posterior, caja Ac. Inox. 304., internos Ac. Inox. 316, clase 1%, aro bayoneta.</t>
  </si>
  <si>
    <t>PFP467ZRR1R11</t>
  </si>
  <si>
    <t>Manómetro Winters Serie PFP-ZR Premium STABILIZR®, dial 4,5", 0/1.000 psi &amp; 0/70 bar, 1/2" NPT posterior, caja Ac. Inox. 304., internos Ac. Inox. 316, clase 1%, aro bayoneta.</t>
  </si>
  <si>
    <t>PFP468ZRR1R11</t>
  </si>
  <si>
    <t>Manómetro Winters Serie PFP-ZR Premium STABILIZR®, dial 4,5", 0/1.500 psi &amp; 0/100 bar, 1/2" NPT posterior, caja Ac. Inox. 304., internos Ac. Inox. 316, clase 1%, aro bayoneta.</t>
  </si>
  <si>
    <t>PFP469ZRR1R11</t>
  </si>
  <si>
    <t>Manómetro Winters Serie PFP-ZR Premium STABILIZR®, dial 4,5", 0/2.000 psi &amp; 0/140 bar, 1/2" NPT posterior, caja Ac. Inox. 304., internos Ac. Inox. 316, clase 1%, aro bayoneta.</t>
  </si>
  <si>
    <t>PFP470ZRR1R11</t>
  </si>
  <si>
    <t>Manómetro Winters Serie PFP-ZR Premium STABILIZR®, dial 4,5", 0/3.000 psi &amp; 0/200 bar, 1/2" NPT posterior, caja Ac. Inox. 304., internos Ac. Inox. 316, clase 1%, aro bayoneta.</t>
  </si>
  <si>
    <t>PFP471ZRR1R11</t>
  </si>
  <si>
    <t>Manómetro Winters Serie PFP-ZR Premium STABILIZR®, dial 4,5", 0/5.000 psi &amp; 0/350 bar, 1/2" NPT posterior, caja Ac. Inox. 304., internos Ac. Inox. 316, clase 1%, aro bayoneta.</t>
  </si>
  <si>
    <t>PFP472ZRR1R11</t>
  </si>
  <si>
    <t>Manómetro Winters Serie PFP-ZR Premium STABILIZR®, dial 4,5", 0/6.000 psi &amp; 0/400 bar, 1/2" NPT posterior, caja Ac. Inox. 304., internos Ac. Inox. 316, clase 1%, aro bayoneta.</t>
  </si>
  <si>
    <t>PFP473ZRR1R11</t>
  </si>
  <si>
    <t>Manómetro Winters Serie PFP-ZR Premium STABILIZR®, dial 4,5", 0/10.000 psi &amp; 0/700 bar, 1/2" NPT posterior, caja Ac. Inox. 304., internos Ac. Inox. 316, clase 1%, aro bayoneta.</t>
  </si>
  <si>
    <t>PFP474ZRR1R11</t>
  </si>
  <si>
    <t>Manómetro Winters Serie PFP-ZR Premium STABILIZR®, dial 4,5", 0/15.000 psi &amp; 0/1.000 bar, 1/2" NPT posterior, caja Ac. Inox. 304., internos Ac. Inox. 316, clase 1%, aro bayoneta.</t>
  </si>
  <si>
    <t>PFP475ZRR1R11</t>
  </si>
  <si>
    <t>Manómetro Winters Serie PFP-ZR Premium STABILIZR®, dial 4,5", 0/20.000 psi &amp; 0/1.400 bar, 1/2" NPT posterior, caja Ac. Inox. 304., internos Ac. Inox. 316, clase 1%, aro bayoneta.</t>
  </si>
  <si>
    <t>PFP1078ZRR6R11</t>
  </si>
  <si>
    <t>Vacuómetro Winters Serie PFP-ZR Premium STABILIZR®, dial 6", -30/0"Hg &amp; -1/0 bar, 1/4" NPT inferior, caja Ac. Inox 304, internos Ac. Inox. 316, clase 1%, aro bayoneta.</t>
  </si>
  <si>
    <t>PFP1079ZRR1R11</t>
  </si>
  <si>
    <t>Manovacuómetro Winters Serie PFP-ZR Premium STABILIZR®, dial 6", -30"Hg/0/15 psi &amp; -1/0/1 bar, 1/4" NPT inferior, caja Ac. Inox. 304., internos Ac. Inox. 316, clase 1%, aro bayoneta.</t>
  </si>
  <si>
    <t>PFP1052ZRR1R11</t>
  </si>
  <si>
    <t>Manovacuómetro Winters Serie PFP-ZR Premium STABILIZR®, dial 6", -30"Hg/0/30 psi &amp; -1/0/2 bar, 1/4" NPT inferior, caja Ac. Inox. 304., internos Ac. Inox. 316, clase 1%, aro bayoneta.</t>
  </si>
  <si>
    <t>PFP1053ZRR1R11</t>
  </si>
  <si>
    <t>Manovacuómetro Winters Serie PFP-ZR Premium STABILIZR®, dial 6", -30"Hg/0/60 psi &amp; -1/0/4 bar, 1/4" NPT inferior, caja Ac. Inox. 304., internos Ac. Inox. 316, clase 1%, aro bayoneta.</t>
  </si>
  <si>
    <t>PFP1054ZRR1R11</t>
  </si>
  <si>
    <t>Manovacuómetro Winters Serie PFP-ZR Premium STABILIZR®, dial 6", -30"Hg/0/100 psi &amp; -1/0/7 bar, 1/4" NPT inferior, caja Ac. Inox. 304., internos Ac. Inox. 316, clase 1%, aro bayoneta.</t>
  </si>
  <si>
    <t>PFP1055ZRR1R11</t>
  </si>
  <si>
    <t>Manovacuómetro Winters Serie PFP-ZR Premium STABILIZR®, dial 6", -30"Hg/0/150 psi &amp; -1/0/10 bar, 1/4" NPT inferior, caja Ac. Inox. 304., internos Ac. Inox. 316, clase 1%, aro bayoneta.</t>
  </si>
  <si>
    <t>PFP1057ZRR1R11</t>
  </si>
  <si>
    <t>Manovacuómetro Winters Serie PFP-ZR Premium STABILIZR®, dial 6", -30"Hg/0/200 psi &amp; -1/0/14 bar, 1/4" NPT inferior, caja Ac. Inox. 304., internos Ac. Inox. 316, clase 1%, aro bayoneta.</t>
  </si>
  <si>
    <t>PFP1058ZRR1R11</t>
  </si>
  <si>
    <t>Manovacuómetro Winters Serie PFP-ZR Premium STABILIZR®, dial 6", -30"Hg/0/300 psi &amp; -1/0/20 bar, 1/4" NPT inferior, caja Ac. Inox. 304., internos Ac. Inox. 316, clase 1%, aro bayoneta.</t>
  </si>
  <si>
    <t>PFP1059ZRR1R11</t>
  </si>
  <si>
    <t>Manómetro Winters Serie PFP-ZR Premium STABILIZR®, dial 6", 0/15 psi &amp; 0/1 bar, 1/4" NPT inferior, caja Ac. Inox. 304., internos Ac. Inox. 316, clase 1%, aro bayoneta.</t>
  </si>
  <si>
    <t>PFP1060ZRR1R11</t>
  </si>
  <si>
    <t>Manómetro Winters Serie PFP-ZR Premium STABILIZR®, dial 6", 0/30 psi &amp; 0/2 bar, 1/4" NPT inferior, caja Ac. Inox. 304., internos Ac. Inox. 316, clase 1%, aro bayoneta.</t>
  </si>
  <si>
    <t>PFP1061ZRR1R11</t>
  </si>
  <si>
    <t>Manómetro Winters Serie PFP-ZR Premium STABILIZR®, dial 6", 0/60 psi &amp; 0/4 bar, 1/4" NPT inferior, caja Ac. Inox. 304., internos Ac. Inox. 316, clase 1%, aro bayoneta.</t>
  </si>
  <si>
    <t>PFP1062ZRR1R11</t>
  </si>
  <si>
    <t>Manómetro Winters Serie PFP-ZR Premium STABILIZR®, dial 6", 0/100 psi &amp; 0/7 bar, 1/4" NPT inferior, caja Ac. Inox. 304., internos Ac. Inox. 316, clase 1%, aro bayoneta.</t>
  </si>
  <si>
    <t>PFP1063ZRR1R11</t>
  </si>
  <si>
    <t>Manómetro Winters Serie PFP-ZR Premium STABILIZR®, dial 6", 0/160 psi &amp; 0/11 bar, 1/4" NPT inferior, caja Ac. Inox. 304., internos Ac. Inox. 316, clase 1%, aro bayoneta.</t>
  </si>
  <si>
    <t>PFP1064ZRR1R11</t>
  </si>
  <si>
    <t>Manómetro Winters Serie PFP-ZR Premium STABILIZR®, dial 6", 0/200 psi &amp; 0/14 bar, 1/4" NPT inferior, caja Ac. Inox. 304., internos Ac. Inox. 316, clase 1%, aro bayoneta.</t>
  </si>
  <si>
    <t>PFP1065ZRR1R11</t>
  </si>
  <si>
    <t>Manómetro Winters Serie PFP-ZR Premium STABILIZR®, dial 6", 0/300 psi &amp; 0/20 bar, 1/4" NPT inferior, caja Ac. Inox. 304., internos Ac. Inox. 316, clase 1%, aro bayoneta.</t>
  </si>
  <si>
    <t>PFP1077ZRR1R11</t>
  </si>
  <si>
    <t>Manómetro Winters Serie PFP-ZR Premium STABILIZR®, dial 6", 0/400 psi &amp; 0/30 bar, 1/4" NPT inferior, caja Ac. Inox. 304., internos Ac. Inox. 316, clase 1%, aro bayoneta.</t>
  </si>
  <si>
    <t>PFP1066ZRR1R11</t>
  </si>
  <si>
    <t>Manómetro Winters Serie PFP-ZR Premium STABILIZR®, dial 6", 0/600 psi &amp; 0/40 bar, 1/4" NPT inferior, caja Ac. Inox. 304., internos Ac. Inox. 316, clase 1%, aro bayoneta.</t>
  </si>
  <si>
    <t>PFP1067ZRR1R11</t>
  </si>
  <si>
    <t>Manómetro Winters Serie PFP-ZR Premium STABILIZR®, dial 6", 0/1.000 psi &amp; 0/70 bar, 1/4" NPT inferior, caja Ac. Inox. 304., internos Ac. Inox. 316, clase 1%, aro bayoneta.</t>
  </si>
  <si>
    <t>PFP1068ZRR1R11</t>
  </si>
  <si>
    <t>Manómetro Winters Serie PFP-ZR Premium STABILIZR®, dial 6", 0/1.500 psi &amp; 0/100 bar, 1/4" NPT inferior, caja Ac. Inox. 304., internos Ac. Inox. 316, clase 1%, aro bayoneta.</t>
  </si>
  <si>
    <t>PFP1069ZRR1R11</t>
  </si>
  <si>
    <t>Manómetro Winters Serie PFP-ZR Premium STABILIZR®, dial 6", 0/2.000 psi &amp; 0/140 bar, 1/4" NPT inferior, caja Ac. Inox. 304., internos Ac. Inox. 316, clase 1%, aro bayoneta.</t>
  </si>
  <si>
    <t>PFP1070ZRR1R11</t>
  </si>
  <si>
    <t>Manómetro Winters Serie PFP-ZR Premium STABILIZR®, dial 6", 0/3.000 psi &amp; 0/200 bar, 1/4" NPT inferior, caja Ac. Inox. 304., internos Ac. Inox. 316, clase 1%, aro bayoneta.</t>
  </si>
  <si>
    <t>PFP1071ZRR1R11</t>
  </si>
  <si>
    <t>Manómetro Winters Serie PFP-ZR Premium STABILIZR®, dial 6", 0/4.000 psi &amp; 0/275 bar, 1/4" NPT inferior, caja Ac. Inox. 304., internos Ac. Inox. 316, clase 1%, aro bayoneta.</t>
  </si>
  <si>
    <t>PFP1072ZRR1R11</t>
  </si>
  <si>
    <t>Manómetro Winters Serie PFP-ZR Premium STABILIZR®, dial 6", 0/5.000 psi &amp; 0/350 bar, 1/4" NPT inferior, caja Ac. Inox. 304., internos Ac. Inox. 316, clase 1%, aro bayoneta.</t>
  </si>
  <si>
    <t>PFP1289ZRR1R11</t>
  </si>
  <si>
    <t>Manómetro Winters Serie PFP-ZR Premium STABILIZR®, dial 6", 0/6.000 psi &amp; 0/400 bar, 1/4" NPT inferior, caja Ac. Inox. 304., internos Ac. Inox. 316, clase 1%, aro bayoneta.</t>
  </si>
  <si>
    <t>PFP1073ZRR1R11</t>
  </si>
  <si>
    <t>Manómetro Winters Serie PFP-ZR Premium STABILIZR®, dial 6", 0/10.000 psi &amp; 0/700 bar, 1/4" NPT inferior, caja Ac. Inox. 304., internos Ac. Inox. 316, clase 1%, aro bayoneta.</t>
  </si>
  <si>
    <t>PFP1074ZRR1R11</t>
  </si>
  <si>
    <t>Manómetro Winters Serie PFP-ZR Premium STABILIZR®, dial 6", 0/15.000 psi &amp; 0/1.000 bar, 1/4" NPT inferior, caja Ac. Inox. 304., internos Ac. Inox. 316, clase 1%, aro bayoneta.</t>
  </si>
  <si>
    <t>PFP1075ZRR1R11</t>
  </si>
  <si>
    <t>Manómetro Winters Serie PFP-ZR Premium STABILIZR®, dial 6", 0/20.000 psi &amp; 0/1.400 bar, 1/4" NPT inferior, caja Ac. Inox. 304., internos Ac. Inox. 316, clase 1%, aro bayoneta.</t>
  </si>
  <si>
    <t>PFP2326ZRR6R11</t>
  </si>
  <si>
    <t>Vacuómetro Winters Serie PFP-ZR Premium STABILIZR®, dial 6", -30/0"Hg &amp; -1/0 bar, 1/2" NPT inferior, caja Ac. Inox 304, internos Ac. Inox. 316, clase 1%, aro bayoneta.</t>
  </si>
  <si>
    <t>PFP2327ZRR1R11</t>
  </si>
  <si>
    <t>Manovacuómetro Winters Serie PFP-ZR Premium STABILIZR®, dial 6", -30"Hg/0/15 psi &amp; -1/0/1 bar, 1/2" NPT inferior, caja Ac. Inox. 304., internos Ac. Inox. 316, clase 1%, aro bayoneta.</t>
  </si>
  <si>
    <t>PFP2328ZRR1R11</t>
  </si>
  <si>
    <t>Manovacuómetro Winters Serie PFP-ZR Premium STABILIZR®, dial 6", -30"Hg/0/30 psi &amp; -1/0/2 bar, 1/2" NPT inferior, caja Ac. Inox. 304., internos Ac. Inox. 316, clase 1%, aro bayoneta.</t>
  </si>
  <si>
    <t>PFP2328ZRR3R1</t>
  </si>
  <si>
    <t>Manovacuómetro Winters Serie PFP-ZR Premium STABILIZR®, dial 6",-1/0/2 Kg/cm2 &amp; -30"Hg/0/30 psi, 1/2" NPT inferior, caja Ac. Inox. 304., internos Ac. Inox. 316, clase 1%, aro bayoneta.</t>
  </si>
  <si>
    <t>PFP2329ZRR1R11</t>
  </si>
  <si>
    <t>Manovacuómetro Winters Serie PFP-ZR Premium STABILIZR®, dial 6", -30"Hg/0/60 psi &amp; -1/0/4 bar, 1/2" NPT inferior, caja Ac. Inox. 304., internos Ac. Inox. 316, clase 1%, aro bayoneta.</t>
  </si>
  <si>
    <t>PFP2330ZRR1R11</t>
  </si>
  <si>
    <t>Manovacuómetro Winters Serie PFP-ZR Premium STABILIZR®, dial 6", -30"Hg/0/100 psi &amp; -1/0/7 bar, 1/2" NPT inferior, caja Ac. Inox. 304., internos Ac. Inox. 316, clase 1%, aro bayoneta.</t>
  </si>
  <si>
    <t>PFP2331ZRR1R11</t>
  </si>
  <si>
    <t>Manovacuómetro Winters Serie PFP-ZR Premium STABILIZR®, dial 6", -30"Hg/0/150 psi &amp; -1/0/10 bar, 1/2" NPT inferior, caja Ac. Inox. 304., internos Ac. Inox. 316, clase 1%, aro bayoneta.</t>
  </si>
  <si>
    <t>PFP2332ZRR1R11</t>
  </si>
  <si>
    <t>Manovacuómetro Winters Serie PFP-ZR Premium STABILIZR®, dial 6", -30"Hg/0/200 psi &amp; -1/0/14 bar, 1/2" NPT inferior, caja Ac. Inox. 304., internos Ac. Inox. 316, clase 1%, aro bayoneta.</t>
  </si>
  <si>
    <t>PFP2333ZRR1R11</t>
  </si>
  <si>
    <t>Manovacuómetro Winters Serie PFP-ZR Premium STABILIZR®, dial 6", -30"Hg/0/300 psi &amp; -1/0/20 bar, 1/2" NPT inferior, caja Ac. Inox. 304., internos Ac. Inox. 316, clase 1%, aro bayoneta.</t>
  </si>
  <si>
    <t>PFP2334ZRR1R11</t>
  </si>
  <si>
    <t>Manómetro Winters Serie PFP-ZR Premium STABILIZR®, dial 6", 0/15 psi &amp; 0/1 bar, 1/2" NPT inferior, caja Ac. Inox. 304., internos Ac. Inox. 316, clase 1%, aro bayoneta.</t>
  </si>
  <si>
    <t>PFP2335ZRR1R11</t>
  </si>
  <si>
    <t>Manómetro Winters Serie PFP-ZR Premium STABILIZR®, dial 6", 0/30 psi &amp; 0/2 bar, 1/2" NPT inferior, caja Ac. Inox. 304., internos Ac. Inox. 316, clase 1%, aro bayoneta.</t>
  </si>
  <si>
    <t>PFP2336ZRR1R11</t>
  </si>
  <si>
    <t>Manómetro Winters Serie PFP-ZR Premium STABILIZR®, dial 6", 0/60 psi &amp; 0/4 bar, 1/2" NPT inferior, caja Ac. Inox. 304., internos Ac. Inox. 316, clase 1%, aro bayoneta.</t>
  </si>
  <si>
    <t>PFP2337ZRR1R11</t>
  </si>
  <si>
    <t>Manómetro Winters Serie PFP-ZR Premium STABILIZR®, dial 6", 0/100 psi &amp; 0/7 bar, 1/2" NPT inferior, caja Ac. Inox. 304., internos Ac. Inox. 316, clase 1%, aro bayoneta.</t>
  </si>
  <si>
    <t>PFP2338ZRR1R11</t>
  </si>
  <si>
    <t>Manómetro Winters Serie PFP-ZR Premium STABILIZR®, dial 6", 0/160 psi &amp; 0/11 bar, 1/2" NPT inferior, caja Ac. Inox. 304., internos Ac. Inox. 316, clase 1%, aro bayoneta.</t>
  </si>
  <si>
    <t>PFP2339ZRR1R11</t>
  </si>
  <si>
    <t>Manómetro Winters Serie PFP-ZR Premium STABILIZR®, dial 6", 0/200 psi &amp; 0/14 bar, 1/2" NPT inferior, caja Ac. Inox. 304., internos Ac. Inox. 316, clase 1%, aro bayoneta.</t>
  </si>
  <si>
    <t>PFP2340ZRR1R11</t>
  </si>
  <si>
    <t>Manómetro Winters Serie PFP-ZR Premium STABILIZR®, dial 6", 0/300 psi &amp; 0/20 bar, 1/2" NPT inferior, caja Ac. Inox. 304., internos Ac. Inox. 316, clase 1%, aro bayoneta.</t>
  </si>
  <si>
    <t>PFP2341ZRR1R11</t>
  </si>
  <si>
    <t>Manómetro Winters Serie PFP-ZR Premium STABILIZR®, dial 6", 0/400 psi &amp; 0/30 bar, 1/2" NPT inferior, caja Ac. Inox. 304., internos Ac. Inox. 316, clase 1%, aro bayoneta.</t>
  </si>
  <si>
    <t>PFP2342ZRR1R11</t>
  </si>
  <si>
    <t>Manómetro Winters Serie PFP-ZR Premium STABILIZR®, dial 6", 0/600 psi &amp; 0/40 bar, 1/2" NPT inferior, caja Ac. Inox. 304., internos Ac. Inox. 316, clase 1%, aro bayoneta.</t>
  </si>
  <si>
    <t>PFP1080ZRR1R11</t>
  </si>
  <si>
    <t>Manómetro Winters Serie PFP-ZR Premium STABILIZR®, dial 6", 0/1.000 psi &amp; 0/70 bar, 1/2" NPT inferior, caja Ac. Inox. 304., internos Ac. Inox. 316, clase 1%, aro bayoneta.</t>
  </si>
  <si>
    <t>PFP1081ZRR1R11</t>
  </si>
  <si>
    <t>Manómetro Winters Serie PFP-ZR Premium STABILIZR®, dial 6", 0/1.500 psi &amp; 0/100 bar, 1/2" NPT inferior, caja Ac. Inox. 304., internos Ac. Inox. 316, clase 1%, aro bayoneta.</t>
  </si>
  <si>
    <t>PFP1082ZRR1R11</t>
  </si>
  <si>
    <t>Manómetro Winters Serie PFP-ZR Premium STABILIZR®, dial 6", 0/2.000 psi &amp; 0/140 bar, 1/2" NPT inferior, caja Ac. Inox. 304., internos Ac. Inox. 316, clase 1%, aro bayoneta.</t>
  </si>
  <si>
    <t>PFP1083ZRR1R11</t>
  </si>
  <si>
    <t>Manómetro Winters Serie PFP-ZR Premium STABILIZR®, dial 6", 0/3.000 psi &amp; 0/200 bar, 1/2" NPT inferior, caja Ac. Inox. 304., internos Ac. Inox. 316, clase 1%, aro bayoneta.</t>
  </si>
  <si>
    <t>PFP1084ZRR1R11</t>
  </si>
  <si>
    <t>Manómetro Winters Serie PFP-ZR Premium STABILIZR®, dial 6", 0/4.000 psi &amp; 0/275 bar, 1/2" NPT inferior, caja Ac. Inox. 304., internos Ac. Inox. 316, clase 1%, aro bayoneta.</t>
  </si>
  <si>
    <t>PFP1085ZRR1R11</t>
  </si>
  <si>
    <t>Manómetro Winters Serie PFP-ZR Premium STABILIZR®, dial 6", 0/5.000 psi &amp; 0/350 bar, 1/2" NPT inferior, caja Ac. Inox. 304., internos Ac. Inox. 316, clase 1%, aro bayoneta.</t>
  </si>
  <si>
    <t>PFP1089ZRR1R11</t>
  </si>
  <si>
    <t>Manómetro Winters Serie PFP-ZR Premium STABILIZR®, dial 6", 0/6.000 psi &amp; 0/400 bar, 1/2" NPT inferior, caja Ac. Inox. 304., internos Ac. Inox. 316, clase 1%, aro bayoneta.</t>
  </si>
  <si>
    <t>PFP1086ZRR1R11</t>
  </si>
  <si>
    <t>Manómetro Winters Serie PFP-ZR Premium STABILIZR®, dial 6", 0/10.000 psi &amp; 0/700 bar, 1/2" NPT inferior, caja Ac. Inox. 304., internos Ac. Inox. 316, clase 1%, aro bayoneta.</t>
  </si>
  <si>
    <t>PFP1087ZRR1R11</t>
  </si>
  <si>
    <t>Manómetro Winters Serie PFP-ZR Premium STABILIZR®, dial 6", 0/15.000 psi &amp; 0/1.000 bar, 1/2" NPT inferior, caja Ac. Inox. 304., internos Ac. Inox. 316, clase 1%, aro bayoneta.</t>
  </si>
  <si>
    <t>PFP1088ZRR1R11</t>
  </si>
  <si>
    <t>Manómetro Winters Serie PFP-ZR Premium STABILIZR®, dial 6", 0/20.000 psi &amp; 0/1.400 bar, 1/2" NPT inferior, caja Ac. Inox. 304., internos Ac. Inox. 316, clase 1%, aro bayoneta.</t>
  </si>
  <si>
    <t>PFP1169ZRR1R11</t>
  </si>
  <si>
    <t>Manómetro Winters Serie PFP-ZR Premium STABILIZR®, dial 6", 0/1.500 psi &amp; 0/100 bar, 1/2"NPT posterior, caja Ac. Inox 304, internos Ac. Inox. 316, clase 1%, aro bayoneta, con amortiguador seco.</t>
  </si>
  <si>
    <t>PFP1170ZRR1R11</t>
  </si>
  <si>
    <t>Manómetro Winters Serie PFP-ZR Premium STABILIZR®, dial 6", 0/2.000 psi &amp; 0/140 bar, 1/2"NPT posterior, caja Ac. Inox 304, internos Ac. Inox. 316, clase 1%, aro bayoneta, con amortiguador seco.</t>
  </si>
  <si>
    <t>PFP1171ZRR1R11</t>
  </si>
  <si>
    <t>Manómetro Winters Serie PFP-ZR Premium STABILIZR®, dial 6", 0/3.000 psi &amp; 0/200 bar, 1/2"NPT posterior, caja Ac. Inox 304, internos Ac. Inox. 316, clase 1%, aro bayoneta, con amortiguador seco.</t>
  </si>
  <si>
    <t>PFP1172ZRR1R11</t>
  </si>
  <si>
    <t>Manómetro Winters Serie PFP-ZR Premium STABILIZR®, dial 6", 0/5.000 psi &amp; 0/350 bar, 1/2"NPT posterior, caja Ac. Inox 304, internos Ac. Inox. 316, clase 1%, aro bayoneta, con amortiguador seco.</t>
  </si>
  <si>
    <t>PFP1176ZRR1R11</t>
  </si>
  <si>
    <t>Manómetro Winters Serie PFP-ZR Premium STABILIZR®, dial 6", 0/6.000 psi &amp; 0/400 bar, 1/2"NPT posterior, caja Ac. Inox 304, internos Ac. Inox. 316, clase 1%, aro bayoneta, con amortiguador seco.</t>
  </si>
  <si>
    <t>PFP1173ZRR1R11</t>
  </si>
  <si>
    <t>Manómetro Winters Serie PFP-ZR Premium STABILIZR®, dial 6", 0/10.000 psi &amp; 0/700 bar, 1/2"NPT posterior, caja Ac. Inox 304, internos Ac. Inox. 316, clase 1%, aro bayoneta, con amortiguador seco.</t>
  </si>
  <si>
    <t>PFP1174ZRR1R11</t>
  </si>
  <si>
    <t>Manómetro Winters Serie PFP-ZR Premium STABILIZR®, dial 6", 0/15.000 psi &amp; 0/1.000 bar, 1/2"NPT posterior, caja Ac. Inox 304, internos Ac. Inox. 316, clase 1%, aro bayoneta, con amortiguador seco.</t>
  </si>
  <si>
    <t>PFP1175ZRR1R11</t>
  </si>
  <si>
    <t>Manómetro Winters Serie PFP-ZR Premium STABILIZR®, dial 6", 0/20.000 psi &amp; 0/1.400 bar, 1/2"NPT posterior, caja Ac. Inox 304, internos Ac. Inox. 316, clase 1%, aro bayoneta, con amortiguador seco.</t>
  </si>
  <si>
    <t xml:space="preserve">Accesorio Winters Brida posterior para manómetros Serie PFQ y PFP de dial 2,5" </t>
  </si>
  <si>
    <t>25BOOT</t>
  </si>
  <si>
    <t>Accesorio Winters Protector de goma para manómetros Serie PFQ y PFP de dial 2,5", conexión inferior</t>
  </si>
  <si>
    <t>Accesorio Winters Brida Frontal para manómetros Serie PFQ y PFP de dial 2,5"</t>
  </si>
  <si>
    <t>25SS</t>
  </si>
  <si>
    <t>Accesorio Winters Caja de Ac. Inox. 316 para manómetros Series PFP de dial 2,5" (orden minima de 10 unid.)</t>
  </si>
  <si>
    <t>Accesorio Winters Brida en U (pestaña) para manómetros Serie PFQ y PFP dial 2,5" conex. post. 1/4"</t>
  </si>
  <si>
    <t>4BOOT</t>
  </si>
  <si>
    <t>Accesorio Winters Protector de goma para manómetro 4" PFQ y PFP inferior</t>
  </si>
  <si>
    <t>Accesorio Winters Brida posterior para manómetros Serie PFQ y PFP de dial 4"</t>
  </si>
  <si>
    <t>Accesorio Winters Brida frontal para manómetros Serie PFP de dial 4"</t>
  </si>
  <si>
    <t>4FF-PR</t>
  </si>
  <si>
    <t>Accesorio Winters Brida frontal para manómetros Serie PFP de dial 4" pr</t>
  </si>
  <si>
    <t>4SS</t>
  </si>
  <si>
    <t>Accesorio Winters Caja de Ac. Inox. 316 para manómetros Serie PFP de dial 4" (orden minima de 10 unid.)</t>
  </si>
  <si>
    <t>4UC-P</t>
  </si>
  <si>
    <t>Accesorio Winters Brida en U (U-Clamp) para manómetros Serie PFP de dial 4"</t>
  </si>
  <si>
    <t>4UC-PR</t>
  </si>
  <si>
    <t>45BF-P</t>
  </si>
  <si>
    <t>Accesorio Winters Brida posterior para manómetros Serie PFP de dial 4,5"</t>
  </si>
  <si>
    <t>45FF-P</t>
  </si>
  <si>
    <t>Accesorio Winters Brida frontal para manómetros Serie PFP de dial 4,5"</t>
  </si>
  <si>
    <t>45SS</t>
  </si>
  <si>
    <t>Accesorio Winters Caja de Ac. Inox. 316 para manómetros Serie PFP de dial 4,5" (orden minima de 10 unid.)</t>
  </si>
  <si>
    <t>45UC-P</t>
  </si>
  <si>
    <t xml:space="preserve">Accesorio Winters U-Clamp para manómetros Serie PFP de dial 4,5" </t>
  </si>
  <si>
    <t>6BF</t>
  </si>
  <si>
    <t>Accesorio Winters 6" brida posterior para manómetros Serie PFP Premium</t>
  </si>
  <si>
    <t>6FF</t>
  </si>
  <si>
    <t>Accesorio Winters Brida en frontal para manómetros Serie PFP dial 6" (150mm)</t>
  </si>
  <si>
    <t>6FF-160MM</t>
  </si>
  <si>
    <t>[SOLO ARGENTINA] Accesorio Winters Brida frontal para manómetros Serie PFP dial 6" (160mm)</t>
  </si>
  <si>
    <t>6SS</t>
  </si>
  <si>
    <t>Accesorio Winters Caja de Ac. Inox. 316 para manómetros Serie PFP de dial 6" (orden minima de 10 unid.)</t>
  </si>
  <si>
    <t>6UC</t>
  </si>
  <si>
    <t>Accesorio Winters Brida en U (U-Clamp) para manómetros Serie PFP de dial 6"</t>
  </si>
  <si>
    <t>MAXI25</t>
  </si>
  <si>
    <t>Accesorio Winters Aguja ajustable indicadora de máxima presión para manómetros de dial 2,5"</t>
  </si>
  <si>
    <t>MAXI4</t>
  </si>
  <si>
    <t>Accesorio Winters Aguja ajustable indicadora de máxima presión para manómetros de dial 4"</t>
  </si>
  <si>
    <t>SG-25</t>
  </si>
  <si>
    <t>Accesorio Winters Vidrio de seguridad para manometros de dial 2,5"</t>
  </si>
  <si>
    <t>SG-4</t>
  </si>
  <si>
    <t>Accesorio Winters Vidrio de seguridad para manometros de dial 4"</t>
  </si>
  <si>
    <t>SG-45</t>
  </si>
  <si>
    <t>Accesorio Winters Vidrio de seguridad para manometros de dial 4,5"</t>
  </si>
  <si>
    <t>SG-6</t>
  </si>
  <si>
    <t>Accesorio Winters Vidrio de seguridad para manometros de dial 6"</t>
  </si>
  <si>
    <t>TAG</t>
  </si>
  <si>
    <t>Accesorio Winters Placa de identificacion (sin grabar)</t>
  </si>
  <si>
    <t>TAG PLATE</t>
  </si>
  <si>
    <t>Accesorio Winters Placa de identificacion (con grabado en fabrica)</t>
  </si>
  <si>
    <t>TAG-PLATE</t>
  </si>
  <si>
    <t>Accesorio Winters Placa de identificacion (con grabado en Buenos Aires)</t>
  </si>
  <si>
    <t>PLP300VR12R15</t>
  </si>
  <si>
    <t>Vacuómetro Winters Serie PLP, dial 2,5", -40/0 mbar/mmH2O, 1/4" NPT inferior, Caja de acero pintada de negro, internos latón, clase ±3-2-3% ANSI/ASME Grado B.</t>
  </si>
  <si>
    <t>PLP300VR12R15S</t>
  </si>
  <si>
    <t>Vacuómetro Winters Serie PLP, dial 2,5", -60/0 mbar/mmH2O, 1/4" NPT inferior, Caja de acero pintada de negro, internos latón, clase ±3-2-3% ANSI/ASME Grado B.</t>
  </si>
  <si>
    <t>PLP301MVR12R15S</t>
  </si>
  <si>
    <t>Manovacuómetro Winters Serie PLP, dial 2,5", -60/0/60 mbar/mmH2O, 1/4" NPT inferior, Caja de acero pintada de negro, internos latón, clase ±3-2-3% ANSI/ASME Grado B.</t>
  </si>
  <si>
    <t>PLP301MANOV60MBAR</t>
  </si>
  <si>
    <t>Manovacuómetro Winters Serie PLP, dial 2,5", -60/0/60 mbar/mmH2O, 1/4" BSPT inferior, Caja de acero pintada de negro, internos latón, clase ±3-2-3% ANSI/ASME Grado B.</t>
  </si>
  <si>
    <t>PLP301VR12R15</t>
  </si>
  <si>
    <t>Vacuómetro Winters Serie PLP, dial 2,5", -80/0 mbar/mmH2O, 1/4" NPT inferior, Caja de acero pintada de negro, internos latón, clase ±3-2-3% ANSI/ASME Grado B.</t>
  </si>
  <si>
    <t>PLP302VR12R15</t>
  </si>
  <si>
    <t>Vacuómetro Winters Serie PLP, dial 2,5", -100/0 mbar/mmH2O, 1/4" NPT inferior, Caja de acero pintada de negro, internos latón, clase ±3-2-3% ANSI/ASME Grado B.</t>
  </si>
  <si>
    <t>PLP302R12R99VAC</t>
  </si>
  <si>
    <t>Vacuómetro Winters Serie PLP, dial 2,5", -100/0 mbar/mmH2O, 1/4" BSPT inferior, Caja de acero pintada de negro, internos latón, clase ±3-2-3% ANSI/ASME Grado B.</t>
  </si>
  <si>
    <t>PLP302VR12R15S</t>
  </si>
  <si>
    <t>Vacuómetro Winters Serie PLP, dial 2,5", -160/0 mbar/mmH2O, 1/4" NPT inferior, Caja de acero pintada de negro, internos latón, clase ±3-2-3% ANSI/ASME Grado B.</t>
  </si>
  <si>
    <t>PLP304VR12R15</t>
  </si>
  <si>
    <t>Vacuómetro Winters Serie PLP, dial 2,5", -250/0 mbar/mmH2O, 1/4" NPT inferior, Caja de acero pintada de negro, internos latón, clase ±3-2-3% ANSI/ASME Grado B.</t>
  </si>
  <si>
    <t>PLP304R12R99VAC</t>
  </si>
  <si>
    <t>Vacuómetro Winters Serie PLP, dial 2,5", -250/0 mbar/mmH2O, 1/4" BSPT inferior, Caja de acero pintada de negro, internos latón, clase ±3-2-3% ANSI/ASME Grado B.</t>
  </si>
  <si>
    <t>PLP304VR12R15-BSPT</t>
  </si>
  <si>
    <t>PLP303VR12R15</t>
  </si>
  <si>
    <t>Vacuómetro Winters Serie PLP, dial 2,5", -500/0 mbar/mmH2O, 1/4" NPT inferior, Caja de acero pintada de negro, internos latón, clase ±3-2-3% ANSI/ASME Grado B.</t>
  </si>
  <si>
    <t>PLP300R12R15</t>
  </si>
  <si>
    <t>Manómetro Winters Serie PLP, dial 2,5", 0/40 mbar/mmH2O, 1/4" NPT inferior, Caja de acero pintada de negro, internos latón, clase ±3-2-3% ANSI/ASME Grado B.</t>
  </si>
  <si>
    <t>PLP301R12R15S1</t>
  </si>
  <si>
    <t>Manómetro Winters Serie PLP, dial 2,5", 0/60 mbar/mmH2O, 1/4" NPT inferior, Caja de acero pintada de negro, internos latón, clase ±3-2-3% ANSI/ASME Grado B.</t>
  </si>
  <si>
    <t>PLP301R12R99</t>
  </si>
  <si>
    <t>Manómetro Winters Serie PLP, dial 2,5", 0/60 mbar/mmH2O, 1/4" BSPT inferior, Caja de acero pintada de negro, internos latón, clase ±3-2-3% ANSI/ASME Grado B.</t>
  </si>
  <si>
    <t>PLP301R12R15S1-BSPT</t>
  </si>
  <si>
    <t>PLP301R12R15S</t>
  </si>
  <si>
    <t>Manómetro Winters Serie PLP, dial 2,5", 0/80 mbar/mmH2O, 1/4" NPT inferior, Caja de acero pintada de negro, internos latón, clase ±3-2-3% ANSI/ASME Grado B.</t>
  </si>
  <si>
    <t>PLP302R12R15</t>
  </si>
  <si>
    <t>Manómetro Winters Serie PLP, dial 2,5", 0/100 mbar/mmH2O, 1/4" NPT inferior, Caja de acero pintada de negro, internos latón, clase ±3-2-3% ANSI/ASME Grado B.</t>
  </si>
  <si>
    <t>PLP302R12R99S</t>
  </si>
  <si>
    <t>Manómetro Winters Serie PLP, dial 2,5", 0/100 mbar/mmH2O, 1/4" BSPT inferior, Caja de acero pintada de negro, internos latón, clase ±3-2-3% ANSI/ASME Grado B.</t>
  </si>
  <si>
    <t>PLP302R12R15-BSPT</t>
  </si>
  <si>
    <t>PLP302R12R15S</t>
  </si>
  <si>
    <t>Manómetro Winters Serie PLP, dial 2,5", 0/160 mbar/mmH2O, 1/4" NPT inferior, Caja de acero pintada de negro, internos latón, clase ±3-2-3% ANSI/ASME Grado B.</t>
  </si>
  <si>
    <t>PLP304R12R15S</t>
  </si>
  <si>
    <t>Manómetro Winters Serie PLP, dial 2,5", 0/200 mbar/mmH2O, 1/4" NPT inferior, Caja de acero pintada de negro, internos latón, clase ±3-2-3% ANSI/ASME Grado B.</t>
  </si>
  <si>
    <t>PLP304R12R15</t>
  </si>
  <si>
    <t>Manómetro Winters Serie PLP, dial 2,5", 0/250 mbar/mmH2O, 1/4" NPT inferior, Caja de acero pintada de negro, internos latón, clase ±3-2-3% ANSI/ASME Grado B.</t>
  </si>
  <si>
    <t>PLP304R12R99</t>
  </si>
  <si>
    <t>Manómetro Winters Serie PLP, dial 2,5", 0/250 mbar/mmH2O, 1/4" BSPT inferior, Caja de acero pintada de negro, internos latón, clase ±3-2-3% ANSI/ASME Grado B.</t>
  </si>
  <si>
    <t>PLP304R12R15-BSPT</t>
  </si>
  <si>
    <t>PLP303R12R15S1</t>
  </si>
  <si>
    <t>Manómetro Winters Serie PLP, dial 2,5", 0/400 mbar/mmH2O, 1/4" NPT inferior, Caja de acero pintada de negro, internos latón, clase ±3-2-3% ANSI/ASME Grado B.</t>
  </si>
  <si>
    <t>PLP303R12R99S</t>
  </si>
  <si>
    <t>Manómetro Winters Serie PLP, dial 2,5", 0/400 mbar/mmH2O, 1/4" BSPT inferior, Caja de acero pintada de negro, internos latón, clase ±3-2-3% ANSI/ASME Grado B.</t>
  </si>
  <si>
    <t>PLP303R12R15S1-BSPT</t>
  </si>
  <si>
    <t>PLP303R12R15</t>
  </si>
  <si>
    <t>Manómetro Winters Serie PLP, dial 2,5", 0/500 mbar/mmH2O, 1/4" NPT inferior, Caja de acero pintada de negro, internos latón, clase ±3-2-3% ANSI/ASME Grado B.</t>
  </si>
  <si>
    <t>PLP303R12R15S</t>
  </si>
  <si>
    <t>Manómetro Winters Serie PLP, dial 2,5", 0/600 mbar/mmH2O, 1/4" NPT inferior, Caja de acero pintada de negro, internos latón, clase ±3-2-3% ANSI/ASME Grado B.</t>
  </si>
  <si>
    <t>PLP305R1R11</t>
  </si>
  <si>
    <t>Manómetro Winters Serie PLP, dial 2,5", 0/5 psi/bar, 1/4" NPT inferior, Caja de acero pintada de negro, internos latón, clase ±3-2-3% ANSI/ASME Grado B.</t>
  </si>
  <si>
    <t>PLP306R1R11</t>
  </si>
  <si>
    <t>Manómetro Winters Serie PLP, dial 2,5", 0/10 psi/bar, 1/4" NPT inferior, Caja de acero pintada de negro, internos latón, clase ±3-2-3% ANSI/ASME Grado B.</t>
  </si>
  <si>
    <t>PLP340VR12R15</t>
  </si>
  <si>
    <t>Vacuómetro Winters Serie PLP, dial 2,5", -40/0 mbar/mmH2O, 1/4" NPT posterior, Caja de acero pintada de negro, internos latón, clase ±3-2-3% ANSI/ASME Grado B.</t>
  </si>
  <si>
    <t>PLP340R12R99VAC</t>
  </si>
  <si>
    <t>Vacuómetro Winters Serie PLP, dial 2,5", -40/0 mbar/mmH2O, 1/4" BSPT posterior, Caja de acero pintada de negro, internos latón, clase ±3-2-3% ANSI/ASME Grado B.</t>
  </si>
  <si>
    <t>PLP340VR12R15-BSPT</t>
  </si>
  <si>
    <t>PLP341VR12R15</t>
  </si>
  <si>
    <t>Vacuómetro Winters Serie PLP, dial 2,5", -60/0 mbar/mmH2O, 1/4" NPT posterior, Caja de acero pintada de negro, internos latón, clase ±3-2-3% ANSI/ASME Grado B.</t>
  </si>
  <si>
    <t>PLP342VSR12R15</t>
  </si>
  <si>
    <t>Vacuómetro Winters Serie PLP, dial 2,5", -100/0 mbar/mmH2O, 1/4" NPT posterior, Caja de acero pintada de negro, internos latón, clase ±3-2-3% ANSI/ASME Grado B.</t>
  </si>
  <si>
    <t>PLP342R12R99VAC</t>
  </si>
  <si>
    <t>Vacuómetro Winters Serie PLP, dial 2,5", -100/0 mbar/mmH2O, 1/4" BSPT posterior, Caja de acero pintada de negro, internos latón, clase ±3-2-3% ANSI/ASME Grado B.</t>
  </si>
  <si>
    <t>PLP342VR12R15-BSPT</t>
  </si>
  <si>
    <t>PLP342VR12R15</t>
  </si>
  <si>
    <t>Vacuómetro Winters Serie PLP, dial 2,5", -140/0 mbar/mmH2O, 1/4" NPT posterior, Caja de acero pintada de negro, internos latón, clase ±3-2-3% ANSI/ASME Grado B.</t>
  </si>
  <si>
    <t>PLP343VR12R15</t>
  </si>
  <si>
    <t>Vacuómetro Winters Serie PLP, dial 2,5", -250/0 mbar/mmH2O, 1/4" NPT posterior, Caja de acero pintada de negro, internos latón, clase ±3-2-3% ANSI/ASME Grado B.</t>
  </si>
  <si>
    <t>PLP340R12R15</t>
  </si>
  <si>
    <t>Manómetro Winters Serie PLP, dial 2,5", 0/40 mbar/mmH2O, 1/4" NPT posterior, Caja de acero pintada de negro, internos latón, clase ±3-2-3% ANSI/ASME Grado B.</t>
  </si>
  <si>
    <t>PLP341R12R15S1</t>
  </si>
  <si>
    <t>Manómetro Winters Serie PLP, dial 2,5", 0/60 mbar/mmH2O, 1/4" NPT posterior, Caja de acero pintada de negro, internos latón, clase ±3-2-3% ANSI/ASME Grado B.</t>
  </si>
  <si>
    <t>PLP341R12R99</t>
  </si>
  <si>
    <t>Manómetro Winters Serie PLP, dial 2,5", 0/60 mbar/mmH2O, 1/4" BSPT posterior, Caja de acero pintada de negro, internos latón, clase ±3-2-3% ANSI/ASME Grado B.</t>
  </si>
  <si>
    <t>PLP341R12R15S1-BSPT</t>
  </si>
  <si>
    <t>PLP341R12R15S</t>
  </si>
  <si>
    <t>Manómetro Winters Serie PLP, dial 2,5", 0/80 mbar/mmH2O, 1/4" NPT posterior, Caja de acero pintada de negro, internos latón, clase ±3-2-3% ANSI/ASME Grado B.</t>
  </si>
  <si>
    <t>PLP342R12R15</t>
  </si>
  <si>
    <t>Manómetro Winters Serie PLP, dial 2,5", 0/100 mbar/mmH2O, 1/4" NPT posterior, Caja de acero pintada de negro, internos latón, clase ±3-2-3% ANSI/ASME Grado B.</t>
  </si>
  <si>
    <t>PLP342R12R99</t>
  </si>
  <si>
    <t>Manómetro Winters Serie PLP, dial 2,5", 0/100 mbar/mmH2O, 1/4" BSPT posterior, Caja de acero pintada de negro, internos latón, clase ±3-2-3% ANSI/ASME Grado B.</t>
  </si>
  <si>
    <t>PLP342R12R15-BSPT</t>
  </si>
  <si>
    <t>PLP342R12R15S</t>
  </si>
  <si>
    <t>Manómetro Winters Serie PLP, dial 2,5", 0/140 mbar/mmH2O, 1/4" NPT posterior, Caja de acero pintada de negro, internos latón, clase ±3-2-3% ANSI/ASME Grado B.</t>
  </si>
  <si>
    <t>PLP343R12R15</t>
  </si>
  <si>
    <t>Manómetro Winters Serie PLP, dial 2,5", 0/250 mbar/mmH2O, 1/4" NPT posterior, Caja de acero pintada de negro, internos latón, clase ±3-2-3% ANSI/ASME Grado B.</t>
  </si>
  <si>
    <t>PLP343R12R99</t>
  </si>
  <si>
    <t>Manómetro Winters Serie PLP, dial 2,5", 0/250 mbar/mmH2O, 1/4" BSPT posterior, Caja de acero pintada de negro, internos latón, clase ±3-2-3% ANSI/ASME Grado B.</t>
  </si>
  <si>
    <t>PLP343R12R15-BSPT</t>
  </si>
  <si>
    <t>PLP346R12R15S1</t>
  </si>
  <si>
    <t>Manómetro Winters Serie PLP, dial 2,5", 0/400 mbar/mmH2O, 1/4" NPT posterior, Caja de acero pintada de negro, internos latón, clase ±3-2-3% ANSI/ASME Grado B.</t>
  </si>
  <si>
    <t>PLP346R12R99</t>
  </si>
  <si>
    <t>Manómetro Winters Serie PLP, dial 2,5", 0/400 mbar/mmH2O, 1/4" BSPT posterior, Caja de acero pintada de negro, internos latón, clase ±3-2-3% ANSI/ASME Grado B.</t>
  </si>
  <si>
    <t>PLP346R12R15S1-BSPT</t>
  </si>
  <si>
    <t>PLP346R12R15S</t>
  </si>
  <si>
    <t>Manómetro Winters Serie PLP, dial 2,5", 0/500 mbar/mmH2O, 1/4" NPT posterior, Caja de acero pintada de negro, internos latón, clase ±3-2-3% ANSI/ASME Grado B.</t>
  </si>
  <si>
    <t>PLP344R1R11</t>
  </si>
  <si>
    <t>Manómetro Winters Serie PLP, dial 2,5", 0/5 psi/bar, 1/4" NPT posterior, Caja de acero pintada de negro, internos latón, clase ±3-2-3% ANSI/ASME Grado B.</t>
  </si>
  <si>
    <t>PLP345R1R11</t>
  </si>
  <si>
    <t>Manómetro Winters Serie PLP, dial 2,5", 0/10 psi/bar, 1/4" NPT posterior, Caja de acero pintada de negro, internos latón, clase ±3-2-3% ANSI/ASME Grado B.</t>
  </si>
  <si>
    <t>PLP350VR12R15</t>
  </si>
  <si>
    <t>Vacuómetro Winters Serie PLP, dial 2,5", -40/0 mbar/mmH2O, 1/4" NPT inferior, caja Ac. Inox 304, internos Ac. Inox. 316, clase ±1,6% FE.</t>
  </si>
  <si>
    <t>PLP351VR12R15</t>
  </si>
  <si>
    <t>Vacuómetro Winters Serie PLP, dial 2,5", -80/0 mbar/mmH2O, 1/4" NPT inferior, caja Ac. Inox 304, internos Ac. Inox. 316, clase ±1,6% FE.</t>
  </si>
  <si>
    <t>PLP351R3-T</t>
  </si>
  <si>
    <t>Vacuómetro Winters Serie PLP, dial 2,5", 0/0,06 kg/cm2, 1/4" NPT inferior, caja Ac. Inox 304, internos Ac. Inox. 316, clase ±1,6% FE, con tope fin escala.</t>
  </si>
  <si>
    <t>PLP352VR12R15</t>
  </si>
  <si>
    <t>Vacuómetro Winters Serie PLP, dial 2,5", -140/0 mbar/mmH2O, 1/4" NPT inferior, caja Ac. Inox 304, internos Ac. Inox. 316, clase ±1,6% FE.</t>
  </si>
  <si>
    <t>PLP353VR12R15</t>
  </si>
  <si>
    <t>Vacuómetro Winters Serie PLP, dial 2,5", -250/0 mbar/mmH2O, 1/4" NPT inferior, caja Ac. Inox 304, internos Ac. Inox. 316, clase ±1,6% FE.</t>
  </si>
  <si>
    <t>PLP350R12R15</t>
  </si>
  <si>
    <t>Manómetro Winters Serie PLP, dial 2,5", 0/40 mbar/mmH2O, 1/4" NPT inferior, caja Ac. Inox 304, internos Ac. Inox. 316, clase ±1,6% FE.</t>
  </si>
  <si>
    <t>PLP350R12R99</t>
  </si>
  <si>
    <t>PLP351R12R15S1</t>
  </si>
  <si>
    <t>Manómetro Winters Serie PLP, dial 2,5", 0/60 mbar/mmH2O, 1/4" NPT inferior, caja Ac. Inox 304, internos Ac. Inox. 316, clase ±1,6% FE.</t>
  </si>
  <si>
    <t>PLP351R12R99</t>
  </si>
  <si>
    <t>Manómetro Winters Serie PLP, dial 2,5", 0/60 mbar/mmH2O, 1/4" BSPT inferior, caja Ac. Inox 304, internos Ac. Inox. 316, clase ±1,6% FE.</t>
  </si>
  <si>
    <t>PLP351R12R15S1-BSPT</t>
  </si>
  <si>
    <t>PLP351R12R15</t>
  </si>
  <si>
    <t>Manómetro Winters Serie PLP, dial 2,5", 0/80 mbar/mmH2O, 1/4" NPT inferior, caja Ac. Inox 304, internos Ac. Inox. 316, clase ±1,6% FE.</t>
  </si>
  <si>
    <t>PLP352R12R15S</t>
  </si>
  <si>
    <t>Manómetro Winters Serie PLP, dial 2,5", 0/100 mbar/mmH2O, 1/4" NPT inferior, caja Ac. Inox 304, internos Ac. Inox. 316, clase ±1,6% FE.</t>
  </si>
  <si>
    <t>PLP352R12R99S</t>
  </si>
  <si>
    <t>Manómetro Winters Serie PLP, dial 2,5", 0/100 mbar/mmH2O, 1/4" BSPT inferior, caja Ac. Inox 304, internos Ac. Inox. 316, clase ±1,6% FE.</t>
  </si>
  <si>
    <t>PLP352R12R15-BSPT</t>
  </si>
  <si>
    <t>PLP352R12R15</t>
  </si>
  <si>
    <t>Manómetro Winters Serie PLP, dial 2,5", 0/140 mbar/mmH2O, 1/4" NPT inferior, caja Ac. Inox 304, internos Ac. Inox. 316, clase ±1,6% FE.</t>
  </si>
  <si>
    <t>PLP353R12R15</t>
  </si>
  <si>
    <t>Manómetro Winters Serie PLP, dial 2,5", 0/250 mbar/mmH2O, 1/4" NPT inferior, caja Ac. Inox 304, internos Ac. Inox. 316, clase ±1,6% FE.</t>
  </si>
  <si>
    <t>PLP353R12R99</t>
  </si>
  <si>
    <t>Manómetro Winters Serie PLP, dial 2,5", 0/250 mbar/mmH2O, 1/4" BSPT inferior, caja Ac. Inox 304, internos Ac. Inox. 316, clase ±1,6% FE.</t>
  </si>
  <si>
    <t>PLP353R12R15-BSPT</t>
  </si>
  <si>
    <t>PLP356R12R15</t>
  </si>
  <si>
    <t>Manómetro Winters Serie PLP, dial 2,5", 0/500 mbar/mmH2O, 1/4" NPT inferior, caja Ac. Inox 304, internos Ac. Inox. 316, clase ±1,6% FE.</t>
  </si>
  <si>
    <t>PLP354R1R11</t>
  </si>
  <si>
    <t>Manómetro Winters Serie PLP, dial 2,5", 0/5 psi/bar, 1/4" NPT inferior, caja Ac. Inox 304, internos Ac. Inox. 316, clase ±1,6% FE.</t>
  </si>
  <si>
    <t>PLP355R1R11</t>
  </si>
  <si>
    <t>Manómetro Winters Serie PLP, dial 2,5", 0/10 psi/bar, 1/4" NPT inferior, caja Ac. Inox 304, internos Ac. Inox. 316, clase ±1,6% FE.</t>
  </si>
  <si>
    <t>PLP352R12R15-BACK</t>
  </si>
  <si>
    <t>Manómetro Winters Serie PLP, dial 2,5", 0/100 mbar/mmH2O, 1/4" NPT posterior, caja Ac. Inox 304, internos Ac. Inox. 316, clase ±1,6% FE.</t>
  </si>
  <si>
    <t>PLP310VR12R15</t>
  </si>
  <si>
    <t>Vacuómetro Winters Serie PLP, dial 4", -40/0 mbar/mmH2O, 1/4" NPT inferior, Caja de acero pintada de negro, internos latón, clase ±3-2-3% ANSI/ASME Grado B.</t>
  </si>
  <si>
    <t>PLP311MVR12R15S</t>
  </si>
  <si>
    <t>Manovacuómetro Winters Serie PLP, dial 4", -60/0/60 mbar/mmH2O, 1/4" NPT inferior, Caja de acero pintada de negro, internos latón, clase ±3-2-3% ANSI/ASME Grado B.</t>
  </si>
  <si>
    <t>PLP311MANOV60MBAR</t>
  </si>
  <si>
    <t>Manovacuómetro Winters Serie PLP, dial 4", -60/0/60 mbar/mmH2O, 1/2" BSPT inferior, Caja de acero pintada de negro, internos latón, clase ±3-2-3% ANSI/ASME Grado B.</t>
  </si>
  <si>
    <t>PLP311MVR12R15S-1/2BSPT</t>
  </si>
  <si>
    <t>PLP311VR12R15</t>
  </si>
  <si>
    <t>Vacuómetro Winters Serie PLP, dial 4", -80/0 mbar/mmH2O, 1/4" NPT inferior, Caja de acero pintada de negro, internos latón, clase ±3-2-3% ANSI/ASME Grado B.</t>
  </si>
  <si>
    <t>PLP312VR12R15</t>
  </si>
  <si>
    <t>Vacuómetro Winters Serie PLP, dial 4", -100/0 mbar/mmH2O, 1/4" NPT inferior, Caja de acero pintada de negro, internos latón, clase ±3-2-3% ANSI/ASME Grado B.</t>
  </si>
  <si>
    <t>PLP312R12R99VAC</t>
  </si>
  <si>
    <t>Vacuómetro Winters Serie PLP, dial 4", -100/0 mbar/mmH2O, 1/2" BSPT inferior, Caja de acero pintada de negro, internos latón, clase ±3-2-3% ANSI/ASME Grado B.</t>
  </si>
  <si>
    <t>PLP312VR12R15-1/2BSPT</t>
  </si>
  <si>
    <t>Vacuómetro Winters Serie PLP, dial 4", -140/0 mbar/mmH2O, 1/4" NPT inferior, Caja de acero pintada de negro, internos latón, clase ±3-2-3% ANSI/ASME Grado B.</t>
  </si>
  <si>
    <t>PLP313VR12R15</t>
  </si>
  <si>
    <t>Vacuómetro Winters Serie PLP, dial 4", -250/0 mbar/mmH2O, 1/4" NPT inferior, Caja de acero pintada de negro, internos latón, clase ±3-2-3% ANSI/ASME Grado B.</t>
  </si>
  <si>
    <t>PLP310R12R15</t>
  </si>
  <si>
    <t>Manómetro Winters Serie PLP, dial 4", 0/40 mbar/mmH2O, 1/4" NPT inferior, Caja de acero pintada de negro, internos latón, clase ±3-2-3% ANSI/ASME Grado B.</t>
  </si>
  <si>
    <t>PLP311R12R15S</t>
  </si>
  <si>
    <t>Manómetro Winters Serie PLP, dial 4", 0/60 mbar/mmH2O, 1/4" NPT inferior, Caja de acero pintada de negro, internos latón, clase ±3-2-3% ANSI/ASME Grado B.</t>
  </si>
  <si>
    <t>PLP311R12R15S1-1/2</t>
  </si>
  <si>
    <t>Manómetro Winters Serie PLP, dial 4", 0/60 mbar/mmH2O, 1/2" NPT inferior, Caja de acero pintada de negro, internos latón, clase ±3-2-3% ANSI/ASME Grado B.</t>
  </si>
  <si>
    <t>PLP311R12R99</t>
  </si>
  <si>
    <t>Manómetro Winters Serie PLP, dial 4", 0/60 mbar/mmH2O, 1/2" BSPT inferior, Caja de acero pintada de negro, internos latón, clase ±3-2-3% ANSI/ASME Grado B.</t>
  </si>
  <si>
    <t>PLP311R12R15S1-1/2BSPT</t>
  </si>
  <si>
    <t>PLP311R12R15</t>
  </si>
  <si>
    <t>Manómetro Winters Serie PLP, dial 4", 0/80 mbar/mmH2O, 1/4" NPT inferior, Caja de acero pintada de negro, internos latón, clase ±3-2-3% ANSI/ASME Grado B.</t>
  </si>
  <si>
    <t>PLP312R12R15S</t>
  </si>
  <si>
    <t>Manómetro Winters Serie PLP, dial 4", 0/100 mbar/mmH2O, 1/2" NPT inferior, Caja de acero pintada de negro, internos latón, clase ±3-2-3% ANSI/ASME Grado B.</t>
  </si>
  <si>
    <t>PLP312R12R99</t>
  </si>
  <si>
    <t>Manómetro Winters Serie PLP, dial 4", 0/100 mbar/mmH2O, 1/2" BSPT inferior, Caja de acero pintada de negro, internos latón, clase ±3-2-3% ANSI/ASME Grado B.</t>
  </si>
  <si>
    <t>PLP312R12R15-1/2BSPT</t>
  </si>
  <si>
    <t>PLP312R12R15S-1/2</t>
  </si>
  <si>
    <t>PLP312R12R15</t>
  </si>
  <si>
    <t>Manómetro Winters Serie PLP, dial 4", 0/140 mbar/mmH2O, 1/4" NPT inferior, Caja de acero pintada de negro, internos latón, clase ±3-2-3% ANSI/ASME Grado B.</t>
  </si>
  <si>
    <t>PLP313R12R15S1-1/2</t>
  </si>
  <si>
    <t>Manómetro Winters Serie PLP, dial 4", 0/200 mbar/mmH2O, 1/2" NPT inferior, Caja de acero pintada de negro, internos latón, clase ±3-2-3% ANSI/ASME Grado B.</t>
  </si>
  <si>
    <t>PLP313R12R15</t>
  </si>
  <si>
    <t>Manómetro Winters Serie PLP, dial 4", 0/250 mbar/mmH2O, 1/4" NPT inferior, Caja de acero pintada de negro, internos latón, clase ±3-2-3% ANSI/ASME Grado B.</t>
  </si>
  <si>
    <t>PLP313R12R15-1/2</t>
  </si>
  <si>
    <t>PLP313R12R99</t>
  </si>
  <si>
    <t>Manómetro Winters Serie PLP, dial 4", 0/250 mbar/mmH2O, 1/2" BSPT inferior, Caja de acero pintada de negro, internos latón, clase ±3-2-3% ANSI/ASME Grado B.</t>
  </si>
  <si>
    <t>PLP313R12R15-1/2BSPT</t>
  </si>
  <si>
    <t>PLP313R12R15S2-1/2</t>
  </si>
  <si>
    <t>Manómetro Winters Serie PLP, dial 4", 0/300 mbar/mmH2O, 1/2" NPT inferior, Caja de acero pintada de negro, internos latón, clase ±3-2-3% ANSI/ASME Grado B.</t>
  </si>
  <si>
    <t>PLP316R12R15S-1/2</t>
  </si>
  <si>
    <t>Manómetro Winters Serie PLP, dial 4", 0/400 mbar/mmH2O, 1/2" NPT inferior, Caja de acero pintada de negro, internos latón, clase ±3-2-3% ANSI/ASME Grado B.</t>
  </si>
  <si>
    <t>PLP316R12R15</t>
  </si>
  <si>
    <t>Manómetro Winters Serie PLP, dial 4", 0/500 mbar/mmH2O, 1/4" NPT inferior, Caja de acero pintada de negro, internos latón, clase ±3-2-3% ANSI/ASME Grado B.</t>
  </si>
  <si>
    <t>PLP316R12R15S1-1/2</t>
  </si>
  <si>
    <t>Manómetro Winters Serie PLP, dial 4", 0/600 mbar/mmH2O, 1/2" NPT inferior, Caja de acero pintada de negro, internos latón, clase ±3-2-3% ANSI/ASME Grado B.</t>
  </si>
  <si>
    <t>PLP314R1R11</t>
  </si>
  <si>
    <t>Manómetro Winters Serie PLP, dial 4", 0/5 psi/bar, 1/4" NPT inferior, Caja de acero pintada de negro, internos latón, clase ±3-2-3% ANSI/ASME Grado B.</t>
  </si>
  <si>
    <t>PLP315R1R11</t>
  </si>
  <si>
    <t>Manómetro Winters Serie PLP, dial 4", 0/10 psi/bar, 1/4" NPT inferior, Caja de acero pintada de negro, internos latón, clase ±3-2-3% ANSI/ASME Grado B.</t>
  </si>
  <si>
    <t>PLP4230VR12R15</t>
  </si>
  <si>
    <t>Vacuómetro Winters Serie PLP, dial 4", -40/0 mbar/mmH2O, 1/4" NPT posterior, Caja de acero pintada de negro, internos latón, clase ±3-2-3% ANSI/ASME Grado B.</t>
  </si>
  <si>
    <t>PLP4231VR12R15</t>
  </si>
  <si>
    <t>Vacuómetro Winters Serie PLP, dial 4", -80/0 mbar/mmH2O, 1/4" NPT posterior, Caja de acero pintada de negro, internos latón, clase ±3-2-3% ANSI/ASME Grado B.</t>
  </si>
  <si>
    <t>PLP4232VR12R15</t>
  </si>
  <si>
    <t>Vacuómetro Winters Serie PLP, dial 4", -100/0 mbar/mmH2O, 1/4" NPT posterior, Caja de acero pintada de negro, internos latón, clase ±3-2-3% ANSI/ASME Grado B.</t>
  </si>
  <si>
    <t>PLP4232R12R99VAC</t>
  </si>
  <si>
    <t>Vacuómetro Winters Serie PLP, dial 4", -100/0 mbar/mmH2O, 1/2" BSPT posterior, Caja de acero pintada de negro, internos latón, clase ±3-2-3% ANSI/ASME Grado B.</t>
  </si>
  <si>
    <t>PLP4232VR12R15-1/2BSPT</t>
  </si>
  <si>
    <t>Vacuómetro Winters Serie PLP, dial 4", -140/0 mbar/mmH2O, 1/4" NPT posterior, Caja de acero pintada de negro, internos latón, clase ±3-2-3% ANSI/ASME Grado B.</t>
  </si>
  <si>
    <t>PLP4233VR12R15</t>
  </si>
  <si>
    <t>Vacuómetro Winters Serie PLP, dial 4", -250/0 mbar/mmH2O, 1/4" NPT posterior, Caja de acero pintada de negro, internos latón, clase ±3-2-3% ANSI/ASME Grado B.</t>
  </si>
  <si>
    <t>PLP4229VR12R15</t>
  </si>
  <si>
    <t>Vacuómetro Winters Serie PLP, dial 4", -300/0 mbar/mmH2O, 1/4" NPT posterior, Caja de acero pintada de negro, internos latón, clase ±3-2-3% ANSI/ASME Grado B.</t>
  </si>
  <si>
    <t>PLP4229VR12R15-1/2BSPT</t>
  </si>
  <si>
    <t>Vacuómetro Winters Serie PLP, dial 4", -300/0 mbar/mmH2O, 1/2" BSPT posterior, Caja de acero pintada de negro, internos latón, clase ±3-2-3% ANSI/ASME Grado B.</t>
  </si>
  <si>
    <t>PLP4230R12R15</t>
  </si>
  <si>
    <t>Manómetro Winters Serie PLP, dial 4", 0/40 mbar/mmH2O, 1/4" NPT posterior, Caja de acero pintada de negro, internos latón, clase ±3-2-3% ANSI/ASME Grado B.</t>
  </si>
  <si>
    <t>PLP4231R12R15</t>
  </si>
  <si>
    <t>Manómetro Winters Serie PLP, dial 4", 0/60 mbar/mmH2O, 1/4" NPT posterior, Caja de acero pintada de negro, internos latón, clase ±3-2-3% ANSI/ASME Grado B.</t>
  </si>
  <si>
    <t>PLP4231R12R99</t>
  </si>
  <si>
    <t>Manómetro Winters Serie PLP, dial 4", 0/60 mbar/mmH2O, 1/2" BSPT posterior, Caja de acero pintada de negro, internos latón, clase ±3-2-3% ANSI/ASME Grado B.</t>
  </si>
  <si>
    <t>PLP4231R12R15S1-1/2BSPT</t>
  </si>
  <si>
    <t>Manómetro Winters Serie PLP, dial 4", 0/80 mbar/mmH2O, 1/4" NPT posterior, Caja de acero pintada de negro, internos latón, clase ±3-2-3% ANSI/ASME Grado B.</t>
  </si>
  <si>
    <t>PLP4232R12R99</t>
  </si>
  <si>
    <t>Manómetro Winters Serie PLP, dial 4", 0/100 mbar/mmH2O, 1/4" NPT posterior, Caja de acero pintada de negro, internos latón, clase ±3-2-3% ANSI/ASME Grado B.</t>
  </si>
  <si>
    <t>PLP4232R12R15</t>
  </si>
  <si>
    <t>Manómetro Winters Serie PLP, dial 4", 0/140 mbar/mmH2O, 1/4" NPT posterior, Caja de acero pintada de negro, internos latón, clase ±3-2-3% ANSI/ASME Grado B.</t>
  </si>
  <si>
    <t>PLP4233R12R15</t>
  </si>
  <si>
    <t>Manómetro Winters Serie PLP, dial 4", 0/250 mbar/mmH2O, 1/4" NPT posterior, Caja de acero pintada de negro, internos latón, clase ±3-2-3% ANSI/ASME Grado B.</t>
  </si>
  <si>
    <t>PLP4233R12R99</t>
  </si>
  <si>
    <t>Manómetro Winters Serie PLP, dial 4", 0/250 mbar/mmH2O, 1/2" BSPT posterior, Caja de acero pintada de negro, internos latón, clase ±3-2-3% ANSI/ASME Grado B.</t>
  </si>
  <si>
    <t>PLP4233R12R15-1/2BSPT</t>
  </si>
  <si>
    <t>PLP4236R12R15</t>
  </si>
  <si>
    <t>Manómetro Winters Serie PLP, dial 4", 0/500 mbar/mmH2O, 1/4" NPT posterior, Caja de acero pintada de negro, internos latón, clase ±3-2-3% ANSI/ASME Grado B.</t>
  </si>
  <si>
    <t>PLP4234R1R11</t>
  </si>
  <si>
    <t>Manómetro Winters Serie PLP, dial 4", 0/5 psi/bar, 1/4" NPT posterior, Caja de acero pintada de negro, internos latón, clase ±3-2-3% ANSI/ASME Grado B.</t>
  </si>
  <si>
    <t>PLP4235R1R11</t>
  </si>
  <si>
    <t>Manómetro Winters Serie PLP, dial 4", 0/10 psi/bar, 1/4" NPT posterior, Caja de acero pintada de negro, internos latón, clase ±3-2-3% ANSI/ASME Grado B.</t>
  </si>
  <si>
    <t>PLP4200VR12R15</t>
  </si>
  <si>
    <t>Vacuómetro Winters Serie PLP, dial 4", -40/0 mbar/mmH2O, 1/4" NPT inferior, caja Ac. Inox 304, internos Ac. Inox. 316, clase ±1,6% FE.</t>
  </si>
  <si>
    <t>PLP4201MVR12R15</t>
  </si>
  <si>
    <t>Manovacuómetro Winters Serie PLP, dial 4", -80/0/80 mbar/mmH2O, 1/4" NPT inferior, caja Ac. Inox 304, internos Ac. Inox. 316, clase ±1,6% FE.</t>
  </si>
  <si>
    <t>PLP4201R8MANOV</t>
  </si>
  <si>
    <t>Manovacuómetro Winters Serie PLP, dial 4", -30/0/30" H20, 1/4" NPT inferior, caja Ac. Inox 304, internos Ac. Inox. 316, clase ±1,6% FE.</t>
  </si>
  <si>
    <t>PLP4201VR12R15</t>
  </si>
  <si>
    <t>Vacuómetro Winters Serie PLP, dial 4", -80/0 mbar/mmH2O, 1/4" NPT inferior, caja Ac. Inox 304, internos Ac. Inox. 316, clase ±1,6% FE.</t>
  </si>
  <si>
    <t>PLP4202VR12R15</t>
  </si>
  <si>
    <t>Vacuómetro Winters Serie PLP, dial 4", -140/0 mbar/mmH2O, 1/4" NPT inferior, caja Ac. Inox 304, internos Ac. Inox. 316, clase ±1,6% FE.</t>
  </si>
  <si>
    <t>PLP4203VR12R15</t>
  </si>
  <si>
    <t>Vacuómetro Winters Serie PLP, dial 4", -250/0 mbar/mmH2O, 1/4" NPT inferior, caja Ac. Inox 304, internos Ac. Inox. 316, clase ±1,6% FE.</t>
  </si>
  <si>
    <t>PLP4200R12R15</t>
  </si>
  <si>
    <t>Manómetro Winters Serie PLP, dial 4", 0/40 mbar/mmH2O, 1/4" NPT inferior, caja Ac. Inox 304, internos Ac. Inox. 316, clase ±1,6% FE.</t>
  </si>
  <si>
    <t>PLP4201R12R15S</t>
  </si>
  <si>
    <t>Manómetro Winters Serie PLP, dial 4", 0/60 mbar/mmH2O, 1/4" NPT inferior, caja Ac. Inox 304, internos Ac. Inox. 316, clase ±1,6% FE.</t>
  </si>
  <si>
    <t>PLP4201R12R15S-1/2</t>
  </si>
  <si>
    <t>Manómetro Winters Serie PLP, dial 4", 0/60 mbar/mmH2O, 1/2" NPT inferior, caja Ac. Inox 304, internos Ac. Inox. 316, clase ±1,6% FE.</t>
  </si>
  <si>
    <t>PLP4201R12R15</t>
  </si>
  <si>
    <t>Manómetro Winters Serie PLP, dial 4", 0/80 mbar/mmH2O, 1/4" NPT inferior, caja Ac. Inox 304, internos Ac. Inox. 316, clase ±1,6% FE.</t>
  </si>
  <si>
    <t>PLP4202R12R15S</t>
  </si>
  <si>
    <t>Manómetro Winters Serie PLP, dial 4", 0/100 mbar/mmH2O, 1/4" NPT inferior, caja Ac. Inox 304, internos Ac. Inox. 316, clase ±1,6% FE.</t>
  </si>
  <si>
    <t>PLP4202R12R15S-1/2</t>
  </si>
  <si>
    <t>Manómetro Winters Serie PLP, dial 4", 0/100 mbar/mmH2O, 1/2" NPT inferior, caja Ac. Inox 304, internos Ac. Inox. 316, clase ±1,6% FE.</t>
  </si>
  <si>
    <t>PLP4202R12R15</t>
  </si>
  <si>
    <t>Manómetro Winters Serie PLP, dial 4", 0/140 mbar/mmH2O, 1/4" NPT inferior, caja Ac. Inox 304, internos Ac. Inox. 316, clase ±1,6% FE.</t>
  </si>
  <si>
    <t>PLP4203R12R15</t>
  </si>
  <si>
    <t>Manómetro Winters Serie PLP, dial 4", 0/250 mbar/mmH2O, 1/4" NPT inferior, caja Ac. Inox 304, internos Ac. Inox. 316, clase ±1,6% FE.</t>
  </si>
  <si>
    <t>PLP4203R12R15-1/2</t>
  </si>
  <si>
    <t>Manómetro Winters Serie PLP, dial 4", 0/250 mbar/mmH2O, 1/2" NPT inferior, caja Ac. Inox 304, internos Ac. Inox. 316, clase ±1,6% FE.</t>
  </si>
  <si>
    <t>PLP4206R12R15</t>
  </si>
  <si>
    <t>Manómetro Winters Serie PLP, dial 4", 0/400 mbar/mmH2O, 1/4" NPT inferior, caja Ac. Inox 304, internos Ac. Inox. 316, clase ±1,6% FE.</t>
  </si>
  <si>
    <t>PLP4206R12R15-1/2</t>
  </si>
  <si>
    <t>Manómetro Winters Serie PLP, dial 4", 0/400 mbar/mmH2O, 1/2" NPT inferior, caja Ac. Inox 304, internos Ac. Inox. 316, clase ±1,6% FE.</t>
  </si>
  <si>
    <t>Manómetro Winters Serie PLP, dial 4", 0/500 mbar/mmH2O, 1/4" NPT inferior, caja Ac. Inox 304, internos Ac. Inox. 316, clase ±1,6% FE.</t>
  </si>
  <si>
    <t>PLP4204R1R11</t>
  </si>
  <si>
    <t>Manómetro Winters Serie PLP, dial 4", 0/5 psi/bar, 1/4" NPT inferior, caja Ac. Inox 304, internos Ac. Inox. 316, clase ±1,6% FE.</t>
  </si>
  <si>
    <t>PLP4205R1R11</t>
  </si>
  <si>
    <t>Manómetro Winters Serie PLP, dial 4", 0/10 psi/bar, 1/4" NPT inferior, caja Ac. Inox 304, internos Ac. Inox. 316, clase ±1,6% FE.</t>
  </si>
  <si>
    <t>PLP4240VR12R15</t>
  </si>
  <si>
    <t>Vacuómetro Winters Serie PLP, dial 4", -40/0 mbar/mmH2O, 1/4" NPT posterior, caja Ac. Inox 304, internos Ac. Inox. 316, clase ±1,6% FE.</t>
  </si>
  <si>
    <t>PLP4241VR12R15</t>
  </si>
  <si>
    <t>Vacuómetro Winters Serie PLP, dial 4", -80/0 mbar/mmH2O, 1/4" NPT posterior, caja Ac. Inox 304, internos Ac. Inox. 316, clase ±1,6% FE.</t>
  </si>
  <si>
    <t>PLP4242VR12R15</t>
  </si>
  <si>
    <t>Vacuómetro Winters Serie PLP, dial 4", -140/0 mbar/mmH2O, 1/4" NPT posterior, caja Ac. Inox 304, internos Ac. Inox. 316, clase ±1,6% FE.</t>
  </si>
  <si>
    <t>PLP4243VR12R15</t>
  </si>
  <si>
    <t>Vacuómetro Winters Serie PLP, dial 4", -250/0 mbar/mmH2O, 1/4" NPT posterior, caja Ac. Inox 304, internos Ac. Inox. 316, clase ±1,6% FE.</t>
  </si>
  <si>
    <t>PLP4240R12R15</t>
  </si>
  <si>
    <t>Manómetro Winters Serie PLP, dial 4", 0/40 mbar/mmH2O, 1/4" NPT posterior, caja Ac. Inox 304, internos Ac. Inox. 316, clase ±1,6% FE.</t>
  </si>
  <si>
    <t>PLP4241R12R15</t>
  </si>
  <si>
    <t>Manómetro Winters Serie PLP, dial 4", 0/80 mbar/mmH2O, 1/4" NPT posterior, caja Ac. Inox 304, internos Ac. Inox. 316, clase ±1,6% FE.</t>
  </si>
  <si>
    <t>PLP4242R12R15</t>
  </si>
  <si>
    <t>Manómetro Winters Serie PLP, dial 4", 0/140 mbar/mmH2O, 1/4" NPT posterior, caja Ac. Inox 304, internos Ac. Inox. 316, clase ±1,6% FE.</t>
  </si>
  <si>
    <t>PLP4243R12R15</t>
  </si>
  <si>
    <t>Manómetro Winters Serie PLP, dial 4", 0/250 mbar/mmH2O, 1/4" NPT posterior, caja Ac. Inox 304, internos Ac. Inox. 316, clase ±1,6% FE.</t>
  </si>
  <si>
    <t>PLP4246R12R15</t>
  </si>
  <si>
    <t>Manómetro Winters Serie PLP, dial 4", 0/500 mbar/mmH2O, 1/4" NPT posterior, caja Ac. Inox 304, internos Ac. Inox. 316, clase ±1,6% FE.</t>
  </si>
  <si>
    <t>PLP4244R1R11</t>
  </si>
  <si>
    <t>Manómetro Winters Serie PLP, dial 4", 0/5 psi/bar, 1/4" NPT posterior, caja Ac. Inox 304, internos Ac. Inox. 316, clase ±1,6% FE.</t>
  </si>
  <si>
    <t>PLP4245R1R11</t>
  </si>
  <si>
    <t>Manómetro Winters Serie PLP, dial 4", 0/10 psi/bar, 1/4" NPT posterior, caja Ac. Inox 304, internos Ac. Inox. 316, clase ±1,6% FE.</t>
  </si>
  <si>
    <t>PLP4240VR12R15S-BACK</t>
  </si>
  <si>
    <t>Vacuómetro Winters Serie PLP, dial 6", -30/0 mbar/mmH2O, 1/4" NPT posterior, caja aluminio pintado a negro, internos Ac. Inox. 316, clase ±1,6% FE.</t>
  </si>
  <si>
    <t>PLP4320VR99S-BACK-1/2</t>
  </si>
  <si>
    <t>Vacuómetro Winters Serie PLP, dial 6", -300/0 MMCA, 1/4" NPT posterior, caja Ac. Inox 304, internos Ac. Inox. 316, clase ±1,6% FE.</t>
  </si>
  <si>
    <t>25BOOT-PLP</t>
  </si>
  <si>
    <t>Accesorio Winters Protector de goma para manómetro Serie PLP de dial 2,5"</t>
  </si>
  <si>
    <t>PPC5040ZRR6R11</t>
  </si>
  <si>
    <t>Vacuómetro de proceso Winters Serie PPC-ZR STABILIZR, dial 4,5", -30/0"Hg &amp; -1/0 bar, 1/4" NPT inferior, caja fenólica, clase 0,5%, amortiguador seco.</t>
  </si>
  <si>
    <t>PPC5130ZRR1R11</t>
  </si>
  <si>
    <t>Manovacuómetro de proceso Winters Serie PPC-ZR STABILIZR, dial 4,5", -30"Hg/0/15 psi &amp; -1/0/1 bar, 1/4" NPT inferior, caja fenólica, clase 0,5%, amortiguador seco.</t>
  </si>
  <si>
    <t>PPC5131ZRR1R11</t>
  </si>
  <si>
    <t>Manovacuómetro de proceso Winters Serie PPC-ZR STABILIZR, dial 4,5", -30"Hg/0/30 psi &amp; -1/0/2 bar, 1/4" NPT inferior, caja fenólica, clase 0,5%, amortiguador seco.</t>
  </si>
  <si>
    <t>PPC5132ZRR1R11</t>
  </si>
  <si>
    <t>Manovacuómetro de proceso Winters Serie PPC-ZR STABILIZR, dial 4,5", -30"Hg/0/60 psi &amp; -1/0/4 bar, 1/4" NPT inferior, caja fenólica, clase 0,5%, amortiguador seco.</t>
  </si>
  <si>
    <t>PPC5133ZRR1R11</t>
  </si>
  <si>
    <t>Manovacuómetro de proceso Winters Serie PPC-ZR STABILIZR, dial 4,5", -30"Hg/0/100 psi &amp; -1/0/7 bar, 1/4" NPT inferior, caja fenólica, clase 0,5%, amortiguador seco.</t>
  </si>
  <si>
    <t>PPC5134ZRR1R11</t>
  </si>
  <si>
    <t>Manovacuómetro de proceso Winters Serie PPC-ZR STABILIZR, dial 4,5", -30"Hg/0/160 psi &amp; -1/0/11 bar, 1/4" NPT inferior, caja fenólica, clase 0,5%, amortiguador seco.</t>
  </si>
  <si>
    <t>PPC5135ZRR1R11</t>
  </si>
  <si>
    <t>Manovacuómetro de proceso Winters Serie PPC-ZR STABILIZR, dial 4,5", -30"Hg/0/200 psi &amp; -1/0/14 bar, 1/4" NPT inferior, caja fenólica, clase 0,5%, amortiguador seco.</t>
  </si>
  <si>
    <t>PPC5136ZRR1R11</t>
  </si>
  <si>
    <t>Manovacuómetro de proceso Winters Serie PPC-ZR STABILIZR, dial 4,5", -30"Hg/0/300 psi &amp; -1/0/20 bar, 1/4" NPT inferior, caja fenólica, clase 0,5%, amortiguador seco.</t>
  </si>
  <si>
    <t>PPC5041ZRR1R11</t>
  </si>
  <si>
    <t>Manómetro de proceso Winters Serie PPC-ZR STABILIZR, dial 4,5", 0/15 psi &amp; 0/1 bar, 1/4" NPT inferior, caja fenólica, clase 0,5%, amortiguador seco.</t>
  </si>
  <si>
    <t>PPC5042ZRR1R11</t>
  </si>
  <si>
    <t>Manómetro de proceso Winters Serie PPC-ZR STABILIZR, dial 4,5", 0/30 psi &amp; 0/2 bar, 1/4" NPT inferior, caja fenólica, clase 0,5%, amortiguador seco.</t>
  </si>
  <si>
    <t>PPC5043ZRR1R11</t>
  </si>
  <si>
    <t>Manómetro de proceso Winters Serie PPC-ZR STABILIZR, dial 4,5", 0/60 psi &amp; 0/4 bar, 1/4" NPT inferior, caja fenólica, clase 0,5%, amortiguador seco.</t>
  </si>
  <si>
    <t>PPC5044ZRR1R11</t>
  </si>
  <si>
    <t>Manómetro de proceso Winters Serie PPC-ZR STABILIZR, dial 4,5", 0/100 psi &amp; 0/7 bar, 1/4" NPT inferior, caja fenólica, clase 0,5%, amortiguador seco.</t>
  </si>
  <si>
    <t>PPC5045ZRR1R11</t>
  </si>
  <si>
    <t>Manómetro de proceso Winters Serie PPC-ZR STABILIZR, dial 4,5", 0/160 psi &amp; 0/11 bar, 1/4" NPT inferior, caja fenólica, clase 0,5%, amortiguador seco.</t>
  </si>
  <si>
    <t>PPC5046ZRR1R11</t>
  </si>
  <si>
    <t>Manómetro de proceso Winters Serie PPC-ZR STABILIZR, dial 4,5", 0/200 psi &amp; 0/14 bar, 1/4" NPT inferior, caja fenólica, clase 0,5%, amortiguador seco.</t>
  </si>
  <si>
    <t>PPC5047ZRR1R11</t>
  </si>
  <si>
    <t>Manómetro de proceso Winters Serie PPC-ZR STABILIZR, dial 4,5", 0/300 psi &amp; 0/20 bar, 1/4" NPT inferior, caja fenólica, clase 0,5%, amortiguador seco.</t>
  </si>
  <si>
    <t>PPC5048ZRR1R11</t>
  </si>
  <si>
    <t>Manómetro de proceso Winters Serie PPC-ZR STABILIZR, dial 4,5", 0/400 psi &amp; 0/30 bar, 1/4" NPT inferior, caja fenólica, clase 0,5%, amortiguador seco.</t>
  </si>
  <si>
    <t>PPC5049ZRR1R11</t>
  </si>
  <si>
    <t>Manómetro de proceso Winters Serie PPC-ZR STABILIZR, dial 4,5", 0/600 psi &amp; 0/40 bar, 1/4" NPT inferior, caja fenólica, clase 0,5%, amortiguador seco.</t>
  </si>
  <si>
    <t>PPC5058ZRR1R11</t>
  </si>
  <si>
    <t>Manómetro de proceso Winters Serie PPC-ZR STABILIZR, dial 4,5", 0/800 psi/bar, 1/4" NPT inferior, caja fenólica, clase 0,5%, amortiguador seco.</t>
  </si>
  <si>
    <t>PPC5050ZRR1R11</t>
  </si>
  <si>
    <t>Manómetro de proceso Winters Serie PPC-ZR STABILIZR, dial 4,5", 0/1.000 psi &amp; 0/70 bar, 1/4" NPT inferior, caja fenólica, clase 0,5%, amortiguador seco.</t>
  </si>
  <si>
    <t>PPC5051ZRR1R11</t>
  </si>
  <si>
    <t>Manómetro de proceso Winters Serie PPC-ZR STABILIZR, dial 4,5", 0/1.500 psi &amp; 0/100 bar, 1/4" NPT inferior, caja fenólica, clase 0,5%, amortiguador seco.</t>
  </si>
  <si>
    <t>PPC5052ZRR1R11</t>
  </si>
  <si>
    <t>Manómetro de proceso Winters Serie PPC-ZR STABILIZR, dial 4,5", 0/2.000 psi &amp; 0/140 bar, 1/4" NPT inferior, caja fenólica, clase 0,5%, amortiguador seco.</t>
  </si>
  <si>
    <t>PPC5053ZRR1R11</t>
  </si>
  <si>
    <t>Manómetro de proceso Winters Serie PPC-ZR STABILIZR, dial 4,5", 0/3.000 psi &amp; 0/200 bar, 1/4" NPT inferior, caja fenólica, clase 0,5%, amortiguador seco.</t>
  </si>
  <si>
    <t>PPC5054ZRR1R11</t>
  </si>
  <si>
    <t>Manómetro de proceso Winters Serie PPC-ZR STABILIZR, dial 4,5", 0/5.000 psi &amp; 0/350 bar, 1/4" NPT inferior, caja fenólica, clase 0,5%, amortiguador seco.</t>
  </si>
  <si>
    <t>PPC5055ZRR1R11</t>
  </si>
  <si>
    <t>Manómetro de proceso Winters Serie PPC-ZR STABILIZR, dial 4,5", 0/10.000 psi &amp; 0/700 bar, 1/4" NPT inferior, caja fenólica, clase 0,5%, amortiguador seco.</t>
  </si>
  <si>
    <t>PPC5056ZRR1R11</t>
  </si>
  <si>
    <t>Manómetro de proceso Winters Serie PPC-ZR STABILIZR, dial 4,5", 0/15.000 psi &amp; 0/1.000 bar, 1/4" NPT inferior, caja fenólica, clase 0,5%, amortiguador seco.</t>
  </si>
  <si>
    <t>PPC5057ZRR1R11</t>
  </si>
  <si>
    <t>Manómetro de proceso Winters Serie PPC-ZR STABILIZR, dial 4,5", 0/20.000 psi &amp; 0/1.400 bar, 1/4" NPT inferior, caja fenólica, clase 0,5%, amortiguador seco.</t>
  </si>
  <si>
    <t>PPC5340ZRR6R11</t>
  </si>
  <si>
    <t>Vacuómetro de proceso Winters Serie PPC-ZR STABILIZR, dial 4,5", -30/0"Hg &amp; -1/0 bar, 1/4" NPT posterior, caja fenólica, clase 0,5%, amortiguador seco.</t>
  </si>
  <si>
    <t>PPC5330ZRR1R11</t>
  </si>
  <si>
    <t>Manovacuómetro de proceso Winters Serie PPC-ZR STABILIZR, dial 4,5", -30"Hg/0/15 psi &amp; -1/0/1 bar, 1/4" NPT posterior, caja fenólica, clase 0,5%, amortiguador seco.</t>
  </si>
  <si>
    <t>PPC5331ZRR1R11</t>
  </si>
  <si>
    <t>Manovacuómetro de proceso Winters Serie PPC-ZR STABILIZR, dial 4,5", -30"Hg/0/30 psi &amp; -1/0/2 bar, 1/4" NPT posterior, caja fenólica, clase 0,5%, amortiguador seco.</t>
  </si>
  <si>
    <t>PPC5332ZRR1R11</t>
  </si>
  <si>
    <t>Manovacuómetro de proceso Winters Serie PPC-ZR STABILIZR, dial 4,5", -30"Hg/0/60 psi &amp; -1/0/4 bar, 1/4" NPT posterior, caja fenólica, clase 0,5%, amortiguador seco.</t>
  </si>
  <si>
    <t>PPC5333ZRR1R11</t>
  </si>
  <si>
    <t>Manovacuómetro de proceso Winters Serie PPC-ZR STABILIZR, dial 4,5", -30"Hg/0/100 psi &amp; -1/0/7 bar, 1/4" NPT posterior, caja fenólica, clase 0,5%, amortiguador seco.</t>
  </si>
  <si>
    <t>PPC5334ZRR1R11</t>
  </si>
  <si>
    <t>Manovacuómetro de proceso Winters Serie PPC-ZR STABILIZR, dial 4,5", -30"Hg/0/160 psi &amp; 0/11 bar, 1/4" NPT posterior, caja fenólica, clase 0,5%, amortiguador seco.</t>
  </si>
  <si>
    <t>PPC5335ZRR1R11</t>
  </si>
  <si>
    <t>Manovacuómetro de proceso Winters Serie PPC-ZR STABILIZR, dial 4,5", -30"Hg/0/200 psi &amp; -1/0/14 bar, 1/4" NPT posterior, caja fenólica, clase 0,5%, amortiguador seco.</t>
  </si>
  <si>
    <t>PPC5336ZRR1R11</t>
  </si>
  <si>
    <t>Manovacuómetro de proceso Winters Serie PPC-ZR STABILIZR, dial 4,5", -30"Hg/0/300 psi &amp; -1/0/20 bar, 1/4" NPT posterior, caja fenólica, clase 0,5%, amortiguador seco.</t>
  </si>
  <si>
    <t>PPC5341ZRR1R11</t>
  </si>
  <si>
    <t>Manómetro de proceso Winters Serie PPC-ZR STABILIZR, dial 4,5", 0/15 psi &amp; 0/1 bar, 1/4" NPT posterior, caja fenólica, clase 0,5%, amortiguador seco.</t>
  </si>
  <si>
    <t>PPC5342ZRR1R11</t>
  </si>
  <si>
    <t>Manómetro de proceso Winters Serie PPC-ZR STABILIZR, dial 4,5", 0/30 psi &amp; 0/2 bar, 1/4" NPT posterior, caja fenólica, clase 0,5%, amortiguador seco.</t>
  </si>
  <si>
    <t>PPC5343ZRR1R11</t>
  </si>
  <si>
    <t>Manómetro de proceso Winters Serie PPC-ZR STABILIZR, dial 4,5", 0/60 psi &amp; 0/4 bar, 1/4" NPT posterior, caja fenólica, clase 0,5%, amortiguador seco.</t>
  </si>
  <si>
    <t>PPC5344ZRR1R11</t>
  </si>
  <si>
    <t>Manómetro de proceso Winters Serie PPC-ZR STABILIZR, dial 4,5", 0/100 psi &amp; 0/7 bar, 1/4" NPT posterior, caja fenólica, clase 0,5%, amortiguador seco.</t>
  </si>
  <si>
    <t>PPC5345ZRR1R11</t>
  </si>
  <si>
    <t>Manómetro de proceso Winters Serie PPC-ZR STABILIZR, dial 4,5", 0/160 psi &amp; 0/11 bar, 1/4" NPT posterior, caja fenólica, clase 0,5%, amortiguador seco.</t>
  </si>
  <si>
    <t>PPC5346ZRR1R11</t>
  </si>
  <si>
    <t>Manómetro de proceso Winters Serie PPC-ZR STABILIZR, dial 4,5", 0/200 psi &amp; 0/14 bar, 1/4" NPT posterior, caja fenólica, clase 0,5%, amortiguador seco.</t>
  </si>
  <si>
    <t>PPC5347ZRR1R11</t>
  </si>
  <si>
    <t>Manómetro de proceso Winters Serie PPC-ZR STABILIZR, dial 4,5", 0/300 psi &amp; 0/20 bar, 1/4" NPT posterior, caja fenólica, clase 0,5%, amortiguador seco.</t>
  </si>
  <si>
    <t>PPC5348ZRR1R11</t>
  </si>
  <si>
    <t>Manómetro de proceso Winters Serie PPC-ZR STABILIZR, dial 4,5", 0/400 psi &amp; 0/30 bar, 1/4" NPT posterior, caja fenólica, clase 0,5%, amortiguador seco.</t>
  </si>
  <si>
    <t>PPC5349ZRR1R11</t>
  </si>
  <si>
    <t>Manómetro de proceso Winters Serie PPC-ZR STABILIZR, dial 4,5", 0/600 psi &amp; 0/40 bar, 1/4" NPT posterior, caja fenólica, clase 0,5%, amortiguador seco.</t>
  </si>
  <si>
    <t>PPC5358ZRR1R11</t>
  </si>
  <si>
    <t>Manómetro de proceso Winters Serie PPC-ZR STABILIZR, dial 4,5", 0/800 psi/bar, 1/4" NPT posterior, caja fenólica, clase 0,5%, amortiguador seco.</t>
  </si>
  <si>
    <t>PPC5350ZRR1R11</t>
  </si>
  <si>
    <t>Manómetro de proceso Winters Serie PPC-ZR STABILIZR, dial 4,5", 0/1.000 psi &amp; 0/70 bar, 1/4" NPT posterior, caja fenólica, clase 0,5%, amortiguador seco.</t>
  </si>
  <si>
    <t>PPC5351ZRR1R11</t>
  </si>
  <si>
    <t>Manómetro de proceso Winters Serie PPC-ZR STABILIZR, dial 4,5", 0/1.500 psi &amp; 0/100 bar, 1/4" NPT posterior, caja fenólica, clase 0,5%, amortiguador seco.</t>
  </si>
  <si>
    <t>PPC5352ZRR1R11</t>
  </si>
  <si>
    <t>Manómetro de proceso Winters Serie PPC-ZR STABILIZR, dial 4,5", 0/2.000 psi &amp; 0/140 bar, 1/4" NPT posterior, caja fenólica, clase 0,5%, amortiguador seco.</t>
  </si>
  <si>
    <t>PPC5353ZRR1R11</t>
  </si>
  <si>
    <t>Manómetro de proceso Winters Serie PPC-ZR STABILIZR, dial 4,5", 0/3.000 psi &amp; 0/200 bar, 1/4" NPT posterior, caja fenólica, clase 0,5%, amortiguador seco.</t>
  </si>
  <si>
    <t>PPC5354ZRR1R11</t>
  </si>
  <si>
    <t>Manómetro de proceso Winters Serie PPC-ZR STABILIZR, dial 4,5", 0/5.000 psi &amp; 0/350 bar, 1/4" NPT posterior, caja fenólica, clase 0,5%, amortiguador seco.</t>
  </si>
  <si>
    <t>PPC5355ZRR1R11</t>
  </si>
  <si>
    <t>Manómetro de proceso Winters Serie PPC-ZR STABILIZR, dial 4,5", 0/10.000 psi &amp; 0/700 bar, 1/4" NPT posterior, caja fenólica, clase 0,5%, amortiguador seco.</t>
  </si>
  <si>
    <t>PPC5356ZRR1R11</t>
  </si>
  <si>
    <t>Manómetro de proceso Winters Serie PPC-ZR STABILIZR, dial 4,5", 0/15.000 psi &amp; 0/1.000 bar, 1/4" NPT posterior, caja fenólica, clase 0,5%, amortiguador seco.</t>
  </si>
  <si>
    <t>PPC5357ZRR1R11</t>
  </si>
  <si>
    <t>Manómetro de proceso Winters Serie PPC-ZR STABILIZR, dial 4,5", 0/20.000 psi &amp; 0/1.400 bar, 1/4" NPT posterior, caja fenólica, clase 0,5%, amortiguador seco.</t>
  </si>
  <si>
    <t>PPC5060ZRR6R11</t>
  </si>
  <si>
    <t>Vacuómetro de proceso Winters Serie PPC-ZR STABILIZR, dial 4,5", -30/0"Hg &amp; -1/0 bar, 1/2" NPT inferior, caja fenólica, clase 0,5%, amortiguador seco.</t>
  </si>
  <si>
    <t>PPC5060ZRR6R11+SG-45</t>
  </si>
  <si>
    <t>Vacuómetro de proceso Winters Serie PPC-ZR STABILIZR, dial 4,5", -30/0"Hg &amp; -1/0 bar, 1/2" NPT inferior, caja fenólica, clase 0,5%, amortiguador seco, con vidrio de seguridad.</t>
  </si>
  <si>
    <t>PPC5140ZRR1R11</t>
  </si>
  <si>
    <t>Manovacuómetro de proceso Winters Serie PPC-ZR STABILIZR, dial 4,5", -30"Hg/0/15 psi &amp; -1/0/1 bar, 1/2" NPT inferior, caja fenólica, clase 0,5%, amortiguador seco.</t>
  </si>
  <si>
    <t>PPC5141ZRR1R11</t>
  </si>
  <si>
    <t>Manovacuómetro de proceso Winters Serie PPC-ZR STABILIZR, dial 4,5", -30"Hg/0/30 psi &amp; -1/0/2 bar, 1/2" NPT inferior, caja fenólica, clase 0,5%, amortiguador seco.</t>
  </si>
  <si>
    <t>PPC5142ZRR1R11</t>
  </si>
  <si>
    <t>Manovacuómetro de proceso Winters Serie PPC-ZR STABILIZR, dial 4,5", -30"Hg/0/60 psi &amp; -1/0/4 bar, 1/2" NPT inferior, caja fenólica, clase 0,5%, amortiguador seco.</t>
  </si>
  <si>
    <t>PPC5143ZRR1R11</t>
  </si>
  <si>
    <t>Manovacuómetro de proceso Winters Serie PPC-ZR STABILIZR, dial 4,5", -30"Hg/0/100 psi &amp; -1/0/7 bar, 1/2" NPT inferior, caja fenólica, clase 0,5%, amortiguador seco.</t>
  </si>
  <si>
    <t>PPC5143ZRR11R1+SG-45</t>
  </si>
  <si>
    <t>Manovacuómetro de proceso Winters Serie PPC-ZR STABILIZR, dial 4,5", -30"Hg/0/100 psi &amp; -1/0/7 bar, 1/2" NPT inferior, caja fenólica, clase 0,5%, amortiguador seco, con vidrio de seguridad.</t>
  </si>
  <si>
    <t>PPC5144ZRR1R11</t>
  </si>
  <si>
    <t>Manovacuómetro de proceso Winters Serie PPC-ZR STABILIZR, dial 4,5", -30"Hg/0/160 psi &amp; -1/0/11 bar, 1/2" NPT inferior, caja fenólica, clase 0,5%, amortiguador seco.</t>
  </si>
  <si>
    <t>PPC5145ZRR1R11</t>
  </si>
  <si>
    <t>Manovacuómetro de proceso Winters Serie PPC-ZR STABILIZR, dial 4,5", -30"Hg/0/200 psi &amp; -1/0/14 bar, 1/2" NPT inferior, caja fenólica, clase 0,5%, amortiguador seco.</t>
  </si>
  <si>
    <t>PPC5146ZRR1R11</t>
  </si>
  <si>
    <t>Manovacuómetro de proceso Winters Serie PPC-ZR STABILIZR, dial 4,5", -30"Hg/0/300 psi &amp; -1/0/20 bar, 1/2" NPT inferior, caja fenólica, clase 0,5%, amortiguador seco.</t>
  </si>
  <si>
    <t>PPC5061ZRR1R11</t>
  </si>
  <si>
    <t>Manómetro de proceso Winters Serie PPC-ZR STABILIZR, dial 4,5", 0/15 psi &amp; 0/1 bar, 1/2" NPT inferior, caja fenólica, clase 0,5%, amortiguador seco.</t>
  </si>
  <si>
    <t>PPC5061ZRR1R11+SG-45</t>
  </si>
  <si>
    <t>Manómetro de proceso Winters Serie PPC-ZR STABILIZR, dial 4,5", 0/15 psi &amp; 0/1 bar, 1/2" NPT inferior, caja fenólica, clase 0,5%, amortiguador seco, con vidrio de seguridad.</t>
  </si>
  <si>
    <t>PPC5061ZRR99-SG-45</t>
  </si>
  <si>
    <t>Manómetro de proceso Winters Serie PPC-ZR STABILIZR, dial 4,5", 0/10 mca, 1/2" NPT inferior, caja fenólica, clase 0,5%, amortiguador seco, con vidrio de seguridad.</t>
  </si>
  <si>
    <t>PPC5062ZRR1R11</t>
  </si>
  <si>
    <t>Manómetro de proceso Winters Serie PPC-ZR STABILIZR, dial 4,5", 0/30 psi &amp; 0/2 bar, 1/2" NPT inferior, caja fenólica, clase 0,5%, amortiguador seco.</t>
  </si>
  <si>
    <t>PPC5062ZRR1R11+SG-45</t>
  </si>
  <si>
    <t>Manómetro de proceso Winters Serie PPC-ZR STABILIZR, dial 4,5", 0/30 psi &amp; 0/2 bar, 1/2" NPT inferior, caja fenólica, clase 0,5%, amortiguador seco, con vidrio de seguridad.</t>
  </si>
  <si>
    <t>PPC5063ZRR1R11</t>
  </si>
  <si>
    <t>Manómetro de proceso Winters Serie PPC-ZR STABILIZR, dial 4,5", 0/60 psi &amp; 0/4 bar, 1/2" NPT inferior, caja fenólica, clase 0,5%, amortiguador seco.</t>
  </si>
  <si>
    <t>PPC5063ZRR1R11+SG-45</t>
  </si>
  <si>
    <t>Manómetro de proceso Winters Serie PPC-ZR STABILIZR, dial 4,5", 0/60 psi &amp; 0/4 bar, 1/2" NPT inferior, caja fenólica, clase 0,5%, amortiguador seco, con vidrio de seguridad.</t>
  </si>
  <si>
    <t>PPC5064ZRR1R11</t>
  </si>
  <si>
    <t>Manómetro de proceso Winters Serie PPC-ZR STABILIZR, dial 4,5", 0/100 psi &amp; 0/7 bar, 1/2" NPT inferior, caja fenólica, clase 0,5%, amortiguador seco.</t>
  </si>
  <si>
    <t>PPC5064ZRR1R11+SG-45</t>
  </si>
  <si>
    <t>Manómetro de proceso Winters Serie PPC-ZR STABILIZR, dial 4,5", 0/100 psi &amp; 0/7 bar, 1/2" NPT inferior, caja fenólica, clase 0,5%, amortiguador seco, con vidrio de seguridad.</t>
  </si>
  <si>
    <t>PPC5065ZRR1R11</t>
  </si>
  <si>
    <t>Manómetro de proceso Winters Serie PPC-ZR STABILIZR, dial 4,5", 0/160 psi &amp; 0/11 bar, 1/2" NPT inferior, caja fenólica, clase 0,5%, amortiguador seco.</t>
  </si>
  <si>
    <t>PPC5065ZRR1R11+SG-45</t>
  </si>
  <si>
    <t>Manómetro de proceso Winters Serie PPC-ZR STABILIZR, dial 4,5", 0/160 psi &amp; 0/11 bar, 1/2" NPT inferior, caja fenólica, clase 0,5%, amortiguador seco, con vidrio de seguridad.</t>
  </si>
  <si>
    <t>PPC5066R1R11</t>
  </si>
  <si>
    <t>Manómetro de proceso Winters Serie PPC-ZR STABILIZR, dial 4,5", 0/200 psi &amp; 0/14 bar, 1/2" NPT inferior, caja fenólica, clase 0,5%, seco (sin amortiguación).</t>
  </si>
  <si>
    <t>PPC5066ZRR1R11</t>
  </si>
  <si>
    <t>Manómetro de proceso Winters Serie PPC-ZR STABILIZR, dial 4,5", 0/200 psi &amp; 0/14 bar, 1/2" NPT inferior, caja fenólica, clase 0,5%, amortiguador seco.</t>
  </si>
  <si>
    <t>PPC5066ZRR11S-SG-45</t>
  </si>
  <si>
    <t>Manómetro de proceso Winters Serie PPC-ZR STABILIZR, dial 4,5", 0/15 bar, 1/2" NPT inferior, caja fenólica, clase 0,5%, amortiguador seco, con vidrio de seguridad.</t>
  </si>
  <si>
    <t>PPC5067ZRR1R11</t>
  </si>
  <si>
    <t>Manómetro de proceso Winters Serie PPC-ZR STABILIZR, dial 4,5", 0/300 psi &amp; 0/20 bar, 1/2" NPT inferior, caja fenólica, clase 0,5%, amortiguador seco.</t>
  </si>
  <si>
    <t>PPC5068ZRR1R11</t>
  </si>
  <si>
    <t>Manómetro de proceso Winters Serie PPC-ZR STABILIZR, dial 4,5", 0/400 psi &amp; 0/30 bar, 1/2" NPT inferior, caja fenólica, clase 0,5%, amortiguador seco.</t>
  </si>
  <si>
    <t>PPC5069ZRR1R11</t>
  </si>
  <si>
    <t>Manómetro de proceso Winters Serie PPC-ZR STABILIZR, dial 4,5", 0/600 psi &amp; 0/40 bar, 1/2" NPT inferior, caja fenólica, clase 0,5%, amortiguador seco.</t>
  </si>
  <si>
    <t>PPC5069ZRR1R11+SG-45</t>
  </si>
  <si>
    <t>Manómetro de proceso Winters Serie PPC-ZR STABILIZR, dial 4,5", 0/600 psi &amp; 0/40 bar, 1/2" NPT inferior, caja fenólica, clase 0,5%, amortiguador seco, con vidrio de seguridad.</t>
  </si>
  <si>
    <t>PPC5078ZRR1R11</t>
  </si>
  <si>
    <t>Manómetro de proceso Winters Serie PPC-ZR STABILIZR, dial 4,5", 0/800 psi &amp; 0/55 bar, 1/2" NPT inferior, caja fenólica, clase 0,5%, amortiguador seco.</t>
  </si>
  <si>
    <t>PPC5070ZRR1R11</t>
  </si>
  <si>
    <t>Manómetro de proceso Winters Serie PPC-ZR STABILIZR, dial 4,5", 0/1.000 psi &amp; 0/70 bar, 1/2" NPT inferior, caja fenólica, clase 0,5%, amortiguador seco.</t>
  </si>
  <si>
    <t>PPC5070ZRR1R11+SG-45</t>
  </si>
  <si>
    <t>Manómetro de proceso Winters Serie PPC-ZR STABILIZR, dial 4,5", 0/1.000 psi &amp; 0/70 bar, 1/2" NPT inferior, caja fenólica, clase 0,5%, amortiguador seco, con vidrio de seguridad.</t>
  </si>
  <si>
    <t>PPC5071ZRR1R11</t>
  </si>
  <si>
    <t>Manómetro de proceso Winters Serie PPC-ZR STABILIZR, dial 4,5", 0/1.500 psi &amp; 0/100 bar, 1/2" NPT inferior, caja fenólica, clase 0,5%, amortiguador seco.</t>
  </si>
  <si>
    <t>PPC5071ZRR1R11+SG-45</t>
  </si>
  <si>
    <t>Manómetro de proceso Winters Serie PPC-ZR STABILIZR, dial 4,5", 0/1.500 psi &amp; 0/100 bar, 1/2" NPT inferior, caja fenólica, clase 0,5%, amortiguador seco, con vidrio de seguridad.</t>
  </si>
  <si>
    <t>PPC5072ZRR1R11</t>
  </si>
  <si>
    <t>Manómetro de proceso Winters Serie PPC-ZR STABILIZR, dial 4,5", 0/2.000 psi &amp; 0/140 bar, 1/2" NPT inferior, caja fenólica, clase 0,5%, amortiguador seco.</t>
  </si>
  <si>
    <t>PPC5072ZRR1R11+SG-45</t>
  </si>
  <si>
    <t>Manómetro de proceso Winters Serie PPC-ZR STABILIZR, dial 4,5", 0/2.000 psi &amp; 0/140 bar, 1/2" NPT inferior, caja fenólica, clase 0,5%, amortiguador seco, con vidrio de seguridad.</t>
  </si>
  <si>
    <t>PPC5073ZRR1R11</t>
  </si>
  <si>
    <t>Manómetro de proceso Winters Serie PPC-ZR STABILIZR, dial 4,5", 0/3.000 psi &amp; 0/200 bar, 1/2" NPT inferior, caja fenólica, clase 0,5%, amortiguador seco.</t>
  </si>
  <si>
    <t>PPC5073ZRR1R11+SG-45</t>
  </si>
  <si>
    <t>Manómetro de proceso Winters Serie PPC-ZR STABILIZR, dial 4,5", 0/3.000 psi &amp; 0/200 bar, 1/2" NPT inferior, caja fenólica, clase 0,5%, amortiguador seco, con vidrio de seguridad.</t>
  </si>
  <si>
    <t>PPC5074ZRR1R11</t>
  </si>
  <si>
    <t>Manómetro de proceso Winters Serie PPC-ZR STABILIZR, dial 4,5", 0/5.000 psi &amp; 0/350 bar, 1/2" NPT inferior, caja fenólica, clase 0,5%, amortiguador seco.</t>
  </si>
  <si>
    <t>PPC5074ZRR1R11+SG-45</t>
  </si>
  <si>
    <t>Manómetro de proceso Winters Serie PPC-ZR STABILIZR, dial 4,5", 0/5.000 psi &amp; 0/350 bar, 1/2" NPT inferior, caja fenólica, clase 0,5%, amortiguador seco, con vidrio de seguridad.</t>
  </si>
  <si>
    <t>PPC5075ZRR1R11</t>
  </si>
  <si>
    <t>Manómetro de proceso Winters Serie PPC-ZR STABILIZR, dial 4,5", 0/10.000 psi &amp; 0/700 bar, 1/2" NPT inferior, caja fenólica, clase 0,5%, amortiguador seco.</t>
  </si>
  <si>
    <t>PPC5075ZRR1R11+SG-45</t>
  </si>
  <si>
    <t>Manómetro de proceso Winters Serie PPC-ZR STABILIZR, dial 4,5", 0/10.000 psi &amp; 0/700 bar, 1/2" NPT inferior, caja fenólica, clase 0,5%, amortiguador seco, con vidrio de seguridad.</t>
  </si>
  <si>
    <t>PPC5076ZRR1R11</t>
  </si>
  <si>
    <t>Manómetro de proceso Winters Serie PPC-ZR STABILIZR, dial 4,5", 0/15.000 psi &amp; 0/1.000 bar, 1/2" NPT inferior, caja fenólica, clase 0,5%, amortiguador seco.</t>
  </si>
  <si>
    <t>PPC5077ZRR1R11</t>
  </si>
  <si>
    <t>Manómetro de proceso Winters Serie PPC-ZR STABILIZR, dial 4,5", 0/20.000 psi &amp; 0/1.400 bar, 1/2" NPT inferior, caja fenólica, clase 0,5%, amortiguador seco.</t>
  </si>
  <si>
    <t>PPC5460ZRR6R11</t>
  </si>
  <si>
    <t>Vacuómetro de proceso Winters Serie PPC-ZR STABILIZR, dial 4,5", -30/0"Hg &amp; -1/0 bar, 1/2" NPT posterior, caja fenólica, clase 0,5%, amortiguador seco.</t>
  </si>
  <si>
    <t>PPC5440ZRR1R11</t>
  </si>
  <si>
    <t>Manovacuómetro de proceso Winters Serie PPC-ZR STABILIZR, dial 4,5", -30"Hg/0/15 psi &amp; -1/0/1 bar, 1/2" NPT posterior, caja fenólica, clase 0,5%, amortiguador seco.</t>
  </si>
  <si>
    <t>PPC5441ZRR1R11</t>
  </si>
  <si>
    <t>Manovacuómetro de proceso Winters Serie PPC-ZR STABILIZR, dial 4,5", -30"Hg/0/30 psi &amp; -1/0/2 bar, 1/2" NPT posterior, caja fenólica, clase 0,5%, amortiguador seco.</t>
  </si>
  <si>
    <t>PPC5442ZRR1R11</t>
  </si>
  <si>
    <t>Manovacuómetro de proceso Winters Serie PPC-ZR STABILIZR, dial 4,5", -30"Hg/0/60 psi &amp; -1/0/4 bar, 1/2" NPT posterior, caja fenólica, clase 0,5%, amortiguador seco.</t>
  </si>
  <si>
    <t>PPC5443ZRR1R11</t>
  </si>
  <si>
    <t>Manovacuómetro de proceso Winters Serie PPC-ZR STABILIZR, dial 4,5", -30"Hg/0/100 psi &amp; -1/0/7 bar, 1/2" NPT posterior, caja fenólica, clase 0,5%, amortiguador seco.</t>
  </si>
  <si>
    <t>PPC5444ZRR1R11</t>
  </si>
  <si>
    <t>Manovacuómetro de proceso Winters Serie PPC-ZR STABILIZR, dial 4,5", -30"Hg/0/160 psi &amp; -1/0/11 bar, 1/2" NPT posterior, caja fenólica, clase 0,5%, amortiguador seco.</t>
  </si>
  <si>
    <t>PPC5445ZRR1R11</t>
  </si>
  <si>
    <t>Manovacuómetro de proceso Winters Serie PPC-ZR STABILIZR, dial 4,5", -30"Hg/0/200 psi &amp; -1/0/14 bar, 1/2" NPT posterior, caja fenólica, clase 0,5%, amortiguador seco.</t>
  </si>
  <si>
    <t>PPC5446ZRR1R11</t>
  </si>
  <si>
    <t>Manovacuómetro de proceso Winters Serie PPC-ZR STABILIZR, dial 4,5", -30"Hg/0/300 psi &amp; -1/0/20 bar, 1/2" NPT posterior, caja fenólica, clase 0,5%, amortiguador seco.</t>
  </si>
  <si>
    <t>PPC5461ZRR1R11</t>
  </si>
  <si>
    <t>Manómetro de proceso Winters Serie PPC-ZR STABILIZR, dial 4,5", 0/15 psi &amp; 0/1 bar, 1/2" NPT posterior, caja fenólica, clase 0,5%, amortiguador seco.</t>
  </si>
  <si>
    <t>PPC5462ZRR1R11</t>
  </si>
  <si>
    <t>Manómetro de proceso Winters Serie PPC-ZR STABILIZR, dial 4,5", 0/30 psi &amp; 0/2 bar, 1/2" NPT posterior, caja fenólica, clase 0,5%, amortiguador seco.</t>
  </si>
  <si>
    <t>PPC5463ZRR1R11</t>
  </si>
  <si>
    <t>Manómetro de proceso Winters Serie PPC-ZR STABILIZR, dial 4,5", 0/60 psi &amp; 0/4 bar, 1/2" NPT posterior, caja fenólica, clase 0,5%, amortiguador seco.</t>
  </si>
  <si>
    <t>PPC5464ZRR1R11</t>
  </si>
  <si>
    <t>Manómetro de proceso Winters Serie PPC-ZR STABILIZR, dial 4,5", 0/100 psi &amp; 0/7 bar, 1/2" NPT posterior, caja fenólica, clase 0,5%, amortiguador seco.</t>
  </si>
  <si>
    <t>PPC5465ZRR1R11</t>
  </si>
  <si>
    <t>Manómetro de proceso Winters Serie PPC-ZR STABILIZR, dial 4,5", 0/160 psi &amp; 0/11 bar, 1/2" NPT posterior, caja fenólica, clase 0,5%, amortiguador seco.</t>
  </si>
  <si>
    <t>PPC5465ZRR1R11+SG-45</t>
  </si>
  <si>
    <t>Manómetro de proceso Winters Serie PPC-ZR STABILIZR, dial 4,5", 0/160 psi &amp; 0/11 bar, 1/2" NPT posterior, caja fenólica, clase 0,5%, amortiguador seco, con vidrio de seguridad.</t>
  </si>
  <si>
    <t>PPC5466ZRR1R11</t>
  </si>
  <si>
    <t>Manómetro de proceso Winters Serie PPC-ZR STABILIZR, dial 4,5", 0/200 psi &amp; 0/14 bar, 1/2" NPT posterior, caja fenólica, clase 0,5%, amortiguador seco.</t>
  </si>
  <si>
    <t>PPC5467ZRR1R11</t>
  </si>
  <si>
    <t>Manómetro de proceso Winters Serie PPC-ZR STABILIZR, dial 4,5", 0/300 psi &amp; 0/20 bar, 1/2" NPT posterior, caja fenólica, clase 0,5%, amortiguador seco.</t>
  </si>
  <si>
    <t>PPC5468ZRR1R11</t>
  </si>
  <si>
    <t>Manómetro de proceso Winters Serie PPC-ZR STABILIZR, dial 4,5", 0/400 psi &amp; 0/30 bar, 1/2" NPT posterior, caja fenólica, clase 0,5%, amortiguador seco.</t>
  </si>
  <si>
    <t>PPC5469ZRR1R11</t>
  </si>
  <si>
    <t>Manómetro de proceso Winters Serie PPC-ZR STABILIZR, dial 4,5", 0/600 psi &amp; 0/40 bar, 1/2" NPT posterior, caja fenólica, clase 0,5%, amortiguador seco.</t>
  </si>
  <si>
    <t>PPC5478ZRR1R11</t>
  </si>
  <si>
    <t>Manómetro de proceso Winters Serie PPC-ZR STABILIZR, dial 4,5", 0/800 psi &amp; 0/55 bar, 1/2" NPT posterior, caja fenólica, clase 0,5%, amortiguador seco.</t>
  </si>
  <si>
    <t>PPC5470ZRR1R11</t>
  </si>
  <si>
    <t>Manómetro de proceso Winters Serie PPC-ZR STABILIZR, dial 4,5", 0/1.000 psi &amp; 0/70 bar, 1/2" NPT posterior, caja fenólica, clase 0,5%, amortiguador seco.</t>
  </si>
  <si>
    <t>PPC5471ZRR1R11</t>
  </si>
  <si>
    <t>Manómetro de proceso Winters Serie PPC-ZR STABILIZR, dial 4,5", 0/1.500 psi &amp; 0/100 bar, 1/2" NPT posterior, caja fenólica, clase 0,5%, amortiguador seco.</t>
  </si>
  <si>
    <t>PPC5472ZRR1R11</t>
  </si>
  <si>
    <t>Manómetro de proceso Winters Serie PPC-ZR STABILIZR, dial 4,5", 0/2.000 psi &amp; 0/140 bar, 1/2" NPT posterior, caja fenólica, clase 0,5%, amortiguador seco.</t>
  </si>
  <si>
    <t>PPC5473ZRR1R11</t>
  </si>
  <si>
    <t>Manómetro de proceso Winters Serie PPC-ZR STABILIZR, dial 4,5", 0/3.000 psi &amp; 0/200 bar, 1/2" NPT posterior, caja fenólica, clase 0,5%, amortiguador seco.</t>
  </si>
  <si>
    <t>PPC5474ZRR1R11</t>
  </si>
  <si>
    <t>Manómetro de proceso Winters Serie PPC-ZR STABILIZR, dial 4,5", 0/5.000 psi &amp; 0/350 bar, 1/2" NPT posterior, caja fenólica, clase 0,5%, amortiguador seco.</t>
  </si>
  <si>
    <t>PPC5475ZRR1R11</t>
  </si>
  <si>
    <t>Manómetro de proceso Winters Serie PPC-ZR STABILIZR, dial 4,5", 0/10.000 psi &amp; 0/700 bar, 1/2" NPT posterior, caja fenólica, clase 0,5%, amortiguador seco.</t>
  </si>
  <si>
    <t>PPC5476ZRR1R11</t>
  </si>
  <si>
    <t>Manómetro de proceso Winters Serie PPC-ZR STABILIZR, dial 4,5", 0/15.000 psi &amp; 0/1.000 bar, 1/2" NPT posterior, caja fenólica, clase 0,5%, amortiguador seco.</t>
  </si>
  <si>
    <t>PPC5477ZRR1R11</t>
  </si>
  <si>
    <t>Manómetro de proceso Winters Serie PPC-ZR STABILIZR, dial 4,5", 0/20.000 psi &amp; 0/1.400 bar, 1/2" NPT posterior, caja fenólica, clase 0,5%, amortiguador seco.</t>
  </si>
  <si>
    <t>MS</t>
  </si>
  <si>
    <t>Accesorio Winters para manómetros serie PPC-ZR: zocalo y tubo de monel.</t>
  </si>
  <si>
    <t>Accesorio Winters para manómetros serie PPC-ZR: vidrio de seguridad para dial de 4,5"</t>
  </si>
  <si>
    <t>MAXI45</t>
  </si>
  <si>
    <t>Accesorio Winters para manómetros serie PPC-ZR: aguja ajustable MAXI para dial de 4,5"</t>
  </si>
  <si>
    <t>Accesorio Winters para manómetros serie PPC-ZR: DISEÑO DE DIAL - PSI/BAR, KPA, KG/CM2, BAR, PSI/BAR, PSI/BAR, PSI/BAR/KG/CM2, LOGOS CUSTOMIZADOS</t>
  </si>
  <si>
    <t>DPG210</t>
  </si>
  <si>
    <t>Vacuómetro Digital Winters Serie DPG, dial 2,5", -30/0"Hg &amp; -1/0 bar, 1/4" NPT inferior, caja ABS, 4 dígitos, clase ±1% FE</t>
  </si>
  <si>
    <t>DPG203</t>
  </si>
  <si>
    <t>Manovacuómetro Digital Winters Serie DPG, 2,5", -15/0/15 psi &amp; -1/0/1 bar, 1/4" NPT inferior, caja ABS, 4 digitos, clase ±1% FE</t>
  </si>
  <si>
    <t>DPG204</t>
  </si>
  <si>
    <t>Manovacuómetro Digital Winters Serie DPG, dial 2,5", -15/0/30 psi &amp; -1/0/2 bar, 1/4" NPT inferior, caja ABS, 4 dígitos, clase ±1% FE</t>
  </si>
  <si>
    <t>DPG205</t>
  </si>
  <si>
    <t>Manovacuómetro Digital Winters Serie DPG, dial 2,5", -15/0/60 psi &amp; -1/0/4 bar, 1/4" NPT inferior, caja ABS, 4 dígitos, clase ±1% FE</t>
  </si>
  <si>
    <t>DPG206</t>
  </si>
  <si>
    <t>Manovacuómetro Digital Winters Serie DPG, dial 2,5", -15/0/100 &amp; -1/0/7 bar psi, 1/4" NPT inferior, caja ABS, 4 dígitos, clase ±1% FE</t>
  </si>
  <si>
    <t>DPG207</t>
  </si>
  <si>
    <t>Manovacuómetro Digital Winters Serie DPG, dial 2,5", -15/0/150 psi &amp; -1/0/10 bar, 1/4" NPT inferior, caja ABS, 4 dígitos, clase ±1% FE</t>
  </si>
  <si>
    <t>DPG208</t>
  </si>
  <si>
    <t>Manovacuómetro Digital Winters Serie DPG, dial 2,5", -15/0/200 psi &amp; -1/0/14 bar, 1/4" NPT inferior, caja ABS, 4 dígitos, clase ±1% FE</t>
  </si>
  <si>
    <t>DPG209</t>
  </si>
  <si>
    <t>Manovacuómetro Digital Winters Serie DPG, dial 2,5", -15/0/300 psi &amp; -1/0/20 bar, 1/4" NPT inferior, caja ABS, 4 dígitos, clase ±1% FE</t>
  </si>
  <si>
    <t>DPG211</t>
  </si>
  <si>
    <t>Manómetro Digital Winters Serie DPG, dial 2,5", 0/15 psi &amp; 0/1 bar, 1/4" NPT inferior, caja ABS, 4 dígitos, clase ±1% FE</t>
  </si>
  <si>
    <t>DPG212</t>
  </si>
  <si>
    <t>Manómetro Digital Winters Serie DPG, dial 2,5", 0/30 psi &amp; 0/2 bar, 1/4" NPT inferior, caja ABS, 4 dígitos, clase ±1% FE</t>
  </si>
  <si>
    <t>DPG213</t>
  </si>
  <si>
    <t>Manómetro Digital Winters Serie DPG, dial 2,5", 0/60 psi &amp; 0/4 bar, 1/4" NPT inferior, caja ABS, 4 dígitos, clase ±1% FE</t>
  </si>
  <si>
    <t>DPG214</t>
  </si>
  <si>
    <t>Manómetro Digital Winters Serie DPG, dial 2,5", 0/100 psi &amp; 0/7 bar, 1/4" NPT inferior, caja ABS, 4 dígitos, clase ±1% FE</t>
  </si>
  <si>
    <t>DPG215</t>
  </si>
  <si>
    <t>Manómetro Digital Winters Serie DPG, dial 2,5", 0/160 psi &amp; 0/11 bar, 1/4" NPT inferior, caja ABS, 4 dígitos, clase ±1% FE</t>
  </si>
  <si>
    <t>DPG216</t>
  </si>
  <si>
    <t>Manómetro Digital Winters Serie DPG, dial 2,5", 0/200 psi &amp; 0/14 bar, 1/4" NPT inferior, caja ABS, 4 dígitos, clase ±1% FE</t>
  </si>
  <si>
    <t>DPG217</t>
  </si>
  <si>
    <t>Manómetro Digital Winters Serie DPG, dial 2,5", 0/300 psi &amp; 0/20 bar, 1/4" NPT inferior, caja ABS, 4 dígitos, clase ±1% FE</t>
  </si>
  <si>
    <t>DPG218</t>
  </si>
  <si>
    <t>Manómetro Digital Winters Serie DPG, dial 2,5", 0/600 psi &amp; 0/40 bar, 1/4" NPT inferior, caja ABS, 4 dígitos, clase ±1% FE</t>
  </si>
  <si>
    <t>DPG219</t>
  </si>
  <si>
    <t>Manómetro Digital Winters Serie DPG, dial 2,5", 0/1.000 psi &amp; 0/70 bar, 1/4" NPT inferior, caja ABS, 4 dígitos, clase ±1% FE</t>
  </si>
  <si>
    <t>DPG220</t>
  </si>
  <si>
    <t>Manómetro Digital Winters Serie DPG, dial 2,5", 0/1.500 psi &amp; 0/100 bar, 1/4" NPT inferior, caja ABS, 4 dígitos, clase ±1% FE</t>
  </si>
  <si>
    <t>DPG221</t>
  </si>
  <si>
    <t>Manómetro Digital Winters Serie DPG, dial 2,5", 0/2.000 psi &amp; 0/140 bar, 1/4" NPT inferior, caja ABS, 4 dígitos, clase ±1% FE</t>
  </si>
  <si>
    <t>DPG222</t>
  </si>
  <si>
    <t>Manómetro Digital Winters Serie DPG, dial 2,5", 0/3.000 psi &amp; 0/200 bar, 1/4" NPT inferior, caja ABS, 4 dígitos, clase ±1% FE</t>
  </si>
  <si>
    <t>DPG223</t>
  </si>
  <si>
    <t>Manómetro Digital Winters Serie DPG, dial 2,5", 0/5.000 psi &amp; 0/350 bar, 1/4" NPT inferior, caja ABS, 4 dígitos, clase ±1% FE</t>
  </si>
  <si>
    <t>DPG224</t>
  </si>
  <si>
    <t>Manómetro Digital Winters Serie DPG, dial 2,5", 0/10.000 psi &amp; 0/700 bar, 1/4" NPT inferior, caja ABS, 4 dígitos, clase ±1% FE</t>
  </si>
  <si>
    <t>DPG225</t>
  </si>
  <si>
    <t>Manómetro Digital Winters Serie DPG, dial 2,5", 0/15.000 psi &amp; 0/1.000 bar, 1/4" NPT inferior, caja ABS, 4 dígitos, clase ±1% FE</t>
  </si>
  <si>
    <t>DPG210-5</t>
  </si>
  <si>
    <t>Vacuómetro Digital Winters Serie DPG, dial 2,5", -30/0"Hg &amp; -1/0 bar, 1/4" NPT inferior, caja ABS, 4 dígitos, clase ±0,5% FE</t>
  </si>
  <si>
    <t>DPG203-5</t>
  </si>
  <si>
    <t>Manovacuómetro Digital Winters Serie DPG, 2,5", -15/0/15 psi &amp; -1/0/1 bar, 1/4" NPT inferior, caja ABS, 4 digitos, clase ±0,5% FE</t>
  </si>
  <si>
    <t>DPG204-5</t>
  </si>
  <si>
    <t>Manovacuómetro Digital Winters Serie DPG, dial 2,5", -15/0/30 psi &amp; -1/0/2 bar, 1/4" NPT inferior, caja ABS, 4 dígitos, clase ±0,5% FE</t>
  </si>
  <si>
    <t>DPG205-5</t>
  </si>
  <si>
    <t>Manovacuómetro Digital Winters Serie DPG, dial 2,5", -15/0/60 psi &amp; -1/0/4 bar, 1/4" NPT inferior, caja ABS, 4 dígitos, clase ±0,5% FE</t>
  </si>
  <si>
    <t>DPG206-5</t>
  </si>
  <si>
    <t>Manovacuómetro Digital Winters Serie DPG, dial 2,5", -15/0/100 psi &amp; -1/0/7 bar, 1/4" NPT inferior, caja ABS, 4 dígitos, clase ±0,5% FE</t>
  </si>
  <si>
    <t>DPG207-5</t>
  </si>
  <si>
    <t>Manovacuómetro Digital Winters Serie DPG, dial 2,5", -15/0/150 psi &amp; -1/0/10 bar, 1/4" NPT inferior, caja ABS, 4 dígitos, clase ±0,5% FE</t>
  </si>
  <si>
    <t>DPG208-5</t>
  </si>
  <si>
    <t>Manovacuómetro Digital Winters Serie DPG, dial 2,5", -15/0/200 psi &amp; -1/0/14 bar, 1/4" NPT inferior, caja ABS, 4 dígitos, clase ±0,5% FE</t>
  </si>
  <si>
    <t>DPG209-5</t>
  </si>
  <si>
    <t>Manovacuómetro Digital Winters Serie DPG, dial 2,5", -15/0/300 psi &amp; -1/0/20 bar, 1/4" NPT inferior, caja ABS, 4 dígitos, clase ±0,5% FE</t>
  </si>
  <si>
    <t>DPG211-5</t>
  </si>
  <si>
    <t>Manómetro Digital Winters Serie DPG, dial 2,5", 0/15 psi &amp; 0/1 bar, 1/4" NPT inferior, caja ABS, 4 dígitos, clase ±0,5% FE</t>
  </si>
  <si>
    <t>DPG212-5</t>
  </si>
  <si>
    <t>Manómetro Digital Winters Serie DPG, dial 2,5", 0/30 psi &amp; 0/2 bar, 1/4" NPT inferior, caja ABS, 4 dígitos, clase ±0,5% FE</t>
  </si>
  <si>
    <t>DPG213-5</t>
  </si>
  <si>
    <t>Manómetro Digital Winters Serie DPG, dial 2,5", 0/60 psi &amp; 0/4 bar, 1/4" NPT inferior, caja ABS, 4 dígitos, clase ±0,5% FE</t>
  </si>
  <si>
    <t>DPG214-5</t>
  </si>
  <si>
    <t>Manómetro Digital Winters Serie DPG, dial 2,5", 0/100 psi &amp; 0/7 bar, 1/4" NPT inferior, caja ABS, 4 dígitos, clase ±0,5% FE</t>
  </si>
  <si>
    <t>DPG215-5</t>
  </si>
  <si>
    <t>Manómetro Digital Winters Serie DPG, dial 2,5", 0/160 psi &amp; 0/11 bar, 1/4" NPT inferior, caja ABS, 4 dígitos, clase ±0,5% FE</t>
  </si>
  <si>
    <t>DPG216-5</t>
  </si>
  <si>
    <t>Manómetro Digital Winters Serie DPG, dial 2,5", 0/200 psi &amp; 0/14 bar, 1/4" NPT inferior, caja ABS, 4 dígitos, clase ±0,5% FE</t>
  </si>
  <si>
    <t>DPG217-5</t>
  </si>
  <si>
    <t>Manómetro Digital Winters Serie DPG, dial 2,5", 0/300 psi &amp; 0/20 bar, 1/4" NPT inferior, caja ABS, 4 dígitos, clase ±0,5% FE</t>
  </si>
  <si>
    <t>DPG218-5</t>
  </si>
  <si>
    <t>Manómetro Digital Winters Serie DPG, dial 2,5", 0/600 psi &amp; 0/40 bar, 1/4" NPT inferior, caja ABS, 4 dígitos, clase ±0,5% FE</t>
  </si>
  <si>
    <t>DPG219-5</t>
  </si>
  <si>
    <t>Manómetro Digital Winters Serie DPG, dial 2,5", 0/1.000 psi &amp; 0/70 bar, 1/4" NPT inferior, caja ABS, 4 dígitos, clase ±0,5% FE</t>
  </si>
  <si>
    <t>DPG220-5</t>
  </si>
  <si>
    <t>Manómetro Digital Winters Serie DPG, dial 2,5", 0/1.500 psi &amp; 0/100 bar, 1/4" NPT inferior, caja ABS, 4 dígitos, clase ±0,5% FE</t>
  </si>
  <si>
    <t>DPG221-5</t>
  </si>
  <si>
    <t>Manómetro Digital Winters Serie DPG, dial 2,5", 0/2.000 psi &amp; 0/140 bar, 1/4" NPT inferior, caja ABS, 4 dígitos, clase ±0,5% FE</t>
  </si>
  <si>
    <t>DPG222-5</t>
  </si>
  <si>
    <t>Manómetro Digital Winters Serie DPG, dial 2,5", 0/3.000 psi &amp; 0/200 bar, 1/4" NPT inferior, caja ABS, 4 dígitos, clase ±0,5% FE</t>
  </si>
  <si>
    <t>DPG223-5</t>
  </si>
  <si>
    <t>Manómetro Digital Winters Serie DPG, dial 2,5", 0/5.000 psi &amp; 0/350 bar, 1/4" NPT inferior, caja ABS, 4 dígitos, clase ±0,5% FE</t>
  </si>
  <si>
    <t>DPG224-5</t>
  </si>
  <si>
    <t>Manómetro Digital Winters Serie DPG, dial 2,5", 0/10.000 psi &amp; 0/700 bar, 1/4" NPT inferior, caja ABS, 4 dígitos, clase ±0,5% FE</t>
  </si>
  <si>
    <t>DPG225-5</t>
  </si>
  <si>
    <t>Manómetro Digital Winters Serie DPG, dial 2,5", 0/15.000 psi &amp; 0/1.000 bar, 1/4" NPT inferior, caja ABS, 4 dígitos, clase ±0,5% FE</t>
  </si>
  <si>
    <t>PSQ34797</t>
  </si>
  <si>
    <t>Vacuómetro Sanitario Winters Serie PSQ, dial 2,5", -30/0"Hg &amp; -1/0 bar, Tri-Clamp 0,75" inferior, clase ±1,5%, Aprobación 3A</t>
  </si>
  <si>
    <t>PSQ34798</t>
  </si>
  <si>
    <t>Manovacuómetro Sanitario Winters Serie PSQ, dial 2,5", -30”Hg/0/30 psi &amp; -1/0/2 bar, Tri-Clamp 0,75" inferior, clase ±1,5%, Aprobación 3A</t>
  </si>
  <si>
    <t>PSQ34799</t>
  </si>
  <si>
    <t>Manovacuómetro Sanitario Winters Serie PSQ, dial 2,5", -30”Hg/0/60 psi &amp; -1/0/4 bar, Tri-Clamp 0,75" inferior, clase ±1,5%, Aprobación 3A</t>
  </si>
  <si>
    <t>PSQ34791</t>
  </si>
  <si>
    <t>Manovacuómetro Sanitario Winters Serie PSQ, dial 2,5", -30”Hg/0/100 psi &amp; -1/0/7 bar, Tri-Clamp 0,75" inferior, clase ±1,5%, Aprobación 3A</t>
  </si>
  <si>
    <t>PSQ34793</t>
  </si>
  <si>
    <t>Manovacuómetro Sanitario Winters Serie PSQ, dial 2,5", -30”Hg/0/150 psi &amp; -1/0/10 bar, Tri-Clamp 0,75" inferior, clase ±1,5%, Aprobación 3A</t>
  </si>
  <si>
    <t>PSQ34794</t>
  </si>
  <si>
    <t>Manovacuómetro Sanitario Winters Serie PSQ, dial 2,5", -30”Hg/0/200 psi &amp; -1/0/14 bar, Tri-Clamp 0,75" inferior, clase ±1,5%, Aprobación 3A</t>
  </si>
  <si>
    <t>PSQ34795</t>
  </si>
  <si>
    <t>Manovacuómetro Sanitario Winters Serie PSQ, dial 2,5", -30”Hg/0/300 psi &amp; -1/0/20 bar, Tri-Clamp 0,75" inferior, clase ±1,5%, Aprobación 3A</t>
  </si>
  <si>
    <t>PSQ34802</t>
  </si>
  <si>
    <t>Manómetro Sanitario Winters Serie PSQ, dial 2,5", 0/30 psi &amp; 0/2 bar, Tri-Clamp 0,75" inferior, clase ±1,5%, Aprobación 3A</t>
  </si>
  <si>
    <t>PSQ34803</t>
  </si>
  <si>
    <t>Manómetro Sanitario Winters Serie PSQ, dial 2,5", 0/60 psi &amp; 0/4 bar, Tri-Clamp 0,75" inferior, clase ±1,5%, Aprobación 3A</t>
  </si>
  <si>
    <t>PSQ34804</t>
  </si>
  <si>
    <t>Manómetro Sanitario Winters Serie PSQ, dial 2,5", 0/100 psi &amp; 0/7 bar, Tri-Clamp 0,75" inferior, clase ±1,5%, Aprobación 3A</t>
  </si>
  <si>
    <t>PSQ34805</t>
  </si>
  <si>
    <t>Manómetro Sanitario Winters Serie PSQ, dial 2,5", 0/160 psi &amp; 0/11 bar, Tri-Clamp 0,75" inferior, clase ±1,5%, Aprobación 3A</t>
  </si>
  <si>
    <t>PSQ34806</t>
  </si>
  <si>
    <t>Manómetro Sanitario Winters Serie PSQ, dial 2,5", 0/200 psi &amp; 0/14 bar, Tri-Clamp 0,75" inferior, clase ±1,5%, Aprobación 3A</t>
  </si>
  <si>
    <t>PSQ34807</t>
  </si>
  <si>
    <t>Manómetro Sanitario Winters Serie PSQ, dial 2,5", 0/300 psi &amp; 0/20 bar, Tri-Clamp 0,75" inferior, clase ±1,5%, Aprobación 3A</t>
  </si>
  <si>
    <t>PSQ34808</t>
  </si>
  <si>
    <t>Manómetro Sanitario Winters Serie PSQ, dial 2,5", 0/600 psi &amp; 0/40 bar, Tri-Clamp 0,75" inferior, clase ±1,5%, Aprobación 3A</t>
  </si>
  <si>
    <t>PSQ34809</t>
  </si>
  <si>
    <t>Manómetro Sanitario Winters Serie PSQ, dial 2,5", 0/1.000 psi &amp; 0/70 bar, Tri-Clamp 0,75" inferior, clase ±1,5%, Aprobación 3A</t>
  </si>
  <si>
    <t>PSQ15797</t>
  </si>
  <si>
    <t>Vacuómetro Sanitario Winters Serie PSQ, dial 2,5", -30/0"Hg &amp; -1/0 bar, Tri-Clamp 1,5" inferior, clase ±1,5%, Aprobación 3A</t>
  </si>
  <si>
    <t>PSQ15798</t>
  </si>
  <si>
    <t>Manovacuómetro Sanitario Winters Serie PSQ, dial 2,5", -30”Hg/0/30 psi &amp; -1/0/2 bar, Tri-Clamp 1,5" inferior, clase ±1,5%, Aprobación 3A</t>
  </si>
  <si>
    <t>PSQ15799</t>
  </si>
  <si>
    <t>Manovacuómetro Sanitario Winters Serie PSQ, dial 2,5", -30”Hg/0/60 psi &amp; -1/0/4 bar, Tri-Clamp 1,5" inferior, clase ±1,5%, Aprobación 3A</t>
  </si>
  <si>
    <t>PSQ15791</t>
  </si>
  <si>
    <t>Manovacuómetro Sanitario Winters Serie PSQ, dial 2,5", -30”Hg/0/100 psi &amp; -1/0/7 bar, Tri-Clamp 1,5" inferior, clase ±1,5%, Aprobación 3A</t>
  </si>
  <si>
    <t>PSQ15793</t>
  </si>
  <si>
    <t>Manovacuómetro Sanitario Winters Serie PSQ, dial 2,5", -30”Hg/0/150 psi &amp; -1/0/10 bar, Tri-Clamp 1,5" inferior, clase ±1,5%, Aprobación 3A</t>
  </si>
  <si>
    <t>PSQ15794</t>
  </si>
  <si>
    <t>Manovacuómetro Sanitario Winters Serie PSQ, dial 2,5", -30”Hg/0/200 psi &amp; -1/0/14 bar, Tri-Clamp 1,5" inferior, clase ±1,5%, Aprobación 3A</t>
  </si>
  <si>
    <t>PSQ15795</t>
  </si>
  <si>
    <t>Manovacuómetro Sanitario Winters Serie PSQ, dial 2,5", -30”Hg/0/300 psi &amp; -1/0/20 bar, Tri-Clamp 1,5" inferior, clase ±1,5%, Aprobación 3A</t>
  </si>
  <si>
    <t>PSQ15802</t>
  </si>
  <si>
    <t>Manómetro Sanitario Winters Serie PSQ, dial 2,5", 0/30 psi &amp; 0/2 bar, Tri-Clamp 1,5" inferior, clase ±1,5%, Aprobación 3A</t>
  </si>
  <si>
    <t>PSQ15803</t>
  </si>
  <si>
    <t>Manómetro Sanitario Winters Serie PSQ, dial 2,5", 0/60 psi &amp; 0/4 bar, Tri-Clamp 1,5" inferior, clase ±1,5%, Aprobación 3A</t>
  </si>
  <si>
    <t>PSQ15804</t>
  </si>
  <si>
    <t>Manómetro Sanitario Winters Serie PSQ, dial 2,5", 0/100 psi &amp; 0/7 bar, Tri-Clamp 1,5" inferior, clase ±1,5%, Aprobación 3A</t>
  </si>
  <si>
    <t>PSQ15805</t>
  </si>
  <si>
    <t>Manómetro Sanitario Winters Serie PSQ, dial 2,5", 0/160 psi &amp; 0/11 bar, Tri-Clamp 1,5" inferior, clase ±1,5%, Aprobación 3A</t>
  </si>
  <si>
    <t>PSQ15806</t>
  </si>
  <si>
    <t>Manómetro Sanitario Winters Serie PSQ, dial 2,5", 0/200 psi &amp; 0/14 bar, Tri-Clamp 1,5" inferior, clase ±1,5%, Aprobación 3A</t>
  </si>
  <si>
    <t>PSQ15807</t>
  </si>
  <si>
    <t>Manómetro Sanitario Winters Serie PSQ, dial 2,5", 0/300 psi &amp; 0/20 bar, Tri-Clamp 1,5" inferior, clase ±1,5%, Aprobación 3A</t>
  </si>
  <si>
    <t>PSQ15808</t>
  </si>
  <si>
    <t>Manómetro Sanitario Winters Serie PSQ, dial 2,5", 0/600 psi &amp; 0/40 bar, Tri-Clamp 1,5" inferior, clase ±1,5%, Aprobación 3A</t>
  </si>
  <si>
    <t>PSQ15809</t>
  </si>
  <si>
    <t>Manómetro Sanitario Winters Serie PSQ, dial 2,5", 0/1.000 psi &amp; 0/70 bar, Tri-Clamp 1,5" inferior, clase ±1,5%, Aprobación 3A</t>
  </si>
  <si>
    <t>PSQ15797B</t>
  </si>
  <si>
    <t>Vacuómetro Sanitario Winters Serie PSQ, dial 2,5", -30/0"Hg &amp; -1/0 bar, Tri-Clamp 1,5" posterior, clase ±1,5%, Aprobación 3A</t>
  </si>
  <si>
    <t>PSQ15798B</t>
  </si>
  <si>
    <t>Manovacuómetro Sanitario Winters Serie PSQ, dial 2,5", -30”Hg/0/30 psi &amp; -1/0/2 bar, Tri-Clamp 1,5" posterior, clase ±1,5%, Aprobación 3A</t>
  </si>
  <si>
    <t>PSQ15799B</t>
  </si>
  <si>
    <t>Manovacuómetro Sanitario Winters Serie PSQ, dial 2,5", -30”Hg/0/60 psi &amp; -1/0/4 bar, Tri-Clamp 1,5" posterior, clase ±1,5%, Aprobación 3A</t>
  </si>
  <si>
    <t>PSQ15791B</t>
  </si>
  <si>
    <t>Manovacuómetro Sanitario Winters Serie PSQ, dial 2,5", -30”Hg/0/100 psi &amp; -1/0/7 bar, Tri-Clamp 1,5" posterior, clase ±1,5%, Aprobación 3A</t>
  </si>
  <si>
    <t>PSQ15793B</t>
  </si>
  <si>
    <t>Manovacuómetro Sanitario Winters Serie PSQ, dial 2,5", -30”Hg/0/150 psi &amp; -1/0/10 bar, Tri-Clamp 1,5" posterior, clase ±1,5%, Aprobación 3A</t>
  </si>
  <si>
    <t>PSQ15794B</t>
  </si>
  <si>
    <t>Manovacuómetro Sanitario Winters Serie PSQ, dial 2,5", -30”Hg/0/200 psi &amp; -1/0/14 bar, Tri-Clamp 1,5" posterior, clase ±1,5%, Aprobación 3A</t>
  </si>
  <si>
    <t>PSQ15795B</t>
  </si>
  <si>
    <t>Manovacuómetro Sanitario Winters Serie PSQ, dial 2,5", -30”Hg/0/300 psi &amp; -1/0/20 bar, Tri-Clamp 1,5" posterior, clase ±1,5%, Aprobación 3A</t>
  </si>
  <si>
    <t>PSQ15802B</t>
  </si>
  <si>
    <t>Manómetro Sanitario Winters Serie PSQ, dial 2,5", 0/30 psi &amp; 0/2 bar, Tri-Clamp 1,5" posterior, clase ±1,5%, Aprobación 3A</t>
  </si>
  <si>
    <t>PSQ15803B</t>
  </si>
  <si>
    <t>Manómetro Sanitario Winters Serie PSQ, dial 2,5", 0/60 psi &amp; 0/4 bar, Tri-Clamp 1,5" posterior, clase ±1,5%, Aprobación 3A</t>
  </si>
  <si>
    <t>PSQ15804B</t>
  </si>
  <si>
    <t>Manómetro Sanitario Winters Serie PSQ, dial 2,5", 0/100 psi &amp; 0/7 bar, Tri-Clamp 1,5" posterior, clase ±1,5%, Aprobación 3A</t>
  </si>
  <si>
    <t>PSQ15805B</t>
  </si>
  <si>
    <t>Manómetro Sanitario Winters Serie PSQ, dial 2,5", 0/160 psi &amp; 0/11 bar, Tri-Clamp 1,5" posterior, clase ±1,5%, Aprobación 3A</t>
  </si>
  <si>
    <t>PSQ15806B</t>
  </si>
  <si>
    <t>Manómetro Sanitario Winters Serie PSQ, dial 2,5", 0/200 psi &amp; 0/14 bar, Tri-Clamp 1,5" posterior, clase ±1,5%, Aprobación 3A</t>
  </si>
  <si>
    <t>PSQ15807B</t>
  </si>
  <si>
    <t>Manómetro Sanitario Winters Serie PSQ, dial 2,5", 0/300 psi &amp; 0/20 bar, Tri-Clamp 1,5" posterior, clase ±1,5%, Aprobación 3A</t>
  </si>
  <si>
    <t>PSQ15808B</t>
  </si>
  <si>
    <t>Manómetro Sanitario Winters Serie PSQ, dial 2,5", 0/600 psi &amp; 0/40 bar, Tri-Clamp 1,5" posterior, clase ±1,5%, Aprobación 3A</t>
  </si>
  <si>
    <t>PSQ15809B</t>
  </si>
  <si>
    <t>Manómetro Sanitario Winters Serie PSQ, dial 2,5", 0/1.000 psi &amp; 0/70 bar, Tri-Clamp 1,5" posterior, clase ±1,5%, Aprobación 3A</t>
  </si>
  <si>
    <t>PSQ20797</t>
  </si>
  <si>
    <t>Vacuómetro Sanitario Winters Serie PSQ, dial 2,5", -30/0"Hg &amp; -1/0 bar, Tri-Clamp 2" inferior, clase ±1,5%, Aprobación 3A</t>
  </si>
  <si>
    <t>PSQ20798</t>
  </si>
  <si>
    <t>Manovacuómetro Sanitario Winters Serie PSQ, dial 2,5", -30”Hg/0/30 psi &amp; -1/0/2 bar, Tri-Clamp 2" inferior, clase ±1,5%, Aprobación 3A</t>
  </si>
  <si>
    <t>PSQ20799</t>
  </si>
  <si>
    <t>Manovacuómetro Sanitario Winters Serie PSQ, dial 2,5", -30”Hg/0/60 psi &amp; -1/0/4 bar, Tri-Clamp 2" inferior, clase ±1,5%, Aprobación 3A</t>
  </si>
  <si>
    <t>PSQ20791</t>
  </si>
  <si>
    <t>Manovacuómetro Sanitario Winters Serie PSQ, dial 2,5", -30”Hg/0/100 psi &amp; -1/0/7 bar, Tri-Clamp 2" inferior, clase ±1,5%, Aprobación 3A</t>
  </si>
  <si>
    <t>PSQ20793</t>
  </si>
  <si>
    <t>Manovacuómetro Sanitario Winters Serie PSQ, dial 2,5", -30”Hg/0/150 psi &amp; -1/0/10 bar, Tri-Clamp 2" inferior, clase ±1,5%, Aprobación 3A</t>
  </si>
  <si>
    <t>PSQ20794</t>
  </si>
  <si>
    <t>Manovacuómetro Sanitario Winters Serie PSQ, dial 2,5", -30”Hg/0/200 psi &amp; -1/0/14 bar, Tri-Clamp 2" inferior, clase ±1,5%, Aprobación 3A</t>
  </si>
  <si>
    <t>PSQ20795</t>
  </si>
  <si>
    <t>Manovacuómetro Sanitario Winters Serie PSQ, dial 2,5", -30”Hg/0/300 psi &amp; -1/0/20 bar, Tri-Clamp 2" inferior, clase ±1,5%, Aprobación 3A</t>
  </si>
  <si>
    <t>PSQ20802</t>
  </si>
  <si>
    <t>Manómetro Sanitario Winters Serie PSQ, dial 2,5", 0/30 psi &amp; 0/2 bar, Tri-Clamp 2" inferior, clase ±1,5%, Aprobación 3A</t>
  </si>
  <si>
    <t>PSQ20803</t>
  </si>
  <si>
    <t>Manómetro Sanitario Winters Serie PSQ, dial 2,5", 0/60 psi &amp; 0/4 bar, Tri-Clamp 2" inferior, clase ±1,5%, Aprobación 3A</t>
  </si>
  <si>
    <t>PSQ20804</t>
  </si>
  <si>
    <t>Manómetro Sanitario Winters Serie PSQ, dial 2,5", 0/100 psi &amp; 0/7 bar, Tri-Clamp 2" inferior, clase ±1,5%, Aprobación 3A</t>
  </si>
  <si>
    <t>PSQ20805</t>
  </si>
  <si>
    <t>Manómetro Sanitario Winters Serie PSQ, dial 2,5", 0/160 psi &amp; 0/11 bar, Tri-Clamp 2" inferior, clase ±1,5%, Aprobación 3A</t>
  </si>
  <si>
    <t>PSQ20806</t>
  </si>
  <si>
    <t>Manómetro Sanitario Winters Serie PSQ, dial 2,5", 0/200 psi &amp; 0/14 bar, Tri-Clamp 2" inferior, clase ±1,5%, Aprobación 3A</t>
  </si>
  <si>
    <t>PSQ20807</t>
  </si>
  <si>
    <t>Manómetro Sanitario Winters Serie PSQ, dial 2,5", 0/300 psi &amp; 0/20 bar, Tri-Clamp 2" inferior, clase ±1,5%, Aprobación 3A</t>
  </si>
  <si>
    <t>PSQ20808</t>
  </si>
  <si>
    <t>Manómetro Sanitario Winters Serie PSQ, dial 2,5", 0/600 psi &amp; 0/40 bar, Tri-Clamp 2" inferior, clase ±1,5%, Aprobación 3A</t>
  </si>
  <si>
    <t>PSQ20809</t>
  </si>
  <si>
    <t>Manómetro Sanitario Winters Serie PSQ, dial 2,5", 0/1.000 psi &amp; 0/70 bar, Tri-Clamp 2" inferior, clase ±1,5%, Aprobación 3A</t>
  </si>
  <si>
    <t>PSQ20797B</t>
  </si>
  <si>
    <t>Vacuómetro Sanitario Winters Serie PSQ, dial 2,5", -30/0"Hg &amp; -1/0 bar, Tri-Clamp 2" posterior, clase ±1,5%, Aprobación 3A</t>
  </si>
  <si>
    <t>PSQ20798B</t>
  </si>
  <si>
    <t>Manovacuómetro Sanitario Winters Serie PSQ, dial 2,5", -30”Hg/0/30 psi &amp; -1/0/2 bar Tri-Clamp 2" posterior, clase ±1,5%, Aprobación 3A</t>
  </si>
  <si>
    <t>PSQ20799B</t>
  </si>
  <si>
    <t>Manovacuómetro Sanitario Winters Serie PSQ, dial 2,5", -30”Hg/0/60 psi &amp; -1/0/4 bar Tri-Clamp 2" posterior, clase ±1,5%, Aprobación 3A</t>
  </si>
  <si>
    <t>PSQ20791B</t>
  </si>
  <si>
    <t>Manovacuómetro Sanitario Winters Serie PSQ, dial 2,5", -30”Hg/0/100 psi &amp; -1/0/7 bar Tri-Clamp 2" posterior, clase ±1,5%, Aprobación 3A</t>
  </si>
  <si>
    <t>PSQ20793B</t>
  </si>
  <si>
    <t>Manovacuómetro Sanitario Winters Serie PSQ, dial 2,5", -30”Hg/0/150 psi &amp; -1/0/10 bar Tri-Clamp 2" posterior, clase ±1,5%, Aprobación 3A</t>
  </si>
  <si>
    <t>PSQ20794B</t>
  </si>
  <si>
    <t>Manovacuómetro Sanitario Winters Serie PSQ, dial 2,5", -30”Hg/0/200 psi &amp; -1/0/14 bar Tri-Clamp 2" posterior, clase ±1,5%, Aprobación 3A</t>
  </si>
  <si>
    <t>PSQ20795B</t>
  </si>
  <si>
    <t>Manovacuómetro Sanitario Winters Serie PSQ, dial 2,5", -30”Hg/0/300 psi &amp; -1/0/20 bar Tri-Clamp 2" posterior, clase ±1,5%, Aprobación 3A</t>
  </si>
  <si>
    <t>PSQ20802B</t>
  </si>
  <si>
    <t>Manómetro Sanitario Winters Serie PSQ, dial 2,5", 0/30 psi &amp; 0/2 bar Tri-Clamp 2" posterior, clase ±1,5%, Aprobación 3A</t>
  </si>
  <si>
    <t>PSQ20803B</t>
  </si>
  <si>
    <t>Manómetro Sanitario Winters Serie PSQ, dial 2,5", 0/60 psi &amp; 0/4 bar Tri-Clamp 2" posterior, clase ±1,5%, Aprobación 3A</t>
  </si>
  <si>
    <t>PSQ20804B</t>
  </si>
  <si>
    <t>Manómetro Sanitario Winters Serie PSQ, dial 2,5", 0/100 psi &amp; 0/7 bar Tri-Clamp 2" posterior, clase ±1,5%, Aprobación 3A</t>
  </si>
  <si>
    <t>PSQ20805B</t>
  </si>
  <si>
    <t>Manómetro Sanitario Winters Serie PSQ, dial 2,5", 0/160 psi &amp; 0/11 bar Tri-Clamp 2" posterior, clase ±1,5%, Aprobación 3A</t>
  </si>
  <si>
    <t>PSQ20806B</t>
  </si>
  <si>
    <t>Manómetro Sanitario Winters Serie PSQ, dial 2,5", 0/200 psi &amp; 0/14 bar Tri-Clamp 2" posterior, clase ±1,5%, Aprobación 3A</t>
  </si>
  <si>
    <t>PSQ20807B</t>
  </si>
  <si>
    <t>Manómetro Sanitario Winters Serie PSQ, dial 2,5", 0/300 psi &amp; 0/20 bar Tri-Clamp 2" posterior, clase ±1,5%, Aprobación 3A</t>
  </si>
  <si>
    <t>PSQ20808B</t>
  </si>
  <si>
    <t>Manómetro Sanitario Winters Serie PSQ, dial 2,5", 0/600 psi &amp; 0/40 bar Tri-Clamp 2" posterior, clase ±1,5%, Aprobación 3A</t>
  </si>
  <si>
    <t>PSQ20809B</t>
  </si>
  <si>
    <t>Manómetro Sanitario Winters Serie PSQ, dial 2,5", 0/1.000 psi &amp; 0/70 bar Tri-Clamp 2" posterior, clase ±1,5%, Aprobación 3A</t>
  </si>
  <si>
    <t>PSQ15202</t>
  </si>
  <si>
    <t>Vacuómetro Sanitario Winters Serie PSQ, dial 4", -30/0"Hg &amp; -1/0 bar, Tri-Clamp 1,5" inferior, clase ±1%, Aprobación 3A</t>
  </si>
  <si>
    <t>PSQ151021</t>
  </si>
  <si>
    <t>Manovacuómetro Sanitario Winters Serie PSQ, dial 4", -30”Hg/0/30 psi &amp; -1/0/2 bar Tri-Clamp 1,5" inferior, clase ±1%, Aprobación 3A</t>
  </si>
  <si>
    <t>PSQ151022</t>
  </si>
  <si>
    <t>Manómetro Sanitario Winters Serie PSQ, dial 4", -30”Hg/0/60 psi &amp; -1/0/4 bar Tri-Clamp 1,5" inferior, clase ±1%, Aprobación 3A</t>
  </si>
  <si>
    <t>PSQ151023</t>
  </si>
  <si>
    <t>Manovacuómetro Sanitario Winters Serie PSQ, dial 4", -30”Hg/0/100 psi &amp; -1/0/7 bar Tri-Clamp 1,5" inferior, clase ±1%, Aprobación 3A</t>
  </si>
  <si>
    <t>PSQ151025</t>
  </si>
  <si>
    <t>Manovacuómetro Sanitario Winters Serie PSQ, dial 4", -30”Hg/0/150 psi &amp; -1/0/10 bar Tri-Clamp 1,5" inferior, clase ±1%, Aprobación 3A</t>
  </si>
  <si>
    <t>PSQ151026</t>
  </si>
  <si>
    <t>Manovacuómetro Sanitario Winters Serie PSQ, dial 4", -30”Hg/0/200 psi &amp; -1/0/14 bar Tri-Clamp 1,5" inferior, clase ±1%, Aprobación 3A</t>
  </si>
  <si>
    <t>PSQ151027</t>
  </si>
  <si>
    <t>Manovacuómetro Sanitario Winters Serie PSQ, dial 4", -30”Hg/0/300 psi &amp; -1/0/20 bar Tri-Clamp 1,5" inferior, clase ±1%, Aprobación 3A</t>
  </si>
  <si>
    <t>PSQ15602</t>
  </si>
  <si>
    <t>Manómetro Sanitario Winters Serie PSQ, dial 4", 0/30 psi &amp; 0/2 bar Tri-Clamp 1,5" inferior, clase ±1%, Aprobación 3A</t>
  </si>
  <si>
    <t>PSQ15603</t>
  </si>
  <si>
    <t>Manómetro Sanitario Winters Serie PSQ, dial 4", 0/60 psi &amp; 0/4 bar Tri-Clamp 1,5" inferior, clase ±1%, Aprobación 3A</t>
  </si>
  <si>
    <t>PSQ15604</t>
  </si>
  <si>
    <t>Manómetro Sanitario Winters Serie PSQ, dial 4", 0/100 psi &amp; 0/7 bar Tri-Clamp 1,5" inferior, clase ±1%, Aprobación 3A</t>
  </si>
  <si>
    <t>PSQ15605</t>
  </si>
  <si>
    <t>Manómetro Sanitario Winters Serie PSQ, dial 4", 0/160 psi &amp; 0/11 bar Tri-Clamp 1,5" inferior, clase ±1%, Aprobación 3A</t>
  </si>
  <si>
    <t>PSQ15606</t>
  </si>
  <si>
    <t>Manómetro Sanitario Winters Serie PSQ, dial 4", 0/200 psi &amp; 0/14 bar Tri-Clamp 1,5" inferior, clase ±1%, Aprobación 3A</t>
  </si>
  <si>
    <t>PSQ15607</t>
  </si>
  <si>
    <t>Manómetro Sanitario Winters Serie PSQ, dial 4", 0/300 psi &amp; 0/20 bar Tri-Clamp 1,5" inferior, clase ±1%, Aprobación 3A</t>
  </si>
  <si>
    <t>PSQ15608</t>
  </si>
  <si>
    <t>Manómetro Sanitario Winters Serie PSQ, dial 4", 0/600 psi &amp; 0/40 bar Tri-Clamp 1,5" inferior- Aprobación 3A</t>
  </si>
  <si>
    <t>PSQ15609</t>
  </si>
  <si>
    <t>Manómetro Sanitario Winters Serie PSQ, dial 4", 0/1.000 psi &amp; 0/70 bar Tri-Clamp 1,5" inferior- Aprobación 3A</t>
  </si>
  <si>
    <t>PSQ15202B</t>
  </si>
  <si>
    <t>Vacuómetro Sanitario Winters Serie PSQ, dial 4", -30/0"Hg &amp; -1/0 bar, Tri-Clamp 1,5" posterior, clase ±1%, Aprobación 3A</t>
  </si>
  <si>
    <t>PSQ151021B</t>
  </si>
  <si>
    <t>Manovacuómetro Sanitario Winters Serie PSQ, dial 4", -30”Hg/0/30 psi &amp; -1/0/2 bar Tri-Clamp 1,5" posterior, clase ±1%, Aprobación 3A</t>
  </si>
  <si>
    <t>PSQ151022B</t>
  </si>
  <si>
    <t>Manovacuómetro Sanitario Winters Serie PSQ, dial 4", -30”Hg/0/60 psi &amp; -1/0/4 bar Tri-Clamp 1,5" posterior, clase ±1%, Aprobación 3A</t>
  </si>
  <si>
    <t>PSQ151023B</t>
  </si>
  <si>
    <t>Manovacuómetro Sanitario Winters Serie PSQ, dial 4", -30”Hg/0/100 psi &amp; -1/0/7 bar Tri-Clamp 1,5" posterior, clase ±1%, Aprobación 3A</t>
  </si>
  <si>
    <t>PSQ151025B</t>
  </si>
  <si>
    <t>Manovacuómetro Sanitario Winters Serie PSQ, dial 4", -30”Hg/0/150 psi &amp; -1/0/10 bar Tri-Clamp 1,5" posterior, clase ±1%, Aprobación 3A</t>
  </si>
  <si>
    <t>PSQ151026B</t>
  </si>
  <si>
    <t>Manovacuómetro Sanitario Winters Serie PSQ, dial 4", -30”Hg/0/200 psi &amp; -1/0/14 bar Tri-Clamp 1,5" posterior, clase ±1%, Aprobación 3A</t>
  </si>
  <si>
    <t>PSQ151027B</t>
  </si>
  <si>
    <t>Manovacuómetro Sanitario Winters Serie PSQ, dial 4", -30”Hg/0/300 psi &amp; -1/0/20 bar Tri-Clamp 1,5" posterior, clase ±1%, Aprobación 3A</t>
  </si>
  <si>
    <t>PSQ15602B</t>
  </si>
  <si>
    <t>Manómetro Sanitario Winters Serie PSQ, dial 4", 0/30 psi &amp; 0/2 bar Tri-Clamp 1,5" posterior, clase ±1%, Aprobación 3A</t>
  </si>
  <si>
    <t>PSQ15603B</t>
  </si>
  <si>
    <t>Manómetro Sanitario Winters Serie PSQ, dial 4", 0/60 psi &amp; 0/4 bar Tri-Clamp 1,5" posterior- Aprobación 3A</t>
  </si>
  <si>
    <t>PSQ15604B</t>
  </si>
  <si>
    <t>Manómetro Sanitario Winters Serie PSQ, dial 4", 0/100 psi &amp; 0/7 bar Tri-Clamp 1,5" posterior, clase ±1%, Aprobación 3A</t>
  </si>
  <si>
    <t>PSQ15605B</t>
  </si>
  <si>
    <t>Manómetro Sanitario Winters Serie PSQ, dial 4", 0/160 psi &amp; 0/11 bar Tri-Clamp 1,5" posterior, clase ±1%, Aprobación 3A</t>
  </si>
  <si>
    <t>PSQ15606B</t>
  </si>
  <si>
    <t>Manómetro Sanitario Winters Serie PSQ, dial 4", 0/200 psi &amp; 0/14 bar Tri-Clamp 1,5" posterior, clase ±1%, Aprobación 3A</t>
  </si>
  <si>
    <t>PSQ15607B</t>
  </si>
  <si>
    <t>Manómetro Sanitario Winters Serie PSQ, dial 4", 0/300 psi &amp; 0/20 bar Tri-Clamp 1,5" posterior, clase ±1%, Aprobación 3A</t>
  </si>
  <si>
    <t>PSQ15608B</t>
  </si>
  <si>
    <t>Manómetro Sanitario Winters Serie PSQ, dial 4", 0/600 psi &amp; 0/40 bar Tri-Clamp 1,5" posterior, clase ±1%, Aprobación 3A</t>
  </si>
  <si>
    <t>PSQ15609B</t>
  </si>
  <si>
    <t>Manómetro Sanitario Winters Serie PSQ, dial 4", 0/1.000 psi &amp; 0/70 bar Tri-Clamp 1,5" posterior, clase ±1%, Aprobación 3A</t>
  </si>
  <si>
    <t>PSQ201020</t>
  </si>
  <si>
    <t>Vacuómetro Sanitario Winters Serie PSQ, dial 4", -30/0"Hg &amp; -1/0 bar, Tri-Clamp 2" inferior, clase ±1%, Aprobación 3A</t>
  </si>
  <si>
    <t>PSQ201021</t>
  </si>
  <si>
    <t>Manovacuómetro Sanitario Winters Serie PSQ, dial 4", -30”Hg/0/30 psi &amp; -1/0/2 bar Tri-Clamp 2" inferior, clase ±1%, Aprobación 3A</t>
  </si>
  <si>
    <t>PSQ201022</t>
  </si>
  <si>
    <t>Manovacuómetro Sanitario Winters Serie PSQ, dial 4", -30”Hg/0/60 psi &amp; -1/0/4 bar Tri-Clamp 2" inferior, clase ±1%, Aprobación 3A</t>
  </si>
  <si>
    <t>PSQ201023</t>
  </si>
  <si>
    <t>Manovacuómetro Sanitario Winters Serie PSQ, dial 4", -30”Hg/0/100 psi &amp; -1/0/7 bar Tri-Clamp 2" inferior, clase ±1%, Aprobación 3A</t>
  </si>
  <si>
    <t>PSQ201025</t>
  </si>
  <si>
    <t>Manovacuómetro Sanitario Winters Serie PSQ, dial 4", -30”Hg/0/150 psi &amp; -1/0/10 bar Tri-Clamp 2" inferior, clase ±1%, Aprobación 3A</t>
  </si>
  <si>
    <t>PSQ201026</t>
  </si>
  <si>
    <t>Manovacuómetro Sanitario Winters Serie PSQ, dial 4", -30”Hg/0/200 psi &amp; -1/0/14 bar Tri-Clamp 2" inferior, clase ±1%, Aprobación 3A</t>
  </si>
  <si>
    <t>PSQ201027</t>
  </si>
  <si>
    <t>Manovacuómetro Sanitario Winters Serie PSQ, dial 4", -30”Hg/0/300 psi &amp; -1/0/20 bar Tri-Clamp 2" inferior, clase ±1%, Aprobación 3A</t>
  </si>
  <si>
    <t>PSQ20602</t>
  </si>
  <si>
    <t>Manómetro Sanitario Winters Serie PSQ, dial 4", 0/30 psi &amp; 0/2 bar Tri-Clamp 2" inferior, clase ±1%, Aprobación 3A</t>
  </si>
  <si>
    <t>PSQ20603</t>
  </si>
  <si>
    <t>Manómetro Sanitario Winters Serie PSQ, dial 4", 0/60 psi &amp; 0/4 bar Tri-Clamp 2" inferior, clase ±1%, Aprobación 3A</t>
  </si>
  <si>
    <t>PSQ20604</t>
  </si>
  <si>
    <t>Manómetro Sanitario Winters Serie PSQ, dial 4", 0/100 psi &amp; 0/7 bar Tri-Clamp 2" inferior, clase ±1%, Aprobación 3A</t>
  </si>
  <si>
    <t>PSQ20605</t>
  </si>
  <si>
    <t>Manómetro Sanitario Winters Serie PSQ, dial 4", 0/160 psi &amp; 0/11 bar Tri-Clamp 2" inferior, clase ±1%, Aprobación 3A</t>
  </si>
  <si>
    <t>PSQ20606</t>
  </si>
  <si>
    <t>Manómetro Sanitario Winters Serie PSQ, dial 4", 0/200 psi &amp; 0/14 bar Tri-Clamp 2" inferior, clase ±1%, Aprobación 3A</t>
  </si>
  <si>
    <t>PSQ20607</t>
  </si>
  <si>
    <t>Manómetro Sanitario Winters Serie PSQ, dial 4", 0/300 psi &amp; 0/20 bar Tri-Clamp 2" inferior, clase ±1%, Aprobación 3A</t>
  </si>
  <si>
    <t>PSQ20608</t>
  </si>
  <si>
    <t>Manómetro Sanitario Winters Serie PSQ, dial 4", 0/600 psi &amp; 0/40 bar Tri-Clamp 2" inferior, clase ±1%, Aprobación 3A</t>
  </si>
  <si>
    <t>PSQ20609</t>
  </si>
  <si>
    <t>Manómetro Sanitario Winters Serie PSQ, dial 4", 0/1.000 psi &amp; 0/70 bar Tri-Clamp 2" inferior, clase ±1%, Aprobación 3A</t>
  </si>
  <si>
    <t>PSQ201020B</t>
  </si>
  <si>
    <t>Vacuómetro Sanitario Winters Serie PSQ, dial 4", -30/0"Hg &amp; -1/0 bar, Tri-Clamp 2" posterior, clase ±1%, Aprobación 3A</t>
  </si>
  <si>
    <t>PSQ201021B</t>
  </si>
  <si>
    <t>Manovacuómetro Sanitario Winters Serie PSQ, dial 4", -30”Hg/0/30 psi &amp; -1/0/2 bar Tri-Clamp 2" posterior, clase ±1%, Aprobación 3A</t>
  </si>
  <si>
    <t>PSQ201022B</t>
  </si>
  <si>
    <t>Manovacuómetro Sanitario Winters Serie PSQ, dial 4", -30”Hg/0/60 psi &amp; -1/0/4 bar Tri-Clamp 2" posterior, clase ±1%, Aprobación 3A</t>
  </si>
  <si>
    <t>PSQ201023B</t>
  </si>
  <si>
    <t>Manovacuómetro Sanitario Winters Serie PSQ, dial 4", -30”Hg/0/100 psi &amp; -1/0/7 bar Tri-Clamp 2" posterior, clase ±1%, Aprobación 3A</t>
  </si>
  <si>
    <t>PSQ201025B</t>
  </si>
  <si>
    <t>Manovacuómetro Sanitario Winters Serie PSQ, dial 4", -30”Hg/0/150 psi &amp; -1/0/10 bar Tri-Clamp 2" posterior, clase ±1%, Aprobación 3A</t>
  </si>
  <si>
    <t>PSQ201026B</t>
  </si>
  <si>
    <t>Manovacuómetro Sanitario Winters Serie PSQ, dial 4", -30”Hg/0/200 psi &amp; -1/0/14 bar Tri-Clamp 2" posterior, clase ±1%, Aprobación 3A</t>
  </si>
  <si>
    <t>PSQ201027B</t>
  </si>
  <si>
    <t>Manovacuómetro Sanitario Winters Serie PSQ, dial 4", -30”Hg/0/300 psi &amp; -1/0/20 bar Tri-Clamp 2" posterior, clase ±1%, Aprobación 3A</t>
  </si>
  <si>
    <t>PSQ20602B</t>
  </si>
  <si>
    <t>Manómetro Sanitario Winters Serie PSQ, dial 4", 0/30 psi &amp; 0/2 bar Tri-Clamp 2" posterior, clase ±1%, Aprobación 3A</t>
  </si>
  <si>
    <t>PSQ20603B</t>
  </si>
  <si>
    <t>Manómetro Sanitario Winters Serie PSQ, dial 4", 0/60 psi &amp; 0/4 bar Tri-Clamp 2" posterior, clase ±1%, Aprobación 3A</t>
  </si>
  <si>
    <t>PSQ20604B</t>
  </si>
  <si>
    <t>Manómetro Sanitario Winters Serie PSQ, dial 4", 0/100 psi &amp; 0/7 bar Tri-Clamp 2" posterior, clase ±1%, Aprobación 3A</t>
  </si>
  <si>
    <t>PSQ20605B</t>
  </si>
  <si>
    <t>Manómetro Sanitario Winters Serie PSQ, dial 4", 0/160 psi &amp; 0/11 bar Tri-Clamp 2" posterior, clase ±1%, Aprobación 3A</t>
  </si>
  <si>
    <t>PSQ20606B</t>
  </si>
  <si>
    <t>Manómetro Sanitario Winters Serie PSQ, dial 4", 0/200 psi &amp; 0/14 bar Tri-Clamp 2" posterior, clase ±1%, Aprobación 3A</t>
  </si>
  <si>
    <t>PSQ20607B</t>
  </si>
  <si>
    <t>Manómetro Sanitario Winters Serie PSQ, dial 4", 0/300 psi &amp; 0/20 bar Tri-Clamp 2" posterior, clase ±1%, Aprobación 3A</t>
  </si>
  <si>
    <t>PSQ20608B</t>
  </si>
  <si>
    <t>Manómetro Sanitario Winters Serie PSQ, dial 4", 0/600 psi &amp; 0/40 bar Tri-Clamp 2" posterior, clase ±1%, Aprobación 3A</t>
  </si>
  <si>
    <t>PSQ20609B</t>
  </si>
  <si>
    <t>Manómetro Sanitario Winters Serie PSQ, dial 4", 0/1.000 psi &amp; 0/70 bar Tri-Clamp 2" posterior, clase ±1%, Aprobación 3A</t>
  </si>
  <si>
    <t>PAM1750</t>
  </si>
  <si>
    <t>Manovacuómetro Winters Serie PAM Amoníaco, dial 2,5", -30"Hg/0/150 psi/°F, 1/4"NPT inferior, caja Ac. Inox. 304, internos Ac. Inox. 316, clase ±1,5%, con glicerina.</t>
  </si>
  <si>
    <t>PAM1750R3SC</t>
  </si>
  <si>
    <t>Manovacuómetro Winters Serie PAM Amoníaco, dial 2,5", -1/0/12,5 Kg/cm2/°C, 1/4"NPT inferior, caja Ac. Inox. 304, internos Ac. Inox. 316, clase ±1,5%, con glicerina.</t>
  </si>
  <si>
    <t>PAM1751</t>
  </si>
  <si>
    <t>Manovacuómetro Winters Serie PAM Amoníaco, dial 2,5", -30"Hg/0/300 psi/°F, 1/4"NPT inferior, caja Ac. Inox. 304, internos Ac. Inox. 316, clase ±1,5%, con glicerina.</t>
  </si>
  <si>
    <t>PAM1751R3SC</t>
  </si>
  <si>
    <t>Manovacuómetro Winters Serie PAM Amoníaco, dial 2,5", -1/0/25 Kg/cm2/°C, 1/4"NPT inferior, caja Ac. Inox. 304, internos Ac. Inox. 316, clase ±1,5%, con glicerina.</t>
  </si>
  <si>
    <t>PAM1752</t>
  </si>
  <si>
    <t>Manovacuómetro Winters Serie PAM Amoníaco, dial 2,5", -30"Hg/0/150 psi/°F, 1/4"NPT posterior, caja Ac. Inox. 304, internos Ac. Inox. 316, clase ±1,5%, con glicerina.</t>
  </si>
  <si>
    <t>PAM1752R3SC</t>
  </si>
  <si>
    <t>Manovacuómetro Winters Serie PAM Amoníaco, dial 2,5", -1/0/12,5 Kg/cm2/°C, 1/4"NPT posterior, caja Ac. Inox. 304, internos Ac. Inox. 316, clase ±1,5%, con glicerina.</t>
  </si>
  <si>
    <t>PAM1753</t>
  </si>
  <si>
    <t>Manovacuómetro Winters Serie PAM Amoníaco, dial 2,5", -30"Hg/0/300 psi/°F, 1/4"NPT posterior, caja Ac. Inox. 304, internos Ac. Inox. 316, clase ±1,5%, con glicerina.</t>
  </si>
  <si>
    <t>PAM1753R3SC</t>
  </si>
  <si>
    <t>Manovacuómetro Winters Serie PAM Amoníaco, dial 2,5", -1/0/25 Kg/cm2/°C, 1/4"NPT posterior, caja Ac. Inox. 304, internos Ac. Inox. 316, clase ±1,5%, con glicerina.</t>
  </si>
  <si>
    <t>PAM1717</t>
  </si>
  <si>
    <t>Manovacuómetro Winters Serie PAM Amoníaco, dial 3,5", -30"Hg/0/150 psi/°F, 1/4"NPT posterior, caja Ac. Inox. 304, internos Ac. Inox. 316, clase ±1,5%, con glicerina.</t>
  </si>
  <si>
    <t>PAM1717R3C</t>
  </si>
  <si>
    <t>Manovacuómetro Winters Serie PAM Amoníaco, dial 3,5", -1/0/12,5 Kg/cm2/°C, 1/4"NPT posterior, caja Ac. Inox. 304, internos Ac. Inox. 316, clase ±1,5%, con glicerina.</t>
  </si>
  <si>
    <t>PAM1818</t>
  </si>
  <si>
    <t>Manovacuómetro Winters Serie PAM Amoníaco, dial 3,5", -30"Hg/0/300 psi/°F, 1/4"NPT posterior, caja Ac. Inox. 304, internos Ac. Inox. 316, clase ±1,5%, con glicerina.</t>
  </si>
  <si>
    <t>PAM1818R3C</t>
  </si>
  <si>
    <t>Manovacuómetro Winters Serie PAM Amoníaco, dial 3,5", -1/0/25 Kg/cm2/°C, 1/4"NPT posterior, caja Ac. Inox. 304, internos Ac. Inox. 316, clase ±1,5%, con glicerina.</t>
  </si>
  <si>
    <t>PAM1701</t>
  </si>
  <si>
    <t>Manovacuómetro Winters Serie PAM Amoníaco, dial 4", -30"Hg/0/150 psi/°F, 1/4"NPT inferior, caja Ac. Inox. 304, internos Ac. Inox. 316, clase ±1,5%, con glicerina.</t>
  </si>
  <si>
    <t>PAM1701R3C-1/2</t>
  </si>
  <si>
    <t>Manovacuómetro Winters Serie PAM Amoníaco, dial 4", -1/0/12,5 Kg/cm2/°C, 1/2"NPT inferior, caja Ac. Inox. 304, internos Ac. Inox. 316, clase ±1,5%, con glicerina.</t>
  </si>
  <si>
    <t>PAM1702</t>
  </si>
  <si>
    <t>Manovacuómetro Winters Serie PAM Amoníaco, dial 4", -30"Hg/0/300 psi/°F, 1/4"NPT inferior, caja Ac. Inox. 304, internos Ac. Inox. 316, clase ±1,5%, con glicerina.</t>
  </si>
  <si>
    <t>PAM1702R3C-1/2</t>
  </si>
  <si>
    <t>Manovacuómetro Winters Serie PAM Amoníaco, dial 4", -1/0/25 Kg/cm2/°C, 1/2"NPT inferior, caja Ac. Inox. 304, internos Ac. Inox. 316, clase ±1,5%, con glicerina.</t>
  </si>
  <si>
    <t>PAM1705</t>
  </si>
  <si>
    <t>Manovacuómetro Winters Serie PAM Amoníaco, dial 4", -30"Hg/0/150 psi/°F, 1/4"NPT inferior, caja Ac. Inox. 304, internos Ac. Inox. 316, clase 1%, con glicerina.</t>
  </si>
  <si>
    <t>PAM1705-ACC05</t>
  </si>
  <si>
    <t>Manovacuómetro Winters Serie PAM Amoníaco, dial 4", -30"Hg/0/150 psi/°F, 1/4"NPT inferior, caja Ac. Inox. 304, internos Ac. Inox. 316, clase 0,5%, con glicerina.</t>
  </si>
  <si>
    <t>PAM1705R3C</t>
  </si>
  <si>
    <t>Manovacuómetro Winters Serie PAM Amoníaco, dial 4", -1/0/12,5 Kg/cm2/°C, 1/4"NPT inferior, caja Ac. Inox. 304, internos Ac. Inox. 316, clase 1%, con glicerina.</t>
  </si>
  <si>
    <t>PAM1706</t>
  </si>
  <si>
    <t>Manovacuómetro Winters Serie PAM Amoníaco, dial 4", -30"Hg/0/300 psi/°F, 1/4"NPT inferior, caja Ac. Inox. 304, internos Ac. Inox. 316, clase 1%, con glicerina.</t>
  </si>
  <si>
    <t>PAM1706-ACC05</t>
  </si>
  <si>
    <t>Manovacuómetro Winters Serie PAM Amoníaco, dial 4", -30"Hg/0/300 psi/°F, 1/4"NPT inferior, caja Ac. Inox. 304, internos Ac. Inox. 316, clase 0,5%, con glicerina.</t>
  </si>
  <si>
    <t>PAM1706R3C</t>
  </si>
  <si>
    <t>Manovacuómetro Winters Serie PAM Amoníaco, dial 4", -1/0/25 Kg/cm2/°C, 1/4"NPT inferior, caja Ac. Inox. 304, internos Ac. Inox. 316, clase 1%, con glicerina.</t>
  </si>
  <si>
    <t>PAM1703</t>
  </si>
  <si>
    <t>Manovacuómetro Winters Serie PAM Amoníaco, dial 4", -30"Hg/0/150 psi/°F, 1/2"NPT posterior, caja Ac. Inox. 304, internos Ac. Inox. 316, clase ±1,5%, con glicerina.</t>
  </si>
  <si>
    <t>PAM1703R3C-1/2</t>
  </si>
  <si>
    <t>Manovacuómetro Winters Serie PAM Amoníaco, dial 4", -1/0/12,5 Kg/cm2/°C, 1/2"NPT posterior, caja Ac. Inox. 304, internos Ac. Inox. 316, clase ±1,5%, con glicerina.</t>
  </si>
  <si>
    <t>PAM1704R3</t>
  </si>
  <si>
    <t>Manovacuómetro Winters Serie PAM Amoníaco, dial 4", -30"Hg/0/300 psi/°F, 1/4"NPT posterior, caja Ac. Inox. 304, internos Ac. Inox. 316, clase ±1,5%, con glicerina.</t>
  </si>
  <si>
    <t>PAM1704R3C-1/2</t>
  </si>
  <si>
    <t>Manovacuómetro Winters Serie PAM Amoníaco, dial 4", -1/0/25 Kg/cm2/°C, 1/2"NPT posterior, caja Ac. Inox. 304, internos Ac. Inox. 316, clase ±1,5%, con glicerina.</t>
  </si>
  <si>
    <t>PAM1708</t>
  </si>
  <si>
    <t>Manovacuómetro Winters Serie PAM Amoníaco, dial 4", -30"Hg/0/150 psi/°F, 1/4"NPT posterior, caja Ac. Inox. 304, internos Ac. Inox. 316, clase ±1%, con glicerina.</t>
  </si>
  <si>
    <t>PAM1708R3C-ACC05</t>
  </si>
  <si>
    <t>Manovacuómetro Winters Serie PAM Amoníaco, dial 4", -1/0/12,5 Kg/cm2/°C, 1/4"NPT posterior, caja Ac. Inox. 304, internos Ac. Inox. 316, clase ±0,5%, con glicerina.</t>
  </si>
  <si>
    <t>PAM1709R3C</t>
  </si>
  <si>
    <t>Manovacuómetro Winters Serie PAM Amoníaco, dial 4", -30"Hg/0/300 psi/°F, 1/4"NPT posterior, caja Ac. Inox. 304, internos Ac. Inox. 316, clase ±1%, con glicerina.</t>
  </si>
  <si>
    <t>PAM1709R3C-ACC05</t>
  </si>
  <si>
    <t>Manovacuómetro Winters Serie PAM Amoníaco, dial 4", -1/0/25 Kg/cm2/°C, 1/4"NPT posterior, caja Ac. Inox. 304, internos Ac. Inox. 316, clase ±0,5%, con glicerina.</t>
  </si>
  <si>
    <t>PAM1710</t>
  </si>
  <si>
    <t>Manovacuómetro Winters Serie PAM Amoníaco, dial 6", -30"Hg/0/150 psi/°F, 1/4"NPT inferior, caja Ac. Inox. 304, internos Ac. Inox. 316, clase ±0,5%, con glicerina.</t>
  </si>
  <si>
    <t>PAM1710R3C-ACC05</t>
  </si>
  <si>
    <t>Manovacuómetro Winters Serie PAM Amoníaco, dial 6", -1/0/12,5 Kg/cm2/°C, 1/4"NPT inferior, caja Ac. Inox. 304, internos Ac. Inox. 316, clase ±0,5%, con glicerina.</t>
  </si>
  <si>
    <t>PAM1710R3-1/2</t>
  </si>
  <si>
    <t>Manovacuómetro Winters Serie PAM Amoníaco, dial 6", -1/0/12,5 Kg/cm2/°C, 1/2"NPT inferior, caja Ac. Inox. 304, internos Ac. Inox. 316, clase ±1%, con glicerina.</t>
  </si>
  <si>
    <t>PAM1711</t>
  </si>
  <si>
    <t>Manovacuómetro Winters Serie PAM Amoníaco, dial 6", -30"Hg/0/300 psi/°F, 1/4"NPT inferior, caja Ac. Inox. 304, internos Ac. Inox. 316, clase ±0,5%, con glicerina.</t>
  </si>
  <si>
    <t>PAM1711R3C-ACC05</t>
  </si>
  <si>
    <t>Manovacuómetro Winters Serie PAM Amoníaco, dial 6", -1/0/25 Kg/cm2/°C, 1/4"NPT inferior, caja Ac. Inox. 304, internos Ac. Inox. 316, clase ±0,5%, con glicerina.</t>
  </si>
  <si>
    <t>PAM1711R3-1/2</t>
  </si>
  <si>
    <t>Manovacuómetro Winters Serie PAM Amoníaco, dial 6", -1/0/25Kg/cm2/°C, 1/2"NPT inferior, caja Ac. Inox. 304, internos Ac. Inox. 316, clase ±1%, con glicerina.</t>
  </si>
  <si>
    <t>PAM1714</t>
  </si>
  <si>
    <t>Manovacuómetro Winters Serie PAM Amoníaco, dial 10", -30"Hg/0/150 psi/°F, 1/4"NPT inferior, caja Ac. Inox. 304, internos Ac. Inox. 316, clase ±1%, con glicerina.</t>
  </si>
  <si>
    <t>PAM1714R3C</t>
  </si>
  <si>
    <t>Manovacuómetro Winters Serie PAM Amoníaco, dial 10", -1/0/12,5 Kg/cm2/°C, 1/4"NPT inferior, caja Ac. Inox. 304, internos Ac. Inox. 316, clase ±1%, con glicerina.</t>
  </si>
  <si>
    <t>PAM1715</t>
  </si>
  <si>
    <t>Manovacuómetro Winters Serie PAM Amoníaco, dial 10", -30"Hg/0/300 psi/°F, 1/4"NPT inferior, caja Ac. Inox. 304, internos Ac. Inox. 316, clase ±1%, con glicerina.</t>
  </si>
  <si>
    <t>PAM1715R3C</t>
  </si>
  <si>
    <t>Manovacuómetro Winters Serie PAM Amoníaco, dial 10", -1/0/25 Kg/cm2/°C, 1/4"NPT inferior, caja Ac. Inox. 304, internos Ac. Inox. 316, clase ±1%, con glicerina.</t>
  </si>
  <si>
    <t>PEC0200R6R11</t>
  </si>
  <si>
    <t>Vacuómetro con contactos Winters Serie PEC, Dial 4", -30/0"Hg &amp; -1/0 bar, 1/2" NPT inferior, caja Ac. Inox. 304, internos Ac. Inox. 316, clase ±1%, Aro bayoneta, 2 SPDT.</t>
  </si>
  <si>
    <t>PEC0200R6R7</t>
  </si>
  <si>
    <t>Vacuómetro con contactos Winters Serie PEC, Dial 4", -30/0"Hg &amp; -760/0 mmHg, 1/2" NPT inferior, caja Ac. Inox. 304, internos Ac. Inox. 316, clase ±1%, Aro bayoneta, 2 SPDT.</t>
  </si>
  <si>
    <t>PEC0201R1R11</t>
  </si>
  <si>
    <t>Manómetro con contactos Winters Serie PEC, Dial 4", 0/15 psi &amp; 0/1 bar, 1/2" NPT inferior, caja Ac. Inox. 304, internos Ac. Inox. 316, clase ±1%, Aro bayoneta, 2 SPDT, 1%</t>
  </si>
  <si>
    <t>PEC0201R11R1</t>
  </si>
  <si>
    <t>Manómetro con contactos Winters Serie PEC, Dial 4", 0/1 bar &amp; 0/15 psi, 1/2" NPT inferior, caja Ac. Inox. 304, internos Ac. Inox. 316, clase ±1%, Aro bayoneta, 2 SPDT.</t>
  </si>
  <si>
    <t>PEC0202R1R11</t>
  </si>
  <si>
    <t>Manómetro con contactos Winters Serie PEC, Dial 4", 0/30 psi &amp; 0/2 bar, 1/2" NPT inferior, caja Ac. Inox. 304, internos Ac. Inox. 316, clase ±1%, Aro bayoneta, 2 SPDT.</t>
  </si>
  <si>
    <t>PEC0202R11R1</t>
  </si>
  <si>
    <t>Manómetro con contactos Winters Serie PEC, Dial 4", 0/2 bar &amp; 0/30 psi, 1/2" NPT inferior, caja Ac. Inox. 304, internos Ac. Inox. 316, clase ±1%, Aro bayoneta, 2 SPDT.</t>
  </si>
  <si>
    <t>PEC0203R1R11</t>
  </si>
  <si>
    <t>Manómetro con contactos Winters Serie PEC, Dial 4", 0/60 psi &amp; 0/4 bar, 1/2" NPT inferior, caja Ac. Inox. 304, internos Ac. Inox. 316, clase ±1%, Aro bayoneta, 2 SPDT.</t>
  </si>
  <si>
    <t>PEC0203R11R1</t>
  </si>
  <si>
    <t>Manómetro con contactos Winters Serie PEC, Dial 4", 0/4 bar &amp; 0/60 psi, 1/2" NPT inferior, caja Ac. Inox. 304, internos Ac. Inox. 316, clase ±1%, Aro bayoneta, 2 SPDT.</t>
  </si>
  <si>
    <t>PEC0204R1R11</t>
  </si>
  <si>
    <t>Manómetro con contactos Winters Serie PEC, Dial 4", 0/100 psi &amp; 0/7 bar, 1/2" NPT inferior, caja Ac. Inox. 304, internos Ac. Inox. 316, clase ±1%, Aro bayoneta, 2 SPDT.</t>
  </si>
  <si>
    <t>PEC0204R11R1</t>
  </si>
  <si>
    <t>Manómetro con contactos Winters Serie PEC, Dial 4", 0/7 bar &amp; 0/100 psi, 1/2" NPT inferior, caja Ac. Inox. 304, internos Ac. Inox. 316, clase ±1%, Aro bayoneta, 2 SPDT.</t>
  </si>
  <si>
    <t>PEC0205R11R1</t>
  </si>
  <si>
    <t>Manómetro con contactos Winters Serie PEC, Dial 4", 0/10 bar &amp; 0/160 psi, 1/2" NPT inferior, caja Ac. Inox. 304, internos Ac. Inox. 316, clase ±1%, Aro bayoneta, 2 SPDT.</t>
  </si>
  <si>
    <t>PEC0205R1R11</t>
  </si>
  <si>
    <t>Manómetro con contactos Winters Serie PEC, Dial 4", 0/160 psi &amp; 0/11 bar, 1/2" NPT inferior, caja Ac. Inox. 304, internos Ac. Inox. 316, clase ±1%, Aro bayoneta, 2 SPDT.</t>
  </si>
  <si>
    <t>PEC0206R1R11</t>
  </si>
  <si>
    <t>Manómetro con contactos Winters Serie PEC, Dial 4", 0/200 psi &amp; 0/14 bar, 1/2" NPT inferior, caja Ac. Inox. 304, internos Ac. Inox. 316, clase ±1%, Aro bayoneta, 2 SPDT.</t>
  </si>
  <si>
    <t>PEC0206R11R1</t>
  </si>
  <si>
    <t>Manómetro con contactos Winters Serie PEC, Dial 4", 0/14 bar &amp; 0/200 psi, 1/2" NPT inferior, Caja 304 AC. INOX., Int. 316 AC. INOX, clase ±1%, Aro bayoneta, 2 SPDT.</t>
  </si>
  <si>
    <t>PEC0207R1R11</t>
  </si>
  <si>
    <t>Manómetro con contactos Winters Serie PEC, Dial 4", 0/300 psi &amp; 0/20 bar, 1/2" NPT inferior, caja Ac. Inox. 304, internos Ac. Inox. 316, clase ±1%, Aro bayoneta, 2 SPDT.</t>
  </si>
  <si>
    <t>PEC0207R11R1</t>
  </si>
  <si>
    <t>Manómetro con contactos Winters Serie PEC, Dial 4", 0/20 bar &amp; 0/300 psi, 1/2" NPT inferior, caja Ac. Inox. 304, internos Ac. Inox. 316, clase ±1%, Aro bayoneta, 2 SPDT.</t>
  </si>
  <si>
    <t>PEC0208R11R1</t>
  </si>
  <si>
    <t>Manómetro con contactos Winters Serie PEC, Dial 4", 0/28 bar &amp; 0/400 psi, 1/2" NPT inferior, caja Ac. Inox. 304, internos Ac. Inox. 316, clase ±1%, Aro bayoneta, 2 SPDT.</t>
  </si>
  <si>
    <t>PEC0208R1R11</t>
  </si>
  <si>
    <t>Manómetro con contactos Winters Serie PEC, Dial 4", 0/400 psi &amp; 0/30 bar, 1/2" NPT inferior, caja Ac. Inox. 304, internos Ac. Inox. 316, clase ±1%, Aro bayoneta, 2 SPDT.</t>
  </si>
  <si>
    <t>PEC0209R1R11</t>
  </si>
  <si>
    <t>Manómetro con contactos Winters Serie PEC, Dial 4", 0/600 psi &amp; 0/40 bar, 1/2" NPT inferior, caja Ac. Inox. 304, internos Ac. Inox. 316, clase ±1%, Aro bayoneta, 2 SPDT.</t>
  </si>
  <si>
    <t>PEC0209R11R1</t>
  </si>
  <si>
    <t>Manómetro con contactos Winters Serie PEC, Dial 4", 0/40 bar &amp; 0/600 psi, 1/2" NPT inferior, caja Ac. Inox. 304, internos Ac. Inox. 316, clase ±1%, Aro bayoneta, 2 SPDT.</t>
  </si>
  <si>
    <t>PEC0210R1R11</t>
  </si>
  <si>
    <t>Manómetro con contactos Winters Serie PEC, Dial 4", 0/1.000 psi &amp; 0/70 bar, 1/2" NPT inferior, caja Ac. Inox. 304, internos Ac. Inox. 316, clase ±1%, Aro bayoneta, 2 SPDT.</t>
  </si>
  <si>
    <t>PEC0210R11S</t>
  </si>
  <si>
    <t>Manómetro con contactos Winters Serie PEC, Dial 4", 0/60 bar, 1/2" NPT inferior, caja Ac. Inox. 304, internos Ac. Inox. 316, clase ±1%, Aro bayoneta, 2 SPDT.</t>
  </si>
  <si>
    <t>PEC0210R11R1</t>
  </si>
  <si>
    <t>Manómetro con contactos Winters Serie PEC, Dial 4", 0/70 bar &amp; 0/1.000 psi, 1/2" NPT inferior, caja Ac. Inox. 304, internos Ac. Inox. 316, clase ±1%, Aro bayoneta, 2 SPDT.</t>
  </si>
  <si>
    <t>PEC0211R1R11</t>
  </si>
  <si>
    <t>Manómetro con contactos Winters Serie PEC, Dial 4", 0/1.500 psi &amp; 0/100 bar, 1/2" NPT inferior, caja Ac. Inox. 304, internos Ac. Inox. 316, clase ±1%, Aro bayoneta, 2 SPDT.</t>
  </si>
  <si>
    <t>PEC0211R11R1</t>
  </si>
  <si>
    <t>Manómetro con contactos Winters Serie PEC, Dial 4", 0/100 bar &amp; 0/1.500 psi, 1/2" NPT inferior, caja Ac. Inox. 304, internos Ac. Inox. 316, clase ±1%, Aro bayoneta, 2 SPDT.</t>
  </si>
  <si>
    <t>PEC0212R1R11</t>
  </si>
  <si>
    <t>Manómetro con contactos Winters Serie PEC, Dial 4", 0/2.000 psi &amp; 0/140 bar, 1/2" NPT inferior, caja Ac. Inox. 304, internos Ac. Inox. 316, clase ±1%, Aro bayoneta, 2 SPDT.</t>
  </si>
  <si>
    <t>PEC0212R11R1</t>
  </si>
  <si>
    <t>Manómetro con contactos Winters Serie PEC, Dial 4", 0/140 bar &amp; 0/2.000 psi, 1/2" NPT inferior, caja Ac. Inox. 304, internos Ac. Inox. 316, clase ±1%, Aro bayoneta, 2 SPDT.</t>
  </si>
  <si>
    <t>PEC0213R1R11</t>
  </si>
  <si>
    <t>Manómetro con contactos Winters Serie PEC, Dial 4", 0/3.000 psi &amp; 0/200 bar, 1/2" NPT inferior, caja Ac. Inox. 304, internos Ac. Inox. 316, clase ±1%, Aro bayoneta, 2 SPDT.</t>
  </si>
  <si>
    <t>PEC0213R11R1</t>
  </si>
  <si>
    <t>Manómetro con contactos Winters Serie PEC, Dial 4", 0/200 bar &amp; 0/3.000 psi, 1/2" NPT inferior, caja Ac. Inox. 304, internos Ac. Inox. 316, clase ±1%, Aro bayoneta, 2 SPDT.</t>
  </si>
  <si>
    <t>PEC0214R1R11</t>
  </si>
  <si>
    <t>Manómetro con contactos Winters Serie PEC, Dial 4", 0/5.000 psi &amp; 0/350 bar, 1/2" NPT inferior, caja Ac. Inox. 304, internos Ac. Inox. 316, clase ±1%, Aro bayoneta, 2 SPDT.</t>
  </si>
  <si>
    <t>PEC0214R11R1</t>
  </si>
  <si>
    <t>Manómetro con contactos Winters Serie PEC, Dial 4", 0/350 bar &amp; 0/5.000 psi, 1/2" NPT inferior, caja Ac. Inox. 304, internos Ac. Inox. 316, clase ±1%, Aro bayoneta, 2 SPDT.</t>
  </si>
  <si>
    <t>PEC0214R11R1S</t>
  </si>
  <si>
    <t>Manómetro con contactos Winters Serie PEC, Dial 4", 0/400 bar &amp; 0/6.000 psi, 1/2" NPT inferior, caja Ac. Inox. 304, internos Ac. Inox. 316, clase ±1%, Aro bayoneta, 2 SPDT.</t>
  </si>
  <si>
    <t>PEC0215R1R11</t>
  </si>
  <si>
    <t>Manómetro con contactos Winters Serie PEC, Dial 4", 0/6.000 psi &amp; 0/400 bar, 1/2" NPT inferior, caja Ac. Inox. 304, internos Ac. Inox. 316, clase ±1%, Aro bayoneta, 2 SPDT.</t>
  </si>
  <si>
    <t>PEC0216R11R1</t>
  </si>
  <si>
    <t>Manómetro con contactos Winters Serie PEC, Dial 4", 0/700 bar &amp; 0/10.000 psi, 1/2" NPT inferior, caja Ac. Inox. 304, internos Ac. Inox. 316, clase ±1%, Aro bayoneta, 2 SPDT.</t>
  </si>
  <si>
    <t>PEC0216R1R11</t>
  </si>
  <si>
    <t>Manómetro con contactos Winters Serie PEC, Dial 4", 0/10.000 psi &amp; 0/700 bar, 1/2" NPT inferior, caja Ac. Inox. 304, internos Ac. Inox. 316, clase ±1%, Aro bayoneta, 2 SPDT.</t>
  </si>
  <si>
    <t>PN2640R6R11N</t>
  </si>
  <si>
    <t>Vacuómetro Winters Serie PN2 NACE, dial 4", 0/30"HG Vac/bar, Ac. Inox. 316, 1/4" NPT inferior, con glicerina.</t>
  </si>
  <si>
    <t>PN21036R1R11N</t>
  </si>
  <si>
    <t>Manovacuómetro Winters Serie PN2 NACE, dial 4", 30"/0/15 psi/bar, Ac. Inox. 316, 1/4" NPT inferior, con glicerina.</t>
  </si>
  <si>
    <t>PN21037R1R11N</t>
  </si>
  <si>
    <t>Manovacuómetro Winters Serie PN2 NACE, dial 4", 30"/0/30 psi/bar, Ac. Inox. 316, 1/4" NPT inferior, con glicerina.</t>
  </si>
  <si>
    <t>PN21038R1R11N</t>
  </si>
  <si>
    <t>Manovacuómetro Winters Serie PN2 NACE, dial 4", 30"/0/60 psi/bar, Ac. Inox. 316, 1/4" NPT inferior, con glicerina.</t>
  </si>
  <si>
    <t>PN21039R1R11N</t>
  </si>
  <si>
    <t>Manovacuómetro Winters Serie PN2 NACE, dial 4", 30"/0/100 psi/bar, Ac. Inox. 316, 1/4" NPT inferior, con glicerina.</t>
  </si>
  <si>
    <t>PN21040R1R11N</t>
  </si>
  <si>
    <t>Manovacuómetro Winters Serie PN2 NACE, dial 4", 30"/0/150 psi/bar, Ac. Inox. 316, 1/4" NPT inferior, con glicerina.</t>
  </si>
  <si>
    <t>PN21042R1R11N</t>
  </si>
  <si>
    <t>Manovacuómetro Winters Serie PN2 NACE, dial 4", 30"/0/200 psi/bar, Ac. Inox. 316, 1/4" NPT inferior, con glicerina.</t>
  </si>
  <si>
    <t>PN21043R1R11N</t>
  </si>
  <si>
    <t>Manovacuómetro Winters Serie PN2 NACE, dial 4", 30"/0/300 psi/bar, Ac. Inox. 316, 1/4" NPT inferior, con glicerina.</t>
  </si>
  <si>
    <t>PN2641R1R11N</t>
  </si>
  <si>
    <t>Manómetro Winters Serie PN2 NACE, dial 4", 0/15 psi/bar, Ac. Inox. 316, 1/4" NPT inferior, con glicerina.</t>
  </si>
  <si>
    <t>PN2642R1R11N</t>
  </si>
  <si>
    <t>Manómetro Winters Serie PN2 NACE, dial 4", 0/30 psi/bar, Ac. Inox. 316, 1/4" NPT inferior, con glicerina.</t>
  </si>
  <si>
    <t>PN2643R1R11N</t>
  </si>
  <si>
    <t>Manómetro Winters Serie PN2 NACE, dial 4", 0/60 psi/bar, Ac. Inox. 316, 1/4" NPT inferior, con glicerina.</t>
  </si>
  <si>
    <t>PN2644R1R11N</t>
  </si>
  <si>
    <t>Manómetro Winters Serie PN2 NACE, dial 4", 0/100 psi/bar, Ac. Inox. 316, 1/4" NPT inferior, con glicerina.</t>
  </si>
  <si>
    <t>PN2645R1R11N</t>
  </si>
  <si>
    <t>Manómetro Winters Serie PN2 NACE, dial 4", 0/160 psi/bar, Ac. Inox. 316, 1/4" NPT inferior, con glicerina.</t>
  </si>
  <si>
    <t>PN2646R1R11N</t>
  </si>
  <si>
    <t>Manómetro Winters Serie PN2 NACE, dial 4", 0/200 psi/bar, Ac. Inox. 316, 1/4" NPT inferior, con glicerina.</t>
  </si>
  <si>
    <t>PN2647R1R11N</t>
  </si>
  <si>
    <t>Manómetro Winters Serie PN2 NACE, dial 4", 0/300 psi/bar, Ac. Inox. 316, 1/4" NPT inferior, con glicerina.</t>
  </si>
  <si>
    <t>PN2650R1R11N</t>
  </si>
  <si>
    <t>Manómetro Winters Serie PN2 NACE, dial 4", 0/400 psi/bar, Ac. Inox. 316, 1/4" NPT inferior, con glicerina.</t>
  </si>
  <si>
    <t>PN2648R1R11N</t>
  </si>
  <si>
    <t>Manómetro Winters Serie PN2 NACE, dial 4", 0/600 psi/bar, Ac. Inox. 316, 1/4" NPT inferior, con glicerina.</t>
  </si>
  <si>
    <t>PN2649R1R11N</t>
  </si>
  <si>
    <t>Manómetro Winters Serie PN2 NACE, dial 4", 0/1.000 psi/bar, Ac. Inox. 316, 1/4" NPT inferior, con glicerina.</t>
  </si>
  <si>
    <t>PN21090R6R11N</t>
  </si>
  <si>
    <t>Vacuómetro Winters Serie PN2 NACE, dial 4", 0/30"HG Vac/bar, Ac. Inox. 316, 1/4" NPT posterior.</t>
  </si>
  <si>
    <t>PN21091R1R11N</t>
  </si>
  <si>
    <t>Manómetro Winters Serie PN2 NACE, dial 4", 0/15 psi/bar, Ac. Inox. 316, 1/4" NPT posterior, con glicerina.</t>
  </si>
  <si>
    <t>PN21092R1R11N</t>
  </si>
  <si>
    <t>Manómetro Winters Serie PN2 NACE, dial 4", 0/30 psi/bar, Ac. Inox. 316, 1/4" NPT posterior, con glicerina.</t>
  </si>
  <si>
    <t>PN21093R1R11N</t>
  </si>
  <si>
    <t>Manómetro Winters Serie PN2 NACE, dial 4", 0/60 psi/bar, Ac. Inox. 316, 1/4" NPT posterior, con glicerina.</t>
  </si>
  <si>
    <t>PN21094R1R11N</t>
  </si>
  <si>
    <t>Manómetro Winters Serie PN2 NACE, dial 4", 0/100 psi/bar, Ac. Inox. 316, 1/4" NPT posterior, con glicerina.</t>
  </si>
  <si>
    <t>PN21095R1R11N</t>
  </si>
  <si>
    <t>Manómetro Winters Serie PN2 NACE, dial 4", 0/160 psi/bar, Ac. Inox. 316, 1/4" NPT posterior, con glicerina.</t>
  </si>
  <si>
    <t>PN21096R1R11N</t>
  </si>
  <si>
    <t>Manómetro Winters Serie PN2 NACE, dial 4", 0/200 psi/bar, Ac. Inox. 316, 1/4" NPT posterior, con glicerina.</t>
  </si>
  <si>
    <t>PN21097R1R11N</t>
  </si>
  <si>
    <t>Manómetro Winters Serie PN2 NACE, dial 4", 0/300 psi/bar, Ac. Inox. 316, 1/4" NPT posterior, con glicerina.</t>
  </si>
  <si>
    <t>PN2150R1R11N</t>
  </si>
  <si>
    <t>Manómetro Winters Serie PN2 NACE, dial 4", 0/400 psi/bar, Ac. Inox. 316, 1/4" NPT posterior, con glicerina.</t>
  </si>
  <si>
    <t>PN21098R1R11N</t>
  </si>
  <si>
    <t>Manómetro Winters Serie PN2 NACE, dial 4", 0/600 psi/bar, Ac. Inox. 316, 1/4" NPT posterior, con glicerina.</t>
  </si>
  <si>
    <t>PN21099R1R11N</t>
  </si>
  <si>
    <t>Manómetro Winters Serie PN2 NACE, dial 4", 0/1.000 psi/bar, Ac. Inox. 316, 1/4" NPT posterior, con glicerina.</t>
  </si>
  <si>
    <t>PN2655R6R11N</t>
  </si>
  <si>
    <t>Vacuómetro Winters Serie PN2 NACE, dial 4", 0/30"HG Vac/bar, Ac. Inox. 316, 1/2" NPT inferior, con glicerina.</t>
  </si>
  <si>
    <t>PN21044R1R11N</t>
  </si>
  <si>
    <t>Manovacuómetro Winters Serie PN2 NACE, dial 4", 30"/0/15 psi/bar, Ac. Inox. 316, 1/2" NPT inferior, con glicerina.</t>
  </si>
  <si>
    <t>PN21045R1R11N</t>
  </si>
  <si>
    <t>Manovacuómetro Winters Serie PN2 NACE, dial 4", 30"/0/30 psi/bar, Ac. Inox. 316, 1/2" NPT inferior, con glicerina.</t>
  </si>
  <si>
    <t>PN21046R1R11N</t>
  </si>
  <si>
    <t>Manovacuómetro Winters Serie PN2 NACE, dial 4", 30"/0/60 psi/bar, Ac. Inox. 316, 1/2" NPT inferior, con glicerina.</t>
  </si>
  <si>
    <t>PN21047R1R11N</t>
  </si>
  <si>
    <t>Manovacuómetro Winters Serie PN2 NACE, dial 4", 30"/0/100 psi/bar, Ac. Inox. 316, 1/2" NPT inferior, con glicerina.</t>
  </si>
  <si>
    <t>PN21048R1R11N</t>
  </si>
  <si>
    <t>Manovacuómetro Winters Serie PN2 NACE, dial 4", 30"/0/150 psi/bar, Ac. Inox. 316, 1/2" NPT inferior, con glicerina.</t>
  </si>
  <si>
    <t>PN21050R1R11N</t>
  </si>
  <si>
    <t>Manovacuómetro Winters Serie PN2 NACE, dial 4", 30"/0/200 psi/bar, Ac. Inox. 316, 1/2" NPT inferior, con glicerina.</t>
  </si>
  <si>
    <t>PN21051R1R11N</t>
  </si>
  <si>
    <t>Manovacuómetro Winters Serie PN2 NACE, dial 4", 30"/0/300 psi/bar, Ac. Inox. 316, 1/2" NPT inferior, con glicerina.</t>
  </si>
  <si>
    <t>PN2656R1R11N</t>
  </si>
  <si>
    <t>Manómetro Winters Serie PN2 NACE, dial 4", 0/15 psi/bar, Ac. Inox. 316, 1/2" NPT inferior, con glicerina.</t>
  </si>
  <si>
    <t>PN2657R1R11N</t>
  </si>
  <si>
    <t>Manómetro Winters Serie PN2 NACE, dial 4", 0/30 psi/bar, Ac. Inox. 316, 1/2" NPT inferior, con glicerina.</t>
  </si>
  <si>
    <t>PN2658R1R11N</t>
  </si>
  <si>
    <t>Manómetro Winters Serie PN2 NACE, dial 4", 0/60 psi/bar, Ac. Inox. 316, 1/2" NPT inferior, con glicerina.</t>
  </si>
  <si>
    <t>PN2659R1R11N</t>
  </si>
  <si>
    <t>Manómetro Winters Serie PN2 NACE, dial 4", 0/100 psi/bar, Ac. Inox. 316, 1/2" NPT inferior, con glicerina.</t>
  </si>
  <si>
    <t>PN2660R1R11N</t>
  </si>
  <si>
    <t>Manómetro Winters Serie PN2 NACE, dial 4", 0/160 psi/bar, Ac. Inox. 316, 1/2" NPT inferior, con glicerina.</t>
  </si>
  <si>
    <t>PN2661R1R11N</t>
  </si>
  <si>
    <t>Manómetro Winters Serie PN2 NACE, dial 4", 0/200 psi/bar, Ac. Inox. 316, 1/2" NPT inferior, con glicerina.</t>
  </si>
  <si>
    <t>PN2662R1R11N</t>
  </si>
  <si>
    <t>Manómetro Winters Serie PN2 NACE, dial 4", 0/300 psi/bar, Ac. Inox. 316, 1/2" NPT inferior, con glicerina.</t>
  </si>
  <si>
    <t>PN2666R1R11N</t>
  </si>
  <si>
    <t>Manómetro Winters Serie PN2 NACE, dial 4", 0/400 psi/bar, Ac. Inox. 316, 1/2" NPT inferior, con glicerina.</t>
  </si>
  <si>
    <t>PN2663R1R11N</t>
  </si>
  <si>
    <t>Manómetro Winters Serie PN2 NACE, dial 4", 0/600 psi/bar, Ac. Inox. 316, 1/2" NPT inferior, con glicerina.</t>
  </si>
  <si>
    <t>PN2664R1R11N</t>
  </si>
  <si>
    <t>Manómetro Winters Serie PN2 NACE, dial 4", 0/1.000 psi/bar, Ac. Inox. 316, 1/2" NPT inferior, con glicerina.</t>
  </si>
  <si>
    <t>PN2665R1R11N</t>
  </si>
  <si>
    <t>Manómetro Winters Serie PN2 NACE, dial 4", 0/1.500 psi/bar, Ac. Inox. 316, 1/2" NPT inferior, con glicerina.</t>
  </si>
  <si>
    <t>PN2667R1R11N</t>
  </si>
  <si>
    <t>Manómetro Winters Serie PN2 NACE, dial 4", 0/2.000 psi/bar, Ac. Inox. 316, 1/2" NPT inferior, con glicerina.</t>
  </si>
  <si>
    <t>PN2668R1R11N</t>
  </si>
  <si>
    <t>Manómetro Winters Serie PN2 NACE, dial 4", 0/3.000 psi/bar, Ac. Inox. 316, 1/2" NPT inferior, con glicerina.</t>
  </si>
  <si>
    <t>PN2701R1R11N</t>
  </si>
  <si>
    <t>Manómetro Winters Serie PN2 NACE, dial 4", 0/4.000 psi/bar, Ac. Inox. 316, 1/2" NPT inferior, con glicerina.</t>
  </si>
  <si>
    <t>PN2669R1R11N</t>
  </si>
  <si>
    <t>Manómetro Winters Serie PN2 NACE, dial 4", 0/5.000 psi/bar, Ac. Inox. 316, 1/2" NPT inferior, con glicerina.</t>
  </si>
  <si>
    <t>PN2675R1R11N</t>
  </si>
  <si>
    <t>Manómetro Winters Serie PN2 NACE, dial 4", 0/6.000 psi/bar, Ac. Inox. 316, 1/2" NPT inferior, con glicerina.</t>
  </si>
  <si>
    <t>PN2670R1R11N</t>
  </si>
  <si>
    <t>Manómetro Winters Serie PN2 NACE, dial 4", 0/10.000 psi/bar, Ac. Inox. 316, 1/2" NPT inferior, con glicerina.</t>
  </si>
  <si>
    <t>P1000092646</t>
  </si>
  <si>
    <t>Manómetro Winters Serie PN2 NACE, dial 4", 0/10.000 psi/MPa, Ac. Inox. 316, 1/2" NPT inferior, con silicona, con vidrio de seguridad.</t>
  </si>
  <si>
    <t>PN2671R1R11N</t>
  </si>
  <si>
    <t>Manómetro Winters Serie PN2 NACE, dial 4", 0/15.000 psi/bar, Ac. Inox. 316, 1/2" NPT inferior, con glicerina.</t>
  </si>
  <si>
    <t>PN2672R1R11N</t>
  </si>
  <si>
    <t>Manómetro Winters Serie PN2 NACE, dial 4", 0/20.000 psi/bar, Ac. Inox. 316, 1/2" NPT inferior, con glicerina.</t>
  </si>
  <si>
    <t>PN21190R1R11N</t>
  </si>
  <si>
    <t>Manómetro Winters Serie PN2 NACE, dial 4", 0/1.500 psi/bar, Ac. Inox. 316, 1/2" NPT posterior, con glicerina.</t>
  </si>
  <si>
    <t>PN21191R1R11N</t>
  </si>
  <si>
    <t>Manómetro Winters Serie PN2 NACE, dial 4", 0/2.000 psi/bar, Ac. Inox. 316, 1/2" NPT posterior, con glicerina.</t>
  </si>
  <si>
    <t>PN21192R1R11N</t>
  </si>
  <si>
    <t>Manómetro Winters Serie PN2 NACE, dial 4", 0/3.000 psi/bar, Ac. Inox. 316, 1/2" NPT posterior, con glicerina.</t>
  </si>
  <si>
    <t>PN2702R1R11N</t>
  </si>
  <si>
    <t>Manómetro Winters Serie PN2 NACE, dial 4", 0/4.000 psi/bar, Ac. Inox. 316, 1/2" NPT posterior, con glicerina.</t>
  </si>
  <si>
    <t>PN21193R1R11N</t>
  </si>
  <si>
    <t>Manómetro Winters Serie PN2 NACE, dial 4", 0/5.000 psi/bar, Ac. Inox. 316, 1/2" NPT posterior, con glicerina.</t>
  </si>
  <si>
    <t>PN2175R1R11N</t>
  </si>
  <si>
    <t>Manómetro Winters Serie PN2 NACE, dial 4", 0/6.000 psi/bar, Ac. Inox. 316, 1/2" NPT posterior, con glicerina.</t>
  </si>
  <si>
    <t>PN21194R1R11N</t>
  </si>
  <si>
    <t>Manómetro Winters Serie PN2 NACE, dial 4", 0/10.000 psi/bar, Ac. Inox. 316, 1/2" NPT posterior, con glicerina.</t>
  </si>
  <si>
    <t>PN21195R1R11N</t>
  </si>
  <si>
    <t>Manómetro Winters Serie PN2 NACE, dial 4", 0/15.000 psi/bar, Ac. Inox. 316, 1/2" NPT posterior, con glicerina.</t>
  </si>
  <si>
    <t>PN21196R1R11N</t>
  </si>
  <si>
    <t>Manómetro Winters Serie PN2 NACE, dial 4", 0/20.000 psi/bar, Ac. Inox. 316, 1/2" NPT posterior, con glicerina.</t>
  </si>
  <si>
    <t>PN21100R6R11N</t>
  </si>
  <si>
    <t>Vacuómetro Winters Serie PN2 NACE, dial 6", 0/30"HG Vac/bar, Ac. Inox. 316, 1/2" NPT inferior, con glicerina.</t>
  </si>
  <si>
    <t>PN21101R1R11N</t>
  </si>
  <si>
    <t>Manovacuómetro Winters Serie PN2 NACE, dial 6", 30"/0/15 psi/bar, Ac. Inox. 316, 1/2" NPT inferior, con glicerina.</t>
  </si>
  <si>
    <t>PN21102R1R11N</t>
  </si>
  <si>
    <t>Manovacuómetro Winters Serie PN2 NACE, dial 6", 30"/0/30 psi/bar, Ac. Inox. 316, 1/2" NPT inferior, con glicerina.</t>
  </si>
  <si>
    <t>PN21103R1R11N</t>
  </si>
  <si>
    <t>Manovacuómetro Winters Serie PN2 NACE, dial 6", 30"/0/60 psi/bar, Ac. Inox. 316, 1/2" NPT inferior, con glicerina.</t>
  </si>
  <si>
    <t>PN21104R1R11N</t>
  </si>
  <si>
    <t>Manovacuómetro Winters Serie PN2 NACE, dial 6", 30"/0/100 psi/bar, Ac. Inox. 316, 1/2" NPT inferior, con glicerina.</t>
  </si>
  <si>
    <t>PN21105R1R11N</t>
  </si>
  <si>
    <t>Manovacuómetro Winters Serie PN2 NACE, dial 6", 30"/0/150 psi/bar, Ac. Inox. 316, 1/2" NPT inferior, con glicerina.</t>
  </si>
  <si>
    <t>PN21106R1R11N</t>
  </si>
  <si>
    <t>Manovacuómetro Winters Serie PN2 NACE, dial 6", 30"/0/200 psi/bar, Ac. Inox. 316, 1/2" NPT inferior, con glicerina.</t>
  </si>
  <si>
    <t>PN21107R1R11N</t>
  </si>
  <si>
    <t>Manovacuómetro Winters Serie PN2 NACE, dial 6", 30"/0/300 psi/bar, Ac. Inox. 316, 1/2" NPT inferior, con glicerina.</t>
  </si>
  <si>
    <t>PN21108R1R11N</t>
  </si>
  <si>
    <t>Manómetro Winters Serie PN2 NACE, dial 6", 0/15 psi/bar, Ac. Inox. 316, 1/2" NPT inferior, con glicerina.</t>
  </si>
  <si>
    <t>PN21109R1R11N</t>
  </si>
  <si>
    <t>Manómetro Winters Serie PN2 NACE, dial 6", 0/30 psi/bar, Ac. Inox. 316, 1/2" NPT inferior, con glicerina.</t>
  </si>
  <si>
    <t>PN21110R1R11N</t>
  </si>
  <si>
    <t>Manómetro Winters Serie PN2 NACE, dial 6", 0/60 psi/bar, Ac. Inox. 316, 1/2" NPT inferior, con glicerina.</t>
  </si>
  <si>
    <t>PN21111R1R11N</t>
  </si>
  <si>
    <t>Manómetro Winters Serie PN2 NACE, dial 6", 0/100 psi/bar, Ac. Inox. 316, 1/2" NPT inferior, con glicerina.</t>
  </si>
  <si>
    <t>PN21112R1R11N</t>
  </si>
  <si>
    <t>Manómetro Winters Serie PN2 NACE, dial 6", 0/160 psi/bar, Ac. Inox. 316, 1/2" NPT inferior, con glicerina.</t>
  </si>
  <si>
    <t>PN21113R1R11N</t>
  </si>
  <si>
    <t>Manómetro Winters Serie PN2 NACE, dial 6", 0/200 psi/bar, Ac. Inox. 316, 1/2" NPT inferior, con glicerina.</t>
  </si>
  <si>
    <t>PN21114R1R11N</t>
  </si>
  <si>
    <t>Manómetro Winters Serie PN2 NACE, dial 6", 0/300 psi/bar, Ac. Inox. 316, 1/2" NPT inferior, con glicerina.</t>
  </si>
  <si>
    <t>PN21115R1R11N</t>
  </si>
  <si>
    <t>Manómetro Winters Serie PN2 NACE, dial 6", 0/400 psi/bar, Ac. Inox. 316, 1/2" NPT inferior, con glicerina.</t>
  </si>
  <si>
    <t>PN21116R1R11N</t>
  </si>
  <si>
    <t>Manómetro Winters Serie PN2 NACE, dial 6", 0/600 psi/bar, Ac. Inox. 316, 1/2" NPT inferior, con glicerina.</t>
  </si>
  <si>
    <t>PN21117R1R11N</t>
  </si>
  <si>
    <t>Manómetro Winters Serie PN2 NACE, dial 6", 0/1.000 psi/bar, Ac. Inox. 316, 1/2" NPT inferior, con glicerina.</t>
  </si>
  <si>
    <t>PN21118R1R11N</t>
  </si>
  <si>
    <t>Manómetro Winters Serie PN2 NACE, dial 6", 0/1.500 psi/bar, Ac. Inox. 316, 1/2" NPT inferior, con glicerina.</t>
  </si>
  <si>
    <t>PN21119R1R11N</t>
  </si>
  <si>
    <t>Manómetro Winters Serie PN2 NACE, dial 6", 0/2.000 psi/bar, Ac. Inox. 316, 1/2" NPT inferior, con glicerina.</t>
  </si>
  <si>
    <t>PN21120R1R11N</t>
  </si>
  <si>
    <t>Manómetro Winters Serie PN2 NACE, dial 6", 0/3.000 psi/bar, Ac. Inox. 316, 1/2" NPT inferior, con glicerina.</t>
  </si>
  <si>
    <t>PN21121R1R11N</t>
  </si>
  <si>
    <t>Manómetro Winters Serie PN2 NACE, dial 6", 0/4.000 psi/bar, Ac. Inox. 316, 1/2" NPT inferior, con glicerina.</t>
  </si>
  <si>
    <t>PN21122R1R11N</t>
  </si>
  <si>
    <t>Manómetro Winters Serie PN2 NACE, dial 6", 0/5.000 psi/bar, Ac. Inox. 316, 1/2" NPT inferior, con glicerina.</t>
  </si>
  <si>
    <t>PN21123R1R11N</t>
  </si>
  <si>
    <t>Manómetro Winters Serie PN2 NACE, dial 6", 0/6.000 psi/bar, Ac. Inox. 316, 1/2" NPT inferior, con glicerina.</t>
  </si>
  <si>
    <t>PN21124R1R11N</t>
  </si>
  <si>
    <t>Manómetro Winters Serie PN2 NACE, dial 6", 0/10.000 psi/bar, Ac. Inox. 316, 1/2" NPT inferior, con glicerina.</t>
  </si>
  <si>
    <t>PN21125R1R11N</t>
  </si>
  <si>
    <t>Manómetro Winters Serie PN2 NACE, dial 6", 0/15.000 psi/bar, Ac. Inox. 316, 1/2" NPT inferior, con glicerina.</t>
  </si>
  <si>
    <t>PN21126R1R11N</t>
  </si>
  <si>
    <t>Manómetro Winters Serie PN2 NACE, dial 6", 0/20.000 psi/bar, Ac. Inox. 316, 1/2" NPT inferior, con glicerina.</t>
  </si>
  <si>
    <t>PN21217R1R11N</t>
  </si>
  <si>
    <t>Manómetro Winters Serie PN2 NACE, dial 6", 0/1.000 psi/bar, Ac. Inox. 316, 1/2" NPT posterior, con glicerina.</t>
  </si>
  <si>
    <t>PN21218R1R11N</t>
  </si>
  <si>
    <t>Manómetro Winters Serie PN2 NACE, dial 6", 0/1.500 psi/bar, Ac. Inox. 316, 1/2" NPT posterior, con glicerina.</t>
  </si>
  <si>
    <t>PN21219R1R11N</t>
  </si>
  <si>
    <t>Manómetro Winters Serie PN2 NACE, dial 6", 0/2.000 psi/bar, Ac. Inox. 316, 1/2" NPT posterior, con glicerina.</t>
  </si>
  <si>
    <t>PN21220R1R11N</t>
  </si>
  <si>
    <t>Manómetro Winters Serie PN2 NACE, dial 6", 0/3.000 psi/bar, Ac. Inox. 316, 1/2" NPT posterior, con glicerina.</t>
  </si>
  <si>
    <t>PN21221R1R11N</t>
  </si>
  <si>
    <t>Manómetro Winters Serie PN2 NACE, dial 6", 0/4.000 psi/bar, Ac. Inox. 316, 1/2" NPT posterior, con glicerina.</t>
  </si>
  <si>
    <t>PN21222R1R11N</t>
  </si>
  <si>
    <t>Manómetro Winters Serie PN2 NACE, dial 6", 0/5.000 psi/bar, Ac. Inox. 316, 1/2" NPT posterior, con glicerina.</t>
  </si>
  <si>
    <t>PN21223R1R11N</t>
  </si>
  <si>
    <t>Manómetro Winters Serie PN2 NACE, dial 6", 0/6.000 psi/bar, Ac. Inox. 316, 1/2" NPT posterior, con glicerina.</t>
  </si>
  <si>
    <t>PN21224R1R11N</t>
  </si>
  <si>
    <t>Manómetro Winters Serie PN2 NACE, dial 6", 0/10.000 psi/bar, Ac. Inox. 316, 1/2" NPT posterior, con glicerina.</t>
  </si>
  <si>
    <t>PN21225R1R11N</t>
  </si>
  <si>
    <t>Manómetro Winters Serie PN2 NACE, dial 6", 0/15.000 psi/bar, Ac. Inox. 316, 1/2" NPT posterior, con glicerina.</t>
  </si>
  <si>
    <t>PN21226R1R11N</t>
  </si>
  <si>
    <t>Manómetro Winters Serie PN2 NACE, dial 6", 0/20.000 psi/bar, Ac. Inox. 316, 1/2" NPT posterior, con glicerina.</t>
  </si>
  <si>
    <t>Accesorios Winters Brida posterior para manómetros de dial 4".</t>
  </si>
  <si>
    <t>Accesorios Winters Brida frontal para manómetros de dial 4".</t>
  </si>
  <si>
    <t>4NSS</t>
  </si>
  <si>
    <t>Accesorios Winters Caja de Ac. Inox. 316 para manómetros Serie PN2 de dial 4".</t>
  </si>
  <si>
    <t>Accesorios Winters Brida en U (pestaña) para manómetros de dial 4".</t>
  </si>
  <si>
    <t>PN2655ZRR6R11</t>
  </si>
  <si>
    <t>Vacuómetro Winters Serie PN2-ZR STABILIZR™ NACE, dial 4", 0/30"HG Vac/bar, Ac. Inox. 316, 1/2" NPT inferior, amortiguador seco.</t>
  </si>
  <si>
    <t>PN21044ZRR1R11</t>
  </si>
  <si>
    <t>Manovacuómetro Winters Serie PN2-ZR STABILIZR™ NACE, dial 4", 30"/0/15 psi/bar, Ac. Inox. 316, 1/2" NPT inferior, amortiguador seco.</t>
  </si>
  <si>
    <t>PN21045ZRR1R11</t>
  </si>
  <si>
    <t>Manovacuómetro Winters Serie PN2-ZR STABILIZR™ NACE, dial 4", 30"/0/30 psi/bar, Ac. Inox. 316, 1/2" NPT inferior, amortiguador seco.</t>
  </si>
  <si>
    <t>PN21046ZRR1R11</t>
  </si>
  <si>
    <t>Manovacuómetro Winters Serie PN2-ZR STABILIZR™ NACE, dial 4", 30"/0/60 psi/bar, Ac. Inox. 316, 1/2" NPT inferior, amortiguador seco.</t>
  </si>
  <si>
    <t>PN21047ZRR1R11</t>
  </si>
  <si>
    <t>Manovacuómetro Winters Serie PN2-ZR STABILIZR™ NACE, dial 4", 30"/0/100 psi/bar, Ac. Inox. 316, 1/2" NPT inferior, amortiguador seco.</t>
  </si>
  <si>
    <t>PN21048ZRR1R11</t>
  </si>
  <si>
    <t>Manovacuómetro Winters Serie PN2-ZR STABILIZR™ NACE, dial 4", 30"/0/150 psi/bar, Ac. Inox. 316, 1/2" NPT inferior, amortiguador seco.</t>
  </si>
  <si>
    <t>PN21050ZRR1R11</t>
  </si>
  <si>
    <t>Manovacuómetro Winters Serie PN2-ZR STABILIZR™ NACE, dial 4", 30"/0/200 psi/bar, Ac. Inox. 316, 1/2" NPT inferior, amortiguador seco.</t>
  </si>
  <si>
    <t>PN21051ZRR1R11</t>
  </si>
  <si>
    <t>Manovacuómetro Winters Serie PN2-ZR STABILIZR™ NACE, dial 4", 30"/0/300 psi/bar, Ac. Inox. 316, 1/2" NPT inferior, amortiguador seco.</t>
  </si>
  <si>
    <t>PN2656ZRR1R11</t>
  </si>
  <si>
    <t>Manómetro Winters Serie PN2-ZR STABILIZR™ NACE, dial 4", 0/15 psi/bar, Ac. Inox. 316, 1/2" NPT inferior, amortiguador seco.</t>
  </si>
  <si>
    <t>PN2657ZRR1R11</t>
  </si>
  <si>
    <t>Manómetro Winters Serie PN2-ZR STABILIZR™ NACE, dial 4", 0/30 psi/bar, Ac. Inox. 316, 1/2" NPT inferior, amortiguador seco.</t>
  </si>
  <si>
    <t>PN2658ZRR1R11</t>
  </si>
  <si>
    <t>Manómetro Winters Serie PN2-ZR STABILIZR™ NACE, dial 4", 0/60 psi/bar, Ac. Inox. 316, 1/2" NPT inferior, amortiguador seco.</t>
  </si>
  <si>
    <t>PN2659ZRR1R11</t>
  </si>
  <si>
    <t>Manómetro Winters Serie PN2-ZR STABILIZR™ NACE, dial 4", 0/100 psi/bar, Ac. Inox. 316, 1/2" NPT inferior, amortiguador seco.</t>
  </si>
  <si>
    <t>PN2660ZRR1R11</t>
  </si>
  <si>
    <t>Manómetro Winters Serie PN2-ZR STABILIZR™ NACE, dial 4", 0/160 psi/bar, Ac. Inox. 316, 1/2" NPT inferior, amortiguador seco.</t>
  </si>
  <si>
    <t>PN2661ZRR1R11</t>
  </si>
  <si>
    <t>Manómetro Winters Serie PN2-ZR STABILIZR™ NACE, dial 4", 0/200 psi/bar, Ac. Inox. 316, 1/2" NPT inferior, amortiguador seco.</t>
  </si>
  <si>
    <t>PN2662ZRR1R11</t>
  </si>
  <si>
    <t>Manómetro Winters Serie PN2-ZR STABILIZR™ NACE, dial 4", 0/300 psi/bar, Ac. Inox. 316, 1/2" NPT inferior, amortiguador seco.</t>
  </si>
  <si>
    <t>PN2666ZRR1R11</t>
  </si>
  <si>
    <t>Manómetro Winters Serie PN2-ZR STABILIZR™ NACE, dial 4", 0/400 psi/bar, Ac. Inox. 316, 1/2" NPT inferior, amortiguador seco.</t>
  </si>
  <si>
    <t>PN2663ZRR1R11</t>
  </si>
  <si>
    <t>Manómetro Winters Serie PN2-ZR STABILIZR™ NACE, dial 4", 0/600 psi/bar, Ac. Inox. 316, 1/2" NPT inferior, amortiguador seco.</t>
  </si>
  <si>
    <t>PN2664ZRR1R11</t>
  </si>
  <si>
    <t>Manómetro Winters Serie PN2-ZR STABILIZR™ NACE, dial 4", 0/1.000 psi/bar, Ac. Inox. 316, 1/2" NPT inferior, amortiguador seco.</t>
  </si>
  <si>
    <t>PN2665ZRR1R11</t>
  </si>
  <si>
    <t>Manómetro Winters Serie PN2-ZR STABILIZR™ NACE, dial 4", 0/1.500 psi/bar, Ac. Inox. 316, 1/2" NPT inferior, amortiguador seco.</t>
  </si>
  <si>
    <t>PN2667ZRR1R11</t>
  </si>
  <si>
    <t>Manómetro Winters Serie PN2-ZR STABILIZR™ NACE, dial 4", 0/2.000 psi/bar, Ac. Inox. 316, 1/2" NPT inferior, amortiguador seco.</t>
  </si>
  <si>
    <t>PN2668ZRR1R11</t>
  </si>
  <si>
    <t>Manómetro Winters Serie PN2-ZR STABILIZR™ NACE, dial 4", 0/3.000 psi/bar, Ac. Inox. 316, 1/2" NPT inferior, amortiguador seco.</t>
  </si>
  <si>
    <t>PN2669ZRR1R11</t>
  </si>
  <si>
    <t>Manómetro Winters Serie PN2-ZR STABILIZR™ NACE, dial 4", 0/5.000 psi/bar, Ac. Inox. 316, 1/2" NPT inferior, amortiguador seco.</t>
  </si>
  <si>
    <t>PN2675ZRR1R11</t>
  </si>
  <si>
    <t>Manómetro Winters Serie PN2-ZR STABILIZR™ NACE, dial 4", 0/6.000 psi/bar, Ac. Inox. 316, 1/2" NPT inferior, amortiguador seco.</t>
  </si>
  <si>
    <t>PN2670ZRR1R11</t>
  </si>
  <si>
    <t>Manómetro Winters Serie PN2-ZR STABILIZR™ NACE, dial 4", 0/10.000 psi/bar, Ac. Inox. 316, 1/2" NPT inferior, amortiguador seco.</t>
  </si>
  <si>
    <t>PN2671ZRR1R11</t>
  </si>
  <si>
    <t>Manómetro Winters Serie PN2-ZR STABILIZR™ NACE, dial 4", 0/15.000 psi/bar, Ac. Inox. 316, 1/2" NPT inferior, amortiguador seco.</t>
  </si>
  <si>
    <t>PN2672ZRR1R11</t>
  </si>
  <si>
    <t>Manómetro Winters Serie PN2-ZR STABILIZR™ NACE, dial 4", 0/20.000 psi/bar, Ac. Inox. 316, 1/2" NPT inferior, amortiguador seco.</t>
  </si>
  <si>
    <t>Accesorios Winters Caja de Ac. Inox. 316 para manómetros PFP de dial 4". (orden mínima de 5 unidades)</t>
  </si>
  <si>
    <t>PSC248R6R11</t>
  </si>
  <si>
    <t>Vacuómetro Winters Serie PSC, frente sólido, dial 4", 0/30"HG Vac/bar, Ac. Inox. 316, 1/4" NPT inferior, con carcasa de seguridad.</t>
  </si>
  <si>
    <t>PSC249R1R11</t>
  </si>
  <si>
    <t>Manovacuómetro Winters Serie PSC, frente sólido, dial 4", 30"/0/15 psi/bar, Ac. Inox. 316, 1/4" NPT inferior, con carcasa de seguridad.</t>
  </si>
  <si>
    <t>PSC257R1R11</t>
  </si>
  <si>
    <t>Manovacuómetro Winters Serie PSC, frente sólido, dial 4", 30"/0/30 psi/bar, Ac. Inox. 316, 1/4" NPT inferior, con carcasa de seguridad.</t>
  </si>
  <si>
    <t>PSC258R1R11</t>
  </si>
  <si>
    <t>Manovacuómetro Winters Serie PSC, frente sólido, dial 4", 30"/0/60 psi/bar, Ac. Inox. 316, 1/4" NPT inferior, con carcasa de seguridad.</t>
  </si>
  <si>
    <t>PSC259R1R11</t>
  </si>
  <si>
    <t>Manovacuómetro Winters Serie PSC, frente sólido, dial 4", 30"/0/100 psi/bar, Ac. Inox. 316, 1/4" NPT inferior, con carcasa de seguridad.</t>
  </si>
  <si>
    <t>PSC260R1R11</t>
  </si>
  <si>
    <t>Manovacuómetro Winters Serie PSC, frente sólido, dial 4", 30"/0/150 psi/bar, Ac. Inox. 316, 1/4" NPT inferior, con carcasa de seguridad.</t>
  </si>
  <si>
    <t>PSC261R1R11</t>
  </si>
  <si>
    <t>Manovacuómetro Winters Serie PSC, frente sólido, dial 4", 30"/0/200 psi/bar, Ac. Inox. 316, 1/4" NPT inferior, con carcasa de seguridad.</t>
  </si>
  <si>
    <t>PSC262R1R11</t>
  </si>
  <si>
    <t>Manovacuómetro Winters Serie PSC, frente sólido, dial 4", 30"/0/300 psi/bar, Ac. Inox. 316, 1/4" NPT inferior, con carcasa de seguridad.</t>
  </si>
  <si>
    <t>PSC263R1R11</t>
  </si>
  <si>
    <t>Manómetro Winters Serie PSC, frente sólido, dial 4", 0/15 psi/bar, Ac. Inox. 316, 1/4" NPT inferior, con carcasa de seguridad.</t>
  </si>
  <si>
    <t>PSC264R1R11</t>
  </si>
  <si>
    <t>Manómetro Winters Serie PSC, frente sólido, dial 4", 0/30 psi/bar, Ac. Inox. 316, 1/4" NPT inferior, con carcasa de seguridad.</t>
  </si>
  <si>
    <t>PSC265R1R11</t>
  </si>
  <si>
    <t>Manómetro Winters Serie PSC, frente sólido, dial 4", 0/60 psi/bar, Ac. Inox. 316, 1/4" NPT inferior, con carcasa de seguridad.</t>
  </si>
  <si>
    <t>PSC266R1R11</t>
  </si>
  <si>
    <t>Manómetro Winters Serie PSC, frente sólido, dial 4", 0/100 psi/bar, Ac. Inox. 316, 1/4" NPT inferior, con carcasa de seguridad.</t>
  </si>
  <si>
    <t>PSC267R1R11</t>
  </si>
  <si>
    <t>Manómetro Winters Serie PSC, frente sólido, dial 4", 0/160 psi/bar, Ac. Inox. 316, 1/4" NPT inferior, con carcasa de seguridad.</t>
  </si>
  <si>
    <t>PSC268R1R11</t>
  </si>
  <si>
    <t>Manómetro Winters Serie PSC, frente sólido, dial 4", 0/200 psi/bar, Ac. Inox. 316, 1/4" NPT inferior, con carcasa de seguridad.</t>
  </si>
  <si>
    <t>PSC269R1R11</t>
  </si>
  <si>
    <t>Manómetro Winters Serie PSC, frente sólido, dial 4", 0/300 psi/bar, Ac. Inox. 316, 1/4" NPT inferior, con carcasa de seguridad.</t>
  </si>
  <si>
    <t>PSC272R1R11</t>
  </si>
  <si>
    <t>Manómetro Winters Serie PSC, frente sólido, dial 4", 0/400 psi/bar, Ac. Inox. 316, 1/4" NPT inferior, con carcasa de seguridad.</t>
  </si>
  <si>
    <t>PSC273R1R11</t>
  </si>
  <si>
    <t>Manómetro Winters Serie PSC, frente sólido, dial 4", 0/600 psi/bar, Ac. Inox. 316, 1/4" NPT inferior, con carcasa de seguridad.</t>
  </si>
  <si>
    <t>PSC4870R6R11</t>
  </si>
  <si>
    <t>Vacuómetro Winters Serie PSC, frente sólido, dial 4", 0/30"HG Vac/bar, Ac. Inox. 316, 1/2" NPT inferior, con carcasa de seguridad.</t>
  </si>
  <si>
    <t>PSC4871R1R11</t>
  </si>
  <si>
    <t>Manovacuómetro Winters Serie PSC, frente sólido, dial 4", 30"/0/15 psi/bar, Ac. Inox. 316, 1/2" NPT inferior, con carcasa de seguridad.</t>
  </si>
  <si>
    <t>PSC4872R1R11</t>
  </si>
  <si>
    <t>Manovacuómetro Winters Serie PSC, frente sólido, dial 4", 30"/0/30 psi/bar, Ac. Inox. 316, 1/2" NPT inferior, con carcasa de seguridad.</t>
  </si>
  <si>
    <t>PSC4873R1R11</t>
  </si>
  <si>
    <t>Manovacuómetro Winters Serie PSC, frente sólido, dial 4", 30"/0/60 psi/bar, Ac. Inox. 316, 1/2" NPT inferior, con carcasa de seguridad.</t>
  </si>
  <si>
    <t>PSC4874R1R11</t>
  </si>
  <si>
    <t>Manovacuómetro Winters Serie PSC, frente sólido, dial 4", 30"/0/100 psi/bar, Ac. Inox. 316, 1/2" NPT inferior, con carcasa de seguridad.</t>
  </si>
  <si>
    <t>PSC4875R1R11</t>
  </si>
  <si>
    <t>Manovacuómetro Winters Serie PSC, frente sólido, dial 4", 30"/0/150 psi/bar, Ac. Inox. 316, 1/2" NPT inferior, con carcasa de seguridad.</t>
  </si>
  <si>
    <t>PSC4876R1R11</t>
  </si>
  <si>
    <t>Manovacuómetro Winters Serie PSC, frente sólido, dial 4", 30"/0/200 psi/bar, Ac. Inox. 316, 1/2" NPT inferior, con carcasa de seguridad.</t>
  </si>
  <si>
    <t>PSC4877R1R11</t>
  </si>
  <si>
    <t>Manovacuómetro Winters Serie PSC, frente sólido, dial 4", 30"/0/300 psi/bar, Ac. Inox. 316, 1/2" NPT inferior, con carcasa de seguridad.</t>
  </si>
  <si>
    <t>PSC4878R1R11</t>
  </si>
  <si>
    <t>Manómetro Winters Serie PSC, frente sólido, dial 4", 0/15 psi/bar, Ac. Inox. 316, 1/2" NPT inferior, con carcasa de seguridad.</t>
  </si>
  <si>
    <t>PSC4879R1R11</t>
  </si>
  <si>
    <t>Manómetro Winters Serie PSC, frente sólido, dial 4", 0/30 psi/bar, Ac. Inox. 316, 1/2" NPT inferior, con carcasa de seguridad.</t>
  </si>
  <si>
    <t>PSC4880R1R11</t>
  </si>
  <si>
    <t>Manómetro Winters Serie PSC, frente sólido, dial 4", 0/60 psi/bar, Ac. Inox. 316, 1/2" NPT inferior, con carcasa de seguridad.</t>
  </si>
  <si>
    <t>PSC4881R1R11</t>
  </si>
  <si>
    <t>Manómetro Winters Serie PSC, frente sólido, dial 4", 0/100 psi/bar, Ac. Inox. 316, 1/2" NPT inferior, con carcasa de seguridad.</t>
  </si>
  <si>
    <t>PSC4882R1R11</t>
  </si>
  <si>
    <t>Manómetro Winters Serie PSC, frente sólido, dial 4", 0/160 psi/bar, Ac. Inox. 316, 1/2" NPT inferior, con carcasa de seguridad.</t>
  </si>
  <si>
    <t>PSC4883R1R11</t>
  </si>
  <si>
    <t>Manómetro Winters Serie PSC, frente sólido, dial 4", 0/200 psi/bar, Ac. Inox. 316, 1/2" NPT inferior, con carcasa de seguridad.</t>
  </si>
  <si>
    <t>PSC4884R1R11</t>
  </si>
  <si>
    <t>Manómetro Winters Serie PSC, frente sólido, dial 4", 0/300 psi/bar, Ac. Inox. 316, 1/2" NPT inferior, con carcasa de seguridad.</t>
  </si>
  <si>
    <t>PSC4885R1R11</t>
  </si>
  <si>
    <t>Manómetro Winters Serie PSC, frente sólido, dial 4", 0/400 psi/bar, Ac. Inox. 316, 1/2" NPT inferior, con carcasa de seguridad.</t>
  </si>
  <si>
    <t>PSC4886R1R11</t>
  </si>
  <si>
    <t>Manómetro Winters Serie PSC, frente sólido, dial 4", 0/600 psi/bar, Ac. Inox. 316, 1/2" NPT inferior, con carcasa de seguridad.</t>
  </si>
  <si>
    <t>PSC274R1R11</t>
  </si>
  <si>
    <t>Manómetro Winters Serie PSC, frente sólido, dial 4", 0/1.000 psi/bar, Ac. Inox. 316, 1/2" NPT inferior, con carcasa de seguridad.</t>
  </si>
  <si>
    <t>PSC275R1R11</t>
  </si>
  <si>
    <t>Manómetro Winters Serie PSC, frente sólido, dial 4", 0/1.500 psi/bar, Ac. Inox. 316, 1/2" NPT inferior, con carcasa de seguridad.</t>
  </si>
  <si>
    <t>PSC276R1R11</t>
  </si>
  <si>
    <t>Manómetro Winters Serie PSC, frente sólido, dial 4", 0/2.000 psi/bar, Ac. Inox. 316, 1/2" NPT inferior, con carcasa de seguridad.</t>
  </si>
  <si>
    <t>PSC277R1R11</t>
  </si>
  <si>
    <t>Manómetro Winters Serie PSC, frente sólido, dial 4", 0/3.000 psi/bar, Ac. Inox. 316, 1/2" NPT inferior, con carcasa de seguridad.</t>
  </si>
  <si>
    <t>PSC278R1R11</t>
  </si>
  <si>
    <t>Manómetro Winters Serie PSC, frente sólido, dial 4", 0/5.000 psi/bar, Ac. Inox. 316, 1/2" NPT inferior, con carcasa de seguridad.</t>
  </si>
  <si>
    <t>PSC498R1R11</t>
  </si>
  <si>
    <t>Manómetro Winters Serie PSC, frente sólido, dial 4", 0/10.000 psi/bar, Ac. Inox. 316, 1/2" NPT inferior, con carcasa de seguridad.</t>
  </si>
  <si>
    <t>PSC499R1R11</t>
  </si>
  <si>
    <t>Manómetro Winters Serie PSC, frente sólido, dial 4", 0/15.000 psi/bar, Ac. Inox. 316, 1/2" NPT inferior, con carcasa de seguridad.</t>
  </si>
  <si>
    <t>PSC4887R1R11</t>
  </si>
  <si>
    <t>Manómetro Winters Serie PSC, frente sólido, dial 4", 0/20.000 psi/bar, Ac. Inox. 316, 1/2" NPT inferior, con carcasa de seguridad.</t>
  </si>
  <si>
    <t>PSC281R6R11</t>
  </si>
  <si>
    <t>Vacuómetro Winters Serie PSC, frente sólido, dial 4,5", 0/30"HG Vac/bar, Ac. Inox. 316, 1/4,5" NPT inferior, con carcasa de seguridad.</t>
  </si>
  <si>
    <t>PSC282R1R11</t>
  </si>
  <si>
    <t>Manovacuómetro Winters Serie PSC, frente sólido, dial 4,5", 30"/0/15 psi/bar, Ac. Inox. 316, 1/4,5" NPT inferior, con carcasa de seguridad.</t>
  </si>
  <si>
    <t>PSC358R1R11</t>
  </si>
  <si>
    <t>Manovacuómetro Winters Serie PSC, frente sólido, dial 4,5", 30"/0/30 psi/bar, Ac. Inox. 316, 1/4,5" NPT inferior, con carcasa de seguridad.</t>
  </si>
  <si>
    <t>PSC359R1R11</t>
  </si>
  <si>
    <t>Manovacuómetro Winters Serie PSC, frente sólido, dial 4,5", 30"/0/60 psi/bar, Ac. Inox. 316, 1/4,5" NPT inferior, con carcasa de seguridad.</t>
  </si>
  <si>
    <t>PSC362R1R11</t>
  </si>
  <si>
    <t>Manovacuómetro Winters Serie PSC, frente sólido, dial 4,5", 30"/0/100 psi/bar, Ac. Inox. 316, 1/4,5" NPT inferior, con carcasa de seguridad.</t>
  </si>
  <si>
    <t>PSC363R1R11</t>
  </si>
  <si>
    <t>Manovacuómetro Winters Serie PSC, frente sólido, dial 4,5", 30"/0/150 psi/bar, Ac. Inox. 316, 1/4,5" NPT inferior, con carcasa de seguridad.</t>
  </si>
  <si>
    <t>PSC364R1R11</t>
  </si>
  <si>
    <t>Manovacuómetro Winters Serie PSC, frente sólido, dial 4,5", 30"/0/200 psi/bar, Ac. Inox. 316, 1/4,5" NPT inferior, con carcasa de seguridad.</t>
  </si>
  <si>
    <t>PSC365R1R11</t>
  </si>
  <si>
    <t>Manovacuómetro Winters Serie PSC, frente sólido, dial 4,5", 30"/0/300 psi/bar, Ac. Inox. 316, 1/4,5" NPT inferior, con carcasa de seguridad.</t>
  </si>
  <si>
    <t>PSC366R1R11</t>
  </si>
  <si>
    <t>Manómetro Winters Serie PSC, frente sólido, dial 4,5", 0/15 psi/bar, Ac. Inox. 316, 1/4,5" NPT inferior, con carcasa de seguridad.</t>
  </si>
  <si>
    <t>PSC367R1R11</t>
  </si>
  <si>
    <t>Manómetro Winters Serie PSC, frente sólido, dial 4,5", 0/30 psi/bar, Ac. Inox. 316, 1/4,5" NPT inferior, con carcasa de seguridad.</t>
  </si>
  <si>
    <t>PSC368R1R11</t>
  </si>
  <si>
    <t>Manómetro Winters Serie PSC, frente sólido, dial 4,5", 0/60 psi/bar, Ac. Inox. 316, 1/4,5" NPT inferior, con carcasa de seguridad.</t>
  </si>
  <si>
    <t>PSC369R1R11</t>
  </si>
  <si>
    <t>Manómetro Winters Serie PSC, frente sólido, dial 4,5", 0/100 psi/bar, Ac. Inox. 316, 1/4,5" NPT inferior, con carcasa de seguridad.</t>
  </si>
  <si>
    <t>PSC370R1R11</t>
  </si>
  <si>
    <t>Manómetro Winters Serie PSC, frente sólido, dial 4,5", 0/160 psi/bar, Ac. Inox. 316, 1/4,5" NPT inferior, con carcasa de seguridad.</t>
  </si>
  <si>
    <t>PSC371R1R11</t>
  </si>
  <si>
    <t>Manómetro Winters Serie PSC, frente sólido, dial 4,5", 0/200 psi/bar, Ac. Inox. 316, 1/4,5" NPT inferior, con carcasa de seguridad.</t>
  </si>
  <si>
    <t>PSC372R1R11</t>
  </si>
  <si>
    <t>Manómetro Winters Serie PSC, frente sólido, dial 4,5", 0/300 psi/bar, Ac. Inox. 316, 1/4,5" NPT inferior, con carcasa de seguridad.</t>
  </si>
  <si>
    <t>PSC373R1R11</t>
  </si>
  <si>
    <t>Manómetro Winters Serie PSC, frente sólido, dial 4,5", 0/400 psi/bar, Ac. Inox. 316, 1/4,5" NPT inferior, con carcasa de seguridad.</t>
  </si>
  <si>
    <t>PSC374R1R11</t>
  </si>
  <si>
    <t>Manómetro Winters Serie PSC, frente sólido, dial 4,5", 0/600 psi/bar, Ac. Inox. 316, 1/4,5" NPT inferior, con carcasa de seguridad.</t>
  </si>
  <si>
    <t>PSC4888R6R11</t>
  </si>
  <si>
    <t>Vacuómetro Winters Serie PSC, frente sólido, dial 4,5", 0/30"HG Vac/bar, Ac. Inox. 316, 1/2" NPT inferior, con carcasa de seguridad.</t>
  </si>
  <si>
    <t>PSC4889R1R11</t>
  </si>
  <si>
    <t>Manovacuómetro Winters Serie PSC, frente sólido, dial 4,5", 30"/0/15 psi/bar, Ac. Inox. 316, 1/2" NPT inferior, con carcasa de seguridad.</t>
  </si>
  <si>
    <t>PSC4890R1R11</t>
  </si>
  <si>
    <t>Manovacuómetro Winters Serie PSC, frente sólido, dial 4,5", 30"/0/30 psi/bar, Ac. Inox. 316, 1/2" NPT inferior, con carcasa de seguridad.</t>
  </si>
  <si>
    <t>PSC4891R1R11</t>
  </si>
  <si>
    <t>Manovacuómetro Winters Serie PSC, frente sólido, dial 4,5", 30"/0/60 psi/bar, Ac. Inox. 316, 1/2" NPT inferior, con carcasa de seguridad.</t>
  </si>
  <si>
    <t>PSC4892R1R11</t>
  </si>
  <si>
    <t>Manovacuómetro Winters Serie PSC, frente sólido, dial 4,5", 30"/0/100 psi/bar, Ac. Inox. 316, 1/2" NPT inferior, con carcasa de seguridad.</t>
  </si>
  <si>
    <t>PSC4893R1R11</t>
  </si>
  <si>
    <t>Manovacuómetro Winters Serie PSC, frente sólido, dial 4,5", 30"/0/150 psi/bar, Ac. Inox. 316, 1/2" NPT inferior, con carcasa de seguridad.</t>
  </si>
  <si>
    <t>PSC4894R1R11</t>
  </si>
  <si>
    <t>Manovacuómetro Winters Serie PSC, frente sólido, dial 4,5", 30"/0/200 psi/bar, Ac. Inox. 316, 1/2" NPT inferior, con carcasa de seguridad.</t>
  </si>
  <si>
    <t>PSC4895R1R11</t>
  </si>
  <si>
    <t>Manovacuómetro Winters Serie PSC, frente sólido, dial 4,5", 30"/0/300 psi/bar, Ac. Inox. 316, 1/2" NPT inferior, con carcasa de seguridad.</t>
  </si>
  <si>
    <t>PSC4896R1R11</t>
  </si>
  <si>
    <t>Manómetro Winters Serie PSC, frente sólido, dial 4,5", 0/15 psi/bar, Ac. Inox. 316, 1/2" NPT inferior, con carcasa de seguridad.</t>
  </si>
  <si>
    <t>PSC4897R1R11</t>
  </si>
  <si>
    <t>Manómetro Winters Serie PSC, frente sólido, dial 4,5", 0/30 psi/bar, Ac. Inox. 316, 1/2" NPT inferior, con carcasa de seguridad.</t>
  </si>
  <si>
    <t>PSC4898R1R11</t>
  </si>
  <si>
    <t>Manómetro Winters Serie PSC, frente sólido, dial 4,5", 0/60 psi/bar, Ac. Inox. 316, 1/2" NPT inferior, con carcasa de seguridad.</t>
  </si>
  <si>
    <t>PSC4899R1R11</t>
  </si>
  <si>
    <t>Manómetro Winters Serie PSC, frente sólido, dial 4,5", 0/100 psi/bar, Ac. Inox. 316, 1/2" NPT inferior, con carcasa de seguridad.</t>
  </si>
  <si>
    <t>PSC4900R1R11</t>
  </si>
  <si>
    <t>Manómetro Winters Serie PSC, frente sólido, dial 4,5", 0/160 psi/bar, Ac. Inox. 316, 1/2" NPT inferior, con carcasa de seguridad.</t>
  </si>
  <si>
    <t>PSC4901R1R11</t>
  </si>
  <si>
    <t>Manómetro Winters Serie PSC, frente sólido, dial 4,5", 0/200 psi/bar, Ac. Inox. 316, 1/2" NPT inferior, con carcasa de seguridad.</t>
  </si>
  <si>
    <t>PSC4902R1R11</t>
  </si>
  <si>
    <t>Manómetro Winters Serie PSC, frente sólido, dial 4,5", 0/300 psi/bar, Ac. Inox. 316, 1/2" NPT inferior, con carcasa de seguridad.</t>
  </si>
  <si>
    <t>PSC4903R1R11</t>
  </si>
  <si>
    <t>Manómetro Winters Serie PSC, frente sólido, dial 4,5", 0/400 psi/bar, Ac. Inox. 316, 1/2" NPT inferior, con carcasa de seguridad.</t>
  </si>
  <si>
    <t>PSC4904R1R11</t>
  </si>
  <si>
    <t>Manómetro Winters Serie PSC, frente sólido, dial 4,5", 0/600 psi/bar, Ac. Inox. 316, 1/2" NPT inferior, con carcasa de seguridad.</t>
  </si>
  <si>
    <t>PSC375R1R11</t>
  </si>
  <si>
    <t>Manómetro Winters Serie PSC, frente sólido, dial 4,5", 0/1.000 psi/bar, Ac. Inox. 316, 1/2" NPT inferior, con carcasa de seguridad.</t>
  </si>
  <si>
    <t>PSC376R1R11</t>
  </si>
  <si>
    <t>Manómetro Winters Serie PSC, frente sólido, dial 4,5", 0/1.500 psi/bar, Ac. Inox. 316, 1/2" NPT inferior, con carcasa de seguridad.</t>
  </si>
  <si>
    <t>PSC377R1R11</t>
  </si>
  <si>
    <t>Manómetro Winters Serie PSC, frente sólido, dial 4,5", 0/2.000 psi/bar, Ac. Inox. 316, 1/2" NPT inferior, con carcasa de seguridad.</t>
  </si>
  <si>
    <t>PSC378R1R11</t>
  </si>
  <si>
    <t>Manómetro Winters Serie PSC, frente sólido, dial 4,5", 0/3.000 psi/bar, Ac. Inox. 316, 1/2" NPT inferior, con carcasa de seguridad.</t>
  </si>
  <si>
    <t>PSC379R1R11</t>
  </si>
  <si>
    <t>Manómetro Winters Serie PSC, frente sólido, dial 4,5", 0/5.000 psi/bar, Ac. Inox. 316, 1/2" NPT inferior, con carcasa de seguridad.</t>
  </si>
  <si>
    <t>PSC380R1R11</t>
  </si>
  <si>
    <t>Manómetro Winters Serie PSC, frente sólido, dial 4,5", 0/10.000 psi/bar, Ac. Inox. 316, 1/2" NPT inferior, con carcasa de seguridad.</t>
  </si>
  <si>
    <t>PSC381R1R11</t>
  </si>
  <si>
    <t>Manómetro Winters Serie PSC, frente sólido, dial 4,5", 0/15.000 psi/bar, Ac. Inox. 316, 1/2" NPT inferior, con carcasa de seguridad.</t>
  </si>
  <si>
    <t>PSC4905R1R11</t>
  </si>
  <si>
    <t>Manómetro Winters Serie PSC, frente sólido, dial 4,5", 0/20.000 psi/bar, Ac. Inox. 316, 1/2" NPT inferior, con carcasa de seguridad.</t>
  </si>
  <si>
    <t>PSC283R6R11</t>
  </si>
  <si>
    <t>Vacuómetro Winters Serie PSC, frente sólido, dial 6", 0/30"HG Vac/bar, Ac. Inox. 316, 1/4" NPT inferior, con carcasa de seguridad.</t>
  </si>
  <si>
    <t>PSC284R1R11</t>
  </si>
  <si>
    <t>Manovacuómetro Winters Serie PSC, frente sólido, dial 6", 30"/0/15 psi/bar, Ac. Inox. 316, 1/4" NPT inferior, con carcasa de seguridad.</t>
  </si>
  <si>
    <t>PSC285R1R11</t>
  </si>
  <si>
    <t>Manovacuómetro Winters Serie PSC, frente sólido, dial 6", 30"/0/30 psi/bar, Ac. Inox. 316, 1/4" NPT inferior, con carcasa de seguridad.</t>
  </si>
  <si>
    <t>PSC286R1R11</t>
  </si>
  <si>
    <t>Manovacuómetro Winters Serie PSC, frente sólido, dial 6", 30"/0/60 psi/bar, Ac. Inox. 316, 1/4" NPT inferior, con carcasa de seguridad.</t>
  </si>
  <si>
    <t>PSC287R1R11</t>
  </si>
  <si>
    <t>Manovacuómetro Winters Serie PSC, frente sólido, dial 6", 30"/0/100 psi/bar, Ac. Inox. 316, 1/4" NPT inferior, con carcasa de seguridad.</t>
  </si>
  <si>
    <t>PSC289R1R11</t>
  </si>
  <si>
    <t>Manovacuómetro Winters Serie PSC, frente sólido, dial 6", 30"/0/150 psi/bar, Ac. Inox. 316, 1/4" NPT inferior, con carcasa de seguridad.</t>
  </si>
  <si>
    <t>PSC296R1R11</t>
  </si>
  <si>
    <t>Manovacuómetro Winters Serie PSC, frente sólido, dial 6", 30"/0/200 psi/bar, Ac. Inox. 316, 1/4" NPT inferior, con carcasa de seguridad.</t>
  </si>
  <si>
    <t>PSC297R1R11</t>
  </si>
  <si>
    <t>Manovacuómetro Winters Serie PSC, frente sólido, dial 6", 30"/0/300 psi/bar, Ac. Inox. 316, 1/4" NPT inferior, con carcasa de seguridad.</t>
  </si>
  <si>
    <t>PSC298R1R11</t>
  </si>
  <si>
    <t>Manómetro Winters Serie PSC, frente sólido, dial 6", 0/15 psi/bar, Ac. Inox. 316, 1/4" NPT inferior, con carcasa de seguridad.</t>
  </si>
  <si>
    <t>PSC299R1R11</t>
  </si>
  <si>
    <t>Manómetro Winters Serie PSC, frente sólido, dial 6", 0/30 psi/bar, Ac. Inox. 316, 1/4" NPT inferior, con carcasa de seguridad.</t>
  </si>
  <si>
    <t>PSC307R1R11</t>
  </si>
  <si>
    <t>Manómetro Winters Serie PSC, frente sólido, dial 6", 0/60 psi/bar, Ac. Inox. 316, 1/4" NPT inferior, con carcasa de seguridad.</t>
  </si>
  <si>
    <t>PSC308R1R11</t>
  </si>
  <si>
    <t>Manómetro Winters Serie PSC, frente sólido, dial 6", 0/100 psi/bar, Ac. Inox. 316, 1/4" NPT inferior, con carcasa de seguridad.</t>
  </si>
  <si>
    <t>PSC309R1R11</t>
  </si>
  <si>
    <t>Manómetro Winters Serie PSC, frente sólido, dial 6", 0/160 psi/bar, Ac. Inox. 316, 1/4" NPT inferior, con carcasa de seguridad.</t>
  </si>
  <si>
    <t>PSC317R1R11</t>
  </si>
  <si>
    <t>Manómetro Winters Serie PSC, frente sólido, dial 6", 0/200 psi/bar, Ac. Inox. 316, 1/4" NPT inferior, con carcasa de seguridad.</t>
  </si>
  <si>
    <t>PSC318R1R11</t>
  </si>
  <si>
    <t>Manómetro Winters Serie PSC, frente sólido, dial 6", 0/300 psi/bar, Ac. Inox. 316, 1/4" NPT inferior, con carcasa de seguridad.</t>
  </si>
  <si>
    <t>PSC335R1R11</t>
  </si>
  <si>
    <t>Manómetro Winters Serie PSC, frente sólido, dial 6", 0/400 psi/bar, Ac. Inox. 316, 1/4" NPT inferior, con carcasa de seguridad.</t>
  </si>
  <si>
    <t>PSC336R1R11</t>
  </si>
  <si>
    <t>Manómetro Winters Serie PSC, frente sólido, dial 6", 0/600 psi/bar, Ac. Inox. 316, 1/4" NPT inferior, con carcasa de seguridad.</t>
  </si>
  <si>
    <t>PSC4906R6R11</t>
  </si>
  <si>
    <t>Vacuómetro Winters Serie PSC, frente sólido, dial 6", 0/30"HG Vac/bar, Ac. Inox. 316, 1/2" NPT inferior, con carcasa de seguridad.</t>
  </si>
  <si>
    <t>PSC4907R1R11</t>
  </si>
  <si>
    <t>Manovacuómetro Winters Serie PSC, frente sólido, dial 6", 30"/0/15 psi/bar, Ac. Inox. 316, 1/2" NPT inferior, con carcasa de seguridad.</t>
  </si>
  <si>
    <t>PSC4908R1R11</t>
  </si>
  <si>
    <t>Manovacuómetro Winters Serie PSC, frente sólido, dial 6", 30"/0/30 psi/bar, Ac. Inox. 316, 1/2" NPT inferior, con carcasa de seguridad.</t>
  </si>
  <si>
    <t>PSC4909R1R11</t>
  </si>
  <si>
    <t>Manovacuómetro Winters Serie PSC, frente sólido, dial 6", 30"/0/60 psi/bar, Ac. Inox. 316, 1/2" NPT inferior, con carcasa de seguridad.</t>
  </si>
  <si>
    <t>PSC4910R1R11</t>
  </si>
  <si>
    <t>Manovacuómetro Winters Serie PSC, frente sólido, dial 6", 30"/0/100 psi/bar, Ac. Inox. 316, 1/2" NPT inferior, con carcasa de seguridad.</t>
  </si>
  <si>
    <t>PSC4911R1R11</t>
  </si>
  <si>
    <t>Manovacuómetro Winters Serie PSC, frente sólido, dial 6", 30"/0/150 psi/bar, Ac. Inox. 316, 1/2" NPT inferior, con carcasa de seguridad.</t>
  </si>
  <si>
    <t>PSC4912R1R11</t>
  </si>
  <si>
    <t>Manovacuómetro Winters Serie PSC, frente sólido, dial 6", 30"/0/200 psi/bar, Ac. Inox. 316, 1/2" NPT inferior, con carcasa de seguridad.</t>
  </si>
  <si>
    <t>PSC4913R1R11</t>
  </si>
  <si>
    <t>Manovacuómetro Winters Serie PSC, frente sólido, dial 6", 30"/0/300 psi/bar, Ac. Inox. 316, 1/2" NPT inferior, con carcasa de seguridad.</t>
  </si>
  <si>
    <t>PSC4914R1R11</t>
  </si>
  <si>
    <t>Manómetro Winters Serie PSC, frente sólido, dial 6", 0/15 psi/bar, Ac. Inox. 316, 1/2" NPT inferior, con carcasa de seguridad.</t>
  </si>
  <si>
    <t>PSC4915R1R11</t>
  </si>
  <si>
    <t>Manómetro Winters Serie PSC, frente sólido, dial 6", 0/30 psi/bar, Ac. Inox. 316, 1/2" NPT inferior, con carcasa de seguridad.</t>
  </si>
  <si>
    <t>PSC4916R1R11</t>
  </si>
  <si>
    <t>Manómetro Winters Serie PSC, frente sólido, dial 6", 0/60 psi/bar, Ac. Inox. 316, 1/2" NPT inferior, con carcasa de seguridad.</t>
  </si>
  <si>
    <t>PSC4917R1R11</t>
  </si>
  <si>
    <t>Manómetro Winters Serie PSC, frente sólido, dial 6", 0/100 psi/bar, Ac. Inox. 316, 1/2" NPT inferior, con carcasa de seguridad.</t>
  </si>
  <si>
    <t>PSC4918R1R11</t>
  </si>
  <si>
    <t>Manómetro Winters Serie PSC, frente sólido, dial 6", 0/160 psi/bar, Ac. Inox. 316, 1/2" NPT inferior, con carcasa de seguridad.</t>
  </si>
  <si>
    <t>PSC4919R1R11</t>
  </si>
  <si>
    <t>Manómetro Winters Serie PSC, frente sólido, dial 6", 0/200 psi/bar, Ac. Inox. 316, 1/2" NPT inferior, con carcasa de seguridad.</t>
  </si>
  <si>
    <t>PSC4920R1R11</t>
  </si>
  <si>
    <t>Manómetro Winters Serie PSC, frente sólido, dial 6", 0/300 psi/bar, Ac. Inox. 316, 1/2" NPT inferior, con carcasa de seguridad.</t>
  </si>
  <si>
    <t>PSC4921R1R11</t>
  </si>
  <si>
    <t>Manómetro Winters Serie PSC, frente sólido, dial 6", 0/400 psi/bar, Ac. Inox. 316, 1/2" NPT inferior, con carcasa de seguridad.</t>
  </si>
  <si>
    <t>PSC4922R1R11</t>
  </si>
  <si>
    <t>Manómetro Winters Serie PSC, frente sólido, dial 6", 0/600 psi/bar, Ac. Inox. 316, 1/2" NPT inferior, con carcasa de seguridad.</t>
  </si>
  <si>
    <t>PSC337R1R11</t>
  </si>
  <si>
    <t>Manómetro Winters Serie PSC, frente sólido, dial 6", 0/1.000 psi/bar, Ac. Inox. 316, 1/2" NPT inferior, con carcasa de seguridad.</t>
  </si>
  <si>
    <t>PSC338R1R11</t>
  </si>
  <si>
    <t>Manómetro Winters Serie PSC, frente sólido, dial 6", 0/1.500 psi/bar, Ac. Inox. 316, 1/2" NPT inferior, con carcasa de seguridad.</t>
  </si>
  <si>
    <t>PSC339R1R11</t>
  </si>
  <si>
    <t>Manómetro Winters Serie PSC, frente sólido, dial 6", 0/2.000 psi/bar, Ac. Inox. 316, 1/2" NPT inferior, con carcasa de seguridad.</t>
  </si>
  <si>
    <t>PSC347R1R11</t>
  </si>
  <si>
    <t>Manómetro Winters Serie PSC, frente sólido, dial 6", 0/3.000 psi/bar, Ac. Inox. 316, 1/2" NPT inferior, con carcasa de seguridad.</t>
  </si>
  <si>
    <t>PSC348R1R11</t>
  </si>
  <si>
    <t>Manómetro Winters Serie PSC, frente sólido, dial 6", 0/5.000 psi/bar, Ac. Inox. 316, 1/2" NPT inferior, con carcasa de seguridad.</t>
  </si>
  <si>
    <t>PSC502R1R11</t>
  </si>
  <si>
    <t>Manómetro Winters Serie PSC, frente sólido, dial 6", 0/10.000 psi/bar, Ac. Inox. 316, 1/2" NPT inferior, con carcasa de seguridad.</t>
  </si>
  <si>
    <t>PSC504R1R11</t>
  </si>
  <si>
    <t>Manómetro Winters Serie PSC, frente sólido, dial 6", 0/15.000 psi/bar, Ac. Inox. 316, 1/2" NPT inferior, con carcasa de seguridad.</t>
  </si>
  <si>
    <t>PSC4923R1R11</t>
  </si>
  <si>
    <t>Manómetro Winters Serie PSC, frente sólido, dial 6", 0/20.000 psi/bar, Ac. Inox. 316, 1/2" NPT inferior, con carcasa de seguridad.</t>
  </si>
  <si>
    <t>PSG40105R12R99</t>
  </si>
  <si>
    <t>Manómetro Winters Serie PSG SCHAEFFER, dial 4", 0/25 mbar - 0/250 mmH2O, Ac. Inox. 316, 1/2" NPT inferior.</t>
  </si>
  <si>
    <t>PSG40105R8</t>
  </si>
  <si>
    <t>Manómetro Winters Serie PSG SCHAEFFER, dial 4", 0/10" H2O, Ac. Inox. 316, 1/2" NPT inferior.</t>
  </si>
  <si>
    <t>PSG40305R8</t>
  </si>
  <si>
    <t>Manómetro Winters Serie PSG SCHAEFFER, dial 4", 0/30" H2O, Ac. Inox. 316, 1/2" NPT inferior.</t>
  </si>
  <si>
    <t>PSG40605R8</t>
  </si>
  <si>
    <t>Manómetro Winters Serie PSG SCHAEFFER, dial 4", 0/60" H2O, Ac. Inox. 316, 1/2" NPT inferior.</t>
  </si>
  <si>
    <t>PSG401005R8</t>
  </si>
  <si>
    <t>Manómetro Winters Serie PSG SCHAEFFER, dial 4", 0/100" H2O, Ac. Inox. 316, 1/2" NPT inferior.</t>
  </si>
  <si>
    <t>PSG401605R8</t>
  </si>
  <si>
    <t>Manómetro Winters Serie PSG SCHAEFFER, dial 4", 0/160" H2O, Ac. Inox. 316, 1/2" NPT inferior.</t>
  </si>
  <si>
    <t>PSG402005R8</t>
  </si>
  <si>
    <t>Manómetro Winters Serie PSG SCHAEFFER, dial 4", 0/200" H2O, Ac. Inox. 316, 1/2" NPT inferior.</t>
  </si>
  <si>
    <t>PSG403005R8</t>
  </si>
  <si>
    <t>Manómetro Winters Serie PSG SCHAEFFER, dial 4", 0/300" H2O, Ac. Inox. 316, 1/2" NPT inferior.</t>
  </si>
  <si>
    <t>PSG4105R1R11</t>
  </si>
  <si>
    <t>Manómetro Winters Serie PSG SCHAEFFER, dial 4", 0/10 psi/bar - 0/0,7 bar, Ac. Inox. 316, 1/2" NPT inferior.</t>
  </si>
  <si>
    <t>PSG4155R1R11</t>
  </si>
  <si>
    <t>Manómetro Winters Serie PSG SCHAEFFER, dial 4", 0/15 psi/bar - 0/1 bar, Ac. Inox. 316, 1/2" NPT inferior.</t>
  </si>
  <si>
    <t>PSG4305R1R11</t>
  </si>
  <si>
    <t>Manómetro Winters Serie PSG SCHAEFFER, dial 4", 0/30 psi/bar - 0/2 bar, Ac. Inox. 316, 1/2" NPT inferior.</t>
  </si>
  <si>
    <t>PSG4605R1R11</t>
  </si>
  <si>
    <t>Manómetro Winters Serie PSG SCHAEFFER, dial 4", 0/60 psi/bar - 0/4 bar, Ac. Inox. 316, 1/2" NPT inferior.</t>
  </si>
  <si>
    <t>PSG41005R1R11</t>
  </si>
  <si>
    <t>Manómetro Winters Serie PSG SCHAEFFER, dial 4", 0/100 psi/bar - 0/7 bar, Ac. Inox. 316, 1/2" NPT inferior.</t>
  </si>
  <si>
    <t>PSG41605R1R11</t>
  </si>
  <si>
    <t>Manómetro Winters Serie PSG SCHAEFFER, dial 4", 0/160 psi/bar - 0/11 bar, Ac. Inox. 316, 1/2" NPT inferior.</t>
  </si>
  <si>
    <t>PSG42005R1R11</t>
  </si>
  <si>
    <t>Manómetro Winters Serie PSG SCHAEFFER, dial 4", 0/200 psi/bar - 0/14 bar, Ac. Inox. 316, 1/2" NPT inferior.</t>
  </si>
  <si>
    <t>PSG43005R1R11</t>
  </si>
  <si>
    <t>Manómetro Winters Serie PSG SCHAEFFER, dial 4", 0/300 psi/bar - 0/20 bar, Ac. Inox. 316, 1/2" NPT inferior.</t>
  </si>
  <si>
    <t>PSG60105R1R11</t>
  </si>
  <si>
    <t>Manómetro Winters Serie PSG SCHAEFFER, dial 6", 0/10" H2O, Ac. Inox. 316, 1/2" NPT inferior.</t>
  </si>
  <si>
    <t>PSG60305R1R11</t>
  </si>
  <si>
    <t>Manómetro Winters Serie PSG SCHAEFFER, dial 6", 0/30" H2O, Ac. Inox. 316, 1/2" NPT inferior.</t>
  </si>
  <si>
    <t>PSG60605R1R11</t>
  </si>
  <si>
    <t>Manómetro Winters Serie PSG SCHAEFFER, dial 6", 0/60" H2O, Ac. Inox. 316, 1/2" NPT inferior.</t>
  </si>
  <si>
    <t>PSG601005R1R11</t>
  </si>
  <si>
    <t>Manómetro Winters Serie PSG SCHAEFFER, dial 6", 0/100" H2O, Ac. Inox. 316, 1/2" NPT inferior.</t>
  </si>
  <si>
    <t>PSG601605R1R11</t>
  </si>
  <si>
    <t>Manómetro Winters Serie PSG SCHAEFFER, dial 6", 0/160" H2O, Ac. Inox. 316, 1/2" NPT inferior.</t>
  </si>
  <si>
    <t>PSG602005R1R11</t>
  </si>
  <si>
    <t>Manómetro Winters Serie PSG SCHAEFFER, dial 6", 0/200" H2O, Ac. Inox. 316, 1/2" NPT inferior.</t>
  </si>
  <si>
    <t>PSG603005R1R11</t>
  </si>
  <si>
    <t>Manómetro Winters Serie PSG SCHAEFFER, dial 6", 0/300" H2O, Ac. Inox. 316, 1/2" NPT inferior.</t>
  </si>
  <si>
    <t>PSG6105R1R11</t>
  </si>
  <si>
    <t>Manómetro Winters Serie PSG SCHAEFFER, dial 6", 0/10 psi/bar - 0/0,7 bar, Ac. Inox. 316, 1/2" NPT inferior.</t>
  </si>
  <si>
    <t>PSG6155R1R11</t>
  </si>
  <si>
    <t>Manómetro Winters Serie PSG SCHAEFFER, dial 6", 0/15 psi/bar - 0/1 bar, Ac. Inox. 316, 1/2" NPT inferior.</t>
  </si>
  <si>
    <t>PSG6305R1R11</t>
  </si>
  <si>
    <t>Manómetro Winters Serie PSG SCHAEFFER, dial 6", 0/30 psi/bar - 0/2 bar, Ac. Inox. 316, 1/2" NPT inferior.</t>
  </si>
  <si>
    <t>PSG6605R1R11</t>
  </si>
  <si>
    <t>Manómetro Winters Serie PSG SCHAEFFER, dial 6", 0/60 psi/bar - 0/4 bar, Ac. Inox. 316, 1/2" NPT inferior.</t>
  </si>
  <si>
    <t>PSG61005R1R11</t>
  </si>
  <si>
    <t>Manómetro Winters Serie PSG SCHAEFFER, dial 6", 0/100 psi/bar - 0/7 bar, Ac. Inox. 316, 1/2" NPT inferior.</t>
  </si>
  <si>
    <t>PSG61605R1R11</t>
  </si>
  <si>
    <t>Manómetro Winters Serie PSG SCHAEFFER, dial 6", 0/160 psi/bar - 0/11 bar, Ac. Inox. 316, 1/2" NPT inferior.</t>
  </si>
  <si>
    <t>PSG62005R1R11</t>
  </si>
  <si>
    <t>Manómetro Winters Serie PSG SCHAEFFER, dial 6", 0/200 psi/bar - 0/14 bar, Ac. Inox. 316, 1/2" NPT inferior.</t>
  </si>
  <si>
    <t>PSG63005R1R11</t>
  </si>
  <si>
    <t>Manómetro Winters Serie PSG SCHAEFFER, dial 6", 0/300 psi/bar - 0/20 bar, Ac. Inox. 316, 1/2" NPT inferior.</t>
  </si>
  <si>
    <t>4" VIDRIO DE SEGURIDAD PARA PREMIUM LF</t>
  </si>
  <si>
    <t>PFG1730</t>
  </si>
  <si>
    <t>Manovacuómetro Winters Serie PFG, dial 2,5", -30"Hg/0/120 psi (retardo 250), 1/8" NPT inferior, caja plastica azul, internos de latón, seco.</t>
  </si>
  <si>
    <t>PFG1730R3R99/R134-R22-R438A</t>
  </si>
  <si>
    <t>Manovacuómetro Winters Serie PFG R134/R22/R438A, dial 2,5", -1/0/8,3 kg/cm2/Retard/°C, 1/8" NPT inferior, caja plastica azul, internos de latón, seco.</t>
  </si>
  <si>
    <t>PFG1731</t>
  </si>
  <si>
    <t>Manovacuómetro Winters Serie PFG, dial 2,5", -30"Hg/0/300 psi, 1/8" NPT inferior, caja plástica azul, internos de latón, seco.</t>
  </si>
  <si>
    <t>PFG1732</t>
  </si>
  <si>
    <t>Manómetro Winters Serie PFG, dial 2,5", 0/500 psi, 1/8" NPT inferior, caja plástica roja, internos de latón, seco.</t>
  </si>
  <si>
    <t>PFG1732R3R99/R134-R22-R438A</t>
  </si>
  <si>
    <t>Manómetro Winters Serie PFG R134/R22/R438A, dial 2,5", 0/35 kg/cm2/Retard/°C, 1/8" NPT inferior, caja plastica roja, internos de latón, seco</t>
  </si>
  <si>
    <t>PFG1730R3R99-R22</t>
  </si>
  <si>
    <t>Manovacuómetro Winters Serie PFG R22, 2,5", -1/0/12,5 kg/cm2/°C, 1/4" NPT inferior, caja Ac. Inox. 304, internos Ac. Inox. 316, con glicerina.</t>
  </si>
  <si>
    <t>PFG1730R3R99-R404</t>
  </si>
  <si>
    <t>Manovacuómetro Winters Serie PFG R404, 2,5", -1/0/12,5 kg/cm2/°C, 1/4" NPT inferior, caja Ac. Inox. 304, internos Ac. Inox. 316, con glicerina.</t>
  </si>
  <si>
    <t>PFG1731R3R99-R22</t>
  </si>
  <si>
    <t>Manovacuómetro Winters Serie PFG R404, 2,5", -1/0/25 kg/cm2/°C, 1/4" NPT inferior, caja Ac. Inox. 304, internos Ac. Inox. 316, con glicerina.</t>
  </si>
  <si>
    <t>PFG1731R3R99-R404</t>
  </si>
  <si>
    <t>PFG1734</t>
  </si>
  <si>
    <t>Manovacuómetro Winters Serie PFG, dial 4", 30"/0/120 psi, 1/2" NPT inferior, caja y aro de acero al carbono negro, internos de latón, con glicerina.</t>
  </si>
  <si>
    <t>PFG1735</t>
  </si>
  <si>
    <t>Manovacuómetro Winters Serie PFG, dial 4", 30"/0/300 psi, 1/2" NPT inferior, caja y aro de acero al carbono negro,  internos de latón, con glicerina.</t>
  </si>
  <si>
    <t>PFG1736</t>
  </si>
  <si>
    <t>Manómetro Winters Serie PFG, dial 4", 0/500 psi, 1/2" NPT inferior, caja y aro de acero al carbono negro, internos de latón, con glicerina.</t>
  </si>
  <si>
    <t>PFG1734R3R99/R22</t>
  </si>
  <si>
    <t>Manovacuómetro Winters Serie PFG R22, 4", -1/0/12,5 kg/cm2/°C, 1/2" NPT inferior, caja Ac. Inox. 304, internos Ac. Inox. 316, con glicerina.</t>
  </si>
  <si>
    <t>PFG1734R3R99/R404</t>
  </si>
  <si>
    <t>Manovacuómetro Winters Serie PFG R404, 4", -1/0/12,5 kg/cm2/°C, 1/2" NPT inferior, caja Ac. Inox. 304, internos Ac. Inox. 316, con glicerina.</t>
  </si>
  <si>
    <t>PFG1735R3R99-R22</t>
  </si>
  <si>
    <t>Manovacuómetro Winters Serie PFG R22, -1/0/25Kg/cm2/°C, 4", 1/2" NPT inferior, caja Ac. Inox. 304, internos Ac. Inox. 316, con glicerina.</t>
  </si>
  <si>
    <t>PFG1735R3R99-R404</t>
  </si>
  <si>
    <t>Manovacuómetro Winters Serie PFG R404, -1/0/25Kg/cm2/°C, 4", 1/2" NPT inferior, caja Ac. Inox. 304, internos Ac. Inox. 316, con glicerina.</t>
  </si>
  <si>
    <t>PFG1738</t>
  </si>
  <si>
    <t>Manovacuómetro Winters Serie PFG, dial 6", 30"/0/120 psi, 1/2" NPT inferior, caja y aro de acero al carbono negro, internos de latón, con glicerina.</t>
  </si>
  <si>
    <t>PFG1739</t>
  </si>
  <si>
    <t>Manovacuómetro Winters Serie PFG, dial 6", 30"/0/300 psi, 1/2" NPT inferior, caja y aro de acero al carbono negro, internos de latón,con glicerina.</t>
  </si>
  <si>
    <t>PFG1740</t>
  </si>
  <si>
    <t>Manómetro Winters Serie PFG, dial 6", 0/500 psi, 1/2" NPT inferior, caja y aro de acero al carbono negro, internos de latón, con glicerina.</t>
  </si>
  <si>
    <t>PFE3932R1</t>
  </si>
  <si>
    <t>Manómetro Winters Serie PFE SPRINKLER AIRE, dial 3,5", 0/80 RETARD/250 psi, 1/4"NPT inferior, clase ±3-2-3%, Aprobación UL y FM.</t>
  </si>
  <si>
    <t>PFE3933</t>
  </si>
  <si>
    <t>Manómetro Winters Serie PFE SPRINKLER AGUA, dial 3,5", 0/300 psi/kPA 1/4"NPT inferior, clase ±3-2-3%, Aprobación UL y FM.</t>
  </si>
  <si>
    <t>PFE3933R1</t>
  </si>
  <si>
    <t>Manómetro Winters Serie PFE SPRINKLER AGUA, dial 3,5", 0/300 psi 1/4"NPT inferior, clase ±3-2-3%, Aprobación UL y FM.</t>
  </si>
  <si>
    <t>PFE3935R1</t>
  </si>
  <si>
    <t>Manómetro Winters Serie PFE SPRINKLER AIRE/AGUA, dial 3,5", 0/300 psi 1/4"NPT inferior, clase ±3-2-3%, Aprobación UL y FM.</t>
  </si>
  <si>
    <t>PFE3935</t>
  </si>
  <si>
    <t>Manómetro Winters Serie PFE SPRINKLER AIRE/AGUA, dial 3,5", 0/300 psi/kPa 1/4"NPT inferior, clase ±3-2-3%, Aprobación UL y FM.</t>
  </si>
  <si>
    <t>Logo customizado del cliente</t>
  </si>
  <si>
    <t>PFE customizado con logo Winters y del cliente (cantidad miníma 100 unidades)</t>
  </si>
  <si>
    <t>PWL2720R1R11</t>
  </si>
  <si>
    <t>Manómetro de soldadura Winters Serie PWL, dial 2", 0/30 psi &amp; 0/2 bar, 1/4" NPT inferior, caja latón con acabado mate, internos de latón, clase ±3-2-3% ANSI/ASME Grado B, certificación UL.</t>
  </si>
  <si>
    <t>PWL2721R1R11</t>
  </si>
  <si>
    <t>Manómetro de soldadura Winters Serie PWL, dial 2", 0/60 psi &amp; 0/4 bar, 1/4" NPT inferior, caja latón con acabado mate, internos de latón, clase ±3-2-3% ANSI/ASME Grado B, certificación UL.</t>
  </si>
  <si>
    <t>PWL2722R1R11</t>
  </si>
  <si>
    <t>Manómetro de soldadura Winters Serie PWL, dial 2", 0/100 psi &amp; 0/7 bar, 1/4" NPT inferior, caja latón con acabado mate, internos de latón, clase ±3-2-3% ANSI/ASME Grado B, certificación UL.</t>
  </si>
  <si>
    <t>PWL2723R1R11</t>
  </si>
  <si>
    <t>Manómetro de soldadura Winters Serie PWL, dial 2", 0/160 psi &amp; 0/11 bar, 1/4" NPT inferior, caja latón con acabado mate, internos de latón, clase ±3-2-3% ANSI/ASME Grado B, certificación UL.</t>
  </si>
  <si>
    <t>PWL2724R1R11</t>
  </si>
  <si>
    <t>Manómetro de soldadura Winters Serie PWL, dial 2", 0/200 psi &amp; 0/14 bar, 1/4" NPT inferior, caja latón con acabado mate, internos de latón, clase ±3-2-3% ANSI/ASME Grado B, certificación UL.</t>
  </si>
  <si>
    <t>PWL2726R1R11</t>
  </si>
  <si>
    <t>Manómetro de soldadura Winters Serie PWL, dial 2", 0/400 psi &amp; 0/30 bar, 1/4" NPT inferior, caja latón con acabado mate, internos de latón, clase ±3-2-3% ANSI/ASME Grado B, certificación UL.</t>
  </si>
  <si>
    <t>PWL2727R1R11</t>
  </si>
  <si>
    <t>Manómetro de soldadura Winters Serie PWL, dial 2", 0/600 psi &amp; 0/40 bar, 1/4" NPT inferior, caja latón con acabado mate, internos de latón, clase ±3-2-3% ANSI/ASME Grado B, certificación UL.</t>
  </si>
  <si>
    <t>PWL2731R1R11</t>
  </si>
  <si>
    <t>Manómetro de soldadura Winters Serie PWL, dial 2", 0/3.000 psi &amp; 0/200 bar, 1/4" NPT inferior, caja latón con acabado mate, internos de latón, clase ±3-2-3% ANSI/ASME Grado B, certificación UL.</t>
  </si>
  <si>
    <t>PWL2732R1R11</t>
  </si>
  <si>
    <t>Manómetro de soldadura Winters Serie PWL, dial 2", 0/4.000 psi &amp; 0/275 bar, 1/4" NPT inferior, caja latón con acabado mate, internos de latón, clase ±3-2-3% ANSI/ASME Grado B, certificación UL.</t>
  </si>
  <si>
    <t>PWL2820R1R11</t>
  </si>
  <si>
    <t>Manómetro de soldadura Winters Serie PWL, dial 2,5", 0/30 psi &amp; 0/2 bar, 1/4" NPT inferior, caja latón con acabado mate, internos de latón, clase ±3-2-3% ANSI/ASME Grado B, certificación UL.</t>
  </si>
  <si>
    <t>PWL2821R1R11</t>
  </si>
  <si>
    <t>Manómetro de soldadura Winters Serie PWL, dial 2,5", 0/60 psi &amp; 0/4 bar, 1/4" NPT inferior, caja latón con acabado mate, internos de latón, clase ±3-2-3% ANSI/ASME Grado B, certificación UL.</t>
  </si>
  <si>
    <t>PWL2822R1R11</t>
  </si>
  <si>
    <t>Manómetro de soldadura Winters Serie PWL, dial 2,5", 0/100 psi &amp; 0/7 bar, 1/4" NPT inferior, caja latón con acabado mate, internos de latón, clase ±3-2-3% ANSI/ASME Grado B, certificación UL.</t>
  </si>
  <si>
    <t>PWL2824R1R11</t>
  </si>
  <si>
    <t>Manómetro de soldadura Winters Serie PWL, dial 2,5", 0/200 psi &amp; 0/14 bar, 1/4" NPT inferior, caja latón con acabado mate, internos de latón, clase ±3-2-3% ANSI/ASME Grado B, certificación UL.</t>
  </si>
  <si>
    <t>PWL2826R1R11</t>
  </si>
  <si>
    <t>Manómetro de soldadura Winters Serie PWL, dial 2,5", 0/400 psi &amp; 0/30 bar, 1/4" NPT inferior, caja latón con acabado mate, internos de latón, clase ±3-2-3% ANSI/ASME Grado B, certificación UL.</t>
  </si>
  <si>
    <t>PWL2832R1R11</t>
  </si>
  <si>
    <t>Manómetro de soldadura Winters Serie PWL, dial 2,5", 0/4.000 psi &amp; 0/275 bar, 1/4" NPT inferior, caja latón con acabado mate, internos de latón, clase ±3-2-3% ANSI/ASME Grado B, certificación UL.</t>
  </si>
  <si>
    <t>PEU1399UCR6R11</t>
  </si>
  <si>
    <t>Vacuómetro Winters Serie PEU, dial 1,5", -30/0"Hg &amp; -1/0 bar, 1/8" NPT posterior, caja acero, internos latón, clase ±3-2-3%, con grampa de sujeción.</t>
  </si>
  <si>
    <t>PEU1398UCR1R11</t>
  </si>
  <si>
    <t>Manómetro Winters Serie PEU, dial 1,5", 0/15 psi &amp; 0/1 bar, 1/8" NPT posterior, caja acero, internos latón, clase ±3-2-3%, con grampa de sujeción.</t>
  </si>
  <si>
    <t>PEU1400UCR1R11</t>
  </si>
  <si>
    <t>Manómetro Winters Serie PEU, dial 1,5", 0/30 psi &amp; 0/2 bar, 1/8" NPT posterior, caja acero, internos latón, clase ±3-2-3%, con grampa de sujeción.</t>
  </si>
  <si>
    <t>PEU1401UCR1R11</t>
  </si>
  <si>
    <t>Manómetro Winters Serie PEU, dial 1,5", 0/60 psi &amp; 0/4 bar, 1/8" NPT posterior, caja acero, internos latón, clase ±3-2-3%, con grampa de sujeción.</t>
  </si>
  <si>
    <t>PEU1420UCR1R11</t>
  </si>
  <si>
    <t>Manómetro Winters Serie PEU, dial 1,5", 0/100 psi &amp; 0/7 bar, 1/8" NPT posterior, caja acero, internos latón, clase ±3-2-3%, con grampa de sujeción.</t>
  </si>
  <si>
    <t>PEU1421UCR1R11</t>
  </si>
  <si>
    <t>Manómetro Winters Serie PEU, dial 1,5", 0/160 psi &amp; 0/11 bar, 1/8" NPT posterior, caja acero, internos latón, clase ±3-2-3%, con grampa de sujeción.</t>
  </si>
  <si>
    <t>PEU1422UCR1R11</t>
  </si>
  <si>
    <t>Manómetro Winters Serie PEU, dial 1,5", 0/200 psi &amp; 0/14 bar, 1/8" NPT posterior, caja acero, internos latón, clase ±3-2-3%, con grampa de sujeción.</t>
  </si>
  <si>
    <t>PEU1423UCR1R11</t>
  </si>
  <si>
    <t>Manómetro Winters Serie PEU, dial 1,5", 0/300 psi &amp; 0/20 bar, 1/8" NPT posterior, caja acero, internos latón, clase ±3-2-3%, con grampa de sujeción.</t>
  </si>
  <si>
    <t>PEU1396UCR6R11</t>
  </si>
  <si>
    <t>Vacuómetro Winters Serie PEU, dial 2", -30/0"Hg &amp; -1/0 bar, 1/8" NPT, posterior caja acero, internos latón, clase ±3-2-3%, con grampa de sujeción.</t>
  </si>
  <si>
    <t>PEU1396R7UCSL</t>
  </si>
  <si>
    <t>Vacuómetro Winters Serie PEU, dial 2", -760 mmHg/0, 1/8" NPT, posterior caja acero, internos latón, clase ±3-2-3%, con grampa de sujeción. FREE OIL</t>
  </si>
  <si>
    <t>PEU1397UCR1R11</t>
  </si>
  <si>
    <t>Manómetro Winters Serie PEU, dial 2", 0/15 psi &amp; 0/1 bar, 1/8" NPT, posterior caja acero, internos latón, clase ±3-2-3%, con grampa de sujeción.</t>
  </si>
  <si>
    <t>PEU1402UCR1R11</t>
  </si>
  <si>
    <t>Manómetro Winters Serie PEU, dial 2", 0/30 psi &amp; 0/2 bar, 1/8" NPT, posterior caja acero, internos latón, clase ±3-2-3%, con grampa de sujeción.</t>
  </si>
  <si>
    <t>PEU1404UCCAFE</t>
  </si>
  <si>
    <t>Manómetro Winters Serie PEU, dial 2", 0/3 kg/cm2, 1/8" NPT, posterior caja acero, internos latón, clase ±3-2-3%, con grampa de sujeción. FREE OIL</t>
  </si>
  <si>
    <t>PEU1404UCR1R11</t>
  </si>
  <si>
    <t>Manómetro Winters Serie PEU, dial 2", 0/60 psi &amp; 0/4 bar, 1/8" NPT, posterior caja acero, internos latón, clase ±3-2-3%, con grampa de sujeción.</t>
  </si>
  <si>
    <t>PEU1406UCR1R11</t>
  </si>
  <si>
    <t>Manómetro Winters Serie PEU, dial 2", 0/100 psi &amp; 0/7 bar, 1/8" NPT, posterior caja acero, internos latón, clase ±3-2-3%, con grampa de sujeción.</t>
  </si>
  <si>
    <t>PEU1408R3R1UCSL</t>
  </si>
  <si>
    <t>Manómetro Winters Serie PEU, dial 2", 0/10 Kg/cm2 &amp; 0/150 psi, 1/8" NPT, posterior caja acero, internos latón, clase ±3-2-3%, con grampa de sujeción. FREE OIL</t>
  </si>
  <si>
    <t>PEU1408UCR1R11</t>
  </si>
  <si>
    <t>Manómetro Winters Serie PEU, dial 2", 0/160 psi &amp; 0/11 bar, 1/8" NPT, posterior caja acero, internos latón, clase ±3-2-3%, con grampa de sujeción.</t>
  </si>
  <si>
    <t>PEU1412UCR1R11</t>
  </si>
  <si>
    <t>Manómetro Winters Serie PEU, dial 2", 0/200 psi &amp; 0/14 bar, 1/8" NPT, posterior caja acero, internos latón, clase ±3-2-3%, con grampa de sujeción.</t>
  </si>
  <si>
    <t>PEU1413UCR1R11</t>
  </si>
  <si>
    <t>Manómetro Winters Serie PEU, dial 2", 0/300 psi &amp; 0/20 bar, 1/8" NPT, posterior caja acero, internos latón, clase ±3-2-3%, con grampa de sujeción.</t>
  </si>
  <si>
    <t>PEU1413UCCAFE</t>
  </si>
  <si>
    <t>Manometro Winters Serie PEU dial 2", 0/20 Kg/cm2, 1/8 NPT posterior, internos latón, clase ±3-2-3%, con grampa de sujeción., p/maq. café, p/bomba</t>
  </si>
  <si>
    <t>PEU1413UCCAFE-BSPT</t>
  </si>
  <si>
    <t>Manometro Winters Serie PEU dial 2", 0/20 Kg/cm2, 1/8 BSPT posterior, internos latón, clase ±3-2-3%, con grampa de sujeción., p/maq. café, p/bomba</t>
  </si>
  <si>
    <t>PEU1428UCR6R11</t>
  </si>
  <si>
    <t>Manómetro Winters Serie PEU, dial 2", -30/0"Hg &amp; -1/0 bar, 1/4" NPT posterior, caja acero, internos latón, clase ±3-2-3%, con grampa de sujeción.</t>
  </si>
  <si>
    <t>PEU1429UCR1R11</t>
  </si>
  <si>
    <t>Manómetro Winters Serie PEU, dial 2", 0/15 psi &amp; 0/1 bar, 1/4" NPT posterior, caja acero, internos latón, clase ±3-2-3%, con grampa de sujeción.</t>
  </si>
  <si>
    <t>PEU1403UCR1R11</t>
  </si>
  <si>
    <t>Manómetro Winters Serie PEU, dial 2", 0/30 psi &amp; 0/2 bar, 1/4" NPT posterior, caja acero, internos latón, clase ±3-2-3%, con grampa de sujeción.</t>
  </si>
  <si>
    <t>PEU1405UCR1R11</t>
  </si>
  <si>
    <t>Manómetro Winters Serie PEU, dial 2", 0/60 psi &amp; 0/4 bar, 1/4" NPT posterior, caja acero, internos latón, clase ±3-2-3%, con grampa de sujeción.</t>
  </si>
  <si>
    <t>PEU1407UCR1R11</t>
  </si>
  <si>
    <t>Manómetro Winters Serie PEU, dial 2", 0/100 psi &amp; 0/7 bar, 1/4" NPT posterior, caja acero, internos latón, clase ±3-2-3%, con grampa de sujeción.</t>
  </si>
  <si>
    <t>PEU1409UCR1R11</t>
  </si>
  <si>
    <t>Manómetro Winters Serie PEU, dial 2", 0/160 psi &amp; 0/11 bar, 1/4" NPT posterior, caja acero, internos latón, clase ±3-2-3%, con grampa de sujeción.</t>
  </si>
  <si>
    <t>PEU1410UCR1R11</t>
  </si>
  <si>
    <t>Manómetro Winters Serie PEU, dial 2", 0/200 psi &amp; 0/14 bar, 1/4" NPT posterior, caja acero, internos latón, clase ±3-2-3%, con grampa de sujeción.</t>
  </si>
  <si>
    <t>PEU1411UCR1R11</t>
  </si>
  <si>
    <t>Manómetro Winters Serie PEU, dial 2", 0/300 psi &amp; 0/20 bar, 1/4" NPT posterior, caja acero, internos latón, clase ±3-2-3%, con grampa de sujeción.</t>
  </si>
  <si>
    <t>PEU1431UCR6R11</t>
  </si>
  <si>
    <t>Vacuómetro Winters Serie PEU, dial 2,5", -30/0"Hg &amp; -1/0 bar, 1/4" NPT posterior, caja acero, internos latón, clase ±3-2-3%, con grampa de sujeción.</t>
  </si>
  <si>
    <t>PEU1431UCR7R6</t>
  </si>
  <si>
    <t>Vacuómetro Winters Serie PEU, dial 2,5", -760/0 mmHg &amp; -30/0"Hg, 1/4" NPT posterior, caja acero, internos latón, clase ±3-2-3%, con grampa de sujeción.</t>
  </si>
  <si>
    <t>PEU1431UCR7R6-BSPT</t>
  </si>
  <si>
    <t>Vacuómetro Winters Serie PEU, dial 2,5", -760/0 mmHg &amp; -30/0"Hg, 1/4" BSPT posterior, caja acero, internos latón, clase ±3-2-3%, con grampa de sujeción.</t>
  </si>
  <si>
    <t>PEU1436UCR1R11</t>
  </si>
  <si>
    <t>Manómetro Winters Serie PEU, dial 2,5", 0/15 psi &amp; 0/1 bar, 1/4" NPT posterior, caja acero, internos latón, clase ±3-2-3%, con grampa de sujeción.</t>
  </si>
  <si>
    <t>PEU1436UCR3R1</t>
  </si>
  <si>
    <t>Manómetro Winters Serie PEU, dial 2,5", 0/1 Kg/cm2 &amp; 0/15 psi, 1/4" NPT posterior, caja acero, internos latón, clase ±3-2-3%, con grampa de sujeción.</t>
  </si>
  <si>
    <t>PEU1436UCR3R1-BSPT</t>
  </si>
  <si>
    <t>Manómetro Winters Serie PEU, dial 2,5", 0/1 Kg/cm2 &amp; 0/15 psi, 1/4" BSPT posterior, caja acero, internos latón, clase ±3-2-3%, con grampa de sujeción.</t>
  </si>
  <si>
    <t>PEU1437UCR1R11</t>
  </si>
  <si>
    <t>Manómetro Winters Serie PEU, dial 2,5", 0/30 psi &amp; 0/2 bar, 1/4" NPT posterior, caja acero, internos latón, clase ±3-2-3%, con grampa de sujeción.</t>
  </si>
  <si>
    <t>PEU1437UCR3R1</t>
  </si>
  <si>
    <t>Manómetro Winters Serie PEU, dial 2,5", 0/2 Kg/cm2 &amp; 0/30 psi, 1/4" NPT posterior,caja acero, internos latón, clase ±3-2-3%, con grampa de sujeción.</t>
  </si>
  <si>
    <t>PEU1437UCR3R1-BSPT</t>
  </si>
  <si>
    <t>Manómetro Winters Serie PEU, dial 2,5", 0/2 Kg/cm2 &amp; 0/30 psi, 1/4" BSPT posterior,caja acero, internos latón, clase ±3-2-3%, con grampa de sujeción.</t>
  </si>
  <si>
    <t>PEU1438UCR1R11</t>
  </si>
  <si>
    <t>Manómetro Winters Serie PEU, dial 2,5", 0/60 psi &amp; 0/4 bar, 1/4" NPT posterior, caja acero, internos latón, clase ±3-2-3%, con grampa de sujeción.</t>
  </si>
  <si>
    <t>PEU1438UCR3R1</t>
  </si>
  <si>
    <t>Manómetro Winters Serie PEU, dial 2,5", 0/4 Kg/cm2 &amp; 0/60 psi, 1/4" NPT posterior, caja acero, internos latón, clase ±3-2-3%, con grampa de sujeción.</t>
  </si>
  <si>
    <t>PEU1438UCR3R1-BSPT</t>
  </si>
  <si>
    <t>Manómetro Winters Serie PEU, dial 2,5", 0/4 Kg/cm2 &amp; 0/60 psi, 1/4" BSPT posterior, caja acero, internos latón, clase ±3-2-3%, con grampa de sujeción.</t>
  </si>
  <si>
    <t>PEU1439UCR1R11</t>
  </si>
  <si>
    <t>Manómetro Winters Serie PEU, dial 2,5", 0/100 psi &amp; 0/7 bar, 1/4" NPT posterior, caja acero, internos latón, clase ±3-2-3%, con grampa de sujeción.</t>
  </si>
  <si>
    <t>PEU1439UCR3R1</t>
  </si>
  <si>
    <t>Manómetro Winters Serie PEU, dial 2,5", 0/7 Kg/cm2 &amp; 0/100 psi, 1/4" NPT posterior, caja acero, internos latón, clase ±3-2-3%, con grampa de sujeción.</t>
  </si>
  <si>
    <t>PEU1439UCR3R1-BSPT</t>
  </si>
  <si>
    <t>Manómetro Winters Serie PEU, dial 2,5", 0/7 Kg/cm2 &amp; 0/100 psi, 1/4" BSPT posterior, caja acero, internos latón, clase ±3-2-3%, con grampa de sujeción.</t>
  </si>
  <si>
    <t>PEU1440UCR3R1</t>
  </si>
  <si>
    <t>Manómetro Winters Serie PEU, dial 2,5", 0/10 Kg/cm2 &amp; 0/150 psi, 1/4" NPT posterior, caja acero, internos latón, clase ±3-2-3%, con grampa de sujeción.</t>
  </si>
  <si>
    <t>PEU1440UCR3R1-BSPT</t>
  </si>
  <si>
    <t>Manómetro Winters Serie PEU, dial 2,5", 0/10 Kg/cm2 &amp; 0/150 psi, 1/4" BSPT posterior, caja acero, internos latón, clase ±3-2-3%, con grampa de sujeción.</t>
  </si>
  <si>
    <t>PEU1440UCR1R11</t>
  </si>
  <si>
    <t>Manómetro Winters Serie PEU, dial 2,5", 0/160 psi &amp; 0/11 bar, 1/4" NPT posterior, caja acero, internos latón, clase ±3-2-3%, con grampa de sujeción.</t>
  </si>
  <si>
    <t>PEU1441UCR1R11</t>
  </si>
  <si>
    <t>Manómetro Winters Serie PEU, dial 2,5", 0/200 psi &amp; 0/14 bar, 1/4" NPT posterior, caja acero, internos latón, clase ±3-2-3%, con grampa de sujeción.</t>
  </si>
  <si>
    <t>PEU1441UCR3R1</t>
  </si>
  <si>
    <t>Manómetro Winters Serie PEU, dial 2,5", 0/14 Kg/cm2 &amp; 0/200 psi, 1/4" NPT posterior, caja acero, internos latón, clase ±3-2-3%, con grampa de sujeción.</t>
  </si>
  <si>
    <t>PEU1441UCR3R1-BSPT</t>
  </si>
  <si>
    <t>Manómetro Winters Serie PEU, dial 2,5", 0/14 Kg/cm2 &amp; 0/200 psi, 1/4" BSPT posterior, caja acero, internos latón, clase ±3-2-3%, con grampa de sujeción.</t>
  </si>
  <si>
    <t>PEU1442UCR1R11</t>
  </si>
  <si>
    <t>Manómetro Winters Serie PEU, dial 2,5", 0/300 psi &amp; 0/20 bar, 1/4" NPT posterior, caja acero, internos latón, clase ±3-2-3%, con grampa de sujeción.</t>
  </si>
  <si>
    <t>PEU1442UCR3R1</t>
  </si>
  <si>
    <t>Manómetro Winters Serie PEU, dial 2,5", 0/20 Kg/cm2 &amp; 0/300 psi, 1/4" NPT posterior, caja acero, internos latón, clase ±3-2-3%, con grampa de sujeción.</t>
  </si>
  <si>
    <t>PEU1442UCR3R1-BSPT</t>
  </si>
  <si>
    <t>Manómetro Winters Serie PEU, dial 2,5", 0/20 Kg/cm2 &amp; 0/300 psi, 1/4" BSPT posterior, caja acero, internos latón, clase ±3-2-3%, con grampa de sujeción.</t>
  </si>
  <si>
    <t>P1S234R6R11</t>
  </si>
  <si>
    <t>Vacuómetro Winters Serie P1S, dial 3,5", -30/0"Hg &amp; -1/0 bar, 1/4" NPT inferior, caja acero, internos latón, clase ±1%, seco.</t>
  </si>
  <si>
    <t>P1S230R1R11</t>
  </si>
  <si>
    <t>Manovacuómetro Winters Serie P1S, dial 3,5", -30"Hg/0/15 psi &amp; -1/0/1 bar, 1/4" NPT inferior, caja acero, internos latón, clase ±1%, seco.</t>
  </si>
  <si>
    <t>P1S231R1R11</t>
  </si>
  <si>
    <t>Manovacuómetro Winters Serie P1S, dial 3,5", -30"Hg/0/30 psi &amp; -1/0/2 bar, 1/4" NPT inferior, caja acero, internos latón, clase ±1%, seco.</t>
  </si>
  <si>
    <t>P1S232R1R11</t>
  </si>
  <si>
    <t>Manovacuómetro Winters Serie P1S, dial 3,5", -30"Hg/0/60 psi &amp; -1/0/4 bar, 1/4" NPT inferior, caja acero, internos latón, clase ±1%, seco.</t>
  </si>
  <si>
    <t>P1S233R1R11</t>
  </si>
  <si>
    <t>Manovacuómetro Winters Serie P1S, dial 3,5", -30"Hg/0/100 psi &amp; -1/0/7 bar, 1/4" NPT inferior, caja acero, internos latón, clase ±1%, seco.</t>
  </si>
  <si>
    <t>P1S229R1R11</t>
  </si>
  <si>
    <t>Manovacuómetro Winters Serie P1S, dial 3,5", -30"Hg/0/160 psi &amp; 0/11 bar, 1/4" NPT inferior, caja acero, internos latón, clase ±1%, seco.</t>
  </si>
  <si>
    <t>P1S227R1R11</t>
  </si>
  <si>
    <t>Manovacuómetro Winters Serie P1S, dial 3,5", -30"Hg/0/300 psi &amp; -1/0/20 bar, 1/4" NPT inferior, caja acero, internos latón, clase ±1%, seco.</t>
  </si>
  <si>
    <t>P1S228R1R11</t>
  </si>
  <si>
    <t>Manómetro Winters Serie P1S, dial 3,5", 0/15 psi &amp; 0/1 bar, 1/4" NPT inferior, caja acero, internos latón, clase ±1%, seco.</t>
  </si>
  <si>
    <t>P1S235R1R11</t>
  </si>
  <si>
    <t>Manómetro Winters Serie P1S, dial 3,5", 0/30 psi &amp; 0/2 bar, 1/4" NPT inferior, caja acero, internos latón, clase ±1%, seco.</t>
  </si>
  <si>
    <t>P1S236R1R11</t>
  </si>
  <si>
    <t>Manómetro Winters Serie P1S, dial 3,5", 0/60 psi &amp; 0/4 bar, 1/4" NPT inferior, caja acero, internos latón, clase ±1%, seco.</t>
  </si>
  <si>
    <t>P1S237R1R11</t>
  </si>
  <si>
    <t>Manómetro Winters Serie P1S, dial 3,5", 0/100 psi &amp; 0/7 bar, 1/4" NPT inferior, caja acero, internos latón, clase ±1%, seco.</t>
  </si>
  <si>
    <t>P1S238R1R11</t>
  </si>
  <si>
    <t>Manómetro Winters Serie P1S, dial 3,5", 0/160 psi &amp; 0/11 bar, 1/4" NPT inferior, caja acero, internos latón, clase ±1%, seco.</t>
  </si>
  <si>
    <t>P1S239R1R11</t>
  </si>
  <si>
    <t>Manómetro Winters Serie P1S, dial 3,5", 0/200 psi &amp; 0/14 bar, 1/4" NPT inferior, caja acero, internos latón, clase ±1%, seco.</t>
  </si>
  <si>
    <t>P1S240R1R11</t>
  </si>
  <si>
    <t>Manómetro Winters Serie P1S, dial 3,5", 0/300 psi &amp; 0/20 bar, 1/4" NPT inferior, caja acero, internos latón, clase ±1%, seco.</t>
  </si>
  <si>
    <t>P1S560R6R11</t>
  </si>
  <si>
    <t>Vacuómetro Winters Serie P1S, dial 3,5", -30/0"Hg &amp; -1/0 bar, 1/4" NPT posterior, caja acero, internos latón, clase ±1%, seco.</t>
  </si>
  <si>
    <t>P1S568R1R11</t>
  </si>
  <si>
    <t>Manovacuómetro Winters Serie P1S, dial 3,5", -30"Hg/0/15 psi &amp; -1/0/1 bar, 1/4" NPT posterior, caja acero, internos latón, clase ±1%, seco.</t>
  </si>
  <si>
    <t>P1S569R1R11</t>
  </si>
  <si>
    <t>Manovacuómetro Winters Serie P1S, dial 3,5", -30"Hg/0/30 psi &amp; -1/0/2 bar, 1/4" NPT posterior, caja acero, internos latón, clase ±1%, seco.</t>
  </si>
  <si>
    <t>P1S570R1R11</t>
  </si>
  <si>
    <t>Manovacuómetro Winters Serie P1S, dial 3,5", -30"Hg/0/60 psi &amp; -1/0/4 bar, 1/4" NPT posterior, caja acero, internos latón, clase ±1%, seco.</t>
  </si>
  <si>
    <t>P1S571R1R11</t>
  </si>
  <si>
    <t>Manovacuómetro Winters Serie P1S, dial 3,5", -30"Hg/0/100 psi &amp; -1/0/7 bar, 1/4" NPT posterior, caja acero, internos latón, clase ±1%, seco.</t>
  </si>
  <si>
    <t>P1S572R1R11</t>
  </si>
  <si>
    <t>Manovacuómetro Winters Serie P1S, dial 3,5", -30"Hg/0/160 psi &amp; 0/11 bar, 1/4" NPT posterior, caja acero, internos latón, clase ±1%, seco.</t>
  </si>
  <si>
    <t>P1S573R1R11</t>
  </si>
  <si>
    <t>Manovacuómetro Winters Serie P1S, dial 3,5", -30"Hg/0/200 psi &amp; -1/0/14 bar, 1/4" NPT posterior, caja acero, internos latón, clase ±1%, seco.</t>
  </si>
  <si>
    <t>P1S574R1R11</t>
  </si>
  <si>
    <t>Manovacuómetro Winters Serie P1S, dial 3,5", -30"Hg/0/300 psi &amp; -1/0/20 bar, 1/4" NPT posterior, caja acero, internos latón, clase ±1%, seco.</t>
  </si>
  <si>
    <t>P1S561R1R11</t>
  </si>
  <si>
    <t>Manómetro Winters Serie P1S, dial 3,5", 0/15 psi &amp; 0/1 bar, 1/4" NPT posterior, caja acero, internos latón, clase ±1%, seco.</t>
  </si>
  <si>
    <t>P1S562R1R11</t>
  </si>
  <si>
    <t>Manómetro Winters Serie P1S, dial 3,5", 0/30 psi &amp; 0/2 bar, 1/4" NPT posterior, caja acero, internos latón, clase ±1%, seco.</t>
  </si>
  <si>
    <t>P1S563R1R11</t>
  </si>
  <si>
    <t>Manómetro Winters Serie P1S, dial 3,5", 0/60 psi &amp; 0/4 bar, 1/4" NPT posterior, caja acero, internos latón, clase ±1%, seco.</t>
  </si>
  <si>
    <t>P1S564R1R11</t>
  </si>
  <si>
    <t>Manómetro Winters Serie P1S, dial 3,5", 0/100 psi &amp; 0/7 bar, 1/4" NPT posterior, caja acero, internos latón, clase ±1%, seco.</t>
  </si>
  <si>
    <t>P1S565R1R11</t>
  </si>
  <si>
    <t>Manómetro Winters Serie P1S, dial 3,5", 0/160 psi &amp; 0/11 bar, 1/4" NPT posterior, caja acero, internos latón, clase ±1%, seco.</t>
  </si>
  <si>
    <t>P1S566R1R11</t>
  </si>
  <si>
    <t>Manómetro Winters Serie P1S, dial 3,5", 0/200 psi &amp; 0/14 bar, 1/4" NPT posterior, caja acero, internos latón, clase ±1%, seco.</t>
  </si>
  <si>
    <t>P1S567R1R11</t>
  </si>
  <si>
    <t>Manómetro Winters Serie P1S, dial 3,5", 0/300 psi &amp; 0/20 bar, 1/4" NPT posterior, caja acero, internos latón, clase ±1%, seco.</t>
  </si>
  <si>
    <t>P1S460R6R11</t>
  </si>
  <si>
    <t>Vacuómetro Winters Serie P1S, dial 4", -30/0"Hg &amp; -1/0 bar, 1/4" NPT posterior, caja acero, internos latón, clase ±1%, seco.</t>
  </si>
  <si>
    <t>P1S468R1R11</t>
  </si>
  <si>
    <t>Manovacuómetro Winters Serie P1S, dial 4", -30"Hg/0/15 psi &amp; -1/0/1 bar, 1/4" NPT posterior, caja acero, internos latón, clase ±1%, seco.</t>
  </si>
  <si>
    <t>P1S469R1R11</t>
  </si>
  <si>
    <t>Manovacuómetro Winters Serie P1S, dial 4", -30"Hg/0/30 psi &amp; -1/0/2 bar, 1/4" NPT posterior, caja acero, internos latón, clase ±1%, seco.</t>
  </si>
  <si>
    <t>P1S470R1R11</t>
  </si>
  <si>
    <t>Manovacuómetro Winters Serie P1S, dial 4", -30"Hg/0/60 psi &amp; -1/0/4 bar, 1/4" NPT posterior, caja acero, internos latón, clase ±1%, seco.</t>
  </si>
  <si>
    <t>P1S471R1R11</t>
  </si>
  <si>
    <t>Manovacuómetro Winters Serie P1S, dial 4", -30"Hg/0/100 psi &amp; -1/0/7 bar, 1/4" NPT posterior, caja acero, internos latón, clase ±1%, seco.</t>
  </si>
  <si>
    <t>P1S472R1R11</t>
  </si>
  <si>
    <t>Manovacuómetro Winters Serie P1S, dial 4", -30"Hg/0/160 psi &amp; -1/0/11 bar, 1/4" NPT posterior, caja acero, internos latón, clase ±1%, seco.</t>
  </si>
  <si>
    <t>P1S473R1R11</t>
  </si>
  <si>
    <t>Manovacuómetro Winters Serie P1S, dial 4", -30"Hg/0/300 psi &amp; -1/0/20 bar, 1/4" NPT posterior, caja acero, internos latón, clase ±1%, seco.</t>
  </si>
  <si>
    <t>P1S461R1R11</t>
  </si>
  <si>
    <t>Manómetro Winters Serie P1S, dial 4", 0/15 psi &amp; 0/1 bar, 1/4" NPT posterior, caja acero, internos latón, clase ±1%, seco.</t>
  </si>
  <si>
    <t>P1S462R1R11</t>
  </si>
  <si>
    <t>Manómetro Winters Serie P1S, dial 4", 0/30 psi &amp; 0/2 bar, 1/4" NPT posterior, caja acero, internos latón, clase ±1%, seco.</t>
  </si>
  <si>
    <t>P1S463R1R11</t>
  </si>
  <si>
    <t>Manómetro Winters Serie P1S, dial 4", 0/60 psi &amp; 0/4 bar, 1/4" NPT posterior, caja acero, internos latón, clase ±1%, seco.</t>
  </si>
  <si>
    <t>P1S464R1R11</t>
  </si>
  <si>
    <t>Manómetro Winters Serie P1S, dial 4", 0/100 psi &amp; 0/7 bar, 1/4" NPT posterior, caja acero, internos latón, clase ±1%, seco.</t>
  </si>
  <si>
    <t>P1S465R1R11</t>
  </si>
  <si>
    <t>Manómetro Winters Serie P1S, dial 4", 0/160 psi &amp; 0/11 bar, 1/4" NPT posterior, caja acero, internos latón, clase ±1%, seco.</t>
  </si>
  <si>
    <t>P1S466R1R11</t>
  </si>
  <si>
    <t>Manómetro Winters Serie P1S, dial 4", 0/200 psi &amp; 0/14 bar, 1/4" NPT posterior, caja acero, internos latón, clase ±1%, seco.</t>
  </si>
  <si>
    <t>P1S467R1R11</t>
  </si>
  <si>
    <t>Manómetro Winters Serie P1S, dial 4", 0/300 psi &amp; 0/20 bar, 1/4" NPT posterior, caja acero, internos latón, clase ±1%, seco.</t>
  </si>
  <si>
    <t>P1S410R6R11</t>
  </si>
  <si>
    <t>Vacuómetro Winters Serie P1S, dial 4,5", -30/0"Hg &amp; -1/0 bar, 1/4" NPT inferior, caja acero, internos latón, clase ±1%, seco.</t>
  </si>
  <si>
    <t>P1S411R1R11</t>
  </si>
  <si>
    <t>Manovacuómetro Winters Serie P1S, dial 4,5", -30"Hg/0/15 psi &amp; -1/0/1 bar, 1/4" NPT inferior, caja acero, internos latón, clase ±1%, seco.</t>
  </si>
  <si>
    <t>P1S412R1R11</t>
  </si>
  <si>
    <t>Manovacuómetro Winters Serie P1S, dial 4,5", -30"Hg/0/30 psi &amp; -1/0/2 bar, 1/4" NPT inferior, caja acero, internos latón, clase ±1%, seco.</t>
  </si>
  <si>
    <t>P1S413R1R11</t>
  </si>
  <si>
    <t>Manovacuómetro Winters Serie P1S, dial 4,5", -30"Hg/0/60 psi &amp; -1/0/4 bar, 1/4" NPT inferior, caja acero, internos latón, clase ±1%, seco.</t>
  </si>
  <si>
    <t>P1S414R1R11</t>
  </si>
  <si>
    <t>Manovacuómetro Winters Serie P1S, dial 4,5", -30"Hg/0/100 psi &amp; -1/0/7 bar, 1/4" NPT inferior, caja acero, internos latón, clase ±1%, seco.</t>
  </si>
  <si>
    <t>P1S416R1R11</t>
  </si>
  <si>
    <t>Manovacuómetro Winters Serie P1S, dial 4,5", -30"Hg/0/160 psi &amp; -1/0/11 bar, 1/4" NPT inferior, caja acero, internos latón, clase ±1%, seco.</t>
  </si>
  <si>
    <t>P1S417R1R11</t>
  </si>
  <si>
    <t>Manovacuómetro Winters Serie P1S, dial 4,5", -30"Hg/0/200 psi &amp; -1/0/14 bar, 1/4" NPT inferior, caja acero, internos latón, clase ±1%, seco.</t>
  </si>
  <si>
    <t>P1S418R1R11</t>
  </si>
  <si>
    <t>Manovacuómetro Winters Serie P1S, dial 4,5", -30"Hg/0/300 psi &amp; -1/0/20 bar, 1/4" NPT inferior, caja acero, internos latón, clase ±1%, seco.</t>
  </si>
  <si>
    <t>P1S419R1R11</t>
  </si>
  <si>
    <t>Manómetro Winters Serie P1S, dial 4,5", 0/15 psi &amp; 0/1 bar, 1/4" NPT inferior, caja acero, internos latón, clase ±1%, seco.</t>
  </si>
  <si>
    <t>P1S420R1R11</t>
  </si>
  <si>
    <t>Manómetro Winters Serie P1S, dial 4,5", 0/30 psi &amp; 0/2 bar, 1/4" NPT inferior, caja acero, internos latón, clase ±1%, seco.</t>
  </si>
  <si>
    <t>P1S421R1R11</t>
  </si>
  <si>
    <t>Manómetro Winters Serie P1S, dial 4,5", 0/60 psi &amp; 0/4 bar, 1/4" NPT inferior, caja acero, internos latón, clase ±1%, seco.</t>
  </si>
  <si>
    <t>P1S422R1R11</t>
  </si>
  <si>
    <t>Manómetro Winters Serie P1S, dial 4,5", 0/100 psi &amp; 0/7 bar, 1/4" NPT inferior, caja acero, internos latón, clase ±1%, seco.</t>
  </si>
  <si>
    <t>P1S423R1R11</t>
  </si>
  <si>
    <t>Manómetro Winters Serie P1S, dial 4,5", 0/160 psi &amp; 0/11 bar, 1/4" NPT inferior, caja acero, internos latón, clase ±1%, seco.</t>
  </si>
  <si>
    <t>P1S424R1R11</t>
  </si>
  <si>
    <t>Manómetro Winters Serie P1S, dial 4,5", 0/200 psi &amp; 0/14 bar, 1/4" NPT inferior, caja acero, internos latón, clase ±1%, seco.</t>
  </si>
  <si>
    <t>P1S426R1R11</t>
  </si>
  <si>
    <t>Manómetro Winters Serie P1S, dial 4,5", 0/300 psi &amp; 0/20 bar, 1/4" NPT inferior, caja acero, internos latón, clase ±1%, seco.</t>
  </si>
  <si>
    <t>P1S490R1R11</t>
  </si>
  <si>
    <t>Manómetro Winters Serie P1S, dial 4,5", 0/600 psi &amp; 0/40 bar, 1/4" NPT inferior, caja acero, internos latón, clase ±1%, seco.</t>
  </si>
  <si>
    <t>P1S491R1R11</t>
  </si>
  <si>
    <t>Manómetro Winters Serie P1S, dial 4,5", 0/1.000 psi &amp; 0/70 bar, 1/4" NPT inferior, caja acero, internos latón, clase ±1%, seco.</t>
  </si>
  <si>
    <t>P1S492R1R11</t>
  </si>
  <si>
    <t>Manómetro Winters Serie P1S, dial 4,5", 0/3.000 psi &amp; 0/200 bar, 1/4" NPT inferior, caja acero, internos latón, clase ±1%, seco.</t>
  </si>
  <si>
    <t>P1S493R1R11</t>
  </si>
  <si>
    <t>Manómetro Winters Serie P1S, dial 4,5", 0/5.000 psi &amp; 0/350 bar, 1/4" NPT inferior, caja acero, internos latón, clase ±1%, seco.</t>
  </si>
  <si>
    <t>P1S250R6R11</t>
  </si>
  <si>
    <t>Vacuómetro Winters Serie P1S, dial 6", -30/0"Hg &amp; -1/0 bar, 1/4" NPT inferior, caja acero, internos latón, clase ±1%, seco.</t>
  </si>
  <si>
    <t>P1S251CR1R11</t>
  </si>
  <si>
    <t>Manovacuómetro Winters Serie P1S, dial 6", -30"Hg/0/15 psi &amp; -1/0/1 bar, 1/4" NPT inferior, caja acero, internos latón, clase ±1%, seco.</t>
  </si>
  <si>
    <t>P1S252CR1R11</t>
  </si>
  <si>
    <t>Manovacuómetro Winters Serie P1S, dial 6", -30"Hg/0/30 psi &amp; -1/0/2 bar, 1/4" NPT inferior, caja acero, internos latón, clase ±1%, seco.</t>
  </si>
  <si>
    <t>P1S259CR1R11</t>
  </si>
  <si>
    <t>Manovacuómetro Winters Serie P1S, dial 6", -30"Hg/0/60 psi &amp; -1/0/4 bar, 1/4" NPT inferior, caja acero, internos latón, clase ±1%, seco.</t>
  </si>
  <si>
    <t>P1S253CR1R11</t>
  </si>
  <si>
    <t>Manovacuómetro Winters Serie P1S, dial 6", -30"Hg/0/100 psi &amp; -1/0/7 bar, 1/4" NPT inferior, caja acero, internos latón, clase ±1%, seco.</t>
  </si>
  <si>
    <t>P1S254CR1R11</t>
  </si>
  <si>
    <t>Manovacuómetro Winters Serie P1S, dial 6", -30"Hg/0/160 psi &amp; -1/0/11 bar, 1/4" NPT inferior, caja acero, internos latón, clase ±1%, seco.</t>
  </si>
  <si>
    <t>P1S255CR1R11</t>
  </si>
  <si>
    <t>Manovacuómetro Winters Serie P1S, dial 6", -30"Hg/0/200 psi &amp; -1/0/14 bar, 1/4" NPT inferior, caja acero, internos latón, clase ±1%, seco.</t>
  </si>
  <si>
    <t>P1S256CR1R11</t>
  </si>
  <si>
    <t>Manovacuómetro Winters Serie P1S, dial 6", -30"Hg/0/300 psi &amp; -1/0/20 bar, 1/4" NPT inferior, caja acero, internos latón, clase ±1%, seco.</t>
  </si>
  <si>
    <t>P1S251R1R11</t>
  </si>
  <si>
    <t>Manómetro Winters Serie P1S, dial 6", 0/30 psi &amp; 0/2 bar, 1/4" NPT inferior, caja acero, internos latón, clase ±1%, seco.</t>
  </si>
  <si>
    <t>P1S252R1R11</t>
  </si>
  <si>
    <t>Manómetro Winters Serie P1S, dial 6", 0/60 psi &amp; 0/4 bar, 1/4" NPT inferior, caja acero, internos latón, clase ±1%, seco.</t>
  </si>
  <si>
    <t>P1S253R1R11</t>
  </si>
  <si>
    <t>Manómetro Winters Serie P1S, dial 6", 0/100 psi &amp; 0/7 bar, 1/4" NPT inferior, caja acero, internos latón, clase ±1%, seco.</t>
  </si>
  <si>
    <t>P1S254R1R11</t>
  </si>
  <si>
    <t>Manómetro Winters Serie P1S, dial 6", 0/160 psi &amp; 0/11 bar, 1/4" NPT inferior, caja acero, internos latón, clase ±1%, seco.</t>
  </si>
  <si>
    <t>P1S255R1R11</t>
  </si>
  <si>
    <t>Manómetro Winters Serie P1S, dial 6", 0/200 psi &amp; 0/14 bar, 1/4" NPT inferior, caja acero, internos latón, clase ±1%, seco.</t>
  </si>
  <si>
    <t>P1S256R1R11</t>
  </si>
  <si>
    <t>Manómetro Winters Serie P1S, dial 6", 0/300 psi &amp; 0/20 bar, 1/4" NPT inferior, caja acero, internos latón, clase ±1%, seco.</t>
  </si>
  <si>
    <t>Vacuómetro Winters Serie P1S, dial 6", -30/0"Hg &amp; -1/0 bar, 1/2" NPT inferior, caja acero, internos latón, clase ±1%, seco.</t>
  </si>
  <si>
    <t>P1S250R7R6-BSPT</t>
  </si>
  <si>
    <t>Vacuómetro Winters Serie P1S, dial 6", -760/0 mmHg &amp; -30/0"Hg, 1/2" BSPT inferior, caja acero, internos latón, clase ±1%, seco.</t>
  </si>
  <si>
    <t>P1S251R3R1S-BSPT</t>
  </si>
  <si>
    <t>Manómetro Winters Serie P1S, dial 6", 0/1 Kg/cm2 &amp; 0/15 psi, 1/2" BSPT inferior, caja acero, internos latón, clase ±1%, seco.</t>
  </si>
  <si>
    <t>Manómetro Winters Serie P1S, dial 6", 0/30 psi &amp; 0/2 bar, 1/2" NPT inferior, caja acero, internos latón, clase ±1%, seco.</t>
  </si>
  <si>
    <t>P1S251R3R1-BSPT</t>
  </si>
  <si>
    <t>Manómetro Winters Serie P1S, dial 6", 0/2 Kg/cm2 &amp; 0/30 psi, 1/2" BSPT inferior, caja acero, internos latón, clase ±1%, seco.</t>
  </si>
  <si>
    <t>Manómetro Winters Serie P1S, dial 6", 0/60 psi &amp; 0/4 bar, 1/2" NPT inferior, caja acero, internos latón, clase ±1%, seco.</t>
  </si>
  <si>
    <t>P1S252R3R1-BSPT</t>
  </si>
  <si>
    <t>Manómetro Winters Serie P1S, dial 6", 0/4 Kg/cm2 &amp; 0/60 psi, 1/2" BSPT inferior, caja acero, internos latón, clase ±1%, seco.</t>
  </si>
  <si>
    <t>Manómetro Winters Serie P1S, dial 6", 0/100 psi &amp; 0/7 bar, 1/2" NPT inferior, caja acero, internos latón, clase ±1%, seco.</t>
  </si>
  <si>
    <t>P1S253R3R1-BSPT</t>
  </si>
  <si>
    <t>Manómetro Winters Serie P1S, dial 6", 0/7 Kg/cm2 &amp; 0/100 psi, 1/2" BSPT inferior, caja acero, internos latón, clase ±1%, seco.</t>
  </si>
  <si>
    <t>Manómetro Winters Serie P1S, dial 6", 0/160 psi &amp; 0/11 bar, 1/2" NPT inferior, caja acero, internos latón, clase ±1%, seco.</t>
  </si>
  <si>
    <t>P1S254R3R1-BSPT</t>
  </si>
  <si>
    <t>Manómetro Winters Serie P1S, dial 6", 0/10 Kg/cm2 &amp; 0/160 psi, 1/2" BSPT inferior, caja acero, internos latón, clase ±1%, seco.</t>
  </si>
  <si>
    <t>Manómetro Winters Serie P1S, dial 6", 0/200 psi &amp; 0/14 bar, 1/2" NPT inferior, caja acero, internos latón, clase ±1%, seco.</t>
  </si>
  <si>
    <t>P1S255R3R1-BSPT</t>
  </si>
  <si>
    <t>Manómetro Winters Serie P1S, dial 6", 0/14 Kg/cm2 &amp; 0/200 psi, 1/2" BSPT inferior, caja acero, internos latón, clase ±1%, seco.</t>
  </si>
  <si>
    <t>Manómetro Winters Serie P1S, dial 6", 0/300 psi &amp; 0/20 bar, 1/2" NPT inferior, caja acero, internos latón, clase ±1%, seco.</t>
  </si>
  <si>
    <t>P1S256R3R1-BSPT</t>
  </si>
  <si>
    <t>Manómetro Winters Serie P1S, dial 6", 0/20 Kg/cm2 &amp; 0/280 psi, 1/2" BSPT inferior, caja acero, internos latón, clase ±1%, seco.</t>
  </si>
  <si>
    <t>P1S256R3R1S-BSPT</t>
  </si>
  <si>
    <t>Manómetro Winters Serie P1S, dial 6", 0/40 Kg/cm2 &amp; 0/600 psi, 1/2" BSPT inferior, caja acero, internos latón, clase ±1%, seco.</t>
  </si>
  <si>
    <t>P1S256R3R1S1-BSPT</t>
  </si>
  <si>
    <t>Manómetro Winters Serie P1S, dial 6", 0/70 Kg/cm2 &amp; 0/1.000 psi, 1/2" BSPT inferior, caja acero, internos latón, clase ±1%, seco.</t>
  </si>
  <si>
    <t>P1S256R3R1S2-BSPT</t>
  </si>
  <si>
    <t>Manómetro Winters Serie P1S, dial 6", 0/100 Kg/cm2 &amp; 0/1.400 psi, 1/2" BSPT inferior, caja acero, internos latón, clase ±1%, seco.</t>
  </si>
  <si>
    <t>P1S256R3R1S3-BSPT</t>
  </si>
  <si>
    <t>Manómetro Winters Serie P1S, dial 6", 0/140 Kg/cm2 &amp; 0/2.000 psi, 1/2" BSPT inferior, caja acero, internos latón, clase ±1%, seco.</t>
  </si>
  <si>
    <t>P1S256R3R1S4-BSPT</t>
  </si>
  <si>
    <t>Manómetro Winters Serie P1S, dial 6", 0/200 Kg/cm2 &amp; 0/3.000 psi, 1/2" BSPT inferior, caja acero, internos latón, clase ±1%, seco.</t>
  </si>
  <si>
    <t>P1S256R3R1S5-BSPT</t>
  </si>
  <si>
    <t>Manómetro Winters Serie P1S, dial 6", 0/400 Kg/cm2 &amp; 0/6.000 psi, 1/2" BSPT inferior, caja acero, internos latón, clase ±1%, seco.</t>
  </si>
  <si>
    <t>P1S256R3R1S6-BSPT</t>
  </si>
  <si>
    <t>Manómetro Winters Serie P1S, dial 6", 0/600 Kg/cm2 &amp; 0/8.700 psi, 1/2" BSPT inferior, caja acero, internos latón, clase ±1%, seco.</t>
  </si>
  <si>
    <t>P9S901297R6R11</t>
  </si>
  <si>
    <t>Vacuómetro Winters Serie P9S, dial 1,5", 0/30" Vac/bar, 1/8"NPT inferior.</t>
  </si>
  <si>
    <t>P9S901299R1R11</t>
  </si>
  <si>
    <t>Manómetro Winters Serie P9S, dial 1,5", 0/15 psi, 1/8"NPT inferior.</t>
  </si>
  <si>
    <t>P9S901300R1R11</t>
  </si>
  <si>
    <t>Manómetro Winters Serie P9S, dial 1,5", 0/30 psi, 1/8"NPT inferior.</t>
  </si>
  <si>
    <t>P9S901301R1R11</t>
  </si>
  <si>
    <t>Manómetro Winters Serie P9S, dial 1,5", 0/60 psi, 1/8"NPT inferior.</t>
  </si>
  <si>
    <t>P9S901320R1R11</t>
  </si>
  <si>
    <t>Manómetro Winters Serie P9S, dial 1,5", 0/100 psi, 1/8"NPT inferior.</t>
  </si>
  <si>
    <t>P9S901321R1R11</t>
  </si>
  <si>
    <t>Manómetro Winters Serie P9S, dial 1,5", 0/160 psi, 1/8"NPT inferior.</t>
  </si>
  <si>
    <t>P9S901322R1R11</t>
  </si>
  <si>
    <t>Manómetro Winters Serie P9S, dial 1,5", 0/200 psi, 1/8"NPT inferior.</t>
  </si>
  <si>
    <t>P9S901323R1R11</t>
  </si>
  <si>
    <t>Manómetro Winters Serie P9S, dial 1,5", 0/300 psi, 1/8"NPT inferior.</t>
  </si>
  <si>
    <t>P9S901324R1R11</t>
  </si>
  <si>
    <t>Manómetro Winters Serie P9S, dial 1,5", 0/400 psi, 1/8"NPT inferior.</t>
  </si>
  <si>
    <t>P9S901325R1R11</t>
  </si>
  <si>
    <t>Manómetro Winters Serie P9S, dial 1,5", 0/600 psi, 1/8"NPT inferior.</t>
  </si>
  <si>
    <t>P9S901397R1R11</t>
  </si>
  <si>
    <t>Vacuómetro Winters Serie P9S, dial 1,5", 0/30" Vac/bar, 1/8"NPT posterior.</t>
  </si>
  <si>
    <t>P9S901399R1R11</t>
  </si>
  <si>
    <t>Manómetro Winters Serie P9S, dial 1,5", 0/15 psi, 1/8"NPT posterior.</t>
  </si>
  <si>
    <t>P9S901400R1R11</t>
  </si>
  <si>
    <t>Manómetro Winters Serie P9S, dial 1,5", 0/30 psi, 1/8"NPT posterior.</t>
  </si>
  <si>
    <t>P9S901401R1R11</t>
  </si>
  <si>
    <t>Manómetro Winters Serie P9S, dial 1,5", 0/60 psi, 1/8"NPT posterior.</t>
  </si>
  <si>
    <t>P9S901420R1R11</t>
  </si>
  <si>
    <t>Manómetro Winters Serie P9S, dial 1,5", 0/100 psi, 1/8"NPT posterior.</t>
  </si>
  <si>
    <t>P9S901421R1R11</t>
  </si>
  <si>
    <t>Manómetro Winters Serie P9S, dial 1,5", 0/160 psi, 1/8"NPT posterior.</t>
  </si>
  <si>
    <t>P9S901422R1R11</t>
  </si>
  <si>
    <t>Manómetro Winters Serie P9S, dial 1,5", 0/200 psi, 1/8"NPT posterior.</t>
  </si>
  <si>
    <t>P9S901423R1R11</t>
  </si>
  <si>
    <t>Manómetro Winters Serie P9S, dial 1,5", 0/300 psi, 1/8"NPT posterior.</t>
  </si>
  <si>
    <t>P9S901443R1R11</t>
  </si>
  <si>
    <t>Manómetro Winters Serie P9S, dial 1,5", 0/400 psi, 1/8"NPT posterior.</t>
  </si>
  <si>
    <t>P9S901444R1R11</t>
  </si>
  <si>
    <t>Manómetro Winters Serie P9S, dial 1,5", 0/600 psi, 1/8"NPT posterior.</t>
  </si>
  <si>
    <t>P9S90195R6R11</t>
  </si>
  <si>
    <t>Vacuómetro Winters Serie P9S, dial 2", 0/30" Vac/bar, 1/8"NPT inferior.</t>
  </si>
  <si>
    <t>P9S90196R1R11</t>
  </si>
  <si>
    <t>Manómetro Winters Serie P9S, dial 2", 0/15 psi, 1/8"NPT inferior.</t>
  </si>
  <si>
    <t>P9S90206R1R11</t>
  </si>
  <si>
    <t>Manómetro Winters Serie P9S, dial 2", 0/30 psi, 1/8"NPT inferior.</t>
  </si>
  <si>
    <t>P9S90207R1R11</t>
  </si>
  <si>
    <t>Manómetro Winters Serie P9S, dial 2", 0/60 psi, 1/8"NPT inferior.</t>
  </si>
  <si>
    <t>P9S90208R1R11</t>
  </si>
  <si>
    <t>Manómetro Winters Serie P9S, dial 2", 0/100 psi, 1/8"NPT inferior.</t>
  </si>
  <si>
    <t>P9S90197R1R11</t>
  </si>
  <si>
    <t>Manómetro Winters Serie P9S, dial 2", 0/160 psi, 1/8"NPT inferior.</t>
  </si>
  <si>
    <t>P9S90209R1R11</t>
  </si>
  <si>
    <t>Manómetro Winters Serie P9S, dial 2", 0/200 psi, 1/8"NPT inferior.</t>
  </si>
  <si>
    <t>P9S90198R1R11</t>
  </si>
  <si>
    <t>Manómetro Winters Serie P9S, dial 2", 0/300 psi, 1/8"NPT inferior.</t>
  </si>
  <si>
    <t>P9S901449R1R11</t>
  </si>
  <si>
    <t>Manómetro Winters Serie P9S, dial 2", 0/400 psi, 1/8"NPT inferior.</t>
  </si>
  <si>
    <t>P9S901450R1R11</t>
  </si>
  <si>
    <t>Manómetro Winters Serie P9S, dial 2", 0/600 psi, 1/8"NPT inferior.</t>
  </si>
  <si>
    <t>P9S901424R6R11</t>
  </si>
  <si>
    <t>Vacuómetro Winters Serie P9S, dial 2", 0/30" Vac/bar, 1/8"NPT posterior.</t>
  </si>
  <si>
    <t>P9S901425R1R11</t>
  </si>
  <si>
    <t>Manómetro Winters Serie P9S, dial 2", 0/15 psi, 1/8"NPT posterior.</t>
  </si>
  <si>
    <t>P9S901402R1R11</t>
  </si>
  <si>
    <t>Manómetro Winters Serie P9S, dial 2", 0/30 psi, 1/8"NPT posterior.</t>
  </si>
  <si>
    <t>P9S901404R1R11</t>
  </si>
  <si>
    <t>Manómetro Winters Serie P9S, dial 2", 0/60 psi, 1/8"NPT posterior.</t>
  </si>
  <si>
    <t>P9S901406R1R11</t>
  </si>
  <si>
    <t>Manómetro Winters Serie P9S, dial 2", 0/100 psi, 1/8"NPT posterior.</t>
  </si>
  <si>
    <t>P9S901408R1R11</t>
  </si>
  <si>
    <t>Manómetro Winters Serie P9S, dial 2", 0/160 psi, 1/8"NPT posterior.</t>
  </si>
  <si>
    <t>P9S901426R1R11</t>
  </si>
  <si>
    <t>Manómetro Winters Serie P9S, dial 2", 0/200 psi, 1/8"NPT posterior.</t>
  </si>
  <si>
    <t>P9S901427R1R11</t>
  </si>
  <si>
    <t>Manómetro Winters Serie P9S, dial 2", 0/300 psi, 1/8"NPT posterior.</t>
  </si>
  <si>
    <t>P9S901445R1R11</t>
  </si>
  <si>
    <t>Manómetro Winters Serie P9S, dial 2", 0/400 psi, 1/8"NPT posterior.</t>
  </si>
  <si>
    <t>P9S901446R1R11</t>
  </si>
  <si>
    <t>Manómetro Winters Serie P9S, dial 2", 0/600 psi, 1/8"NPT posterior.</t>
  </si>
  <si>
    <t>P9S90135R6R11</t>
  </si>
  <si>
    <t>Vacuómetro Winters Serie P9S, dial 2", 0/30" Vac/bar, 1/4"NPT inferior.</t>
  </si>
  <si>
    <t>P9S90136R1R11</t>
  </si>
  <si>
    <t>Manómetro Winters Serie P9S, dial 2", 0/15 psi, 1/4"NPT inferior.</t>
  </si>
  <si>
    <t>P9S90199R1R11</t>
  </si>
  <si>
    <t>Manómetro Winters Serie P9S, dial 2", 0/30 psi, 1/4"NPT inferior.</t>
  </si>
  <si>
    <t>P9S90201R1R11</t>
  </si>
  <si>
    <t>Manómetro Winters Serie P9S, dial 2", 0/60 psi, 1/4"NPT inferior.</t>
  </si>
  <si>
    <t>P9S90202R1R11</t>
  </si>
  <si>
    <t>Manómetro Winters Serie P9S, dial 2", 0/100 psi, 1/4"NPT inferior.</t>
  </si>
  <si>
    <t>P9S90203R1R11</t>
  </si>
  <si>
    <t>Manómetro Winters Serie P9S, dial 2", 0/160 psi, 1/4"NPT inferior.</t>
  </si>
  <si>
    <t>P9S90204R1R11</t>
  </si>
  <si>
    <t>Manómetro Winters Serie P9S, dial 2", 0/200 psi, 1/4"NPT inferior.</t>
  </si>
  <si>
    <t>P9S90205R1R11</t>
  </si>
  <si>
    <t>Manómetro Winters Serie P9S, dial 2", 0/300 psi, 1/4"NPT inferior.</t>
  </si>
  <si>
    <t>P9S901451R1R11</t>
  </si>
  <si>
    <t>Manómetro Winters Serie P9S, dial 2", 0/400 psi, 1/4"NPT inferior.</t>
  </si>
  <si>
    <t>P9S901452R1R11</t>
  </si>
  <si>
    <t>Manómetro Winters Serie P9S, dial 2", 0/600 psi, 1/4"NPT inferior.</t>
  </si>
  <si>
    <t>P9S901428R6R11</t>
  </si>
  <si>
    <t>Vacuómetro Winters Serie P9S, dial 2", 0/30" Vac/bar, 1/4"NPT posterior.</t>
  </si>
  <si>
    <t>P9S901429R1R11</t>
  </si>
  <si>
    <t>Manómetro Winters Serie P9S, dial 2", 0/15 psi, 1/4"NPT posterior.</t>
  </si>
  <si>
    <t>P9S901403R1R11</t>
  </si>
  <si>
    <t>Manómetro Winters Serie P9S, dial 2", 0/30 psi, 1/4"NPT posterior.</t>
  </si>
  <si>
    <t>P9S901405R1R11</t>
  </si>
  <si>
    <t>Manómetro Winters Serie P9S, dial 2", 0/60 psi, 1/4"NPT posterior.</t>
  </si>
  <si>
    <t>P9S901407R1R11</t>
  </si>
  <si>
    <t>Manómetro Winters Serie P9S, dial 2", 0/100 psi, 1/4"NPT posterior.</t>
  </si>
  <si>
    <t>P9S901409R1R11</t>
  </si>
  <si>
    <t>Manómetro Winters Serie P9S, dial 2", 0/160 psi, 1/4"NPT posterior.</t>
  </si>
  <si>
    <t>P9S901410R1R11</t>
  </si>
  <si>
    <t>Manómetro Winters Serie P9S, dial 2", 0/200 psi, 1/4"NPT posterior.</t>
  </si>
  <si>
    <t>P9S901411R1R11</t>
  </si>
  <si>
    <t>Manómetro Winters Serie P9S, dial 2", 0/300 psi, 1/4"NPT posterior.</t>
  </si>
  <si>
    <t>P9S901447R1R11</t>
  </si>
  <si>
    <t>Manómetro Winters Serie P9S, dial 2", 0/400 psi, 1/4"NPT posterior.</t>
  </si>
  <si>
    <t>P9S901448R1R11</t>
  </si>
  <si>
    <t>Manómetro Winters Serie P9S, dial 2", 0/600 psi, 1/4"NPT posterior.</t>
  </si>
  <si>
    <t>P9S90210R6R11</t>
  </si>
  <si>
    <t>Vacuómetro Winters Serie P9S, dial 2,5", 0/30" Vac/bar, 1/4"NPT inferior.</t>
  </si>
  <si>
    <t>P9S90152R1R11</t>
  </si>
  <si>
    <t>Manovacuómetro Winters Serie P9S, dial 2,5", 30"/0/15 psi/bar, 1/4"NPT inferior.</t>
  </si>
  <si>
    <t>P9S90153R1R11</t>
  </si>
  <si>
    <t>Manovacuómetro Winters Serie P9S, dial 2,5", 30"/0/30 psi/bar, 1/4"NPT inferior.</t>
  </si>
  <si>
    <t>P9S90154R1R11</t>
  </si>
  <si>
    <t>Manovacuómetro Winters Serie P9S, dial 2,5", 30"/0/60 psi/bar, 1/4"NPT inferior.</t>
  </si>
  <si>
    <t>P9S90155R1R11</t>
  </si>
  <si>
    <t>Manovacuómetro Winters Serie P9S, dial 2,5", 30"/0/100 psi/bar, 1/4"NPT inferior.</t>
  </si>
  <si>
    <t>P9S90211R1R11</t>
  </si>
  <si>
    <t>Manómetro Winters Serie P9S, dial 2,5", 0/15 psi, 1/4"NPT inferior.</t>
  </si>
  <si>
    <t>P9S90212R1R11</t>
  </si>
  <si>
    <t>Manómetro Winters Serie P9S, dial 2,5", 0/30 psi, 1/4"NPT inferior.</t>
  </si>
  <si>
    <t>P9S90213R1R11</t>
  </si>
  <si>
    <t>Manómetro Winters Serie P9S, dial 2,5", 0/60 psi, 1/4"NPT inferior.</t>
  </si>
  <si>
    <t>P9S90214R1R11</t>
  </si>
  <si>
    <t>Manómetro Winters Serie P9S, dial 2,5", 0/100 psi, 1/4"NPT inferior.</t>
  </si>
  <si>
    <t>P9S90215R1R11</t>
  </si>
  <si>
    <t>Manómetro Winters Serie P9S, dial 2,5", 0/160 psi, 1/4"NPT inferior.</t>
  </si>
  <si>
    <t>P9S90216R1R11</t>
  </si>
  <si>
    <t>Manómetro Winters Serie P9S, dial 2,5", 0/200 psi, 1/4"NPT inferior.</t>
  </si>
  <si>
    <t>P9S90217R1R11</t>
  </si>
  <si>
    <t>Manómetro Winters Serie P9S, dial 2,5", 0/300 psi, 1/4"NPT inferior.</t>
  </si>
  <si>
    <t>P9S90219R1R11</t>
  </si>
  <si>
    <t>Manómetro Winters Serie P9S, dial 2,5", 0/400 psi, 1/4"NPT inferior.</t>
  </si>
  <si>
    <t>P9S90218R1R11</t>
  </si>
  <si>
    <t>Manómetro Winters Serie P9S, dial 2,5", 0/600 psi, 1/4"NPT inferior.</t>
  </si>
  <si>
    <t>P9S901431R6R11</t>
  </si>
  <si>
    <t>Vacuómetro Winters Serie P9S, dial 2,5", 0/30" Vac/bar, 1/4"NPT posterior.</t>
  </si>
  <si>
    <t>P9S901436R1R11</t>
  </si>
  <si>
    <t>Manómetro Winters Serie P9S, dial 2,5", 0/15 psi, 1/4"NPT posterior.</t>
  </si>
  <si>
    <t>P9S901437R1R11</t>
  </si>
  <si>
    <t>Manómetro Winters Serie P9S, dial 2,5", 0/30 psi, 1/4"NPT posterior.</t>
  </si>
  <si>
    <t>P9S901438R1R11</t>
  </si>
  <si>
    <t>Manómetro Winters Serie P9S, dial 2,5", 0/60 psi, 1/4"NPT posterior.</t>
  </si>
  <si>
    <t>P9S901439R1R11</t>
  </si>
  <si>
    <t>Manómetro Winters Serie P9S, dial 2,5", 0/100 psi, 1/4"NPT posterior.</t>
  </si>
  <si>
    <t>P9S901440R1R11</t>
  </si>
  <si>
    <t>Manómetro Winters Serie P9S, dial 2,5", 0/160 psi, 1/4"NPT posterior.</t>
  </si>
  <si>
    <t>P9S901441R1R11</t>
  </si>
  <si>
    <t>Manómetro Winters Serie P9S, dial 2,5", 0/200 psi, 1/4"NPT posterior.</t>
  </si>
  <si>
    <t>P9S901442R1R11</t>
  </si>
  <si>
    <t>Manómetro Winters Serie P9S, dial 2,5", 0/300 psi, 1/4"NPT posterior.</t>
  </si>
  <si>
    <t>P9S901453R1R11</t>
  </si>
  <si>
    <t>Manómetro Winters Serie P9S, dial 2,5", 0/400 psi, 1/4"NPT posterior.</t>
  </si>
  <si>
    <t>P9S901454R1R11</t>
  </si>
  <si>
    <t>Manómetro Winters Serie P9S, dial 2,5", 0/600 psi, 1/4"NPT posterior.</t>
  </si>
  <si>
    <t>P9S90220R6R11</t>
  </si>
  <si>
    <t>Vacuómetro Winters Serie P9S, dial 3,5", 0/30" Vac/bar, 1/4"NPT inferior.</t>
  </si>
  <si>
    <t>P9S90229R1R11</t>
  </si>
  <si>
    <t>Manómetro Winters Serie P9S, dial 3,5", 0/15 psi, 1/4"NPT inferior.</t>
  </si>
  <si>
    <t>P9S90221R1R11</t>
  </si>
  <si>
    <t>Manómetro Winters Serie P9S, dial 3,5", 0/30 psi, 1/4"NPT inferior.</t>
  </si>
  <si>
    <t>P9S90222R1R11</t>
  </si>
  <si>
    <t>Manómetro Winters Serie P9S, dial 3,5", 0/60 psi, 1/4"NPT inferior.</t>
  </si>
  <si>
    <t>P9S90223R1R11</t>
  </si>
  <si>
    <t>Manómetro Winters Serie P9S, dial 3,5", 0/100 psi, 1/4"NPT inferior.</t>
  </si>
  <si>
    <t>P9S90224R1R11</t>
  </si>
  <si>
    <t>Manómetro Winters Serie P9S, dial 3,5", 0/160 psi, 1/4"NPT inferior.</t>
  </si>
  <si>
    <t>P9S90225R1R11</t>
  </si>
  <si>
    <t>Manómetro Winters Serie P9S, dial 3,5", 0/200 psi, 1/4"NPT inferior.</t>
  </si>
  <si>
    <t>P9S90226R1R11</t>
  </si>
  <si>
    <t>Manómetro Winters Serie P9S, dial 3,5", 0/300 psi, 1/4"NPT inferior.</t>
  </si>
  <si>
    <t>P9S90227R1R11</t>
  </si>
  <si>
    <t>Manómetro Winters Serie P9S, dial 3,5", 0/400 psi, 1/4"NPT inferior.</t>
  </si>
  <si>
    <t>P9S90228R1R11</t>
  </si>
  <si>
    <t>Manómetro Winters Serie P9S, dial 3,5", 0/600 psi, 1/4"NPT inferior.</t>
  </si>
  <si>
    <t>P9S901455R6R11</t>
  </si>
  <si>
    <t>Vacuómetro Winters Serie P9S, dial 3,5", 0/30" Vac/bar, 1/4"NPT posterior.</t>
  </si>
  <si>
    <t>P9S901464R1R11</t>
  </si>
  <si>
    <t>Manómetro Winters Serie P9S, dial 3,5", 0/15 psi, 1/4"NPT posterior.</t>
  </si>
  <si>
    <t>P9S901456R1R11</t>
  </si>
  <si>
    <t>Manómetro Winters Serie P9S, dial 3,5", 0/30 psi, 1/4"NPT posterior.</t>
  </si>
  <si>
    <t>P9S901457R1R11</t>
  </si>
  <si>
    <t>Manómetro Winters Serie P9S, dial 3,5", 0/60 psi, 1/4"NPT posterior.</t>
  </si>
  <si>
    <t>P9S901458R1R11</t>
  </si>
  <si>
    <t>Manómetro Winters Serie P9S, dial 3,5", 0/100 psi, 1/4"NPT posterior.</t>
  </si>
  <si>
    <t>P9S901459R1R11</t>
  </si>
  <si>
    <t>Manómetro Winters Serie P9S, dial 3,5", 0/160 psi, 1/4"NPT posterior.</t>
  </si>
  <si>
    <t>P9S901460R1R11</t>
  </si>
  <si>
    <t>Manómetro Winters Serie P9S, dial 3,5", 0/200 psi, 1/4"NPT posterior.</t>
  </si>
  <si>
    <t>P9S901461R1R11</t>
  </si>
  <si>
    <t>Manómetro Winters Serie P9S, dial 3,5", 0/300 psi, 1/4"NPT posterior.</t>
  </si>
  <si>
    <t>P9S901462R1R11</t>
  </si>
  <si>
    <t>Manómetro Winters Serie P9S, dial 3,5", 0/400 psi, 1/4"NPT posterior.</t>
  </si>
  <si>
    <t>P9S901463R1R11</t>
  </si>
  <si>
    <t>Manómetro Winters Serie P9S, dial 3,5", 0/600 psi, 1/4"NPT posterior.</t>
  </si>
  <si>
    <t>P9U901397UCR6R11</t>
  </si>
  <si>
    <t>Vacuómetro Winters Serie P9U para montaje en panel, dial 1,5", 0/30" Vac/bar, 1/8"NPT posterior.</t>
  </si>
  <si>
    <t>P9U901399UCR1R11</t>
  </si>
  <si>
    <t>Vacuómetro Winters Serie P9U para montaje en panel, dial 1,5", 0/15 psi, 1/8"NPT posterior.</t>
  </si>
  <si>
    <t>P9U901400UCR1R11</t>
  </si>
  <si>
    <t>Vacuómetro Winters Serie P9U para montaje en panel, dial 1,5", 0/30 psi, 1/8"NPT posterior.</t>
  </si>
  <si>
    <t>P9U901401UCR1R11</t>
  </si>
  <si>
    <t>Vacuómetro Winters Serie P9U para montaje en panel, dial 1,5", 0/60 psi, 1/8"NPT posterior.</t>
  </si>
  <si>
    <t>P9U901420UCR1R11</t>
  </si>
  <si>
    <t>Vacuómetro Winters Serie P9U para montaje en panel, dial 1,5", 0/100 psi, 1/8"NPT posterior.</t>
  </si>
  <si>
    <t>P9U901421UCR1R11</t>
  </si>
  <si>
    <t>Vacuómetro Winters Serie P9U para montaje en panel, dial 1,5", 0/160 psi, 1/8"NPT posterior.</t>
  </si>
  <si>
    <t>P9U901422UCR1R11</t>
  </si>
  <si>
    <t>Vacuómetro Winters Serie P9U para montaje en panel, dial 1,5", 0/200 psi, 1/8"NPT posterior.</t>
  </si>
  <si>
    <t>P9U901423UCR1R11</t>
  </si>
  <si>
    <t>Vacuómetro Winters Serie P9U para montaje en panel, dial 1,5", 0/300 psi, 1/8"NPT posterior.</t>
  </si>
  <si>
    <t>P9U901443UCR1R11</t>
  </si>
  <si>
    <t>Vacuómetro Winters Serie P9U para montaje en panel, dial 1,5", 0/400 psi, 1/8"NPT posterior.</t>
  </si>
  <si>
    <t>P9U901444UCR1R11</t>
  </si>
  <si>
    <t>Vacuómetro Winters Serie P9U para montaje en panel, dial 1,5", 0/600 psi, 1/8"NPT posterior.</t>
  </si>
  <si>
    <t>P9U901424UCR6R11</t>
  </si>
  <si>
    <t>Vacuómetro Winters Serie P9U para montaje en panel, dial 2", 0/30" Vac/bar, 1/8"NPT posterior.</t>
  </si>
  <si>
    <t>P9U901425UCR1R11</t>
  </si>
  <si>
    <t>Vacuómetro Winters Serie P9U para montaje en panel, dial 2", 0/15 psi, 1/8"NPT posterior.</t>
  </si>
  <si>
    <t>P9U901402UCR1R11</t>
  </si>
  <si>
    <t>Vacuómetro Winters Serie P9U para montaje en panel, dial 2", 0/30 psi, 1/8"NPT posterior.</t>
  </si>
  <si>
    <t>P9U901404UCR1R11</t>
  </si>
  <si>
    <t>Vacuómetro Winters Serie P9U para montaje en panel, dial 2", 0/60 psi, 1/8"NPT posterior.</t>
  </si>
  <si>
    <t>P9U901406UCR1R11</t>
  </si>
  <si>
    <t>Vacuómetro Winters Serie P9U para montaje en panel, dial 2", 0/100 psi, 1/8"NPT posterior.</t>
  </si>
  <si>
    <t>P9U901408UCR1R11</t>
  </si>
  <si>
    <t>Vacuómetro Winters Serie P9U para montaje en panel, dial 2", 0/160 psi, 1/8"NPT posterior.</t>
  </si>
  <si>
    <t>P9U901426UCR1R11</t>
  </si>
  <si>
    <t>Vacuómetro Winters Serie P9U para montaje en panel, dial 2", 0/200 psi, 1/8"NPT posterior.</t>
  </si>
  <si>
    <t>P9U901427UCR1R11</t>
  </si>
  <si>
    <t>Vacuómetro Winters Serie P9U para montaje en panel, dial 2", 0/300 psi, 1/8"NPT posterior.</t>
  </si>
  <si>
    <t>P9U901445UCR1R11</t>
  </si>
  <si>
    <t>Vacuómetro Winters Serie P9U para montaje en panel, dial 2", 0/400 psi, 1/8"NPT posterior.</t>
  </si>
  <si>
    <t>P9U901446UCR1R11</t>
  </si>
  <si>
    <t>Vacuómetro Winters Serie P9U para montaje en panel, dial 2", 0/600 psi, 1/8"NPT posterior.</t>
  </si>
  <si>
    <t>P9U901428UCR6R11</t>
  </si>
  <si>
    <t>Vacuómetro Winters Serie P9U para montaje en panel, dial 2", 0/30" Vac/bar, 1/4"NPT posterior.</t>
  </si>
  <si>
    <t>P9U901429UCR1R11</t>
  </si>
  <si>
    <t>Vacuómetro Winters Serie P9U para montaje en panel, dial 2", 0/15 psi, 1/4"NPT posterior.</t>
  </si>
  <si>
    <t>P9U901403UCR1R11</t>
  </si>
  <si>
    <t>Vacuómetro Winters Serie P9U para montaje en panel, dial 2", 0/30 psi, 1/4"NPT posterior.</t>
  </si>
  <si>
    <t>P9U901405UCR1R11</t>
  </si>
  <si>
    <t>Vacuómetro Winters Serie P9U para montaje en panel, dial 2", 0/60 psi, 1/4"NPT posterior.</t>
  </si>
  <si>
    <t>P9U901407UCR1R11</t>
  </si>
  <si>
    <t>Vacuómetro Winters Serie P9U para montaje en panel, dial 2", 0/100 psi, 1/4"NPT posterior.</t>
  </si>
  <si>
    <t>P9U901409UCR1R11</t>
  </si>
  <si>
    <t>Vacuómetro Winters Serie P9U para montaje en panel, dial 2", 0/160 psi, 1/4"NPT posterior.</t>
  </si>
  <si>
    <t>P9U901410UCR1R11</t>
  </si>
  <si>
    <t>Vacuómetro Winters Serie P9U para montaje en panel, dial 2", 0/200 psi, 1/4"NPT posterior.</t>
  </si>
  <si>
    <t>P9U901411UCR1R11</t>
  </si>
  <si>
    <t>Vacuómetro Winters Serie P9U para montaje en panel, dial 2", 0/300 psi, 1/4"NPT posterior.</t>
  </si>
  <si>
    <t>P9U901447UCR1R11</t>
  </si>
  <si>
    <t>Vacuómetro Winters Serie P9U para montaje en panel, dial 2", 0/400 psi, 1/4"NPT posterior.</t>
  </si>
  <si>
    <t>P9U901448UCR1R11</t>
  </si>
  <si>
    <t>Vacuómetro Winters Serie P9U para montaje en panel, dial 2", 0/600 psi, 1/4"NPT posterior.</t>
  </si>
  <si>
    <t>P9U901431UCR6R11</t>
  </si>
  <si>
    <t>Vacuómetro Winters Serie P9U para montaje en panel, dial 2,5", 0/30" Vac/bar, 1/4"NPT posterior.</t>
  </si>
  <si>
    <t>P9U901436UCR1R11</t>
  </si>
  <si>
    <t>Vacuómetro Winters Serie P9U para montaje en panel, dial 2,5", 0/15 psi, 1/4"NPT posterior.</t>
  </si>
  <si>
    <t>P9U901437UCR1R11</t>
  </si>
  <si>
    <t>Vacuómetro Winters Serie P9U para montaje en panel, dial 2,5", 0/30 psi, 1/4"NPT posterior.</t>
  </si>
  <si>
    <t>P9U901438UCR1R11</t>
  </si>
  <si>
    <t>Vacuómetro Winters Serie P9U para montaje en panel, dial 2,5", 0/60 psi, 1/4"NPT posterior.</t>
  </si>
  <si>
    <t>P9U901439UCR1R11</t>
  </si>
  <si>
    <t>Vacuómetro Winters Serie P9U para montaje en panel, dial 2,5", 0/100 psi, 1/4"NPT posterior.</t>
  </si>
  <si>
    <t>P9U901440UCR1R11</t>
  </si>
  <si>
    <t>Vacuómetro Winters Serie P9U para montaje en panel, dial 2,5", 0/160 psi, 1/4"NPT posterior.</t>
  </si>
  <si>
    <t>P9U901441UCR1R11</t>
  </si>
  <si>
    <t>Vacuómetro Winters Serie P9U para montaje en panel, dial 2,5", 0/200 psi, 1/4"NPT posterior.</t>
  </si>
  <si>
    <t>P9U901442UCR1R11</t>
  </si>
  <si>
    <t>Vacuómetro Winters Serie P9U para montaje en panel, dial 2,5", 0/300 psi, 1/4"NPT posterior.</t>
  </si>
  <si>
    <t>P9U901453UCR1R11</t>
  </si>
  <si>
    <t>Vacuómetro Winters Serie P9U para montaje en panel, dial 2,5", 0/400 psi, 1/4"NPT posterior.</t>
  </si>
  <si>
    <t>P9U901454UCR1R11</t>
  </si>
  <si>
    <t>Vacuómetro Winters Serie P9U para montaje en panel, dial 2,5", 0/600 psi, 1/4"NPT posterior.</t>
  </si>
  <si>
    <t>P9U901455UCR6R11</t>
  </si>
  <si>
    <t>Vacuómetro Winters Serie P9U para montaje en panel, dial 3,5", 0/30" Vac/bar, 1/4"NPT posterior.</t>
  </si>
  <si>
    <t>P9U901464UCR1R11</t>
  </si>
  <si>
    <t>Vacuómetro Winters Serie P9U para montaje en panel, dial 3,5", 0/15 psi, 1/4"NPT posterior.</t>
  </si>
  <si>
    <t>P9U901456UCR1R11</t>
  </si>
  <si>
    <t>Vacuómetro Winters Serie P9U para montaje en panel, dial 3,5", 0/30 psi, 1/4"NPT posterior.</t>
  </si>
  <si>
    <t>P9U901457UCR1R11</t>
  </si>
  <si>
    <t>Vacuómetro Winters Serie P9U para montaje en panel, dial 3,5", 0/60 psi, 1/4"NPT posterior.</t>
  </si>
  <si>
    <t>P9U901458UCR1R11</t>
  </si>
  <si>
    <t>Vacuómetro Winters Serie P9U para montaje en panel, dial 3,5", 0/100 psi, 1/4"NPT posterior.</t>
  </si>
  <si>
    <t>P9U901459UCR1R11</t>
  </si>
  <si>
    <t>Vacuómetro Winters Serie P9U para montaje en panel, dial 3,5", 0/160 psi, 1/4"NPT posterior.</t>
  </si>
  <si>
    <t>P9U901460UCR1R11</t>
  </si>
  <si>
    <t>Vacuómetro Winters Serie P9U para montaje en panel, dial 3,5", 0/200 psi, 1/4"NPT posterior.</t>
  </si>
  <si>
    <t>P9U901461UCR1R11</t>
  </si>
  <si>
    <t>Vacuómetro Winters Serie P9U para montaje en panel, dial 3,5", 0/300 psi, 1/4"NPT posterior.</t>
  </si>
  <si>
    <t>P9U901462UCR1R11</t>
  </si>
  <si>
    <t>Vacuómetro Winters Serie P9U para montaje en panel, dial 3,5", 0/400 psi, 1/4"NPT posterior.</t>
  </si>
  <si>
    <t>P9U901463UCR1R11</t>
  </si>
  <si>
    <t>Vacuómetro Winters Serie P9U para montaje en panel, dial 3,5", 0/600 psi, 1/4"NPT posterior.</t>
  </si>
  <si>
    <t>PCT320R6R11</t>
  </si>
  <si>
    <t>Vacuómetro Winters Serie PCT Contractor, dial 4,5", 0/30" Vac/bar, 1/4" NPT inferior.</t>
  </si>
  <si>
    <t>PCT329R1R11</t>
  </si>
  <si>
    <t>Manovacuómetro Winters Serie PCT Contractor, dial 4,5", 30"/0/30 psi/bar, 1/4" NPT inferior.</t>
  </si>
  <si>
    <t>PCT330R1R11</t>
  </si>
  <si>
    <t>Manovacuómetro Winters Serie PCT Contractor, dial 4,5", 30"/0/60 psi/bar, 1/4" NPT inferior.</t>
  </si>
  <si>
    <t>PCT328R1R11</t>
  </si>
  <si>
    <t>Manovacuómetro Winters Serie PCT Contractor, dial 4,5", 30"/0/100 psi/bar, 1/4" NPT inferior.</t>
  </si>
  <si>
    <t>PCT332R1R11</t>
  </si>
  <si>
    <t>Manovacuómetro Winters Serie PCT Contractor, dial 4,5", 30"/0/160 psi/bar, 1/4" NPT inferior.</t>
  </si>
  <si>
    <t>PCT333R1R11</t>
  </si>
  <si>
    <t>Manovacuómetro Winters Serie PCT Contractor, dial 4,5", 30"/0/200 psi/bar, 1/4" NPT inferior.</t>
  </si>
  <si>
    <t>PCT334R1R11</t>
  </si>
  <si>
    <t>Manovacuómetro Winters Serie PCT Contractor, dial 4,5", 30"/0/300 psi/bar, 1/4" NPT inferior.</t>
  </si>
  <si>
    <t>PCT319R1R11</t>
  </si>
  <si>
    <t>Manómetro Winters Serie PCT Contractor, dial 4,5", 0/15 psi/bar, 1/4" NPT inferior.</t>
  </si>
  <si>
    <t>PCT321R1R11</t>
  </si>
  <si>
    <t>Manómetro Winters Serie PCT Contractor, dial 4,5", 0/30 psi/bar, 1/4" NPT inferior.</t>
  </si>
  <si>
    <t>PCT322R1R11</t>
  </si>
  <si>
    <t>Manómetro Winters Serie PCT Contractor, dial 4,5", 0/60 psi/bar, 1/4" NPT inferior.</t>
  </si>
  <si>
    <t>PCT323R1R11</t>
  </si>
  <si>
    <t>Manómetro Winters Serie PCT Contractor, dial 4,5", 0/100 psi/bar, 1/4" NPT inferior.</t>
  </si>
  <si>
    <t>PCT324R1R11</t>
  </si>
  <si>
    <t>Manómetro Winters Serie PCT Contractor, dial 4,5", 0/160 psi/bar, 1/4" NPT inferior.</t>
  </si>
  <si>
    <t>PCT325R1R11</t>
  </si>
  <si>
    <t>Manómetro Winters Serie PCT Contractor, dial 4,5", 0/200 psi/bar, 1/4" NPT inferior.</t>
  </si>
  <si>
    <t>PCT326R1R11</t>
  </si>
  <si>
    <t>Manómetro Winters Serie PCT Contractor, dial 4,5", 0/300 psi/bar, 1/4" NPT inferior.</t>
  </si>
  <si>
    <t>PCT327R1R11</t>
  </si>
  <si>
    <t>Manómetro Winters Serie PCT Contractor, dial 4,5", 0/400 psi/bar, 1/4" NPT inferior.</t>
  </si>
  <si>
    <t>PCT331R1R11</t>
  </si>
  <si>
    <t>Manómetro Winters Serie PCT Contractor, dial 4,5", 0/600 psi/bar, 1/4" NPT inferior.</t>
  </si>
  <si>
    <t>PCT293R1R11</t>
  </si>
  <si>
    <t>Manómetro Winters Serie PCT Contractor, dial 4,5", 0/1.000 psi/bar, 1/4" NPT inferior.</t>
  </si>
  <si>
    <t>PCT294R1R11</t>
  </si>
  <si>
    <t>Manómetro Winters Serie PCT Contractor, dial 4,5", 0/3.000 psi/bar, 1/4" NPT inferior.</t>
  </si>
  <si>
    <t>PCT295R1R11</t>
  </si>
  <si>
    <t>Manómetro Winters Serie PCT Contractor, dial 4,5", 0/5.000 psi/bar, 1/4" NPT inferior.</t>
  </si>
  <si>
    <t>PCT320LFR6R11</t>
  </si>
  <si>
    <t>Vacuómetro Winters Serie PCT-LF Contractor, libre de plomo, dial 4,5", 0/30" Vac/bar, 1/4" NPT inferior.</t>
  </si>
  <si>
    <t>PCT329LFR1R11</t>
  </si>
  <si>
    <t>Vacuómetro Winters Serie PCT-LF Contractor, libre de plomo, dial 4,5", 30"/0/30 psi/bar, 1/4" NPT inferior.</t>
  </si>
  <si>
    <t>PCT330LFR1R11</t>
  </si>
  <si>
    <t>Vacuómetro Winters Serie PCT-LF Contractor, libre de plomo, dial 4,5", 30"/0/60 psi/bar, 1/4" NPT inferior.</t>
  </si>
  <si>
    <t>PCT328LFR1R11</t>
  </si>
  <si>
    <t>Vacuómetro Winters Serie PCT-LF Contractor, libre de plomo, dial 4,5", 30"/0/100 psi/bar, 1/4" NPT inferior.</t>
  </si>
  <si>
    <t>PCT332LFR1R11</t>
  </si>
  <si>
    <t>Vacuómetro Winters Serie PCT-LF Contractor, libre de plomo, dial 4,5", 30"/0/160 psi/bar, 1/4" NPT inferior.</t>
  </si>
  <si>
    <t>PCT333LFR1R11</t>
  </si>
  <si>
    <t>Vacuómetro Winters Serie PCT-LF Contractor, libre de plomo, dial 4,5", 30"/0/200 psi/bar, 1/4" NPT inferior.</t>
  </si>
  <si>
    <t>PCT334LFR1R11</t>
  </si>
  <si>
    <t>Vacuómetro Winters Serie PCT-LF Contractor, libre de plomo, dial 4,5", 30"/0/300 psi/bar, 1/4" NPT inferior.</t>
  </si>
  <si>
    <t>PCT319LFR1R11</t>
  </si>
  <si>
    <t>Manómetro Winters Serie PCT-LF Contractor, libre de plomo, dial 4,5", 0/15 psi/bar, 1/4" NPT inferior.</t>
  </si>
  <si>
    <t>PCT321LFR1R11</t>
  </si>
  <si>
    <t>Manómetro Winters Serie PCT-LF Contractor, libre de plomo, dial 4,5", 0/30 psi/bar, 1/4" NPT inferior.</t>
  </si>
  <si>
    <t>PCT322LFR1R11</t>
  </si>
  <si>
    <t>Manómetro Winters Serie PCT-LF Contractor, libre de plomo, dial 4,5", 0/60 psi/bar, 1/4" NPT inferior.</t>
  </si>
  <si>
    <t>PCT323LFR1R11</t>
  </si>
  <si>
    <t>Manómetro Winters Serie PCT-LF Contractor, libre de plomo, dial 4,5", 0/100 psi/bar, 1/4" NPT inferior.</t>
  </si>
  <si>
    <t>PCT324LFR1R11</t>
  </si>
  <si>
    <t>Manómetro Winters Serie PCT-LF Contractor, libre de plomo, dial 4,5", 0/160 psi/bar, 1/4" NPT inferior.</t>
  </si>
  <si>
    <t>PCT325LFR1R11</t>
  </si>
  <si>
    <t>Manómetro Winters Serie PCT-LF Contractor, libre de plomo, dial 4,5", 0/200 psi/bar, 1/4" NPT inferior.</t>
  </si>
  <si>
    <t>PCT326LFR1R11</t>
  </si>
  <si>
    <t>Manómetro Winters Serie PCT-LF Contractor, libre de plomo, dial 4,5", 0/300 psi/bar, 1/4" NPT inferior.</t>
  </si>
  <si>
    <t>PCT327LFR1R11</t>
  </si>
  <si>
    <t>Manómetro Winters Serie PCT-LF Contractor, libre de plomo, dial 4,5", 0/400 psi/bar, 1/4" NPT inferior.</t>
  </si>
  <si>
    <t>PCT331LFR1R11</t>
  </si>
  <si>
    <t>Manómetro Winters Serie PCT-LF Contractor, libre de plomo, dial 4,5", 0/600 psi/bar, 1/4" NPT inferior.</t>
  </si>
  <si>
    <t>PCT293LFR1R11</t>
  </si>
  <si>
    <t>Manómetro Winters Serie PCT-LF Contractor, libre de plomo, dial 4,5", 0/1.000 psi/bar, 1/4" NPT inferior.</t>
  </si>
  <si>
    <t>PCT294LFR1R11</t>
  </si>
  <si>
    <t>Manómetro Winters Serie PCT-LF Contractor, libre de plomo, dial 4,5", 0/3.000 psi/bar, 1/4" NPT inferior.</t>
  </si>
  <si>
    <t>PCT295LFR1R11</t>
  </si>
  <si>
    <t>Manómetro Winters Serie PCT-LF Contractor, libre de plomo, dial 4,5", 0/5.000 psi/bar, 1/4" NPT inferior.</t>
  </si>
  <si>
    <t>PCC600CR6R11</t>
  </si>
  <si>
    <t>Vacuómetro Winters Serie PCC con caja de colores, dial 4", 0/30" HG, latón, 1/4" NPT inferior.</t>
  </si>
  <si>
    <t>PCC1020CR1R11</t>
  </si>
  <si>
    <t>Manovacuómetro Winters Serie PCC con caja de colores, dial 4", 30"/0/15 psi, latón, 1/4" NPT inferior.</t>
  </si>
  <si>
    <t>PCC1021CR1R11</t>
  </si>
  <si>
    <t>Manovacuómetro Winters Serie PCC con caja de colores, dial 4", 30"/0/30 psi, latón, 1/4" NPT inferior.</t>
  </si>
  <si>
    <t>PCC1022CR1R11</t>
  </si>
  <si>
    <t>Manovacuómetro Winters Serie PCC con caja de colores, dial 4", 30"/0/60 psi, latón, 1/4" NPT inferior.</t>
  </si>
  <si>
    <t>PCC1023CR1R11</t>
  </si>
  <si>
    <t>Manovacuómetro Winters Serie PCC con caja de colores, dial 4", 30"/0/100 psi, latón, 1/4" NPT inferior.</t>
  </si>
  <si>
    <t>PCC1024CR1R11</t>
  </si>
  <si>
    <t>Manovacuómetro Winters Serie PCC con caja de colores, dial 4", 30"/0/150 psi, latón, 1/4" NPT inferior.</t>
  </si>
  <si>
    <t>PCC1026CR1R11</t>
  </si>
  <si>
    <t>Manovacuómetro Winters Serie PCC con caja de colores, dial 4", 30"/0/200 psi, latón, 1/4" NPT inferior.</t>
  </si>
  <si>
    <t>PCC1027CR1R11</t>
  </si>
  <si>
    <t>Manovacuómetro Winters Serie PCC con caja de colores, dial 4", 30"/0/300 psi, latón, 1/4" NPT inferior.</t>
  </si>
  <si>
    <t>PCC601CR1R11</t>
  </si>
  <si>
    <t>Manómetro Winters Serie PCC con caja de colores, dial 4", 0/15 psi, latón, 1/4" NPT inferior.</t>
  </si>
  <si>
    <t>PCC602CR1R11</t>
  </si>
  <si>
    <t>Manómetro Winters Serie PCC con caja de colores, dial 4", 0/30 psi, latón, 1/4" NPT inferior.</t>
  </si>
  <si>
    <t>PCC603CR1R11</t>
  </si>
  <si>
    <t>Manómetro Winters Serie PCC con caja de colores, dial 4", 0/60 psi, latón, 1/4" NPT inferior.</t>
  </si>
  <si>
    <t>PCC604CR1R11</t>
  </si>
  <si>
    <t>Manómetro Winters Serie PCC con caja de colores, dial 4", 0/100 psi, latón, 1/4" NPT inferior.</t>
  </si>
  <si>
    <t>PCC605CR1R11</t>
  </si>
  <si>
    <t>Manómetro Winters Serie PCC con caja de colores, dial 4", 0/160 psi, latón, 1/4" NPT inferior.</t>
  </si>
  <si>
    <t>PCC606CR1R11</t>
  </si>
  <si>
    <t>Manómetro Winters Serie PCC con caja de colores, dial 4", 0/200 psi, latón, 1/4" NPT inferior.</t>
  </si>
  <si>
    <t>PCC607CR1R11</t>
  </si>
  <si>
    <t>Manómetro Winters Serie PCC con caja de colores, dial 4", 0/300 psi, latón, 1/4" NPT inferior.</t>
  </si>
  <si>
    <t>PCC610CR1R11</t>
  </si>
  <si>
    <t>Manómetro Winters Serie PCC con caja de colores, dial 4", 0/400 psi, latón, 1/4" NPT inferior.</t>
  </si>
  <si>
    <t>PCC608CR1R11</t>
  </si>
  <si>
    <t>Manómetro Winters Serie PCC con caja de colores, dial 4", 0/600 psi, latón, 1/4" NPT inferior.</t>
  </si>
  <si>
    <t>PCC609CR1R11</t>
  </si>
  <si>
    <t>Manómetro Winters Serie PCC con caja de colores, dial 4", 0/1.000 psi, latón, 1/4" NPT inferior.</t>
  </si>
  <si>
    <t>PCC624CR1R11</t>
  </si>
  <si>
    <t>Manómetro Winters Serie PCC con caja de colores, dial 4", 0/1.000 psi, latón, 1/2" NPT inferior.</t>
  </si>
  <si>
    <t>PCC625CR1R11</t>
  </si>
  <si>
    <t>Manómetro Winters Serie PCC con caja de colores, dial 4", 0/1.500 psi, latón, 1/2" NPT inferior.</t>
  </si>
  <si>
    <t>PCC626CR1R11</t>
  </si>
  <si>
    <t>Manómetro Winters Serie PCC con caja de colores, dial 4", 0/2.000 psi, latón, 1/2" NPT inferior.</t>
  </si>
  <si>
    <t>PCC627CR1R11</t>
  </si>
  <si>
    <t>Manómetro Winters Serie PCC con caja de colores, dial 4", 0/3.000 psi, latón, 1/2" NPT inferior.</t>
  </si>
  <si>
    <t>PCC628CR1R11</t>
  </si>
  <si>
    <t>Manómetro Winters Serie PCC con caja de colores, dial 4", 0/5.000 psi, latón, 1/2" NPT inferior.</t>
  </si>
  <si>
    <t>PCC629CR1R11</t>
  </si>
  <si>
    <t>Manómetro Winters Serie PCC con caja de colores, dial 4", 0/10.000 psi, latón, 1/2" NPT inferior.</t>
  </si>
  <si>
    <t>PCC630CR1R11</t>
  </si>
  <si>
    <t>Manómetro Winters Serie PCC con caja de colores, dial 4", 0/15.000 psi, latón, 1/2" NPT inferior.</t>
  </si>
  <si>
    <t>PCC639CR1R11</t>
  </si>
  <si>
    <t>Manómetro Winters Serie PCC con caja de colores, dial 4", 0/20.000 psi, latón, 1/2" NPT inferior.</t>
  </si>
  <si>
    <t>PCC640CR6R11</t>
  </si>
  <si>
    <t>Vacuómetro Winters Serie PCC con caja de colores, dial 4", 0/30" HG, Ac. Inox. 316, 1/4" NPT inferior.</t>
  </si>
  <si>
    <t>PCC1036CR1R11</t>
  </si>
  <si>
    <t>Manovacuómetro Winters Serie PCC con caja de colores, dial 4", 30"/0/15 psi, Ac. Inox. 316, 1/4" NPT inferior.</t>
  </si>
  <si>
    <t>PCC1037CR1R11</t>
  </si>
  <si>
    <t>Manovacuómetro Winters Serie PCC con caja de colores, dial 4", 30"/0/30 psi, Ac. Inox. 316, 1/4" NPT inferior.</t>
  </si>
  <si>
    <t>PCC1038CR1R11</t>
  </si>
  <si>
    <t>Manovacuómetro Winters Serie PCC con caja de colores, dial 4", 30"/0/60 psi, Ac. Inox. 316, 1/4" NPT inferior.</t>
  </si>
  <si>
    <t>PCC1039CR1R11</t>
  </si>
  <si>
    <t>Manovacuómetro Winters Serie PCC con caja de colores, dial 4", 30"/0/100 psi, Ac. Inox. 316, 1/4" NPT inferior.</t>
  </si>
  <si>
    <t>PCC1040CR1R11</t>
  </si>
  <si>
    <t>Manovacuómetro Winters Serie PCC con caja de colores, dial 4", 30"/0/150 psi, Ac. Inox. 316, 1/4" NPT inferior.</t>
  </si>
  <si>
    <t>PCC1042CR1R11</t>
  </si>
  <si>
    <t>Manovacuómetro Winters Serie PCC con caja de colores, dial 4", 30"/0/200 psi, Ac. Inox. 316, 1/4" NPT inferior.</t>
  </si>
  <si>
    <t>PCC1043CR1R11</t>
  </si>
  <si>
    <t>Manovacuómetro Winters Serie PCC con caja de colores, dial 4", 30"/0/300 psi, Ac. Inox. 316, 1/4" NPT inferior.</t>
  </si>
  <si>
    <t>PCC641CR1R11</t>
  </si>
  <si>
    <t>Manómetro Winters Serie PCC con caja de colores, dial 4", 0/15 psi, Ac. Inox. 316, 1/4" NPT inferior.</t>
  </si>
  <si>
    <t>PCC642CR1R11</t>
  </si>
  <si>
    <t>Manómetro Winters Serie PCC con caja de colores, dial 4", 0/30 psi, Ac. Inox. 316, 1/4" NPT inferior.</t>
  </si>
  <si>
    <t>PCC643CR1R11</t>
  </si>
  <si>
    <t>Manómetro Winters Serie PCC con caja de colores, dial 4", 0/60 psi, Ac. Inox. 316, 1/4" NPT inferior.</t>
  </si>
  <si>
    <t>PCC644CR1R11</t>
  </si>
  <si>
    <t>Manómetro Winters Serie PCC con caja de colores, dial 4", 0/100 psi, Ac. Inox. 316, 1/4" NPT inferior.</t>
  </si>
  <si>
    <t>PCC645CR1R11</t>
  </si>
  <si>
    <t>Manómetro Winters Serie PCC con caja de colores, dial 4", 0/160 psi, Ac. Inox. 316, 1/4" NPT inferior.</t>
  </si>
  <si>
    <t>PCC646CR1R11</t>
  </si>
  <si>
    <t>Manómetro Winters Serie PCC con caja de colores, dial 4", 0/200 psi, Ac. Inox. 316, 1/4" NPT inferior.</t>
  </si>
  <si>
    <t>PCC647CR1R11</t>
  </si>
  <si>
    <t>Manómetro Winters Serie PCC con caja de colores, dial 4", 0/300 psi, Ac. Inox. 316, 1/4" NPT inferior.</t>
  </si>
  <si>
    <t>PCC650CR1R11</t>
  </si>
  <si>
    <t>Manómetro Winters Serie PCC con caja de colores, dial 4", 0/400 psi, Ac. Inox. 316, 1/4" NPT inferior.</t>
  </si>
  <si>
    <t>PCC648CR1R11</t>
  </si>
  <si>
    <t>Manómetro Winters Serie PCC con caja de colores, dial 4", 0/600 psi, Ac. Inox. 316, 1/4" NPT inferior.</t>
  </si>
  <si>
    <t>PCC649CR1R11</t>
  </si>
  <si>
    <t>Manómetro Winters Serie PCC con caja de colores, dial 4", 0/1.000 psi, Ac. Inox. 316, 1/4" NPT inferior.</t>
  </si>
  <si>
    <t>PCC655CR6R11</t>
  </si>
  <si>
    <t>PCC1044CR1R11</t>
  </si>
  <si>
    <t>PCC1045CR1R11</t>
  </si>
  <si>
    <t>PCC1046CR1R11</t>
  </si>
  <si>
    <t>PCC1047CR1R11</t>
  </si>
  <si>
    <t>PCC1048CR1R11</t>
  </si>
  <si>
    <t>PCC1050CR1R11</t>
  </si>
  <si>
    <t>PCC1051CR1R11</t>
  </si>
  <si>
    <t>PCC656CR1R11</t>
  </si>
  <si>
    <t>PCC657CR1R11</t>
  </si>
  <si>
    <t>PCC658CR1R11</t>
  </si>
  <si>
    <t>PCC659CR1R11</t>
  </si>
  <si>
    <t>PCC660CR1R11</t>
  </si>
  <si>
    <t>PCC661CR1R11</t>
  </si>
  <si>
    <t>PCC662CR1R11</t>
  </si>
  <si>
    <t>PCC666CR1R11</t>
  </si>
  <si>
    <t>PCC663CR1R11</t>
  </si>
  <si>
    <t>PCC664CR1R11</t>
  </si>
  <si>
    <t>PCC665CR1R11</t>
  </si>
  <si>
    <t>Manómetro Winters Serie PCC con caja de colores, dial 4", 0/1.500 psi, Ac. Inox. 316, 1/4" NPT inferior.</t>
  </si>
  <si>
    <t>PCC667CR1R11</t>
  </si>
  <si>
    <t>Manómetro Winters Serie PCC con caja de colores, dial 4", 0/2.000 psi, Ac. Inox. 316, 1/4" NPT inferior.</t>
  </si>
  <si>
    <t>PCC668CR1R11</t>
  </si>
  <si>
    <t>Manómetro Winters Serie PCC con caja de colores, dial 4", 0/3.000 psi, Ac. Inox. 316, 1/4" NPT inferior.</t>
  </si>
  <si>
    <t>PCC669CR1R11</t>
  </si>
  <si>
    <t>Manómetro Winters Serie PCC con caja de colores, dial 4", 0/5.000 psi, Ac. Inox. 316, 1/4" NPT inferior.</t>
  </si>
  <si>
    <t>PCC670CR1R11</t>
  </si>
  <si>
    <t>Manómetro Winters Serie PCC con caja de colores, dial 4", 0/10.000 psi, Ac. Inox. 316, 1/4" NPT inferior.</t>
  </si>
  <si>
    <t>PCC671CR1R11</t>
  </si>
  <si>
    <t>Manómetro Winters Serie PCC con caja de colores, dial 4", 0/15.000 psi, Ac. Inox. 316, 1/4" NPT inferior.</t>
  </si>
  <si>
    <t>PCC672CR1R11</t>
  </si>
  <si>
    <t>Manómetro Winters Serie PCC con caja de colores, dial 4", 0/20.000 psi, Ac. Inox. 316, 1/4" NPT inferior.</t>
  </si>
  <si>
    <t>PFD20213</t>
  </si>
  <si>
    <t>Manómetro diferencial magnético Winters Serie PFD WinAIR Compacto, dial 2 1/16"(52mm), 0/125 Pa, boquillas para mangueras de diametro interno de 3/16”, clase ±5%</t>
  </si>
  <si>
    <t>PFD20216</t>
  </si>
  <si>
    <t>Manómetro diferencial magnético Winters Serie PFD WinAIR Compacto, dial 2 1/16"(52mm), 0/250 Pa, boquillas para mangueras de diametro interno de 3/16”, clase ±5%</t>
  </si>
  <si>
    <t>PFD20217</t>
  </si>
  <si>
    <t>Manómetro diferencial magnético Winters Serie PFD WinAIR Compacto, dial 2 1/16"(52mm), 0/300 Pa, boquillas para mangueras de diametro interno de 3/16”, clase ±5%</t>
  </si>
  <si>
    <t>PFD20218</t>
  </si>
  <si>
    <t>Manómetro diferencial magnético Winters Serie PFD WinAIR Compacto, dial 2 1/16"(52mm), 0/500 Pa, boquillas para mangueras de diametro interno de 3/16”, clase ±5%</t>
  </si>
  <si>
    <t>PFD20219</t>
  </si>
  <si>
    <t>Manómetro diferencial magnético Winters Serie PFD WinAIR Compacto, dial 2 1/16"(52mm), 0/750 Pa, boquillas para mangueras de diametro interno de 3/16”, clase ±5%</t>
  </si>
  <si>
    <t>PFD20011</t>
  </si>
  <si>
    <t>Manómetro diferencial magnético Winters Serie PFD WinAIR Compacto, dial 2 1/16"(52mm), 0/0.5" H2O, boquillas para mangueras de diametro interno de 3/16”, clase ±5%</t>
  </si>
  <si>
    <t>PFD20012</t>
  </si>
  <si>
    <t>Manómetro diferencial magnético Winters Serie PFD WinAIR Compacto, dial 2 1/16"(52mm), 0/1" H2O, boquillas para mangueras de diametro interno de 3/16”, clase ±5%</t>
  </si>
  <si>
    <t>PFD20013</t>
  </si>
  <si>
    <t>Manómetro diferencial magnético Winters Serie PFD WinAIR Compacto, dial 2 1/16"(52mm), 0/2" H2O, boquillas para mangueras de diametro interno de 3/16”, clase ±5%</t>
  </si>
  <si>
    <t>PFD20014</t>
  </si>
  <si>
    <t>Manómetro diferencial magnético Winters Serie PFD WinAIR Compacto, dial 2 1/16"(52mm), 0/3" H2O, boquillas para mangueras de diametro interno de 3/16”, clase ±5%</t>
  </si>
  <si>
    <t>PFD20016</t>
  </si>
  <si>
    <t>Manómetro diferencial magnético Winters Serie PFD WinAIR Compacto, dial 2 1/16"(52mm), 0/4" H2O, boquillas para mangueras de diametro interno de 3/16”, clase ±5%</t>
  </si>
  <si>
    <t>PFD20019</t>
  </si>
  <si>
    <t>Manómetro diferencial magnético Winters Serie PFD WinAIR Compacto, dial 2 1/16"(52mm), 0/10" H2O, boquillas para mangueras de diametro interno de 3/16”, clase ±5%</t>
  </si>
  <si>
    <t>WPS1010</t>
  </si>
  <si>
    <t>Accesorio PFD WinAIR Compacto Punta de presión estática con brida</t>
  </si>
  <si>
    <t>WPS1020</t>
  </si>
  <si>
    <t>Accesorio PFD WinAIR Compacto Tubo de PVC, 20 m (65')</t>
  </si>
  <si>
    <t>PFD40100-RSP</t>
  </si>
  <si>
    <t>Manómetro diferencial magnético Winters Serie PFD WinAIR, dial 4", -0,25/0/0,25" H2O, 1/8" NPT, clase ±2%, con aguja roja de seteo.</t>
  </si>
  <si>
    <t>PFD40101-RSP</t>
  </si>
  <si>
    <t>Manómetro diferencial magnético Winters Serie PFD WinAIR, dial 4", -0,5/0/0,5" H2O, 1/8" NPT, clase ±2%, con aguja roja de seteo.</t>
  </si>
  <si>
    <t>PFD40102</t>
  </si>
  <si>
    <t>Manómetro diferencial magnético Winters Serie PFD WinAIR, dial 4", -1/0/1" H2O, 1/8 NPT, clase ±2%.</t>
  </si>
  <si>
    <t>PFD40102-RSP</t>
  </si>
  <si>
    <t>Manómetro diferencial magnético Winters Serie PFD WinAIR, dial 4", -1/0/1" H2O, 1/8 NPT, clase ±2%, con aguja roja de seteo.</t>
  </si>
  <si>
    <t>PFD40103-RSP</t>
  </si>
  <si>
    <t>Manómetro diferencial magnético Winters Serie PFD WinAIR, dial 4", -2/0/2 " H2O, 1/8" NPT, clase ±2%, con aguja roja de seteo.</t>
  </si>
  <si>
    <t>PFD40104-RSP</t>
  </si>
  <si>
    <t>Manómetro diferencial magnético Winters Serie PFD WinAIR, dial 4", -5/0/5 " H2O, 1/8" NPT, clase ±2%, con aguja roja de seteo.</t>
  </si>
  <si>
    <t>PFD40105-RSP</t>
  </si>
  <si>
    <t>Manómetro diferencial magnético Winters Serie PFD WinAIR, dial 4", -10/0/10" H2O, 1/8" NPT, clase ±2%, con aguja roja de seteo.</t>
  </si>
  <si>
    <t>PFD40106-RSP</t>
  </si>
  <si>
    <t>Manómetro diferencial magnético Winters Serie PFD WinAIR, dial 4", -15/0/15" H2O, 1/8 NPT, clase ±2%, con aguja roja de seteo.</t>
  </si>
  <si>
    <t>PFD40010-RSP</t>
  </si>
  <si>
    <t>Manómetro diferencial magnético Winters Serie PFD WinAIR, dial 4", 0/0,25" H2O, 1/8" NPT, clase ±2%, con aguja roja de seteo.</t>
  </si>
  <si>
    <t>PFD40011-RSP</t>
  </si>
  <si>
    <t>Manómetro diferencial magnético Winters Serie PFD WinAIR, dial 4", 0/0,5" H2O, 1/8" NPT, clase ±2%, con aguja roja de seteo.</t>
  </si>
  <si>
    <t>PFD40012-RSP</t>
  </si>
  <si>
    <t>Manómetro diferencial magnético Winters Serie PFD WinAIR, dial 4", 0/1" H2O, 1/8" NPT, clase ±2%, con aguja roja de seteo.</t>
  </si>
  <si>
    <t>PFD40013-RSP</t>
  </si>
  <si>
    <t>Manómetro diferencial magnético Winters Serie PFD WinAIR, dial 4", 0/2" H2O, 1/8" NPT, clase ±2%, con aguja roja de seteo.</t>
  </si>
  <si>
    <t>PFD40014-RSP</t>
  </si>
  <si>
    <t>Manómetro diferencial magnético Winters Serie PFD WinAIR, dial 4", 0/3" H2O, 1/8" NPT, clase ±2%, con aguja roja de seteo.</t>
  </si>
  <si>
    <t>PFD40015-RSP</t>
  </si>
  <si>
    <t>Manómetro diferencial magnético Winters Serie PFD WinAIR, dial 4", 0/4" H2O, 1/8" NPT, clase ±2%, con aguja roja de seteo.</t>
  </si>
  <si>
    <t>PFD40016-RSP</t>
  </si>
  <si>
    <t>Manómetro diferencial magnético Winters Serie PFD WinAIR, dial 4", 0/5" H2O, 1/8" NPT, clase ±2%, con aguja roja de seteo.</t>
  </si>
  <si>
    <t>PFD40017-RSP</t>
  </si>
  <si>
    <t>Manómetro diferencial magnético Winters Serie PFD WinAIR, dial 4", 0/6" H2O, 1/8" NPT, clase ±2%, con aguja roja de seteo.</t>
  </si>
  <si>
    <t>PFD40018-RSP</t>
  </si>
  <si>
    <t>Manómetro diferencial magnético Winters Serie PFD WinAIR, dial 4", 0/8" H2O, 1/8" NPT, clase ±2%, con aguja roja de seteo.</t>
  </si>
  <si>
    <t>PFD40019-RSP</t>
  </si>
  <si>
    <t>Manómetro diferencial magnético Winters Serie PFD WinAIR, dial 4", 0/10" H2O, 1/8 NPT, clase ±2%, con aguja roja de seteo.</t>
  </si>
  <si>
    <t>PFD40020-RSP</t>
  </si>
  <si>
    <t>Manómetro diferencial magnético Winters Serie PFD WinAIR, dial 4", 0/12" H2O, 1/8" NPT, clase ±2%, con aguja roja de seteo.</t>
  </si>
  <si>
    <t>PFD40021-RSP</t>
  </si>
  <si>
    <t>Manómetro diferencial magnético Winters Serie PFD WinAIR, dial 4", 0/15" H2O, 1/8" NPT, clase ±2%, con aguja roja de seteo.</t>
  </si>
  <si>
    <t>PFD40022</t>
  </si>
  <si>
    <t>Manómetro diferencial magnético Winters Serie PFD WinAIR, dial 4", 0/20" H2O, 1/8 NPT, clase ±2%.</t>
  </si>
  <si>
    <t>PFD40022-RSP</t>
  </si>
  <si>
    <t>Manómetro diferencial magnético Winters Serie PFD WinAIR, dial 4", 0/20" H2O, 1/8 NPT, clase ±2%, con aguja roja de seteo.</t>
  </si>
  <si>
    <t>PFD40023-RSP</t>
  </si>
  <si>
    <t>Manómetro diferencial magnético Winters Serie PFD WinAIR, dial 4", 0/25" H2O, 1/8" NPT, clase ±2%, con aguja roja de seteo.</t>
  </si>
  <si>
    <t>PFD40024-RSP</t>
  </si>
  <si>
    <t>Manómetro diferencial magnético Winters Serie PFD WinAIR, dial 4", 0-30" H2O, 1/8 NPT, clase ±2%, con aguja roja de seteo.</t>
  </si>
  <si>
    <t>PFD40025-RSP</t>
  </si>
  <si>
    <t>Manómetro diferencial magnético Winters Serie PFD WinAIR, dial 4", 0/40" H2O, 1/8" NPT, clase ±2%, con aguja roja de seteo.</t>
  </si>
  <si>
    <t>PFD40026-RSP</t>
  </si>
  <si>
    <t>Manómetro diferencial magnético Winters Serie PFD WinAIR, dial 4", 0/50" H2O, 1/8 NPT, clase ±2%, con aguja roja de seteo.</t>
  </si>
  <si>
    <t>PFD40027-RSP</t>
  </si>
  <si>
    <t>Manómetro diferencial magnético Winters Serie PFD WinAIR, dial 4", 0/60" H2O, 1/8" NPT, clase ±2%, con aguja roja de seteo.</t>
  </si>
  <si>
    <t>PFD40028-RSP</t>
  </si>
  <si>
    <t>Manómetro diferencial magnético Winters Serie PFD WinAIR, dial 4", 0/80" H2O, 1/8" NPT, clase ±2%, con aguja roja de seteo.</t>
  </si>
  <si>
    <t>PFD40029-RSP</t>
  </si>
  <si>
    <t>Manómetro diferencial magnético Winters Serie PFD WinAIR, dial 4", 0/100" H2O, 1/8 NPT, clase ±2%, con aguja roja de seteo.</t>
  </si>
  <si>
    <t>PFD40030-RSP</t>
  </si>
  <si>
    <t>Manómetro diferencial magnético Winters Serie PFD WinAIR, dial 4", 0/120" H2O, 1/8" NPT, clase ±2%, con aguja roja de seteo.</t>
  </si>
  <si>
    <t>PFD40031-RSP</t>
  </si>
  <si>
    <t>Manómetro diferencial magnético Winters Serie PFD WinAIR, dial 4", 0/150" H2O, 1/8 NPT, clase ±2%, con aguja roja de seteo.</t>
  </si>
  <si>
    <t>PFD40500-RSP</t>
  </si>
  <si>
    <t>Manómetro diferencial magnético Winters Serie PFD WinAIR, dial 4", 0/0,5 kPa 1/8" NPT, clase ±2%, con aguja roja de seteo.</t>
  </si>
  <si>
    <t>PFD40501-RSP</t>
  </si>
  <si>
    <t>Manómetro diferencial magnético Winters Serie PFD WinAIR, dial 4", 0/1 kPa, 1/8 NPT, clase ±2%, con aguja roja de seteo.</t>
  </si>
  <si>
    <t>PFD40502-RSP</t>
  </si>
  <si>
    <t>Manómetro diferencial magnético Winters Serie PFD WinAIR, dial 4", 0/1,5 kPa 1/8" NPT, clase ±2%, con aguja roja de seteo.</t>
  </si>
  <si>
    <t>PFD40503-RSP</t>
  </si>
  <si>
    <t>Manómetro diferencial magnético Winters Serie PFD WinAIR, dial 4", 0/2 kPa 1/8" NPT, clase ±2%, con aguja roja de seteo.</t>
  </si>
  <si>
    <t>PFD40504-RSP</t>
  </si>
  <si>
    <t>Manómetro diferencial magnético Winters Serie PFD WinAIR, dial 4", 0/2,5 kPa, 1/8 NPT, clase ±2%, con aguja roja de seteo.</t>
  </si>
  <si>
    <t>PFD40505-RSP</t>
  </si>
  <si>
    <t>Manómetro diferencial magnético Winters Serie PFD WinAIR, dial 4", 0/3 kPa 1/8" NPT, clase ±2%, con aguja roja de seteo.</t>
  </si>
  <si>
    <t>PFD40506-RSP</t>
  </si>
  <si>
    <t>Manómetro diferencial magnético Winters Serie PFD WinAIR, dial 4", 0/4 kPa 1/8" NPT, clase ±2%, con aguja roja de seteo.</t>
  </si>
  <si>
    <t>PFD40507-RSP</t>
  </si>
  <si>
    <t>Manómetro diferencial magnético Winters Serie PFD WinAIR, dial 4", 0/5 kPa, 1/8 NPT, clase ±2%, con aguja roja de seteo.</t>
  </si>
  <si>
    <t>PFD40508-RSP</t>
  </si>
  <si>
    <t>Manómetro diferencial magnético Winters Serie PFD WinAIR, dial 4", 0/6 kPa 1/8" NPT, clase ±2%, con aguja roja de seteo.</t>
  </si>
  <si>
    <t>PFD40509-RSP</t>
  </si>
  <si>
    <t>Manómetro diferencial magnético Winters Serie PFD WinAIR, dial 4", 0/8 kPa 1/8" NPT, clase ±2%, con aguja roja de seteo.</t>
  </si>
  <si>
    <t>PFD40510-RSP</t>
  </si>
  <si>
    <t>Manómetro diferencial magnético Winters Serie PFD WinAIR, dial 4", 0-10 kPa, 1/8 NPT, clase ±2%, con aguja roja de seteo.</t>
  </si>
  <si>
    <t>PFD40511-RSP</t>
  </si>
  <si>
    <t>Manómetro diferencial magnético Winters Serie PFD WinAIR, dial 4", 0/15 kPa 1/8" NPT, clase ±2%, con aguja roja de seteo.</t>
  </si>
  <si>
    <t>PFD40512-RSP</t>
  </si>
  <si>
    <t>Manómetro diferencial magnético Winters Serie PFD WinAIR, dial 4", 0/20 kPa 1/8" NPT, clase ±2%, con aguja roja de seteo.</t>
  </si>
  <si>
    <t>PFD40513-RSP</t>
  </si>
  <si>
    <t>Manómetro diferencial magnético Winters Serie PFD WinAIR, dial 4", 0-25 kPa, 1/8 NPT, clase ±2%, con aguja roja de seteo.</t>
  </si>
  <si>
    <t>PFD40514-RSP</t>
  </si>
  <si>
    <t>Manómetro diferencial magnético Winters Serie PFD WinAIR, dial 4", 0-30 kPa, 1/8 NPT, clase ±2%, con aguja roja de seteo.</t>
  </si>
  <si>
    <t>PFD40350-RSP</t>
  </si>
  <si>
    <t>Manómetro diferencial magnético Winters Serie PFD WinAIR, dial 4", -3/0/3 mmH2O 1/8" NPT, clase ±2%, con aguja roja de seteo.</t>
  </si>
  <si>
    <t>PFD40351</t>
  </si>
  <si>
    <t>Manómetro diferencial magnético Winters Serie PFD WinAIR, dial 4", -5/0/5 mmH2O, 1/8 NPT</t>
  </si>
  <si>
    <t>PFD40351-RSP</t>
  </si>
  <si>
    <t>Manómetro diferencial magnético Winters Serie PFD WinAIR, dial 4", -5/0/5 mmH2O, 1/8 NPT, clase ±2%.</t>
  </si>
  <si>
    <t>PFD40352</t>
  </si>
  <si>
    <t>Manómetro diferencial magnético Winters Serie PFD WinAIR, dial 4", -10/0/10 mmH2O, 1/8 NPT, clase ±2%.</t>
  </si>
  <si>
    <t>PFD40352-RSP</t>
  </si>
  <si>
    <t>Manómetro diferencial magnético Winters Serie PFD WinAIR, dial 4", -10/0/10 mmH2O, 1/8 NPT, clase ±2%, con aguja roja de seteo.</t>
  </si>
  <si>
    <t>PFD40300-RSP</t>
  </si>
  <si>
    <t>Manómetro diferencial magnético Winters Serie PFD WinAIR, dial 4", 0/6 mmH2O 1/8" NPT, clase ±2%, con aguja roja de seteo.</t>
  </si>
  <si>
    <t>PFD40301-RSP</t>
  </si>
  <si>
    <t>Manómetro diferencial magnético Winters Serie PFD WinAIR, dial 4", 0/10 mmH2O, 1/8 NPT, clase ±2%, con aguja roja de seteo.</t>
  </si>
  <si>
    <t>PFD40302</t>
  </si>
  <si>
    <t>Manómetro diferencial magnético Winters Serie PFD WinAIR, dial 4", 0/15 mmH2O 1/8" NPT,  clase ±2%.</t>
  </si>
  <si>
    <t>PFD40303-RSP</t>
  </si>
  <si>
    <t>Manómetro diferencial magnético Winters Serie PFD WinAIR, dial 4", 0/20 mmH2O 1/8" NPT, clase ±2%, con aguja roja de seteo.</t>
  </si>
  <si>
    <t>PFD40304</t>
  </si>
  <si>
    <t>Manómetro diferencial magnético Winters Serie PFD WinAIR, dial 4", 0/25 mmH2O, 1/8 NPT, clase ±2%.</t>
  </si>
  <si>
    <t>PFD40304-RSP</t>
  </si>
  <si>
    <t>Manómetro diferencial magnético Winters Serie PFD WinAIR, dial 4", 0/25 mmH2O, 1/8 NPT, clase ±2%, con aguja roja de seteo.</t>
  </si>
  <si>
    <t>PFD40305-RSP</t>
  </si>
  <si>
    <t>Manómetro diferencial magnético Winters Serie PFD WinAIR, dial 4", 0/30 mmH2O 1/8" NPT, clase ±2%, con aguja roja de seteo.</t>
  </si>
  <si>
    <t>PFD40306</t>
  </si>
  <si>
    <t>Manómetro diferencial magnético Winters Serie PFD WinAIR, dial 4", 0/50 mmH2O, 1/8 NPT, clase ±2%.</t>
  </si>
  <si>
    <t>PFD40306-RSP</t>
  </si>
  <si>
    <t>Manómetro diferencial magnético Winters Serie PFD WinAIR, dial 4", 0/50 mmH2O, 1/8 NPT, clase ±2%, con aguja roja de seteo.</t>
  </si>
  <si>
    <t>PFD40308</t>
  </si>
  <si>
    <t>Manómetro diferencial magnético Winters Serie PFD WinAIR, dial 4", 0/100 mmH2O, 1/8 NPT, clase ±2%.</t>
  </si>
  <si>
    <t>PFD40308-RSP</t>
  </si>
  <si>
    <t>Manómetro diferencial magnético Winters Serie PFD WinAIR, dial 4", 0/100 mmH2O, 1/8 NPT, clase ±2%, con aguja roja de seteo.</t>
  </si>
  <si>
    <t>PFD40309-RSP</t>
  </si>
  <si>
    <t>Manómetro diferencial magnético Winters Serie PFD WinAIR, dial 4", 0/125 mmH2O 1/8" NPT, clase ±2%, con aguja roja de seteo.</t>
  </si>
  <si>
    <t>PFD40310-RSP</t>
  </si>
  <si>
    <t>Manómetro diferencial magnético Winters Serie PFD WinAIR, dial 4", 0/150 mmH2O, 1/8 NPT, clase ±2%, con aguja roja de seteo.</t>
  </si>
  <si>
    <t>PFD40311</t>
  </si>
  <si>
    <t>Manómetro diferencial magnético Winters Serie PFD WinAIR, dial 4", 0/200 mmH2O, 1/8 NPT, clase ±2%</t>
  </si>
  <si>
    <t>PFD40312-RSP</t>
  </si>
  <si>
    <t>Manómetro diferencial magnético Winters Serie PFD WinAIR, dial 4", 0/250 mmH2O, 1/8 NPT, clase ±2%, con aguja roja de seteo.</t>
  </si>
  <si>
    <t>PFD40313</t>
  </si>
  <si>
    <t>Manómetro diferencial magnético Winters Serie PFD WinAIR, dial 4", 0/300 mmH2O, 1/8 NPT, clase ±2%</t>
  </si>
  <si>
    <t>PFD40313-RSP</t>
  </si>
  <si>
    <t>Manómetro diferencial magnético Winters Serie PFD WinAIR, dial 4", 0/300 mmH2O, 1/8 NPT, clase ±2%, con aguja roja de seteo.</t>
  </si>
  <si>
    <t>PFD40200-RSP</t>
  </si>
  <si>
    <t>Manómetro diferencial magnético Winters Serie PFD WinAIR, dial 4", -50/0/50 Pa 1/8" NPT, clase ±2%, con aguja roja de seteo.</t>
  </si>
  <si>
    <t>PFD40201-RSP</t>
  </si>
  <si>
    <t>Manómetro diferencial magnético Winters Serie PFD WinAIR, dial 4", -60/0/60 Pa 1/8" NPT, clase ±2%, con aguja roja de seteo.</t>
  </si>
  <si>
    <t>PFD40202-RSP</t>
  </si>
  <si>
    <t>Manómetro diferencial magnético Winters Serie PFD WinAIR, dial 4", -100/0/100 Pa 1/8" NPT, clase ±2%, con aguja roja de seteo.</t>
  </si>
  <si>
    <t>PFD40403-RSP</t>
  </si>
  <si>
    <t>Manómetro diferencial magnético Winters Serie PFD WinAIR, dial 4", -125/0/125 Pa 1/8" NPT, clase ±2%, con aguja roja de seteo.</t>
  </si>
  <si>
    <t>PFD40404-RSP</t>
  </si>
  <si>
    <t>Manómetro diferencial magnético Winters Serie PFD WinAIR, dial 4", -150/0/150 Pa 1/8" NPT, clase ±2%, con aguja roja de seteo.</t>
  </si>
  <si>
    <t>PFD40405-RSP</t>
  </si>
  <si>
    <t>Manómetro diferencial magnético Winters Serie PFD WinAIR, dial 4", -200/0/200 Pa 1/8" NPT, clase ±2%, con aguja roja de seteo.</t>
  </si>
  <si>
    <t>PFD40406-RSP</t>
  </si>
  <si>
    <t>Manómetro diferencial magnético Winters Serie PFD WinAIR, dial 4", -250/0/250 Pa 1/8" NPT, clase ±2%, con aguja roja de seteo.</t>
  </si>
  <si>
    <t>PFD40407-RSP</t>
  </si>
  <si>
    <t>Manómetro diferencial magnético Winters Serie PFD WinAIR, dial 4", -300/0/300 Pa 1/8" NPT, clase ±2%, con aguja roja de seteo.</t>
  </si>
  <si>
    <t>PFD40408-RSP</t>
  </si>
  <si>
    <t>Manómetro diferencial magnético Winters Serie PFD WinAIR, dial 4", -500/0/500 Pa 1/8" NPT, clase ±2%, con aguja roja de seteo.</t>
  </si>
  <si>
    <t>PFD40210-RSP</t>
  </si>
  <si>
    <t>Manómetro diferencial magnético Winters Serie PFD WinAIR, dial 4", 0/50 Pa 1/8" NPT, clase ±2%, con aguja roja de seteo.</t>
  </si>
  <si>
    <t>PFD40211-RSP</t>
  </si>
  <si>
    <t>Manómetro diferencial magnético Winters Serie PFD WinAIR, dial 4", 0/60 Pa 1/8" NPT, clase ±2%, con aguja roja de seteo.</t>
  </si>
  <si>
    <t>PFD40212-RSP</t>
  </si>
  <si>
    <t>Manómetro diferencial magnético Winters Serie PFD WinAIR, dial 4", 0/100 Pa 1/8" NPT, clase ±2%, con aguja roja de seteo.</t>
  </si>
  <si>
    <t>PFD40213-RSP</t>
  </si>
  <si>
    <t>Manómetro diferencial magnético Winters Serie PFD WinAIR, dial 4", 0/125 Pa 1/8" NPT, clase ±2%, con aguja roja de seteo.</t>
  </si>
  <si>
    <t>PFD40214-RSP</t>
  </si>
  <si>
    <t>Manómetro diferencial magnético Winters Serie PFD WinAIR, dial 4", 0/150 Pa 1/8" NPT, clase ±2%, con aguja roja de seteo.</t>
  </si>
  <si>
    <t>PFD40215-RSP</t>
  </si>
  <si>
    <t>Manómetro diferencial magnético Winters Serie PFD WinAIR, dial 4", 0/200 Pa 1/8" NPT, clase ±2%, con aguja roja de seteo.</t>
  </si>
  <si>
    <t>PFD40216-RSP</t>
  </si>
  <si>
    <t>Manómetro diferencial magnético Winters Serie PFD WinAIR, dial 4", 0/250 Pa 1/8" NPT, clase ±2%, con aguja roja de seteo.</t>
  </si>
  <si>
    <t>PFD40217-RSP</t>
  </si>
  <si>
    <t>Manómetro diferencial magnético Winters Serie PFD WinAIR, dial 4", 0/300 Pa 1/8" NPT, clase ±2%, con aguja roja de seteo.</t>
  </si>
  <si>
    <t>PFD40218-RSP</t>
  </si>
  <si>
    <t>Manómetro diferencial magnético Winters Serie PFD WinAIR, dial 4", 0/500 Pa 1/8" NPT, clase ±2%, con aguja roja de seteo.</t>
  </si>
  <si>
    <t>PFD40219-RSP</t>
  </si>
  <si>
    <t>Manómetro diferencial magnético Winters Serie PFD WinAIR, dial 4", 0/750 Pa 1/8" NPT, clase ±2%, con aguja roja de seteo.</t>
  </si>
  <si>
    <t>PFD40220-RSP</t>
  </si>
  <si>
    <t>Manómetro diferencial magnético Winters Serie PFD WinAIR, dial 4", 0/1.000 Pa 1/8" NPT, clase ±2%, con aguja roja de seteo.</t>
  </si>
  <si>
    <t>PFD40150-RSP</t>
  </si>
  <si>
    <t>Manómetro diferencial magnético Winters Serie PFD WinAIR, dial 4", 0/1 psi/bar 1/8" NPT, clase ±2%, con aguja roja de seteo.</t>
  </si>
  <si>
    <t>PFD40151-RSP</t>
  </si>
  <si>
    <t>Manómetro diferencial magnético Winters Serie PFD WinAIR, dial 4", 0/2 psi/bar 1/8" NPT, clase ±2%, con aguja roja de seteo.</t>
  </si>
  <si>
    <t>PFD40152-RSP</t>
  </si>
  <si>
    <t>Manómetro diferencial magnético Winters Serie PFD WinAIR, dial 4", 0/3 psi/bar 1/8" NPT, clase ±2%, con aguja roja de seteo.</t>
  </si>
  <si>
    <t>PFD40153-RSP</t>
  </si>
  <si>
    <t>Manómetro diferencial magnético Winters Serie PFD WinAIR, dial 4", 0/4 psi/bar 1/8" NPT, clase ±2%, con aguja roja de seteo.</t>
  </si>
  <si>
    <t>PFD40154-RSP</t>
  </si>
  <si>
    <t>Manómetro diferencial magnético Winters Serie PFD WinAIR, dial 4", 0/5 psi/bar 1/8" NPT, clase ±2%, con aguja roja de seteo.</t>
  </si>
  <si>
    <t>BSP</t>
  </si>
  <si>
    <t>Accesorio Winters PFD WinAIR Conexion BSP</t>
  </si>
  <si>
    <t>RSP</t>
  </si>
  <si>
    <t>Accesorio Winters PFD WinAIR Indicador de punto de seteo</t>
  </si>
  <si>
    <t>RNG</t>
  </si>
  <si>
    <t>Accesorio Winters PFD WinAIR Aro de color personalizado por el cliente (orden minima 500 unid.)</t>
  </si>
  <si>
    <t>PFD1001</t>
  </si>
  <si>
    <t>Accesorio Winters PFD WinAIR Soporte para montaje para pared</t>
  </si>
  <si>
    <t>PFD1002</t>
  </si>
  <si>
    <t>Accesorio Winters PFD WinAIR Soporte para montaje superficial</t>
  </si>
  <si>
    <t>PFD1003</t>
  </si>
  <si>
    <t>Accesorio Winters PFD WinAIR Valvulas de 3 vias</t>
  </si>
  <si>
    <t>PFD1004</t>
  </si>
  <si>
    <t>Accesorio Winters PFD WinAIR Soporte para montaje tipo flush</t>
  </si>
  <si>
    <t>PFD1005</t>
  </si>
  <si>
    <t>Accesorio Winters PFD WinAIR Kit de filtro de aire</t>
  </si>
  <si>
    <t>PFD1006</t>
  </si>
  <si>
    <t>Accesorio Winters PFD WinAIR Soporte para montaje en tuberia de 2"</t>
  </si>
  <si>
    <t>PFD1007</t>
  </si>
  <si>
    <t>Accesorio Winters PFD WinAIR Brida para montaje en panel</t>
  </si>
  <si>
    <t>PFD1008</t>
  </si>
  <si>
    <t>Accesorio Winters PFD WinAIR Kit de montaje tipo flush cuadrado</t>
  </si>
  <si>
    <t>PFD1009</t>
  </si>
  <si>
    <t>Accesorio Winters PFD WinAIR Punta de presion estatica</t>
  </si>
  <si>
    <t>PFD1010</t>
  </si>
  <si>
    <t>Accesorio Winters PFD WinAIR Tubo de plastico de 25m</t>
  </si>
  <si>
    <t>PFD1011</t>
  </si>
  <si>
    <t>Accesorio Winters PFD WinAIR Tubo de plastico de 50m</t>
  </si>
  <si>
    <t>PFD1012</t>
  </si>
  <si>
    <t>Accesorio Winters PFD WinAIR Tubo de plastico de 100m</t>
  </si>
  <si>
    <t>PFD1013</t>
  </si>
  <si>
    <t>Accesorio Winters PFD WinAIR Tubo de plastico de 200m</t>
  </si>
  <si>
    <t>LE130VC</t>
  </si>
  <si>
    <t>Transmisor de Presión Compacto Winters Serie LE1, -30"Hg/0 psi, 1/4" NPT, mini DIN, 4-20mA, clase ±0,5%, Alim: 10-30VDC, membrana de acero inoxidable, sensor siliconado.</t>
  </si>
  <si>
    <t>LE10030</t>
  </si>
  <si>
    <t>Transmisor de Presión Compacto Winters Serie LE1, -30"Hg/0/30 psi, 1/4" NPT, mini DIN, 4-20mA, clase ±0,5%, 10-30VDC, sensor siliconado.</t>
  </si>
  <si>
    <t>LE10060</t>
  </si>
  <si>
    <t>Transmisor de Presión Compacto Winters Serie LE1, -30"Hg/0/60 psi, 1/4" NPT, mini DIN, 4-20mA, clase ±0,5%, 10-30VDC, sensor cerámico.</t>
  </si>
  <si>
    <t>LE10100</t>
  </si>
  <si>
    <t>Transmisor de Presión Compacto Winters Serie LE1, -30"Hg/0/100 psi, 1/4" NPT, mini DIN, 4-20mA, clase ±0,5%, 10-30VDC, sensor cerámico.</t>
  </si>
  <si>
    <t>LE10150</t>
  </si>
  <si>
    <t>Transmisor de Presión Compacto Winters Serie LE1, -30"Hg/0/150 psi, 1/4" NPT, mini DIN, 4-20mA, clase ±0,5%, 10-30VDC, sensor cerámico.</t>
  </si>
  <si>
    <t>LE10150-BSPT</t>
  </si>
  <si>
    <t>Transmisor de Presión Compacto Winters Serie LE1, -30"Hg/0/150 psi, 1/4" BSPT, mini DIN, 4-20mA, clase ±0,5%, 10-30VDC, sensor cerámico.</t>
  </si>
  <si>
    <t>LE115</t>
  </si>
  <si>
    <t>Transmisor de Presión Compacto Winters Serie LE1, 0/15 psi, 1/4" NPT, mini DIN, 4-20mA, clase ±0,5%, 10-30VDC, sensor cerámico.</t>
  </si>
  <si>
    <t>LE125</t>
  </si>
  <si>
    <t>Transmisor de Presión Compacto Winters Serie LE1, 0/25 psi, 1/4" NPT, mini DIN, 4-20mA, clase ±0,5%, 10-30VDC, sensor cerámico.</t>
  </si>
  <si>
    <t>LE150</t>
  </si>
  <si>
    <t>Transmisor de Presión Compacto Winters Serie LE1, 0/50 psi, 1/4" NPT, mini DIN, 4-20mA, clase ±0,5%, 10-30VDC, sensor cerámico.</t>
  </si>
  <si>
    <t>LE160</t>
  </si>
  <si>
    <t>Transmisor de Presión Compacto Winters Serie LE1, 0/60 psi, 1/4" NPT, mini DIN, 4-20mA, clase ±0,5%, 10-30VDC, sensor cerámico.</t>
  </si>
  <si>
    <t>LE1100</t>
  </si>
  <si>
    <t>Transmisor de Presión Compacto Winters Serie LE1, 0/100 psi, 1/4" NPT, mini DIN, 4-20mA, clase ±0,5%, 10-30VDC, sensor cerámico.</t>
  </si>
  <si>
    <t>LE1100-BSPT</t>
  </si>
  <si>
    <t>Transmisor de Presión Compacto Winters Serie LE1, 0/100 psi, 1/4" BSPT, mini DIN, 4-20mA, clase ±0,5%, 10-30VDC, sensor cerámico.</t>
  </si>
  <si>
    <t>LE1150</t>
  </si>
  <si>
    <t>Transmisor de Presión Compacto Winters Serie LE1, 0/150 psi, 1/4" NPT, mini DIN, 4-20mA, clase ±0,5%, 10-30VDC, sensor cerámico.</t>
  </si>
  <si>
    <t>LE1200</t>
  </si>
  <si>
    <t>Transmisor de Presión Compacto Winters Serie LE1, 0/200 psi, 1/4" NPT, mini DIN, 4-20mA, clase ±0,5%, 10-30VDC, sensor cerámico.</t>
  </si>
  <si>
    <t>LE1300</t>
  </si>
  <si>
    <t>Transmisor de Presión Compacto Winters Serie LE1, 0/300 psi, 1/4" NPT, mini DIN, 4-20mA, clase ±0,5%, 10-30VDC, sensor cerámico.</t>
  </si>
  <si>
    <t>LE1500</t>
  </si>
  <si>
    <t>Transmisor de Presión Compacto Winters Serie LE1, 0/500 psi, 1/4" NPT, mini DIN, 4-20mA, clase ±0,5%, 10-30VDC, sensor cerámico.</t>
  </si>
  <si>
    <t>LE11000</t>
  </si>
  <si>
    <t>Transmisor de Presión Compacto Winters Serie LE1, 0/1.000 psi, 1/4" NPT, mini DIN, 4-20mA, clase ±0,5%, 10-30VDC, sensor cerámico.</t>
  </si>
  <si>
    <t>LE12000</t>
  </si>
  <si>
    <t>Transmisor de Presión Compacto Winters Serie LE1, 0/2.000 psi, 1/4" NPT, mini DIN, 4-20mA, clase ±0,5%, 10-30VDC, sensor cerámico.</t>
  </si>
  <si>
    <t>LE13000</t>
  </si>
  <si>
    <t>Transmisor de Presión Compacto Winters Serie LE1, 0/3.000 psi, 1/4" NPT, mini DIN, 4-20mA, clase ±0,5%, 10-30VDC, sensor siliconado.</t>
  </si>
  <si>
    <t>LE15000</t>
  </si>
  <si>
    <t>Transmisor de Presión Compacto Winters Serie LE1, 0/5.000 psi, 1/4" NPT, mini DIN, 4-20mA, clase ±0,5%, 10-30VDC, sensor siliconado.</t>
  </si>
  <si>
    <t>LE130VCR11</t>
  </si>
  <si>
    <t>Transmisor de Presión Compacto Winters Serie LE1, -1/0 bar, 1/4"NPT, mini DIN, 4-20mA, clase ±0,5%, 10-30VDC, sensor siliconado.</t>
  </si>
  <si>
    <t>LE10030R11</t>
  </si>
  <si>
    <t>Transmisor de Presión Compacto Winters Serie LE1, -1/0/3 bar, 1/4"NPT, mini DIN, 4-20mA, clase ±0,5%, 10-30VDC, sensor cerámico.</t>
  </si>
  <si>
    <t>LE10060R11</t>
  </si>
  <si>
    <t>Transmisor de Presión Compacto Winters Serie LE1, -1/0/4 bar, 1/4"NPT, mini DIN, 4-20mA, clase ±0,5%, 10-30VDC, sensor cerámico.</t>
  </si>
  <si>
    <t>LE10100R11</t>
  </si>
  <si>
    <t>Transmisor de Presión Compacto Winters Serie LE1, -1/0/6 bar, 1/4"NPT, mini DIN, 4-20mA, clase ±0,5%, 10-30VDC, sensor cerámico.</t>
  </si>
  <si>
    <t>LE10150R11</t>
  </si>
  <si>
    <t>Transmisor de Presión Compacto Winters Serie LE1, -1/0/10 bar, 1/4"NPT, mini DIN, 4-20mA, clase ±0,5%, 10-30VDC, sensor cerámico.</t>
  </si>
  <si>
    <t>LE115R11</t>
  </si>
  <si>
    <t>Transmisor de Presión Compacto Winters Serie LE1, 0/1 bar, 1/4"NPT, mini DIN, 4-20mA, clase ±0,5%, 10-30VDC, sensor siliconado.</t>
  </si>
  <si>
    <t>LE125R11</t>
  </si>
  <si>
    <t>Transmisor de Presión Compacto Winters Serie LE1, 0/1,6 bar, 1/4"NPT, mini DIN, 4-20mA, clase ±0,5%, 10-30VDC, sensor siliconado.</t>
  </si>
  <si>
    <t>LE150R11</t>
  </si>
  <si>
    <t>Transmisor de Presión Compacto Winters Serie LE1, 0/2,5 bar, 1/4"NPT, mini DIN, 4-20mA, clase ±0,5%, 10-30VDC, sensor siliconado.</t>
  </si>
  <si>
    <t>LE160R11</t>
  </si>
  <si>
    <t>Transmisor de Presión Compacto Winters Serie LE1, 0/4 bar, 1/4"NPT, mini DIN, 4-20mA, clase ±0,5%, 10-30VDC, sensor cerámico.</t>
  </si>
  <si>
    <t>LE1100R11</t>
  </si>
  <si>
    <t>Transmisor de Presión Compacto Winters Serie LE1, 0/6 bar, 1/4"NPT, mini DIN, 4-20mA, clase ±0,5%, 10-30VDC, sensor cerámico.</t>
  </si>
  <si>
    <t>LE1150R11</t>
  </si>
  <si>
    <t>Transmisor de Presión Compacto Winters Serie LE1, 0/10 bar, 1/4"NPT, mini DIN, 4-20mA, clase ±0,5%, 10-30VDC, sensor cerámico.</t>
  </si>
  <si>
    <t>LE1200R11</t>
  </si>
  <si>
    <t>Transmisor de Presión Compacto Winters Serie LE1, 0/16 bar, 1/4"NPT, mini DIN, 4-20mA, clase ±0,5%, 10-30VDC, sensor cerámico.</t>
  </si>
  <si>
    <t>LE1300R11</t>
  </si>
  <si>
    <t>Transmisor de Presión Compacto Winters Serie LE1, 0/25 bar, 1/4"NPT, mini DIN, 4-20mA, clase ±0,5%, 10-30VDC, sensor cerámico.</t>
  </si>
  <si>
    <t>LE1500R11</t>
  </si>
  <si>
    <t>Transmisor de Presión Compacto Winters Serie LE1, 0/40 bar, 1/4"NPT, mini DIN, 4-20mA, clase ±0,5%, 10-30VDC, sensor cerámico.</t>
  </si>
  <si>
    <t>LE11000R11</t>
  </si>
  <si>
    <t>Transmisor de Presión Compacto Winters Serie LE1, 0/60 bar, 1/4"NPT, mini DIN, 4-20mA, clase ±0,5%, 10-30VDC, sensor cerámico.</t>
  </si>
  <si>
    <t>LE12000R11</t>
  </si>
  <si>
    <t>Transmisor de Presión Compacto Winters Serie LE1, 0/100 bar, 1/4"NPT, mini DIN, 4-20mA, clase ±0,5%, 10-30VDC, sensor cerámico.</t>
  </si>
  <si>
    <t>LE13000R11</t>
  </si>
  <si>
    <t>Transmisor de Presión Compacto Winters Serie LE1, 0/160 bar, 1/4"NPT, mini DIN, 4-20mA, clase ±0,5%, 10-30VDC, sensor cerámico.</t>
  </si>
  <si>
    <t>LE15000R11</t>
  </si>
  <si>
    <t>Transmisor de Presión Compacto Winters Serie LE1, 0/250 bar, 1/4"NPT, mini DIN, 4-20mA, clase ±0,5%, 10-30VDC, sensor siliconado.</t>
  </si>
  <si>
    <t>LE15500R11</t>
  </si>
  <si>
    <t>Transmisor de Presión Compacto Winters Serie LE1, 0/300 bar, 1/4"NPT, mini DIN, 4-20mA, clase ±0,5%, 10-30VDC, sensor siliconado.</t>
  </si>
  <si>
    <t>LE16000R11</t>
  </si>
  <si>
    <t>Transmisor de Presión Compacto Winters Serie LE1, 0/400 bar, 1/4"NPT, mini DIN, 4-20mA, clase ±0,5%, 10-30VDC, sensor siliconado.</t>
  </si>
  <si>
    <t>LE17500R11</t>
  </si>
  <si>
    <t>Transmisor de Presión Compacto Winters Serie LE1, 0/500 bar, 1/4"NPT, mini DIN, 4-20mA, clase ±0,5%, 10-30VDC, sensor siliconado.</t>
  </si>
  <si>
    <t>LE18500R11</t>
  </si>
  <si>
    <t>Transmisor de Presión Compacto Winters Serie LE1, 0/600 bar, 1/4"NPT, mini DIN, 4-20mA, clase ±0,5%, 10-30VDC, sensor siliconado.</t>
  </si>
  <si>
    <t>LE31101P5GN4CVU</t>
  </si>
  <si>
    <t>Transmisor de Presión Winters Serie LE3, 0/1 psi (0/0,1 bar), 1/4"NPT, Conector DIN 43650, Sal: 4-20mA, clase ±0,5%, Alim: 12-28VDC, sensor de acero inoxidable.</t>
  </si>
  <si>
    <t>LE31102P5GN4CVU</t>
  </si>
  <si>
    <t>Transmisor de Presión Winters Serie LE3, 0/5 psi (0/0,35 bar), 1/4"NPT, Conector DIN 43650, Sal: 4-20mA, clase ±0,5%, Alim: 12-28VDC, sensor de acero inoxidable.</t>
  </si>
  <si>
    <t>LE31103P5GN4CVU</t>
  </si>
  <si>
    <t>Transmisor de Presión Winters Serie LE3, 0/7 psi (0/0,5 bar), 1/4"NPT, Conector DIN 43650, Sal: 4-20mA, clase ±0,5%, Alim: 12-28VDC, sensor de acero inoxidable.</t>
  </si>
  <si>
    <t>LE31104P5GN4CVU</t>
  </si>
  <si>
    <t>Transmisor de Presión Winters Serie LE3, 0/15 psi (0/1 bar), 1/4"NPT, Conector DIN 43650, Sal: 4-20mA, clase ±0,5%, Alim: 12-28VDC, sensor de acero inoxidable.</t>
  </si>
  <si>
    <t>LE31105P5GN4CVU</t>
  </si>
  <si>
    <t>Transmisor de Presión Winters Serie LE3, 0/25 psi (0/1,6 bar), 1/4"NPT, Conector DIN 43650, Sal: 4-20mA, clase ±0,5%, Alim: 12-28VDC, sensor de acero inoxidable.</t>
  </si>
  <si>
    <t>LE31106P5GN4CVU</t>
  </si>
  <si>
    <t>Transmisor de Presión Winters Serie LE3, 0/30 psi (0/2 bar), 1/4"NPT, Conector DIN 43650, Sal: 4-20mA, clase ±0,5%, Alim: 12-28VDC, sensor de acero inoxidable.</t>
  </si>
  <si>
    <t>LE31107P5GN4CVU</t>
  </si>
  <si>
    <t>Transmisor de Presión Winters Serie LE3, 0/36 psi (0/2,5 bar), 1/4"NPT, Conector DIN 43650, Sal: 4-20mA, clase ±0,5%, Alim: 12-28VDC, sensor de acero inoxidable.</t>
  </si>
  <si>
    <t>LE31108P5GN4CVU</t>
  </si>
  <si>
    <t>Transmisor de Presión Winters Serie LE3, 0/50 psi (0/3 bar), 1/4"NPT, Conector DIN 43650, Sal: 4-20mA, clase ±0,5%, Alim: 12-28VDC, sensor de acero inoxidable.</t>
  </si>
  <si>
    <t>LE31109P5GN4CVU</t>
  </si>
  <si>
    <t>Transmisor de Presión Winters Serie LE3, 0/60 psi (0/4 bar), 1/4"NPT, Conector DIN 43650, Sal: 4-20mA, clase ±0,5%, Alim: 12-28VDC, sensor de acero inoxidable.</t>
  </si>
  <si>
    <t>LE31101S5GN4CVU</t>
  </si>
  <si>
    <t>Transmisor de Presión Winters Serie LE3, 0/87 psi (0/6 bar), 1/4"NPT, Conector DIN 43650, Sal: 4-20mA, clase ±0,5%, Alim: 12-28VDC, sensor de acero inoxidable.</t>
  </si>
  <si>
    <t>LE31102S5GN4CVU</t>
  </si>
  <si>
    <t>Transmisor de Presión Winters Serie LE3, 0/100 psi (0/7 bar), 1/4"NPT, Conector DIN 43650, Sal: 4-20mA, clase ±0,5%, Alim: 12-28VDC, sensor de acero inoxidable.</t>
  </si>
  <si>
    <t>LE31103S5GN4CVU</t>
  </si>
  <si>
    <t>Transmisor de Presión Winters Serie LE3, 0/150 psi (0/10 bar), 1/4"NPT, Conector DIN 43650, Sal: 4-20mA, clase ±0,5%, Alim: 12-28VDC, sensor de acero inoxidable.</t>
  </si>
  <si>
    <t>LE31104S5GN4CVU</t>
  </si>
  <si>
    <t>Transmisor de Presión Winters Serie LE3, 0/200 psi (0/15 bar), 1/4"NPT, Conector DIN 43650, Sal: 4-20mA, clase ±0,5%, Alim: 12-28VDC, sensor de acero inoxidable.</t>
  </si>
  <si>
    <t>LE31105S5GN4CVU</t>
  </si>
  <si>
    <t>Transmisor de Presión Winters Serie LE3, 0/230 psi (0/16 bar), 1/4"NPT, Conector DIN 43650, Sal: 4-20mA, clase ±0,5%, Alim: 12-28VDC, sensor de acero inoxidable.</t>
  </si>
  <si>
    <t>LE31106S5GN4CVU</t>
  </si>
  <si>
    <t>Transmisor de Presión Winters Serie LE3, 0/300 psi (0/0,1 bar), 1/4"NPT, Conector DIN 43650, Sal: 4-20mA, clase ±0,5%, Alim: 12-28VDC, sensor de acero inoxidable.</t>
  </si>
  <si>
    <t>LE31107S5GN4CVU</t>
  </si>
  <si>
    <t>Transmisor de Presión Winters Serie LE3, 0/360psi (0/25 bar), 1/4"NPT, Conector DIN 43650, Sal: 4-20mA, clase ±0,5%, Alim: 12-28VDC, sensor de acero inoxidable.</t>
  </si>
  <si>
    <t>LE31108S5GN4CVU</t>
  </si>
  <si>
    <t>Transmisor de Presión Winters Serie LE3, 0/500psi (0/35 bar), 1/4"NPT, Conector DIN 43650, Sal: 4-20mA, clase ±0,5%, Alim: 12-28VDC, sensor de acero inoxidable.</t>
  </si>
  <si>
    <t>LE31109S5GN4CVU</t>
  </si>
  <si>
    <t>Transmisor de Presión Winters Serie LE3, 0/580psi (0/40 bar), 1/4"NPT, Conector DIN 43650, Sal: 4-20mA, clase ±0,5%, Alim: 12-28VDC, sensor de acero inoxidable.</t>
  </si>
  <si>
    <t>LE31101T5GN4CVU</t>
  </si>
  <si>
    <t>Transmisor de Presión Winters Serie LE3, 0/725 psi (0/50 bar), 1/4"NPT, Conector DIN 43650, Sal: 4-20mA, clase ±0,5%, Alim: 12-28VDC, sensor de acero inoxidable.</t>
  </si>
  <si>
    <t>LE31102T5GN4CVU</t>
  </si>
  <si>
    <t>Transmisor de Presión Winters Serie LE3, 0/870 psi (0/60 bar), 1/4"NPT, Conector DIN 43650, Sal: 4-20mA, clase ±0,5%, Alim: 12-28VDC, sensor de acero inoxidable.</t>
  </si>
  <si>
    <t>LE31103T5GN4CVU</t>
  </si>
  <si>
    <t>Transmisor de Presión Winters Serie LE3, 0/1.000 psi (0/70 bar), 1/4"NPT, Conector DIN 43650, Sal: 4-20mA, clase ±0,5%, Alim: 12-28VDC, sensor de acero inoxidable.</t>
  </si>
  <si>
    <t>LE31104T5GN4CVU</t>
  </si>
  <si>
    <t>Transmisor de Presión Winters Serie LE3, 0/1.500 psi (0/100 bar), 1/4"NPT, Conector DIN 43650, Sal: 4-20mA, clase ±0,5%, Alim: 12-28VDC, sensor de acero inoxidable.</t>
  </si>
  <si>
    <t>LE31105T5GN4CVU</t>
  </si>
  <si>
    <t>Transmisor de Presión Winters Serie LE3, 0/2.000 psi (0/150 bar), 1/4"NPT, Conector DIN 43650, Sal: 4-20mA, clase ±0,5%, Alim: 12-28VDC, sensor de acero inoxidable.</t>
  </si>
  <si>
    <t>LE31106T5GN4CVU</t>
  </si>
  <si>
    <t>Transmisor de Presión Winters Serie LE3, 0/2.300 psi (0/160 bar), 1/4"NPT, Conector DIN 43650, Sal: 4-20mA, clase ±0,5%, Alim: 12-28VDC, sensor de acero inoxidable.</t>
  </si>
  <si>
    <t>LE31107T5GN4CVU</t>
  </si>
  <si>
    <t>Transmisor de Presión Winters Serie LE3, 0/3.000 psi (0/200 bar), 1/4"NPT, Conector DIN 43650, Sal: 4-20mA, clase ±0,5%, Alim: 12-28VDC, sensor de acero inoxidable.</t>
  </si>
  <si>
    <t>LE31108T5GN4CVU</t>
  </si>
  <si>
    <t>Transmisor de Presión Winters Serie LE3, 0/3.600 psi (0/250 bar), 1/4"NPT, Conector DIN 43650, Sal: 4-20mA, clase ±0,5%, Alim: 12-28VDC, sensor de acero inoxidable.</t>
  </si>
  <si>
    <t>LE31109T5GN4CVU</t>
  </si>
  <si>
    <t>Transmisor de Presión Winters Serie LE3, 0/4.000 psi (0/300 bar), 1/4"NPT, Conector DIN 43650, Sal: 4-20mA, clase ±0,5%, Alim: 12-28VDC, sensor de acero inoxidable.</t>
  </si>
  <si>
    <t>LE31101U5GN4CVU</t>
  </si>
  <si>
    <t>Transmisor de Presión Winters Serie LE3, 0/5.000 psi (0/350 bar), 1/4"NPT, Conector DIN 43650, Sal: 4-20mA, clase ±0,5%, Alim: 12-28VDC, sensor de acero inoxidable.</t>
  </si>
  <si>
    <t>LE31102U5GN4CVU</t>
  </si>
  <si>
    <t>Transmisor de Presión Winters Serie LE3, 0/6.000 psi (0/400 bar), 1/4"NPT, Conector DIN 43650, Sal: 4-20mA, clase ±0,5%, Alim: 12-28VDC, sensor de acero inoxidable.</t>
  </si>
  <si>
    <t>LE31103U5GN4CVU</t>
  </si>
  <si>
    <t>Transmisor de Presión Winters Serie LE3, 0/7.500 psi (0/520 bar), 1/4"NPT, Conector DIN 43650, Sal: 4-20mA, clase ±0,5%, Alim: 12-28VDC, sensor de acero inoxidable.</t>
  </si>
  <si>
    <t>LE31TR1P5GN4CVU</t>
  </si>
  <si>
    <t>Transmisor de Presión Winters Serie LE3, 0/1 psi (0/0,1 bar), 1/4"NPT, salida de cable de 1mt, Sal: 4-20mA, clase ±0,5%, Alim: 12-28VDC, sensor de acero inoxidable.</t>
  </si>
  <si>
    <t>LE31TR2P5GN4CVU</t>
  </si>
  <si>
    <t>Transmisor de Presión Winters Serie LE3, 0/5 psi (0/0,35 bar), 1/4"NPT, salida de cable de 1mt, Sal: 4-20mA, clase ±0,5%, Alim: 12-28VDC, sensor de acero inoxidable.</t>
  </si>
  <si>
    <t>LE31TR3P5GN4CVU</t>
  </si>
  <si>
    <t>Transmisor de Presión Winters Serie LE3, 0/7 psi (0/0,5 bar), 1/4"NPT, salida de cable de 1mt, Sal: 4-20mA, clase ±0,5%, Alim: 12-28VDC, sensor de acero inoxidable.</t>
  </si>
  <si>
    <t>LE31TR4P5GN4CVU</t>
  </si>
  <si>
    <t>Transmisor de Presión Winters Serie LE3, 0/15 psi (0/1 bar), 1/4"NPT, salida de cable de 1mt, Sal: 4-20mA, clase ±0,5%, Alim: 12-28VDC, sensor de acero inoxidable.</t>
  </si>
  <si>
    <t>LE31TR5P5GN4CVU</t>
  </si>
  <si>
    <t>Transmisor de Presión Winters Serie LE3, 0/25 psi (0/1,6 bar), 1/4"NPT, salida de cable de 1mt, Sal: 4-20mA, clase ±0,5%, Alim: 12-28VDC, sensor de acero inoxidable.</t>
  </si>
  <si>
    <t>LE31TR6P5GN4CVU</t>
  </si>
  <si>
    <t>Transmisor de Presión Winters Serie LE3, 0/30 psi (0/2 bar), 1/4"NPT, salida de cable de 1mt, Sal: 4-20mA, clase ±0,5%, Alim: 12-28VDC, sensor de acero inoxidable.</t>
  </si>
  <si>
    <t>LE31TR7P5GN4CVU</t>
  </si>
  <si>
    <t>Transmisor de Presión Winters Serie LE3, 0/36 psi (0/2,5 bar), 1/4"NPT, salida de cable de 1mt, Sal: 4-20mA, clase ±0,5%, Alim: 12-28VDC, sensor de acero inoxidable.</t>
  </si>
  <si>
    <t>LE31TR8P5GN4CVU</t>
  </si>
  <si>
    <t>Transmisor de Presión Winters Serie LE3, 0/50 psi (0/3 bar), 1/4"NPT, salida de cable de 1mt, Sal: 4-20mA, clase ±0,5%, Alim: 12-28VDC, sensor de acero inoxidable.</t>
  </si>
  <si>
    <t>LE31TR9P5GN4CVU</t>
  </si>
  <si>
    <t>Transmisor de Presión Winters Serie LE3, 0/60 psi (0/4 bar), 1/4"NPT, salida de cable de 1mt, Sal: 4-20mA, clase ±0,5%, Alim: 12-28VDC, sensor de acero inoxidable.</t>
  </si>
  <si>
    <t>LE31TR1S5GN4CVU</t>
  </si>
  <si>
    <t>Transmisor de Presión Winters Serie LE3, 0/87 psi (0/6 bar), 1/4"NPT, salida de cable de 1mt, Sal: 4-20mA, clase ±0,5%, Alim: 12-28VDC, sensor de acero inoxidable.</t>
  </si>
  <si>
    <t>LE31TR2S5GN4CVU</t>
  </si>
  <si>
    <t>Transmisor de Presión Winters Serie LE3, 0/100 psi (0/7 bar), 1/4"NPT, salida de cable de 1mt, Sal: 4-20mA, clase ±0,5%, Alim: 12-28VDC, sensor de acero inoxidable.</t>
  </si>
  <si>
    <t>LE31TR3S5GN4CVU</t>
  </si>
  <si>
    <t>Transmisor de Presión Winters Serie LE3, 0/150 psi (0/10 bar), 1/4"NPT, salida de cable de 1mt, Sal: 4-20mA, clase ±0,5%, Alim: 12-28VDC, sensor de acero inoxidable.</t>
  </si>
  <si>
    <t>LE31TR4S5GN4CVU</t>
  </si>
  <si>
    <t>Transmisor de Presión Winters Serie LE3, 0/200 psi (0/15 bar), 1/4"NPT, salida de cable de 1mt, Sal: 4-20mA, clase ±0,5%, Alim: 12-28VDC, sensor de acero inoxidable.</t>
  </si>
  <si>
    <t>LE31TR5S5GN4CVU</t>
  </si>
  <si>
    <t>Transmisor de Presión Winters Serie LE3, 0/230 psi (0/16 bar), 1/4"NPT, salida de cable de 1mt, Sal: 4-20mA, clase ±0,5%, Alim: 12-28VDC, sensor de acero inoxidable.</t>
  </si>
  <si>
    <t>LE31TR6S5GN4CVU</t>
  </si>
  <si>
    <t>Transmisor de Presión Winters Serie LE3, 0/300 psi (0/0,1 bar), 1/4"NPT, salida de cable de 1mt, Sal: 4-20mA, clase ±0,5%, Alim: 12-28VDC, sensor de acero inoxidable.</t>
  </si>
  <si>
    <t>LE31TR7S5GN4CVU</t>
  </si>
  <si>
    <t>Transmisor de Presión Winters Serie LE3, 0/360psi (0/25 bar), 1/4"NPT, salida de cable de 1mt, Sal: 4-20mA, clase ±0,5%, Alim: 12-28VDC, sensor de acero inoxidable.</t>
  </si>
  <si>
    <t>LE31TR8S5GN4CVU</t>
  </si>
  <si>
    <t>Transmisor de Presión Winters Serie LE3, 0/500psi (0/35 bar), 1/4"NPT, salida de cable de 1mt, Sal: 4-20mA, clase ±0,5%, Alim: 12-28VDC, sensor de acero inoxidable.</t>
  </si>
  <si>
    <t>LE31TR9S5GN4CVU</t>
  </si>
  <si>
    <t>Transmisor de Presión Winters Serie LE3, 0/580psi (0/40 bar), 1/4"NPT, salida de cable de 1mt, Sal: 4-20mA, clase ±0,5%, Alim: 12-28VDC, sensor de acero inoxidable.</t>
  </si>
  <si>
    <t>LE31TR1T5GN4CVU</t>
  </si>
  <si>
    <t>Transmisor de Presión Winters Serie LE3, 0/725 psi (0/50 bar), 1/4"NPT, salida de cable de 1mt, Sal: 4-20mA, clase ±0,5%, Alim: 12-28VDC, sensor de acero inoxidable.</t>
  </si>
  <si>
    <t>LE31TR2T5GN4CVU</t>
  </si>
  <si>
    <t>Transmisor de Presión Winters Serie LE3, 0/870 psi (0/60 bar), 1/4"NPT, salida de cable de 1mt, Sal: 4-20mA, clase ±0,5%, Alim: 12-28VDC, sensor de acero inoxidable.</t>
  </si>
  <si>
    <t>LE31TR3T5GN4CVU</t>
  </si>
  <si>
    <t>Transmisor de Presión Winters Serie LE3, 0/1.000 psi (0/70 bar), 1/4"NPT, salida de cable de 1mt, Sal: 4-20mA, clase ±0,5%, Alim: 12-28VDC, sensor de acero inoxidable.</t>
  </si>
  <si>
    <t>LE31TR4T5GN4CVU</t>
  </si>
  <si>
    <t>Transmisor de Presión Winters Serie LE3, 0/1.500 psi (0/100 bar), 1/4"NPT, salida de cable de 1mt, Sal: 4-20mA, clase ±0,5%, Alim: 12-28VDC, sensor de acero inoxidable.</t>
  </si>
  <si>
    <t>LE31TR5T5GN4CVU</t>
  </si>
  <si>
    <t>Transmisor de Presión Winters Serie LE3, 0/2.000 psi (0/150 bar), 1/4"NPT, salida de cable de 1mt, Sal: 4-20mA, clase ±0,5%, Alim: 12-28VDC, sensor de acero inoxidable.</t>
  </si>
  <si>
    <t>LE31TR6T5GN4CVU</t>
  </si>
  <si>
    <t>Transmisor de Presión Winters Serie LE3, 0/2.300 psi (0/160 bar), 1/4"NPT, salida de cable de 1mt, Sal: 4-20mA, clase ±0,5%, Alim: 12-28VDC, sensor de acero inoxidable.</t>
  </si>
  <si>
    <t>LE31TR7T5GN4CVU</t>
  </si>
  <si>
    <t>Transmisor de Presión Winters Serie LE3, 0/3.000 psi (0/200 bar), 1/4"NPT, salida de cable de 1mt, Sal: 4-20mA, clase ±0,5%, Alim: 12-28VDC, sensor de acero inoxidable.</t>
  </si>
  <si>
    <t>LE31TR8T5GN4CVU</t>
  </si>
  <si>
    <t>Transmisor de Presión Winters Serie LE3, 0/3.600 psi (0/250 bar), 1/4"NPT, salida de cable de 1mt, Sal: 4-20mA, clase ±0,5%, Alim: 12-28VDC, sensor de acero inoxidable.</t>
  </si>
  <si>
    <t>LE31TR9T5GN4CVU</t>
  </si>
  <si>
    <t>Transmisor de Presión Winters Serie LE3, 0/4.000 psi (0/300 bar), 1/4"NPT, salida de cable de 1mt, Sal: 4-20mA, clase ±0,5%, Alim: 12-28VDC, sensor de acero inoxidable.</t>
  </si>
  <si>
    <t>LE31TR1U5GN4CVU</t>
  </si>
  <si>
    <t>Transmisor de Presión Winters Serie LE3, 0/5.000 psi (0/350 bar), 1/4"NPT, salida de cable de 1mt, Sal: 4-20mA, clase ±0,5%, Alim: 12-28VDC, sensor de acero inoxidable.</t>
  </si>
  <si>
    <t>LE31TR2U5GN4CVU</t>
  </si>
  <si>
    <t>Transmisor de Presión Winters Serie LE3, 0/6.000 psi (0/400 bar), 1/4"NPT, salida de cable de 1mt, Sal: 4-20mA, clase ±0,5%, Alim: 12-28VDC, sensor de acero inoxidable.</t>
  </si>
  <si>
    <t>LE31TR3U5GN4CVU</t>
  </si>
  <si>
    <t>Transmisor de Presión Winters Serie LE3, 0/7.500 psi (0/520 bar), 1/4"NPT, salida de cable de 1mt, Sal: 4-20mA, clase ±0,5%, Alim: 12-28VDC, sensor de acero inoxidable.</t>
  </si>
  <si>
    <t>LE3-DISPLAY</t>
  </si>
  <si>
    <t>DISPLAY PARA TRANSMISOR DE PRESIÓN LE3, LLP, LTF Y LVC</t>
  </si>
  <si>
    <t>LST1101V5GT26S</t>
  </si>
  <si>
    <t>Transmisor de presión Winters Serie LST Sanitario, -14,5/0 psi, carcasa 1Cr18Ni9Ti con sensor de acero inoxidable soldado 316l, salida de 4/20 ma, din 43650 tipo a, conexión de proceso Tri-Clamp de 2", ip65, precisión del 0,5 %, límite de sobrecarga de 1,5 veces , marcado CE y compatible con RoHS.</t>
  </si>
  <si>
    <t>LST1104P5GT26S</t>
  </si>
  <si>
    <t>Transmisor de presión Winters Serie LST Sanitario, 0/15 psi, carcasa 1Cr18Ni9Ti con sensor de acero inoxidable soldado 316l, salida 4/20ma, din 43650 tipo a, conexión de proceso Tri-Clamp de 2", ip65, precisión del 0,5%, límite de sobrecarga de 1,5 veces, Marcado CE y compatible con RoHS.</t>
  </si>
  <si>
    <t>LST1106P5GT26S</t>
  </si>
  <si>
    <t>Transmisor de presión Winters Serie LST Sanitario, 0/30 psi, carcasa 1Cr18Ni9Ti con sensor de acero inoxidable soldado 316l, salida 4/20ma, din 43650 tipo a, conexión de proceso Tri-Clamp de 2", ip65, precisión del 0,5%, límite de sobrecarga de 1,5 veces, Marcado CE y compatible con RoHS.</t>
  </si>
  <si>
    <t>LST1109P5GT26S</t>
  </si>
  <si>
    <t>Transmisor de presión Winters Serie LST Sanitario, 0/60 psi, carcasa 1Cr18Ni9Ti con sensor de acero inoxidable soldado 316l, salida de 4/20 ma, din 43650 tipo a, conexión de proceso Tri-Clamp de 2", ip65, precisión del 0,5%, límite de sobrecarga de 1,5 veces, Marcado CE y compatible con RoHS.</t>
  </si>
  <si>
    <t>LST1102S5GT26S</t>
  </si>
  <si>
    <t>Transmisor de presión Winters Serie LST Sanitario, 0/100 psi, carcasa 1Cr18Ni9Ti con sensor de acero inoxidable soldado 316l, salida 4/20ma, din 43650 tipo a, conexión de proceso Tri-Clamp de 2", ip65, precisión del 0,5%, límite de sobrecarga de 1,5 veces, Marcado CE y compatible con RoHS.</t>
  </si>
  <si>
    <t>LST1103S5GT26S</t>
  </si>
  <si>
    <t>Transmisor de presión Winters Serie LST Sanitario, 0/160 psi, carcasa 1Cr18Ni9Ti con sensor de acero inoxidable soldado 316l, salida de 4/20 ma, din 43650 tipo a, conexión de proceso Tri-Clamp de 2", ip65, precisión del 0,5%, límite de sobrecarga de 1,5 veces, Marcado CE y compatible con RoHS.</t>
  </si>
  <si>
    <t>LST1104S5GT26S</t>
  </si>
  <si>
    <t>Transmisor de presión Winters Serie LST Sanitario, 0/200 psi, carcasa 1Cr18Ni9Ti con sensor de acero inoxidable soldado 316l, salida de 4/20 ma, din 43650 tipo a, conexión de proceso Tri-Clamp de 2", ip65, precisión del 0,5%, límite de sobrecarga de 1,5 veces, Marcado CE y compatible con RoHS.</t>
  </si>
  <si>
    <t>LST1106S5GT26S</t>
  </si>
  <si>
    <t>Transmisor de presión Winters Serie LST Sanitario, 0/300 psi, carcasa 1Cr18Ni9Ti con sensor de acero inoxidable soldado 316l, salida 4/20ma, din 43650 tipo a, conexión de proceso Tri-Clamp de 2", ip65, precisión del 0,5%, límite de sobrecarga de 1,5 veces, Marcado CE y compatible con RoHS.</t>
  </si>
  <si>
    <t>LST1108S5GT26S</t>
  </si>
  <si>
    <t>Transmisor de presión Winters Serie LST Sanitario, 0/500 psi, carcasa 1Cr18Ni9Ti con sensor de acero inoxidable soldado 316l, salida 4/20ma, din 43650 tipo a, conexión de proceso Tri-Clamp de 2", ip65, precisión del 0,5%, límite de sobrecarga de 1,5 veces, Marcado CE y compatible con RoHS.</t>
  </si>
  <si>
    <t>LST1101T5GT26S</t>
  </si>
  <si>
    <t>Transmisor de presión Winters Serie LST Sanitario, 0/725 psi, carcasa 1Cr18Ni9Ti con sensor de acero inoxidable soldado 316l, salida de 4/20 ma, din 43650 tipo a, conexión de proceso Tri-Clamp de 2", ip65, precisión del 0,5%, límite de sobrecarga de 1,5 veces, Marcado CE y compatible con RoHS.</t>
  </si>
  <si>
    <t>LST1103T5GT26S</t>
  </si>
  <si>
    <t>Transmisor de presión Winters Serie LST Sanitario, 0/1.000 psi, carcasa 1Cr18Ni9Ti con sensor de acero inoxidable soldado 316l, salida de 4/20 ma, din 43650 tipo a, conexión de proceso de triple abrazadera de 2", ip65, precisión del 0,5 %, límite de sobrecarga de 1,5 veces, marcado ce Cumple con Rohs.</t>
  </si>
  <si>
    <t>LST1104T5GT26S</t>
  </si>
  <si>
    <t>Transmisor de presión Winters Serie LST Sanitario, 0/1500 psi, carcasa 1Cr18Ni9Ti con sensor de acero inoxidable soldado 316l, salida 4/20ma, din 43650 tipo a, conexión de proceso Tri-Clamp de 2", ip65, precisión del 0,5%, límite de sobrecarga de 1,5 veces, Marcado CE y compatible con RoHS.</t>
  </si>
  <si>
    <t>LST1105T5GT26S</t>
  </si>
  <si>
    <t>Transmisor de presión Winters Serie LST Sanitario, 0/2.000 psi, carcasa 1Cr18Ni9Ti con sensor de acero inoxidable soldado 316l, salida 4/20ma, din 43650 tipo a, conexión de proceso Tri-Clamp de 2", ip65, precisión del 0,5%, límite de sobrecarga de 1,5 veces, Marcado CE y compatible con RoHS.</t>
  </si>
  <si>
    <t>LST1107T5GT26S</t>
  </si>
  <si>
    <t>Transmisor de presión Winters Serie LST Sanitario, 0/3.000 psi, carcasa 1Cr18Ni9Ti con sensor de acero inoxidable soldado 316l, salida 4/20ma, din 43650 tipo a, conexión de proceso Tri-Clamp de 2", ip65, precisión del 0,5%, límite de sobrecarga de 1,5 veces, Marcado CE y compatible con RoHS.</t>
  </si>
  <si>
    <t>LST1109T5GT26S</t>
  </si>
  <si>
    <t>Transmisor de presión Winters Serie LST Sanitario, 0/4.000 psi, carcasa 1Cr18Ni9Ti con sensor de acero inoxidable soldado 316l, salida 4/20ma, din 43650 tipo a, conexión de proceso Tri-Clamp de 2", ip65, precisión del 0,5%, límite de sobrecarga de 1,5 veces, Marcado CE y compatible con RoHS.</t>
  </si>
  <si>
    <t>LST1101U5GT26S</t>
  </si>
  <si>
    <t>Transmisor de presión Winters Serie LST Sanitario, 0/5.000 psi, carcasa 1Cr18Ni9Ti con sensor de acero inoxidable soldado 316l, salida 4/20ma, din 43650 tipo a, conexión de proceso Tri-Clamp de 2", ip65, precisión del 0,5%, límite de sobrecarga de 1,5 veces, Marcado CE y compatible con RoHS.</t>
  </si>
  <si>
    <t>LST1TR1V5GT26S</t>
  </si>
  <si>
    <t>Transmisor de presión Winters Serie LST Sanitario, -14,5/0 psi, carcasa 1Cr18Ni9Ti con sensor de acero inoxidable soldado 316l, salida de 4/20 mA, salida de cable de PVC de 1 m, conexión de proceso Tri-Clamp de 2", ip66, precisión del 0,5 %, límite de sobrecarga de 1,5 veces , marcado CE y compatible con RoHS.</t>
  </si>
  <si>
    <t>LST1TR4P5GT26S</t>
  </si>
  <si>
    <t>Transmisor de presión Winters Serie LST Sanitario, 0/15 psi, carcasa 1Cr18Ni9Ti con sensor de acero inoxidable soldado 316l, salida de 4/20 mA, salida de cable de PVC de 1 m, conexión de proceso Tri-Clamp de 2", ip66, precisión del 0,5 %, límite de sobrecarga de 1,5 veces, Marcado CE y compatible con RoHS.</t>
  </si>
  <si>
    <t>LST1TR6P5GT26S</t>
  </si>
  <si>
    <t>Transmisor de presión Winters Serie LST Sanitario, 0/30 psi, carcasa 1Cr18Ni9Ti con sensor de acero inoxidable soldado 316l, salida de 4/20 ma, salida de cable de pvc de 1 m, conexión de proceso Tri-Clamp de 2", ip66, precisión del 0,5 %, límite de sobrecarga de 1,5 veces, Marcado CE y compatible con RoHS.</t>
  </si>
  <si>
    <t>LST1TR9P5GT26S</t>
  </si>
  <si>
    <t>Transmisor de presión Winters Serie LST Sanitario, 0/60 psi, carcasa 1Cr18Ni9Ti con sensor de acero inoxidable soldado 316l, salida de 4/20 mA, salida de cable de PVC de 1 m, conexión de proceso Tri-Clamp de 2", ip66, precisión del 0,5 %, límite de sobrecarga de 1,5 veces, Marcado CE y compatible con RoHS.</t>
  </si>
  <si>
    <t>LST1TR2S5GT26S</t>
  </si>
  <si>
    <t>Transmisor de presión Winters Serie LST Sanitario, 0/100 psi, carcasa 1Cr18Ni9Ti con sensor de acero inoxidable soldado 316l, salida de 4/20 mA, salida de cable de PVC de 1 m, conexión de proceso Tri-Clamp de 2", ip66, precisión del 0,5 %, límite de sobrecarga de 1,5 veces, Marcado CE y compatible con RoHS.</t>
  </si>
  <si>
    <t>LST1TR3S5GT26S</t>
  </si>
  <si>
    <t>Transmisor de presión Winters Serie LST Sanitario, 0/160 psi, carcasa 1Cr18Ni9Ti con sensor de acero inoxidable soldado de 316 l, salida de 4/20 ma, salida de cable de pvc de 1 m, conexión de proceso Tri-Clamp de 2", ip66, precisión del 0,5 %, límite de sobrecarga de 1,5 veces, Marcado CE y compatible con RoHS.</t>
  </si>
  <si>
    <t>LST1TR4S5GT26S</t>
  </si>
  <si>
    <t>Transmisor de presión Winters Serie LST Sanitario, 0/200 psi, carcasa 1Cr18Ni9Ti con sensor de acero inoxidable soldado 316l, salida de 4/20 mA, salida de cable de PVC de 1 m, conexión de proceso Tri-Clamp de 2", ip66, precisión del 0,5 %, límite de sobrecarga de 1,5 veces, Marcado CE y compatible con RoHS.</t>
  </si>
  <si>
    <t>LST1TR6S5GT26S</t>
  </si>
  <si>
    <t>Transmisor de presión Winters Serie LST Sanitario, 0/300 psi, carcasa 1Cr18Ni9Ti con sensor de acero inoxidable soldado 316l, salida de 4/20 mA, salida de cable de PVC de 1 m, conexión de proceso Tri-Clamp de 2", ip66, precisión del 0,5 %, límite de sobrecarga de 1,5 veces, Marcado CE y compatible con RoHS.</t>
  </si>
  <si>
    <t>LST1TR8S5GT26S</t>
  </si>
  <si>
    <t>Transmisor de presión Winters Serie LST Sanitario, 0/500 psi, carcasa 1Cr18Ni9Ti con sensor de acero inoxidable soldado 316l, salida de 4/20 mA, salida de cable de PVC de 1 m, conexión de proceso Tri-Clamp de 2", ip66, precisión del 0,5 %, límite de sobrecarga de 1,5 veces, Marcado CE y compatible con RoHS.</t>
  </si>
  <si>
    <t>LST1TR1T5GT26S</t>
  </si>
  <si>
    <t>Transmisor de presión Winters Serie LST Sanitario, 0/725 psi, carcasa 1Cr18Ni9Ti con sensor de acero inoxidable soldado 316l, salida de 4/20 mA, salida de cable de PVC de 1 m, conexión de proceso Tri-Clamp de 2", ip66, precisión del 0,5 %, límite de sobrecarga de 1,5 veces, Marcado CE y compatible con RoHS.</t>
  </si>
  <si>
    <t>LST1TR3T5GT26S</t>
  </si>
  <si>
    <t>Transmisor de presión Winters Serie LST Sanitario, 0/1.000 psi, carcasa 1Cr18Ni9Ti con sensor de acero inoxidable soldado de 316 l, salida de 4/20 mA, salida de cable de PVC de 1 m, conexión de proceso Tri-Clamp de 2", ip66, precisión del 0,5 %, límite de sobrecarga de 1,5 veces, marcado CE Cumple con Rohs.</t>
  </si>
  <si>
    <t>LST1TR4T5GT26S</t>
  </si>
  <si>
    <t>Transmisor de presión Winters Serie LST Sanitario, 0/1500 psi, carcasa 1Cr18Ni9Ti con sensor de acero inoxidable soldado 316l, salida de 4/20 mA, salida de cable de PVC de 1 m, conexión de proceso Tri-Clamp de 2", ip66, precisión del 0,5 %, límite de sobrecarga de 1,5 veces, Marcado CE y compatible con RoHS.</t>
  </si>
  <si>
    <t>LST1TR5T5GT26S</t>
  </si>
  <si>
    <t>Transmisor de presión Winters Serie LST Sanitario, 0/2.000 psi, carcasa 1Cr18Ni9Ti con sensor de acero inoxidable soldado 316l, salida de 4/20 mA, salida de cable de PVC de 1 m, conexión de proceso Tri-Clamp de 2", ip66, precisión del 0,5 %, límite de sobrecarga de 1,5 veces, Marcado CE y compatible con RoHS.</t>
  </si>
  <si>
    <t>LST1TR7T5GT26S</t>
  </si>
  <si>
    <t>Transmisor de presión Winters Serie LST Sanitario, 0/3.000 psi, carcasa 1Cr18Ni9Ti con sensor de acero inoxidable soldado 316l, salida de 4/20 mA, salida de cable de PVC de 1 m, conexión de proceso Tri-Clamp de 2", ip66, precisión del 0,5 %, límite de sobrecarga de 1,5 veces, Marcado CE y compatible con RoHS.</t>
  </si>
  <si>
    <t>LST1TR9T5GT26S</t>
  </si>
  <si>
    <t>Transmisor de presión Winters Serie LST Sanitario, 0/4.000 psi, carcasa 1Cr18Ni9Ti con sensor de acero inoxidable soldado 316l, salida de 4/20 mA, salida de cable de PVC de 1 m, conexión de proceso Tri-Clamp de 2", ip66, precisión del 0,5 %, límite de sobrecarga de 1,5 veces, Marcado CE y compatible con RoHS.</t>
  </si>
  <si>
    <t>LST1TR1U5GT26S</t>
  </si>
  <si>
    <t>Transmisor de presión Winters Serie LST Sanitario, 0/5.000 psi, carcasa 1Cr18Ni9Ti con sensor de acero inoxidable soldado 316l, salida de 4/20 mA, salida de cable de PVC de 1 m, conexión de proceso Tri-Clamp de 2", ip66, precisión del 0,5 %, límite de sobrecarga de 1,5 veces, Marcado CE y compatible con RoHS.</t>
  </si>
  <si>
    <t>LTF1101V5GG46S</t>
  </si>
  <si>
    <t>Transmisor de presión Winters Serie LTF Flush, -14,5/0 psi, carcasa 1Cr18Ni9Ti con sensor de acero inoxidable soldado 316L, salida 4/20ma, din 43650 tipo a, conexión de proceso macho G1/4 con junta tórica, IP65, precisión del 0,5%, 1,5 límite de sobrecarga de tiempos, marcado CE y compatible con RoHS.</t>
  </si>
  <si>
    <t>LTF1104P5GG46S</t>
  </si>
  <si>
    <t>Transmisor de presión Winters Serie LTF Flush, 0/15 psi, carcasa 1Cr18Ni9Ti con sensor de acero inoxidable soldado 316L, salida 4/20ma, din 43650 tipo a, conexión de proceso macho G1/4 con junta tórica, IP65, precisión del 0,5%, 1,5 veces límite de sobrecarga, marcado CE y compatible con RoHS.</t>
  </si>
  <si>
    <t>LTF1106P5GG46S</t>
  </si>
  <si>
    <t>Transmisor de presión Winters Serie LTF Flush, 0/30 psi, carcasa 1Cr18Ni9Ti con sensor de acero inoxidable soldado 316L, salida 4/20ma, din 43650 tipo a, conexión de proceso macho G1/4 con junta tórica, IP65, precisión del 0,5%, 1,5 veces límite de sobrecarga, marcado CE y compatible con RoHS.</t>
  </si>
  <si>
    <t>LTF1109P5GG46S</t>
  </si>
  <si>
    <t>Transmisor de presión Winters Serie LTF Flush, 0/60 psi, carcasa 1Cr18Ni9Ti con sensor de acero inoxidable soldado 316L, salida 4/20ma, din 43650 tipo a, conexión de proceso macho G1/4 con junta tórica, IP65, precisión del 0,5%, 1,5 veces límite de sobrecarga, marcado CE y compatible con RoHS.</t>
  </si>
  <si>
    <t>LTF1102S5GG46S</t>
  </si>
  <si>
    <t>Transmisor de presión Winters Serie LTF Flush, 0/100 psi, carcasa 1Cr18Ni9Ti con sensor de acero inoxidable soldado 316L, salida 4/20ma, din 43650 tipo a, conexión de proceso macho G1/4 con junta tórica, IP65, precisión del 0,5%, 1,5 veces límite de sobrecarga, marcado CE y compatible con RoHS.</t>
  </si>
  <si>
    <t>LTF1103S5GG46S</t>
  </si>
  <si>
    <t>Transmisor de presión Winters Serie LTF Flush, 0/160 psi, carcasa 1Cr18Ni9Ti con sensor de acero inoxidable soldado 316L, salida 4/20ma, din 43650 tipo a, conexión de proceso macho G1/4 con junta tórica, IP65, precisión del 0,5%, 1,5 veces límite de sobrecarga, marcado CE y compatible con RoHS.</t>
  </si>
  <si>
    <t>LTF1104S5GG46S</t>
  </si>
  <si>
    <t>Transmisor de presión Winters Serie LTF Flush, 0/200 psi, carcasa 1Cr18Ni9Ti con sensor de acero inoxidable soldado 316L, salida 4/20ma, din 43650 tipo a, conexión de proceso macho G1/4 con junta tórica, IP65, precisión del 0,5%, 1,5 veces límite de sobrecarga, marcado CE y compatible con RoHS.</t>
  </si>
  <si>
    <t>LTF1106S5GG46S</t>
  </si>
  <si>
    <t>Transmisor de presión Winters Serie LTF Flush, 0/300 psi, carcasa 1Cr18Ni9Ti con sensor de acero inoxidable soldado 316L, salida 4/20ma, din 43650 tipo a, conexión de proceso macho G1/4 con junta tórica, IP65, precisión del 0,5%, 1,5 veces límite de sobrecarga, marcado CE y compatible con RoHS.</t>
  </si>
  <si>
    <t>LTF1108S5GG46S</t>
  </si>
  <si>
    <t>Transmisor de presión Winters Serie LTF Flush, 0/500 psi, carcasa 1Cr18Ni9Ti con sensor de acero inoxidable soldado 316L, salida 4/20ma, din 43650 tipo a, conexión de proceso macho G1/4 con junta tórica, IP65, precisión del 0,5%, 1,5 veces límite de sobrecarga, marcado CE y compatible con RoHS.</t>
  </si>
  <si>
    <t>LTF1101T5GG46S</t>
  </si>
  <si>
    <t>Transmisor de presión Winters Serie LTF Flush, 0/725 psi, carcasa 1Cr18Ni9Ti con sensor de acero inoxidable soldado 316L, salida 4/20ma, din 43650 tipo a, conexión de proceso macho G1/4 con junta tórica, IP65, precisión del 0,5%, 1,5 veces límite de sobrecarga, marcado CE y compatible con RoHS.</t>
  </si>
  <si>
    <t>LTF1103T5GG46S</t>
  </si>
  <si>
    <t>Transmisor de presión Winters Serie LTF Flush, 0/1.000 psi, carcasa 1Cr18Ni9Ti con sensor de acero inoxidable soldado 316L, salida 4/20ma, din 43650 tipo a, conexión de proceso macho G1/4 con junta tórica, IP65, precisión del 0,5%, límite de sobrecarga de 1,5 veces , marcado CE y compatible con RoHS.</t>
  </si>
  <si>
    <t>LTF1104T5GG46S</t>
  </si>
  <si>
    <t>Transmisor de presión Winters Serie LTF Flush, 0/1.500 psi, carcasa 1Cr18Ni9Ti con sensor de acero inoxidable soldado 316L, salida 4/20ma, din 43650 tipo a, conexión de proceso macho G1/4 con junta tórica, IP65, precisión del 0,5%, 1,5 veces límite de sobrecarga, marcado CE y compatible con RoHS.</t>
  </si>
  <si>
    <t>LTF1105T5GG46S</t>
  </si>
  <si>
    <t>Transmisor de presión Winters Serie LTF Flush, 0/2.000 psi, carcasa 1Cr18Ni9Ti con sensor de acero inoxidable soldado 316L, salida 4/20ma, din 43650 tipo a, conexión de proceso macho G1/4 con junta tórica, IP65, precisión del 0,5%, 1,5 veces límite de sobrecarga, marcado CE y compatible con RoHS.</t>
  </si>
  <si>
    <t>LTF1107T5GG46S</t>
  </si>
  <si>
    <t>Transmisor de presión Winters Serie LTF Flush, 0/3.000 psi, carcasa 1Cr18Ni9Ti con sensor de acero inoxidable soldado 316L, salida 4/20ma, din 43650 tipo a, conexión de proceso macho G1/4 con junta tórica, IP65, precisión del 0,5%, 1,5 veces límite de sobrecarga, marcado CE y compatible con RoHS.</t>
  </si>
  <si>
    <t>LTF1109T5GG46</t>
  </si>
  <si>
    <t>Transmisor de presión Winters Serie LTF Flush, 0/4.000 psi, carcasa 1Cr18Ni9Ti con sensor de acero inoxidable soldado 316L, salida 4/20ma, din 43650 tipo a, conexión de proceso macho G1/4 con junta tórica, IP65, precisión del 0,5%, 1,5 veces límite de sobrecarga, marcado CE y compatible con RoHS.</t>
  </si>
  <si>
    <t>LTF1101U5GG46S</t>
  </si>
  <si>
    <t>Transmisor de presión Winters Serie LTF Flush, 0/5.000 psi, carcasa 1Cr18Ni9Ti con sensor de acero inoxidable soldado 316L, salida 4/20ma, din 43650 tipo a, conexión de proceso macho G1/4 con junta tórica, IP65, precisión del 0,5%, 1,5 veces límite de sobrecarga, marcado CE y compatible con RoHS.</t>
  </si>
  <si>
    <t>LTF1102U5GG46S</t>
  </si>
  <si>
    <t>Transmisor de presión Winters Serie LTF Flush, 0/6.000 psi, carcasa 1Cr18Ni9Ti con sensor de acero inoxidable soldado 316L, salida 4/20ma, din 43650 tipo a, conexión de proceso macho G1/4 con junta tórica, IP65, precisión del 0,5%, 1,5 veces límite de sobrecarga, marcado CE y compatible con RoHS.</t>
  </si>
  <si>
    <t>LTF1103U5GG46S</t>
  </si>
  <si>
    <t>Transmisor de presión Winters Serie LTF Flush, 0/7.500 psi, carcasa 1Cr18Ni9Ti con sensor de acero inoxidable soldado 316L, salida 4/20ma, din 43650 tipo a, conexión de proceso macho G1/4 con junta tórica, IP65, precisión del 0,5%, 1,5 veces límite de sobrecarga, marcado CE y compatible con RoHS.</t>
  </si>
  <si>
    <t>LTF1104U5GG46S</t>
  </si>
  <si>
    <t>Transmisor de presión Winters Serie LTF Flush, 0/9.000 psi, carcasa 1Cr18Ni9Ti con sensor de acero inoxidable soldado 316L, salida 4/20ma, din 43650 tipo a, conexión de proceso macho G1/4 con junta tórica, IP65, precisión del 0,5%, 1,5 veces límite de sobrecarga, marcado CE y compatible con RoHS.</t>
  </si>
  <si>
    <t>LTF1105U5GG46S</t>
  </si>
  <si>
    <t>Transmisor de presión Winters Serie LTF Flush, 0/10.000 psi, carcasa 1Cr18Ni9Ti con sensor de acero inoxidable soldado 316L, salida 4/20ma, din 43650 tipo a, conexión de proceso macho G1/4 con junta tórica, IP65, precisión del 0,5%, 1,5 veces límite de sobrecarga, marcado CE y compatible con RoHS.</t>
  </si>
  <si>
    <t>LTF1101V5GG26S</t>
  </si>
  <si>
    <t>Transmisor de presión Winters Serie LTF Flush, -14,5/0 psi, carcasa 1Cr18Ni9Ti con sensor de acero inoxidable soldado 316L, salida 4/20ma, din 43650 tipo a, conexión de proceso macho G1/2 con junta tórica, IP65, precisión del 0,5%, 1,5 límite de sobrecarga de tiempos, marcado CE y compatible con RoHS.</t>
  </si>
  <si>
    <t>LTF1104P5GG26S</t>
  </si>
  <si>
    <t>Transmisor de presión Winters Serie LTF Flush, 0/15 psi, carcasa 1Cr18Ni9Ti con sensor de acero inoxidable soldado 316L, salida 4/20ma, din 43650 tipo a, conexión de proceso macho G1/2 con junta tórica, IP65, precisión del 0,5%, 1,5 veces límite de sobrecarga, marcado CE y compatible con RoHS.</t>
  </si>
  <si>
    <t>LTF1106P5GG26S</t>
  </si>
  <si>
    <t>Transmisor de presión Winters Serie LTF Flush, 0/30 psi, carcasa 1Cr18Ni9Ti con sensor de acero inoxidable soldado 316L, salida 4/20ma, din 43650 tipo a, conexión de proceso macho G1/2 con junta tórica, IP65, precisión del 0,5%, 1,5 veces límite de sobrecarga, marcado CE y compatible con RoHS.</t>
  </si>
  <si>
    <t>LTF1109P5GG26S</t>
  </si>
  <si>
    <t>Transmisor de presión Winters Serie LTF Flush, 0/60 psi, carcasa 1Cr18Ni9Ti con sensor de acero inoxidable soldado 316L, salida 4/20ma, din 43650 tipo a, conexión de proceso macho G1/2 con junta tórica, IP65, precisión del 0,5%, 1,5 veces límite de sobrecarga, marcado CE y compatible con RoHS.</t>
  </si>
  <si>
    <t>LTF1102S5GG26S</t>
  </si>
  <si>
    <t>Transmisor de presión Winters Serie LTF Flush, 0/100 psi, carcasa 1Cr18Ni9Ti con sensor de acero inoxidable soldado 316L, salida 4/20ma, din 43650 tipo a, conexión de proceso macho G1/2 con junta tórica, IP65, precisión del 0,5%, 1,5 veces límite de sobrecarga, marcado CE y compatible con RoHS.</t>
  </si>
  <si>
    <t>LTF1103S5GG26S</t>
  </si>
  <si>
    <t>Transmisor de presión Winters Serie LTF Flush, 0/160 psi, carcasa 1Cr18Ni9Ti con sensor de acero inoxidable soldado 316L, salida 4/20ma, din 43650 tipo a, conexión de proceso macho G1/2 con junta tórica, IP65, precisión del 0,5%, 1,5 veces límite de sobrecarga, marcado CE y compatible con RoHS.</t>
  </si>
  <si>
    <t>LTF1104S5GG26S</t>
  </si>
  <si>
    <t>Transmisor de presión Winters Serie LTF Flush, 0/200 psi, carcasa 1Cr18Ni9Ti con sensor de acero inoxidable soldado 316L, salida 4/20ma, din 43650 tipo a, conexión de proceso macho G1/2 con junta tórica, IP65, precisión del 0,5%, 1,5 veces límite de sobrecarga, marcado CE y compatible con RoHS.</t>
  </si>
  <si>
    <t>LTF1106S5GG26S</t>
  </si>
  <si>
    <t>Transmisor de presión Winters Serie LTF Flush, 0/300 psi, carcasa 1Cr18Ni9Ti con sensor de acero inoxidable soldado 316L, salida 4/20ma, din 43650 tipo a, conexión de proceso macho G1/2 con junta tórica, IP65, precisión del 0,5%, 1,5 veces límite de sobrecarga, marcado CE y compatible con RoHS.</t>
  </si>
  <si>
    <t>LTF1108S5GG26S</t>
  </si>
  <si>
    <t>Transmisor de presión Winters Serie LTF Flush, 0/500 psi, carcasa 1Cr18Ni9Ti con sensor de acero inoxidable soldado 316L, salida 4/20ma, din 43650 tipo a, conexión de proceso macho G1/2 con junta tórica, IP65, precisión del 0,5%, 1,5 veces límite de sobrecarga, marcado CE y compatible con RoHS.</t>
  </si>
  <si>
    <t>LTF1101T5GG26S</t>
  </si>
  <si>
    <t>Transmisor de presión Winters Serie LTF Flush, 0/725 psi, carcasa 1Cr18Ni9Ti con sensor de acero inoxidable soldado 316L, salida 4/20ma, din 43650 tipo a, conexión de proceso macho G1/2 con junta tórica, IP65, precisión del 0,5%, 1,5 veces límite de sobrecarga, marcado CE y compatible con RoHS.</t>
  </si>
  <si>
    <t>LTF1103T5GG26S</t>
  </si>
  <si>
    <t>Transmisor de presión Winters Serie LTF Flush, 0/1.000 psi, carcasa 1Cr18Ni9Ti con sensor de acero inoxidable soldado 316L, salida 4/20ma, din 43650 tipo a, conexión de proceso macho G1/2 con junta tórica, IP65, precisión del 0,5%, límite de sobrecarga de 1,5 veces , marcado CE y compatible con RoHS.</t>
  </si>
  <si>
    <t>LTF1104T5GG26S</t>
  </si>
  <si>
    <t>Transmisor de presión Winters Serie LTF Flush, 0/1.500 psi, carcasa 1Cr18Ni9Ti con sensor de acero inoxidable soldado 316L, salida 4/20ma, din 43650 tipo a, conexión de proceso macho G1/2 con junta tórica, IP65, precisión del 0,5%, 1,5 veces límite de sobrecarga, marcado CE y compatible con RoHS.</t>
  </si>
  <si>
    <t>LTF1105T5GG26S</t>
  </si>
  <si>
    <t>Transmisor de presión Winters Serie LTF Flush, 0/2.000 psi, carcasa 1Cr18Ni9Ti con sensor de acero inoxidable soldado 316L, salida 4/20ma, din 43650 tipo a, conexión de proceso macho G1/2 con junta tórica, IP65, precisión del 0,5%, 1,5 veces límite de sobrecarga, marcado CE y compatible con RoHS.</t>
  </si>
  <si>
    <t>LTF1107T5GG26S</t>
  </si>
  <si>
    <t>Transmisor de presión Winters Serie LTF Flush, 0/3.000 psi, carcasa 1Cr18Ni9Ti con sensor de acero inoxidable soldado 316L, salida 4/20ma, din 43650 tipo a, conexión de proceso macho G1/2 con junta tórica, IP65, precisión del 0,5%, 1,5 veces límite de sobrecarga, marcado CE y compatible con RoHS.</t>
  </si>
  <si>
    <t>LTF1109T5GG26S</t>
  </si>
  <si>
    <t>Transmisor de presión Winters Serie LTF Flush, 0/4.000 psi, carcasa 1Cr18Ni9Ti con sensor de acero inoxidable soldado 316L, salida 4/20ma, din 43650 tipo a, conexión de proceso macho G1/2 con junta tórica, IP65, precisión del 0,5%, 1,5 veces límite de sobrecarga, marcado CE y compatible con RoHS.</t>
  </si>
  <si>
    <t>LTF1101U5GG26S</t>
  </si>
  <si>
    <t>Transmisor de presión Winters Serie LTF Flush, 0/5.000 psi, carcasa 1Cr18Ni9Ti con sensor de acero inoxidable soldado 316L, salida 4/20ma, din 43650 tipo a, conexión de proceso macho G1/2 con junta tórica, IP65, precisión del 0,5%, 1,5 veces límite de sobrecarga, marcado CE y compatible con RoHS.</t>
  </si>
  <si>
    <t>LTF1102U5GG26S</t>
  </si>
  <si>
    <t>Transmisor de presión Winters Serie LTF Flush, 0/6.000 psi, carcasa 1Cr18Ni9Ti con sensor de acero inoxidable soldado 316L, salida 4/20ma, din 43650 tipo a, conexión de proceso macho G1/2 con junta tórica, IP65, precisión del 0,5%, 1,5 veces límite de sobrecarga, marcado CE y compatible con RoHS.</t>
  </si>
  <si>
    <t>LTF1103U5GG26S</t>
  </si>
  <si>
    <t>Transmisor de presión Winters Serie LTF Flush, 0/7.500 psi, carcasa 1Cr18Ni9Ti con sensor de acero inoxidable soldado 316L, salida 4/20ma, din 43650 tipo a, conexión de proceso macho G1/2 con junta tórica, IP65, precisión del 0,5%, 1,5 veces límite de sobrecarga, marcado CE y compatible con RoHS.</t>
  </si>
  <si>
    <t>LTF1104U5GG26S</t>
  </si>
  <si>
    <t>Transmisor de presión Winters Serie LTF Flush, 0/9.000 psi, carcasa 1Cr18Ni9Ti con sensor de acero inoxidable soldado 316L, salida 4/20ma, din 43650 tipo a, conexión de proceso macho G1/2 con junta tórica, IP65, precisión del 0,5%, 1,5 veces límite de sobrecarga, marcado CE y compatible con RoHS.</t>
  </si>
  <si>
    <t>LTF1105U5GG26S</t>
  </si>
  <si>
    <t>Transmisor de presión Winters Serie LTF Flush, 0/10.000 psi, carcasa 1Cr18Ni9Ti con sensor de acero inoxidable soldado 316L, salida 4/20ma, din 43650 tipo a, conexión de proceso macho G1/2 con junta tórica, IP65, precisión del 0,5%, 1,5 veces límite de sobrecarga, marcado CE y compatible con RoHS.</t>
  </si>
  <si>
    <t>LMH1103S5GN47P</t>
  </si>
  <si>
    <t>Transmisor de presión Winters serie LMH, 0/150 psi, carcasa 304SS con sensor de acero inoxidable soldado 17-4 ph, salida 4/20ma, DIN 43650 tipo A, conexión a proceso macho 1/4" NPT con tornillo restrictor, IP65, exactitud de 0.5%, Límite de sobrecarga de 2 veces, impacto a 100 g y vibración a 20 g.</t>
  </si>
  <si>
    <t>LMH1104S5GN47P</t>
  </si>
  <si>
    <t>Transmisor de presión Winters serie LMH, 0/200 psi, carcasa 304SS con sensor de acero inoxidable soldado 17-4 ph, salida 4/20ma, DIN 43650 tipo A, conexión a proceso macho 1/4" NPT con tornillo restrictor, IP65, exactitud de 0.5%, Límite de sobrecarga de 2 veces, impacto a 100 g y vibración a 20 g.</t>
  </si>
  <si>
    <t>LMH1105S5GN47P</t>
  </si>
  <si>
    <t>Transmisor de presión Winters serie LMH, 0/230 psi, carcasa 304SS con sensor de acero inoxidable soldado 17-4 ph, salida 4/20ma, DIN 43650 tipo A, conexión a proceso macho 1/4" NPT con tornillo restrictor, IP65, exactitud de 0.5%, Límite de sobrecarga de 2 veces, impacto a 100 g y vibración a 20 g.</t>
  </si>
  <si>
    <t>LMH1106S5GN47P</t>
  </si>
  <si>
    <t>Transmisor de presión Winters serie LMH, 0/300 psi, carcasa 304SS con sensor de acero inoxidable soldado 17-4 ph, salida 4/20ma, DIN 43650 tipo A, conexión a proceso macho 1/4" NPT con tornillo restrictor, IP65, exactitud de 0.5%, Límite de sobrecarga de 2 veces, impacto a 100 g y vibración a 20 g.</t>
  </si>
  <si>
    <t>LMH1107S5GN47P</t>
  </si>
  <si>
    <t>Transmisor de presión Winters serie LMH, 0/360 psi, carcasa 304SS con sensor de acero inoxidable soldado 17-4 ph, salida 4/20ma, DIN 43650 tipo A, conexión a proceso macho 1/4" NPT con tornillo restrictor, IP65, exactitud de 0.5%, Límite de sobrecarga de 2 veces, impacto a 100 g y vibración a 20 g.</t>
  </si>
  <si>
    <t>LMH1108S5GN47P</t>
  </si>
  <si>
    <t>Transmisor de presión Winters serie LMH, 0/500 psi, carcasa 304SS con sensor de acero inoxidable soldado 17-4 ph, salida 4/20ma, DIN 43650 tipo A, conexión a proceso macho 1/4" NPT con tornillo restrictor, IP65, exactitud de 0.5%, Límite de sobrecarga de 2 veces, impacto a 100 g y vibración a 20 g.</t>
  </si>
  <si>
    <t>LMH1109S5GN47P</t>
  </si>
  <si>
    <t>Transmisor de presión Winters serie LMH, 0/580 psi, carcasa 304SS con sensor de acero inoxidable soldado 17-4 ph, salida 4/20ma, DIN 43650 tipo A, conexión a proceso macho 1/4" NPT con tornillo restrictor, IP65, exactitud de 0.5%, Límite de sobrecarga de 2 veces, impacto a 100 g y vibración a 20 g.</t>
  </si>
  <si>
    <t>LMH1101T5GN47P</t>
  </si>
  <si>
    <t>Transmisor de presión Winters serie LMH, 0/725 psi, carcasa 304SS con sensor de acero inoxidable soldado 17-4 ph, salida 4/20ma, DIN 43650 tipo A, conexión a proceso macho 1/4" NPT con tornillo restrictor, IP65, exactitud de 0.5%, Límite de sobrecarga de 2 veces, impacto a 100 g y vibración a 20 g.</t>
  </si>
  <si>
    <t>LMH1102T5GN47P</t>
  </si>
  <si>
    <t>Transmisor de presión Winters serie LMH, 0/870 psi, carcasa 304SS con sensor de acero inoxidable soldado 17-4 ph, salida 4/20ma, DIN 43650 tipo A, conexión a proceso macho 1/4" NPT con tornillo restrictor, IP65, exactitud de 0.5%, Límite de sobrecarga de 2 veces, impacto a 100 g y vibración a 20 g.</t>
  </si>
  <si>
    <t>LMH1103T5GN47P</t>
  </si>
  <si>
    <t>Transmisor de presión Winters serie LMH, 0/1.000 psi, carcasa 304SS con sensor de acero inoxidable soldado 17-4 ph, salida 4/20ma, DIN 43650 tipo A, conexión a proceso macho 1/4" NPT con tornillo restrictor, IP65, exactitud de 0.5%, Límite de sobrecarga de 2 veces, impacto a 100 g y vibración a 20 g.</t>
  </si>
  <si>
    <t>LMH1104T5GN47P</t>
  </si>
  <si>
    <t>Transmisor de presión Winters serie LMH, 0/1500 psi, carcasa 304SS con sensor de acero inoxidable soldado 17-4 ph, salida 4/20ma, DIN 43650 tipo A, conexión a proceso macho 1/4" NPT con tornillo restrictor, IP65, exactitud de 0.5%, Límite de sobrecarga de 2 veces, impacto a 100 g y vibración a 20 g.</t>
  </si>
  <si>
    <t>LMH1105T5GN47P</t>
  </si>
  <si>
    <t>Transmisor de presión Winters serie LMH, 0/2.000 psi, carcasa 304SS con sensor de acero inoxidable soldado 17-4 ph, salida 4/20ma, DIN 43650 tipo A, conexión a proceso macho 1/4" NPT con tornillo restrictor, IP65, exactitud de 0.5%, Límite de sobrecarga de 2 veces, impacto a 100 g y vibración a 20 g.</t>
  </si>
  <si>
    <t>LMH1106T5GN47P</t>
  </si>
  <si>
    <t>Transmisor de presión Winters serie LMH, 0/2.300 psi, carcasa 304SS con sensor de acero inoxidable soldado 17-4 ph, salida 4/20ma, DIN 43650 tipo A, conexión a proceso macho 1/4" NPT con tornillo restrictor, IP65, exactitud de 0.5%, Límite de sobrecarga de 2 veces, impacto a 100 g y vibración a 20 g.</t>
  </si>
  <si>
    <t>LMH1107T5GN47P</t>
  </si>
  <si>
    <t>Transmisor de presión Winters serie LMH, 0/3.000 psi, carcasa 304SS con sensor de acero inoxidable soldado 17-4 ph, salida 4/20ma, DIN 43650 tipo A, conexión a proceso macho 1/4" NPT con tornillo restrictor, IP65, exactitud de 0.5%, Límite de sobrecarga de 2 veces, impacto a 100 g y vibración a 20 g.</t>
  </si>
  <si>
    <t>LMH1108T5GN47P</t>
  </si>
  <si>
    <t>Transmisor de presión Winters serie LMH, 0/3.600 psi, carcasa 304SS con sensor de acero inoxidable soldado 17-4 ph, salida 4/20ma, DIN 43650 tipo A, conexión a proceso macho 1/4" NPT con tornillo restrictor, IP65, exactitud de 0.5%, Límite de sobrecarga de 2 veces, impacto a 100 g y vibración a 20 g.</t>
  </si>
  <si>
    <t>LMH1109T5GN47P</t>
  </si>
  <si>
    <t>Transmisor de presión Winters serie LMH, 0/4.000 psi, carcasa 304SS con sensor de acero inoxidable soldado 17-4 ph, salida 4/20ma, DIN 43650 tipo A, conexión a proceso macho 1/4" NPT con tornillo restrictor, IP65, exactitud de 0.5%, Límite de sobrecarga de 2 veces, impacto a 100 g y vibración a 20 g.</t>
  </si>
  <si>
    <t>LMH1101U5GN47P</t>
  </si>
  <si>
    <t>Transmisor de presión Winters serie LMH, 0/5.000 psi, carcasa 304SS con sensor de acero inoxidable soldado 17-4 ph, salida 4/20ma, DIN 43650 tipo A, conexión a proceso macho 1/4" NPT con tornillo restrictor, IP65, exactitud de 0.5%, Límite de sobrecarga de 2 veces, impacto a 100 g y vibración a 20 g.</t>
  </si>
  <si>
    <t>LMH1102U5GN47P</t>
  </si>
  <si>
    <t>Transmisor de presión Winters serie LMH, 0/6.000 psi, carcasa 304SS con sensor de acero inoxidable soldado 17-4 ph, salida 4/20ma, DIN 43650 tipo A, conexión a proceso macho 1/4" NPT con tornillo restrictor, IP65, exactitud de 0.5%, Límite de sobrecarga de 2 veces, impacto a 100 g y vibración a 20 g.</t>
  </si>
  <si>
    <t>LMH1103U5GN47P</t>
  </si>
  <si>
    <t>Transmisor de presión Winters serie LMH, 0/7.500 psi, carcasa 304SS con sensor de acero inoxidable soldado 17-4 ph, salida 4/20ma, DIN 43650 tipo A, conexión a proceso macho 1/4" NPT con tornillo restrictor, IP65, exactitud de 0.5%, Límite de sobrecarga de 2 veces, impacto a 100 g y vibración a 20 g.</t>
  </si>
  <si>
    <t>LMH1104U5GN47P</t>
  </si>
  <si>
    <t>Transmisor de presión Winters serie LMH, 0/9.000 psi, carcasa 304SS con sensor de acero inoxidable soldado 17-4 ph, salida 4/20ma, DIN 43650 tipo A, conexión a proceso macho 1/4" NPT con tornillo restrictor, IP65, exactitud de 0.5%, Límite de sobrecarga de 2 veces, impacto a 100 g y vibración a 20 g.</t>
  </si>
  <si>
    <t>LMH1105U5GN47P</t>
  </si>
  <si>
    <t>Transmisor de presión Winters serie LMH, 0/10.000 psi, carcasa 304SS con sensor de acero inoxidable soldado 17-4 ph, salida 4/20ma, DIN 43650 tipo A, conexión a proceso macho 1/4" NPT con tornillo restrictor, IP65, exactitud de 0,5%, Límite de sobrecarga de 2 veces, impacto a 100 g y vibración a 20 g.</t>
  </si>
  <si>
    <t>LMH1106U5GN47P</t>
  </si>
  <si>
    <t>Transmisor de presión Winters serie LMH, 0/15.000 psi, carcasa 304SS con sensor de acero inoxidable soldado 17-4 ph, salida 4/20ma, DIN 43650 tipo A, conexión a proceso macho 1/4" NPT con tornillo restrictor, IP65, exactitud de 0,5%, Límite de sobrecarga de 2 veces, impacto a 100 g y vibración a 20 g.</t>
  </si>
  <si>
    <t>LMH1TR3S5GN47P</t>
  </si>
  <si>
    <t>Transmisor de presión Winters serie LMH, 0/150 psi, carcasa 304SS con sensor de acero inoxidable soldado 17-4 ph, salida 4/20ma, salida de cable de pvc de 1m, conexión a proceso macho 1/4" NPT con tornillo restrictor, IP67, exactitud de 0.5%, Límite de sobrecarga de 2 veces, impacto a 100 g y vibración a 20 g.</t>
  </si>
  <si>
    <t>LMH1TR4S5GN47P</t>
  </si>
  <si>
    <t>Transmisor de presión Winters serie LMH, 0/200 psi, carcasa 304SS con sensor de acero inoxidable soldado 17-4 ph, salida 4/20ma, salida de cable de pvc de 1m, conexión a proceso macho 1/4" NPT con tornillo restrictor, IP67, exactitud de 0.5%, Límite de sobrecarga de 2 veces, impacto a 100 g y vibración a 20 g.</t>
  </si>
  <si>
    <t>LMH1TR5S5GN47P</t>
  </si>
  <si>
    <t>Transmisor de presión Winters serie LMH, 0/230 psi, carcasa 304SS con sensor de acero inoxidable soldado 17-4 ph, salida 4/20ma, salida de cable de pvc de 1m, conexión a proceso macho 1/4" NPT con tornillo restrictor, IP67, exactitud de 0.5%, Límite de sobrecarga de 2 veces, impacto a 100 g y vibración a 20 g.</t>
  </si>
  <si>
    <t>LMH1TR6S5GN47P</t>
  </si>
  <si>
    <t>Transmisor de presión Winters serie LMH, 0/300 psi, carcasa 304SS con sensor de acero inoxidable soldado 17-4 ph, salida 4/20ma, salida de cable de pvc de 1m, conexión a proceso macho 1/4" NPT con tornillo restrictor, IP67, exactitud de 0.5%, Límite de sobrecarga de 2 veces, impacto a 100 g y vibración a 20 g.</t>
  </si>
  <si>
    <t>LMH1TR7S5GN47P</t>
  </si>
  <si>
    <t>Transmisor de presión Winters serie LMH, 0/360 psi, carcasa 304SS con sensor de acero inoxidable soldado 17-4 ph, salida 4/20ma, salida de cable de pvc de 1m, conexión a proceso macho 1/4" NPT con tornillo restrictor, IP67, exactitud de 0.5%, Límite de sobrecarga 2 veces, impacto a 100 g y vibración a 20 g.</t>
  </si>
  <si>
    <t>LMH1TR8S5GN47P</t>
  </si>
  <si>
    <t>Transmisor de presión Winters serie LMH, 0/500 psi, carcasa 304SS con sensor de acero inoxidable soldado 17-4 ph, salida 4/20ma, salida de cable de pvc de 1m, conexión a proceso macho 1/4" NPT con tornillo restrictor, IP67, exactitud de 0.5%, Límite de sobrecarga de 2 veces, impacto a 100 g y vibración a 20 g.</t>
  </si>
  <si>
    <t>LMH1TR9S5GN47P</t>
  </si>
  <si>
    <t>Transmisor de presión Winters serie LMH, 0/580 psi, carcasa 304SS con sensor de acero inoxidable soldado 17-4 ph, salida 4/20ma, salida de cable de pvc de 1m, conexión a proceso macho 1/4" NPT con tornillo restrictor, IP67, exactitud de 0.5%, Límite de sobrecarga de 2 veces, impacto a 100 g y vibración a 20 g.</t>
  </si>
  <si>
    <t>LMH1TR1T5GN47P</t>
  </si>
  <si>
    <t>Transmisor de presión Winters serie LMH, 0/725 psi, carcasa 304SS con sensor de acero inoxidable soldado 17-4 ph, salida 4/20ma, salida de cable de pvc de 1m, conexión a proceso macho 1/4" NPT con tornillo restrictor, IP67, exactitud de 0.5%, Límite de sobrecarga de 2 veces, impacto a 100 g y vibración a 20 g.</t>
  </si>
  <si>
    <t>LMH1TR2T5GN47P</t>
  </si>
  <si>
    <t>Transmisor de presión Winters serie LMH, 0/870 psi, carcasa 304SS con sensor de acero inoxidable soldado 17-4 ph, salida 4/20ma, salida de cable de pvc de 1m, conexión a proceso macho 1/4" NPT con tornillo restrictor, IP67, exactitud de 0.5%, Límite de sobrecarga de 2 veces, impacto a 100 g y vibración a 20 g.</t>
  </si>
  <si>
    <t>LMH1TR3T5GN47P</t>
  </si>
  <si>
    <t>Transmisor de presión Winters serie LMH, 0/1.000 psi, carcasa 304SS con sensor de acero inoxidable soldado 17-4 ph, salida 4/20ma, salida de cable de pvc de 1m, conexión a proceso macho 1/4" NPT con tornillo restrictor, IP67, exactitud de 0.5%, Límite de sobrecarga de 2 veces, impacto a 100 g y vibración a 20 g.</t>
  </si>
  <si>
    <t>LMH1TR4T5GN47P</t>
  </si>
  <si>
    <t>Transmisor de presión Winters serie LMH, 0/1.500 psi, carcasa 304SS con sensor de acero inoxidable soldado 17-4 ph, salida 4/20ma, salida de cable de pvc de 1m, conexión a proceso macho 1/4" NPT con tornillo restrictor, IP67, exactitud de 0.5%, Límite de sobrecarga de 2 veces, impacto a 100 g y vibración a 20 g.</t>
  </si>
  <si>
    <t>LMH1TR5T5GN47P</t>
  </si>
  <si>
    <t>Transmisor de presión Winters serie LMH, 0/2.000 psi, carcasa 304SS con sensor de acero inoxidable soldado 17-4 ph, salida 4/20ma, salida de cable de pvc de 1m, conexión a proceso macho 1/4" NPT con tornillo restrictor, IP67, exactitud de 0.5%, Límite de sobrecarga de 2 veces, impacto a 100 g y vibración a 20 g.</t>
  </si>
  <si>
    <t>LMH1TR6T5GN47P</t>
  </si>
  <si>
    <t>Transmisor de presión Winters serie LMH, 0/2.300 psi, carcasa 304SS con sensor de acero inoxidable soldado 17-4 ph, salida 4/20ma, salida de cable de pvc de 1m, conexión a proceso macho 1/4" NPT con tornillo restrictor, IP67, exactitud de 0.5%, Límite de sobrecarga de 2 veces, impacto a 100 g y vibración a 20 g.</t>
  </si>
  <si>
    <t>LMH1TR7T5GN47P</t>
  </si>
  <si>
    <t>Transmisor de presión Winters serie LMH, 0/3.000 psi, carcasa 304SS con sensor de acero inoxidable soldado 17-4 ph, salida 4/20ma, salida de cable de pvc de 1m, conexión a proceso macho 1/4" NPT con tornillo restrictor, IP67, exactitud de 0.5%, Límite de sobrecarga de 2 veces, impacto a 100 g y vibración a 20 g.</t>
  </si>
  <si>
    <t>LMH1TR8T5GN47P</t>
  </si>
  <si>
    <t>Transmisor de presión Winters serie LMH, 0/3.600 psi, carcasa 304SS con sensor de acero inoxidable soldado 17-4 ph, salida 4/20ma, salida de cable de pvc de 1m, conexión a proceso macho 1/4" NPT con tornillo restrictor, IP67, exactitud de 0.5%, Límite de sobrecarga de 2 veces, impacto a 100 g y vibración a 20 g.</t>
  </si>
  <si>
    <t>LMH1TR9T5GN47P</t>
  </si>
  <si>
    <t>Transmisor de presión Winters serie LMH, 0/4.000 psi, carcasa 304SS con sensor de acero inoxidable soldado 17-4 ph, salida 4/20ma, salida de cable de pvc de 1m, conexión a proceso macho 1/4" NPT con tornillo restrictor, IP67, exactitud de 0.5%, Límite de sobrecarga de 2 veces, impacto a 100 g y vibración a 20 g.</t>
  </si>
  <si>
    <t>LMH1TR1U5GN47P</t>
  </si>
  <si>
    <t>Transmisor de presión Winters serie LMH, 0/5.000 psi, carcasa 304SS con sensor de acero inoxidable soldado 17-4 ph, salida 4/20ma, salida de cable de pvc de 1m, conexión a proceso macho 1/4" NPT con tornillo restrictor, IP67, exactitud de 0.5%, Límite de sobrecarga de 2 veces, impacto a 100 g y vibración a 20 g.</t>
  </si>
  <si>
    <t>LMH1TR2U5GN47P</t>
  </si>
  <si>
    <t>Transmisor de presión Winters serie LMH, 0/6.000 psi, carcasa 304SS con sensor de acero inoxidable soldado 17-4 ph, salida 4/20ma, salida de cable de pvc de 1m, conexión a proceso macho 1/4" NPT con tornillo restrictor, IP67, exactitud de 0.5%, Límite de sobrecarga de 2 veces, impacto a 100 g y vibración a 20 g.</t>
  </si>
  <si>
    <t>LMH1TR3U5GN47P</t>
  </si>
  <si>
    <t>Transmisor de presión Winters serie LMH, 0/7.500 psi, carcasa 304SS con sensor de acero inoxidable soldado 17-4 ph, salida 4/20ma, salida de cable de pvc de 1m, conexión a proceso macho 1/4" NPT con tornillo restrictor, IP67, exactitud de 0.5%, Límite de sobrecarga de 2 veces, impacto a 100 g y vibración a 20 g.</t>
  </si>
  <si>
    <t>LMH1TR4U5GN47P</t>
  </si>
  <si>
    <t>Transmisor de presión Winters serie LMH, 0/9.000 psi, carcasa 304SS con sensor de acero inoxidable soldado 17-4 ph, salida 4/20ma, salida de cable de pvc de 1m, conexión a proceso macho 1/4" NPT con tornillo restrictor, IP67, exactitud de 0.5%, Límite de sobrecarga de 2 veces, impacto a 100 g y vibración a 20 g.</t>
  </si>
  <si>
    <t>LMH1TR5U5GN47P</t>
  </si>
  <si>
    <t>Transmisor de presión Winters serie LMH, 0/10.000 psi, carcasa 304SS con sensor de acero inoxidable soldado 17-4 ph, salida 4/20ma, salida de cable de pvc de 1m, conexión a proceso macho 1/4" NPT con tornillo restrictor, IP67, exactitud de 0,5%, Límite de sobrecarga de 2 veces, impacto a 100 g y vibración a 20 g.</t>
  </si>
  <si>
    <t>LMH1TR6U5GN47P</t>
  </si>
  <si>
    <t>Transmisor de presión Winters serie LMH, 0/15.000 psi, carcasa 304SS con sensor de acero inoxidable soldado 17-4 ph, salida 4/20ma, salida de cable de pvc de 1m, conexión a proceso macho 1/4" NPT con tornillo restrictor, IP67, exactitud de 0,5%, Límite de sobrecarga de 2 veces, impacto a 100 g y vibración a 20 g.</t>
  </si>
  <si>
    <t>LTD110D015DF46S</t>
  </si>
  <si>
    <t>Transmisor de presión diferencial serie ltd, 0/15 psi d, carcasa cr18ni9ti con sensor de acero inoxidable soldado 316L, salida 4/20ma, carcasa eléctrica din 43650 tipo a, conexión de proceso hembra x hembra 1/4" npt, IP65, precisión del 0,5% , límite de sobrecarga de 1,5 veces.</t>
  </si>
  <si>
    <t>LTD110D025DF46S</t>
  </si>
  <si>
    <t>Transmisor de presión diferencial serie ltd, 0/30 psi d, carcasa cr18ni9ti con sensor de acero inoxidable soldado 316L, salida 4/20ma, carcasa eléctrica din 43650 tipo a, conexión de proceso hembra x hembra 1/4" npt, IP65, precisión del 0,5% , límite de sobrecarga de 1,5 veces.</t>
  </si>
  <si>
    <t>LTD110D035DF46S</t>
  </si>
  <si>
    <t>Transmisor de presión diferencial serie ltd, 0/60 psi d, carcasa cr18ni9ti con sensor de acero inoxidable soldado 316L, salida 4/20ma, carcasa eléctrica din 43650 tipo a, conexión de proceso hembra x hembra 1/4" npt, IP65, precisión del 0,5% , límite de sobrecarga de 1,5 veces.</t>
  </si>
  <si>
    <t>LTD110D045DF46S</t>
  </si>
  <si>
    <t>Transmisor de presión diferencial serie ltd, 0/100 psi d, carcasa cr18ni9ti con sensor de acero inoxidable soldado 316L, salida 4/20ma, carcasa eléctrica din 43650 tipo a, conexión de proceso hembra x hembra 1/4" npt, IP65, precisión del 0,5% , límite de sobrecarga de 1,5 veces.</t>
  </si>
  <si>
    <t>LTD110D055DF46S</t>
  </si>
  <si>
    <t>Transmisor de presión diferencial serie ltd, 0/160 psi d, carcasa cr18ni9ti con sensor de acero inoxidable soldado 316L, salida 4/20ma, carcasa eléctrica din 43650 tipo a, conexión de proceso hembra x hembra 1/4" npt, IP65, precisión del 0,5% , límite de sobrecarga de 1,5 veces.</t>
  </si>
  <si>
    <t>LTD110D065DF46S</t>
  </si>
  <si>
    <t>Transmisor de presión diferencial serie ltd, 0/200 psi d, carcasa cr18ni9ti con sensor de acero inoxidable soldado 316L, salida 4/20ma, carcasa eléctrica din 43650 tipo a, conexión de proceso hembra x hembra 1/4" npt, IP65, precisión del 0,5% , límite de sobrecarga de 1,5 veces.</t>
  </si>
  <si>
    <t>LTD110D075DF46S</t>
  </si>
  <si>
    <t>Transmisor de presión diferencial serie ltd, 0/300 psi d, carcasa cr18ni9ti con sensor de acero inoxidable soldado 316L, salida 4/20ma, carcasa eléctrica din 43650 tipo a, conexión de proceso hembra x hembra 1/4" npt, IP65, precisión del 0,5% , límite de sobrecarga de 1,5 veces.</t>
  </si>
  <si>
    <t>LTD110D085DF46S</t>
  </si>
  <si>
    <t>Transmisor de presión diferencial serie ltd, 0/500 psi d, carcasa cr18ni9ti con sensor de acero inoxidable soldado 316L, salida 4/20ma, carcasa eléctrica din 43650 tipo a, conexión de proceso hembra x hembra 1/4" npt, IP65, precisión del 0,5% , límite de sobrecarga de 1,5 veces.</t>
  </si>
  <si>
    <t>LTD110D015DM46S</t>
  </si>
  <si>
    <t>Transmisor de presión diferencial serie ltd, 0/15 psi d, carcasa cr18ni9ti con sensor de acero inoxidable soldado 316L, salida 4/20ma, carcasa eléctrica din 43650 tipo a, conexión de proceso macho x macho 1/4" npt, IP66, precisión del 0,5% , límite de sobrecarga de 1,5 veces.</t>
  </si>
  <si>
    <t>LTD110D025DM46S</t>
  </si>
  <si>
    <t>Transmisor de presión diferencial serie ltd, 0/30 psi d, carcasa cr18ni9ti con sensor de acero inoxidable soldado 316L, salida 4/20ma, carcasa eléctrica din 43650 tipo a, conexión de proceso macho x macho 1/4" npt, IP66, precisión del 0,5% , límite de sobrecarga de 1,5 veces.</t>
  </si>
  <si>
    <t>LTD110D035DM46S</t>
  </si>
  <si>
    <t>Transmisor de presión diferencial serie ltd, 0/60 psi d, carcasa cr18ni9ti con sensor de acero inoxidable soldado 316L, salida 4/20ma, carcasa eléctrica din 43650 tipo a, conexión de proceso macho x macho 1/4" npt, IP66, precisión del 0,5% , límite de sobrecarga de 1,5 veces.</t>
  </si>
  <si>
    <t>LTD110D045DM46S</t>
  </si>
  <si>
    <t>Transmisor de presión diferencial serie ltd, 0/100 psi d, carcasa cr18ni9ti con sensor de acero inoxidable soldado 316L, salida 4/20ma, carcasa eléctrica din 43650 tipo a, conexión de proceso macho x macho 1/4" npt, IP66, precisión del 0,5% , límite de sobrecarga de 1,5 veces.</t>
  </si>
  <si>
    <t>LTD110D055DM46S</t>
  </si>
  <si>
    <t>Transmisor de presión diferencial serie ltd, 0/160 psi d, carcasa cr18ni9ti con sensor de acero inoxidable soldado 316L, salida 4/20ma, carcasa eléctrica din 43650 tipo a, conexión de proceso macho x macho 1/4" npt, IP66, precisión del 0,5% , límite de sobrecarga de 1,5 veces.</t>
  </si>
  <si>
    <t>LTD110D065DM46S</t>
  </si>
  <si>
    <t>Transmisor de presión diferencial serie ltd, 0/200 psi d, carcasa cr18ni9ti con sensor de acero inoxidable soldado 316L, salida 4/20ma, carcasa eléctrica din 43650 tipo a, conexión de proceso macho x macho 1/4" npt, IP66, precisión del 0,5% , límite de sobrecarga de 1,5 veces.</t>
  </si>
  <si>
    <t>LTD110D075DM46S</t>
  </si>
  <si>
    <t>Transmisor de presión diferencial serie ltd, 0/300 psi d, carcasa cr18ni9ti con sensor de acero inoxidable soldado 316L, salida 4/20ma, carcasa eléctrica din 43650 tipo a, conexión de proceso macho x macho 1/4" npt, IP66, precisión del 0,5% , límite de sobrecarga de 1,5 veces.</t>
  </si>
  <si>
    <t>LTD110D085DM46S</t>
  </si>
  <si>
    <t>Transmisor de presión diferencial serie ltd, 0/500 psi d, carcasa cr18ni9ti con sensor de acero inoxidable soldado 316L, salida 4/20ma, carcasa eléctrica din 43650 tipo a, conexión de proceso macho x macho 1/4" npt, IP66, precisión del 0,5% , límite de sobrecarga de 1,5 veces.</t>
  </si>
  <si>
    <t>LM61PR1W3GS16SCL4</t>
  </si>
  <si>
    <t>Transmisor de presión sumergible serie lm6, 0/50"h2o, carcasa 1Cr18Ni9Ti con sensor de acero inoxidable soldado 316l, salida 4/20ma, cable ventilado de 6 metros (20 pies), IP68, exactitud de 0,35%, límite de sobrecarga de 1,5 veces, rayos y protección EMC.</t>
  </si>
  <si>
    <t>LM61PR2W3GS16SCL4</t>
  </si>
  <si>
    <t>Transmisor de presión sumergible serie lm6, 0/100"h2o, carcasa 1Cr18Ni9Ti con sensor de acero inoxidable soldado 316l, salida 4/20ma, cable ventilado de 6 metros (20 pies), IP68, exactitud de 0,35%, límite de sobrecarga de 1,5 veces, rayos y protección EMC.</t>
  </si>
  <si>
    <t>LM61PR3W3GS16SCL4</t>
  </si>
  <si>
    <t>Transmisor de presión sumergible serie lm6, 0/150"h2o, carcasa 1Cr18Ni9Ti con sensor de acero inoxidable soldado 316l, salida 4/20ma, cable ventilado de 6 metros (20 pies), IP68, exactitud de 0,35%, límite de sobrecarga de 1,5 veces, rayos y protección EMC.</t>
  </si>
  <si>
    <t>LM61PR4W3GS16SCL4</t>
  </si>
  <si>
    <t>Transmisor de presión sumergible serie lm6, 0/200"h2o, carcasa 1Cr18Ni9Ti con sensor de acero inoxidable soldado 316l, salida 4/20ma, cable ventilado de 6 metros (20 pies), IP68, exactitud de 0,35%, límite de sobrecarga de 1,5 veces, rayos y protección EMC.</t>
  </si>
  <si>
    <t>LM61PR5W3GS16SCL4</t>
  </si>
  <si>
    <t>Transmisor de presión sumergible serie lm6, 0/300"h2o, carcasa 1Cr18Ni9Ti con sensor de acero inoxidable soldado 316l, salida 4/20ma, cable ventilado de 6 metros (20 pies), IP68, exactitud de 0,35%, límite de sobrecarga de 1,5 veces, rayos y protección EMC.</t>
  </si>
  <si>
    <t>LM61PR6W3GS16SCL4</t>
  </si>
  <si>
    <t>Transmisor de presión sumergible serie lm6, 0/400"h2o, carcasa 1Cr18Ni9Ti con sensor de acero inoxidable soldado 316l, salida 4/20ma, cable ventilado de 6 metros (20 pies), IP68, exactitud de 0,35%, límite de sobrecarga de 1,5 veces, rayos y protección EMC.</t>
  </si>
  <si>
    <t>LM61PR7W3GS16SCL4</t>
  </si>
  <si>
    <t>Transmisor de presión sumergible serie lm6, 0/500"h2o, carcasa 1Cr18Ni9Ti con sensor de acero inoxidable soldado 316l, salida 4/20ma, cable ventilado de 6 metros (20 pies), IP68, exactitud de 0,35%, límite de sobrecarga de 1,5 veces, rayos y protección EMC.</t>
  </si>
  <si>
    <t>LM61PR2P3GS16SCL4</t>
  </si>
  <si>
    <t>Transmisor de presión sumergible serie lm6, 0/5 psi, carcasa 1Cr18Ni9Ti con sensor de acero inoxidable soldado 316l, salida de 4/20 ma, cable ventilado de 6 metros (20 pies), IP68, exactitud de 0,35 %, límite de sobrecarga de 1,5 veces, protección contra rayos y emc.</t>
  </si>
  <si>
    <t>LM61PR5L3GS16SCL4</t>
  </si>
  <si>
    <t>Transmisor de presión sumergible serie lm6, 0/10 psi, carcasa 1Cr18Ni9Ti con sensor de acero inoxidable soldado 316l, salida de 4/20 ma, cable ventilado de 6 metros (20 pies), IP68, exactitud de 0,35 %, límite de sobrecarga de 1,5 veces, protección contra rayos y emc.</t>
  </si>
  <si>
    <t>LM61PR4P3GS16SCL4</t>
  </si>
  <si>
    <t>Transmisor de presión sumergible serie lm6, 0/15 psi, carcasa 1Cr18Ni9Ti con sensor de acero inoxidable soldado 316l, salida de 4/20 ma, cable ventilado de 6 metros (20 pies), IP68, exactitud de 0,35 %, límite de sobrecarga de 1,5 veces, protección contra rayos y emc.</t>
  </si>
  <si>
    <t>LM61PR4L3GS16SCL4</t>
  </si>
  <si>
    <t>Transmisor de presión sumergible serie lm6, 0/25 psi, carcasa 1Cr18Ni9Ti con sensor de acero inoxidable soldado 316l, salida de 4/20 ma, cable ventilado de 6 metros (20 pies), IP68, exactitud de 0,35 %, límite de sobrecarga de 1,5 veces, protección contra rayos y emc.</t>
  </si>
  <si>
    <t>LM61PR3L3GS16SCL4</t>
  </si>
  <si>
    <t>Transmisor de presión sumergible serie lm6, 0/50 psi, carcasa 1Cr18Ni9Ti con sensor de acero inoxidable soldado 316l, salida de 4/20 ma, cable ventilado de 6 metros (20 pies), IP68, exactitud de 0,35 %, límite de sobrecarga de 1,5 veces, protección contra rayos y emc.</t>
  </si>
  <si>
    <t>LM61PR2S3GS16SCL4</t>
  </si>
  <si>
    <t>Transmisor de presión sumergible serie lm6, 0/100 psi, carcasa 1Cr18Ni9Ti con sensor de acero inoxidable soldado 316l, salida de 4/20 ma, cable ventilado de 6 metros (20 pies), IP68, exactitud de 0,35 %, límite de sobrecarga de 1,5 veces, protección contra rayos y emc.</t>
  </si>
  <si>
    <t>LM61PR3S3GS16SCL4</t>
  </si>
  <si>
    <t>Transmisor de presión sumergible serie lm6, 0/150 psi, carcasa 1Cr18Ni9Ti con sensor de acero inoxidable soldado 316l, salida de 4/20 ma, cable ventilado de 6 metros (20 pies), IP68, exactitud de 0,35 %, límite de sobrecarga de 1,5 veces, protección contra rayos y emc.</t>
  </si>
  <si>
    <t>LM61PR4S3GS16SCL4</t>
  </si>
  <si>
    <t>Transmisor de presión sumergible serie lm6, 0/200 psi, carcasa 1Cr18Ni9Ti con sensor de acero inoxidable soldado 316l, salida de 4/20 ma, cable ventilado de 6 metros (20 pies), IP68, exactitud de 0,35 %, límite de sobrecarga de 1,5 veces, protección contra rayos y emc.</t>
  </si>
  <si>
    <t>LM61PR5S3GS16SCL4</t>
  </si>
  <si>
    <t>Transmisor de presión sumergible serie lm6, 0/230 psi, carcasa 1Cr18Ni9Ti con sensor de acero inoxidable soldado 316l, salida de 4/20 ma, cable ventilado de 6 metros (20 pies), IP68, exactitud de 0,35 %, límite de sobrecarga de 1,5 veces, protección contra rayos y emc.</t>
  </si>
  <si>
    <t>LM61PR6S3GS16SCL4</t>
  </si>
  <si>
    <t>Transmisor de presión sumergible serie lm6, 0/300 psi, carcasa 1Cr18Ni9Ti con sensor de acero inoxidable soldado 316l, salida de 4/20 ma, cable ventilado de 6 metros (20 pies), IP68, exactitud de 0,35 %, límite de sobrecarga de 1,5 veces, protección contra rayos y emc.</t>
  </si>
  <si>
    <t>LM61PR1W3GS16SCL6</t>
  </si>
  <si>
    <t>Transmisor de presión sumergible serie lm6, 0/50"h2o, carcasa 1Cr18Ni9Ti con sensor de acero inoxidable soldado 316l, salida 4/20ma, cable ventilado de 12 metros (40 pies), IP68, exactitud de 0,35%, límite de sobrecarga de 1,5 veces, rayos y protección EMC.</t>
  </si>
  <si>
    <t>LM61PR2W3GS16SCL6</t>
  </si>
  <si>
    <t>Transmisor de presión sumergible serie lm6, 0/100"h2o, carcasa 1Cr18Ni9Ti con sensor de acero inoxidable soldado 316l, salida 4/20ma, cable ventilado de 12 metros (40 pies), IP68, exactitud de 0,35%, límite de sobrecarga de 1,5 veces, rayos y protección EMC.</t>
  </si>
  <si>
    <t>LM61PR3W3GS16SCL6</t>
  </si>
  <si>
    <t>Transmisor de presión sumergible serie lm6, 0/150"h2o, carcasa 1Cr18Ni9Ti con sensor de acero inoxidable soldado 316l, salida 4/20ma, cable ventilado de 12 metros (40 pies), IP68, exactitud de 0,35%, límite de sobrecarga de 1,5 veces, rayos y protección EMC.</t>
  </si>
  <si>
    <t>LM61PR4W3GS16SCL6</t>
  </si>
  <si>
    <t>Transmisor de presión sumergible serie lm6, 0/200"h2o, carcasa 1Cr18Ni9Ti con sensor de acero inoxidable soldado 316l, salida 4/20ma, cable ventilado de 12 metros (40 pies), IP68, exactitud de 0,35%, límite de sobrecarga de 1,5 veces, rayos y protección EMC.</t>
  </si>
  <si>
    <t>LM61PR5W3GS16SCL6</t>
  </si>
  <si>
    <t>Transmisor de presión sumergible serie lm6, 0/300"h2o, carcasa 1Cr18Ni9Ti con sensor de acero inoxidable soldado 316l, salida 4/20ma, cable ventilado de 12 metros (40 pies), IP68, exactitud de 0,35%, límite de sobrecarga de 1,5 veces, rayos y protección EMC.</t>
  </si>
  <si>
    <t>LM61PR6W3GS16SCL6</t>
  </si>
  <si>
    <t>Transmisor de presión sumergible serie lm6, 0/400"h2o, carcasa 1Cr18Ni9Ti con sensor de acero inoxidable soldado 316l, salida 4/20ma, cable ventilado de 12 metros (40 pies), IP68, exactitud de 0,35%, límite de sobrecarga de 1,5 veces, rayos y protección EMC.</t>
  </si>
  <si>
    <t>LM61PR7W3GS16SCL6</t>
  </si>
  <si>
    <t>Transmisor de presión sumergible serie lm6, 0/500"h2o, carcasa 1Cr18Ni9Ti con sensor de acero inoxidable soldado 316l, salida 4/20ma, cable ventilado de 12 metros (40 pies), IP68, exactitud de 0,35%, límite de sobrecarga de 1,5 veces, rayos y protección EMC.</t>
  </si>
  <si>
    <t>LM61PR2P3GS16SCL6</t>
  </si>
  <si>
    <t>Transmisor de presión sumergible serie lm6, 0/5 psi, carcasa 1Cr18Ni9Ti con sensor de acero inoxidable soldado 316l, salida de 4/20 ma, cable ventilado de 12 metros (40 pies), IP68, exactitud de 0,35 %, límite de sobrecarga de 1,5 veces, protección contra rayos y emc.</t>
  </si>
  <si>
    <t>LM61PR5L3GS16SCL</t>
  </si>
  <si>
    <t>Transmisor de presión sumergible serie lm6, 0/10 psi, carcasa 1Cr18Ni9Ti con sensor de acero inoxidable soldado 316l, salida de 4/20 ma, cable ventilado de 12 metros (40 pies), IP68, exactitud de 0,35 %, límite de sobrecarga de 1,5 veces, protección contra rayos y emc.</t>
  </si>
  <si>
    <t>LM61PR4P3GS16SCL6</t>
  </si>
  <si>
    <t>Transmisor de presión sumergible serie lm6, 0/15 psi, carcasa 1Cr18Ni9Ti con sensor de acero inoxidable soldado 316l, salida de 4/20 ma, cable ventilado de 12 metros (40 pies), IP68, exactitud de 0,35 %, límite de sobrecarga de 1,5 veces, protección contra rayos y emc.</t>
  </si>
  <si>
    <t>LM61PR4L3GS16SCL6</t>
  </si>
  <si>
    <t>Transmisor de presión sumergible serie lm6, 0/25 psi, carcasa 1Cr18Ni9Ti con sensor de acero inoxidable soldado 316l, salida de 4/20 ma, cable ventilado de 12 metros (40 pies), IP68, exactitud de 0,35 %, límite de sobrecarga de 1,5 veces, protección contra rayos y emc.</t>
  </si>
  <si>
    <t>LM61PR3L3GS16SCL6</t>
  </si>
  <si>
    <t>Transmisor de presión sumergible serie lm6, 0/50 psi, carcasa 1Cr18Ni9Ti con sensor de acero inoxidable soldado 316l, salida de 4/20 ma, cable ventilado de 12 metros (40 pies), IP68, exactitud de 0,35 %, límite de sobrecarga de 1,5 veces, protección contra rayos y emc.</t>
  </si>
  <si>
    <t>LM61PR2S3GS16SCL6</t>
  </si>
  <si>
    <t>Transmisor de presión sumergible serie lm6, 0/100 psi, carcasa 1Cr18Ni9Ti con sensor de acero inoxidable soldado 316l, salida de 4/20 ma, cable ventilado de 12 metros (40 pies), IP68, exactitud de 0,35 %, límite de sobrecarga de 1,5 veces, protección contra rayos y emc.</t>
  </si>
  <si>
    <t>LM61PR3S3GS16SCL6</t>
  </si>
  <si>
    <t>Transmisor de presión sumergible serie lm6, 0/150 psi, carcasa 1Cr18Ni9Ti con sensor de acero inoxidable soldado 316l, salida de 4/20 ma, cable ventilado de 12 metros (40 pies), IP68, exactitud de 0,35 %, límite de sobrecarga de 1,5 veces, protección contra rayos y emc.</t>
  </si>
  <si>
    <t>LM61PR4S3GS16SCL6</t>
  </si>
  <si>
    <t>Transmisor de presión sumergible serie lm6, 0/200 psi, carcasa 1Cr18Ni9Ti con sensor de acero inoxidable soldado 316l, salida de 4/20 ma, cable ventilado de 12 metros (40 pies), IP68, exactitud de 0,35 %, límite de sobrecarga de 1,5 veces, protección contra rayos y emc.</t>
  </si>
  <si>
    <t>LM61PR5S3GS16SCL6</t>
  </si>
  <si>
    <t>Transmisor de presión sumergible serie lm6, 0/230 psi, carcasa 1Cr18Ni9Ti con sensor de acero inoxidable soldado 316l, salida de 4/20 ma, cable ventilado de 12 metros (40 pies), IP68, exactitud de 0,35 %, límite de sobrecarga de 1,5 veces, protección contra rayos y emc.</t>
  </si>
  <si>
    <t>LM61PR6S3GS16SCL6</t>
  </si>
  <si>
    <t>Transmisor de presión sumergible serie lm6, 0/300 psi, carcasa 1Cr18Ni9Ti con sensor de acero inoxidable soldado 316l, salida de 4/20 ma, cable ventilado de 12 metros (40 pies), IP68, exactitud de 0,35 %, límite de sobrecarga de 1,5 veces, protección contra rayos y emc.</t>
  </si>
  <si>
    <t>LM71PR7L5GS1CVCL4</t>
  </si>
  <si>
    <t>Transmisor de presión sumergible serie LM7, 0/8 psi, carcasa 1Cr18Ni9Ti con sensor cerámico con junta tórica de viton, salida 4/20ma, cable ventilado de 6 metros (20 pies), IP68, exactitud de 0,5%, límite de sobrecarga de 1,5 veces, protección contra rayos y protección emc.</t>
  </si>
  <si>
    <t>LM71PR4P5GS1CVCL4</t>
  </si>
  <si>
    <t>Transmisor de presión sumergible serie LM7, 0/15 psi, carcasa 1Cr18Ni9Ti con sensor cerámico con junta tórica de viton, salida 4/20ma, cable ventilado de 6 metros (20 pies), IP68, exactitud de 0,5%, límite de sobrecarga de 1,5 veces, protección contra rayos y protección emc.</t>
  </si>
  <si>
    <t>LM71PR8L5GS1CVCL4</t>
  </si>
  <si>
    <t>Transmisor de presión sumergible serie LM7, 0/20 psi, carcasa 1Cr18Ni9Ti con sensor cerámico con junta tórica de vitón, salida 4/20ma, cable ventilado de 6 metros (20 pies), IP68, exactitud de 0,5%, límite de sobrecarga de 1,5 veces, protección contra rayos y protección emc.</t>
  </si>
  <si>
    <t>LM71PR9L5GS1CVCL4</t>
  </si>
  <si>
    <t>Transmisor de presión sumergible serie LM7, 0/35 psi, carcasa 1Cr18Ni9Ti con sensor cerámico con junta tórica de viton, salida 4/20ma, cable ventilado de 6 metros (20 pies), IP68, exactitud de 0,5%, límite de sobrecarga de 1,5 veces, protección contra rayos y protección emc.</t>
  </si>
  <si>
    <t>LM71PR9P5GS1CVCL4</t>
  </si>
  <si>
    <t>Transmisor de presión sumergible serie LM7, 0/60 psi, carcasa 1Cr18Ni9Ti con sensor cerámico con junta tórica de viton, salida 4/20ma, cable ventilado de 6 metros (20 pies), IP68, exactitud de 0,5%, límite de sobrecarga de 1,5 veces, protección contra rayos y protección emc.</t>
  </si>
  <si>
    <t>LM71PR2S5GS1CVCL4</t>
  </si>
  <si>
    <t>Transmisor de presión sumergible serie LM7, 0/100 psi, carcasa 1Cr18Ni9Ti con sensor cerámico con junta tórica de vitón, salida 4/20ma, cable ventilado de 6 metros (20 pies), IP68, exactitud de 0,5%, límite de sobrecarga de 1,5 veces, protección contra rayos y protección emc.</t>
  </si>
  <si>
    <t>LM71PR3S5GS1CVCL4</t>
  </si>
  <si>
    <t>Transmisor de presión sumergible serie LM7, 0/150 psi, carcasa 1Cr18Ni9Ti con sensor cerámico con junta tórica de vitón, salida 4/20ma, cable ventilado de 6 metros (20 pies), IP68, exactitud de 0,5%, límite de sobrecarga de 1,5 veces, protección contra rayos y protección emc.</t>
  </si>
  <si>
    <t>LM71PR4S5GS1CVCL4</t>
  </si>
  <si>
    <t>Transmisor de presión sumergible serie LM7, 0/200 psi, carcasa 1Cr18Ni9Ti con sensor cerámico con junta tórica de viton, salida 4/20ma, cable ventilado de 6 metros (20 pies), IP68, exactitud de 0,5%, límite de sobrecarga de 1,5 veces, protección contra rayos y protección emc.</t>
  </si>
  <si>
    <t>LM71PR5S5GS1CVCL4</t>
  </si>
  <si>
    <t>Transmisor de presión sumergible serie LM7, 0/230 psi, carcasa 1Cr18Ni9Ti con sensor cerámico con junta tórica de vitón, salida 4/20ma, cable ventilado de 6 metros (20 pies), IP68, exactitud de 0,5%, límite de sobrecarga de 1,5 veces, protección contra rayos y protección emc.</t>
  </si>
  <si>
    <t>LM71PR6S5GS1CVCL4</t>
  </si>
  <si>
    <t>Transmisor de presión sumergible serie LM7, 0/300 psi, carcasa 1Cr18Ni9Ti con sensor cerámico con junta tórica de vitón, salida 4/20ma, cable ventilado de 6 metros (20 pies), IP68, exactitud de 0,5%, límite de sobrecarga de 1,5 veces, protección contra rayos y protección emc.</t>
  </si>
  <si>
    <t>LM71PR7L5GS1CVCL6</t>
  </si>
  <si>
    <t>Transmisor de presión sumergible serie LM7, 0/8 psi, carcasa 1Cr18Ni9Ti con sensor cerámico con junta tórica de viton, salida 4/20ma, cable ventilado de 12 metros (40 pies), IP68, exactitud de 0,5%, límite de sobrecarga de 1,5 veces, protección contra rayos y protección emc,</t>
  </si>
  <si>
    <t>LM71PR4P5GS1CVCL6</t>
  </si>
  <si>
    <t>Transmisor de presión sumergible serie LM7, 0/15 psi, carcasa 1Cr18Ni9Ti con sensor cerámico con junta tórica de viton, salida 4/20ma, cable ventilado de 12 metros (40 pies), IP68, exactitud de 0,5%, límite de sobrecarga de 1,5 veces, protección contra rayos y protección emc.</t>
  </si>
  <si>
    <t>LM71PR8L5GS1CVCL6</t>
  </si>
  <si>
    <t>Transmisor de presión sumergible serie LM7, 0/20 psi, carcasa 1Cr18Ni9Ti con sensor cerámico con junta tórica de viton, salida 4/20ma, cable ventilado de 12 metros (40 pies), IP68, exactitud de 0,5%, límite de sobrecarga de 1,5 veces, protección contra rayos y protección emc.</t>
  </si>
  <si>
    <t>LM71PR9L5GS1CVCL6</t>
  </si>
  <si>
    <t>Transmisor de presión sumergible serie LM7, 0/35 psi, carcasa 1Cr18Ni9Ti con sensor cerámico con junta tórica de viton, salida 4/20ma, cable ventilado de 12 metros (40 pies), IP68, exactitud de 0,5%, límite de sobrecarga de 1,5 veces, protección contra rayos y protección emc.</t>
  </si>
  <si>
    <t>LM71PR9P5GS1CVCL6</t>
  </si>
  <si>
    <t>Transmisor de presión sumergible serie LM7, 0/60 psi, carcasa 1Cr18Ni9Ti con sensor cerámico con junta tórica de viton, salida 4/20ma, cable ventilado de 12 metros (40 pies), IP68, exactitud de 0,5%, límite de sobrecarga de 1,5 veces, protección contra rayos y protección emc.</t>
  </si>
  <si>
    <t>LM71PR2S5GS1CVCL6</t>
  </si>
  <si>
    <t>Transmisor de presión sumergible serie LM7, 0/100 psi, carcasa 1Cr18Ni9Ti con sensor cerámico con junta tórica de vitón, salida 4/20ma, cable ventilado de 12 metros (40 pies), IP68, exactitud de 0,5%, límite de sobrecarga de 1,5 veces, protección contra rayos y protección emc.</t>
  </si>
  <si>
    <t>LM71PR3S5GS1CVCL6</t>
  </si>
  <si>
    <t>Transmisor de presión sumergible serie LM7, 0/150 psi, carcasa 1Cr18Ni9Ti con sensor cerámico con junta tórica de viton, salida 4/20ma, cable ventilado de 12 metros (40 pies), IP68, exactitud de 0,5%, límite de sobrecarga de 1,5 veces, protección contra rayos y protección emc.</t>
  </si>
  <si>
    <t>LM71PR4S5GS1CVCL6</t>
  </si>
  <si>
    <t>Transmisor de presión sumergible serie LM7, 0/200 psi, carcasa 1Cr18Ni9Ti con sensor cerámico con junta tórica de vitón, salida 4/20ma, cable ventilado de 12 metros (40 pies), IP68, exactitud de 0,5%, límite de sobrecarga de 1,5 veces, protección contra rayos y protección emc.</t>
  </si>
  <si>
    <t>LM71PR5S5GS1CVCL6</t>
  </si>
  <si>
    <t>Transmisor de presión sumergible serie LM7, 0/230 psi, carcasa 1Cr18Ni9Ti con sensor cerámico con junta tórica de viton, salida 4/20ma, cable ventilado de 12 metros (40 pies), IP68, exactitud de 0,5%, límite de sobrecarga de 1,5 veces, protección contra rayos y protección emc.</t>
  </si>
  <si>
    <t>LM71PR6S5GS1CVCL6</t>
  </si>
  <si>
    <t>Transmisor de presión sumergible serie LM7, 0/300 psi, carcasa 1Cr18Ni9Ti con sensor cerámico con junta tórica de viton, salida 4/20ma, cable ventilado de 12 metros (40 pies), IP68, exactitud de 0,5%, límite de sobrecarga de 1,5 veces, protección contra rayos y protección emc.</t>
  </si>
  <si>
    <t>LXP011XN4</t>
  </si>
  <si>
    <t>Transmisor de presión antiexplosivo Winters Serie LXP, Housing de acero inoxidable y partes húmedas de acero inoxidable 316 con aprobación NACE, -1/0/1 PSI, 4/20 mA, 0.2%, 6' CABLE, 1/4"NPT</t>
  </si>
  <si>
    <t>LXP021XN4</t>
  </si>
  <si>
    <t>Transmisor de presión antiexplosivo Winters Serie LXP, Housing de acero inoxidable y partes húmedas de acero inoxidable 316 con aprobación NACE, -3/0/3 PSI, 4/20 mA, 0.2%, 6' CABLE, 1/4"NPT</t>
  </si>
  <si>
    <t>LXP031XN4</t>
  </si>
  <si>
    <t>Transmisor de presión antiexplosivo Winters Serie LXP, Housing de acero inoxidable y partes húmedas de acero inoxidable 316 con aprobación NACE, -5/0/5 PSI, 4/20 mA, 0.2%, 6' CABLE, 1/4"NPT</t>
  </si>
  <si>
    <t>LXP041XN4</t>
  </si>
  <si>
    <t>Transmisor de presión antiexplosivo Winters Serie LXP, Housing de acero inoxidable y partes húmedas de acero inoxidable 316 con aprobación NACE, -14.5/0/14.5 PSI, 4/20 mA, 0.2%, 6' CABLE, 1/4"NPT</t>
  </si>
  <si>
    <t>LXP051XN4</t>
  </si>
  <si>
    <t>Transmisor de presión antiexplosivo Winters Serie LXP, Housing de acero inoxidable y partes húmedas de acero inoxidable 316 con aprobación NACE, -14.5/0/30 PSI, 4/20 mA, 0.2%, 6' CABLE, 1/4"NPT</t>
  </si>
  <si>
    <t>LXP061XN4</t>
  </si>
  <si>
    <t>Transmisor de presión antiexplosivo Winters Serie LXP, Housing de acero inoxidable y partes húmedas de acero inoxidable 316 con aprobación NACE, -14.5/0/100 PSI, 4/20 mA, 0.2%, 6' CABLE, 1/4"NPT</t>
  </si>
  <si>
    <t>LXP071XN4</t>
  </si>
  <si>
    <t>Transmisor de presión antiexplosivo Winters Serie LXP, Housing de acero inoxidable y partes húmedas de acero inoxidable 316 con aprobación NACE, -14.5/0/145 PSI, 4/20 mA, 0.2%, 6' CABLE, 1/4"NPT</t>
  </si>
  <si>
    <t>LXP081XN4</t>
  </si>
  <si>
    <t>Transmisor de presión antiexplosivo Winters Serie LXP, Housing de acero inoxidable y partes húmedas de acero inoxidable 316 con aprobación NACE, -14.5/0/250 PSI, 4/20 mA, 0.2%, 6' CABLE, 1/4"NPT</t>
  </si>
  <si>
    <t>LXP091XN4</t>
  </si>
  <si>
    <t>Transmisor de presión antiexplosivo Winters Serie LXP, Housing de acero inoxidable y partes húmedas de acero inoxidable 316 con aprobación NACE, -14.5/0/500 PSI, 4/20 mA, 0.2%, 6' CABLE, 1/4"NPT</t>
  </si>
  <si>
    <t>LXP101XN4</t>
  </si>
  <si>
    <t>Transmisor de presión antiexplosivo Winters Serie LXP, Housing de acero inoxidable y partes húmedas de acero inoxidable 316 con aprobación NACE, -14.5/0/1,000 PSI, 4/20 mA, 0.2%, 6' CABLE, 1/4"NPT</t>
  </si>
  <si>
    <t>LXP111XN4</t>
  </si>
  <si>
    <t>Transmisor de presión antiexplosivo Winters Serie LXP, Housing de acero inoxidable y partes húmedas de acero inoxidable 316 con aprobación NACE, -14.5/0/2,500 PSI, 4/20 mA, 0.2%, 6' CABLE, 1/4"NPT</t>
  </si>
  <si>
    <t>LXP121XN4</t>
  </si>
  <si>
    <t>Transmisor de presión antiexplosivo Winters Serie LXP, Housing de acero inoxidable y partes húmedas de acero inoxidable 316 con aprobación NACE, -14.5/0/5,000 PSI, 4/20 mA, 0.2%, 6' CABLE, 1/4"NPT</t>
  </si>
  <si>
    <t>LXP131XN4</t>
  </si>
  <si>
    <t>Transmisor de presión antiexplosivo Winters Serie LXP, Housing de acero inoxidable y partes húmedas de acero inoxidable 316 con aprobación NACE, -14.5/0/6,000 PSI, 4/20 mA, 0.2%, 6' CABLE, 1/4"NPT</t>
  </si>
  <si>
    <t>LXP141XN4</t>
  </si>
  <si>
    <t>Transmisor de presión antiexplosivo Winters Serie LXP, Housing de acero inoxidable y partes húmedas de acero inoxidable 316 con aprobación NACE, -14.5/0/8,700 PSI, 4/20 mA, 0.2%, 6' CABLE, 1/4"NPT</t>
  </si>
  <si>
    <t>LXP151XN4</t>
  </si>
  <si>
    <t>Transmisor de presión antiexplosivo Winters Serie LXP, Housing de acero inoxidable y partes húmedas de acero inoxidable 316 con aprobación NACE, -14.5/0/10,000 PSI, 4/20 mA, 0.2%, 6' CABLE, 1/4"NPT</t>
  </si>
  <si>
    <t>LXP161XN4</t>
  </si>
  <si>
    <t>Transmisor de presión antiexplosivo Winters Serie LXP, Housing de acero inoxidable y partes húmedas de acero inoxidable 316 con aprobación NACE, -14.5/0/14,500 PSI, 4/20 mA, 0.2%, 6' CABLE, 1/4"NPT</t>
  </si>
  <si>
    <t>LXP011XN2</t>
  </si>
  <si>
    <t>Transmisor de presión antiexplosivo Winters Serie LXP, Housing de acero inoxidable y partes húmedas de acero inoxidable 316 con aprobación NACE, -1/0/1 PSI, 4/20 mA, 0.2%, 6' CABLE, 1/2"NPT</t>
  </si>
  <si>
    <t>LXP021XN2</t>
  </si>
  <si>
    <t>Transmisor de presión antiexplosivo Winters Serie LXP, Housing de acero inoxidable y partes húmedas de acero inoxidable 316 con aprobación NACE, -3/0/3 PSI, 4/20 mA, 0.2%, 6' CABLE, 1/2"NPT</t>
  </si>
  <si>
    <t>LXP031XN2</t>
  </si>
  <si>
    <t>Transmisor de presión antiexplosivo Winters Serie LXP, Housing de acero inoxidable y partes húmedas de acero inoxidable 316 con aprobación NACE, -5/0/5 PSI, 4/20 mA, 0.2%, 6' CABLE, 1/2"NPT</t>
  </si>
  <si>
    <t>LXP041XN2</t>
  </si>
  <si>
    <t>Transmisor de presión antiexplosivo Winters Serie LXP, Housing de acero inoxidable y partes húmedas de acero inoxidable 316 con aprobación NACE, -14.5/0/14.5 PSI, 4/20 mA, 0.2%, 6' CABLE, 1/2"NPT</t>
  </si>
  <si>
    <t>LXP051XN2</t>
  </si>
  <si>
    <t>Transmisor de presión antiexplosivo Winters Serie LXP, Housing de acero inoxidable y partes húmedas de acero inoxidable 316 con aprobación NACE, -14.5/0/30 PSI, 4/20 mA, 0.2%, 6' CABLE, 1/2"NPT</t>
  </si>
  <si>
    <t>LXP061XN2</t>
  </si>
  <si>
    <t>Transmisor de presión antiexplosivo Winters Serie LXP, Housing de acero inoxidable y partes húmedas de acero inoxidable 316 con aprobación NACE, -14.5/0/100 PSI, 4/20 mA, 0.2%, 6' CABLE, 1/2"NPT</t>
  </si>
  <si>
    <t>LXP071XN2</t>
  </si>
  <si>
    <t>Transmisor de presión antiexplosivo Winters Serie LXP, Housing de acero inoxidable y partes húmedas de acero inoxidable 316 con aprobación NACE, -14.5/0/145 PSI, 4/20 mA, 0.2%, 6' CABLE, 1/2"NPT</t>
  </si>
  <si>
    <t>LXP081XN2</t>
  </si>
  <si>
    <t>Transmisor de presión antiexplosivo Winters Serie LXP, Housing de acero inoxidable y partes húmedas de acero inoxidable 316 con aprobación NACE, -14.5/0/250 PSI, 4/20 mA, 0.2%, 6' CABLE, 1/2"NPT</t>
  </si>
  <si>
    <t>LXP091XN2</t>
  </si>
  <si>
    <t>Transmisor de presión antiexplosivo Winters Serie LXP, Housing de acero inoxidable y partes húmedas de acero inoxidable 316 con aprobación NACE, -14.5/0/500 PSI, 4/20 mA, 0.2%, 6' CABLE, 1/2"NPT</t>
  </si>
  <si>
    <t>LXP101XN2</t>
  </si>
  <si>
    <t>Transmisor de presión antiexplosivo Winters Serie LXP, Housing de acero inoxidable y partes húmedas de acero inoxidable 316 con aprobación NACE, -14.5/0/1,000 PSI, 4/20 mA, 0.2%, 6' CABLE, 1/2"NPT</t>
  </si>
  <si>
    <t>LXP111XN2</t>
  </si>
  <si>
    <t>Transmisor de presión antiexplosivo Winters Serie LXP, Housing de acero inoxidable y partes húmedas de acero inoxidable 316 con aprobación NACE, -14.5/0/2,500 PSI, 4/20 mA, 0.2%, 6' CABLE, 1/2"NPT</t>
  </si>
  <si>
    <t>LXP121XN2</t>
  </si>
  <si>
    <t>Transmisor de presión antiexplosivo Winters Serie LXP, Housing de acero inoxidable y partes húmedas de acero inoxidable 316 con aprobación NACE, -14.5/0/5,000 PSI, 4/20 mA, 0.2%, 6' CABLE, 1/2"NPT</t>
  </si>
  <si>
    <t>LXP131XN2</t>
  </si>
  <si>
    <t>Transmisor de presión antiexplosivo Winters Serie LXP, Housing de acero inoxidable y partes húmedas de acero inoxidable 316 con aprobación NACE, -14.5/0/6,000 PSI, 4/20 mA, 0.2%, 6' CABLE, 1/2"NPT</t>
  </si>
  <si>
    <t>LXP141XN2</t>
  </si>
  <si>
    <t>Transmisor de presión antiexplosivo Winters Serie LXP, Housing de acero inoxidable y partes húmedas de acero inoxidable 316 con aprobación NACE, -14.5/0/8,700 PSI, 4/20 mA, 0.2%, 6' CABLE, 1/2"NPT</t>
  </si>
  <si>
    <t>LXP151XN2</t>
  </si>
  <si>
    <t>Transmisor de presión antiexplosivo Winters Serie LXP, Housing de acero inoxidable y partes húmedas de acero inoxidable 316 con aprobación NACE, -14.5/0/10,000 PSI, 4/20 mA, 0.2%, 6' CABLE, 1/2"NPT</t>
  </si>
  <si>
    <t>LXP161XN2</t>
  </si>
  <si>
    <t>Transmisor de presión antiexplosivo Winters Serie LXP, Housing de acero inoxidable y partes húmedas de acero inoxidable 316 con aprobación NACE, -14.5/0/14,500 PSI, 4/20 mA, 0.2%, 6' CABLE, 1/2"NPT</t>
  </si>
  <si>
    <t>LXP013XN4</t>
  </si>
  <si>
    <t>Transmisor de presión antiexplosivo Winters Serie LXP, Housing de acero inoxidable y partes húmedas de acero inoxidable 316 con aprobación NACE, -1/0/1 PSI, 0.5/4.5 VDC, 0.2%, 6' CABLE, 1/4"NPT</t>
  </si>
  <si>
    <t>LXP023XN4</t>
  </si>
  <si>
    <t>Transmisor de presión antiexplosivo Winters Serie LXP, Housing de acero inoxidable y partes húmedas de acero inoxidable 316 con aprobación NACE, -3/0/3 PSI, 0.5/4.5 VDC, 0.2%, 6' CABLE, 1/4"NPT</t>
  </si>
  <si>
    <t>LXP033XN4</t>
  </si>
  <si>
    <t>Transmisor de presión antiexplosivo Winters Serie LXP, Housing de acero inoxidable y partes húmedas de acero inoxidable 316 con aprobación NACE, -5/0/5 PSI, 0.5/4.5 VDC, 0.2%, 6' CABLE, 1/4"NPT</t>
  </si>
  <si>
    <t>LXP043XN4</t>
  </si>
  <si>
    <t>Transmisor de presión antiexplosivo Winters Serie LXP, Housing de acero inoxidable y partes húmedas de acero inoxidable 316 con aprobación NACE, -14.5/0/14.5 PSI, 0.5/4.5 VDC, 0.2%, 6' CABLE, 1/4"NPT</t>
  </si>
  <si>
    <t>LXP053XN4</t>
  </si>
  <si>
    <t>Transmisor de presión antiexplosivo Winters Serie LXP, Housing de acero inoxidable y partes húmedas de acero inoxidable 316 con aprobación NACE, -14.5/0/30 PSI, 0.5/4.5 VDC, 0.2%, 6' CABLE, 1/4"NPT</t>
  </si>
  <si>
    <t>LXP063XN4</t>
  </si>
  <si>
    <t>Transmisor de presión antiexplosivo Winters Serie LXP, Housing de acero inoxidable y partes húmedas de acero inoxidable 316 con aprobación NACE, -14.5/0/100 PSI, 0.5/4.5 VDC, 0.2%, 6' CABLE, 1/4"NPT</t>
  </si>
  <si>
    <t>LXP073XN4</t>
  </si>
  <si>
    <t>Transmisor de presión antiexplosivo Winters Serie LXP, Housing de acero inoxidable y partes húmedas de acero inoxidable 316 con aprobación NACE, -14.5/0/145 PSI, 0.5/4.5 VDC, 0.2%, 6' CABLE, 1/4"NPT</t>
  </si>
  <si>
    <t>LXP083XN4</t>
  </si>
  <si>
    <t>Transmisor de presión antiexplosivo Winters Serie LXP, Housing de acero inoxidable y partes húmedas de acero inoxidable 316 con aprobación NACE, -14.5/0/250 PSI, 0.5/4.5 VDC, 0.2%, 6' CABLE, 1/4"NPT</t>
  </si>
  <si>
    <t>LXP093XN4</t>
  </si>
  <si>
    <t>Transmisor de presión antiexplosivo Winters Serie LXP, Housing de acero inoxidable y partes húmedas de acero inoxidable 316 con aprobación NACE, -14.5/0/500 PSI, 0.5/4.5 VDC, 0.2%, 6' CABLE, 1/4"NPT</t>
  </si>
  <si>
    <t>LXP103XN4</t>
  </si>
  <si>
    <t>Transmisor de presión antiexplosivo Winters Serie LXP, Housing de acero inoxidable y partes húmedas de acero inoxidable 316 con aprobación NACE, -14.5/0/1,000 PSI, 0.5/4.5 VDC, 0.2%, 6' CABLE, 1/4"NPT</t>
  </si>
  <si>
    <t>LXP113XN4</t>
  </si>
  <si>
    <t>Transmisor de presión antiexplosivo Winters Serie LXP, Housing de acero inoxidable y partes húmedas de acero inoxidable 316 con aprobación NACE, -14.5/0/2,500 PSI, 0.5/4.5 VDC, 0.2%, 6' CABLE, 1/4"NPT</t>
  </si>
  <si>
    <t>LXP123XN4</t>
  </si>
  <si>
    <t>Transmisor de presión antiexplosivo Winters Serie LXP, Housing de acero inoxidable y partes húmedas de acero inoxidable 316 con aprobación NACE, -14.5/0/5,000 PSI, 0.5/4.5 VDC, 0.2%, 6' CABLE, 1/4"NPT</t>
  </si>
  <si>
    <t>LXP133XN4</t>
  </si>
  <si>
    <t>Transmisor de presión antiexplosivo Winters Serie LXP, Housing de acero inoxidable y partes húmedas de acero inoxidable 316 con aprobación NACE, -14.5/0/6,000 PSI, 0.5/4.5 VDC, 0.2%, 6' CABLE, 1/4"NPT</t>
  </si>
  <si>
    <t>LXP143XN4</t>
  </si>
  <si>
    <t>Transmisor de presión antiexplosivo Winters Serie LXP, Housing de acero inoxidable y partes húmedas de acero inoxidable 316 con aprobación NACE, -14.5/0/8,700 PSI, 0.5/4.5 VDC, 0.2%, 6' CABLE, 1/4"NPT</t>
  </si>
  <si>
    <t>LXP153XN4</t>
  </si>
  <si>
    <t>Transmisor de presión antiexplosivo Winters Serie LXP, Housing de acero inoxidable y partes húmedas de acero inoxidable 316 con aprobación NACE, -14.5/0/10,000 PSI, 0.5/4.5 VDC, 0.2%, 6' CABLE, 1/4"NPT</t>
  </si>
  <si>
    <t>LXP163XN4</t>
  </si>
  <si>
    <t>Transmisor de presión antiexplosivo Winters Serie LXP, Housing de acero inoxidable y partes húmedas de acero inoxidable 316 con aprobación NACE, -14.5/0/14,500 PSI, 0.5/4.5 VDC, 0.2%, 6' CABLE, 1/4"NPT</t>
  </si>
  <si>
    <t>LXP013XN2</t>
  </si>
  <si>
    <t>Transmisor de presión antiexplosivo Winters Serie LXP, Housing de acero inoxidable y partes húmedas de acero inoxidable 316 con aprobación NACE, -1/0/1 PSI, 0.5/4.5 VDC, 0.2%, 6' CABLE, 1/2"NPT</t>
  </si>
  <si>
    <t>LXP023XN2</t>
  </si>
  <si>
    <t>Transmisor de presión antiexplosivo Winters Serie LXP, Housing de acero inoxidable y partes húmedas de acero inoxidable 316 con aprobación NACE, -3/0/3 PSI, 0.5/4.5 VDC, 0.2%, 6' CABLE, 1/2"NPT</t>
  </si>
  <si>
    <t>LXP033XN2</t>
  </si>
  <si>
    <t>Transmisor de presión antiexplosivo Winters Serie LXP, Housing de acero inoxidable y partes húmedas de acero inoxidable 316 con aprobación NACE, -5/0/5 PSI, 0.5/4.5 VDC, 0.2%, 6' CABLE, 1/2"NPT</t>
  </si>
  <si>
    <t>LXP043XN2</t>
  </si>
  <si>
    <t>Transmisor de presión antiexplosivo Winters Serie LXP, Housing de acero inoxidable y partes húmedas de acero inoxidable 316 con aprobación NACE, -14.5/0/14.5 PSI, 0.5/4.5 VDC, 0.2%, 6' CABLE, 1/2"NPT</t>
  </si>
  <si>
    <t>LXP053XN2</t>
  </si>
  <si>
    <t>Transmisor de presión antiexplosivo Winters Serie LXP, Housing de acero inoxidable y partes húmedas de acero inoxidable 316 con aprobación NACE, -14.5/0/30 PSI, 0.5/4.5 VDC, 0.2%, 6' CABLE, 1/2"NPT</t>
  </si>
  <si>
    <t>LXP063XN2</t>
  </si>
  <si>
    <t>Transmisor de presión antiexplosivo Winters Serie LXP, Housing de acero inoxidable y partes húmedas de acero inoxidable 316 con aprobación NACE, -14.5/0/100 PSI, 0.5/4.5 VDC, 0.2%, 6' CABLE, 1/2"NPT</t>
  </si>
  <si>
    <t>LXP073XN2</t>
  </si>
  <si>
    <t>Transmisor de presión antiexplosivo Winters Serie LXP, Housing de acero inoxidable y partes húmedas de acero inoxidable 316 con aprobación NACE, -14.5/0/145 PSI, 0.5/4.5 VDC, 0.2%, 6' CABLE, 1/2"NPT</t>
  </si>
  <si>
    <t>LXP083XN2</t>
  </si>
  <si>
    <t>Transmisor de presión antiexplosivo Winters Serie LXP, Housing de acero inoxidable y partes húmedas de acero inoxidable 316 con aprobación NACE, -14.5/0/250 PSI, 0.5/4.5 VDC, 0.2%, 6' CABLE, 1/2"NPT</t>
  </si>
  <si>
    <t>LXP093XN2</t>
  </si>
  <si>
    <t>Transmisor de presión antiexplosivo Winters Serie LXP, Housing de acero inoxidable y partes húmedas de acero inoxidable 316 con aprobación NACE, -14.5/0/500 PSI, 0.5/4.5 VDC, 0.2%, 6' CABLE, 1/2"NPT</t>
  </si>
  <si>
    <t>LXP103XN2</t>
  </si>
  <si>
    <t>Transmisor de presión antiexplosivo Winters Serie LXP, Housing de acero inoxidable y partes húmedas de acero inoxidable 316 con aprobación NACE, -14.5/0/1,000 PSI, 0.5/4.5 VDC, 0.2%, 6' CABLE, 1/2"NPT</t>
  </si>
  <si>
    <t>LXP113XN2</t>
  </si>
  <si>
    <t>Transmisor de presión antiexplosivo Winters Serie LXP, Housing de acero inoxidable y partes húmedas de acero inoxidable 316 con aprobación NACE, -14.5/0/2,500 PSI, 0.5/4.5 VDC, 0.2%, 6' CABLE, 1/2"NPT</t>
  </si>
  <si>
    <t>LXP123XN2</t>
  </si>
  <si>
    <t>Transmisor de presión antiexplosivo Winters Serie LXP, Housing de acero inoxidable y partes húmedas de acero inoxidable 316 con aprobación NACE, -14.5/0/5,000 PSI, 0.5/4.5 VDC, 0.2%, 6' CABLE, 1/2"NPT</t>
  </si>
  <si>
    <t>LXP133XN2</t>
  </si>
  <si>
    <t>Transmisor de presión antiexplosivo Winters Serie LXP, Housing de acero inoxidable y partes húmedas de acero inoxidable 316 con aprobación NACE, -14.5/0/6,000 PSI, 0.5/4.5 VDC, 0.2%, 6' CABLE, 1/2"NPT</t>
  </si>
  <si>
    <t>LXP143XN2</t>
  </si>
  <si>
    <t>Transmisor de presión antiexplosivo Winters Serie LXP, Housing de acero inoxidable y partes húmedas de acero inoxidable 316 con aprobación NACE, -14.5/0/8,700 PSI, 0.5/4.5 VDC, 0.2%, 6' CABLE, 1/2"NPT</t>
  </si>
  <si>
    <t>LXP153XN2</t>
  </si>
  <si>
    <t>Transmisor de presión antiexplosivo Winters Serie LXP, Housing de acero inoxidable y partes húmedas de acero inoxidable 316 con aprobación NACE, -14.5/0/10,000 PSI, 0.5/4.5 VDC, 0.2%, 6' CABLE, 1/2"NPT</t>
  </si>
  <si>
    <t>LXP163XN2</t>
  </si>
  <si>
    <t>Transmisor de presión antiexplosivo Winters Serie LXP, Housing de acero inoxidable y partes húmedas de acero inoxidable 316 con aprobación NACE, -14.5/0/14,500 PSI, 0.5/4.5 VDC, 0.2%, 6' CABLE, 1/2"NPT</t>
  </si>
  <si>
    <t>LXP01HXN4</t>
  </si>
  <si>
    <t>Transmisor de presión antiexplosivo Winters Serie LXP, Housing de acero inoxidable y partes húmedas de acero inoxidable 316 con aprobación NACE, -1/0/1 PSI, 4/20 mA + HART, 0.2%, 6' CABLE, 1/4"NPT</t>
  </si>
  <si>
    <t>LXP02HXN4</t>
  </si>
  <si>
    <t>Transmisor de presión antiexplosivo Winters Serie LXP, Housing de acero inoxidable y partes húmedas de acero inoxidable 316 con aprobación NACE, -3/0/3 PSI, 4/20 mA + HART, 0.2%, 6' CABLE, 1/4"NPT</t>
  </si>
  <si>
    <t>LXP03HXN4</t>
  </si>
  <si>
    <t>Transmisor de presión antiexplosivo Winters Serie LXP, Housing de acero inoxidable y partes húmedas de acero inoxidable 316 con aprobación NACE, -5/0/5 PSI, 4/20 mA + HART, 0.2%, 6' CABLE, 1/4"NPT</t>
  </si>
  <si>
    <t>LXP04HXN4</t>
  </si>
  <si>
    <t>Transmisor de presión antiexplosivo Winters Serie LXP, Housing de acero inoxidable y partes húmedas de acero inoxidable 316 con aprobación NACE, -14.5/0/14.5 PSI, 4/20 mA + HART, 0.2%, 6' CABLE, 1/4"NPT</t>
  </si>
  <si>
    <t>LXP05HXN4</t>
  </si>
  <si>
    <t>Transmisor de presión antiexplosivo Winters Serie LXP, Housing de acero inoxidable y partes húmedas de acero inoxidable 316 con aprobación NACE, -14.5/0/30 PSI, 4/20 mA + HART, 0.2%, 6' CABLE, 1/4"NPT</t>
  </si>
  <si>
    <t>LXP06HXN4</t>
  </si>
  <si>
    <t>Transmisor de presión antiexplosivo Winters Serie LXP, Housing de acero inoxidable y partes húmedas de acero inoxidable 316 con aprobación NACE, -14.5/0/100 PSI, 4/20 mA + HART, 0.2%, 6' CABLE, 1/4"NPT</t>
  </si>
  <si>
    <t>LXP07HXN4</t>
  </si>
  <si>
    <t>Transmisor de presión antiexplosivo Winters Serie LXP, Housing de acero inoxidable y partes húmedas de acero inoxidable 316 con aprobación NACE, -14.5/0/145 PSI, 4/20 mA + HART, 0.2%, 6' CABLE, 1/4"NPT</t>
  </si>
  <si>
    <t>LXP08HXN4</t>
  </si>
  <si>
    <t>Transmisor de presión antiexplosivo Winters Serie LXP, Housing de acero inoxidable y partes húmedas de acero inoxidable 316 con aprobación NACE, -14.5/0/250 PSI, 4/20 mA + HART, 0.2%, 6' CABLE, 1/4"NPT</t>
  </si>
  <si>
    <t>LXP09HXN4</t>
  </si>
  <si>
    <t>Transmisor de presión antiexplosivo Winters Serie LXP, Housing de acero inoxidable y partes húmedas de acero inoxidable 316 con aprobación NACE, -14.5/0/500 PSI, 4/20 mA + HART, 0.2%, 6' CABLE, 1/4"NPT</t>
  </si>
  <si>
    <t>LXP10HXN4</t>
  </si>
  <si>
    <t>Transmisor de presión antiexplosivo Winters Serie LXP, Housing de acero inoxidable y partes húmedas de acero inoxidable 316 con aprobación NACE, -14.5/0/1,000 PSI, 4/20 mA + HART, 0.2%, 6' CABLE, 1/4"NPT</t>
  </si>
  <si>
    <t>LXP11HXN4</t>
  </si>
  <si>
    <t>Transmisor de presión antiexplosivo Winters Serie LXP, Housing de acero inoxidable y partes húmedas de acero inoxidable 316 con aprobación NACE, -14.5/0/2,500 PSI, 4/20 mA + HART, 0.2%, 6' CABLE, 1/4"NPT</t>
  </si>
  <si>
    <t>LXP12HXN4</t>
  </si>
  <si>
    <t>Transmisor de presión antiexplosivo Winters Serie LXP, Housing de acero inoxidable y partes húmedas de acero inoxidable 316 con aprobación NACE, -14.5/0/5,000 PSI, 4/20 mA + HART, 0.2%, 6' CABLE, 1/4"NPT</t>
  </si>
  <si>
    <t>LXP13HXN4</t>
  </si>
  <si>
    <t>Transmisor de presión antiexplosivo Winters Serie LXP, Housing de acero inoxidable y partes húmedas de acero inoxidable 316 con aprobación NACE, -14.5/0/6,000 PSI, 4/20 mA + HART, 0.2%, 6' CABLE, 1/4"NPT</t>
  </si>
  <si>
    <t>LXP14HXN4</t>
  </si>
  <si>
    <t>Transmisor de presión antiexplosivo Winters Serie LXP, Housing de acero inoxidable y partes húmedas de acero inoxidable 316 con aprobación NACE, -14.5/0/8,700 PSI, 4/20 mA + HART, 0.2%, 6' CABLE, 1/4"NPT</t>
  </si>
  <si>
    <t>LXP15HXN4</t>
  </si>
  <si>
    <t>Transmisor de presión antiexplosivo Winters Serie LXP, Housing de acero inoxidable y partes húmedas de acero inoxidable 316 con aprobación NACE, -14.5/0/10,000 PSI, 4/20 mA + HART, 0.2%, 6' CABLE, 1/4"NPT</t>
  </si>
  <si>
    <t>LXP16HXN4</t>
  </si>
  <si>
    <t>Transmisor de presión antiexplosivo Winters Serie LXP, Housing de acero inoxidable y partes húmedas de acero inoxidable 316 con aprobación NACE, -14.5/0/14,500 PSI, 4/20 mA + HART, 0.2%, 6' CABLE, 1/4"NPT</t>
  </si>
  <si>
    <t>LXP01HXN2</t>
  </si>
  <si>
    <t>Transmisor de presión antiexplosivo Winters Serie LXP, Housing de acero inoxidable y partes húmedas de acero inoxidable 316 con aprobación NACE, -1/0/1 PSI, 4/20 mA + HART, 0.2%, 6' CABLE, 1/2"NPT</t>
  </si>
  <si>
    <t>LXP02HXN2</t>
  </si>
  <si>
    <t>Transmisor de presión antiexplosivo Winters Serie LXP, Housing de acero inoxidable y partes húmedas de acero inoxidable 316 con aprobación NACE, -3/0/3 PSI, 4/20 mA + HART, 0.2%, 6' CABLE, 1/2"NPT</t>
  </si>
  <si>
    <t>LXP03HXN2</t>
  </si>
  <si>
    <t>Transmisor de presión antiexplosivo Winters Serie LXP, Housing de acero inoxidable y partes húmedas de acero inoxidable 316 con aprobación NACE, -5/0/5 PSI, 4/20 mA + HART, 0.2%, 6' CABLE, 1/2"NPT</t>
  </si>
  <si>
    <t>LXP04HXN2</t>
  </si>
  <si>
    <t>Transmisor de presión antiexplosivo Winters Serie LXP, Housing de acero inoxidable y partes húmedas de acero inoxidable 316 con aprobación NACE, -14.5/0/14.5 PSI, 4/20 mA + HART, 0.2%, 6' CABLE, 1/2"NPT</t>
  </si>
  <si>
    <t>LXP05HXN2</t>
  </si>
  <si>
    <t>Transmisor de presión antiexplosivo Winters Serie LXP, Housing de acero inoxidable y partes húmedas de acero inoxidable 316 con aprobación NACE, -14.5/0/30 PSI, 4/20 mA + HART, 0.2%, 6' CABLE, 1/2"NPT</t>
  </si>
  <si>
    <t>LXP06HXN2</t>
  </si>
  <si>
    <t>Transmisor de presión antiexplosivo Winters Serie LXP, Housing de acero inoxidable y partes húmedas de acero inoxidable 316 con aprobación NACE, -14.5/0/100 PSI, 4/20 mA + HART, 0.2%, 6' CABLE, 1/2"NPT</t>
  </si>
  <si>
    <t>LXP07HXN2</t>
  </si>
  <si>
    <t>Transmisor de presión antiexplosivo Winters Serie LXP, Housing de acero inoxidable y partes húmedas de acero inoxidable 316 con aprobación NACE, -14.5/0/145 PSI, 4/20 mA + HART, 0.2%, 6' CABLE, 1/2"NPT</t>
  </si>
  <si>
    <t>LXP08HXN2</t>
  </si>
  <si>
    <t>Transmisor de presión antiexplosivo Winters Serie LXP, Housing de acero inoxidable y partes húmedas de acero inoxidable 316 con aprobación NACE, -14.5/0/250 PSI, 4/20 mA + HART, 0.2%, 6' CABLE, 1/2"NPT</t>
  </si>
  <si>
    <t>LXP09HXN2</t>
  </si>
  <si>
    <t>Transmisor de presión antiexplosivo Winters Serie LXP, Housing de acero inoxidable y partes húmedas de acero inoxidable 316 con aprobación NACE, -14.5/0/500 PSI, 4/20 mA + HART, 0.2%, 6' CABLE, 1/2"NPT</t>
  </si>
  <si>
    <t>LXP10HXN2</t>
  </si>
  <si>
    <t>Transmisor de presión antiexplosivo Winters Serie LXP, Housing de acero inoxidable y partes húmedas de acero inoxidable 316 con aprobación NACE, -14.5/0/1,000 PSI, 4/20 mA + HART, 0.2%, 6' CABLE, 1/2"NPT</t>
  </si>
  <si>
    <t>LXP11HXN2</t>
  </si>
  <si>
    <t>Transmisor de presión antiexplosivo Winters Serie LXP, Housing de acero inoxidable y partes húmedas de acero inoxidable 316 con aprobación NACE, -14.5/0/2,500 PSI, 4/20 mA + HART, 0.2%, 6' CABLE, 1/2"NPT</t>
  </si>
  <si>
    <t>LXP12HXN2</t>
  </si>
  <si>
    <t>Transmisor de presión antiexplosivo Winters Serie LXP, Housing de acero inoxidable y partes húmedas de acero inoxidable 316 con aprobación NACE, -14.5/0/5,000 PSI, 4/20 mA + HART, 0.2%, 6' CABLE, 1/2"NPT</t>
  </si>
  <si>
    <t>LXP13HXN2</t>
  </si>
  <si>
    <t>Transmisor de presión antiexplosivo Winters Serie LXP, Housing de acero inoxidable y partes húmedas de acero inoxidable 316 con aprobación NACE, -14.5/0/6,000 PSI, 4/20 mA + HART, 0.2%, 6' CABLE, 1/2"NPT</t>
  </si>
  <si>
    <t>LXP14HXN2</t>
  </si>
  <si>
    <t>Transmisor de presión antiexplosivo Winters Serie LXP, Housing de acero inoxidable y partes húmedas de acero inoxidable 316 con aprobación NACE, -14.5/0/8,700 PSI, 4/20 mA + HART, 0.2%, 6' CABLE, 1/2"NPT</t>
  </si>
  <si>
    <t>LXP15HXN2</t>
  </si>
  <si>
    <t>Transmisor de presión antiexplosivo Winters Serie LXP, Housing de acero inoxidable y partes húmedas de acero inoxidable 316 con aprobación NACE, -14.5/0/10,000 PSI, 4/20 mA + HART, 0.2%, 6' CABLE, 1/2"NPT</t>
  </si>
  <si>
    <t>LXP16HXN2</t>
  </si>
  <si>
    <t>Transmisor de presión antiexplosivo Winters Serie LXP, Housing de acero inoxidable y partes húmedas de acero inoxidable 316 con aprobación NACE, -14.5/0/14,500 PSI, 4/20 mA + HART, 0.2%, 6' CABLE, 1/2"NPT</t>
  </si>
  <si>
    <t>LXP01RXN4</t>
  </si>
  <si>
    <t>Transmisor de presión antiexplosivo Winters Serie LXP, Housing de acero inoxidable y partes húmedas de acero inoxidable 316 con aprobación NACE, -1/0/1 PSI, RS485, 0.2%, 6' CABLE, 1/4"NPT</t>
  </si>
  <si>
    <t>LXP02RXN4</t>
  </si>
  <si>
    <t>Transmisor de presión antiexplosivo Winters Serie LXP, Housing de acero inoxidable y partes húmedas de acero inoxidable 316 con aprobación NACE, -3/0/3 PSI, RS485, 0.2%, 6' CABLE, 1/4"NPT</t>
  </si>
  <si>
    <t>LXP03RXN4</t>
  </si>
  <si>
    <t>Transmisor de presión antiexplosivo Winters Serie LXP, Housing de acero inoxidable y partes húmedas de acero inoxidable 316 con aprobación NACE, -5/0/5 PSI, RS485, 0.2%, 6' CABLE, 1/4"NPT</t>
  </si>
  <si>
    <t>LXP04RXN4</t>
  </si>
  <si>
    <t>Transmisor de presión antiexplosivo Winters Serie LXP, Housing de acero inoxidable y partes húmedas de acero inoxidable 316 con aprobación NACE, -14.5/0/14.5 PSI, RS485, 0.2%, 6' CABLE, 1/4"NPT</t>
  </si>
  <si>
    <t>LXP05RXN4</t>
  </si>
  <si>
    <t>Transmisor de presión antiexplosivo Winters Serie LXP, Housing de acero inoxidable y partes húmedas de acero inoxidable 316 con aprobación NACE, -14.5/0/30 PSI, RS485, 0.2%, 6' CABLE, 1/4"NPT</t>
  </si>
  <si>
    <t>LXP06RXN4</t>
  </si>
  <si>
    <t>Transmisor de presión antiexplosivo Winters Serie LXP, Housing de acero inoxidable y partes húmedas de acero inoxidable 316 con aprobación NACE, -14.5/0/100 PSI, RS485, 0.2%, 6' CABLE, 1/4"NPT</t>
  </si>
  <si>
    <t>LXP07RXN4</t>
  </si>
  <si>
    <t>Transmisor de presión antiexplosivo Winters Serie LXP, Housing de acero inoxidable y partes húmedas de acero inoxidable 316 con aprobación NACE, -14.5/0/145 PSI, RS485, 0.2%, 6' CABLE, 1/4"NPT</t>
  </si>
  <si>
    <t>LXP08RXN4</t>
  </si>
  <si>
    <t>Transmisor de presión antiexplosivo Winters Serie LXP, Housing de acero inoxidable y partes húmedas de acero inoxidable 316 con aprobación NACE, -14.5/0/250 PSI, RS485, 0.2%, 6' CABLE, 1/4"NPT</t>
  </si>
  <si>
    <t>LXP09RXN4</t>
  </si>
  <si>
    <t>Transmisor de presión antiexplosivo Winters Serie LXP, Housing de acero inoxidable y partes húmedas de acero inoxidable 316 con aprobación NACE, -14.5/0/500 PSI, RS485, 0.2%, 6' CABLE, 1/4"NPT</t>
  </si>
  <si>
    <t>LXP10RXN4</t>
  </si>
  <si>
    <t>Transmisor de presión antiexplosivo Winters Serie LXP, Housing de acero inoxidable y partes húmedas de acero inoxidable 316 con aprobación NACE, -14.5/0/1,000 PSI, RS485, 0.2%, 6' CABLE, 1/4"NPT</t>
  </si>
  <si>
    <t>LXP11RXN4</t>
  </si>
  <si>
    <t>Transmisor de presión antiexplosivo Winters Serie LXP, Housing de acero inoxidable y partes húmedas de acero inoxidable 316 con aprobación NACE, -14.5/0/2,500 PSI, RS485, 0.2%, 6' CABLE, 1/4"NPT</t>
  </si>
  <si>
    <t>LXP12RXN4</t>
  </si>
  <si>
    <t>Transmisor de presión antiexplosivo Winters Serie LXP, Housing de acero inoxidable y partes húmedas de acero inoxidable 316 con aprobación NACE, -14.5/0/5,000 PSI, RS485, 0.2%, 6' CABLE, 1/4"NPT</t>
  </si>
  <si>
    <t>LXP13RXN4</t>
  </si>
  <si>
    <t>Transmisor de presión antiexplosivo Winters Serie LXP, Housing de acero inoxidable y partes húmedas de acero inoxidable 316 con aprobación NACE, -14.5/0/6,000 PSI, RS485, 0.2%, 6' CABLE, 1/4"NPT</t>
  </si>
  <si>
    <t>LXP14RXN4</t>
  </si>
  <si>
    <t>Transmisor de presión antiexplosivo Winters Serie LXP, Housing de acero inoxidable y partes húmedas de acero inoxidable 316 con aprobación NACE, -14.5/0/8,700 PSI, RS485, 0.2%, 6' CABLE, 1/4"NPT</t>
  </si>
  <si>
    <t>LXP15RXN4</t>
  </si>
  <si>
    <t>Transmisor de presión antiexplosivo Winters Serie LXP, Housing de acero inoxidable y partes húmedas de acero inoxidable 316 con aprobación NACE, -14.5/0/10,000 PSI, RS485, 0.2%, 6' CABLE, 1/4"NPT</t>
  </si>
  <si>
    <t>LXP16RXN4</t>
  </si>
  <si>
    <t>Transmisor de presión antiexplosivo Winters Serie LXP, Housing de acero inoxidable y partes húmedas de acero inoxidable 316 con aprobación NACE, -14.5/0/14,500 PSI, RS485, 0.2%, 6' CABLE, 1/4"NPT</t>
  </si>
  <si>
    <t>LXP01RXN2</t>
  </si>
  <si>
    <t>Transmisor de presión antiexplosivo Winters Serie LXP, Housing de acero inoxidable y partes húmedas de acero inoxidable 316 con aprobación NACE, -1/0/1 PSI, RS485, 0.2%, 6' CABLE, 1/2"NPT</t>
  </si>
  <si>
    <t>LXP02RXN2</t>
  </si>
  <si>
    <t>Transmisor de presión antiexplosivo Winters Serie LXP, Housing de acero inoxidable y partes húmedas de acero inoxidable 316 con aprobación NACE, -3/0/3 PSI, RS485, 0.2%, 6' CABLE, 1/2"NPT</t>
  </si>
  <si>
    <t>LXP03RXN2</t>
  </si>
  <si>
    <t>Transmisor de presión antiexplosivo Winters Serie LXP, Housing de acero inoxidable y partes húmedas de acero inoxidable 316 con aprobación NACE, -5/0/5 PSI, RS485, 0.2%, 6' CABLE, 1/2"NPT</t>
  </si>
  <si>
    <t>LXP04RXN2</t>
  </si>
  <si>
    <t>Transmisor de presión antiexplosivo Winters Serie LXP, Housing de acero inoxidable y partes húmedas de acero inoxidable 316 con aprobación NACE, -14.5/0/14.5 PSI, RS485, 0.2%, 6' CABLE, 1/2"NPT</t>
  </si>
  <si>
    <t>LXP05RXN2</t>
  </si>
  <si>
    <t>Transmisor de presión antiexplosivo Winters Serie LXP, Housing de acero inoxidable y partes húmedas de acero inoxidable 316 con aprobación NACE, -14.5/0/30 PSI, RS485, 0.2%, 6' CABLE, 1/2"NPT</t>
  </si>
  <si>
    <t>LXP06RXN2</t>
  </si>
  <si>
    <t>Transmisor de presión antiexplosivo Winters Serie LXP, Housing de acero inoxidable y partes húmedas de acero inoxidable 316 con aprobación NACE, -14.5/0/100 PSI, RS485, 0.2%, 6' CABLE, 1/2"NPT</t>
  </si>
  <si>
    <t>LXP07RXN2</t>
  </si>
  <si>
    <t>Transmisor de presión antiexplosivo Winters Serie LXP, Housing de acero inoxidable y partes húmedas de acero inoxidable 316 con aprobación NACE, -14.5/0/145 PSI, RS485, 0.2%, 6' CABLE, 1/2"NPT</t>
  </si>
  <si>
    <t>LXP08RXN2</t>
  </si>
  <si>
    <t>Transmisor de presión antiexplosivo Winters Serie LXP, Housing de acero inoxidable y partes húmedas de acero inoxidable 316 con aprobación NACE, -14.5/0/250 PSI, RS485, 0.2%, 6' CABLE, 1/2"NPT</t>
  </si>
  <si>
    <t>LXP09RXN2</t>
  </si>
  <si>
    <t>Transmisor de presión antiexplosivo Winters Serie LXP, Housing de acero inoxidable y partes húmedas de acero inoxidable 316 con aprobación NACE, -14.5/0/500 PSI, RS485, 0.2%, 6' CABLE, 1/2"NPT</t>
  </si>
  <si>
    <t>LXP10RXN2</t>
  </si>
  <si>
    <t>Transmisor de presión antiexplosivo Winters Serie LXP, Housing de acero inoxidable y partes húmedas de acero inoxidable 316 con aprobación NACE, -14.5/0/1,000 PSI, RS485, 0.2%, 6' CABLE, 1/2"NPT</t>
  </si>
  <si>
    <t>LXP11RXN2</t>
  </si>
  <si>
    <t>Transmisor de presión antiexplosivo Winters Serie LXP, Housing de acero inoxidable y partes húmedas de acero inoxidable 316 con aprobación NACE, -14.5/0/2,500 PSI, RS485, 0.2%, 6' CABLE, 1/2"NPT</t>
  </si>
  <si>
    <t>LXP12RXN2</t>
  </si>
  <si>
    <t>Transmisor de presión antiexplosivo Winters Serie LXP, Housing de acero inoxidable y partes húmedas de acero inoxidable 316 con aprobación NACE, -14.5/0/5,000 PSI, RS485, 0.2%, 6' CABLE, 1/2"NPT</t>
  </si>
  <si>
    <t>LXP13RXN2</t>
  </si>
  <si>
    <t>Transmisor de presión antiexplosivo Winters Serie LXP, Housing de acero inoxidable y partes húmedas de acero inoxidable 316 con aprobación NACE, -14.5/0/6,000 PSI, RS485, 0.2%, 6' CABLE, 1/2"NPT</t>
  </si>
  <si>
    <t>LXP14RXN2</t>
  </si>
  <si>
    <t>Transmisor de presión antiexplosivo Winters Serie LXP, Housing de acero inoxidable y partes húmedas de acero inoxidable 316 con aprobación NACE, -14.5/0/8,700 PSI, RS485, 0.2%, 6' CABLE, 1/2"NPT</t>
  </si>
  <si>
    <t>LXP15RXN2</t>
  </si>
  <si>
    <t>Transmisor de presión antiexplosivo Winters Serie LXP, Housing de acero inoxidable y partes húmedas de acero inoxidable 316 con aprobación NACE, -14.5/0/10,000 PSI, RS485, 0.2%, 6' CABLE, 1/2"NPT</t>
  </si>
  <si>
    <t>LXP16RXN2</t>
  </si>
  <si>
    <t>Transmisor de presión antiexplosivo Winters Serie LXP, Housing de acero inoxidable y partes húmedas de acero inoxidable 316 con aprobación NACE, -14.5/0/14,500 PSI, RS485, 0.2%, 6' CABLE, 1/2"NPT</t>
  </si>
  <si>
    <t>LXP</t>
  </si>
  <si>
    <t>SALIDA ELECTRICA</t>
  </si>
  <si>
    <t xml:space="preserve">4…20 mA / 2-wire </t>
  </si>
  <si>
    <t>H</t>
  </si>
  <si>
    <t>4…20 mA / 2-wire + HART</t>
  </si>
  <si>
    <t>R</t>
  </si>
  <si>
    <t>Modbus-RTU / RS485, 4-wire</t>
  </si>
  <si>
    <t>0.5...4.5 V, 3-wire</t>
  </si>
  <si>
    <t>0.5...4.5 V, 3-wire, ratiometric output</t>
  </si>
  <si>
    <t>RANGO DE PRESION (PSI)</t>
  </si>
  <si>
    <t>P	0	1</t>
  </si>
  <si>
    <t>-1/0/1, intervalo de calibración más pequeño 0,7</t>
  </si>
  <si>
    <t>P	0	2</t>
  </si>
  <si>
    <t>-3/0/3, intervalo de calibración más pequeño 1,5</t>
  </si>
  <si>
    <t>P	0	3</t>
  </si>
  <si>
    <t>-5/0/5, intervalo de calibración más pequeño 3,0</t>
  </si>
  <si>
    <t>P	0	4</t>
  </si>
  <si>
    <t>-14,5/0/14,5, intervalo de calibración más pequeño 5,1</t>
  </si>
  <si>
    <t>P	0	5</t>
  </si>
  <si>
    <t>-14,5/0/30, intervalo de calibración más pequeño 14,5</t>
  </si>
  <si>
    <t>P	0	6</t>
  </si>
  <si>
    <t>-14,5/0/100, intervalo de calibración más pequeño 29,0</t>
  </si>
  <si>
    <t>P	0	7</t>
  </si>
  <si>
    <t>-14,5/0/145, intervalo de calibración más pequeño 72,5</t>
  </si>
  <si>
    <t>P	0	8</t>
  </si>
  <si>
    <t>-14,5/0/250, intervalo de calibración más pequeño 145</t>
  </si>
  <si>
    <t>P	0	9</t>
  </si>
  <si>
    <t>-14,5/0/500, intervalo de calibración más pequeño 247</t>
  </si>
  <si>
    <t>P	0	10</t>
  </si>
  <si>
    <t>-14,5/0/1.000, intervalo de calibración más pequeño 508</t>
  </si>
  <si>
    <t>P	0	11</t>
  </si>
  <si>
    <t>-14,5/0/2500, intervalo de calibración más pequeño 1015</t>
  </si>
  <si>
    <t>P	0	12</t>
  </si>
  <si>
    <t>-14,5/0/5.000, intervalo de calibración más pequeño 2466</t>
  </si>
  <si>
    <t>P	0	13</t>
  </si>
  <si>
    <t>-14,5/0/6.000, intervalo de calibración más pequeño 2901</t>
  </si>
  <si>
    <t>P	0	14</t>
  </si>
  <si>
    <t>-14,5/0/8700, intervalo de calibración más pequeño 4351</t>
  </si>
  <si>
    <t>P	0	15</t>
  </si>
  <si>
    <t>-14,5/0/10.000, intervalo de calibración más pequeño 5.076</t>
  </si>
  <si>
    <t>P	0	16</t>
  </si>
  <si>
    <t>-14,5/0/14.500, intervalo de calibración más pequeño 7.252</t>
  </si>
  <si>
    <t>PXX</t>
  </si>
  <si>
    <t>Rango de presión personalizado (números de P01 a P99)</t>
  </si>
  <si>
    <t>PRESION</t>
  </si>
  <si>
    <t>G</t>
  </si>
  <si>
    <t>Gauge (standard)</t>
  </si>
  <si>
    <t>A</t>
  </si>
  <si>
    <t>Absolute (Only available in 0-1,450 psi pressure ranges and 0.2% accuracy)</t>
  </si>
  <si>
    <t>EXACTITUD</t>
  </si>
  <si>
    <t>0.2%  (estandar)</t>
  </si>
  <si>
    <t>CONEXIÓN ELECTRICA</t>
  </si>
  <si>
    <t>E1</t>
  </si>
  <si>
    <t>A pruebas de llamas G 1/2 M, diámetro del cable 7,5 mm, IP67</t>
  </si>
  <si>
    <t>E2</t>
  </si>
  <si>
    <t>A pruebas de llamas M20x1,5 M, diámetro del cable 7,5 mm, IP67</t>
  </si>
  <si>
    <t>E3</t>
  </si>
  <si>
    <t>A pruebas de llamas 1/2" NPT M, diámetro de cable 7,5 mm, IP67 (estándar)</t>
  </si>
  <si>
    <t>E4</t>
  </si>
  <si>
    <t>Conector resistente al agua M16 x 1,5, material de zinc trenzado de cobre, diámetro del cable 6-8 mm, IP65</t>
  </si>
  <si>
    <t>E5</t>
  </si>
  <si>
    <t>Conector resistente al agua de acero inoxidable, diámetro del cable 7,5 mnm, IP68</t>
  </si>
  <si>
    <t>CONEXIÓN A PROCESO</t>
  </si>
  <si>
    <t>N	4</t>
  </si>
  <si>
    <t>1/4" NPT MACHO</t>
  </si>
  <si>
    <t>N	2</t>
  </si>
  <si>
    <t>1/2" NPT MACHI</t>
  </si>
  <si>
    <t>F	4</t>
  </si>
  <si>
    <t>1/4" NPT HEMBRA</t>
  </si>
  <si>
    <t>F	2</t>
  </si>
  <si>
    <t>1/2" NPT HEMBRA</t>
  </si>
  <si>
    <t>G	4</t>
  </si>
  <si>
    <t>G 1/4" M, EN837</t>
  </si>
  <si>
    <t>G2</t>
  </si>
  <si>
    <t>G 1/2" M, EN837</t>
  </si>
  <si>
    <t>D4</t>
  </si>
  <si>
    <t>G 1/4" M, ISO228 DIN16288</t>
  </si>
  <si>
    <t>M2</t>
  </si>
  <si>
    <t>M20 * 1.5 M, ISO261</t>
  </si>
  <si>
    <t>XX</t>
  </si>
  <si>
    <t>Conexión a proceso customizada</t>
  </si>
  <si>
    <t>SELLOS</t>
  </si>
  <si>
    <t>W</t>
  </si>
  <si>
    <t>Soldada (estandar)</t>
  </si>
  <si>
    <t>PUERTO DE PRESION</t>
  </si>
  <si>
    <t xml:space="preserve">304 SS </t>
  </si>
  <si>
    <t>316 SS (estandar)</t>
  </si>
  <si>
    <t>MATERIAL DEL DIAFRAGMA</t>
  </si>
  <si>
    <t>ESPECIAL</t>
  </si>
  <si>
    <t>UXX</t>
  </si>
  <si>
    <t>Largo de cable, metros (2mts es largo estandar), PUR, por metro</t>
  </si>
  <si>
    <t>VXX</t>
  </si>
  <si>
    <t>Largo de cable, metros, PVC</t>
  </si>
  <si>
    <t>RXX</t>
  </si>
  <si>
    <t>Rango Customizado (R1=psi, R2=kPa, R3=kg/cm2, R4=cmH2O, R5=ftH2O, R6=inHg, R7=mmHg, R8=inH2O, R9=ozIN2, R10=ATM, R11=bar, R12=mbar, R13=MPa, R14=mH2O, R15=mmH2O, R16=Pa)</t>
  </si>
  <si>
    <t>Z##</t>
  </si>
  <si>
    <t>Customización especifica (Numeros desde Z01 al Z99)</t>
  </si>
  <si>
    <t>LY14HXD3P50G1R2N2W6LS</t>
  </si>
  <si>
    <t>Transmisor de presión inteligente Winters WinSMART Serie LY14, 0/1 psi, salida de 2 cables 4/20 ma y HART, exactitud del 0,1 %, carcasa de acero inoxidable 316, a prueba de explosiones según ATEX EX DB y SIL 3, conexión eléctrica ½” NPT (f), sello de acero inoxidable 316L soldado, conexión a proceso de ½” NPT (m) de acero inoxidable 316.</t>
  </si>
  <si>
    <t>LY14HXD3P51G1R2N2W6LS</t>
  </si>
  <si>
    <t>Transmisor de presión inteligente Winters WinSMART Serie LY14, 0/5 psi, 4/20 ma y salida de 2 cables HART, exactitud del 0,1 %, carcasa de acero inoxidable 316, a prueba de explosiones según ATEX EX DB y SIL 3,conexión eléctrica ½” NPT (f), sello de acero inoxidable 316L soldado, conexión a proceso 316 de ½” NPT (m) de acero inoxidable 316.</t>
  </si>
  <si>
    <t>LY14HXD3P52G1R2N2W6LS</t>
  </si>
  <si>
    <t>Transmisor de presión inteligente Winters WinSMART Serie LY14, 0/30 psi, salida de 2 cables 4/20 ma y HART, exactitud del 0,1 %, carcasa de acero inoxidable 316, a prueba de explosiones según ATEX EX DB y SIL 3, conexión eléctrica ½” NPT (f), sello de acero inoxidable 316L soldado, conexión a proceso 316 de ½” NPT (m) de acero inoxidable 316.</t>
  </si>
  <si>
    <t>LY14HXD3P53G1R2N2W6LS</t>
  </si>
  <si>
    <t>Transmisor de presión inteligente Winters WinSMART Serie LY14, 0/100 psi, salida de 2 cables 4/20 ma y HART, exactitud del 0,1 %, carcasa de acero inoxidable 316, a prueba de explosiones según ATEX EX DB y SIL 3, conexión eléctrica ½” NPT (f), sello de acero inoxidable 316L soldado, conexión a proceso de ½” NPT (m) de acero inoxidable 316.</t>
  </si>
  <si>
    <t>LY14HXD3P54G1R2N2W6LS</t>
  </si>
  <si>
    <t>Transmisor de presión inteligente Winters WinSMART Serie LY14, 0/300 psi, salida de 2 cables 4/20 ma y HART, exactitud del 0,1 %, carcasa de acero inoxidable 316, a prueba de explosiones según ATEX EX DB y SIL 3, conexión eléctrica ½” NPT (f), sello de acero inoxidable 316L soldado, conexión a proceso de ½” NPT (m) de acero inoxidable 316.</t>
  </si>
  <si>
    <t>LY14HXD3P55G1R2N2W6LS</t>
  </si>
  <si>
    <t>Transmisor de presión inteligente Winters WinSMART Serie LY14, 0/1.000 psi, salida de 2 cables 4/20 ma y HART, exactitud del 0,1 %, carcasa de acero inoxidable 316, a prueba de explosiones según ATEX EX DB y SIL 3, conexión eléctrica ½” NPT (f), sello de acero inoxidable 316L soldado, conexión a proceso de ½” NPT (m) de acero inoxidable 316.</t>
  </si>
  <si>
    <t>LY14HXD3P56G1R2N2W6LS</t>
  </si>
  <si>
    <t>Transmisor de presión inteligente Winters WinSMART Serie LY14, 0/3.000 psi, salida de 2 cables 4/20ma y HART, exactitud del 0,1%, carcasa de acero inoxidable 316, a prueba de explosiones según ATEX EX DB y SIL 3, conexión eléctrica ½” NPT (f), sello de acero inoxidable 316L soldado, conexión a proceso de ½” NPT (m) de acero inoxidable 316.</t>
  </si>
  <si>
    <t>LY14HXD3P50G1R5G2W6LS</t>
  </si>
  <si>
    <t>Transmisor de presión inteligente Winters WinSMART Serie LY14, 0/1 psi, 4/20ma y salida de 2 cables HART, exactitud del 0,1%, carcasa de acero inoxidable 316, a prueba de explosiones según ATEX EX DB y SIL 3, conexión eléctrica M20x1,5 (f) de acero inoxidable, sello de acero inoxidable 316L soldado, conexión a proceso 316 de G1/2" (m).</t>
  </si>
  <si>
    <t>LY14HXD3P51G1R5G2W6LS</t>
  </si>
  <si>
    <t>Transmisor de presión inteligente Winters WinSMART Serie LY14, 0/5 psi, 4/20ma y salida de 2 cables HART, exactitud del 0,1%, carcasa de acero inoxidable 316, a prueba de explosiones según ATEX EX DB y SIL 3, conexión eléctrica M20x1,5 (f) de acero inoxidable, sello de acero inoxidable 316L soldado, conexión a proceso de G1/2" (m) 316.</t>
  </si>
  <si>
    <t>LY14HXD3P52G1R5G2W6LS</t>
  </si>
  <si>
    <t>Transmisor de presión inteligente Winters WinSMART Serie LY14, 0/30 psi, 4/20ma y salida de 2 cables HART, exactitud del 0,1%, carcasa de acero inoxidable 316, a prueba de explosiones según ATEX EX DB y SIL 3, conexión eléctrica M20x1,5 (f) de acero inoxidable, sello de acero inoxidable 316L soldado, conexión a proceso 316 de G1/2" (m).</t>
  </si>
  <si>
    <t>LY14HXD3P53G1R5G2W6LS</t>
  </si>
  <si>
    <t>Transmisor de presión inteligente Winters WinSMART Serie LY14, 0/100 psi, salida de 2 cables 4/20ma y HART, exactitud del 0,1%, carcasa de acero inoxidable 316, a prueba de explosiones según ATEX EX DB y SIL 3, conexión eléctrica M20x1,5 (f) de acero inoxidable, sello de acero inoxidable 316L soldado, conexión a proceso 316 de G1/2" (m).</t>
  </si>
  <si>
    <t>LY14HXD3P54G1R5G2W6LS</t>
  </si>
  <si>
    <t>Transmisor de presión inteligente Winters WinSMART Serie LY14, 0/300 psi, salida de 2 cables 4/20ma y HART, exactitud del 0,1%, carcasa de acero inoxidable 316, a prueba de explosiones según ATEX EX DB y SIL 3, conexión eléctrica M20x1,5 (f) de acero inoxidablee, sello de acero inoxidable 316L soldado, conexión a proceso de G1/2" (m) 316.</t>
  </si>
  <si>
    <t>LY14HXD3P55G1R5G2W6LS</t>
  </si>
  <si>
    <t>Transmisor de presión inteligente Winters WinSMART Serie LY14, 0/1.000 psi, salida de 2 cables 4/20ma y HART, exactitud del 0,1%, carcasa de acero inoxidable 316, a prueba de explosiones según ATEX EX DB y SIL 3, conexión eléctrica M20x1,5 (f) de acero inoxidable, sello de acero inoxidable 316L soldado, conexión a proceso 316 de G1/2" (m).</t>
  </si>
  <si>
    <t>LY14HXD3P56G1R5G2W6LS</t>
  </si>
  <si>
    <t>Transmisor de presión inteligente Winters WinSMART Serie LY14, 0/3.000 psi, salida de 2 cables 4/20ma y HART, exactitud del 0,1%, carcasa de acero inoxidable 316, a prueba de explosiones según ATEX EX DB y SIL 3, conexión eléctrica M20x1,5 (f) de acero inoxidable, sello de acero inoxidable 316L soldado, conexión a proceso 316 de G1/2" (m).</t>
  </si>
  <si>
    <t>LY14HIA3P50G1R2N2W6LS</t>
  </si>
  <si>
    <t>Transmisor de presión inteligente Winters WinSMART Serie LY14, 0/1 psi, 4/20 ma y salida de 2 cables HART, exactitud del 0,1 %, carcasa de acero inoxidable 316, intrínsecamente seguro según ATEX EX IA y SIL 3, conexión eléctrica ½” NPT (f) de acero inoxidable, sello de acero inoxidable 316L soldado, conexión a proceso de ½” NPT (m) 316.</t>
  </si>
  <si>
    <t>LY14HIA3P51G1R2N2W6LS</t>
  </si>
  <si>
    <t>Transmisor de presión inteligente Winters WinSMART Serie LY14, 0/5 psi, 4/20 ma y salida de 2 cables HART, exactitud del 0,1 %, carcasa de acero inoxidable 316, intrínsecamente seguro según ATEX EX IA y SIL 3, conexión eléctrica ½” NPT (f) de acero inoxidable, sello de acero inoxidable 316L soldado, conexión a proceso de ½” NPT (m) 316.</t>
  </si>
  <si>
    <t>LY14HIA3P52G1R2N2W6LS</t>
  </si>
  <si>
    <t>Transmisor de presión inteligente Winters WinSMART Serie LY14, 0/30 psi, 4/20 ma y salida de 2 cables HART, exactitud del 0,1 %, carcasa de acero inoxidable 316, intrínsecamente seguro según ATEX EX IA y SIL 3, conexión eléctrica ½” NPT (f) de acero inoxidable, sello de acero inoxidable 316L soldado, conexión a proceso 316 de ½” NPT (m).</t>
  </si>
  <si>
    <t>LY14HIA3P53G1R2N2W6LS</t>
  </si>
  <si>
    <t>Transmisor de presión inteligente Winters WinSMART Serie LY14, 0/100 psi, salida de 2 cables 4/20 ma y HART, exactitud del 0,1 %, carcasa de acero inoxidable 316, intrínsecamente seguro según ATEX EX IA y SIL 3, conexión eléctrica ½” NPT (f) de acero inoxidable, sello de acero inoxidable 316L soldado, conexión a proceso de ½” NPT (m) 316.</t>
  </si>
  <si>
    <t>LY14HIA3P54G1R2N2W6LS</t>
  </si>
  <si>
    <t>Transmisor de presión inteligente Winters WinSMART Serie LY14, 0/300 psi, salida de 2 cables 4/20 ma y HART, exactitud del 0,1 %, carcasa de acero inoxidable 316, intrínsecamente seguro según ATEX EX IA y SIL 3, conexión eléctrica ½” NPT (f) de acero inoxidable, sello de acero inoxidable 316L soldado, conexión a proceso de ½” NPT (m) 316.</t>
  </si>
  <si>
    <t>LY14HIA3P55G1R2N2W6LS</t>
  </si>
  <si>
    <t>Transmisor de presión inteligente Winters WinSMART Serie LY14, 0/1.000 psi, salida de 2 cables 4/20 ma y HART, exactitud del 0,1 %, carcasa de acero inoxidable 316, intrínsecamente seguro según ATEX EX IA y SIL 3, conexión eléctrica ½” NPT (f) de acero inoxidable, sello de acero inoxidable 316L soldado, conexión a proceso de ½” NPT (m) 316.</t>
  </si>
  <si>
    <t>LY14HIA3P56G1R2N2W6LS</t>
  </si>
  <si>
    <t>Transmisor de presión inteligente Winters WinSMART Serie LY14, 0/3.000 psi, salida de 2 cables 4/20 ma y HART, exactitud del 0,1 %, carcasa de acero inoxidable 316, intrínsecamente seguro según ATEX EX IA y SIL 3, conexión eléctrica ½” NPT (f) de acero inoxidable, sello de acero inoxidable 316L soldado, conexión a proceso de ½” NPT (m) 316.</t>
  </si>
  <si>
    <t>LY14HIA3P50G1R5G2W6LS</t>
  </si>
  <si>
    <t>Transmisor de presión inteligente Winters WinSMART Serie LY14, 0/1 psi, 4/20ma y salida de 2 cables HART, exactitud del 0,1%, carcasa de acero inoxidable 316, a prueba de explosiones según ATEX EX IA y SIL 3, conexión eléctrica M20x1,5 (f) de acero inoxidable, sello de acero inoxidable 316L soldado, conexión a proceso de G1/2" (m) 316.</t>
  </si>
  <si>
    <t>LY14HIA3P51G1R5G2W6LS</t>
  </si>
  <si>
    <t>Transmisor de presión inteligente Winters WinSMART Serie LY14, 0/5 psi, 4/20ma y salida de 2 cables HART, exactitud del 0,1%, carcasa de acero inoxidable 316, a prueba de explosiones según ATEX EX IA y SIL 3, conexión eléctrica M20x1,5 (f) de acero inoxidable, sello de acero inoxidable 316L soldado, conexión a proceso de G1/2" (m) 316.</t>
  </si>
  <si>
    <t>LY14HIA3P52G1R5G2W6LS</t>
  </si>
  <si>
    <t>Transmisor de presión inteligente Winters WinSMART Serie LY14, 0/30 psi, 4/20ma y salida de 2 cables HART, exactitud del 0,1%, carcasa de acero inoxidable 316, a prueba de explosiones según ATEX EX IA y SIL 3, M20x1,5 (f) conectores de entrada de cable de acero inoxidable, sello de acero inoxidable 316L soldado, conexión a proceso de G1/2" (m) 316.</t>
  </si>
  <si>
    <t>LY14HIA3P53G1R5G2W6LS</t>
  </si>
  <si>
    <t>Transmisor de presión inteligente Winters WinSMART Serie LY14, 0/100 psi, salida de 2 cables 4/20ma y HART, exactitud del 0,1%, carcasa de acero inoxidable 316, a prueba de explosiones según ATEX EX IA y SIL 3, conexión eléctrica M20x1,5 (f) de acero inoxidable, sello de acero inoxidable 316L soldado, conexión a proceso 316 de G1/2" (m).</t>
  </si>
  <si>
    <t>LY14HIA3P54G1R5G2W6LS</t>
  </si>
  <si>
    <t>Transmisor de presión inteligente Winters WinSMART Serie LY14, 0/300 psi, salida de 2 cables 4/20ma y HART, exactitud del 0,1%, carcasa de acero inoxidable 316, a prueba de explosiones según ATEX EX IA y SIL 3, conexión eléctrica M20x1,5 (f) de acero inoxidable, sello de acero inoxidable 316L soldado, conexión a proceso de G1/2" (m) 316.</t>
  </si>
  <si>
    <t>LY14HIA3P55G1R5G2W6LS</t>
  </si>
  <si>
    <t>Transmisor de presión inteligente Winters WinSMART Serie LY14, 0/1.000 psi, salida de 2 cables 4/20ma y HART, exactitud del 0,1%, carcasa de acero inoxidable 316, a prueba de explosiones según ATEX EX IA y SIL 3, conexión eléctrica M20x1,5 (f) de acero inoxidable, sello de acero inoxidable 316L soldado, conexión a proceso de G1/2" (m) 316.</t>
  </si>
  <si>
    <t>LY14HIA3P56G1R5G2W6LS</t>
  </si>
  <si>
    <t>Transmisor de presión inteligente Winters WinSMART Serie LY14, 0/3.000 psi, salida de 2 cables 4/20ma y HART, exactitud del 0,1%, carcasa de acero inoxidable 316, a prueba de explosiones según ATEX EX IA y SIL 3, conexión eléctrica M20x1,5 (f) de acero inoxidable, sello de acero inoxidable 316L soldado, conexión a proceso de G1/2" (m) 316.</t>
  </si>
  <si>
    <t>LY142M</t>
  </si>
  <si>
    <t>Soporte de montaje en tubería LY14 304SS</t>
  </si>
  <si>
    <t>WinSMART LY14 - NUMERO DE PARTE DE INGENIERIA</t>
  </si>
  <si>
    <t>4…20 Ma + HART / 2-wire</t>
  </si>
  <si>
    <t>CLASIFICACION DE AREA</t>
  </si>
  <si>
    <t>XD</t>
  </si>
  <si>
    <t>Hazardous location per ATEX Ex db</t>
  </si>
  <si>
    <t>IA</t>
  </si>
  <si>
    <t>Intrinsically Safe per ATEX Ex ia</t>
  </si>
  <si>
    <t>MATERIAL DE LA CARCASA</t>
  </si>
  <si>
    <t>Die-Cast Aluminum, Blue</t>
  </si>
  <si>
    <t>304 Stainless Steel</t>
  </si>
  <si>
    <t>316 Stainless Steel</t>
  </si>
  <si>
    <t>RANGOS</t>
  </si>
  <si>
    <t>P50</t>
  </si>
  <si>
    <t>0/1</t>
  </si>
  <si>
    <t>P51</t>
  </si>
  <si>
    <t>0/5</t>
  </si>
  <si>
    <t>P52</t>
  </si>
  <si>
    <t>0/30</t>
  </si>
  <si>
    <t>P53</t>
  </si>
  <si>
    <t>0/100</t>
  </si>
  <si>
    <t>P54</t>
  </si>
  <si>
    <t>0/300</t>
  </si>
  <si>
    <t>P55</t>
  </si>
  <si>
    <t>0/1,000</t>
  </si>
  <si>
    <t>P56</t>
  </si>
  <si>
    <t>0/3,000</t>
  </si>
  <si>
    <t>P##</t>
  </si>
  <si>
    <t>Other, specify range</t>
  </si>
  <si>
    <t xml:space="preserve">Gauge </t>
  </si>
  <si>
    <t>Absolute</t>
  </si>
  <si>
    <t xml:space="preserve">0.10 % </t>
  </si>
  <si>
    <t>R2</t>
  </si>
  <si>
    <t xml:space="preserve">1/2" NPT F </t>
  </si>
  <si>
    <t>R5</t>
  </si>
  <si>
    <t>M20*1.5 F</t>
  </si>
  <si>
    <t>N2</t>
  </si>
  <si>
    <t xml:space="preserve">1/2" NPT M </t>
  </si>
  <si>
    <t>F2</t>
  </si>
  <si>
    <t>1/2" NPT F</t>
  </si>
  <si>
    <t>N4</t>
  </si>
  <si>
    <t xml:space="preserve">1/4" NPT M </t>
  </si>
  <si>
    <t xml:space="preserve">G1/2" M </t>
  </si>
  <si>
    <t>M20*1.5</t>
  </si>
  <si>
    <t>Welded</t>
  </si>
  <si>
    <t>316 SS</t>
  </si>
  <si>
    <t>DIAFRAGMA</t>
  </si>
  <si>
    <t>L</t>
  </si>
  <si>
    <t xml:space="preserve">316L SS </t>
  </si>
  <si>
    <t>Hastelloy C</t>
  </si>
  <si>
    <t>T</t>
  </si>
  <si>
    <t>Tantalum</t>
  </si>
  <si>
    <t>LIQUIDO DE LLENADO</t>
  </si>
  <si>
    <t>S</t>
  </si>
  <si>
    <t xml:space="preserve">Silicone Oil </t>
  </si>
  <si>
    <t>F</t>
  </si>
  <si>
    <t>Fluorine Oil</t>
  </si>
  <si>
    <t>2M</t>
  </si>
  <si>
    <t>U-shaped 2" mounting bracket 304SS</t>
  </si>
  <si>
    <t>WD</t>
  </si>
  <si>
    <t>Without LCD display</t>
  </si>
  <si>
    <t>Special</t>
  </si>
  <si>
    <t>LY16P011X</t>
  </si>
  <si>
    <t>Transmisor de presión Winters Serie LY16 WinSMART, -1/0/1 psi, 4/20 mA, clase 0,2%, soldadura de Ac. Inox. 316L, conexión a proceso 1/2" NPT, Ac. Inox. 316, conexión eléctrica 1/2" NPT A prueba de llamas, display LCD.</t>
  </si>
  <si>
    <t>LY16P021X</t>
  </si>
  <si>
    <t>Transmisor de presión Winters Serie LY16 WinSMART, -3/0/3 psi, 4/20 mA, clase 0,2%, soldadura de Ac. Inox. 316L, conexión a proceso 1/2" NPT, Ac. Inox. 316, conexión eléctrica 1/2" NPT A prueba de llamas, display LCD.</t>
  </si>
  <si>
    <t>LY16P031X</t>
  </si>
  <si>
    <t>Transmisor de presión Winters Serie LY16 WinSMART, -5/0/5 psi, 4/20 mA, clase 0,2%, soldadura de Ac. Inox. 316L, conexión a proceso 1/2" NPT, Ac. Inox. 316, conexión eléctrica 1/2" NPT A prueba de llamas, display LCD.</t>
  </si>
  <si>
    <t>LY16P041X</t>
  </si>
  <si>
    <t>Transmisor de presión Winters Serie LY16 WinSMART, '-14,5/0/14,5 psi, 4/20 mA, clase 0,2%, soldadura de Ac. Inox. 316L, conexión a proceso 1/2" NPT, Ac. Inox. 316, conexión eléctrica 1/2" NPT A prueba de llamas, display LCD.</t>
  </si>
  <si>
    <t>LY16P051X</t>
  </si>
  <si>
    <t>Transmisor de presión Winters Serie LY16 WinSMART, -14,5/0/30 psi, 4/20 mA, clase 0,2%, soldadura de Ac. Inox. 316L, conexión a proceso 1/2" NPT, Ac. Inox. 316, conexión eléctrica 1/2" NPT A prueba de llamas, display LCD.</t>
  </si>
  <si>
    <t>LY16P061X</t>
  </si>
  <si>
    <t>Transmisor de presión Winters Serie LY16 WinSMART, -14,5/0/100 psi, 4/20 mA, clase 0,2%, soldadura de Ac. Inox. 316L, conexión a proceso 1/2" NPT, Ac. Inox. 316, conexión eléctrica 1/2" NPT A prueba de llamas, display LCD.</t>
  </si>
  <si>
    <t>LY16P071X</t>
  </si>
  <si>
    <t>Transmisor de presión Winters Serie LY16 WinSMART, -14,5/0/150 psi, 4/20 mA, clase 0,2%, soldadura de Ac. Inox. 316L, conexión a proceso 1/2" NPT, Ac. Inox. 316, conexión eléctrica 1/2" NPT A prueba de llamas, display LCD.</t>
  </si>
  <si>
    <t>LY16P081X</t>
  </si>
  <si>
    <t>Transmisor de presión Winters Serie LY16 WinSMART, -14,5/0/250 psi, 4/20 mA, clase 0,2%, soldadura de Ac. Inox. 316L, conexión a proceso 1/2" NPT, Ac. Inox. 316, conexión eléctrica 1/2" NPT A prueba de llamas, display LCD.</t>
  </si>
  <si>
    <t>LY16P091X</t>
  </si>
  <si>
    <t>Transmisor de presión Winters Serie LY16 WinSMART, -14,5/0/500 psi, 4/20 mA, clase 0,2%, soldadura de Ac. Inox. 316L, conexión a proceso 1/2" NPT, Ac. Inox. 316, conexión eléctrica 1/2" NPT A prueba de llamas, display LCD.</t>
  </si>
  <si>
    <t>LY16P101X</t>
  </si>
  <si>
    <t>Transmisor de presión Winters Serie LY16 WinSMART, -14,5/0/1,000 psi, 4/20 mA, clase 0,2%, soldadura de Ac. Inox. 316L, conexión a proceso 1/2" NPT, Ac. Inox. 316, conexión eléctrica 1/2" NPT A prueba de llamas, display LCD.</t>
  </si>
  <si>
    <t>LY16P111X</t>
  </si>
  <si>
    <t>Transmisor de presión Winters Serie LY16 WinSMART, -14,5/0/2,500 psi, 4/20 mA, clase 0,2%, soldadura de Ac. Inox. 316L, conexión a proceso 1/2" NPT, Ac. Inox. 316, conexión eléctrica 1/2" NPT A prueba de llamas, display LCD.</t>
  </si>
  <si>
    <t>LY16P121X</t>
  </si>
  <si>
    <t>Transmisor de presión Winters Serie LY16 WinSMART, -14,5/0/5,000 psi, 4/20 mA, clase 0,2%, soldadura de Ac. Inox. 316L, conexión a proceso 1/2" NPT, Ac. Inox. 316, conexión eléctrica 1/2" NPT A prueba de llamas, display LCD.</t>
  </si>
  <si>
    <t>LY16P131X</t>
  </si>
  <si>
    <t>Transmisor de presión Winters Serie LY16 WinSMART, -14,5/0/6,000 psi, 4/20 mA, clase 0,2%, soldadura de Ac. Inox. 316L, conexión a proceso 1/2" NPT, Ac. Inox. 316, conexión eléctrica 1/2" NPT A prueba de llamas, display LCD.</t>
  </si>
  <si>
    <t>LY16P141X</t>
  </si>
  <si>
    <t>Transmisor de presión Winters Serie LY16 WinSMART, -14,5/0/8,700 psi, 4/20 mA, clase 0,2%, soldadura de Ac. Inox. 316L, conexión a proceso 1/2" NPT, Ac. Inox. 316, conexión eléctrica 1/2" NPT A prueba de llamas, display LCD.</t>
  </si>
  <si>
    <t>LY16P151X</t>
  </si>
  <si>
    <t>Transmisor de presión Winters Serie LY16 WinSMART, -14,5/0/10,000 psi, 4/20 mA, clase 0,2%, soldadura de Ac. Inox. 316L, conexión a proceso 1/2" NPT, Ac. Inox. 316, conexión eléctrica 1/2" NPT A prueba de llamas, display LCD.</t>
  </si>
  <si>
    <t>LY16P161X</t>
  </si>
  <si>
    <t>Transmisor de presión Winters Serie LY16 WinSMART, -14,5/0/14,500 psi, 4/20 mA, clase 0,2%, soldadura de Ac. Inox. 316L, conexión a proceso 1/2" NPT, Ac. Inox. 316, conexión eléctrica 1/2" NPT A prueba de llamas, display LCD.</t>
  </si>
  <si>
    <t>LY16P01HX</t>
  </si>
  <si>
    <t>Transmisor de presión Winters Serie LY16 WinSMART, -1/0/1 psi, 4/20 mA+HART, clase 0,2%, soldadura de Ac. Inox. 316L, conexión a proceso 1/2" NPT, Ac. Inox. 316, conexión eléctrica 1/2" NPT A prueba de llamas, display LCD.</t>
  </si>
  <si>
    <t>LY16P02HX</t>
  </si>
  <si>
    <t>Transmisor de presión Winters Serie LY16 WinSMART, -3/0/3 psi, 4/20 mA+HART, clase 0,2%, soldadura de Ac. Inox. 316L, conexión a proceso 1/2" NPT, Ac. Inox. 316, conexión eléctrica 1/2" NPT A prueba de llamas, display LCD.</t>
  </si>
  <si>
    <t>LY16P03HX</t>
  </si>
  <si>
    <t>Transmisor de presión Winters Serie LY16 WinSMART, -5/0/5 psi, 4/20 mA+HART, clase 0,2%, soldadura de Ac. Inox. 316L, conexión a proceso 1/2" NPT, Ac. Inox. 316, conexión eléctrica 1/2" NPT A prueba de llamas, display LCD.</t>
  </si>
  <si>
    <t>LY16P04HX</t>
  </si>
  <si>
    <t>Transmisor de presión Winters Serie LY16 WinSMART, '-14,5/0/14,5 psi, 4/20 mA+HART, clase 0,2%, soldadura de Ac. Inox. 316L, conexión a proceso 1/2" NPT, Ac. Inox. 316, conexión eléctrica 1/2" NPT A prueba de llamas, display LCD.</t>
  </si>
  <si>
    <t>LY16P05HX</t>
  </si>
  <si>
    <t>Transmisor de presión Winters Serie LY16 WinSMART, -14,5/0/30 psi &amp; 0/2 bar, 4/20 mA+HART, clase 0,2%, soldadura de Ac. Inox. 316L, conexión a proceso 1/2" NPT, Ac. Inox. 316, conexión eléctrica 1/2" NPT A prueba de llamas, display LCD.</t>
  </si>
  <si>
    <t>LY16P06HX</t>
  </si>
  <si>
    <t>Transmisor de presión Winters Serie LY16 WinSMART, -14,5/0/100 psi &amp; 0/7 bar, 4/20 mA+HART, clase 0,2%, soldadura de Ac. Inox. 316L, conexión a proceso 1/2" NPT, Ac. Inox. 316, conexión eléctrica 1/2" NPT A prueba de llamas, display LCD.</t>
  </si>
  <si>
    <t>LY16P07HX</t>
  </si>
  <si>
    <t>Transmisor de presión Winters Serie LY16 WinSMART, -14,5/0/150 psi, 4/20 mA+HART, clase 0,2%, soldadura de Ac. Inox. 316L, conexión a proceso 1/2" NPT, Ac. Inox. 316, conexión eléctrica 1/2" NPT A prueba de llamas, display LCD.</t>
  </si>
  <si>
    <t>LY16P08HX</t>
  </si>
  <si>
    <t>Transmisor de presión Winters Serie LY16 WinSMART, -14,5/0/250 psi, 4/20 mA+HART, clase 0,2%, soldadura de Ac. Inox. 316L, conexión a proceso 1/2" NPT, Ac. Inox. 316, conexión eléctrica 1/2" NPT A prueba de llamas, display LCD.</t>
  </si>
  <si>
    <t>LY16P09HX</t>
  </si>
  <si>
    <t>Transmisor de presión Winters Serie LY16 WinSMART, -14,5/0/500 psi, 4/20 mA+HART, clase 0,2%, soldadura de Ac. Inox. 316L, conexión a proceso 1/2" NPT, Ac. Inox. 316, conexión eléctrica 1/2" NPT A prueba de llamas, display LCD.</t>
  </si>
  <si>
    <t>LY16P10HX</t>
  </si>
  <si>
    <t>Transmisor de presión Winters Serie LY16 WinSMART, -14,5/0/1,000 psi, 4/20 mA+HART, clase 0,2%, soldadura de Ac. Inox. 316L, conexión a proceso 1/2" NPT, Ac. Inox. 316, conexión eléctrica 1/2" NPT A prueba de llamas, display LCD.</t>
  </si>
  <si>
    <t>LY16P11HX</t>
  </si>
  <si>
    <t>Transmisor de presión Winters Serie LY16 WinSMART, -14,5/0/2,500 psi, 4/20 mA+HART, clase 0,2%, soldadura de Ac. Inox. 316L, conexión a proceso 1/2" NPT, Ac. Inox. 316, conexión eléctrica 1/2" NPT A prueba de llamas, display LCD.</t>
  </si>
  <si>
    <t>LY16P12HX</t>
  </si>
  <si>
    <t>Transmisor de presión Winters Serie LY16 WinSMART, -14,5/0/5,000 psi, 4/20 mA+HART, clase 0,2%, soldadura de Ac. Inox. 316L, conexión a proceso 1/2" NPT, Ac. Inox. 316, conexión eléctrica 1/2" NPT A prueba de llamas, display LCD.</t>
  </si>
  <si>
    <t>LY16P13HX</t>
  </si>
  <si>
    <t>Transmisor de presión Winters Serie LY16 WinSMART, -14,5/0/6,000 psi, 4/20 mA+HART, clase 0,2%, soldadura de Ac. Inox. 316L, conexión a proceso 1/2" NPT, Ac. Inox. 316, conexión eléctrica 1/2" NPT A prueba de llamas, display LCD.</t>
  </si>
  <si>
    <t>LY16P14HX</t>
  </si>
  <si>
    <t>Transmisor de presión Winters Serie LY16 WinSMART, -14,5/0/8,700 psi, 4/20 mA+HART, clase 0,2%, soldadura de Ac. Inox. 316L, conexión a proceso 1/2" NPT, Ac. Inox. 316, conexión eléctrica 1/2" NPT A prueba de llamas, display LCD.</t>
  </si>
  <si>
    <t>LY16P15HX</t>
  </si>
  <si>
    <t>Transmisor de presión Winters Serie LY16 WinSMART, -14,5/0/10,000 psi, 4/20 mA+HART, clase 0,2%, soldadura de Ac. Inox. 316L, conexión a proceso 1/2" NPT, Ac. Inox. 316, conexión eléctrica 1/2" NPT A prueba de llamas, display LCD.</t>
  </si>
  <si>
    <t>LY16P16HX</t>
  </si>
  <si>
    <t>Transmisor de presión Winters Serie LY16 WinSMART, -14,5/0/14,500 psi, 4/20 mA+HART, clase 0,2%, soldadura de Ac. Inox. 316L, conexión a proceso 1/2" NPT, Ac. Inox. 316, conexión eléctrica 1/2" NPT A prueba de llamas, display LCD.</t>
  </si>
  <si>
    <t>LY16P012X</t>
  </si>
  <si>
    <t>Transmisor de presión Winters Serie LY16 WinSMART, -1/0/1 psi, 1/5 VDC, clase 0,2%, soldadura de Ac. Inox. 316L, conexión a proceso 1/2" NPT, Ac. Inox. 316, conexión eléctrica 1/2" NPT A prueba de llamas, display LCD.</t>
  </si>
  <si>
    <t>LY16P022X</t>
  </si>
  <si>
    <t>Transmisor de presión Winters Serie LY16 WinSMART, -3/0/3 psi, 1/5 VDC, clase 0,2%, soldadura de Ac. Inox. 316L, conexión a proceso 1/2" NPT, Ac. Inox. 316, conexión eléctrica 1/2" NPT A prueba de llamas, display LCD.</t>
  </si>
  <si>
    <t>LY16P032X</t>
  </si>
  <si>
    <t>Transmisor de presión Winters Serie LY16 WinSMART, -5/0/5 psi, 1/5 VDC, clase 0,2%, soldadura de Ac. Inox. 316L, conexión a proceso 1/2" NPT, Ac. Inox. 316, conexión eléctrica 1/2" NPT A prueba de llamas, display LCD.</t>
  </si>
  <si>
    <t>LY16P042X</t>
  </si>
  <si>
    <t>Transmisor de presión Winters Serie LY16 WinSMART, '-14,5/0/14,5 psi, 1/5 VDC, clase 0,2%, soldadura de Ac. Inox. 316L, conexión a proceso 1/2" NPT, Ac. Inox. 316, conexión eléctrica 1/2" NPT A prueba de llamas, display LCD.</t>
  </si>
  <si>
    <t>LY16P052X</t>
  </si>
  <si>
    <t>Transmisor de presión Winters Serie LY16 WinSMART, -14,5/0/30 psi, 1/5 VDC, clase 0,2%, soldadura de Ac. Inox. 316L, conexión a proceso 1/2" NPT, Ac. Inox. 316, conexión eléctrica 1/2" NPT A prueba de llamas, display LCD.</t>
  </si>
  <si>
    <t>LY16P062X</t>
  </si>
  <si>
    <t>Transmisor de presión Winters Serie LY16 WinSMART, -14,5/0/100 psi, 1/5 VDC, clase 0,2%, soldadura de Ac. Inox. 316L, conexión a proceso 1/2" NPT, Ac. Inox. 316, conexión eléctrica 1/2" NPT A prueba de llamas, display LCD.</t>
  </si>
  <si>
    <t>LY16P072X</t>
  </si>
  <si>
    <t>Transmisor de presión Winters Serie LY16 WinSMART, -14,5/0/150 psi, 1/5 VDC, clase 0,2%, soldadura de Ac. Inox. 316L, conexión a proceso 1/2" NPT, Ac. Inox. 316, conexión eléctrica 1/2" NPT A prueba de llamas, display LCD.</t>
  </si>
  <si>
    <t>LY16P082X</t>
  </si>
  <si>
    <t>Transmisor de presión Winters Serie LY16 WinSMART, -14,5/0/250 psi, 1/5 VDC, clase 0,2%, soldadura de Ac. Inox. 316L, conexión a proceso 1/2" NPT, Ac. Inox. 316, conexión eléctrica 1/2" NPT A prueba de llamas, display LCD.</t>
  </si>
  <si>
    <t>LY16P092X</t>
  </si>
  <si>
    <t>Transmisor de presión Winters Serie LY16 WinSMART, -14,5/0/500 psi, 1/5 VDC, clase 0,2%, soldadura de Ac. Inox. 316L, conexión a proceso 1/2" NPT, Ac. Inox. 316, conexión eléctrica 1/2" NPT A prueba de llamas, display LCD.</t>
  </si>
  <si>
    <t>LY16P102X</t>
  </si>
  <si>
    <t>Transmisor de presión Winters Serie LY16 WinSMART, -14,5/0/1.000 psi, 1/5 VDC, clase 0,2%, soldadura de Ac. Inox. 316L, conexión a proceso 1/2" NPT, Ac. Inox. 316, conexión eléctrica 1/2" NPT A prueba de llamas, display LCD.</t>
  </si>
  <si>
    <t>LY16P112X</t>
  </si>
  <si>
    <t>Transmisor de presión Winters Serie LY16 WinSMART, -14,5/0/2.500 psi, 1/5 VDC, clase 0,2%, soldadura de Ac. Inox. 316L, conexión a proceso 1/2" NPT, Ac. Inox. 316, conexión eléctrica 1/2" NPT A prueba de llamas, display LCD.</t>
  </si>
  <si>
    <t>LY16P122X</t>
  </si>
  <si>
    <t>Transmisor de presión Winters Serie LY16 WinSMART, -14,5/0/5.000 psi, 1/5 VDC, clase 0,2%, soldadura de Ac. Inox. 316L, conexión a proceso 1/2" NPT, Ac. Inox. 316, conexión eléctrica 1/2" NPT A prueba de llamas, display LCD.</t>
  </si>
  <si>
    <t>LY16P132X</t>
  </si>
  <si>
    <t>Transmisor de presión Winters Serie LY16 WinSMART, -14,5/0/6.000 psi, 1/5 VDC, clase 0,2%, soldadura de Ac. Inox. 316L, conexión a proceso 1/2" NPT, Ac. Inox. 316, conexión eléctrica 1/2" NPT A prueba de llamas, display LCD.</t>
  </si>
  <si>
    <t>LY16P142X</t>
  </si>
  <si>
    <t>Transmisor de presión Winters Serie LY16 WinSMART, -14,5/0/8.700 psi, 1/5 VDC, clase 0,2%, soldadura de Ac. Inox. 316L, conexión a proceso 1/2" NPT, Ac. Inox. 316, conexión eléctrica 1/2" NPT A prueba de llamas, display LCD.</t>
  </si>
  <si>
    <t>LY16P152X</t>
  </si>
  <si>
    <t>Transmisor de presión Winters Serie LY16 WinSMART, -14,5/0/10.000 psi, 1/5 VDC, clase 0,2%, soldadura de Ac. Inox. 316L, conexión a proceso 1/2" NPT, Ac. Inox. 316, conexión eléctrica 1/2" NPT A prueba de llamas, display LCD.</t>
  </si>
  <si>
    <t>LY16P162X</t>
  </si>
  <si>
    <t>Transmisor de presión Winters Serie LY16 WinSMART, -14,5/0/14.500 psi, 1/5 VDC, clase 0,2%, soldadura de Ac. Inox. 316L, conexión a proceso 1/2" NPT, Ac. Inox. 316, conexión eléctrica 1/2" NPT A prueba de llamas, display LCD.</t>
  </si>
  <si>
    <t>LY16P01RX</t>
  </si>
  <si>
    <t>Transmisor de presión Winters Serie LY16 WinSMART, -1/0/1 psi, MODBUS RS485, clase 0,2%, soldadura de Ac. Inox. 316L, conexión a proceso 1/2" NPT, Ac. Inox. 316, conexión eléctrica 1/2" NPT A prueba de llamas, display LCD.</t>
  </si>
  <si>
    <t>LY16P02RX</t>
  </si>
  <si>
    <t>Transmisor de presión Winters Serie LY16 WinSMART, -3/0/3 psi, MODBUS RS485, clase 0,2%, soldadura de Ac. Inox. 316L, conexión a proceso 1/2" NPT, Ac. Inox. 316, conexión eléctrica 1/2" NPT A prueba de llamas, display LCD.</t>
  </si>
  <si>
    <t>LY16P03RX</t>
  </si>
  <si>
    <t>Transmisor de presión Winters Serie LY16 WinSMART, -5/0/5 psi, MODBUS RS485, clase 0,2%, soldadura de Ac. Inox. 316L, conexión a proceso 1/2" NPT, Ac. Inox. 316, conexión eléctrica 1/2" NPT A prueba de llamas, display LCD.</t>
  </si>
  <si>
    <t>LY16P04RX</t>
  </si>
  <si>
    <t>Transmisor de presión Winters Serie LY16 WinSMART, '-14,5/0/14,5 psi, MODBUS RS485, clase 0,2%, soldadura de Ac. Inox. 316L, conexión a proceso 1/2" NPT, Ac. Inox. 316, conexión eléctrica 1/2" NPT A prueba de llamas, display LCD.</t>
  </si>
  <si>
    <t>LY16P05RX</t>
  </si>
  <si>
    <t>Transmisor de presión Winters Serie LY16 WinSMART, -14,5/0/30 psi, MODBUS RS485, clase 0,2%, soldadura de Ac. Inox. 316L, conexión a proceso 1/2" NPT, Ac. Inox. 316, conexión eléctrica 1/2" NPT A prueba de llamas, display LCD.</t>
  </si>
  <si>
    <t>LY16P06RX</t>
  </si>
  <si>
    <t>Transmisor de presión Winters Serie LY16 WinSMART, -14,5/0/100 psi, MODBUS RS485, clase 0,2%, soldadura de Ac. Inox. 316L, conexión a proceso 1/2" NPT, Ac. Inox. 316, conexión eléctrica 1/2" NPT A prueba de llamas, display LCD.</t>
  </si>
  <si>
    <t>LY16P07RX</t>
  </si>
  <si>
    <t>Transmisor de presión Winters Serie LY16 WinSMART, -14,5/0/150 psi, MODBUS RS485, clase 0,2%, soldadura de Ac. Inox. 316L, conexión a proceso 1/2" NPT, Ac. Inox. 316, conexión eléctrica 1/2" NPT A prueba de llamas, display LCD.</t>
  </si>
  <si>
    <t>LY16P08RX</t>
  </si>
  <si>
    <t>Transmisor de presión Winters Serie LY16 WinSMART, -14,5/0/250 psi, MODBUS RS485, clase 0,2%, soldadura de Ac. Inox. 316L, conexión a proceso 1/2" NPT, Ac. Inox. 316, conexión eléctrica 1/2" NPT A prueba de llamas, display LCD.</t>
  </si>
  <si>
    <t>LY16P09RX</t>
  </si>
  <si>
    <t>Transmisor de presión Winters Serie LY16 WinSMART, -14,5/0/500 psi, MODBUS RS485, clase 0,2%, soldadura de Ac. Inox. 316L, conexión a proceso 1/2" NPT, Ac. Inox. 316, conexión eléctrica 1/2" NPT A prueba de llamas, display LCD.</t>
  </si>
  <si>
    <t>LY16P10RX</t>
  </si>
  <si>
    <t>Transmisor de presión Winters Serie LY16 WinSMART, -14,5/0/1.000 psi, MODBUS RS485, clase 0,2%, soldadura de Ac. Inox. 316L, conexión a proceso 1/2" NPT, Ac. Inox. 316, conexión eléctrica 1/2" NPT A prueba de llamas, display LCD.</t>
  </si>
  <si>
    <t>LY16P11RX</t>
  </si>
  <si>
    <t>Transmisor de presión Winters Serie LY16 WinSMART, -14,5/0/2.500 psi, MODBUS RS485, clase 0,2%, soldadura de Ac. Inox. 316L, conexión a proceso 1/2" NPT, Ac. Inox. 316, conexión eléctrica 1/2" NPT A prueba de llamas, display LCD.</t>
  </si>
  <si>
    <t>LY16P12RX</t>
  </si>
  <si>
    <t>Transmisor de presión Winters Serie LY16 WinSMART, -14,5/0/5.000 psi, MODBUS RS485, clase 0,2%, soldadura de Ac. Inox. 316L, conexión a proceso 1/2" NPT, Ac. Inox. 316, conexión eléctrica 1/2" NPT A prueba de llamas, display LCD.</t>
  </si>
  <si>
    <t>LY16P13RX</t>
  </si>
  <si>
    <t>Transmisor de presión Winters Serie LY16 WinSMART, -14,5/0/6.000 psi, MODBUS RS485, clase 0,2%, soldadura de Ac. Inox. 316L, conexión a proceso 1/2" NPT, Ac. Inox. 316, conexión eléctrica 1/2" NPT A prueba de llamas, display LCD.</t>
  </si>
  <si>
    <t>LY16P14RX</t>
  </si>
  <si>
    <t>Transmisor de presión Winters Serie LY16 WinSMART, -14,5/0/8.700 psi, MODBUS RS485, clase 0,2%, soldadura de Ac. Inox. 316L, conexión a proceso 1/2" NPT, Ac. Inox. 316, conexión eléctrica 1/2" NPT A prueba de llamas, display LCD.</t>
  </si>
  <si>
    <t>LY16P15RX</t>
  </si>
  <si>
    <t>Transmisor de presión Winters Serie LY16 WinSMART, -14,5/0/10.000 psi, MODBUS RS485, clase 0,2%, soldadura de Ac. Inox. 316L, conexión a proceso 1/2" NPT, Ac. Inox. 316, conexión eléctrica 1/2" NPT A prueba de llamas, display LCD.</t>
  </si>
  <si>
    <t>LY16P16RX</t>
  </si>
  <si>
    <t>Transmisor de presión Winters Serie LY16 WinSMART, -14,5/0/14.500 psi, MODBUS RS485, clase 0,2%, soldadura de Ac. Inox. 316L, conexión a proceso 1/2" NPT, Ac. Inox. 316, conexión eléctrica 1/2" NPT A prueba de llamas, display LCD.</t>
  </si>
  <si>
    <t>LY162M</t>
  </si>
  <si>
    <t>SOPORTE DE MONTAJE DE TUBERÍA para Winters Serie LY16</t>
  </si>
  <si>
    <t>WinSMART LY16 - NUMERO DE PARTE DE INGENIERIA</t>
  </si>
  <si>
    <t xml:space="preserve">4…20 mA / 2-hilos </t>
  </si>
  <si>
    <t>4…20 mA / 2-hilos + HART</t>
  </si>
  <si>
    <t>1…5 V, 3-hilos</t>
  </si>
  <si>
    <t>Modbus, 2-hilos</t>
  </si>
  <si>
    <t>Sin clasificación de area</t>
  </si>
  <si>
    <t>X</t>
  </si>
  <si>
    <t>Areas peligrosas por CSA (estándar)</t>
  </si>
  <si>
    <t>I</t>
  </si>
  <si>
    <t>Intrínsecamente seguro por Intertek</t>
  </si>
  <si>
    <t>P01</t>
  </si>
  <si>
    <t>-1/0/1, span de calibración más pequeño 0,7</t>
  </si>
  <si>
    <t>P02</t>
  </si>
  <si>
    <t>-3/0/3, span de calibración más pequeño 1,5</t>
  </si>
  <si>
    <t>P03</t>
  </si>
  <si>
    <t>-5/0/5, span de calibración más pequeño 3,0</t>
  </si>
  <si>
    <t>P04</t>
  </si>
  <si>
    <t>-14,5/0/14,5, span de calibración más pequeño 5,1</t>
  </si>
  <si>
    <t>P05</t>
  </si>
  <si>
    <t>-14,5/0/30, span de calibración más pequeño 14,5</t>
  </si>
  <si>
    <t>P06</t>
  </si>
  <si>
    <t>-14,5/0/100, span de calibración más pequeño 29,0</t>
  </si>
  <si>
    <t>P07</t>
  </si>
  <si>
    <t>-14,5/0/145, span de calibración más pequeño 72,5</t>
  </si>
  <si>
    <t>P08</t>
  </si>
  <si>
    <t>-14,5/0/246, span de calibración más pequeño 145</t>
  </si>
  <si>
    <t>P09</t>
  </si>
  <si>
    <t>-14,5/0/507, span de calibración más pequeño 247</t>
  </si>
  <si>
    <t>P10</t>
  </si>
  <si>
    <t>-14,5/0/1.015, span de calibración más pequeño 508</t>
  </si>
  <si>
    <t>P11</t>
  </si>
  <si>
    <t>-14,5/0/2.465, span de calibración más pequeño 1.015</t>
  </si>
  <si>
    <t>P12</t>
  </si>
  <si>
    <t>-14,5/0/5.076, span de calibración más pequeño 2.466</t>
  </si>
  <si>
    <t>P13</t>
  </si>
  <si>
    <t>-14,5/0/5.801, span de calibración más pequeño 2.901</t>
  </si>
  <si>
    <t>P14</t>
  </si>
  <si>
    <t>-14,5/0/8.702, span de calibración más pequeño 4.351</t>
  </si>
  <si>
    <t>P15</t>
  </si>
  <si>
    <t>-14,5/0/10.153, span de calibración más pequeño 5.076</t>
  </si>
  <si>
    <t>P16</t>
  </si>
  <si>
    <t>-14,5/0/14.503, span de calibración más pequeño 7.252</t>
  </si>
  <si>
    <t>Relativa (estándar)</t>
  </si>
  <si>
    <t>Absoluta (solo &lt;1.450 psi )</t>
  </si>
  <si>
    <t>0,2%(estandar)</t>
  </si>
  <si>
    <t>0,5%</t>
  </si>
  <si>
    <t>0,1% (hasta 6.000 psi)</t>
  </si>
  <si>
    <t>0,075% (hasta 6.000 psi)</t>
  </si>
  <si>
    <t>0,05% (hasta 1.450 psi)</t>
  </si>
  <si>
    <t>C1</t>
  </si>
  <si>
    <t xml:space="preserve">A prueba de agua M20x1,5 H, PVC, IP67  </t>
  </si>
  <si>
    <t>C2</t>
  </si>
  <si>
    <t>A prueba de llamas 1/2" NPT H, AC. INOX., IP67  (estandar)</t>
  </si>
  <si>
    <t>C3</t>
  </si>
  <si>
    <t xml:space="preserve">A prueba de llamas M20x1,5 H, AC. INOX., IP67  </t>
  </si>
  <si>
    <t>1/4" NPT M</t>
  </si>
  <si>
    <t>1/2" NPT M</t>
  </si>
  <si>
    <t>F4</t>
  </si>
  <si>
    <t>1/4" NPT H</t>
  </si>
  <si>
    <t>1/2" NPT H</t>
  </si>
  <si>
    <t>A9</t>
  </si>
  <si>
    <t>9/16" Autoclave F</t>
  </si>
  <si>
    <t>G4</t>
  </si>
  <si>
    <t>G1/4" M (includes M20x1,5 F cable entry)</t>
  </si>
  <si>
    <t>G1/2" M (includes M20x1,5 F cable entry)</t>
  </si>
  <si>
    <t>SELLADO</t>
  </si>
  <si>
    <t>Soldado</t>
  </si>
  <si>
    <t>FKM O-Ring (estandar)</t>
  </si>
  <si>
    <t>MATERIAL DEL PUERTO DE PRESION</t>
  </si>
  <si>
    <t>304 SS (estandar)</t>
  </si>
  <si>
    <t>Soporte de montaje forma de U de 2"</t>
  </si>
  <si>
    <t>Sin display LCD</t>
  </si>
  <si>
    <t>ZZ</t>
  </si>
  <si>
    <t>Especial</t>
  </si>
  <si>
    <t>LY34H1XD3D50D1R2F1B6LSC</t>
  </si>
  <si>
    <t>Transmisor de presión diferencial Winters WinSMART Serie LY34, 0/0,2 psi, salida de 2 cables 4/20ma y HART, exactitud del 0,1%, carcasa de acero 316, a prueba de explosiones según ATEX EX DB y SIL 3, conexión eléctrica ½”NPT (h), conexión a proceso 2 x 1/4” NPT (h) de acero inoxidable 316, sello de acero inoxidable 316L con juntas tóricas buna-n, orificios de drenaje con tornillos 316ss opuestos a las conexiones de proceso.</t>
  </si>
  <si>
    <t>LY34H1XD3D51D1R2F1B6LSC</t>
  </si>
  <si>
    <t>Transmisor de presión diferencial Winters WinSMART Serie LY34, 0/1 psi, salida de 2 cables 4/20ma y HART, exactitud del 0,1%, carcasa de acero inoxidable 316, a prueba de explosiones según ATEX EX DB y SIL 3, conexión eléctrica ½”NPT (h), conexión a proceso 2 x 1/4” NPT (h) de acero inoxidable 316, sello de acero inoxidable 316L con juntas tóricas de buna-n, orificios de drenaje con tornillos de acero inoxidable 316 opuestos a las conexiones del proceso.</t>
  </si>
  <si>
    <t>LY34H1XD3D52D1R2F1B6LSC</t>
  </si>
  <si>
    <t>Transmisor de presión diferencial Winters WinSMART Serie LY34, 0/5 psi, 4/20ma y salida de 2 cables HART, exactitud del 0,1%, carcasa de acero inoxidable 316, a prueba de explosiones según ATEX EX DB y SIL 3, conexión eléctrica ½”NPT (h), conexión a proceso 2 x 1/4” NPT (h) de acero inoxidable 316, sello de acero inoxidable 316L con juntas tóricas de buna-n, orificios de drenaje con tornillos de acero inoxidable 316 opuestos a las conexiones del proceso.</t>
  </si>
  <si>
    <t>LY34H1XD3D53D1R2F1B6LSC</t>
  </si>
  <si>
    <t>Transmisor de presión diferencial Winters WinSMART Serie LY34, 0/30 psi, salida de 2 cables 4/20 ma y HART, exactitud del 0,1 %, carcasa de acero inoxidable 316, a prueba de explosiones según ATEX EX DB y SIL 3, conexión eléctrica ½”NPT (h), conexión a proceso 2 x 1/4” NPT (h) de acero inoxidable 316, sello de acero inoxidable 316L con juntas tóricas de buna-n, orificios de drenaje con tornillos de acero inoxidable 316 opuestos a las conexiones del proceso.</t>
  </si>
  <si>
    <t>LY34H1XD3D54D1R2F1B6LSC</t>
  </si>
  <si>
    <t>Transmisor de presión diferencial Winters WinSMART Serie LY34, 0/100 psi, salida de 2 cables 4/20 ma y HART, exactitud del 0,1 %, carcasa de acero inoxidable 316, a prueba de explosiones según ATEX EX DB y SIL 3, conexión eléctrica ½”NPT (h), conexión a proceso 2 x 1/4” NPT (h) de acero inoxidable 316, sello de acero inoxidable 316L con juntas tóricas de buna-n, orificios de drenaje con tornillos de acero inoxidable 316 opuestos a las conexiones del proceso.</t>
  </si>
  <si>
    <t>LY34H1XD3D55D1R2F1B6LS</t>
  </si>
  <si>
    <t>Transmisor de presión diferencial Winters WinSMART Serie LY34, 0/300 psi, salida de 2 cables 4/20ma y HART, exactitud del 0,1%, carcasa de acero inoxidable 316, a prueba de explosiones según ATEX EX DB y SIL 3, conexión eléctrica ½”NPT (h), conexión a proceso 2 x 1/4” NPT (h) de acero inoxidable 316, sello de acero inoxidable 316L con juntas tóricas de buna-n, orificios de drenaje con tornillos de acero inoxidable 316 opuestos a las conexiones del proceso.</t>
  </si>
  <si>
    <t>LY34H1XD3D56D1R2F1B6LSC</t>
  </si>
  <si>
    <t>Transmisor de presión diferencial Winters WinSMART Serie LY34, 0/1.000 psi, salida de 2 cables 4/20 ma y HART, exactitud del 0,1 %, carcasa de acero inoxidable 316, a prueba de explosiones según ATEX EX DB y SIL 3, conexión eléctrica ½”NPT (h), conexión a proceso 2 x 1/4” NPT (h) de acero inoxidable 316, sello de acero inoxidable 316L con juntas tóricas de buna-n, orificios de drenaje con tornillos de acero inoxidable 316 opuestos a las conexiones del proceso.</t>
  </si>
  <si>
    <t>LY34H1XD3D50D1R5F1B6LSC</t>
  </si>
  <si>
    <t>Transmisor de presión diferencial Winters WinSMART Serie LY34, 0/0,2 psi, salida de 2 cables 4/20ma y HART, exactitud del 0,1%, carcasa de acero inoxidable 316, a prueba de explosiones según ATEX EX DB y SIL 3, conectores de entrada de cables de acero inoxidable M20x1,5 (h), 2 conexiones de proceso 316 de 1/4” NPT (h), sello de acero inoxidable 316L con juntas tóricas buna-n, orificios de drenaje con tornillos de acero inoxidable 316 opuestos a las conexiones del proceso.</t>
  </si>
  <si>
    <t>LY34H1XD3D51D1R5F1B6LSC</t>
  </si>
  <si>
    <t>Transmisor de presión diferencial Winters WinSMART Serie LY34, 0/1 psi, salida de 2 cables 4/20ma y HART, exactitud del 0,1%, carcasa de acero inoxidable 316, a prueba de explosiones según ATEX EX DB y SIL 3, conectores de entrada de cables de acero inoxidable M20x1,5 (h), 2 conexiones de proceso 316 de 1/4” NPT (h), sello de acero inoxidable 316L con juntas tóricas buna-n, orificios de drenaje con tornillos de acero inoxidable 316 opuestos a las conexiones del proceso.</t>
  </si>
  <si>
    <t>LY34H1XD3D52D1R5F1B6LSC</t>
  </si>
  <si>
    <t>Transmisor de presión diferencial Winters WinSMART Serie LY34, 0/5 psi, 4/20ma y salida de 2 cables HART, exactitud del 0,1%, carcasa de acero inoxidable 316, a prueba de explosiones según ATEX EX DB y SIL 3, conectores de entrada de cables de acero inoxidable M20x1,5 (h), 2 conexiones de proceso 316 de 1/4” NPT (h), sello de acero inoxidable 316L con juntas tóricas buna-n, orificios de drenaje con tornillos de acero inoxidable 316 opuestos a las conexiones del proceso.</t>
  </si>
  <si>
    <t>LY34H1XD3D53D1R5F1B6LSC</t>
  </si>
  <si>
    <t>Transmisor de presión diferencial Winters WinSMART Serie LY34, 0/30 psi, salida de 2 cables 4/20ma y HART, exactitud del 0,1%, carcasa de acero inoxidable 316, a prueba de explosiones según ATEX EX DB y SIL 3, conectores de entrada de cables de acero inoxidable M20x1,5 (h), 2 conexiones de proceso 316 de 1/4" NPT (h), sello de acero inoxidable 316L con juntas tóricas buna-n, orificios de drenaje con tornillos de acero inoxidable 316 opuestos a las conexiones del proceso.</t>
  </si>
  <si>
    <t>LY34H1XD3D54D1R5F1B6LSC</t>
  </si>
  <si>
    <t>Transmisor de presión diferencial Winters WinSMART Serie LY34, 0/100 psi, salida de 2 cables 4/20 ma y HART, exactitud del 0,1 %, carcasa de acero inoxidable 316, a prueba de explosiones según ATEX EX DB y SIL 3, conectores de entrada de cables de acero inoxidable M20x1,5 (h), 2 conexiones de proceso 316 de 1/4” NPT (h), sello de acero inoxidable 316L con juntas tóricas buna-n, orificios de drenaje con tornillos de acero inoxidable 316 opuestos a las conexiones del proceso.</t>
  </si>
  <si>
    <t>LY34H1XD3D55D1R5F1B6LSC</t>
  </si>
  <si>
    <t>Transmisor de presión diferencial Winters WinSMART Serie LY34, 0/300 psi, salida de 2 cables 4/20ma y HART, exactitud del 0,1%, carcasa de acero inoxidable 316, a prueba de explosiones según ATEX EX DB y SIL 3, conectores de entrada de cables de acero inoxidable M20x1,5 (h), 2 conexiones de proceso 316 de 1/4” NPT (h), sello de acero inoxidable 316L con juntas tóricas buna-n, orificios de drenaje con tornillos de acero inoxidable 316 opuestos a las conexiones del proceso.</t>
  </si>
  <si>
    <t>LY34H1XD3D56D1R5F1B6LSC</t>
  </si>
  <si>
    <t>Transmisor de presión diferencial Winters WinSMART Serie LY34, 0/1.000 psi, salida de 2 cables 4/20 ma y HART, exactitud del 0,1 %, carcasa de acero inoxidable 316, a prueba de explosiones según ATEX EX DB y SIL 3, conectores de entrada de cables de acero inoxidable M20x1,5 (h), 2 conexiones de proceso 316 de 1/4” NPT (h), sello de acero inoxidable 316L con juntas tóricas buna-n, orificios de drenaje con tornillos de acero inoxidable 316 opuestos a las conexiones del proceso.</t>
  </si>
  <si>
    <t>LY34H1IA3D50D1R2F1B6LSC</t>
  </si>
  <si>
    <t>Transmisor de presión diferencial Winters WinSMART Serie LY34, 0/0,2 psi, salida de 2 cables 4/20ma y HART, exactitud del 0,1%, carcasa de acero inoxidable 316, a prueba de explosiones según ATEX EX DB y SIL 3, conexión eléctrica ½”NPT (h), conexión a proceso 2 x 1/4” NPT (h) de acero inoxidable 316, sello de acero inoxidable 316L con juntas tóricas de buna-n, orificios de drenaje con tornillos de acero inoxidable 316 opuestos a las conexiones del proceso.</t>
  </si>
  <si>
    <t>LY34H1IA3D51D1R2F1B6LSC</t>
  </si>
  <si>
    <t>LY34H1IA3D52D1R2F1B6LSC</t>
  </si>
  <si>
    <t>LY34H1IA3D53D1R2F1B6LSC</t>
  </si>
  <si>
    <t>Transmisor de presión diferencial Winters WinSMART Serie LY34, 0/30 psi, salida de 2 cables 4/20ma y HART, exactitud del 0,1%, carcasa de acero inoxidable 316, a prueba de explosiones según ATEX EX DB y SIL 3, conexión eléctrica ½”NPT (h), conexión a proceso 2 x 1/4” NPT (h) de acero inoxidable 316, sello de acero inoxidable 316L con juntas tóricas de buna-n, orificios de drenaje con tornillos de acero inoxidable 316 opuestos a las conexiones del proceso.</t>
  </si>
  <si>
    <t>LY34H1IA3D54D1R2F1B6LSC</t>
  </si>
  <si>
    <t>LY34H1IA3D55D1R2F1B6LSC</t>
  </si>
  <si>
    <t>LY34H1IA3D56D1R2F1B6LSC</t>
  </si>
  <si>
    <t>LY34H1IA3D50D1R5F1B6LSC</t>
  </si>
  <si>
    <t>Transmisor de presión diferencial Winters WinSMART Serie LY34, 0/0,2 psi, salida de 2 cables 4/20ma y HART, exactitud del 0,1%, carcasa de acero inoxidable 316, a prueba de explosiones según ATEX EX DB y SIL 3, conexión eléctrica M20x1,5 (h), conexión a proceso 2 x 1/4” NPT (h) de acero inoxidable 316, sello de acero inoxidable 316L con juntas tóricas buna-n, orificios de drenaje con tornillos de acero inoxidable 316 opuestos a las conexiones del proceso.</t>
  </si>
  <si>
    <t>LY34H1IA3D51D1R5F1B6LSC</t>
  </si>
  <si>
    <t>Transmisor de presión diferencial Winters WinSMART Serie LY34, 0/1 psi, salida de 2 cables 4/20ma y HART, exactitud del 0,1%, carcasa de acero inoxidable 316, a prueba de explosiones según ATEX EX DB y SIL 3, conexión eléctrica M20x1,5 (h), conexión a proceso 2 x 1/4” NPT (h) de acero inoxidable 316, sello de acero inoxidable 316L con juntas tóricas buna-n, orificios de drenaje con tornillos de acero inoxidable 316 opuestos a las conexiones del proceso.</t>
  </si>
  <si>
    <t>LY34H1IA3D52D1R5F1B6LSC</t>
  </si>
  <si>
    <t>Transmisor de presión diferencial Winters WinSMART Serie LY34, 0/5 psi, 4/20ma y salida de 2 cables HART, exactitud del 0,1%, carcasa de acero inoxidable 316, a prueba de explosiones según ATEX EX DB y SIL 3, conexión eléctrica M20x1,5 (h), conexión a proceso 2 x 1/4” NPT (h) de acero inoxidable 316, sello de acero inoxidable 316L con juntas tóricas buna-n, orificios de drenaje con tornillos de acero inoxidable 316 opuestos a las conexiones del proceso.</t>
  </si>
  <si>
    <t>LY34H1IA3D53D1R5F1B6LSC</t>
  </si>
  <si>
    <t>Transmisor de presión diferencial Winters WinSMART Serie LY34, 0/30 psi, salida de 2 cables 4/20ma y HART, exactitud del 0,1%, carcasa de acero inoxidable 316, a prueba de explosiones según ATEX EX DB y SIL 3, conexión eléctrica M20x1,5 (h), conexión a proceso 2 x 1/4” NPT (h) de acero inoxidable 316, sello de acero inoxidable 316L con juntas tóricas buna-n, orificios de drenaje con tornillos de acero inoxidable 316 opuestos a las conexiones del proceso.</t>
  </si>
  <si>
    <t>LY34H1IA3D54D1R5F1B6LSC</t>
  </si>
  <si>
    <t>Transmisor de presión diferencial Winters WinSMART Serie LY34, 0/100 psi, salida de 2 cables 4/20 ma y HART, exactitud del 0,1 %, carcasa de acero inoxidable 316, a prueba de explosiones según ATEX EX DB y SIL 3, conexión eléctrica M20x1,5 (h), conexión a proceso 2 x 1/4” NPT (h) de acero inoxidable 316, sello de acero inoxidable 316L con juntas tóricas buna-n, orificios de drenaje con tornillos de acero inoxidable 316 opuestos a las conexiones del proceso.</t>
  </si>
  <si>
    <t>LY34H1IA3D55D1R5F1B6LSC</t>
  </si>
  <si>
    <t>Transmisor de presión diferencial Winters WinSMART Serie LY34, 0/300 psi, salida de 2 cables 4/20ma y HART, exactitud del 0,1%, carcasa de acero inoxidable 316, a prueba de explosiones según ATEX EX DB y SIL 3, conexión eléctrica M20x1,5 (h), conexión a proceso 2 x 1/4” NPT (h) de acero inoxidable 316, sello de acero inoxidable 316L con juntas tóricas buna-n, orificios de drenaje con tornillos de acero inoxidable 316 opuestos a las conexiones del proceso.</t>
  </si>
  <si>
    <t>LY34H1IA3D56D1R5F1B6LSC</t>
  </si>
  <si>
    <t>Transmisor de presión diferencial Winters WinSMART Serie LY34, 0/1.000 psi, salida de 2 cables 4/20 ma y HART, exactitud del 0,1 %, carcasa de acero inoxidable 316, a prueba de explosiones según ATEX EX DB y SIL 3, conexión eléctrica M20x1,5 (h), conexión a proceso 2 x 1/4” NPT (h) de acero inoxidable 316, sello de acero inoxidable 316L con juntas tóricas buna-n, orificios de drenaje con tornillos de acero inoxidable 316 opuestos a las conexiones del proceso.</t>
  </si>
  <si>
    <t>LY34B4</t>
  </si>
  <si>
    <t>Soporte de montaje de tubo (horizontal) para transmisor de presión diferencial Winters WinSMART LY34</t>
  </si>
  <si>
    <t>LY34B5</t>
  </si>
  <si>
    <t>soporte de montaje de placa para transmisor de presión diferencial Winters WinSMART LY34</t>
  </si>
  <si>
    <t>LY34B6</t>
  </si>
  <si>
    <t>soporte de montaje de tubo (vertical) para transmisor de presión diferencial Winters WinSMART LY34</t>
  </si>
  <si>
    <t>WinSMART LY34 - NUMERO DE PARTE DE INGENIERIA</t>
  </si>
  <si>
    <t>H1</t>
  </si>
  <si>
    <t>H2</t>
  </si>
  <si>
    <t>4…20 Ma + HART / 2-wire, Salida de raíz cuadrada (&gt;5 psi)</t>
  </si>
  <si>
    <t>D50</t>
  </si>
  <si>
    <t>0/0,2</t>
  </si>
  <si>
    <t>D51</t>
  </si>
  <si>
    <t>D52</t>
  </si>
  <si>
    <t>D53</t>
  </si>
  <si>
    <t>D54</t>
  </si>
  <si>
    <t>D55</t>
  </si>
  <si>
    <t>D56</t>
  </si>
  <si>
    <t>D</t>
  </si>
  <si>
    <t>Diferencial</t>
  </si>
  <si>
    <t>F1</t>
  </si>
  <si>
    <t>Brida doble 1/4" NPT H, drenaje en la parte trasera</t>
  </si>
  <si>
    <t>Doble brida 1/4" NPT H, drenaje en superior</t>
  </si>
  <si>
    <t>F3</t>
  </si>
  <si>
    <t>Doble brida 1/4" NPT H, drenaje en inferior</t>
  </si>
  <si>
    <t>B</t>
  </si>
  <si>
    <t xml:space="preserve">Buna-N (NBR) </t>
  </si>
  <si>
    <t>V</t>
  </si>
  <si>
    <t>Viton (FKM)</t>
  </si>
  <si>
    <t>Low Temperature Viton</t>
  </si>
  <si>
    <t>LS</t>
  </si>
  <si>
    <t>Acero inoxidable 316L + aceite de silicona</t>
  </si>
  <si>
    <t>HS</t>
  </si>
  <si>
    <t>Hastelloy C + Aceite de silicona (&gt;5psi)</t>
  </si>
  <si>
    <t>LF</t>
  </si>
  <si>
    <t>Acero inoxidable 316L + aceite de flúor</t>
  </si>
  <si>
    <t>B4</t>
  </si>
  <si>
    <t>Soporte de montaje curvo tipo tubo de 2", 304SS</t>
  </si>
  <si>
    <t>B5</t>
  </si>
  <si>
    <t>Soporte de pared, 304SS</t>
  </si>
  <si>
    <t>B6</t>
  </si>
  <si>
    <t>Soporte de montaje plano tipo tubo de 2", 304SS</t>
  </si>
  <si>
    <t>Sin pantalla LCD</t>
  </si>
  <si>
    <t>A2</t>
  </si>
  <si>
    <t>Adaptadores 1/2" NPT (H)</t>
  </si>
  <si>
    <t>LY36D101X</t>
  </si>
  <si>
    <t>Transmisor de presión diferencial Winters Serie LY36 WinSMART, -24/0/24"H20, 4/20 mA, 0,75%, O-Ring PTFE, conexión a proceso 1/4" NPT Ac. Inox. 316, conexión eléctrica 1/2" NPT, a prueba de llamas, con display LCD.</t>
  </si>
  <si>
    <t>LY36D201X</t>
  </si>
  <si>
    <t>Transmisor de presión diferencial Winters Serie LY36 WinSMART, -160/0/160"H20, 4/20mA, 0,75%, O-Ring PTFE, conexión a proceso 1/4" NPT Ac. Inox. 316, conexión eléctrica 1/2" NPT, a prueba de llamas, con display LCD.</t>
  </si>
  <si>
    <t>LY36D301X</t>
  </si>
  <si>
    <t>Transmisor de presión diferencial Winters Serie LY36 WinSMART, -1.005/0/1.005"H20, 4/20mA, 0,75%, O-Ring PTFE, conexión a proceso 1/4" NPT Ac. Inox. 316, conexión eléctrica 1/2" NPT, a prueba de llamas, con display LCD.</t>
  </si>
  <si>
    <t>LY36D501X</t>
  </si>
  <si>
    <t>Transmisor de presión diferencial Winters Serie LY36 WinSMART, -72,5/0/145 psi, 4/20mA, 0,75%, O-Ring PTFE, conexión a proceso 1/4" NPT Ac. Inox. 316, conexión eléctrica 1/2" NPT, a prueba de llamas, con display LCD.</t>
  </si>
  <si>
    <t>LY36D601X</t>
  </si>
  <si>
    <t>Transmisor de presión diferencial Winters Serie LY36 WinSMART, -72,5/0/435 psi, 4/20mA, 0,75%, O-Ring PTFE, conexión a proceso 1/4" NPT Ac. Inox. 316, conexión eléctrica 1/2" NPT, a prueba de llamas, con display LCD.</t>
  </si>
  <si>
    <t>LY36D701X</t>
  </si>
  <si>
    <t>Transmisor de presión diferencial Winters Serie LY36 WinSMART, -72,5/0/1.450 psi, 4/20mA, 0,75%, O-Ring PTFE, conexión a proceso 1/4" NPT Ac. Inox. 316, conexión eléctrica 1/2" NPT, a prueba de llamas, con display LCD.</t>
  </si>
  <si>
    <t>LY36D10HX</t>
  </si>
  <si>
    <t>Transmisor de presión diferencial Winters Serie LY36 WinSMART, -24/0/24"H20, 4/20mA+HART, 0,75%, O-Ring PTFE, conexión a proceso 1/4" NPT Ac. Inox. 316, conexión eléctrica 1/2" NPT, a prueba de llamas, con display LCD.</t>
  </si>
  <si>
    <t>LY36D20HX</t>
  </si>
  <si>
    <t>Transmisor de presión diferencial Winters Serie LY36 WinSMART, -160/0/160"H20, 4/20mA+HART, 0,75%, O-Ring PTFE, conexión a proceso 1/4" NPT Ac. Inox. 316, conexión eléctrica 1/2" NPT, a prueba de llamas, con display LCD.</t>
  </si>
  <si>
    <t>LY36D30HX</t>
  </si>
  <si>
    <t>Transmisor de presión diferencial Winters Serie LY36 WinSMART, -1.005/0/1.005"H20, 4/20mA+HART, 0,75%, O-Ring PTFE, conexión a proceso 1/4" NPT Ac. Inox. 316, conexión eléctrica 1/2" NPT, a prueba de llamas, con display LCD.</t>
  </si>
  <si>
    <t>LY36D50HX</t>
  </si>
  <si>
    <t>Transmisor de presión diferencial Winters Serie LY36 WinSMART, -72,5/0/145 psi, 4/20mA+HART, 0,75%, O-Ring PTFE, conexión a proceso 1/4" NPT Ac. Inox. 316, conexión eléctrica 1/2" NPT, a prueba de llamas, con display LCD.</t>
  </si>
  <si>
    <t>LY36D60HX</t>
  </si>
  <si>
    <t>Transmisor de presión diferencial Winters Serie LY36 WinSMART, -72,5/0/435 psi, 4/20mA+HART, 0,75%, O-Ring PTFE, conexión a proceso 1/4" NPT Ac. Inox. 316, conexión eléctrica 1/2" NPT, a prueba de llamas, con display LCD.</t>
  </si>
  <si>
    <t>LY36D70HX</t>
  </si>
  <si>
    <t>Transmisor de presión diferencial Winters Serie LY36 WinSMART, -72,5/0/1,450 psi, 4/20mA+HART, 0,75%, O-Ring PTFE, conexión a proceso 1/4" NPT Ac. Inox. 316, conexión eléctrica 1/2" NPT, a prueba de llamas, con display LCD.</t>
  </si>
  <si>
    <t>LY36D102X</t>
  </si>
  <si>
    <t>Transmisor de presión diferencial Winters Serie LY36 WinSMART, -24/0/24"H20, 1/5 VDC, 0,75%, O-Ring PTFE, conexión a proceso 1/4" NPT Ac. Inox. 316, conexión eléctrica 1/2" NPT, a prueba de llamas, con display LCD.</t>
  </si>
  <si>
    <t>LY36D202X</t>
  </si>
  <si>
    <t>Transmisor de presión diferencial Winters Serie LY36 WinSMART, -160/0/160"H20, 1/5 VDC, 0,75%, O-Ring PTFE, conexión a proceso 1/4" NPT Ac. Inox. 316, conexión eléctrica 1/2" NPT, a prueba de llamas, con display LCD.</t>
  </si>
  <si>
    <t>LY36D302X</t>
  </si>
  <si>
    <t>Transmisor de presión diferencial Winters Serie LY36 WinSMART, -1.005/0/1.005"H20, 1/5 VDC, 0,75%, O-Ring PTFE, conexión a proceso 1/4" NPT Ac. Inox. 316, conexión eléctrica 1/2" NPT, a prueba de llamas, con display LCD.</t>
  </si>
  <si>
    <t>LY36D502X</t>
  </si>
  <si>
    <t>Transmisor de presión diferencial Winters Serie LY36 WinSMART, -72,5/0/145 psi, 1/5 VDC, 0,75%, O-Ring PTFE, conexión a proceso 1/4" NPT Ac. Inox. 316, conexión eléctrica 1/2" NPT, a prueba de llamas, con display LCD.</t>
  </si>
  <si>
    <t>LY36D602X</t>
  </si>
  <si>
    <t>Transmisor de presión diferencial Winters Serie LY36 WinSMART, -72,5/0/435 psi, 1/5 VDC, 0,75%, O-Ring PTFE, conexión a proceso 1/4" NPT Ac. Inox. 316, conexión eléctrica 1/2" NPT, a prueba de llamas, con display LCD.</t>
  </si>
  <si>
    <t>LY36D702X</t>
  </si>
  <si>
    <t>Transmisor de presión diferencial Winters Serie LY36 WinSMART, -72,5/0/1.450 psi, 1/5 VDC, 0,75%, O-Ring PTFE, conexión a proceso 1/4" NPT Ac. Inox. 316, conexión eléctrica 1/2" NPT, a prueba de llamas, con display LCD.</t>
  </si>
  <si>
    <t>LY36D10RX</t>
  </si>
  <si>
    <t>Transmisor de presión diferencial Winters Serie LY36 WinSMART, -24/0/24"H20, MODBUS RS485, 0,75%, O-Ring PTFE, conexión a proceso 1/4" NPT Ac. Inox. 316, conexión eléctrica 1/2" NPT, a prueba de llamas, con display LCD.</t>
  </si>
  <si>
    <t>LY36D20RX</t>
  </si>
  <si>
    <t>Transmisor de presión diferencial Winters Serie LY36 WinSMART, -160/0/160"H20, MODBUS RS485, 0,75%, O-Ring PTFE, conexión a proceso 1/4" NPT Ac. Inox. 316, conexión eléctrica 1/2" NPT, a prueba de llamas, con display LCD.</t>
  </si>
  <si>
    <t>LY36D30RX</t>
  </si>
  <si>
    <t>Transmisor de presión diferencial Winters Serie LY36 WinSMART, -1.005/0/1.005"H20, MODBUS RS485, 0,75%, O-Ring PTFE, conexión a proceso 1/4" NPT Ac. Inox. 316, conexión eléctrica 1/2" NPT, a prueba de llamas, con display LCD.</t>
  </si>
  <si>
    <t>LY36D50RX</t>
  </si>
  <si>
    <t>Transmisor de presión diferencial Winters Serie LY36 WinSMART, -72,5/0/145 psi, MODBUS RS485, 0,75%, O-Ring PTFE, conexión a proceso 1/4" NPT Ac. Inox. 316, conexión eléctrica 1/2" NPT, a prueba de llamas, con display LCD.</t>
  </si>
  <si>
    <t>LY36D60RX</t>
  </si>
  <si>
    <t>Transmisor de presión diferencial Winters Serie LY36 WinSMART, -72,5/0/435 psi, MODBUS RS485, 0,75%, O-Ring PTFE, conexión a proceso 1/4" NPT Ac. Inox. 316, conexión eléctrica 1/2" NPT, a prueba de llamas, con display LCD.</t>
  </si>
  <si>
    <t>LY36D70RX</t>
  </si>
  <si>
    <t>Transmisor de presión diferencial Winters Serie LY36 WinSMART, -72,5/0/1.450 psi, MODBUS RS485, 0,75%, O-Ring PTFE, conexión a proceso 1/4" NPT Ac. Inox. 316, conexión eléctrica 1/2" NPT, a prueba de llamas, con display LCD.</t>
  </si>
  <si>
    <t>LY36B1</t>
  </si>
  <si>
    <t>Accesorios Winters - Soporte de montaje de tubo (vertical) para transmisor de presión diferencial Serie LY36 WinSMART</t>
  </si>
  <si>
    <t>LY36B2</t>
  </si>
  <si>
    <t>Accesorios Winters - Soporte de montaje de placa para transmisor de presión diferencial Serie LY36 WinSMART</t>
  </si>
  <si>
    <t>LY36B3</t>
  </si>
  <si>
    <t>Accesorios Winters - Soporte de montaje de tubo (horizontal) para transmisor de presión diferencial Serie LY36 WinSMART</t>
  </si>
  <si>
    <t>MVA32021</t>
  </si>
  <si>
    <t>Manifold Winters Serie MVA, 3 vias, Ac. Inox. 316, 1/2" NPT H, 6.000 psi, asiento duro.</t>
  </si>
  <si>
    <t>MVA52021</t>
  </si>
  <si>
    <t>Manifold Winters Serie MVA, 5 vias, Ac. Inox. 316, 1/2" NPT H, 6.000 psi, asiento duro.</t>
  </si>
  <si>
    <t>WinSMART LY36 - NUMERO DE PARTE DE INGENIERIA</t>
  </si>
  <si>
    <t>D10</t>
  </si>
  <si>
    <t>-24/0/24, span de calibración más pequeño 0,08</t>
  </si>
  <si>
    <t>D20</t>
  </si>
  <si>
    <t>-160/0/160, span de calibración más pequeño 1,6</t>
  </si>
  <si>
    <t>D30</t>
  </si>
  <si>
    <t>-1.005/0/1.005, span de calibración más pequeño 10,0</t>
  </si>
  <si>
    <t xml:space="preserve"> -72,5/0/145, span de calibración más pequeño 1,5</t>
  </si>
  <si>
    <t>D60</t>
  </si>
  <si>
    <t>-72,5/0/435, span de calibración más pequeño 4,4</t>
  </si>
  <si>
    <t>D70</t>
  </si>
  <si>
    <t>-72,5/0/1.450, span de calibración más pequeño 14,5</t>
  </si>
  <si>
    <t>Diferencial (estándar)</t>
  </si>
  <si>
    <t>Absoluta (solo &lt;1.450 psi)</t>
  </si>
  <si>
    <t>0,075 % (estándar)</t>
  </si>
  <si>
    <t>A prueba de llamas 1/2" NPT H, Ac. Inox., IP67 (estándar)</t>
  </si>
  <si>
    <t xml:space="preserve">A prueba de llamas M20x1,5 H, Ac. Inox., IP67  </t>
  </si>
  <si>
    <t>Doble brida 1/4" NPT (H), drenaje posterior</t>
  </si>
  <si>
    <t>Doble brida 1/4" NPT (H), drenaje superior</t>
  </si>
  <si>
    <t>Doble brida 1/4" NPT (H), drenaje inferior</t>
  </si>
  <si>
    <t>Doble brida 1/2" NPT (H), drenaje posterior (estándar)</t>
  </si>
  <si>
    <t>F5</t>
  </si>
  <si>
    <t>Doble brida 1/2" NPT (H), drenaje superior</t>
  </si>
  <si>
    <t>F6</t>
  </si>
  <si>
    <t>Doble brida 1/2" NPT (H), drenaje inferior</t>
  </si>
  <si>
    <t>FKM O-Ring (estándar)</t>
  </si>
  <si>
    <t>316 SS (estándar)</t>
  </si>
  <si>
    <t>A1</t>
  </si>
  <si>
    <t>Adaptor con tubería guía M20x1,5 (M)</t>
  </si>
  <si>
    <t>Adaptor 1/2" NPT (H)</t>
  </si>
  <si>
    <t>B1</t>
  </si>
  <si>
    <t>Horizontal pipe mounting kit acero al carbono 2"</t>
  </si>
  <si>
    <t>B2</t>
  </si>
  <si>
    <t xml:space="preserve">Horizontal plate mounting kit acero al carbono </t>
  </si>
  <si>
    <t>B3</t>
  </si>
  <si>
    <t>Vertical pipe mounting kit acero al carbono 2"</t>
  </si>
  <si>
    <t>M3</t>
  </si>
  <si>
    <t xml:space="preserve">Manifold de 3 manijas </t>
  </si>
  <si>
    <t>M5</t>
  </si>
  <si>
    <t>Manifold de 5 manijas</t>
  </si>
  <si>
    <t>LY16HXP07G7C2N2F66</t>
  </si>
  <si>
    <t>Transmisor de Presión WinSMART LY16. -14,5/0/150 psi. 4-20 mA + HART. 0.075%. Fla pr ½NPTHxM 316 SS</t>
  </si>
  <si>
    <t>LY16HXP09G7C2N2F66</t>
  </si>
  <si>
    <t>Transmisor de Presión WinSMART LY16. -14.5/0/500 psi. 4-20 mA+HART. 0.075% Fl pr ½NPTH ½NPTM 304 SS</t>
  </si>
  <si>
    <t>LY16HXP10G7C2N2F66</t>
  </si>
  <si>
    <t>Transmisor de Presión WinSMART LY16. -14.5/0/1.000 psi. 4-20 mA+HART. 0.075% Fl pr ½NPTH ½NPTM 304 SS</t>
  </si>
  <si>
    <t>LY16HXP11G7C2N2F66</t>
  </si>
  <si>
    <t>Transmisor de Presión WinSMART LY16. -14.5/0/2500 psi. 4-20 mA+HART. 0.075% Fl p</t>
  </si>
  <si>
    <t>LY16HIP07G1C2N2W66</t>
  </si>
  <si>
    <t>Trans. Presión WinSMART LY16, -14,5/150 psi, I.S. 4-20 mA+HART, 0.1%, Fl Pr 1/2"NPTH, 1/2"NPTM 316SS</t>
  </si>
  <si>
    <t>LY16HIP09G1C2N2W66</t>
  </si>
  <si>
    <t>Trans. Presión WinSMART LY16, -14,5/500 psi, I.S. 4-20 mA+HART, 0.1%, Fl Pr 1/2"NPTH, 1/2"NPTM 316SS</t>
  </si>
  <si>
    <t>LY36HSD10D2C1F1F66</t>
  </si>
  <si>
    <t>TRANS. PRESIÓN DIF LY36 -24/0/24"H2O,4/20mA+HART, 0.075%, 1/4"NPTH 316SS, WATER P.M20X1.5H PVC, LCD</t>
  </si>
  <si>
    <t>LY361XD60D2C2F4F66</t>
  </si>
  <si>
    <t>Transmisor de Pres. Dif. WinSMART LY36. -72.5/0/435 psi. 4-20 mA. 0.075%. Fl pr ½NPTH. 
½NPTH. 316SS</t>
  </si>
  <si>
    <t>LY36HXD20D2C2F1F66</t>
  </si>
  <si>
    <t>Transmisor de Pres. Dif. WinSMART LY36. -160/0/160 in H2O. 4-20 mA+HART 0.075% ¼NPTF 316 ½NPTF Fl pr</t>
  </si>
  <si>
    <t>LY36HXD30D2C2F1F66</t>
  </si>
  <si>
    <t>Transmisor de Pres. Dif. WinSMART LY36. -1.000/0/1.000 inH2O. 4-20 mA+HART. 0.075%. Fl pr ½NPTH ¼NPTH</t>
  </si>
  <si>
    <t>LY36HXD60D2C2F1F66</t>
  </si>
  <si>
    <t>Transmisor de Pres. Dif. WinSMART LY36. -72.5/0/435 psi. 4-20 mA+HART. 0.075%. ¼NPTF ½NPTF Fl pr</t>
  </si>
  <si>
    <t>TY52H2C2E1N24D1L0100</t>
  </si>
  <si>
    <t>Transmisor de temp Winters TY52 WinSMART -50/400°C 4-20MA+HART Vast. 100 mm ½NPTM 304 SS Fl.Pr ½NPTH</t>
  </si>
  <si>
    <t>WPS0200</t>
  </si>
  <si>
    <t>Presostato Winters Serie WPS, 20/200 PA SPDT, Diámetro exterior 5/16”, Diámetro interior del tubo ¼”.</t>
  </si>
  <si>
    <t>WPS0300</t>
  </si>
  <si>
    <t>Presostato Winters Serie WPS, 30/300 PA SPDT, Diámetro exterior 5/16”, Diámetro interior del tubo ¼”.</t>
  </si>
  <si>
    <t>WPS0500</t>
  </si>
  <si>
    <t>Presostato Winters Serie WPS, 50/500 PA SPDT, Diámetro exterior 5/16”, Diámetro interior del tubo ¼”.</t>
  </si>
  <si>
    <t>WPS1000</t>
  </si>
  <si>
    <t>Presostato Winters Serie WPS, 200/1.000 PA SPDT, Diámetro exterior 5/16”, Diámetro interior del tubo ¼”.</t>
  </si>
  <si>
    <t>WPS2500</t>
  </si>
  <si>
    <t>Presostato Winters Serie WPS, 500/2.500 PA SPDT, Diámetro exterior 5/16”, Diámetro interior del tubo ¼”.</t>
  </si>
  <si>
    <t>WPS4000</t>
  </si>
  <si>
    <t>Presostato Winters Serie WPS, 1.000/4.000 PA SPDT, Diámetro exterior 5/16”, Diámetro interior del tubo ¼”.</t>
  </si>
  <si>
    <t>WPS0200R8</t>
  </si>
  <si>
    <t>Presostato Winters Serie WPS, 0,08/1,20" H2O SPDT, Diámetro exterior 5/16”, Diámetro interior del tubo ¼”.</t>
  </si>
  <si>
    <t>WPS0300R8</t>
  </si>
  <si>
    <t>Presostato Winters Serie WPS, 0,12/1,60" H2O SPDT, Diámetro exterior 5/16”, Diámetro interior del tubo ¼”.</t>
  </si>
  <si>
    <t>WPS0500R8</t>
  </si>
  <si>
    <t>Presostato Winters Serie WPS, 0,20/2,00" H2O SPDT, Diámetro exterior 5/16”, Diámetro interior del tubo ¼”.</t>
  </si>
  <si>
    <t>WPS1000R8</t>
  </si>
  <si>
    <t>Presostato Winters Serie WPS, 0,80/4,00" H2O SPDT, Diámetro exterior 5/16”, Diámetro interior del tubo ¼”.</t>
  </si>
  <si>
    <t>WPS2500R8</t>
  </si>
  <si>
    <t>Presostato Winters Serie WPS, 2,00/10,00" H2O SPDT, Diámetro exterior 5/16”, Diámetro interior del tubo ¼”.</t>
  </si>
  <si>
    <t>WPS4000R8</t>
  </si>
  <si>
    <t>Presostato Winters Serie WPS, 4,00/16,00" H2O SPDT, Diámetro exterior 5/16”, Diámetro interior del tubo ¼”.</t>
  </si>
  <si>
    <t>Accesorio para Presostato Winters Serie WPS: Punta de presión estática con brida</t>
  </si>
  <si>
    <t>Accesorio para Presostato Winters Serie WPS: Tubo de PVC 20M (65 FT)</t>
  </si>
  <si>
    <t>1WPS002T4N</t>
  </si>
  <si>
    <t>Presostato compacto Winters Serie 1WPS, Rango ajustable: 0,2/2,5 bar, SPDT, 1/4" NPT, DIN, Material: Ac. Inox. 304</t>
  </si>
  <si>
    <t>1WPS005T4N</t>
  </si>
  <si>
    <t>Presostato compacto Winters Serie 1WPS, Rango ajustable: 0,8/5 bar, SPDT, 1/4" NPT, DIN, Material: Ac. Inox. 304</t>
  </si>
  <si>
    <t>1WPS012T4N</t>
  </si>
  <si>
    <t>Presostato compacto Winters Serie 1WPS, Rango ajustable: 1/12 bar, SPDT, 1/4" NPT, DIN, Material: Ac. Inox. 304</t>
  </si>
  <si>
    <t>1WPS050T4N</t>
  </si>
  <si>
    <t>Presostato compacto Winters Serie 1WPS, Rango ajustable: 5/50 bar, SPDT, 1/4" NPT, DIN, Material: Ac. Inox. 304</t>
  </si>
  <si>
    <t>1WPS100T4N</t>
  </si>
  <si>
    <t>Presostato compacto Winters Serie 1WPS, Rango ajustable: 10/100 bar, SPDT, 1/4" NPT, DIN, Material: Ac. Inox. 304</t>
  </si>
  <si>
    <t>1WPS200T4N</t>
  </si>
  <si>
    <t>Presostato compacto Winters Serie 1WPS, Rango ajustable: 20/200 bar, SPDT, 1/4" NPT, DIN, Material: Ac. Inox. 304</t>
  </si>
  <si>
    <t>1WPS400T4N</t>
  </si>
  <si>
    <t>Presostato compacto Winters Serie 1WPS, Rango ajustable: 50/400 bar, SPDT, 1/4" NPT, DIN, Material: Ac. Inox. 304</t>
  </si>
  <si>
    <t>2WPS0106F4F201</t>
  </si>
  <si>
    <t>Presostato estanco Winters Serie 2WPS, Caja de aluminio fundido y partes húmedas de Ac. Inox 316, 10-100 PSI SPDT FIXED, 1/2" &amp; 1/4" NPT F, 1%</t>
  </si>
  <si>
    <t>2WPS0206F4F201</t>
  </si>
  <si>
    <t>Presostato estanco Winters Serie 2WPS, Caja de aluminio fundido y partes húmedas de Ac. Inox 316, 35-200 PSI SPDT FIXED, 1/2" &amp; 1/4" NPT F, 1%</t>
  </si>
  <si>
    <t>2WPS0306F4F201</t>
  </si>
  <si>
    <t>Presostato estanco Winters Serie 2WPS, Caja de aluminio fundido y partes húmedas de Ac. Inox 316, 50-300 PSI SPDT FIXED, 1/2" &amp; 1/4" NPT F, 1%</t>
  </si>
  <si>
    <t>2WPS0606F4F201</t>
  </si>
  <si>
    <t>Presostato estanco Winters Serie 2WPS, Caja de aluminio fundido y partes húmedas de Ac. Inox 316, 100-600 PSI SPDT FIXED, 1/2" &amp; 1/4" NPT F, 1%</t>
  </si>
  <si>
    <t>2WPS1306F4F201</t>
  </si>
  <si>
    <t>Presostato estanco Winters Serie 2WPS, Caja de aluminio fundido y partes húmedas de Ac. Inox 316, 100-1,300 PSI SPDT FIXED, 1/2" &amp; 1/4" NPT F, 1%</t>
  </si>
  <si>
    <t>2WPS2406F4F201</t>
  </si>
  <si>
    <t>Presostato estanco Winters Serie 2WPS, Caja de aluminio fundido y partes húmedas de Ac. Inox 316, 300-2,400 PSI SPDT FIXED, 1/2" &amp; 1/4" NPT F, 1%</t>
  </si>
  <si>
    <t>2WPS4006F4F201</t>
  </si>
  <si>
    <t>Presostato estanco Winters Serie 2WPS, Caja de aluminio fundido y partes húmedas de Ac. Inox 316, 400-4,000 PSI SPDT FIXED, 1/2" &amp; 1/4" NPT F, 1%</t>
  </si>
  <si>
    <t>2WPS0106F2F201</t>
  </si>
  <si>
    <t>Presostato estanco Winters Serie 2WPS, Caja de aluminio fundido y partes húmedas de Ac. Inox 316, 10-100 PSI SPDT FIXED, 1/2" &amp; 1/2" NPT F, 1%</t>
  </si>
  <si>
    <t>2WPS0206F2F201</t>
  </si>
  <si>
    <t>Presostato estanco Winters Serie 2WPS, Caja de aluminio fundido y partes húmedas de Ac. Inox 316, 35-200 PSI SPDT FIXED, 1/2" &amp; 1/2" NPT F, 1%</t>
  </si>
  <si>
    <t>2WPS0306F2F201</t>
  </si>
  <si>
    <t>Presostato estanco Winters Serie 2WPS, Caja de aluminio fundido y partes húmedas de Ac. Inox 316, 50-300 PSI SPDT FIXED, 1/2" &amp; 1/2" NPT F, 1%</t>
  </si>
  <si>
    <t>2WPS0606F2F201</t>
  </si>
  <si>
    <t>Presostato estanco Winters Serie 2WPS, Caja de aluminio fundido y partes húmedas de Ac. Inox 316, 100-600 PSI SPDT FIXED, 1/2" &amp; 1/2" NPT F, 1%</t>
  </si>
  <si>
    <t>2WPS1306F2F201</t>
  </si>
  <si>
    <t>Presostato estanco Winters Serie 2WPS, Caja de aluminio fundido y partes húmedas de Ac. Inox 316, 100-1,300 PSI SPDT FIXED, 1/2" &amp; 1/2" NPT F, 1%</t>
  </si>
  <si>
    <t>2WPS2406F2F201</t>
  </si>
  <si>
    <t>Presostato estanco Winters Serie 2WPS, Caja de aluminio fundido y partes húmedas de Ac. Inox 316, 300-2,400 PSI SPDT FIXED, 1/2" &amp; 1/2" NPT F, 1%</t>
  </si>
  <si>
    <t>2WPS4006F2F201</t>
  </si>
  <si>
    <t>Presostato estanco Winters Serie 2WPS, Caja de aluminio fundido y partes húmedas de Ac. Inox 316, 400-4,000 PSI SPDT FIXED, 1/2" &amp; 1/2" NPT F, 1%</t>
  </si>
  <si>
    <t>2WPSA0106F4F201</t>
  </si>
  <si>
    <t>Presostato estanco Winters Serie 2WPSA, Caja de aluminio fundido y partes húmedas de Ac. Inox 316, 10-100 PSI SPDT Banda ajustable DB, 1/2" &amp; 1/4" NPT F, 1%</t>
  </si>
  <si>
    <t>2WPSA0206F4F201</t>
  </si>
  <si>
    <t>Presostato estanco Winters Serie 2WPSA, Caja de aluminio fundido y partes húmedas de Ac. Inox 316, 35-200 PSI SPDT Banda ajustable DB, 1/2" &amp; 1/4" NPT F, 1%</t>
  </si>
  <si>
    <t>2WPSA0306F4F201</t>
  </si>
  <si>
    <t>Presostato estanco Winters Serie 2WPSA, Caja de aluminio fundido y partes húmedas de Ac. Inox 316, 50-300 PSI SPDT Banda ajustable DB, 1/2" &amp; 1/4" NPT F, 1%</t>
  </si>
  <si>
    <t>2WPSA0606F4F201</t>
  </si>
  <si>
    <t>Presostato estanco Winters Serie 2WPSA, Caja de aluminio fundido y partes húmedas de Ac. Inox 316, 100-600 PSI SPDT Banda ajustable DB, 1/2" &amp; 1/4" NPT F, 1%</t>
  </si>
  <si>
    <t>2WPSA1306F4F201</t>
  </si>
  <si>
    <t>Presostato estanco Winters Serie 2WPSA, Caja de aluminio fundido y partes húmedas de Ac. Inox 316, 100-1,300 PSI SPDT Banda ajustable DB, 1/2" &amp; 1/4" NPT F, 1%</t>
  </si>
  <si>
    <t>2WPSA0106F2F201</t>
  </si>
  <si>
    <t>Presostato estanco Winters Serie 2WPSA, Caja de aluminio fundido y partes húmedas de Ac. Inox 316, 10-100 PSI SPDT Banda ajustable DB, 1/2" &amp; 1/2" NPT F, 1%</t>
  </si>
  <si>
    <t>2WPSA0206F2F201</t>
  </si>
  <si>
    <t>Presostato estanco Winters Serie 2WPSA, Caja de aluminio fundido y partes húmedas de Ac. Inox 316, 35-200 PSI SPDT Banda ajustable DB, 1/2" &amp; 1/2" NPT F, 1%</t>
  </si>
  <si>
    <t>2WPSA0306F2F201</t>
  </si>
  <si>
    <t>Presostato estanco Winters Serie 2WPSA, Caja de aluminio fundido y partes húmedas de Ac. Inox 316, 50-300 PSI SPDT Banda ajustable DB, 1/2" &amp; 1/2" NPT F, 1%</t>
  </si>
  <si>
    <t>2WPSA0606F2F201</t>
  </si>
  <si>
    <t>Presostato estanco Winters Serie 2WPSA, Caja de aluminio fundido y partes húmedas de Ac. Inox 316, 100-600 PSI SPDT Banda ajustable DB, 1/2" &amp; 1/2" NPT F, 1%</t>
  </si>
  <si>
    <t>2WPSA1306F2F201</t>
  </si>
  <si>
    <t>Presostato estanco Winters Serie 2WPSA, Caja de aluminio fundido y partes húmedas de Ac. Inox 316, 100-1,300 PSI SPDT Banda ajustable DB, 1/2" &amp; 1/2" NPT F, 1%</t>
  </si>
  <si>
    <t>PRESOSTATO Winters Serie 2WPS Y 2WPSA - NUMERO DE PARTE DE INGENIERIA</t>
  </si>
  <si>
    <t xml:space="preserve">2WPS - </t>
  </si>
  <si>
    <t>Banda muerta fija</t>
  </si>
  <si>
    <t>010</t>
  </si>
  <si>
    <t>Rango de presión Min 10 / Max 100 / Banda muerta 2,8-6,4/ Presión de prueba 3.000 PSI</t>
  </si>
  <si>
    <t>020</t>
  </si>
  <si>
    <t>Rango de presión Min 35 / Max 200 / Banda muerta 4,3-7,0 / Presión de prueba 3.000 PSI</t>
  </si>
  <si>
    <t>030</t>
  </si>
  <si>
    <t>Rango de presión Min 50 / Max 300 / Banda muerta 4,3-7,0 / Presión de prueba 3.000 PSI</t>
  </si>
  <si>
    <t>060</t>
  </si>
  <si>
    <t>Rango de presión Min 100 / Max 600 / Banda muerta 5,0-15 / Presión de prueba 3.000 PSI</t>
  </si>
  <si>
    <t>130</t>
  </si>
  <si>
    <t>Rango de presión Min 100 / Max 1.300 / Banda muerta 14,2-56,8 / Presión de prueba 3.000 PSI</t>
  </si>
  <si>
    <t>240</t>
  </si>
  <si>
    <t>Rango de presión Min 300 / Max 2.400 / Banda muerta 14,2-71 / Presión de prueba 4.000 PSI</t>
  </si>
  <si>
    <t>400</t>
  </si>
  <si>
    <t>Rango de presión Min 400 / Max 4.000 / Banda muerta 23,6-117,9 / Presión de prueba 5.000 PSI</t>
  </si>
  <si>
    <t xml:space="preserve">2WPSA - </t>
  </si>
  <si>
    <t>Banda muerta ajustable</t>
  </si>
  <si>
    <t>Rango de presión Min 10 / Max 100 / Banda muerta 10-25 / Presión de prueba 3.000 PSI</t>
  </si>
  <si>
    <t>Rango de presión Min 35 / Max 200 / Banda muerta 12-30 / Presión de prueba 3.000 PSI</t>
  </si>
  <si>
    <t>Rango de presión Min 50 / Max 300 / Banda muerta 28-50 / Presión de prueba 3.000 PSI</t>
  </si>
  <si>
    <t>Rango de presión Min 100 / Max 600 / Banda muerta 12-60 / Presión de prueba 3.000 PSI</t>
  </si>
  <si>
    <t>Rango de presión Min 200 / Max 1.300 / Banda muerta 42-100 / Presión de prueba 3.000 PSI</t>
  </si>
  <si>
    <t>Acero inoxidable 316, membrana soldada (standard)</t>
  </si>
  <si>
    <t>1/2" NPT Hembra</t>
  </si>
  <si>
    <t>1/4" NPT Hembra</t>
  </si>
  <si>
    <t>1/2" BSP Hembra</t>
  </si>
  <si>
    <t>1/4" BSP Hembra</t>
  </si>
  <si>
    <t>P2</t>
  </si>
  <si>
    <t>1/2" PT Hembra</t>
  </si>
  <si>
    <t>P4</t>
  </si>
  <si>
    <t>1/4" PT Hembra</t>
  </si>
  <si>
    <t>M20 X P1.5</t>
  </si>
  <si>
    <t>3/4" NPT Hembra</t>
  </si>
  <si>
    <t>1/2" NPT Hembra (standard)</t>
  </si>
  <si>
    <t>01</t>
  </si>
  <si>
    <t>Micro Switch, 1 x SPDT</t>
  </si>
  <si>
    <t>02</t>
  </si>
  <si>
    <t>Micro Switch, 2 x SPDT (un setpoint), no disponible para banda muerta ajustable</t>
  </si>
  <si>
    <t>3A</t>
  </si>
  <si>
    <t>Gold Contact, 1 x SPDT, no disponible para banda muerta ajustable</t>
  </si>
  <si>
    <t>3B</t>
  </si>
  <si>
    <t>Gold Contact, 2 x SPDT (un setpoint), no disponible para banda muerta ajustable</t>
  </si>
  <si>
    <t>RXXX</t>
  </si>
  <si>
    <t xml:space="preserve">Escala de presión personalizada </t>
  </si>
  <si>
    <t>Z###</t>
  </si>
  <si>
    <t>Específico del cliente (Números desde Z01 a Z9999)</t>
  </si>
  <si>
    <t>3WPSV1306F4F201</t>
  </si>
  <si>
    <t>Presostato estanco Winters Serie 3WPSV, Caja de aluminio fundido, partes húmedas de Ac. Inox 316 y membrana de VITON, -25/-760 MMHG SPDT Banda muerta fija, 1/2" &amp; 1/4" NPT F, 1%</t>
  </si>
  <si>
    <t>3WPS0016F4F201</t>
  </si>
  <si>
    <t>Presostato estanco Winters Serie 3WPS, Caja de aluminio fundido y partes húmedas de Ac. Inox 316, 0.05-1.8 PSI SPDT Banda muerta fija, 1/2" &amp; 1/4" NPT M, 1%</t>
  </si>
  <si>
    <t>3WPS0106F4F201</t>
  </si>
  <si>
    <t>Presostato estanco Winters Serie 3WPS, Caja de aluminio fundido y partes húmedas de Ac. Inox 316, 0.4-2.8 PSI SPDT Banda muerta fija, 1/2" &amp; 1/4" NPT M, 1%</t>
  </si>
  <si>
    <t>3WPS0206F4F201</t>
  </si>
  <si>
    <t>Presostato estanco Winters Serie 3WPS, Caja de aluminio fundido y partes húmedas de Ac. Inox 316, 0.4-5.0 PSI SPDT Banda muerta fija, 1/2" &amp; 1/4" NPT M, 1%</t>
  </si>
  <si>
    <t>3WPS0306F4F201</t>
  </si>
  <si>
    <t>Presostato estanco Winters Serie 3WPS, Caja de aluminio fundido y partes húmedas de Ac. Inox 316, 1.6-9.8 PSI SPDT Banda muerta fija, 1/2" &amp; 1/4" NPT M, 1%</t>
  </si>
  <si>
    <t>3WPSV1306F2F201</t>
  </si>
  <si>
    <t>Presostato estanco Winters Serie 3WPSV, Caja de aluminio fundido, partes húmedas de Ac. Inox 316 y membrana de VITON, -25/-760 MMHG SPDT Banda muerta fija, 1/2" &amp; 1/2" NPT F, 1%</t>
  </si>
  <si>
    <t>3WPS0016F2F201</t>
  </si>
  <si>
    <t>Presostato estanco Winters Serie 3WPS, Caja de aluminio fundido y partes húmedas de Ac. Inox 316, 0.05-1.8 PSI SPDT Banda muerta fija, 1/2" &amp; 1/2" NPT M, 1%</t>
  </si>
  <si>
    <t>3WPS0106F2F201</t>
  </si>
  <si>
    <t>Presostato estanco Winters Serie 3WPS, Caja de aluminio fundido y partes húmedas de Ac. Inox 316, 0.4-2.8 PSI SPDT Banda muerta fija, 1/2" &amp; 1/2" NPT M, 1%</t>
  </si>
  <si>
    <t>3WPS0206F2F201</t>
  </si>
  <si>
    <t>Presostato estanco Winters Serie 3WPS, Caja de aluminio fundido y partes húmedas de Ac. Inox 316, 0.4-5.0 PSI SPDT Banda muerta fija, 1/2" &amp; 1/2" NPT M, 1%</t>
  </si>
  <si>
    <t>3WPS0306F2F201</t>
  </si>
  <si>
    <t>Presostato estanco Winters Serie 3WPS, Caja de aluminio fundido y partes húmedas de Ac. Inox 316, 1.6-9.8 PSI SPDT Banda muerta fija, 1/2" &amp; 1/2" NPT M, 1%</t>
  </si>
  <si>
    <t>PRESOSTATO Winters Serie 3WPS Y 3WPSV - NUMERO DE PARTE DE INGENIERIA</t>
  </si>
  <si>
    <t xml:space="preserve">3WPS - </t>
  </si>
  <si>
    <t>Bajas presiones (psi)</t>
  </si>
  <si>
    <t>001</t>
  </si>
  <si>
    <t>Rango de presión Min 0,05 / Max 1,8 / Banda muerta 0,015/0,3 / Presión de prueba 500 PSI</t>
  </si>
  <si>
    <t>Rango de presión Min 0,4 / Max 2,8 / Banda muerta 0,2/0,5 / Presión de prueba 500 PSI</t>
  </si>
  <si>
    <t>Rango de presión Min 0,4 / Max 5,0 / Banda muerta 0,3/0,6 / Presión de prueba 500 PSI</t>
  </si>
  <si>
    <t>Rango de presión Min 1,6 / Max 9,8 / Banda muerta 0,3/0,8 / Presión de prueba 500 PSI</t>
  </si>
  <si>
    <t>3WPSV -</t>
  </si>
  <si>
    <t>Presiones de vacío (mmHg)</t>
  </si>
  <si>
    <t>RANGO DE PRESION</t>
  </si>
  <si>
    <t>Rango de presión Min -25 / Max -760 / Banda muerta 10/20 / Presión de prueba 1.000 PSI</t>
  </si>
  <si>
    <t>316 Stainless Steel, diaphragm welded (low pressure, standard)</t>
  </si>
  <si>
    <t>Micro Switch, 2 x SPDT (un setpoint)</t>
  </si>
  <si>
    <t>Gold Contact, 1 x SPDT</t>
  </si>
  <si>
    <t>Gold Contact, 2 x SPDT (un setpoint)</t>
  </si>
  <si>
    <t>4WPS001F4F201</t>
  </si>
  <si>
    <t>Presostato estanco Winters Serie 4WPS, Caja de aluminio fundido y partes húmedas de Ac. Inox 316, 2-12 PSI SPDT Banda muerta fija, 1/2" &amp; 1/4" NPT F, 1%</t>
  </si>
  <si>
    <t>4WPS010F4F201</t>
  </si>
  <si>
    <t>Presostato estanco Winters Serie 4WPS, Caja de aluminio fundido y partes húmedas de Ac. Inox 316, 2-16 PSI SPDT Banda muerta fija, 1/2" &amp; 1/4" NPT F, 1%</t>
  </si>
  <si>
    <t>4WPS020F4F201</t>
  </si>
  <si>
    <t>Presostato estanco Winters Serie 4WPS, Caja de aluminio fundido y partes húmedas de Ac. Inox 316, 2-20 PSI SPDT Banda muerta fija, 1/2" &amp; 1/4" NPT F, 1%</t>
  </si>
  <si>
    <t>4WPS030F4F201</t>
  </si>
  <si>
    <t>Presostato estanco Winters Serie 4WPS, Caja de aluminio fundido y partes húmedas de Ac. Inox 316, 3-28 PSI SPDT Banda muerta fija, 1/2" &amp; 1/4" NPT F, 1%</t>
  </si>
  <si>
    <t>4WPS040F4F201</t>
  </si>
  <si>
    <t>Presostato estanco Winters Serie 4WPS, Caja de aluminio fundido y partes húmedas de Ac. Inox 316, 7-100 PSI SPDT Banda muerta fija, 1/2" &amp; 1/4" NPT F, 1%</t>
  </si>
  <si>
    <t>4WPS001F2F201</t>
  </si>
  <si>
    <t>Presostato estanco Winters Serie 4WPS, Caja de aluminio fundido y partes húmedas de Ac. Inox 316, 2-12 PSI SPDT Banda muerta fija, 1/2" &amp; 1/2" NPT F, 1%</t>
  </si>
  <si>
    <t>4WPS010F2F201</t>
  </si>
  <si>
    <t>Presostato estanco Winters Serie 4WPS, Caja de aluminio fundido y partes húmedas de Ac. Inox 316, 2-16 PSI SPDT Banda muerta fija, 1/2" &amp; 1/2" NPT F, 1%</t>
  </si>
  <si>
    <t>4WPS020F2F201</t>
  </si>
  <si>
    <t>Presostato estanco Winters Serie 4WPS, Caja de aluminio fundido y partes húmedas de Ac. Inox 316, 2-20 PSI SPDT Banda muerta fija, 1/2" &amp; 1/2" NPT F, 1%</t>
  </si>
  <si>
    <t>4WPS030F2F201</t>
  </si>
  <si>
    <t>Presostato estanco Winters Serie 4WPS, Caja de aluminio fundido y partes húmedas de Ac. Inox 316, 3-28 PSI SPDT Banda muerta fija, 1/2" &amp; 1/2" NPT F, 1%</t>
  </si>
  <si>
    <t>4WPS040F2F201</t>
  </si>
  <si>
    <t>Presostato estanco Winters Serie 4WPS, Caja de aluminio fundido y partes húmedas de Ac. Inox 316, 7-100 PSI SPDT Banda muerta fija, 1/2" &amp; 1/2" NPT F, 1%</t>
  </si>
  <si>
    <t>4WPSA001F4F201</t>
  </si>
  <si>
    <t>Presostato estanco Winters Serie 4WPSA, Caja de aluminio fundido y partes húmedas de Ac. Inox 316, 10-100 PSI SPDT Banda muerta ajustable, 1/2" &amp; 1/4" NPT F, 1%</t>
  </si>
  <si>
    <t>4WPSA010F4F201</t>
  </si>
  <si>
    <t>Presostato estanco Winters Serie 4WPSA, Caja de aluminio fundido y partes húmedas de Ac. Inox 316, 35-200 PSI SPDT Banda muerta ajustable, 1/2" &amp; 1/4" NPT F, 1%</t>
  </si>
  <si>
    <t>4WPSA020F4F201</t>
  </si>
  <si>
    <t>Presostato estanco Winters Serie 4WPSA, Caja de aluminio fundido y partes húmedas de Ac. Inox 316, 50-300 PSI SPDT Banda muerta ajustable, 1/2" &amp; 1/4" NPT F, 1%</t>
  </si>
  <si>
    <t>4WPSA030F4F201</t>
  </si>
  <si>
    <t>Presostato estanco Winters Serie 4WPSA, Caja de aluminio fundido y partes húmedas de Ac. Inox 316, 100-600 PSI SPDT Banda muerta ajustable, 1/2" &amp; 1/4" NPT F, 1%</t>
  </si>
  <si>
    <t>4WPSA040F4F201</t>
  </si>
  <si>
    <t>Presostato estanco Winters Serie 4WPSA, Caja de aluminio fundido y partes húmedas de Ac. Inox 316, 100-1,300 PSI SPDT Banda muerta ajustable, 1/2" &amp; 1/4" NPT F, 1%</t>
  </si>
  <si>
    <t>4WPSA001F2F201</t>
  </si>
  <si>
    <t>Presostato estanco Winters Serie 4WPSA, Caja de aluminio fundido y partes húmedas de Ac. Inox 316, 10-100 PSI SPDT Banda muerta ajustable, 1/2" &amp; 1/2" NPT F, 1%</t>
  </si>
  <si>
    <t>4WPSA010F2F201</t>
  </si>
  <si>
    <t>Presostato estanco Winters Serie 4WPSA, Caja de aluminio fundido y partes húmedas de Ac. Inox 316, 35-200 PSI SPDT Banda muerta ajustable, 1/2" &amp; 1/2" NPT F, 1%</t>
  </si>
  <si>
    <t>4WPSA020F2F201</t>
  </si>
  <si>
    <t>Presostato estanco Winters Serie 4WPSA, Caja de aluminio fundido y partes húmedas de Ac. Inox 316, 50-300 PSI SPDT Banda muerta ajustable, 1/2" &amp; 1/2" NPT F, 1%</t>
  </si>
  <si>
    <t>4WPSA030F2F201</t>
  </si>
  <si>
    <t>Presostato estanco Winters Serie 4WPSA, Caja de aluminio fundido y partes húmedas de Ac. Inox 316, 100-600 PSI SPDT Banda muerta ajustable, 1/2" &amp; 1/2" NPT F, 1%</t>
  </si>
  <si>
    <t>4WPSA040F2F201</t>
  </si>
  <si>
    <t>Presostato estanco Winters Serie 4WPSA, Caja de aluminio fundido y partes húmedas de Ac. Inox 316, 100-1,300 PSI SPDT Banda muerta ajustable, 1/2" &amp; 1/2" NPT F, 1%</t>
  </si>
  <si>
    <t>PRESOSTATO Winters Serie 4WPS Y 4WPSA - NUMERO DE PARTE DE INGENIERIA</t>
  </si>
  <si>
    <t xml:space="preserve">4WPS - </t>
  </si>
  <si>
    <t>Fixed Deadband</t>
  </si>
  <si>
    <t>Rango de presión Min 2 / Max 12 / Banda muerta 0,2-0,4 / Presión de prueba 1.000 PSI</t>
  </si>
  <si>
    <t>Rango de presión Min 2 / Max 16 / Banda muerta 0,2-0,5 / Presión de prueba 1.000 PSI</t>
  </si>
  <si>
    <t>Rango de presión Min 2 / Max 20 / Banda muerta 0,3-0,6 / Presión de prueba 1.000 PSI</t>
  </si>
  <si>
    <t>Rango de presión Min 3 / Max 28 / Banda muerta 0,3-0,8 / Presión de prueba 1.000 PSI</t>
  </si>
  <si>
    <t>040</t>
  </si>
  <si>
    <t>Rango de presión Min 7 / Max 100 / Banda muerta 0,7-2,0 / Presión de prueba 1.000 PSI</t>
  </si>
  <si>
    <t xml:space="preserve">4WPSA - </t>
  </si>
  <si>
    <t>Adjustable Deadband</t>
  </si>
  <si>
    <t>Rango de presión Min 2 / Max 12 / Banda muerta 1,2-3 / Presión de prueba 1.000 PSI</t>
  </si>
  <si>
    <t>Rango de presión Min 2 / Max 16 / Banda muerta 1,6-4 / Presión de prueba 1.000 PSI</t>
  </si>
  <si>
    <t>Rango de presión Min 2 / Max 20 / Banda muerta 2-5 / Presión de prueba 1.000 PSI</t>
  </si>
  <si>
    <t>Rango de presión Min 3 / Max 28 / Banda muerta 2,8-7 / Presión de prueba 1.000 PSI</t>
  </si>
  <si>
    <t>Rango de presión Min 7 / Max 100 / Banda muerta 9,9-28,4 / Presión de prueba 1.000 PSI</t>
  </si>
  <si>
    <t>5WPSL2406F4F201</t>
  </si>
  <si>
    <t>Presostato estanco Winters Serie 5WPSL, Caja de aluminio fundido, partes húmedas de Ac. Inox 316 y membrana de titanio, 400-1,900 MMH2O SPDT Banda muerta fija, 1/2" &amp; 1/4" NPT F, 1%</t>
  </si>
  <si>
    <t>5WPSL4006F4F201</t>
  </si>
  <si>
    <t>Presostato estanco Winters Serie 5WPSL, Caja de aluminio fundido, partes húmedas de Ac. Inox 316 y membrana de titanio, 1,000-10,000 MMH2O SPDT Banda muerta fija, 1/2" &amp; 1/4" NPT F, 1%</t>
  </si>
  <si>
    <t>5WPS0106F4F201</t>
  </si>
  <si>
    <t>Presostato estanco Winters Serie 5WPS, Caja de aluminio fundido y partes húmedas de Ac. Inox 316, 3-28 PSI SPDT Banda muerta fija, 1/2" &amp; 1/4" NPT F, 1%</t>
  </si>
  <si>
    <t>5WPS0206F4F201</t>
  </si>
  <si>
    <t>Presostato estanco Winters Serie 5WPS, Caja de aluminio fundido y partes húmedas de Ac. Inox 316, 7-100 PSI SPDT Banda muerta fija, 1/2" &amp; 1/4" NPT F, 1%</t>
  </si>
  <si>
    <t>5WPS0306F4F201</t>
  </si>
  <si>
    <t>Presostato estanco Winters Serie 5WPS, Caja de aluminio fundido y partes húmedas de Ac. Inox 316, 35-200 PSI SPDT Banda muerta fija, 1/2" &amp; 1/4" NPT F, 1%</t>
  </si>
  <si>
    <t>5WPS0406F4F201</t>
  </si>
  <si>
    <t>Presostato estanco Winters Serie 5WPS, Caja de aluminio fundido y partes húmedas de Ac. Inox 316, 50-500 PSI SPDT Banda muerta fija, 1/2" &amp; 1/4" NPT F, 1%</t>
  </si>
  <si>
    <t>PRESOSTATO Winters Serie 5WPS Y 5WPSL - NUMERO DE PARTE DE INGENIERIA</t>
  </si>
  <si>
    <t xml:space="preserve">5WPS - </t>
  </si>
  <si>
    <t>Rango de presión Min 3 / Max 28 / Banda muerta 0,15-1.4 / Presión de prueba 1.000 PSI</t>
  </si>
  <si>
    <t>Rango de presión Min 7 / Max 100 / Banda muerta 0,35-5 / Presión de prueba 1.000 PSI</t>
  </si>
  <si>
    <t>Rango de presión Min 35 / Max 200 / Banda muerta 1,75-10 / Presión de prueba 1.000 PSI</t>
  </si>
  <si>
    <t>Rango de presión Min 50 / Max 500 / Banda muerta 2,5-25 / Presión de prueba 1.000 PSI</t>
  </si>
  <si>
    <t xml:space="preserve">5WPSA - </t>
  </si>
  <si>
    <t>Low pressure ranges:</t>
  </si>
  <si>
    <t>Rango de presión Min 400 / Max 1.900 / Banda muerta 30-80 / Presión de prueba 750 PSI</t>
  </si>
  <si>
    <t>Rango de presión Min 1.000 / Max 10.000 / Banda muerta 70-200 / Presión de prueba 750 PSI</t>
  </si>
  <si>
    <t>316 Stainless Steel, diaphragm welded (standard)</t>
  </si>
  <si>
    <t>Micro Switch, 2 x SPDT (one setpoint)</t>
  </si>
  <si>
    <t>Gold Contact, 2 x SPDT (one setpoint)</t>
  </si>
  <si>
    <t>6WPS0106F4F301U</t>
  </si>
  <si>
    <t>Presostato a prueba de explosiones Winters Serie 6WPS XL, Caja de aluminio fundido y partes húmedas de Ac. Inox 316, 10-100 PSI SPDT Banda muerta fija, 3/4" &amp; 1/4" NPT F, 1%</t>
  </si>
  <si>
    <t>6WPS0206F4F301U</t>
  </si>
  <si>
    <t>Presostato a prueba de explosiones Winters Serie 6WPS XL, Caja de aluminio fundido y partes húmedas de Ac. Inox 316, 35-200 PSI SPDT Banda muerta fija, 3/4" &amp; 1/4" NPT F, 1%</t>
  </si>
  <si>
    <t>6WPS0306F4F301U</t>
  </si>
  <si>
    <t>Presostato a prueba de explosiones Winters Serie 6WPS XL, Caja de aluminio fundido y partes húmedas de Ac. Inox 316, 50-300 PSI SPDT Banda muerta fija, 3/4" &amp; 1/4" NPT F, 1%</t>
  </si>
  <si>
    <t>6WPS0606F4F301U</t>
  </si>
  <si>
    <t>Presostato a prueba de explosiones Winters Serie 6WPS XL, Caja de aluminio fundido y partes húmedas de Ac. Inox 316, 100-600 PSI SPDT Banda muerta fija, 3/4" &amp; 1/4" NPT F, 1%</t>
  </si>
  <si>
    <t>6WPS1306F4F301U</t>
  </si>
  <si>
    <t>Presostato a prueba de explosiones Winters Serie 6WPS XL, Caja de aluminio fundido y partes húmedas de Ac. Inox 316, 100-1,300 PSI SPDT Banda muerta fija, 3/4" &amp; 1/4" NPT F, 1%</t>
  </si>
  <si>
    <t>6WPS2406F4F301U</t>
  </si>
  <si>
    <t>Presostato a prueba de explosiones Winters Serie 6WPS XL, Caja de aluminio fundido y partes húmedas de Ac. Inox 316, 300-2,400 PSI SPDT Banda muerta fija, 3/4" &amp; 1/4" NPT F, 1%</t>
  </si>
  <si>
    <t>6WPS4006F4F301U</t>
  </si>
  <si>
    <t>Presostato a prueba de explosiones Winters Serie 6WPS XL, Caja de aluminio fundido y partes húmedas de Ac. Inox 316, 400-4,000 PSI SPDT Banda muerta fija, 3/4" &amp; 1/4" NPT F, 1%</t>
  </si>
  <si>
    <t>6WPS0106F2F301U</t>
  </si>
  <si>
    <t>Presostato a prueba de explosiones Winters Serie 6WPS XL, Caja de aluminio fundido y partes húmedas de Ac. Inox 316, 10-100 PSI SPDT Banda muerta fija, 3/4" &amp; 1/2" NPT F, 1%</t>
  </si>
  <si>
    <t>6WPS0206F2F301U</t>
  </si>
  <si>
    <t>Presostato a prueba de explosiones Winters Serie 6WPS XL, Caja de aluminio fundido y partes húmedas de Ac. Inox 316, 35-200 PSI SPDT Banda muerta fija, 3/4" &amp; 1/2" NPT F, 1%</t>
  </si>
  <si>
    <t>6WPS0306F2F301U</t>
  </si>
  <si>
    <t>Presostato a prueba de explosiones Winters Serie 6WPS XL, Caja de aluminio fundido y partes húmedas de Ac. Inox 316, 50-300 PSI SPDT Banda muerta fija, 3/4" &amp; 1/2" NPT F, 1%</t>
  </si>
  <si>
    <t>6WPS0606F2F301U</t>
  </si>
  <si>
    <t>Presostato a prueba de explosiones Winters Serie 6WPS XL, Caja de aluminio fundido y partes húmedas de Ac. Inox 316, 100-600 PSI SPDT Banda muerta fija, 3/4" &amp; 1/2" NPT F, 1%</t>
  </si>
  <si>
    <t>6WPS1306F2F301U</t>
  </si>
  <si>
    <t>Presostato a prueba de explosiones Winters Serie 6WPS XL, Caja de aluminio fundido y partes húmedas de Ac. Inox 316, 100-1,300 PSI SPDT Banda muerta fija, 3/4" &amp; 1/2" NPT F, 1%</t>
  </si>
  <si>
    <t>6WPS2406F2F301U</t>
  </si>
  <si>
    <t>Presostato a prueba de explosiones Winters Serie 6WPS XL, Caja de aluminio fundido y partes húmedas de Ac. Inox 316, 300-2,400 PSI SPDT Banda muerta fija, 3/4" &amp; 1/2" NPT F, 1%</t>
  </si>
  <si>
    <t>6WPS4006F2F301U</t>
  </si>
  <si>
    <t>Presostato a prueba de explosiones Winters Serie 6WPS XL, Caja de aluminio fundido y partes húmedas de Ac. Inox 316, 400-4,000 PSI SPDT Banda muerta fija, 3/4" &amp; 1/2" NPT F, 1%</t>
  </si>
  <si>
    <t>6WPSA0106F4F301U</t>
  </si>
  <si>
    <t>Presostato a prueba de explosiones Winters Serie 6WPSA XL, Caja de aluminio fundido y partes húmedas de Ac. Inox 316D, 10-100 PSI SPDT Banda muerta ajustable, 3/4" &amp; 1/4" NPT F, 1%</t>
  </si>
  <si>
    <t>6WPSA0206F4F301U</t>
  </si>
  <si>
    <t>Presostato a prueba de explosiones Winters Serie 6WPSA XL, Caja de aluminio fundido y partes húmedas de Ac. Inox 316D, 35-200 PSI SPDT Banda muerta ajustable, 3/4" &amp; 1/4" NPT F, 1%</t>
  </si>
  <si>
    <t>6WPSA0306F4F301U</t>
  </si>
  <si>
    <t>Presostato a prueba de explosiones Winters Serie 6WPSA XL, Caja de aluminio fundido y partes húmedas de Ac. Inox 316D, 50-300 PSI SPDT Banda muerta ajustable, 3/4" &amp; 1/4" NPT F, 1%</t>
  </si>
  <si>
    <t>6WPSA0606F4F301U</t>
  </si>
  <si>
    <t>Presostato a prueba de explosiones Winters Serie 6WPSA XL, Caja de aluminio fundido y partes húmedas de Ac. Inox 316D, 100-600 PSI SPDT Banda muerta ajustable, 3/4" &amp; 1/4" NPT F, 1%</t>
  </si>
  <si>
    <t>6WPSA1306F4F301U</t>
  </si>
  <si>
    <t>Presostato a prueba de explosiones Winters Serie 6WPSA XL, Caja de aluminio fundido y partes húmedas de Ac. Inox 316D, 100-1,300 PSI SPDT Banda muerta ajustable, 3/4" &amp; 1/4" NPT F, 1%</t>
  </si>
  <si>
    <t>6WPSA0106F2F301U</t>
  </si>
  <si>
    <t>Presostato a prueba de explosiones Winters Serie 6WPSA XL, Caja de aluminio fundido y partes húmedas de Ac. Inox 316D, 10-100 PSI SPDT Banda muerta ajustable, 3/4" &amp; 1/2" NPT F, 1%</t>
  </si>
  <si>
    <t>6WPSA0206F2F301U</t>
  </si>
  <si>
    <t>Presostato a prueba de explosiones Winters Serie 6WPSA XL, Caja de aluminio fundido y partes húmedas de Ac. Inox 316D, 35-200 PSI SPDT Banda muerta ajustable, 3/4" &amp; 1/2" NPT F, 1%</t>
  </si>
  <si>
    <t>6WPSA0306F2F301U</t>
  </si>
  <si>
    <t>Presostato a prueba de explosiones Winters Serie 6WPSA XL, Caja de aluminio fundido y partes húmedas de Ac. Inox 316D, 50-300 PSI SPDT Banda muerta ajustable, 3/4" &amp; 1/2" NPT F, 1%</t>
  </si>
  <si>
    <t>6WPSA0606F2F301U</t>
  </si>
  <si>
    <t>Presostato a prueba de explosiones Winters Serie 6WPSA XL, Caja de aluminio fundido y partes húmedas de Ac. Inox 316D, 100-600 PSI SPDT Banda muerta ajustable, 3/4" &amp; 1/2" NPT F, 1%</t>
  </si>
  <si>
    <t>6WPSA1306F2F301U</t>
  </si>
  <si>
    <t>Presostato a prueba de explosiones Winters Serie 6WPSA XL, Caja de aluminio fundido y partes húmedas de Ac. Inox 316D, 100-1,300 PSI SPDT Banda muerta ajustable, 3/4" &amp; 1/2" NPT F, 1%</t>
  </si>
  <si>
    <t>PRESOSTATO Winters Serie 6WPS Y 6WPSA - NUMERO DE PARTE DE INGENIERIA</t>
  </si>
  <si>
    <t xml:space="preserve">6WPS - </t>
  </si>
  <si>
    <t>Rango de presión Min 10 / Max 100 / Banda muerta 2,8-6,4 / Presión de prueba 3.000 PSI</t>
  </si>
  <si>
    <t xml:space="preserve">6WPSA - </t>
  </si>
  <si>
    <t>Rango de presión Min 100 / Max 600 / Banda muerta 28-60 / Presión de prueba 3.000 PSI</t>
  </si>
  <si>
    <t>3/4" NPT Hembra (standard)</t>
  </si>
  <si>
    <t>4A</t>
  </si>
  <si>
    <t>Switch herméticamente sellado, 1 x SPDT, no disponible para banda muerta ajustable</t>
  </si>
  <si>
    <t>4B</t>
  </si>
  <si>
    <t>Switch herméticamente sellado, 2 x SPDT (un setpoint), no disponible para banda muerta ajustable</t>
  </si>
  <si>
    <t>U</t>
  </si>
  <si>
    <t>cULus Listed, Hazardous locations</t>
  </si>
  <si>
    <t>7WPS0016F4F301U</t>
  </si>
  <si>
    <t>Presostato a prueba de explosiones Winters Serie 7WPS XP, Caja de aluminio fundido y partes húmedas de Ac. Inox 316, 2-12 PSI SPDT Banda muerta fija, 3/4" &amp; 1/4" NPT F, 1%</t>
  </si>
  <si>
    <t>7WPS0106F4F301U</t>
  </si>
  <si>
    <t>Presostato a prueba de explosiones Winters Serie 7WPS XP, Caja de aluminio fundido y partes húmedas de Ac. Inox 316, 2-16 PSI SPDT Banda muerta fija, 3/4" &amp; 1/4" NPT F, 1%</t>
  </si>
  <si>
    <t>7WPS0206F4F301U</t>
  </si>
  <si>
    <t>Presostato a prueba de explosiones Winters Serie 7WPS XP, Caja de aluminio fundido y partes húmedas de Ac. Inox 316, 2-20 PSI SPDT Banda muerta fija, 3/4" &amp; 1/4" NPT F, 1%</t>
  </si>
  <si>
    <t>7WPS0306F4F301U</t>
  </si>
  <si>
    <t>Presostato a prueba de explosiones Winters Serie 7WPS XP, Caja de aluminio fundido y partes húmedas de Ac. Inox 316, 3-28 PSI SPDT Banda muerta fija, 3/4" &amp; 1/4" NPT F, 1%</t>
  </si>
  <si>
    <t>7WPS0406F4F301U</t>
  </si>
  <si>
    <t>Presostato a prueba de explosiones Winters Serie 7WPS XP, Caja de aluminio fundido y partes húmedas de Ac. Inox 316, 7-100 PSI SPDT Banda muerta fija, 3/4" &amp; 1/4" NPT F, 1%</t>
  </si>
  <si>
    <t>7WPS0016F2F301U</t>
  </si>
  <si>
    <t>Presostato a prueba de explosiones Winters Serie 7WPS XP, Caja de aluminio fundido y partes húmedas de Ac. Inox 316, 2-12 PSI SPDT Banda muerta ajustable, 3/4" &amp; 1/2" NPT F, 1%</t>
  </si>
  <si>
    <t>7WPS0106F2F301U</t>
  </si>
  <si>
    <t>Presostato a prueba de explosiones Winters Serie 7WPS XP, Caja de aluminio fundido y partes húmedas de Ac. Inox 316, 2-16 PSI SPDT Banda muerta ajustable, 3/4" &amp; 1/2" NPT F, 1%</t>
  </si>
  <si>
    <t>7WPS0206F2F301U</t>
  </si>
  <si>
    <t>Presostato a prueba de explosiones Winters Serie 7WPS XP, Caja de aluminio fundido y partes húmedas de Ac. Inox 316, 2-20 PSI SPDT Banda muerta ajustable, 3/4" &amp; 1/2" NPT F, 1%</t>
  </si>
  <si>
    <t>7WPS0306F2F301U</t>
  </si>
  <si>
    <t>Presostato a prueba de explosiones Winters Serie 7WPS XP, Caja de aluminio fundido y partes húmedas de Ac. Inox 316, 3-28 PSI SPDT Banda muerta ajustable, 3/4" &amp; 1/2" NPT F, 1%</t>
  </si>
  <si>
    <t>7WPS0406F2F301U</t>
  </si>
  <si>
    <t>Presostato a prueba de explosiones Winters Serie 7WPS XP, Caja de aluminio fundido y partes húmedas de Ac. Inox 316, 7-100 PSI SPDT Banda muerta ajustable, 3/4" &amp; 1/2" NPT F, 1%</t>
  </si>
  <si>
    <t>7WPSA0016F4F301U</t>
  </si>
  <si>
    <t>Presostato a prueba de explosiones Winters Serie 7WPSA XP, Caja de aluminio fundido y partes húmedas de Ac. Inox 316, 2-12 PSI SPDT Banda muerta ajustable, 3/4" &amp; 1/4" NPT F, 1%</t>
  </si>
  <si>
    <t>7WPSA0106F4F301U</t>
  </si>
  <si>
    <t>Presostato a prueba de explosiones Winters Serie 7WPSA XP, Caja de aluminio fundido y partes húmedas de Ac. Inox 316, 2-16 PSI SPDT Banda muerta ajustable, 3/4" &amp; 1/4" NPT F, 1%</t>
  </si>
  <si>
    <t>7WPSA0206F4F301U</t>
  </si>
  <si>
    <t>Presostato a prueba de explosiones Winters Serie 7WPSA XP, Caja de aluminio fundido y partes húmedas de Ac. Inox 316, 2-20 PSI SPDT Banda muerta ajustable, 3/4" &amp; 1/4" NPT F, 1%</t>
  </si>
  <si>
    <t>7WPSA0306F4F301U</t>
  </si>
  <si>
    <t>Presostato a prueba de explosiones Winters Serie 7WPSA XP, Caja de aluminio fundido y partes húmedas de Ac. Inox 316, 3-28 PSI SPDT Banda muerta ajustable, 3/4" &amp; 1/4" NPT F, 1%</t>
  </si>
  <si>
    <t>7WPSA0406F4F301U</t>
  </si>
  <si>
    <t>Presostato a prueba de explosiones Winters Serie 7WPSA XP, Caja de aluminio fundido y partes húmedas de Ac. Inox 316, 7-100 PSI SPDT Banda muerta ajustable, 3/4" &amp; 1/4" NPT F, 1%</t>
  </si>
  <si>
    <t>7WPSA0016F2F301U</t>
  </si>
  <si>
    <t>Presostato a prueba de explosiones Winters Serie 7WPSA XP, Caja de aluminio fundido y partes húmedas de Ac. Inox 316, 2-12 PSI SPDT Banda muerta ajustable, 3/4" &amp; 1/2" NPT F, 1%</t>
  </si>
  <si>
    <t>7WPSA0106F2F301U</t>
  </si>
  <si>
    <t>Presostato a prueba de explosiones Winters Serie 7WPSA XP, Caja de aluminio fundido y partes húmedas de Ac. Inox 316, 2-16 PSI SPDT Banda muerta ajustable, 3/4" &amp; 1/2" NPT F, 1%</t>
  </si>
  <si>
    <t>7WPSA0206F2F301U</t>
  </si>
  <si>
    <t>Presostato a prueba de explosiones Winters Serie 7WPSA XP, Caja de aluminio fundido y partes húmedas de Ac. Inox 316, 2-20 PSI SPDT Banda muerta ajustable, 3/4" &amp; 1/2" NPT F, 1%</t>
  </si>
  <si>
    <t>7WPSA0306F2F301U</t>
  </si>
  <si>
    <t>Presostato a prueba de explosiones Winters Serie 7WPSA XP, Caja de aluminio fundido y partes húmedas de Ac. Inox 316, 3-28 PSI SPDT Banda muerta ajustable, 3/4" &amp; 1/2" NPT F, 1%</t>
  </si>
  <si>
    <t>7WPSA0406F2F301U</t>
  </si>
  <si>
    <t>Presostato a prueba de explosiones Winters Serie 7WPSA XP, Caja de aluminio fundido y partes húmedas de Ac. Inox 316, 7-100 PSI SPDT Banda muerta ajustable, 3/4" &amp; 1/2" NPT F, 1%</t>
  </si>
  <si>
    <t>PRESOSTATO Winters Serie 7WPS Y 7WPSA - NUMERO DE PARTE DE INGENIERIA</t>
  </si>
  <si>
    <t xml:space="preserve">7WPS - </t>
  </si>
  <si>
    <t>Rango de presión Min 7 / Max 100 / Banda muerta 0,7-2.0 / Presión de prueba 1.000 PSI</t>
  </si>
  <si>
    <t xml:space="preserve">7WPSA - </t>
  </si>
  <si>
    <t>8WPSV1306F4F301U</t>
  </si>
  <si>
    <t>Presostato a prueba de explosiones Winters Serie 8WPSV XP, Caja de aluminio fundido, partes húmedas de Ac. Inox 316 y membrana de VITON, -25/-760 MMHG SPDT Banda muerta fija, 3/4" &amp; 1/4" NPT F, 1%</t>
  </si>
  <si>
    <t>8WPS0016F4F301U</t>
  </si>
  <si>
    <t>Presostato a prueba de explosiones Winters Serie 8WPS XP, Caja de aluminio fundido y partes húmedas de Ac. Inox 316, 0.05-1.8 PSI SPDT Banda muerta fija, 3/4" &amp; 1/4" NPT M, 1%</t>
  </si>
  <si>
    <t>8WPS0106F4F301U</t>
  </si>
  <si>
    <t>Presostato a prueba de explosiones Winters Serie 8WPS XP, Caja de aluminio fundido y partes húmedas de Ac. Inox 316, 0.4-2.8 PSI SPDT Banda muerta fija, 3/4" &amp; 1/4" NPT M, 1%</t>
  </si>
  <si>
    <t>8WPS0206F4F301U</t>
  </si>
  <si>
    <t>Presostato a prueba de explosiones Winters Serie 8WPS XP, Caja de aluminio fundido y partes húmedas de Ac. Inox 316, 0.4-5.0 PSI SPDT Banda muerta fija, 3/4" &amp; 1/4" NPT M, 1%</t>
  </si>
  <si>
    <t>8WPS0306F4F301U</t>
  </si>
  <si>
    <t>Presostato a prueba de explosiones Winters Serie 8WPS XP, Caja de aluminio fundido y partes húmedas de Ac. Inox 316, 1.6-9.8 PSI SPDT Banda muerta fija, 3/4" &amp; 1/4" NPT M, 1%</t>
  </si>
  <si>
    <t>8WPSV1306F2F301U</t>
  </si>
  <si>
    <t>Presostato a prueba de explosiones Winters Serie 8WPSV XP, Caja de aluminio fundido, partes húmedas de Ac. Inox 316 y membrana de VITON, -25/-760 MMHG SPDT Banda muerta fija, 3/4" &amp; 1/2" NPT F, 1%</t>
  </si>
  <si>
    <t>8WPS0016F2F301U</t>
  </si>
  <si>
    <t>Presostato a prueba de explosiones Winters Serie 8WPS XP, Caja de aluminio fundido y partes húmedas de Ac. Inox 316, 0.05-1.8 PSI SPDT Banda muerta fija, 3/4" &amp; 1/2" NPT M, 1%</t>
  </si>
  <si>
    <t>8WPS0106F2F301U</t>
  </si>
  <si>
    <t>Presostato a prueba de explosiones Winters Serie 8WPS XP, Caja de aluminio fundido y partes húmedas de Ac. Inox 316, 0.4-2.8 PSI SPDT Banda muerta fija, 3/4" &amp; 1/2" NPT M, 1%</t>
  </si>
  <si>
    <t>8WPS0206F2F301U</t>
  </si>
  <si>
    <t>Presostato a prueba de explosiones Winters Serie 8WPS XP, Caja de aluminio fundido y partes húmedas de Ac. Inox 316, 0.4-5.0 PSI SPDT Banda muerta fija, 3/4" &amp; 1/2" NPT M, 1%</t>
  </si>
  <si>
    <t>8WPS0306F2F301U</t>
  </si>
  <si>
    <t>Presostato a prueba de explosiones Winters Serie 8WPS XP, Caja de aluminio fundido y partes húmedas de Ac. Inox 316, 1.6-9.8 PSI SPDT Banda muerta fija, 3/4" &amp; 1/2" NPT M, 1%</t>
  </si>
  <si>
    <t>PRESOSTATO Winters Serie 8WPS Y 8WPSV - NUMERO DE PARTE DE INGENIERIA</t>
  </si>
  <si>
    <t xml:space="preserve">8WPS - </t>
  </si>
  <si>
    <t>Presiones bajas (psi)</t>
  </si>
  <si>
    <t>Rango de presión Min 0,05 / Max 1,8 / Banda muerta 0,015-0,3 / Presión de prueba 500 PSI</t>
  </si>
  <si>
    <t>Rango de presión Min 0,4 / Max 2,8 / Banda muerta 0,015-0,3 / Presión de prueba 500 PSI</t>
  </si>
  <si>
    <t>Rango de presión Min 0,4 / Max 5.0 / Banda muerta 0,3-0,6 / Presión de prueba 500 PSI</t>
  </si>
  <si>
    <t>Rango de presión Min 1,6 / Max 9,8 / Banda muerta 0,3-0,8 / Presión de prueba 500 PSI</t>
  </si>
  <si>
    <t xml:space="preserve">8WPSV - </t>
  </si>
  <si>
    <t>Rangos de vacío (mmHg)</t>
  </si>
  <si>
    <t>Rango de presión Min -25 / Max -760 / Banda muerta 10-20 / Presión de prueba 1.000 PSI</t>
  </si>
  <si>
    <t>Switch herméticamente sellado, 1 x SPDT</t>
  </si>
  <si>
    <t>Switch herméticamente sellado, 2 x SPDT (one setpoint)</t>
  </si>
  <si>
    <t>9WPSV01N4</t>
  </si>
  <si>
    <t>Presostato compacto a prueba de explosiones Winters Serie 9WPS, todo Ac. Inox., -1/30" HG (-1/0 bar), SPDT Banda muerta fija, 1/4" NPTH, NEMA 4X, Aprobación CSA para zonas peligrosas.</t>
  </si>
  <si>
    <t>9WPSL06N4</t>
  </si>
  <si>
    <t>Presostato compacto a prueba de explosiones Winters Serie 9WPS, todo Ac. Inox., 1/30 psi (0,06/2 bar), SPDT Banda muerta fija, 1/4" NPTH, NEMA 4X, Aprobación CSA para zonas peligrosas.</t>
  </si>
  <si>
    <t>9WPSL02N4</t>
  </si>
  <si>
    <t>Presostato compacto a prueba de explosiones Winters Serie 9WPS, todo Ac. Inox., 2/15 psi (0,13/1 bar), SPDT Banda muerta fija, 1/4" NPTH, NEMA 4X, Aprobación CSA para zonas peligrosas.</t>
  </si>
  <si>
    <t>9WPSL03N4</t>
  </si>
  <si>
    <t>Presostato compacto a prueba de explosiones Winters Serie 9WPS, todo Ac. Inox., 5/150 psi (0,3/10,3 bar), SPDT Banda muerta fija, 1/4" NPTH, NEMA 4X, Aprobación CSA para zonas peligrosas.</t>
  </si>
  <si>
    <t>9WPSL04N4</t>
  </si>
  <si>
    <t>Presostato compacto a prueba de explosiones Winters Serie 9WPS, todo Ac. Inox., 25/300 psi (1,7/20,6 bar), SPDT Banda muerta fija, 1/4" NPTH, NEMA 4X, Aprobación CSA para zonas peligrosas.</t>
  </si>
  <si>
    <t>9WPSL05N4</t>
  </si>
  <si>
    <t>Presostato compacto a prueba de explosiones Winters Serie 9WPS, todo Ac. Inox., 50/500 psi (3,4/34,5 bar), SPDT Banda muerta fija, 1/4" NPTH, NEMA 4X, Aprobación CSA para zonas peligrosas.</t>
  </si>
  <si>
    <t>9WPSH06N4</t>
  </si>
  <si>
    <t>Presostato compacto a prueba de explosiones Winters Serie 9WPS, todo Ac. Inox., 100/750 psi (6,9/51,7 bar), SPDT Banda muerta fija, 1/4" NPTH, NEMA 4X, Aprobación CSA para zonas peligrosas.</t>
  </si>
  <si>
    <t>9WPSH07N4</t>
  </si>
  <si>
    <t>Presostato compacto a prueba de explosiones Winters Serie 9WPS, todo Ac. Inox., 150/1.000 psi (10,3/69 bar), SPDT Banda muerta fija, 1/4" NPTH, NEMA 4X, Aprobación CSA para zonas peligrosas.</t>
  </si>
  <si>
    <t>9WPSH11N4</t>
  </si>
  <si>
    <t>Presostato compacto a prueba de explosiones Winters Serie 9WPS, todo Ac. Inox., 150/3.000 psi (10,3/206,9 bar), SPDT Banda muerta fija, 1/4" NPTH, NEMA 4X, Aprobación CSA para zonas peligrosas.</t>
  </si>
  <si>
    <t>9WPSH08N4</t>
  </si>
  <si>
    <t>Presostato compacto a prueba de explosiones Winters Serie 9WPS, todo Ac. Inox., 400/3.000 psi (27,6/206,9 bar), SPDT Banda muerta fija, 1/4" NPTH, NEMA 4X, Aprobación CSA para zonas peligrosas.</t>
  </si>
  <si>
    <t>9WPSH09N4</t>
  </si>
  <si>
    <t>Presostato compacto a prueba de explosiones Winters Serie 9WPS, todo Ac. Inox., 700/5.000 psi (48,2/345 bar), SPDT Banda muerta fija, 1/4" NPTH, NEMA 4X, Aprobación CSA para zonas peligrosas.</t>
  </si>
  <si>
    <t>9WPSH10N4</t>
  </si>
  <si>
    <t>Presostato compacto a prueba de explosiones Winters Serie 9WPS, todo Ac. Inox., 1.000/7.500 psi (69/517,2 bar), SPDT Banda muerta fija, 1/4" NPTH, NEMA 4X, Aprobación CSA para zonas peligrosas.</t>
  </si>
  <si>
    <t>9WPSH12N4</t>
  </si>
  <si>
    <t>Presostato compacto a prueba de explosiones Winters Serie 9WPS, todo Ac. Inox., 5.000/10.000 psi (344,8/689,6 bar), SPDT Banda muerta fija, 1/4" NPTH, NEMA 4X, Aprobación CSA para zonas peligrosas.</t>
  </si>
  <si>
    <t>9WPSV01N2</t>
  </si>
  <si>
    <t>Presostato compacto a prueba de explosiones Winters Serie 9WPS, todo Ac. Inox., -1/30" HG (-1/0 bar), SPDT Banda muerta fija, 1/2" NPTH, NEMA 4X, Aprobación CSA para zonas peligrosas.</t>
  </si>
  <si>
    <t>9WPSL06N2</t>
  </si>
  <si>
    <t>Presostato compacto a prueba de explosiones Winters Serie 9WPS, todo Ac. Inox., 1/30 psi (0,06/2 bar), SPDT Banda muerta fija, 1/2" NPTH, NEMA 4X, Aprobación CSA para zonas peligrosas.</t>
  </si>
  <si>
    <t>9WPSL02N2</t>
  </si>
  <si>
    <t>Presostato compacto a prueba de explosiones Winters Serie 9WPS, todo Ac. Inox., 2/15 psi (0,13/1 bar), SPDT Banda muerta fija, 1/2" NPTH, NEMA 4X, Aprobación CSA para zonas peligrosas.</t>
  </si>
  <si>
    <t>9WPSL03N2</t>
  </si>
  <si>
    <t>Presostato compacto a prueba de explosiones Winters Serie 9WPS, todo Ac. Inox., 5/150 psi (0,3/10,3 bar), SPDT Banda muerta fija, 1/2" NPTH, NEMA 4X, Aprobación CSA para zonas peligrosas.</t>
  </si>
  <si>
    <t>9WPSL04N2</t>
  </si>
  <si>
    <t>Presostato compacto a prueba de explosiones Winters Serie 9WPS, todo Ac. Inox., 25/300 psi (1,7/20,6 bar), SPDT Banda muerta fija, 1/2" NPTH, NEMA 4X, Aprobación CSA para zonas peligrosas.</t>
  </si>
  <si>
    <t>9WPSL05N2</t>
  </si>
  <si>
    <t>Presostato compacto a prueba de explosiones Winters Serie 9WPS, todo Ac. Inox., 50/500 psi (3,4/34,5 bar), SPDT Banda muerta fija, 1/2" NPTH, NEMA 4X, Aprobación CSA para zonas peligrosas.</t>
  </si>
  <si>
    <t>9WPSH06N2</t>
  </si>
  <si>
    <t>Presostato compacto a prueba de explosiones Winters Serie 9WPS, todo Ac. Inox., 100/750 psi (6,9/51,7 bar), SPDT Banda muerta fija, 1/2" NPTH, NEMA 4X, Aprobación CSA para zonas peligrosas.</t>
  </si>
  <si>
    <t>9WPSH07N2</t>
  </si>
  <si>
    <t>Presostato compacto a prueba de explosiones Winters Serie 9WPS, todo Ac. Inox., 150/1.000 psi (10,3/69 bar), SPDT Banda muerta fija, 1/2" NPTH, NEMA 4X, Aprobación CSA para zonas peligrosas.</t>
  </si>
  <si>
    <t>9WPSH11N2</t>
  </si>
  <si>
    <t>Presostato compacto a prueba de explosiones Winters Serie 9WPS, todo Ac. Inox., 150/3.000 psi (10,3/207 bar), SPDT Banda muerta fija, 1/2" NPTH, NEMA 4X, Aprobación CSA para zonas peligrosas.</t>
  </si>
  <si>
    <t>9WPSH08N2</t>
  </si>
  <si>
    <t>Presostato compacto a prueba de explosiones Winters Serie 9WPS, todo Ac. Inox., 400/3.000 psi (27,6/207 bar), SPDT Banda muerta fija, 1/2" NPTH, NEMA 4X, Aprobación CSA para zonas peligrosas.</t>
  </si>
  <si>
    <t>9WPSH09N2</t>
  </si>
  <si>
    <t>Presostato compacto a prueba de explosiones Winters Serie 9WPS, todo Ac. Inox., 700/5.000 psi (48,2/345 bar), SPDT Banda muerta fija, 1/2" NPTH, NEMA 4X, Aprobación CSA para zonas peligrosas.</t>
  </si>
  <si>
    <t>9WPSH10N2</t>
  </si>
  <si>
    <t>Presostato compacto a prueba de explosiones Winters Serie 9WPS, todo Ac. Inox., 1.000/7.500 psi (69/517,2 bar), SPDT Banda muerta fija, 1/2" NPTH, NEMA 4X, Aprobación CSA para zonas peligrosas.</t>
  </si>
  <si>
    <t>9WPSH12N2</t>
  </si>
  <si>
    <t>Presostato compacto a prueba de explosiones Winters Serie 9WPS, todo Ac. Inox., 5.000/10.000 psi (344,8/689,6 bar), SPDT Banda muerta fija, 1/2" NPTH, NEMA 4X, Aprobación CSA para zonas peligrosas.</t>
  </si>
  <si>
    <t>9WPSV012CCVN4S</t>
  </si>
  <si>
    <t>Presostato Compacto a prueba de explosiones Winters Serie 9WPS, todo Ac. Inox., -1"/30" HG (-1/0 bar), DPDT Banda muerta fija, 1/4" NPTH, NEMA 4X, Aprobación CSA para zonas peligrosas.</t>
  </si>
  <si>
    <t>9WPSL062CCVN4S</t>
  </si>
  <si>
    <t>Presostato compacto a prueba de explosiones Winters Serie 9WPS, todo Ac. Inox., 1/30 psi (0,06/2 bar), DPDT Banda muerta fija, 1/4" NPTH, NEMA 4X, Aprobación CSA para zonas peligrosas.</t>
  </si>
  <si>
    <t>9WPSL022CCVN4S</t>
  </si>
  <si>
    <t>Presostato compacto a prueba de explosiones Winters Serie 9WPS, todo Ac. Inox., 2/15 psi (0,13/1 bar), DPDT Banda muerta fija, 1/4" NPTH, NEMA 4X, Aprobación CSA para zonas peligrosas.</t>
  </si>
  <si>
    <t>9WPSL032CCVN4S</t>
  </si>
  <si>
    <t>Presostato compacto a prueba de explosiones Winters Serie 9WPS, todo Ac. Inox., 5/150 psi (0,3/10,3 bar), DPDT Banda muerta fija, 1/4" NPTH, NEMA 4X, Aprobación CSA para zonas peligrosas.</t>
  </si>
  <si>
    <t>9WPSL042CCVN4S</t>
  </si>
  <si>
    <t>Presostato compacto a prueba de explosiones Winters Serie 9WPS, todo Ac. Inox., 25/300 psi (1,7/20,6 bar), DPDT Banda muerta fija, 1/4" NPTH, NEMA 4X, Aprobación CSA para zonas peligrosas.</t>
  </si>
  <si>
    <t>9WPSL052CCVN4S</t>
  </si>
  <si>
    <t>Presostato compacto a prueba de explosiones Winters Serie 9WPS, todo Ac. Inox., 50/500 psi (3,4/34,5 bar), DPDT Banda muerta fija, 1/4" NPTH, NEMA 4X, Aprobación CSA para zonas peligrosas.</t>
  </si>
  <si>
    <t>9WPSH062CCVN4S</t>
  </si>
  <si>
    <t>Presostato compacto a prueba de explosiones Winters Serie 9WPS, todo Ac. Inox., 100/750 psi (6,9/51,7 bar), DPDT Banda muerta fija, 1/4" NPTH, NEMA 4X, Aprobación CSA para zonas peligrosas.</t>
  </si>
  <si>
    <t>9WPSH072CCVN4S</t>
  </si>
  <si>
    <t>Presostato compacto a prueba de explosiones Winters Serie 9WPS, todo Ac. Inox., 150/1.000 psi (10,3/69 bar), DPDT Banda muerta fija, 1/4" NPTH, NEMA 4X, Aprobación CSA para zonas peligrosas.</t>
  </si>
  <si>
    <t>9WPSH112CCVN4S</t>
  </si>
  <si>
    <t>Presostato compacto a prueba de explosiones Winters Serie 9WPS, todo Ac. Inox., 150/3.000 psi (10,3/206,9 bar), DPDT Banda muerta fija, 1/4" NPTH, NEMA 4X, Aprobación CSA para zonas peligrosas.</t>
  </si>
  <si>
    <t>9WPSH082CCVN4S</t>
  </si>
  <si>
    <t>Presostato compacto a prueba de explosiones Winters Serie 9WPS, todo Ac. Inox., 400/3.000 psi (27,6/206,9 bar), DPDT Banda muerta fija, 1/4" NPTH, NEMA 4X, Aprobación CSA para zonas peligrosas.</t>
  </si>
  <si>
    <t>9WPSH092CCVN4S</t>
  </si>
  <si>
    <t>Presostato compacto a prueba de explosiones Winters Serie 9WPS, todo Ac. Inox., 700/5.000 psi (48,2/345 bar), DPDT Banda muerta fija, 1/4" NPTH, NEMA 4X, Aprobación CSA para zonas peligrosas.</t>
  </si>
  <si>
    <t>9WPSH102CCVN4S</t>
  </si>
  <si>
    <t>Presostato compacto a prueba de explosiones Winters Serie 9WPS, todo Ac. Inox., 1.000/7.500 psi (69/517,2 bar), DPDT Banda muerta fija, 1/4" NPTH, NEMA 4X, Aprobación CSA para zonas peligrosas.</t>
  </si>
  <si>
    <t>9WPSH122CCVN4S</t>
  </si>
  <si>
    <t>Presostato compacto a prueba de explosiones Winters Serie 9WPS, todo Ac. Inox., 5.000/10.000 psi (344,8/689,6 bar), DPDT Banda muerta fija, 1/4" NPTH, NEMA 4X, Aprobación CSA para zonas peligrosas.</t>
  </si>
  <si>
    <t>9WPSV012CCVN2S</t>
  </si>
  <si>
    <t>Presostato Compacto a prueba de explosiones Winters Serie 9WPS, todo Ac. Inox., -1"/30" HG (-1/0 bar), DPDT Banda muerta fija, 1/2" NPTH, NEMA 4X, Aprobación CSA para zonas peligrosas.</t>
  </si>
  <si>
    <t>9WPSL062CCVN2S</t>
  </si>
  <si>
    <t>Presostato compacto a prueba de explosiones Winters Serie 9WPS, todo Ac. Inox., 1/30 psi (0,06/2 bar), DPDT Banda muerta fija, 1/2" NPTH, NEMA 4X, Aprobación CSA para zonas peligrosas.</t>
  </si>
  <si>
    <t>9WPSL022CCVN2S</t>
  </si>
  <si>
    <t>Presostato compacto a prueba de explosiones Winters Serie 9WPS, todo Ac. Inox., 2/15 psi (0,13/1 bar), DPDT Banda muerta fija, 1/2" NPTH, NEMA 4X, Aprobación CSA para zonas peligrosas.</t>
  </si>
  <si>
    <t>9WPSL032CCVN2S</t>
  </si>
  <si>
    <t>Presostato compacto a prueba de explosiones Winters Serie 9WPS, todo Ac. Inox., 5/150 psi (0,3/10,3 bar), DPDT Banda muerta fija, 1/2" NPTH, NEMA 4X, Aprobación CSA para zonas peligrosas.</t>
  </si>
  <si>
    <t>9WPSL042CCVN2S</t>
  </si>
  <si>
    <t>Presostato compacto a prueba de explosiones Winters Serie 9WPS, todo Ac. Inox., 25/300 psi (1,7/20,6 bar), DPDT Banda muerta fija, 1/2" NPTH, NEMA 4X, Aprobación CSA para zonas peligrosas.</t>
  </si>
  <si>
    <t>9WPSL052CCVN2S</t>
  </si>
  <si>
    <t>Presostato compacto a prueba de explosiones Winters Serie 9WPS, todo Ac. Inox., 50/500 psi (3,4/34,5 bar), DPDT Banda muerta fija, 1/2" NPTH, NEMA 4X, Aprobación CSA para zonas peligrosas.</t>
  </si>
  <si>
    <t>9WPSH062CCVN2S</t>
  </si>
  <si>
    <t>Presostato compacto a prueba de explosiones Winters Serie 9WPS, todo Ac. Inox., 100/750 psi (6,9/51,7 bar), DPDT Banda muerta fija, 1/2" NPTH, NEMA 4X, Aprobación CSA para zonas peligrosas.</t>
  </si>
  <si>
    <t>9WPSH072CCVN2S</t>
  </si>
  <si>
    <t>Presostato compacto a prueba de explosiones Winters Serie 9WPS, todo Ac. Inox., 150/1.000 psi (10,3/69 bar), DPDT Banda muerta fija, 1/2" NPTH, NEMA 4X, Aprobación CSA para zonas peligrosas.</t>
  </si>
  <si>
    <t>9WPSH112CCVN2S</t>
  </si>
  <si>
    <t>Presostato compacto a prueba de explosiones Winters Serie 9WPS, todo Ac. Inox., 150/3.000 psi (10,3/207 bar), DPDT Banda muerta fija, 1/2" NPTH, NEMA 4X, Aprobación CSA para zonas peligrosas.</t>
  </si>
  <si>
    <t>9WPSH082CCVN2S</t>
  </si>
  <si>
    <t>Presostato compacto a prueba de explosiones Winters Serie 9WPS, todo Ac. Inox., 400/3.000 psi (27,6/207 bar), DPDT Banda muerta fija, 1/2" NPTH, NEMA 4X, Aprobación CSA para zonas peligrosas.</t>
  </si>
  <si>
    <t>9WPSH092CCVN2S</t>
  </si>
  <si>
    <t>Presostato compacto a prueba de explosiones Winters Serie 9WPS, todo Ac. Inox., 700/5.000 psi (48,2/345 bar), DPDT Banda muerta fija, 1/2" NPTH, NEMA 4X, Aprobación CSA para zonas peligrosas.</t>
  </si>
  <si>
    <t>9WPSH102CCVN2S</t>
  </si>
  <si>
    <t>Presostato compacto a prueba de explosiones Winters Serie 9WPS, todo Ac. Inox., 1.000/7.500 psi (69/517,2 bar), DPDT Banda muerta fija, 1/2" NPTH, NEMA 4X, Aprobación CSA para zonas peligrosas.</t>
  </si>
  <si>
    <t>9WPSH122CCVN2S</t>
  </si>
  <si>
    <t>Presostato compacto a prueba de explosiones Winters Serie 9WPS, todo Ac. Inox., 5.000/10.000 psi (344,8/689,6 bar), DPDT Banda muerta fija, 1/2" NPTH, NEMA 4X, Aprobación CSA para zonas peligrosas.</t>
  </si>
  <si>
    <t>10WPSL2406F2F301U</t>
  </si>
  <si>
    <t>Presostato a prueba de explosiones Winters Serie 10WPSL, AL + SS + TI WELDED, 400-1,900 MMH2O SPDT Banda muerta fija, 3/4" &amp; 1/4" NPT F, 1%</t>
  </si>
  <si>
    <t>10WPSL4006F2F301U</t>
  </si>
  <si>
    <t>Presostato a prueba de explosiones Winters Serie 10WPSL, AL + SS + TI WELDED, 1,000-10,000 MMH2O SPDT Banda muerta fija, 3/4" &amp; 1/4" NPT F, 1%</t>
  </si>
  <si>
    <t>10WPS0106F2F301U</t>
  </si>
  <si>
    <t>Presostato a prueba de explosiones Winters Serie 10WPS, Caja de aluminio fundido y partes húmedas de Ac. Inox 316, 3-28 PSI SPDT Banda muerta fija, 3/4" &amp; 1/4" NPT F, 1%</t>
  </si>
  <si>
    <t>10WPS0206F2F301U</t>
  </si>
  <si>
    <t>Presostato a prueba de explosiones Winters Serie 10WPS, Caja de aluminio fundido y partes húmedas de Ac. Inox 316, 7-100 PSI SPDT Banda muerta fija, 3/4" &amp; 1/4" NPT F, 1%</t>
  </si>
  <si>
    <t>10WPS0306F2F301U</t>
  </si>
  <si>
    <t>Presostato a prueba de explosiones Winters Serie 10WPS, Caja de aluminio fundido y partes húmedas de Ac. Inox 316, 35-200 PSI SPDT Banda muerta fija, 3/4" &amp; 1/4" NPT F, 1%</t>
  </si>
  <si>
    <t>10WPS0406F2F301U</t>
  </si>
  <si>
    <t>Presostato a prueba de explosiones Winters Serie 10WPS, Caja de aluminio fundido y partes húmedas de Ac. Inox 316, 50-500 PSI SPDT Banda muerta fija, 3/4" &amp; 1/4" NPT F, 1%</t>
  </si>
  <si>
    <t>PRESOSTATO Winters Serie 10WPS Y 10WPSL - NUMERO DE PARTE DE INGENIERIA</t>
  </si>
  <si>
    <t xml:space="preserve">10WPS - </t>
  </si>
  <si>
    <t>Rango de presión Min 3 / Max 28 / Banda muerta 0,15-1,4 / Presión de prueba 1.000 PSI</t>
  </si>
  <si>
    <t xml:space="preserve">10WPSL - </t>
  </si>
  <si>
    <t>Rangos de vacío (mmH2O)</t>
  </si>
  <si>
    <t>LY49</t>
  </si>
  <si>
    <t>Presostato con salida 4…20 mA Winters Serie LY49; 4-20mA 3 hilos, contactos: PNP unidireccional, NPN unidireccional, conexión eléctrica M12, caja y conex. a proceso 316L, 1/4 NPT, cable por metro</t>
  </si>
  <si>
    <t>LY49-CABLE</t>
  </si>
  <si>
    <t>Cable por metro para salida de Presostato Winters Serie LY49</t>
  </si>
  <si>
    <t>LY49G05BAR12P12222NB3LO</t>
  </si>
  <si>
    <t>Presostato con salida 4…20 mA Winters Serie LY49; 0…5 bar, 4-20mA 3 hilos, contactos: PNP unidireccional, NPN unidireccional, conexión eléctrica M12, caja y conex. a proceso 316L, 1/4 NPT, cable por metro</t>
  </si>
  <si>
    <t>D12PTFE1412</t>
  </si>
  <si>
    <t>Sello de diafragma Winters Serie D12, PTFE/AISI316, Sup AISI316, diafragma PTFE, Inf PTFE 1/4 NPTH x 1/2 BSPTM, 260°C</t>
  </si>
  <si>
    <t>D12PTFE1414</t>
  </si>
  <si>
    <t>Sello de diafragma Winters Serie D12, PTFE/AISI316, Sup AISI316, diafragma PTFE, Inf PTFE 1/4 NPTH x 1/4 BSPTM, 260°C</t>
  </si>
  <si>
    <t>D12PTFE1212</t>
  </si>
  <si>
    <t>Sello de diafragma Winters Serie D12, PTFE/AISI316, Sup AISI316, diafragma PTFE, Inf PTFE 1/2 NPTH x 1/2 BSPTM, 260°C</t>
  </si>
  <si>
    <t>D12PTFE1212-NPT</t>
  </si>
  <si>
    <t>Sello de diafragma Winters Serie D12, cuerpo 316 Ac. Inox., partes humedas PTFE, 1/2"NPTHx1/2"NPTM, 16 a 126°C / -11 a 145 psi</t>
  </si>
  <si>
    <t>D12PTFE1412-NPT</t>
  </si>
  <si>
    <t>Sello de diafragma Winters Serie D12, cuerpo 316 Ac. Inox., partes humedas PTFE, 1/4"NPTHx1/2"NPTM, 16 a 126°C / -11 a 145 psi</t>
  </si>
  <si>
    <t>D12PTFE1414-NPT</t>
  </si>
  <si>
    <t>Sello de diafragma Winters Serie D12, cuerpo 316 Ac. Inox., partes humedas PTFE, 1/4"NPTHx1/4"NPTM, 16 a 126°C / -11 a 145 psi</t>
  </si>
  <si>
    <t>D15992</t>
  </si>
  <si>
    <t>Sello de diafragma Winters Serie D15, 1/4"NPTF x 3/4"NPTM, Ac. Inox. 316 - presión de operación máxima: 400 bar</t>
  </si>
  <si>
    <t>D15990</t>
  </si>
  <si>
    <t>Sello de diafragma Winters Serie D15, 1/2" F X 1/2" M para presiones bajas - presión de operación máxima: 400 bar</t>
  </si>
  <si>
    <t>D15-1/2X1</t>
  </si>
  <si>
    <t>Sello de diafragma Winters Serie D15, 1/2" F X 1" M para presiones bajas - presión de operación máxima: 400 bar</t>
  </si>
  <si>
    <t>D20980</t>
  </si>
  <si>
    <t>Sello de diafragma Winters Serie D20, Tri-Clamp 1,5", Conexión a manómetro 1/4" NPT Hembra</t>
  </si>
  <si>
    <t>D20980-1/2</t>
  </si>
  <si>
    <t>Sello de diafragma Winters Serie D20, Tri-Clamp 1,5", Conexión a manómetro 1/2" NPT Hembra</t>
  </si>
  <si>
    <t>D20976</t>
  </si>
  <si>
    <t>Sello de diafragma Winters Serie D20, Tri-Clamp 2", Conexión a manómetro 1/4" NPT Hembra</t>
  </si>
  <si>
    <t>D20976-1/2</t>
  </si>
  <si>
    <t>Sello de diafragma Winters Serie D20, Tri-Clamp 2", Conexión a manómetro 1/2" NPT Hembra</t>
  </si>
  <si>
    <t>D20976-D50mm</t>
  </si>
  <si>
    <t>Sello de diafragma Winters Serie D20, Tri-Clamp 2", Conexión a manómetro D50mm</t>
  </si>
  <si>
    <t>D26DDLL</t>
  </si>
  <si>
    <t>Sello de diafragma Winters Serie D26, conexión sanitaria DIN11851 DN25 hembra 1/2NPT, cuerpo en Ac. Inox AISI316 y membrana en AC. INOX. 316L, membrana soldada, union roscada.</t>
  </si>
  <si>
    <t>DIN11851-DN25H</t>
  </si>
  <si>
    <t>D26DCLL</t>
  </si>
  <si>
    <t>Sello de diafragma Winters Serie D26, conexión sanitaria DIN11851 DN32 hembra 1/2NPT, cuerpo en Ac. Inox AISI316 y membrana en AC. INOX. 316L, membrana soldada, union roscada.</t>
  </si>
  <si>
    <t>DIN11851-DN32H</t>
  </si>
  <si>
    <t>D26DELL</t>
  </si>
  <si>
    <t>Sello de diafragma Winters Serie D26, conexión sanitaria DIN11851 DN40 hembra 1/2NPT, cuerpo en Ac. Inox AISI316 y membrana en AC. INOX. 316L, membrana soldada, union roscada.</t>
  </si>
  <si>
    <t>DIN11851-DN40H</t>
  </si>
  <si>
    <t>D26DFLL</t>
  </si>
  <si>
    <t>Sello de diafragma Winters Serie D26, conexión sanitaria DIN11851 DN50 hembra 1/2NPT, cuerpo en Ac. Inox AISI316 y membrana en AC. INOX. 316L, membrana soldada, union roscada.</t>
  </si>
  <si>
    <t>DIN11851-DN50H</t>
  </si>
  <si>
    <t>Sello de diafragma Winters Serie D26, conexión sanitaria DIN11851 DN50 hembra 1/2NPT, cuerpo en Ac. Inox AISI316 y membrana en AC. INOX. 316L, membrana soldada, union roscada-</t>
  </si>
  <si>
    <t>D26S15LL</t>
  </si>
  <si>
    <t>Sello de diafragma Winters Serie D26, conexión sanitaria SMS 1,5'' Hembra a 1/2"NPT, Cuerpo en AISI316 y Mebrana Soldada en AISI316L con Tuerca.</t>
  </si>
  <si>
    <t>SMS-HEMBRA-15</t>
  </si>
  <si>
    <t>D26S20LL</t>
  </si>
  <si>
    <t>Sello de diafragma Winters Serie D26, conexión sanitaria SMS 2'' Hembra a 1/2"NPT, Cuerpo en AISI316 y Mebrana Soldada en AISI316L con Tuerca.</t>
  </si>
  <si>
    <t>SMS-HEMBRA-2</t>
  </si>
  <si>
    <t>D27DDLL</t>
  </si>
  <si>
    <t>Sello de diafragma Winters Serie D27, conexión sanitaria DIN11851 DN25 Macho, 1/2NPT, Cuerpo en AISI316 y Membrana Soldada en AISI316L</t>
  </si>
  <si>
    <t>DIN11851-DN25M</t>
  </si>
  <si>
    <t>D27DCLL</t>
  </si>
  <si>
    <t>Sello de diafragma Winters Serie D27, conexión sanitaria DIN11851 DN32 Macho, Cuerpo en AISI316 y Membrana Soldada en AISI316L</t>
  </si>
  <si>
    <t>DIN11851-DN32M</t>
  </si>
  <si>
    <t>D27DELL</t>
  </si>
  <si>
    <t>Sello de diafragma Winters Serie D27, conexión sanitaria DIN11851 DN40 Macho, Cuerpo en AISI316 y Membrana Soldada en AISI316L</t>
  </si>
  <si>
    <t>DIN11851-DN40M</t>
  </si>
  <si>
    <t>D27DFLL</t>
  </si>
  <si>
    <t>Sello de diafragma Winters Serie D27, conexión sanitaria DIN11851 DN50 Macho, Cuerpo en AISI316 y Membrana Soldada en AISI316L</t>
  </si>
  <si>
    <t>DIN11851-DN50M</t>
  </si>
  <si>
    <t>D27S15LL</t>
  </si>
  <si>
    <t>Sello de diafragma Winters Serie D27, conexión sanitaria SMS 1,5'' Macho a 1/2"NPT, Cuerpo en AISI316 y Mebrana Soldada en AISI316</t>
  </si>
  <si>
    <t>SMS-MACHO-15</t>
  </si>
  <si>
    <t>D27S20LL</t>
  </si>
  <si>
    <t>Sello de diafragma Winters Serie D27, conexión sanitaria SMS 2'' Macho a 1/2"NPT, Cuerpo en AISI316 y Mebrana Soldada en AISI316L</t>
  </si>
  <si>
    <t>SMS-MACHO-2</t>
  </si>
  <si>
    <t>D30975</t>
  </si>
  <si>
    <t>Sello de diafragma Winters Serie D30, Ac. Inox. 316, conex. 1/4"NPTM X 1/4"NPTM 1.000-6.000psi</t>
  </si>
  <si>
    <t>D30976</t>
  </si>
  <si>
    <t>Sello de diafragma Winters Serie D30, Ac. Inox. 316., conex. 1/4"NPTH X 1/4"NPTM 1.000-6.000psi</t>
  </si>
  <si>
    <t>D362NLSD</t>
  </si>
  <si>
    <t>Sello de diafragma Winters Serie D36, cuerpo Ac. Inox. 316, diafragma Ac. Inox. 316L, 1/2"NPTHx1/2"NPTM, pres. operativa: 16 a 400 bar</t>
  </si>
  <si>
    <t>D362NLTD</t>
  </si>
  <si>
    <t>Sello de diafragma Winters Serie D36, cuerpo Ac. Inox. 316, diafragma titanio, 1/2"NPTHx1/2"NPTM, pres. operativa: 16 a 400 bar</t>
  </si>
  <si>
    <t>D40973</t>
  </si>
  <si>
    <t>Sello de diafragma Winters Serie D40, Ac. Inox. 316, conex. 1/4" NPTH X 1/4" NPTH 15-1.000psi</t>
  </si>
  <si>
    <t>D40975</t>
  </si>
  <si>
    <t>Sello de diafragma Winters Serie D40, Ac. Inox. 316, conex. 1/4" NPTH X 1/4" NPTM 15-1.000psi</t>
  </si>
  <si>
    <t>D40972</t>
  </si>
  <si>
    <t>Sello de diafragma Winters Serie D40, Ac. Inox. 316, conex. 1/4" NPTH X 1/2" NPTH 15-1.000psi</t>
  </si>
  <si>
    <t>D40976</t>
  </si>
  <si>
    <t>Sello de diafragma Winters Serie D40, Ac. Inox. 316, conex. 1/4" NPTH X 1/2" NPTM 15-1.000psi</t>
  </si>
  <si>
    <t>D40974</t>
  </si>
  <si>
    <t>Sello de diafragma Winters Serie D40, Ac. Inox. 316, conex. 1/2" NPTH X 1/2" NPTH 15-1.000psi</t>
  </si>
  <si>
    <t>D40977</t>
  </si>
  <si>
    <t>Sello de diafragma Winters Serie D40, Ac. Inox. 316, conex. 1/2" NPTH X 1/2" NPTM 15-1.000psi</t>
  </si>
  <si>
    <t>D44003</t>
  </si>
  <si>
    <t>Sello de diafragma Winters Serie D44, 1#150RF-PTFE, 1/4"NPT, ACERO AL CARBONO</t>
  </si>
  <si>
    <t>D44001</t>
  </si>
  <si>
    <t>Sello de diafragma Winters Serie D44, 1#150RF-PTFE, 1/2"NPT, ACERO AL CARBONO</t>
  </si>
  <si>
    <t>D44004</t>
  </si>
  <si>
    <t>Sello de diafragma Winters Serie D44, 1" #150RF-PTFE, 1/4" NPT, AC. INOX. SUPERIOR</t>
  </si>
  <si>
    <t>D44002</t>
  </si>
  <si>
    <t>Sello de diafragma Winters Serie D44, 1" #150RF-PTFE, 1/2" NPT, AC. INOX. SUPERIOR</t>
  </si>
  <si>
    <t>D44007</t>
  </si>
  <si>
    <t>Sello de diafragma Winters Serie D44, 1#300RF-PTFE, 1/4"NPT, ACERO AL CARBONO</t>
  </si>
  <si>
    <t>D44005</t>
  </si>
  <si>
    <t>Sello de diafragma Winters Serie D44, 1#300RF-PTFE, 1/2"NPT, ACERO AL CARBONO</t>
  </si>
  <si>
    <t>D44008</t>
  </si>
  <si>
    <t>Sello de diafragma Winters Serie D44, 1" 300#RF 316AC. INOX. inferior X 1/4" AC. INOX. SUPERIOR</t>
  </si>
  <si>
    <t>D44006</t>
  </si>
  <si>
    <t>Sello de diafragma Winters Serie D44, 1" 300#RF 316AC. INOX. inferior X 1/2" AC. INOX. SUPERIOR</t>
  </si>
  <si>
    <t>D44011</t>
  </si>
  <si>
    <t>Sello de diafragma Winters Serie D44, 1,5" 150#RF 316AC. INOX. inferior X 1/4" SUPERIOR ACERO AL CARBONO</t>
  </si>
  <si>
    <t>D44009</t>
  </si>
  <si>
    <t>Sello de diafragma Winters Serie D44, 1,5" 150#RF 316AC. INOX. inferior X 1/2" SUPERIOR ACERO AL CARBONO</t>
  </si>
  <si>
    <t>D44012</t>
  </si>
  <si>
    <t>Sello de diafragma Winters Serie D44, 1,5" 150#RF 316AC. INOX. inferior X 1/4" AC. INOX. SUPERIOR</t>
  </si>
  <si>
    <t>D44010</t>
  </si>
  <si>
    <t>Sello de diafragma Winters Serie D44, 1,5" 150#RF 316AC. INOX. inferior X 1/2" AC. INOX. SUPERIOR</t>
  </si>
  <si>
    <t>D44015</t>
  </si>
  <si>
    <t>Sello de diafragma Winters Serie D44, 1,5" 300#RF 316AC. INOX. inferior X 1/4" SUPERIOR ACERO AL CARBONO</t>
  </si>
  <si>
    <t>D44013</t>
  </si>
  <si>
    <t>Sello de diafragma Winters Serie D44, 1,5" 300#RF 316AC. INOX. inferior X 1/2" SUPERIOR ACERO AL CARBONO</t>
  </si>
  <si>
    <t>D44016</t>
  </si>
  <si>
    <t>Sello de diafragma Winters Serie D44, 1,5" 300#RF 316AC. INOX. inferior X 1/4" AC. INOX. SUPERIOR</t>
  </si>
  <si>
    <t>D44014</t>
  </si>
  <si>
    <t>Sello de diafragma Winters Serie D44, 1,5" 300#RF 316AC. INOX. inferior X 1/2" AC. INOX. SUPERIOR</t>
  </si>
  <si>
    <t>D44019</t>
  </si>
  <si>
    <t>Sello de diafragma Winters Serie D44, 2" 150#RF 316AC. INOX. inferior X 1/4" SUPERIOR ACERO AL CARBONO</t>
  </si>
  <si>
    <t>D44017</t>
  </si>
  <si>
    <t>Sello de diafragma Winters Serie D44, 2" 150#RF 316AC. INOX. inferior X 1/2" SUPERIOR ACERO AL CARBONO</t>
  </si>
  <si>
    <t>D44020</t>
  </si>
  <si>
    <t>Sello de diafragma Winters Serie D44, 2" 150#RF 316AC. INOX. inferior X 1/4" AC. INOX. SUPERIOR</t>
  </si>
  <si>
    <t>D44018</t>
  </si>
  <si>
    <t>Sello de diafragma Winters Serie D44, 2" 150#RF 316AC. INOX. inferior X 1/2" AC. INOX. SUPERIOR</t>
  </si>
  <si>
    <t>D44023</t>
  </si>
  <si>
    <t>Sello de diafragma Winters Serie D44, 2" 300#RF 316AC. INOX. inferior X 1/4" SUPERIOR ACERO AL CARBONO</t>
  </si>
  <si>
    <t>D44021</t>
  </si>
  <si>
    <t>Sello de diafragma Winters Serie D44, 2" 300#RF 316AC. INOX. inferior X 1/2" SUPERIOR ACERO AL CARBONO</t>
  </si>
  <si>
    <t>D44024</t>
  </si>
  <si>
    <t>Sello de diafragma Winters Serie D44, 2" 300#RF 316AC. INOX. inferior X 1/4" AC. INOX. SUPERIOR</t>
  </si>
  <si>
    <t>D44022</t>
  </si>
  <si>
    <t>Sello de diafragma Winters Serie D44, 2" 300#RF 316AC. INOX. inferior X 1/2" AC. INOX. SUPERIOR</t>
  </si>
  <si>
    <t>D441150SS25CS</t>
  </si>
  <si>
    <t>Sello de diafragma Winters Serie D44, 1/4" CS 1" 150# 316 AC. INOX. inferior/DIAFRAGMA</t>
  </si>
  <si>
    <t>D441150SS5CS</t>
  </si>
  <si>
    <t>Sello de diafragma Winters Serie D44, 1/2" CS 1" 150# RF 316AC. INOX. inferior &amp; DIAFRAGMA</t>
  </si>
  <si>
    <t>D441150UL25CS</t>
  </si>
  <si>
    <t>Sello de diafragma Winters Serie D44, 1/4" CS 1" 150# 316 AC. INOX. PTFE RECUBRIMIENTO TANTALIO</t>
  </si>
  <si>
    <t>D441150UL5CS</t>
  </si>
  <si>
    <t>Sello de diafragma Winters Serie D44, 1/2" CS 1" 150# RF 316AC. INOX. PTFE inferior TANT.</t>
  </si>
  <si>
    <t>D441150HM25CS</t>
  </si>
  <si>
    <t>Sello de diafragma Winters Serie D44, 1/4" CS 1" 150# inferior MONEL HAST. C DIAP</t>
  </si>
  <si>
    <t>D441150HM5CS</t>
  </si>
  <si>
    <t>Sello de diafragma Winters Serie D44, 1/2" CS 1" 150# RF MONEL HAST C DIAPRGM</t>
  </si>
  <si>
    <t>D441150HH25CS</t>
  </si>
  <si>
    <t>Sello de diafragma Winters Serie D44, 1/4" CS 1" 150# RF HAST. C inferior/DIAFRAGMA</t>
  </si>
  <si>
    <t>D441150HH5CS</t>
  </si>
  <si>
    <t>Sello de diafragma Winters Serie D44, 1/2" CS 1" 150# RF HAST C inferior &amp; DIAFRAGMA</t>
  </si>
  <si>
    <t>D441150SS25SS</t>
  </si>
  <si>
    <t>Sello de diafragma Winters Serie D44, 1/4" 316 1" 150# RF 316 inferior/DIAFRAGMA</t>
  </si>
  <si>
    <t>D441150SS5SS</t>
  </si>
  <si>
    <t>Sello de diafragma Winters Serie D44, 1/2" AC. INOX. 1" 150# 316 AC. INOX. inferior/DIAFRAGMA</t>
  </si>
  <si>
    <t>D441150UL25SS</t>
  </si>
  <si>
    <t>Sello de diafragma Winters Serie D44, 1/4" 316 1" 150# 316 AC. INOX. PTFE RECUBRIMIENTO TANTALIO</t>
  </si>
  <si>
    <t>D441150UL5SS</t>
  </si>
  <si>
    <t>Sello de diafragma Winters Serie D44, 1/2" AC. INOX. 1" 150# 316 AC. INOX. PTFE RECUBRIMIENTO TANTALIO</t>
  </si>
  <si>
    <t>D441150HM25SS</t>
  </si>
  <si>
    <t>Sello de diafragma Winters Serie D44, 1/4" AC. INOX. 1" 150# inferior MONEL. HAST C DIAFRAGMA</t>
  </si>
  <si>
    <t>D441150HM5SS</t>
  </si>
  <si>
    <t>Sello de diafragma Winters Serie D44, 1/2" AC. INOX. 1" 150# inferior MONEL HAST. C DIAFRAGMA</t>
  </si>
  <si>
    <t>D441150HH25SS</t>
  </si>
  <si>
    <t>Sello de diafragma Winters Serie D44, 1/4" AC. INOX. 1" 150# inferior HASTELLOY C/DIAFRAGMA</t>
  </si>
  <si>
    <t>D441150HH5SS</t>
  </si>
  <si>
    <t>Sello de diafragma Winters Serie D44, 1/2" AC. INOX. 1" 150# inferior HASTELLOY C/DIAFRAGMA-NO FLUSH</t>
  </si>
  <si>
    <t>D441300SS25CS</t>
  </si>
  <si>
    <t>Sello de diafragma Winters Serie D44, 1/4" CS 1" 300# 316 AC. INOX. inferior/DIAFRAGMA</t>
  </si>
  <si>
    <t>D441300SS5CS</t>
  </si>
  <si>
    <t>Sello de diafragma Winters Serie D44, 1/2" CS 1" 300# 316 AC. INOX. inferior &amp; DIAFRAGMA</t>
  </si>
  <si>
    <t>D441300UL25CS</t>
  </si>
  <si>
    <t>Sello de diafragma Winters Serie D44, 1/4" CS 1" 300# 316 PTFE RECUBRIMIENTO TANTALIO DIAP</t>
  </si>
  <si>
    <t>D441300UL5CS</t>
  </si>
  <si>
    <t>Sello de diafragma Winters Serie D44, 1/2" CS 1" 300# 316 PTFE RF inferior TANT DIA</t>
  </si>
  <si>
    <t>D441300HM25CS</t>
  </si>
  <si>
    <t>Sello de diafragma Winters Serie D44, 1/4" CS 1" 300# inferior MONEL HAST. C DIAP</t>
  </si>
  <si>
    <t>D441300HM5CS</t>
  </si>
  <si>
    <t>Sello de diafragma Winters Serie D44, 1/2" CS 1" 300# MONEL RF inferior HAST C DIAP</t>
  </si>
  <si>
    <t>D441300HH25CS</t>
  </si>
  <si>
    <t>Sello de diafragma Winters Serie D44, 1/4" CS 1" 300# inferior HASTELLOY C/DIAFRAGMA</t>
  </si>
  <si>
    <t>D441300HH5CS</t>
  </si>
  <si>
    <t>Sello de diafragma Winters Serie D44, 1/2" CS 1" 300# HAST. C inferior &amp; DIAFRAGMA</t>
  </si>
  <si>
    <t>D441300SS25SS</t>
  </si>
  <si>
    <t>Sello de diafragma Winters Serie D44, 1/4" AC. INOX. 1" 300 LBS. 316 AC. INOX. inferior/DIAFRAGMA</t>
  </si>
  <si>
    <t>D441300SS5SS</t>
  </si>
  <si>
    <t>Sello de diafragma Winters Serie D44, 1/2" AC. INOX. 1" 300# 316AC. INOX. inferior &amp; DIAFRAGMA</t>
  </si>
  <si>
    <t>D441300UL25SS</t>
  </si>
  <si>
    <t>Sello de diafragma Winters Serie D44, 1/4" AC. INOX. 1" 300# 316 PTFE RECUBRIMIENTO TANTALIO DIAP</t>
  </si>
  <si>
    <t>D441300UL5SS</t>
  </si>
  <si>
    <t>Sello de diafragma Winters Serie D44, 1/2" AC. INOX. 1" 300# 316 PTFE inferior TANT. DIAFRAGMA</t>
  </si>
  <si>
    <t>D441300HM25SS</t>
  </si>
  <si>
    <t>Sello de diafragma Winters Serie D44, 1/4" AC. INOX. 1" 300# inferior MONEL HAST C DIAP</t>
  </si>
  <si>
    <t>D441300HM5SS</t>
  </si>
  <si>
    <t>Sello de diafragma Winters Serie D44, 1/2" AC. INOX. 1" 300# MONEL RF inferior HAST C DIAP</t>
  </si>
  <si>
    <t>D441300HH25SS</t>
  </si>
  <si>
    <t>Sello de diafragma Winters Serie D44, 1/4" AC. INOX. 1" 300# inferior HASTELLOY C/DIAFRAGMA</t>
  </si>
  <si>
    <t>D441300HH5SS</t>
  </si>
  <si>
    <t>Sello de diafragma Winters Serie D44, 1/2" AC. INOX. 1" 300# HAST C inferior &amp; DIAFRAGMA</t>
  </si>
  <si>
    <t>D4415150SS25CS</t>
  </si>
  <si>
    <t>Sello de diafragma Winters Serie D44, 1/4" CS 1,5" 150# 316 AC. INOX. inferior/DIAFRAGMA</t>
  </si>
  <si>
    <t>D4415150SS5CS</t>
  </si>
  <si>
    <t>Sello de diafragma Winters Serie D44, 1/2" CS 1,5" 150# 316 AC. INOX. inferior/DIAFRAGMA</t>
  </si>
  <si>
    <t>D4415150UL25CS</t>
  </si>
  <si>
    <t>Sello de diafragma Winters Serie D44, 1/4" CS 1,5" 150# RECUBRIM. PTFE 316 TANTALIO</t>
  </si>
  <si>
    <t>D4415150UL5CS</t>
  </si>
  <si>
    <t>Sello de diafragma Winters Serie D44, 1/2" CS 1,5" 150# RECUBRIM. PTFE 316 AC. INOX. TANTALIO</t>
  </si>
  <si>
    <t>D4415150HM25CS</t>
  </si>
  <si>
    <t>Sello de diafragma Winters Serie D44, 1/4" CS 1,5" 150# inferior MONEL HAST C DIAFRAGMA</t>
  </si>
  <si>
    <t>D4415150HM5CS</t>
  </si>
  <si>
    <t>Sello de diafragma Winters Serie D44, 1/2" CS 1,5" 150# inferior MONEL HAST C DIAP</t>
  </si>
  <si>
    <t>D4415150HH25CS</t>
  </si>
  <si>
    <t>Sello de diafragma Winters Serie D44, 1/4" CS 1,5" 150# HAST C inferior/DIAFRAGMA</t>
  </si>
  <si>
    <t>D4415150HH5CS</t>
  </si>
  <si>
    <t>Sello de diafragma Winters Serie D44, 1/2" CS 1,5" 150# HAST C inferior/DIAFRAGMA</t>
  </si>
  <si>
    <t>D4415150SS25SS</t>
  </si>
  <si>
    <t>Sello de diafragma Winters Serie D44, 1/4" AC. INOX. 1,5" 150# 316 AC. INOX. inferior/DIAFRAGMA</t>
  </si>
  <si>
    <t>D4415150SS5SS</t>
  </si>
  <si>
    <t>Sello de diafragma Winters Serie D44, 1/2" AC. INOX. 1,5" 150# 316 AC. INOX. inferior/DIAFRAGMA</t>
  </si>
  <si>
    <t>D4415150UL25SS</t>
  </si>
  <si>
    <t>Sello de diafragma Winters Serie D44, 1/4" AC. INOX. 1,5" 150# 316 AC. INOX. PTFE TANT DIAP</t>
  </si>
  <si>
    <t>D4415150UL5SS</t>
  </si>
  <si>
    <t>Sello de diafragma Winters Serie D44, 1/2" AC. INOX. 1,5" 150# PTFE 316 TANT. DIAFRAGMA.</t>
  </si>
  <si>
    <t>D4415150HM25SS</t>
  </si>
  <si>
    <t>Sello de diafragma Winters Serie D44, 1/4" AC. INOX. 1,5" 150# inferior MONEL HAST C DIA</t>
  </si>
  <si>
    <t>D4415150HM5SS</t>
  </si>
  <si>
    <t>Sello de diafragma Winters Serie D44, 1/2" AC. INOX. 1,5" 150# inferior MONEL HAST. C</t>
  </si>
  <si>
    <t>D4415150HH25SS</t>
  </si>
  <si>
    <t>Sello de diafragma Winters Serie D44, 1/4" AC. INOX. 1,5" 150# HAST. C inferior/DIAFRAGMA</t>
  </si>
  <si>
    <t>D4415150HH5SS</t>
  </si>
  <si>
    <t>Sello de diafragma Winters Serie D44, 1/2" AC. INOX. 1,5" 150# HAST. C inferior/DIAFRAGMA</t>
  </si>
  <si>
    <t>D4415300SS25CS</t>
  </si>
  <si>
    <t>Sello de diafragma Winters Serie D44, 1/4" CS 1,5" 300# 316 AC. INOX. inferior/DIAFRAGMA</t>
  </si>
  <si>
    <t>D4415300SS5CS</t>
  </si>
  <si>
    <t>Sello de diafragma Winters Serie D44, 1/2" CS 1,5" 300# 316 AC. INOX. inferior/DIAFRAGMA</t>
  </si>
  <si>
    <t>D4415300UL25CS</t>
  </si>
  <si>
    <t>Sello de diafragma Winters Serie D44, 1/4" CS 1,5" 300# 316 AC. INOX. PTFE TANT DIAP</t>
  </si>
  <si>
    <t>D4415300UL5CS</t>
  </si>
  <si>
    <t>Sello de diafragma Winters Serie D44, 1/2" CS 1,5" 300# 316 AC. INOX. PTFE TANT. DIAP</t>
  </si>
  <si>
    <t>D4415300HM25CS</t>
  </si>
  <si>
    <t>Sello de diafragma Winters Serie D44, 1/4" CS 1,5" 300# inferior MONEL HAST C DIA</t>
  </si>
  <si>
    <t>D4415300HM5CS</t>
  </si>
  <si>
    <t>Sello de diafragma Winters Serie D44, 1/2" CS 1,5" 300# MONEL HAST. C DIAFRAGMA</t>
  </si>
  <si>
    <t>D4415300HH25CS</t>
  </si>
  <si>
    <t>Sello de diafragma Winters Serie D44, 1/4" CS 1,5" 300# HAST C inferior/DIAFRAGMA</t>
  </si>
  <si>
    <t>D4415300HH5CS</t>
  </si>
  <si>
    <t>Sello de diafragma Winters Serie D44, 1/2" CS 1,5" 300# HAST C inferior/DIAFRAGMA</t>
  </si>
  <si>
    <t>D4415300SS25SS</t>
  </si>
  <si>
    <t>Sello de diafragma Winters Serie D44, 1/4" AC. INOX. 1,5" 300# 316 AC. INOX. inferior/DIAFRAGMA</t>
  </si>
  <si>
    <t>D4415300SS5SS</t>
  </si>
  <si>
    <t>Sello de diafragma Winters Serie D44, 1/2" AC. INOX. 1,5" 300# 316 AC. INOX. inferior/DIAFRAGMA</t>
  </si>
  <si>
    <t>D4415600SS25SS</t>
  </si>
  <si>
    <t>Sello de diafragma Winters Serie D44, 1/2" AC. INOX. 1,5" 600# 316 AC. INOX. inferior/DIAFRAGMA</t>
  </si>
  <si>
    <t>D4415300UL25SS</t>
  </si>
  <si>
    <t>Sello de diafragma Winters Serie D44, 1/4" AC. INOX. 1,5" 300# PTFE 316 TANT. DIAP.</t>
  </si>
  <si>
    <t>D4415300UL5SS</t>
  </si>
  <si>
    <t>Sello de diafragma Winters Serie D44, 1/2" AC. INOX. 1,5" 300# 316 PTFE RECUBRIMIENTO TANTALIO.</t>
  </si>
  <si>
    <t>D4415300HM25SS</t>
  </si>
  <si>
    <t>Sello de diafragma Winters Serie D44, 1/4" AC. INOX. 1,5" 300# inferior MONEL HAST. C DIAP</t>
  </si>
  <si>
    <t>D4415300HM5SS</t>
  </si>
  <si>
    <t>Sello de diafragma Winters Serie D44, 1/2" AC. INOX. 1,5" 300# inferior MONEL HAST. C DIAP</t>
  </si>
  <si>
    <t>D4415300HH25SS</t>
  </si>
  <si>
    <t>Sello de diafragma Winters Serie D44, 1/4" AC. INOX. 1,5" 300# inferior HASTELLOY C/DIA</t>
  </si>
  <si>
    <t>D4415300HH5SS</t>
  </si>
  <si>
    <t>Sello de diafragma Winters Serie D44, 1/2" AC. INOX. 1,5" 300# inferior HASTELLOY C/DIAFRAGMA</t>
  </si>
  <si>
    <t>D442150SS25CS</t>
  </si>
  <si>
    <t>Sello de diafragma Winters Serie D44, 1/4" CS 2" 150# 316 AC. INOX. inferior/DIAFRAGMA</t>
  </si>
  <si>
    <t>D442150SS5CS</t>
  </si>
  <si>
    <t>Sello de diafragma Winters Serie D44, 1/2" CS 2" 150# 316 AC. INOX. inferior/DIAFRAGMA</t>
  </si>
  <si>
    <t>D442150UL25CS</t>
  </si>
  <si>
    <t>Sello de diafragma Winters Serie D44, 1/4" CS 2" 150# 316 PTFE RECUBRIMIENTO TANTALIO DIA</t>
  </si>
  <si>
    <t>D442150UL5CS</t>
  </si>
  <si>
    <t>Sello de diafragma Winters Serie D44, 1/2" CS 2" 150# RECUBRIM. PTFE 316 AC. INOX. TANTinferior</t>
  </si>
  <si>
    <t>D442150HM25CS</t>
  </si>
  <si>
    <t>Sello de diafragma Winters Serie D44, 1/4" CS 2" 150# inferior MONEL HAST. C DIAFRAGMA</t>
  </si>
  <si>
    <t>D442150HM5CS</t>
  </si>
  <si>
    <t>Sello de diafragma Winters Serie D44, 1/2" CS 2" 150# inferior MONEL HAST. C DIAFRAGMA</t>
  </si>
  <si>
    <t>D442150HH25CS</t>
  </si>
  <si>
    <t>Sello de diafragma Winters Serie D44, 1/4" CS 2" 150# HAST. C inferior/DIAFRAGMA</t>
  </si>
  <si>
    <t>D442150HH5CS</t>
  </si>
  <si>
    <t>Sello de diafragma Winters Serie D44, 1/2" CS 2" 150# HAST. C inferior/DIAFRAGMA</t>
  </si>
  <si>
    <t>D442150SS25SS</t>
  </si>
  <si>
    <t>Sello de diafragma Winters Serie D44, 1/4" AC. INOX. 2" 150# 316 AC. INOX. inferior/DIAFRAGMA</t>
  </si>
  <si>
    <t>D442150SS5SS</t>
  </si>
  <si>
    <t>Sello de diafragma Winters Serie D44, 1/2" AC. INOX. 2" 150# 316 AC. INOX. inferior/DIAFRAGMA</t>
  </si>
  <si>
    <t>D442150UL25SS</t>
  </si>
  <si>
    <t>Sello de diafragma Winters Serie D44, 1/4" AC. INOX. 2" 150# 316 PTFE RECUBRIMIENTO TANTALIOUM</t>
  </si>
  <si>
    <t>D442150UL5SS</t>
  </si>
  <si>
    <t>Sello de diafragma Winters Serie D44, 1/2" AC. INOX. 2" 150# PTFE 316 RECUBRIMIENTO TANTALIOUM</t>
  </si>
  <si>
    <t>D442150HM25SS</t>
  </si>
  <si>
    <t>Sello de diafragma Winters Serie D44, 1/4" AC. INOX. 2" 150# inferior MONEL HAST. C DIAFRAGMA</t>
  </si>
  <si>
    <t>D442150HM5SS</t>
  </si>
  <si>
    <t>Sello de diafragma Winters Serie D44, 1/2" AC. INOX. 2" 150# inferior MONEL/HAST. C DIAFRAGMA</t>
  </si>
  <si>
    <t>D442150HH25SS</t>
  </si>
  <si>
    <t>Sello de diafragma Winters Serie D44, 1/4" AC. INOX. 2" 150# inferior HASTELLOY C/DIAFRAGMA</t>
  </si>
  <si>
    <t>D442150HH5SS</t>
  </si>
  <si>
    <t>Sello de diafragma Winters Serie D44, 1/2" AC. INOX. 2" 150# inferior HASTELLOY C/DIAFRAGMA</t>
  </si>
  <si>
    <t>D442300SS25CS</t>
  </si>
  <si>
    <t>Sello de diafragma Winters Serie D44, 1/4" CS 2" 300# 316 AC. INOX. inferior/DIAFRAGMA</t>
  </si>
  <si>
    <t>D442300SS5CS</t>
  </si>
  <si>
    <t>Sello de diafragma Winters Serie D44, 1/2" CS 2" 300# 316 AC. INOX. inferior/DIAFRAGMA</t>
  </si>
  <si>
    <t>D442300UL25CS</t>
  </si>
  <si>
    <t>Sello de diafragma Winters Serie D44, 1/4" CS 2" 300# PTFE 316 RECUBRIMIENTO TANTALIO. DIA</t>
  </si>
  <si>
    <t>D442300UL5CS</t>
  </si>
  <si>
    <t>Sello de diafragma Winters Serie D44, 1/2" CS 2" 300# RECUBRIM. PTFE 316 TANT. DIA</t>
  </si>
  <si>
    <t>D442300HM25CS</t>
  </si>
  <si>
    <t>Sello de diafragma Winters Serie D44, 1/4" CS 2" 300# inferior MONEL HAST. C DIAFRAGMA</t>
  </si>
  <si>
    <t>D442300HM5CS</t>
  </si>
  <si>
    <t>Sello de diafragma Winters Serie D44, 1/2" CS 2" 300# inferior MONEL HAST. C DIAFRAGMA</t>
  </si>
  <si>
    <t>D442300HH25CS</t>
  </si>
  <si>
    <t>Sello de diafragma Winters Serie D44, 1/4" CS 2" 300# HAST. C inferior/DIAFRAGMA</t>
  </si>
  <si>
    <t>D442300HH5CS</t>
  </si>
  <si>
    <t>Sello de diafragma Winters Serie D44, 1/2" AC. INOX. 2" 300# inferior HASTELLOY C/DIAFRAGMA</t>
  </si>
  <si>
    <t>D442300SS25SS</t>
  </si>
  <si>
    <t>Sello de diafragma Winters Serie D44, 1/4" AC. INOX. 2" 300# 316 AC. INOX. inferior/DIAFRAGMA</t>
  </si>
  <si>
    <t>D442300SS5SS</t>
  </si>
  <si>
    <t>Sello de diafragma Winters Serie D44, 1/2" AC. INOX. 2" 300# 316 AC. INOX. inferior/DIAFRAGMA</t>
  </si>
  <si>
    <t>D442300UL25SS</t>
  </si>
  <si>
    <t>Sello de diafragma Winters Serie D44, 1/4" AC. INOX. 2" 300# RECUBRIM. PTFE inferior TANT. DIA</t>
  </si>
  <si>
    <t>D442300UL5SS</t>
  </si>
  <si>
    <t>Sello de diafragma Winters Serie D44, 1/2" AC. INOX. 2" 300# RECUBRIM. PTFE 316 TANT DIA</t>
  </si>
  <si>
    <t>D442300HM25SS</t>
  </si>
  <si>
    <t>Sello de diafragma Winters Serie D44, 1/4" AC. INOX. 2" 300# inferior MONEL HAST. C DIAP</t>
  </si>
  <si>
    <t>D442300HM5SS</t>
  </si>
  <si>
    <t>Sello de diafragma Winters Serie D44, 1/2" AC. INOX. 2" 300# inferior MONEL HAST C DIAFRAGMA</t>
  </si>
  <si>
    <t>D442300HH25SS</t>
  </si>
  <si>
    <t>Sello de diafragma Winters Serie D44, 1/4" AC. INOX. 2" 300# HAST C inferior/DIAFRAGMA</t>
  </si>
  <si>
    <t>D442300HH5SS</t>
  </si>
  <si>
    <t>Sello de diafragma Winters Serie D44, 1/2" AC. INOX. 2" 300# HAST C inferior/DIAFRAGMA</t>
  </si>
  <si>
    <t>D462548</t>
  </si>
  <si>
    <t>Sello de diafragma Winters Serie D46, 1/4" 2" PIPE 150# AC. INOX. 316 HOUSING/DIAFRAGMA</t>
  </si>
  <si>
    <t>D462549</t>
  </si>
  <si>
    <t>Sello de diafragma Winters Serie D46, 1/2" 2" PIPE 150# AC. INOX. 316 HOUSING/DIAFRAGMA</t>
  </si>
  <si>
    <t>D462550</t>
  </si>
  <si>
    <t>Sello de diafragma Winters Serie D46, 1/4" 2" PIPE 300# AC. INOX. 316 HOUSING/DIAFRAGMA</t>
  </si>
  <si>
    <t>D462551</t>
  </si>
  <si>
    <t>Sello de diafragma Winters Serie D46, 1/2" 2" PIPE 300# AC. INOX. 316 HOUSING/DIAFRAGMA</t>
  </si>
  <si>
    <t>D462552</t>
  </si>
  <si>
    <t>Sello de diafragma Winters Serie D46, 1/4" 2" PIPE 600# AC. INOX. 316 HOUSING/DIAFRAGMA</t>
  </si>
  <si>
    <t>D462553</t>
  </si>
  <si>
    <t>Sello de diafragma Winters Serie D46, 1/2" 2" PIPE 600# AC. INOX. 316 HOUSING/DIAFRAGMA</t>
  </si>
  <si>
    <t>D462554</t>
  </si>
  <si>
    <t>Sello de diafragma Winters Serie D46, 1/4" 3" PIPE 150# AC. INOX. 316 HOUSING/DIAFRAGMA</t>
  </si>
  <si>
    <t>D462555</t>
  </si>
  <si>
    <t>Sello de diafragma Winters Serie D46, 1/2" 3" PIPE 150# AC. INOX. 316 HOUSING/DIAFRAGMA</t>
  </si>
  <si>
    <t>D462556</t>
  </si>
  <si>
    <t>Sello de diafragma Winters Serie D46, 1/4" 3" PIPE 300# AC. INOX. 316 HOUSING/DIAFRAGMA</t>
  </si>
  <si>
    <t>D462557</t>
  </si>
  <si>
    <t>Sello de diafragma Winters Serie D46, 1/2" 3" PIPE 300# AC. INOX. 316 HOUSING/DIAFRAGMA</t>
  </si>
  <si>
    <t>D462558</t>
  </si>
  <si>
    <t>Sello de diafragma Winters Serie D46, 1/4" 3" PIPE 600# AC. INOX. 316 HOUSING/DIAFRAGMA</t>
  </si>
  <si>
    <t>D462559</t>
  </si>
  <si>
    <t>Sello de diafragma Winters Serie D46, 1/2" 3" PIPE 600# AC. INOX. 316 HOUSING/DIAFRAGMA</t>
  </si>
  <si>
    <t>D49</t>
  </si>
  <si>
    <t>Sello para homogeneizador Winters Serie D49, AISI 316 AC. INOX., c/brida de 2 agujeros  de AISI 304SS</t>
  </si>
  <si>
    <t>D70952+D70956</t>
  </si>
  <si>
    <t>Sello de diafragma bridado Winters Serie D70, Ac. Inox. 316, 1/2 NPT H-H, pres. max. 2.500psi</t>
  </si>
  <si>
    <t>D70950+D70954</t>
  </si>
  <si>
    <t>Sello de diafragma bridado Winters Serie D70, Ac. Inox. 316, 1/4 NPT H-H, pres. max. 2.500psi</t>
  </si>
  <si>
    <t>D70952 &amp; D70957</t>
  </si>
  <si>
    <t>Sello de diafragma bridado Winters Serie D70, Ac. Inox. 316, 1/2 NPT H-H, pres. max. 2.500psi, con flushing ring</t>
  </si>
  <si>
    <t>D70952+D70957M</t>
  </si>
  <si>
    <t>Sello de diafragma bridado Winters Serie D70, Ac. Inox. 316, 1/2 NPT H-M, pres. max. 2.500psi, con flushing ring</t>
  </si>
  <si>
    <t>D70952+D70956-TFE</t>
  </si>
  <si>
    <t>Sello de diafragma bridado Winters Serie D70, Ac. Inox. 316, membrana y parte inferior recubierta con teflón, 1/2 NPT H-H, pres. max. 2.500psi.</t>
  </si>
  <si>
    <t>D70950</t>
  </si>
  <si>
    <t>Sello de diafragma bridado Winters Serie D70, #70 SELLO 316L AC. INOX.  1/4" NPT superior</t>
  </si>
  <si>
    <t>D70950M</t>
  </si>
  <si>
    <t>Sello de diafragma bridado Winters Serie D70, 1/4"NPT 316L AC. INOX. Superior MONEL DIAFRAGMA</t>
  </si>
  <si>
    <t>D70950HASC</t>
  </si>
  <si>
    <t>Sello de diafragma bridado Winters Serie D70, 1/4" NPT 316L AC. INOX. Superior, DIAFRAGMA HASTELLOY C.</t>
  </si>
  <si>
    <t>D70951</t>
  </si>
  <si>
    <t>Sello de diafragma bridado Winters Serie D70, #70 SELLO - VITON 1/4" Superior</t>
  </si>
  <si>
    <t>D70952</t>
  </si>
  <si>
    <t>Sello de diafragma bridado Winters Serie D70, #70 SELLO 316L AC. INOX.  1/2" NPT TOP</t>
  </si>
  <si>
    <t>D70952M</t>
  </si>
  <si>
    <t>Sello de diafragma bridado Winters Serie D70, 1/2" NPT 316L AC. INOX. TOP, MONEL DIAFRAGMA</t>
  </si>
  <si>
    <t>D70952HASC</t>
  </si>
  <si>
    <t>Sello de diafragma bridado Winters Serie D70, 1/2" NPT 316L AC. INOX. TOP, DIAFRAGMA HASTELLOY C</t>
  </si>
  <si>
    <t>D70953</t>
  </si>
  <si>
    <t>Sello de diafragma bridado Winters Serie D70, #70 SELLO - VITON 1/2" TOP</t>
  </si>
  <si>
    <t>D70954</t>
  </si>
  <si>
    <t>Sello de diafragma bridado Winters Serie D70, #70 SELLO 316L AC. INOX. 1/4" inferior</t>
  </si>
  <si>
    <t>D70954V</t>
  </si>
  <si>
    <t>Sello de diafragma bridado Winters Serie D70, #70 VITON SELLO 1/4" inferior</t>
  </si>
  <si>
    <t>D70956</t>
  </si>
  <si>
    <t>Sello de diafragma bridado Winters Serie D70, #70 SELLO 316L Ac. Inox. 1/2" inferior</t>
  </si>
  <si>
    <t>D70956V</t>
  </si>
  <si>
    <t>Sello de diafragma bridado Winters Serie D70, #70 SELLO 316L Ac. Inox. 1/2" inferior, VITON DIAFRAGMA</t>
  </si>
  <si>
    <t>D70957</t>
  </si>
  <si>
    <t>Sello de diafragma bridado Winters Serie D70, #70 SELLO 316L S/S. 1/2" inferior. C/W FLUSHING</t>
  </si>
  <si>
    <t>D70957V</t>
  </si>
  <si>
    <t>Sello de diafragma bridado Winters Serie D70, #70 SELLO VITON 1/2"inferior, C/W FLUSHING</t>
  </si>
  <si>
    <t>D70963</t>
  </si>
  <si>
    <t>Sello de diafragma bridado Winters Serie D70, #70 SELLO - 316L Ac. Inox. 3/4" inferior</t>
  </si>
  <si>
    <t>D70963V</t>
  </si>
  <si>
    <t>Sello de diafragma bridado Winters Serie D70, 3/4" NPT 316L AC. INOX. inferior PARA VITON inferior HOUSING</t>
  </si>
  <si>
    <t>D70959</t>
  </si>
  <si>
    <t>Sello de diafragma bridado Winters Serie D70, #70 SELLO 316L S/S 3/4" inferior C/W FLUSHING</t>
  </si>
  <si>
    <t>D70959V</t>
  </si>
  <si>
    <t>Sello de diafragma bridado Winters Serie D70, #70 DIAFRAGMA SELLO 316L S/S 3/4" NPT C/W FLUSH VITON</t>
  </si>
  <si>
    <t>D70964</t>
  </si>
  <si>
    <t>Sello de diafragma bridado Winters Serie D70, #70 SELLO - 316L Ac. Inox. 1" inferior</t>
  </si>
  <si>
    <t>D70964V</t>
  </si>
  <si>
    <t>Sello de diafragma bridado Winters Serie D70, 1" NPT 316L AC. INOX. inferior PARA VITON TOP HOUSING</t>
  </si>
  <si>
    <t>D70965</t>
  </si>
  <si>
    <t>Sello de diafragma bridado Winters Serie D70, #70 SELLO 316L S/S 1" inferior C/W FLUSHING</t>
  </si>
  <si>
    <t>D70965V</t>
  </si>
  <si>
    <t>Sello de diafragma bridado Winters Serie D70, 1" VITON inferior C/W FLUSH PORT</t>
  </si>
  <si>
    <t>D70954M</t>
  </si>
  <si>
    <t>Sello de diafragma bridado Winters Serie D70, 1/4" NPT inferior MONEL</t>
  </si>
  <si>
    <t>D70956M</t>
  </si>
  <si>
    <t>Sello de diafragma bridado Winters Serie D70, 1/2" NPT inferior MONEL</t>
  </si>
  <si>
    <t>D70957M</t>
  </si>
  <si>
    <t>Sello de diafragma bridado Winters Serie D70, 1/2" NPT inferior MONEL, FLUSHING PORT</t>
  </si>
  <si>
    <t>D70963M</t>
  </si>
  <si>
    <t>Sello de diafragma bridado Winters Serie D70, 3/4" NPT inferior MONEL</t>
  </si>
  <si>
    <t>D70959M</t>
  </si>
  <si>
    <t>Sello de diafragma bridado Winters Serie D70, 3/4" NPT inferior MONEL C/W FLUSH PORT</t>
  </si>
  <si>
    <t>D70964M</t>
  </si>
  <si>
    <t>Sello de diafragma bridado Winters Serie D70, 1" NPT inferior MONEL</t>
  </si>
  <si>
    <t>D70965M</t>
  </si>
  <si>
    <t>Sello de diafragma bridado Winters Serie D70, 1" NPT inferior MONEL C/W FLUSH PORT</t>
  </si>
  <si>
    <t>D70954HASC</t>
  </si>
  <si>
    <t>Sello de diafragma bridado Winters Serie D70, 1/4" NPT inferior HASTELLOY C</t>
  </si>
  <si>
    <t>D70956HASC</t>
  </si>
  <si>
    <t>Sello de diafragma bridado Winters Serie D70, 1/2" NPT inferior HASTELLOY C</t>
  </si>
  <si>
    <t>D70957HASC</t>
  </si>
  <si>
    <t>Sello de diafragma bridado Winters Serie D70, 1/2" NPT inferior HASTELLOY C C/W FLUSHING</t>
  </si>
  <si>
    <t>D70963HASC</t>
  </si>
  <si>
    <t>Sello de diafragma bridado Winters Serie D70, 3/4" NPT inferior HASTELLOY C</t>
  </si>
  <si>
    <t>D70959HASC</t>
  </si>
  <si>
    <t>Sello de diafragma bridado Winters Serie D70, 3/4" NPT inferior HASTELLOY C C/W FLUSHING</t>
  </si>
  <si>
    <t>D70964HASC</t>
  </si>
  <si>
    <t>Sello de diafragma bridado Winters Serie D70, 1" NPT inferior HASTELLOY C</t>
  </si>
  <si>
    <t>D70965HASC</t>
  </si>
  <si>
    <t>Sello de diafragma bridado Winters Serie D70, 1" NPT inferior HASTELLOY C C/W FLUSHING</t>
  </si>
  <si>
    <t>D71966HASC75</t>
  </si>
  <si>
    <t>Sello de diafragma Winters Serie D71, #70 NACE175, HAST C SUPERIOR HOUSING &amp; DIAFRAGMA, 1/4" FNPT</t>
  </si>
  <si>
    <t>D71967HASC75</t>
  </si>
  <si>
    <t>Sello de diafragma Winters Serie D71, #70 NACE175, HAST C SUPERIOR HOUSING &amp; DIAFRAGMA, 1/2" FNPT</t>
  </si>
  <si>
    <t>D71954HASC75</t>
  </si>
  <si>
    <t>Sello de diafragma Winters Serie D71, #70 NACE175, HAST C INFERIOR HOUSING, 1/4" FNPT</t>
  </si>
  <si>
    <t>D71956HASC75</t>
  </si>
  <si>
    <t>Sello de diafragma Winters Serie D71, #70 NACE175, HAST C INFERIOR HOUSING, 1/2" FNPT</t>
  </si>
  <si>
    <t>D71957HASC75</t>
  </si>
  <si>
    <t>Sello de diafragma Winters Serie D71, #70 NACE175, HAST C INFERIOR HOUSING, 1/2" FNPT W/ FLUSHING</t>
  </si>
  <si>
    <t>D71963HASC75</t>
  </si>
  <si>
    <t xml:space="preserve">Sello de diafragma Winters Serie D71, #70 NACE175, HAST C INFERIOR HOUSING, 3/4" FNPT </t>
  </si>
  <si>
    <t>D71959HASC75</t>
  </si>
  <si>
    <t>Sello de diafragma Winters Serie D71, #70 NACE175, HAST C INFERIOR HOUSING, 3/4" FNPT W/ FLUSHING</t>
  </si>
  <si>
    <t>D71964HASC75</t>
  </si>
  <si>
    <t xml:space="preserve">Sello de diafragma Winters Serie D71, #70 NACE175, HAST C INFERIOR HOUSING, 1" FNPT </t>
  </si>
  <si>
    <t>D71965HASC75</t>
  </si>
  <si>
    <t>Sello de diafragma Winters Serie D71, #70 NACE175, HAST C INFERIOR HOUSING, 1" FNPT W/ FLUSHING</t>
  </si>
  <si>
    <t>D7195003</t>
  </si>
  <si>
    <t>Sello de diafragma Winters Serie D71, #70 NACE103, HAST C SUPERIOR HOUSING &amp; DIAFRAGMA, 1/4" FNPT</t>
  </si>
  <si>
    <t>D7195203</t>
  </si>
  <si>
    <t>Sello de diafragma Winters Serie D71, #70 NACE103, HAST C SUPERIOR HOUSING &amp; DIAFRAGMA, 1/2" FNPT</t>
  </si>
  <si>
    <t>D7195403</t>
  </si>
  <si>
    <t>Sello de diafragma Winters Serie D71, #70 NACE103, HAST C INFERIOR HOUSING, 1/4" FNPT</t>
  </si>
  <si>
    <t>D7195603</t>
  </si>
  <si>
    <t>Sello de diafragma Winters Serie D71, #70 NACE103, HAST C INFERIOR HOUSING, 1/2" FNPT</t>
  </si>
  <si>
    <t>D7195703</t>
  </si>
  <si>
    <t>Sello de diafragma Winters Serie D71, #70 NACE103, HAST C INFERIOR HOUSING, 1/2" FNPT W/ FLUSHING</t>
  </si>
  <si>
    <t>D7196303</t>
  </si>
  <si>
    <t xml:space="preserve">Sello de diafragma Winters Serie D71, #70 NACE103, HAST C INFERIOR HOUSING, 3/4" FNPT </t>
  </si>
  <si>
    <t>D7195903</t>
  </si>
  <si>
    <t>Sello de diafragma Winters Serie D71, #70 NACE103, HAST C INFERIOR HOUSING, 3/4" FNPT W/ FLUSHING</t>
  </si>
  <si>
    <t>D7196403</t>
  </si>
  <si>
    <t xml:space="preserve">Sello de diafragma Winters Serie D71, #70 NACE103, HAST C INFERIOR HOUSING, 1" FNPT </t>
  </si>
  <si>
    <t>D7196503</t>
  </si>
  <si>
    <t>Sello de diafragma Winters Serie D71, #70 NACE103, HAST C INFERIOR HOUSING, 1" FNPT W/ FLUSHING</t>
  </si>
  <si>
    <t>D74857-D74952</t>
  </si>
  <si>
    <t>Sello diafragma D74, material 316 SS, 1/2"NPTHx1/2"NPTM, presión operativa: -1 a 2 bar, con flushing (ENSAMBLADO)</t>
  </si>
  <si>
    <t>D74950</t>
  </si>
  <si>
    <t>Sello de diafragma Winters Serie D74, SUPERIOR 316AC. INOX. DIAFRAGMA 1/4" NPTF 30"/0/30 PSI/BAR</t>
  </si>
  <si>
    <t>D74950M</t>
  </si>
  <si>
    <t>Sello de diafragma Winters Serie D74, SUPERIOR MONEL DIAFRAGMA 1/4" NPTF 30"/0/30 PSI/BAR</t>
  </si>
  <si>
    <t>D74950HASC</t>
  </si>
  <si>
    <t>Sello de diafragma Winters Serie D74, SUPERIOR DIAFRAGMA HASTELLOY C  1/4" NPTF 30"/0/30 PSI/BAR</t>
  </si>
  <si>
    <t>D74952</t>
  </si>
  <si>
    <t>Sello de diafragma Winters Serie D74, SUPERIOR 316AC. INOX. DIAFRAGMA 1/2" NPTF 30"/0/30 PSI/BAR</t>
  </si>
  <si>
    <t>D74952M</t>
  </si>
  <si>
    <t>Sello de diafragma Winters Serie D74, SUPERIOR MONEL DIAFRAGMA 1/2" NPTF 30"/0/30 PSI/BAR</t>
  </si>
  <si>
    <t>D74952HASC</t>
  </si>
  <si>
    <t>Sello de diafragma Winters Serie D74, HASTELLOY C SUPERIOR 1/2" NPTF 30"/0/30 PSI/BAR</t>
  </si>
  <si>
    <t>D74954</t>
  </si>
  <si>
    <t>Sello de diafragma Winters Serie D74, INFERIOR 316AC. INOX. 1/4" NPTF 30"/0/30 PSI/BAR</t>
  </si>
  <si>
    <t>D74956</t>
  </si>
  <si>
    <t>Sello de diafragma Winters Serie D74, INFERIOR 316AC. INOX. 1/2" NPTF 30"/0/30 PSI/BAR</t>
  </si>
  <si>
    <t>D74957</t>
  </si>
  <si>
    <t>Sello de diafragma Winters Serie D74, INFERIOR 316AC. INOX. 1/2" NPTF W/FLUSHING 30"/0/30 PSI/BAR</t>
  </si>
  <si>
    <t>D74963</t>
  </si>
  <si>
    <t>Sello de diafragma Winters Serie D74, INFERIOR 316AC. INOX. 3/4" NPTF 30"/0/30 PSI/BAR</t>
  </si>
  <si>
    <t>D74959</t>
  </si>
  <si>
    <t>Sello de diafragma Winters Serie D74, INFERIOR 316AC. INOX. 3/4" NPTF W/FLUSHING 30"/0/30 PSI/BAR</t>
  </si>
  <si>
    <t>D74964</t>
  </si>
  <si>
    <t>Sello de diafragma Winters Serie D74, INFERIOR 316AC. INOX. 1" NPTF 30"/0/30 PSI/BAR</t>
  </si>
  <si>
    <t>D74965</t>
  </si>
  <si>
    <t>Sello de diafragma Winters Serie D74, INFERIOR 316AC. INOX. 1" NPTF W/FLUSHING 30"/0/30 PSI/BAR</t>
  </si>
  <si>
    <t>D74954M</t>
  </si>
  <si>
    <t>Sello de diafragma Winters Serie D74, INFERIOR MONEL 1/4" NPTF 30"/0/30 PSI/BAR</t>
  </si>
  <si>
    <t>D74956M</t>
  </si>
  <si>
    <t>Sello de diafragma Winters Serie D74, INFERIOR MONEL 1/2" NPTF 30"/0/30 PSI/BAR</t>
  </si>
  <si>
    <t>D74957M</t>
  </si>
  <si>
    <t>Sello de diafragma Winters Serie D74, INFERIOR MONEL 1/2" NPTF W/FLUSHING 30"/0/30 PSI/BAR</t>
  </si>
  <si>
    <t>D74964M</t>
  </si>
  <si>
    <t>Sello de diafragma Winters Serie D74, INFERIOR MONEL 1" NPTF 30"/0/30 PSI/BAR</t>
  </si>
  <si>
    <t>D74965M</t>
  </si>
  <si>
    <t>Sello de diafragma Winters Serie D74, INFERIOR MONEL 1" NPTF W/FLUSHING 30"/0/30 PSI/BAR</t>
  </si>
  <si>
    <t>D74954HASC</t>
  </si>
  <si>
    <t>Sello de diafragma Winters Serie D74, INFERIOR HASTELLOY C 1/4" NPTF 30"/0/30 PSI/BAR</t>
  </si>
  <si>
    <t>D74956HASC</t>
  </si>
  <si>
    <t>Sello de diafragma Winters Serie D74, INFERIOR HASTELLOY C 1/2" NPTF 30"/0/30 PSI/BAR</t>
  </si>
  <si>
    <t>D74957HASC</t>
  </si>
  <si>
    <t>Sello de diafragma Winters Serie D74, INFERIOR HASTELLOY C 1/2" NPTF W/FLUSHING 30"/0/30 PSI/BAR</t>
  </si>
  <si>
    <t>D74963HASC</t>
  </si>
  <si>
    <t>Sello de diafragma Winters Serie D74, INFERIOR HASTELLOY C 3/4" NPTF 30"/0/30 PSI/BAR</t>
  </si>
  <si>
    <t>D74959HASC</t>
  </si>
  <si>
    <t>Sello de diafragma Winters Serie D74, INFERIOR HASTELLOY C 3/4" NPTF W/FLUSHING 30"/0/30 PSI/BAR</t>
  </si>
  <si>
    <t>D74964HASC</t>
  </si>
  <si>
    <t>Sello de diafragma Winters Serie D74, INFERIOR HASTELLOY C 1" NPTF 30"/0/30 PSI/BAR</t>
  </si>
  <si>
    <t>D74965HASC</t>
  </si>
  <si>
    <t>Sello de diafragma Winters Serie D74, INFERIOR HASTELLOY C 1" NPTF W/FLUSHING 30"/0/30 PSI/BAR</t>
  </si>
  <si>
    <t>D74854</t>
  </si>
  <si>
    <t>Sello de diafragma Winters Serie D74, INFERIOR 316AC. INOX. 1/4" NPTM 30"/0/30 PSI/BAR</t>
  </si>
  <si>
    <t>D74856</t>
  </si>
  <si>
    <t>Sello de diafragma Winters Serie D74, INFERIOR 316AC. INOX. 1/2" NPTM 30"/0/30 PSI/BAR</t>
  </si>
  <si>
    <t>D74857</t>
  </si>
  <si>
    <t>Sello de diafragma Winters Serie D74, INFERIOR 316AC. INOX. 1/2" NPTM W/FLUSHING 30"/0/30 PSI/BAR</t>
  </si>
  <si>
    <t>D7463</t>
  </si>
  <si>
    <t>Sello de diafragma Winters Serie D74, INFERIOR 316AC. INOX. 3/4" NPTM 30"/0/30 PSI/BAR</t>
  </si>
  <si>
    <t>D74859</t>
  </si>
  <si>
    <t>Sello de diafragma Winters Serie D74, INFERIOR 316AC. INOX. 3/4" NPTM W/FLUSHING 30"/0/30 PSI/BAR</t>
  </si>
  <si>
    <t>D74864</t>
  </si>
  <si>
    <t>Sello de diafragma Winters Serie D74, INFERIOR 316AC. INOX. 1" NPTM 30"/0/30 PSI/BAR</t>
  </si>
  <si>
    <t>D74865</t>
  </si>
  <si>
    <t>Sello de diafragma Winters Serie D74, INFERIOR 316AC. INOX. 1" NPTM W/FLUSHING 30"/0/30 PSI/BAR</t>
  </si>
  <si>
    <t>D74854M</t>
  </si>
  <si>
    <t>Sello de diafragma Winters Serie D74, INFERIOR MONEL 1/4" NPTM 30"/0/30 PSI/BAR</t>
  </si>
  <si>
    <t>D74856M</t>
  </si>
  <si>
    <t>Sello de diafragma Winters Serie D74, INFERIOR MONEL 1/2" NPTM 30"/0/30 PSI/BAR</t>
  </si>
  <si>
    <t>D74857M</t>
  </si>
  <si>
    <t>Sello de diafragma Winters Serie D74, INFERIOR MONEL 1/2" NPTM W/FLUSHING 30"/0/30 PSI/BAR</t>
  </si>
  <si>
    <t>D74864M</t>
  </si>
  <si>
    <t>Sello de diafragma Winters Serie D74, INFERIOR MONEL 1" NPTM 30"/0/30 PSI/BAR</t>
  </si>
  <si>
    <t>D74865M</t>
  </si>
  <si>
    <t>Sello de diafragma Winters Serie D74, INFERIOR MONEL 1" NPTM W/FLUSHING 30"/0/30 PSI/BAR</t>
  </si>
  <si>
    <t>D74854HASC</t>
  </si>
  <si>
    <t>Sello de diafragma Winters Serie D74, INFERIOR HASTELLOY C 1/4" NPTM 30"/0/30 PSI/BAR</t>
  </si>
  <si>
    <t>D74856HASC</t>
  </si>
  <si>
    <t>Sello de diafragma Winters Serie D74, INFERIOR HASTELLOY C 1/2" NPTM 30"/0/30 PSI/BAR</t>
  </si>
  <si>
    <t>D74857HASC</t>
  </si>
  <si>
    <t>Sello de diafragma Winters Serie D74, INFERIOR HASTELLOY C 1/2" NPTM W/FLUSHING 30"/0/30 PSI/BAR</t>
  </si>
  <si>
    <t>D74863HASC</t>
  </si>
  <si>
    <t>Sello de diafragma Winters Serie D74, INFERIOR HASTELLOY C 3/4" NPTM 30"/0/30 PSI/BAR</t>
  </si>
  <si>
    <t>D74859HASC</t>
  </si>
  <si>
    <t>Sello de diafragma Winters Serie D74, INFERIOR HASTELLOY C 3/4" NPTM W/FLUSHING 30"/0/30 PSI/BAR</t>
  </si>
  <si>
    <t>D74864HASC</t>
  </si>
  <si>
    <t>Sello de diafragma Winters Serie D74, INFERIOR HASTELLOY C 1" NPTM 30"/0/30 PSI/BAR</t>
  </si>
  <si>
    <t>D74865HASC</t>
  </si>
  <si>
    <t>Sello de diafragma Winters Serie D74, INFERIOR HASTELLOY C 1" NPTM W/FLUSHING 30"/0/30 PSI/BAR</t>
  </si>
  <si>
    <t>D81RIR1CABSF2N</t>
  </si>
  <si>
    <t>Sello separador Winters Serie D81 ISO-RING, FLANGE SENSOR, 1", CS CENTRE, BUNA-N, ACETAL PLATES, RELLENO DE GLIC., AC. INOX. WINCONNECT, 1/2" NPT, 150#</t>
  </si>
  <si>
    <t>D81RIR1.5CABSF2N</t>
  </si>
  <si>
    <t>Sello separador Winters Serie D81 ISO-RING, FLANGE SENSOR, 1,5", CS CENTRE, BUNA-N, ACETAL PLATES, RELLENO DE GLIC., AC. INOX. WINCONNECT, 1/2" NPT, 150#</t>
  </si>
  <si>
    <t>D81RIR2CABSF2N</t>
  </si>
  <si>
    <t>Sello separador Winters Serie D81 ISO-RING, FLANGE SENSOR, 2", CS CENTRE, BUNA-N, ACETAL PLATES, RELLENO DE GLIC., AC. INOX. WINCONNECT, 1/2" NPT, 150#</t>
  </si>
  <si>
    <t>D81RIR3CABSF2N</t>
  </si>
  <si>
    <t>Sello separador Winters Serie D81 ISO-RING, FLANGE SENSOR, 3", CS CENTRE, BUNA-N, ACETAL PLATES, RELLENO DE GLIC., AC. INOX. WINCONNECT, 1/2" NPT, 150#</t>
  </si>
  <si>
    <t>D81RIR4CABSF2N</t>
  </si>
  <si>
    <t>Sello separador Winters Serie D81 ISO-RING, FLANGE SENSOR, 4", CS CENTRE, BUNA-N, ACETAL PLATES, RELLENO DE GLIC., AC. INOX. WINCONNECT, 1/2" NPT, 150#</t>
  </si>
  <si>
    <t>D81RIR6CABSF2N</t>
  </si>
  <si>
    <t>Sello separador Winters Serie D81 ISO-RING, FLANGE SENSOR, 6", CS CENTRE, BUNA-N, ACETAL PLATES, RELLENO DE GLIC., AC. INOX. WINCONNECT, 1/2" NPT, 150#</t>
  </si>
  <si>
    <t>D81RIR8CABSF2N</t>
  </si>
  <si>
    <t>Sello separador Winters Serie D81 ISO-RING, FLANGE SENSOR, 8", CS CENTRE, BUNA-N, ACETAL PLATES, RELLENO DE GLIC., AC. INOX. WINCONNECT, 1/2" NPT, 150#</t>
  </si>
  <si>
    <t>D81RIR10CABSF2N</t>
  </si>
  <si>
    <t>Sello separador Winters Serie D81 ISO-RING, FLANGE SENSOR, 10", CS CENTRE, BUNA-N, ACETAL PLATES, RELLENO DE GLIC., AC. INOX. WINCONNECT, 1/2" NPT, 150#</t>
  </si>
  <si>
    <t>D81RIR12CABSF2N</t>
  </si>
  <si>
    <t>Sello separador Winters Serie D81 ISO-RING, FLANGE SENSOR, 12", CS CENTRE, BUNA-N, ACETAL PLATES, RELLENO DE GLIC., AC. INOX. WINCONNECT, 1/2" NPT, 150#</t>
  </si>
  <si>
    <t>D81RIR14CABSF2N</t>
  </si>
  <si>
    <t>Sello separador Winters Serie D81 ISO-RING, FLANGE SENSOR, 14", CS CENTRE, BUNA-N, ACETAL PLATES, RELLENO DE GLIC., AC. INOX. WINCONNECT, 1/2" NPT, 150#</t>
  </si>
  <si>
    <t>D81RIR16CABSF2N</t>
  </si>
  <si>
    <t>Sello separador Winters Serie D81 ISO-RING, FLANGE SENSOR, 16", CS CENTRE, BUNA-N, ACETAL PLATES, RELLENO DE GLIC., AC. INOX. WINCONNECT, 1/2" NPT, 150#</t>
  </si>
  <si>
    <t>D81RIR18CABSF2N</t>
  </si>
  <si>
    <t>Sello separador Winters Serie D81 ISO-RING, FLANGE SENSOR, 18", CS CENTRE, BUNA-N, ACETAL PLATES, RELLENO DE GLIC., AC. INOX. WINCONNECT, 1/2" NPT, 150#</t>
  </si>
  <si>
    <t>D81RIR1CABSF2N-300#</t>
  </si>
  <si>
    <t>Sello separador Winters Serie D81 ISO-RING, FLANGE SENSOR, 1", CS CENTRE, BUNA-N, ACETAL PLATES, RELLENO DE GLIC., AC. INOX. WINCONNECT, 1/2" NPT, 300#</t>
  </si>
  <si>
    <t>D81RIR1.5CABSF2N-300#</t>
  </si>
  <si>
    <t>Sello separador Winters Serie D81 ISO-RING, FLANGE SENSOR, 1,5", CS CENTRE, BUNA-N, ACETAL PLATES, RELLENO DE GLIC., AC. INOX. WINCONNECT, 1/2" NPT, 300#</t>
  </si>
  <si>
    <t>D81RIR2CABSF2N-300#</t>
  </si>
  <si>
    <t>Sello separador Winters Serie D81 ISO-RING, FLANGE SENSOR, 2", CS CENTRE, BUNA-N, ACETAL PLATES, RELLENO DE GLIC., AC. INOX. WINCONNECT, 1/2" NPT, 300#</t>
  </si>
  <si>
    <t>D81RIR3CABSF2N-300#</t>
  </si>
  <si>
    <t>Sello separador Winters Serie D81 ISO-RING, FLANGE SENSOR, 3", CS CENTRE, BUNA-N, ACETAL PLATES, RELLENO DE GLIC., AC. INOX. WINCONNECT, 1/2" NPT, 300#</t>
  </si>
  <si>
    <t>D81RIR4CABSF2N-300#</t>
  </si>
  <si>
    <t>Sello separador Winters Serie D81 ISO-RING, FLANGE SENSOR, 4", CS CENTRE, BUNA-N, ACETAL PLATES, RELLENO DE GLIC., AC. INOX. WINCONNECT, 1/2" NPT, 300#</t>
  </si>
  <si>
    <t>D81RIR6CABSF2N-300#</t>
  </si>
  <si>
    <t>Sello separador Winters Serie D81 ISO-RING, FLANGE SENSOR, 6", CS CENTRE, BUNA-N, ACETAL PLATES, RELLENO DE GLIC., AC. INOX. WINCONNECT, 1/2" NPT, 300#</t>
  </si>
  <si>
    <t>D81RIR8CABSF2N-300#</t>
  </si>
  <si>
    <t>Sello separador Winters Serie D81 ISO-RING, FLANGE SENSOR, 8", CS CENTRE, BUNA-N, ACETAL PLATES, RELLENO DE GLIC., AC. INOX. WINCONNECT, 1/2" NPT, 300#</t>
  </si>
  <si>
    <t>D81RIR10CABSF2N-300#</t>
  </si>
  <si>
    <t>Sello separador Winters Serie D81 ISO-RING, FLANGE SENSOR, 10", CS CENTRE, BUNA-N, ACETAL PLATES, RELLENO DE GLIC., AC. INOX. WINCONNECT, 1/2" NPT, 300#</t>
  </si>
  <si>
    <t>D81RIR12CABSF2N-300#</t>
  </si>
  <si>
    <t>Sello separador Winters Serie D81 ISO-RING, FLANGE SENSOR, 12", CS CENTRE, BUNA-N, ACETAL PLATES, RELLENO DE GLIC., AC. INOX. WINCONNECT, 1/2" NPT, 300#</t>
  </si>
  <si>
    <t>D81RIR14CABSF2N-300#</t>
  </si>
  <si>
    <t>Sello separador Winters Serie D81 ISO-RING, FLANGE SENSOR, 14", CS CENTRE, BUNA-N, ACETAL PLATES, RELLENO DE GLIC., AC. INOX. WINCONNECT, 1/2" NPT, 300#</t>
  </si>
  <si>
    <t>D81RIR16CABSF2N-300#</t>
  </si>
  <si>
    <t>Sello separador Winters Serie D81 ISO-RING, FLANGE SENSOR, 16", CS CENTRE, BUNA-N, ACETAL PLATES, RELLENO DE GLIC., AC. INOX. WINCONNECT, 1/2" NPT, 300#</t>
  </si>
  <si>
    <t>D81RIR18CABSF2N-300#</t>
  </si>
  <si>
    <t>Sello separador Winters Serie D81 ISO-RING, FLANGE SENSOR, 18", CS CENTRE, BUNA-N, ACETAL PLATES, RELLENO DE GLIC., AC. INOX. WINCONNECT, 1/2" NPT, 300#</t>
  </si>
  <si>
    <t>D81RIR1CANSF2N</t>
  </si>
  <si>
    <t>Sello separador Winters Serie D81 ISO-RING, FLANGE SENSOR, 1", CS CENTRE, NEOPRENE, ACETAL PLATES, RELLENO DE GLIC., AC. INOX. WINCONNECT, 1/2" NPT, 150#</t>
  </si>
  <si>
    <t>D81RIR1.5CANSF2N</t>
  </si>
  <si>
    <t>Sello separador Winters Serie D81 ISO-RING, FLANGE SENSOR, 1,5", CS CENTRE, NEOPRENE, ACETAL PLATES, RELLENO DE GLIC., AC. INOX. WINCONNECT, 1/2" NPT, 150#</t>
  </si>
  <si>
    <t>D81RIR2CANSF2N</t>
  </si>
  <si>
    <t>Sello separador Winters Serie D81 ISO-RING, FLANGE SENSOR, 2", CS CENTRE, NEOPRENE, ACETAL PLATES, RELLENO DE GLIC., AC. INOX. WINCONNECT, 1/2" NPT, 150#</t>
  </si>
  <si>
    <t>D81RIR3CANSF2N</t>
  </si>
  <si>
    <t>Sello separador Winters Serie D81 ISO-RING, FLANGE SENSOR, 3", CS CENTRE, NEOPRENE, ACETAL PLATES, RELLENO DE GLIC., AC. INOX. WINCONNECT, 1/2" NPT, 150#</t>
  </si>
  <si>
    <t>D81RIR4CANSF2N</t>
  </si>
  <si>
    <t>Sello separador Winters Serie D81 ISO-RING, FLANGE SENSOR, 4", CS CENTRE, NEOPRENE, ACETAL PLATES, RELLENO DE GLIC., AC. INOX. WINCONNECT, 1/2" NPT, 150#</t>
  </si>
  <si>
    <t>D81RIR6CANSF2N</t>
  </si>
  <si>
    <t>Sello separador Winters Serie D81 ISO-RING, FLANGE SENSOR, 6", CS CENTRE, NEOPRENE, ACETAL PLATES, RELLENO DE GLIC., AC. INOX. WINCONNECT, 1/2" NPT, 150#</t>
  </si>
  <si>
    <t>D81RIR8CANSF2N</t>
  </si>
  <si>
    <t>Sello separador Winters Serie D81 ISO-RING, FLANGE SENSOR, 8", CS CENTRE, NEOPRENE, ACETAL PLATES, RELLENO DE GLIC., AC. INOX. WINCONNECT, 1/2" NPT, 150#</t>
  </si>
  <si>
    <t>D81RIR10CANSF2N</t>
  </si>
  <si>
    <t>Sello separador Winters Serie D81 ISO-RING, FLANGE SENSOR, 10", CS CENTRE, NEOPRENE, ACETAL PLATES, RELLENO DE GLIC., AC. INOX. WINCONNECT, 1/2" NPT, 150#</t>
  </si>
  <si>
    <t>D81RIR12CANSF2N</t>
  </si>
  <si>
    <t>Sello separador Winters Serie D81 ISO-RING, FLANGE SENSOR, 12", CS CENTRE, NEOPRENE, ACETAL PLATES, RELLENO DE GLIC., AC. INOX. WINCONNECT, 1/2" NPT, 150#</t>
  </si>
  <si>
    <t>D81RIR14CANSF2N</t>
  </si>
  <si>
    <t>Sello separador Winters Serie D81 ISO-RING, FLANGE SENSOR, 14", CS CENTRE, NEOPRENE, ACETAL PLATES, RELLENO DE GLIC., AC. INOX. WINCONNECT, 1/2" NPT, 150#</t>
  </si>
  <si>
    <t>D81RIR16CANSF2N</t>
  </si>
  <si>
    <t>Sello separador Winters Serie D81 ISO-RING, FLANGE SENSOR, 16", CS CENTRE, NEOPRENE, ACETAL PLATES, RELLENO DE GLIC., AC. INOX. WINCONNECT, 1/2" NPT, 150#</t>
  </si>
  <si>
    <t>D81RIR18CANSF2N</t>
  </si>
  <si>
    <t>Sello separador Winters Serie D81 ISO-RING, FLANGE SENSOR, 18", CS CENTRE, NEOPRENE, ACETAL PLATES, RELLENO DE GLIC., AC. INOX. WINCONNECT, 1/2" NPT, 150#</t>
  </si>
  <si>
    <t>D81RIR1CANSF2N-300#</t>
  </si>
  <si>
    <t>Sello separador Winters Serie D81 ISO-RING, FLANGE SENSOR, 1", CS CENTRE, NEOPRENE, ACETAL PLATES, RELLENO DE GLIC., AC. INOX. WINCONNECT, 1/2" NPT, 300#</t>
  </si>
  <si>
    <t>D81RIR1.5CANSF2N-300#</t>
  </si>
  <si>
    <t>Sello separador Winters Serie D81 ISO-RING, FLANGE SENSOR, 1,5", CS CENTRE, NEOPRENE, ACETAL PLATES, RELLENO DE GLIC., AC. INOX. WINCONNECT, 1/2" NPT, 300#</t>
  </si>
  <si>
    <t>D81RIR2CANSF2N-300#</t>
  </si>
  <si>
    <t>Sello separador Winters Serie D81 ISO-RING, FLANGE SENSOR, 2", CS CENTRE, NEOPRENE, ACETAL PLATES, RELLENO DE GLIC., AC. INOX. WINCONNECT, 1/2" NPT, 300#</t>
  </si>
  <si>
    <t>D81RIR3CANSF2N-300#</t>
  </si>
  <si>
    <t>Sello separador Winters Serie D81 ISO-RING, FLANGE SENSOR, 3", CS CENTRE, NEOPRENE, ACETAL PLATES, RELLENO DE GLIC., AC. INOX. WINCONNECT, 1/2" NPT, 300#</t>
  </si>
  <si>
    <t>D81RIR4CANSF2N-300#</t>
  </si>
  <si>
    <t>Sello separador Winters Serie D81 ISO-RING, FLANGE SENSOR, 4", CS CENTRE, NEOPRENE, ACETAL PLATES, RELLENO DE GLIC., AC. INOX. WINCONNECT, 1/2" NPT, 300#</t>
  </si>
  <si>
    <t>D81RIR6CANSF2N-300#</t>
  </si>
  <si>
    <t>Sello separador Winters Serie D81 ISO-RING, FLANGE SENSOR, 6", CS CENTRE, NEOPRENE, ACETAL PLATES, RELLENO DE GLIC., AC. INOX. WINCONNECT, 1/2" NPT, 300#</t>
  </si>
  <si>
    <t>D81RIR8CANSF2N-300#</t>
  </si>
  <si>
    <t>Sello separador Winters Serie D81 ISO-RING, FLANGE SENSOR, 8", CS CENTRE, NEOPRENE, ACETAL PLATES, RELLENO DE GLIC., AC. INOX. WINCONNECT, 1/2" NPT, 300#</t>
  </si>
  <si>
    <t>D81RIR10CANSF2N-300#</t>
  </si>
  <si>
    <t>Sello separador Winters Serie D81 ISO-RING, FLANGE SENSOR, 10", CS CENTRE, NEOPRENE, ACETAL PLATES, RELLENO DE GLIC., AC. INOX. WINCONNECT, 1/2" NPT, 300#</t>
  </si>
  <si>
    <t>D81RIR12CANSF2N-300#</t>
  </si>
  <si>
    <t>Sello separador Winters Serie D81 ISO-RING, FLANGE SENSOR, 12", CS CENTRE, NEOPRENE, ACETAL PLATES, RELLENO DE GLIC., AC. INOX. WINCONNECT, 1/2" NPT, 300#</t>
  </si>
  <si>
    <t>D81RIR14CANSF2N-300#</t>
  </si>
  <si>
    <t>Sello separador Winters Serie D81 ISO-RING, FLANGE SENSOR, 14", CS CENTRE, NEOPRENE, ACETAL PLATES, RELLENO DE GLIC., AC. INOX. WINCONNECT, 1/2" NPT, 300#</t>
  </si>
  <si>
    <t>D81RIR16CANSF2N-300#</t>
  </si>
  <si>
    <t>Sello separador Winters Serie D81 ISO-RING, FLANGE SENSOR, 16", CS CENTRE, NEOPRENE, ACETAL PLATES, RELLENO DE GLIC., AC. INOX. WINCONNECT, 1/2" NPT, 300#</t>
  </si>
  <si>
    <t>D81RIR18CANSF2N-300#</t>
  </si>
  <si>
    <t>Sello separador Winters Serie D81 ISO-RING, FLANGE SENSOR, 18", CS CENTRE, NEOPRENE, ACETAL PLATES, RELLENO DE GLIC., AC. INOX. WINCONNECT, 1/2" NPT, 300#</t>
  </si>
  <si>
    <t>D81RIR1CAVSF2N</t>
  </si>
  <si>
    <t>Sello separador Winters Serie D81 ISO-RING, FLANGE SENSOR, 1", CS CENTRE, VITON, ACETAL, RELLENO DE GLIC., AC. INOX. WINCONNECT, 1/2" NPT, 150#</t>
  </si>
  <si>
    <t>D81RIR1.5CAVSF2N</t>
  </si>
  <si>
    <t>Sello separador Winters Serie D81 ISO-RING, FLANGE SENSOR, 1,5", CS CENTRE, VITON, ACETAL, RELLENO DE GLIC., AC. INOX. WINCONNECT, 1/2" NPT, 150#</t>
  </si>
  <si>
    <t>D81RIR2CAVSF2N</t>
  </si>
  <si>
    <t>Sello separador Winters Serie D81 ISO-RING, FLANGE SENSOR, 2", CS CENTRE, VITON, ACETAL, RELLENO DE GLIC., AC. INOX. WINCONNECT, 1/2" NPT, 150#</t>
  </si>
  <si>
    <t>D81RIR3CAVSF2N</t>
  </si>
  <si>
    <t>Sello separador Winters Serie D81 ISO-RING, FLANGE SENSOR, 3", CS CENTRE, VITON, ACETAL, RELLENO DE GLIC., AC. INOX. WINCONNECT, 1/2" NPT, 150#</t>
  </si>
  <si>
    <t>D81RIR4CAVSF2N</t>
  </si>
  <si>
    <t>Sello separador Winters Serie D81 ISO-RING, FLANGE SENSOR, 4", CS CENTRE, VITON, ACETAL, RELLENO DE GLIC., AC. INOX. WINCONNECT, 1/2" NPT, 150#</t>
  </si>
  <si>
    <t>D81RIR6CAVSF2N</t>
  </si>
  <si>
    <t>Sello separador Winters Serie D81 ISO-RING, FLANGE SENSOR, 6", CS CENTRE, VITON, ACETAL, RELLENO DE GLIC., AC. INOX. WINCONNECT, 1/2" NPT, 150#</t>
  </si>
  <si>
    <t>D81RIR8CAVSF2N</t>
  </si>
  <si>
    <t>Sello separador Winters Serie D81 ISO-RING, FLANGE SENSOR, 8", CS CENTRE, VITON, ACETAL, RELLENO DE GLIC., AC. INOX. WINCONNECT, 1/2" NPT, 150#</t>
  </si>
  <si>
    <t>D81RIR10CAVSF2N</t>
  </si>
  <si>
    <t>Sello separador Winters Serie D81 ISO-RING, FLANGE SENSOR, 10", CS CENTRE, VITON, ACETAL, RELLENO DE GLIC., AC. INOX. WINCONNECT, 1/2" NPT, 150#</t>
  </si>
  <si>
    <t>D81RIR12CAVSF2N</t>
  </si>
  <si>
    <t>Sello separador Winters Serie D81 ISO-RING, FLANGE SENSOR, 12", CS CENTRE, VITON, ACETAL, RELLENO DE GLIC., AC. INOX. WINCONNECT, 1/2" NPT, 150#</t>
  </si>
  <si>
    <t>D81RIR14CAVSF2N</t>
  </si>
  <si>
    <t>Sello separador Winters Serie D81 ISO-RING, FLANGE SENSOR, 14", CS CENTRE, VITON, ACETAL, RELLENO DE GLIC., AC. INOX. WINCONNECT, 1/2" NPT, 150#</t>
  </si>
  <si>
    <t>D81RIR16CAVSF2N</t>
  </si>
  <si>
    <t>Sello separador Winters Serie D81 ISO-RING, FLANGE SENSOR, 16", CS CENTRE, VITON, ACETAL, RELLENO DE GLIC., AC. INOX. WINCONNECT, 1/2" NPT, 150#</t>
  </si>
  <si>
    <t>D81RIR18CAVSF2N</t>
  </si>
  <si>
    <t>Sello separador Winters Serie D81 ISO-RING, FLANGE SENSOR, 18", CS CENTRE, VITON, ACETAL, RELLENO DE GLIC., AC. INOX. WINCONNECT, 1/2" NPT, 150#</t>
  </si>
  <si>
    <t>D81RIR1CAVSF2N-300#</t>
  </si>
  <si>
    <t>Sello separador Winters Serie D81 ISO-RING, FLANGE SENSOR, 1", CS CENTRE, VITON, ACETAL, RELLENO DE GLIC., AC. INOX. WINCONNECT, 1/2" NPT, 300#</t>
  </si>
  <si>
    <t>D81RIR1.5CAVSF2N-300#</t>
  </si>
  <si>
    <t>Sello separador Winters Serie D81 ISO-RING, FLANGE SENSOR, 1,5", CS CENTRE, VITON, ACETAL, RELLENO DE GLIC., AC. INOX. WINCONNECT, 1/2" NPT, 300#</t>
  </si>
  <si>
    <t>D81RIR2CAVSF2N-300#</t>
  </si>
  <si>
    <t>Sello separador Winters Serie D81 ISO-RING, FLANGE SENSOR, 2", CS CENTRE, VITON, ACETAL, RELLENO DE GLIC., AC. INOX. WINCONNECT, 1/2" NPT, 300#</t>
  </si>
  <si>
    <t>D81RIR3CAVSF2N-300#</t>
  </si>
  <si>
    <t>Sello separador Winters Serie D81 ISO-RING, FLANGE SENSOR, 3", CS CENTRE, VITON, ACETAL, RELLENO DE GLIC., AC. INOX. WINCONNECT, 1/2" NPT, 300#</t>
  </si>
  <si>
    <t>D81RIR4CAVSF2N-300#</t>
  </si>
  <si>
    <t>Sello separador Winters Serie D81 ISO-RING, FLANGE SENSOR, 4", CS CENTRE, VITON, ACETAL, RELLENO DE GLIC., AC. INOX. WINCONNECT, 1/2" NPT, 300#</t>
  </si>
  <si>
    <t>D81RIR6CAVSF2N-300#</t>
  </si>
  <si>
    <t>Sello separador Winters Serie D81 ISO-RING, FLANGE SENSOR, 6", CS CENTRE, VITON, ACETAL, RELLENO DE GLIC., AC. INOX. WINCONNECT, 1/2" NPT, 300#</t>
  </si>
  <si>
    <t>D81RIR8CAVSF2N-300#</t>
  </si>
  <si>
    <t>Sello separador Winters Serie D81 ISO-RING, FLANGE SENSOR, 8", CS CENTRE, VITON, ACETAL, RELLENO DE GLIC., AC. INOX. WINCONNECT, 1/2" NPT, 300#</t>
  </si>
  <si>
    <t>D81RIR10CAVSF2N-300#</t>
  </si>
  <si>
    <t>Sello separador Winters Serie D81 ISO-RING, FLANGE SENSOR, 10", CS CENTRE, VITON, ACETAL, RELLENO DE GLIC., AC. INOX. WINCONNECT, 1/2" NPT, 300#</t>
  </si>
  <si>
    <t>D81RIR12CAVSF2N-300#</t>
  </si>
  <si>
    <t>Sello separador Winters Serie D81 ISO-RING, FLANGE SENSOR, 12", CS CENTRE, VITON, ACETAL, RELLENO DE GLIC., AC. INOX. WINCONNECT, 1/2" NPT, 300#</t>
  </si>
  <si>
    <t>D81RIR14CAVSF2N-300#</t>
  </si>
  <si>
    <t>Sello separador Winters Serie D81 ISO-RING, FLANGE SENSOR, 14", CS CENTRE, VITON, ACETAL, RELLENO DE GLIC., AC. INOX. WINCONNECT, 1/2" NPT, 300#</t>
  </si>
  <si>
    <t>D81RIR16CAVSF2N-300#</t>
  </si>
  <si>
    <t>Sello separador Winters Serie D81 ISO-RING, FLANGE SENSOR, 16", CS CENTRE, VITON, ACETAL, RELLENO DE GLIC., AC. INOX. WINCONNECT, 1/2" NPT, 300#</t>
  </si>
  <si>
    <t>D81RIR18CAVSF2N-300#</t>
  </si>
  <si>
    <t>Sello separador Winters Serie D81 ISO-RING, FLANGE SENSOR, 18", CS CENTRE, VITON, ACETAL, RELLENO DE GLIC., AC. INOX. WINCONNECT, 1/2" NPT, 300#</t>
  </si>
  <si>
    <t>D81RIR1CCBSF2N</t>
  </si>
  <si>
    <t>Sello separador Winters Serie D81 ISO-RING, FLANGE SENSOR, 1", CS CENTRE, BUNA-N, CS PLATES, RELLENO DE GLIC., AC. INOX. WINCONNECT, 1/2" NPT, 150#</t>
  </si>
  <si>
    <t>D81RIR1.5CCBSF2N</t>
  </si>
  <si>
    <t>Sello separador Winters Serie D81 ISO-RING, FLANGE SENSOR, 1,5", CS CENTRE, BUNA-N, CS PLATES, RELLENO DE GLIC., AC. INOX. WINCONNECT,  1/2" NPT, 150#</t>
  </si>
  <si>
    <t>D81RIR2CCBSF2N</t>
  </si>
  <si>
    <t>Sello separador Winters Serie D81 ISO-RING, FLANGE SENSOR, 2", CS CENTRE, BUNA-N, CS PLATES, RELLENO DE GLIC., AC. INOX. WINCONNECT, 1/2" NPT, 150#</t>
  </si>
  <si>
    <t>D81RIR3CCBSF2N</t>
  </si>
  <si>
    <t>Sello separador Winters Serie D81 ISO-RING, FLANGE SENSOR, 3", CS CENTRE, BUNA-N, CS PLATES, RELLENO DE GLIC., AC. INOX. WINCONNECT, 1/2" NPT, 150#</t>
  </si>
  <si>
    <t>D81RIR4CCBSF2N</t>
  </si>
  <si>
    <t>Sello separador Winters Serie D81 ISO-RING, FLANGE SENSOR, 4", CS CENTRE, BUNA-N, CS PLATES, RELLENO DE GLIC., AC. INOX. WINCONNECT, 1/2" NPT, 150#</t>
  </si>
  <si>
    <t>D81RIR6CCBSF2N</t>
  </si>
  <si>
    <t>Sello separador Winters Serie D81 ISO-RING, FLANGE SENSOR, 6", CS CENTRE, BUNA-N, CS PLATES, RELLENO DE GLIC., AC. INOX. WINCONNECT, 1/2" NPT, 150#</t>
  </si>
  <si>
    <t>D81RIR8CCBSF2N</t>
  </si>
  <si>
    <t>Sello separador Winters Serie D81 ISO-RING, FLANGE SENSOR, 8", CS CENTRE, BUNA-N, CS PLATES, RELLENO DE GLIC., AC. INOX. WINCONNECT, 1/2" NPT, 150#</t>
  </si>
  <si>
    <t>D81RIR10CCBSF2N</t>
  </si>
  <si>
    <t>Sello separador Winters Serie D81 ISO-RING, FLANGE SENSOR, 10", CS CENTRE, BUNA-N, CS PLATES, RELLENO DE GLIC., AC. INOX. WINCONNECT, 1/2" NPT, 150#</t>
  </si>
  <si>
    <t>D81RIR12CCBSF2N</t>
  </si>
  <si>
    <t>Sello separador Winters Serie D81 ISO-RING, FLANGE SENSOR, 12", CS CENTRE, BUNA-N, CS PLATES, RELLENO DE GLIC., AC. INOX. WINCONNECT, 1/2" NPT, 150#</t>
  </si>
  <si>
    <t>D81RIR14CCBSF2N</t>
  </si>
  <si>
    <t>Sello separador Winters Serie D81 ISO-RING, FLANGE SENSOR, 14", CS CENTRE, BUNA-N, CS PLATES, RELLENO DE GLIC., AC. INOX. WINCONNECT, 1/2" NPT, 150#</t>
  </si>
  <si>
    <t>D81RIR16CCBSF2N</t>
  </si>
  <si>
    <t>Sello separador Winters Serie D81 ISO-RING, FLANGE SENSOR, 16", CS CENTRE, BUNA-N, CS PLATES, RELLENO DE GLIC., AC. INOX. WINCONNECT, 1/2" NPT, 150#</t>
  </si>
  <si>
    <t>D81RIR18CCBSF2N</t>
  </si>
  <si>
    <t>Sello separador Winters Serie D81 ISO-RING, FLANGE SENSOR, 18", CS CENTRE, BUNA-N, CS PLATES, RELLENO DE GLIC., AC. INOX. WINCONNECT, 1/2" NPT, 150#</t>
  </si>
  <si>
    <t>D81RIR20CCBSF2N</t>
  </si>
  <si>
    <t>Sello separador Winters Serie D81 ISO-RING, BRIDADO SENSOR, 20", CS, BUNA-N, CS PLATES, RELLENO DE GLIC., AC. INOX. WINCONNECT, 1/2" NPT, 150#</t>
  </si>
  <si>
    <t>D81RIR24CCBSF2N</t>
  </si>
  <si>
    <t>Sello separador Winters Serie D81 ISO-RING, BRIDADO SENSOR, 24", CS, BUNA-N, CS PLATES, RELLENO DE GLIC., AC. INOX. WINCONNECT, 1/2" NPT, 150#</t>
  </si>
  <si>
    <t>D81RIR1CCBSF2N-300#</t>
  </si>
  <si>
    <t>Sello separador Winters Serie D81 ISO-RING, FLANGE SENSOR, 1", CS CENTRE, BUNA-N, CS PLATES, RELLENO DE GLIC., AC. INOX. WINCONNECT, 1/2" NPT, 300#</t>
  </si>
  <si>
    <t>D81RIR1.5CCBSF2N-300#</t>
  </si>
  <si>
    <t>Sello separador Winters Serie D81 ISO-RING, FLANGE SENSOR, 1,5", CS CENTRE, BUNA-N, CS PLATES, RELLENO DE GLIC., AC. INOX. WINCONNECT,  1/2" NPT, 300#</t>
  </si>
  <si>
    <t>D81RIR2CCBSF2N-300#</t>
  </si>
  <si>
    <t>Sello separador Winters Serie D81 ISO-RING, FLANGE SENSOR, 2", CS CENTRE, BUNA-N, CS PLATES, RELLENO DE GLIC., AC. INOX. WINCONNECT, 1/2" NPT, 300#</t>
  </si>
  <si>
    <t>D81RIR3CCBSF2N-300#</t>
  </si>
  <si>
    <t>Sello separador Winters Serie D81 ISO-RING, FLANGE SENSOR, 3", CS CENTRE, BUNA-N, CS PLATES, RELLENO DE GLIC., AC. INOX. WINCONNECT, 1/2" NPT, 300#</t>
  </si>
  <si>
    <t>D81RIR4CCBSF2N-300#</t>
  </si>
  <si>
    <t>Sello separador Winters Serie D81 ISO-RING, FLANGE SENSOR, 4", CS CENTRE, BUNA-N, CS PLATES, RELLENO DE GLIC., AC. INOX. WINCONNECT, 1/2" NPT, 300#</t>
  </si>
  <si>
    <t>D81RIR6CCBSF2N-300#</t>
  </si>
  <si>
    <t>Sello separador Winters Serie D81 ISO-RING, FLANGE SENSOR, 6", CS CENTRE, BUNA-N, CS PLATES, RELLENO DE GLIC., AC. INOX. WINCONNECT, 1/2" NPT, 300#</t>
  </si>
  <si>
    <t>D81RIR8CCBSF2N-300#</t>
  </si>
  <si>
    <t>Sello separador Winters Serie D81 ISO-RING, FLANGE SENSOR, 8", CS CENTRE, BUNA-N, CS PLATES, RELLENO DE GLIC., AC. INOX. WINCONNECT, 1/2" NPT, 300#</t>
  </si>
  <si>
    <t>D81RIR10CCBSF2N-300#</t>
  </si>
  <si>
    <t>Sello separador Winters Serie D81 ISO-RING, FLANGE SENSOR, 10", CS CENTRE, BUNA-N, CS PLATES, RELLENO DE GLIC., AC. INOX. WINCONNECT, 1/2" NPT, 300#</t>
  </si>
  <si>
    <t>D81RIR12CCBSF2N-300#</t>
  </si>
  <si>
    <t>Sello separador Winters Serie D81 ISO-RING, FLANGE SENSOR, 12", CS CENTRE, BUNA-N, CS PLATES, RELLENO DE GLIC., AC. INOX. WINCONNECT, 1/2" NPT, 300#</t>
  </si>
  <si>
    <t>D81RIR14CCBSF2N-300#</t>
  </si>
  <si>
    <t>Sello separador Winters Serie D81 ISO-RING, FLANGE SENSOR, 14", CS CENTRE, BUNA-N, CS PLATES, RELLENO DE GLIC., AC. INOX. WINCONNECT, 1/2" NPT, 300#</t>
  </si>
  <si>
    <t>D81RIR16CCBSF2N-300#</t>
  </si>
  <si>
    <t>Sello separador Winters Serie D81 ISO-RING, FLANGE SENSOR, 16", CS CENTRE, BUNA-N, CS PLATES, RELLENO DE GLIC., AC. INOX. WINCONNECT, 1/2" NPT, 300#</t>
  </si>
  <si>
    <t>D81RIR18CCBSF2N-300#</t>
  </si>
  <si>
    <t>Sello separador Winters Serie D81 ISO-RING, FLANGE SENSOR, 18", CS CENTRE, BUNA-N, CS PLATES, RELLENO DE GLIC., AC. INOX. WINCONNECT, 1/2" NPT, 300#</t>
  </si>
  <si>
    <t>D81RIR20CCBSF2N-300#</t>
  </si>
  <si>
    <t>Sello separador Winters Serie D81 ISO-RING, BRIDADO SENSOR, 20", CS, BUNA-N, CS PLATES, RELLENO DE GLIC., AC. INOX. WINCONNECT, 1/2" NPT, 300#</t>
  </si>
  <si>
    <t>D81RIR24CCBSF2N-300#</t>
  </si>
  <si>
    <t>Sello separador Winters Serie D81 ISO-RING, BRIDADO SENSOR, 24", CS, BUNA-N, CS PLATES, RELLENO DE GLIC., AC. INOX. WINCONNECT, 1/2" NPT, 300#</t>
  </si>
  <si>
    <t>D81RIR1CCESF2N</t>
  </si>
  <si>
    <t>Sello separador Winters Serie D81 ISO-RING, BRIDADO SENSOR, 1", CS CENTRE, EPDM, CS PLATES, RELLENO DE GLIC., AC. INOX. WINCONNECT, 1/2" NPT, 150#</t>
  </si>
  <si>
    <t>D81RIR1.5CCESF2N</t>
  </si>
  <si>
    <t>Sello separador Winters Serie D81 ISO-RING, BRIDADO SENSOR, 1,5", CS CENTRE, EPDM, CS PLATES, RELLENO DE GLIC., AC. INOX. WINCONNECT, 1/2" NPT, 150#</t>
  </si>
  <si>
    <t>D81RIR2CCESF2N</t>
  </si>
  <si>
    <t>Sello separador Winters Serie D81 ISO-RING, BRIDADO SENSOR, 2", CS CENTRE, EPDM, CS PLATES, RELLENO DE GLIC., AC. INOX. WINCONNECT, 1/2" NPT, 150#</t>
  </si>
  <si>
    <t>D81RIR3CCESF2N</t>
  </si>
  <si>
    <t>Sello separador Winters Serie D81 ISO-RING, BRIDADO SENSOR, 3", CS CENTRE, EPDM, CS PLATES, RELLENO DE GLIC., AC. INOX. WINCONNECT, 1/2" NPT, 150#</t>
  </si>
  <si>
    <t>D81RIR4CCESF2N</t>
  </si>
  <si>
    <t>Sello separador Winters Serie D81 ISO-RING, BRIDADO SENSOR, 4", CS CENTRE, EPDM, CS PLATES, RELLENO DE GLIC., AC. INOX. WINCONNECT, 1/2" NPT, 150#</t>
  </si>
  <si>
    <t>D81RIR6CCESF2N</t>
  </si>
  <si>
    <t>Sello separador Winters Serie D81 ISO-RING, BRIDADO SENSOR, 6", CS CENTRE, EPDM, CS PLATES, RELLENO DE GLIC., AC. INOX. WINCONNECT, 1/2" NPT, 150#</t>
  </si>
  <si>
    <t>D81RIR8CCESF2N</t>
  </si>
  <si>
    <t>Sello separador Winters Serie D81 ISO-RING, BRIDADO SENSOR, 8", CS CENTRE, EPDM, CS PLATES, RELLENO DE GLIC., AC. INOX. WINCONNECT, 1/2" NPT, 150#</t>
  </si>
  <si>
    <t>D81RIR10CCESF2N</t>
  </si>
  <si>
    <t>Sello separador Winters Serie D81 ISO-RING, BRIDADO SENSOR, 10", CS CENTRE, EPDM, CS PLATES, RELLENO DE GLIC., AC. INOX. WINCONNECT, 1/2" NPT, 150#</t>
  </si>
  <si>
    <t>D81RIR12CCESF2N</t>
  </si>
  <si>
    <t>Sello separador Winters Serie D81 ISO-RING, BRIDADO SENSOR, 12", CS CENTRE, EPDM, CS PLATES, RELLENO DE GLIC., AC. INOX. WINCONNECT, 1/2" NPT, 150#</t>
  </si>
  <si>
    <t>D81RIR14CCESF2N</t>
  </si>
  <si>
    <t>Sello separador Winters Serie D81 ISO-RING, BRIDADO SENSOR, 14", CS CENTRE, EPDM, CS PLATES, RELLENO DE GLIC., AC. INOX. WINCONNECT, 1/2" NPT, 150#</t>
  </si>
  <si>
    <t>D81RIR16CCESF2N</t>
  </si>
  <si>
    <t>Sello separador Winters Serie D81 ISO-RING, BRIDADO SENSOR, 16", CS CENTRE, EPDM, CS PLATES, RELLENO DE GLIC., AC. INOX. WINCONNECT, 1/2" NPT, 150#</t>
  </si>
  <si>
    <t>D81RIR18CCESF2N</t>
  </si>
  <si>
    <t>Sello separador Winters Serie D81 ISO-RING, BRIDADO SENSOR, 18", CS CENTRE, EPDM, CS PLATES, RELLENO DE GLIC., AC. INOX. WINCONNECT, 1/2" NPT, 150#</t>
  </si>
  <si>
    <t>D81RIR20CCESF2N</t>
  </si>
  <si>
    <t>Sello separador Winters Serie D81 ISO-RING, BRIDADO SENSOR, 20", CS CENTRE, EPDM, CS PLATES, RELLENO DE GLIC., AC. INOX. WINCONNECT, 1/2" NPT, 150#</t>
  </si>
  <si>
    <t>D81RIR1CCESF2N-300#</t>
  </si>
  <si>
    <t>Sello separador Winters Serie D81 ISO-RING, BRIDADO SENSOR, 1", CS CENTRE, EPDM, CS PLATES, RELLENO DE GLIC., AC. INOX. WINCONNECT, 1/2" NPT, 300#</t>
  </si>
  <si>
    <t>D81RIR1.5CCESF2N-300#</t>
  </si>
  <si>
    <t>Sello separador Winters Serie D81 ISO-RING, BRIDADO SENSOR, 1,5", CS CENTRE, EPDM, CS PLATES, RELLENO DE GLIC., AC. INOX. WINCONNECT, 1/2" NPT, 300#</t>
  </si>
  <si>
    <t>D81RIR2CCESF2N-300#</t>
  </si>
  <si>
    <t>Sello separador Winters Serie D81 ISO-RING, BRIDADO SENSOR, 2", CS CENTRE, EPDM, CS PLATES, RELLENO DE GLIC., AC. INOX. WINCONNECT, 1/2" NPT, 300#</t>
  </si>
  <si>
    <t>D81RIR3CCESF2N-300#</t>
  </si>
  <si>
    <t>Sello separador Winters Serie D81 ISO-RING, BRIDADO SENSOR, 3", CS CENTRE, EPDM, CS PLATES, RELLENO DE GLIC., AC. INOX. WINCONNECT, 1/2" NPT, 300#</t>
  </si>
  <si>
    <t>D81RIR4CCESF2N-300#</t>
  </si>
  <si>
    <t>Sello separador Winters Serie D81 ISO-RING, BRIDADO SENSOR, 4", CS CENTRE, EPDM, CS PLATES, RELLENO DE GLIC., AC. INOX. WINCONNECT, 1/2" NPT, 300#</t>
  </si>
  <si>
    <t>D81RIR6CCESF2N-300#</t>
  </si>
  <si>
    <t>Sello separador Winters Serie D81 ISO-RING, BRIDADO SENSOR, 6", CS CENTRE, EPDM, CS PLATES, RELLENO DE GLIC., AC. INOX. WINCONNECT, 1/2" NPT, 300#</t>
  </si>
  <si>
    <t>D81RIR8CCESF2N-300#</t>
  </si>
  <si>
    <t>Sello separador Winters Serie D81 ISO-RING, BRIDADO SENSOR, 8", CS CENTRE, EPDM, CS PLATES, RELLENO DE GLIC., AC. INOX. WINCONNECT, 1/2" NPT, 300#</t>
  </si>
  <si>
    <t>D81RIR10CCESF2N-300#</t>
  </si>
  <si>
    <t>Sello separador Winters Serie D81 ISO-RING, BRIDADO SENSOR, 10", CS CENTRE, EPDM, CS PLATES, RELLENO DE GLIC., AC. INOX. WINCONNECT, 1/2" NPT, 300#</t>
  </si>
  <si>
    <t>D81RIR12CCESF2N-300#</t>
  </si>
  <si>
    <t>Sello separador Winters Serie D81 ISO-RING, BRIDADO SENSOR, 12", CS CENTRE, EPDM, CS PLATES, RELLENO DE GLIC., AC. INOX. WINCONNECT, 1/2" NPT, 300#</t>
  </si>
  <si>
    <t>D81RIR14CCESF2N-300#</t>
  </si>
  <si>
    <t>Sello separador Winters Serie D81 ISO-RING, BRIDADO SENSOR, 14", CS CENTRE, EPDM, CS PLATES, RELLENO DE GLIC., AC. INOX. WINCONNECT, 1/2" NPT, 300#</t>
  </si>
  <si>
    <t>D81RIR16CCESF2N-300#</t>
  </si>
  <si>
    <t>Sello separador Winters Serie D81 ISO-RING, BRIDADO SENSOR, 16", CS CENTRE, EPDM, CS PLATES, RELLENO DE GLIC., AC. INOX. WINCONNECT, 1/2" NPT, 300#</t>
  </si>
  <si>
    <t>D81RIR18CCESF2N-300#</t>
  </si>
  <si>
    <t>Sello separador Winters Serie D81 ISO-RING, BRIDADO SENSOR, 18", CS CENTRE, EPDM, CS PLATES, RELLENO DE GLIC., AC. INOX. WINCONNECT, 1/2" NPT, 300#</t>
  </si>
  <si>
    <t>D81RIR1CCNSF2N</t>
  </si>
  <si>
    <t>Sello separador Winters Serie D81 ISO-RING, FLANGE SENSOR, 1", CS CENTRE, NEOPRENE, CS PLATES, RELLENO DE GLIC., AC. INOX. WINCONNECT, 1/2" NPT, 150#</t>
  </si>
  <si>
    <t>D81RIR1.5CCNSF2N</t>
  </si>
  <si>
    <t>Sello separador Winters Serie D81 ISO-RING, FLANGE SENSOR, 1,5", CS CENTRE, NEOPRENE, CS PLATES, RELLENO DE GLIC., AC. INOX. WINCONNECT, 1/2" NPT, 150#</t>
  </si>
  <si>
    <t>D81RIR2CCNSF2N</t>
  </si>
  <si>
    <t>Sello separador Winters Serie D81 ISO-RING, FLANGE SENSOR, 2", CS CENTRE, NEOPRENE, CS PLATES, RELLENO DE GLIC., AC. INOX. WINCONNECT, 1/2" NPT, 150#</t>
  </si>
  <si>
    <t>D81RIR3CCNSF2N</t>
  </si>
  <si>
    <t>Sello separador Winters Serie D81 ISO-RING, FLANGE SENSOR, 3", CS CENTRE, NEOPRENE, CS PLATES, RELLENO DE GLIC., AC. INOX. WINCONNECT, 1/2" NPT, 150#</t>
  </si>
  <si>
    <t>D81RIR4CCNSF2N</t>
  </si>
  <si>
    <t>Sello separador Winters Serie D81 ISO-RING, FLANGE SENSOR, 4", CS CENTRE, NEOPRENE, CS PLATES, RELLENO DE GLIC., AC. INOX. WINCONNECT, 1/2" NPT, 150#</t>
  </si>
  <si>
    <t>D81RIR6CCNSF2N</t>
  </si>
  <si>
    <t>Sello separador Winters Serie D81 ISO-RING, FLANGE SENSOR, 6", CS CENTRE, NEOPRENE, CS PLATES, RELLENO DE GLIC., AC. INOX. WINCONNECT, 1/2" NPT, 150#</t>
  </si>
  <si>
    <t>D81RIR8CCNSF2N</t>
  </si>
  <si>
    <t>Sello separador Winters Serie D81 ISO-RING, FLANGE SENSOR, 8", CS CENTRE, NEOPRENE, CS PLATES, RELLENO DE GLIC., AC. INOX. WINCONNECT, 1/2" NPT, 150#</t>
  </si>
  <si>
    <t>D81RIR10CCNSF2N</t>
  </si>
  <si>
    <t>Sello separador Winters Serie D81 ISO-RING, FLANGE SENSOR, 10", CS CENTRE, NEOPRENE, CS PLATES, RELLENO DE GLIC., AC. INOX. WINCONNECT, 1/2" NPT, 150#</t>
  </si>
  <si>
    <t>D81RIR12CCNSF2N</t>
  </si>
  <si>
    <t>Sello separador Winters Serie D81 ISO-RING, FLANGE SENSOR, 12", CS CENTRE, NEOPRENE, CS PLATES, RELLENO DE GLIC., AC. INOX. WINCONNECT, 1/2" NPT, 150#</t>
  </si>
  <si>
    <t>D81RIR14CCNSF2N</t>
  </si>
  <si>
    <t>Sello separador Winters Serie D81 ISO-RING, FLANGE SENSOR, 14", CS CENTRE, NEOPRENE, CS PLATES, RELLENO DE GLIC., AC. INOX. WINCONNECT, 1/2" NPT, 150#</t>
  </si>
  <si>
    <t>D81RIR16CCNSF2N</t>
  </si>
  <si>
    <t>Sello separador Winters Serie D81 ISO-RING, FLANGE SENSOR, 16", CS CENTRE, NEOPRENE, CS PLATES, RELLENO DE GLIC., AC. INOX. WINCONNECT, 1/2" NPT, 150#</t>
  </si>
  <si>
    <t>D81RIR18CCNSF2N</t>
  </si>
  <si>
    <t>Sello separador Winters Serie D81 ISO-RING, FLANGE SENSOR, 18", CS CENTRE, NEOPRENE, CS PLATES, RELLENO DE GLIC., AC. INOX. WINCONNECT, 1/2" NPT, 150#</t>
  </si>
  <si>
    <t>D81RIR20CCNSF2N</t>
  </si>
  <si>
    <t>Sello separador Winters Serie D81 ISO-RING, FLANGE SENSOR, 20", CS CENTRE, NEOPRENE, CS PLATES, RELLENO DE GLIC., AC. INOX. WINCONNECT, 1/2" NPT, 150#</t>
  </si>
  <si>
    <t>D81RIR24CCNSF2N</t>
  </si>
  <si>
    <t>Sello separador Winters Serie D81 ISO-RING, FLANGE SENSOR, 24", CS CENTRE, NEOPRENE, CS PLATES, RELLENO DE GLIC., AC. INOX. WINCONNECT, 1/2" NPT, 150#</t>
  </si>
  <si>
    <t>D81RIR1CCNSF2N-300#</t>
  </si>
  <si>
    <t>Sello separador Winters Serie D81 ISO-RING, FLANGE SENSOR, 1", CS CENTRE, NEOPRENE, CS PLATES, RELLENO DE GLIC., AC. INOX. WINCONNECT, 1/2" NPT, 300#</t>
  </si>
  <si>
    <t>D81RIR1.5CCNSF2N-300#</t>
  </si>
  <si>
    <t>Sello separador Winters Serie D81 ISO-RING, FLANGE SENSOR, 1,5", CS CENTRE, NEOPRENE, CS PLATES, RELLENO DE GLIC., AC. INOX. WINCONNECT, 1/2" NPT, 300#</t>
  </si>
  <si>
    <t>D81RIR2CCNSF2N-300#</t>
  </si>
  <si>
    <t>Sello separador Winters Serie D81 ISO-RING, FLANGE SENSOR, 2", CS CENTRE, NEOPRENE, CS PLATES, RELLENO DE GLIC., AC. INOX. WINCONNECT, 1/2" NPT, 300#</t>
  </si>
  <si>
    <t>D81RIR3CCNSF2N-300#</t>
  </si>
  <si>
    <t>Sello separador Winters Serie D81 ISO-RING, FLANGE SENSOR, 3", CS CENTRE, NEOPRENE, CS PLATES, RELLENO DE GLIC., AC. INOX. WINCONNECT, 1/2" NPT, 300#</t>
  </si>
  <si>
    <t>D81RIR4CCNSF2N-300#</t>
  </si>
  <si>
    <t>Sello separador Winters Serie D81 ISO-RING, FLANGE SENSOR, 4", CS CENTRE, NEOPRENE, CS PLATES, RELLENO DE GLIC., AC. INOX. WINCONNECT, 1/2" NPT, 300#</t>
  </si>
  <si>
    <t>D81RIR6CCNSF2N-300#</t>
  </si>
  <si>
    <t>Sello separador Winters Serie D81 ISO-RING, FLANGE SENSOR, 6", CS CENTRE, NEOPRENE, CS PLATES, RELLENO DE GLIC., AC. INOX. WINCONNECT, 1/2" NPT, 300#</t>
  </si>
  <si>
    <t>D81RIR8CCNSF2N-300#</t>
  </si>
  <si>
    <t>Sello separador Winters Serie D81 ISO-RING, FLANGE SENSOR, 8", CS CENTRE, NEOPRENE, CS PLATES, RELLENO DE GLIC., AC. INOX. WINCONNECT, 1/2" NPT, 300#</t>
  </si>
  <si>
    <t>D81RIR10CCNSF2N-300#</t>
  </si>
  <si>
    <t>Sello separador Winters Serie D81 ISO-RING, FLANGE SENSOR, 10", CS CENTRE, NEOPRENE, CS PLATES, RELLENO DE GLIC., AC. INOX. WINCONNECT, 1/2" NPT, 300#</t>
  </si>
  <si>
    <t>D81RIR12CCNSF2N-300#</t>
  </si>
  <si>
    <t>Sello separador Winters Serie D81 ISO-RING, FLANGE SENSOR, 12", CS CENTRE, NEOPRENE, CS PLATES, RELLENO DE GLIC., AC. INOX. WINCONNECT, 1/2" NPT, 300#</t>
  </si>
  <si>
    <t>D81RIR14CCNSF2N-300#</t>
  </si>
  <si>
    <t>Sello separador Winters Serie D81 ISO-RING, FLANGE SENSOR, 14", CS CENTRE, NEOPRENE, CS PLATES, RELLENO DE GLIC., AC. INOX. WINCONNECT, 1/2" NPT, 300#</t>
  </si>
  <si>
    <t>D81RIR16CCNSF2N-300#</t>
  </si>
  <si>
    <t>Sello separador Winters Serie D81 ISO-RING, FLANGE SENSOR, 16", CS CENTRE, NEOPRENE, CS PLATES, RELLENO DE GLIC., AC. INOX. WINCONNECT, 1/2" NPT, 300#</t>
  </si>
  <si>
    <t>D81RIR18CCNSF2N-300#</t>
  </si>
  <si>
    <t>Sello separador Winters Serie D81 ISO-RING, FLANGE SENSOR, 18", CS CENTRE, NEOPRENE, CS PLATES, RELLENO DE GLIC., AC. INOX. WINCONNECT, 1/2" NPT, 300#</t>
  </si>
  <si>
    <t>D81RIR20CCNSF2N-300#</t>
  </si>
  <si>
    <t>Sello separador Winters Serie D81 ISO-RING, FLANGE SENSOR, 20", CS CENTRE, NEOPRENE, CS PLATES, RELLENO DE GLIC., AC. INOX. WINCONNECT, 1/2" NPT, 300#</t>
  </si>
  <si>
    <t>D81RIR24CCNSF2N-300#</t>
  </si>
  <si>
    <t>Sello separador Winters Serie D81 ISO-RING, FLANGE SENSOR, 24", CS CENTRE, NEOPRENE, CS PLATES, RELLENO DE GLIC., AC. INOX. WINCONNECT, 1/2" NPT, 300#</t>
  </si>
  <si>
    <t>D81RIR1CCPSF2N</t>
  </si>
  <si>
    <t>Sello separador Winters Serie D81 ISO-RING, FLANGE SENSOR, 1", CS CENTRE, PTFE, CS PLATES, RELLENO DE GLIC., AC. INOX. WINCONNECT, 1/2" NPT, 150#</t>
  </si>
  <si>
    <t>D81RIR1.5CCPSF2N</t>
  </si>
  <si>
    <t>Sello separador Winters Serie D81 ISO-RING, FLANGE SENSOR, 1,5", CS CENTRE, PTFE, CS PLATES, RELLENO DE GLIC., AC. INOX. WINCONNECT, 1/2" NPT, 150#</t>
  </si>
  <si>
    <t>D81RIR2CCPSF2N</t>
  </si>
  <si>
    <t>Sello separador Winters Serie D81 ISO-RING, FLANGE SENSOR, 2", CS CENTRE, PTFE, CS PLATES, RELLENO DE GLIC., AC. INOX. WINCONNECT, 1/2" NPT, 150#</t>
  </si>
  <si>
    <t>D81RIR2.5CCPSF2N</t>
  </si>
  <si>
    <t>Sello separador Winters Serie D81 ISO-RING, FLANGE SENSOR, 2,5", CS CENTRE, PTFE, CS PLATES, RELLENO DE GLIC., AC. INOX. WINCONNECT, 1/2" NPT, 150#</t>
  </si>
  <si>
    <t>D81RIR3CCPSF2N</t>
  </si>
  <si>
    <t>Sello separador Winters Serie D81 ISO-RING, FLANGE SENSOR, 3", CS CENTRE, PTFE, CS PLATES, RELLENO DE GLIC., AC. INOX. WINCONNECT, 1/2" NPT, 150#</t>
  </si>
  <si>
    <t>D81RIR4CCPSF2N</t>
  </si>
  <si>
    <t>Sello separador Winters Serie D81 ISO-RING, FLANGE SENSOR, 4", CS CENTRE, PTFE, CS PLATES, RELLENO DE GLIC., AC. INOX. WINCONNECT, 1/2" NPT, 150#</t>
  </si>
  <si>
    <t>D81RIR6CCPSF2N</t>
  </si>
  <si>
    <t>Sello separador Winters Serie D81 ISO-RING, FLANGE SENSOR, 6", CS CENTRE, PTFE, CS PLATES, RELLENO DE GLIC., AC. INOX. WINCONNECT, 1/2" NPT, 150#</t>
  </si>
  <si>
    <t>D81RIR8CCPSF2N</t>
  </si>
  <si>
    <t>Sello separador Winters Serie D81 ISO-RING, FLANGE SENSOR, 8", CS CENTRE, PTFE, CS PLATES, RELLENO DE GLIC., AC. INOX. WINCONNECT, 1/2" NPT, 150#</t>
  </si>
  <si>
    <t>D81RIR10CCPSF2N</t>
  </si>
  <si>
    <t>Sello separador Winters Serie D81 ISO-RING, FLANGE SENSOR, 10", CS CENTRE, PTFE, CS PLATES, RELLENO DE GLIC., AC. INOX. WINCONNECT, 1/2" NPT, 150#</t>
  </si>
  <si>
    <t>D81RIR12CCPSF2N</t>
  </si>
  <si>
    <t>Sello separador Winters Serie D81 ISO-RING, FLANGE SENSOR, 12", CS CENTRE, PTFE, CS PLATES, RELLENO DE GLIC., AC. INOX. WINCONNECT, 1/2" NPT, 150#</t>
  </si>
  <si>
    <t>D81RIR14CCPSF2N</t>
  </si>
  <si>
    <t>Sello separador Winters Serie D81 ISO-RING, FLANGE SENSOR, 14", CS CENTRE, PTFE, CS PLATES, RELLENO DE GLIC., AC. INOX. WINCONNECT, 1/2" NPT, 150#</t>
  </si>
  <si>
    <t>D81RIR16CCPSF2N</t>
  </si>
  <si>
    <t>Sello separador Winters Serie D81 ISO-RING, FLANGE SENSOR, 16", CS CENTRE, PTFE, CS PLATES, RELLENO DE GLIC., AC. INOX. WINCONNECT, 1/2" NPT, 150#</t>
  </si>
  <si>
    <t>D81RIR18CCPSF2N</t>
  </si>
  <si>
    <t>Sello separador Winters Serie D81 ISO-RING, FLANGE SENSOR, 18", CS CENTRE, PTFE, CS PLATES, RELLENO DE GLIC., AC. INOX. WINCONNECT, 1/2" NPT, 150#</t>
  </si>
  <si>
    <t>D81RIR20CCPSF2N</t>
  </si>
  <si>
    <t>Sello separador Winters Serie D81 ISO-RING, FLANGE SENSOR, 20", CS CENTRE, PTFE, CS PLATES, RELLENO DE GLIC., AC. INOX. WINCONNECT, 1/2" NPT, 150#</t>
  </si>
  <si>
    <t>D81RIR22CCPSF2N</t>
  </si>
  <si>
    <t>Sello separador Winters Serie D81 ISO-RING, FLANGE SENSOR, 22", CS CENTRE, PTFE, CS PLATES, RELLENO DE GLIC., AC. INOX. WINCONNECT, 1/2" NPT, 150#</t>
  </si>
  <si>
    <t>D81RIR24CCPSF2N</t>
  </si>
  <si>
    <t>Sello separador Winters Serie D81 ISO-RING, FLANGE SENSOR, 24", CS CENTRE, PTFE, CS PLATES, RELLENO DE GLIC., AC. INOX. WINCONNECT, 1/2" NPT, 150#</t>
  </si>
  <si>
    <t>D81RIR1CCPSF2N-300#</t>
  </si>
  <si>
    <t>Sello separador Winters Serie D81 ISO-RING, FLANGE SENSOR, 1", CS CENTRE, PTFE, CS PLATES, RELLENO DE GLIC., AC. INOX. WINCONNECT, 1/2" NPT, 300#</t>
  </si>
  <si>
    <t>D81RIR1.5CCPSF2N-300#</t>
  </si>
  <si>
    <t>Sello separador Winters Serie D81 ISO-RING, FLANGE SENSOR, 1,5", CS CENTRE, PTFE, CS PLATES, RELLENO DE GLIC., AC. INOX. WINCONNECT, 1/2" NPT, 300#</t>
  </si>
  <si>
    <t>D81RIR2CCPSF2N-300#</t>
  </si>
  <si>
    <t>Sello separador Winters Serie D81 ISO-RING, FLANGE SENSOR, 2", CS CENTRE, PTFE, CS PLATES, RELLENO DE GLIC., AC. INOX. WINCONNECT, 1/2" NPT, 300#</t>
  </si>
  <si>
    <t>D81RIR2.5CCPSF2N-300#</t>
  </si>
  <si>
    <t>Sello separador Winters Serie D81 ISO-RING, FLANGE SENSOR, 2,5", CS CENTRE, PTFE, CS PLATES, RELLENO DE GLIC., AC. INOX. WINCONNECT, 1/2" NPT, 300#</t>
  </si>
  <si>
    <t>D81RIR3CCPSF2N-300#</t>
  </si>
  <si>
    <t>Sello separador Winters Serie D81 ISO-RING, FLANGE SENSOR, 3", CS CENTRE, PTFE, CS PLATES, RELLENO DE GLIC., AC. INOX. WINCONNECT, 1/2" NPT, 300#</t>
  </si>
  <si>
    <t>D81RIR4CCPSF2N-300#</t>
  </si>
  <si>
    <t>Sello separador Winters Serie D81 ISO-RING, FLANGE SENSOR, 4", CS CENTRE, PTFE, CS PLATES, RELLENO DE GLIC., AC. INOX. WINCONNECT, 1/2" NPT, 300#</t>
  </si>
  <si>
    <t>D81RIR6CCPSF2N-300#</t>
  </si>
  <si>
    <t>Sello separador Winters Serie D81 ISO-RING, FLANGE SENSOR, 6", CS CENTRE, PTFE, CS PLATES, RELLENO DE GLIC., AC. INOX. WINCONNECT, 1/2" NPT, 300#</t>
  </si>
  <si>
    <t>D81RIR8CCPSF2N-300#</t>
  </si>
  <si>
    <t>Sello separador Winters Serie D81 ISO-RING, FLANGE SENSOR, 8", CS CENTRE, PTFE, CS PLATES, RELLENO DE GLIC., AC. INOX. WINCONNECT, 1/2" NPT, 300#</t>
  </si>
  <si>
    <t>D81RIR10CCPSF2N-300#</t>
  </si>
  <si>
    <t>Sello separador Winters Serie D81 ISO-RING, FLANGE SENSOR, 10", CS CENTRE, PTFE, CS PLATES, RELLENO DE GLIC., AC. INOX. WINCONNECT, 1/2" NPT, 300#</t>
  </si>
  <si>
    <t>D81RIR12CCPSF2N-300#</t>
  </si>
  <si>
    <t>Sello separador Winters Serie D81 ISO-RING, FLANGE SENSOR, 12", CS CENTRE, PTFE, CS PLATES, RELLENO DE GLIC., AC. INOX. WINCONNECT, 1/2" NPT, 300#</t>
  </si>
  <si>
    <t>D81RIR14CCPSF2N-300#</t>
  </si>
  <si>
    <t>Sello separador Winters Serie D81 ISO-RING, FLANGE SENSOR, 14", CS CENTRE, PTFE, CS PLATES, RELLENO DE GLIC., AC. INOX. WINCONNECT, 1/2" NPT, 300#</t>
  </si>
  <si>
    <t>D81RIR16CCPSF2N-300#</t>
  </si>
  <si>
    <t>Sello separador Winters Serie D81 ISO-RING, FLANGE SENSOR, 16", CS CENTRE, PTFE, CS PLATES, RELLENO DE GLIC., AC. INOX. WINCONNECT, 1/2" NPT, 300#</t>
  </si>
  <si>
    <t>D81RIR18CCPSF2N-300#</t>
  </si>
  <si>
    <t>Sello separador Winters Serie D81 ISO-RING, FLANGE SENSOR, 18", CS CENTRE, PTFE, CS PLATES, RELLENO DE GLIC., AC. INOX. WINCONNECT, 1/2" NPT, 300#</t>
  </si>
  <si>
    <t>D81RIR22CCPSF2N-300#</t>
  </si>
  <si>
    <t>Sello separador Winters Serie D81 ISO-RING, FLANGE SENSOR, 22", CS CENTRE, PTFE, CS PLATES, RELLENO DE GLIC., AC. INOX. WINCONNECT, 1/2" NPT, 300#</t>
  </si>
  <si>
    <t>D81RIR24CCPSF2N-300#</t>
  </si>
  <si>
    <t>Sello separador Winters Serie D81 ISO-RING, FLANGE SENSOR, 24", CS CENTRE, PTFE, CS PLATES, RELLENO DE GLIC., AC. INOX. WINCONNECT, 1/2" NPT, 300#</t>
  </si>
  <si>
    <t>D81RIR1CCRSF2N</t>
  </si>
  <si>
    <t>Sello separador Winters Serie D81 ISO-RING, FLANGE SENSOR, 1", CS CENTRE, NATURAL RUBBER, CS PLATES, RELLENO DE GLIC., AC. INOX. WINCONNECT, 1/2" NPT, 150#</t>
  </si>
  <si>
    <t>D81RIR1.5CCRSF2N</t>
  </si>
  <si>
    <t>Sello separador Winters Serie D81 ISO-RING, FLANGE SENSOR, 1,5", CS CENTRE, NATURAL RUBBER, CS PLATES, RELLENO DE GLIC., AC. INOX. WINCONNECT, 1/2" NPT, 150#</t>
  </si>
  <si>
    <t>D81RIR2CCRSF2N</t>
  </si>
  <si>
    <t>Sello separador Winters Serie D81 ISO-RING, FLANGE SENSOR, 2", CS CENTRE, NATURAL RUBBER, CS PLATES, RELLENO DE GLIC., AC. INOX. WINCONNECT, 1/2" NPT, 150#</t>
  </si>
  <si>
    <t>D81RIR3CCRSF2N</t>
  </si>
  <si>
    <t>Sello separador Winters Serie D81 ISO-RING, FLANGE SENSOR, 3", CS CENTRE, NATURAL RUBBER, CS PLATES, RELLENO DE GLIC., AC. INOX. WINCONNECT, 1/2" NPT, 150#</t>
  </si>
  <si>
    <t>D81RIR4CCRSF2N</t>
  </si>
  <si>
    <t>Sello separador Winters Serie D81 ISO-RING, FLANGE SENSOR, 4", CS CENTRE, NATURAL RUBBER, CS PLATES, RELLENO DE GLIC., AC. INOX. WINCONNECT, 1/2" NPT, 150#</t>
  </si>
  <si>
    <t>D81RIR6CCRSF2N</t>
  </si>
  <si>
    <t>Sello separador Winters Serie D81 ISO-RING, FLANGE SENSOR, 6", CS CENTRE, NATURAL RUBBER, CS PLATES, RELLENO DE GLIC., AC. INOX. WINCONNECT, 1/2" NPT, 150#</t>
  </si>
  <si>
    <t>D81RIR8CCRSF2N</t>
  </si>
  <si>
    <t>Sello separador Winters Serie D81 ISO-RING, FLANGE SENSOR, 8", CS CENTRE, NATURAL RUBBER, CS PLATES, RELLENO DE GLIC., AC. INOX. WINCONNECT, 1/2" NPT, 150#</t>
  </si>
  <si>
    <t>D81RIR10CCRSF2N</t>
  </si>
  <si>
    <t>Sello separador Winters Serie D81 ISO-RING, FLANGE SENSOR, 10", CS CENTRE, NATURAL RUBBER, CS PLATES, RELLENO DE GLIC., AC. INOX. WINCONNECT, 1/2" NPT, 150#</t>
  </si>
  <si>
    <t>D81RIR12CCRSF2N</t>
  </si>
  <si>
    <t>Sello separador Winters Serie D81 ISO-RING, FLANGE SENSOR, 12", CS CENTRE, NATURAL RUBBER, CS PLATES, RELLENO DE GLIC., AC. INOX. WINCONNECT, 1/2" NPT, 150#</t>
  </si>
  <si>
    <t>D81RIR14CCRSF2N</t>
  </si>
  <si>
    <t>Sello separador Winters Serie D81 ISO-RING, FLANGE SENSOR, 14", CS CENTRE, NATURAL RUBBER, CS PLATES, RELLENO DE GLIC., AC. INOX. WINCONNECT, 1/2" NPT, 150#</t>
  </si>
  <si>
    <t>D81RIR16CCRSF2N</t>
  </si>
  <si>
    <t>Sello separador Winters Serie D81 ISO-RING, FLANGE SENSOR, 16", CS CENTRE, NATURAL RUBBER, CS PLATES, RELLENO DE GLIC., AC. INOX. WINCONNECT, 1/2" NPT, 150#</t>
  </si>
  <si>
    <t>D81RIR18CCRSF2N</t>
  </si>
  <si>
    <t>Sello separador Winters Serie D81 ISO-RING, FLANGE SENSOR, 18", CS CENTRE, NATURAL RUBBER, CS PLATES, RELLENO DE GLIC., AC. INOX. WINCONNECT, 1/2" NPT, 150#</t>
  </si>
  <si>
    <t>D81RIR1CCRSF2N-300#</t>
  </si>
  <si>
    <t>Sello separador Winters Serie D81 ISO-RING, FLANGE SENSOR, 1", CS CENTRE, NATURAL RUBBER, CS PLATES, RELLENO DE GLIC., AC. INOX. WINCONNECT, 1/2" NPT, 300#</t>
  </si>
  <si>
    <t>D81RIR1.5CCRSF2N-300#</t>
  </si>
  <si>
    <t>Sello separador Winters Serie D81 ISO-RING, FLANGE SENSOR, 1,5", CS CENTRE, NATURAL RUBBER, CS PLATES, RELLENO DE GLIC., AC. INOX. WINCONNECT, 1/2" NPT, 300#</t>
  </si>
  <si>
    <t>D81RIR2CCRSF2N-300#</t>
  </si>
  <si>
    <t>Sello separador Winters Serie D81 ISO-RING, FLANGE SENSOR, 2", CS CENTRE, NATURAL RUBBER, CS PLATES, RELLENO DE GLIC., AC. INOX. WINCONNECT, 1/2" NPT, 300#</t>
  </si>
  <si>
    <t>D81RIR3CCRSF2N-300#</t>
  </si>
  <si>
    <t>Sello separador Winters Serie D81 ISO-RING, FLANGE SENSOR, 3", CS CENTRE, NATURAL RUBBER, CS PLATES, RELLENO DE GLIC., AC. INOX. WINCONNECT, 1/2" NPT, 300#</t>
  </si>
  <si>
    <t>D81RIR4CCRSF2N-300#</t>
  </si>
  <si>
    <t>Sello separador Winters Serie D81 ISO-RING, FLANGE SENSOR, 4", CS CENTRE, NATURAL RUBBER, CS PLATES, RELLENO DE GLIC., AC. INOX. WINCONNECT, 1/2" NPT, 300#</t>
  </si>
  <si>
    <t>D81RIR6CCRSF2N-300#</t>
  </si>
  <si>
    <t>Sello separador Winters Serie D81 ISO-RING, FLANGE SENSOR, 6", CS CENTRE, NATURAL RUBBER, CS PLATES, RELLENO DE GLIC., AC. INOX. WINCONNECT, 1/2" NPT, 300#</t>
  </si>
  <si>
    <t>D81RIR8CCRSF2N-300#</t>
  </si>
  <si>
    <t>Sello separador Winters Serie D81 ISO-RING, FLANGE SENSOR, 8", CS CENTRE, NATURAL RUBBER, CS PLATES, RELLENO DE GLIC., AC. INOX. WINCONNECT, 1/2" NPT, 300#</t>
  </si>
  <si>
    <t>D81RIR10CCRSF2N-300#</t>
  </si>
  <si>
    <t>Sello separador Winters Serie D81 ISO-RING, FLANGE SENSOR, 10", CS CENTRE, NATURAL RUBBER, CS PLATES, RELLENO DE GLIC., AC. INOX. WINCONNECT, 1/2" NPT, 300#</t>
  </si>
  <si>
    <t>D81RIR12CCRSF2N-300#</t>
  </si>
  <si>
    <t>Sello separador Winters Serie D81 ISO-RING, FLANGE SENSOR, 12", CS CENTRE, NATURAL RUBBER, CS PLATES, RELLENO DE GLIC., AC. INOX. WINCONNECT, 1/2" NPT, 300#</t>
  </si>
  <si>
    <t>D81RIR14CCRSF2N-300#</t>
  </si>
  <si>
    <t>Sello separador Winters Serie D81 ISO-RING, FLANGE SENSOR, 14", CS CENTRE, NATURAL RUBBER, CS PLATES, RELLENO DE GLIC., AC. INOX. WINCONNECT, 1/2" NPT, 300#</t>
  </si>
  <si>
    <t>D81RIR16CCRSF2N-300#</t>
  </si>
  <si>
    <t>Sello separador Winters Serie D81 ISO-RING, FLANGE SENSOR, 16", CS CENTRE, NATURAL RUBBER, CS PLATES, RELLENO DE GLIC., AC. INOX. WINCONNECT, 1/2" NPT, 300#</t>
  </si>
  <si>
    <t>D81RIR18CCRSF2N-300#</t>
  </si>
  <si>
    <t>Sello separador Winters Serie D81 ISO-RING, FLANGE SENSOR, 18", CS CENTRE, NATURAL RUBBER, CS PLATES, RELLENO DE GLIC., AC. INOX. WINCONNECT, 1/2" NPT, 300#</t>
  </si>
  <si>
    <t>D81RIR1CCVSF2N</t>
  </si>
  <si>
    <t>Sello separador Winters Serie D81 ISO-RING, FLANGE SENSOR, 1", CS CENTRE, VITON, CS PLATES, RELLENO DE GLIC., AC. INOX. WINCONNECT, 1/2" NPT, 150#</t>
  </si>
  <si>
    <t>D81RIR1.5CCVSF2N</t>
  </si>
  <si>
    <t>Sello separador Winters Serie D81 ISO-RING, FLANGE SENSOR, 1,5", CS CENTRE, VITON, CS PLATES, RELLENO DE GLIC., AC. INOX. WINCONNECT, 1/2" NPT, 150#</t>
  </si>
  <si>
    <t>D81RIR2CCVSF2N</t>
  </si>
  <si>
    <t>Sello separador Winters Serie D81 ISO-RING, FLANGE SENSOR, 2", CS CENTRE, VITON, CS PLATES, RELLENO DE GLIC., AC. INOX. WINCONNECT, 1/2" NPT, 150#</t>
  </si>
  <si>
    <t>D81RIR3CCVSF2N</t>
  </si>
  <si>
    <t>Sello separador Winters Serie D81 ISO-RING, FLANGE SENSOR, 3", CS CENTRE, VITON, CS PLATES, RELLENO DE GLIC., AC. INOX. WINCONNECT, 1/2" NPT, 150#</t>
  </si>
  <si>
    <t>D81RIR4CCVSF2N</t>
  </si>
  <si>
    <t>Sello separador Winters Serie D81 ISO-RING, FLANGE SENSOR, 4", CS CENTRE, VITON, CS PLATES, RELLENO DE GLIC., AC. INOX. WINCONNECT, 1/2" NPT, 150#</t>
  </si>
  <si>
    <t>D81RIR6CCVSF2N</t>
  </si>
  <si>
    <t>Sello separador Winters Serie D81 ISO-RING, FLANGE SENSOR, 6", CS CENTRE, VITON, CS PLATES, RELLENO DE GLIC., AC. INOX. WINCONNECT, 1/2" NPT, 150#</t>
  </si>
  <si>
    <t>D81RIR8CCVSF2N</t>
  </si>
  <si>
    <t>Sello separador Winters Serie D81 ISO-RING, FLANGE SENSOR, 8", CS CENTRE, VITON, CS PLATES, RELLENO DE GLIC., AC. INOX. WINCONNECT, 1/2" NPT, 150#</t>
  </si>
  <si>
    <t>D81RIR10CCVSF2N</t>
  </si>
  <si>
    <t>Sello separador Winters Serie D81 ISO-RING, FLANGE SENSOR, 10", CS CENTRE, VITON, CS PLATES, RELLENO DE GLIC., AC. INOX. WINCONNECT, 1/2" NPT, 150#</t>
  </si>
  <si>
    <t>D81RIR12CCVSF2N</t>
  </si>
  <si>
    <t>Sello separador Winters Serie D81 ISO-RING, FLANGE SENSOR, 12", CS CENTRE, VITON, CS PLATES, RELLENO DE GLIC., AC. INOX. WINCONNECT, 1/2" NPT, 150#</t>
  </si>
  <si>
    <t>D81RIR14CCVSF2N</t>
  </si>
  <si>
    <t>Sello separador Winters Serie D81 ISO-RING, FLANGE SENSOR, 14", CS CENTRE, VITON, CS PLATES, RELLENO DE GLIC., AC. INOX. WINCONNECT, 1/2" NPT, 150#</t>
  </si>
  <si>
    <t>D81RIR16CCVSF2N</t>
  </si>
  <si>
    <t>Sello separador Winters Serie D81 ISO-RING, FLANGE SENSOR, 16", CS CENTRE, VITON, CS PLATES, RELLENO DE GLIC., AC. INOX. WINCONNECT, 1/2" NPT, 150#</t>
  </si>
  <si>
    <t>D81RIR18CCVSF2N</t>
  </si>
  <si>
    <t>Sello separador Winters Serie D81 ISO-RING, FLANGE SENSOR, 18", CS CENTRE, VITON, CS PLATES, RELLENO DE GLIC., AC. INOX. WINCONNECT, 1/2" NPT, 150#</t>
  </si>
  <si>
    <t>D81RIR1CCVSF2N-300#</t>
  </si>
  <si>
    <t>Sello separador Winters Serie D81 ISO-RING, FLANGE SENSOR, 1", CS CENTRE, VITON, CS PLATES, RELLENO DE GLIC., AC. INOX. WINCONNECT, 1/2" NPT, 300#</t>
  </si>
  <si>
    <t>D81RIR1.5CCVSF2N-300#</t>
  </si>
  <si>
    <t>Sello separador Winters Serie D81 ISO-RING, FLANGE SENSOR, 1,5", CS CENTRE, VITON, CS PLATES, RELLENO DE GLIC., AC. INOX. WINCONNECT, 1/2" NPT, 300#</t>
  </si>
  <si>
    <t>D81RIR2CCVSF2N-300#</t>
  </si>
  <si>
    <t>Sello separador Winters Serie D81 ISO-RING, FLANGE SENSOR, 2", CS CENTRE, VITON, CS PLATES, RELLENO DE GLIC., AC. INOX. WINCONNECT, 1/2" NPT, 300#</t>
  </si>
  <si>
    <t>D81RIR3CCVSF2N-300#</t>
  </si>
  <si>
    <t>Sello separador Winters Serie D81 ISO-RING, FLANGE SENSOR, 3", CS CENTRE, VITON, CS PLATES, RELLENO DE GLIC., AC. INOX. WINCONNECT, 1/2" NPT, 300#</t>
  </si>
  <si>
    <t>D81RIR4CCVSF2N-300#</t>
  </si>
  <si>
    <t>Sello separador Winters Serie D81 ISO-RING, FLANGE SENSOR, 4", CS CENTRE, VITON, CS PLATES, RELLENO DE GLIC., AC. INOX. WINCONNECT, 1/2" NPT, 300#</t>
  </si>
  <si>
    <t>D81RIR6CCVSF2N-300#</t>
  </si>
  <si>
    <t>Sello separador Winters Serie D81 ISO-RING, FLANGE SENSOR, 6", CS CENTRE, VITON, CS PLATES, RELLENO DE GLIC., AC. INOX. WINCONNECT, 1/2" NPT, 300#</t>
  </si>
  <si>
    <t>D81RIR8CCVSF2N-300#</t>
  </si>
  <si>
    <t>Sello separador Winters Serie D81 ISO-RING, FLANGE SENSOR, 8", CS CENTRE, VITON, CS PLATES, RELLENO DE GLIC., AC. INOX. WINCONNECT, 1/2" NPT, 300#</t>
  </si>
  <si>
    <t>D81RIR10CCVSF2N-300#</t>
  </si>
  <si>
    <t>Sello separador Winters Serie D81 ISO-RING, FLANGE SENSOR, 10", CS CENTRE, VITON, CS PLATES, RELLENO DE GLIC., AC. INOX. WINCONNECT, 1/2" NPT, 300#</t>
  </si>
  <si>
    <t>D81RIR12CCVSF2N-300#</t>
  </si>
  <si>
    <t>Sello separador Winters Serie D81 ISO-RING, FLANGE SENSOR, 12", CS CENTRE, VITON, CS PLATES, RELLENO DE GLIC., AC. INOX. WINCONNECT, 1/2" NPT, 300#</t>
  </si>
  <si>
    <t>D81RIR14CCVSF2N-300#</t>
  </si>
  <si>
    <t>Sello separador Winters Serie D81 ISO-RING, FLANGE SENSOR, 14", CS CENTRE, VITON, CS PLATES, RELLENO DE GLIC., AC. INOX. WINCONNECT, 1/2" NPT, 300#</t>
  </si>
  <si>
    <t>D81RIR16CCVSF2N-300#</t>
  </si>
  <si>
    <t>Sello separador Winters Serie D81 ISO-RING, FLANGE SENSOR, 16", CS CENTRE, VITON, CS PLATES, RELLENO DE GLIC., AC. INOX. WINCONNECT, 1/2" NPT, 300#</t>
  </si>
  <si>
    <t>D81RIR18CCVSF2N-300#</t>
  </si>
  <si>
    <t>Sello separador Winters Serie D81 ISO-RING, FLANGE SENSOR, 18", CS CENTRE, VITON, CS PLATES, RELLENO DE GLIC., AC. INOX. WINCONNECT, 1/2" NPT, 300#</t>
  </si>
  <si>
    <t>D81RIR1CSBSF2N</t>
  </si>
  <si>
    <t>Sello separador Winters Serie D81 ISO-RING, BRIDADO SENSOR, 1", CS, BUNA-N, AC. INOX. PLATES, RELLENO DE GLIC., AC. INOX. WINCONNECT, 1/2" NPT, 150#</t>
  </si>
  <si>
    <t>D81RIR1.5CSBSF2N</t>
  </si>
  <si>
    <t>Sello separador Winters Serie D81 ISO-RING, BRIDADO SENSOR, 1,5", CS, BUNA-N, AC. INOX. PLATES, RELLENO DE GLIC., AC. INOX. WINCONNECT, 1/2" NPT, 150#</t>
  </si>
  <si>
    <t>D81RIR2CSBSF2N</t>
  </si>
  <si>
    <t>Sello separador Winters Serie D81 ISO-RING, BRIDADO SENSOR, 2", CS, BUNA-N, AC. INOX. PLATES, RELLENO DE GLIC., AC. INOX. WINCONNECT, 1/2" NPT, 150#</t>
  </si>
  <si>
    <t>D81RIR3CSBSF2N</t>
  </si>
  <si>
    <t>Sello separador Winters Serie D81 ISO-RING, BRIDADO SENSOR, 3", CS, BUNA-N, AC. INOX. PLATES, RELLENO DE GLIC., AC. INOX. WINCONNECT, 1/2" NPT, 150#</t>
  </si>
  <si>
    <t>D81RIR4CSBSF2N</t>
  </si>
  <si>
    <t>Sello separador Winters Serie D81 ISO-RING, BRIDADO SENSOR, 4", CS, BUNA-N, AC. INOX. PLATES, RELLENO DE GLIC., AC. INOX. WINCONNECT, 1/2" NPT, 150#</t>
  </si>
  <si>
    <t>D81RIR6CSBSF2N</t>
  </si>
  <si>
    <t>Sello separador Winters Serie D81 ISO-RING, BRIDADO SENSOR, 6", CS, BUNA-N, AC. INOX. PLATES, RELLENO DE GLIC., AC. INOX. WINCONNECT, 1/2" NPT, 150#</t>
  </si>
  <si>
    <t>D81RIR8CSBSF2N</t>
  </si>
  <si>
    <t>Sello separador Winters Serie D81 ISO-RING, BRIDADO SENSOR, 8", CS, BUNA-N, AC. INOX. PLATES, RELLENO DE GLIC., AC. INOX. WINCONNECT, 1/2" NPT, 150#</t>
  </si>
  <si>
    <t>D81RIR10CSBSF2N</t>
  </si>
  <si>
    <t>Sello separador Winters Serie D81 ISO-RING, BRIDADO SENSOR, 10", CS, BUNA-N, AC. INOX. PLATES, RELLENO DE GLIC., AC. INOX. WINCONNECT, 1/2" NPT, 150#</t>
  </si>
  <si>
    <t>D81RIR12CSBSF2N</t>
  </si>
  <si>
    <t>Sello separador Winters Serie D81 ISO-RING, BRIDADO SENSOR, 12", CS, BUNA-N, AC. INOX. PLATES, RELLENO DE GLIC., AC. INOX. WINCONNECT, 1/2" NPT, 150#</t>
  </si>
  <si>
    <t>D81RIR14CSBSF2N</t>
  </si>
  <si>
    <t>Sello separador Winters Serie D81 ISO-RING, BRIDADO SENSOR, 14", CS, BUNA-N, AC. INOX. PLATES, RELLENO DE GLIC., AC. INOX. WINCONNECT, 1/2" NPT, 150#</t>
  </si>
  <si>
    <t>D81RIR16CSBSF2N</t>
  </si>
  <si>
    <t>Sello separador Winters Serie D81 ISO-RING, BRIDADO SENSOR, 16", CS, BUNA-N, AC. INOX. PLATES, RELLENO DE GLIC., AC. INOX. WINCONNECT, 1/2" NPT, 150#</t>
  </si>
  <si>
    <t>D81RIR18CSBSF2N</t>
  </si>
  <si>
    <t>Sello separador Winters Serie D81 ISO-RING, BRIDADO SENSOR, 18", CS, BUNA-N, AC. INOX. PLATES, RELLENO DE GLIC., AC. INOX. WINCONNECT, 1/2" NPT, 150#</t>
  </si>
  <si>
    <t>D81RIR20CSBSF2N</t>
  </si>
  <si>
    <t>Sello separador Winters Serie D81 ISO-RING, BRIDADO SENSOR, 20", CS, BUNA-N, AC. INOX. PLATES, RELLENO DE GLIC., AC. INOX. WINCONNECT, 1/2" NPT, 150#</t>
  </si>
  <si>
    <t>D81RIR1CSBSF2N-300#</t>
  </si>
  <si>
    <t>Sello separador Winters Serie D81 ISO-RING, BRIDADO SENSOR, 1", CS, BUNA-N, AC. INOX. PLATES, RELLENO DE GLIC., AC. INOX. WINCONNECT, 1/2" NPT, 300#</t>
  </si>
  <si>
    <t>D81RIR1.5CSBSF2N-300#</t>
  </si>
  <si>
    <t>Sello separador Winters Serie D81 ISO-RING, BRIDADO SENSOR, 1,5", CS, BUNA-N, AC. INOX. PLATES, RELLENO DE GLIC., AC. INOX. WINCONNECT, 1/2" NPT, 300#</t>
  </si>
  <si>
    <t>D81RIR2CSBSF2N-300#</t>
  </si>
  <si>
    <t>Sello separador Winters Serie D81 ISO-RING, BRIDADO SENSOR, 2", CS, BUNA-N, AC. INOX. PLATES, RELLENO DE GLIC., AC. INOX. WINCONNECT, 1/2" NPT, 300#</t>
  </si>
  <si>
    <t>D81RIR3CSBSF2N-300#</t>
  </si>
  <si>
    <t>Sello separador Winters Serie D81 ISO-RING, BRIDADO SENSOR, 3", CS, BUNA-N, AC. INOX. PLATES, RELLENO DE GLIC., AC. INOX. WINCONNECT, 1/2" NPT, 300#</t>
  </si>
  <si>
    <t>D81RIR4CSBSF2N-300#</t>
  </si>
  <si>
    <t>Sello separador Winters Serie D81 ISO-RING, BRIDADO SENSOR, 4", CS, BUNA-N, AC. INOX. PLATES, RELLENO DE GLIC., AC. INOX. WINCONNECT, 1/2" NPT, 300#</t>
  </si>
  <si>
    <t>D81RIR6CSBSF2N-300#</t>
  </si>
  <si>
    <t>Sello separador Winters Serie D81 ISO-RING, BRIDADO SENSOR, 6", CS, BUNA-N, AC. INOX. PLATES, RELLENO DE GLIC., AC. INOX. WINCONNECT, 1/2" NPT, 300#</t>
  </si>
  <si>
    <t>D81RIR8CSBSF2N-300#</t>
  </si>
  <si>
    <t>Sello separador Winters Serie D81 ISO-RING, BRIDADO SENSOR, 8", CS, BUNA-N, AC. INOX. PLATES, RELLENO DE GLIC., AC. INOX. WINCONNECT, 1/2" NPT, 300#</t>
  </si>
  <si>
    <t>D81RIR10CSBSF2N-300#</t>
  </si>
  <si>
    <t>Sello separador Winters Serie D81 ISO-RING, BRIDADO SENSOR, 10", CS, BUNA-N, AC. INOX. PLATES, RELLENO DE GLIC., AC. INOX. WINCONNECT, 1/2" NPT, 300#</t>
  </si>
  <si>
    <t>D81RIR12CSBSF2N-300#</t>
  </si>
  <si>
    <t>Sello separador Winters Serie D81 ISO-RING, BRIDADO SENSOR, 12", CS, BUNA-N, AC. INOX. PLATES, RELLENO DE GLIC., AC. INOX. WINCONNECT, 1/2" NPT, 300#</t>
  </si>
  <si>
    <t>D81RIR14CSBSF2N-300#</t>
  </si>
  <si>
    <t>Sello separador Winters Serie D81 ISO-RING, BRIDADO SENSOR, 14", CS, BUNA-N, AC. INOX. PLATES, RELLENO DE GLIC., AC. INOX. WINCONNECT, 1/2" NPT, 300#</t>
  </si>
  <si>
    <t>D81RIR16CSBSF2N-300#</t>
  </si>
  <si>
    <t>Sello separador Winters Serie D81 ISO-RING, BRIDADO SENSOR, 16", CS, BUNA-N, AC. INOX. PLATES, RELLENO DE GLIC., AC. INOX. WINCONNECT, 1/2" NPT, 300#</t>
  </si>
  <si>
    <t>D81RIR18CSBSF2N-300#</t>
  </si>
  <si>
    <t>Sello separador Winters Serie D81 ISO-RING, BRIDADO SENSOR, 18", CS, BUNA-N, AC. INOX. PLATES, RELLENO DE GLIC., AC. INOX. WINCONNECT, 1/2" NPT, 300#</t>
  </si>
  <si>
    <t>D81RIR20CSBSF2N-300#</t>
  </si>
  <si>
    <t>Sello separador Winters Serie D81 ISO-RING, BRIDADO SENSOR, 20", CS, BUNA-N, AC. INOX. PLATES, RELLENO DE GLIC., AC. INOX. WINCONNECT, 1/2" NPT, 300#</t>
  </si>
  <si>
    <t>D81RIR1CSESF2N</t>
  </si>
  <si>
    <t>Sello separador Winters Serie D81 ISO-RING, FLANGE SENSOR, 1", CS CENTRE, EPDM, AC. INOX. PLATES, RELLENO DE GLIC., AC. INOX. WINCONNECT, 1/2" NPT, 150#</t>
  </si>
  <si>
    <t>D81RIR1.5CSESF2N</t>
  </si>
  <si>
    <t>Sello separador Winters Serie D81 ISO-RING, FLANGE SENSOR, 1,5", CS CENTRE, EPDM, AC. INOX. PLATES, RELLENO DE GLIC., AC. INOX. WINCONNECT, 1/2" NPT, 150#</t>
  </si>
  <si>
    <t>D81RIR2CSESF2N</t>
  </si>
  <si>
    <t>Sello separador Winters Serie D81 ISO-RING, FLANGE SENSOR, 2", CS CENTRE, EPDM, AC. INOX. PLATES, RELLENO DE GLIC., AC. INOX. WINCONNECT, 1/2" NPT, 150#</t>
  </si>
  <si>
    <t>D81RIR3CSESF2N</t>
  </si>
  <si>
    <t>Sello separador Winters Serie D81 ISO-RING, FLANGE SENSOR, 3", CS CENTRE, EPDM, AC. INOX. PLATES, RELLENO DE GLIC., AC. INOX. WINCONNECT, 1/2" NPT, 150#</t>
  </si>
  <si>
    <t>D81RIR4CSESF2N</t>
  </si>
  <si>
    <t>Sello separador Winters Serie D81 ISO-RING, FLANGE SENSOR, 4", CS CENTRE, EPDM, AC. INOX. PLATES, RELLENO DE GLIC., AC. INOX. WINCONNECT, 1/2" NPT, 150#</t>
  </si>
  <si>
    <t>D81RIR6CSESF2N</t>
  </si>
  <si>
    <t>Sello separador Winters Serie D81 ISO-RING, FLANGE SENSOR, 6", CS CENTRE, EPDM, AC. INOX. PLATES, RELLENO DE GLIC., AC. INOX. WINCONNECT, 1/2" NPT, 150#</t>
  </si>
  <si>
    <t>D81RIR8CSESF2N</t>
  </si>
  <si>
    <t>Sello separador Winters Serie D81 ISO-RING, FLANGE SENSOR, 8", CS CENTRE, EPDM, AC. INOX. PLATES, RELLENO DE GLIC., AC. INOX. WINCONNECT, 1/2" NPT, 150#</t>
  </si>
  <si>
    <t>D81RIR10CSESF2N</t>
  </si>
  <si>
    <t>Sello separador Winters Serie D81 ISO-RING, FLANGE SENSOR, 10", CS CENTRE, EPDM, AC. INOX. PLATES, RELLENO DE GLIC., AC. INOX. WINCONNECT, 1/2" NPT, 150#</t>
  </si>
  <si>
    <t>D81RIR12CSESF2N</t>
  </si>
  <si>
    <t>Sello separador Winters Serie D81 ISO-RING, FLANGE SENSOR, 12", CS CENTRE, EPDM, AC. INOX. PLATES, RELLENO DE GLIC., AC. INOX. WINCONNECT, 1/2" NPT, 150#</t>
  </si>
  <si>
    <t>D81RIR14CSESF2N</t>
  </si>
  <si>
    <t>Sello separador Winters Serie D81 ISO-RING, FLANGE SENSOR, 14", CS CENTRE, EPDM, AC. INOX. PLATES, RELLENO DE GLIC., AC. INOX. WINCONNECT, 1/2" NPT, 150#</t>
  </si>
  <si>
    <t>D81RIR16CSESF2N</t>
  </si>
  <si>
    <t>Sello separador Winters Serie D81 ISO-RING, FLANGE SENSOR, 16", CS CENTRE, EPDM, AC. INOX. PLATES, RELLENO DE GLIC., AC. INOX. WINCONNECT, 1/2" NPT, 150#</t>
  </si>
  <si>
    <t>D81RIR18CSESF2N</t>
  </si>
  <si>
    <t>Sello separador Winters Serie D81 ISO-RING, FLANGE SENSOR, 18", CS CENTRE, EPDM, AC. INOX. PLATES, RELLENO DE GLIC., AC. INOX. WINCONNECT, 1/2" NPT, 150#</t>
  </si>
  <si>
    <t>D81RIR20CSESF2N</t>
  </si>
  <si>
    <t>Sello separador Winters Serie D81 ISO-RING, FLANGE SENSOR, 20", CS CENTRE, EPDM, AC. INOX. PLATES, RELLENO DE GLIC., AC. INOX. WINCONNECT, 1/2" NPT, 150#</t>
  </si>
  <si>
    <t>D81RIR30CSESF2N</t>
  </si>
  <si>
    <t>Sello separador Winters Serie D81 ISO-RING, FLANGE SENSOR, 30", CS CENTRE, EPDM, AC. INOX. PLATES, RELLENO DE GLIC., AC. INOX. WINCONNECT, 1/2" NPT, 150#</t>
  </si>
  <si>
    <t>D81RIR1CSESF2N-300#</t>
  </si>
  <si>
    <t>Sello separador Winters Serie D81 ISO-RING, FLANGE SENSOR, 1", CS CENTRE, EPDM, AC. INOX. PLATES, RELLENO DE GLIC., AC. INOX. WINCONNECT, 1/2" NPT, 300#</t>
  </si>
  <si>
    <t>D81RIR1.5CSESF2N-300#</t>
  </si>
  <si>
    <t>Sello separador Winters Serie D81 ISO-RING, FLANGE SENSOR, 1,5", CS CENTRE, EPDM, AC. INOX. PLATES, RELLENO DE GLIC., AC. INOX. WINCONNECT, 1/2" NPT, 300#</t>
  </si>
  <si>
    <t>D81RIR2CSESF2N-300#</t>
  </si>
  <si>
    <t>Sello separador Winters Serie D81 ISO-RING, FLANGE SENSOR, 2", CS CENTRE, EPDM, AC. INOX. PLATES, RELLENO DE GLIC., AC. INOX. WINCONNECT, 1/2" NPT, 300#</t>
  </si>
  <si>
    <t>D81RIR3CSESF2N-300#</t>
  </si>
  <si>
    <t>Sello separador Winters Serie D81 ISO-RING, FLANGE SENSOR, 3", CS CENTRE, EPDM, AC. INOX. PLATES, RELLENO DE GLIC., AC. INOX. WINCONNECT, 1/2" NPT, 300#</t>
  </si>
  <si>
    <t>D81RIR4CSESF2N-300#</t>
  </si>
  <si>
    <t>Sello separador Winters Serie D81 ISO-RING, FLANGE SENSOR, 4", CS CENTRE, EPDM, AC. INOX. PLATES, RELLENO DE GLIC., AC. INOX. WINCONNECT, 1/2" NPT, 300#</t>
  </si>
  <si>
    <t>D81RIR6CSESF2N-300#</t>
  </si>
  <si>
    <t>Sello separador Winters Serie D81 ISO-RING, FLANGE SENSOR, 6", CS CENTRE, EPDM, AC. INOX. PLATES, RELLENO DE GLIC., AC. INOX. WINCONNECT, 1/2" NPT, 300#</t>
  </si>
  <si>
    <t>D81RIR8CSESF2N-300#</t>
  </si>
  <si>
    <t>Sello separador Winters Serie D81 ISO-RING, FLANGE SENSOR, 8", CS CENTRE, EPDM, AC. INOX. PLATES, RELLENO DE GLIC., AC. INOX. WINCONNECT, 1/2" NPT, 300#</t>
  </si>
  <si>
    <t>D81RIR10CSESF2N-300#</t>
  </si>
  <si>
    <t>Sello separador Winters Serie D81 ISO-RING, FLANGE SENSOR, 10", CS CENTRE, EPDM, AC. INOX. PLATES, RELLENO DE GLIC., AC. INOX. WINCONNECT, 1/2" NPT, 300#</t>
  </si>
  <si>
    <t>D81RIR12CSESF2N-300#</t>
  </si>
  <si>
    <t>Sello separador Winters Serie D81 ISO-RING, FLANGE SENSOR, 12", CS CENTRE, EPDM, AC. INOX. PLATES, RELLENO DE GLIC., AC. INOX. WINCONNECT, 1/2" NPT, 300#</t>
  </si>
  <si>
    <t>D81RIR14CSESF2N-300#</t>
  </si>
  <si>
    <t>Sello separador Winters Serie D81 ISO-RING, FLANGE SENSOR, 14", CS CENTRE, EPDM, AC. INOX. PLATES, RELLENO DE GLIC., AC. INOX. WINCONNECT, 1/2" NPT, 300#</t>
  </si>
  <si>
    <t>D81RIR16CSESF2N-300#</t>
  </si>
  <si>
    <t>Sello separador Winters Serie D81 ISO-RING, FLANGE SENSOR, 16", CS CENTRE, EPDM, AC. INOX. PLATES, RELLENO DE GLIC., AC. INOX. WINCONNECT, 1/2" NPT, 300#</t>
  </si>
  <si>
    <t>D81RIR18CSESF2N-300#</t>
  </si>
  <si>
    <t>Sello separador Winters Serie D81 ISO-RING, FLANGE SENSOR, 18", CS CENTRE, EPDM, AC. INOX. PLATES, RELLENO DE GLIC., AC. INOX. WINCONNECT, 1/2" NPT, 300#</t>
  </si>
  <si>
    <t>D81RIR20CSESF2N-300#</t>
  </si>
  <si>
    <t>Sello separador Winters Serie D81 ISO-RING, FLANGE SENSOR, 20", CS CENTRE, EPDM, AC. INOX. PLATES, RELLENO DE GLIC., AC. INOX. WINCONNECT, 1/2" NPT, 300#</t>
  </si>
  <si>
    <t>D81RIR30CSESF2N-300#</t>
  </si>
  <si>
    <t>Sello separador Winters Serie D81 ISO-RING, FLANGE SENSOR, 30", CS CENTRE, EPDM, AC. INOX. PLATES, RELLENO DE GLIC., AC. INOX. WINCONNECT, 1/2" NPT, 300#</t>
  </si>
  <si>
    <t>D81RIR1CSNSF2N</t>
  </si>
  <si>
    <t>Sello separador Winters Serie D81 ISO-RING, FLANGE SENSOR, 1", CS CENTRE, NEOPRENE, AC. INOX. PLATES, RELLENO DE GLIC., AC. INOX. WINCONNECT, 1/2" NPT, 150#</t>
  </si>
  <si>
    <t>D81RIR1.5CSNSF2N</t>
  </si>
  <si>
    <t>Sello separador Winters Serie D81 ISO-RING, FLANGE SENSOR, 1,5", CS CENTRE, NEOPRENE, AC. INOX. PLATES, RELLENO DE GLIC., AC. INOX. WINCONNECT, 1/2" NPT, 150#</t>
  </si>
  <si>
    <t>D81RIR2CSNSF2N</t>
  </si>
  <si>
    <t>Sello separador Winters Serie D81 ISO-RING, FLANGE SENSOR, 2", CS CENTRE, NEOPRENE, AC. INOX. PLATES, RELLENO DE GLIC., AC. INOX. WINCONNECT, 1/2" NPT, 150#</t>
  </si>
  <si>
    <t>D81RIR3CSNSF2N</t>
  </si>
  <si>
    <t>Sello separador Winters Serie D81 ISO-RING, FLANGE SENSOR, 3", CS CENTRE, NEOPRENE, AC. INOX. PLATES, RELLENO DE GLIC., AC. INOX. WINCONNECT, 1/2" NPT, 150#</t>
  </si>
  <si>
    <t>D81RIR4CSNSF2N</t>
  </si>
  <si>
    <t>Sello separador Winters Serie D81 ISO-RING, FLANGE SENSOR, 4", CS CENTRE, NEOPRENE, AC. INOX. PLATES, RELLENO DE GLIC., AC. INOX. WINCONNECT, 1/2" NPT, 150#</t>
  </si>
  <si>
    <t>D81RIR6CSNSF2N</t>
  </si>
  <si>
    <t>Sello separador Winters Serie D81 ISO-RING, FLANGE SENSOR, 6", CS CENTRE, NEOPRENE, AC. INOX. PLATES, RELLENO DE GLIC., AC. INOX. WINCONNECT, 1/2" NPT, 150#</t>
  </si>
  <si>
    <t>D81RIR8CSNSF2N</t>
  </si>
  <si>
    <t>Sello separador Winters Serie D81 ISO-RING, FLANGE SENSOR, 8", CS CENTRE, NEOPRENE, AC. INOX. PLATES, RELLENO DE GLIC., AC. INOX. WINCONNECT, 1/2" NPT, 150#</t>
  </si>
  <si>
    <t>D81RIR10CSNSF2N</t>
  </si>
  <si>
    <t>Sello separador Winters Serie D81 ISO-RING, FLANGE SENSOR, 10", CS CENTRE, NEOPRENE, AC. INOX. PLATES, RELLENO DE GLIC., AC. INOX. WINCONNECT, 1/2" NPT, 150#</t>
  </si>
  <si>
    <t>D81RIR12CSNSF2N</t>
  </si>
  <si>
    <t>Sello separador Winters Serie D81 ISO-RING, FLANGE SENSOR, 12", CS CENTRE, NEOPRENE, AC. INOX. PLATES, RELLENO DE GLIC., AC. INOX. WINCONNECT, 1/2" NPT, 150#</t>
  </si>
  <si>
    <t>D81RIR14CSNSF2N</t>
  </si>
  <si>
    <t>Sello separador Winters Serie D81 ISO-RING, FLANGE SENSOR, 14", CS CENTRE, NEOPRENE, AC. INOX. PLATES, RELLENO DE GLIC., AC. INOX. WINCONNECT, 1/2" NPT, 150#</t>
  </si>
  <si>
    <t>D81RIR16CSNSF2N</t>
  </si>
  <si>
    <t>Sello separador Winters Serie D81 ISO-RING, FLANGE SENSOR, 16", CS CENTRE, NEOPRENE, AC. INOX. PLATES, RELLENO DE GLIC., AC. INOX. WINCONNECT, 1/2" NPT, 150#</t>
  </si>
  <si>
    <t>D81RIR18CSNSF2N</t>
  </si>
  <si>
    <t>Sello separador Winters Serie D81 ISO-RING, FLANGE SENSOR, 18", CS CENTRE, NEOPRENE, AC. INOX. PLATES, RELLENO DE GLIC., AC. INOX. WINCONNECT, 1/2" NPT, 150#</t>
  </si>
  <si>
    <t>D81RIR20CSNSF2N</t>
  </si>
  <si>
    <t>Sello separador Winters Serie D81 ISO-RING, FLANGE SENSOR, 20", CS CENTRE, NEOPRENE, AC. INOX. PLATES, RELLENO DE GLIC., AC. INOX. WINCONNECT, 1/2" NPT, 150#</t>
  </si>
  <si>
    <t>D81RIR30CSNSF2N</t>
  </si>
  <si>
    <t>Sello separador Winters Serie D81 ISO-RING, FLANGE SENSOR, 30", CS CENTRE, NEOPRENE, AC. INOX. PLATES, RELLENO DE GLIC., AC. INOX. WINCONNECT, 1/2" NPT, 150#</t>
  </si>
  <si>
    <t>D81RIR1CSNSF2N-300#</t>
  </si>
  <si>
    <t>Sello separador Winters Serie D81 ISO-RING, FLANGE SENSOR, 1", CS CENTRE, NEOPRENE, AC. INOX. PLATES, RELLENO DE GLIC., AC. INOX. WINCONNECT, 1/2" NPT, 300#</t>
  </si>
  <si>
    <t>D81RIR1.5CSNSF2N-300#</t>
  </si>
  <si>
    <t>Sello separador Winters Serie D81 ISO-RING, FLANGE SENSOR, 1,5", CS CENTRE, NEOPRENE, AC. INOX. PLATES, RELLENO DE GLIC., AC. INOX. WINCONNECT, 1/2" NPT, 300#</t>
  </si>
  <si>
    <t>D81RIR2CSNSF2N-300#</t>
  </si>
  <si>
    <t>Sello separador Winters Serie D81 ISO-RING, FLANGE SENSOR, 2", CS CENTRE, NEOPRENE, AC. INOX. PLATES, RELLENO DE GLIC., AC. INOX. WINCONNECT, 1/2" NPT, 300#</t>
  </si>
  <si>
    <t>D81RIR3CSNSF2N-300#</t>
  </si>
  <si>
    <t>Sello separador Winters Serie D81 ISO-RING, FLANGE SENSOR, 3", CS CENTRE, NEOPRENE, AC. INOX. PLATES, RELLENO DE GLIC., AC. INOX. WINCONNECT, 1/2" NPT, 300#</t>
  </si>
  <si>
    <t>D81RIR4CSNSF2N-300#</t>
  </si>
  <si>
    <t>Sello separador Winters Serie D81 ISO-RING, FLANGE SENSOR, 4", CS CENTRE, NEOPRENE, AC. INOX. PLATES, RELLENO DE GLIC., AC. INOX. WINCONNECT, 1/2" NPT, 300#</t>
  </si>
  <si>
    <t>D81RIR6CSNSF2N-300#</t>
  </si>
  <si>
    <t>Sello separador Winters Serie D81 ISO-RING, FLANGE SENSOR, 6", CS CENTRE, NEOPRENE, AC. INOX. PLATES, RELLENO DE GLIC., AC. INOX. WINCONNECT, 1/2" NPT, 300#</t>
  </si>
  <si>
    <t>D81RIR8CSNSF2N-300#</t>
  </si>
  <si>
    <t>Sello separador Winters Serie D81 ISO-RING, FLANGE SENSOR, 8", CS CENTRE, NEOPRENE, AC. INOX. PLATES, RELLENO DE GLIC., AC. INOX. WINCONNECT, 1/2" NPT, 300#</t>
  </si>
  <si>
    <t>D81RIR10CSNSF2N-300#</t>
  </si>
  <si>
    <t>Sello separador Winters Serie D81 ISO-RING, FLANGE SENSOR, 10", CS CENTRE, NEOPRENE, AC. INOX. PLATES, RELLENO DE GLIC., AC. INOX. WINCONNECT, 1/2" NPT, 300#</t>
  </si>
  <si>
    <t>D81RIR12CSNSF2N-300#</t>
  </si>
  <si>
    <t>Sello separador Winters Serie D81 ISO-RING, FLANGE SENSOR, 12", CS CENTRE, NEOPRENE, AC. INOX. PLATES, RELLENO DE GLIC., AC. INOX. WINCONNECT, 1/2" NPT, 300#</t>
  </si>
  <si>
    <t>D81RIR14CSNSF2N-300#</t>
  </si>
  <si>
    <t>Sello separador Winters Serie D81 ISO-RING, FLANGE SENSOR, 14", CS CENTRE, NEOPRENE, AC. INOX. PLATES, RELLENO DE GLIC., AC. INOX. WINCONNECT, 1/2" NPT, 300#</t>
  </si>
  <si>
    <t>D81RIR16CSNSF2N-300#</t>
  </si>
  <si>
    <t>Sello separador Winters Serie D81 ISO-RING, FLANGE SENSOR, 16", CS CENTRE, NEOPRENE, AC. INOX. PLATES, RELLENO DE GLIC., AC. INOX. WINCONNECT, 1/2" NPT, 300#</t>
  </si>
  <si>
    <t>D81RIR18CSNSF2N-300#</t>
  </si>
  <si>
    <t>Sello separador Winters Serie D81 ISO-RING, FLANGE SENSOR, 18", CS CENTRE, NEOPRENE, AC. INOX. PLATES, RELLENO DE GLIC., AC. INOX. WINCONNECT, 1/2" NPT, 300#</t>
  </si>
  <si>
    <t>D81RIR20CSNSF2N-300#</t>
  </si>
  <si>
    <t>Sello separador Winters Serie D81 ISO-RING, FLANGE SENSOR, 20", CS CENTRE, NEOPRENE, AC. INOX. PLATES, RELLENO DE GLIC., AC. INOX. WINCONNECT, 1/2" NPT, 300#</t>
  </si>
  <si>
    <t>D81RIR30CSNSF2N-300#</t>
  </si>
  <si>
    <t>Sello separador Winters Serie D81 ISO-RING, FLANGE SENSOR, 30", CS CENTRE, NEOPRENE, AC. INOX. PLATES, RELLENO DE GLIC., AC. INOX. WINCONNECT, 1/2" NPT, 300#</t>
  </si>
  <si>
    <t>D81RIR1CSPSF2N</t>
  </si>
  <si>
    <t>Sello separador Winters Serie D81 ISO-RING, FLANGE SENSOR, 1", CS CENTRE, PTFE, AC. INOX. PLATES, RELLENO DE GLIC., AC. INOX. WINCONNECT, 1/2" NPT, 150#</t>
  </si>
  <si>
    <t>D81RIR1.5CSPSF2N</t>
  </si>
  <si>
    <t>Sello separador Winters Serie D81 ISO-RING, FLANGE SENSOR, 1,5", CS CENTRE, PTFE, AC. INOX. PLATES, RELLENO DE GLIC., AC. INOX. WINCONNECT, 1/2" NPT, 150#</t>
  </si>
  <si>
    <t>D81RIR2CSPSF2N</t>
  </si>
  <si>
    <t>Sello separador Winters Serie D81 ISO-RING, FLANGE SENSOR, 2", CS CENTRE, PTFE, AC. INOX. PLATES, RELLENO DE GLIC., AC. INOX. WINCONNECT, 1/2" NPT, 150#</t>
  </si>
  <si>
    <t>D81RIR2.5CSPSF2N</t>
  </si>
  <si>
    <t>Sello separador Winters Serie D81 ISO-RING, FLANGE SENSOR, 2,5", CS CENTRE, PTFE, AC. INOX. PLATES, RELLENO DE GLIC., AC. INOX. WINCONNECT, 1/2" NPT, 150#</t>
  </si>
  <si>
    <t>D81RIR3CSPSF2N</t>
  </si>
  <si>
    <t>Sello separador Winters Serie D81 ISO-RING, FLANGE SENSOR, 3", CS CENTRE, PTFE, AC. INOX. PLATES, RELLENO DE GLIC., AC. INOX. WINCONNECT, 1/2" NPT, 150#</t>
  </si>
  <si>
    <t>D81RIR4CSPSF2N</t>
  </si>
  <si>
    <t>Sello separador Winters Serie D81 ISO-RING, FLANGE SENSOR, 4", CS CENTRE, PTFE, AC. INOX. PLATES, RELLENO DE GLIC., AC. INOX. WINCONNECT, 1/2" NPT, 150#</t>
  </si>
  <si>
    <t>D81RIR6CSPSF2N</t>
  </si>
  <si>
    <t>Sello separador Winters Serie D81 ISO-RING, FLANGE SENSOR, 6", CS CENTRE, PTFE, AC. INOX. PLATES, RELLENO DE GLIC., AC. INOX. WINCONNECT, 1/2" NPT, 150#</t>
  </si>
  <si>
    <t>D81RIR8CSPSF2N</t>
  </si>
  <si>
    <t>Sello separador Winters Serie D81 ISO-RING, FLANGE SENSOR, 8", CS CENTRE, PTFE, AC. INOX. PLATES, RELLENO DE GLIC., AC. INOX. WINCONNECT, 1/2" NPT, 150#</t>
  </si>
  <si>
    <t>D81RIR10CSPSF2N</t>
  </si>
  <si>
    <t>Sello separador Winters Serie D81 ISO-RING, FLANGE SENSOR, 10", CS CENTRE, PTFE, AC. INOX. PLATES, RELLENO DE GLIC., AC. INOX. WINCONNECT, 1/2" NPT, 150#</t>
  </si>
  <si>
    <t>D81RIR12CSPSF2N</t>
  </si>
  <si>
    <t>Sello separador Winters Serie D81 ISO-RING, FLANGE SENSOR, 12", CS CENTRE, PTFE, AC. INOX. PLATES, RELLENO DE GLIC., AC. INOX. WINCONNECT, 1/2" NPT, 150#</t>
  </si>
  <si>
    <t>D81RIR14CSPSF2N</t>
  </si>
  <si>
    <t>Sello separador Winters Serie D81 ISO-RING, FLANGE SENSOR, 14", CS CENTRE, PTFE, AC. INOX. PLATES, RELLENO DE GLIC., AC. INOX. WINCONNECT, 1/2" NPT, 150#</t>
  </si>
  <si>
    <t>D81RIR16CSPSF2N</t>
  </si>
  <si>
    <t>Sello separador Winters Serie D81 ISO-RING, FLANGE SENSOR, 16", CS CENTRE, PTFE, AC. INOX. PLATES, RELLENO DE GLIC., AC. INOX. WINCONNECT, 1/2" NPT, 150#</t>
  </si>
  <si>
    <t>D81RIR18CSPSF2N</t>
  </si>
  <si>
    <t>Sello separador Winters Serie D81 ISO-RING, FLANGE SENSOR, 18", CS CENTRE, PTFE, AC. INOX. PLATES, RELLENO DE GLIC., AC. INOX. WINCONNECT, 1/2" NPT, 150#</t>
  </si>
  <si>
    <t>D81RIR20CSPSF2N</t>
  </si>
  <si>
    <t>Sello separador Winters Serie D81 ISO-RING, FLANGE SENSOR, 20", CS CENTRE, PTFE, AC. INOX. PLATES, RELLENO DE GLIC., AC. INOX. WINCONNECT, 1/2" NPT, 150#</t>
  </si>
  <si>
    <t>D81RIR22CSPSF2N</t>
  </si>
  <si>
    <t>Sello separador Winters Serie D81 ISO-RING, FLANGE SENSOR, 22", CS CENTRE, PTFE, AC. INOX. PLATES, RELLENO DE GLIC., AC. INOX. WINCONNECT, 1/2" NPT, 150#</t>
  </si>
  <si>
    <t>D81RIR24CSPSF2N</t>
  </si>
  <si>
    <t>Sello separador Winters Serie D81 ISO-RING, FLANGE SENSOR, 24", CS CENTRE, PTFE, AC. INOX. PLATES, RELLENO DE GLIC., AC. INOX. WINCONNECT, 1/2" NPT, 150#</t>
  </si>
  <si>
    <t>D81RIR1CSPSF2N-300#</t>
  </si>
  <si>
    <t>Sello separador Winters Serie D81 ISO-RING, FLANGE SENSOR, 1", CS CENTRE, PTFE, AC. INOX. PLATES, RELLENO DE GLIC., AC. INOX. WINCONNECT, 1/2" NPT, 300#</t>
  </si>
  <si>
    <t>D81RIR1.5CSPSF2N-300#</t>
  </si>
  <si>
    <t>Sello separador Winters Serie D81 ISO-RING, FLANGE SENSOR, 1,5", CS CENTRE, PTFE, AC. INOX. PLATES, RELLENO DE GLIC., AC. INOX. WINCONNECT, 1/2" NPT, 300#</t>
  </si>
  <si>
    <t>D81RIR2CSPSF2N-300#</t>
  </si>
  <si>
    <t>Sello separador Winters Serie D81 ISO-RING, FLANGE SENSOR, 2", CS CENTRE, PTFE, AC. INOX. PLATES, RELLENO DE GLIC., AC. INOX. WINCONNECT, 1/2" NPT, 300#</t>
  </si>
  <si>
    <t>D81RIR2.5CSPSF2N-300#</t>
  </si>
  <si>
    <t>Sello separador Winters Serie D81 ISO-RING, FLANGE SENSOR, 2,5", CS CENTRE, PTFE, AC. INOX. PLATES, RELLENO DE GLIC., AC. INOX. WINCONNECT, 1/2" NPT, 300#</t>
  </si>
  <si>
    <t>D81RIR3CSPSF2N-300#</t>
  </si>
  <si>
    <t>Sello separador Winters Serie D81 ISO-RING, FLANGE SENSOR, 3", CS CENTRE, PTFE, AC. INOX. PLATES, RELLENO DE GLIC., AC. INOX. WINCONNECT, 1/2" NPT, 300#</t>
  </si>
  <si>
    <t>D81RIR4CSPSF2N-300#</t>
  </si>
  <si>
    <t>Sello separador Winters Serie D81 ISO-RING, FLANGE SENSOR, 4", CS CENTRE, PTFE, AC. INOX. PLATES, RELLENO DE GLIC., AC. INOX. WINCONNECT, 1/2" NPT, 300#</t>
  </si>
  <si>
    <t>D81RIR6CSPSF2N-300#</t>
  </si>
  <si>
    <t>Sello separador Winters Serie D81 ISO-RING, FLANGE SENSOR, 6", CS CENTRE, PTFE, AC. INOX. PLATES, RELLENO DE GLIC., AC. INOX. WINCONNECT, 1/2" NPT, 300#</t>
  </si>
  <si>
    <t>D81RIR8CSPSF2N-300#</t>
  </si>
  <si>
    <t>Sello separador Winters Serie D81 ISO-RING, FLANGE SENSOR, 8", CS CENTRE, PTFE, AC. INOX. PLATES, RELLENO DE GLIC., AC. INOX. WINCONNECT, 1/2" NPT, 300#</t>
  </si>
  <si>
    <t>D81RIR10CSPSF2N-300#</t>
  </si>
  <si>
    <t>Sello separador Winters Serie D81 ISO-RING, FLANGE SENSOR, 10", CS CENTRE, PTFE, AC. INOX. PLATES, RELLENO DE GLIC., AC. INOX. WINCONNECT, 1/2" NPT, 300#</t>
  </si>
  <si>
    <t>D81RIR12CSPSF2N-300#</t>
  </si>
  <si>
    <t>Sello separador Winters Serie D81 ISO-RING, FLANGE SENSOR, 12", CS CENTRE, PTFE, AC. INOX. PLATES, RELLENO DE GLIC., AC. INOX. WINCONNECT, 1/2" NPT, 300#</t>
  </si>
  <si>
    <t>D81RIR14CSPSF2N-300#</t>
  </si>
  <si>
    <t>Sello separador Winters Serie D81 ISO-RING, FLANGE SENSOR, 14", CS CENTRE, PTFE, AC. INOX. PLATES, RELLENO DE GLIC., AC. INOX. WINCONNECT, 1/2" NPT, 300#</t>
  </si>
  <si>
    <t>D81RIR16CSPSF2N-300#</t>
  </si>
  <si>
    <t>Sello separador Winters Serie D81 ISO-RING, FLANGE SENSOR, 16", CS CENTRE, PTFE, AC. INOX. PLATES, RELLENO DE GLIC., AC. INOX. WINCONNECT, 1/2" NPT, 300#</t>
  </si>
  <si>
    <t>D81RIR18CSPSF2N-300#</t>
  </si>
  <si>
    <t>Sello separador Winters Serie D81 ISO-RING, FLANGE SENSOR, 18", CS CENTRE, PTFE, AC. INOX. PLATES, RELLENO DE GLIC., AC. INOX. WINCONNECT, 1/2" NPT, 300#</t>
  </si>
  <si>
    <t>D81RIR22CSPSF2N-300#</t>
  </si>
  <si>
    <t>Sello separador Winters Serie D81 ISO-RING, FLANGE SENSOR, 22", CS CENTRE, PTFE, AC. INOX. PLATES, RELLENO DE GLIC., AC. INOX. WINCONNECT, 1/2" NPT, 300#</t>
  </si>
  <si>
    <t>D81RIR24CSPSF2N-300#</t>
  </si>
  <si>
    <t>Sello separador Winters Serie D81 ISO-RING, FLANGE SENSOR, 24", CS CENTRE, PTFE, AC. INOX. PLATES, RELLENO DE GLIC., AC. INOX. WINCONNECT, 1/2" NPT, 300#</t>
  </si>
  <si>
    <t>D81RIR1CSRSF2N</t>
  </si>
  <si>
    <t>Sello separador Winters Serie D81 ISO-RING, FLANGE SENSOR, 1", CS CENTRE, NATURAL RUBBER, AC. INOX. PLATES, RELLENO DE GLIC., AC. INOX. WINCONNECT, 1/2" NPT, 150#</t>
  </si>
  <si>
    <t>D81RIR1.5CSRSF2N</t>
  </si>
  <si>
    <t>Sello separador Winters Serie D81 ISO-RING, FLANGE SENSOR, 1,5", CS CENTRE, NATURAL RUBBER, AC. INOX. PLATES, RELLENO DE GLIC., AC. INOX. WINCONNECT, 1/2" NPT, 150#</t>
  </si>
  <si>
    <t>D81RIR2CSRSF2N</t>
  </si>
  <si>
    <t>Sello separador Winters Serie D81 ISO-RING, FLANGE SENSOR, 2", CS CENTRE, NATURAL RUBBER, AC. INOX. PLATES, RELLENO DE GLIC., AC. INOX. WINCONNECT, 1/2" NPT, 150#</t>
  </si>
  <si>
    <t>D81RIR3CSRSF2N</t>
  </si>
  <si>
    <t>Sello separador Winters Serie D81 ISO-RING, FLANGE SENSOR, 3", CS CENTRE, NATURAL RUBBER, AC. INOX. PLATES, RELLENO DE GLIC., AC. INOX. WINCONNECT, 1/2" NPT, 150#</t>
  </si>
  <si>
    <t>D81RIR4CSRSF2N</t>
  </si>
  <si>
    <t>Sello separador Winters Serie D81 ISO-RING, FLANGE SENSOR, 4", CS CENTRE, NATURAL RUBBER, AC. INOX. PLATES, RELLENO DE GLIC., AC. INOX. WINCONNECT, 1/2" NPT, 150#</t>
  </si>
  <si>
    <t>D81RIR6CSRSF2N</t>
  </si>
  <si>
    <t>Sello separador Winters Serie D81 ISO-RING, FLANGE SENSOR, 6", CS CENTRE, NATURAL RUBBER, AC. INOX. PLATES, RELLENO DE GLIC., AC. INOX. WINCONNECT, 1/2" NPT, 150#</t>
  </si>
  <si>
    <t>D81RIR8CSRSF2N</t>
  </si>
  <si>
    <t>Sello separador Winters Serie D81 ISO-RING, FLANGE SENSOR, 8", CS CENTRE, NATURAL RUBBER, AC. INOX. PLATES, RELLENO DE GLIC., AC. INOX. WINCONNECT, 1/2" NPT, 150#</t>
  </si>
  <si>
    <t>D81RIR10CSRSF2N</t>
  </si>
  <si>
    <t>Sello separador Winters Serie D81 ISO-RING, FLANGE SENSOR, 10", CS CENTRE, NATURAL RUBBER, AC. INOX. PLATES, RELLENO DE GLIC., AC. INOX. WINCONNECT, 1/2" NPT, 150#</t>
  </si>
  <si>
    <t>D81RIR12CSRSF2N</t>
  </si>
  <si>
    <t>Sello separador Winters Serie D81 ISO-RING, FLANGE SENSOR, 12", CS CENTRE, NATURAL RUBBER, AC. INOX. PLATES, RELLENO DE GLIC., AC. INOX. WINCONNECT, 1/2" NPT, 150#</t>
  </si>
  <si>
    <t>D81RIR14CSRSF2N</t>
  </si>
  <si>
    <t>Sello separador Winters Serie D81 ISO-RING, FLANGE SENSOR, 14", CS CENTRE, NATURAL RUBBER, AC. INOX. PLATES, RELLENO DE GLIC., AC. INOX. WINCONNECT, 1/2" NPT, 150#</t>
  </si>
  <si>
    <t>D81RIR16CSRSF2N</t>
  </si>
  <si>
    <t>Sello separador Winters Serie D81 ISO-RING, FLANGE SENSOR, 16", CS CENTRE, NATURAL RUBBER, AC. INOX. PLATES, RELLENO DE GLIC., AC. INOX. WINCONNECT, 1/2" NPT, 150#</t>
  </si>
  <si>
    <t>D81RIR18CSRSF2N</t>
  </si>
  <si>
    <t>Sello separador Winters Serie D81 ISO-RING, FLANGE SENSOR, 18", CS CENTRE, NATURAL RUBBER, AC. INOX. PLATES, RELLENO DE GLIC., AC. INOX. WINCONNECT, 1/2" NPT, 150#</t>
  </si>
  <si>
    <t>D81RIR20CSRSF2N</t>
  </si>
  <si>
    <t>Sello separador Winters Serie D81 ISO-RING, FLANGE SENSOR, 20", CS CENTRE, NATURAL RUBBER, AC. INOX. PLATES, RELLENO DE GLIC., AC. INOX. WINCONNECT, 1/2" NPT, 150#</t>
  </si>
  <si>
    <t>D81RIR1CSRSF2N-300#</t>
  </si>
  <si>
    <t>Sello separador Winters Serie D81 ISO-RING, FLANGE SENSOR, 1", CS CENTRE, NATURAL RUBBER, AC. INOX. PLATES, RELLENO DE GLIC., AC. INOX. WINCONNECT, 1/2" NPT, 300#</t>
  </si>
  <si>
    <t>D81RIR1.5CSRSF2N-300#</t>
  </si>
  <si>
    <t>Sello separador Winters Serie D81 ISO-RING, FLANGE SENSOR, 1,5", CS CENTRE, NATURAL RUBBER, AC. INOX. PLATES, RELLENO DE GLIC., AC. INOX. WINCONNECT, 1/2" NPT, 300#</t>
  </si>
  <si>
    <t>D81RIR2CSRSF2N-300#</t>
  </si>
  <si>
    <t>Sello separador Winters Serie D81 ISO-RING, FLANGE SENSOR, 2", CS CENTRE, NATURAL RUBBER, AC. INOX. PLATES, RELLENO DE GLIC., AC. INOX. WINCONNECT, 1/2" NPT, 300#</t>
  </si>
  <si>
    <t>D81RIR3CSRSF2N-300#</t>
  </si>
  <si>
    <t>Sello separador Winters Serie D81 ISO-RING, FLANGE SENSOR, 3", CS CENTRE, NATURAL RUBBER, AC. INOX. PLATES, RELLENO DE GLIC., AC. INOX. WINCONNECT, 1/2" NPT, 300#</t>
  </si>
  <si>
    <t>D81RIR4CSRSF2N-300#</t>
  </si>
  <si>
    <t>Sello separador Winters Serie D81 ISO-RING, FLANGE SENSOR, 4", CS CENTRE, NATURAL RUBBER, AC. INOX. PLATES, RELLENO DE GLIC., AC. INOX. WINCONNECT, 1/2" NPT, 300#</t>
  </si>
  <si>
    <t>D81RIR6CSRSF2N-300#</t>
  </si>
  <si>
    <t>Sello separador Winters Serie D81 ISO-RING, FLANGE SENSOR, 6", CS CENTRE, NATURAL RUBBER, AC. INOX. PLATES, RELLENO DE GLIC., AC. INOX. WINCONNECT, 1/2" NPT, 300#</t>
  </si>
  <si>
    <t>D81RIR8CSRSF2N-300#</t>
  </si>
  <si>
    <t>Sello separador Winters Serie D81 ISO-RING, FLANGE SENSOR, 8", CS CENTRE, NATURAL RUBBER, AC. INOX. PLATES, RELLENO DE GLIC., AC. INOX. WINCONNECT, 1/2" NPT, 300#</t>
  </si>
  <si>
    <t>D81RIR10CSRSF2N-300#</t>
  </si>
  <si>
    <t>Sello separador Winters Serie D81 ISO-RING, FLANGE SENSOR, 10", CS CENTRE, NATURAL RUBBER, AC. INOX. PLATES, RELLENO DE GLIC., AC. INOX. WINCONNECT, 1/2" NPT, 300#</t>
  </si>
  <si>
    <t>D81RIR12CSRSF2N-300#</t>
  </si>
  <si>
    <t>Sello separador Winters Serie D81 ISO-RING, FLANGE SENSOR, 12", CS CENTRE, NATURAL RUBBER, AC. INOX. PLATES, RELLENO DE GLIC., AC. INOX. WINCONNECT, 1/2" NPT, 300#</t>
  </si>
  <si>
    <t>D81RIR14CSRSF2N-300#</t>
  </si>
  <si>
    <t>Sello separador Winters Serie D81 ISO-RING, FLANGE SENSOR, 14", CS CENTRE, NATURAL RUBBER, AC. INOX. PLATES, RELLENO DE GLIC., AC. INOX. WINCONNECT, 1/2" NPT, 300#</t>
  </si>
  <si>
    <t>D81RIR16CSRSF2N-300#</t>
  </si>
  <si>
    <t>Sello separador Winters Serie D81 ISO-RING, FLANGE SENSOR, 16", CS CENTRE, NATURAL RUBBER, AC. INOX. PLATES, RELLENO DE GLIC., AC. INOX. WINCONNECT, 1/2" NPT, 300#</t>
  </si>
  <si>
    <t>D81RIR18CSRSF2N-300#</t>
  </si>
  <si>
    <t>Sello separador Winters Serie D81 ISO-RING, FLANGE SENSOR, 18", CS CENTRE, NATURAL RUBBER, AC. INOX. PLATES, RELLENO DE GLIC., AC. INOX. WINCONNECT, 1/2" NPT, 300#</t>
  </si>
  <si>
    <t>D81RIR1CSVSF2N</t>
  </si>
  <si>
    <t>Sello separador Winters Serie D81 ISO-RING, FLANGE SENSOR, 1", CS CENTRE, VITON, AC. INOX. PLATES, RELLENO DE GLIC., AC. INOX. WINCONNECT, 1/2" NPT, 150#</t>
  </si>
  <si>
    <t>D81RIR1.5CSVSF2N</t>
  </si>
  <si>
    <t>Sello separador Winters Serie D81 ISO-RING, FLANGE SENSOR, 1,5", CS CENTRE, VITON, AC. INOX. PLATES, RELLENO DE GLIC., AC. INOX. WINCONNECT, 1/2" NPT, 150#</t>
  </si>
  <si>
    <t>D81RIR2CSVSF2N</t>
  </si>
  <si>
    <t>Sello separador Winters Serie D81 ISO-RING, FLANGE SENSOR, 2", CS CENTRE, VITON, AC. INOX. PLATES, RELLENO DE GLIC., AC. INOX. WINCONNECT, 1/2" NPT, 150#</t>
  </si>
  <si>
    <t>D81RIR3CSVSF2N</t>
  </si>
  <si>
    <t>Sello separador Winters Serie D81 ISO-RING, FLANGE SENSOR, 3", CS CENTRE, VITON, AC. INOX. PLATES, RELLENO DE GLIC., AC. INOX. WINCONNECT, 1/2" NPT, 150#</t>
  </si>
  <si>
    <t>D81RIR4CSVSF2N</t>
  </si>
  <si>
    <t>Sello separador Winters Serie D81 ISO-RING, FLANGE SENSOR, 4", CS CENTRE, VITON, AC. INOX. PLATES, RELLENO DE GLIC., AC. INOX. WINCONNECT, 1/2" NPT, 150#</t>
  </si>
  <si>
    <t>D81RIR6CSVSF2N</t>
  </si>
  <si>
    <t>Sello separador Winters Serie D81 ISO-RING, FLANGE SENSOR, 6", CS CENTRE, VITON, AC. INOX. PLATES, RELLENO DE GLIC., AC. INOX. WINCONNECT, 1/2" NPT, 150#</t>
  </si>
  <si>
    <t>D81RIR8CSVSF2N</t>
  </si>
  <si>
    <t>Sello separador Winters Serie D81 ISO-RING, FLANGE SENSOR, 8", CS CENTRE, VITON, AC. INOX. PLATES, RELLENO DE GLIC., AC. INOX. WINCONNECT, 1/2" NPT, 150#</t>
  </si>
  <si>
    <t>D81RIR10CSVSF2N</t>
  </si>
  <si>
    <t>Sello separador Winters Serie D81 ISO-RING, FLANGE SENSOR, 10", CS CENTRE, VITON, AC. INOX. PLATES, RELLENO DE GLIC., AC. INOX. WINCONNECT, 1/2" NPT, 150#</t>
  </si>
  <si>
    <t>D81RIR12CSVSF2N</t>
  </si>
  <si>
    <t>Sello separador Winters Serie D81 ISO-RING, FLANGE SENSOR, 12", CS CENTRE, VITON, AC. INOX. PLATES, RELLENO DE GLIC., AC. INOX. WINCONNECT, 1/2" NPT, 150#</t>
  </si>
  <si>
    <t>D81RIR14CSVSF2N</t>
  </si>
  <si>
    <t>Sello separador Winters Serie D81 ISO-RING, FLANGE SENSOR, 14", CS CENTRE, VITON, AC. INOX. PLATES, RELLENO DE GLIC., AC. INOX. WINCONNECT, 1/2" NPT, 150#</t>
  </si>
  <si>
    <t>D81RIR16CSVSF2N</t>
  </si>
  <si>
    <t>Sello separador Winters Serie D81 ISO-RING, FLANGE SENSOR, 16", CS CENTRE, VITON, AC. INOX. PLATES, RELLENO DE GLIC., AC. INOX. WINCONNECT, 1/2" NPT, 150#</t>
  </si>
  <si>
    <t>D81RIR18CSVSF2N</t>
  </si>
  <si>
    <t>Sello separador Winters Serie D81 ISO-RING, FLANGE SENSOR, 18", CS CENTRE, VITON, AC. INOX. PLATES, RELLENO DE GLIC., AC. INOX. WINCONNECT, 1/2" NPT, 150#</t>
  </si>
  <si>
    <t>D81RIR20CSVSF2N</t>
  </si>
  <si>
    <t>Sello separador Winters Serie D81 ISO-RING, FLANGE SENSOR, 20", CS CENTRE, VITON, AC. INOX. PLATES, RELLENO DE GLIC., AC. INOX. WINCONNECT, 1/2" NPT, 150#</t>
  </si>
  <si>
    <t>D81RIR1CSVSF2N-300#</t>
  </si>
  <si>
    <t>Sello separador Winters Serie D81 ISO-RING, FLANGE SENSOR, 1", CS CENTRE, VITON, AC. INOX. PLATES, RELLENO DE GLIC., AC. INOX. WINCONNECT, 1/2" NPT, 300#</t>
  </si>
  <si>
    <t>D81RIR1.5CSVSF2N-300#</t>
  </si>
  <si>
    <t>Sello separador Winters Serie D81 ISO-RING, FLANGE SENSOR, 1,5", CS CENTRE, VITON, AC. INOX. PLATES, RELLENO DE GLIC., AC. INOX. WINCONNECT, 1/2" NPT, 300#</t>
  </si>
  <si>
    <t>D81RIR2CSVSF2N-300#</t>
  </si>
  <si>
    <t>Sello separador Winters Serie D81 ISO-RING, FLANGE SENSOR, 2", CS CENTRE, VITON, AC. INOX. PLATES, RELLENO DE GLIC., AC. INOX. WINCONNECT, 1/2" NPT, 300#</t>
  </si>
  <si>
    <t>D81RIR3CSVSF2N-300#</t>
  </si>
  <si>
    <t>Sello separador Winters Serie D81 ISO-RING, FLANGE SENSOR, 3", CS CENTRE, VITON, AC. INOX. PLATES, RELLENO DE GLIC., AC. INOX. WINCONNECT, 1/2" NPT, 300#</t>
  </si>
  <si>
    <t>D81RIR4CSVSF2N-300#</t>
  </si>
  <si>
    <t>Sello separador Winters Serie D81 ISO-RING, FLANGE SENSOR, 4", CS CENTRE, VITON, AC. INOX. PLATES, RELLENO DE GLIC., AC. INOX. WINCONNECT, 1/2" NPT, 300#</t>
  </si>
  <si>
    <t>D81RIR6CSVSF2N-300#</t>
  </si>
  <si>
    <t>Sello separador Winters Serie D81 ISO-RING, FLANGE SENSOR, 6", CS CENTRE, VITON, AC. INOX. PLATES, RELLENO DE GLIC., AC. INOX. WINCONNECT, 1/2" NPT, 300#</t>
  </si>
  <si>
    <t>D81RIR8CSVSF2N-300#</t>
  </si>
  <si>
    <t>Sello separador Winters Serie D81 ISO-RING, FLANGE SENSOR, 8", CS CENTRE, VITON, AC. INOX. PLATES, RELLENO DE GLIC., AC. INOX. WINCONNECT, 1/2" NPT, 300#</t>
  </si>
  <si>
    <t>D81RIR10CSVSF2N-300#</t>
  </si>
  <si>
    <t>Sello separador Winters Serie D81 ISO-RING, FLANGE SENSOR, 10", CS CENTRE, VITON, AC. INOX. PLATES, RELLENO DE GLIC., AC. INOX. WINCONNECT, 1/2" NPT, 300#</t>
  </si>
  <si>
    <t>D81RIR12CSVSF2N-300#</t>
  </si>
  <si>
    <t>Sello separador Winters Serie D81 ISO-RING, FLANGE SENSOR, 12", CS CENTRE, VITON, AC. INOX. PLATES, RELLENO DE GLIC., AC. INOX. WINCONNECT, 1/2" NPT, 300#</t>
  </si>
  <si>
    <t>D81RIR14CSVSF2N-300#</t>
  </si>
  <si>
    <t>Sello separador Winters Serie D81 ISO-RING, FLANGE SENSOR, 14", CS CENTRE, VITON, AC. INOX. PLATES, RELLENO DE GLIC., AC. INOX. WINCONNECT, 1/2" NPT, 300#</t>
  </si>
  <si>
    <t>D81RIR16CSVSF2N-300#</t>
  </si>
  <si>
    <t>Sello separador Winters Serie D81 ISO-RING, FLANGE SENSOR, 16", CS CENTRE, VITON, AC. INOX. PLATES, RELLENO DE GLIC., AC. INOX. WINCONNECT, 1/2" NPT, 300#</t>
  </si>
  <si>
    <t>D81RIR18CSVSF2N-300#</t>
  </si>
  <si>
    <t>Sello separador Winters Serie D81 ISO-RING, FLANGE SENSOR, 18", CS CENTRE, VITON, AC. INOX. PLATES, RELLENO DE GLIC., AC. INOX. WINCONNECT, 1/2" NPT, 300#</t>
  </si>
  <si>
    <t>D81RIR1SSBSF2N</t>
  </si>
  <si>
    <t>Sello separador Winters Serie D81 ISO-RING, BRIDADO SENSOR, 1", AC. INOX., BUNA-N, AC. INOX. PLATES, RELLENO DE GLIC., AC. INOX. WINCONNECT, 1/2" NPT, 150#</t>
  </si>
  <si>
    <t>D81RIR1.5SSBSF2N</t>
  </si>
  <si>
    <t>Sello separador Winters Serie D81 ISO-RING, BRIDADO SENSOR, 1,5", AC. INOX., BUNA-N, AC. INOX. PLATES, RELLENO DE GLIC., AC. INOX. WINCONNECT, 1/2" NPT, 150#</t>
  </si>
  <si>
    <t>D81RIR2SSBSF2N</t>
  </si>
  <si>
    <t>Sello separador Winters Serie D81 ISO-RING, BRIDADO SENSOR, 2", AC. INOX., BUNA-N, AC. INOX. PLATES, RELLENO DE GLIC., AC. INOX. WINCONNECT, 1/2" NPT, 150#</t>
  </si>
  <si>
    <t>D81RIR3SSBSF2N</t>
  </si>
  <si>
    <t>Sello separador Winters Serie D81 ISO-RING, BRIDADO SENSOR, 3", AC. INOX., BUNA-N, AC. INOX. PLATES, RELLENO DE GLIC., AC. INOX. WINCONNECT, 1/2" NPT, 150#</t>
  </si>
  <si>
    <t>D81RIR4SSBSF2N</t>
  </si>
  <si>
    <t>Sello separador Winters Serie D81 ISO-RING, BRIDADO SENSOR, 4", AC. INOX., BUNA-N, AC. INOX. PLATES, RELLENO DE GLIC., AC. INOX. WINCONNECT, 1/2" NPT, 150#</t>
  </si>
  <si>
    <t>D81RIR6SSBSF2N</t>
  </si>
  <si>
    <t>Sello separador Winters Serie D81 ISO-RING, BRIDADO SENSOR, 6", AC. INOX., BUNA-N, AC. INOX. PLATES, RELLENO DE GLIC., AC. INOX. WINCONNECT, 1/2" NPT, 150#</t>
  </si>
  <si>
    <t>D81RIR8SSBSF2N</t>
  </si>
  <si>
    <t>Sello separador Winters Serie D81 ISO-RING, BRIDADO SENSOR, 8", AC. INOX., BUNA-N, AC. INOX. PLATES, RELLENO DE GLIC., AC. INOX. WINCONNECT, 1/2" NPT, 150#</t>
  </si>
  <si>
    <t>D81RIR10SSBSF2N</t>
  </si>
  <si>
    <t>Sello separador Winters Serie D81 ISO-RING, BRIDADO SENSOR, 10", AC. INOX., BUNA-N, AC. INOX. PLATES, RELLENO DE GLIC., AC. INOX. WINCONNECT, 1/2" NPT, 150#</t>
  </si>
  <si>
    <t>D81RIR12SSBSF2N</t>
  </si>
  <si>
    <t>Sello separador Winters Serie D81 ISO-RING, BRIDADO SENSOR, 12", AC. INOX., BUNA-N, AC. INOX. PLATES, RELLENO DE GLIC., AC. INOX. WINCONNECT, 1/2" NPT, 150#</t>
  </si>
  <si>
    <t>D81RIR14SSBSF2N</t>
  </si>
  <si>
    <t>Sello separador Winters Serie D81 ISO-RING, BRIDADO SENSOR, 14", AC. INOX., BUNA-N, AC. INOX. PLATES, RELLENO DE GLIC., AC. INOX. WINCONNECT, 1/2" NPT, 150#</t>
  </si>
  <si>
    <t>D81RIR16SSBSF2N</t>
  </si>
  <si>
    <t>Sello separador Winters Serie D81 ISO-RING, BRIDADO SENSOR, 16", AC. INOX., BUNA-N, AC. INOX. PLATES, RELLENO DE GLIC., AC. INOX. WINCONNECT, 1/2" NPT, 150#</t>
  </si>
  <si>
    <t>D81RIR18SSBSF2N</t>
  </si>
  <si>
    <t>Sello separador Winters Serie D81 ISO-RING, BRIDADO SENSOR, 18", AC. INOX., BUNA-N, AC. INOX. PLATES, RELLENO DE GLIC., AC. INOX. WINCONNECT, 1/2" NPT, 150#</t>
  </si>
  <si>
    <t>D81RIR20SSBSF2N</t>
  </si>
  <si>
    <t>Sello separador Winters Serie D81 ISO-RING, BRIDADO SENSOR, 20", AC. INOX., BUNA-N, AC. INOX. PLATES, RELLENO DE GLIC., AC. INOX. WINCONNECT, 1/2" NPT, 150#</t>
  </si>
  <si>
    <t>D81RIR1SSBSF2N-300#</t>
  </si>
  <si>
    <t>D81RIR1.5SSBSF2N-300#</t>
  </si>
  <si>
    <t>D81RIR2SSBSF2N-300#</t>
  </si>
  <si>
    <t>D81RIR3SSBSF2N-300#</t>
  </si>
  <si>
    <t>D81RIR4SSBSF2N-300#</t>
  </si>
  <si>
    <t>D81RIR6SSBSF2N-300#</t>
  </si>
  <si>
    <t>D81RIR8SSBSF2N-300#</t>
  </si>
  <si>
    <t>D81RIR10SSBSF2N-300#</t>
  </si>
  <si>
    <t>D81RIR12SSBSF2N-300#</t>
  </si>
  <si>
    <t>D81RIR14SSBSF2N-300#</t>
  </si>
  <si>
    <t>D81RIR16SSBSF2N-300#</t>
  </si>
  <si>
    <t>D81RIR18SSBSF2N-300#</t>
  </si>
  <si>
    <t>D81RIR20SSBSF2N-300#</t>
  </si>
  <si>
    <t>D81RIR1SSESF2N</t>
  </si>
  <si>
    <t>Sello separador Winters Serie D81 ISO-RING, FLANGE SENSOR, 1", AC. INOX. CENTRE, EPDM, AC. INOX. PLATES, RELLENO DE GLIC., AC. INOX. WINCONNECT, 1/2" NPT, 150#</t>
  </si>
  <si>
    <t>D81RIR1.5SSESF2N</t>
  </si>
  <si>
    <t>Sello separador Winters Serie D81 ISO-RING, FLANGE SENSOR, 1,5", AC. INOX. CENTRE, EPDM, AC. INOX. PLATES, RELLENO DE GLIC., AC. INOX. WINCONNECT, 1/2" NPT, 150#</t>
  </si>
  <si>
    <t>D81RIR2SSESF2N</t>
  </si>
  <si>
    <t>Sello separador Winters Serie D81 ISO-RING, FLANGE SENSOR, 2", AC. INOX. CENTRE, EPDM, AC. INOX. PLATES, RELLENO DE GLIC., AC. INOX. WINCONNECT, 1/2" NPT, 150#</t>
  </si>
  <si>
    <t>D81RIR3SSESF2N</t>
  </si>
  <si>
    <t>Sello separador Winters Serie D81 ISO-RING, FLANGE SENSOR, 3", AC. INOX. CENTRE, EPDM, AC. INOX. PLATES, RELLENO DE GLIC., AC. INOX. WINCONNECT, 1/2" NPT, 150#</t>
  </si>
  <si>
    <t>D81RIR4SSESF2N</t>
  </si>
  <si>
    <t>Sello separador Winters Serie D81 ISO-RING, FLANGE SENSOR, 4", AC. INOX. CENTRE, EPDM, AC. INOX. PLATES, RELLENO DE GLIC., AC. INOX. WINCONNECT, 1/2" NPT, 150#</t>
  </si>
  <si>
    <t>D81RIR6SSESF2N</t>
  </si>
  <si>
    <t>Sello separador Winters Serie D81 ISO-RING, FLANGE SENSOR, 6", AC. INOX. CENTRE, EPDM, AC. INOX. PLATES, RELLENO DE GLIC., AC. INOX. WINCONNECT, 1/2" NPT, 150#</t>
  </si>
  <si>
    <t>D81RIR8SSESF2N</t>
  </si>
  <si>
    <t>Sello separador Winters Serie D81 ISO-RING, FLANGE SENSOR, 8", AC. INOX. CENTRE, EPDM, AC. INOX. PLATES, RELLENO DE GLIC., AC. INOX. WINCONNECT, 1/2" NPT, 150#</t>
  </si>
  <si>
    <t>D81RIR10SSESF2N</t>
  </si>
  <si>
    <t>Sello separador Winters Serie D81 ISO-RING, FLANGE SENSOR, 10", AC. INOX. CENTRE, EPDM, AC. INOX. PLATES, RELLENO DE GLIC., AC. INOX. WINCONNECT, 1/2" NPT, 150#</t>
  </si>
  <si>
    <t>D81RIR12SSESF2N</t>
  </si>
  <si>
    <t>Sello separador Winters Serie D81 ISO-RING, FLANGE SENSOR, 12", AC. INOX. CENTRE, EPDM, AC. INOX. PLATES, RELLENO DE GLIC., AC. INOX. WINCONNECT, 1/2" NPT, 150#</t>
  </si>
  <si>
    <t>D81RIR14SSESF2N</t>
  </si>
  <si>
    <t>Sello separador Winters Serie D81 ISO-RING, FLANGE SENSOR, 14", AC. INOX. CENTRE, EPDM, AC. INOX. PLATES, RELLENO DE GLIC., AC. INOX. WINCONNECT, 1/2" NPT, 150#</t>
  </si>
  <si>
    <t>D81RIR16SSESF2N</t>
  </si>
  <si>
    <t>Sello separador Winters Serie D81 ISO-RING, FLANGE SENSOR, 16", AC. INOX. CENTRE, EPDM, AC. INOX. PLATES, RELLENO DE GLIC., AC. INOX. WINCONNECT, 1/2" NPT, 150#</t>
  </si>
  <si>
    <t>D81RIR18SSESF2N</t>
  </si>
  <si>
    <t>Sello separador Winters Serie D81 ISO-RING, FLANGE SENSOR, 18", AC. INOX. CENTRE, EPDM, AC. INOX. PLATES, RELLENO DE GLIC., AC. INOX. WINCONNECT, 1/2" NPT, 150#</t>
  </si>
  <si>
    <t>D81RIR20SSESF2N</t>
  </si>
  <si>
    <t>Sello separador Winters Serie D81 ISO-RING, FLANGE SENSOR, 20", AC. INOX. CENTRE, EPDM, AC. INOX. PLATES, RELLENO DE GLIC., AC. INOX. WINCONNECT, 1/2" NPT, 150#</t>
  </si>
  <si>
    <t>D81RIR30SSESF2N</t>
  </si>
  <si>
    <t>Sello separador Winters Serie D81 ISO-RING, FLANGE SENSOR, 30", AC. INOX. CENTRE, EPDM, AC. INOX. PLATES, RELLENO DE GLIC., AC. INOX. WINCONNECT, 1/2" NPT, 150#</t>
  </si>
  <si>
    <t>D81RIR1SSESF2N-300#</t>
  </si>
  <si>
    <t>Sello separador Winters Serie D81 ISO-RING, FLANGE SENSOR, 1", AC. INOX. CENTRE, EPDM, AC. INOX. PLATES, RELLENO DE GLIC., AC. INOX. WINCONNECT, 1/2" NPT, 300#</t>
  </si>
  <si>
    <t>D81RIR1.5SSESF2N-300#</t>
  </si>
  <si>
    <t>Sello separador Winters Serie D81 ISO-RING, FLANGE SENSOR, 1,5", AC. INOX. CENTRE, EPDM, AC. INOX. PLATES, RELLENO DE GLIC., AC. INOX. WINCONNECT, 1/2" NPT, 300#</t>
  </si>
  <si>
    <t>D81RIR2SSESF2N-300#</t>
  </si>
  <si>
    <t>Sello separador Winters Serie D81 ISO-RING, FLANGE SENSOR, 2", AC. INOX. CENTRE, EPDM, AC. INOX. PLATES, RELLENO DE GLIC., AC. INOX. WINCONNECT, 1/2" NPT, 300#</t>
  </si>
  <si>
    <t>D81RIR3SSESF2N-300#</t>
  </si>
  <si>
    <t>Sello separador Winters Serie D81 ISO-RING, FLANGE SENSOR, 3", AC. INOX. CENTRE, EPDM, AC. INOX. PLATES, RELLENO DE GLIC., AC. INOX. WINCONNECT, 1/2" NPT, 300#</t>
  </si>
  <si>
    <t>D81RIR4SSESF2N-300#</t>
  </si>
  <si>
    <t>Sello separador Winters Serie D81 ISO-RING, FLANGE SENSOR, 4", AC. INOX. CENTRE, EPDM, AC. INOX. PLATES, RELLENO DE GLIC., AC. INOX. WINCONNECT, 1/2" NPT, 300#</t>
  </si>
  <si>
    <t>D81RIR6SSESF2N-300#</t>
  </si>
  <si>
    <t>Sello separador Winters Serie D81 ISO-RING, FLANGE SENSOR, 6", AC. INOX. CENTRE, EPDM, AC. INOX. PLATES, RELLENO DE GLIC., AC. INOX. WINCONNECT, 1/2" NPT, 300#</t>
  </si>
  <si>
    <t>D81RIR8SSESF2N-300#</t>
  </si>
  <si>
    <t>Sello separador Winters Serie D81 ISO-RING, FLANGE SENSOR, 8", AC. INOX. CENTRE, EPDM, AC. INOX. PLATES, RELLENO DE GLIC., AC. INOX. WINCONNECT, 1/2" NPT, 300#</t>
  </si>
  <si>
    <t>D81RIR10SSESF2N-300#</t>
  </si>
  <si>
    <t>Sello separador Winters Serie D81 ISO-RING, FLANGE SENSOR, 10", AC. INOX. CENTRE, EPDM, AC. INOX. PLATES, RELLENO DE GLIC., AC. INOX. WINCONNECT, 1/2" NPT, 300#</t>
  </si>
  <si>
    <t>D81RIR12SSESF2N-300#</t>
  </si>
  <si>
    <t>Sello separador Winters Serie D81 ISO-RING, FLANGE SENSOR, 12", AC. INOX. CENTRE, EPDM, AC. INOX. PLATES, RELLENO DE GLIC., AC. INOX. WINCONNECT, 1/2" NPT, 300#</t>
  </si>
  <si>
    <t>D81RIR14SSESF2N-300#</t>
  </si>
  <si>
    <t>Sello separador Winters Serie D81 ISO-RING, FLANGE SENSOR, 14", AC. INOX. CENTRE, EPDM, AC. INOX. PLATES, RELLENO DE GLIC., AC. INOX. WINCONNECT, 1/2" NPT, 300#</t>
  </si>
  <si>
    <t>D81RIR16SSESF2N-300#</t>
  </si>
  <si>
    <t>Sello separador Winters Serie D81 ISO-RING, FLANGE SENSOR, 16", AC. INOX. CENTRE, EPDM, AC. INOX. PLATES, RELLENO DE GLIC., AC. INOX. WINCONNECT, 1/2" NPT, 300#</t>
  </si>
  <si>
    <t>D81RIR18SSESF2N-300#</t>
  </si>
  <si>
    <t>Sello separador Winters Serie D81 ISO-RING, FLANGE SENSOR, 18", AC. INOX. CENTRE, EPDM, AC. INOX. PLATES, RELLENO DE GLIC., AC. INOX. WINCONNECT, 1/2" NPT, 300#</t>
  </si>
  <si>
    <t>D81RIR20SSESF2N-300#</t>
  </si>
  <si>
    <t>Sello separador Winters Serie D81 ISO-RING, FLANGE SENSOR, 20", AC. INOX. CENTRE, EPDM, AC. INOX. PLATES, RELLENO DE GLIC., AC. INOX. WINCONNECT, 1/2" NPT, 300#</t>
  </si>
  <si>
    <t>D81RIR30SSESF2N-300#</t>
  </si>
  <si>
    <t>Sello separador Winters Serie D81 ISO-RING, FLANGE SENSOR, 30", AC. INOX. CENTRE, EPDM, AC. INOX. PLATES, RELLENO DE GLIC., AC. INOX. WINCONNECT, 1/2" NPT, 300#</t>
  </si>
  <si>
    <t>D81RIR1SSNSF2N</t>
  </si>
  <si>
    <t>Sello separador Winters Serie D81 ISO-RING, FLANGE SENSOR, 1", AC. INOX. CENTRE, NEOPRENE, AC. INOX. PLATES, RELLENO DE GLIC., AC. INOX. WINCONNECT, 1/2" NPT, 150#</t>
  </si>
  <si>
    <t>D81RIR1.5SSNSF2N</t>
  </si>
  <si>
    <t>Sello separador Winters Serie D81 ISO-RING, FLANGE SENSOR, 1,5", AC. INOX. CENTRE, NEOPRENE, AC. INOX. PLATES, RELLENO DE GLIC., AC. INOX. WINCONNECT, 1/2" NPT, 150#</t>
  </si>
  <si>
    <t>D81RIR2SSNSF2N</t>
  </si>
  <si>
    <t>Sello separador Winters Serie D81 ISO-RING, FLANGE SENSOR, 2", AC. INOX. CENTRE, NEOPRENE, AC. INOX. PLATES, RELLENO DE GLIC., AC. INOX. WINCONNECT, 1/2" NPT, 150#</t>
  </si>
  <si>
    <t>D81RIR3SSNSF2N</t>
  </si>
  <si>
    <t>Sello separador Winters Serie D81 ISO-RING, FLANGE SENSOR, 3", AC. INOX. CENTRE, NEOPRENE, AC. INOX. PLATES, RELLENO DE GLIC., AC. INOX. WINCONNECT, 1/2" NPT, 150#</t>
  </si>
  <si>
    <t>D81RIR4SSNSF2N</t>
  </si>
  <si>
    <t>Sello separador Winters Serie D81 ISO-RING, FLANGE SENSOR, 4", AC. INOX. CENTRE, NEOPRENE, AC. INOX. PLATES, RELLENO DE GLIC., AC. INOX. WINCONNECT, 1/2" NPT, 150#</t>
  </si>
  <si>
    <t>D81RIR6SSNSF2N</t>
  </si>
  <si>
    <t>Sello separador Winters Serie D81 ISO-RING, FLANGE SENSOR, 6", AC. INOX. CENTRE, NEOPRENE, AC. INOX. PLATES, RELLENO DE GLIC., AC. INOX. WINCONNECT, 1/2" NPT, 150#</t>
  </si>
  <si>
    <t>D81RIR8SSNSF2N</t>
  </si>
  <si>
    <t>Sello separador Winters Serie D81 ISO-RING, FLANGE SENSOR, 8", AC. INOX. CENTRE, NEOPRENE, AC. INOX. PLATES, RELLENO DE GLIC., AC. INOX. WINCONNECT, 1/2" NPT, 150#</t>
  </si>
  <si>
    <t>D81RIR10SSNSF2N</t>
  </si>
  <si>
    <t>Sello separador Winters Serie D81 ISO-RING, FLANGE SENSOR, 10", AC. INOX. CENTRE, NEOPRENE, AC. INOX. PLATES, RELLENO DE GLIC., AC. INOX. WINCONNECT, 1/2" NPT, 150#</t>
  </si>
  <si>
    <t>D81RIR12SSNSF2N</t>
  </si>
  <si>
    <t>Sello separador Winters Serie D81 ISO-RING, FLANGE SENSOR, 12", AC. INOX. CENTRE, NEOPRENE, AC. INOX. PLATES, RELLENO DE GLIC., AC. INOX. WINCONNECT, 1/2" NPT, 150#</t>
  </si>
  <si>
    <t>D81RIR14SSNSF2N</t>
  </si>
  <si>
    <t>Sello separador Winters Serie D81 ISO-RING, FLANGE SENSOR, 14", AC. INOX. CENTRE, NEOPRENE, AC. INOX. PLATES, RELLENO DE GLIC., AC. INOX. WINCONNECT, 1/2" NPT, 150#</t>
  </si>
  <si>
    <t>D81RIR16SSNSF2N</t>
  </si>
  <si>
    <t>Sello separador Winters Serie D81 ISO-RING, FLANGE SENSOR, 16", AC. INOX. CENTRE, NEOPRENE, AC. INOX. PLATES, RELLENO DE GLIC., AC. INOX. WINCONNECT, 1/2" NPT, 150#</t>
  </si>
  <si>
    <t>D81RIR18SSNSF2N</t>
  </si>
  <si>
    <t>Sello separador Winters Serie D81 ISO-RING, FLANGE SENSOR, 18", AC. INOX. CENTRE, NEOPRENE, AC. INOX. PLATES, RELLENO DE GLIC., AC. INOX. WINCONNECT, 1/2" NPT, 150#</t>
  </si>
  <si>
    <t>D81RIR20SSNSF2N</t>
  </si>
  <si>
    <t>Sello separador Winters Serie D81 ISO-RING, FLANGE SENSOR, 20", AC. INOX. CENTRE, NEOPRENE, AC. INOX. PLATES, RELLENO DE GLIC., AC. INOX. WINCONNECT, 1/2" NPT, 150#</t>
  </si>
  <si>
    <t>D81RIR30SSNSF2N</t>
  </si>
  <si>
    <t>Sello separador Winters Serie D81 ISO-RING, FLANGE SENSOR, 30", AC. INOX. CENTRE, NEOPRENE, AC. INOX. PLATES, RELLENO DE GLIC., AC. INOX. WINCONNECT, 1/2" NPT, 150#</t>
  </si>
  <si>
    <t>D81RIR1SSNSF2N-300#</t>
  </si>
  <si>
    <t>Sello separador Winters Serie D81 ISO-RING, FLANGE SENSOR, 1", AC. INOX. CENTRE, NEOPRENE, AC. INOX. PLATES, RELLENO DE GLIC., AC. INOX. WINCONNECT, 1/2" NPT, 300#</t>
  </si>
  <si>
    <t>D81RIR1.5SSNSF2N-300#</t>
  </si>
  <si>
    <t>Sello separador Winters Serie D81 ISO-RING, FLANGE SENSOR, 1,5", AC. INOX. CENTRE, NEOPRENE, AC. INOX. PLATES, RELLENO DE GLIC., AC. INOX. WINCONNECT, 1/2" NPT, 300#</t>
  </si>
  <si>
    <t>D81RIR2SSNSF2N-300#</t>
  </si>
  <si>
    <t>Sello separador Winters Serie D81 ISO-RING, FLANGE SENSOR, 2", AC. INOX. CENTRE, NEOPRENE, AC. INOX. PLATES, RELLENO DE GLIC., AC. INOX. WINCONNECT, 1/2" NPT, 300#</t>
  </si>
  <si>
    <t>D81RIR3SSNSF2N-300#</t>
  </si>
  <si>
    <t>Sello separador Winters Serie D81 ISO-RING, FLANGE SENSOR, 3", AC. INOX. CENTRE, NEOPRENE, AC. INOX. PLATES, RELLENO DE GLIC., AC. INOX. WINCONNECT, 1/2" NPT, 300#</t>
  </si>
  <si>
    <t>D81RIR4SSNSF2N-300#</t>
  </si>
  <si>
    <t>Sello separador Winters Serie D81 ISO-RING, FLANGE SENSOR, 4", AC. INOX. CENTRE, NEOPRENE, AC. INOX. PLATES, RELLENO DE GLIC., AC. INOX. WINCONNECT, 1/2" NPT, 300#</t>
  </si>
  <si>
    <t>D81RIR6SSNSF2N-300#</t>
  </si>
  <si>
    <t>Sello separador Winters Serie D81 ISO-RING, FLANGE SENSOR, 6", AC. INOX. CENTRE, NEOPRENE, AC. INOX. PLATES, RELLENO DE GLIC., AC. INOX. WINCONNECT, 1/2" NPT, 300#</t>
  </si>
  <si>
    <t>D81RIR8SSNSF2N-300#</t>
  </si>
  <si>
    <t>Sello separador Winters Serie D81 ISO-RING, FLANGE SENSOR, 8", AC. INOX. CENTRE, NEOPRENE, AC. INOX. PLATES, RELLENO DE GLIC., AC. INOX. WINCONNECT, 1/2" NPT, 300#</t>
  </si>
  <si>
    <t>D81RIR10SSNSF2N-300#</t>
  </si>
  <si>
    <t>Sello separador Winters Serie D81 ISO-RING, FLANGE SENSOR, 10", AC. INOX. CENTRE, NEOPRENE, AC. INOX. PLATES, RELLENO DE GLIC., AC. INOX. WINCONNECT, 1/2" NPT, 300#</t>
  </si>
  <si>
    <t>D81RIR12SSNSF2N-300#</t>
  </si>
  <si>
    <t>Sello separador Winters Serie D81 ISO-RING, FLANGE SENSOR, 12", AC. INOX. CENTRE, NEOPRENE, AC. INOX. PLATES, RELLENO DE GLIC., AC. INOX. WINCONNECT, 1/2" NPT, 300#</t>
  </si>
  <si>
    <t>D81RIR14SSNSF2N-300#</t>
  </si>
  <si>
    <t>Sello separador Winters Serie D81 ISO-RING, FLANGE SENSOR, 14", AC. INOX. CENTRE, NEOPRENE, AC. INOX. PLATES, RELLENO DE GLIC., AC. INOX. WINCONNECT, 1/2" NPT, 300#</t>
  </si>
  <si>
    <t>D81RIR16SSNSF2N-300#</t>
  </si>
  <si>
    <t>Sello separador Winters Serie D81 ISO-RING, FLANGE SENSOR, 16", AC. INOX. CENTRE, NEOPRENE, AC. INOX. PLATES, RELLENO DE GLIC., AC. INOX. WINCONNECT, 1/2" NPT, 300#</t>
  </si>
  <si>
    <t>D81RIR18SSNSF2N-300#</t>
  </si>
  <si>
    <t>Sello separador Winters Serie D81 ISO-RING, FLANGE SENSOR, 18", AC. INOX. CENTRE, NEOPRENE, AC. INOX. PLATES, RELLENO DE GLIC., AC. INOX. WINCONNECT, 1/2" NPT, 300#</t>
  </si>
  <si>
    <t>D81RIR20SSNSF2N-300#</t>
  </si>
  <si>
    <t>Sello separador Winters Serie D81 ISO-RING, FLANGE SENSOR, 20", AC. INOX. CENTRE, NEOPRENE, AC. INOX. PLATES, RELLENO DE GLIC., AC. INOX. WINCONNECT, 1/2" NPT, 300#</t>
  </si>
  <si>
    <t>D81RIR30SSNSF2N-300#</t>
  </si>
  <si>
    <t>Sello separador Winters Serie D81 ISO-RING, FLANGE SENSOR, 30", AC. INOX. CENTRE, NEOPRENE, AC. INOX. PLATES, RELLENO DE GLIC., AC. INOX. WINCONNECT, 1/2" NPT, 300#</t>
  </si>
  <si>
    <t>D81RIR1SSPSF2N</t>
  </si>
  <si>
    <t>Sello separador Winters Serie D81 ISO-RING, FLANGE SENSOR, 1", AC. INOX. CENTRE, PTFE, AC. INOX. PLATES, RELLENO DE GLIC., AC. INOX. WINCONNECT, 1/2" NPT, 150#</t>
  </si>
  <si>
    <t>D81RIR1.5SSPSF2N</t>
  </si>
  <si>
    <t>Sello separador Winters Serie D81 ISO-RING, FLANGE SENSOR, 1,5", AC. INOX. CENTRE, PTFE, AC. INOX. PLATES, RELLENO DE GLIC., AC. INOX. WINCONNECT, 1/2" NPT, 150#</t>
  </si>
  <si>
    <t>D81RIR2SSPSF2N</t>
  </si>
  <si>
    <t>Sello separador Winters Serie D81 ISO-RING, FLANGE SENSOR, 2", AC. INOX. CENTRE, PTFE, AC. INOX. PLATES, RELLENO DE GLIC., AC. INOX. WINCONNECT, 1/2" NPT, 150#</t>
  </si>
  <si>
    <t>D81RIR2.5SSPSF2N</t>
  </si>
  <si>
    <t>Sello separador Winters Serie D81 ISO-RING, FLANGE SENSOR, 2,5", AC. INOX. CENTRE, PTFE, AC. INOX. PLATES, RELLENO DE GLIC., AC. INOX. WINCONNECT, 1/2" NPT, 150#</t>
  </si>
  <si>
    <t>D81RIR3SSPSF2N</t>
  </si>
  <si>
    <t>Sello separador Winters Serie D81 ISO-RING, FLANGE SENSOR, 3", AC. INOX. CENTRE, PTFE, AC. INOX. PLATES, RELLENO DE GLIC., AC. INOX. WINCONNECT, 1/2" NPT, 150#</t>
  </si>
  <si>
    <t>D81RIR4SSPSF2N</t>
  </si>
  <si>
    <t>Sello separador Winters Serie D81 ISO-RING, FLANGE SENSOR, 4", AC. INOX. CENTRE, PTFE, AC. INOX. PLATES, RELLENO DE GLIC., AC. INOX. WINCONNECT, 1/2" NPT, 150#</t>
  </si>
  <si>
    <t>D81RIR6SSPSF2N</t>
  </si>
  <si>
    <t>Sello separador Winters Serie D81 ISO-RING, FLANGE SENSOR, 6", AC. INOX. CENTRE, PTFE, AC. INOX. PLATES, RELLENO DE GLIC., AC. INOX. WINCONNECT, 1/2" NPT, 150#</t>
  </si>
  <si>
    <t>D81RIR8SSPSF2N</t>
  </si>
  <si>
    <t>Sello separador Winters Serie D81 ISO-RING, FLANGE SENSOR, 8", AC. INOX. CENTRE, PTFE, AC. INOX. PLATES, RELLENO DE GLIC., AC. INOX. WINCONNECT, 1/2" NPT, 150#</t>
  </si>
  <si>
    <t>D81RIR10SSPSF2N</t>
  </si>
  <si>
    <t>Sello separador Winters Serie D81 ISO-RING, FLANGE SENSOR, 10", AC. INOX. CENTRE, PTFE, AC. INOX. PLATES, RELLENO DE GLIC., AC. INOX. WINCONNECT, 1/2" NPT, 150#</t>
  </si>
  <si>
    <t>D81RIR12SSPSF2N</t>
  </si>
  <si>
    <t>Sello separador Winters Serie D81 ISO-RING, FLANGE SENSOR, 12", AC. INOX. CENTRE, PTFE, AC. INOX. PLATES, RELLENO DE GLIC., AC. INOX. WINCONNECT, 1/2" NPT, 150#</t>
  </si>
  <si>
    <t>D81RIR14SSPSF2N</t>
  </si>
  <si>
    <t>Sello separador Winters Serie D81 ISO-RING, FLANGE SENSOR, 14", AC. INOX. CENTRE, PTFE, AC. INOX. PLATES, RELLENO DE GLIC., AC. INOX. WINCONNECT, 1/2" NPT, 150#</t>
  </si>
  <si>
    <t>D81RIR16SSPSF2N</t>
  </si>
  <si>
    <t>Sello separador Winters Serie D81 ISO-RING, FLANGE SENSOR, 16", AC. INOX. CENTRE, PTFE, AC. INOX. PLATES, RELLENO DE GLIC., AC. INOX. WINCONNECT, 1/2" NPT, 150#</t>
  </si>
  <si>
    <t>D81RIR18SSPSF2N</t>
  </si>
  <si>
    <t>Sello separador Winters Serie D81 ISO-RING, FLANGE SENSOR, 18", AC. INOX. CENTRE, PTFE, AC. INOX. PLATES, RELLENO DE GLIC., AC. INOX. WINCONNECT, 1/2" NPT, 150#</t>
  </si>
  <si>
    <t>D81RIR20SSPSF2N</t>
  </si>
  <si>
    <t>Sello separador Winters Serie D81 ISO-RING, FLANGE SENSOR, 20", AC. INOX. CENTRE, PTFE, AC. INOX. PLATES, RELLENO DE GLIC., AC. INOX. WINCONNECT, 1/2" NPT, 150#</t>
  </si>
  <si>
    <t>D81RIR22SSPSF2N</t>
  </si>
  <si>
    <t>Sello separador Winters Serie D81 ISO-RING, FLANGE SENSOR, 22", AC. INOX. CENTRE, PTFE, AC. INOX. PLATES, RELLENO DE GLIC., AC. INOX. WINCONNECT, 1/2" NPT, 150#</t>
  </si>
  <si>
    <t>D81RIR24SSPSF2N</t>
  </si>
  <si>
    <t>Sello separador Winters Serie D81 ISO-RING, FLANGE SENSOR, 24", AC. INOX. CENTRE, PTFE, AC. INOX. PLATES, RELLENO DE GLIC., AC. INOX. WINCONNECT, 1/2" NPT, 150#</t>
  </si>
  <si>
    <t>D81RIR1SSPSF2N-300#</t>
  </si>
  <si>
    <t>Sello separador Winters Serie D81 ISO-RING, FLANGE SENSOR, 1", AC. INOX. CENTRE, PTFE, AC. INOX. PLATES, RELLENO DE GLIC., AC. INOX. WINCONNECT, 1/2" NPT, 300#</t>
  </si>
  <si>
    <t>D81RIR1.5SSPSF2N-300#</t>
  </si>
  <si>
    <t>Sello separador Winters Serie D81 ISO-RING, FLANGE SENSOR, 1,5", AC. INOX. CENTRE, PTFE, AC. INOX. PLATES, RELLENO DE GLIC., AC. INOX. WINCONNECT, 1/2" NPT, 300#</t>
  </si>
  <si>
    <t>D81RIR2SSPSF2N-300#</t>
  </si>
  <si>
    <t>Sello separador Winters Serie D81 ISO-RING, FLANGE SENSOR, 2", AC. INOX. CENTRE, PTFE, AC. INOX. PLATES, RELLENO DE GLIC., AC. INOX. WINCONNECT, 1/2" NPT, 300#</t>
  </si>
  <si>
    <t>D81RIR2.5SSPSF2N-300#</t>
  </si>
  <si>
    <t>Sello separador Winters Serie D81 ISO-RING, FLANGE SENSOR, 2,5", AC. INOX. CENTRE, PTFE, AC. INOX. PLATES, RELLENO DE GLIC., AC. INOX. WINCONNECT, 1/2" NPT, 300#</t>
  </si>
  <si>
    <t>D81RIR3SSPSF2N-300#</t>
  </si>
  <si>
    <t>Sello separador Winters Serie D81 ISO-RING, FLANGE SENSOR, 3", AC. INOX. CENTRE, PTFE, AC. INOX. PLATES, RELLENO DE GLIC., AC. INOX. WINCONNECT, 1/2" NPT, 300#</t>
  </si>
  <si>
    <t>D81RIR4SSPSF2N-300#</t>
  </si>
  <si>
    <t>Sello separador Winters Serie D81 ISO-RING, FLANGE SENSOR, 4", AC. INOX. CENTRE, PTFE, AC. INOX. PLATES, RELLENO DE GLIC., AC. INOX. WINCONNECT, 1/2" NPT, 300#</t>
  </si>
  <si>
    <t>D81RIR6SSPSF2N-300#</t>
  </si>
  <si>
    <t>Sello separador Winters Serie D81 ISO-RING, FLANGE SENSOR, 6", AC. INOX. CENTRE, PTFE, AC. INOX. PLATES, RELLENO DE GLIC., AC. INOX. WINCONNECT, 1/2" NPT, 300#</t>
  </si>
  <si>
    <t>D81RIR8SSPSF2N-300#</t>
  </si>
  <si>
    <t>Sello separador Winters Serie D81 ISO-RING, FLANGE SENSOR, 8", AC. INOX. CENTRE, PTFE, AC. INOX. PLATES, RELLENO DE GLIC., AC. INOX. WINCONNECT, 1/2" NPT, 300#</t>
  </si>
  <si>
    <t>D81RIR10SSPSF2N-300#</t>
  </si>
  <si>
    <t>Sello separador Winters Serie D81 ISO-RING, FLANGE SENSOR, 10", AC. INOX. CENTRE, PTFE, AC. INOX. PLATES, RELLENO DE GLIC., AC. INOX. WINCONNECT, 1/2" NPT, 300#</t>
  </si>
  <si>
    <t>D81RIR12SSPSF2N-300#</t>
  </si>
  <si>
    <t>Sello separador Winters Serie D81 ISO-RING, FLANGE SENSOR, 12", AC. INOX. CENTRE, PTFE, AC. INOX. PLATES, RELLENO DE GLIC., AC. INOX. WINCONNECT, 1/2" NPT, 300#</t>
  </si>
  <si>
    <t>D81RIR14SSPSF2N-300#</t>
  </si>
  <si>
    <t>Sello separador Winters Serie D81 ISO-RING, FLANGE SENSOR, 14", AC. INOX. CENTRE, PTFE, AC. INOX. PLATES, RELLENO DE GLIC., AC. INOX. WINCONNECT, 1/2" NPT, 300#</t>
  </si>
  <si>
    <t>D81RIR16SSPSF2N-300#</t>
  </si>
  <si>
    <t>Sello separador Winters Serie D81 ISO-RING, FLANGE SENSOR, 16", AC. INOX. CENTRE, PTFE, AC. INOX. PLATES, RELLENO DE GLIC., AC. INOX. WINCONNECT, 1/2" NPT, 300#</t>
  </si>
  <si>
    <t>D81RIR18SSPSF2N-300#</t>
  </si>
  <si>
    <t>Sello separador Winters Serie D81 ISO-RING, FLANGE SENSOR, 18", AC. INOX. CENTRE, PTFE, AC. INOX. PLATES, RELLENO DE GLIC., AC. INOX. WINCONNECT, 1/2" NPT, 300#</t>
  </si>
  <si>
    <t>D81RIR22SSPSF2N-300#</t>
  </si>
  <si>
    <t>Sello separador Winters Serie D81 ISO-RING, FLANGE SENSOR, 22", AC. INOX. CENTRE, PTFE, AC. INOX. PLATES, RELLENO DE GLIC., AC. INOX. WINCONNECT, 1/2" NPT, 300#</t>
  </si>
  <si>
    <t>D81RIR24SSPSF2N-300#</t>
  </si>
  <si>
    <t>Sello separador Winters Serie D81 ISO-RING, FLANGE SENSOR, 24", AC. INOX. CENTRE, PTFE, AC. INOX. PLATES, RELLENO DE GLIC., AC. INOX. WINCONNECT, 1/2" NPT, 300#</t>
  </si>
  <si>
    <t>D81RIR1SSRSF2N</t>
  </si>
  <si>
    <t>Sello separador Winters Serie D81 ISO-RING, FLANGE SENSOR, 1", AC. INOX. CENTRE, NATURAL RUBBER, AC. INOX. PLATES, RELLENO DE GLIC., AC. INOX. WINCONNECT, 1/2" NPT, 150#</t>
  </si>
  <si>
    <t>D81RIR1.5SSRSF2N</t>
  </si>
  <si>
    <t>Sello separador Winters Serie D81 ISO-RING, FLANGE SENSOR, 1,5", AC. INOX. CENTRE, NATURAL RUBBER, AC. INOX. PLATES, RELLENO DE GLIC., AC. INOX. WINCONNECT, 1/2" NPT, 150#</t>
  </si>
  <si>
    <t>D81RIR2SSRSF2N</t>
  </si>
  <si>
    <t>Sello separador Winters Serie D81 ISO-RING, FLANGE SENSOR, 2", AC. INOX. CENTRE, NATURAL RUBBER, AC. INOX. PLATES, RELLENO DE GLIC., AC. INOX. WINCONNECT, 1/2" NPT, 150#</t>
  </si>
  <si>
    <t>D81RIR3SSRSF2N</t>
  </si>
  <si>
    <t>Sello separador Winters Serie D81 ISO-RING, FLANGE SENSOR, 3", AC. INOX. CENTRE, NATURAL RUBBER, AC. INOX. PLATES, RELLENO DE GLIC., AC. INOX. WINCONNECT, 1/2" NPT, 150#</t>
  </si>
  <si>
    <t>D81RIR4SSRSF2N</t>
  </si>
  <si>
    <t>Sello separador Winters Serie D81 ISO-RING, FLANGE SENSOR, 4", AC. INOX. CENTRE, NATURAL RUBBER, AC. INOX. PLATES, RELLENO DE GLIC., AC. INOX. WINCONNECT, 1/2" NPT, 150#</t>
  </si>
  <si>
    <t>D81RIR6SSRSF2N</t>
  </si>
  <si>
    <t>Sello separador Winters Serie D81 ISO-RING, FLANGE SENSOR, 6", AC. INOX. CENTRE, NATURAL RUBBER, AC. INOX. PLATES, RELLENO DE GLIC., AC. INOX. WINCONNECT, 1/2" NPT, 150#</t>
  </si>
  <si>
    <t>D81RIR8SSRSF2N</t>
  </si>
  <si>
    <t>Sello separador Winters Serie D81 ISO-RING, FLANGE SENSOR, 8", AC. INOX. CENTRE, NATURAL RUBBER, AC. INOX. PLATES, RELLENO DE GLIC., AC. INOX. WINCONNECT, 1/2" NPT, 150#</t>
  </si>
  <si>
    <t>D81RIR10SSRSF2N</t>
  </si>
  <si>
    <t>Sello separador Winters Serie D81 ISO-RING, FLANGE SENSOR, 10", AC. INOX. CENTRE, NATURAL RUBBER, AC. INOX. PLATES, RELLENO DE GLIC., AC. INOX. WINCONNECT, 1/2" NPT, 150#</t>
  </si>
  <si>
    <t>D81RIR12SSRSF2N</t>
  </si>
  <si>
    <t>Sello separador Winters Serie D81 ISO-RING, FLANGE SENSOR, 12", AC. INOX. CENTRE, NATURAL RUBBER, AC. INOX. PLATES, RELLENO DE GLIC., AC. INOX. WINCONNECT, 1/2" NPT, 150#</t>
  </si>
  <si>
    <t>D81RIR14SSRSF2N</t>
  </si>
  <si>
    <t>Sello separador Winters Serie D81 ISO-RING, FLANGE SENSOR, 14", AC. INOX. CENTRE, NATURAL RUBBER, AC. INOX. PLATES, RELLENO DE GLIC., AC. INOX. WINCONNECT, 1/2" NPT, 150#</t>
  </si>
  <si>
    <t>D81RIR16SSRSF2N</t>
  </si>
  <si>
    <t>Sello separador Winters Serie D81 ISO-RING, FLANGE SENSOR, 16", AC. INOX. CENTRE, NATURAL RUBBER, AC. INOX. PLATES, RELLENO DE GLIC., AC. INOX. WINCONNECT, 1/2" NPT, 150#</t>
  </si>
  <si>
    <t>D81RIR18SSRSF2N</t>
  </si>
  <si>
    <t>Sello separador Winters Serie D81 ISO-RING, FLANGE SENSOR, 18", AC. INOX. CENTRE, NATURAL RUBBER, AC. INOX. PLATES, RELLENO DE GLIC., AC. INOX. WINCONNECT, 1/2" NPT, 150#</t>
  </si>
  <si>
    <t>D81RIR20SSRSF2N</t>
  </si>
  <si>
    <t>Sello separador Winters Serie D81 ISO-RING, FLANGE SENSOR, 20", AC. INOX. CENTRE, NATURAL RUBBER, AC. INOX. PLATES, RELLENO DE GLIC., AC. INOX. WINCONNECT, 1/2" NPT, 150#</t>
  </si>
  <si>
    <t>D81RIR1SSRSF2N-300#</t>
  </si>
  <si>
    <t>Sello separador Winters Serie D81 ISO-RING, FLANGE SENSOR, 1", AC. INOX. CENTRE, NATURAL RUBBER, AC. INOX. PLATES, RELLENO DE GLIC., AC. INOX. WINCONNECT, 1/2" NPT, 300#</t>
  </si>
  <si>
    <t>D81RIR1.5SSRSF2N-300#</t>
  </si>
  <si>
    <t>Sello separador Winters Serie D81 ISO-RING, FLANGE SENSOR, 1,5", AC. INOX. CENTRE, NATURAL RUBBER, AC. INOX. PLATES, RELLENO DE GLIC., AC. INOX. WINCONNECT, 1/2" NPT, 300#</t>
  </si>
  <si>
    <t>D81RIR2SSRSF2N-300#</t>
  </si>
  <si>
    <t>Sello separador Winters Serie D81 ISO-RING, FLANGE SENSOR, 2", AC. INOX. CENTRE, NATURAL RUBBER, AC. INOX. PLATES, RELLENO DE GLIC., AC. INOX. WINCONNECT, 1/2" NPT, 300#</t>
  </si>
  <si>
    <t>D81RIR3SSRSF2N-300#</t>
  </si>
  <si>
    <t>Sello separador Winters Serie D81 ISO-RING, FLANGE SENSOR, 3", AC. INOX. CENTRE, NATURAL RUBBER, AC. INOX. PLATES, RELLENO DE GLIC., AC. INOX. WINCONNECT, 1/2" NPT, 300#</t>
  </si>
  <si>
    <t>D81RIR4SSRSF2N-300#</t>
  </si>
  <si>
    <t>Sello separador Winters Serie D81 ISO-RING, FLANGE SENSOR, 4", AC. INOX. CENTRE, NATURAL RUBBER, AC. INOX. PLATES, RELLENO DE GLIC., AC. INOX. WINCONNECT, 1/2" NPT, 300#</t>
  </si>
  <si>
    <t>D81RIR6SSRSF2N-300#</t>
  </si>
  <si>
    <t>Sello separador Winters Serie D81 ISO-RING, FLANGE SENSOR, 6", AC. INOX. CENTRE, NATURAL RUBBER, AC. INOX. PLATES, RELLENO DE GLIC., AC. INOX. WINCONNECT, 1/2" NPT, 300#</t>
  </si>
  <si>
    <t>D81RIR8SSRSF2N-300#</t>
  </si>
  <si>
    <t>Sello separador Winters Serie D81 ISO-RING, FLANGE SENSOR, 8", AC. INOX. CENTRE, NATURAL RUBBER, AC. INOX. PLATES, RELLENO DE GLIC., AC. INOX. WINCONNECT, 1/2" NPT, 300#</t>
  </si>
  <si>
    <t>D81RIR10SSRSF2N-300#</t>
  </si>
  <si>
    <t>Sello separador Winters Serie D81 ISO-RING, FLANGE SENSOR, 10", AC. INOX. CENTRE, NATURAL RUBBER, AC. INOX. PLATES, RELLENO DE GLIC., AC. INOX. WINCONNECT, 1/2" NPT, 300#</t>
  </si>
  <si>
    <t>D81RIR12SSRSF2N-300#</t>
  </si>
  <si>
    <t>Sello separador Winters Serie D81 ISO-RING, FLANGE SENSOR, 12", AC. INOX. CENTRE, NATURAL RUBBER, AC. INOX. PLATES, RELLENO DE GLIC., AC. INOX. WINCONNECT, 1/2" NPT, 300#</t>
  </si>
  <si>
    <t>D81RIR14SSRSF2N-300#</t>
  </si>
  <si>
    <t>Sello separador Winters Serie D81 ISO-RING, FLANGE SENSOR, 14", AC. INOX. CENTRE, NATURAL RUBBER, AC. INOX. PLATES, RELLENO DE GLIC., AC. INOX. WINCONNECT, 1/2" NPT, 300#</t>
  </si>
  <si>
    <t>D81RIR16SSRSF2N-300#</t>
  </si>
  <si>
    <t>Sello separador Winters Serie D81 ISO-RING, FLANGE SENSOR, 16", AC. INOX. CENTRE, NATURAL RUBBER, AC. INOX. PLATES, RELLENO DE GLIC., AC. INOX. WINCONNECT, 1/2" NPT, 300#</t>
  </si>
  <si>
    <t>D81RIR18SSRSF2N-300#</t>
  </si>
  <si>
    <t>Sello separador Winters Serie D81 ISO-RING, FLANGE SENSOR, 18", AC. INOX. CENTRE, NATURAL RUBBER, AC. INOX. PLATES, RELLENO DE GLIC., AC. INOX. WINCONNECT, 1/2" NPT, 300#</t>
  </si>
  <si>
    <t>D81RIR1SSVSF2N</t>
  </si>
  <si>
    <t>Sello separador Winters Serie D81 ISO-RING, FLANGE SENSOR, 1", AC. INOX. CENTRE, VITON, AC. INOX. PLATES, RELLENO DE GLIC., AC. INOX. WINCONNECT, 1/2" NPT, 150#</t>
  </si>
  <si>
    <t>D81RIR1.5SSVSF2N</t>
  </si>
  <si>
    <t>Sello separador Winters Serie D81 ISO-RING, FLANGE SENSOR, 1,5", AC. INOX. CENTRE, VITON, AC. INOX. PLATES, RELLENO DE GLIC., AC. INOX. WINCONNECT, 1/2" NPT, 150#</t>
  </si>
  <si>
    <t>D81RIR2SSVSF2N</t>
  </si>
  <si>
    <t>Sello separador Winters Serie D81 ISO-RING, FLANGE SENSOR, 2", AC. INOX. CENTRE, VITON, AC. INOX. PLATES, RELLENO DE GLIC., AC. INOX. WINCONNECT, 1/2" NPT, 150#</t>
  </si>
  <si>
    <t>D81RIR3SSVSF2N</t>
  </si>
  <si>
    <t>Sello separador Winters Serie D81 ISO-RING, FLANGE SENSOR, 3", AC. INOX. CENTRE, VITON, AC. INOX. PLATES, RELLENO DE GLIC., AC. INOX. WINCONNECT, 1/2" NPT, 150#</t>
  </si>
  <si>
    <t>D81RIR4SSVSF2N</t>
  </si>
  <si>
    <t>Sello separador Winters Serie D81 ISO-RING, FLANGE SENSOR, 4", AC. INOX. CENTRE, VITON, AC. INOX. PLATES, RELLENO DE GLIC., AC. INOX. WINCONNECT, 1/2" NPT, 150#</t>
  </si>
  <si>
    <t>D81RIR6SSVSF2N</t>
  </si>
  <si>
    <t>Sello separador Winters Serie D81 ISO-RING, FLANGE SENSOR, 6", AC. INOX. CENTRE, VITON, AC. INOX. PLATES, RELLENO DE GLIC., AC. INOX. WINCONNECT, 1/2" NPT, 150#</t>
  </si>
  <si>
    <t>D81RIR8SSVSF2N</t>
  </si>
  <si>
    <t>Sello separador Winters Serie D81 ISO-RING, FLANGE SENSOR, 8", AC. INOX. CENTRE, VITON, AC. INOX. PLATES, RELLENO DE GLIC., AC. INOX. WINCONNECT, 1/2" NPT, 150#</t>
  </si>
  <si>
    <t>D81RIR10SSVSF2N</t>
  </si>
  <si>
    <t>Sello separador Winters Serie D81 ISO-RING, FLANGE SENSOR, 10", AC. INOX. CENTRE, VITON, AC. INOX. PLATES, RELLENO DE GLIC., AC. INOX. WINCONNECT, 1/2" NPT, 150#</t>
  </si>
  <si>
    <t>D81RIR12SSVSF2N</t>
  </si>
  <si>
    <t>Sello separador Winters Serie D81 ISO-RING, FLANGE SENSOR, 12", AC. INOX. CENTRE, VITON, AC. INOX. PLATES, RELLENO DE GLIC., AC. INOX. WINCONNECT, 1/2" NPT, 150#</t>
  </si>
  <si>
    <t>D81RIR14SSVSF2N</t>
  </si>
  <si>
    <t>Sello separador Winters Serie D81 ISO-RING, FLANGE SENSOR, 14", AC. INOX. CENTRE, VITON, AC. INOX. PLATES, RELLENO DE GLIC., AC. INOX. WINCONNECT, 1/2" NPT, 150#</t>
  </si>
  <si>
    <t>D81RIR16SSVSF2N</t>
  </si>
  <si>
    <t>Sello separador Winters Serie D81 ISO-RING, FLANGE SENSOR, 16", AC. INOX. CENTRE, VITON, AC. INOX. PLATES, RELLENO DE GLIC., AC. INOX. WINCONNECT, 1/2" NPT, 150#</t>
  </si>
  <si>
    <t>D81RIR18SSVSF2N</t>
  </si>
  <si>
    <t>Sello separador Winters Serie D81 ISO-RING, FLANGE SENSOR, 18", AC. INOX. CENTRE, VITON, AC. INOX. PLATES, RELLENO DE GLIC., AC. INOX. WINCONNECT, 1/2" NPT, 150#</t>
  </si>
  <si>
    <t>D81RIR20SSVSF2N</t>
  </si>
  <si>
    <t>Sello separador Winters Serie D81 ISO-RING, FLANGE SENSOR, 20", AC. INOX. CENTRE, VITON, AC. INOX. PLATES, RELLENO DE GLIC., AC. INOX. WINCONNECT, 1/2" NPT, 150#</t>
  </si>
  <si>
    <t>D81RIR1SSVSF2N-300#</t>
  </si>
  <si>
    <t>Sello separador Winters Serie D81 ISO-RING, FLANGE SENSOR, 1", AC. INOX. CENTRE, VITON, AC. INOX. PLATES, RELLENO DE GLIC., AC. INOX. WINCONNECT, 1/2" NPT, 300#</t>
  </si>
  <si>
    <t>D81RIR1.5SSVSF2N-300#</t>
  </si>
  <si>
    <t>Sello separador Winters Serie D81 ISO-RING, FLANGE SENSOR, 1,5", AC. INOX. CENTRE, VITON, AC. INOX. PLATES, RELLENO DE GLIC., AC. INOX. WINCONNECT, 1/2" NPT, 300#</t>
  </si>
  <si>
    <t>D81RIR2SSVSF2N-300#</t>
  </si>
  <si>
    <t>Sello separador Winters Serie D81 ISO-RING, FLANGE SENSOR, 2", AC. INOX. CENTRE, VITON, AC. INOX. PLATES, RELLENO DE GLIC., AC. INOX. WINCONNECT, 1/2" NPT, 300#</t>
  </si>
  <si>
    <t>D81RIR3SSVSF2N-300#</t>
  </si>
  <si>
    <t>Sello separador Winters Serie D81 ISO-RING, FLANGE SENSOR, 3", AC. INOX. CENTRE, VITON, AC. INOX. PLATES, RELLENO DE GLIC., AC. INOX. WINCONNECT, 1/2" NPT, 300#</t>
  </si>
  <si>
    <t>D81RIR4SSVSF2N-300#</t>
  </si>
  <si>
    <t>Sello separador Winters Serie D81 ISO-RING, FLANGE SENSOR, 4", AC. INOX. CENTRE, VITON, AC. INOX. PLATES, RELLENO DE GLIC., AC. INOX. WINCONNECT, 1/2" NPT, 300#</t>
  </si>
  <si>
    <t>D81RIR6SSVSF2N-300#</t>
  </si>
  <si>
    <t>Sello separador Winters Serie D81 ISO-RING, FLANGE SENSOR, 6", AC. INOX. CENTRE, VITON, AC. INOX. PLATES, RELLENO DE GLIC., AC. INOX. WINCONNECT, 1/2" NPT, 300#</t>
  </si>
  <si>
    <t>D81RIR8SSVSF2N-300#</t>
  </si>
  <si>
    <t>Sello separador Winters Serie D81 ISO-RING, FLANGE SENSOR, 8", AC. INOX. CENTRE, VITON, AC. INOX. PLATES, RELLENO DE GLIC., AC. INOX. WINCONNECT, 1/2" NPT, 300#</t>
  </si>
  <si>
    <t>D81RIR10SSVSF2N-300#</t>
  </si>
  <si>
    <t>Sello separador Winters Serie D81 ISO-RING, FLANGE SENSOR, 10", AC. INOX. CENTRE, VITON, AC. INOX. PLATES, RELLENO DE GLIC., AC. INOX. WINCONNECT, 1/2" NPT, 300#</t>
  </si>
  <si>
    <t>D81RIR12SSVSF2N-300#</t>
  </si>
  <si>
    <t>Sello separador Winters Serie D81 ISO-RING, FLANGE SENSOR, 12", AC. INOX. CENTRE, VITON, AC. INOX. PLATES, RELLENO DE GLIC., AC. INOX. WINCONNECT, 1/2" NPT, 300#</t>
  </si>
  <si>
    <t>D81RIR14SSVSF2N-300#</t>
  </si>
  <si>
    <t>Sello separador Winters Serie D81 ISO-RING, FLANGE SENSOR, 14", AC. INOX. CENTRE, VITON, AC. INOX. PLATES, RELLENO DE GLIC., AC. INOX. WINCONNECT, 1/2" NPT, 300#</t>
  </si>
  <si>
    <t>D81RIR16SSVSF2N-300#</t>
  </si>
  <si>
    <t>Sello separador Winters Serie D81 ISO-RING, FLANGE SENSOR, 16", AC. INOX. CENTRE, VITON, AC. INOX. PLATES, RELLENO DE GLIC., AC. INOX. WINCONNECT, 1/2" NPT, 300#</t>
  </si>
  <si>
    <t>D81RIR18SSVSF2N-300#</t>
  </si>
  <si>
    <t>Sello separador Winters Serie D81 ISO-RING, FLANGE SENSOR, 18", AC. INOX. CENTRE, VITON, AC. INOX. PLATES, RELLENO DE GLIC., AC. INOX. WINCONNECT, 1/2" NPT, 300#</t>
  </si>
  <si>
    <t>D81SIR0.5CCESF2N</t>
  </si>
  <si>
    <t>Sello separador Winters Serie D81 ISO-RING, THREADED SENSOR, 0.5", CARBON CENTRE, EPDM, CARBON PLATES, RELLENO DE GLIC., AC. INOX. WINCONNECT, 1/2" NPT</t>
  </si>
  <si>
    <t>D81SIR0.75CCESF2N</t>
  </si>
  <si>
    <t>Sello separador Winters Serie D81 ISO-RING, THREADED SENSOR, 0.75", CARBON CENTRE, EPDM, CARBON PLATES, RELLENO DE GLIC., AC. INOX. WINCONNECT, 1/2" NPT</t>
  </si>
  <si>
    <t>D81SIR1CCESF2N</t>
  </si>
  <si>
    <t>Sello separador Winters Serie D81 ISO-RING, THREADED SENSOR, 1", CARBON CENTRE, EPDM, CARBON PLATES, RELLENO DE GLIC., AC. INOX. WINCONNECT, 1/2" NPT</t>
  </si>
  <si>
    <t>D81SIR1.5CCESF2N</t>
  </si>
  <si>
    <t>Sello separador Winters Serie D81 ISO-RING, THREADED SENSOR, 1,5", CARBON CENTRE, EPDM, CARBON PLATES, RELLENO DE GLIC., AC. INOX. WINCONNECT, 1/2" NPT</t>
  </si>
  <si>
    <t>D81SIR2CCESF2N</t>
  </si>
  <si>
    <t>Sello separador Winters Serie D81 ISO-RING, THREADED SENSOR, 2", CARBON CENTRE, EPDM, CARBON PLATES, RELLENO DE GLIC., AC. INOX. WINCONNECT, 1/2" NPT</t>
  </si>
  <si>
    <t>D81SIR3CCESF2N</t>
  </si>
  <si>
    <t>Sello separador Winters Serie D81 ISO-RING, THREADED SENSOR, 3", CARBON CENTRE, EPDM, CARBON PLATES, RELLENO DE GLIC., AC. INOX. WINCONNECT, 1/2" NPT</t>
  </si>
  <si>
    <t>D81SIR4CCESF2N</t>
  </si>
  <si>
    <t>Sello separador Winters Serie D81 ISO-RING, THREADED SENSOR, 4", CARBON CENTRE, EPDM, CARBON PLATES, RELLENO DE GLIC., AC. INOX. WINCONNECT, 1/2" NPT</t>
  </si>
  <si>
    <t>D81SIR0.5CCRSF2N</t>
  </si>
  <si>
    <t>Sello separador Winters Serie D81 ISO-RING, THREADED SENSOR, 0.5", CARBON CENTRE, NATURAL RUBBER, CARBON PLATES, RELLENO DE GLIC., AC. INOX. WINCONNECT, 1/2" NPT</t>
  </si>
  <si>
    <t>D81SIR0.75CCRSF2N</t>
  </si>
  <si>
    <t>Sello separador Winters Serie D81 ISO-RING, THREADED SENSOR, 0.75", CARBON CENTRE, NATURAL RUBBER, CARBON PLATES, RELLENO DE GLIC., AC. INOX. WINCONNECT, 1/2" NPT</t>
  </si>
  <si>
    <t>D81SIR1CCRSF2N</t>
  </si>
  <si>
    <t>Sello separador Winters Serie D81 ISO-RING, THREADED SENSOR, 1", CARBON CENTRE, NATURAL RUBBER, CARBON PLATES, RELLENO DE GLIC., AC. INOX. WINCONNECT, 1/2" NPT</t>
  </si>
  <si>
    <t>D81SIR1.5CCRSF2N</t>
  </si>
  <si>
    <t>Sello separador Winters Serie D81 ISO-RING, THREADED SENSOR, 1,5", CARBON CENTRE, NATURAL RUBBER, CARBON PLATES, RELLENO DE GLIC., AC. INOX. WINCONNECT, 1/2" NPT</t>
  </si>
  <si>
    <t>D81SIR2CCRSF2N</t>
  </si>
  <si>
    <t>Sello separador Winters Serie D81 ISO-RING, THREADED SENSOR, 2", CARBON CENTRE, NATURAL RUBBER, CARBON PLATES, RELLENO DE GLIC., AC. INOX. WINCONNECT, 1/2" NPT</t>
  </si>
  <si>
    <t>D81SIR3CCRSF2N</t>
  </si>
  <si>
    <t>Sello separador Winters Serie D81 ISO-RING, THREADED SENSOR, 3", CARBON CENTRE, NATURAL RUBBER, CARBON PLATES, RELLENO DE GLIC., AC. INOX. WINCONNECT, 1/2" NPT</t>
  </si>
  <si>
    <t>D81SIR4CCRSF2N</t>
  </si>
  <si>
    <t>Sello separador Winters Serie D81 ISO-RING, THREADED SENSOR, 4", CARBON CENTRE, NATURAL RUBBER, CARBON PLATES, RELLENO DE GLIC., AC. INOX. WINCONNECT, 1/2" NPT</t>
  </si>
  <si>
    <t>D81SIR0.5CCPSF2N</t>
  </si>
  <si>
    <t>Sello separador Winters Serie D81 ISO-RING, THREADED SENSOR, 0.5", CARBON CENTRE, PTFE, CARBON PLATES, RELLENO DE GLIC., AC. INOX. WINCONNECT, 1/2" NPT</t>
  </si>
  <si>
    <t>D81SIR0.75CCPSF2N</t>
  </si>
  <si>
    <t>Sello separador Winters Serie D81 ISO-RING, THREADED SENSOR, 0.75", CARBON CENTRE, PTFE, CARBON PLATES, RELLENO DE GLIC., AC. INOX. WINCONNECT, 1/2" NPT</t>
  </si>
  <si>
    <t>D81SIR1CCPSF2N</t>
  </si>
  <si>
    <t>Sello separador Winters Serie D81 ISO-RING, THREADED SENSOR, 1", CARBON CENTRE, PTFE, CARBON PLATES, RELLENO DE GLIC., AC. INOX. WINCONNECT, 1/2" NPT</t>
  </si>
  <si>
    <t>D81SIR1.5CCPSF2N</t>
  </si>
  <si>
    <t>Sello separador Winters Serie D81 ISO-RING, THREADED SENSOR, 1,5", CARBON CENTRE, PTFE, CARBON PLATES, RELLENO DE GLIC., AC. INOX. WINCONNECT, 1/2" NPT</t>
  </si>
  <si>
    <t>D81SIR2CCPSF2N</t>
  </si>
  <si>
    <t>Sello separador Winters Serie D81 ISO-RING, THREADED SENSOR, 2", CARBON CENTRE, PTFE, CARBON PLATES, RELLENO DE GLIC., AC. INOX. WINCONNECT, 1/2" NPT</t>
  </si>
  <si>
    <t>D81SIR2.5CCPSF2N</t>
  </si>
  <si>
    <t>Sello separador Winters Serie D81 ISO-RING, THREADED SENSOR, 2,5", CARBON CENTRE, PTFE, CARBON PLATES, RELLENO DE GLIC., AC. INOX. WINCONNECT, 1/2" NPT</t>
  </si>
  <si>
    <t>D81SIR3CCPSF2N</t>
  </si>
  <si>
    <t>Sello separador Winters Serie D81 ISO-RING, THREADED SENSOR, 3", CARBON CENTRE, PTFE, CARBON PLATES, RELLENO DE GLIC., AC. INOX. WINCONNECT, 1/2" NPT</t>
  </si>
  <si>
    <t>D81SIR4CCPSF2N</t>
  </si>
  <si>
    <t>Sello separador Winters Serie D81 ISO-RING, THREADED SENSOR, 4", CARBON CENTRE, PTFE, CARBON PLATES, RELLENO DE GLIC., AC. INOX. WINCONNECT, 1/2" NPT</t>
  </si>
  <si>
    <t>D81SIR0.5CCBSF2N</t>
  </si>
  <si>
    <t>Sello separador Winters Serie D81 ISO-RING, THREADED SENSOR, 0.5", CARBON CENTRE, BUNA-N, CARBON PLATES, RELLENO DE GLIC., AC. INOX. WINCONNECT, 1/2" NPT</t>
  </si>
  <si>
    <t>D81SIR0.75CCBSF2N</t>
  </si>
  <si>
    <t>Sello separador Winters Serie D81 ISO-RING, THREADED SENSOR, 0.75", CARBON CENTRE, BUNA-N, CARBON PLATES, RELLENO DE GLIC., AC. INOX. WINCONNECT, 1/2" NPT</t>
  </si>
  <si>
    <t>D81SIR1CCBSF2N</t>
  </si>
  <si>
    <t>Sello separador Winters Serie D81 ISO-RING, THREADED SENSOR, 1", CARBON CENTRE, BUNA-N, CARBON PLATES, RELLENO DE GLIC., AC. INOX. WINCONNECT, 1/2" NPT</t>
  </si>
  <si>
    <t>D81SIR1.5CCBSF2N</t>
  </si>
  <si>
    <t>Sello separador Winters Serie D81 ISO-RING, THREADED SENSOR, 1,5", CARBON CENTRE, BUNA-N, CARBON PLATES, RELLENO DE GLIC., AC. INOX. WINCONNECT, 1/2" NPT</t>
  </si>
  <si>
    <t>D81SIR2CCBSF2N</t>
  </si>
  <si>
    <t>Sello separador Winters Serie D81 ISO-RING, THREADED SENSOR, 2", CARBON CENTRE,  BUNA-N, CARBON PLATES, RELLENO DE GLIC., AC. INOX. WINCONNECT, 1/2" NPT</t>
  </si>
  <si>
    <t>D81SIR3CCBSF2N</t>
  </si>
  <si>
    <t>Sello separador Winters Serie D81 ISO-RING, THREADED SENSOR, 3", CARBON CENTRE,  BUNA-N, CARBON PLATES, RELLENO DE GLIC., AC. INOX. WINCONNECT, 1/2" NPT</t>
  </si>
  <si>
    <t>D81SIR4CCBSF2N</t>
  </si>
  <si>
    <t>Sello separador Winters Serie D81 ISO-RING, THREADED SENSOR, 4", CARBON CENTRE,  BUNA-N, CARBON PLATES, RELLENO DE GLIC., AC. INOX. WINCONNECT, 1/2" NPT</t>
  </si>
  <si>
    <t>D81SIR0.5CCNSF2N</t>
  </si>
  <si>
    <t>Sello separador Winters Serie D81 ISO-RING, THREADED SENSOR, 0.5", CARBON CENTRE, NEOPRENE, CARBON PLATES, RELLENO DE GLIC., AC. INOX. WINCONNECT, 1/2" NPT</t>
  </si>
  <si>
    <t>D81SIR0.75CCNSF2N</t>
  </si>
  <si>
    <t>Sello separador Winters Serie D81 ISO-RING, THREADED SENSOR, 0.75", CARBON CENTRE, NEOPRENE, CARBON PLATES, RELLENO DE GLIC., AC. INOX. WINCONNECT, 1/2" NPT</t>
  </si>
  <si>
    <t>D81SIR1CCNSF2N</t>
  </si>
  <si>
    <t>Sello separador Winters Serie D81 ISO-RING, THREADED SENSOR, 1", CARBON CENTRE, NEOPRENE, CARBON PLATES, RELLENO DE GLIC., AC. INOX. WINCONNECT, 1/2" NPT</t>
  </si>
  <si>
    <t>D81SIR1.5CCNSF2N</t>
  </si>
  <si>
    <t>Sello separador Winters Serie D81 ISO-RING, THREADED SENSOR, 1,5", CARBON CENTRE, NEOPRENE, CARBON PLATES, RELLENO DE GLIC., AC. INOX. WINCONNECT, 1/2" NPT</t>
  </si>
  <si>
    <t>D81SIR2CCNSF2N</t>
  </si>
  <si>
    <t>Sello separador Winters Serie D81 ISO-RING, THREADED SENSOR, 2", CARBON CENTRE, NEOPRENE, CARBON PLATES, RELLENO DE GLIC., AC. INOX. WINCONNECT, 1/2" NPT</t>
  </si>
  <si>
    <t>D81SIR3CCNSF2N</t>
  </si>
  <si>
    <t>Sello separador Winters Serie D81 ISO-RING, THREADED SENSOR, 3", CARBON CENTRE, NEOPRENE, CARBON PLATES, RELLENO DE GLIC., AC. INOX. WINCONNECT, 1/2" NPT</t>
  </si>
  <si>
    <t>D81SIR4CCNSF2N</t>
  </si>
  <si>
    <t>Sello separador Winters Serie D81 ISO-RING, THREADED SENSOR, 4", CARBON CENTRE, NEOPRENE, CARBON PLATES, RELLENO DE GLIC., AC. INOX. WINCONNECT, 1/2" NPT</t>
  </si>
  <si>
    <t>D81SIR0.5CCVSF2N</t>
  </si>
  <si>
    <t>Sello separador Winters Serie D81 ISO-RING, THREADED SENSOR, 0.5", CARBON CENTRE, VITON, CARBON PLATES, RELLENO DE GLIC., AC. INOX. WINCONNECT, 1/2" NPT</t>
  </si>
  <si>
    <t>D81SIR0.75CCVSF2N</t>
  </si>
  <si>
    <t>Sello separador Winters Serie D81 ISO-RING, THREADED SENSOR, 0.75", CARBON CENTRE, VITON, CARBON PLATES, RELLENO DE GLIC., AC. INOX. WINCONNECT, 1/2" NPT</t>
  </si>
  <si>
    <t>D81SIR1CCVSF2N</t>
  </si>
  <si>
    <t>Sello separador Winters Serie D81 ISO-RING, THREADED SENSOR, 1", CARBON CENTRE, VITON, CARBON PLATES, RELLENO DE GLIC., AC. INOX. WINCONNECT, 1/2" NPT</t>
  </si>
  <si>
    <t>D81SIR1.5CCVSF2N</t>
  </si>
  <si>
    <t>Sello separador Winters Serie D81 ISO-RING, THREADED SENSOR, 1,5", CARBON CENTRE, VITON, CARBON PLATES, RELLENO DE GLIC., AC. INOX. WINCONNECT, 1/2" NPT</t>
  </si>
  <si>
    <t>D81SIR2CCVSF2N</t>
  </si>
  <si>
    <t>Sello separador Winters Serie D81 ISO-RING, THREADED SENSOR, 2", CARBON CENTRE, VITON, CARBON PLATES, RELLENO DE GLIC., AC. INOX. WINCONNECT, 1/2" NPT</t>
  </si>
  <si>
    <t>D81SIR3CCVSF2N</t>
  </si>
  <si>
    <t>Sello separador Winters Serie D81 ISO-RING, THREADED SENSOR, 3", CARBON CENTRE, VITON, CARBON PLATES, RELLENO DE GLIC., AC. INOX. WINCONNECT, 1/2" NPT</t>
  </si>
  <si>
    <t>D81SIR4CCVSF2N</t>
  </si>
  <si>
    <t>Sello separador Winters Serie D81 ISO-RING, THREADED SENSOR, 4", CARBON CENTRE, VITON, CARBON PLATES, RELLENO DE GLIC., AC. INOX. WINCONNECT, 1/2" NPT</t>
  </si>
  <si>
    <t>D81SIR0.5CSBSF2N</t>
  </si>
  <si>
    <t>Sello separador Winters Serie D81 ISO-RING, THREADED SENSOR, 0.5", CS, BUNA-N, AC. INOX. PLATES, RELLENO DE GLIC., AC. INOX. WINCONNECT, 1/2" NPT</t>
  </si>
  <si>
    <t>D81SIR0.75CSBSF2N</t>
  </si>
  <si>
    <t>Sello separador Winters Serie D81 ISO-RING, THREADED SENSOR, 0.75", CS, BUNA-N, AC. INOX. PLATES, RELLENO DE GLIC., AC. INOX. WINCONNECT, 1/2" NPT</t>
  </si>
  <si>
    <t>D81SIR1CSBSF2N</t>
  </si>
  <si>
    <t>Sello separador Winters Serie D81 ISO-RING, THREADED SENSOR, 1", CS, BUNA-N, AC. INOX. PLATES, RELLENO DE GLIC., AC. INOX. WINCONNECT, 1/2" NPT</t>
  </si>
  <si>
    <t>D81SIR1.5CSBSF2N</t>
  </si>
  <si>
    <t>Sello separador Winters Serie D81 ISO-RING, THREADED SENSOR, 1,5", CS, BUNA-N, AC. INOX. PLATES, RELLENO DE GLIC., AC. INOX. WINCONNECT, 1/2" NPT</t>
  </si>
  <si>
    <t>D81SIR2CSBSF2N</t>
  </si>
  <si>
    <t>Sello separador Winters Serie D81 ISO-RING, THREADED SENSOR, 2", CS, BUNA-N, AC. INOX. PLATES, RELLENO DE GLIC., AC. INOX. WINCONNECT, 1/2" NPT</t>
  </si>
  <si>
    <t>D81SIR3CSBSF2N</t>
  </si>
  <si>
    <t>Sello separador Winters Serie D81 ISO-RING, THREADED SENSOR, 3", CS, BUNA-N, AC. INOX. PLATES, RELLENO DE GLIC., AC. INOX. WINCONNECT, 1/2" NPT</t>
  </si>
  <si>
    <t>D81SIR4CSBSF2N</t>
  </si>
  <si>
    <t>Sello separador Winters Serie D81 ISO-RING, THREADED SENSOR, 4", CS, BUNA-N, AC. INOX. PLATES, RELLENO DE GLIC., AC. INOX. WINCONNECT, 1/2" NPT</t>
  </si>
  <si>
    <t>D81SIR0.5CSESF2N</t>
  </si>
  <si>
    <t>Sello separador Winters Serie D81 ISO-RING, THREADED SENSOR, 0.5", CARBON CENTRE, EPDM, AC. INOX. PLATES, RELLENO DE GLIC., AC. INOX. WINCONNECT, 1/2" NPT</t>
  </si>
  <si>
    <t>D81SIR0.75CSESF2N</t>
  </si>
  <si>
    <t>Sello separador Winters Serie D81 ISO-RING, THREADED SENSOR, 0.75", CARBON CENTRE, EPDM, AC. INOX. PLATES, RELLENO DE GLIC., AC. INOX. WINCONNECT, 1/2" NPT</t>
  </si>
  <si>
    <t>D81SIR1CSESF2N</t>
  </si>
  <si>
    <t>Sello separador Winters Serie D81 ISO-RING, THREADED SENSOR, 1", CARBON CENTRE, EPDM, AC. INOX. PLATES, RELLENO DE GLIC., AC. INOX. WINCONNECT, 1/2" NPT</t>
  </si>
  <si>
    <t>D81SIR1.5CSESF2N</t>
  </si>
  <si>
    <t>Sello separador Winters Serie D81 ISO-RING, THREADED SENSOR, 1,5", CARBON CENTRE, EPDM, AC. INOX. PLATES, RELLENO DE GLIC., AC. INOX. WINCONNECT, 1/2" NPT</t>
  </si>
  <si>
    <t>D81SIR2CSESF2N</t>
  </si>
  <si>
    <t>Sello separador Winters Serie D81 ISO-RING, THREADED SENSOR, 2", CARBON CENTRE, EPDM, AC. INOX. PLATES, RELLENO DE GLIC., AC. INOX. WINCONNECT, 1/2" NPT</t>
  </si>
  <si>
    <t>D81SIR3CSESF2N</t>
  </si>
  <si>
    <t>Sello separador Winters Serie D81 ISO-RING, THREADED SENSOR, 3", CARBON CENTRE, EPDM, AC. INOX. PLATES, RELLENO DE GLIC., AC. INOX. WINCONNECT, 1/2" NPT</t>
  </si>
  <si>
    <t>D81SIR4CSESF2N</t>
  </si>
  <si>
    <t>Sello separador Winters Serie D81 ISO-RING, THREADED SENSOR, 4", CARBON CENTRE, EPDM, AC. INOX. PLATES, RELLENO DE GLIC., AC. INOX. WINCONNECT, 1/2" NPT</t>
  </si>
  <si>
    <t>D81SIR0.5CSRSF2N</t>
  </si>
  <si>
    <t>Sello separador Winters Serie D81 ISO-RING, THREADED SENSOR, 0.5", CARBON CENTRE, NATURAL RUBBER, AC. INOX. PLATES, RELLENO DE GLIC., AC. INOX. WINCONNECT, 1/2" NPT</t>
  </si>
  <si>
    <t>D81SIR0.75CSRSF2N</t>
  </si>
  <si>
    <t>Sello separador Winters Serie D81 ISO-RING, THREADED SENSOR, 0.75", CARBON CENTRE, NATURAL RUBBER, AC. INOX. PLATES, RELLENO DE GLIC., AC. INOX. WINCONNECT, 1/2" NPT</t>
  </si>
  <si>
    <t>D81SIR1CSRSF2N</t>
  </si>
  <si>
    <t>Sello separador Winters Serie D81 ISO-RING, THREADED SENSOR, 1", CARBON CENTRE, NATURAL RUBBER, AC. INOX. PLATES, RELLENO DE GLIC., AC. INOX. WINCONNECT, 1/2" NPT</t>
  </si>
  <si>
    <t>D81SIR1.5CSRSF2N</t>
  </si>
  <si>
    <t>Sello separador Winters Serie D81 ISO-RING, THREADED SENSOR, 1,5", CARBON CENTRE, NATURAL RUBBER, AC. INOX. PLATES, RELLENO DE GLIC., AC. INOX. WINCONNECT, 1/2" NPT</t>
  </si>
  <si>
    <t>D81SIR2CSRSF2N</t>
  </si>
  <si>
    <t>Sello separador Winters Serie D81 ISO-RING, THREADED SENSOR, 2", CARBON CENTRE, NATURAL RUBBER, AC. INOX. PLATES, RELLENO DE GLIC., AC. INOX. WINCONNECT, 1/2" NPT</t>
  </si>
  <si>
    <t>D81SIR3CSRSF2N</t>
  </si>
  <si>
    <t>Sello separador Winters Serie D81 ISO-RING, THREADED SENSOR, 3", CARBON CENTRE, NATURAL RUBBER, AC. INOX. PLATES, RELLENO DE GLIC., AC. INOX. WINCONNECT, 1/2" NPT</t>
  </si>
  <si>
    <t>D81SIR4CSRSF2N</t>
  </si>
  <si>
    <t>Sello separador Winters Serie D81 ISO-RING, THREADED SENSOR, 4", CARBON CENTRE, NATURAL RUBBER, AC. INOX. PLATES, RELLENO DE GLIC., AC. INOX. WINCONNECT, 1/2" NPT</t>
  </si>
  <si>
    <t>D81SIR0.5CSPSF2N</t>
  </si>
  <si>
    <t>Sello separador Winters Serie D81 ISO-RING, THREADED SENSOR, 0.5", CARBON CENTRE, PTFE, AC. INOX. PLATES, RELLENO DE GLIC., AC. INOX. WINCONNECT, 1/2" NPT</t>
  </si>
  <si>
    <t>D81SIR0.75CSPSF2N</t>
  </si>
  <si>
    <t>Sello separador Winters Serie D81 ISO-RING, THREADED SENSOR, 0.75", CARBON CENTRE, PTFE, AC. INOX. PLATES, RELLENO DE GLIC., AC. INOX. WINCONNECT, 1/2" NPT</t>
  </si>
  <si>
    <t>D81SIR1CSPSF2N</t>
  </si>
  <si>
    <t>Sello separador Winters Serie D81 ISO-RING, THREADED SENSOR, 1", CARBON CENTRE, PTFE, AC. INOX. PLATES, RELLENO DE GLIC., AC. INOX. WINCONNECT, 1/2" NPT</t>
  </si>
  <si>
    <t>D81SIR1.5CSPSF2N</t>
  </si>
  <si>
    <t>Sello separador Winters Serie D81 ISO-RING, THREADED SENSOR, 1,5", CARBON CENTRE, PTFE, AC. INOX. PLATES, RELLENO DE GLIC., AC. INOX. WINCONNECT, 1/2" NPT</t>
  </si>
  <si>
    <t>D81SIR2CSPSF2N</t>
  </si>
  <si>
    <t>Sello separador Winters Serie D81 ISO-RING, THREADED SENSOR, 2", CARBON CENTRE, PTFE, AC. INOX. PLATES, RELLENO DE GLIC., AC. INOX. WINCONNECT, 1/2" NPT</t>
  </si>
  <si>
    <t>D81SIR3CSPSF2N</t>
  </si>
  <si>
    <t>Sello separador Winters Serie D81 ISO-RING, THREADED SENSOR, 3", CARBON CENTRE, PTFE, AC. INOX. PLATES, RELLENO DE GLIC., AC. INOX. WINCONNECT, 1/2" NPT</t>
  </si>
  <si>
    <t>D81SIR4CSPSF2N</t>
  </si>
  <si>
    <t>Sello separador Winters Serie D81 ISO-RING, THREADED SENSOR, 4", CARBON CENTRE, PTFE, AC. INOX. PLATES, RELLENO DE GLIC., AC. INOX. WINCONNECT, 1/2" NPT</t>
  </si>
  <si>
    <t>D81SIR0.5SSBSF2N</t>
  </si>
  <si>
    <t>Sello separador Winters Serie D81 ISO-RING, THREADED SENSOR, 0.5", AC. INOX., BUNA-N, AC. INOX. PLATES, RELLENO DE GLIC., AC. INOX. WINCONNECT, 1/2" NPT</t>
  </si>
  <si>
    <t>D81SIR0.75SSBSF2N</t>
  </si>
  <si>
    <t>Sello separador Winters Serie D81 ISO-RING, THREADED SENSOR, 0.75", AC. INOX., BUNA-N, AC. INOX. PLATES, RELLENO DE GLIC., AC. INOX. WINCONNECT, 1/2" NPT</t>
  </si>
  <si>
    <t>D81SIR1SSBSF2N</t>
  </si>
  <si>
    <t>Sello separador Winters Serie D81 ISO-RING, THREADED SENSOR, 1", AC. INOX., BUNA-N, AC. INOX. PLATES, RELLENO DE GLIC., AC. INOX. WINCONNECT, 1/2" NPT</t>
  </si>
  <si>
    <t>D81SIR1.5SSBSF2N</t>
  </si>
  <si>
    <t>Sello separador Winters Serie D81 ISO-RING, THREADED SENSOR, 1,5", AC. INOX., BUNA-N, AC. INOX. PLATES, RELLENO DE GLIC., AC. INOX. WINCONNECT, 1/2" NPT</t>
  </si>
  <si>
    <t>D81SIR2SSBSF2N</t>
  </si>
  <si>
    <t>Sello separador Winters Serie D81 ISO-RING, THREADED SENSOR, 2", AC. INOX., BUNA-N, AC. INOX. PLATES, RELLENO DE GLIC., AC. INOX. WINCONNECT, 1/2" NPT</t>
  </si>
  <si>
    <t>D81SIR3SSBSF2N</t>
  </si>
  <si>
    <t>Sello separador Winters Serie D81 ISO-RING, THREADED SENSOR, 3", AC. INOX., BUNA-N, AC. INOX. PLATES, RELLENO DE GLIC., AC. INOX. WINCONNECT, 1/2" NPT</t>
  </si>
  <si>
    <t>D81SIR4SSBSF2N</t>
  </si>
  <si>
    <t>Sello separador Winters Serie D81 ISO-RING, THREADED SENSOR, 4", AC. INOX., BUNA-N, AC. INOX. PLATES, RELLENO DE GLIC., AC. INOX. WINCONNECT, 1/2" NPT</t>
  </si>
  <si>
    <t>D81SIR0.5SSESF2N</t>
  </si>
  <si>
    <t>Sello separador Winters Serie D81 ISO-RING, THREADED SENSOR, 0.5", AC. INOX. CENTRE, EPDM, AC. INOX. PLATES, RELLENO DE GLIC., AC. INOX. WINCONNECT, 1/2" NPT</t>
  </si>
  <si>
    <t>D81SIR0.75SSESF2N</t>
  </si>
  <si>
    <t>Sello separador Winters Serie D81 ISO-RING, THREADED SENSOR, 0.75", AC. INOX. CENTRE, EPDM, AC. INOX. PLATES, RELLENO DE GLIC., AC. INOX. WINCONNECT, 1/2" NPT</t>
  </si>
  <si>
    <t>D81SIR1SSESF2N</t>
  </si>
  <si>
    <t>Sello separador Winters Serie D81 ISO-RING, THREADED SENSOR, 1", AC. INOX. CENTRE, EPDM, AC. INOX. PLATES, RELLENO DE GLIC., AC. INOX. WINCONNECT, 1/2" NPT</t>
  </si>
  <si>
    <t>D81SIR1.5SSESF2N</t>
  </si>
  <si>
    <t>Sello separador Winters Serie D81 ISO-RING, THREADED SENSOR, 1,5", AC. INOX. CENTRE, EPDM, AC. INOX. PLATES, RELLENO DE GLIC., AC. INOX. WINCONNECT, 1/2" NPT</t>
  </si>
  <si>
    <t>D81SIR2SSESF2N</t>
  </si>
  <si>
    <t>Sello separador Winters Serie D81 ISO-RING, THREADED SENSOR, 2", AC. INOX. CENTRE, EPDM, AC. INOX. PLATES, RELLENO DE GLIC., AC. INOX. WINCONNECT, 1/2" NPT</t>
  </si>
  <si>
    <t>D81SIR3SSESF2N</t>
  </si>
  <si>
    <t>Sello separador Winters Serie D81 ISO-RING, THREADED SENSOR, 3", AC. INOX. CENTRE, EPDM, AC. INOX. PLATES, RELLENO DE GLIC., AC. INOX. WINCONNECT, 1/2" NPT</t>
  </si>
  <si>
    <t>D81SIR4SSESF2N</t>
  </si>
  <si>
    <t>Sello separador Winters Serie D81 ISO-RING, THREADED SENSOR, 4", AC. INOX. CENTRE, EPDM, AC. INOX. PLATES, RELLENO DE GLIC., AC. INOX. WINCONNECT, 1/2" NPT</t>
  </si>
  <si>
    <t>D81SIR0.5SSRSF2N</t>
  </si>
  <si>
    <t>Sello separador Winters Serie D81 ISO-RING, THREADED SENSOR, 0.5", AC. INOX. CENTRE, NATURAL RUBBER, AC. INOX. PLATES, RELLENO DE GLIC., AC. INOX. WINCONNECT, 1/2" NPT</t>
  </si>
  <si>
    <t>D81SIR0.75SSRSF2N</t>
  </si>
  <si>
    <t>Sello separador Winters Serie D81 ISO-RING, THREADED SENSOR, 0.75", AC. INOX. CENTRE, NATURAL RUBBER, AC. INOX. PLATES, RELLENO DE GLIC., AC. INOX. WINCONNECT, 1/2" NPT</t>
  </si>
  <si>
    <t>D81SIR1SSRSF2N</t>
  </si>
  <si>
    <t>Sello separador Winters Serie D81 ISO-RING, THREADED SENSOR, 1", AC. INOX. CENTRE, NATURAL RUBBER, AC. INOX. PLATES, RELLENO DE GLIC., AC. INOX. WINCONNECT, 1/2" NPT</t>
  </si>
  <si>
    <t>D81SIR1.5SSRSF2N</t>
  </si>
  <si>
    <t>Sello separador Winters Serie D81 ISO-RING, THREADED SENSOR, 1,5", AC. INOX. CENTRE, NATURAL RUBBER, AC. INOX. PLATES, RELLENO DE GLIC., AC. INOX. WINCONNECT, 1/2" NPT</t>
  </si>
  <si>
    <t>D81SIR2SSRSF2N</t>
  </si>
  <si>
    <t>Sello separador Winters Serie D81 ISO-RING, THREADED SENSOR, 2", AC. INOX. CENTRE, NATURAL RUBBER, AC. INOX. PLATES, RELLENO DE GLIC., AC. INOX. WINCONNECT, 1/2" NPT</t>
  </si>
  <si>
    <t>D81SIR3SSRSF2N</t>
  </si>
  <si>
    <t>Sello separador Winters Serie D81 ISO-RING, THREADED SENSOR, 3", AC. INOX. CENTRE, NATURAL RUBBER, AC. INOX. PLATES, RELLENO DE GLIC., AC. INOX. WINCONNECT, 1/2" NPT</t>
  </si>
  <si>
    <t>D81SIR4SSRSF2N</t>
  </si>
  <si>
    <t>Sello separador Winters Serie D81 ISO-RING, THREADED SENSOR, 4", AC. INOX. CENTRE, NATURAL RUBBER, AC. INOX. PLATES, RELLENO DE GLIC., AC. INOX. WINCONNECT, 1/2" NPT</t>
  </si>
  <si>
    <t>D81SIR0.5SSPSF2N</t>
  </si>
  <si>
    <t>Sello separador Winters Serie D81 ISO-RING, THREADED SENSOR, 0.5", AC. INOX. CENTRE, PTFE, AC. INOX. PLATES, RELLENO DE GLIC., AC. INOX. WINCONNECT, 1/2" NPT</t>
  </si>
  <si>
    <t>D81SIR0.75SSPSF2N</t>
  </si>
  <si>
    <t>Sello separador Winters Serie D81 ISO-RING, THREADED SENSOR, 0.75", AC. INOX. CENTRE, PTFE, AC. INOX. PLATES, RELLENO DE GLIC., AC. INOX. WINCONNECT, 1/2" NPT</t>
  </si>
  <si>
    <t>D81SIR1SSPSF2N</t>
  </si>
  <si>
    <t>Sello separador Winters Serie D81 ISO-RING, THREADED SENSOR, 1", AC. INOX. CENTRE, PTFE, AC. INOX. PLATES, RELLENO DE GLIC., AC. INOX. WINCONNECT, 1/2" NPT</t>
  </si>
  <si>
    <t>D81SIR1.5SSPSF2N</t>
  </si>
  <si>
    <t>Sello separador Winters Serie D81 ISO-RING, THREADED SENSOR, 1,5", AC. INOX. CENTRE, PTFE, AC. INOX. PLATES, RELLENO DE GLIC., AC. INOX. WINCONNECT, 1/2" NPT</t>
  </si>
  <si>
    <t>D81SIR2SSPSF2N</t>
  </si>
  <si>
    <t>Sello separador Winters Serie D81 ISO-RING, THREADED SENSOR, 2", AC. INOX. CENTRE, PTFE, AC. INOX. PLATES, RELLENO DE GLIC., AC. INOX. WINCONNECT, 1/2" NPT</t>
  </si>
  <si>
    <t>D81SIR2.5SSPSF2N</t>
  </si>
  <si>
    <t>Sello separador Winters Serie D81 ISO-RING, THREADED SENSOR, 2,5", AC. INOX. CENTRE, PTFE, AC. INOX. PLATES, RELLENO DE GLIC., AC. INOX. WINCONNECT, 1/2" NPT</t>
  </si>
  <si>
    <t>D81SIR3SSPSF2N</t>
  </si>
  <si>
    <t>Sello separador Winters Serie D81 ISO-RING, THREADED SENSOR, 3", AC. INOX. CENTRE, PTFE, AC. INOX. PLATES, RELLENO DE GLIC., AC. INOX. WINCONNECT, 1/2" NPT</t>
  </si>
  <si>
    <t>D81SIR4SSPSF2N</t>
  </si>
  <si>
    <t>Sello separador Winters Serie D81 ISO-RING, THREADED SENSOR, 4", AC. INOX. CENTRE, PTFE, AC. INOX. PLATES, RELLENO DE GLIC., AC. INOX. WINCONNECT, 1/2" NPT</t>
  </si>
  <si>
    <t>D81SIR0.5SSVSF2N</t>
  </si>
  <si>
    <t>Sello separador Winters Serie D81 ISO-RING, THREADED SENSOR, 0.5", AC. INOX. CENTRE, VITON, AC. INOX. PLATES, RELLENO DE GLIC., AC. INOX. WINCONNECT, 1/2" NPT</t>
  </si>
  <si>
    <t>D81SIR0.75SSVSF2N</t>
  </si>
  <si>
    <t>Sello separador Winters Serie D81 ISO-RING, THREADED SENSOR, 0.75", AC. INOX. CENTRE, VITON, AC. INOX. PLATES, RELLENO DE GLIC., AC. INOX. WINCONNECT, 1/2" NPT</t>
  </si>
  <si>
    <t>D81SIR1SSVSF2N</t>
  </si>
  <si>
    <t>Sello separador Winters Serie D81 ISO-RING, THREADED SENSOR, 1", AC. INOX. CENTRE, VITON, AC. INOX. PLATES, RELLENO DE GLIC., AC. INOX. WINCONNECT, 1/2" NPT</t>
  </si>
  <si>
    <t>D81SIR1.5SSVSF2N</t>
  </si>
  <si>
    <t>Sello separador Winters Serie D81 ISO-RING, THREADED SENSOR, 1,5", AC. INOX. CENTRE, VITON, AC. INOX. PLATES, RELLENO DE GLIC., AC. INOX. WINCONNECT, 1/2" NPT</t>
  </si>
  <si>
    <t>D81SIR2SSVSF2N</t>
  </si>
  <si>
    <t>Sello separador Winters Serie D81 ISO-RING, THREADED SENSOR, 2", AC. INOX. CENTRE, VITON, AC. INOX. PLATES, RELLENO DE GLIC., AC. INOX. WINCONNECT, 1/2" NPT</t>
  </si>
  <si>
    <t>D81SIR3SSVSF2N</t>
  </si>
  <si>
    <t>Sello separador Winters Serie D81 ISO-RING, THREADED SENSOR, 3", AC. INOX. CENTRE, VITON, AC. INOX. PLATES, RELLENO DE GLIC., AC. INOX. WINCONNECT, 1/2" NPT</t>
  </si>
  <si>
    <t>D81SIR4SSVSF2N</t>
  </si>
  <si>
    <t>Sello separador Winters Serie D81 ISO-RING, THREADED SENSOR, 4", AC. INOX. CENTRE, VITON, AC. INOX. PLATES, RELLENO DE GLIC., AC. INOX. WINCONNECT, 1/2" NPT</t>
  </si>
  <si>
    <t>D81SIR0.5SSNSF2N</t>
  </si>
  <si>
    <t>Sello separador Winters Serie D81 ISO-RING, THREADED SENSOR, 0.5", AC. INOX. CENTRE, NEOPRENE, AC. INOX. PLATES, RELLENO DE GLIC., AC. INOX. WINCONNECT, 1/2" NPT</t>
  </si>
  <si>
    <t>D81SIR0.75SSNSF2N</t>
  </si>
  <si>
    <t>Sello separador Winters Serie D81 ISO-RING, THREADED SENSOR, 0.75", AC. INOX. CENTRE, NEOPRENE, AC. INOX. PLATES, RELLENO DE GLIC., AC. INOX. WINCONNECT, 1/2" NPT</t>
  </si>
  <si>
    <t>D81SIR1SSNSF2N</t>
  </si>
  <si>
    <t>Sello separador Winters Serie D81 ISO-RING, THREADED SENSOR, 1", AC. INOX. CENTRE, NEOPRENE, AC. INOX. PLATES, RELLENO DE GLIC., AC. INOX. WINCONNECT, 1/2" NPT</t>
  </si>
  <si>
    <t>D81SIR1.5SSNSF2N</t>
  </si>
  <si>
    <t>Sello separador Winters Serie D81 ISO-RING, THREADED SENSOR, 1,5", AC. INOX. CENTRE, NEOPRENE, AC. INOX. PLATES, RELLENO DE GLIC., AC. INOX. WINCONNECT, 1/2" NPT</t>
  </si>
  <si>
    <t>D81SIR2SSNSF2N</t>
  </si>
  <si>
    <t>Sello separador Winters Serie D81 ISO-RING, THREADED SENSOR, 2", AC. INOX. CENTRE, NEOPRENE, AC. INOX. PLATES, RELLENO DE GLIC., AC. INOX. WINCONNECT, 1/2" NPT</t>
  </si>
  <si>
    <t>D81SIR3SSNSF2N</t>
  </si>
  <si>
    <t>Sello separador Winters Serie D81 ISO-RING, THREADED SENSOR, 3", AC. INOX. CENTRE, NEOPRENE, AC. INOX. PLATES, RELLENO DE GLIC., AC. INOX. WINCONNECT, 1/2" NPT</t>
  </si>
  <si>
    <t>D81SIR4SSNSF2N</t>
  </si>
  <si>
    <t>Sello separador Winters Serie D81 ISO-RING, THREADED SENSOR, 4", AC. INOX. CENTRE, NEOPRENE, AC. INOX. PLATES, RELLENO DE GLIC., AC. INOX. WINCONNECT, 1/2" NPT</t>
  </si>
  <si>
    <t>D81WIR1CABSF2N</t>
  </si>
  <si>
    <t>Sello separador Winters Serie D81 ISO-RING, WAFER SENSOR, 1", CS CENTRE, BUNA-N, ACETAL PLATES, RELLENO DE GLIC., AC. INOX. WINCONNECT, 1/2" NPT</t>
  </si>
  <si>
    <t>D81WIR1.5CABSF2N</t>
  </si>
  <si>
    <t>Sello separador Winters Serie D81 ISO-RING, WAFER SENSOR, 1,5", CS CENTRE, BUNA-N, ACETAL PLATES, RELLENO DE GLIC., AC. INOX. WINCONNECT, 1/2" NPT</t>
  </si>
  <si>
    <t>D81WIR2CABSF2N</t>
  </si>
  <si>
    <t>Sello separador Winters Serie D81 ISO-RING, WAFER SENSOR, 2", CS CENTRE, BUNA-N, ACETAL PLATES, RELLENO DE GLIC., AC. INOX. WINCONNECT, 1/2" NPT</t>
  </si>
  <si>
    <t>D81WIR3CABSF2N</t>
  </si>
  <si>
    <t>Sello separador Winters Serie D81 ISO-RING, WAFER SENSOR, 3", CS CENTRE, BUNA-N, ACETAL PLATES, RELLENO DE GLIC., AC. INOX. WINCONNECT, 1/2" NPT</t>
  </si>
  <si>
    <t>D81WIR4CABSF2N</t>
  </si>
  <si>
    <t>Sello separador Winters Serie D81 ISO-RING, WAFER SENSOR, 4", CS CENTRE, BUNA-N, ACETAL PLATES, RELLENO DE GLIC., AC. INOX. WINCONNECT, 1/2" NPT</t>
  </si>
  <si>
    <t>D81WIR6CABSF2N</t>
  </si>
  <si>
    <t>Sello separador Winters Serie D81 ISO-RING, WAFER SENSOR, 6", CS CENTRE, BUNA-N, ACETAL PLATES, RELLENO DE GLIC., AC. INOX. WINCONNECT, 1/2" NPT</t>
  </si>
  <si>
    <t>D81WIR8CABSF2N</t>
  </si>
  <si>
    <t>Sello separador Winters Serie D81 ISO-RING, WAFER SENSOR, 8", CS CENTRE, BUNA-N, ACETAL PLATES, RELLENO DE GLIC., AC. INOX. WINCONNECT, 1/2" NPT</t>
  </si>
  <si>
    <t>D81WIR10CABSF2N</t>
  </si>
  <si>
    <t>Sello separador Winters Serie D81 ISO-RING, WAFER SENSOR, 10", CS CENTRE, BUNA-N, ACETAL PLATES, RELLENO DE GLIC., AC. INOX. WINCONNECT, 1/2" NPT</t>
  </si>
  <si>
    <t>D81WIR12CABSF2N</t>
  </si>
  <si>
    <t>Sello separador Winters Serie D81 ISO-RING, WAFER SENSOR, 12", CS CENTRE, BUNA-N, ACETAL PLATES, RELLENO DE GLIC., AC. INOX. WINCONNECT, 1/2" NPT</t>
  </si>
  <si>
    <t>D81WIR14CABSF2N</t>
  </si>
  <si>
    <t>Sello separador Winters Serie D81 ISO-RING, WAFER SENSOR, 14", CS CENTRE, BUNA-N, ACETAL PLATES, RELLENO DE GLIC., AC. INOX. WINCONNECT, 1/2" NPT</t>
  </si>
  <si>
    <t>D81WIR16CABSF2N</t>
  </si>
  <si>
    <t>Sello separador Winters Serie D81 ISO-RING, WAFER SENSOR, 16", CS CENTRE, BUNA-N, ACETAL PLATES, RELLENO DE GLIC., AC. INOX. WINCONNECT, 1/2" NPT</t>
  </si>
  <si>
    <t>D81WIR18CABSF2N</t>
  </si>
  <si>
    <t>Sello separador Winters Serie D81 ISO-RING, WAFER SENSOR, 18", CS CENTRE, BUNA-N, ACETAL PLATES, RELLENO DE GLIC., AC. INOX. WINCONNECT, 1/2" NPT</t>
  </si>
  <si>
    <t>D81WIR20CABSF2N</t>
  </si>
  <si>
    <t>Sello separador Winters Serie D81 ISO-RING, WAFER SENSOR, 20", CS CENTRE, BUNA-N, ACETAL PLATES, RELLENO DE GLIC., AC. INOX. WINCONNECT, 1/2" NPT</t>
  </si>
  <si>
    <t>D81WIR1CANSF2N</t>
  </si>
  <si>
    <t>Sello separador Winters Serie D81 ISO-RING, WAFER SENSOR, 1", CS CENTRE, NEOPRENE, ACETAL PLATES, RELLENO DE GLIC., AC. INOX. WINCONNECT, 1/2" NPT</t>
  </si>
  <si>
    <t>D81WIR1.5CANSF2N</t>
  </si>
  <si>
    <t>Sello separador Winters Serie D81 ISO-RING, WAFER SENSOR, 1,5", CS CENTRE, NEOPRENE, ACETAL PLATES, RELLENO DE GLIC., AC. INOX. WINCONNECT, 1/2" NPT</t>
  </si>
  <si>
    <t>D81WIR2CANSF2N</t>
  </si>
  <si>
    <t>Sello separador Winters Serie D81 ISO-RING, WAFER SENSOR, 2", CS CENTRE, NEOPRENE, ACETAL PLATES, RELLENO DE GLIC., AC. INOX. WINCONNECT, 1/2" NPT</t>
  </si>
  <si>
    <t>D81WIR3CANSF2N</t>
  </si>
  <si>
    <t>Sello separador Winters Serie D81 ISO-RING, WAFER SENSOR, 3", CS CENTRE, NEOPRENE, ACETAL PLATES, RELLENO DE GLIC., AC. INOX. WINCONNECT, 1/2" NPT</t>
  </si>
  <si>
    <t>D81WIR4CANSF2N</t>
  </si>
  <si>
    <t>Sello separador Winters Serie D81 ISO-RING, WAFER SENSOR, 4", CS CENTRE, NEOPRENE, ACETAL PLATES, RELLENO DE GLIC., AC. INOX. WINCONNECT, 1/2" NPT</t>
  </si>
  <si>
    <t>D81WIR6CANSF2N</t>
  </si>
  <si>
    <t>Sello separador Winters Serie D81 ISO-RING, WAFER SENSOR, 6", CS CENTRE, NEOPRENE, ACETAL PLATES, RELLENO DE GLIC., AC. INOX. WINCONNECT, 1/2" NPT</t>
  </si>
  <si>
    <t>D81WIR8CANSF2N</t>
  </si>
  <si>
    <t>Sello separador Winters Serie D81 ISO-RING, WAFER SENSOR, 8", CS CENTRE, NEOPRENE, ACETAL PLATES, RELLENO DE GLIC., AC. INOX. WINCONNECT, 1/2" NPT</t>
  </si>
  <si>
    <t>D81WIR10CANSF2N</t>
  </si>
  <si>
    <t>Sello separador Winters Serie D81 ISO-RING, WAFER SENSOR, 10", CS CENTRE, NEOPRENE, ACETAL PLATES, RELLENO DE GLIC., AC. INOX. WINCONNECT, 1/2" NPT</t>
  </si>
  <si>
    <t>D81WIR12CANSF2N</t>
  </si>
  <si>
    <t>Sello separador Winters Serie D81 ISO-RING, WAFER SENSOR, 12", CS CENTRE, NEOPRENE, ACETAL PLATES, RELLENO DE GLIC., AC. INOX. WINCONNECT, 1/2" NPT</t>
  </si>
  <si>
    <t>D81WIR14CANSF2N</t>
  </si>
  <si>
    <t>Sello separador Winters Serie D81 ISO-RING, WAFER SENSOR, 14", CS CENTRE, NEOPRENE, ACETAL PLATES, RELLENO DE GLIC., AC. INOX. WINCONNECT, 1/2" NPT</t>
  </si>
  <si>
    <t>D81WIR16CANSF2N</t>
  </si>
  <si>
    <t>Sello separador Winters Serie D81 ISO-RING, WAFER SENSOR, 16", CS CENTRE, NEOPRENE, ACETAL PLATES, RELLENO DE GLIC., AC. INOX. WINCONNECT, 1/2" NPT</t>
  </si>
  <si>
    <t>D81WIR18CANSF2N</t>
  </si>
  <si>
    <t>Sello separador Winters Serie D81 ISO-RING, WAFER SENSOR, 18", CS CENTRE, NEOPRENE, ACETAL PLATES, RELLENO DE GLIC., AC. INOX. WINCONNECT, 1/2" NPT</t>
  </si>
  <si>
    <t>D81WIR20CANSF2N</t>
  </si>
  <si>
    <t>Sello separador Winters Serie D81 ISO-RING, WAFER SENSOR, 20", CS CENTRE, NEOPRENE, ACETAL PLATES, RELLENO DE GLIC., AC. INOX. WINCONNECT, 1/2" NPT</t>
  </si>
  <si>
    <t>D81WIR1CAVSF2N</t>
  </si>
  <si>
    <t>Sello separador Winters Serie D81 ISO-RING, WAFER SENSOR, 1", CS CENTRE, VITON, ACETAL PLATES, RELLENO DE GLIC., AC. INOX. WINCONNECT, 1/2" NPT</t>
  </si>
  <si>
    <t>D81WIR1.5CAVSF2N</t>
  </si>
  <si>
    <t>Sello separador Winters Serie D81 ISO-RING, WAFER SENSOR, 1,5", CS CENTRE, VITON, ACETAL PLATES, RELLENO DE GLIC., AC. INOX. WINCONNECT, 1/2" NPT</t>
  </si>
  <si>
    <t>D81WIR2CAVSF2N</t>
  </si>
  <si>
    <t>Sello separador Winters Serie D81 ISO-RING, WAFER SENSOR, 2", CS CENTRE, VITON, ACETAL PLATES, RELLENO DE GLIC., AC. INOX. WINCONNECT, 1/2" NPT</t>
  </si>
  <si>
    <t>D81WIR3CAVSF2N</t>
  </si>
  <si>
    <t>Sello separador Winters Serie D81 ISO-RING, WAFER SENSOR, 3", CS CENTRE, VITON, ACETAL PLATES, RELLENO DE GLIC., AC. INOX. WINCONNECT, 1/2" NPT</t>
  </si>
  <si>
    <t>D81WIR4CAVSF2N</t>
  </si>
  <si>
    <t>Sello separador Winters Serie D81 ISO-RING, WAFER SENSOR, 4", CS CENTRE, VITON, ACETAL PLATES, RELLENO DE GLIC., AC. INOX. WINCONNECT, 1/2" NPT</t>
  </si>
  <si>
    <t>D81WIR6CAVSF2N</t>
  </si>
  <si>
    <t>Sello separador Winters Serie D81 ISO-RING, WAFER SENSOR, 6", CS CENTRE, VITON, ACETAL PLATES, RELLENO DE GLIC., AC. INOX. WINCONNECT, 1/2" NPT</t>
  </si>
  <si>
    <t>D81WIR8CAVSF2N</t>
  </si>
  <si>
    <t>Sello separador Winters Serie D81 ISO-RING, WAFER SENSOR, 8", CS CENTRE, VITON, ACETAL PLATES, RELLENO DE GLIC., AC. INOX. WINCONNECT, 1/2" NPT</t>
  </si>
  <si>
    <t>D81WIR10CAVSF2N</t>
  </si>
  <si>
    <t>Sello separador Winters Serie D81 ISO-RING, WAFER SENSOR, 10", CS CENTRE, VITON, ACETAL PLATES, RELLENO DE GLIC., AC. INOX. WINCONNECT, 1/2" NPT</t>
  </si>
  <si>
    <t>D81WIR12CAVSF2N</t>
  </si>
  <si>
    <t>Sello separador Winters Serie D81 ISO-RING, WAFER SENSOR, 12", CS CENTRE, VITON, ACETAL PLATES, RELLENO DE GLIC., AC. INOX. WINCONNECT, 1/2" NPT</t>
  </si>
  <si>
    <t>D81WIR14CAVSF2N</t>
  </si>
  <si>
    <t>Sello separador Winters Serie D81 ISO-RING, WAFER SENSOR, 14", CS CENTRE, VITON, ACETAL PLATES, RELLENO DE GLIC., AC. INOX. WINCONNECT, 1/2" NPT</t>
  </si>
  <si>
    <t>D81WIR16CAVSF2N</t>
  </si>
  <si>
    <t>Sello separador Winters Serie D81 ISO-RING, WAFER SENSOR, 16", CS CENTRE, VITON, ACETAL PLATES, RELLENO DE GLIC., AC. INOX. WINCONNECT, 1/2" NPT</t>
  </si>
  <si>
    <t>D81WIR18CAVSF2N</t>
  </si>
  <si>
    <t>Sello separador Winters Serie D81 ISO-RING, WAFER SENSOR, 18", CS CENTRE, VITON, ACETAL PLATES, RELLENO DE GLIC., AC. INOX. WINCONNECT, 1/2" NPT</t>
  </si>
  <si>
    <t>D81WIR20CAVSF2N</t>
  </si>
  <si>
    <t>Sello separador Winters Serie D81 ISO-RING, WAFER SENSOR, 20", CS CENTRE, VITON, ACETAL PLATES, RELLENO DE GLIC., AC. INOX. WINCONNECT, 1/2" NPT</t>
  </si>
  <si>
    <t>D81WIR1CCBSF2N</t>
  </si>
  <si>
    <t>Sello separador Winters Serie D81 ISO-RING, WAFER SENSOR, 1", CS CENTRE, BUNA-N, CS PLATES, RELLENO DE GLIC., AC. INOX. WINCONNECT, 1/2" NPT</t>
  </si>
  <si>
    <t>D81WIR1.5CCBSF2N</t>
  </si>
  <si>
    <t>Sello separador Winters Serie D81 ISO-RING, WAFER SENSOR, 1,5", CS CENTRE, BUNA-N, CS PLATES, RELLENO DE GLIC., AC. INOX. WINCONNECT, 1/2" NPT</t>
  </si>
  <si>
    <t>D81WIR2CCBSF2N</t>
  </si>
  <si>
    <t>Sello separador Winters Serie D81 ISO-RING, WAFER SENSOR, 2", CS CENTRE, BUNA-N, CS PLATES, RELLENO DE GLIC., AC. INOX. WINCONNECT, 1/2" NPT</t>
  </si>
  <si>
    <t>D81WIR3CCBSF2N</t>
  </si>
  <si>
    <t>Sello separador Winters Serie D81 ISO-RING, WAFER SENSOR, 3", CS CENTRE, BUNA-N, CS PLATES, RELLENO DE GLIC., AC. INOX. WINCONNECT, 1/2" NPT</t>
  </si>
  <si>
    <t>D81WIR4CCBSF2N</t>
  </si>
  <si>
    <t>Sello separador Winters Serie D81 ISO-RING, WAFER SENSOR, 4", CS CENTRE, BUNA-N, CS PLATES, RELLENO DE GLIC., AC. INOX. WINCONNECT, 1/2" NPT</t>
  </si>
  <si>
    <t>D81WIR6CCBSF2N</t>
  </si>
  <si>
    <t>Sello separador Winters Serie D81 ISO-RING, WAFER SENSOR, 6", CS CENTRE, BUNA-N, CS PLATES, RELLENO DE GLIC., AC. INOX. WINCONNECT, 1/2" NPT</t>
  </si>
  <si>
    <t>D81WIR8CCBSF2N</t>
  </si>
  <si>
    <t>Sello separador Winters Serie D81 ISO-RING, WAFER SENSOR, 8", CS CENTRE, BUNA-N, CS PLATES, RELLENO DE GLIC., AC. INOX. WINCONNECT, 1/2" NPT</t>
  </si>
  <si>
    <t>D81WIR10CCBSF2N</t>
  </si>
  <si>
    <t>Sello separador Winters Serie D81 ISO-RING, WAFER SENSOR, 10", CS CENTRE, BUNA-N, CS PLATES, RELLENO DE GLIC., AC. INOX. WINCONNECT, 1/2" NPT</t>
  </si>
  <si>
    <t>D81WIR12CCBSF2N</t>
  </si>
  <si>
    <t>Sello separador Winters Serie D81 ISO-RING, WAFER SENSOR, 12", CS CENTRE, BUNA-N, CS PLATES, RELLENO DE GLIC., AC. INOX. WINCONNECT, 1/2" NPT</t>
  </si>
  <si>
    <t>D81WIR14CCBSF2N</t>
  </si>
  <si>
    <t>Sello separador Winters Serie D81 ISO-RING, WAFER SENSOR, 14", CS CENTRE, BUNA-N, CS PLATES, RELLENO DE GLIC., AC. INOX. WINCONNECT, 1/2" NPT</t>
  </si>
  <si>
    <t>D81WIR16CCBSF2N</t>
  </si>
  <si>
    <t>Sello separador Winters Serie D81 ISO-RING, WAFER SENSOR, 16", CS CENTRE, BUNA-N, CS PLATES, RELLENO DE GLIC., AC. INOX. WINCONNECT, 1/2" NPT</t>
  </si>
  <si>
    <t>D81WIR18CCBSF2N</t>
  </si>
  <si>
    <t>Sello separador Winters Serie D81 ISO-RING, WAFER SENSOR, 18", CS CENTRE, BUNA-N, CS PLATES, RELLENO DE GLIC., AC. INOX. WINCONNECT, 1/2" NPT</t>
  </si>
  <si>
    <t>D81WIR20CCBSF2N</t>
  </si>
  <si>
    <t>Sello separador Winters Serie D81 ISO-RING, WAFER SENSOR, 20", CS CENTRE, BUNA-N, CS PLATES, RELLENO DE GLIC., AC. INOX. WINCONNECT, 1/2" NPT</t>
  </si>
  <si>
    <t>D81WIR1CCESF2N</t>
  </si>
  <si>
    <t>Sello separador Winters Serie D81 ISO-RING, WAFER SENSOR, 1", CS CENTRE, EPDM, CS PLATES, RELLENO DE GLIC., AC. INOX. WINCONNECT, 1/2" NPT</t>
  </si>
  <si>
    <t>D81WIR1.5CCESF2N</t>
  </si>
  <si>
    <t>Sello separador Winters Serie D81 ISO-RING, WAFER SENSOR, 1,5", CS CENTRE, EPDM, CS PLATES, RELLENO DE GLIC., AC. INOX. WINCONNECT, 1/2" NPT</t>
  </si>
  <si>
    <t>D81WIR2CCESF2N</t>
  </si>
  <si>
    <t>Sello separador Winters Serie D81 ISO-RING, WAFER SENSOR, 2", CS CENTRE, EPDM, CS PLATES, RELLENO DE GLIC., AC. INOX. WINCONNECT, 1/2" NPT</t>
  </si>
  <si>
    <t>D81WIR3CCESF2N</t>
  </si>
  <si>
    <t>Sello separador Winters Serie D81 ISO-RING, WAFER SENSOR, 3", CS CENTRE, EPDM, CS PLATES, RELLENO DE GLIC., AC. INOX. WINCONNECT, 1/2" NPT</t>
  </si>
  <si>
    <t>D81WIR4CCESF2N</t>
  </si>
  <si>
    <t>Sello separador Winters Serie D81 ISO-RING, WAFER SENSOR, 4", CS CENTRE, EPDM, CS PLATES, RELLENO DE GLIC., AC. INOX. WINCONNECT, 1/2" NPT</t>
  </si>
  <si>
    <t>D81WIR6CCESF2N</t>
  </si>
  <si>
    <t>Sello separador Winters Serie D81 ISO-RING, WAFER SENSOR, 6", CS CENTRE, EPDM, CS PLATES, RELLENO DE GLIC., AC. INOX. WINCONNECT, 1/2" NPT</t>
  </si>
  <si>
    <t>D81WIR8CCESF2N</t>
  </si>
  <si>
    <t>Sello separador Winters Serie D81 ISO-RING, WAFER SENSOR, 8", CS CENTRE, EPDM, CS PLATES, RELLENO DE GLIC., AC. INOX. WINCONNECT, 1/2" NPT</t>
  </si>
  <si>
    <t>D81WIR10CCESF2N</t>
  </si>
  <si>
    <t>Sello separador Winters Serie D81 ISO-RING, WAFER SENSOR, 10", CS CENTRE, EPDM, CS PLATES, RELLENO DE GLIC., AC. INOX. WINCONNECT, 1/2" NPT</t>
  </si>
  <si>
    <t>D81WIR12CCESF2N</t>
  </si>
  <si>
    <t>Sello separador Winters Serie D81 ISO-RING, WAFER SENSOR, 12", CS CENTRE, EPDM, CS PLATES, RELLENO DE GLIC., AC. INOX. WINCONNECT, 1/2" NPT</t>
  </si>
  <si>
    <t>D81WIR14CCESF2N</t>
  </si>
  <si>
    <t>Sello separador Winters Serie D81 ISO-RING, WAFER SENSOR, 14", CS CENTRE, EPDM, CS PLATES, RELLENO DE GLIC., AC. INOX. WINCONNECT, 1/2" NPT</t>
  </si>
  <si>
    <t>D81WIR16CCESF2N</t>
  </si>
  <si>
    <t>Sello separador Winters Serie D81 ISO-RING, WAFER SENSOR, 16", CS CENTRE, EPDM, CS PLATES, RELLENO DE GLIC., AC. INOX. WINCONNECT, 1/2" NPT</t>
  </si>
  <si>
    <t>D81WIR18CCESF2N</t>
  </si>
  <si>
    <t>Sello separador Winters Serie D81 ISO-RING, WAFER SENSOR, 18", CS CENTRE, EPDM, CS PLATES, RELLENO DE GLIC., AC. INOX. WINCONNECT, 1/2" NPT</t>
  </si>
  <si>
    <t>D81WIR20CCESF2N</t>
  </si>
  <si>
    <t>Sello separador Winters Serie D81 ISO-RING, WAFER SENSOR, 20", CS CENTRE, EPDM, CS PLATES, RELLENO DE GLIC., AC. INOX. WINCONNECT, 1/2" NPT</t>
  </si>
  <si>
    <t>D81WIR1CCNSF2N</t>
  </si>
  <si>
    <t>Sello separador Winters Serie D81 ISO-RING, WAFER SENSOR, 1", CS CENTRE, NEOPRENE, CS PLATES, RELLENO DE GLIC., AC. INOX. WINCONNECT, 1/2" NPT</t>
  </si>
  <si>
    <t>D81WIR1.5CCNSF2N</t>
  </si>
  <si>
    <t>Sello separador Winters Serie D81 ISO-RING, WAFER SENSOR, 1,5", CS CENTRE, NEOPRENE, CS PLATES, RELLENO DE GLIC., AC. INOX. WINCONNECT, 1/2" NPT</t>
  </si>
  <si>
    <t>D81WIR2CCNSF2N</t>
  </si>
  <si>
    <t>Sello separador Winters Serie D81 ISO-RING, WAFER SENSOR, 2", CS CENTRE, NEOPRENE, CS PLATES, RELLENO DE GLIC., AC. INOX. WINCONNECT, 1/2" NPT</t>
  </si>
  <si>
    <t>D81WIR3CCNSF2N</t>
  </si>
  <si>
    <t>Sello separador Winters Serie D81 ISO-RING, WAFER SENSOR, 3", CS CENTRE, NEOPRENE, CS PLATES, RELLENO DE GLIC., AC. INOX. WINCONNECT, 1/2" NPT</t>
  </si>
  <si>
    <t>D81WIR4CCNSF2N</t>
  </si>
  <si>
    <t>Sello separador Winters Serie D81 ISO-RING, WAFER SENSOR, 4", CS CENTRE, NEOPRENE, CS PLATES, RELLENO DE GLIC., AC. INOX. WINCONNECT, 1/2" NPT</t>
  </si>
  <si>
    <t>D81WIR6CCNSF2N</t>
  </si>
  <si>
    <t>Sello separador Winters Serie D81 ISO-RING, WAFER SENSOR, 6", CS CENTRE, NEOPRENE, CS PLATES, RELLENO DE GLIC., AC. INOX. WINCONNECT, 1/2" NPT</t>
  </si>
  <si>
    <t>D81WIR8CCNSF2N</t>
  </si>
  <si>
    <t>Sello separador Winters Serie D81 ISO-RING, WAFER SENSOR, 8", CS CENTRE, NEOPRENE, CS PLATES, RELLENO DE GLIC., AC. INOX. WINCONNECT, 1/2" NPT</t>
  </si>
  <si>
    <t>D81WIR10CCNSF2N</t>
  </si>
  <si>
    <t>Sello separador Winters Serie D81 ISO-RING, WAFER SENSOR, 10", CS CENTRE, NEOPRENE, CS PLATES, RELLENO DE GLIC., AC. INOX. WINCONNECT, 1/2" NPT</t>
  </si>
  <si>
    <t>D81WIR12CCNSF2N</t>
  </si>
  <si>
    <t>Sello separador Winters Serie D81 ISO-RING, WAFER SENSOR, 12", CS CENTRE, NEOPRENE, CS PLATES, RELLENO DE GLIC., AC. INOX. WINCONNECT, 1/2" NPT</t>
  </si>
  <si>
    <t>D81WIR14CCNSF2N</t>
  </si>
  <si>
    <t>Sello separador Winters Serie D81 ISO-RING, WAFER SENSOR, 14", CS CENTRE, NEOPRENE, CS PLATES, RELLENO DE GLIC., AC. INOX. WINCONNECT, 1/2" NPT</t>
  </si>
  <si>
    <t>D81WIR16CCNSF2N</t>
  </si>
  <si>
    <t>Sello separador Winters Serie D81 ISO-RING, WAFER SENSOR, 16", CS CENTRE, NEOPRENE, CS PLATES, RELLENO DE GLIC., AC. INOX. WINCONNECT, 1/2" NPT</t>
  </si>
  <si>
    <t>D81WIR18CCNSF2N</t>
  </si>
  <si>
    <t>Sello separador Winters Serie D81 ISO-RING, WAFER SENSOR, 18", CS CENTRE, NEOPRENE, CS PLATES, RELLENO DE GLIC., AC. INOX. WINCONNECT, 1/2" NPT</t>
  </si>
  <si>
    <t>D81WIR20CCNSF2N</t>
  </si>
  <si>
    <t>Sello separador Winters Serie D81 ISO-RING, WAFER SENSOR, 20", CS CENTRE, NEOPRENE, CS PLATES, RELLENO DE GLIC., AC. INOX. WINCONNECT, 1/2" NPT</t>
  </si>
  <si>
    <t>D81WIR1CCPSF2N</t>
  </si>
  <si>
    <t>Sello separador Winters Serie D81 ISO-RING, WAFER SENSOR, 1", CS CENTRE, PTFE, CS PLATES, RELLENO DE GLIC., AC. INOX. WINCONNECT, 1/2" NPT</t>
  </si>
  <si>
    <t>D81WIR1.5CCPSF2N</t>
  </si>
  <si>
    <t>Sello separador Winters Serie D81 ISO-RING, WAFER SENSOR, 1,5", CS CENTRE, PTFE, CS PLATES, RELLENO DE GLIC., AC. INOX. WINCONNECT, 1/2" NPT</t>
  </si>
  <si>
    <t>D81WIR2CCPSF2N</t>
  </si>
  <si>
    <t>Sello separador Winters Serie D81 ISO-RING, WAFER SENSOR, 2", CS CENTRE, PTFE, CS PLATES, RELLENO DE GLIC., AC. INOX. WINCONNECT, 1/2" NPT</t>
  </si>
  <si>
    <t>D81WIR3CCPSF2N</t>
  </si>
  <si>
    <t>Sello separador Winters Serie D81 ISO-RING, WAFER SENSOR, 3", CS CENTRE, PTFE, CS PLATES, RELLENO DE GLIC., AC. INOX. WINCONNECT, 1/2" NPT</t>
  </si>
  <si>
    <t>D81WIR4CCPSF2N</t>
  </si>
  <si>
    <t>Sello separador Winters Serie D81 ISO-RING, WAFER SENSOR, 4", CS CENTRE, PTFE, CS PLATES, RELLENO DE GLIC., AC. INOX. WINCONNECT, 1/2" NPT</t>
  </si>
  <si>
    <t>D81WIR6CCPSF2N</t>
  </si>
  <si>
    <t>Sello separador Winters Serie D81 ISO-RING, WAFER SENSOR, 6", CS CENTRE, PTFE, CS PLATES, RELLENO DE GLIC., AC. INOX. WINCONNECT, 1/2" NPT</t>
  </si>
  <si>
    <t>D81WIR8CCPSF2N</t>
  </si>
  <si>
    <t>Sello separador Winters Serie D81 ISO-RING, WAFER SENSOR, 8", CS CENTRE, PTFE, CS PLATES, RELLENO DE GLIC., AC. INOX. WINCONNECT, 1/2" NPT</t>
  </si>
  <si>
    <t>D81WIR10CCPSF2N</t>
  </si>
  <si>
    <t>Sello separador Winters Serie D81 ISO-RING, WAFER SENSOR, 10", CS CENTRE, PTFE, CS PLATES, RELLENO DE GLIC., AC. INOX. WINCONNECT, 1/2" NPT</t>
  </si>
  <si>
    <t>D81WIR12CCPSF2N</t>
  </si>
  <si>
    <t>Sello separador Winters Serie D81 ISO-RING, WAFER SENSOR, 12", CS CENTRE, PTFE, CS PLATES, RELLENO DE GLIC., AC. INOX. WINCONNECT, 1/2" NPT</t>
  </si>
  <si>
    <t>D81WIR14CCPSF2N</t>
  </si>
  <si>
    <t>Sello separador Winters Serie D81 ISO-RING, WAFER SENSOR, 14", CS CENTRE, PTFE, CS PLATES, RELLENO DE GLIC., AC. INOX. WINCONNECT, 1/2" NPT</t>
  </si>
  <si>
    <t>D81WIR16CCPSF2N</t>
  </si>
  <si>
    <t>Sello separador Winters Serie D81 ISO-RING, WAFER SENSOR, 16", CS CENTRE, PTFE, CS PLATES, RELLENO DE GLIC., AC. INOX. WINCONNECT, 1/2" NPT</t>
  </si>
  <si>
    <t>D81WIR18CCPSF2N</t>
  </si>
  <si>
    <t>Sello separador Winters Serie D81 ISO-RING, WAFER SENSOR, 18", CS CENTRE, PTFE, CS PLATES, RELLENO DE GLIC., AC. INOX. WINCONNECT, 1/2" NPT</t>
  </si>
  <si>
    <t>D81WIR20CCPSF2N</t>
  </si>
  <si>
    <t>Sello separador Winters Serie D81 ISO-RING, WAFER SENSOR, 20", CS CENTRE, PTFE, CS PLATES, RELLENO DE GLIC., AC. INOX. WINCONNECT, 1/2" NPT</t>
  </si>
  <si>
    <t>D81WIR22CCPSF2N</t>
  </si>
  <si>
    <t>Sello separador Winters Serie D81 ISO-RING, WAFER SENSOR, 22", CS CENTRE, PTFE, CS PLATES, RELLENO DE GLIC., AC. INOX. WINCONNECT, 1/2" NPT</t>
  </si>
  <si>
    <t>D81WIR24CCPSF2N</t>
  </si>
  <si>
    <t>Sello separador Winters Serie D81 ISO-RING, WAFER SENSOR, 24", CS CENTRE, PTFE, CS PLATES, RELLENO DE GLIC., AC. INOX. WINCONNECT, 1/2" NPT</t>
  </si>
  <si>
    <t>D81WIR1CCRSF2N</t>
  </si>
  <si>
    <t>Sello separador Winters Serie D81 ISO-RING, WAFER SENSOR, 1", CS CENTRE, NATURAL RUBBER, CS PLATES, RELLENO DE GLIC., AC. INOX. WINCONNECT, 1/2" NPT</t>
  </si>
  <si>
    <t>D81WIR1.5CCRSF2N</t>
  </si>
  <si>
    <t>Sello separador Winters Serie D81 ISO-RING, WAFER SENSOR, 1,5", CS CENTRE, NATURAL RUBBER, CS PLATES, RELLENO DE GLIC., AC. INOX. WINCONNECT, 1/2" NPT</t>
  </si>
  <si>
    <t>D81WIR2CCRSF2N</t>
  </si>
  <si>
    <t>Sello separador Winters Serie D81 ISO-RING, WAFER SENSOR, 2", CS CENTRE, NATURAL RUBBER, CS PLATES, RELLENO DE GLIC., AC. INOX. WINCONNECT, 1/2" NPT</t>
  </si>
  <si>
    <t>D81WIR3CCRSF2N</t>
  </si>
  <si>
    <t>Sello separador Winters Serie D81 ISO-RING, WAFER SENSOR, 3", CS CENTRE, NATURAL RUBBER, CS PLATES, RELLENO DE GLIC., AC. INOX. WINCONNECT, 1/2" NPT</t>
  </si>
  <si>
    <t>D81WIR4CCRSF2N</t>
  </si>
  <si>
    <t>Sello separador Winters Serie D81 ISO-RING, WAFER SENSOR, 4", CS CENTRE, NATURAL RUBBER, CS PLATES, RELLENO DE GLIC., AC. INOX. WINCONNECT, 1/2" NPT</t>
  </si>
  <si>
    <t>D81WIR6CCRSF2N</t>
  </si>
  <si>
    <t>Sello separador Winters Serie D81 ISO-RING, WAFER SENSOR, 6", CS CENTRE, NATURAL RUBBER, CS PLATES, RELLENO DE GLIC., AC. INOX. WINCONNECT, 1/2" NPT</t>
  </si>
  <si>
    <t>D81WIR8CCRSF2N</t>
  </si>
  <si>
    <t>Sello separador Winters Serie D81 ISO-RING, WAFER SENSOR, 8", CS CENTRE, NATURAL RUBBER, CS PLATES, RELLENO DE GLIC., AC. INOX. WINCONNECT, 1/2" NPT</t>
  </si>
  <si>
    <t>D81WIR10CCRSF2N</t>
  </si>
  <si>
    <t>Sello separador Winters Serie D81 ISO-RING, WAFER SENSOR, 10", CS CENTRE, NATURAL RUBBER, CS PLATES, RELLENO DE GLIC., AC. INOX. WINCONNECT, 1/2" NPT</t>
  </si>
  <si>
    <t>D81WIR12CCRSF2N</t>
  </si>
  <si>
    <t>Sello separador Winters Serie D81 ISO-RING, WAFER SENSOR, 12", CS CENTRE, NATURAL RUBBER, CS PLATES, RELLENO DE GLIC., AC. INOX. WINCONNECT, 1/2" NPT</t>
  </si>
  <si>
    <t>D81WIR14CCRSF2N</t>
  </si>
  <si>
    <t>Sello separador Winters Serie D81 ISO-RING, WAFER SENSOR, 14", CS CENTRE, NATURAL RUBBER, CS PLATES, RELLENO DE GLIC., AC. INOX. WINCONNECT, 1/2" NPT</t>
  </si>
  <si>
    <t>D81WIR16CCRSF2N</t>
  </si>
  <si>
    <t>Sello separador Winters Serie D81 ISO-RING, WAFER SENSOR, 16", CS CENTRE, NATURAL RUBBER, CS PLATES, RELLENO DE GLIC., AC. INOX. WINCONNECT, 1/2" NPT</t>
  </si>
  <si>
    <t>D81WIR18CCRSF2N</t>
  </si>
  <si>
    <t>Sello separador Winters Serie D81 ISO-RING, WAFER SENSOR, 18", CS CENTRE, NATURAL RUBBER, CS PLATES, RELLENO DE GLIC., AC. INOX. WINCONNECT, 1/2" NPT</t>
  </si>
  <si>
    <t>D81WIR20CCRSF2N</t>
  </si>
  <si>
    <t>Sello separador Winters Serie D81 ISO-RING, WAFER SENSOR, 20", CS CENTRE, NATURAL RUBBER, CS PLATES, RELLENO DE GLIC., AC. INOX. WINCONNECT, 1/2" NPT</t>
  </si>
  <si>
    <t>D81WIR1CCVSF2N</t>
  </si>
  <si>
    <t>Sello separador Winters Serie D81 ISO-RING, WAFER SENSOR, 1", CS CENTRE, VITON, CS PLATES, RELLENO DE GLIC., AC. INOX. WINCONNECT, 1/2" NPT</t>
  </si>
  <si>
    <t>D81WIR1.5CCVSF2N</t>
  </si>
  <si>
    <t>Sello separador Winters Serie D81 ISO-RING, WAFER SENSOR, 1,5", CS CENTRE, VITON, CS PLATES, RELLENO DE GLIC., AC. INOX. WINCONNECT, 1/2" NPT</t>
  </si>
  <si>
    <t>D81WIR2CCVSF2N</t>
  </si>
  <si>
    <t>Sello separador Winters Serie D81 ISO-RING, WAFER SENSOR, 2", CS CENTRE, VITON, CS PLATES, RELLENO DE GLIC., AC. INOX. WINCONNECT, 1/2" NPT</t>
  </si>
  <si>
    <t>D81WIR3CCVSF2N</t>
  </si>
  <si>
    <t>Sello separador Winters Serie D81 ISO-RING, WAFER SENSOR, 3", CS CENTRE, VITON, CS PLATES, RELLENO DE GLIC., AC. INOX. WINCONNECT, 1/2" NPT</t>
  </si>
  <si>
    <t>D81WIR4CCVSF2N</t>
  </si>
  <si>
    <t>Sello separador Winters Serie D81 ISO-RING, WAFER SENSOR, 4", CS CENTRE, VITON, CS PLATES, RELLENO DE GLIC., AC. INOX. WINCONNECT, 1/2" NPT</t>
  </si>
  <si>
    <t>D81WIR6CCVSF2N</t>
  </si>
  <si>
    <t>Sello separador Winters Serie D81 ISO-RING, WAFER SENSOR, 6", CS CENTRE, VITON, CS PLATES, RELLENO DE GLIC., AC. INOX. WINCONNECT, 1/2" NPT</t>
  </si>
  <si>
    <t>D81WIR8CCVSF2N</t>
  </si>
  <si>
    <t>Sello separador Winters Serie D81 ISO-RING, WAFER SENSOR, 8", CS CENTRE, VITON, CS PLATES, RELLENO DE GLIC., AC. INOX. WINCONNECT, 1/2" NPT</t>
  </si>
  <si>
    <t>D81WIR10CCVSF2N</t>
  </si>
  <si>
    <t>Sello separador Winters Serie D81 ISO-RING, WAFER SENSOR, 10", CS CENTRE, VITON, CS PLATES, RELLENO DE GLIC., AC. INOX. WINCONNECT, 1/2" NPT</t>
  </si>
  <si>
    <t>D81WIR12CCVSF2N</t>
  </si>
  <si>
    <t>Sello separador Winters Serie D81 ISO-RING, WAFER SENSOR, 12", CS CENTRE, VITON, CS PLATES, RELLENO DE GLIC., AC. INOX. WINCONNECT, 1/2" NPT</t>
  </si>
  <si>
    <t>D81WIR14CCVSF2N</t>
  </si>
  <si>
    <t>Sello separador Winters Serie D81 ISO-RING, WAFER SENSOR, 14", CS CENTRE, VITON, CS PLATES, RELLENO DE GLIC., AC. INOX. WINCONNECT, 1/2" NPT</t>
  </si>
  <si>
    <t>D81WIR16CCVSF2N</t>
  </si>
  <si>
    <t>Sello separador Winters Serie D81 ISO-RING, WAFER SENSOR, 16", CS CENTRE, VITON, CS PLATES, RELLENO DE GLIC., AC. INOX. WINCONNECT, 1/2" NPT</t>
  </si>
  <si>
    <t>D81WIR18CCVSF2N</t>
  </si>
  <si>
    <t>Sello separador Winters Serie D81 ISO-RING, WAFER SENSOR, 18", CS CENTRE, VITON, CS PLATES, RELLENO DE GLIC., AC. INOX. WINCONNECT, 1/2" NPT</t>
  </si>
  <si>
    <t>D81WIR20CCVSF2N</t>
  </si>
  <si>
    <t>Sello separador Winters Serie D81 ISO-RING, WAFER SENSOR, 20", CS CENTRE, VITON, CS PLATES, RELLENO DE GLIC., AC. INOX. WINCONNECT, 1/2" NPT</t>
  </si>
  <si>
    <t>D81WIR1CSBSF2N</t>
  </si>
  <si>
    <t>Sello separador Winters Serie D81 ISO-RING, WAFER SENSOR, 1", CS, BUNA-N, AC. INOX. PLATES, RELLENO DE GLIC., AC. INOX. WINCONNECT, 1/2" NPT</t>
  </si>
  <si>
    <t>D81WIR1.5CSBSF2N</t>
  </si>
  <si>
    <t>Sello separador Winters Serie D81 ISO-RING, WAFER SENSOR, 1,5", CS, BUNA-N, AC. INOX. PLATES, RELLENO DE GLIC., AC. INOX. WINCONNECT, 1/2" NPT</t>
  </si>
  <si>
    <t>D81WIR2CSBSF2N</t>
  </si>
  <si>
    <t>Sello separador Winters Serie D81 ISO-RING, WAFER SENSOR, 2", CS, BUNA-N, AC. INOX. PLATES, RELLENO DE GLIC., AC. INOX. WINCONNECT, 1/2" NPT</t>
  </si>
  <si>
    <t>D81WIR3CSBSF2N</t>
  </si>
  <si>
    <t>Sello separador Winters Serie D81 ISO-RING, WAFER SENSOR, 3", CS, BUNA-N, AC. INOX. PLATES, RELLENO DE GLIC., AC. INOX. WINCONNECT, 1/2" NPT</t>
  </si>
  <si>
    <t>D81WIR4CSBSF2N</t>
  </si>
  <si>
    <t>Sello separador Winters Serie D81 ISO-RING, WAFER SENSOR, 4", CS, BUNA-N, AC. INOX. PLATES, RELLENO DE GLIC., AC. INOX. WINCONNECT, 1/2" NPT</t>
  </si>
  <si>
    <t>D81WIR6CSBSF2N</t>
  </si>
  <si>
    <t>Sello separador Winters Serie D81 ISO-RING, WAFER SENSOR, 6", CS, BUNA-N, AC. INOX. PLATES, RELLENO DE GLIC., AC. INOX. WINCONNECT, 1/2" NPT</t>
  </si>
  <si>
    <t>D81WIR8CSBSF2N</t>
  </si>
  <si>
    <t>Sello separador Winters Serie D81 ISO-RING, WAFER SENSOR, 8", CS, BUNA-N, AC. INOX. PLATES, RELLENO DE GLIC., AC. INOX. WINCONNECT, 1/2" NPT</t>
  </si>
  <si>
    <t>D81WIR10CSBSF2N</t>
  </si>
  <si>
    <t>Sello separador Winters Serie D81 ISO-RING, WAFER SENSOR, 10", CS, BUNA-N, AC. INOX. PLATES, RELLENO DE GLIC., AC. INOX. WINCONNECT, 1/2" NPT</t>
  </si>
  <si>
    <t>D81WIR12CSBSF2N</t>
  </si>
  <si>
    <t>Sello separador Winters Serie D81 ISO-RING, WAFER SENSOR, 12", CS, BUNA-N, AC. INOX. PLATES, RELLENO DE GLIC., AC. INOX. WINCONNECT, 1/2" NPT</t>
  </si>
  <si>
    <t>D81WIR14CSBSF2N</t>
  </si>
  <si>
    <t>Sello separador Winters Serie D81 ISO-RING, WAFER SENSOR, 14", CS, BUNA-N, AC. INOX. PLATES, RELLENO DE GLIC., AC. INOX. WINCONNECT, 1/2" NPT</t>
  </si>
  <si>
    <t>D81WIR16CSBSF2N</t>
  </si>
  <si>
    <t>Sello separador Winters Serie D81 ISO-RING, WAFER SENSOR, 16", CS, BUNA-N, AC. INOX. PLATES, RELLENO DE GLIC., AC. INOX. WINCONNECT, 1/2" NPT</t>
  </si>
  <si>
    <t>D81WIR18CSBSF2N</t>
  </si>
  <si>
    <t>Sello separador Winters Serie D81 ISO-RING, WAFER SENSOR, 18", CS, BUNA-N, AC. INOX. PLATES, RELLENO DE GLIC., AC. INOX. WINCONNECT, 1/2" NPT</t>
  </si>
  <si>
    <t>D81WIR20CSBSF2N</t>
  </si>
  <si>
    <t>Sello separador Winters Serie D81 ISO-RING, WAFER SENSOR, 20", CS, BUNA-N, AC. INOX. PLATES, RELLENO DE GLIC., AC. INOX. WINCONNECT, 1/2" NPT</t>
  </si>
  <si>
    <t>D81WIR30CSBSF2N</t>
  </si>
  <si>
    <t>Sello separador Winters Serie D81 ISO-RING, WAFER SENSOR, 30", CS, BUNA-N, AC. INOX. PLATES, RELLENO DE GLIC., AC. INOX. WINCONNECT, 1/2" NPT</t>
  </si>
  <si>
    <t>D81WIR1CSESF2N</t>
  </si>
  <si>
    <t>Sello separador Winters Serie D81 ISO-RING, WAFER SENSOR, 1", CS CENTRE, EPDM, AC. INOX. PLATES, RELLENO DE GLIC., AC. INOX. WINCONNECT, 1/2" NPT</t>
  </si>
  <si>
    <t>D81WIR1.5CSESF2N</t>
  </si>
  <si>
    <t>Sello separador Winters Serie D81 ISO-RING, WAFER SENSOR, 1,5", CS CENTRE, EPDM, AC. INOX. PLATES, RELLENO DE GLIC., AC. INOX. WINCONNECT, 1/2" NPT</t>
  </si>
  <si>
    <t>D81WIR2CSESF2N</t>
  </si>
  <si>
    <t>Sello separador Winters Serie D81 ISO-RING, WAFER SENSOR, 2", CS CENTRE, EPDM, AC. INOX. PLATES, RELLENO DE GLIC., AC. INOX. WINCONNECT, 1/2" NPT</t>
  </si>
  <si>
    <t>D81WIR3CSESF2N</t>
  </si>
  <si>
    <t>Sello separador Winters Serie D81 ISO-RING, WAFER SENSOR, 3", CS CENTRE, EPDM, AC. INOX. PLATES, RELLENO DE GLIC., AC. INOX. WINCONNECT, 1/2" NPT</t>
  </si>
  <si>
    <t>D81WIR4CSESF2N</t>
  </si>
  <si>
    <t>Sello separador Winters Serie D81 ISO-RING, WAFER SENSOR, 4", CS CENTRE, EPDM, AC. INOX. PLATES, RELLENO DE GLIC., AC. INOX. WINCONNECT, 1/2" NPT</t>
  </si>
  <si>
    <t>D81WIR6CSESF2N</t>
  </si>
  <si>
    <t>Sello separador Winters Serie D81 ISO-RING, WAFER SENSOR, 6", CS CENTRE, EPDM, AC. INOX. PLATES, RELLENO DE GLIC., AC. INOX. WINCONNECT, 1/2" NPT</t>
  </si>
  <si>
    <t>D81WIR8CSESF2N</t>
  </si>
  <si>
    <t>Sello separador Winters Serie D81 ISO-RING, WAFER SENSOR, 8", CS CENTRE, EPDM, AC. INOX. PLATES, RELLENO DE GLIC., AC. INOX. WINCONNECT, 1/2" NPT</t>
  </si>
  <si>
    <t>D81WIR10CSESF2N</t>
  </si>
  <si>
    <t>Sello separador Winters Serie D81 ISO-RING, WAFER SENSOR, 10", CS CENTRE, EPDM, AC. INOX. PLATES, RELLENO DE GLIC., AC. INOX. WINCONNECT, 1/2" NPT</t>
  </si>
  <si>
    <t>D81WIR12CSESF2N</t>
  </si>
  <si>
    <t>Sello separador Winters Serie D81 ISO-RING, WAFER SENSOR, 12", CS CENTRE, EPDM, AC. INOX. PLATES, RELLENO DE GLIC., AC. INOX. WINCONNECT, 1/2" NPT</t>
  </si>
  <si>
    <t>D81WIR14CSESF2N</t>
  </si>
  <si>
    <t>Sello separador Winters Serie D81 ISO-RING, WAFER SENSOR, 14", CS CENTRE, EPDM, AC. INOX. PLATES, RELLENO DE GLIC., AC. INOX. WINCONNECT, 1/2" NPT</t>
  </si>
  <si>
    <t>D81WIR16CSESF2N</t>
  </si>
  <si>
    <t>Sello separador Winters Serie D81 ISO-RING, WAFER SENSOR, 16", CS CENTRE, EPDM, AC. INOX. PLATES, RELLENO DE GLIC., AC. INOX. WINCONNECT, 1/2" NPT</t>
  </si>
  <si>
    <t>D81WIR18CSESF2N</t>
  </si>
  <si>
    <t>Sello separador Winters Serie D81 ISO-RING, WAFER SENSOR, 18", CS CENTRE, EPDM, AC. INOX. PLATES, RELLENO DE GLIC., AC. INOX. WINCONNECT, 1/2" NPT</t>
  </si>
  <si>
    <t>D81WIR20CSESF2N</t>
  </si>
  <si>
    <t>Sello separador Winters Serie D81 ISO-RING, WAFER SENSOR, 20", CS CENTRE, EPDM, AC. INOX. PLATES, RELLENO DE GLIC., AC. INOX. WINCONNECT, 1/2" NPT</t>
  </si>
  <si>
    <t>D81WIR30CSESF2N</t>
  </si>
  <si>
    <t>Sello separador Winters Serie D81 ISO-RING, WAFER SENSOR, 30", CS CENTRE, EPDM, AC. INOX. PLATES, RELLENO DE GLIC., AC. INOX. WINCONNECT, 1/2" NPT</t>
  </si>
  <si>
    <t>D81WIR1CSNSF2N</t>
  </si>
  <si>
    <t>Sello separador Winters Serie D81 ISO-RING, WAFER SENSOR, 1", CS CENTRE, NEOPRENE, AC. INOX. PLATES, RELLENO DE GLIC., AC. INOX. WINCONNECT, 1/2" NPT</t>
  </si>
  <si>
    <t>D81WIR1.5CSNSF2N</t>
  </si>
  <si>
    <t>Sello separador Winters Serie D81 ISO-RING, WAFER SENSOR, 1,5", CS CENTRE, NEOPRENE, AC. INOX. PLATES, RELLENO DE GLIC., AC. INOX. WINCONNECT, 1/2" NPT</t>
  </si>
  <si>
    <t>D81WIR2CSNSF2N</t>
  </si>
  <si>
    <t>Sello separador Winters Serie D81 ISO-RING, WAFER SENSOR, 2", CS CENTRE, NEOPRENE, AC. INOX. PLATES, RELLENO DE GLIC., AC. INOX. WINCONNECT, 1/2" NPT</t>
  </si>
  <si>
    <t>D81WIR3CSNSF2N</t>
  </si>
  <si>
    <t>Sello separador Winters Serie D81 ISO-RING, WAFER SENSOR, 3", CS CENTRE, NEOPRENE, AC. INOX. PLATES, RELLENO DE GLIC., AC. INOX. WINCONNECT, 1/2" NPT</t>
  </si>
  <si>
    <t>D81WIR4CSNSF2N</t>
  </si>
  <si>
    <t>Sello separador Winters Serie D81 ISO-RING, WAFER SENSOR, 4", CS CENTRE, NEOPRENE, AC. INOX. PLATES, RELLENO DE GLIC., AC. INOX. WINCONNECT, 1/2" NPT</t>
  </si>
  <si>
    <t>D81WIR6CSNSF2N</t>
  </si>
  <si>
    <t>Sello separador Winters Serie D81 ISO-RING, WAFER SENSOR, 6", CS CENTRE, NEOPRENE, AC. INOX. PLATES, RELLENO DE GLIC., AC. INOX. WINCONNECT, 1/2" NPT</t>
  </si>
  <si>
    <t>D81WIR8CSNSF2N</t>
  </si>
  <si>
    <t>Sello separador Winters Serie D81 ISO-RING, WAFER SENSOR, 8", CS CENTRE, NEOPRENE, AC. INOX. PLATES, RELLENO DE GLIC., AC. INOX. WINCONNECT, 1/2" NPT</t>
  </si>
  <si>
    <t>D81WIR10CSNSF2N</t>
  </si>
  <si>
    <t>Sello separador Winters Serie D81 ISO-RING, WAFER SENSOR, 10", CS CENTRE, NEOPRENE, AC. INOX. PLATES, RELLENO DE GLIC., AC. INOX. WINCONNECT, 1/2" NPT</t>
  </si>
  <si>
    <t>D81WIR12CSNSF2N</t>
  </si>
  <si>
    <t>Sello separador Winters Serie D81 ISO-RING, WAFER SENSOR, 12", CS CENTRE, NEOPRENE, AC. INOX. PLATES, RELLENO DE GLIC., AC. INOX. WINCONNECT, 1/2" NPT</t>
  </si>
  <si>
    <t>D81WIR14CSNSF2N</t>
  </si>
  <si>
    <t>Sello separador Winters Serie D81 ISO-RING, WAFER SENSOR, 14", CS CENTRE, NEOPRENE, AC. INOX. PLATES, RELLENO DE GLIC., AC. INOX. WINCONNECT, 1/2" NPT</t>
  </si>
  <si>
    <t>D81WIR16CSNSF2N</t>
  </si>
  <si>
    <t>Sello separador Winters Serie D81 ISO-RING, WAFER SENSOR, 16", CS CENTRE, NEOPRENE, AC. INOX. PLATES, RELLENO DE GLIC., AC. INOX. WINCONNECT, 1/2" NPT</t>
  </si>
  <si>
    <t>D81WIR18CSNSF2N</t>
  </si>
  <si>
    <t>Sello separador Winters Serie D81 ISO-RING, WAFER SENSOR, 18", CS CENTRE, NEOPRENE, AC. INOX. PLATES, RELLENO DE GLIC., AC. INOX. WINCONNECT, 1/2" NPT</t>
  </si>
  <si>
    <t>D81WIR20CSNSF2N</t>
  </si>
  <si>
    <t>Sello separador Winters Serie D81 ISO-RING, WAFER SENSOR, 20", CS CENTRE, NEOPRENE, AC. INOX. PLATES, RELLENO DE GLIC., AC. INOX. WINCONNECT, 1/2" NPT</t>
  </si>
  <si>
    <t>D81WIR30CSNSF2N</t>
  </si>
  <si>
    <t>Sello separador Winters Serie D81 ISO-RING, WAFER SENSOR, 30", CS CENTRE, NEOPRENE, AC. INOX. PLATES, RELLENO DE GLIC., AC. INOX. WINCONNECT, 1/2" NPT</t>
  </si>
  <si>
    <t>D81WIR1CSPSF2N</t>
  </si>
  <si>
    <t>Sello separador Winters Serie D81 ISO-RING, WAFER SENSOR, 1", CS CENTRE, PTFE, STAINLEAC. INOX. PLATES, RELLENO DE GLIC., AC. INOX. WINCONNECT, 1/2" NPT</t>
  </si>
  <si>
    <t>D81WIR1.5CSPSF2N</t>
  </si>
  <si>
    <t>Sello separador Winters Serie D81 ISO-RING, WAFER SENSOR, 1,5", CS CENTRE, PTFE, STAINLEAC. INOX. PLATES, RELLENO DE GLIC., AC. INOX. WINCONNECT, 1/2" NPT</t>
  </si>
  <si>
    <t>D81WIR2CSPSF2N</t>
  </si>
  <si>
    <t>Sello separador Winters Serie D81 ISO-RING, WAFER SENSOR, 2", CS CENTRE, PTFE, STAINLEAC. INOX. PLATES, RELLENO DE GLIC., AC. INOX. WINCONNECT, 1/2" NPT</t>
  </si>
  <si>
    <t>D81WIR3CSPSF2N</t>
  </si>
  <si>
    <t>Sello separador Winters Serie D81 ISO-RING, WAFER SENSOR, 3", CS CENTRE, PTFE, STAINLEAC. INOX. PLATES, RELLENO DE GLIC., AC. INOX. WINCONNECT, 1/2" NPT</t>
  </si>
  <si>
    <t>D81WIR4CSPSF2N</t>
  </si>
  <si>
    <t>Sello separador Winters Serie D81 ISO-RING, WAFER SENSOR, 4", CS CENTRE, PTFE, STAINLEAC. INOX. PLATES, RELLENO DE GLIC., AC. INOX. WINCONNECT, 1/2" NPT</t>
  </si>
  <si>
    <t>D81WIR6CSPSF2N</t>
  </si>
  <si>
    <t>Sello separador Winters Serie D81 ISO-RING, WAFER SENSOR, 6", CS CENTRE, PTFE, STAINLEAC. INOX. PLATES, RELLENO DE GLIC., AC. INOX. WINCONNECT, 1/2" NPT</t>
  </si>
  <si>
    <t>D81WIR8CSPSF2N</t>
  </si>
  <si>
    <t>Sello separador Winters Serie D81 ISO-RING, WAFER SENSOR, 8", CS CENTRE, PTFE, STAINLEAC. INOX. PLATES, RELLENO DE GLIC., AC. INOX. WINCONNECT, 1/2" NPT</t>
  </si>
  <si>
    <t>D81WIR10CSPSF2N</t>
  </si>
  <si>
    <t>Sello separador Winters Serie D81 ISO-RING, WAFER SENSOR, 10", CS CENTRE, PTFE, STAINLEAC. INOX. PLATES, RELLENO DE GLIC., AC. INOX. WINCONNECT, 1/2" NPT</t>
  </si>
  <si>
    <t>D81WIR12CSPSF2N</t>
  </si>
  <si>
    <t>Sello separador Winters Serie D81 ISO-RING, WAFER SENSOR, 12", CS CENTRE, PTFE, STAINLEAC. INOX. PLATES, RELLENO DE GLIC., AC. INOX. WINCONNECT, 1/2" NPT</t>
  </si>
  <si>
    <t>D81WIR14CSPSF2N</t>
  </si>
  <si>
    <t>Sello separador Winters Serie D81 ISO-RING, WAFER SENSOR, 14", CS CENTRE, PTFE, STAINLEAC. INOX. PLATES, RELLENO DE GLIC., AC. INOX. WINCONNECT, 1/2" NPT</t>
  </si>
  <si>
    <t>D81WIR16CSPSF2N</t>
  </si>
  <si>
    <t>Sello separador Winters Serie D81 ISO-RING, WAFER SENSOR, 16", CS CENTRE, PTFE, STAINLEAC. INOX. PLATES, RELLENO DE GLIC., AC. INOX. WINCONNECT, 1/2" NPT</t>
  </si>
  <si>
    <t>D81WIR18CSPSF2N</t>
  </si>
  <si>
    <t>Sello separador Winters Serie D81 ISO-RING, WAFER SENSOR, 18", CS CENTRE, PTFE, STAINLEAC. INOX. PLATES, RELLENO DE GLIC., AC. INOX. WINCONNECT, 1/2" NPT</t>
  </si>
  <si>
    <t>D81WIR20CSPSF2N</t>
  </si>
  <si>
    <t>Sello separador Winters Serie D81 ISO-RING, WAFER SENSOR, 20", CS CENTRE, PTFE, STAINLEAC. INOX. PLATES, RELLENO DE GLIC., AC. INOX. WINCONNECT, 1/2" NPT</t>
  </si>
  <si>
    <t>D81WIR22CSPSF2N</t>
  </si>
  <si>
    <t>Sello separador Winters Serie D81 ISO-RING, WAFER SENSOR, 22", CS CENTRE, PTFE, STAINLEAC. INOX. PLATES, RELLENO DE GLIC., AC. INOX. WINCONNECT, 1/2" NPT</t>
  </si>
  <si>
    <t>D81WIR24CSPSF2N</t>
  </si>
  <si>
    <t>Sello separador Winters Serie D81 ISO-RING, WAFER SENSOR, 24", CS CENTRE, PTFE, STAINLEAC. INOX. PLATES, RELLENO DE GLIC., AC. INOX. WINCONNECT, 1/2" NPT</t>
  </si>
  <si>
    <t>D81WIR1CSRSF2N</t>
  </si>
  <si>
    <t>Sello separador Winters Serie D81 ISO-RING, WAFER SENSOR, 1", CS CENTRE, NATURAL RUBBER, AC. INOX. PLATES, RELLENO DE GLIC., AC. INOX. WINCONNECT, 1/2" NPT</t>
  </si>
  <si>
    <t>D81WIR1.5CSRSF2N</t>
  </si>
  <si>
    <t>Sello separador Winters Serie D81 ISO-RING, WAFER SENSOR, 1,5", CS CENTRE, NATURAL RUBBER, AC. INOX. PLATES, RELLENO DE GLIC., AC. INOX. WINCONNECT, 1/2" NPT</t>
  </si>
  <si>
    <t>D81WIR2CSRSF2N</t>
  </si>
  <si>
    <t>Sello separador Winters Serie D81 ISO-RING, WAFER SENSOR, 2", CS CENTRE, NATURAL RUBBER, AC. INOX. PLATES, RELLENO DE GLIC., AC. INOX. WINCONNECT, 1/2" NPT</t>
  </si>
  <si>
    <t>D81WIR3CSRSF2N</t>
  </si>
  <si>
    <t>Sello separador Winters Serie D81 ISO-RING, WAFER SENSOR, 3", CS CENTRE, NATURAL RUBBER, AC. INOX. PLATES, RELLENO DE GLIC., AC. INOX. WINCONNECT, 1/2" NPT</t>
  </si>
  <si>
    <t>D81WIR4CSRSF2N</t>
  </si>
  <si>
    <t>Sello separador Winters Serie D81 ISO-RING, WAFER SENSOR, 4", CS CENTRE, NATURAL RUBBER, AC. INOX. PLATES, RELLENO DE GLIC., AC. INOX. WINCONNECT, 1/2" NPT</t>
  </si>
  <si>
    <t>D81WIR6CSRSF2N</t>
  </si>
  <si>
    <t>Sello separador Winters Serie D81 ISO-RING, WAFER SENSOR, 6", CS CENTRE, NATURAL RUBBER, AC. INOX. PLATES, RELLENO DE GLIC., AC. INOX. WINCONNECT, 1/2" NPT</t>
  </si>
  <si>
    <t>D81WIR8CSRSF2N</t>
  </si>
  <si>
    <t>Sello separador Winters Serie D81 ISO-RING, WAFER SENSOR, 8", CS CENTRE, NATURAL RUBBER, AC. INOX. PLATES, RELLENO DE GLIC., AC. INOX. WINCONNECT, 1/2" NPT</t>
  </si>
  <si>
    <t>D81WIR10CSRSF2N</t>
  </si>
  <si>
    <t>Sello separador Winters Serie D81 ISO-RING, WAFER SENSOR, 10", CS CENTRE, NATURAL RUBBER, AC. INOX. PLATES, RELLENO DE GLIC., AC. INOX. WINCONNECT, 1/2" NPT</t>
  </si>
  <si>
    <t>D81WIR12CSRSF2N</t>
  </si>
  <si>
    <t>Sello separador Winters Serie D81 ISO-RING, WAFER SENSOR, 12", CS CENTRE, NATURAL RUBBER, AC. INOX. PLATES, RELLENO DE GLIC., AC. INOX. WINCONNECT, 1/2" NPT</t>
  </si>
  <si>
    <t>D81WIR14CSRSF2N</t>
  </si>
  <si>
    <t>Sello separador Winters Serie D81 ISO-RING, WAFER SENSOR, 14", CS CENTRE, NATURAL RUBBER, AC. INOX. PLATES, RELLENO DE GLIC., AC. INOX. WINCONNECT, 1/2" NPT</t>
  </si>
  <si>
    <t>D81WIR16CSRSF2N</t>
  </si>
  <si>
    <t>Sello separador Winters Serie D81 ISO-RING, WAFER SENSOR, 16", CS CENTRE, NATURAL RUBBER, AC. INOX. PLATES, RELLENO DE GLIC., AC. INOX. WINCONNECT, 1/2" NPT</t>
  </si>
  <si>
    <t>D81WIR18CSRSF2N</t>
  </si>
  <si>
    <t>Sello separador Winters Serie D81 ISO-RING, WAFER SENSOR, 18", CS CENTRE, NATURAL RUBBER, AC. INOX. PLATES, RELLENO DE GLIC., AC. INOX. WINCONNECT, 1/2" NPT</t>
  </si>
  <si>
    <t>D81WIR20CSRSF2N</t>
  </si>
  <si>
    <t>Sello separador Winters Serie D81 ISO-RING, WAFER SENSOR, 20", CS CENTRE, NATURAL RUBBER, AC. INOX. PLATES, RELLENO DE GLIC., AC. INOX. WINCONNECT, 1/2" NPT</t>
  </si>
  <si>
    <t>D81WIR1CSVSF2N</t>
  </si>
  <si>
    <t>Sello separador Winters Serie D81 ISO-RING, WAFER SENSOR, 1", CS CENTRE, VITON, AC. INOX. PLATES, RELLENO DE GLIC., AC. INOX. WINCONNECT, 1/2" NPT</t>
  </si>
  <si>
    <t>D81WIR2CSVSF2N</t>
  </si>
  <si>
    <t>Sello separador Winters Serie D81 ISO-RING, WAFER SENSOR, 2", CS CENTRE, VITON, AC. INOX. PLATES, RELLENO DE GLIC., AC. INOX. WINCONNECT, 1/2" NPT</t>
  </si>
  <si>
    <t>D81WIR3CSVSF2N</t>
  </si>
  <si>
    <t>Sello separador Winters Serie D81 ISO-RING, WAFER SENSOR, 3", CS CENTRE, VITON, AC. INOX. PLATES, RELLENO DE GLIC., AC. INOX. WINCONNECT, 1/2" NPT</t>
  </si>
  <si>
    <t>D81WIR4CSVSF2N</t>
  </si>
  <si>
    <t>Sello separador Winters Serie D81 ISO-RING, WAFER SENSOR, 4", CS CENTRE, VITON, AC. INOX. PLATES, RELLENO DE GLIC., AC. INOX. WINCONNECT, 1/2" NPT</t>
  </si>
  <si>
    <t>D81WIR6CSVSF2N</t>
  </si>
  <si>
    <t>Sello separador Winters Serie D81 ISO-RING, WAFER SENSOR, 6", CS CENTRE, VITON, AC. INOX. PLATES, RELLENO DE GLIC., AC. INOX. WINCONNECT, 1/2" NPT</t>
  </si>
  <si>
    <t>D81WIR8CSVSF2N</t>
  </si>
  <si>
    <t>Sello separador Winters Serie D81 ISO-RING, WAFER SENSOR, 8", CS CENTRE, VITON, AC. INOX. PLATES, RELLENO DE GLIC., AC. INOX. WINCONNECT, 1/2" NPT</t>
  </si>
  <si>
    <t>D81WIR10CSVSF2N</t>
  </si>
  <si>
    <t>Sello separador Winters Serie D81 ISO-RING, WAFER SENSOR, 10", CS CENTRE, VITON, AC. INOX. PLATES, RELLENO DE GLIC., AC. INOX. WINCONNECT, 1/2" NPT</t>
  </si>
  <si>
    <t>D81WIR12CSVSF2N</t>
  </si>
  <si>
    <t>Sello separador Winters Serie D81 ISO-RING, WAFER SENSOR, 12", CS CENTRE, VITON, AC. INOX. PLATES, RELLENO DE GLIC., AC. INOX. WINCONNECT, 1/2" NPT</t>
  </si>
  <si>
    <t>D81WIR14CSVSF2N</t>
  </si>
  <si>
    <t>Sello separador Winters Serie D81 ISO-RING, WAFER SENSOR, 14", CS CENTRE, VITON, AC. INOX. PLATES, RELLENO DE GLIC., AC. INOX. WINCONNECT, 1/2" NPT</t>
  </si>
  <si>
    <t>D81WIR16CSVSF2N</t>
  </si>
  <si>
    <t>Sello separador Winters Serie D81 ISO-RING, WAFER SENSOR, 16", CS CENTRE, VITON, AC. INOX. PLATES, RELLENO DE GLIC., AC. INOX. WINCONNECT, 1/2" NPT</t>
  </si>
  <si>
    <t>D81WIR18CSVSF2N</t>
  </si>
  <si>
    <t>Sello separador Winters Serie D81 ISO-RING, WAFER SENSOR, 18", CS CENTRE, VITON, AC. INOX. PLATES, RELLENO DE GLIC., AC. INOX. WINCONNECT, 1/2" NPT</t>
  </si>
  <si>
    <t>D81WIR20CSVSF2N</t>
  </si>
  <si>
    <t>Sello separador Winters Serie D81 ISO-RING, WAFER SENSOR, 20", CS CENTRE, VITON, AC. INOX. PLATES, RELLENO DE GLIC., AC. INOX. WINCONNECT, 1/2" NPT</t>
  </si>
  <si>
    <t>D81WIR1SSBSF2N</t>
  </si>
  <si>
    <t>Sello separador Winters Serie D81 ISO-RING, WAFER SENSOR, 1", AC. INOX., BUNA-N, AC. INOX. PLATES, RELLENO DE GLIC., AC. INOX. WINCONNECT, 1/2" NPT</t>
  </si>
  <si>
    <t>D81WIR1.5SSBSF2N</t>
  </si>
  <si>
    <t>Sello separador Winters Serie D81 ISO-RING, WAFER SENSOR, 1,5", AC. INOX., BUNA-N, AC. INOX. PLATES, RELLENO DE GLIC., AC. INOX. WINCONNECT, 1/2" NPT</t>
  </si>
  <si>
    <t>D81WIR2SSBSF2N</t>
  </si>
  <si>
    <t>Sello separador Winters Serie D81 ISO-RING, WAFER SENSOR, 2", AC. INOX., BUNA-N, AC. INOX. PLATES, RELLENO DE GLIC., AC. INOX. WINCONNECT, 1/2" NPT</t>
  </si>
  <si>
    <t>D81WIR3SSBSF2N</t>
  </si>
  <si>
    <t>Sello separador Winters Serie D81 ISO-RING, WAFER SENSOR, 3", AC. INOX., BUNA-N, AC. INOX. PLATES, RELLENO DE GLIC., AC. INOX. WINCONNECT, 1/2" NPT</t>
  </si>
  <si>
    <t>D81WIR4SSBSF2N</t>
  </si>
  <si>
    <t>Sello separador Winters Serie D81 ISO-RING, WAFER SENSOR, 4", AC. INOX., BUNA-N, AC. INOX. PLATES, RELLENO DE GLIC., AC. INOX. WINCONNECT, 1/2" NPT</t>
  </si>
  <si>
    <t>D81WIR6SSBSF2N</t>
  </si>
  <si>
    <t>Sello separador Winters Serie D81 ISO-RING, WAFER SENSOR, 6", AC. INOX., BUNA-N, AC. INOX. PLATES, RELLENO DE GLIC., AC. INOX. WINCONNECT, 1/2" NPT</t>
  </si>
  <si>
    <t>D81WIR8SSBSF2N</t>
  </si>
  <si>
    <t>Sello separador Winters Serie D81 ISO-RING, WAFER SENSOR, 8", AC. INOX., BUNA-N, AC. INOX. PLATES, RELLENO DE GLIC., AC. INOX. WINCONNECT, 1/2" NPT</t>
  </si>
  <si>
    <t>D81WIR10SSBSF2N</t>
  </si>
  <si>
    <t>Sello separador Winters Serie D81 ISO-RING, WAFER SENSOR, 10", AC. INOX., BUNA-N, AC. INOX. PLATES, RELLENO DE GLIC., AC. INOX. WINCONNECT, 1/2" NPT</t>
  </si>
  <si>
    <t>D81WIR12SSBSF2N</t>
  </si>
  <si>
    <t>Sello separador Winters Serie D81 ISO-RING, WAFER SENSOR, 12", AC. INOX., BUNA-N, AC. INOX. PLATES, RELLENO DE GLIC., AC. INOX. WINCONNECT, 1/2" NPT</t>
  </si>
  <si>
    <t>D81WIR14SSBSF2N</t>
  </si>
  <si>
    <t>Sello separador Winters Serie D81 ISO-RING, WAFER SENSOR, 14", AC. INOX., BUNA-N, AC. INOX. PLATES, RELLENO DE GLIC., AC. INOX. WINCONNECT, 1/2" NPT</t>
  </si>
  <si>
    <t>D81WIR16SSBSF2N</t>
  </si>
  <si>
    <t>Sello separador Winters Serie D81 ISO-RING, WAFER SENSOR, 16", AC. INOX., BUNA-N, AC. INOX. PLATES, RELLENO DE GLIC., AC. INOX. WINCONNECT, 1/2" NPT</t>
  </si>
  <si>
    <t>D81WIR18SSBSF2N</t>
  </si>
  <si>
    <t>Sello separador Winters Serie D81 ISO-RING, WAFER SENSOR, 18", AC. INOX., BUNA-N, AC. INOX. PLATES, RELLENO DE GLIC., AC. INOX. WINCONNECT, 1/2" NPT</t>
  </si>
  <si>
    <t>D81WIR20SSBSF2N</t>
  </si>
  <si>
    <t>Sello separador Winters Serie D81 ISO-RING, WAFER SENSOR, 20", AC. INOX., BUNA-N, AC. INOX. PLATES, RELLENO DE GLIC., AC. INOX. WINCONNECT, 1/2" NPT</t>
  </si>
  <si>
    <t>D81WIR30SSBSF2N</t>
  </si>
  <si>
    <t>Sello separador Winters Serie D81 ISO-RING, WAFER SENSOR, 30", AC. INOX., BUNA-N, AC. INOX. PLATES, RELLENO DE GLIC., AC. INOX. WINCONNECT, 1/2" NPT</t>
  </si>
  <si>
    <t>D81WIR1SSESF2N</t>
  </si>
  <si>
    <t>Sello separador Winters Serie D81 ISO-RING, WAFER SENSOR, 1", AC. INOX. CENTRE, EPDM, AC. INOX. PLATES, RELLENO DE GLIC., AC. INOX. WINCONNECT, 1/2" NPT</t>
  </si>
  <si>
    <t>D81WIR1.5SSESF2N</t>
  </si>
  <si>
    <t>Sello separador Winters Serie D81 ISO-RING, WAFER SENSOR, 1,5", AC. INOX. CENTRE, EPDM, AC. INOX. PLATES, RELLENO DE GLIC., AC. INOX. WINCONNECT, 1/2" NPT</t>
  </si>
  <si>
    <t>D81WIR2SSESF2N</t>
  </si>
  <si>
    <t>Sello separador Winters Serie D81 ISO-RING, WAFER SENSOR, 2", AC. INOX. CENTRE, EPDM, AC. INOX. PLATES, RELLENO DE GLIC., AC. INOX. WINCONNECT, 1/2" NPT</t>
  </si>
  <si>
    <t>D81WIR3SSESF2N</t>
  </si>
  <si>
    <t>Sello separador Winters Serie D81 ISO-RING, WAFER SENSOR, 3", AC. INOX. CENTRE, EPDM, AC. INOX. PLATES, RELLENO DE GLIC., AC. INOX. WINCONNECT, 1/2" NPT</t>
  </si>
  <si>
    <t>D81WIR4SSESF2N</t>
  </si>
  <si>
    <t>Sello separador Winters Serie D81 ISO-RING, WAFER SENSOR, 4", AC. INOX. CENTRE, EPDM, AC. INOX. PLATES, RELLENO DE GLIC., AC. INOX. WINCONNECT, 1/2" NPT</t>
  </si>
  <si>
    <t>D81WIR6SSESF2N</t>
  </si>
  <si>
    <t>Sello separador Winters Serie D81 ISO-RING, WAFER SENSOR, 6", AC. INOX. CENTRE, EPDM, AC. INOX. PLATES, RELLENO DE GLIC., AC. INOX. WINCONNECT, 1/2" NPT</t>
  </si>
  <si>
    <t>D81WIR8SSESF2N</t>
  </si>
  <si>
    <t>Sello separador Winters Serie D81 ISO-RING, WAFER SENSOR, 8", AC. INOX. CENTRE, EPDM, AC. INOX. PLATES, RELLENO DE GLIC., AC. INOX. WINCONNECT, 1/2" NPT</t>
  </si>
  <si>
    <t>D81WIR10SSESF2N</t>
  </si>
  <si>
    <t>Sello separador Winters Serie D81 ISO-RING, WAFER SENSOR, 10", AC. INOX. CENTRE, EPDM, AC. INOX. PLATES, RELLENO DE GLIC., AC. INOX. WINCONNECT, 1/2" NPT</t>
  </si>
  <si>
    <t>D81WIR12SSESF2N</t>
  </si>
  <si>
    <t>Sello separador Winters Serie D81 ISO-RING, WAFER SENSOR, 12", AC. INOX. CENTRE, EPDM, AC. INOX. PLATES, RELLENO DE GLIC., AC. INOX. WINCONNECT, 1/2" NPT</t>
  </si>
  <si>
    <t>D81WIR14SSESF2N</t>
  </si>
  <si>
    <t>Sello separador Winters Serie D81 ISO-RING, WAFER SENSOR, 14", AC. INOX. CENTRE, EPDM, AC. INOX. PLATES, RELLENO DE GLIC., AC. INOX. WINCONNECT, 1/2" NPT</t>
  </si>
  <si>
    <t>D81WIR16SSESF2N</t>
  </si>
  <si>
    <t>Sello separador Winters Serie D81 ISO-RING, WAFER SENSOR, 16", AC. INOX. CENTRE, EPDM, AC. INOX. PLATES, RELLENO DE GLIC., AC. INOX. WINCONNECT, 1/2" NPT</t>
  </si>
  <si>
    <t>D81WIR18SSESF2N</t>
  </si>
  <si>
    <t>Sello separador Winters Serie D81 ISO-RING, WAFER SENSOR, 18", AC. INOX. CENTRE, EPDM, AC. INOX. PLATES, RELLENO DE GLIC., AC. INOX. WINCONNECT, 1/2" NPT</t>
  </si>
  <si>
    <t>D81WIR20SSESF2N</t>
  </si>
  <si>
    <t>Sello separador Winters Serie D81 ISO-RING, WAFER SENSOR, 20", AC. INOX. CENTRE, EPDM, AC. INOX. PLATES, RELLENO DE GLIC., AC. INOX. WINCONNECT, 1/2" NPT</t>
  </si>
  <si>
    <t>D81WIR30SSESF2N</t>
  </si>
  <si>
    <t>Sello separador Winters Serie D81 ISO-RING, WAFER SENSOR, 30", AC. INOX. CENTRE, EPDM, AC. INOX. PLATES, RELLENO DE GLIC., AC. INOX. WINCONNECT, 1/2" NPT</t>
  </si>
  <si>
    <t>D81WIR1SSNSF2N</t>
  </si>
  <si>
    <t>Sello separador Winters Serie D81 ISO-RING, WAFER SENSOR, 1", AC. INOX. CENTRE, NEOPRENE, AC. INOX. PLATES, RELLENO DE GLIC., AC. INOX. WINCONNECT, 1/2" NPT</t>
  </si>
  <si>
    <t>D81WIR1.5SSNSF2N</t>
  </si>
  <si>
    <t>Sello separador Winters Serie D81 ISO-RING, WAFER SENSOR, 1,5", AC. INOX. CENTRE, NEOPRENE, AC. INOX. PLATES, RELLENO DE GLIC., AC. INOX. WINCONNECT, 1/2" NPT</t>
  </si>
  <si>
    <t>D81WIR2SSNSF2N</t>
  </si>
  <si>
    <t>Sello separador Winters Serie D81 ISO-RING, WAFER SENSOR, 2", AC. INOX. CENTRE, NEOPRENE, AC. INOX. PLATES, RELLENO DE GLIC., AC. INOX. WINCONNECT, 1/2" NPT</t>
  </si>
  <si>
    <t>D81WIR3SSNSF2N</t>
  </si>
  <si>
    <t>Sello separador Winters Serie D81 ISO-RING, WAFER SENSOR, 3", AC. INOX. CENTRE, NEOPRENE, AC. INOX. PLATES, RELLENO DE GLIC., AC. INOX. WINCONNECT, 1/2" NPT</t>
  </si>
  <si>
    <t>D81WIR4SSNSF2N</t>
  </si>
  <si>
    <t>Sello separador Winters Serie D81 ISO-RING, WAFER SENSOR, 4", AC. INOX. CENTRE, NEOPRENE, AC. INOX. PLATES, RELLENO DE GLIC., AC. INOX. WINCONNECT, 1/2" NPT</t>
  </si>
  <si>
    <t>D81WIR6SSNSF2N</t>
  </si>
  <si>
    <t>Sello separador Winters Serie D81 ISO-RING, WAFER SENSOR, 6", AC. INOX. CENTRE, NEOPRENE, AC. INOX. PLATES, RELLENO DE GLIC., AC. INOX. WINCONNECT, 1/2" NPT</t>
  </si>
  <si>
    <t>D81WIR8SSNSF2N</t>
  </si>
  <si>
    <t>Sello separador Winters Serie D81 ISO-RING, WAFER SENSOR, 8", AC. INOX. CENTRE, NEOPRENE, AC. INOX. PLATES, RELLENO DE GLIC., AC. INOX. WINCONNECT, 1/2" NPT</t>
  </si>
  <si>
    <t>D81WIR10SSNSF2N</t>
  </si>
  <si>
    <t>Sello separador Winters Serie D81 ISO-RING, WAFER SENSOR, 10", AC. INOX. CENTRE, NEOPRENE, AC. INOX. PLATES, RELLENO DE GLIC., AC. INOX. WINCONNECT, 1/2" NPT</t>
  </si>
  <si>
    <t>D81WIR12SSNSF2N</t>
  </si>
  <si>
    <t>Sello separador Winters Serie D81 ISO-RING, WAFER SENSOR, 12", AC. INOX. CENTRE, NEOPRENE, AC. INOX. PLATES, RELLENO DE GLIC., AC. INOX. WINCONNECT, 1/2" NPT</t>
  </si>
  <si>
    <t>D81WIR14SSNSF2N</t>
  </si>
  <si>
    <t>Sello separador Winters Serie D81 ISO-RING, WAFER SENSOR, 14", AC. INOX. CENTRE, NEOPRENE, AC. INOX. PLATES, RELLENO DE GLIC., AC. INOX. WINCONNECT, 1/2" NPT</t>
  </si>
  <si>
    <t>D81WIR16SSNSF2N</t>
  </si>
  <si>
    <t>Sello separador Winters Serie D81 ISO-RING, WAFER SENSOR, 16", AC. INOX. CENTRE, NEOPRENE, AC. INOX. PLATES, RELLENO DE GLIC., AC. INOX. WINCONNECT, 1/2" NPT</t>
  </si>
  <si>
    <t>D81WIR18SSNSF2N</t>
  </si>
  <si>
    <t>Sello separador Winters Serie D81 ISO-RING, WAFER SENSOR, 18", AC. INOX. CENTRE, NEOPRENE, AC. INOX. PLATES, RELLENO DE GLIC., AC. INOX. WINCONNECT, 1/2" NPT</t>
  </si>
  <si>
    <t>D81WIR20SSNSF2N</t>
  </si>
  <si>
    <t>Sello separador Winters Serie D81 ISO-RING, WAFER SENSOR, 20", AC. INOX. CENTRE, NEOPRENE, AC. INOX. PLATES, RELLENO DE GLIC., AC. INOX. WINCONNECT, 1/2" NPT</t>
  </si>
  <si>
    <t>D81WIR30SSNSF2N</t>
  </si>
  <si>
    <t>Sello separador Winters Serie D81 ISO-RING, WAFER SENSOR, 30", AC. INOX. CENTRE, NEOPRENE, AC. INOX. PLATES, RELLENO DE GLIC., AC. INOX. WINCONNECT, 1/2" NPT</t>
  </si>
  <si>
    <t>D81WIR1SSPSF2N</t>
  </si>
  <si>
    <t>Sello separador Winters Serie D81 ISO-RING, WAFER SENSOR, 1", STAINLEAC. INOX. CENTRE, PTFE, STAINLEAC. INOX. PLATES, RELLENO DE GLIC., AC. INOX. WINCONNECT, 1/2" NPT</t>
  </si>
  <si>
    <t>D81WIR1.5SSPSF2N</t>
  </si>
  <si>
    <t>Sello separador Winters Serie D81 ISO-RING, WAFER SENSOR, 1,5", STAINLEAC. INOX. CENTRE, PTFE, STAINLEAC. INOX. PLATES, RELLENO DE GLIC., AC. INOX. WINCONNECT, 1/2" NPT</t>
  </si>
  <si>
    <t>D81WIR2SSPSF2N</t>
  </si>
  <si>
    <t>Sello separador Winters Serie D81 ISO-RING, WAFER SENSOR, 2", STAINLEAC. INOX. CENTRE, PTFE, STAINLEAC. INOX. PLATES, RELLENO DE GLIC., AC. INOX. WINCONNECT, 1/2" NPT</t>
  </si>
  <si>
    <t>D81WIR3SSPSF2N</t>
  </si>
  <si>
    <t>Sello separador Winters Serie D81 ISO-RING, WAFER SENSOR, 3", STAINLEAC. INOX. CENTRE, PTFE, STAINLEAC. INOX. PLATES, RELLENO DE GLIC., AC. INOX. WINCONNECT, 1/2" NPT</t>
  </si>
  <si>
    <t>D81WIR4SSPSF2N</t>
  </si>
  <si>
    <t>Sello separador Winters Serie D81 ISO-RING, WAFER SENSOR, 4", STAINLEAC. INOX. CENTRE, PTFE, STAINLEAC. INOX. PLATES, RELLENO DE GLIC., AC. INOX. WINCONNECT, 1/2" NPT</t>
  </si>
  <si>
    <t>D81WIR6SSPSF2N</t>
  </si>
  <si>
    <t>Sello separador Winters Serie D81 ISO-RING, WAFER SENSOR, 6", STAINLEAC. INOX. CENTRE, PTFE, STAINLEAC. INOX. PLATES, RELLENO DE GLIC., AC. INOX. WINCONNECT, 1/2" NPT</t>
  </si>
  <si>
    <t>D81WIR8SSPSF2N</t>
  </si>
  <si>
    <t>Sello separador Winters Serie D81 ISO-RING, WAFER SENSOR, 8", STAINLEAC. INOX. CENTRE, PTFE, STAINLEAC. INOX. PLATES, RELLENO DE GLIC., AC. INOX. WINCONNECT, 1/2" NPT</t>
  </si>
  <si>
    <t>D81WIR10SSPSF2N</t>
  </si>
  <si>
    <t>Sello separador Winters Serie D81 ISO-RING, WAFER SENSOR, 10", STAINLEAC. INOX. CENTRE, PTFE, STAINLEAC. INOX. PLATES, RELLENO DE GLIC., AC. INOX. WINCONNECT, 1/2" NPT</t>
  </si>
  <si>
    <t>D81WIR12SSPSF2N</t>
  </si>
  <si>
    <t>Sello separador Winters Serie D81 ISO-RING, WAFER SENSOR, 12", STAINLEAC. INOX. CENTRE, PTFE, STAINLEAC. INOX. PLATES, RELLENO DE GLIC., AC. INOX. WINCONNECT, 1/2" NPT</t>
  </si>
  <si>
    <t>D81WIR14SSPSF2N</t>
  </si>
  <si>
    <t>Sello separador Winters Serie D81 ISO-RING, WAFER SENSOR, 14", STAINLEAC. INOX. CENTRE, PTFE, STAINLEAC. INOX. PLATES, RELLENO DE GLIC., AC. INOX. WINCONNECT, 1/2" NPT</t>
  </si>
  <si>
    <t>D81WIR16SSPSF2N</t>
  </si>
  <si>
    <t>Sello separador Winters Serie D81 ISO-RING, WAFER SENSOR, 16", STAINLEAC. INOX. CENTRE, PTFE, STAINLEAC. INOX. PLATES, RELLENO DE GLIC., AC. INOX. WINCONNECT, 1/2" NPT</t>
  </si>
  <si>
    <t>D81WIR18SSPSF2N</t>
  </si>
  <si>
    <t>Sello separador Winters Serie D81 ISO-RING, WAFER SENSOR, 18", STAINLEAC. INOX. CENTRE, PTFE, STAINLEAC. INOX. PLATES, RELLENO DE GLIC., AC. INOX. WINCONNECT, 1/2" NPT</t>
  </si>
  <si>
    <t>D81WIR20SSPSF2N</t>
  </si>
  <si>
    <t>Sello separador Winters Serie D81 ISO-RING, WAFER SENSOR, 20", STAINLEAC. INOX. CENTRE, PTFE, STAINLEAC. INOX. PLATES, RELLENO DE GLIC., AC. INOX. WINCONNECT, 1/2" NPT</t>
  </si>
  <si>
    <t>D81WIR22SSPSF2N</t>
  </si>
  <si>
    <t>Sello separador Winters Serie D81 ISO-RING, WAFER SENSOR, 22", STAINLEAC. INOX. CENTRE, PTFE, STAINLEAC. INOX. PLATES, RELLENO DE GLIC., AC. INOX. WINCONNECT, 1/2" NPT</t>
  </si>
  <si>
    <t>D81WIR24SSPSF2N</t>
  </si>
  <si>
    <t>Sello separador Winters Serie D81 ISO-RING, WAFER SENSOR, 24", STAINLEAC. INOX. CENTRE, PTFE, STAINLEAC. INOX. PLATES, RELLENO DE GLIC., AC. INOX. WINCONNECT, 1/2" NPT</t>
  </si>
  <si>
    <t>D81WIR1SSRSF2N</t>
  </si>
  <si>
    <t>Sello separador Winters Serie D81 ISO-RING, WAFER SENSOR, 1", AC. INOX. CENTRE, NATURAL RUBBER, AC. INOX. PLATES, RELLENO DE GLIC., AC. INOX. WINCONNECT, 1/2" NPT</t>
  </si>
  <si>
    <t>D81WIR1.5SSRSF2N</t>
  </si>
  <si>
    <t>Sello separador Winters Serie D81 ISO-RING, WAFER SENSOR, 1,5", AC. INOX. CENTRE, NATURAL RUBBER, AC. INOX. PLATES, RELLENO DE GLIC., AC. INOX. WINCONNECT, 1/2" NPT</t>
  </si>
  <si>
    <t>D81WIR2SSRSF2N</t>
  </si>
  <si>
    <t>Sello separador Winters Serie D81 ISO-RING, WAFER SENSOR, 2", AC. INOX. CENTRE, NATURAL RUBBER, AC. INOX. PLATES, RELLENO DE GLIC., AC. INOX. WINCONNECT, 1/2" NPT</t>
  </si>
  <si>
    <t>D81WIR3SSRSF2N</t>
  </si>
  <si>
    <t>Sello separador Winters Serie D81 ISO-RING, WAFER SENSOR, 3", AC. INOX. CENTRE, NATURAL RUBBER, AC. INOX. PLATES, RELLENO DE GLIC., AC. INOX. WINCONNECT, 1/2" NPT</t>
  </si>
  <si>
    <t>D81WIR4SSRSF2N</t>
  </si>
  <si>
    <t>Sello separador Winters Serie D81 ISO-RING, WAFER SENSOR, 4", AC. INOX. CENTRE, NATURAL RUBBER, AC. INOX. PLATES, RELLENO DE GLIC., AC. INOX. WINCONNECT, 1/2" NPT</t>
  </si>
  <si>
    <t>D81WIR6SSRSF2N</t>
  </si>
  <si>
    <t>Sello separador Winters Serie D81 ISO-RING, WAFER SENSOR, 6", AC. INOX. CENTRE, NATURAL RUBBER, AC. INOX. PLATES, RELLENO DE GLIC., AC. INOX. WINCONNECT, 1/2" NPT</t>
  </si>
  <si>
    <t>D81WIR8SSRSF2N</t>
  </si>
  <si>
    <t>Sello separador Winters Serie D81 ISO-RING, WAFER SENSOR, 8", AC. INOX. CENTRE, NATURAL RUBBER, AC. INOX. PLATES, RELLENO DE GLIC., AC. INOX. WINCONNECT, 1/2" NPT</t>
  </si>
  <si>
    <t>D81WIR10SSRSF2N</t>
  </si>
  <si>
    <t>Sello separador Winters Serie D81 ISO-RING, WAFER SENSOR, 10", AC. INOX. CENTRE, NATURAL RUBBER, AC. INOX. PLATES, RELLENO DE GLIC., AC. INOX. WINCONNECT, 1/2" NPT</t>
  </si>
  <si>
    <t>D81WIR12SSRSF2N</t>
  </si>
  <si>
    <t>Sello separador Winters Serie D81 ISO-RING, WAFER SENSOR, 12", AC. INOX. CENTRE, NATURAL RUBBER, AC. INOX. PLATES, RELLENO DE GLIC., AC. INOX. WINCONNECT, 1/2" NPT</t>
  </si>
  <si>
    <t>D81WIR14SSRSF2N</t>
  </si>
  <si>
    <t>Sello separador Winters Serie D81 ISO-RING, WAFER SENSOR, 14", AC. INOX. CENTRE, NATURAL RUBBER, AC. INOX. PLATES, RELLENO DE GLIC., AC. INOX. WINCONNECT, 1/2" NPT</t>
  </si>
  <si>
    <t>D81WIR16SSRSF2N</t>
  </si>
  <si>
    <t>Sello separador Winters Serie D81 ISO-RING, WAFER SENSOR, 16", AC. INOX. CENTRE, NATURAL RUBBER, AC. INOX. PLATES, RELLENO DE GLIC., AC. INOX. WINCONNECT, 1/2" NPT</t>
  </si>
  <si>
    <t>D81WIR18SSRSF2N</t>
  </si>
  <si>
    <t>Sello separador Winters Serie D81 ISO-RING, WAFER SENSOR, 18", AC. INOX. CENTRE, NATURAL RUBBER, AC. INOX. PLATES, RELLENO DE GLIC., AC. INOX. WINCONNECT, 1/2" NPT</t>
  </si>
  <si>
    <t>D81WIR20SSRSF2N</t>
  </si>
  <si>
    <t>Sello separador Winters Serie D81 ISO-RING, WAFER SENSOR, 20", AC. INOX. CENTRE, NATURAL RUBBER, AC. INOX. PLATES, RELLENO DE GLIC., AC. INOX. WINCONNECT, 1/2" NPT</t>
  </si>
  <si>
    <t>D81WIR1SSVSF2N</t>
  </si>
  <si>
    <t>Sello separador Winters Serie D81 ISO-RING, WAFER SENSOR, 1", AC. INOX. CENTRE, VITON, AC. INOX. PLATES, RELLENO DE GLIC., AC. INOX. WINCONNECT, 1/2" NPT</t>
  </si>
  <si>
    <t>D81WIR1.5SSVSF2N</t>
  </si>
  <si>
    <t>Sello separador Winters Serie D81 ISO-RING, WAFER SENSOR, 1,5", AC. INOX. CENTRE, VITON, AC. INOX. PLATES, RELLENO DE GLIC., AC. INOX. WINCONNECT, 1/2" NPT</t>
  </si>
  <si>
    <t>D81WIR2SSVSF2N</t>
  </si>
  <si>
    <t>Sello separador Winters Serie D81 ISO-RING, WAFER SENSOR, 2", AC. INOX. CENTRE, VITON, AC. INOX. PLATES, RELLENO DE GLIC., AC. INOX. WINCONNECT, 1/2" NPT</t>
  </si>
  <si>
    <t>D81WIR3SSVSF2N</t>
  </si>
  <si>
    <t>Sello separador Winters Serie D81 ISO-RING, WAFER SENSOR, 3", AC. INOX. CENTRE, VITON, AC. INOX. PLATES, RELLENO DE GLIC., AC. INOX. WINCONNECT, 1/2" NPT</t>
  </si>
  <si>
    <t>D81WIR4SSVSF2N</t>
  </si>
  <si>
    <t>Sello separador Winters Serie D81 ISO-RING, WAFER SENSOR, 4", AC. INOX. CENTRE, VITON, AC. INOX. PLATES, RELLENO DE GLIC., AC. INOX. WINCONNECT, 1/2" NPT</t>
  </si>
  <si>
    <t>D81WIR6SSVSF2N</t>
  </si>
  <si>
    <t>Sello separador Winters Serie D81 ISO-RING, WAFER SENSOR, 6", AC. INOX. CENTRE, VITON, AC. INOX. PLATES, RELLENO DE GLIC., AC. INOX. WINCONNECT, 1/2" NPT</t>
  </si>
  <si>
    <t>D81WIR8SSVSF2N</t>
  </si>
  <si>
    <t>Sello separador Winters Serie D81 ISO-RING, WAFER SENSOR, 8", AC. INOX. CENTRE, VITON, AC. INOX. PLATES, RELLENO DE GLIC., AC. INOX. WINCONNECT, 1/2" NPT</t>
  </si>
  <si>
    <t>D81WIR10SSVSF2N</t>
  </si>
  <si>
    <t>Sello separador Winters Serie D81 ISO-RING, WAFER SENSOR, 10", AC. INOX. CENTRE, VITON, AC. INOX. PLATES, RELLENO DE GLIC., AC. INOX. WINCONNECT, 1/2" NPT</t>
  </si>
  <si>
    <t>D81WIR12SSVSF2N</t>
  </si>
  <si>
    <t>Sello separador Winters Serie D81 ISO-RING, WAFER SENSOR, 12", AC. INOX. CENTRE, VITON, AC. INOX. PLATES, RELLENO DE GLIC., AC. INOX. WINCONNECT, 1/2" NPT</t>
  </si>
  <si>
    <t>D81WIR14SSVSF2N</t>
  </si>
  <si>
    <t>Sello separador Winters Serie D81 ISO-RING, WAFER SENSOR, 14", AC. INOX. CENTRE, VITON, AC. INOX. PLATES, RELLENO DE GLIC., AC. INOX. WINCONNECT, 1/2" NPT</t>
  </si>
  <si>
    <t>D81WIR16SSVSF2N</t>
  </si>
  <si>
    <t>Sello separador Winters Serie D81 ISO-RING, WAFER SENSOR, 16", AC. INOX. CENTRE, VITON, AC. INOX. PLATES, RELLENO DE GLIC., AC. INOX. WINCONNECT, 1/2" NPT</t>
  </si>
  <si>
    <t>D81WIR18SSVSF2N</t>
  </si>
  <si>
    <t>Sello separador Winters Serie D81 ISO-RING, WAFER SENSOR, 18", AC. INOX. CENTRE, VITON, AC. INOX. PLATES, RELLENO DE GLIC., AC. INOX. WINCONNECT, 1/2" NPT</t>
  </si>
  <si>
    <t>D81WIR20SSVSF2N</t>
  </si>
  <si>
    <t>Sello separador Winters Serie D81 ISO-RING, WAFER SENSOR, 20", AC. INOX. CENTRE, VITON, AC. INOX. PLATES, RELLENO DE GLIC., AC. INOX. WINCONNECT, 1/2" NPT</t>
  </si>
  <si>
    <t>TAG140AG4</t>
  </si>
  <si>
    <t>Termómetro de columna Winters Serie TAG, caja aluminio anodizado 4,5", -40/40°C, 1/2"NPT, conexión angular 90°.</t>
  </si>
  <si>
    <t>TAG141AG4</t>
  </si>
  <si>
    <t>Termómetro de columna Winters Serie TAG, caja aluminio anodizado 4,5", -5/80°C, 1/2"NPT, conexión angular 90°.</t>
  </si>
  <si>
    <t>TAG150AG4</t>
  </si>
  <si>
    <t>Termómetro de columna Winters Serie TAG, caja aluminio anodizado 4,5", 0/115°C, 1/2"NPT, conexión angular 90°.</t>
  </si>
  <si>
    <t>TAG143AG4</t>
  </si>
  <si>
    <t>Termómetro de columna Winters Serie TAG, caja aluminio anodizado 4,5", 0/150°C, 1/2"NPT, conexión angular 90°.</t>
  </si>
  <si>
    <t>TAG142AG4</t>
  </si>
  <si>
    <t>Termómetro de columna Winters Serie TAG, caja aluminio anodizado 4,5", 0/200°C, 1/2"NPT, conexión angular 90°.</t>
  </si>
  <si>
    <t>TAG130AG4</t>
  </si>
  <si>
    <t>Termómetro de columna Winters Serie TAG, caja aluminio anodizado 4,5",-40/40°C, 1/2"NPT vertical</t>
  </si>
  <si>
    <t>TAG131AG4</t>
  </si>
  <si>
    <t>Termómetro de columna Winters Serie TAG, caja aluminio anodizado 4,5",-5/80°C, 1/2"NPT vertical</t>
  </si>
  <si>
    <t>TAG132AG4</t>
  </si>
  <si>
    <t>Termómetro de columna Winters Serie TAG, caja aluminio anodizado 4,5", 0/115°C, 1/2"NPT vertical</t>
  </si>
  <si>
    <t>TAG134AG4</t>
  </si>
  <si>
    <t>Termómetro de columna Winters Serie TAG, caja aluminio anodizado 4,5", 0/150°C, 1/2"NPT vertical</t>
  </si>
  <si>
    <t>TAG133AG4</t>
  </si>
  <si>
    <t>Termómetro de columna Winters Serie TAG, caja aluminio anodizado 4,5", 0/200°C, 1/2"NPT vertical</t>
  </si>
  <si>
    <t xml:space="preserve">TAG140AG6 </t>
  </si>
  <si>
    <t>Termómetro de columna Winters Serie TAG, caja aluminio anodizado 6", -40/40°C, 1/2"NPT, conexión angular 90°.</t>
  </si>
  <si>
    <t xml:space="preserve">TAG141AG6 </t>
  </si>
  <si>
    <t>Termómetro de columna Winters Serie TAG, caja aluminio anodizado 6", -5/80°C, 1/2"NPT, conexión angular 90°.</t>
  </si>
  <si>
    <t>TAG150AG6</t>
  </si>
  <si>
    <t>Termómetro de columna Winters Serie TAG, caja aluminio anodizado 6", 0/115°C, 1/2"NPT, conexión angular 90°.</t>
  </si>
  <si>
    <t xml:space="preserve">TAG143AG6 </t>
  </si>
  <si>
    <t>Termómetro de columna Winters Serie TAG, caja aluminio anodizado 6", 0/150°C, 1/2"NPT, conexión angular 90°.</t>
  </si>
  <si>
    <t xml:space="preserve">TAG142AG6 </t>
  </si>
  <si>
    <t>Termómetro de columna Winters Serie TAG, caja aluminio anodizado 6", 0/200°C, 1/2"NPT, conexión angular 90°.</t>
  </si>
  <si>
    <t xml:space="preserve">TAG130AG6 </t>
  </si>
  <si>
    <t>Termómetro de columna Winters Serie TAG, caja aluminio anodizado 6",-40/40°C, 1/2"NPT vertical</t>
  </si>
  <si>
    <t xml:space="preserve">TAG131AG6 </t>
  </si>
  <si>
    <t>Termómetro de columna Winters Serie TAG, caja aluminio anodizado 6",-5/80°C, 1/2"NPT vertical</t>
  </si>
  <si>
    <t xml:space="preserve">TAG132AG6 </t>
  </si>
  <si>
    <t>Termómetro de columna Winters Serie TAG, caja aluminio anodizado 6", 0/115°C, 1/2"NPT vertical</t>
  </si>
  <si>
    <t xml:space="preserve">TAG134AG6 </t>
  </si>
  <si>
    <t>Termómetro de columna Winters Serie TAG, caja aluminio anodizado 6", 0/150°C, 1/2"NPT vertical</t>
  </si>
  <si>
    <t xml:space="preserve">TAG133AG6 </t>
  </si>
  <si>
    <t>Termómetro de columna Winters Serie TAG, caja aluminio anodizado 6", 0/200°C, 1/2"NPT vertical</t>
  </si>
  <si>
    <t>TBM10050B27</t>
  </si>
  <si>
    <t>Termómetro bimetálico Winters Serie TBM, -50/50°C, dial 1", vástago 5", terminación en punta (no roscada), caja y vastago Ac. Inox. 304.</t>
  </si>
  <si>
    <t>TBM10050B28</t>
  </si>
  <si>
    <t>Termómetro bimetálico Winters Serie TBM, 0/50°C, dial 1", vástago 5", terminación en punta (no roscada), caja y vastago Ac. Inox. 304.</t>
  </si>
  <si>
    <t>TBM10050B30</t>
  </si>
  <si>
    <t>Termómetro bimetálico Winters Serie TBM, 0/100°C, dial 1", vástago 5", terminación en punta (no roscada), caja y vastago Ac. Inox. 304.</t>
  </si>
  <si>
    <t>TBM10050B31</t>
  </si>
  <si>
    <t>Termómetro bimetálico Winters Serie TBM, -20/120°C, dial 1", vástago 5", terminación en punta (no roscada), caja y vastago Ac. Inox. 304.</t>
  </si>
  <si>
    <t>TBM10050B32</t>
  </si>
  <si>
    <t>Termómetro bimetálico Winters Serie TBM, 0/150°C, dial 1", vástago 5", terminación en punta (no roscada), caja y vastago Ac. Inox. 304.</t>
  </si>
  <si>
    <t>TBM10050B34</t>
  </si>
  <si>
    <t>Termómetro bimetálico Winters Serie TBM, 0/300°C, dial 1", vástago 5", terminación en punta (no roscada), caja y vastago Ac. Inox. 304.</t>
  </si>
  <si>
    <t>TBM20025B27</t>
  </si>
  <si>
    <t>Termómetro bimetálico Winters Serie TBM, -50/50°C, dial 2", vástago 2,5", 1/4" NPT posterior, caja y vastago Ac. Inox. 304.</t>
  </si>
  <si>
    <t>TBM20025B28</t>
  </si>
  <si>
    <t>Termómetro bimetálico Winters Serie TBM, 0/50°C, dial 2", vástago 2,5", 1/4" NPT posterior, caja y vastago Ac. Inox. 304.</t>
  </si>
  <si>
    <t>TBM20025B30</t>
  </si>
  <si>
    <t>Termómetro bimetálico Winters Serie TBM, 0/100°C, dial 2", vástago 2,5", 1/4" NPT posterior, caja y vastago Ac. Inox. 304.</t>
  </si>
  <si>
    <t>TBM20025B32</t>
  </si>
  <si>
    <t>Termómetro bimetálico Winters Serie TBM, 0/150°C, dial 2", vástago 2,5", 1/4" NPT posterior, caja y vastago Ac. Inox. 304.</t>
  </si>
  <si>
    <t>TBM20025B33</t>
  </si>
  <si>
    <t>Termómetro bimetálico Winters Serie TBM, 0/200°C, dial 2", vástago 2,5", 1/4" NPT posterior, caja y vastago Ac. Inox. 304.</t>
  </si>
  <si>
    <t>TBM20025B34</t>
  </si>
  <si>
    <t>Termómetro bimetálico Winters Serie TBM, 0/300°C, dial 2", vástago 2,5", 1/4" NPT posterior, caja y vastago Ac. Inox. 304.</t>
  </si>
  <si>
    <t>TBM20040B27</t>
  </si>
  <si>
    <t>Termómetro bimetálico Winters Serie TBM, -50/50°C, dial 2", vástago 4", 1/4" NPT posterior, caja y vastago Ac. Inox. 304.</t>
  </si>
  <si>
    <t>TBM20040B28</t>
  </si>
  <si>
    <t>Termómetro bimetálico Winters Serie TBM, 0/50°C, dial 2", vástago 4", 1/4" NPT posterior, caja y vastago Ac. Inox. 304.</t>
  </si>
  <si>
    <t>TBM20040B30</t>
  </si>
  <si>
    <t>Termómetro bimetálico Winters Serie TBM, 0/100°C, dial 2", vástago 4", 1/4" NPT posterior, caja y vastago Ac. Inox. 304.</t>
  </si>
  <si>
    <t>TBM20040B32</t>
  </si>
  <si>
    <t>Termómetro bimetálico Winters Serie TBM, 0/150°C, dial 2", vástago 4", 1/4" NPT posterior, caja y vastago Ac. Inox. 304.</t>
  </si>
  <si>
    <t>TBM20040B33</t>
  </si>
  <si>
    <t>Termómetro bimetálico Winters Serie TBM, 0/200°C, dial 2", vástago 4", 1/4" NPT posterior, caja y vastago Ac. Inox. 304.</t>
  </si>
  <si>
    <t>TBM20040B34</t>
  </si>
  <si>
    <t>Termómetro bimetálico Winters Serie TBM, 0/300°C, dial 2", vástago 4", 1/4" NPT posterior, caja y vastago Ac. Inox. 304.</t>
  </si>
  <si>
    <t>TBM20040B35</t>
  </si>
  <si>
    <t>Termómetro bimetálico Winters Serie TBM, 0/450°C, dial 2", vástago 4", 1/4" NPT posterior, caja y vastago Ac. Inox. 304.</t>
  </si>
  <si>
    <t>TBM20040B36S</t>
  </si>
  <si>
    <t>Termómetro bimetálico Winters Serie TBM, 0/600°C, dial 2", vástago 4", 1/4" NPT posterior, caja y vastago Ac. Inox. 304.</t>
  </si>
  <si>
    <t>TBM20060</t>
  </si>
  <si>
    <t>Termómetro bimetálico Winters Serie TBM, dial 2", vástago 6", 1/4" NPT posterior, caja y vastago Ac. Inox. 304.</t>
  </si>
  <si>
    <t>TBM20090</t>
  </si>
  <si>
    <t>Termómetro bimetálico Winters Serie TBM, dial 2", vástago 9", 1/4" NPT posterior, caja y vastago Ac. Inox. 304.</t>
  </si>
  <si>
    <t>TBM20120</t>
  </si>
  <si>
    <t>Termómetro bimetálico Winters Serie TBM, dial 2", vástago 12", 1/4" NPT posterior, caja y vastago Ac. Inox. 304.</t>
  </si>
  <si>
    <t>TBM20150</t>
  </si>
  <si>
    <t>Termómetro bimetálico Winters Serie TBM, dial 2", vástago 15", 1/4" NPT posterior, caja y vastago Ac. Inox. 304.</t>
  </si>
  <si>
    <t>TBM20180</t>
  </si>
  <si>
    <t>Termómetro bimetálico Winters Serie TBM, dial 2", vástago 18", 1/4" NPT posterior, caja y vastago Ac. Inox. 304.</t>
  </si>
  <si>
    <t>TBM20240</t>
  </si>
  <si>
    <t>Termómetro bimetálico Winters Serie TBM, dial 2", vástago 24", 1/4" NPT posterior, caja y vastago Ac. Inox. 304.</t>
  </si>
  <si>
    <t>TBM20300</t>
  </si>
  <si>
    <t>Termómetro bimetálico Winters Serie TBM, dial 2", vástago-30", 1/4" NPT posterior, caja y vastago Ac. Inox. 304.</t>
  </si>
  <si>
    <t>TBM20360</t>
  </si>
  <si>
    <t>Termómetro bimetálico Winters Serie TBM, dial 2", vástago 36", 1/4" NPT posterior, caja y vastago Ac. Inox. 304.</t>
  </si>
  <si>
    <t>TBM30015B32</t>
  </si>
  <si>
    <t>Termómetro bimetálico Winters Serie TBM, 0/150°C, dial 3", vástago 1,5", 1/2" NPT posterior, caja y vastago Ac. Inox. 304.</t>
  </si>
  <si>
    <t>TBM30015B33</t>
  </si>
  <si>
    <t>Termómetro bimetálico Winters Serie TBM, 0/200°C, dial 3", vástago 1,5", 1/2" NPT posterior, caja y vastago Ac. Inox. 304.</t>
  </si>
  <si>
    <t>TBM30015B36S</t>
  </si>
  <si>
    <t>Termómetro bimetálico Winters Serie TBM, 0/600°C, dial 3", vástago 38MM, 1/2" NPT posterior, caja y vastago Ac. Inox. 304.</t>
  </si>
  <si>
    <t>TBM30025B27</t>
  </si>
  <si>
    <t>Termómetro bimetálico Winters Serie TBM, -50/50°C, dial 3", vástago 2,5", 1/2" NPT posterior, caja y vastago Ac. Inox. 304.</t>
  </si>
  <si>
    <t>TBM30025B28</t>
  </si>
  <si>
    <t>Termómetro bimetálico Winters Serie TBM, 0/50°C, dial 3", vástago 2,5", 1/2" NPT posterior, caja y vastago Ac. Inox. 304.</t>
  </si>
  <si>
    <t>TBM30025B30</t>
  </si>
  <si>
    <t>Termómetro bimetálico Winters Serie TBM, 0/100°C, dial 3", vástago 2,5", 1/2" NPT posterior, caja y vastago Ac. Inox. 304.</t>
  </si>
  <si>
    <t>TBM30025B32</t>
  </si>
  <si>
    <t>Termómetro bimetálico Winters Serie TBM, 0/150°C, dial 3", vástago 2,5", 1/2" NPT posterior, caja y vastago Ac. Inox. 304.</t>
  </si>
  <si>
    <t>TBM30025B33</t>
  </si>
  <si>
    <t>Termómetro bimetálico Winters Serie TBM, 0/200°C, dial 3", vástago 2,5", 1/2" NPT posterior, caja y vastago Ac. Inox. 304.</t>
  </si>
  <si>
    <t>TBM30025B34</t>
  </si>
  <si>
    <t>Termómetro bimetálico Winters Serie TBM, 0/300°C, dial 3", vástago 2,5", 1/2" NPT posterior, caja y vastago Ac. Inox. 304.</t>
  </si>
  <si>
    <t>TBM30025B36S</t>
  </si>
  <si>
    <t>Termómetro bimetálico Winters Serie TBM, 0/600°C, dial 3", vástago 2,5", 1/2" NPT posterior, caja y vastago Ac. Inox. 304.</t>
  </si>
  <si>
    <t>TBM30040B27</t>
  </si>
  <si>
    <t>Termómetro bimetálico Winters Serie TBM, -50/50°C, dial 3", vástago 4", 1/2" NPT posterior, caja y vastago Ac. Inox. 304.</t>
  </si>
  <si>
    <t>TBM30040B28</t>
  </si>
  <si>
    <t>Termómetro bimetálico Winters Serie TBM, 0/50°C, dial 3", vástago 4", 1/2" NPT posterior, caja y vastago Ac. Inox. 304.</t>
  </si>
  <si>
    <t>TBM30040B29</t>
  </si>
  <si>
    <t>Termómetro bimetálico Winters Serie TBM, -50/100°C, dial 3", vástago 4", 1/2" NPT posterior, caja y vastago Ac. Inox. 304.</t>
  </si>
  <si>
    <t>TBM30040B30</t>
  </si>
  <si>
    <t>Termómetro bimetálico Winters Serie TBM, 0/100°C, dial 3", vástago 4", 1/2" NPT posterior, caja y vastago Ac. Inox. 304.</t>
  </si>
  <si>
    <t>TBM30040B32</t>
  </si>
  <si>
    <t>Termómetro bimetálico Winters Serie TBM, 0/150°C, dial 3", vástago 4", 1/2" NPT posterior, caja y vastago Ac. Inox. 304.</t>
  </si>
  <si>
    <t>TBM30040B33</t>
  </si>
  <si>
    <t>Termómetro bimetálico Winters Serie TBM, 0/200°C, dial 3", vástago 4", 1/2" NPT posterior, caja y vastago Ac. Inox. 304.</t>
  </si>
  <si>
    <t>TBM30040B33-WH</t>
  </si>
  <si>
    <t>Termómetro bimetálico Winters Serie TBM, 0/200°C, dial 3", vástago 4", 1/2" NPT posterior, caja y vastago Ac. Inox. 304, fondo blanco.</t>
  </si>
  <si>
    <t>TBM30040B34</t>
  </si>
  <si>
    <t>Termómetro bimetálico Winters Serie TBM, 0/300°C, dial 3", vástago 4", 1/2" NPT posterior, caja y vastago Ac. Inox. 304.</t>
  </si>
  <si>
    <t>TBM30040B35</t>
  </si>
  <si>
    <t>Termómetro bimetálico Winters Serie TBM, 0/450°C, dial 3", vástago 4", 1/2" NPT posterior, caja y vastago Ac. Inox. 304.</t>
  </si>
  <si>
    <t>TBM30040B36S</t>
  </si>
  <si>
    <t>Termómetro bimetálico Winters Serie TBM, 0/600°C, dial 3", vástago 4", 1/2 npt posterior, caja y vastago Ac. Inox. 304.</t>
  </si>
  <si>
    <t>TBM30040B9</t>
  </si>
  <si>
    <t>Termómetro bimetálico Winters Serie TBM, 10/150°C &amp; 50/300°F, dial 3", vástago 4", 1/2" NPT posterior, caja y vastago Ac. Inox. 304.</t>
  </si>
  <si>
    <t>TBM30060B27</t>
  </si>
  <si>
    <t>Termómetro bimetálico Winters Serie TBM, -50/-50°C, dial 3", vástago 6", 1/2" NPT posterior, caja y vastago Ac. Inox. 304.</t>
  </si>
  <si>
    <t>TBM30060B28</t>
  </si>
  <si>
    <t>Termómetro bimetálico Winters Serie TBM, 0/50°C, dial 3", vástago 6", 1/2" NPT posterior, caja y vastago Ac. Inox. 304.</t>
  </si>
  <si>
    <t>TBM30060B30</t>
  </si>
  <si>
    <t>Termómetro bimetálico Winters Serie TBM, 0/100°C, dial 3", vástago 6", 1/2" NPT posterior, caja y vastago Ac. Inox. 304.</t>
  </si>
  <si>
    <t>TBM30060B32</t>
  </si>
  <si>
    <t>Termómetro bimetálico Winters Serie TBM, 0/150°C, dial 3", vástago 6", 1/2" NPT posterior, caja y vastago Ac. Inox. 304.</t>
  </si>
  <si>
    <t>TBM30060B33</t>
  </si>
  <si>
    <t>Termómetro bimetálico Winters Serie TBM, 0/200°C, dial 3", vástago 6", 1/2" NPT posterior, caja y vastago Ac. Inox. 304.</t>
  </si>
  <si>
    <t>TBM30060B34</t>
  </si>
  <si>
    <t>Termómetro bimetálico Winters Serie TBM, 0/300°C, dial 3", vástago 6", 1/2" NPT posterior, caja y vastago Ac. Inox. 304.</t>
  </si>
  <si>
    <t>TBM30060B35</t>
  </si>
  <si>
    <t>Termómetro bimetálico Winters Serie TBM, 0/450°C, dial 3", vástago 6", 1/2" NPT posterior, caja y vastago Ac. Inox. 304.</t>
  </si>
  <si>
    <t>TBM30060B36S</t>
  </si>
  <si>
    <t>Termómetro bimetálico Winters Serie TBM, 0/600°C, dial 3", vástago 6", 1/2" NPT posterior, caja y vastago Ac. Inox. 304.</t>
  </si>
  <si>
    <t>TBM30090</t>
  </si>
  <si>
    <t>Termómetro bimetálico Winters Serie TBM, dial 3", vástago 9", 1/2" NPT posterior, caja y vastago Ac. Inox. 304.</t>
  </si>
  <si>
    <t>TBM30120</t>
  </si>
  <si>
    <t>Termómetro bimetálico Winters Serie TBM, dial 3", vástago 12", 1/2" NPT posterior, caja y vastago Ac. Inox. 304.</t>
  </si>
  <si>
    <t>TBM30150</t>
  </si>
  <si>
    <t>Termómetro bimetálico Winters Serie TBM, dial 3", vástago 15", 1/2" NPT posterior, caja y vastago Ac. Inox. 304.</t>
  </si>
  <si>
    <t>TBM30180</t>
  </si>
  <si>
    <t>Termómetro bimetálico Winters Serie TBM, dial 3", vástago 18", 1/2" NPT posterior, caja y vastago Ac. Inox. 304.</t>
  </si>
  <si>
    <t>TBM30240</t>
  </si>
  <si>
    <t>Termómetro bimetálico Winters Serie TBM, dial 3", vástago 24", 1/2" NPT posterior, caja y vastago Ac. Inox. 304.</t>
  </si>
  <si>
    <t>TBM30300</t>
  </si>
  <si>
    <t>Termómetro bimetálico Winters Serie TBM, dial 3", vástago-30", 1/2" NPT posterior, caja y vastago Ac. Inox. 304.</t>
  </si>
  <si>
    <t>TBM30360</t>
  </si>
  <si>
    <t>Termómetro bimetálico Winters Serie TBM, dial 3", vástago 36", 1/2" NPT posterior, caja y vastago Ac. Inox. 304.</t>
  </si>
  <si>
    <t>TBM31025B32</t>
  </si>
  <si>
    <t>Termómetro bimetálico Winters Serie TBM, 0/150°C, dial 3", vástago 2,5", 1/2" NPT inferior, caja y vastago Ac. Inox. 304.</t>
  </si>
  <si>
    <t>TBM31040</t>
  </si>
  <si>
    <t>Termómetro bimetálico Winters Serie TBM, dial 3", vástago 4", 1/2" NPT inferior, caja y vastago Ac. Inox. 304.</t>
  </si>
  <si>
    <t>TBM31060</t>
  </si>
  <si>
    <t>Termómetro bimetálico Winters Serie TBM, dial 3", vástago 6", 1/2" NPT inferior, caja y vastago Ac. Inox. 304.</t>
  </si>
  <si>
    <t>TBM31090</t>
  </si>
  <si>
    <t>Termómetro bimetálico Winters Serie TBM, dial 3", vástago 9", 1/2" NPT inferior, caja y vastago Ac. Inox. 304.</t>
  </si>
  <si>
    <t>TBM31120</t>
  </si>
  <si>
    <t>Termómetro bimetálico Winters Serie TBM, dial 3", vástago 12", 1/2" NPT inferior, caja y vastago Ac. Inox. 304.</t>
  </si>
  <si>
    <t>TBM31150</t>
  </si>
  <si>
    <t>Termómetro bimetálico Winters Serie TBM, dial 3", vástago 15", 1/2" NPT inferior, caja y vastago Ac. Inox. 304.</t>
  </si>
  <si>
    <t>TBM31180</t>
  </si>
  <si>
    <t>Termómetro bimetálico Winters Serie TBM, dial 3", vástago 18", 1/2" NPT inferior, caja y vastago Ac. Inox. 304.</t>
  </si>
  <si>
    <t>TBM31240</t>
  </si>
  <si>
    <t>Termómetro bimetálico Winters Serie TBM, dial 3", vástago 24", 1/2" NPT inferior, caja y vastago Ac. Inox. 304.</t>
  </si>
  <si>
    <t>TBM31300</t>
  </si>
  <si>
    <t>Termómetro bimetálico Winters Serie TBM, dial 3", vástago-30", 1/2" NPT inferior, caja y vastago Ac. Inox. 304.</t>
  </si>
  <si>
    <t>TBM31360</t>
  </si>
  <si>
    <t>Termómetro bimetálico Winters Serie TBM, dial 3", vástago 36", 1/2" NPT inferior, caja y vastago Ac. Inox. 304.</t>
  </si>
  <si>
    <t>TBM32025</t>
  </si>
  <si>
    <t>Termómetro bimetálico Winters Serie TBM, dial 3", vástago 2,5", 1/2" NPT ángulo variable, caja y vastago Ac. Inox. 304.</t>
  </si>
  <si>
    <t>TBM32040</t>
  </si>
  <si>
    <t>Termómetro bimetálico Winters Serie TBM, dial 3", vástago 4", 1/2" NPT ángulo variable, caja y vastago Ac. Inox. 304.</t>
  </si>
  <si>
    <t>TBM32060</t>
  </si>
  <si>
    <t>Termómetro bimetálico Winters Serie TBM, dial 3", vástago 6", 1/2" NPT ángulo variable, caja y vastago Ac. Inox. 304.</t>
  </si>
  <si>
    <t>TBM32090</t>
  </si>
  <si>
    <t>Termómetro bimetálico Winters Serie TBM, dial 3", vástago 9", 1/2" NPT ángulo variable, caja y vastago Ac. Inox. 304.</t>
  </si>
  <si>
    <t>TBM32120</t>
  </si>
  <si>
    <t>Termómetro bimetálico Winters Serie TBM, dial 3", vástago 12", 1/2" NPT ángulo variable, caja y vastago Ac. Inox. 304.</t>
  </si>
  <si>
    <t>TBM32150</t>
  </si>
  <si>
    <t>Termómetro bimetálico Winters Serie TBM, dial 3", vástago 15", 1/2" NPT ángulo variable, caja y vastago Ac. Inox. 304.</t>
  </si>
  <si>
    <t>TBM32180</t>
  </si>
  <si>
    <t>Termómetro bimetálico Winters Serie TBM, dial 3", vástago 18", 1/2" NPT ángulo variable, caja y vastago Ac. Inox. 304.</t>
  </si>
  <si>
    <t>TBM32240</t>
  </si>
  <si>
    <t>Termómetro bimetálico Winters Serie TBM, dial 3", vástago 24", 1/2" NPT ángulo variable, caja y vastago Ac. Inox. 304.</t>
  </si>
  <si>
    <t>TBM32300</t>
  </si>
  <si>
    <t>Termómetro bimetálico Winters Serie TBM, dial 3", vástago-30", 1/2" NPT ángulo variable, caja y vastago Ac. Inox. 304.</t>
  </si>
  <si>
    <t>TBM32360</t>
  </si>
  <si>
    <t>Termómetro bimetálico Winters Serie TBM, dial 3", vástago 36", 1/2" NPT ángulo variable, caja y vastago Ac. Inox. 304.</t>
  </si>
  <si>
    <t>TBM40015B36S</t>
  </si>
  <si>
    <t>Termómetro bimetálico Winters Serie TBM, 0/600°C, dial 4", vástago 1,5", 1/2" NPT posterior, caja y vastago Ac. Inox. 304.</t>
  </si>
  <si>
    <t>TBM40025B27</t>
  </si>
  <si>
    <t>Termómetro bimetálico Winters Serie TBM, -50/50°C, dial 4", vástago 2,5", 1/2" NPT posterior, caja y vastago Ac. Inox. 304.</t>
  </si>
  <si>
    <t>TBM40025B30</t>
  </si>
  <si>
    <t>Termómetro bimetálico Winters Serie TBM, 0/100°C, dial 4", vástago 2,5", 1/2" NPT posterior, caja y vastago Ac. Inox. 304.</t>
  </si>
  <si>
    <t>TBM40025B32</t>
  </si>
  <si>
    <t>Termómetro bimetálico Winters Serie TBM, 0/150°C, dial 4", vástago 2,5", 1/2" NPT posterior, caja y vastago Ac. Inox. 304.</t>
  </si>
  <si>
    <t>TBM40025B32-BG4</t>
  </si>
  <si>
    <t>Termómetro bimetálico Winters Serie TBM, 0/150°C, dial 4", vástago 2,5", 1/2" NPT posterior, caja y vastago Ac. Inox. 304, con glicerina</t>
  </si>
  <si>
    <t>TBM40025B33</t>
  </si>
  <si>
    <t>Termómetro bimetálico Winters Serie TBM, 0/200°C, dial 4", vástago 2,5", 1/2" NPT posterior, caja y vastago Ac. Inox. 304.</t>
  </si>
  <si>
    <t>TBM40025B34</t>
  </si>
  <si>
    <t>Termómetro bimetálico Winters Serie TBM, 0/300°C, dial 4", vástago 2,5", 1/2" NPT posterior, caja y vastago Ac. Inox. 304.</t>
  </si>
  <si>
    <t>TBM40040B27</t>
  </si>
  <si>
    <t>Termómetro bimetálico Winters Serie TBM, -50/50°C, dial 4", vástago 4", 1/2" NPT posterior, caja y vastago Ac. Inox. 304.</t>
  </si>
  <si>
    <t>TBM40040B28</t>
  </si>
  <si>
    <t>Termómetro bimetálico Winters Serie TBM, 0/50°C, dial 4", vástago 4", 1/2" NPT posterior, caja y vastago Ac. Inox. 304.</t>
  </si>
  <si>
    <t>TBM40040B29</t>
  </si>
  <si>
    <t>Termómetro bimetálico Winters Serie TBM, -50/100°C, dial 4", vástago 4", 1/2" NPT posterior, caja y vastago Ac. Inox. 304.</t>
  </si>
  <si>
    <t>TBM40040B30</t>
  </si>
  <si>
    <t>Termómetro bimetálico Winters Serie TBM, 0/100°C, dial 4", vástago 4", 1/2" NPT posterior, caja y vastago Ac. Inox. 304.</t>
  </si>
  <si>
    <t>TBM40040B31</t>
  </si>
  <si>
    <t>Termómetro bimetálico Winters Serie TBM, -20/120°C, dial 4", vástago 4", 1/2" NPT posterior, caja y vastago Ac. Inox. 304.</t>
  </si>
  <si>
    <t>TBM40040B32</t>
  </si>
  <si>
    <t>Termómetro bimetálico Winters Serie TBM, 0/150°C, dial 4", vástago 4", 1/2" NPT posterior, caja y vastago Ac. Inox. 304.</t>
  </si>
  <si>
    <t>TBM40040B32-BG4</t>
  </si>
  <si>
    <t>Termómetro bimetálico Winters Serie TBM, 0/150°C, dial 4", vástago 4", 1/2" NPT posterior, caja y vastago Ac. Inox. 304 con glicerina.</t>
  </si>
  <si>
    <t>TBM40040B33</t>
  </si>
  <si>
    <t>Termómetro bimetálico Winters Serie TBM, 0/200°C, dial 4", vástago 4", 1/2" NPT posterior, caja y vastago Ac. Inox. 304.</t>
  </si>
  <si>
    <t>TBM40040B34</t>
  </si>
  <si>
    <t>Termómetro bimetálico Winters Serie TBM, 0/300°C, dial 4", vástago 4", 1/2" NPT posterior, caja y vastago Ac. Inox. 304.</t>
  </si>
  <si>
    <t>TBM40040B35</t>
  </si>
  <si>
    <t>Termómetro bimetálico Winters Serie TBM, 0/450°C, dial 4", vástago 4", 1/2" NPT posterior, caja y vastago Ac. Inox. 304.</t>
  </si>
  <si>
    <t>TBM40060B27</t>
  </si>
  <si>
    <t>Termómetro bimetálico Winters Serie TBM, -50/50°C, dial 4", vástago 6", 1/2" NPT posterior, caja y vastago Ac. Inox. 304.</t>
  </si>
  <si>
    <t>TBM40060B28</t>
  </si>
  <si>
    <t>Termómetro bimetálico Winters Serie TBM, 0/50°C, dial 4", vástago 6", 1/2" NPT posterior, caja y vastago Ac. Inox. 304.</t>
  </si>
  <si>
    <t>TBM40060B29</t>
  </si>
  <si>
    <t>Termómetro bimetálico Winters Serie TBM, -50/100°C, dial 4", vástago 6", 1/2" NPT posterior, caja y vastago Ac. Inox. 304.</t>
  </si>
  <si>
    <t>TBM40060B30</t>
  </si>
  <si>
    <t>Termómetro bimetálico Winters Serie TBM, 0/100°C, dial 4", vástago 6", 1/2" NPT posterior, caja y vastago Ac. Inox. 304.</t>
  </si>
  <si>
    <t>TBM40060B32</t>
  </si>
  <si>
    <t>Termómetro bimetálico Winters Serie TBM, 0/150°C, dial 4", vástago 6", 1/2" NPT posterior, caja y vastago Ac. Inox. 304.</t>
  </si>
  <si>
    <t>TBM40060B32-BG4</t>
  </si>
  <si>
    <t>TBM40060B32S</t>
  </si>
  <si>
    <t>Termómetro bimetálico Winters Serie TBM, 0/120°C, dial 4", vástago 6", 1/2" NPT posterior, caja y vastago Ac. Inox. 304.</t>
  </si>
  <si>
    <t>TBM40060B33</t>
  </si>
  <si>
    <t>Termómetro bimetálico Winters Serie TBM, 0/200°C, dial 4", vástago 6", 1/2" NPT posterior, caja y vastago Ac. Inox. 304.</t>
  </si>
  <si>
    <t>TBM40060B34</t>
  </si>
  <si>
    <t>Termómetro bimetálico Winters Serie TBM, 0/300°C, dial 4", vástago 6", 1/2" NPT posterior, caja y vastago Ac. Inox. 304.</t>
  </si>
  <si>
    <t>TBM40060B35</t>
  </si>
  <si>
    <t>Termómetro bimetálico Winters Serie TBM, 0/450°C, dial 4", vástago 6", 1/2" NPT posterior, caja y vastago Ac. Inox. 304.</t>
  </si>
  <si>
    <t>TBM40060B36S</t>
  </si>
  <si>
    <t>Termómetro bimetálico Winters Serie TBM, 0/600°C, dial 4", vástago 6", 1/2" NPT posterior, caja y vastago Ac. Inox. 304.</t>
  </si>
  <si>
    <t>TBM40090B30</t>
  </si>
  <si>
    <t>Termómetro bimetálico Winters Serie TBM, 0/100°C, dial 4", vástago 9", 1/2" NPT posterior, caja y vastago Ac. Inox. 304.</t>
  </si>
  <si>
    <t>TBM40090B36S</t>
  </si>
  <si>
    <t>Termómetro bimetálico Winters Serie TBM, 0/600°C, dial 4", vástago 9", 1/2" NPT posterior, caja y vastago Ac. Inox. 304.</t>
  </si>
  <si>
    <t>TBM40090B34</t>
  </si>
  <si>
    <t>Termómetro bimetálico Winters Serie TBM, 0/300°C, dial 4", vástago 9", 1/2" NPT posterior, caja y vastago Ac. Inox. 304.</t>
  </si>
  <si>
    <t>TBM40090B35</t>
  </si>
  <si>
    <t>Termómetro bimetálico Winters Serie TBM, 0/450°C, dial 4", vástago 9", 1/2" NPT posterior, caja y vastago Ac. Inox. 304.</t>
  </si>
  <si>
    <t>TBM40120B27</t>
  </si>
  <si>
    <t>Termómetro bimetálico Winters Serie TBM, -50/50°C, dial 4", vástago 12", 1/2" NPT posterior, caja y vastago Ac. Inox. 304.</t>
  </si>
  <si>
    <t>TBM40120B30</t>
  </si>
  <si>
    <t>Termómetro bimetálico Winters Serie TBM, 0/100°C, dial 4", vástago 12", 1/2" NPT posterior, caja y vastago Ac. Inox. 304.</t>
  </si>
  <si>
    <t>TBM40120B33</t>
  </si>
  <si>
    <t>Termómetro bimetálico Winters Serie TBM, 0/200°C, dial 4", vástago 12", 1/2" NPT posterior, caja y vastago Ac. Inox. 304.</t>
  </si>
  <si>
    <t>TBM40120B34</t>
  </si>
  <si>
    <t>Termómetro bimetálico Winters Serie TBM, 0/300°C, dial 4", vástago 12", 1/2" NPT posterior, caja y vastago Ac. Inox. 304.</t>
  </si>
  <si>
    <t>TBM40120B35</t>
  </si>
  <si>
    <t>Termómetro bimetálico Winters Serie TBM, 0/450°C, dial 4", vástago 12", 1/2" NPT posterior, caja y vastago Ac. Inox. 304.</t>
  </si>
  <si>
    <t>TBM40150</t>
  </si>
  <si>
    <t>Termómetro bimetálico Winters Serie TBM, dial 4", vástago 15", 1/2" NPT posterior, caja y vastago Ac. Inox. 304.</t>
  </si>
  <si>
    <t>TBM40180</t>
  </si>
  <si>
    <t>Termómetro bimetálico Winters Serie TBM, dial 4", vástago 18", 1/2" NPT posterior, caja y vastago Ac. Inox. 304.</t>
  </si>
  <si>
    <t>TBM40240</t>
  </si>
  <si>
    <t>Termómetro bimetálico Winters Serie TBM, dial 4", vástago 24", 1/2" NPT posterior, caja y vastago Ac. Inox. 304.</t>
  </si>
  <si>
    <t>TBM40260B35S</t>
  </si>
  <si>
    <t>Termómetro bimetálico Winters Serie TBM, dial 4", 0/400°C,  vástago 26", 1/2" NPT posterior, caja y vastago Ac. Inox. 304.</t>
  </si>
  <si>
    <t>TBM40260B36S</t>
  </si>
  <si>
    <t>Termómetro bimetálico Winters Serie TBM, dial 4", 0/600°C,  vástago 26", 1/2" NPT posterior, caja y vastago Ac. Inox. 304.</t>
  </si>
  <si>
    <t>TBM40300</t>
  </si>
  <si>
    <t>Termómetro bimetálico Winters Serie TBM, dial 4", vástago 30", 1/2" NPT posterior, caja y vastago Ac. Inox. 304.</t>
  </si>
  <si>
    <t>TBM40360</t>
  </si>
  <si>
    <t>Termómetro bimetálico Winters Serie TBM, dial 4", vástago 36", 1/2" NPT posterior, caja y vastago Ac. Inox. 304.</t>
  </si>
  <si>
    <t>TBM41025B28</t>
  </si>
  <si>
    <t>Termómetro bimetálico Winters Serie TBM, 0/50°C, dial: 4", vástago 2,5", 1/2" NPT inferior, caja y vastago Ac. Inox. 304</t>
  </si>
  <si>
    <t>TBM41025B30</t>
  </si>
  <si>
    <t>Termómetro bimetálico Winters Serie TBM, 0/100°C, dial: 4", vástago 2,5", 1/2" NPT inferior, caja y vastago Ac. Inox. 304</t>
  </si>
  <si>
    <t>TBM41040B27</t>
  </si>
  <si>
    <t>Termómetro bimetálico Winters Serie TBM, -50/50°C, dial 4", vástago 4", 1/2" NPT inferior, caja y vastago Ac. Inox. 304.</t>
  </si>
  <si>
    <t>TBM41040B28</t>
  </si>
  <si>
    <t>Termómetro bimetálico Winters Serie TBM, 0/50°C, dial 4", vástago 4", 1/2" NPT inferior, caja y vastago Ac. Inox. 304.</t>
  </si>
  <si>
    <t>TBM41040B29</t>
  </si>
  <si>
    <t>Termómetro bimetálico Winters Serie TBM, -50/100°C, dial 4", vástago 4", 1/2" NPT inferior, caja y vastago Ac. Inox. 304.</t>
  </si>
  <si>
    <t>TBM41040B30</t>
  </si>
  <si>
    <t>Termómetro bimetálico Winters Serie TBM, 0/100°C, dial 4", vástago 4", 1/2" NPT inferior, caja y vastago Ac. Inox. 304.</t>
  </si>
  <si>
    <t>TBM41040B30-BG4</t>
  </si>
  <si>
    <t>Termómetro bimetálico Winters Serie TBM, 0/100°C, dial 4", vástago 4", 1/2" NPT inferior, caja y vastago Ac. Inox. 304, con glicerina.</t>
  </si>
  <si>
    <t>TBM41040B30-BG4-SPG4</t>
  </si>
  <si>
    <t>Termómetro bimetálico Winters Serie TBM, 0/100°C, dial 4", vástago 4", 1/2" NPT inferior, caja y vastago Ac. Inox. 304, con glicerina, con vidrio de seguridad.</t>
  </si>
  <si>
    <t>TBM41040B31</t>
  </si>
  <si>
    <t>Termómetro bimetálico Winters Serie TBM, -20/120°C, dial 4", vástago 4", 1/2" NPT inferior, caja y vastago Ac. Inox. 304.</t>
  </si>
  <si>
    <t>TBM41040B32</t>
  </si>
  <si>
    <t>Termómetro bimetálico Winters Serie TBM, 0/150°C, dial 4", vástago 4", 1/2" NPT inferior, caja y vastago Ac. Inox. 304.</t>
  </si>
  <si>
    <t>TBM41040B33</t>
  </si>
  <si>
    <t>Termómetro bimetálico Winters Serie TBM, 0/200°C, dial 4", vástago 4", 1/2" NPT inferior, caja y vastago Ac. Inox. 304.</t>
  </si>
  <si>
    <t>TBM41040B34</t>
  </si>
  <si>
    <t>Termómetro bimetálico Winters Serie TBM, 0/300°C, dial 4", vástago 4", 1/2" NPT inferior, caja y vastago Ac. Inox. 304.</t>
  </si>
  <si>
    <t>TBM41040B35</t>
  </si>
  <si>
    <t>Termómetro bimetálico Winters Serie TBM, 0/450°C, dial 4", vástago 4", 1/2" NPT inferior, caja y vastago Ac. Inox. 304.</t>
  </si>
  <si>
    <t>TBM41060B27</t>
  </si>
  <si>
    <t>Termómetro bimetálico Winters Serie TBM, -50/50°C, dial 4", vástago 6", 1/2" NPT inferior, caja y vastago Ac. Inox. 304.</t>
  </si>
  <si>
    <t>TBM41060B28</t>
  </si>
  <si>
    <t>Termómetro bimetálico Winters Serie TBM, 0/50°C, dial 4", vástago 6", 1/2" NPT inferior, caja y vastago Ac. Inox. 304.</t>
  </si>
  <si>
    <t>TBM41060B29</t>
  </si>
  <si>
    <t>Termómetro bimetálico Winters Serie TBM, -50/100°C, dial 4", vástago 6", 1/2" NPT inferior, caja y vastago Ac. Inox. 304.</t>
  </si>
  <si>
    <t>TBM41060B30</t>
  </si>
  <si>
    <t>Termómetro bimetálico Winters Serie TBM, 0/100°C, dial 4", vástago 6", 1/2" NPT inferior, caja y vastago Ac. Inox. 304.</t>
  </si>
  <si>
    <t>TBM41060B31</t>
  </si>
  <si>
    <t>Termómetro bimetálico Winters Serie TBM, -20/120°C, dial 4", vástago 6", 1/2" NPT inferior, caja y vastago Ac. Inox. 304.</t>
  </si>
  <si>
    <t>TBM41060B32</t>
  </si>
  <si>
    <t>Termómetro bimetálico Winters Serie TBM, 0/150°C, dial 4", vástago 6", 1/2" NPT inferior, caja y vastago Ac. Inox. 304.</t>
  </si>
  <si>
    <t>TBM41060B32-BG4</t>
  </si>
  <si>
    <t>Termómetro bimetálico Winters Serie TBM, 0/150°C, dial 4", vástago 6", 1/2" NPT inferior, caja y vastago Ac. Inox. 304 con glicerina.</t>
  </si>
  <si>
    <t>TBM41060B31SMX</t>
  </si>
  <si>
    <t>Termómetro bimetálico Winters Serie TBM, 0/120°C, dial 4", vástago 6", 1/2" NPT inferior, caja y vastago Ac. Inox. 304 c/aguja de arrastre</t>
  </si>
  <si>
    <t>TBM41060B33</t>
  </si>
  <si>
    <t>Termómetro bimetálico Winters Serie TBM, 0/200°C, dial 4", vástago 6", 1/2" NPT inferior, caja y vastago Ac. Inox. 304.</t>
  </si>
  <si>
    <t>TBM41060B34</t>
  </si>
  <si>
    <t>Termómetro bimetálico Winters Serie TBM, 0/300°C, dial 4", vástago 6", 1/2" NPT inferior, caja y vastago Ac. Inox. 304.</t>
  </si>
  <si>
    <t>TBM41060B35</t>
  </si>
  <si>
    <t>Termómetro bimetálico Winters Serie TBM, 0/450°C, dial 4", vástago 6", 1/2" NPT inferior, caja y vastago Ac. Inox. 304.</t>
  </si>
  <si>
    <t>TBM41090</t>
  </si>
  <si>
    <t>Termómetro bimetálico Winters Serie TBM, dial 4", vástago 9", 1/2" NPT inferior, caja y vastago Ac. Inox. 304.</t>
  </si>
  <si>
    <t>TBM41100B30</t>
  </si>
  <si>
    <t>Termómetro bimetálico Winters Serie TBM, 0/100°C, dial 4", vástago 10", 1/2" NPT inferior, caja y vastago Ac. Inox. 304.</t>
  </si>
  <si>
    <t>TBM41100B48</t>
  </si>
  <si>
    <t>Termómetro bimetálico Winters Serie TBM, 0/120°C, dial 4", vástago 10", 1/2" NPT inferior, caja y vastago Ac. Inox. 304.</t>
  </si>
  <si>
    <t>TBM41100B50</t>
  </si>
  <si>
    <t>Termómetro bimetálico Winters Serie TBM, 0/250°C, dial 4", vástago 10", 1/2" NPT inferior, caja y vastago Ac. Inox. 304.</t>
  </si>
  <si>
    <t>TBM41120B34</t>
  </si>
  <si>
    <t>Termómetro bimetálico Winters Serie TBM, 0/300°C, dial 4", vástago 12", 1/2" NPT inferior, caja y vastago Ac. Inox. 304.</t>
  </si>
  <si>
    <t>TBM41150B30</t>
  </si>
  <si>
    <t>Termómetro bimetálico Winters Serie TBM, 0/100°C, dial 4", vástago 15", 1/2" NPT inferior, caja y vastago Ac. Inox. 304.</t>
  </si>
  <si>
    <t>TBM41120</t>
  </si>
  <si>
    <t>Termómetro bimetálico Winters Serie TBM, dial 4", vástago 12", 1/2" NPT inferior, caja y vastago Ac. Inox. 304.</t>
  </si>
  <si>
    <t>TBM41120B27</t>
  </si>
  <si>
    <t>Termómetro bimetálico Winters Serie TBM, -50/+50°C, dial 4", vástago 12", 1/2" NPT inferior, caja y vastago Ac. Inox. 304.</t>
  </si>
  <si>
    <t>TBM41150</t>
  </si>
  <si>
    <t>Termómetro bimetálico Winters Serie TBM, dial 4", vástago 15", 1/2" NPT inferior, caja y vastago Ac. Inox. 304.</t>
  </si>
  <si>
    <t>TBM41180</t>
  </si>
  <si>
    <t>Termómetro bimetálico Winters Serie TBM, dial 4", vástago 18", 1/2" NPT inferior, caja y vastago Ac. Inox. 304.</t>
  </si>
  <si>
    <t>TBM41240</t>
  </si>
  <si>
    <t>Termómetro bimetálico Winters Serie TBM, dial 4", vástago 24", 1/2" NPT inferior, caja y vastago Ac. Inox. 304.</t>
  </si>
  <si>
    <t>TBM41300</t>
  </si>
  <si>
    <t>Termómetro bimetálico Winters Serie TBM, dial 4", vástago-30", 1/2" NPT inferior, caja y vastago Ac. Inox. 304.</t>
  </si>
  <si>
    <t>TBM41360</t>
  </si>
  <si>
    <t>Termómetro bimetálico Winters Serie TBM, dial 4", vástago 36", 1/2" NPT inferior, caja y vastago Ac. Inox. 304.</t>
  </si>
  <si>
    <t>TBM42025B30</t>
  </si>
  <si>
    <t>Termómetro bimetálico Winters Serie TBM, 0/100°C, dial 4", vástago 2,5", 1/2" NPT ángulo variable, caja y vastago Ac. Inox. 304.</t>
  </si>
  <si>
    <t>TBM42025B34</t>
  </si>
  <si>
    <t>Termómetro bimetálico Winters Serie TBM, 0/300°C, dial 4", vástago 2,5", 1/2" NPT ángulo variable, caja y vastago Ac. Inox. 304.</t>
  </si>
  <si>
    <t>TBM42025B35</t>
  </si>
  <si>
    <t>Termómetro bimetálico Winters Serie TBM, 0/450°C, dial 4", vástago 2,5", 1/2" NPT ángulo variable, caja y vastago Ac. Inox. 304.</t>
  </si>
  <si>
    <t>TBM42040B27</t>
  </si>
  <si>
    <t>Termómetro bimetálico Winters Serie TBM, -50/50°C, dial 4", vástago 4", 1/2" NPT ángulo variable, caja y vastago Ac. Inox. 304.</t>
  </si>
  <si>
    <t>TBM42040B30</t>
  </si>
  <si>
    <t>Termómetro bimetálico Winters Serie TBM, 0/100°C, dial 4", vástago 4", 1/2" NPT ángulo variable, caja y vastago Ac. Inox. 304.</t>
  </si>
  <si>
    <t>TBM42040B33</t>
  </si>
  <si>
    <t>Termómetro bimetálico Winters Serie TBM, 0/200°C, dial 4", vástago 4", 1/2" NPT ángulo variable, caja y vastago Ac. Inox. 304.</t>
  </si>
  <si>
    <t>TBM42040B34</t>
  </si>
  <si>
    <t>Termómetro bimetálico Winters Serie TBM, 0/300°C, dial 4", vástago 4", 1/2" NPT ángulo variable, caja y vastago Ac. Inox. 304.</t>
  </si>
  <si>
    <t>TBM42040B35</t>
  </si>
  <si>
    <t>Termómetro bimetálico Winters Serie TBM, 0/450°C, dial 4", vástago 4", 1/2" NPT ángulo variable, caja y vastago Ac. Inox. 304.</t>
  </si>
  <si>
    <t>TBM42060B27</t>
  </si>
  <si>
    <t>Termómetro bimetálico Winters Serie TBM, -50/50°C, dial 4", vástago 6", 1/2" NPT ángulo variable, caja y vastago Ac. Inox. 304.</t>
  </si>
  <si>
    <t>TBM42060B30</t>
  </si>
  <si>
    <t>Termómetro bimetálico Winters Serie TBM, 0/100°C, dial 4", vástago 6", 1/2" NPT ángulo variable, caja y vastago Ac. Inox. 304.</t>
  </si>
  <si>
    <t>TBM42060B33</t>
  </si>
  <si>
    <t>Termómetro bimetálico Winters Serie TBM, 0/200°C, dial 4", vástago 6", 1/2" NPT ángulo variable, caja y vastago Ac. Inox. 304.</t>
  </si>
  <si>
    <t>TBM42060B34</t>
  </si>
  <si>
    <t>Termómetro bimetálico Winters Serie TBM, 0/300°C, dial 4", vástago 6", 1/2" NPT ángulo variable, caja y vastago Ac. Inox. 304.</t>
  </si>
  <si>
    <t>TBM42060B35</t>
  </si>
  <si>
    <t>Termómetro bimetálico Winters Serie TBM, 0/450°C, dial 4", vástago 6", 1/2" NPT ángulo variable, caja y vastago Ac. Inox. 304.</t>
  </si>
  <si>
    <t>TBM42060B49</t>
  </si>
  <si>
    <t>Termómetro bimetálico Winters Serie TBM, 0/400°C, dial 4", vástago 6", 1/2" NPT ángulo variable, caja y vastago Ac. Inox. 304.</t>
  </si>
  <si>
    <t>TBM42090B28</t>
  </si>
  <si>
    <t>Termómetro bimetálico Winters Serie TBM, 0/50°C, dial 4", vástago 9", 1/2" NPT ángulo variable, caja y vastago Ac. Inox. 304.</t>
  </si>
  <si>
    <t>TBM42090B30</t>
  </si>
  <si>
    <t>Termómetro bimetálico Winters Serie TBM, 0/100°C, dial 4", vástago 9", 1/2" NPT ángulo variable, caja y vastago Ac. Inox. 304.</t>
  </si>
  <si>
    <t>TBM42100B30</t>
  </si>
  <si>
    <t>Termómetro bimetálico Winters Serie TBM, 0/100°C, dial 4", vástago 10", 1/2" NPT angulo var., caja y vastago Ac. Inox. 304.</t>
  </si>
  <si>
    <t>TBM42120</t>
  </si>
  <si>
    <t>Termómetro bimetálico Winters Serie TBM, dial 4", vástago 12", 1/2" NPT ángulo variable, caja y vastago Ac. Inox. 304.</t>
  </si>
  <si>
    <t>TBM42150</t>
  </si>
  <si>
    <t>Termómetro bimetálico Winters Serie TBM, dial 4", vástago 15", 1/2" NPT ángulo variable, caja y vastago Ac. Inox. 304.</t>
  </si>
  <si>
    <t>TBM42180</t>
  </si>
  <si>
    <t>Termómetro bimetálico Winters Serie TBM, dial 4", vástago 18", 1/2" NPT ángulo variable, caja y vastago Ac. Inox. 304.</t>
  </si>
  <si>
    <t>TBM42240B28</t>
  </si>
  <si>
    <t>Termómetro bimetálico Winters Serie TBM, 0/50°C, dial 4", vástago 24", 1/2" NPT ángulo variable, caja y vastago Ac. Inox. 304.</t>
  </si>
  <si>
    <t>TBM42300</t>
  </si>
  <si>
    <t>Termómetro bimetálico Winters Serie TBM, dial 4", vástago-30", 1/2" NPT ángulo variable, caja y vastago Ac. Inox. 304.</t>
  </si>
  <si>
    <t>TBM42360</t>
  </si>
  <si>
    <t>Termómetro bimetálico Winters Serie TBM, dial 4", vástago 36", 1/2" NPT ángulo variable, caja y vastago Ac. Inox. 304.</t>
  </si>
  <si>
    <t>TBM50025B30</t>
  </si>
  <si>
    <t>Termómetro bimetálico Winters Serie TBM, 0/100°C, dial 5", vástago 2,5", 1/2" NPT posterior, caja y vastago Ac. Inox. 304.</t>
  </si>
  <si>
    <t>TBM50025B34</t>
  </si>
  <si>
    <t>Termómetro bimetálico Winters Serie TBM, 0/300°C, dial 5", vástago 2,5", 1/2" NPT posterior, caja y vastago Ac. Inox. 304.</t>
  </si>
  <si>
    <t>TBM50040B28</t>
  </si>
  <si>
    <t>Termómetro bimetálico Winters Serie TBM, 0/50°C, dial 5", vástago 4", 1/2" NPT posterior, caja y vastago Ac. Inox. 304.</t>
  </si>
  <si>
    <t>TBM50040B30</t>
  </si>
  <si>
    <t>Termómetro bimetálico Winters Serie TBM, 0/100°C, dial 5", vástago 4", 1/2" NPT posterior, caja y vastago Ac. Inox. 304.</t>
  </si>
  <si>
    <t>TBM50040B32</t>
  </si>
  <si>
    <t>Termómetro bimetálico Winters Serie TBM, 0/150°C, dial 5", vástago 4", 1/2" NPT posterior, caja y vastago Ac. Inox. 304.</t>
  </si>
  <si>
    <t>TBM50040B35</t>
  </si>
  <si>
    <t>Termómetro bimetálico Winters Serie TBM, 0/450°C, dial 5", vástago 4", 1/2" NPT posterior, caja y vastago Ac. Inox. 304.</t>
  </si>
  <si>
    <t>TBM50060B27</t>
  </si>
  <si>
    <t>Termómetro bimetálico Winters Serie TBM, -50/50°C, dial 5", vástago 6", 1/2" NPT posterior, caja y vastago Ac. Inox. 304.</t>
  </si>
  <si>
    <t>TBM50060B28</t>
  </si>
  <si>
    <t>Termómetro bimetálico Winters Serie TBM, 0/50°C, dial 5", vástago 6", 1/2" NPT posterior, caja y vastago Ac. Inox. 304.</t>
  </si>
  <si>
    <t>TBM50060B30</t>
  </si>
  <si>
    <t>Termómetro bimetálico Winters Serie TBM, 0/100°C, dial 5", vástago 6", 1/2" NPT posterior, caja y vastago Ac. Inox. 304.</t>
  </si>
  <si>
    <t>TBM50060B32</t>
  </si>
  <si>
    <t>Termómetro bimetálico Winters Serie TBM, 0/150°C, dial 5", vástago 6", 1/2" NPT posterior, caja y vastago Ac. Inox. 304.</t>
  </si>
  <si>
    <t>TBM50060B33</t>
  </si>
  <si>
    <t>Termómetro bimetálico Winters Serie TBM, 0/200°C, dial 5", vástago 6", 1/2" NPT posterior, caja y vastago Ac. Inox. 304.</t>
  </si>
  <si>
    <t>TBM50090</t>
  </si>
  <si>
    <t>Termómetro bimetálico Winters Serie TBM, dial 5", vástago 9", 1/2" NPT posterior, caja y vastago Ac. Inox. 304.</t>
  </si>
  <si>
    <t>TBM50120</t>
  </si>
  <si>
    <t>Termómetro bimetálico Winters Serie TBM, dial 5", vástago 12", 1/2" NPT posterior, caja y vastago Ac. Inox. 304.</t>
  </si>
  <si>
    <t>TBM50150</t>
  </si>
  <si>
    <t>Termómetro bimetálico Winters Serie TBM, dial 5", vástago 15", 1/2" NPT posterior, caja y vastago Ac. Inox. 304.</t>
  </si>
  <si>
    <t>TBM50180</t>
  </si>
  <si>
    <t>Termómetro bimetálico Winters Serie TBM, dial 5", vástago 18", 1/2" NPT posterior, caja y vastago Ac. Inox. 304.</t>
  </si>
  <si>
    <t>TBM50240</t>
  </si>
  <si>
    <t>Termómetro bimetálico Winters Serie TBM, dial 5", vástago 24", 1/2" NPT posterior, caja y vastago Ac. Inox. 304.</t>
  </si>
  <si>
    <t>TBM50300</t>
  </si>
  <si>
    <t>Termómetro bimetálico Winters Serie TBM, dial 5", vástago-30", 1/2" NPT posterior, caja y vastago Ac. Inox. 304.</t>
  </si>
  <si>
    <t>TBM50360</t>
  </si>
  <si>
    <t>Termómetro bimetálico Winters Serie TBM, dial 5", vástago 36", 1/2" NPT posterior, caja y vastago Ac. Inox. 304.</t>
  </si>
  <si>
    <t>TBM51025</t>
  </si>
  <si>
    <t>Termómetro bimetálico Winters Serie TBM, dial 5", vástago 2,5", 1/2" NPT inferior, caja y vastago Ac. Inox. 304.</t>
  </si>
  <si>
    <t>TBM51040</t>
  </si>
  <si>
    <t>Termómetro bimetálico Winters Serie TBM, dial 5", vástago 4", 1/2" NPT inferior, caja y vastago Ac. Inox. 304.</t>
  </si>
  <si>
    <t>TBM51060</t>
  </si>
  <si>
    <t>Termómetro bimetálico Winters Serie TBM, dial 5", vástago 6", 1/2" NPT inferior, caja y vastago Ac. Inox. 304.</t>
  </si>
  <si>
    <t>TBM51090</t>
  </si>
  <si>
    <t>Termómetro bimetálico Winters Serie TBM, dial 5", vástago 9", 1/2" NPT inferior, caja y vastago Ac. Inox. 304.</t>
  </si>
  <si>
    <t>TBM51120</t>
  </si>
  <si>
    <t>Termómetro bimetálico Winters Serie TBM, dial 5", vástago 12", 1/2" NPT inferior, caja y vastago Ac. Inox. 304.</t>
  </si>
  <si>
    <t>TBM51150</t>
  </si>
  <si>
    <t>Termómetro bimetálico Winters Serie TBM, dial 5", vástago 15", 1/2" NPT inferior, caja y vastago Ac. Inox. 304.</t>
  </si>
  <si>
    <t>TBM51180</t>
  </si>
  <si>
    <t>Termómetro bimetálico Winters Serie TBM, dial 5", vástago 18", 1/2" NPT inferior, caja y vastago Ac. Inox. 304.</t>
  </si>
  <si>
    <t>TBM51240</t>
  </si>
  <si>
    <t>Termómetro bimetálico Winters Serie TBM, dial 5", vástago 24", 1/2" NPT inferior, caja y vastago Ac. Inox. 304.</t>
  </si>
  <si>
    <t>TBM51300</t>
  </si>
  <si>
    <t>Termómetro bimetálico Winters Serie TBM, dial 5", vástago-30", 1/2" NPT inferior, caja y vastago Ac. Inox. 304.</t>
  </si>
  <si>
    <t>TBM51360</t>
  </si>
  <si>
    <t>Termómetro bimetálico Winters Serie TBM, dial 5", vástago 36", 1/2" NPT inferior, caja y vastago Ac. Inox. 304.</t>
  </si>
  <si>
    <t>TBM52025</t>
  </si>
  <si>
    <t>Termómetro bimetálico Winters Serie TBM, dial 5", vástago 2,5", 1/2" NPT ángulo variable, caja y vastago Ac. Inox. 304.</t>
  </si>
  <si>
    <t>TBM52040</t>
  </si>
  <si>
    <t>Termómetro bimetálico Winters Serie TBM, dial 5", vástago 4", 1/2" NPT ángulo variable, caja y vastago Ac. Inox. 304.</t>
  </si>
  <si>
    <t>TBM52060</t>
  </si>
  <si>
    <t>Termómetro bimetálico Winters Serie TBM, dial 5", vástago 6", 1/2" NPT ángulo variable, caja y vastago Ac. Inox. 304.</t>
  </si>
  <si>
    <t>TBM52090</t>
  </si>
  <si>
    <t>Termómetro bimetálico Winters Serie TBM, dial 5", vástago 9", 1/2" NPT ángulo variable, caja y vastago Ac. Inox. 304.</t>
  </si>
  <si>
    <t>TBM52120</t>
  </si>
  <si>
    <t>Termómetro bimetálico Winters Serie TBM, dial 5", vástago 12", 1/2" NPT ángulo variable, caja y vastago Ac. Inox. 304.</t>
  </si>
  <si>
    <t>TBM52125B30</t>
  </si>
  <si>
    <t>Termómetro bimetálico Winters Serie TBM, 0/100°C, dial 5", vástago 12,5", 1/2" NPT ángulo variable, caja y vastago Ac. Inox. 304.</t>
  </si>
  <si>
    <t>TBM52150</t>
  </si>
  <si>
    <t>Termómetro bimetálico Winters Serie TBM, dial 5", vástago 15", 1/2" NPT ángulo variable, caja y vastago Ac. Inox. 304.</t>
  </si>
  <si>
    <t>TBM52180</t>
  </si>
  <si>
    <t>Termómetro bimetálico Winters Serie TBM, dial 5", vástago 18", 1/2" NPT ángulo variable, caja y vastago Ac. Inox. 304.</t>
  </si>
  <si>
    <t>TBM52240</t>
  </si>
  <si>
    <t>Termómetro bimetálico Winters Serie TBM, dial 5", vástago 24", 1/2" NPT ángulo variable, caja y vastago Ac. Inox. 304.</t>
  </si>
  <si>
    <t>TBM52300</t>
  </si>
  <si>
    <t>Termómetro bimetálico Winters Serie TBM, dial 5", vástago-30", 1/2" NPT ángulo variable, caja y vastago Ac. Inox. 304.</t>
  </si>
  <si>
    <t>TBM52360</t>
  </si>
  <si>
    <t>Termómetro bimetálico Winters Serie TBM, dial 5", vástago 36", 1/2" NPT ángulo variable, caja y vastago Ac. Inox. 304.</t>
  </si>
  <si>
    <t>TBM60025</t>
  </si>
  <si>
    <t>Termómetro bimetálico Winters Serie TBM, dial 6", vástago 2,5", 1/2" NPT posterior, caja y vastago Ac. Inox. 304.</t>
  </si>
  <si>
    <t>TBM60040</t>
  </si>
  <si>
    <t>Termómetro bimetálico Winters Serie TBM, dial 6", vástago 4", 1/2" NPT posterior, caja y vastago Ac. Inox. 304.</t>
  </si>
  <si>
    <t>TBM60060</t>
  </si>
  <si>
    <t>Termómetro bimetálico Winters Serie TBM, dial 6", vástago 6", 1/2" NPT posterior, caja y vastago Ac. Inox. 304.</t>
  </si>
  <si>
    <t>TBM60090</t>
  </si>
  <si>
    <t>Termómetro bimetálico Winters Serie TBM, dial 6", vástago 9", 1/2" NPT posterior, caja y vastago Ac. Inox. 304.</t>
  </si>
  <si>
    <t>TBM60120</t>
  </si>
  <si>
    <t>Termómetro bimetálico Winters Serie TBM, dial 6", vástago 12", 1/2" NPT posterior, caja y vastago Ac. Inox. 304.</t>
  </si>
  <si>
    <t>TBM60150</t>
  </si>
  <si>
    <t>Termómetro bimetálico Winters Serie TBM, dial 6", vástago 15", 1/2" NPT posterior, caja y vastago Ac. Inox. 304.</t>
  </si>
  <si>
    <t>TBM60180</t>
  </si>
  <si>
    <t>Termómetro bimetálico Winters Serie TBM, dial 6", vástago 18", 1/2" NPT posterior, caja y vastago Ac. Inox. 304.</t>
  </si>
  <si>
    <t>TBM60240</t>
  </si>
  <si>
    <t>Termómetro bimetálico Winters Serie TBM, dial 6", vástago 24", 1/2" NPT posterior, caja y vastago Ac. Inox. 304.</t>
  </si>
  <si>
    <t>TBM60300</t>
  </si>
  <si>
    <t>Termómetro bimetálico Winters Serie TBM, dial 6", vástago-30", 1/2" NPT posterior, caja y vastago Ac. Inox. 304.</t>
  </si>
  <si>
    <t>TBM60360</t>
  </si>
  <si>
    <t>Termómetro bimetálico Winters Serie TBM, dial 6", vástago 36", 1/2" NPT posterior, caja y vastago Ac. Inox. 304.</t>
  </si>
  <si>
    <t>TBM61025</t>
  </si>
  <si>
    <t>Termómetro bimetálico Winters Serie TBM, dial 6", vástago 2,5", 1/2" NPT inferior, caja y vastago Ac. Inox. 304.</t>
  </si>
  <si>
    <t>TBM61040</t>
  </si>
  <si>
    <t>Termómetro bimetálico Winters Serie TBM, dial 6", vástago 4", 1/2" NPT inferior, caja y vastago Ac. Inox. 304.</t>
  </si>
  <si>
    <t>TBM61060</t>
  </si>
  <si>
    <t>Termómetro bimetálico Winters Serie TBM, dial 6", vástago 6", 1/2" NPT inferior, caja y vastago Ac. Inox. 304.</t>
  </si>
  <si>
    <t>TBM61090</t>
  </si>
  <si>
    <t>Termómetro bimetálico Winters Serie TBM, dial 6", vástago 9", 1/2" NPT inferior, caja y vastago Ac. Inox. 304.</t>
  </si>
  <si>
    <t>TBM61120</t>
  </si>
  <si>
    <t>Termómetro bimetálico Winters Serie TBM, dial 6", vástago 12", 1/2" NPT inferior, caja y vastago Ac. Inox. 304.</t>
  </si>
  <si>
    <t>TBM61150</t>
  </si>
  <si>
    <t>Termómetro bimetálico Winters Serie TBM, dial 6", vástago 15", 1/2" NPT inferior, caja y vastago Ac. Inox. 304.</t>
  </si>
  <si>
    <t>TBM61180</t>
  </si>
  <si>
    <t>Termómetro bimetálico Winters Serie TBM, dial 6", vástago 18", 1/2" NPT inferior, caja y vastago Ac. Inox. 304.</t>
  </si>
  <si>
    <t>TBM61240</t>
  </si>
  <si>
    <t>Termómetro bimetálico Winters Serie TBM, dial 6", vástago 24", 1/2" NPT inferior, caja y vastago Ac. Inox. 304.</t>
  </si>
  <si>
    <t>TBM61300</t>
  </si>
  <si>
    <t>Termómetro bimetálico Winters Serie TBM, dial 6", vástago-30", 1/2" NPT inferior, caja y vastago Ac. Inox. 304.</t>
  </si>
  <si>
    <t>TBM61360</t>
  </si>
  <si>
    <t>Termómetro bimetálico Winters Serie TBM, dial 6", vástago 36", 1/2" NPT inferior, caja y vastago Ac. Inox. 304.</t>
  </si>
  <si>
    <t>TBM62025</t>
  </si>
  <si>
    <t>Termómetro bimetálico Winters Serie TBM, dial 6", vástago 2,5", 1/2" NPT ángulo variable, caja y vastago Ac. Inox. 304.</t>
  </si>
  <si>
    <t>TBM62040</t>
  </si>
  <si>
    <t>Termómetro bimetálico Winters Serie TBM, dial 6", vástago 4", 1/2" NPT ángulo variable, caja y vastago Ac. Inox. 304.</t>
  </si>
  <si>
    <t>TBM62060</t>
  </si>
  <si>
    <t>Termómetro bimetálico Winters Serie TBM, dial 6", vástago 6", 1/2" NPT ángulo variable, caja y vastago Ac. Inox. 304.</t>
  </si>
  <si>
    <t>TBM62090</t>
  </si>
  <si>
    <t>Termómetro bimetálico Winters Serie TBM, dial 6", vástago 9", 1/2" NPT ángulo variable, caja y vastago Ac. Inox. 304.</t>
  </si>
  <si>
    <t>TBM62120</t>
  </si>
  <si>
    <t>Termómetro bimetálico Winters Serie TBM, dial 6", vástago 12", 1/2" NPT ángulo variable, caja y vastago Ac. Inox. 304.</t>
  </si>
  <si>
    <t>TBM62150</t>
  </si>
  <si>
    <t>Termómetro bimetálico Winters Serie TBM, dial 6", vástago 15", 1/2" NPT ángulo variable, caja y vastago Ac. Inox. 304.</t>
  </si>
  <si>
    <t>TBM62180</t>
  </si>
  <si>
    <t>Termómetro bimetálico Winters Serie TBM, dial 6", vástago 18", 1/2" NPT ángulo variable, caja y vastago Ac. Inox. 304.</t>
  </si>
  <si>
    <t>TBM62240</t>
  </si>
  <si>
    <t>Termómetro bimetálico Winters Serie TBM, dial 6", vástago 24", 1/2" NPT ángulo variable, caja y vastago Ac. Inox. 304.</t>
  </si>
  <si>
    <t>TBM62300</t>
  </si>
  <si>
    <t>Termómetro bimetálico Winters Serie TBM, dial 6", vástago-30", 1/2" NPT ángulo variable, caja y vastago Ac. Inox. 304.</t>
  </si>
  <si>
    <t>TBM62360</t>
  </si>
  <si>
    <t>Termómetro bimetálico Winters Serie TBM, dial 6", vástago 36", 1/2" NPT ángulo variable, caja y vastago Ac. Inox. 304.</t>
  </si>
  <si>
    <t>TBM20025-SS</t>
  </si>
  <si>
    <t>Termómetro bimetálico Winters Serie TBM, dial 2", vástago 2,5", 1/4" NPT posterior, caja y vastago Ac. Inox. 316.</t>
  </si>
  <si>
    <t>TBM20080-SS</t>
  </si>
  <si>
    <t>Termómetro bimetálico Winters Serie TBM, dial 2", vástago 8", 1/4" NPT posterior, caja y vastago Ac. Inox. 316.</t>
  </si>
  <si>
    <t>TBM40025-SS</t>
  </si>
  <si>
    <t>Termómetro bimetálico Winters Serie TBM, dial 4", vástago 2,5", 1/2" NPT posterior, caja y vastago Ac. Inox. 316.</t>
  </si>
  <si>
    <t>TBM40040-SS</t>
  </si>
  <si>
    <t>Termómetro bimetálico Winters Serie TBM, dial 4", vástago 4", 1/2" NPT posterior, caja y vastago Ac. Inox. 316.</t>
  </si>
  <si>
    <t>TBM40060-SS</t>
  </si>
  <si>
    <t>Termómetro bimetálico Winters Serie TBM, dial 4", vástago 6", 1/2" NPT posterior, caja y vastago Ac. Inox. 316.</t>
  </si>
  <si>
    <t>TBM40080-SS</t>
  </si>
  <si>
    <t>Termómetro bimetálico Winters Serie TBM, dial 4", vástago 8", 1/2" NPT posterior, caja y vastago Ac. Inox. 316.</t>
  </si>
  <si>
    <t>TBM40120-SS</t>
  </si>
  <si>
    <t>Termómetro bimetálico Winters Serie TBM, dial 4", vástago 12", 1/2" NPT posterior, caja y vastago Ac. Inox. 316.</t>
  </si>
  <si>
    <t>TBM30025-1/4</t>
  </si>
  <si>
    <t>Termómetro bimetálico Winters Serie TBM, dial 3", vástago 2,5", 1/4" NPT posterior, caja y vastago Ac. Inox. 304.</t>
  </si>
  <si>
    <t>TBM30040-1/4</t>
  </si>
  <si>
    <t>Termómetro bimetálico Winters Serie TBM, dial 3", vástago 4", 1/4" NPT posterior, caja y vastago Ac. Inox. 304.</t>
  </si>
  <si>
    <t>TBM30060-1/4</t>
  </si>
  <si>
    <t>Termómetro bimetálico Winters Serie TBM, dial 3", vástago 6", 1/4" NPT posterior, caja y vastago Ac. Inox. 304.</t>
  </si>
  <si>
    <t>TBM31025-1/4</t>
  </si>
  <si>
    <t>Termómetro bimetálico Winters Serie TBM, dial 3", vástago 2,5", 1/4" NPT inferior, caja y vastago Ac. Inox. 304.</t>
  </si>
  <si>
    <t>TBM31040-1/4</t>
  </si>
  <si>
    <t>Termómetro bimetálico Winters Serie TBM, dial 3", vástago 4", 1/4" NPT inferior, caja y vastago Ac. Inox. 304.</t>
  </si>
  <si>
    <t>TBM31060-1/4</t>
  </si>
  <si>
    <t>Termómetro bimetálico Winters Serie TBM, dial 3", vástago 6", 1/4" NPT inferior, caja y vastago Ac. Inox. 304.</t>
  </si>
  <si>
    <t xml:space="preserve">AP3 </t>
  </si>
  <si>
    <t>Accesorio Winters para termómetros Serie TBM - Lente acrílica de 75 mm (3 pulg.)</t>
  </si>
  <si>
    <t xml:space="preserve">AP4 </t>
  </si>
  <si>
    <t>Accesorio Winters para termómetros Serie TBM - Lente acrílica de 4 "(100 mm)</t>
  </si>
  <si>
    <t xml:space="preserve">AP5  </t>
  </si>
  <si>
    <t>Accesorio Winters para termómetros Serie TBM - Lente acrílica de 5 "(127 mm)</t>
  </si>
  <si>
    <t xml:space="preserve">AP6  </t>
  </si>
  <si>
    <t>Accesorio Winters para termómetros Serie TBM - Lente acrílica de 6 "(150 mm)</t>
  </si>
  <si>
    <t xml:space="preserve">BG3 </t>
  </si>
  <si>
    <t>Accesorio Winters para termómetros Serie TBM - Relleno de glicerina de 3 "(75 mm)</t>
  </si>
  <si>
    <t xml:space="preserve">BG4  </t>
  </si>
  <si>
    <t>Accesorio Winters para termómetros Serie TBM - Relleno de glicerina de 4 "(100 mm)</t>
  </si>
  <si>
    <t xml:space="preserve">BG5  </t>
  </si>
  <si>
    <t>Accesorio Winters para termómetros Serie TBM - Relleno de glicerina de 5 "(127 mm)</t>
  </si>
  <si>
    <t xml:space="preserve">BG6  </t>
  </si>
  <si>
    <t>Accesorio Winters para termómetros Serie TBM - Relleno de glicerina de 6 "(150 mm)</t>
  </si>
  <si>
    <t xml:space="preserve">RSP4  </t>
  </si>
  <si>
    <t>Accesorio Winters para termómetros Serie TBM - Puntero rojo de 4 "(100 mm)</t>
  </si>
  <si>
    <t xml:space="preserve">RSP5  </t>
  </si>
  <si>
    <t>Accesorio Winters para termómetros Serie TBM - 5 "(127 mm) Puntero de ajuste rojo</t>
  </si>
  <si>
    <t xml:space="preserve">RSP6  </t>
  </si>
  <si>
    <t>Accesorio Winters para termómetros Serie TBM - Puntero rojo de 150 mm (6 pulg.)</t>
  </si>
  <si>
    <t xml:space="preserve">SPG3  </t>
  </si>
  <si>
    <t>Accesorio Winters para termómetros Serie TBM - Lente de vidrio irrompible de 75 mm (3 pulg.)</t>
  </si>
  <si>
    <t xml:space="preserve">SPG4  </t>
  </si>
  <si>
    <t>Accesorio Winters para termómetros Serie TBM - Lente de vidrio inastillable de 4 "(100 mm)</t>
  </si>
  <si>
    <t xml:space="preserve">SPG5 </t>
  </si>
  <si>
    <t>Accesorio Winters para termómetros Serie TBM - Lente de vidrio inastillable de 5 "(127 mm)</t>
  </si>
  <si>
    <t>SPG6</t>
  </si>
  <si>
    <t>Accesorio Winters para termómetros Serie TBM - Lente de vidrio inastillable de 150 mm (6 pulg.)</t>
  </si>
  <si>
    <t>TBT165</t>
  </si>
  <si>
    <t>Termómetro bimetálico Winters Serie TBT, dial 90mm, 30/250°F / 0/120°C, caja acero, 1/2"NPT inferior vástago 50mm de latón.</t>
  </si>
  <si>
    <t>TBT165ARG</t>
  </si>
  <si>
    <t>Termómetro bimetálico Winters Serie TBT, dial 90mm, 0/120°C, caja acero, 1/2"BSPT inferior, vástago 50mm de latón.</t>
  </si>
  <si>
    <t>TBT160</t>
  </si>
  <si>
    <t>Termómetro bimetálico Winters Serie TBT, dial 90mm, 30/250°F / 0/120°C, caja acero, 1/2"NPT posterior, vástago 50mm de latón.</t>
  </si>
  <si>
    <t>TBT160ARG</t>
  </si>
  <si>
    <t>Termómetro bimetálico Winters Serie TBT, dial 90mm, 0/120°C, caja acero, 1/2"BSPT posterior, vástago 50mm de latón.</t>
  </si>
  <si>
    <t>TBT161</t>
  </si>
  <si>
    <t>TCT166</t>
  </si>
  <si>
    <t>Termómetro de contacto con abrazadera Winters Serie TCT, dial 2,5" -40/40°C, caja de acero, para caños 1/2" a 4"</t>
  </si>
  <si>
    <t>TCT167</t>
  </si>
  <si>
    <t>Termómetro de contacto con abrazadera Winters Serie TCT, dial 2,5" 0/120°C, caja de acero, para caños 1/2" a 4"</t>
  </si>
  <si>
    <t>TCT168</t>
  </si>
  <si>
    <t>Termómetro de contacto con abrazadera Winters Serie TCT, dial 2,5" 30°F a 390°F &amp; 0°C a 200°C, caja de acero, para caños 1/2" a 4"</t>
  </si>
  <si>
    <t>THS32025F</t>
  </si>
  <si>
    <t>Termómetro solar Digital Winters Serie THS, dial 3", -50/320°F, vástago 2,5", 1/2" NPT ángulo variable.</t>
  </si>
  <si>
    <t>THS32040F</t>
  </si>
  <si>
    <t>Termómetro solar Digital Winters Serie THS, dial 3", -50/320°F, vástago 4", 1/2" NPT ángulo variable.</t>
  </si>
  <si>
    <t>THS32060F</t>
  </si>
  <si>
    <t>Termómetro solar Digital Winters Serie THS, dial 3", -50/320°F, vástago 6", 1/2" NPT ángulo variable.</t>
  </si>
  <si>
    <t>THS32090F</t>
  </si>
  <si>
    <t>Termómetro solar Digital Winters Serie THS, dial 3", -50/320°F, vástago 9", 1/2"NPT ángulo variable.</t>
  </si>
  <si>
    <t>THS32120F</t>
  </si>
  <si>
    <t>Termómetro solar Digital Winters Serie THS, dial 3", -50/320°F, vástago 12", 1/2" NPT ángulo variable.</t>
  </si>
  <si>
    <t>THS32150F</t>
  </si>
  <si>
    <t>Termómetro solar Digital Winters Serie THS, dial 3", -50/320°F, vástago 15", 1/2" NPT ángulo variable.</t>
  </si>
  <si>
    <t>THS32180F</t>
  </si>
  <si>
    <t>Termómetro solar Digital Winters Serie THS, dial 3", -50/320°F, vástago 18", 1/2" NPT ángulo variable.</t>
  </si>
  <si>
    <t>THS32240F</t>
  </si>
  <si>
    <t>Termómetro solar Digital Winters Serie THS, dial 3", -50/320°F, vástago 24", 1/2"NPT ángulo variable.</t>
  </si>
  <si>
    <t>THS32025C</t>
  </si>
  <si>
    <t>Termómetro solar Digital Winters Serie THS, dial 3", -50/160°C, vástago 2,5", 1/2" NPT ángulo variable.</t>
  </si>
  <si>
    <t>THS32040C</t>
  </si>
  <si>
    <t>Termómetro solar Digital Winters Serie THS, dial 3", -50/160°C, vástago 4", 1/2" NPT ángulo variable.</t>
  </si>
  <si>
    <t>THS32060C</t>
  </si>
  <si>
    <t>Termómetro solar Digital Winters Serie THS, dial 3", -50/160°C, vástago 6", 1/2" NPT ángulo variable.</t>
  </si>
  <si>
    <t>THS32090C</t>
  </si>
  <si>
    <t>Termómetro solar Digital Winters Serie THS, dial 3", -50/160°C, vástago 9", 1/2"NPT ángulo variable.</t>
  </si>
  <si>
    <t>THS32120C</t>
  </si>
  <si>
    <t>Termómetro solar Digital Winters Serie THS, dial 3", -50/160°C, vástago 12", 1/2" NPT ángulo variable.</t>
  </si>
  <si>
    <t>THS32150C</t>
  </si>
  <si>
    <t>Termómetro solar Digital Winters Serie THS, dial 3", -50/160°C, vástago 15", 1/2" NPT ángulo variable.</t>
  </si>
  <si>
    <t>THS32180C</t>
  </si>
  <si>
    <t>Termómetro solar Digital Winters Serie THS, dial 3", -50/160°C, vástago 18", 1/2" NPT ángulo variable.</t>
  </si>
  <si>
    <t>THS32240C</t>
  </si>
  <si>
    <t>Termómetro solar Digital Winters Serie THS, dial 3", -50/160°C, vástago 24", 1/2"NPT ángulo variable.</t>
  </si>
  <si>
    <t>TMT7412</t>
  </si>
  <si>
    <t>Term de contacto magnético Winters Serie TMT, dial 2", -20/120°C caja de acero, con imán de contacto</t>
  </si>
  <si>
    <t>TMT7410</t>
  </si>
  <si>
    <t>Term de contacto magnético Winters Serie TMT, dial 2", -15/260°C caja de acero, con imán de contacto</t>
  </si>
  <si>
    <t>TMT7409</t>
  </si>
  <si>
    <t>Term de contacto magnético Winters Serie TMT, dial 2", 10/400°C caja de acero, con imán de contacto</t>
  </si>
  <si>
    <t>TRR11403052-40/40C</t>
  </si>
  <si>
    <t>Termómetro de lectura remota para gas o vapor Winters Serie TRR, dial 4", -40/40°C, carcasa, mallado, capilar 1,5m, bulbo 0,5"x6" de Ac. Inox. 316, conexión 1/2"BSPT inferior, con pestaña posterior.</t>
  </si>
  <si>
    <t>TRR11403052-0/50C</t>
  </si>
  <si>
    <t>Termómetro de lectura remota para gas o vapor Winters Serie TRR, dial 4", 0/50°C, carcasa, mallado, capilar 1,5m, bulbo 0,5"x6" de Ac. Inox. 316, conexión 1/2"BSPT inferior, con pestaña posterior.</t>
  </si>
  <si>
    <t>TRR11403052-0/100C</t>
  </si>
  <si>
    <t>Termómetro de lectura remota para gas o vapor Winters Serie TRR, dial 4", 0/100°C, carcasa, mallado, capilar 1,5m, bulbo 0,5"x6" de Ac. Inox. 316, conexión 1/2"BSPT inferior, con pestaña posterior.</t>
  </si>
  <si>
    <t>TRR11403052-0/150C</t>
  </si>
  <si>
    <t>Termómetro de lectura remota para gas o vapor Winters Serie TRR, dial 4", 0/150°C, carcasa, mallado, capilar 1,5m, bulbo 0,5"x6" de Ac. Inox. 316, conexión 1/2"BSPT inferior, con pestaña posterior.</t>
  </si>
  <si>
    <t>TRR11403052-0/200C</t>
  </si>
  <si>
    <t>Termómetro de lectura remota para gas o vapor Winters Serie TRR, dial 4", 0/200° C, carcasa, mallado, capilar 1,5m, bulbo 0,5"x6" de Ac. Inox. 316, conexión 1/2"BSPT inferior, con pestaña posterior.</t>
  </si>
  <si>
    <t>TRR11403052-0/300C</t>
  </si>
  <si>
    <t>Termómetro de lectura remota para gas o vapor Winters Serie TRR, dial 4", 0/300° C, carcasa, mallado, capilar 1,5m, bulbo 0,5"x6" de Ac. Inox. 316, conexión 1/2"BSPT inferior, con pestaña posterior.</t>
  </si>
  <si>
    <t>TRR11403052-0/500C</t>
  </si>
  <si>
    <t>Termómetro de lectura remota para gas o vapor Winters Serie TRR, dial 4", 0/500° C, carcasa, mallado, capilar 1,5m, bulbo 0,5"x6" de Ac. Inox. 316, conexión 1/2"BSPT inferior, con pestaña posterior.</t>
  </si>
  <si>
    <t>TRR11403052-0/600C</t>
  </si>
  <si>
    <t>Termómetro de lectura remota para gas o vapor Winters Serie TRR, dial 4", 0/600° C, carcasa, mallado, capilar 1,5m, bulbo 0,5"x6" de Ac. Inox. 316, conexión 1/2"BSPT inferior, con pestaña posterior.</t>
  </si>
  <si>
    <t>TRR11403102-40/40C</t>
  </si>
  <si>
    <t>Termómetro de lectura remota para gas o vapor Winters Serie TRR, dial 4", -40/40° C, carcasa, mallado, capilar 3m, bulbo 0,5"x6" de Ac. Inox. 316, conexión 1/2"BSPT inferior, con pestaña posterior.</t>
  </si>
  <si>
    <t>TRR11403102-20/80C</t>
  </si>
  <si>
    <t>Termómetro de lectura remota para gas o vapor Winters Serie TRR, dial 4", -40/80°C, carcasa, mallado, capilar 3m, bulbo 0,5"x6" de Ac. Inox. 316, conexión 1/2"BSPT inferior, con pestaña posterior.</t>
  </si>
  <si>
    <t>TRR11403102-0/50C</t>
  </si>
  <si>
    <t>Termómetro de lectura remota para gas o vapor Winters Serie TRR, dial 4", 0/50°C, carcasa, mallado, capilar 3m, bulbo 0,5"x6" de Ac. Inox. 316, conexión 1/2"BSPT inferior, con pestaña posterior.</t>
  </si>
  <si>
    <t>TRR11403102-0/100C</t>
  </si>
  <si>
    <t>Termómetro de lectura remota para gas o vapor Winters Serie TRR, dial 4", 0/100°C, carcasa, mallado, capilar 3m, bulbo 0,5"x6" de Ac. Inox. 316, conexión 1/2"BSPT inferior, con pestaña posterior.</t>
  </si>
  <si>
    <t>TRR11403102-0/150C</t>
  </si>
  <si>
    <t>Termómetro de lectura remota para gas o vapor Winters Serie TRR, dial 4", 0/150° C, carcasa, mallado, capilar 3m, bulbo 0,5"x6" de Ac. Inox. 316, conexión 1/2"BSPT inferior, con pestaña posterior.</t>
  </si>
  <si>
    <t>TRR11403102-0/200C</t>
  </si>
  <si>
    <t>Termómetro de lectura remota para gas o vapor Winters Serie TRR, dial 4", 0/200°C, carcasa, mallado, capilar 3m, bulbo 0,5"x6" de Ac. Inox. 316, conexión 1/2"BSPT inferior, con pestaña posterior.</t>
  </si>
  <si>
    <t>TRR11403102-0/300C</t>
  </si>
  <si>
    <t>Termómetro de lectura remota para gas o vapor Winters Serie TRR, dial 4", 0/300°C, carcasa, mallado, capilar 3m, bulbo 0,5"x6" de Ac. Inox. 316, conexión 1/2"BSPT inferior, con pestaña posterior.</t>
  </si>
  <si>
    <t>TRR11403102-0/500C</t>
  </si>
  <si>
    <t>Termómetro de lectura remota para gas o vapor Winters Serie TRR, dial 4", 0/500°C, carcasa, mallado, capilar 3m, bulbo 0,5"x6" de Ac. Inox. 316, conexión 1/2"BSPT inferior, con pestaña posterior.</t>
  </si>
  <si>
    <t>TRR11403102-0/600C</t>
  </si>
  <si>
    <t>Termómetro de lectura remota para gas o vapor Winters Serie TRR, dial 4", 0/600°C, carcasa, mallado, capilar 3m, bulbo 0,5"x6" de Ac. Inox. 316, conexión 1/2"BSPT inferior, con pestaña posterior.</t>
  </si>
  <si>
    <t>TRR11403132-0/100C</t>
  </si>
  <si>
    <t>Termómetro de lectura remota para gas o vapor Winters Serie TRR, dial 4", 0/100° C, capilar 4m, bulbo 0,5"x6" de Ac. Inox. 316, conexión 1/2"BSPT inferior, con pestaña posterior.</t>
  </si>
  <si>
    <t>TRR12403052-0/50C</t>
  </si>
  <si>
    <t>Termómetro de lectura remota para gas o vapor Winters Serie TRR, dial 4", 0/50°C, capilar 1,5m, bulbo 0,5"x6" de Ac. Inox. 316, conexión 1/2"BSPT inferior, con pestaña posterior.</t>
  </si>
  <si>
    <t>TRR12403052-0/600C</t>
  </si>
  <si>
    <t>Termómetro de lectura remota para gas o vapor Winters Serie TRR, dial 4", 0/600°C, capilar 1,5m, bulbo 0,5"x6" de Ac. Inox. 316, conexión 1/2"BSPT inferior, con pestaña posterior.</t>
  </si>
  <si>
    <t>TRR11603102-0/500C</t>
  </si>
  <si>
    <t>Termómetro de lectura remota para gas o vapor Winters Serie TRR, dial 6", 0/500° C,capilar 1,5m, bulbo 0,5"x6" de Ac. Inox. 316, conexión 1/2"BSPT inferior, con pestaña posterior.</t>
  </si>
  <si>
    <t>TAS140</t>
  </si>
  <si>
    <t>Termómetro industrial Winters Serie TAS, 5", angular, -40/110 F&amp;C 1/2" NPT.</t>
  </si>
  <si>
    <t>TAS141</t>
  </si>
  <si>
    <t>Termómetro industrial Winters Serie TAS, 5", angular,20/180 F&amp;C 1/2" NPT</t>
  </si>
  <si>
    <t>TAS150</t>
  </si>
  <si>
    <t>Termómetro industrial Winters Serie TAS, 5", angular,30/240 F&amp;C 1/2" NPT</t>
  </si>
  <si>
    <t>TAS143</t>
  </si>
  <si>
    <t>Termómetro industrial Winters Serie TAS, 5", angular,30/300 F&amp;C 1/2" NPT</t>
  </si>
  <si>
    <t>TAS142</t>
  </si>
  <si>
    <t>Termómetro industrial Winters Serie TAS, 5", angular,50/400 F&amp;C 1/2" NPT</t>
  </si>
  <si>
    <t>TAS130</t>
  </si>
  <si>
    <t>Termómetro industrial Winters Serie TAS, 5", recto, -40/110 F&amp;C 1/2" NPT</t>
  </si>
  <si>
    <t>TAS131</t>
  </si>
  <si>
    <t>Termómetro industrial Winters Serie TAS, 5", recto, 20/180 F&amp;C 1/2" NPT</t>
  </si>
  <si>
    <t>TAS132</t>
  </si>
  <si>
    <t>Termómetro industrial Winters Serie TAS, 5", recto, 30/240 F&amp;C 1/2" NPT</t>
  </si>
  <si>
    <t>TAS134</t>
  </si>
  <si>
    <t>Termómetro industrial Winters Serie TAS, 5", recto, 30/300 F&amp;C 1/2" NPT</t>
  </si>
  <si>
    <t>TAS133</t>
  </si>
  <si>
    <t>Termómetro industrial Winters Serie TAS, 5", recto, 50/400 F&amp;C 1/2" NPT</t>
  </si>
  <si>
    <t>TAS62</t>
  </si>
  <si>
    <t>Accesorios Winters para termómetros Serie TAS 1/2“ NPT - Estandar (incluído con el termómetro) latón</t>
  </si>
  <si>
    <t>TAS62-1</t>
  </si>
  <si>
    <t>Accesorios Winters para termómetros Serie TAS 1/2“ NPT - Opcional Ac. Inox. 304</t>
  </si>
  <si>
    <t>TAS64</t>
  </si>
  <si>
    <t>Accesorios Winters para termómetros Serie TAS 3/4“ NPT - Opcional latón</t>
  </si>
  <si>
    <t>TAS64-1</t>
  </si>
  <si>
    <t>Accesorios Winters para termómetros Serie TAS 3/4“ NPT - Opcional Ac. Inox. 304</t>
  </si>
  <si>
    <t>THR2214090R4</t>
  </si>
  <si>
    <t>Termómetro de lectura remota Winters Serie THR, dial 2" brida frontal, Ac. Inox., capilar de 3mts, -40/60 F&amp;C / -40/15 C&amp;F.</t>
  </si>
  <si>
    <t>THR2214090R5</t>
  </si>
  <si>
    <t>Termómetro de lectura remota Winters Serie THR, dial 2" brida frontal, Ac. Inox., capilar de 3mts, -20/120 F&amp;C / -30/50 C&amp;F.</t>
  </si>
  <si>
    <t>THR2514090R4</t>
  </si>
  <si>
    <t>Termómetro de lectura remota Winters Serie THR, dial 2", brida en U, Ac. Inox., capilar de 3mts, -40/60 F&amp;C / -40/15 C&amp;F.</t>
  </si>
  <si>
    <t>THR2514090R5</t>
  </si>
  <si>
    <t>Termómetro de lectura remota Winters Serie THR, dial 2", brida en U, Ac. Inox., capilar de 3mts, -20/120 F&amp;C / -30/50 C&amp;F.</t>
  </si>
  <si>
    <t>THR3214090R4</t>
  </si>
  <si>
    <t>Termómetro de lectura remota Winters Serie THR, dial 2,5" brida frontal, Ac. Inox., capilar de 3mts, -40/60 F&amp;C / -40/15 C&amp;F.</t>
  </si>
  <si>
    <t>THR3214090R5</t>
  </si>
  <si>
    <t>Termómetro de lectura remota Winters Serie THR, dial 2,5" brida frontal, Ac. Inox., capilar de 3mts, -20/120 F&amp;C / -30/50 C&amp;F.</t>
  </si>
  <si>
    <t>THR3514090R4</t>
  </si>
  <si>
    <t>Termómetro de lectura remota Winters Serie THR, dial 2,5", brida en U, Ac. Inox., capilar de 3mts, -40/60 F&amp;C / -40/15 C&amp;F.</t>
  </si>
  <si>
    <t>THR3514090R5</t>
  </si>
  <si>
    <t>Termómetro de lectura remota Winters Serie THR, dial 2,5", brida en U, Ac. Inox., capilar de 3mts, -20/120 F&amp;C / -30/50 C&amp;F.</t>
  </si>
  <si>
    <t>TIM101A</t>
  </si>
  <si>
    <t>Termómetro Winters Serie TIM, caja de aluminio de 9", -40/110 F&amp;C, vástago de 3,5" con termopozo, 3/4" NPT.</t>
  </si>
  <si>
    <t>TIM102A</t>
  </si>
  <si>
    <t>Termómetro Winters Serie TIM, caja de aluminio de 9", 0/120 F&amp;C, vástago de 3,5" con termopozo, 3/4" NPT.</t>
  </si>
  <si>
    <t>TIM103A</t>
  </si>
  <si>
    <t>Termómetro Winters Serie TIM, caja de aluminio de 9", 0/160 F&amp;C, vástago de 3,5" con termopozo, 3/4" NPT.</t>
  </si>
  <si>
    <t>TIM104A</t>
  </si>
  <si>
    <t>Termómetro Winters Serie TIM, caja de aluminio de 9", 30/180 F&amp;C, vástago de 3,5" con termopozo, 3/4" NPT.</t>
  </si>
  <si>
    <t>TIM100A</t>
  </si>
  <si>
    <t>Termómetro Winters Serie TIM, caja de aluminio de 9", 30/240 F&amp;C ,vástago de 3,5" con termopozo, 3/4" NPT.</t>
  </si>
  <si>
    <t>TIM105A</t>
  </si>
  <si>
    <t>Termómetro Winters Serie TIM, caja de aluminio de 9", 30/300 F&amp;C, vástago de 3,5" con termopozo, 3/4" NPT.</t>
  </si>
  <si>
    <t>TIM101-6A</t>
  </si>
  <si>
    <t>Termómetro Winters Serie TIM, caja de aluminio de 9", -40/110 F&amp;C, vástago de 6" con termopozo, 3/4" NPT.</t>
  </si>
  <si>
    <t>TIM102-6A</t>
  </si>
  <si>
    <t>Termómetro Winters Serie TIM, caja de aluminio de 9", 0/120 F&amp;C, vástago de 6" con termopozo, 3/4" NPT.</t>
  </si>
  <si>
    <t>TIM103-6A</t>
  </si>
  <si>
    <t>Termómetro Winters Serie TIM, caja de aluminio de 9", 0/160 F&amp;C, vástago de 6" con termopozo, 3/4" NPT.</t>
  </si>
  <si>
    <t>TIM104-6A</t>
  </si>
  <si>
    <t>Termómetro Winters Serie TIM, caja de aluminio de 9", 30/180 F&amp;C, vástago de 6" con termopozo, 3/4" NPT.</t>
  </si>
  <si>
    <t>TIM100-6A</t>
  </si>
  <si>
    <t>Termómetro Winters Serie TIM, caja de aluminio de 9", 30/240 F&amp;C, vástago de 6" con termopozo, 3/4" NPT.</t>
  </si>
  <si>
    <t>TIM105-6A</t>
  </si>
  <si>
    <t>Termómetro Winters Serie TIM, caja de aluminio de 9", 30/300 F&amp;C, vástago de 6" con termopozo, 3/4" NPT.</t>
  </si>
  <si>
    <t>TIM101</t>
  </si>
  <si>
    <t>Termómetro Winters Serie TIM, caja de Valox™ de 9", -40/110 F&amp;C, vástago de 3,5" con termopozo, 3/4" NPT.</t>
  </si>
  <si>
    <t>TIM102</t>
  </si>
  <si>
    <t>Termómetro Winters Serie TIM, caja de Valox™ de 9", 0/120 F&amp;C, vástago de 3,5" con termopozo, 3/4" NPT.</t>
  </si>
  <si>
    <t>TIM103</t>
  </si>
  <si>
    <t>Termómetro Winters Serie TIM, caja de Valox™ de 9", 0/160 F&amp;C, vástago de 3,5" con termopozo, 3/4" NPT.</t>
  </si>
  <si>
    <t>TIM104</t>
  </si>
  <si>
    <t>Termómetro Winters Serie TIM, caja de Valox™ de 9", 30/180 F&amp;C, vástago de 3,5" con termopozo, 3/4" NPT.</t>
  </si>
  <si>
    <t>TIM100</t>
  </si>
  <si>
    <t>Termómetro Winters Serie TIM, caja de Valox™ de 9", 30/240 F&amp;C, vástago de 3,5" con termopozo, 3/4" NPT.</t>
  </si>
  <si>
    <t>TIM105</t>
  </si>
  <si>
    <t>Termómetro Winters Serie TIM, caja de Valox™ de 9", 30/300 F&amp;C, vástago de 3,5" con termopozo, 3/4" NPT.</t>
  </si>
  <si>
    <t>TIM101-6</t>
  </si>
  <si>
    <t>Termómetro Winters Serie TIM, caja de Valox™ de 9", -40/110 F&amp;C, vástago de 6" con termopozo, 3/4" NPT.</t>
  </si>
  <si>
    <t>TIM102-6</t>
  </si>
  <si>
    <t>Termómetro Winters Serie TIM, caja de Valox™ de 9", 0/120 F&amp;C, vástago de 6" con termopozo, 3/4" NPT.</t>
  </si>
  <si>
    <t>TIM103-6</t>
  </si>
  <si>
    <t>Termómetro Winters Serie TIM, caja de Valox™ de 9", 0/160 F&amp;C, vástago de 6" con termopozo, 3/4" NPT.</t>
  </si>
  <si>
    <t>TIM104-6</t>
  </si>
  <si>
    <t>Termómetro Winters Serie TIM, caja de Valox™ de 9", 30/180 F&amp;C, vástago de 6" con termopozo, 3/4" NPT.</t>
  </si>
  <si>
    <t>TIM100-6</t>
  </si>
  <si>
    <t>Termómetro Winters Serie TIM, caja de Valox™ de 9", 30/240 F&amp;C, vástago de 6" con termopozo, 3/4" NPT.</t>
  </si>
  <si>
    <t>TIM105-6</t>
  </si>
  <si>
    <t>Termómetro Winters Serie TIM, caja de Valox™ de 9", 30/300 F&amp;C, vástago de 6" con termopozo, 3/4" NPT.</t>
  </si>
  <si>
    <t>Accesorios Winters para termómetro industrial Serie TIM, fluido de relleno azul.</t>
  </si>
  <si>
    <t>Accesorios Winters para termómetro industrial Serie TIM, fluido de relleno rojo.</t>
  </si>
  <si>
    <t>TD50MM-40/40C</t>
  </si>
  <si>
    <t>Termómetro Winters Serie TD50MM, dial 2", -40/40°C, caja plastica, capilar cobre c/PVC 1,5m, inferior, bulbo 30mm.</t>
  </si>
  <si>
    <t>TD50MM-0/120C</t>
  </si>
  <si>
    <t>Termómetro Winters Serie TD50MM, dial 2", 0/120°C, caja plastica, capilar cobre 1,5m, inferior, bulbo 30mm.</t>
  </si>
  <si>
    <t>TD50MM-0/200C</t>
  </si>
  <si>
    <t>Termómetro Winters Serie TD50MM, dial 2", 0/200°C, caja plastica, capilar cobre 1,5m, inferior, bulbo 30mm.</t>
  </si>
  <si>
    <t>TD50MM-0/350C</t>
  </si>
  <si>
    <t>Termómetro Winters Serie TD50MM, dial 2", 0/350°C, caja plastica, capilar cobre 1,5m, inferior, bulbo 30mm.</t>
  </si>
  <si>
    <t>TSD9ITSD</t>
  </si>
  <si>
    <t>Termómetro industrial solar Winters Serie TSD, -50/320 F&amp;C, vástago de 3,5".</t>
  </si>
  <si>
    <t>TSD9ITSD6</t>
  </si>
  <si>
    <t>Termómetro industrial solar Winters Serie TSD, -50/320 F&amp;C, vástago de 6".</t>
  </si>
  <si>
    <t>TSW174-2</t>
  </si>
  <si>
    <t>Termómetro para agua caliente Winters Serie TSW, dial 2" 30/250 F&amp;C, 1/2" NPT con termopozo.</t>
  </si>
  <si>
    <t>TSW174</t>
  </si>
  <si>
    <t>Termómetro para agua caliente Winters Serie TSW, dial 2,5" 30/250 F&amp;C, 1/2" NPT con termopozo.</t>
  </si>
  <si>
    <t>TSW174ARG</t>
  </si>
  <si>
    <t>Termómetro para agua caliente Winters Serie TSW, dial 2,5" 0/120°C, 1/2" BSPT, vástago 50mm de latón.</t>
  </si>
  <si>
    <t>TSW174-SW</t>
  </si>
  <si>
    <t>Termómetro para agua caliente Winters Serie TSW, dial 2,5" 30/250 F&amp;C, 3/4" NPT con termopozo.</t>
  </si>
  <si>
    <t>TSW172</t>
  </si>
  <si>
    <t>Termómetro para agua caliente Winters Serie TSW, escala 8" 40/280 F&amp;C, recto.</t>
  </si>
  <si>
    <t>TSW173</t>
  </si>
  <si>
    <t>Termómetro para agua caliente Winters Serie TSW, escala 8" 40/280 F&amp;C, angular.</t>
  </si>
  <si>
    <t>TTD410</t>
  </si>
  <si>
    <t>Bi-Indicador de Presión y Temperatura Winters Serie TTD Tridicator, dial 2,5", 0/75 PSI/BAR &amp; 70/320 F &amp; 20/16°C 1/4" posterior, vástago 1".</t>
  </si>
  <si>
    <t>TTD401</t>
  </si>
  <si>
    <t>Bi-Indicador de Presión y Temperatura Winters Serie TTD Tridicator, dial 2,5", 0/75 PSI/BAR &amp; 70/320F&amp;C 1/4 extensión posterior, vástago 2”.</t>
  </si>
  <si>
    <t>TTD404</t>
  </si>
  <si>
    <t>Bi-Indicador de Presión y Temperatura Winters Serie TTD Tridicator, dial 2,5", 0/75 PSI/BAR &amp; 70/320F&amp;C 1/4" posterior, vástago 2”.</t>
  </si>
  <si>
    <t>TTD403</t>
  </si>
  <si>
    <t>Bi-Indicador de Presión y Temperatura Winters Serie TTD Tridicator, dial 3", 0/75 PSI/BAR &amp; 70/320 F &amp; 20/16°C 1/4" inferior, vástago 1".</t>
  </si>
  <si>
    <t>TTD409</t>
  </si>
  <si>
    <t>Bi-Indicador de Presión y Temperatura Winters Serie TTD Tridicator, dial 3", 0/100 PSI &amp; 20/160C, conx. inf. 1/2" NPT latón, vástago 2,75".</t>
  </si>
  <si>
    <t>TTD405</t>
  </si>
  <si>
    <t>Bi-Indicador de Presión y Temperatura Winters Serie TTD Tridicator, dial 3", 0/200 PSI &amp; 70/320F&amp;C 1/4" inferior, vástago 1".</t>
  </si>
  <si>
    <t>TTD399</t>
  </si>
  <si>
    <t>Bi-Indicador de Presión y Temperatura Winters Serie TTD Tridicator,, dial 3", 0/250 PSI &amp; 70/320F&amp;C 1/4" inferior, vástago 1".</t>
  </si>
  <si>
    <t>TTD402</t>
  </si>
  <si>
    <t>Bi-Indicador de Presión y Temperatura Winters Serie TTD Tridicator, dial 3", 0-75PSI/BAR &amp; 70/320F&amp;C, 1/2" NPT posterior, vástago 2,5".</t>
  </si>
  <si>
    <t>TTD408</t>
  </si>
  <si>
    <t>Bi-Indicador de Presión y Temperatura Winters Serie TTD Tridicator, dial 3", 0/100psi/kpa &amp; 20/160ºC/F, 1/2" NPT posterior, vástago 2,5".</t>
  </si>
  <si>
    <t>TTD407</t>
  </si>
  <si>
    <t>Bi-Indicador de Presión y Temperatura Winters Serie TTD Tridicator, dial 3", 0/200 psi &amp; 70/320F&amp;C, 1/2" NPT posterior, vástago 2,5".</t>
  </si>
  <si>
    <t>TTD398</t>
  </si>
  <si>
    <t>Bi-Indicador de Presión y Temperatura Winters Serie TTD Tridicator, dial  3", 0/250 psi &amp; 70/320F&amp;C, 1/2" NPT posterior, vástago 2,5".</t>
  </si>
  <si>
    <t>TY521501</t>
  </si>
  <si>
    <t>Transmisor de temperatura Winters Serie TY52 WinSMART, -50/400°C (-58/752°F), 4/20 mA, clase 0,5%, Largo de inserción 150mm (6"), conexión a proceso 1/2" NPT Ac. Inox. 316, conexión eléctrica 1/2" NPT, a prueba de llamas, con display LCD.</t>
  </si>
  <si>
    <t>TY522001</t>
  </si>
  <si>
    <t>Transmisor de temperatura Winters Serie TY52 WinSMART, -50/400°C (-58/752°F), 4/20 mA, clase 0,5%, Largo de inserción 200mm (8"), conexión a proceso 1/2" NPT Ac. Inox. 316, conexión eléctrica 1/2" NPT, a prueba de llamas, con display LCD.</t>
  </si>
  <si>
    <t>TY523001</t>
  </si>
  <si>
    <t>Transmisor de temperatura Winters Serie TY52 WinSMART, -50/400°C (-58/752°F), 4/20 mA, clase 0,5%, Largo de inserción 300mm (12"), conexión a proceso 1/2" NPT Ac. Inox. 316, conexión eléctrica 1/2" NPT, a prueba de llamas, con display LCD.</t>
  </si>
  <si>
    <t>TY524001</t>
  </si>
  <si>
    <t>Transmisor de temperatura Winters Serie TY52 WinSMART, -50/400°C (-58/752°F), 4/20 mA, clase 0,5%, Largo de inserción 400mm (16"), conexión a proceso 1/2" NPT Ac. Inox. 316, conexión eléctrica 1/2" NPT, a prueba de llamas, con display LCD.</t>
  </si>
  <si>
    <t>TY525001</t>
  </si>
  <si>
    <t>Transmisor de temperatura Winters Serie TY52 WinSMART, -50/400°C (-58/752°F), 4/20 mA, clase 0,5%, Largo de inserción 500mm (18"), conexión a proceso 1/2" NPT Ac. Inox. 316, conexión eléctrica 1/2" NPT, a prueba de llamas, con display LCD.</t>
  </si>
  <si>
    <t>TY52150H</t>
  </si>
  <si>
    <t>Transmisor de temperatura Winters Serie TY52 WinSMART, -50/400°C (-58/752°F), 4/20 mA+HART, clase 0,5%, Largo de inserción 150mm (6"), conexión a proceso 1/2" NPT Ac. Inox. 316, conexión eléctrica 1/2" NPT, a prueba de llamas, con display LCD.</t>
  </si>
  <si>
    <t>TY52150H-S</t>
  </si>
  <si>
    <t>Transmisor de temperatura Winters Serie TY52 WinSMART, -50/400°C (-58/752°F), 4/20 mA+HART, clase 0,5%, Largo de inserción 150mm (6"), conexión a proceso 1/2" NPT Ac. Inox. 316, conexión eléctrica 1/2" NPT, a prueba de llamas, con display LCD., diám. Del vastago 12mm</t>
  </si>
  <si>
    <t>TY52200H</t>
  </si>
  <si>
    <t>Transmisor de temperatura Winters Serie TY52 WinSMART, -50/400°C (-58/752°F), 4/20 mA+HART, clase 0,5%, Largo de inserción 200mm (8"), conexión a proceso 1/2" NPT Ac. Inox. 316, conexión eléctrica 1/2" NPT, a prueba de llamas, con display LCD.</t>
  </si>
  <si>
    <t>TY52300H</t>
  </si>
  <si>
    <t>Transmisor de temperatura Winters Serie TY52 WinSMART, -50/400°C (-58/752°F), 4/20 mA+HART, clase 0,5%, Largo de inserción 300mm (12"), conexión a proceso 1/2" NPT Ac. Inox. 316, conexión eléctrica 1/2" NPT, a prueba de llamas, con display LCD.</t>
  </si>
  <si>
    <t>TY52400H</t>
  </si>
  <si>
    <t>Transmisor de temperatura Winters Serie TY52 WinSMART, -50/400°C (-58/752°F), 4/20 mA+HART, clase 0,5%, Largo de inserción 400mm (16"), conexión a proceso 1/2" NPT Ac. Inox. 316, conexión eléctrica 1/2" NPT, a prueba de llamas, con display LCD.</t>
  </si>
  <si>
    <t>TY52500H</t>
  </si>
  <si>
    <t>Transmisor de temperatura Winters Serie TY52 WinSMART, -50/400°C (-58/752°F), 4/20 mA+HART, clase 0,5%, Largo de inserción 500mm (18"), conexión a proceso 1/2" NPT Ac. Inox. 316, conexión eléctrica 1/2" NPT, a prueba de llamas, con display LCD.</t>
  </si>
  <si>
    <t>TY521502</t>
  </si>
  <si>
    <t>Transmisor de temperatura Winters Serie TY52 WinSMART, -50/400°C (-58/752°F), 1/5 VDC, clase 0,5%, Largo de inserción 150mm (6"), conexión a proceso 1/2" NPT Ac. Inox. 316, conexión eléctrica 1/2" NPT, a prueba de llamas, con display LCD.</t>
  </si>
  <si>
    <t>TY522002</t>
  </si>
  <si>
    <t>Transmisor de temperatura Winters Serie TY52 WinSMART, -50/400°C (-58/752°F), 1/5 VDC, clase 0,5%, Largo de inserción 200mm (8"), conexión a proceso 1/2" NPT Ac. Inox. 316, conexión eléctrica 1/2" NPT, a prueba de llamas, con display LCD.</t>
  </si>
  <si>
    <t>TY523002</t>
  </si>
  <si>
    <t>Transmisor de temperatura Winters Serie TY52 WinSMART, -50/400°C (-58/752°F), 1/5 VDC, clase 0,5%, Largo de inserción 300mm (12"), conexión a proceso 1/2" NPT Ac. Inox. 316, conexión eléctrica 1/2" NPT, a prueba de llamas, con display LCD.</t>
  </si>
  <si>
    <t>TY524002</t>
  </si>
  <si>
    <t>Transmisor de temperatura Winters Serie TY52 WinSMART, -50/400°C (-58/752°F), 1/5 VDC, clase 0,5%, Largo de inserción 400mm (16"), conexión a proceso 1/2" NPT Ac. Inox. 316, conexión eléctrica 1/2" NPT, a prueba de llamas, con display LCD.</t>
  </si>
  <si>
    <t>TY525002</t>
  </si>
  <si>
    <t>Transmisor de temperatura Winters Serie TY52 WinSMART, -50/400°C (-58/752°F), 1/5 VDC, clase 0,5%, Largo de inserción 500mm (18"), conexión a proceso 1/2" NPT Ac. Inox. 316, conexión eléctrica 1/2" NPT, a prueba de llamas, con display LCD.</t>
  </si>
  <si>
    <t>TY52150R</t>
  </si>
  <si>
    <t>Transmisor de temperatura Winters Serie TY52 WinSMART, -50/400°C (-58/752°F),  MODBUS RS485, clase 0,5%, Largo de inserción 150mm (6"), conexión a proceso 1/2" NPT Ac. Inox. 316, conexión eléctrica 1/2" NPT, a prueba de llamas, con display LCD.</t>
  </si>
  <si>
    <t>TY52200R</t>
  </si>
  <si>
    <t>Transmisor de temperatura Winters Serie TY52 WinSMART, -50/400°C (-58/752°F),  MODBUS RS485, clase 0,5%, Largo de inserción 200mm (8"), conexión a proceso 1/2" NPT Ac. Inox. 316, conexión eléctrica 1/2" NPT, a prueba de llamas, con display LCD.</t>
  </si>
  <si>
    <t>TY52300R</t>
  </si>
  <si>
    <t>Transmisor de temperatura Winters Serie TY52 WinSMART, -50/400°C (-58/752°F),  MODBUS RS485, clase 0,5%, Largo de inserción 300mm (12"), conexión a proceso 1/2" NPT Ac. Inox. 316, conexión eléctrica 1/2" NPT, a prueba de llamas, con display LCD.</t>
  </si>
  <si>
    <t>TY52400R</t>
  </si>
  <si>
    <t>Transmisor de temperatura Winters Serie TY52 WinSMART, -50/400°C (-58/752°F),  MODBUS RS485, clase 0,5%, Largo de inserción 400mm (16"), conexión a proceso 1/2" NPT Ac. Inox. 316, conexión eléctrica 1/2" NPT, a prueba de llamas, con display LCD.</t>
  </si>
  <si>
    <t>TY52500R</t>
  </si>
  <si>
    <t>Transmisor de temperatura Winters Serie TY52 WinSMART, -50/400°C (-58/752°F),  MODBUS RS485, clase 0,5%, Largo de inserción 500mm (18"), conexión a proceso 1/2" NPT Ac. Inox. 316, conexión eléctrica 1/2" NPT, a prueba de llamas, con display LCD.</t>
  </si>
  <si>
    <t xml:space="preserve">ESH232U </t>
  </si>
  <si>
    <t>Accesorios Winters - Set de cables de programción HART - Modelo: ESH232U</t>
  </si>
  <si>
    <t>WinSMART TY52 - NUMERO DE PARTE DE INGENIERIA</t>
  </si>
  <si>
    <t>4…20 mA / 2-hilos</t>
  </si>
  <si>
    <t>PT100, 0,5 % (estándar)</t>
  </si>
  <si>
    <t xml:space="preserve">A prueba de agua M20x1,5 F, PVC, IP67  </t>
  </si>
  <si>
    <t>A prueba de llamas 1/2" NPT F, AC. INOX., IP67  (estándar)</t>
  </si>
  <si>
    <t xml:space="preserve">A prueba de llamas M20x1,5 F, AC. INOX., IP67  </t>
  </si>
  <si>
    <t>Sin Extension (estándar)</t>
  </si>
  <si>
    <t>Largo 50mm, diámetro 12mm, 316SS</t>
  </si>
  <si>
    <t>Largo 100mm, diámetro 12mm, 316SS</t>
  </si>
  <si>
    <t>Largo 150mm, diámetro 12mm, 316SS</t>
  </si>
  <si>
    <t>Largo 200mm, diámetro 12mm, 316SS</t>
  </si>
  <si>
    <t>Otro, especificar</t>
  </si>
  <si>
    <t>1/2" NPT (M) (estándar)</t>
  </si>
  <si>
    <t>G 1/2 (M)</t>
  </si>
  <si>
    <t>Brida DN 25</t>
  </si>
  <si>
    <t>Brida DN 50</t>
  </si>
  <si>
    <t>304 SS (estándar)</t>
  </si>
  <si>
    <t>D1</t>
  </si>
  <si>
    <t>6mm (1/2"), Material igual a la conexión a proceso (estándar)</t>
  </si>
  <si>
    <t>D2</t>
  </si>
  <si>
    <t>8mm, Material igual a la conexión a proceso</t>
  </si>
  <si>
    <t>D3</t>
  </si>
  <si>
    <t>10mm, Material igual a la conexión a proceso</t>
  </si>
  <si>
    <t>12mm, Material igual a la conexión a proceso</t>
  </si>
  <si>
    <t>D5</t>
  </si>
  <si>
    <t>16mm, Material igual a la conexión a proceso</t>
  </si>
  <si>
    <t>L0100</t>
  </si>
  <si>
    <t>100 (4")</t>
  </si>
  <si>
    <t>L0150</t>
  </si>
  <si>
    <t>150 (6")</t>
  </si>
  <si>
    <t>L0200</t>
  </si>
  <si>
    <t>200 (8")</t>
  </si>
  <si>
    <t>L0300</t>
  </si>
  <si>
    <t>300 (12")</t>
  </si>
  <si>
    <t>L0400</t>
  </si>
  <si>
    <t>400 (16")</t>
  </si>
  <si>
    <t>L0500</t>
  </si>
  <si>
    <t>500 (18")</t>
  </si>
  <si>
    <t>L0ZZZ</t>
  </si>
  <si>
    <t>MC</t>
  </si>
  <si>
    <t>Conexión a proceso movible</t>
  </si>
  <si>
    <t>TER11100</t>
  </si>
  <si>
    <t>Termorresistencia Winters Serie TER, PT100, 4-20MA, ALUM HEAD, GALV EXT, 100MM</t>
  </si>
  <si>
    <t>TER11200</t>
  </si>
  <si>
    <t>Termorresistencia Winters Serie TER, PT100, 4-20MA, ALUM HEAD, GALV EXT, 200MM</t>
  </si>
  <si>
    <t>TER11300</t>
  </si>
  <si>
    <t>Termorresistencia Winters Serie TER, PT100, 4-20MA, ALUM HEAD, GALV EXT, 300MM</t>
  </si>
  <si>
    <t>TER11400</t>
  </si>
  <si>
    <t>Termorresistencia Winters Serie TER, PT100, 4-20MA, ALUM HEAD, GALV EXT, 400MM</t>
  </si>
  <si>
    <t>TER12100</t>
  </si>
  <si>
    <t>Termorresistencia Winters Serie TER, PT100, 4-20MA, ALUM HEAD, AC. INOX. EXT, 100MM</t>
  </si>
  <si>
    <t>TER12200</t>
  </si>
  <si>
    <t>Termorresistencia Winters Serie TER, PT100, 4-20MA, ALUM HEAD, AC. INOX. EXT, 200MM</t>
  </si>
  <si>
    <t>TER12300</t>
  </si>
  <si>
    <t>Termorresistencia Winters Serie TER, PT100, 4-20MA, ALUM HEAD, AC. INOX. EXT, 300MM</t>
  </si>
  <si>
    <t>TER12400</t>
  </si>
  <si>
    <t>Termorresistencia Winters Serie TER, PT100, 4-20MA, ALUM HEAD, AC. INOX. EXT, 400MM</t>
  </si>
  <si>
    <t>TER11100XPS2</t>
  </si>
  <si>
    <t>Termorresistencia Winters Serie TER, PT100, 4-20MA, ALUM HEAD, GALV EXT, 100MM, EX</t>
  </si>
  <si>
    <t>TER11200XPS2</t>
  </si>
  <si>
    <t>Termorresistencia Winters Serie TER, PT100, 4-20MA, ALUM HEAD, GALV EXT, 200MM, EX</t>
  </si>
  <si>
    <t>TER11300XPS2</t>
  </si>
  <si>
    <t>Termorresistencia Winters Serie TER, PT100, 4-20MA, ALUM HEAD, GALV EXT, 300MM, EX</t>
  </si>
  <si>
    <t>TER11400XPS2</t>
  </si>
  <si>
    <t>Termorresistencia Winters Serie TER, PT100, 4-20MA, ALUM HEAD, GALV EXT, 400MM, EX</t>
  </si>
  <si>
    <t>TER12100XPS2</t>
  </si>
  <si>
    <t>TER12200XPS2</t>
  </si>
  <si>
    <t>TER12300XPS2</t>
  </si>
  <si>
    <t>TER12400XPS2</t>
  </si>
  <si>
    <t>TER11100TBR</t>
  </si>
  <si>
    <t>Termorresistencia Winters Serie TER, PT100, 4-20MA, ALUM HEAD, GALV EXT, 100MM, W/WELL</t>
  </si>
  <si>
    <t>TER11200TBR</t>
  </si>
  <si>
    <t>Termorresistencia Winters Serie TER, PT100, 4-20MA, ALUM HEAD, GALV EXT, 200MM, W/WELL</t>
  </si>
  <si>
    <t>TER11300TBR</t>
  </si>
  <si>
    <t>Termorresistencia Winters Serie TER, PT100, 4-20MA, ALUM HEAD, GALV EXT, 300MM, W/WELL</t>
  </si>
  <si>
    <t>TER11400TBR</t>
  </si>
  <si>
    <t>Termorresistencia Winters Serie TER, PT100, 4-20MA, ALUM HEAD, GALV EXT, 400MM, W/WELL</t>
  </si>
  <si>
    <t>TER12100TBR</t>
  </si>
  <si>
    <t>Termorresistencia Winters Serie TER, PT100, 4-20MA, ALUM HEAD, AC. INOX. EXT, 100MM, W/WELL</t>
  </si>
  <si>
    <t>TER12200TBR</t>
  </si>
  <si>
    <t>Termorresistencia Winters Serie TER, PT100, 4-20MA, ALUM HEAD, AC. INOX. EXT, 200MM, W/WELL</t>
  </si>
  <si>
    <t>TER12300TBR</t>
  </si>
  <si>
    <t>Termorresistencia Winters Serie TER, PT100, 4-20MA, ALUM HEAD, AC. INOX. EXT, 300MM, W/WELL</t>
  </si>
  <si>
    <t>TER12400TBR</t>
  </si>
  <si>
    <t>Termorresistencia Winters Serie TER, PT100, 4-20MA, ALUM HEAD, AC. INOX. EXT, 400MM, W/WELL</t>
  </si>
  <si>
    <t>TER11100XPS2TBR</t>
  </si>
  <si>
    <t>Termorresistencia Winters Serie TER, PT100, 4-20MA, ALUM HEAD, GALV EXT, 100MM, EX, W/WELL</t>
  </si>
  <si>
    <t>TER11200XPS2TBR</t>
  </si>
  <si>
    <t>Termorresistencia Winters Serie TER, PT100, 4-20MA, ALUM HEAD, GALV EXT, 200MM, EX, W/WELL</t>
  </si>
  <si>
    <t>TER11300XPS2TBR</t>
  </si>
  <si>
    <t>Termorresistencia Winters Serie TER, PT100, 4-20MA, ALUM HEAD, GALV EXT, 300MM, EX, W/WELL</t>
  </si>
  <si>
    <t>TER11400XPS2TBR</t>
  </si>
  <si>
    <t>Termorresistencia Winters Serie TER, PT100, 4-20MA, ALUM HEAD, GALV EXT, 400MM, EX, W/WELL</t>
  </si>
  <si>
    <t>TER12100XPS2TBR</t>
  </si>
  <si>
    <t>Termorresistencia Winters Serie TER, PT100, 4-20MA, ALUM HEAD, AC. INOX. EXT, 100MM, EX, W/WELL</t>
  </si>
  <si>
    <t>TER12200XPS2TBR</t>
  </si>
  <si>
    <t>Termorresistencia Winters Serie TER, PT100, 4-20MA, ALUM HEAD, AC. INOX. EXT, 200MM, EX, W/WELL</t>
  </si>
  <si>
    <t>TER12300XPS2TBR</t>
  </si>
  <si>
    <t>Termorresistencia Winters Serie TER, PT100, 4-20MA, ALUM HEAD, AC. INOX. EXT, 300MM, EX, W/WELL</t>
  </si>
  <si>
    <t>TER12400XPS2TBR</t>
  </si>
  <si>
    <t>Termorresistencia Winters Serie TER, PT100, 4-20MA, ALUM HEAD, AC. INOX. EXT, 400MM, EX, W/WELL</t>
  </si>
  <si>
    <t>TET11100</t>
  </si>
  <si>
    <t>Termocupla Winters Serie TET, TIPO J, ALUM HEAD, GALV EXT, 100MM</t>
  </si>
  <si>
    <t>TET11200</t>
  </si>
  <si>
    <t>Termocupla Winters Serie TET, TIPO J, ALUM HEAD, GALV EXT, 200MM</t>
  </si>
  <si>
    <t>TET11300</t>
  </si>
  <si>
    <t>Termocupla Winters Serie TET, TIPO J, ALUM HEAD, GALV EXT, 300MM</t>
  </si>
  <si>
    <t>TET11400</t>
  </si>
  <si>
    <t>Termocupla Winters Serie TET, TIPO J, ALUM HEAD, GALV EXT, 400MM</t>
  </si>
  <si>
    <t>TET12100</t>
  </si>
  <si>
    <t>Termocupla Winters Serie TET, TIPO J, ALUM HEAD, AC. INOX. EXT, 100MM</t>
  </si>
  <si>
    <t>TET12200</t>
  </si>
  <si>
    <t>Termocupla Winters Serie TET, TIPO J, ALUM HEAD, AC. INOX. EXT, 200MM</t>
  </si>
  <si>
    <t>TET12300</t>
  </si>
  <si>
    <t>Termocupla Winters Serie TET, TIPO J, ALUM HEAD, AC. INOX. EXT, 300MM</t>
  </si>
  <si>
    <t>TET12400</t>
  </si>
  <si>
    <t>Termocupla Winters Serie TET, TIPO J, ALUM HEAD, AC. INOX. EXT, 400MM</t>
  </si>
  <si>
    <t>TET21100</t>
  </si>
  <si>
    <t>Termocupla Winters Serie TET, TIPO K, ALUM HEAD, GALV EXT, 100MM</t>
  </si>
  <si>
    <t>TET21200</t>
  </si>
  <si>
    <t>Termocupla Winters Serie TET, TIPO K, ALUM HEAD, GALV EXT, 200MM</t>
  </si>
  <si>
    <t>TET21300</t>
  </si>
  <si>
    <t>Termocupla Winters Serie TET, TIPO K, ALUM HEAD, GALV EXT, 300MM</t>
  </si>
  <si>
    <t>TET21400</t>
  </si>
  <si>
    <t>Termocupla Winters Serie TET, TIPO K, ALUM HEAD, GALV EXT, 400MM</t>
  </si>
  <si>
    <t>TET22100</t>
  </si>
  <si>
    <t>Termocupla Winters Serie TET, TIPO K, ALUM HEAD, AC. INOX. EXT, 100MM</t>
  </si>
  <si>
    <t>TET22200</t>
  </si>
  <si>
    <t>Termocupla Winters Serie TET, TIPO K, ALUM HEAD, AC. INOX. EXT, 200MM</t>
  </si>
  <si>
    <t>TET22300</t>
  </si>
  <si>
    <t>Termocupla Winters Serie TET, TIPO K, ALUM HEAD, AC. INOX. EXT, 300MM</t>
  </si>
  <si>
    <t>TET22400</t>
  </si>
  <si>
    <t>Termocupla Winters Serie TET, TIPO K, ALUM HEAD, AC. INOX. EXT, 400MM</t>
  </si>
  <si>
    <t>TET11100XPS2</t>
  </si>
  <si>
    <t>Termocupla Winters Serie TET, TIPO J, ALUM HEAD, GALV EXT, 100MM, EX</t>
  </si>
  <si>
    <t>TET11200XPS2</t>
  </si>
  <si>
    <t>Termocupla Winters Serie TET, TIPO J, ALUM HEAD, GALV EXT, 200MM, EX</t>
  </si>
  <si>
    <t>TET11300XPS2</t>
  </si>
  <si>
    <t>Termocupla Winters Serie TET, TIPO J, ALUM HEAD, GALV EXT, 300MM, EX</t>
  </si>
  <si>
    <t>TET11400XPS2</t>
  </si>
  <si>
    <t>Termocupla Winters Serie TET, TIPO J, ALUM HEAD, GALV EXT, 400MM, EX</t>
  </si>
  <si>
    <t>TET12100XPS2</t>
  </si>
  <si>
    <t>Termocupla Winters Serie TET, TIPO J, ALUM HEAD, AC. INOX. EXT, 100MM, EX</t>
  </si>
  <si>
    <t>TET12200XPS2</t>
  </si>
  <si>
    <t>Termocupla Winters Serie TET, TIPO J, ALUM HEAD, AC. INOX. EXT, 200MM, EX</t>
  </si>
  <si>
    <t>TET12300XPS2</t>
  </si>
  <si>
    <t>Termocupla Winters Serie TET, TIPO J, ALUM HEAD, AC. INOX. EXT, 300MM, EX</t>
  </si>
  <si>
    <t>TET12400XPS2</t>
  </si>
  <si>
    <t>Termocupla Winters Serie TET, TIPO J, ALUM HEAD, AC. INOX. EXT, 400MM, EX</t>
  </si>
  <si>
    <t>TET21100XPS2</t>
  </si>
  <si>
    <t>Termocupla Winters Serie TET, TIPO K, ALUM HEAD, GALV EXT, 100MM, EX</t>
  </si>
  <si>
    <t>TET21200XPS2</t>
  </si>
  <si>
    <t>Termocupla Winters Serie TET, TIPO K, ALUM HEAD, GALV EXT, 200MM, EX</t>
  </si>
  <si>
    <t>TET21300XPS2</t>
  </si>
  <si>
    <t>Termocupla Winters Serie TET, TIPO K, ALUM HEAD, GALV EXT, 300MM, EX</t>
  </si>
  <si>
    <t>TET21400XPS2</t>
  </si>
  <si>
    <t>Termocupla Winters Serie TET, TIPO K, ALUM HEAD, GALV EXT, 400MM, EX</t>
  </si>
  <si>
    <t>TET22100XPS2</t>
  </si>
  <si>
    <t>Termocupla Winters Serie TET, TIPO K, ALUM HEAD, AC. INOX. EXT, 100MM, EX</t>
  </si>
  <si>
    <t>TET22200XPS2</t>
  </si>
  <si>
    <t>Termocupla Winters Serie TET, TIPO K, ALUM HEAD, AC. INOX. EXT, 200MM, EX</t>
  </si>
  <si>
    <t>TET22300XPS2</t>
  </si>
  <si>
    <t>Termocupla Winters Serie TET, TIPO K, ALUM HEAD, AC. INOX. EXT, 300MM, EX</t>
  </si>
  <si>
    <t>TET22400XPS2</t>
  </si>
  <si>
    <t>Termocupla Winters Serie TET, TIPO K, ALUM HEAD, AC. INOX. EXT, 400MM, EX</t>
  </si>
  <si>
    <t>TET11100TBR</t>
  </si>
  <si>
    <t>Termocupla Winters Serie TET, TIPO J, ALUM HEAD, GALV EXT, 100MM, W/WELL</t>
  </si>
  <si>
    <t>TET11200TBR</t>
  </si>
  <si>
    <t>Termocupla Winters Serie TET, TIPO J, ALUM HEAD, GALV EXT, 200MM, W/WELL</t>
  </si>
  <si>
    <t>TET11300TBR</t>
  </si>
  <si>
    <t>Termocupla Winters Serie TET, TIPO J, ALUM HEAD, GALV EXT, 300MM, W/WELL</t>
  </si>
  <si>
    <t>TET11400TBR</t>
  </si>
  <si>
    <t>Termocupla Winters Serie TET, TIPO J, ALUM HEAD, GALV EXT, 400MM, W/WELL</t>
  </si>
  <si>
    <t>TET12100TBR</t>
  </si>
  <si>
    <t>Termocupla Winters Serie TET, TIPO J, ALUM HEAD, AC. INOX. EXT, 100MM, W/WELL</t>
  </si>
  <si>
    <t>TET12200TBR</t>
  </si>
  <si>
    <t>Termocupla Winters Serie TET, TIPO J, ALUM HEAD, AC. INOX. EXT, 200MM, W/WELL</t>
  </si>
  <si>
    <t>TET12300TBR</t>
  </si>
  <si>
    <t>Termocupla Winters Serie TET, TIPO J, ALUM HEAD, AC. INOX. EXT, 300MM, W/WELL</t>
  </si>
  <si>
    <t>TET12400TBR</t>
  </si>
  <si>
    <t>Termocupla Winters Serie TET, TIPO J, ALUM HEAD, AC. INOX. EXT, 400MM, W/WELL</t>
  </si>
  <si>
    <t>TET21100TBR</t>
  </si>
  <si>
    <t>Termocupla Winters Serie TET, TIPO K, ALUM HEAD, GALV EXT, 100MM, W/WELL</t>
  </si>
  <si>
    <t>TET21200TBR</t>
  </si>
  <si>
    <t>Termocupla Winters Serie TET, TIPO K, ALUM HEAD, GALV EXT, 200MM, W/WELL</t>
  </si>
  <si>
    <t>TET21300TBR</t>
  </si>
  <si>
    <t>Termocupla Winters Serie TET, TIPO K, ALUM HEAD, GALV EXT, 300MM, W/WELL</t>
  </si>
  <si>
    <t>TET21400TBR</t>
  </si>
  <si>
    <t>Termocupla Winters Serie TET, TIPO K, ALUM HEAD, GALV EXT, 400MM, W/WELL</t>
  </si>
  <si>
    <t>TET22100TBR</t>
  </si>
  <si>
    <t>Termocupla Winters Serie TET, TIPO K, ALUM HEAD, AC. INOX. EXT, 100MM, W/WELL</t>
  </si>
  <si>
    <t>TET22200TBR</t>
  </si>
  <si>
    <t>Termocupla Winters Serie TET, TIPO K, ALUM HEAD, AC. INOX. EXT, 200MM, W/WELL</t>
  </si>
  <si>
    <t>TET22300TBR</t>
  </si>
  <si>
    <t>Termocupla Winters Serie TET, TIPO K, ALUM HEAD, AC. INOX. EXT, 300MM, W/WELL</t>
  </si>
  <si>
    <t>TET22400TBR</t>
  </si>
  <si>
    <t>Termocupla Winters Serie TET, TIPO K, ALUM HEAD, AC. INOX. EXT, 400MM, W/WELL</t>
  </si>
  <si>
    <t>TET11100XPS2TBR</t>
  </si>
  <si>
    <t>Termocupla Winters Serie TET, TIPO J, ALUM HEAD, GALV EXT, 100MM, EX, W/WELL</t>
  </si>
  <si>
    <t>TET11200XPS2TBR</t>
  </si>
  <si>
    <t>Termocupla Winters Serie TET, TIPO J, ALUM HEAD, GALV EXT, 200MM, EX, W/WELL</t>
  </si>
  <si>
    <t>TET11300XPS2TBR</t>
  </si>
  <si>
    <t>Termocupla Winters Serie TET, TIPO J, ALUM HEAD, GALV EXT, 300MM, EX, W/WELL</t>
  </si>
  <si>
    <t>TET11400XPS2TBR</t>
  </si>
  <si>
    <t>Termocupla Winters Serie TET, TIPO J, ALUM HEAD, GALV EXT, 400MM, EX, W/WELL</t>
  </si>
  <si>
    <t>TET12100XPS2TBR</t>
  </si>
  <si>
    <t>Termocupla Winters Serie TET, TIPO J, ALUM HEAD, AC. INOX. EXT, 100MM, EX, W/WELL</t>
  </si>
  <si>
    <t>TET12200XPS2TBR</t>
  </si>
  <si>
    <t>Termocupla Winters Serie TET, TIPO J, ALUM HEAD, AC. INOX. EXT, 200MM, EX, W/WELL</t>
  </si>
  <si>
    <t>TET12300XPS2TBR</t>
  </si>
  <si>
    <t>Termocupla Winters Serie TET, TIPO J, ALUM HEAD, AC. INOX. EXT, 300MM, EX, W/WELL</t>
  </si>
  <si>
    <t>TET12400XPS2TBR</t>
  </si>
  <si>
    <t>Termocupla Winters Serie TET, TIPO J, ALUM HEAD, AC. INOX. EXT, 400MM, EX, W/WELL</t>
  </si>
  <si>
    <t>TET21100XPS2TBR</t>
  </si>
  <si>
    <t>Termocupla Winters Serie TET, TIPO K, ALUM HEAD, GALV EXT, 100MM, EX, W/WELL</t>
  </si>
  <si>
    <t>TET21200XPS2TBR</t>
  </si>
  <si>
    <t>Termocupla Winters Serie TET, TIPO K, ALUM HEAD, GALV EXT, 200MM, EX, W/WELL</t>
  </si>
  <si>
    <t>TET21300XPS2TBR</t>
  </si>
  <si>
    <t>Termocupla Winters Serie TET, TIPO K, ALUM HEAD, GALV EXT, 300MM, EX, W/WELL</t>
  </si>
  <si>
    <t>TET21400XPS2TBR</t>
  </si>
  <si>
    <t>Termocupla Winters Serie TET, TIPO K, ALUM HEAD, GALV EXT, 400MM, EX, W/WELL</t>
  </si>
  <si>
    <t>TET22100XPS2TBR</t>
  </si>
  <si>
    <t>Termocupla Winters Serie TET, TIPO K, ALUM HEAD, AC. INOX. EXT, 100MM, EX, W/WELL</t>
  </si>
  <si>
    <t>TET22200XPS2TBR</t>
  </si>
  <si>
    <t>Termocupla Winters Serie TET, TIPO K, ALUM HEAD, AC. INOX. EXT, 200MM, EX, W/WELL</t>
  </si>
  <si>
    <t>TET22300XPS2TBR</t>
  </si>
  <si>
    <t>Termocupla Winters Serie TET, TIPO K, ALUM HEAD, AC. INOX. EXT, 300MM, EX, W/WELL</t>
  </si>
  <si>
    <t>TET22400XPS2TBR</t>
  </si>
  <si>
    <t>Termocupla Winters Serie TET, TIPO K, ALUM HEAD, AC. INOX. EXT, 400MM, EX, W/WELL</t>
  </si>
  <si>
    <t>TBR2550</t>
  </si>
  <si>
    <t>Termopozo roscado Winters Serie TBR, latón, 1/2" NPTH x 1/2" NPTM para termometro vástago 2,5"(63mm), inserción 35mm.</t>
  </si>
  <si>
    <t>TBR2550-1</t>
  </si>
  <si>
    <t>Termopozo roscado Winters Serie TBR, Ac. Inox. 304, 1/2" NPTH x 1/2" NPTM para termometro vástago 2,5"(63mm), inserción 35mm.</t>
  </si>
  <si>
    <t>TBR2550-2</t>
  </si>
  <si>
    <t>Termopozo roscado Winters Serie TBR, Ac. Inox. 316, 1/2" NPTH x 1/2" NPTM para termometro vástago 2,5"(63mm), inserción 35mm.</t>
  </si>
  <si>
    <t>TBR25</t>
  </si>
  <si>
    <t>Termopozo roscado Winters Serie TBR, latón, 1/2" NPTH x 3/4" NPTM para termometro vástago 2,5"(63mm), inserción 35mm.</t>
  </si>
  <si>
    <t>TBR25-1</t>
  </si>
  <si>
    <t>Termopozo roscado Winters Serie TBR, Ac. Inox. 304, 1/2" NPTH x 3/4" NPTM para termometro vástago 2,5"(63mm), inserción 35mm.</t>
  </si>
  <si>
    <t>TBR25-2</t>
  </si>
  <si>
    <t>Termopozo roscado Winters Serie TBR, Ac. Inox. 316, 1/2" NPTH x 3/4" NPTM para termometro vástago 2,5"(63mm), inserción 35mm.</t>
  </si>
  <si>
    <t>TBR3550</t>
  </si>
  <si>
    <t>Termopozo roscado Winters Serie TBR, latón, 1/2" NPTH x 1/2" NPTM para termometro vástago 4" (100 mm), inserción 63 mm.</t>
  </si>
  <si>
    <t>TBR3550-1</t>
  </si>
  <si>
    <t>Termopozo roscado Winters Serie TBR, Ac. Inox. 304, 1/2" NPTH x 1/2" NPTM para termometro vástago 4" (100 mm), inserción 63 mm.</t>
  </si>
  <si>
    <t>TBR3550-2</t>
  </si>
  <si>
    <t>Termopozo roscado Winters Serie TBR, Ac. Inox. 316, 1/2" NPTH x 1/2" NPTM para termometro vástago 4" (100 mm), inserción 63 mm.</t>
  </si>
  <si>
    <t>TBR35</t>
  </si>
  <si>
    <t>Termopozo roscado Winters Serie TBR, latón, 1/2" NPTH x 3/4" NPTM para termometro vástago 4" (100 mm), inserción 63 mm.</t>
  </si>
  <si>
    <t>TBR35-1</t>
  </si>
  <si>
    <t>Termopozo roscado Winters Serie TBR, Ac. Inox. 304, 1/2" NPTH x 3/4" NPTM para termometro vástago 4" (100 mm), inserción 63 mm.</t>
  </si>
  <si>
    <t>TBR35-2</t>
  </si>
  <si>
    <t>Termopozo roscado Winters Serie TBR, Ac. Inox. 316, 1/2" NPTH x 3/4" NPTM para termometro vástago 4" (100 mm), inserción 63 mm.</t>
  </si>
  <si>
    <t>TBR35100</t>
  </si>
  <si>
    <t>Termopozo roscado Winters Serie TBR, latón, 1/2" NPTH x 1" NPTM para termometro vástago 4" (100 mm), inserción 63 mm.</t>
  </si>
  <si>
    <t>TBR35100-1</t>
  </si>
  <si>
    <t>Termopozo roscado Winters Serie TBR, Ac. Inox. 304, 1/2" NPTH x 1" NPTM para termometro vástago 4" (100 mm), inserción 63 mm.</t>
  </si>
  <si>
    <t>TBR35100-2</t>
  </si>
  <si>
    <t>Termopozo roscado Winters Serie TBR, Ac. Inox. 316, 1/2" NPTH x 1" NPTM para termometro vástago 4" (100 mm), inserción 63 mm.</t>
  </si>
  <si>
    <t>TBR650</t>
  </si>
  <si>
    <t>Termopozo roscado Winters Serie TBR, latón, 1/2" NPTH x 1/2" NPTM para termometro vástago 6" (150 mm), inserción 115 mm.</t>
  </si>
  <si>
    <t>TBR650-1</t>
  </si>
  <si>
    <t>Termopozo roscado Winters Serie TBR, Ac. Inox. 304, 1/2" NPTH x 1/2" NPTM para termometro vástago 6" (150 mm), inserción 115 mm.</t>
  </si>
  <si>
    <t>TBR650-2</t>
  </si>
  <si>
    <t>Termopozo roscado Winters Serie TBR, Ac. Inox. 316, 1/2" NPTH x 1/2" NPTM para termometro vástago 6" (150 mm), inserción 115 mm.</t>
  </si>
  <si>
    <t>TBR6</t>
  </si>
  <si>
    <t>Termopozo roscado Winters Serie TBR, latón, 1/2" NPTH x 3/4" NPTM para termometro vástago 6" (150 mm), inserción 115 mm.</t>
  </si>
  <si>
    <t>TBR6-1</t>
  </si>
  <si>
    <t>Termopozo roscado Winters Serie TBR, Ac. Inox. 304, 1/2" NPTH x 3/4" NPTM para termometro vástago 6" (150 mm), inserción 115 mm.</t>
  </si>
  <si>
    <t>TBR6-2</t>
  </si>
  <si>
    <t>Termopozo roscado Winters Serie TBR, Ac. Inox. 316, 1/2" NPTH x 3/4" NPTM para termometro vástago 6" (150 mm), inserción 115 mm.</t>
  </si>
  <si>
    <t>TBR6100</t>
  </si>
  <si>
    <t>Termopozo roscado Winters Serie TBR, latón, 1/2" NPTH x 1" NPTM para termometro vástago 6" (150 mm), inserción 115 mm.</t>
  </si>
  <si>
    <t>TBR6100-1</t>
  </si>
  <si>
    <t>Termopozo roscado Winters Serie TBR, Ac. Inox. 304, 1/2" NPTH x 1" NPTM para termometro vástago 6" (150 mm), inserción 115 mm.</t>
  </si>
  <si>
    <t>TBR6100-2</t>
  </si>
  <si>
    <t>Termopozo roscado Winters Serie TBR, Ac. Inox. 316, 1/2" NPTH x 1" NPTM para termometro vástago 6" (150 mm), inserción 115 mm.</t>
  </si>
  <si>
    <t>TBR950</t>
  </si>
  <si>
    <t>Termopozo roscado Winters Serie TBR, latón, 1/2" NPTH x 1/2" NPTM para termometro vástago 9" (225 mm), inserción 190 mm.</t>
  </si>
  <si>
    <t>TBR950-1</t>
  </si>
  <si>
    <t>Termopozo roscado Winters Serie TBR, Ac. Inox. 304, 1/2" NPTH x 1/2" NPTM para termometro vástago 9" (225 mm), inserción 190 mm.</t>
  </si>
  <si>
    <t>TBR950-2</t>
  </si>
  <si>
    <t>Termopozo roscado Winters Serie TBR, Ac. Inox. 316, 1/2" NPTH x 1/2" NPTM para termometro vástago 9" (225 mm), inserción 190 mm.</t>
  </si>
  <si>
    <t>TBR9</t>
  </si>
  <si>
    <t>Termopozo roscado Winters Serie TBR, latón, 1/2" NPTH x 3/4" NPTM para termometro vástago 9" (225 mm), inserción 190 mm.</t>
  </si>
  <si>
    <t>TBR9-1</t>
  </si>
  <si>
    <t>Termopozo roscado Winters Serie TBR, Ac. Inox. 304, 1/2" NPTH x 3/4" NPTM para termometro vástago 9" (225 mm), inserción 190 mm.</t>
  </si>
  <si>
    <t>TBR9-2</t>
  </si>
  <si>
    <t>Termopozo roscado Winters Serie TBR, Ac. Inox. 316, 1/2" NPTH x 3/4" NPTM para termometro vástago 9" (225 mm), inserción 190 mm.</t>
  </si>
  <si>
    <t>TBR9100</t>
  </si>
  <si>
    <t>Termopozo roscado Winters Serie TBR, latón, 1/2" NPTH x 1" NPTM para termometro vástago 9" (225 mm), inserción 190 mm.</t>
  </si>
  <si>
    <t>TBR9100-1</t>
  </si>
  <si>
    <t>Termopozo roscado Winters Serie TBR, Ac. Inox. 304, 1/2" NPTH x 1" NPTM para termometro vástago 9" (225 mm), inserción 190 mm.</t>
  </si>
  <si>
    <t>TBR9100-2</t>
  </si>
  <si>
    <t>Termopozo roscado Winters Serie TBR, Ac. Inox. 316, 1/2" NPTH x 1" NPTM para termometro vástago 9" (225 mm), inserción 190 mm.</t>
  </si>
  <si>
    <t>TBR1250</t>
  </si>
  <si>
    <t>Termopozo roscado Winters Serie TBR, latón, 1/2" NPTH x 1/2" NPTM para termometro vástago 12" (300 mm), inserción 267 mm.</t>
  </si>
  <si>
    <t>TBR1250-1</t>
  </si>
  <si>
    <t>Termopozo roscado Winters Serie TBR, Ac. Inox. 304, 1/2" NPTH x 1/2" NPTM para termometro vástago 12" (300 mm), inserción 267 mm.</t>
  </si>
  <si>
    <t>TBR1250-2</t>
  </si>
  <si>
    <t>Termopozo roscado Winters Serie TBR, Ac. Inox. 316, 1/2" NPTH x 1/2" NPTM para termometro vástago 12" (300 mm), inserción 267 mm.</t>
  </si>
  <si>
    <t>TBR12</t>
  </si>
  <si>
    <t>Termopozo roscado Winters Serie TBR, latón, 1/2" NPTH x 3/4" NPTM para termometro vástago 12" (300 mm), inserción 267 mm.</t>
  </si>
  <si>
    <t>TBR12-1</t>
  </si>
  <si>
    <t>Termopozo roscado Winters Serie TBR, Ac. Inox. 304, 1/2" NPTH x 3/4" NPTM para termometro vástago 12" (300 mm), inserción 267 mm.</t>
  </si>
  <si>
    <t>TBR12-2</t>
  </si>
  <si>
    <t>Termopozo roscado Winters Serie TBR, Ac. Inox. 316, 1/2" NPTH x 3/4" NPTM para termometro vástago 12" (300 mm), inserción 267 mm.</t>
  </si>
  <si>
    <t>TBR12100</t>
  </si>
  <si>
    <t>Termopozo roscado Winters Serie TBR, latón, 1/2" NPTH x 1" NPTM para termometro vástago 12" (300 mm), inserción 267 mm.</t>
  </si>
  <si>
    <t>TBR12100-1</t>
  </si>
  <si>
    <t>Termopozo roscado Winters Serie TBR, Ac. Inox. 304, 1/2" NPTH x 1" NPTM para termometro vástago 12" (300 mm), inserción 267 mm.</t>
  </si>
  <si>
    <t>TBR12100-2</t>
  </si>
  <si>
    <t>Termopozo roscado Winters Serie TBR, Ac. Inox. 316, 1/2" NPTH x 1" NPTM para termometro vástago 12" (300 mm), inserción 267 mm.</t>
  </si>
  <si>
    <t>TBR15</t>
  </si>
  <si>
    <t>Termopozo roscado Winters Serie TBR, latón, 1/2" NPTH x 3/4" NPTM para termometro vástago 15" (381 mm), inserción 330 mm.</t>
  </si>
  <si>
    <t>TBR15-1</t>
  </si>
  <si>
    <t>Termopozo roscado Winters Serie TBR, Ac. Inox. 304, 1/2" NPTH x 3/4" NPTM para termometro vástago 15" (381 mm), inserción 330 mm.</t>
  </si>
  <si>
    <t>TBR15-2</t>
  </si>
  <si>
    <t>Termopozo roscado Winters Serie TBR, Ac. Inox. 316, 1/2" NPTH x 3/4" NPTM para termometro vástago 15" (381 mm), inserción 330 mm.</t>
  </si>
  <si>
    <t>TBRN650</t>
  </si>
  <si>
    <t>Termopozo roscado Winters Serie TBR, latón, 1/2" NPTH x 1/2" NPTM, con 2" de extensión, para termometro vástago 6" (150 mm), inserción 115 mm.</t>
  </si>
  <si>
    <t>TBRN650-1</t>
  </si>
  <si>
    <t>Termopozo roscado Winters Serie TBR, Ac. Inox. 304, 1/2" NPTH x 1/2" NPTM, con 2" de extensión, para termometro vástago 6" (150 mm), inserción 115 mm.</t>
  </si>
  <si>
    <t>TBRN650-2</t>
  </si>
  <si>
    <t>Termopozo roscado Winters Serie TBR, Ac. Inox. 316, 1/2" NPTH x 1/2" NPTM, con 2" de extensión, para termometro vástago 6" (150 mm), inserción 115 mm.</t>
  </si>
  <si>
    <t>TBRN6</t>
  </si>
  <si>
    <t>Termopozo roscado Winters Serie TBR, latón, 1/2" NPTH x 3/4" NPTM, con 2" de extensión, para termometro vástago 6" (150 mm), inserción 115 mm.</t>
  </si>
  <si>
    <t>TBRN6-1</t>
  </si>
  <si>
    <t>Termopozo roscado Winters Serie TBR, Ac. Inox. 304, 1/2" NPTH x 3/4" NPTM, con 2" de extensión, para termometro vástago 6" (150 mm), inserción 115 mm.</t>
  </si>
  <si>
    <t>TBRN6-2</t>
  </si>
  <si>
    <t>Termopozo roscado Winters Serie TBR, Ac. Inox. 316, 1/2" NPTH x 3/4" NPTM, con 2" de extensión, para termometro vástago 6" (150 mm), inserción 115 mm.</t>
  </si>
  <si>
    <t>TBRN6100</t>
  </si>
  <si>
    <t>Termopozo roscado Winters Serie TBR, latón, 1/2" NPTH x 1" NPTM, con 2" de extensión, para termometro vástago 6" (150 mm), inserción 115 mm.</t>
  </si>
  <si>
    <t>TBRN6100-1</t>
  </si>
  <si>
    <t>Termopozo roscado Winters Serie TBR, Ac. Inox. 304, 1/2" NPTH x 1" NPTM, con 2" de extensión, para termometro vástago 6" (150 mm), inserción 115 mm.</t>
  </si>
  <si>
    <t>TBRN6100-2</t>
  </si>
  <si>
    <t>Termopozo roscado Winters Serie TBR, Ac. Inox. 316, 1/2" NPTH x 1" NPTM, con 2" de extensión, para termometro vástago 6" (150 mm), inserción 115 mm.</t>
  </si>
  <si>
    <t>TBRN950</t>
  </si>
  <si>
    <t>Termopozo roscado Winters Serie TBR, latón, 1/2" NPTH x 1/2" NPTM, con 3" de extensión, para termometro vástago 9" (225 mm), inserción 190 mm.</t>
  </si>
  <si>
    <t>TBRN950-1</t>
  </si>
  <si>
    <t>Termopozo roscado Winters Serie TBR, Ac. Inox. 304, 1/2" NPTH x 1/2" NPTM, con 3" de extensión, para termometro vástago 9" (225 mm), inserción 190 mm.</t>
  </si>
  <si>
    <t>TBRN950-2</t>
  </si>
  <si>
    <t>Termopozo roscado Winters Serie TBR, Ac. Inox. 316, 1/2" NPTH x 1/2" NPTM, con 3" de extensión, para termometro vástago 9" (225 mm), inserción 190 mm.</t>
  </si>
  <si>
    <t>TBRN9</t>
  </si>
  <si>
    <t>Termopozo roscado Winters Serie TBR, latón, 1/2" NPTH x 3/4" NPTM, con 3" de extensión, para termometro vástago 9" (225 mm), inserción 190 mm.</t>
  </si>
  <si>
    <t>TBRN9-1</t>
  </si>
  <si>
    <t>Termopozo roscado Winters Serie TBR, Ac. Inox. 304, 1/2" NPTH x 3/4" NPTM, con 3" de extensión, para termometro vástago 9" (225 mm), inserción 190 mm.</t>
  </si>
  <si>
    <t>TBRN9-2</t>
  </si>
  <si>
    <t>Termopozo roscado Winters Serie TBR, Ac. Inox. 316, 1/2" NPTH x 3/4" NPTM, con 3" de extensión, para termometro vástago 9" (225 mm), inserción 190 mm.</t>
  </si>
  <si>
    <t>TBRN9100</t>
  </si>
  <si>
    <t>Termopozo roscado Winters Serie TBR, latón, 1/2" NPTH x 1" NPTM, con 3" de extensión, para termometro vástago 9" (225 mm), inserción 190 mm.</t>
  </si>
  <si>
    <t>TBRN9100-1</t>
  </si>
  <si>
    <t>Termopozo roscado Winters Serie TBR, Ac. Inox. 304, 1/2" NPTH x 1" NPTM, con 3" de extensión, para termometro vástago 9" (225 mm), inserción 190 mm.</t>
  </si>
  <si>
    <t>TBRN9100-2</t>
  </si>
  <si>
    <t>Termopozo roscado Winters Serie TBR, Ac. Inox. 316, 1/2" NPTH x 1" NPTM, con 3" de extensión, para termometro vástago 9" (225 mm), inserción 190 mm.</t>
  </si>
  <si>
    <t>TBRN1250</t>
  </si>
  <si>
    <t>Termopozo roscado Winters Serie TBR, latón, 1/2" NPTH x 1/2" NPTM, con 3" de extensión, para termometro vástago 12" (300 mm), inserción 267 mm.</t>
  </si>
  <si>
    <t>TBRN1250-1</t>
  </si>
  <si>
    <t>Termopozo roscado Winters Serie TBR, Ac. Inox. 304, 1/2" NPTH x 1/2" NPTM, con 3" de extensión, para termometro vástago 12" (300 mm), inserción 267 mm.</t>
  </si>
  <si>
    <t>TBRN1250-2</t>
  </si>
  <si>
    <t>Termopozo roscado Winters Serie TBR, Ac. Inox. 316, 1/2" NPTH x 1/2" NPTM, con 3" de extensión, para termometro vástago 12" (300 mm), inserción 267 mm.</t>
  </si>
  <si>
    <t>TBRN12</t>
  </si>
  <si>
    <t>Termopozo roscado Winters Serie TBR, latón, 1/2" NPTH x 3/4" NPTM, con 3" de extensión, para termometro vástago 12" (300 mm), inserción 267 mm.</t>
  </si>
  <si>
    <t>TBRN12-1</t>
  </si>
  <si>
    <t>Termopozo roscado Winters Serie TBR, Ac. Inox. 304, 1/2" NPTH x 3/4" NPTM, con 3" de extensión, para termometro vástago 12" (300 mm), inserción 267 mm.</t>
  </si>
  <si>
    <t>TBRN12-2</t>
  </si>
  <si>
    <t>Termopozo roscado Winters Serie TBR, Ac. Inox. 316, 1/2" NPTH x 3/4" NPTM, con 3" de extensión, para termometro vástago 12" (300 mm), inserción 267 mm.</t>
  </si>
  <si>
    <t>TBRN1210</t>
  </si>
  <si>
    <t>Termopozo roscado Winters Serie TBR, latón, 1/2" NPTH x 1" NPTM, con 3" de extensión, para termometro vástago 12" (300 mm), inserción 267 mm.</t>
  </si>
  <si>
    <t>TBRN1210-1</t>
  </si>
  <si>
    <t>Termopozo roscado Winters Serie TBR, Ac. Inox. 304, 1/2" NPTH x 1" NPTM, con 3" de extensión, para termometro vástago 12" (300 mm), inserción 267 mm.</t>
  </si>
  <si>
    <t>TBRN1210-2</t>
  </si>
  <si>
    <t>Termopozo roscado Winters Serie TBR, Ac. Inox. 316, 1/2" NPTH x 1" NPTM, con 3" de extensión, para termometro vástago 12" (300 mm), inserción 267 mm.</t>
  </si>
  <si>
    <t>TSN15SANI2</t>
  </si>
  <si>
    <t>Termopozo Sanitario Winters Serie TSN, Ac. Inox 316, Tri-clamp 1,5", 1/2" NPT H para termometro vastago 2,5" (63mm), inserción 40mm.</t>
  </si>
  <si>
    <t>TSN15SANI4</t>
  </si>
  <si>
    <t>Termopozo Sanitario Winters Serie TSN, Ac. Inox 316, Tri-clamp 1,5", 1/2" NPT H para termometro vastago 4"(100mm), inserción 75mm</t>
  </si>
  <si>
    <t>TSN15SANI6</t>
  </si>
  <si>
    <t>Termopozo Sanitario Winters Serie TSN, Ac. Inox 316, Tri-clamp 1,5", 1/2"NPT H para termometro vastago 6"(150mm), inserción 125mm</t>
  </si>
  <si>
    <t>TSN15SANI9</t>
  </si>
  <si>
    <t>Termopozo Sanitario Winters Serie TSN, Ac. Inox 316, Tri-clamp 1,5", 1/2"NPT H para termometro vastago 9"(225mm), inserción 200mm.</t>
  </si>
  <si>
    <t>TSN2SANI2</t>
  </si>
  <si>
    <t>Termopozo Sanitario Winters Serie TSN, Ac. Inox 316, Tri-clamp 2", 1/2" NPT H para termometro vastago 2,5" (63mm), inserción 40mm.</t>
  </si>
  <si>
    <t>TSN2SANI4</t>
  </si>
  <si>
    <t>Termopozo Sanitario Winters Serie TSN, Ac. Inox 316, Tri-clamp 2", 1/2" NPT H para termometro vastago 4"(100mm), inserción 75mm</t>
  </si>
  <si>
    <t>TSN2SANI6</t>
  </si>
  <si>
    <t>Termopozo Sanitario Winters Serie TSN, Ac. Inox 316, Tri-clamp 2", 1/2"NPT H para termometro vastago 6"(150mm), inserción 125mm</t>
  </si>
  <si>
    <t>TSN2SANI9</t>
  </si>
  <si>
    <t>Termopozo Sanitario Winters Serie TSN, Ac. Inox 316, Tri-clamp 2", 1/2"NPT H para termometro vastago 9"(225mm), inserción 200mm.</t>
  </si>
  <si>
    <t>TWF11504304</t>
  </si>
  <si>
    <t>Termopozo bridado Winters Serie TWF, 1" Rating 150# para vástago 4", Ac. Inox. 304.</t>
  </si>
  <si>
    <t>TWF11506304</t>
  </si>
  <si>
    <t>Termopozo bridado Winters Serie TWF, 1" Rating 150# para vástago 6", Ac. Inox. 304.</t>
  </si>
  <si>
    <t>TWF11509304</t>
  </si>
  <si>
    <t>Termopozo bridado Winters Serie TWF, 1" Rating 150# para vástago 9", Ac. Inox. 304.</t>
  </si>
  <si>
    <t>TWF115012304</t>
  </si>
  <si>
    <t>Termopozo bridado Winters Serie TWF, 1" Rating 150# para vástago 12", Ac. Inox. 304.</t>
  </si>
  <si>
    <t>TWF115015304</t>
  </si>
  <si>
    <t>Termopozo bridado Winters Serie TWF, 1" Rating 150# para vástago 15", Ac. Inox. 304.</t>
  </si>
  <si>
    <t>TWF11504316</t>
  </si>
  <si>
    <t>Termopozo bridado Winters Serie TWF, 1" Serie 150# para vástago 4", Ac. Inox. 316.</t>
  </si>
  <si>
    <t>TWF11506316</t>
  </si>
  <si>
    <t>Termopozo bridado Winters Serie TWF, 1" Serie 150# para vástago 6", Ac. Inox. 316.</t>
  </si>
  <si>
    <t>TWF11509316</t>
  </si>
  <si>
    <t>Termopozo bridado Winters Serie TWF, 1" Serie 150# para vástago 9", Ac. Inox. 316.</t>
  </si>
  <si>
    <t>TWF115012316</t>
  </si>
  <si>
    <t>Termopozo bridado Winters Serie TWF, 1" Serie 150# para vástago 12", Ac. Inox. 316.</t>
  </si>
  <si>
    <t>TWF115015316</t>
  </si>
  <si>
    <t>Termopozo bridado Winters Serie TWF, 1" Serie 150# para vástago 15", Ac. Inox. 316.</t>
  </si>
  <si>
    <t>TWF13004304</t>
  </si>
  <si>
    <t>Termopozo bridado Winters Serie TWF, 1" Rating 300# para vástago 4", Ac. Inox. 304.</t>
  </si>
  <si>
    <t>TWF13006304</t>
  </si>
  <si>
    <t>Termopozo bridado Winters Serie TWF, 1" Rating 300# para vástago 6", Ac. Inox. 304.</t>
  </si>
  <si>
    <t>TWF13009304</t>
  </si>
  <si>
    <t>Termopozo bridado Winters Serie TWF, 1" Rating 300# para vástago 9", Ac. Inox. 304.</t>
  </si>
  <si>
    <t>TWF130012304</t>
  </si>
  <si>
    <t>Termopozo bridado Winters Serie TWF, 1" Rating 300# para vástago 12", Ac. Inox. 304.</t>
  </si>
  <si>
    <t>TWF130015304</t>
  </si>
  <si>
    <t>Termopozo bridado Winters Serie TWF, 1" Rating 300# para vástago 15", Ac. Inox. 304.</t>
  </si>
  <si>
    <t>TWF13004316</t>
  </si>
  <si>
    <t>Termopozo bridado Winters Serie TWF, 1" Serie 300# para vástago 4", Ac. Inox. 316.</t>
  </si>
  <si>
    <t>TWF13006316</t>
  </si>
  <si>
    <t>Termopozo bridado Winters Serie TWF, 1" Serie 300# para vástago 6", Ac. Inox. 316.</t>
  </si>
  <si>
    <t>TWF13009316</t>
  </si>
  <si>
    <t>Termopozo bridado Winters Serie TWF, 1" Serie 300# para vástago 9", Ac. Inox. 316.</t>
  </si>
  <si>
    <t>TWF130012316</t>
  </si>
  <si>
    <t>Termopozo bridado Winters Serie TWF, 1" Serie 300# para vástago 12", Ac. Inox. 316.</t>
  </si>
  <si>
    <t>TWF130015316</t>
  </si>
  <si>
    <t>Termopozo bridado Winters Serie TWF, 1" Serie 300# para vástago 15", Ac. Inox. 316.</t>
  </si>
  <si>
    <t>TWF151504304</t>
  </si>
  <si>
    <t>Termopozo bridado Winters Serie TWF, 1,5" Rating 150# para vástago 4", Ac. Inox. 304.</t>
  </si>
  <si>
    <t>TWF151506304</t>
  </si>
  <si>
    <t>Termopozo bridado Winters Serie TWF, 1,5" Rating 150# para vástago 6", Ac. Inox. 304.</t>
  </si>
  <si>
    <t>TWF151509304</t>
  </si>
  <si>
    <t>Termopozo bridado Winters Serie TWF, 1,5" Rating 150# para vástago 9", Ac. Inox. 304.</t>
  </si>
  <si>
    <t>TWF1515012304</t>
  </si>
  <si>
    <t>Termopozo bridado Winters Serie TWF, 1,5" Rating 150# para vástago 12", Ac. Inox. 304.</t>
  </si>
  <si>
    <t>TWF1515015304</t>
  </si>
  <si>
    <t>Termopozo bridado Winters Serie TWF, 1,5" Rating 150# para vástago 15", Ac. Inox. 304.</t>
  </si>
  <si>
    <t>TWF151504316</t>
  </si>
  <si>
    <t>Termopozo bridado Winters Serie TWF, 1,5" Serie 150# para vástago 4", Ac. Inox. 316.</t>
  </si>
  <si>
    <t>TWF151506316</t>
  </si>
  <si>
    <t>Termopozo bridado Winters Serie TWF, 1,5" Serie 150# para vástago 6", Ac. Inox. 316.</t>
  </si>
  <si>
    <t>TWF151509316</t>
  </si>
  <si>
    <t>Termopozo bridado Winters Serie TWF, 1,5" Serie 150# para vástago 9", Ac. Inox. 316.</t>
  </si>
  <si>
    <t>TWF1515012316</t>
  </si>
  <si>
    <t>Termopozo bridado Winters Serie TWF, 1,5" Serie 150# para vástago 12", Ac. Inox. 316.</t>
  </si>
  <si>
    <t>TWF1515015316</t>
  </si>
  <si>
    <t>Termopozo bridado Winters Serie TWF, 1,5" Serie 150# para vástago 15", Ac. Inox. 316.</t>
  </si>
  <si>
    <t>TWF153004304</t>
  </si>
  <si>
    <t>Termopozo bridado Winters Serie TWF, 1,5" Rating 300# para vástago 4", Ac. Inox. 304.</t>
  </si>
  <si>
    <t>TWF153006304</t>
  </si>
  <si>
    <t>Termopozo bridado Winters Serie TWF, 1,5" Rating 300# para vástago 6", Ac. Inox. 304.</t>
  </si>
  <si>
    <t>TWF153009304</t>
  </si>
  <si>
    <t>Termopozo bridado Winters Serie TWF, 1,5" Rating 300# para vástago 9", Ac. Inox. 304.</t>
  </si>
  <si>
    <t>TWF1530012304</t>
  </si>
  <si>
    <t>Termopozo bridado Winters Serie TWF, 1,5" Rating 300# para vástago 12", Ac. Inox. 304.</t>
  </si>
  <si>
    <t>TWF1530015304</t>
  </si>
  <si>
    <t>Termopozo bridado Winters Serie TWF, 1,5" Rating 300# para vástago 15", Ac. Inox. 304.</t>
  </si>
  <si>
    <t>TWF153004316</t>
  </si>
  <si>
    <t>Termopozo bridado Winters Serie TWF, 1,5" Serie 300# para vástago 4", Ac. Inox. 316.</t>
  </si>
  <si>
    <t>TWF153006316</t>
  </si>
  <si>
    <t>Termopozo bridado Winters Serie TWF, 1,5" Serie 300# para vástago 6", Ac. Inox. 316.</t>
  </si>
  <si>
    <t>TWF153009316</t>
  </si>
  <si>
    <t>Termopozo bridado Winters Serie TWF, 1,5" Serie 300# para vástago 9", Ac. Inox. 316.</t>
  </si>
  <si>
    <t>TWF1530012316</t>
  </si>
  <si>
    <t>Termopozo bridado Winters Serie TWF, 1,5" Serie 300# para vástago 12", Ac. Inox. 316.</t>
  </si>
  <si>
    <t>TWF1530015316</t>
  </si>
  <si>
    <t>Termopozo bridado Winters Serie TWF, 1,5" Serie 300# para vástago 15", Ac. Inox. 316.</t>
  </si>
  <si>
    <t>TWF1515008347H</t>
  </si>
  <si>
    <t>Termopozo bridado Winters Serie TWF, 1,5" Serie 1500# RTJ para vástago 8", 1/2" NPTF, "U" 75 mm, en total 215 mm, Ac. Inox. 367 H.</t>
  </si>
  <si>
    <t>TWF21504304</t>
  </si>
  <si>
    <t>Termopozo bridado Winters Serie TWF, 2" Rating 150# para vástago 4", Ac. Inox. 304.</t>
  </si>
  <si>
    <t>TWF21506304</t>
  </si>
  <si>
    <t>Termopozo bridado Winters Serie TWF, 2" Rating 150# para vástago 6", Ac. Inox. 304.</t>
  </si>
  <si>
    <t>TWF21509304</t>
  </si>
  <si>
    <t>Termopozo bridado Winters Serie TWF, 2" Rating 150# para vástago 9", Ac. Inox. 304.</t>
  </si>
  <si>
    <t>TWF215012304</t>
  </si>
  <si>
    <t>Termopozo bridado Winters Serie TWF, 2" Rating 150# para vástago 12", Ac. Inox. 304.</t>
  </si>
  <si>
    <t>TWF215015304</t>
  </si>
  <si>
    <t>Termopozo bridado Winters Serie TWF, 2" Rating 150# para vástago 15", Ac. Inox. 304.</t>
  </si>
  <si>
    <t>TWF21504316</t>
  </si>
  <si>
    <t>Termopozo bridado Winters Serie TWF, 2" Serie 150# para vástago 4", Ac. Inox. 316.</t>
  </si>
  <si>
    <t>TWF21506316</t>
  </si>
  <si>
    <t>Termopozo bridado Winters Serie TWF, 2" Serie 150# para vástago 6", Ac. Inox. 316.</t>
  </si>
  <si>
    <t>TWF21509316</t>
  </si>
  <si>
    <t>Termopozo bridado Winters Serie TWF, 2" Serie 150# para vástago 9", Ac. Inox. 316.</t>
  </si>
  <si>
    <t>TWF215012316</t>
  </si>
  <si>
    <t>Termopozo bridado Winters Serie TWF, 2" Serie 150# para vástago 12", Ac. Inox. 316.</t>
  </si>
  <si>
    <t>TWF215015316</t>
  </si>
  <si>
    <t>Termopozo bridado Winters Serie TWF, 2" Serie 150# para vástago 15", Ac. Inox. 316.</t>
  </si>
  <si>
    <t>TWF23004304</t>
  </si>
  <si>
    <t>Termopozo bridado Winters Serie TWF, 2" Rating 300# para vástago 4", Ac. Inox. 304.</t>
  </si>
  <si>
    <t>TWF23006304</t>
  </si>
  <si>
    <t>Termopozo bridado Winters Serie TWF, 2" Rating 300# para vástago 6", Ac. Inox. 304.</t>
  </si>
  <si>
    <t>TWF23009304</t>
  </si>
  <si>
    <t>Termopozo bridado Winters Serie TWF, 2" Rating 300# para vástago 9", Ac. Inox. 304.</t>
  </si>
  <si>
    <t>TWF230012304</t>
  </si>
  <si>
    <t>Termopozo bridado Winters Serie TWF, 2" Rating 300# para vástago 12", Ac. Inox. 304.</t>
  </si>
  <si>
    <t>TWF230015304</t>
  </si>
  <si>
    <t>Termopozo bridado Winters Serie TWF, 2" Rating 300# para vástago 15", Ac. Inox. 304.</t>
  </si>
  <si>
    <t>TWF23004316</t>
  </si>
  <si>
    <t>Termopozo bridado Winters Serie TWF, 2" Serie 300# para vástago 4", Ac. Inox. 316.</t>
  </si>
  <si>
    <t>TWF23006316</t>
  </si>
  <si>
    <t>Termopozo bridado Winters Serie TWF, 2" Serie 300# para vástago 6", Ac. Inox. 316.</t>
  </si>
  <si>
    <t>TWF23009316</t>
  </si>
  <si>
    <t>Termopozo bridado Winters Serie TWF, 2" Serie 300# para vástago 9", Ac. Inox. 316.</t>
  </si>
  <si>
    <t>TWF230012316</t>
  </si>
  <si>
    <t>Termopozo bridado Winters Serie TWF, 2" Serie 300# para vástago 12", Ac. Inox. 316.</t>
  </si>
  <si>
    <t>TWF230015316</t>
  </si>
  <si>
    <t>Termopozo bridado Winters Serie TWF, 2" Serie 300# para vástago 15", Ac. Inox. 316.</t>
  </si>
  <si>
    <t>TIW01</t>
  </si>
  <si>
    <t>Termómetro Winters Serie TIW, vástago 3,5", latón, 3/4" NPT</t>
  </si>
  <si>
    <t>TIW01-1</t>
  </si>
  <si>
    <t>Termómetro Winters Serie TIW, vástago 3,5", Ac. Inox. 304, 3/4" NPT</t>
  </si>
  <si>
    <t>TIW01-2</t>
  </si>
  <si>
    <t>Termómetro Winters Serie TIW, vástago 3,5", Ac. Inox. 316, 3/4" NPT</t>
  </si>
  <si>
    <t>TIW02</t>
  </si>
  <si>
    <t>Termómetro Winters Serie TIW, vástago 3,5", latón, extensión 1", 1/2" NPT.</t>
  </si>
  <si>
    <t>TIW02-1</t>
  </si>
  <si>
    <t>Termómetro Winters Serie TIW, vástago 3,5", Ac. Inox. 304, extensión 1", 1/2" NPT.</t>
  </si>
  <si>
    <t>TIW02-2</t>
  </si>
  <si>
    <t>Termómetro Winters Serie TIW, vástago 3,5", Ac. Inox. 316, extensión 1", 1/2" NPT.</t>
  </si>
  <si>
    <t>TIW03</t>
  </si>
  <si>
    <t>Termómetro Winters Serie TIW, vástago 3,5", latón, extensión 1", 3/4" NPT.</t>
  </si>
  <si>
    <t>TIW03-1</t>
  </si>
  <si>
    <t>Termómetro Winters Serie TIW, vástago 3,5", Ac. Inox. 304, extensión 1", 3/4" NPT.</t>
  </si>
  <si>
    <t>TIW03-2</t>
  </si>
  <si>
    <t>Termómetro Winters Serie TIW, vástago 3,5", Ac. Inox. 316, extensión 1", 3/4" NPT.</t>
  </si>
  <si>
    <t>TIW04</t>
  </si>
  <si>
    <t>Termómetro Winters Serie TIW, vástago 6", latón, extensión 1", 3/4" NPT.</t>
  </si>
  <si>
    <t>TIW04-1</t>
  </si>
  <si>
    <t>Termómetro Winters Serie TIW, vástago 6", Ac. Inox. 304, extensión 1", 3/4" NPT.</t>
  </si>
  <si>
    <t>TIW04-2</t>
  </si>
  <si>
    <t>Termómetro Winters Serie TIW, vástago 6", Ac. Inox. 316, extensión 1", 3/4" NPT.</t>
  </si>
  <si>
    <t>TIW07</t>
  </si>
  <si>
    <t>Termómetro Winters Serie TIW, vástago 6", latón, extensión 2,5", 3/4" NPT.</t>
  </si>
  <si>
    <t>TIW07-1</t>
  </si>
  <si>
    <t>Termómetro Winters Serie TIW, vástago 6", Ac. Inox. 304, extensión 2,5", 3/4" NPT.</t>
  </si>
  <si>
    <t>TIW07-2</t>
  </si>
  <si>
    <t>Termómetro Winters Serie TIW, vástago 6", Ac. Inox. 316, extensión 2,5", 3/4" NPT.</t>
  </si>
  <si>
    <t>SMV500</t>
  </si>
  <si>
    <t>Mini válvula esférica de latón Winters Serie SMV, 1/4"NPT HxM, esfera ac. inox, gasket teflón, max. Pres 400 psi.</t>
  </si>
  <si>
    <t>SMV500-1/2</t>
  </si>
  <si>
    <t>Mini válvula esférica de latón Winters Serie SMV, 1/2"NPT HxM, esfera ac. inox, gasket teflón, max. Pres 400 psi.</t>
  </si>
  <si>
    <t>SMV532</t>
  </si>
  <si>
    <t>Mini válvula de bola Winters Serie SMV, 1/4" NPT Hembra X 1/4" NPT macho con manija en forma de T.</t>
  </si>
  <si>
    <t>SMV532-S</t>
  </si>
  <si>
    <t>Mini válvula esférica latón Winters Serie SMV, 1/4"BSPTH x 1/4''BSPM, esfera inox, gasket teflón, max. Pres 400 psi</t>
  </si>
  <si>
    <t>SMV533</t>
  </si>
  <si>
    <t>Mini válvula esférica de latón mariposa Winters Serie SMV, 1/4"NPT HxH, esfera inox, gasket teflón, max. Pres 400 psi</t>
  </si>
  <si>
    <t>SMV533-A</t>
  </si>
  <si>
    <t>Mini válvula esférica de latón mariposa Winters Serie SMV, 1/4"NPT HxH, esfera inox, gasket teflón, max. Pres 400 psi amarilla</t>
  </si>
  <si>
    <t>SMV500LF</t>
  </si>
  <si>
    <t>Mini válvula de bola Winters Serie SMV-LF, libre de plomo, 1/4" NPT H X M con manija de palanca.</t>
  </si>
  <si>
    <t>SMV532LF</t>
  </si>
  <si>
    <t>Mini válvula de bola Winters Serie SMV-LF, libre de plomo, 1/4" NPT H X M con manija tipo T.</t>
  </si>
  <si>
    <t>SMV533LF</t>
  </si>
  <si>
    <t>Mini válvula de bola Winters Serie SMV-LF, libre de plomo, 1/4" NPT H X H con manija tipo T.</t>
  </si>
  <si>
    <t>SNV510</t>
  </si>
  <si>
    <t xml:space="preserve">Mini válvula de aguja Winters Serie SNV, 1/4" NPT H X H </t>
  </si>
  <si>
    <t>SNV510LF</t>
  </si>
  <si>
    <t xml:space="preserve">Mini válvula de aguja Winters Serie SNV-LF, libre de plomo, 1/4" NPT H X H </t>
  </si>
  <si>
    <t>NVA9030</t>
  </si>
  <si>
    <t>Válvula aguja Winters Serie NVA, angular, asiento duro, Ac. al Carbono, 1/4 NPT x 1/4 NPT HxH, 6.000 psi.</t>
  </si>
  <si>
    <t>NVA8030</t>
  </si>
  <si>
    <t>Válvula aguja Winters Serie NVA, angular, asiento duro, Ac. al Carbono, 1/4 NPT x 1/4 NPT MxH, 6.000 psi.</t>
  </si>
  <si>
    <t>NVA9034</t>
  </si>
  <si>
    <t>Válvula aguja Winters Serie NVA, angular, asiento duro, Ac. al Carbono, 3/8 NPT x 3/8 NPT HxH, 6.000 psi.</t>
  </si>
  <si>
    <t>NVA8034</t>
  </si>
  <si>
    <t>Válvula aguja Winters Serie NVA, angular, asiento duro, Ac. al Carbono, 3/8 NPT x 3/8 NPT MxH, 6.000 psi.</t>
  </si>
  <si>
    <t>NVA9021</t>
  </si>
  <si>
    <t>Válvula aguja Winters Serie NVA, angular, asiento duro, Ac. al Carbono, 1/2 NPT x 1/2 NPT HxH, 6.000 psi.</t>
  </si>
  <si>
    <t>NVA8031</t>
  </si>
  <si>
    <t>Válvula aguja Winters Serie NVA, angular, asiento duro, Ac. al Carbono, 1/2 NPT x 1/2 NPT MxH, 6.000 psi.</t>
  </si>
  <si>
    <t>NVA9032</t>
  </si>
  <si>
    <t>Válvula aguja Winters Serie NVA, angular, asiento duro, Ac. al Carbono, 3/4 NPT x 1/2 NPT HxH, 6.000 psi.</t>
  </si>
  <si>
    <t>NVA8032</t>
  </si>
  <si>
    <t>Válvula aguja Winters Serie NVA, angular, asiento duro, Ac. al Carbono, 3/4 NPT x 1/2 NPT MxH, 6.000 psi.</t>
  </si>
  <si>
    <t>NVA9035</t>
  </si>
  <si>
    <t>Válvula aguja Winters Serie NVA, angular, asiento duro, Ac. al Carbono, 3/4 NPT x 3/4 NPT HxH, 6.000 psi.</t>
  </si>
  <si>
    <t>NVA8035</t>
  </si>
  <si>
    <t>Válvula aguja Winters Serie NVA, angular, asiento duro, Ac. al Carbono, 3/4 NPT x 3/4 NPT MxH, 6.000 psi.</t>
  </si>
  <si>
    <t>NVA9033</t>
  </si>
  <si>
    <t>Válvula aguja Winters Serie NVA, angular, asiento duro, Ac. al Carbono, 1" NPT x 1" NPT HxH, 6.000 psi.</t>
  </si>
  <si>
    <t>NVA8033</t>
  </si>
  <si>
    <t>Válvula aguja Winters Serie NVA, angular, asiento duro, Ac. al Carbono, 1" NPT x 1" NPT MxH, 6.000 psi.</t>
  </si>
  <si>
    <t>NVA9040</t>
  </si>
  <si>
    <t>Válvula aguja Winters Serie NVA, angular, asiento duro, Ac. al Carbono, 1/4 NPT x 1/4 NPT HxH, 10.000 psi.</t>
  </si>
  <si>
    <t>NVA8040</t>
  </si>
  <si>
    <t>Válvula aguja Winters Serie NVA, angular, asiento duro, Ac. al Carbono, 1/4 NPT x 1/4 NPT MxH, 10.000 psi.</t>
  </si>
  <si>
    <t>NVA9044</t>
  </si>
  <si>
    <t>Válvula aguja Winters Serie NVA, angular, asiento duro, Ac. al Carbono, 3/8 NPT x 3/8 NPT HxH, 10.000 psi.</t>
  </si>
  <si>
    <t>NVA8044</t>
  </si>
  <si>
    <t>Válvula aguja Winters Serie NVA, angular, asiento duro, Ac. al Carbono, 3/8 NPT x 3/8 NPT MxH, 10.000 psi.</t>
  </si>
  <si>
    <t>NVA9041</t>
  </si>
  <si>
    <t>Válvula aguja Winters Serie NVA, angular, asiento duro, Ac. al Carbono, 1/2 NPT x 1/2 NPT HxH, 10.000 psi.</t>
  </si>
  <si>
    <t>NVA8041</t>
  </si>
  <si>
    <t>Válvula aguja Winters Serie NVA, angular, asiento duro, Ac. al Carbono, 1/2 NPT x 1/2 NPT MxH, 10.000 psi.</t>
  </si>
  <si>
    <t>NVA9042</t>
  </si>
  <si>
    <t>Válvula aguja Winters Serie NVA, angular, asiento duro, Ac. al Carbono, 3/4 NPT x 1/2 NPT HxH, 10.000 psi.</t>
  </si>
  <si>
    <t>NVA8042</t>
  </si>
  <si>
    <t>Válvula aguja Winters Serie NVA, angular, asiento duro, Ac. al Carbono, 3/4 NPT x 1/2 NPT MxH, 10.000 psi.</t>
  </si>
  <si>
    <t>NVA9045</t>
  </si>
  <si>
    <t>Válvula aguja Winters Serie NVA, angular, asiento duro, Ac. al Carbono, 3/4 NPT x 3/4 NPT HxH, 10.000 psi.</t>
  </si>
  <si>
    <t>NVA8045</t>
  </si>
  <si>
    <t>Válvula aguja Winters Serie NVA, angular, asiento duro, Ac. al Carbono, 3/4 NPT x 3/4 NPT MxH, 10.000 psi.</t>
  </si>
  <si>
    <t>NVA9043</t>
  </si>
  <si>
    <t>Válvula aguja Winters Serie NVA, angular, asiento duro, Ac. al Carbono, 1" NPT x 1" NPT HxH, 10.000 psi.</t>
  </si>
  <si>
    <t>NVA8043</t>
  </si>
  <si>
    <t>Válvula aguja Winters Serie NVA, angular, asiento duro, Ac. al Carbono, 1" NPT x 1" NPT MxH, 10.000 psi.</t>
  </si>
  <si>
    <t>NVA9030N</t>
  </si>
  <si>
    <t>Válvula aguja Winters Serie NVA, NACE, angular, asiento duro, Ac. al Carbono, 1/4 NPT x 1/4 NPT HxH, 10.000 psi.</t>
  </si>
  <si>
    <t>NVA8030N</t>
  </si>
  <si>
    <t>Válvula aguja Winters Serie NVA, NACE, angular, asiento duro, Ac. al Carbono, 1/4 NPT x 1/4 NPT MxH, 10.000 psi.</t>
  </si>
  <si>
    <t>NVA9034N</t>
  </si>
  <si>
    <t>Válvula aguja Winters Serie NVA, NACE, angular, asiento duro, Ac. al Carbono, 3/8 NPT x 3/8 NPT HxH, 10.000 psi.</t>
  </si>
  <si>
    <t>NVA8034N</t>
  </si>
  <si>
    <t>Válvula aguja Winters Serie NVA, NACE, angular, asiento duro, Ac. al Carbono, 3/8 NPT x 3/8 NPT MxH, 10.000 psi.</t>
  </si>
  <si>
    <t>NVA9021N</t>
  </si>
  <si>
    <t>Válvula aguja Winters Serie NVA, NACE, angular, asiento duro, Ac. al Carbono, 1/2 NPT x 1/2 NPT HxH, 10.000 psi.</t>
  </si>
  <si>
    <t>NVA8031N</t>
  </si>
  <si>
    <t>Válvula aguja Winters Serie NVA, NACE, angular, asiento duro, Ac. al Carbono, 1/2 NPT x 1/2 NPT MxH, 10.000 psi.</t>
  </si>
  <si>
    <t>NVA9032N</t>
  </si>
  <si>
    <t>Válvula aguja Winters Serie NVA, NACE, angular, asiento duro, Ac. al Carbono, 3/4 NPT x 1/2 NPT HxH, 10.000 psi.</t>
  </si>
  <si>
    <t>NVA8032N</t>
  </si>
  <si>
    <t>Válvula aguja Winters Serie NVA, NACE, angular, asiento duro, Ac. al Carbono, 3/4 NPT x 1/2 NPT MxH, 10.000 psi.</t>
  </si>
  <si>
    <t>NVA9035N</t>
  </si>
  <si>
    <t>Válvula aguja Winters Serie NVA, NACE, angular, asiento duro, Ac. al Carbono, 3/4 NPT x 3/4 NPT HxH, 10.000 psi.</t>
  </si>
  <si>
    <t>NVA8035N</t>
  </si>
  <si>
    <t>Válvula aguja Winters Serie NVA, NACE, angular, asiento duro, Ac. al Carbono, 3/4 NPT x 3/4 NPT MxH, 10.000 psi.</t>
  </si>
  <si>
    <t>NVA9033N</t>
  </si>
  <si>
    <t>Válvula aguja Winters Serie NVA, NACE, angular, asiento duro, Ac. al Carbono, 1" NPT x 1" NPT HxH, 10.000 psi.</t>
  </si>
  <si>
    <t>NVA8033N</t>
  </si>
  <si>
    <t>Válvula aguja Winters Serie NVA, NACE, angular, asiento duro, Ac. al Carbono, 1" NPT x 1" NPT MxH, 10.000 psi.</t>
  </si>
  <si>
    <t>NVA9040N</t>
  </si>
  <si>
    <t>NVA8040N</t>
  </si>
  <si>
    <t>NVA9044N</t>
  </si>
  <si>
    <t>NVA8044N</t>
  </si>
  <si>
    <t>NVA9041N</t>
  </si>
  <si>
    <t>NVA8041N</t>
  </si>
  <si>
    <t>NVA9042N</t>
  </si>
  <si>
    <t>NVA8042N</t>
  </si>
  <si>
    <t>NVA9045N</t>
  </si>
  <si>
    <t>NVA8045N</t>
  </si>
  <si>
    <t>NVA9043N</t>
  </si>
  <si>
    <t>NVA8043N</t>
  </si>
  <si>
    <t>NVA8020</t>
  </si>
  <si>
    <t>Válvula aguja Winters Serie NVA, angular, asiento duro, Ac. Inox., 1/4 NPT x 1/4 NPT HxH, 6.000 psi.</t>
  </si>
  <si>
    <t>NVA8000</t>
  </si>
  <si>
    <t>Válvula aguja Winters Serie NVA, angular, asiento duro, Ac. Inox., 1/4 NPT x 1/4 NPT MxH, 6.000 psi.</t>
  </si>
  <si>
    <t>NVA8024</t>
  </si>
  <si>
    <t>Válvula aguja Winters Serie NVA, angular, asiento duro, Ac. Inox., 3/8 NPT x 3/8 NPT HxH, 6.000 psi.</t>
  </si>
  <si>
    <t>NVA8004</t>
  </si>
  <si>
    <t>Válvula aguja Winters Serie NVA, angular, asiento duro, Ac. Inox., 3/8 NPT x 3/8 NPT MxH, 6.000 psi.</t>
  </si>
  <si>
    <t>NVA8021</t>
  </si>
  <si>
    <t>Válvula aguja Winters Serie NVA, angular, asiento duro, Ac. Inox., 1/2 NPT x 1/2 NPT HxH, 6.000 psi.</t>
  </si>
  <si>
    <t>NVA8001</t>
  </si>
  <si>
    <t>Válvula aguja Winters Serie NVA, angular, asiento duro, Ac. Inox., 1/2 NPT x 1/2 NPT MxH, 6.000 psi.</t>
  </si>
  <si>
    <t>NVA8022</t>
  </si>
  <si>
    <t>Válvula aguja Winters Serie NVA, angular, asiento duro, Ac. Inox., 3/4 NPT x 1/2 NPT HxH, 6.000 psi.</t>
  </si>
  <si>
    <t>NVA8002</t>
  </si>
  <si>
    <t>Válvula aguja Winters Serie NVA, angular, asiento duro, Ac. Inox., 3/4 NPT x 1/2 NPT MxH, 6.000 psi.</t>
  </si>
  <si>
    <t>NVA8025</t>
  </si>
  <si>
    <t>Válvula aguja Winters Serie NVA, angular, asiento duro, Ac. Inox., 3/4 NPT x 3/4 NPT HxH, 6.000 psi.</t>
  </si>
  <si>
    <t>NVA8005</t>
  </si>
  <si>
    <t>Válvula aguja Winters Serie NVA, angular, asiento duro, Ac. Inox., 3/4 NPT x 3/4 NPT MxH, 6.000 psi.</t>
  </si>
  <si>
    <t>NVA8023</t>
  </si>
  <si>
    <t>Válvula aguja Winters Serie NVA, angular, asiento duro, Ac. Inox., 1" NPT x 1" NPT HxH, 6.000 psi.</t>
  </si>
  <si>
    <t>NVA8003</t>
  </si>
  <si>
    <t>Válvula aguja Winters Serie NVA, angular, asiento duro, Ac. Inox., 1" NPT x 1" NPT MxH, 6.000 psi.</t>
  </si>
  <si>
    <t>NVA9020</t>
  </si>
  <si>
    <t>Válvula aguja Winters Serie NVA, angular, asiento duro, Ac. Inox., 1/4 NPT x 1/4 NPT HxH, 10.000 psi.</t>
  </si>
  <si>
    <t>NVA9000</t>
  </si>
  <si>
    <t>Válvula aguja Winters Serie NVA, angular, asiento duro, Ac. Inox., 1/4 NPT x 1/4 NPT MxH, 10.000 psi.</t>
  </si>
  <si>
    <t>NVA9024</t>
  </si>
  <si>
    <t>Válvula aguja Winters Serie NVA, angular, asiento duro, Ac. Inox., 3/8 NPT x 3/8 NPT HxH, 10.000 psi.</t>
  </si>
  <si>
    <t>NVA9004</t>
  </si>
  <si>
    <t>Válvula aguja Winters Serie NVA, angular, asiento duro, Ac. Inox., 3/8 NPT x 3/8 NPT MxH, 10.000 psi.</t>
  </si>
  <si>
    <t>Válvula aguja Winters Serie NVA, angular, asiento duro, Ac. Inox., 1/2 NPT x 1/2 NPT HxH, 10.000 psi.</t>
  </si>
  <si>
    <t>NVA9001</t>
  </si>
  <si>
    <t>Válvula aguja Winters Serie NVA, angular, asiento duro, Ac. Inox., 1/2 NPT x 1/2 NPT MxH, 10.000 psi.</t>
  </si>
  <si>
    <t>NVA9022</t>
  </si>
  <si>
    <t>Válvula aguja Winters Serie NVA, angular, asiento duro, Ac. Inox., 3/4 NPT x 1/2 NPT HxH, 10.000 psi.</t>
  </si>
  <si>
    <t>NVA9002</t>
  </si>
  <si>
    <t>Válvula aguja Winters Serie NVA, angular, asiento duro, Ac. Inox., 3/4 NPT x 1/2 NPT MxH, 10.000 psi.</t>
  </si>
  <si>
    <t>NVA9025</t>
  </si>
  <si>
    <t>Válvula aguja Winters Serie NVA, angular, asiento duro, Ac. Inox., 3/4 NPT x 3/4 NPT HxH, 10.000 psi.</t>
  </si>
  <si>
    <t>NVA9005</t>
  </si>
  <si>
    <t>Válvula aguja Winters Serie NVA, angular, asiento duro, Ac. Inox., 3/4 NPT x 3/4 NPT MxH, 10.000 psi.</t>
  </si>
  <si>
    <t>NVA9023</t>
  </si>
  <si>
    <t>Válvula aguja Winters Serie NVA, angular, asiento duro, Ac. Inox., 1" NPT x 1" NPT HxH, 10.000 psi.</t>
  </si>
  <si>
    <t>NVA9003</t>
  </si>
  <si>
    <t>Válvula aguja Winters Serie NVA, angular, asiento duro, Ac. Inox., 1" NPT x 1" NPT MxH, 10.000 psi.</t>
  </si>
  <si>
    <t>NVA6999</t>
  </si>
  <si>
    <t>Válvula Aguja Winters Serie NVA NACE, angular, cuerpo de acero carbono, asiento duro, 1/2 NPT x 1/2 NPT MxH, 10.000 psi</t>
  </si>
  <si>
    <t>88-040-020</t>
  </si>
  <si>
    <t>Válvula Aguja Winters Serie NVA6999 NACE, angular, cuerpo de acero carbono, asiento duro, 1/2 NPT x 1/2 NPT MxH, 10.000 psi</t>
  </si>
  <si>
    <t>NVA8020N</t>
  </si>
  <si>
    <t>Válvula aguja Winters Serie NVA, NACE, angular, asiento duro, Ac. Inox., 1/4 NPT x 1/4 NPT HxH, 10.000 psi.</t>
  </si>
  <si>
    <t>NVA8000N</t>
  </si>
  <si>
    <t>Válvula aguja Winters Serie NVA, NACE, angular, asiento duro, Ac. Inox., 1/4 NPT x 1/4 NPT MxH, 10.000 psi.</t>
  </si>
  <si>
    <t>NVA8024N</t>
  </si>
  <si>
    <t>Válvula aguja Winters Serie NVA, NACE, angular, asiento duro, Ac. Inox., 3/8 NPT x 3/8 NPT HxH, 10.000 psi.</t>
  </si>
  <si>
    <t>NVA8004N</t>
  </si>
  <si>
    <t>Válvula aguja Winters Serie NVA, NACE, angular, asiento duro, Ac. Inox., 3/8 NPT x 3/8 NPT MxH, 10.000 psi.</t>
  </si>
  <si>
    <t>NVA8021N</t>
  </si>
  <si>
    <t>Válvula aguja Winters Serie NVA, NACE, angular, asiento duro, Ac. Inox., 1/2 NPT x 1/2 NPT HxH, 10.000 psi.</t>
  </si>
  <si>
    <t>NVA8001N</t>
  </si>
  <si>
    <t>Válvula aguja Winters Serie NVA, NACE, angular, asiento duro, Ac. Inox., 1/2 NPT x 1/2 NPT MxH, 10.000 psi.</t>
  </si>
  <si>
    <t>NVA8022N</t>
  </si>
  <si>
    <t>Válvula aguja Winters Serie NVA, NACE, angular, asiento duro, Ac. Inox., 3/4 NPT x 1/2 NPT HxH, 10.000 psi.</t>
  </si>
  <si>
    <t>NVA8002N</t>
  </si>
  <si>
    <t>Válvula aguja Winters Serie NVA, NACE, angular, asiento duro, Ac. Inox., 3/4 NPT x 1/2 NPT MxH, 10.000 psi.</t>
  </si>
  <si>
    <t>NVA8025N</t>
  </si>
  <si>
    <t>Válvula aguja Winters Serie NVA, NACE, angular, asiento duro, Ac. Inox., 3/4 NPT x 3/4 NPT HxH, 10.000 psi.</t>
  </si>
  <si>
    <t>NVA8005N</t>
  </si>
  <si>
    <t>Válvula aguja Winters Serie NVA, NACE, angular, asiento duro, Ac. Inox., 3/4 NPT x 3/4 NPT MxH, 10.000 psi.</t>
  </si>
  <si>
    <t>NVA8023N</t>
  </si>
  <si>
    <t>Válvula aguja Winters Serie NVA, NACE, angular, asiento duro, Ac. Inox., 1" NPT x 1" NPT HxH, 10.000 psi.</t>
  </si>
  <si>
    <t>NVA8003N</t>
  </si>
  <si>
    <t>Válvula aguja Winters Serie NVA, NACE, angular, asiento duro, Ac. Inox., 1" NPT x 1" NPT MxH, 10.000 psi.</t>
  </si>
  <si>
    <t>NVA9020N</t>
  </si>
  <si>
    <t>NVA9000N</t>
  </si>
  <si>
    <t>NVA9024N</t>
  </si>
  <si>
    <t>NVA9004N</t>
  </si>
  <si>
    <t>NVA9001N</t>
  </si>
  <si>
    <t>P1000081049</t>
  </si>
  <si>
    <t>NVA9022N</t>
  </si>
  <si>
    <t>NVA9002N</t>
  </si>
  <si>
    <t>NVA9025N</t>
  </si>
  <si>
    <t>NVA9005N</t>
  </si>
  <si>
    <t>NVA9023N</t>
  </si>
  <si>
    <t>NVA9003N</t>
  </si>
  <si>
    <t>NVA5020</t>
  </si>
  <si>
    <t>Válvula aguja Winters Serie NVA, recto, asiento duro, Ac. al carbono, 1/4 NPT x 1/4 NPT HxH, 6.000 psi.</t>
  </si>
  <si>
    <t>NVA5000</t>
  </si>
  <si>
    <t>Válvula aguja Winters Serie NVA, recto, asiento duro, Ac. al carbono, 1/4 NPT x 1/4 NPT MxH, 6.000 psi.</t>
  </si>
  <si>
    <t>NVA5024</t>
  </si>
  <si>
    <t>Válvula aguja Winters Serie NVA, recto, asiento duro, Ac. al carbono, 3/8 NPT x 3/8 NPT HxH, 6.000 psi.</t>
  </si>
  <si>
    <t>NVA5004</t>
  </si>
  <si>
    <t>Válvula aguja Winters Serie NVA, recto, asiento duro, Ac. al carbono, 3/8 NPT x 3/8 NPT MxH, 6.000 psi.</t>
  </si>
  <si>
    <t>NVA5021</t>
  </si>
  <si>
    <t>Válvula aguja Winters Serie NVA, recto, asiento duro, Ac. al carbono, 1/2 NPT x 1/2 NPT HxH, 6.000 psi.</t>
  </si>
  <si>
    <t>NVA5001</t>
  </si>
  <si>
    <t>Válvula aguja Winters Serie NVA, recto, asiento duro, Ac. al carbono, 1/2 NPT x 1/2 NPT MxH, 6.000 psi.</t>
  </si>
  <si>
    <t>NVA5022</t>
  </si>
  <si>
    <t>Válvula aguja Winters Serie NVA, recto, asiento duro, Ac. al carbono, 3/4 NPT x 1/2 NPT HxH, 6.000 psi.</t>
  </si>
  <si>
    <t>NVA5002</t>
  </si>
  <si>
    <t>Válvula aguja Winters Serie NVA, recto, asiento duro, Ac. al carbono, 3/4 NPT x 1/2 NPT MxH, 6.000 psi.</t>
  </si>
  <si>
    <t>NVA5025</t>
  </si>
  <si>
    <t>Válvula aguja Winters Serie NVA, recto, asiento duro, Ac. al carbono, 3/4 NPT x 3/4 NPT HxH, 6.000 psi.</t>
  </si>
  <si>
    <t>NVA5005</t>
  </si>
  <si>
    <t>Válvula aguja Winters Serie NVA, recto, asiento duro, Ac. al carbono, 3/4 NPT x 3/4 NPT MxH, 6.000 psi.</t>
  </si>
  <si>
    <t>NVA5023</t>
  </si>
  <si>
    <t>Válvula aguja Winters Serie NVA, recto, asiento duro, Ac. al carbono, 1" NPT x 1" NPT HxH, 6.000 psi.</t>
  </si>
  <si>
    <t>NVA5003</t>
  </si>
  <si>
    <t>Válvula aguja Winters Serie NVA, recto, asiento duro, Ac. al carbono, 1" NPT x 1" NPT MxH, 6.000 psi.</t>
  </si>
  <si>
    <t>NVA6020</t>
  </si>
  <si>
    <t>Válvula aguja Winters Serie NVA, recto, asiento duro, Ac. al carbono, 1/4 NPT x 1/4 NPT HxH, 10.000 psi.</t>
  </si>
  <si>
    <t>NVA6000</t>
  </si>
  <si>
    <t>Válvula aguja Winters Serie NVA, recto, asiento duro, Ac. al carbono, 1/4 NPT x 1/4 NPT MxH, 10.000 psi.</t>
  </si>
  <si>
    <t>NVA6024</t>
  </si>
  <si>
    <t>Válvula aguja Winters Serie NVA, recto, asiento duro, Ac. al carbono, 3/8 NPT x 3/8 NPT HxH, 10.000 psi.</t>
  </si>
  <si>
    <t>NVA6004</t>
  </si>
  <si>
    <t>Válvula aguja Winters Serie NVA, recto, asiento duro, Ac. al carbono, 3/8 NPT x 3/8 NPT MxH, 10.000 psi.</t>
  </si>
  <si>
    <t>NVA6021</t>
  </si>
  <si>
    <t>Válvula aguja Winters Serie NVA, recto, asiento duro, Ac. al carbono, 1/2 NPT x 1/2 NPT HxH, 10.000 psi.</t>
  </si>
  <si>
    <t>NVA6001</t>
  </si>
  <si>
    <t>Válvula aguja Winters Serie NVA, recto, asiento duro, Ac. al carbono, 1/2 NPT x 1/2 NPT MxH, 10.000 psi.</t>
  </si>
  <si>
    <t>NVA6022</t>
  </si>
  <si>
    <t>Válvula aguja Winters Serie NVA, recto, asiento duro, Ac. al carbono, 3/4 NPT x 1/2 NPT HxH, 10.000 psi.</t>
  </si>
  <si>
    <t>NVA6002</t>
  </si>
  <si>
    <t>Válvula aguja Winters Serie NVA, recto, asiento duro, Ac. al carbono, 3/4 NPT x 1/2 NPT MxH, 10.000 psi.</t>
  </si>
  <si>
    <t>NVA6025</t>
  </si>
  <si>
    <t>Válvula aguja Winters Serie NVA, recto, asiento duro, Ac. al carbono, 3/4 NPT x 3/4 NPT HxH, 10.000 psi.</t>
  </si>
  <si>
    <t>NVA6005</t>
  </si>
  <si>
    <t>Válvula aguja Winters Serie NVA, recto, asiento duro, Ac. al carbono, 3/4 NPT x 3/4 NPT MxH, 10.000 psi.</t>
  </si>
  <si>
    <t>NVA6023</t>
  </si>
  <si>
    <t>Válvula aguja Winters Serie NVA, recto, asiento duro, Ac. al carbono, 1" NPT x 1" NPT HxH, 10.000 psi.</t>
  </si>
  <si>
    <t>NVA6003</t>
  </si>
  <si>
    <t>Válvula aguja Winters Serie NVA, recto, asiento duro, Ac. al carbono, 1" NPT x 1" NPT MxH, 10.000 psi.</t>
  </si>
  <si>
    <t>NVA2020</t>
  </si>
  <si>
    <t>Válvula aguja Winters Serie NVA, recto, asiento duro, Ac. Inox., 1/4 NPT x 1/4 NPT HxH, 6.000 psi.</t>
  </si>
  <si>
    <t>NVA2000</t>
  </si>
  <si>
    <t>Válvula aguja Winters Serie NVA, recto, asiento duro, Ac. Inox., 1/4 NPT x 1/4 NPT MxH, 6.000 psi.</t>
  </si>
  <si>
    <t>NVA2024</t>
  </si>
  <si>
    <t>Válvula aguja Winters Serie NVA, recto, asiento duro, Ac. Inox., 3/8 NPT x 3/8 NPT HxH, 6.000 psi.</t>
  </si>
  <si>
    <t>NVA2004</t>
  </si>
  <si>
    <t>Válvula aguja Winters Serie NVA, recto, asiento duro, Ac. Inox., 3/8 NPT x 3/8 NPT MxH, 6.000 psi.</t>
  </si>
  <si>
    <t>NVA2021</t>
  </si>
  <si>
    <t>Válvula aguja Winters Serie NVA, recto, asiento duro, Ac. Inox., 1/2 NPT x 1/2 NPT HxH, 6.000 psi.</t>
  </si>
  <si>
    <t>NVA2001</t>
  </si>
  <si>
    <t>Válvula aguja Winters Serie NVA, recto, asiento duro, Ac. Inox., 1/2 NPT x 1/2 NPT MxH, 6.000 psi.</t>
  </si>
  <si>
    <t>NVA2022</t>
  </si>
  <si>
    <t>Válvula aguja Winters Serie NVA, recto, asiento duro, Ac. Inox., 3/4 NPT x 1/2 NPT HxH, 6.000 psi.</t>
  </si>
  <si>
    <t>NVA2002</t>
  </si>
  <si>
    <t>Válvula aguja Winters Serie NVA, recto, asiento duro, Ac. Inox., 3/4 NPT x 1/2 NPT MxH, 6.000 psi.</t>
  </si>
  <si>
    <t>NVA2025</t>
  </si>
  <si>
    <t>Válvula aguja Winters Serie NVA, recto, asiento duro, Ac. Inox., 3/4 NPT x 3/4 NPT HxH, 6.000 psi.</t>
  </si>
  <si>
    <t>NVA2005</t>
  </si>
  <si>
    <t>Válvula aguja Winters Serie NVA, recto, asiento duro, Ac. Inox., 3/4 NPT x 3/4 NPT MxH, 6.000 psi.</t>
  </si>
  <si>
    <t>NVA2023</t>
  </si>
  <si>
    <t>Válvula aguja Winters Serie NVA, recto, asiento duro, Ac. Inox., 1" NPT x 1" NPT HxH, 6.000 psi.</t>
  </si>
  <si>
    <t>NVA2003</t>
  </si>
  <si>
    <t>Válvula aguja Winters Serie NVA, recto, asiento duro, Ac. Inox., 1" NPT x 1" NPT MxH, 6.000 psi.</t>
  </si>
  <si>
    <t>NVA3020</t>
  </si>
  <si>
    <t>Válvula aguja Winters Serie NVA, recto, asiento duro, Ac. Inox., 1/4 NPT x 1/4 NPT HxH, 10.000 psi.</t>
  </si>
  <si>
    <t>NVA3000</t>
  </si>
  <si>
    <t>Válvula aguja Winters Serie NVA, recto, asiento duro, Ac. Inox., 1/4 NPT x 1/4 NPT MxH, 10.000 psi.</t>
  </si>
  <si>
    <t>NVA3024</t>
  </si>
  <si>
    <t>Válvula aguja Winters Serie NVA, recto, asiento duro, Ac. Inox., 3/8 NPT x 3/8 NPT HxH, 10.000 psi.</t>
  </si>
  <si>
    <t>NVA3004</t>
  </si>
  <si>
    <t>Válvula aguja Winters Serie NVA, recto, asiento duro, Ac. Inox., 3/8 NPT x 3/8 NPT MxH, 10.000 psi.</t>
  </si>
  <si>
    <t>NVA3021</t>
  </si>
  <si>
    <t>Válvula aguja Winters Serie NVA, recto, asiento duro, Ac. Inox., 1/2 NPT x 1/2 NPT HxH, 10.000 psi.</t>
  </si>
  <si>
    <t>NVA3001</t>
  </si>
  <si>
    <t>Válvula aguja Winters Serie NVA, recto, asiento duro, Ac. Inox., 1/2 NPT x 1/2 NPT MxH, 10.000 psi.</t>
  </si>
  <si>
    <t>NVA3022</t>
  </si>
  <si>
    <t>Válvula aguja Winters Serie NVA, recto, asiento duro, Ac. Inox., 3/4 NPT x 1/2 NPT HxH, 10.000 psi.</t>
  </si>
  <si>
    <t>NVA3002</t>
  </si>
  <si>
    <t>Válvula aguja Winters Serie NVA, recto, asiento duro, Ac. Inox., 3/4 NPT x 1/2 NPT MxH, 10.000 psi.</t>
  </si>
  <si>
    <t>NVA3025</t>
  </si>
  <si>
    <t>Válvula aguja Winters Serie NVA, recto, asiento duro, Ac. Inox., 3/4 NPT x 3/4 NPT HxH, 10.000 psi.</t>
  </si>
  <si>
    <t>NVA3005</t>
  </si>
  <si>
    <t>Válvula aguja Winters Serie NVA, recto, asiento duro, Ac. Inox., 3/4 NPT x 3/4 NPT MxH, 10.000 psi.</t>
  </si>
  <si>
    <t>NVA3023</t>
  </si>
  <si>
    <t>Válvula aguja Winters Serie NVA, recto, asiento duro, Ac. Inox., 1" NPT x 1" NPT HxH, 10.000 psi.</t>
  </si>
  <si>
    <t>NVA3003</t>
  </si>
  <si>
    <t>Válvula aguja Winters Serie NVA, recto, asiento duro, Ac. Inox., 1" NPT x 1" NPT MxH, 10.000 psi.</t>
  </si>
  <si>
    <t>NVA5020N</t>
  </si>
  <si>
    <t>Válvula aguja Winters Serie NVA, NACE, recto, asiento duro, Ac. al carbono, 1/4 NPT x 1/4 NPT HxH, 6.000 psi.</t>
  </si>
  <si>
    <t>NVA5000N</t>
  </si>
  <si>
    <t>Válvula aguja Winters Serie NVA, NACE, recto, asiento duro, Ac. al carbono, 1/4 NPT x 1/4 NPT MxH, 6.000 psi.</t>
  </si>
  <si>
    <t>NVA5024N</t>
  </si>
  <si>
    <t>Válvula aguja Winters Serie NVA, NACE, recto, asiento duro, Ac. al carbono, 3/8 NPT x 3/8 NPT HxH, 6.000 psi.</t>
  </si>
  <si>
    <t>NVA5004N</t>
  </si>
  <si>
    <t>Válvula aguja Winters Serie NVA, NACE, recto, asiento duro, Ac. al carbono, 3/8 NPT x 3/8 NPT MxH, 6.000 psi.</t>
  </si>
  <si>
    <t>NVA5021N</t>
  </si>
  <si>
    <t>Válvula aguja Winters Serie NVA, NACE, recto, asiento duro, Ac. al carbono, 1/2 NPT x 1/2 NPT HxH, 6.000 psi.</t>
  </si>
  <si>
    <t>NVA5001N</t>
  </si>
  <si>
    <t>Válvula aguja Winters Serie NVA, NACE, recto, asiento duro, Ac. al carbono, 1/2 NPT x 1/2 NPT MxH, 6.000 psi.</t>
  </si>
  <si>
    <t>NVA5022N</t>
  </si>
  <si>
    <t>Válvula aguja Winters Serie NVA, NACE, recto, asiento duro, Ac. al carbono, 3/4 NPT x 1/2 NPT HxH, 6.000 psi.</t>
  </si>
  <si>
    <t>NVA5002N</t>
  </si>
  <si>
    <t>Válvula aguja Winters Serie NVA, NACE, recto, asiento duro, Ac. al carbono, 3/4 NPT x 1/2 NPT MxH, 6.000 psi.</t>
  </si>
  <si>
    <t>NVA5025N</t>
  </si>
  <si>
    <t>Válvula aguja Winters Serie NVA, NACE, recto, asiento duro, Ac. al carbono, 3/4 NPT x 3/4 NPT HxH, 6.000 psi.</t>
  </si>
  <si>
    <t>NVA5005N</t>
  </si>
  <si>
    <t>Válvula aguja Winters Serie NVA, NACE, recto, asiento duro, Ac. al carbono, 3/4 NPT x 3/4 NPT MxH, 6.000 psi.</t>
  </si>
  <si>
    <t>NVA5023N</t>
  </si>
  <si>
    <t>Válvula aguja Winters Serie NVA, NACE, recto, asiento duro, Ac. al carbono, 1" NPT x 1" NPT HxH, 6.000 psi.</t>
  </si>
  <si>
    <t>NVA5003N</t>
  </si>
  <si>
    <t>Válvula aguja Winters Serie NVA, NACE, recto, asiento duro, Ac. al carbono, 1" NPT x 1" NPT MxH, 6.000 psi.</t>
  </si>
  <si>
    <t>NVA6020N</t>
  </si>
  <si>
    <t>Válvula aguja Winters Serie NVA, NACE, recto, asiento duro, Ac. al carbono, 1/4 NPT x 1/4 NPT HxH, 10.000 psi.</t>
  </si>
  <si>
    <t>NVA6000N</t>
  </si>
  <si>
    <t>Válvula aguja Winters Serie NVA, NACE, recto, asiento duro, Ac. al carbono, 1/4 NPT x 1/4 NPT MxH, 10.000 psi.</t>
  </si>
  <si>
    <t>NVA6024N</t>
  </si>
  <si>
    <t>Válvula aguja Winters Serie NVA, NACE, recto, asiento duro, Ac. al carbono, 3/8 NPT x 3/8 NPT HxH, 10.000 psi.</t>
  </si>
  <si>
    <t>NVA6004N</t>
  </si>
  <si>
    <t>Válvula aguja Winters Serie NVA, NACE, recto, asiento duro, Ac. al carbono, 3/8 NPT x 3/8 NPT MxH, 10.000 psi.</t>
  </si>
  <si>
    <t>NVA6021N</t>
  </si>
  <si>
    <t>Válvula aguja Winters Serie NVA, NACE, recto, asiento duro, Ac. al carbono, 1/2 NPT x 1/2 NPT HxH, 10.000 psi.</t>
  </si>
  <si>
    <t>NVA6001N</t>
  </si>
  <si>
    <t>Válvula aguja Winters Serie NVA, NACE, recto, asiento duro, Ac. al carbono, 1/2 NPT x 1/2 NPT MxH, 10.000 psi.</t>
  </si>
  <si>
    <t>NVA6022N</t>
  </si>
  <si>
    <t>Válvula aguja Winters Serie NVA, NACE, recto, asiento duro, Ac. al carbono, 3/4 NPT x 1/2 NPT HxH, 10.000 psi.</t>
  </si>
  <si>
    <t>NVA6002N</t>
  </si>
  <si>
    <t>Válvula aguja Winters Serie NVA, NACE, recto, asiento duro, Ac. al carbono, 3/4 NPT x 1/2 NPT MxH, 10.000 psi.</t>
  </si>
  <si>
    <t>NVA6025N</t>
  </si>
  <si>
    <t>Válvula aguja Winters Serie NVA, NACE, recto, asiento duro, Ac. al carbono, 3/4 NPT x 3/4 NPT HxH, 10.000 psi.</t>
  </si>
  <si>
    <t>NVA6005N</t>
  </si>
  <si>
    <t>Válvula aguja Winters Serie NVA, NACE, recto, asiento duro, Ac. al carbono, 3/4 NPT x 3/4 NPT MxH, 10.000 psi.</t>
  </si>
  <si>
    <t>NVA6023N</t>
  </si>
  <si>
    <t>Válvula aguja Winters Serie NVA, NACE, recto, asiento duro, Ac. al carbono, 1" NPT x 1" NPT HxH, 10.000 psi.</t>
  </si>
  <si>
    <t>NVA6003N</t>
  </si>
  <si>
    <t>Válvula aguja Winters Serie NVA, NACE, recto, asiento duro, Ac. al carbono, 1" NPT x 1" NPT MxH, 10.000 psi.</t>
  </si>
  <si>
    <t>NVA2020N</t>
  </si>
  <si>
    <t>Válvula aguja Winters Serie NVA, NACE, recto, asiento duro, Ac. Inox., 1/4 NPT x 1/4 NPT HxH, 6.000 psi.</t>
  </si>
  <si>
    <t>NVA2000N</t>
  </si>
  <si>
    <t>Válvula aguja Winters Serie NVA, NACE, recto, asiento duro, Ac. Inox., 1/4 NPT x 1/4 NPT MxH, 6.000 psi.</t>
  </si>
  <si>
    <t>NVA2024N</t>
  </si>
  <si>
    <t>Válvula aguja Winters Serie NVA, NACE, recto, asiento duro, Ac. Inox., 3/8 NPT x 3/8 NPT HxH, 6.000 psi.</t>
  </si>
  <si>
    <t>NVA2004N</t>
  </si>
  <si>
    <t>Válvula aguja Winters Serie NVA, NACE, recto, asiento duro, Ac. Inox., 3/8 NPT x 3/8 NPT MxH, 6.000 psi.</t>
  </si>
  <si>
    <t>NVA2021N</t>
  </si>
  <si>
    <t>Válvula aguja Winters Serie NVA, NACE, recto, asiento duro, Ac. Inox., 1/2 NPT x 1/2 NPT HxH, 6.000 psi.</t>
  </si>
  <si>
    <t>NVA2001N</t>
  </si>
  <si>
    <t>Válvula aguja Winters Serie NVA, NACE, recto, asiento duro, Ac. Inox., 1/2 NPT x 1/2 NPT MxH, 6.000 psi.</t>
  </si>
  <si>
    <t>NVA2022N</t>
  </si>
  <si>
    <t>Válvula aguja Winters Serie NVA, NACE, recto, asiento duro, Ac. Inox., 3/4 NPT x 1/2 NPT HxH, 6.000 psi.</t>
  </si>
  <si>
    <t>NVA2002N</t>
  </si>
  <si>
    <t>Válvula aguja Winters Serie NVA, NACE, recto, asiento duro, Ac. Inox., 3/4 NPT x 1/2 NPT MxH, 6.000 psi.</t>
  </si>
  <si>
    <t>NVA2025N</t>
  </si>
  <si>
    <t>Válvula aguja Winters Serie NVA, NACE, recto, asiento duro, Ac. Inox., 3/4 NPT x 3/4 NPT HxH, 6.000 psi.</t>
  </si>
  <si>
    <t>NVA2005N</t>
  </si>
  <si>
    <t>Válvula aguja Winters Serie NVA, NACE, recto, asiento duro, Ac. Inox., 3/4 NPT x 3/4 NPT MxH, 6.000 psi.</t>
  </si>
  <si>
    <t>NVA2023N</t>
  </si>
  <si>
    <t>Válvula aguja Winters Serie NVA, NACE, recto, asiento duro, Ac. Inox., 1" NPT x 1" NPT HxH, 6.000 psi.</t>
  </si>
  <si>
    <t>NVA2003N</t>
  </si>
  <si>
    <t>Válvula aguja Winters Serie NVA, NACE, recto, asiento duro, Ac. Inox., 1" NPT x 1" NPT MxH, 6.000 psi.</t>
  </si>
  <si>
    <t>NVA3020N</t>
  </si>
  <si>
    <t>Válvula aguja Winters Serie NVA, NACE, recto, asiento duro, Ac. Inox., 1/4 NPT x 1/4 NPT HxH, 10.000 psi.</t>
  </si>
  <si>
    <t>NVA3000N</t>
  </si>
  <si>
    <t>Válvula aguja Winters Serie NVA, NACE, recto, asiento duro, Ac. Inox., 1/4 NPT x 1/4 NPT MxH, 10.000 psi.</t>
  </si>
  <si>
    <t>NVA3024N</t>
  </si>
  <si>
    <t>Válvula aguja Winters Serie NVA, NACE, recto, asiento duro, Ac. Inox., 3/8 NPT x 3/8 NPT HxH, 10.000 psi.</t>
  </si>
  <si>
    <t>NVA3004N</t>
  </si>
  <si>
    <t>Válvula aguja Winters Serie NVA, NACE, recto, asiento duro, Ac. Inox., 3/8 NPT x 3/8 NPT MxH, 10.000 psi.</t>
  </si>
  <si>
    <t>NVA3021N</t>
  </si>
  <si>
    <t>Válvula aguja Winters Serie NVA, NACE, recto, asiento duro, Ac. Inox., 1/2 NPT x 1/2 NPT HxH, 10.000 psi.</t>
  </si>
  <si>
    <t>NVA3001N</t>
  </si>
  <si>
    <t>Válvula aguja Winters Serie NVA, NACE, recto, asiento duro, Ac. Inox., 1/2 NPT x 1/2 NPT MxH, 10.000 psi.</t>
  </si>
  <si>
    <t>NVA3022N</t>
  </si>
  <si>
    <t>Válvula aguja Winters Serie NVA, NACE, recto, asiento duro, Ac. Inox., 3/4 NPT x 1/2 NPT HxH, 10.000 psi.</t>
  </si>
  <si>
    <t>NVA3002N</t>
  </si>
  <si>
    <t>Válvula aguja Winters Serie NVA, NACE, recto, asiento duro, Ac. Inox., 3/4 NPT x 1/2 NPT MxH, 10.000 psi.</t>
  </si>
  <si>
    <t>NVA3025N</t>
  </si>
  <si>
    <t>Válvula aguja Winters Serie NVA, NACE, recto, asiento duro, Ac. Inox., 3/4 NPT x 3/4 NPT HxH, 10.000 psi.</t>
  </si>
  <si>
    <t>NVA3005N</t>
  </si>
  <si>
    <t>Válvula aguja Winters Serie NVA, NACE, recto, asiento duro, Ac. Inox., 3/4 NPT x 3/4 NPT MxH, 10.000 psi.</t>
  </si>
  <si>
    <t>NVA3023N</t>
  </si>
  <si>
    <t>Válvula aguja Winters Serie NVA, NACE, recto, asiento duro, Ac. Inox., 1" NPT x 1" NPT HxH, 10.000 psi.</t>
  </si>
  <si>
    <t>NVA3003N</t>
  </si>
  <si>
    <t>Válvula aguja Winters Serie NVA, NACE, recto, asiento duro, Ac. Inox., 1" NPT x 1" NPT MxH, 10.000 psi.</t>
  </si>
  <si>
    <t>NVA4020</t>
  </si>
  <si>
    <t>Válvula aguja Winters Serie NVA, recto, asiento blando, Ac. al carbono, 1/4 NPT x 1/4 NPT HxH, 6.000 psi.</t>
  </si>
  <si>
    <t>NVA4000</t>
  </si>
  <si>
    <t>Válvula aguja Winters Serie NVA, recto, asiento blando, Ac. al carbono, 1/4 NPT x 1/4 NPT MxH, 6.000 psi.</t>
  </si>
  <si>
    <t>NVA4024</t>
  </si>
  <si>
    <t>Válvula aguja Winters Serie NVA, recto, asiento blando, Ac. al carbono, 3/8 NPT x 3/8 NPT HxH, 6.000 psi.</t>
  </si>
  <si>
    <t>NVA4004</t>
  </si>
  <si>
    <t>Válvula aguja Winters Serie NVA, recto, asiento blando, Ac. al carbono, 3/8 NPT x 3/8 NPT MxH, 6.000 psi.</t>
  </si>
  <si>
    <t>NVA4021</t>
  </si>
  <si>
    <t>Válvula aguja Winters Serie NVA, recto, asiento blando, Ac. al carbono, 1/2 NPT x 1/2 NPT HxH, 6.000 psi.</t>
  </si>
  <si>
    <t>NVA4001</t>
  </si>
  <si>
    <t>Válvula aguja Winters Serie NVA, recto, asiento blando, Ac. al carbono, 1/2 NPT x 1/2 NPT MxH, 6.000 psi.</t>
  </si>
  <si>
    <t>NVA4022</t>
  </si>
  <si>
    <t>Válvula aguja Winters Serie NVA, recto, asiento blando, Ac. al carbono, 3/4 NPT x 1/2 NPT HxH, 6.000 psi.</t>
  </si>
  <si>
    <t>NVA4002</t>
  </si>
  <si>
    <t>Válvula aguja Winters Serie NVA, recto, asiento blando, Ac. al carbono, 3/4 NPT x 1/2 NPT MxH, 6.000 psi.</t>
  </si>
  <si>
    <t>NVA4025</t>
  </si>
  <si>
    <t>Válvula aguja Winters Serie NVA, recto, asiento blando, Ac. al carbono, 3/4 NPT x 3/4 NPT HxH, 6.000 psi.</t>
  </si>
  <si>
    <t>NVA4005</t>
  </si>
  <si>
    <t>Válvula aguja Winters Serie NVA, recto, asiento blando, Ac. al carbono, 3/4 NPT x 3/4 NPT MxH, 6.000 psi.</t>
  </si>
  <si>
    <t>NVA4023</t>
  </si>
  <si>
    <t>Válvula aguja Winters Serie NVA, recto, asiento blando, Ac. al carbono, 1" NPT x 1" NPT HxH, 6.000 psi.</t>
  </si>
  <si>
    <t>NVA4003</t>
  </si>
  <si>
    <t>Válvula aguja Winters Serie NVA, recto, asiento blando, Ac. al carbono, 1" NPT x 1" NPT MxH, 6.000 psi.</t>
  </si>
  <si>
    <t>NVA1020</t>
  </si>
  <si>
    <t>Válvula aguja Winters Serie NVA, recto, asiento blando, Ac. Inox., 1/4 NPT x 1/4 NPT HxH, 6.000 psi.</t>
  </si>
  <si>
    <t>NVA1000</t>
  </si>
  <si>
    <t>Válvula aguja Winters Serie NVA, recto, asiento blando, Ac. Inox., 1/4 NPT x 1/4 NPT MxH, 6.000 psi.</t>
  </si>
  <si>
    <t>NVA1024</t>
  </si>
  <si>
    <t>Válvula aguja Winters Serie NVA, recto, asiento blando, Ac. Inox., 3/8 NPT x 3/8 NPT HxH, 6.000 psi.</t>
  </si>
  <si>
    <t>NVA1004</t>
  </si>
  <si>
    <t>Válvula aguja Winters Serie NVA, recto, asiento blando, Ac. Inox., 3/8 NPT x 3/8 NPT MxH, 6.000 psi.</t>
  </si>
  <si>
    <t>NVA1021</t>
  </si>
  <si>
    <t>Válvula aguja Winters Serie NVA, recto, asiento blando, Ac. Inox., 1/2 NPT x 1/2 NPT HxH, 6.000 psi.</t>
  </si>
  <si>
    <t>NVA1001</t>
  </si>
  <si>
    <t>Válvula aguja Winters Serie NVA, recto, asiento blando, Ac. Inox., 1/2 NPT x 1/2 NPT MxH, 6.000 psi.</t>
  </si>
  <si>
    <t>NVA1022</t>
  </si>
  <si>
    <t>Válvula aguja Winters Serie NVA, recto, asiento blando, Ac. Inox., 3/4 NPT x 1/2 NPT HxH, 6.000 psi.</t>
  </si>
  <si>
    <t>NVA1002</t>
  </si>
  <si>
    <t>Válvula aguja Winters Serie NVA, recto, asiento blando, Ac. Inox., 3/4 NPT x 1/2 NPT MxH, 6.000 psi.</t>
  </si>
  <si>
    <t>NVA1025</t>
  </si>
  <si>
    <t>Válvula aguja Winters Serie NVA, recto, asiento blando, Ac. Inox., 3/4 NPT x 3/4 NPT HxH, 6.000 psi.</t>
  </si>
  <si>
    <t>NVA1005</t>
  </si>
  <si>
    <t>Válvula aguja Winters Serie NVA, recto, asiento blando, Ac. Inox., 3/4 NPT x 3/4 NPT MxH, 6.000 psi.</t>
  </si>
  <si>
    <t>NVA1023</t>
  </si>
  <si>
    <t>Válvula aguja Winters Serie NVA, recto, asiento blando, Ac. Inox., 1" NPT x 1" NPT HxH, 6.000 psi.</t>
  </si>
  <si>
    <t>NVA1003</t>
  </si>
  <si>
    <t>Válvula aguja Winters Serie NVA, recto, asiento blando, Ac. Inox., 1" NPT x 1" NPT MxH, 6.000 psi.</t>
  </si>
  <si>
    <t>NVA4201</t>
  </si>
  <si>
    <t>Válvula aguja Winters Serie NVA, multipuerto, asiento blando, Ac. al carbono, 1/2 NPT x 1/2 NPT MxH, 6.000 psi.</t>
  </si>
  <si>
    <t>NVA4202</t>
  </si>
  <si>
    <t>Válvula aguja Winters Serie NVA, multipuerto, asiento blando, Ac. al carbono, 3/4 NPT x 1/2 MxH, 6.000 psi.</t>
  </si>
  <si>
    <t>NVA6201</t>
  </si>
  <si>
    <t>Válvula aguja Winters Serie NVA, multipuerto, asiento duro, Ac. al carbono, 1/2 NPT x 1/2 NPT MxH, 10.000 psi.</t>
  </si>
  <si>
    <t>NVA6202</t>
  </si>
  <si>
    <t>Válvula aguja Winters Serie NVA, multipuerto, asiento duro, Ac. al carbono, 3/4 NPT x 1/2 MxH, 10.000 psi.</t>
  </si>
  <si>
    <t>NVA1201</t>
  </si>
  <si>
    <t>Válvula aguja Winters Serie NVA, multipuerto, asiento blando, Ac. Inox., 1/2 NPT x 1/2 NPT MxH, 6.000 psi.</t>
  </si>
  <si>
    <t>NVA1202</t>
  </si>
  <si>
    <t>Válvula aguja Winters Serie NVA, multipuerto, asiento blando, Ac. Inox., 3/4 NPT x 1/2 MxH, 6.000 psi.</t>
  </si>
  <si>
    <t>NVA3201</t>
  </si>
  <si>
    <t>Válvula aguja Winters Serie NVA, multipuerto, asiento duro, Ac. Inox., 1/2 NPT x 1/2 NPT MxH, 10.000 psi.</t>
  </si>
  <si>
    <t>NVA3202</t>
  </si>
  <si>
    <t>Válvula aguja Winters Serie NVA, multipuerto, asiento duro, Ac. Inox., 3/4 NPT x 1/2 MxH, 10.000 psi.</t>
  </si>
  <si>
    <t>NVA3201N</t>
  </si>
  <si>
    <t>Válvula aguja Winters Serie NVA, NACE, multipuerto, asiento duro, Ac. Inox., 1/2 NPT x 1/2 NPT MxH, 10.000 psi.</t>
  </si>
  <si>
    <t>NVA3202N</t>
  </si>
  <si>
    <t>Válvula aguja Winters Serie NVA, NACE, multipuerto, asiento duro, Ac. Inox., 3/4 NPT x 1/2 MxH, 10.000 psi.</t>
  </si>
  <si>
    <t>NVA2020-G</t>
  </si>
  <si>
    <t>Válvula aguja Winters Serie NVA, recto, asiento duro, Ac. Inox., 1/4 NPT x 1/4 NPT HxH, 6.000 psi, packaging graphoil.</t>
  </si>
  <si>
    <t>NVA2000-G</t>
  </si>
  <si>
    <t>Válvula aguja Winters Serie NVA, recto, asiento duro, Ac. Inox., 1/4 NPT x 1/4 NPT MxH, 6.000 psi, packaging graphoil.</t>
  </si>
  <si>
    <t>NVA2024-G</t>
  </si>
  <si>
    <t>Válvula aguja Winters Serie NVA, recto, asiento duro, Ac. Inox., 3/8 NPT x 3/8 NPT HxH, 6.000 psi, packaging graphoil.</t>
  </si>
  <si>
    <t>NVA2004-G</t>
  </si>
  <si>
    <t>Válvula aguja Winters Serie NVA, recto, asiento duro, Ac. Inox., 3/8 NPT x 3/8 NPT MxH, 6.000 psi, packaging graphoil.</t>
  </si>
  <si>
    <t>NVA2021-G</t>
  </si>
  <si>
    <t>Válvula aguja Winters Serie NVA, recto, asiento duro, Ac. Inox., 1/2 NPT x 1/2 NPT HxH, 6.000 psi, packaging graphoil.</t>
  </si>
  <si>
    <t>NVA2001-G</t>
  </si>
  <si>
    <t>Válvula aguja Winters Serie NVA, recto, asiento duro, Ac. Inox., 1/2 NPT x 1/2 NPT MxH, 6.000 psi, packaging graphoil.</t>
  </si>
  <si>
    <t>NVA2022-G</t>
  </si>
  <si>
    <t>Válvula aguja Winters Serie NVA, recto, asiento duro, Ac. Inox., 3/4 NPT x 1/2 NPT HxH, 6.000 psi, packaging graphoil.</t>
  </si>
  <si>
    <t>NVA2002-G</t>
  </si>
  <si>
    <t>Válvula aguja Winters Serie NVA, recto, asiento duro, Ac. Inox., 3/4 NPT x 1/2 NPT MxH, 6.000 psi, packaging graphoil.</t>
  </si>
  <si>
    <t>NVA2025-G</t>
  </si>
  <si>
    <t>Válvula aguja Winters Serie NVA, recto, asiento duro, Ac. Inox., 3/4 NPT x 3/4 NPT HxH, 6.000 psi, packaging graphoil.</t>
  </si>
  <si>
    <t>NVA2005-G</t>
  </si>
  <si>
    <t>Válvula aguja Winters Serie NVA, recto, asiento duro, Ac. Inox., 3/4 NPT x 3/4 NPT MxH, 6.000 psi, packaging graphoil.</t>
  </si>
  <si>
    <t>NVA2023-G</t>
  </si>
  <si>
    <t>Válvula aguja Winters Serie NVA, recto, asiento duro, Ac. Inox., 1" NPT x 1" NPT HxH, 6.000 psi, packaging graphoil.</t>
  </si>
  <si>
    <t>NVA2003-G</t>
  </si>
  <si>
    <t>Válvula aguja Winters Serie NVA, recto, asiento duro, Ac. Inox., 1" NPT x 1" NPT MxH, 6.000 psi, packaging graphoil.</t>
  </si>
  <si>
    <t>NVA3020-G</t>
  </si>
  <si>
    <t>Válvula aguja Winters Serie NVA, recto, asiento duro, Ac. Inox., 1/4 NPT x 1/4 NPT HxH, 10.000 psi, packaging graphoil.</t>
  </si>
  <si>
    <t>NVA3000-G</t>
  </si>
  <si>
    <t>Válvula aguja Winters Serie NVA, recto, asiento duro, Ac. Inox., 1/4 NPT x 1/4 NPT MxH, 10.000 psi, packaging graphoil.</t>
  </si>
  <si>
    <t>NVA3024-G</t>
  </si>
  <si>
    <t>Válvula aguja Winters Serie NVA, recto, asiento duro, Ac. Inox., 3/8 NPT x 3/8 NPT HxH, 10.000 psi, packaging graphoil.</t>
  </si>
  <si>
    <t>NVA3004-G</t>
  </si>
  <si>
    <t>Válvula aguja Winters Serie NVA, recto, asiento duro, Ac. Inox., 3/8 NPT x 3/8 NPT MxH, 10.000 psi, packaging graphoil.</t>
  </si>
  <si>
    <t>NVA3021-G</t>
  </si>
  <si>
    <t>Válvula aguja Winters Serie NVA, recto, asiento duro, Ac. Inox., 1/2 NPT x 1/2 NPT HxH, 10.000 psi, packaging graphoil.</t>
  </si>
  <si>
    <t>NVA3001-G</t>
  </si>
  <si>
    <t>Válvula aguja Winters Serie NVA, recto, asiento duro, Ac. Inox., 1/2 NPT x 1/2 NPT MxH, 10.000 psi, packaging graphoil.</t>
  </si>
  <si>
    <t>NVA3022-G</t>
  </si>
  <si>
    <t>Válvula aguja Winters Serie NVA, recto, asiento duro, Ac. Inox., 3/4 NPT x 1/2 NPT HxH, 10.000 psi, packaging graphoil.</t>
  </si>
  <si>
    <t>NVA3002-G</t>
  </si>
  <si>
    <t>Válvula aguja Winters Serie NVA, recto, asiento duro, Ac. Inox., 3/4 NPT x 1/2 NPT MxH, 10.000 psi, packaging graphoil.</t>
  </si>
  <si>
    <t>NVA3025-G</t>
  </si>
  <si>
    <t>Válvula aguja Winters Serie NVA, recto, asiento duro, Ac. Inox., 3/4 NPT x 3/4 NPT HxH, 10.000 psi, packaging graphoil.</t>
  </si>
  <si>
    <t>NVA3005-G</t>
  </si>
  <si>
    <t>Válvula aguja Winters Serie NVA, recto, asiento duro, Ac. Inox., 3/4 NPT x 3/4 NPT MxH, 10.000 psi, packaging graphoil.</t>
  </si>
  <si>
    <t>NVA3023-G</t>
  </si>
  <si>
    <t>Válvula aguja Winters Serie NVA, recto, asiento duro, Ac. Inox., 1" NPT x 1" NPT HxH, 10.000 psi, packaging graphoil.</t>
  </si>
  <si>
    <t>NVA3003-G</t>
  </si>
  <si>
    <t>Válvula aguja Winters Serie NVA, recto, asiento duro, Ac. Inox., 1" NPT x 1" NPT MxH, 10.000 psi, packaging graphoil.</t>
  </si>
  <si>
    <t>NVAPLUG02</t>
  </si>
  <si>
    <t>Accesorio Winters para válvulas NVA Multipuerto y BBV, tornillo de purga, M8, Ac. al carbono</t>
  </si>
  <si>
    <t>NVAPLUG01</t>
  </si>
  <si>
    <t>Accesorio Winters para válvulas NVA Multipuerto y BBV, tornillo de purga, M8, Ac. Inox.</t>
  </si>
  <si>
    <t>NVAPLUG01N</t>
  </si>
  <si>
    <t>Accesorio Winters para válvulas NVA Multipuerto y BBV NACE, tornillo de purga, M8, Ac. al carbono</t>
  </si>
  <si>
    <t>NVAPLUG06</t>
  </si>
  <si>
    <t>Accesorio Winters, conector para válvulas NVA Multipuerto, 1/2 NPT, Ac. al carbono.</t>
  </si>
  <si>
    <t>NVAPLUG05</t>
  </si>
  <si>
    <t>Accesorio Winters, conector para válvulas NVA Multipuerto, 1/2 NPT, Ac. Inox.</t>
  </si>
  <si>
    <t>NVAPLUG05N</t>
  </si>
  <si>
    <t>Accesorio Winters, conector para válvulas NVA Multipuerto NACE, 1/2 NPT, Ac. Inox.</t>
  </si>
  <si>
    <t>NVAPLUG08</t>
  </si>
  <si>
    <t>Accesorio Winters, conector para válvulas NVA Multipuerto, 1/2 NPT, Ac. al carbono, con tornilllo de purga.</t>
  </si>
  <si>
    <t>NVAPLUG07</t>
  </si>
  <si>
    <t>Accesorio Winters, conector para válvulas NVA Multipuerto, 1/2 NPT, Ac. Inox., con tornillo de purga.</t>
  </si>
  <si>
    <t>NVAPLUG07N</t>
  </si>
  <si>
    <t>Accesorio Winters, conector para válvulas NVA Multipuerto NACE, 1/2 NPT, Ac. Inox., con tornillo de purga.</t>
  </si>
  <si>
    <t>BBV4020</t>
  </si>
  <si>
    <t>Válvula de bloqueo y purga Winters Serie BBV, 1 manija, asiento blando, Ac. al carbono, 1/4 NPT x 1/4 HxH, 6.000 psi.</t>
  </si>
  <si>
    <t>BBV4000</t>
  </si>
  <si>
    <t>Válvula de bloqueo y purga Winters Serie BBV, 1 manija, asiento blando, Ac. al carbono, 1/4 NPT x 1/4 MxH, 6.000 psi.</t>
  </si>
  <si>
    <t>BBV4021</t>
  </si>
  <si>
    <t>Válvula de bloqueo y purga Winters Serie BBV, 1 manija, asiento blando, Ac. al carbono, 1/2 NPT x 1/2 HxH, 6.000 psi.</t>
  </si>
  <si>
    <t>BBV4001</t>
  </si>
  <si>
    <t>Válvula de bloqueo y purga Winters Serie BBV, 1 manija, asiento blando, Ac. al carbono, 1/2 NPT x 1/2 MxH, 6.000 psi.</t>
  </si>
  <si>
    <t>BBV6020</t>
  </si>
  <si>
    <t>Válvula de bloqueo y purga Winters Serie BBV, 1 manija, asiento blando, Ac. al carbono, 1/4 NPT x 1/4 HxH, 10.000 psi.</t>
  </si>
  <si>
    <t>BBV6000</t>
  </si>
  <si>
    <t>Válvula de bloqueo y purga Winters Serie BBV, 1 manija, asiento blando, Ac. al carbono, 1/4 NPT x 1/4 MxH, 10.000 psi.</t>
  </si>
  <si>
    <t>BBV6021</t>
  </si>
  <si>
    <t>Válvula de bloqueo y purga Winters Serie BBV, 1 manija, asiento blando, Ac. al carbono, 1/2 NPT x 1/2 HxH, 10.000 psi.</t>
  </si>
  <si>
    <t>BBV6001</t>
  </si>
  <si>
    <t>Válvula de bloqueo y purga Winters Serie BBV, 1 manija, asiento blando, Ac. al carbono, 1/2 NPT x 1/2 MxH, 10.000 psi.</t>
  </si>
  <si>
    <t>BBV1020</t>
  </si>
  <si>
    <t>Válvula de bloqueo y purga Winters Serie BBV, 1 manija, asiento blando, Ac. Inox., 1/4 NPT x 1/4 HxH, 6.000 psi.</t>
  </si>
  <si>
    <t>BBV1000</t>
  </si>
  <si>
    <t>Válvula de bloqueo y purga Winters Serie BBV, 1 manija, asiento blando, Ac. Inox., 1/4 NPT x 1/4 MxH, 6.000 psi.</t>
  </si>
  <si>
    <t>BBV1021</t>
  </si>
  <si>
    <t>Válvula de bloqueo y purga Winters Serie BBV, 1 manija, asiento blando, Ac. Inox., 1/2 NPT x 1/2 HxH, 6.000 psi.</t>
  </si>
  <si>
    <t>BBV1001</t>
  </si>
  <si>
    <t>Válvula de bloqueo y purga Winters Serie BBV, 1 manija, asiento blando, Ac. Inox., 1/2 NPT x 1/2 MxH, 6.000 psi.</t>
  </si>
  <si>
    <t>BBV3020</t>
  </si>
  <si>
    <t>Válvula de bloqueo y purga Winters Serie BBV, 1 manija, asiento blando, Ac. Inox., 1/4 NPT x 1/4 HxH, 10.000 psi.</t>
  </si>
  <si>
    <t>BBV3000</t>
  </si>
  <si>
    <t>Válvula de bloqueo y purga Winters Serie BBV, 1 manija, asiento blando, Ac. Inox., 1/4 NPT x 1/4 MxH, 10.000 psi.</t>
  </si>
  <si>
    <t>BBV3021</t>
  </si>
  <si>
    <t>Válvula de bloqueo y purga Winters Serie BBV, 1 manija, asiento blando, Ac. Inox., 1/2 NPT x 1/2 HxH, 10.000 psi.</t>
  </si>
  <si>
    <t>BBV3001</t>
  </si>
  <si>
    <t>Válvula de bloqueo y purga Winters Serie BBV, 1 manija, asiento blando, Ac. Inox., 1/2 NPT x 1/2 MxH, 10.000 psi.</t>
  </si>
  <si>
    <t>BBV3020N</t>
  </si>
  <si>
    <t>Válvula de bloqueo y purga Winters Serie BBV, NACE, 1 manija, asiento duro, Ac. Inox., 1/4 NPT x 1/4 HxH, 10.000 psi.</t>
  </si>
  <si>
    <t>BBV3000N</t>
  </si>
  <si>
    <t>Válvula de bloqueo y purga Winters Serie BBV, NACE, 1 manija, asiento duro, Ac. Inox., 1/4 NPT x 1/4 MxH, 10.000 psi.</t>
  </si>
  <si>
    <t>BBV3021N</t>
  </si>
  <si>
    <t>Válvula de bloqueo y purga Winters Serie BBV, NACE, 1 manija, asiento duro, Ac. Inox., 1/2 NPT x 1/2 HxH, 10.000 psi.</t>
  </si>
  <si>
    <t>BBV3001N</t>
  </si>
  <si>
    <t>Válvula de bloqueo y purga Winters Serie BBV, NACE 1 manija, asiento duro, Ac. Inox., 1/2 NPT x 1/2 MxH, 10.000 psi.</t>
  </si>
  <si>
    <t>BBV4220</t>
  </si>
  <si>
    <t>Válvula de bloqueo y purga Winters Serie BBV, 2 manijas, asiento blando, Ac. al carbono, 1/4 NPT x 1/4 HxH, 6.000 psi.</t>
  </si>
  <si>
    <t>BBV4200</t>
  </si>
  <si>
    <t>Válvula de bloqueo y purga Winters Serie BBV, 2 manijas, asiento blando, Ac. al carbono, 1/4 NPT x 1/4 MxH, 6.000 psi.</t>
  </si>
  <si>
    <t>BBV4221</t>
  </si>
  <si>
    <t>Válvula de bloqueo y purga Winters Serie BBV, 2 manijas, asiento blando, Ac. al carbono, 1/2 NPT x 1/2 HxH, 6.000 psi.</t>
  </si>
  <si>
    <t>BBV4201</t>
  </si>
  <si>
    <t>Válvula de bloqueo y purga Winters Serie BBV, 2 manijas, asiento blando, Ac. al carbono, 1/2 NPT x 1/2 MxH, 6.000 psi.</t>
  </si>
  <si>
    <t>BBV4251</t>
  </si>
  <si>
    <t>Válvula de bloqueo y purga Winters Serie BBV, 2 manijas, asiento blando, Ac. al carbono, 3/4 NPT x 1/2 HxH, 6.000 psi.</t>
  </si>
  <si>
    <t>BBV4241</t>
  </si>
  <si>
    <t>Válvula de bloqueo y purga Winters Serie BBV, 2 manijas, asiento blando, Ac. al carbono, 3/4 NPT x 1/2 MxH, 6.000 psi.</t>
  </si>
  <si>
    <t>BBV6220</t>
  </si>
  <si>
    <t>Válvula de bloqueo y purga Winters Serie BBV, 2 manijas, asiento duro, Ac. al carbono, 1/4 NPT x 1/4 HxH, 10.000 psi.</t>
  </si>
  <si>
    <t>BBV6200</t>
  </si>
  <si>
    <t>Válvula de bloqueo y purga Winters Serie BBV, 2 manijas, asiento duro, Ac. al carbono, 1/4 NPT x 1/4 MxH, 10.000 psi.</t>
  </si>
  <si>
    <t>BBV6221</t>
  </si>
  <si>
    <t>Válvula de bloqueo y purga Winters Serie BBV, 2 manijas, asiento duro, Ac. al carbono, 1/2 NPT x 1/2 HxH, 10.000 psi.</t>
  </si>
  <si>
    <t>BBV6201</t>
  </si>
  <si>
    <t>Válvula de bloqueo y purga Winters Serie BBV, 2 manijas, asiento duro, Ac. al carbono, 1/2 NPT x 1/2 MxH, 10.000 psi.</t>
  </si>
  <si>
    <t>BBV6251</t>
  </si>
  <si>
    <t>Válvula de bloqueo y purga Winters Serie BBV, 2 manijas, asiento duro, Ac. al carbono, 3/4 NPT x 1/2 MxH, 10.000 psi.</t>
  </si>
  <si>
    <t>BBV6241</t>
  </si>
  <si>
    <t>BBV6261</t>
  </si>
  <si>
    <t>Válvula de bloqueo y purga Winters Serie BBV, 2 manijas, asiento duro, Ac. al carbono, 3/4 NPT x 3/4 HxH, 10.000 psi.</t>
  </si>
  <si>
    <t>BBV6271</t>
  </si>
  <si>
    <t>Válvula de bloqueo y purga Winters Serie BBV, 2 manijas, asiento duro, Ac. al carbono, 3/4 NPT x 3/4 MxH, 10.000 psi.</t>
  </si>
  <si>
    <t>BBV1220</t>
  </si>
  <si>
    <t>Válvula de bloqueo y purga Winters Serie BBV, 2 manijas, asiento blando, Ac. Inox., 1/4 NPT x 1/4 HxH, 6.000 psi.</t>
  </si>
  <si>
    <t>BBV1200</t>
  </si>
  <si>
    <t>Válvula de bloqueo y purga Winters Serie BBV, 2 manijas, asiento blando, Ac. Inox., 1/4 NPT x 1/4 MxH, 6.000 psi.</t>
  </si>
  <si>
    <t>BBV1221</t>
  </si>
  <si>
    <t>Válvula de bloqueo y purga Winters Serie BBV, 2 manijas, asiento blando, Ac. Inox., 1/2 NPT x 1/2 HxH, 6.000 psi.</t>
  </si>
  <si>
    <t>BBV1201</t>
  </si>
  <si>
    <t>Válvula de bloqueo y purga Winters Serie BBV, 2 manijas, asiento blando, Ac. Inox., 1/2 NPT x 1/2 MxH, 6.000 psi.</t>
  </si>
  <si>
    <t>BBV1251</t>
  </si>
  <si>
    <t>Válvula de bloqueo y purga Winters Serie BBV, 2 manijas, asiento blando, Ac. Inox., 3/4 NPT x 1/2 HxH, 6.000 psi.</t>
  </si>
  <si>
    <t>BBV1241</t>
  </si>
  <si>
    <t>Válvula de bloqueo y purga Winters Serie BBV, 2 manijas, asiento blando, Ac. Inox., 3/4 NPT x 1/2 MxH, 6.000 psi.</t>
  </si>
  <si>
    <t>BBV3220</t>
  </si>
  <si>
    <t>Válvula de bloqueo y purga Winters Serie BBV, 2 manijas, asiento duro, Ac. Inox., 1/4 NPT x 1/4 HxH, 10.000 psi.</t>
  </si>
  <si>
    <t>BBV3200</t>
  </si>
  <si>
    <t>Válvula de bloqueo y purga Winters Serie BBV, 2 manijas, asiento duro, Ac. Inox., 1/4 NPT x 1/4 MxH, 10.000 psi.</t>
  </si>
  <si>
    <t>BBV3221</t>
  </si>
  <si>
    <t>Válvula de bloqueo y purga Winters Serie BBV, 2 manijas, asiento duro, Ac. Inox., 1/2 NPT x 1/2 HxH, 10.000 psi.</t>
  </si>
  <si>
    <t>BBV3201</t>
  </si>
  <si>
    <t>Válvula de bloqueo y purga Winters Serie BBV, 2 manijas, asiento duro, Ac. Inox., 1/2 NPT x 1/2 MxH, 10.000 psi.</t>
  </si>
  <si>
    <t>BBV3251</t>
  </si>
  <si>
    <t>Válvula de bloqueo y purga Winters Serie BBV, 2 manijas, asiento duro, Ac. Inox., 3/4 NPT x 1/2 HxH, 10.000 psi.</t>
  </si>
  <si>
    <t>BBV3241</t>
  </si>
  <si>
    <t>Válvula de bloqueo y purga Winters Serie BBV, 2 manijas, asiento duro, Ac. Inox., 3/4 NPT x 1/2 MxH, 10.000 psi.</t>
  </si>
  <si>
    <t>BBV3261</t>
  </si>
  <si>
    <t>Válvula de bloqueo y purga Winters Serie BBV, 2 manijas, asiento duro, Ac. Inox., 3/4 NPT x 3/4 HxH, 10.000 psi.</t>
  </si>
  <si>
    <t>BBV3271</t>
  </si>
  <si>
    <t>Válvula de bloqueo y purga Winters Serie BBV, 2 manijas, asiento duro, Ac. Inox., 3/4 NPT x 3/4 MxH, 10.000 psi.</t>
  </si>
  <si>
    <t>BBV3220N</t>
  </si>
  <si>
    <t>Válvula de bloqueo y purga Winters Serie BBV, NACE, 2 manijas, asiento duro, Ac. Inox., 1/4 NPT x 1/4 HxH, 10.000 psi.</t>
  </si>
  <si>
    <t>BBV3200N</t>
  </si>
  <si>
    <t>Válvula de bloqueo y purga Winters Serie BBV, NACE, 2 manijas, asiento duro, Ac. Inox., 1/4 NPT x 1/4 MxH, 10.000 psi.</t>
  </si>
  <si>
    <t>BBV3221N</t>
  </si>
  <si>
    <t>Válvula de bloqueo y purga Winters Serie BBV, NACE, 2 manijas, asiento duro, Ac. Inox., 1/2 NPT x 1/2 HxH, 10.000 psi.</t>
  </si>
  <si>
    <t>BBV3201N</t>
  </si>
  <si>
    <t>Válvula de bloqueo y purga Winters Serie BBV, NACE, 2 manijas, asiento duro, Ac. Inox., 1/2 NPT x 1/2 MxH, 10.000 psi.</t>
  </si>
  <si>
    <t>BBV3251N</t>
  </si>
  <si>
    <t>Válvula de bloqueo y purga Winters Serie BBV, NACE, 2 manijas, asiento duro, Ac. Inox., 3/4 NPT x 1/2 HxH, 10.000 psi.</t>
  </si>
  <si>
    <t>BBV3241N</t>
  </si>
  <si>
    <t>Válvula de bloqueo y purga Winters Serie BBV, NACE, 2 manijas, asiento duro, Ac. Inox., 3/4 NPT x 1/2 MxH, 10.000 psi.</t>
  </si>
  <si>
    <t>BBV3420</t>
  </si>
  <si>
    <t>Válvula de doble bloqueo y purga Winters Serie BBV, 3 manijas, asiento duro, Ac. Inox., 1/4 NPT x 1/4 HxH, 10.000 psi.</t>
  </si>
  <si>
    <t>BBV3400</t>
  </si>
  <si>
    <t>Válvula de doblebloqueo y purga Winters Serie BBV, 3 manijas, asiento duro, Ac. Inox., 1/4 NPT x 1/4 MxH, 10.000 psi.</t>
  </si>
  <si>
    <t>BBV3421</t>
  </si>
  <si>
    <t>Válvula de doblebloqueo y purga Winters Serie BBV, 3 manijas, asiento duro, Ac. Inox., 1/2 NPT x 1/2 HxH, 10.000 psi.</t>
  </si>
  <si>
    <t>BBV3401</t>
  </si>
  <si>
    <t>Válvula de doblebloqueo y purga Winters Serie BBV, 3 manijas, asiento duro, Ac. Inox., 1/2 NPT x 1/2 MxH, 10.000 psi.</t>
  </si>
  <si>
    <t>BBV3422</t>
  </si>
  <si>
    <t>Válvula de doblebloqueo y purga Winters Serie BBV, 3 manijas, asiento duro, Ac. Inox., 3/4 NPT x 1/2 HxH, 10.000 psi.</t>
  </si>
  <si>
    <t>BBV3402</t>
  </si>
  <si>
    <t>Válvula de doblebloqueo y purga Winters Serie BBV, 3 manijas, asiento duro, Ac. Inox., 3/4 NPT x 1/2 MxH, 10.000 psi.</t>
  </si>
  <si>
    <t>BBV3420N</t>
  </si>
  <si>
    <t>Válvula de doble bloqueo y purga Winters Serie BBV, NACE, 3 manijas, asiento duro, Ac. Inox., 1/4 NPT x 1/4 HxH, 10.000 psi.</t>
  </si>
  <si>
    <t>BBV3400N</t>
  </si>
  <si>
    <t>Válvula de doblebloqueo y purga Winters Serie BBV, NACE, 3 manijas, asiento duro, Ac. Inox., 1/4 NPT x 1/4 MxH, 10.000 psi.</t>
  </si>
  <si>
    <t>BBV3421N</t>
  </si>
  <si>
    <t>Válvula de doblebloqueo y purga Winters Serie BBV, NACE, 3 manijas, asiento duro, Ac. Inox., 1/2 NPT x 1/2 HxH, 10.000 psi.</t>
  </si>
  <si>
    <t>BBV3401N</t>
  </si>
  <si>
    <t>Válvula de doblebloqueo y purga Winters Serie BBV, NACE, 3 manijas, asiento duro, Ac. Inox., 1/2 NPT x 1/2 MxH, 10.000 psi.</t>
  </si>
  <si>
    <t>BBV3422N</t>
  </si>
  <si>
    <t>Válvula de doblebloqueo y purga Winters Serie BBV, NACE, 3 manijas, asiento duro, Ac. Inox., 3/4 NPT x 1/2 HxH, 10.000 psi.</t>
  </si>
  <si>
    <t>BBV3402N</t>
  </si>
  <si>
    <t>Válvula de doblebloqueo y purga Winters Serie BBV, NACE, 3 manijas, asiento duro, Ac. Inox., 3/4 NPT x 1/2 MxH, 10.000 psi.</t>
  </si>
  <si>
    <t>MVA2SS2P</t>
  </si>
  <si>
    <t>Manifold Winters Serie MVA, 2 manijas, asiento blando, Ac. Inox. 316, 1/2" X 1/2" H X H, PTFE, 6.000 psi</t>
  </si>
  <si>
    <t>MVA2SS2T</t>
  </si>
  <si>
    <t>Manifold Winters Serie MVA, 2 manijas, asiento blando, Ac. Inox. 316, 1/2" NPT H x brida, PTFE, 6.000 psi</t>
  </si>
  <si>
    <t>MVA2SS2F</t>
  </si>
  <si>
    <t>Manifold Winters Serie MVA, 2 manijas, asiento blando, Ac. Inox. 316, brida x brida, PTFE, 6.000 psi</t>
  </si>
  <si>
    <t>MVA2SH2P</t>
  </si>
  <si>
    <t>Manifold Winters Serie MVA, 2 manijas, asiento duro, Ac. Inox. 316, 1/2" X 1/2" H X H, PTFE, 10.000 psi</t>
  </si>
  <si>
    <t>MVA2SH2T</t>
  </si>
  <si>
    <t>Manifold Winters Serie MVA, 2 manijas, asiento duro, Ac. Inox. 316, 1/2" NPT H x brida, PTFE, 10.000 psi</t>
  </si>
  <si>
    <t>MVA2SH2F</t>
  </si>
  <si>
    <t>Manifold Winters Serie MVA, 2 manijas, asiento duro, Ac. Inox. 316, brida x brida, PTFE, 10.000 psi</t>
  </si>
  <si>
    <t>MVA3SS2P</t>
  </si>
  <si>
    <t>Manifold Winters Serie MVA, 3 manijas, asiento blando, Ac. Inox. 316, 1/2" X 1/2" H X H, PTFE, 6.000 psi</t>
  </si>
  <si>
    <t>MVA3SS2T</t>
  </si>
  <si>
    <t>Manifold Winters Serie MVA, 3 manijas, asiento blando, Ac. Inox. 316, 1/2" NPT H x brida, PTFE, 6.000 psi</t>
  </si>
  <si>
    <t>MVA3SS2F</t>
  </si>
  <si>
    <t>Manifold Winters Serie MVA, 3 manijas, asiento blando, Ac. Inox. 316, brida x brida, PTFE, 6.000 psi</t>
  </si>
  <si>
    <t>MVA3SH2P</t>
  </si>
  <si>
    <t>Manifold Winters Serie MVA, 3 manijas, asiento duro, Ac. Inox. 316, 1/2" X 1/2" H X H, PTFE, 10.000 psi</t>
  </si>
  <si>
    <t>MVA3SH2T</t>
  </si>
  <si>
    <t>Manifold Winters Serie MVA, 3 manijas, asiento duro, Ac. Inox. 316, 1/2" NPT H x brida, PTFE, 10.000 psi</t>
  </si>
  <si>
    <t>MVA3SH2F</t>
  </si>
  <si>
    <t>Manifold Winters Serie MVA, 3 manijas, asiento duro, Ac. Inox. 316, brida x brida, PTFE , 10.000 psi</t>
  </si>
  <si>
    <t>MVA5SS2P</t>
  </si>
  <si>
    <t>Manifold Winters Serie MVA, 5 manijas, asiento blando, Ac. Inox. 316, 1/2" X 1/2" H X H, PTFE, 6.000 psi</t>
  </si>
  <si>
    <t>MVA5SS2T</t>
  </si>
  <si>
    <t>Manifold Winters Serie MVA, 5 manijas, asiento blando, Ac. Inox. 316, 1/2" NPT H x brida, PTFE, 6.000 psi</t>
  </si>
  <si>
    <t>MVA5SS2F</t>
  </si>
  <si>
    <t>Manifold Winters Serie MVA, 5 manijas, asiento blando, Ac. Inox. 316, brida x brida, PTFE, 6.000 psi</t>
  </si>
  <si>
    <t>MVA5SH2P</t>
  </si>
  <si>
    <t>Manifold Winters Serie MVA, 5 manijas, asiento duro, Ac. Inox. 316, 1/2" X 1/2" H X H, PTFE, 10.000 psi</t>
  </si>
  <si>
    <t>MVA5SH2T</t>
  </si>
  <si>
    <t>Manifold Winters Serie MVA, 5 manijas, asiento duro, Ac. Inox. 316, 1/2" NPT H x brida, PTFE, 10.000 psi</t>
  </si>
  <si>
    <t>MVA5SH2F</t>
  </si>
  <si>
    <t>Manifold Winters Serie MVA, 5 manijas, asiento duro, Ac. Inox. 316, brida x brida, PTFE, 10.000 psi</t>
  </si>
  <si>
    <t>MVA3SS2D</t>
  </si>
  <si>
    <t>Manifold Winters Serie MVA, 3 manijas, asiento blando,Ac. Inox. 316 316, 1/2" X 1/2" H X H montaje directo, PTFE, 6.000 psi</t>
  </si>
  <si>
    <t>MVA3SH2D</t>
  </si>
  <si>
    <t>Manifold Winters Serie MVA, 3 manijas, asiento duro, Ac. Inox. 316, 1/2" X 1/2" H X H montaje directo, PTFE, 10.000 psi</t>
  </si>
  <si>
    <t>MVA3SS2DG</t>
  </si>
  <si>
    <t>Manifold Winters Serie MVA, 3 manijas, asiento blando, Ac. Inox. 316, 1/2" X 1/2" H X H, montaje directo, GRAPHOIL, 6.000 psi</t>
  </si>
  <si>
    <t>MVA3SH2DG</t>
  </si>
  <si>
    <t>Manifold Winters Serie MVA, 3 manijas, asiento duro, Ac. Inox. 316, 1/2" X 1/2" H X H montaje directo, GRAPHOIL, 10.000 psi</t>
  </si>
  <si>
    <t>MVA3ASS2D</t>
  </si>
  <si>
    <t>Manifold Winters Serie MVA, 3 manijas, angular, asiento blando, Ac. Inox. 316 316, 1/2" X 1/2" H X H montaje directo, PTFE, 6.000 psi</t>
  </si>
  <si>
    <t>MVA3ASH2D</t>
  </si>
  <si>
    <t>Manifold Winters Serie MVA, 3 manijas, angular, asiento duro, Ac. Inox. 316, 1/2" X 1/2" H X H montaje directo, PTFE, 10.000 psi</t>
  </si>
  <si>
    <t>MVA3ASS2DG</t>
  </si>
  <si>
    <t>Manifold Winters Serie MVA, 3 manijas, angular, asiento blando, Ac. Inox. 316 316, 1/2" X 1/2" H X H montaje directo, GRAPHOIL, 6.000 psi</t>
  </si>
  <si>
    <t>MVA3ASH2DG</t>
  </si>
  <si>
    <t>Manifold Winters Serie MVA, 3 manijas, angular, asiento duro, Ac. Inox. 316, 1/2" X 1/2" H X H montaje directo, GRAPHOIL, 10.000 psi</t>
  </si>
  <si>
    <t>MVA5SS2D</t>
  </si>
  <si>
    <t xml:space="preserve">Manifold Winters Serie MVA, 5 manijas, asiento blando, Ac. Inox. 316, 1/2" X 1/2" H X H, PTFE, 6.000 psi </t>
  </si>
  <si>
    <t>MVA5SH2D</t>
  </si>
  <si>
    <t>Manifold Winters Serie MVA, 5 manijas, asiento duro, Ac. Inox. 316, 1/2" X 1/2" H X H montaje directo, PTFE, 10.000 psi</t>
  </si>
  <si>
    <t>MVA5SS2DG</t>
  </si>
  <si>
    <t>Manifold Winters Serie MVA, 5 manijas, asiento blando, Ac. Inox. 316, 1/2" X 1/2" H X H montaje directo, GRAPHOIL, 6.000 psi</t>
  </si>
  <si>
    <t>MVA5SH2DG</t>
  </si>
  <si>
    <t>Manifold Winters Serie MVA, 5 manijas, asiento duro, Ac. Inox. 316, 1/2" X 1/2" H X H montaje directo, GRAPHOIL, 10.000 psi</t>
  </si>
  <si>
    <t>MVA5ASS2D</t>
  </si>
  <si>
    <t xml:space="preserve">Manifold Winters Serie MVA, 5 manijas, angular, asiento blando, Ac. Inox. 316, 1/2" X 1/2" H X H, PTFE, 6.000 psi </t>
  </si>
  <si>
    <t>MVA5ASH2D</t>
  </si>
  <si>
    <t>Manifold Winters Serie MVA, 5 manijas, angular, asiento duro, Ac. Inox. 316, 1/2" X 1/2" H X H, montaje directo, PTFE, 10.000 psi</t>
  </si>
  <si>
    <t>MVA5ASS2DG</t>
  </si>
  <si>
    <t>Manifold Winters Serie MVA, 5 manijas, angular, asiento blando, Ac. Inox. 316, 1/2" X 1/2" H X H, montaje directo, GRAPHOIL,  6.000 psi</t>
  </si>
  <si>
    <t>MVA5ASH2DG</t>
  </si>
  <si>
    <t>Manifold Winters Serie MVA, 5 manijas, angular, asiento duro, Ac. Inox. 316 1/2" X 1/2" H X H, montaje directo, GRAPHOIL, 10.000 psi</t>
  </si>
  <si>
    <t>MVA3SS2P-G</t>
  </si>
  <si>
    <t>Manifold Winters Serie MVA, 3 manijas, asiento blando, Ac. Inox. 316, 1/2" X 1/2" H X H, 6.000 psi, packaging graphoil.</t>
  </si>
  <si>
    <t>MVA3SS2T-G</t>
  </si>
  <si>
    <t>Manifold Winters Serie MVA, 3 manijas, asiento blando, Ac. Inox. 316, 1/2" NPT H x brida, 6.000 psi, packaging graphoil.</t>
  </si>
  <si>
    <t>MVA3SS2F-G</t>
  </si>
  <si>
    <t>Manifold Winters Serie MVA, 3 manijas, asiento blando, Ac. Inox. 316, brida x brida, 6.000 psi, packaging graphoil.</t>
  </si>
  <si>
    <t>MVA3SH2P-G</t>
  </si>
  <si>
    <t>Manifold Winters Serie MVA, 3 manijas, asiento duro, Ac. Inox. 316, 1/2" X 1/2" H X H, 10.000 psi, packaging graphoil.</t>
  </si>
  <si>
    <t>MVA3SH2T-G</t>
  </si>
  <si>
    <t>Manifold Winters Serie MVA, 3 manijas, asiento duro, Ac. Inox. 316, 1/2" NPT H x brida, 10.000 psi, packaging graphoil.</t>
  </si>
  <si>
    <t>MVA3SH2F-G</t>
  </si>
  <si>
    <t>Manifold Winters Serie MVA, 3 manijas, asiento duro, Ac. Inox. 316, brida x brida, 10.000 psi, packaging graphoil.</t>
  </si>
  <si>
    <t>MVA5SS2P-G</t>
  </si>
  <si>
    <t>Manifold Winters Serie MVA, 5 manijas, asiento blando, Ac. Inox. 316, 1/2" X 1/2" H X H, 6.000 psi, packaging graphoil.</t>
  </si>
  <si>
    <t>MVA5SS2T-G</t>
  </si>
  <si>
    <t>Manifold Winters Serie MVA, 5 manijas, asiento blando, Ac. Inox. 316, 1/2" NPT H x brida, 6.000 psi, packaging graphoil.</t>
  </si>
  <si>
    <t>MVA5SS2F-G</t>
  </si>
  <si>
    <t>Manifold Winters Serie MVA, 5 manijas, asiento blando, Ac. Inox. 316,  brida x brida, 6.000 psi, packaging graphoil.</t>
  </si>
  <si>
    <t>MVA5SH2P-G</t>
  </si>
  <si>
    <t>Manifold Winters Serie MVA, 5 manijas, angular, asiento duro, Ac. Inox. 316, 1/2" X 1/2" H X H, 10.000 psi, packaging graphoil.</t>
  </si>
  <si>
    <t>MVA5SH2T-G</t>
  </si>
  <si>
    <t>Manifold Winters Serie MVA, 5 manijas, angular, asiento duro, Ac. Inox. 316, 1/2" NPT H x brida, 10.000 psi, packaging graphoil.</t>
  </si>
  <si>
    <t>MVA5SH2F-G</t>
  </si>
  <si>
    <t>Manifold Winters Serie MVA, 5 manijas, angular, asiento duro, Ac. Inox. 316, brida x brida, 10.000 psi, packaging graphoil.</t>
  </si>
  <si>
    <t>FIR0014</t>
  </si>
  <si>
    <t>Accesorio Winters Serie FIR ISO-RING TIPO-A conexión a instrumentos 1/4" NPT.</t>
  </si>
  <si>
    <t>FIR0024</t>
  </si>
  <si>
    <t>Accesorio Winters Serie FIR ISO-RING TIPO-B conexión a instrumentos 1/4" NPT.</t>
  </si>
  <si>
    <t>FIR0034</t>
  </si>
  <si>
    <t>Accesorio Winters Serie FIR ISO-RING TIPO-C conexión a instrumentos 1/4" NPT.</t>
  </si>
  <si>
    <t>FIR0010</t>
  </si>
  <si>
    <t>Accesorio Winters Serie FIR ISO-RING TIPO-A conexión a instrumentos 1/2" NPT.</t>
  </si>
  <si>
    <t>FIR0020</t>
  </si>
  <si>
    <t>Accesorio Winters Serie FIR ISO-RING TIPO-B conexión a instrumentos 1/2" NPT.</t>
  </si>
  <si>
    <t>FIR0030</t>
  </si>
  <si>
    <t>Accesorio Winters Serie FIR ISO-RING TIPO-C conexión a instrumentos 1/2" NPT.</t>
  </si>
  <si>
    <t>FIR0200</t>
  </si>
  <si>
    <t>Conector rápido WINCONNECT 1/2" NPT.</t>
  </si>
  <si>
    <t>FIR0400</t>
  </si>
  <si>
    <t>Conector rápido WINCONNECT 1/4" NPT.</t>
  </si>
  <si>
    <t>SSN517</t>
  </si>
  <si>
    <t>Amortiguador fijo Winters Serie SSN, Latón, 1/4" NPT HxM, para aceites pesados.</t>
  </si>
  <si>
    <t>SSN514</t>
  </si>
  <si>
    <t>Amortiguador fijo Winters Serie SSN, Latón, 1/2" NPT HxM, para aceites pesados.</t>
  </si>
  <si>
    <t>SSN520</t>
  </si>
  <si>
    <t>Amortiguador fijo  Winters Serie SSN, Ac. Inox., 1/4" NPT HxM, para aceites pesados.</t>
  </si>
  <si>
    <t>SSN531</t>
  </si>
  <si>
    <t>Amortiguador fijo  Winters Serie SSN, Ac. Inox., 1/2" NPT HxM, para aceites pesados.</t>
  </si>
  <si>
    <t>SSN515</t>
  </si>
  <si>
    <t>Amortiguador fijo Winters Serie SSN, Latón, 1/4" NPT HxM, para agua.</t>
  </si>
  <si>
    <t>SSN512</t>
  </si>
  <si>
    <t>Amortiguador fijo Winters Serie SSN, Latón, 1/2" NPT HxM, para agua.</t>
  </si>
  <si>
    <t>SSN518</t>
  </si>
  <si>
    <t>Amortiguador fijo Winters Serie SSN, Ac. Inox., 1/4" NPT HxM, para agua.</t>
  </si>
  <si>
    <t>SSN529</t>
  </si>
  <si>
    <t>Amortiguador fijo Winters Serie SSN, Ac. Inox., 1/2" NPT HxM, para agua.</t>
  </si>
  <si>
    <t>SSN516</t>
  </si>
  <si>
    <t>Amortiguador fijo Winters Serie SSN, Latón, 1/4" NPT HxM, para aire.</t>
  </si>
  <si>
    <t>SSN513</t>
  </si>
  <si>
    <t>Amortiguador fijo Winters Serie SSN, Latón, 1/2" NPT HxM, para aire.</t>
  </si>
  <si>
    <t>SSN519</t>
  </si>
  <si>
    <t>Amortiguador fijo Winters Serie SSN, Ac. Inox., 1/4" NPT HxM, para aire.</t>
  </si>
  <si>
    <t>SSN530</t>
  </si>
  <si>
    <t>Amortiguador fijo Winters Serie SSN, Ac. Inox., 1/2" NPT HxM, para aire.</t>
  </si>
  <si>
    <t>SSN515LF</t>
  </si>
  <si>
    <t>Amortiguador fijo Winters Serie SSN-LF, Latón libre de plomo, 1/4" NPT HxM, para agua.</t>
  </si>
  <si>
    <t>SSN512LF</t>
  </si>
  <si>
    <t>Amortiguador fijo Winters Serie SSN-LF, Latón de plomo, 1/2" NPT HxM, para agua.</t>
  </si>
  <si>
    <t>SAS540</t>
  </si>
  <si>
    <t>Amortiguador ajustable Winters Serie SAS, Latón, 1/4" NPT HxM</t>
  </si>
  <si>
    <t>SAS541</t>
  </si>
  <si>
    <t>Amortiguador ajustable Winters Serie SAS, Latón, 1/2" NPT HxM</t>
  </si>
  <si>
    <t>SAS542</t>
  </si>
  <si>
    <t>Amortiguador ajustable Winters Serie SAS, Ac. Inox. 316, 1/4" NPT HxM</t>
  </si>
  <si>
    <t>SAS543</t>
  </si>
  <si>
    <t>Amortiguador ajustable Winters Serie SAS, Ac. Inox. 316, 1/2" NPT HxM</t>
  </si>
  <si>
    <t>SCT-400</t>
  </si>
  <si>
    <t>Torre de enfriamiento Winters Serie SCT, Ac. Inox., 1/4"M X 1/4"H, Max temp: 300°C</t>
  </si>
  <si>
    <t>SCT-500</t>
  </si>
  <si>
    <t>Torre de enfriamiento Winters Serie SCT, Ac. Inox., 1/2"M X 1/2"H, Max temp: 300°C</t>
  </si>
  <si>
    <t>SCT-600</t>
  </si>
  <si>
    <t>Torre de enfriamiento Winters Serie SCT, Ac. Inox., 1/4"M X 1/4"H, Max temp: 500°C</t>
  </si>
  <si>
    <t>SCT-700</t>
  </si>
  <si>
    <t>Torre de enfriamiento Winters Serie SCT, Ac. Inox., 1/2"M X 1/2"H, Max temp: 500°C</t>
  </si>
  <si>
    <t>SOP32025</t>
  </si>
  <si>
    <t>Protector de sobrepresión Winters Serie SOP, tipo bellows, Ac. Inox. 316, 2.9/14.5 psi/bar, 1/4" NPT MxH.</t>
  </si>
  <si>
    <t>SOP159025</t>
  </si>
  <si>
    <t>Protector de sobrepresión Winters Serie SOP, tipo bellows, Ac. Inox. 316, 14.5/58 psi/bar, 1/4" NPT MxH.</t>
  </si>
  <si>
    <t>SOP9023025</t>
  </si>
  <si>
    <t>Protector de sobrepresión Winters Serie SOP, tipo bellows, Ac. Inox. 316, 58/145 psi/bar, 1/4" NPT MxH.</t>
  </si>
  <si>
    <t>SOP32050</t>
  </si>
  <si>
    <t>Protector de sobrepresión Winters Serie SOP, tipo bellows, Ac. Inox. 316, 2.9/14.5 psi/bar, 1/2" NPT MxH.</t>
  </si>
  <si>
    <t>SOP159050</t>
  </si>
  <si>
    <t>Protector de sobrepresión Winters Serie SOP, tipo bellows, Ac. Inox. 316, 14.5/58 psi/bar, 1/2" NPT MxH.</t>
  </si>
  <si>
    <t>SOP9023050</t>
  </si>
  <si>
    <t>Protector de sobrepresión Winters Serie SOP, tipo bellows, Ac. Inox. 316, 58/145 psi/bar, 1/2" NPT MxH.</t>
  </si>
  <si>
    <t>SOP32025N</t>
  </si>
  <si>
    <t>Protector de sobrepresión Winters Serie SOP, tipo bellows, Ac. Inox. 316, NACE, 2.9/14.5 psi/bar, 1/4" NPT MxH.</t>
  </si>
  <si>
    <t>SOP159025N</t>
  </si>
  <si>
    <t>Protector de sobrepresión Winters Serie SOP, tipo bellows, Ac. Inox. 316, NACE, 14.5/58 psi/bar, 1/4" NPT MxH.</t>
  </si>
  <si>
    <t>SOP9023025N</t>
  </si>
  <si>
    <t>Protector de sobrepresión Winters Serie SOP, tipo bellows, Ac. Inox. 316, NACE, 58/145 psi/bar, 1/4" NPT MxH.</t>
  </si>
  <si>
    <t>SOP PROCTECTOR DE SOBREPRESION NACE - TIPO BELLOWS, 1/2" NPT</t>
  </si>
  <si>
    <t>SOP32050N</t>
  </si>
  <si>
    <t>Protector de sobrepresión Winters Serie SOP, tipo bellows, Ac. Inox. 316, NACE, 2.9/14.5 psi/bar, 1/2" NPT MxH.</t>
  </si>
  <si>
    <t>SOP159050N</t>
  </si>
  <si>
    <t>Protector de sobrepresión Winters Serie SOP, tipo bellows, Ac. Inox. 316, NACE, 14.5/58 psi/bar, 1/2" NPT MxH.</t>
  </si>
  <si>
    <t>SOP9023050N</t>
  </si>
  <si>
    <t>Protector de sobrepresión Winters Serie SOP, tipo bellows, Ac. Inox. 316, NACE, 58/145 psi/bar, 1/2" NPT MxH.</t>
  </si>
  <si>
    <t>SOP14039525</t>
  </si>
  <si>
    <t>Protector de sobrepresión Winters Serie SOP, tipo pistón, Ac. Inox. 316, 145/580 psi/bar, 1/4" NPT MxH.</t>
  </si>
  <si>
    <t>SOP435116025</t>
  </si>
  <si>
    <t>Protector de sobrepresión Winters Serie SOP, tipo pistón, Ac. Inox. 316, 580/2.330 psi/bar, 1/4" NPT MxH.</t>
  </si>
  <si>
    <t>SOP1450580025</t>
  </si>
  <si>
    <t>Protector de sobrepresión Winters Serie SOP, tipo pistón, Ac. Inox. 316, 2.320/5.800 psi/bar, 1/4" NPT MxH.</t>
  </si>
  <si>
    <t>SOP14039550</t>
  </si>
  <si>
    <t>Protector de sobrepresión Winters Serie SOP, tipo pistón, Ac. Inox. 316, 140/395 psi/bar, 1/2" NPT MxH.</t>
  </si>
  <si>
    <t>SOP435116050</t>
  </si>
  <si>
    <t>Protector de sobrepresión Winters Serie SOP, tipo pistón, Ac. Inox. 316, 580/2.330 psi/bar, 1/2" NPT MxH.</t>
  </si>
  <si>
    <t>SOP1450580050</t>
  </si>
  <si>
    <t>Protector de sobrepresión Winters Serie SOP, tipo pistón, Ac. Inox. 316, 2.320/5.800 psi/bar, 1/2" NPT MxH.</t>
  </si>
  <si>
    <t>SOP14039525N</t>
  </si>
  <si>
    <t>Protector de sobrepresión Winters Serie SOP, tipo pistón, Ac. Inox. 316, NACE, 145/580 psi/bar, 1/4" NPT MxH.</t>
  </si>
  <si>
    <t>SOP435116025N</t>
  </si>
  <si>
    <t>Protector de sobrepresión Winters Serie SOP, tipo pistón, Ac. Inox. 316, NACE, 580/2,330 psi/bar, 1/4" NPT MxH.</t>
  </si>
  <si>
    <t>SOP1450580025N</t>
  </si>
  <si>
    <t>Protector de sobrepresión Winters Serie SOP, tipo pistón, Ac. Inox. 316, NACE, 2.320/5.800 psi/bar, 1/4" NPT MxH.</t>
  </si>
  <si>
    <t>SOP14039550N</t>
  </si>
  <si>
    <t>Protector de sobrepresión Winters Serie SOP, tipo pistón, Ac. Inox. 316, NACE, 140/395 psi/bar, 1/2" NPT MxH.</t>
  </si>
  <si>
    <t>SOP435116050N</t>
  </si>
  <si>
    <t>Protector de sobrepresión Winters Serie SOP, tipo pistón, Ac. Inox. 316, NACE, 580/2.330 psi/bar, 1/2" NPT MxH.</t>
  </si>
  <si>
    <t>SOP1450580050N</t>
  </si>
  <si>
    <t>Protector de sobrepresión Winters Serie SOP, tipo pistón, Ac. Inox. 316, NACE, 2.320/5.800 psi/bar, 1/2" NPT MxH.</t>
  </si>
  <si>
    <t>SSP545</t>
  </si>
  <si>
    <t>Sifón Winters Serie SSP, tubería schedule 40 de latón, 1/4" NPT M x 1/4" NPT M.</t>
  </si>
  <si>
    <t>SSP525</t>
  </si>
  <si>
    <t>Sifón Winters Serie SSP, tubería schedule 40 de acero al carbón, 1/4" BSPT M x 1/4" BSPT M.</t>
  </si>
  <si>
    <t>SSP535</t>
  </si>
  <si>
    <t>Sifón Winters Serie SSP, tubería schedule 40 de ac. inox. 304, 1/4" BSPT M x 1/4" BSPT M.</t>
  </si>
  <si>
    <t>SSP554</t>
  </si>
  <si>
    <t>Sifón Winters Serie SSP, tubería schedule 40 de ac. inox. 316, 1/4" NPT M x 1/4" NPT M.</t>
  </si>
  <si>
    <t>SSP556</t>
  </si>
  <si>
    <t>Sifón Winters Serie SSP, tubería schedule 80 de acero al carbón, 1/4" NPT M x 1/4" NPT M.</t>
  </si>
  <si>
    <t>SSP595</t>
  </si>
  <si>
    <t>Sifón Winters Serie SSP, tubería schedule 80 de ac. inox. 304, 1/4" NPT M x 1/4" NPT M.</t>
  </si>
  <si>
    <t>SSP559</t>
  </si>
  <si>
    <t>SSP555</t>
  </si>
  <si>
    <t>Sifón Winters Serie SSP, tubería schedule 40 de acero al carbón, 1/2" BSPT M x 1/2" BSPT M.</t>
  </si>
  <si>
    <t>SSP585</t>
  </si>
  <si>
    <t>Sifón Winters Serie SSP, tubería schedule 40 de ac. inox. 304, 1/2" BSPT M x 1/2" BSPT M.</t>
  </si>
  <si>
    <t>SSP557</t>
  </si>
  <si>
    <t>SSP2715</t>
  </si>
  <si>
    <t>SSP2716</t>
  </si>
  <si>
    <t>SSP2719</t>
  </si>
  <si>
    <t>Sifón Winters Serie SSP, tubería schedule 80 de ac. inox. 316, 1/4" NPT M x 1/4" NPT M.</t>
  </si>
  <si>
    <t>STP001</t>
  </si>
  <si>
    <t>Accesorios Winters Serie STP, conector de prueba de latón 1/4” NPTM</t>
  </si>
  <si>
    <t>STP002</t>
  </si>
  <si>
    <t>Accesorios Winters Serie STP, conector de prueba de latón 1/2” NPTM</t>
  </si>
  <si>
    <t>STP003</t>
  </si>
  <si>
    <t>Accesorios Winters Serie STP, conector de prueba - Adaptador de manómetro 2,75 OAL x 1,75” x 0,125” vastago</t>
  </si>
  <si>
    <t>STP004</t>
  </si>
  <si>
    <t>Accesorios Winters Serie STP, conector de prueba - Adaptador de manómetro 2,25 OAL x 1,75” x 0,125” vastago</t>
  </si>
  <si>
    <t>STP001LF</t>
  </si>
  <si>
    <t>Accesorios Winters Serie STP, conector de prueba de latón libre de plomo 1/4” NPTM</t>
  </si>
  <si>
    <t>STP002LF</t>
  </si>
  <si>
    <t>Accesorios Winters Serie STP, conector de prueba de latón libre de plomo 1/2” NPTM</t>
  </si>
  <si>
    <t>CAP1</t>
  </si>
  <si>
    <t>Capilar Winters AISI Ac. Inox. 316, Longitud: 1 metro, 1/2" NPT H, 1/2" NPT M.</t>
  </si>
  <si>
    <t>CAP1.5</t>
  </si>
  <si>
    <t>Capilar Winters AISI Ac. Inox. 316, Longitud: 1,5 metros, 1/2" NPT H, 1/2" NPT M.</t>
  </si>
  <si>
    <t>CAP2</t>
  </si>
  <si>
    <t>Capilar Winters AISI Ac. Inox. 316, Longitud: 2 metros, 1/2" NPT H, 1/2" NPT M.</t>
  </si>
  <si>
    <t>CAP3</t>
  </si>
  <si>
    <t>Capilar Winters AISI Ac. Inox. 316, Longitud: 3 metros, 1/2" NPT H, 1/2" NPT M.</t>
  </si>
  <si>
    <t>103S08</t>
  </si>
  <si>
    <t>Cupla roscada ½ NPT en acero inoxidable AISI316</t>
  </si>
  <si>
    <t>110B0604</t>
  </si>
  <si>
    <t>Adaptador de Latón de 1/4 NPT-H X 3/8" NPT-M</t>
  </si>
  <si>
    <t>110B0804</t>
  </si>
  <si>
    <t>Buje de reducción roscado de bronce 1/4"NPT Hembra x 1/2"NPT Macho - Presión de Trabajo: 70 Kg/cm2</t>
  </si>
  <si>
    <t>110B1208</t>
  </si>
  <si>
    <t>Adaptador de bronce 1/2" NPTH x 3/4" NPTM</t>
  </si>
  <si>
    <t>110S0604</t>
  </si>
  <si>
    <t>Adaptador de acero inoxidable de 3/8” NPTM x 1/4” NPTH</t>
  </si>
  <si>
    <t>110S0804</t>
  </si>
  <si>
    <t>Buje de reducción roscado acero inox 316 1/4"NPT Hembra x 1/2"NPT Macho - Presión: 200 kg/cm2</t>
  </si>
  <si>
    <t>110SR0804BN</t>
  </si>
  <si>
    <t>Buje de reducción acero inox. 316 p/alta presión (10.000psi) 1/2"BSPMx1/4"NPTH</t>
  </si>
  <si>
    <t>110SR0804BB</t>
  </si>
  <si>
    <t>Buje de reducción acero inox. 316 p/alta presión (10.000psi) 1/2"BSPMx1/4"BSPH</t>
  </si>
  <si>
    <t>110S0806</t>
  </si>
  <si>
    <t>Adaptador Acero Inoxidable 1/2” NPT M x 3/8” NPT H</t>
  </si>
  <si>
    <t>110S1208</t>
  </si>
  <si>
    <t>Adaptador roscado de Inox 1/2'' NPTH x 3/4'' NPTM</t>
  </si>
  <si>
    <t>120B0204</t>
  </si>
  <si>
    <t>Adaptador de bronce 1/4"NPTH x 1/8"NPTM</t>
  </si>
  <si>
    <t>120B0204BN</t>
  </si>
  <si>
    <t>Adaptador de bronce 1/4"NPTH x 1/8"BSPM</t>
  </si>
  <si>
    <t>120B0402A</t>
  </si>
  <si>
    <t>Adaptador de bronce 1/4"BSPTH x 1/8"BSPTM</t>
  </si>
  <si>
    <t>120B0404</t>
  </si>
  <si>
    <t>Adaptador roscado de bronce 1/4" NPT-H x 1/4" NPT-M</t>
  </si>
  <si>
    <t>120B0404NB</t>
  </si>
  <si>
    <t>Adaptador roscado de bronce 1/4" BSPT-H x 1/4" NPT-M</t>
  </si>
  <si>
    <t>120B0408</t>
  </si>
  <si>
    <t>Adaptador roscado de Bronce 1/2'' NPTH x 1/4'' NPTM</t>
  </si>
  <si>
    <t>120B0408BN</t>
  </si>
  <si>
    <t>Adaptador roscado de Bronce 1/2'' NPTH x 1/4'' BSPM</t>
  </si>
  <si>
    <t>120B0608</t>
  </si>
  <si>
    <t>Adaptador roscado de bronce 1/2" NPTH x 3/8"NPTM</t>
  </si>
  <si>
    <t>120B0808</t>
  </si>
  <si>
    <t>Adaptador roscado de bronce 1/2" NPTH x 1/2"BSPM</t>
  </si>
  <si>
    <t>120BM0204</t>
  </si>
  <si>
    <t>ADAPTADOR DE BRONCE 1/4NPTMx1/8NPTH</t>
  </si>
  <si>
    <t>120S0204</t>
  </si>
  <si>
    <t>Adaptador de 1/4 NPTH X 1/8" NPTM acero inoxidable</t>
  </si>
  <si>
    <t>120S0208</t>
  </si>
  <si>
    <t>Adaptador roscado de acero inox 316 1/2"NPTH x 1/8"NPTM</t>
  </si>
  <si>
    <t>120S0402</t>
  </si>
  <si>
    <t>Adaptador acero inox 1/8"NPTH x 1/4"NPTM</t>
  </si>
  <si>
    <t>120S0404NB</t>
  </si>
  <si>
    <t>Adaptador acero inox de 1/4" BSPT-H x 1/4"NPT-M</t>
  </si>
  <si>
    <t>120S0404BN</t>
  </si>
  <si>
    <t>Adaptador acero inox de 1/4" NPT-H x 1/4"BSP-M</t>
  </si>
  <si>
    <t>120S0408BN</t>
  </si>
  <si>
    <t>Adaptador Roscado de Acero Inox 316 1/2'' NPTH x 1/4'' BSPM</t>
  </si>
  <si>
    <t>120S0608</t>
  </si>
  <si>
    <t>Adaptador de acero inoxidable de 3/8” NPTM x 1/2” NPTH</t>
  </si>
  <si>
    <t>120S0608BN</t>
  </si>
  <si>
    <t>Adaptador de acero inoxidable de 3/8” BSPM x 1/2” NPTH</t>
  </si>
  <si>
    <t>120S0804</t>
  </si>
  <si>
    <t>Adaptador roscado de acero inox 316 1/2"NPTH x 1/4"NPTM</t>
  </si>
  <si>
    <t>120S0804MAN</t>
  </si>
  <si>
    <t>Adaptador roscado de acero inox 316 1/2"NPTH x 1/4"NPTM para Manómetro</t>
  </si>
  <si>
    <t>120S0808</t>
  </si>
  <si>
    <t>Adaptador roscado de acero inoxidable 1/2" NPT-H x 1/2" NPT-M</t>
  </si>
  <si>
    <t>120S0808BN</t>
  </si>
  <si>
    <t>Adaptador M-H roscado acero inox. 316 p/alta presión (10.000psi) 1/2"BSPMx1/2"NPTH</t>
  </si>
  <si>
    <t>120S0808NB</t>
  </si>
  <si>
    <t>Adaptador M-H roscado acero inox. 316 1/2" NPT-M x 1/2" BSP-H</t>
  </si>
  <si>
    <t>120S0812</t>
  </si>
  <si>
    <t>Adaptador roscado de acero inox 3/4"NPTH x 1/2"NPTM</t>
  </si>
  <si>
    <t>120S1608</t>
  </si>
  <si>
    <t>ADAPTADOR MH 1 x 1/2 - ACERO INOX</t>
  </si>
  <si>
    <t>122S08</t>
  </si>
  <si>
    <t>Entrerrosca acero inox. 316 1/2"NPT Machox1/2"NPT Macho</t>
  </si>
  <si>
    <t>122S08BN</t>
  </si>
  <si>
    <t>Adaptador Macho-Macho rosc Inox 316 p/alta presión (10.000psi) 1/2"BSPMx1/2"NPTM</t>
  </si>
  <si>
    <t>ADN-2-2-316</t>
  </si>
  <si>
    <t>Adaptador de Rosca 1/4''NPT Hembra a 1/4'' BSP Macho. AISI316. Pres.Max: 315Bar (4.570 psi)</t>
  </si>
  <si>
    <t>AB12BSP12NPT</t>
  </si>
  <si>
    <t>Adaptador de bronce 1/2"BSPH x 1/2"NPTM</t>
  </si>
  <si>
    <t>AB14BSP14NPT</t>
  </si>
  <si>
    <t>ADAPTADOR 1/4 BSP BF X 1/4"NPT BM</t>
  </si>
  <si>
    <t>AS12NPT34NPT</t>
  </si>
  <si>
    <t>ADAPTADOR 1/2 NPT SF X 3/4" NPT SM</t>
  </si>
  <si>
    <t>AS14NPT14BSP</t>
  </si>
  <si>
    <t>ADAPTADOR 1/4 NPT SF X 1/4" BSP SM</t>
  </si>
  <si>
    <t>G-SELLO-1</t>
  </si>
  <si>
    <t>Ensamble manómetro y sello Winters, relleno con glicerina</t>
  </si>
  <si>
    <t>G-SELLO VEGETAL</t>
  </si>
  <si>
    <t>Ensamble manómetro y sello Winters, relleno con aceite vegetal</t>
  </si>
  <si>
    <t>S-SELLO</t>
  </si>
  <si>
    <t>Ensamble manómetro y sello Winters, relleno con silicona</t>
  </si>
  <si>
    <t>-SF-D (DIRECTO DE FABRICA)</t>
  </si>
  <si>
    <t>Ensamble manómetro y sello Winters, relleno con silicona (directo de fabrica)</t>
  </si>
  <si>
    <t>HPTC</t>
  </si>
  <si>
    <t>ENVIO Digital Winters - Certificado de prueba de alta presion (20k psi/bar to 40k psi/bar)</t>
  </si>
  <si>
    <t>MTR</t>
  </si>
  <si>
    <t>ENVIO Digital Winters - Reporte de prueba de materiales</t>
  </si>
  <si>
    <t>HYDRO</t>
  </si>
  <si>
    <t>ENVIO Digital Winters - Registro de prueba de presion (prueba hidrostatica)</t>
  </si>
  <si>
    <t>WFC</t>
  </si>
  <si>
    <t>ENVIO Digital Winters - Reporte de calculo de verificacion de frecuencia para termopozos</t>
  </si>
  <si>
    <t>OC25</t>
  </si>
  <si>
    <t>ENVIO Digital Winters - Limpieza de oxigeno y certificado - manometros de 2,5"</t>
  </si>
  <si>
    <t>OC4</t>
  </si>
  <si>
    <t>ENVIO Digital Winters - Limpieza de oxigeno y certificado - manometros de 4"</t>
  </si>
  <si>
    <t>OC6</t>
  </si>
  <si>
    <t>ENVIO Digital Winters - Limpieza de oxigeno y certificado - manometros de 6"</t>
  </si>
  <si>
    <t>OCDIG</t>
  </si>
  <si>
    <t>ENVIO Digital Winters - Limpieza de oxigeno y certificado - manometros Digital Winters y transmisores de presion</t>
  </si>
  <si>
    <t>CERTCALIDAD</t>
  </si>
  <si>
    <t>ENVIO Digital Winters - Informe en el cual se provee el número de lote de manómetros, termómetros y transmisores de presión bajo normas ISO9001-2015</t>
  </si>
  <si>
    <t>INFORMECALIDAD (SOLO ARGENTINA)</t>
  </si>
  <si>
    <t>ENVIO Digital Winters - INFORME DE CALIDAD DE LABORATORIO DE ARGENTINA</t>
  </si>
  <si>
    <t>PUNTO-ADIC-TEMP (SOLO ARGENTINA)</t>
  </si>
  <si>
    <t>ENVIO Digital Winters - PUNTO ADICIONAL DE TEMPERATURA DE LABORATORIO DE ARGENTINA</t>
  </si>
  <si>
    <t>PPC5064ZRR1R11+SG-45+D12</t>
  </si>
  <si>
    <t>Ensamble Winters Manómetro Serie PPC-ZR, dial 4,5" 0/100 psi/ (0/7 bar), clase 0,5%, con vidrio de seguridad + Sello Serie D12, diafragma PTFE, inferior PTFE 1/2" NPT M.</t>
  </si>
  <si>
    <t>PPC5065ZRR1R11+SG45+D12</t>
  </si>
  <si>
    <t>Ensamble Winters Manómetro Serie PPC-ZR, dial 4,5" 0/100 psi &amp; 0/7 bar, clase 0,5%, con vidrio de seguridad + Sello Serie D12, diafragma PTFE, inferior 1/2" NPT M.</t>
  </si>
  <si>
    <t>PFP659ZRR11R1+SG4+D12PTFE12NPT</t>
  </si>
  <si>
    <t>Ensamble Winters Manómetro Serie PFP-ZR, dial 4" 0/7 bar &amp; 0/100 psi, clase 1%, con vidrio de seguridad + Sello Serie D12 1/2" NPT M, partes húmedas PTFE.</t>
  </si>
  <si>
    <t>PFP660ZRR11R1+SG4+D12PTFE12NPT</t>
  </si>
  <si>
    <t>Ensamble Winters Manómetro Serie PFP-ZR, dial 4" 0/10 bar &amp; 0/150 psi, clase 1%, con vidrio de seguridad + Sello Serie D12; 1/2" NPT M, partes húmedas PTFE.</t>
  </si>
  <si>
    <t>PPC5064ZRR1R11-SG45+D70952/956</t>
  </si>
  <si>
    <t>Ensamble Winters Manómetro Serie PPC-ZR, dial 4,5", 0/100 psi &amp; 0/7 bar, clase 0,5%, con vidrio de seguridad + Sello Serie D70 316L SS 1/2" NPT H.</t>
  </si>
  <si>
    <t>PPC5065ZRR1R11-SG45+D70952/956</t>
  </si>
  <si>
    <t>Ensamble Winters Manómetro Serie PPC-ZR, dial 4,5", 0/160 psi &amp; 0/11 bar, clase 0,5%, caja fenolica, con vidrio de seguridad + Sello Serie D70 316L SS 1/2" NPT H.</t>
  </si>
  <si>
    <t>PPC5067ZRR1R11-SG45+D70952/956</t>
  </si>
  <si>
    <t>Ensamble Winters Manómetro Serie PPC-ZR, dial 4,5", 0/300 psi &amp; 0/20 bar, clase 0,5%, caja fenolica, con vidrio de seguridad + Sello Serie D70 316L SS 1/2" NPT H.</t>
  </si>
  <si>
    <t>PPC5069ZRR1R11-SG45+D70952/956</t>
  </si>
  <si>
    <t>Ensamble Winters Manómetro Serie PPC-ZR, dial 4,5", 0/600 psi &amp; 0/40 bar, 0,5%, caja fenolica, con vidrio de seguridad + Sello Serie D70 316L SS 1/2" NPT H.</t>
  </si>
  <si>
    <t>Ensamble Winters Manómetro Serie PFP-ZR, dial 4", 0/10 bar &amp; 0/150 psi, clase 1%, con vidrio de seguridad + Sello Serie D12; 1/2" NPTM, partes húmedas PTFE.</t>
  </si>
  <si>
    <t>PFP667ZRR11R1SG4+D70952/956</t>
  </si>
  <si>
    <t>Ensamble Winters Manómetro Serie PFP-ZR, dial 4", 0/140 bar &amp; 0/2.000 psi, clase 1%, con vidrio de seguridad + Sello Serie D12; 1/2" NPTM, partes húmedas PTFE.</t>
  </si>
  <si>
    <t>PFQ1546ZRR11R1-BSPT+D70952/956</t>
  </si>
  <si>
    <t>Ensamble Winters Manómetro Serie PFQ-ZR, dial 4", 0/7 bar &amp; 0/100 psi, clase 1,5% + Sello Serie D70 316L Ac. Inox. 1/2" NPT H.</t>
  </si>
  <si>
    <t>PFQ1547ZRR11R1-BSPT+D70952/956</t>
  </si>
  <si>
    <t>Ensamble Winters Manómetro Serie PFQ-ZR, dial 4", 0/10 bar &amp; 0/150 psi, clase 1,5% + Sello Serie D70 316L Ac. Inox. 1/2" NPTH.</t>
  </si>
  <si>
    <t>PFQ1548ZRR11R1-BSPT+D70952/956</t>
  </si>
  <si>
    <t>Ensamble Winters Manómetro Serie PFQ-ZR, dial 4", 0/14 bar &amp; 0/200 psi, clase 1,5% + Sello Serie D70 316L Ac. Inox. 1/2" NPTH.</t>
  </si>
  <si>
    <t>PFQ1549ZRR11R1-BSPT+D70952/956</t>
  </si>
  <si>
    <t>Ensamble Winters Manómetro Serie PFQ-ZR, dial 4", 0/20 bar &amp; 0/300 psi, clase 1,5% + Sello Serie D70 316L Ac. Inox. 1/2" NPTH.</t>
  </si>
  <si>
    <t>PFP659R3R1-SG-4+D70952-D70956</t>
  </si>
  <si>
    <t>Ensamble Winters Manómetro Serie PFP, dial 4", 0/7 Kg/cm2 &amp; 0/100 psi, clase 1%, total inox, con vidrio de seguridad + Sello Serie D70, Ac. Inox. 316, 1/2"NPT H.</t>
  </si>
  <si>
    <t>PFP659R3R1-SG-4+D70952-D70956M</t>
  </si>
  <si>
    <t>Ensamble Winters Manómetro Serie PFP, dial 4", 0/7 Kg/cm2 &amp; 0/100 psi, clase 1%, total inox, con vidrio de seguridad + Sello Serie D70, Ac. Inox. 316, 1/2"NPT M.</t>
  </si>
  <si>
    <t>PFP659ZRR3R1-SG4+DIN11851DN32H</t>
  </si>
  <si>
    <t>Ensamble Winters Manómetro Serie PFP-ZR, dial 4", clase 1%, 0/7 Kg/cm2 &amp; 0/100 psi, con vidrio de seguridad + Sello Serie DIN11851 DN32H.</t>
  </si>
  <si>
    <t>PFP663R3R1+D20980-1/2</t>
  </si>
  <si>
    <t>Ensamble Winters Manómetro Serie PFP, dial 4", 0/40 Kg/cm2 &amp; 0/600 psi + Sello Serie D20 Tri-Clamp 1,5".</t>
  </si>
  <si>
    <t>PFP758R11S+D12PTFE1212-NPT</t>
  </si>
  <si>
    <t>Ensamble Winters Manómetro Serie PFP, dial 4,5", 0/1 bar, + Sello Serie D12, cuerpo Ac. Inox. 316, partes humedas PTFE, 1/2"NPTHx1/2"NPTM.</t>
  </si>
  <si>
    <t>PFP758R11S1+D12PTFE1212-NPT</t>
  </si>
  <si>
    <t>Ensamble Winters Manómetro Serie PFP, dial 4,5", 0/1,5 bar + Sello Serie D12, cuerpo Ac. Inox. 316, partes humedas PTFE, 1/2"NPTHx1/2"NPTM.</t>
  </si>
  <si>
    <t>PFP762R11S+D12PTFE1212-NPT</t>
  </si>
  <si>
    <t>Ensamble Winters Manómetro Serie PFP, dial 4,5", 0/10 bar + Sello Serie D12, cuerpo Ac. Inox. 316, partes humedas PTFE, 1/2"NPTHx1/2"NPTM.</t>
  </si>
  <si>
    <t>PFP826R3R1+D20976</t>
  </si>
  <si>
    <t>Ensamble Winters Manómetro Serie PFP, dial 2,5", 0/14 Kg/cm2 &amp; 0/200 psi, + Sello Serie D20 Tri-Clamp 2".</t>
  </si>
  <si>
    <t>PFQ1546R3R1+D20976-1/2</t>
  </si>
  <si>
    <t>Ensamble Winters Manómetro Serie PFQ, dial 4", 0/7 Kg/cm2 &amp; 0/100 psi, total inoxidable, clase 1,5%, con glicerina + Sello Serie D20, Tri-Clamp 2".</t>
  </si>
  <si>
    <t>PPC5064ZRR1R11SG45+D12PTFENPT</t>
  </si>
  <si>
    <t>Ensamble Winters Manómetro Serie PPC-ZR, dial 4,5", 0/100 psi &amp; 0/7 bar, clase 0,5%, caja fenolica, con vidrio de seguridad + Sello Serie D12, 1/2" NPT M, SS/PTFE.</t>
  </si>
  <si>
    <t>PPC5065ZRR1R11SG45+D12PTFENPT</t>
  </si>
  <si>
    <t>Ensamble Winters Manómetro Serie PPC-ZR, dial 4,5", 0/160 psi &amp; 0/11 bar, clase 0,5%, caja fenolica, con vidrio de seguridad + Sello Serie D12, 1/2" NPT M, SS/PTFE.</t>
  </si>
  <si>
    <t>PFP670ZRR3R1+D49</t>
  </si>
  <si>
    <t>Ensamble Winters Manómetro Serie PFP-ZR, dial 4", 0/600 kg/cm2 &amp; 0/8.700 psi, clase 1%, aro bayoneta, total inox. + Sello Serie D49 homogeneizador.</t>
  </si>
  <si>
    <t>PFP658ZRR1R11+D81WIR1SSBSF2N</t>
  </si>
  <si>
    <t>Ensamble Manometro PFP-ZR 4", 0/60 psi/bar, 1/2" NPT inf + D81 Wafer 1", AC. INOX. &amp; BUNA-N, WINCONNECT</t>
  </si>
  <si>
    <t>PFQ1100R3R6DRY-FR</t>
  </si>
  <si>
    <t>Manómetro Winters Serie PFQ, -1/0 Kg/cm2/InHg, dial 1,5", 1/8"NPT inf., caja acero inox, internos latón, seco, sin logo</t>
  </si>
  <si>
    <t xml:space="preserve">PFQ801ZRR6R3-UP-FR </t>
  </si>
  <si>
    <t>Manómetro Winters Serie PFQ-ZR StabiliZR, -1/0 kg/cm2/inHg, dial 2,5", 1/4" NPT sup, caja 304, internos latón, sin logo, amortiguador seco.</t>
  </si>
  <si>
    <t>PFQ811ZRR3R1</t>
  </si>
  <si>
    <t>Manómetro Winters Serie PFQ-ZR STABILIZR 2,5", 0-200 Kg/cm2/psi, 1/4"NPT inf, 304SS, laton, Amortiguador Seco</t>
  </si>
  <si>
    <t>PEW158B010R11S</t>
  </si>
  <si>
    <t>MANOMETRO 0-10BAR 1.5"</t>
  </si>
  <si>
    <t>PEW158B315R11SBSP</t>
  </si>
  <si>
    <t>MANOMETRO 0-315 BAR-1.5"</t>
  </si>
  <si>
    <t>PEW204B001VR11R99</t>
  </si>
  <si>
    <t>Vac -76cmHg/Bar-0 FREE OIL 50mm 1/4"BSP inf, caja pint rojo, sock niquelado</t>
  </si>
  <si>
    <t>PEW204B003R11C</t>
  </si>
  <si>
    <t>Manometro PEW,  0-3 Bar, FREE OIL, 50mm, 1/8"BSP inf, caja crom, socket niquelado</t>
  </si>
  <si>
    <t>PEW204B010R11S</t>
  </si>
  <si>
    <t>Manómetro  0-10 Bar FREE OIL 50mm 1/4"BSP inf, caja chapa negra</t>
  </si>
  <si>
    <t>PEW204B15LPM</t>
  </si>
  <si>
    <t>MANOMETRO 0-15LTS/MIN (0-10KG/CM2), 50mm, 1/4"NPT inf</t>
  </si>
  <si>
    <t>PEW204B250R3</t>
  </si>
  <si>
    <t>MANOMETRO 0-250KG/CM2, 50mm, 1/4"NPT inf</t>
  </si>
  <si>
    <t>PEW208B315R11C</t>
  </si>
  <si>
    <t>Man  0-315 Bar FREE OIL 50mm 1/8"BSP inf, caja crom, socket niquelado</t>
  </si>
  <si>
    <t>PEW254B600R12C</t>
  </si>
  <si>
    <t>VACUOMETRO -600 MBAR/0 FREE OIL</t>
  </si>
  <si>
    <t>PPD-A-C-0-0-O-D-G (0-1,6 BAR)</t>
  </si>
  <si>
    <t>Diferencial PPD 4,5", 0-1,6bar, Cuerpo Alum, caja ABS, 1/4"NPTH Post, 2 SPST, 60W 3A 240V, NA/NC</t>
  </si>
  <si>
    <t>PRL039</t>
  </si>
  <si>
    <t>Manómetro Winters Serie PRL 1.5". 0/5.000 psi/kpa 1/8" NPT posterior</t>
  </si>
  <si>
    <t>ADT685-10-GP15K-PSI-N2-DL-20MA</t>
  </si>
  <si>
    <t>Manómetro digital Additel ADT685. 0/15.000 psi. 1/2" NPTM. 0.1% FS. c/reg. de datos. salida 4 - 20mA</t>
  </si>
  <si>
    <t>PFP601ZRR99R1S-T-SG-4</t>
  </si>
  <si>
    <t xml:space="preserve">PFP-ZR 0-100%/3-15 psi, dial 4", 1/4"NPT inf, exac 1%, caja 304, int laton, vidrio seg, tope fin esc </t>
  </si>
  <si>
    <t>30030-5047</t>
  </si>
  <si>
    <t>TERMOMETRO 3", 0/120°C SIN CONTACTOS C/AGUJA DE ARRASTRE (PARA TRANSFORMADORES ELECTRICOS)</t>
  </si>
  <si>
    <t>TTD408R11S</t>
  </si>
  <si>
    <t>Bi-Indicador de Presión y Temperatura Winters Serie TTD Tridicator, dial 3", 0/100ºC &amp; 0/10 bar , 1/2" NPT posterior, vástago 2,5", customizado</t>
  </si>
  <si>
    <t>TBM42025B48+TBR2550-2</t>
  </si>
  <si>
    <t>Termometro TBM,0-120°C,Dial 4",Vast:2,5", 1/2"NPT Ang. ajust, 304SS &amp;TBR, 316SS, 1/2"NPT HxM, U=35mm</t>
  </si>
  <si>
    <t>17.600GV303R15100N402000</t>
  </si>
  <si>
    <t>Transmisor de presión 17.600G. -1/30 bar. 0.5%. 4-20mA-2h. 1/4" NPT</t>
  </si>
  <si>
    <t>26.600 G -1001R151002001000</t>
  </si>
  <si>
    <t>Transmisor de presion BD 26.600G. 0/1bar. 0.5%. G1/2" EN 837. 4-20mA/2wire. ISO4400 [IP65]</t>
  </si>
  <si>
    <t>DM01-M0K2503EB1N401000</t>
  </si>
  <si>
    <t>Sensor para manómetro digital BD DM01. entrada: 250 bar. IS. 0.05%. 1/4"NPT. sellos FKM</t>
  </si>
  <si>
    <t>DM10M0410020B80K0N401221000</t>
  </si>
  <si>
    <t>Manometro digital BD DM10 rango: 0/10 bar. 0.5%. 1/4" NPT. sellos: FKM</t>
  </si>
  <si>
    <t>DMP331-111400212TA0N401000</t>
  </si>
  <si>
    <t>Transmisor de presión BD DMP 331 0/40 bar. Pres Abs. salida 4-20 mA. 0.25 % FSO. sal de cab</t>
  </si>
  <si>
    <t>HU0-P5K0E5BZ2HU078Z8000</t>
  </si>
  <si>
    <t>Transmisor de presión BD HU 300 0/5.000 psi. Int. safe 4-20 mA / 2-wire 0.5%</t>
  </si>
  <si>
    <t>LST15200</t>
  </si>
  <si>
    <t>Transmisor de presión Winters LST 0/200psi. Tri-Clamp 1.5" SS316. DIN. 4-20mA. Ex: 0.5%. 10-30VDC</t>
  </si>
  <si>
    <t>LST15300</t>
  </si>
  <si>
    <t>Transmisor de presión Winters LST 0/300psi. Tri-Clamp 1.5" SS316. DIN. 4-20mA. Ex: 0.5%. 10-30VDC</t>
  </si>
  <si>
    <t>LVC-1-1-4-4N-G1700</t>
  </si>
  <si>
    <t>Transmisor de Presión Winters Serie LVC, 0/700 bar, 1/4" NPT, DIN43650, Sal: 4-20 mA / 2 hilos, clase ±0,5%, Alim: 12-30VDC, IP65</t>
  </si>
  <si>
    <t>LVC-1-1-4-4N-GX000</t>
  </si>
  <si>
    <t>Transmisor de Presión Winters Serie LVC, 0/1.000 bar, 1/4" NPT, DIN43650, Sal: 4-20 mA / 2 hilos, clase ±0,5%, Alim: 12-30VDC, IP65</t>
  </si>
  <si>
    <t>LTF0060-S</t>
  </si>
  <si>
    <t>Transmisor de Presión Winters Serie LTF, 0/60 psi, membrana rasante, G 1/2", ISO4400, Sa: 4-20mA, clase ±0,5%, Alim: 8-32VDC</t>
  </si>
  <si>
    <t>LTF0145-S</t>
  </si>
  <si>
    <t>Transmisor de Presión Winters Serie LTF, 0/150 psi, membrana rasante, G 1/2", ISO4400, Sa: 4-20mA, clase ±0,5%, Alim: 8-32VDC</t>
  </si>
  <si>
    <t>LTF1500-S</t>
  </si>
  <si>
    <t>Transmisor de Presión Winters Serie LTF, 0/1.500 psi, membrana rasante, G 1/2", ISO4400, Sa: 4-20mA, clase ±0,5%, Alim: 8-32VDC</t>
  </si>
  <si>
    <t>LTF1500R11-M10</t>
  </si>
  <si>
    <t>Transm. presion Winters LTF. 0/100 bar. mem rasante. G 1/2". M12x1. 4-20mA. 0.5%. Alim: 8-32VDC</t>
  </si>
  <si>
    <t>LTF3600</t>
  </si>
  <si>
    <t>Transm. presion Winters LTF. 0/3600 psi. mem rasante. 1/2"NPT. Con DIN. 4-20mA. 0.5%. Alim: 10-30VDC</t>
  </si>
  <si>
    <t>LTF3600-S</t>
  </si>
  <si>
    <t>Transmisor de Presión Winters Serie LTF, 0/3.600 psi, membrana rasante, G 1/2", ISO4400, Sa: 4-20mA, clase ±0,5%, Alim: 8-32VDC</t>
  </si>
  <si>
    <t>LM7015-012</t>
  </si>
  <si>
    <t>Transmisor de Presión Sumergible Winters Serie LM7, 0/15 psi, Señal Salida: 2 cables: 4-20 mA, clase ±0,25%, cable PUR 12 m</t>
  </si>
  <si>
    <t>LE32000-R-TM0</t>
  </si>
  <si>
    <t>Transmisor de Presión Winters Serie LE3. 0/2.000 psi. ¼NPT. 2m CabPVC. IP67. Sal Rad 0.5-4.5 VDC 0.5%</t>
  </si>
  <si>
    <t>LE330VC</t>
  </si>
  <si>
    <t>Transmisor de Presión Winters Serie LE3, -30"Hg/0 psi, 1/4"NPT, Conec ISO 4400, Sal: 4-20mA, clase ±0,5%, Alim: 8-32VDC, sensor cerámico</t>
  </si>
  <si>
    <t>LE315</t>
  </si>
  <si>
    <t>Transmisor de Presión Winters Serie LE3, 0/15 psi, 1/4"NPT, Conec ISO 4400, Sal: 4-20mA, clase ±0,5%, Alim: 8-32VDC, sensor cerámico</t>
  </si>
  <si>
    <t>LE330</t>
  </si>
  <si>
    <t>Transmisor de Presión Winters Serie LE3, 0/30 psi, 1/4"NPT, Conec ISO4400, Sal: 4-20mA, clase ±0,5%, Alim: 8-32VDC, sensor cerámico</t>
  </si>
  <si>
    <t>LE360</t>
  </si>
  <si>
    <t>Transmisor de Presión Winters Serie LE3, 0/60 psi, 1/4"NPT, Conec ISO4400, Sal: 4-20mA, clase ±0,5%, Alim: 8-32VDC, sensor cerámico</t>
  </si>
  <si>
    <t>LE3100</t>
  </si>
  <si>
    <t>Transmisor de Presión Winters Serie LE3, 0/100 psi, 1/4"NPT, Conec ISO4400, Sal: 4-20mA, clase ±0,5%, Alim: 8-32VDC, sensor cerámico</t>
  </si>
  <si>
    <t>LE3150</t>
  </si>
  <si>
    <t>Transmisor de Presión Winters Serie LE3, 0/150 psi, 1/4"NPT, Conec ISO4400, Sal: 4-20mA, clase ±0,5%, Alim: 8-32VDC, sensor cerámico</t>
  </si>
  <si>
    <t>LE3300</t>
  </si>
  <si>
    <t>Transmisor de Presión Winters Serie LE3, 0/300 psi, 1/4"NPT, Conec ISO4400, Sal: 4-20mA, clase ±0,5%, Alim: 8-32VDC, sensor cerámico</t>
  </si>
  <si>
    <t>LE3600</t>
  </si>
  <si>
    <t>Transmisor de Presión Winters Serie LE3, 0/600psi, 1/4"NPT, Conec ISO4400, Sal: 4-20mA, clase ±0,5%, Alim: 8-32VDC, sensor cerámico</t>
  </si>
  <si>
    <t>LE31000</t>
  </si>
  <si>
    <t>Transmisor de Presión Winters Serie LE3, 0/1.000 psi, 1/4"NPT, Conec ISO4400, Sal: 4-20mA, clase ±0,5%, Alim: 8-32VDC, sensor cerámico</t>
  </si>
  <si>
    <t>LE31500</t>
  </si>
  <si>
    <t>Transmisor de Presión Winters Serie LE3, 0/1.500 psi, 1/4"NPT, Conec ISO4400, Sal: 4-20mA, clase ±0,5%, Alim: 8-32VDC, sensor cerámico</t>
  </si>
  <si>
    <t>LE33000</t>
  </si>
  <si>
    <t>Transmisor de Presión Winters Serie LE3, 0/3.000 psi, 1/4"NPT, Conec ISO4400, Sal: 4-20mA, clase ±0,5%, Alim: 8-32VDC, sensor cerámico</t>
  </si>
  <si>
    <t>LE35000</t>
  </si>
  <si>
    <t>Transmisor de Presión Winters Serie LE3, 0/5.000 psi, 1/4"NPT, Conec ISO4400, Sal: 4-20mA, clase ±0,5%, Alim: 8-32VDC, sensor cerámico</t>
  </si>
  <si>
    <t>LE330VCR11</t>
  </si>
  <si>
    <t>Transmisor de Presión Winters Serie LE3, -1/0 bar, 1/4"NPT, Conec ISO 4400, Sal: 4-20mA, clase ±0,5%, Alim: 8-32VDC, sensor cerámico</t>
  </si>
  <si>
    <t>LE315R11</t>
  </si>
  <si>
    <t>Transmisor de Presión Winters Serie LE3, 0/1 bar, 1/4"NPT, Conec ISO 4400, Sal: 4-20mA, clase ±0,5%, Alim: 8-32VDC, sensor cerámico</t>
  </si>
  <si>
    <t>LE330R11</t>
  </si>
  <si>
    <t>Transmisor de Presión Winters Serie LE3, 0/2 bar, 1/4"NPT, Conec ISO4400, Sal: 4-20mA, clase ±0,5%, Alim: 8-32VDC, sensor cerámico</t>
  </si>
  <si>
    <t>LE360R11</t>
  </si>
  <si>
    <t>Transmisor de Presión Winters Serie LE3, 0/4 bar, 1/4"NPT, Conec ISO4400, Sal: 4-20mA, clase ±0,5%, Alim: 8-32VDC, sensor cerámico</t>
  </si>
  <si>
    <t>LE3100R11</t>
  </si>
  <si>
    <t>Transmisor de Presión Winters Serie LE3, 0/7 bar, 1/4"NPT, Conec ISO4400, Sal: 4-20mA, clase ±0,5%, Alim: 8-32VDC, sensor cerámico</t>
  </si>
  <si>
    <t>LE3150R11</t>
  </si>
  <si>
    <t>Transmisor de Presión Winters Serie LE3, 0/10 bar, 1/4"NPT, Conec ISO4400, Sal: 4-20mA, clase ±0,5%, Alim: 8-32VDC, sensor cerámico</t>
  </si>
  <si>
    <t>LE3300R11</t>
  </si>
  <si>
    <t>Transmisor de Presión Winters Serie LE3, 0/25 bar, 1/4"NPT, Conec ISO4400, Sal: 4-20mA, clase ±0,5%, Alim: 8-32VDC, sensor cerámico</t>
  </si>
  <si>
    <t>LE3600R11</t>
  </si>
  <si>
    <t>Transmisor de Presión Winters Serie LE3, 0/40 bar, 1/4"NPT, Conec ISO4400, Sal: 4-20mA, clase ±0,5%, Alim: 8-32VDC, sensor cerámico</t>
  </si>
  <si>
    <t>LE31000R11</t>
  </si>
  <si>
    <t>Transmisor de Presión Winters Serie LE3, 0/70 bar, 1/4"NPT, Conec ISO4400, Sal: 4-20mA, clase ±0,5%, Alim: 8-32VDC, sensor cerámico</t>
  </si>
  <si>
    <t>LE31500R11</t>
  </si>
  <si>
    <t>Transmisor de Presión Winters Serie LE3, 0/100 bar, 1/4"NPT, Conec ISO4400, Sal: 4-20mA, clase ±0,5%, Alim: 8-32VDC, sensor cerámico</t>
  </si>
  <si>
    <t>LE33000R11</t>
  </si>
  <si>
    <t>Transmisor de Presión Winters Serie LE3, 0/200 bar, 1/4"NPT, Conec ISO4400, Sal: 4-20mA, clase ±0,5%, Alim: 8-32VDC, sensor cerámico</t>
  </si>
  <si>
    <t>LE35000R11</t>
  </si>
  <si>
    <t>Transmisor de Presión Winters Serie LE3, 0/350 bar, 1/4"NPT, Conec ISO4400, Sal: 4-20mA, clase ±0,5%, Alim: 8-32VDC, sensor cerámico</t>
  </si>
  <si>
    <t>LLP0001</t>
  </si>
  <si>
    <t>Transmisor de Presión Winters Serie LLP, 0/60 mbar, 1/4" BSPT, Conector eléctrico DIN, Sal: 4-20mA, clase ±0,5%, Alim: 10-30VDC, Diafragma de Ac. Inox.</t>
  </si>
  <si>
    <t>LLP0002</t>
  </si>
  <si>
    <t>Transmisor de Presión Winters Serie LLP, 0/100 mbar, 1/4" BSPT, Conector eléctrico DIN, Sal: 4-20mA, clase ±0,5%, Alim: 10-30VDC, Diafragma de Ac. Inox.</t>
  </si>
  <si>
    <t>LLP0003</t>
  </si>
  <si>
    <t>Transmisor de Presión Winters Serie LLP, 0/160 mbar, 1/4" BSPT, Conector eléctrico DIN, Sal: 4-20mA, clase ±0,5%, Alim: 10-30VDC, Diafragma de Ac. Inox.</t>
  </si>
  <si>
    <t>LLP0004</t>
  </si>
  <si>
    <t>Transmisor de Presión Winters Serie LLP, 0/250 mbar, 1/4" BSPT, Conector eléctrico DIN, Sal: 4-20mA, clase ±0,5%, Alim: 10-30VDC, Diafragma de Ac. Inox.</t>
  </si>
  <si>
    <t>LLP0005</t>
  </si>
  <si>
    <t>Transmisor de Presión Winters Serie LLP, 0/400 mbar, 1/4" BSPT, Conector eléctrico DIN, Sal: 4-20mA, clase ±0,5%, Alim: 10-30VDC, Diafragma de Ac. Inox.</t>
  </si>
  <si>
    <t>LLP0009</t>
  </si>
  <si>
    <t>Transmisor de Presión Winters Serie LLP, 0/600 mbar, 1/4" BSPT, Conector eléctrico DIN, Sal: 4-20mA, clase ±0,5%, Alim: 10-30VDC, Diafragma de Ac. Inox.</t>
  </si>
  <si>
    <t>LLP0001/0-10V</t>
  </si>
  <si>
    <t>Transmisor de Presión Winters Serie LLP, 0/100 mbar, 1/4" BSPT, Conector eléctrico DIN, Sal: 0/10V/3h, clase ±1%, Alim: 14-30VDC, Diafragma de Ac. Inox.</t>
  </si>
  <si>
    <t>LLP0004/0-10V</t>
  </si>
  <si>
    <t>Transmisor de Presión Winters Serie LLP, 0/250 mbar, 1/4" BSPT, Conector eléctrico DIN, Sal: 0/10V/3h, clase ±0,5%, Alim:14-30VDC, Diafragma de Ac. Inox.</t>
  </si>
  <si>
    <t>LLP0009/0-10V</t>
  </si>
  <si>
    <t>Transmisor de Presión Winters Serie LLP, 0/600 mbar, 1/4" BSPT, Conector eléctrico DIN, Sal: 0/10V/3h, clase ±0,5%, Alim:14-30VDC, Diafragma de Ac. Inox.</t>
  </si>
  <si>
    <t>TERMOPOZO PROTECCION DE BULBO CON ROSCA 1/2" BSPT (PARA TRANSFORMADORES ELECTRICOS)</t>
  </si>
  <si>
    <t>BR6-2100</t>
  </si>
  <si>
    <t>TERMOPOZO 1/2 NPTF X 1"NPTM 316</t>
  </si>
  <si>
    <t>36-TW-081</t>
  </si>
  <si>
    <t>Termopozo Winters TWF160012316 Conex Instr 1/2''NPTH. Conex Proc. 1''. Vast 12'' (304.8mm) + TAG</t>
  </si>
  <si>
    <t>INFORMECALIDAD</t>
  </si>
  <si>
    <t>Informe de 2 puntos de medición para manómetros y transmisores de presión hasta 1000 Kg/cm2/psi.</t>
  </si>
  <si>
    <t>CERTCAL-TEMP</t>
  </si>
  <si>
    <t>1 Ciclo de mediciones ascendentes en 3 puntos para termómetros bimetálicos y sensores de temperatura. Rangos: desde 33°C a 700°C, entre el 10 al 90% del fondo de escala.</t>
  </si>
  <si>
    <t>PUNTO-ADIC-TEMP</t>
  </si>
  <si>
    <t>Cada punto adicional para el certificado de calibración de temperatura de termómetros bimetálicos y sensores de temperatura.</t>
  </si>
  <si>
    <t>CERTCALIBRACION</t>
  </si>
  <si>
    <t>Certificado de Calibración de manómetros y transmisores de presión en 5 puntos. Rangos: hasta 1000 Kg/cm2/psi</t>
  </si>
  <si>
    <t>Cliente (Empresa)</t>
  </si>
  <si>
    <t>Multiplicador venta</t>
  </si>
  <si>
    <t>Condicion de pago</t>
  </si>
  <si>
    <t>Tipo de cambio</t>
  </si>
  <si>
    <t>#</t>
  </si>
  <si>
    <t>16 OUNCES BREWERY S.R.L.</t>
  </si>
  <si>
    <t>Cheque contra entrega de mercadería o transferencia previa al despacho</t>
  </si>
  <si>
    <r>
      <t xml:space="preserve">Los precios </t>
    </r>
    <r>
      <rPr>
        <b/>
        <sz val="11"/>
        <color theme="1"/>
        <rFont val="Calibri"/>
        <family val="2"/>
        <scheme val="minor"/>
      </rPr>
      <t>No incluyen IVA (21%)</t>
    </r>
    <r>
      <rPr>
        <sz val="11"/>
        <color theme="1"/>
        <rFont val="Calibri"/>
        <family val="2"/>
        <scheme val="minor"/>
      </rPr>
      <t xml:space="preserve"> y estan expresados en dólares americanos cotización </t>
    </r>
    <r>
      <rPr>
        <b/>
        <sz val="11"/>
        <color theme="1"/>
        <rFont val="Calibri"/>
        <family val="2"/>
        <scheme val="minor"/>
      </rPr>
      <t>BNA billete vendedor</t>
    </r>
    <r>
      <rPr>
        <sz val="11"/>
        <color theme="1"/>
        <rFont val="Calibri"/>
        <family val="2"/>
        <scheme val="minor"/>
      </rPr>
      <t>.</t>
    </r>
  </si>
  <si>
    <t>27 DE AGOSTO SOCIEDAD ANONIMA</t>
  </si>
  <si>
    <t>Los precios No incluyen IVA (21%) y estan expresados en dólares americanos cotización BNA billete vendedor.</t>
  </si>
  <si>
    <t>3 W  S.R.L.</t>
  </si>
  <si>
    <t>3HF S.R.L.</t>
  </si>
  <si>
    <t>5 GENERACIONES AL SERVICIO DEL PANADERO S.R.L.</t>
  </si>
  <si>
    <t>360 CONSTRUCCIONES  S.R.L.</t>
  </si>
  <si>
    <t>3C BIOGAS S.A.</t>
  </si>
  <si>
    <t>A &amp; A FLUIDS CONTROL S.R.L.</t>
  </si>
  <si>
    <t>A &amp; L INTEGRAL TRADE S.A.</t>
  </si>
  <si>
    <t>A B C TECNISUR SA</t>
  </si>
  <si>
    <t>A D BARBIERI SA</t>
  </si>
  <si>
    <t>A J M S R L</t>
  </si>
  <si>
    <t>A M G SRL</t>
  </si>
  <si>
    <t>A PE S A</t>
  </si>
  <si>
    <t>A R Y E S  SOC DE RESP LIM</t>
  </si>
  <si>
    <t>A.4 SPEGAMONT S.R.L.</t>
  </si>
  <si>
    <t>A.F.C. AMERICAN FLUID CONTROL S. A. S.</t>
  </si>
  <si>
    <t>A.G.M. CONSTRUCTORA DEL OESTE S.A.</t>
  </si>
  <si>
    <t>AADEE SA</t>
  </si>
  <si>
    <t>AB ENERGIA S.A.</t>
  </si>
  <si>
    <t>ABACUS SISTEMAS SRL</t>
  </si>
  <si>
    <t>ABC CALEFACCION SRL</t>
  </si>
  <si>
    <t>ABELLA TAMBOS S.A.</t>
  </si>
  <si>
    <t>ABRAFER SRL</t>
  </si>
  <si>
    <t>ABRANTES SA</t>
  </si>
  <si>
    <t>ABRASING S.R.L.</t>
  </si>
  <si>
    <t>ABRINCO SA</t>
  </si>
  <si>
    <t>ABSING S.A.</t>
  </si>
  <si>
    <t>ABSINT  S.A.</t>
  </si>
  <si>
    <t>ABUGAR EXCLUSIVE SA</t>
  </si>
  <si>
    <t>AC OBRAS SRL</t>
  </si>
  <si>
    <t>ACAY AGRO SA</t>
  </si>
  <si>
    <t>ACCESORIOS INDUSTRIALES S.R.L.</t>
  </si>
  <si>
    <t>ACEITERA ARECO S.A.</t>
  </si>
  <si>
    <t>ACEITERA ORIENTE LTD SRL</t>
  </si>
  <si>
    <t>ACEITES REFINADOS SALTO S.A.</t>
  </si>
  <si>
    <t>ACEROS BORRONI SOCIEDAD ANONIMA</t>
  </si>
  <si>
    <t>ACEROS CORONA S.R.L.</t>
  </si>
  <si>
    <t>ACEROS CUYANOS S.A.</t>
  </si>
  <si>
    <t>ACEROS ZAPLA S A</t>
  </si>
  <si>
    <t>ACEROTEK SA</t>
  </si>
  <si>
    <t>ACERPLAST - ACEROS Y PLASTICOS S.A.</t>
  </si>
  <si>
    <t>ACERTUBO SOCIEDAD DE RESPONSABILIDAD LIMITADA</t>
  </si>
  <si>
    <t>ACHE SERVICIOS INTEGRALES</t>
  </si>
  <si>
    <t>ACHILLI  VIVIANA  Y  ACHILLI  DIEGO  SH</t>
  </si>
  <si>
    <t>ACONIF S.A.</t>
  </si>
  <si>
    <t>ACOSTA CRISTIAN HERNAN Y OLGUIN HERNAN GABRIEL S.H.</t>
  </si>
  <si>
    <t>ACOTEC SA</t>
  </si>
  <si>
    <t>ACQUATERM S.R.L.</t>
  </si>
  <si>
    <t>ACQUATRON S A</t>
  </si>
  <si>
    <t>ACRONEX S.R.L.</t>
  </si>
  <si>
    <t>ACROPOLIS CABLES SA</t>
  </si>
  <si>
    <t>ACS GROUP S.A.</t>
  </si>
  <si>
    <t>ACTION MKT SOCIEDAD ANONIMA</t>
  </si>
  <si>
    <t>ACUSTEC S.A.</t>
  </si>
  <si>
    <t>ACYSANIT&amp;RIEGO SRL</t>
  </si>
  <si>
    <t>ADALA HNOS Y CIA SRL</t>
  </si>
  <si>
    <t>ADAMA SOCIEDAD ANONIMA</t>
  </si>
  <si>
    <t>ADAN ALBERTO SCHREIBER</t>
  </si>
  <si>
    <t>ADBLICK HIDROPONIA</t>
  </si>
  <si>
    <t>ADEA ADMINISTRADORA DE ARCHIVOS SA</t>
  </si>
  <si>
    <t>ADHEFULL S.A.</t>
  </si>
  <si>
    <t>ADITIVOS ALIMENTARIOS SRL</t>
  </si>
  <si>
    <t>ADOLFO NAVAJAS SRL</t>
  </si>
  <si>
    <t>ADOLFO OSCAR DORIA</t>
  </si>
  <si>
    <t>ADOLFO RAUL CLASSEN</t>
  </si>
  <si>
    <t>ADOX SA</t>
  </si>
  <si>
    <t>ADRIAN BRUNINI</t>
  </si>
  <si>
    <t>ADRIAN CASANUEVA E HIJOS  S. R. L.</t>
  </si>
  <si>
    <t>ADRIAN ESTEBAN SALADINO</t>
  </si>
  <si>
    <t>ADRIANA INES ERRECALDE</t>
  </si>
  <si>
    <t>ADSORBAR QUIMICA SA EN FORMACION</t>
  </si>
  <si>
    <t>ADVANCED SISTEMS SA</t>
  </si>
  <si>
    <t>AEDIL S.R.L.</t>
  </si>
  <si>
    <t>AER GUATEMALA S.A.</t>
  </si>
  <si>
    <t>AEROFARMA LABORATORIOS S A I C</t>
  </si>
  <si>
    <t>AEROPAC SOCIEDAD ANONIMA</t>
  </si>
  <si>
    <t>AEROTAN SOCIEDAD ANONIMA</t>
  </si>
  <si>
    <t>AEROTANQUES S.A.</t>
  </si>
  <si>
    <t>AEROTRAB SOCIEDAD DE RESPONSABILIDAD LIMITADA</t>
  </si>
  <si>
    <t>AESSEAL ARGENTINA S A</t>
  </si>
  <si>
    <t>AEXO TECNICA SOCIEDAD ANONIMA</t>
  </si>
  <si>
    <t>AFP INSUMOS INDUSTRIALES SRL</t>
  </si>
  <si>
    <t>AFS SOCIEDAD ANONIMA</t>
  </si>
  <si>
    <t>AGENCIA RAMOS SRL</t>
  </si>
  <si>
    <t>AGERAUSTRAL S.A.</t>
  </si>
  <si>
    <t>AGRECON SOCIEDAD ANONIMA COMERCIAL E INDUSTRIAL</t>
  </si>
  <si>
    <t>AGRINSA  AGROINDUSTRIAL SA</t>
  </si>
  <si>
    <t>AGRICULTORES FEDERADOS ARGENTINOS SOC COOP LTDA</t>
  </si>
  <si>
    <t>AGRO CAS S.A.</t>
  </si>
  <si>
    <t>AGRO DE SOUZA S.A</t>
  </si>
  <si>
    <t>AGRO INVEST SRL</t>
  </si>
  <si>
    <t>AGRO TAURIZANO S.A.</t>
  </si>
  <si>
    <t>AGROFINA S A</t>
  </si>
  <si>
    <t>AGROFORESTAL OBERA S.R.L.</t>
  </si>
  <si>
    <t>AGROINDUSTRIA PAMPA GRINGA S.A.</t>
  </si>
  <si>
    <t>AGROINDUSTRIAL SUDESTE S.A.</t>
  </si>
  <si>
    <t>AGROINDUSTRIAS CORRIENTES S.A.</t>
  </si>
  <si>
    <t>AGROINGENIERIA TECNOLOGIA SUSTENTABLE S.R.L.</t>
  </si>
  <si>
    <t>AGROMOTORES MONTE BUEY S A</t>
  </si>
  <si>
    <t>AGRONORT SA</t>
  </si>
  <si>
    <t>AGROPECUARIA EDUARDO PANELLI SOCIEDAD ANONIMA</t>
  </si>
  <si>
    <t>AGROSOLUCIONES GARCIA SRL</t>
  </si>
  <si>
    <t>AGROVIAL SUR S.A.</t>
  </si>
  <si>
    <t>AGS EQUIPAMIENTOS S.A.</t>
  </si>
  <si>
    <t>AGUA SPARKLING S. A.</t>
  </si>
  <si>
    <t>AGUAS BONAERENSES S.A.</t>
  </si>
  <si>
    <t>AGUAS CLARAS AJG ASOCIADOS SRL</t>
  </si>
  <si>
    <t>AGUAS CORDOBESAS S.A.</t>
  </si>
  <si>
    <t>AGUAS DE CATAMARCA S.A. CON PARTICIPACION ESTATAL MAYORITARIA S.A.P.E.M.</t>
  </si>
  <si>
    <t>AGUAS DE CORRIENTES SA</t>
  </si>
  <si>
    <t>AGUAS RIONEGRINAS SOCIEDAD ANONIMA</t>
  </si>
  <si>
    <t>AGUSTIN FEDERICO ROCA</t>
  </si>
  <si>
    <t>AGUSTIN PEZZA</t>
  </si>
  <si>
    <t>AIDA DEL VALLE SINGH</t>
  </si>
  <si>
    <t>AIKE BIOINGENIERIA S. A. S.</t>
  </si>
  <si>
    <t>AIR DELTA</t>
  </si>
  <si>
    <t>AIR JET LATINOAMERICANA SOCIEDAD ANONIMA</t>
  </si>
  <si>
    <t>AIR POWER S A</t>
  </si>
  <si>
    <t>AIREARTE S.A.</t>
  </si>
  <si>
    <t>AISLACIONES PATAGONICAS SOCIEDAD DE RESPONSABILIDAD LIMITADA</t>
  </si>
  <si>
    <t>AJIRU S.R.L.</t>
  </si>
  <si>
    <t>AJYB S R L</t>
  </si>
  <si>
    <t>AKAPOL SOCIEDAD ANONIMA</t>
  </si>
  <si>
    <t>AKER INGENIERIA SOCIEDAD DE RESPONSABILIDAD LIMITADA</t>
  </si>
  <si>
    <t>AKRIBIS S.R.L.</t>
  </si>
  <si>
    <t>AKRON S.A.</t>
  </si>
  <si>
    <t>AKYAY S R L</t>
  </si>
  <si>
    <t>ALADDIN S R L</t>
  </si>
  <si>
    <t>ALAN DAMIAN BARBOTTO</t>
  </si>
  <si>
    <t>ALBA SOLEDAD CAMPOS</t>
  </si>
  <si>
    <t>ALBERT IRONS SRL</t>
  </si>
  <si>
    <t>ALBERTO BENJAMIN MAZZARELLA</t>
  </si>
  <si>
    <t>ALBERTO FORTUNATO SRL</t>
  </si>
  <si>
    <t>ALBERTO LEDERMAN</t>
  </si>
  <si>
    <t>ALBERTO LUIS CALANOCE</t>
  </si>
  <si>
    <t>ALBERTO ROMAN</t>
  </si>
  <si>
    <t>ALBERTO VICTOR CARNEVALE</t>
  </si>
  <si>
    <t>ALBERTO Y OSCAR RASSO SOCIEDAD DE HECHO</t>
  </si>
  <si>
    <t>ALCALIS DE LA PATAGONIA S A I C</t>
  </si>
  <si>
    <t>ALDO DANIEL BERDUGO</t>
  </si>
  <si>
    <t>ALDO JAVIER AVILA</t>
  </si>
  <si>
    <t>ALDO MAXIMILIANO FERNANDEZ OSUNA</t>
  </si>
  <si>
    <t>ALDO OSCAR HOMSI</t>
  </si>
  <si>
    <t>ALDO SCHIERA</t>
  </si>
  <si>
    <t>ALDYL ARGENTINA SA</t>
  </si>
  <si>
    <t>ALEJANDRA LAURA GONZALEZ</t>
  </si>
  <si>
    <t>ALEJANDRA MARCELA BAUZA</t>
  </si>
  <si>
    <t>ALEJANDRA MONICA TORRES</t>
  </si>
  <si>
    <t>ALEJANDRO ANDRES KRIVOHLAVY</t>
  </si>
  <si>
    <t>ALEJANDRO COCERES LAUNCH PALERMO</t>
  </si>
  <si>
    <t>ALEJANDRO DAMIAN PASCUAL</t>
  </si>
  <si>
    <t>ALEJANDRO DANIEL BARRIOS</t>
  </si>
  <si>
    <t>ALEJANDRO DANIEL FEIJOO</t>
  </si>
  <si>
    <t>ALEJANDRO EDGARD MENESES SARIEGO</t>
  </si>
  <si>
    <t>ALEJANDRO FABIAN CABRINI</t>
  </si>
  <si>
    <t>ALEJANDRO FACUNDO GABARRO</t>
  </si>
  <si>
    <t>ALEJANDRO GASTON GOMEZ</t>
  </si>
  <si>
    <t>ALEJANDRO GERARDO SANDOVAL</t>
  </si>
  <si>
    <t>ALEJANDRO JOSE TORRES</t>
  </si>
  <si>
    <t>ALEJANDRO JULIO R GAMERO</t>
  </si>
  <si>
    <t>ALEJANDRO LAURIENTE</t>
  </si>
  <si>
    <t>ALEJANDRO LUIS MARTINEZ</t>
  </si>
  <si>
    <t>ALEJANDRO MANCEBO</t>
  </si>
  <si>
    <t>ALEJANDRO OMAR CARABAJAL</t>
  </si>
  <si>
    <t>ALEJANDRO PETON</t>
  </si>
  <si>
    <t>Alejandro Quaglia</t>
  </si>
  <si>
    <t>ALEJANDRO RUBEN DINOFA</t>
  </si>
  <si>
    <t>ALEJANDRO SERGIO ORLANDO</t>
  </si>
  <si>
    <t>ALEJO ALBERTO FERNANDEZ</t>
  </si>
  <si>
    <t>ALEM MARIANO FABRICIO</t>
  </si>
  <si>
    <t>ALEXANDER FLEMING S A</t>
  </si>
  <si>
    <t>ALEXIS FERNANDO LENCINA</t>
  </si>
  <si>
    <t>ALFAQUIM S R L</t>
  </si>
  <si>
    <t>ALFARMA SRL</t>
  </si>
  <si>
    <t>ALFONSO MARIO LAGO</t>
  </si>
  <si>
    <t>ALFREDO DANIEL PEREIRO</t>
  </si>
  <si>
    <t>ALFREDO ESTEBAN SAIEG</t>
  </si>
  <si>
    <t>ALFREDO HECTOR IHASZ</t>
  </si>
  <si>
    <t>ALFREDO J BRANDA E HIJOS S A</t>
  </si>
  <si>
    <t>ALFREDO PADILLA</t>
  </si>
  <si>
    <t>ALFREDO Y JOSE LANZARINI SECPA</t>
  </si>
  <si>
    <t>ALFRIO SRL</t>
  </si>
  <si>
    <t>ALGAEBIOMAS S.A.S</t>
  </si>
  <si>
    <t>ALGEON SA</t>
  </si>
  <si>
    <t>ALGIERI SA</t>
  </si>
  <si>
    <t>ALICIA MABEL PATRONE</t>
  </si>
  <si>
    <t>ALIMENTARIA LA POMPEYA S.A.</t>
  </si>
  <si>
    <t>ALIMENTOS MKM SRL</t>
  </si>
  <si>
    <t>ALIMENTOS MODERNOS SOCIEDAD ANONIMA</t>
  </si>
  <si>
    <t>ALIMENTOS ORGANICOS ARGENTINOS S.A.</t>
  </si>
  <si>
    <t>ALIMENTOS Y BEBIDAS SANTIAGUEÑAS S.A.</t>
  </si>
  <si>
    <t>ALL IN HOME S.A.</t>
  </si>
  <si>
    <t>ALL PUMPS ARGENTINA S.A.</t>
  </si>
  <si>
    <t>Cuenta corriente a 15 días fecha factura.</t>
  </si>
  <si>
    <t>ALL ROAD S.A.</t>
  </si>
  <si>
    <t>ALL SERVICE SRL</t>
  </si>
  <si>
    <t>ALLCARD S.A.</t>
  </si>
  <si>
    <t>ALLOA SA</t>
  </si>
  <si>
    <t>ALMAFODA S.A.</t>
  </si>
  <si>
    <t>ALO JAPON S.R.L.</t>
  </si>
  <si>
    <t>ALONVIAR SRL</t>
  </si>
  <si>
    <t>ALPA VIAL SOCIEDAD ANONIMA</t>
  </si>
  <si>
    <t>ALPAC SRL</t>
  </si>
  <si>
    <t>ALPES S R L</t>
  </si>
  <si>
    <t>ALTEC SAN LUIS SOCIEDAD ANONIMA</t>
  </si>
  <si>
    <t>ALTER SOCIEDAD ANONIMA INDUSTRIAL Y COMERCIAL</t>
  </si>
  <si>
    <t>ALTICA  SRL</t>
  </si>
  <si>
    <t>ALUAR ALUMINIO ARGENTINO SOCIEDAD ANONIMA INDUSTRIAL Y COMERCIAL</t>
  </si>
  <si>
    <t>ALUBRY SAN LUIS S A</t>
  </si>
  <si>
    <t>ALUMINIUM MANUFACTURERS EXPRESS S A</t>
  </si>
  <si>
    <t>ALUSA S A</t>
  </si>
  <si>
    <t>AMADEO LANDI</t>
  </si>
  <si>
    <t>AMAFE S. A. S.</t>
  </si>
  <si>
    <t>AMAPOLA AGRO S.A.</t>
  </si>
  <si>
    <t>AMBI CONSTRUCCIONES MECANICAS Y CIVILES S.R.L</t>
  </si>
  <si>
    <t>AMBIENTAL SOLUTIONS S.A.</t>
  </si>
  <si>
    <t>AMBIENTE SUR INGENIERIA SRL</t>
  </si>
  <si>
    <t>AMBROSI CARLOS AGUSTIN Y AMBROSI CRISTIAN ALBERTO SOCIEDAD SIMPLE</t>
  </si>
  <si>
    <t>AMERICA PAMPA AGROINDUSTRIAL S.A.</t>
  </si>
  <si>
    <t>AMERICANTEC SRL</t>
  </si>
  <si>
    <t>AMESUR SA</t>
  </si>
  <si>
    <t>AMILCAR HERALDO GOMEZ</t>
  </si>
  <si>
    <t>AMIN FABIANA MARTINA</t>
  </si>
  <si>
    <t>AMMATURO SOCIEDAD ANONIMA</t>
  </si>
  <si>
    <t>AMPERS S.A.</t>
  </si>
  <si>
    <t>ANA ADELA DI COSTANZO</t>
  </si>
  <si>
    <t>ANA HEBE CAMACHO BURGOS</t>
  </si>
  <si>
    <t>ANA LUZ COSTA</t>
  </si>
  <si>
    <t>ANA RUTH MUGNAINI</t>
  </si>
  <si>
    <t>ANAHI MARINA ALFONSO</t>
  </si>
  <si>
    <t>ANALIA FLORENCIA MIGLIOZZI</t>
  </si>
  <si>
    <t>ANALIA NANCY GRAMIS</t>
  </si>
  <si>
    <t>ANALIA VERONICA LOPEZ</t>
  </si>
  <si>
    <t>ANDAR S A SUDAMERICANA</t>
  </si>
  <si>
    <t>ANDES OFS S.R.L</t>
  </si>
  <si>
    <t>ANDES SEÑA S.A.</t>
  </si>
  <si>
    <t>ANDINA PERFORACIONES S.R.L.</t>
  </si>
  <si>
    <t>ANDREA CELESTE CHUECO</t>
  </si>
  <si>
    <t>ANDREA ESPERANZA MOTRAN</t>
  </si>
  <si>
    <t>ANDREA MARIANA RODRIGUEZ</t>
  </si>
  <si>
    <t>ANDRES FABIAN TOANE</t>
  </si>
  <si>
    <t>ANDRES OSCAR DI POLVERE</t>
  </si>
  <si>
    <t>ANDRES OSCAR PENNISSI</t>
  </si>
  <si>
    <t>ANGEL EDUARDO GARCE</t>
  </si>
  <si>
    <t>ANGEL JESUS MARTA CAVALARIA</t>
  </si>
  <si>
    <t>ANGEL MARIANO DE LA PRESA</t>
  </si>
  <si>
    <t>ANIBAL JOSE MORELLO</t>
  </si>
  <si>
    <t>ANNAPURNA S.R.L.</t>
  </si>
  <si>
    <t>ANOXAL S.R.L.</t>
  </si>
  <si>
    <t>Los precios No incluyen IVA (21%) y estan expresados en dólares americanos cotización BNA divisa vendedor.</t>
  </si>
  <si>
    <t>ANTARES NAVIERA SOCIEDAD ANONIMA</t>
  </si>
  <si>
    <t>ANTIPAN BORQUEZ ROBERTO DANTE</t>
  </si>
  <si>
    <t>ANTONIO DANIEL PACCE</t>
  </si>
  <si>
    <t>ANTONIO FRANCISCO CELIO Y VICENTE DOMINGO CELIO</t>
  </si>
  <si>
    <t>ANTONIO LARA</t>
  </si>
  <si>
    <t>ANTONIO LUIS SIMES</t>
  </si>
  <si>
    <t>APEX CONSTRUCTION S A</t>
  </si>
  <si>
    <t>APEX METALURGICA S.A.</t>
  </si>
  <si>
    <t>APINOX S.A.</t>
  </si>
  <si>
    <t>APLES APLICACIONES ESTRUCTURALES S.A.</t>
  </si>
  <si>
    <t>APPIUS SRL</t>
  </si>
  <si>
    <t>APTAR ARGENTINA S.A.</t>
  </si>
  <si>
    <t>AQUALINA S A</t>
  </si>
  <si>
    <t>AQUILES SERVICE S.A.</t>
  </si>
  <si>
    <t>ARANA SA</t>
  </si>
  <si>
    <t>ARBIT INGENIERIA S. A. S.</t>
  </si>
  <si>
    <t>ARCANO S A</t>
  </si>
  <si>
    <t>ARCOR S A I C</t>
  </si>
  <si>
    <t>AREAS CONTROLADAS SA</t>
  </si>
  <si>
    <t>ARENA Y MAR S.A.</t>
  </si>
  <si>
    <t>ARENALES 1842 VELSUD SOCIEDAD ANONIMA</t>
  </si>
  <si>
    <t>ARENAS ARGENTINAS DEL PARANA S.A.</t>
  </si>
  <si>
    <t>ARGEN - POOL SYSTEMS S.A.</t>
  </si>
  <si>
    <t>ARGENCRAFT S.A.</t>
  </si>
  <si>
    <t>ARGENFRIO SOCIEDAD ANONIMA INDUSTRIAL Y COMERCIAL</t>
  </si>
  <si>
    <t>ARGENGAS GROUP SA</t>
  </si>
  <si>
    <t>ARGENOVA SOCIEDAD ANONIMA</t>
  </si>
  <si>
    <t>ARGENPACK CORRUGADOS S A</t>
  </si>
  <si>
    <t>ARGENPUR  SA</t>
  </si>
  <si>
    <t>ARGENTI LEMON S A</t>
  </si>
  <si>
    <t>ARGUBEL S.R.L</t>
  </si>
  <si>
    <t>ARGUL Y C I A S A</t>
  </si>
  <si>
    <t>ARIEL JOSE DE VITO</t>
  </si>
  <si>
    <t>ARIEL ROLANDO VALDIVIEZO</t>
  </si>
  <si>
    <t>ARIES SRL</t>
  </si>
  <si>
    <t>ARIMEX IMPORTADORA S A</t>
  </si>
  <si>
    <t>ARIPAFE SUR S.A.</t>
  </si>
  <si>
    <t>ARMADORA SAN JORGE S.A.</t>
  </si>
  <si>
    <t>ARMANDO ENRIQUE OROS</t>
  </si>
  <si>
    <t>ARMENDARIZ, ALEJANDRO LUIS Y GRASSELLI, RICARDO FABIO</t>
  </si>
  <si>
    <t>ARNALDO DIMURO</t>
  </si>
  <si>
    <t>ARNEG ARGENTINA S.A.</t>
  </si>
  <si>
    <t>ARNEXX S.A.</t>
  </si>
  <si>
    <t>ARTE GRAFICO EDITORIAL ARGENTINO S A</t>
  </si>
  <si>
    <t>ARTES GRAFICAS FUCCILLO SRL</t>
  </si>
  <si>
    <t>ASBA SERVICIOS INTEGRALES S.R.L.</t>
  </si>
  <si>
    <t>ASEGURADORES ARGENTINOS COMPAÑIA DE REASEGUROS S.A.</t>
  </si>
  <si>
    <t>ASEMFI S.A.</t>
  </si>
  <si>
    <t>ASERRADERO EL LAGO S.A</t>
  </si>
  <si>
    <t>ASERRADERO SAN ALBERTO SRL</t>
  </si>
  <si>
    <t>ASISTENCIA PRIVADA ODONTOLOGICA SOCIEDAD ANONIMA</t>
  </si>
  <si>
    <t>ASISTHOS  S R L</t>
  </si>
  <si>
    <t>ASOC MUTUALISTA DE EMPLEADOS DEL BANCO DE LA PROV DE BS AS</t>
  </si>
  <si>
    <t>ASOCIACION  DE BOMBEROS VOLUNTARIOS DE SAN ANDRES DE GILES</t>
  </si>
  <si>
    <t>ASOCIACION BOMBEROS VOLUNTARIOS DE TICINO</t>
  </si>
  <si>
    <t>ASOCIACION CIVIL ALIMENTO</t>
  </si>
  <si>
    <t>ASOCIACION CIVIL COLEGIO VILLA DEVOTO (VILLA DEVOTO SCHOOL)</t>
  </si>
  <si>
    <t>ASOCIACION CIVIL COMISION DEL DEPORTE UNLP</t>
  </si>
  <si>
    <t>ASOCIACION CIVIL DE ESTUDIOS SUPERIORES ACES</t>
  </si>
  <si>
    <t>ASOCIACION CIVIL ESCUELA UNIVERSAL DE LA HOSPITALIDAD</t>
  </si>
  <si>
    <t>ASOCIACION CIVIL PROPIETAROS DE AIRES DEL LLANO</t>
  </si>
  <si>
    <t>ASOCIACION COOPERADORA ENET 17 BRIG GRAL CORNELIO SAAVEDRA</t>
  </si>
  <si>
    <t>ASOCIACION CRISTIANA DE JOVENES DE LA REPUBLICA ARGENTINA</t>
  </si>
  <si>
    <t>ASOCIACION DE BENEFICIENCIA DOTAL SAN JORGE (ST. GEORGE'S ENDOWMENT FUND)</t>
  </si>
  <si>
    <t>ASOCIACION DE LOS TESTIGOS DE JEHOVA</t>
  </si>
  <si>
    <t>ASOCIACION DE PROTECCION  AL REFUGIADO</t>
  </si>
  <si>
    <t>ASOCIACION DE TRABAJADORES DE LA INDUSTRIA LECHER</t>
  </si>
  <si>
    <t>ASOCIACION ITALIANA DE SOCORROS MUTUOS</t>
  </si>
  <si>
    <t>ASOCIACION MUTUAL DEL PERSONAL JERARQUICO DE BANCOS OFICIALES NACIONALES</t>
  </si>
  <si>
    <t>ASOCIACION PARA EL FOMENTO DE LA CULTURA</t>
  </si>
  <si>
    <t>ASOCIACION TECNOLOGICA CORDOBA</t>
  </si>
  <si>
    <t>ASOFARMA SOC ANONIMA INDUSTRIAL Y COMERCIAL</t>
  </si>
  <si>
    <t>ASSEKURANSA COMPAÑIA DE SEGUROS SOCIEDAD ANONIMA</t>
  </si>
  <si>
    <t>ASTILLERO RIO PARANA SUR S.A.</t>
  </si>
  <si>
    <t>ASTILLERO TECNAO SOCIEDAD DE RESPONSABILIDAD LIMITADA</t>
  </si>
  <si>
    <t>ASTILLEROS PATAGONICOS INTEGRADOS S A</t>
  </si>
  <si>
    <t>ASUDEPES SA</t>
  </si>
  <si>
    <t>ASYTEC ASCENSORES S.R.L.</t>
  </si>
  <si>
    <t>ATALPLASTIC SOCIEDAD ANONIMA</t>
  </si>
  <si>
    <t>ATANOR SOCIEDAD EN COMANDITA POR ACCIONES</t>
  </si>
  <si>
    <t>ATI NEUMATICA E HIDRAULICA S.R.L.</t>
  </si>
  <si>
    <t>ATILIO ETCHELAR SOCIEDAD ANONIMA</t>
  </si>
  <si>
    <t>ATLAS COPCO ARGENTINA  SACI</t>
  </si>
  <si>
    <t>ATLAS DE LA PATAGONIA S.A.</t>
  </si>
  <si>
    <t>ATOS PAMPA S.R.L.</t>
  </si>
  <si>
    <t>ATP SOLUTIONS SRL</t>
  </si>
  <si>
    <t>AUDITORIA GENERAL DE LA NACIÓN</t>
  </si>
  <si>
    <t>AUGUSTO LAZZARI</t>
  </si>
  <si>
    <t>AULUSAN S.R.L.</t>
  </si>
  <si>
    <t>AUSTIN POWDER ARGENTINA S A</t>
  </si>
  <si>
    <t>AUSTRALTEX SOCIEDAD ANONIMA</t>
  </si>
  <si>
    <t>AUTING SRL</t>
  </si>
  <si>
    <t>AUTOBAT SA COM E IND</t>
  </si>
  <si>
    <t>AUTOMACH SRL</t>
  </si>
  <si>
    <t>AUTOMAQ S.R.L.</t>
  </si>
  <si>
    <t>AUTOMAT ARGENTINA SOCIEDAD ANONIMA</t>
  </si>
  <si>
    <t>AUTOMAT MEDICION S R L</t>
  </si>
  <si>
    <t>AUTOMATIZACION OLAVARRIA SOCIEDAD DE RESPONSABILIDAD LIMITADA</t>
  </si>
  <si>
    <t>AUTOMOVILES BUENOS AIRES S.A.</t>
  </si>
  <si>
    <t>AUTONAV S.R.L.</t>
  </si>
  <si>
    <t>AUTOSAL SOCIEDAD ANONIMA</t>
  </si>
  <si>
    <t>AUTOTRANSPORTE COLPRIM SA</t>
  </si>
  <si>
    <t>AVELLANEDA RAUL ANDRES</t>
  </si>
  <si>
    <t>AVENIDA CASARES SRL</t>
  </si>
  <si>
    <t>AVIAGEN ARGENTINA S.R.L.</t>
  </si>
  <si>
    <t>AVICOLA PIMPOLLO S.R.L</t>
  </si>
  <si>
    <t>AVINCO CONSTRUCCIONES S.A.</t>
  </si>
  <si>
    <t>AXXE  SA</t>
  </si>
  <si>
    <t>AYERDI SOCIEDAD DE RESPONSABILIDAD LIMITADA</t>
  </si>
  <si>
    <t>AYKO S.A.</t>
  </si>
  <si>
    <t>AZ BUILDINGS S.A.</t>
  </si>
  <si>
    <t>AZUL NATURAL BEEF S.A.</t>
  </si>
  <si>
    <t>AZZAMURA S.R.L.</t>
  </si>
  <si>
    <t>AZZANO S R L</t>
  </si>
  <si>
    <t>AZZOLLINI CONSTRUCCIONES SRL</t>
  </si>
  <si>
    <t>ACHERAL S.A.</t>
  </si>
  <si>
    <t>AGRO-IMPERIO S.R.L.</t>
  </si>
  <si>
    <t>AGROINVERT S.R.L.</t>
  </si>
  <si>
    <t>ALBERTO CEFERINO DE FAZIO</t>
  </si>
  <si>
    <t>ALEJANDRO HECTOR BUEL</t>
  </si>
  <si>
    <t>ALEJANDRO JAVIER NUÑEZ</t>
  </si>
  <si>
    <t>ALEJANDRO MARTIN MARTINEZ</t>
  </si>
  <si>
    <t>ALEJANDRO RAUL RODRIGUEZ MAUTONE</t>
  </si>
  <si>
    <t>ALFAVINIL SA</t>
  </si>
  <si>
    <t>AMEGHINO SERVICIOS INDUSTRIALES S.A.</t>
  </si>
  <si>
    <t>ANDRES ADRIAN SERRA</t>
  </si>
  <si>
    <t>APROCONS S.A.</t>
  </si>
  <si>
    <t>ARBRO SA</t>
  </si>
  <si>
    <t>ARDION S.A.</t>
  </si>
  <si>
    <t>ARGENTA TOWER HOTEL &amp; SUITES SA</t>
  </si>
  <si>
    <t>ARGUS MEATS  S.A</t>
  </si>
  <si>
    <t>ARIDOS DE CAMPANA S A</t>
  </si>
  <si>
    <t>ARIEL MAXIMILIANO ARRUA</t>
  </si>
  <si>
    <t>ARIFRAN S.R.L.</t>
  </si>
  <si>
    <t>ASIGNA S A</t>
  </si>
  <si>
    <t>A EVANGELISTA S A</t>
  </si>
  <si>
    <t>ADA SOFIA GODOY</t>
  </si>
  <si>
    <t>AIRE ASISTENCIA S.A.</t>
  </si>
  <si>
    <t>ALEJANDRO DAVID GOROSTIDI</t>
  </si>
  <si>
    <t>ALFAJORES JORGITO S A</t>
  </si>
  <si>
    <t>ALFREDO JAVIER SCIALABBA</t>
  </si>
  <si>
    <t>ALPHA MEDIA S.A</t>
  </si>
  <si>
    <t>AMARETTI SA</t>
  </si>
  <si>
    <t>AMILCAR ANDREA REICHEL RUSSO</t>
  </si>
  <si>
    <t>ANDREA VERONICA BIZZERA</t>
  </si>
  <si>
    <t>ARDAL S A</t>
  </si>
  <si>
    <t>ARINCO. S.A.</t>
  </si>
  <si>
    <t>ARTURO DOMINGO MARINO</t>
  </si>
  <si>
    <t>ASHOKA CONSTRUCCIONES S.A.</t>
  </si>
  <si>
    <t>AUSANA SA</t>
  </si>
  <si>
    <t>A-PREVENIR/INCENDIOS S.R.L.</t>
  </si>
  <si>
    <t>ABRAHAM MIZRAHI</t>
  </si>
  <si>
    <t>ACEROS SUDAMERICANOS S.R.L.</t>
  </si>
  <si>
    <t>ACON TIMBER S.A.U.</t>
  </si>
  <si>
    <t>ACTRA S.A.</t>
  </si>
  <si>
    <t>ADMINISTRACION NACIONAL DE LABORATORIOS E INSTITUTOS DE SALUD ANLIS DR C G MALBR</t>
  </si>
  <si>
    <t>ADMINISTRADORA TERRALAGOS S.A.</t>
  </si>
  <si>
    <t>ADRIAN RUBEN MAITINO</t>
  </si>
  <si>
    <t>AGRO PATAGONICO SA</t>
  </si>
  <si>
    <t>AGROINDUSTRIAL COSANIC S.R.L.</t>
  </si>
  <si>
    <t>AGROINVEST S.R.L.</t>
  </si>
  <si>
    <t>AGS S.R.L.</t>
  </si>
  <si>
    <t>AGUSTINA ARROSSI</t>
  </si>
  <si>
    <t>AIRES DEL SUR S.A.</t>
  </si>
  <si>
    <t>AIRMAX SRL</t>
  </si>
  <si>
    <t>ALBERTO DANIEL LEVRAND</t>
  </si>
  <si>
    <t>ALBERTO SEGUISMUNDI</t>
  </si>
  <si>
    <t>ALEJANDRA GABRIELA MARCHESANO</t>
  </si>
  <si>
    <t>ALEX STEWART INTERNATIONAL ARGENTINA SA</t>
  </si>
  <si>
    <t>ALFREDO BENEDETTI</t>
  </si>
  <si>
    <t>ANDREA BETIANA SANTOCHI</t>
  </si>
  <si>
    <t>ANDREA DE JESUS NAVARRO</t>
  </si>
  <si>
    <t>ANIBAL JULIO MAZZIOTTI</t>
  </si>
  <si>
    <t>ANTONIO MARIO MONALDI</t>
  </si>
  <si>
    <t>ANTONIO ZAMPIERI</t>
  </si>
  <si>
    <t>ARTESANIAS AVICOLAS SRL</t>
  </si>
  <si>
    <t>ASIA RETAIL S.A.</t>
  </si>
  <si>
    <t>B  P  INSTALACIONES S A</t>
  </si>
  <si>
    <t>B W T CONSTRUCCION Y SERVICIOS SA</t>
  </si>
  <si>
    <t>B.A. EQUIPAMIENTOS S.R.L.</t>
  </si>
  <si>
    <t>B.X.P COMPLIANCE SAN LUIS SA</t>
  </si>
  <si>
    <t>BACS SOCIEDAD ANONIMA</t>
  </si>
  <si>
    <t>BAFARM S.A.</t>
  </si>
  <si>
    <t>BAHIA GRANDE LN SOCIEDAD ANONIMA</t>
  </si>
  <si>
    <t>BAILAC ARGENTINA SRL</t>
  </si>
  <si>
    <t>BALIARDA SOCIEDAD ANONIMA</t>
  </si>
  <si>
    <t>BALKO ARGENTINA S A</t>
  </si>
  <si>
    <t>BANCO CREDICOOP COOPERATIVO LTDO</t>
  </si>
  <si>
    <t>BANORCON S.A.</t>
  </si>
  <si>
    <t>BARDAHL LUBRICANTES ARGENTINA S A</t>
  </si>
  <si>
    <t>BARDELLI SALUD S.R.L.</t>
  </si>
  <si>
    <t>BARK SA</t>
  </si>
  <si>
    <t>BARRA MACIEL</t>
  </si>
  <si>
    <t>BARRETO HERMANOS SRL</t>
  </si>
  <si>
    <t>BARRIO PRIVADO LA ARAUCARIA</t>
  </si>
  <si>
    <t>BARTH SERV. INTEGRALES</t>
  </si>
  <si>
    <t>BASA CONSTRUCCIONES SRL</t>
  </si>
  <si>
    <t>BASEL VALENTIN</t>
  </si>
  <si>
    <t>BATERIAS MOURA DE ARGENTINA S. A.</t>
  </si>
  <si>
    <t>BATH DESIGN SA</t>
  </si>
  <si>
    <t>BATTISTELLI SOCIEDAD ANONIMA COMERCIAL INDUSTRIAL FINANCIERA E INMOBILIARIA</t>
  </si>
  <si>
    <t>BAUMEISTER SA</t>
  </si>
  <si>
    <t>BAUTO S.R.L</t>
  </si>
  <si>
    <t>BEARINGS GROUP S.A.</t>
  </si>
  <si>
    <t>BECHEM SUDAMERIKA S A</t>
  </si>
  <si>
    <t>BEDSON SA</t>
  </si>
  <si>
    <t>BELAICH OBRAS CIVILES S.R.L.</t>
  </si>
  <si>
    <t>BEMET SOCIEDAD ANONIMA</t>
  </si>
  <si>
    <t>BENASSI DIEGO MARTIN Y BENASSI MARCELO DAMIAN S.H.</t>
  </si>
  <si>
    <t>BENITO ROGGIO E HIJOS S.A.-JOSE CARTELLONE CONSTRUCCIONES CIV.S.A.-SUPERCEMENTO S.A.I.YC. UTE</t>
  </si>
  <si>
    <t>BENTONICOS DE ARGENTINA S.A</t>
  </si>
  <si>
    <t>BERENGUEL S.A.</t>
  </si>
  <si>
    <t>BERICAP S.A.U.</t>
  </si>
  <si>
    <t>BERRY ANA MARIA</t>
  </si>
  <si>
    <t>BERTHA S.R.L.</t>
  </si>
  <si>
    <t>BERTI NICOLAS Y LEGUIZAMON JOSE MARIA SH</t>
  </si>
  <si>
    <t>BERTOTTO BOGLIONE SOC ANON</t>
  </si>
  <si>
    <t>BESNA CIVIL S.A.</t>
  </si>
  <si>
    <t>BESSO VICTORIA ELENA</t>
  </si>
  <si>
    <t>BEST PAINT S A</t>
  </si>
  <si>
    <t>BGCONS SRL</t>
  </si>
  <si>
    <t>BGYP CONSTRUCTORA INMOBILIARIA SRL</t>
  </si>
  <si>
    <t>BICORP SA</t>
  </si>
  <si>
    <t>BINNING OIL TOOLS S.A.</t>
  </si>
  <si>
    <t>BIO CONTROL S A</t>
  </si>
  <si>
    <t>BIO FOD SRL</t>
  </si>
  <si>
    <t>BIOCHEMICAL S A</t>
  </si>
  <si>
    <t>BIOINGEPRO S.R.L.</t>
  </si>
  <si>
    <t>BIOMAS SA</t>
  </si>
  <si>
    <t>BIOMED BROCKERS SRL</t>
  </si>
  <si>
    <t>BIOSIDUS SOCIEDAD ANONIMA</t>
  </si>
  <si>
    <t>BIOSINTEX S.A.</t>
  </si>
  <si>
    <t>BIOSOLARES ARGENTINA S.A.S</t>
  </si>
  <si>
    <t>BIOTENK S A</t>
  </si>
  <si>
    <t>BIOTEX S.R.L.</t>
  </si>
  <si>
    <t>BIRDLAB</t>
  </si>
  <si>
    <t>BIVORT S R L</t>
  </si>
  <si>
    <t>BLANCA PRESS S.A.</t>
  </si>
  <si>
    <t>BLANCA ROSA STANTERO</t>
  </si>
  <si>
    <t>BLANCO NIEVE S.A.</t>
  </si>
  <si>
    <t>BLAU CYT S.R.L.</t>
  </si>
  <si>
    <t>e-cheq a 30 días fecha factura.</t>
  </si>
  <si>
    <t>BLINCER SRL</t>
  </si>
  <si>
    <t>BLISTERNOVA S.A.</t>
  </si>
  <si>
    <t>BLK SA</t>
  </si>
  <si>
    <t>BLOW TEC SA</t>
  </si>
  <si>
    <t>BMD FACILITIES S.R.L.</t>
  </si>
  <si>
    <t>BMI  S.A.</t>
  </si>
  <si>
    <t>BOCCARD CSC ARGENTINA S.A.</t>
  </si>
  <si>
    <t>BODACH SRL</t>
  </si>
  <si>
    <t>BODEGA DEL DESIERTO S.A.</t>
  </si>
  <si>
    <t>BODEGAS ESMERALDA SOCIEDAD ANONIMA</t>
  </si>
  <si>
    <t>BOHERDI SRL</t>
  </si>
  <si>
    <t>BOLLATI ALEJANDRO HUMBERTO</t>
  </si>
  <si>
    <t>BOLLINI S A</t>
  </si>
  <si>
    <t>BOLSATERM SA</t>
  </si>
  <si>
    <t>BOMBAS CIMMA S.A.S.</t>
  </si>
  <si>
    <t>BOMBAS GRUNDFOS DE ARGENTINA S.A.U</t>
  </si>
  <si>
    <t>BOMBAS Y MOTORES SAN MARTIN S.A.</t>
  </si>
  <si>
    <t>BONDEADOS NORTEX SRL</t>
  </si>
  <si>
    <t>BONIFAZI, HECTOR OSVALDO Y BONIFAZI PABLO  JAVIER</t>
  </si>
  <si>
    <t>BONNIR SRL</t>
  </si>
  <si>
    <t>BONSIEPE SRL</t>
  </si>
  <si>
    <t>BORAX ARGENTINA S.A.</t>
  </si>
  <si>
    <t>BORG  ARGENTINA  SA</t>
  </si>
  <si>
    <t>BOSS ARGENTINA S A</t>
  </si>
  <si>
    <t>BOUNOUS MAQUINARIAS SOCIEDAD ANONIMA</t>
  </si>
  <si>
    <t>BOURNETT S A</t>
  </si>
  <si>
    <t>BOWERS &amp; SIMMONS SA</t>
  </si>
  <si>
    <t>BRAGAS S.A.</t>
  </si>
  <si>
    <t>BRANCH INGENIERIA S.A</t>
  </si>
  <si>
    <t>BRASIL CERAMICAS S.R.L.</t>
  </si>
  <si>
    <t>BRAUER HERMANOS SOCIEDAD ANONIMA</t>
  </si>
  <si>
    <t>BREST CONSTRUCCIONES S.R.L.</t>
  </si>
  <si>
    <t>BREST SOCIEDAD ANONIMA DE SERVICIOS PETROLEROS</t>
  </si>
  <si>
    <t>BRIAN MAC MANEY</t>
  </si>
  <si>
    <t>BRIC CONSTRUCCIONES SRL</t>
  </si>
  <si>
    <t>BRICHER S.A.</t>
  </si>
  <si>
    <t>BRIDGE HYDROGEN S.A.</t>
  </si>
  <si>
    <t>BRISTA SA</t>
  </si>
  <si>
    <t>BROGAS SA</t>
  </si>
  <si>
    <t>BRU ERRE EME SOCIEDAD ANONIMA</t>
  </si>
  <si>
    <t>BRUNO BULONES S.R.L.</t>
  </si>
  <si>
    <t>BRUNO CRUZZOLIN  E HIJOS SA</t>
  </si>
  <si>
    <t>BTU SOCIEDAD ANONIMA</t>
  </si>
  <si>
    <t>BUCO SA C I</t>
  </si>
  <si>
    <t>BUEN AIRE S.R.L.</t>
  </si>
  <si>
    <t>BUENOS AIRES GAS SA</t>
  </si>
  <si>
    <t>BUENOS AIRES HILO SRL</t>
  </si>
  <si>
    <t>BULLET STOPPER S.A.</t>
  </si>
  <si>
    <t>BULONERA CENTRAL PACHECO S.R.L.</t>
  </si>
  <si>
    <t>BUNGE ARGENTINA S A</t>
  </si>
  <si>
    <t>BURGER FACTORY</t>
  </si>
  <si>
    <t>BURGWARDT Y CIA S A INDUSTRIAL COMERCIAL Y AGRO GANADERA</t>
  </si>
  <si>
    <t>BURITEC SRL</t>
  </si>
  <si>
    <t>BURKOOL S A</t>
  </si>
  <si>
    <t>BURMETAL CONSTRUCCIONES INDUSTRIALES SA</t>
  </si>
  <si>
    <t>BUROMAHTIK SOCIEDAD ANONIMA</t>
  </si>
  <si>
    <t>BUSCH ARGENTINA SRL</t>
  </si>
  <si>
    <t>BWA S.A.</t>
  </si>
  <si>
    <t>BYMED S.R.L</t>
  </si>
  <si>
    <t>BAHIA SERVICIOS INDUSTRIALES S.A.</t>
  </si>
  <si>
    <t>E-cheq a 30 días fecha factura.</t>
  </si>
  <si>
    <t>BARBARA CINTHIA SCHIEFELBEIN</t>
  </si>
  <si>
    <t>BELGRANO CARGAS Y LOGISTICA SA</t>
  </si>
  <si>
    <t>BELLA UNION SRL</t>
  </si>
  <si>
    <t>BENITO ROGGIO E HIJOS SA</t>
  </si>
  <si>
    <t>BEQUEM S.A.</t>
  </si>
  <si>
    <t>BILERAN INGENIERIA Y COMERCIO INDUSTRIAL SA</t>
  </si>
  <si>
    <t>BIO TRINIDAD SOCIEDAD ANONIMA</t>
  </si>
  <si>
    <t>BIOGENESIS BAGO S.A.</t>
  </si>
  <si>
    <t>BOMBAS FAL S.R.L.</t>
  </si>
  <si>
    <t>BON MASE SA</t>
  </si>
  <si>
    <t>BENJAMIN GUILLERMO HARRIAGUE</t>
  </si>
  <si>
    <t>BRAYAN DAVID ISASMENDI</t>
  </si>
  <si>
    <t>BANCO DE LA NACION ARGENTINA</t>
  </si>
  <si>
    <t>BEJOTABLE SOCIEDAD ANONIMA</t>
  </si>
  <si>
    <t>BFB CONSTRUCCIONES Y MONTAJES SOCIEDAD ANONIMA</t>
  </si>
  <si>
    <t>BFG INDUSTRIAL S. R. L.</t>
  </si>
  <si>
    <t>BIOELECTRICA DOS S.A</t>
  </si>
  <si>
    <t>BIOETANOL RIO CUARTO S A</t>
  </si>
  <si>
    <t>BLUE STEEL SA</t>
  </si>
  <si>
    <t>BZB ELECTROMECANICA SOCIEDAD RESPONSABILIDAD LIMITADA</t>
  </si>
  <si>
    <t>C</t>
  </si>
  <si>
    <t>C &amp; C S.A.</t>
  </si>
  <si>
    <t>C B ACCESORIOS PARA LA INDUSTRIA S R L</t>
  </si>
  <si>
    <t>C B C METALURGICA S R L</t>
  </si>
  <si>
    <t>C Y A SRL</t>
  </si>
  <si>
    <t>C Y O CONSTRUCCIONES  S.R.L.</t>
  </si>
  <si>
    <t>C. I. TANK SRL</t>
  </si>
  <si>
    <t>CA GROUP S A</t>
  </si>
  <si>
    <t>CABAÑA EL FORTIN S.A.</t>
  </si>
  <si>
    <t>CABELLO 3780 S.A.</t>
  </si>
  <si>
    <t>CABESTI S R L</t>
  </si>
  <si>
    <t>CABILDO REAL ESTATE SA</t>
  </si>
  <si>
    <t>CABOSCH S.A.</t>
  </si>
  <si>
    <t>CABRERA EDUARDO FABIAN</t>
  </si>
  <si>
    <t>CACTUS S.R.L.</t>
  </si>
  <si>
    <t>CAFE ROCAMORA SRL</t>
  </si>
  <si>
    <t>CAGNOLI S.A.</t>
  </si>
  <si>
    <t>CAHESA SOCIEDAD ANONIMA</t>
  </si>
  <si>
    <t>CAIMARI SA</t>
  </si>
  <si>
    <t>CALCAR COOP AGR RESP LTDA CARMELO</t>
  </si>
  <si>
    <t>CALDERAS NORTE SRL</t>
  </si>
  <si>
    <t>CALVO INSTALACIONES SRL</t>
  </si>
  <si>
    <t>CAMH SA</t>
  </si>
  <si>
    <t>CAMILO FERRON SOCIEDAD ANONIMA</t>
  </si>
  <si>
    <t>CAMPO ALLEMAN S.A.U.</t>
  </si>
  <si>
    <t>CAMPO INTEGRAL SA</t>
  </si>
  <si>
    <t>CANNON PUNTANA S.A.</t>
  </si>
  <si>
    <t>CANO INGENIERIA</t>
  </si>
  <si>
    <t>CAÑADA DEL TORO S.R.L.</t>
  </si>
  <si>
    <t>CAOLINERA PATAGONICA S A</t>
  </si>
  <si>
    <t>CAPCO SRL</t>
  </si>
  <si>
    <t>CAPETROL S.A.</t>
  </si>
  <si>
    <t>CARACOLES SA</t>
  </si>
  <si>
    <t>CARBE INGENIERIA SOCIEDAD DE RESPONSABILIDAD LIMITADA</t>
  </si>
  <si>
    <t>CARBE S A</t>
  </si>
  <si>
    <t>CARBO SAN LUIS S.A.</t>
  </si>
  <si>
    <t>CARDIOPACK ARGENTINA SA</t>
  </si>
  <si>
    <t>CARDOZO HUGO MARCELO</t>
  </si>
  <si>
    <t>CARINA MASSARELLI</t>
  </si>
  <si>
    <t>Carla Roman</t>
  </si>
  <si>
    <t>CARLA SUSANA CALZON</t>
  </si>
  <si>
    <t>CARLITOS HAUS</t>
  </si>
  <si>
    <t>CARLOS A MAZZIERI Y CIA. S.A.</t>
  </si>
  <si>
    <t>CARLOS A. CHIAVASSA S. A.</t>
  </si>
  <si>
    <t>CARLOS ALBERTO CUTRARO</t>
  </si>
  <si>
    <t>CARLOS ALBERTO DE LA FUENTE</t>
  </si>
  <si>
    <t>CARLOS ALBERTO FERNANDEZ</t>
  </si>
  <si>
    <t>CARLOS ALBERTO GARCIA</t>
  </si>
  <si>
    <t>CARLOS ALBERTO GOMEZ FARIAS</t>
  </si>
  <si>
    <t>CARLOS ALBERTO KRAGLIEVICH</t>
  </si>
  <si>
    <t>CARLOS ALBERTO LOPEZ</t>
  </si>
  <si>
    <t>CARLOS ALEJANDRO FERREYRA</t>
  </si>
  <si>
    <t>CARLOS AMBROSIO ALBAR DIAZ</t>
  </si>
  <si>
    <t>CARLOS ARIEL CERON</t>
  </si>
  <si>
    <t>CARLOS BENITO FAVALORO</t>
  </si>
  <si>
    <t>CARLOS FERNANDO AHEDO</t>
  </si>
  <si>
    <t>CARLOS FERNANDO MALDONI</t>
  </si>
  <si>
    <t>CARLOS GABRIEL SOTO</t>
  </si>
  <si>
    <t>CARLOS GUSTAVO WAMMEN</t>
  </si>
  <si>
    <t>CARLOS H. STEFANONI Y OTROS</t>
  </si>
  <si>
    <t>CARLOS HECTOR FERNANDEZ</t>
  </si>
  <si>
    <t>CARLOS IVAN FARRAN BECERRA</t>
  </si>
  <si>
    <t>Carlos Juarez</t>
  </si>
  <si>
    <t>CARLOS LATTUADA Y CIA S C</t>
  </si>
  <si>
    <t>CARLOS MARCELO POZZI</t>
  </si>
  <si>
    <t>CARLOS RAUL ESCUDERO</t>
  </si>
  <si>
    <t>CARLOS SEGUNDO GIANELLO</t>
  </si>
  <si>
    <t>CARMELO FRANCISCO RUFFOLO</t>
  </si>
  <si>
    <t>CARMEN YOLANDA ARAUJO</t>
  </si>
  <si>
    <t>CARMINE POLLOLA</t>
  </si>
  <si>
    <t>CARMOCAL SOCIEDAD ANONIMA</t>
  </si>
  <si>
    <t>Carola M Cruz</t>
  </si>
  <si>
    <t>CAROLINA SOLEDAD COLOMBA</t>
  </si>
  <si>
    <t>CARPAL S.A.</t>
  </si>
  <si>
    <t>CARPE DIEM COMUNIDAD TERAPEUTICA SA</t>
  </si>
  <si>
    <t>CARRACEDO CRISTOBAL RAMIRO</t>
  </si>
  <si>
    <t>CARRIZO JONATAN EMMANUEL Y DIAZ VIVIANA SOLEDAD S.H</t>
  </si>
  <si>
    <t>CART HOTEL S A</t>
  </si>
  <si>
    <t>CARTELLONE OIL&amp;GAS S.A.U.</t>
  </si>
  <si>
    <t>CARTOCOR SOCIEDAD ANONIMA</t>
  </si>
  <si>
    <t>CASA DIMA S.A.</t>
  </si>
  <si>
    <t>CASA FUENTES S A C I F I</t>
  </si>
  <si>
    <t>CASA IMAZ ASCENSORES S R L</t>
  </si>
  <si>
    <t>CASA LANDAU SOCIEDAD EN COMANDITA POR ACCIONES</t>
  </si>
  <si>
    <t>CASAGRANDE CONSTRUCCIONES SA</t>
  </si>
  <si>
    <t>CASALE REGULADORES Y CONTROLES SA</t>
  </si>
  <si>
    <t>CASBOM  S R L</t>
  </si>
  <si>
    <t>CASING SA</t>
  </si>
  <si>
    <t>CASSAFORMA S A</t>
  </si>
  <si>
    <t>CASTRO&amp;JOHN</t>
  </si>
  <si>
    <t>CASUCCI AUTOMATIZACION S A</t>
  </si>
  <si>
    <t>CATEDRAL ALTA PATAGONIA SA</t>
  </si>
  <si>
    <t>CAUTIO S.R.L.</t>
  </si>
  <si>
    <t>CAYSI SA</t>
  </si>
  <si>
    <t>CBN GROUP S.A.</t>
  </si>
  <si>
    <t>CC&amp;M CONTROL S.R.L.</t>
  </si>
  <si>
    <t>CCLV MATERIALES S.A.</t>
  </si>
  <si>
    <t>CDKOT CONSULTORES ASOCIADOS SOCIEDAD ANONIMA</t>
  </si>
  <si>
    <t>CECICON</t>
  </si>
  <si>
    <t>CECILIA MARIANA ODRIOZOLA</t>
  </si>
  <si>
    <t>CEDECOR S A</t>
  </si>
  <si>
    <t>CEDINI SRL</t>
  </si>
  <si>
    <t>CEFERINO ARIEL PAROLO</t>
  </si>
  <si>
    <t>CELCO S R L</t>
  </si>
  <si>
    <t>CELEBRARE S.R.L.</t>
  </si>
  <si>
    <t>CELIA ANDREA AVALLONE</t>
  </si>
  <si>
    <t>CELOMAT SOCIEDAD ANONIMA</t>
  </si>
  <si>
    <t>CELULOSA DEL SUR S R L</t>
  </si>
  <si>
    <t>CELULOSA SAN PEDRO SA</t>
  </si>
  <si>
    <t>CEMA INSTALACIONES SRL</t>
  </si>
  <si>
    <t>CEMPLAM SA</t>
  </si>
  <si>
    <t>CENSIMA S.A.I.C</t>
  </si>
  <si>
    <t>CENTRAL DISTRIBUCIONES S.A.</t>
  </si>
  <si>
    <t>CENTRAL DOCK SUD SOCIEDAD ANONIMA</t>
  </si>
  <si>
    <t>CENTRAL PUERTO S A</t>
  </si>
  <si>
    <t>15 Días Fecha Factura</t>
  </si>
  <si>
    <t>CENTRAL REPUESTOS SRL</t>
  </si>
  <si>
    <t>CENTRAL TERMICA ROCA S.A.</t>
  </si>
  <si>
    <t>CENTRALES DE LA COSTA ATLANTICA SA</t>
  </si>
  <si>
    <t>CENTRO AIRE ACONDICIONADO S.R.L</t>
  </si>
  <si>
    <t>CENTRO DE SALUD REPRODUCTIVA C E R SA</t>
  </si>
  <si>
    <t>CENTRO DE SOLUCIONES INDUSTRIALES S.R.L.</t>
  </si>
  <si>
    <t>CENTRO DE TECNOLOGIA APLICADA CONSORCIO DE COOPERACION</t>
  </si>
  <si>
    <t>CENTRO MEDICO DE DIAGNOSTICO Y TRATAMIENTO S.A.</t>
  </si>
  <si>
    <t>CENTRO NAVAL</t>
  </si>
  <si>
    <t>CENTRY SA</t>
  </si>
  <si>
    <t>CEPILLOS INDUSTRIALES  TRIUNFO  S A</t>
  </si>
  <si>
    <t>CERAMICA ALBERDI S A</t>
  </si>
  <si>
    <t>CERAMICA GARUHAPE SRL</t>
  </si>
  <si>
    <t>CERAMICA MARTIN S A</t>
  </si>
  <si>
    <t>CERAMICA SALTEÑA S.A.</t>
  </si>
  <si>
    <t>CERAMICA SANTIAGO SOCIEDAD ANONIMA</t>
  </si>
  <si>
    <t>CERDO DE LOS LLANOS SAU</t>
  </si>
  <si>
    <t>CEREAL FOOD S.A.</t>
  </si>
  <si>
    <t>CERES AGROPECUARIA S A</t>
  </si>
  <si>
    <t>CERES-DEMETER SRL</t>
  </si>
  <si>
    <t>CERRAMIENTOS MOVILES S.A.</t>
  </si>
  <si>
    <t>CERRUTI ALEJANDRO EZEQUIEL</t>
  </si>
  <si>
    <t>CERTANT SA</t>
  </si>
  <si>
    <t>CERVECERIA DEL SUR</t>
  </si>
  <si>
    <t>CERVECERIA Y MALTERIA QUILMES SAICA Y G</t>
  </si>
  <si>
    <t>CERVEZAS 7 COLORES S.A.</t>
  </si>
  <si>
    <t>CESAR ANTONIO FRANZOI</t>
  </si>
  <si>
    <t>CESCA SOCIEDAD ANONIMA</t>
  </si>
  <si>
    <t>CHATARD NEYRA Y CIA S.A.</t>
  </si>
  <si>
    <t>CHAVES INGENIERIA SRL</t>
  </si>
  <si>
    <t>CHILLERSYSTEM S.R.L.</t>
  </si>
  <si>
    <t>CHIMEN AIKE S.A.</t>
  </si>
  <si>
    <t>CHINA GEZHOUBA GROUP COMPANY LIMITED - ELECTROINGENIERIA S.A. - HIDROCUYO S.A.</t>
  </si>
  <si>
    <t>CHINCHILLAS ELDORADO SRL</t>
  </si>
  <si>
    <t>CHINFIELD SA</t>
  </si>
  <si>
    <t>CHOSOICO S A</t>
  </si>
  <si>
    <t>CHRICER S A</t>
  </si>
  <si>
    <t>CHRISTIAN ANDRES DELUTIS</t>
  </si>
  <si>
    <t>CHRISTIAN DIEGO RICHMOND</t>
  </si>
  <si>
    <t>CHRISTIAN LANZ</t>
  </si>
  <si>
    <t>CHRISTIAN MARCELO URBAN</t>
  </si>
  <si>
    <t>CHRISTIAN PABLO GIRARDI</t>
  </si>
  <si>
    <t>CHRONOS INGENIERIA SRL</t>
  </si>
  <si>
    <t>CHUKALE</t>
  </si>
  <si>
    <t>CIA DE MAQUINAS Y EQUIPOS S.A.</t>
  </si>
  <si>
    <t>CIA EL COATI SA</t>
  </si>
  <si>
    <t>CIA. GUTIERREZ S.R.L.</t>
  </si>
  <si>
    <t>CIATEMA SRL</t>
  </si>
  <si>
    <t>CIC MECANIZADO S.R.L</t>
  </si>
  <si>
    <t>CIDEGAS SA</t>
  </si>
  <si>
    <t>CIDOB S.A.</t>
  </si>
  <si>
    <t>CIMA SOCIEDAD ANONIMA</t>
  </si>
  <si>
    <t>CINKA S.A.</t>
  </si>
  <si>
    <t>CINTOLO HNOS METALURGICA SAIC</t>
  </si>
  <si>
    <t>CITEDEF</t>
  </si>
  <si>
    <t>CITRUSVIL S.A.</t>
  </si>
  <si>
    <t>CJ INSTALACIONES S.R.L.</t>
  </si>
  <si>
    <t>CLADAN SA</t>
  </si>
  <si>
    <t>CLADD INDUSTRIA TEXTIL ARGENTINA S.A.</t>
  </si>
  <si>
    <t>Cheque contra entrega de mercadería a 15 días Fecha Factura.</t>
  </si>
  <si>
    <t xml:space="preserve">Claudio Andueza </t>
  </si>
  <si>
    <t>CLAUDIO EDUARDO DE MELO</t>
  </si>
  <si>
    <t>CLAUDIO ENNIO PISCICELLI</t>
  </si>
  <si>
    <t>Claudio Gomez</t>
  </si>
  <si>
    <t>CLAUDIO ORCIUOLI</t>
  </si>
  <si>
    <t>CLAUDIO RENZO MACAGNO Y JOSE DOMINGO MACAGNO</t>
  </si>
  <si>
    <t>CLAUDIO VARONE</t>
  </si>
  <si>
    <t>CLAUDIO VINCENT WILLIAMS</t>
  </si>
  <si>
    <t>CLEANOSOL ARGENTINA S A COM IND FIN E INMOB</t>
  </si>
  <si>
    <t>CLEAR PETROLEUM SA</t>
  </si>
  <si>
    <t>CLIMASTORE S.A.</t>
  </si>
  <si>
    <t>CLIMATECNICA S R L</t>
  </si>
  <si>
    <t>CLINICA DEL NIÑO DE QUILMES SA</t>
  </si>
  <si>
    <t>CLINICA I M A SA</t>
  </si>
  <si>
    <t>CLORONOR S.A.</t>
  </si>
  <si>
    <t>CLUB ATLETICO RIVER PLATE ASOC CIVIL</t>
  </si>
  <si>
    <t>CLUB BELGRANO</t>
  </si>
  <si>
    <t>CLUB COMUNICACIONES</t>
  </si>
  <si>
    <t>CLUB SOCIAL PUEBLOS DEL PLATA S.A.</t>
  </si>
  <si>
    <t>CLUB UNIVERSITARIO DE BUENOS AIRES</t>
  </si>
  <si>
    <t>CM ARQUITECTURA SRL</t>
  </si>
  <si>
    <t>CO DI SE SA</t>
  </si>
  <si>
    <t>CO SE RE NA  S A</t>
  </si>
  <si>
    <t>COAFI SOCIEDAD ANONIMA</t>
  </si>
  <si>
    <t>COARCO SA</t>
  </si>
  <si>
    <t>COARCO SA - ELEPRINT SA - BARROS - UTE</t>
  </si>
  <si>
    <t>COCH S A</t>
  </si>
  <si>
    <t>CODAM S.A.</t>
  </si>
  <si>
    <t>COEX-SI S.R.L.</t>
  </si>
  <si>
    <t>COFIL SRL</t>
  </si>
  <si>
    <t>COHEN MARCOS Y COHEN GUILLERMO SOCIEDAD DE HECHO</t>
  </si>
  <si>
    <t>COHPAFLEX S.A.U.</t>
  </si>
  <si>
    <t>COINAL SA</t>
  </si>
  <si>
    <t>COL VEN S A</t>
  </si>
  <si>
    <t>COLEGIO SANTA TRINIDAD SAE</t>
  </si>
  <si>
    <t>COLFER INDUSTRIAL SH DE NICOLAS COLUCCI Y ROMAN COLUCCI</t>
  </si>
  <si>
    <t>COLFER SRL</t>
  </si>
  <si>
    <t>COLOMBO ANGEL Y COLOMBO HUGO SH</t>
  </si>
  <si>
    <t>COLOR GRAF SA</t>
  </si>
  <si>
    <t>COLORCON S A</t>
  </si>
  <si>
    <t>COLORTEX S A</t>
  </si>
  <si>
    <t>COMASA S A</t>
  </si>
  <si>
    <t>COMASEG S.R.L.</t>
  </si>
  <si>
    <t>COMBUSTIBLES DEL NORTE S A</t>
  </si>
  <si>
    <t>COMBUSTIBLES P C SRL</t>
  </si>
  <si>
    <t>COMERCIAL DE TURISMO S.A</t>
  </si>
  <si>
    <t>COMERCIALIZADORA MORRES SA</t>
  </si>
  <si>
    <t>COMISION NACIONAL DE ENERGIA ATOMICA</t>
  </si>
  <si>
    <t>COMMAX SISTEMAS SRL</t>
  </si>
  <si>
    <t>COMPANIA PETROLERA COPSA S.A.</t>
  </si>
  <si>
    <t>COMPAÑIA NAVIOS ARGENTINA S.A.</t>
  </si>
  <si>
    <t>Cuenta corriente a 30 días fecha factura.</t>
  </si>
  <si>
    <t>COMPAÑIA AMERICANA DE ALIMENTOS S.A.</t>
  </si>
  <si>
    <t>COMPAÑIA ARGENTINA DE LEVADURAS S A I C</t>
  </si>
  <si>
    <t>COMPAÑIA DE HORMIGON CELULAR S.A.</t>
  </si>
  <si>
    <t>COMPAÑIA DE SANEAMIENTO Y RECUPERACION DE MATERIALES SOCIEDAD ANONIMA</t>
  </si>
  <si>
    <t>COMPAÑIA DE SERVICIOS SUPERTRANS SOCIEDAD  ANONIMA</t>
  </si>
  <si>
    <t>COMPAÑIA GENERAL DE COMBUSTIBLES SOCIEDAD ANONIMA</t>
  </si>
  <si>
    <t>COMPAÑIA INTEGRAL DE INMUEBLES SOC ANON COM INM FIN IND Y AGROP</t>
  </si>
  <si>
    <t>COMPANIA INVERSORA INDUSTRIAL S.A.</t>
  </si>
  <si>
    <t>COMPAÑIA PAPELERA SINSACATE S R L</t>
  </si>
  <si>
    <t>COMPAÑIA SUDAMERICANA DE GAS S.A.</t>
  </si>
  <si>
    <t>COMPAÑIA TSB S A</t>
  </si>
  <si>
    <t>COMPLEJO ALIMENTICIO SAN SALVADOR S.A.</t>
  </si>
  <si>
    <t>COMPLEJO DEL PARQUE S.A.</t>
  </si>
  <si>
    <t>COMSERT SRL</t>
  </si>
  <si>
    <t>CON ARGENTINA SOCIEDAD DE RESPONSABILIDAD LIMITADA</t>
  </si>
  <si>
    <t>CONAGRO S.A.</t>
  </si>
  <si>
    <t>CONBRA S A</t>
  </si>
  <si>
    <t>CONCAT - CONSORCIO DE COOPERACION</t>
  </si>
  <si>
    <t>CONCRET-NOR SA-PANEDILE ARGENTINA SAICFEI-MIJOVI SRL-UNION TRANSITORIA</t>
  </si>
  <si>
    <t>CONDOMINIO BANCO DE SAN JUAN S.A. Y OTROS</t>
  </si>
  <si>
    <t>CONEXTUBE SA</t>
  </si>
  <si>
    <t>CONINSA S A</t>
  </si>
  <si>
    <t>CONLAB S.R.L.</t>
  </si>
  <si>
    <t>CONORVIAL S A</t>
  </si>
  <si>
    <t>CONREL NORTE S.R.L.</t>
  </si>
  <si>
    <t>CONS PROP BILLINGHURST 2325</t>
  </si>
  <si>
    <t>CONS PROP CERVIÑO 4502</t>
  </si>
  <si>
    <t>CONS PROP R DE LA INDIA 3025</t>
  </si>
  <si>
    <t>CONS. PROP. J. SALGUERO 2756-2760-2772-2780</t>
  </si>
  <si>
    <t>CONSAR CONSTRUCTORA ARGENTINA SRL</t>
  </si>
  <si>
    <t>CONSERMAR S.R.L.</t>
  </si>
  <si>
    <t>CONSORCIO AGUSTIN ALVAREZ</t>
  </si>
  <si>
    <t>CONSORCIO AÑA CUA ART</t>
  </si>
  <si>
    <t>CONSORCIO AV. GENERAL LAS HERAS 3499 ESQ. PAUNERO 2713, 2715 Y 2717 CAPITAL FEDERAL</t>
  </si>
  <si>
    <t>CONSORCIO DE COPROPIETARIOS DEL EDIFICIO CALLE JERONIMO SALGUERO 1920-22</t>
  </si>
  <si>
    <t>CONSORCIO DE PROIETARIOS TTE B MATIENZO 1721</t>
  </si>
  <si>
    <t>CONSORCIO DE PROP ROOSEVELT 3328</t>
  </si>
  <si>
    <t>CONSORCIO DE PROPIETARIOS AL RIO</t>
  </si>
  <si>
    <t>CONSORCIO DE PROPIETARIOS ARGERICH 5080-82</t>
  </si>
  <si>
    <t>CONSORCIO DE PROPIETARIOS AV LIBERTADOR 7536/48/74</t>
  </si>
  <si>
    <t>CONSORCIO DE PROPIETARIOS AV. AMERICA 439,443,447,451 Y 455</t>
  </si>
  <si>
    <t>CONSORCIO DE PROPIETARIOS BARTOLOME MITRE N°974</t>
  </si>
  <si>
    <t>CONSORCIO DE PROPIETARIOS CALLE DIAZ COLODRERO 2753-2755-2759-2765-2769</t>
  </si>
  <si>
    <t>CONSORCIO DE PROPIETARIOS CALLE DON BOSCO N° 1497</t>
  </si>
  <si>
    <t>CONSORCIO DE PROPIETARIOS CALLE MEXICO NUMEROS 171 173 175</t>
  </si>
  <si>
    <t>CONSORCIO DE PROPIETARIOS CHATEAU LIBERTADOR</t>
  </si>
  <si>
    <t>CONSORCIO DE PROPIETARIOS CLUB DE CAMPO</t>
  </si>
  <si>
    <t>CONSORCIO DE PROPIETARIOS CONJUNTO CAMPOS DE ECHEVERRIA</t>
  </si>
  <si>
    <t>CONSORCIO DE PROPIETARIOS DEL CHASCOMUS COUNTRY CLUB</t>
  </si>
  <si>
    <t>CONSORCIO DE PROPIETARIOS DEL EDIFICIO MAIPU 1300 CALLE JUNCAL</t>
  </si>
  <si>
    <t>CONSORCIO DE PROPIETARIOS DOS PLAZA</t>
  </si>
  <si>
    <t>CONSORCIO DE PROPIETARIOS EDIFICIO AV. SAN MARTIN 4761 4765 4767</t>
  </si>
  <si>
    <t>CONSORCIO DE PROPIETARIOS EDIFICIO FORUM ALCORTA</t>
  </si>
  <si>
    <t>CONSORCIO DE PROPIETARIOS EDIFICIO PLANES</t>
  </si>
  <si>
    <t>CONSORCIO DE PROPIETARIOS JOSE M MORENO 150 Y 156</t>
  </si>
  <si>
    <t>CONSORCIO DE PROPIETARIOS MASCHWITZ PRIVADO</t>
  </si>
  <si>
    <t>CONSORCIO GALERIA RIVADAVIA - EDIFCIO DE CALLE RIVADAVIA NUMERO DOSCIENTOS CUARENTA Y NUEVE ESTE</t>
  </si>
  <si>
    <t>CONSORCIO PROPIETARIOS</t>
  </si>
  <si>
    <t>CONSTANTINO URUGUAY SOCIEDAD ANONIMA</t>
  </si>
  <si>
    <t>CONSTRUCCIONES CAVITA S.A.</t>
  </si>
  <si>
    <t>CONSTRUCCIONES CIVILES TECNISUD SRL</t>
  </si>
  <si>
    <t>CONSTRUCCIONES ELECTRICAS ZORZAN SA</t>
  </si>
  <si>
    <t>CONSTRUCCIONES INDUSTRIALES COMERCIALES Y CIVILES SA</t>
  </si>
  <si>
    <t>CONSTRUCCIONES MECANICAS POLICOLOR SRL.</t>
  </si>
  <si>
    <t>CONSTRUCTOC S.A.</t>
  </si>
  <si>
    <t>CONSTRUCTORA  CAPMAN S.R.L.</t>
  </si>
  <si>
    <t>CONSTRUCTORA FERCO SA</t>
  </si>
  <si>
    <t>CONSTRUCTORA INDUSTRIAL CRONOS S.R.L.</t>
  </si>
  <si>
    <t>CONSTRUCTORA SUDAMERICANA S A C I F INMOB Y AGROP</t>
  </si>
  <si>
    <t>CONSTRUMEX SA</t>
  </si>
  <si>
    <t>CONSTRU-SERV DEL SUR S.A.</t>
  </si>
  <si>
    <t>CONSULTORA PARINO Y ASOCIADOS S.A.</t>
  </si>
  <si>
    <t>CONTACTCOM S.A.</t>
  </si>
  <si>
    <t>CONTRACTOR INGENIERIA S.A.</t>
  </si>
  <si>
    <t>CONTRERAS HERMANOS S A I C I F A G Y M</t>
  </si>
  <si>
    <t>CONTRERAS HERMANOS SAICIFAGYM</t>
  </si>
  <si>
    <t>CONTRERAS MOGETTA BBC CONSORCIO DE COOPERACION</t>
  </si>
  <si>
    <t>CONTROL ANALITICO S R L</t>
  </si>
  <si>
    <t>CONTROL LOOP S.A.</t>
  </si>
  <si>
    <t>CONTROL S R L</t>
  </si>
  <si>
    <t>CONTROL VEHICULAR S.R.L.</t>
  </si>
  <si>
    <t>CONTROLCOM S.R.L.</t>
  </si>
  <si>
    <t>CONUAR S.A.</t>
  </si>
  <si>
    <t>CONYSERV CONSTRUCCIONES S.R.L</t>
  </si>
  <si>
    <t>COOP DE OBRAS Y SERVICIOS PUBLICOS,VIVIENDA Y SERVICIOS ASISTENCIALES LIMITADA MARTIN CORONADO</t>
  </si>
  <si>
    <t>COOP DE PROVISION TRANSFORMACION Y COMERCIALIZACION CITRICOLA DEL NORESTE ENTRERRIANO LIMITADA</t>
  </si>
  <si>
    <t>COOP DE TRABAJO SIDNEY COOP LTDA</t>
  </si>
  <si>
    <t>COOP. DE TRANSF.Y COMERCIALIZ.AGROP. "COLONIA SAN FRANCISCO " LTDA.</t>
  </si>
  <si>
    <t>COOPERATIVA AGRICOLA DE LA COLONIA LIEBIG LTDA</t>
  </si>
  <si>
    <t>COOPERATIVA AGROPECUARIA PRODUCTORES Y CONSUMIDORES LIMITADA</t>
  </si>
  <si>
    <t>COOPERATIVA DE AGUA POTABLE Y OTROS SERVICIOS PUBLICOS DE GENERAL LAS HERAS LIMITADA</t>
  </si>
  <si>
    <t>COOPERATIVA DE AGUA Y LUZ PINAMAR LTDA</t>
  </si>
  <si>
    <t>COOPERATIVA DE COOPERATIVAS DE GAS, SERVICIOS PUBLICOS Y VIVIENDA CORDOBA LIMITADA</t>
  </si>
  <si>
    <t>COOPERATIVA DE ELECTRICIDAD DE ELDORADO LIMITADA</t>
  </si>
  <si>
    <t>COOPERATIVA DE LUZ Y FUERZA DE ELENA LTDA</t>
  </si>
  <si>
    <t>COOPERATIVA DE OBRAS  AGUA POTABLE Y OTROS SERVICIOS PUBLICOS  DE LISANDRO OLMOS LTDA</t>
  </si>
  <si>
    <t>COOPERATIVA DE OBRAS Y SERVICIOS PUBLICOS DE SANTA TERESITA LIMITADA</t>
  </si>
  <si>
    <t>COOPERATIVA DE PRODUCTORES LANEROS LTDA CO PRO LAN LTDA</t>
  </si>
  <si>
    <t>COOPERATIVA DE PROVISION DE ELECTRICIDAD Y SERVICIOS PUBLICOS DE ARENAZA LIMITADA</t>
  </si>
  <si>
    <t>COOPERATIVA DE PROVISION DE OBRAS Y SERVICIOS PUBLICOS SAN CLEMENTE DEL TUYU LTDA</t>
  </si>
  <si>
    <t>COOPERATIVA DE PROVISION DE SERVICIOS PUBLICOS VIVIENDA Y CONSUMO 16 DE OCTUBRE LTDA</t>
  </si>
  <si>
    <t>COOPERATIVA DE PROVISION DE SERVICIOS PUBLICOS VIVIENDA Y CONSUMO EL MAITEN LTDA</t>
  </si>
  <si>
    <t>COOPERATIVA DE TRABAJO 14 DE JUNIO LIMITADA</t>
  </si>
  <si>
    <t>COOPERATIVA DE TRABAJO 28 DE JULIO LIMITADA</t>
  </si>
  <si>
    <t>COOPERATIVA DE TRABAJO ALCOYANA LTDA</t>
  </si>
  <si>
    <t>COOPERATIVA DE TRABAJO ALIMENTARIA SAN PEDRO LIMITADA</t>
  </si>
  <si>
    <t>COOPERATIVA DE TRABAJO CONSUL TECH LIMITADA</t>
  </si>
  <si>
    <t>COOPERATIVA DE TRABAJO GRETI LIMITADA</t>
  </si>
  <si>
    <t>COOPERATIVA DE TRABAJO INFINITY ROTOMOLDING LIMITADA</t>
  </si>
  <si>
    <t>COOPERATIVA DE TRABAJO RUMI WASI LIMITADA</t>
  </si>
  <si>
    <t>COOPERATIVA DE TRABAJO SAN LORENZO LTDA</t>
  </si>
  <si>
    <t>COOPERATIVA DE TRABAJO TEXTILES PIGUE LTDA</t>
  </si>
  <si>
    <t>COOPERATIVA DE TRABAJO VALLE MEDIO LTDA</t>
  </si>
  <si>
    <t>COOPERATIVA ELECTRICA DE CONSUMO Y VIVIENDA LIMITADA DE TRELEW</t>
  </si>
  <si>
    <t>COOPERATIVA NORTE LAVALLINO LTDA</t>
  </si>
  <si>
    <t>COOPERATIVA RURAL DE SERVICIOS PUBLICOS Y VIVIENDA REAL DEL PADRE LIMITADA</t>
  </si>
  <si>
    <t>CORBEB S R L</t>
  </si>
  <si>
    <t>CORRALON PATAGONICO DE LOS ANDES S A</t>
  </si>
  <si>
    <t>CORREDOR AMERICANO S.A.</t>
  </si>
  <si>
    <t>CORROSION INDUSTRIAL MANTENIMIENTOS Y SERVICIOS AMBIENTALES SRL</t>
  </si>
  <si>
    <t>CORRUGADORA RIO NEGRO S.R.L.</t>
  </si>
  <si>
    <t>CORSAL SA</t>
  </si>
  <si>
    <t>CORVEN S A C I F</t>
  </si>
  <si>
    <t>CORYCA SRL</t>
  </si>
  <si>
    <t>COS &amp; ASOCIADOS S.R.L.</t>
  </si>
  <si>
    <t>COSACOV SA</t>
  </si>
  <si>
    <t>COSMACA SRL</t>
  </si>
  <si>
    <t>COSTA DE RIO SA AGROPECUARIA Y FORESTAL</t>
  </si>
  <si>
    <t>COTA S A</t>
  </si>
  <si>
    <t>COTEMINAS ARGENTINA SOCIEDAD ANONIMA</t>
  </si>
  <si>
    <t>COTO CENTRO INTEGRAL DE COMERCIALIZACION SOCIEDAD ANONIMA</t>
  </si>
  <si>
    <t>CP GROUP</t>
  </si>
  <si>
    <t>CPA BOMBAS Y EQUIPOS S.R.L.</t>
  </si>
  <si>
    <t>CPC S.A - ELEPRINT S.A. - UNION TRANSITORIA U. T. E.</t>
  </si>
  <si>
    <t>CPC SA-SUPERCEMENTO S.AIC-ROVELLA CARRANZA S.A- C&amp;E CONSTRUCCIONES SA-UT-ACUEDUCTOR RIO COLORADO UTE</t>
  </si>
  <si>
    <t>CR CONSTRUCTORA SRL</t>
  </si>
  <si>
    <t>CREMIGAL SOCIEDAD DE RESPONSABILIDAD LIMITADA</t>
  </si>
  <si>
    <t>CRISTACOL SA</t>
  </si>
  <si>
    <t>CRISTAL S R L</t>
  </si>
  <si>
    <t>CRISTAMINE S A</t>
  </si>
  <si>
    <t>CRISTIAN ACRICH S.A.S.</t>
  </si>
  <si>
    <t>CRISTIAN ARIEL GONZALEZ</t>
  </si>
  <si>
    <t>CRISTIAN DARIO CORREA</t>
  </si>
  <si>
    <t>CRISTIAN ENRIQUE BAUMANN</t>
  </si>
  <si>
    <t>CRISTIAN GARCIA ROMANO</t>
  </si>
  <si>
    <t>CRISTIAN GIANATELLI</t>
  </si>
  <si>
    <t>CRISTIAN JAVIER PISSACO</t>
  </si>
  <si>
    <t>CRISTIAN JAVIER SOSA STANCANELLI</t>
  </si>
  <si>
    <t>CRISTIAN LUIS ROGELIO LAHETJUZAN</t>
  </si>
  <si>
    <t>CRISTIAN MAURICIO SIRI</t>
  </si>
  <si>
    <t>CRISTIAN RODRIGO DIAMANTE</t>
  </si>
  <si>
    <t>CRISTINA CHUST</t>
  </si>
  <si>
    <t>CRISTINA MARIANA LEIVA</t>
  </si>
  <si>
    <t>CRISTOFER YAMIL LLERENA</t>
  </si>
  <si>
    <t>CRITICAL SYSTEMS S.R.L.</t>
  </si>
  <si>
    <t>CROM SRL</t>
  </si>
  <si>
    <t>CROMAQUIM S R L</t>
  </si>
  <si>
    <t>CRONBACH S.R.L</t>
  </si>
  <si>
    <t>CRONIMO SA</t>
  </si>
  <si>
    <t>CRUSTACEOS DEL SUR SOCIEDAD ANONIMA</t>
  </si>
  <si>
    <t>CRYOMEC S.R.L</t>
  </si>
  <si>
    <t>CRZ CONSTRUCCIONES SA</t>
  </si>
  <si>
    <t>CSB S.R.L</t>
  </si>
  <si>
    <t>CT BARRAGAN S.A.</t>
  </si>
  <si>
    <t>CUARIBAR SOCIEDAD ANONIMA</t>
  </si>
  <si>
    <t>CUARZO PERFORACIONES S. R. L.</t>
  </si>
  <si>
    <t>CUBERO RUBIO SRL</t>
  </si>
  <si>
    <t>CUENCA DEL SALADO SA</t>
  </si>
  <si>
    <t>CUERPO DE BOMBEROS VOLUNTARIOS DE SAN SALVADOR</t>
  </si>
  <si>
    <t>CULLIGAN ARGENTINA SOCIEDAD ANONIMA</t>
  </si>
  <si>
    <t>CUPI MATIAS EMANUEL</t>
  </si>
  <si>
    <t>CURTIEMBRE ARLEI S.A.</t>
  </si>
  <si>
    <t>CURTIEMBRE PASO DEL REY S A</t>
  </si>
  <si>
    <t>CURTIEMBRE PELICCE SA</t>
  </si>
  <si>
    <t>CUSHMAN &amp; WAKEFIELD ARGENTINA SRL</t>
  </si>
  <si>
    <t>CUTHILL CONCIENCIA EN PULVERIZACION S.A.</t>
  </si>
  <si>
    <t>CUYO MAQUINAS ARGENTINA SRL</t>
  </si>
  <si>
    <t>CUYO PROYECTOS INDUSTRIALES SRL</t>
  </si>
  <si>
    <t>CYBERTAPALQUE S.A.</t>
  </si>
  <si>
    <t>CAR-WASH SRL</t>
  </si>
  <si>
    <t>CARLOS DAMIAN LINARES</t>
  </si>
  <si>
    <t>CARLOS EZEQUIEL CAROSSINO</t>
  </si>
  <si>
    <t>CARLOS GUILLERMO TRONCOSO</t>
  </si>
  <si>
    <t>CARLOS MAXIMILIANO DELORENZO</t>
  </si>
  <si>
    <t>CAUCO SOCIEDAD ANONIMA</t>
  </si>
  <si>
    <t>CENTRAL COSTANERA S.A.</t>
  </si>
  <si>
    <t>CGR INGENIERIA SOCIEDAD POR ACCIONES SIMPLIFICADA</t>
  </si>
  <si>
    <t>CHOCOLATE COLONIAL SA.</t>
  </si>
  <si>
    <t>CHOPTICAL SOCIEDAD ANONIMA</t>
  </si>
  <si>
    <t>CLAUDIO ALEJANDRO SZYLLER</t>
  </si>
  <si>
    <t>CLAUDIO COSTANZO CRAVERO</t>
  </si>
  <si>
    <t>COMPAÑIA MOLINERA DEL SUR S. A. C. E I.</t>
  </si>
  <si>
    <t>CONSORCIO PROPIETARIOS AMENABAR 771 783</t>
  </si>
  <si>
    <t>CONSTRUCTORA KARPOS S.A</t>
  </si>
  <si>
    <t>CONTROLCLIM S.A</t>
  </si>
  <si>
    <t>COOP DE ELECTRICIDAD OBRAS Y SERVICIOS PUB LTDA DE CORONEL MOLDES</t>
  </si>
  <si>
    <t>COOPERATIVA DE SERVICIOS PUBLICOS, SERVICIOS SOCIALES Y VIVIENDA DE SACANTA LIMITADA.</t>
  </si>
  <si>
    <t>CURTIEMBRE BIONDO SRL</t>
  </si>
  <si>
    <t>CALDERAS MARKOWICZ SA</t>
  </si>
  <si>
    <t>CALHUEM NATURALEZA CON ALMA SRL</t>
  </si>
  <si>
    <t>CARLINO ELEUTERIO</t>
  </si>
  <si>
    <t>CARLOS HORACIO GASTON CASIMIRO</t>
  </si>
  <si>
    <t>CARLOS RODOLFO GUARDIA</t>
  </si>
  <si>
    <t>CASINO MAGIC NEUQUEN S A</t>
  </si>
  <si>
    <t>CE Y BA  S.R.L.</t>
  </si>
  <si>
    <t>CECILIA MARIA BELEN IRAMAIN</t>
  </si>
  <si>
    <t>CENTRAL TECNICA SRL</t>
  </si>
  <si>
    <t>CENTRO DE ECONOMIA POLITICA ARGENTINA - C.E.P.A.</t>
  </si>
  <si>
    <t>CG MALVINAS REPARACIONES S.A.</t>
  </si>
  <si>
    <t>CHRISTIAN ANDRES RODRIGUEZ</t>
  </si>
  <si>
    <t>COMPAÑIA AZUCARERA LOS BALCANES SA</t>
  </si>
  <si>
    <t>CONRADO REBUFFO</t>
  </si>
  <si>
    <t>CONSORCIO DE PROPIETARIOS</t>
  </si>
  <si>
    <t>COOPERATIVA DE TRABAJO COPSA LTDA</t>
  </si>
  <si>
    <t>CAGNOLO S R L</t>
  </si>
  <si>
    <t>CARLOS DANIEL LARROZA</t>
  </si>
  <si>
    <t>CARLOS GUSTAVO SANTA ISABEL</t>
  </si>
  <si>
    <t>CARLOS MARIANO RODRIGO MATEOS</t>
  </si>
  <si>
    <t>CARLOS RAUL CARO</t>
  </si>
  <si>
    <t>CECILIA RAQUEL COLOMBO</t>
  </si>
  <si>
    <t>CENTRO CIENTIFICO TECNOLOGICO CONICET-SALTA(CCT CONICET-SALTA)</t>
  </si>
  <si>
    <t>CEPAS ARGENTINAS S A</t>
  </si>
  <si>
    <t>CERRINOX S R L</t>
  </si>
  <si>
    <t>CLAUDIO ARIEL LINGUA</t>
  </si>
  <si>
    <t>CLEANTECH SA</t>
  </si>
  <si>
    <t>CLIMATEC SOCIEDAD DE RESPONSABILIDAD LIMITADA</t>
  </si>
  <si>
    <t>CLINICA LINCOLN S A</t>
  </si>
  <si>
    <t>COMISION VECINAL DE SANEAMIENTO</t>
  </si>
  <si>
    <t>COMPAÑIA BERNAL S. A.</t>
  </si>
  <si>
    <t>CONSALMED SA</t>
  </si>
  <si>
    <t>CONSORCIO DE COPROPIETARIOS EDIFICIO AV CABILDO 248</t>
  </si>
  <si>
    <t>CONSORCIO DE PROP. JARDINES DEL LIBERTADOR</t>
  </si>
  <si>
    <t>COOPERATIVA DE TRABAJO UNION PAPELERA  PLATENSE LTDA</t>
  </si>
  <si>
    <t>COOPERATIVA TELEFONICA DE VIVIENDA Y OTROS SERVICIOS PUBLICOS DEL VISO LIMITADA</t>
  </si>
  <si>
    <t>CRISTIAN DANIEL MERZ</t>
  </si>
  <si>
    <t>CUPROALLOY S.A.</t>
  </si>
  <si>
    <t>D WEINSTOCK S R L</t>
  </si>
  <si>
    <t>D.K. SOLUCIONES INTEGRALES S.R.L.</t>
  </si>
  <si>
    <t>D.ME.D. S.R.L</t>
  </si>
  <si>
    <t>DA FRE OBRAS CIVILES S A</t>
  </si>
  <si>
    <t>DAASONS S A</t>
  </si>
  <si>
    <t>DABER SERVICIOS INDUSTRIALES S.R.L.</t>
  </si>
  <si>
    <t>DABIAN SA</t>
  </si>
  <si>
    <t>DAIFUS INGENIERIA SRL</t>
  </si>
  <si>
    <t>DAIVEZ MIGUEL ANGEL JAVIER</t>
  </si>
  <si>
    <t>DALGAR S A</t>
  </si>
  <si>
    <t>DALTEC OIL TOOLS SRL</t>
  </si>
  <si>
    <t>DALYN JOSEPH KROPF</t>
  </si>
  <si>
    <t>DAMEZ ELECTRONICA PROFESIONAL SRL</t>
  </si>
  <si>
    <t>DAMIANICH Y SONS SRL</t>
  </si>
  <si>
    <t>Anticipado</t>
  </si>
  <si>
    <t>DAMON ARGENTINA SRL</t>
  </si>
  <si>
    <t>DANES S R L</t>
  </si>
  <si>
    <t>DANIEL ADOLFO ABBAS SILMAN</t>
  </si>
  <si>
    <t>DANIEL ALBERTO BERAZATEGUI</t>
  </si>
  <si>
    <t>DANIEL ALEJANDRO CHILIBERTTO</t>
  </si>
  <si>
    <t>DANIEL ANIBAL CARDELLE</t>
  </si>
  <si>
    <t>DANIEL ARROYO</t>
  </si>
  <si>
    <t>DANIEL CESAR DE LA TORRE</t>
  </si>
  <si>
    <t>DANIEL DAVID VEGAS</t>
  </si>
  <si>
    <t>Daniel Di Lorenzo</t>
  </si>
  <si>
    <t>DANIEL EDUARDO CAZIANI</t>
  </si>
  <si>
    <t>DANIEL EDUARDO DE GORI</t>
  </si>
  <si>
    <t>DANIEL FABIAN GOLDBERG</t>
  </si>
  <si>
    <t>DANIEL FABIAN HEREDIA</t>
  </si>
  <si>
    <t>DANIEL FELIX GRANOLLERS</t>
  </si>
  <si>
    <t>DANIEL FRAGA</t>
  </si>
  <si>
    <t>DANIEL FRANCISCO DE LUCA</t>
  </si>
  <si>
    <t>DANIEL HORACIO VAZQUEZ</t>
  </si>
  <si>
    <t>DANIEL IGNACIO BON</t>
  </si>
  <si>
    <t>DANIEL IGNACIO FESTUGATO</t>
  </si>
  <si>
    <t>DANIEL MARIO AGUILAR</t>
  </si>
  <si>
    <t>DANIEL OMAR WILLMOTT</t>
  </si>
  <si>
    <t>DANIEL OSVALDO DI SILVESTRO</t>
  </si>
  <si>
    <t>DANIEL OSVALDO GIRAUDI</t>
  </si>
  <si>
    <t>DANIEL OSVALDO MARTINELLI</t>
  </si>
  <si>
    <t>DANIEL RICCA SA</t>
  </si>
  <si>
    <t>DANIEL ZAPATA</t>
  </si>
  <si>
    <t>DANSA SA</t>
  </si>
  <si>
    <t>DANTE ALBERTO HASPERT</t>
  </si>
  <si>
    <t>DANTE CARLOS MELANO</t>
  </si>
  <si>
    <t>DAR Y ASOCIADOS SRL</t>
  </si>
  <si>
    <t>DARIO ALEJANDRO CORNEJO</t>
  </si>
  <si>
    <t>DARIO ANGEL BORDAGARAY</t>
  </si>
  <si>
    <t>DARIO FLEITAS</t>
  </si>
  <si>
    <t>DARIO HERNAN BEDINI</t>
  </si>
  <si>
    <t>DARIO JUAN PIERANTONI</t>
  </si>
  <si>
    <t>DARIO LUIS SARRU</t>
  </si>
  <si>
    <t>DARIO RUBEN ARMESTO</t>
  </si>
  <si>
    <t>DARUMA CONSULTING S.R.L.</t>
  </si>
  <si>
    <t>DAS EXPERTO AMBIENTAL S.R.L.</t>
  </si>
  <si>
    <t>DASS ELDORADO SRL</t>
  </si>
  <si>
    <t>DASTEC S R L</t>
  </si>
  <si>
    <t>DATEC SA</t>
  </si>
  <si>
    <t>DAVID CROCITTO</t>
  </si>
  <si>
    <t>DAVID SALOMON GRAH</t>
  </si>
  <si>
    <t>DAYCO GAMING S.A.</t>
  </si>
  <si>
    <t>DAYS TOUR S.A.</t>
  </si>
  <si>
    <t>DBD INGENIERIA Y SOLUCIONES SRL</t>
  </si>
  <si>
    <t>DC INSTALL S.R.L.</t>
  </si>
  <si>
    <t>DCA DISTRIBUCION</t>
  </si>
  <si>
    <t>DCCION. ADM. DE LA SUBS. DE SALUD PCIA. DE NEUQUEN</t>
  </si>
  <si>
    <t>DE BLASI S A</t>
  </si>
  <si>
    <t>DE GRANDI JORGE NICOLAS</t>
  </si>
  <si>
    <t>DE MARIA TECNOLOGIA APLICADA SRL</t>
  </si>
  <si>
    <t>DE Y DE DESOBSTRUCCIONES Y DESAGOTES S A</t>
  </si>
  <si>
    <t>DEALER INGENIERIA S.A.</t>
  </si>
  <si>
    <t>DEBAIRES   S.A.</t>
  </si>
  <si>
    <t>DECAVIAL S.A.I.C.A.C.</t>
  </si>
  <si>
    <t>DECAVIAL S.A.I.C.A.C. - ESUCO S.A. - SUPERCEMENTO S.A.I.C. - FIORITO - UTE</t>
  </si>
  <si>
    <t>DECAVIAL SAICAC</t>
  </si>
  <si>
    <t>DECAVIAL SAICAC - ESUCO SA - RP 46 - UTE</t>
  </si>
  <si>
    <t>DECON S.R.L.</t>
  </si>
  <si>
    <t>DEINOS SRL</t>
  </si>
  <si>
    <t>DEL BIANCO MIGUEL ANGEL</t>
  </si>
  <si>
    <t>DEL PARQUE SHOPPING CENTER SA</t>
  </si>
  <si>
    <t>DEL PLATA INGENIERIA S A</t>
  </si>
  <si>
    <t>DEL SUR CONSTRUCCIONES Y SERVICIOS S.R.L.</t>
  </si>
  <si>
    <t>DELEC CIENTIFICA ARGENTINA S.A.</t>
  </si>
  <si>
    <t>DELIKAT S A</t>
  </si>
  <si>
    <t>DELMIRA RUBIO</t>
  </si>
  <si>
    <t>DEMIAN QUINTANA</t>
  </si>
  <si>
    <t>DEMITTI ARIEL ADELQUI</t>
  </si>
  <si>
    <t>DENIS ROBERTO FURLAN</t>
  </si>
  <si>
    <t>DENVER FARMA S A</t>
  </si>
  <si>
    <t>DEPIMIEL S.R.L.</t>
  </si>
  <si>
    <t>DERBAU S.A.</t>
  </si>
  <si>
    <t>DERIVADOS VINICOS S.A.</t>
  </si>
  <si>
    <t>DES-CON SRL</t>
  </si>
  <si>
    <t>DESCONARQ S.R.L.</t>
  </si>
  <si>
    <t>DESIDERIO ZERIAL S A I C</t>
  </si>
  <si>
    <t>DESINMEC INGENIERIA S.A.</t>
  </si>
  <si>
    <t>DESOBSTRUCTORA ARGENTINA SA</t>
  </si>
  <si>
    <t>DESTILADOS PATAGONICOS S.R.L.</t>
  </si>
  <si>
    <t>DESTILERIA ARGENTINA DE PETROLEO SA</t>
  </si>
  <si>
    <t>DESYNTH S.A.</t>
  </si>
  <si>
    <t>DETEXA S R L</t>
  </si>
  <si>
    <t>DEUMA S.R.L.</t>
  </si>
  <si>
    <t>DEZACOR S.A.</t>
  </si>
  <si>
    <t>DGM DANGEROUS GOODS MANAGEMENT ARGENTINA S R L</t>
  </si>
  <si>
    <t>DI BACCO Y CIA S A</t>
  </si>
  <si>
    <t>DI PALMA S.R.L.</t>
  </si>
  <si>
    <t>DIACROM S A I C</t>
  </si>
  <si>
    <t>DIAGEO DE ARGENTINA S.A.</t>
  </si>
  <si>
    <t>DIAGRAMMA S A</t>
  </si>
  <si>
    <t>DIANA BEATRIZ SALEM</t>
  </si>
  <si>
    <t>DICLAS S.A.</t>
  </si>
  <si>
    <t>DICSYS S.A.</t>
  </si>
  <si>
    <t>DIEGO AARON ABKIEWICZ</t>
  </si>
  <si>
    <t>DIEGO ALBERTO ZAPATA</t>
  </si>
  <si>
    <t>DIEGO ALFONSO LOPEZ</t>
  </si>
  <si>
    <t>DIEGO ANDRES VILLARROEL</t>
  </si>
  <si>
    <t>DIEGO EDUARDO BARNES BERETTA</t>
  </si>
  <si>
    <t>DIEGO FABIAN LANGELLOTTI</t>
  </si>
  <si>
    <t>DIEGO GODOFREDO PERSON</t>
  </si>
  <si>
    <t>DIEGO JORGE FRASSETTO</t>
  </si>
  <si>
    <t>DIEGO MARTIN CASAS</t>
  </si>
  <si>
    <t>DIEGO MARTIN LUZURIAGA</t>
  </si>
  <si>
    <t>DIEGO MARTIN MORENO</t>
  </si>
  <si>
    <t>DIEGO MARTIN RIOS</t>
  </si>
  <si>
    <t>DIEGO MERINO</t>
  </si>
  <si>
    <t>DIEGO NICOLAS MARTELLI</t>
  </si>
  <si>
    <t>DIEGO RAMON ANGELONI</t>
  </si>
  <si>
    <t>DIEGO RAMON CABRERA</t>
  </si>
  <si>
    <t>DIEGO RODRIGO PASTORIZA</t>
  </si>
  <si>
    <t>DIEGO SEBASTIAN ALANIS</t>
  </si>
  <si>
    <t>DIEGO SEBASTIAN MENESES</t>
  </si>
  <si>
    <t>DIELECTRIC S.A</t>
  </si>
  <si>
    <t>DIELSA S A</t>
  </si>
  <si>
    <t>DIFEROIL S.A.</t>
  </si>
  <si>
    <t>DIGI-PLAY GROUP S.R.L.</t>
  </si>
  <si>
    <t>DIGITRACK S.R.L.</t>
  </si>
  <si>
    <t>DINNER ARGENTINA S.A.</t>
  </si>
  <si>
    <t>DIOXITEK SA</t>
  </si>
  <si>
    <t>DIPLOMATIC SERVICE S.A.</t>
  </si>
  <si>
    <t>DIRECTORES ARGENTINOS CINEMATOGRAFICOS</t>
  </si>
  <si>
    <t>DISAL S A</t>
  </si>
  <si>
    <t>DISEÑO PERFECTO SA</t>
  </si>
  <si>
    <t>DISTRIBAZ S.A.</t>
  </si>
  <si>
    <t>Distribebidas S.R.L.</t>
  </si>
  <si>
    <t>DISTRIBUIDORA CABRERA MUÑOZ S.A.</t>
  </si>
  <si>
    <t>DISTRIBUIDORA CASEROS ESPUMA DE POLIURETANO SA</t>
  </si>
  <si>
    <t>DISTRIBUIDORA COMERSUR S.A.</t>
  </si>
  <si>
    <t>DISTRIBUIDORA HEPEA</t>
  </si>
  <si>
    <t>DISTRIBUIDORA SOLIDARIA</t>
  </si>
  <si>
    <t>DJC S.A.</t>
  </si>
  <si>
    <t>DLP TOWERS S.R.L.</t>
  </si>
  <si>
    <t>DOCHAP S R L</t>
  </si>
  <si>
    <t>DOENA PHARMA S.A.</t>
  </si>
  <si>
    <t>DOF MANAGEMENT ARGENTINA SOCIEDAD ANONIMA</t>
  </si>
  <si>
    <t>DOLORES GAS SA</t>
  </si>
  <si>
    <t>DOM PAN S R L</t>
  </si>
  <si>
    <t>DOMAINE BOUSQUET S.A.</t>
  </si>
  <si>
    <t>DOMINGUEZ DIEGO MARTIN</t>
  </si>
  <si>
    <t>DOMINION INDUSTRY ARGENTINA SRL</t>
  </si>
  <si>
    <t>DON BASILIO SRL</t>
  </si>
  <si>
    <t>DON FABRICIO  SA</t>
  </si>
  <si>
    <t>DON GUILLERMO SRL</t>
  </si>
  <si>
    <t>DON NICO COMIDAS S.R.L.</t>
  </si>
  <si>
    <t>DONATO DANIEL TIBERIO</t>
  </si>
  <si>
    <t>DONATO ZURLO Y CIA S R L</t>
  </si>
  <si>
    <t xml:space="preserve">DORSO HERMANOS S.R.L. </t>
  </si>
  <si>
    <t>DOS SANTOS E HIJOS SOCIEDAD DE RESPONSABILIDAD LIMITADA</t>
  </si>
  <si>
    <t>DOSAM SOCIEDAD DE RESPONSABILIDAD LIMITADA</t>
  </si>
  <si>
    <t>DOSIVAC S A</t>
  </si>
  <si>
    <t>DOWELL FARMACEUTICA SRL</t>
  </si>
  <si>
    <t>DOXER S.A</t>
  </si>
  <si>
    <t>DPE SRL.</t>
  </si>
  <si>
    <t>DR. INGENIERIA Y SERVICIOS SRL</t>
  </si>
  <si>
    <t>DRACCO OLEOHIDRAULICA S.R.L.</t>
  </si>
  <si>
    <t>DRAGON S.A.</t>
  </si>
  <si>
    <t>DRAKO INSTALACIONES S.A.</t>
  </si>
  <si>
    <t>DRAKON S.A.</t>
  </si>
  <si>
    <t>DRESSL CARLOS EMILIO, DRESSL NOELIA LAURA, DRESSL NADIA BRENDA Y DRESSL MADELAINE ANDREA</t>
  </si>
  <si>
    <t>DRIPSA SRL</t>
  </si>
  <si>
    <t>DROMEX BIOTECH S.A.</t>
  </si>
  <si>
    <t>DROMEX S R L</t>
  </si>
  <si>
    <t>DSDO SRL</t>
  </si>
  <si>
    <t>DSL S.A.</t>
  </si>
  <si>
    <t>DUCSON GASTON</t>
  </si>
  <si>
    <t>DUETO GROUP S. R. L.</t>
  </si>
  <si>
    <t>DUFILA S.R.L.</t>
  </si>
  <si>
    <t>DUHAU S A</t>
  </si>
  <si>
    <t>DUILIO MARCELO BOTTARO</t>
  </si>
  <si>
    <t>DULFIX SA</t>
  </si>
  <si>
    <t>DUNLOP ARGENTINA S A</t>
  </si>
  <si>
    <t>DURACRIL GROUP S.A.</t>
  </si>
  <si>
    <t>DURAN DANIEL</t>
  </si>
  <si>
    <t>DVS CONSTRUCCIONES S.A.</t>
  </si>
  <si>
    <t>DYNAMIC ENERGY SOLUCIONES ENERGETICAS SOC. POR ACCIONES SIMPLIFICADA</t>
  </si>
  <si>
    <t>DAMIAN MAXIMILIANO KITAYAMA</t>
  </si>
  <si>
    <t>DANIEL ALEJANDRO LANDAETA</t>
  </si>
  <si>
    <t>DANIEL LUIS MALIZIA</t>
  </si>
  <si>
    <t>DEBRA TECNOLOGY  S. A.</t>
  </si>
  <si>
    <t>DEMETRIO ANASTOPULOS  S. A.</t>
  </si>
  <si>
    <t>DESIGN SUITES SA</t>
  </si>
  <si>
    <t>DIEGO ALEJANDRO ALLOLIO</t>
  </si>
  <si>
    <t>DIEGO ALEJANDRO ROBLES ZARATE</t>
  </si>
  <si>
    <t>DIEGO IGNACIO CAMPI</t>
  </si>
  <si>
    <t>DIRECCION NACIONAL DEL SERVICIO PENITENCIARIO FEDERAL</t>
  </si>
  <si>
    <t>DOLIUM S A</t>
  </si>
  <si>
    <t>DONDEDOBLA S.R.L.</t>
  </si>
  <si>
    <t>DR LAZAR Y CIA S A QUIMICA E INDUSTRIAL</t>
  </si>
  <si>
    <t>DURAPLAS SRL</t>
  </si>
  <si>
    <t>DYPEZ-DESARROLLOS Y PROYECTOS DE EZEIZA SA</t>
  </si>
  <si>
    <t>D Y E SOCIEDAD ANONIMA</t>
  </si>
  <si>
    <t>DANIEL IGNACIO ROBERTO FERNANDEZ</t>
  </si>
  <si>
    <t>DARIO FEDERICO MECA</t>
  </si>
  <si>
    <t>DIEGO MATIAS TROUSSEL</t>
  </si>
  <si>
    <t>DOMINGO JAVIER MATTIUSSO</t>
  </si>
  <si>
    <t>DANIEL ALBERTO FERNANDEZ</t>
  </si>
  <si>
    <t>DANIEL PEREZ MIÑO</t>
  </si>
  <si>
    <t>DANIELA ALEJANDRA VENEZIANO</t>
  </si>
  <si>
    <t>DARIO GERMAN GOROSITO</t>
  </si>
  <si>
    <t>DIEGO ENRIQUE RAMOS</t>
  </si>
  <si>
    <t>DIEGO MARTIN BRUERA</t>
  </si>
  <si>
    <t>DIEGO NORBERTO MAZZEI</t>
  </si>
  <si>
    <t>DIEGO RAMIRO CACCAVIELLO</t>
  </si>
  <si>
    <t>DINO EMANUEL LALANDA</t>
  </si>
  <si>
    <t>DOMINGO FELIPE PASTRANA</t>
  </si>
  <si>
    <t>DOS CERO CINCO S.A.</t>
  </si>
  <si>
    <t>DRAKAR S R L</t>
  </si>
  <si>
    <t>DYTER S. R. L.</t>
  </si>
  <si>
    <t>E</t>
  </si>
  <si>
    <t>E J P CONSTRUCCIONES SA</t>
  </si>
  <si>
    <t>E V A  SA</t>
  </si>
  <si>
    <t>E.I.C. INGENIERIA  SRL</t>
  </si>
  <si>
    <t>E.R.H.S.A.</t>
  </si>
  <si>
    <t>EBINOX MINING S. R. L.</t>
  </si>
  <si>
    <t>ECIGAS SRL</t>
  </si>
  <si>
    <t>ECIN SOLUCIONES SOCIEDAD DE RESPONSABILIDAD LIMITADA</t>
  </si>
  <si>
    <t>ECISA SERVICIOS INDUSTRIALES S.A.</t>
  </si>
  <si>
    <t>ECO MINERA S A</t>
  </si>
  <si>
    <t>ECO SERV S. A.</t>
  </si>
  <si>
    <t>ECO TERM INGENIERIA SRL</t>
  </si>
  <si>
    <t>ECOBUILDING CLIMATIZACION</t>
  </si>
  <si>
    <t>ECO-DYM S.R.L.</t>
  </si>
  <si>
    <t>ECOSAN SA</t>
  </si>
  <si>
    <t>ECOTANK S.A.</t>
  </si>
  <si>
    <t>ECOTEC CONSULTORES SA</t>
  </si>
  <si>
    <t>ECOZONO SAS</t>
  </si>
  <si>
    <t>EDACI S.R.L.</t>
  </si>
  <si>
    <t>EDECA SA</t>
  </si>
  <si>
    <t>EDGARDO ANDRES IVANIER</t>
  </si>
  <si>
    <t>EDGARDO ANGEL STEFANONI</t>
  </si>
  <si>
    <t>EDGARDO ARNOLDO PICCO</t>
  </si>
  <si>
    <t>EDGARDO BERTRAN CAMORS</t>
  </si>
  <si>
    <t>EDGARDO EXEQUIEL RUBIO</t>
  </si>
  <si>
    <t>EDGARDO MARCELO MASSACESI</t>
  </si>
  <si>
    <t>EDGARDO RAUL SALINAS</t>
  </si>
  <si>
    <t>EDGE SA</t>
  </si>
  <si>
    <t>EDIFICADORA MITRE SOCIEDAD ANONIMA COM CONSTRUCTORA IND FIN E INMOBILIARIA</t>
  </si>
  <si>
    <t>EDIFIKAR SRL</t>
  </si>
  <si>
    <t>EDIMAT SRL</t>
  </si>
  <si>
    <t>EDITORIAL PERFIL SOCIEDAD ANONIMA</t>
  </si>
  <si>
    <t>EDUARDO ANTONIO PFEIFER</t>
  </si>
  <si>
    <t>EDUARDO BELL</t>
  </si>
  <si>
    <t>EDUARDO CARLOS MOLTENI</t>
  </si>
  <si>
    <t>EDUARDO DAVID BECERRA</t>
  </si>
  <si>
    <t>EDUARDO ELBIO ITTERMANN</t>
  </si>
  <si>
    <t>EDUARDO ENRIQUE CALVIMONTE DURAN CANELAS</t>
  </si>
  <si>
    <t>EDUARDO GUSTAVO LUPI</t>
  </si>
  <si>
    <t>EDUARDO J BACIGALUPO SA</t>
  </si>
  <si>
    <t>EDUARDO JAVIER BEKERMAN</t>
  </si>
  <si>
    <t>EDUARDO JOSE CADERNO</t>
  </si>
  <si>
    <t>EDUARDO LORENZO DIEZ</t>
  </si>
  <si>
    <t>EDUARDO MANUEL DE GOICOURIA</t>
  </si>
  <si>
    <t>EDUARDO MANUEL SAN JUAN</t>
  </si>
  <si>
    <t>EDUARDO MARTIN</t>
  </si>
  <si>
    <t>EDUARDO OMAR PEANO</t>
  </si>
  <si>
    <t>EDUARDO ORESTES NIEVES PIAZZA</t>
  </si>
  <si>
    <t>EDUARDO OSCAR CAMIA</t>
  </si>
  <si>
    <t>EDUARDO SANTAMBROGIO Y CIA SRL</t>
  </si>
  <si>
    <t>EDUARDO SANTIAGO GROPPELLI</t>
  </si>
  <si>
    <t>EDUARDO SEBASTIAN CAÑADA, SEBASTIAN CAÑADA Y SANTIAGO CAÑADA PANAMET S.H</t>
  </si>
  <si>
    <t>EFEDE S.A.</t>
  </si>
  <si>
    <t>EINKAREM SA</t>
  </si>
  <si>
    <t>EINSCHLAG CONSTRUCCIONES S A</t>
  </si>
  <si>
    <t>EL ABU DON FAUSTO S.A.</t>
  </si>
  <si>
    <t>EL ALAMO SOCIEDAD SIMPLE DE FERRERO ANDRES JOSE Y FERRERO PEDRO</t>
  </si>
  <si>
    <t>Cheque contra entrega de mercadería a 30 días Fecha Factura.</t>
  </si>
  <si>
    <t>EL CHILLEN</t>
  </si>
  <si>
    <t>EL ESPARTANO SA</t>
  </si>
  <si>
    <t>EL HINOJO S.A.</t>
  </si>
  <si>
    <t>EL LUCERO DE LOURDES SA</t>
  </si>
  <si>
    <t>EL MAIPUENSE SA</t>
  </si>
  <si>
    <t>EL PATO MAQUINAS AGRICOLAS SRL</t>
  </si>
  <si>
    <t>EL PORTEÑO APARTMENTS LLC SUCURSAL ARGENTINA</t>
  </si>
  <si>
    <t>EL RENUEVO DE LUIS DILLON Y SANTIAGO GUTIERREZ SOC DE HECHO</t>
  </si>
  <si>
    <t>EL SALVADOR 4523 S.R.L.</t>
  </si>
  <si>
    <t>EL SOL DE BELLA VISTA SA</t>
  </si>
  <si>
    <t>EL TRONADOR SRL</t>
  </si>
  <si>
    <t>EL UNCO SOCIEDAD ANONIMA</t>
  </si>
  <si>
    <t>ELCOY SOCIEDAD ANONIMA</t>
  </si>
  <si>
    <t>ELECTRICIDAD DALUZ  SRL</t>
  </si>
  <si>
    <t>ELECTRICIDAD HM SRL</t>
  </si>
  <si>
    <t>ELECTRICIDAD NISE SRL</t>
  </si>
  <si>
    <t>ELECTRICIDAD SERRANO SA</t>
  </si>
  <si>
    <t>ELECTRO FLEMING S.R.L.</t>
  </si>
  <si>
    <t>ELECTROFUEGUINA SA</t>
  </si>
  <si>
    <t>ELECTROGESTION SRL</t>
  </si>
  <si>
    <t>ELECTROMECANICA BRENTA S.A.</t>
  </si>
  <si>
    <t>ELECTROMECANICA DEL NOA - SERVICIOS Y VENTAS SRL</t>
  </si>
  <si>
    <t>ELECTROMECANICA INSTAL-AR S.A.</t>
  </si>
  <si>
    <t>ELECTROMECANICA KERN SRL</t>
  </si>
  <si>
    <t>ELECTROMECANICA KOLOCSAR S A</t>
  </si>
  <si>
    <t>ELECTRONICA INDUSTRIAL SRL</t>
  </si>
  <si>
    <t>ELECTRONICA INTEGRAL APLICADA S.R.L.</t>
  </si>
  <si>
    <t>ELECTRONOR SRL</t>
  </si>
  <si>
    <t>ELECTROTECNIA GW S.A.</t>
  </si>
  <si>
    <t>ELECTROTECNICA INTEGRAL S.R.L</t>
  </si>
  <si>
    <t>ELECTROTERMA MAR DEL PLATA S.R.L.</t>
  </si>
  <si>
    <t>ELEKTRIM S.A</t>
  </si>
  <si>
    <t>ELEKTROGEN DE ARGENTINA SA</t>
  </si>
  <si>
    <t>ELEPRINT S.A.</t>
  </si>
  <si>
    <t>ELEPRINT SA - ECOPRENEUR SA - UTE</t>
  </si>
  <si>
    <t>ELETEC S. A. S.</t>
  </si>
  <si>
    <t>ELEVATE S.R.L.</t>
  </si>
  <si>
    <t>ELIBET S.A.</t>
  </si>
  <si>
    <t>ELIOVAC SA</t>
  </si>
  <si>
    <t>ELISA VERLA</t>
  </si>
  <si>
    <t>ELPIDA S.A.</t>
  </si>
  <si>
    <t>ELVIO JAVIER FERNANDEZ</t>
  </si>
  <si>
    <t>EMAS S.A.</t>
  </si>
  <si>
    <t>EMBOTELLADORA DEL ATLANTICO</t>
  </si>
  <si>
    <t>EMCOSERV S A</t>
  </si>
  <si>
    <t>EMEDEPLAST S.A.</t>
  </si>
  <si>
    <t>EMELAK S.A.</t>
  </si>
  <si>
    <t>EMEPA SA</t>
  </si>
  <si>
    <t>EMEPLAS SRL</t>
  </si>
  <si>
    <t>EMERSUS SRL</t>
  </si>
  <si>
    <t>EMILIANO BRUNO</t>
  </si>
  <si>
    <t>EMILIANO RODRIGUEZ LEONE</t>
  </si>
  <si>
    <t>EMILIANO SIMONETTI</t>
  </si>
  <si>
    <t>EMILIO GUSTAVO PATANE</t>
  </si>
  <si>
    <t>EMILIO JOSE MARIA CERATO</t>
  </si>
  <si>
    <t>EMILIO PABLO FLAMENCO</t>
  </si>
  <si>
    <t>EMMSA S.R.L.</t>
  </si>
  <si>
    <t>EMPESUR SA</t>
  </si>
  <si>
    <t>EMPIRE JOY BRIGHT</t>
  </si>
  <si>
    <t>EMPRENDIMIENTOS ABC S.A.</t>
  </si>
  <si>
    <t>EMPRENDIMIENTOS ANLUMAXIMON S.A</t>
  </si>
  <si>
    <t>EMPRENDIMIENTOS OHANA SA</t>
  </si>
  <si>
    <t>EMPRENDIMIENTOS Y SOLUCIONES INMOBILIARIAS S.A.</t>
  </si>
  <si>
    <t>EMPRESA ARGENTINA DE SOLUCIONES SATELITALES SOCIEDAD ANONIMA ARSAT</t>
  </si>
  <si>
    <t>EMPRESA CONSTRUCTORA ROQUE MOCCIOLA SOCIEDAD ANONIMA</t>
  </si>
  <si>
    <t>EMPRESA DE TRANSPORTES DON PEDRO S R L</t>
  </si>
  <si>
    <t>EMPRESA DISTRIBUIDORA Y COMERCIALIZADORA NORTE SOCIEDAD ANONIMA (EDENOR S A)</t>
  </si>
  <si>
    <t>EMSETEC SRL</t>
  </si>
  <si>
    <t>EMU ESTABLECIMIENTOS METALURGICOS UNIDOS SOCIEDAD ANONIMA INDUSTRIAL Y COMERCIAL</t>
  </si>
  <si>
    <t>ENAEX ARGENTINA S.R.L</t>
  </si>
  <si>
    <t>ENEL GENERACION COSTANERA SOCIEDAD ANONIMA</t>
  </si>
  <si>
    <t>ENERGE BA SA</t>
  </si>
  <si>
    <t>ENERGIA ARGENTINA S.A.</t>
  </si>
  <si>
    <t>ENERGIA COMPAÑIA PETROLERA S.A</t>
  </si>
  <si>
    <t>ENERGIA RENOVABLE SOCIEDAD ANONIMA</t>
  </si>
  <si>
    <t>ENERGIAS ECOLOGICAS DEL TUCUMAN S.A</t>
  </si>
  <si>
    <t>ENERGY GAS SOCIEDAD ANONIMA</t>
  </si>
  <si>
    <t>ENERGY LINK S.A.</t>
  </si>
  <si>
    <t>ENERMINDS SRL</t>
  </si>
  <si>
    <t>ENERQUEN SOCIEDAD DE RESPONSABILIDAD LIMITADA</t>
  </si>
  <si>
    <t>ENERSUD S.A</t>
  </si>
  <si>
    <t>ENERXIA</t>
  </si>
  <si>
    <t>ENOBRA S A</t>
  </si>
  <si>
    <t>ENOD S A</t>
  </si>
  <si>
    <t>ENRECO S.A.</t>
  </si>
  <si>
    <t>ENRIQUE ALDO BULA</t>
  </si>
  <si>
    <t>Enrique Demichelis</t>
  </si>
  <si>
    <t>ENRIQUE EDUARDO VERDE</t>
  </si>
  <si>
    <t>ENRIQUE GUILLERMO GERAGHTY</t>
  </si>
  <si>
    <t>ENRIQUE HERNAN ROSNATI</t>
  </si>
  <si>
    <t>ENRIQUE JAVIER ARAYA</t>
  </si>
  <si>
    <t>ENRIQUE JAVIER PAVESI</t>
  </si>
  <si>
    <t>ENRIQUE MARCELO DEMICHELIS</t>
  </si>
  <si>
    <t>ENRIQUE SALVADOR CHAIX</t>
  </si>
  <si>
    <t>ENSEMBLE S.R.L.</t>
  </si>
  <si>
    <t>ENTE ADMINISTRADOR DEL ASTILLERO RIO SANTIAGO</t>
  </si>
  <si>
    <t>ENTE AUTARQUICO MUNICIPAL PARA LA PRODUCCION INDUSTRIAL DE DULCES Y ALIMENTOS (P.I.D.A.)</t>
  </si>
  <si>
    <t>ENVIROLIFE S.R.L.</t>
  </si>
  <si>
    <t>ENZIMAS S A</t>
  </si>
  <si>
    <t>EPICENTRO GLP SA</t>
  </si>
  <si>
    <t xml:space="preserve">EPIX S.R.L. </t>
  </si>
  <si>
    <t>EQUIMAC SACIFEI</t>
  </si>
  <si>
    <t>EQUIPAMIENTOS BRACCO S. A.</t>
  </si>
  <si>
    <t>EQUIPMENT SA</t>
  </si>
  <si>
    <t>EQUIPO CONSTRUCTORAH S.R.L.</t>
  </si>
  <si>
    <t>EQUIPO INOX SAS</t>
  </si>
  <si>
    <t>EQUIPOS Y MAQUINARIAS SAS</t>
  </si>
  <si>
    <t>EQUIPOS Y SERVICIOS ESPERANZA S.R.L.</t>
  </si>
  <si>
    <t>ERGOS S A</t>
  </si>
  <si>
    <t>ERIKA ROSANNA HIPPER</t>
  </si>
  <si>
    <t>ERIOCHEM S.A.</t>
  </si>
  <si>
    <t>ERM ARGENTINA S A</t>
  </si>
  <si>
    <t>ERNESTO ARROYO</t>
  </si>
  <si>
    <t>ERNESTO MAYOL SOCIEDAD ANONIMA</t>
  </si>
  <si>
    <t>ESAT  SA</t>
  </si>
  <si>
    <t>ESCARZA MAQUINARIAS S.H DE ESCARZA PABLO A:Y.ESCARZA ALEJANDRO DIEGO</t>
  </si>
  <si>
    <t>ESCORIAL  S A I C</t>
  </si>
  <si>
    <t>ESE&amp;CC S.A.</t>
  </si>
  <si>
    <t>ESEICA NEA SOCIEDAD DE RESPONSABILIDAD LTDA.</t>
  </si>
  <si>
    <t>ESEKA SOCIEDAD ANONIMA</t>
  </si>
  <si>
    <t>ESKABE S A</t>
  </si>
  <si>
    <t>ESLAVA S.R.L.</t>
  </si>
  <si>
    <t>ESPACIO CREDI S.A.</t>
  </si>
  <si>
    <t>ESPACIOS ESTRELLA S.A.</t>
  </si>
  <si>
    <t>ESPLINTER SA</t>
  </si>
  <si>
    <t>ESTABLECIMIENTO DON EUGENIO S. R. L.</t>
  </si>
  <si>
    <t>ESTABLECIMIENTO FRIGORIFICO AZUL S A</t>
  </si>
  <si>
    <t>ESTABLECIMIENTO GANADERO QUEIROLO Y CIA SOC COLECTIVA</t>
  </si>
  <si>
    <t>ESTABLECIMIENTO HUMBERTO CANALE S A COMERCIAL INDUSTRIAL INMOBILIARIA Y FINANCIE</t>
  </si>
  <si>
    <t>ESTABLECIMIENTO PORCAL S.A.</t>
  </si>
  <si>
    <t>ESTABLECIMIENTO SAN CEFERINO S A</t>
  </si>
  <si>
    <t>ESTABLECIMIENTOS GASCON S.A.</t>
  </si>
  <si>
    <t>ESTAMPADOS RIOPLATENSE S A</t>
  </si>
  <si>
    <t>Cheque contra entrega de mercadería a 8 días fecha factura</t>
  </si>
  <si>
    <t>ESTANCIA EL JABALI S C A</t>
  </si>
  <si>
    <t>ESTANCIAS DE PATAGONIA SOCIEDAD ANONIMA</t>
  </si>
  <si>
    <t>ESTANCIAS FELICITAS S A A C I I Y F</t>
  </si>
  <si>
    <t>ESTEBAN EDUARDO DI PASQUO</t>
  </si>
  <si>
    <t>ESTEBAN GALLIE</t>
  </si>
  <si>
    <t>ESTEBAN MARTIN GIGLIO</t>
  </si>
  <si>
    <t>ESTECMA SA</t>
  </si>
  <si>
    <t>ESTERILMOR INGENIERIA SRL</t>
  </si>
  <si>
    <t>ESTRATEGIAS COMPETITIVAS S.A.</t>
  </si>
  <si>
    <t>ESTREMAR S.A.U.</t>
  </si>
  <si>
    <t>ESTRUCTURA BASE S.R.L.</t>
  </si>
  <si>
    <t>ESTRUCTURAS METALICAS DIN SA ARGENTINA</t>
  </si>
  <si>
    <t>ESTRUPLAST SRL</t>
  </si>
  <si>
    <t>ESTUDIO HYS S.R.L</t>
  </si>
  <si>
    <t>ESTUDIO WAGG SA</t>
  </si>
  <si>
    <t>ESUCO S.A. - RIVA S.A. - UTE</t>
  </si>
  <si>
    <t>ESUCO SA</t>
  </si>
  <si>
    <t>ETAMI SRL</t>
  </si>
  <si>
    <t>ETCHEGOYEN Y CIA S R L</t>
  </si>
  <si>
    <t>ETERNA COLOR SRL</t>
  </si>
  <si>
    <t>ETERNIT ARGENTINA SA</t>
  </si>
  <si>
    <t>Cuenta Corriente 15 días fecha factura</t>
  </si>
  <si>
    <t>ETILFARMA S A</t>
  </si>
  <si>
    <t>EUGENIO ALDO RISO</t>
  </si>
  <si>
    <t>EURO SWISS S.A.</t>
  </si>
  <si>
    <t>EUROPATAGONICA S A</t>
  </si>
  <si>
    <t>EUSTAQUIO VICENTE PARDO</t>
  </si>
  <si>
    <t>EVAPLAS SOCIEDAD ANONIMA</t>
  </si>
  <si>
    <t>EVARISTO ESTEBAN BERNAL</t>
  </si>
  <si>
    <t>EXECON S.R.L.</t>
  </si>
  <si>
    <t>EXPEDIT S.R.L.</t>
  </si>
  <si>
    <t>EXPORTADOR DE HAMBURGUESAS ARGENTINAS SA</t>
  </si>
  <si>
    <t>EXPRESO VIENTOS DEL SUR SOCIEDAD ANONIMA</t>
  </si>
  <si>
    <t>EXTIN RED S.A.</t>
  </si>
  <si>
    <t>EXTINGNORT S.R.L.</t>
  </si>
  <si>
    <t>EXTRUSYSTEM SOCIEDAD ANONIMA</t>
  </si>
  <si>
    <t>EYLENSTEIN FEDERICO HERNAN</t>
  </si>
  <si>
    <t>EZEQUIEL AUGUSTO CEBRIAN</t>
  </si>
  <si>
    <t>EZEQUIEL DE SIMONE</t>
  </si>
  <si>
    <t>EZEQUIEL GABRIEL TAMBURRINI</t>
  </si>
  <si>
    <t>EZEQUIEL GARCIA</t>
  </si>
  <si>
    <t>EZETA FIC E I S.A.</t>
  </si>
  <si>
    <t>ECRIN SA</t>
  </si>
  <si>
    <t>EDGARDO GUILLERMO ONNAINTY</t>
  </si>
  <si>
    <t>EDUARDO ANTONIO MONTELEONE</t>
  </si>
  <si>
    <t>EINSTED S.A</t>
  </si>
  <si>
    <t>EIT INGENIERIA Y PROYECTOS S.R.L</t>
  </si>
  <si>
    <t>EMMANUEL NICOLAS CAMACHO</t>
  </si>
  <si>
    <t>EMPRENDIMIENTO RIO GRANDE S.R.L.-RIVA S.A.I.I.C.F.A. U. T.</t>
  </si>
  <si>
    <t>ENDOSOLUTIONS SA</t>
  </si>
  <si>
    <t>ENRIQUE MARCELO CAPIEL</t>
  </si>
  <si>
    <t>EQUIPPING S A</t>
  </si>
  <si>
    <t>ESTABLECIMIENTO TIERRA FERTIL S.R.L.</t>
  </si>
  <si>
    <t>EL YAGUARON S.A.</t>
  </si>
  <si>
    <t>EMPRENDIMIENTOS MEDICOS S.A.</t>
  </si>
  <si>
    <t>ESTABLECIMIENTO LOS MOLINOS S A</t>
  </si>
  <si>
    <t>E-TEC S.A.</t>
  </si>
  <si>
    <t>ECOENERGY GLOBAL S. R. L.</t>
  </si>
  <si>
    <t>EDUARDO JAVIER DEL RIO</t>
  </si>
  <si>
    <t>ELECTRODESCUENTO S.A.</t>
  </si>
  <si>
    <t>ELIAS ALEJANDRO BUCHER</t>
  </si>
  <si>
    <t>EMBAJADA BRITANICA</t>
  </si>
  <si>
    <t>EMILIO GABRIEL OSSO</t>
  </si>
  <si>
    <t>EMSICA S R L</t>
  </si>
  <si>
    <t>ENERGIA LOCAL S.A.</t>
  </si>
  <si>
    <t>EQUIPAIRE OBRAS Y SERVICIOS SRL</t>
  </si>
  <si>
    <t>ERNESTO HORACIO SAAVEDRA</t>
  </si>
  <si>
    <t>ESTADO MAYOR GENERAL DE LA ARMADA</t>
  </si>
  <si>
    <t>ESTEBAN AUGUSTO SAVARELLI</t>
  </si>
  <si>
    <t>EUPRO HERRAMIENTAS</t>
  </si>
  <si>
    <t>F &amp; C GRUPPO S A</t>
  </si>
  <si>
    <t>F D DE SALERNO DANIEL Y MEDINA SERGIO</t>
  </si>
  <si>
    <t>F P INGENIERIA S.R.L.</t>
  </si>
  <si>
    <t>F V SOCIEDAD ANONIMA</t>
  </si>
  <si>
    <t>F.A.D.E.C.Y.A. S.A.</t>
  </si>
  <si>
    <t>F.G. INGENIERIA S.A.</t>
  </si>
  <si>
    <t>F.M. ALQ. S.A</t>
  </si>
  <si>
    <t>FA. NA. C.A.R. PAPEL S.A.</t>
  </si>
  <si>
    <t>FABIAN EDUARDO PINGET</t>
  </si>
  <si>
    <t>FABRICA ARGENTINA DE PORCELANAS ARMANINO S A I Y C</t>
  </si>
  <si>
    <t>FABRICA DE IMPLEMENTOS AGRICOLAS SOCIEDAD ANONIMA,INDUSTRIAL,COMERCIAL Y FIN."F.I.A.S.A."</t>
  </si>
  <si>
    <t>FABRICACIONES MILITARES SOCIEDAD DEL ESTADO</t>
  </si>
  <si>
    <t>FABRICIO GABRIEL DELUGO</t>
  </si>
  <si>
    <t>FABRICIO JAVIER ZAMPONI</t>
  </si>
  <si>
    <t>FABRICIO RAUL BOSCO</t>
  </si>
  <si>
    <t>FACTORIA AUTOPARTISTA SA</t>
  </si>
  <si>
    <t>FACUNDO DANIEL BAVA</t>
  </si>
  <si>
    <t>FACUNDO EMANUEL MOMIGLIANO</t>
  </si>
  <si>
    <t>FACUNDO EZEQUIEL QUESADA</t>
  </si>
  <si>
    <t>FACUNDO URIEL ESPOSITO</t>
  </si>
  <si>
    <t>FACYT I + D SA</t>
  </si>
  <si>
    <t>FADAC S A</t>
  </si>
  <si>
    <t>FADEL  SA</t>
  </si>
  <si>
    <t>FADEMI SA</t>
  </si>
  <si>
    <t>FADIAL S. R. L</t>
  </si>
  <si>
    <t>FAE S.A.</t>
  </si>
  <si>
    <t>FAEN S.A.</t>
  </si>
  <si>
    <t>FAETA SOCIEDAD ANONIMA INDUSTRIAL COMERCIAL FINANCIERA E INMOBILIARIA</t>
  </si>
  <si>
    <t>FAEVE SOCIEDAD ANONIMA</t>
  </si>
  <si>
    <t>FALERA S.A.</t>
  </si>
  <si>
    <t>FALMET  S R L</t>
  </si>
  <si>
    <t>FAMACRI INDUSTRIAL S.R.L.</t>
  </si>
  <si>
    <t>FAMET SRL</t>
  </si>
  <si>
    <t>FAMIQ S.R.L.</t>
  </si>
  <si>
    <t>FAMYC SA</t>
  </si>
  <si>
    <t>FAPCO S.A.</t>
  </si>
  <si>
    <t>FARADAY S A  I C F</t>
  </si>
  <si>
    <t>FAR-DOX SRL</t>
  </si>
  <si>
    <t>FAST CHEMICAL OIL SA</t>
  </si>
  <si>
    <t>FAST-CHEMICAL S.R.L</t>
  </si>
  <si>
    <t>FASZ SERVICE S.A.</t>
  </si>
  <si>
    <t>FATE SAICI</t>
  </si>
  <si>
    <t>FEBEL S R L</t>
  </si>
  <si>
    <t>FECOVITA FEDERACION DE COOPERATIVAS VITIVINICOLAS ARGENTINAS</t>
  </si>
  <si>
    <t>FEDERICO ARIEL RODRIGUEZ</t>
  </si>
  <si>
    <t>FEDERICO COSTA</t>
  </si>
  <si>
    <t>FEDERICO DANIEL MERCADO</t>
  </si>
  <si>
    <t>FEDERICO GROSZ</t>
  </si>
  <si>
    <t>FEDERICO JORGE PALLUA</t>
  </si>
  <si>
    <t>FEDERICO KRAEMER</t>
  </si>
  <si>
    <t>FEDERICO MIGUEL SALLAGO</t>
  </si>
  <si>
    <t>FEDERICO RAFAEL GRYS</t>
  </si>
  <si>
    <t>FEDERICO TOMAS VASICEK</t>
  </si>
  <si>
    <t>FEJUMAN S.R.L.</t>
  </si>
  <si>
    <t>FEJUROM SA</t>
  </si>
  <si>
    <t>FELIX A. MEDORO S.A.</t>
  </si>
  <si>
    <t>FEMEN S.A.</t>
  </si>
  <si>
    <t>FEMIC S.R.L.</t>
  </si>
  <si>
    <t>FENBER INGENIERIA SA</t>
  </si>
  <si>
    <t>FENSKE MIGUEL A JUAN C Y JOSE L</t>
  </si>
  <si>
    <t>FERNANDEZ LILIAN ESTHER</t>
  </si>
  <si>
    <t>FERNANDEZ TOLEDO SEBASTIAN</t>
  </si>
  <si>
    <t>FERNANDO ABEL GUTIERREZ</t>
  </si>
  <si>
    <t xml:space="preserve">FERNANDO ABRAHAM </t>
  </si>
  <si>
    <t>FERNANDO ADRIAN RUSSO Y SILVIO ANTONIO RUSSO SOCIEDAD DE HECHO</t>
  </si>
  <si>
    <t>FERNANDO CARLOS CONDE</t>
  </si>
  <si>
    <t>FERNANDO DAMIAN BOERO</t>
  </si>
  <si>
    <t>FERNANDO DAMIAN FERRONI</t>
  </si>
  <si>
    <t>FERNANDO DARIO ACOSTA</t>
  </si>
  <si>
    <t>FERNANDO EZEQUIEL RODRIGUEZ</t>
  </si>
  <si>
    <t>FERNANDO GABRIEL AMBRINI</t>
  </si>
  <si>
    <t>FERNANDO GUILLERMO PEREZ</t>
  </si>
  <si>
    <t>FERNANDO JAVIER GOMEZ WAIPAN</t>
  </si>
  <si>
    <t>FERNANDO LUIS PINI</t>
  </si>
  <si>
    <t>FERNANDO MANUEL SUJOLUZKY LABOS</t>
  </si>
  <si>
    <t>FERNANDO OSCAR PALAGI</t>
  </si>
  <si>
    <t>FERNANDO RAUL NARCISO RUSALEN</t>
  </si>
  <si>
    <t>FERNANDO RUBEN ALARCON</t>
  </si>
  <si>
    <t>FERRAMENTA BERTE S.R.L.</t>
  </si>
  <si>
    <t>FERRARO MATERIALES SRL</t>
  </si>
  <si>
    <t>FERRARO Y ASOCIADOS S.R.L.</t>
  </si>
  <si>
    <t>FERRESERV S. A. S.</t>
  </si>
  <si>
    <t>FERRETERIA INDUSTRIAL BOTTERO SA</t>
  </si>
  <si>
    <t>FERRETERIA Y MATERIALES S.R.L.</t>
  </si>
  <si>
    <t>FERRINOR S. A. S.</t>
  </si>
  <si>
    <t>FERROCLOR S.A.</t>
  </si>
  <si>
    <t>FERROSUR ROCA S.A.</t>
  </si>
  <si>
    <t>FERRUM SA DE CERAMICA Y METALURGIA</t>
  </si>
  <si>
    <t>FESSLER FRANCISCO JOSE</t>
  </si>
  <si>
    <t>FESTO S A</t>
  </si>
  <si>
    <t>FEVIAL S A</t>
  </si>
  <si>
    <t>FIBRAS ARGENTINAS SA</t>
  </si>
  <si>
    <t>FIDEERA CHIVILCOY S.A.</t>
  </si>
  <si>
    <t>FIDEICOMISO BONARDA &amp; CO</t>
  </si>
  <si>
    <t>FIDEICOMISO CENTRAL TERMOELECTRICA MANUEL BELGRANO</t>
  </si>
  <si>
    <t>FIDEICOMISO DE ADMINISTRACIÓN BELGRANO OFFICE</t>
  </si>
  <si>
    <t>FIDEICOMISO DE CONSTRUCCION AL COSTO THS PARQUE LELOIR</t>
  </si>
  <si>
    <t>FIDEICOMISO DE RECUPERACION CREDITICIA LEY 12726</t>
  </si>
  <si>
    <t>FIDEICOMISO FAMILIA DENEGRI</t>
  </si>
  <si>
    <t>FIDEICOMISO FRAGUEIRO ESQUINA COSTANERA</t>
  </si>
  <si>
    <t>FIDEICOMISO GASTOS COMUNES EDIFICIO SRA</t>
  </si>
  <si>
    <t>FIDEICOMISO INMOBILIARIO ESPACIOS LAS LOMAS</t>
  </si>
  <si>
    <t>FIDEICOMISO LIBERTADOR 15719</t>
  </si>
  <si>
    <t>FIDEICOMISO MEDAL COUNTRY CLUB PILAR</t>
  </si>
  <si>
    <t>FIDEICOMISO PERRO VAGO</t>
  </si>
  <si>
    <t>FIDEICOMISO PUEYRREDON 864</t>
  </si>
  <si>
    <t>FIDEICOMISO SAINT THOMAS CHICO</t>
  </si>
  <si>
    <t>FIDEICOMISO SANTA SOFIA</t>
  </si>
  <si>
    <t>FIDEICOMISO TORRE AMEGHINO</t>
  </si>
  <si>
    <t>FIGMAY S R L</t>
  </si>
  <si>
    <t>FILDAGUA S A</t>
  </si>
  <si>
    <t>FILIP SA</t>
  </si>
  <si>
    <t>FIMACO S A</t>
  </si>
  <si>
    <t>FINADIET SA COM IND FIN E INMOB</t>
  </si>
  <si>
    <t>FINCA FERTIL S.A</t>
  </si>
  <si>
    <t>FINNING ARGENTINA S.A.</t>
  </si>
  <si>
    <t>FIPLASTO SOCIEDAD ANONIMA</t>
  </si>
  <si>
    <t>FIRAM S R L</t>
  </si>
  <si>
    <t>FIRE &amp; INDUSTRIAL SAFETY WORLD S.A.</t>
  </si>
  <si>
    <t>FIRE CONTROL S.A.</t>
  </si>
  <si>
    <t>FIRMATEX  S.R.L.</t>
  </si>
  <si>
    <t>FIVEMASA S.A.</t>
  </si>
  <si>
    <t>FLAIR SRL</t>
  </si>
  <si>
    <t>FLAMEGATE SA</t>
  </si>
  <si>
    <t>FLARGENT SA</t>
  </si>
  <si>
    <t>FLAVIO HUGO PITTILINI</t>
  </si>
  <si>
    <t>FLEXOPLAST</t>
  </si>
  <si>
    <t>FLIPHAUSBA S.R.L.</t>
  </si>
  <si>
    <t>FLORIDA FUNGI S. R. L.</t>
  </si>
  <si>
    <t>FLOWTEC SRL</t>
  </si>
  <si>
    <t>FLOWVAL S R L</t>
  </si>
  <si>
    <t>FLUENCE ARGENTINA SA</t>
  </si>
  <si>
    <t>FLUIDSCONTROL S.A.</t>
  </si>
  <si>
    <t>FLUVIAL S R L</t>
  </si>
  <si>
    <t>FOHAMA ELECTROMECANICA SRL</t>
  </si>
  <si>
    <t>FOR DRINK SOCIEDAD ANONIMA</t>
  </si>
  <si>
    <t>FORESTAL GUATRACHE  SRL</t>
  </si>
  <si>
    <t>FORESTAL SAN FRANCISCO S.R.L.</t>
  </si>
  <si>
    <t>FORJA SUDAMERICANA S A</t>
  </si>
  <si>
    <t>FORTALEZA CE SOCIEDAD DE RESPONSABILIDAD LIMITADA</t>
  </si>
  <si>
    <t>FORTBENTON CO LABORATORIES S A</t>
  </si>
  <si>
    <t>FORTIN MAURE S A</t>
  </si>
  <si>
    <t>FOSCARI S R L</t>
  </si>
  <si>
    <t>FOTOQUALITY S A</t>
  </si>
  <si>
    <t>FOURCOMEX S.R.L</t>
  </si>
  <si>
    <t>FP SOLUCIONES</t>
  </si>
  <si>
    <t>FPC S.R.L. FLUID POWER CONNECTION</t>
  </si>
  <si>
    <t>FRA- BEN S.R.L.</t>
  </si>
  <si>
    <t>FRACALOSSI S A</t>
  </si>
  <si>
    <t>FRADEALCO S A</t>
  </si>
  <si>
    <t>FRANCELAB S A</t>
  </si>
  <si>
    <t>FRANCISCO ERNESTO ANTINORO</t>
  </si>
  <si>
    <t>FRANCISCO JAVIER CONTRERAS</t>
  </si>
  <si>
    <t>FRANCISCO SOLANO LOPEZ</t>
  </si>
  <si>
    <t>FRANCISCO SOMMA FERRANDO</t>
  </si>
  <si>
    <t>FRANCISCO WASHINGTON POBLETE</t>
  </si>
  <si>
    <t>FRANCO ANTONIO OLVEIRA PEROTTO</t>
  </si>
  <si>
    <t>FRANCO MARINO MACCHI</t>
  </si>
  <si>
    <t>FRATECNO S.A.</t>
  </si>
  <si>
    <t>FREDDO S.A.</t>
  </si>
  <si>
    <t>FREIRE 2954 S.R.L.</t>
  </si>
  <si>
    <t>FRESCO PEZ S.A</t>
  </si>
  <si>
    <t>FRESENIUS  MEDICAL CARE ARGENTINA SA</t>
  </si>
  <si>
    <t>FRESENIUS KABI SA</t>
  </si>
  <si>
    <t>FRICTIONLAB S.R.L.</t>
  </si>
  <si>
    <t>FRIDEVI SOCIEDAD ANONIMA FRIGORIFICA INDUSTRIAL Y COMERCIAL</t>
  </si>
  <si>
    <t>FRIGORIFICO COSTANZO S A</t>
  </si>
  <si>
    <t>FRIGORIFICO DE AVES SOYCHU SAICFIA</t>
  </si>
  <si>
    <t>FRIGORIFICO EL BIERZO S A</t>
  </si>
  <si>
    <t>FRIGORIFICO FAIMALI SOCIEDAD ANONIMA</t>
  </si>
  <si>
    <t>FRIGORIFICO GENERAL PICO S A</t>
  </si>
  <si>
    <t>FRIGORIFICO GORINA S A I C</t>
  </si>
  <si>
    <t>FRIGORIFICO LAMAR S A</t>
  </si>
  <si>
    <t>FRIGORIFICO MONTECARLO SA</t>
  </si>
  <si>
    <t>FRIGORIFICO SAN AGUSTIN SRL</t>
  </si>
  <si>
    <t>FRIGOTEC SRL</t>
  </si>
  <si>
    <t>FRIMONT S A</t>
  </si>
  <si>
    <t>FRIMSA SA</t>
  </si>
  <si>
    <t>FRIO INDUSTRIAS ARGENTINAS SOCIEDAD ANONIMA</t>
  </si>
  <si>
    <t>FRIO RAF S.A.</t>
  </si>
  <si>
    <t>FRIOCALOR TERMOMECANICA S. R. L.</t>
  </si>
  <si>
    <t>FRIOSERV CLIMATIZACIONES S.R.L.</t>
  </si>
  <si>
    <t>FRONTERA SA</t>
  </si>
  <si>
    <t>FRUTOS DEL CONLARA SA</t>
  </si>
  <si>
    <t>FRUTOS DEL VALLE PATAGONICO S.A</t>
  </si>
  <si>
    <t>FS24 S.R.L.</t>
  </si>
  <si>
    <t>FUEGO MAT SRL</t>
  </si>
  <si>
    <t>FUEGO RED S.A.</t>
  </si>
  <si>
    <t>FUEGOTECNIC S R L</t>
  </si>
  <si>
    <t>FUEL BUSINESS INTELLIGENCE S.A</t>
  </si>
  <si>
    <t>FUENTES RENOVABLES DE ENERGIA S.A.</t>
  </si>
  <si>
    <t>FUNDACION AZUD</t>
  </si>
  <si>
    <t>FUNDACION CRUZADA PATAGONICA</t>
  </si>
  <si>
    <t>FUNDACION DE LA FACULTAD DE INGENIERIA PARA LA TRANSFERENCIA TECNOLOGICA Y LA PROMOCION</t>
  </si>
  <si>
    <t>FUNDACION DE LA FACULTAD DE INGENIERIA PARA LA TRANSFERENCIA TECNOLOGICA Y LA PROMOCION DE</t>
  </si>
  <si>
    <t>FUNDACION INSTITUTO LELOIR</t>
  </si>
  <si>
    <t>FUNDACIÓN INSTITUTO QUIRURGICO DEL CALLAO</t>
  </si>
  <si>
    <t>FUNDACION JOSE A BALSEIRO</t>
  </si>
  <si>
    <t>FUNDACION MEDICA DE MAR DEL PLATA</t>
  </si>
  <si>
    <t>FUNDACION NUEVO HOGAR Y CENTRO DE ANCIANOS PARA LA COMUNIDAD JUDIA</t>
  </si>
  <si>
    <t>FUNDACION PASO A PASO</t>
  </si>
  <si>
    <t>FUNDACION PREVENTAE PARA EL ESTUDIO E INVESTIGACION DEL CANCER TEMPRANO DEL APARATO  DIGESTIVO</t>
  </si>
  <si>
    <t>FUNDACION RECALIFICAR PARA LA REINSERCION LABORAL</t>
  </si>
  <si>
    <t>FUNDACION UNIVERSIDAD DE LA MARINA MERCANTE</t>
  </si>
  <si>
    <t>FUNDACION UNIVERSIDAD NACIONAL DE SAN JUAN</t>
  </si>
  <si>
    <t>FUNDACION VIDAS SADIV</t>
  </si>
  <si>
    <t>FUNDICION COLDEN SOCIEDAD ANONIMA</t>
  </si>
  <si>
    <t>FUNDICION SANTIAGO MARTINEZ S.A.</t>
  </si>
  <si>
    <t>FUNDICIONES SAN JUSTO S.A.</t>
  </si>
  <si>
    <t>FUNES RICARDO Y VIOLA ADRIAN</t>
  </si>
  <si>
    <t>FUSION TERMOMECANICA S.R.L.</t>
  </si>
  <si>
    <t>F&amp;C SOLUTIONS  S. A. S.</t>
  </si>
  <si>
    <t>FABIO RICARDO LUNA</t>
  </si>
  <si>
    <t>FABRICIO DANIEL TESTA</t>
  </si>
  <si>
    <t>FACTORY SERVICE S.A.</t>
  </si>
  <si>
    <t>FACUNDO ALFREDO DOLDAN</t>
  </si>
  <si>
    <t>FAMILIA GRION S.R.L. (FABRICA DE CHACINADOS)</t>
  </si>
  <si>
    <t>FAPYC SA</t>
  </si>
  <si>
    <t>FEDERICO JAVIER SIEGRIST FUCHS</t>
  </si>
  <si>
    <t>FERJUAN S.R.L.</t>
  </si>
  <si>
    <t>FIDEICOMISO INMOBILIARIO PH ECO 8</t>
  </si>
  <si>
    <t>FIRPO SRL</t>
  </si>
  <si>
    <t>FLEXOCOLOR S A</t>
  </si>
  <si>
    <t>FRANCISCO RICARDO MAGLIOCCO</t>
  </si>
  <si>
    <t>FRIGORIFICO INDUSTRIAL DEL NORTE SA</t>
  </si>
  <si>
    <t>FUNDACION POLO TECNOLOGICO Y SOCIAL DE CATRIEL</t>
  </si>
  <si>
    <t>FUNDACION TEMAIKEN</t>
  </si>
  <si>
    <t>FARCA SRL</t>
  </si>
  <si>
    <t>FEDERICO ANDRES REZOLA</t>
  </si>
  <si>
    <t>FEDERICO JOSE GRECO</t>
  </si>
  <si>
    <t>FERNANDO FEDERICO MARINADO</t>
  </si>
  <si>
    <t>FERNANDO MIGUEL VERA</t>
  </si>
  <si>
    <t>FIDEICOMISO TRINIDAD</t>
  </si>
  <si>
    <t>FINCA BALCARCE SA</t>
  </si>
  <si>
    <t>FORBEN FERRETERIA INDUSTRIAL S C A</t>
  </si>
  <si>
    <t>FOX PETROL SA</t>
  </si>
  <si>
    <t>FRIGORIFICO MARK S.A.</t>
  </si>
  <si>
    <t>FUNDACION MEDICA DE BAHIA BLANCA</t>
  </si>
  <si>
    <t>F W ILUMINACION SRL</t>
  </si>
  <si>
    <t>F Y A BASILE S A I C I</t>
  </si>
  <si>
    <t>FEDERICO FERNANDO SILVESTRI</t>
  </si>
  <si>
    <t>FERNANDO JAVIER CHAMOUX</t>
  </si>
  <si>
    <t>FERRETERIA INDUSTRIAL BULON SUR SRL</t>
  </si>
  <si>
    <t>FRAMACO BOZDEMIR SA</t>
  </si>
  <si>
    <t>FRANCISCO GUTIERREZ</t>
  </si>
  <si>
    <t>FRANCISCO JOSE FESSLER</t>
  </si>
  <si>
    <t>FRANVITEX S.R.L.</t>
  </si>
  <si>
    <t>FULLMEC S.R.L.</t>
  </si>
  <si>
    <t>FUMICITRUS S.A</t>
  </si>
  <si>
    <t>G FLOW S A</t>
  </si>
  <si>
    <t>G P PHARM SA</t>
  </si>
  <si>
    <t>G2 M ARGENTINA S.A.</t>
  </si>
  <si>
    <t>GABRIEL ALEJANDRO SUBIABRE</t>
  </si>
  <si>
    <t>GABRIEL ESTEBAN MARCUZZO</t>
  </si>
  <si>
    <t>GABRIEL EZEQUIEL PEREZ</t>
  </si>
  <si>
    <t>GABRIEL IVAN BARROS</t>
  </si>
  <si>
    <t>GABRIEL MARCELO BRUNO</t>
  </si>
  <si>
    <t>GABRIEL PEONA</t>
  </si>
  <si>
    <t>GABRIEL WARPACHOWICZ</t>
  </si>
  <si>
    <t>GABRIELA BEATRIZ LORENZO</t>
  </si>
  <si>
    <t>GABRIELA ROXANA LEONE</t>
  </si>
  <si>
    <t>GABSER S.A.</t>
  </si>
  <si>
    <t>GADE PROYECTOS S.R.L.</t>
  </si>
  <si>
    <t>GAGLIANO GUSTAVO</t>
  </si>
  <si>
    <t>GALA SA</t>
  </si>
  <si>
    <t>GALAMB AGRO SRL</t>
  </si>
  <si>
    <t>GALFIONE Y CIA SOC DE RESP LTDA</t>
  </si>
  <si>
    <t>GALLUS-GALLUS S.R.L.</t>
  </si>
  <si>
    <t>GAMA NETWORKS S A</t>
  </si>
  <si>
    <t>GAMMA NUCLEAR SRL</t>
  </si>
  <si>
    <t>GANADERA RIO RUBENS SA</t>
  </si>
  <si>
    <t>GANADERA VALLE DE ANTA SA</t>
  </si>
  <si>
    <t>GARCIA HERMANOS AGROINDUSTRIAL SRL</t>
  </si>
  <si>
    <t>GARDEN CONSTRUCCIONES S.A.</t>
  </si>
  <si>
    <t>GARRUCHOS S A</t>
  </si>
  <si>
    <t>GAS CONTROL S.A.</t>
  </si>
  <si>
    <t>GAS ELECTRIC AMERICANA SRL</t>
  </si>
  <si>
    <t>GASBA CONSTRUCCIONES SRL</t>
  </si>
  <si>
    <t>GASES POMPEYA S A</t>
  </si>
  <si>
    <t>GASPAR CARLOS FERNANDEZ VIVA</t>
  </si>
  <si>
    <t>GASPAR ISIDRO GAZZOLA</t>
  </si>
  <si>
    <t>GASTAB SOCIEDAD ANONIMA</t>
  </si>
  <si>
    <t>GASTON MAURICIO TALNER</t>
  </si>
  <si>
    <t>GASTON MIGUEL FRANCO</t>
  </si>
  <si>
    <t>GATE GOURMET ARGENTINA SOCIEDAD DE RESPONSABILIDAD LIMITADA</t>
  </si>
  <si>
    <t>GC GESTION COMPARTIDA S.A.</t>
  </si>
  <si>
    <t>GCDI S.A</t>
  </si>
  <si>
    <t>GEA FARM TECHNOLOGIES ARGENTINA S R L</t>
  </si>
  <si>
    <t>GEA PROCESS ENGINEERING SA</t>
  </si>
  <si>
    <t>GEMEPE S A</t>
  </si>
  <si>
    <t>GENARO Y ANDRES DE STEFANO SACIAYG</t>
  </si>
  <si>
    <t>GENDARMERIA NACIONAL</t>
  </si>
  <si>
    <t>GENERACION MEDITERRANEA S.A.</t>
  </si>
  <si>
    <t>GENERAL ESSENCE S.A</t>
  </si>
  <si>
    <t>GENERAL PLASTIC CORP SA</t>
  </si>
  <si>
    <t>GENETICA DEL ESTE S.A</t>
  </si>
  <si>
    <t>GENOUD FORESTO INDUSTRIAL SA</t>
  </si>
  <si>
    <t>GENTE DE LA PAMPA S A</t>
  </si>
  <si>
    <t>GENTEC INSTALACIONES TERMOMECANICAS S.R.L</t>
  </si>
  <si>
    <t>GEO &amp;S- GERENCIAMIENTO DE OBRAS Y SERVICIOS SA</t>
  </si>
  <si>
    <t>GEOPETROL DRILLING S.A.</t>
  </si>
  <si>
    <t>GEOTUB S.A.</t>
  </si>
  <si>
    <t>GERALDINE ELIZABETH SONNEBORN</t>
  </si>
  <si>
    <t>GERARDO DAMIAN FERRERO</t>
  </si>
  <si>
    <t>GERARDO DANIEL COLOTTI</t>
  </si>
  <si>
    <t>GERARDO GODOY</t>
  </si>
  <si>
    <t>GERARDO RAMON Y CIA S A I C</t>
  </si>
  <si>
    <t>GERMAN ARIEL SACCOMANNO</t>
  </si>
  <si>
    <t>GERMAN ESTEBAN CAMPO</t>
  </si>
  <si>
    <t>GERMAN OSCAR SCHANZ</t>
  </si>
  <si>
    <t>GERMANO INGENIERIA SA</t>
  </si>
  <si>
    <t>GESTION ECOLOGICA SOCIEDAD DE RESPONSABILIDAD LIMITADA</t>
  </si>
  <si>
    <t>GESTION EMPRESARIAL S.R.L.</t>
  </si>
  <si>
    <t>GIBAUT HERMANOS MANUFACTURA DE CUEROS SOCIEDAD ANONIMA</t>
  </si>
  <si>
    <t>GIDETEC S.R.L.</t>
  </si>
  <si>
    <t>GIJON SOCIEDAD ANONIMA</t>
  </si>
  <si>
    <t>GIMENA RUZ</t>
  </si>
  <si>
    <t>GIMNASIOS ARGENTINOS S A</t>
  </si>
  <si>
    <t>GINSA SA</t>
  </si>
  <si>
    <t>GIOARA JORGE OSCAR ANGEL Y GIOARA JORGE AUGUSTO</t>
  </si>
  <si>
    <t>GISELA DENISE YACACHURY</t>
  </si>
  <si>
    <t>GISELA MARIANA BULANIKIAN</t>
  </si>
  <si>
    <t>GISELE MARIANA VILA</t>
  </si>
  <si>
    <t>GLADYS FLAMMINI</t>
  </si>
  <si>
    <t>GLAN S.R.L.</t>
  </si>
  <si>
    <t>GLENMARK GENERICS S.A.</t>
  </si>
  <si>
    <t>GLOBAL CLIMA S.R.L.</t>
  </si>
  <si>
    <t>GLOBAL SCHOOL S.A.</t>
  </si>
  <si>
    <t>GLOBAL TECHNOLOGIES S.A.</t>
  </si>
  <si>
    <t>GLOBAL TESTING SRL</t>
  </si>
  <si>
    <t>GLORIA ARGENTINA S.A</t>
  </si>
  <si>
    <t>GMR OIL SERVICES SRL</t>
  </si>
  <si>
    <t>GOBBI NOVAG SA</t>
  </si>
  <si>
    <t>GOBIERNO DE LA CIUDAD DE BUENOS AIRES</t>
  </si>
  <si>
    <t>GODOY POVIÑA SOCIEDAD ANONIMA</t>
  </si>
  <si>
    <t>GOLDEN HARVEST S.A.</t>
  </si>
  <si>
    <t>GOMAS SALTA S.R.L.</t>
  </si>
  <si>
    <t>GOMERIA  MOLVERT S.A.</t>
  </si>
  <si>
    <t>GOMERIA MOLVERT S.A.</t>
  </si>
  <si>
    <t>GOMEZ GERMAN ARIEL Y BARRIOS JUAN MIGUEL</t>
  </si>
  <si>
    <t>GONAIR S. R. L.</t>
  </si>
  <si>
    <t>GONZALO FABIAN DOMINGUEZ LAGANA</t>
  </si>
  <si>
    <t>GONZALO FERNANDEZ FERRARI</t>
  </si>
  <si>
    <t>GONZALO MARTIN MORALES</t>
  </si>
  <si>
    <t>GOOD FOOD SA</t>
  </si>
  <si>
    <t>GOOD SERVICE DE ZULLY MELO ALBANO Y RICHARD ALBANO PEREYRA S. CAP I SECC IV</t>
  </si>
  <si>
    <t>GOODENERGY S.R.L.</t>
  </si>
  <si>
    <t>GOTA A GOTA SRL</t>
  </si>
  <si>
    <t>GOTTERT S.A.</t>
  </si>
  <si>
    <t>GP INGENIERIA SRL</t>
  </si>
  <si>
    <t>Graciela Beatriz Lorenzo</t>
  </si>
  <si>
    <t>GRACIELA LILIANA TIBERTI</t>
  </si>
  <si>
    <t>GRACIELA SUSANA BARUD</t>
  </si>
  <si>
    <t>GRAFICA TEXTIL S. A. C. I Y F</t>
  </si>
  <si>
    <t>GRAMAJO GERARDO</t>
  </si>
  <si>
    <t>GRAN HOTEL ORLY SOCIEDAD ANONIMA</t>
  </si>
  <si>
    <t>GRANJA SANTA CAMILA S.R.L.</t>
  </si>
  <si>
    <t>GRANJAS RIOJANAS SAPEM</t>
  </si>
  <si>
    <t>GREEN GO S.A.</t>
  </si>
  <si>
    <t>GREEN INGENIERIA AMBIENTAL S.R.L.</t>
  </si>
  <si>
    <t>GREEN PACK SA</t>
  </si>
  <si>
    <t>GREEN SAIL S.A</t>
  </si>
  <si>
    <t>GREENTEC ARGENTINA SRL</t>
  </si>
  <si>
    <t>GREGORIO EDUARDO CARRA</t>
  </si>
  <si>
    <t>GROGNOLETTI, PABLO E. Y ALVARO R. S.S. SECC. IV S. CAP I SECC IV</t>
  </si>
  <si>
    <t>GROSVAN S.A.S.</t>
  </si>
  <si>
    <t>GRUAS SAN BLAS S A</t>
  </si>
  <si>
    <t>GRUMAN S.R.L.</t>
  </si>
  <si>
    <t>GRUPO ABACO S.A.</t>
  </si>
  <si>
    <t>GRUPO AGROINDUSTRIAL DEL SUR S.A.</t>
  </si>
  <si>
    <t>GRUPO ANNEX SOCIEDAD ANONIMA</t>
  </si>
  <si>
    <t>GRUPO APC SA</t>
  </si>
  <si>
    <t>GRUPO ARAB S.A.</t>
  </si>
  <si>
    <t>GRUPO BRAN S.A.</t>
  </si>
  <si>
    <t>GRUPO COMECA (ARGENTINA) SA</t>
  </si>
  <si>
    <t>GRUPO D S R L</t>
  </si>
  <si>
    <t>GRUPO ENSER DEL SUR SERVICIOS INTEGRALES S.A.</t>
  </si>
  <si>
    <t>GRUPO FORMAS SRL Y POWERCHINA LTD SUCURSAL DE EMPRESA EXTRANJERA UNION TRANSITORIA DE EMPR. U. T. E.</t>
  </si>
  <si>
    <t>GRUPO ISELEC S.R.L.</t>
  </si>
  <si>
    <t>GRUPO M Y E S.A.</t>
  </si>
  <si>
    <t>GRUPO MEGA ENERGIA S.A.S.</t>
  </si>
  <si>
    <t>GRUPO MTR S.A.</t>
  </si>
  <si>
    <t>GRUPO ODIM S.A.</t>
  </si>
  <si>
    <t>GRUPO PEÑAFLOR SA</t>
  </si>
  <si>
    <t>GRUPO TRES ELE S.R.L.</t>
  </si>
  <si>
    <t>GRUPO TRESNAL SRL</t>
  </si>
  <si>
    <t>GRUPO TUBOKS SRL</t>
  </si>
  <si>
    <t>GRUPRO S.A.</t>
  </si>
  <si>
    <t>GS TERMOMECANICA SRL</t>
  </si>
  <si>
    <t>GTRANS SRL</t>
  </si>
  <si>
    <t>GUALCO S A</t>
  </si>
  <si>
    <t>GUAMAFLO S.A.</t>
  </si>
  <si>
    <t>GUARDERIA NAUTICA SARTHOU SA</t>
  </si>
  <si>
    <t>GUEMES CONSTRUCCIONES S A</t>
  </si>
  <si>
    <t>GUERRERO GUSTAVO Y GUERRERO MATIA SOC DE HECHO</t>
  </si>
  <si>
    <t>GUIALEMAR SRL</t>
  </si>
  <si>
    <t>GUILLERMO DAVID SPINA</t>
  </si>
  <si>
    <t>GUILLERMO EDUARDO ARANA</t>
  </si>
  <si>
    <t>GUILLERMO EDUARDO QUINTIN</t>
  </si>
  <si>
    <t>GUILLERMO HEGOUABURU</t>
  </si>
  <si>
    <t>GUILLERMO HORACIO DONATO</t>
  </si>
  <si>
    <t>GUILLERMO JAVIER MANSO</t>
  </si>
  <si>
    <t>GUILLERMO LUIS TOLEDO</t>
  </si>
  <si>
    <t>GUILLERMO MARZAL</t>
  </si>
  <si>
    <t>GUILLERMO MIGUEL CANDIA</t>
  </si>
  <si>
    <t>GUILLERMO NUÑEZ</t>
  </si>
  <si>
    <t>GUILLERMO OSCAR KLOSS</t>
  </si>
  <si>
    <t>GUILLERMO OSCAR RODIL</t>
  </si>
  <si>
    <t>GUILLERMO PALLISSO S.R.L.</t>
  </si>
  <si>
    <t>GUILLERMO SCHWER</t>
  </si>
  <si>
    <t>GUILLERMO VANNI</t>
  </si>
  <si>
    <t>GUIU CALDERAS E INSTALACIONES</t>
  </si>
  <si>
    <t>GUIU EMILIO JAIME GUIU MARTIN MIGUEL Y GUIU JOSE ANTONIO SH</t>
  </si>
  <si>
    <t>GULMA S R L</t>
  </si>
  <si>
    <t>GULMEZ HERMANOS SOCIEDAD ANONIMA</t>
  </si>
  <si>
    <t>GUSTAVO ADRIAN LAZZARINO</t>
  </si>
  <si>
    <t>GUSTAVO ANDRES DE MENA</t>
  </si>
  <si>
    <t>GUSTAVO ANGEL COSTA</t>
  </si>
  <si>
    <t>GUSTAVO CESAR MARTINEZ</t>
  </si>
  <si>
    <t>GUSTAVO CESAR SANTIAGO</t>
  </si>
  <si>
    <t>GUSTAVO EMANUEL BALDUNCIEL</t>
  </si>
  <si>
    <t>GUSTAVO HERVE BALDUNCIEL</t>
  </si>
  <si>
    <t>GUSTAVO JAVIER CAMPETELLA</t>
  </si>
  <si>
    <t>g</t>
  </si>
  <si>
    <t>gustavo javier castillo</t>
  </si>
  <si>
    <t>GUSTAVO JAVIER MICELI</t>
  </si>
  <si>
    <t>GUSTAVO JAVIER VIEYTES</t>
  </si>
  <si>
    <t>GUSTAVO OMAR MARTINEZ</t>
  </si>
  <si>
    <t>GUSTAVO PABLO MAGDA</t>
  </si>
  <si>
    <t>GÜTE S.R.L.</t>
  </si>
  <si>
    <t>GUTE WASSER SAS</t>
  </si>
  <si>
    <t>GUTFA SERVICIOS Y MATERIALES SRL</t>
  </si>
  <si>
    <t>GUTIERREZ S.R.L</t>
  </si>
  <si>
    <t>GZ AVIACION S.R.L.</t>
  </si>
  <si>
    <t>GZ INGENIERIA Y PROYECTOS S.R.L.</t>
  </si>
  <si>
    <t>G N C DEL NORTE SA</t>
  </si>
  <si>
    <t>GABRIEL ALEJANDRO RAMIREZ</t>
  </si>
  <si>
    <t>GALAN LITIO S. A.</t>
  </si>
  <si>
    <t>GALZZI SRL</t>
  </si>
  <si>
    <t>GENETICA PORCINA DANESA S.A.</t>
  </si>
  <si>
    <t>GERARDO OMAR VALIANI</t>
  </si>
  <si>
    <t>GERI   S A</t>
  </si>
  <si>
    <t>GK.INTERNATIONAL S.R.L.</t>
  </si>
  <si>
    <t>GLOBAL OIL S.R.L</t>
  </si>
  <si>
    <t>GONZALO OSCAR LEIVA GAROFALO</t>
  </si>
  <si>
    <t>GRISELDA JUDITH VILLA</t>
  </si>
  <si>
    <t>GRUPO COMECA (ARGENTINA) S. A.</t>
  </si>
  <si>
    <t>GRUPO IDF S. A. S.</t>
  </si>
  <si>
    <t>Cheque contra entrega de mercadería a 30 días fecha factura</t>
  </si>
  <si>
    <t>GRUPO INBIO S.A.</t>
  </si>
  <si>
    <t>GUILLERMO DANIEL WERNER</t>
  </si>
  <si>
    <t>GUILLERMO DAQUINO</t>
  </si>
  <si>
    <t>GUILLERMO FABIAN NUÑEZ</t>
  </si>
  <si>
    <t>GUILLERMO FARRELL MELE</t>
  </si>
  <si>
    <t>GUILLERMO RUBEN VILLAGRAN</t>
  </si>
  <si>
    <t>GUSTAVO ALEJANDRO BOSCO</t>
  </si>
  <si>
    <t>GUSTAVO DAMIAN MARANDO</t>
  </si>
  <si>
    <t>GABRIEL ELIAS ROBERTO LEIRIA</t>
  </si>
  <si>
    <t>GABRIELA VILLAR</t>
  </si>
  <si>
    <t>GASREN SRL</t>
  </si>
  <si>
    <t>GAUSTIN S.A.S.</t>
  </si>
  <si>
    <t>GENERAL LAS HERAS S.A.</t>
  </si>
  <si>
    <t>GENOIL CO SA</t>
  </si>
  <si>
    <t>GERARDINE ZULEINY ACOSTA GUAREMA</t>
  </si>
  <si>
    <t>GERARDO MIGUEL FERNANDEZ</t>
  </si>
  <si>
    <t>GR8 TRADING S.R.L.</t>
  </si>
  <si>
    <t>GREGORIO NUMO Y NOEL WERTHEIN S A AGRICOLA GANADERA COMERCIAL E INMOBILIARIA</t>
  </si>
  <si>
    <t>GRUPOS ELECTROGENOS DEL ATLANTICO SRL</t>
  </si>
  <si>
    <t>GUILLERMO MOORE</t>
  </si>
  <si>
    <t>GYMNOS S.A.</t>
  </si>
  <si>
    <t>G2M S.R.L.</t>
  </si>
  <si>
    <t>GABRIEL EDGARDO ESCOBAR</t>
  </si>
  <si>
    <t>GATE PRIORITY S.A.</t>
  </si>
  <si>
    <t>GENERACION LITORAL S.A.</t>
  </si>
  <si>
    <t>GERARDO OSCAR GALVAN</t>
  </si>
  <si>
    <t>GERMAN DARIO GALAVERNA</t>
  </si>
  <si>
    <t>GESTION INMOBILIARIA DEL NORTE S.A.</t>
  </si>
  <si>
    <t>GIULIANI HERMANOS SOCIEDAD ANONIMA</t>
  </si>
  <si>
    <t>GONZALO GASTON TOLOSA ALVAREZ</t>
  </si>
  <si>
    <t>GONZALO RAMIRO LUCAS</t>
  </si>
  <si>
    <t>GREXSE S.A.</t>
  </si>
  <si>
    <t>GRUPO CARRASCO S.R.L.</t>
  </si>
  <si>
    <t>GRUPO SINOTEK S.A.</t>
  </si>
  <si>
    <t>GUILLERMO DARIO ORIHUELA</t>
  </si>
  <si>
    <t>GUILLERMO IGNACIO MOSCOLONI</t>
  </si>
  <si>
    <t>H L RODRIGUEZ SRL</t>
  </si>
  <si>
    <t>H17 S.A.S</t>
  </si>
  <si>
    <t>H2OBRAS S.R.L.</t>
  </si>
  <si>
    <t>HABASIT ARGENTINA SA</t>
  </si>
  <si>
    <t>HAFE S.R.L.</t>
  </si>
  <si>
    <t>HAMESVA SRL</t>
  </si>
  <si>
    <t>HAMMERSMARK S.A.</t>
  </si>
  <si>
    <t>HARDVAL S A</t>
  </si>
  <si>
    <t>HAVANNA S A</t>
  </si>
  <si>
    <t>HAYDEE MABEL RICCIARDELLI</t>
  </si>
  <si>
    <t>HE TERMICAS S.R.L.</t>
  </si>
  <si>
    <t>HEBRON SERVICE INDUSTRIAL</t>
  </si>
  <si>
    <t>HECTOR BILBANO LUNA</t>
  </si>
  <si>
    <t>HECTOR BORIS BICK</t>
  </si>
  <si>
    <t>HECTOR DANIEL BARRIO</t>
  </si>
  <si>
    <t>HECTOR DANIEL TAVELLA</t>
  </si>
  <si>
    <t>HECTOR ENRIQUE SANCHEZ</t>
  </si>
  <si>
    <t>HECTOR HUMBERTO AGUIRRE</t>
  </si>
  <si>
    <t>HECTOR HUMBERTO FLOCCO</t>
  </si>
  <si>
    <t>HECTOR JUAN REIRIS</t>
  </si>
  <si>
    <t>HECTOR LUIS CAVAGNA E HIJOS</t>
  </si>
  <si>
    <t>HECTOR LUIS CORTI</t>
  </si>
  <si>
    <t>HECTOR QUATTROMANO</t>
  </si>
  <si>
    <t>HECTOR RAMON KRUYENISKI</t>
  </si>
  <si>
    <t>HECTOR RODOLFO NICOLAI</t>
  </si>
  <si>
    <t>HECTOR RUBEN PULELLA</t>
  </si>
  <si>
    <t>HECTOR TORGOVNICK</t>
  </si>
  <si>
    <t>HECTOR V LOSI Y CIA S R L</t>
  </si>
  <si>
    <t>HEFESTO GROUP S.A.</t>
  </si>
  <si>
    <t>HEICENREDER RAUL Y HEICENREDER RUBEN D. SOC. DE HECHO</t>
  </si>
  <si>
    <t>HEJ METAL-MECANICA S.R.L.</t>
  </si>
  <si>
    <t>HELPA  S.A.</t>
  </si>
  <si>
    <t>HEMPEL ARGENTINA S R L</t>
  </si>
  <si>
    <t>HENN Y CIA SRL</t>
  </si>
  <si>
    <t>HENRY ALFREDO MIGUEL SIMONDI</t>
  </si>
  <si>
    <t>HERCAL DE JUAN CARLOS ENSE Y SANDRA ZULEMA HEIT</t>
  </si>
  <si>
    <t>HERLEO S.R.L.</t>
  </si>
  <si>
    <t>HERMAC INGENIERIA SA</t>
  </si>
  <si>
    <t>HERMAC SOCIEDAD ANONIMA INDUSTRIAL Y COMERCIAL</t>
  </si>
  <si>
    <t>HERMAN ADALBERTO GRUNBERG</t>
  </si>
  <si>
    <t>HERMETAL S A</t>
  </si>
  <si>
    <t>HERNAN ADDUCCI</t>
  </si>
  <si>
    <t>HERNAN DARIO GENTILE</t>
  </si>
  <si>
    <t>HERNAN EMILIO FONT</t>
  </si>
  <si>
    <t>HERNAN GABRIEL MAIDANA</t>
  </si>
  <si>
    <t>HERNAN JOSE MONTERO</t>
  </si>
  <si>
    <t>HERNAN MANRIQUE S A</t>
  </si>
  <si>
    <t>HERRAMIENTAS FAPRO SRL.</t>
  </si>
  <si>
    <t>HERROSUR S.R.L.</t>
  </si>
  <si>
    <t>HERSO SA</t>
  </si>
  <si>
    <t>HGV S.A.</t>
  </si>
  <si>
    <t>HICA INTEGRADA S.R.L</t>
  </si>
  <si>
    <t>HIDDEN LAKE S A</t>
  </si>
  <si>
    <t>HIDRACIL SA</t>
  </si>
  <si>
    <t>HIDRATOOLS SOCIEDAD ANONIMA</t>
  </si>
  <si>
    <t>HIDRAULICA C &amp; C S.R.L.</t>
  </si>
  <si>
    <t>HIDRAULICA CONSTITUCION S R L</t>
  </si>
  <si>
    <t>HIDRAULICA CVC S.A.S.</t>
  </si>
  <si>
    <t>HIDRAULICA DC S.R.L.</t>
  </si>
  <si>
    <t>HIDRAULICA MULLER SA</t>
  </si>
  <si>
    <t>HIDRAULICA RUBBER</t>
  </si>
  <si>
    <t>HIDRAULICA SITE S.R.L.</t>
  </si>
  <si>
    <t>HIDRICA SAN LUIS S.R.L.</t>
  </si>
  <si>
    <t>HIDROAR S A</t>
  </si>
  <si>
    <t>HIDROCARBUROS ARGENTINOS S A</t>
  </si>
  <si>
    <t>HIDROCINETIC S.A.</t>
  </si>
  <si>
    <t>HIDROELECTRICA FUTALEUFU S A</t>
  </si>
  <si>
    <t>HIDROELECTRICA TUCUMAN S. A.</t>
  </si>
  <si>
    <t>HIDROIL S.R.L.</t>
  </si>
  <si>
    <t>HIDROMEC S R L</t>
  </si>
  <si>
    <t>HIDROPLAS S. A. S.</t>
  </si>
  <si>
    <t>HIGH LUCK GROUP LIMITED</t>
  </si>
  <si>
    <t>HIGH TECHNOLOGY SYSTEMS S.A.</t>
  </si>
  <si>
    <t>HIGHGARDEN S.R.L.</t>
  </si>
  <si>
    <t>HILADO SOCIEDAD ANONIMA</t>
  </si>
  <si>
    <t>HILANDERIA Y TINTORERIA INDUSTRIAL BECCAR SRL</t>
  </si>
  <si>
    <t>HILCINT SRL</t>
  </si>
  <si>
    <t>HISAN SA</t>
  </si>
  <si>
    <t>HITEC SRL</t>
  </si>
  <si>
    <t>HITOOLS S.A.S.</t>
  </si>
  <si>
    <t>HLADAN INSTALACIONES S.R.L.</t>
  </si>
  <si>
    <t>HLB PHARMA GROUP SA</t>
  </si>
  <si>
    <t>HM CONSULTORES S.R.L.</t>
  </si>
  <si>
    <t>HOERBIGER DE ARGENTINA SA</t>
  </si>
  <si>
    <t>HOFRA SRL</t>
  </si>
  <si>
    <t>HOGAR ESLOVENO PRISTAVA ASOCIACION CIVIL</t>
  </si>
  <si>
    <t>HOJALMAR SOCIEDAD ANONIMA</t>
  </si>
  <si>
    <t>HOLIDAY INC SOCIEDAD ANONIMA</t>
  </si>
  <si>
    <t>HONGOS DEL PILAR S.A.</t>
  </si>
  <si>
    <t>HORACIO ADOLFO SCHROEDER</t>
  </si>
  <si>
    <t>HORACIO ADRIAN ARCE</t>
  </si>
  <si>
    <t>HORACIO ALBERTO ARBE</t>
  </si>
  <si>
    <t>HORACIO DAVID MORLACCHI</t>
  </si>
  <si>
    <t>HORACIO GABRIEL LACERNA</t>
  </si>
  <si>
    <t>HORACIO HECTOR PEREZ</t>
  </si>
  <si>
    <t>HORACIO LEON PIÑERO</t>
  </si>
  <si>
    <t>HORACIO MUT</t>
  </si>
  <si>
    <t>HORACIO NAFFA Y BRUNO NAFFA</t>
  </si>
  <si>
    <t>HORACIO NORBERTO GARCIA VALENTI</t>
  </si>
  <si>
    <t>HORACIO NORBERTO VAZQUEZ</t>
  </si>
  <si>
    <t>HORACIO SANTIAGO MENDEZ</t>
  </si>
  <si>
    <t>HORIZONTE S A C I F I</t>
  </si>
  <si>
    <t>HORMITEC PREMOLDEADOS S.R.L.</t>
  </si>
  <si>
    <t>HORNOS Y CALDERAS INDUSTRIALES S.A.</t>
  </si>
  <si>
    <t>HOSPITAL  DR JULIO C PERRANDO</t>
  </si>
  <si>
    <t>HOSPITAL DELICIA CONCEPCION MASVERNAT</t>
  </si>
  <si>
    <t>HOSPITAL ITALIANO DE LA PLATA ASOCIACIONDE SOCORROS MUTUOS Y BENEFICENCIA</t>
  </si>
  <si>
    <t>HOSPITAL PRIVADO REGIONAL DEL SUR SA</t>
  </si>
  <si>
    <t>HOTEL SALTA S A</t>
  </si>
  <si>
    <t>HOTEL TERMAL DOLORES S.A.</t>
  </si>
  <si>
    <t>HOTEL TORENA SRL</t>
  </si>
  <si>
    <t>HOTELERA MISIONES S A C I F I</t>
  </si>
  <si>
    <t>HOTELERA REGAL PACIFIC S.A.</t>
  </si>
  <si>
    <t>HOTELES GOLD S.A.</t>
  </si>
  <si>
    <t>HOUSE PRIME S.A.</t>
  </si>
  <si>
    <t>HS WATER SOLUTIONS SRL</t>
  </si>
  <si>
    <t>HUASI CONSTRUCCIONES S R L</t>
  </si>
  <si>
    <t>HUDICONCI SOCIEDAD ANONIMA</t>
  </si>
  <si>
    <t>HUGO BRESCIA S A</t>
  </si>
  <si>
    <t>HUGO SEBASTIAN DULBECCO</t>
  </si>
  <si>
    <t>HYDAC TECHNOLOGY ARGENTINA S.R.L.</t>
  </si>
  <si>
    <t>HYDRASER S.A.</t>
  </si>
  <si>
    <t>HYDRAULIK S.R.L.</t>
  </si>
  <si>
    <t>HYDRO SOLUTION SRL</t>
  </si>
  <si>
    <t>HYPERCAM SRL</t>
  </si>
  <si>
    <t>HYTEC S.A.</t>
  </si>
  <si>
    <t>H.L.CATAMARCA SOCIEDAD ANONIMA</t>
  </si>
  <si>
    <t>HIDROELECTRICA AMEGHINO S A</t>
  </si>
  <si>
    <t>HOGAR CONSTRUCCIONES SA</t>
  </si>
  <si>
    <t>HUNIMAR SRL</t>
  </si>
  <si>
    <t>HYDRA ARGENTINA S.A.-ARECCO INGENIERIAS.A. U.T. BUNKER DE LA RIA</t>
  </si>
  <si>
    <t>HERMAN WACHTMEISTER</t>
  </si>
  <si>
    <t>HP CONSTRUCCIONES SOCIEDAD ANONIMA</t>
  </si>
  <si>
    <t>HUGO ALEJANDRO VIANI</t>
  </si>
  <si>
    <t>HUGO CESAR MORAIZ</t>
  </si>
  <si>
    <t>H.D.C. INTERNATIONAL S.A.</t>
  </si>
  <si>
    <t>HECTOR HUGO BRUNO</t>
  </si>
  <si>
    <t>HECTOR JESUS CITERONI</t>
  </si>
  <si>
    <t>HEMDORA S.A.</t>
  </si>
  <si>
    <t>HERNAN MARCELO INI</t>
  </si>
  <si>
    <t>HIDROFRAC S.A.</t>
  </si>
  <si>
    <t>HILLMANN S.A.</t>
  </si>
  <si>
    <t>HUGO BASILOTTA</t>
  </si>
  <si>
    <t>HUMBERTO MIGUEL CORTES</t>
  </si>
  <si>
    <t>I C F S A</t>
  </si>
  <si>
    <t>I P H  SOCIEDAD ANONIMA INDUSTRIAL COMERCIAL FINANCIERA</t>
  </si>
  <si>
    <t>I.C.C. INGENIERIA S.R.L.</t>
  </si>
  <si>
    <t>I.ES.A. S.R.L</t>
  </si>
  <si>
    <t>I.M.M.E.C.  SA</t>
  </si>
  <si>
    <t>I.M.P. ARGENTINA SRL</t>
  </si>
  <si>
    <t>IABA PROYECTOS Y MONTAJES SRL</t>
  </si>
  <si>
    <t>IACO CONSTRUCCIONES S A</t>
  </si>
  <si>
    <t>IACOVINO Y ASOCIADOS</t>
  </si>
  <si>
    <t>IBAÑEZ SILVIO H. Y FERNANDEZ ROBERTO A. SOCIEDAD SIMPLE</t>
  </si>
  <si>
    <t>IBAÑEZ SOLER INGENIERIA S A</t>
  </si>
  <si>
    <t>ICE SERVICIOS SA</t>
  </si>
  <si>
    <t>IDENOR INGENIERIA S.R.L.</t>
  </si>
  <si>
    <t>IDESA SOCIEDAD DE RESPONSABILIDAD LIMITADA</t>
  </si>
  <si>
    <t>IDRIS PATAGONIA SA</t>
  </si>
  <si>
    <t>IDS BOILER S.R.L.</t>
  </si>
  <si>
    <t>IFCI SERVICIO INTEGRAL S.A.</t>
  </si>
  <si>
    <t>IGARRETA MAQUINAS SA</t>
  </si>
  <si>
    <t>IGARRETA S A C I</t>
  </si>
  <si>
    <t>IGLESIA BUENAS NUEVAS PUERTA DEL CIELO</t>
  </si>
  <si>
    <t>IGLESIA Y PASQUALINI HNOS SAICIFA</t>
  </si>
  <si>
    <t>IGLESIAS JORGE ALEJANDRO</t>
  </si>
  <si>
    <t>IGN INTERNACIONAL S.R.L.</t>
  </si>
  <si>
    <t>IGNACIO DARIO PERASSI</t>
  </si>
  <si>
    <t>IGNACIO JAVIER SOLIAN</t>
  </si>
  <si>
    <t>IG-TEX S A</t>
  </si>
  <si>
    <t>IMA SERVICIOS INDUSTRIALES ARGENTINA S.A.</t>
  </si>
  <si>
    <t>IMARTEC SRL</t>
  </si>
  <si>
    <t>IMATECSA S.A.</t>
  </si>
  <si>
    <t>IMB OIL S.R.L.</t>
  </si>
  <si>
    <t>IMBROTEX S.R.L.</t>
  </si>
  <si>
    <t>IMC INGENIERIA Y MONTAJES INDUSTRIALES S.A</t>
  </si>
  <si>
    <t>IMET SRL</t>
  </si>
  <si>
    <t>IMIEM S. A.</t>
  </si>
  <si>
    <t>IMPREGNA CONCORDIA  S. A.</t>
  </si>
  <si>
    <t>IN PRIMIS S. R. L.</t>
  </si>
  <si>
    <t>INAP  S R L</t>
  </si>
  <si>
    <t>INAPCON SOCIEDAD ANONIMA</t>
  </si>
  <si>
    <t>INARTERCO SA</t>
  </si>
  <si>
    <t>INCA INDUSTRIA DE CONGLOMERADOS Y AISLANTES S.A.I.C. S. A.</t>
  </si>
  <si>
    <t>INCALFER S R L</t>
  </si>
  <si>
    <t>INCORT PLAST SRL</t>
  </si>
  <si>
    <t>INDALTEC SA</t>
  </si>
  <si>
    <t>INDAVEL</t>
  </si>
  <si>
    <t>INDEMET S A</t>
  </si>
  <si>
    <t>INDOMATRIX S.A.</t>
  </si>
  <si>
    <t>INDPLASTEC SA</t>
  </si>
  <si>
    <t>INDUBOM SRL</t>
  </si>
  <si>
    <t>INDUMATICS S.A.</t>
  </si>
  <si>
    <t>INDUNOR SOCIEDAD ANONIMA</t>
  </si>
  <si>
    <t>INDUQUIMICA ARGENTINA SA</t>
  </si>
  <si>
    <t>INDUSTRIA ARGENTINA DE AISLACIONES SA</t>
  </si>
  <si>
    <t>INDUSTRIA FERRETERA CENTRAL S. R. L.</t>
  </si>
  <si>
    <t>INDUSTRIA METALURGICA HYG INGENIERIA MASARIN S.R.L.</t>
  </si>
  <si>
    <t>INDUSTRIA METALURGICA KEVIN S. A. S.</t>
  </si>
  <si>
    <t>INDUSTRIAL BELGRANO S.A.</t>
  </si>
  <si>
    <t>INDUSTRIAL DECKERT SRL</t>
  </si>
  <si>
    <t>INDUSTRIAL GAONA S.A.</t>
  </si>
  <si>
    <t>INDUSTRIAL LIZONDO SAS</t>
  </si>
  <si>
    <t>INDUSTRIAS BETTER S R L</t>
  </si>
  <si>
    <t>INDUSTRIAS BONO S. A. S.</t>
  </si>
  <si>
    <t>INDUSTRIAS DALAFER S A</t>
  </si>
  <si>
    <t>INDUSTRIAS GUIDI SACIF</t>
  </si>
  <si>
    <t>INDUSTRIAS HOGNER SACIFA</t>
  </si>
  <si>
    <t>INDUSTRIAS JUAN F SECCO S A</t>
  </si>
  <si>
    <t>INDUSTRIAS MAS SRL</t>
  </si>
  <si>
    <t>INDUSTRIAS MERCURIO PAPAIANNI S.A</t>
  </si>
  <si>
    <t>INDUSTRIAS METAL PARTS S.R.L.</t>
  </si>
  <si>
    <t>INDUSTRIAS METALURGICAS PESCARMONA SAICF</t>
  </si>
  <si>
    <t>INDUSTRIAS METALURGICAS TREVISIN S.A.</t>
  </si>
  <si>
    <t>INDUSTRIAS ORBEK SOCIEDAD DE RESPONSABILIDAD LIMITADA</t>
  </si>
  <si>
    <t>INDUSTRIAS QUIMICAS DEM SA</t>
  </si>
  <si>
    <t>INDUSTRIAS QUIMICAS Y MINERAS TIMBO SA</t>
  </si>
  <si>
    <t>Cuenta Corriente 30 días fecha factura</t>
  </si>
  <si>
    <t>INDUSTRIAS ROTOR PUMP SA</t>
  </si>
  <si>
    <t>INDUSTRIAS TECNOLOGICAS ARGENTINA SA</t>
  </si>
  <si>
    <t>INDUSTRIAS Z Y Z S.R.L.</t>
  </si>
  <si>
    <t>INDUVIAN S R L S. R. L.</t>
  </si>
  <si>
    <t>INELAR SRL</t>
  </si>
  <si>
    <t>INERCYA S.R.L.</t>
  </si>
  <si>
    <t>INFA SOCIEDAD ANONIMA</t>
  </si>
  <si>
    <t>INFOREST S.R.L.</t>
  </si>
  <si>
    <t>INFRAESTRUCTURA URBANA S.A.</t>
  </si>
  <si>
    <t>ING ALEJANDRO PANNUNZIO SA</t>
  </si>
  <si>
    <t>ING CAPINO S R L</t>
  </si>
  <si>
    <t>INGACOT S A</t>
  </si>
  <si>
    <t>INGEAR SRL</t>
  </si>
  <si>
    <t>INGELMAT S R L</t>
  </si>
  <si>
    <t>INGENEXA S.A.S.</t>
  </si>
  <si>
    <t>INGENIERIA AHMAD SOCIEDAD DE RESPONSABILIDAD LIMITADA</t>
  </si>
  <si>
    <t>INGENIERIA ARQUITECTURA Y OBRAS SRL</t>
  </si>
  <si>
    <t>INGENIERIA BERNOULLI S.A.</t>
  </si>
  <si>
    <t>INGENIERIA EN TECNOLOGIA DE ALIMENTOS S.A.</t>
  </si>
  <si>
    <t>INGENIERIA GAMAR SOCIEDAD ANONIMA</t>
  </si>
  <si>
    <t>INGENIERIA INTEGRADA SA</t>
  </si>
  <si>
    <t>INGENIERIA L &amp; H SRL</t>
  </si>
  <si>
    <t>INGENIERIA MATHEU SA</t>
  </si>
  <si>
    <t>INGENIERIA MEGA SA</t>
  </si>
  <si>
    <t>INGENIERIA NEA</t>
  </si>
  <si>
    <t>INGENIERIA OBRAS Y SERVICIOS TISICO S A</t>
  </si>
  <si>
    <t>INGENIERIA PALLOT.MIR CONSULTINGS S. R. L.</t>
  </si>
  <si>
    <t>INGENIERIA RONZA S A</t>
  </si>
  <si>
    <t>INGENIERIA TERRA S.A.</t>
  </si>
  <si>
    <t>INGENIERIA Y COMPUTACION SA</t>
  </si>
  <si>
    <t>INGENIERIA Y CONSTRUCCIONES ALSINA S.A</t>
  </si>
  <si>
    <t>INGENIERO FRANZETTI Y ASOCIADOS S.R.L.</t>
  </si>
  <si>
    <t>INGENIERO MEDINA SA</t>
  </si>
  <si>
    <t>INGENIERO RICARDO GEROSA SRL</t>
  </si>
  <si>
    <t>INGENIO RIO GRANDE S A CIA ARG AGR E IND</t>
  </si>
  <si>
    <t>INGESYS SRL</t>
  </si>
  <si>
    <t>INGETANQ S.A.</t>
  </si>
  <si>
    <t>INGETERMO S.R.L.</t>
  </si>
  <si>
    <t>INGEVAMA S A</t>
  </si>
  <si>
    <t>INGITERM S.R.L.</t>
  </si>
  <si>
    <t>INGNALA S.R.L.</t>
  </si>
  <si>
    <t>INGREDIENTS SOLUTIONS S.A.</t>
  </si>
  <si>
    <t>INIBACON S.A.S.</t>
  </si>
  <si>
    <t>INMIX S.A.</t>
  </si>
  <si>
    <t>INMOBAL NUTRER S.A.</t>
  </si>
  <si>
    <t>INNOVACION TECNICA TOTAL S.A.</t>
  </si>
  <si>
    <t>Cheque contra entrega de mercadería a 30 días fecha factura - Echeq.</t>
  </si>
  <si>
    <t>INNOVACIONES CONSTRUCTIVAS S.A.</t>
  </si>
  <si>
    <t>INNOVATECH INDUSTRIAS S.A.S.</t>
  </si>
  <si>
    <t>INOVATECH ARGENTINA S.A.</t>
  </si>
  <si>
    <t>INPA SAS</t>
  </si>
  <si>
    <t>INQUIMEX S A C E I</t>
  </si>
  <si>
    <t>INQUINAT SA</t>
  </si>
  <si>
    <t>INROTS CORPORATION S.A.</t>
  </si>
  <si>
    <t>INSA S.A. - BASAA S.A. UNION TRANSITORIA - UP Nº29 MELCHOR ROMERO</t>
  </si>
  <si>
    <t xml:space="preserve">INST DE INVESTIG EN BIOMEDICINA DE BS AS - CONICET - INST PARTNER DE LA SOC MAX PLANCK </t>
  </si>
  <si>
    <t>INSTALACIONES DE FLUIDOS CAMACUA S.A.</t>
  </si>
  <si>
    <t>INSTALACIONES DEL OESTE SRL</t>
  </si>
  <si>
    <t>INSTALACIONES INDUSTRIALES CORMONT SA</t>
  </si>
  <si>
    <t>INSTALACIONES INDUSTRIALES CRISAL S.A..</t>
  </si>
  <si>
    <t>INSTALACIONES INDUSTRIALES PELME S A</t>
  </si>
  <si>
    <t>INSTITUTO ARGENTINO DE ENSAYOS Y VERIFICACIONES</t>
  </si>
  <si>
    <t>INSTITUTO BIOLOGICO ARGENTINO SAIC</t>
  </si>
  <si>
    <t>INSTITUTO DE AYUDA FINANCIERA PARA PAGO DE RETIROS Y PENSIONES MILITARES</t>
  </si>
  <si>
    <t>INSTITUTO DE INVESTIGACIONES EN CATALISIS Y PETROQUIMICA  INCAPE</t>
  </si>
  <si>
    <t>INSTITUTO DE OBRA SOCIAL DE LAS FUERZAS ARMADAS (IOSFA)</t>
  </si>
  <si>
    <t>INSTITUTO DE PROCESOS BIOTECNOLOGICOS Y QUIMICOS ROSARIO IPROBYQ</t>
  </si>
  <si>
    <t>INSTITUTO DE PUBLICACIONES Y ESTADISTICAS SACIIF</t>
  </si>
  <si>
    <t>INSTITUTO FRENOPATICO S.A.</t>
  </si>
  <si>
    <t>INSTITUTO NACIONAL DE PROMOCION TURISTICA</t>
  </si>
  <si>
    <t>INSTITUTO NACIONAL DE TECNOLOGIA INDUSTRIAL CENTROS DE INVESTIGACION</t>
  </si>
  <si>
    <t>INSTITUTO ROSENBUSCH S A DE BIOLOGIA E Y A</t>
  </si>
  <si>
    <t>INSTITUTO TECNOLOGICO DE BS AS UNIVERSIDAD PRIV</t>
  </si>
  <si>
    <t>INSTITUTO ZOOVAC S.A.</t>
  </si>
  <si>
    <t>INSTRUTEC S A</t>
  </si>
  <si>
    <t>INSUMOS    XXI  SA</t>
  </si>
  <si>
    <t>INSUMOS XXI  SA</t>
  </si>
  <si>
    <t>INSUMOS Y SERVICIOS INDUSTRIALES SA</t>
  </si>
  <si>
    <t>INTA</t>
  </si>
  <si>
    <t>INTA INDUSTRIA TEXTIL ARGENTINA S A</t>
  </si>
  <si>
    <t>INTECHSEAL ARGENTINA SRL</t>
  </si>
  <si>
    <t>INTECSE SRL</t>
  </si>
  <si>
    <t>INTEGRA SERVICIOS MEDICOS S.A</t>
  </si>
  <si>
    <t>INTEGRAL SYDI S.A.S.</t>
  </si>
  <si>
    <t>INTERBAIRES S A</t>
  </si>
  <si>
    <t>INTERCARGO S A C</t>
  </si>
  <si>
    <t>INTERCONNECT SA</t>
  </si>
  <si>
    <t>INTERDING S A</t>
  </si>
  <si>
    <t>INTERFORMING SOCIEDAD ANONIMA</t>
  </si>
  <si>
    <t>INTERNACIONAL FARMACEUTICA ARGENTINA SA.</t>
  </si>
  <si>
    <t>INTERNATIONAL PLASTICS SOCIEDAD ANONIMA</t>
  </si>
  <si>
    <t>INTERPORK S.A.</t>
  </si>
  <si>
    <t>INTERTEC S.R.L.</t>
  </si>
  <si>
    <t>INUMET S .A.</t>
  </si>
  <si>
    <t>INURBANI INGENIERIA SOCIEDAD DE RESPONSABILIDAD LIMITADA</t>
  </si>
  <si>
    <t>INVAP SE</t>
  </si>
  <si>
    <t>INVERSIONES HOTELERAS SALTA SA</t>
  </si>
  <si>
    <t>INVESBIO S.A.</t>
  </si>
  <si>
    <t>IOMAQ SA</t>
  </si>
  <si>
    <t>IPA ARGENTINA S A</t>
  </si>
  <si>
    <t>IPCI SA</t>
  </si>
  <si>
    <t>IPRAC SRL</t>
  </si>
  <si>
    <t>IRENE BEATRIZ SOLLAZZO</t>
  </si>
  <si>
    <t>IRRISUR S.R.L</t>
  </si>
  <si>
    <t>IRSA - GALERIAS PACIFICO S.A. UT</t>
  </si>
  <si>
    <t>ISABEL CASTRO OLAÑETA</t>
  </si>
  <si>
    <t>ISLA DE LOS ESTADOS SA</t>
  </si>
  <si>
    <t>ISOMAT ARGENTINA S R L</t>
  </si>
  <si>
    <t>ISS INGENIERIA EN SOLUCIONES SUBTERRANEAS SA</t>
  </si>
  <si>
    <t>ISSETTA HNOS. S.A.</t>
  </si>
  <si>
    <t>ITAL VINIL SAN LUIS SOCIEDAD ANONIMA INDUSTRIAL Y COMERCIAL</t>
  </si>
  <si>
    <t>ITALCOLORE SA</t>
  </si>
  <si>
    <t>ITALCOSMETICA SA</t>
  </si>
  <si>
    <t>ITALMEN S.A.</t>
  </si>
  <si>
    <t>ITALO JULIAN RODRIGUEZ</t>
  </si>
  <si>
    <t>ITALPAPELERA S.A.</t>
  </si>
  <si>
    <t>ITERM S.R.L.</t>
  </si>
  <si>
    <t>ITISSA S A</t>
  </si>
  <si>
    <t>ITOMAN S.R.L.</t>
  </si>
  <si>
    <t>ITT  BORNEMANN-GOULDS PUMPS SRL</t>
  </si>
  <si>
    <t>IVANA MARIEL ROMANO NEGRILLO</t>
  </si>
  <si>
    <t>IVECOR S.A.</t>
  </si>
  <si>
    <t>IDERO SRL</t>
  </si>
  <si>
    <t>IGNACIO OSCAR DOMINGUEZ</t>
  </si>
  <si>
    <t>IMPLANTES QUIRURGICOS S.A</t>
  </si>
  <si>
    <t>INDUSTRIA Y AMBIENTE S.A.</t>
  </si>
  <si>
    <t>INDUSTRIAS HOGNER SOCIEDAD ANONIMA COMERCIAL INDUSTRIAL FINANCIERA AGROPECUARIA</t>
  </si>
  <si>
    <t>INFYA SRL</t>
  </si>
  <si>
    <t>INGEMAR S.A.</t>
  </si>
  <si>
    <t>INGENIERIA TERMODINAMICA S.R.L.</t>
  </si>
  <si>
    <t>INNOQUIM S.A.</t>
  </si>
  <si>
    <t>INSOIN LA PLATA</t>
  </si>
  <si>
    <t>INSTITUTO DE PUBLICACIONES Y ESTADISTICAS S A C I I F</t>
  </si>
  <si>
    <t>INSTITUTO NACIONAL DE TECNOLOGIA AGROPECUARIA</t>
  </si>
  <si>
    <t>INSUELEC</t>
  </si>
  <si>
    <t>INTERPACK  S A</t>
  </si>
  <si>
    <t>INVERSORA MBD S.A.</t>
  </si>
  <si>
    <t>ISOMAD SA</t>
  </si>
  <si>
    <t>IVAN DAVID YAÑEZ GOZALBEZ</t>
  </si>
  <si>
    <t>IVAN MARCELO VARGAS PAREDES</t>
  </si>
  <si>
    <t>IDEAS MODI SRL</t>
  </si>
  <si>
    <t>IGNACIO CAMPANO</t>
  </si>
  <si>
    <t>ILVA S.A..</t>
  </si>
  <si>
    <t>INDAVEL DE SOUZA SURDO R  Y CAVERZASCHI RICARDO J. SOCIEDAD DE HECHO</t>
  </si>
  <si>
    <t>INOXALUM SRL</t>
  </si>
  <si>
    <t>ISMAEL MAMANI HUAYLLA</t>
  </si>
  <si>
    <t>ISTRIA SOCIEDAD ANONIMA</t>
  </si>
  <si>
    <t>IMAGING SYSTEM S.R.L</t>
  </si>
  <si>
    <t>INAL S A</t>
  </si>
  <si>
    <t>INDUMAT GROUP S. A.</t>
  </si>
  <si>
    <t>INDUSTRIAS M H SRL</t>
  </si>
  <si>
    <t>INDUSTRIAS MAYA S R L</t>
  </si>
  <si>
    <t>INGEGRAF S.R.L.</t>
  </si>
  <si>
    <t>INGENIERIA 65 S.R.L.</t>
  </si>
  <si>
    <t>INNOVA CONSULTING S.R.L.</t>
  </si>
  <si>
    <t>IT-01 S R L</t>
  </si>
  <si>
    <t>IVANAR SOCIEDAD ANONIMA</t>
  </si>
  <si>
    <t>IVITOP S.A.S.</t>
  </si>
  <si>
    <t>J</t>
  </si>
  <si>
    <t>J M H S R L</t>
  </si>
  <si>
    <t>J1 PUMPS SRL</t>
  </si>
  <si>
    <t>JANSSEN CILAG FARMACEUTICA SOCIEDAD ANONIMA</t>
  </si>
  <si>
    <t>JAVACE S A</t>
  </si>
  <si>
    <t>JAVIER ALBERTO ARNEDO</t>
  </si>
  <si>
    <t>JAVIER AUTO SCAN</t>
  </si>
  <si>
    <t>JAVIER EMANUEL CASTRO</t>
  </si>
  <si>
    <t>JAVIER ENRIQUE BAUCH</t>
  </si>
  <si>
    <t>JAVIER GONZALO GIMENEZ FERNANDEZ</t>
  </si>
  <si>
    <t>JAVIER GUSTAVO JACOB</t>
  </si>
  <si>
    <t>JAVIER LAUNCH</t>
  </si>
  <si>
    <t>JAVIER OSVALDO CATINI</t>
  </si>
  <si>
    <t>JAVIER OSVALDO MOLINERI</t>
  </si>
  <si>
    <t>JAVIER RICARDO VAZQUEZ</t>
  </si>
  <si>
    <t>JB SERVICIOS EMPRESARIALES SRL</t>
  </si>
  <si>
    <t>JBS LEATHER ARGENTINA S.A.</t>
  </si>
  <si>
    <t>JCB PRODUCCIONES S.A.</t>
  </si>
  <si>
    <t>JD INGENIERIA S.R.L.</t>
  </si>
  <si>
    <t>JDC CONSTRUCCIONES S.R.L.</t>
  </si>
  <si>
    <t>JEREMIAS JOSE BESSONE</t>
  </si>
  <si>
    <t>JERONIMO MAXIMILIANO PROZ</t>
  </si>
  <si>
    <t>JERONIMO PADUAN</t>
  </si>
  <si>
    <t>JERONIMO PEDRO MIGUE PUCCI</t>
  </si>
  <si>
    <t>JG ELECTROMEDICINA SRL</t>
  </si>
  <si>
    <t>JIMENA JITERMAN</t>
  </si>
  <si>
    <t>JLS</t>
  </si>
  <si>
    <t>JM SERVICIOS INDUSTRIALES ARGENTINA SRL</t>
  </si>
  <si>
    <t>JMB SA</t>
  </si>
  <si>
    <t>JMTM SAS</t>
  </si>
  <si>
    <t>JOAQUIN EDUARDO ARAUZO</t>
  </si>
  <si>
    <t>JOHN KLEIVEN</t>
  </si>
  <si>
    <t>JOKER S A I C</t>
  </si>
  <si>
    <t>JOLLY PINASCO S.A.</t>
  </si>
  <si>
    <t>JONATAN OMAR VASSOLO</t>
  </si>
  <si>
    <t>JONATHAN  ANIBAL HUT</t>
  </si>
  <si>
    <t>JONATHAN LIONEL RODRIGUEZ</t>
  </si>
  <si>
    <t>JORGE AGUSTIN MARTINEZ ZUCCARDI</t>
  </si>
  <si>
    <t>JORGE ALBERTO COOKE</t>
  </si>
  <si>
    <t>JORGE ALBERTO GARCIA</t>
  </si>
  <si>
    <t>JORGE ALBERTO MOLINARI</t>
  </si>
  <si>
    <t>JORGE ALBERTO QUINTEROS</t>
  </si>
  <si>
    <t>JORGE ALBERTO RAMON TOMMEI</t>
  </si>
  <si>
    <t>JORGE ALBERTO RENZI</t>
  </si>
  <si>
    <t>JORGE ANTONIO MARUSIC</t>
  </si>
  <si>
    <t>JORGE ANTONIO SANTA CLARA</t>
  </si>
  <si>
    <t>JORGE ARIEL FIASCHE SERI</t>
  </si>
  <si>
    <t>JORGE BADIH PASCOFF</t>
  </si>
  <si>
    <t>JORGE DE LUQUE</t>
  </si>
  <si>
    <t>JORGE EUGENIO LAHITTE</t>
  </si>
  <si>
    <t>JORGE GROTSCHL S.A.</t>
  </si>
  <si>
    <t>JORGE HECTOR CEBALLOS</t>
  </si>
  <si>
    <t>JORGE HERNAN ALAYON</t>
  </si>
  <si>
    <t>JORGE HUGO COVETTA</t>
  </si>
  <si>
    <t>JORGE IRENEO DIAZ</t>
  </si>
  <si>
    <t>JORGE L REBAGLIATI E HIJOS SRL</t>
  </si>
  <si>
    <t>JORGE LUIS DOMENECH</t>
  </si>
  <si>
    <t>JORGE LUIS FERNANDEZ AVELLO</t>
  </si>
  <si>
    <t>JORGE LUIS FIDANZA</t>
  </si>
  <si>
    <t>JORGE LUIS TOLOSA S A</t>
  </si>
  <si>
    <t>JORGE LUIS VERHELST RUSSO</t>
  </si>
  <si>
    <t>JORGE MARCELO GUERRERO</t>
  </si>
  <si>
    <t>JORGE NICOLAS GONZALEZ</t>
  </si>
  <si>
    <t>JORGE NORBERTO CERVERA</t>
  </si>
  <si>
    <t>JORGE NORBERTO HERNANDEZ</t>
  </si>
  <si>
    <t>JORGE RAFAEL ERNESTO</t>
  </si>
  <si>
    <t>JORGE RAFAEL VITALE</t>
  </si>
  <si>
    <t>JORGE RAMON LLARRULL</t>
  </si>
  <si>
    <t>JORGE SANTIAGO MATEOS</t>
  </si>
  <si>
    <t>JORGE WALTER GIL</t>
  </si>
  <si>
    <t>JORGE WALTER GIL SERVICIOS S.R.L</t>
  </si>
  <si>
    <t xml:space="preserve">Jose Alberto Pfeifauf </t>
  </si>
  <si>
    <t>JOSE ALBERTO RAUSH</t>
  </si>
  <si>
    <t>JOSE ALBERTO VACCA</t>
  </si>
  <si>
    <t>JOSE ALFREDO MAGNASCO</t>
  </si>
  <si>
    <t>JOSE ANTONIO LAGORIO</t>
  </si>
  <si>
    <t>JOSE ARMANDO KRISTOF</t>
  </si>
  <si>
    <t>JOSE BENJAMIN LOZA</t>
  </si>
  <si>
    <t>JOSE CARBONELL</t>
  </si>
  <si>
    <t>JOSE CARLOS LOPEZ</t>
  </si>
  <si>
    <t>JOSE CARTELLONE CONST CIVILES S A</t>
  </si>
  <si>
    <t>JOSE CLEMENTE HEREDIA</t>
  </si>
  <si>
    <t>Jose Daniel Labroca</t>
  </si>
  <si>
    <t>JOSE DOMINGO MARTINEZ</t>
  </si>
  <si>
    <t>JOSE IGNACIO PRIETO</t>
  </si>
  <si>
    <t>JOSE J CHEDIACK SOCIEDAD ANONIMA INDUSTRIAL COMERCIAL Y AGROPECUARIA</t>
  </si>
  <si>
    <t>JOSE LUIS CAVASASSI</t>
  </si>
  <si>
    <t>JOSE LUIS FELIPPA</t>
  </si>
  <si>
    <t>JOSE LUIS FRANCISCO BOSSIO</t>
  </si>
  <si>
    <t>JOSE LUIS FURFARO</t>
  </si>
  <si>
    <t>JOSE LUIS PRIOTTI</t>
  </si>
  <si>
    <t>JOSE LUIS PRIOTTI AUTOMATIZACIONES S.A.</t>
  </si>
  <si>
    <t>JOSE LUIS ROMERO</t>
  </si>
  <si>
    <t>JOSE LUIS ROVETTA</t>
  </si>
  <si>
    <t>JOSE LUIS TOSTO</t>
  </si>
  <si>
    <t>JOSE LUIS TRIVIÑO S.A. - FONTANA NICASTRO S.A. DE CONSTRUCCIONES - UNION TRANSITORIA CP VII</t>
  </si>
  <si>
    <t>JOSE MANFREDO AUMER</t>
  </si>
  <si>
    <t>JOSE MANUEL DE GAETANO</t>
  </si>
  <si>
    <t>JOSE MARIA ADEJA</t>
  </si>
  <si>
    <t>JOSE MARIA ANNACONDIA</t>
  </si>
  <si>
    <t>JOSE MARIA GALLEGO</t>
  </si>
  <si>
    <t>JOSE MARIA GUY</t>
  </si>
  <si>
    <t>JOSE MARIANO SALVATIERRA</t>
  </si>
  <si>
    <t>JOSE MARTIN DANIEL</t>
  </si>
  <si>
    <t>JOSE MIC</t>
  </si>
  <si>
    <t>JOSE MINETTI Y CIA LTDA SACI</t>
  </si>
  <si>
    <t>JOSE ORLANDO QUISPE</t>
  </si>
  <si>
    <t>JOSE OSCAR ALVAREZ</t>
  </si>
  <si>
    <t>JOSE PASCUAL TAMBORINI 2626 S.R.L.</t>
  </si>
  <si>
    <t>JOSE PEDRO ALE</t>
  </si>
  <si>
    <t>JOSE ROBERTO JAIMES</t>
  </si>
  <si>
    <t>JOSE ROMAN MARTIN DRAGHI</t>
  </si>
  <si>
    <t>JOSE WERLE</t>
  </si>
  <si>
    <t>JUAN AGUSTIN PERALTA</t>
  </si>
  <si>
    <t>JUAN ALBERTO AYALA</t>
  </si>
  <si>
    <t>JUAN ALEJANDRO PESCE</t>
  </si>
  <si>
    <t>JUAN ALMADA</t>
  </si>
  <si>
    <t>JUAN ANIBAL ARIAS</t>
  </si>
  <si>
    <t>JUAN CARLOS</t>
  </si>
  <si>
    <t>JUAN CARLOS BESGA</t>
  </si>
  <si>
    <t>JUAN CARLOS CARDINALE S R L</t>
  </si>
  <si>
    <t>JUAN CARLOS DAMPE Y SEBASTIAN DANIEL QUERCETTI  SOCIEDAD DE HECHO</t>
  </si>
  <si>
    <t>JUAN CARLOS DONADON S R L</t>
  </si>
  <si>
    <t>JUAN CARLOS FEREX</t>
  </si>
  <si>
    <t>JUAN CARLOS FRANGOLINI</t>
  </si>
  <si>
    <t>JUAN CARLOS HAUCIARTZ</t>
  </si>
  <si>
    <t>JUAN CARLOS MARIE ARLANDIS</t>
  </si>
  <si>
    <t>JUAN CARLOS SOSA</t>
  </si>
  <si>
    <t>JUAN CARLOS VERGER</t>
  </si>
  <si>
    <t>JUAN CLAUDIO MUZZIO</t>
  </si>
  <si>
    <t>JUAN DIEGO CHIMIENTI</t>
  </si>
  <si>
    <t>JUAN EUARDO FIGUEROA</t>
  </si>
  <si>
    <t>JUAN FRANCO DE CESARIS</t>
  </si>
  <si>
    <t>JUAN IGNACIO RODRIGUEZ ZABALZA</t>
  </si>
  <si>
    <t>JUAN JOSE AURENSANZ</t>
  </si>
  <si>
    <t>JUAN JOSE CASSANITI</t>
  </si>
  <si>
    <t>JUAN JOSE MASTRUZZO</t>
  </si>
  <si>
    <t>JUAN JOSE VICENTE CASADO</t>
  </si>
  <si>
    <t>JUAN JOSE VILLAFAÑE</t>
  </si>
  <si>
    <t>JUAN JOSE VISCA</t>
  </si>
  <si>
    <t>JUAN MANUEL BARREDA</t>
  </si>
  <si>
    <t>JUAN MANUEL BRUNO</t>
  </si>
  <si>
    <t>JUAN MANUEL CASTELLI</t>
  </si>
  <si>
    <t>JUAN MANUEL ROSAS</t>
  </si>
  <si>
    <t>JUAN MANUEL VARELA</t>
  </si>
  <si>
    <t>JUAN MARCELO MORO</t>
  </si>
  <si>
    <t>JUAN MARIA PERAL</t>
  </si>
  <si>
    <t>JUAN MARTIN GALLIANO</t>
  </si>
  <si>
    <t>JUAN MENANNO</t>
  </si>
  <si>
    <t>JUAN MIGUEL COMBALE</t>
  </si>
  <si>
    <t>JUAN PABLO AGRA</t>
  </si>
  <si>
    <t>JUAN PABLO MAIDANA</t>
  </si>
  <si>
    <t>Juan Pablo Moretto</t>
  </si>
  <si>
    <t>JUAN PABLO WIBAUX</t>
  </si>
  <si>
    <t>JUAN PEDRO PETKUN</t>
  </si>
  <si>
    <t>JUAN ZANETTI E HIJOS S.R.L.</t>
  </si>
  <si>
    <t>JUBECU SOCIEDAD ANONIMA INDUSTRIAL E INMOBILIARIA</t>
  </si>
  <si>
    <t>JUGOS S A</t>
  </si>
  <si>
    <t>JUJUY HIDROCARBUROS SAU - EN FORMACION</t>
  </si>
  <si>
    <t>JULIAN ALEJANDRO NIEVES</t>
  </si>
  <si>
    <t>JULIETA GRIMALT</t>
  </si>
  <si>
    <t>JULIO CECILIO DOMECQ</t>
  </si>
  <si>
    <t>JULIO CESAR MARTINEZ SARAZOLA</t>
  </si>
  <si>
    <t>Julio César Valdebenito</t>
  </si>
  <si>
    <t>JULIO FLOREAL SANCHEZ</t>
  </si>
  <si>
    <t>JULIO HUMBERTO ZAMAR</t>
  </si>
  <si>
    <t>JULIO JUAN LA GRUTTA</t>
  </si>
  <si>
    <t>JULIO LUIS CAERO LOPEZ</t>
  </si>
  <si>
    <t>JUNALU S.A</t>
  </si>
  <si>
    <t>JUSA S A</t>
  </si>
  <si>
    <t>JUSTO OTERO E HIJOS SOCIEDAD DE RESPONSABILIDAD LIMITADA</t>
  </si>
  <si>
    <t>JAVIER FERNANDO FONTANA</t>
  </si>
  <si>
    <t>JORGE ANDRES VERA</t>
  </si>
  <si>
    <t>JORGE DANIEL NIETO</t>
  </si>
  <si>
    <t>JORGE ENRIQUE CALLEJAS CASTAÑEDA</t>
  </si>
  <si>
    <t>JORGE TEXEIRA</t>
  </si>
  <si>
    <t>JUAN CARLOS GOROSTIDI</t>
  </si>
  <si>
    <t>JUAN PABLO FINOCHIETTO</t>
  </si>
  <si>
    <t>JUAN PABLO NICOLAS ROJAS</t>
  </si>
  <si>
    <t>JEREMIAS IVAN GARCIA PAIS</t>
  </si>
  <si>
    <t>JEREMIAS NAHUEL TAPIA</t>
  </si>
  <si>
    <t>JORGE RAUL GIORDANO</t>
  </si>
  <si>
    <t>JORGE SANTIAGO STEINLE</t>
  </si>
  <si>
    <t>JOSE DANIEL LOPEZ</t>
  </si>
  <si>
    <t>JUAN ANDRES AMADEI</t>
  </si>
  <si>
    <t>JUAN ANDRES GUTIERREZ</t>
  </si>
  <si>
    <t>JUAN CARLOS DONATO</t>
  </si>
  <si>
    <t>JUAN CARLOS KESSLER</t>
  </si>
  <si>
    <t>JUAN CRUZ PADIN</t>
  </si>
  <si>
    <t>JUAN IGNACIO CABEZON</t>
  </si>
  <si>
    <t>JUAN JOSE OVIEDO GAMARRA</t>
  </si>
  <si>
    <t>JUAN SEBASTIAN GENTA</t>
  </si>
  <si>
    <t>JULIAN ANIBAL MEDINA</t>
  </si>
  <si>
    <t>JULIENNYS CAROLINA MARCHAN CASTRO</t>
  </si>
  <si>
    <t>JULIO ALBERTO GENESIO</t>
  </si>
  <si>
    <t>JULIO MARCOS ORTEGA</t>
  </si>
  <si>
    <t>JANA SPORT S.A.</t>
  </si>
  <si>
    <t>JAUREGUY SOCIEDAD ANONIMA COMERCIAL E INDUSTRIAL Y AGROPECUARIA</t>
  </si>
  <si>
    <t>JAVIER RICARDO FERNANDEZ</t>
  </si>
  <si>
    <t>JMAC SERVICIOS SA.</t>
  </si>
  <si>
    <t>JONKOK S.A.</t>
  </si>
  <si>
    <t>JORGE ELIAS LANGHOFF</t>
  </si>
  <si>
    <t>JORGE ENRIQUE DE BREUIL</t>
  </si>
  <si>
    <t>JOSE DARIO NOLI</t>
  </si>
  <si>
    <t>JOSE LUIS PENIDO</t>
  </si>
  <si>
    <t>JOSEFINA HILDA GARCIA</t>
  </si>
  <si>
    <t>JUAN CARLOS GIL RODRIGUEZ</t>
  </si>
  <si>
    <t>JUAN CARLOS TRECH</t>
  </si>
  <si>
    <t>JUAN IGNACIO GRANGEAT</t>
  </si>
  <si>
    <t>K</t>
  </si>
  <si>
    <t>KAIKUN FIDEICOMISO</t>
  </si>
  <si>
    <t>KALKIN   S A</t>
  </si>
  <si>
    <t>KARINA GABRIELA MEDVEDEFF</t>
  </si>
  <si>
    <t>KARINA LETICIA LAGO</t>
  </si>
  <si>
    <t>KARINA VERONICA TORRES</t>
  </si>
  <si>
    <t>KARPA SA</t>
  </si>
  <si>
    <t>KAZLAUSKAS S R L</t>
  </si>
  <si>
    <t>K-BIN SOCIEDAD ANONIMA</t>
  </si>
  <si>
    <t>KENTEC ARGENTINA SA</t>
  </si>
  <si>
    <t>KESEN SA</t>
  </si>
  <si>
    <t>KEVIN JUAN SEPULVEDA</t>
  </si>
  <si>
    <t>KEY MEDIOS GA SRL</t>
  </si>
  <si>
    <t>KILAB SRL</t>
  </si>
  <si>
    <t>KINKA S.A.</t>
  </si>
  <si>
    <t>KIOSHI S.A.</t>
  </si>
  <si>
    <t>KLEPPE SA</t>
  </si>
  <si>
    <t>KLONAL SRL</t>
  </si>
  <si>
    <t>KOHLENIA SRL</t>
  </si>
  <si>
    <t>KOJIMA ANDRES ISAMU</t>
  </si>
  <si>
    <t>KOLLOR PRESS S.A.</t>
  </si>
  <si>
    <t>KOMALIA S.A.</t>
  </si>
  <si>
    <t>KOUKHARSKY COMPRESORES SRL</t>
  </si>
  <si>
    <t>KOUSAL S A</t>
  </si>
  <si>
    <t>KOVALPLAST S R L</t>
  </si>
  <si>
    <t>KOVI SRL</t>
  </si>
  <si>
    <t>KUTREL</t>
  </si>
  <si>
    <t>K Y C INSTRUMENTS SA</t>
  </si>
  <si>
    <t>KARINA ROSA RUIZ</t>
  </si>
  <si>
    <t>KNORR S. R. L.</t>
  </si>
  <si>
    <t>KUNZE S.R.L.</t>
  </si>
  <si>
    <t>KAREN LEIZA HEMILCE SANCHEZ NAVARRO</t>
  </si>
  <si>
    <t>KEIPS FLUID S A</t>
  </si>
  <si>
    <t>KSB ARGENTINA S. A.</t>
  </si>
  <si>
    <t>L C V  S R L</t>
  </si>
  <si>
    <t>L P S.R.L.</t>
  </si>
  <si>
    <t>L Y  BELOUS SISTEMAS S.R.L.</t>
  </si>
  <si>
    <t>L.E.M.AS. SRL</t>
  </si>
  <si>
    <t>LA 40 SOLUCIONES MECANICAS S.R.L.</t>
  </si>
  <si>
    <t>LA ANATILDE S.R.L.</t>
  </si>
  <si>
    <t>LA BENEDICTA S.A.</t>
  </si>
  <si>
    <t>LA CASA DE LAS HERRAMIENTAS S A</t>
  </si>
  <si>
    <t>LA CASA DEL INSTALADOR</t>
  </si>
  <si>
    <t>LA CASA DEL INSTALADOR  S. R. L.</t>
  </si>
  <si>
    <t>LA CASONA S.A.</t>
  </si>
  <si>
    <t>LA COSTURA  S. A. U.</t>
  </si>
  <si>
    <t>LA DELICIA FELIPE FORT S A</t>
  </si>
  <si>
    <t>LA DISTRIBUIDORA DEL SUR SRL</t>
  </si>
  <si>
    <t>LA DOLCE SRL</t>
  </si>
  <si>
    <t>LA FABRICA DE ANTEOJOS S.R.L.</t>
  </si>
  <si>
    <t>LA FABRICA S R L</t>
  </si>
  <si>
    <t>LA FAYUCA SA</t>
  </si>
  <si>
    <t>LA FORTEZZA SUDAMERICANA S.A.</t>
  </si>
  <si>
    <t>LA GAUCHITA S.A.</t>
  </si>
  <si>
    <t>LA GUARDIANA  S A I C I</t>
  </si>
  <si>
    <t>LA IGLESIA DE JESUCRISTO DE LOS SANTOS DE LOS ULTIMOS DIAS</t>
  </si>
  <si>
    <t>LA IGLESIA UNIVERSAL DEL REINO DE DIOS</t>
  </si>
  <si>
    <t>LA MARIA PILAR ESTANCIAS S.A.</t>
  </si>
  <si>
    <t>LA METALURGICA INDUSTRIAL LAMPE LUTZ Y CIA S A I C</t>
  </si>
  <si>
    <t>LA NUEVA SAN MARTIN S.R.L.</t>
  </si>
  <si>
    <t>LA PELLEGRINENSE SA</t>
  </si>
  <si>
    <t>LA PLATENSE SOCIEDAD ANONIMA</t>
  </si>
  <si>
    <t>LA QUINQUENAL S A I Y C</t>
  </si>
  <si>
    <t>LA SEMILLERA RIOJANA SA</t>
  </si>
  <si>
    <t>LA VALENZIANA S.R.L.</t>
  </si>
  <si>
    <t>LABORATORIO AUSTRAL S A</t>
  </si>
  <si>
    <t>LABORATORIO CELTYC S.A</t>
  </si>
  <si>
    <t>LABORATORIO DE ESPECIALIDADES MEDICINALES L E M SOCIEDAD DEL ESTADO</t>
  </si>
  <si>
    <t>LABORATORIO DOMINGUEZ S A</t>
  </si>
  <si>
    <t>LABORATORIO ECZANE PHARMA S A</t>
  </si>
  <si>
    <t>LABORATORIO ELEA PHOENIX S A</t>
  </si>
  <si>
    <t>LABORATORIO IBERO AMERICANO S. A.</t>
  </si>
  <si>
    <t>LABORATORIO INDUSTRIAL ALQUIMIA S.A.</t>
  </si>
  <si>
    <t>LABORATORIO OPOTERAPICO ARGENTINO S.A.</t>
  </si>
  <si>
    <t>LABORATORIO PABLO CASSARA SRL</t>
  </si>
  <si>
    <t>LABORATORIO SANT GALL FRIBURG Q C I  S RL</t>
  </si>
  <si>
    <t>LABORATORIO SCHAFER S.A.</t>
  </si>
  <si>
    <t>LABORATORIO SL S.A.</t>
  </si>
  <si>
    <t>LABORATORIO VAPOX SA</t>
  </si>
  <si>
    <t>LABORATORIO VARIFARMA SA</t>
  </si>
  <si>
    <t>LABORATORIOS ARGENTINOS FARMESA S A I C</t>
  </si>
  <si>
    <t>LABORATORIOS ARRAYANES S A C I A</t>
  </si>
  <si>
    <t>LABORATORIOS BACON S A I C</t>
  </si>
  <si>
    <t>LABORATORIOS BERNABO SOCIEDAD ANONIMA</t>
  </si>
  <si>
    <t>LABORATORIOS BRITANIA SOCIEDAD ANONIMA</t>
  </si>
  <si>
    <t>LABORATORIOS C.K.C. ARGENTINA S.A.</t>
  </si>
  <si>
    <t>LABORATORIOS CASASCO S A I C</t>
  </si>
  <si>
    <t>LABORATORIOS DARIER SRL</t>
  </si>
  <si>
    <t>LABORATORIOS DUNCAN SA</t>
  </si>
  <si>
    <t>LABORATORIOS EDGARDO JORGE GEZZI SRL</t>
  </si>
  <si>
    <t>LABORATORIOS FRASCA S R L</t>
  </si>
  <si>
    <t>LABORATORIOS GAUDIUM S.R.L</t>
  </si>
  <si>
    <t>LABORATORIOS IMA S A I C</t>
  </si>
  <si>
    <t>LABORATORIOS INMUNER S A I Y C</t>
  </si>
  <si>
    <t>LABORATORIOS JAYOR S.R.L.</t>
  </si>
  <si>
    <t>LABORATORIOS KEMEX</t>
  </si>
  <si>
    <t>LABORATORIOS LADCO S A</t>
  </si>
  <si>
    <t>LABORATORIOS MIRACLE SRL</t>
  </si>
  <si>
    <t>LABORATORIOS PLASTICOS S A</t>
  </si>
  <si>
    <t>LABORATORIOS POEN SOCIEDAD ANONIMA COMERCIAL INDUSTRIAL FINANCIERA E INMOBILIARI</t>
  </si>
  <si>
    <t>LABORATORIOS PROAMIN S R L</t>
  </si>
  <si>
    <t>LABORATORIOS RICHET S A</t>
  </si>
  <si>
    <t>LABORATORIOS TAURO SOCIEDAD ANONIMA</t>
  </si>
  <si>
    <t>LABORATORIOS VENT 3 SRL</t>
  </si>
  <si>
    <t>LABORATORIOS VITAFOR SRL</t>
  </si>
  <si>
    <t>LACIANA MAURO JOSE</t>
  </si>
  <si>
    <t>LACTEOS AURORA S.R.L.</t>
  </si>
  <si>
    <t>LACTEOS BARRAZA SA</t>
  </si>
  <si>
    <t>LACTEOS CONOSUR S A</t>
  </si>
  <si>
    <t>LACTEOS EL MUNDO S.R.L.</t>
  </si>
  <si>
    <t>LACTOCREM SA</t>
  </si>
  <si>
    <t>LAFEDAR SOCIEDAD ANONIMA</t>
  </si>
  <si>
    <t>LAGOFIRE SOCIEDAD DE RESPONSABILIDAD LIMITADA</t>
  </si>
  <si>
    <t>LAHARRAGUE  CHODORGE SOCIEDAD ANONIMA</t>
  </si>
  <si>
    <t>LAINDELL SRL</t>
  </si>
  <si>
    <t>LAKE INTERNACIONAL SA</t>
  </si>
  <si>
    <t>LAOCON S.R.L</t>
  </si>
  <si>
    <t>LARAYAS SRL</t>
  </si>
  <si>
    <t>LARCE S.R.L.</t>
  </si>
  <si>
    <t>LARGA VIDA A LAS MARCAS SRL</t>
  </si>
  <si>
    <t>LAS CARRETAS SOCIEDAD EN COMANDITA POR ACCIONES</t>
  </si>
  <si>
    <t>LASER DISC ARGENTINA S.A.</t>
  </si>
  <si>
    <t>LATIN BIO S. A.</t>
  </si>
  <si>
    <t>LATIN LEMON S.A.</t>
  </si>
  <si>
    <t>LATITUD 45 PETROLEO Y GAS S.A.</t>
  </si>
  <si>
    <t>LAURA VIRGINIA GARBARINI</t>
  </si>
  <si>
    <t>LAUTARO EDUARDO CRISTIA</t>
  </si>
  <si>
    <t>LAVADERO BERAZATEGUI DE DOMINGO JUAN Y NESTOR SILVIO PALERMO S. A.</t>
  </si>
  <si>
    <t>LC TECH S.A.</t>
  </si>
  <si>
    <t>LD INGENIERIA SRL</t>
  </si>
  <si>
    <t>LDC ARGENTINA S.A.</t>
  </si>
  <si>
    <t>LEANDRO JAVIER INDURAIN RIBOLDI</t>
  </si>
  <si>
    <t>LEANDRO JOSE GOMEZ</t>
  </si>
  <si>
    <t xml:space="preserve">LEANDRO LURBE NOLTER, JULIANA LURBE, SANTIAGO FACUNDO GUZMAN CIMORELLI Y GUIDO RAUL MUSCOLINO </t>
  </si>
  <si>
    <t>LEANDRO MARIA SURRACO</t>
  </si>
  <si>
    <t>LEANDRO OMAR LAMBORIZIO</t>
  </si>
  <si>
    <t>LEANDRO SEBASTIAN CHUTCHURRU</t>
  </si>
  <si>
    <t>LEANVAL SOCIEDAD ANONIMA</t>
  </si>
  <si>
    <t>LENOR SRL</t>
  </si>
  <si>
    <t>LEONARDO ARIEL POSADAS</t>
  </si>
  <si>
    <t>LEONARDO DAVID NICOLASI</t>
  </si>
  <si>
    <t>LEONARDO EMILIO FERNANDEZ</t>
  </si>
  <si>
    <t>LEONARDO ESTEBAN BENINCASA</t>
  </si>
  <si>
    <t>LEONARDO EZEQUIEL ROMAN</t>
  </si>
  <si>
    <t>LEONARDO GASTON PARONZINI</t>
  </si>
  <si>
    <t>LEONARDO GUZMAN SA</t>
  </si>
  <si>
    <t>LEONARDO MARTIN ALLEVA</t>
  </si>
  <si>
    <t>LERIN SRL</t>
  </si>
  <si>
    <t>LES IMAGINATEURS SRL</t>
  </si>
  <si>
    <t>LEVAL SA</t>
  </si>
  <si>
    <t>LEVELTEC S.A.</t>
  </si>
  <si>
    <t>LEYMER SA</t>
  </si>
  <si>
    <t>LFLL SRL</t>
  </si>
  <si>
    <t>LH HOTELES S.A.</t>
  </si>
  <si>
    <t>LIBERCORNER SA</t>
  </si>
  <si>
    <t>LIBERTAD ENERGETICA S.A.</t>
  </si>
  <si>
    <t>LIBERTADOR 5822 S.A.</t>
  </si>
  <si>
    <t>LIBRA SA</t>
  </si>
  <si>
    <t>LIEX S.A.</t>
  </si>
  <si>
    <t>LIHUE INGENIERIA S A</t>
  </si>
  <si>
    <t>LIIT S.A.</t>
  </si>
  <si>
    <t>LILIANA SUSANA LEA PLAZA</t>
  </si>
  <si>
    <t>LIMANSKY S A</t>
  </si>
  <si>
    <t>LINACO S.A.</t>
  </si>
  <si>
    <t>LINO JAVIER DALLA RIVA</t>
  </si>
  <si>
    <t>LINOTOL ARGENTINA SOCIEDAD ANONIMA CONSTRUCTORA COMERCIAL INDUSTRIAL FINANCIERA</t>
  </si>
  <si>
    <t>LION SOLUTIONS</t>
  </si>
  <si>
    <t>LIPLAC SA</t>
  </si>
  <si>
    <t>LIPSIA S A INMOB COM Y FIN</t>
  </si>
  <si>
    <t>LIQSA S A C I F I E Y A</t>
  </si>
  <si>
    <t>LISANDRO ARIEL ANDREETTA BARTULOS</t>
  </si>
  <si>
    <t>LITEFLOW SRL</t>
  </si>
  <si>
    <t>LITORAL CITRUS S A</t>
  </si>
  <si>
    <t>LIZARRAGA Y ORSO CONSTRUCCIONES S.A.</t>
  </si>
  <si>
    <t>LN CAMPOS Y ALIMENTOS S A</t>
  </si>
  <si>
    <t>LODISER SA</t>
  </si>
  <si>
    <t>LOGER SRL</t>
  </si>
  <si>
    <t>LOGOM S.A.</t>
  </si>
  <si>
    <t>LOIMAR SOCIEDAD ANONIMA CONSTRUCTORA INMOBILIARIA FINANC IND COM Y AGROPEC</t>
  </si>
  <si>
    <t>LOMA NEGRA CIA INDUSTRIAL ARGENTINA SA</t>
  </si>
  <si>
    <t>LONDON SUPPLY S A C I F I</t>
  </si>
  <si>
    <t>LOPEZ BERGES Y CIA. CONSTRUCCIONES SRL</t>
  </si>
  <si>
    <t>Lopez Carlos</t>
  </si>
  <si>
    <t>LORENA ELIZABETH NAVARRO</t>
  </si>
  <si>
    <t>LOS CINCO HISPANOS S.A.</t>
  </si>
  <si>
    <t>LOS YAMANAS</t>
  </si>
  <si>
    <t>LOVAGLIO ALEJANDRO ALBERTO</t>
  </si>
  <si>
    <t>LUBRICACION SAIC</t>
  </si>
  <si>
    <t>LUBRICANTES ARGENTINOS  DE ALTA PERFOMANCE  S A</t>
  </si>
  <si>
    <t>LUBRICANTES AVELLANEDA S.A.U.</t>
  </si>
  <si>
    <t>LUBRICANTES Y COMBUSTIBLES D'ATRI S.R.L.</t>
  </si>
  <si>
    <t>LUBRISIDER S A</t>
  </si>
  <si>
    <t>LUCAS EMANUEL MORGANTE</t>
  </si>
  <si>
    <t>LUCAS ENRIQUE MARTINEZ</t>
  </si>
  <si>
    <t>LUCAS ESTEBAN PALPACELLI</t>
  </si>
  <si>
    <t>LUCAS FAVALLI</t>
  </si>
  <si>
    <t>LUCAS GERARDO ARTAZA</t>
  </si>
  <si>
    <t>LUCAS JORGE CORDIDO</t>
  </si>
  <si>
    <t>LUCAS SEBASTIAN PAZ</t>
  </si>
  <si>
    <t>LUCIANA MARIA SAVINO</t>
  </si>
  <si>
    <t>LUCIANA NAIR FERNANDEZ</t>
  </si>
  <si>
    <t>LUCILA MILEN CARDOZO</t>
  </si>
  <si>
    <t>LUCOMP  SA</t>
  </si>
  <si>
    <t>LUCOTECH INGENIERIA Y PROYECTOS S.R.L.</t>
  </si>
  <si>
    <t>LUED S.A.</t>
  </si>
  <si>
    <t>LUILIO SIMON ESPARZA HEREDIA</t>
  </si>
  <si>
    <t>LUIS ALBERTO HERNANDEZ</t>
  </si>
  <si>
    <t>LUIS ALBERTO MIGLIORATA</t>
  </si>
  <si>
    <t>LUIS ALBERTO ORQUEDA</t>
  </si>
  <si>
    <t>LUIS ALBERTO PARRILLA</t>
  </si>
  <si>
    <t>LUIS ALBERTO VERA</t>
  </si>
  <si>
    <t>LUIS ALFREDO GROSSO</t>
  </si>
  <si>
    <t>LUIS ALFREDO PEREZ</t>
  </si>
  <si>
    <t>LUIS ALFREDO SOTO SEPULVEDA</t>
  </si>
  <si>
    <t>LUIS ANGEL BREST</t>
  </si>
  <si>
    <t>LUIS EUGENIO GOMEZ</t>
  </si>
  <si>
    <t>LUIS LOSI S.A.</t>
  </si>
  <si>
    <t>LUIS MARIA ALVO</t>
  </si>
  <si>
    <t>LUIS MARSILI Y CIA S A</t>
  </si>
  <si>
    <t>LUIS OSCAR HOSPITALECH</t>
  </si>
  <si>
    <t>LUIS PABLO AZZINNARI</t>
  </si>
  <si>
    <t>LUIS RAUL GUERRA ESCOBAR</t>
  </si>
  <si>
    <t>LUIS RODRIGO FERNANDEZ</t>
  </si>
  <si>
    <t>Luis Sebastian Moroni</t>
  </si>
  <si>
    <t>LUIS SOLIMENO E HIJOS SOCIEDAD ANONIMA</t>
  </si>
  <si>
    <t>LUMMA S.A.</t>
  </si>
  <si>
    <t>LUVINO S.R.L.</t>
  </si>
  <si>
    <t>LUXURY SUITES S.A.S.</t>
  </si>
  <si>
    <t>LYME S.A.</t>
  </si>
  <si>
    <t>LYNCH COCINAS SA</t>
  </si>
  <si>
    <t>LAIKEN SOCIEDAD ANONIMA</t>
  </si>
  <si>
    <t>LEANDRO ANTHONIOZ BLANC</t>
  </si>
  <si>
    <t>LEONARDO IGLESIAS</t>
  </si>
  <si>
    <t>LEONARDO LICASTRO</t>
  </si>
  <si>
    <t>LIA AEROSPACE  S. A. U.</t>
  </si>
  <si>
    <t>LILIANA BLANCA CISTERNA</t>
  </si>
  <si>
    <t>LUCAS ARIEL FERNANDEZ</t>
  </si>
  <si>
    <t>LABORATORIO LEPETIT S.A.</t>
  </si>
  <si>
    <t>LAVIMAR S A</t>
  </si>
  <si>
    <t>LEILA MARIA ASCENCION DE LOS ANGELES MARTINEZ</t>
  </si>
  <si>
    <t>LISANDRO LONGONI</t>
  </si>
  <si>
    <t>LUBCHEM ARGENTINA S.R.L.</t>
  </si>
  <si>
    <t>LUCAS MATIAS BAZAN</t>
  </si>
  <si>
    <t>LUIS ALBERTO BORRACHIA</t>
  </si>
  <si>
    <t>LUIS ALFREDO RIVAS</t>
  </si>
  <si>
    <t>LA RESERVA DE PILAR S.A.</t>
  </si>
  <si>
    <t>LABORATORIOS KONIG S A</t>
  </si>
  <si>
    <t>LABYES S A</t>
  </si>
  <si>
    <t>LACTEOS PUYEHUE S R L</t>
  </si>
  <si>
    <t>LASER ARGENTINA SA</t>
  </si>
  <si>
    <t>LAURA INES ROMERO</t>
  </si>
  <si>
    <t>LEANDRO MARTIN SABRA</t>
  </si>
  <si>
    <t>LEANDRO MIGUEL ERNESTO GULLOTTA</t>
  </si>
  <si>
    <t>LEOPOLDO CARACOCHE</t>
  </si>
  <si>
    <t>LIBERTUN HERMANOS SOCIEDAD DE RESPONSABILIDAD LIMITADA</t>
  </si>
  <si>
    <t>LILIANA BEATRIZ BARRAL</t>
  </si>
  <si>
    <t>LIONBAL S. A.</t>
  </si>
  <si>
    <t>LOS TALARES S.A.</t>
  </si>
  <si>
    <t>LUCAS ANTONIO PLANELLS</t>
  </si>
  <si>
    <t>LUCAS EMANUEL AICHINO</t>
  </si>
  <si>
    <t>LUIS ALBERTO AYRTON PLANIG</t>
  </si>
  <si>
    <t>LUIS ALBERTO SABOREDO</t>
  </si>
  <si>
    <t>LUIS CHARBEL JALIL</t>
  </si>
  <si>
    <t>LUIS DEMETRIO ELIAS</t>
  </si>
  <si>
    <t>LUIS MIGUEL MARQUEZ</t>
  </si>
  <si>
    <t>M</t>
  </si>
  <si>
    <t>M &amp; M GROUP S.R.L.</t>
  </si>
  <si>
    <t>M FELGUERAS SA</t>
  </si>
  <si>
    <t>M G INSTALACIONES SRL</t>
  </si>
  <si>
    <t>M R PHARMA S A</t>
  </si>
  <si>
    <t>M Y V MIXING S.R.L.</t>
  </si>
  <si>
    <t>M.G. MONTAJES &amp; SERVICIOS SRL.</t>
  </si>
  <si>
    <t>M1-GESTIONES DE OBRA S.A.S.</t>
  </si>
  <si>
    <t>MABEL SOLANGE LORENZO</t>
  </si>
  <si>
    <t>MACARPAR SRL EN FORMACION</t>
  </si>
  <si>
    <t>MACHY PAMAC S.A.</t>
  </si>
  <si>
    <t>MACIZO DEL DESEADO PERFORACIONES S.A.</t>
  </si>
  <si>
    <t>MACOIN S R L</t>
  </si>
  <si>
    <t>MACROINSTALACIONES S R L</t>
  </si>
  <si>
    <t>MACS S.A.</t>
  </si>
  <si>
    <t>MADE S.R.L.</t>
  </si>
  <si>
    <t>MADERAS PROCESADAS S.R.L.</t>
  </si>
  <si>
    <t>MADIAM S A</t>
  </si>
  <si>
    <t>MADIES MINNITI SOCIEDAD DE RESPONSABILIDAD LIMITADA</t>
  </si>
  <si>
    <t>MAGANI HECTOR GERMAN</t>
  </si>
  <si>
    <t>MAGDALENA CHATTAH</t>
  </si>
  <si>
    <t>MAGNO S.R.L</t>
  </si>
  <si>
    <t>MAITATU LUR S.A.</t>
  </si>
  <si>
    <t>MAJOR SRL</t>
  </si>
  <si>
    <t>MAKING SRL</t>
  </si>
  <si>
    <t>MAKRO SOCIEDAD ANONIMA</t>
  </si>
  <si>
    <t>MAKTOM S.R.L.</t>
  </si>
  <si>
    <t>MALIEX S.A.</t>
  </si>
  <si>
    <t>MALUAN SRL</t>
  </si>
  <si>
    <t>MAN SER SOCIEDAD DE RESPONSABILIDAD LIMITADA</t>
  </si>
  <si>
    <t>MANCHINELLI MONTAJES SA</t>
  </si>
  <si>
    <t>MANDRAGORA S A</t>
  </si>
  <si>
    <t>MANFREY COOP. DE TAMBEROS DE COMERC.E INDUSTRIALIZACION LTDA.</t>
  </si>
  <si>
    <t>MANGINI JOSE LUSI</t>
  </si>
  <si>
    <t>MANSER MONTAJES INDUSTRIALES S.R.L</t>
  </si>
  <si>
    <t>MANSFIELD MINERA  S A</t>
  </si>
  <si>
    <t>MANSILLA E HIJOS SOCIEDAD ANONIMA</t>
  </si>
  <si>
    <t>MANTENIMIENTO INDUSTRIAL DE CALDERAS SRL</t>
  </si>
  <si>
    <t>MANUEL ENRIQUE GILI</t>
  </si>
  <si>
    <t>MANUEL GUERRERO</t>
  </si>
  <si>
    <t>MANUEL SANMARTIN S A</t>
  </si>
  <si>
    <t>Manuel Segal</t>
  </si>
  <si>
    <t>MANUFACTURA ARRECIFES SA</t>
  </si>
  <si>
    <t>MANUFACTURAS LOS ANDES S.A</t>
  </si>
  <si>
    <t>MANUFACTURAS PILAR SA</t>
  </si>
  <si>
    <t>MANULI FLUICONNECTO  S.R.L.</t>
  </si>
  <si>
    <t>MANYPLAST S A</t>
  </si>
  <si>
    <t>MAPSA S.R.L.</t>
  </si>
  <si>
    <t>MAQUIN TEC S R L</t>
  </si>
  <si>
    <t>MARCELA ALEJANDRA GOMEZ</t>
  </si>
  <si>
    <t>MARCELA LAURA BAZ</t>
  </si>
  <si>
    <t>MARCELO ADRIAN ZUCCOLI</t>
  </si>
  <si>
    <t>MARCELO ALFREDO FARUELO</t>
  </si>
  <si>
    <t>MARCELO CLAUDIO SINTURION</t>
  </si>
  <si>
    <t>MARCELO DANIEL BREA</t>
  </si>
  <si>
    <t>MARCELO EDUARDO GARRIDO OROMI</t>
  </si>
  <si>
    <t>MARCELO FABIAN DULCICH</t>
  </si>
  <si>
    <t>MARCELO FABIAN FERRER</t>
  </si>
  <si>
    <t>MARCELO JOSE CAZON-KEN SRL  U. T. E.</t>
  </si>
  <si>
    <t>MARCELO JULIO BOIERO</t>
  </si>
  <si>
    <t>MARCO ANTONIO AGUILAR PINO</t>
  </si>
  <si>
    <t>MARCO ANTONIO TORRES</t>
  </si>
  <si>
    <t>MARCO LUIS DI PASQUALE</t>
  </si>
  <si>
    <t>MARCO VALLANA ACCESORIOS INDUSTRIALES S.R.L.</t>
  </si>
  <si>
    <t>MARCOS EDUARDO ALDERETE</t>
  </si>
  <si>
    <t>MARCOS ENRIQUE WAJNTRAUB</t>
  </si>
  <si>
    <t>MARCOS GABRIEL BERTONE</t>
  </si>
  <si>
    <t>MARCOS JAVIER GUERRA VERON</t>
  </si>
  <si>
    <t>MARCOS JAVIER ROSICA</t>
  </si>
  <si>
    <t>MARCOS NEIMARK</t>
  </si>
  <si>
    <t>MARCOS SANCHEZ</t>
  </si>
  <si>
    <t>MARDI SOCIEDAD ANONIMA</t>
  </si>
  <si>
    <t>MARGALEF CRISTIAN ERNESTO</t>
  </si>
  <si>
    <t>MARIA BEATRIZ DAVILA</t>
  </si>
  <si>
    <t>MARIA CANDELA GOMEZ TRONCOSO</t>
  </si>
  <si>
    <t>MARIA CARLA LASTORIA</t>
  </si>
  <si>
    <t>MARIA CRISTINA MOSQUERA</t>
  </si>
  <si>
    <t>MARIA ELENA DOMINGUEZ</t>
  </si>
  <si>
    <t>MARIA ELENA ZARATE VIDAL</t>
  </si>
  <si>
    <t>MARIA ELIZABETH IULIANO</t>
  </si>
  <si>
    <t>MARIA ESTER DI SABATO</t>
  </si>
  <si>
    <t>MARIA INES CERVIÑO</t>
  </si>
  <si>
    <t>MARIA INES LEISS</t>
  </si>
  <si>
    <t>MARIA JIMENA GOMEZ</t>
  </si>
  <si>
    <t>MARIA LAURA BUDETTA</t>
  </si>
  <si>
    <t>MARIA LAURA GONZALEZ</t>
  </si>
  <si>
    <t>MARIA LORENA QUINTANA</t>
  </si>
  <si>
    <t>MARIA LUJAN AVILA AGUILAR</t>
  </si>
  <si>
    <t>MARIA MANUELA SOSA ACOSTA</t>
  </si>
  <si>
    <t>MARIA PAULA VALERIA DEVOTO</t>
  </si>
  <si>
    <t>MARIA RAQUEL OJEA</t>
  </si>
  <si>
    <t>MARIA ROSA PEREZ URRUTI</t>
  </si>
  <si>
    <t>MARIA TERESA PASCUAL</t>
  </si>
  <si>
    <t>Maria Valeria Montagnani</t>
  </si>
  <si>
    <t>MARIA VALERIA ONETO</t>
  </si>
  <si>
    <t>MARIANA CAROLINA DOTTIS</t>
  </si>
  <si>
    <t>MARIANO ABELIN CEJAS</t>
  </si>
  <si>
    <t>MARIANO ARIEL AGUIRRE</t>
  </si>
  <si>
    <t>MARIANO BENJAMIN PAZ</t>
  </si>
  <si>
    <t>MARIANO MIGUEL PASCUAL</t>
  </si>
  <si>
    <t>MARIELA EUGENIA MARCHISSIO</t>
  </si>
  <si>
    <t>MARIO ALEJANDRO PRESA</t>
  </si>
  <si>
    <t>MARIO DANIEL SUAREZ</t>
  </si>
  <si>
    <t>MARIO HUGO GONZALEZ</t>
  </si>
  <si>
    <t>MARIO OSCAR HUALLPA</t>
  </si>
  <si>
    <t>MARIO RAMON CASTELLANO</t>
  </si>
  <si>
    <t>MARIO RICARDO RUBEN TARCHINI AUTALAN</t>
  </si>
  <si>
    <t>MARIO ZEPEDA SANCHEZ</t>
  </si>
  <si>
    <t>MARISA ANA RETAMOZO</t>
  </si>
  <si>
    <t>MARITIMA MONACHESI S.A.</t>
  </si>
  <si>
    <t>MARKETWATCH SOCIEDAD ANONIMA</t>
  </si>
  <si>
    <t>MARLEPLAST SA</t>
  </si>
  <si>
    <t>MARQUES DE OBRA S.R.L.</t>
  </si>
  <si>
    <t>MARRONE MARIO FABIO</t>
  </si>
  <si>
    <t>MARSEP S.R.L.</t>
  </si>
  <si>
    <t>MARTHA LOUSTAU S.A.</t>
  </si>
  <si>
    <t>MARTIN DARIO GOMEZ</t>
  </si>
  <si>
    <t>MARTIN ESTEBAN BELLUCCI</t>
  </si>
  <si>
    <t>MARTIN ESTEBAN ZARLENGO</t>
  </si>
  <si>
    <t>MARTIN FEDERICO OSNAGHI</t>
  </si>
  <si>
    <t>MARTIN FORMOSO INGENIERIA S.R.L.</t>
  </si>
  <si>
    <t>MARTIN GOÑI</t>
  </si>
  <si>
    <t>MARTIN GUTIERREZ</t>
  </si>
  <si>
    <t>MARTIN RICARDO BREERTON</t>
  </si>
  <si>
    <t>MARTIN TOOLS</t>
  </si>
  <si>
    <t>MARTINEZ LUISA E, CHARADIA GERARDO Y CHARADIA RICARDO SOC DE HECHO</t>
  </si>
  <si>
    <t>MARTINEZ Y DE LA FUENTE S.A.-C&amp;E CONSTRUCCIONES S.A.-SUPERCEMENTO S.A.I.C.-UCSA SA-WICHI-U.T.E.</t>
  </si>
  <si>
    <t>MARTINOVIC ARMANDO HUMBERTO ESTEBAN</t>
  </si>
  <si>
    <t>MARTORELL CONSTRUCCIONES S R L</t>
  </si>
  <si>
    <t>MARVITECH OLAVARRIA S.A.</t>
  </si>
  <si>
    <t>MASCOTAS DEL NORTE S.R.L.</t>
  </si>
  <si>
    <t>MASIVOS S A</t>
  </si>
  <si>
    <t>MASSER SRL</t>
  </si>
  <si>
    <t>MASTER BUS SA</t>
  </si>
  <si>
    <t>MASTER SUITE S.R.L.</t>
  </si>
  <si>
    <t>MATA NEGRA  SOCIEDAD ANONIMA</t>
  </si>
  <si>
    <t>MATADERO Y FRIGORIFICO MERLO SA</t>
  </si>
  <si>
    <t>MATAFUEGOS DONNY SRL</t>
  </si>
  <si>
    <t>MATAFUEGOS ORLANDO SRL</t>
  </si>
  <si>
    <t>MATIAS ALEJANDRO DAMIAN TABARES</t>
  </si>
  <si>
    <t>MATIAS BENJAMIN JUAREZ</t>
  </si>
  <si>
    <t>MATIAS ERCOLESSI</t>
  </si>
  <si>
    <t>MATIAS EZEQUIEL FIUMANI</t>
  </si>
  <si>
    <t>MATIAS EZEQUIEL NOGUERA</t>
  </si>
  <si>
    <t>MATIAS HEFFNER</t>
  </si>
  <si>
    <t>MATIAS HERRAMIENTAS</t>
  </si>
  <si>
    <t>MATIAS JESUS FEDERICO ALUZ</t>
  </si>
  <si>
    <t>MATIAS NICOLAS BONIFACIO</t>
  </si>
  <si>
    <t>MATIVI S.R.L.</t>
  </si>
  <si>
    <t>MATRA S.R.L.</t>
  </si>
  <si>
    <t>MATRIPLASTICOS SA</t>
  </si>
  <si>
    <t>MATTIEVICH S A</t>
  </si>
  <si>
    <t>MAURICIO ANDRES ROMANO</t>
  </si>
  <si>
    <t>MAURICIO MARTIN RAGGIO</t>
  </si>
  <si>
    <t>MAURINA BUSTO</t>
  </si>
  <si>
    <t>MAURO DANIEL MARTINEZ</t>
  </si>
  <si>
    <t>MAURO PAUL SUAREZ</t>
  </si>
  <si>
    <t>MAXIMO ESFUERZO S.A.</t>
  </si>
  <si>
    <t>MAXISEGURIDAD INDUSTRIAL S.A.</t>
  </si>
  <si>
    <t>MAXRE SRL</t>
  </si>
  <si>
    <t>MAXWELL INGENIERIA S.R.L.</t>
  </si>
  <si>
    <t>MAY RICARDO DANIEL</t>
  </si>
  <si>
    <t>MAYEKAWA ARGENTINA SOCIEDAD ANONIMA</t>
  </si>
  <si>
    <t>MAYJO   S.R.L.</t>
  </si>
  <si>
    <t>MAZCOLTIE S. A.</t>
  </si>
  <si>
    <t>MAZDEN SRL</t>
  </si>
  <si>
    <t>MAZZOLA HECTOR JOSE</t>
  </si>
  <si>
    <t>MBBT S.R.L.</t>
  </si>
  <si>
    <t>MBS CONSTRUCTORA S. A. S.</t>
  </si>
  <si>
    <t>MCLIMATIZACION S.A.S.</t>
  </si>
  <si>
    <t>MD TERMOMECANICA SA</t>
  </si>
  <si>
    <t>MDN-TEC S.A.</t>
  </si>
  <si>
    <t>MECA ELECTROMECANICA SOCIEDAD ANONIMA</t>
  </si>
  <si>
    <t>MECANICA E HIDRAULICA DEL VISO S.A.</t>
  </si>
  <si>
    <t>MECANIZADOS AUTOMATIZADOS FLORIDA S.A.</t>
  </si>
  <si>
    <t>MEDANITO S A</t>
  </si>
  <si>
    <t>MEDELINOX S.A</t>
  </si>
  <si>
    <t>MEDICINA INTEGRAL FITZ ROY S.A.</t>
  </si>
  <si>
    <t>MEDICUS S.A. DE ASISTENCIA MEDICA Y CIENT</t>
  </si>
  <si>
    <t>MEDINA SH DE JOSE LUIS Y SILVESTRE MEDINA</t>
  </si>
  <si>
    <t>MEDITECNA S R L</t>
  </si>
  <si>
    <t>MEDITERRANEO SOCIEDAD ANONIMA</t>
  </si>
  <si>
    <t>MEGA ENERGIAS SA</t>
  </si>
  <si>
    <t>MEGADER S A</t>
  </si>
  <si>
    <t>MEGAFUND SA</t>
  </si>
  <si>
    <t>MEGAVINIL SA</t>
  </si>
  <si>
    <t>MEGIDO S.A.</t>
  </si>
  <si>
    <t>MEIER Y FISCHER SRL</t>
  </si>
  <si>
    <t>MEIP INGENIERIA SRL</t>
  </si>
  <si>
    <t>MEJUTO JORGE RAUL</t>
  </si>
  <si>
    <t>MELISA JAZMIN COSARI</t>
  </si>
  <si>
    <t>MELISAM S A</t>
  </si>
  <si>
    <t>MELLOR GOODWIN COMBUSTION SA</t>
  </si>
  <si>
    <t>MENENDEZ Y CIA SRL</t>
  </si>
  <si>
    <t>MENOYO S.A.</t>
  </si>
  <si>
    <t>MENTVIL S.A.</t>
  </si>
  <si>
    <t>MENUDENCIAS S A</t>
  </si>
  <si>
    <t>MENVI Y WEN S.A.</t>
  </si>
  <si>
    <t>MEP BOMBAS Y SERVICIOS S.R.L.</t>
  </si>
  <si>
    <t>MERANOL SACI</t>
  </si>
  <si>
    <t>MERCOFRIO SOCIEDAD ANONIMA</t>
  </si>
  <si>
    <t>MEREPA S R L</t>
  </si>
  <si>
    <t>MERIAN S.R.L.</t>
  </si>
  <si>
    <t>MERNOK S.A</t>
  </si>
  <si>
    <t>MERSAL</t>
  </si>
  <si>
    <t>METAGRO S R L</t>
  </si>
  <si>
    <t>METAL MEDICA S R L</t>
  </si>
  <si>
    <t>METALCRIS S A</t>
  </si>
  <si>
    <t>METALFOR SA</t>
  </si>
  <si>
    <t>METALTRANS RJ SOCIEDAD ANONIMA</t>
  </si>
  <si>
    <t>METALURGICA ARD S.A.</t>
  </si>
  <si>
    <t>METALURGICA EL ABROJAL SRL</t>
  </si>
  <si>
    <t>METALURGICA EL NEGRO</t>
  </si>
  <si>
    <t>METALURGICA HAL S.A.</t>
  </si>
  <si>
    <t>METALURGICA LA TOMA S A</t>
  </si>
  <si>
    <t>METALURGICA PACLAMAR S.R.L.</t>
  </si>
  <si>
    <t>METALURGICA RAMON S R L</t>
  </si>
  <si>
    <t>METALURGICA SERGIO STRAPAZZON S.R.L.</t>
  </si>
  <si>
    <t>METALURGICA TASIA SRL</t>
  </si>
  <si>
    <t>METALURGICA TAURO SRL</t>
  </si>
  <si>
    <t>METANAV SOCIEDAD DE RESPONSABILIDAD LIMITADA</t>
  </si>
  <si>
    <t>METERTECH S.A.</t>
  </si>
  <si>
    <t>METRO BAYRES CONSTRUCTORA S.R.L.</t>
  </si>
  <si>
    <t>METROGAS S A</t>
  </si>
  <si>
    <t>MEVATERAPIA S A</t>
  </si>
  <si>
    <t>MH INGENIERIA SRL</t>
  </si>
  <si>
    <t>MICAELA GISELLE MUÑOZ</t>
  </si>
  <si>
    <t>MICEMO S. R. L.</t>
  </si>
  <si>
    <t>MICHEL GABRIEL CARTER</t>
  </si>
  <si>
    <t>MICHELOUD RUBEN Y LUCIANA SOCIEDAD DE HECHO</t>
  </si>
  <si>
    <t>MICROCLAR ARGENTINA SA</t>
  </si>
  <si>
    <t>MICROGAUSS S A</t>
  </si>
  <si>
    <t>MICROLAT S R L</t>
  </si>
  <si>
    <t>MIG S.A.</t>
  </si>
  <si>
    <t>MIG SOCIEDAD ANONIMA</t>
  </si>
  <si>
    <t>MIGUEL A CANCIAN E HIJO S.R.L.</t>
  </si>
  <si>
    <t>MIGUEL ANGEL BRIZUELA</t>
  </si>
  <si>
    <t>MIGUEL ANGEL DETHIER</t>
  </si>
  <si>
    <t>MIGUEL BRUNO GEDVILLO</t>
  </si>
  <si>
    <t>MIGUEL LORENZO FONTANINI</t>
  </si>
  <si>
    <t>MIGUEL SCHMITT Y CIA S R L</t>
  </si>
  <si>
    <t>MIJOVI SRL</t>
  </si>
  <si>
    <t>MIKULIK SOCIEDAD ANONIMA</t>
  </si>
  <si>
    <t>MILICIC S.A - AGV SERVICIOS MINEROS S.R.L U.T</t>
  </si>
  <si>
    <t>MILICIC SA VIALNORT SRL UNION TRANSITORIA</t>
  </si>
  <si>
    <t>MINERA DEL ALTIPLANO S A</t>
  </si>
  <si>
    <t>Cheque contraentrega a 30 días fecha factura.</t>
  </si>
  <si>
    <t>MINERA EXAR SA</t>
  </si>
  <si>
    <t>MINERA SANTA CRUZ S.A</t>
  </si>
  <si>
    <t>MINERA SANTA RITA SRL</t>
  </si>
  <si>
    <t>MINERA TEA S A M I C A Y F</t>
  </si>
  <si>
    <t>MINERAR SA</t>
  </si>
  <si>
    <t>MINIMAX ARGENTINA S.A.</t>
  </si>
  <si>
    <t>MINISTERIO DE EDUCACION DE LA PROVINCIA DE SANTA FE</t>
  </si>
  <si>
    <t>MIOLA MONICA</t>
  </si>
  <si>
    <t>MIOTTI SANITARIOS S.R.L.</t>
  </si>
  <si>
    <t>MIQUEL Y COSTAS ARGENTINA SOCIEDAD ANONIMA</t>
  </si>
  <si>
    <t>MIRACLE DEVS S.A.</t>
  </si>
  <si>
    <t>MIRANTO SA</t>
  </si>
  <si>
    <t>MIRBLA S A</t>
  </si>
  <si>
    <t>MIRTHA ADRIANA PARIGI</t>
  </si>
  <si>
    <t>MIXSTAR S.R.L</t>
  </si>
  <si>
    <t>MK TECNICAL SRL</t>
  </si>
  <si>
    <t>MM BIOENERGIA SA</t>
  </si>
  <si>
    <t>MOCCA PRECISION S.A.</t>
  </si>
  <si>
    <t>MOCHUELO NOCTUA S.R.L.</t>
  </si>
  <si>
    <t>MODELPAR MONTAJES INDUSTRIALES DEL PARQUE SRL</t>
  </si>
  <si>
    <t>MOG SUPPLY ARGENTINA SA</t>
  </si>
  <si>
    <t>MOHN DRILLING AS (SUCURSAL ARGENTINA)</t>
  </si>
  <si>
    <t>MOLDEADOS ARGENTINOS SOCIEDAD ANONIMA INDUSTRIAL COMERCIAL FINANCIERA Y MANDATAR</t>
  </si>
  <si>
    <t>MOLINA Y CIA SRL</t>
  </si>
  <si>
    <t>MOLINO BURZACO S.A.</t>
  </si>
  <si>
    <t>MOLINO MATILDE S A</t>
  </si>
  <si>
    <t>MOLINO PAMPA BLANCA SA</t>
  </si>
  <si>
    <t>MOLINOS TASSARA S.A.</t>
  </si>
  <si>
    <t>MOLINOS VICTORIA S.A.</t>
  </si>
  <si>
    <t>MONITORA SEGURIDAD INTELIGENTE S R L</t>
  </si>
  <si>
    <t>MONSER SRL</t>
  </si>
  <si>
    <t>MONTAGNE OUTDOORS S A</t>
  </si>
  <si>
    <t>MONTAJE NEPAR S.A.</t>
  </si>
  <si>
    <t>MONTAJES CAMPANA SERVICIOS S.A</t>
  </si>
  <si>
    <t>MONTAJES CPS SA</t>
  </si>
  <si>
    <t>MONTAJES IMECA SOCIEDAD ANONIMA</t>
  </si>
  <si>
    <t>MONTAJES INDUSTRIALES EDUMAR SRL</t>
  </si>
  <si>
    <t>MONTAJES INDUSTRIALES S A</t>
  </si>
  <si>
    <t>MONTAJES Y FLUIDOS TERMICOS SOCIEDAD RESPONSABLE LIMITADA</t>
  </si>
  <si>
    <t>MONTE HELENA SA</t>
  </si>
  <si>
    <t>MONTERO S A</t>
  </si>
  <si>
    <t>MONTI SACII Y E</t>
  </si>
  <si>
    <t>MORAIZ KARIM MILAGROS</t>
  </si>
  <si>
    <t>MORANDINI RAUL GUILLERMO</t>
  </si>
  <si>
    <t>MORELLO S A</t>
  </si>
  <si>
    <t>MORENO GOMA SA</t>
  </si>
  <si>
    <t>MORENO LEANDRO LUCAS SEBASTIAN</t>
  </si>
  <si>
    <t>MORKEN S.A.</t>
  </si>
  <si>
    <t>MOSAICOS LANIK SA</t>
  </si>
  <si>
    <t>MOSAICOS LENZI S A</t>
  </si>
  <si>
    <t>MOTO MECANICA ARGENTINA SOCIEDAD ANONIMA</t>
  </si>
  <si>
    <t>MOTORES ELECTROMECANICA ATLAS S.A.</t>
  </si>
  <si>
    <t>MOTYVAR SRL</t>
  </si>
  <si>
    <t>MOUZO SANTIAGO HERNAN</t>
  </si>
  <si>
    <t>MP MINERIA POSITIVA S. R. L.</t>
  </si>
  <si>
    <t>MPH ENG SRL</t>
  </si>
  <si>
    <t>MR &amp; MR SOCIEDAD ANONIMA</t>
  </si>
  <si>
    <t>MRA SERVICIOS INDUSTRIALES S.R.L.</t>
  </si>
  <si>
    <t>MSU ENERGY S.A.</t>
  </si>
  <si>
    <t>MT-IDEAS S. A.</t>
  </si>
  <si>
    <t>MTU DETROIT DIESEL-ALLISON ARGENTINA SA</t>
  </si>
  <si>
    <t>MUGLAN SRL</t>
  </si>
  <si>
    <t>MULLER Y DI COSTANZO SRL</t>
  </si>
  <si>
    <t>MULTIPLEX SA</t>
  </si>
  <si>
    <t>MULTIWORKS S.R.L.</t>
  </si>
  <si>
    <t>MUNDO BRANCO S. A.</t>
  </si>
  <si>
    <t>MUNICIPALIDAD DE ARROYO CABRAL</t>
  </si>
  <si>
    <t>MUNICIPALIDAD DE SAN ANTONIO OESTE</t>
  </si>
  <si>
    <t>MURPHY BROKERS S.A.</t>
  </si>
  <si>
    <t>MYCOTECH SA</t>
  </si>
  <si>
    <t>MYS INGENIERIA S.A.S.</t>
  </si>
  <si>
    <t>M.A.F.E.R.S.  S.A.</t>
  </si>
  <si>
    <t>MAN-TER GROUP</t>
  </si>
  <si>
    <t>MANTENIMIENTOS INTEGRALES GENERALES S.A.</t>
  </si>
  <si>
    <t>MARCELO DANIEL IPPOLITO</t>
  </si>
  <si>
    <t>MARIA BELEN ZAPATA</t>
  </si>
  <si>
    <t>MARIANO DANIEL RICHARDI</t>
  </si>
  <si>
    <t>MARIAZELL SRL</t>
  </si>
  <si>
    <t>MARIELA GIMENA MONTI</t>
  </si>
  <si>
    <t>MARINI Y COMPAÑIA S.A.</t>
  </si>
  <si>
    <t>MARIO JAVIER RENDICH</t>
  </si>
  <si>
    <t>MARLE CONSTRUCCIONES SA BAUGE CONSTRUCCIONES SA UT</t>
  </si>
  <si>
    <t>MARTIN OSCAR BRONDINO</t>
  </si>
  <si>
    <t>MARTINI SRL</t>
  </si>
  <si>
    <t>MASTROPOR SA</t>
  </si>
  <si>
    <t>MATE ELECTRICO</t>
  </si>
  <si>
    <t>METALMECANICA SA</t>
  </si>
  <si>
    <t>MILICIC SA</t>
  </si>
  <si>
    <t>MOLECULAR DYNAMICS S.A.S.</t>
  </si>
  <si>
    <t>MOLINO CAÑUELAS SOCIEDAD ANONIMA COMERCIAL INDUSTRIAL  FINANCIERA INMOBILIARIA Y AGROPECUARIA</t>
  </si>
  <si>
    <t>MONTES DE OCA 2465 DE CASTELAR</t>
  </si>
  <si>
    <t>MSF TECH S.A.</t>
  </si>
  <si>
    <t>MSO S. R. L.</t>
  </si>
  <si>
    <t>MACATA SOCIEDAD ANONIM</t>
  </si>
  <si>
    <t>MANIAGRO SOCIEDAD ANONIMA</t>
  </si>
  <si>
    <t>MAQUINARIA Y CONSTRUCCIONES S.A.</t>
  </si>
  <si>
    <t>MARCELO RAUL HERNANDEZ</t>
  </si>
  <si>
    <t>MARIA PAZ MARTINEZ MARTINEZ</t>
  </si>
  <si>
    <t>MARIANO FARACI</t>
  </si>
  <si>
    <t>MARIO CARLOS ZAVARONI</t>
  </si>
  <si>
    <t>MARIO LUIS ABRAHAM S.R.L.</t>
  </si>
  <si>
    <t>MARIO TANZI S.A.</t>
  </si>
  <si>
    <t>MATIAS ALBERTO RUBIO QUISPE</t>
  </si>
  <si>
    <t>MATIAS ALEJANDRO GASSMAN</t>
  </si>
  <si>
    <t>MATIAS EZEQUIEL GARCIA</t>
  </si>
  <si>
    <t>MAXIMILIANO GABRIEL GIMENEZ</t>
  </si>
  <si>
    <t>MD  SRL</t>
  </si>
  <si>
    <t>MESOPOTAMIAN DRINKS SOCIEDAD ANONIMA</t>
  </si>
  <si>
    <t>METAB S.A</t>
  </si>
  <si>
    <t>MIGUEL MATIAS POZZI</t>
  </si>
  <si>
    <t>MILANO-KERN SRL</t>
  </si>
  <si>
    <t>MUNDO DEL FILTRO S.A.</t>
  </si>
  <si>
    <t>MURESCO SOCIEDAD ANONIMA</t>
  </si>
  <si>
    <t>MACATA SOCIEDAD ANONIMA</t>
  </si>
  <si>
    <t>MADRYN CLIMA S.R.L.</t>
  </si>
  <si>
    <t>MAIFER S.R.L.</t>
  </si>
  <si>
    <t>MALPELI HERMANOS S.R.L.</t>
  </si>
  <si>
    <t>MARCELO ADRIAN CONTRERAS</t>
  </si>
  <si>
    <t>MARCELO ANTONIO RAPACHANI</t>
  </si>
  <si>
    <t>MARCELO DANIEL ARAKAKI</t>
  </si>
  <si>
    <t>MARCELO JAVIER MULONI ROMERO</t>
  </si>
  <si>
    <t>MARCOS JESUS GRANDOV</t>
  </si>
  <si>
    <t>MARCOS JULIO GALLO</t>
  </si>
  <si>
    <t>MARIA LAURA ALZUETA</t>
  </si>
  <si>
    <t>MARIA LELIA FAINSTEIN</t>
  </si>
  <si>
    <t>MARIANO CARBAJAL</t>
  </si>
  <si>
    <t>MARIANO OSMAR CUAGLIO</t>
  </si>
  <si>
    <t>MARIO ADRIAN SCHSVINDT</t>
  </si>
  <si>
    <t>MARTIN ROBERTO MARENONI</t>
  </si>
  <si>
    <t>MARTIN SEBASTIAN ORECCHIA</t>
  </si>
  <si>
    <t>MAXIMILIANO ENRIQUE VERA</t>
  </si>
  <si>
    <t>METALURGICA BP SRL</t>
  </si>
  <si>
    <t>MIGUEL SANTIAGO RODRIGUEZ CERETTA</t>
  </si>
  <si>
    <t>MILTON JOSE GONZALEZ</t>
  </si>
  <si>
    <t>MOBEL SOCIEDAD ANONIMA</t>
  </si>
  <si>
    <t>MONICA GABRIELA LOPEZ</t>
  </si>
  <si>
    <t>MONICA MARCELA ANDEN</t>
  </si>
  <si>
    <t>MORGATE ARGENTINA SA</t>
  </si>
  <si>
    <t>N</t>
  </si>
  <si>
    <t>N R Z INSTRUMENTOS S.R.L.</t>
  </si>
  <si>
    <t>N. FERRARIS S.A.</t>
  </si>
  <si>
    <t>NADIA YAMILA IGLESIAS</t>
  </si>
  <si>
    <t>NAHUEL ADRIAN FERNANDEZ</t>
  </si>
  <si>
    <t>NAHUEN ENERGIA S.A</t>
  </si>
  <si>
    <t>NANDA ARGENTINA SRL</t>
  </si>
  <si>
    <t>NANDY PAISAJISMO S.R.L.</t>
  </si>
  <si>
    <t>NANOX RELEASE TECHNOLOGY S.A.</t>
  </si>
  <si>
    <t>NAS ARGENTINA SA</t>
  </si>
  <si>
    <t>NATALIA LOURDES MAZZEO</t>
  </si>
  <si>
    <t>NATALIA VERONICA SALAZAR</t>
  </si>
  <si>
    <t>NATIONAL SHIPPING S.A.</t>
  </si>
  <si>
    <t>NATUREL S A</t>
  </si>
  <si>
    <t>NAUTILUS SOCIEDAD RESPONSABILIDAD LIMITADA</t>
  </si>
  <si>
    <t>NAVIERA CRUZ DEL SUR S.A.</t>
  </si>
  <si>
    <t>NELO SA</t>
  </si>
  <si>
    <t>NELSO S A</t>
  </si>
  <si>
    <t>NELSON CHRISTIAN COSTA</t>
  </si>
  <si>
    <t>NEMESIS UNO S.R.L.</t>
  </si>
  <si>
    <t>NEO INGENIERIA S. A. S.</t>
  </si>
  <si>
    <t>NESTOR ALEJANDRO CABRAL</t>
  </si>
  <si>
    <t>NESTOR ALEJANDRO RENDICH</t>
  </si>
  <si>
    <t>NESTOR ARIEL LEDESMA</t>
  </si>
  <si>
    <t>NESTOR ARIEL UBEDA</t>
  </si>
  <si>
    <t>NESTOR FERNANDO GARBARINO</t>
  </si>
  <si>
    <t>NESTOR JULIO GUERECHET S A</t>
  </si>
  <si>
    <t>NESTOR OMAR BIAGIOLI</t>
  </si>
  <si>
    <t>NESTOR RAFAEL VERDUN</t>
  </si>
  <si>
    <t>NESTOR VICENTE BULFARO</t>
  </si>
  <si>
    <t>NETOOLS</t>
  </si>
  <si>
    <t>NEUHEL SOCIEDAD DE RESPONSABILIDAD LIMITADA</t>
  </si>
  <si>
    <t>NEUMAR S.R.L.</t>
  </si>
  <si>
    <t>NEWSAN SOCIEDAD ANONIMA</t>
  </si>
  <si>
    <t>NEXAR ARGENTINA S.R.L.</t>
  </si>
  <si>
    <t>NEXCO S A</t>
  </si>
  <si>
    <t>NHI S.A.</t>
  </si>
  <si>
    <t>NIALTEC SA</t>
  </si>
  <si>
    <t>NICOLAS ALBERTO QUIROZ</t>
  </si>
  <si>
    <t>NICOLAS EDUARDO MERCADO</t>
  </si>
  <si>
    <t>NICOLAS FERNANDO FARIÑA</t>
  </si>
  <si>
    <t>NICOLAS JORGE DELLA PORTA</t>
  </si>
  <si>
    <t>NICOLAS MACEK</t>
  </si>
  <si>
    <t>NICOLAS MATIAS BALDO</t>
  </si>
  <si>
    <t>NICOLAS RICARDO PACHER</t>
  </si>
  <si>
    <t>NICOLAS RODRIGUEZ</t>
  </si>
  <si>
    <t>NICOSIA RAMON F. Y NICOSIA JOSE A.  S.H.</t>
  </si>
  <si>
    <t>NIDIA IRENE LABRIOLA</t>
  </si>
  <si>
    <t>NIEVAS EL MAKTE MARINA LUCRECIA</t>
  </si>
  <si>
    <t>NILDA WALKYRIA DAMONTE - TERESA VICENTA DAMONTE S.H</t>
  </si>
  <si>
    <t>NIRO CONSTRUCCIONES S A</t>
  </si>
  <si>
    <t>NITRAP SRL</t>
  </si>
  <si>
    <t>NITRASOIL ARGENTINA SOCIEDAD ANONIMA</t>
  </si>
  <si>
    <t>NIZA CIENTIFICA SA</t>
  </si>
  <si>
    <t>NODO S A</t>
  </si>
  <si>
    <t>NOELIA BELEN MACIEL</t>
  </si>
  <si>
    <t>NORA GILDA CATALDI</t>
  </si>
  <si>
    <t>NORBERTO ANDRES BIANCHI</t>
  </si>
  <si>
    <t>NORBERTO BATIZ</t>
  </si>
  <si>
    <t>NORDEMAQ SA</t>
  </si>
  <si>
    <t>NORDICWATER ARGENTINA S.R.L.</t>
  </si>
  <si>
    <t>NOREN PLAST S A</t>
  </si>
  <si>
    <t>NORGREEN S A</t>
  </si>
  <si>
    <t>NORMA CARRERA Y ANDRES PLANT S.S.</t>
  </si>
  <si>
    <t>NORTEC INSUMOS S.R.L.</t>
  </si>
  <si>
    <t>NOSMARTI SA</t>
  </si>
  <si>
    <t>NOVA  S. A. U.</t>
  </si>
  <si>
    <t>NOVACHEM S R L</t>
  </si>
  <si>
    <t>NOVARUB SA</t>
  </si>
  <si>
    <t>NOVOCAP SA</t>
  </si>
  <si>
    <t>NRG ARGENTINA S.A.</t>
  </si>
  <si>
    <t>NUBO S.R.L.</t>
  </si>
  <si>
    <t>NUCLEO SISTEMAS S R L</t>
  </si>
  <si>
    <t>NUCLEOELECTRICA ARGENTINA S.A.</t>
  </si>
  <si>
    <t>NUCTECH COMPANY LTD (SUCURSAL ARGENTINA)</t>
  </si>
  <si>
    <t>NUEVAS FRONTERAS SA</t>
  </si>
  <si>
    <t>NUEVO PLAZA HOTEL MENDOZA S.A.</t>
  </si>
  <si>
    <t>NUEVOS PROYECTOS CV SRL</t>
  </si>
  <si>
    <t>NUÑEZ WALTER FRANCISCO Y NUÑEZ MATIAS ALEJANDRO</t>
  </si>
  <si>
    <t>NUTRINAC SRL</t>
  </si>
  <si>
    <t>NUTRITERRA SA</t>
  </si>
  <si>
    <t>NYTEC S.A.</t>
  </si>
  <si>
    <t>NERVI MAR S.R.L.</t>
  </si>
  <si>
    <t>NEUMATICOS DEL SUR SOCIEDAD ANONIMA</t>
  </si>
  <si>
    <t>NICOLAS ABEL VACCARO</t>
  </si>
  <si>
    <t>NICOLAS GABRIEL VEDOVATO</t>
  </si>
  <si>
    <t>NOCEDA S A</t>
  </si>
  <si>
    <t>NUTRALMIX S.R.L.</t>
  </si>
  <si>
    <t>NELSON FELIX REINAUDI</t>
  </si>
  <si>
    <t>NERI MAXIMILIANO DI GANGI</t>
  </si>
  <si>
    <t>NEWCO S.R.L.</t>
  </si>
  <si>
    <t>NICOLAS ARGUINDEGUY</t>
  </si>
  <si>
    <t>NICOLAS EMILIO DUVIVIER</t>
  </si>
  <si>
    <t>NICOLAS EZEQUIEL GOMEZ</t>
  </si>
  <si>
    <t>NICOLAS SEBASTIAN MICHELOUD</t>
  </si>
  <si>
    <t>NICUESA E HIJOS S.R.L.</t>
  </si>
  <si>
    <t>NOEMI TERESITA PINOTTI</t>
  </si>
  <si>
    <t>NORBERTO OSCAR DE BUENO</t>
  </si>
  <si>
    <t>NAHUEL OSVALDO BARSI</t>
  </si>
  <si>
    <t>NATALIO RAMOS</t>
  </si>
  <si>
    <t>NESTOR JAVIER BANCHERO</t>
  </si>
  <si>
    <t>NESTOR MARCELO CELANO</t>
  </si>
  <si>
    <t>NICOLAS DANIEL PALAORO</t>
  </si>
  <si>
    <t>NICOLAS JAUREGUI LORDA</t>
  </si>
  <si>
    <t>NORTE MINING S.R.L</t>
  </si>
  <si>
    <t>NORWAN GROUP S.R.L.</t>
  </si>
  <si>
    <t>NOVAROM SRL</t>
  </si>
  <si>
    <t>NUESTRO LEGADO S A</t>
  </si>
  <si>
    <t>O</t>
  </si>
  <si>
    <t>O ARIAS Y CIA S A</t>
  </si>
  <si>
    <t>OBATOWN COMPANY S.A.</t>
  </si>
  <si>
    <t>OBDULIO ESTEBAN SAN MARTIN</t>
  </si>
  <si>
    <t>OBLAK HNOS S A C I F I</t>
  </si>
  <si>
    <t>OBO STUDIO SRL</t>
  </si>
  <si>
    <t>OBRA SOCIAL SERVICIOS SOCIALES BANCARIOS</t>
  </si>
  <si>
    <t>OBRAR INGENIERIA SRL</t>
  </si>
  <si>
    <t>OBRAS SOCIEDAD DE RESPONSABILIDAD LIMITADA</t>
  </si>
  <si>
    <t>OBRAS Y SISTEMAS SRL</t>
  </si>
  <si>
    <t>OBRINSA SA</t>
  </si>
  <si>
    <t>OBRYCON SRL</t>
  </si>
  <si>
    <t>OCEAN EXPORT SA</t>
  </si>
  <si>
    <t>OESTE BAIRES S.R.L.</t>
  </si>
  <si>
    <t>OFENBAU ARGENTINA SRL</t>
  </si>
  <si>
    <t>OFFAL EXP SOCIEDAD ANONIMA</t>
  </si>
  <si>
    <t>OHM INSTRUMENTAL</t>
  </si>
  <si>
    <t>OIL METAL SA</t>
  </si>
  <si>
    <t>OILFIELD SERVICES S.A.</t>
  </si>
  <si>
    <t>OLEOHIDRAULICA &amp; MONTAJES SRL</t>
  </si>
  <si>
    <t>OLEOHIDRAULICA GEA S.R.L.</t>
  </si>
  <si>
    <t>OLGA ROSA KORNREICH</t>
  </si>
  <si>
    <t>OLIGRA SUDAMERICANA S.A.</t>
  </si>
  <si>
    <t>OLIMEG S.R.L.</t>
  </si>
  <si>
    <t>OLIMPIA RESIDENCIA PARA MAYORES</t>
  </si>
  <si>
    <t>OLIVES SA</t>
  </si>
  <si>
    <t>OMAN ALEXIS ALMADA</t>
  </si>
  <si>
    <t>OMAR ADOLFO BERNHARDT</t>
  </si>
  <si>
    <t>OMAR ADRIAN GALDAMES</t>
  </si>
  <si>
    <t>Omar Garcia</t>
  </si>
  <si>
    <t>OMAR GUSTAVO MARICH</t>
  </si>
  <si>
    <t>OMAR JOSE CAMPOS OLIVERA</t>
  </si>
  <si>
    <t>OMAR RODOLFO FERNANDEZ</t>
  </si>
  <si>
    <t>OMAR VETRANO SACIFI</t>
  </si>
  <si>
    <t>ONETO TECNICA S.A.</t>
  </si>
  <si>
    <t>ONIGIRI S.A.</t>
  </si>
  <si>
    <t>OPEN PARK SA</t>
  </si>
  <si>
    <t>OPERADORA FERROVIARIA SOCIEDAD DEL ESTADO</t>
  </si>
  <si>
    <t>OPPFILM ARGENTINA S.A.</t>
  </si>
  <si>
    <t>OPQ SOCIEDAD ANONIMA</t>
  </si>
  <si>
    <t>ORGANIZACION COMERCIALIZADORA DE MAQUINAS Y EQUIPOS S A</t>
  </si>
  <si>
    <t>ORGANIZACION SAN ANDRES S.A</t>
  </si>
  <si>
    <t>ORIGENES S. R. L.</t>
  </si>
  <si>
    <t>ORLANDO ALFREDO SALADINO</t>
  </si>
  <si>
    <t>ORLANDO MEJIA VASQUEZ</t>
  </si>
  <si>
    <t>ORTOPEDIA MSM SRL</t>
  </si>
  <si>
    <t>OSCAR ALBERTO BUTTO</t>
  </si>
  <si>
    <t>OSCAR ALFREDO MELO</t>
  </si>
  <si>
    <t>OSCAR ANTONIO MORENO</t>
  </si>
  <si>
    <t>OSCAR BENIGNO BENITEZ</t>
  </si>
  <si>
    <t>OSCAR ENTIN FILTRACION INDUSTRIAL S A</t>
  </si>
  <si>
    <t>OSCAR GUILLERMO NESELIS</t>
  </si>
  <si>
    <t>OSCAR HUGO ASSARO</t>
  </si>
  <si>
    <t>OSCAR M. BUSQUET E HIJOS S.A.</t>
  </si>
  <si>
    <t>OSCAR MOLINA</t>
  </si>
  <si>
    <t>OSCAR SCORZA EQUIPOS Y SERVICIOS SRL</t>
  </si>
  <si>
    <t>OSDABA S.R.L.</t>
  </si>
  <si>
    <t>OSVALDO EDUARDO MOYANO</t>
  </si>
  <si>
    <t>OSVALDO ESCANERS AVELLANEDA</t>
  </si>
  <si>
    <t>OSVALDO OSCAR ORILLE</t>
  </si>
  <si>
    <t>OSVALDO RICARDO DESOYARD</t>
  </si>
  <si>
    <t>OSWALDO CORTESE Y CIA S R L</t>
  </si>
  <si>
    <t>OSYMOS SOCIEDAD ANONIMA</t>
  </si>
  <si>
    <t>OTHALA S.A.</t>
  </si>
  <si>
    <t>OTROS CLIENTES</t>
  </si>
  <si>
    <t>OUT FIRE S.A.</t>
  </si>
  <si>
    <t>OVNIPLAST  SA</t>
  </si>
  <si>
    <t>OVNISA S.A.</t>
  </si>
  <si>
    <t>OVOBRAND SA</t>
  </si>
  <si>
    <t>OXAPHARMA S.A.</t>
  </si>
  <si>
    <t>OXIMETAL S A</t>
  </si>
  <si>
    <t>OXIPEL S.R.L.</t>
  </si>
  <si>
    <t>OXYSAN SOCIEDAD ANONIMA</t>
  </si>
  <si>
    <t>OBISPAR  SA</t>
  </si>
  <si>
    <t>ORENGIA Y CONFORTI INDUSTRIAL Y COMERCIAL SOCIEDAD ANONIMA</t>
  </si>
  <si>
    <t>ODFJELL TERMINALS TAGSA SA</t>
  </si>
  <si>
    <t>OLD BREWER SRL</t>
  </si>
  <si>
    <t>OSCAR ALFREDO ARIAS</t>
  </si>
  <si>
    <t>OTIC S R L</t>
  </si>
  <si>
    <t>OLEODINAMICA RNC SRL</t>
  </si>
  <si>
    <t>OSVALDO DANIEL VERA LUGO</t>
  </si>
  <si>
    <t>OTTONELLI ANTONIO HUMBERTO Y SCHNEIDER FABIO RAMON</t>
  </si>
  <si>
    <t>P</t>
  </si>
  <si>
    <t>P V C TECNOCOM SOCIEDAD ANONIMA</t>
  </si>
  <si>
    <t>P Y P FACTORY SA</t>
  </si>
  <si>
    <t>P&amp;M INDUSTRIAL SOCIEDAD ANONIMA</t>
  </si>
  <si>
    <t>P. Y D. LA ALAMEDA S.A.</t>
  </si>
  <si>
    <t>PABLO ADRIAN PERALTA</t>
  </si>
  <si>
    <t>PABLO ALBERTO AMAR</t>
  </si>
  <si>
    <t>PABLO ALBERTO MORMANDO</t>
  </si>
  <si>
    <t>PABLO ANDRES AMOEDO</t>
  </si>
  <si>
    <t>PABLO APELHANS Y DIEGO APELHANS SOCIEDAD DE HECHO</t>
  </si>
  <si>
    <t>PABLO CIRAVEGNA</t>
  </si>
  <si>
    <t>PABLO CLAUSEN</t>
  </si>
  <si>
    <t>PABLO DARIO BINAGHI</t>
  </si>
  <si>
    <t>PABLO EMANUEL LUSTO</t>
  </si>
  <si>
    <t>PABLO ENRIQUE MOENS</t>
  </si>
  <si>
    <t>PABLO ESTEBAN ROMERO</t>
  </si>
  <si>
    <t>PABLO FERNANDO IRIBARREN</t>
  </si>
  <si>
    <t>PABLO GABRIEL DEBES</t>
  </si>
  <si>
    <t>PABLO GABRIEL MARCHIO</t>
  </si>
  <si>
    <t>PABLO GABRIEL PEDERIVA</t>
  </si>
  <si>
    <t>PABLO GUSTAVO RIZZI</t>
  </si>
  <si>
    <t>PABLO HORACIO CHIANI</t>
  </si>
  <si>
    <t>PABLO IVAN GRATTULINI ASTORGA</t>
  </si>
  <si>
    <t>PABLO JAVIER COCCO</t>
  </si>
  <si>
    <t>PABLO JESUS HERBST HERNANDEZ</t>
  </si>
  <si>
    <t>PABLO JOSE PADILLA</t>
  </si>
  <si>
    <t>PABLO LEANDRO FERNANDEZ</t>
  </si>
  <si>
    <t>PABLO LUIS AVERSANO</t>
  </si>
  <si>
    <t>PABLO LUIS MARELLI</t>
  </si>
  <si>
    <t>PABLO MARIO PEREZ ALBERT</t>
  </si>
  <si>
    <t>PABLO MARTIN LUNA</t>
  </si>
  <si>
    <t>PABLO MARTIN REBON</t>
  </si>
  <si>
    <t>PABLO OJMAN</t>
  </si>
  <si>
    <t>PABLO REY SILVA</t>
  </si>
  <si>
    <t>PABLO ROBERTO BARRERA</t>
  </si>
  <si>
    <t>PABLO ROBERTO CHICCHITTI</t>
  </si>
  <si>
    <t>PABLO RODRIGO GONZALEZ</t>
  </si>
  <si>
    <t>PABLO SALVADOR CORDERO</t>
  </si>
  <si>
    <t>PABLO SEBASTIAN ANDRE</t>
  </si>
  <si>
    <t>PABLO SEBASTIAN VERGES</t>
  </si>
  <si>
    <t>PACUCA BIOENERGIA SA</t>
  </si>
  <si>
    <t>PAGANINI, COMBA HERMANOS Y COMPANIA SOCIEDAD DE RESPONSABILIDAD LIMITADA</t>
  </si>
  <si>
    <t>PALAVERSICH Y CIA S AC</t>
  </si>
  <si>
    <t>PALUD VIVIANA MARTA</t>
  </si>
  <si>
    <t>PAMPA CHEESE S.A.</t>
  </si>
  <si>
    <t>PAMPA COMPANIA DE CARNES S.A.S.</t>
  </si>
  <si>
    <t>PAMPA CONECTA S.A.</t>
  </si>
  <si>
    <t>PAMPA CRAFT SRL</t>
  </si>
  <si>
    <t>PAMPA ENERGIA S A</t>
  </si>
  <si>
    <t>PAMPA ENERGIA SA CONTRATO OPERATIVO CHIHUIDOS</t>
  </si>
  <si>
    <t>PAMPA FISH SA</t>
  </si>
  <si>
    <t>PAMPETROL SAPEM - PCR SA - UNION TRANSITORIA - 25 DE MAYO - MEDANITO SE</t>
  </si>
  <si>
    <t>PAN AMERICAN ENERGY, S.L.,  SUCURSAL ARGENTINA</t>
  </si>
  <si>
    <t>PAN FRESH S.A.</t>
  </si>
  <si>
    <t>PANA FIUL S.R.L.</t>
  </si>
  <si>
    <t>PANALAB S A ARGENTINA</t>
  </si>
  <si>
    <t>PANDEN S.A.</t>
  </si>
  <si>
    <t>PANEDILE ARGENTINA S.A.I.C.F. E I. - ROVELLA CARRANZA S.A. - ELEPRINT S.A. - COARCO S.A. UTE</t>
  </si>
  <si>
    <t>PANEDILE ARGENTINA S.A.I.C.F.E I. - ESUCO S.A - ECOPRENEUR S.A. - UNION TRANSITORIA</t>
  </si>
  <si>
    <t>PANEDILE ARGENTINA SA IND COM FIN EINMOB</t>
  </si>
  <si>
    <t>PAOLA VANESA BOSCHI</t>
  </si>
  <si>
    <t>PAOLETTI HUGO VICTOR Y HUGO ALBERTO</t>
  </si>
  <si>
    <t>PAOLINI SAIC</t>
  </si>
  <si>
    <t>PAPAS 21 DE SEPTIEMBRE S.R.L.</t>
  </si>
  <si>
    <t>PAPEL MISIONERO S A I F C</t>
  </si>
  <si>
    <t>PAPEL PAMPA S.A.</t>
  </si>
  <si>
    <t>PAPEL PRENSA SAICF Y DE M</t>
  </si>
  <si>
    <t>PAPELERA DEL NOA SA</t>
  </si>
  <si>
    <t>E-cheq contra entrega a 30 días de fecha factura.</t>
  </si>
  <si>
    <t>PAPELERA DON TORCUATO S A C I</t>
  </si>
  <si>
    <t>PAPELERA ENTRE RIOS S A</t>
  </si>
  <si>
    <t>PAPELERA SAMSENG SA</t>
  </si>
  <si>
    <t>PAPELERA SANTA ANGELA S.A.I.C.I.F.Y A.</t>
  </si>
  <si>
    <t>PARANA LOGISTICA  S.A</t>
  </si>
  <si>
    <t>Cuenta corriente a 7 días fecha factura.</t>
  </si>
  <si>
    <t>PARIS AZUL S.R.L.</t>
  </si>
  <si>
    <t>PARNOR SA</t>
  </si>
  <si>
    <t>PARQUE RECREATIVO LA SERRANITA S.A.S.</t>
  </si>
  <si>
    <t>PASCUAL ANTONIO COLOCA</t>
  </si>
  <si>
    <t>PASTA SOLE S.A.</t>
  </si>
  <si>
    <t>PASTALINDA SOCIEDAD ANONIMA</t>
  </si>
  <si>
    <t>PASTAS GOURMET S.A.</t>
  </si>
  <si>
    <t>PASTORA RIOJA SOCIEDAD ANONIMA</t>
  </si>
  <si>
    <t>PASTRANA DOMINGO FELIPE</t>
  </si>
  <si>
    <t>PASVAHL SA</t>
  </si>
  <si>
    <t>PATAGONIA BEVERAGE SRL</t>
  </si>
  <si>
    <t>PATAGONIA ENERGY S. A.</t>
  </si>
  <si>
    <t>PATAGONIA FIELD SERVICES SRL</t>
  </si>
  <si>
    <t>PATAGONIA FLY S.A.</t>
  </si>
  <si>
    <t>PATAGONIA GOLD S.A.</t>
  </si>
  <si>
    <t>PATAGONIA MATERIALES SH DE PIERANTONI JORGE Y ANDES JACOBO</t>
  </si>
  <si>
    <t>PATAGONIA SHALE SERVICES S.A.</t>
  </si>
  <si>
    <t>PATRICIA ELENA BARATELLI</t>
  </si>
  <si>
    <t>PATRICIA ESTHER COPPOLA</t>
  </si>
  <si>
    <t>PATRICIO ANDRES GONZALEZ SIDDERS</t>
  </si>
  <si>
    <t>PAULO CESAR PAUTASSO</t>
  </si>
  <si>
    <t>PCI GROUP S.R.L.</t>
  </si>
  <si>
    <t>PCSOLUTIONS S.R.L.</t>
  </si>
  <si>
    <t>PEALCO S A</t>
  </si>
  <si>
    <t>Pedro A. Zunino</t>
  </si>
  <si>
    <t>PEDRO CARLUCCIO</t>
  </si>
  <si>
    <t>PEDRO JOSE DUARTE MENDEZ</t>
  </si>
  <si>
    <t>PEHUENCHE S R L</t>
  </si>
  <si>
    <t>PEHUENIA ALIMENTARIA S R L</t>
  </si>
  <si>
    <t>PEITEL S.A.</t>
  </si>
  <si>
    <t>PELLACANI SRL</t>
  </si>
  <si>
    <t>PELTEX ARGENTINA SA</t>
  </si>
  <si>
    <t>PELZER SYSTEM SA</t>
  </si>
  <si>
    <t>PENTAIR WATER LATINAMERICA S.A.</t>
  </si>
  <si>
    <t>PERALES AGUIAR SA</t>
  </si>
  <si>
    <t>PERCOMIN ICSA</t>
  </si>
  <si>
    <t>PEREZ TRECE DE ANGEL PEREZ Y LUIS PEREZ</t>
  </si>
  <si>
    <t>PERFORACIONES GOMEZ SRL</t>
  </si>
  <si>
    <t>PERFORMANCE S.R.L.</t>
  </si>
  <si>
    <t>PERON PARK S.A.</t>
  </si>
  <si>
    <t>PERTAM S.A</t>
  </si>
  <si>
    <t>PESCADERIA SANTA MARIA SRL</t>
  </si>
  <si>
    <t>PESQUERA 20 DE NOVIEMBRE S.A.</t>
  </si>
  <si>
    <t>PESQUERA DESEADO S.A.U.</t>
  </si>
  <si>
    <t>PESQUERIA DEL ATLANTICO S.A.</t>
  </si>
  <si>
    <t>PETRO AR SRL</t>
  </si>
  <si>
    <t>PETROANDINA S.R.L</t>
  </si>
  <si>
    <t>PETROCOM ARGENTINA S.A.</t>
  </si>
  <si>
    <t>PETRODUCTOS ARGENTINA S R L</t>
  </si>
  <si>
    <t>PETROLEUM SOLUTIONS SOCIEDAD ANONIMA</t>
  </si>
  <si>
    <t>PETROMARK SRL</t>
  </si>
  <si>
    <t>PETROPLASTIC S A</t>
  </si>
  <si>
    <t>PETROQUIMICA COMODORO RIVADAVIA S A</t>
  </si>
  <si>
    <t>PETROQUIMICA COMODORO RIVADAVIA SA - PAMPETROL SAPEM - UNION TRANSITORIA DE EMPRESAS</t>
  </si>
  <si>
    <t>PEY JUAN CARLOS</t>
  </si>
  <si>
    <t>PFISTERER S.A.</t>
  </si>
  <si>
    <t>PHOTONIX SRL</t>
  </si>
  <si>
    <t>PIANEROMO S.A.</t>
  </si>
  <si>
    <t>PICOPALINO S.R.L.</t>
  </si>
  <si>
    <t>PIEDRAS BLANCAS S.R.L.</t>
  </si>
  <si>
    <t>PIERO SAIC</t>
  </si>
  <si>
    <t>PILAGA CONSTRUCCIONES S.A.- GERARDO DANIEL MATEO- UNION TRANSITORIA</t>
  </si>
  <si>
    <t>PILAGA S.A.</t>
  </si>
  <si>
    <t>Pilar Shops S.A</t>
  </si>
  <si>
    <t>PILOTES Y ANCLAJES SRL</t>
  </si>
  <si>
    <t>PIMATEC S.A.</t>
  </si>
  <si>
    <t>PINERAL S A</t>
  </si>
  <si>
    <t>PINTO ARREDAMENTO SRL</t>
  </si>
  <si>
    <t>PINTURERIA LINCOLD</t>
  </si>
  <si>
    <t>PIRAM INGENIERIA SRL</t>
  </si>
  <si>
    <t>PISTACHOS RIOJANOS S A</t>
  </si>
  <si>
    <t>PIVIDORI AGROINDUSTRIAL  S.A.</t>
  </si>
  <si>
    <t>PIXEL CONSTRUCCIONES S.R.L.</t>
  </si>
  <si>
    <t>PLANEXWARE SA</t>
  </si>
  <si>
    <t>PLANTEL S A</t>
  </si>
  <si>
    <t>PLANTINES TEIKEI SRL</t>
  </si>
  <si>
    <t>PLANTIUM S.A.</t>
  </si>
  <si>
    <t>PLASTICOS CASTRO HNOS S A C I F IA</t>
  </si>
  <si>
    <t>PLASTICOS F R S A</t>
  </si>
  <si>
    <t>PLASTICRAFT S.R.L.</t>
  </si>
  <si>
    <t>PLASTIFERRO DOMICILIARIO  S.A.</t>
  </si>
  <si>
    <t>PLASTIFERRO TUBOS SA</t>
  </si>
  <si>
    <t>PLASTIMEC S.A.</t>
  </si>
  <si>
    <t>PLATALAB S.A.</t>
  </si>
  <si>
    <t>PLAYA CONSTRUCCIONES S.R.L.</t>
  </si>
  <si>
    <t>PLAZA INTENDENTE ALVEAR  S A</t>
  </si>
  <si>
    <t>PLAZA LOGISTICA  S R L</t>
  </si>
  <si>
    <t>PLEGANOR SRL</t>
  </si>
  <si>
    <t>PLUMARI S A</t>
  </si>
  <si>
    <t>PLUSTEC SA</t>
  </si>
  <si>
    <t>PODER JUDICIAL ADMINISTRACIÓN DE JUSTICIA</t>
  </si>
  <si>
    <t>PODLESCH SOCIEDAD ANONIMA</t>
  </si>
  <si>
    <t>POLAN S A</t>
  </si>
  <si>
    <t>POLETTO MARIO DARIO</t>
  </si>
  <si>
    <t>POLIDUR SAN LUIS S A I C</t>
  </si>
  <si>
    <t>POLIEX S A</t>
  </si>
  <si>
    <t>POLIFORMAS SUDAMERICANAS S R L</t>
  </si>
  <si>
    <t>POLIMEX ARGENTINA SA</t>
  </si>
  <si>
    <t>POLYFOAM SRL</t>
  </si>
  <si>
    <t>PONTECORVO  HNOS   S A</t>
  </si>
  <si>
    <t>PONTIMPO SRL</t>
  </si>
  <si>
    <t>PORTOPRE S R L</t>
  </si>
  <si>
    <t>POSE S.A. TECMA S.A. UNION TRANSITORIA</t>
  </si>
  <si>
    <t>POSE SA</t>
  </si>
  <si>
    <t>POSTOVOY OSVALDO MARCELO</t>
  </si>
  <si>
    <t>PRAXAIR ARGENTINA SOCIEDAD DE RESPONSABILIDAD LIMITADA</t>
  </si>
  <si>
    <t>PREFECTURA NAVAL ARGENTINA</t>
  </si>
  <si>
    <t>PREMECOL SRL</t>
  </si>
  <si>
    <t>PRENUT S.A.</t>
  </si>
  <si>
    <t>PREPAT S.A.S.</t>
  </si>
  <si>
    <t>PRESTACIONES GLOBALES PETROLERAS PGP SA PETROAIKE SA UNION TRANSITORIA OPERACION Y MANTENIMIENTO</t>
  </si>
  <si>
    <t>PRFV LINERS S.A.</t>
  </si>
  <si>
    <t>PRIFAMON SA</t>
  </si>
  <si>
    <t>PRINCZ S A I C F E I</t>
  </si>
  <si>
    <t>PROARCO PATAGONIA SOCIEDAD ANONIMA</t>
  </si>
  <si>
    <t>PROCEGRAF SRL</t>
  </si>
  <si>
    <t>PROCESADORA DEL CARMEN SRL</t>
  </si>
  <si>
    <t>PROCESADORA GANADERA ENTRERRIANA S.A.</t>
  </si>
  <si>
    <t>PROCHEM BIO SA.</t>
  </si>
  <si>
    <t>PROCHEM S.A.</t>
  </si>
  <si>
    <t>PROCONI S.R.L.</t>
  </si>
  <si>
    <t>PRODENG S.A.</t>
  </si>
  <si>
    <t>PRODICOS  S.A.U.</t>
  </si>
  <si>
    <t>PRODIGYO S.R.L.</t>
  </si>
  <si>
    <t>PRODINSA ARGENTINA S A</t>
  </si>
  <si>
    <t>PRODUCCION S A</t>
  </si>
  <si>
    <t>PRODUCCION SENGUER SA</t>
  </si>
  <si>
    <t>PRODUCTOS ALIMENTICIOS SOFIA S.A</t>
  </si>
  <si>
    <t>PRODUCTOS DE AGUA SA</t>
  </si>
  <si>
    <t>PRODUCTOS EL ARTESANO S A</t>
  </si>
  <si>
    <t>PRODUCTOS FARMACEUTICOS DR. GRAY</t>
  </si>
  <si>
    <t>PRODUCTOS PILAR SA</t>
  </si>
  <si>
    <t>PRODUCTOS VETERINARIOS S.A.</t>
  </si>
  <si>
    <t>PROINDER  S.A.</t>
  </si>
  <si>
    <t>PROKIT SA</t>
  </si>
  <si>
    <t>PROMATI SOCIEDAD DE RESPONSABILIDAD LIMITADA</t>
  </si>
  <si>
    <t>PRONEXO S.R.L.</t>
  </si>
  <si>
    <t>PRONO INGENIERIA S . A</t>
  </si>
  <si>
    <t>PRONTO ELECTRICA SRL</t>
  </si>
  <si>
    <t>PROODOS SOCIEDAD ANONIMA</t>
  </si>
  <si>
    <t>PROPARQ S.A.S.</t>
  </si>
  <si>
    <t>PROPPANT AND SERVICES SRL</t>
  </si>
  <si>
    <t>PROTEINAS ARGENTINAS S.A.</t>
  </si>
  <si>
    <t>PROVEEDORES INDUSTRIALES SIMAT SRL</t>
  </si>
  <si>
    <t>PROWINES SA</t>
  </si>
  <si>
    <t>PROYECTAR INGENIERIA SAS</t>
  </si>
  <si>
    <t>PROYECTO CONSMEL S.A.</t>
  </si>
  <si>
    <t>PROYECTO CONSTRUCCION Y MONTAJE S.A.</t>
  </si>
  <si>
    <t>PRYSMIAN ENERGIA CABLES Y SISTEMAS DE ARG. SA</t>
  </si>
  <si>
    <t>PSG SOLUTION GLOBAL PROCESS S.A.</t>
  </si>
  <si>
    <t>PSK MOTORES Y BOMBAS SRL</t>
  </si>
  <si>
    <t>PUERTA GRANDE S A</t>
  </si>
  <si>
    <t>PUERTAS SRL</t>
  </si>
  <si>
    <t>PUEYRREDON CLUB S.A.</t>
  </si>
  <si>
    <t>PULPABRIL SOCIEDAD ANONIMA</t>
  </si>
  <si>
    <t>PULPO S.A</t>
  </si>
  <si>
    <t>PUNA COMERCIALIZADORA SAS</t>
  </si>
  <si>
    <t>PUNA MINING S.A.</t>
  </si>
  <si>
    <t>PUPINCO S R L</t>
  </si>
  <si>
    <t>PYAT S.A.</t>
  </si>
  <si>
    <t>PABLO DANIEL ROSA LAURINO</t>
  </si>
  <si>
    <t>PALMERO SAN LUIS SA</t>
  </si>
  <si>
    <t>PATAGONIAN DELIGHTS S. A.</t>
  </si>
  <si>
    <t>PETROLERA ACONCAGUA ENERGIA SA - CROWN POINT ENERGIA SA - UNION TRANSITORIA DE EMPRESAS</t>
  </si>
  <si>
    <t>PETROQUIMICA CUYO SOCIEDAD ANONIMA INDUSTRIAL Y COMERCIAL</t>
  </si>
  <si>
    <t>PLUSPETROL S.A.YSUR ENERGIA ARGENTINA S.R.L.- AREA CNQ-26 LA CALERA- UNION TRANSITORIA DE EMPRESAS</t>
  </si>
  <si>
    <t>POBATER S. A.</t>
  </si>
  <si>
    <t>PABLO DANIEL CERRA</t>
  </si>
  <si>
    <t>PABLO JAVIER GARCIA</t>
  </si>
  <si>
    <t>PAMELA BEATRIZ TAUBENSCHLAG MONES RUIZ</t>
  </si>
  <si>
    <t>PASTURAS DE CAZON S.R.L.</t>
  </si>
  <si>
    <t>PERALTA S.R.L.</t>
  </si>
  <si>
    <t>PERCY ISRAEL ENCINAS BONETT</t>
  </si>
  <si>
    <t>PIMIACI S.A</t>
  </si>
  <si>
    <t>PLASTICOS CARIN S. A.</t>
  </si>
  <si>
    <t>PROINTEX S R L</t>
  </si>
  <si>
    <t>PABLO DAMIAN BICOCCA</t>
  </si>
  <si>
    <t>PANELES DE CABECERA TH SRL</t>
  </si>
  <si>
    <t>PAPELERA BERAZATEGUI S A I C Y F</t>
  </si>
  <si>
    <t>PASSAIR SRL</t>
  </si>
  <si>
    <t>PATAGONIA SUPPLY SOCIEDAD DE RESPONSABILIDAD LIMITADA</t>
  </si>
  <si>
    <t>PATRICIA EDITH RODRIGUEZ</t>
  </si>
  <si>
    <t>PATRICIA LORENA LARIA</t>
  </si>
  <si>
    <t>PBC S.R.L</t>
  </si>
  <si>
    <t>PERFOMAX SRL</t>
  </si>
  <si>
    <t>PHIBRO ANIMAL HEALTH DE ARGENTINA S.R.L</t>
  </si>
  <si>
    <t>PHOENIX SERVICES SRL</t>
  </si>
  <si>
    <t>PLANIO SRL</t>
  </si>
  <si>
    <t>PLAQUIMET SA</t>
  </si>
  <si>
    <t>PLIMER S A</t>
  </si>
  <si>
    <t>PRINGLES SAN LUIS S. A.</t>
  </si>
  <si>
    <t>PRODUCTOS CARILO S.A.</t>
  </si>
  <si>
    <t>PRODUCTOS VENIER S A</t>
  </si>
  <si>
    <t>PRONOR S.R.L.</t>
  </si>
  <si>
    <t>Q</t>
  </si>
  <si>
    <t>Q M EQUIPMENT S A</t>
  </si>
  <si>
    <t>Q SOLUTIONS S.A.</t>
  </si>
  <si>
    <t>Q2 GROUP S.A.</t>
  </si>
  <si>
    <t>QM CRYOGENIC SA</t>
  </si>
  <si>
    <t>QMAX S.R.L.</t>
  </si>
  <si>
    <t>QS&amp;P S.R.L.</t>
  </si>
  <si>
    <t>QUAMAQ SRL</t>
  </si>
  <si>
    <t>QUELU LEUFU SAICFI Y AGROPECUARIA</t>
  </si>
  <si>
    <t>QUERCIALI HOGAR SOCIEDAD ANONIMA</t>
  </si>
  <si>
    <t>QUERUCLOR SRL</t>
  </si>
  <si>
    <t>QUICKFOOD S A</t>
  </si>
  <si>
    <t>QUIMICA ARISTON S A I C</t>
  </si>
  <si>
    <t>QUIMICA CALLEGARI S R L</t>
  </si>
  <si>
    <t>QUIMICA DEL NORTE S A</t>
  </si>
  <si>
    <t>QUIMICA DEL VALLE S.R.L.</t>
  </si>
  <si>
    <t>QUIMICA E G SRL</t>
  </si>
  <si>
    <t>QUIMICA FENIX SA</t>
  </si>
  <si>
    <t>QUIMICA LUAR S R L</t>
  </si>
  <si>
    <t>QUIMICA MONTPELLIER S A</t>
  </si>
  <si>
    <t>QUIMICA NORTE S.S.</t>
  </si>
  <si>
    <t>QUIMICA OESTE SOCIEDAD ANONIMA</t>
  </si>
  <si>
    <t>QUIMICA Y ENERGIA SOCIEDAD DE RESPONSABILIDAD LIMITADA</t>
  </si>
  <si>
    <t>QUIMIGUAY SANTA CRUZ S.A.</t>
  </si>
  <si>
    <t>QUIMSA S.R.L.</t>
  </si>
  <si>
    <t>QUELANA S A C I F E I</t>
  </si>
  <si>
    <t>R F S R L</t>
  </si>
  <si>
    <t>R NETO SA</t>
  </si>
  <si>
    <t>R.P. SEGURIDAD ELECTRONICA S.R.L.</t>
  </si>
  <si>
    <t>RAC S.R.L.</t>
  </si>
  <si>
    <t>RADIAL S. R. L.</t>
  </si>
  <si>
    <t>RAFA S A</t>
  </si>
  <si>
    <t>RAFA SA</t>
  </si>
  <si>
    <t>RAFAEL G ALBANESI  SOCIEDAD ANONIMA</t>
  </si>
  <si>
    <t>RAFAEL HECTOR GUERRISI</t>
  </si>
  <si>
    <t>RAFAEL HORACIO MATEOS</t>
  </si>
  <si>
    <t>RAFAEL SALAS Y CIA S R L</t>
  </si>
  <si>
    <t>RAGA SRL</t>
  </si>
  <si>
    <t>RAGONE S.R.L.</t>
  </si>
  <si>
    <t>RAHOLIN SRL</t>
  </si>
  <si>
    <t>RAINAP S A</t>
  </si>
  <si>
    <t>RALTI CESPED S.A.</t>
  </si>
  <si>
    <t>RAMASIGLIA MARTA GRACIELA</t>
  </si>
  <si>
    <t>RAMGRAS SOCIEDAD ANONIMA COMERCIAL INDUSTRIAL Y AGROPECUARIA</t>
  </si>
  <si>
    <t>RAMIRO PEREZ DE VARGAS</t>
  </si>
  <si>
    <t>RAMON LUCIANO LOTO</t>
  </si>
  <si>
    <t>Ramón Saavedra</t>
  </si>
  <si>
    <t>RAUL ANTONIO ARBALLO</t>
  </si>
  <si>
    <t>RAUL EDGARDO FABRIS</t>
  </si>
  <si>
    <t>RAUL HONORIO SILVESTRI SA</t>
  </si>
  <si>
    <t>RAUL OSCAR BRIZUELA</t>
  </si>
  <si>
    <t>RAYSAN S.A.</t>
  </si>
  <si>
    <t>RC CUSER S.A.</t>
  </si>
  <si>
    <t>RC IN SRL</t>
  </si>
  <si>
    <t>REBSA CONSTRUCCIONES S.A.</t>
  </si>
  <si>
    <t>RED LOGISTICS SA</t>
  </si>
  <si>
    <t>REF MAR S R L</t>
  </si>
  <si>
    <t>REFI PAMPA S.A.</t>
  </si>
  <si>
    <t>REFINERIA DEL CENTRO S.A.</t>
  </si>
  <si>
    <t>REFINERIAS DE GRASAS SUDAMERICANA S.A.</t>
  </si>
  <si>
    <t>REFRES NOW S.A.</t>
  </si>
  <si>
    <t>REFRIGERACION FRI-MAR SRL</t>
  </si>
  <si>
    <t>REHAU SA</t>
  </si>
  <si>
    <t>REINFORCED PLASTIC S A</t>
  </si>
  <si>
    <t>REIS VALL S.R.L.</t>
  </si>
  <si>
    <t>REISEN SOCIEDAD ANONIMA</t>
  </si>
  <si>
    <t>RELD  S A C I F I A</t>
  </si>
  <si>
    <t>RELIABILITY SAS</t>
  </si>
  <si>
    <t>RELIABLE SERVICES SRL</t>
  </si>
  <si>
    <t>RENATO ARTURO LESTARD</t>
  </si>
  <si>
    <t>RENDERING S A</t>
  </si>
  <si>
    <t>RENOPACK S.A.</t>
  </si>
  <si>
    <t>RENUEVA SA</t>
  </si>
  <si>
    <t>RENZ ARGENTINA S.A.</t>
  </si>
  <si>
    <t>RENZ PERFORACIONES SOCIEDAD ANONIMA</t>
  </si>
  <si>
    <t>RENZA SA</t>
  </si>
  <si>
    <t>RENZO MARTIN GOMEZ PUSSETTO</t>
  </si>
  <si>
    <t>REPAC DEL PLATA SRL</t>
  </si>
  <si>
    <t>REPRESENTACIONES SAJONIA S.A.</t>
  </si>
  <si>
    <t>REPUESTOS VELEZ SARSFIELD S R L</t>
  </si>
  <si>
    <t>RESEARCH AG S.A.</t>
  </si>
  <si>
    <t>RESIDENCIAS COOPERATIVAS DE TURISMO COOPERATIVA DE PROVISION DE SERVICIOS TURISTICOS LIMITADA</t>
  </si>
  <si>
    <t>RESIMAX S A</t>
  </si>
  <si>
    <t>RESIPOL S A</t>
  </si>
  <si>
    <t>RESYDER SRL</t>
  </si>
  <si>
    <t>REVESTA S A I C</t>
  </si>
  <si>
    <t>REVOQUES DEL SUR S.A.</t>
  </si>
  <si>
    <t>REYMONT MONTAJES INDUSTRIALES SRL</t>
  </si>
  <si>
    <t>REZINDARG S.A.</t>
  </si>
  <si>
    <t>RIAVVIO PROYECTOS Y OBRAS SA</t>
  </si>
  <si>
    <t>RIBACK Y CIA CEREALES SRL</t>
  </si>
  <si>
    <t>RICARDO ALBERTO BARBEITE</t>
  </si>
  <si>
    <t>RICARDO DOMINGO BONANSEA</t>
  </si>
  <si>
    <t>RICARDO GABRIEL TSITSO</t>
  </si>
  <si>
    <t>RICARDO GUSTAVO MORENO</t>
  </si>
  <si>
    <t>RICARDO HECTOR CORBACHO</t>
  </si>
  <si>
    <t>RICARDO JORGE KUIYAN</t>
  </si>
  <si>
    <t>RICARDO JOSE CORDEVIOLA</t>
  </si>
  <si>
    <t>RICARDO LUIS GALIMBERTI</t>
  </si>
  <si>
    <t>RICARDO MARCELO BELETZKY</t>
  </si>
  <si>
    <t>RICARDO MOLINA</t>
  </si>
  <si>
    <t>RICARDO NELSON ZABALA</t>
  </si>
  <si>
    <t>RICARDO OSCAR MONSERRAT</t>
  </si>
  <si>
    <t>RICARDO RAMON MOLINE</t>
  </si>
  <si>
    <t>RICARDO RODOLFO HOLC</t>
  </si>
  <si>
    <t>RICARDO ROITMAN</t>
  </si>
  <si>
    <t>RICARDO RUBEN BONDINO</t>
  </si>
  <si>
    <t>RICARDO VICENTE GALLO</t>
  </si>
  <si>
    <t>RICH KLINGER S A A C I Y F</t>
  </si>
  <si>
    <t>RIEGO FERTIL S.R.L.</t>
  </si>
  <si>
    <t>RIELAMERICANO SACI</t>
  </si>
  <si>
    <t>RIGECIN LABS  SA</t>
  </si>
  <si>
    <t>RIGEL SRL</t>
  </si>
  <si>
    <t>RILF LOGISTICA S.R.L.</t>
  </si>
  <si>
    <t>RIMOLO NORBERTO Y ORUETA RAUL  SH</t>
  </si>
  <si>
    <t>RINCON MINING LIMITED</t>
  </si>
  <si>
    <t>RIO LIMAY OIL FIELD SERVICES SA</t>
  </si>
  <si>
    <t>RIO SUR CONSTRUCCIONES S.A.S.</t>
  </si>
  <si>
    <t>RIS SOCIEDAD ANONIMA</t>
  </si>
  <si>
    <t>RIVA S.A.I.I.C.F.A - ELEPRINT S.A. - TECMA S.A - INSA S.A. U. T. E.</t>
  </si>
  <si>
    <t>RNC S.R.L.</t>
  </si>
  <si>
    <t>RO CO SOCIEDAD DE RESPONSABILIDAD LIMITADA</t>
  </si>
  <si>
    <t>ROBERTO ALEJANDRO GIRAUDI</t>
  </si>
  <si>
    <t>ROBERTO ANIBAL STUPIA</t>
  </si>
  <si>
    <t>ROBERTO CARLOS SCHOENFELD</t>
  </si>
  <si>
    <t>ROBERTO DANIEL VANDENBERGHE</t>
  </si>
  <si>
    <t>ROBERTO ERNESTO SIMONETTI</t>
  </si>
  <si>
    <t>ROBERTO HEINBERG SRL</t>
  </si>
  <si>
    <t>ROBERTO JUAN ELIAS</t>
  </si>
  <si>
    <t>ROBERTO LEANDRO CARLOS MELERO</t>
  </si>
  <si>
    <t>ROBERTO LORENZO LIZARAZU</t>
  </si>
  <si>
    <t>ROBERTO MARCELO NUÑEZ</t>
  </si>
  <si>
    <t>ROBERTO MATIAS LISA</t>
  </si>
  <si>
    <t>ROBERTO O RODOFELI Y CIA S R L</t>
  </si>
  <si>
    <t>ROBERTO RUFINO LORCA</t>
  </si>
  <si>
    <t>ROBERTO TOMBION</t>
  </si>
  <si>
    <t>ROBERTO VALENTIN STAHLI</t>
  </si>
  <si>
    <t>ROBINSON RODOLFO BONINO</t>
  </si>
  <si>
    <t>ROCA CONSTRUCCIONES Y MONTAJES S. R. L.</t>
  </si>
  <si>
    <t>ROCCO INSTALACIONES S.R.L.</t>
  </si>
  <si>
    <t>ROCHEM BIOCARE ARGENTINA S.A</t>
  </si>
  <si>
    <t>RODAMIENTOS RA S.R.L.</t>
  </si>
  <si>
    <t>RODEG S.A.</t>
  </si>
  <si>
    <t>RODOLFO ABEL ROCHA</t>
  </si>
  <si>
    <t>RODOLFO ALBERTO DONNET SOCIEDAD ANONIMA</t>
  </si>
  <si>
    <t>RODOLFO ALEJANDRO GAREIS</t>
  </si>
  <si>
    <t>RODOLFO CRESPI E HIJOS S R L</t>
  </si>
  <si>
    <t>RODOLFO EDUARDO JUAN CASTELLI</t>
  </si>
  <si>
    <t>RODOLFO GUSTAVO NOYA</t>
  </si>
  <si>
    <t>RODOLFO RENE VALDUNCIEL</t>
  </si>
  <si>
    <t>RODRIGO  OMAR WAIMANN</t>
  </si>
  <si>
    <t>RODRIGO DANIEL AGUERO VERA</t>
  </si>
  <si>
    <t>RODRIGO EDUARDO MILLAN</t>
  </si>
  <si>
    <t>RODRIGO PATRICIO MENDOZA CHAVEZ</t>
  </si>
  <si>
    <t>ROJAS PROYECTO III S.A.</t>
  </si>
  <si>
    <t>ROJAS TOMAS EMILIO</t>
  </si>
  <si>
    <t>ROJOSOFT S.R.L</t>
  </si>
  <si>
    <t>ROLA INGENIERIA S.A.S.</t>
  </si>
  <si>
    <t>ROLANDO HUMBERTO KENNY</t>
  </si>
  <si>
    <t>Rolando Juan Barbieri</t>
  </si>
  <si>
    <t>ROLEMAU ENCURTIDOS S.R.L.</t>
  </si>
  <si>
    <t>ROLIC S.A.</t>
  </si>
  <si>
    <t>ROLIDAR S.A.</t>
  </si>
  <si>
    <t>ROLLFOOD SAS</t>
  </si>
  <si>
    <t>ROMAN EQUIPOS  S.R.L.</t>
  </si>
  <si>
    <t>ROMAN HORACIO BARRUTIA</t>
  </si>
  <si>
    <t>ROMINA VARGAS</t>
  </si>
  <si>
    <t>ROSA ELENA FAILLA</t>
  </si>
  <si>
    <t>ROSA HARLE</t>
  </si>
  <si>
    <t>ROSANA MARIA LEONOR POLLERO</t>
  </si>
  <si>
    <t>ROSATO S A</t>
  </si>
  <si>
    <t>ROUX OCEFA</t>
  </si>
  <si>
    <t>ROVLAN S.A.</t>
  </si>
  <si>
    <t>ROYERDORE DE JUAN OSVALDO BRUSCO E HIJOS S R L</t>
  </si>
  <si>
    <t>RSC S.A.</t>
  </si>
  <si>
    <t>RTK S.A</t>
  </si>
  <si>
    <t>RTS COMMISSIONING SA</t>
  </si>
  <si>
    <t>RUBEN ADAN ULMAN</t>
  </si>
  <si>
    <t>RUBEN DARIO CUELLO</t>
  </si>
  <si>
    <t>RUBHA INGENIERIA S. A. S.</t>
  </si>
  <si>
    <t>RUCCI MEDICION SRL</t>
  </si>
  <si>
    <t>RUEDAS E.B. S.R.L.</t>
  </si>
  <si>
    <t>RUHRPUMPEN ARGENTINA S.A.</t>
  </si>
  <si>
    <t>RUKY S.R.L.</t>
  </si>
  <si>
    <t>RULEMANES VIEYTES SH DE ALVAREZ M  Y ALVAREZ C</t>
  </si>
  <si>
    <t>RUNAID SRL</t>
  </si>
  <si>
    <t>RUVAC SRL</t>
  </si>
  <si>
    <t>RYELSA SRL</t>
  </si>
  <si>
    <t>RYSCO S.R.L.</t>
  </si>
  <si>
    <t>RAFAEL DARIO GONDAR</t>
  </si>
  <si>
    <t>REPICKY SA</t>
  </si>
  <si>
    <t>REPUESTOS GIMENEZ SA</t>
  </si>
  <si>
    <t>RICARDO SIXTO ANSONNAUD</t>
  </si>
  <si>
    <t>RICHARD PATRICIO OLIER</t>
  </si>
  <si>
    <t>RIO CHICO S A</t>
  </si>
  <si>
    <t>ROBERTO OSCAR LORENZINO</t>
  </si>
  <si>
    <t>ROEMMERS S A I C F</t>
  </si>
  <si>
    <t>ROTAIR S.H. DE FERRETTI MARCELA Y FERNANDEZ ALICIA DELIA</t>
  </si>
  <si>
    <t>RAFADA S.A.</t>
  </si>
  <si>
    <t>RICARDO JOSE COLACCIOPPO</t>
  </si>
  <si>
    <t>ROMINA ANABELA ZULETA</t>
  </si>
  <si>
    <t>RUBEN JOSE OSTINELLI</t>
  </si>
  <si>
    <t>RAMON ALBERTO RODRIGUEZ</t>
  </si>
  <si>
    <t>REPUESTOS Y MANTENIMIENTO SRL.</t>
  </si>
  <si>
    <t>RICARDO ENRIQUE NIETO</t>
  </si>
  <si>
    <t>RICARDO PAROLO S.A.</t>
  </si>
  <si>
    <t>ROBERTO ANGEL PIETKUN</t>
  </si>
  <si>
    <t>ROBERTO EDUARDO BEST</t>
  </si>
  <si>
    <t>RODRIGO IMANOL GIACUMINO</t>
  </si>
  <si>
    <t>RUBEN DANIEL KOELBL</t>
  </si>
  <si>
    <t>S &amp; D DESARROLLOS Y SERVICIOS S.R.L.</t>
  </si>
  <si>
    <t>S A ESTANCIA LA PELADA GANADERA Y COMERCIAL</t>
  </si>
  <si>
    <t>S A LITO GONELLA E HIJO I C F I</t>
  </si>
  <si>
    <t>S A TECNOPRACTICA</t>
  </si>
  <si>
    <t>S G ASESORES INDUSTRIALES SRL</t>
  </si>
  <si>
    <t>S M C ARGENTINA S A</t>
  </si>
  <si>
    <t>S. E. D. A.    P. I .C.    S.A.</t>
  </si>
  <si>
    <t>S.A. VERACRUZ</t>
  </si>
  <si>
    <r>
      <t xml:space="preserve">Los precios </t>
    </r>
    <r>
      <rPr>
        <b/>
        <u/>
        <sz val="11"/>
        <color theme="1"/>
        <rFont val="Calibri"/>
        <family val="2"/>
        <scheme val="minor"/>
      </rPr>
      <t>No incluyen IVA (21%)</t>
    </r>
    <r>
      <rPr>
        <sz val="11"/>
        <color theme="1"/>
        <rFont val="Calibri"/>
        <family val="2"/>
        <scheme val="minor"/>
      </rPr>
      <t xml:space="preserve"> y estan expresados en dólares americanos cotización </t>
    </r>
    <r>
      <rPr>
        <b/>
        <u/>
        <sz val="11"/>
        <color theme="1"/>
        <rFont val="Calibri"/>
        <family val="2"/>
        <scheme val="minor"/>
      </rPr>
      <t>BNA billete vendedor</t>
    </r>
    <r>
      <rPr>
        <sz val="11"/>
        <color theme="1"/>
        <rFont val="Calibri"/>
        <family val="2"/>
        <scheme val="minor"/>
      </rPr>
      <t>.</t>
    </r>
  </si>
  <si>
    <t>S.E.O. TECNOLOGIA S.R.L.</t>
  </si>
  <si>
    <t>S.N.F. ARGENTINA S.R.L.</t>
  </si>
  <si>
    <t>SA DON SEGOVIA DE MERCEDES SEGOVIA DE SEEBER</t>
  </si>
  <si>
    <t>SABA SRL</t>
  </si>
  <si>
    <t>SABACHO SOCIEDAD ANONIMA</t>
  </si>
  <si>
    <t>SABELOTE S.A.</t>
  </si>
  <si>
    <t>SABIC INNOVATIVE PLASTICS ARGENTINA S.R.L.</t>
  </si>
  <si>
    <t>SABINUR SOCIEDAD ANONIMA COMERCIAL INDUSTRIAL FINANCIERA INMOBILIARIA Y AGROPECU</t>
  </si>
  <si>
    <t>SACDE SOCIEDAD ARGENTINA DE CONSTRUCCION Y DESARROLLO ESTRATEGICO S.A.</t>
  </si>
  <si>
    <t>SADE ELECTROMECANICA S.A.</t>
  </si>
  <si>
    <t>SAENZ VALIENTE 1194 S.R.L</t>
  </si>
  <si>
    <t>SAF ARGENTINA SOCIEDAD ANONIMA</t>
  </si>
  <si>
    <t>SAFEST SERVICIOS DE INGENIERIA S.R.L.</t>
  </si>
  <si>
    <t>SAFETY &amp; STYLE S.R.L.</t>
  </si>
  <si>
    <t>SAGAB S.R.L.</t>
  </si>
  <si>
    <t>SAGUA ARGENTINA SOCIEDAD ANONIMA</t>
  </si>
  <si>
    <t>SAIKO S.A.</t>
  </si>
  <si>
    <t>SALEM ALDO ALBERTO Y AICARDI DERNANDO SEBASTIAN S H</t>
  </si>
  <si>
    <t>SALES DE JUJUY SOCIEDAD ANONIMA</t>
  </si>
  <si>
    <t>SALMARES S.A.</t>
  </si>
  <si>
    <t>SALTA REFRESCOS S A</t>
  </si>
  <si>
    <t>SALUD Y REHABILITACION INTEGRAL S.R.L.</t>
  </si>
  <si>
    <t>SALVADOR M PESTELLI SA</t>
  </si>
  <si>
    <t>SALVATELA S.A.</t>
  </si>
  <si>
    <t>SAMUEL GUTNISKY S.A.I.C.</t>
  </si>
  <si>
    <t>SAN ANTONIO FABRIL S.R.L.</t>
  </si>
  <si>
    <t>SAN ARAWA S.A.U.</t>
  </si>
  <si>
    <t>SAN BERNARDO S A</t>
  </si>
  <si>
    <t>SAN PEDRO ARENAS SOCIEDAD ANONIMA</t>
  </si>
  <si>
    <t>SAN ROMAN JOSE IGNACIO</t>
  </si>
  <si>
    <t>SAN ROQUE PEREZ SOCIEDAD ANONIMA</t>
  </si>
  <si>
    <t>SANATORIO JUNIN S.A.</t>
  </si>
  <si>
    <t>SANATORIO TRELEW</t>
  </si>
  <si>
    <t>SANCHEZ Y PICCIONI SA</t>
  </si>
  <si>
    <t>SANDRA VERONICA IAMPOLSKY</t>
  </si>
  <si>
    <t>SANDRO   GERARDO SUSNISKY</t>
  </si>
  <si>
    <t>SANIOBRAS S.A.</t>
  </si>
  <si>
    <t>SANITARIOS CAROSIO S.A.</t>
  </si>
  <si>
    <t>SANITARIOS HIDROOBRAS S.R.L.</t>
  </si>
  <si>
    <t>SANITARIOS LA NUEVA ERA SOCIEDAD LEY 19550 CAPTULO I SECCION IV</t>
  </si>
  <si>
    <t>SANITARIOS RJ SA</t>
  </si>
  <si>
    <t>SANOVO GREENPACK ARGENTINA S.R.L.</t>
  </si>
  <si>
    <t>SANSATUR S A A</t>
  </si>
  <si>
    <t>SANTA GIULIA SA</t>
  </si>
  <si>
    <t>SANTA INES MEAT SRL</t>
  </si>
  <si>
    <t>SANTIAGO TEJEDOR</t>
  </si>
  <si>
    <t>SANTINI ARGENTINA S.R.L.</t>
  </si>
  <si>
    <t>SANTOLIQUIDO ALFREDO P. Y SANTOLIQUIDO BENJAMIN M. SOC. DE HECHO</t>
  </si>
  <si>
    <t>SANTOS ANA LUCIA</t>
  </si>
  <si>
    <t>SANTOS ARAMAYO</t>
  </si>
  <si>
    <t>SAPORE DI PANE SA</t>
  </si>
  <si>
    <t>SASTRE INCHAUSPE S A</t>
  </si>
  <si>
    <t>SAT FINANCIAL PLANNING S.A.</t>
  </si>
  <si>
    <t>SATELITECH S.A.</t>
  </si>
  <si>
    <t>SATRINCHA SA</t>
  </si>
  <si>
    <t>SATUS AGER SOCIEDAD ANONIMA</t>
  </si>
  <si>
    <t>SAVANT PHARM S.A.</t>
  </si>
  <si>
    <t>SAYTEC SAN NICOLAS S.A.</t>
  </si>
  <si>
    <t>SBAICSE SA</t>
  </si>
  <si>
    <t>SBARBATI FELICE Y MAGNO S.A.</t>
  </si>
  <si>
    <t>SCAMOL SA</t>
  </si>
  <si>
    <t>SCARANO HUGO SALVADOR</t>
  </si>
  <si>
    <t>SCHEBYE S.A.</t>
  </si>
  <si>
    <t>SCHNEIDER SRL</t>
  </si>
  <si>
    <t>SCIMACA S R L</t>
  </si>
  <si>
    <t>SCP CONSTRUCCIONES S.R.L.</t>
  </si>
  <si>
    <t>SE.MI.S.A.</t>
  </si>
  <si>
    <t>SEABOARD ENERGIAS RENOVABLES Y ALIMENTOS S.R.L</t>
  </si>
  <si>
    <t>SEBASTIAN ALEJANDRO BALBI</t>
  </si>
  <si>
    <t>SEBASTIAN ANDRES PORPORATO</t>
  </si>
  <si>
    <t>SEBASTIAN FERNANDO ACIERNO</t>
  </si>
  <si>
    <t>SEBASTIAN HECTOR DIAZ CARDOSO</t>
  </si>
  <si>
    <t>SEBASTIAN HEREDIA</t>
  </si>
  <si>
    <t>SEBASTIAN JOSE JAUREGUI</t>
  </si>
  <si>
    <t>SEBASTIAN MATIAS CRUZ</t>
  </si>
  <si>
    <t>SEBASTIAN MATIAS UZAL</t>
  </si>
  <si>
    <t>SEBASTIAN PABLO ROSEMBERG</t>
  </si>
  <si>
    <t>SEBASTIAN SANCHEZ ALMEIDA</t>
  </si>
  <si>
    <t>SECAR INGENIERIA ELECTRICA SRL</t>
  </si>
  <si>
    <t>SECCION DE LOS FOCOLARINOS FOCOLARES MASCULINOS DE LA OBRA DE MARIA MOV DE LOS F</t>
  </si>
  <si>
    <t>SECIN SA</t>
  </si>
  <si>
    <t>SECRESTAT JOSE LUIS</t>
  </si>
  <si>
    <t>SECRETARIA DE AGRICULTURA, GANADERIA Y PESCA</t>
  </si>
  <si>
    <t>SECURITY EMPRESARIALES  SRL</t>
  </si>
  <si>
    <t>SEDIPINI S.A</t>
  </si>
  <si>
    <t>SEED MATRIZ S.A.S.</t>
  </si>
  <si>
    <t>SEEDS ENERGY DE VENADO TUERTO SA</t>
  </si>
  <si>
    <t>SEEDS ENERGY S.A.</t>
  </si>
  <si>
    <t>SEGUAGUA SAS</t>
  </si>
  <si>
    <t>SEGUNDO DANIEL PIRIS</t>
  </si>
  <si>
    <t>SEI S.A.S.</t>
  </si>
  <si>
    <t>SEIN INGENIERIA SA</t>
  </si>
  <si>
    <t>SEMAPE. SRL</t>
  </si>
  <si>
    <t>SEMBRAR AGROPECUARIA S.A.</t>
  </si>
  <si>
    <t>SEND  S A</t>
  </si>
  <si>
    <t>SENSHO S.R.L.</t>
  </si>
  <si>
    <t>SEPAL S.R.L.</t>
  </si>
  <si>
    <t>SEPCOM  S R L</t>
  </si>
  <si>
    <t>SER-CONS SRL</t>
  </si>
  <si>
    <t>SERELEC ARGENTINA S.A.</t>
  </si>
  <si>
    <t>SERGIO ALBERTO GULIN</t>
  </si>
  <si>
    <t>SERGIO ALBERTO TORCINI</t>
  </si>
  <si>
    <t>SERGIO ALEJANDRO CANCIAN</t>
  </si>
  <si>
    <t>SERGIO ANTONIO RIQUELME</t>
  </si>
  <si>
    <t>SERGIO ARIEL REYES</t>
  </si>
  <si>
    <t>SERGIO ARIEL ZOTTI</t>
  </si>
  <si>
    <t>SERGIO CERIOTTI S.R.L.</t>
  </si>
  <si>
    <t>Sergio Daniel Martinez</t>
  </si>
  <si>
    <t>SERGIO EUSTAQUIO DIAZ</t>
  </si>
  <si>
    <t>SERGIO FABIAN DIGILIO</t>
  </si>
  <si>
    <t>SERGIO FERNANDO MACHADO</t>
  </si>
  <si>
    <t>SERGIO HORACIO RODRIGUEZ</t>
  </si>
  <si>
    <t>SERGIO HUMBERTO ZITO</t>
  </si>
  <si>
    <t>SERGIO MANZUR</t>
  </si>
  <si>
    <t>SERGIO MARCELO HERMANI</t>
  </si>
  <si>
    <t>SERGIO OSCAR IÑIGUEZ</t>
  </si>
  <si>
    <t>SERMETAL SRL</t>
  </si>
  <si>
    <t>SERMICO S.R.L.</t>
  </si>
  <si>
    <t>SERMIS S R L</t>
  </si>
  <si>
    <t>SERTEC GESTION AMBIENTAL SA</t>
  </si>
  <si>
    <t>SERVAIND SA</t>
  </si>
  <si>
    <t>SERVI CAMPO SOCIEDAD POR ACCIONES SIMPLIFICADA</t>
  </si>
  <si>
    <t>SERVIBOM S.A.</t>
  </si>
  <si>
    <t>SERVICIO INGENIERIA DE TALLER SOCIEDAD ANONIMA INDUSTRIAL Y COMERCIAL</t>
  </si>
  <si>
    <t>SERVICIOS  DE AIRE ACONDICIONADO S.A.</t>
  </si>
  <si>
    <t>SERVICIOS AGROPECUARIOS S R L</t>
  </si>
  <si>
    <t>SERVICIOS ECO REC SA</t>
  </si>
  <si>
    <t>SERVICIOS EG SAS</t>
  </si>
  <si>
    <t>SERVICIOS F.F.  SRL</t>
  </si>
  <si>
    <t>SERVICIOS INDUSTRIALES MG SH</t>
  </si>
  <si>
    <t>SERVICIOS INDUSTRIALES SAS</t>
  </si>
  <si>
    <t>SERVICIOS MASSABI S.R.L.</t>
  </si>
  <si>
    <t>SERVICIOS MILENIUN S.A.</t>
  </si>
  <si>
    <t>SERVICIOS MINEROS INTEGRALES SRL EN FORMACION</t>
  </si>
  <si>
    <t>SERVICIOS OLAVARRIA SA</t>
  </si>
  <si>
    <t>SERVICIOS PORTUARIOS INTEGRADOS S A</t>
  </si>
  <si>
    <t>SERVICIOS PRIMARIOS DE SALUD S.R.L.</t>
  </si>
  <si>
    <t>SERVICIOS PUBLICOS SOCIEDAD DEL ESTADO</t>
  </si>
  <si>
    <t>SERVICIOS VERTUA S.A.</t>
  </si>
  <si>
    <t>SERVICIOS Y MATERIALES CUYO</t>
  </si>
  <si>
    <t>SERVICIOS Y PRODUCTOS PARA BEBIDAS REFRESCANTES SOCIEDAD DE RESPONSABILIDAD LIMITADA</t>
  </si>
  <si>
    <t>SERVICIOS Y SUMINISTRO CENTRIFUGOS SRL</t>
  </si>
  <si>
    <t>SERVIDORAS</t>
  </si>
  <si>
    <t>SERVIFRIO EZEIZA S.A.</t>
  </si>
  <si>
    <t>SERVIMEC CUYO S.A.</t>
  </si>
  <si>
    <t>SERVIMED S.C.</t>
  </si>
  <si>
    <t>SERVINEL S A</t>
  </si>
  <si>
    <t>SERVIPISOS EMPRESA CONSTRUCTORA SAS</t>
  </si>
  <si>
    <t>SERVITUBOS S.R.L.</t>
  </si>
  <si>
    <t>SERVIVAC S R L</t>
  </si>
  <si>
    <t>SES S.A. - CONSTRUERE INGENIERIA S.A. - RED VII - UNION TRANSITORIA DE EMPRESAS</t>
  </si>
  <si>
    <t>SES SA</t>
  </si>
  <si>
    <t>SETEAR SA</t>
  </si>
  <si>
    <t>SEVERINI CAROLINA</t>
  </si>
  <si>
    <t>SFETEC ESTERILIZACION S.R.L</t>
  </si>
  <si>
    <t>SGH - SERVICIOS GEOLOGICOS E HIDROGEOLOGICOS S. R. L.</t>
  </si>
  <si>
    <t>SHITSUKE SRL</t>
  </si>
  <si>
    <t>SHORE &amp; SEA SERVICES S.A.</t>
  </si>
  <si>
    <t>SI PROYECTOS SRL</t>
  </si>
  <si>
    <t>SIAT SOCIEDAD ANONIMA</t>
  </si>
  <si>
    <t>SICAL S.R.L.</t>
  </si>
  <si>
    <t>SICON S.R.L.</t>
  </si>
  <si>
    <t>SIDERA SRL</t>
  </si>
  <si>
    <t>SIDERCA S A I C</t>
  </si>
  <si>
    <t>SIDUS SOCIEDAD ANONIMA</t>
  </si>
  <si>
    <t>SIEMENS ENERGY S.A.</t>
  </si>
  <si>
    <t>SIERRA PURA S.A.</t>
  </si>
  <si>
    <t>SIETE SEVEN SIETE S.R.L</t>
  </si>
  <si>
    <t>SIGHMA GLOBAL SOLUTIONS S.R.L</t>
  </si>
  <si>
    <t>SIGMA CONSTRUCTORA S.R.L.</t>
  </si>
  <si>
    <t>SIGMA SA</t>
  </si>
  <si>
    <t>SIGNAL S.A.</t>
  </si>
  <si>
    <t>SILCOLOR S A</t>
  </si>
  <si>
    <t>SILKEY SOCIEDAD ANONIMA</t>
  </si>
  <si>
    <t>SILMAG S.A.</t>
  </si>
  <si>
    <t>SILMAR HERRAMENTAL S.A.</t>
  </si>
  <si>
    <t>SILOS ARENEROS BUENOS AIRES S A C</t>
  </si>
  <si>
    <t>SILVA HNOS Y RODRIGUEZ S A</t>
  </si>
  <si>
    <t>SILVATEAM ENERGIAS RENOVABLES S.A.</t>
  </si>
  <si>
    <t>SILVER CROSS AMERICA INC. S.A.</t>
  </si>
  <si>
    <t>SILVIA ALEJANDRA MORENO</t>
  </si>
  <si>
    <t>SILVIA CARINA CASERES</t>
  </si>
  <si>
    <t>SILVIA EDITH VIVO</t>
  </si>
  <si>
    <t>SILVIA ESTER GONZALEZ</t>
  </si>
  <si>
    <t>SILVINA CECILIA FERRERO</t>
  </si>
  <si>
    <t>SILVINA MONTAL</t>
  </si>
  <si>
    <t>SILVIO ANDRES PEINADO MANZUR</t>
  </si>
  <si>
    <t>SILVIO DANIEL ARAN MORALES</t>
  </si>
  <si>
    <t>SIM INSTALACIONES ELECTRICAS S.R.L.</t>
  </si>
  <si>
    <t>SIMBRA S R L</t>
  </si>
  <si>
    <t>SIMON CACHAN SA</t>
  </si>
  <si>
    <t>SIMON ZEITUNE E HIJO S A</t>
  </si>
  <si>
    <t>SIMSA AIRE ACONDICIONADO S R L</t>
  </si>
  <si>
    <t>SINAX SA</t>
  </si>
  <si>
    <t>SINCLAIR 2929 SOCIEDAD ANONIMA</t>
  </si>
  <si>
    <t>SINDICATO DE LUZ Y FUERZA DE LA ZONA DEL PARANA</t>
  </si>
  <si>
    <t>SINDICATO DEL PERSONAL DE INDUSTRIAS QUIMICAS Y PETROQUIMICAS DE CONCORDIA</t>
  </si>
  <si>
    <t>SINDICATO OBRERO DEL CAUCHO ANEXOS Y AFINES</t>
  </si>
  <si>
    <t>SINDU ENERGIA S. A.</t>
  </si>
  <si>
    <t>SINEA PLASTICOS S.A.</t>
  </si>
  <si>
    <t>SINERGIUM BIOTECH SA</t>
  </si>
  <si>
    <t>SINFID S.A.</t>
  </si>
  <si>
    <t>Cheque contra entrega de mercadería a 30 días.</t>
  </si>
  <si>
    <t>SINFORIANO S.A.</t>
  </si>
  <si>
    <t>SINGH CONSTRUCCIONES S.R.L.</t>
  </si>
  <si>
    <t>SINTEG S.R.L.</t>
  </si>
  <si>
    <t>SINTEPLAST SOCIEDAD ANONIMA</t>
  </si>
  <si>
    <t>SINYDE S.R.L.</t>
  </si>
  <si>
    <t>SIS CONTROL S. A. S.</t>
  </si>
  <si>
    <t>SISTCON S.A.</t>
  </si>
  <si>
    <t>SISTEMAS AMBIENTALES SOCIEDAD ANONIMA</t>
  </si>
  <si>
    <t>SISTEMAS CONTRA INCENDIOS S.A.</t>
  </si>
  <si>
    <t>SISTEMAS ENERGETICOS SA</t>
  </si>
  <si>
    <t>SISTEMAS INTEGRALES SR SOCIEDAD ANONIMA</t>
  </si>
  <si>
    <t>SIXCOM S.A.</t>
  </si>
  <si>
    <t>SLOTS MACHINES SA</t>
  </si>
  <si>
    <t>SMART BIO S.A.</t>
  </si>
  <si>
    <t>SMITH BROTHERS S.A.</t>
  </si>
  <si>
    <t>SMURFIT KAPPA DE ARGENTINA SOCIEDAD ANONIMA</t>
  </si>
  <si>
    <t>SN INSTALACIONES SRL</t>
  </si>
  <si>
    <t>SNAP ARGENTINA S.R.L.</t>
  </si>
  <si>
    <t>SNEUBER SANITARIOS S.A.</t>
  </si>
  <si>
    <t>SOCA ARGENTINA S.A.</t>
  </si>
  <si>
    <t>SOCIEDAD ANONIMA CARNES PAMPEANAS SA</t>
  </si>
  <si>
    <t>SOCIEDAD ANONIMA MOLINOS FENIX</t>
  </si>
  <si>
    <t>SOCIEDAD COMERCIAL DE SALTA SRL</t>
  </si>
  <si>
    <t>SOCIEDAD DE BOMBEROS VOLUNTARIOS DE ALBERTI</t>
  </si>
  <si>
    <t>SOCIEDAD DE BOMBEROS VOLUNTARIOS DE ALMAFUERTE</t>
  </si>
  <si>
    <t>SOCIEDAD DE BOMBEROS VOLUNTARIOS DE ROQUE PEREZ</t>
  </si>
  <si>
    <t>SOCIEDAD DEL ESTADO CASA DE MONEDA</t>
  </si>
  <si>
    <t>SOCIEDAD SUD DE ARQUITECTURA SOCIEDAD DE RESPONSABILIDAD LIMITADA</t>
  </si>
  <si>
    <t>SODAMA SRL</t>
  </si>
  <si>
    <t>SODECAR SA</t>
  </si>
  <si>
    <t>SOENERGY ARGENTINA S.A.</t>
  </si>
  <si>
    <t>SOI INGENIERIA S.R.L.</t>
  </si>
  <si>
    <t>SOL MINERALES Y SERVICIOS SA</t>
  </si>
  <si>
    <t>SOL Y AIRES DE POLO SA</t>
  </si>
  <si>
    <t>SOLAMB SRL</t>
  </si>
  <si>
    <t>SOLCAN SRL</t>
  </si>
  <si>
    <t>SOLHE ENERGIA SOLAR SAS</t>
  </si>
  <si>
    <t>SOLIGOR SRL</t>
  </si>
  <si>
    <t>SOLIND S.A.S.</t>
  </si>
  <si>
    <t>SOLIS SOCIEDAD ANONIMA</t>
  </si>
  <si>
    <t>SOLMAQ SERVICIOS INDUSTRIALES S.A.</t>
  </si>
  <si>
    <t>SOLMAX   S. R. L</t>
  </si>
  <si>
    <t>SOLNIK S.A.</t>
  </si>
  <si>
    <t>SOLSERVICE S.A.</t>
  </si>
  <si>
    <t>SOLUCIONES A LA CORROSION INDUSTRIAL S.R.L.</t>
  </si>
  <si>
    <t>SOLUCIONES AMBIENTALES S.A.</t>
  </si>
  <si>
    <t>SOLUCIONES EN INGENIERIA DE MANUFACTURA S.R.L.</t>
  </si>
  <si>
    <t>SOLUCIONES MULTIPLES S.R.L.</t>
  </si>
  <si>
    <t>SOLUCIONES TECNOLOGICAS Y SERVICIOS DE INGENIERIA  S. A. S.</t>
  </si>
  <si>
    <t>SOLVI S R L</t>
  </si>
  <si>
    <t>SOMA S A</t>
  </si>
  <si>
    <t>SONIA GABRIELA SAHAGIAN</t>
  </si>
  <si>
    <t>SONIA SUSANA FERNANDEZ</t>
  </si>
  <si>
    <t>SONNE S R L</t>
  </si>
  <si>
    <t>SOPPE  INGENIERIA S R L</t>
  </si>
  <si>
    <t>SORLYL SA</t>
  </si>
  <si>
    <t>SOUBEIRAN CHOBET S R L</t>
  </si>
  <si>
    <t>SOYENERGY S.A.</t>
  </si>
  <si>
    <t>SP FILTRACION FLUIDOS S.A.</t>
  </si>
  <si>
    <t>SPA POOL S R L</t>
  </si>
  <si>
    <t>SPIRAX SARCO S A</t>
  </si>
  <si>
    <t>SPRAYING SYSTEMS CO SUCURSAL ARGENTINA</t>
  </si>
  <si>
    <t>SR. ORO SOCIEDAD DE RESPONSABILIDAD LIMITADA</t>
  </si>
  <si>
    <t>ST LABHRAS S.A.</t>
  </si>
  <si>
    <t>STADIUM LUNA PARK LECTOURE Y LECTOURE   SRL</t>
  </si>
  <si>
    <t>STAMM VEGH S.A.U.</t>
  </si>
  <si>
    <t>STARMIX S.R.L</t>
  </si>
  <si>
    <t>STEIGEN SRL</t>
  </si>
  <si>
    <t>STELLA MARIS MARTINS</t>
  </si>
  <si>
    <t>STERI LAB SOCIEDAD DE RESP LTDA</t>
  </si>
  <si>
    <t>STI INGENIERIA S.R.L.</t>
  </si>
  <si>
    <t>STIMMEN S.R.L.</t>
  </si>
  <si>
    <t>STORAGE COMPAT S.A.</t>
  </si>
  <si>
    <t>STRATTA S.A.</t>
  </si>
  <si>
    <t>SUAVESTAR S.A.</t>
  </si>
  <si>
    <t>SUCESION DE RITROVATO PASCUAL</t>
  </si>
  <si>
    <t>SUCESORES DE ALFREDO WILLINER S A</t>
  </si>
  <si>
    <t>SUCESORES DE ANTONIO LLADHON SRL</t>
  </si>
  <si>
    <t>SUCROALCOHOLERA DEL SUR S.A.</t>
  </si>
  <si>
    <t>SULFUR SA</t>
  </si>
  <si>
    <t>SULLIAIR ARGENTINA S.A.</t>
  </si>
  <si>
    <t>SUMINOX S.R.L.</t>
  </si>
  <si>
    <t>SUMINSA S R L</t>
  </si>
  <si>
    <t>SUNIL SA</t>
  </si>
  <si>
    <t>SUPERCEMENTO S A I C</t>
  </si>
  <si>
    <t>SUPERCEMENTO SAIC - ROVELLA CARRANZA SA - 2DO ACUED P INTERIOR CHACO U T</t>
  </si>
  <si>
    <t>SUPERLICI S.R.L.</t>
  </si>
  <si>
    <t>SURAIRE S.R.L.</t>
  </si>
  <si>
    <t>SURBYTE S.R.L.</t>
  </si>
  <si>
    <t>SURFACTAN S.A.</t>
  </si>
  <si>
    <t>SURFATEC S.A.</t>
  </si>
  <si>
    <t>SUSANA BEATRIZ BILLORDO</t>
  </si>
  <si>
    <t>SUSANA NANCI MULLER</t>
  </si>
  <si>
    <t>SUYAI EXTINTORES S.R.L.</t>
  </si>
  <si>
    <t>SV INSUMOS SRL</t>
  </si>
  <si>
    <t>SWEET SA</t>
  </si>
  <si>
    <t>SWISS MEDICAL S A</t>
  </si>
  <si>
    <t>SYMBIONT</t>
  </si>
  <si>
    <t>SYNTEX SOCIEDAD ANONIMA</t>
  </si>
  <si>
    <t>SYNTHON ARGENTINA SA</t>
  </si>
  <si>
    <t>SYSMOTION S.R.L</t>
  </si>
  <si>
    <t>SZYKULA AGUAS ESCOBAR S.A.</t>
  </si>
  <si>
    <t>S &amp; E INSTALACIONES S R L</t>
  </si>
  <si>
    <t>SALVADOR ROBLES ATIENZA E HIJOS S R L</t>
  </si>
  <si>
    <t>SAMUEL VICENTE CARRASCO</t>
  </si>
  <si>
    <t>SAN LUIS AGUA SOCIEDAD DEL ESTADO</t>
  </si>
  <si>
    <t>SANTIAGO ARMANDO ARACENA</t>
  </si>
  <si>
    <t>SCHAMNE ELECTRIC S.R.L.</t>
  </si>
  <si>
    <t>SEPARATION PROCESSES S. A.</t>
  </si>
  <si>
    <t>SERGIO NORBERTO MOYANO</t>
  </si>
  <si>
    <t>SERVICIOS INTEGRALES DEL COMAHUE S.R.L.</t>
  </si>
  <si>
    <t>SICRO SA</t>
  </si>
  <si>
    <t>SOLDA FER SRL</t>
  </si>
  <si>
    <t>SOLMET TECHNOLOGIES</t>
  </si>
  <si>
    <t>SURPIEL SOCIEDAD ANONIMA</t>
  </si>
  <si>
    <t>SANITARIOS GUELMIB S.R.L.</t>
  </si>
  <si>
    <t>SERGIO GABRIEL LINGUETTI</t>
  </si>
  <si>
    <t>SERGIO OMAR BERTOSSI</t>
  </si>
  <si>
    <t>SERGIO SEBASTIAN GONZALEZ</t>
  </si>
  <si>
    <t>SERMICAT SRL</t>
  </si>
  <si>
    <t>SISTEMAS Y SERVICIOS S A</t>
  </si>
  <si>
    <t>SOLENIS ARGENTINA SA</t>
  </si>
  <si>
    <t>SONIA MARGARITA PAVEZ</t>
  </si>
  <si>
    <t>SORPO HOLDINGS S. A. S.</t>
  </si>
  <si>
    <t>SOWTGEN SRL</t>
  </si>
  <si>
    <t>STONCOR SOUTH CONE S.A.</t>
  </si>
  <si>
    <t>STORE IN HOUSE S. A.</t>
  </si>
  <si>
    <t>SUSANA GABRIELA PEREZ</t>
  </si>
  <si>
    <t>S.A. ANGULO AGROPECUARIA E INMOBILIARIA</t>
  </si>
  <si>
    <t>SAMJIN ELECTRIC S.A.- FORTIS S.R.L. U. T.</t>
  </si>
  <si>
    <t>SANTIAGO SANTAELLA</t>
  </si>
  <si>
    <t>SAPORITI S A</t>
  </si>
  <si>
    <t>SERGIO CARMELO GROSSO</t>
  </si>
  <si>
    <t>SERMAX S A</t>
  </si>
  <si>
    <t>SERVICIOS INTEGRALES TECNICOS &amp; CO</t>
  </si>
  <si>
    <t>SERVITUBOS S.R.L.,</t>
  </si>
  <si>
    <t>SIFESA SA</t>
  </si>
  <si>
    <t>SINER S A</t>
  </si>
  <si>
    <t>SNAP ENVIRO SCIENCE S. R. L.</t>
  </si>
  <si>
    <t>SOLANS &amp; GAGLIARDINO  SRL</t>
  </si>
  <si>
    <t>SOLEDAD MARCELA BERGER</t>
  </si>
  <si>
    <t>SONIA ELIZABETH GALARZA NUÑEZ</t>
  </si>
  <si>
    <t>STMAC S.R.L.</t>
  </si>
  <si>
    <t>SA</t>
  </si>
  <si>
    <t>Sin asignar</t>
  </si>
  <si>
    <t>T E M A  TALLERES ESPECIALISTAS MAQUINAS AUTOMATICAS S R L</t>
  </si>
  <si>
    <t>T M I SOCIEDAD ANONIMA</t>
  </si>
  <si>
    <t>T Y C SOCIEDAD DE RESPONSABILIDAD LIMITADA</t>
  </si>
  <si>
    <t>T Y T GROUP S.A.S</t>
  </si>
  <si>
    <t>TABES  S.A.</t>
  </si>
  <si>
    <t>TADEO ANTONIO DAWIDOWICZ</t>
  </si>
  <si>
    <t>TADEO CZERWENY SA</t>
  </si>
  <si>
    <t>TAER S.A.</t>
  </si>
  <si>
    <t>TAIAC S.R.L.</t>
  </si>
  <si>
    <t>TALBOT HOTELS S A</t>
  </si>
  <si>
    <t>TALKA S.R.L.</t>
  </si>
  <si>
    <t>TALLER CRUZ DEL SUR S.A</t>
  </si>
  <si>
    <t>TALLERES GUILLERMO BLEIF S R L</t>
  </si>
  <si>
    <t>TALLERES METALURGICOS FRANCISCO MAZZEO E HIJO SOCIEDAD ANONIMA</t>
  </si>
  <si>
    <t>TALLERES METALURGICOS PARMO SOCIEDAD DE RESPONSABILIDAD LIMITADA</t>
  </si>
  <si>
    <t>TALLERES METALURGICOS SILCAB S.R.L</t>
  </si>
  <si>
    <t>TAMAGNO RIEGOS S.R.L</t>
  </si>
  <si>
    <t>TAMECO SRL</t>
  </si>
  <si>
    <t>TAN COMO S.A.</t>
  </si>
  <si>
    <t>TANDANOR SACI Y N</t>
  </si>
  <si>
    <t>TANDILIA CONSTRUCTORA DESARROLLO INMOBILIARIO S.R.L.</t>
  </si>
  <si>
    <t>TANGO SUPPLIER S.R.L.</t>
  </si>
  <si>
    <t>TANKER ARGENTINA S.R.L.</t>
  </si>
  <si>
    <t>TANMAQ S.R.L.</t>
  </si>
  <si>
    <t>TANTAL ARGENTINA S R L</t>
  </si>
  <si>
    <t>TAPALQUE ALIMENTOS SA</t>
  </si>
  <si>
    <t>TARGA S.R.L.</t>
  </si>
  <si>
    <t>TASSAROLI S A</t>
  </si>
  <si>
    <t>TATIANA SOLEDAD SACCO</t>
  </si>
  <si>
    <t>TAU DELTA S.A.</t>
  </si>
  <si>
    <t>TAURO  I . C . S A</t>
  </si>
  <si>
    <t>TBC INSUMOS INDUSTRIALES</t>
  </si>
  <si>
    <t>TEC FIRE SRL</t>
  </si>
  <si>
    <t>TECEM  DE MILIA Y LABORDE S.A.</t>
  </si>
  <si>
    <t>TECENG INDUSTRIAL S.A.</t>
  </si>
  <si>
    <t>TECHINT COMPAÑIA TECNICA INTERNACIONAL SOCIEDAD ANONIMA COMERCIAL E INDUSTRIAL</t>
  </si>
  <si>
    <t>TECHINT CTI SACI - SACDE SA - UTE</t>
  </si>
  <si>
    <t>TECHINT SACEI SACDE S.A. ARGENTINA DE CONSTRUCCION Y DESARROLLO UTE</t>
  </si>
  <si>
    <t>TECHINT SAIC</t>
  </si>
  <si>
    <t>TECHNIA S A</t>
  </si>
  <si>
    <t>TECHNIQUES Y SUPPLIES SRL</t>
  </si>
  <si>
    <t>TECHTON DE ARGENTINA SA</t>
  </si>
  <si>
    <t>TECMA AGROPECUARIA S.R.L.</t>
  </si>
  <si>
    <t>TECMA SA POSE SA UNION TRANSITORIA U. T. E.</t>
  </si>
  <si>
    <t>TECMEC SRL</t>
  </si>
  <si>
    <t>TECMETAL SRL</t>
  </si>
  <si>
    <t>TECNASIG S.R.L</t>
  </si>
  <si>
    <t>TECNICA DE FLUIDOS SRL</t>
  </si>
  <si>
    <t>TECNICAS FERROVIARIAS ARGENTINAS S A</t>
  </si>
  <si>
    <t>TECNIDRA SOCIEDAD ANONIMA INDUSTRIAL Y COMERCIAL</t>
  </si>
  <si>
    <t>TECNIFOS SOCIEDAD ANONIMA</t>
  </si>
  <si>
    <t>TECNIPISOS SA</t>
  </si>
  <si>
    <t>TECNITOWER S.A.</t>
  </si>
  <si>
    <t>TECNO - DALVO SRL</t>
  </si>
  <si>
    <t>TECNO AGRO VIAL S A</t>
  </si>
  <si>
    <t>TECNO AISLANTES S A</t>
  </si>
  <si>
    <t>TECNO CONSULTING S.A.</t>
  </si>
  <si>
    <t>TECNO FUNDACIONES S.R.L.</t>
  </si>
  <si>
    <t>TECNO NODO S.A.</t>
  </si>
  <si>
    <t>TECNO ORBITAL SA</t>
  </si>
  <si>
    <t>TECNO SAN MARTIN SRL</t>
  </si>
  <si>
    <t>TECNOCAUCHO S.R.L.</t>
  </si>
  <si>
    <t>TECNOCER S.A.</t>
  </si>
  <si>
    <t>TECNOFABRICA S.R.L.</t>
  </si>
  <si>
    <t>TECNOLOGIA ARGENTINA EN CINTAS SA T A C S A</t>
  </si>
  <si>
    <t>TECNOLOGIA EN SERVICIOS URBANOS -TESUR S.A.</t>
  </si>
  <si>
    <t>TECNOMYL SA</t>
  </si>
  <si>
    <t>TECNONUCLEAR SA</t>
  </si>
  <si>
    <t>TECNOPERFILES S.A.</t>
  </si>
  <si>
    <t>TECNO-REDES Y OBRAS SOCIEDAD DE RESPONSABILIDAD LIMITADA</t>
  </si>
  <si>
    <t>TECNOSOL S.A.</t>
  </si>
  <si>
    <t>TECNOTAR SA</t>
  </si>
  <si>
    <t>TECNOVAX S.A.</t>
  </si>
  <si>
    <t>TECNOWELD SA</t>
  </si>
  <si>
    <t>TECON CONSTRUCTORA S R L</t>
  </si>
  <si>
    <t>TECOTEX SACIFIYA</t>
  </si>
  <si>
    <t>TECPHAR SA</t>
  </si>
  <si>
    <t>TECSA SRL</t>
  </si>
  <si>
    <t>TECSAPOLITO SRL</t>
  </si>
  <si>
    <t>TEDIT SRL</t>
  </si>
  <si>
    <t>TEGEI SRL</t>
  </si>
  <si>
    <t>TEIDE LIMPIEZA S.R.L</t>
  </si>
  <si>
    <t>TEIJEIRO CONSTRUCCIONES S.A</t>
  </si>
  <si>
    <t>TEISA SRL</t>
  </si>
  <si>
    <t>TEJEDA HERRAMIENTAS S.A.</t>
  </si>
  <si>
    <t>TEKNAL S A</t>
  </si>
  <si>
    <t>TELECENTRO S A</t>
  </si>
  <si>
    <t>TELGOPOR ARGENTINA SA</t>
  </si>
  <si>
    <t>TELIAN S.A.</t>
  </si>
  <si>
    <t>TELMO ARIEL TOMAS GENARO</t>
  </si>
  <si>
    <t>TEMIS S.A.</t>
  </si>
  <si>
    <t>TEMPING SRL</t>
  </si>
  <si>
    <t>TEMPLE BREWERY SA</t>
  </si>
  <si>
    <t>TENAGAS S.A.</t>
  </si>
  <si>
    <t>TENSAC S.H. DE MARIA INES CRISTINI Y GRACIELA EDITH KETER</t>
  </si>
  <si>
    <t>TENSADOS CHACO S A S</t>
  </si>
  <si>
    <t>TEOGRANDE S A</t>
  </si>
  <si>
    <t>TEOPLAST S R L</t>
  </si>
  <si>
    <t>TERAPIAS MEDICAS DOMICILIARIAS  S A</t>
  </si>
  <si>
    <t>TEREKUA S. A. S.</t>
  </si>
  <si>
    <t>TERESITA CLAUDIA PEDOTTI</t>
  </si>
  <si>
    <t>TERMINAL MAR DEL PLATA S.A.</t>
  </si>
  <si>
    <t>TERMINAL SALTA S.A.</t>
  </si>
  <si>
    <t>TERMO CORDOBA S.A.U.</t>
  </si>
  <si>
    <t>TERMOELECTRICA SA</t>
  </si>
  <si>
    <t>TERMO-OBRAS SOCIEDAD ANONIMA</t>
  </si>
  <si>
    <t>TERMOPLASTICOS DEL SUR S.A.</t>
  </si>
  <si>
    <t>TERNIUM ARGENTINA S A</t>
  </si>
  <si>
    <t>TERRA SERVICES S.R.L.</t>
  </si>
  <si>
    <t>TERRABRICK SA</t>
  </si>
  <si>
    <t>TESLA S.A.</t>
  </si>
  <si>
    <t>TETRA DE ARGENTINA S.R.L.</t>
  </si>
  <si>
    <t>TEX CARE ARGENTINA SA</t>
  </si>
  <si>
    <t>TEXBRAT S.R.L.</t>
  </si>
  <si>
    <t>TEXTER FEED SRL</t>
  </si>
  <si>
    <t>TEXTIL AMESUD S A</t>
  </si>
  <si>
    <t>TEXTILANA SOCIEDAD ANONIMA</t>
  </si>
  <si>
    <t>TEYMI S.R.L.</t>
  </si>
  <si>
    <t>TEYMO INGENIERIA SRL</t>
  </si>
  <si>
    <t>TG2 S.R.L.</t>
  </si>
  <si>
    <t>TGA SA</t>
  </si>
  <si>
    <t>TGFB BOMBAS SRL</t>
  </si>
  <si>
    <t>THEO GAS S.A.I.C.</t>
  </si>
  <si>
    <t>THERMODYNE VIAL SA</t>
  </si>
  <si>
    <t>TICIEM SA</t>
  </si>
  <si>
    <t>TIGRE ARGENTINA S. A.</t>
  </si>
  <si>
    <t>TIKVATEX S A</t>
  </si>
  <si>
    <t>TIMBO SRL</t>
  </si>
  <si>
    <t>TIMPOL SRL</t>
  </si>
  <si>
    <t>TINTORERIA INDUSTRIAL MODELO SAIC</t>
  </si>
  <si>
    <t>TINTOSUR SA</t>
  </si>
  <si>
    <t>TIPCI (TECNOLOGIA INTEGRAL EN PROTECCION CONTRA INCENDIOS) S.A.</t>
  </si>
  <si>
    <t>TIPOITI S A T I C</t>
  </si>
  <si>
    <t>TISSIM SA</t>
  </si>
  <si>
    <t>TITNAV MONTAJES E HIJOS S A</t>
  </si>
  <si>
    <t>TLANTI S.A.</t>
  </si>
  <si>
    <t>TM&amp;C S.R.L.</t>
  </si>
  <si>
    <t>TODO GAS S A</t>
  </si>
  <si>
    <t>TODO IMPLANT S R L</t>
  </si>
  <si>
    <t>TODO VAPOR S R L</t>
  </si>
  <si>
    <t>TODOACEITE SOCIEDAD ANONIMA</t>
  </si>
  <si>
    <t>TOLEDO CARLOS  Y MELLINGER MAXIMILIANO SH</t>
  </si>
  <si>
    <t>TOMAS WAGMAISTER</t>
  </si>
  <si>
    <t>TOMASSINO ARQUITECTURA SRL</t>
  </si>
  <si>
    <t>TOMREL S.A</t>
  </si>
  <si>
    <t>TONKA S A</t>
  </si>
  <si>
    <t>TOOT S A</t>
  </si>
  <si>
    <t>TORMEKA S.A.</t>
  </si>
  <si>
    <t>TORMETALSUR S.R.L.</t>
  </si>
  <si>
    <t>TORRES MARCELO ALEJANDRO Y TORRES DANIEL CARLOS</t>
  </si>
  <si>
    <t>TORRES OSCAR ALBERTO Y TORRES MANUEL AGUSTIN SOCIEDAD DE HECHO</t>
  </si>
  <si>
    <t>TORRES ROBERTO LUIS</t>
  </si>
  <si>
    <t>TORTORELLA OSCAR HUGO</t>
  </si>
  <si>
    <t>TOSUD CONSTRUCTORA SA</t>
  </si>
  <si>
    <t>TOYOTA ARGENTINA S A</t>
  </si>
  <si>
    <t>TRADIMEX S A I Y C</t>
  </si>
  <si>
    <t>TRADY S.A.</t>
  </si>
  <si>
    <t>TRANS ECOLOGICA S.A.</t>
  </si>
  <si>
    <t>TRANS ONA SOCIEDAD ANONIMA MARITIMA COMERCIAL INDUSTRIAL Y FINANCIERA</t>
  </si>
  <si>
    <t>TRANSFORMADORES PERGAMINO SRL</t>
  </si>
  <si>
    <t>TRANSHIP SERVICE S.A.</t>
  </si>
  <si>
    <t>TRANSIT FLOW S.R.L.</t>
  </si>
  <si>
    <t>TRANSMISION DE POTENCIA Y SERVICIOS ARGENTINA SRL</t>
  </si>
  <si>
    <t>TRANSPORTADORA DE GAS DEL SUR S A</t>
  </si>
  <si>
    <t>TRANSPORTE BALLESTEROS E HIJO S.A.</t>
  </si>
  <si>
    <t>TRANSPORTE EDAR SA</t>
  </si>
  <si>
    <t>TRANSPORTE MANANTIAL S.A.</t>
  </si>
  <si>
    <t>TRANSPORTE PAMPEANO SRL</t>
  </si>
  <si>
    <t>TRANSPORTE SAUER SRL</t>
  </si>
  <si>
    <t>TRANSPORTES CATALINA S.A.</t>
  </si>
  <si>
    <t>TRANSPORTES CREXELL SA</t>
  </si>
  <si>
    <t>TRANSPORTES PEREA  S.R.L.</t>
  </si>
  <si>
    <t>TRANSPORTES VERNAZZA S R L</t>
  </si>
  <si>
    <t>TRANSPORTES VIRGEN DE LA PENA S R L</t>
  </si>
  <si>
    <t>TRAZA SA</t>
  </si>
  <si>
    <t>TREATER NEUQUEN S.A.</t>
  </si>
  <si>
    <t>TRECAP S.R.L.</t>
  </si>
  <si>
    <t>TREFERRO S.A.</t>
  </si>
  <si>
    <t>TREMUN S.A.</t>
  </si>
  <si>
    <t>TRES HERMANOS 205 S.A.</t>
  </si>
  <si>
    <t>TRESNAL AGROPECUARIA S.A.</t>
  </si>
  <si>
    <t>TRIDENT SOUTHERN EXPLORATIONS DE ARGENTINA SRL</t>
  </si>
  <si>
    <t>TRIMAN S. A. S.</t>
  </si>
  <si>
    <t>TRIQUIM SA</t>
  </si>
  <si>
    <t>TROCHE PEDRO ALBERTO</t>
  </si>
  <si>
    <t>TROPICAL SA</t>
  </si>
  <si>
    <t>TROX ARGENTINA S.A.</t>
  </si>
  <si>
    <t>TRUMAR S A I C</t>
  </si>
  <si>
    <t>TUBERQUALITY S.A.S.</t>
  </si>
  <si>
    <t>TUBHIER SOCIEDAD ANONIMA</t>
  </si>
  <si>
    <t>TUBOFORTE SOCIEDAD ANONIMA</t>
  </si>
  <si>
    <t>TUBOMEC INGENIERIA S.A.</t>
  </si>
  <si>
    <t>TUBOPLAST S R L</t>
  </si>
  <si>
    <t>TULSA OILFIELD EQUIPMENT  S A</t>
  </si>
  <si>
    <t>TUR S.A.</t>
  </si>
  <si>
    <t>TURBIGAS S A</t>
  </si>
  <si>
    <t>Cheque a 30 días.</t>
  </si>
  <si>
    <t>TÜV NORD ARGENTINA S.A.</t>
  </si>
  <si>
    <t>TWILL SRL</t>
  </si>
  <si>
    <t>TYC  S.A</t>
  </si>
  <si>
    <t>TYM INGENIERIA SRL</t>
  </si>
  <si>
    <t>TYRESOLES ARGENTINA DE NEUMATICOS S A I Y C TANSA</t>
  </si>
  <si>
    <t>TECMA S.A. ECOSUR BAHIA S.A.- PEHUAJO- U. T. E.</t>
  </si>
  <si>
    <t>TECNI TOTAL SA</t>
  </si>
  <si>
    <t>TECNOVINIL S A</t>
  </si>
  <si>
    <t>TEKNIK S.R.L.</t>
  </si>
  <si>
    <t>TERPA SRL</t>
  </si>
  <si>
    <t>TINTORERIA INDUSTRIAL KAYTEX S.R.L.</t>
  </si>
  <si>
    <t>TOTAL PROTECCION C/INCENDIOS S. A. S.</t>
  </si>
  <si>
    <t>TRI-VIAL TECH SA</t>
  </si>
  <si>
    <t>TUBOSCOPE VETCO DE ARGENTINA S A</t>
  </si>
  <si>
    <t>TUTTO PORKY S S R L</t>
  </si>
  <si>
    <t>TECMA S.A.</t>
  </si>
  <si>
    <t>TECNOFRIG S.R.L</t>
  </si>
  <si>
    <t>TEDIT S.R.L.</t>
  </si>
  <si>
    <t>TECSESI S.A.</t>
  </si>
  <si>
    <t>TEXTIL FARATEX S R L</t>
  </si>
  <si>
    <t>TOMAS DE CARO</t>
  </si>
  <si>
    <t>TORQUE INGENIERIA</t>
  </si>
  <si>
    <t>TRANSPORTE DON MARIO SOCIEDAD DE RESPONSABILIDAD LIMITADA</t>
  </si>
  <si>
    <t>U &amp; G S.R.L.</t>
  </si>
  <si>
    <t>UCSA S.A. - ROTTIO S.A - UT</t>
  </si>
  <si>
    <t>UGAL FARMACEUTIC</t>
  </si>
  <si>
    <t>ULTRACONGELADOS ROSARIO S A</t>
  </si>
  <si>
    <t>UMATEC S.R.L.</t>
  </si>
  <si>
    <t>UNDIS SOCIEDAD POR ACCIONES SIMPLIFICADA</t>
  </si>
  <si>
    <t>UNIBRIX S.A.</t>
  </si>
  <si>
    <t>UNIDELTA SA</t>
  </si>
  <si>
    <t>UNION DE TRABAJADORES DE LA EDUCACION DE RIO NEGRO</t>
  </si>
  <si>
    <t>UNION DEL PERSONAL JERARQUICO DE EMPRESAS DE TELECOMUNICACIONES</t>
  </si>
  <si>
    <t>UNION MONTAJES S.R.L.</t>
  </si>
  <si>
    <t>UNION PRODUCTIVA SRL</t>
  </si>
  <si>
    <t>UNIONBAT SOCIEDAD ANONIMA</t>
  </si>
  <si>
    <t>UNISERVICE S.R.L.</t>
  </si>
  <si>
    <t>UNIVERSIDAD ARGENTINA DE LA EMPRESA</t>
  </si>
  <si>
    <t>UNIVERSIDAD NACIONAL DE LA PATAGONIA SAN JUAN</t>
  </si>
  <si>
    <t>UNIVERSIDAD NACIONAL DE LA RIOJA</t>
  </si>
  <si>
    <t>UNIVERSIDAD NACIONAL DE MAR DEL PLATA</t>
  </si>
  <si>
    <t>UNIVERSIDAD NACIONAL DEL COMAHUE</t>
  </si>
  <si>
    <t>UNIVERSIDAD TECNOLOGICA NACIONAL</t>
  </si>
  <si>
    <t>UNPAR SRL</t>
  </si>
  <si>
    <t>UPL ARGENTINA S.A.</t>
  </si>
  <si>
    <t>URBAN CONCEPT S.R.L.</t>
  </si>
  <si>
    <t>URBANCONS S.A.</t>
  </si>
  <si>
    <t>URBANIZACION RESIDENCIAL ESPECIAL COUNTRY CAÑUELAS SA</t>
  </si>
  <si>
    <t>URBATEC SOCIEDAD ANONIMA</t>
  </si>
  <si>
    <t>URBEGAS S.R.L.</t>
  </si>
  <si>
    <t>URRUTIA DANILO Y FERNANDO SH</t>
  </si>
  <si>
    <t>URSAN SRL</t>
  </si>
  <si>
    <t>USHIP SRL</t>
  </si>
  <si>
    <t>USICOM S.A.</t>
  </si>
  <si>
    <t>UT MARIANA SOLAR- FCS S.R.L.- LOS ARCANGELES S.A. UNION TRANSITORIA U. T. E.</t>
  </si>
  <si>
    <t>UT MINERA SAL DE LOS ANGELES - POTASIO Y LITIO DE ARGENTINA SA - SALTA EXPLORACIONES SA</t>
  </si>
  <si>
    <t>UNIKROM S A</t>
  </si>
  <si>
    <t>URBASA S R L</t>
  </si>
  <si>
    <t>USAJ S.A.</t>
  </si>
  <si>
    <t>UNTUS SA S. A.</t>
  </si>
  <si>
    <t>V C &amp; M S.A</t>
  </si>
  <si>
    <t>V M C REFRIGERACION SA</t>
  </si>
  <si>
    <t>VA&amp; PE ECODINAMOMETRIA COMPUTARIZADA SRL</t>
  </si>
  <si>
    <t>VAAL SOCIEDAD DE HECHO DE TOJO LUIS Y VENEGONI GUILLERMO</t>
  </si>
  <si>
    <t>VAGASCI S.A</t>
  </si>
  <si>
    <t>VAIRO SA</t>
  </si>
  <si>
    <t>VAL ARG SRL</t>
  </si>
  <si>
    <t>VALBO S A I C Y F</t>
  </si>
  <si>
    <t>VALENTIN BOIXADERA</t>
  </si>
  <si>
    <t>Valeria Scarone</t>
  </si>
  <si>
    <t>VALKIM S.R.L.</t>
  </si>
  <si>
    <t>VALMEC SOCIEDAD ANONIMA</t>
  </si>
  <si>
    <t>VALOT SA</t>
  </si>
  <si>
    <t>VALTER MOTOR SA</t>
  </si>
  <si>
    <t>VALTRIA ARGENTINA S.A.</t>
  </si>
  <si>
    <t>VAND S.R.L.</t>
  </si>
  <si>
    <t>VANESA LORELEY SPERANZA</t>
  </si>
  <si>
    <t>VANINA DANIELA CANTIL</t>
  </si>
  <si>
    <t>VARELA CESAR</t>
  </si>
  <si>
    <t>VARITEC SRL</t>
  </si>
  <si>
    <t>VARTECO QUIMICA PUNTANA S A</t>
  </si>
  <si>
    <t>VASIJA SECRETA S.A.</t>
  </si>
  <si>
    <t>VASILE Y CIA S A C I</t>
  </si>
  <si>
    <t>VATTEN SRL</t>
  </si>
  <si>
    <t>VECCHIO HNOS. SRL</t>
  </si>
  <si>
    <t>VEGAN NATURE S.A.</t>
  </si>
  <si>
    <t>VEINFAR INDUSTRIAL Y COMERCIAL SOCIEDAD ANONIMA</t>
  </si>
  <si>
    <t>VELAS RELIEVE S.A.</t>
  </si>
  <si>
    <t>VELO ARGENTINA S.A.</t>
  </si>
  <si>
    <t>VELS INTEGRAL SRL</t>
  </si>
  <si>
    <t>VENG SA</t>
  </si>
  <si>
    <t>VENTAR SERVICIOS SRL</t>
  </si>
  <si>
    <t>VEOLIA SERVICIOS Y GESTION DE ENERGIA ARGENTINA S.A.U</t>
  </si>
  <si>
    <t>VEOLIA WATER TECHNOLOGIES ARGENTINA S.A.</t>
  </si>
  <si>
    <t>VERKOM S.A.</t>
  </si>
  <si>
    <t>VERONICA VANESA GARCIA</t>
  </si>
  <si>
    <t>VETIFARMA S A</t>
  </si>
  <si>
    <t>VIAL AGRO S A</t>
  </si>
  <si>
    <t>VIBROCOM S R L</t>
  </si>
  <si>
    <t>VICAL SOCIEDAD ANONIMA</t>
  </si>
  <si>
    <t>VICENTE TRAPANI S.A.</t>
  </si>
  <si>
    <t>Cuenta Corriente 7 días fecha factura.</t>
  </si>
  <si>
    <t>VICTOR DANIEL SUEIRO</t>
  </si>
  <si>
    <t>VICTOR EDUARDO SIMO SA</t>
  </si>
  <si>
    <t>VICTOR HERNAN TOPIA</t>
  </si>
  <si>
    <t>VICTOR HUGO CONTRERA</t>
  </si>
  <si>
    <t>VICTOR HUGO GERBAN</t>
  </si>
  <si>
    <t>VICTOR HUGO GUILLEN</t>
  </si>
  <si>
    <t>VICTOR HUGO VILCA</t>
  </si>
  <si>
    <t>VICTOR JAVIER LEZCANO</t>
  </si>
  <si>
    <t>VICTOR M CONTRERAS Y CÍA S.A.</t>
  </si>
  <si>
    <t>VICTOR MANUEL GERBAN</t>
  </si>
  <si>
    <t>VICTOR MECANICO</t>
  </si>
  <si>
    <t>VICTORY PRODUCTOS DE LIMPIEZA PROFESIONAL S.R.L.</t>
  </si>
  <si>
    <t>VIDRIAL S.R.L.</t>
  </si>
  <si>
    <t>VIENTOS PAMPEANOS SRL</t>
  </si>
  <si>
    <t>VIERA CARLOS MANUEL</t>
  </si>
  <si>
    <t>VIGINET-IP SOCIEDAD ANONIMA</t>
  </si>
  <si>
    <t>VILLAGRAN SOFIA ALEJANDRA Y VILLAGRAN SONIA DEL CARMEN SIMPLE ASOCIACION</t>
  </si>
  <si>
    <t>VILLANUEVA E HIJOS  S.A.</t>
  </si>
  <si>
    <t>VILLANUEVA SOC DE RESPONSABILIDAD LIMITADA</t>
  </si>
  <si>
    <t>VIMADES SRL</t>
  </si>
  <si>
    <t>VIPEX SRL</t>
  </si>
  <si>
    <t>VIRGINIA MARIA RAVENNA</t>
  </si>
  <si>
    <t>VIRTUAL GASNET INTERNATIONAL SAU</t>
  </si>
  <si>
    <t>VISUAR S.A.</t>
  </si>
  <si>
    <t>VITASA S.A.</t>
  </si>
  <si>
    <t>VIVIANA ALEJANDRA ISNARDI</t>
  </si>
  <si>
    <t>VIVIANA MABEL GUERRA</t>
  </si>
  <si>
    <t>VIVIANA PAOLA VIDAL</t>
  </si>
  <si>
    <t>VIVIENDAS DEL FUTURO S.A.</t>
  </si>
  <si>
    <t>VLADUSIC MARIANO P. VLADUSIC ESTEBAN Y TRAVIZAN</t>
  </si>
  <si>
    <t>VOESTALPINE HIGH PERFORMANCE METALS ARGENTINA S.A.</t>
  </si>
  <si>
    <t>VOLPOR SA</t>
  </si>
  <si>
    <t>VON FRANKEN S A I C</t>
  </si>
  <si>
    <t>VULCANO SA</t>
  </si>
  <si>
    <t>VWS ARGENTINA S.A.</t>
  </si>
  <si>
    <t>V VITUCCI S A</t>
  </si>
  <si>
    <t>VILLA D AGRI S R L</t>
  </si>
  <si>
    <t>VOXEN SOCIEDAD ANONIMA</t>
  </si>
  <si>
    <t>VICENTIN S.A.I.C.</t>
  </si>
  <si>
    <t>VICTOR HUGO RUIZ</t>
  </si>
  <si>
    <t>VALERIA MARISA GRUNERT</t>
  </si>
  <si>
    <t>VANESA MAILEN CHAMBEAUD HELGUERA</t>
  </si>
  <si>
    <t>VICENTE TAMARIT SOCIEDAD ANONIMA</t>
  </si>
  <si>
    <t>VICTOR MANUEL BARRERA</t>
  </si>
  <si>
    <t>VILLAMORA SA</t>
  </si>
  <si>
    <t>VITALISSIMA S.A.</t>
  </si>
  <si>
    <t>WAE SRL</t>
  </si>
  <si>
    <t>WALTER ADRIAN GONZALEZ</t>
  </si>
  <si>
    <t>WALTER DAMIAN BERNAL</t>
  </si>
  <si>
    <t>WALTER DANIEL GRILLI</t>
  </si>
  <si>
    <t>WALTER DANIEL VEGA</t>
  </si>
  <si>
    <t>WALTER DAVID YOSVIACK</t>
  </si>
  <si>
    <t>WALTER FLAVIO CABALLERO</t>
  </si>
  <si>
    <t>WALTER GABRIEL MUÑOZ</t>
  </si>
  <si>
    <t>WALTER GASTON VERDARO</t>
  </si>
  <si>
    <t>WALTER HERNAN RODRIGUEZ</t>
  </si>
  <si>
    <t>WALTER PAVON</t>
  </si>
  <si>
    <t>WARPFIL S.A.</t>
  </si>
  <si>
    <t>WATCHMAN SEGURIDAD SA</t>
  </si>
  <si>
    <t>WATER NAVAL</t>
  </si>
  <si>
    <t>WDM WATER SYSTEMS  S.A.</t>
  </si>
  <si>
    <t>WE SRL</t>
  </si>
  <si>
    <t>WEGA LIGHTING SA</t>
  </si>
  <si>
    <t>WELL DYNAMICS S.A.</t>
  </si>
  <si>
    <t>WELLBORE PETROL SERVICES S.R.L.</t>
  </si>
  <si>
    <t>WENTEN S.R.L.</t>
  </si>
  <si>
    <t>WEPEL S R L</t>
  </si>
  <si>
    <t>WHEELPAM SA</t>
  </si>
  <si>
    <t>WICKERT WALTER ALEJANDRO</t>
  </si>
  <si>
    <t>WILO SALMSON ARGENTINA SA</t>
  </si>
  <si>
    <t>WINTERS INSTRUMENTS S A</t>
  </si>
  <si>
    <t>WM ARGENTINA S.A.</t>
  </si>
  <si>
    <t>WORTEN S.A.</t>
  </si>
  <si>
    <t>WPG S.A.</t>
  </si>
  <si>
    <t>WPS EN FORMACION S. R. L.</t>
  </si>
  <si>
    <t>WALTER MIGUEL LACCETTE</t>
  </si>
  <si>
    <t>WELSH LUCIANO A. Y HAUF ENRIQUE H. S.H.</t>
  </si>
  <si>
    <t>WALTER RUBEN CHAVES</t>
  </si>
  <si>
    <t>WALTER RITTNER SARMIENTO SOCIEDAD ANONIMA</t>
  </si>
  <si>
    <t>XAPOR S.A.</t>
  </si>
  <si>
    <t>XIMENA AYMARA GALLEGO</t>
  </si>
  <si>
    <t>XARDO  S A</t>
  </si>
  <si>
    <t>YACIMIENTO CARBONIFERO RIO TURBIO Y DE LOS SERV FERROPORTUARIOS TERMINAL EN PUNTA LOYOLA Y RIO GALLE</t>
  </si>
  <si>
    <t>YAGUARETE S.R.L.</t>
  </si>
  <si>
    <t>YAMILA DANIELA LORDI</t>
  </si>
  <si>
    <t>YANINA VALERIA WOJCIECHOW</t>
  </si>
  <si>
    <t>YASISA S.R.L.</t>
  </si>
  <si>
    <t>YERBATERA DEL NORDESTE SA</t>
  </si>
  <si>
    <t>YERSIPLAST S A</t>
  </si>
  <si>
    <t>YESOS KNAUF GMBH</t>
  </si>
  <si>
    <t>YKK ARGENTINA SOCIEDAD ANONIMA</t>
  </si>
  <si>
    <t>YOUNEXA ARGENTINA S. A.</t>
  </si>
  <si>
    <t>YPF GAS S.A.</t>
  </si>
  <si>
    <t>YPF TECNOLOGIA S.A.</t>
  </si>
  <si>
    <t>YOG S.R.L.</t>
  </si>
  <si>
    <t>YPF ENERGIA ELECTRICA S.A.</t>
  </si>
  <si>
    <t>YVANILDO MALDONADO VIDAL</t>
  </si>
  <si>
    <t>YAMIL KARNOUBI</t>
  </si>
  <si>
    <t>ZAFRA S.A.</t>
  </si>
  <si>
    <t>ZAMORA GABRIEL ANTONIO</t>
  </si>
  <si>
    <t>ZANEL FABRIL S.A.</t>
  </si>
  <si>
    <t>ZEFIR SA</t>
  </si>
  <si>
    <t>ZEISING Y CIA S A</t>
  </si>
  <si>
    <t>ZEN INGENIERIA SRL</t>
  </si>
  <si>
    <t>ZENAMERIAN PINAMAR S.A.</t>
  </si>
  <si>
    <t>ZHIMING CHEN</t>
  </si>
  <si>
    <t>ZILLE S R L</t>
  </si>
  <si>
    <t>ZOXI S A</t>
  </si>
  <si>
    <t>ZOZZOLI S.A.</t>
  </si>
  <si>
    <t>ZULEMA ITATI SALAS</t>
  </si>
  <si>
    <t>ZULLY EMILCE VIDELA</t>
  </si>
  <si>
    <t>ZURICH TOOLS SA</t>
  </si>
  <si>
    <t>ZWEI ING S.R.L.</t>
  </si>
  <si>
    <t>ZWIRZNER SOCIEDAD ANONIMA</t>
  </si>
  <si>
    <t>ZYX S. R. L.</t>
  </si>
  <si>
    <t>ZEDIL S.A.</t>
  </si>
  <si>
    <t>Prov_Desc</t>
  </si>
  <si>
    <t>N Oferta</t>
  </si>
  <si>
    <t>Fecha Oferta</t>
  </si>
  <si>
    <t>Responsable</t>
  </si>
  <si>
    <t>Rev.</t>
  </si>
  <si>
    <t>Ref. Proveedor</t>
  </si>
  <si>
    <t>Proveedor</t>
  </si>
  <si>
    <t>Descripcion</t>
  </si>
  <si>
    <t>Ref. Cliente</t>
  </si>
  <si>
    <t>Unidades</t>
  </si>
  <si>
    <t>Valor Oferta</t>
  </si>
  <si>
    <t>Beneficio</t>
  </si>
  <si>
    <t>Costo Exw</t>
  </si>
  <si>
    <t>Cuenta corriente 60 días fecha factura</t>
  </si>
  <si>
    <t>Cuenta corriente 20 días fecha factura</t>
  </si>
  <si>
    <t>EMPREDIN SA (NO COTIZARLE NI VENDERLE)</t>
  </si>
  <si>
    <t>ACONCAGUA DISTILLERY S.A.</t>
  </si>
  <si>
    <t>ACONTEC S R L</t>
  </si>
  <si>
    <t>ADVANTA SEMILLAS S.A.I.C.</t>
  </si>
  <si>
    <t>AERO CALAFATE S. R. L.</t>
  </si>
  <si>
    <t>AG. GAN. S.R.L.</t>
  </si>
  <si>
    <t>AGENCIA MARITIMA INTERNACIONAL S A</t>
  </si>
  <si>
    <t>AGRO AGUILAS S. R. L.</t>
  </si>
  <si>
    <t>AGUA Y AMBIENTE SRL</t>
  </si>
  <si>
    <t>AGUA Y SANEAMIENTOS ARGENTINOS SOCIEDAD ANONIMA</t>
  </si>
  <si>
    <t>AGUILARES GAS S. A</t>
  </si>
  <si>
    <t>AGUSTIN ESQUIVEL FRONTINI</t>
  </si>
  <si>
    <t>AIRESSOTO S.A.</t>
  </si>
  <si>
    <t>AIRMETAL S.R.L.</t>
  </si>
  <si>
    <t>AKAM S.R.L.</t>
  </si>
  <si>
    <t>ALBERTO HORACIO GATTO</t>
  </si>
  <si>
    <t>ALEJANDRO NATALIO BRANDOLIN</t>
  </si>
  <si>
    <t>ALEJANDRO SEBASTIAN FORLIN</t>
  </si>
  <si>
    <t>ALEXIS ADRIAN FONTANESSI</t>
  </si>
  <si>
    <t>ALEXIS EDGARDO FABRIZIO</t>
  </si>
  <si>
    <t>ALFREDO DODARO S.R.L</t>
  </si>
  <si>
    <t>ALTA PLASTICA SA</t>
  </si>
  <si>
    <t>ANA CLARA VILLIAN</t>
  </si>
  <si>
    <t>ANDRES LUIS DE FRANCESCO S. A.</t>
  </si>
  <si>
    <t>ANTAMA S.A.</t>
  </si>
  <si>
    <t>ANTONIO ALBERTO DANI LAMELA</t>
  </si>
  <si>
    <t>ANTONIO GUSTAVO MARTIN</t>
  </si>
  <si>
    <t>AREA CONSTRUIDA SOCIEDAD POR ACCIONES SIMPLIFICADAS</t>
  </si>
  <si>
    <t>ARGENFRUIT SA</t>
  </si>
  <si>
    <t>ARIEL ALBERTO APPUGLIESE</t>
  </si>
  <si>
    <t>ARIEL ALEX DURAN GUTIERREZ</t>
  </si>
  <si>
    <t>ARIEL ENRIQUE BICA MALDONADO</t>
  </si>
  <si>
    <t>ARIEL MARCELO CARRIZO</t>
  </si>
  <si>
    <t>ARMANDO JOSE BIAGIONI</t>
  </si>
  <si>
    <t>ASOCIACION CIVIL HINDU RUGBY CLUB</t>
  </si>
  <si>
    <t>ASOCIACION COLEGIO ADVENTISTA DEL PLATA</t>
  </si>
  <si>
    <t>AVICOLA ADRIANA MASBERNAT SRL</t>
  </si>
  <si>
    <t>AXEL MATHIAS BRITZIUS</t>
  </si>
  <si>
    <t>B G H S A</t>
  </si>
  <si>
    <t>B GATE SOCIEDAD ANONIMA</t>
  </si>
  <si>
    <t>BACK  S A</t>
  </si>
  <si>
    <t>BAIRES GOMA SRL</t>
  </si>
  <si>
    <t>BEL BOUR S R L</t>
  </si>
  <si>
    <t>BENEVIA S R L</t>
  </si>
  <si>
    <t>BERTOLO S.A.</t>
  </si>
  <si>
    <t>BILBAO CONSTRUCCIONES Y MANTENIMIENTO S.R.L.</t>
  </si>
  <si>
    <t>BINKA SA</t>
  </si>
  <si>
    <t>BLS CONSTRUCCIONES S. A.</t>
  </si>
  <si>
    <t>BORIS LUCAS MIGUEL LUKASZUK</t>
  </si>
  <si>
    <t>BRENDA LUCILA ORTIZ</t>
  </si>
  <si>
    <t>BRENT ENERGIA Y SERVICIOS S.A.</t>
  </si>
  <si>
    <t>BROM S.A.S.</t>
  </si>
  <si>
    <t>CAFETERIAS PQB</t>
  </si>
  <si>
    <t>CALENTADORES INDUSTRIALES DE HORNOS DE ARGENTINA (CIHASA) S.A.</t>
  </si>
  <si>
    <t>CAPNO BS. AS.  S.A.</t>
  </si>
  <si>
    <t>CARLOS ANTONIO CARLE</t>
  </si>
  <si>
    <t>CARLOS FABIAN DIAZ</t>
  </si>
  <si>
    <t>CARLOS MARIA AIMAR</t>
  </si>
  <si>
    <t>CARLOS N GOMEZ</t>
  </si>
  <si>
    <t>CARRASCO PAREDES BRAULIO NICOLAS</t>
  </si>
  <si>
    <t>CEFERINO OSVALDO ATTORI</t>
  </si>
  <si>
    <t>CEGENS S.A.</t>
  </si>
  <si>
    <t>CENTRAL TERMICA SAN ALONSO S. A.</t>
  </si>
  <si>
    <t>CENTRO CONSTRUCCIONES S.A. - BASAA S.A.- UT QUILMES U. T. E.</t>
  </si>
  <si>
    <t>CENTRO DE ESTUDIOS DIGESTIVOS S R L</t>
  </si>
  <si>
    <t>CILFREN S A</t>
  </si>
  <si>
    <t>CITROMAX SOCIEDAD ANONIMA COMERCIAL E INDUSTRIAL</t>
  </si>
  <si>
    <t>CLAUDIO MARCELO GROSS</t>
  </si>
  <si>
    <t>COMBOS DEL LITORAL S.A.</t>
  </si>
  <si>
    <t>COMPAÑIA ARGENTINA DE MERCHANDISING S.A.</t>
  </si>
  <si>
    <t>COMPAÑIA DE PROYECTOS S.R.L.</t>
  </si>
  <si>
    <t>COMPAÑIA INDUSTRIAL  DEL SUR SA</t>
  </si>
  <si>
    <t>COMPAÑIA TSB S. A.</t>
  </si>
  <si>
    <t>CONS PROP PRINGLES 965</t>
  </si>
  <si>
    <t>CONS PROP RODRIGUEZ PEÑA 2061/63/65</t>
  </si>
  <si>
    <t>CONS SR METAL S.A.</t>
  </si>
  <si>
    <t xml:space="preserve">CONSORCIO DE COPROPIETARIOS AVENIDA JUAN BAUTISTA ALBERDI </t>
  </si>
  <si>
    <t>CONSORCIO DE PROP. WERNICKE 460</t>
  </si>
  <si>
    <t>CONSORCIO DE PROPIETARIOS EDIFICIO ESTOMBA NUMEROS 1453-59, CAPITAL FEDERAL</t>
  </si>
  <si>
    <t>CONSORCIO DE PROPIETARIOS ESMERALDA 1254/68</t>
  </si>
  <si>
    <t>CONSORCIO DE PROPIETARIOS ROSETTI 6219-25-31-37-49-PEDRO ZANNI 3426-DE LOS AROMOS 6256</t>
  </si>
  <si>
    <t>CONSORCIO DE PROPIETARIOS SAN ELISEO GOLF &amp; COUNTRY CLUB  I</t>
  </si>
  <si>
    <t>CONSORCIO PROPIETARIOS CONSORCIO DE COPROPIETARIOS DEL EDIFICIO CALLE 418-ROQUE SAENZ PEÑA 3151</t>
  </si>
  <si>
    <t>CONSTRUNOA S.A.S.</t>
  </si>
  <si>
    <t>COOPERATIVA AGRICOLA MIXTA DE MONTECARLO LIMITADA</t>
  </si>
  <si>
    <t>COOPERATIVA COOPERATIVA DE AGUA POTABLE Y OTROS SERVICIOS PUBLICOS DE SAN MARTIN DE LOS ANDES LDA</t>
  </si>
  <si>
    <t>COOPERATIVA COOPERATIVA DE ELECTRICIDAD SERVICIO Y OBRAS PUBLICAS</t>
  </si>
  <si>
    <t>COOPERATIVA COOPERATIVA DE TRABAJO JABONERA CAÑADA ROSQUIN LTDA</t>
  </si>
  <si>
    <t>COOPERATIVA DE TRABAJO CDELU LIMITADA</t>
  </si>
  <si>
    <t>COOPERATIVA DE TRABAJO CEREALCOOP LTDA</t>
  </si>
  <si>
    <t>COORDINACION ECOLOGICA AREA METROPOLITANA SOCIEDAD DEL ESTADO</t>
  </si>
  <si>
    <t>CORDOBA FUEGO S.A.S.</t>
  </si>
  <si>
    <t>CORRIENTES 1453 S.R.L.</t>
  </si>
  <si>
    <t>DAC SOLUCIONES SRL</t>
  </si>
  <si>
    <t>DANIEL ADRIAN ROMERO</t>
  </si>
  <si>
    <t>DANIEL ALEJANDRO FIOROTTO</t>
  </si>
  <si>
    <t>DANIEL EDUARDO IMBRIALE</t>
  </si>
  <si>
    <t>DANIEL RUBEN LOPEZ</t>
  </si>
  <si>
    <t>DARIO JOSUE FLAUMENBAUM</t>
  </si>
  <si>
    <t>DAT ARGENTINA S. A. S.</t>
  </si>
  <si>
    <t>DEAVAL MONTAJES SRL</t>
  </si>
  <si>
    <t>DIANA BEATRIZ TARSIA</t>
  </si>
  <si>
    <t>DIPRONOR S A C I F I</t>
  </si>
  <si>
    <t>DIREX SRL</t>
  </si>
  <si>
    <t>DISTAME SA</t>
  </si>
  <si>
    <t>DOMITEC SOCIEDAD ANONIMA</t>
  </si>
  <si>
    <t>DON GUMER S.A.</t>
  </si>
  <si>
    <t>DORTMUND INGENIERIA  S. A.</t>
  </si>
  <si>
    <t>E-INTRA S. R. L.</t>
  </si>
  <si>
    <t>ECO GESTION SRL</t>
  </si>
  <si>
    <t>EDG ENVASES SRL</t>
  </si>
  <si>
    <t>EDUARDO E LAWSON S A I C</t>
  </si>
  <si>
    <t>EDUARDO JOSE FORCHINO</t>
  </si>
  <si>
    <t>EL TALAR DE PACHECO ASOCIACION CIVIL</t>
  </si>
  <si>
    <t>ELECSUD S.R.L.</t>
  </si>
  <si>
    <t>ELSA BEATRIZ GONZALEZ</t>
  </si>
  <si>
    <t>EMPREDIN SA</t>
  </si>
  <si>
    <t>EMPRENDIMIENTOS C4 S.R.L.</t>
  </si>
  <si>
    <t>EMPRESA MENDOCINA DE ENERGIA SOCIEDAD ANONIMA CON PARTICIPACION ESTATAL MAYORITARIA</t>
  </si>
  <si>
    <t>ENSOL S A</t>
  </si>
  <si>
    <t>ENTE SAN LUIS AGUA O. P.</t>
  </si>
  <si>
    <t>ESPACIOS DESARROLLOS S.R.L.</t>
  </si>
  <si>
    <t>ESSEN ALUMINIO SOCIEDAD ANONIMA</t>
  </si>
  <si>
    <t>ESTABLECIMIENTO LA ANGELICA SA</t>
  </si>
  <si>
    <t>ESTERISER S.R.L.</t>
  </si>
  <si>
    <t>EUROSUR SA</t>
  </si>
  <si>
    <t>F &amp; P CONSTRUCTORA S.R.L</t>
  </si>
  <si>
    <t>FABRINA D BENEDETTO</t>
  </si>
  <si>
    <t>FADE INGENIERIA S.R.L.</t>
  </si>
  <si>
    <t>FANGALA SA</t>
  </si>
  <si>
    <t>FERNANDO DANIEL ACUÑA</t>
  </si>
  <si>
    <t>FERNANDO MUÑOZ</t>
  </si>
  <si>
    <t>FERRONIER S R L</t>
  </si>
  <si>
    <t>FERVA S A</t>
  </si>
  <si>
    <t>FIDEICOMISO DE ADMINISTRACION CENTRO EMPRESARIAL LIBERTADOR</t>
  </si>
  <si>
    <t>FIRBIMATIC INTERNACIONAL SA</t>
  </si>
  <si>
    <t>FLEX PIPE S.A.</t>
  </si>
  <si>
    <t>FRAGOL SRL</t>
  </si>
  <si>
    <t>FRANZ ARGANDOÑA PORCEL</t>
  </si>
  <si>
    <t>FRIGORIFICO RIOPLATENSE S A I C I F</t>
  </si>
  <si>
    <t>FUNDACION ARGENINTA</t>
  </si>
  <si>
    <t>GAS ARECO S A C I</t>
  </si>
  <si>
    <t>GERALDINE KELLER</t>
  </si>
  <si>
    <t>GESTION RIESGO CERO S.R.L.</t>
  </si>
  <si>
    <t>GOMERIA EL RAPIDO SOCIEDAD COLECTIVA</t>
  </si>
  <si>
    <t>GRAN SASSO S.R.L.</t>
  </si>
  <si>
    <t>GRANDES SUPERFICIES BEST FIDEICOMISO</t>
  </si>
  <si>
    <t>GRANDINE S.A.S.</t>
  </si>
  <si>
    <t>GRANUVA S R L</t>
  </si>
  <si>
    <t>GREEN4T ARGENTINA S. A.</t>
  </si>
  <si>
    <t>GREGORIO ALFREDO LARIA</t>
  </si>
  <si>
    <t>GRIM CONSTRUCTORA SA</t>
  </si>
  <si>
    <t>GRUPO CINCO S A</t>
  </si>
  <si>
    <t>GRUPO LASSERRE SRL</t>
  </si>
  <si>
    <t>GUANTEX SOCIEDAD DE RESPONSABILIDAD LIMITADA</t>
  </si>
  <si>
    <t>GUILLERMO NICOSIA</t>
  </si>
  <si>
    <t>GUSTAVO ANDRES GRANOLLERS</t>
  </si>
  <si>
    <t>GUSTAVO ANGEL PISANO</t>
  </si>
  <si>
    <t>GUSTAVO MIGUEL FLUXA</t>
  </si>
  <si>
    <t>HEAT &amp; CONTROL S.R.L</t>
  </si>
  <si>
    <t>HIDRAULICA HIDREP S.R.L.</t>
  </si>
  <si>
    <t>HORMIGON DEL PARQUE S.R.L</t>
  </si>
  <si>
    <t>HUGO LUIS CONTRERAS</t>
  </si>
  <si>
    <t>HUGO VIERA E HIJOS S.A.</t>
  </si>
  <si>
    <t>IMPLANTES QUIRURGICOS S.A.</t>
  </si>
  <si>
    <t>INDRASA BIOTECNOLOGIA S.A.</t>
  </si>
  <si>
    <t>INFRAESTRUCTURA AGROVIAL S.R.L.</t>
  </si>
  <si>
    <t>INSTALACIONES GABA SRL</t>
  </si>
  <si>
    <t>INSTITUCION SALESIANA SAN FRANCISCO JAVIER ASOCIACION CIVIL</t>
  </si>
  <si>
    <t>INSTITUTO MASSONE S. A.</t>
  </si>
  <si>
    <t>INTERMARES S R L</t>
  </si>
  <si>
    <t>IQUA WATER TECHNOLOGIES S.R.L.</t>
  </si>
  <si>
    <t>IVANA JESICA MOTA</t>
  </si>
  <si>
    <t>JAVIER AGUSTIN TRIGAL</t>
  </si>
  <si>
    <t>JOMALU SA</t>
  </si>
  <si>
    <t>JORGE ABEL RUGORA</t>
  </si>
  <si>
    <t>JORGE ANTONIO BLANCO</t>
  </si>
  <si>
    <t>JOSE ALEJANDRO RAZURI FERNANDEZ</t>
  </si>
  <si>
    <t>JOSE ANTONIO ABAD PEREZ</t>
  </si>
  <si>
    <t>JOSE ESTEBAN DALBY</t>
  </si>
  <si>
    <t>JOSE Y PEDRO CELOTTI S.A.C.I.F. E I. S. A.</t>
  </si>
  <si>
    <t>JUSTO Y MARTINEZ S A C E I</t>
  </si>
  <si>
    <t>KAPPA PACKING ARGENTINA S.R.L. S. R. L.</t>
  </si>
  <si>
    <t>KRYO TECHNOLOGY SERVICES S. A.</t>
  </si>
  <si>
    <t>LA ESPERANZA ARGENTINA S C A</t>
  </si>
  <si>
    <t>LA ESTRADENSE S R L</t>
  </si>
  <si>
    <t>LA PLATA CLIMA S.A.</t>
  </si>
  <si>
    <t>LABORATORIO LKM S.A.</t>
  </si>
  <si>
    <t>LABRI  SA</t>
  </si>
  <si>
    <t>LAGERHAUS SOCIEDAD ANONIMA</t>
  </si>
  <si>
    <t>LAS DINAS S R L</t>
  </si>
  <si>
    <t>LAURA MARIA BONORIS</t>
  </si>
  <si>
    <t>LAUTARO ANDRES CORONEL SGARDELIS</t>
  </si>
  <si>
    <t>LE GURIE SOCIEDAD ANONIMA</t>
  </si>
  <si>
    <t>LEVEL SEVEN SRL</t>
  </si>
  <si>
    <t>LINEAS ELECTRICAS SA</t>
  </si>
  <si>
    <t>LITIO MINERA ARGENTINA SOCIEDAD ANONIMA</t>
  </si>
  <si>
    <t>LOGISTICA Y SERVICIOS MARITIMOS S.A.</t>
  </si>
  <si>
    <t>LPH 1719 S.A</t>
  </si>
  <si>
    <t>LUCAS ELIAS DEMINGE</t>
  </si>
  <si>
    <t>LUCAS REVALE</t>
  </si>
  <si>
    <t>LUIS ARIEL ROMERO</t>
  </si>
  <si>
    <t>LUXIS S.A</t>
  </si>
  <si>
    <t>MACROPLAST SA</t>
  </si>
  <si>
    <t>MANGONI CONSTRUCCION Y SERVICIOS S.R.L</t>
  </si>
  <si>
    <t>MANUEL ALEJANDRO CORDERO COLIN</t>
  </si>
  <si>
    <t>MAPRIMED SOCIEDAD ANONIMA</t>
  </si>
  <si>
    <t>MARCELO JORGE BEL</t>
  </si>
  <si>
    <t>MARGARITA KATHLER</t>
  </si>
  <si>
    <t>MARIA MARCELA GARAY</t>
  </si>
  <si>
    <t>MARIANO NICOLAS SGROMO</t>
  </si>
  <si>
    <t>MARIO RAUL DALINGER</t>
  </si>
  <si>
    <t>MARTIN ARIEL ARENZON</t>
  </si>
  <si>
    <t>Martin Daniel</t>
  </si>
  <si>
    <t>MARTIN NAHUEL TISERA</t>
  </si>
  <si>
    <t>MAS FERRETERIAS S.A</t>
  </si>
  <si>
    <t>MATERIALES SAN CAMILO SRL</t>
  </si>
  <si>
    <t>MATIAS ADRIEL PERELIS</t>
  </si>
  <si>
    <t>MATIAS JOSE ORTIZ</t>
  </si>
  <si>
    <t>MET-MOD SRL</t>
  </si>
  <si>
    <t>METALURGICA RUAL S.A.</t>
  </si>
  <si>
    <t>METALURGICASIAM S. A.</t>
  </si>
  <si>
    <t>MIGUEL ARMANDO NOGUEROLES</t>
  </si>
  <si>
    <t>MINISTERIO DE RELACIONES EXTERIORES Y CULTO</t>
  </si>
  <si>
    <t>MIXTEK S. R. L.</t>
  </si>
  <si>
    <t>MMIT OIL AND GAS S. R. L.</t>
  </si>
  <si>
    <t>MODERNO SA</t>
  </si>
  <si>
    <t>MONTEFER  SRL</t>
  </si>
  <si>
    <t>MULTIPLICIDAD RAGUSA S. R. L.</t>
  </si>
  <si>
    <t>MYEEL MEDIDORES Y EQUIPOS ELECTRICOS SA</t>
  </si>
  <si>
    <t>NASTEC ARGENTINA S.R.L.</t>
  </si>
  <si>
    <t>NEFROLOGIA IMDE S.R.L.</t>
  </si>
  <si>
    <t>NESTOR GERARDO GUIMPELEVICH</t>
  </si>
  <si>
    <t>NICANDRO ROQUE ALIENDRO</t>
  </si>
  <si>
    <t>NIKRON SUDAMERICANA SA</t>
  </si>
  <si>
    <t>NOROC SA</t>
  </si>
  <si>
    <t>NUETEL S.R.L.</t>
  </si>
  <si>
    <t>NUTRIX SOCIEDAD ANONIMA</t>
  </si>
  <si>
    <t>OBRAS INTECH S.A.S.</t>
  </si>
  <si>
    <t>OH LAB S.R.L.</t>
  </si>
  <si>
    <t>P TORTORIELLO Y CIA. S. A.</t>
  </si>
  <si>
    <t>PAATS-BENSIMON SOC. SIMPLE</t>
  </si>
  <si>
    <t>PABLO MARTIN DEMARCO</t>
  </si>
  <si>
    <t>PABLO SEBASTIAN GONZALEZ</t>
  </si>
  <si>
    <t>PAGSA INGENIEROS ARGENTINOS SRL</t>
  </si>
  <si>
    <t>PAMPA MINING S. R. L.</t>
  </si>
  <si>
    <t>PAOLINI HNOS.  S.A.</t>
  </si>
  <si>
    <t>PARANA MEDIO MAQUINAS Y SERVICIOS S.A.</t>
  </si>
  <si>
    <t>PASTA SOLE S.A. S. A.</t>
  </si>
  <si>
    <t>PATRICIO IMANOL CANALEJO</t>
  </si>
  <si>
    <t>PETROLERA SAN ANDRES S.R.L.</t>
  </si>
  <si>
    <t>PIANCATELLI ALFONSO WALTER Y PIANCATELLI GUILLERMO ALEJANDRO</t>
  </si>
  <si>
    <t>PICAMET SAS</t>
  </si>
  <si>
    <t>PLASENER</t>
  </si>
  <si>
    <t>PLASGOM S A</t>
  </si>
  <si>
    <t>POLLOS SAN MATEO S.A.</t>
  </si>
  <si>
    <t>PRODUCTOS LE.Q S.A.</t>
  </si>
  <si>
    <t>PROILDE S.R.L.</t>
  </si>
  <si>
    <t>PRONTO S R L</t>
  </si>
  <si>
    <t>RAMON ALFREDO BOBADILLA</t>
  </si>
  <si>
    <t>RAUL EDMUNDO TOLABIN</t>
  </si>
  <si>
    <t>RENE ALBERTO ORELLANO</t>
  </si>
  <si>
    <t>RESIDENCIA MODELO OSTENDE SOCIEDAD ANONIMA</t>
  </si>
  <si>
    <t>RIT S.A.S.</t>
  </si>
  <si>
    <t>ROBERTO FABIAN MATAR</t>
  </si>
  <si>
    <t>ROBERTO MARCELO MASTANTUONO</t>
  </si>
  <si>
    <t>RODOLFO MARTIN MASINO</t>
  </si>
  <si>
    <t>ROLANDO CRISTIAN GARCIA</t>
  </si>
  <si>
    <t>RUTA 193 ZARATE S.A.</t>
  </si>
  <si>
    <t>SANITARIOS BELGRANO S.R.L.</t>
  </si>
  <si>
    <t>SANTA LUCIA AGUA-GAS-INCENDIO SRL</t>
  </si>
  <si>
    <t>SANTIAGO EICHHORN E HIJOS SRL</t>
  </si>
  <si>
    <t>SATUS AGER S. A.</t>
  </si>
  <si>
    <t>SCM SOLUTIONS S.A.</t>
  </si>
  <si>
    <t>SEDICO S. A.</t>
  </si>
  <si>
    <t>SEHOS S.A.</t>
  </si>
  <si>
    <t>SERGIO OMAR OLEA</t>
  </si>
  <si>
    <t>SERPA SRL</t>
  </si>
  <si>
    <t>SERVICIOS INDUSTRIALES SOCIEDAD DE RESPONSABILIDAD LIMITADA</t>
  </si>
  <si>
    <t>SG3 ENERGIA S.R.L.</t>
  </si>
  <si>
    <t>SIGMA COMPRESORES SA</t>
  </si>
  <si>
    <t>SIHAF SERVICIOS S.A.S.</t>
  </si>
  <si>
    <t>SIME ARGENTINA S H  DE VERNIERI ALBERTO OSCAR Y VERNIERI HORACIO</t>
  </si>
  <si>
    <t>SIMTER SOCIEDAD  ANONIMA</t>
  </si>
  <si>
    <t>SMART AUTOMATION</t>
  </si>
  <si>
    <t>SNIC SERVICIOS Y PROYECTOS SOCIEDAD ANONIMA</t>
  </si>
  <si>
    <t>SOCOTHERM AMERICAS S A</t>
  </si>
  <si>
    <t>SOLUCIONES EN SEGURIDAD S.A.S.</t>
  </si>
  <si>
    <t>SOLUCIONES PATAGONICAS S. A. S.</t>
  </si>
  <si>
    <t>STAR JEWEL S.A.</t>
  </si>
  <si>
    <t>SUMAR SERVICIOS INDUSTRIALES S.R.L.</t>
  </si>
  <si>
    <t>SUMISERVICES S.A.S.</t>
  </si>
  <si>
    <t>TABACALERA SARANDI S.A.</t>
  </si>
  <si>
    <t>TECNOAP S.A</t>
  </si>
  <si>
    <t>TECTA SOLUCIONES S. A. S.</t>
  </si>
  <si>
    <t>TECVENETO CHECK S.R.L.</t>
  </si>
  <si>
    <t>TEXTIL 4A SA</t>
  </si>
  <si>
    <t>THEMA METALURGICA SRL</t>
  </si>
  <si>
    <t>TIERRA FERTIL S. A. S.</t>
  </si>
  <si>
    <t>TPI SRL</t>
  </si>
  <si>
    <t>TPS CONSTRUCTORA S. A.</t>
  </si>
  <si>
    <t>TRADICIONES VASILE</t>
  </si>
  <si>
    <t>TRAFIGURA ARGENTINA S. A.</t>
  </si>
  <si>
    <t>TRISELEC INGENIERIA S.R.L.</t>
  </si>
  <si>
    <t>TSP AGRO S.A.</t>
  </si>
  <si>
    <t>UNION VECINAL FAUSTO BURGOS LAS PAREDES</t>
  </si>
  <si>
    <t>VAL MAIRA SOCIEDAD ANONIMA</t>
  </si>
  <si>
    <t>VERONICA ESTER BALBUENA</t>
  </si>
  <si>
    <t>VETERINARIA CENTRO SOCIEDAD DE RESPONSABILIDAD LIMITADA</t>
  </si>
  <si>
    <t>VIAL NORCAR S R L</t>
  </si>
  <si>
    <t>VICENTA MARCELA MACCARRONE</t>
  </si>
  <si>
    <t>VIÑA COBOS S.A.</t>
  </si>
  <si>
    <t>WEST TAMBO SRL</t>
  </si>
  <si>
    <t>WIDERGY S. R. L.</t>
  </si>
  <si>
    <t>XARE HOLDING S.A.</t>
  </si>
  <si>
    <t>Válvula de alivio de presión con escape conducido PN 40. Cierre PTFE. Construcción en AISI316 CF8M. Muelle AISI 302. Regulación de: 0,5 a 6 bar. Extremos en escuadra rosca gas (BSP) M-H - ISO 228/1. Temp. –20ºC +200ºC. Diámetro entrada 1/2" por salida 1".</t>
  </si>
  <si>
    <t>Válvula de alivio de presión con escape conducido PN 40. Cierre PTFE. Construcción en AISI316 CF8M. Muelle AISI 302. Regulación de: 6,1 a 25 bar. Extremos en escuadra rosca gas (BSP) M-H - ISO 228/1. Temp. –20ºC +200ºC. Diámetro entrada 1/2" por salida 1".</t>
  </si>
  <si>
    <t>Válvula de alivio de presión con escape conducido PN 40. Cierre PTFE. Construcción en AISI316 CF8M. Muelle AISI 302. Regulación de: 0,5 a 6 bar. Extremos en escuadra rosca gas (BSP) M-H - ISO 228/1. Temp. –20ºC +200ºC. Diámetro entrada 3/4" por salida 1".</t>
  </si>
  <si>
    <t>Válvula de alivio de presión con escape conducido PN 40. Cierre PTFE. Construcción en AISI316 CF8M. Muelle AISI 302. Regulación de: 6,1 a 25 bar. Extremos en escuadra rosca gas (BSP) M-H - ISO 228/1. Temp. –20ºC +200ºC. Diámetro entrada 3/4" por salida 1".</t>
  </si>
  <si>
    <t>Válvula de alivio de presión con escape conducido PN 40. Cierre PTFE. Construcción en AISI316 CF8M. Muelle AISI 302. Regulación de: 0,5 a 6 bar. Extremos en escuadra rosca gas (BSP) M-H - ISO 228/1. Temp. –20ºC +200ºC. Diámetro entrada 1" por salida 1".</t>
  </si>
  <si>
    <t>Válvula de alivio de presión con escape conducido PN 40. Cierre PTFE. Construcción en AISI316 CF8M. Muelle AISI 302. Regulación de: 6,1 a 25 bar. Extremos en escuadra rosca gas (BSP) M-H - ISO 228/1. Temp. –20ºC +200ºC. Diámetro entrada 1" por salida 1".</t>
  </si>
  <si>
    <t>Válvula de alivio de presión con escape conducido PN 40. Cierre PTFE. Construcción en AISI316 CF8M. Muelle AISI 302. Regulación de: 0,5 a 6 bar. Extremos en escuadra rosca gas (BSP) M-H - ISO 228/1. Temp. –20ºC +200ºC. Diámetro entrada 1" por salida 1 1/4".</t>
  </si>
  <si>
    <t>Válvula de alivio de presión con escape conducido PN 40. Cierre PTFE. Construcción en AISI316 CF8M. Muelle AISI 302. Regulación de: 6,1 a 25 bar. Extremos en escuadra rosca gas (BSP) M-H - ISO 228/1. Temp. –20ºC +200ºC. Diámetro entrada 1" por salida 1 1/4".</t>
  </si>
  <si>
    <t>Válvula de alivio de presión con escape conducido PN 40. Cierre PTFE. Construcción en AISI316 CF8M. Muelle AISI 302. Regulación de: 0,5 a 6 bar. Extremos en escuadra rosca gas (BSP) M-H - ISO 228/1. Temp. –20ºC +200ºC. Diámetro entrada 1 1/4" por salida 1 1/4".</t>
  </si>
  <si>
    <t>Válvula de alivio de presión con escape conducido PN 40. Cierre PTFE. Construcción en AISI316 CF8M. Muelle AISI 302. Regulación de: 6,1 a 25 bar. Extremos en escuadra rosca gas (BSP) M-H - ISO 228/1. Temp. –20ºC +200ºC. Diámetro entrada 1 1/4" por salida 1 1/4".</t>
  </si>
  <si>
    <t>Válvula de alivio de presión con escape conducido PN 40. Cierre PTFE. Construcción en AISI316 CF8M. Muelle AISI 302. Regulación de: 0,5 a 6 bar. Extremos en escuadra rosca gas (BSP) M-H - ISO 228/1. Temp. –20ºC +200ºC. Diámetro entrada 1 1/2" por salida 2".</t>
  </si>
  <si>
    <t>Válvula de alivio de presión con escape conducido PN 40. Cierre PTFE. Construcción en AISI316 CF8M. Muelle AISI 302. Regulación de: 0,5 a 6 bar. Extremos en escuadra rosca gas (BSP) M-H - ISO 228/1. Temp. –20ºC +200ºC. Diámetro entrada 2" por salida 2".</t>
  </si>
  <si>
    <t>M ROYO S. A.</t>
  </si>
  <si>
    <t>Cuenta corriente a 60 días fecha factura.</t>
  </si>
  <si>
    <t>Cuenta corriente a 20 días fecha factura.</t>
  </si>
  <si>
    <t>Manómetro Ø 63 con glicerina. Salida inferior (Radial). Caja acero inoxidable AISI 304. Tubo bourdon y racor en laton UNE-EN 12165. Rosca 1/4" Macho gas. . Rango 0-2,5 Bar.</t>
  </si>
  <si>
    <t>Manómetro Ø 63 con glicerina. Salida inferior (Radial). Caja acero inoxidable AISI 304. Tubo bourdon y racor en laton UNE-EN 12165. Rosca 1/4" Macho gas. . Rango 0-4 Bar.</t>
  </si>
  <si>
    <t>Manómetro Ø 63 con glicerina. Salida inferior (Radial). Caja acero inoxidable AISI 304. Tubo bourdon y racor en laton UNE-EN 12165. Rosca 1/4" Macho gas. . Rango 0-6 Bar.</t>
  </si>
  <si>
    <t>Manómetro Ø 63 con glicerina. Salida inferior (Radial). Caja acero inoxidable AISI 304. Tubo bourdon y racor en laton UNE-EN 12165. Rosca 1/4" Macho gas. . Rango 0-10 Bar.</t>
  </si>
  <si>
    <t>Manómetro Ø 63 con glicerina. Salida inferior (Radial). Caja acero inoxidable AISI 304. Tubo bourdon y racor en laton UNE-EN 12165. Rosca 1/4" Macho gas. . Rango 0-16 Bar.</t>
  </si>
  <si>
    <t>Manómetro Ø 63 con glicerina. Salida inferior (Radial). Caja acero inoxidable AISI 304. Tubo bourdon y racor en laton UNE-EN 12165. Rosca 1/4" Macho gas. . Rango 0-25 Bar.</t>
  </si>
  <si>
    <t>Manómetro Ø 63 con glicerina. Salida inferior (Radial). Caja acero inoxidable AISI 304. Tubo bourdon y racor en laton UNE-EN 12165. Rosca 1/4" Macho gas. . Rango 0-60 Bar.</t>
  </si>
  <si>
    <t>Manómetro Ø 63 con glicerina. Salida inferior (Radial). Caja acero inoxidable AISI 304. Tubo bourdon y racor enlaton UNE-EN 12165. Rosca 1/4" Macho gas. . Rango 0-100 Bar.</t>
  </si>
  <si>
    <t>350 SRL</t>
  </si>
  <si>
    <t>5D INGENIERIA S.A.</t>
  </si>
  <si>
    <t>72 GAS SA</t>
  </si>
  <si>
    <t>ACME CONSTRUCCION METROPOLITANA  S.R.L.</t>
  </si>
  <si>
    <t>ACYS  MENDOZA  S A</t>
  </si>
  <si>
    <t>AGIRA  S A</t>
  </si>
  <si>
    <t>AGROINSUMOS S. A.</t>
  </si>
  <si>
    <t>AIFOX S.R.L.</t>
  </si>
  <si>
    <t>ALEJANDRO LUCIO KELLY</t>
  </si>
  <si>
    <t>ALL DRILL S.A.</t>
  </si>
  <si>
    <t>ALMAGRO SERVICIOS SRL</t>
  </si>
  <si>
    <t>ALTOS DE BERMUDEZ S.A</t>
  </si>
  <si>
    <t>AMSTORK SA</t>
  </si>
  <si>
    <t>ANDEMIRA S.A.</t>
  </si>
  <si>
    <t>ANDRE  FRENO S R L</t>
  </si>
  <si>
    <t>ANDREA LORENA STOLL</t>
  </si>
  <si>
    <t>ANDRES VICTOR CRISAFULLI</t>
  </si>
  <si>
    <t>Antonella Ramayon Alderete</t>
  </si>
  <si>
    <t>ARBISER SOLUCIONES INDUSTRIALES S.R.L.</t>
  </si>
  <si>
    <t>Ariel Alejandro Paez</t>
  </si>
  <si>
    <t>ARIEL MARTIN LOSADA</t>
  </si>
  <si>
    <t>ARIEL ROBERTO VUONO</t>
  </si>
  <si>
    <t>ASOCIACION CIVIL HURLINGHAM CLUB</t>
  </si>
  <si>
    <t>ASOCIACION CIVIL VILAGO</t>
  </si>
  <si>
    <t>AUDAMATIC S.R.L</t>
  </si>
  <si>
    <t>AUTOMOTORES EL TRIANGULO SA</t>
  </si>
  <si>
    <t>BAINOX S.R.L.</t>
  </si>
  <si>
    <t>BEAM CONSTRUCCIONES SOCIEDAD ANONIMA</t>
  </si>
  <si>
    <t>BEPHA CONSTRUCCIONES SA</t>
  </si>
  <si>
    <t>BERNARDO AMARILLA ZORRILLA</t>
  </si>
  <si>
    <t>BIOTRACOM S R L</t>
  </si>
  <si>
    <t>BLASTING SA</t>
  </si>
  <si>
    <t>BLEND PUB S A</t>
  </si>
  <si>
    <t>C &amp; D SAN MARCOS S.R.L.</t>
  </si>
  <si>
    <t>C.O.M. SAN FRANCISCO SOCIEDAD POR ACCIONES SIMPLIFICADA</t>
  </si>
  <si>
    <t>CABOSCH SA</t>
  </si>
  <si>
    <t>CARILO VILLAGE S A</t>
  </si>
  <si>
    <t>CARLOS ALBERTO LORES</t>
  </si>
  <si>
    <t>CARNES DEL LITORAL S. A.</t>
  </si>
  <si>
    <t>CAUPUR S A</t>
  </si>
  <si>
    <t>CERTIFICACIONES INDUSTRIALES PETROLERAS-CIP-SRL</t>
  </si>
  <si>
    <t>CIACO  CONSTRUCCIONES S.R.L.</t>
  </si>
  <si>
    <t>CIMAX STI S. R. L.</t>
  </si>
  <si>
    <t>CLUB ATLETICO Y BIBLIOTECA BELL</t>
  </si>
  <si>
    <t>CMX S.A.</t>
  </si>
  <si>
    <t>COLD LAND S.A.</t>
  </si>
  <si>
    <t>COMUNA DE ATALIVA</t>
  </si>
  <si>
    <t>CONCRETOS NORTE S.R.L.</t>
  </si>
  <si>
    <t>CONGREGACION HIJAS DE SAN CAMILO</t>
  </si>
  <si>
    <t>CONSORCIO DE COPROP. EDIFICIOS HORIZONS VICENTE LOPEZ, MANZANA RIO EDIFICIOS COSTA, BRISA Y ALBA</t>
  </si>
  <si>
    <t>CONSORCIO DE PROPIETARIOS BARRIO SANTA CLARA</t>
  </si>
  <si>
    <t>CONSORCIO DE PROPIETARIOS LA BARRA VILLAGE</t>
  </si>
  <si>
    <t>CONSORCIO EDIFICIO LAMINAR PLAZA</t>
  </si>
  <si>
    <t>CONSORCIO PROPIETARIOS ESTOMBA 1461</t>
  </si>
  <si>
    <t>CONSTRUCTORA ALMAJO NORTE SRL</t>
  </si>
  <si>
    <t>COOPERATIVA AGRICOLA GANADERA LIMITADA GUILLERMO LEHMANN</t>
  </si>
  <si>
    <t>CORUPEL SA</t>
  </si>
  <si>
    <t>CRAFTING SOLUTIONS S.A.</t>
  </si>
  <si>
    <t>CRAMSAC S. R. L.</t>
  </si>
  <si>
    <t>CRAVERI S A I C</t>
  </si>
  <si>
    <t>CRISTIAN EZEQUIEL MUÑOZ</t>
  </si>
  <si>
    <t>CROWN S.R.L.</t>
  </si>
  <si>
    <t>DAIANA NATALIA IBARRA</t>
  </si>
  <si>
    <t>DANIEL ALEJANDRO MENESES</t>
  </si>
  <si>
    <t>DATCORR S.A.</t>
  </si>
  <si>
    <t>DAVID DANIEL ROCHA</t>
  </si>
  <si>
    <t>DEPOS S.R.L.</t>
  </si>
  <si>
    <t>DI PRINZIO MAQUINARIAS SA</t>
  </si>
  <si>
    <t>DIEGO GUSTAVO PRIORE</t>
  </si>
  <si>
    <t>DINSE S.R.L.</t>
  </si>
  <si>
    <t>DUOMO S. A.</t>
  </si>
  <si>
    <t>ECOHOTEL S. R. L.</t>
  </si>
  <si>
    <t>ECOLOGIA URBANA SRL</t>
  </si>
  <si>
    <t>EHS SA</t>
  </si>
  <si>
    <t>ELCA SEGURIDAD ELECTRONICA S R L</t>
  </si>
  <si>
    <t>ELECTRICIDAD DE MISIONES S. A.</t>
  </si>
  <si>
    <t>ELECTROANDES STORE S.R.L.</t>
  </si>
  <si>
    <t>ELENA MARIA LLERA</t>
  </si>
  <si>
    <t>EMEYGE</t>
  </si>
  <si>
    <t>EMPRENDIMIENTOS INTERNACIONALES DE SERVICIOS S.A.</t>
  </si>
  <si>
    <t>ESPUMAS PILAR SRL</t>
  </si>
  <si>
    <t>ESTEBAN LADISLAO BERNATH</t>
  </si>
  <si>
    <t>ESTRELLA DE LOS VIENTOS SRL</t>
  </si>
  <si>
    <t>EXPERIENCIA VR S.A.</t>
  </si>
  <si>
    <t>EZEQUIEL MADERAS S.R.L.</t>
  </si>
  <si>
    <t>FABIAN ALEJANDRO NAJMAN</t>
  </si>
  <si>
    <t>FADEL S. R. L.</t>
  </si>
  <si>
    <t>FAZA SRL</t>
  </si>
  <si>
    <t>FEDERACION ARGENTINA DE TRABAJADORES CERVECEROS Y AFINES</t>
  </si>
  <si>
    <t>FERCOL LUBRICANTES S.R.L.</t>
  </si>
  <si>
    <t>FERNANDO LUIS SABELLA</t>
  </si>
  <si>
    <t>FERNANDO RUBEN MINUTO</t>
  </si>
  <si>
    <t>FIDEICOMISO CASTAÑEDA 1860</t>
  </si>
  <si>
    <t>FIDEICOMISO DE ADMINISTRACION - OCEANA PUERTO MADERO</t>
  </si>
  <si>
    <t>FIDEICOMISO LIB 5610</t>
  </si>
  <si>
    <t>FIDEICOMISO RS CAMPANA</t>
  </si>
  <si>
    <t>FISHING GROUND MDQ S.R.L.</t>
  </si>
  <si>
    <t>FIVE BRICKS SOCIEDAD DE RESPONSABILIDAD LIMITADA</t>
  </si>
  <si>
    <t>FLOWMEET S.R.L.</t>
  </si>
  <si>
    <t>FLUID S.A.</t>
  </si>
  <si>
    <t>FRANCISCA LILIANA ADRAGNA</t>
  </si>
  <si>
    <t>FRANCISCO NICOLAS DELLA PAOLERA</t>
  </si>
  <si>
    <t>FRIGORIFICO DESEADO SOCIEDAD ANONIMA</t>
  </si>
  <si>
    <t>FRONCOR S.A.</t>
  </si>
  <si>
    <t>G.I. ESTUDIO</t>
  </si>
  <si>
    <t>GABRIEL RODOLFO KRAWCZYNSKI</t>
  </si>
  <si>
    <t>GAP INSUMOS SRL</t>
  </si>
  <si>
    <t>GARIBALDINOS S.A.</t>
  </si>
  <si>
    <t>GASES DE ENSENADA SA</t>
  </si>
  <si>
    <t>GEN SOCIEDAD DE RESPONSABILIDAD LIMITADA</t>
  </si>
  <si>
    <t>GIMAJU S. A.</t>
  </si>
  <si>
    <t>GONVARRI ARGENTINA S. A.</t>
  </si>
  <si>
    <t>GONZALO HAFFNER</t>
  </si>
  <si>
    <t>GUILLERMO MARTIN GUERRERO</t>
  </si>
  <si>
    <t>GUSTAVO JESUS HERRERO</t>
  </si>
  <si>
    <t>GUSTAVO NORBERTO PEITI</t>
  </si>
  <si>
    <t>GUSTAVO OSCAR TOLEDO</t>
  </si>
  <si>
    <t>HECTOR HUGO CEBALLOS</t>
  </si>
  <si>
    <t>HECTOR LUIS BATTAGLIA</t>
  </si>
  <si>
    <t>HECTOR MARIO MITIDIERI</t>
  </si>
  <si>
    <t>HENRY JOSE MARTINEZ CARREÑO</t>
  </si>
  <si>
    <t>HERNAN RODRIGO LOPEZ</t>
  </si>
  <si>
    <t>HORIZONTE GASES S R L</t>
  </si>
  <si>
    <t>HUELLA ANDINA SERVICIOS SAS</t>
  </si>
  <si>
    <t>HZ-FIRETEC S.R.L.</t>
  </si>
  <si>
    <t>I.G. INSTRUMENTOS S.R.L.</t>
  </si>
  <si>
    <t>INARCO CONSTRUCCIONES CIVILES E INDUSTRIALES S R L</t>
  </si>
  <si>
    <t>INDUBOL S.A.</t>
  </si>
  <si>
    <t>INDUSTEM S.R.L.</t>
  </si>
  <si>
    <t>INGES S.R.L.</t>
  </si>
  <si>
    <t>J Y M COMPONENTES ELECTRICOS S.A.</t>
  </si>
  <si>
    <t>JAVIER MATIAS SALESKI</t>
  </si>
  <si>
    <t>JOAQUIN IVAN LOPEZ MARIN</t>
  </si>
  <si>
    <t>JONATAN JAVIER ACOSTA</t>
  </si>
  <si>
    <t>JORGE HORVAT &amp; ASOCIADOS S R L</t>
  </si>
  <si>
    <t>JOSE ROMERO E HIJOS SRL</t>
  </si>
  <si>
    <t>JUAN CRUZ ORTIZ MENDOZA</t>
  </si>
  <si>
    <t>JUAN IGNACIO CASANUEVA</t>
  </si>
  <si>
    <t>JUAN IGNACIO IMPERATORI</t>
  </si>
  <si>
    <t>JUAN MANUEL DIEGUEZ</t>
  </si>
  <si>
    <t>JUAN PABLO PAGANO</t>
  </si>
  <si>
    <t>JUAN PABLO RODRIGUEZ</t>
  </si>
  <si>
    <t>KYOJIN S. A.</t>
  </si>
  <si>
    <t>L.M. SERVICIOS METALURGICOS S. R. L.</t>
  </si>
  <si>
    <t>LABORATORIOS ASPEN SA</t>
  </si>
  <si>
    <t>LAGOMARSINO  SA</t>
  </si>
  <si>
    <t>LASARTE HNOS SRL</t>
  </si>
  <si>
    <t>LASGO S.A.</t>
  </si>
  <si>
    <t>LIBRES DEL PLATA S.R.L</t>
  </si>
  <si>
    <t>LOGITECK TRANSPORTES S.R.L.</t>
  </si>
  <si>
    <t>LOS ESTRIBOS S A</t>
  </si>
  <si>
    <t>LUCIA RIVAS</t>
  </si>
  <si>
    <t>LUCIO GRIVETTO</t>
  </si>
  <si>
    <t>LUCIO JAVIER DIZESTE</t>
  </si>
  <si>
    <t>LUFRAN S. A.</t>
  </si>
  <si>
    <t>LUSA RECTIFICACION SOCIEDAD DE RESPONSABILIDAD LIMITADA</t>
  </si>
  <si>
    <t>M Y G HERRAMIENTAS SRL</t>
  </si>
  <si>
    <t>MALCOM PLASTINA</t>
  </si>
  <si>
    <t>MAPSA S.A.</t>
  </si>
  <si>
    <t>MAR-SAM</t>
  </si>
  <si>
    <t>MARCELO ALEJANDRO BORGOGNO</t>
  </si>
  <si>
    <t>MARCOS NICOLAS MANGONE</t>
  </si>
  <si>
    <t>MARCOS SCHMUKLER S A</t>
  </si>
  <si>
    <t>MARIA EUGENIA LINDACKER</t>
  </si>
  <si>
    <t>MARIA LAURA REY</t>
  </si>
  <si>
    <t>MARIEL  ELSA SANCHEZ</t>
  </si>
  <si>
    <t>MARIO CARLOS TIERI</t>
  </si>
  <si>
    <t>MARPI S R L</t>
  </si>
  <si>
    <t>MAXIMILIANO LUIS PENNELLA</t>
  </si>
  <si>
    <t>MCA INSTALACIONES S.A.S.</t>
  </si>
  <si>
    <t>MCLIMATIZACION</t>
  </si>
  <si>
    <t>METALURGICA LOS PRIMOS S.A.</t>
  </si>
  <si>
    <t>MHLN EMPRENDIMIENTOS S. R. L.</t>
  </si>
  <si>
    <t>MICROSULES ARGENTINA S A DE SERVICIOS COM IND INMB AGROPECUARIA</t>
  </si>
  <si>
    <t>MINERA DEL ALTIPLANO  S. A.</t>
  </si>
  <si>
    <t>MODO BARISTA S.R.L.</t>
  </si>
  <si>
    <t>MTGTORNERIA</t>
  </si>
  <si>
    <t>NELUMBO S.A.S.</t>
  </si>
  <si>
    <t>NEWAIR S.A.</t>
  </si>
  <si>
    <t>NORTE BRILLANTE S. A. S.</t>
  </si>
  <si>
    <t>NORTE IMPORTACIONES S. R. L.</t>
  </si>
  <si>
    <t>NOVA ARQ SRL</t>
  </si>
  <si>
    <t>OBLIGADO 7070 S.R.L.</t>
  </si>
  <si>
    <t>OIL CONTROL S.A.</t>
  </si>
  <si>
    <t>OMAR AUGUSTO PUGNALI</t>
  </si>
  <si>
    <t>ONCEDOCETRECE S.A.</t>
  </si>
  <si>
    <t>ORBITAL INGENIERIA S.A.S.</t>
  </si>
  <si>
    <t>OSCAR BERTOLI E HIJOS S.A.</t>
  </si>
  <si>
    <t>OSTRILAP SA</t>
  </si>
  <si>
    <t>PABLO EDMUNDO GUILLE REINHOLD LARSSON</t>
  </si>
  <si>
    <t>PASCUAL FRANCISCO VICTORIO SEMINAROTTI</t>
  </si>
  <si>
    <t>PASQUALE S. R. L.</t>
  </si>
  <si>
    <t>PAULA SILVIA DARRIBA, MARIANA BEATRIZ DARRIBA Y SILVIA BEATRIZ MASCIARELLI SOCIEDAD DE HECHO</t>
  </si>
  <si>
    <t>PAULO CESAR REINALDO PERELLI</t>
  </si>
  <si>
    <t>PEDRO IVAN ALEGRE</t>
  </si>
  <si>
    <t>PH SOLUCIONES INDUSTRIALES S.R.L.</t>
  </si>
  <si>
    <t>PIMO SOLUTIONS S.A.S.</t>
  </si>
  <si>
    <t>PIWOWAROW S. R. L.</t>
  </si>
  <si>
    <t>PM Y SAT U. T.</t>
  </si>
  <si>
    <t>PROCLEAR SOCIEDAD ANONIMA</t>
  </si>
  <si>
    <t>PROSEYMAT SRL</t>
  </si>
  <si>
    <t>PROTEFILM S R L</t>
  </si>
  <si>
    <t>QUETAL S A</t>
  </si>
  <si>
    <t>RAUL GABRIEL RAMELLO</t>
  </si>
  <si>
    <t>RAVANNA S. R. L.</t>
  </si>
  <si>
    <t>RENOLIBRA S. R. L.</t>
  </si>
  <si>
    <t>REPUESTOS DEL SUR SA</t>
  </si>
  <si>
    <t>REYNALDO RAMIRO ROST</t>
  </si>
  <si>
    <t>RICARDO JAVIER MERCURI</t>
  </si>
  <si>
    <t>ROBERTO NAVARRETE</t>
  </si>
  <si>
    <t>ROMINA VANESA BOGEL MASSON</t>
  </si>
  <si>
    <t>ROSPAW SRL</t>
  </si>
  <si>
    <t>ROXANA MILAGROS SIMONETTI</t>
  </si>
  <si>
    <t>SAFER SYSTEMS SOUTH AMERICA S.A.</t>
  </si>
  <si>
    <t>SAIG S.A.</t>
  </si>
  <si>
    <t>SALTAPETROL SRL</t>
  </si>
  <si>
    <t>SANATORIO ESTRADA S. A.</t>
  </si>
  <si>
    <t>SARA BEATRIZ PIORNO</t>
  </si>
  <si>
    <t>SCAN-LAB  S.R.L.</t>
  </si>
  <si>
    <t>SEMENIUK MONTAJES Y SERVICIOS S.R.L.</t>
  </si>
  <si>
    <t>SERGIO DANIEL SELZLER</t>
  </si>
  <si>
    <t>SERGIO MARTIN MAYA</t>
  </si>
  <si>
    <t>SERGIO RAFAEL LEONARDO IMPAGLIAZZO</t>
  </si>
  <si>
    <t>SERVICIOS Y GESTION AGROPECUARIA LA ESPERANZA S A</t>
  </si>
  <si>
    <t>SIMALI SOCIEDAD ANONIMA</t>
  </si>
  <si>
    <t>SISTEMAS DE MANTENIMIENTO INTEGRAL S M I S A</t>
  </si>
  <si>
    <t>STORWELD S.R.L.</t>
  </si>
  <si>
    <t>STRATTON ARGENTINA  S A</t>
  </si>
  <si>
    <t>TECNOLOGIA INTEGRAL S.A.</t>
  </si>
  <si>
    <t>TECPETROL S A</t>
  </si>
  <si>
    <t>THERMALPAINT S.A</t>
  </si>
  <si>
    <t>TITANIUM REALTY S.R.L. S. R. L.</t>
  </si>
  <si>
    <t>TREVIAL S.R.L.</t>
  </si>
  <si>
    <t>TSM TERMOMECANICA SAN MARTIN SRL</t>
  </si>
  <si>
    <t>TURCUMAN HERMANOS SCC</t>
  </si>
  <si>
    <t>UNION VECINAL BARRIO LUGAR ESCONDIDO</t>
  </si>
  <si>
    <t>UTE Y PF TEC PETROL SA Y OTRAS AREA EL TORDILLO</t>
  </si>
  <si>
    <t>VAL ROD SRL</t>
  </si>
  <si>
    <t>VALENTIN SANDEZ</t>
  </si>
  <si>
    <t>VALISI S.R.L.</t>
  </si>
  <si>
    <t>VASSARO HNOS S.R.L.</t>
  </si>
  <si>
    <t>VAZTE S.A.S.</t>
  </si>
  <si>
    <t>VERDEAGUA HIDROPONIA S.R.L.</t>
  </si>
  <si>
    <t>VICTOR EZEQUIEL GARCIA</t>
  </si>
  <si>
    <t>VITAL CAMPO S.R.L.</t>
  </si>
  <si>
    <t>VITALCROPS  S.  A</t>
  </si>
  <si>
    <t>VITALPET S.A.</t>
  </si>
  <si>
    <t>VIVIANA TERESA PIAZZA</t>
  </si>
  <si>
    <t>VOGLIA CONSTRUCCIONES SRL</t>
  </si>
  <si>
    <t>WALTER PABLO GIL</t>
  </si>
  <si>
    <t>WINSTON WATER HEAT PUMP ARGENTINA S.A.</t>
  </si>
  <si>
    <t>ZADAR S.A.</t>
  </si>
  <si>
    <t>Según Pliego.</t>
  </si>
  <si>
    <t xml:space="preserve">Cuenta corriente 30 días fecha factura </t>
  </si>
  <si>
    <t>2459A 09</t>
  </si>
  <si>
    <t>2459A 10</t>
  </si>
  <si>
    <t>2459A 11</t>
  </si>
  <si>
    <t>2459A 12</t>
  </si>
  <si>
    <t>2459A 13</t>
  </si>
  <si>
    <t>2459A 14</t>
  </si>
  <si>
    <t>2459A 16</t>
  </si>
  <si>
    <t>Filtro "Y". Extremos bridados según ANSI B16.42 Class 150. Construcción en fundición nodular ASTM A536. Recubrimiento externo de pintura anticalórica. Tamiz en acero inoxidable AISI 304. Junta cuerpo / tapa en inoxidable + grafito. Tapón de purga con junta de cobre. Presión de trabajo máxima 250 PSI (17 bar). Temp. de trabajo -29ºC a 260ºC. Diametro 2".</t>
  </si>
  <si>
    <t>Filtro "Y". Extremos bridados según ANSI B16.42 Class 150. Construcción en fundición nodular ASTM A536. Recubrimiento externo de pintura anticalórica. Tamiz en acero inoxidable AISI 304. Junta cuerpo / tapa en inoxidable + grafito. Tapón de purga con junta de cobre. Presión de trabajo máxima 250 PSI (17 bar). Temp. de trabajo -29ºC a 260ºC. Diametro 2 1/2".</t>
  </si>
  <si>
    <t>Filtro "Y". Extremos bridados según ANSI B16.42 Class 150. Construcción en fundición nodular ASTM A536. Recubrimiento externo de pintura anticalórica. Tamiz en acero inoxidable AISI 304. Junta cuerpo / tapa en inoxidable + grafito. Tapón de purga con junta de cobre. Presión de trabajo máxima 250 PSI (17 bar). Temp. de trabajo -29ºC a 260ºC. Diametro 3".</t>
  </si>
  <si>
    <t>Filtro "Y". Extremos bridados según ANSI B16.42 Class 150. Construcción en fundición nodular ASTM A536. Recubrimiento externo de pintura anticalórica. Tamiz en acero inoxidable AISI 304. Junta cuerpo / tapa en inoxidable + grafito. Tapón de purga con junta de cobre. Presión de trabajo máxima 250 PSI (17 bar). Temp. de trabajo -29ºC a 260ºC. Diametro 4".</t>
  </si>
  <si>
    <t>Filtro "Y". Extremos bridados según ANSI B16.42 Class 150. Construcción en fundición nodular ASTM A536. Recubrimiento externo de pintura anticalórica. Tamiz en acero inoxidable AISI 304. Junta cuerpo / tapa en inoxidable + grafito. Tapón de purga con junta de cobre. Presión de trabajo máxima 250 PSI (17 bar). Temp. de trabajo -29ºC a 260ºC. Diametro 5".</t>
  </si>
  <si>
    <t>Filtro "Y". Extremos bridados según ANSI B16.42 Class 150. Construcción en fundición nodular ASTM A536. Recubrimiento externo de pintura anticalórica. Tamiz en acero inoxidable AISI 304. Junta cuerpo / tapa en inoxidable + grafito. Tapón de purga con junta de cobre. Presión de trabajo máxima 250 PSI (17 bar). Temp. de trabajo -29ºC a 260ºC. Diametro 6".</t>
  </si>
  <si>
    <t>Filtro "Y". Extremos bridados según ANSI B16.42 Class 150. Construcción en fundición nodular ASTM A536. Recubrimiento externo de pintura anticalórica. Tamiz en acero inoxidable AISI 304. Junta cuerpo / tapa en inoxidable + grafito. Tapón de purga con junta de cobre. Presión de trabajo máxima 250 PSI (17 bar). Temp. de trabajo -29ºC a 260ºC. Diametro 8".</t>
  </si>
  <si>
    <t>AC SAT  S. R. L.</t>
  </si>
  <si>
    <t>ACYKRO S. A.</t>
  </si>
  <si>
    <t>ADALBERTO CARLOS SINEGUB</t>
  </si>
  <si>
    <t>ADRIAN EDGARD ROSSINI</t>
  </si>
  <si>
    <t>ADRIANO ZAPPIA</t>
  </si>
  <si>
    <t>AGUAS DE FORMOSA S A</t>
  </si>
  <si>
    <t>ALEJANDRO ERNESTO JAACKS BALLESTER</t>
  </si>
  <si>
    <t>ALIVIA AUTOMATION</t>
  </si>
  <si>
    <t>ALSAL OBRAS Y SERVICIOS S.R.L.</t>
  </si>
  <si>
    <t>ANACON SA</t>
  </si>
  <si>
    <t>ANDRES VIGO &amp; ALEJANDRO ISLA - ARQUITECTOS S.H.</t>
  </si>
  <si>
    <t>ANTARES NAVIERA S. A. U.</t>
  </si>
  <si>
    <t>ANTONELA CARLINI</t>
  </si>
  <si>
    <t>ARIEL MARCELO MARTINEZ</t>
  </si>
  <si>
    <t>ATALAYA S.A.S.</t>
  </si>
  <si>
    <t>AUPRES S.R.L.</t>
  </si>
  <si>
    <t>AUTOMACION MICROMECANICA S A I C S. A.</t>
  </si>
  <si>
    <t>AWADA S.R.L.</t>
  </si>
  <si>
    <t>AYLEN YAZMIN TOMASELLO</t>
  </si>
  <si>
    <t>BAIRESTRON S.R.L.</t>
  </si>
  <si>
    <t>BARDA NEGRA S.R.L</t>
  </si>
  <si>
    <t>BENEFICIAL  GERMS S.A</t>
  </si>
  <si>
    <t>BENJAMIN DAVID PEDROZA</t>
  </si>
  <si>
    <t>BERNARDO DANIEL PITA</t>
  </si>
  <si>
    <t>BFTECHSOL S.R.L.</t>
  </si>
  <si>
    <t>BGT S.R.L</t>
  </si>
  <si>
    <t>BLUGMA S.R.L.</t>
  </si>
  <si>
    <t>BOCCO HNOS. S.A.S.</t>
  </si>
  <si>
    <t>BONCOR4 S.A.</t>
  </si>
  <si>
    <t>BROMETAN S R L</t>
  </si>
  <si>
    <t>CALTEC SRL</t>
  </si>
  <si>
    <t>CARLOS FERNANDO TAMBORNINI</t>
  </si>
  <si>
    <t>CARLOS MARTIN TORRES</t>
  </si>
  <si>
    <t>CENTRO DIAGNOSTICO VETERINARIO S. A.</t>
  </si>
  <si>
    <t>CENTROLIN S.R.L.</t>
  </si>
  <si>
    <t>CERRO MOCHO  S A</t>
  </si>
  <si>
    <t>CESAR CARDENAS</t>
  </si>
  <si>
    <t>CHRISTIAN LEONARDO JECKELN</t>
  </si>
  <si>
    <t>CINACINA SOCIEDAD ANONIMA</t>
  </si>
  <si>
    <t>CIRCULO VERDE S.R.L.</t>
  </si>
  <si>
    <t>CLAUDIO ALEJANDRO DE ANTONI</t>
  </si>
  <si>
    <t>CLAUSER S.R.L.</t>
  </si>
  <si>
    <t>CLINICA VIEDMA S A S. A.</t>
  </si>
  <si>
    <t>COALIX SA</t>
  </si>
  <si>
    <t>COMPLEJO ASTRONOMICO EL LEONCITO</t>
  </si>
  <si>
    <t>COMPRESSCO DE ARGENTINA SRL</t>
  </si>
  <si>
    <t>CONS. PROP. EDIFICIO CALLE 418 ROQUE SÁENZ PEÑA 2741  SÁENZ PEÑA, TRES DE FEBRERO, BS. AS.</t>
  </si>
  <si>
    <t>CONSORCIO DE PROPIETARIOS AVDA INDEPENDENCIA 3626 CAPITAL</t>
  </si>
  <si>
    <t>CONSORCIO DE PROPIETARIOS POSADAS 1301</t>
  </si>
  <si>
    <t>CONSORCIO EDIFICIO DOMO</t>
  </si>
  <si>
    <t>CONSORCIO PROPIETARIOS EDIFICIO CALLE TOMAS A LE BRETON 4940 DE LA CIUDAD DE BUENOS AIRES</t>
  </si>
  <si>
    <t>CONSTRUCTORA PABLO ROMERO S.A.</t>
  </si>
  <si>
    <t>CONTROL MONITOREO S.R.L.</t>
  </si>
  <si>
    <t>COOP DE TRABAJO 3 DE AGOSTO LTDA</t>
  </si>
  <si>
    <t>COOPERATIVA DE ELECTRICIDAD SERVICIO Y OBRAS PUBLICAS</t>
  </si>
  <si>
    <t>COOPERATIVA DE TRABAJO FRIGORIFICO J.J. GOMEZ LTDA</t>
  </si>
  <si>
    <t>CREA CLIMA S.A.S.</t>
  </si>
  <si>
    <t>CRISTIAN ALEJANDRO VERKUYL</t>
  </si>
  <si>
    <t>CRISTIAN RAMON SILVA</t>
  </si>
  <si>
    <t>CROSS ROAD LOGISTICA SA</t>
  </si>
  <si>
    <t>CRUCERO DEL NORTE SRL</t>
  </si>
  <si>
    <t>CRUCI S. R. L.</t>
  </si>
  <si>
    <t>DAFRE SA</t>
  </si>
  <si>
    <t>DANIEL BERNARDO CASAGRANDE</t>
  </si>
  <si>
    <t>DANIEL GERARDO PEREZ</t>
  </si>
  <si>
    <t>DANIEL HECTOR LAPASSET</t>
  </si>
  <si>
    <t>DEL SOL CONSTRUCTORA S.A.</t>
  </si>
  <si>
    <t>DELRE BENEDICTO NICOLAS S.R.L.</t>
  </si>
  <si>
    <t>DIEGER S.A.</t>
  </si>
  <si>
    <t>DIEGO ARIEL CALDENTEY</t>
  </si>
  <si>
    <t>DIEGO ARIEL SCHMIDT</t>
  </si>
  <si>
    <t>DIMOTEC SA</t>
  </si>
  <si>
    <t>DIPAR S.R.L.</t>
  </si>
  <si>
    <t>DIQUE POTRERILLOS S.A.</t>
  </si>
  <si>
    <t>ECOSUR BAHIA SOCIEDAD ANONIMA</t>
  </si>
  <si>
    <t>ECSA CONSULTING S.R.L.</t>
  </si>
  <si>
    <t>EDGARDO FABIAN MARCHIONE</t>
  </si>
  <si>
    <t>EDGARDO HORACIO FIORE</t>
  </si>
  <si>
    <t>EL PATAGONICO S.A</t>
  </si>
  <si>
    <t>EMEGE SERVICIOS PARA LA INDUSTRIA</t>
  </si>
  <si>
    <t>EMILIANO MARTIN CABRINO OYANARTE</t>
  </si>
  <si>
    <t>EMOVA MOVILIDAD S.A.</t>
  </si>
  <si>
    <t>F Y A SA SISTEMAS CONTRA INCENDIO</t>
  </si>
  <si>
    <t>FACILITY SERVICE SA</t>
  </si>
  <si>
    <t>FACUNDO EMMANUEL DIAZ</t>
  </si>
  <si>
    <t>FASTENER TOOLS S A</t>
  </si>
  <si>
    <t>FEDERICO BENJAMIN IANIRO</t>
  </si>
  <si>
    <t>FEMACAR S.R.L.</t>
  </si>
  <si>
    <t>FIDEICOMISO RUIZ HUIDOBRO 2378-2380</t>
  </si>
  <si>
    <t>FIDEICOMISO SENADOR MORON 2197 BELLA VISTA</t>
  </si>
  <si>
    <t>G. H.- S.R.L.</t>
  </si>
  <si>
    <t>GALDO TESISLER S. A.</t>
  </si>
  <si>
    <t>GEC DESARROLLO Y GESTION DE OBRAS Y SERVICIOS SAS</t>
  </si>
  <si>
    <t>GERARDO PABLO DEL VALLE</t>
  </si>
  <si>
    <t>GERMAN ANDRES PETRUZZI HERRERA</t>
  </si>
  <si>
    <t>GERMAN FEDERICO LERZO</t>
  </si>
  <si>
    <t>GISELLE MICAELA MAMANI PUMA</t>
  </si>
  <si>
    <t>GONZALO MARTIN OTTALAGANO</t>
  </si>
  <si>
    <t>GR FERRETERIA INDUSTRIAL S. CAP I SECC IV</t>
  </si>
  <si>
    <t>GRUPO COSENZA S.A</t>
  </si>
  <si>
    <t>GRUPO RIGEM S.A.</t>
  </si>
  <si>
    <t>GRUPOFAB S.R.L.</t>
  </si>
  <si>
    <t>GUILLERMO ARIEL GROSSO</t>
  </si>
  <si>
    <t>GUILLERMO DANIEL IGLESIAS</t>
  </si>
  <si>
    <t>GUILLERMO SEBASTIAN PITTERI</t>
  </si>
  <si>
    <t>GUSTAVO HERNAN MANTA</t>
  </si>
  <si>
    <t>GUSTAVO JAVIER LARROSA</t>
  </si>
  <si>
    <t>HARROW SA</t>
  </si>
  <si>
    <t>HASRUN SOLUCIONES EN ACERO LEY 19.550 CAPITULO I SECCION IV</t>
  </si>
  <si>
    <t>HECTOR SERGIO VIGNONI</t>
  </si>
  <si>
    <t>HERXON INGENIERIA SOCIEDAD DE RESPONSABILIDAD LIMITADA</t>
  </si>
  <si>
    <t>HOSPITAL CENTRAL</t>
  </si>
  <si>
    <t>IMAF S. A. S.</t>
  </si>
  <si>
    <t>IMCO S A</t>
  </si>
  <si>
    <t>INDUSTRIAS METALURGICAS STOESSEL S.A.</t>
  </si>
  <si>
    <t>INSTITUTO MADEDDU S.R.L.</t>
  </si>
  <si>
    <t>ION BEAM APPLICATIONS S.R.L.</t>
  </si>
  <si>
    <t>ITECH SOLUTIONS S.R.L.</t>
  </si>
  <si>
    <t>J C REFRIGERACION AIRE ACONDICIONADO S R L</t>
  </si>
  <si>
    <t>JAVIER JOSE ILARDO</t>
  </si>
  <si>
    <t>JORGE DANIEL GUTIS</t>
  </si>
  <si>
    <t>JORGE NICOLAS BATISTA</t>
  </si>
  <si>
    <t>JOSE ALBERTO D ELIA</t>
  </si>
  <si>
    <t>JOSE LUIS BERGARA</t>
  </si>
  <si>
    <t>JOSE MARIA VELAZQUEZ</t>
  </si>
  <si>
    <t>JULIO CESAR BALLARINI</t>
  </si>
  <si>
    <t>KUNZ CONSTRUCCIONES SRL</t>
  </si>
  <si>
    <t>LA NUEVA MANERA S.A</t>
  </si>
  <si>
    <t>LA SARITA S R L</t>
  </si>
  <si>
    <t>LABORATORIOS RICHMOND SACIF</t>
  </si>
  <si>
    <t>LAMP INVESTMENTS S.A.</t>
  </si>
  <si>
    <t>LAURA MARIELA GINSZPARG</t>
  </si>
  <si>
    <t>LAUREANO FAUSTO KUNIS</t>
  </si>
  <si>
    <t>LEANDRO GABRIEL FAZZARI</t>
  </si>
  <si>
    <t>LEONARDO GABRIEL CORONEL</t>
  </si>
  <si>
    <t>LEONARDO LUIS BARCAROLLO</t>
  </si>
  <si>
    <t>LIBRERIA Y ARTISTICA LA ESQUINA DE TRENQUE LAUQUEN S. R. L.</t>
  </si>
  <si>
    <t>LIMA MECANIZADOS S.R.L.</t>
  </si>
  <si>
    <t>LOGISTICA Y SERVICIOS INTEGRALES S.A.</t>
  </si>
  <si>
    <t>LUCAS MARTIN HEREDIA</t>
  </si>
  <si>
    <t>LUCAS MIGUEL MARLAIRE</t>
  </si>
  <si>
    <t>LUCIANA MONTECHIARINI</t>
  </si>
  <si>
    <t>LUIS LOSI S A</t>
  </si>
  <si>
    <t>MAD ARQUITECTOS S.R.L</t>
  </si>
  <si>
    <t>MAPIVIAL EQUIPOS SRL</t>
  </si>
  <si>
    <t>MARCELO FABIAN A PROZAPAS</t>
  </si>
  <si>
    <t>MARCELO RUBEN JUIZ</t>
  </si>
  <si>
    <t>MARCOS ANDRES LOUREIRO</t>
  </si>
  <si>
    <t>MARCOS JAVIER ACOSTA</t>
  </si>
  <si>
    <t>MARIA LAURA MONSALVO</t>
  </si>
  <si>
    <t>MARIA LORENA SANCHEZ</t>
  </si>
  <si>
    <t>MARIANA LORENA LOPEZ</t>
  </si>
  <si>
    <t>MARTIN ALEJANDRO SABBADINI</t>
  </si>
  <si>
    <t>MATIAS SEBAS LAURA</t>
  </si>
  <si>
    <t>MAURO ZAMPONE</t>
  </si>
  <si>
    <t>MAXIMILIANO RUBEN ARCE</t>
  </si>
  <si>
    <t>MEITNER ENERGY ARGENTINA S.A.S.</t>
  </si>
  <si>
    <t>MEPRONOA S R L</t>
  </si>
  <si>
    <t>METALES DEL TALAR S.A.</t>
  </si>
  <si>
    <t>METALURGICA PESADA SRL.</t>
  </si>
  <si>
    <t>MF INGENIERIA ELECTRICA S. R. L.</t>
  </si>
  <si>
    <t>MIGUEL ADOLFO MOYA</t>
  </si>
  <si>
    <t>MIICA S.A.</t>
  </si>
  <si>
    <t>MILTON GUSTAVO TOMAS PEREZ</t>
  </si>
  <si>
    <t>MORIXE HERMANOS SOCIEDAD ANONIMA COMERCIAL E INDUSTRIAL</t>
  </si>
  <si>
    <t>MUEBLES ORLANDI SRL</t>
  </si>
  <si>
    <t>MUNDO GENERADOR S.R.L.</t>
  </si>
  <si>
    <t>NOBLES DEL SUR S. A.</t>
  </si>
  <si>
    <t>NORIMASA OSANAI</t>
  </si>
  <si>
    <t>NUEVA AGUARIBAY  S. A.</t>
  </si>
  <si>
    <t>NUEVA ARIZONA SA</t>
  </si>
  <si>
    <t>OBRA COLOR SA</t>
  </si>
  <si>
    <t>OMAR FRANCISCO DEMARIA</t>
  </si>
  <si>
    <t>OSCAR FEDERICO CIRI</t>
  </si>
  <si>
    <t>OSCAR LUIS MULLER</t>
  </si>
  <si>
    <t>OSCAR RAMON PEVERENGO</t>
  </si>
  <si>
    <t>OXIGENO PATAGONIA S R L</t>
  </si>
  <si>
    <t>Pablo Raul Medina</t>
  </si>
  <si>
    <t>PANNUNZIO CONSTRUCCIONES SA</t>
  </si>
  <si>
    <t>PETRIMAC S. A.</t>
  </si>
  <si>
    <t>PIERNA DE JOTAS S.A.S.</t>
  </si>
  <si>
    <t>POLLO DE ORO S.A.</t>
  </si>
  <si>
    <t>POSCO ARGENTINA SAU</t>
  </si>
  <si>
    <t>PROCEPEZ S.A.</t>
  </si>
  <si>
    <t>QUEIJA S. A.</t>
  </si>
  <si>
    <t>QUIMAD SRL</t>
  </si>
  <si>
    <t>R. A. A. M.  REFINERIA ARGENTINA DE  ACEITES MINERALES SRL</t>
  </si>
  <si>
    <t>RAMIRO LUCIANO FERNANDEZ GINOCCHIO</t>
  </si>
  <si>
    <t>RAMON DANTE CRUZ SOCIEDAD DE RESPONSABILIDAD LIMITADA</t>
  </si>
  <si>
    <t>RAUL ANGEL MANFREDI</t>
  </si>
  <si>
    <t>RG SERVICIOS S.R.L.</t>
  </si>
  <si>
    <t>RICARDO LUIS LUGRIN</t>
  </si>
  <si>
    <t>RIGI - GALAN LITIO SDE</t>
  </si>
  <si>
    <t>RIVAN  SOCIEDAD ANONIMA</t>
  </si>
  <si>
    <t>ROBERTO ANDRES PECORARO</t>
  </si>
  <si>
    <t>ROBERTO EMIDIO GALLO Y MARIO ROBERTO GALLO</t>
  </si>
  <si>
    <t>ROBERTO LUIS JARUSZ</t>
  </si>
  <si>
    <t>RODOLFO MAXIMILIANO CEJAS</t>
  </si>
  <si>
    <t>RODRIGO JAVIER COLICCHIO</t>
  </si>
  <si>
    <t>ROJO HERMANOS S R L</t>
  </si>
  <si>
    <t>RUMBHLEGS S.A.</t>
  </si>
  <si>
    <t>RURAL REPUESTOS S A</t>
  </si>
  <si>
    <t>RUSSO DAMIAN R Y RUSSO LEONEL A</t>
  </si>
  <si>
    <t>RUTA - GAS S.R.L.</t>
  </si>
  <si>
    <t>S DE B S.R.L.</t>
  </si>
  <si>
    <t>SABORES DE CAÑUELAS S.R.L.</t>
  </si>
  <si>
    <t>SANATORIO SAN JOSE DE VILLA ELISA SA</t>
  </si>
  <si>
    <t>SANTIAGO JAVIER GARAY</t>
  </si>
  <si>
    <t>SERVCAS S.R.L.</t>
  </si>
  <si>
    <t>SERVICIO MEDICO VITAL S R L</t>
  </si>
  <si>
    <t>SERVICIOS HOSPITALARIOS SAN JUSTO S.A.</t>
  </si>
  <si>
    <t>SERVICIOS INSA BBP S.R.L</t>
  </si>
  <si>
    <t>SGS ARGENTINA SA</t>
  </si>
  <si>
    <t>SHULET S A</t>
  </si>
  <si>
    <t>SINTEC SOCIEDAD ANONIMA</t>
  </si>
  <si>
    <t>SOCIEDAD ANONIMA GANADERA Y COMERCIAL PE#AQUI</t>
  </si>
  <si>
    <t>SOYSAUCE SRL</t>
  </si>
  <si>
    <t>TEATRO NACIONAL CERVANTES</t>
  </si>
  <si>
    <t>TECNOELECTRICA SOCIEDAD ANONIMA</t>
  </si>
  <si>
    <t>TELVIDEO DIVISION MEDITEL S.R.L.</t>
  </si>
  <si>
    <t>THORBELL SRL</t>
  </si>
  <si>
    <t>TINTORERIA LA ESPAÑOLA SOCIEDAD ANONIMA</t>
  </si>
  <si>
    <t>TK VENTAS Y SERVICIOS S.R.L</t>
  </si>
  <si>
    <t>TOMIO INGENIERIA SA</t>
  </si>
  <si>
    <t>TRANS BOX S R L</t>
  </si>
  <si>
    <t>TRANSPORTES EL CHOLO SA</t>
  </si>
  <si>
    <t>TRANSPORTES FLUVIALES TRANSARIDOS SA</t>
  </si>
  <si>
    <t>TRES INDUSTRIAL EXPORT SOCIEDAD DE RESPONSABILIDAD LIMITADA</t>
  </si>
  <si>
    <t>TROFA SA</t>
  </si>
  <si>
    <t>TRONADOR SOCIEDAD ANONIMA COMERCIAL</t>
  </si>
  <si>
    <t>UNIVERSIDAD DE BUENOS AIRES</t>
  </si>
  <si>
    <t>UNIVERSIDAD NACIONAL DE LAS  ARTES</t>
  </si>
  <si>
    <t>UTENSILIOS ALTA COCINA S. A.</t>
  </si>
  <si>
    <t>VALVULAS PRECISION DE ARGENTINA S A C I</t>
  </si>
  <si>
    <t>VENTILACION TEVA SA</t>
  </si>
  <si>
    <t>VICTOR RENE CRUZ</t>
  </si>
  <si>
    <t>VIVEGEL S.A.</t>
  </si>
  <si>
    <t>WALTER CARLOS PISTOLESSI</t>
  </si>
  <si>
    <t>WICOTEX SA</t>
  </si>
  <si>
    <t>WILSON JESUS LAURA ALCOCER</t>
  </si>
  <si>
    <t>WPS  S. R. L.</t>
  </si>
  <si>
    <t>ZAVECOM SRL</t>
  </si>
  <si>
    <t>Válvula mariposa extremo soldar/soldar. Cuerpo: acero inoxidable AISI 316L.  Elastómero: EPDM. Extremos soldar/soldar. Presión máx. de trabajo 10 bar. Temp. máx. de 120ºC. Accionamiento manual: 3 posiciones.  Diámetro 1".</t>
  </si>
  <si>
    <t>Válvula mariposa extremo soldar/soldar. Cuerpo: acero inoxidable AISI 316L. Elastómero: EPDM. Extremos soldar/soldar. Presión máx. de trabajo 10 bar. Temp. máx. de 120ºC. Accionamiento manual: 3 posiciones.  Diámetro 1 1/4".</t>
  </si>
  <si>
    <t>Válvula mariposa extremo soldar/soldar. Cuerpo: acero inoxidable AISI 316L. Elastómero: EPDM. Extremos soldar/soldar. Presión máx. de trabajo 10 bar. Temp. máx. de 120ºC. Accionamiento manual: 3 posiciones.  Diámetro 1 1/2".</t>
  </si>
  <si>
    <t>Válvula mariposa extremo soldar/soldar. Cuerpo: acero inoxidable AISI 316L. Elastómero: EPDM. Extremos soldar/soldar. Presión máx. de trabajo 10 bar. Temp. máx. de 120ºC. Accionamiento manual: 3 posiciones.  Diámetro 2".</t>
  </si>
  <si>
    <t>Válvula mariposa extremo soldar/soldar. Cuerpo: acero inoxidable AISI 316L. Elastómero: EPDM. Extremos soldar/soldar. Presión máx. de trabajo 10 bar. Temp. máx. de 120ºC. Accionamiento manual: 3 posiciones.  Diámetro 2 1/2".</t>
  </si>
  <si>
    <t>Válvula mariposa extremo soldar/soldar. Cuerpo: acero inoxidable AISI 316L. Elastómero: EPDM. Extremos soldar/soldar. Presión máx. de trabajo 10 bar. Temp. máx. de 120ºC. Accionamiento manual: 3 posiciones.  Diámetro 3".</t>
  </si>
  <si>
    <t>Válvula mariposa extremo soldar/soldar. Cuerpo: acero inoxidable AISI 316L. Elastómero: EPDM. Extremos soldar/soldar. Presión máx. de trabajo 10 bar. Temp. máx. de 120ºC. Accionamiento manual: 3 posiciones.  Diámetro 4".</t>
  </si>
  <si>
    <t>3955 40</t>
  </si>
  <si>
    <t>3955 - Cinta “PTFE” 40 m de longitud 0,1 mm de espesor, 19 mm de ancho 0,54 g/cm3 de densidad. DIAMETRO 0,1x19x40</t>
  </si>
  <si>
    <t>ALEJANDRO CRIVELLARI</t>
  </si>
  <si>
    <t>AMERICAN PACK SRL</t>
  </si>
  <si>
    <t>ANTIGUAS ESTANCIAS DON ROBERTO S A</t>
  </si>
  <si>
    <t>ANTONIO ALFREDO ESQUITE</t>
  </si>
  <si>
    <t>AQUA FLOAT SOCIEDAD ANONIMA</t>
  </si>
  <si>
    <t>ASOCIACION ESPAÑOLA DE SOCORROS MUTUOS Y BENEFICENCIA DE LA PLATA</t>
  </si>
  <si>
    <t>BAIRESDOM SERVICIOS INDUSTRIALES S.R.L.</t>
  </si>
  <si>
    <t>BARCIA INDUSTRIA METALURGICA SRL</t>
  </si>
  <si>
    <t>BIM S. R. L.</t>
  </si>
  <si>
    <t>BLOCKENER S.A</t>
  </si>
  <si>
    <t>CALBI INSTALACIONES S.A</t>
  </si>
  <si>
    <t>CARLOS NORBERTO SOLA</t>
  </si>
  <si>
    <t>CEM INGENIERIA S. A.</t>
  </si>
  <si>
    <t>CERRAJERIA GIORDANO SOCIEDAD SIMPLE</t>
  </si>
  <si>
    <t>CERVEMUR S.A.S.</t>
  </si>
  <si>
    <t>CONALLISON SA</t>
  </si>
  <si>
    <t>CONCI DESARROLLOS S. A.</t>
  </si>
  <si>
    <t>CONDOMINIO CARLOS GARDEL 3131</t>
  </si>
  <si>
    <t>CONECTECH SA</t>
  </si>
  <si>
    <t>CONS DE COPROP EDIF MONTEVIDEO 1950</t>
  </si>
  <si>
    <t>CONSORCIO DE PROPIETARIOS AVDA DEL LIBERTADOR 4496</t>
  </si>
  <si>
    <t>CONSORCIO DE PROPIETARIOS DEL EDIFICIO VIVIENDAS GRAND BOURG II</t>
  </si>
  <si>
    <t>CONSORCIO PROP CHILE 1372</t>
  </si>
  <si>
    <t>CRISTIAN HUMBERTO SANITA</t>
  </si>
  <si>
    <t>DANIEL ESTEBAN IVALDI</t>
  </si>
  <si>
    <t>DEVELOP TECHNOLOGY</t>
  </si>
  <si>
    <t>DIEGO ALEJANDRO DIARTE</t>
  </si>
  <si>
    <t>DINTEC PRO S. R. L.</t>
  </si>
  <si>
    <t>DISTRIBUIDORA CRUCE EL SOL S. A. S.</t>
  </si>
  <si>
    <t>ECHEVERRIA DEL LAGO S. A.</t>
  </si>
  <si>
    <t>ECOKIT S.R.L.</t>
  </si>
  <si>
    <t>EDGARDO ARIEL PIZZICHINI</t>
  </si>
  <si>
    <t>EDUARDO AGUSTIN BARRIOS</t>
  </si>
  <si>
    <t>EDUARDO LEANDRO ESPINDOLA</t>
  </si>
  <si>
    <t>ENERGIA LIDER EN OBRAS Y NEGOCIOS</t>
  </si>
  <si>
    <t>ESPEL SA I C A</t>
  </si>
  <si>
    <t>FERROVIAS S A</t>
  </si>
  <si>
    <t>FIDEICOMISO PAMPEANO DE LOGISTICA HOSPITALARIA</t>
  </si>
  <si>
    <t>FRIGOLAR S. A.</t>
  </si>
  <si>
    <t>FUNDACION FUNDATEC FUNDACION UNIDAD ACADEMICA RIO GRANDE DE LA UNIVERSIDAD TECNOLOGICA NAC</t>
  </si>
  <si>
    <t>GABRIEL MARIA CRAVERO</t>
  </si>
  <si>
    <t>GABRIELA ANDREA BREIT</t>
  </si>
  <si>
    <t>Gabriela Andrea Breit</t>
  </si>
  <si>
    <t>GAIA HERMANOS SOCIEDAD ANONIMA</t>
  </si>
  <si>
    <t>GERARDO ENRIQUE FURLAN</t>
  </si>
  <si>
    <t>GILBERTO DENIS FRETES FERNANDEZ</t>
  </si>
  <si>
    <t>GRUPO MAILEX S.R.L.</t>
  </si>
  <si>
    <t>GRUV CONSTRUCCIONES Y SERVICIOS S. R. L.</t>
  </si>
  <si>
    <t>GUILLERMO JOFRE</t>
  </si>
  <si>
    <t>GUSTAVO OMAR PUCHIR</t>
  </si>
  <si>
    <t>IEM INGENIERIA EN MEDICIONES S. A. S.</t>
  </si>
  <si>
    <t>INDIGO BRANDING S.A.</t>
  </si>
  <si>
    <t>INTENSE LIFE SA</t>
  </si>
  <si>
    <t>JOHNSON ACERO S. A. INDUSTRIAL Y COMERCIAL</t>
  </si>
  <si>
    <t>JORGE LUIS MARTINEZ</t>
  </si>
  <si>
    <t>JOSE MARIA FERNANDEZ LAN</t>
  </si>
  <si>
    <t>JUAN MANUEL FORCHERIO</t>
  </si>
  <si>
    <t>KAIGEN  S.R.L.</t>
  </si>
  <si>
    <t>L ALLIANCE SA</t>
  </si>
  <si>
    <t>LABORATORIOS AMEREX ARGENTINA S A</t>
  </si>
  <si>
    <t>LAS UNICAS S.A.</t>
  </si>
  <si>
    <t>LAVADERO ANCA SA</t>
  </si>
  <si>
    <t>LUCAS DAMIAN SUREDA</t>
  </si>
  <si>
    <t>LUCAS MATIAS CHAPARRO</t>
  </si>
  <si>
    <t>MARCELO HERNAN FALCE</t>
  </si>
  <si>
    <t>MARIA PAULA LAGANA</t>
  </si>
  <si>
    <t>MARIA SOLEDAD BRAVO</t>
  </si>
  <si>
    <t>MATIAS BRUNO DIEZ</t>
  </si>
  <si>
    <t>MIGUEL ANGEL FARUOLO</t>
  </si>
  <si>
    <t>MILELE</t>
  </si>
  <si>
    <t>NAHUEL CARRASCO ISCAR</t>
  </si>
  <si>
    <t>NIBBLER S R L</t>
  </si>
  <si>
    <t>NUEVA EA S.R.L.</t>
  </si>
  <si>
    <t>PALLETS  S. R. L.</t>
  </si>
  <si>
    <t>PAOLA ELIZABETH EUGENI</t>
  </si>
  <si>
    <t>PATAGONIA INGENIERIA SA</t>
  </si>
  <si>
    <t>PRIDEMAX SOCIEDAD ANONIMA</t>
  </si>
  <si>
    <t>RADIONOVAS CARLOS A, RADIONOVAS SERGIO ALEJANDRO Y SOSA HECTOR RUBEN SH</t>
  </si>
  <si>
    <t>RAFAEL EDUARDO OBADIA ACOSTA</t>
  </si>
  <si>
    <t>RAMIRO ALBERTO DRUETTA</t>
  </si>
  <si>
    <t>ROSARIO S.R.L.</t>
  </si>
  <si>
    <t>RULEMANES CATRIEL 1976 S.A</t>
  </si>
  <si>
    <t>SAENEAS S.A.</t>
  </si>
  <si>
    <t>SANTUCHO E HIJOS S.R.L.</t>
  </si>
  <si>
    <t>SERGIO MAXIMILIANO QUINTERO</t>
  </si>
  <si>
    <t>SOLYON ARGENTINA SA</t>
  </si>
  <si>
    <t>STEPHANIE MONICA WANG</t>
  </si>
  <si>
    <t>T C 2000 DIAGNOSTICO POR IMAGENES SRL</t>
  </si>
  <si>
    <t>TECHNOA S. A. S.</t>
  </si>
  <si>
    <t>TRT S.A.</t>
  </si>
  <si>
    <t>VIRGINIA ANDREA MOSCON</t>
  </si>
  <si>
    <t>VIYILANT SRL</t>
  </si>
  <si>
    <t>WASHINGTON HOTEL S. A. U.</t>
  </si>
  <si>
    <t>ZINNOVA S.A.</t>
  </si>
  <si>
    <t>E-cheq a 30 días.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</si>
</sst>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 #,##0.00_-;_-* &quot;-&quot;??_-;_-@_-"/>
    <numFmt numFmtId="164" formatCode="_(* #,##0.00_);_(* \(#,##0.00\);_(* &quot;-&quot;??_);_(@_)"/>
    <numFmt numFmtId="165" formatCode="0.0%"/>
    <numFmt numFmtId="166" formatCode="0000"/>
    <numFmt numFmtId="167" formatCode="_-* #,##0.00\ _€_-;\-* #,##0.00\ _€_-;_-* &quot;-&quot;??\ _€_-;_-@_-"/>
    <numFmt numFmtId="168" formatCode="[$-2C0A]d&quot; de &quot;mmmm&quot; de &quot;yyyy;@"/>
    <numFmt numFmtId="169" formatCode="[$USD]\ #,##0.00"/>
  </numFmts>
  <fonts count="36" x14ac:knownFonts="1">
    <font>
      <sz val="11"/>
      <color theme="1"/>
      <name val="Calibri"/>
      <family val="2"/>
      <scheme val="minor"/>
    </font>
    <font>
      <b/>
      <sz val="11"/>
      <color theme="1"/>
      <name val="Calibri"/>
      <family val="2"/>
      <scheme val="minor"/>
    </font>
    <font>
      <sz val="11"/>
      <color theme="1"/>
      <name val="Calibri"/>
      <family val="2"/>
      <scheme val="minor"/>
    </font>
    <font>
      <sz val="11"/>
      <color rgb="FF0000FF"/>
      <name val="Calibri"/>
      <family val="2"/>
      <scheme val="minor"/>
    </font>
    <font>
      <sz val="11"/>
      <name val="Calibri"/>
      <family val="2"/>
      <scheme val="minor"/>
    </font>
    <font>
      <b/>
      <sz val="16"/>
      <color theme="0"/>
      <name val="Calibri"/>
      <family val="2"/>
      <scheme val="minor"/>
    </font>
    <font>
      <b/>
      <sz val="11"/>
      <name val="Calibri"/>
      <family val="2"/>
      <scheme val="minor"/>
    </font>
    <font>
      <i/>
      <sz val="11"/>
      <color theme="1"/>
      <name val="Calibri"/>
      <family val="2"/>
      <scheme val="minor"/>
    </font>
    <font>
      <sz val="12"/>
      <color theme="1"/>
      <name val="Calibri"/>
      <family val="2"/>
      <scheme val="minor"/>
    </font>
    <font>
      <sz val="11"/>
      <color theme="3"/>
      <name val="Calibri"/>
      <family val="2"/>
      <scheme val="minor"/>
    </font>
    <font>
      <sz val="10"/>
      <color theme="1"/>
      <name val="Calibri"/>
      <family val="2"/>
      <scheme val="minor"/>
    </font>
    <font>
      <b/>
      <sz val="11"/>
      <color theme="0"/>
      <name val="Calibri"/>
      <family val="2"/>
      <scheme val="minor"/>
    </font>
    <font>
      <b/>
      <sz val="12"/>
      <color theme="1"/>
      <name val="Calibri"/>
      <family val="2"/>
      <scheme val="minor"/>
    </font>
    <font>
      <sz val="10"/>
      <color theme="2" tint="-0.749961851863155"/>
      <name val="Calibri"/>
      <family val="2"/>
      <scheme val="minor"/>
    </font>
    <font>
      <u/>
      <sz val="11"/>
      <color theme="10"/>
      <name val="Calibri"/>
      <family val="2"/>
      <scheme val="minor"/>
    </font>
    <font>
      <b/>
      <sz val="10"/>
      <color theme="1"/>
      <name val="Calibri"/>
      <family val="2"/>
      <scheme val="minor"/>
    </font>
    <font>
      <sz val="8"/>
      <name val="Calibri"/>
      <family val="2"/>
      <scheme val="minor"/>
    </font>
    <font>
      <sz val="10"/>
      <name val="Arial"/>
      <family val="2"/>
    </font>
    <font>
      <b/>
      <sz val="9"/>
      <color theme="2" tint="-0.499984740745262"/>
      <name val="Calibri"/>
      <family val="2"/>
      <scheme val="minor"/>
    </font>
    <font>
      <b/>
      <i/>
      <sz val="9"/>
      <color theme="1" tint="0.34998626667073579"/>
      <name val="Calibri"/>
      <family val="2"/>
      <scheme val="minor"/>
    </font>
    <font>
      <b/>
      <sz val="11"/>
      <color theme="3"/>
      <name val="Calibri"/>
      <family val="2"/>
      <scheme val="minor"/>
    </font>
    <font>
      <sz val="10"/>
      <name val="Arial"/>
      <family val="2"/>
    </font>
    <font>
      <b/>
      <sz val="8"/>
      <color theme="0"/>
      <name val="Calibri"/>
      <family val="2"/>
      <scheme val="minor"/>
    </font>
    <font>
      <i/>
      <sz val="6"/>
      <color theme="0" tint="-0.499984740745262"/>
      <name val="Calibri"/>
      <family val="2"/>
      <scheme val="minor"/>
    </font>
    <font>
      <b/>
      <i/>
      <sz val="6"/>
      <color theme="0" tint="-0.499984740745262"/>
      <name val="Calibri"/>
      <family val="2"/>
      <scheme val="minor"/>
    </font>
    <font>
      <b/>
      <sz val="8"/>
      <name val="Calibri"/>
      <family val="2"/>
      <scheme val="minor"/>
    </font>
    <font>
      <i/>
      <sz val="11"/>
      <name val="Calibri"/>
      <family val="2"/>
      <scheme val="minor"/>
    </font>
    <font>
      <u/>
      <sz val="11"/>
      <color rgb="FF00B0F0"/>
      <name val="Calibri"/>
      <family val="2"/>
      <scheme val="minor"/>
    </font>
    <font>
      <sz val="9"/>
      <name val="Calibri"/>
      <family val="2"/>
      <scheme val="minor"/>
    </font>
    <font>
      <sz val="11"/>
      <color theme="0" tint="-0.499984740745262"/>
      <name val="Calibri"/>
      <family val="2"/>
      <scheme val="minor"/>
    </font>
    <font>
      <b/>
      <sz val="10"/>
      <color theme="2" tint="-0.749961851863155"/>
      <name val="Calibri"/>
      <family val="2"/>
      <scheme val="minor"/>
    </font>
    <font>
      <sz val="10"/>
      <name val="Calibri"/>
      <family val="2"/>
      <scheme val="minor"/>
    </font>
    <font>
      <b/>
      <sz val="12"/>
      <color theme="2" tint="-0.749961851863155"/>
      <name val="Calibri"/>
      <family val="2"/>
      <scheme val="minor"/>
    </font>
    <font>
      <b/>
      <u/>
      <sz val="14"/>
      <color theme="1"/>
      <name val="Calibri"/>
      <family val="2"/>
    </font>
    <font>
      <b/>
      <u/>
      <sz val="11"/>
      <color theme="1"/>
      <name val="Calibri"/>
      <family val="2"/>
      <scheme val="minor"/>
    </font>
    <font>
      <sz val="11"/>
      <color rgb="FF0000FF"/>
      <name val="Calibri"/>
      <family val="2"/>
      <scheme val="minor"/>
    </font>
  </fonts>
  <fills count="12">
    <fill>
      <patternFill patternType="none"/>
    </fill>
    <fill>
      <patternFill patternType="gray125"/>
    </fill>
    <fill>
      <patternFill patternType="solid">
        <fgColor theme="5"/>
        <bgColor indexed="64"/>
      </patternFill>
    </fill>
    <fill>
      <patternFill patternType="solid">
        <fgColor theme="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0070C0"/>
        <bgColor indexed="64"/>
      </patternFill>
    </fill>
    <fill>
      <patternFill patternType="solid">
        <fgColor theme="7" tint="0.39997558519241921"/>
        <bgColor indexed="64"/>
      </patternFill>
    </fill>
    <fill>
      <patternFill patternType="solid">
        <fgColor theme="4" tint="0.3999755851924192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top style="thin">
        <color indexed="64"/>
      </top>
      <bottom style="double">
        <color indexed="64"/>
      </bottom>
      <diagonal/>
    </border>
  </borders>
  <cellStyleXfs count="10">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0" fontId="2" fillId="0" borderId="0"/>
    <xf numFmtId="0" fontId="14" fillId="0" borderId="0" applyNumberFormat="0" applyFill="0" applyBorder="0" applyAlignment="0" applyProtection="0"/>
    <xf numFmtId="0" fontId="17" fillId="0" borderId="0"/>
    <xf numFmtId="0" fontId="21" fillId="0" borderId="0"/>
    <xf numFmtId="9" fontId="21" fillId="0" borderId="0" applyFont="0" applyFill="0" applyBorder="0" applyAlignment="0" applyProtection="0"/>
    <xf numFmtId="0" fontId="2" fillId="0" borderId="0"/>
  </cellStyleXfs>
  <cellXfs count="165">
    <xf numFmtId="0" fontId="0" fillId="0" borderId="0" xfId="0"/>
    <xf numFmtId="0" fontId="0" fillId="0" borderId="0" xfId="0" applyAlignment="1">
      <alignment horizontal="right" indent="1"/>
    </xf>
    <xf numFmtId="0" fontId="0" fillId="6" borderId="0" xfId="0" applyFill="1"/>
    <xf numFmtId="0" fontId="0" fillId="0" borderId="0" xfId="0" applyAlignment="1">
      <alignment horizontal="right"/>
    </xf>
    <xf numFmtId="0" fontId="0" fillId="0" borderId="1" xfId="0" applyBorder="1"/>
    <xf numFmtId="0" fontId="0" fillId="0" borderId="5" xfId="0" applyBorder="1"/>
    <xf numFmtId="0" fontId="14" fillId="0" borderId="4" xfId="5" applyBorder="1"/>
    <xf numFmtId="49" fontId="0" fillId="6" borderId="0" xfId="0" applyNumberFormat="1" applyFill="1"/>
    <xf numFmtId="0" fontId="11" fillId="3" borderId="12" xfId="0" applyFont="1" applyFill="1" applyBorder="1"/>
    <xf numFmtId="0" fontId="11" fillId="3" borderId="8" xfId="0" applyFont="1" applyFill="1" applyBorder="1"/>
    <xf numFmtId="0" fontId="11" fillId="3" borderId="9" xfId="0" applyFont="1" applyFill="1" applyBorder="1"/>
    <xf numFmtId="49" fontId="11" fillId="3" borderId="2" xfId="0" applyNumberFormat="1" applyFont="1" applyFill="1" applyBorder="1"/>
    <xf numFmtId="0" fontId="11" fillId="3" borderId="2" xfId="0" applyFont="1" applyFill="1" applyBorder="1"/>
    <xf numFmtId="0" fontId="0" fillId="0" borderId="3" xfId="0" applyBorder="1"/>
    <xf numFmtId="49" fontId="11" fillId="3" borderId="1" xfId="0" applyNumberFormat="1" applyFont="1" applyFill="1" applyBorder="1" applyAlignment="1">
      <alignment horizontal="left"/>
    </xf>
    <xf numFmtId="0" fontId="0" fillId="0" borderId="3" xfId="0" applyBorder="1" applyAlignment="1">
      <alignment horizontal="left"/>
    </xf>
    <xf numFmtId="49" fontId="0" fillId="6" borderId="0" xfId="0" applyNumberFormat="1" applyFill="1" applyAlignment="1">
      <alignment horizontal="left"/>
    </xf>
    <xf numFmtId="0" fontId="0" fillId="0" borderId="3" xfId="0" applyBorder="1" applyAlignment="1">
      <alignment horizontal="center"/>
    </xf>
    <xf numFmtId="165" fontId="3" fillId="0" borderId="3" xfId="2" applyNumberFormat="1" applyFont="1" applyBorder="1" applyAlignment="1">
      <alignment horizontal="center"/>
    </xf>
    <xf numFmtId="49" fontId="11" fillId="3" borderId="2" xfId="0" applyNumberFormat="1" applyFont="1" applyFill="1" applyBorder="1" applyAlignment="1">
      <alignment horizontal="center"/>
    </xf>
    <xf numFmtId="0" fontId="11" fillId="3" borderId="2" xfId="0" applyFont="1" applyFill="1" applyBorder="1" applyAlignment="1">
      <alignment horizontal="center"/>
    </xf>
    <xf numFmtId="0" fontId="0" fillId="0" borderId="6" xfId="0" applyBorder="1" applyAlignment="1">
      <alignment horizontal="left" indent="1"/>
    </xf>
    <xf numFmtId="0" fontId="3" fillId="0" borderId="0" xfId="0" applyFont="1" applyAlignment="1">
      <alignment horizontal="right"/>
    </xf>
    <xf numFmtId="0" fontId="1" fillId="0" borderId="6" xfId="0" applyFont="1" applyBorder="1" applyAlignment="1">
      <alignment horizontal="left" indent="1"/>
    </xf>
    <xf numFmtId="0" fontId="7" fillId="0" borderId="6" xfId="0" applyFont="1" applyBorder="1" applyAlignment="1">
      <alignment horizontal="left" indent="2"/>
    </xf>
    <xf numFmtId="0" fontId="4" fillId="0" borderId="6" xfId="0" applyFont="1" applyBorder="1" applyAlignment="1">
      <alignment horizontal="left" indent="1"/>
    </xf>
    <xf numFmtId="166" fontId="1" fillId="0" borderId="0" xfId="0" applyNumberFormat="1" applyFont="1" applyAlignment="1" applyProtection="1">
      <alignment horizontal="center"/>
      <protection hidden="1"/>
    </xf>
    <xf numFmtId="0" fontId="18" fillId="0" borderId="0" xfId="0" applyFont="1" applyAlignment="1" applyProtection="1">
      <alignment horizontal="center"/>
      <protection hidden="1"/>
    </xf>
    <xf numFmtId="0" fontId="0" fillId="0" borderId="0" xfId="0" applyProtection="1">
      <protection locked="0"/>
    </xf>
    <xf numFmtId="0" fontId="0" fillId="0" borderId="0" xfId="0" applyAlignment="1" applyProtection="1">
      <alignment horizontal="right"/>
      <protection locked="0"/>
    </xf>
    <xf numFmtId="0" fontId="12" fillId="0" borderId="0" xfId="0" applyFont="1" applyProtection="1">
      <protection locked="0"/>
    </xf>
    <xf numFmtId="168" fontId="0" fillId="0" borderId="0" xfId="0" applyNumberFormat="1" applyAlignment="1" applyProtection="1">
      <alignment horizontal="right"/>
      <protection locked="0"/>
    </xf>
    <xf numFmtId="0" fontId="13" fillId="0" borderId="0" xfId="0" applyFont="1" applyProtection="1">
      <protection locked="0"/>
    </xf>
    <xf numFmtId="0" fontId="0" fillId="0" borderId="0" xfId="0" applyAlignment="1" applyProtection="1">
      <alignment horizontal="left"/>
      <protection locked="0"/>
    </xf>
    <xf numFmtId="0" fontId="12" fillId="0" borderId="0" xfId="0" applyFont="1" applyAlignment="1" applyProtection="1">
      <alignment vertical="center"/>
      <protection locked="0"/>
    </xf>
    <xf numFmtId="0" fontId="8"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15" fillId="0" borderId="0" xfId="0" applyFont="1" applyProtection="1">
      <protection locked="0"/>
    </xf>
    <xf numFmtId="0" fontId="10" fillId="0" borderId="0" xfId="0" applyFont="1" applyProtection="1">
      <protection locked="0"/>
    </xf>
    <xf numFmtId="0" fontId="10" fillId="0" borderId="0" xfId="0" applyFont="1" applyAlignment="1" applyProtection="1">
      <alignment horizontal="right"/>
      <protection locked="0"/>
    </xf>
    <xf numFmtId="0" fontId="11" fillId="0" borderId="0" xfId="0" applyFont="1" applyAlignment="1" applyProtection="1">
      <alignment horizontal="center" vertical="center" wrapText="1"/>
      <protection hidden="1"/>
    </xf>
    <xf numFmtId="0" fontId="11" fillId="0" borderId="0" xfId="0" applyFont="1" applyAlignment="1" applyProtection="1">
      <alignment horizontal="left" vertical="center" wrapText="1" indent="1"/>
      <protection hidden="1"/>
    </xf>
    <xf numFmtId="3" fontId="0" fillId="0" borderId="3" xfId="0" quotePrefix="1" applyNumberFormat="1" applyBorder="1"/>
    <xf numFmtId="164" fontId="3" fillId="0" borderId="3" xfId="1" applyFont="1" applyBorder="1"/>
    <xf numFmtId="0" fontId="16" fillId="7" borderId="0" xfId="7" applyFont="1" applyFill="1" applyAlignment="1" applyProtection="1">
      <alignment vertical="center" wrapText="1"/>
      <protection hidden="1"/>
    </xf>
    <xf numFmtId="0" fontId="16" fillId="7" borderId="0" xfId="7" applyFont="1" applyFill="1" applyAlignment="1" applyProtection="1">
      <alignment horizontal="left" vertical="center" wrapText="1"/>
      <protection hidden="1"/>
    </xf>
    <xf numFmtId="0" fontId="16" fillId="7" borderId="0" xfId="7" applyFont="1" applyFill="1" applyAlignment="1" applyProtection="1">
      <alignment horizontal="center" vertical="center" wrapText="1"/>
      <protection hidden="1"/>
    </xf>
    <xf numFmtId="0" fontId="22" fillId="8" borderId="0" xfId="7" applyFont="1" applyFill="1" applyAlignment="1" applyProtection="1">
      <alignment horizontal="left" vertical="center" wrapText="1"/>
      <protection hidden="1"/>
    </xf>
    <xf numFmtId="0" fontId="23" fillId="0" borderId="0" xfId="7" applyFont="1" applyAlignment="1" applyProtection="1">
      <alignment vertical="center" wrapText="1"/>
      <protection hidden="1"/>
    </xf>
    <xf numFmtId="0" fontId="24" fillId="5" borderId="0" xfId="0" applyFont="1" applyFill="1" applyAlignment="1" applyProtection="1">
      <alignment vertical="center" wrapText="1"/>
      <protection hidden="1"/>
    </xf>
    <xf numFmtId="0" fontId="25" fillId="5" borderId="0" xfId="0" applyFont="1" applyFill="1" applyAlignment="1" applyProtection="1">
      <alignment horizontal="left" vertical="center" wrapText="1"/>
      <protection hidden="1"/>
    </xf>
    <xf numFmtId="0" fontId="25" fillId="5" borderId="0" xfId="0" applyFont="1" applyFill="1" applyAlignment="1" applyProtection="1">
      <alignment horizontal="center" vertical="center" wrapText="1"/>
      <protection hidden="1"/>
    </xf>
    <xf numFmtId="0" fontId="25" fillId="5" borderId="0" xfId="0" applyFont="1" applyFill="1" applyAlignment="1" applyProtection="1">
      <alignment horizontal="left" vertical="center" wrapText="1" indent="1"/>
      <protection hidden="1"/>
    </xf>
    <xf numFmtId="0" fontId="25" fillId="5" borderId="0" xfId="0" applyFont="1" applyFill="1" applyAlignment="1" applyProtection="1">
      <alignment vertical="center" wrapText="1"/>
      <protection hidden="1"/>
    </xf>
    <xf numFmtId="164" fontId="25" fillId="5" borderId="0" xfId="0" applyNumberFormat="1" applyFont="1" applyFill="1" applyAlignment="1" applyProtection="1">
      <alignment vertical="center" wrapText="1"/>
      <protection hidden="1"/>
    </xf>
    <xf numFmtId="9" fontId="25" fillId="5" borderId="0" xfId="0" applyNumberFormat="1" applyFont="1" applyFill="1" applyAlignment="1" applyProtection="1">
      <alignment horizontal="center" vertical="center" wrapText="1"/>
      <protection hidden="1"/>
    </xf>
    <xf numFmtId="0" fontId="21" fillId="7" borderId="0" xfId="7" applyFill="1" applyAlignment="1" applyProtection="1">
      <alignment horizontal="left"/>
      <protection hidden="1"/>
    </xf>
    <xf numFmtId="0" fontId="21" fillId="7" borderId="0" xfId="7" applyFill="1" applyProtection="1">
      <protection hidden="1"/>
    </xf>
    <xf numFmtId="0" fontId="16" fillId="0" borderId="0" xfId="0" applyFont="1" applyAlignment="1" applyProtection="1">
      <alignment horizontal="right" vertical="center" wrapText="1"/>
      <protection locked="0" hidden="1"/>
    </xf>
    <xf numFmtId="15" fontId="16" fillId="0" borderId="0" xfId="0" applyNumberFormat="1" applyFont="1" applyAlignment="1" applyProtection="1">
      <alignment horizontal="center" vertical="center" wrapText="1"/>
      <protection locked="0" hidden="1"/>
    </xf>
    <xf numFmtId="0" fontId="16" fillId="0" borderId="0" xfId="0" applyFont="1" applyAlignment="1" applyProtection="1">
      <alignment horizontal="left" vertical="center" wrapText="1" indent="1"/>
      <protection locked="0" hidden="1"/>
    </xf>
    <xf numFmtId="0" fontId="16" fillId="0" borderId="0" xfId="0" applyFont="1" applyAlignment="1" applyProtection="1">
      <alignment horizontal="center" vertical="center" wrapText="1"/>
      <protection locked="0" hidden="1"/>
    </xf>
    <xf numFmtId="0" fontId="16" fillId="0" borderId="0" xfId="0" applyFont="1" applyAlignment="1" applyProtection="1">
      <alignment vertical="center" wrapText="1"/>
      <protection locked="0" hidden="1"/>
    </xf>
    <xf numFmtId="164" fontId="16" fillId="0" borderId="0" xfId="1" applyFont="1" applyFill="1" applyBorder="1" applyAlignment="1" applyProtection="1">
      <alignment vertical="center" wrapText="1"/>
      <protection locked="0" hidden="1"/>
    </xf>
    <xf numFmtId="9" fontId="16" fillId="0" borderId="0" xfId="2" applyFont="1" applyFill="1" applyBorder="1" applyAlignment="1" applyProtection="1">
      <alignment horizontal="center" vertical="center" wrapText="1"/>
      <protection locked="0" hidden="1"/>
    </xf>
    <xf numFmtId="0" fontId="20" fillId="2" borderId="1" xfId="0" applyFont="1" applyFill="1" applyBorder="1" applyAlignment="1" applyProtection="1">
      <alignment horizontal="center"/>
      <protection locked="0"/>
    </xf>
    <xf numFmtId="0" fontId="22" fillId="0" borderId="0" xfId="7" applyFont="1" applyAlignment="1" applyProtection="1">
      <alignment horizontal="center" vertical="center" wrapText="1"/>
      <protection hidden="1"/>
    </xf>
    <xf numFmtId="0" fontId="26" fillId="0" borderId="6" xfId="0" applyFont="1" applyBorder="1" applyAlignment="1">
      <alignment horizontal="left" vertical="center" indent="2"/>
    </xf>
    <xf numFmtId="0" fontId="27" fillId="0" borderId="0" xfId="5" applyFont="1" applyProtection="1">
      <protection locked="0"/>
    </xf>
    <xf numFmtId="3" fontId="0" fillId="0" borderId="3" xfId="0" applyNumberFormat="1" applyBorder="1"/>
    <xf numFmtId="0" fontId="5" fillId="9" borderId="3" xfId="0" applyFont="1" applyFill="1" applyBorder="1" applyAlignment="1">
      <alignment vertical="center"/>
    </xf>
    <xf numFmtId="0" fontId="5" fillId="9" borderId="4" xfId="0" applyFont="1" applyFill="1" applyBorder="1" applyAlignment="1">
      <alignment horizontal="left" vertical="center" indent="1"/>
    </xf>
    <xf numFmtId="0" fontId="26" fillId="0" borderId="0" xfId="0" applyFont="1" applyAlignment="1">
      <alignment horizontal="left" vertical="center" indent="2"/>
    </xf>
    <xf numFmtId="0" fontId="1" fillId="0" borderId="0" xfId="0" applyFont="1"/>
    <xf numFmtId="0" fontId="0" fillId="0" borderId="0" xfId="0" applyAlignment="1">
      <alignment horizontal="left" indent="1"/>
    </xf>
    <xf numFmtId="0" fontId="4" fillId="0" borderId="0" xfId="0" applyFont="1" applyAlignment="1">
      <alignment horizontal="left" indent="1"/>
    </xf>
    <xf numFmtId="0" fontId="9" fillId="0" borderId="0" xfId="0" applyFont="1" applyAlignment="1" applyProtection="1">
      <alignment horizontal="center"/>
      <protection locked="0"/>
    </xf>
    <xf numFmtId="10" fontId="0" fillId="0" borderId="0" xfId="2" applyNumberFormat="1" applyFont="1"/>
    <xf numFmtId="0" fontId="6" fillId="0" borderId="0" xfId="0" applyFont="1" applyAlignment="1">
      <alignment horizontal="left" indent="1"/>
    </xf>
    <xf numFmtId="166" fontId="0" fillId="0" borderId="0" xfId="0" applyNumberFormat="1"/>
    <xf numFmtId="164" fontId="9" fillId="0" borderId="0" xfId="1" applyFont="1" applyFill="1" applyBorder="1" applyProtection="1">
      <protection locked="0" hidden="1"/>
    </xf>
    <xf numFmtId="43" fontId="0" fillId="0" borderId="14" xfId="0" applyNumberFormat="1" applyBorder="1"/>
    <xf numFmtId="43" fontId="1" fillId="0" borderId="3" xfId="0" applyNumberFormat="1" applyFont="1" applyBorder="1"/>
    <xf numFmtId="0" fontId="1" fillId="0" borderId="0" xfId="0" applyFont="1" applyAlignment="1">
      <alignment horizontal="left" indent="1"/>
    </xf>
    <xf numFmtId="164" fontId="1" fillId="0" borderId="3" xfId="0" applyNumberFormat="1" applyFont="1" applyBorder="1"/>
    <xf numFmtId="164" fontId="4" fillId="2" borderId="1" xfId="1" applyFont="1" applyFill="1" applyBorder="1" applyProtection="1">
      <protection locked="0" hidden="1"/>
    </xf>
    <xf numFmtId="166" fontId="4" fillId="2" borderId="1" xfId="0" applyNumberFormat="1" applyFont="1" applyFill="1" applyBorder="1" applyAlignment="1" applyProtection="1">
      <alignment horizontal="center"/>
      <protection locked="0"/>
    </xf>
    <xf numFmtId="49" fontId="4" fillId="2" borderId="1" xfId="0" applyNumberFormat="1" applyFont="1" applyFill="1" applyBorder="1" applyAlignment="1" applyProtection="1">
      <alignment horizontal="center"/>
      <protection locked="0"/>
    </xf>
    <xf numFmtId="0" fontId="0" fillId="2" borderId="10" xfId="0" applyFill="1" applyBorder="1"/>
    <xf numFmtId="0" fontId="0" fillId="2" borderId="12" xfId="0" applyFill="1" applyBorder="1"/>
    <xf numFmtId="17" fontId="0" fillId="2" borderId="1" xfId="0" quotePrefix="1" applyNumberFormat="1" applyFill="1" applyBorder="1" applyAlignment="1">
      <alignment horizontal="right" indent="1"/>
    </xf>
    <xf numFmtId="0" fontId="0" fillId="0" borderId="0" xfId="0" applyAlignment="1">
      <alignment horizontal="center" vertical="center"/>
    </xf>
    <xf numFmtId="0" fontId="10" fillId="0" borderId="6" xfId="0" applyFont="1" applyBorder="1" applyAlignment="1">
      <alignment horizontal="center" vertical="top"/>
    </xf>
    <xf numFmtId="0" fontId="10" fillId="0" borderId="0" xfId="0" applyFont="1" applyAlignment="1">
      <alignment horizontal="center" vertical="center"/>
    </xf>
    <xf numFmtId="0" fontId="0" fillId="0" borderId="8" xfId="0" applyBorder="1"/>
    <xf numFmtId="0" fontId="0" fillId="0" borderId="2" xfId="0" applyBorder="1"/>
    <xf numFmtId="0" fontId="0" fillId="0" borderId="9" xfId="0" applyBorder="1"/>
    <xf numFmtId="0" fontId="0" fillId="0" borderId="0" xfId="0" applyProtection="1">
      <protection hidden="1"/>
    </xf>
    <xf numFmtId="17" fontId="0" fillId="0" borderId="0" xfId="0" applyNumberFormat="1" applyProtection="1">
      <protection hidden="1"/>
    </xf>
    <xf numFmtId="0" fontId="1"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0" fontId="10" fillId="0" borderId="4" xfId="0" applyFont="1" applyBorder="1" applyAlignment="1">
      <alignment horizontal="center" vertical="top"/>
    </xf>
    <xf numFmtId="0" fontId="10" fillId="0" borderId="3" xfId="0" applyFont="1" applyBorder="1" applyAlignment="1">
      <alignment horizontal="center" vertical="center"/>
    </xf>
    <xf numFmtId="0" fontId="11" fillId="0" borderId="6" xfId="0" applyFont="1" applyBorder="1" applyAlignment="1" applyProtection="1">
      <alignment horizontal="center" vertical="center" wrapText="1"/>
      <protection hidden="1"/>
    </xf>
    <xf numFmtId="0" fontId="11" fillId="0" borderId="7" xfId="0" applyFont="1" applyBorder="1" applyAlignment="1" applyProtection="1">
      <alignment horizontal="center" vertical="center" wrapText="1"/>
      <protection hidden="1"/>
    </xf>
    <xf numFmtId="0" fontId="11" fillId="0" borderId="10" xfId="0" applyFont="1" applyBorder="1" applyAlignment="1" applyProtection="1">
      <alignment horizontal="center" vertical="center" wrapText="1"/>
      <protection hidden="1"/>
    </xf>
    <xf numFmtId="0" fontId="6" fillId="6" borderId="11" xfId="0" applyFont="1" applyFill="1" applyBorder="1" applyAlignment="1" applyProtection="1">
      <alignment horizontal="center" vertical="center" wrapText="1"/>
      <protection hidden="1"/>
    </xf>
    <xf numFmtId="0" fontId="4" fillId="0" borderId="0" xfId="0" applyFont="1"/>
    <xf numFmtId="0" fontId="19" fillId="4" borderId="1" xfId="0" applyFont="1" applyFill="1" applyBorder="1" applyAlignment="1" applyProtection="1">
      <alignment horizontal="center" vertical="center"/>
      <protection hidden="1"/>
    </xf>
    <xf numFmtId="0" fontId="19" fillId="10" borderId="1" xfId="0" applyFont="1" applyFill="1" applyBorder="1" applyAlignment="1" applyProtection="1">
      <alignment horizontal="center" vertical="center"/>
      <protection hidden="1"/>
    </xf>
    <xf numFmtId="0" fontId="19" fillId="0" borderId="1" xfId="0" applyFont="1" applyBorder="1" applyAlignment="1" applyProtection="1">
      <alignment horizontal="center" vertical="center"/>
      <protection hidden="1"/>
    </xf>
    <xf numFmtId="0" fontId="29" fillId="0" borderId="1" xfId="0" applyFont="1" applyBorder="1" applyAlignment="1">
      <alignment horizontal="center" vertical="top"/>
    </xf>
    <xf numFmtId="0" fontId="29" fillId="0" borderId="1" xfId="0" applyFont="1" applyBorder="1" applyAlignment="1">
      <alignment horizontal="left" vertical="top"/>
    </xf>
    <xf numFmtId="0" fontId="10" fillId="0" borderId="13" xfId="0" applyFont="1" applyBorder="1" applyAlignment="1">
      <alignment horizontal="center" vertical="center"/>
    </xf>
    <xf numFmtId="168" fontId="0" fillId="0" borderId="0" xfId="0" applyNumberFormat="1" applyProtection="1">
      <protection hidden="1"/>
    </xf>
    <xf numFmtId="0" fontId="32" fillId="0" borderId="0" xfId="0" applyFont="1" applyProtection="1">
      <protection hidden="1"/>
    </xf>
    <xf numFmtId="0" fontId="0" fillId="0" borderId="0" xfId="0" applyAlignment="1" applyProtection="1">
      <alignment horizontal="left" wrapText="1"/>
      <protection locked="0"/>
    </xf>
    <xf numFmtId="0" fontId="6" fillId="6" borderId="12" xfId="0" applyFont="1" applyFill="1" applyBorder="1" applyAlignment="1" applyProtection="1">
      <alignment horizontal="center" vertical="center" wrapText="1"/>
      <protection hidden="1"/>
    </xf>
    <xf numFmtId="0" fontId="12" fillId="0" borderId="0" xfId="0" applyFont="1" applyProtection="1">
      <protection hidden="1"/>
    </xf>
    <xf numFmtId="0" fontId="13" fillId="0" borderId="0" xfId="0" applyFont="1" applyProtection="1">
      <protection hidden="1"/>
    </xf>
    <xf numFmtId="0" fontId="30" fillId="0" borderId="0" xfId="0" applyFont="1" applyProtection="1">
      <protection hidden="1"/>
    </xf>
    <xf numFmtId="0" fontId="1" fillId="0" borderId="0" xfId="0" applyFont="1" applyAlignment="1" applyProtection="1">
      <alignment horizontal="left" vertical="center"/>
      <protection hidden="1"/>
    </xf>
    <xf numFmtId="0" fontId="0" fillId="0" borderId="2" xfId="0" applyBorder="1" applyProtection="1">
      <protection hidden="1"/>
    </xf>
    <xf numFmtId="0" fontId="0" fillId="0" borderId="2" xfId="0" applyBorder="1" applyAlignment="1" applyProtection="1">
      <alignment horizontal="center" vertical="center"/>
      <protection hidden="1"/>
    </xf>
    <xf numFmtId="0" fontId="10" fillId="0" borderId="3" xfId="0" applyFont="1" applyBorder="1" applyAlignment="1">
      <alignment horizontal="left" vertical="top" wrapText="1"/>
    </xf>
    <xf numFmtId="0" fontId="14" fillId="0" borderId="0" xfId="5" applyProtection="1">
      <protection locked="0"/>
    </xf>
    <xf numFmtId="17" fontId="32" fillId="0" borderId="0" xfId="0" applyNumberFormat="1" applyFont="1" applyProtection="1">
      <protection hidden="1"/>
    </xf>
    <xf numFmtId="17" fontId="0" fillId="2" borderId="1" xfId="0" quotePrefix="1" applyNumberFormat="1" applyFill="1" applyBorder="1" applyAlignment="1">
      <alignment horizontal="left" indent="1"/>
    </xf>
    <xf numFmtId="0" fontId="10" fillId="0" borderId="3" xfId="0" applyFont="1" applyBorder="1" applyAlignment="1">
      <alignment horizontal="center" vertical="top" wrapText="1"/>
    </xf>
    <xf numFmtId="0" fontId="1" fillId="0" borderId="0" xfId="0" applyFont="1" applyProtection="1">
      <protection locked="0"/>
    </xf>
    <xf numFmtId="0" fontId="0" fillId="0" borderId="1" xfId="0" applyBorder="1" applyAlignment="1">
      <alignment horizontal="left"/>
    </xf>
    <xf numFmtId="0" fontId="0" fillId="4" borderId="1" xfId="0" applyFill="1" applyBorder="1" applyAlignment="1">
      <alignment horizontal="left"/>
    </xf>
    <xf numFmtId="169" fontId="10" fillId="0" borderId="3" xfId="0" applyNumberFormat="1" applyFont="1" applyBorder="1" applyAlignment="1">
      <alignment horizontal="right" vertical="center"/>
    </xf>
    <xf numFmtId="169" fontId="10" fillId="0" borderId="0" xfId="0" applyNumberFormat="1" applyFont="1" applyAlignment="1">
      <alignment horizontal="right" vertical="center"/>
    </xf>
    <xf numFmtId="169" fontId="10" fillId="0" borderId="13" xfId="0" applyNumberFormat="1" applyFont="1" applyBorder="1" applyAlignment="1">
      <alignment horizontal="right" vertical="center"/>
    </xf>
    <xf numFmtId="169" fontId="15" fillId="6" borderId="3" xfId="0" applyNumberFormat="1" applyFont="1" applyFill="1" applyBorder="1" applyAlignment="1">
      <alignment horizontal="right" vertical="center"/>
    </xf>
    <xf numFmtId="0" fontId="0" fillId="0" borderId="0" xfId="0" applyAlignment="1">
      <alignment vertical="center"/>
    </xf>
    <xf numFmtId="0" fontId="10" fillId="0" borderId="5" xfId="0" applyFont="1" applyBorder="1" applyAlignment="1">
      <alignment horizontal="center" vertical="center" wrapText="1"/>
    </xf>
    <xf numFmtId="0" fontId="10" fillId="0" borderId="7" xfId="0" applyFont="1" applyBorder="1" applyAlignment="1">
      <alignment horizontal="center" vertical="center" wrapText="1"/>
    </xf>
    <xf numFmtId="0" fontId="0" fillId="0" borderId="0" xfId="0" applyAlignment="1">
      <alignment horizontal="center"/>
    </xf>
    <xf numFmtId="0" fontId="0" fillId="11" borderId="1" xfId="0" applyFill="1" applyBorder="1" applyAlignment="1">
      <alignment horizontal="left"/>
    </xf>
    <xf numFmtId="0" fontId="11" fillId="9" borderId="1" xfId="0" applyFont="1" applyFill="1" applyBorder="1" applyAlignment="1">
      <alignment horizontal="center" vertical="center"/>
    </xf>
    <xf numFmtId="0" fontId="11" fillId="9" borderId="0" xfId="0" applyFont="1" applyFill="1" applyAlignment="1">
      <alignment vertical="center"/>
    </xf>
    <xf numFmtId="0" fontId="11" fillId="9" borderId="0" xfId="0" applyFont="1" applyFill="1" applyAlignment="1">
      <alignment horizontal="center" vertical="center" wrapText="1"/>
    </xf>
    <xf numFmtId="0" fontId="11" fillId="9" borderId="0" xfId="0" applyFont="1" applyFill="1" applyAlignment="1">
      <alignment horizontal="center" vertical="center"/>
    </xf>
    <xf numFmtId="0" fontId="0" fillId="0" borderId="13" xfId="0" applyBorder="1"/>
    <xf numFmtId="0" fontId="0" fillId="0" borderId="3" xfId="0" quotePrefix="1" applyBorder="1" applyAlignment="1">
      <alignment horizontal="left"/>
    </xf>
    <xf numFmtId="3" fontId="4" fillId="2" borderId="1" xfId="0" applyNumberFormat="1" applyFont="1" applyFill="1" applyBorder="1"/>
    <xf numFmtId="1" fontId="28" fillId="2" borderId="1" xfId="0" applyNumberFormat="1" applyFont="1" applyFill="1" applyBorder="1" applyAlignment="1" applyProtection="1">
      <alignment horizontal="left" wrapText="1"/>
      <protection locked="0"/>
    </xf>
    <xf numFmtId="1" fontId="4" fillId="2" borderId="12" xfId="0" applyNumberFormat="1" applyFont="1" applyFill="1" applyBorder="1" applyAlignment="1" applyProtection="1">
      <alignment horizontal="center"/>
      <protection locked="0"/>
    </xf>
    <xf numFmtId="1" fontId="4" fillId="2" borderId="1" xfId="0" applyNumberFormat="1" applyFont="1" applyFill="1" applyBorder="1"/>
    <xf numFmtId="0" fontId="0" fillId="0" borderId="5" xfId="0" applyBorder="1" applyAlignment="1">
      <alignment horizontal="left"/>
    </xf>
    <xf numFmtId="164" fontId="3" fillId="0" borderId="3" xfId="1" applyFont="1" applyBorder="1" applyAlignment="1">
      <alignment horizontal="right"/>
    </xf>
    <xf numFmtId="164" fontId="35" fillId="0" borderId="3" xfId="1" applyFont="1" applyBorder="1"/>
    <xf numFmtId="0" fontId="0" fillId="11" borderId="0" xfId="0" applyFill="1"/>
    <xf numFmtId="0" fontId="4" fillId="11" borderId="0" xfId="0" applyFont="1" applyFill="1"/>
    <xf numFmtId="0" fontId="6" fillId="6" borderId="3" xfId="0" applyFont="1" applyFill="1" applyBorder="1" applyAlignment="1" applyProtection="1">
      <alignment horizontal="center" vertical="center" wrapText="1"/>
      <protection hidden="1"/>
    </xf>
    <xf numFmtId="0" fontId="0" fillId="0" borderId="0" xfId="0" applyAlignment="1" applyProtection="1">
      <alignment horizontal="left" vertical="top" wrapText="1"/>
      <protection locked="0"/>
    </xf>
    <xf numFmtId="0" fontId="0" fillId="0" borderId="0" xfId="0" applyAlignment="1" applyProtection="1">
      <alignment horizontal="left" wrapText="1"/>
      <protection locked="0"/>
    </xf>
    <xf numFmtId="168" fontId="0" fillId="0" borderId="0" xfId="0" applyNumberFormat="1" applyAlignment="1" applyProtection="1">
      <alignment horizontal="center"/>
      <protection hidden="1"/>
    </xf>
    <xf numFmtId="0" fontId="0" fillId="0" borderId="0" xfId="0" applyAlignment="1" applyProtection="1">
      <alignment horizontal="center"/>
      <protection hidden="1"/>
    </xf>
    <xf numFmtId="0" fontId="8" fillId="0" borderId="0" xfId="0" applyFont="1" applyAlignment="1" applyProtection="1">
      <alignment horizontal="left" vertical="center"/>
      <protection hidden="1"/>
    </xf>
    <xf numFmtId="0" fontId="0" fillId="0" borderId="0" xfId="0" applyAlignment="1" applyProtection="1">
      <alignment horizontal="left"/>
      <protection hidden="1"/>
    </xf>
    <xf numFmtId="0" fontId="0" fillId="0" borderId="0" xfId="0" applyAlignment="1" applyProtection="1">
      <alignment horizontal="left" vertical="center"/>
      <protection locked="0"/>
    </xf>
    <xf numFmtId="0" fontId="10" fillId="0" borderId="0" xfId="0" applyFont="1" applyAlignment="1" applyProtection="1">
      <alignment horizontal="left" vertical="top" wrapText="1"/>
      <protection locked="0"/>
    </xf>
  </cellXfs>
  <cellStyles count="10">
    <cellStyle name="Comma 2" xfId="3" xr:uid="{00000000-0005-0000-0000-000000000000}"/>
    <cellStyle name="Hipervínculo" xfId="5" builtinId="8"/>
    <cellStyle name="Millares" xfId="1" builtinId="3"/>
    <cellStyle name="Normal" xfId="0" builtinId="0"/>
    <cellStyle name="Normal 2" xfId="6" xr:uid="{00000000-0005-0000-0000-000004000000}"/>
    <cellStyle name="Normal 2 2" xfId="9" xr:uid="{00000000-0005-0000-0000-000005000000}"/>
    <cellStyle name="Normal 3" xfId="4" xr:uid="{00000000-0005-0000-0000-000006000000}"/>
    <cellStyle name="Normal 4" xfId="7" xr:uid="{00000000-0005-0000-0000-000007000000}"/>
    <cellStyle name="Porcentaje" xfId="2" builtinId="5"/>
    <cellStyle name="Porcentaje 2" xfId="8" xr:uid="{00000000-0005-0000-0000-000009000000}"/>
  </cellStyles>
  <dxfs count="68">
    <dxf>
      <fill>
        <patternFill>
          <bgColor theme="3" tint="0.79998168889431442"/>
        </patternFill>
      </fill>
    </dxf>
    <dxf>
      <fill>
        <patternFill>
          <bgColor theme="4" tint="0.79998168889431442"/>
        </patternFill>
      </fill>
    </dxf>
    <dxf>
      <font>
        <strike/>
        <color theme="0" tint="-0.34998626667073579"/>
      </font>
    </dxf>
    <dxf>
      <font>
        <b val="0"/>
        <i val="0"/>
        <strike val="0"/>
        <color theme="1" tint="0.34998626667073579"/>
      </font>
    </dxf>
    <dxf>
      <font>
        <b val="0"/>
        <i val="0"/>
        <color rgb="FF23BBA5"/>
      </font>
    </dxf>
    <dxf>
      <font>
        <b val="0"/>
        <i val="0"/>
        <strike val="0"/>
        <color theme="3"/>
      </font>
      <fill>
        <patternFill patternType="solid">
          <bgColor theme="3" tint="0.79998168889431442"/>
        </patternFill>
      </fill>
      <border>
        <left style="thin">
          <color theme="3"/>
        </left>
        <right style="thin">
          <color theme="3"/>
        </right>
        <top style="thin">
          <color theme="3"/>
        </top>
        <bottom style="thin">
          <color theme="3"/>
        </bottom>
      </border>
    </dxf>
    <dxf>
      <font>
        <b val="0"/>
        <i val="0"/>
        <strike val="0"/>
        <color theme="3"/>
      </font>
      <fill>
        <patternFill patternType="solid">
          <bgColor theme="3" tint="0.79998168889431442"/>
        </patternFill>
      </fill>
      <border>
        <left style="thin">
          <color theme="3"/>
        </left>
        <right style="thin">
          <color theme="3"/>
        </right>
        <top style="thin">
          <color theme="3"/>
        </top>
        <bottom style="thin">
          <color theme="3"/>
        </bottom>
      </border>
    </dxf>
    <dxf>
      <font>
        <b/>
        <i val="0"/>
        <strike val="0"/>
        <condense val="0"/>
        <extend val="0"/>
        <outline val="0"/>
        <shadow val="0"/>
        <u val="none"/>
        <vertAlign val="baseline"/>
        <sz val="8"/>
        <color auto="1"/>
        <name val="Calibri"/>
        <scheme val="minor"/>
      </font>
      <numFmt numFmtId="164" formatCode="_(* #,##0.00_);_(* \(#,##0.00\);_(* &quot;-&quot;??_);_(@_)"/>
      <fill>
        <patternFill patternType="solid">
          <fgColor indexed="64"/>
          <bgColor theme="4" tint="0.79998168889431442"/>
        </patternFill>
      </fill>
      <alignment horizontal="general" vertical="center" textRotation="0" wrapText="1" indent="0" justifyLastLine="0" shrinkToFit="0" readingOrder="0"/>
      <protection locked="1" hidden="1"/>
    </dxf>
    <dxf>
      <font>
        <strike val="0"/>
        <outline val="0"/>
        <shadow val="0"/>
        <u val="none"/>
        <vertAlign val="baseline"/>
        <sz val="8"/>
        <color auto="1"/>
        <name val="Calibri"/>
        <scheme val="minor"/>
      </font>
      <numFmt numFmtId="164" formatCode="_(* #,##0.00_);_(* \(#,##0.00\);_(* &quot;-&quot;??_);_(@_)"/>
      <protection locked="0" hidden="1"/>
    </dxf>
    <dxf>
      <font>
        <b/>
        <i val="0"/>
        <strike val="0"/>
        <condense val="0"/>
        <extend val="0"/>
        <outline val="0"/>
        <shadow val="0"/>
        <u val="none"/>
        <vertAlign val="baseline"/>
        <sz val="8"/>
        <color auto="1"/>
        <name val="Calibri"/>
        <scheme val="minor"/>
      </font>
      <numFmt numFmtId="13" formatCode="0%"/>
      <fill>
        <patternFill patternType="solid">
          <fgColor indexed="64"/>
          <bgColor theme="4" tint="0.79998168889431442"/>
        </patternFill>
      </fill>
      <alignment horizontal="center" vertical="center" textRotation="0" wrapText="1" indent="0" justifyLastLine="0" shrinkToFit="0" readingOrder="0"/>
      <protection locked="1" hidden="1"/>
    </dxf>
    <dxf>
      <font>
        <strike val="0"/>
        <outline val="0"/>
        <shadow val="0"/>
        <u val="none"/>
        <vertAlign val="baseline"/>
        <sz val="8"/>
        <color auto="1"/>
        <name val="Calibri"/>
        <scheme val="minor"/>
      </font>
      <numFmt numFmtId="13" formatCode="0%"/>
      <protection locked="0" hidden="1"/>
    </dxf>
    <dxf>
      <font>
        <b/>
        <i val="0"/>
        <strike val="0"/>
        <condense val="0"/>
        <extend val="0"/>
        <outline val="0"/>
        <shadow val="0"/>
        <u val="none"/>
        <vertAlign val="baseline"/>
        <sz val="8"/>
        <color auto="1"/>
        <name val="Calibri"/>
        <scheme val="minor"/>
      </font>
      <numFmt numFmtId="164" formatCode="_(* #,##0.00_);_(* \(#,##0.00\);_(* &quot;-&quot;??_);_(@_)"/>
      <fill>
        <patternFill patternType="solid">
          <fgColor indexed="64"/>
          <bgColor theme="4" tint="0.79998168889431442"/>
        </patternFill>
      </fill>
      <alignment horizontal="general" vertical="center" textRotation="0" wrapText="1" indent="0" justifyLastLine="0" shrinkToFit="0" readingOrder="0"/>
      <protection locked="1" hidden="1"/>
    </dxf>
    <dxf>
      <font>
        <strike val="0"/>
        <outline val="0"/>
        <shadow val="0"/>
        <u val="none"/>
        <vertAlign val="baseline"/>
        <sz val="8"/>
        <color auto="1"/>
        <name val="Calibri"/>
        <scheme val="minor"/>
      </font>
      <numFmt numFmtId="164" formatCode="_(* #,##0.00_);_(* \(#,##0.00\);_(* &quot;-&quot;??_);_(@_)"/>
      <protection locked="0" hidden="1"/>
    </dxf>
    <dxf>
      <font>
        <b/>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1" indent="0" justifyLastLine="0" shrinkToFit="0" readingOrder="0"/>
      <protection locked="1" hidden="1"/>
    </dxf>
    <dxf>
      <font>
        <strike val="0"/>
        <outline val="0"/>
        <shadow val="0"/>
        <u val="none"/>
        <vertAlign val="baseline"/>
        <sz val="8"/>
        <color auto="1"/>
        <name val="Calibri"/>
        <scheme val="minor"/>
      </font>
      <numFmt numFmtId="0" formatCode="General"/>
      <alignment horizontal="center" vertical="center" textRotation="0" wrapText="1" indent="0" justifyLastLine="0" shrinkToFit="0" readingOrder="0"/>
      <protection locked="0" hidden="1"/>
    </dxf>
    <dxf>
      <font>
        <b/>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general" vertical="center" textRotation="0" wrapText="1" indent="0" justifyLastLine="0" shrinkToFit="0" readingOrder="0"/>
      <protection locked="1" hidden="1"/>
    </dxf>
    <dxf>
      <font>
        <strike val="0"/>
        <outline val="0"/>
        <shadow val="0"/>
        <u val="none"/>
        <vertAlign val="baseline"/>
        <sz val="8"/>
        <color auto="1"/>
        <name val="Calibri"/>
        <scheme val="minor"/>
      </font>
      <numFmt numFmtId="0" formatCode="General"/>
      <protection locked="0" hidden="1"/>
    </dxf>
    <dxf>
      <font>
        <b/>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general" vertical="center" textRotation="0" wrapText="1" indent="0" justifyLastLine="0" shrinkToFit="0" readingOrder="0"/>
      <protection locked="1" hidden="1"/>
    </dxf>
    <dxf>
      <font>
        <strike val="0"/>
        <outline val="0"/>
        <shadow val="0"/>
        <u val="none"/>
        <vertAlign val="baseline"/>
        <sz val="8"/>
        <color auto="1"/>
        <name val="Calibri"/>
        <scheme val="minor"/>
      </font>
      <numFmt numFmtId="0" formatCode="General"/>
      <protection locked="0" hidden="1"/>
    </dxf>
    <dxf>
      <font>
        <b/>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general" vertical="center" textRotation="0" wrapText="1" indent="0" justifyLastLine="0" shrinkToFit="0" readingOrder="0"/>
      <protection locked="1" hidden="1"/>
    </dxf>
    <dxf>
      <font>
        <strike val="0"/>
        <outline val="0"/>
        <shadow val="0"/>
        <u val="none"/>
        <vertAlign val="baseline"/>
        <sz val="8"/>
        <color auto="1"/>
        <name val="Calibri"/>
        <scheme val="minor"/>
      </font>
      <numFmt numFmtId="0" formatCode="General"/>
      <protection locked="0" hidden="1"/>
    </dxf>
    <dxf>
      <font>
        <b/>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general" vertical="center" textRotation="0" wrapText="1" indent="0" justifyLastLine="0" shrinkToFit="0" readingOrder="0"/>
      <protection locked="1" hidden="1"/>
    </dxf>
    <dxf>
      <font>
        <strike val="0"/>
        <outline val="0"/>
        <shadow val="0"/>
        <u val="none"/>
        <vertAlign val="baseline"/>
        <sz val="8"/>
        <color auto="1"/>
        <name val="Calibri"/>
        <scheme val="minor"/>
      </font>
      <numFmt numFmtId="0" formatCode="General"/>
      <protection locked="0" hidden="1"/>
    </dxf>
    <dxf>
      <font>
        <b/>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general" vertical="center" textRotation="0" wrapText="1" indent="0" justifyLastLine="0" shrinkToFit="0" readingOrder="0"/>
      <protection locked="1" hidden="1"/>
    </dxf>
    <dxf>
      <font>
        <strike val="0"/>
        <outline val="0"/>
        <shadow val="0"/>
        <u val="none"/>
        <vertAlign val="baseline"/>
        <sz val="8"/>
        <color auto="1"/>
        <name val="Calibri"/>
        <scheme val="minor"/>
      </font>
      <numFmt numFmtId="0" formatCode="General"/>
      <protection locked="0" hidden="1"/>
    </dxf>
    <dxf>
      <font>
        <b/>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1" indent="0" justifyLastLine="0" shrinkToFit="0" readingOrder="0"/>
      <protection locked="1" hidden="1"/>
    </dxf>
    <dxf>
      <font>
        <strike val="0"/>
        <outline val="0"/>
        <shadow val="0"/>
        <u val="none"/>
        <vertAlign val="baseline"/>
        <sz val="8"/>
        <color auto="1"/>
        <name val="Calibri"/>
        <scheme val="minor"/>
      </font>
      <numFmt numFmtId="0" formatCode="General"/>
      <protection locked="0" hidden="1"/>
    </dxf>
    <dxf>
      <font>
        <b/>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left" vertical="center" textRotation="0" wrapText="1" indent="1" justifyLastLine="0" shrinkToFit="0" readingOrder="0"/>
      <protection locked="1" hidden="1"/>
    </dxf>
    <dxf>
      <font>
        <strike val="0"/>
        <outline val="0"/>
        <shadow val="0"/>
        <u val="none"/>
        <vertAlign val="baseline"/>
        <sz val="8"/>
        <color auto="1"/>
        <name val="Calibri"/>
        <scheme val="minor"/>
      </font>
      <numFmt numFmtId="0" formatCode="General"/>
      <protection locked="0" hidden="1"/>
    </dxf>
    <dxf>
      <font>
        <b/>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1" indent="0" justifyLastLine="0" shrinkToFit="0" readingOrder="0"/>
      <protection locked="1" hidden="1"/>
    </dxf>
    <dxf>
      <font>
        <strike val="0"/>
        <outline val="0"/>
        <shadow val="0"/>
        <u val="none"/>
        <vertAlign val="baseline"/>
        <sz val="8"/>
        <color auto="1"/>
        <name val="Calibri"/>
        <scheme val="minor"/>
      </font>
      <numFmt numFmtId="170" formatCode="d\-mmm\-yy"/>
      <protection locked="0" hidden="1"/>
    </dxf>
    <dxf>
      <font>
        <b/>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left" vertical="center" textRotation="0" wrapText="1" indent="0" justifyLastLine="0" shrinkToFit="0" readingOrder="0"/>
      <protection locked="1" hidden="1"/>
    </dxf>
    <dxf>
      <font>
        <strike val="0"/>
        <outline val="0"/>
        <shadow val="0"/>
        <u val="none"/>
        <vertAlign val="baseline"/>
        <sz val="8"/>
        <color auto="1"/>
        <name val="Calibri"/>
        <scheme val="minor"/>
      </font>
      <numFmt numFmtId="0" formatCode="General"/>
      <alignment horizontal="right" vertical="center" textRotation="0" wrapText="1" indent="0" justifyLastLine="0" shrinkToFit="0" readingOrder="0"/>
      <protection locked="0" hidden="1"/>
    </dxf>
    <dxf>
      <font>
        <b/>
        <i/>
        <strike val="0"/>
        <condense val="0"/>
        <extend val="0"/>
        <outline val="0"/>
        <shadow val="0"/>
        <u val="none"/>
        <vertAlign val="baseline"/>
        <sz val="6"/>
        <color theme="0" tint="-0.499984740745262"/>
        <name val="Calibri"/>
        <scheme val="minor"/>
      </font>
      <numFmt numFmtId="0" formatCode="General"/>
      <fill>
        <patternFill patternType="solid">
          <fgColor indexed="64"/>
          <bgColor theme="4" tint="0.79998168889431442"/>
        </patternFill>
      </fill>
      <alignment horizontal="general" vertical="center" textRotation="0" wrapText="1" indent="0" justifyLastLine="0" shrinkToFit="0" readingOrder="0"/>
      <border diagonalUp="0" diagonalDown="0" outline="0">
        <left/>
        <right/>
        <top/>
        <bottom/>
      </border>
      <protection locked="1" hidden="1"/>
    </dxf>
    <dxf>
      <font>
        <i/>
        <sz val="6"/>
        <color theme="0" tint="-0.499984740745262"/>
        <name val="Calibri"/>
        <scheme val="minor"/>
      </font>
      <numFmt numFmtId="0" formatCode="General"/>
      <fill>
        <patternFill patternType="none">
          <fgColor indexed="64"/>
          <bgColor indexed="65"/>
        </patternFill>
      </fill>
      <alignment horizontal="general" vertical="center" textRotation="0" wrapText="1" indent="0" justifyLastLine="0" shrinkToFit="0" readingOrder="0"/>
      <protection locked="1" hidden="1"/>
    </dxf>
    <dxf>
      <font>
        <b/>
      </font>
      <fill>
        <patternFill patternType="solid">
          <fgColor indexed="64"/>
          <bgColor theme="4" tint="0.79998168889431442"/>
        </patternFill>
      </fill>
      <protection locked="1" hidden="1"/>
    </dxf>
    <dxf>
      <border outline="0">
        <top style="thin">
          <color indexed="64"/>
        </top>
      </border>
    </dxf>
    <dxf>
      <font>
        <strike val="0"/>
        <outline val="0"/>
        <shadow val="0"/>
        <u val="none"/>
        <vertAlign val="baseline"/>
        <sz val="8"/>
        <color auto="1"/>
        <name val="Calibri"/>
        <scheme val="minor"/>
      </font>
      <fill>
        <patternFill patternType="none">
          <fgColor indexed="64"/>
          <bgColor auto="1"/>
        </patternFill>
      </fill>
      <alignment horizontal="general" vertical="center" textRotation="0" wrapText="1" indent="0" justifyLastLine="0" shrinkToFit="0" readingOrder="0"/>
      <protection locked="1" hidden="1"/>
    </dxf>
    <dxf>
      <border outline="0">
        <bottom style="thin">
          <color auto="1"/>
        </bottom>
      </border>
    </dxf>
    <dxf>
      <font>
        <b/>
        <i val="0"/>
        <strike val="0"/>
        <condense val="0"/>
        <extend val="0"/>
        <outline val="0"/>
        <shadow val="0"/>
        <u val="none"/>
        <vertAlign val="baseline"/>
        <sz val="8"/>
        <color theme="0"/>
        <name val="Calibri"/>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bottom/>
      </border>
      <protection locked="1" hidden="1"/>
    </dxf>
    <dxf>
      <font>
        <b val="0"/>
        <i val="0"/>
        <strike val="0"/>
        <condense val="0"/>
        <extend val="0"/>
        <outline val="0"/>
        <shadow val="0"/>
        <u val="none"/>
        <vertAlign val="baseline"/>
        <sz val="11"/>
        <color rgb="FF0000FF"/>
        <name val="Calibri"/>
        <scheme val="minor"/>
      </font>
      <numFmt numFmtId="165" formatCode="0.0%"/>
      <alignment horizontal="center" vertical="bottom" textRotation="0" wrapText="0" indent="0" justifyLastLine="0" shrinkToFit="0" readingOrder="0"/>
      <border diagonalUp="0" diagonalDown="0">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rgb="FF0000FF"/>
        <name val="Calibri"/>
        <scheme val="minor"/>
      </font>
      <numFmt numFmtId="164" formatCode="_(* #,##0.00_);_(* \(#,##0.00\);_(* &quot;-&quot;??_);_(@_)"/>
      <border diagonalUp="0" diagonalDown="0" outline="0">
        <left/>
        <right/>
        <top style="thin">
          <color indexed="64"/>
        </top>
        <bottom style="thin">
          <color indexed="64"/>
        </bottom>
      </border>
    </dxf>
    <dxf>
      <border diagonalUp="0" diagonalDown="0" outline="0">
        <left/>
        <right/>
        <top style="thin">
          <color indexed="64"/>
        </top>
        <bottom style="thin">
          <color indexed="64"/>
        </bottom>
      </border>
    </dxf>
    <dxf>
      <numFmt numFmtId="0" formatCode="General"/>
      <border diagonalUp="0" diagonalDown="0">
        <left/>
        <right/>
        <top style="thin">
          <color indexed="64"/>
        </top>
        <bottom style="thin">
          <color indexed="64"/>
        </bottom>
        <vertical/>
        <horizontal/>
      </border>
    </dxf>
    <dxf>
      <numFmt numFmtId="0" formatCode="General"/>
      <alignment horizontal="left" vertical="bottom" textRotation="0" wrapText="0" indent="0" justifyLastLine="0" shrinkToFit="0" readingOrder="0"/>
      <border diagonalUp="0" diagonalDown="0">
        <left/>
        <right/>
        <top style="thin">
          <color indexed="64"/>
        </top>
        <bottom style="thin">
          <color indexed="64"/>
        </bottom>
      </border>
    </dxf>
    <dxf>
      <numFmt numFmtId="0" formatCode="General"/>
      <border diagonalUp="0" diagonalDown="0">
        <left/>
        <right/>
        <top style="thin">
          <color indexed="64"/>
        </top>
        <bottom style="thin">
          <color indexed="64"/>
        </bottom>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strike val="0"/>
        <outline val="0"/>
        <shadow val="0"/>
        <u val="none"/>
        <vertAlign val="baseline"/>
        <sz val="11"/>
        <color theme="0"/>
        <name val="Calibri"/>
        <scheme val="minor"/>
      </font>
      <fill>
        <patternFill patternType="solid">
          <fgColor indexed="64"/>
          <bgColor theme="3"/>
        </patternFill>
      </fill>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strike val="0"/>
        <outline val="0"/>
        <shadow val="0"/>
        <u val="none"/>
        <vertAlign val="baseline"/>
        <sz val="11"/>
        <color theme="0"/>
        <name val="Calibri"/>
        <scheme val="minor"/>
      </font>
      <fill>
        <patternFill patternType="solid">
          <fgColor indexed="64"/>
          <bgColor theme="3"/>
        </patternFill>
      </fill>
      <border diagonalUp="0" diagonalDown="0" outline="0">
        <left style="thin">
          <color indexed="64"/>
        </left>
        <right style="thin">
          <color indexed="64"/>
        </right>
        <top/>
        <bottom/>
      </border>
    </dxf>
    <dxf>
      <fill>
        <patternFill>
          <bgColor theme="0" tint="-4.9989318521683403E-2"/>
        </patternFill>
      </fill>
    </dxf>
    <dxf>
      <font>
        <b/>
        <i val="0"/>
        <color theme="0"/>
      </font>
      <fill>
        <patternFill>
          <bgColor theme="3"/>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tint="-4.9989318521683403E-2"/>
        </patternFill>
      </fill>
    </dxf>
    <dxf>
      <font>
        <b/>
        <i val="0"/>
        <color theme="0"/>
      </font>
      <fill>
        <patternFill>
          <bgColor theme="3"/>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Turbigas" pivot="0" count="3" xr9:uid="{00000000-0011-0000-FFFF-FFFF00000000}">
      <tableStyleElement type="wholeTable" dxfId="67"/>
      <tableStyleElement type="headerRow" dxfId="66"/>
      <tableStyleElement type="secondRowStripe" dxfId="65"/>
    </tableStyle>
    <tableStyle name="Turbigas 2" pivot="0" count="3" xr9:uid="{017B6942-6F6A-4776-AF40-0CE60330BCAF}">
      <tableStyleElement type="wholeTable" dxfId="64"/>
      <tableStyleElement type="headerRow" dxfId="63"/>
      <tableStyleElement type="secondRowStripe" dxfId="62"/>
    </tableStyle>
  </tableStyles>
  <colors>
    <mruColors>
      <color rgb="FF3399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90646e99633e30d4/Dokumente/03_Turbigas/03_LESER/09_Clientes/Contrato%20Marco%20PAE/02%20Support%20Files/Contrato%20Marco_API%20526_v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Panel"/>
      <sheetName val="API 526"/>
      <sheetName val="Pedido de Precio"/>
      <sheetName val="Pricelist"/>
      <sheetName val="Stock"/>
      <sheetName val="Contrato Marco_API 526_v9"/>
    </sheetNames>
    <sheetDataSet>
      <sheetData sheetId="0">
        <row r="4">
          <cell r="C4">
            <v>0.80449999999999999</v>
          </cell>
        </row>
        <row r="8">
          <cell r="C8">
            <v>0.1</v>
          </cell>
        </row>
      </sheetData>
      <sheetData sheetId="1"/>
      <sheetData sheetId="2" refreshError="1"/>
      <sheetData sheetId="3" refreshError="1"/>
      <sheetData sheetId="4" refreshError="1"/>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Info_Contacto" displayName="Info_Contacto" ref="B2:D7" totalsRowShown="0" headerRowDxfId="61" headerRowBorderDxfId="60" tableBorderDxfId="59" totalsRowBorderDxfId="58">
  <autoFilter ref="B2:D7" xr:uid="{00000000-0009-0000-0100-000001000000}"/>
  <tableColumns count="3">
    <tableColumn id="1" xr3:uid="{00000000-0010-0000-0100-000001000000}" name="Contacto" dataDxfId="57"/>
    <tableColumn id="2" xr3:uid="{00000000-0010-0000-0100-000002000000}" name="Nombre Completo" dataDxfId="56"/>
    <tableColumn id="4" xr3:uid="{00000000-0010-0000-0100-000004000000}" name="e-mail" dataDxfId="5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Precios_Lista" displayName="Precios_Lista" ref="B2:F12926" totalsRowShown="0" headerRowDxfId="54" headerRowBorderDxfId="53" tableBorderDxfId="52" totalsRowBorderDxfId="51">
  <autoFilter ref="B2:F12926" xr:uid="{00000000-0009-0000-0100-000002000000}"/>
  <tableColumns count="5">
    <tableColumn id="13" xr3:uid="{00000000-0010-0000-0200-00000D000000}" name="Material" dataDxfId="50"/>
    <tableColumn id="2" xr3:uid="{00000000-0010-0000-0200-000002000000}" name="Marca" dataDxfId="49">
      <calculatedColumnFormula>INDEX(CA[Marca],MATCH(Precios_Lista[[#This Row],[Tipo]],CA[Tipo],0))</calculatedColumnFormula>
    </tableColumn>
    <tableColumn id="1" xr3:uid="{00000000-0010-0000-0200-000001000000}" name="Tipo" dataDxfId="48">
      <calculatedColumnFormula>IF(ISNUMBER(FIND("XXL",Precios_Lista[[#This Row],[Description]])),"XXL",LEFT(Precios_Lista[[#This Row],[Material]],3))</calculatedColumnFormula>
    </tableColumn>
    <tableColumn id="6" xr3:uid="{00000000-0010-0000-0200-000006000000}" name="Description" dataDxfId="47"/>
    <tableColumn id="7" xr3:uid="{00000000-0010-0000-0200-000007000000}" name="Precio_lista" dataDxfId="46" dataCellStyle="Millares"/>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CA" displayName="CA" ref="H2:J27" totalsRowShown="0" headerRowBorderDxfId="45" tableBorderDxfId="44" totalsRowBorderDxfId="43">
  <autoFilter ref="H2:J27" xr:uid="{00000000-0009-0000-0100-000005000000}"/>
  <tableColumns count="3">
    <tableColumn id="1" xr3:uid="{00000000-0010-0000-0300-000001000000}" name="Tipo" dataDxfId="42"/>
    <tableColumn id="2" xr3:uid="{00000000-0010-0000-0300-000002000000}" name="Marca" dataDxfId="41"/>
    <tableColumn id="3" xr3:uid="{00000000-0010-0000-0300-000003000000}" name="Desucento" dataDxfId="4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Ofertas" displayName="Ofertas" ref="B2:O8" totalsRowCount="1" headerRowDxfId="39" dataDxfId="37" totalsRowDxfId="35" headerRowBorderDxfId="38" tableBorderDxfId="36">
  <autoFilter ref="B2:O7" xr:uid="{00000000-0009-0000-0100-000007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9" xr3:uid="{00000000-0010-0000-0000-000013000000}" name="Prov_Desc" dataDxfId="34" totalsRowDxfId="33" dataCellStyle="Normal 4">
      <calculatedColumnFormula>IFERROR(INDEX(#REF!,MATCH(0,INDEX(COUNTIF($B$2:B2,#REF!),0,0),0)),"")</calculatedColumnFormula>
    </tableColumn>
    <tableColumn id="3" xr3:uid="{00000000-0010-0000-0000-000003000000}" name="N Oferta" dataDxfId="32" totalsRowDxfId="31">
      <calculatedColumnFormula>IF(Ofertas[[#This Row],[Prov_Desc]]="","",Ref_Turbigas)</calculatedColumnFormula>
    </tableColumn>
    <tableColumn id="1" xr3:uid="{00000000-0010-0000-0000-000001000000}" name="Fecha Oferta" dataDxfId="30" totalsRowDxfId="29">
      <calculatedColumnFormula>IF(Ofertas[[#This Row],[Prov_Desc]]="","",Fecha)</calculatedColumnFormula>
    </tableColumn>
    <tableColumn id="2" xr3:uid="{00000000-0010-0000-0000-000002000000}" name="Responsable" dataDxfId="28" totalsRowDxfId="27">
      <calculatedColumnFormula>IF(Ofertas[[#This Row],[Prov_Desc]]="","",Contacto_Turbigas)</calculatedColumnFormula>
    </tableColumn>
    <tableColumn id="4" xr3:uid="{00000000-0010-0000-0000-000004000000}" name="Rev." dataDxfId="26" totalsRowDxfId="25">
      <calculatedColumnFormula>IF(Ofertas[[#This Row],[Prov_Desc]]="","",Revision)</calculatedColumnFormula>
    </tableColumn>
    <tableColumn id="5" xr3:uid="{00000000-0010-0000-0000-000005000000}" name="Ref. Proveedor" dataDxfId="24" totalsRowDxfId="23">
      <calculatedColumnFormula>IF(Ofertas[[#This Row],[Prov_Desc]]="","",Ref_LESER)</calculatedColumnFormula>
    </tableColumn>
    <tableColumn id="7" xr3:uid="{00000000-0010-0000-0000-000007000000}" name="Proveedor" dataDxfId="22" totalsRowDxfId="21">
      <calculatedColumnFormula>IF(Ofertas[[#This Row],[Prov_Desc]]="","",LEFT(Ofertas[[#This Row],[Prov_Desc]],FIND("_",Ofertas[[#This Row],[Prov_Desc]])-1))</calculatedColumnFormula>
    </tableColumn>
    <tableColumn id="10" xr3:uid="{00000000-0010-0000-0000-00000A000000}" name="Descripcion" dataDxfId="20" totalsRowDxfId="19">
      <calculatedColumnFormula>IF(Ofertas[[#This Row],[Prov_Desc]]="","",RIGHT(Ofertas[[#This Row],[Prov_Desc]],LEN(Ofertas[[#This Row],[Prov_Desc]])-FIND("_",Ofertas[[#This Row],[Prov_Desc]])))</calculatedColumnFormula>
    </tableColumn>
    <tableColumn id="6" xr3:uid="{00000000-0010-0000-0000-000006000000}" name="Ref. Cliente" dataDxfId="18" totalsRowDxfId="17">
      <calculatedColumnFormula>IF(Ofertas[[#This Row],[Prov_Desc]]="","",Ref_Cliente)</calculatedColumnFormula>
    </tableColumn>
    <tableColumn id="8" xr3:uid="{00000000-0010-0000-0000-000008000000}" name="Cliente" dataDxfId="16" totalsRowDxfId="15">
      <calculatedColumnFormula>IF(Ofertas[[#This Row],[Prov_Desc]]="","",Cliente)</calculatedColumnFormula>
    </tableColumn>
    <tableColumn id="18" xr3:uid="{00000000-0010-0000-0000-000012000000}" name="Unidades" totalsRowFunction="sum" dataDxfId="14" totalsRowDxfId="13">
      <calculatedColumnFormula>IF(Ofertas[[#This Row],[Prov_Desc]]="","",SUMIF(#REF!,Ofertas[[#This Row],[Prov_Desc]],#REF!))</calculatedColumnFormula>
    </tableColumn>
    <tableColumn id="12" xr3:uid="{00000000-0010-0000-0000-00000C000000}" name="Valor Oferta" totalsRowFunction="sum" dataDxfId="12" totalsRowDxfId="11" dataCellStyle="Millares">
      <calculatedColumnFormula>IF(Ofertas[[#This Row],[Prov_Desc]]="","",SUMIF(#REF!,Ofertas[[#This Row],[Prov_Desc]],#REF!))</calculatedColumnFormula>
    </tableColumn>
    <tableColumn id="11" xr3:uid="{00000000-0010-0000-0000-00000B000000}" name="Beneficio" totalsRowFunction="average" dataDxfId="10" totalsRowDxfId="9" dataCellStyle="Porcentaje">
      <calculatedColumnFormula>IF(Ofertas[[#This Row],[Prov_Desc]]="","",Beneficio)</calculatedColumnFormula>
    </tableColumn>
    <tableColumn id="13" xr3:uid="{00000000-0010-0000-0000-00000D000000}" name="Costo Exw" totalsRowFunction="sum" dataDxfId="8" totalsRowDxfId="7" dataCellStyle="Millares">
      <calculatedColumnFormula>IF(Ofertas[[#This Row],[Prov_Desc]]="","",SUMIF(#REF!,Ofertas[[#This Row],[Prov_Desc]],#REF!))</calculatedColumnFormula>
    </tableColumn>
  </tableColumns>
  <tableStyleInfo name="Turbigas" showFirstColumn="0" showLastColumn="0" showRowStripes="1" showColumnStripes="0"/>
</table>
</file>

<file path=xl/theme/theme1.xml><?xml version="1.0" encoding="utf-8"?>
<a:theme xmlns:a="http://schemas.openxmlformats.org/drawingml/2006/main" name="Office Theme">
  <a:themeElements>
    <a:clrScheme name="Turbigas">
      <a:dk1>
        <a:sysClr val="windowText" lastClr="000000"/>
      </a:dk1>
      <a:lt1>
        <a:sysClr val="window" lastClr="FFFFFF"/>
      </a:lt1>
      <a:dk2>
        <a:srgbClr val="1C9684"/>
      </a:dk2>
      <a:lt2>
        <a:srgbClr val="E7E6E6"/>
      </a:lt2>
      <a:accent1>
        <a:srgbClr val="FF8724"/>
      </a:accent1>
      <a:accent2>
        <a:srgbClr val="FEF9EC"/>
      </a:accent2>
      <a:accent3>
        <a:srgbClr val="A5A5A5"/>
      </a:accent3>
      <a:accent4>
        <a:srgbClr val="FBC99B"/>
      </a:accent4>
      <a:accent5>
        <a:srgbClr val="22B49F"/>
      </a:accent5>
      <a:accent6>
        <a:srgbClr val="FFFFCC"/>
      </a:accent6>
      <a:hlink>
        <a:srgbClr val="167467"/>
      </a:hlink>
      <a:folHlink>
        <a:srgbClr val="B55A07"/>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val-ar.com.ar/" TargetMode="External"/><Relationship Id="rId1" Type="http://schemas.openxmlformats.org/officeDocument/2006/relationships/hyperlink" Target="mailto:ventas@val-ar.com.ar" TargetMode="Externa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ventas@val-ar.com.ar" TargetMode="External"/><Relationship Id="rId7" Type="http://schemas.openxmlformats.org/officeDocument/2006/relationships/table" Target="../tables/table1.xml"/><Relationship Id="rId2" Type="http://schemas.openxmlformats.org/officeDocument/2006/relationships/hyperlink" Target="mailto:ventas@val-ar.com.ar" TargetMode="External"/><Relationship Id="rId1" Type="http://schemas.openxmlformats.org/officeDocument/2006/relationships/hyperlink" Target="mailto:ventas@val-ar.com.ar" TargetMode="External"/><Relationship Id="rId6" Type="http://schemas.openxmlformats.org/officeDocument/2006/relationships/printerSettings" Target="../printerSettings/printerSettings4.bin"/><Relationship Id="rId5" Type="http://schemas.openxmlformats.org/officeDocument/2006/relationships/hyperlink" Target="mailto:ventas@val-ar.com.ar" TargetMode="External"/><Relationship Id="rId4" Type="http://schemas.openxmlformats.org/officeDocument/2006/relationships/hyperlink" Target="mailto:ventas@val-ar.com.ar"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U33"/>
  <sheetViews>
    <sheetView tabSelected="1" workbookViewId="0">
      <selection activeCell="C18" sqref="C18"/>
    </sheetView>
  </sheetViews>
  <sheetFormatPr baseColWidth="10" defaultColWidth="11.42578125" defaultRowHeight="15" x14ac:dyDescent="0.25"/>
  <cols>
    <col min="1" max="1" width="23.42578125" bestFit="1" customWidth="1"/>
    <col min="2" max="2" width="31" customWidth="1"/>
    <col min="3" max="3" width="13" customWidth="1"/>
    <col min="4" max="5" width="12.5703125" customWidth="1"/>
    <col min="7" max="7" width="11.7109375" bestFit="1" customWidth="1"/>
  </cols>
  <sheetData>
    <row r="1" spans="1:21" x14ac:dyDescent="0.25">
      <c r="A1" s="1" t="s">
        <v>0</v>
      </c>
      <c r="B1" s="127"/>
      <c r="C1" s="65"/>
    </row>
    <row r="2" spans="1:21" x14ac:dyDescent="0.25">
      <c r="A2" s="1" t="s">
        <v>1</v>
      </c>
      <c r="B2" s="90"/>
    </row>
    <row r="3" spans="1:21" x14ac:dyDescent="0.25">
      <c r="A3" s="74"/>
    </row>
    <row r="4" spans="1:21" ht="21" x14ac:dyDescent="0.25">
      <c r="A4" s="71" t="s">
        <v>2</v>
      </c>
      <c r="B4" s="70"/>
      <c r="C4" s="70"/>
      <c r="E4" s="79"/>
      <c r="F4" s="79"/>
      <c r="G4" s="79"/>
      <c r="H4" s="79"/>
    </row>
    <row r="5" spans="1:21" x14ac:dyDescent="0.25">
      <c r="A5" s="21"/>
      <c r="B5" s="22"/>
    </row>
    <row r="6" spans="1:21" x14ac:dyDescent="0.25">
      <c r="A6" s="23" t="s">
        <v>3</v>
      </c>
      <c r="B6" s="26">
        <v>10</v>
      </c>
      <c r="C6" s="26">
        <f t="shared" ref="C6:U6" si="0">IF(C7="",ROUND(B6,-1)+10,C7+1)</f>
        <v>20</v>
      </c>
      <c r="D6" s="26">
        <f t="shared" si="0"/>
        <v>30</v>
      </c>
      <c r="E6" s="26">
        <f t="shared" si="0"/>
        <v>40</v>
      </c>
      <c r="F6" s="26">
        <f t="shared" si="0"/>
        <v>50</v>
      </c>
      <c r="G6" s="26">
        <f t="shared" si="0"/>
        <v>60</v>
      </c>
      <c r="H6" s="26">
        <f t="shared" si="0"/>
        <v>70</v>
      </c>
      <c r="I6" s="26">
        <f t="shared" si="0"/>
        <v>80</v>
      </c>
      <c r="J6" s="26">
        <f t="shared" si="0"/>
        <v>90</v>
      </c>
      <c r="K6" s="26">
        <f t="shared" si="0"/>
        <v>100</v>
      </c>
      <c r="L6" s="26">
        <f t="shared" si="0"/>
        <v>110</v>
      </c>
      <c r="M6" s="26">
        <f t="shared" si="0"/>
        <v>120</v>
      </c>
      <c r="N6" s="26">
        <f t="shared" si="0"/>
        <v>130</v>
      </c>
      <c r="O6" s="26">
        <f t="shared" si="0"/>
        <v>140</v>
      </c>
      <c r="P6" s="26">
        <f t="shared" si="0"/>
        <v>150</v>
      </c>
      <c r="Q6" s="26">
        <f t="shared" si="0"/>
        <v>160</v>
      </c>
      <c r="R6" s="26">
        <f t="shared" si="0"/>
        <v>170</v>
      </c>
      <c r="S6" s="26">
        <f t="shared" si="0"/>
        <v>180</v>
      </c>
      <c r="T6" s="26">
        <f t="shared" si="0"/>
        <v>190</v>
      </c>
      <c r="U6" s="26">
        <f t="shared" si="0"/>
        <v>200</v>
      </c>
    </row>
    <row r="7" spans="1:21" x14ac:dyDescent="0.25">
      <c r="A7" s="24" t="s">
        <v>4</v>
      </c>
      <c r="B7" s="86"/>
      <c r="C7" s="86"/>
      <c r="D7" s="86"/>
      <c r="E7" s="86"/>
      <c r="F7" s="86"/>
      <c r="G7" s="86"/>
      <c r="H7" s="86"/>
      <c r="I7" s="86"/>
      <c r="J7" s="86"/>
      <c r="K7" s="86"/>
      <c r="L7" s="86"/>
      <c r="M7" s="86"/>
      <c r="N7" s="86"/>
      <c r="O7" s="86"/>
      <c r="P7" s="86"/>
      <c r="Q7" s="86"/>
      <c r="R7" s="86"/>
      <c r="S7" s="86"/>
      <c r="T7" s="86"/>
      <c r="U7" s="86"/>
    </row>
    <row r="8" spans="1:21" x14ac:dyDescent="0.25">
      <c r="A8" s="21" t="s">
        <v>5</v>
      </c>
      <c r="B8" s="147"/>
      <c r="C8" s="147"/>
      <c r="D8" s="147"/>
      <c r="E8" s="147"/>
      <c r="F8" s="147"/>
      <c r="G8" s="147"/>
      <c r="H8" s="147"/>
      <c r="I8" s="147"/>
      <c r="J8" s="147"/>
      <c r="K8" s="147"/>
      <c r="L8" s="147"/>
      <c r="M8" s="147"/>
      <c r="N8" s="147"/>
      <c r="O8" s="147"/>
      <c r="P8" s="147"/>
      <c r="Q8" s="147"/>
      <c r="R8" s="147"/>
      <c r="S8" s="147"/>
      <c r="T8" s="147"/>
      <c r="U8" s="147"/>
    </row>
    <row r="9" spans="1:21" x14ac:dyDescent="0.25">
      <c r="A9" s="67" t="s">
        <v>6</v>
      </c>
      <c r="B9" s="87"/>
      <c r="C9" s="87"/>
      <c r="D9" s="87"/>
      <c r="E9" s="87"/>
      <c r="F9" s="87"/>
      <c r="G9" s="87"/>
      <c r="H9" s="87"/>
      <c r="I9" s="87"/>
      <c r="J9" s="87"/>
      <c r="K9" s="87"/>
      <c r="L9" s="87"/>
      <c r="M9" s="87"/>
      <c r="N9" s="87"/>
      <c r="O9" s="87"/>
      <c r="P9" s="87"/>
      <c r="Q9" s="87"/>
      <c r="R9" s="87"/>
      <c r="S9" s="87"/>
      <c r="T9" s="87"/>
      <c r="U9" s="87"/>
    </row>
    <row r="10" spans="1:21" x14ac:dyDescent="0.25">
      <c r="A10" s="67" t="s">
        <v>7</v>
      </c>
      <c r="B10" s="148"/>
      <c r="C10" s="148"/>
      <c r="D10" s="148"/>
      <c r="E10" s="148"/>
      <c r="F10" s="148"/>
      <c r="G10" s="148"/>
      <c r="H10" s="148"/>
      <c r="I10" s="148"/>
      <c r="J10" s="148"/>
      <c r="K10" s="148"/>
      <c r="L10" s="148"/>
      <c r="M10" s="148"/>
      <c r="N10" s="148"/>
      <c r="O10" s="148"/>
      <c r="P10" s="148"/>
      <c r="Q10" s="148"/>
      <c r="R10" s="148"/>
      <c r="S10" s="148"/>
      <c r="T10" s="148"/>
      <c r="U10" s="148"/>
    </row>
    <row r="11" spans="1:21" x14ac:dyDescent="0.25">
      <c r="A11" s="67" t="s">
        <v>8</v>
      </c>
      <c r="B11" s="148"/>
      <c r="C11" s="148"/>
      <c r="D11" s="148"/>
      <c r="E11" s="148"/>
      <c r="F11" s="148"/>
      <c r="G11" s="148"/>
      <c r="H11" s="148"/>
      <c r="I11" s="148"/>
      <c r="J11" s="148"/>
      <c r="K11" s="148"/>
      <c r="L11" s="148"/>
      <c r="M11" s="148"/>
      <c r="N11" s="148"/>
      <c r="O11" s="148"/>
      <c r="P11" s="148"/>
      <c r="Q11" s="148"/>
      <c r="R11" s="148"/>
      <c r="S11" s="148"/>
      <c r="T11" s="148"/>
      <c r="U11" s="148"/>
    </row>
    <row r="12" spans="1:21" x14ac:dyDescent="0.25">
      <c r="A12" s="67" t="s">
        <v>9</v>
      </c>
      <c r="B12" s="148"/>
      <c r="C12" s="148"/>
      <c r="D12" s="148"/>
      <c r="E12" s="148"/>
      <c r="F12" s="148"/>
      <c r="G12" s="148"/>
      <c r="H12" s="148"/>
      <c r="I12" s="148"/>
      <c r="J12" s="148"/>
      <c r="K12" s="148"/>
      <c r="L12" s="148"/>
      <c r="M12" s="148"/>
      <c r="N12" s="148"/>
      <c r="O12" s="148"/>
      <c r="P12" s="148"/>
      <c r="Q12" s="148"/>
      <c r="R12" s="148"/>
      <c r="S12" s="148"/>
      <c r="T12" s="148"/>
      <c r="U12" s="148"/>
    </row>
    <row r="13" spans="1:21" x14ac:dyDescent="0.25">
      <c r="A13" s="67" t="s">
        <v>10</v>
      </c>
      <c r="B13" s="148"/>
      <c r="C13" s="148"/>
      <c r="D13" s="148"/>
      <c r="E13" s="148"/>
      <c r="F13" s="148"/>
      <c r="G13" s="148"/>
      <c r="H13" s="148"/>
      <c r="I13" s="148"/>
      <c r="J13" s="148"/>
      <c r="K13" s="148"/>
      <c r="L13" s="148"/>
      <c r="M13" s="148"/>
      <c r="N13" s="148"/>
      <c r="O13" s="148"/>
      <c r="P13" s="148"/>
      <c r="Q13" s="148"/>
      <c r="R13" s="148"/>
      <c r="S13" s="148"/>
      <c r="T13" s="148"/>
      <c r="U13" s="148"/>
    </row>
    <row r="14" spans="1:21" x14ac:dyDescent="0.25">
      <c r="A14" s="67" t="s">
        <v>11</v>
      </c>
      <c r="B14" s="148"/>
      <c r="C14" s="148"/>
      <c r="D14" s="148"/>
      <c r="E14" s="148"/>
      <c r="F14" s="148"/>
      <c r="G14" s="148"/>
      <c r="H14" s="148"/>
      <c r="I14" s="148"/>
      <c r="J14" s="148"/>
      <c r="K14" s="148"/>
      <c r="L14" s="148"/>
      <c r="M14" s="148"/>
      <c r="N14" s="148"/>
      <c r="O14" s="148"/>
      <c r="P14" s="148"/>
      <c r="Q14" s="148"/>
      <c r="R14" s="148"/>
      <c r="S14" s="148"/>
      <c r="T14" s="148"/>
      <c r="U14" s="148"/>
    </row>
    <row r="15" spans="1:21" x14ac:dyDescent="0.25">
      <c r="A15" s="25" t="s">
        <v>12</v>
      </c>
      <c r="B15" s="149"/>
      <c r="C15" s="149"/>
      <c r="D15" s="150"/>
      <c r="E15" s="150"/>
      <c r="F15" s="150"/>
      <c r="G15" s="150"/>
      <c r="H15" s="150"/>
      <c r="I15" s="150"/>
      <c r="J15" s="150"/>
      <c r="K15" s="150"/>
      <c r="L15" s="150"/>
      <c r="M15" s="150"/>
      <c r="N15" s="150"/>
      <c r="O15" s="150"/>
      <c r="P15" s="150"/>
      <c r="Q15" s="150"/>
      <c r="R15" s="150"/>
      <c r="S15" s="150"/>
      <c r="T15" s="150"/>
      <c r="U15" s="150"/>
    </row>
    <row r="16" spans="1:21" x14ac:dyDescent="0.25">
      <c r="A16" s="75"/>
      <c r="B16" s="76"/>
      <c r="C16" s="76"/>
    </row>
    <row r="17" spans="1:21" x14ac:dyDescent="0.25">
      <c r="A17" s="75"/>
      <c r="B17" s="76"/>
      <c r="C17" s="76"/>
    </row>
    <row r="18" spans="1:21" x14ac:dyDescent="0.25">
      <c r="A18" s="78" t="s">
        <v>13</v>
      </c>
      <c r="B18" s="27" t="str">
        <f>IF(B8="","",INDEX(Precios_Lista[[Marca]:[Precio_lista]],MATCH(B8,Precios_Lista[Material],),1))</f>
        <v/>
      </c>
      <c r="C18" s="27" t="str">
        <f>IF(C8="","",INDEX(Precios_Lista[[Marca]:[Precio_lista]],MATCH(C8,Precios_Lista[Material],),1))</f>
        <v/>
      </c>
      <c r="D18" s="27" t="str">
        <f>IF(D8="","",INDEX(Precios_Lista[[Marca]:[Precio_lista]],MATCH(D8,Precios_Lista[Material],),1))</f>
        <v/>
      </c>
      <c r="E18" s="27" t="str">
        <f>IF(E8="","",INDEX(Precios_Lista[[Marca]:[Precio_lista]],MATCH(E8,Precios_Lista[Material],),1))</f>
        <v/>
      </c>
      <c r="F18" s="27" t="str">
        <f>IF(F8="","",INDEX(Precios_Lista[[Marca]:[Precio_lista]],MATCH(F8,Precios_Lista[Material],),1))</f>
        <v/>
      </c>
      <c r="G18" s="27" t="str">
        <f>IF(G8="","",INDEX(Precios_Lista[[Marca]:[Precio_lista]],MATCH(G8,Precios_Lista[Material],),1))</f>
        <v/>
      </c>
      <c r="H18" s="27" t="str">
        <f>IF(H8="","",INDEX(Precios_Lista[[Marca]:[Precio_lista]],MATCH(H8,Precios_Lista[Material],),1))</f>
        <v/>
      </c>
      <c r="I18" s="27" t="str">
        <f>IF(I8="","",INDEX(Precios_Lista[[Marca]:[Precio_lista]],MATCH(I8,Precios_Lista[Material],),1))</f>
        <v/>
      </c>
      <c r="J18" s="27" t="str">
        <f>IF(J8="","",INDEX(Precios_Lista[[Marca]:[Precio_lista]],MATCH(J8,Precios_Lista[Material],),1))</f>
        <v/>
      </c>
      <c r="K18" s="27" t="str">
        <f>IF(K8="","",INDEX(Precios_Lista[[Marca]:[Precio_lista]],MATCH(K8,Precios_Lista[Material],),1))</f>
        <v/>
      </c>
      <c r="L18" s="27" t="str">
        <f>IF(L8="","",INDEX(Precios_Lista[[Marca]:[Precio_lista]],MATCH(L8,Precios_Lista[Material],),1))</f>
        <v/>
      </c>
      <c r="M18" s="27" t="str">
        <f>IF(M8="","",INDEX(Precios_Lista[[Marca]:[Precio_lista]],MATCH(M8,Precios_Lista[Material],),1))</f>
        <v/>
      </c>
      <c r="N18" s="27" t="str">
        <f>IF(N8="","",INDEX(Precios_Lista[[Marca]:[Precio_lista]],MATCH(N8,Precios_Lista[Material],),1))</f>
        <v/>
      </c>
      <c r="O18" s="27" t="str">
        <f>IF(O8="","",INDEX(Precios_Lista[[Marca]:[Precio_lista]],MATCH(O8,Precios_Lista[Material],),1))</f>
        <v/>
      </c>
      <c r="P18" s="27" t="str">
        <f>IF(P8="","",INDEX(Precios_Lista[[Marca]:[Precio_lista]],MATCH(P8,Precios_Lista[Material],),1))</f>
        <v/>
      </c>
      <c r="Q18" s="27" t="str">
        <f>IF(Q8="","",INDEX(Precios_Lista[[Marca]:[Precio_lista]],MATCH(Q8,Precios_Lista[Material],),1))</f>
        <v/>
      </c>
      <c r="R18" s="27" t="str">
        <f>IF(R8="","",INDEX(Precios_Lista[[Marca]:[Precio_lista]],MATCH(R8,Precios_Lista[Material],),1))</f>
        <v/>
      </c>
      <c r="S18" s="27" t="str">
        <f>IF(S8="","",INDEX(Precios_Lista[[Marca]:[Precio_lista]],MATCH(S8,Precios_Lista[Material],),1))</f>
        <v/>
      </c>
      <c r="T18" s="27" t="str">
        <f>IF(T8="","",INDEX(Precios_Lista[[Marca]:[Precio_lista]],MATCH(T8,Precios_Lista[Material],),1))</f>
        <v/>
      </c>
      <c r="U18" s="27" t="str">
        <f>IF(U8="","",INDEX(Precios_Lista[[Marca]:[Precio_lista]],MATCH(U8,Precios_Lista[Material],),1))</f>
        <v/>
      </c>
    </row>
    <row r="19" spans="1:21" x14ac:dyDescent="0.25">
      <c r="A19" s="72" t="s">
        <v>14</v>
      </c>
      <c r="B19" s="85" t="str">
        <f>IF(B8="","",INDEX(Precios_Lista[[Marca]:[Precio_lista]],MATCH(B8,Precios_Lista[Material],),4))</f>
        <v/>
      </c>
      <c r="C19" s="85" t="str">
        <f>IF(C8="","",INDEX(Precios_Lista[[Marca]:[Precio_lista]],MATCH(C8,Precios_Lista[Material],),4))</f>
        <v/>
      </c>
      <c r="D19" s="85" t="str">
        <f>IF(D8="","",INDEX(Precios_Lista[[Marca]:[Precio_lista]],MATCH(D8,Precios_Lista[Material],),4))</f>
        <v/>
      </c>
      <c r="E19" s="85" t="str">
        <f>IF(E8="","",INDEX(Precios_Lista[[Marca]:[Precio_lista]],MATCH(E8,Precios_Lista[Material],),4))</f>
        <v/>
      </c>
      <c r="F19" s="85" t="str">
        <f>IF(F8="","",INDEX(Precios_Lista[[Marca]:[Precio_lista]],MATCH(F8,Precios_Lista[Material],),4))</f>
        <v/>
      </c>
      <c r="G19" s="85" t="str">
        <f>IF(G8="","",INDEX(Precios_Lista[[Marca]:[Precio_lista]],MATCH(G8,Precios_Lista[Material],),4))</f>
        <v/>
      </c>
      <c r="H19" s="85" t="str">
        <f>IF(H8="","",INDEX(Precios_Lista[[Marca]:[Precio_lista]],MATCH(H8,Precios_Lista[Material],),4))</f>
        <v/>
      </c>
      <c r="I19" s="85" t="str">
        <f>IF(I8="","",INDEX(Precios_Lista[[Marca]:[Precio_lista]],MATCH(I8,Precios_Lista[Material],),4))</f>
        <v/>
      </c>
      <c r="J19" s="85" t="str">
        <f>IF(J8="","",INDEX(Precios_Lista[[Marca]:[Precio_lista]],MATCH(J8,Precios_Lista[Material],),4))</f>
        <v/>
      </c>
      <c r="K19" s="85" t="str">
        <f>IF(K8="","",INDEX(Precios_Lista[[Marca]:[Precio_lista]],MATCH(K8,Precios_Lista[Material],),4))</f>
        <v/>
      </c>
      <c r="L19" s="85" t="str">
        <f>IF(L8="","",INDEX(Precios_Lista[[Marca]:[Precio_lista]],MATCH(L8,Precios_Lista[Material],),4))</f>
        <v/>
      </c>
      <c r="M19" s="85" t="str">
        <f>IF(M8="","",INDEX(Precios_Lista[[Marca]:[Precio_lista]],MATCH(M8,Precios_Lista[Material],),4))</f>
        <v/>
      </c>
      <c r="N19" s="85" t="str">
        <f>IF(N8="","",INDEX(Precios_Lista[[Marca]:[Precio_lista]],MATCH(N8,Precios_Lista[Material],),4))</f>
        <v/>
      </c>
      <c r="O19" s="85" t="str">
        <f>IF(O8="","",INDEX(Precios_Lista[[Marca]:[Precio_lista]],MATCH(O8,Precios_Lista[Material],),4))</f>
        <v/>
      </c>
      <c r="P19" s="85" t="str">
        <f>IF(P8="","",INDEX(Precios_Lista[[Marca]:[Precio_lista]],MATCH(P8,Precios_Lista[Material],),4))</f>
        <v/>
      </c>
      <c r="Q19" s="85" t="str">
        <f>IF(Q8="","",INDEX(Precios_Lista[[Marca]:[Precio_lista]],MATCH(Q8,Precios_Lista[Material],),4))</f>
        <v/>
      </c>
      <c r="R19" s="85" t="str">
        <f>IF(R8="","",INDEX(Precios_Lista[[Marca]:[Precio_lista]],MATCH(R8,Precios_Lista[Material],),4))</f>
        <v/>
      </c>
      <c r="S19" s="85" t="str">
        <f>IF(S8="","",INDEX(Precios_Lista[[Marca]:[Precio_lista]],MATCH(S8,Precios_Lista[Material],),4))</f>
        <v/>
      </c>
      <c r="T19" s="85" t="str">
        <f>IF(T8="","",INDEX(Precios_Lista[[Marca]:[Precio_lista]],MATCH(T8,Precios_Lista[Material],),4))</f>
        <v/>
      </c>
      <c r="U19" s="85" t="str">
        <f>IF(U8="","",INDEX(Precios_Lista[[Marca]:[Precio_lista]],MATCH(U8,Precios_Lista[Material],),4))</f>
        <v/>
      </c>
    </row>
    <row r="20" spans="1:21" x14ac:dyDescent="0.25">
      <c r="A20" s="72" t="s">
        <v>15</v>
      </c>
      <c r="B20" s="85" t="str">
        <f>IF(B10="","",INDEX(Precios_Lista[[Marca]:[Precio_lista]],MATCH(B10,Precios_Lista[Material],),4))</f>
        <v/>
      </c>
      <c r="C20" s="85" t="str">
        <f>IF(C10="","",INDEX(Precios_Lista[[Marca]:[Precio_lista]],MATCH(C10,Precios_Lista[Material],),4))</f>
        <v/>
      </c>
      <c r="D20" s="85" t="str">
        <f>IF(D10="","",INDEX(Precios_Lista[[Marca]:[Precio_lista]],MATCH(D10,Precios_Lista[Material],),4))</f>
        <v/>
      </c>
      <c r="E20" s="85" t="str">
        <f>IF(E10="","",INDEX(Precios_Lista[[Marca]:[Precio_lista]],MATCH(E10,Precios_Lista[Material],),4))</f>
        <v/>
      </c>
      <c r="F20" s="85" t="str">
        <f>IF(F10="","",INDEX(Precios_Lista[[Marca]:[Precio_lista]],MATCH(F10,Precios_Lista[Material],),4))</f>
        <v/>
      </c>
      <c r="G20" s="85" t="str">
        <f>IF(G10="","",INDEX(Precios_Lista[[Marca]:[Precio_lista]],MATCH(G10,Precios_Lista[Material],),4))</f>
        <v/>
      </c>
      <c r="H20" s="85" t="str">
        <f>IF(H10="","",INDEX(Precios_Lista[[Marca]:[Precio_lista]],MATCH(H10,Precios_Lista[Material],),4))</f>
        <v/>
      </c>
      <c r="I20" s="85" t="str">
        <f>IF(I10="","",INDEX(Precios_Lista[[Marca]:[Precio_lista]],MATCH(I10,Precios_Lista[Material],),4))</f>
        <v/>
      </c>
      <c r="J20" s="85" t="str">
        <f>IF(J10="","",INDEX(Precios_Lista[[Marca]:[Precio_lista]],MATCH(J10,Precios_Lista[Material],),4))</f>
        <v/>
      </c>
      <c r="K20" s="85" t="str">
        <f>IF(K10="","",INDEX(Precios_Lista[[Marca]:[Precio_lista]],MATCH(K10,Precios_Lista[Material],),4))</f>
        <v/>
      </c>
      <c r="L20" s="85" t="str">
        <f>IF(L10="","",INDEX(Precios_Lista[[Marca]:[Precio_lista]],MATCH(L10,Precios_Lista[Material],),4))</f>
        <v/>
      </c>
      <c r="M20" s="85" t="str">
        <f>IF(M10="","",INDEX(Precios_Lista[[Marca]:[Precio_lista]],MATCH(M10,Precios_Lista[Material],),4))</f>
        <v/>
      </c>
      <c r="N20" s="85" t="str">
        <f>IF(N10="","",INDEX(Precios_Lista[[Marca]:[Precio_lista]],MATCH(N10,Precios_Lista[Material],),4))</f>
        <v/>
      </c>
      <c r="O20" s="85" t="str">
        <f>IF(O10="","",INDEX(Precios_Lista[[Marca]:[Precio_lista]],MATCH(O10,Precios_Lista[Material],),4))</f>
        <v/>
      </c>
      <c r="P20" s="85" t="str">
        <f>IF(P10="","",INDEX(Precios_Lista[[Marca]:[Precio_lista]],MATCH(P10,Precios_Lista[Material],),4))</f>
        <v/>
      </c>
      <c r="Q20" s="85" t="str">
        <f>IF(Q10="","",INDEX(Precios_Lista[[Marca]:[Precio_lista]],MATCH(Q10,Precios_Lista[Material],),4))</f>
        <v/>
      </c>
      <c r="R20" s="85" t="str">
        <f>IF(R10="","",INDEX(Precios_Lista[[Marca]:[Precio_lista]],MATCH(R10,Precios_Lista[Material],),4))</f>
        <v/>
      </c>
      <c r="S20" s="85" t="str">
        <f>IF(S10="","",INDEX(Precios_Lista[[Marca]:[Precio_lista]],MATCH(S10,Precios_Lista[Material],),4))</f>
        <v/>
      </c>
      <c r="T20" s="85" t="str">
        <f>IF(T10="","",INDEX(Precios_Lista[[Marca]:[Precio_lista]],MATCH(T10,Precios_Lista[Material],),4))</f>
        <v/>
      </c>
      <c r="U20" s="85" t="str">
        <f>IF(U10="","",INDEX(Precios_Lista[[Marca]:[Precio_lista]],MATCH(U10,Precios_Lista[Material],),4))</f>
        <v/>
      </c>
    </row>
    <row r="21" spans="1:21" x14ac:dyDescent="0.25">
      <c r="A21" s="72" t="s">
        <v>16</v>
      </c>
      <c r="B21" s="85" t="str">
        <f>IF(B11="","",INDEX(Precios_Lista[[Marca]:[Precio_lista]],MATCH(B11,Precios_Lista[Material],),4))</f>
        <v/>
      </c>
      <c r="C21" s="85" t="str">
        <f>IF(C11="","",INDEX(Precios_Lista[[Marca]:[Precio_lista]],MATCH(C11,Precios_Lista[Material],),4))</f>
        <v/>
      </c>
      <c r="D21" s="85" t="str">
        <f>IF(D11="","",INDEX(Precios_Lista[[Marca]:[Precio_lista]],MATCH(D11,Precios_Lista[Material],),4))</f>
        <v/>
      </c>
      <c r="E21" s="85" t="str">
        <f>IF(E11="","",INDEX(Precios_Lista[[Marca]:[Precio_lista]],MATCH(E11,Precios_Lista[Material],),4))</f>
        <v/>
      </c>
      <c r="F21" s="85" t="str">
        <f>IF(F11="","",INDEX(Precios_Lista[[Marca]:[Precio_lista]],MATCH(F11,Precios_Lista[Material],),4))</f>
        <v/>
      </c>
      <c r="G21" s="85" t="str">
        <f>IF(G11="","",INDEX(Precios_Lista[[Marca]:[Precio_lista]],MATCH(G11,Precios_Lista[Material],),4))</f>
        <v/>
      </c>
      <c r="H21" s="85" t="str">
        <f>IF(H11="","",INDEX(Precios_Lista[[Marca]:[Precio_lista]],MATCH(H11,Precios_Lista[Material],),4))</f>
        <v/>
      </c>
      <c r="I21" s="85" t="str">
        <f>IF(I11="","",INDEX(Precios_Lista[[Marca]:[Precio_lista]],MATCH(I11,Precios_Lista[Material],),4))</f>
        <v/>
      </c>
      <c r="J21" s="85" t="str">
        <f>IF(J11="","",INDEX(Precios_Lista[[Marca]:[Precio_lista]],MATCH(J11,Precios_Lista[Material],),4))</f>
        <v/>
      </c>
      <c r="K21" s="85" t="str">
        <f>IF(K11="","",INDEX(Precios_Lista[[Marca]:[Precio_lista]],MATCH(K11,Precios_Lista[Material],),4))</f>
        <v/>
      </c>
      <c r="L21" s="85" t="str">
        <f>IF(L11="","",INDEX(Precios_Lista[[Marca]:[Precio_lista]],MATCH(L11,Precios_Lista[Material],),4))</f>
        <v/>
      </c>
      <c r="M21" s="85" t="str">
        <f>IF(M11="","",INDEX(Precios_Lista[[Marca]:[Precio_lista]],MATCH(M11,Precios_Lista[Material],),4))</f>
        <v/>
      </c>
      <c r="N21" s="85" t="str">
        <f>IF(N11="","",INDEX(Precios_Lista[[Marca]:[Precio_lista]],MATCH(N11,Precios_Lista[Material],),4))</f>
        <v/>
      </c>
      <c r="O21" s="85" t="str">
        <f>IF(O11="","",INDEX(Precios_Lista[[Marca]:[Precio_lista]],MATCH(O11,Precios_Lista[Material],),4))</f>
        <v/>
      </c>
      <c r="P21" s="85" t="str">
        <f>IF(P11="","",INDEX(Precios_Lista[[Marca]:[Precio_lista]],MATCH(P11,Precios_Lista[Material],),4))</f>
        <v/>
      </c>
      <c r="Q21" s="85" t="str">
        <f>IF(Q11="","",INDEX(Precios_Lista[[Marca]:[Precio_lista]],MATCH(Q11,Precios_Lista[Material],),4))</f>
        <v/>
      </c>
      <c r="R21" s="85" t="str">
        <f>IF(R11="","",INDEX(Precios_Lista[[Marca]:[Precio_lista]],MATCH(R11,Precios_Lista[Material],),4))</f>
        <v/>
      </c>
      <c r="S21" s="85" t="str">
        <f>IF(S11="","",INDEX(Precios_Lista[[Marca]:[Precio_lista]],MATCH(S11,Precios_Lista[Material],),4))</f>
        <v/>
      </c>
      <c r="T21" s="85" t="str">
        <f>IF(T11="","",INDEX(Precios_Lista[[Marca]:[Precio_lista]],MATCH(T11,Precios_Lista[Material],),4))</f>
        <v/>
      </c>
      <c r="U21" s="85" t="str">
        <f>IF(U11="","",INDEX(Precios_Lista[[Marca]:[Precio_lista]],MATCH(U11,Precios_Lista[Material],),4))</f>
        <v/>
      </c>
    </row>
    <row r="22" spans="1:21" x14ac:dyDescent="0.25">
      <c r="A22" s="72" t="s">
        <v>17</v>
      </c>
      <c r="B22" s="85" t="str">
        <f>IF(B12="","",INDEX(Precios_Lista[[Marca]:[Precio_lista]],MATCH(B12,Precios_Lista[Material],),4))</f>
        <v/>
      </c>
      <c r="C22" s="85" t="str">
        <f>IF(C12="","",INDEX(Precios_Lista[[Marca]:[Precio_lista]],MATCH(C12,Precios_Lista[Material],),4))</f>
        <v/>
      </c>
      <c r="D22" s="85" t="str">
        <f>IF(D12="","",INDEX(Precios_Lista[[Marca]:[Precio_lista]],MATCH(D12,Precios_Lista[Material],),4))</f>
        <v/>
      </c>
      <c r="E22" s="85" t="str">
        <f>IF(E12="","",INDEX(Precios_Lista[[Marca]:[Precio_lista]],MATCH(E12,Precios_Lista[Material],),4))</f>
        <v/>
      </c>
      <c r="F22" s="85" t="str">
        <f>IF(F12="","",INDEX(Precios_Lista[[Marca]:[Precio_lista]],MATCH(F12,Precios_Lista[Material],),4))</f>
        <v/>
      </c>
      <c r="G22" s="85" t="str">
        <f>IF(G12="","",INDEX(Precios_Lista[[Marca]:[Precio_lista]],MATCH(G12,Precios_Lista[Material],),4))</f>
        <v/>
      </c>
      <c r="H22" s="85" t="str">
        <f>IF(H12="","",INDEX(Precios_Lista[[Marca]:[Precio_lista]],MATCH(H12,Precios_Lista[Material],),4))</f>
        <v/>
      </c>
      <c r="I22" s="85" t="str">
        <f>IF(I12="","",INDEX(Precios_Lista[[Marca]:[Precio_lista]],MATCH(I12,Precios_Lista[Material],),4))</f>
        <v/>
      </c>
      <c r="J22" s="85" t="str">
        <f>IF(J12="","",INDEX(Precios_Lista[[Marca]:[Precio_lista]],MATCH(J12,Precios_Lista[Material],),4))</f>
        <v/>
      </c>
      <c r="K22" s="85" t="str">
        <f>IF(K12="","",INDEX(Precios_Lista[[Marca]:[Precio_lista]],MATCH(K12,Precios_Lista[Material],),4))</f>
        <v/>
      </c>
      <c r="L22" s="85" t="str">
        <f>IF(L12="","",INDEX(Precios_Lista[[Marca]:[Precio_lista]],MATCH(L12,Precios_Lista[Material],),4))</f>
        <v/>
      </c>
      <c r="M22" s="85" t="str">
        <f>IF(M12="","",INDEX(Precios_Lista[[Marca]:[Precio_lista]],MATCH(M12,Precios_Lista[Material],),4))</f>
        <v/>
      </c>
      <c r="N22" s="85" t="str">
        <f>IF(N12="","",INDEX(Precios_Lista[[Marca]:[Precio_lista]],MATCH(N12,Precios_Lista[Material],),4))</f>
        <v/>
      </c>
      <c r="O22" s="85" t="str">
        <f>IF(O12="","",INDEX(Precios_Lista[[Marca]:[Precio_lista]],MATCH(O12,Precios_Lista[Material],),4))</f>
        <v/>
      </c>
      <c r="P22" s="85" t="str">
        <f>IF(P12="","",INDEX(Precios_Lista[[Marca]:[Precio_lista]],MATCH(P12,Precios_Lista[Material],),4))</f>
        <v/>
      </c>
      <c r="Q22" s="85" t="str">
        <f>IF(Q12="","",INDEX(Precios_Lista[[Marca]:[Precio_lista]],MATCH(Q12,Precios_Lista[Material],),4))</f>
        <v/>
      </c>
      <c r="R22" s="85" t="str">
        <f>IF(R12="","",INDEX(Precios_Lista[[Marca]:[Precio_lista]],MATCH(R12,Precios_Lista[Material],),4))</f>
        <v/>
      </c>
      <c r="S22" s="85" t="str">
        <f>IF(S12="","",INDEX(Precios_Lista[[Marca]:[Precio_lista]],MATCH(S12,Precios_Lista[Material],),4))</f>
        <v/>
      </c>
      <c r="T22" s="85" t="str">
        <f>IF(T12="","",INDEX(Precios_Lista[[Marca]:[Precio_lista]],MATCH(T12,Precios_Lista[Material],),4))</f>
        <v/>
      </c>
      <c r="U22" s="85" t="str">
        <f>IF(U12="","",INDEX(Precios_Lista[[Marca]:[Precio_lista]],MATCH(U12,Precios_Lista[Material],),4))</f>
        <v/>
      </c>
    </row>
    <row r="23" spans="1:21" x14ac:dyDescent="0.25">
      <c r="A23" s="72" t="s">
        <v>18</v>
      </c>
      <c r="B23" s="85" t="str">
        <f>IF(B13="","",INDEX(Precios_Lista[[Marca]:[Precio_lista]],MATCH(B13,Precios_Lista[Material],),4))</f>
        <v/>
      </c>
      <c r="C23" s="85" t="str">
        <f>IF(C13="","",INDEX(Precios_Lista[[Marca]:[Precio_lista]],MATCH(C13,Precios_Lista[Material],),4))</f>
        <v/>
      </c>
      <c r="D23" s="85" t="str">
        <f>IF(D13="","",INDEX(Precios_Lista[[Marca]:[Precio_lista]],MATCH(D13,Precios_Lista[Material],),4))</f>
        <v/>
      </c>
      <c r="E23" s="85" t="str">
        <f>IF(E13="","",INDEX(Precios_Lista[[Marca]:[Precio_lista]],MATCH(E13,Precios_Lista[Material],),4))</f>
        <v/>
      </c>
      <c r="F23" s="85" t="str">
        <f>IF(F13="","",INDEX(Precios_Lista[[Marca]:[Precio_lista]],MATCH(F13,Precios_Lista[Material],),4))</f>
        <v/>
      </c>
      <c r="G23" s="85" t="str">
        <f>IF(G13="","",INDEX(Precios_Lista[[Marca]:[Precio_lista]],MATCH(G13,Precios_Lista[Material],),4))</f>
        <v/>
      </c>
      <c r="H23" s="85" t="str">
        <f>IF(H13="","",INDEX(Precios_Lista[[Marca]:[Precio_lista]],MATCH(H13,Precios_Lista[Material],),4))</f>
        <v/>
      </c>
      <c r="I23" s="85" t="str">
        <f>IF(I13="","",INDEX(Precios_Lista[[Marca]:[Precio_lista]],MATCH(I13,Precios_Lista[Material],),4))</f>
        <v/>
      </c>
      <c r="J23" s="85" t="str">
        <f>IF(J13="","",INDEX(Precios_Lista[[Marca]:[Precio_lista]],MATCH(J13,Precios_Lista[Material],),4))</f>
        <v/>
      </c>
      <c r="K23" s="85" t="str">
        <f>IF(K13="","",INDEX(Precios_Lista[[Marca]:[Precio_lista]],MATCH(K13,Precios_Lista[Material],),4))</f>
        <v/>
      </c>
      <c r="L23" s="85" t="str">
        <f>IF(L13="","",INDEX(Precios_Lista[[Marca]:[Precio_lista]],MATCH(L13,Precios_Lista[Material],),4))</f>
        <v/>
      </c>
      <c r="M23" s="85" t="str">
        <f>IF(M13="","",INDEX(Precios_Lista[[Marca]:[Precio_lista]],MATCH(M13,Precios_Lista[Material],),4))</f>
        <v/>
      </c>
      <c r="N23" s="85" t="str">
        <f>IF(N13="","",INDEX(Precios_Lista[[Marca]:[Precio_lista]],MATCH(N13,Precios_Lista[Material],),4))</f>
        <v/>
      </c>
      <c r="O23" s="85" t="str">
        <f>IF(O13="","",INDEX(Precios_Lista[[Marca]:[Precio_lista]],MATCH(O13,Precios_Lista[Material],),4))</f>
        <v/>
      </c>
      <c r="P23" s="85" t="str">
        <f>IF(P13="","",INDEX(Precios_Lista[[Marca]:[Precio_lista]],MATCH(P13,Precios_Lista[Material],),4))</f>
        <v/>
      </c>
      <c r="Q23" s="85" t="str">
        <f>IF(Q13="","",INDEX(Precios_Lista[[Marca]:[Precio_lista]],MATCH(Q13,Precios_Lista[Material],),4))</f>
        <v/>
      </c>
      <c r="R23" s="85" t="str">
        <f>IF(R13="","",INDEX(Precios_Lista[[Marca]:[Precio_lista]],MATCH(R13,Precios_Lista[Material],),4))</f>
        <v/>
      </c>
      <c r="S23" s="85" t="str">
        <f>IF(S13="","",INDEX(Precios_Lista[[Marca]:[Precio_lista]],MATCH(S13,Precios_Lista[Material],),4))</f>
        <v/>
      </c>
      <c r="T23" s="85" t="str">
        <f>IF(T13="","",INDEX(Precios_Lista[[Marca]:[Precio_lista]],MATCH(T13,Precios_Lista[Material],),4))</f>
        <v/>
      </c>
      <c r="U23" s="85" t="str">
        <f>IF(U13="","",INDEX(Precios_Lista[[Marca]:[Precio_lista]],MATCH(U13,Precios_Lista[Material],),4))</f>
        <v/>
      </c>
    </row>
    <row r="24" spans="1:21" x14ac:dyDescent="0.25">
      <c r="A24" s="72" t="s">
        <v>19</v>
      </c>
      <c r="B24" s="85" t="str">
        <f>IF(B14="","",INDEX(Precios_Lista[[Marca]:[Precio_lista]],MATCH(B14,Precios_Lista[Material],),4))</f>
        <v/>
      </c>
      <c r="C24" s="85" t="str">
        <f>IF(C14="","",INDEX(Precios_Lista[[Marca]:[Precio_lista]],MATCH(C14,Precios_Lista[Material],),4))</f>
        <v/>
      </c>
      <c r="D24" s="85" t="str">
        <f>IF(D14="","",INDEX(Precios_Lista[[Marca]:[Precio_lista]],MATCH(D14,Precios_Lista[Material],),4))</f>
        <v/>
      </c>
      <c r="E24" s="85" t="str">
        <f>IF(E14="","",INDEX(Precios_Lista[[Marca]:[Precio_lista]],MATCH(E14,Precios_Lista[Material],),4))</f>
        <v/>
      </c>
      <c r="F24" s="85" t="str">
        <f>IF(F14="","",INDEX(Precios_Lista[[Marca]:[Precio_lista]],MATCH(F14,Precios_Lista[Material],),4))</f>
        <v/>
      </c>
      <c r="G24" s="85" t="str">
        <f>IF(G14="","",INDEX(Precios_Lista[[Marca]:[Precio_lista]],MATCH(G14,Precios_Lista[Material],),4))</f>
        <v/>
      </c>
      <c r="H24" s="85" t="str">
        <f>IF(H14="","",INDEX(Precios_Lista[[Marca]:[Precio_lista]],MATCH(H14,Precios_Lista[Material],),4))</f>
        <v/>
      </c>
      <c r="I24" s="85" t="str">
        <f>IF(I14="","",INDEX(Precios_Lista[[Marca]:[Precio_lista]],MATCH(I14,Precios_Lista[Material],),4))</f>
        <v/>
      </c>
      <c r="J24" s="85" t="str">
        <f>IF(J14="","",INDEX(Precios_Lista[[Marca]:[Precio_lista]],MATCH(J14,Precios_Lista[Material],),4))</f>
        <v/>
      </c>
      <c r="K24" s="85" t="str">
        <f>IF(K14="","",INDEX(Precios_Lista[[Marca]:[Precio_lista]],MATCH(K14,Precios_Lista[Material],),4))</f>
        <v/>
      </c>
      <c r="L24" s="85" t="str">
        <f>IF(L14="","",INDEX(Precios_Lista[[Marca]:[Precio_lista]],MATCH(L14,Precios_Lista[Material],),4))</f>
        <v/>
      </c>
      <c r="M24" s="85" t="str">
        <f>IF(M14="","",INDEX(Precios_Lista[[Marca]:[Precio_lista]],MATCH(M14,Precios_Lista[Material],),4))</f>
        <v/>
      </c>
      <c r="N24" s="85" t="str">
        <f>IF(N14="","",INDEX(Precios_Lista[[Marca]:[Precio_lista]],MATCH(N14,Precios_Lista[Material],),4))</f>
        <v/>
      </c>
      <c r="O24" s="85" t="str">
        <f>IF(O14="","",INDEX(Precios_Lista[[Marca]:[Precio_lista]],MATCH(O14,Precios_Lista[Material],),4))</f>
        <v/>
      </c>
      <c r="P24" s="85" t="str">
        <f>IF(P14="","",INDEX(Precios_Lista[[Marca]:[Precio_lista]],MATCH(P14,Precios_Lista[Material],),4))</f>
        <v/>
      </c>
      <c r="Q24" s="85" t="str">
        <f>IF(Q14="","",INDEX(Precios_Lista[[Marca]:[Precio_lista]],MATCH(Q14,Precios_Lista[Material],),4))</f>
        <v/>
      </c>
      <c r="R24" s="85" t="str">
        <f>IF(R14="","",INDEX(Precios_Lista[[Marca]:[Precio_lista]],MATCH(R14,Precios_Lista[Material],),4))</f>
        <v/>
      </c>
      <c r="S24" s="85" t="str">
        <f>IF(S14="","",INDEX(Precios_Lista[[Marca]:[Precio_lista]],MATCH(S14,Precios_Lista[Material],),4))</f>
        <v/>
      </c>
      <c r="T24" s="85" t="str">
        <f>IF(T14="","",INDEX(Precios_Lista[[Marca]:[Precio_lista]],MATCH(T14,Precios_Lista[Material],),4))</f>
        <v/>
      </c>
      <c r="U24" s="85" t="str">
        <f>IF(U14="","",INDEX(Precios_Lista[[Marca]:[Precio_lista]],MATCH(U14,Precios_Lista[Material],),4))</f>
        <v/>
      </c>
    </row>
    <row r="25" spans="1:21" x14ac:dyDescent="0.25">
      <c r="A25" s="72"/>
      <c r="B25" s="80"/>
      <c r="C25" s="80"/>
      <c r="D25" s="80"/>
      <c r="E25" s="80"/>
      <c r="F25" s="80"/>
      <c r="G25" s="80"/>
      <c r="H25" s="80"/>
      <c r="I25" s="80"/>
      <c r="J25" s="80"/>
      <c r="K25" s="80"/>
      <c r="L25" s="80"/>
      <c r="M25" s="80"/>
      <c r="N25" s="80"/>
      <c r="O25" s="80"/>
      <c r="P25" s="80"/>
      <c r="Q25" s="80"/>
      <c r="R25" s="80"/>
      <c r="S25" s="80"/>
      <c r="T25" s="80"/>
      <c r="U25" s="80"/>
    </row>
    <row r="26" spans="1:21" s="73" customFormat="1" x14ac:dyDescent="0.25">
      <c r="A26" s="83" t="s">
        <v>20</v>
      </c>
      <c r="B26" s="84">
        <f t="shared" ref="B26:U26" si="1">SUM(B19:B24)</f>
        <v>0</v>
      </c>
      <c r="C26" s="84">
        <f t="shared" si="1"/>
        <v>0</v>
      </c>
      <c r="D26" s="84">
        <f t="shared" si="1"/>
        <v>0</v>
      </c>
      <c r="E26" s="84">
        <f t="shared" si="1"/>
        <v>0</v>
      </c>
      <c r="F26" s="84">
        <f t="shared" si="1"/>
        <v>0</v>
      </c>
      <c r="G26" s="84">
        <f t="shared" si="1"/>
        <v>0</v>
      </c>
      <c r="H26" s="84">
        <f t="shared" si="1"/>
        <v>0</v>
      </c>
      <c r="I26" s="84">
        <f t="shared" si="1"/>
        <v>0</v>
      </c>
      <c r="J26" s="84">
        <f t="shared" si="1"/>
        <v>0</v>
      </c>
      <c r="K26" s="84">
        <f t="shared" si="1"/>
        <v>0</v>
      </c>
      <c r="L26" s="84">
        <f t="shared" si="1"/>
        <v>0</v>
      </c>
      <c r="M26" s="84">
        <f t="shared" si="1"/>
        <v>0</v>
      </c>
      <c r="N26" s="84">
        <f t="shared" si="1"/>
        <v>0</v>
      </c>
      <c r="O26" s="84">
        <f t="shared" si="1"/>
        <v>0</v>
      </c>
      <c r="P26" s="84">
        <f t="shared" si="1"/>
        <v>0</v>
      </c>
      <c r="Q26" s="84">
        <f t="shared" si="1"/>
        <v>0</v>
      </c>
      <c r="R26" s="84">
        <f t="shared" si="1"/>
        <v>0</v>
      </c>
      <c r="S26" s="84">
        <f t="shared" si="1"/>
        <v>0</v>
      </c>
      <c r="T26" s="84">
        <f t="shared" si="1"/>
        <v>0</v>
      </c>
      <c r="U26" s="84">
        <f t="shared" si="1"/>
        <v>0</v>
      </c>
    </row>
    <row r="27" spans="1:21" x14ac:dyDescent="0.25">
      <c r="A27" s="75" t="s">
        <v>21</v>
      </c>
      <c r="B27" s="77" t="str">
        <f>IFERROR(INDEX(CA[Desucento],MATCH(B18,CA[Marca],0),),"")</f>
        <v/>
      </c>
      <c r="C27" s="77" t="str">
        <f>IFERROR(INDEX(CA[Desucento],MATCH(C18,CA[Marca],0),),"")</f>
        <v/>
      </c>
      <c r="D27" s="77" t="str">
        <f>IFERROR(INDEX(CA[Desucento],MATCH(D18,CA[Marca],0),),"")</f>
        <v/>
      </c>
      <c r="E27" s="77" t="str">
        <f>IFERROR(INDEX(CA[Desucento],MATCH(E18,CA[Marca],0),),"")</f>
        <v/>
      </c>
      <c r="F27" s="77" t="str">
        <f>IFERROR(INDEX(CA[Desucento],MATCH(F18,CA[Marca],0),),"")</f>
        <v/>
      </c>
      <c r="G27" s="77" t="str">
        <f>IFERROR(INDEX(CA[Desucento],MATCH(G18,CA[Marca],0),),"")</f>
        <v/>
      </c>
      <c r="H27" s="77" t="str">
        <f>IFERROR(INDEX(CA[Desucento],MATCH(H18,CA[Marca],0),),"")</f>
        <v/>
      </c>
      <c r="I27" s="77" t="str">
        <f>IFERROR(INDEX(CA[Desucento],MATCH(I18,CA[Marca],0),),"")</f>
        <v/>
      </c>
      <c r="J27" s="77" t="str">
        <f>IFERROR(INDEX(CA[Desucento],MATCH(J18,CA[Marca],0),),"")</f>
        <v/>
      </c>
      <c r="K27" s="77" t="str">
        <f>IFERROR(INDEX(CA[Desucento],MATCH(K18,CA[Marca],0),),"")</f>
        <v/>
      </c>
      <c r="L27" s="77" t="str">
        <f>IFERROR(INDEX(CA[Desucento],MATCH(L18,CA[Marca],0),),"")</f>
        <v/>
      </c>
      <c r="M27" s="77" t="str">
        <f>IFERROR(INDEX(CA[Desucento],MATCH(M18,CA[Marca],0),),"")</f>
        <v/>
      </c>
      <c r="N27" s="77" t="str">
        <f>IFERROR(INDEX(CA[Desucento],MATCH(N18,CA[Marca],0),),"")</f>
        <v/>
      </c>
      <c r="O27" s="77" t="str">
        <f>IFERROR(INDEX(CA[Desucento],MATCH(O18,CA[Marca],0),),"")</f>
        <v/>
      </c>
      <c r="P27" s="77" t="str">
        <f>IFERROR(INDEX(CA[Desucento],MATCH(P18,CA[Marca],0),),"")</f>
        <v/>
      </c>
      <c r="Q27" s="77" t="str">
        <f>IFERROR(INDEX(CA[Desucento],MATCH(Q18,CA[Marca],0),),"")</f>
        <v/>
      </c>
      <c r="R27" s="77" t="str">
        <f>IFERROR(INDEX(CA[Desucento],MATCH(R18,CA[Marca],0),),"")</f>
        <v/>
      </c>
      <c r="S27" s="77" t="str">
        <f>IFERROR(INDEX(CA[Desucento],MATCH(S18,CA[Marca],0),),"")</f>
        <v/>
      </c>
      <c r="T27" s="77" t="str">
        <f>IFERROR(INDEX(CA[Desucento],MATCH(T18,CA[Marca],0),),"")</f>
        <v/>
      </c>
      <c r="U27" s="77" t="str">
        <f>IFERROR(INDEX(CA[Desucento],MATCH(U18,CA[Marca],0),),"")</f>
        <v/>
      </c>
    </row>
    <row r="28" spans="1:21" x14ac:dyDescent="0.25">
      <c r="A28" s="75" t="s">
        <v>22</v>
      </c>
      <c r="B28" t="str">
        <f t="shared" ref="B28:U28" si="2">IF(B18="","",IFERROR(INDEX(Multiplicador,MATCH($B$1,NombreClientes,0),2),""))</f>
        <v/>
      </c>
      <c r="C28" t="str">
        <f t="shared" si="2"/>
        <v/>
      </c>
      <c r="D28" t="str">
        <f t="shared" si="2"/>
        <v/>
      </c>
      <c r="E28" t="str">
        <f t="shared" si="2"/>
        <v/>
      </c>
      <c r="F28" t="str">
        <f t="shared" si="2"/>
        <v/>
      </c>
      <c r="G28" t="str">
        <f t="shared" si="2"/>
        <v/>
      </c>
      <c r="H28" t="str">
        <f t="shared" si="2"/>
        <v/>
      </c>
      <c r="I28" t="str">
        <f t="shared" si="2"/>
        <v/>
      </c>
      <c r="J28" t="str">
        <f t="shared" si="2"/>
        <v/>
      </c>
      <c r="K28" t="str">
        <f t="shared" si="2"/>
        <v/>
      </c>
      <c r="L28" t="str">
        <f t="shared" si="2"/>
        <v/>
      </c>
      <c r="M28" t="str">
        <f t="shared" si="2"/>
        <v/>
      </c>
      <c r="N28" t="str">
        <f t="shared" si="2"/>
        <v/>
      </c>
      <c r="O28" t="str">
        <f t="shared" si="2"/>
        <v/>
      </c>
      <c r="P28" t="str">
        <f t="shared" si="2"/>
        <v/>
      </c>
      <c r="Q28" t="str">
        <f t="shared" si="2"/>
        <v/>
      </c>
      <c r="R28" t="str">
        <f t="shared" si="2"/>
        <v/>
      </c>
      <c r="S28" t="str">
        <f t="shared" si="2"/>
        <v/>
      </c>
      <c r="T28" t="str">
        <f t="shared" si="2"/>
        <v/>
      </c>
      <c r="U28" t="str">
        <f t="shared" si="2"/>
        <v/>
      </c>
    </row>
    <row r="29" spans="1:21" ht="15.75" thickBot="1" x14ac:dyDescent="0.3">
      <c r="A29" s="74" t="s">
        <v>23</v>
      </c>
      <c r="B29" s="81" t="str">
        <f t="shared" ref="B29:U29" si="3">IFERROR(B26*(1-B27)*B28,"")</f>
        <v/>
      </c>
      <c r="C29" s="81" t="str">
        <f t="shared" si="3"/>
        <v/>
      </c>
      <c r="D29" s="81" t="str">
        <f t="shared" si="3"/>
        <v/>
      </c>
      <c r="E29" s="81" t="str">
        <f t="shared" si="3"/>
        <v/>
      </c>
      <c r="F29" s="81" t="str">
        <f t="shared" si="3"/>
        <v/>
      </c>
      <c r="G29" s="81" t="str">
        <f t="shared" si="3"/>
        <v/>
      </c>
      <c r="H29" s="81" t="str">
        <f t="shared" si="3"/>
        <v/>
      </c>
      <c r="I29" s="81" t="str">
        <f t="shared" si="3"/>
        <v/>
      </c>
      <c r="J29" s="81" t="str">
        <f t="shared" si="3"/>
        <v/>
      </c>
      <c r="K29" s="81" t="str">
        <f t="shared" si="3"/>
        <v/>
      </c>
      <c r="L29" s="81" t="str">
        <f t="shared" si="3"/>
        <v/>
      </c>
      <c r="M29" s="81" t="str">
        <f t="shared" si="3"/>
        <v/>
      </c>
      <c r="N29" s="81" t="str">
        <f t="shared" si="3"/>
        <v/>
      </c>
      <c r="O29" s="81" t="str">
        <f t="shared" si="3"/>
        <v/>
      </c>
      <c r="P29" s="81" t="str">
        <f t="shared" si="3"/>
        <v/>
      </c>
      <c r="Q29" s="81" t="str">
        <f t="shared" si="3"/>
        <v/>
      </c>
      <c r="R29" s="81" t="str">
        <f t="shared" si="3"/>
        <v/>
      </c>
      <c r="S29" s="81" t="str">
        <f t="shared" si="3"/>
        <v/>
      </c>
      <c r="T29" s="81" t="str">
        <f t="shared" si="3"/>
        <v/>
      </c>
      <c r="U29" s="81" t="str">
        <f t="shared" si="3"/>
        <v/>
      </c>
    </row>
    <row r="30" spans="1:21" ht="15.75" thickTop="1" x14ac:dyDescent="0.25"/>
    <row r="31" spans="1:21" s="73" customFormat="1" x14ac:dyDescent="0.25">
      <c r="A31" s="83" t="s">
        <v>24</v>
      </c>
      <c r="B31" s="82" t="str">
        <f>IFERROR(ROUND(B29*B15,2),"")</f>
        <v/>
      </c>
      <c r="C31" s="82" t="str">
        <f>IFERROR(ROUND(C29*C15,2),"")</f>
        <v/>
      </c>
      <c r="D31" s="82" t="str">
        <f t="shared" ref="D31:U31" si="4">IFERROR(ROUND(D29*D15,2),"")</f>
        <v/>
      </c>
      <c r="E31" s="82" t="str">
        <f t="shared" si="4"/>
        <v/>
      </c>
      <c r="F31" s="82" t="str">
        <f t="shared" si="4"/>
        <v/>
      </c>
      <c r="G31" s="82" t="str">
        <f t="shared" si="4"/>
        <v/>
      </c>
      <c r="H31" s="82" t="str">
        <f t="shared" si="4"/>
        <v/>
      </c>
      <c r="I31" s="82" t="str">
        <f t="shared" si="4"/>
        <v/>
      </c>
      <c r="J31" s="82" t="str">
        <f t="shared" si="4"/>
        <v/>
      </c>
      <c r="K31" s="82" t="str">
        <f t="shared" si="4"/>
        <v/>
      </c>
      <c r="L31" s="82" t="str">
        <f t="shared" si="4"/>
        <v/>
      </c>
      <c r="M31" s="82" t="str">
        <f t="shared" si="4"/>
        <v/>
      </c>
      <c r="N31" s="82" t="str">
        <f t="shared" si="4"/>
        <v/>
      </c>
      <c r="O31" s="82" t="str">
        <f t="shared" si="4"/>
        <v/>
      </c>
      <c r="P31" s="82" t="str">
        <f t="shared" si="4"/>
        <v/>
      </c>
      <c r="Q31" s="82" t="str">
        <f t="shared" si="4"/>
        <v/>
      </c>
      <c r="R31" s="82" t="str">
        <f t="shared" si="4"/>
        <v/>
      </c>
      <c r="S31" s="82" t="str">
        <f t="shared" si="4"/>
        <v/>
      </c>
      <c r="T31" s="82" t="str">
        <f t="shared" si="4"/>
        <v/>
      </c>
      <c r="U31" s="82" t="str">
        <f t="shared" si="4"/>
        <v/>
      </c>
    </row>
    <row r="33" spans="2:2" x14ac:dyDescent="0.25">
      <c r="B33" s="27"/>
    </row>
  </sheetData>
  <phoneticPr fontId="16" type="noConversion"/>
  <conditionalFormatting sqref="B33">
    <cfRule type="containsErrors" dxfId="6" priority="1">
      <formula>ISERROR(B33)</formula>
    </cfRule>
  </conditionalFormatting>
  <conditionalFormatting sqref="B18:U18">
    <cfRule type="containsErrors" dxfId="5" priority="2">
      <formula>ISERROR(B18)</formula>
    </cfRule>
  </conditionalFormatting>
  <dataValidations count="4">
    <dataValidation type="whole" operator="greaterThanOrEqual" allowBlank="1" showInputMessage="1" showErrorMessage="1" sqref="B15:C17" xr:uid="{00000000-0002-0000-0600-000000000000}">
      <formula1>0</formula1>
    </dataValidation>
    <dataValidation type="list" allowBlank="1" showInputMessage="1" showErrorMessage="1" sqref="B9:U9" xr:uid="{00000000-0002-0000-0600-000001000000}">
      <formula1>"Si,No"</formula1>
    </dataValidation>
    <dataValidation type="list" allowBlank="1" showInputMessage="1" showErrorMessage="1" sqref="C1" xr:uid="{00000000-0002-0000-0600-000002000000}">
      <formula1>"SA,A,B,C,D,E,F,G,H,I,J,K,L,M,N,O,P,Q,R,S,T,U,V,W,X,Y,Z,#,"</formula1>
    </dataValidation>
    <dataValidation type="list" allowBlank="1" showInputMessage="1" showErrorMessage="1" sqref="B7:U7" xr:uid="{00000000-0002-0000-0600-000004000000}">
      <formula1>$B$6:$AF$6</formula1>
    </dataValidation>
  </dataValidations>
  <printOptions heading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A813B8B3-9759-4F7E-94EF-70CAEF2C394F}">
          <x14:formula1>
            <xm:f>OFFSET(Clientes!$B$1,MATCH($C$1,A_Z,0),0,COUNTIF(A_Z,$C$1))</xm:f>
          </x14:formula1>
          <xm:sqref>B1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AH48"/>
  <sheetViews>
    <sheetView showGridLines="0" zoomScaleNormal="100" workbookViewId="0">
      <selection activeCell="B39" sqref="B39"/>
    </sheetView>
  </sheetViews>
  <sheetFormatPr baseColWidth="10" defaultColWidth="11.42578125" defaultRowHeight="15" x14ac:dyDescent="0.25"/>
  <cols>
    <col min="1" max="1" width="2.42578125" customWidth="1"/>
    <col min="2" max="2" width="6.28515625" customWidth="1"/>
    <col min="3" max="3" width="11.140625" customWidth="1"/>
    <col min="4" max="4" width="40.42578125" customWidth="1"/>
    <col min="5" max="5" width="8.5703125" style="91" customWidth="1"/>
    <col min="6" max="6" width="12.42578125" customWidth="1"/>
    <col min="7" max="7" width="12.5703125" customWidth="1"/>
    <col min="8" max="8" width="11.85546875" customWidth="1"/>
    <col min="10" max="10" width="32" customWidth="1"/>
    <col min="15" max="15" width="11.5703125" bestFit="1" customWidth="1"/>
    <col min="16" max="20" width="11.5703125" customWidth="1"/>
    <col min="29" max="29" width="17.5703125" customWidth="1"/>
    <col min="30" max="30" width="11.5703125" customWidth="1"/>
  </cols>
  <sheetData>
    <row r="1" spans="2:34" ht="15.75" x14ac:dyDescent="0.25">
      <c r="B1" s="118"/>
      <c r="C1" s="97"/>
      <c r="D1" s="97"/>
      <c r="E1" s="159">
        <f ca="1">TODAY()</f>
        <v>46048</v>
      </c>
      <c r="F1" s="159"/>
      <c r="G1" s="159"/>
      <c r="H1" s="159"/>
    </row>
    <row r="2" spans="2:34" x14ac:dyDescent="0.25">
      <c r="B2" s="119" t="s">
        <v>25</v>
      </c>
      <c r="C2" s="97"/>
      <c r="D2" s="97"/>
      <c r="E2" s="99" t="s">
        <v>26</v>
      </c>
      <c r="F2" s="98">
        <f>'Armado Presupuesto'!B2</f>
        <v>0</v>
      </c>
      <c r="G2" s="114"/>
      <c r="H2" s="114"/>
    </row>
    <row r="3" spans="2:34" x14ac:dyDescent="0.25">
      <c r="B3" s="119" t="s">
        <v>27</v>
      </c>
      <c r="C3" s="97"/>
      <c r="D3" s="97"/>
      <c r="E3" s="99"/>
      <c r="F3" s="160"/>
      <c r="G3" s="160"/>
      <c r="H3" s="160"/>
    </row>
    <row r="4" spans="2:34" x14ac:dyDescent="0.25">
      <c r="B4" s="119" t="s">
        <v>28</v>
      </c>
      <c r="C4" s="97"/>
      <c r="D4" s="97"/>
      <c r="E4" s="100"/>
      <c r="F4" s="97"/>
      <c r="G4" s="97"/>
      <c r="H4" s="97"/>
    </row>
    <row r="5" spans="2:34" ht="6" customHeight="1" x14ac:dyDescent="0.25">
      <c r="B5" s="119"/>
      <c r="C5" s="97"/>
      <c r="D5" s="97"/>
      <c r="E5" s="100"/>
      <c r="F5" s="97"/>
      <c r="G5" s="97"/>
      <c r="H5" s="97"/>
    </row>
    <row r="6" spans="2:34" ht="15.75" x14ac:dyDescent="0.25">
      <c r="B6" s="126">
        <f>+'Armado Presupuesto'!B1</f>
        <v>0</v>
      </c>
      <c r="C6" s="115"/>
      <c r="D6" s="115"/>
      <c r="E6" s="100"/>
      <c r="F6" s="97"/>
      <c r="G6" s="97"/>
      <c r="H6" s="97"/>
    </row>
    <row r="7" spans="2:34" x14ac:dyDescent="0.25">
      <c r="B7" s="120" t="s">
        <v>29</v>
      </c>
      <c r="C7" s="162"/>
      <c r="D7" s="162"/>
      <c r="E7" s="162"/>
      <c r="F7" s="97"/>
      <c r="G7" s="97"/>
      <c r="H7" s="97"/>
    </row>
    <row r="8" spans="2:34" x14ac:dyDescent="0.25">
      <c r="B8" s="121" t="s">
        <v>30</v>
      </c>
      <c r="C8" s="162"/>
      <c r="D8" s="162"/>
      <c r="E8" s="162"/>
      <c r="F8" s="97"/>
      <c r="G8" s="97"/>
      <c r="H8" s="97"/>
    </row>
    <row r="9" spans="2:34" ht="6.6" customHeight="1" x14ac:dyDescent="0.25">
      <c r="B9" s="97"/>
      <c r="C9" s="97"/>
      <c r="D9" s="97"/>
      <c r="E9" s="100"/>
      <c r="F9" s="97"/>
      <c r="G9" s="97"/>
      <c r="H9" s="97"/>
    </row>
    <row r="10" spans="2:34" ht="15.75" x14ac:dyDescent="0.25">
      <c r="B10" s="161" t="s">
        <v>31</v>
      </c>
      <c r="C10" s="161"/>
      <c r="D10" s="161"/>
      <c r="E10" s="161"/>
      <c r="F10" s="161"/>
      <c r="G10" s="161"/>
      <c r="H10" s="161"/>
    </row>
    <row r="11" spans="2:34" ht="5.0999999999999996" customHeight="1" x14ac:dyDescent="0.25">
      <c r="B11" s="122"/>
      <c r="C11" s="122"/>
      <c r="D11" s="122"/>
      <c r="E11" s="123"/>
      <c r="F11" s="122"/>
      <c r="G11" s="122"/>
      <c r="H11" s="122"/>
    </row>
    <row r="12" spans="2:34" ht="30" x14ac:dyDescent="0.25">
      <c r="B12" s="117" t="s">
        <v>32</v>
      </c>
      <c r="C12" s="117" t="s">
        <v>33</v>
      </c>
      <c r="D12" s="117" t="s">
        <v>34</v>
      </c>
      <c r="E12" s="117" t="s">
        <v>35</v>
      </c>
      <c r="F12" s="117" t="s">
        <v>36</v>
      </c>
      <c r="G12" s="117" t="s">
        <v>37</v>
      </c>
      <c r="H12" s="117" t="s">
        <v>38</v>
      </c>
      <c r="I12" s="107"/>
      <c r="J12" s="106" t="s">
        <v>39</v>
      </c>
      <c r="L12" s="108" t="s">
        <v>40</v>
      </c>
      <c r="M12" s="108" t="s">
        <v>41</v>
      </c>
      <c r="N12" s="108" t="s">
        <v>35</v>
      </c>
      <c r="O12" s="108" t="s">
        <v>33</v>
      </c>
      <c r="P12" s="108" t="s">
        <v>42</v>
      </c>
      <c r="Q12" s="108" t="s">
        <v>43</v>
      </c>
      <c r="R12" s="108" t="s">
        <v>44</v>
      </c>
      <c r="S12" s="108" t="s">
        <v>45</v>
      </c>
      <c r="T12" s="108" t="s">
        <v>46</v>
      </c>
      <c r="U12" s="108" t="s">
        <v>34</v>
      </c>
      <c r="V12" s="108" t="s">
        <v>47</v>
      </c>
      <c r="W12" s="108" t="s">
        <v>48</v>
      </c>
      <c r="X12" s="108" t="s">
        <v>49</v>
      </c>
      <c r="Y12" s="108" t="s">
        <v>50</v>
      </c>
      <c r="Z12" s="108" t="s">
        <v>51</v>
      </c>
      <c r="AA12" s="108" t="s">
        <v>52</v>
      </c>
      <c r="AB12" s="108" t="s">
        <v>53</v>
      </c>
      <c r="AC12" s="109" t="s">
        <v>54</v>
      </c>
      <c r="AD12" s="109" t="s">
        <v>54</v>
      </c>
      <c r="AF12" t="s">
        <v>55</v>
      </c>
    </row>
    <row r="13" spans="2:34" ht="4.5" customHeight="1" x14ac:dyDescent="0.25">
      <c r="B13" s="103"/>
      <c r="C13" s="40"/>
      <c r="D13" s="41"/>
      <c r="E13" s="40"/>
      <c r="F13" s="40"/>
      <c r="G13" s="40"/>
      <c r="H13" s="104"/>
      <c r="J13" s="105"/>
      <c r="L13" s="110"/>
      <c r="M13" s="110"/>
      <c r="N13" s="110"/>
      <c r="O13" s="110"/>
      <c r="P13" s="110"/>
      <c r="Q13" s="110"/>
      <c r="R13" s="110"/>
      <c r="S13" s="110"/>
      <c r="T13" s="110"/>
      <c r="U13" s="110"/>
      <c r="V13" s="110"/>
      <c r="W13" s="110"/>
      <c r="X13" s="110"/>
      <c r="Y13" s="110"/>
      <c r="Z13" s="110"/>
      <c r="AA13" s="110"/>
      <c r="AB13" s="110"/>
      <c r="AC13" s="4" t="str">
        <f>IFERROR(IF(AD13=0,"","Alternativa item: "&amp;AD13&amp;" "),"")</f>
        <v/>
      </c>
      <c r="AD13" s="110"/>
    </row>
    <row r="14" spans="2:34" x14ac:dyDescent="0.25">
      <c r="B14" s="101" t="str">
        <f>L14</f>
        <v/>
      </c>
      <c r="C14" s="128" t="str">
        <f>O14&amp;" "&amp;IF(P14=0," ",P14)&amp;" "&amp;IF(Q14=0," ",+Q14)&amp;" "&amp;IF(R14=0," ",+R14)&amp;" "&amp;IF(S14=0," ",+S14)&amp;" "&amp;IF(T14=0," ",+T14)</f>
        <v xml:space="preserve">      </v>
      </c>
      <c r="D14" s="124" t="str">
        <f>IF(L14="","",AC14&amp;AH14&amp;"Marca: "&amp;AA14&amp;J14)</f>
        <v/>
      </c>
      <c r="E14" s="102" t="str">
        <f t="shared" ref="E14:E33" si="0">N14</f>
        <v/>
      </c>
      <c r="F14" s="132" t="str">
        <f t="shared" ref="F14:F33" si="1">IFERROR(G14/E14,"")</f>
        <v/>
      </c>
      <c r="G14" s="132" t="str">
        <f>AB14</f>
        <v/>
      </c>
      <c r="H14" s="137"/>
      <c r="J14" s="88"/>
      <c r="L14" s="111" t="str">
        <f>IF('Armado Presupuesto'!B18="","",Presupuesto!M14)</f>
        <v/>
      </c>
      <c r="M14" s="111" cm="1">
        <f t="array" ref="M14:M33">TRANSPOSE('Armado Presupuesto'!B6:U6)</f>
        <v>10</v>
      </c>
      <c r="N14" s="111" t="str">
        <f>IF($L14="","",INDEX('Armado Presupuesto'!$B$7:$U$15,9,MATCH(L14,'Armado Presupuesto'!$B$6:$U$6,0)))</f>
        <v/>
      </c>
      <c r="O14" s="112" t="str">
        <f>IF($L14="","",INDEX('Armado Presupuesto'!$B$7:$U$15,2,MATCH(L14,'Armado Presupuesto'!$B$6:$U$6,0)))</f>
        <v/>
      </c>
      <c r="P14" s="112" t="str">
        <f>IF($L14="","",INDEX('Armado Presupuesto'!$B$7:$U$15,4,MATCH(L14,'Armado Presupuesto'!$B$6:$U$6,0)))</f>
        <v/>
      </c>
      <c r="Q14" s="112" t="str">
        <f>IF($L14=""," ",INDEX('Armado Presupuesto'!$B$7:$U$15,5,MATCH(L14,'Armado Presupuesto'!$B$6:$U$6,0)))</f>
        <v xml:space="preserve"> </v>
      </c>
      <c r="R14" s="112" t="str">
        <f>IF($L14="","",INDEX('Armado Presupuesto'!$B$7:$U$15,6,MATCH(L14,'Armado Presupuesto'!$B$6:$U$6,0)))</f>
        <v/>
      </c>
      <c r="S14" s="112" t="str">
        <f>IF($L14="","",INDEX('Armado Presupuesto'!$B$7:$U$15,7,MATCH(L14,'Armado Presupuesto'!$B$6:$U$6,0)))</f>
        <v/>
      </c>
      <c r="T14" s="112" t="str">
        <f>IF($L14="","",INDEX('Armado Presupuesto'!$B$7:$U$15,8,MATCH(L14,'Armado Presupuesto'!$B$6:$U$6,0)))</f>
        <v/>
      </c>
      <c r="U14" s="112" t="str">
        <f>IF(O14="","",VLOOKUP(O14,Precios_Lista[],4,FALSE))</f>
        <v/>
      </c>
      <c r="V14" s="112" t="e">
        <f>IF(P14=0,"",VLOOKUP(P14,Precios_Lista[],4,FALSE))</f>
        <v>#N/A</v>
      </c>
      <c r="W14" s="112" t="e">
        <f>IF(Q14=0,"",VLOOKUP(Q14,Precios_Lista[],4,FALSE))</f>
        <v>#N/A</v>
      </c>
      <c r="X14" s="112" t="e">
        <f>IF(R14=0,"",VLOOKUP(R14,Precios_Lista[],4,FALSE))</f>
        <v>#N/A</v>
      </c>
      <c r="Y14" s="112" t="e">
        <f>IF(S14=0,"",VLOOKUP(S14,Precios_Lista[],4,FALSE))</f>
        <v>#N/A</v>
      </c>
      <c r="Z14" s="112" t="e">
        <f>IF(T14=0,"",VLOOKUP(T14,Precios_Lista[],4,FALSE))</f>
        <v>#N/A</v>
      </c>
      <c r="AA14" s="112" t="str">
        <f>IF($L14="","",INDEX('Armado Presupuesto'!$B$18:$U$18,1,MATCH(L14,'Armado Presupuesto'!$B$6:$U$6,0)))</f>
        <v/>
      </c>
      <c r="AB14" s="112" t="str">
        <f>IF($L14="","",INDEX('Armado Presupuesto'!$B$31:$U$31,1,MATCH(L14,'Armado Presupuesto'!$B$6:$U$6,0)))</f>
        <v/>
      </c>
      <c r="AC14" s="4" t="str">
        <f>IFERROR(IF(AD14=0,"","Alternativa item: "&amp;AD14&amp;" "),"")</f>
        <v/>
      </c>
      <c r="AD14" s="112" t="e">
        <f>INDEX('Armado Presupuesto'!$B$6:$U$7,2,MATCH(Presupuesto!L14,'Armado Presupuesto'!$B$6:$U$6,0))</f>
        <v>#N/A</v>
      </c>
      <c r="AF14" s="111" t="str">
        <f>IF($L14="","",INDEX('Armado Presupuesto'!B7:U15,3,MATCH(L14,'Armado Presupuesto'!B6:U6,0)))</f>
        <v/>
      </c>
      <c r="AG14" t="str">
        <f>IF(AF14="Si","varias descripciones",IF(O14="","",VLOOKUP(O14,Precios_Lista[],4,FALSE)))</f>
        <v/>
      </c>
      <c r="AH14" t="e">
        <f>U14&amp;" "&amp;V14&amp;" "&amp;W14&amp;" "&amp;X14&amp;" "&amp;Y14&amp;" "&amp;Z14</f>
        <v>#N/A</v>
      </c>
    </row>
    <row r="15" spans="2:34" x14ac:dyDescent="0.25">
      <c r="B15" s="101" t="str">
        <f t="shared" ref="B15:B33" si="2">L15</f>
        <v/>
      </c>
      <c r="C15" s="128" t="str">
        <f t="shared" ref="C15:C33" si="3">O15&amp;" "&amp;IF(P15=0," ",P15)&amp;" "&amp;IF(Q15=0," ",+Q15)&amp;" "&amp;IF(R15=0," ",+R15)&amp;" "&amp;IF(S15=0," ",+S15)&amp;" "&amp;IF(T15=0," ",+T15)</f>
        <v xml:space="preserve">     </v>
      </c>
      <c r="D15" s="124" t="str">
        <f>IF(L15="","",AC15&amp;AH15&amp;"Marca: "&amp;AA15&amp;J15)</f>
        <v/>
      </c>
      <c r="E15" s="102" t="str">
        <f t="shared" si="0"/>
        <v/>
      </c>
      <c r="F15" s="132" t="str">
        <f t="shared" si="1"/>
        <v/>
      </c>
      <c r="G15" s="132" t="str">
        <f t="shared" ref="G15:G33" si="4">AB15</f>
        <v/>
      </c>
      <c r="H15" s="137"/>
      <c r="J15" s="88"/>
      <c r="L15" s="111" t="str">
        <f>IF('Armado Presupuesto'!C18="","",Presupuesto!M15)</f>
        <v/>
      </c>
      <c r="M15" s="111">
        <v>20</v>
      </c>
      <c r="N15" s="111" t="str">
        <f>IF($L15="","",INDEX('Armado Presupuesto'!$B$7:$U$15,9,MATCH(L15,'Armado Presupuesto'!$B$6:$U$6,0)))</f>
        <v/>
      </c>
      <c r="O15" s="112" t="str">
        <f>IF($L15="","",INDEX('Armado Presupuesto'!$B$7:$U$15,2,MATCH(L15,'Armado Presupuesto'!$B$6:$U$6,0)))</f>
        <v/>
      </c>
      <c r="P15" s="112" t="str">
        <f>IF($L15="","",INDEX('Armado Presupuesto'!$B$7:$U$15,4,MATCH(L15,'Armado Presupuesto'!$B$6:$U$6,0)))</f>
        <v/>
      </c>
      <c r="Q15" s="112" t="str">
        <f>IF($L15="","",INDEX('Armado Presupuesto'!$B$7:$U$15,5,MATCH(L15,'Armado Presupuesto'!$B$6:$U$6,0)))</f>
        <v/>
      </c>
      <c r="R15" s="112" t="str">
        <f>IF($L15="","",INDEX('Armado Presupuesto'!$B$7:$U$15,6,MATCH(L15,'Armado Presupuesto'!$B$6:$U$6,0)))</f>
        <v/>
      </c>
      <c r="S15" s="112" t="str">
        <f>IF($L15="","",INDEX('Armado Presupuesto'!$B$7:$U$15,7,MATCH(L15,'Armado Presupuesto'!$B$6:$U$6,0)))</f>
        <v/>
      </c>
      <c r="T15" s="112" t="str">
        <f>IF($L15="","",INDEX('Armado Presupuesto'!$B$7:$U$15,8,MATCH(L15,'Armado Presupuesto'!$B$6:$U$6,0)))</f>
        <v/>
      </c>
      <c r="U15" s="112" t="str">
        <f>IF(O15="","",VLOOKUP(O15,Precios_Lista[],4,FALSE))</f>
        <v/>
      </c>
      <c r="V15" s="112" t="e">
        <f>IF(P15=0,"",VLOOKUP(P15,Precios_Lista[],4,FALSE))</f>
        <v>#N/A</v>
      </c>
      <c r="W15" s="112" t="e">
        <f>IF(Q15=0,"",VLOOKUP(Q15,Precios_Lista[],4,FALSE))</f>
        <v>#N/A</v>
      </c>
      <c r="X15" s="112" t="e">
        <f>IF(R15=0,"",VLOOKUP(R15,Precios_Lista[],4,FALSE))</f>
        <v>#N/A</v>
      </c>
      <c r="Y15" s="112" t="e">
        <f>IF(S15=0,"",VLOOKUP(S15,Precios_Lista[],4,FALSE))</f>
        <v>#N/A</v>
      </c>
      <c r="Z15" s="112" t="e">
        <f>IF(T15=0,"",VLOOKUP(T15,Precios_Lista[],4,FALSE))</f>
        <v>#N/A</v>
      </c>
      <c r="AA15" s="112" t="str">
        <f>IF($L15="","",INDEX('Armado Presupuesto'!$B$18:$U$18,1,MATCH(L15,'Armado Presupuesto'!$B$6:$U$6,0)))</f>
        <v/>
      </c>
      <c r="AB15" s="112" t="str">
        <f>IF($L15="","",INDEX('Armado Presupuesto'!$B$31:$U$31,1,MATCH(L15,'Armado Presupuesto'!$B$6:$U$6,0)))</f>
        <v/>
      </c>
      <c r="AC15" s="4" t="str">
        <f t="shared" ref="AC15:AC33" si="5">IFERROR(IF(AD15=0,"","Alternativa item: "&amp;AD15&amp;" "),"")</f>
        <v/>
      </c>
      <c r="AD15" s="112" t="e">
        <f>INDEX('Armado Presupuesto'!$B$6:$U$7,2,MATCH(Presupuesto!L15,'Armado Presupuesto'!$B$6:$U$6,0))</f>
        <v>#N/A</v>
      </c>
      <c r="AF15" s="111" t="str">
        <f>IFERROR(INDEX('Armado Presupuesto'!$B$7:$U$15,3,MATCH(L15,'Armado Presupuesto'!$B$6:$U$6,0)),"")</f>
        <v/>
      </c>
      <c r="AG15" t="str">
        <f>IF(AF15="Si","varias descripciones",IF(O15="","",VLOOKUP(O15,Precios_Lista[],4,FALSE)))</f>
        <v/>
      </c>
      <c r="AH15" t="e">
        <f>U15&amp;" "&amp;V15&amp;" "&amp;W15&amp;" "&amp;X15&amp;" "&amp;Y15&amp;" "&amp;Z15</f>
        <v>#N/A</v>
      </c>
    </row>
    <row r="16" spans="2:34" x14ac:dyDescent="0.25">
      <c r="B16" s="101" t="str">
        <f t="shared" si="2"/>
        <v/>
      </c>
      <c r="C16" s="128" t="str">
        <f t="shared" si="3"/>
        <v xml:space="preserve">     </v>
      </c>
      <c r="D16" s="124" t="str">
        <f t="shared" ref="D16" si="6">IF(L16="","",AC16&amp;AH16&amp;". "&amp;"Marca: "&amp;AA16&amp;" "&amp;J16)</f>
        <v/>
      </c>
      <c r="E16" s="102" t="str">
        <f t="shared" si="0"/>
        <v/>
      </c>
      <c r="F16" s="132" t="str">
        <f t="shared" si="1"/>
        <v/>
      </c>
      <c r="G16" s="132" t="str">
        <f t="shared" si="4"/>
        <v/>
      </c>
      <c r="H16" s="137"/>
      <c r="J16" s="88"/>
      <c r="L16" s="111" t="str">
        <f>IF('Armado Presupuesto'!D18="","",Presupuesto!M16)</f>
        <v/>
      </c>
      <c r="M16" s="111">
        <v>30</v>
      </c>
      <c r="N16" s="111" t="str">
        <f>IF($L16="","",INDEX('Armado Presupuesto'!$B$7:$U$15,9,MATCH(L16,'Armado Presupuesto'!$B$6:$U$6,0)))</f>
        <v/>
      </c>
      <c r="O16" s="112" t="str">
        <f>IF($L16="","",INDEX('Armado Presupuesto'!$B$7:$U$15,2,MATCH(L16,'Armado Presupuesto'!$B$6:$U$6,0)))</f>
        <v/>
      </c>
      <c r="P16" s="112" t="str">
        <f>IF($L16="","",INDEX('Armado Presupuesto'!$B$7:$U$15,4,MATCH(L16,'Armado Presupuesto'!$B$6:$U$6,0)))</f>
        <v/>
      </c>
      <c r="Q16" s="112" t="str">
        <f>IF($L16="","",INDEX('Armado Presupuesto'!$B$7:$U$15,5,MATCH(L16,'Armado Presupuesto'!$B$6:$U$6,0)))</f>
        <v/>
      </c>
      <c r="R16" s="112" t="str">
        <f>IF($L16="","",INDEX('Armado Presupuesto'!$B$7:$U$15,6,MATCH(L16,'Armado Presupuesto'!$B$6:$U$6,0)))</f>
        <v/>
      </c>
      <c r="S16" s="112" t="str">
        <f>IF($L16="","",INDEX('Armado Presupuesto'!$B$7:$U$15,7,MATCH(L16,'Armado Presupuesto'!$B$6:$U$6,0)))</f>
        <v/>
      </c>
      <c r="T16" s="112" t="str">
        <f>IF($L16="","",INDEX('Armado Presupuesto'!$B$7:$U$15,8,MATCH(L16,'Armado Presupuesto'!$B$6:$U$6,0)))</f>
        <v/>
      </c>
      <c r="U16" s="112" t="str">
        <f>IF(O16="","",VLOOKUP(O16,Precios_Lista[],4,FALSE))</f>
        <v/>
      </c>
      <c r="V16" s="112" t="e">
        <f>IF(P16=0,"",VLOOKUP(P16,Precios_Lista[],4,FALSE))</f>
        <v>#N/A</v>
      </c>
      <c r="W16" s="112" t="e">
        <f>IF(Q16=0,"",VLOOKUP(Q16,Precios_Lista[],4,FALSE))</f>
        <v>#N/A</v>
      </c>
      <c r="X16" s="112" t="e">
        <f>IF(R16=0,"",VLOOKUP(R16,Precios_Lista[],4,FALSE))</f>
        <v>#N/A</v>
      </c>
      <c r="Y16" s="112" t="e">
        <f>IF(S16=0,"",VLOOKUP(S16,Precios_Lista[],4,FALSE))</f>
        <v>#N/A</v>
      </c>
      <c r="Z16" s="112" t="e">
        <f>IF(T16=0,"",VLOOKUP(T16,Precios_Lista[],4,FALSE))</f>
        <v>#N/A</v>
      </c>
      <c r="AA16" s="112" t="str">
        <f>IF($L16="","",INDEX('Armado Presupuesto'!$B$18:$U$18,1,MATCH(L16,'Armado Presupuesto'!$B$6:$U$6,0)))</f>
        <v/>
      </c>
      <c r="AB16" s="112" t="str">
        <f>IF($L16="","",INDEX('Armado Presupuesto'!$B$31:$U$31,1,MATCH(L16,'Armado Presupuesto'!$B$6:$U$6,0)))</f>
        <v/>
      </c>
      <c r="AC16" s="4" t="str">
        <f t="shared" si="5"/>
        <v/>
      </c>
      <c r="AD16" s="112" t="e">
        <f>INDEX('Armado Presupuesto'!$B$6:$U$7,2,MATCH(Presupuesto!L16,'Armado Presupuesto'!$B$6:$U$6,0))</f>
        <v>#N/A</v>
      </c>
      <c r="AF16" s="111" t="str">
        <f>IFERROR(INDEX('Armado Presupuesto'!$B$7:$U$15,3,MATCH(L16,'Armado Presupuesto'!$B$6:$U$6,0)),"")</f>
        <v/>
      </c>
      <c r="AG16" t="str">
        <f>IF(AF16="Si","varias descripciones",IF(O16="","",VLOOKUP(O16,Precios_Lista[],4,FALSE)))</f>
        <v/>
      </c>
      <c r="AH16" t="e">
        <f>U16&amp;V16&amp;W16&amp;X16&amp;Y16&amp;Z16</f>
        <v>#N/A</v>
      </c>
    </row>
    <row r="17" spans="2:34" x14ac:dyDescent="0.25">
      <c r="B17" s="101" t="str">
        <f t="shared" si="2"/>
        <v/>
      </c>
      <c r="C17" s="128" t="str">
        <f t="shared" si="3"/>
        <v xml:space="preserve">     </v>
      </c>
      <c r="D17" s="124" t="str">
        <f>IF(L17="","",AC17&amp;AH17&amp;". "&amp;"Marca: "&amp;AA17&amp;" "&amp;J17)</f>
        <v/>
      </c>
      <c r="E17" s="102" t="str">
        <f t="shared" si="0"/>
        <v/>
      </c>
      <c r="F17" s="132" t="str">
        <f t="shared" si="1"/>
        <v/>
      </c>
      <c r="G17" s="132" t="str">
        <f t="shared" si="4"/>
        <v/>
      </c>
      <c r="H17" s="137"/>
      <c r="J17" s="88"/>
      <c r="L17" s="111" t="str">
        <f>IF('Armado Presupuesto'!E18="","",Presupuesto!M17)</f>
        <v/>
      </c>
      <c r="M17" s="111">
        <v>40</v>
      </c>
      <c r="N17" s="111" t="str">
        <f>IF($L17="","",INDEX('Armado Presupuesto'!$B$7:$U$15,9,MATCH(L17,'Armado Presupuesto'!$B$6:$U$6,0)))</f>
        <v/>
      </c>
      <c r="O17" s="112" t="str">
        <f>IF($L17="","",INDEX('Armado Presupuesto'!$B$7:$U$15,2,MATCH(L17,'Armado Presupuesto'!$B$6:$U$6,0)))</f>
        <v/>
      </c>
      <c r="P17" s="112" t="str">
        <f>IF($L17="","",INDEX('Armado Presupuesto'!$B$7:$U$15,4,MATCH(L17,'Armado Presupuesto'!$B$6:$U$6,0)))</f>
        <v/>
      </c>
      <c r="Q17" s="112" t="str">
        <f>IF($L17="","",INDEX('Armado Presupuesto'!$B$7:$U$15,5,MATCH(L17,'Armado Presupuesto'!$B$6:$U$6,0)))</f>
        <v/>
      </c>
      <c r="R17" s="112" t="str">
        <f>IF($L17="","",INDEX('Armado Presupuesto'!$B$7:$U$15,6,MATCH(L17,'Armado Presupuesto'!$B$6:$U$6,0)))</f>
        <v/>
      </c>
      <c r="S17" s="112" t="str">
        <f>IF($L17="","",INDEX('Armado Presupuesto'!$B$7:$U$15,7,MATCH(L17,'Armado Presupuesto'!$B$6:$U$6,0)))</f>
        <v/>
      </c>
      <c r="T17" s="112" t="str">
        <f>IF($L17="","",INDEX('Armado Presupuesto'!$B$7:$U$15,8,MATCH(L17,'Armado Presupuesto'!$B$6:$U$6,0)))</f>
        <v/>
      </c>
      <c r="U17" s="112" t="str">
        <f>IF(O17="","",VLOOKUP(O17,Precios_Lista[],4,FALSE))</f>
        <v/>
      </c>
      <c r="V17" s="112" t="e">
        <f>IF(P17=0,"",VLOOKUP(P17,Precios_Lista[],4,FALSE))</f>
        <v>#N/A</v>
      </c>
      <c r="W17" s="112" t="e">
        <f>IF(Q17=0,"",VLOOKUP(Q17,Precios_Lista[],4,FALSE))</f>
        <v>#N/A</v>
      </c>
      <c r="X17" s="112" t="e">
        <f>IF(R17=0,"",VLOOKUP(R17,Precios_Lista[],4,FALSE))</f>
        <v>#N/A</v>
      </c>
      <c r="Y17" s="112" t="e">
        <f>IF(S17=0,"",VLOOKUP(S17,Precios_Lista[],4,FALSE))</f>
        <v>#N/A</v>
      </c>
      <c r="Z17" s="112" t="e">
        <f>IF(T17=0,"",VLOOKUP(T17,Precios_Lista[],4,FALSE))</f>
        <v>#N/A</v>
      </c>
      <c r="AA17" s="112" t="str">
        <f>IF($L17="","",INDEX('Armado Presupuesto'!$B$18:$U$18,1,MATCH(L17,'Armado Presupuesto'!$B$6:$U$6,0)))</f>
        <v/>
      </c>
      <c r="AB17" s="112" t="str">
        <f>IF($L17="","",INDEX('Armado Presupuesto'!$B$31:$U$31,1,MATCH(L17,'Armado Presupuesto'!$B$6:$U$6,0)))</f>
        <v/>
      </c>
      <c r="AC17" s="4" t="str">
        <f t="shared" si="5"/>
        <v/>
      </c>
      <c r="AD17" s="112" t="e">
        <f>INDEX('Armado Presupuesto'!$B$6:$U$7,2,MATCH(Presupuesto!L17,'Armado Presupuesto'!$B$6:$U$6,0))</f>
        <v>#N/A</v>
      </c>
      <c r="AF17" s="111" t="str">
        <f>IFERROR(INDEX('Armado Presupuesto'!$B$7:$U$15,3,MATCH(L17,'Armado Presupuesto'!$B$6:$U$6,0)),"")</f>
        <v/>
      </c>
      <c r="AG17" t="str">
        <f>IF(AF17="Si","varias descripciones",IF(O17="","",VLOOKUP(O17,Precios_Lista[],4,FALSE)))</f>
        <v/>
      </c>
      <c r="AH17" t="e">
        <f>U17&amp;V17&amp;W17&amp;X17&amp;Y17&amp;Z17</f>
        <v>#N/A</v>
      </c>
    </row>
    <row r="18" spans="2:34" x14ac:dyDescent="0.25">
      <c r="B18" s="101" t="str">
        <f t="shared" si="2"/>
        <v/>
      </c>
      <c r="C18" s="128" t="str">
        <f t="shared" si="3"/>
        <v xml:space="preserve">     </v>
      </c>
      <c r="D18" s="124" t="str">
        <f t="shared" ref="D18:D33" si="7">IF(L18="","",AC18&amp;AH18&amp;". "&amp;"Marca: "&amp;AA18&amp;" "&amp;J18)</f>
        <v/>
      </c>
      <c r="E18" s="102" t="str">
        <f t="shared" si="0"/>
        <v/>
      </c>
      <c r="F18" s="132" t="str">
        <f t="shared" si="1"/>
        <v/>
      </c>
      <c r="G18" s="132" t="str">
        <f t="shared" si="4"/>
        <v/>
      </c>
      <c r="H18" s="137"/>
      <c r="J18" s="88"/>
      <c r="L18" s="111" t="str">
        <f>IF('Armado Presupuesto'!F18="","",Presupuesto!M18)</f>
        <v/>
      </c>
      <c r="M18" s="111">
        <v>50</v>
      </c>
      <c r="N18" s="111" t="str">
        <f>IF($L18="","",INDEX('Armado Presupuesto'!$B$7:$U$15,9,MATCH(L18,'Armado Presupuesto'!$B$6:$U$6,0)))</f>
        <v/>
      </c>
      <c r="O18" s="112" t="str">
        <f>IF($L18="","",INDEX('Armado Presupuesto'!$B$7:$U$15,2,MATCH(L18,'Armado Presupuesto'!$B$6:$U$6,0)))</f>
        <v/>
      </c>
      <c r="P18" s="112" t="str">
        <f>IF($L18="","",INDEX('Armado Presupuesto'!$B$7:$U$15,4,MATCH(L18,'Armado Presupuesto'!$B$6:$U$6,0)))</f>
        <v/>
      </c>
      <c r="Q18" s="112" t="str">
        <f>IF($L18="","",INDEX('Armado Presupuesto'!$B$7:$U$15,5,MATCH(L18,'Armado Presupuesto'!$B$6:$U$6,0)))</f>
        <v/>
      </c>
      <c r="R18" s="112" t="str">
        <f>IF($L18="","",INDEX('Armado Presupuesto'!$B$7:$U$15,6,MATCH(L18,'Armado Presupuesto'!$B$6:$U$6,0)))</f>
        <v/>
      </c>
      <c r="S18" s="112" t="str">
        <f>IF($L18="","",INDEX('Armado Presupuesto'!$B$7:$U$15,7,MATCH(L18,'Armado Presupuesto'!$B$6:$U$6,0)))</f>
        <v/>
      </c>
      <c r="T18" s="112" t="str">
        <f>IF($L18="","",INDEX('Armado Presupuesto'!$B$7:$U$15,8,MATCH(L18,'Armado Presupuesto'!$B$6:$U$6,0)))</f>
        <v/>
      </c>
      <c r="U18" s="112" t="str">
        <f>IF(O18="","",VLOOKUP(O18,Precios_Lista[],4,FALSE))</f>
        <v/>
      </c>
      <c r="V18" s="112" t="e">
        <f>IF(P18=0,"",VLOOKUP(P18,Precios_Lista[],4,FALSE))</f>
        <v>#N/A</v>
      </c>
      <c r="W18" s="112" t="e">
        <f>IF(Q18=0,"",VLOOKUP(Q18,Precios_Lista[],4,FALSE))</f>
        <v>#N/A</v>
      </c>
      <c r="X18" s="112" t="e">
        <f>IF(R18=0,"",VLOOKUP(R18,Precios_Lista[],4,FALSE))</f>
        <v>#N/A</v>
      </c>
      <c r="Y18" s="112" t="e">
        <f>IF(S18=0,"",VLOOKUP(S18,Precios_Lista[],4,FALSE))</f>
        <v>#N/A</v>
      </c>
      <c r="Z18" s="112" t="e">
        <f>IF(T18=0,"",VLOOKUP(T18,Precios_Lista[],4,FALSE))</f>
        <v>#N/A</v>
      </c>
      <c r="AA18" s="112" t="str">
        <f>IF($L18="","",INDEX('Armado Presupuesto'!$B$18:$U$18,1,MATCH(L18,'Armado Presupuesto'!$B$6:$U$6,0)))</f>
        <v/>
      </c>
      <c r="AB18" s="112" t="str">
        <f>IF($L18="","",INDEX('Armado Presupuesto'!$B$31:$U$31,1,MATCH(L18,'Armado Presupuesto'!$B$6:$U$6,0)))</f>
        <v/>
      </c>
      <c r="AC18" s="4" t="str">
        <f t="shared" si="5"/>
        <v/>
      </c>
      <c r="AD18" s="112" t="e">
        <f>INDEX('Armado Presupuesto'!$B$6:$U$7,2,MATCH(Presupuesto!L18,'Armado Presupuesto'!$B$6:$U$6,0))</f>
        <v>#N/A</v>
      </c>
      <c r="AF18" s="111" t="str">
        <f>IFERROR(INDEX('Armado Presupuesto'!$B$7:$U$15,3,MATCH(L18,'Armado Presupuesto'!$B$6:$U$6,0)),"")</f>
        <v/>
      </c>
      <c r="AG18" t="str">
        <f>IF(AF18="Si","varias descripciones",IF(O18="","",VLOOKUP(O18,Precios_Lista[],4,FALSE)))</f>
        <v/>
      </c>
      <c r="AH18" t="e">
        <f t="shared" ref="AH18:AH33" si="8">U18&amp;V18&amp;W18&amp;X18&amp;Y18&amp;Z18</f>
        <v>#N/A</v>
      </c>
    </row>
    <row r="19" spans="2:34" x14ac:dyDescent="0.25">
      <c r="B19" s="101" t="str">
        <f t="shared" si="2"/>
        <v/>
      </c>
      <c r="C19" s="128" t="str">
        <f t="shared" si="3"/>
        <v xml:space="preserve">     </v>
      </c>
      <c r="D19" s="124" t="str">
        <f t="shared" si="7"/>
        <v/>
      </c>
      <c r="E19" s="102" t="str">
        <f t="shared" si="0"/>
        <v/>
      </c>
      <c r="F19" s="132" t="str">
        <f t="shared" si="1"/>
        <v/>
      </c>
      <c r="G19" s="132" t="str">
        <f t="shared" si="4"/>
        <v/>
      </c>
      <c r="H19" s="137"/>
      <c r="J19" s="88"/>
      <c r="L19" s="111" t="str">
        <f>IF('Armado Presupuesto'!G18="","",Presupuesto!M19)</f>
        <v/>
      </c>
      <c r="M19" s="111">
        <v>60</v>
      </c>
      <c r="N19" s="111" t="str">
        <f>IF($L19="","",INDEX('Armado Presupuesto'!$B$7:$U$15,9,MATCH(L19,'Armado Presupuesto'!$B$6:$U$6,0)))</f>
        <v/>
      </c>
      <c r="O19" s="112" t="str">
        <f>IF($L19="","",INDEX('Armado Presupuesto'!$B$7:$U$15,2,MATCH(L19,'Armado Presupuesto'!$B$6:$U$6,0)))</f>
        <v/>
      </c>
      <c r="P19" s="112" t="str">
        <f>IF($L19="","",INDEX('Armado Presupuesto'!$B$7:$U$15,4,MATCH(L19,'Armado Presupuesto'!$B$6:$U$6,0)))</f>
        <v/>
      </c>
      <c r="Q19" s="112" t="str">
        <f>IF($L19="","",INDEX('Armado Presupuesto'!$B$7:$U$15,5,MATCH(L19,'Armado Presupuesto'!$B$6:$U$6,0)))</f>
        <v/>
      </c>
      <c r="R19" s="112" t="str">
        <f>IF($L19="","",INDEX('Armado Presupuesto'!$B$7:$U$15,6,MATCH(L19,'Armado Presupuesto'!$B$6:$U$6,0)))</f>
        <v/>
      </c>
      <c r="S19" s="112" t="str">
        <f>IF($L19="","",INDEX('Armado Presupuesto'!$B$7:$U$15,7,MATCH(L19,'Armado Presupuesto'!$B$6:$U$6,0)))</f>
        <v/>
      </c>
      <c r="T19" s="112" t="str">
        <f>IF($L19="","",INDEX('Armado Presupuesto'!$B$7:$U$15,8,MATCH(L19,'Armado Presupuesto'!$B$6:$U$6,0)))</f>
        <v/>
      </c>
      <c r="U19" s="112" t="str">
        <f>IF(O19="","",VLOOKUP(O19,Precios_Lista[],4,FALSE))</f>
        <v/>
      </c>
      <c r="V19" s="112" t="e">
        <f>IF(P19=0,"",VLOOKUP(P19,Precios_Lista[],4,FALSE))</f>
        <v>#N/A</v>
      </c>
      <c r="W19" s="112" t="e">
        <f>IF(Q19=0,"",VLOOKUP(Q19,Precios_Lista[],4,FALSE))</f>
        <v>#N/A</v>
      </c>
      <c r="X19" s="112" t="e">
        <f>IF(R19=0,"",VLOOKUP(R19,Precios_Lista[],4,FALSE))</f>
        <v>#N/A</v>
      </c>
      <c r="Y19" s="112" t="e">
        <f>IF(S19=0,"",VLOOKUP(S19,Precios_Lista[],4,FALSE))</f>
        <v>#N/A</v>
      </c>
      <c r="Z19" s="112" t="e">
        <f>IF(T19=0,"",VLOOKUP(T19,Precios_Lista[],4,FALSE))</f>
        <v>#N/A</v>
      </c>
      <c r="AA19" s="112" t="str">
        <f>IF($L19="","",INDEX('Armado Presupuesto'!$B$18:$U$18,1,MATCH(L19,'Armado Presupuesto'!$B$6:$U$6,0)))</f>
        <v/>
      </c>
      <c r="AB19" s="112" t="str">
        <f>IF($L19="","",INDEX('Armado Presupuesto'!$B$31:$U$31,1,MATCH(L19,'Armado Presupuesto'!$B$6:$U$6,0)))</f>
        <v/>
      </c>
      <c r="AC19" s="4" t="str">
        <f t="shared" si="5"/>
        <v/>
      </c>
      <c r="AD19" s="112" t="e">
        <f>INDEX('Armado Presupuesto'!$B$6:$U$7,2,MATCH(Presupuesto!L19,'Armado Presupuesto'!$B$6:$U$6,0))</f>
        <v>#N/A</v>
      </c>
      <c r="AF19" s="111" t="str">
        <f>IFERROR(INDEX('Armado Presupuesto'!$B$7:$U$15,3,MATCH(L19,'Armado Presupuesto'!$B$6:$U$6,0)),"")</f>
        <v/>
      </c>
      <c r="AG19" t="str">
        <f>IF(AF19="Si","varias descripciones",IF(O19="","",VLOOKUP(O19,Precios_Lista[],4,FALSE)))</f>
        <v/>
      </c>
      <c r="AH19" t="e">
        <f t="shared" si="8"/>
        <v>#N/A</v>
      </c>
    </row>
    <row r="20" spans="2:34" x14ac:dyDescent="0.25">
      <c r="B20" s="101" t="str">
        <f t="shared" si="2"/>
        <v/>
      </c>
      <c r="C20" s="128" t="str">
        <f t="shared" si="3"/>
        <v xml:space="preserve">     </v>
      </c>
      <c r="D20" s="124" t="str">
        <f t="shared" si="7"/>
        <v/>
      </c>
      <c r="E20" s="102" t="str">
        <f t="shared" si="0"/>
        <v/>
      </c>
      <c r="F20" s="132" t="str">
        <f t="shared" si="1"/>
        <v/>
      </c>
      <c r="G20" s="132" t="str">
        <f t="shared" si="4"/>
        <v/>
      </c>
      <c r="H20" s="137"/>
      <c r="J20" s="88"/>
      <c r="L20" s="111" t="str">
        <f>IF('Armado Presupuesto'!H18="","",Presupuesto!M20)</f>
        <v/>
      </c>
      <c r="M20" s="111">
        <v>70</v>
      </c>
      <c r="N20" s="111" t="str">
        <f>IF($L20="","",INDEX('Armado Presupuesto'!$B$7:$U$15,9,MATCH(L20,'Armado Presupuesto'!$B$6:$U$6,0)))</f>
        <v/>
      </c>
      <c r="O20" s="112" t="str">
        <f>IF($L20="","",INDEX('Armado Presupuesto'!$B$7:$U$15,2,MATCH(L20,'Armado Presupuesto'!$B$6:$U$6,0)))</f>
        <v/>
      </c>
      <c r="P20" s="112" t="str">
        <f>IF($L20="","",INDEX('Armado Presupuesto'!$B$7:$U$15,4,MATCH(L20,'Armado Presupuesto'!$B$6:$U$6,0)))</f>
        <v/>
      </c>
      <c r="Q20" s="112" t="str">
        <f>IF($L20="","",INDEX('Armado Presupuesto'!$B$7:$U$15,5,MATCH(L20,'Armado Presupuesto'!$B$6:$U$6,0)))</f>
        <v/>
      </c>
      <c r="R20" s="112" t="str">
        <f>IF($L20="","",INDEX('Armado Presupuesto'!$B$7:$U$15,6,MATCH(L20,'Armado Presupuesto'!$B$6:$U$6,0)))</f>
        <v/>
      </c>
      <c r="S20" s="112" t="str">
        <f>IF($L20="","",INDEX('Armado Presupuesto'!$B$7:$U$15,7,MATCH(L20,'Armado Presupuesto'!$B$6:$U$6,0)))</f>
        <v/>
      </c>
      <c r="T20" s="112" t="str">
        <f>IF($L20="","",INDEX('Armado Presupuesto'!$B$7:$U$15,8,MATCH(L20,'Armado Presupuesto'!$B$6:$U$6,0)))</f>
        <v/>
      </c>
      <c r="U20" s="112" t="str">
        <f>IF(O20="","",VLOOKUP(O20,Precios_Lista[],4,FALSE))</f>
        <v/>
      </c>
      <c r="V20" s="112" t="e">
        <f>IF(P20=0,"",VLOOKUP(P20,Precios_Lista[],4,FALSE))</f>
        <v>#N/A</v>
      </c>
      <c r="W20" s="112" t="e">
        <f>IF(Q20=0,"",VLOOKUP(Q20,Precios_Lista[],4,FALSE))</f>
        <v>#N/A</v>
      </c>
      <c r="X20" s="112" t="e">
        <f>IF(R20=0,"",VLOOKUP(R20,Precios_Lista[],4,FALSE))</f>
        <v>#N/A</v>
      </c>
      <c r="Y20" s="112" t="e">
        <f>IF(S20=0,"",VLOOKUP(S20,Precios_Lista[],4,FALSE))</f>
        <v>#N/A</v>
      </c>
      <c r="Z20" s="112" t="e">
        <f>IF(T20=0,"",VLOOKUP(T20,Precios_Lista[],4,FALSE))</f>
        <v>#N/A</v>
      </c>
      <c r="AA20" s="112" t="str">
        <f>IF($L20="","",INDEX('Armado Presupuesto'!$B$18:$U$18,1,MATCH(L20,'Armado Presupuesto'!$B$6:$U$6,0)))</f>
        <v/>
      </c>
      <c r="AB20" s="112" t="str">
        <f>IF($L20="","",INDEX('Armado Presupuesto'!$B$31:$U$31,1,MATCH(L20,'Armado Presupuesto'!$B$6:$U$6,0)))</f>
        <v/>
      </c>
      <c r="AC20" s="4" t="str">
        <f t="shared" si="5"/>
        <v/>
      </c>
      <c r="AD20" s="112" t="e">
        <f>INDEX('Armado Presupuesto'!$B$6:$U$7,2,MATCH(Presupuesto!L20,'Armado Presupuesto'!$B$6:$U$6,0))</f>
        <v>#N/A</v>
      </c>
      <c r="AF20" s="111" t="str">
        <f>IFERROR(INDEX('Armado Presupuesto'!$B$7:$U$15,3,MATCH(L20,'Armado Presupuesto'!$B$6:$U$6,0)),"")</f>
        <v/>
      </c>
      <c r="AG20" t="str">
        <f>IF(AF20="Si","varias descripciones",IF(O20="","",VLOOKUP(O20,Precios_Lista[],4,FALSE)))</f>
        <v/>
      </c>
      <c r="AH20" t="e">
        <f t="shared" si="8"/>
        <v>#N/A</v>
      </c>
    </row>
    <row r="21" spans="2:34" x14ac:dyDescent="0.25">
      <c r="B21" s="101" t="str">
        <f t="shared" si="2"/>
        <v/>
      </c>
      <c r="C21" s="128" t="str">
        <f t="shared" si="3"/>
        <v xml:space="preserve">     </v>
      </c>
      <c r="D21" s="124" t="str">
        <f t="shared" si="7"/>
        <v/>
      </c>
      <c r="E21" s="102" t="str">
        <f t="shared" si="0"/>
        <v/>
      </c>
      <c r="F21" s="132" t="str">
        <f t="shared" si="1"/>
        <v/>
      </c>
      <c r="G21" s="132" t="str">
        <f t="shared" si="4"/>
        <v/>
      </c>
      <c r="H21" s="137"/>
      <c r="J21" s="88"/>
      <c r="L21" s="111" t="str">
        <f>IF('Armado Presupuesto'!I18="","",Presupuesto!M21)</f>
        <v/>
      </c>
      <c r="M21" s="111">
        <v>80</v>
      </c>
      <c r="N21" s="111" t="str">
        <f>IF($L21="","",INDEX('Armado Presupuesto'!$B$7:$U$15,9,MATCH(L21,'Armado Presupuesto'!$B$6:$U$6,0)))</f>
        <v/>
      </c>
      <c r="O21" s="112" t="str">
        <f>IF($L21="","",INDEX('Armado Presupuesto'!$B$7:$U$15,2,MATCH(L21,'Armado Presupuesto'!$B$6:$U$6,0)))</f>
        <v/>
      </c>
      <c r="P21" s="112" t="str">
        <f>IF($L21="","",INDEX('Armado Presupuesto'!$B$7:$U$15,4,MATCH(L21,'Armado Presupuesto'!$B$6:$U$6,0)))</f>
        <v/>
      </c>
      <c r="Q21" s="112" t="str">
        <f>IF($L21="","",INDEX('Armado Presupuesto'!$B$7:$U$15,5,MATCH(L21,'Armado Presupuesto'!$B$6:$U$6,0)))</f>
        <v/>
      </c>
      <c r="R21" s="112" t="str">
        <f>IF($L21="","",INDEX('Armado Presupuesto'!$B$7:$U$15,6,MATCH(L21,'Armado Presupuesto'!$B$6:$U$6,0)))</f>
        <v/>
      </c>
      <c r="S21" s="112" t="str">
        <f>IF($L21="","",INDEX('Armado Presupuesto'!$B$7:$U$15,7,MATCH(L21,'Armado Presupuesto'!$B$6:$U$6,0)))</f>
        <v/>
      </c>
      <c r="T21" s="112" t="str">
        <f>IF($L21="","",INDEX('Armado Presupuesto'!$B$7:$U$15,8,MATCH(L21,'Armado Presupuesto'!$B$6:$U$6,0)))</f>
        <v/>
      </c>
      <c r="U21" s="112" t="str">
        <f>IF(O21="","",VLOOKUP(O21,Precios_Lista[],4,FALSE))</f>
        <v/>
      </c>
      <c r="V21" s="112" t="e">
        <f>IF(P21=0,"",VLOOKUP(P21,Precios_Lista[],4,FALSE))</f>
        <v>#N/A</v>
      </c>
      <c r="W21" s="112" t="e">
        <f>IF(Q21=0,"",VLOOKUP(Q21,Precios_Lista[],4,FALSE))</f>
        <v>#N/A</v>
      </c>
      <c r="X21" s="112" t="e">
        <f>IF(R21=0,"",VLOOKUP(R21,Precios_Lista[],4,FALSE))</f>
        <v>#N/A</v>
      </c>
      <c r="Y21" s="112" t="e">
        <f>IF(S21=0,"",VLOOKUP(S21,Precios_Lista[],4,FALSE))</f>
        <v>#N/A</v>
      </c>
      <c r="Z21" s="112" t="e">
        <f>IF(T21=0,"",VLOOKUP(T21,Precios_Lista[],4,FALSE))</f>
        <v>#N/A</v>
      </c>
      <c r="AA21" s="112" t="str">
        <f>IF($L21="","",INDEX('Armado Presupuesto'!$B$18:$U$18,1,MATCH(L21,'Armado Presupuesto'!$B$6:$U$6,0)))</f>
        <v/>
      </c>
      <c r="AB21" s="112" t="str">
        <f>IF($L21="","",INDEX('Armado Presupuesto'!$B$31:$U$31,1,MATCH(L21,'Armado Presupuesto'!$B$6:$U$6,0)))</f>
        <v/>
      </c>
      <c r="AC21" s="4" t="str">
        <f t="shared" si="5"/>
        <v/>
      </c>
      <c r="AD21" s="112" t="e">
        <f>INDEX('Armado Presupuesto'!$B$6:$U$7,2,MATCH(Presupuesto!L21,'Armado Presupuesto'!$B$6:$U$6,0))</f>
        <v>#N/A</v>
      </c>
      <c r="AF21" s="111" t="str">
        <f>IFERROR(INDEX('Armado Presupuesto'!$B$7:$U$15,3,MATCH(L21,'Armado Presupuesto'!$B$6:$U$6,0)),"")</f>
        <v/>
      </c>
      <c r="AG21" t="str">
        <f>IF(AF21="Si","varias descripciones",IF(O21="","",VLOOKUP(O21,Precios_Lista[],4,FALSE)))</f>
        <v/>
      </c>
      <c r="AH21" t="e">
        <f t="shared" si="8"/>
        <v>#N/A</v>
      </c>
    </row>
    <row r="22" spans="2:34" x14ac:dyDescent="0.25">
      <c r="B22" s="101" t="str">
        <f t="shared" si="2"/>
        <v/>
      </c>
      <c r="C22" s="128" t="str">
        <f t="shared" si="3"/>
        <v xml:space="preserve">     </v>
      </c>
      <c r="D22" s="124" t="str">
        <f t="shared" si="7"/>
        <v/>
      </c>
      <c r="E22" s="102" t="str">
        <f t="shared" si="0"/>
        <v/>
      </c>
      <c r="F22" s="132" t="str">
        <f t="shared" si="1"/>
        <v/>
      </c>
      <c r="G22" s="132" t="str">
        <f t="shared" si="4"/>
        <v/>
      </c>
      <c r="H22" s="137"/>
      <c r="J22" s="89"/>
      <c r="L22" s="111" t="str">
        <f>IF('Armado Presupuesto'!J18="","",Presupuesto!M22)</f>
        <v/>
      </c>
      <c r="M22" s="111">
        <v>90</v>
      </c>
      <c r="N22" s="111" t="str">
        <f>IF($L22="","",INDEX('Armado Presupuesto'!$B$7:$U$15,9,MATCH(L22,'Armado Presupuesto'!$B$6:$U$6,0)))</f>
        <v/>
      </c>
      <c r="O22" s="112" t="str">
        <f>IF($L22="","",INDEX('Armado Presupuesto'!$B$7:$U$15,2,MATCH(L22,'Armado Presupuesto'!$B$6:$U$6,0)))</f>
        <v/>
      </c>
      <c r="P22" s="112" t="str">
        <f>IF($L22="","",INDEX('Armado Presupuesto'!$B$7:$U$15,4,MATCH(L22,'Armado Presupuesto'!$B$6:$U$6,0)))</f>
        <v/>
      </c>
      <c r="Q22" s="112" t="str">
        <f>IF($L22="","",INDEX('Armado Presupuesto'!$B$7:$U$15,5,MATCH(L22,'Armado Presupuesto'!$B$6:$U$6,0)))</f>
        <v/>
      </c>
      <c r="R22" s="112" t="str">
        <f>IF($L22="","",INDEX('Armado Presupuesto'!$B$7:$U$15,6,MATCH(L22,'Armado Presupuesto'!$B$6:$U$6,0)))</f>
        <v/>
      </c>
      <c r="S22" s="112" t="str">
        <f>IF($L22="","",INDEX('Armado Presupuesto'!$B$7:$U$15,7,MATCH(L22,'Armado Presupuesto'!$B$6:$U$6,0)))</f>
        <v/>
      </c>
      <c r="T22" s="112" t="str">
        <f>IF($L22="","",INDEX('Armado Presupuesto'!$B$7:$U$15,8,MATCH(L22,'Armado Presupuesto'!$B$6:$U$6,0)))</f>
        <v/>
      </c>
      <c r="U22" s="112" t="str">
        <f>IF(O22="","",VLOOKUP(O22,Precios_Lista[],4,FALSE))</f>
        <v/>
      </c>
      <c r="V22" s="112" t="e">
        <f>IF(P22=0,"",VLOOKUP(P22,Precios_Lista[],4,FALSE))</f>
        <v>#N/A</v>
      </c>
      <c r="W22" s="112" t="e">
        <f>IF(Q22=0,"",VLOOKUP(Q22,Precios_Lista[],4,FALSE))</f>
        <v>#N/A</v>
      </c>
      <c r="X22" s="112" t="e">
        <f>IF(R22=0,"",VLOOKUP(R22,Precios_Lista[],4,FALSE))</f>
        <v>#N/A</v>
      </c>
      <c r="Y22" s="112" t="e">
        <f>IF(S22=0,"",VLOOKUP(S22,Precios_Lista[],4,FALSE))</f>
        <v>#N/A</v>
      </c>
      <c r="Z22" s="112" t="e">
        <f>IF(T22=0,"",VLOOKUP(T22,Precios_Lista[],4,FALSE))</f>
        <v>#N/A</v>
      </c>
      <c r="AA22" s="112" t="str">
        <f>IF($L22="","",INDEX('Armado Presupuesto'!$B$18:$U$18,1,MATCH(L22,'Armado Presupuesto'!$B$6:$U$6,0)))</f>
        <v/>
      </c>
      <c r="AB22" s="112" t="str">
        <f>IF($L22="","",INDEX('Armado Presupuesto'!$B$31:$U$31,1,MATCH(L22,'Armado Presupuesto'!$B$6:$U$6,0)))</f>
        <v/>
      </c>
      <c r="AC22" s="4" t="str">
        <f t="shared" si="5"/>
        <v/>
      </c>
      <c r="AD22" s="112" t="e">
        <f>INDEX('Armado Presupuesto'!$B$6:$U$7,2,MATCH(Presupuesto!L22,'Armado Presupuesto'!$B$6:$U$6,0))</f>
        <v>#N/A</v>
      </c>
      <c r="AF22" s="111" t="str">
        <f>IFERROR(INDEX('Armado Presupuesto'!$B$7:$U$15,3,MATCH(L22,'Armado Presupuesto'!$B$6:$U$6,0)),"")</f>
        <v/>
      </c>
      <c r="AG22" t="str">
        <f>IF(AF22="Si","varias descripciones",IF(O22="","",VLOOKUP(O22,Precios_Lista[],4,FALSE)))</f>
        <v/>
      </c>
      <c r="AH22" t="e">
        <f t="shared" si="8"/>
        <v>#N/A</v>
      </c>
    </row>
    <row r="23" spans="2:34" x14ac:dyDescent="0.25">
      <c r="B23" s="101" t="str">
        <f t="shared" si="2"/>
        <v/>
      </c>
      <c r="C23" s="128" t="str">
        <f t="shared" si="3"/>
        <v xml:space="preserve">     </v>
      </c>
      <c r="D23" s="124" t="str">
        <f t="shared" si="7"/>
        <v/>
      </c>
      <c r="E23" s="102" t="str">
        <f t="shared" si="0"/>
        <v/>
      </c>
      <c r="F23" s="132" t="str">
        <f t="shared" si="1"/>
        <v/>
      </c>
      <c r="G23" s="132" t="str">
        <f t="shared" si="4"/>
        <v/>
      </c>
      <c r="H23" s="137"/>
      <c r="J23" s="88"/>
      <c r="L23" s="111" t="str">
        <f>IF('Armado Presupuesto'!K18="","",Presupuesto!M23)</f>
        <v/>
      </c>
      <c r="M23" s="111">
        <v>100</v>
      </c>
      <c r="N23" s="111" t="str">
        <f>IF($L23="","",INDEX('Armado Presupuesto'!$B$7:$U$15,9,MATCH(L23,'Armado Presupuesto'!$B$6:$U$6,0)))</f>
        <v/>
      </c>
      <c r="O23" s="112" t="str">
        <f>IF($L23="","",INDEX('Armado Presupuesto'!$B$7:$U$15,2,MATCH(L23,'Armado Presupuesto'!$B$6:$U$6,0)))</f>
        <v/>
      </c>
      <c r="P23" s="112" t="str">
        <f>IF($L23="","",INDEX('Armado Presupuesto'!$B$7:$U$15,4,MATCH(L23,'Armado Presupuesto'!$B$6:$U$6,0)))</f>
        <v/>
      </c>
      <c r="Q23" s="112" t="str">
        <f>IF($L23="","",INDEX('Armado Presupuesto'!$B$7:$U$15,5,MATCH(L23,'Armado Presupuesto'!$B$6:$U$6,0)))</f>
        <v/>
      </c>
      <c r="R23" s="112" t="str">
        <f>IF($L23="","",INDEX('Armado Presupuesto'!$B$7:$U$15,6,MATCH(L23,'Armado Presupuesto'!$B$6:$U$6,0)))</f>
        <v/>
      </c>
      <c r="S23" s="112" t="str">
        <f>IF($L23="","",INDEX('Armado Presupuesto'!$B$7:$U$15,7,MATCH(L23,'Armado Presupuesto'!$B$6:$U$6,0)))</f>
        <v/>
      </c>
      <c r="T23" s="112" t="str">
        <f>IF($L23="","",INDEX('Armado Presupuesto'!$B$7:$U$15,8,MATCH(L23,'Armado Presupuesto'!$B$6:$U$6,0)))</f>
        <v/>
      </c>
      <c r="U23" s="112" t="str">
        <f>IF(O23="","",VLOOKUP(O23,Precios_Lista[],4,FALSE))</f>
        <v/>
      </c>
      <c r="V23" s="112" t="e">
        <f>IF(P23=0,"",VLOOKUP(P23,Precios_Lista[],4,FALSE))</f>
        <v>#N/A</v>
      </c>
      <c r="W23" s="112" t="e">
        <f>IF(Q23=0,"",VLOOKUP(Q23,Precios_Lista[],4,FALSE))</f>
        <v>#N/A</v>
      </c>
      <c r="X23" s="112" t="e">
        <f>IF(R23=0,"",VLOOKUP(R23,Precios_Lista[],4,FALSE))</f>
        <v>#N/A</v>
      </c>
      <c r="Y23" s="112" t="e">
        <f>IF(S23=0,"",VLOOKUP(S23,Precios_Lista[],4,FALSE))</f>
        <v>#N/A</v>
      </c>
      <c r="Z23" s="112" t="e">
        <f>IF(T23=0,"",VLOOKUP(T23,Precios_Lista[],4,FALSE))</f>
        <v>#N/A</v>
      </c>
      <c r="AA23" s="112" t="str">
        <f>IF($L23="","",INDEX('Armado Presupuesto'!$B$18:$U$18,1,MATCH(L23,'Armado Presupuesto'!$B$6:$U$6,0)))</f>
        <v/>
      </c>
      <c r="AB23" s="112" t="str">
        <f>IF($L23="","",INDEX('Armado Presupuesto'!$B$31:$U$31,1,MATCH(L23,'Armado Presupuesto'!$B$6:$U$6,0)))</f>
        <v/>
      </c>
      <c r="AC23" s="4" t="str">
        <f t="shared" si="5"/>
        <v/>
      </c>
      <c r="AD23" s="112" t="e">
        <f>INDEX('Armado Presupuesto'!$B$6:$U$7,2,MATCH(Presupuesto!L23,'Armado Presupuesto'!$B$6:$U$6,0))</f>
        <v>#N/A</v>
      </c>
      <c r="AF23" s="111" t="str">
        <f>IFERROR(INDEX('Armado Presupuesto'!$B$7:$U$15,3,MATCH(L23,'Armado Presupuesto'!$B$6:$U$6,0)),"")</f>
        <v/>
      </c>
      <c r="AG23" t="str">
        <f>IF(AF23="Si","varias descripciones",IF(O23="","",VLOOKUP(O23,Precios_Lista[],4,FALSE)))</f>
        <v/>
      </c>
      <c r="AH23" t="e">
        <f t="shared" si="8"/>
        <v>#N/A</v>
      </c>
    </row>
    <row r="24" spans="2:34" x14ac:dyDescent="0.25">
      <c r="B24" s="101" t="str">
        <f t="shared" si="2"/>
        <v/>
      </c>
      <c r="C24" s="128" t="str">
        <f t="shared" si="3"/>
        <v xml:space="preserve">     </v>
      </c>
      <c r="D24" s="124" t="str">
        <f t="shared" si="7"/>
        <v/>
      </c>
      <c r="E24" s="102" t="str">
        <f t="shared" si="0"/>
        <v/>
      </c>
      <c r="F24" s="132" t="str">
        <f t="shared" si="1"/>
        <v/>
      </c>
      <c r="G24" s="132" t="str">
        <f t="shared" si="4"/>
        <v/>
      </c>
      <c r="H24" s="137"/>
      <c r="J24" s="88"/>
      <c r="L24" s="111" t="str">
        <f>IF('Armado Presupuesto'!L18="","",Presupuesto!M24)</f>
        <v/>
      </c>
      <c r="M24" s="111">
        <v>110</v>
      </c>
      <c r="N24" s="111" t="str">
        <f>IF($L24="","",INDEX('Armado Presupuesto'!$B$7:$U$15,9,MATCH(L24,'Armado Presupuesto'!$B$6:$U$6,0)))</f>
        <v/>
      </c>
      <c r="O24" s="112" t="str">
        <f>IF($L24="","",INDEX('Armado Presupuesto'!$B$7:$U$15,2,MATCH(L24,'Armado Presupuesto'!$B$6:$U$6,0)))</f>
        <v/>
      </c>
      <c r="P24" s="112" t="str">
        <f>IF($L24="","",INDEX('Armado Presupuesto'!$B$7:$U$15,4,MATCH(L24,'Armado Presupuesto'!$B$6:$U$6,0)))</f>
        <v/>
      </c>
      <c r="Q24" s="112" t="str">
        <f>IF($L24="","",INDEX('Armado Presupuesto'!$B$7:$U$15,5,MATCH(L24,'Armado Presupuesto'!$B$6:$U$6,0)))</f>
        <v/>
      </c>
      <c r="R24" s="112" t="str">
        <f>IF($L24="","",INDEX('Armado Presupuesto'!$B$7:$U$15,6,MATCH(L24,'Armado Presupuesto'!$B$6:$U$6,0)))</f>
        <v/>
      </c>
      <c r="S24" s="112" t="str">
        <f>IF($L24="","",INDEX('Armado Presupuesto'!$B$7:$U$15,7,MATCH(L24,'Armado Presupuesto'!$B$6:$U$6,0)))</f>
        <v/>
      </c>
      <c r="T24" s="112" t="str">
        <f>IF($L24="","",INDEX('Armado Presupuesto'!$B$7:$U$15,8,MATCH(L24,'Armado Presupuesto'!$B$6:$U$6,0)))</f>
        <v/>
      </c>
      <c r="U24" s="112" t="str">
        <f>IF(O24="","",VLOOKUP(O24,Precios_Lista[],4,FALSE))</f>
        <v/>
      </c>
      <c r="V24" s="112" t="e">
        <f>IF(P24=0,"",VLOOKUP(P24,Precios_Lista[],4,FALSE))</f>
        <v>#N/A</v>
      </c>
      <c r="W24" s="112" t="e">
        <f>IF(Q24=0,"",VLOOKUP(Q24,Precios_Lista[],4,FALSE))</f>
        <v>#N/A</v>
      </c>
      <c r="X24" s="112" t="e">
        <f>IF(R24=0,"",VLOOKUP(R24,Precios_Lista[],4,FALSE))</f>
        <v>#N/A</v>
      </c>
      <c r="Y24" s="112" t="e">
        <f>IF(S24=0,"",VLOOKUP(S24,Precios_Lista[],4,FALSE))</f>
        <v>#N/A</v>
      </c>
      <c r="Z24" s="112" t="e">
        <f>IF(T24=0,"",VLOOKUP(T24,Precios_Lista[],4,FALSE))</f>
        <v>#N/A</v>
      </c>
      <c r="AA24" s="112" t="str">
        <f>IF($L24="","",INDEX('Armado Presupuesto'!$B$18:$U$18,1,MATCH(L24,'Armado Presupuesto'!$B$6:$U$6,0)))</f>
        <v/>
      </c>
      <c r="AB24" s="112" t="str">
        <f>IF($L24="","",INDEX('Armado Presupuesto'!$B$31:$U$31,1,MATCH(L24,'Armado Presupuesto'!$B$6:$U$6,0)))</f>
        <v/>
      </c>
      <c r="AC24" s="4" t="str">
        <f t="shared" si="5"/>
        <v/>
      </c>
      <c r="AD24" s="112" t="e">
        <f>INDEX('Armado Presupuesto'!$B$6:$U$7,2,MATCH(Presupuesto!L24,'Armado Presupuesto'!$B$6:$U$6,0))</f>
        <v>#N/A</v>
      </c>
      <c r="AF24" s="111" t="str">
        <f>IFERROR(INDEX('Armado Presupuesto'!$B$7:$U$15,3,MATCH(L24,'Armado Presupuesto'!$B$6:$U$6,0)),"")</f>
        <v/>
      </c>
      <c r="AG24" t="str">
        <f>IF(AF24="Si","varias descripciones",IF(O24="","",VLOOKUP(O24,Precios_Lista[],4,FALSE)))</f>
        <v/>
      </c>
      <c r="AH24" t="e">
        <f t="shared" si="8"/>
        <v>#N/A</v>
      </c>
    </row>
    <row r="25" spans="2:34" x14ac:dyDescent="0.25">
      <c r="B25" s="101" t="str">
        <f t="shared" si="2"/>
        <v/>
      </c>
      <c r="C25" s="128" t="str">
        <f t="shared" si="3"/>
        <v xml:space="preserve">     </v>
      </c>
      <c r="D25" s="124" t="str">
        <f t="shared" si="7"/>
        <v/>
      </c>
      <c r="E25" s="102" t="str">
        <f t="shared" si="0"/>
        <v/>
      </c>
      <c r="F25" s="132" t="str">
        <f t="shared" si="1"/>
        <v/>
      </c>
      <c r="G25" s="132" t="str">
        <f t="shared" si="4"/>
        <v/>
      </c>
      <c r="H25" s="137"/>
      <c r="J25" s="88"/>
      <c r="L25" s="111" t="str">
        <f>IF('Armado Presupuesto'!M18="","",Presupuesto!M25)</f>
        <v/>
      </c>
      <c r="M25" s="111">
        <v>120</v>
      </c>
      <c r="N25" s="111" t="str">
        <f>IF($L25="","",INDEX('Armado Presupuesto'!$B$7:$U$15,9,MATCH(L25,'Armado Presupuesto'!$B$6:$U$6,0)))</f>
        <v/>
      </c>
      <c r="O25" s="112" t="str">
        <f>IF($L25="","",INDEX('Armado Presupuesto'!$B$7:$U$15,2,MATCH(L25,'Armado Presupuesto'!$B$6:$U$6,0)))</f>
        <v/>
      </c>
      <c r="P25" s="112" t="str">
        <f>IF($L25="","",INDEX('Armado Presupuesto'!$B$7:$U$15,4,MATCH(L25,'Armado Presupuesto'!$B$6:$U$6,0)))</f>
        <v/>
      </c>
      <c r="Q25" s="112" t="str">
        <f>IF($L25="","",INDEX('Armado Presupuesto'!$B$7:$U$15,5,MATCH(L25,'Armado Presupuesto'!$B$6:$U$6,0)))</f>
        <v/>
      </c>
      <c r="R25" s="112" t="str">
        <f>IF($L25="","",INDEX('Armado Presupuesto'!$B$7:$U$15,6,MATCH(L25,'Armado Presupuesto'!$B$6:$U$6,0)))</f>
        <v/>
      </c>
      <c r="S25" s="112" t="str">
        <f>IF($L25="","",INDEX('Armado Presupuesto'!$B$7:$U$15,7,MATCH(L25,'Armado Presupuesto'!$B$6:$U$6,0)))</f>
        <v/>
      </c>
      <c r="T25" s="112" t="str">
        <f>IF($L25="","",INDEX('Armado Presupuesto'!$B$7:$U$15,8,MATCH(L25,'Armado Presupuesto'!$B$6:$U$6,0)))</f>
        <v/>
      </c>
      <c r="U25" s="112" t="str">
        <f>IF(O25="","",VLOOKUP(O25,Precios_Lista[],4,FALSE))</f>
        <v/>
      </c>
      <c r="V25" s="112" t="e">
        <f>IF(P25=0,"",VLOOKUP(P25,Precios_Lista[],4,FALSE))</f>
        <v>#N/A</v>
      </c>
      <c r="W25" s="112" t="e">
        <f>IF(Q25=0,"",VLOOKUP(Q25,Precios_Lista[],4,FALSE))</f>
        <v>#N/A</v>
      </c>
      <c r="X25" s="112" t="e">
        <f>IF(R25=0,"",VLOOKUP(R25,Precios_Lista[],4,FALSE))</f>
        <v>#N/A</v>
      </c>
      <c r="Y25" s="112" t="e">
        <f>IF(S25=0,"",VLOOKUP(S25,Precios_Lista[],4,FALSE))</f>
        <v>#N/A</v>
      </c>
      <c r="Z25" s="112" t="e">
        <f>IF(T25=0,"",VLOOKUP(T25,Precios_Lista[],4,FALSE))</f>
        <v>#N/A</v>
      </c>
      <c r="AA25" s="112" t="str">
        <f>IF($L25="","",INDEX('Armado Presupuesto'!$B$18:$U$18,1,MATCH(L25,'Armado Presupuesto'!$B$6:$U$6,0)))</f>
        <v/>
      </c>
      <c r="AB25" s="112" t="str">
        <f>IF($L25="","",INDEX('Armado Presupuesto'!$B$31:$U$31,1,MATCH(L25,'Armado Presupuesto'!$B$6:$U$6,0)))</f>
        <v/>
      </c>
      <c r="AC25" s="4" t="str">
        <f t="shared" si="5"/>
        <v/>
      </c>
      <c r="AD25" s="112" t="e">
        <f>INDEX('Armado Presupuesto'!$B$6:$U$7,2,MATCH(Presupuesto!L25,'Armado Presupuesto'!$B$6:$U$6,0))</f>
        <v>#N/A</v>
      </c>
      <c r="AF25" s="111" t="str">
        <f>IFERROR(INDEX('Armado Presupuesto'!$B$7:$U$15,3,MATCH(L25,'Armado Presupuesto'!$B$6:$U$6,0)),"")</f>
        <v/>
      </c>
      <c r="AG25" t="str">
        <f>IF(AF25="Si","varias descripciones",IF(O25="","",VLOOKUP(O25,Precios_Lista[],4,FALSE)))</f>
        <v/>
      </c>
      <c r="AH25" t="e">
        <f t="shared" si="8"/>
        <v>#N/A</v>
      </c>
    </row>
    <row r="26" spans="2:34" x14ac:dyDescent="0.25">
      <c r="B26" s="92" t="str">
        <f t="shared" si="2"/>
        <v/>
      </c>
      <c r="C26" s="128" t="str">
        <f t="shared" si="3"/>
        <v xml:space="preserve">     </v>
      </c>
      <c r="D26" s="124" t="str">
        <f t="shared" si="7"/>
        <v/>
      </c>
      <c r="E26" s="93" t="str">
        <f t="shared" si="0"/>
        <v/>
      </c>
      <c r="F26" s="133" t="str">
        <f t="shared" si="1"/>
        <v/>
      </c>
      <c r="G26" s="133" t="str">
        <f t="shared" si="4"/>
        <v/>
      </c>
      <c r="H26" s="138"/>
      <c r="J26" s="88"/>
      <c r="L26" s="111" t="str">
        <f>IF('Armado Presupuesto'!N18="","",Presupuesto!M26)</f>
        <v/>
      </c>
      <c r="M26" s="111">
        <v>130</v>
      </c>
      <c r="N26" s="111" t="str">
        <f>IF($L26="","",INDEX('Armado Presupuesto'!$B$7:$U$15,9,MATCH(L26,'Armado Presupuesto'!$B$6:$U$6,0)))</f>
        <v/>
      </c>
      <c r="O26" s="112" t="str">
        <f>IF($L26="","",INDEX('Armado Presupuesto'!$B$7:$U$15,2,MATCH(L26,'Armado Presupuesto'!$B$6:$U$6,0)))</f>
        <v/>
      </c>
      <c r="P26" s="112" t="str">
        <f>IF($L26="","",INDEX('Armado Presupuesto'!$B$7:$U$15,4,MATCH(L26,'Armado Presupuesto'!$B$6:$U$6,0)))</f>
        <v/>
      </c>
      <c r="Q26" s="112" t="str">
        <f>IF($L26="","",INDEX('Armado Presupuesto'!$B$7:$U$15,5,MATCH(L26,'Armado Presupuesto'!$B$6:$U$6,0)))</f>
        <v/>
      </c>
      <c r="R26" s="112" t="str">
        <f>IF($L26="","",INDEX('Armado Presupuesto'!$B$7:$U$15,6,MATCH(L26,'Armado Presupuesto'!$B$6:$U$6,0)))</f>
        <v/>
      </c>
      <c r="S26" s="112" t="str">
        <f>IF($L26="","",INDEX('Armado Presupuesto'!$B$7:$U$15,7,MATCH(L26,'Armado Presupuesto'!$B$6:$U$6,0)))</f>
        <v/>
      </c>
      <c r="T26" s="112" t="str">
        <f>IF($L26="","",INDEX('Armado Presupuesto'!$B$7:$U$15,8,MATCH(L26,'Armado Presupuesto'!$B$6:$U$6,0)))</f>
        <v/>
      </c>
      <c r="U26" s="112" t="str">
        <f>IF(O26="","",VLOOKUP(O26,Precios_Lista[],4,FALSE))</f>
        <v/>
      </c>
      <c r="V26" s="112" t="e">
        <f>IF(P26=0,"",VLOOKUP(P26,Precios_Lista[],4,FALSE))</f>
        <v>#N/A</v>
      </c>
      <c r="W26" s="112" t="e">
        <f>IF(Q26=0,"",VLOOKUP(Q26,Precios_Lista[],4,FALSE))</f>
        <v>#N/A</v>
      </c>
      <c r="X26" s="112" t="e">
        <f>IF(R26=0,"",VLOOKUP(R26,Precios_Lista[],4,FALSE))</f>
        <v>#N/A</v>
      </c>
      <c r="Y26" s="112" t="e">
        <f>IF(S26=0,"",VLOOKUP(S26,Precios_Lista[],4,FALSE))</f>
        <v>#N/A</v>
      </c>
      <c r="Z26" s="112" t="e">
        <f>IF(T26=0,"",VLOOKUP(T26,Precios_Lista[],4,FALSE))</f>
        <v>#N/A</v>
      </c>
      <c r="AA26" s="112" t="str">
        <f>IF($L26="","",INDEX('Armado Presupuesto'!$B$18:$U$18,1,MATCH(L26,'Armado Presupuesto'!$B$6:$U$6,0)))</f>
        <v/>
      </c>
      <c r="AB26" s="112" t="str">
        <f>IF($L26="","",INDEX('Armado Presupuesto'!$B$31:$U$31,1,MATCH(L26,'Armado Presupuesto'!$B$6:$U$6,0)))</f>
        <v/>
      </c>
      <c r="AC26" s="4" t="str">
        <f t="shared" si="5"/>
        <v/>
      </c>
      <c r="AD26" s="112" t="e">
        <f>INDEX('Armado Presupuesto'!$B$6:$U$7,2,MATCH(Presupuesto!L26,'Armado Presupuesto'!$B$6:$U$6,0))</f>
        <v>#N/A</v>
      </c>
      <c r="AF26" s="111" t="str">
        <f>IFERROR(INDEX('Armado Presupuesto'!$B$7:$U$15,3,MATCH(L26,'Armado Presupuesto'!$B$6:$U$6,0)),"")</f>
        <v/>
      </c>
      <c r="AG26" t="str">
        <f>IF(AF26="Si","varias descripciones",IF(O26="","",VLOOKUP(O26,Precios_Lista[],4,FALSE)))</f>
        <v/>
      </c>
      <c r="AH26" t="e">
        <f t="shared" si="8"/>
        <v>#N/A</v>
      </c>
    </row>
    <row r="27" spans="2:34" x14ac:dyDescent="0.25">
      <c r="B27" s="101" t="str">
        <f t="shared" si="2"/>
        <v/>
      </c>
      <c r="C27" s="128" t="str">
        <f t="shared" si="3"/>
        <v xml:space="preserve">     </v>
      </c>
      <c r="D27" s="124" t="str">
        <f t="shared" si="7"/>
        <v/>
      </c>
      <c r="E27" s="102" t="str">
        <f t="shared" si="0"/>
        <v/>
      </c>
      <c r="F27" s="132" t="str">
        <f t="shared" si="1"/>
        <v/>
      </c>
      <c r="G27" s="132" t="str">
        <f t="shared" si="4"/>
        <v/>
      </c>
      <c r="H27" s="137"/>
      <c r="J27" s="88"/>
      <c r="L27" s="111" t="str">
        <f>IF('Armado Presupuesto'!O18="","",Presupuesto!M27)</f>
        <v/>
      </c>
      <c r="M27" s="111">
        <v>140</v>
      </c>
      <c r="N27" s="111" t="str">
        <f>IF($L27="","",INDEX('Armado Presupuesto'!$B$7:$U$15,9,MATCH(L27,'Armado Presupuesto'!$B$6:$U$6,0)))</f>
        <v/>
      </c>
      <c r="O27" s="112" t="str">
        <f>IF($L27="","",INDEX('Armado Presupuesto'!$B$7:$U$15,2,MATCH(L27,'Armado Presupuesto'!$B$6:$U$6,0)))</f>
        <v/>
      </c>
      <c r="P27" s="112" t="str">
        <f>IF($L27="","",INDEX('Armado Presupuesto'!$B$7:$U$15,4,MATCH(L27,'Armado Presupuesto'!$B$6:$U$6,0)))</f>
        <v/>
      </c>
      <c r="Q27" s="112" t="str">
        <f>IF($L27="","",INDEX('Armado Presupuesto'!$B$7:$U$15,5,MATCH(L27,'Armado Presupuesto'!$B$6:$U$6,0)))</f>
        <v/>
      </c>
      <c r="R27" s="112" t="str">
        <f>IF($L27="","",INDEX('Armado Presupuesto'!$B$7:$U$15,6,MATCH(L27,'Armado Presupuesto'!$B$6:$U$6,0)))</f>
        <v/>
      </c>
      <c r="S27" s="112" t="str">
        <f>IF($L27="","",INDEX('Armado Presupuesto'!$B$7:$U$15,7,MATCH(L27,'Armado Presupuesto'!$B$6:$U$6,0)))</f>
        <v/>
      </c>
      <c r="T27" s="112" t="str">
        <f>IF($L27="","",INDEX('Armado Presupuesto'!$B$7:$U$15,8,MATCH(L27,'Armado Presupuesto'!$B$6:$U$6,0)))</f>
        <v/>
      </c>
      <c r="U27" s="112" t="str">
        <f>IF(O27="","",VLOOKUP(O27,Precios_Lista[],4,FALSE))</f>
        <v/>
      </c>
      <c r="V27" s="112" t="e">
        <f>IF(P27=0,"",VLOOKUP(P27,Precios_Lista[],4,FALSE))</f>
        <v>#N/A</v>
      </c>
      <c r="W27" s="112" t="e">
        <f>IF(Q27=0,"",VLOOKUP(Q27,Precios_Lista[],4,FALSE))</f>
        <v>#N/A</v>
      </c>
      <c r="X27" s="112" t="e">
        <f>IF(R27=0,"",VLOOKUP(R27,Precios_Lista[],4,FALSE))</f>
        <v>#N/A</v>
      </c>
      <c r="Y27" s="112" t="e">
        <f>IF(S27=0,"",VLOOKUP(S27,Precios_Lista[],4,FALSE))</f>
        <v>#N/A</v>
      </c>
      <c r="Z27" s="112" t="e">
        <f>IF(T27=0,"",VLOOKUP(T27,Precios_Lista[],4,FALSE))</f>
        <v>#N/A</v>
      </c>
      <c r="AA27" s="112" t="str">
        <f>IF($L27="","",INDEX('Armado Presupuesto'!$B$18:$U$18,1,MATCH(L27,'Armado Presupuesto'!$B$6:$U$6,0)))</f>
        <v/>
      </c>
      <c r="AB27" s="112" t="str">
        <f>IF($L27="","",INDEX('Armado Presupuesto'!$B$31:$U$31,1,MATCH(L27,'Armado Presupuesto'!$B$6:$U$6,0)))</f>
        <v/>
      </c>
      <c r="AC27" s="4" t="str">
        <f t="shared" si="5"/>
        <v/>
      </c>
      <c r="AD27" s="112" t="e">
        <f>INDEX('Armado Presupuesto'!$B$6:$U$7,2,MATCH(Presupuesto!L27,'Armado Presupuesto'!$B$6:$U$6,0))</f>
        <v>#N/A</v>
      </c>
      <c r="AF27" s="111" t="str">
        <f>IFERROR(INDEX('Armado Presupuesto'!$B$7:$U$15,3,MATCH(L27,'Armado Presupuesto'!$B$6:$U$6,0)),"")</f>
        <v/>
      </c>
      <c r="AG27" t="str">
        <f>IF(AF27="Si","varias descripciones",IF(O27="","",VLOOKUP(O27,Precios_Lista[],4,FALSE)))</f>
        <v/>
      </c>
      <c r="AH27" t="e">
        <f t="shared" si="8"/>
        <v>#N/A</v>
      </c>
    </row>
    <row r="28" spans="2:34" x14ac:dyDescent="0.25">
      <c r="B28" s="101" t="str">
        <f t="shared" si="2"/>
        <v/>
      </c>
      <c r="C28" s="128" t="str">
        <f t="shared" si="3"/>
        <v xml:space="preserve">     </v>
      </c>
      <c r="D28" s="124" t="str">
        <f t="shared" si="7"/>
        <v/>
      </c>
      <c r="E28" s="102" t="str">
        <f t="shared" si="0"/>
        <v/>
      </c>
      <c r="F28" s="132" t="str">
        <f t="shared" si="1"/>
        <v/>
      </c>
      <c r="G28" s="132" t="str">
        <f t="shared" si="4"/>
        <v/>
      </c>
      <c r="H28" s="137"/>
      <c r="J28" s="88"/>
      <c r="L28" s="111" t="str">
        <f>IF('Armado Presupuesto'!P18="","",Presupuesto!M28)</f>
        <v/>
      </c>
      <c r="M28" s="111">
        <v>150</v>
      </c>
      <c r="N28" s="111" t="str">
        <f>IF($L28="","",INDEX('Armado Presupuesto'!$B$7:$U$15,9,MATCH(L28,'Armado Presupuesto'!$B$6:$U$6,0)))</f>
        <v/>
      </c>
      <c r="O28" s="112" t="str">
        <f>IF($L28="","",INDEX('Armado Presupuesto'!$B$7:$U$15,2,MATCH(L28,'Armado Presupuesto'!$B$6:$U$6,0)))</f>
        <v/>
      </c>
      <c r="P28" s="112" t="str">
        <f>IF($L28="","",INDEX('Armado Presupuesto'!$B$7:$U$15,4,MATCH(L28,'Armado Presupuesto'!$B$6:$U$6,0)))</f>
        <v/>
      </c>
      <c r="Q28" s="112" t="str">
        <f>IF($L28="","",INDEX('Armado Presupuesto'!$B$7:$U$15,5,MATCH(L28,'Armado Presupuesto'!$B$6:$U$6,0)))</f>
        <v/>
      </c>
      <c r="R28" s="112" t="str">
        <f>IF($L28="","",INDEX('Armado Presupuesto'!$B$7:$U$15,6,MATCH(L28,'Armado Presupuesto'!$B$6:$U$6,0)))</f>
        <v/>
      </c>
      <c r="S28" s="112" t="str">
        <f>IF($L28="","",INDEX('Armado Presupuesto'!$B$7:$U$15,7,MATCH(L28,'Armado Presupuesto'!$B$6:$U$6,0)))</f>
        <v/>
      </c>
      <c r="T28" s="112" t="str">
        <f>IF($L28="","",INDEX('Armado Presupuesto'!$B$7:$U$15,8,MATCH(L28,'Armado Presupuesto'!$B$6:$U$6,0)))</f>
        <v/>
      </c>
      <c r="U28" s="112" t="str">
        <f>IF(O28="","",VLOOKUP(O28,Precios_Lista[],4,FALSE))</f>
        <v/>
      </c>
      <c r="V28" s="112" t="e">
        <f>IF(P28=0,"",VLOOKUP(P28,Precios_Lista[],4,FALSE))</f>
        <v>#N/A</v>
      </c>
      <c r="W28" s="112" t="e">
        <f>IF(Q28=0,"",VLOOKUP(Q28,Precios_Lista[],4,FALSE))</f>
        <v>#N/A</v>
      </c>
      <c r="X28" s="112" t="e">
        <f>IF(R28=0,"",VLOOKUP(R28,Precios_Lista[],4,FALSE))</f>
        <v>#N/A</v>
      </c>
      <c r="Y28" s="112" t="e">
        <f>IF(S28=0,"",VLOOKUP(S28,Precios_Lista[],4,FALSE))</f>
        <v>#N/A</v>
      </c>
      <c r="Z28" s="112" t="e">
        <f>IF(T28=0,"",VLOOKUP(T28,Precios_Lista[],4,FALSE))</f>
        <v>#N/A</v>
      </c>
      <c r="AA28" s="112" t="str">
        <f>IF($L28="","",INDEX('Armado Presupuesto'!$B$18:$U$18,1,MATCH(L28,'Armado Presupuesto'!$B$6:$U$6,0)))</f>
        <v/>
      </c>
      <c r="AB28" s="112" t="str">
        <f>IF($L28="","",INDEX('Armado Presupuesto'!$B$31:$U$31,1,MATCH(L28,'Armado Presupuesto'!$B$6:$U$6,0)))</f>
        <v/>
      </c>
      <c r="AC28" s="4" t="str">
        <f t="shared" si="5"/>
        <v/>
      </c>
      <c r="AD28" s="112" t="e">
        <f>INDEX('Armado Presupuesto'!$B$6:$U$7,2,MATCH(Presupuesto!L28,'Armado Presupuesto'!$B$6:$U$6,0))</f>
        <v>#N/A</v>
      </c>
      <c r="AF28" s="111" t="str">
        <f>IFERROR(INDEX('Armado Presupuesto'!$B$7:$U$15,3,MATCH(L28,'Armado Presupuesto'!$B$6:$U$6,0)),"")</f>
        <v/>
      </c>
      <c r="AG28" t="str">
        <f>IF(AF28="Si","varias descripciones",IF(O28="","",VLOOKUP(O28,Precios_Lista[],4,FALSE)))</f>
        <v/>
      </c>
      <c r="AH28" t="e">
        <f t="shared" si="8"/>
        <v>#N/A</v>
      </c>
    </row>
    <row r="29" spans="2:34" x14ac:dyDescent="0.25">
      <c r="B29" s="101" t="str">
        <f t="shared" si="2"/>
        <v/>
      </c>
      <c r="C29" s="128" t="str">
        <f t="shared" si="3"/>
        <v xml:space="preserve">     </v>
      </c>
      <c r="D29" s="124" t="str">
        <f t="shared" si="7"/>
        <v/>
      </c>
      <c r="E29" s="102" t="str">
        <f t="shared" si="0"/>
        <v/>
      </c>
      <c r="F29" s="132" t="str">
        <f t="shared" si="1"/>
        <v/>
      </c>
      <c r="G29" s="132" t="str">
        <f t="shared" si="4"/>
        <v/>
      </c>
      <c r="H29" s="137"/>
      <c r="J29" s="88"/>
      <c r="L29" s="111" t="str">
        <f>IF('Armado Presupuesto'!Q18="","",Presupuesto!M29)</f>
        <v/>
      </c>
      <c r="M29" s="111">
        <v>160</v>
      </c>
      <c r="N29" s="111" t="str">
        <f>IF($L29="","",INDEX('Armado Presupuesto'!$B$7:$U$15,9,MATCH(L29,'Armado Presupuesto'!$B$6:$U$6,0)))</f>
        <v/>
      </c>
      <c r="O29" s="112" t="str">
        <f>IF($L29="","",INDEX('Armado Presupuesto'!$B$7:$U$15,2,MATCH(L29,'Armado Presupuesto'!$B$6:$U$6,0)))</f>
        <v/>
      </c>
      <c r="P29" s="112" t="str">
        <f>IF($L29="","",INDEX('Armado Presupuesto'!$B$7:$U$15,4,MATCH(L29,'Armado Presupuesto'!$B$6:$U$6,0)))</f>
        <v/>
      </c>
      <c r="Q29" s="112" t="str">
        <f>IF($L29="","",INDEX('Armado Presupuesto'!$B$7:$U$15,5,MATCH(L29,'Armado Presupuesto'!$B$6:$U$6,0)))</f>
        <v/>
      </c>
      <c r="R29" s="112" t="str">
        <f>IF($L29="","",INDEX('Armado Presupuesto'!$B$7:$U$15,6,MATCH(L29,'Armado Presupuesto'!$B$6:$U$6,0)))</f>
        <v/>
      </c>
      <c r="S29" s="112" t="str">
        <f>IF($L29="","",INDEX('Armado Presupuesto'!$B$7:$U$15,7,MATCH(L29,'Armado Presupuesto'!$B$6:$U$6,0)))</f>
        <v/>
      </c>
      <c r="T29" s="112" t="str">
        <f>IF($L29="","",INDEX('Armado Presupuesto'!$B$7:$U$15,8,MATCH(L29,'Armado Presupuesto'!$B$6:$U$6,0)))</f>
        <v/>
      </c>
      <c r="U29" s="112" t="str">
        <f>IF(O29="","",VLOOKUP(O29,Precios_Lista[],4,FALSE))</f>
        <v/>
      </c>
      <c r="V29" s="112" t="e">
        <f>IF(P29=0,"",VLOOKUP(P29,Precios_Lista[],4,FALSE))</f>
        <v>#N/A</v>
      </c>
      <c r="W29" s="112" t="e">
        <f>IF(Q29=0,"",VLOOKUP(Q29,Precios_Lista[],4,FALSE))</f>
        <v>#N/A</v>
      </c>
      <c r="X29" s="112" t="e">
        <f>IF(R29=0,"",VLOOKUP(R29,Precios_Lista[],4,FALSE))</f>
        <v>#N/A</v>
      </c>
      <c r="Y29" s="112" t="e">
        <f>IF(S29=0,"",VLOOKUP(S29,Precios_Lista[],4,FALSE))</f>
        <v>#N/A</v>
      </c>
      <c r="Z29" s="112" t="e">
        <f>IF(T29=0,"",VLOOKUP(T29,Precios_Lista[],4,FALSE))</f>
        <v>#N/A</v>
      </c>
      <c r="AA29" s="112" t="str">
        <f>IF($L29="","",INDEX('Armado Presupuesto'!$B$18:$U$18,1,MATCH(L29,'Armado Presupuesto'!$B$6:$U$6,0)))</f>
        <v/>
      </c>
      <c r="AB29" s="112" t="str">
        <f>IF($L29="","",INDEX('Armado Presupuesto'!$B$31:$U$31,1,MATCH(L29,'Armado Presupuesto'!$B$6:$U$6,0)))</f>
        <v/>
      </c>
      <c r="AC29" s="4" t="str">
        <f t="shared" si="5"/>
        <v/>
      </c>
      <c r="AD29" s="112" t="e">
        <f>INDEX('Armado Presupuesto'!$B$6:$U$7,2,MATCH(Presupuesto!L29,'Armado Presupuesto'!$B$6:$U$6,0))</f>
        <v>#N/A</v>
      </c>
      <c r="AF29" s="111" t="str">
        <f>IFERROR(INDEX('Armado Presupuesto'!$B$7:$U$15,3,MATCH(L29,'Armado Presupuesto'!$B$6:$U$6,0)),"")</f>
        <v/>
      </c>
      <c r="AG29" t="str">
        <f>IF(AF29="Si","varias descripciones",IF(O29="","",VLOOKUP(O29,Precios_Lista[],4,FALSE)))</f>
        <v/>
      </c>
      <c r="AH29" t="e">
        <f t="shared" si="8"/>
        <v>#N/A</v>
      </c>
    </row>
    <row r="30" spans="2:34" x14ac:dyDescent="0.25">
      <c r="B30" s="101" t="str">
        <f t="shared" si="2"/>
        <v/>
      </c>
      <c r="C30" s="128" t="str">
        <f t="shared" si="3"/>
        <v xml:space="preserve">     </v>
      </c>
      <c r="D30" s="124" t="str">
        <f t="shared" si="7"/>
        <v/>
      </c>
      <c r="E30" s="102" t="str">
        <f t="shared" si="0"/>
        <v/>
      </c>
      <c r="F30" s="132" t="str">
        <f t="shared" si="1"/>
        <v/>
      </c>
      <c r="G30" s="132" t="str">
        <f t="shared" si="4"/>
        <v/>
      </c>
      <c r="H30" s="137"/>
      <c r="J30" s="88"/>
      <c r="L30" s="111" t="str">
        <f>IF('Armado Presupuesto'!R18="","",Presupuesto!M30)</f>
        <v/>
      </c>
      <c r="M30" s="111">
        <v>170</v>
      </c>
      <c r="N30" s="111" t="str">
        <f>IF($L30="","",INDEX('Armado Presupuesto'!$B$7:$U$15,9,MATCH(L30,'Armado Presupuesto'!$B$6:$U$6,0)))</f>
        <v/>
      </c>
      <c r="O30" s="112" t="str">
        <f>IF($L30="","",INDEX('Armado Presupuesto'!$B$7:$U$15,2,MATCH(L30,'Armado Presupuesto'!$B$6:$U$6,0)))</f>
        <v/>
      </c>
      <c r="P30" s="112" t="str">
        <f>IF($L30="","",INDEX('Armado Presupuesto'!$B$7:$U$15,4,MATCH(L30,'Armado Presupuesto'!$B$6:$U$6,0)))</f>
        <v/>
      </c>
      <c r="Q30" s="112" t="str">
        <f>IF($L30="","",INDEX('Armado Presupuesto'!$B$7:$U$15,5,MATCH(L30,'Armado Presupuesto'!$B$6:$U$6,0)))</f>
        <v/>
      </c>
      <c r="R30" s="112" t="str">
        <f>IF($L30="","",INDEX('Armado Presupuesto'!$B$7:$U$15,6,MATCH(L30,'Armado Presupuesto'!$B$6:$U$6,0)))</f>
        <v/>
      </c>
      <c r="S30" s="112" t="str">
        <f>IF($L30="","",INDEX('Armado Presupuesto'!$B$7:$U$15,7,MATCH(L30,'Armado Presupuesto'!$B$6:$U$6,0)))</f>
        <v/>
      </c>
      <c r="T30" s="112" t="str">
        <f>IF($L30="","",INDEX('Armado Presupuesto'!$B$7:$U$15,8,MATCH(L30,'Armado Presupuesto'!$B$6:$U$6,0)))</f>
        <v/>
      </c>
      <c r="U30" s="112" t="str">
        <f>IF(O30="","",VLOOKUP(O30,Precios_Lista[],4,FALSE))</f>
        <v/>
      </c>
      <c r="V30" s="112" t="e">
        <f>IF(P30=0,"",VLOOKUP(P30,Precios_Lista[],4,FALSE))</f>
        <v>#N/A</v>
      </c>
      <c r="W30" s="112" t="e">
        <f>IF(Q30=0,"",VLOOKUP(Q30,Precios_Lista[],4,FALSE))</f>
        <v>#N/A</v>
      </c>
      <c r="X30" s="112" t="e">
        <f>IF(R30=0,"",VLOOKUP(R30,Precios_Lista[],4,FALSE))</f>
        <v>#N/A</v>
      </c>
      <c r="Y30" s="112" t="e">
        <f>IF(S30=0,"",VLOOKUP(S30,Precios_Lista[],4,FALSE))</f>
        <v>#N/A</v>
      </c>
      <c r="Z30" s="112" t="e">
        <f>IF(T30=0,"",VLOOKUP(T30,Precios_Lista[],4,FALSE))</f>
        <v>#N/A</v>
      </c>
      <c r="AA30" s="112" t="str">
        <f>IF($L30="","",INDEX('Armado Presupuesto'!$B$18:$U$18,1,MATCH(L30,'Armado Presupuesto'!$B$6:$U$6,0)))</f>
        <v/>
      </c>
      <c r="AB30" s="112" t="str">
        <f>IF($L30="","",INDEX('Armado Presupuesto'!$B$31:$U$31,1,MATCH(L30,'Armado Presupuesto'!$B$6:$U$6,0)))</f>
        <v/>
      </c>
      <c r="AC30" s="4" t="str">
        <f t="shared" si="5"/>
        <v/>
      </c>
      <c r="AD30" s="112" t="e">
        <f>INDEX('Armado Presupuesto'!$B$6:$U$7,2,MATCH(Presupuesto!L30,'Armado Presupuesto'!$B$6:$U$6,0))</f>
        <v>#N/A</v>
      </c>
      <c r="AF30" s="111" t="str">
        <f>IFERROR(INDEX('Armado Presupuesto'!$B$7:$U$15,3,MATCH(L30,'Armado Presupuesto'!$B$6:$U$6,0)),"")</f>
        <v/>
      </c>
      <c r="AG30" t="str">
        <f>IF(AF30="Si","varias descripciones",IF(O30="","",VLOOKUP(O30,Precios_Lista[],4,FALSE)))</f>
        <v/>
      </c>
      <c r="AH30" t="e">
        <f t="shared" si="8"/>
        <v>#N/A</v>
      </c>
    </row>
    <row r="31" spans="2:34" x14ac:dyDescent="0.25">
      <c r="B31" s="92" t="str">
        <f t="shared" si="2"/>
        <v/>
      </c>
      <c r="C31" s="128" t="str">
        <f t="shared" si="3"/>
        <v xml:space="preserve">     </v>
      </c>
      <c r="D31" s="124" t="str">
        <f t="shared" si="7"/>
        <v/>
      </c>
      <c r="E31" s="93" t="str">
        <f t="shared" si="0"/>
        <v/>
      </c>
      <c r="F31" s="133" t="str">
        <f t="shared" si="1"/>
        <v/>
      </c>
      <c r="G31" s="133" t="str">
        <f t="shared" si="4"/>
        <v/>
      </c>
      <c r="H31" s="138"/>
      <c r="J31" s="88"/>
      <c r="L31" s="111" t="str">
        <f>IF('Armado Presupuesto'!S18="","",Presupuesto!M31)</f>
        <v/>
      </c>
      <c r="M31" s="111">
        <v>180</v>
      </c>
      <c r="N31" s="111" t="str">
        <f>IF($L31="","",INDEX('Armado Presupuesto'!$B$7:$U$15,9,MATCH(L31,'Armado Presupuesto'!$B$6:$U$6,0)))</f>
        <v/>
      </c>
      <c r="O31" s="112" t="str">
        <f>IF($L31="","",INDEX('Armado Presupuesto'!$B$7:$U$15,2,MATCH(L31,'Armado Presupuesto'!$B$6:$U$6,0)))</f>
        <v/>
      </c>
      <c r="P31" s="112" t="str">
        <f>IF($L31="","",INDEX('Armado Presupuesto'!$B$7:$U$15,4,MATCH(L31,'Armado Presupuesto'!$B$6:$U$6,0)))</f>
        <v/>
      </c>
      <c r="Q31" s="112" t="str">
        <f>IF($L31="","",INDEX('Armado Presupuesto'!$B$7:$U$15,5,MATCH(L31,'Armado Presupuesto'!$B$6:$U$6,0)))</f>
        <v/>
      </c>
      <c r="R31" s="112" t="str">
        <f>IF($L31="","",INDEX('Armado Presupuesto'!$B$7:$U$15,6,MATCH(L31,'Armado Presupuesto'!$B$6:$U$6,0)))</f>
        <v/>
      </c>
      <c r="S31" s="112" t="str">
        <f>IF($L31="","",INDEX('Armado Presupuesto'!$B$7:$U$15,7,MATCH(L31,'Armado Presupuesto'!$B$6:$U$6,0)))</f>
        <v/>
      </c>
      <c r="T31" s="112" t="str">
        <f>IF($L31="","",INDEX('Armado Presupuesto'!$B$7:$U$15,8,MATCH(L31,'Armado Presupuesto'!$B$6:$U$6,0)))</f>
        <v/>
      </c>
      <c r="U31" s="112" t="str">
        <f>IF(O31="","",VLOOKUP(O31,Precios_Lista[],4,FALSE))</f>
        <v/>
      </c>
      <c r="V31" s="112" t="e">
        <f>IF(P31=0,"",VLOOKUP(P31,Precios_Lista[],4,FALSE))</f>
        <v>#N/A</v>
      </c>
      <c r="W31" s="112" t="e">
        <f>IF(Q31=0,"",VLOOKUP(Q31,Precios_Lista[],4,FALSE))</f>
        <v>#N/A</v>
      </c>
      <c r="X31" s="112" t="e">
        <f>IF(R31=0,"",VLOOKUP(R31,Precios_Lista[],4,FALSE))</f>
        <v>#N/A</v>
      </c>
      <c r="Y31" s="112" t="e">
        <f>IF(S31=0,"",VLOOKUP(S31,Precios_Lista[],4,FALSE))</f>
        <v>#N/A</v>
      </c>
      <c r="Z31" s="112" t="e">
        <f>IF(T31=0,"",VLOOKUP(T31,Precios_Lista[],4,FALSE))</f>
        <v>#N/A</v>
      </c>
      <c r="AA31" s="112" t="str">
        <f>IF($L31="","",INDEX('Armado Presupuesto'!$B$18:$U$18,1,MATCH(L31,'Armado Presupuesto'!$B$6:$U$6,0)))</f>
        <v/>
      </c>
      <c r="AB31" s="112" t="str">
        <f>IF($L31="","",INDEX('Armado Presupuesto'!$B$31:$U$31,1,MATCH(L31,'Armado Presupuesto'!$B$6:$U$6,0)))</f>
        <v/>
      </c>
      <c r="AC31" s="4" t="str">
        <f t="shared" si="5"/>
        <v/>
      </c>
      <c r="AD31" s="112" t="e">
        <f>INDEX('Armado Presupuesto'!$B$6:$U$7,2,MATCH(Presupuesto!L31,'Armado Presupuesto'!$B$6:$U$6,0))</f>
        <v>#N/A</v>
      </c>
      <c r="AF31" s="111" t="str">
        <f>IFERROR(INDEX('Armado Presupuesto'!$B$7:$U$15,3,MATCH(L31,'Armado Presupuesto'!$B$6:$U$6,0)),"")</f>
        <v/>
      </c>
      <c r="AG31" t="str">
        <f>IF(AF31="Si","varias descripciones",IF(O31="","",VLOOKUP(O31,Precios_Lista[],4,FALSE)))</f>
        <v/>
      </c>
      <c r="AH31" t="e">
        <f t="shared" si="8"/>
        <v>#N/A</v>
      </c>
    </row>
    <row r="32" spans="2:34" x14ac:dyDescent="0.25">
      <c r="B32" s="101" t="str">
        <f t="shared" si="2"/>
        <v/>
      </c>
      <c r="C32" s="128" t="str">
        <f t="shared" si="3"/>
        <v xml:space="preserve">     </v>
      </c>
      <c r="D32" s="124" t="str">
        <f t="shared" si="7"/>
        <v/>
      </c>
      <c r="E32" s="102" t="str">
        <f t="shared" si="0"/>
        <v/>
      </c>
      <c r="F32" s="132" t="str">
        <f t="shared" si="1"/>
        <v/>
      </c>
      <c r="G32" s="132" t="str">
        <f t="shared" si="4"/>
        <v/>
      </c>
      <c r="H32" s="137"/>
      <c r="J32" s="88"/>
      <c r="L32" s="111" t="str">
        <f>IF('Armado Presupuesto'!T18="","",Presupuesto!M32)</f>
        <v/>
      </c>
      <c r="M32" s="111">
        <v>190</v>
      </c>
      <c r="N32" s="111" t="str">
        <f>IF($L32="","",INDEX('Armado Presupuesto'!$B$7:$U$15,9,MATCH(L32,'Armado Presupuesto'!$B$6:$U$6,0)))</f>
        <v/>
      </c>
      <c r="O32" s="112" t="str">
        <f>IF($L32="","",INDEX('Armado Presupuesto'!$B$7:$U$15,2,MATCH(L32,'Armado Presupuesto'!$B$6:$U$6,0)))</f>
        <v/>
      </c>
      <c r="P32" s="112" t="str">
        <f>IF($L32="","",INDEX('Armado Presupuesto'!$B$7:$U$15,4,MATCH(L32,'Armado Presupuesto'!$B$6:$U$6,0)))</f>
        <v/>
      </c>
      <c r="Q32" s="112" t="str">
        <f>IF($L32="","",INDEX('Armado Presupuesto'!$B$7:$U$15,5,MATCH(L32,'Armado Presupuesto'!$B$6:$U$6,0)))</f>
        <v/>
      </c>
      <c r="R32" s="112" t="str">
        <f>IF($L32="","",INDEX('Armado Presupuesto'!$B$7:$U$15,6,MATCH(L32,'Armado Presupuesto'!$B$6:$U$6,0)))</f>
        <v/>
      </c>
      <c r="S32" s="112" t="str">
        <f>IF($L32="","",INDEX('Armado Presupuesto'!$B$7:$U$15,7,MATCH(L32,'Armado Presupuesto'!$B$6:$U$6,0)))</f>
        <v/>
      </c>
      <c r="T32" s="112" t="str">
        <f>IF($L32="","",INDEX('Armado Presupuesto'!$B$7:$U$15,8,MATCH(L32,'Armado Presupuesto'!$B$6:$U$6,0)))</f>
        <v/>
      </c>
      <c r="U32" s="112" t="str">
        <f>IF(O32="","",VLOOKUP(O32,Precios_Lista[],4,FALSE))</f>
        <v/>
      </c>
      <c r="V32" s="112" t="e">
        <f>IF(P32=0,"",VLOOKUP(P32,Precios_Lista[],4,FALSE))</f>
        <v>#N/A</v>
      </c>
      <c r="W32" s="112" t="e">
        <f>IF(Q32=0,"",VLOOKUP(Q32,Precios_Lista[],4,FALSE))</f>
        <v>#N/A</v>
      </c>
      <c r="X32" s="112" t="e">
        <f>IF(R32=0,"",VLOOKUP(R32,Precios_Lista[],4,FALSE))</f>
        <v>#N/A</v>
      </c>
      <c r="Y32" s="112" t="e">
        <f>IF(S32=0,"",VLOOKUP(S32,Precios_Lista[],4,FALSE))</f>
        <v>#N/A</v>
      </c>
      <c r="Z32" s="112" t="e">
        <f>IF(T32=0,"",VLOOKUP(T32,Precios_Lista[],4,FALSE))</f>
        <v>#N/A</v>
      </c>
      <c r="AA32" s="112" t="str">
        <f>IF($L32="","",INDEX('Armado Presupuesto'!$B$18:$U$18,1,MATCH(L32,'Armado Presupuesto'!$B$6:$U$6,0)))</f>
        <v/>
      </c>
      <c r="AB32" s="112" t="str">
        <f>IF($L32="","",INDEX('Armado Presupuesto'!$B$31:$U$31,1,MATCH(L32,'Armado Presupuesto'!$B$6:$U$6,0)))</f>
        <v/>
      </c>
      <c r="AC32" s="4" t="str">
        <f t="shared" si="5"/>
        <v/>
      </c>
      <c r="AD32" s="112" t="e">
        <f>INDEX('Armado Presupuesto'!$B$6:$U$7,2,MATCH(Presupuesto!L32,'Armado Presupuesto'!$B$6:$U$6,0))</f>
        <v>#N/A</v>
      </c>
      <c r="AF32" s="111" t="str">
        <f>IFERROR(INDEX('Armado Presupuesto'!$B$7:$U$15,3,MATCH(L32,'Armado Presupuesto'!$B$6:$U$6,0)),"")</f>
        <v/>
      </c>
      <c r="AG32" t="str">
        <f>IF(AF32="Si","varias descripciones",IF(O32="","",VLOOKUP(O32,Precios_Lista[],4,FALSE)))</f>
        <v/>
      </c>
      <c r="AH32" t="e">
        <f t="shared" si="8"/>
        <v>#N/A</v>
      </c>
    </row>
    <row r="33" spans="2:34" x14ac:dyDescent="0.25">
      <c r="B33" s="101" t="str">
        <f t="shared" si="2"/>
        <v/>
      </c>
      <c r="C33" s="128" t="str">
        <f t="shared" si="3"/>
        <v xml:space="preserve">     </v>
      </c>
      <c r="D33" s="124" t="str">
        <f t="shared" si="7"/>
        <v/>
      </c>
      <c r="E33" s="113" t="str">
        <f t="shared" si="0"/>
        <v/>
      </c>
      <c r="F33" s="134" t="str">
        <f t="shared" si="1"/>
        <v/>
      </c>
      <c r="G33" s="134" t="str">
        <f t="shared" si="4"/>
        <v/>
      </c>
      <c r="H33" s="137"/>
      <c r="J33" s="89"/>
      <c r="L33" s="111" t="str">
        <f>IF('Armado Presupuesto'!U18="","",Presupuesto!M33)</f>
        <v/>
      </c>
      <c r="M33" s="111">
        <v>200</v>
      </c>
      <c r="N33" s="111" t="str">
        <f>IF($L33="","",INDEX('Armado Presupuesto'!$B$7:$U$15,9,MATCH(L33,'Armado Presupuesto'!$B$6:$U$6,0)))</f>
        <v/>
      </c>
      <c r="O33" s="112" t="str">
        <f>IF($L33="","",INDEX('Armado Presupuesto'!$B$7:$U$15,2,MATCH(L33,'Armado Presupuesto'!$B$6:$U$6,0)))</f>
        <v/>
      </c>
      <c r="P33" s="112" t="str">
        <f>IF($L33="","",INDEX('Armado Presupuesto'!$B$7:$U$15,4,MATCH(L33,'Armado Presupuesto'!$B$6:$U$6,0)))</f>
        <v/>
      </c>
      <c r="Q33" s="112" t="str">
        <f>IF($L33="","",INDEX('Armado Presupuesto'!$B$7:$U$15,5,MATCH(L33,'Armado Presupuesto'!$B$6:$U$6,0)))</f>
        <v/>
      </c>
      <c r="R33" s="112" t="str">
        <f>IF($L33="","",INDEX('Armado Presupuesto'!$B$7:$U$15,6,MATCH(L33,'Armado Presupuesto'!$B$6:$U$6,0)))</f>
        <v/>
      </c>
      <c r="S33" s="112" t="str">
        <f>IF($L33="","",INDEX('Armado Presupuesto'!$B$7:$U$15,7,MATCH(L33,'Armado Presupuesto'!$B$6:$U$6,0)))</f>
        <v/>
      </c>
      <c r="T33" s="112" t="str">
        <f>IF($L33="","",INDEX('Armado Presupuesto'!$B$7:$U$15,8,MATCH(L33,'Armado Presupuesto'!$B$6:$U$6,0)))</f>
        <v/>
      </c>
      <c r="U33" s="112" t="str">
        <f>IF(O33="","",VLOOKUP(O33,Precios_Lista[],4,FALSE))</f>
        <v/>
      </c>
      <c r="V33" s="112" t="e">
        <f>IF(P33=0,"",VLOOKUP(P33,Precios_Lista[],4,FALSE))</f>
        <v>#N/A</v>
      </c>
      <c r="W33" s="112" t="e">
        <f>IF(Q33=0,"",VLOOKUP(Q33,Precios_Lista[],4,FALSE))</f>
        <v>#N/A</v>
      </c>
      <c r="X33" s="112" t="e">
        <f>IF(R33=0,"",VLOOKUP(R33,Precios_Lista[],4,FALSE))</f>
        <v>#N/A</v>
      </c>
      <c r="Y33" s="112" t="e">
        <f>IF(S33=0,"",VLOOKUP(S33,Precios_Lista[],4,FALSE))</f>
        <v>#N/A</v>
      </c>
      <c r="Z33" s="112" t="e">
        <f>IF(T33=0,"",VLOOKUP(T33,Precios_Lista[],4,FALSE))</f>
        <v>#N/A</v>
      </c>
      <c r="AA33" s="112" t="str">
        <f>IF($L33="","",INDEX('Armado Presupuesto'!$B$18:$U$18,1,MATCH(L33,'Armado Presupuesto'!$B$6:$U$6,0)))</f>
        <v/>
      </c>
      <c r="AB33" s="112" t="str">
        <f>IF($L33="","",INDEX('Armado Presupuesto'!$B$31:$U$31,1,MATCH(L33,'Armado Presupuesto'!$B$6:$U$6,0)))</f>
        <v/>
      </c>
      <c r="AC33" s="4" t="str">
        <f t="shared" si="5"/>
        <v/>
      </c>
      <c r="AD33" s="112" t="e">
        <f>INDEX('Armado Presupuesto'!$B$6:$U$7,2,MATCH(Presupuesto!L33,'Armado Presupuesto'!$B$6:$U$6,0))</f>
        <v>#N/A</v>
      </c>
      <c r="AF33" s="111" t="str">
        <f>IFERROR(INDEX('Armado Presupuesto'!$B$7:$U$15,3,MATCH(L33,'Armado Presupuesto'!$B$6:$U$6,0)),"")</f>
        <v/>
      </c>
      <c r="AG33" t="str">
        <f>IF(AF33="Si","varias descripciones",IF(O33="","",VLOOKUP(O33,Precios_Lista[],4,FALSE)))</f>
        <v/>
      </c>
      <c r="AH33" t="e">
        <f t="shared" si="8"/>
        <v>#N/A</v>
      </c>
    </row>
    <row r="34" spans="2:34" x14ac:dyDescent="0.25">
      <c r="B34" s="94"/>
      <c r="C34" s="95"/>
      <c r="D34" s="95"/>
      <c r="E34" s="156" t="s">
        <v>56</v>
      </c>
      <c r="F34" s="156"/>
      <c r="G34" s="135">
        <f>SUMIF(AD14:AD33,"0",G14:G33)</f>
        <v>0</v>
      </c>
      <c r="H34" s="96"/>
    </row>
    <row r="36" spans="2:34" ht="18.75" x14ac:dyDescent="0.3">
      <c r="B36" s="33" t="s">
        <v>57</v>
      </c>
    </row>
    <row r="37" spans="2:34" x14ac:dyDescent="0.25">
      <c r="B37" s="158" t="e">
        <f>INDEX(Clientes_2,MATCH(B6,NombreClientes,0),4)</f>
        <v>#N/A</v>
      </c>
      <c r="C37" s="158"/>
      <c r="D37" s="158"/>
      <c r="E37" s="158"/>
      <c r="F37" s="158"/>
      <c r="G37" s="158"/>
      <c r="H37" s="158"/>
    </row>
    <row r="38" spans="2:34" x14ac:dyDescent="0.25">
      <c r="B38" s="28" t="s">
        <v>58</v>
      </c>
      <c r="C38" s="28"/>
    </row>
    <row r="39" spans="2:34" x14ac:dyDescent="0.25">
      <c r="B39" s="28" t="s">
        <v>59</v>
      </c>
      <c r="C39" s="28"/>
      <c r="D39" t="s">
        <v>60</v>
      </c>
    </row>
    <row r="40" spans="2:34" x14ac:dyDescent="0.25">
      <c r="B40" s="163" t="s">
        <v>61</v>
      </c>
      <c r="C40" s="163"/>
      <c r="D40" t="e">
        <f>INDEX(Clientes_2,MATCH(B6,NombreClientes,0),3)</f>
        <v>#N/A</v>
      </c>
    </row>
    <row r="41" spans="2:34" ht="33" customHeight="1" x14ac:dyDescent="0.25">
      <c r="B41" s="157" t="s">
        <v>62</v>
      </c>
      <c r="C41" s="157"/>
      <c r="D41" s="157"/>
      <c r="E41" s="157"/>
      <c r="F41" s="157"/>
      <c r="G41" s="157"/>
      <c r="H41" s="157"/>
    </row>
    <row r="42" spans="2:34" ht="9" customHeight="1" x14ac:dyDescent="0.25">
      <c r="B42" s="33"/>
    </row>
    <row r="43" spans="2:34" x14ac:dyDescent="0.25">
      <c r="B43" s="33" t="s">
        <v>63</v>
      </c>
      <c r="C43" s="116"/>
      <c r="D43" s="116"/>
      <c r="E43" s="116"/>
      <c r="F43" s="116"/>
      <c r="G43" s="116"/>
      <c r="H43" s="116"/>
    </row>
    <row r="44" spans="2:34" ht="8.65" customHeight="1" x14ac:dyDescent="0.25">
      <c r="B44" s="33"/>
      <c r="C44" s="116"/>
      <c r="D44" s="116"/>
      <c r="E44" s="116"/>
      <c r="F44" s="116"/>
      <c r="G44" s="116"/>
      <c r="H44" s="116"/>
    </row>
    <row r="45" spans="2:34" x14ac:dyDescent="0.25">
      <c r="B45" s="129" t="s">
        <v>64</v>
      </c>
    </row>
    <row r="46" spans="2:34" x14ac:dyDescent="0.25">
      <c r="B46" s="28" t="s">
        <v>65</v>
      </c>
    </row>
    <row r="47" spans="2:34" x14ac:dyDescent="0.25">
      <c r="B47" s="68" t="s">
        <v>66</v>
      </c>
    </row>
    <row r="48" spans="2:34" x14ac:dyDescent="0.25">
      <c r="B48" s="125" t="s">
        <v>67</v>
      </c>
    </row>
  </sheetData>
  <mergeCells count="9">
    <mergeCell ref="E34:F34"/>
    <mergeCell ref="B41:H41"/>
    <mergeCell ref="B37:H37"/>
    <mergeCell ref="E1:H1"/>
    <mergeCell ref="F3:H3"/>
    <mergeCell ref="B10:H10"/>
    <mergeCell ref="C8:E8"/>
    <mergeCell ref="C7:E7"/>
    <mergeCell ref="B40:C40"/>
  </mergeCells>
  <phoneticPr fontId="16" type="noConversion"/>
  <hyperlinks>
    <hyperlink ref="B48" r:id="rId1" xr:uid="{75C11FEB-F2B1-40B1-88E7-4D9C3E00A15F}"/>
    <hyperlink ref="B47" r:id="rId2" xr:uid="{7EB4A963-94BA-4EFF-B7FC-FD299E22C0C6}"/>
  </hyperlinks>
  <pageMargins left="0.23622047244094491" right="0.23622047244094491" top="1.3024015748031497" bottom="0.74803149606299213" header="0.31496062992125984" footer="0.31496062992125984"/>
  <pageSetup paperSize="9" scale="96" orientation="portrait" r:id="rId3"/>
  <headerFooter>
    <oddHeader>&amp;L&amp;G</oddHeader>
  </headerFooter>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10C91B3-DF87-40F9-9B4F-0410DE90F3C9}">
          <x14:formula1>
            <xm:f>Contactos!$C$3:$C$7</xm:f>
          </x14:formula1>
          <xm:sqref>B45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4" tint="0.39997558519241921"/>
  </sheetPr>
  <dimension ref="A1:F104"/>
  <sheetViews>
    <sheetView showGridLines="0" view="pageBreakPreview" topLeftCell="B1" zoomScale="70" zoomScaleNormal="55" zoomScaleSheetLayoutView="70" zoomScalePageLayoutView="70" workbookViewId="0">
      <selection activeCell="B12" sqref="B12:E12"/>
    </sheetView>
  </sheetViews>
  <sheetFormatPr baseColWidth="10" defaultColWidth="0" defaultRowHeight="15" zeroHeight="1" x14ac:dyDescent="0.25"/>
  <cols>
    <col min="1" max="1" width="1" hidden="1" customWidth="1"/>
    <col min="2" max="2" width="17.7109375" customWidth="1"/>
    <col min="3" max="3" width="10" customWidth="1"/>
    <col min="4" max="4" width="39.7109375" customWidth="1"/>
    <col min="5" max="5" width="31" style="3" customWidth="1"/>
    <col min="6" max="6" width="1" hidden="1" customWidth="1"/>
    <col min="7" max="16384" width="8.5703125" hidden="1"/>
  </cols>
  <sheetData>
    <row r="1" spans="2:5" x14ac:dyDescent="0.25">
      <c r="B1" s="28"/>
      <c r="C1" s="28"/>
      <c r="D1" s="28"/>
      <c r="E1" s="29"/>
    </row>
    <row r="2" spans="2:5" ht="15.75" x14ac:dyDescent="0.25">
      <c r="B2" s="30" t="s">
        <v>68</v>
      </c>
      <c r="C2" s="28"/>
      <c r="D2" s="28"/>
      <c r="E2" s="31"/>
    </row>
    <row r="3" spans="2:5" x14ac:dyDescent="0.25">
      <c r="B3" s="32" t="s">
        <v>69</v>
      </c>
      <c r="C3" s="28"/>
      <c r="D3" s="28"/>
      <c r="E3" s="29"/>
    </row>
    <row r="4" spans="2:5" x14ac:dyDescent="0.25">
      <c r="B4" s="32" t="s">
        <v>70</v>
      </c>
      <c r="C4" s="28"/>
      <c r="D4" s="28"/>
      <c r="E4" s="29"/>
    </row>
    <row r="5" spans="2:5" ht="2.1" customHeight="1" x14ac:dyDescent="0.25">
      <c r="B5" s="32"/>
      <c r="C5" s="28"/>
      <c r="D5" s="28"/>
      <c r="E5" s="29"/>
    </row>
    <row r="6" spans="2:5" ht="15.75" x14ac:dyDescent="0.25">
      <c r="B6" s="34" t="s">
        <v>71</v>
      </c>
      <c r="C6" s="35"/>
      <c r="D6" s="35"/>
      <c r="E6" s="36"/>
    </row>
    <row r="7" spans="2:5" ht="0.6" customHeight="1" x14ac:dyDescent="0.25">
      <c r="B7" s="34"/>
      <c r="C7" s="35"/>
      <c r="D7" s="35"/>
      <c r="E7" s="36"/>
    </row>
    <row r="8" spans="2:5" x14ac:dyDescent="0.25">
      <c r="B8" s="37" t="s">
        <v>72</v>
      </c>
      <c r="C8" s="38"/>
      <c r="D8" s="38"/>
      <c r="E8" s="39"/>
    </row>
    <row r="9" spans="2:5" ht="113.65" customHeight="1" x14ac:dyDescent="0.25">
      <c r="B9" s="164" t="s">
        <v>73</v>
      </c>
      <c r="C9" s="164"/>
      <c r="D9" s="164"/>
      <c r="E9" s="164"/>
    </row>
    <row r="10" spans="2:5" ht="2.1" customHeight="1" x14ac:dyDescent="0.25">
      <c r="B10" s="38"/>
      <c r="C10" s="38"/>
      <c r="D10" s="38"/>
      <c r="E10" s="39"/>
    </row>
    <row r="11" spans="2:5" x14ac:dyDescent="0.25">
      <c r="B11" s="37" t="s">
        <v>74</v>
      </c>
      <c r="C11" s="38"/>
      <c r="D11" s="38"/>
      <c r="E11" s="39"/>
    </row>
    <row r="12" spans="2:5" ht="83.25" customHeight="1" x14ac:dyDescent="0.25">
      <c r="B12" s="164" t="s">
        <v>75</v>
      </c>
      <c r="C12" s="164"/>
      <c r="D12" s="164"/>
      <c r="E12" s="164"/>
    </row>
    <row r="13" spans="2:5" ht="5.0999999999999996" hidden="1" customHeight="1" x14ac:dyDescent="0.25">
      <c r="B13" s="38"/>
      <c r="C13" s="38"/>
      <c r="D13" s="38"/>
      <c r="E13" s="39"/>
    </row>
    <row r="14" spans="2:5" x14ac:dyDescent="0.25">
      <c r="B14" s="37" t="s">
        <v>76</v>
      </c>
      <c r="C14" s="38"/>
      <c r="D14" s="38"/>
      <c r="E14" s="39"/>
    </row>
    <row r="15" spans="2:5" ht="54.6" customHeight="1" x14ac:dyDescent="0.25">
      <c r="B15" s="164" t="s">
        <v>77</v>
      </c>
      <c r="C15" s="164"/>
      <c r="D15" s="164"/>
      <c r="E15" s="164"/>
    </row>
    <row r="16" spans="2:5" ht="3.6" hidden="1" customHeight="1" x14ac:dyDescent="0.25">
      <c r="B16" s="38"/>
      <c r="C16" s="38"/>
      <c r="D16" s="38"/>
      <c r="E16" s="39"/>
    </row>
    <row r="17" spans="2:5" x14ac:dyDescent="0.25">
      <c r="B17" s="37" t="s">
        <v>78</v>
      </c>
      <c r="C17" s="38"/>
      <c r="D17" s="38"/>
      <c r="E17" s="39"/>
    </row>
    <row r="18" spans="2:5" ht="52.5" customHeight="1" x14ac:dyDescent="0.25">
      <c r="B18" s="164" t="s">
        <v>79</v>
      </c>
      <c r="C18" s="164"/>
      <c r="D18" s="164"/>
      <c r="E18" s="164"/>
    </row>
    <row r="19" spans="2:5" ht="2.65" customHeight="1" x14ac:dyDescent="0.25">
      <c r="B19" s="38"/>
      <c r="C19" s="38"/>
      <c r="D19" s="38"/>
      <c r="E19" s="39"/>
    </row>
    <row r="20" spans="2:5" x14ac:dyDescent="0.25">
      <c r="B20" s="37" t="s">
        <v>80</v>
      </c>
      <c r="C20" s="38"/>
      <c r="D20" s="38"/>
      <c r="E20" s="39"/>
    </row>
    <row r="21" spans="2:5" ht="121.35" customHeight="1" x14ac:dyDescent="0.25">
      <c r="B21" s="164" t="s">
        <v>81</v>
      </c>
      <c r="C21" s="164"/>
      <c r="D21" s="164"/>
      <c r="E21" s="164"/>
    </row>
    <row r="22" spans="2:5" ht="4.5" customHeight="1" x14ac:dyDescent="0.25">
      <c r="B22" s="38"/>
      <c r="C22" s="38"/>
      <c r="D22" s="38"/>
      <c r="E22" s="39"/>
    </row>
    <row r="23" spans="2:5" x14ac:dyDescent="0.25">
      <c r="B23" s="37" t="s">
        <v>82</v>
      </c>
      <c r="C23" s="38"/>
      <c r="D23" s="38"/>
      <c r="E23" s="39"/>
    </row>
    <row r="24" spans="2:5" ht="40.35" customHeight="1" x14ac:dyDescent="0.25">
      <c r="B24" s="164" t="s">
        <v>83</v>
      </c>
      <c r="C24" s="164"/>
      <c r="D24" s="164"/>
      <c r="E24" s="164"/>
    </row>
    <row r="25" spans="2:5" ht="0.6" customHeight="1" x14ac:dyDescent="0.25">
      <c r="B25" s="38"/>
      <c r="C25" s="38"/>
      <c r="D25" s="38"/>
      <c r="E25" s="39"/>
    </row>
    <row r="26" spans="2:5" x14ac:dyDescent="0.25">
      <c r="B26" s="37" t="s">
        <v>84</v>
      </c>
      <c r="C26" s="38"/>
      <c r="D26" s="38"/>
      <c r="E26" s="39"/>
    </row>
    <row r="27" spans="2:5" ht="29.1" customHeight="1" x14ac:dyDescent="0.25">
      <c r="B27" s="164" t="s">
        <v>85</v>
      </c>
      <c r="C27" s="164"/>
      <c r="D27" s="164"/>
      <c r="E27" s="164"/>
    </row>
    <row r="28" spans="2:5" x14ac:dyDescent="0.25"/>
    <row r="29" spans="2:5" x14ac:dyDescent="0.25"/>
    <row r="30" spans="2:5" x14ac:dyDescent="0.25"/>
    <row r="31" spans="2:5" x14ac:dyDescent="0.25"/>
    <row r="32" spans="2:5"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mergeCells count="7">
    <mergeCell ref="B27:E27"/>
    <mergeCell ref="B9:E9"/>
    <mergeCell ref="B12:E12"/>
    <mergeCell ref="B15:E15"/>
    <mergeCell ref="B18:E18"/>
    <mergeCell ref="B21:E21"/>
    <mergeCell ref="B24:E24"/>
  </mergeCells>
  <pageMargins left="0.23622047244094491" right="0.23622047244094491" top="1.299212598425197" bottom="0.74803149606299213" header="0.31496062992125984" footer="0.31496062992125984"/>
  <pageSetup paperSize="9" fitToHeight="0" orientation="portrait" r:id="rId1"/>
  <headerFooter>
    <oddHeader>&amp;L&amp;G</oddHeader>
    <oddFooter xml:space="preserve">&amp;C&amp;9 14 de Julio 175 - C.P: 1427 - C.A.B.A.
TE:(011) 4551-3343 | 4552-2874&amp;R
</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theme="4" tint="0.79998168889431442"/>
  </sheetPr>
  <dimension ref="B1:D7"/>
  <sheetViews>
    <sheetView showGridLines="0" zoomScaleNormal="100" workbookViewId="0">
      <selection activeCell="B3" sqref="B3"/>
    </sheetView>
  </sheetViews>
  <sheetFormatPr baseColWidth="10" defaultColWidth="8.5703125" defaultRowHeight="15" x14ac:dyDescent="0.25"/>
  <cols>
    <col min="1" max="1" width="4.42578125" style="2" customWidth="1"/>
    <col min="2" max="2" width="18.7109375" style="2" bestFit="1" customWidth="1"/>
    <col min="3" max="3" width="20.5703125" style="2" bestFit="1" customWidth="1"/>
    <col min="4" max="4" width="27.5703125" style="2" bestFit="1" customWidth="1"/>
    <col min="5" max="16384" width="8.5703125" style="2"/>
  </cols>
  <sheetData>
    <row r="1" spans="2:4" ht="10.35" customHeight="1" x14ac:dyDescent="0.25"/>
    <row r="2" spans="2:4" x14ac:dyDescent="0.25">
      <c r="B2" s="10" t="s">
        <v>86</v>
      </c>
      <c r="C2" s="8" t="s">
        <v>87</v>
      </c>
      <c r="D2" s="9" t="s">
        <v>88</v>
      </c>
    </row>
    <row r="3" spans="2:4" x14ac:dyDescent="0.25">
      <c r="B3" s="5" t="s">
        <v>89</v>
      </c>
      <c r="C3" s="4" t="s">
        <v>64</v>
      </c>
      <c r="D3" s="6" t="s">
        <v>67</v>
      </c>
    </row>
    <row r="4" spans="2:4" x14ac:dyDescent="0.25">
      <c r="B4" s="5" t="s">
        <v>90</v>
      </c>
      <c r="C4" s="4" t="s">
        <v>91</v>
      </c>
      <c r="D4" s="6" t="s">
        <v>67</v>
      </c>
    </row>
    <row r="5" spans="2:4" x14ac:dyDescent="0.25">
      <c r="B5" s="5" t="s">
        <v>92</v>
      </c>
      <c r="C5" s="4" t="s">
        <v>93</v>
      </c>
      <c r="D5" s="6" t="s">
        <v>67</v>
      </c>
    </row>
    <row r="6" spans="2:4" x14ac:dyDescent="0.25">
      <c r="B6" s="5" t="s">
        <v>94</v>
      </c>
      <c r="C6" s="4" t="s">
        <v>95</v>
      </c>
      <c r="D6" s="6" t="s">
        <v>67</v>
      </c>
    </row>
    <row r="7" spans="2:4" x14ac:dyDescent="0.25">
      <c r="B7" s="5" t="s">
        <v>96</v>
      </c>
      <c r="C7" s="4" t="s">
        <v>97</v>
      </c>
      <c r="D7" s="6" t="s">
        <v>67</v>
      </c>
    </row>
  </sheetData>
  <hyperlinks>
    <hyperlink ref="D4" r:id="rId1" xr:uid="{00000000-0004-0000-0700-000000000000}"/>
    <hyperlink ref="D3" r:id="rId2" xr:uid="{00000000-0004-0000-0700-000001000000}"/>
    <hyperlink ref="D5" r:id="rId3" xr:uid="{00000000-0004-0000-0700-000002000000}"/>
    <hyperlink ref="D7" r:id="rId4" xr:uid="{46B7F1B3-CD2C-409D-8E5A-10AC7A989FC0}"/>
    <hyperlink ref="D6" r:id="rId5" xr:uid="{4F3D6672-B24A-4BD8-940B-9E5FCC56B420}"/>
  </hyperlinks>
  <pageMargins left="0.7" right="0.7" top="0.75" bottom="0.75" header="0.3" footer="0.3"/>
  <pageSetup paperSize="9" orientation="portrait" r:id="rId6"/>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tabColor theme="4" tint="0.79998168889431442"/>
    <pageSetUpPr fitToPage="1"/>
  </sheetPr>
  <dimension ref="B1:J12926"/>
  <sheetViews>
    <sheetView showGridLines="0" zoomScale="80" zoomScaleNormal="80" workbookViewId="0">
      <selection activeCell="B2" sqref="B2"/>
    </sheetView>
  </sheetViews>
  <sheetFormatPr baseColWidth="10" defaultColWidth="8.5703125" defaultRowHeight="15" x14ac:dyDescent="0.25"/>
  <cols>
    <col min="1" max="1" width="4.42578125" style="2" customWidth="1"/>
    <col min="2" max="2" width="71.28515625" style="7" bestFit="1" customWidth="1"/>
    <col min="3" max="3" width="12" style="16" bestFit="1" customWidth="1"/>
    <col min="4" max="4" width="16" style="7" customWidth="1"/>
    <col min="5" max="5" width="47.5703125" style="2" customWidth="1"/>
    <col min="6" max="6" width="19.5703125" style="2" bestFit="1" customWidth="1"/>
    <col min="7" max="7" width="10.5703125" style="2" customWidth="1"/>
    <col min="8" max="8" width="18.42578125" style="2" bestFit="1" customWidth="1"/>
    <col min="9" max="9" width="10.7109375" style="2" bestFit="1" customWidth="1"/>
    <col min="10" max="10" width="19.5703125" style="2" customWidth="1"/>
    <col min="11" max="11" width="11.7109375" style="2" bestFit="1" customWidth="1"/>
    <col min="12" max="16384" width="8.5703125" style="2"/>
  </cols>
  <sheetData>
    <row r="1" spans="2:10" ht="10.35" customHeight="1" x14ac:dyDescent="0.25"/>
    <row r="2" spans="2:10" x14ac:dyDescent="0.25">
      <c r="B2" s="11" t="s">
        <v>98</v>
      </c>
      <c r="C2" s="14" t="s">
        <v>52</v>
      </c>
      <c r="D2" s="11" t="s">
        <v>99</v>
      </c>
      <c r="E2" s="12" t="s">
        <v>100</v>
      </c>
      <c r="F2" s="12" t="s">
        <v>101</v>
      </c>
      <c r="H2" s="19" t="s">
        <v>99</v>
      </c>
      <c r="I2" s="20" t="s">
        <v>52</v>
      </c>
      <c r="J2" s="12" t="s">
        <v>102</v>
      </c>
    </row>
    <row r="3" spans="2:10" x14ac:dyDescent="0.25">
      <c r="B3" s="13" t="s">
        <v>103</v>
      </c>
      <c r="C3" s="15" t="s">
        <v>104</v>
      </c>
      <c r="D3" s="13" t="s">
        <v>105</v>
      </c>
      <c r="E3" s="13" t="s">
        <v>106</v>
      </c>
      <c r="F3" s="43">
        <v>2.17</v>
      </c>
      <c r="H3" s="17" t="s">
        <v>105</v>
      </c>
      <c r="I3" s="17" t="s">
        <v>104</v>
      </c>
      <c r="J3" s="18">
        <v>0</v>
      </c>
    </row>
    <row r="4" spans="2:10" x14ac:dyDescent="0.25">
      <c r="B4" s="13" t="s">
        <v>107</v>
      </c>
      <c r="C4" s="15" t="s">
        <v>104</v>
      </c>
      <c r="D4" s="13" t="s">
        <v>105</v>
      </c>
      <c r="E4" s="13" t="s">
        <v>108</v>
      </c>
      <c r="F4" s="43">
        <v>3.11</v>
      </c>
      <c r="H4" s="17" t="s">
        <v>109</v>
      </c>
      <c r="I4" s="17" t="s">
        <v>104</v>
      </c>
      <c r="J4" s="18">
        <v>0</v>
      </c>
    </row>
    <row r="5" spans="2:10" x14ac:dyDescent="0.25">
      <c r="B5" s="13" t="s">
        <v>110</v>
      </c>
      <c r="C5" s="15" t="s">
        <v>104</v>
      </c>
      <c r="D5" s="13" t="s">
        <v>105</v>
      </c>
      <c r="E5" s="13" t="s">
        <v>111</v>
      </c>
      <c r="F5" s="43">
        <v>3.6</v>
      </c>
      <c r="H5" s="17" t="s">
        <v>112</v>
      </c>
      <c r="I5" s="17" t="s">
        <v>104</v>
      </c>
      <c r="J5" s="18">
        <v>0</v>
      </c>
    </row>
    <row r="6" spans="2:10" x14ac:dyDescent="0.25">
      <c r="B6" s="13" t="s">
        <v>113</v>
      </c>
      <c r="C6" s="15" t="s">
        <v>104</v>
      </c>
      <c r="D6" s="13" t="s">
        <v>105</v>
      </c>
      <c r="E6" s="13" t="s">
        <v>114</v>
      </c>
      <c r="F6" s="43">
        <v>5.22</v>
      </c>
      <c r="H6" s="17" t="s">
        <v>115</v>
      </c>
      <c r="I6" s="17" t="s">
        <v>104</v>
      </c>
      <c r="J6" s="18">
        <v>0</v>
      </c>
    </row>
    <row r="7" spans="2:10" x14ac:dyDescent="0.25">
      <c r="B7" s="13" t="s">
        <v>116</v>
      </c>
      <c r="C7" s="15" t="s">
        <v>104</v>
      </c>
      <c r="D7" s="13" t="s">
        <v>105</v>
      </c>
      <c r="E7" s="13" t="s">
        <v>117</v>
      </c>
      <c r="F7" s="43">
        <v>8.1</v>
      </c>
      <c r="H7" s="17" t="s">
        <v>118</v>
      </c>
      <c r="I7" s="17" t="s">
        <v>104</v>
      </c>
      <c r="J7" s="18">
        <v>0</v>
      </c>
    </row>
    <row r="8" spans="2:10" x14ac:dyDescent="0.25">
      <c r="B8" s="13" t="s">
        <v>119</v>
      </c>
      <c r="C8" s="15" t="s">
        <v>104</v>
      </c>
      <c r="D8" s="13" t="s">
        <v>105</v>
      </c>
      <c r="E8" s="13" t="s">
        <v>120</v>
      </c>
      <c r="F8" s="43">
        <v>12.94</v>
      </c>
      <c r="H8" s="17" t="s">
        <v>121</v>
      </c>
      <c r="I8" s="17" t="s">
        <v>104</v>
      </c>
      <c r="J8" s="18">
        <v>0</v>
      </c>
    </row>
    <row r="9" spans="2:10" x14ac:dyDescent="0.25">
      <c r="B9" s="13" t="s">
        <v>122</v>
      </c>
      <c r="C9" s="15" t="s">
        <v>104</v>
      </c>
      <c r="D9" s="13" t="s">
        <v>105</v>
      </c>
      <c r="E9" s="13" t="s">
        <v>123</v>
      </c>
      <c r="F9" s="43">
        <v>16.71</v>
      </c>
      <c r="H9" s="17" t="s">
        <v>124</v>
      </c>
      <c r="I9" s="17" t="s">
        <v>104</v>
      </c>
      <c r="J9" s="18">
        <v>0</v>
      </c>
    </row>
    <row r="10" spans="2:10" x14ac:dyDescent="0.25">
      <c r="B10" s="13" t="s">
        <v>125</v>
      </c>
      <c r="C10" s="15" t="s">
        <v>104</v>
      </c>
      <c r="D10" s="13" t="s">
        <v>105</v>
      </c>
      <c r="E10" s="13" t="s">
        <v>126</v>
      </c>
      <c r="F10" s="43">
        <v>26.62</v>
      </c>
      <c r="H10" s="17" t="s">
        <v>127</v>
      </c>
      <c r="I10" s="17" t="s">
        <v>104</v>
      </c>
      <c r="J10" s="18">
        <v>0</v>
      </c>
    </row>
    <row r="11" spans="2:10" x14ac:dyDescent="0.25">
      <c r="B11" s="13" t="s">
        <v>128</v>
      </c>
      <c r="C11" s="15" t="s">
        <v>104</v>
      </c>
      <c r="D11" s="13" t="s">
        <v>105</v>
      </c>
      <c r="E11" s="13" t="s">
        <v>129</v>
      </c>
      <c r="F11" s="43">
        <v>47.71</v>
      </c>
      <c r="H11" s="17" t="s">
        <v>130</v>
      </c>
      <c r="I11" s="17" t="s">
        <v>131</v>
      </c>
      <c r="J11" s="18">
        <v>0</v>
      </c>
    </row>
    <row r="12" spans="2:10" x14ac:dyDescent="0.25">
      <c r="B12" s="13" t="s">
        <v>132</v>
      </c>
      <c r="C12" s="15" t="s">
        <v>104</v>
      </c>
      <c r="D12" s="13" t="s">
        <v>105</v>
      </c>
      <c r="E12" s="13" t="s">
        <v>133</v>
      </c>
      <c r="F12" s="43">
        <v>67.69</v>
      </c>
      <c r="H12" s="17" t="s">
        <v>134</v>
      </c>
      <c r="I12" s="17" t="s">
        <v>135</v>
      </c>
      <c r="J12" s="18">
        <v>0.35</v>
      </c>
    </row>
    <row r="13" spans="2:10" x14ac:dyDescent="0.25">
      <c r="B13" s="13" t="s">
        <v>136</v>
      </c>
      <c r="C13" s="15" t="s">
        <v>104</v>
      </c>
      <c r="D13" s="13" t="s">
        <v>105</v>
      </c>
      <c r="E13" s="13" t="s">
        <v>137</v>
      </c>
      <c r="F13" s="43">
        <v>118.17</v>
      </c>
      <c r="H13" s="17" t="s">
        <v>134</v>
      </c>
      <c r="I13" s="17" t="s">
        <v>138</v>
      </c>
      <c r="J13" s="18">
        <v>0.35</v>
      </c>
    </row>
    <row r="14" spans="2:10" x14ac:dyDescent="0.25">
      <c r="B14" s="13" t="s">
        <v>139</v>
      </c>
      <c r="C14" s="15" t="s">
        <v>104</v>
      </c>
      <c r="D14" s="13" t="s">
        <v>105</v>
      </c>
      <c r="E14" s="13" t="s">
        <v>140</v>
      </c>
      <c r="F14" s="43">
        <v>3.42</v>
      </c>
      <c r="H14" s="17" t="s">
        <v>134</v>
      </c>
      <c r="I14" s="17" t="s">
        <v>141</v>
      </c>
      <c r="J14" s="18">
        <v>0.35</v>
      </c>
    </row>
    <row r="15" spans="2:10" x14ac:dyDescent="0.25">
      <c r="B15" s="13" t="s">
        <v>142</v>
      </c>
      <c r="C15" s="15" t="s">
        <v>104</v>
      </c>
      <c r="D15" s="13" t="s">
        <v>105</v>
      </c>
      <c r="E15" s="13" t="s">
        <v>143</v>
      </c>
      <c r="F15" s="43">
        <v>3.51</v>
      </c>
      <c r="H15" s="17" t="s">
        <v>134</v>
      </c>
      <c r="I15" s="17" t="s">
        <v>144</v>
      </c>
      <c r="J15" s="18">
        <v>0.35</v>
      </c>
    </row>
    <row r="16" spans="2:10" x14ac:dyDescent="0.25">
      <c r="B16" s="13" t="s">
        <v>145</v>
      </c>
      <c r="C16" s="15" t="s">
        <v>104</v>
      </c>
      <c r="D16" s="13" t="s">
        <v>105</v>
      </c>
      <c r="E16" s="13" t="s">
        <v>146</v>
      </c>
      <c r="F16" s="43">
        <v>4.45</v>
      </c>
      <c r="H16" s="17" t="s">
        <v>134</v>
      </c>
      <c r="I16" s="17" t="s">
        <v>147</v>
      </c>
      <c r="J16" s="18">
        <v>0.35</v>
      </c>
    </row>
    <row r="17" spans="2:10" x14ac:dyDescent="0.25">
      <c r="B17" s="13" t="s">
        <v>148</v>
      </c>
      <c r="C17" s="15" t="s">
        <v>104</v>
      </c>
      <c r="D17" s="13" t="s">
        <v>105</v>
      </c>
      <c r="E17" s="13" t="s">
        <v>149</v>
      </c>
      <c r="F17" s="43">
        <v>5.85</v>
      </c>
      <c r="H17" s="17" t="s">
        <v>134</v>
      </c>
      <c r="I17" s="17" t="s">
        <v>150</v>
      </c>
      <c r="J17" s="18">
        <v>0.35</v>
      </c>
    </row>
    <row r="18" spans="2:10" x14ac:dyDescent="0.25">
      <c r="B18" s="13" t="s">
        <v>151</v>
      </c>
      <c r="C18" s="15" t="s">
        <v>104</v>
      </c>
      <c r="D18" s="13" t="s">
        <v>105</v>
      </c>
      <c r="E18" s="13" t="s">
        <v>152</v>
      </c>
      <c r="F18" s="43">
        <v>8.84</v>
      </c>
      <c r="H18" s="17" t="s">
        <v>134</v>
      </c>
      <c r="I18" s="17" t="s">
        <v>153</v>
      </c>
      <c r="J18" s="18">
        <v>0.35</v>
      </c>
    </row>
    <row r="19" spans="2:10" x14ac:dyDescent="0.25">
      <c r="B19" s="13" t="s">
        <v>154</v>
      </c>
      <c r="C19" s="15" t="s">
        <v>104</v>
      </c>
      <c r="D19" s="13" t="s">
        <v>105</v>
      </c>
      <c r="E19" s="13" t="s">
        <v>155</v>
      </c>
      <c r="F19" s="43">
        <v>15.25</v>
      </c>
      <c r="H19" s="17" t="s">
        <v>134</v>
      </c>
      <c r="I19" s="17" t="s">
        <v>156</v>
      </c>
      <c r="J19" s="18">
        <v>0.35</v>
      </c>
    </row>
    <row r="20" spans="2:10" x14ac:dyDescent="0.25">
      <c r="B20" s="13" t="s">
        <v>157</v>
      </c>
      <c r="C20" s="15" t="s">
        <v>104</v>
      </c>
      <c r="D20" s="13" t="s">
        <v>105</v>
      </c>
      <c r="E20" s="13" t="s">
        <v>158</v>
      </c>
      <c r="F20" s="43">
        <v>19.21</v>
      </c>
      <c r="H20" s="17" t="s">
        <v>134</v>
      </c>
      <c r="I20" s="17" t="s">
        <v>159</v>
      </c>
      <c r="J20" s="18">
        <v>0.35</v>
      </c>
    </row>
    <row r="21" spans="2:10" x14ac:dyDescent="0.25">
      <c r="B21" s="13" t="s">
        <v>160</v>
      </c>
      <c r="C21" s="15" t="s">
        <v>104</v>
      </c>
      <c r="D21" s="13" t="s">
        <v>105</v>
      </c>
      <c r="E21" s="13" t="s">
        <v>161</v>
      </c>
      <c r="F21" s="43">
        <v>29.27</v>
      </c>
      <c r="H21" s="17" t="s">
        <v>162</v>
      </c>
      <c r="I21" s="17" t="s">
        <v>163</v>
      </c>
      <c r="J21" s="18">
        <v>0</v>
      </c>
    </row>
    <row r="22" spans="2:10" x14ac:dyDescent="0.25">
      <c r="B22" s="13" t="s">
        <v>164</v>
      </c>
      <c r="C22" s="15" t="s">
        <v>104</v>
      </c>
      <c r="D22" s="13" t="s">
        <v>105</v>
      </c>
      <c r="E22" s="13" t="s">
        <v>165</v>
      </c>
      <c r="F22" s="43">
        <v>63.5</v>
      </c>
      <c r="H22" s="17" t="s">
        <v>166</v>
      </c>
      <c r="I22" s="17" t="s">
        <v>167</v>
      </c>
      <c r="J22" s="18">
        <v>0</v>
      </c>
    </row>
    <row r="23" spans="2:10" x14ac:dyDescent="0.25">
      <c r="B23" s="13" t="s">
        <v>168</v>
      </c>
      <c r="C23" s="15" t="s">
        <v>104</v>
      </c>
      <c r="D23" s="13" t="s">
        <v>105</v>
      </c>
      <c r="E23" s="13" t="s">
        <v>169</v>
      </c>
      <c r="F23" s="43">
        <v>76.930000000000007</v>
      </c>
      <c r="H23" s="17" t="s">
        <v>118</v>
      </c>
      <c r="I23" s="17" t="s">
        <v>170</v>
      </c>
      <c r="J23" s="18">
        <v>0.4</v>
      </c>
    </row>
    <row r="24" spans="2:10" x14ac:dyDescent="0.25">
      <c r="B24" s="13" t="s">
        <v>171</v>
      </c>
      <c r="C24" s="15" t="s">
        <v>104</v>
      </c>
      <c r="D24" s="13" t="s">
        <v>105</v>
      </c>
      <c r="E24" s="13" t="s">
        <v>172</v>
      </c>
      <c r="F24" s="43">
        <v>122.44</v>
      </c>
      <c r="H24" s="17" t="s">
        <v>173</v>
      </c>
      <c r="I24" s="17" t="s">
        <v>170</v>
      </c>
      <c r="J24" s="18">
        <v>0.4</v>
      </c>
    </row>
    <row r="25" spans="2:10" x14ac:dyDescent="0.25">
      <c r="B25" s="13" t="s">
        <v>174</v>
      </c>
      <c r="C25" s="15" t="s">
        <v>104</v>
      </c>
      <c r="D25" s="13" t="s">
        <v>105</v>
      </c>
      <c r="E25" s="13" t="s">
        <v>175</v>
      </c>
      <c r="F25" s="43">
        <v>3.25</v>
      </c>
      <c r="H25" s="13" t="s">
        <v>176</v>
      </c>
      <c r="I25" s="17" t="s">
        <v>170</v>
      </c>
      <c r="J25" s="18">
        <v>0.4</v>
      </c>
    </row>
    <row r="26" spans="2:10" x14ac:dyDescent="0.25">
      <c r="B26" s="13" t="s">
        <v>177</v>
      </c>
      <c r="C26" s="15" t="s">
        <v>104</v>
      </c>
      <c r="D26" s="13" t="s">
        <v>105</v>
      </c>
      <c r="E26" s="13" t="s">
        <v>178</v>
      </c>
      <c r="F26" s="43">
        <v>3.51</v>
      </c>
      <c r="H26" s="13" t="s">
        <v>179</v>
      </c>
      <c r="I26" s="17" t="s">
        <v>170</v>
      </c>
      <c r="J26" s="18">
        <v>0.4</v>
      </c>
    </row>
    <row r="27" spans="2:10" x14ac:dyDescent="0.25">
      <c r="B27" s="13" t="s">
        <v>180</v>
      </c>
      <c r="C27" s="15" t="s">
        <v>104</v>
      </c>
      <c r="D27" s="13" t="s">
        <v>105</v>
      </c>
      <c r="E27" s="13" t="s">
        <v>181</v>
      </c>
      <c r="F27" s="43">
        <v>3.97</v>
      </c>
      <c r="H27" s="13" t="s">
        <v>182</v>
      </c>
      <c r="I27" s="17" t="s">
        <v>170</v>
      </c>
      <c r="J27" s="18">
        <v>0.4</v>
      </c>
    </row>
    <row r="28" spans="2:10" x14ac:dyDescent="0.25">
      <c r="B28" s="13" t="s">
        <v>183</v>
      </c>
      <c r="C28" s="15" t="s">
        <v>104</v>
      </c>
      <c r="D28" s="13" t="s">
        <v>105</v>
      </c>
      <c r="E28" s="13" t="s">
        <v>184</v>
      </c>
      <c r="F28" s="43">
        <v>5.42</v>
      </c>
    </row>
    <row r="29" spans="2:10" x14ac:dyDescent="0.25">
      <c r="B29" s="13" t="s">
        <v>185</v>
      </c>
      <c r="C29" s="15" t="s">
        <v>104</v>
      </c>
      <c r="D29" s="13" t="s">
        <v>105</v>
      </c>
      <c r="E29" s="13" t="s">
        <v>186</v>
      </c>
      <c r="F29" s="43">
        <v>8.24</v>
      </c>
    </row>
    <row r="30" spans="2:10" x14ac:dyDescent="0.25">
      <c r="B30" s="13" t="s">
        <v>187</v>
      </c>
      <c r="C30" s="15" t="s">
        <v>104</v>
      </c>
      <c r="D30" s="13" t="s">
        <v>105</v>
      </c>
      <c r="E30" s="13" t="s">
        <v>188</v>
      </c>
      <c r="F30" s="43">
        <v>12.35</v>
      </c>
    </row>
    <row r="31" spans="2:10" x14ac:dyDescent="0.25">
      <c r="B31" s="13" t="s">
        <v>189</v>
      </c>
      <c r="C31" s="15" t="s">
        <v>104</v>
      </c>
      <c r="D31" s="13" t="s">
        <v>105</v>
      </c>
      <c r="E31" s="13" t="s">
        <v>190</v>
      </c>
      <c r="F31" s="43">
        <v>15.99</v>
      </c>
    </row>
    <row r="32" spans="2:10" x14ac:dyDescent="0.25">
      <c r="B32" s="13" t="s">
        <v>191</v>
      </c>
      <c r="C32" s="15" t="s">
        <v>104</v>
      </c>
      <c r="D32" s="13" t="s">
        <v>105</v>
      </c>
      <c r="E32" s="13" t="s">
        <v>192</v>
      </c>
      <c r="F32" s="43">
        <v>25.65</v>
      </c>
    </row>
    <row r="33" spans="2:6" x14ac:dyDescent="0.25">
      <c r="B33" s="13" t="s">
        <v>193</v>
      </c>
      <c r="C33" s="15" t="s">
        <v>104</v>
      </c>
      <c r="D33" s="13" t="s">
        <v>105</v>
      </c>
      <c r="E33" s="13" t="s">
        <v>194</v>
      </c>
      <c r="F33" s="43">
        <v>40.700000000000003</v>
      </c>
    </row>
    <row r="34" spans="2:6" x14ac:dyDescent="0.25">
      <c r="B34" s="13" t="s">
        <v>195</v>
      </c>
      <c r="C34" s="15" t="s">
        <v>104</v>
      </c>
      <c r="D34" s="13" t="s">
        <v>105</v>
      </c>
      <c r="E34" s="13" t="s">
        <v>196</v>
      </c>
      <c r="F34" s="43">
        <v>3.48</v>
      </c>
    </row>
    <row r="35" spans="2:6" x14ac:dyDescent="0.25">
      <c r="B35" s="13" t="s">
        <v>197</v>
      </c>
      <c r="C35" s="15" t="s">
        <v>104</v>
      </c>
      <c r="D35" s="13" t="s">
        <v>105</v>
      </c>
      <c r="E35" s="13" t="s">
        <v>198</v>
      </c>
      <c r="F35" s="43">
        <v>4.68</v>
      </c>
    </row>
    <row r="36" spans="2:6" x14ac:dyDescent="0.25">
      <c r="B36" s="13" t="s">
        <v>199</v>
      </c>
      <c r="C36" s="15" t="s">
        <v>104</v>
      </c>
      <c r="D36" s="13" t="s">
        <v>105</v>
      </c>
      <c r="E36" s="13" t="s">
        <v>200</v>
      </c>
      <c r="F36" s="43">
        <v>4.88</v>
      </c>
    </row>
    <row r="37" spans="2:6" x14ac:dyDescent="0.25">
      <c r="B37" s="13" t="s">
        <v>201</v>
      </c>
      <c r="C37" s="15" t="s">
        <v>104</v>
      </c>
      <c r="D37" s="13" t="s">
        <v>105</v>
      </c>
      <c r="E37" s="13" t="s">
        <v>202</v>
      </c>
      <c r="F37" s="43">
        <v>7.02</v>
      </c>
    </row>
    <row r="38" spans="2:6" x14ac:dyDescent="0.25">
      <c r="B38" s="13" t="s">
        <v>203</v>
      </c>
      <c r="C38" s="15" t="s">
        <v>104</v>
      </c>
      <c r="D38" s="13" t="s">
        <v>105</v>
      </c>
      <c r="E38" s="13" t="s">
        <v>204</v>
      </c>
      <c r="F38" s="43">
        <v>12.03</v>
      </c>
    </row>
    <row r="39" spans="2:6" x14ac:dyDescent="0.25">
      <c r="B39" s="13" t="s">
        <v>205</v>
      </c>
      <c r="C39" s="15" t="s">
        <v>104</v>
      </c>
      <c r="D39" s="13" t="s">
        <v>105</v>
      </c>
      <c r="E39" s="13" t="s">
        <v>206</v>
      </c>
      <c r="F39" s="43">
        <v>18.100000000000001</v>
      </c>
    </row>
    <row r="40" spans="2:6" x14ac:dyDescent="0.25">
      <c r="B40" s="13" t="s">
        <v>207</v>
      </c>
      <c r="C40" s="15" t="s">
        <v>104</v>
      </c>
      <c r="D40" s="13" t="s">
        <v>105</v>
      </c>
      <c r="E40" s="13" t="s">
        <v>208</v>
      </c>
      <c r="F40" s="43">
        <v>22.75</v>
      </c>
    </row>
    <row r="41" spans="2:6" x14ac:dyDescent="0.25">
      <c r="B41" s="13" t="s">
        <v>209</v>
      </c>
      <c r="C41" s="15" t="s">
        <v>104</v>
      </c>
      <c r="D41" s="13" t="s">
        <v>105</v>
      </c>
      <c r="E41" s="13" t="s">
        <v>210</v>
      </c>
      <c r="F41" s="43">
        <v>36.43</v>
      </c>
    </row>
    <row r="42" spans="2:6" x14ac:dyDescent="0.25">
      <c r="B42" s="13" t="s">
        <v>211</v>
      </c>
      <c r="C42" s="15" t="s">
        <v>104</v>
      </c>
      <c r="D42" s="13" t="s">
        <v>105</v>
      </c>
      <c r="E42" s="13" t="s">
        <v>212</v>
      </c>
      <c r="F42" s="43">
        <v>60.97</v>
      </c>
    </row>
    <row r="43" spans="2:6" x14ac:dyDescent="0.25">
      <c r="B43" s="13" t="s">
        <v>213</v>
      </c>
      <c r="C43" s="15" t="s">
        <v>104</v>
      </c>
      <c r="D43" s="13" t="s">
        <v>105</v>
      </c>
      <c r="E43" s="13" t="s">
        <v>214</v>
      </c>
      <c r="F43" s="43">
        <v>90.32</v>
      </c>
    </row>
    <row r="44" spans="2:6" x14ac:dyDescent="0.25">
      <c r="B44" s="13" t="s">
        <v>215</v>
      </c>
      <c r="C44" s="15" t="s">
        <v>104</v>
      </c>
      <c r="D44" s="13" t="s">
        <v>105</v>
      </c>
      <c r="E44" s="13" t="s">
        <v>216</v>
      </c>
      <c r="F44" s="43">
        <v>156.04</v>
      </c>
    </row>
    <row r="45" spans="2:6" x14ac:dyDescent="0.25">
      <c r="B45" s="13" t="s">
        <v>217</v>
      </c>
      <c r="C45" s="15" t="s">
        <v>104</v>
      </c>
      <c r="D45" s="13" t="s">
        <v>105</v>
      </c>
      <c r="E45" s="13" t="s">
        <v>218</v>
      </c>
      <c r="F45" s="43">
        <v>1.63</v>
      </c>
    </row>
    <row r="46" spans="2:6" x14ac:dyDescent="0.25">
      <c r="B46" s="13" t="s">
        <v>219</v>
      </c>
      <c r="C46" s="15" t="s">
        <v>104</v>
      </c>
      <c r="D46" s="13" t="s">
        <v>105</v>
      </c>
      <c r="E46" s="13" t="s">
        <v>220</v>
      </c>
      <c r="F46" s="43">
        <v>1.89</v>
      </c>
    </row>
    <row r="47" spans="2:6" x14ac:dyDescent="0.25">
      <c r="B47" s="13" t="s">
        <v>221</v>
      </c>
      <c r="C47" s="15" t="s">
        <v>104</v>
      </c>
      <c r="D47" s="13" t="s">
        <v>105</v>
      </c>
      <c r="E47" s="13" t="s">
        <v>222</v>
      </c>
      <c r="F47" s="43">
        <v>2.74</v>
      </c>
    </row>
    <row r="48" spans="2:6" x14ac:dyDescent="0.25">
      <c r="B48" s="13" t="s">
        <v>223</v>
      </c>
      <c r="C48" s="15" t="s">
        <v>104</v>
      </c>
      <c r="D48" s="13" t="s">
        <v>105</v>
      </c>
      <c r="E48" s="13" t="s">
        <v>224</v>
      </c>
      <c r="F48" s="43">
        <v>3.71</v>
      </c>
    </row>
    <row r="49" spans="2:6" x14ac:dyDescent="0.25">
      <c r="B49" s="13" t="s">
        <v>225</v>
      </c>
      <c r="C49" s="15" t="s">
        <v>104</v>
      </c>
      <c r="D49" s="13" t="s">
        <v>105</v>
      </c>
      <c r="E49" s="13" t="s">
        <v>226</v>
      </c>
      <c r="F49" s="43">
        <v>5.08</v>
      </c>
    </row>
    <row r="50" spans="2:6" x14ac:dyDescent="0.25">
      <c r="B50" s="13" t="s">
        <v>227</v>
      </c>
      <c r="C50" s="15" t="s">
        <v>104</v>
      </c>
      <c r="D50" s="13" t="s">
        <v>105</v>
      </c>
      <c r="E50" s="13" t="s">
        <v>228</v>
      </c>
      <c r="F50" s="43">
        <v>7.81</v>
      </c>
    </row>
    <row r="51" spans="2:6" x14ac:dyDescent="0.25">
      <c r="B51" s="13" t="s">
        <v>229</v>
      </c>
      <c r="C51" s="15" t="s">
        <v>104</v>
      </c>
      <c r="D51" s="13" t="s">
        <v>105</v>
      </c>
      <c r="E51" s="13" t="s">
        <v>230</v>
      </c>
      <c r="F51" s="43">
        <v>9.27</v>
      </c>
    </row>
    <row r="52" spans="2:6" x14ac:dyDescent="0.25">
      <c r="B52" s="13" t="s">
        <v>231</v>
      </c>
      <c r="C52" s="15" t="s">
        <v>104</v>
      </c>
      <c r="D52" s="13" t="s">
        <v>105</v>
      </c>
      <c r="E52" s="13" t="s">
        <v>232</v>
      </c>
      <c r="F52" s="43">
        <v>12.32</v>
      </c>
    </row>
    <row r="53" spans="2:6" x14ac:dyDescent="0.25">
      <c r="B53" s="13" t="s">
        <v>233</v>
      </c>
      <c r="C53" s="15" t="s">
        <v>104</v>
      </c>
      <c r="D53" s="13" t="s">
        <v>105</v>
      </c>
      <c r="E53" s="13" t="s">
        <v>234</v>
      </c>
      <c r="F53" s="43">
        <v>22.75</v>
      </c>
    </row>
    <row r="54" spans="2:6" x14ac:dyDescent="0.25">
      <c r="B54" s="13" t="s">
        <v>235</v>
      </c>
      <c r="C54" s="15" t="s">
        <v>104</v>
      </c>
      <c r="D54" s="13" t="s">
        <v>105</v>
      </c>
      <c r="E54" s="13" t="s">
        <v>236</v>
      </c>
      <c r="F54" s="43">
        <v>34.630000000000003</v>
      </c>
    </row>
    <row r="55" spans="2:6" x14ac:dyDescent="0.25">
      <c r="B55" s="13" t="s">
        <v>237</v>
      </c>
      <c r="C55" s="15" t="s">
        <v>104</v>
      </c>
      <c r="D55" s="13" t="s">
        <v>105</v>
      </c>
      <c r="E55" s="13" t="s">
        <v>238</v>
      </c>
      <c r="F55" s="43">
        <v>55.49</v>
      </c>
    </row>
    <row r="56" spans="2:6" x14ac:dyDescent="0.25">
      <c r="B56" s="13" t="s">
        <v>239</v>
      </c>
      <c r="C56" s="15" t="s">
        <v>104</v>
      </c>
      <c r="D56" s="13" t="s">
        <v>105</v>
      </c>
      <c r="E56" s="13" t="s">
        <v>240</v>
      </c>
      <c r="F56" s="43">
        <v>2.23</v>
      </c>
    </row>
    <row r="57" spans="2:6" x14ac:dyDescent="0.25">
      <c r="B57" s="13" t="s">
        <v>241</v>
      </c>
      <c r="C57" s="15" t="s">
        <v>104</v>
      </c>
      <c r="D57" s="13" t="s">
        <v>105</v>
      </c>
      <c r="E57" s="13" t="s">
        <v>242</v>
      </c>
      <c r="F57" s="43">
        <v>2.4300000000000002</v>
      </c>
    </row>
    <row r="58" spans="2:6" x14ac:dyDescent="0.25">
      <c r="B58" s="13" t="s">
        <v>243</v>
      </c>
      <c r="C58" s="15" t="s">
        <v>104</v>
      </c>
      <c r="D58" s="13" t="s">
        <v>105</v>
      </c>
      <c r="E58" s="13" t="s">
        <v>244</v>
      </c>
      <c r="F58" s="43">
        <v>4.3099999999999996</v>
      </c>
    </row>
    <row r="59" spans="2:6" x14ac:dyDescent="0.25">
      <c r="B59" s="13" t="s">
        <v>245</v>
      </c>
      <c r="C59" s="15" t="s">
        <v>104</v>
      </c>
      <c r="D59" s="13" t="s">
        <v>105</v>
      </c>
      <c r="E59" s="13" t="s">
        <v>246</v>
      </c>
      <c r="F59" s="43">
        <v>5.42</v>
      </c>
    </row>
    <row r="60" spans="2:6" x14ac:dyDescent="0.25">
      <c r="B60" s="13" t="s">
        <v>247</v>
      </c>
      <c r="C60" s="15" t="s">
        <v>104</v>
      </c>
      <c r="D60" s="13" t="s">
        <v>105</v>
      </c>
      <c r="E60" s="13" t="s">
        <v>248</v>
      </c>
      <c r="F60" s="43">
        <v>7.61</v>
      </c>
    </row>
    <row r="61" spans="2:6" x14ac:dyDescent="0.25">
      <c r="B61" s="13" t="s">
        <v>249</v>
      </c>
      <c r="C61" s="15" t="s">
        <v>104</v>
      </c>
      <c r="D61" s="13" t="s">
        <v>105</v>
      </c>
      <c r="E61" s="13" t="s">
        <v>250</v>
      </c>
      <c r="F61" s="43">
        <v>12.26</v>
      </c>
    </row>
    <row r="62" spans="2:6" x14ac:dyDescent="0.25">
      <c r="B62" s="13" t="s">
        <v>251</v>
      </c>
      <c r="C62" s="15" t="s">
        <v>104</v>
      </c>
      <c r="D62" s="13" t="s">
        <v>105</v>
      </c>
      <c r="E62" s="13" t="s">
        <v>252</v>
      </c>
      <c r="F62" s="43">
        <v>14.63</v>
      </c>
    </row>
    <row r="63" spans="2:6" x14ac:dyDescent="0.25">
      <c r="B63" s="13" t="s">
        <v>253</v>
      </c>
      <c r="C63" s="15" t="s">
        <v>104</v>
      </c>
      <c r="D63" s="13" t="s">
        <v>105</v>
      </c>
      <c r="E63" s="13" t="s">
        <v>254</v>
      </c>
      <c r="F63" s="43">
        <v>23.15</v>
      </c>
    </row>
    <row r="64" spans="2:6" x14ac:dyDescent="0.25">
      <c r="B64" s="13" t="s">
        <v>255</v>
      </c>
      <c r="C64" s="15" t="s">
        <v>104</v>
      </c>
      <c r="D64" s="13" t="s">
        <v>105</v>
      </c>
      <c r="E64" s="13" t="s">
        <v>256</v>
      </c>
      <c r="F64" s="43">
        <v>37.6</v>
      </c>
    </row>
    <row r="65" spans="2:6" x14ac:dyDescent="0.25">
      <c r="B65" s="13" t="s">
        <v>257</v>
      </c>
      <c r="C65" s="15" t="s">
        <v>104</v>
      </c>
      <c r="D65" s="13" t="s">
        <v>105</v>
      </c>
      <c r="E65" s="13" t="s">
        <v>258</v>
      </c>
      <c r="F65" s="43">
        <v>58.83</v>
      </c>
    </row>
    <row r="66" spans="2:6" x14ac:dyDescent="0.25">
      <c r="B66" s="13" t="s">
        <v>259</v>
      </c>
      <c r="C66" s="15" t="s">
        <v>104</v>
      </c>
      <c r="D66" s="13" t="s">
        <v>105</v>
      </c>
      <c r="E66" s="13" t="s">
        <v>260</v>
      </c>
      <c r="F66" s="43">
        <v>103.6</v>
      </c>
    </row>
    <row r="67" spans="2:6" x14ac:dyDescent="0.25">
      <c r="B67" s="13" t="s">
        <v>261</v>
      </c>
      <c r="C67" s="15" t="s">
        <v>104</v>
      </c>
      <c r="D67" s="13" t="s">
        <v>105</v>
      </c>
      <c r="E67" s="13" t="s">
        <v>262</v>
      </c>
      <c r="F67" s="43">
        <v>5.25</v>
      </c>
    </row>
    <row r="68" spans="2:6" x14ac:dyDescent="0.25">
      <c r="B68" s="13" t="s">
        <v>263</v>
      </c>
      <c r="C68" s="15" t="s">
        <v>104</v>
      </c>
      <c r="D68" s="13" t="s">
        <v>105</v>
      </c>
      <c r="E68" s="13" t="s">
        <v>264</v>
      </c>
      <c r="F68" s="43">
        <v>5.99</v>
      </c>
    </row>
    <row r="69" spans="2:6" x14ac:dyDescent="0.25">
      <c r="B69" s="13" t="s">
        <v>265</v>
      </c>
      <c r="C69" s="15" t="s">
        <v>104</v>
      </c>
      <c r="D69" s="13" t="s">
        <v>105</v>
      </c>
      <c r="E69" s="13" t="s">
        <v>266</v>
      </c>
      <c r="F69" s="43">
        <v>7.04</v>
      </c>
    </row>
    <row r="70" spans="2:6" x14ac:dyDescent="0.25">
      <c r="B70" s="13" t="s">
        <v>267</v>
      </c>
      <c r="C70" s="15" t="s">
        <v>104</v>
      </c>
      <c r="D70" s="13" t="s">
        <v>105</v>
      </c>
      <c r="E70" s="13" t="s">
        <v>268</v>
      </c>
      <c r="F70" s="43">
        <v>10.24</v>
      </c>
    </row>
    <row r="71" spans="2:6" x14ac:dyDescent="0.25">
      <c r="B71" s="13" t="s">
        <v>269</v>
      </c>
      <c r="C71" s="15" t="s">
        <v>104</v>
      </c>
      <c r="D71" s="13" t="s">
        <v>105</v>
      </c>
      <c r="E71" s="13" t="s">
        <v>270</v>
      </c>
      <c r="F71" s="43">
        <v>14.14</v>
      </c>
    </row>
    <row r="72" spans="2:6" x14ac:dyDescent="0.25">
      <c r="B72" s="13" t="s">
        <v>271</v>
      </c>
      <c r="C72" s="15" t="s">
        <v>104</v>
      </c>
      <c r="D72" s="13" t="s">
        <v>105</v>
      </c>
      <c r="E72" s="13" t="s">
        <v>272</v>
      </c>
      <c r="F72" s="43">
        <v>23.26</v>
      </c>
    </row>
    <row r="73" spans="2:6" x14ac:dyDescent="0.25">
      <c r="B73" s="13" t="s">
        <v>273</v>
      </c>
      <c r="C73" s="15" t="s">
        <v>104</v>
      </c>
      <c r="D73" s="13" t="s">
        <v>105</v>
      </c>
      <c r="E73" s="13" t="s">
        <v>274</v>
      </c>
      <c r="F73" s="43">
        <v>28.05</v>
      </c>
    </row>
    <row r="74" spans="2:6" x14ac:dyDescent="0.25">
      <c r="B74" s="13" t="s">
        <v>275</v>
      </c>
      <c r="C74" s="15" t="s">
        <v>104</v>
      </c>
      <c r="D74" s="13" t="s">
        <v>105</v>
      </c>
      <c r="E74" s="13" t="s">
        <v>276</v>
      </c>
      <c r="F74" s="43">
        <v>44.58</v>
      </c>
    </row>
    <row r="75" spans="2:6" x14ac:dyDescent="0.25">
      <c r="B75" s="13" t="s">
        <v>277</v>
      </c>
      <c r="C75" s="15" t="s">
        <v>104</v>
      </c>
      <c r="D75" s="13" t="s">
        <v>105</v>
      </c>
      <c r="E75" s="13" t="s">
        <v>278</v>
      </c>
      <c r="F75" s="43">
        <v>2.31</v>
      </c>
    </row>
    <row r="76" spans="2:6" x14ac:dyDescent="0.25">
      <c r="B76" s="13" t="s">
        <v>279</v>
      </c>
      <c r="C76" s="15" t="s">
        <v>104</v>
      </c>
      <c r="D76" s="13" t="s">
        <v>105</v>
      </c>
      <c r="E76" s="13" t="s">
        <v>280</v>
      </c>
      <c r="F76" s="43">
        <v>3.34</v>
      </c>
    </row>
    <row r="77" spans="2:6" x14ac:dyDescent="0.25">
      <c r="B77" s="13" t="s">
        <v>281</v>
      </c>
      <c r="C77" s="15" t="s">
        <v>104</v>
      </c>
      <c r="D77" s="13" t="s">
        <v>105</v>
      </c>
      <c r="E77" s="13" t="s">
        <v>282</v>
      </c>
      <c r="F77" s="43">
        <v>3.85</v>
      </c>
    </row>
    <row r="78" spans="2:6" x14ac:dyDescent="0.25">
      <c r="B78" s="13" t="s">
        <v>283</v>
      </c>
      <c r="C78" s="15" t="s">
        <v>104</v>
      </c>
      <c r="D78" s="13" t="s">
        <v>105</v>
      </c>
      <c r="E78" s="13" t="s">
        <v>284</v>
      </c>
      <c r="F78" s="43">
        <v>5.13</v>
      </c>
    </row>
    <row r="79" spans="2:6" x14ac:dyDescent="0.25">
      <c r="B79" s="13" t="s">
        <v>285</v>
      </c>
      <c r="C79" s="15" t="s">
        <v>104</v>
      </c>
      <c r="D79" s="13" t="s">
        <v>105</v>
      </c>
      <c r="E79" s="13" t="s">
        <v>286</v>
      </c>
      <c r="F79" s="43">
        <v>7.84</v>
      </c>
    </row>
    <row r="80" spans="2:6" x14ac:dyDescent="0.25">
      <c r="B80" s="13" t="s">
        <v>287</v>
      </c>
      <c r="C80" s="15" t="s">
        <v>104</v>
      </c>
      <c r="D80" s="13" t="s">
        <v>105</v>
      </c>
      <c r="E80" s="13" t="s">
        <v>288</v>
      </c>
      <c r="F80" s="43">
        <v>11.49</v>
      </c>
    </row>
    <row r="81" spans="2:6" x14ac:dyDescent="0.25">
      <c r="B81" s="13" t="s">
        <v>289</v>
      </c>
      <c r="C81" s="15" t="s">
        <v>104</v>
      </c>
      <c r="D81" s="13" t="s">
        <v>105</v>
      </c>
      <c r="E81" s="13" t="s">
        <v>290</v>
      </c>
      <c r="F81" s="43">
        <v>14.48</v>
      </c>
    </row>
    <row r="82" spans="2:6" x14ac:dyDescent="0.25">
      <c r="B82" s="13" t="s">
        <v>291</v>
      </c>
      <c r="C82" s="15" t="s">
        <v>104</v>
      </c>
      <c r="D82" s="13" t="s">
        <v>105</v>
      </c>
      <c r="E82" s="13" t="s">
        <v>292</v>
      </c>
      <c r="F82" s="43">
        <v>22.18</v>
      </c>
    </row>
    <row r="83" spans="2:6" x14ac:dyDescent="0.25">
      <c r="B83" s="13" t="s">
        <v>293</v>
      </c>
      <c r="C83" s="15" t="s">
        <v>104</v>
      </c>
      <c r="D83" s="13" t="s">
        <v>105</v>
      </c>
      <c r="E83" s="13" t="s">
        <v>294</v>
      </c>
      <c r="F83" s="43">
        <v>36.54</v>
      </c>
    </row>
    <row r="84" spans="2:6" x14ac:dyDescent="0.25">
      <c r="B84" s="13" t="s">
        <v>295</v>
      </c>
      <c r="C84" s="15" t="s">
        <v>104</v>
      </c>
      <c r="D84" s="13" t="s">
        <v>105</v>
      </c>
      <c r="E84" s="13" t="s">
        <v>296</v>
      </c>
      <c r="F84" s="43">
        <v>1.71</v>
      </c>
    </row>
    <row r="85" spans="2:6" x14ac:dyDescent="0.25">
      <c r="B85" s="13" t="s">
        <v>297</v>
      </c>
      <c r="C85" s="15" t="s">
        <v>104</v>
      </c>
      <c r="D85" s="13" t="s">
        <v>105</v>
      </c>
      <c r="E85" s="13" t="s">
        <v>298</v>
      </c>
      <c r="F85" s="43">
        <v>2</v>
      </c>
    </row>
    <row r="86" spans="2:6" x14ac:dyDescent="0.25">
      <c r="B86" s="13" t="s">
        <v>299</v>
      </c>
      <c r="C86" s="15" t="s">
        <v>104</v>
      </c>
      <c r="D86" s="13" t="s">
        <v>105</v>
      </c>
      <c r="E86" s="13" t="s">
        <v>300</v>
      </c>
      <c r="F86" s="43">
        <v>2.34</v>
      </c>
    </row>
    <row r="87" spans="2:6" x14ac:dyDescent="0.25">
      <c r="B87" s="13" t="s">
        <v>301</v>
      </c>
      <c r="C87" s="15" t="s">
        <v>104</v>
      </c>
      <c r="D87" s="13" t="s">
        <v>105</v>
      </c>
      <c r="E87" s="13" t="s">
        <v>302</v>
      </c>
      <c r="F87" s="43">
        <v>3.2</v>
      </c>
    </row>
    <row r="88" spans="2:6" x14ac:dyDescent="0.25">
      <c r="B88" s="13" t="s">
        <v>303</v>
      </c>
      <c r="C88" s="15" t="s">
        <v>104</v>
      </c>
      <c r="D88" s="13" t="s">
        <v>105</v>
      </c>
      <c r="E88" s="13" t="s">
        <v>304</v>
      </c>
      <c r="F88" s="43">
        <v>4.71</v>
      </c>
    </row>
    <row r="89" spans="2:6" x14ac:dyDescent="0.25">
      <c r="B89" s="13" t="s">
        <v>305</v>
      </c>
      <c r="C89" s="15" t="s">
        <v>104</v>
      </c>
      <c r="D89" s="13" t="s">
        <v>105</v>
      </c>
      <c r="E89" s="13" t="s">
        <v>306</v>
      </c>
      <c r="F89" s="43">
        <v>7.56</v>
      </c>
    </row>
    <row r="90" spans="2:6" x14ac:dyDescent="0.25">
      <c r="B90" s="13" t="s">
        <v>307</v>
      </c>
      <c r="C90" s="15" t="s">
        <v>104</v>
      </c>
      <c r="D90" s="13" t="s">
        <v>105</v>
      </c>
      <c r="E90" s="13" t="s">
        <v>308</v>
      </c>
      <c r="F90" s="43">
        <v>9.1</v>
      </c>
    </row>
    <row r="91" spans="2:6" x14ac:dyDescent="0.25">
      <c r="B91" s="13" t="s">
        <v>309</v>
      </c>
      <c r="C91" s="15" t="s">
        <v>104</v>
      </c>
      <c r="D91" s="13" t="s">
        <v>105</v>
      </c>
      <c r="E91" s="13" t="s">
        <v>310</v>
      </c>
      <c r="F91" s="43">
        <v>15.05</v>
      </c>
    </row>
    <row r="92" spans="2:6" x14ac:dyDescent="0.25">
      <c r="B92" s="13" t="s">
        <v>311</v>
      </c>
      <c r="C92" s="15" t="s">
        <v>104</v>
      </c>
      <c r="D92" s="13" t="s">
        <v>105</v>
      </c>
      <c r="E92" s="13" t="s">
        <v>312</v>
      </c>
      <c r="F92" s="43">
        <v>24.29</v>
      </c>
    </row>
    <row r="93" spans="2:6" x14ac:dyDescent="0.25">
      <c r="B93" s="13" t="s">
        <v>313</v>
      </c>
      <c r="C93" s="15" t="s">
        <v>104</v>
      </c>
      <c r="D93" s="13" t="s">
        <v>105</v>
      </c>
      <c r="E93" s="13" t="s">
        <v>314</v>
      </c>
      <c r="F93" s="43">
        <v>32.35</v>
      </c>
    </row>
    <row r="94" spans="2:6" x14ac:dyDescent="0.25">
      <c r="B94" s="13" t="s">
        <v>315</v>
      </c>
      <c r="C94" s="15" t="s">
        <v>104</v>
      </c>
      <c r="D94" s="13" t="s">
        <v>105</v>
      </c>
      <c r="E94" s="13" t="s">
        <v>316</v>
      </c>
      <c r="F94" s="43">
        <v>2.57</v>
      </c>
    </row>
    <row r="95" spans="2:6" x14ac:dyDescent="0.25">
      <c r="B95" s="13" t="s">
        <v>317</v>
      </c>
      <c r="C95" s="15" t="s">
        <v>104</v>
      </c>
      <c r="D95" s="13" t="s">
        <v>105</v>
      </c>
      <c r="E95" s="13" t="s">
        <v>318</v>
      </c>
      <c r="F95" s="43">
        <v>3.03</v>
      </c>
    </row>
    <row r="96" spans="2:6" x14ac:dyDescent="0.25">
      <c r="B96" s="13" t="s">
        <v>319</v>
      </c>
      <c r="C96" s="15" t="s">
        <v>104</v>
      </c>
      <c r="D96" s="13" t="s">
        <v>105</v>
      </c>
      <c r="E96" s="13" t="s">
        <v>320</v>
      </c>
      <c r="F96" s="43">
        <v>4.22</v>
      </c>
    </row>
    <row r="97" spans="2:6" x14ac:dyDescent="0.25">
      <c r="B97" s="13" t="s">
        <v>321</v>
      </c>
      <c r="C97" s="15" t="s">
        <v>104</v>
      </c>
      <c r="D97" s="13" t="s">
        <v>105</v>
      </c>
      <c r="E97" s="13" t="s">
        <v>322</v>
      </c>
      <c r="F97" s="43">
        <v>5.28</v>
      </c>
    </row>
    <row r="98" spans="2:6" x14ac:dyDescent="0.25">
      <c r="B98" s="13" t="s">
        <v>323</v>
      </c>
      <c r="C98" s="15" t="s">
        <v>104</v>
      </c>
      <c r="D98" s="13" t="s">
        <v>105</v>
      </c>
      <c r="E98" s="13" t="s">
        <v>324</v>
      </c>
      <c r="F98" s="43">
        <v>7.79</v>
      </c>
    </row>
    <row r="99" spans="2:6" x14ac:dyDescent="0.25">
      <c r="B99" s="13" t="s">
        <v>325</v>
      </c>
      <c r="C99" s="15" t="s">
        <v>104</v>
      </c>
      <c r="D99" s="13" t="s">
        <v>105</v>
      </c>
      <c r="E99" s="13" t="s">
        <v>326</v>
      </c>
      <c r="F99" s="43">
        <v>9.7799999999999994</v>
      </c>
    </row>
    <row r="100" spans="2:6" x14ac:dyDescent="0.25">
      <c r="B100" s="13" t="s">
        <v>327</v>
      </c>
      <c r="C100" s="15" t="s">
        <v>104</v>
      </c>
      <c r="D100" s="13" t="s">
        <v>105</v>
      </c>
      <c r="E100" s="13" t="s">
        <v>328</v>
      </c>
      <c r="F100" s="43">
        <v>12.66</v>
      </c>
    </row>
    <row r="101" spans="2:6" x14ac:dyDescent="0.25">
      <c r="B101" s="13" t="s">
        <v>329</v>
      </c>
      <c r="C101" s="15" t="s">
        <v>104</v>
      </c>
      <c r="D101" s="13" t="s">
        <v>105</v>
      </c>
      <c r="E101" s="13" t="s">
        <v>330</v>
      </c>
      <c r="F101" s="43">
        <v>18.329999999999998</v>
      </c>
    </row>
    <row r="102" spans="2:6" x14ac:dyDescent="0.25">
      <c r="B102" s="13" t="s">
        <v>331</v>
      </c>
      <c r="C102" s="15" t="s">
        <v>104</v>
      </c>
      <c r="D102" s="13" t="s">
        <v>105</v>
      </c>
      <c r="E102" s="13" t="s">
        <v>332</v>
      </c>
      <c r="F102" s="43">
        <v>2.06</v>
      </c>
    </row>
    <row r="103" spans="2:6" x14ac:dyDescent="0.25">
      <c r="B103" s="13" t="s">
        <v>333</v>
      </c>
      <c r="C103" s="15" t="s">
        <v>104</v>
      </c>
      <c r="D103" s="13" t="s">
        <v>105</v>
      </c>
      <c r="E103" s="13" t="s">
        <v>334</v>
      </c>
      <c r="F103" s="43">
        <v>2.4300000000000002</v>
      </c>
    </row>
    <row r="104" spans="2:6" x14ac:dyDescent="0.25">
      <c r="B104" s="13" t="s">
        <v>335</v>
      </c>
      <c r="C104" s="15" t="s">
        <v>104</v>
      </c>
      <c r="D104" s="13" t="s">
        <v>105</v>
      </c>
      <c r="E104" s="13" t="s">
        <v>336</v>
      </c>
      <c r="F104" s="43">
        <v>3.2</v>
      </c>
    </row>
    <row r="105" spans="2:6" x14ac:dyDescent="0.25">
      <c r="B105" s="13" t="s">
        <v>337</v>
      </c>
      <c r="C105" s="15" t="s">
        <v>104</v>
      </c>
      <c r="D105" s="13" t="s">
        <v>105</v>
      </c>
      <c r="E105" s="13" t="s">
        <v>338</v>
      </c>
      <c r="F105" s="43">
        <v>4.28</v>
      </c>
    </row>
    <row r="106" spans="2:6" x14ac:dyDescent="0.25">
      <c r="B106" s="13" t="s">
        <v>339</v>
      </c>
      <c r="C106" s="15" t="s">
        <v>104</v>
      </c>
      <c r="D106" s="13" t="s">
        <v>105</v>
      </c>
      <c r="E106" s="13" t="s">
        <v>340</v>
      </c>
      <c r="F106" s="43">
        <v>6.08</v>
      </c>
    </row>
    <row r="107" spans="2:6" x14ac:dyDescent="0.25">
      <c r="B107" s="13" t="s">
        <v>341</v>
      </c>
      <c r="C107" s="15" t="s">
        <v>104</v>
      </c>
      <c r="D107" s="13" t="s">
        <v>105</v>
      </c>
      <c r="E107" s="13" t="s">
        <v>342</v>
      </c>
      <c r="F107" s="43">
        <v>8.9499999999999993</v>
      </c>
    </row>
    <row r="108" spans="2:6" x14ac:dyDescent="0.25">
      <c r="B108" s="13" t="s">
        <v>343</v>
      </c>
      <c r="C108" s="15" t="s">
        <v>104</v>
      </c>
      <c r="D108" s="13" t="s">
        <v>105</v>
      </c>
      <c r="E108" s="13" t="s">
        <v>344</v>
      </c>
      <c r="F108" s="43">
        <v>10.75</v>
      </c>
    </row>
    <row r="109" spans="2:6" x14ac:dyDescent="0.25">
      <c r="B109" s="13" t="s">
        <v>345</v>
      </c>
      <c r="C109" s="15" t="s">
        <v>104</v>
      </c>
      <c r="D109" s="13" t="s">
        <v>105</v>
      </c>
      <c r="E109" s="13" t="s">
        <v>346</v>
      </c>
      <c r="F109" s="43">
        <v>16.68</v>
      </c>
    </row>
    <row r="110" spans="2:6" x14ac:dyDescent="0.25">
      <c r="B110" s="13" t="s">
        <v>347</v>
      </c>
      <c r="C110" s="15" t="s">
        <v>104</v>
      </c>
      <c r="D110" s="13" t="s">
        <v>105</v>
      </c>
      <c r="E110" s="13" t="s">
        <v>348</v>
      </c>
      <c r="F110" s="43">
        <v>27.93</v>
      </c>
    </row>
    <row r="111" spans="2:6" x14ac:dyDescent="0.25">
      <c r="B111" s="13" t="s">
        <v>349</v>
      </c>
      <c r="C111" s="15" t="s">
        <v>104</v>
      </c>
      <c r="D111" s="13" t="s">
        <v>105</v>
      </c>
      <c r="E111" s="13" t="s">
        <v>350</v>
      </c>
      <c r="F111" s="43">
        <v>38.71</v>
      </c>
    </row>
    <row r="112" spans="2:6" x14ac:dyDescent="0.25">
      <c r="B112" s="13" t="s">
        <v>351</v>
      </c>
      <c r="C112" s="15" t="s">
        <v>104</v>
      </c>
      <c r="D112" s="13" t="s">
        <v>105</v>
      </c>
      <c r="E112" s="13" t="s">
        <v>352</v>
      </c>
      <c r="F112" s="43">
        <v>2.4300000000000002</v>
      </c>
    </row>
    <row r="113" spans="2:6" x14ac:dyDescent="0.25">
      <c r="B113" s="13" t="s">
        <v>353</v>
      </c>
      <c r="C113" s="15" t="s">
        <v>104</v>
      </c>
      <c r="D113" s="13" t="s">
        <v>105</v>
      </c>
      <c r="E113" s="13" t="s">
        <v>354</v>
      </c>
      <c r="F113" s="43">
        <v>2.83</v>
      </c>
    </row>
    <row r="114" spans="2:6" x14ac:dyDescent="0.25">
      <c r="B114" s="13" t="s">
        <v>355</v>
      </c>
      <c r="C114" s="15" t="s">
        <v>104</v>
      </c>
      <c r="D114" s="13" t="s">
        <v>105</v>
      </c>
      <c r="E114" s="13" t="s">
        <v>356</v>
      </c>
      <c r="F114" s="43">
        <v>3.25</v>
      </c>
    </row>
    <row r="115" spans="2:6" x14ac:dyDescent="0.25">
      <c r="B115" s="13" t="s">
        <v>357</v>
      </c>
      <c r="C115" s="15" t="s">
        <v>104</v>
      </c>
      <c r="D115" s="13" t="s">
        <v>105</v>
      </c>
      <c r="E115" s="13" t="s">
        <v>358</v>
      </c>
      <c r="F115" s="43">
        <v>4.68</v>
      </c>
    </row>
    <row r="116" spans="2:6" x14ac:dyDescent="0.25">
      <c r="B116" s="13" t="s">
        <v>359</v>
      </c>
      <c r="C116" s="15" t="s">
        <v>104</v>
      </c>
      <c r="D116" s="13" t="s">
        <v>105</v>
      </c>
      <c r="E116" s="13" t="s">
        <v>360</v>
      </c>
      <c r="F116" s="43">
        <v>5.65</v>
      </c>
    </row>
    <row r="117" spans="2:6" x14ac:dyDescent="0.25">
      <c r="B117" s="13" t="s">
        <v>361</v>
      </c>
      <c r="C117" s="15" t="s">
        <v>104</v>
      </c>
      <c r="D117" s="13" t="s">
        <v>105</v>
      </c>
      <c r="E117" s="13" t="s">
        <v>362</v>
      </c>
      <c r="F117" s="43">
        <v>10.24</v>
      </c>
    </row>
    <row r="118" spans="2:6" x14ac:dyDescent="0.25">
      <c r="B118" s="13" t="s">
        <v>363</v>
      </c>
      <c r="C118" s="15" t="s">
        <v>104</v>
      </c>
      <c r="D118" s="13" t="s">
        <v>105</v>
      </c>
      <c r="E118" s="13" t="s">
        <v>364</v>
      </c>
      <c r="F118" s="43">
        <v>12.09</v>
      </c>
    </row>
    <row r="119" spans="2:6" x14ac:dyDescent="0.25">
      <c r="B119" s="13" t="s">
        <v>365</v>
      </c>
      <c r="C119" s="15" t="s">
        <v>104</v>
      </c>
      <c r="D119" s="13" t="s">
        <v>105</v>
      </c>
      <c r="E119" s="13" t="s">
        <v>366</v>
      </c>
      <c r="F119" s="43">
        <v>17.25</v>
      </c>
    </row>
    <row r="120" spans="2:6" x14ac:dyDescent="0.25">
      <c r="B120" s="13" t="s">
        <v>367</v>
      </c>
      <c r="C120" s="15" t="s">
        <v>104</v>
      </c>
      <c r="D120" s="13" t="s">
        <v>105</v>
      </c>
      <c r="E120" s="13" t="s">
        <v>368</v>
      </c>
      <c r="F120" s="43">
        <v>26.65</v>
      </c>
    </row>
    <row r="121" spans="2:6" x14ac:dyDescent="0.25">
      <c r="B121" s="13" t="s">
        <v>369</v>
      </c>
      <c r="C121" s="15" t="s">
        <v>104</v>
      </c>
      <c r="D121" s="13" t="s">
        <v>105</v>
      </c>
      <c r="E121" s="13" t="s">
        <v>370</v>
      </c>
      <c r="F121" s="43">
        <v>39.68</v>
      </c>
    </row>
    <row r="122" spans="2:6" x14ac:dyDescent="0.25">
      <c r="B122" s="13" t="s">
        <v>371</v>
      </c>
      <c r="C122" s="15" t="s">
        <v>104</v>
      </c>
      <c r="D122" s="13" t="s">
        <v>105</v>
      </c>
      <c r="E122" s="13" t="s">
        <v>372</v>
      </c>
      <c r="F122" s="43">
        <v>1.77</v>
      </c>
    </row>
    <row r="123" spans="2:6" x14ac:dyDescent="0.25">
      <c r="B123" s="13" t="s">
        <v>373</v>
      </c>
      <c r="C123" s="15" t="s">
        <v>104</v>
      </c>
      <c r="D123" s="13" t="s">
        <v>105</v>
      </c>
      <c r="E123" s="13" t="s">
        <v>374</v>
      </c>
      <c r="F123" s="43">
        <v>1.91</v>
      </c>
    </row>
    <row r="124" spans="2:6" x14ac:dyDescent="0.25">
      <c r="B124" s="13" t="s">
        <v>375</v>
      </c>
      <c r="C124" s="15" t="s">
        <v>104</v>
      </c>
      <c r="D124" s="13" t="s">
        <v>105</v>
      </c>
      <c r="E124" s="13" t="s">
        <v>376</v>
      </c>
      <c r="F124" s="43">
        <v>2.06</v>
      </c>
    </row>
    <row r="125" spans="2:6" x14ac:dyDescent="0.25">
      <c r="B125" s="13" t="s">
        <v>377</v>
      </c>
      <c r="C125" s="15" t="s">
        <v>104</v>
      </c>
      <c r="D125" s="13" t="s">
        <v>105</v>
      </c>
      <c r="E125" s="13" t="s">
        <v>378</v>
      </c>
      <c r="F125" s="43">
        <v>3.37</v>
      </c>
    </row>
    <row r="126" spans="2:6" x14ac:dyDescent="0.25">
      <c r="B126" s="13" t="s">
        <v>379</v>
      </c>
      <c r="C126" s="15" t="s">
        <v>104</v>
      </c>
      <c r="D126" s="13" t="s">
        <v>105</v>
      </c>
      <c r="E126" s="13" t="s">
        <v>380</v>
      </c>
      <c r="F126" s="43">
        <v>5.22</v>
      </c>
    </row>
    <row r="127" spans="2:6" x14ac:dyDescent="0.25">
      <c r="B127" s="13" t="s">
        <v>381</v>
      </c>
      <c r="C127" s="15" t="s">
        <v>104</v>
      </c>
      <c r="D127" s="13" t="s">
        <v>105</v>
      </c>
      <c r="E127" s="13" t="s">
        <v>382</v>
      </c>
      <c r="F127" s="43">
        <v>7.64</v>
      </c>
    </row>
    <row r="128" spans="2:6" x14ac:dyDescent="0.25">
      <c r="B128" s="13" t="s">
        <v>383</v>
      </c>
      <c r="C128" s="15" t="s">
        <v>104</v>
      </c>
      <c r="D128" s="13" t="s">
        <v>105</v>
      </c>
      <c r="E128" s="13" t="s">
        <v>384</v>
      </c>
      <c r="F128" s="43">
        <v>8.58</v>
      </c>
    </row>
    <row r="129" spans="2:6" x14ac:dyDescent="0.25">
      <c r="B129" s="13" t="s">
        <v>385</v>
      </c>
      <c r="C129" s="15" t="s">
        <v>104</v>
      </c>
      <c r="D129" s="13" t="s">
        <v>105</v>
      </c>
      <c r="E129" s="13" t="s">
        <v>386</v>
      </c>
      <c r="F129" s="43">
        <v>14.03</v>
      </c>
    </row>
    <row r="130" spans="2:6" x14ac:dyDescent="0.25">
      <c r="B130" s="13" t="s">
        <v>387</v>
      </c>
      <c r="C130" s="15" t="s">
        <v>104</v>
      </c>
      <c r="D130" s="13" t="s">
        <v>105</v>
      </c>
      <c r="E130" s="13" t="s">
        <v>388</v>
      </c>
      <c r="F130" s="43">
        <v>26.91</v>
      </c>
    </row>
    <row r="131" spans="2:6" x14ac:dyDescent="0.25">
      <c r="B131" s="13" t="s">
        <v>389</v>
      </c>
      <c r="C131" s="15" t="s">
        <v>104</v>
      </c>
      <c r="D131" s="13" t="s">
        <v>105</v>
      </c>
      <c r="E131" s="13" t="s">
        <v>390</v>
      </c>
      <c r="F131" s="43">
        <v>31.87</v>
      </c>
    </row>
    <row r="132" spans="2:6" x14ac:dyDescent="0.25">
      <c r="B132" s="13" t="s">
        <v>391</v>
      </c>
      <c r="C132" s="15" t="s">
        <v>104</v>
      </c>
      <c r="D132" s="13" t="s">
        <v>105</v>
      </c>
      <c r="E132" s="13" t="s">
        <v>392</v>
      </c>
      <c r="F132" s="43">
        <v>1.83</v>
      </c>
    </row>
    <row r="133" spans="2:6" x14ac:dyDescent="0.25">
      <c r="B133" s="13" t="s">
        <v>393</v>
      </c>
      <c r="C133" s="15" t="s">
        <v>104</v>
      </c>
      <c r="D133" s="13" t="s">
        <v>105</v>
      </c>
      <c r="E133" s="13" t="s">
        <v>394</v>
      </c>
      <c r="F133" s="43">
        <v>2.0299999999999998</v>
      </c>
    </row>
    <row r="134" spans="2:6" x14ac:dyDescent="0.25">
      <c r="B134" s="13" t="s">
        <v>395</v>
      </c>
      <c r="C134" s="15" t="s">
        <v>104</v>
      </c>
      <c r="D134" s="13" t="s">
        <v>105</v>
      </c>
      <c r="E134" s="13" t="s">
        <v>396</v>
      </c>
      <c r="F134" s="43">
        <v>2.57</v>
      </c>
    </row>
    <row r="135" spans="2:6" x14ac:dyDescent="0.25">
      <c r="B135" s="13" t="s">
        <v>397</v>
      </c>
      <c r="C135" s="15" t="s">
        <v>104</v>
      </c>
      <c r="D135" s="13" t="s">
        <v>105</v>
      </c>
      <c r="E135" s="13" t="s">
        <v>398</v>
      </c>
      <c r="F135" s="43">
        <v>3.23</v>
      </c>
    </row>
    <row r="136" spans="2:6" x14ac:dyDescent="0.25">
      <c r="B136" s="13" t="s">
        <v>399</v>
      </c>
      <c r="C136" s="15" t="s">
        <v>104</v>
      </c>
      <c r="D136" s="13" t="s">
        <v>105</v>
      </c>
      <c r="E136" s="13" t="s">
        <v>400</v>
      </c>
      <c r="F136" s="43">
        <v>5.0199999999999996</v>
      </c>
    </row>
    <row r="137" spans="2:6" x14ac:dyDescent="0.25">
      <c r="B137" s="13" t="s">
        <v>401</v>
      </c>
      <c r="C137" s="15" t="s">
        <v>104</v>
      </c>
      <c r="D137" s="13" t="s">
        <v>105</v>
      </c>
      <c r="E137" s="13" t="s">
        <v>402</v>
      </c>
      <c r="F137" s="43">
        <v>8.24</v>
      </c>
    </row>
    <row r="138" spans="2:6" x14ac:dyDescent="0.25">
      <c r="B138" s="13" t="s">
        <v>403</v>
      </c>
      <c r="C138" s="15" t="s">
        <v>104</v>
      </c>
      <c r="D138" s="13" t="s">
        <v>105</v>
      </c>
      <c r="E138" s="13" t="s">
        <v>404</v>
      </c>
      <c r="F138" s="43">
        <v>10.24</v>
      </c>
    </row>
    <row r="139" spans="2:6" x14ac:dyDescent="0.25">
      <c r="B139" s="13" t="s">
        <v>405</v>
      </c>
      <c r="C139" s="15" t="s">
        <v>104</v>
      </c>
      <c r="D139" s="13" t="s">
        <v>105</v>
      </c>
      <c r="E139" s="13" t="s">
        <v>406</v>
      </c>
      <c r="F139" s="43">
        <v>15.94</v>
      </c>
    </row>
    <row r="140" spans="2:6" x14ac:dyDescent="0.25">
      <c r="B140" s="13" t="s">
        <v>407</v>
      </c>
      <c r="C140" s="15" t="s">
        <v>104</v>
      </c>
      <c r="D140" s="13" t="s">
        <v>105</v>
      </c>
      <c r="E140" s="13" t="s">
        <v>408</v>
      </c>
      <c r="F140" s="43">
        <v>29.25</v>
      </c>
    </row>
    <row r="141" spans="2:6" x14ac:dyDescent="0.25">
      <c r="B141" s="13" t="s">
        <v>409</v>
      </c>
      <c r="C141" s="15" t="s">
        <v>104</v>
      </c>
      <c r="D141" s="13" t="s">
        <v>105</v>
      </c>
      <c r="E141" s="13" t="s">
        <v>410</v>
      </c>
      <c r="F141" s="43">
        <v>41.19</v>
      </c>
    </row>
    <row r="142" spans="2:6" x14ac:dyDescent="0.25">
      <c r="B142" s="13" t="s">
        <v>411</v>
      </c>
      <c r="C142" s="15" t="s">
        <v>104</v>
      </c>
      <c r="D142" s="13" t="s">
        <v>105</v>
      </c>
      <c r="E142" s="13" t="s">
        <v>412</v>
      </c>
      <c r="F142" s="43">
        <v>69.739999999999995</v>
      </c>
    </row>
    <row r="143" spans="2:6" x14ac:dyDescent="0.25">
      <c r="B143" s="13" t="s">
        <v>413</v>
      </c>
      <c r="C143" s="15" t="s">
        <v>104</v>
      </c>
      <c r="D143" s="13" t="s">
        <v>105</v>
      </c>
      <c r="E143" s="13" t="s">
        <v>414</v>
      </c>
      <c r="F143" s="43">
        <v>1.87</v>
      </c>
    </row>
    <row r="144" spans="2:6" x14ac:dyDescent="0.25">
      <c r="B144" s="13" t="s">
        <v>415</v>
      </c>
      <c r="C144" s="15" t="s">
        <v>104</v>
      </c>
      <c r="D144" s="13" t="s">
        <v>105</v>
      </c>
      <c r="E144" s="13" t="s">
        <v>416</v>
      </c>
      <c r="F144" s="43">
        <v>2.5299999999999998</v>
      </c>
    </row>
    <row r="145" spans="2:6" x14ac:dyDescent="0.25">
      <c r="B145" s="13" t="s">
        <v>417</v>
      </c>
      <c r="C145" s="15" t="s">
        <v>104</v>
      </c>
      <c r="D145" s="13" t="s">
        <v>105</v>
      </c>
      <c r="E145" s="13" t="s">
        <v>418</v>
      </c>
      <c r="F145" s="43">
        <v>2.75</v>
      </c>
    </row>
    <row r="146" spans="2:6" x14ac:dyDescent="0.25">
      <c r="B146" s="13" t="s">
        <v>419</v>
      </c>
      <c r="C146" s="15" t="s">
        <v>104</v>
      </c>
      <c r="D146" s="13" t="s">
        <v>105</v>
      </c>
      <c r="E146" s="13" t="s">
        <v>420</v>
      </c>
      <c r="F146" s="43">
        <v>3.35</v>
      </c>
    </row>
    <row r="147" spans="2:6" x14ac:dyDescent="0.25">
      <c r="B147" s="13" t="s">
        <v>421</v>
      </c>
      <c r="C147" s="15" t="s">
        <v>104</v>
      </c>
      <c r="D147" s="13" t="s">
        <v>105</v>
      </c>
      <c r="E147" s="13" t="s">
        <v>422</v>
      </c>
      <c r="F147" s="43">
        <v>4.2699999999999996</v>
      </c>
    </row>
    <row r="148" spans="2:6" x14ac:dyDescent="0.25">
      <c r="B148" s="13" t="s">
        <v>423</v>
      </c>
      <c r="C148" s="15" t="s">
        <v>104</v>
      </c>
      <c r="D148" s="13" t="s">
        <v>105</v>
      </c>
      <c r="E148" s="13" t="s">
        <v>424</v>
      </c>
      <c r="F148" s="43">
        <v>5.47</v>
      </c>
    </row>
    <row r="149" spans="2:6" x14ac:dyDescent="0.25">
      <c r="B149" s="13" t="s">
        <v>425</v>
      </c>
      <c r="C149" s="15" t="s">
        <v>104</v>
      </c>
      <c r="D149" s="13" t="s">
        <v>105</v>
      </c>
      <c r="E149" s="13" t="s">
        <v>426</v>
      </c>
      <c r="F149" s="43">
        <v>6.39</v>
      </c>
    </row>
    <row r="150" spans="2:6" x14ac:dyDescent="0.25">
      <c r="B150" s="13" t="s">
        <v>427</v>
      </c>
      <c r="C150" s="15" t="s">
        <v>104</v>
      </c>
      <c r="D150" s="13" t="s">
        <v>105</v>
      </c>
      <c r="E150" s="13" t="s">
        <v>428</v>
      </c>
      <c r="F150" s="43">
        <v>10.050000000000001</v>
      </c>
    </row>
    <row r="151" spans="2:6" x14ac:dyDescent="0.25">
      <c r="B151" s="13" t="s">
        <v>429</v>
      </c>
      <c r="C151" s="15" t="s">
        <v>104</v>
      </c>
      <c r="D151" s="13" t="s">
        <v>105</v>
      </c>
      <c r="E151" s="13" t="s">
        <v>430</v>
      </c>
      <c r="F151" s="43">
        <v>8.84</v>
      </c>
    </row>
    <row r="152" spans="2:6" x14ac:dyDescent="0.25">
      <c r="B152" s="13" t="s">
        <v>431</v>
      </c>
      <c r="C152" s="15" t="s">
        <v>104</v>
      </c>
      <c r="D152" s="13" t="s">
        <v>105</v>
      </c>
      <c r="E152" s="13" t="s">
        <v>432</v>
      </c>
      <c r="F152" s="43">
        <v>10.29</v>
      </c>
    </row>
    <row r="153" spans="2:6" x14ac:dyDescent="0.25">
      <c r="B153" s="13" t="s">
        <v>433</v>
      </c>
      <c r="C153" s="15" t="s">
        <v>104</v>
      </c>
      <c r="D153" s="13" t="s">
        <v>105</v>
      </c>
      <c r="E153" s="13" t="s">
        <v>434</v>
      </c>
      <c r="F153" s="43">
        <v>11.01</v>
      </c>
    </row>
    <row r="154" spans="2:6" x14ac:dyDescent="0.25">
      <c r="B154" s="13" t="s">
        <v>435</v>
      </c>
      <c r="C154" s="15" t="s">
        <v>104</v>
      </c>
      <c r="D154" s="13" t="s">
        <v>105</v>
      </c>
      <c r="E154" s="13" t="s">
        <v>436</v>
      </c>
      <c r="F154" s="43">
        <v>13.14</v>
      </c>
    </row>
    <row r="155" spans="2:6" x14ac:dyDescent="0.25">
      <c r="B155" s="13" t="s">
        <v>437</v>
      </c>
      <c r="C155" s="15" t="s">
        <v>104</v>
      </c>
      <c r="D155" s="13" t="s">
        <v>105</v>
      </c>
      <c r="E155" s="13" t="s">
        <v>438</v>
      </c>
      <c r="F155" s="43">
        <v>20.100000000000001</v>
      </c>
    </row>
    <row r="156" spans="2:6" x14ac:dyDescent="0.25">
      <c r="B156" s="13" t="s">
        <v>439</v>
      </c>
      <c r="C156" s="15" t="s">
        <v>104</v>
      </c>
      <c r="D156" s="13" t="s">
        <v>105</v>
      </c>
      <c r="E156" s="13" t="s">
        <v>440</v>
      </c>
      <c r="F156" s="43">
        <v>30.33</v>
      </c>
    </row>
    <row r="157" spans="2:6" x14ac:dyDescent="0.25">
      <c r="B157" s="13" t="s">
        <v>441</v>
      </c>
      <c r="C157" s="15" t="s">
        <v>104</v>
      </c>
      <c r="D157" s="13" t="s">
        <v>105</v>
      </c>
      <c r="E157" s="13" t="s">
        <v>442</v>
      </c>
      <c r="F157" s="43">
        <v>38.79</v>
      </c>
    </row>
    <row r="158" spans="2:6" x14ac:dyDescent="0.25">
      <c r="B158" s="13" t="s">
        <v>443</v>
      </c>
      <c r="C158" s="15" t="s">
        <v>104</v>
      </c>
      <c r="D158" s="13" t="s">
        <v>105</v>
      </c>
      <c r="E158" s="13" t="s">
        <v>444</v>
      </c>
      <c r="F158" s="43">
        <v>53.76</v>
      </c>
    </row>
    <row r="159" spans="2:6" x14ac:dyDescent="0.25">
      <c r="B159" s="13" t="s">
        <v>445</v>
      </c>
      <c r="C159" s="15" t="s">
        <v>104</v>
      </c>
      <c r="D159" s="13" t="s">
        <v>105</v>
      </c>
      <c r="E159" s="13" t="s">
        <v>446</v>
      </c>
      <c r="F159" s="43">
        <v>86.99</v>
      </c>
    </row>
    <row r="160" spans="2:6" x14ac:dyDescent="0.25">
      <c r="B160" s="13" t="s">
        <v>447</v>
      </c>
      <c r="C160" s="15" t="s">
        <v>104</v>
      </c>
      <c r="D160" s="13" t="s">
        <v>105</v>
      </c>
      <c r="E160" s="13" t="s">
        <v>448</v>
      </c>
      <c r="F160" s="43">
        <v>109.42</v>
      </c>
    </row>
    <row r="161" spans="2:6" x14ac:dyDescent="0.25">
      <c r="B161" s="13" t="s">
        <v>449</v>
      </c>
      <c r="C161" s="15" t="s">
        <v>104</v>
      </c>
      <c r="D161" s="13" t="s">
        <v>105</v>
      </c>
      <c r="E161" s="13" t="s">
        <v>450</v>
      </c>
      <c r="F161" s="43">
        <v>3.03</v>
      </c>
    </row>
    <row r="162" spans="2:6" x14ac:dyDescent="0.25">
      <c r="B162" s="13" t="s">
        <v>451</v>
      </c>
      <c r="C162" s="15" t="s">
        <v>104</v>
      </c>
      <c r="D162" s="13" t="s">
        <v>105</v>
      </c>
      <c r="E162" s="13" t="s">
        <v>452</v>
      </c>
      <c r="F162" s="43">
        <v>3.91</v>
      </c>
    </row>
    <row r="163" spans="2:6" x14ac:dyDescent="0.25">
      <c r="B163" s="13" t="s">
        <v>453</v>
      </c>
      <c r="C163" s="15" t="s">
        <v>104</v>
      </c>
      <c r="D163" s="13" t="s">
        <v>105</v>
      </c>
      <c r="E163" s="13" t="s">
        <v>454</v>
      </c>
      <c r="F163" s="43">
        <v>4.91</v>
      </c>
    </row>
    <row r="164" spans="2:6" x14ac:dyDescent="0.25">
      <c r="B164" s="13" t="s">
        <v>455</v>
      </c>
      <c r="C164" s="15" t="s">
        <v>104</v>
      </c>
      <c r="D164" s="13" t="s">
        <v>105</v>
      </c>
      <c r="E164" s="13" t="s">
        <v>456</v>
      </c>
      <c r="F164" s="43">
        <v>7.59</v>
      </c>
    </row>
    <row r="165" spans="2:6" x14ac:dyDescent="0.25">
      <c r="B165" s="13" t="s">
        <v>457</v>
      </c>
      <c r="C165" s="15" t="s">
        <v>104</v>
      </c>
      <c r="D165" s="13" t="s">
        <v>105</v>
      </c>
      <c r="E165" s="13" t="s">
        <v>458</v>
      </c>
      <c r="F165" s="43">
        <v>10.18</v>
      </c>
    </row>
    <row r="166" spans="2:6" x14ac:dyDescent="0.25">
      <c r="B166" s="13" t="s">
        <v>459</v>
      </c>
      <c r="C166" s="15" t="s">
        <v>104</v>
      </c>
      <c r="D166" s="13" t="s">
        <v>105</v>
      </c>
      <c r="E166" s="13" t="s">
        <v>460</v>
      </c>
      <c r="F166" s="43">
        <v>13.43</v>
      </c>
    </row>
    <row r="167" spans="2:6" x14ac:dyDescent="0.25">
      <c r="B167" s="13" t="s">
        <v>461</v>
      </c>
      <c r="C167" s="15" t="s">
        <v>104</v>
      </c>
      <c r="D167" s="13" t="s">
        <v>105</v>
      </c>
      <c r="E167" s="13" t="s">
        <v>462</v>
      </c>
      <c r="F167" s="43">
        <v>16.93</v>
      </c>
    </row>
    <row r="168" spans="2:6" x14ac:dyDescent="0.25">
      <c r="B168" s="13" t="s">
        <v>463</v>
      </c>
      <c r="C168" s="15" t="s">
        <v>104</v>
      </c>
      <c r="D168" s="13" t="s">
        <v>105</v>
      </c>
      <c r="E168" s="13" t="s">
        <v>464</v>
      </c>
      <c r="F168" s="43">
        <v>27.22</v>
      </c>
    </row>
    <row r="169" spans="2:6" x14ac:dyDescent="0.25">
      <c r="B169" s="13" t="s">
        <v>465</v>
      </c>
      <c r="C169" s="15" t="s">
        <v>104</v>
      </c>
      <c r="D169" s="13" t="s">
        <v>105</v>
      </c>
      <c r="E169" s="13" t="s">
        <v>466</v>
      </c>
      <c r="F169" s="43">
        <v>44.21</v>
      </c>
    </row>
    <row r="170" spans="2:6" x14ac:dyDescent="0.25">
      <c r="B170" s="13" t="s">
        <v>467</v>
      </c>
      <c r="C170" s="15" t="s">
        <v>104</v>
      </c>
      <c r="D170" s="13" t="s">
        <v>105</v>
      </c>
      <c r="E170" s="13" t="s">
        <v>468</v>
      </c>
      <c r="F170" s="43">
        <v>57.06</v>
      </c>
    </row>
    <row r="171" spans="2:6" x14ac:dyDescent="0.25">
      <c r="B171" s="13" t="s">
        <v>469</v>
      </c>
      <c r="C171" s="15" t="s">
        <v>104</v>
      </c>
      <c r="D171" s="13" t="s">
        <v>470</v>
      </c>
      <c r="E171" s="13" t="s">
        <v>471</v>
      </c>
      <c r="F171" s="43">
        <v>91.83</v>
      </c>
    </row>
    <row r="172" spans="2:6" x14ac:dyDescent="0.25">
      <c r="B172" s="13" t="s">
        <v>472</v>
      </c>
      <c r="C172" s="15" t="s">
        <v>104</v>
      </c>
      <c r="D172" s="13" t="s">
        <v>470</v>
      </c>
      <c r="E172" s="13" t="s">
        <v>473</v>
      </c>
      <c r="F172" s="43">
        <v>86.53</v>
      </c>
    </row>
    <row r="173" spans="2:6" x14ac:dyDescent="0.25">
      <c r="B173" s="13" t="s">
        <v>474</v>
      </c>
      <c r="C173" s="15" t="s">
        <v>104</v>
      </c>
      <c r="D173" s="13" t="s">
        <v>470</v>
      </c>
      <c r="E173" s="13" t="s">
        <v>475</v>
      </c>
      <c r="F173" s="43">
        <v>86.53</v>
      </c>
    </row>
    <row r="174" spans="2:6" x14ac:dyDescent="0.25">
      <c r="B174" s="13" t="s">
        <v>476</v>
      </c>
      <c r="C174" s="15" t="s">
        <v>104</v>
      </c>
      <c r="D174" s="13" t="s">
        <v>470</v>
      </c>
      <c r="E174" s="13" t="s">
        <v>477</v>
      </c>
      <c r="F174" s="43">
        <v>103.36</v>
      </c>
    </row>
    <row r="175" spans="2:6" x14ac:dyDescent="0.25">
      <c r="B175" s="13" t="s">
        <v>478</v>
      </c>
      <c r="C175" s="15" t="s">
        <v>104</v>
      </c>
      <c r="D175" s="13" t="s">
        <v>470</v>
      </c>
      <c r="E175" s="13" t="s">
        <v>479</v>
      </c>
      <c r="F175" s="43">
        <v>146.54</v>
      </c>
    </row>
    <row r="176" spans="2:6" x14ac:dyDescent="0.25">
      <c r="B176" s="13" t="s">
        <v>480</v>
      </c>
      <c r="C176" s="15" t="s">
        <v>104</v>
      </c>
      <c r="D176" s="13" t="s">
        <v>470</v>
      </c>
      <c r="E176" s="13" t="s">
        <v>481</v>
      </c>
      <c r="F176" s="43">
        <v>192.02</v>
      </c>
    </row>
    <row r="177" spans="2:6" x14ac:dyDescent="0.25">
      <c r="B177" s="13" t="s">
        <v>482</v>
      </c>
      <c r="C177" s="15" t="s">
        <v>104</v>
      </c>
      <c r="D177" s="13" t="s">
        <v>470</v>
      </c>
      <c r="E177" s="13" t="s">
        <v>483</v>
      </c>
      <c r="F177" s="43">
        <v>25.29</v>
      </c>
    </row>
    <row r="178" spans="2:6" x14ac:dyDescent="0.25">
      <c r="B178" s="13" t="s">
        <v>484</v>
      </c>
      <c r="C178" s="15" t="s">
        <v>104</v>
      </c>
      <c r="D178" s="13" t="s">
        <v>470</v>
      </c>
      <c r="E178" s="13" t="s">
        <v>485</v>
      </c>
      <c r="F178" s="43">
        <v>25.29</v>
      </c>
    </row>
    <row r="179" spans="2:6" x14ac:dyDescent="0.25">
      <c r="B179" s="13" t="s">
        <v>486</v>
      </c>
      <c r="C179" s="15" t="s">
        <v>104</v>
      </c>
      <c r="D179" s="13" t="s">
        <v>470</v>
      </c>
      <c r="E179" s="13" t="s">
        <v>487</v>
      </c>
      <c r="F179" s="43">
        <v>29.07</v>
      </c>
    </row>
    <row r="180" spans="2:6" x14ac:dyDescent="0.25">
      <c r="B180" s="13" t="s">
        <v>488</v>
      </c>
      <c r="C180" s="15" t="s">
        <v>104</v>
      </c>
      <c r="D180" s="13" t="s">
        <v>470</v>
      </c>
      <c r="E180" s="13" t="s">
        <v>489</v>
      </c>
      <c r="F180" s="43">
        <v>41.67</v>
      </c>
    </row>
    <row r="181" spans="2:6" x14ac:dyDescent="0.25">
      <c r="B181" s="13" t="s">
        <v>490</v>
      </c>
      <c r="C181" s="15" t="s">
        <v>104</v>
      </c>
      <c r="D181" s="13" t="s">
        <v>470</v>
      </c>
      <c r="E181" s="13" t="s">
        <v>491</v>
      </c>
      <c r="F181" s="43">
        <v>56.37</v>
      </c>
    </row>
    <row r="182" spans="2:6" x14ac:dyDescent="0.25">
      <c r="B182" s="13" t="s">
        <v>492</v>
      </c>
      <c r="C182" s="15" t="s">
        <v>104</v>
      </c>
      <c r="D182" s="13" t="s">
        <v>470</v>
      </c>
      <c r="E182" s="13" t="s">
        <v>493</v>
      </c>
      <c r="F182" s="43">
        <v>19.07</v>
      </c>
    </row>
    <row r="183" spans="2:6" x14ac:dyDescent="0.25">
      <c r="B183" s="13" t="s">
        <v>494</v>
      </c>
      <c r="C183" s="15" t="s">
        <v>104</v>
      </c>
      <c r="D183" s="13" t="s">
        <v>470</v>
      </c>
      <c r="E183" s="13" t="s">
        <v>495</v>
      </c>
      <c r="F183" s="43">
        <v>19.07</v>
      </c>
    </row>
    <row r="184" spans="2:6" x14ac:dyDescent="0.25">
      <c r="B184" s="13" t="s">
        <v>496</v>
      </c>
      <c r="C184" s="15" t="s">
        <v>104</v>
      </c>
      <c r="D184" s="13" t="s">
        <v>470</v>
      </c>
      <c r="E184" s="13" t="s">
        <v>497</v>
      </c>
      <c r="F184" s="43">
        <v>20.93</v>
      </c>
    </row>
    <row r="185" spans="2:6" x14ac:dyDescent="0.25">
      <c r="B185" s="13" t="s">
        <v>498</v>
      </c>
      <c r="C185" s="15" t="s">
        <v>104</v>
      </c>
      <c r="D185" s="13" t="s">
        <v>470</v>
      </c>
      <c r="E185" s="13" t="s">
        <v>499</v>
      </c>
      <c r="F185" s="43">
        <v>28.9</v>
      </c>
    </row>
    <row r="186" spans="2:6" x14ac:dyDescent="0.25">
      <c r="B186" s="13" t="s">
        <v>500</v>
      </c>
      <c r="C186" s="15" t="s">
        <v>104</v>
      </c>
      <c r="D186" s="13" t="s">
        <v>470</v>
      </c>
      <c r="E186" s="13" t="s">
        <v>501</v>
      </c>
      <c r="F186" s="43">
        <v>38.75</v>
      </c>
    </row>
    <row r="187" spans="2:6" x14ac:dyDescent="0.25">
      <c r="B187" s="13" t="s">
        <v>502</v>
      </c>
      <c r="C187" s="15" t="s">
        <v>104</v>
      </c>
      <c r="D187" s="13" t="s">
        <v>470</v>
      </c>
      <c r="E187" s="13" t="s">
        <v>503</v>
      </c>
      <c r="F187" s="43">
        <v>20.059999999999999</v>
      </c>
    </row>
    <row r="188" spans="2:6" x14ac:dyDescent="0.25">
      <c r="B188" s="13" t="s">
        <v>504</v>
      </c>
      <c r="C188" s="15" t="s">
        <v>104</v>
      </c>
      <c r="D188" s="13" t="s">
        <v>470</v>
      </c>
      <c r="E188" s="13" t="s">
        <v>505</v>
      </c>
      <c r="F188" s="43">
        <v>20.059999999999999</v>
      </c>
    </row>
    <row r="189" spans="2:6" x14ac:dyDescent="0.25">
      <c r="B189" s="13" t="s">
        <v>506</v>
      </c>
      <c r="C189" s="15" t="s">
        <v>104</v>
      </c>
      <c r="D189" s="13" t="s">
        <v>470</v>
      </c>
      <c r="E189" s="13" t="s">
        <v>507</v>
      </c>
      <c r="F189" s="43">
        <v>21.92</v>
      </c>
    </row>
    <row r="190" spans="2:6" x14ac:dyDescent="0.25">
      <c r="B190" s="13" t="s">
        <v>508</v>
      </c>
      <c r="C190" s="15" t="s">
        <v>104</v>
      </c>
      <c r="D190" s="13" t="s">
        <v>470</v>
      </c>
      <c r="E190" s="13" t="s">
        <v>509</v>
      </c>
      <c r="F190" s="43">
        <v>29.64</v>
      </c>
    </row>
    <row r="191" spans="2:6" x14ac:dyDescent="0.25">
      <c r="B191" s="13" t="s">
        <v>510</v>
      </c>
      <c r="C191" s="15" t="s">
        <v>104</v>
      </c>
      <c r="D191" s="13" t="s">
        <v>470</v>
      </c>
      <c r="E191" s="13" t="s">
        <v>511</v>
      </c>
      <c r="F191" s="43">
        <v>39.75</v>
      </c>
    </row>
    <row r="192" spans="2:6" x14ac:dyDescent="0.25">
      <c r="B192" s="13" t="s">
        <v>512</v>
      </c>
      <c r="C192" s="15" t="s">
        <v>104</v>
      </c>
      <c r="D192" s="13" t="s">
        <v>470</v>
      </c>
      <c r="E192" s="13" t="s">
        <v>513</v>
      </c>
      <c r="F192" s="43">
        <v>19.63</v>
      </c>
    </row>
    <row r="193" spans="2:6" x14ac:dyDescent="0.25">
      <c r="B193" s="13" t="s">
        <v>514</v>
      </c>
      <c r="C193" s="15" t="s">
        <v>104</v>
      </c>
      <c r="D193" s="13" t="s">
        <v>470</v>
      </c>
      <c r="E193" s="13" t="s">
        <v>515</v>
      </c>
      <c r="F193" s="43">
        <v>19.63</v>
      </c>
    </row>
    <row r="194" spans="2:6" x14ac:dyDescent="0.25">
      <c r="B194" s="13" t="s">
        <v>516</v>
      </c>
      <c r="C194" s="15" t="s">
        <v>104</v>
      </c>
      <c r="D194" s="13" t="s">
        <v>470</v>
      </c>
      <c r="E194" s="13" t="s">
        <v>517</v>
      </c>
      <c r="F194" s="43">
        <v>21.52</v>
      </c>
    </row>
    <row r="195" spans="2:6" x14ac:dyDescent="0.25">
      <c r="B195" s="13" t="s">
        <v>518</v>
      </c>
      <c r="C195" s="15" t="s">
        <v>104</v>
      </c>
      <c r="D195" s="13" t="s">
        <v>470</v>
      </c>
      <c r="E195" s="13" t="s">
        <v>519</v>
      </c>
      <c r="F195" s="43">
        <v>29.83</v>
      </c>
    </row>
    <row r="196" spans="2:6" x14ac:dyDescent="0.25">
      <c r="B196" s="13" t="s">
        <v>520</v>
      </c>
      <c r="C196" s="15" t="s">
        <v>104</v>
      </c>
      <c r="D196" s="13" t="s">
        <v>470</v>
      </c>
      <c r="E196" s="13" t="s">
        <v>521</v>
      </c>
      <c r="F196" s="43">
        <v>40.270000000000003</v>
      </c>
    </row>
    <row r="197" spans="2:6" x14ac:dyDescent="0.25">
      <c r="B197" s="13" t="s">
        <v>522</v>
      </c>
      <c r="C197" s="15" t="s">
        <v>104</v>
      </c>
      <c r="D197" s="13" t="s">
        <v>470</v>
      </c>
      <c r="E197" s="13" t="s">
        <v>523</v>
      </c>
      <c r="F197" s="43">
        <v>16.420000000000002</v>
      </c>
    </row>
    <row r="198" spans="2:6" x14ac:dyDescent="0.25">
      <c r="B198" s="13" t="s">
        <v>524</v>
      </c>
      <c r="C198" s="15" t="s">
        <v>104</v>
      </c>
      <c r="D198" s="13" t="s">
        <v>470</v>
      </c>
      <c r="E198" s="13" t="s">
        <v>525</v>
      </c>
      <c r="F198" s="43">
        <v>16.420000000000002</v>
      </c>
    </row>
    <row r="199" spans="2:6" x14ac:dyDescent="0.25">
      <c r="B199" s="13" t="s">
        <v>526</v>
      </c>
      <c r="C199" s="15" t="s">
        <v>104</v>
      </c>
      <c r="D199" s="13" t="s">
        <v>470</v>
      </c>
      <c r="E199" s="13" t="s">
        <v>527</v>
      </c>
      <c r="F199" s="43">
        <v>17.78</v>
      </c>
    </row>
    <row r="200" spans="2:6" x14ac:dyDescent="0.25">
      <c r="B200" s="13" t="s">
        <v>528</v>
      </c>
      <c r="C200" s="15" t="s">
        <v>104</v>
      </c>
      <c r="D200" s="13" t="s">
        <v>470</v>
      </c>
      <c r="E200" s="13" t="s">
        <v>529</v>
      </c>
      <c r="F200" s="43">
        <v>24.42</v>
      </c>
    </row>
    <row r="201" spans="2:6" x14ac:dyDescent="0.25">
      <c r="B201" s="13" t="s">
        <v>530</v>
      </c>
      <c r="C201" s="15" t="s">
        <v>104</v>
      </c>
      <c r="D201" s="13" t="s">
        <v>470</v>
      </c>
      <c r="E201" s="13" t="s">
        <v>531</v>
      </c>
      <c r="F201" s="43">
        <v>32.979999999999997</v>
      </c>
    </row>
    <row r="202" spans="2:6" x14ac:dyDescent="0.25">
      <c r="B202" s="13" t="s">
        <v>532</v>
      </c>
      <c r="C202" s="15" t="s">
        <v>104</v>
      </c>
      <c r="D202" s="13" t="s">
        <v>470</v>
      </c>
      <c r="E202" s="13" t="s">
        <v>533</v>
      </c>
      <c r="F202" s="43">
        <v>52.18</v>
      </c>
    </row>
    <row r="203" spans="2:6" x14ac:dyDescent="0.25">
      <c r="B203" s="13" t="s">
        <v>534</v>
      </c>
      <c r="C203" s="15" t="s">
        <v>104</v>
      </c>
      <c r="D203" s="13" t="s">
        <v>470</v>
      </c>
      <c r="E203" s="13" t="s">
        <v>535</v>
      </c>
      <c r="F203" s="43">
        <v>74.709999999999994</v>
      </c>
    </row>
    <row r="204" spans="2:6" x14ac:dyDescent="0.25">
      <c r="B204" s="13" t="s">
        <v>536</v>
      </c>
      <c r="C204" s="15" t="s">
        <v>104</v>
      </c>
      <c r="D204" s="13" t="s">
        <v>470</v>
      </c>
      <c r="E204" s="13" t="s">
        <v>537</v>
      </c>
      <c r="F204" s="43">
        <v>120.35</v>
      </c>
    </row>
    <row r="205" spans="2:6" x14ac:dyDescent="0.25">
      <c r="B205" s="13" t="s">
        <v>538</v>
      </c>
      <c r="C205" s="15" t="s">
        <v>104</v>
      </c>
      <c r="D205" s="13" t="s">
        <v>470</v>
      </c>
      <c r="E205" s="13" t="s">
        <v>539</v>
      </c>
      <c r="F205" s="43">
        <v>222.49</v>
      </c>
    </row>
    <row r="206" spans="2:6" x14ac:dyDescent="0.25">
      <c r="B206" s="13" t="s">
        <v>540</v>
      </c>
      <c r="C206" s="15" t="s">
        <v>104</v>
      </c>
      <c r="D206" s="13" t="s">
        <v>470</v>
      </c>
      <c r="E206" s="13" t="s">
        <v>541</v>
      </c>
      <c r="F206" s="43">
        <v>336.32</v>
      </c>
    </row>
    <row r="207" spans="2:6" x14ac:dyDescent="0.25">
      <c r="B207" s="13" t="s">
        <v>542</v>
      </c>
      <c r="C207" s="15" t="s">
        <v>104</v>
      </c>
      <c r="D207" s="13" t="s">
        <v>470</v>
      </c>
      <c r="E207" s="13" t="s">
        <v>543</v>
      </c>
      <c r="F207" s="43">
        <v>17.23</v>
      </c>
    </row>
    <row r="208" spans="2:6" x14ac:dyDescent="0.25">
      <c r="B208" s="13" t="s">
        <v>544</v>
      </c>
      <c r="C208" s="15" t="s">
        <v>104</v>
      </c>
      <c r="D208" s="13" t="s">
        <v>470</v>
      </c>
      <c r="E208" s="13" t="s">
        <v>545</v>
      </c>
      <c r="F208" s="43">
        <v>17.23</v>
      </c>
    </row>
    <row r="209" spans="2:6" x14ac:dyDescent="0.25">
      <c r="B209" s="13" t="s">
        <v>546</v>
      </c>
      <c r="C209" s="15" t="s">
        <v>104</v>
      </c>
      <c r="D209" s="13" t="s">
        <v>470</v>
      </c>
      <c r="E209" s="13" t="s">
        <v>547</v>
      </c>
      <c r="F209" s="43">
        <v>18.71</v>
      </c>
    </row>
    <row r="210" spans="2:6" x14ac:dyDescent="0.25">
      <c r="B210" s="13" t="s">
        <v>548</v>
      </c>
      <c r="C210" s="15" t="s">
        <v>104</v>
      </c>
      <c r="D210" s="13" t="s">
        <v>470</v>
      </c>
      <c r="E210" s="13" t="s">
        <v>549</v>
      </c>
      <c r="F210" s="43">
        <v>25.67</v>
      </c>
    </row>
    <row r="211" spans="2:6" x14ac:dyDescent="0.25">
      <c r="B211" s="13" t="s">
        <v>550</v>
      </c>
      <c r="C211" s="15" t="s">
        <v>104</v>
      </c>
      <c r="D211" s="13" t="s">
        <v>470</v>
      </c>
      <c r="E211" s="13" t="s">
        <v>551</v>
      </c>
      <c r="F211" s="43">
        <v>34.630000000000003</v>
      </c>
    </row>
    <row r="212" spans="2:6" x14ac:dyDescent="0.25">
      <c r="B212" s="13" t="s">
        <v>552</v>
      </c>
      <c r="C212" s="15" t="s">
        <v>104</v>
      </c>
      <c r="D212" s="13" t="s">
        <v>470</v>
      </c>
      <c r="E212" s="13" t="s">
        <v>553</v>
      </c>
      <c r="F212" s="43">
        <v>54.81</v>
      </c>
    </row>
    <row r="213" spans="2:6" x14ac:dyDescent="0.25">
      <c r="B213" s="13" t="s">
        <v>554</v>
      </c>
      <c r="C213" s="15" t="s">
        <v>104</v>
      </c>
      <c r="D213" s="13" t="s">
        <v>470</v>
      </c>
      <c r="E213" s="13" t="s">
        <v>555</v>
      </c>
      <c r="F213" s="43">
        <v>78.45</v>
      </c>
    </row>
    <row r="214" spans="2:6" x14ac:dyDescent="0.25">
      <c r="B214" s="13" t="s">
        <v>556</v>
      </c>
      <c r="C214" s="15" t="s">
        <v>104</v>
      </c>
      <c r="D214" s="13" t="s">
        <v>470</v>
      </c>
      <c r="E214" s="13" t="s">
        <v>557</v>
      </c>
      <c r="F214" s="43">
        <v>126.39</v>
      </c>
    </row>
    <row r="215" spans="2:6" x14ac:dyDescent="0.25">
      <c r="B215" s="13" t="s">
        <v>558</v>
      </c>
      <c r="C215" s="15" t="s">
        <v>104</v>
      </c>
      <c r="D215" s="13" t="s">
        <v>470</v>
      </c>
      <c r="E215" s="13" t="s">
        <v>559</v>
      </c>
      <c r="F215" s="43">
        <v>233.66</v>
      </c>
    </row>
    <row r="216" spans="2:6" x14ac:dyDescent="0.25">
      <c r="B216" s="13" t="s">
        <v>560</v>
      </c>
      <c r="C216" s="15" t="s">
        <v>104</v>
      </c>
      <c r="D216" s="13" t="s">
        <v>470</v>
      </c>
      <c r="E216" s="145" t="s">
        <v>561</v>
      </c>
      <c r="F216" s="43">
        <v>353.14</v>
      </c>
    </row>
    <row r="217" spans="2:6" x14ac:dyDescent="0.25">
      <c r="B217" s="13" t="s">
        <v>562</v>
      </c>
      <c r="C217" s="15" t="s">
        <v>104</v>
      </c>
      <c r="D217" s="13" t="s">
        <v>470</v>
      </c>
      <c r="E217" s="145" t="s">
        <v>563</v>
      </c>
      <c r="F217" s="43">
        <v>29.43</v>
      </c>
    </row>
    <row r="218" spans="2:6" x14ac:dyDescent="0.25">
      <c r="B218" s="13" t="s">
        <v>564</v>
      </c>
      <c r="C218" s="15" t="s">
        <v>104</v>
      </c>
      <c r="D218" s="13" t="s">
        <v>470</v>
      </c>
      <c r="E218" s="145" t="s">
        <v>565</v>
      </c>
      <c r="F218" s="43">
        <v>39.82</v>
      </c>
    </row>
    <row r="219" spans="2:6" x14ac:dyDescent="0.25">
      <c r="B219" s="13" t="s">
        <v>566</v>
      </c>
      <c r="C219" s="15" t="s">
        <v>104</v>
      </c>
      <c r="D219" s="13" t="s">
        <v>470</v>
      </c>
      <c r="E219" s="145" t="s">
        <v>567</v>
      </c>
      <c r="F219" s="43">
        <v>54.43</v>
      </c>
    </row>
    <row r="220" spans="2:6" x14ac:dyDescent="0.25">
      <c r="B220" s="13" t="s">
        <v>568</v>
      </c>
      <c r="C220" s="15" t="s">
        <v>104</v>
      </c>
      <c r="D220" s="13" t="s">
        <v>470</v>
      </c>
      <c r="E220" s="145" t="s">
        <v>569</v>
      </c>
      <c r="F220" s="43">
        <v>87.92</v>
      </c>
    </row>
    <row r="221" spans="2:6" x14ac:dyDescent="0.25">
      <c r="B221" s="13" t="s">
        <v>570</v>
      </c>
      <c r="C221" s="15" t="s">
        <v>104</v>
      </c>
      <c r="D221" s="13" t="s">
        <v>470</v>
      </c>
      <c r="E221" s="145" t="s">
        <v>571</v>
      </c>
      <c r="F221" s="43">
        <v>121.36</v>
      </c>
    </row>
    <row r="222" spans="2:6" x14ac:dyDescent="0.25">
      <c r="B222" s="13" t="s">
        <v>572</v>
      </c>
      <c r="C222" s="15" t="s">
        <v>104</v>
      </c>
      <c r="D222" s="13" t="s">
        <v>470</v>
      </c>
      <c r="E222" s="145" t="s">
        <v>573</v>
      </c>
      <c r="F222" s="43">
        <v>198.48</v>
      </c>
    </row>
    <row r="223" spans="2:6" x14ac:dyDescent="0.25">
      <c r="B223" s="13" t="s">
        <v>574</v>
      </c>
      <c r="C223" s="15" t="s">
        <v>104</v>
      </c>
      <c r="D223" s="13" t="s">
        <v>470</v>
      </c>
      <c r="E223" s="13" t="s">
        <v>575</v>
      </c>
      <c r="F223" s="43">
        <v>327.33999999999997</v>
      </c>
    </row>
    <row r="224" spans="2:6" x14ac:dyDescent="0.25">
      <c r="B224" s="13" t="s">
        <v>576</v>
      </c>
      <c r="C224" s="15" t="s">
        <v>104</v>
      </c>
      <c r="D224" s="13" t="s">
        <v>470</v>
      </c>
      <c r="E224" t="s">
        <v>577</v>
      </c>
      <c r="F224" s="43">
        <v>481.91</v>
      </c>
    </row>
    <row r="225" spans="2:6" x14ac:dyDescent="0.25">
      <c r="B225" s="13" t="s">
        <v>578</v>
      </c>
      <c r="C225" s="15" t="s">
        <v>104</v>
      </c>
      <c r="D225" s="13" t="s">
        <v>470</v>
      </c>
      <c r="E225" s="13" t="s">
        <v>579</v>
      </c>
      <c r="F225" s="43">
        <v>26.45</v>
      </c>
    </row>
    <row r="226" spans="2:6" x14ac:dyDescent="0.25">
      <c r="B226" s="13" t="s">
        <v>580</v>
      </c>
      <c r="C226" s="15" t="s">
        <v>104</v>
      </c>
      <c r="D226" s="13" t="s">
        <v>470</v>
      </c>
      <c r="E226" s="13" t="s">
        <v>581</v>
      </c>
      <c r="F226" s="43">
        <v>26.45</v>
      </c>
    </row>
    <row r="227" spans="2:6" x14ac:dyDescent="0.25">
      <c r="B227" s="13" t="s">
        <v>582</v>
      </c>
      <c r="C227" s="15" t="s">
        <v>104</v>
      </c>
      <c r="D227" s="13" t="s">
        <v>470</v>
      </c>
      <c r="E227" s="13" t="s">
        <v>583</v>
      </c>
      <c r="F227" s="43">
        <v>28.12</v>
      </c>
    </row>
    <row r="228" spans="2:6" x14ac:dyDescent="0.25">
      <c r="B228" s="13" t="s">
        <v>584</v>
      </c>
      <c r="C228" s="15" t="s">
        <v>104</v>
      </c>
      <c r="D228" s="13" t="s">
        <v>470</v>
      </c>
      <c r="E228" s="13" t="s">
        <v>585</v>
      </c>
      <c r="F228" s="43">
        <v>43.99</v>
      </c>
    </row>
    <row r="229" spans="2:6" x14ac:dyDescent="0.25">
      <c r="B229" s="13" t="s">
        <v>586</v>
      </c>
      <c r="C229" s="15" t="s">
        <v>104</v>
      </c>
      <c r="D229" s="13" t="s">
        <v>470</v>
      </c>
      <c r="E229" s="13" t="s">
        <v>587</v>
      </c>
      <c r="F229" s="43">
        <v>53.06</v>
      </c>
    </row>
    <row r="230" spans="2:6" x14ac:dyDescent="0.25">
      <c r="B230" s="13" t="s">
        <v>588</v>
      </c>
      <c r="C230" s="15" t="s">
        <v>104</v>
      </c>
      <c r="D230" s="13" t="s">
        <v>470</v>
      </c>
      <c r="E230" s="13" t="s">
        <v>589</v>
      </c>
      <c r="F230" s="43">
        <v>87.03</v>
      </c>
    </row>
    <row r="231" spans="2:6" x14ac:dyDescent="0.25">
      <c r="B231" s="13" t="s">
        <v>590</v>
      </c>
      <c r="C231" s="15" t="s">
        <v>104</v>
      </c>
      <c r="D231" s="13" t="s">
        <v>470</v>
      </c>
      <c r="E231" s="13" t="s">
        <v>591</v>
      </c>
      <c r="F231" s="43">
        <v>112.82</v>
      </c>
    </row>
    <row r="232" spans="2:6" x14ac:dyDescent="0.25">
      <c r="B232" s="13" t="s">
        <v>592</v>
      </c>
      <c r="C232" s="15" t="s">
        <v>104</v>
      </c>
      <c r="D232" s="13" t="s">
        <v>470</v>
      </c>
      <c r="E232" s="13" t="s">
        <v>593</v>
      </c>
      <c r="F232" s="43">
        <v>162.46</v>
      </c>
    </row>
    <row r="233" spans="2:6" x14ac:dyDescent="0.25">
      <c r="B233" s="13" t="s">
        <v>594</v>
      </c>
      <c r="C233" s="15" t="s">
        <v>104</v>
      </c>
      <c r="D233" s="13" t="s">
        <v>470</v>
      </c>
      <c r="E233" s="13" t="s">
        <v>595</v>
      </c>
      <c r="F233" s="43">
        <v>388.42</v>
      </c>
    </row>
    <row r="234" spans="2:6" x14ac:dyDescent="0.25">
      <c r="B234" s="13" t="s">
        <v>596</v>
      </c>
      <c r="C234" s="15" t="s">
        <v>104</v>
      </c>
      <c r="D234" s="13" t="s">
        <v>470</v>
      </c>
      <c r="E234" s="13" t="s">
        <v>597</v>
      </c>
      <c r="F234" s="43">
        <v>556.05999999999995</v>
      </c>
    </row>
    <row r="235" spans="2:6" x14ac:dyDescent="0.25">
      <c r="B235" s="13" t="s">
        <v>598</v>
      </c>
      <c r="C235" s="15" t="s">
        <v>104</v>
      </c>
      <c r="D235" s="13" t="s">
        <v>470</v>
      </c>
      <c r="E235" s="13" t="s">
        <v>599</v>
      </c>
      <c r="F235" s="43">
        <v>860.22</v>
      </c>
    </row>
    <row r="236" spans="2:6" x14ac:dyDescent="0.25">
      <c r="B236" s="13" t="s">
        <v>600</v>
      </c>
      <c r="C236" s="15" t="s">
        <v>104</v>
      </c>
      <c r="D236" s="13" t="s">
        <v>470</v>
      </c>
      <c r="E236" s="13" t="s">
        <v>601</v>
      </c>
      <c r="F236" s="43">
        <v>27.76</v>
      </c>
    </row>
    <row r="237" spans="2:6" x14ac:dyDescent="0.25">
      <c r="B237" s="13" t="s">
        <v>602</v>
      </c>
      <c r="C237" s="15" t="s">
        <v>104</v>
      </c>
      <c r="D237" s="13" t="s">
        <v>470</v>
      </c>
      <c r="E237" s="13" t="s">
        <v>603</v>
      </c>
      <c r="F237" s="43">
        <v>27.76</v>
      </c>
    </row>
    <row r="238" spans="2:6" x14ac:dyDescent="0.25">
      <c r="B238" s="13" t="s">
        <v>604</v>
      </c>
      <c r="C238" s="15" t="s">
        <v>104</v>
      </c>
      <c r="D238" s="13" t="s">
        <v>470</v>
      </c>
      <c r="E238" s="13" t="s">
        <v>605</v>
      </c>
      <c r="F238" s="43">
        <v>29.57</v>
      </c>
    </row>
    <row r="239" spans="2:6" x14ac:dyDescent="0.25">
      <c r="B239" s="13" t="s">
        <v>606</v>
      </c>
      <c r="C239" s="15" t="s">
        <v>104</v>
      </c>
      <c r="D239" s="13" t="s">
        <v>470</v>
      </c>
      <c r="E239" s="13" t="s">
        <v>607</v>
      </c>
      <c r="F239" s="43">
        <v>46.2</v>
      </c>
    </row>
    <row r="240" spans="2:6" x14ac:dyDescent="0.25">
      <c r="B240" s="13" t="s">
        <v>608</v>
      </c>
      <c r="C240" s="15" t="s">
        <v>104</v>
      </c>
      <c r="D240" s="13" t="s">
        <v>470</v>
      </c>
      <c r="E240" s="13" t="s">
        <v>609</v>
      </c>
      <c r="F240" s="43">
        <v>55.67</v>
      </c>
    </row>
    <row r="241" spans="2:6" x14ac:dyDescent="0.25">
      <c r="B241" s="13" t="s">
        <v>610</v>
      </c>
      <c r="C241" s="15" t="s">
        <v>104</v>
      </c>
      <c r="D241" s="13" t="s">
        <v>470</v>
      </c>
      <c r="E241" s="13" t="s">
        <v>611</v>
      </c>
      <c r="F241" s="43">
        <v>91.42</v>
      </c>
    </row>
    <row r="242" spans="2:6" x14ac:dyDescent="0.25">
      <c r="B242" s="13" t="s">
        <v>612</v>
      </c>
      <c r="C242" s="15" t="s">
        <v>104</v>
      </c>
      <c r="D242" s="13" t="s">
        <v>470</v>
      </c>
      <c r="E242" s="13" t="s">
        <v>613</v>
      </c>
      <c r="F242" s="43">
        <v>118.47</v>
      </c>
    </row>
    <row r="243" spans="2:6" x14ac:dyDescent="0.25">
      <c r="B243" s="13" t="s">
        <v>614</v>
      </c>
      <c r="C243" s="15" t="s">
        <v>104</v>
      </c>
      <c r="D243" s="13" t="s">
        <v>470</v>
      </c>
      <c r="E243" s="13" t="s">
        <v>615</v>
      </c>
      <c r="F243" s="43">
        <v>170.58</v>
      </c>
    </row>
    <row r="244" spans="2:6" x14ac:dyDescent="0.25">
      <c r="B244" s="13" t="s">
        <v>616</v>
      </c>
      <c r="C244" s="15" t="s">
        <v>104</v>
      </c>
      <c r="D244" s="13" t="s">
        <v>470</v>
      </c>
      <c r="E244" s="13" t="s">
        <v>617</v>
      </c>
      <c r="F244" s="43">
        <v>407.85</v>
      </c>
    </row>
    <row r="245" spans="2:6" x14ac:dyDescent="0.25">
      <c r="B245" s="13" t="s">
        <v>618</v>
      </c>
      <c r="C245" s="15" t="s">
        <v>104</v>
      </c>
      <c r="D245" s="13" t="s">
        <v>470</v>
      </c>
      <c r="E245" s="13" t="s">
        <v>619</v>
      </c>
      <c r="F245" s="43">
        <v>583.86</v>
      </c>
    </row>
    <row r="246" spans="2:6" x14ac:dyDescent="0.25">
      <c r="B246" s="13" t="s">
        <v>620</v>
      </c>
      <c r="C246" s="15" t="s">
        <v>104</v>
      </c>
      <c r="D246" s="13" t="s">
        <v>470</v>
      </c>
      <c r="E246" s="13" t="s">
        <v>621</v>
      </c>
      <c r="F246" s="43">
        <v>903.17</v>
      </c>
    </row>
    <row r="247" spans="2:6" x14ac:dyDescent="0.25">
      <c r="B247" s="13" t="s">
        <v>622</v>
      </c>
      <c r="C247" s="15" t="s">
        <v>104</v>
      </c>
      <c r="D247" s="13" t="s">
        <v>470</v>
      </c>
      <c r="E247" s="13" t="s">
        <v>623</v>
      </c>
      <c r="F247" s="43">
        <v>26.45</v>
      </c>
    </row>
    <row r="248" spans="2:6" x14ac:dyDescent="0.25">
      <c r="B248" s="13" t="s">
        <v>624</v>
      </c>
      <c r="C248" s="15" t="s">
        <v>104</v>
      </c>
      <c r="D248" s="13" t="s">
        <v>470</v>
      </c>
      <c r="E248" s="13" t="s">
        <v>625</v>
      </c>
      <c r="F248" s="43">
        <v>26.45</v>
      </c>
    </row>
    <row r="249" spans="2:6" x14ac:dyDescent="0.25">
      <c r="B249" s="13" t="s">
        <v>626</v>
      </c>
      <c r="C249" s="15" t="s">
        <v>104</v>
      </c>
      <c r="D249" s="13" t="s">
        <v>470</v>
      </c>
      <c r="E249" s="13" t="s">
        <v>627</v>
      </c>
      <c r="F249" s="43">
        <v>28.62</v>
      </c>
    </row>
    <row r="250" spans="2:6" x14ac:dyDescent="0.25">
      <c r="B250" s="13" t="s">
        <v>628</v>
      </c>
      <c r="C250" s="15" t="s">
        <v>104</v>
      </c>
      <c r="D250" s="13" t="s">
        <v>470</v>
      </c>
      <c r="E250" s="13" t="s">
        <v>629</v>
      </c>
      <c r="F250" s="43">
        <v>44.78</v>
      </c>
    </row>
    <row r="251" spans="2:6" x14ac:dyDescent="0.25">
      <c r="B251" s="13" t="s">
        <v>630</v>
      </c>
      <c r="C251" s="15" t="s">
        <v>104</v>
      </c>
      <c r="D251" s="13" t="s">
        <v>470</v>
      </c>
      <c r="E251" s="13" t="s">
        <v>631</v>
      </c>
      <c r="F251" s="43">
        <v>54.01</v>
      </c>
    </row>
    <row r="252" spans="2:6" x14ac:dyDescent="0.25">
      <c r="B252" s="13" t="s">
        <v>632</v>
      </c>
      <c r="C252" s="15" t="s">
        <v>104</v>
      </c>
      <c r="D252" s="13" t="s">
        <v>470</v>
      </c>
      <c r="E252" s="13" t="s">
        <v>633</v>
      </c>
      <c r="F252" s="43">
        <v>88.58</v>
      </c>
    </row>
    <row r="253" spans="2:6" x14ac:dyDescent="0.25">
      <c r="B253" s="13" t="s">
        <v>634</v>
      </c>
      <c r="C253" s="15" t="s">
        <v>104</v>
      </c>
      <c r="D253" s="13" t="s">
        <v>470</v>
      </c>
      <c r="E253" s="13" t="s">
        <v>635</v>
      </c>
      <c r="F253" s="43">
        <v>114.83</v>
      </c>
    </row>
    <row r="254" spans="2:6" x14ac:dyDescent="0.25">
      <c r="B254" s="13" t="s">
        <v>636</v>
      </c>
      <c r="C254" s="15" t="s">
        <v>104</v>
      </c>
      <c r="D254" s="13" t="s">
        <v>470</v>
      </c>
      <c r="E254" s="13" t="s">
        <v>637</v>
      </c>
      <c r="F254" s="43">
        <v>165.36</v>
      </c>
    </row>
    <row r="255" spans="2:6" x14ac:dyDescent="0.25">
      <c r="B255" s="13" t="s">
        <v>638</v>
      </c>
      <c r="C255" s="15" t="s">
        <v>104</v>
      </c>
      <c r="D255" s="13" t="s">
        <v>470</v>
      </c>
      <c r="E255" s="13" t="s">
        <v>639</v>
      </c>
      <c r="F255" s="43">
        <v>395.36</v>
      </c>
    </row>
    <row r="256" spans="2:6" x14ac:dyDescent="0.25">
      <c r="B256" s="13" t="s">
        <v>640</v>
      </c>
      <c r="C256" s="15" t="s">
        <v>104</v>
      </c>
      <c r="D256" s="13" t="s">
        <v>470</v>
      </c>
      <c r="E256" s="13" t="s">
        <v>641</v>
      </c>
      <c r="F256" s="43">
        <v>565.99</v>
      </c>
    </row>
    <row r="257" spans="2:6" x14ac:dyDescent="0.25">
      <c r="B257" s="13" t="s">
        <v>642</v>
      </c>
      <c r="C257" s="15" t="s">
        <v>104</v>
      </c>
      <c r="D257" s="13" t="s">
        <v>470</v>
      </c>
      <c r="E257" s="13" t="s">
        <v>643</v>
      </c>
      <c r="F257" s="43">
        <v>875.58</v>
      </c>
    </row>
    <row r="258" spans="2:6" x14ac:dyDescent="0.25">
      <c r="B258" s="13" t="s">
        <v>644</v>
      </c>
      <c r="C258" s="15" t="s">
        <v>104</v>
      </c>
      <c r="D258" s="13" t="s">
        <v>470</v>
      </c>
      <c r="E258" s="13" t="s">
        <v>645</v>
      </c>
      <c r="F258" s="43">
        <v>27.38</v>
      </c>
    </row>
    <row r="259" spans="2:6" x14ac:dyDescent="0.25">
      <c r="B259" s="13" t="s">
        <v>646</v>
      </c>
      <c r="C259" s="15" t="s">
        <v>104</v>
      </c>
      <c r="D259" s="13" t="s">
        <v>470</v>
      </c>
      <c r="E259" s="13" t="s">
        <v>647</v>
      </c>
      <c r="F259" s="43">
        <v>27.38</v>
      </c>
    </row>
    <row r="260" spans="2:6" x14ac:dyDescent="0.25">
      <c r="B260" s="13" t="s">
        <v>648</v>
      </c>
      <c r="C260" s="15" t="s">
        <v>104</v>
      </c>
      <c r="D260" s="13" t="s">
        <v>470</v>
      </c>
      <c r="E260" s="13" t="s">
        <v>649</v>
      </c>
      <c r="F260" s="43">
        <v>29.62</v>
      </c>
    </row>
    <row r="261" spans="2:6" x14ac:dyDescent="0.25">
      <c r="B261" s="13" t="s">
        <v>650</v>
      </c>
      <c r="C261" s="15" t="s">
        <v>104</v>
      </c>
      <c r="D261" s="13" t="s">
        <v>470</v>
      </c>
      <c r="E261" s="13" t="s">
        <v>651</v>
      </c>
      <c r="F261" s="43">
        <v>46.35</v>
      </c>
    </row>
    <row r="262" spans="2:6" x14ac:dyDescent="0.25">
      <c r="B262" s="13" t="s">
        <v>652</v>
      </c>
      <c r="C262" s="15" t="s">
        <v>104</v>
      </c>
      <c r="D262" s="13" t="s">
        <v>470</v>
      </c>
      <c r="E262" s="13" t="s">
        <v>653</v>
      </c>
      <c r="F262" s="43">
        <v>55.91</v>
      </c>
    </row>
    <row r="263" spans="2:6" x14ac:dyDescent="0.25">
      <c r="B263" s="13" t="s">
        <v>654</v>
      </c>
      <c r="C263" s="15" t="s">
        <v>104</v>
      </c>
      <c r="D263" s="13" t="s">
        <v>470</v>
      </c>
      <c r="E263" s="13" t="s">
        <v>655</v>
      </c>
      <c r="F263" s="43">
        <v>91.69</v>
      </c>
    </row>
    <row r="264" spans="2:6" x14ac:dyDescent="0.25">
      <c r="B264" s="13" t="s">
        <v>656</v>
      </c>
      <c r="C264" s="15" t="s">
        <v>104</v>
      </c>
      <c r="D264" s="13" t="s">
        <v>470</v>
      </c>
      <c r="E264" s="13" t="s">
        <v>657</v>
      </c>
      <c r="F264" s="43">
        <v>118.86</v>
      </c>
    </row>
    <row r="265" spans="2:6" x14ac:dyDescent="0.25">
      <c r="B265" s="13" t="s">
        <v>658</v>
      </c>
      <c r="C265" s="15" t="s">
        <v>104</v>
      </c>
      <c r="D265" s="13" t="s">
        <v>470</v>
      </c>
      <c r="E265" s="13" t="s">
        <v>659</v>
      </c>
      <c r="F265" s="43">
        <v>171.16</v>
      </c>
    </row>
    <row r="266" spans="2:6" x14ac:dyDescent="0.25">
      <c r="B266" s="13" t="s">
        <v>660</v>
      </c>
      <c r="C266" s="15" t="s">
        <v>104</v>
      </c>
      <c r="D266" s="13" t="s">
        <v>470</v>
      </c>
      <c r="E266" s="13" t="s">
        <v>661</v>
      </c>
      <c r="F266" s="43">
        <v>409.23</v>
      </c>
    </row>
    <row r="267" spans="2:6" x14ac:dyDescent="0.25">
      <c r="B267" s="13" t="s">
        <v>662</v>
      </c>
      <c r="C267" s="15" t="s">
        <v>104</v>
      </c>
      <c r="D267" s="13" t="s">
        <v>470</v>
      </c>
      <c r="E267" s="13" t="s">
        <v>663</v>
      </c>
      <c r="F267" s="43">
        <v>585.85</v>
      </c>
    </row>
    <row r="268" spans="2:6" x14ac:dyDescent="0.25">
      <c r="B268" s="13" t="s">
        <v>664</v>
      </c>
      <c r="C268" s="15" t="s">
        <v>104</v>
      </c>
      <c r="D268" s="13" t="s">
        <v>470</v>
      </c>
      <c r="E268" s="13" t="s">
        <v>665</v>
      </c>
      <c r="F268" s="43">
        <v>906.3</v>
      </c>
    </row>
    <row r="269" spans="2:6" x14ac:dyDescent="0.25">
      <c r="B269" s="13" t="s">
        <v>666</v>
      </c>
      <c r="C269" s="15" t="s">
        <v>104</v>
      </c>
      <c r="D269" s="13" t="s">
        <v>470</v>
      </c>
      <c r="E269" s="13" t="s">
        <v>667</v>
      </c>
      <c r="F269" s="43">
        <v>18.04</v>
      </c>
    </row>
    <row r="270" spans="2:6" x14ac:dyDescent="0.25">
      <c r="B270" s="13" t="s">
        <v>668</v>
      </c>
      <c r="C270" s="15" t="s">
        <v>104</v>
      </c>
      <c r="D270" s="13" t="s">
        <v>470</v>
      </c>
      <c r="E270" s="13" t="s">
        <v>669</v>
      </c>
      <c r="F270" s="43">
        <v>18.04</v>
      </c>
    </row>
    <row r="271" spans="2:6" x14ac:dyDescent="0.25">
      <c r="B271" s="13" t="s">
        <v>670</v>
      </c>
      <c r="C271" s="15" t="s">
        <v>104</v>
      </c>
      <c r="D271" s="13" t="s">
        <v>470</v>
      </c>
      <c r="E271" s="13" t="s">
        <v>671</v>
      </c>
      <c r="F271" s="43">
        <v>23.26</v>
      </c>
    </row>
    <row r="272" spans="2:6" x14ac:dyDescent="0.25">
      <c r="B272" s="13" t="s">
        <v>672</v>
      </c>
      <c r="C272" s="15" t="s">
        <v>104</v>
      </c>
      <c r="D272" s="13" t="s">
        <v>470</v>
      </c>
      <c r="E272" s="13" t="s">
        <v>673</v>
      </c>
      <c r="F272" s="43">
        <v>29.73</v>
      </c>
    </row>
    <row r="273" spans="2:6" x14ac:dyDescent="0.25">
      <c r="B273" s="13" t="s">
        <v>674</v>
      </c>
      <c r="C273" s="15" t="s">
        <v>104</v>
      </c>
      <c r="D273" s="13" t="s">
        <v>470</v>
      </c>
      <c r="E273" s="13" t="s">
        <v>675</v>
      </c>
      <c r="F273" s="43">
        <v>37.909999999999997</v>
      </c>
    </row>
    <row r="274" spans="2:6" x14ac:dyDescent="0.25">
      <c r="B274" s="13" t="s">
        <v>676</v>
      </c>
      <c r="C274" s="15" t="s">
        <v>104</v>
      </c>
      <c r="D274" s="13" t="s">
        <v>470</v>
      </c>
      <c r="E274" s="13" t="s">
        <v>677</v>
      </c>
      <c r="F274" s="43">
        <v>59.48</v>
      </c>
    </row>
    <row r="275" spans="2:6" x14ac:dyDescent="0.25">
      <c r="B275" s="13" t="s">
        <v>678</v>
      </c>
      <c r="C275" s="15" t="s">
        <v>104</v>
      </c>
      <c r="D275" s="13" t="s">
        <v>470</v>
      </c>
      <c r="E275" s="13" t="s">
        <v>679</v>
      </c>
      <c r="F275" s="43">
        <v>72.88</v>
      </c>
    </row>
    <row r="276" spans="2:6" x14ac:dyDescent="0.25">
      <c r="B276" s="13" t="s">
        <v>680</v>
      </c>
      <c r="C276" s="15" t="s">
        <v>104</v>
      </c>
      <c r="D276" s="13" t="s">
        <v>470</v>
      </c>
      <c r="E276" s="13" t="s">
        <v>681</v>
      </c>
      <c r="F276" s="43">
        <v>133.35</v>
      </c>
    </row>
    <row r="277" spans="2:6" x14ac:dyDescent="0.25">
      <c r="B277" s="13" t="s">
        <v>682</v>
      </c>
      <c r="C277" s="15" t="s">
        <v>104</v>
      </c>
      <c r="D277" s="13" t="s">
        <v>470</v>
      </c>
      <c r="E277" s="13" t="s">
        <v>683</v>
      </c>
      <c r="F277" s="43">
        <v>247.17</v>
      </c>
    </row>
    <row r="278" spans="2:6" x14ac:dyDescent="0.25">
      <c r="B278" s="13" t="s">
        <v>684</v>
      </c>
      <c r="C278" s="15" t="s">
        <v>104</v>
      </c>
      <c r="D278" s="13" t="s">
        <v>470</v>
      </c>
      <c r="E278" s="13" t="s">
        <v>685</v>
      </c>
      <c r="F278" s="43">
        <v>357.92</v>
      </c>
    </row>
    <row r="279" spans="2:6" x14ac:dyDescent="0.25">
      <c r="B279" s="13" t="s">
        <v>686</v>
      </c>
      <c r="C279" s="15" t="s">
        <v>104</v>
      </c>
      <c r="D279" s="13" t="s">
        <v>470</v>
      </c>
      <c r="E279" s="13" t="s">
        <v>687</v>
      </c>
      <c r="F279" s="43">
        <v>787.24</v>
      </c>
    </row>
    <row r="280" spans="2:6" x14ac:dyDescent="0.25">
      <c r="B280" s="13" t="s">
        <v>688</v>
      </c>
      <c r="C280" s="15" t="s">
        <v>104</v>
      </c>
      <c r="D280" s="13" t="s">
        <v>470</v>
      </c>
      <c r="E280" s="13" t="s">
        <v>689</v>
      </c>
      <c r="F280" s="43">
        <v>27.26</v>
      </c>
    </row>
    <row r="281" spans="2:6" x14ac:dyDescent="0.25">
      <c r="B281" s="13" t="s">
        <v>690</v>
      </c>
      <c r="C281" s="15" t="s">
        <v>104</v>
      </c>
      <c r="D281" s="13" t="s">
        <v>470</v>
      </c>
      <c r="E281" s="13" t="s">
        <v>691</v>
      </c>
      <c r="F281" s="43">
        <v>34.85</v>
      </c>
    </row>
    <row r="282" spans="2:6" x14ac:dyDescent="0.25">
      <c r="B282" s="13" t="s">
        <v>692</v>
      </c>
      <c r="C282" s="15" t="s">
        <v>104</v>
      </c>
      <c r="D282" s="13" t="s">
        <v>470</v>
      </c>
      <c r="E282" s="13" t="s">
        <v>693</v>
      </c>
      <c r="F282" s="43">
        <v>44.42</v>
      </c>
    </row>
    <row r="283" spans="2:6" x14ac:dyDescent="0.25">
      <c r="B283" s="13" t="s">
        <v>694</v>
      </c>
      <c r="C283" s="15" t="s">
        <v>104</v>
      </c>
      <c r="D283" s="13" t="s">
        <v>470</v>
      </c>
      <c r="E283" s="13" t="s">
        <v>695</v>
      </c>
      <c r="F283" s="43">
        <v>20.93</v>
      </c>
    </row>
    <row r="284" spans="2:6" x14ac:dyDescent="0.25">
      <c r="B284" s="13" t="s">
        <v>696</v>
      </c>
      <c r="C284" s="15" t="s">
        <v>104</v>
      </c>
      <c r="D284" s="13" t="s">
        <v>470</v>
      </c>
      <c r="E284" s="13" t="s">
        <v>697</v>
      </c>
      <c r="F284" s="43">
        <v>26.76</v>
      </c>
    </row>
    <row r="285" spans="2:6" x14ac:dyDescent="0.25">
      <c r="B285" s="13" t="s">
        <v>698</v>
      </c>
      <c r="C285" s="15" t="s">
        <v>104</v>
      </c>
      <c r="D285" s="13" t="s">
        <v>470</v>
      </c>
      <c r="E285" s="13" t="s">
        <v>699</v>
      </c>
      <c r="F285" s="43">
        <v>0</v>
      </c>
    </row>
    <row r="286" spans="2:6" x14ac:dyDescent="0.25">
      <c r="B286" s="13" t="s">
        <v>700</v>
      </c>
      <c r="C286" s="15" t="s">
        <v>104</v>
      </c>
      <c r="D286" s="13" t="s">
        <v>470</v>
      </c>
      <c r="E286" s="13" t="s">
        <v>701</v>
      </c>
      <c r="F286" s="43">
        <v>34.119999999999997</v>
      </c>
    </row>
    <row r="287" spans="2:6" x14ac:dyDescent="0.25">
      <c r="B287" s="13" t="s">
        <v>702</v>
      </c>
      <c r="C287" s="15" t="s">
        <v>104</v>
      </c>
      <c r="D287" s="13" t="s">
        <v>470</v>
      </c>
      <c r="E287" s="13" t="s">
        <v>703</v>
      </c>
      <c r="F287" s="43">
        <v>19.3</v>
      </c>
    </row>
    <row r="288" spans="2:6" x14ac:dyDescent="0.25">
      <c r="B288" s="13" t="s">
        <v>704</v>
      </c>
      <c r="C288" s="15" t="s">
        <v>104</v>
      </c>
      <c r="D288" s="13" t="s">
        <v>470</v>
      </c>
      <c r="E288" s="13" t="s">
        <v>705</v>
      </c>
      <c r="F288" s="43">
        <v>19.3</v>
      </c>
    </row>
    <row r="289" spans="2:6" x14ac:dyDescent="0.25">
      <c r="B289" s="13" t="s">
        <v>706</v>
      </c>
      <c r="C289" s="15" t="s">
        <v>104</v>
      </c>
      <c r="D289" s="13" t="s">
        <v>470</v>
      </c>
      <c r="E289" s="13" t="s">
        <v>707</v>
      </c>
      <c r="F289" s="43">
        <v>24.87</v>
      </c>
    </row>
    <row r="290" spans="2:6" x14ac:dyDescent="0.25">
      <c r="B290" s="13" t="s">
        <v>708</v>
      </c>
      <c r="C290" s="15" t="s">
        <v>104</v>
      </c>
      <c r="D290" s="13" t="s">
        <v>470</v>
      </c>
      <c r="E290" s="13" t="s">
        <v>709</v>
      </c>
      <c r="F290" s="43">
        <v>31.75</v>
      </c>
    </row>
    <row r="291" spans="2:6" x14ac:dyDescent="0.25">
      <c r="B291" s="13" t="s">
        <v>710</v>
      </c>
      <c r="C291" s="15" t="s">
        <v>104</v>
      </c>
      <c r="D291" s="13" t="s">
        <v>470</v>
      </c>
      <c r="E291" s="13" t="s">
        <v>711</v>
      </c>
      <c r="F291" s="43">
        <v>40.51</v>
      </c>
    </row>
    <row r="292" spans="2:6" x14ac:dyDescent="0.25">
      <c r="B292" s="13" t="s">
        <v>712</v>
      </c>
      <c r="C292" s="15" t="s">
        <v>104</v>
      </c>
      <c r="D292" s="13" t="s">
        <v>470</v>
      </c>
      <c r="E292" s="13" t="s">
        <v>713</v>
      </c>
      <c r="F292" s="43">
        <v>63.58</v>
      </c>
    </row>
    <row r="293" spans="2:6" x14ac:dyDescent="0.25">
      <c r="B293" s="13" t="s">
        <v>714</v>
      </c>
      <c r="C293" s="15" t="s">
        <v>104</v>
      </c>
      <c r="D293" s="13" t="s">
        <v>470</v>
      </c>
      <c r="E293" s="13" t="s">
        <v>715</v>
      </c>
      <c r="F293" s="43">
        <v>77.83</v>
      </c>
    </row>
    <row r="294" spans="2:6" x14ac:dyDescent="0.25">
      <c r="B294" s="13" t="s">
        <v>716</v>
      </c>
      <c r="C294" s="15" t="s">
        <v>104</v>
      </c>
      <c r="D294" s="13" t="s">
        <v>470</v>
      </c>
      <c r="E294" s="13" t="s">
        <v>717</v>
      </c>
      <c r="F294" s="43">
        <v>142.43</v>
      </c>
    </row>
    <row r="295" spans="2:6" x14ac:dyDescent="0.25">
      <c r="B295" s="13" t="s">
        <v>718</v>
      </c>
      <c r="C295" s="15" t="s">
        <v>104</v>
      </c>
      <c r="D295" s="13" t="s">
        <v>470</v>
      </c>
      <c r="E295" s="13" t="s">
        <v>719</v>
      </c>
      <c r="F295" s="43">
        <v>264.06</v>
      </c>
    </row>
    <row r="296" spans="2:6" x14ac:dyDescent="0.25">
      <c r="B296" s="13" t="s">
        <v>720</v>
      </c>
      <c r="C296" s="15" t="s">
        <v>104</v>
      </c>
      <c r="D296" s="13" t="s">
        <v>470</v>
      </c>
      <c r="E296" s="13" t="s">
        <v>721</v>
      </c>
      <c r="F296" s="43">
        <v>382.32</v>
      </c>
    </row>
    <row r="297" spans="2:6" x14ac:dyDescent="0.25">
      <c r="B297" s="13" t="s">
        <v>722</v>
      </c>
      <c r="C297" s="15" t="s">
        <v>104</v>
      </c>
      <c r="D297" s="13" t="s">
        <v>470</v>
      </c>
      <c r="E297" s="13" t="s">
        <v>723</v>
      </c>
      <c r="F297" s="43">
        <v>798.09</v>
      </c>
    </row>
    <row r="298" spans="2:6" x14ac:dyDescent="0.25">
      <c r="B298" s="13" t="s">
        <v>724</v>
      </c>
      <c r="C298" s="15" t="s">
        <v>104</v>
      </c>
      <c r="D298" s="13" t="s">
        <v>470</v>
      </c>
      <c r="E298" s="13" t="s">
        <v>725</v>
      </c>
      <c r="F298" s="43">
        <v>18.66</v>
      </c>
    </row>
    <row r="299" spans="2:6" x14ac:dyDescent="0.25">
      <c r="B299" s="13" t="s">
        <v>726</v>
      </c>
      <c r="C299" s="15" t="s">
        <v>104</v>
      </c>
      <c r="D299" s="13" t="s">
        <v>470</v>
      </c>
      <c r="E299" s="13" t="s">
        <v>727</v>
      </c>
      <c r="F299" s="43">
        <v>18.66</v>
      </c>
    </row>
    <row r="300" spans="2:6" x14ac:dyDescent="0.25">
      <c r="B300" s="13" t="s">
        <v>728</v>
      </c>
      <c r="C300" s="15" t="s">
        <v>104</v>
      </c>
      <c r="D300" s="13" t="s">
        <v>470</v>
      </c>
      <c r="E300" s="13" t="s">
        <v>729</v>
      </c>
      <c r="F300" s="43">
        <v>24.06</v>
      </c>
    </row>
    <row r="301" spans="2:6" x14ac:dyDescent="0.25">
      <c r="B301" s="13" t="s">
        <v>730</v>
      </c>
      <c r="C301" s="15" t="s">
        <v>104</v>
      </c>
      <c r="D301" s="13" t="s">
        <v>470</v>
      </c>
      <c r="E301" s="13" t="s">
        <v>731</v>
      </c>
      <c r="F301" s="43">
        <v>30.75</v>
      </c>
    </row>
    <row r="302" spans="2:6" x14ac:dyDescent="0.25">
      <c r="B302" s="13" t="s">
        <v>732</v>
      </c>
      <c r="C302" s="15" t="s">
        <v>104</v>
      </c>
      <c r="D302" s="13" t="s">
        <v>470</v>
      </c>
      <c r="E302" s="13" t="s">
        <v>733</v>
      </c>
      <c r="F302" s="43">
        <v>39.21</v>
      </c>
    </row>
    <row r="303" spans="2:6" x14ac:dyDescent="0.25">
      <c r="B303" s="13" t="s">
        <v>734</v>
      </c>
      <c r="C303" s="15" t="s">
        <v>104</v>
      </c>
      <c r="D303" s="13" t="s">
        <v>470</v>
      </c>
      <c r="E303" s="13" t="s">
        <v>735</v>
      </c>
      <c r="F303" s="43">
        <v>61.53</v>
      </c>
    </row>
    <row r="304" spans="2:6" x14ac:dyDescent="0.25">
      <c r="B304" s="13" t="s">
        <v>736</v>
      </c>
      <c r="C304" s="15" t="s">
        <v>104</v>
      </c>
      <c r="D304" s="13" t="s">
        <v>470</v>
      </c>
      <c r="E304" s="13" t="s">
        <v>737</v>
      </c>
      <c r="F304" s="43">
        <v>75.39</v>
      </c>
    </row>
    <row r="305" spans="2:6" x14ac:dyDescent="0.25">
      <c r="B305" s="13" t="s">
        <v>738</v>
      </c>
      <c r="C305" s="15" t="s">
        <v>104</v>
      </c>
      <c r="D305" s="13" t="s">
        <v>470</v>
      </c>
      <c r="E305" s="13" t="s">
        <v>739</v>
      </c>
      <c r="F305" s="43">
        <v>137.94</v>
      </c>
    </row>
    <row r="306" spans="2:6" x14ac:dyDescent="0.25">
      <c r="B306" s="13" t="s">
        <v>740</v>
      </c>
      <c r="C306" s="15" t="s">
        <v>104</v>
      </c>
      <c r="D306" s="13" t="s">
        <v>470</v>
      </c>
      <c r="E306" s="13" t="s">
        <v>741</v>
      </c>
      <c r="F306" s="43">
        <v>255.69</v>
      </c>
    </row>
    <row r="307" spans="2:6" x14ac:dyDescent="0.25">
      <c r="B307" s="13" t="s">
        <v>742</v>
      </c>
      <c r="C307" s="15" t="s">
        <v>104</v>
      </c>
      <c r="D307" s="13" t="s">
        <v>470</v>
      </c>
      <c r="E307" s="13" t="s">
        <v>743</v>
      </c>
      <c r="F307" s="43">
        <v>370.26</v>
      </c>
    </row>
    <row r="308" spans="2:6" x14ac:dyDescent="0.25">
      <c r="B308" s="13" t="s">
        <v>744</v>
      </c>
      <c r="C308" s="15" t="s">
        <v>104</v>
      </c>
      <c r="D308" s="13" t="s">
        <v>470</v>
      </c>
      <c r="E308" s="13" t="s">
        <v>745</v>
      </c>
      <c r="F308" s="43">
        <v>814.38</v>
      </c>
    </row>
    <row r="309" spans="2:6" x14ac:dyDescent="0.25">
      <c r="B309" s="13" t="s">
        <v>746</v>
      </c>
      <c r="C309" s="15" t="s">
        <v>104</v>
      </c>
      <c r="D309" s="13" t="s">
        <v>470</v>
      </c>
      <c r="E309" s="13" t="s">
        <v>747</v>
      </c>
      <c r="F309" s="43">
        <v>78.760000000000005</v>
      </c>
    </row>
    <row r="310" spans="2:6" x14ac:dyDescent="0.25">
      <c r="B310" s="13" t="s">
        <v>748</v>
      </c>
      <c r="C310" s="15" t="s">
        <v>104</v>
      </c>
      <c r="D310" s="13" t="s">
        <v>470</v>
      </c>
      <c r="E310" s="13" t="s">
        <v>749</v>
      </c>
      <c r="F310" s="43">
        <v>78.760000000000005</v>
      </c>
    </row>
    <row r="311" spans="2:6" x14ac:dyDescent="0.25">
      <c r="B311" s="13" t="s">
        <v>750</v>
      </c>
      <c r="C311" s="15" t="s">
        <v>104</v>
      </c>
      <c r="D311" s="13" t="s">
        <v>470</v>
      </c>
      <c r="E311" s="13" t="s">
        <v>751</v>
      </c>
      <c r="F311" s="43">
        <v>78.760000000000005</v>
      </c>
    </row>
    <row r="312" spans="2:6" x14ac:dyDescent="0.25">
      <c r="B312" s="13" t="s">
        <v>752</v>
      </c>
      <c r="C312" s="15" t="s">
        <v>104</v>
      </c>
      <c r="D312" s="13" t="s">
        <v>470</v>
      </c>
      <c r="E312" s="13" t="s">
        <v>753</v>
      </c>
      <c r="F312" s="43">
        <v>101.66</v>
      </c>
    </row>
    <row r="313" spans="2:6" x14ac:dyDescent="0.25">
      <c r="B313" s="13" t="s">
        <v>754</v>
      </c>
      <c r="C313" s="15" t="s">
        <v>104</v>
      </c>
      <c r="D313" s="13" t="s">
        <v>470</v>
      </c>
      <c r="E313" s="13" t="s">
        <v>755</v>
      </c>
      <c r="F313" s="43">
        <v>140.24</v>
      </c>
    </row>
    <row r="314" spans="2:6" x14ac:dyDescent="0.25">
      <c r="B314" s="13" t="s">
        <v>756</v>
      </c>
      <c r="C314" s="15" t="s">
        <v>104</v>
      </c>
      <c r="D314" s="13" t="s">
        <v>470</v>
      </c>
      <c r="E314" s="13" t="s">
        <v>757</v>
      </c>
      <c r="F314" s="43">
        <v>247.48</v>
      </c>
    </row>
    <row r="315" spans="2:6" x14ac:dyDescent="0.25">
      <c r="B315" s="13" t="s">
        <v>758</v>
      </c>
      <c r="C315" s="15" t="s">
        <v>104</v>
      </c>
      <c r="D315" s="13" t="s">
        <v>470</v>
      </c>
      <c r="E315" s="13" t="s">
        <v>759</v>
      </c>
      <c r="F315" s="43">
        <v>304.39</v>
      </c>
    </row>
    <row r="316" spans="2:6" x14ac:dyDescent="0.25">
      <c r="B316" s="13" t="s">
        <v>760</v>
      </c>
      <c r="C316" s="15" t="s">
        <v>104</v>
      </c>
      <c r="D316" s="13" t="s">
        <v>470</v>
      </c>
      <c r="E316" s="13" t="s">
        <v>761</v>
      </c>
      <c r="F316" s="43">
        <v>502.71</v>
      </c>
    </row>
    <row r="317" spans="2:6" x14ac:dyDescent="0.25">
      <c r="B317" s="13" t="s">
        <v>762</v>
      </c>
      <c r="C317" s="15" t="s">
        <v>104</v>
      </c>
      <c r="D317" s="13" t="s">
        <v>470</v>
      </c>
      <c r="E317" s="13" t="s">
        <v>763</v>
      </c>
      <c r="F317" s="43">
        <v>877.98</v>
      </c>
    </row>
    <row r="318" spans="2:6" x14ac:dyDescent="0.25">
      <c r="B318" s="13" t="s">
        <v>764</v>
      </c>
      <c r="C318" s="15" t="s">
        <v>104</v>
      </c>
      <c r="D318" s="13" t="s">
        <v>470</v>
      </c>
      <c r="E318" s="13" t="s">
        <v>765</v>
      </c>
      <c r="F318" s="43">
        <v>78.760000000000005</v>
      </c>
    </row>
    <row r="319" spans="2:6" x14ac:dyDescent="0.25">
      <c r="B319" s="13" t="s">
        <v>766</v>
      </c>
      <c r="C319" s="15" t="s">
        <v>104</v>
      </c>
      <c r="D319" s="13" t="s">
        <v>470</v>
      </c>
      <c r="E319" s="13" t="s">
        <v>767</v>
      </c>
      <c r="F319" s="43">
        <v>78.760000000000005</v>
      </c>
    </row>
    <row r="320" spans="2:6" x14ac:dyDescent="0.25">
      <c r="B320" s="13" t="s">
        <v>768</v>
      </c>
      <c r="C320" s="15" t="s">
        <v>104</v>
      </c>
      <c r="D320" s="13" t="s">
        <v>470</v>
      </c>
      <c r="E320" s="13" t="s">
        <v>769</v>
      </c>
      <c r="F320" s="43">
        <v>78.760000000000005</v>
      </c>
    </row>
    <row r="321" spans="2:6" x14ac:dyDescent="0.25">
      <c r="B321" s="13" t="s">
        <v>770</v>
      </c>
      <c r="C321" s="15" t="s">
        <v>104</v>
      </c>
      <c r="D321" s="13" t="s">
        <v>470</v>
      </c>
      <c r="E321" s="13" t="s">
        <v>771</v>
      </c>
      <c r="F321" s="43">
        <v>101.66</v>
      </c>
    </row>
    <row r="322" spans="2:6" x14ac:dyDescent="0.25">
      <c r="B322" s="13" t="s">
        <v>772</v>
      </c>
      <c r="C322" s="15" t="s">
        <v>104</v>
      </c>
      <c r="D322" s="13" t="s">
        <v>470</v>
      </c>
      <c r="E322" s="13" t="s">
        <v>773</v>
      </c>
      <c r="F322" s="43">
        <v>140.24</v>
      </c>
    </row>
    <row r="323" spans="2:6" x14ac:dyDescent="0.25">
      <c r="B323" s="13" t="s">
        <v>774</v>
      </c>
      <c r="C323" s="15" t="s">
        <v>104</v>
      </c>
      <c r="D323" s="13" t="s">
        <v>470</v>
      </c>
      <c r="E323" s="13" t="s">
        <v>775</v>
      </c>
      <c r="F323" s="43">
        <v>247.48</v>
      </c>
    </row>
    <row r="324" spans="2:6" x14ac:dyDescent="0.25">
      <c r="B324" s="13" t="s">
        <v>776</v>
      </c>
      <c r="C324" s="15" t="s">
        <v>104</v>
      </c>
      <c r="D324" s="13" t="s">
        <v>470</v>
      </c>
      <c r="E324" s="13" t="s">
        <v>777</v>
      </c>
      <c r="F324" s="43">
        <v>304.39</v>
      </c>
    </row>
    <row r="325" spans="2:6" x14ac:dyDescent="0.25">
      <c r="B325" s="13" t="s">
        <v>778</v>
      </c>
      <c r="C325" s="15" t="s">
        <v>104</v>
      </c>
      <c r="D325" s="13" t="s">
        <v>470</v>
      </c>
      <c r="E325" s="13" t="s">
        <v>779</v>
      </c>
      <c r="F325" s="43">
        <v>502.71</v>
      </c>
    </row>
    <row r="326" spans="2:6" x14ac:dyDescent="0.25">
      <c r="B326" s="13" t="s">
        <v>780</v>
      </c>
      <c r="C326" s="15" t="s">
        <v>104</v>
      </c>
      <c r="D326" s="13" t="s">
        <v>470</v>
      </c>
      <c r="E326" s="145" t="s">
        <v>781</v>
      </c>
      <c r="F326" s="43">
        <v>877.98</v>
      </c>
    </row>
    <row r="327" spans="2:6" x14ac:dyDescent="0.25">
      <c r="B327" s="13" t="s">
        <v>782</v>
      </c>
      <c r="C327" s="15" t="s">
        <v>104</v>
      </c>
      <c r="D327" s="13" t="s">
        <v>470</v>
      </c>
      <c r="E327" s="145" t="s">
        <v>783</v>
      </c>
      <c r="F327" s="43">
        <v>347.74</v>
      </c>
    </row>
    <row r="328" spans="2:6" x14ac:dyDescent="0.25">
      <c r="B328" s="13" t="s">
        <v>784</v>
      </c>
      <c r="C328" s="15" t="s">
        <v>104</v>
      </c>
      <c r="D328" s="13" t="s">
        <v>470</v>
      </c>
      <c r="E328" s="145" t="s">
        <v>785</v>
      </c>
      <c r="F328" s="43">
        <v>397.74</v>
      </c>
    </row>
    <row r="329" spans="2:6" x14ac:dyDescent="0.25">
      <c r="B329" s="13" t="s">
        <v>786</v>
      </c>
      <c r="C329" s="15" t="s">
        <v>104</v>
      </c>
      <c r="D329" s="13" t="s">
        <v>470</v>
      </c>
      <c r="E329" s="145" t="s">
        <v>787</v>
      </c>
      <c r="F329" s="43">
        <v>500.78</v>
      </c>
    </row>
    <row r="330" spans="2:6" x14ac:dyDescent="0.25">
      <c r="B330" s="13" t="s">
        <v>788</v>
      </c>
      <c r="C330" s="15" t="s">
        <v>104</v>
      </c>
      <c r="D330" s="13" t="s">
        <v>470</v>
      </c>
      <c r="E330" s="145" t="s">
        <v>789</v>
      </c>
      <c r="F330" s="43">
        <v>713.33</v>
      </c>
    </row>
    <row r="331" spans="2:6" x14ac:dyDescent="0.25">
      <c r="B331" s="13" t="s">
        <v>790</v>
      </c>
      <c r="C331" s="15" t="s">
        <v>104</v>
      </c>
      <c r="D331" s="13" t="s">
        <v>470</v>
      </c>
      <c r="E331" s="145" t="s">
        <v>791</v>
      </c>
      <c r="F331" s="43">
        <v>810.32</v>
      </c>
    </row>
    <row r="332" spans="2:6" x14ac:dyDescent="0.25">
      <c r="B332" s="13" t="s">
        <v>792</v>
      </c>
      <c r="C332" s="15" t="s">
        <v>104</v>
      </c>
      <c r="D332" s="13" t="s">
        <v>470</v>
      </c>
      <c r="E332" s="145" t="s">
        <v>793</v>
      </c>
      <c r="F332" s="43">
        <v>1285.68</v>
      </c>
    </row>
    <row r="333" spans="2:6" x14ac:dyDescent="0.25">
      <c r="B333" s="13" t="s">
        <v>794</v>
      </c>
      <c r="C333" s="15" t="s">
        <v>104</v>
      </c>
      <c r="D333" s="13" t="s">
        <v>470</v>
      </c>
      <c r="E333" s="145" t="s">
        <v>795</v>
      </c>
      <c r="F333" s="43">
        <v>1846.44</v>
      </c>
    </row>
    <row r="334" spans="2:6" x14ac:dyDescent="0.25">
      <c r="B334" s="13" t="s">
        <v>796</v>
      </c>
      <c r="C334" s="15" t="s">
        <v>104</v>
      </c>
      <c r="D334" s="13" t="s">
        <v>470</v>
      </c>
      <c r="E334" s="145" t="s">
        <v>797</v>
      </c>
      <c r="F334" s="43">
        <v>2563</v>
      </c>
    </row>
    <row r="335" spans="2:6" x14ac:dyDescent="0.25">
      <c r="B335" s="13" t="s">
        <v>798</v>
      </c>
      <c r="C335" s="15" t="s">
        <v>104</v>
      </c>
      <c r="D335" s="13" t="s">
        <v>470</v>
      </c>
      <c r="E335" s="145" t="s">
        <v>799</v>
      </c>
      <c r="F335" s="43">
        <v>43.77</v>
      </c>
    </row>
    <row r="336" spans="2:6" x14ac:dyDescent="0.25">
      <c r="B336" s="13" t="s">
        <v>800</v>
      </c>
      <c r="C336" s="15" t="s">
        <v>104</v>
      </c>
      <c r="D336" s="13" t="s">
        <v>470</v>
      </c>
      <c r="E336" s="145" t="s">
        <v>801</v>
      </c>
      <c r="F336" s="43">
        <v>67.5</v>
      </c>
    </row>
    <row r="337" spans="2:6" x14ac:dyDescent="0.25">
      <c r="B337" s="13" t="s">
        <v>802</v>
      </c>
      <c r="C337" s="15" t="s">
        <v>104</v>
      </c>
      <c r="D337" s="13" t="s">
        <v>470</v>
      </c>
      <c r="E337" s="13" t="s">
        <v>803</v>
      </c>
      <c r="F337" s="43">
        <v>96.12</v>
      </c>
    </row>
    <row r="338" spans="2:6" x14ac:dyDescent="0.25">
      <c r="B338" s="13" t="s">
        <v>804</v>
      </c>
      <c r="C338" s="15" t="s">
        <v>104</v>
      </c>
      <c r="D338" s="13" t="s">
        <v>470</v>
      </c>
      <c r="E338" s="95" t="s">
        <v>805</v>
      </c>
      <c r="F338" s="43">
        <v>350.68</v>
      </c>
    </row>
    <row r="339" spans="2:6" x14ac:dyDescent="0.25">
      <c r="B339" s="13" t="s">
        <v>806</v>
      </c>
      <c r="C339" s="15" t="s">
        <v>104</v>
      </c>
      <c r="D339" s="13" t="s">
        <v>470</v>
      </c>
      <c r="E339" s="13" t="s">
        <v>807</v>
      </c>
      <c r="F339" s="43">
        <v>382.62</v>
      </c>
    </row>
    <row r="340" spans="2:6" x14ac:dyDescent="0.25">
      <c r="B340" s="13" t="s">
        <v>808</v>
      </c>
      <c r="C340" s="15" t="s">
        <v>104</v>
      </c>
      <c r="D340" s="13" t="s">
        <v>470</v>
      </c>
      <c r="E340" s="13" t="s">
        <v>809</v>
      </c>
      <c r="F340" s="43">
        <v>528.30999999999995</v>
      </c>
    </row>
    <row r="341" spans="2:6" x14ac:dyDescent="0.25">
      <c r="B341" s="13" t="s">
        <v>810</v>
      </c>
      <c r="C341" s="15" t="s">
        <v>104</v>
      </c>
      <c r="D341" s="13" t="s">
        <v>470</v>
      </c>
      <c r="E341" s="13" t="s">
        <v>811</v>
      </c>
      <c r="F341" s="43">
        <v>707.35</v>
      </c>
    </row>
    <row r="342" spans="2:6" x14ac:dyDescent="0.25">
      <c r="B342" s="13" t="s">
        <v>812</v>
      </c>
      <c r="C342" s="15" t="s">
        <v>104</v>
      </c>
      <c r="D342" s="13" t="s">
        <v>470</v>
      </c>
      <c r="E342" s="13" t="s">
        <v>813</v>
      </c>
      <c r="F342" s="43">
        <v>857.34</v>
      </c>
    </row>
    <row r="343" spans="2:6" x14ac:dyDescent="0.25">
      <c r="B343" s="13" t="s">
        <v>814</v>
      </c>
      <c r="C343" s="15" t="s">
        <v>104</v>
      </c>
      <c r="D343" s="13" t="s">
        <v>470</v>
      </c>
      <c r="E343" s="13" t="s">
        <v>815</v>
      </c>
      <c r="F343" s="43">
        <v>1058.97</v>
      </c>
    </row>
    <row r="344" spans="2:6" x14ac:dyDescent="0.25">
      <c r="B344" s="13" t="s">
        <v>816</v>
      </c>
      <c r="C344" s="15" t="s">
        <v>104</v>
      </c>
      <c r="D344" s="13" t="s">
        <v>470</v>
      </c>
      <c r="E344" s="13" t="s">
        <v>817</v>
      </c>
      <c r="F344" s="43">
        <v>1896</v>
      </c>
    </row>
    <row r="345" spans="2:6" x14ac:dyDescent="0.25">
      <c r="B345" s="13" t="s">
        <v>818</v>
      </c>
      <c r="C345" s="15" t="s">
        <v>104</v>
      </c>
      <c r="D345" s="13" t="s">
        <v>470</v>
      </c>
      <c r="E345" s="13" t="s">
        <v>819</v>
      </c>
      <c r="F345" s="43">
        <v>123.51</v>
      </c>
    </row>
    <row r="346" spans="2:6" x14ac:dyDescent="0.25">
      <c r="B346" s="13" t="s">
        <v>820</v>
      </c>
      <c r="C346" s="15" t="s">
        <v>104</v>
      </c>
      <c r="D346" s="13" t="s">
        <v>470</v>
      </c>
      <c r="E346" s="13" t="s">
        <v>821</v>
      </c>
      <c r="F346" s="43">
        <v>155.87</v>
      </c>
    </row>
    <row r="347" spans="2:6" x14ac:dyDescent="0.25">
      <c r="B347" s="13" t="s">
        <v>822</v>
      </c>
      <c r="C347" s="15" t="s">
        <v>104</v>
      </c>
      <c r="D347" s="13" t="s">
        <v>470</v>
      </c>
      <c r="E347" s="13" t="s">
        <v>823</v>
      </c>
      <c r="F347" s="43">
        <v>193.22</v>
      </c>
    </row>
    <row r="348" spans="2:6" x14ac:dyDescent="0.25">
      <c r="B348" s="13" t="s">
        <v>824</v>
      </c>
      <c r="C348" s="15" t="s">
        <v>104</v>
      </c>
      <c r="D348" s="13" t="s">
        <v>470</v>
      </c>
      <c r="E348" s="13" t="s">
        <v>825</v>
      </c>
      <c r="F348" s="43">
        <v>252.87</v>
      </c>
    </row>
    <row r="349" spans="2:6" x14ac:dyDescent="0.25">
      <c r="B349" s="13" t="s">
        <v>826</v>
      </c>
      <c r="C349" s="15" t="s">
        <v>104</v>
      </c>
      <c r="D349" s="13" t="s">
        <v>470</v>
      </c>
      <c r="E349" s="13" t="s">
        <v>827</v>
      </c>
      <c r="F349" s="43">
        <v>334.9</v>
      </c>
    </row>
    <row r="350" spans="2:6" x14ac:dyDescent="0.25">
      <c r="B350" s="13" t="s">
        <v>828</v>
      </c>
      <c r="C350" s="15" t="s">
        <v>104</v>
      </c>
      <c r="D350" s="13" t="s">
        <v>470</v>
      </c>
      <c r="E350" s="13" t="s">
        <v>829</v>
      </c>
      <c r="F350" s="43">
        <v>462.64</v>
      </c>
    </row>
    <row r="351" spans="2:6" x14ac:dyDescent="0.25">
      <c r="B351" s="13" t="s">
        <v>830</v>
      </c>
      <c r="C351" s="15" t="s">
        <v>104</v>
      </c>
      <c r="D351" s="13" t="s">
        <v>470</v>
      </c>
      <c r="E351" s="13" t="s">
        <v>831</v>
      </c>
      <c r="F351" s="43">
        <v>747.32</v>
      </c>
    </row>
    <row r="352" spans="2:6" x14ac:dyDescent="0.25">
      <c r="B352" s="13" t="s">
        <v>832</v>
      </c>
      <c r="C352" s="15" t="s">
        <v>104</v>
      </c>
      <c r="D352" s="13" t="s">
        <v>470</v>
      </c>
      <c r="E352" s="13" t="s">
        <v>833</v>
      </c>
      <c r="F352" s="43">
        <v>1022.04</v>
      </c>
    </row>
    <row r="353" spans="2:6" x14ac:dyDescent="0.25">
      <c r="B353" s="13" t="s">
        <v>834</v>
      </c>
      <c r="C353" s="15" t="s">
        <v>104</v>
      </c>
      <c r="D353" s="13" t="s">
        <v>470</v>
      </c>
      <c r="E353" s="13" t="s">
        <v>835</v>
      </c>
      <c r="F353" s="43">
        <v>1604.24</v>
      </c>
    </row>
    <row r="354" spans="2:6" x14ac:dyDescent="0.25">
      <c r="B354" s="13" t="s">
        <v>836</v>
      </c>
      <c r="C354" s="15" t="s">
        <v>104</v>
      </c>
      <c r="D354" s="13" t="s">
        <v>470</v>
      </c>
      <c r="E354" s="13" t="s">
        <v>837</v>
      </c>
      <c r="F354" s="43">
        <v>385.89</v>
      </c>
    </row>
    <row r="355" spans="2:6" x14ac:dyDescent="0.25">
      <c r="B355" s="13" t="s">
        <v>838</v>
      </c>
      <c r="C355" s="15" t="s">
        <v>104</v>
      </c>
      <c r="D355" s="13" t="s">
        <v>470</v>
      </c>
      <c r="E355" s="13" t="s">
        <v>839</v>
      </c>
      <c r="F355" s="43">
        <v>420.21</v>
      </c>
    </row>
    <row r="356" spans="2:6" x14ac:dyDescent="0.25">
      <c r="B356" s="13" t="s">
        <v>840</v>
      </c>
      <c r="C356" s="15" t="s">
        <v>104</v>
      </c>
      <c r="D356" s="13" t="s">
        <v>470</v>
      </c>
      <c r="E356" s="13" t="s">
        <v>841</v>
      </c>
      <c r="F356" s="43">
        <v>437.34</v>
      </c>
    </row>
    <row r="357" spans="2:6" x14ac:dyDescent="0.25">
      <c r="B357" s="13" t="s">
        <v>842</v>
      </c>
      <c r="C357" s="15" t="s">
        <v>104</v>
      </c>
      <c r="D357" s="13" t="s">
        <v>470</v>
      </c>
      <c r="E357" s="13" t="s">
        <v>843</v>
      </c>
      <c r="F357" s="43">
        <v>556.70000000000005</v>
      </c>
    </row>
    <row r="358" spans="2:6" x14ac:dyDescent="0.25">
      <c r="B358" s="13" t="s">
        <v>844</v>
      </c>
      <c r="C358" s="15" t="s">
        <v>104</v>
      </c>
      <c r="D358" s="13" t="s">
        <v>470</v>
      </c>
      <c r="E358" s="13" t="s">
        <v>845</v>
      </c>
      <c r="F358" s="43">
        <v>658.1</v>
      </c>
    </row>
    <row r="359" spans="2:6" x14ac:dyDescent="0.25">
      <c r="B359" s="13" t="s">
        <v>846</v>
      </c>
      <c r="C359" s="15" t="s">
        <v>104</v>
      </c>
      <c r="D359" s="13" t="s">
        <v>470</v>
      </c>
      <c r="E359" s="13" t="s">
        <v>847</v>
      </c>
      <c r="F359" s="43">
        <v>922.21</v>
      </c>
    </row>
    <row r="360" spans="2:6" x14ac:dyDescent="0.25">
      <c r="B360" s="13" t="s">
        <v>848</v>
      </c>
      <c r="C360" s="15" t="s">
        <v>104</v>
      </c>
      <c r="D360" s="13" t="s">
        <v>470</v>
      </c>
      <c r="E360" s="13" t="s">
        <v>849</v>
      </c>
      <c r="F360" s="43">
        <v>1097.17</v>
      </c>
    </row>
    <row r="361" spans="2:6" x14ac:dyDescent="0.25">
      <c r="B361" s="13" t="s">
        <v>850</v>
      </c>
      <c r="C361" s="15" t="s">
        <v>104</v>
      </c>
      <c r="D361" s="13" t="s">
        <v>470</v>
      </c>
      <c r="E361" s="13" t="s">
        <v>851</v>
      </c>
      <c r="F361" s="43">
        <v>2309.36</v>
      </c>
    </row>
    <row r="362" spans="2:6" x14ac:dyDescent="0.25">
      <c r="B362" s="13" t="s">
        <v>852</v>
      </c>
      <c r="C362" s="15" t="s">
        <v>104</v>
      </c>
      <c r="D362" s="13" t="s">
        <v>470</v>
      </c>
      <c r="E362" s="13" t="s">
        <v>853</v>
      </c>
      <c r="F362" s="43">
        <v>526.05999999999995</v>
      </c>
    </row>
    <row r="363" spans="2:6" x14ac:dyDescent="0.25">
      <c r="B363" s="13" t="s">
        <v>854</v>
      </c>
      <c r="C363" s="15" t="s">
        <v>104</v>
      </c>
      <c r="D363" s="13" t="s">
        <v>470</v>
      </c>
      <c r="E363" s="13" t="s">
        <v>855</v>
      </c>
      <c r="F363" s="43">
        <v>636.24</v>
      </c>
    </row>
    <row r="364" spans="2:6" x14ac:dyDescent="0.25">
      <c r="B364" s="13" t="s">
        <v>856</v>
      </c>
      <c r="C364" s="15" t="s">
        <v>104</v>
      </c>
      <c r="D364" s="13" t="s">
        <v>470</v>
      </c>
      <c r="E364" s="13" t="s">
        <v>857</v>
      </c>
      <c r="F364" s="43">
        <v>774.02</v>
      </c>
    </row>
    <row r="365" spans="2:6" x14ac:dyDescent="0.25">
      <c r="B365" s="13" t="s">
        <v>858</v>
      </c>
      <c r="C365" s="15" t="s">
        <v>104</v>
      </c>
      <c r="D365" s="13" t="s">
        <v>470</v>
      </c>
      <c r="E365" s="13" t="s">
        <v>859</v>
      </c>
      <c r="F365" s="43">
        <v>994.26</v>
      </c>
    </row>
    <row r="366" spans="2:6" x14ac:dyDescent="0.25">
      <c r="B366" s="13" t="s">
        <v>860</v>
      </c>
      <c r="C366" s="15" t="s">
        <v>104</v>
      </c>
      <c r="D366" s="13" t="s">
        <v>470</v>
      </c>
      <c r="E366" s="13" t="s">
        <v>861</v>
      </c>
      <c r="F366" s="43">
        <v>1217.3900000000001</v>
      </c>
    </row>
    <row r="367" spans="2:6" x14ac:dyDescent="0.25">
      <c r="B367" s="13" t="s">
        <v>862</v>
      </c>
      <c r="C367" s="15" t="s">
        <v>104</v>
      </c>
      <c r="D367" s="13" t="s">
        <v>470</v>
      </c>
      <c r="E367" s="13" t="s">
        <v>863</v>
      </c>
      <c r="F367" s="43">
        <v>1553.41</v>
      </c>
    </row>
    <row r="368" spans="2:6" x14ac:dyDescent="0.25">
      <c r="B368" s="13" t="s">
        <v>864</v>
      </c>
      <c r="C368" s="15" t="s">
        <v>104</v>
      </c>
      <c r="D368" s="13" t="s">
        <v>470</v>
      </c>
      <c r="E368" s="13" t="s">
        <v>865</v>
      </c>
      <c r="F368" s="43">
        <v>2721.21</v>
      </c>
    </row>
    <row r="369" spans="2:6" x14ac:dyDescent="0.25">
      <c r="B369" s="13" t="s">
        <v>866</v>
      </c>
      <c r="C369" s="15" t="s">
        <v>104</v>
      </c>
      <c r="D369" s="13" t="s">
        <v>470</v>
      </c>
      <c r="E369" s="13" t="s">
        <v>867</v>
      </c>
      <c r="F369" s="43">
        <v>4021.17</v>
      </c>
    </row>
    <row r="370" spans="2:6" x14ac:dyDescent="0.25">
      <c r="B370" s="13" t="s">
        <v>868</v>
      </c>
      <c r="C370" s="15" t="s">
        <v>104</v>
      </c>
      <c r="D370" s="13" t="s">
        <v>470</v>
      </c>
      <c r="E370" s="13" t="s">
        <v>869</v>
      </c>
      <c r="F370" s="43">
        <v>71.819999999999993</v>
      </c>
    </row>
    <row r="371" spans="2:6" x14ac:dyDescent="0.25">
      <c r="B371" s="13" t="s">
        <v>870</v>
      </c>
      <c r="C371" s="15" t="s">
        <v>104</v>
      </c>
      <c r="D371" s="13" t="s">
        <v>470</v>
      </c>
      <c r="E371" s="13" t="s">
        <v>871</v>
      </c>
      <c r="F371" s="43">
        <v>87</v>
      </c>
    </row>
    <row r="372" spans="2:6" x14ac:dyDescent="0.25">
      <c r="B372" s="13" t="s">
        <v>872</v>
      </c>
      <c r="C372" s="15" t="s">
        <v>104</v>
      </c>
      <c r="D372" s="13" t="s">
        <v>470</v>
      </c>
      <c r="E372" s="13" t="s">
        <v>873</v>
      </c>
      <c r="F372" s="43">
        <v>97.53</v>
      </c>
    </row>
    <row r="373" spans="2:6" x14ac:dyDescent="0.25">
      <c r="B373" s="13" t="s">
        <v>874</v>
      </c>
      <c r="C373" s="15" t="s">
        <v>104</v>
      </c>
      <c r="D373" s="13" t="s">
        <v>470</v>
      </c>
      <c r="E373" s="13" t="s">
        <v>875</v>
      </c>
      <c r="F373" s="43">
        <v>133.72999999999999</v>
      </c>
    </row>
    <row r="374" spans="2:6" x14ac:dyDescent="0.25">
      <c r="B374" s="13" t="s">
        <v>876</v>
      </c>
      <c r="C374" s="15" t="s">
        <v>104</v>
      </c>
      <c r="D374" s="13" t="s">
        <v>470</v>
      </c>
      <c r="E374" s="13" t="s">
        <v>877</v>
      </c>
      <c r="F374" s="43">
        <v>186.09</v>
      </c>
    </row>
    <row r="375" spans="2:6" x14ac:dyDescent="0.25">
      <c r="B375" s="13" t="s">
        <v>878</v>
      </c>
      <c r="C375" s="15" t="s">
        <v>104</v>
      </c>
      <c r="D375" s="13" t="s">
        <v>470</v>
      </c>
      <c r="E375" s="13" t="s">
        <v>879</v>
      </c>
      <c r="F375" s="43">
        <v>222.27</v>
      </c>
    </row>
    <row r="376" spans="2:6" x14ac:dyDescent="0.25">
      <c r="B376" s="13" t="s">
        <v>880</v>
      </c>
      <c r="C376" s="15" t="s">
        <v>104</v>
      </c>
      <c r="D376" s="13" t="s">
        <v>470</v>
      </c>
      <c r="E376" s="13" t="s">
        <v>881</v>
      </c>
      <c r="F376" s="43">
        <v>354.9</v>
      </c>
    </row>
    <row r="377" spans="2:6" x14ac:dyDescent="0.25">
      <c r="B377" s="13" t="s">
        <v>882</v>
      </c>
      <c r="C377" s="15" t="s">
        <v>104</v>
      </c>
      <c r="D377" s="13" t="s">
        <v>470</v>
      </c>
      <c r="E377" s="13" t="s">
        <v>883</v>
      </c>
      <c r="F377" s="43">
        <v>566.72</v>
      </c>
    </row>
    <row r="378" spans="2:6" x14ac:dyDescent="0.25">
      <c r="B378" s="13" t="s">
        <v>884</v>
      </c>
      <c r="C378" s="15" t="s">
        <v>104</v>
      </c>
      <c r="D378" s="13" t="s">
        <v>470</v>
      </c>
      <c r="E378" s="13" t="s">
        <v>885</v>
      </c>
      <c r="F378" s="43">
        <v>876.26</v>
      </c>
    </row>
    <row r="379" spans="2:6" x14ac:dyDescent="0.25">
      <c r="B379" s="13" t="s">
        <v>886</v>
      </c>
      <c r="C379" s="15" t="s">
        <v>104</v>
      </c>
      <c r="D379" s="13" t="s">
        <v>470</v>
      </c>
      <c r="E379" s="13" t="s">
        <v>887</v>
      </c>
      <c r="F379" s="43">
        <v>1763.5</v>
      </c>
    </row>
    <row r="380" spans="2:6" x14ac:dyDescent="0.25">
      <c r="B380" s="13" t="s">
        <v>888</v>
      </c>
      <c r="C380" s="15" t="s">
        <v>104</v>
      </c>
      <c r="D380" s="13" t="s">
        <v>470</v>
      </c>
      <c r="E380" s="13" t="s">
        <v>889</v>
      </c>
      <c r="F380" s="43">
        <v>2569.98</v>
      </c>
    </row>
    <row r="381" spans="2:6" x14ac:dyDescent="0.25">
      <c r="B381" s="13" t="s">
        <v>890</v>
      </c>
      <c r="C381" s="15" t="s">
        <v>104</v>
      </c>
      <c r="D381" s="13" t="s">
        <v>470</v>
      </c>
      <c r="E381" s="13" t="s">
        <v>891</v>
      </c>
      <c r="F381" s="43">
        <v>3342.7</v>
      </c>
    </row>
    <row r="382" spans="2:6" x14ac:dyDescent="0.25">
      <c r="B382" s="13" t="s">
        <v>892</v>
      </c>
      <c r="C382" s="15" t="s">
        <v>104</v>
      </c>
      <c r="D382" s="13" t="s">
        <v>470</v>
      </c>
      <c r="E382" s="13" t="s">
        <v>893</v>
      </c>
      <c r="F382" s="43">
        <v>4674.13</v>
      </c>
    </row>
    <row r="383" spans="2:6" x14ac:dyDescent="0.25">
      <c r="B383" s="13" t="s">
        <v>894</v>
      </c>
      <c r="C383" s="15" t="s">
        <v>104</v>
      </c>
      <c r="D383" s="13" t="s">
        <v>470</v>
      </c>
      <c r="E383" s="13" t="s">
        <v>895</v>
      </c>
      <c r="F383" s="43">
        <v>59.92</v>
      </c>
    </row>
    <row r="384" spans="2:6" x14ac:dyDescent="0.25">
      <c r="B384" s="13" t="s">
        <v>896</v>
      </c>
      <c r="C384" s="15" t="s">
        <v>104</v>
      </c>
      <c r="D384" s="13" t="s">
        <v>470</v>
      </c>
      <c r="E384" s="13" t="s">
        <v>897</v>
      </c>
      <c r="F384" s="43">
        <v>72.39</v>
      </c>
    </row>
    <row r="385" spans="2:6" x14ac:dyDescent="0.25">
      <c r="B385" s="13" t="s">
        <v>898</v>
      </c>
      <c r="C385" s="15" t="s">
        <v>104</v>
      </c>
      <c r="D385" s="13" t="s">
        <v>470</v>
      </c>
      <c r="E385" s="13" t="s">
        <v>899</v>
      </c>
      <c r="F385" s="43">
        <v>82.33</v>
      </c>
    </row>
    <row r="386" spans="2:6" x14ac:dyDescent="0.25">
      <c r="B386" s="13" t="s">
        <v>900</v>
      </c>
      <c r="C386" s="15" t="s">
        <v>104</v>
      </c>
      <c r="D386" s="13" t="s">
        <v>470</v>
      </c>
      <c r="E386" s="13" t="s">
        <v>901</v>
      </c>
      <c r="F386" s="43">
        <v>108.34</v>
      </c>
    </row>
    <row r="387" spans="2:6" x14ac:dyDescent="0.25">
      <c r="B387" s="13" t="s">
        <v>902</v>
      </c>
      <c r="C387" s="15" t="s">
        <v>104</v>
      </c>
      <c r="D387" s="13" t="s">
        <v>470</v>
      </c>
      <c r="E387" s="13" t="s">
        <v>903</v>
      </c>
      <c r="F387" s="43">
        <v>134.81</v>
      </c>
    </row>
    <row r="388" spans="2:6" x14ac:dyDescent="0.25">
      <c r="B388" s="13" t="s">
        <v>904</v>
      </c>
      <c r="C388" s="15" t="s">
        <v>104</v>
      </c>
      <c r="D388" s="13" t="s">
        <v>470</v>
      </c>
      <c r="E388" s="13" t="s">
        <v>905</v>
      </c>
      <c r="F388" s="43">
        <v>166.37</v>
      </c>
    </row>
    <row r="389" spans="2:6" x14ac:dyDescent="0.25">
      <c r="B389" s="13" t="s">
        <v>906</v>
      </c>
      <c r="C389" s="15" t="s">
        <v>104</v>
      </c>
      <c r="D389" s="13" t="s">
        <v>470</v>
      </c>
      <c r="E389" s="13" t="s">
        <v>907</v>
      </c>
      <c r="F389" s="43">
        <v>295.85000000000002</v>
      </c>
    </row>
    <row r="390" spans="2:6" x14ac:dyDescent="0.25">
      <c r="B390" s="13" t="s">
        <v>908</v>
      </c>
      <c r="C390" s="15" t="s">
        <v>104</v>
      </c>
      <c r="D390" s="13" t="s">
        <v>470</v>
      </c>
      <c r="E390" s="13" t="s">
        <v>909</v>
      </c>
      <c r="F390" s="43">
        <v>437.81</v>
      </c>
    </row>
    <row r="391" spans="2:6" x14ac:dyDescent="0.25">
      <c r="B391" s="13" t="s">
        <v>910</v>
      </c>
      <c r="C391" s="15" t="s">
        <v>104</v>
      </c>
      <c r="D391" s="13" t="s">
        <v>470</v>
      </c>
      <c r="E391" s="13" t="s">
        <v>911</v>
      </c>
      <c r="F391" s="43">
        <v>761.54</v>
      </c>
    </row>
    <row r="392" spans="2:6" x14ac:dyDescent="0.25">
      <c r="B392" s="13" t="s">
        <v>912</v>
      </c>
      <c r="C392" s="15" t="s">
        <v>104</v>
      </c>
      <c r="D392" s="13" t="s">
        <v>470</v>
      </c>
      <c r="E392" s="13" t="s">
        <v>913</v>
      </c>
      <c r="F392" s="43">
        <v>1101.44</v>
      </c>
    </row>
    <row r="393" spans="2:6" x14ac:dyDescent="0.25">
      <c r="B393" s="13" t="s">
        <v>914</v>
      </c>
      <c r="C393" s="15" t="s">
        <v>104</v>
      </c>
      <c r="D393" s="13" t="s">
        <v>470</v>
      </c>
      <c r="E393" s="13" t="s">
        <v>915</v>
      </c>
      <c r="F393" s="43">
        <v>1724.31</v>
      </c>
    </row>
    <row r="394" spans="2:6" x14ac:dyDescent="0.25">
      <c r="B394" s="13" t="s">
        <v>916</v>
      </c>
      <c r="C394" s="15" t="s">
        <v>104</v>
      </c>
      <c r="D394" s="13" t="s">
        <v>470</v>
      </c>
      <c r="E394" s="13" t="s">
        <v>917</v>
      </c>
      <c r="F394" s="43">
        <v>2331</v>
      </c>
    </row>
    <row r="395" spans="2:6" x14ac:dyDescent="0.25">
      <c r="B395" s="13" t="s">
        <v>918</v>
      </c>
      <c r="C395" s="15" t="s">
        <v>104</v>
      </c>
      <c r="D395" s="13" t="s">
        <v>470</v>
      </c>
      <c r="E395" s="13" t="s">
        <v>919</v>
      </c>
      <c r="F395" s="43">
        <v>3748.98</v>
      </c>
    </row>
    <row r="396" spans="2:6" x14ac:dyDescent="0.25">
      <c r="B396" s="13" t="s">
        <v>920</v>
      </c>
      <c r="C396" s="15" t="s">
        <v>104</v>
      </c>
      <c r="D396" s="13" t="s">
        <v>470</v>
      </c>
      <c r="E396" s="13" t="s">
        <v>921</v>
      </c>
      <c r="F396" s="43">
        <v>6002.5</v>
      </c>
    </row>
    <row r="397" spans="2:6" x14ac:dyDescent="0.25">
      <c r="B397" s="13" t="s">
        <v>922</v>
      </c>
      <c r="C397" s="15" t="s">
        <v>104</v>
      </c>
      <c r="D397" s="13" t="s">
        <v>470</v>
      </c>
      <c r="E397" s="13" t="s">
        <v>923</v>
      </c>
      <c r="F397" s="43">
        <v>61.73</v>
      </c>
    </row>
    <row r="398" spans="2:6" x14ac:dyDescent="0.25">
      <c r="B398" s="13" t="s">
        <v>924</v>
      </c>
      <c r="C398" s="15" t="s">
        <v>104</v>
      </c>
      <c r="D398" s="13" t="s">
        <v>470</v>
      </c>
      <c r="E398" s="13" t="s">
        <v>925</v>
      </c>
      <c r="F398" s="43">
        <v>74.58</v>
      </c>
    </row>
    <row r="399" spans="2:6" x14ac:dyDescent="0.25">
      <c r="B399" s="13" t="s">
        <v>926</v>
      </c>
      <c r="C399" s="15" t="s">
        <v>104</v>
      </c>
      <c r="D399" s="13" t="s">
        <v>470</v>
      </c>
      <c r="E399" s="13" t="s">
        <v>927</v>
      </c>
      <c r="F399" s="43">
        <v>84.84</v>
      </c>
    </row>
    <row r="400" spans="2:6" x14ac:dyDescent="0.25">
      <c r="B400" s="13" t="s">
        <v>928</v>
      </c>
      <c r="C400" s="15" t="s">
        <v>104</v>
      </c>
      <c r="D400" s="13" t="s">
        <v>470</v>
      </c>
      <c r="E400" s="13" t="s">
        <v>929</v>
      </c>
      <c r="F400" s="43">
        <v>111.57</v>
      </c>
    </row>
    <row r="401" spans="2:6" x14ac:dyDescent="0.25">
      <c r="B401" s="13" t="s">
        <v>930</v>
      </c>
      <c r="C401" s="15" t="s">
        <v>104</v>
      </c>
      <c r="D401" s="13" t="s">
        <v>470</v>
      </c>
      <c r="E401" s="13" t="s">
        <v>931</v>
      </c>
      <c r="F401" s="43">
        <v>138.84</v>
      </c>
    </row>
    <row r="402" spans="2:6" x14ac:dyDescent="0.25">
      <c r="B402" s="13" t="s">
        <v>932</v>
      </c>
      <c r="C402" s="15" t="s">
        <v>104</v>
      </c>
      <c r="D402" s="13" t="s">
        <v>470</v>
      </c>
      <c r="E402" s="13" t="s">
        <v>933</v>
      </c>
      <c r="F402" s="43">
        <v>171.38</v>
      </c>
    </row>
    <row r="403" spans="2:6" x14ac:dyDescent="0.25">
      <c r="B403" s="13" t="s">
        <v>934</v>
      </c>
      <c r="C403" s="15" t="s">
        <v>104</v>
      </c>
      <c r="D403" s="13" t="s">
        <v>470</v>
      </c>
      <c r="E403" s="13" t="s">
        <v>935</v>
      </c>
      <c r="F403" s="43">
        <v>304.73</v>
      </c>
    </row>
    <row r="404" spans="2:6" x14ac:dyDescent="0.25">
      <c r="B404" s="13" t="s">
        <v>936</v>
      </c>
      <c r="C404" s="15" t="s">
        <v>104</v>
      </c>
      <c r="D404" s="13" t="s">
        <v>470</v>
      </c>
      <c r="E404" s="13" t="s">
        <v>937</v>
      </c>
      <c r="F404" s="43">
        <v>450.93</v>
      </c>
    </row>
    <row r="405" spans="2:6" x14ac:dyDescent="0.25">
      <c r="B405" s="13" t="s">
        <v>938</v>
      </c>
      <c r="C405" s="15" t="s">
        <v>104</v>
      </c>
      <c r="D405" s="13" t="s">
        <v>470</v>
      </c>
      <c r="E405" s="13" t="s">
        <v>939</v>
      </c>
      <c r="F405" s="43">
        <v>784.35</v>
      </c>
    </row>
    <row r="406" spans="2:6" x14ac:dyDescent="0.25">
      <c r="B406" s="13" t="s">
        <v>940</v>
      </c>
      <c r="C406" s="15" t="s">
        <v>104</v>
      </c>
      <c r="D406" s="13" t="s">
        <v>470</v>
      </c>
      <c r="E406" s="13" t="s">
        <v>941</v>
      </c>
      <c r="F406" s="43">
        <v>1134.46</v>
      </c>
    </row>
    <row r="407" spans="2:6" x14ac:dyDescent="0.25">
      <c r="B407" s="13" t="s">
        <v>942</v>
      </c>
      <c r="C407" s="15" t="s">
        <v>104</v>
      </c>
      <c r="D407" s="13" t="s">
        <v>470</v>
      </c>
      <c r="E407" s="13" t="s">
        <v>943</v>
      </c>
      <c r="F407" s="43">
        <v>1775.98</v>
      </c>
    </row>
    <row r="408" spans="2:6" x14ac:dyDescent="0.25">
      <c r="B408" s="13" t="s">
        <v>944</v>
      </c>
      <c r="C408" s="15" t="s">
        <v>104</v>
      </c>
      <c r="D408" s="13" t="s">
        <v>470</v>
      </c>
      <c r="E408" s="13" t="s">
        <v>945</v>
      </c>
      <c r="F408" s="43">
        <v>2400.9</v>
      </c>
    </row>
    <row r="409" spans="2:6" x14ac:dyDescent="0.25">
      <c r="B409" s="13" t="s">
        <v>946</v>
      </c>
      <c r="C409" s="15" t="s">
        <v>104</v>
      </c>
      <c r="D409" s="13" t="s">
        <v>470</v>
      </c>
      <c r="E409" s="13" t="s">
        <v>947</v>
      </c>
      <c r="F409" s="43">
        <v>3861.46</v>
      </c>
    </row>
    <row r="410" spans="2:6" x14ac:dyDescent="0.25">
      <c r="B410" s="13" t="s">
        <v>948</v>
      </c>
      <c r="C410" s="15" t="s">
        <v>104</v>
      </c>
      <c r="D410" s="13" t="s">
        <v>470</v>
      </c>
      <c r="E410" s="13" t="s">
        <v>949</v>
      </c>
      <c r="F410" s="43">
        <v>112.28</v>
      </c>
    </row>
    <row r="411" spans="2:6" x14ac:dyDescent="0.25">
      <c r="B411" s="13" t="s">
        <v>950</v>
      </c>
      <c r="C411" s="15" t="s">
        <v>104</v>
      </c>
      <c r="D411" s="13" t="s">
        <v>470</v>
      </c>
      <c r="E411" s="13" t="s">
        <v>951</v>
      </c>
      <c r="F411" s="43">
        <v>137.1</v>
      </c>
    </row>
    <row r="412" spans="2:6" x14ac:dyDescent="0.25">
      <c r="B412" s="13" t="s">
        <v>952</v>
      </c>
      <c r="C412" s="15" t="s">
        <v>104</v>
      </c>
      <c r="D412" s="13" t="s">
        <v>470</v>
      </c>
      <c r="E412" s="13" t="s">
        <v>953</v>
      </c>
      <c r="F412" s="43">
        <v>166.44</v>
      </c>
    </row>
    <row r="413" spans="2:6" x14ac:dyDescent="0.25">
      <c r="B413" s="13" t="s">
        <v>954</v>
      </c>
      <c r="C413" s="15" t="s">
        <v>104</v>
      </c>
      <c r="D413" s="13" t="s">
        <v>470</v>
      </c>
      <c r="E413" s="13" t="s">
        <v>955</v>
      </c>
      <c r="F413" s="43">
        <v>244.16</v>
      </c>
    </row>
    <row r="414" spans="2:6" x14ac:dyDescent="0.25">
      <c r="B414" s="13" t="s">
        <v>956</v>
      </c>
      <c r="C414" s="15" t="s">
        <v>104</v>
      </c>
      <c r="D414" s="13" t="s">
        <v>470</v>
      </c>
      <c r="E414" s="13" t="s">
        <v>957</v>
      </c>
      <c r="F414" s="43">
        <v>310.74</v>
      </c>
    </row>
    <row r="415" spans="2:6" x14ac:dyDescent="0.25">
      <c r="B415" s="13" t="s">
        <v>958</v>
      </c>
      <c r="C415" s="15" t="s">
        <v>104</v>
      </c>
      <c r="D415" s="13" t="s">
        <v>470</v>
      </c>
      <c r="E415" s="13" t="s">
        <v>959</v>
      </c>
      <c r="F415" s="43">
        <v>404.71</v>
      </c>
    </row>
    <row r="416" spans="2:6" x14ac:dyDescent="0.25">
      <c r="B416" s="13" t="s">
        <v>960</v>
      </c>
      <c r="C416" s="15" t="s">
        <v>104</v>
      </c>
      <c r="D416" s="13" t="s">
        <v>470</v>
      </c>
      <c r="E416" s="13" t="s">
        <v>961</v>
      </c>
      <c r="F416" s="43">
        <v>633.17999999999995</v>
      </c>
    </row>
    <row r="417" spans="2:6" x14ac:dyDescent="0.25">
      <c r="B417" s="13" t="s">
        <v>962</v>
      </c>
      <c r="C417" s="15" t="s">
        <v>104</v>
      </c>
      <c r="D417" s="13" t="s">
        <v>470</v>
      </c>
      <c r="E417" s="13" t="s">
        <v>963</v>
      </c>
      <c r="F417" s="43">
        <v>858.4</v>
      </c>
    </row>
    <row r="418" spans="2:6" x14ac:dyDescent="0.25">
      <c r="B418" s="13" t="s">
        <v>964</v>
      </c>
      <c r="C418" s="15" t="s">
        <v>104</v>
      </c>
      <c r="D418" s="13" t="s">
        <v>470</v>
      </c>
      <c r="E418" s="145" t="s">
        <v>965</v>
      </c>
      <c r="F418" s="43">
        <v>1201.06</v>
      </c>
    </row>
    <row r="419" spans="2:6" x14ac:dyDescent="0.25">
      <c r="B419" s="13" t="s">
        <v>966</v>
      </c>
      <c r="C419" s="15" t="s">
        <v>104</v>
      </c>
      <c r="D419" s="13" t="s">
        <v>470</v>
      </c>
      <c r="E419" s="145" t="s">
        <v>967</v>
      </c>
      <c r="F419" s="43">
        <v>399.16</v>
      </c>
    </row>
    <row r="420" spans="2:6" x14ac:dyDescent="0.25">
      <c r="B420" s="13" t="s">
        <v>968</v>
      </c>
      <c r="C420" s="15" t="s">
        <v>104</v>
      </c>
      <c r="D420" s="13" t="s">
        <v>470</v>
      </c>
      <c r="E420" s="145" t="s">
        <v>969</v>
      </c>
      <c r="F420" s="43">
        <v>421.48</v>
      </c>
    </row>
    <row r="421" spans="2:6" x14ac:dyDescent="0.25">
      <c r="B421" s="13" t="s">
        <v>970</v>
      </c>
      <c r="C421" s="15" t="s">
        <v>104</v>
      </c>
      <c r="D421" s="13" t="s">
        <v>470</v>
      </c>
      <c r="E421" s="145" t="s">
        <v>971</v>
      </c>
      <c r="F421" s="43">
        <v>536.79999999999995</v>
      </c>
    </row>
    <row r="422" spans="2:6" x14ac:dyDescent="0.25">
      <c r="B422" s="13" t="s">
        <v>972</v>
      </c>
      <c r="C422" s="15" t="s">
        <v>104</v>
      </c>
      <c r="D422" s="13" t="s">
        <v>470</v>
      </c>
      <c r="E422" s="145" t="s">
        <v>973</v>
      </c>
      <c r="F422" s="43">
        <v>616.01</v>
      </c>
    </row>
    <row r="423" spans="2:6" x14ac:dyDescent="0.25">
      <c r="B423" s="13" t="s">
        <v>974</v>
      </c>
      <c r="C423" s="15" t="s">
        <v>104</v>
      </c>
      <c r="D423" s="13" t="s">
        <v>470</v>
      </c>
      <c r="E423" s="145" t="s">
        <v>975</v>
      </c>
      <c r="F423" s="43">
        <v>684.33</v>
      </c>
    </row>
    <row r="424" spans="2:6" x14ac:dyDescent="0.25">
      <c r="B424" s="13" t="s">
        <v>976</v>
      </c>
      <c r="C424" s="15" t="s">
        <v>104</v>
      </c>
      <c r="D424" s="13" t="s">
        <v>470</v>
      </c>
      <c r="E424" s="145" t="s">
        <v>977</v>
      </c>
      <c r="F424" s="43">
        <v>786.2</v>
      </c>
    </row>
    <row r="425" spans="2:6" x14ac:dyDescent="0.25">
      <c r="B425" s="13" t="s">
        <v>978</v>
      </c>
      <c r="C425" s="15" t="s">
        <v>104</v>
      </c>
      <c r="D425" s="13" t="s">
        <v>470</v>
      </c>
      <c r="E425" s="145" t="s">
        <v>979</v>
      </c>
      <c r="F425" s="43">
        <v>1006.69</v>
      </c>
    </row>
    <row r="426" spans="2:6" x14ac:dyDescent="0.25">
      <c r="B426" s="13" t="s">
        <v>980</v>
      </c>
      <c r="C426" s="15" t="s">
        <v>104</v>
      </c>
      <c r="D426" s="13" t="s">
        <v>470</v>
      </c>
      <c r="E426" s="13" t="s">
        <v>981</v>
      </c>
      <c r="F426" s="43">
        <v>1236.2</v>
      </c>
    </row>
    <row r="427" spans="2:6" x14ac:dyDescent="0.25">
      <c r="B427" s="13" t="s">
        <v>982</v>
      </c>
      <c r="C427" s="15" t="s">
        <v>104</v>
      </c>
      <c r="D427" s="13" t="s">
        <v>470</v>
      </c>
      <c r="E427" t="s">
        <v>983</v>
      </c>
      <c r="F427" s="43">
        <v>1686.69</v>
      </c>
    </row>
    <row r="428" spans="2:6" x14ac:dyDescent="0.25">
      <c r="B428" s="13" t="s">
        <v>984</v>
      </c>
      <c r="C428" s="15" t="s">
        <v>104</v>
      </c>
      <c r="D428" s="13" t="s">
        <v>470</v>
      </c>
      <c r="E428" s="13" t="s">
        <v>985</v>
      </c>
      <c r="F428" s="43">
        <v>69.78</v>
      </c>
    </row>
    <row r="429" spans="2:6" x14ac:dyDescent="0.25">
      <c r="B429" s="13" t="s">
        <v>986</v>
      </c>
      <c r="C429" s="15" t="s">
        <v>104</v>
      </c>
      <c r="D429" s="13" t="s">
        <v>470</v>
      </c>
      <c r="E429" s="13" t="s">
        <v>987</v>
      </c>
      <c r="F429" s="43">
        <v>83.61</v>
      </c>
    </row>
    <row r="430" spans="2:6" x14ac:dyDescent="0.25">
      <c r="B430" s="13" t="s">
        <v>988</v>
      </c>
      <c r="C430" s="15" t="s">
        <v>104</v>
      </c>
      <c r="D430" s="13" t="s">
        <v>470</v>
      </c>
      <c r="E430" s="13" t="s">
        <v>989</v>
      </c>
      <c r="F430" s="43">
        <v>98.52</v>
      </c>
    </row>
    <row r="431" spans="2:6" x14ac:dyDescent="0.25">
      <c r="B431" s="13" t="s">
        <v>990</v>
      </c>
      <c r="C431" s="15" t="s">
        <v>104</v>
      </c>
      <c r="D431" s="13" t="s">
        <v>470</v>
      </c>
      <c r="E431" s="13" t="s">
        <v>991</v>
      </c>
      <c r="F431" s="43">
        <v>126.27</v>
      </c>
    </row>
    <row r="432" spans="2:6" x14ac:dyDescent="0.25">
      <c r="B432" s="13" t="s">
        <v>992</v>
      </c>
      <c r="C432" s="15" t="s">
        <v>104</v>
      </c>
      <c r="D432" s="13" t="s">
        <v>470</v>
      </c>
      <c r="E432" s="13" t="s">
        <v>993</v>
      </c>
      <c r="F432" s="43">
        <v>167.64</v>
      </c>
    </row>
    <row r="433" spans="2:6" x14ac:dyDescent="0.25">
      <c r="B433" s="13" t="s">
        <v>994</v>
      </c>
      <c r="C433" s="15" t="s">
        <v>104</v>
      </c>
      <c r="D433" s="13" t="s">
        <v>470</v>
      </c>
      <c r="E433" s="13" t="s">
        <v>995</v>
      </c>
      <c r="F433" s="43">
        <v>210.24</v>
      </c>
    </row>
    <row r="434" spans="2:6" x14ac:dyDescent="0.25">
      <c r="B434" s="13" t="s">
        <v>996</v>
      </c>
      <c r="C434" s="15" t="s">
        <v>104</v>
      </c>
      <c r="D434" s="13" t="s">
        <v>470</v>
      </c>
      <c r="E434" s="13" t="s">
        <v>997</v>
      </c>
      <c r="F434" s="43">
        <v>29.16</v>
      </c>
    </row>
    <row r="435" spans="2:6" x14ac:dyDescent="0.25">
      <c r="B435" s="13" t="s">
        <v>998</v>
      </c>
      <c r="C435" s="15" t="s">
        <v>104</v>
      </c>
      <c r="D435" s="13" t="s">
        <v>470</v>
      </c>
      <c r="E435" s="13" t="s">
        <v>999</v>
      </c>
      <c r="F435" s="43">
        <v>31.44</v>
      </c>
    </row>
    <row r="436" spans="2:6" x14ac:dyDescent="0.25">
      <c r="B436" s="13" t="s">
        <v>1000</v>
      </c>
      <c r="C436" s="15" t="s">
        <v>104</v>
      </c>
      <c r="D436" s="13" t="s">
        <v>470</v>
      </c>
      <c r="E436" s="13" t="s">
        <v>1001</v>
      </c>
      <c r="F436" s="43">
        <v>36.96</v>
      </c>
    </row>
    <row r="437" spans="2:6" x14ac:dyDescent="0.25">
      <c r="B437" s="13" t="s">
        <v>1002</v>
      </c>
      <c r="C437" s="15" t="s">
        <v>104</v>
      </c>
      <c r="D437" s="13" t="s">
        <v>470</v>
      </c>
      <c r="E437" s="13" t="s">
        <v>1003</v>
      </c>
      <c r="F437" s="43">
        <v>48.27</v>
      </c>
    </row>
    <row r="438" spans="2:6" x14ac:dyDescent="0.25">
      <c r="B438" s="13" t="s">
        <v>1004</v>
      </c>
      <c r="C438" s="15" t="s">
        <v>104</v>
      </c>
      <c r="D438" s="13" t="s">
        <v>470</v>
      </c>
      <c r="E438" s="13" t="s">
        <v>1005</v>
      </c>
      <c r="F438" s="43">
        <v>70.02</v>
      </c>
    </row>
    <row r="439" spans="2:6" x14ac:dyDescent="0.25">
      <c r="B439" s="13" t="s">
        <v>1006</v>
      </c>
      <c r="C439" s="15" t="s">
        <v>104</v>
      </c>
      <c r="D439" s="13" t="s">
        <v>470</v>
      </c>
      <c r="E439" s="13" t="s">
        <v>1007</v>
      </c>
      <c r="F439" s="43">
        <v>50.61</v>
      </c>
    </row>
    <row r="440" spans="2:6" x14ac:dyDescent="0.25">
      <c r="B440" s="13" t="s">
        <v>1008</v>
      </c>
      <c r="C440" s="15" t="s">
        <v>104</v>
      </c>
      <c r="D440" s="13" t="s">
        <v>470</v>
      </c>
      <c r="E440" s="13" t="s">
        <v>1009</v>
      </c>
      <c r="F440" s="43">
        <v>58.77</v>
      </c>
    </row>
    <row r="441" spans="2:6" x14ac:dyDescent="0.25">
      <c r="B441" s="13" t="s">
        <v>1010</v>
      </c>
      <c r="C441" s="15" t="s">
        <v>104</v>
      </c>
      <c r="D441" s="13" t="s">
        <v>470</v>
      </c>
      <c r="E441" s="13" t="s">
        <v>1011</v>
      </c>
      <c r="F441" s="43">
        <v>69.540000000000006</v>
      </c>
    </row>
    <row r="442" spans="2:6" x14ac:dyDescent="0.25">
      <c r="B442" s="13" t="s">
        <v>1012</v>
      </c>
      <c r="C442" s="15" t="s">
        <v>104</v>
      </c>
      <c r="D442" s="13" t="s">
        <v>470</v>
      </c>
      <c r="E442" s="13" t="s">
        <v>1013</v>
      </c>
      <c r="F442" s="43">
        <v>98.1</v>
      </c>
    </row>
    <row r="443" spans="2:6" x14ac:dyDescent="0.25">
      <c r="B443" s="13" t="s">
        <v>1014</v>
      </c>
      <c r="C443" s="15" t="s">
        <v>104</v>
      </c>
      <c r="D443" s="13" t="s">
        <v>470</v>
      </c>
      <c r="E443" s="13" t="s">
        <v>1015</v>
      </c>
      <c r="F443" s="43">
        <v>134.85</v>
      </c>
    </row>
    <row r="444" spans="2:6" x14ac:dyDescent="0.25">
      <c r="B444" s="13" t="s">
        <v>1016</v>
      </c>
      <c r="C444" s="15" t="s">
        <v>104</v>
      </c>
      <c r="D444" s="13" t="s">
        <v>470</v>
      </c>
      <c r="E444" s="13" t="s">
        <v>1017</v>
      </c>
      <c r="F444" s="43">
        <v>253.77</v>
      </c>
    </row>
    <row r="445" spans="2:6" x14ac:dyDescent="0.25">
      <c r="B445" s="13" t="s">
        <v>1018</v>
      </c>
      <c r="C445" s="15" t="s">
        <v>104</v>
      </c>
      <c r="D445" s="13" t="s">
        <v>470</v>
      </c>
      <c r="E445" s="13" t="s">
        <v>1019</v>
      </c>
      <c r="F445" s="43">
        <v>350.67</v>
      </c>
    </row>
    <row r="446" spans="2:6" x14ac:dyDescent="0.25">
      <c r="B446" s="13" t="s">
        <v>1020</v>
      </c>
      <c r="C446" s="15" t="s">
        <v>104</v>
      </c>
      <c r="D446" s="13" t="s">
        <v>470</v>
      </c>
      <c r="E446" s="13" t="s">
        <v>1021</v>
      </c>
      <c r="F446" s="43">
        <v>436.41</v>
      </c>
    </row>
    <row r="447" spans="2:6" x14ac:dyDescent="0.25">
      <c r="B447" s="13" t="s">
        <v>1022</v>
      </c>
      <c r="C447" s="15" t="s">
        <v>104</v>
      </c>
      <c r="D447" s="13" t="s">
        <v>470</v>
      </c>
      <c r="E447" s="13" t="s">
        <v>1023</v>
      </c>
      <c r="F447" s="43">
        <v>70.52</v>
      </c>
    </row>
    <row r="448" spans="2:6" x14ac:dyDescent="0.25">
      <c r="B448" s="13" t="s">
        <v>1024</v>
      </c>
      <c r="C448" s="15" t="s">
        <v>104</v>
      </c>
      <c r="D448" s="13" t="s">
        <v>470</v>
      </c>
      <c r="E448" s="13" t="s">
        <v>1025</v>
      </c>
      <c r="F448" s="43">
        <v>77.569999999999993</v>
      </c>
    </row>
    <row r="449" spans="2:6" x14ac:dyDescent="0.25">
      <c r="B449" s="13" t="s">
        <v>1026</v>
      </c>
      <c r="C449" s="15" t="s">
        <v>104</v>
      </c>
      <c r="D449" s="13" t="s">
        <v>470</v>
      </c>
      <c r="E449" s="13" t="s">
        <v>1027</v>
      </c>
      <c r="F449" s="43">
        <v>81.099999999999994</v>
      </c>
    </row>
    <row r="450" spans="2:6" x14ac:dyDescent="0.25">
      <c r="B450" s="13" t="s">
        <v>1028</v>
      </c>
      <c r="C450" s="15" t="s">
        <v>104</v>
      </c>
      <c r="D450" s="13" t="s">
        <v>470</v>
      </c>
      <c r="E450" s="13" t="s">
        <v>1029</v>
      </c>
      <c r="F450" s="43">
        <v>118.25</v>
      </c>
    </row>
    <row r="451" spans="2:6" x14ac:dyDescent="0.25">
      <c r="B451" s="13" t="s">
        <v>1030</v>
      </c>
      <c r="C451" s="15" t="s">
        <v>104</v>
      </c>
      <c r="D451" s="13" t="s">
        <v>470</v>
      </c>
      <c r="E451" s="13" t="s">
        <v>1031</v>
      </c>
      <c r="F451" s="43">
        <v>162.63</v>
      </c>
    </row>
    <row r="452" spans="2:6" x14ac:dyDescent="0.25">
      <c r="B452" s="13" t="s">
        <v>1032</v>
      </c>
      <c r="C452" s="15" t="s">
        <v>104</v>
      </c>
      <c r="D452" s="13" t="s">
        <v>470</v>
      </c>
      <c r="E452" s="13" t="s">
        <v>1033</v>
      </c>
      <c r="F452" s="43">
        <v>96.45</v>
      </c>
    </row>
    <row r="453" spans="2:6" x14ac:dyDescent="0.25">
      <c r="B453" s="13" t="s">
        <v>1034</v>
      </c>
      <c r="C453" s="15" t="s">
        <v>104</v>
      </c>
      <c r="D453" s="13" t="s">
        <v>470</v>
      </c>
      <c r="E453" s="13" t="s">
        <v>1035</v>
      </c>
      <c r="F453" s="43">
        <v>102.06</v>
      </c>
    </row>
    <row r="454" spans="2:6" x14ac:dyDescent="0.25">
      <c r="B454" s="13" t="s">
        <v>1036</v>
      </c>
      <c r="C454" s="15" t="s">
        <v>104</v>
      </c>
      <c r="D454" s="13" t="s">
        <v>470</v>
      </c>
      <c r="E454" s="13" t="s">
        <v>1037</v>
      </c>
      <c r="F454" s="43">
        <v>414.1</v>
      </c>
    </row>
    <row r="455" spans="2:6" x14ac:dyDescent="0.25">
      <c r="B455" s="13" t="s">
        <v>1038</v>
      </c>
      <c r="C455" s="15" t="s">
        <v>104</v>
      </c>
      <c r="D455" s="13" t="s">
        <v>470</v>
      </c>
      <c r="E455" s="13" t="s">
        <v>1039</v>
      </c>
      <c r="F455" s="43">
        <v>455.1</v>
      </c>
    </row>
    <row r="456" spans="2:6" x14ac:dyDescent="0.25">
      <c r="B456" s="13" t="s">
        <v>1040</v>
      </c>
      <c r="C456" s="15" t="s">
        <v>104</v>
      </c>
      <c r="D456" s="13" t="s">
        <v>470</v>
      </c>
      <c r="E456" s="13" t="s">
        <v>1041</v>
      </c>
      <c r="F456" s="43">
        <v>552.29999999999995</v>
      </c>
    </row>
    <row r="457" spans="2:6" x14ac:dyDescent="0.25">
      <c r="B457" s="13" t="s">
        <v>1042</v>
      </c>
      <c r="C457" s="15" t="s">
        <v>104</v>
      </c>
      <c r="D457" s="13" t="s">
        <v>470</v>
      </c>
      <c r="E457" s="13" t="s">
        <v>1043</v>
      </c>
      <c r="F457" s="43">
        <v>692.96</v>
      </c>
    </row>
    <row r="458" spans="2:6" x14ac:dyDescent="0.25">
      <c r="B458" s="13" t="s">
        <v>1044</v>
      </c>
      <c r="C458" s="15" t="s">
        <v>104</v>
      </c>
      <c r="D458" s="13" t="s">
        <v>470</v>
      </c>
      <c r="E458" s="13" t="s">
        <v>1045</v>
      </c>
      <c r="F458" s="43">
        <v>979.24</v>
      </c>
    </row>
    <row r="459" spans="2:6" x14ac:dyDescent="0.25">
      <c r="B459" s="13" t="s">
        <v>1046</v>
      </c>
      <c r="C459" s="15" t="s">
        <v>104</v>
      </c>
      <c r="D459" s="13" t="s">
        <v>470</v>
      </c>
      <c r="E459" s="13" t="s">
        <v>1047</v>
      </c>
      <c r="F459" s="43">
        <v>1312.85</v>
      </c>
    </row>
    <row r="460" spans="2:6" x14ac:dyDescent="0.25">
      <c r="B460" s="13" t="s">
        <v>1048</v>
      </c>
      <c r="C460" s="15" t="s">
        <v>104</v>
      </c>
      <c r="D460" s="13" t="s">
        <v>470</v>
      </c>
      <c r="E460" s="13" t="s">
        <v>1049</v>
      </c>
      <c r="F460" s="43">
        <v>2360.09</v>
      </c>
    </row>
    <row r="461" spans="2:6" x14ac:dyDescent="0.25">
      <c r="B461" s="13" t="s">
        <v>1050</v>
      </c>
      <c r="C461" s="15" t="s">
        <v>104</v>
      </c>
      <c r="D461" s="13" t="s">
        <v>470</v>
      </c>
      <c r="E461" s="13" t="s">
        <v>1051</v>
      </c>
      <c r="F461" s="43">
        <v>3516.9</v>
      </c>
    </row>
    <row r="462" spans="2:6" x14ac:dyDescent="0.25">
      <c r="B462" s="13" t="s">
        <v>1052</v>
      </c>
      <c r="C462" s="15" t="s">
        <v>104</v>
      </c>
      <c r="D462" s="13" t="s">
        <v>470</v>
      </c>
      <c r="E462" s="13" t="s">
        <v>1053</v>
      </c>
      <c r="F462" s="43">
        <v>5117.08</v>
      </c>
    </row>
    <row r="463" spans="2:6" x14ac:dyDescent="0.25">
      <c r="B463" s="13" t="s">
        <v>1054</v>
      </c>
      <c r="C463" s="15" t="s">
        <v>104</v>
      </c>
      <c r="D463" s="13" t="s">
        <v>470</v>
      </c>
      <c r="E463" s="13" t="s">
        <v>1055</v>
      </c>
      <c r="F463" s="43">
        <v>341.97</v>
      </c>
    </row>
    <row r="464" spans="2:6" x14ac:dyDescent="0.25">
      <c r="B464" s="13" t="s">
        <v>1056</v>
      </c>
      <c r="C464" s="15" t="s">
        <v>104</v>
      </c>
      <c r="D464" s="13" t="s">
        <v>470</v>
      </c>
      <c r="E464" s="13" t="s">
        <v>1057</v>
      </c>
      <c r="F464" s="43">
        <v>469.53</v>
      </c>
    </row>
    <row r="465" spans="2:6" x14ac:dyDescent="0.25">
      <c r="B465" s="13" t="s">
        <v>1058</v>
      </c>
      <c r="C465" s="15" t="s">
        <v>104</v>
      </c>
      <c r="D465" s="13" t="s">
        <v>470</v>
      </c>
      <c r="E465" s="13" t="s">
        <v>1059</v>
      </c>
      <c r="F465" s="43">
        <v>566.49</v>
      </c>
    </row>
    <row r="466" spans="2:6" x14ac:dyDescent="0.25">
      <c r="B466" s="13" t="s">
        <v>1060</v>
      </c>
      <c r="C466" s="15" t="s">
        <v>104</v>
      </c>
      <c r="D466" s="13" t="s">
        <v>470</v>
      </c>
      <c r="E466" s="13" t="s">
        <v>1061</v>
      </c>
      <c r="F466" s="43">
        <v>796.18</v>
      </c>
    </row>
    <row r="467" spans="2:6" x14ac:dyDescent="0.25">
      <c r="B467" s="13" t="s">
        <v>1062</v>
      </c>
      <c r="C467" s="15" t="s">
        <v>104</v>
      </c>
      <c r="D467" s="13" t="s">
        <v>470</v>
      </c>
      <c r="E467" s="13" t="s">
        <v>1063</v>
      </c>
      <c r="F467" s="43">
        <v>1020.73</v>
      </c>
    </row>
    <row r="468" spans="2:6" x14ac:dyDescent="0.25">
      <c r="B468" s="13" t="s">
        <v>1064</v>
      </c>
      <c r="C468" s="15" t="s">
        <v>104</v>
      </c>
      <c r="D468" s="13" t="s">
        <v>470</v>
      </c>
      <c r="E468" s="13" t="s">
        <v>1065</v>
      </c>
      <c r="F468" s="43">
        <v>1255.52</v>
      </c>
    </row>
    <row r="469" spans="2:6" x14ac:dyDescent="0.25">
      <c r="B469" s="13" t="s">
        <v>1066</v>
      </c>
      <c r="C469" s="15" t="s">
        <v>104</v>
      </c>
      <c r="D469" s="13" t="s">
        <v>470</v>
      </c>
      <c r="E469" s="13" t="s">
        <v>1067</v>
      </c>
      <c r="F469" s="43">
        <v>1786.29</v>
      </c>
    </row>
    <row r="470" spans="2:6" x14ac:dyDescent="0.25">
      <c r="B470" s="13" t="s">
        <v>1068</v>
      </c>
      <c r="C470" s="15" t="s">
        <v>104</v>
      </c>
      <c r="D470" s="13" t="s">
        <v>470</v>
      </c>
      <c r="E470" s="13" t="s">
        <v>1069</v>
      </c>
      <c r="F470" s="43">
        <v>2877.79</v>
      </c>
    </row>
    <row r="471" spans="2:6" x14ac:dyDescent="0.25">
      <c r="B471" s="13" t="s">
        <v>1070</v>
      </c>
      <c r="C471" s="15" t="s">
        <v>104</v>
      </c>
      <c r="D471" s="13" t="s">
        <v>470</v>
      </c>
      <c r="E471" s="13" t="s">
        <v>1071</v>
      </c>
      <c r="F471" s="43">
        <v>3940.23</v>
      </c>
    </row>
    <row r="472" spans="2:6" x14ac:dyDescent="0.25">
      <c r="B472" s="13" t="s">
        <v>1072</v>
      </c>
      <c r="C472" s="15" t="s">
        <v>104</v>
      </c>
      <c r="D472" s="13" t="s">
        <v>470</v>
      </c>
      <c r="E472" s="13" t="s">
        <v>1073</v>
      </c>
      <c r="F472" s="43">
        <v>57.96</v>
      </c>
    </row>
    <row r="473" spans="2:6" x14ac:dyDescent="0.25">
      <c r="B473" s="13" t="s">
        <v>1074</v>
      </c>
      <c r="C473" s="15" t="s">
        <v>104</v>
      </c>
      <c r="D473" s="13" t="s">
        <v>470</v>
      </c>
      <c r="E473" s="13" t="s">
        <v>1075</v>
      </c>
      <c r="F473" s="43">
        <v>72.930000000000007</v>
      </c>
    </row>
    <row r="474" spans="2:6" x14ac:dyDescent="0.25">
      <c r="B474" s="13" t="s">
        <v>1076</v>
      </c>
      <c r="C474" s="15" t="s">
        <v>104</v>
      </c>
      <c r="D474" s="13" t="s">
        <v>470</v>
      </c>
      <c r="E474" s="13" t="s">
        <v>1077</v>
      </c>
      <c r="F474" s="43">
        <v>96.09</v>
      </c>
    </row>
    <row r="475" spans="2:6" x14ac:dyDescent="0.25">
      <c r="B475" s="13" t="s">
        <v>1078</v>
      </c>
      <c r="C475" s="15" t="s">
        <v>104</v>
      </c>
      <c r="D475" s="13" t="s">
        <v>470</v>
      </c>
      <c r="E475" s="13" t="s">
        <v>1079</v>
      </c>
      <c r="F475" s="43">
        <v>124.68</v>
      </c>
    </row>
    <row r="476" spans="2:6" x14ac:dyDescent="0.25">
      <c r="B476" s="13" t="s">
        <v>1080</v>
      </c>
      <c r="C476" s="15" t="s">
        <v>104</v>
      </c>
      <c r="D476" s="13" t="s">
        <v>470</v>
      </c>
      <c r="E476" s="13" t="s">
        <v>1081</v>
      </c>
      <c r="F476" s="43">
        <v>171.21</v>
      </c>
    </row>
    <row r="477" spans="2:6" x14ac:dyDescent="0.25">
      <c r="B477" s="13" t="s">
        <v>1082</v>
      </c>
      <c r="C477" s="15" t="s">
        <v>104</v>
      </c>
      <c r="D477" s="13" t="s">
        <v>470</v>
      </c>
      <c r="E477" s="13" t="s">
        <v>1083</v>
      </c>
      <c r="F477" s="43">
        <v>224.76</v>
      </c>
    </row>
    <row r="478" spans="2:6" x14ac:dyDescent="0.25">
      <c r="B478" s="13" t="s">
        <v>1084</v>
      </c>
      <c r="C478" s="15" t="s">
        <v>104</v>
      </c>
      <c r="D478" s="13" t="s">
        <v>470</v>
      </c>
      <c r="E478" s="13" t="s">
        <v>1085</v>
      </c>
      <c r="F478" s="43">
        <v>174.28</v>
      </c>
    </row>
    <row r="479" spans="2:6" x14ac:dyDescent="0.25">
      <c r="B479" s="13" t="s">
        <v>1086</v>
      </c>
      <c r="C479" s="15" t="s">
        <v>104</v>
      </c>
      <c r="D479" s="13" t="s">
        <v>470</v>
      </c>
      <c r="E479" s="13" t="s">
        <v>1087</v>
      </c>
      <c r="F479" s="43">
        <v>180.17</v>
      </c>
    </row>
    <row r="480" spans="2:6" x14ac:dyDescent="0.25">
      <c r="B480" s="13" t="s">
        <v>1088</v>
      </c>
      <c r="C480" s="15" t="s">
        <v>104</v>
      </c>
      <c r="D480" s="13" t="s">
        <v>470</v>
      </c>
      <c r="E480" s="13" t="s">
        <v>1089</v>
      </c>
      <c r="F480" s="43">
        <v>202.65</v>
      </c>
    </row>
    <row r="481" spans="2:6" x14ac:dyDescent="0.25">
      <c r="B481" s="13" t="s">
        <v>1090</v>
      </c>
      <c r="C481" s="15" t="s">
        <v>104</v>
      </c>
      <c r="D481" s="13" t="s">
        <v>470</v>
      </c>
      <c r="E481" s="13" t="s">
        <v>1091</v>
      </c>
      <c r="F481" s="43">
        <v>258.95</v>
      </c>
    </row>
    <row r="482" spans="2:6" x14ac:dyDescent="0.25">
      <c r="B482" s="13" t="s">
        <v>1092</v>
      </c>
      <c r="C482" s="15" t="s">
        <v>104</v>
      </c>
      <c r="D482" s="13" t="s">
        <v>470</v>
      </c>
      <c r="E482" s="13" t="s">
        <v>1093</v>
      </c>
      <c r="F482" s="43">
        <v>304.02999999999997</v>
      </c>
    </row>
    <row r="483" spans="2:6" x14ac:dyDescent="0.25">
      <c r="B483" s="13" t="s">
        <v>1094</v>
      </c>
      <c r="C483" s="15" t="s">
        <v>104</v>
      </c>
      <c r="D483" s="13" t="s">
        <v>470</v>
      </c>
      <c r="E483" s="13" t="s">
        <v>1095</v>
      </c>
      <c r="F483" s="43">
        <v>360.3</v>
      </c>
    </row>
    <row r="484" spans="2:6" x14ac:dyDescent="0.25">
      <c r="B484" s="13" t="s">
        <v>1096</v>
      </c>
      <c r="C484" s="15" t="s">
        <v>104</v>
      </c>
      <c r="D484" s="13" t="s">
        <v>470</v>
      </c>
      <c r="E484" s="13" t="s">
        <v>1097</v>
      </c>
      <c r="F484" s="43">
        <v>540.5</v>
      </c>
    </row>
    <row r="485" spans="2:6" x14ac:dyDescent="0.25">
      <c r="B485" s="13" t="s">
        <v>1098</v>
      </c>
      <c r="C485" s="15" t="s">
        <v>104</v>
      </c>
      <c r="D485" s="13" t="s">
        <v>470</v>
      </c>
      <c r="E485" s="13" t="s">
        <v>1099</v>
      </c>
      <c r="F485" s="43">
        <v>675.61</v>
      </c>
    </row>
    <row r="486" spans="2:6" x14ac:dyDescent="0.25">
      <c r="B486" s="13" t="s">
        <v>1100</v>
      </c>
      <c r="C486" s="15" t="s">
        <v>104</v>
      </c>
      <c r="D486" s="13" t="s">
        <v>470</v>
      </c>
      <c r="E486" s="13" t="s">
        <v>1101</v>
      </c>
      <c r="F486" s="43">
        <v>900.82</v>
      </c>
    </row>
    <row r="487" spans="2:6" x14ac:dyDescent="0.25">
      <c r="B487" s="13" t="s">
        <v>1102</v>
      </c>
      <c r="C487" s="15" t="s">
        <v>104</v>
      </c>
      <c r="D487" s="13" t="s">
        <v>470</v>
      </c>
      <c r="E487" s="13" t="s">
        <v>1103</v>
      </c>
      <c r="F487" s="43">
        <v>1268.01</v>
      </c>
    </row>
    <row r="488" spans="2:6" x14ac:dyDescent="0.25">
      <c r="B488" s="13" t="s">
        <v>1104</v>
      </c>
      <c r="C488" s="15" t="s">
        <v>104</v>
      </c>
      <c r="D488" s="13" t="s">
        <v>470</v>
      </c>
      <c r="E488" s="13" t="s">
        <v>1105</v>
      </c>
      <c r="F488" s="43">
        <v>1734.42</v>
      </c>
    </row>
    <row r="489" spans="2:6" x14ac:dyDescent="0.25">
      <c r="B489" s="13" t="s">
        <v>1106</v>
      </c>
      <c r="C489" s="15" t="s">
        <v>104</v>
      </c>
      <c r="D489" s="13" t="s">
        <v>470</v>
      </c>
      <c r="E489" s="13" t="s">
        <v>1107</v>
      </c>
      <c r="F489" s="43">
        <v>2811.01</v>
      </c>
    </row>
    <row r="490" spans="2:6" x14ac:dyDescent="0.25">
      <c r="B490" s="13" t="s">
        <v>1108</v>
      </c>
      <c r="C490" s="15" t="s">
        <v>104</v>
      </c>
      <c r="D490" s="13" t="s">
        <v>470</v>
      </c>
      <c r="E490" s="13" t="s">
        <v>1109</v>
      </c>
      <c r="F490" s="43">
        <v>100.74</v>
      </c>
    </row>
    <row r="491" spans="2:6" x14ac:dyDescent="0.25">
      <c r="B491" s="13" t="s">
        <v>1110</v>
      </c>
      <c r="C491" s="15" t="s">
        <v>104</v>
      </c>
      <c r="D491" s="13" t="s">
        <v>470</v>
      </c>
      <c r="E491" s="13" t="s">
        <v>1111</v>
      </c>
      <c r="F491" s="43">
        <v>112.95</v>
      </c>
    </row>
    <row r="492" spans="2:6" x14ac:dyDescent="0.25">
      <c r="B492" s="13" t="s">
        <v>1112</v>
      </c>
      <c r="C492" s="15" t="s">
        <v>104</v>
      </c>
      <c r="D492" s="13" t="s">
        <v>470</v>
      </c>
      <c r="E492" s="13" t="s">
        <v>1113</v>
      </c>
      <c r="F492" s="43">
        <v>164.82</v>
      </c>
    </row>
    <row r="493" spans="2:6" x14ac:dyDescent="0.25">
      <c r="B493" s="42" t="s">
        <v>1114</v>
      </c>
      <c r="C493" s="15" t="s">
        <v>104</v>
      </c>
      <c r="D493" s="13" t="s">
        <v>470</v>
      </c>
      <c r="E493" s="13" t="s">
        <v>1115</v>
      </c>
      <c r="F493" s="43">
        <v>221.58</v>
      </c>
    </row>
    <row r="494" spans="2:6" x14ac:dyDescent="0.25">
      <c r="B494" s="13" t="s">
        <v>1116</v>
      </c>
      <c r="C494" s="15" t="s">
        <v>104</v>
      </c>
      <c r="D494" s="13" t="s">
        <v>470</v>
      </c>
      <c r="E494" s="13" t="s">
        <v>1117</v>
      </c>
      <c r="F494" s="43">
        <v>280.83</v>
      </c>
    </row>
    <row r="495" spans="2:6" x14ac:dyDescent="0.25">
      <c r="B495" s="13" t="s">
        <v>1118</v>
      </c>
      <c r="C495" s="15" t="s">
        <v>104</v>
      </c>
      <c r="D495" s="13" t="s">
        <v>470</v>
      </c>
      <c r="E495" s="13" t="s">
        <v>1119</v>
      </c>
      <c r="F495" s="43">
        <v>384.6</v>
      </c>
    </row>
    <row r="496" spans="2:6" x14ac:dyDescent="0.25">
      <c r="B496" s="13" t="s">
        <v>1120</v>
      </c>
      <c r="C496" s="15" t="s">
        <v>104</v>
      </c>
      <c r="D496" s="13" t="s">
        <v>470</v>
      </c>
      <c r="E496" s="13" t="s">
        <v>1121</v>
      </c>
      <c r="F496" s="43">
        <v>73.2</v>
      </c>
    </row>
    <row r="497" spans="2:6" x14ac:dyDescent="0.25">
      <c r="B497" s="13" t="s">
        <v>1122</v>
      </c>
      <c r="C497" s="15" t="s">
        <v>104</v>
      </c>
      <c r="D497" s="13" t="s">
        <v>470</v>
      </c>
      <c r="E497" s="13" t="s">
        <v>1123</v>
      </c>
      <c r="F497" s="43">
        <v>86.22</v>
      </c>
    </row>
    <row r="498" spans="2:6" x14ac:dyDescent="0.25">
      <c r="B498" s="13" t="s">
        <v>1124</v>
      </c>
      <c r="C498" s="15" t="s">
        <v>104</v>
      </c>
      <c r="D498" s="13" t="s">
        <v>470</v>
      </c>
      <c r="E498" s="13" t="s">
        <v>1125</v>
      </c>
      <c r="F498" s="43">
        <v>118.98</v>
      </c>
    </row>
    <row r="499" spans="2:6" x14ac:dyDescent="0.25">
      <c r="B499" s="13" t="s">
        <v>1126</v>
      </c>
      <c r="C499" s="15" t="s">
        <v>104</v>
      </c>
      <c r="D499" s="13" t="s">
        <v>470</v>
      </c>
      <c r="E499" s="13" t="s">
        <v>1127</v>
      </c>
      <c r="F499" s="43">
        <v>147.41999999999999</v>
      </c>
    </row>
    <row r="500" spans="2:6" x14ac:dyDescent="0.25">
      <c r="B500" s="13" t="s">
        <v>1128</v>
      </c>
      <c r="C500" s="15" t="s">
        <v>104</v>
      </c>
      <c r="D500" s="13" t="s">
        <v>470</v>
      </c>
      <c r="E500" s="13" t="s">
        <v>1129</v>
      </c>
      <c r="F500" s="43">
        <v>190.65</v>
      </c>
    </row>
    <row r="501" spans="2:6" x14ac:dyDescent="0.25">
      <c r="B501" s="13" t="s">
        <v>1130</v>
      </c>
      <c r="C501" s="15" t="s">
        <v>104</v>
      </c>
      <c r="D501" s="13" t="s">
        <v>470</v>
      </c>
      <c r="E501" s="13" t="s">
        <v>1131</v>
      </c>
      <c r="F501" s="43">
        <v>295.74</v>
      </c>
    </row>
    <row r="502" spans="2:6" x14ac:dyDescent="0.25">
      <c r="B502" s="13" t="s">
        <v>1132</v>
      </c>
      <c r="C502" s="15" t="s">
        <v>104</v>
      </c>
      <c r="D502" s="13" t="s">
        <v>470</v>
      </c>
      <c r="E502" s="13" t="s">
        <v>1133</v>
      </c>
      <c r="F502" s="43">
        <v>73.2</v>
      </c>
    </row>
    <row r="503" spans="2:6" x14ac:dyDescent="0.25">
      <c r="B503" s="13" t="s">
        <v>1134</v>
      </c>
      <c r="C503" s="15" t="s">
        <v>104</v>
      </c>
      <c r="D503" s="13" t="s">
        <v>470</v>
      </c>
      <c r="E503" s="13" t="s">
        <v>1135</v>
      </c>
      <c r="F503" s="43">
        <v>82.05</v>
      </c>
    </row>
    <row r="504" spans="2:6" x14ac:dyDescent="0.25">
      <c r="B504" s="13" t="s">
        <v>1136</v>
      </c>
      <c r="C504" s="15" t="s">
        <v>104</v>
      </c>
      <c r="D504" s="13" t="s">
        <v>470</v>
      </c>
      <c r="E504" s="13" t="s">
        <v>1137</v>
      </c>
      <c r="F504" s="43">
        <v>113.13</v>
      </c>
    </row>
    <row r="505" spans="2:6" x14ac:dyDescent="0.25">
      <c r="B505" s="13" t="s">
        <v>1138</v>
      </c>
      <c r="C505" s="15" t="s">
        <v>104</v>
      </c>
      <c r="D505" s="13" t="s">
        <v>470</v>
      </c>
      <c r="E505" s="13" t="s">
        <v>1139</v>
      </c>
      <c r="F505" s="43">
        <v>147.41999999999999</v>
      </c>
    </row>
    <row r="506" spans="2:6" x14ac:dyDescent="0.25">
      <c r="B506" s="13" t="s">
        <v>1140</v>
      </c>
      <c r="C506" s="15" t="s">
        <v>104</v>
      </c>
      <c r="D506" s="13" t="s">
        <v>470</v>
      </c>
      <c r="E506" s="13" t="s">
        <v>1141</v>
      </c>
      <c r="F506" s="43">
        <v>194.49</v>
      </c>
    </row>
    <row r="507" spans="2:6" x14ac:dyDescent="0.25">
      <c r="B507" s="13" t="s">
        <v>1142</v>
      </c>
      <c r="C507" s="15" t="s">
        <v>104</v>
      </c>
      <c r="D507" s="13" t="s">
        <v>470</v>
      </c>
      <c r="E507" s="13" t="s">
        <v>1143</v>
      </c>
      <c r="F507" s="43">
        <v>302.55</v>
      </c>
    </row>
    <row r="508" spans="2:6" x14ac:dyDescent="0.25">
      <c r="B508" s="13" t="s">
        <v>1144</v>
      </c>
      <c r="C508" s="15" t="s">
        <v>104</v>
      </c>
      <c r="D508" s="13" t="s">
        <v>470</v>
      </c>
      <c r="E508" s="13" t="s">
        <v>1145</v>
      </c>
      <c r="F508" s="43">
        <v>102.81</v>
      </c>
    </row>
    <row r="509" spans="2:6" x14ac:dyDescent="0.25">
      <c r="B509" s="13" t="s">
        <v>1146</v>
      </c>
      <c r="C509" s="15" t="s">
        <v>104</v>
      </c>
      <c r="D509" s="13" t="s">
        <v>470</v>
      </c>
      <c r="E509" s="13" t="s">
        <v>1147</v>
      </c>
      <c r="F509" s="43">
        <v>115.2</v>
      </c>
    </row>
    <row r="510" spans="2:6" x14ac:dyDescent="0.25">
      <c r="B510" s="13" t="s">
        <v>1148</v>
      </c>
      <c r="C510" s="15" t="s">
        <v>104</v>
      </c>
      <c r="D510" s="13" t="s">
        <v>470</v>
      </c>
      <c r="E510" s="13" t="s">
        <v>1149</v>
      </c>
      <c r="F510" s="43">
        <v>168.18</v>
      </c>
    </row>
    <row r="511" spans="2:6" x14ac:dyDescent="0.25">
      <c r="B511" s="13" t="s">
        <v>1150</v>
      </c>
      <c r="C511" s="15" t="s">
        <v>104</v>
      </c>
      <c r="D511" s="13" t="s">
        <v>470</v>
      </c>
      <c r="E511" s="13" t="s">
        <v>1151</v>
      </c>
      <c r="F511" s="43">
        <v>220.29</v>
      </c>
    </row>
    <row r="512" spans="2:6" x14ac:dyDescent="0.25">
      <c r="B512" s="13" t="s">
        <v>1152</v>
      </c>
      <c r="C512" s="15" t="s">
        <v>104</v>
      </c>
      <c r="D512" s="13" t="s">
        <v>470</v>
      </c>
      <c r="E512" s="13" t="s">
        <v>1153</v>
      </c>
      <c r="F512" s="43">
        <v>299.04000000000002</v>
      </c>
    </row>
    <row r="513" spans="2:6" x14ac:dyDescent="0.25">
      <c r="B513" s="13" t="s">
        <v>1154</v>
      </c>
      <c r="C513" s="15" t="s">
        <v>104</v>
      </c>
      <c r="D513" s="13" t="s">
        <v>470</v>
      </c>
      <c r="E513" s="13" t="s">
        <v>1155</v>
      </c>
      <c r="F513" s="43">
        <v>417.45</v>
      </c>
    </row>
    <row r="514" spans="2:6" x14ac:dyDescent="0.25">
      <c r="B514" s="13" t="s">
        <v>1156</v>
      </c>
      <c r="C514" s="15" t="s">
        <v>104</v>
      </c>
      <c r="D514" s="13" t="s">
        <v>470</v>
      </c>
      <c r="E514" s="13" t="s">
        <v>1157</v>
      </c>
      <c r="F514" s="43">
        <v>73.2</v>
      </c>
    </row>
    <row r="515" spans="2:6" x14ac:dyDescent="0.25">
      <c r="B515" s="13" t="s">
        <v>1158</v>
      </c>
      <c r="C515" s="15" t="s">
        <v>104</v>
      </c>
      <c r="D515" s="13" t="s">
        <v>470</v>
      </c>
      <c r="E515" s="13" t="s">
        <v>1159</v>
      </c>
      <c r="F515" s="43">
        <v>82.05</v>
      </c>
    </row>
    <row r="516" spans="2:6" x14ac:dyDescent="0.25">
      <c r="B516" s="13" t="s">
        <v>1160</v>
      </c>
      <c r="C516" s="15" t="s">
        <v>104</v>
      </c>
      <c r="D516" s="13" t="s">
        <v>470</v>
      </c>
      <c r="E516" s="13" t="s">
        <v>1161</v>
      </c>
      <c r="F516" s="43">
        <v>108.42</v>
      </c>
    </row>
    <row r="517" spans="2:6" x14ac:dyDescent="0.25">
      <c r="B517" s="13" t="s">
        <v>1162</v>
      </c>
      <c r="C517" s="15" t="s">
        <v>104</v>
      </c>
      <c r="D517" s="13" t="s">
        <v>470</v>
      </c>
      <c r="E517" s="13" t="s">
        <v>1163</v>
      </c>
      <c r="F517" s="43">
        <v>147.41999999999999</v>
      </c>
    </row>
    <row r="518" spans="2:6" x14ac:dyDescent="0.25">
      <c r="B518" s="13" t="s">
        <v>1164</v>
      </c>
      <c r="C518" s="15" t="s">
        <v>104</v>
      </c>
      <c r="D518" s="13" t="s">
        <v>470</v>
      </c>
      <c r="E518" s="13" t="s">
        <v>1165</v>
      </c>
      <c r="F518" s="43">
        <v>190.65</v>
      </c>
    </row>
    <row r="519" spans="2:6" x14ac:dyDescent="0.25">
      <c r="B519" s="13" t="s">
        <v>1166</v>
      </c>
      <c r="C519" s="15" t="s">
        <v>104</v>
      </c>
      <c r="D519" s="13" t="s">
        <v>470</v>
      </c>
      <c r="E519" s="13" t="s">
        <v>1167</v>
      </c>
      <c r="F519" s="43">
        <v>281.64</v>
      </c>
    </row>
    <row r="520" spans="2:6" x14ac:dyDescent="0.25">
      <c r="B520" s="13" t="s">
        <v>1168</v>
      </c>
      <c r="C520" s="15" t="s">
        <v>104</v>
      </c>
      <c r="D520" s="13" t="s">
        <v>470</v>
      </c>
      <c r="E520" s="13" t="s">
        <v>1169</v>
      </c>
      <c r="F520" s="43">
        <v>73.2</v>
      </c>
    </row>
    <row r="521" spans="2:6" x14ac:dyDescent="0.25">
      <c r="B521" s="13" t="s">
        <v>1170</v>
      </c>
      <c r="C521" s="15" t="s">
        <v>104</v>
      </c>
      <c r="D521" s="13" t="s">
        <v>470</v>
      </c>
      <c r="E521" s="13" t="s">
        <v>1171</v>
      </c>
      <c r="F521" s="43">
        <v>82.05</v>
      </c>
    </row>
    <row r="522" spans="2:6" x14ac:dyDescent="0.25">
      <c r="B522" s="13" t="s">
        <v>1172</v>
      </c>
      <c r="C522" s="15" t="s">
        <v>104</v>
      </c>
      <c r="D522" s="13" t="s">
        <v>470</v>
      </c>
      <c r="E522" s="13" t="s">
        <v>1173</v>
      </c>
      <c r="F522" s="43">
        <v>109.47</v>
      </c>
    </row>
    <row r="523" spans="2:6" x14ac:dyDescent="0.25">
      <c r="B523" s="13" t="s">
        <v>1174</v>
      </c>
      <c r="C523" s="15" t="s">
        <v>104</v>
      </c>
      <c r="D523" s="13" t="s">
        <v>470</v>
      </c>
      <c r="E523" s="13" t="s">
        <v>1175</v>
      </c>
      <c r="F523" s="43">
        <v>147.41999999999999</v>
      </c>
    </row>
    <row r="524" spans="2:6" x14ac:dyDescent="0.25">
      <c r="B524" s="13" t="s">
        <v>1176</v>
      </c>
      <c r="C524" s="15" t="s">
        <v>104</v>
      </c>
      <c r="D524" s="13" t="s">
        <v>470</v>
      </c>
      <c r="E524" s="13" t="s">
        <v>1177</v>
      </c>
      <c r="F524" s="43">
        <v>200.64</v>
      </c>
    </row>
    <row r="525" spans="2:6" x14ac:dyDescent="0.25">
      <c r="B525" s="13" t="s">
        <v>1178</v>
      </c>
      <c r="C525" s="15" t="s">
        <v>104</v>
      </c>
      <c r="D525" s="13" t="s">
        <v>470</v>
      </c>
      <c r="E525" s="13" t="s">
        <v>1179</v>
      </c>
      <c r="F525" s="43">
        <v>287.27999999999997</v>
      </c>
    </row>
    <row r="526" spans="2:6" x14ac:dyDescent="0.25">
      <c r="B526" s="13" t="s">
        <v>1180</v>
      </c>
      <c r="C526" s="15" t="s">
        <v>104</v>
      </c>
      <c r="D526" s="13" t="s">
        <v>470</v>
      </c>
      <c r="E526" s="13" t="s">
        <v>1181</v>
      </c>
      <c r="F526" s="43">
        <v>72.48</v>
      </c>
    </row>
    <row r="527" spans="2:6" x14ac:dyDescent="0.25">
      <c r="B527" s="13" t="s">
        <v>1182</v>
      </c>
      <c r="C527" s="15" t="s">
        <v>104</v>
      </c>
      <c r="D527" s="13" t="s">
        <v>470</v>
      </c>
      <c r="E527" s="13" t="s">
        <v>1183</v>
      </c>
      <c r="F527" s="43">
        <v>81.150000000000006</v>
      </c>
    </row>
    <row r="528" spans="2:6" x14ac:dyDescent="0.25">
      <c r="B528" s="13" t="s">
        <v>1184</v>
      </c>
      <c r="C528" s="15" t="s">
        <v>104</v>
      </c>
      <c r="D528" s="13" t="s">
        <v>470</v>
      </c>
      <c r="E528" s="13" t="s">
        <v>1185</v>
      </c>
      <c r="F528" s="43">
        <v>100.95</v>
      </c>
    </row>
    <row r="529" spans="2:6" x14ac:dyDescent="0.25">
      <c r="B529" s="13" t="s">
        <v>1186</v>
      </c>
      <c r="C529" s="15" t="s">
        <v>104</v>
      </c>
      <c r="D529" s="13" t="s">
        <v>470</v>
      </c>
      <c r="E529" s="13" t="s">
        <v>1187</v>
      </c>
      <c r="F529" s="43">
        <v>145.88999999999999</v>
      </c>
    </row>
    <row r="530" spans="2:6" x14ac:dyDescent="0.25">
      <c r="B530" s="13" t="s">
        <v>1188</v>
      </c>
      <c r="C530" s="15" t="s">
        <v>104</v>
      </c>
      <c r="D530" s="13" t="s">
        <v>470</v>
      </c>
      <c r="E530" s="13" t="s">
        <v>1189</v>
      </c>
      <c r="F530" s="43">
        <v>194.34</v>
      </c>
    </row>
    <row r="531" spans="2:6" x14ac:dyDescent="0.25">
      <c r="B531" s="13" t="s">
        <v>1190</v>
      </c>
      <c r="C531" s="15" t="s">
        <v>104</v>
      </c>
      <c r="D531" s="13" t="s">
        <v>470</v>
      </c>
      <c r="E531" s="13" t="s">
        <v>1191</v>
      </c>
      <c r="F531" s="43">
        <v>278.79000000000002</v>
      </c>
    </row>
    <row r="532" spans="2:6" x14ac:dyDescent="0.25">
      <c r="B532" s="13" t="s">
        <v>1192</v>
      </c>
      <c r="C532" s="15" t="s">
        <v>104</v>
      </c>
      <c r="D532" s="13" t="s">
        <v>470</v>
      </c>
      <c r="E532" s="13" t="s">
        <v>1193</v>
      </c>
      <c r="F532" s="43">
        <v>72.48</v>
      </c>
    </row>
    <row r="533" spans="2:6" x14ac:dyDescent="0.25">
      <c r="B533" s="13" t="s">
        <v>1194</v>
      </c>
      <c r="C533" s="15" t="s">
        <v>104</v>
      </c>
      <c r="D533" s="13" t="s">
        <v>470</v>
      </c>
      <c r="E533" s="13" t="s">
        <v>1195</v>
      </c>
      <c r="F533" s="43">
        <v>81.150000000000006</v>
      </c>
    </row>
    <row r="534" spans="2:6" x14ac:dyDescent="0.25">
      <c r="B534" s="13" t="s">
        <v>1196</v>
      </c>
      <c r="C534" s="15" t="s">
        <v>104</v>
      </c>
      <c r="D534" s="13" t="s">
        <v>470</v>
      </c>
      <c r="E534" s="13" t="s">
        <v>1197</v>
      </c>
      <c r="F534" s="43">
        <v>100.95</v>
      </c>
    </row>
    <row r="535" spans="2:6" x14ac:dyDescent="0.25">
      <c r="B535" s="13" t="s">
        <v>1198</v>
      </c>
      <c r="C535" s="15" t="s">
        <v>104</v>
      </c>
      <c r="D535" s="13" t="s">
        <v>470</v>
      </c>
      <c r="E535" s="13" t="s">
        <v>1199</v>
      </c>
      <c r="F535" s="43">
        <v>145.88999999999999</v>
      </c>
    </row>
    <row r="536" spans="2:6" x14ac:dyDescent="0.25">
      <c r="B536" s="13" t="s">
        <v>1200</v>
      </c>
      <c r="C536" s="15" t="s">
        <v>104</v>
      </c>
      <c r="D536" s="13" t="s">
        <v>470</v>
      </c>
      <c r="E536" s="13" t="s">
        <v>1201</v>
      </c>
      <c r="F536" s="43">
        <v>188.7</v>
      </c>
    </row>
    <row r="537" spans="2:6" x14ac:dyDescent="0.25">
      <c r="B537" s="13" t="s">
        <v>1202</v>
      </c>
      <c r="C537" s="15" t="s">
        <v>104</v>
      </c>
      <c r="D537" s="13" t="s">
        <v>470</v>
      </c>
      <c r="E537" s="13" t="s">
        <v>1203</v>
      </c>
      <c r="F537" s="43">
        <v>278.79000000000002</v>
      </c>
    </row>
    <row r="538" spans="2:6" x14ac:dyDescent="0.25">
      <c r="B538" s="13" t="s">
        <v>1204</v>
      </c>
      <c r="C538" s="15" t="s">
        <v>104</v>
      </c>
      <c r="D538" s="13" t="s">
        <v>470</v>
      </c>
      <c r="E538" s="13" t="s">
        <v>1205</v>
      </c>
      <c r="F538" s="43">
        <v>147.56</v>
      </c>
    </row>
    <row r="539" spans="2:6" x14ac:dyDescent="0.25">
      <c r="B539" s="13" t="s">
        <v>1206</v>
      </c>
      <c r="C539" s="15" t="s">
        <v>104</v>
      </c>
      <c r="D539" s="13" t="s">
        <v>470</v>
      </c>
      <c r="E539" s="13" t="s">
        <v>1207</v>
      </c>
      <c r="F539" s="43">
        <v>165.41</v>
      </c>
    </row>
    <row r="540" spans="2:6" x14ac:dyDescent="0.25">
      <c r="B540" s="13" t="s">
        <v>1208</v>
      </c>
      <c r="C540" s="15" t="s">
        <v>104</v>
      </c>
      <c r="D540" s="13" t="s">
        <v>470</v>
      </c>
      <c r="E540" s="13" t="s">
        <v>1209</v>
      </c>
      <c r="F540" s="43">
        <v>187.12</v>
      </c>
    </row>
    <row r="541" spans="2:6" x14ac:dyDescent="0.25">
      <c r="B541" s="13" t="s">
        <v>1210</v>
      </c>
      <c r="C541" s="15" t="s">
        <v>104</v>
      </c>
      <c r="D541" s="13" t="s">
        <v>470</v>
      </c>
      <c r="E541" s="13" t="s">
        <v>1211</v>
      </c>
      <c r="F541" s="43">
        <v>230.31</v>
      </c>
    </row>
    <row r="542" spans="2:6" x14ac:dyDescent="0.25">
      <c r="B542" s="13" t="s">
        <v>1212</v>
      </c>
      <c r="C542" s="15" t="s">
        <v>104</v>
      </c>
      <c r="D542" s="13" t="s">
        <v>470</v>
      </c>
      <c r="E542" s="13" t="s">
        <v>1213</v>
      </c>
      <c r="F542" s="43">
        <v>366.19</v>
      </c>
    </row>
    <row r="543" spans="2:6" x14ac:dyDescent="0.25">
      <c r="B543" s="13" t="s">
        <v>1214</v>
      </c>
      <c r="C543" s="15" t="s">
        <v>104</v>
      </c>
      <c r="D543" s="13" t="s">
        <v>470</v>
      </c>
      <c r="E543" s="13" t="s">
        <v>1215</v>
      </c>
      <c r="F543" s="43">
        <v>413.04</v>
      </c>
    </row>
    <row r="544" spans="2:6" x14ac:dyDescent="0.25">
      <c r="B544" s="13" t="s">
        <v>1216</v>
      </c>
      <c r="C544" s="15" t="s">
        <v>104</v>
      </c>
      <c r="D544" s="13" t="s">
        <v>470</v>
      </c>
      <c r="E544" s="13" t="s">
        <v>28649</v>
      </c>
      <c r="F544" s="43">
        <v>300.52</v>
      </c>
    </row>
    <row r="545" spans="2:6" x14ac:dyDescent="0.25">
      <c r="B545" s="13" t="s">
        <v>1217</v>
      </c>
      <c r="C545" s="15" t="s">
        <v>104</v>
      </c>
      <c r="D545" s="13" t="s">
        <v>470</v>
      </c>
      <c r="E545" s="13" t="s">
        <v>28650</v>
      </c>
      <c r="F545" s="43">
        <v>300.52</v>
      </c>
    </row>
    <row r="546" spans="2:6" x14ac:dyDescent="0.25">
      <c r="B546" s="13" t="s">
        <v>1218</v>
      </c>
      <c r="C546" s="15" t="s">
        <v>104</v>
      </c>
      <c r="D546" s="13" t="s">
        <v>470</v>
      </c>
      <c r="E546" s="13" t="s">
        <v>28651</v>
      </c>
      <c r="F546" s="43">
        <v>308.76</v>
      </c>
    </row>
    <row r="547" spans="2:6" x14ac:dyDescent="0.25">
      <c r="B547" s="13" t="s">
        <v>1219</v>
      </c>
      <c r="C547" s="15" t="s">
        <v>104</v>
      </c>
      <c r="D547" s="13" t="s">
        <v>470</v>
      </c>
      <c r="E547" s="13" t="s">
        <v>28652</v>
      </c>
      <c r="F547" s="43">
        <v>308.76</v>
      </c>
    </row>
    <row r="548" spans="2:6" x14ac:dyDescent="0.25">
      <c r="B548" s="13" t="s">
        <v>1220</v>
      </c>
      <c r="C548" s="15" t="s">
        <v>104</v>
      </c>
      <c r="D548" s="13" t="s">
        <v>470</v>
      </c>
      <c r="E548" s="13" t="s">
        <v>28653</v>
      </c>
      <c r="F548" s="43">
        <v>316.98</v>
      </c>
    </row>
    <row r="549" spans="2:6" x14ac:dyDescent="0.25">
      <c r="B549" s="13" t="s">
        <v>1221</v>
      </c>
      <c r="C549" s="15" t="s">
        <v>104</v>
      </c>
      <c r="D549" s="13" t="s">
        <v>470</v>
      </c>
      <c r="E549" s="13" t="s">
        <v>28654</v>
      </c>
      <c r="F549" s="43">
        <v>316.98</v>
      </c>
    </row>
    <row r="550" spans="2:6" x14ac:dyDescent="0.25">
      <c r="B550" s="13" t="s">
        <v>1222</v>
      </c>
      <c r="C550" s="15" t="s">
        <v>104</v>
      </c>
      <c r="D550" s="13" t="s">
        <v>470</v>
      </c>
      <c r="E550" s="13" t="s">
        <v>28655</v>
      </c>
      <c r="F550" s="43">
        <v>339.98</v>
      </c>
    </row>
    <row r="551" spans="2:6" x14ac:dyDescent="0.25">
      <c r="B551" s="13" t="s">
        <v>1223</v>
      </c>
      <c r="C551" s="15" t="s">
        <v>104</v>
      </c>
      <c r="D551" s="13" t="s">
        <v>470</v>
      </c>
      <c r="E551" s="13" t="s">
        <v>28656</v>
      </c>
      <c r="F551" s="43">
        <v>339.98</v>
      </c>
    </row>
    <row r="552" spans="2:6" x14ac:dyDescent="0.25">
      <c r="B552" s="13" t="s">
        <v>1224</v>
      </c>
      <c r="C552" s="15" t="s">
        <v>104</v>
      </c>
      <c r="D552" s="13" t="s">
        <v>470</v>
      </c>
      <c r="E552" s="13" t="s">
        <v>28657</v>
      </c>
      <c r="F552" s="43">
        <v>345.81</v>
      </c>
    </row>
    <row r="553" spans="2:6" x14ac:dyDescent="0.25">
      <c r="B553" s="13" t="s">
        <v>1225</v>
      </c>
      <c r="C553" s="15" t="s">
        <v>104</v>
      </c>
      <c r="D553" s="13" t="s">
        <v>470</v>
      </c>
      <c r="E553" s="13" t="s">
        <v>28658</v>
      </c>
      <c r="F553" s="43">
        <v>345.81</v>
      </c>
    </row>
    <row r="554" spans="2:6" x14ac:dyDescent="0.25">
      <c r="B554" s="13" t="s">
        <v>1226</v>
      </c>
      <c r="C554" s="15" t="s">
        <v>104</v>
      </c>
      <c r="D554" s="13" t="s">
        <v>470</v>
      </c>
      <c r="E554" s="13" t="s">
        <v>28659</v>
      </c>
      <c r="F554" s="43">
        <v>603.64</v>
      </c>
    </row>
    <row r="555" spans="2:6" x14ac:dyDescent="0.25">
      <c r="B555" s="13" t="s">
        <v>1227</v>
      </c>
      <c r="C555" s="15" t="s">
        <v>104</v>
      </c>
      <c r="D555" s="13" t="s">
        <v>470</v>
      </c>
      <c r="E555" s="13" t="s">
        <v>28659</v>
      </c>
      <c r="F555" s="43">
        <v>603.64</v>
      </c>
    </row>
    <row r="556" spans="2:6" x14ac:dyDescent="0.25">
      <c r="B556" s="13" t="s">
        <v>1228</v>
      </c>
      <c r="C556" s="15" t="s">
        <v>104</v>
      </c>
      <c r="D556" s="13" t="s">
        <v>470</v>
      </c>
      <c r="E556" s="13" t="s">
        <v>28660</v>
      </c>
      <c r="F556" s="43">
        <v>613.17999999999995</v>
      </c>
    </row>
    <row r="557" spans="2:6" x14ac:dyDescent="0.25">
      <c r="B557" s="13" t="s">
        <v>1229</v>
      </c>
      <c r="C557" s="15" t="s">
        <v>104</v>
      </c>
      <c r="D557" s="13" t="s">
        <v>470</v>
      </c>
      <c r="E557" s="13" t="s">
        <v>28660</v>
      </c>
      <c r="F557" s="43">
        <v>613.17999999999995</v>
      </c>
    </row>
    <row r="558" spans="2:6" x14ac:dyDescent="0.25">
      <c r="B558" s="13" t="s">
        <v>1230</v>
      </c>
      <c r="C558" s="15" t="s">
        <v>104</v>
      </c>
      <c r="D558" s="13" t="s">
        <v>470</v>
      </c>
      <c r="E558" s="13" t="s">
        <v>1231</v>
      </c>
      <c r="F558" s="43">
        <v>228.17</v>
      </c>
    </row>
    <row r="559" spans="2:6" x14ac:dyDescent="0.25">
      <c r="B559" s="13" t="s">
        <v>1232</v>
      </c>
      <c r="C559" s="15" t="s">
        <v>104</v>
      </c>
      <c r="D559" s="13" t="s">
        <v>470</v>
      </c>
      <c r="E559" s="13" t="s">
        <v>1233</v>
      </c>
      <c r="F559" s="43">
        <v>272.64999999999998</v>
      </c>
    </row>
    <row r="560" spans="2:6" x14ac:dyDescent="0.25">
      <c r="B560" s="13" t="s">
        <v>1234</v>
      </c>
      <c r="C560" s="15" t="s">
        <v>104</v>
      </c>
      <c r="D560" s="13" t="s">
        <v>470</v>
      </c>
      <c r="E560" s="13" t="s">
        <v>1235</v>
      </c>
      <c r="F560" s="43">
        <v>396.5</v>
      </c>
    </row>
    <row r="561" spans="2:6" x14ac:dyDescent="0.25">
      <c r="B561" s="13" t="s">
        <v>1236</v>
      </c>
      <c r="C561" s="15" t="s">
        <v>104</v>
      </c>
      <c r="D561" s="13" t="s">
        <v>470</v>
      </c>
      <c r="E561" s="13" t="s">
        <v>1237</v>
      </c>
      <c r="F561" s="43">
        <v>2086.3000000000002</v>
      </c>
    </row>
    <row r="562" spans="2:6" x14ac:dyDescent="0.25">
      <c r="B562" s="13" t="s">
        <v>1238</v>
      </c>
      <c r="C562" s="15" t="s">
        <v>104</v>
      </c>
      <c r="D562" s="13" t="s">
        <v>470</v>
      </c>
      <c r="E562" s="13" t="s">
        <v>1239</v>
      </c>
      <c r="F562" s="43">
        <v>2215.8000000000002</v>
      </c>
    </row>
    <row r="563" spans="2:6" x14ac:dyDescent="0.25">
      <c r="B563" s="13" t="s">
        <v>1240</v>
      </c>
      <c r="C563" s="15" t="s">
        <v>104</v>
      </c>
      <c r="D563" s="13" t="s">
        <v>470</v>
      </c>
      <c r="E563" s="13" t="s">
        <v>1241</v>
      </c>
      <c r="F563" s="43">
        <v>2330.87</v>
      </c>
    </row>
    <row r="564" spans="2:6" x14ac:dyDescent="0.25">
      <c r="B564" s="13" t="s">
        <v>1242</v>
      </c>
      <c r="C564" s="15" t="s">
        <v>104</v>
      </c>
      <c r="D564" s="13" t="s">
        <v>470</v>
      </c>
      <c r="E564" s="13" t="s">
        <v>1243</v>
      </c>
      <c r="F564" s="43">
        <v>2605.98</v>
      </c>
    </row>
    <row r="565" spans="2:6" x14ac:dyDescent="0.25">
      <c r="B565" s="13" t="s">
        <v>1244</v>
      </c>
      <c r="C565" s="15" t="s">
        <v>104</v>
      </c>
      <c r="D565" s="13" t="s">
        <v>470</v>
      </c>
      <c r="E565" s="13" t="s">
        <v>1245</v>
      </c>
      <c r="F565" s="43">
        <v>3275.65</v>
      </c>
    </row>
    <row r="566" spans="2:6" x14ac:dyDescent="0.25">
      <c r="B566" s="13" t="s">
        <v>1246</v>
      </c>
      <c r="C566" s="15" t="s">
        <v>104</v>
      </c>
      <c r="D566" s="13" t="s">
        <v>470</v>
      </c>
      <c r="E566" s="13" t="s">
        <v>1247</v>
      </c>
      <c r="F566" s="43">
        <v>3826.68</v>
      </c>
    </row>
    <row r="567" spans="2:6" x14ac:dyDescent="0.25">
      <c r="B567" s="13" t="s">
        <v>1248</v>
      </c>
      <c r="C567" s="15" t="s">
        <v>104</v>
      </c>
      <c r="D567" s="13" t="s">
        <v>470</v>
      </c>
      <c r="E567" s="13" t="s">
        <v>1249</v>
      </c>
      <c r="F567" s="43">
        <v>2230.19</v>
      </c>
    </row>
    <row r="568" spans="2:6" x14ac:dyDescent="0.25">
      <c r="B568" s="13" t="s">
        <v>1250</v>
      </c>
      <c r="C568" s="15" t="s">
        <v>104</v>
      </c>
      <c r="D568" s="13" t="s">
        <v>470</v>
      </c>
      <c r="E568" s="13" t="s">
        <v>1251</v>
      </c>
      <c r="F568" s="43">
        <v>2330.87</v>
      </c>
    </row>
    <row r="569" spans="2:6" x14ac:dyDescent="0.25">
      <c r="B569" s="13" t="s">
        <v>1252</v>
      </c>
      <c r="C569" s="15" t="s">
        <v>104</v>
      </c>
      <c r="D569" s="13" t="s">
        <v>470</v>
      </c>
      <c r="E569" s="13" t="s">
        <v>1253</v>
      </c>
      <c r="F569" s="43">
        <v>2431.63</v>
      </c>
    </row>
    <row r="570" spans="2:6" x14ac:dyDescent="0.25">
      <c r="B570" s="13" t="s">
        <v>1254</v>
      </c>
      <c r="C570" s="15" t="s">
        <v>104</v>
      </c>
      <c r="D570" s="13" t="s">
        <v>470</v>
      </c>
      <c r="E570" s="13" t="s">
        <v>1255</v>
      </c>
      <c r="F570" s="43">
        <v>2625.88</v>
      </c>
    </row>
    <row r="571" spans="2:6" x14ac:dyDescent="0.25">
      <c r="B571" s="13" t="s">
        <v>1256</v>
      </c>
      <c r="C571" s="15" t="s">
        <v>104</v>
      </c>
      <c r="D571" s="13" t="s">
        <v>470</v>
      </c>
      <c r="E571" s="13" t="s">
        <v>1257</v>
      </c>
      <c r="F571" s="43">
        <v>3309.31</v>
      </c>
    </row>
    <row r="572" spans="2:6" x14ac:dyDescent="0.25">
      <c r="B572" s="13" t="s">
        <v>1258</v>
      </c>
      <c r="C572" s="15" t="s">
        <v>104</v>
      </c>
      <c r="D572" s="13" t="s">
        <v>470</v>
      </c>
      <c r="E572" s="13" t="s">
        <v>1259</v>
      </c>
      <c r="F572" s="43">
        <v>3884.82</v>
      </c>
    </row>
    <row r="573" spans="2:6" x14ac:dyDescent="0.25">
      <c r="B573" s="13" t="s">
        <v>1260</v>
      </c>
      <c r="C573" s="15" t="s">
        <v>104</v>
      </c>
      <c r="D573" s="13" t="s">
        <v>470</v>
      </c>
      <c r="E573" s="13" t="s">
        <v>1261</v>
      </c>
      <c r="F573" s="43">
        <v>701.55</v>
      </c>
    </row>
    <row r="574" spans="2:6" x14ac:dyDescent="0.25">
      <c r="B574" s="13" t="s">
        <v>1262</v>
      </c>
      <c r="C574" s="15" t="s">
        <v>104</v>
      </c>
      <c r="D574" s="13" t="s">
        <v>470</v>
      </c>
      <c r="E574" s="13" t="s">
        <v>1263</v>
      </c>
      <c r="F574" s="43">
        <v>710.06</v>
      </c>
    </row>
    <row r="575" spans="2:6" x14ac:dyDescent="0.25">
      <c r="B575" s="13" t="s">
        <v>1264</v>
      </c>
      <c r="C575" s="15" t="s">
        <v>104</v>
      </c>
      <c r="D575" s="13" t="s">
        <v>470</v>
      </c>
      <c r="E575" s="13" t="s">
        <v>1265</v>
      </c>
      <c r="F575" s="43">
        <v>802.98</v>
      </c>
    </row>
    <row r="576" spans="2:6" x14ac:dyDescent="0.25">
      <c r="B576" s="13" t="s">
        <v>1266</v>
      </c>
      <c r="C576" s="15" t="s">
        <v>104</v>
      </c>
      <c r="D576" s="13" t="s">
        <v>470</v>
      </c>
      <c r="E576" s="13" t="s">
        <v>1267</v>
      </c>
      <c r="F576" s="43">
        <v>144.16999999999999</v>
      </c>
    </row>
    <row r="577" spans="2:6" x14ac:dyDescent="0.25">
      <c r="B577" s="13" t="s">
        <v>1268</v>
      </c>
      <c r="C577" s="15" t="s">
        <v>104</v>
      </c>
      <c r="D577" s="13" t="s">
        <v>470</v>
      </c>
      <c r="E577" s="13" t="s">
        <v>1269</v>
      </c>
      <c r="F577" s="43">
        <v>161.94</v>
      </c>
    </row>
    <row r="578" spans="2:6" x14ac:dyDescent="0.25">
      <c r="B578" s="13" t="s">
        <v>1270</v>
      </c>
      <c r="C578" s="15" t="s">
        <v>104</v>
      </c>
      <c r="D578" s="13" t="s">
        <v>470</v>
      </c>
      <c r="E578" s="13" t="s">
        <v>1271</v>
      </c>
      <c r="F578" s="43">
        <v>194.91</v>
      </c>
    </row>
    <row r="579" spans="2:6" x14ac:dyDescent="0.25">
      <c r="B579" s="13" t="s">
        <v>1272</v>
      </c>
      <c r="C579" s="15" t="s">
        <v>104</v>
      </c>
      <c r="D579" s="13" t="s">
        <v>470</v>
      </c>
      <c r="E579" s="13" t="s">
        <v>1273</v>
      </c>
      <c r="F579" s="43">
        <v>94.3</v>
      </c>
    </row>
    <row r="580" spans="2:6" x14ac:dyDescent="0.25">
      <c r="B580" s="13" t="s">
        <v>1274</v>
      </c>
      <c r="C580" s="15" t="s">
        <v>104</v>
      </c>
      <c r="D580" s="13" t="s">
        <v>470</v>
      </c>
      <c r="E580" s="13" t="s">
        <v>1275</v>
      </c>
      <c r="F580" s="43">
        <v>119.04</v>
      </c>
    </row>
    <row r="581" spans="2:6" x14ac:dyDescent="0.25">
      <c r="B581" s="13" t="s">
        <v>1276</v>
      </c>
      <c r="C581" s="15" t="s">
        <v>104</v>
      </c>
      <c r="D581" s="13" t="s">
        <v>470</v>
      </c>
      <c r="E581" s="13" t="s">
        <v>1277</v>
      </c>
      <c r="F581" s="43">
        <v>167.68</v>
      </c>
    </row>
    <row r="582" spans="2:6" x14ac:dyDescent="0.25">
      <c r="B582" s="13" t="s">
        <v>1278</v>
      </c>
      <c r="C582" s="15" t="s">
        <v>104</v>
      </c>
      <c r="D582" s="13" t="s">
        <v>470</v>
      </c>
      <c r="E582" s="13" t="s">
        <v>1279</v>
      </c>
      <c r="F582" s="43">
        <v>431.72</v>
      </c>
    </row>
    <row r="583" spans="2:6" x14ac:dyDescent="0.25">
      <c r="B583" s="13" t="s">
        <v>1280</v>
      </c>
      <c r="C583" s="15" t="s">
        <v>104</v>
      </c>
      <c r="D583" s="13" t="s">
        <v>470</v>
      </c>
      <c r="E583" s="13" t="s">
        <v>1281</v>
      </c>
      <c r="F583" s="43">
        <v>431.72</v>
      </c>
    </row>
    <row r="584" spans="2:6" x14ac:dyDescent="0.25">
      <c r="B584" s="13" t="s">
        <v>1282</v>
      </c>
      <c r="C584" s="15" t="s">
        <v>104</v>
      </c>
      <c r="D584" s="13" t="s">
        <v>470</v>
      </c>
      <c r="E584" s="13" t="s">
        <v>1283</v>
      </c>
      <c r="F584" s="43">
        <v>447.68</v>
      </c>
    </row>
    <row r="585" spans="2:6" x14ac:dyDescent="0.25">
      <c r="B585" s="13" t="s">
        <v>1284</v>
      </c>
      <c r="C585" s="15" t="s">
        <v>104</v>
      </c>
      <c r="D585" s="13" t="s">
        <v>470</v>
      </c>
      <c r="E585" s="13" t="s">
        <v>1285</v>
      </c>
      <c r="F585" s="43">
        <v>447.68</v>
      </c>
    </row>
    <row r="586" spans="2:6" x14ac:dyDescent="0.25">
      <c r="B586" s="13" t="s">
        <v>1286</v>
      </c>
      <c r="C586" s="15" t="s">
        <v>104</v>
      </c>
      <c r="D586" s="13" t="s">
        <v>470</v>
      </c>
      <c r="E586" s="13" t="s">
        <v>1287</v>
      </c>
      <c r="F586" s="43">
        <v>463.73</v>
      </c>
    </row>
    <row r="587" spans="2:6" x14ac:dyDescent="0.25">
      <c r="B587" s="13" t="s">
        <v>1288</v>
      </c>
      <c r="C587" s="15" t="s">
        <v>104</v>
      </c>
      <c r="D587" s="13" t="s">
        <v>470</v>
      </c>
      <c r="E587" s="13" t="s">
        <v>1289</v>
      </c>
      <c r="F587" s="43">
        <v>463.73</v>
      </c>
    </row>
    <row r="588" spans="2:6" x14ac:dyDescent="0.25">
      <c r="B588" s="13" t="s">
        <v>1290</v>
      </c>
      <c r="C588" s="15" t="s">
        <v>104</v>
      </c>
      <c r="D588" s="13" t="s">
        <v>470</v>
      </c>
      <c r="E588" s="13" t="s">
        <v>1291</v>
      </c>
      <c r="F588" s="43">
        <v>609.11</v>
      </c>
    </row>
    <row r="589" spans="2:6" x14ac:dyDescent="0.25">
      <c r="B589" s="13" t="s">
        <v>1292</v>
      </c>
      <c r="C589" s="15" t="s">
        <v>104</v>
      </c>
      <c r="D589" s="13" t="s">
        <v>470</v>
      </c>
      <c r="E589" s="13" t="s">
        <v>1293</v>
      </c>
      <c r="F589" s="43">
        <v>609.11</v>
      </c>
    </row>
    <row r="590" spans="2:6" x14ac:dyDescent="0.25">
      <c r="B590" s="13" t="s">
        <v>1294</v>
      </c>
      <c r="C590" s="15" t="s">
        <v>104</v>
      </c>
      <c r="D590" s="13" t="s">
        <v>470</v>
      </c>
      <c r="E590" s="13" t="s">
        <v>1295</v>
      </c>
      <c r="F590" s="43">
        <v>1479.06</v>
      </c>
    </row>
    <row r="591" spans="2:6" x14ac:dyDescent="0.25">
      <c r="B591" s="13" t="s">
        <v>1296</v>
      </c>
      <c r="C591" s="15" t="s">
        <v>104</v>
      </c>
      <c r="D591" s="13" t="s">
        <v>470</v>
      </c>
      <c r="E591" s="13" t="s">
        <v>1297</v>
      </c>
      <c r="F591" s="43">
        <v>1479.06</v>
      </c>
    </row>
    <row r="592" spans="2:6" x14ac:dyDescent="0.25">
      <c r="B592" s="13" t="s">
        <v>1298</v>
      </c>
      <c r="C592" s="15" t="s">
        <v>104</v>
      </c>
      <c r="D592" s="13" t="s">
        <v>470</v>
      </c>
      <c r="E592" s="13" t="s">
        <v>1299</v>
      </c>
      <c r="F592" s="43">
        <v>1629.95</v>
      </c>
    </row>
    <row r="593" spans="2:6" x14ac:dyDescent="0.25">
      <c r="B593" s="13" t="s">
        <v>1300</v>
      </c>
      <c r="C593" s="15" t="s">
        <v>104</v>
      </c>
      <c r="D593" s="13" t="s">
        <v>470</v>
      </c>
      <c r="E593" s="13" t="s">
        <v>1301</v>
      </c>
      <c r="F593" s="43">
        <v>1629.95</v>
      </c>
    </row>
    <row r="594" spans="2:6" x14ac:dyDescent="0.25">
      <c r="B594" s="13" t="s">
        <v>1302</v>
      </c>
      <c r="C594" s="15" t="s">
        <v>104</v>
      </c>
      <c r="D594" s="13" t="s">
        <v>470</v>
      </c>
      <c r="E594" s="13" t="s">
        <v>1303</v>
      </c>
      <c r="F594" s="43">
        <v>43.12</v>
      </c>
    </row>
    <row r="595" spans="2:6" x14ac:dyDescent="0.25">
      <c r="B595" s="13" t="s">
        <v>1304</v>
      </c>
      <c r="C595" s="15" t="s">
        <v>104</v>
      </c>
      <c r="D595" s="13" t="s">
        <v>470</v>
      </c>
      <c r="E595" s="13" t="s">
        <v>1305</v>
      </c>
      <c r="F595" s="43">
        <v>50.6</v>
      </c>
    </row>
    <row r="596" spans="2:6" x14ac:dyDescent="0.25">
      <c r="B596" s="13" t="s">
        <v>1306</v>
      </c>
      <c r="C596" s="15" t="s">
        <v>104</v>
      </c>
      <c r="D596" s="13" t="s">
        <v>470</v>
      </c>
      <c r="E596" s="13" t="s">
        <v>1307</v>
      </c>
      <c r="F596" s="43">
        <v>67.489999999999995</v>
      </c>
    </row>
    <row r="597" spans="2:6" x14ac:dyDescent="0.25">
      <c r="B597" s="13" t="s">
        <v>1308</v>
      </c>
      <c r="C597" s="15" t="s">
        <v>104</v>
      </c>
      <c r="D597" s="13" t="s">
        <v>470</v>
      </c>
      <c r="E597" s="13" t="s">
        <v>1309</v>
      </c>
      <c r="F597" s="43">
        <v>85.34</v>
      </c>
    </row>
    <row r="598" spans="2:6" x14ac:dyDescent="0.25">
      <c r="B598" s="13" t="s">
        <v>1310</v>
      </c>
      <c r="C598" s="15" t="s">
        <v>104</v>
      </c>
      <c r="D598" s="13" t="s">
        <v>470</v>
      </c>
      <c r="E598" s="13" t="s">
        <v>1311</v>
      </c>
      <c r="F598" s="43">
        <v>115.53</v>
      </c>
    </row>
    <row r="599" spans="2:6" x14ac:dyDescent="0.25">
      <c r="B599" s="13" t="s">
        <v>1312</v>
      </c>
      <c r="C599" s="15" t="s">
        <v>104</v>
      </c>
      <c r="D599" s="13" t="s">
        <v>470</v>
      </c>
      <c r="E599" s="13" t="s">
        <v>1313</v>
      </c>
      <c r="F599" s="43">
        <v>170.01</v>
      </c>
    </row>
    <row r="600" spans="2:6" x14ac:dyDescent="0.25">
      <c r="B600" s="13" t="s">
        <v>1314</v>
      </c>
      <c r="C600" s="15" t="s">
        <v>104</v>
      </c>
      <c r="D600" s="13" t="s">
        <v>470</v>
      </c>
      <c r="E600" s="13" t="s">
        <v>1315</v>
      </c>
      <c r="F600" s="43">
        <v>284.27</v>
      </c>
    </row>
    <row r="601" spans="2:6" x14ac:dyDescent="0.25">
      <c r="B601" s="13" t="s">
        <v>1316</v>
      </c>
      <c r="C601" s="15" t="s">
        <v>104</v>
      </c>
      <c r="D601" s="13" t="s">
        <v>470</v>
      </c>
      <c r="E601" s="13" t="s">
        <v>1317</v>
      </c>
      <c r="F601" s="43">
        <v>469.04</v>
      </c>
    </row>
    <row r="602" spans="2:6" x14ac:dyDescent="0.25">
      <c r="B602" s="13" t="s">
        <v>1318</v>
      </c>
      <c r="C602" s="15" t="s">
        <v>104</v>
      </c>
      <c r="D602" s="13" t="s">
        <v>470</v>
      </c>
      <c r="E602" s="13" t="s">
        <v>1319</v>
      </c>
      <c r="F602" s="43">
        <v>638.03</v>
      </c>
    </row>
    <row r="603" spans="2:6" x14ac:dyDescent="0.25">
      <c r="B603" s="13" t="s">
        <v>1320</v>
      </c>
      <c r="C603" s="15" t="s">
        <v>104</v>
      </c>
      <c r="D603" s="13" t="s">
        <v>470</v>
      </c>
      <c r="E603" s="13" t="s">
        <v>1321</v>
      </c>
      <c r="F603" s="43">
        <v>169.26</v>
      </c>
    </row>
    <row r="604" spans="2:6" x14ac:dyDescent="0.25">
      <c r="B604" s="13" t="s">
        <v>1322</v>
      </c>
      <c r="C604" s="15" t="s">
        <v>104</v>
      </c>
      <c r="D604" s="13" t="s">
        <v>470</v>
      </c>
      <c r="E604" s="13" t="s">
        <v>1323</v>
      </c>
      <c r="F604" s="43">
        <v>199.2</v>
      </c>
    </row>
    <row r="605" spans="2:6" x14ac:dyDescent="0.25">
      <c r="B605" s="13" t="s">
        <v>1324</v>
      </c>
      <c r="C605" s="15" t="s">
        <v>104</v>
      </c>
      <c r="D605" s="13" t="s">
        <v>470</v>
      </c>
      <c r="E605" s="13" t="s">
        <v>1325</v>
      </c>
      <c r="F605" s="43">
        <v>244.14</v>
      </c>
    </row>
    <row r="606" spans="2:6" x14ac:dyDescent="0.25">
      <c r="B606" s="13" t="s">
        <v>1326</v>
      </c>
      <c r="C606" s="15" t="s">
        <v>104</v>
      </c>
      <c r="D606" s="13" t="s">
        <v>470</v>
      </c>
      <c r="E606" s="13" t="s">
        <v>1327</v>
      </c>
      <c r="F606" s="43">
        <v>316.83</v>
      </c>
    </row>
    <row r="607" spans="2:6" x14ac:dyDescent="0.25">
      <c r="B607" s="13" t="s">
        <v>1328</v>
      </c>
      <c r="C607" s="15" t="s">
        <v>104</v>
      </c>
      <c r="D607" s="13" t="s">
        <v>470</v>
      </c>
      <c r="E607" s="13" t="s">
        <v>1329</v>
      </c>
      <c r="F607" s="43">
        <v>438.15</v>
      </c>
    </row>
    <row r="608" spans="2:6" x14ac:dyDescent="0.25">
      <c r="B608" s="13" t="s">
        <v>1330</v>
      </c>
      <c r="C608" s="15" t="s">
        <v>104</v>
      </c>
      <c r="D608" s="13" t="s">
        <v>470</v>
      </c>
      <c r="E608" s="13" t="s">
        <v>1331</v>
      </c>
      <c r="F608" s="43">
        <v>562.23</v>
      </c>
    </row>
    <row r="609" spans="2:6" x14ac:dyDescent="0.25">
      <c r="B609" s="13" t="s">
        <v>1332</v>
      </c>
      <c r="C609" s="15" t="s">
        <v>104</v>
      </c>
      <c r="D609" s="13" t="s">
        <v>470</v>
      </c>
      <c r="E609" s="13" t="s">
        <v>1333</v>
      </c>
      <c r="F609" s="43">
        <v>1079.49</v>
      </c>
    </row>
    <row r="610" spans="2:6" x14ac:dyDescent="0.25">
      <c r="B610" s="13" t="s">
        <v>1334</v>
      </c>
      <c r="C610" s="15" t="s">
        <v>104</v>
      </c>
      <c r="D610" s="13" t="s">
        <v>470</v>
      </c>
      <c r="E610" s="13" t="s">
        <v>1335</v>
      </c>
      <c r="F610" s="43">
        <v>1810.71</v>
      </c>
    </row>
    <row r="611" spans="2:6" x14ac:dyDescent="0.25">
      <c r="B611" s="13" t="s">
        <v>1336</v>
      </c>
      <c r="C611" s="15" t="s">
        <v>104</v>
      </c>
      <c r="D611" s="13" t="s">
        <v>470</v>
      </c>
      <c r="E611" s="13" t="s">
        <v>1337</v>
      </c>
      <c r="F611" s="43">
        <v>2809.77</v>
      </c>
    </row>
    <row r="612" spans="2:6" x14ac:dyDescent="0.25">
      <c r="B612" s="13" t="s">
        <v>1338</v>
      </c>
      <c r="C612" s="15" t="s">
        <v>104</v>
      </c>
      <c r="D612" s="13" t="s">
        <v>470</v>
      </c>
      <c r="E612" s="13" t="s">
        <v>1339</v>
      </c>
      <c r="F612" s="43">
        <v>71.58</v>
      </c>
    </row>
    <row r="613" spans="2:6" x14ac:dyDescent="0.25">
      <c r="B613" s="13" t="s">
        <v>1340</v>
      </c>
      <c r="C613" s="15" t="s">
        <v>104</v>
      </c>
      <c r="D613" s="13" t="s">
        <v>470</v>
      </c>
      <c r="E613" s="13" t="s">
        <v>1341</v>
      </c>
      <c r="F613" s="43">
        <v>76.92</v>
      </c>
    </row>
    <row r="614" spans="2:6" x14ac:dyDescent="0.25">
      <c r="B614" s="13" t="s">
        <v>1342</v>
      </c>
      <c r="C614" s="15" t="s">
        <v>104</v>
      </c>
      <c r="D614" s="13" t="s">
        <v>470</v>
      </c>
      <c r="E614" s="13" t="s">
        <v>1343</v>
      </c>
      <c r="F614" s="43">
        <v>94.74</v>
      </c>
    </row>
    <row r="615" spans="2:6" x14ac:dyDescent="0.25">
      <c r="B615" s="13" t="s">
        <v>1344</v>
      </c>
      <c r="C615" s="15" t="s">
        <v>104</v>
      </c>
      <c r="D615" s="13" t="s">
        <v>470</v>
      </c>
      <c r="E615" s="13" t="s">
        <v>1345</v>
      </c>
      <c r="F615" s="43">
        <v>124.47</v>
      </c>
    </row>
    <row r="616" spans="2:6" x14ac:dyDescent="0.25">
      <c r="B616" s="13" t="s">
        <v>1346</v>
      </c>
      <c r="C616" s="15" t="s">
        <v>104</v>
      </c>
      <c r="D616" s="13" t="s">
        <v>470</v>
      </c>
      <c r="E616" s="13" t="s">
        <v>1347</v>
      </c>
      <c r="F616" s="43">
        <v>173.7</v>
      </c>
    </row>
    <row r="617" spans="2:6" x14ac:dyDescent="0.25">
      <c r="B617" s="13" t="s">
        <v>1348</v>
      </c>
      <c r="C617" s="15" t="s">
        <v>104</v>
      </c>
      <c r="D617" s="13" t="s">
        <v>470</v>
      </c>
      <c r="E617" s="13" t="s">
        <v>1349</v>
      </c>
      <c r="F617" s="43">
        <v>223.23</v>
      </c>
    </row>
    <row r="618" spans="2:6" x14ac:dyDescent="0.25">
      <c r="B618" s="13" t="s">
        <v>1350</v>
      </c>
      <c r="C618" s="15" t="s">
        <v>104</v>
      </c>
      <c r="D618" s="13" t="s">
        <v>470</v>
      </c>
      <c r="E618" s="13" t="s">
        <v>1351</v>
      </c>
      <c r="F618" s="43">
        <v>291.75</v>
      </c>
    </row>
    <row r="619" spans="2:6" x14ac:dyDescent="0.25">
      <c r="B619" s="13" t="s">
        <v>1352</v>
      </c>
      <c r="C619" s="15" t="s">
        <v>104</v>
      </c>
      <c r="D619" s="13" t="s">
        <v>470</v>
      </c>
      <c r="E619" s="13" t="s">
        <v>1353</v>
      </c>
      <c r="F619" s="43">
        <v>503.91</v>
      </c>
    </row>
    <row r="620" spans="2:6" x14ac:dyDescent="0.25">
      <c r="B620" s="13" t="s">
        <v>1354</v>
      </c>
      <c r="C620" s="15" t="s">
        <v>104</v>
      </c>
      <c r="D620" s="13" t="s">
        <v>470</v>
      </c>
      <c r="E620" s="13" t="s">
        <v>1355</v>
      </c>
      <c r="F620" s="43">
        <v>811.92</v>
      </c>
    </row>
    <row r="621" spans="2:6" x14ac:dyDescent="0.25">
      <c r="B621" s="13" t="s">
        <v>1356</v>
      </c>
      <c r="C621" s="15" t="s">
        <v>104</v>
      </c>
      <c r="D621" s="13" t="s">
        <v>470</v>
      </c>
      <c r="E621" s="13" t="s">
        <v>1357</v>
      </c>
      <c r="F621" s="43">
        <v>1478.31</v>
      </c>
    </row>
    <row r="622" spans="2:6" x14ac:dyDescent="0.25">
      <c r="B622" s="13" t="s">
        <v>1358</v>
      </c>
      <c r="C622" s="15" t="s">
        <v>104</v>
      </c>
      <c r="D622" s="13" t="s">
        <v>470</v>
      </c>
      <c r="E622" s="13" t="s">
        <v>1359</v>
      </c>
      <c r="F622" s="43">
        <v>29.58</v>
      </c>
    </row>
    <row r="623" spans="2:6" x14ac:dyDescent="0.25">
      <c r="B623" s="13" t="s">
        <v>1360</v>
      </c>
      <c r="C623" s="15" t="s">
        <v>104</v>
      </c>
      <c r="D623" s="13" t="s">
        <v>470</v>
      </c>
      <c r="E623" s="13" t="s">
        <v>1361</v>
      </c>
      <c r="F623" s="43">
        <v>36.950000000000003</v>
      </c>
    </row>
    <row r="624" spans="2:6" x14ac:dyDescent="0.25">
      <c r="B624" s="13" t="s">
        <v>1362</v>
      </c>
      <c r="C624" s="15" t="s">
        <v>104</v>
      </c>
      <c r="D624" s="13" t="s">
        <v>470</v>
      </c>
      <c r="E624" s="13" t="s">
        <v>1363</v>
      </c>
      <c r="F624" s="43">
        <v>48.55</v>
      </c>
    </row>
    <row r="625" spans="2:6" x14ac:dyDescent="0.25">
      <c r="B625" s="13" t="s">
        <v>1364</v>
      </c>
      <c r="C625" s="15" t="s">
        <v>104</v>
      </c>
      <c r="D625" s="13" t="s">
        <v>470</v>
      </c>
      <c r="E625" s="13" t="s">
        <v>1365</v>
      </c>
      <c r="F625" s="43">
        <v>15.38</v>
      </c>
    </row>
    <row r="626" spans="2:6" x14ac:dyDescent="0.25">
      <c r="B626" s="13" t="s">
        <v>1366</v>
      </c>
      <c r="C626" s="15" t="s">
        <v>104</v>
      </c>
      <c r="D626" s="13" t="s">
        <v>470</v>
      </c>
      <c r="E626" s="13" t="s">
        <v>1367</v>
      </c>
      <c r="F626" s="43">
        <v>19.28</v>
      </c>
    </row>
    <row r="627" spans="2:6" x14ac:dyDescent="0.25">
      <c r="B627" s="13" t="s">
        <v>1368</v>
      </c>
      <c r="C627" s="15" t="s">
        <v>104</v>
      </c>
      <c r="D627" s="13" t="s">
        <v>470</v>
      </c>
      <c r="E627" s="13" t="s">
        <v>1369</v>
      </c>
      <c r="F627" s="43">
        <v>25.52</v>
      </c>
    </row>
    <row r="628" spans="2:6" x14ac:dyDescent="0.25">
      <c r="B628" s="13" t="s">
        <v>1370</v>
      </c>
      <c r="C628" s="15" t="s">
        <v>104</v>
      </c>
      <c r="D628" s="13" t="s">
        <v>470</v>
      </c>
      <c r="E628" s="13" t="s">
        <v>1371</v>
      </c>
      <c r="F628" s="43">
        <v>39.729999999999997</v>
      </c>
    </row>
    <row r="629" spans="2:6" x14ac:dyDescent="0.25">
      <c r="B629" s="13" t="s">
        <v>1372</v>
      </c>
      <c r="C629" s="15" t="s">
        <v>104</v>
      </c>
      <c r="D629" s="13" t="s">
        <v>470</v>
      </c>
      <c r="E629" s="13" t="s">
        <v>1373</v>
      </c>
      <c r="F629" s="43">
        <v>54.41</v>
      </c>
    </row>
    <row r="630" spans="2:6" x14ac:dyDescent="0.25">
      <c r="B630" s="13" t="s">
        <v>1374</v>
      </c>
      <c r="C630" s="15" t="s">
        <v>104</v>
      </c>
      <c r="D630" s="13" t="s">
        <v>470</v>
      </c>
      <c r="E630" s="13" t="s">
        <v>1375</v>
      </c>
      <c r="F630" s="43">
        <v>78</v>
      </c>
    </row>
    <row r="631" spans="2:6" x14ac:dyDescent="0.25">
      <c r="B631" s="13" t="s">
        <v>1376</v>
      </c>
      <c r="C631" s="15" t="s">
        <v>104</v>
      </c>
      <c r="D631" s="13" t="s">
        <v>470</v>
      </c>
      <c r="E631" s="13" t="s">
        <v>1377</v>
      </c>
      <c r="F631" s="43">
        <v>116.15</v>
      </c>
    </row>
    <row r="632" spans="2:6" x14ac:dyDescent="0.25">
      <c r="B632" s="13" t="s">
        <v>1378</v>
      </c>
      <c r="C632" s="15" t="s">
        <v>104</v>
      </c>
      <c r="D632" s="13" t="s">
        <v>470</v>
      </c>
      <c r="E632" s="13" t="s">
        <v>1379</v>
      </c>
      <c r="F632" s="43">
        <v>165</v>
      </c>
    </row>
    <row r="633" spans="2:6" x14ac:dyDescent="0.25">
      <c r="B633" s="13" t="s">
        <v>1380</v>
      </c>
      <c r="C633" s="15" t="s">
        <v>104</v>
      </c>
      <c r="D633" s="13" t="s">
        <v>470</v>
      </c>
      <c r="E633" s="13" t="s">
        <v>1381</v>
      </c>
      <c r="F633" s="43">
        <v>242.65</v>
      </c>
    </row>
    <row r="634" spans="2:6" x14ac:dyDescent="0.25">
      <c r="B634" s="13" t="s">
        <v>1382</v>
      </c>
      <c r="C634" s="15" t="s">
        <v>104</v>
      </c>
      <c r="D634" s="13" t="s">
        <v>470</v>
      </c>
      <c r="E634" s="13" t="s">
        <v>1383</v>
      </c>
      <c r="F634" s="43">
        <v>513.14</v>
      </c>
    </row>
    <row r="635" spans="2:6" x14ac:dyDescent="0.25">
      <c r="B635" s="13" t="s">
        <v>1384</v>
      </c>
      <c r="C635" s="15" t="s">
        <v>104</v>
      </c>
      <c r="D635" s="13" t="s">
        <v>470</v>
      </c>
      <c r="E635" s="13" t="s">
        <v>1385</v>
      </c>
      <c r="F635" s="43">
        <v>723.12</v>
      </c>
    </row>
    <row r="636" spans="2:6" x14ac:dyDescent="0.25">
      <c r="B636" s="13" t="s">
        <v>1386</v>
      </c>
      <c r="C636" s="15" t="s">
        <v>104</v>
      </c>
      <c r="D636" s="13" t="s">
        <v>470</v>
      </c>
      <c r="E636" s="13" t="s">
        <v>1387</v>
      </c>
      <c r="F636" s="43">
        <v>1425.73</v>
      </c>
    </row>
    <row r="637" spans="2:6" x14ac:dyDescent="0.25">
      <c r="B637" s="13" t="s">
        <v>1388</v>
      </c>
      <c r="C637" s="15" t="s">
        <v>104</v>
      </c>
      <c r="D637" s="13" t="s">
        <v>470</v>
      </c>
      <c r="E637" s="13" t="s">
        <v>1389</v>
      </c>
      <c r="F637" s="43">
        <v>25.33</v>
      </c>
    </row>
    <row r="638" spans="2:6" x14ac:dyDescent="0.25">
      <c r="B638" s="13" t="s">
        <v>1390</v>
      </c>
      <c r="C638" s="15" t="s">
        <v>104</v>
      </c>
      <c r="D638" s="13" t="s">
        <v>470</v>
      </c>
      <c r="E638" s="13" t="s">
        <v>1391</v>
      </c>
      <c r="F638" s="43">
        <v>25.33</v>
      </c>
    </row>
    <row r="639" spans="2:6" x14ac:dyDescent="0.25">
      <c r="B639" s="13" t="s">
        <v>1392</v>
      </c>
      <c r="C639" s="15" t="s">
        <v>104</v>
      </c>
      <c r="D639" s="13" t="s">
        <v>470</v>
      </c>
      <c r="E639" s="13" t="s">
        <v>1393</v>
      </c>
      <c r="F639" s="43">
        <v>26.87</v>
      </c>
    </row>
    <row r="640" spans="2:6" x14ac:dyDescent="0.25">
      <c r="B640" s="13" t="s">
        <v>1394</v>
      </c>
      <c r="C640" s="15" t="s">
        <v>104</v>
      </c>
      <c r="D640" s="13" t="s">
        <v>470</v>
      </c>
      <c r="E640" s="13" t="s">
        <v>1395</v>
      </c>
      <c r="F640" s="43">
        <v>34.31</v>
      </c>
    </row>
    <row r="641" spans="2:6" x14ac:dyDescent="0.25">
      <c r="B641" s="13" t="s">
        <v>1396</v>
      </c>
      <c r="C641" s="15" t="s">
        <v>104</v>
      </c>
      <c r="D641" s="13" t="s">
        <v>470</v>
      </c>
      <c r="E641" s="13" t="s">
        <v>1397</v>
      </c>
      <c r="F641" s="43">
        <v>44.83</v>
      </c>
    </row>
    <row r="642" spans="2:6" x14ac:dyDescent="0.25">
      <c r="B642" s="13" t="s">
        <v>1398</v>
      </c>
      <c r="C642" s="15" t="s">
        <v>104</v>
      </c>
      <c r="D642" s="13" t="s">
        <v>470</v>
      </c>
      <c r="E642" s="13" t="s">
        <v>1399</v>
      </c>
      <c r="F642" s="43">
        <v>64.930000000000007</v>
      </c>
    </row>
    <row r="643" spans="2:6" x14ac:dyDescent="0.25">
      <c r="B643" s="13" t="s">
        <v>1400</v>
      </c>
      <c r="C643" s="15" t="s">
        <v>104</v>
      </c>
      <c r="D643" s="13" t="s">
        <v>470</v>
      </c>
      <c r="E643" s="13" t="s">
        <v>1401</v>
      </c>
      <c r="F643" s="43">
        <v>89.18</v>
      </c>
    </row>
    <row r="644" spans="2:6" x14ac:dyDescent="0.25">
      <c r="B644" s="13" t="s">
        <v>1402</v>
      </c>
      <c r="C644" s="15" t="s">
        <v>104</v>
      </c>
      <c r="D644" s="13" t="s">
        <v>470</v>
      </c>
      <c r="E644" s="13" t="s">
        <v>1403</v>
      </c>
      <c r="F644" s="43">
        <v>119.74</v>
      </c>
    </row>
    <row r="645" spans="2:6" x14ac:dyDescent="0.25">
      <c r="B645" s="13" t="s">
        <v>1404</v>
      </c>
      <c r="C645" s="15" t="s">
        <v>104</v>
      </c>
      <c r="D645" s="13" t="s">
        <v>470</v>
      </c>
      <c r="E645" s="13" t="s">
        <v>1405</v>
      </c>
      <c r="F645" s="43">
        <v>210.49</v>
      </c>
    </row>
    <row r="646" spans="2:6" x14ac:dyDescent="0.25">
      <c r="B646" s="13" t="s">
        <v>1406</v>
      </c>
      <c r="C646" s="15" t="s">
        <v>104</v>
      </c>
      <c r="D646" s="13" t="s">
        <v>470</v>
      </c>
      <c r="E646" s="13" t="s">
        <v>1407</v>
      </c>
      <c r="F646" s="43">
        <v>313.39999999999998</v>
      </c>
    </row>
    <row r="647" spans="2:6" x14ac:dyDescent="0.25">
      <c r="B647" s="13" t="s">
        <v>1408</v>
      </c>
      <c r="C647" s="15" t="s">
        <v>104</v>
      </c>
      <c r="D647" s="13" t="s">
        <v>470</v>
      </c>
      <c r="E647" s="13" t="s">
        <v>1409</v>
      </c>
      <c r="F647" s="43">
        <v>510.65</v>
      </c>
    </row>
    <row r="648" spans="2:6" x14ac:dyDescent="0.25">
      <c r="B648" s="13" t="s">
        <v>1410</v>
      </c>
      <c r="C648" s="15" t="s">
        <v>104</v>
      </c>
      <c r="D648" s="13" t="s">
        <v>470</v>
      </c>
      <c r="E648" s="13" t="s">
        <v>1411</v>
      </c>
      <c r="F648" s="43">
        <v>49.59</v>
      </c>
    </row>
    <row r="649" spans="2:6" x14ac:dyDescent="0.25">
      <c r="B649" s="13" t="s">
        <v>1412</v>
      </c>
      <c r="C649" s="15" t="s">
        <v>104</v>
      </c>
      <c r="D649" s="13" t="s">
        <v>470</v>
      </c>
      <c r="E649" s="13" t="s">
        <v>1413</v>
      </c>
      <c r="F649" s="43">
        <v>61.98</v>
      </c>
    </row>
    <row r="650" spans="2:6" x14ac:dyDescent="0.25">
      <c r="B650" s="13" t="s">
        <v>1414</v>
      </c>
      <c r="C650" s="15" t="s">
        <v>104</v>
      </c>
      <c r="D650" s="13" t="s">
        <v>470</v>
      </c>
      <c r="E650" s="13" t="s">
        <v>1415</v>
      </c>
      <c r="F650" s="43">
        <v>83.49</v>
      </c>
    </row>
    <row r="651" spans="2:6" x14ac:dyDescent="0.25">
      <c r="B651" s="13" t="s">
        <v>1416</v>
      </c>
      <c r="C651" s="15" t="s">
        <v>104</v>
      </c>
      <c r="D651" s="13" t="s">
        <v>470</v>
      </c>
      <c r="E651" s="13" t="s">
        <v>1417</v>
      </c>
      <c r="F651" s="43">
        <v>107.61</v>
      </c>
    </row>
    <row r="652" spans="2:6" x14ac:dyDescent="0.25">
      <c r="B652" s="13" t="s">
        <v>1418</v>
      </c>
      <c r="C652" s="15" t="s">
        <v>104</v>
      </c>
      <c r="D652" s="13" t="s">
        <v>470</v>
      </c>
      <c r="E652" s="13" t="s">
        <v>1419</v>
      </c>
      <c r="F652" s="43">
        <v>154.22999999999999</v>
      </c>
    </row>
    <row r="653" spans="2:6" x14ac:dyDescent="0.25">
      <c r="B653" s="13" t="s">
        <v>1420</v>
      </c>
      <c r="C653" s="15" t="s">
        <v>104</v>
      </c>
      <c r="D653" s="13" t="s">
        <v>470</v>
      </c>
      <c r="E653" s="13" t="s">
        <v>1421</v>
      </c>
      <c r="F653" s="43">
        <v>187.68</v>
      </c>
    </row>
    <row r="654" spans="2:6" x14ac:dyDescent="0.25">
      <c r="B654" s="13" t="s">
        <v>1422</v>
      </c>
      <c r="C654" s="15" t="s">
        <v>104</v>
      </c>
      <c r="D654" s="13" t="s">
        <v>470</v>
      </c>
      <c r="E654" s="13" t="s">
        <v>1423</v>
      </c>
      <c r="F654" s="43">
        <v>41.37</v>
      </c>
    </row>
    <row r="655" spans="2:6" x14ac:dyDescent="0.25">
      <c r="B655" s="13" t="s">
        <v>1424</v>
      </c>
      <c r="C655" s="15" t="s">
        <v>104</v>
      </c>
      <c r="D655" s="13" t="s">
        <v>470</v>
      </c>
      <c r="E655" s="13" t="s">
        <v>1425</v>
      </c>
      <c r="F655" s="43">
        <v>41.37</v>
      </c>
    </row>
    <row r="656" spans="2:6" x14ac:dyDescent="0.25">
      <c r="B656" s="13" t="s">
        <v>1426</v>
      </c>
      <c r="C656" s="15" t="s">
        <v>104</v>
      </c>
      <c r="D656" s="13" t="s">
        <v>470</v>
      </c>
      <c r="E656" s="13" t="s">
        <v>1427</v>
      </c>
      <c r="F656" s="43">
        <v>38.700000000000003</v>
      </c>
    </row>
    <row r="657" spans="2:6" x14ac:dyDescent="0.25">
      <c r="B657" s="13" t="s">
        <v>1428</v>
      </c>
      <c r="C657" s="15" t="s">
        <v>104</v>
      </c>
      <c r="D657" s="13" t="s">
        <v>470</v>
      </c>
      <c r="E657" s="13" t="s">
        <v>1429</v>
      </c>
      <c r="F657" s="43">
        <v>47.55</v>
      </c>
    </row>
    <row r="658" spans="2:6" x14ac:dyDescent="0.25">
      <c r="B658" s="13" t="s">
        <v>1430</v>
      </c>
      <c r="C658" s="15" t="s">
        <v>104</v>
      </c>
      <c r="D658" s="13" t="s">
        <v>470</v>
      </c>
      <c r="E658" s="13" t="s">
        <v>1431</v>
      </c>
      <c r="F658" s="43">
        <v>54.51</v>
      </c>
    </row>
    <row r="659" spans="2:6" x14ac:dyDescent="0.25">
      <c r="B659" s="13" t="s">
        <v>1432</v>
      </c>
      <c r="C659" s="15" t="s">
        <v>104</v>
      </c>
      <c r="D659" s="13" t="s">
        <v>470</v>
      </c>
      <c r="E659" s="13" t="s">
        <v>1433</v>
      </c>
      <c r="F659" s="43">
        <v>74.040000000000006</v>
      </c>
    </row>
    <row r="660" spans="2:6" x14ac:dyDescent="0.25">
      <c r="B660" s="13" t="s">
        <v>1434</v>
      </c>
      <c r="C660" s="15" t="s">
        <v>104</v>
      </c>
      <c r="D660" s="13" t="s">
        <v>470</v>
      </c>
      <c r="E660" s="13" t="s">
        <v>1435</v>
      </c>
      <c r="F660" s="43">
        <v>85.77</v>
      </c>
    </row>
    <row r="661" spans="2:6" x14ac:dyDescent="0.25">
      <c r="B661" s="13" t="s">
        <v>1436</v>
      </c>
      <c r="C661" s="15" t="s">
        <v>104</v>
      </c>
      <c r="D661" s="13" t="s">
        <v>470</v>
      </c>
      <c r="E661" s="13" t="s">
        <v>1437</v>
      </c>
      <c r="F661" s="43">
        <v>166.02</v>
      </c>
    </row>
    <row r="662" spans="2:6" x14ac:dyDescent="0.25">
      <c r="B662" s="13" t="s">
        <v>1438</v>
      </c>
      <c r="C662" s="15" t="s">
        <v>104</v>
      </c>
      <c r="D662" s="13" t="s">
        <v>470</v>
      </c>
      <c r="E662" s="13" t="s">
        <v>1439</v>
      </c>
      <c r="F662" s="43">
        <v>6.84</v>
      </c>
    </row>
    <row r="663" spans="2:6" x14ac:dyDescent="0.25">
      <c r="B663" s="13" t="s">
        <v>1440</v>
      </c>
      <c r="C663" s="15" t="s">
        <v>104</v>
      </c>
      <c r="D663" s="13" t="s">
        <v>470</v>
      </c>
      <c r="E663" s="13" t="s">
        <v>1441</v>
      </c>
      <c r="F663" s="43">
        <v>7.98</v>
      </c>
    </row>
    <row r="664" spans="2:6" x14ac:dyDescent="0.25">
      <c r="B664" s="13" t="s">
        <v>1442</v>
      </c>
      <c r="C664" s="15" t="s">
        <v>104</v>
      </c>
      <c r="D664" s="13" t="s">
        <v>470</v>
      </c>
      <c r="E664" s="13" t="s">
        <v>1443</v>
      </c>
      <c r="F664" s="43">
        <v>9.75</v>
      </c>
    </row>
    <row r="665" spans="2:6" x14ac:dyDescent="0.25">
      <c r="B665" s="13" t="s">
        <v>1444</v>
      </c>
      <c r="C665" s="15" t="s">
        <v>104</v>
      </c>
      <c r="D665" s="13" t="s">
        <v>470</v>
      </c>
      <c r="E665" s="13" t="s">
        <v>1445</v>
      </c>
      <c r="F665" s="43">
        <v>369.18</v>
      </c>
    </row>
    <row r="666" spans="2:6" x14ac:dyDescent="0.25">
      <c r="B666" s="13" t="s">
        <v>1446</v>
      </c>
      <c r="C666" s="15" t="s">
        <v>104</v>
      </c>
      <c r="D666" s="13" t="s">
        <v>470</v>
      </c>
      <c r="E666" s="13" t="s">
        <v>1447</v>
      </c>
      <c r="F666" s="43">
        <v>477.6</v>
      </c>
    </row>
    <row r="667" spans="2:6" x14ac:dyDescent="0.25">
      <c r="B667" s="13" t="s">
        <v>1448</v>
      </c>
      <c r="C667" s="15" t="s">
        <v>104</v>
      </c>
      <c r="D667" s="13" t="s">
        <v>470</v>
      </c>
      <c r="E667" s="13" t="s">
        <v>1449</v>
      </c>
      <c r="F667" s="43">
        <v>654</v>
      </c>
    </row>
    <row r="668" spans="2:6" x14ac:dyDescent="0.25">
      <c r="B668" s="13" t="s">
        <v>1450</v>
      </c>
      <c r="C668" s="15" t="s">
        <v>104</v>
      </c>
      <c r="D668" s="13" t="s">
        <v>470</v>
      </c>
      <c r="E668" s="13" t="s">
        <v>1451</v>
      </c>
      <c r="F668" s="43">
        <v>990.69</v>
      </c>
    </row>
    <row r="669" spans="2:6" x14ac:dyDescent="0.25">
      <c r="B669" s="13" t="s">
        <v>1452</v>
      </c>
      <c r="C669" s="15" t="s">
        <v>104</v>
      </c>
      <c r="D669" s="13" t="s">
        <v>470</v>
      </c>
      <c r="E669" s="13" t="s">
        <v>1453</v>
      </c>
      <c r="F669" s="43">
        <v>1272.57</v>
      </c>
    </row>
    <row r="670" spans="2:6" x14ac:dyDescent="0.25">
      <c r="B670" s="13" t="s">
        <v>1454</v>
      </c>
      <c r="C670" s="15" t="s">
        <v>104</v>
      </c>
      <c r="D670" s="13" t="s">
        <v>470</v>
      </c>
      <c r="E670" s="13" t="s">
        <v>1455</v>
      </c>
      <c r="F670" s="43">
        <v>1890.24</v>
      </c>
    </row>
    <row r="671" spans="2:6" x14ac:dyDescent="0.25">
      <c r="B671" s="13" t="s">
        <v>1456</v>
      </c>
      <c r="C671" s="15" t="s">
        <v>104</v>
      </c>
      <c r="D671" s="13" t="s">
        <v>470</v>
      </c>
      <c r="E671" s="13" t="s">
        <v>1457</v>
      </c>
      <c r="F671" s="43">
        <v>3282.81</v>
      </c>
    </row>
    <row r="672" spans="2:6" x14ac:dyDescent="0.25">
      <c r="B672" s="13" t="s">
        <v>1458</v>
      </c>
      <c r="C672" s="15" t="s">
        <v>104</v>
      </c>
      <c r="D672" s="13" t="s">
        <v>470</v>
      </c>
      <c r="E672" s="13" t="s">
        <v>1459</v>
      </c>
      <c r="F672" s="43">
        <v>90.54</v>
      </c>
    </row>
    <row r="673" spans="2:6" x14ac:dyDescent="0.25">
      <c r="B673" s="13" t="s">
        <v>1460</v>
      </c>
      <c r="C673" s="15" t="s">
        <v>104</v>
      </c>
      <c r="D673" s="13" t="s">
        <v>470</v>
      </c>
      <c r="E673" s="13" t="s">
        <v>1461</v>
      </c>
      <c r="F673" s="43">
        <v>127.36</v>
      </c>
    </row>
    <row r="674" spans="2:6" x14ac:dyDescent="0.25">
      <c r="B674" s="13" t="s">
        <v>1462</v>
      </c>
      <c r="C674" s="15" t="s">
        <v>104</v>
      </c>
      <c r="D674" s="13" t="s">
        <v>470</v>
      </c>
      <c r="E674" s="13" t="s">
        <v>1463</v>
      </c>
      <c r="F674" s="43">
        <v>153.02000000000001</v>
      </c>
    </row>
    <row r="675" spans="2:6" x14ac:dyDescent="0.25">
      <c r="B675" s="13" t="s">
        <v>1464</v>
      </c>
      <c r="C675" s="15" t="s">
        <v>104</v>
      </c>
      <c r="D675" s="13" t="s">
        <v>470</v>
      </c>
      <c r="E675" s="13" t="s">
        <v>1465</v>
      </c>
      <c r="F675" s="43">
        <v>193.88</v>
      </c>
    </row>
    <row r="676" spans="2:6" x14ac:dyDescent="0.25">
      <c r="B676" s="13" t="s">
        <v>1466</v>
      </c>
      <c r="C676" s="15" t="s">
        <v>104</v>
      </c>
      <c r="D676" s="13" t="s">
        <v>470</v>
      </c>
      <c r="E676" s="13" t="s">
        <v>1467</v>
      </c>
      <c r="F676" s="43">
        <v>294.86</v>
      </c>
    </row>
    <row r="677" spans="2:6" x14ac:dyDescent="0.25">
      <c r="B677" s="13" t="s">
        <v>1468</v>
      </c>
      <c r="C677" s="15" t="s">
        <v>104</v>
      </c>
      <c r="D677" s="13" t="s">
        <v>470</v>
      </c>
      <c r="E677" s="13" t="s">
        <v>1469</v>
      </c>
      <c r="F677" s="43">
        <v>405.39</v>
      </c>
    </row>
    <row r="678" spans="2:6" x14ac:dyDescent="0.25">
      <c r="B678" s="13" t="s">
        <v>1470</v>
      </c>
      <c r="C678" s="15" t="s">
        <v>104</v>
      </c>
      <c r="D678" s="13" t="s">
        <v>470</v>
      </c>
      <c r="E678" s="13" t="s">
        <v>1471</v>
      </c>
      <c r="F678" s="43">
        <v>658.62</v>
      </c>
    </row>
    <row r="679" spans="2:6" x14ac:dyDescent="0.25">
      <c r="B679" s="13" t="s">
        <v>1472</v>
      </c>
      <c r="C679" s="15" t="s">
        <v>104</v>
      </c>
      <c r="D679" s="13" t="s">
        <v>470</v>
      </c>
      <c r="E679" s="13" t="s">
        <v>1473</v>
      </c>
      <c r="F679" s="43">
        <v>1004.72</v>
      </c>
    </row>
    <row r="680" spans="2:6" x14ac:dyDescent="0.25">
      <c r="B680" s="13" t="s">
        <v>1474</v>
      </c>
      <c r="C680" s="15" t="s">
        <v>104</v>
      </c>
      <c r="D680" s="13" t="s">
        <v>470</v>
      </c>
      <c r="E680" s="13" t="s">
        <v>1475</v>
      </c>
      <c r="F680" s="43">
        <v>30.09</v>
      </c>
    </row>
    <row r="681" spans="2:6" x14ac:dyDescent="0.25">
      <c r="B681" s="13" t="s">
        <v>1476</v>
      </c>
      <c r="C681" s="15" t="s">
        <v>104</v>
      </c>
      <c r="D681" s="13" t="s">
        <v>470</v>
      </c>
      <c r="E681" s="13" t="s">
        <v>1477</v>
      </c>
      <c r="F681" s="43">
        <v>36.61</v>
      </c>
    </row>
    <row r="682" spans="2:6" x14ac:dyDescent="0.25">
      <c r="B682" s="13" t="s">
        <v>1478</v>
      </c>
      <c r="C682" s="15" t="s">
        <v>104</v>
      </c>
      <c r="D682" s="13" t="s">
        <v>470</v>
      </c>
      <c r="E682" s="13" t="s">
        <v>1479</v>
      </c>
      <c r="F682" s="43">
        <v>47.38</v>
      </c>
    </row>
    <row r="683" spans="2:6" x14ac:dyDescent="0.25">
      <c r="B683" s="13" t="s">
        <v>1480</v>
      </c>
      <c r="C683" s="15" t="s">
        <v>104</v>
      </c>
      <c r="D683" s="13" t="s">
        <v>470</v>
      </c>
      <c r="E683" s="13" t="s">
        <v>1481</v>
      </c>
      <c r="F683" s="43">
        <v>61.81</v>
      </c>
    </row>
    <row r="684" spans="2:6" x14ac:dyDescent="0.25">
      <c r="B684" s="13" t="s">
        <v>1482</v>
      </c>
      <c r="C684" s="15" t="s">
        <v>104</v>
      </c>
      <c r="D684" s="13" t="s">
        <v>470</v>
      </c>
      <c r="E684" s="13" t="s">
        <v>1483</v>
      </c>
      <c r="F684" s="43">
        <v>78.39</v>
      </c>
    </row>
    <row r="685" spans="2:6" x14ac:dyDescent="0.25">
      <c r="B685" s="13" t="s">
        <v>1484</v>
      </c>
      <c r="C685" s="15" t="s">
        <v>104</v>
      </c>
      <c r="D685" s="13" t="s">
        <v>470</v>
      </c>
      <c r="E685" s="13" t="s">
        <v>1485</v>
      </c>
      <c r="F685" s="43">
        <v>91.43</v>
      </c>
    </row>
    <row r="686" spans="2:6" x14ac:dyDescent="0.25">
      <c r="B686" s="13" t="s">
        <v>1486</v>
      </c>
      <c r="C686" s="15" t="s">
        <v>104</v>
      </c>
      <c r="D686" s="13" t="s">
        <v>470</v>
      </c>
      <c r="E686" s="13" t="s">
        <v>1487</v>
      </c>
      <c r="F686" s="43">
        <v>126.97</v>
      </c>
    </row>
    <row r="687" spans="2:6" x14ac:dyDescent="0.25">
      <c r="B687" s="13" t="s">
        <v>1488</v>
      </c>
      <c r="C687" s="15" t="s">
        <v>104</v>
      </c>
      <c r="D687" s="13" t="s">
        <v>470</v>
      </c>
      <c r="E687" s="13" t="s">
        <v>1489</v>
      </c>
      <c r="F687" s="43">
        <v>179.07</v>
      </c>
    </row>
    <row r="688" spans="2:6" x14ac:dyDescent="0.25">
      <c r="B688" s="13" t="s">
        <v>1490</v>
      </c>
      <c r="C688" s="15" t="s">
        <v>104</v>
      </c>
      <c r="D688" s="13" t="s">
        <v>470</v>
      </c>
      <c r="E688" s="13" t="s">
        <v>1491</v>
      </c>
      <c r="F688" s="43">
        <v>151.58000000000001</v>
      </c>
    </row>
    <row r="689" spans="2:6" x14ac:dyDescent="0.25">
      <c r="B689" s="13" t="s">
        <v>1492</v>
      </c>
      <c r="C689" s="15" t="s">
        <v>104</v>
      </c>
      <c r="D689" s="13" t="s">
        <v>470</v>
      </c>
      <c r="E689" s="13" t="s">
        <v>1493</v>
      </c>
      <c r="F689" s="43">
        <v>188.3</v>
      </c>
    </row>
    <row r="690" spans="2:6" x14ac:dyDescent="0.25">
      <c r="B690" s="13" t="s">
        <v>1494</v>
      </c>
      <c r="C690" s="15" t="s">
        <v>104</v>
      </c>
      <c r="D690" s="13" t="s">
        <v>470</v>
      </c>
      <c r="E690" s="13" t="s">
        <v>1495</v>
      </c>
      <c r="F690" s="43">
        <v>240.4</v>
      </c>
    </row>
    <row r="691" spans="2:6" x14ac:dyDescent="0.25">
      <c r="B691" s="13" t="s">
        <v>1496</v>
      </c>
      <c r="C691" s="15" t="s">
        <v>104</v>
      </c>
      <c r="D691" s="13" t="s">
        <v>470</v>
      </c>
      <c r="E691" s="13" t="s">
        <v>1497</v>
      </c>
      <c r="F691" s="43">
        <v>318.07</v>
      </c>
    </row>
    <row r="692" spans="2:6" x14ac:dyDescent="0.25">
      <c r="B692" s="13" t="s">
        <v>1498</v>
      </c>
      <c r="C692" s="15" t="s">
        <v>104</v>
      </c>
      <c r="D692" s="13" t="s">
        <v>470</v>
      </c>
      <c r="E692" s="13" t="s">
        <v>1499</v>
      </c>
      <c r="F692" s="43">
        <v>480.74</v>
      </c>
    </row>
    <row r="693" spans="2:6" x14ac:dyDescent="0.25">
      <c r="B693" s="13" t="s">
        <v>1500</v>
      </c>
      <c r="C693" s="15" t="s">
        <v>104</v>
      </c>
      <c r="D693" s="13" t="s">
        <v>470</v>
      </c>
      <c r="E693" s="13" t="s">
        <v>1501</v>
      </c>
      <c r="F693" s="43">
        <v>640.15</v>
      </c>
    </row>
    <row r="694" spans="2:6" x14ac:dyDescent="0.25">
      <c r="B694" s="13" t="s">
        <v>1502</v>
      </c>
      <c r="C694" s="15" t="s">
        <v>104</v>
      </c>
      <c r="D694" s="13" t="s">
        <v>470</v>
      </c>
      <c r="E694" s="13" t="s">
        <v>1503</v>
      </c>
      <c r="F694" s="43">
        <v>1262.4000000000001</v>
      </c>
    </row>
    <row r="695" spans="2:6" x14ac:dyDescent="0.25">
      <c r="B695" s="13" t="s">
        <v>1504</v>
      </c>
      <c r="C695" s="15" t="s">
        <v>104</v>
      </c>
      <c r="D695" s="13" t="s">
        <v>470</v>
      </c>
      <c r="E695" s="13" t="s">
        <v>1505</v>
      </c>
      <c r="F695" s="43">
        <v>2185.7199999999998</v>
      </c>
    </row>
    <row r="696" spans="2:6" x14ac:dyDescent="0.25">
      <c r="B696" s="13" t="s">
        <v>1506</v>
      </c>
      <c r="C696" s="15" t="s">
        <v>104</v>
      </c>
      <c r="D696" s="13" t="s">
        <v>470</v>
      </c>
      <c r="E696" s="13" t="s">
        <v>1507</v>
      </c>
      <c r="F696" s="43">
        <v>0</v>
      </c>
    </row>
    <row r="697" spans="2:6" x14ac:dyDescent="0.25">
      <c r="B697" s="13" t="s">
        <v>1508</v>
      </c>
      <c r="C697" s="15" t="s">
        <v>104</v>
      </c>
      <c r="D697" s="13" t="s">
        <v>470</v>
      </c>
      <c r="E697" s="13" t="s">
        <v>1509</v>
      </c>
      <c r="F697" s="43">
        <v>0</v>
      </c>
    </row>
    <row r="698" spans="2:6" x14ac:dyDescent="0.25">
      <c r="B698" s="13" t="s">
        <v>1510</v>
      </c>
      <c r="C698" s="15" t="s">
        <v>104</v>
      </c>
      <c r="D698" s="13" t="s">
        <v>470</v>
      </c>
      <c r="E698" s="13" t="s">
        <v>1511</v>
      </c>
      <c r="F698" s="43">
        <v>74.27</v>
      </c>
    </row>
    <row r="699" spans="2:6" x14ac:dyDescent="0.25">
      <c r="B699" s="13" t="s">
        <v>1512</v>
      </c>
      <c r="C699" s="15" t="s">
        <v>104</v>
      </c>
      <c r="D699" s="13" t="s">
        <v>470</v>
      </c>
      <c r="E699" s="13" t="s">
        <v>1513</v>
      </c>
      <c r="F699" s="43">
        <v>91.35</v>
      </c>
    </row>
    <row r="700" spans="2:6" x14ac:dyDescent="0.25">
      <c r="B700" s="13" t="s">
        <v>1514</v>
      </c>
      <c r="C700" s="15" t="s">
        <v>104</v>
      </c>
      <c r="D700" s="13" t="s">
        <v>470</v>
      </c>
      <c r="E700" s="13" t="s">
        <v>1515</v>
      </c>
      <c r="F700" s="43">
        <v>119.22</v>
      </c>
    </row>
    <row r="701" spans="2:6" x14ac:dyDescent="0.25">
      <c r="B701" s="13" t="s">
        <v>1516</v>
      </c>
      <c r="C701" s="15" t="s">
        <v>104</v>
      </c>
      <c r="D701" s="13" t="s">
        <v>470</v>
      </c>
      <c r="E701" s="13" t="s">
        <v>1517</v>
      </c>
      <c r="F701" s="43">
        <v>144.41999999999999</v>
      </c>
    </row>
    <row r="702" spans="2:6" x14ac:dyDescent="0.25">
      <c r="B702" s="13" t="s">
        <v>1518</v>
      </c>
      <c r="C702" s="15" t="s">
        <v>104</v>
      </c>
      <c r="D702" s="13" t="s">
        <v>470</v>
      </c>
      <c r="E702" s="13" t="s">
        <v>1519</v>
      </c>
      <c r="F702" s="43">
        <v>200.68</v>
      </c>
    </row>
    <row r="703" spans="2:6" x14ac:dyDescent="0.25">
      <c r="B703" s="13" t="s">
        <v>1520</v>
      </c>
      <c r="C703" s="15" t="s">
        <v>104</v>
      </c>
      <c r="D703" s="13" t="s">
        <v>470</v>
      </c>
      <c r="E703" s="13" t="s">
        <v>1521</v>
      </c>
      <c r="F703" s="43">
        <v>289.8</v>
      </c>
    </row>
    <row r="704" spans="2:6" x14ac:dyDescent="0.25">
      <c r="B704" s="13" t="s">
        <v>1522</v>
      </c>
      <c r="C704" s="15" t="s">
        <v>104</v>
      </c>
      <c r="D704" s="13" t="s">
        <v>470</v>
      </c>
      <c r="E704" s="13" t="s">
        <v>1523</v>
      </c>
      <c r="F704" s="43">
        <v>390.03</v>
      </c>
    </row>
    <row r="705" spans="2:6" x14ac:dyDescent="0.25">
      <c r="B705" s="13" t="s">
        <v>1524</v>
      </c>
      <c r="C705" s="15" t="s">
        <v>104</v>
      </c>
      <c r="D705" s="13" t="s">
        <v>470</v>
      </c>
      <c r="E705" s="13" t="s">
        <v>1525</v>
      </c>
      <c r="F705" s="43">
        <v>687.48</v>
      </c>
    </row>
    <row r="706" spans="2:6" x14ac:dyDescent="0.25">
      <c r="B706" s="13" t="s">
        <v>1526</v>
      </c>
      <c r="C706" s="15" t="s">
        <v>104</v>
      </c>
      <c r="D706" s="13" t="s">
        <v>470</v>
      </c>
      <c r="E706" s="13" t="s">
        <v>1527</v>
      </c>
      <c r="F706" s="43">
        <v>1205.74</v>
      </c>
    </row>
    <row r="707" spans="2:6" x14ac:dyDescent="0.25">
      <c r="B707" s="13" t="s">
        <v>1528</v>
      </c>
      <c r="C707" s="15" t="s">
        <v>104</v>
      </c>
      <c r="D707" s="13" t="s">
        <v>470</v>
      </c>
      <c r="E707" s="13" t="s">
        <v>1529</v>
      </c>
      <c r="F707" s="43">
        <v>1732.26</v>
      </c>
    </row>
    <row r="708" spans="2:6" x14ac:dyDescent="0.25">
      <c r="B708" s="13" t="s">
        <v>28926</v>
      </c>
      <c r="C708" s="15" t="s">
        <v>104</v>
      </c>
      <c r="D708" s="13" t="s">
        <v>470</v>
      </c>
      <c r="E708" s="13" t="s">
        <v>28933</v>
      </c>
      <c r="F708" s="153">
        <v>109.48</v>
      </c>
    </row>
    <row r="709" spans="2:6" x14ac:dyDescent="0.25">
      <c r="B709" s="13" t="s">
        <v>28927</v>
      </c>
      <c r="C709" s="15" t="s">
        <v>104</v>
      </c>
      <c r="D709" s="13" t="s">
        <v>470</v>
      </c>
      <c r="E709" s="13" t="s">
        <v>28934</v>
      </c>
      <c r="F709" s="153">
        <v>139.04</v>
      </c>
    </row>
    <row r="710" spans="2:6" x14ac:dyDescent="0.25">
      <c r="B710" s="13" t="s">
        <v>28928</v>
      </c>
      <c r="C710" s="15" t="s">
        <v>104</v>
      </c>
      <c r="D710" s="13" t="s">
        <v>470</v>
      </c>
      <c r="E710" s="13" t="s">
        <v>28935</v>
      </c>
      <c r="F710" s="153">
        <v>188.89</v>
      </c>
    </row>
    <row r="711" spans="2:6" x14ac:dyDescent="0.25">
      <c r="B711" s="13" t="s">
        <v>28929</v>
      </c>
      <c r="C711" s="15" t="s">
        <v>104</v>
      </c>
      <c r="D711" s="13" t="s">
        <v>470</v>
      </c>
      <c r="E711" s="13" t="s">
        <v>28936</v>
      </c>
      <c r="F711" s="153">
        <v>276.10000000000002</v>
      </c>
    </row>
    <row r="712" spans="2:6" x14ac:dyDescent="0.25">
      <c r="B712" s="13" t="s">
        <v>28930</v>
      </c>
      <c r="C712" s="15" t="s">
        <v>104</v>
      </c>
      <c r="D712" s="13" t="s">
        <v>470</v>
      </c>
      <c r="E712" s="13" t="s">
        <v>28937</v>
      </c>
      <c r="F712" s="153">
        <v>377.81</v>
      </c>
    </row>
    <row r="713" spans="2:6" x14ac:dyDescent="0.25">
      <c r="B713" s="13" t="s">
        <v>28931</v>
      </c>
      <c r="C713" s="15" t="s">
        <v>104</v>
      </c>
      <c r="D713" s="13" t="s">
        <v>470</v>
      </c>
      <c r="E713" s="13" t="s">
        <v>28938</v>
      </c>
      <c r="F713" s="153">
        <v>518.26</v>
      </c>
    </row>
    <row r="714" spans="2:6" x14ac:dyDescent="0.25">
      <c r="B714" s="13" t="s">
        <v>28932</v>
      </c>
      <c r="C714" s="15" t="s">
        <v>104</v>
      </c>
      <c r="D714" s="13" t="s">
        <v>470</v>
      </c>
      <c r="E714" s="13" t="s">
        <v>28939</v>
      </c>
      <c r="F714" s="153">
        <v>867.01</v>
      </c>
    </row>
    <row r="715" spans="2:6" x14ac:dyDescent="0.25">
      <c r="B715" s="13" t="s">
        <v>1530</v>
      </c>
      <c r="C715" s="15" t="s">
        <v>104</v>
      </c>
      <c r="D715" s="13" t="s">
        <v>470</v>
      </c>
      <c r="E715" s="13" t="s">
        <v>1531</v>
      </c>
      <c r="F715" s="43">
        <v>18.04</v>
      </c>
    </row>
    <row r="716" spans="2:6" x14ac:dyDescent="0.25">
      <c r="B716" s="13" t="s">
        <v>1532</v>
      </c>
      <c r="C716" s="15" t="s">
        <v>104</v>
      </c>
      <c r="D716" s="13" t="s">
        <v>470</v>
      </c>
      <c r="E716" s="13" t="s">
        <v>1533</v>
      </c>
      <c r="F716" s="43">
        <v>18.04</v>
      </c>
    </row>
    <row r="717" spans="2:6" x14ac:dyDescent="0.25">
      <c r="B717" s="13" t="s">
        <v>1534</v>
      </c>
      <c r="C717" s="15" t="s">
        <v>104</v>
      </c>
      <c r="D717" s="13" t="s">
        <v>470</v>
      </c>
      <c r="E717" s="13" t="s">
        <v>1535</v>
      </c>
      <c r="F717" s="43">
        <v>18.04</v>
      </c>
    </row>
    <row r="718" spans="2:6" x14ac:dyDescent="0.25">
      <c r="B718" s="13" t="s">
        <v>1536</v>
      </c>
      <c r="C718" s="15" t="s">
        <v>104</v>
      </c>
      <c r="D718" s="13" t="s">
        <v>470</v>
      </c>
      <c r="E718" s="13" t="s">
        <v>1537</v>
      </c>
      <c r="F718" s="43">
        <v>26.6</v>
      </c>
    </row>
    <row r="719" spans="2:6" x14ac:dyDescent="0.25">
      <c r="B719" s="13" t="s">
        <v>1538</v>
      </c>
      <c r="C719" s="15" t="s">
        <v>104</v>
      </c>
      <c r="D719" s="13" t="s">
        <v>470</v>
      </c>
      <c r="E719" s="13" t="s">
        <v>1539</v>
      </c>
      <c r="F719" s="43">
        <v>42.27</v>
      </c>
    </row>
    <row r="720" spans="2:6" x14ac:dyDescent="0.25">
      <c r="B720" s="13" t="s">
        <v>1540</v>
      </c>
      <c r="C720" s="15" t="s">
        <v>104</v>
      </c>
      <c r="D720" s="13" t="s">
        <v>470</v>
      </c>
      <c r="E720" s="13" t="s">
        <v>1541</v>
      </c>
      <c r="F720" s="43">
        <v>53.02</v>
      </c>
    </row>
    <row r="721" spans="2:6" x14ac:dyDescent="0.25">
      <c r="B721" s="13" t="s">
        <v>1542</v>
      </c>
      <c r="C721" s="15" t="s">
        <v>104</v>
      </c>
      <c r="D721" s="13" t="s">
        <v>470</v>
      </c>
      <c r="E721" s="13" t="s">
        <v>1543</v>
      </c>
      <c r="F721" s="43">
        <v>66.5</v>
      </c>
    </row>
    <row r="722" spans="2:6" x14ac:dyDescent="0.25">
      <c r="B722" s="13" t="s">
        <v>1544</v>
      </c>
      <c r="C722" s="15" t="s">
        <v>104</v>
      </c>
      <c r="D722" s="13" t="s">
        <v>470</v>
      </c>
      <c r="E722" s="13" t="s">
        <v>1545</v>
      </c>
      <c r="F722" s="43">
        <v>92.9</v>
      </c>
    </row>
    <row r="723" spans="2:6" x14ac:dyDescent="0.25">
      <c r="B723" s="13" t="s">
        <v>1546</v>
      </c>
      <c r="C723" s="15" t="s">
        <v>104</v>
      </c>
      <c r="D723" s="13" t="s">
        <v>470</v>
      </c>
      <c r="E723" s="13" t="s">
        <v>1547</v>
      </c>
      <c r="F723" s="43">
        <v>659.54</v>
      </c>
    </row>
    <row r="724" spans="2:6" x14ac:dyDescent="0.25">
      <c r="B724" s="13" t="s">
        <v>1548</v>
      </c>
      <c r="C724" s="15" t="s">
        <v>104</v>
      </c>
      <c r="D724" s="13" t="s">
        <v>470</v>
      </c>
      <c r="E724" s="13" t="s">
        <v>1549</v>
      </c>
      <c r="F724" s="43">
        <v>946.22</v>
      </c>
    </row>
    <row r="725" spans="2:6" x14ac:dyDescent="0.25">
      <c r="B725" s="13" t="s">
        <v>1550</v>
      </c>
      <c r="C725" s="15" t="s">
        <v>104</v>
      </c>
      <c r="D725" s="13" t="s">
        <v>470</v>
      </c>
      <c r="E725" s="13" t="s">
        <v>1551</v>
      </c>
      <c r="F725" s="43">
        <v>1204.3399999999999</v>
      </c>
    </row>
    <row r="726" spans="2:6" x14ac:dyDescent="0.25">
      <c r="B726" s="13" t="s">
        <v>1552</v>
      </c>
      <c r="C726" s="15" t="s">
        <v>104</v>
      </c>
      <c r="D726" s="13" t="s">
        <v>470</v>
      </c>
      <c r="E726" s="13" t="s">
        <v>1553</v>
      </c>
      <c r="F726" s="43">
        <v>2007.33</v>
      </c>
    </row>
    <row r="727" spans="2:6" x14ac:dyDescent="0.25">
      <c r="B727" s="13" t="s">
        <v>1554</v>
      </c>
      <c r="C727" s="15" t="s">
        <v>104</v>
      </c>
      <c r="D727" s="13" t="s">
        <v>470</v>
      </c>
      <c r="E727" s="13" t="s">
        <v>1555</v>
      </c>
      <c r="F727" s="43">
        <v>3962.74</v>
      </c>
    </row>
    <row r="728" spans="2:6" x14ac:dyDescent="0.25">
      <c r="B728" s="13" t="s">
        <v>1556</v>
      </c>
      <c r="C728" s="15" t="s">
        <v>104</v>
      </c>
      <c r="D728" s="13" t="s">
        <v>470</v>
      </c>
      <c r="E728" s="13" t="s">
        <v>1557</v>
      </c>
      <c r="F728" s="43">
        <v>6439.32</v>
      </c>
    </row>
    <row r="729" spans="2:6" x14ac:dyDescent="0.25">
      <c r="B729" s="13" t="s">
        <v>1558</v>
      </c>
      <c r="C729" s="15" t="s">
        <v>104</v>
      </c>
      <c r="D729" s="13" t="s">
        <v>470</v>
      </c>
      <c r="E729" s="13" t="s">
        <v>1559</v>
      </c>
      <c r="F729" s="43">
        <v>56.06</v>
      </c>
    </row>
    <row r="730" spans="2:6" x14ac:dyDescent="0.25">
      <c r="B730" s="13" t="s">
        <v>1560</v>
      </c>
      <c r="C730" s="15" t="s">
        <v>104</v>
      </c>
      <c r="D730" s="13" t="s">
        <v>470</v>
      </c>
      <c r="E730" s="13" t="s">
        <v>1561</v>
      </c>
      <c r="F730" s="43">
        <v>74.27</v>
      </c>
    </row>
    <row r="731" spans="2:6" x14ac:dyDescent="0.25">
      <c r="B731" s="13" t="s">
        <v>1562</v>
      </c>
      <c r="C731" s="15" t="s">
        <v>104</v>
      </c>
      <c r="D731" s="13" t="s">
        <v>470</v>
      </c>
      <c r="E731" s="13" t="s">
        <v>1563</v>
      </c>
      <c r="F731" s="43">
        <v>102.64</v>
      </c>
    </row>
    <row r="732" spans="2:6" x14ac:dyDescent="0.25">
      <c r="B732" s="13" t="s">
        <v>1564</v>
      </c>
      <c r="C732" s="15" t="s">
        <v>104</v>
      </c>
      <c r="D732" s="13" t="s">
        <v>470</v>
      </c>
      <c r="E732" s="13" t="s">
        <v>1565</v>
      </c>
      <c r="F732" s="43">
        <v>142.47999999999999</v>
      </c>
    </row>
    <row r="733" spans="2:6" x14ac:dyDescent="0.25">
      <c r="B733" s="13" t="s">
        <v>1566</v>
      </c>
      <c r="C733" s="15" t="s">
        <v>104</v>
      </c>
      <c r="D733" s="13" t="s">
        <v>470</v>
      </c>
      <c r="E733" s="13" t="s">
        <v>1567</v>
      </c>
      <c r="F733" s="43">
        <v>197.76</v>
      </c>
    </row>
    <row r="734" spans="2:6" x14ac:dyDescent="0.25">
      <c r="B734" s="13" t="s">
        <v>1568</v>
      </c>
      <c r="C734" s="15" t="s">
        <v>104</v>
      </c>
      <c r="D734" s="13" t="s">
        <v>470</v>
      </c>
      <c r="E734" s="13" t="s">
        <v>1569</v>
      </c>
      <c r="F734" s="43">
        <v>291.72000000000003</v>
      </c>
    </row>
    <row r="735" spans="2:6" x14ac:dyDescent="0.25">
      <c r="B735" s="13" t="s">
        <v>1570</v>
      </c>
      <c r="C735" s="15" t="s">
        <v>104</v>
      </c>
      <c r="D735" s="13" t="s">
        <v>470</v>
      </c>
      <c r="E735" s="13" t="s">
        <v>1571</v>
      </c>
      <c r="F735" s="43">
        <v>485.17</v>
      </c>
    </row>
    <row r="736" spans="2:6" x14ac:dyDescent="0.25">
      <c r="B736" s="13" t="s">
        <v>1572</v>
      </c>
      <c r="C736" s="15" t="s">
        <v>104</v>
      </c>
      <c r="D736" s="13" t="s">
        <v>470</v>
      </c>
      <c r="E736" s="13" t="s">
        <v>1573</v>
      </c>
      <c r="F736" s="43">
        <v>639.25</v>
      </c>
    </row>
    <row r="737" spans="2:6" x14ac:dyDescent="0.25">
      <c r="B737" s="13" t="s">
        <v>1574</v>
      </c>
      <c r="C737" s="15" t="s">
        <v>104</v>
      </c>
      <c r="D737" s="13" t="s">
        <v>470</v>
      </c>
      <c r="E737" s="13" t="s">
        <v>1575</v>
      </c>
      <c r="F737" s="43">
        <v>1096.23</v>
      </c>
    </row>
    <row r="738" spans="2:6" x14ac:dyDescent="0.25">
      <c r="B738" s="13" t="s">
        <v>1576</v>
      </c>
      <c r="C738" s="15" t="s">
        <v>104</v>
      </c>
      <c r="D738" s="13" t="s">
        <v>470</v>
      </c>
      <c r="E738" s="13" t="s">
        <v>1577</v>
      </c>
      <c r="F738" s="43">
        <v>2627.03</v>
      </c>
    </row>
    <row r="739" spans="2:6" x14ac:dyDescent="0.25">
      <c r="B739" s="13" t="s">
        <v>1578</v>
      </c>
      <c r="C739" s="15" t="s">
        <v>104</v>
      </c>
      <c r="D739" s="13" t="s">
        <v>470</v>
      </c>
      <c r="E739" s="13" t="s">
        <v>1579</v>
      </c>
      <c r="F739" s="43">
        <v>116.61</v>
      </c>
    </row>
    <row r="740" spans="2:6" x14ac:dyDescent="0.25">
      <c r="B740" s="13" t="s">
        <v>1580</v>
      </c>
      <c r="C740" s="15" t="s">
        <v>104</v>
      </c>
      <c r="D740" s="13" t="s">
        <v>470</v>
      </c>
      <c r="E740" s="13" t="s">
        <v>1581</v>
      </c>
      <c r="F740" s="43">
        <v>144.97999999999999</v>
      </c>
    </row>
    <row r="741" spans="2:6" x14ac:dyDescent="0.25">
      <c r="B741" s="13" t="s">
        <v>1582</v>
      </c>
      <c r="C741" s="15" t="s">
        <v>104</v>
      </c>
      <c r="D741" s="13" t="s">
        <v>470</v>
      </c>
      <c r="E741" s="13" t="s">
        <v>1583</v>
      </c>
      <c r="F741" s="43">
        <v>179.49</v>
      </c>
    </row>
    <row r="742" spans="2:6" x14ac:dyDescent="0.25">
      <c r="B742" s="13" t="s">
        <v>1584</v>
      </c>
      <c r="C742" s="15" t="s">
        <v>104</v>
      </c>
      <c r="D742" s="13" t="s">
        <v>470</v>
      </c>
      <c r="E742" s="13" t="s">
        <v>1585</v>
      </c>
      <c r="F742" s="43">
        <v>262.39999999999998</v>
      </c>
    </row>
    <row r="743" spans="2:6" x14ac:dyDescent="0.25">
      <c r="B743" s="13" t="s">
        <v>1586</v>
      </c>
      <c r="C743" s="15" t="s">
        <v>104</v>
      </c>
      <c r="D743" s="13" t="s">
        <v>470</v>
      </c>
      <c r="E743" s="13" t="s">
        <v>1587</v>
      </c>
      <c r="F743" s="43">
        <v>295.86</v>
      </c>
    </row>
    <row r="744" spans="2:6" x14ac:dyDescent="0.25">
      <c r="B744" s="13" t="s">
        <v>1588</v>
      </c>
      <c r="C744" s="15" t="s">
        <v>104</v>
      </c>
      <c r="D744" s="13" t="s">
        <v>470</v>
      </c>
      <c r="E744" s="13" t="s">
        <v>1589</v>
      </c>
      <c r="F744" s="43">
        <v>394.58</v>
      </c>
    </row>
    <row r="745" spans="2:6" x14ac:dyDescent="0.25">
      <c r="B745" s="13" t="s">
        <v>1590</v>
      </c>
      <c r="C745" s="15" t="s">
        <v>104</v>
      </c>
      <c r="D745" s="13" t="s">
        <v>470</v>
      </c>
      <c r="E745" s="13" t="s">
        <v>1591</v>
      </c>
      <c r="F745" s="43">
        <v>641.75</v>
      </c>
    </row>
    <row r="746" spans="2:6" x14ac:dyDescent="0.25">
      <c r="B746" s="13" t="s">
        <v>1592</v>
      </c>
      <c r="C746" s="15" t="s">
        <v>104</v>
      </c>
      <c r="D746" s="13" t="s">
        <v>470</v>
      </c>
      <c r="E746" s="13" t="s">
        <v>1593</v>
      </c>
      <c r="F746" s="43">
        <v>829.61</v>
      </c>
    </row>
    <row r="747" spans="2:6" x14ac:dyDescent="0.25">
      <c r="B747" s="13" t="s">
        <v>1594</v>
      </c>
      <c r="C747" s="15" t="s">
        <v>104</v>
      </c>
      <c r="D747" s="13" t="s">
        <v>470</v>
      </c>
      <c r="E747" s="13" t="s">
        <v>1595</v>
      </c>
      <c r="F747" s="43">
        <v>1147.3599999999999</v>
      </c>
    </row>
    <row r="748" spans="2:6" x14ac:dyDescent="0.25">
      <c r="B748" s="13" t="s">
        <v>1596</v>
      </c>
      <c r="C748" s="15" t="s">
        <v>104</v>
      </c>
      <c r="D748" s="13" t="s">
        <v>470</v>
      </c>
      <c r="E748" s="13" t="s">
        <v>1597</v>
      </c>
      <c r="F748" s="43">
        <v>3704.46</v>
      </c>
    </row>
    <row r="749" spans="2:6" x14ac:dyDescent="0.25">
      <c r="B749" s="13" t="s">
        <v>1598</v>
      </c>
      <c r="C749" s="15" t="s">
        <v>104</v>
      </c>
      <c r="D749" s="13" t="s">
        <v>470</v>
      </c>
      <c r="E749" s="13" t="s">
        <v>1599</v>
      </c>
      <c r="F749" s="43">
        <v>9226.7900000000009</v>
      </c>
    </row>
    <row r="750" spans="2:6" x14ac:dyDescent="0.25">
      <c r="B750" s="13" t="s">
        <v>1600</v>
      </c>
      <c r="C750" s="15" t="s">
        <v>104</v>
      </c>
      <c r="D750" s="13" t="s">
        <v>470</v>
      </c>
      <c r="E750" s="13" t="s">
        <v>1601</v>
      </c>
      <c r="F750" s="43">
        <v>98.59</v>
      </c>
    </row>
    <row r="751" spans="2:6" x14ac:dyDescent="0.25">
      <c r="B751" s="13" t="s">
        <v>1602</v>
      </c>
      <c r="C751" s="15" t="s">
        <v>104</v>
      </c>
      <c r="D751" s="13" t="s">
        <v>470</v>
      </c>
      <c r="E751" s="13" t="s">
        <v>1603</v>
      </c>
      <c r="F751" s="43">
        <v>116.96</v>
      </c>
    </row>
    <row r="752" spans="2:6" x14ac:dyDescent="0.25">
      <c r="B752" s="13" t="s">
        <v>1604</v>
      </c>
      <c r="C752" s="15" t="s">
        <v>104</v>
      </c>
      <c r="D752" s="13" t="s">
        <v>470</v>
      </c>
      <c r="E752" s="13" t="s">
        <v>1605</v>
      </c>
      <c r="F752" s="43">
        <v>156.83000000000001</v>
      </c>
    </row>
    <row r="753" spans="2:6" x14ac:dyDescent="0.25">
      <c r="B753" s="13" t="s">
        <v>1606</v>
      </c>
      <c r="C753" s="15" t="s">
        <v>104</v>
      </c>
      <c r="D753" s="13" t="s">
        <v>470</v>
      </c>
      <c r="E753" s="13" t="s">
        <v>1607</v>
      </c>
      <c r="F753" s="43">
        <v>216.81</v>
      </c>
    </row>
    <row r="754" spans="2:6" x14ac:dyDescent="0.25">
      <c r="B754" s="13" t="s">
        <v>1608</v>
      </c>
      <c r="C754" s="15" t="s">
        <v>104</v>
      </c>
      <c r="D754" s="13" t="s">
        <v>470</v>
      </c>
      <c r="E754" s="13" t="s">
        <v>1609</v>
      </c>
      <c r="F754" s="43">
        <v>290.42</v>
      </c>
    </row>
    <row r="755" spans="2:6" x14ac:dyDescent="0.25">
      <c r="B755" s="13" t="s">
        <v>1610</v>
      </c>
      <c r="C755" s="15" t="s">
        <v>104</v>
      </c>
      <c r="D755" s="13" t="s">
        <v>470</v>
      </c>
      <c r="E755" s="13" t="s">
        <v>1611</v>
      </c>
      <c r="F755" s="43">
        <v>418.77</v>
      </c>
    </row>
    <row r="756" spans="2:6" x14ac:dyDescent="0.25">
      <c r="B756" s="13" t="s">
        <v>1612</v>
      </c>
      <c r="C756" s="15" t="s">
        <v>104</v>
      </c>
      <c r="D756" s="13" t="s">
        <v>470</v>
      </c>
      <c r="E756" s="13" t="s">
        <v>1613</v>
      </c>
      <c r="F756" s="43">
        <v>693.93</v>
      </c>
    </row>
    <row r="757" spans="2:6" x14ac:dyDescent="0.25">
      <c r="B757" s="13" t="s">
        <v>1614</v>
      </c>
      <c r="C757" s="15" t="s">
        <v>104</v>
      </c>
      <c r="D757" s="13" t="s">
        <v>470</v>
      </c>
      <c r="E757" s="13" t="s">
        <v>1615</v>
      </c>
      <c r="F757" s="43">
        <v>886.06</v>
      </c>
    </row>
    <row r="758" spans="2:6" x14ac:dyDescent="0.25">
      <c r="B758" s="13" t="s">
        <v>1616</v>
      </c>
      <c r="C758" s="15" t="s">
        <v>104</v>
      </c>
      <c r="D758" s="13" t="s">
        <v>470</v>
      </c>
      <c r="E758" s="13" t="s">
        <v>1617</v>
      </c>
      <c r="F758" s="43">
        <v>1399.36</v>
      </c>
    </row>
    <row r="759" spans="2:6" x14ac:dyDescent="0.25">
      <c r="B759" s="13" t="s">
        <v>1618</v>
      </c>
      <c r="C759" s="15" t="s">
        <v>104</v>
      </c>
      <c r="D759" s="13" t="s">
        <v>470</v>
      </c>
      <c r="E759" s="13" t="s">
        <v>1619</v>
      </c>
      <c r="F759" s="43">
        <v>3915.41</v>
      </c>
    </row>
    <row r="760" spans="2:6" x14ac:dyDescent="0.25">
      <c r="B760" s="13" t="s">
        <v>1620</v>
      </c>
      <c r="C760" s="15" t="s">
        <v>104</v>
      </c>
      <c r="D760" s="13" t="s">
        <v>470</v>
      </c>
      <c r="E760" s="13" t="s">
        <v>1621</v>
      </c>
      <c r="F760" s="43">
        <v>9034.34</v>
      </c>
    </row>
    <row r="761" spans="2:6" x14ac:dyDescent="0.25">
      <c r="B761" s="13" t="s">
        <v>1622</v>
      </c>
      <c r="C761" s="15" t="s">
        <v>104</v>
      </c>
      <c r="D761" s="13" t="s">
        <v>470</v>
      </c>
      <c r="E761" s="13" t="s">
        <v>1623</v>
      </c>
      <c r="F761" s="43">
        <v>801.02</v>
      </c>
    </row>
    <row r="762" spans="2:6" x14ac:dyDescent="0.25">
      <c r="B762" s="13" t="s">
        <v>1624</v>
      </c>
      <c r="C762" s="15" t="s">
        <v>104</v>
      </c>
      <c r="D762" s="13" t="s">
        <v>470</v>
      </c>
      <c r="E762" s="13" t="s">
        <v>1625</v>
      </c>
      <c r="F762" s="43">
        <v>977.02</v>
      </c>
    </row>
    <row r="763" spans="2:6" x14ac:dyDescent="0.25">
      <c r="B763" s="13" t="s">
        <v>1626</v>
      </c>
      <c r="C763" s="15" t="s">
        <v>104</v>
      </c>
      <c r="D763" s="13" t="s">
        <v>470</v>
      </c>
      <c r="E763" s="13" t="s">
        <v>1627</v>
      </c>
      <c r="F763" s="43">
        <v>1274.58</v>
      </c>
    </row>
    <row r="764" spans="2:6" x14ac:dyDescent="0.25">
      <c r="B764" s="13" t="s">
        <v>1628</v>
      </c>
      <c r="C764" s="15" t="s">
        <v>104</v>
      </c>
      <c r="D764" s="13" t="s">
        <v>470</v>
      </c>
      <c r="E764" s="13" t="s">
        <v>1629</v>
      </c>
      <c r="F764" s="43">
        <v>1769.12</v>
      </c>
    </row>
    <row r="765" spans="2:6" x14ac:dyDescent="0.25">
      <c r="B765" s="13" t="s">
        <v>1630</v>
      </c>
      <c r="C765" s="15" t="s">
        <v>104</v>
      </c>
      <c r="D765" s="13" t="s">
        <v>470</v>
      </c>
      <c r="E765" s="13" t="s">
        <v>1631</v>
      </c>
      <c r="F765" s="43">
        <v>3233.74</v>
      </c>
    </row>
    <row r="766" spans="2:6" x14ac:dyDescent="0.25">
      <c r="B766" s="13" t="s">
        <v>1632</v>
      </c>
      <c r="C766" s="15" t="s">
        <v>104</v>
      </c>
      <c r="D766" s="13" t="s">
        <v>470</v>
      </c>
      <c r="E766" s="13" t="s">
        <v>1633</v>
      </c>
      <c r="F766" s="43">
        <v>4381.1400000000003</v>
      </c>
    </row>
    <row r="767" spans="2:6" x14ac:dyDescent="0.25">
      <c r="B767" s="13" t="s">
        <v>1634</v>
      </c>
      <c r="C767" s="15" t="s">
        <v>104</v>
      </c>
      <c r="D767" s="13" t="s">
        <v>470</v>
      </c>
      <c r="E767" s="13" t="s">
        <v>1635</v>
      </c>
      <c r="F767" s="43">
        <v>5986.38</v>
      </c>
    </row>
    <row r="768" spans="2:6" x14ac:dyDescent="0.25">
      <c r="B768" s="13" t="s">
        <v>1636</v>
      </c>
      <c r="C768" s="15" t="s">
        <v>104</v>
      </c>
      <c r="D768" s="13" t="s">
        <v>470</v>
      </c>
      <c r="E768" s="13" t="s">
        <v>1637</v>
      </c>
      <c r="F768" s="43">
        <v>801.02</v>
      </c>
    </row>
    <row r="769" spans="2:6" x14ac:dyDescent="0.25">
      <c r="B769" s="13" t="s">
        <v>1638</v>
      </c>
      <c r="C769" s="15" t="s">
        <v>104</v>
      </c>
      <c r="D769" s="13" t="s">
        <v>470</v>
      </c>
      <c r="E769" s="13" t="s">
        <v>1639</v>
      </c>
      <c r="F769" s="43">
        <v>977.02</v>
      </c>
    </row>
    <row r="770" spans="2:6" x14ac:dyDescent="0.25">
      <c r="B770" s="13" t="s">
        <v>1640</v>
      </c>
      <c r="C770" s="15" t="s">
        <v>104</v>
      </c>
      <c r="D770" s="13" t="s">
        <v>470</v>
      </c>
      <c r="E770" s="13" t="s">
        <v>1641</v>
      </c>
      <c r="F770" s="43">
        <v>1274.58</v>
      </c>
    </row>
    <row r="771" spans="2:6" x14ac:dyDescent="0.25">
      <c r="B771" s="13" t="s">
        <v>1642</v>
      </c>
      <c r="C771" s="15" t="s">
        <v>104</v>
      </c>
      <c r="D771" s="13" t="s">
        <v>470</v>
      </c>
      <c r="E771" s="13" t="s">
        <v>1643</v>
      </c>
      <c r="F771" s="43">
        <v>1769.12</v>
      </c>
    </row>
    <row r="772" spans="2:6" x14ac:dyDescent="0.25">
      <c r="B772" s="13" t="s">
        <v>1644</v>
      </c>
      <c r="C772" s="15" t="s">
        <v>104</v>
      </c>
      <c r="D772" s="13" t="s">
        <v>470</v>
      </c>
      <c r="E772" s="13" t="s">
        <v>1645</v>
      </c>
      <c r="F772" s="43">
        <v>3233.74</v>
      </c>
    </row>
    <row r="773" spans="2:6" x14ac:dyDescent="0.25">
      <c r="B773" s="13" t="s">
        <v>1646</v>
      </c>
      <c r="C773" s="15" t="s">
        <v>104</v>
      </c>
      <c r="D773" s="13" t="s">
        <v>470</v>
      </c>
      <c r="E773" s="13" t="s">
        <v>1647</v>
      </c>
      <c r="F773" s="43">
        <v>4381.1400000000003</v>
      </c>
    </row>
    <row r="774" spans="2:6" x14ac:dyDescent="0.25">
      <c r="B774" s="13" t="s">
        <v>1648</v>
      </c>
      <c r="C774" s="15" t="s">
        <v>104</v>
      </c>
      <c r="D774" s="13" t="s">
        <v>470</v>
      </c>
      <c r="E774" s="145" t="s">
        <v>1649</v>
      </c>
      <c r="F774" s="43">
        <v>5986.38</v>
      </c>
    </row>
    <row r="775" spans="2:6" x14ac:dyDescent="0.25">
      <c r="B775" s="13" t="s">
        <v>1650</v>
      </c>
      <c r="C775" s="15" t="s">
        <v>104</v>
      </c>
      <c r="D775" s="13" t="s">
        <v>470</v>
      </c>
      <c r="E775" s="145" t="s">
        <v>1651</v>
      </c>
      <c r="F775" s="43">
        <v>372.63</v>
      </c>
    </row>
    <row r="776" spans="2:6" x14ac:dyDescent="0.25">
      <c r="B776" s="13" t="s">
        <v>1652</v>
      </c>
      <c r="C776" s="15" t="s">
        <v>104</v>
      </c>
      <c r="D776" s="13" t="s">
        <v>470</v>
      </c>
      <c r="E776" s="145" t="s">
        <v>1653</v>
      </c>
      <c r="F776" s="43">
        <v>468.54</v>
      </c>
    </row>
    <row r="777" spans="2:6" x14ac:dyDescent="0.25">
      <c r="B777" s="13" t="s">
        <v>1654</v>
      </c>
      <c r="C777" s="15" t="s">
        <v>104</v>
      </c>
      <c r="D777" s="13" t="s">
        <v>470</v>
      </c>
      <c r="E777" s="145" t="s">
        <v>1655</v>
      </c>
      <c r="F777" s="43">
        <v>576.63</v>
      </c>
    </row>
    <row r="778" spans="2:6" x14ac:dyDescent="0.25">
      <c r="B778" s="13" t="s">
        <v>1656</v>
      </c>
      <c r="C778" s="15" t="s">
        <v>104</v>
      </c>
      <c r="D778" s="13" t="s">
        <v>470</v>
      </c>
      <c r="E778" s="13" t="s">
        <v>1657</v>
      </c>
      <c r="F778" s="43">
        <v>798.21</v>
      </c>
    </row>
    <row r="779" spans="2:6" x14ac:dyDescent="0.25">
      <c r="B779" s="13" t="s">
        <v>1658</v>
      </c>
      <c r="C779" s="15" t="s">
        <v>104</v>
      </c>
      <c r="D779" s="13" t="s">
        <v>470</v>
      </c>
      <c r="E779" t="s">
        <v>1659</v>
      </c>
      <c r="F779" s="43">
        <v>1378.11</v>
      </c>
    </row>
    <row r="780" spans="2:6" x14ac:dyDescent="0.25">
      <c r="B780" s="13" t="s">
        <v>1660</v>
      </c>
      <c r="C780" s="15" t="s">
        <v>104</v>
      </c>
      <c r="D780" s="13" t="s">
        <v>470</v>
      </c>
      <c r="E780" s="145" t="s">
        <v>1661</v>
      </c>
      <c r="F780" s="43">
        <v>1956.93</v>
      </c>
    </row>
    <row r="781" spans="2:6" x14ac:dyDescent="0.25">
      <c r="B781" s="13" t="s">
        <v>1662</v>
      </c>
      <c r="C781" s="15" t="s">
        <v>104</v>
      </c>
      <c r="D781" s="13" t="s">
        <v>470</v>
      </c>
      <c r="E781" s="145" t="s">
        <v>1663</v>
      </c>
      <c r="F781" s="43">
        <v>2993.28</v>
      </c>
    </row>
    <row r="782" spans="2:6" x14ac:dyDescent="0.25">
      <c r="B782" s="13" t="s">
        <v>1664</v>
      </c>
      <c r="C782" s="15" t="s">
        <v>104</v>
      </c>
      <c r="D782" s="13" t="s">
        <v>470</v>
      </c>
      <c r="E782" s="145" t="s">
        <v>1665</v>
      </c>
      <c r="F782" s="43">
        <v>372.63</v>
      </c>
    </row>
    <row r="783" spans="2:6" x14ac:dyDescent="0.25">
      <c r="B783" s="13" t="s">
        <v>1666</v>
      </c>
      <c r="C783" s="15" t="s">
        <v>104</v>
      </c>
      <c r="D783" s="13" t="s">
        <v>470</v>
      </c>
      <c r="E783" s="145" t="s">
        <v>1667</v>
      </c>
      <c r="F783" s="43">
        <v>468.54</v>
      </c>
    </row>
    <row r="784" spans="2:6" x14ac:dyDescent="0.25">
      <c r="B784" s="13" t="s">
        <v>1668</v>
      </c>
      <c r="C784" s="15" t="s">
        <v>104</v>
      </c>
      <c r="D784" s="13" t="s">
        <v>470</v>
      </c>
      <c r="E784" s="145" t="s">
        <v>1669</v>
      </c>
      <c r="F784" s="43">
        <v>576.63</v>
      </c>
    </row>
    <row r="785" spans="2:6" x14ac:dyDescent="0.25">
      <c r="B785" s="13" t="s">
        <v>1670</v>
      </c>
      <c r="C785" s="15" t="s">
        <v>104</v>
      </c>
      <c r="D785" s="13" t="s">
        <v>470</v>
      </c>
      <c r="E785" s="145" t="s">
        <v>1671</v>
      </c>
      <c r="F785" s="43">
        <v>798.21</v>
      </c>
    </row>
    <row r="786" spans="2:6" x14ac:dyDescent="0.25">
      <c r="B786" s="13" t="s">
        <v>1672</v>
      </c>
      <c r="C786" s="15" t="s">
        <v>104</v>
      </c>
      <c r="D786" s="13" t="s">
        <v>470</v>
      </c>
      <c r="E786" s="145" t="s">
        <v>1673</v>
      </c>
      <c r="F786" s="43">
        <v>1378.11</v>
      </c>
    </row>
    <row r="787" spans="2:6" x14ac:dyDescent="0.25">
      <c r="B787" s="13" t="s">
        <v>1674</v>
      </c>
      <c r="C787" s="15" t="s">
        <v>104</v>
      </c>
      <c r="D787" s="13" t="s">
        <v>470</v>
      </c>
      <c r="E787" s="13" t="s">
        <v>1675</v>
      </c>
      <c r="F787" s="43">
        <v>1956.93</v>
      </c>
    </row>
    <row r="788" spans="2:6" x14ac:dyDescent="0.25">
      <c r="B788" s="13" t="s">
        <v>1676</v>
      </c>
      <c r="C788" s="15" t="s">
        <v>104</v>
      </c>
      <c r="D788" s="13" t="s">
        <v>470</v>
      </c>
      <c r="E788" t="s">
        <v>1677</v>
      </c>
      <c r="F788" s="43">
        <v>2993.28</v>
      </c>
    </row>
    <row r="789" spans="2:6" x14ac:dyDescent="0.25">
      <c r="B789" s="13" t="s">
        <v>1678</v>
      </c>
      <c r="C789" s="15" t="s">
        <v>104</v>
      </c>
      <c r="D789" s="13" t="s">
        <v>470</v>
      </c>
      <c r="E789" s="13" t="s">
        <v>1679</v>
      </c>
      <c r="F789" s="43">
        <v>21.14</v>
      </c>
    </row>
    <row r="790" spans="2:6" x14ac:dyDescent="0.25">
      <c r="B790" s="13" t="s">
        <v>1680</v>
      </c>
      <c r="C790" s="15" t="s">
        <v>104</v>
      </c>
      <c r="D790" s="13" t="s">
        <v>470</v>
      </c>
      <c r="E790" s="95" t="s">
        <v>1681</v>
      </c>
      <c r="F790" s="43">
        <v>25.9</v>
      </c>
    </row>
    <row r="791" spans="2:6" x14ac:dyDescent="0.25">
      <c r="B791" s="13" t="s">
        <v>1682</v>
      </c>
      <c r="C791" s="15" t="s">
        <v>104</v>
      </c>
      <c r="D791" s="13" t="s">
        <v>470</v>
      </c>
      <c r="E791" s="13" t="s">
        <v>1683</v>
      </c>
      <c r="F791" s="43">
        <v>29.8</v>
      </c>
    </row>
    <row r="792" spans="2:6" x14ac:dyDescent="0.25">
      <c r="B792" s="13" t="s">
        <v>1684</v>
      </c>
      <c r="C792" s="15" t="s">
        <v>104</v>
      </c>
      <c r="D792" s="13" t="s">
        <v>470</v>
      </c>
      <c r="E792" s="13" t="s">
        <v>1685</v>
      </c>
      <c r="F792" s="43">
        <v>38.450000000000003</v>
      </c>
    </row>
    <row r="793" spans="2:6" x14ac:dyDescent="0.25">
      <c r="B793" s="13" t="s">
        <v>1686</v>
      </c>
      <c r="C793" s="15" t="s">
        <v>104</v>
      </c>
      <c r="D793" s="13" t="s">
        <v>470</v>
      </c>
      <c r="E793" s="13" t="s">
        <v>1687</v>
      </c>
      <c r="F793" s="43">
        <v>47.86</v>
      </c>
    </row>
    <row r="794" spans="2:6" x14ac:dyDescent="0.25">
      <c r="B794" s="13" t="s">
        <v>1688</v>
      </c>
      <c r="C794" s="15" t="s">
        <v>104</v>
      </c>
      <c r="D794" s="13" t="s">
        <v>470</v>
      </c>
      <c r="E794" s="13" t="s">
        <v>1689</v>
      </c>
      <c r="F794" s="43">
        <v>79.44</v>
      </c>
    </row>
    <row r="795" spans="2:6" x14ac:dyDescent="0.25">
      <c r="B795" s="13" t="s">
        <v>1690</v>
      </c>
      <c r="C795" s="15" t="s">
        <v>104</v>
      </c>
      <c r="D795" s="13" t="s">
        <v>470</v>
      </c>
      <c r="E795" s="13" t="s">
        <v>1691</v>
      </c>
      <c r="F795" s="43">
        <v>96.16</v>
      </c>
    </row>
    <row r="796" spans="2:6" x14ac:dyDescent="0.25">
      <c r="B796" s="13" t="s">
        <v>1692</v>
      </c>
      <c r="C796" s="15" t="s">
        <v>104</v>
      </c>
      <c r="D796" s="13" t="s">
        <v>470</v>
      </c>
      <c r="E796" s="13" t="s">
        <v>1693</v>
      </c>
      <c r="F796" s="43">
        <v>35.229999999999997</v>
      </c>
    </row>
    <row r="797" spans="2:6" x14ac:dyDescent="0.25">
      <c r="B797" s="13" t="s">
        <v>1694</v>
      </c>
      <c r="C797" s="15" t="s">
        <v>104</v>
      </c>
      <c r="D797" s="13" t="s">
        <v>470</v>
      </c>
      <c r="E797" s="13" t="s">
        <v>1695</v>
      </c>
      <c r="F797" s="43">
        <v>37.58</v>
      </c>
    </row>
    <row r="798" spans="2:6" x14ac:dyDescent="0.25">
      <c r="B798" s="13" t="s">
        <v>1696</v>
      </c>
      <c r="C798" s="15" t="s">
        <v>104</v>
      </c>
      <c r="D798" s="13" t="s">
        <v>470</v>
      </c>
      <c r="E798" s="13" t="s">
        <v>1697</v>
      </c>
      <c r="F798" s="43">
        <v>46.32</v>
      </c>
    </row>
    <row r="799" spans="2:6" x14ac:dyDescent="0.25">
      <c r="B799" s="13" t="s">
        <v>1698</v>
      </c>
      <c r="C799" s="15" t="s">
        <v>104</v>
      </c>
      <c r="D799" s="13" t="s">
        <v>470</v>
      </c>
      <c r="E799" s="13" t="s">
        <v>1699</v>
      </c>
      <c r="F799" s="43">
        <v>59.98</v>
      </c>
    </row>
    <row r="800" spans="2:6" x14ac:dyDescent="0.25">
      <c r="B800" s="13" t="s">
        <v>1700</v>
      </c>
      <c r="C800" s="15" t="s">
        <v>104</v>
      </c>
      <c r="D800" s="13" t="s">
        <v>470</v>
      </c>
      <c r="E800" s="13" t="s">
        <v>1701</v>
      </c>
      <c r="F800" s="43">
        <v>72.75</v>
      </c>
    </row>
    <row r="801" spans="2:6" x14ac:dyDescent="0.25">
      <c r="B801" s="13" t="s">
        <v>1702</v>
      </c>
      <c r="C801" s="15" t="s">
        <v>104</v>
      </c>
      <c r="D801" s="13" t="s">
        <v>470</v>
      </c>
      <c r="E801" s="13" t="s">
        <v>1703</v>
      </c>
      <c r="F801" s="43">
        <v>91.17</v>
      </c>
    </row>
    <row r="802" spans="2:6" x14ac:dyDescent="0.25">
      <c r="B802" s="13" t="s">
        <v>1704</v>
      </c>
      <c r="C802" s="15" t="s">
        <v>104</v>
      </c>
      <c r="D802" s="13" t="s">
        <v>470</v>
      </c>
      <c r="E802" s="13" t="s">
        <v>1705</v>
      </c>
      <c r="F802" s="43">
        <v>123.12</v>
      </c>
    </row>
    <row r="803" spans="2:6" x14ac:dyDescent="0.25">
      <c r="B803" s="13" t="s">
        <v>1706</v>
      </c>
      <c r="C803" s="15" t="s">
        <v>104</v>
      </c>
      <c r="D803" s="13" t="s">
        <v>470</v>
      </c>
      <c r="E803" s="13" t="s">
        <v>1707</v>
      </c>
      <c r="F803" s="43">
        <v>151.9</v>
      </c>
    </row>
    <row r="804" spans="2:6" x14ac:dyDescent="0.25">
      <c r="B804" s="13" t="s">
        <v>1708</v>
      </c>
      <c r="C804" s="15" t="s">
        <v>104</v>
      </c>
      <c r="D804" s="13" t="s">
        <v>470</v>
      </c>
      <c r="E804" s="13" t="s">
        <v>1709</v>
      </c>
      <c r="F804" s="43">
        <v>233.64</v>
      </c>
    </row>
    <row r="805" spans="2:6" x14ac:dyDescent="0.25">
      <c r="B805" s="13" t="s">
        <v>1710</v>
      </c>
      <c r="C805" s="15" t="s">
        <v>104</v>
      </c>
      <c r="D805" s="13" t="s">
        <v>470</v>
      </c>
      <c r="E805" s="13" t="s">
        <v>1711</v>
      </c>
      <c r="F805" s="43">
        <v>396.71</v>
      </c>
    </row>
    <row r="806" spans="2:6" x14ac:dyDescent="0.25">
      <c r="B806" s="13" t="s">
        <v>1712</v>
      </c>
      <c r="C806" s="15" t="s">
        <v>104</v>
      </c>
      <c r="D806" s="13" t="s">
        <v>470</v>
      </c>
      <c r="E806" s="13" t="s">
        <v>1713</v>
      </c>
      <c r="F806" s="43">
        <v>524</v>
      </c>
    </row>
    <row r="807" spans="2:6" x14ac:dyDescent="0.25">
      <c r="B807" s="13" t="s">
        <v>1714</v>
      </c>
      <c r="C807" s="15" t="s">
        <v>104</v>
      </c>
      <c r="D807" s="13" t="s">
        <v>470</v>
      </c>
      <c r="E807" s="13" t="s">
        <v>1715</v>
      </c>
      <c r="F807" s="43">
        <v>644.62</v>
      </c>
    </row>
    <row r="808" spans="2:6" x14ac:dyDescent="0.25">
      <c r="B808" s="13" t="s">
        <v>1716</v>
      </c>
      <c r="C808" s="15" t="s">
        <v>104</v>
      </c>
      <c r="D808" s="13" t="s">
        <v>470</v>
      </c>
      <c r="E808" s="13" t="s">
        <v>1717</v>
      </c>
      <c r="F808" s="43">
        <v>769.36</v>
      </c>
    </row>
    <row r="809" spans="2:6" x14ac:dyDescent="0.25">
      <c r="B809" s="13" t="s">
        <v>1718</v>
      </c>
      <c r="C809" s="15" t="s">
        <v>104</v>
      </c>
      <c r="D809" s="13" t="s">
        <v>470</v>
      </c>
      <c r="E809" s="13" t="s">
        <v>1719</v>
      </c>
      <c r="F809" s="43">
        <v>895.75</v>
      </c>
    </row>
    <row r="810" spans="2:6" x14ac:dyDescent="0.25">
      <c r="B810" s="13" t="s">
        <v>1720</v>
      </c>
      <c r="C810" s="15" t="s">
        <v>104</v>
      </c>
      <c r="D810" s="13" t="s">
        <v>470</v>
      </c>
      <c r="E810" s="13" t="s">
        <v>1721</v>
      </c>
      <c r="F810" s="43">
        <v>1102</v>
      </c>
    </row>
    <row r="811" spans="2:6" x14ac:dyDescent="0.25">
      <c r="B811" s="13" t="s">
        <v>1722</v>
      </c>
      <c r="C811" s="15" t="s">
        <v>104</v>
      </c>
      <c r="D811" s="13" t="s">
        <v>470</v>
      </c>
      <c r="E811" s="13" t="s">
        <v>1723</v>
      </c>
      <c r="F811" s="43">
        <v>49.09</v>
      </c>
    </row>
    <row r="812" spans="2:6" x14ac:dyDescent="0.25">
      <c r="B812" s="13" t="s">
        <v>1724</v>
      </c>
      <c r="C812" s="15" t="s">
        <v>104</v>
      </c>
      <c r="D812" s="13" t="s">
        <v>470</v>
      </c>
      <c r="E812" s="13" t="s">
        <v>1725</v>
      </c>
      <c r="F812" s="43">
        <v>63.59</v>
      </c>
    </row>
    <row r="813" spans="2:6" x14ac:dyDescent="0.25">
      <c r="B813" s="13" t="s">
        <v>1726</v>
      </c>
      <c r="C813" s="15" t="s">
        <v>104</v>
      </c>
      <c r="D813" s="13" t="s">
        <v>470</v>
      </c>
      <c r="E813" s="13" t="s">
        <v>1727</v>
      </c>
      <c r="F813" s="43">
        <v>77.12</v>
      </c>
    </row>
    <row r="814" spans="2:6" x14ac:dyDescent="0.25">
      <c r="B814" s="13" t="s">
        <v>1728</v>
      </c>
      <c r="C814" s="15" t="s">
        <v>104</v>
      </c>
      <c r="D814" s="13" t="s">
        <v>470</v>
      </c>
      <c r="E814" s="13" t="s">
        <v>1729</v>
      </c>
      <c r="F814" s="43">
        <v>96.63</v>
      </c>
    </row>
    <row r="815" spans="2:6" x14ac:dyDescent="0.25">
      <c r="B815" s="13" t="s">
        <v>1730</v>
      </c>
      <c r="C815" s="15" t="s">
        <v>104</v>
      </c>
      <c r="D815" s="13" t="s">
        <v>470</v>
      </c>
      <c r="E815" s="13" t="s">
        <v>1731</v>
      </c>
      <c r="F815" s="43">
        <v>130.51</v>
      </c>
    </row>
    <row r="816" spans="2:6" x14ac:dyDescent="0.25">
      <c r="B816" s="13" t="s">
        <v>1732</v>
      </c>
      <c r="C816" s="15" t="s">
        <v>104</v>
      </c>
      <c r="D816" s="13" t="s">
        <v>470</v>
      </c>
      <c r="E816" s="13" t="s">
        <v>1733</v>
      </c>
      <c r="F816" s="43">
        <v>161.03</v>
      </c>
    </row>
    <row r="817" spans="2:6" x14ac:dyDescent="0.25">
      <c r="B817" s="13" t="s">
        <v>1734</v>
      </c>
      <c r="C817" s="15" t="s">
        <v>104</v>
      </c>
      <c r="D817" s="13" t="s">
        <v>470</v>
      </c>
      <c r="E817" s="13" t="s">
        <v>1735</v>
      </c>
      <c r="F817" s="43">
        <v>247.66</v>
      </c>
    </row>
    <row r="818" spans="2:6" x14ac:dyDescent="0.25">
      <c r="B818" s="13" t="s">
        <v>1736</v>
      </c>
      <c r="C818" s="15" t="s">
        <v>104</v>
      </c>
      <c r="D818" s="13" t="s">
        <v>470</v>
      </c>
      <c r="E818" s="13" t="s">
        <v>1737</v>
      </c>
      <c r="F818" s="43">
        <v>420.51</v>
      </c>
    </row>
    <row r="819" spans="2:6" x14ac:dyDescent="0.25">
      <c r="B819" s="13" t="s">
        <v>1738</v>
      </c>
      <c r="C819" s="15" t="s">
        <v>104</v>
      </c>
      <c r="D819" s="13" t="s">
        <v>470</v>
      </c>
      <c r="E819" s="13" t="s">
        <v>1739</v>
      </c>
      <c r="F819" s="43">
        <v>555.44000000000005</v>
      </c>
    </row>
    <row r="820" spans="2:6" x14ac:dyDescent="0.25">
      <c r="B820" s="13" t="s">
        <v>1740</v>
      </c>
      <c r="C820" s="15" t="s">
        <v>104</v>
      </c>
      <c r="D820" s="13" t="s">
        <v>470</v>
      </c>
      <c r="E820" s="13" t="s">
        <v>1741</v>
      </c>
      <c r="F820" s="43">
        <v>208.63</v>
      </c>
    </row>
    <row r="821" spans="2:6" x14ac:dyDescent="0.25">
      <c r="B821" s="13" t="s">
        <v>1742</v>
      </c>
      <c r="C821" s="15" t="s">
        <v>104</v>
      </c>
      <c r="D821" s="13" t="s">
        <v>470</v>
      </c>
      <c r="E821" s="13" t="s">
        <v>1743</v>
      </c>
      <c r="F821" s="43">
        <v>228.9</v>
      </c>
    </row>
    <row r="822" spans="2:6" x14ac:dyDescent="0.25">
      <c r="B822" s="13" t="s">
        <v>1744</v>
      </c>
      <c r="C822" s="15" t="s">
        <v>104</v>
      </c>
      <c r="D822" s="13" t="s">
        <v>470</v>
      </c>
      <c r="E822" s="13" t="s">
        <v>1745</v>
      </c>
      <c r="F822" s="43">
        <v>256.33999999999997</v>
      </c>
    </row>
    <row r="823" spans="2:6" x14ac:dyDescent="0.25">
      <c r="B823" s="13" t="s">
        <v>1746</v>
      </c>
      <c r="C823" s="15" t="s">
        <v>104</v>
      </c>
      <c r="D823" s="13" t="s">
        <v>470</v>
      </c>
      <c r="E823" s="13" t="s">
        <v>1747</v>
      </c>
      <c r="F823" s="43">
        <v>303.19</v>
      </c>
    </row>
    <row r="824" spans="2:6" x14ac:dyDescent="0.25">
      <c r="B824" s="13" t="s">
        <v>1748</v>
      </c>
      <c r="C824" s="15" t="s">
        <v>104</v>
      </c>
      <c r="D824" s="13" t="s">
        <v>470</v>
      </c>
      <c r="E824" s="13" t="s">
        <v>1749</v>
      </c>
      <c r="F824" s="43">
        <v>383.46</v>
      </c>
    </row>
    <row r="825" spans="2:6" x14ac:dyDescent="0.25">
      <c r="B825" s="13" t="s">
        <v>1750</v>
      </c>
      <c r="C825" s="15" t="s">
        <v>104</v>
      </c>
      <c r="D825" s="13" t="s">
        <v>470</v>
      </c>
      <c r="E825" s="13" t="s">
        <v>1751</v>
      </c>
      <c r="F825" s="43">
        <v>468.25</v>
      </c>
    </row>
    <row r="826" spans="2:6" x14ac:dyDescent="0.25">
      <c r="B826" s="13" t="s">
        <v>1752</v>
      </c>
      <c r="C826" s="15" t="s">
        <v>104</v>
      </c>
      <c r="D826" s="13" t="s">
        <v>470</v>
      </c>
      <c r="E826" s="145" t="s">
        <v>1753</v>
      </c>
      <c r="F826" s="43">
        <v>740.86</v>
      </c>
    </row>
    <row r="827" spans="2:6" x14ac:dyDescent="0.25">
      <c r="B827" s="13" t="s">
        <v>1754</v>
      </c>
      <c r="C827" s="15" t="s">
        <v>104</v>
      </c>
      <c r="D827" s="13" t="s">
        <v>470</v>
      </c>
      <c r="E827" s="145" t="s">
        <v>1755</v>
      </c>
      <c r="F827" s="43">
        <v>100.71</v>
      </c>
    </row>
    <row r="828" spans="2:6" x14ac:dyDescent="0.25">
      <c r="B828" s="13" t="s">
        <v>1756</v>
      </c>
      <c r="C828" s="15" t="s">
        <v>104</v>
      </c>
      <c r="D828" s="13" t="s">
        <v>470</v>
      </c>
      <c r="E828" s="13" t="s">
        <v>1757</v>
      </c>
      <c r="F828" s="43">
        <v>30.04</v>
      </c>
    </row>
    <row r="829" spans="2:6" x14ac:dyDescent="0.25">
      <c r="B829" s="13" t="s">
        <v>1758</v>
      </c>
      <c r="C829" s="15" t="s">
        <v>104</v>
      </c>
      <c r="D829" s="13" t="s">
        <v>470</v>
      </c>
      <c r="E829" s="13" t="s">
        <v>1759</v>
      </c>
      <c r="F829" s="43">
        <v>62.44</v>
      </c>
    </row>
    <row r="830" spans="2:6" x14ac:dyDescent="0.25">
      <c r="B830" s="13" t="s">
        <v>1760</v>
      </c>
      <c r="C830" s="15" t="s">
        <v>104</v>
      </c>
      <c r="D830" s="13" t="s">
        <v>470</v>
      </c>
      <c r="E830" s="13" t="s">
        <v>1761</v>
      </c>
      <c r="F830" s="43">
        <v>149.72999999999999</v>
      </c>
    </row>
    <row r="831" spans="2:6" x14ac:dyDescent="0.25">
      <c r="B831" s="13" t="s">
        <v>1762</v>
      </c>
      <c r="C831" s="15" t="s">
        <v>104</v>
      </c>
      <c r="D831" s="13" t="s">
        <v>470</v>
      </c>
      <c r="E831" s="13" t="s">
        <v>1763</v>
      </c>
      <c r="F831" s="43">
        <v>71.41</v>
      </c>
    </row>
    <row r="832" spans="2:6" x14ac:dyDescent="0.25">
      <c r="B832" s="13" t="s">
        <v>1764</v>
      </c>
      <c r="C832" s="15" t="s">
        <v>104</v>
      </c>
      <c r="D832" s="13" t="s">
        <v>470</v>
      </c>
      <c r="E832" s="13" t="s">
        <v>1765</v>
      </c>
      <c r="F832" s="43">
        <v>78.63</v>
      </c>
    </row>
    <row r="833" spans="2:6" x14ac:dyDescent="0.25">
      <c r="B833" s="13" t="s">
        <v>1766</v>
      </c>
      <c r="C833" s="15" t="s">
        <v>104</v>
      </c>
      <c r="D833" s="13" t="s">
        <v>470</v>
      </c>
      <c r="E833" s="13" t="s">
        <v>1767</v>
      </c>
      <c r="F833" s="43">
        <v>84.7</v>
      </c>
    </row>
    <row r="834" spans="2:6" x14ac:dyDescent="0.25">
      <c r="B834" s="13" t="s">
        <v>1768</v>
      </c>
      <c r="C834" s="15" t="s">
        <v>104</v>
      </c>
      <c r="D834" s="13" t="s">
        <v>470</v>
      </c>
      <c r="E834" s="13" t="s">
        <v>1769</v>
      </c>
      <c r="F834" s="43">
        <v>98.64</v>
      </c>
    </row>
    <row r="835" spans="2:6" x14ac:dyDescent="0.25">
      <c r="B835" s="13" t="s">
        <v>1770</v>
      </c>
      <c r="C835" s="15" t="s">
        <v>104</v>
      </c>
      <c r="D835" s="13" t="s">
        <v>470</v>
      </c>
      <c r="E835" s="13" t="s">
        <v>1771</v>
      </c>
      <c r="F835" s="43">
        <v>219.12</v>
      </c>
    </row>
    <row r="836" spans="2:6" x14ac:dyDescent="0.25">
      <c r="B836" s="13" t="s">
        <v>1772</v>
      </c>
      <c r="C836" s="15" t="s">
        <v>104</v>
      </c>
      <c r="D836" s="13" t="s">
        <v>470</v>
      </c>
      <c r="E836" s="13" t="s">
        <v>1773</v>
      </c>
      <c r="F836" s="43">
        <v>246.81</v>
      </c>
    </row>
    <row r="837" spans="2:6" x14ac:dyDescent="0.25">
      <c r="B837" s="13" t="s">
        <v>1774</v>
      </c>
      <c r="C837" s="15" t="s">
        <v>104</v>
      </c>
      <c r="D837" s="13" t="s">
        <v>470</v>
      </c>
      <c r="E837" s="13" t="s">
        <v>1775</v>
      </c>
      <c r="F837" s="43">
        <v>275.60000000000002</v>
      </c>
    </row>
    <row r="838" spans="2:6" x14ac:dyDescent="0.25">
      <c r="B838" s="13" t="s">
        <v>1776</v>
      </c>
      <c r="C838" s="15" t="s">
        <v>104</v>
      </c>
      <c r="D838" s="13" t="s">
        <v>121</v>
      </c>
      <c r="E838" s="13" t="s">
        <v>1777</v>
      </c>
      <c r="F838" s="43">
        <v>47.31</v>
      </c>
    </row>
    <row r="839" spans="2:6" x14ac:dyDescent="0.25">
      <c r="B839" s="13" t="s">
        <v>1778</v>
      </c>
      <c r="C839" s="15" t="s">
        <v>104</v>
      </c>
      <c r="D839" s="13" t="s">
        <v>121</v>
      </c>
      <c r="E839" s="13" t="s">
        <v>1779</v>
      </c>
      <c r="F839" s="43">
        <v>50.66</v>
      </c>
    </row>
    <row r="840" spans="2:6" x14ac:dyDescent="0.25">
      <c r="B840" s="13" t="s">
        <v>1780</v>
      </c>
      <c r="C840" s="15" t="s">
        <v>104</v>
      </c>
      <c r="D840" s="13" t="s">
        <v>121</v>
      </c>
      <c r="E840" s="13" t="s">
        <v>1781</v>
      </c>
      <c r="F840" s="43">
        <v>54.01</v>
      </c>
    </row>
    <row r="841" spans="2:6" x14ac:dyDescent="0.25">
      <c r="B841" s="13" t="s">
        <v>1782</v>
      </c>
      <c r="C841" s="15" t="s">
        <v>104</v>
      </c>
      <c r="D841" s="13" t="s">
        <v>121</v>
      </c>
      <c r="E841" s="13" t="s">
        <v>1783</v>
      </c>
      <c r="F841" s="43">
        <v>76.92</v>
      </c>
    </row>
    <row r="842" spans="2:6" x14ac:dyDescent="0.25">
      <c r="B842" s="13" t="s">
        <v>1784</v>
      </c>
      <c r="C842" s="15" t="s">
        <v>104</v>
      </c>
      <c r="D842" s="13" t="s">
        <v>121</v>
      </c>
      <c r="E842" s="13" t="s">
        <v>1785</v>
      </c>
      <c r="F842" s="43">
        <v>97.19</v>
      </c>
    </row>
    <row r="843" spans="2:6" x14ac:dyDescent="0.25">
      <c r="B843" s="13" t="s">
        <v>1786</v>
      </c>
      <c r="C843" s="15" t="s">
        <v>104</v>
      </c>
      <c r="D843" s="13" t="s">
        <v>121</v>
      </c>
      <c r="E843" s="13" t="s">
        <v>1787</v>
      </c>
      <c r="F843" s="43">
        <v>138.83000000000001</v>
      </c>
    </row>
    <row r="844" spans="2:6" x14ac:dyDescent="0.25">
      <c r="B844" s="13" t="s">
        <v>1788</v>
      </c>
      <c r="C844" s="15" t="s">
        <v>104</v>
      </c>
      <c r="D844" s="13" t="s">
        <v>121</v>
      </c>
      <c r="E844" s="13" t="s">
        <v>1789</v>
      </c>
      <c r="F844" s="43">
        <v>47.31</v>
      </c>
    </row>
    <row r="845" spans="2:6" x14ac:dyDescent="0.25">
      <c r="B845" s="13" t="s">
        <v>1790</v>
      </c>
      <c r="C845" s="15" t="s">
        <v>104</v>
      </c>
      <c r="D845" s="13" t="s">
        <v>121</v>
      </c>
      <c r="E845" s="13" t="s">
        <v>1791</v>
      </c>
      <c r="F845" s="43">
        <v>50.66</v>
      </c>
    </row>
    <row r="846" spans="2:6" x14ac:dyDescent="0.25">
      <c r="B846" s="13" t="s">
        <v>1792</v>
      </c>
      <c r="C846" s="15" t="s">
        <v>104</v>
      </c>
      <c r="D846" s="13" t="s">
        <v>121</v>
      </c>
      <c r="E846" s="13" t="s">
        <v>1793</v>
      </c>
      <c r="F846" s="43">
        <v>54.01</v>
      </c>
    </row>
    <row r="847" spans="2:6" x14ac:dyDescent="0.25">
      <c r="B847" s="13" t="s">
        <v>1794</v>
      </c>
      <c r="C847" s="15" t="s">
        <v>104</v>
      </c>
      <c r="D847" s="13" t="s">
        <v>121</v>
      </c>
      <c r="E847" s="13" t="s">
        <v>1795</v>
      </c>
      <c r="F847" s="43">
        <v>76.92</v>
      </c>
    </row>
    <row r="848" spans="2:6" x14ac:dyDescent="0.25">
      <c r="B848" s="13" t="s">
        <v>1796</v>
      </c>
      <c r="C848" s="15" t="s">
        <v>104</v>
      </c>
      <c r="D848" s="13" t="s">
        <v>121</v>
      </c>
      <c r="E848" s="13" t="s">
        <v>1797</v>
      </c>
      <c r="F848" s="43">
        <v>97.19</v>
      </c>
    </row>
    <row r="849" spans="2:6" x14ac:dyDescent="0.25">
      <c r="B849" s="13" t="s">
        <v>1798</v>
      </c>
      <c r="C849" s="15" t="s">
        <v>104</v>
      </c>
      <c r="D849" s="13" t="s">
        <v>121</v>
      </c>
      <c r="E849" s="13" t="s">
        <v>1799</v>
      </c>
      <c r="F849" s="43">
        <v>138.83000000000001</v>
      </c>
    </row>
    <row r="850" spans="2:6" x14ac:dyDescent="0.25">
      <c r="B850" s="13" t="s">
        <v>1800</v>
      </c>
      <c r="C850" s="15" t="s">
        <v>104</v>
      </c>
      <c r="D850" s="13" t="s">
        <v>121</v>
      </c>
      <c r="E850" s="13" t="s">
        <v>1801</v>
      </c>
      <c r="F850" s="43">
        <v>47.31</v>
      </c>
    </row>
    <row r="851" spans="2:6" x14ac:dyDescent="0.25">
      <c r="B851" s="13" t="s">
        <v>1802</v>
      </c>
      <c r="C851" s="15" t="s">
        <v>104</v>
      </c>
      <c r="D851" s="13" t="s">
        <v>121</v>
      </c>
      <c r="E851" s="13" t="s">
        <v>1803</v>
      </c>
      <c r="F851" s="43">
        <v>50.66</v>
      </c>
    </row>
    <row r="852" spans="2:6" x14ac:dyDescent="0.25">
      <c r="B852" s="13" t="s">
        <v>1804</v>
      </c>
      <c r="C852" s="15" t="s">
        <v>104</v>
      </c>
      <c r="D852" s="13" t="s">
        <v>121</v>
      </c>
      <c r="E852" s="13" t="s">
        <v>1805</v>
      </c>
      <c r="F852" s="43">
        <v>54.01</v>
      </c>
    </row>
    <row r="853" spans="2:6" x14ac:dyDescent="0.25">
      <c r="B853" s="13" t="s">
        <v>1806</v>
      </c>
      <c r="C853" s="15" t="s">
        <v>104</v>
      </c>
      <c r="D853" s="13" t="s">
        <v>121</v>
      </c>
      <c r="E853" s="13" t="s">
        <v>1807</v>
      </c>
      <c r="F853" s="43">
        <v>76.92</v>
      </c>
    </row>
    <row r="854" spans="2:6" x14ac:dyDescent="0.25">
      <c r="B854" s="13" t="s">
        <v>1808</v>
      </c>
      <c r="C854" s="15" t="s">
        <v>104</v>
      </c>
      <c r="D854" s="13" t="s">
        <v>121</v>
      </c>
      <c r="E854" s="13" t="s">
        <v>1809</v>
      </c>
      <c r="F854" s="43">
        <v>97.19</v>
      </c>
    </row>
    <row r="855" spans="2:6" x14ac:dyDescent="0.25">
      <c r="B855" s="13" t="s">
        <v>1810</v>
      </c>
      <c r="C855" s="15" t="s">
        <v>104</v>
      </c>
      <c r="D855" s="13" t="s">
        <v>121</v>
      </c>
      <c r="E855" s="13" t="s">
        <v>1811</v>
      </c>
      <c r="F855" s="43">
        <v>138.83000000000001</v>
      </c>
    </row>
    <row r="856" spans="2:6" x14ac:dyDescent="0.25">
      <c r="B856" s="13" t="s">
        <v>1812</v>
      </c>
      <c r="C856" s="15" t="s">
        <v>104</v>
      </c>
      <c r="D856" s="13" t="s">
        <v>470</v>
      </c>
      <c r="E856" s="13" t="s">
        <v>1813</v>
      </c>
      <c r="F856" s="43">
        <v>54.44</v>
      </c>
    </row>
    <row r="857" spans="2:6" x14ac:dyDescent="0.25">
      <c r="B857" s="13" t="s">
        <v>1814</v>
      </c>
      <c r="C857" s="15" t="s">
        <v>104</v>
      </c>
      <c r="D857" s="13" t="s">
        <v>470</v>
      </c>
      <c r="E857" s="13" t="s">
        <v>1815</v>
      </c>
      <c r="F857" s="43">
        <v>56.73</v>
      </c>
    </row>
    <row r="858" spans="2:6" x14ac:dyDescent="0.25">
      <c r="B858" s="13" t="s">
        <v>1816</v>
      </c>
      <c r="C858" s="15" t="s">
        <v>104</v>
      </c>
      <c r="D858" s="13" t="s">
        <v>470</v>
      </c>
      <c r="E858" s="13" t="s">
        <v>1817</v>
      </c>
      <c r="F858" s="43">
        <v>72.05</v>
      </c>
    </row>
    <row r="859" spans="2:6" x14ac:dyDescent="0.25">
      <c r="B859" s="13" t="s">
        <v>1818</v>
      </c>
      <c r="C859" s="15" t="s">
        <v>104</v>
      </c>
      <c r="D859" s="13" t="s">
        <v>470</v>
      </c>
      <c r="E859" s="13" t="s">
        <v>1819</v>
      </c>
      <c r="F859" s="43">
        <v>80.64</v>
      </c>
    </row>
    <row r="860" spans="2:6" x14ac:dyDescent="0.25">
      <c r="B860" s="13" t="s">
        <v>1820</v>
      </c>
      <c r="C860" s="15" t="s">
        <v>104</v>
      </c>
      <c r="D860" s="13" t="s">
        <v>470</v>
      </c>
      <c r="E860" s="13" t="s">
        <v>1821</v>
      </c>
      <c r="F860" s="43">
        <v>114.44</v>
      </c>
    </row>
    <row r="861" spans="2:6" x14ac:dyDescent="0.25">
      <c r="B861" s="13" t="s">
        <v>1822</v>
      </c>
      <c r="C861" s="15" t="s">
        <v>104</v>
      </c>
      <c r="D861" s="13" t="s">
        <v>470</v>
      </c>
      <c r="E861" s="13" t="s">
        <v>1823</v>
      </c>
      <c r="F861" s="43">
        <v>174.74</v>
      </c>
    </row>
    <row r="862" spans="2:6" x14ac:dyDescent="0.25">
      <c r="B862" s="13" t="s">
        <v>1824</v>
      </c>
      <c r="C862" s="15" t="s">
        <v>104</v>
      </c>
      <c r="D862" s="13" t="s">
        <v>470</v>
      </c>
      <c r="E862" s="13" t="s">
        <v>1825</v>
      </c>
      <c r="F862" s="43">
        <v>131.81</v>
      </c>
    </row>
    <row r="863" spans="2:6" x14ac:dyDescent="0.25">
      <c r="B863" s="13" t="s">
        <v>1826</v>
      </c>
      <c r="C863" s="15" t="s">
        <v>104</v>
      </c>
      <c r="D863" s="13" t="s">
        <v>470</v>
      </c>
      <c r="E863" s="13" t="s">
        <v>1827</v>
      </c>
      <c r="F863" s="43">
        <v>143.09</v>
      </c>
    </row>
    <row r="864" spans="2:6" x14ac:dyDescent="0.25">
      <c r="B864" s="13" t="s">
        <v>1828</v>
      </c>
      <c r="C864" s="15" t="s">
        <v>104</v>
      </c>
      <c r="D864" s="13" t="s">
        <v>470</v>
      </c>
      <c r="E864" s="13" t="s">
        <v>1829</v>
      </c>
      <c r="F864" s="43">
        <v>192.28</v>
      </c>
    </row>
    <row r="865" spans="2:6" x14ac:dyDescent="0.25">
      <c r="B865" s="13" t="s">
        <v>1830</v>
      </c>
      <c r="C865" s="15" t="s">
        <v>104</v>
      </c>
      <c r="D865" s="13" t="s">
        <v>470</v>
      </c>
      <c r="E865" s="13" t="s">
        <v>1831</v>
      </c>
      <c r="F865" s="43">
        <v>228.23</v>
      </c>
    </row>
    <row r="866" spans="2:6" x14ac:dyDescent="0.25">
      <c r="B866" s="13" t="s">
        <v>1832</v>
      </c>
      <c r="C866" s="15" t="s">
        <v>104</v>
      </c>
      <c r="D866" s="13" t="s">
        <v>470</v>
      </c>
      <c r="E866" s="13" t="s">
        <v>1833</v>
      </c>
      <c r="F866" s="43">
        <v>385.53</v>
      </c>
    </row>
    <row r="867" spans="2:6" x14ac:dyDescent="0.25">
      <c r="B867" s="13" t="s">
        <v>1834</v>
      </c>
      <c r="C867" s="15" t="s">
        <v>104</v>
      </c>
      <c r="D867" s="13" t="s">
        <v>470</v>
      </c>
      <c r="E867" s="13" t="s">
        <v>1835</v>
      </c>
      <c r="F867" s="43">
        <v>499.57</v>
      </c>
    </row>
    <row r="868" spans="2:6" x14ac:dyDescent="0.25">
      <c r="B868" s="13" t="s">
        <v>1836</v>
      </c>
      <c r="C868" s="15" t="s">
        <v>104</v>
      </c>
      <c r="D868" s="13" t="s">
        <v>105</v>
      </c>
      <c r="E868" s="13" t="s">
        <v>1837</v>
      </c>
      <c r="F868" s="43">
        <v>24.23</v>
      </c>
    </row>
    <row r="869" spans="2:6" x14ac:dyDescent="0.25">
      <c r="B869" s="13" t="s">
        <v>1838</v>
      </c>
      <c r="C869" s="15" t="s">
        <v>104</v>
      </c>
      <c r="D869" s="13" t="s">
        <v>105</v>
      </c>
      <c r="E869" s="13" t="s">
        <v>1839</v>
      </c>
      <c r="F869" s="43">
        <v>25</v>
      </c>
    </row>
    <row r="870" spans="2:6" x14ac:dyDescent="0.25">
      <c r="B870" s="13" t="s">
        <v>1840</v>
      </c>
      <c r="C870" s="15" t="s">
        <v>104</v>
      </c>
      <c r="D870" s="13" t="s">
        <v>118</v>
      </c>
      <c r="E870" s="13" t="s">
        <v>1841</v>
      </c>
      <c r="F870" s="43">
        <v>4.6399999999999997</v>
      </c>
    </row>
    <row r="871" spans="2:6" x14ac:dyDescent="0.25">
      <c r="B871" s="13" t="s">
        <v>1842</v>
      </c>
      <c r="C871" s="15" t="s">
        <v>104</v>
      </c>
      <c r="D871" s="13" t="s">
        <v>118</v>
      </c>
      <c r="E871" s="13" t="s">
        <v>1843</v>
      </c>
      <c r="F871" s="43">
        <v>4.6399999999999997</v>
      </c>
    </row>
    <row r="872" spans="2:6" x14ac:dyDescent="0.25">
      <c r="B872" s="13" t="s">
        <v>1844</v>
      </c>
      <c r="C872" s="15" t="s">
        <v>104</v>
      </c>
      <c r="D872" s="13" t="s">
        <v>118</v>
      </c>
      <c r="E872" s="13" t="s">
        <v>1845</v>
      </c>
      <c r="F872" s="43">
        <v>4.6399999999999997</v>
      </c>
    </row>
    <row r="873" spans="2:6" x14ac:dyDescent="0.25">
      <c r="B873" s="13" t="s">
        <v>1846</v>
      </c>
      <c r="C873" s="15" t="s">
        <v>104</v>
      </c>
      <c r="D873" s="13" t="s">
        <v>118</v>
      </c>
      <c r="E873" s="13" t="s">
        <v>1847</v>
      </c>
      <c r="F873" s="43">
        <v>4.6399999999999997</v>
      </c>
    </row>
    <row r="874" spans="2:6" x14ac:dyDescent="0.25">
      <c r="B874" s="13" t="s">
        <v>1848</v>
      </c>
      <c r="C874" s="15" t="s">
        <v>104</v>
      </c>
      <c r="D874" s="13" t="s">
        <v>118</v>
      </c>
      <c r="E874" s="13" t="s">
        <v>1849</v>
      </c>
      <c r="F874" s="43">
        <v>4.6399999999999997</v>
      </c>
    </row>
    <row r="875" spans="2:6" x14ac:dyDescent="0.25">
      <c r="B875" s="13" t="s">
        <v>1850</v>
      </c>
      <c r="C875" s="15" t="s">
        <v>104</v>
      </c>
      <c r="D875" s="13" t="s">
        <v>118</v>
      </c>
      <c r="E875" s="13" t="s">
        <v>1851</v>
      </c>
      <c r="F875" s="43">
        <v>4.6399999999999997</v>
      </c>
    </row>
    <row r="876" spans="2:6" x14ac:dyDescent="0.25">
      <c r="B876" s="13" t="s">
        <v>1852</v>
      </c>
      <c r="C876" s="15" t="s">
        <v>104</v>
      </c>
      <c r="D876" s="13" t="s">
        <v>118</v>
      </c>
      <c r="E876" s="13" t="s">
        <v>1853</v>
      </c>
      <c r="F876" s="43">
        <v>4.83</v>
      </c>
    </row>
    <row r="877" spans="2:6" x14ac:dyDescent="0.25">
      <c r="B877" s="13" t="s">
        <v>1854</v>
      </c>
      <c r="C877" s="15" t="s">
        <v>104</v>
      </c>
      <c r="D877" s="13" t="s">
        <v>118</v>
      </c>
      <c r="E877" s="13" t="s">
        <v>1855</v>
      </c>
      <c r="F877" s="43">
        <v>4.83</v>
      </c>
    </row>
    <row r="878" spans="2:6" x14ac:dyDescent="0.25">
      <c r="B878" s="13" t="s">
        <v>1856</v>
      </c>
      <c r="C878" s="15" t="s">
        <v>104</v>
      </c>
      <c r="D878" s="13" t="s">
        <v>118</v>
      </c>
      <c r="E878" s="13" t="s">
        <v>1857</v>
      </c>
      <c r="F878" s="43">
        <v>4.83</v>
      </c>
    </row>
    <row r="879" spans="2:6" x14ac:dyDescent="0.25">
      <c r="B879" s="13" t="s">
        <v>1858</v>
      </c>
      <c r="C879" s="15" t="s">
        <v>104</v>
      </c>
      <c r="D879" s="13" t="s">
        <v>118</v>
      </c>
      <c r="E879" s="13" t="s">
        <v>1859</v>
      </c>
      <c r="F879" s="43">
        <v>4.83</v>
      </c>
    </row>
    <row r="880" spans="2:6" x14ac:dyDescent="0.25">
      <c r="B880" s="13" t="s">
        <v>1860</v>
      </c>
      <c r="C880" s="15" t="s">
        <v>104</v>
      </c>
      <c r="D880" s="13" t="s">
        <v>118</v>
      </c>
      <c r="E880" s="13" t="s">
        <v>1861</v>
      </c>
      <c r="F880" s="43">
        <v>4.83</v>
      </c>
    </row>
    <row r="881" spans="2:6" x14ac:dyDescent="0.25">
      <c r="B881" s="13" t="s">
        <v>1862</v>
      </c>
      <c r="C881" s="15" t="s">
        <v>104</v>
      </c>
      <c r="D881" s="13" t="s">
        <v>118</v>
      </c>
      <c r="E881" s="13" t="s">
        <v>1863</v>
      </c>
      <c r="F881" s="43">
        <v>4.83</v>
      </c>
    </row>
    <row r="882" spans="2:6" x14ac:dyDescent="0.25">
      <c r="B882" s="13" t="s">
        <v>1864</v>
      </c>
      <c r="C882" s="15" t="s">
        <v>104</v>
      </c>
      <c r="D882" s="13" t="s">
        <v>118</v>
      </c>
      <c r="E882" s="13" t="s">
        <v>28664</v>
      </c>
      <c r="F882" s="43">
        <v>12.61</v>
      </c>
    </row>
    <row r="883" spans="2:6" x14ac:dyDescent="0.25">
      <c r="B883" s="13" t="s">
        <v>1865</v>
      </c>
      <c r="C883" s="15" t="s">
        <v>104</v>
      </c>
      <c r="D883" s="13" t="s">
        <v>118</v>
      </c>
      <c r="E883" s="13" t="s">
        <v>28665</v>
      </c>
      <c r="F883" s="43">
        <v>12.61</v>
      </c>
    </row>
    <row r="884" spans="2:6" x14ac:dyDescent="0.25">
      <c r="B884" s="13" t="s">
        <v>1866</v>
      </c>
      <c r="C884" s="15" t="s">
        <v>104</v>
      </c>
      <c r="D884" s="13" t="s">
        <v>118</v>
      </c>
      <c r="E884" s="13" t="s">
        <v>28666</v>
      </c>
      <c r="F884" s="43">
        <v>12.61</v>
      </c>
    </row>
    <row r="885" spans="2:6" x14ac:dyDescent="0.25">
      <c r="B885" s="13" t="s">
        <v>1867</v>
      </c>
      <c r="C885" s="15" t="s">
        <v>104</v>
      </c>
      <c r="D885" s="13" t="s">
        <v>118</v>
      </c>
      <c r="E885" s="13" t="s">
        <v>28667</v>
      </c>
      <c r="F885" s="43">
        <v>12.61</v>
      </c>
    </row>
    <row r="886" spans="2:6" x14ac:dyDescent="0.25">
      <c r="B886" s="13" t="s">
        <v>1868</v>
      </c>
      <c r="C886" s="15" t="s">
        <v>104</v>
      </c>
      <c r="D886" s="13" t="s">
        <v>118</v>
      </c>
      <c r="E886" s="13" t="s">
        <v>28668</v>
      </c>
      <c r="F886" s="43">
        <v>12.61</v>
      </c>
    </row>
    <row r="887" spans="2:6" x14ac:dyDescent="0.25">
      <c r="B887" s="13" t="s">
        <v>1869</v>
      </c>
      <c r="C887" s="15" t="s">
        <v>104</v>
      </c>
      <c r="D887" s="13" t="s">
        <v>118</v>
      </c>
      <c r="E887" s="13" t="s">
        <v>28669</v>
      </c>
      <c r="F887" s="43">
        <v>12.61</v>
      </c>
    </row>
    <row r="888" spans="2:6" x14ac:dyDescent="0.25">
      <c r="B888" s="13" t="s">
        <v>1870</v>
      </c>
      <c r="C888" s="15" t="s">
        <v>104</v>
      </c>
      <c r="D888" s="13" t="s">
        <v>118</v>
      </c>
      <c r="E888" s="13" t="s">
        <v>28670</v>
      </c>
      <c r="F888" s="43">
        <v>12.61</v>
      </c>
    </row>
    <row r="889" spans="2:6" x14ac:dyDescent="0.25">
      <c r="B889" s="13" t="s">
        <v>1871</v>
      </c>
      <c r="C889" s="15" t="s">
        <v>104</v>
      </c>
      <c r="D889" s="13" t="s">
        <v>118</v>
      </c>
      <c r="E889" s="13" t="s">
        <v>28671</v>
      </c>
      <c r="F889" s="43">
        <v>12.61</v>
      </c>
    </row>
    <row r="890" spans="2:6" x14ac:dyDescent="0.25">
      <c r="B890" s="13" t="s">
        <v>1872</v>
      </c>
      <c r="C890" s="15" t="s">
        <v>104</v>
      </c>
      <c r="D890" s="13" t="s">
        <v>118</v>
      </c>
      <c r="E890" s="13" t="s">
        <v>1873</v>
      </c>
      <c r="F890" s="43">
        <v>50.63</v>
      </c>
    </row>
    <row r="891" spans="2:6" x14ac:dyDescent="0.25">
      <c r="B891" s="13" t="s">
        <v>1874</v>
      </c>
      <c r="C891" s="15" t="s">
        <v>104</v>
      </c>
      <c r="D891" s="13" t="s">
        <v>118</v>
      </c>
      <c r="E891" s="13" t="s">
        <v>1875</v>
      </c>
      <c r="F891" s="43">
        <v>50.63</v>
      </c>
    </row>
    <row r="892" spans="2:6" x14ac:dyDescent="0.25">
      <c r="B892" s="13" t="s">
        <v>1876</v>
      </c>
      <c r="C892" s="15" t="s">
        <v>104</v>
      </c>
      <c r="D892" s="13" t="s">
        <v>118</v>
      </c>
      <c r="E892" s="13" t="s">
        <v>1877</v>
      </c>
      <c r="F892" s="43">
        <v>50.63</v>
      </c>
    </row>
    <row r="893" spans="2:6" x14ac:dyDescent="0.25">
      <c r="B893" s="13" t="s">
        <v>1878</v>
      </c>
      <c r="C893" s="15" t="s">
        <v>104</v>
      </c>
      <c r="D893" s="13" t="s">
        <v>118</v>
      </c>
      <c r="E893" s="13" t="s">
        <v>1879</v>
      </c>
      <c r="F893" s="43">
        <v>50.63</v>
      </c>
    </row>
    <row r="894" spans="2:6" x14ac:dyDescent="0.25">
      <c r="B894" s="13" t="s">
        <v>1880</v>
      </c>
      <c r="C894" s="15" t="s">
        <v>104</v>
      </c>
      <c r="D894" s="13" t="s">
        <v>118</v>
      </c>
      <c r="E894" s="13" t="s">
        <v>1881</v>
      </c>
      <c r="F894" s="43">
        <v>50.63</v>
      </c>
    </row>
    <row r="895" spans="2:6" x14ac:dyDescent="0.25">
      <c r="B895" s="13" t="s">
        <v>1882</v>
      </c>
      <c r="C895" s="15" t="s">
        <v>104</v>
      </c>
      <c r="D895" s="13" t="s">
        <v>118</v>
      </c>
      <c r="E895" s="13" t="s">
        <v>1883</v>
      </c>
      <c r="F895" s="43">
        <v>50.63</v>
      </c>
    </row>
    <row r="896" spans="2:6" x14ac:dyDescent="0.25">
      <c r="B896" s="13" t="s">
        <v>1884</v>
      </c>
      <c r="C896" s="15" t="s">
        <v>104</v>
      </c>
      <c r="D896" s="13" t="s">
        <v>118</v>
      </c>
      <c r="E896" s="13" t="s">
        <v>1885</v>
      </c>
      <c r="F896" s="43">
        <v>50.63</v>
      </c>
    </row>
    <row r="897" spans="2:6" x14ac:dyDescent="0.25">
      <c r="B897" s="13" t="s">
        <v>1886</v>
      </c>
      <c r="C897" s="15" t="s">
        <v>104</v>
      </c>
      <c r="D897" s="13" t="s">
        <v>118</v>
      </c>
      <c r="E897" s="13" t="s">
        <v>1887</v>
      </c>
      <c r="F897" s="43">
        <v>50.63</v>
      </c>
    </row>
    <row r="898" spans="2:6" x14ac:dyDescent="0.25">
      <c r="B898" s="13" t="s">
        <v>1888</v>
      </c>
      <c r="C898" s="15" t="s">
        <v>104</v>
      </c>
      <c r="D898" s="13" t="s">
        <v>118</v>
      </c>
      <c r="E898" s="13" t="s">
        <v>1889</v>
      </c>
      <c r="F898" s="43">
        <v>5.18</v>
      </c>
    </row>
    <row r="899" spans="2:6" x14ac:dyDescent="0.25">
      <c r="B899" s="13" t="s">
        <v>1890</v>
      </c>
      <c r="C899" s="15" t="s">
        <v>104</v>
      </c>
      <c r="D899" s="13" t="s">
        <v>118</v>
      </c>
      <c r="E899" s="13" t="s">
        <v>1891</v>
      </c>
      <c r="F899" s="43">
        <v>5.18</v>
      </c>
    </row>
    <row r="900" spans="2:6" x14ac:dyDescent="0.25">
      <c r="B900" s="13" t="s">
        <v>1892</v>
      </c>
      <c r="C900" s="15" t="s">
        <v>104</v>
      </c>
      <c r="D900" s="13" t="s">
        <v>118</v>
      </c>
      <c r="E900" s="13" t="s">
        <v>1893</v>
      </c>
      <c r="F900" s="43">
        <v>5.18</v>
      </c>
    </row>
    <row r="901" spans="2:6" x14ac:dyDescent="0.25">
      <c r="B901" s="13" t="s">
        <v>1894</v>
      </c>
      <c r="C901" s="15" t="s">
        <v>104</v>
      </c>
      <c r="D901" s="13" t="s">
        <v>118</v>
      </c>
      <c r="E901" s="13" t="s">
        <v>1895</v>
      </c>
      <c r="F901" s="43">
        <v>5.18</v>
      </c>
    </row>
    <row r="902" spans="2:6" x14ac:dyDescent="0.25">
      <c r="B902" s="13" t="s">
        <v>1896</v>
      </c>
      <c r="C902" s="15" t="s">
        <v>104</v>
      </c>
      <c r="D902" s="13" t="s">
        <v>118</v>
      </c>
      <c r="E902" s="13" t="s">
        <v>1897</v>
      </c>
      <c r="F902" s="43">
        <v>5.18</v>
      </c>
    </row>
    <row r="903" spans="2:6" x14ac:dyDescent="0.25">
      <c r="B903" s="13" t="s">
        <v>1898</v>
      </c>
      <c r="C903" s="15" t="s">
        <v>104</v>
      </c>
      <c r="D903" s="13" t="s">
        <v>118</v>
      </c>
      <c r="E903" s="13" t="s">
        <v>1899</v>
      </c>
      <c r="F903" s="43">
        <v>5.18</v>
      </c>
    </row>
    <row r="904" spans="2:6" x14ac:dyDescent="0.25">
      <c r="B904" s="13" t="s">
        <v>1900</v>
      </c>
      <c r="C904" s="15" t="s">
        <v>104</v>
      </c>
      <c r="D904" s="13" t="s">
        <v>118</v>
      </c>
      <c r="E904" s="13" t="s">
        <v>1901</v>
      </c>
      <c r="F904" s="43">
        <v>5.45</v>
      </c>
    </row>
    <row r="905" spans="2:6" x14ac:dyDescent="0.25">
      <c r="B905" s="13" t="s">
        <v>1902</v>
      </c>
      <c r="C905" s="15" t="s">
        <v>104</v>
      </c>
      <c r="D905" s="13" t="s">
        <v>118</v>
      </c>
      <c r="E905" s="13" t="s">
        <v>1903</v>
      </c>
      <c r="F905" s="43">
        <v>5.45</v>
      </c>
    </row>
    <row r="906" spans="2:6" x14ac:dyDescent="0.25">
      <c r="B906" s="13" t="s">
        <v>1904</v>
      </c>
      <c r="C906" s="15" t="s">
        <v>104</v>
      </c>
      <c r="D906" s="13" t="s">
        <v>118</v>
      </c>
      <c r="E906" s="13" t="s">
        <v>1905</v>
      </c>
      <c r="F906" s="43">
        <v>5.45</v>
      </c>
    </row>
    <row r="907" spans="2:6" x14ac:dyDescent="0.25">
      <c r="B907" s="13" t="s">
        <v>1906</v>
      </c>
      <c r="C907" s="15" t="s">
        <v>104</v>
      </c>
      <c r="D907" s="13" t="s">
        <v>118</v>
      </c>
      <c r="E907" s="13" t="s">
        <v>1907</v>
      </c>
      <c r="F907" s="43">
        <v>5.45</v>
      </c>
    </row>
    <row r="908" spans="2:6" x14ac:dyDescent="0.25">
      <c r="B908" s="13" t="s">
        <v>1908</v>
      </c>
      <c r="C908" s="15" t="s">
        <v>104</v>
      </c>
      <c r="D908" s="13" t="s">
        <v>118</v>
      </c>
      <c r="E908" s="13" t="s">
        <v>1909</v>
      </c>
      <c r="F908" s="43">
        <v>5.45</v>
      </c>
    </row>
    <row r="909" spans="2:6" x14ac:dyDescent="0.25">
      <c r="B909" s="13" t="s">
        <v>1910</v>
      </c>
      <c r="C909" s="15" t="s">
        <v>104</v>
      </c>
      <c r="D909" s="13" t="s">
        <v>118</v>
      </c>
      <c r="E909" s="13" t="s">
        <v>1911</v>
      </c>
      <c r="F909" s="43">
        <v>5.45</v>
      </c>
    </row>
    <row r="910" spans="2:6" x14ac:dyDescent="0.25">
      <c r="B910" s="13" t="s">
        <v>1912</v>
      </c>
      <c r="C910" s="15" t="s">
        <v>104</v>
      </c>
      <c r="D910" s="13" t="s">
        <v>470</v>
      </c>
      <c r="E910" s="13" t="s">
        <v>1913</v>
      </c>
      <c r="F910" s="43">
        <v>51.58</v>
      </c>
    </row>
    <row r="911" spans="2:6" x14ac:dyDescent="0.25">
      <c r="B911" s="13" t="s">
        <v>1914</v>
      </c>
      <c r="C911" s="15" t="s">
        <v>104</v>
      </c>
      <c r="D911" s="13" t="s">
        <v>470</v>
      </c>
      <c r="E911" s="13" t="s">
        <v>1915</v>
      </c>
      <c r="F911" s="43">
        <v>51.58</v>
      </c>
    </row>
    <row r="912" spans="2:6" x14ac:dyDescent="0.25">
      <c r="B912" s="13" t="s">
        <v>1916</v>
      </c>
      <c r="C912" s="15" t="s">
        <v>104</v>
      </c>
      <c r="D912" s="13" t="s">
        <v>470</v>
      </c>
      <c r="E912" s="13" t="s">
        <v>1917</v>
      </c>
      <c r="F912" s="43">
        <v>51.58</v>
      </c>
    </row>
    <row r="913" spans="2:6" x14ac:dyDescent="0.25">
      <c r="B913" s="13" t="s">
        <v>1918</v>
      </c>
      <c r="C913" s="15" t="s">
        <v>104</v>
      </c>
      <c r="D913" s="13" t="s">
        <v>470</v>
      </c>
      <c r="E913" s="13" t="s">
        <v>1919</v>
      </c>
      <c r="F913" s="43">
        <v>51.58</v>
      </c>
    </row>
    <row r="914" spans="2:6" x14ac:dyDescent="0.25">
      <c r="B914" s="13" t="s">
        <v>1920</v>
      </c>
      <c r="C914" s="15" t="s">
        <v>104</v>
      </c>
      <c r="D914" s="13" t="s">
        <v>470</v>
      </c>
      <c r="E914" s="13" t="s">
        <v>1921</v>
      </c>
      <c r="F914" s="43">
        <v>51.58</v>
      </c>
    </row>
    <row r="915" spans="2:6" x14ac:dyDescent="0.25">
      <c r="B915" s="13" t="s">
        <v>1922</v>
      </c>
      <c r="C915" s="15" t="s">
        <v>104</v>
      </c>
      <c r="D915" s="13" t="s">
        <v>470</v>
      </c>
      <c r="E915" s="13" t="s">
        <v>1923</v>
      </c>
      <c r="F915" s="43">
        <v>356.89</v>
      </c>
    </row>
    <row r="916" spans="2:6" x14ac:dyDescent="0.25">
      <c r="B916" s="13" t="s">
        <v>1924</v>
      </c>
      <c r="C916" s="15" t="s">
        <v>104</v>
      </c>
      <c r="D916" s="13" t="s">
        <v>470</v>
      </c>
      <c r="E916" s="13" t="s">
        <v>1925</v>
      </c>
      <c r="F916" s="43">
        <v>97.48</v>
      </c>
    </row>
    <row r="917" spans="2:6" x14ac:dyDescent="0.25">
      <c r="B917" s="13" t="s">
        <v>1926</v>
      </c>
      <c r="C917" s="15" t="s">
        <v>104</v>
      </c>
      <c r="D917" s="13" t="s">
        <v>470</v>
      </c>
      <c r="E917" s="13" t="s">
        <v>1927</v>
      </c>
      <c r="F917" s="43">
        <v>97.48</v>
      </c>
    </row>
    <row r="918" spans="2:6" x14ac:dyDescent="0.25">
      <c r="B918" s="13" t="s">
        <v>1928</v>
      </c>
      <c r="C918" s="15" t="s">
        <v>104</v>
      </c>
      <c r="D918" s="13" t="s">
        <v>470</v>
      </c>
      <c r="E918" s="13" t="s">
        <v>1929</v>
      </c>
      <c r="F918" s="43">
        <v>85.16</v>
      </c>
    </row>
    <row r="919" spans="2:6" x14ac:dyDescent="0.25">
      <c r="B919" s="13" t="s">
        <v>1930</v>
      </c>
      <c r="C919" s="15" t="s">
        <v>104</v>
      </c>
      <c r="D919" s="13" t="s">
        <v>470</v>
      </c>
      <c r="E919" s="13" t="s">
        <v>1931</v>
      </c>
      <c r="F919" s="43">
        <v>89.27</v>
      </c>
    </row>
    <row r="920" spans="2:6" x14ac:dyDescent="0.25">
      <c r="B920" s="13" t="s">
        <v>1932</v>
      </c>
      <c r="C920" s="15" t="s">
        <v>104</v>
      </c>
      <c r="D920" s="13" t="s">
        <v>470</v>
      </c>
      <c r="E920" s="13" t="s">
        <v>1933</v>
      </c>
      <c r="F920" s="43">
        <v>99.97</v>
      </c>
    </row>
    <row r="921" spans="2:6" x14ac:dyDescent="0.25">
      <c r="B921" s="13" t="s">
        <v>1934</v>
      </c>
      <c r="C921" s="15" t="s">
        <v>104</v>
      </c>
      <c r="D921" s="13" t="s">
        <v>470</v>
      </c>
      <c r="E921" s="13" t="s">
        <v>1935</v>
      </c>
      <c r="F921" s="43">
        <v>91.44</v>
      </c>
    </row>
    <row r="922" spans="2:6" x14ac:dyDescent="0.25">
      <c r="B922" s="13" t="s">
        <v>1936</v>
      </c>
      <c r="C922" s="15" t="s">
        <v>104</v>
      </c>
      <c r="D922" s="13" t="s">
        <v>470</v>
      </c>
      <c r="E922" s="13" t="s">
        <v>1937</v>
      </c>
      <c r="F922" s="43">
        <v>93.45</v>
      </c>
    </row>
    <row r="923" spans="2:6" x14ac:dyDescent="0.25">
      <c r="B923" s="13" t="s">
        <v>1938</v>
      </c>
      <c r="C923" s="15" t="s">
        <v>104</v>
      </c>
      <c r="D923" s="13" t="s">
        <v>470</v>
      </c>
      <c r="E923" s="13" t="s">
        <v>1939</v>
      </c>
      <c r="F923" s="43">
        <v>103.29</v>
      </c>
    </row>
    <row r="924" spans="2:6" x14ac:dyDescent="0.25">
      <c r="B924" s="13" t="s">
        <v>1940</v>
      </c>
      <c r="C924" s="15" t="s">
        <v>104</v>
      </c>
      <c r="D924" s="13" t="s">
        <v>470</v>
      </c>
      <c r="E924" s="13" t="s">
        <v>1941</v>
      </c>
      <c r="F924" s="43">
        <v>13.08</v>
      </c>
    </row>
    <row r="925" spans="2:6" x14ac:dyDescent="0.25">
      <c r="B925" s="13" t="s">
        <v>1942</v>
      </c>
      <c r="C925" s="15" t="s">
        <v>104</v>
      </c>
      <c r="D925" s="13" t="s">
        <v>470</v>
      </c>
      <c r="E925" s="13" t="s">
        <v>1943</v>
      </c>
      <c r="F925" s="43">
        <v>13.08</v>
      </c>
    </row>
    <row r="926" spans="2:6" x14ac:dyDescent="0.25">
      <c r="B926" s="13" t="s">
        <v>1944</v>
      </c>
      <c r="C926" s="15" t="s">
        <v>104</v>
      </c>
      <c r="D926" s="13" t="s">
        <v>470</v>
      </c>
      <c r="E926" s="13" t="s">
        <v>1945</v>
      </c>
      <c r="F926" s="43">
        <v>13.08</v>
      </c>
    </row>
    <row r="927" spans="2:6" x14ac:dyDescent="0.25">
      <c r="B927" s="13" t="s">
        <v>1946</v>
      </c>
      <c r="C927" s="15" t="s">
        <v>104</v>
      </c>
      <c r="D927" s="13" t="s">
        <v>470</v>
      </c>
      <c r="E927" s="13" t="s">
        <v>1947</v>
      </c>
      <c r="F927" s="43">
        <v>13.08</v>
      </c>
    </row>
    <row r="928" spans="2:6" x14ac:dyDescent="0.25">
      <c r="B928" s="13" t="s">
        <v>1948</v>
      </c>
      <c r="C928" s="15" t="s">
        <v>104</v>
      </c>
      <c r="D928" s="13" t="s">
        <v>470</v>
      </c>
      <c r="E928" s="13" t="s">
        <v>1949</v>
      </c>
      <c r="F928" s="43">
        <v>13.08</v>
      </c>
    </row>
    <row r="929" spans="2:6" x14ac:dyDescent="0.25">
      <c r="B929" s="13" t="s">
        <v>1950</v>
      </c>
      <c r="C929" s="15" t="s">
        <v>104</v>
      </c>
      <c r="D929" s="13" t="s">
        <v>105</v>
      </c>
      <c r="E929" s="13" t="s">
        <v>1951</v>
      </c>
      <c r="F929" s="43">
        <v>8.25</v>
      </c>
    </row>
    <row r="930" spans="2:6" x14ac:dyDescent="0.25">
      <c r="B930" s="13" t="s">
        <v>1952</v>
      </c>
      <c r="C930" s="15" t="s">
        <v>104</v>
      </c>
      <c r="D930" s="13" t="s">
        <v>105</v>
      </c>
      <c r="E930" s="13" t="s">
        <v>1953</v>
      </c>
      <c r="F930" s="43">
        <v>10.8</v>
      </c>
    </row>
    <row r="931" spans="2:6" x14ac:dyDescent="0.25">
      <c r="B931" s="13" t="s">
        <v>1954</v>
      </c>
      <c r="C931" s="15" t="s">
        <v>104</v>
      </c>
      <c r="D931" s="13" t="s">
        <v>105</v>
      </c>
      <c r="E931" s="13" t="s">
        <v>1955</v>
      </c>
      <c r="F931" s="43">
        <v>10.8</v>
      </c>
    </row>
    <row r="932" spans="2:6" x14ac:dyDescent="0.25">
      <c r="B932" s="13" t="s">
        <v>1956</v>
      </c>
      <c r="C932" s="15" t="s">
        <v>104</v>
      </c>
      <c r="D932" s="13" t="s">
        <v>105</v>
      </c>
      <c r="E932" s="13" t="s">
        <v>1957</v>
      </c>
      <c r="F932" s="43">
        <v>11.07</v>
      </c>
    </row>
    <row r="933" spans="2:6" x14ac:dyDescent="0.25">
      <c r="B933" s="13" t="s">
        <v>1958</v>
      </c>
      <c r="C933" s="15" t="s">
        <v>104</v>
      </c>
      <c r="D933" s="13" t="s">
        <v>105</v>
      </c>
      <c r="E933" s="13" t="s">
        <v>1959</v>
      </c>
      <c r="F933" s="43">
        <v>11.48</v>
      </c>
    </row>
    <row r="934" spans="2:6" x14ac:dyDescent="0.25">
      <c r="B934" s="13" t="s">
        <v>1960</v>
      </c>
      <c r="C934" s="15" t="s">
        <v>104</v>
      </c>
      <c r="D934" s="13" t="s">
        <v>105</v>
      </c>
      <c r="E934" s="13" t="s">
        <v>1961</v>
      </c>
      <c r="F934" s="43">
        <v>19.079999999999998</v>
      </c>
    </row>
    <row r="935" spans="2:6" x14ac:dyDescent="0.25">
      <c r="B935" s="13" t="s">
        <v>1962</v>
      </c>
      <c r="C935" s="15" t="s">
        <v>104</v>
      </c>
      <c r="D935" s="13" t="s">
        <v>105</v>
      </c>
      <c r="E935" s="13" t="s">
        <v>1963</v>
      </c>
      <c r="F935" s="43">
        <v>37.5</v>
      </c>
    </row>
    <row r="936" spans="2:6" x14ac:dyDescent="0.25">
      <c r="B936" s="13" t="s">
        <v>1964</v>
      </c>
      <c r="C936" s="15" t="s">
        <v>104</v>
      </c>
      <c r="D936" s="13" t="s">
        <v>105</v>
      </c>
      <c r="E936" s="13" t="s">
        <v>1965</v>
      </c>
      <c r="F936" s="43">
        <v>50.67</v>
      </c>
    </row>
    <row r="937" spans="2:6" x14ac:dyDescent="0.25">
      <c r="B937" s="13" t="s">
        <v>1966</v>
      </c>
      <c r="C937" s="15" t="s">
        <v>104</v>
      </c>
      <c r="D937" s="13" t="s">
        <v>105</v>
      </c>
      <c r="E937" s="13" t="s">
        <v>1967</v>
      </c>
      <c r="F937" s="43">
        <v>65.180000000000007</v>
      </c>
    </row>
    <row r="938" spans="2:6" x14ac:dyDescent="0.25">
      <c r="B938" s="13" t="s">
        <v>1968</v>
      </c>
      <c r="C938" s="15" t="s">
        <v>104</v>
      </c>
      <c r="D938" s="13" t="s">
        <v>105</v>
      </c>
      <c r="E938" s="13" t="s">
        <v>1969</v>
      </c>
      <c r="F938" s="43">
        <v>105.9</v>
      </c>
    </row>
    <row r="939" spans="2:6" x14ac:dyDescent="0.25">
      <c r="B939" s="13" t="s">
        <v>1970</v>
      </c>
      <c r="C939" s="15" t="s">
        <v>104</v>
      </c>
      <c r="D939" s="13" t="s">
        <v>105</v>
      </c>
      <c r="E939" s="13" t="s">
        <v>1971</v>
      </c>
      <c r="F939" s="43">
        <v>124.29</v>
      </c>
    </row>
    <row r="940" spans="2:6" x14ac:dyDescent="0.25">
      <c r="B940" s="13" t="s">
        <v>1972</v>
      </c>
      <c r="C940" s="15" t="s">
        <v>104</v>
      </c>
      <c r="D940" s="13" t="s">
        <v>105</v>
      </c>
      <c r="E940" s="13" t="s">
        <v>1973</v>
      </c>
      <c r="F940" s="43">
        <v>349.43</v>
      </c>
    </row>
    <row r="941" spans="2:6" x14ac:dyDescent="0.25">
      <c r="B941" s="13" t="s">
        <v>1974</v>
      </c>
      <c r="C941" s="15" t="s">
        <v>104</v>
      </c>
      <c r="D941" s="13" t="s">
        <v>470</v>
      </c>
      <c r="E941" s="13" t="s">
        <v>1975</v>
      </c>
      <c r="F941" s="43">
        <v>179.83</v>
      </c>
    </row>
    <row r="942" spans="2:6" x14ac:dyDescent="0.25">
      <c r="B942" s="13" t="s">
        <v>1976</v>
      </c>
      <c r="C942" s="15" t="s">
        <v>104</v>
      </c>
      <c r="D942" s="13" t="s">
        <v>470</v>
      </c>
      <c r="E942" s="13" t="s">
        <v>1977</v>
      </c>
      <c r="F942" s="43">
        <v>181.33</v>
      </c>
    </row>
    <row r="943" spans="2:6" x14ac:dyDescent="0.25">
      <c r="B943" s="13" t="s">
        <v>1978</v>
      </c>
      <c r="C943" s="15" t="s">
        <v>104</v>
      </c>
      <c r="D943" s="13" t="s">
        <v>470</v>
      </c>
      <c r="E943" s="13" t="s">
        <v>1979</v>
      </c>
      <c r="F943" s="43">
        <v>196.73</v>
      </c>
    </row>
    <row r="944" spans="2:6" x14ac:dyDescent="0.25">
      <c r="B944" s="13" t="s">
        <v>1980</v>
      </c>
      <c r="C944" s="15" t="s">
        <v>104</v>
      </c>
      <c r="D944" s="13" t="s">
        <v>470</v>
      </c>
      <c r="E944" s="13" t="s">
        <v>1981</v>
      </c>
      <c r="F944" s="43">
        <v>295.52</v>
      </c>
    </row>
    <row r="945" spans="2:6" x14ac:dyDescent="0.25">
      <c r="B945" s="13" t="s">
        <v>1982</v>
      </c>
      <c r="C945" s="15" t="s">
        <v>104</v>
      </c>
      <c r="D945" s="13" t="s">
        <v>470</v>
      </c>
      <c r="E945" s="13" t="s">
        <v>1983</v>
      </c>
      <c r="F945" s="43">
        <v>320.10000000000002</v>
      </c>
    </row>
    <row r="946" spans="2:6" x14ac:dyDescent="0.25">
      <c r="B946" s="13" t="s">
        <v>1984</v>
      </c>
      <c r="C946" s="15" t="s">
        <v>104</v>
      </c>
      <c r="D946" s="13" t="s">
        <v>470</v>
      </c>
      <c r="E946" s="13" t="s">
        <v>1985</v>
      </c>
      <c r="F946" s="43">
        <v>375.52</v>
      </c>
    </row>
    <row r="947" spans="2:6" x14ac:dyDescent="0.25">
      <c r="B947" s="13" t="s">
        <v>1986</v>
      </c>
      <c r="C947" s="15" t="s">
        <v>104</v>
      </c>
      <c r="D947" s="13" t="s">
        <v>470</v>
      </c>
      <c r="E947" s="13" t="s">
        <v>1987</v>
      </c>
      <c r="F947" s="43">
        <v>200.7</v>
      </c>
    </row>
    <row r="948" spans="2:6" x14ac:dyDescent="0.25">
      <c r="B948" s="13" t="s">
        <v>1988</v>
      </c>
      <c r="C948" s="15" t="s">
        <v>104</v>
      </c>
      <c r="D948" s="13" t="s">
        <v>470</v>
      </c>
      <c r="E948" s="13" t="s">
        <v>1989</v>
      </c>
      <c r="F948" s="43">
        <v>240.74</v>
      </c>
    </row>
    <row r="949" spans="2:6" x14ac:dyDescent="0.25">
      <c r="B949" s="13" t="s">
        <v>1990</v>
      </c>
      <c r="C949" s="15" t="s">
        <v>104</v>
      </c>
      <c r="D949" s="13" t="s">
        <v>470</v>
      </c>
      <c r="E949" s="13" t="s">
        <v>1991</v>
      </c>
      <c r="F949" s="43">
        <v>276.75</v>
      </c>
    </row>
    <row r="950" spans="2:6" x14ac:dyDescent="0.25">
      <c r="B950" s="13" t="s">
        <v>1992</v>
      </c>
      <c r="C950" s="15" t="s">
        <v>104</v>
      </c>
      <c r="D950" s="13" t="s">
        <v>470</v>
      </c>
      <c r="E950" s="13" t="s">
        <v>1993</v>
      </c>
      <c r="F950" s="43">
        <v>353.56</v>
      </c>
    </row>
    <row r="951" spans="2:6" x14ac:dyDescent="0.25">
      <c r="B951" s="13" t="s">
        <v>1994</v>
      </c>
      <c r="C951" s="15" t="s">
        <v>104</v>
      </c>
      <c r="D951" s="13" t="s">
        <v>470</v>
      </c>
      <c r="E951" s="13" t="s">
        <v>1995</v>
      </c>
      <c r="F951" s="43">
        <v>426.93</v>
      </c>
    </row>
    <row r="952" spans="2:6" x14ac:dyDescent="0.25">
      <c r="B952" s="13" t="s">
        <v>1996</v>
      </c>
      <c r="C952" s="15" t="s">
        <v>104</v>
      </c>
      <c r="D952" s="13" t="s">
        <v>470</v>
      </c>
      <c r="E952" s="13" t="s">
        <v>1997</v>
      </c>
      <c r="F952" s="43">
        <v>569.04</v>
      </c>
    </row>
    <row r="953" spans="2:6" x14ac:dyDescent="0.25">
      <c r="B953" s="13" t="s">
        <v>1998</v>
      </c>
      <c r="C953" s="15" t="s">
        <v>104</v>
      </c>
      <c r="D953" s="13" t="s">
        <v>470</v>
      </c>
      <c r="E953" s="13" t="s">
        <v>1999</v>
      </c>
      <c r="F953" s="43">
        <v>1706.36</v>
      </c>
    </row>
    <row r="954" spans="2:6" x14ac:dyDescent="0.25">
      <c r="B954" s="13" t="s">
        <v>2000</v>
      </c>
      <c r="C954" s="15" t="s">
        <v>104</v>
      </c>
      <c r="D954" s="13" t="s">
        <v>470</v>
      </c>
      <c r="E954" s="13" t="s">
        <v>2001</v>
      </c>
      <c r="F954" s="43">
        <v>1763.55</v>
      </c>
    </row>
    <row r="955" spans="2:6" x14ac:dyDescent="0.25">
      <c r="B955" s="13" t="s">
        <v>2002</v>
      </c>
      <c r="C955" s="15" t="s">
        <v>104</v>
      </c>
      <c r="D955" s="13" t="s">
        <v>470</v>
      </c>
      <c r="E955" s="13" t="s">
        <v>2003</v>
      </c>
      <c r="F955" s="43">
        <v>1889.57</v>
      </c>
    </row>
    <row r="956" spans="2:6" x14ac:dyDescent="0.25">
      <c r="B956" s="13" t="s">
        <v>2004</v>
      </c>
      <c r="C956" s="15" t="s">
        <v>104</v>
      </c>
      <c r="D956" s="13" t="s">
        <v>470</v>
      </c>
      <c r="E956" s="13" t="s">
        <v>2005</v>
      </c>
      <c r="F956" s="43">
        <v>2041.22</v>
      </c>
    </row>
    <row r="957" spans="2:6" x14ac:dyDescent="0.25">
      <c r="B957" s="13" t="s">
        <v>2006</v>
      </c>
      <c r="C957" s="15" t="s">
        <v>104</v>
      </c>
      <c r="D957" s="13" t="s">
        <v>470</v>
      </c>
      <c r="E957" s="13" t="s">
        <v>2007</v>
      </c>
      <c r="F957" s="43">
        <v>2209.46</v>
      </c>
    </row>
    <row r="958" spans="2:6" x14ac:dyDescent="0.25">
      <c r="B958" s="13" t="s">
        <v>2008</v>
      </c>
      <c r="C958" s="15" t="s">
        <v>104</v>
      </c>
      <c r="D958" s="13" t="s">
        <v>470</v>
      </c>
      <c r="E958" s="13" t="s">
        <v>2009</v>
      </c>
      <c r="F958" s="43">
        <v>3168.38</v>
      </c>
    </row>
    <row r="959" spans="2:6" x14ac:dyDescent="0.25">
      <c r="B959" s="13" t="s">
        <v>2010</v>
      </c>
      <c r="C959" s="15" t="s">
        <v>104</v>
      </c>
      <c r="D959" s="13" t="s">
        <v>470</v>
      </c>
      <c r="E959" s="13" t="s">
        <v>2011</v>
      </c>
      <c r="F959" s="43">
        <v>4737.54</v>
      </c>
    </row>
    <row r="960" spans="2:6" x14ac:dyDescent="0.25">
      <c r="B960" s="13" t="s">
        <v>2012</v>
      </c>
      <c r="C960" s="15" t="s">
        <v>104</v>
      </c>
      <c r="D960" s="13" t="s">
        <v>470</v>
      </c>
      <c r="E960" s="13" t="s">
        <v>2013</v>
      </c>
      <c r="F960" s="43">
        <v>6628.42</v>
      </c>
    </row>
    <row r="961" spans="2:6" x14ac:dyDescent="0.25">
      <c r="B961" s="13" t="s">
        <v>2014</v>
      </c>
      <c r="C961" s="15" t="s">
        <v>104</v>
      </c>
      <c r="D961" s="13" t="s">
        <v>109</v>
      </c>
      <c r="E961" s="13" t="s">
        <v>2015</v>
      </c>
      <c r="F961" s="43">
        <v>148.03</v>
      </c>
    </row>
    <row r="962" spans="2:6" x14ac:dyDescent="0.25">
      <c r="B962" s="13" t="s">
        <v>2016</v>
      </c>
      <c r="C962" s="15" t="s">
        <v>104</v>
      </c>
      <c r="D962" s="13" t="s">
        <v>109</v>
      </c>
      <c r="E962" s="13" t="s">
        <v>2015</v>
      </c>
      <c r="F962" s="43">
        <v>148.03</v>
      </c>
    </row>
    <row r="963" spans="2:6" x14ac:dyDescent="0.25">
      <c r="B963" s="13" t="s">
        <v>2017</v>
      </c>
      <c r="C963" s="15" t="s">
        <v>104</v>
      </c>
      <c r="D963" s="13" t="s">
        <v>109</v>
      </c>
      <c r="E963" s="13" t="s">
        <v>2018</v>
      </c>
      <c r="F963" s="43">
        <v>198.69</v>
      </c>
    </row>
    <row r="964" spans="2:6" x14ac:dyDescent="0.25">
      <c r="B964" s="13" t="s">
        <v>2019</v>
      </c>
      <c r="C964" s="15" t="s">
        <v>104</v>
      </c>
      <c r="D964" s="13" t="s">
        <v>109</v>
      </c>
      <c r="E964" s="13" t="s">
        <v>2018</v>
      </c>
      <c r="F964" s="43">
        <v>198.69</v>
      </c>
    </row>
    <row r="965" spans="2:6" x14ac:dyDescent="0.25">
      <c r="B965" s="13" t="s">
        <v>2020</v>
      </c>
      <c r="C965" s="15" t="s">
        <v>104</v>
      </c>
      <c r="D965" s="13" t="s">
        <v>109</v>
      </c>
      <c r="E965" s="13" t="s">
        <v>2015</v>
      </c>
      <c r="F965" s="43">
        <v>200.43</v>
      </c>
    </row>
    <row r="966" spans="2:6" x14ac:dyDescent="0.25">
      <c r="B966" s="13" t="s">
        <v>2021</v>
      </c>
      <c r="C966" s="15" t="s">
        <v>104</v>
      </c>
      <c r="D966" s="13" t="s">
        <v>109</v>
      </c>
      <c r="E966" s="13" t="s">
        <v>2018</v>
      </c>
      <c r="F966" s="43">
        <v>249.1</v>
      </c>
    </row>
    <row r="967" spans="2:6" x14ac:dyDescent="0.25">
      <c r="B967" s="13" t="s">
        <v>2022</v>
      </c>
      <c r="C967" s="15" t="s">
        <v>104</v>
      </c>
      <c r="D967" s="13" t="s">
        <v>109</v>
      </c>
      <c r="E967" s="13" t="s">
        <v>2018</v>
      </c>
      <c r="F967" s="43">
        <v>249.1</v>
      </c>
    </row>
    <row r="968" spans="2:6" x14ac:dyDescent="0.25">
      <c r="B968" s="13" t="s">
        <v>2023</v>
      </c>
      <c r="C968" s="15" t="s">
        <v>104</v>
      </c>
      <c r="D968" s="13" t="s">
        <v>109</v>
      </c>
      <c r="E968" s="13" t="s">
        <v>2018</v>
      </c>
      <c r="F968" s="43">
        <v>254.96</v>
      </c>
    </row>
    <row r="969" spans="2:6" x14ac:dyDescent="0.25">
      <c r="B969" s="13" t="s">
        <v>2024</v>
      </c>
      <c r="C969" s="15" t="s">
        <v>104</v>
      </c>
      <c r="D969" s="13" t="s">
        <v>109</v>
      </c>
      <c r="E969" s="13" t="s">
        <v>2015</v>
      </c>
      <c r="F969" s="43">
        <v>251.48</v>
      </c>
    </row>
    <row r="970" spans="2:6" x14ac:dyDescent="0.25">
      <c r="B970" s="13" t="s">
        <v>2025</v>
      </c>
      <c r="C970" s="15" t="s">
        <v>104</v>
      </c>
      <c r="D970" s="13" t="s">
        <v>109</v>
      </c>
      <c r="E970" s="13" t="s">
        <v>2018</v>
      </c>
      <c r="F970" s="43">
        <v>314.08</v>
      </c>
    </row>
    <row r="971" spans="2:6" x14ac:dyDescent="0.25">
      <c r="B971" s="13" t="s">
        <v>2026</v>
      </c>
      <c r="C971" s="15" t="s">
        <v>104</v>
      </c>
      <c r="D971" s="13" t="s">
        <v>109</v>
      </c>
      <c r="E971" s="13" t="s">
        <v>2015</v>
      </c>
      <c r="F971" s="43">
        <v>287.98</v>
      </c>
    </row>
    <row r="972" spans="2:6" x14ac:dyDescent="0.25">
      <c r="B972" s="13" t="s">
        <v>2027</v>
      </c>
      <c r="C972" s="15" t="s">
        <v>104</v>
      </c>
      <c r="D972" s="13" t="s">
        <v>109</v>
      </c>
      <c r="E972" s="13" t="s">
        <v>2018</v>
      </c>
      <c r="F972" s="43">
        <v>372.3</v>
      </c>
    </row>
    <row r="973" spans="2:6" x14ac:dyDescent="0.25">
      <c r="B973" s="13" t="s">
        <v>2028</v>
      </c>
      <c r="C973" s="15" t="s">
        <v>104</v>
      </c>
      <c r="D973" s="13" t="s">
        <v>109</v>
      </c>
      <c r="E973" s="13" t="s">
        <v>2015</v>
      </c>
      <c r="F973" s="43">
        <v>344.51</v>
      </c>
    </row>
    <row r="974" spans="2:6" x14ac:dyDescent="0.25">
      <c r="B974" s="13" t="s">
        <v>2029</v>
      </c>
      <c r="C974" s="15" t="s">
        <v>104</v>
      </c>
      <c r="D974" s="13" t="s">
        <v>109</v>
      </c>
      <c r="E974" s="13" t="s">
        <v>2018</v>
      </c>
      <c r="F974" s="43">
        <v>440.73</v>
      </c>
    </row>
    <row r="975" spans="2:6" x14ac:dyDescent="0.25">
      <c r="B975" s="13" t="s">
        <v>2030</v>
      </c>
      <c r="C975" s="15" t="s">
        <v>104</v>
      </c>
      <c r="D975" s="13" t="s">
        <v>109</v>
      </c>
      <c r="E975" s="13" t="s">
        <v>2015</v>
      </c>
      <c r="F975" s="43">
        <v>448.51</v>
      </c>
    </row>
    <row r="976" spans="2:6" x14ac:dyDescent="0.25">
      <c r="B976" s="13" t="s">
        <v>2031</v>
      </c>
      <c r="C976" s="15" t="s">
        <v>104</v>
      </c>
      <c r="D976" s="13" t="s">
        <v>109</v>
      </c>
      <c r="E976" s="13" t="s">
        <v>2018</v>
      </c>
      <c r="F976" s="43">
        <v>538.01</v>
      </c>
    </row>
    <row r="977" spans="2:6" x14ac:dyDescent="0.25">
      <c r="B977" s="13" t="s">
        <v>2032</v>
      </c>
      <c r="C977" s="15" t="s">
        <v>104</v>
      </c>
      <c r="D977" s="13" t="s">
        <v>109</v>
      </c>
      <c r="E977" s="13" t="s">
        <v>2018</v>
      </c>
      <c r="F977" s="43">
        <v>553.91</v>
      </c>
    </row>
    <row r="978" spans="2:6" x14ac:dyDescent="0.25">
      <c r="B978" s="13" t="s">
        <v>2033</v>
      </c>
      <c r="C978" s="15" t="s">
        <v>104</v>
      </c>
      <c r="D978" s="13" t="s">
        <v>109</v>
      </c>
      <c r="E978" s="13" t="s">
        <v>2018</v>
      </c>
      <c r="F978" s="43">
        <v>569.76</v>
      </c>
    </row>
    <row r="979" spans="2:6" x14ac:dyDescent="0.25">
      <c r="B979" s="13" t="s">
        <v>2034</v>
      </c>
      <c r="C979" s="15" t="s">
        <v>104</v>
      </c>
      <c r="D979" s="13" t="s">
        <v>109</v>
      </c>
      <c r="E979" s="13" t="s">
        <v>2015</v>
      </c>
      <c r="F979" s="43">
        <v>584.29</v>
      </c>
    </row>
    <row r="980" spans="2:6" x14ac:dyDescent="0.25">
      <c r="B980" s="13" t="s">
        <v>2035</v>
      </c>
      <c r="C980" s="15" t="s">
        <v>104</v>
      </c>
      <c r="D980" s="13" t="s">
        <v>109</v>
      </c>
      <c r="E980" s="13" t="s">
        <v>2018</v>
      </c>
      <c r="F980" s="43">
        <v>752.93</v>
      </c>
    </row>
    <row r="981" spans="2:6" x14ac:dyDescent="0.25">
      <c r="B981" s="13" t="s">
        <v>2036</v>
      </c>
      <c r="C981" s="15" t="s">
        <v>104</v>
      </c>
      <c r="D981" s="13" t="s">
        <v>109</v>
      </c>
      <c r="E981" s="13" t="s">
        <v>2015</v>
      </c>
      <c r="F981" s="43">
        <v>773.97</v>
      </c>
    </row>
    <row r="982" spans="2:6" x14ac:dyDescent="0.25">
      <c r="B982" s="13" t="s">
        <v>2037</v>
      </c>
      <c r="C982" s="15" t="s">
        <v>104</v>
      </c>
      <c r="D982" s="13" t="s">
        <v>109</v>
      </c>
      <c r="E982" s="13" t="s">
        <v>2018</v>
      </c>
      <c r="F982" s="43">
        <v>1097.48</v>
      </c>
    </row>
    <row r="983" spans="2:6" x14ac:dyDescent="0.25">
      <c r="B983" s="13" t="s">
        <v>2038</v>
      </c>
      <c r="C983" s="15" t="s">
        <v>104</v>
      </c>
      <c r="D983" s="13" t="s">
        <v>109</v>
      </c>
      <c r="E983" s="13" t="s">
        <v>2015</v>
      </c>
      <c r="F983" s="43">
        <v>1056.6400000000001</v>
      </c>
    </row>
    <row r="984" spans="2:6" x14ac:dyDescent="0.25">
      <c r="B984" s="13" t="s">
        <v>2039</v>
      </c>
      <c r="C984" s="15" t="s">
        <v>104</v>
      </c>
      <c r="D984" s="13" t="s">
        <v>109</v>
      </c>
      <c r="E984" s="13" t="s">
        <v>2018</v>
      </c>
      <c r="F984" s="43">
        <v>1529.28</v>
      </c>
    </row>
    <row r="985" spans="2:6" x14ac:dyDescent="0.25">
      <c r="B985" s="13" t="s">
        <v>2040</v>
      </c>
      <c r="C985" s="15" t="s">
        <v>104</v>
      </c>
      <c r="D985" s="13" t="s">
        <v>109</v>
      </c>
      <c r="E985" s="13" t="s">
        <v>2015</v>
      </c>
      <c r="F985" s="43">
        <v>1690.1</v>
      </c>
    </row>
    <row r="986" spans="2:6" x14ac:dyDescent="0.25">
      <c r="B986" s="13" t="s">
        <v>2041</v>
      </c>
      <c r="C986" s="15" t="s">
        <v>104</v>
      </c>
      <c r="D986" s="13" t="s">
        <v>109</v>
      </c>
      <c r="E986" s="13" t="s">
        <v>2015</v>
      </c>
      <c r="F986" s="43">
        <v>1690.1</v>
      </c>
    </row>
    <row r="987" spans="2:6" x14ac:dyDescent="0.25">
      <c r="B987" s="13" t="s">
        <v>2042</v>
      </c>
      <c r="C987" s="15" t="s">
        <v>104</v>
      </c>
      <c r="D987" s="13" t="s">
        <v>109</v>
      </c>
      <c r="E987" s="13" t="s">
        <v>2018</v>
      </c>
      <c r="F987" s="43">
        <v>2306.8200000000002</v>
      </c>
    </row>
    <row r="988" spans="2:6" x14ac:dyDescent="0.25">
      <c r="B988" s="13" t="s">
        <v>2043</v>
      </c>
      <c r="C988" s="15" t="s">
        <v>104</v>
      </c>
      <c r="D988" s="13" t="s">
        <v>109</v>
      </c>
      <c r="E988" s="13" t="s">
        <v>2015</v>
      </c>
      <c r="F988" s="43">
        <v>1872.16</v>
      </c>
    </row>
    <row r="989" spans="2:6" x14ac:dyDescent="0.25">
      <c r="B989" s="13" t="s">
        <v>2044</v>
      </c>
      <c r="C989" s="15" t="s">
        <v>104</v>
      </c>
      <c r="D989" s="13" t="s">
        <v>109</v>
      </c>
      <c r="E989" s="13" t="s">
        <v>2015</v>
      </c>
      <c r="F989" s="43">
        <v>3846.28</v>
      </c>
    </row>
    <row r="990" spans="2:6" x14ac:dyDescent="0.25">
      <c r="B990" s="13" t="s">
        <v>2045</v>
      </c>
      <c r="C990" s="15" t="s">
        <v>104</v>
      </c>
      <c r="D990" s="13" t="s">
        <v>109</v>
      </c>
      <c r="E990" s="13" t="s">
        <v>2018</v>
      </c>
      <c r="F990" s="43">
        <v>4008.4</v>
      </c>
    </row>
    <row r="991" spans="2:6" x14ac:dyDescent="0.25">
      <c r="B991" s="13" t="s">
        <v>2046</v>
      </c>
      <c r="C991" s="15" t="s">
        <v>104</v>
      </c>
      <c r="D991" s="13" t="s">
        <v>109</v>
      </c>
      <c r="E991" s="13" t="s">
        <v>2018</v>
      </c>
      <c r="F991" s="43">
        <v>5313.82</v>
      </c>
    </row>
    <row r="992" spans="2:6" x14ac:dyDescent="0.25">
      <c r="B992" s="13" t="s">
        <v>2047</v>
      </c>
      <c r="C992" s="15" t="s">
        <v>104</v>
      </c>
      <c r="D992" s="13" t="s">
        <v>109</v>
      </c>
      <c r="E992" s="13" t="s">
        <v>2048</v>
      </c>
      <c r="F992" s="43">
        <v>691.26</v>
      </c>
    </row>
    <row r="993" spans="2:6" x14ac:dyDescent="0.25">
      <c r="B993" s="13" t="s">
        <v>2049</v>
      </c>
      <c r="C993" s="15" t="s">
        <v>104</v>
      </c>
      <c r="D993" s="13" t="s">
        <v>109</v>
      </c>
      <c r="E993" s="13" t="s">
        <v>2048</v>
      </c>
      <c r="F993" s="43">
        <v>1190.1099999999999</v>
      </c>
    </row>
    <row r="994" spans="2:6" x14ac:dyDescent="0.25">
      <c r="B994" s="13" t="s">
        <v>2050</v>
      </c>
      <c r="C994" s="15" t="s">
        <v>104</v>
      </c>
      <c r="D994" s="13" t="s">
        <v>109</v>
      </c>
      <c r="E994" s="13" t="s">
        <v>2048</v>
      </c>
      <c r="F994" s="43">
        <v>523.23</v>
      </c>
    </row>
    <row r="995" spans="2:6" x14ac:dyDescent="0.25">
      <c r="B995" s="13" t="s">
        <v>2051</v>
      </c>
      <c r="C995" s="15" t="s">
        <v>104</v>
      </c>
      <c r="D995" s="13" t="s">
        <v>109</v>
      </c>
      <c r="E995" s="13" t="s">
        <v>2048</v>
      </c>
      <c r="F995" s="43">
        <v>791.86</v>
      </c>
    </row>
    <row r="996" spans="2:6" x14ac:dyDescent="0.25">
      <c r="B996" s="13" t="s">
        <v>2052</v>
      </c>
      <c r="C996" s="15" t="s">
        <v>104</v>
      </c>
      <c r="D996" s="13" t="s">
        <v>109</v>
      </c>
      <c r="E996" s="13" t="s">
        <v>2048</v>
      </c>
      <c r="F996" s="43">
        <v>1548.36</v>
      </c>
    </row>
    <row r="997" spans="2:6" x14ac:dyDescent="0.25">
      <c r="B997" s="13" t="s">
        <v>2053</v>
      </c>
      <c r="C997" s="15" t="s">
        <v>104</v>
      </c>
      <c r="D997" s="13" t="s">
        <v>109</v>
      </c>
      <c r="E997" s="13" t="s">
        <v>2048</v>
      </c>
      <c r="F997" s="43">
        <v>1958.44</v>
      </c>
    </row>
    <row r="998" spans="2:6" x14ac:dyDescent="0.25">
      <c r="B998" s="13" t="s">
        <v>2054</v>
      </c>
      <c r="C998" s="15" t="s">
        <v>104</v>
      </c>
      <c r="D998" s="13" t="s">
        <v>109</v>
      </c>
      <c r="E998" s="13" t="s">
        <v>2055</v>
      </c>
      <c r="F998" s="43">
        <v>2522.6799999999998</v>
      </c>
    </row>
    <row r="999" spans="2:6" x14ac:dyDescent="0.25">
      <c r="B999" s="13" t="s">
        <v>2056</v>
      </c>
      <c r="C999" s="15" t="s">
        <v>104</v>
      </c>
      <c r="D999" s="13" t="s">
        <v>109</v>
      </c>
      <c r="E999" s="13" t="s">
        <v>2055</v>
      </c>
      <c r="F999" s="43">
        <v>3012.04</v>
      </c>
    </row>
    <row r="1000" spans="2:6" x14ac:dyDescent="0.25">
      <c r="B1000" s="13" t="s">
        <v>2057</v>
      </c>
      <c r="C1000" s="15" t="s">
        <v>104</v>
      </c>
      <c r="D1000" s="13" t="s">
        <v>109</v>
      </c>
      <c r="E1000" s="13" t="s">
        <v>2055</v>
      </c>
      <c r="F1000" s="43">
        <v>3746.48</v>
      </c>
    </row>
    <row r="1001" spans="2:6" x14ac:dyDescent="0.25">
      <c r="B1001" s="13" t="s">
        <v>2058</v>
      </c>
      <c r="C1001" s="15" t="s">
        <v>104</v>
      </c>
      <c r="D1001" s="13" t="s">
        <v>109</v>
      </c>
      <c r="E1001" s="13" t="s">
        <v>2055</v>
      </c>
      <c r="F1001" s="43">
        <v>1847.72</v>
      </c>
    </row>
    <row r="1002" spans="2:6" x14ac:dyDescent="0.25">
      <c r="B1002" s="13" t="s">
        <v>2059</v>
      </c>
      <c r="C1002" s="15" t="s">
        <v>104</v>
      </c>
      <c r="D1002" s="13" t="s">
        <v>109</v>
      </c>
      <c r="E1002" s="13" t="s">
        <v>2055</v>
      </c>
      <c r="F1002" s="43">
        <v>2328.6799999999998</v>
      </c>
    </row>
    <row r="1003" spans="2:6" x14ac:dyDescent="0.25">
      <c r="B1003" s="13" t="s">
        <v>2060</v>
      </c>
      <c r="C1003" s="15" t="s">
        <v>104</v>
      </c>
      <c r="D1003" s="13" t="s">
        <v>109</v>
      </c>
      <c r="E1003" s="13" t="s">
        <v>2055</v>
      </c>
      <c r="F1003" s="43">
        <v>4218.5600000000004</v>
      </c>
    </row>
    <row r="1004" spans="2:6" x14ac:dyDescent="0.25">
      <c r="B1004" s="13" t="s">
        <v>2061</v>
      </c>
      <c r="C1004" s="15" t="s">
        <v>104</v>
      </c>
      <c r="D1004" s="13" t="s">
        <v>109</v>
      </c>
      <c r="E1004" s="13" t="s">
        <v>2055</v>
      </c>
      <c r="F1004" s="43">
        <v>6529.92</v>
      </c>
    </row>
    <row r="1005" spans="2:6" x14ac:dyDescent="0.25">
      <c r="B1005" s="13" t="s">
        <v>2062</v>
      </c>
      <c r="C1005" s="15" t="s">
        <v>104</v>
      </c>
      <c r="D1005" s="13" t="s">
        <v>109</v>
      </c>
      <c r="E1005" s="13" t="s">
        <v>2055</v>
      </c>
      <c r="F1005" s="43">
        <v>3214.4</v>
      </c>
    </row>
    <row r="1006" spans="2:6" x14ac:dyDescent="0.25">
      <c r="B1006" s="13" t="s">
        <v>2063</v>
      </c>
      <c r="C1006" s="15" t="s">
        <v>104</v>
      </c>
      <c r="D1006" s="13" t="s">
        <v>109</v>
      </c>
      <c r="E1006" s="13" t="s">
        <v>2055</v>
      </c>
      <c r="F1006" s="43">
        <v>6208.72</v>
      </c>
    </row>
    <row r="1007" spans="2:6" x14ac:dyDescent="0.25">
      <c r="B1007" s="15">
        <v>5810</v>
      </c>
      <c r="C1007" s="15" t="s">
        <v>104</v>
      </c>
      <c r="D1007" s="13" t="s">
        <v>109</v>
      </c>
      <c r="E1007" s="13" t="s">
        <v>2064</v>
      </c>
      <c r="F1007" s="43">
        <v>570.74</v>
      </c>
    </row>
    <row r="1008" spans="2:6" x14ac:dyDescent="0.25">
      <c r="B1008" s="13" t="s">
        <v>2065</v>
      </c>
      <c r="C1008" s="15" t="s">
        <v>104</v>
      </c>
      <c r="D1008" s="13" t="s">
        <v>109</v>
      </c>
      <c r="E1008" s="13" t="s">
        <v>2064</v>
      </c>
      <c r="F1008" s="43">
        <v>1014.89</v>
      </c>
    </row>
    <row r="1009" spans="2:6" x14ac:dyDescent="0.25">
      <c r="B1009" s="13" t="s">
        <v>2066</v>
      </c>
      <c r="C1009" s="15" t="s">
        <v>104</v>
      </c>
      <c r="D1009" s="13" t="s">
        <v>109</v>
      </c>
      <c r="E1009" s="13" t="s">
        <v>2067</v>
      </c>
      <c r="F1009" s="43">
        <v>846.6</v>
      </c>
    </row>
    <row r="1010" spans="2:6" x14ac:dyDescent="0.25">
      <c r="B1010" s="13" t="s">
        <v>2068</v>
      </c>
      <c r="C1010" s="15" t="s">
        <v>104</v>
      </c>
      <c r="D1010" s="13" t="s">
        <v>109</v>
      </c>
      <c r="E1010" s="13" t="s">
        <v>2069</v>
      </c>
      <c r="F1010" s="43">
        <v>1128.8</v>
      </c>
    </row>
    <row r="1011" spans="2:6" x14ac:dyDescent="0.25">
      <c r="B1011" s="13" t="s">
        <v>2070</v>
      </c>
      <c r="C1011" s="15" t="s">
        <v>104</v>
      </c>
      <c r="D1011" s="13" t="s">
        <v>109</v>
      </c>
      <c r="E1011" s="13" t="s">
        <v>2071</v>
      </c>
      <c r="F1011" s="43">
        <v>1765.23</v>
      </c>
    </row>
    <row r="1012" spans="2:6" x14ac:dyDescent="0.25">
      <c r="B1012" s="13" t="s">
        <v>2072</v>
      </c>
      <c r="C1012" s="15" t="s">
        <v>104</v>
      </c>
      <c r="D1012" s="13" t="s">
        <v>109</v>
      </c>
      <c r="E1012" s="13" t="s">
        <v>2073</v>
      </c>
      <c r="F1012" s="43">
        <v>1233.43</v>
      </c>
    </row>
    <row r="1013" spans="2:6" x14ac:dyDescent="0.25">
      <c r="B1013" s="13" t="s">
        <v>2074</v>
      </c>
      <c r="C1013" s="15" t="s">
        <v>104</v>
      </c>
      <c r="D1013" s="13" t="s">
        <v>109</v>
      </c>
      <c r="E1013" s="13" t="s">
        <v>2075</v>
      </c>
      <c r="F1013" s="43">
        <v>1140.81</v>
      </c>
    </row>
    <row r="1014" spans="2:6" x14ac:dyDescent="0.25">
      <c r="B1014" s="13" t="s">
        <v>2076</v>
      </c>
      <c r="C1014" s="15" t="s">
        <v>104</v>
      </c>
      <c r="D1014" s="13" t="s">
        <v>109</v>
      </c>
      <c r="E1014" s="13" t="s">
        <v>2077</v>
      </c>
      <c r="F1014" s="43">
        <v>1784.01</v>
      </c>
    </row>
    <row r="1015" spans="2:6" x14ac:dyDescent="0.25">
      <c r="B1015" s="13" t="s">
        <v>2078</v>
      </c>
      <c r="C1015" s="15" t="s">
        <v>104</v>
      </c>
      <c r="D1015" s="13" t="s">
        <v>109</v>
      </c>
      <c r="E1015" s="13" t="s">
        <v>2079</v>
      </c>
      <c r="F1015" s="43">
        <v>75.72</v>
      </c>
    </row>
    <row r="1016" spans="2:6" x14ac:dyDescent="0.25">
      <c r="B1016" s="13" t="s">
        <v>2080</v>
      </c>
      <c r="C1016" s="15" t="s">
        <v>104</v>
      </c>
      <c r="D1016" s="13" t="s">
        <v>109</v>
      </c>
      <c r="E1016" s="13" t="s">
        <v>2081</v>
      </c>
      <c r="F1016" s="43">
        <v>2688.66</v>
      </c>
    </row>
    <row r="1017" spans="2:6" x14ac:dyDescent="0.25">
      <c r="B1017" s="13" t="s">
        <v>2082</v>
      </c>
      <c r="C1017" s="15" t="s">
        <v>104</v>
      </c>
      <c r="D1017" s="13" t="s">
        <v>109</v>
      </c>
      <c r="E1017" s="13" t="s">
        <v>2083</v>
      </c>
      <c r="F1017" s="43">
        <v>276.94</v>
      </c>
    </row>
    <row r="1018" spans="2:6" x14ac:dyDescent="0.25">
      <c r="B1018" s="13" t="s">
        <v>2084</v>
      </c>
      <c r="C1018" s="15" t="s">
        <v>104</v>
      </c>
      <c r="D1018" s="13" t="s">
        <v>109</v>
      </c>
      <c r="E1018" s="13" t="s">
        <v>2085</v>
      </c>
      <c r="F1018" s="43">
        <v>515.24</v>
      </c>
    </row>
    <row r="1019" spans="2:6" x14ac:dyDescent="0.25">
      <c r="B1019" s="13" t="s">
        <v>2086</v>
      </c>
      <c r="C1019" s="15" t="s">
        <v>104</v>
      </c>
      <c r="D1019" s="13" t="s">
        <v>109</v>
      </c>
      <c r="E1019" s="13" t="s">
        <v>2087</v>
      </c>
      <c r="F1019" s="43">
        <v>618.29999999999995</v>
      </c>
    </row>
    <row r="1020" spans="2:6" x14ac:dyDescent="0.25">
      <c r="B1020" s="13" t="s">
        <v>2088</v>
      </c>
      <c r="C1020" s="15" t="s">
        <v>104</v>
      </c>
      <c r="D1020" s="13" t="s">
        <v>109</v>
      </c>
      <c r="E1020" s="13" t="s">
        <v>2089</v>
      </c>
      <c r="F1020" s="43">
        <v>719.53</v>
      </c>
    </row>
    <row r="1021" spans="2:6" x14ac:dyDescent="0.25">
      <c r="B1021" s="146">
        <v>5975</v>
      </c>
      <c r="C1021" s="15" t="s">
        <v>104</v>
      </c>
      <c r="D1021" s="13" t="s">
        <v>109</v>
      </c>
      <c r="E1021" s="13" t="s">
        <v>2090</v>
      </c>
      <c r="F1021" s="43">
        <v>82.05</v>
      </c>
    </row>
    <row r="1022" spans="2:6" x14ac:dyDescent="0.25">
      <c r="B1022" s="146">
        <v>5976</v>
      </c>
      <c r="C1022" s="15" t="s">
        <v>104</v>
      </c>
      <c r="D1022" s="13" t="s">
        <v>109</v>
      </c>
      <c r="E1022" s="13" t="s">
        <v>2091</v>
      </c>
      <c r="F1022" s="43">
        <v>126.19</v>
      </c>
    </row>
    <row r="1023" spans="2:6" x14ac:dyDescent="0.25">
      <c r="B1023" s="146">
        <v>5977</v>
      </c>
      <c r="C1023" s="15" t="s">
        <v>104</v>
      </c>
      <c r="D1023" s="13" t="s">
        <v>109</v>
      </c>
      <c r="E1023" s="13" t="s">
        <v>2092</v>
      </c>
      <c r="F1023" s="43">
        <v>147.11000000000001</v>
      </c>
    </row>
    <row r="1024" spans="2:6" x14ac:dyDescent="0.25">
      <c r="B1024" s="15" t="s">
        <v>2093</v>
      </c>
      <c r="C1024" s="15" t="s">
        <v>104</v>
      </c>
      <c r="D1024" s="13" t="s">
        <v>109</v>
      </c>
      <c r="E1024" s="13" t="s">
        <v>2092</v>
      </c>
      <c r="F1024" s="43">
        <v>147.11000000000001</v>
      </c>
    </row>
    <row r="1025" spans="2:6" x14ac:dyDescent="0.25">
      <c r="B1025" s="15" t="s">
        <v>2094</v>
      </c>
      <c r="C1025" s="15" t="s">
        <v>104</v>
      </c>
      <c r="D1025" s="13" t="s">
        <v>109</v>
      </c>
      <c r="E1025" s="13" t="s">
        <v>2092</v>
      </c>
      <c r="F1025" s="43">
        <v>147.11000000000001</v>
      </c>
    </row>
    <row r="1026" spans="2:6" x14ac:dyDescent="0.25">
      <c r="B1026" s="146">
        <v>5978</v>
      </c>
      <c r="C1026" s="15" t="s">
        <v>104</v>
      </c>
      <c r="D1026" s="13" t="s">
        <v>109</v>
      </c>
      <c r="E1026" s="13" t="s">
        <v>2095</v>
      </c>
      <c r="F1026" s="43">
        <v>399.65</v>
      </c>
    </row>
    <row r="1027" spans="2:6" x14ac:dyDescent="0.25">
      <c r="B1027" s="15" t="s">
        <v>2096</v>
      </c>
      <c r="C1027" s="15" t="s">
        <v>104</v>
      </c>
      <c r="D1027" s="13" t="s">
        <v>109</v>
      </c>
      <c r="E1027" s="13" t="s">
        <v>2097</v>
      </c>
      <c r="F1027" s="43">
        <v>399.65</v>
      </c>
    </row>
    <row r="1028" spans="2:6" x14ac:dyDescent="0.25">
      <c r="B1028" s="15" t="s">
        <v>2098</v>
      </c>
      <c r="C1028" s="15" t="s">
        <v>104</v>
      </c>
      <c r="D1028" s="13" t="s">
        <v>109</v>
      </c>
      <c r="E1028" s="13" t="s">
        <v>2099</v>
      </c>
      <c r="F1028" s="43">
        <v>123.25</v>
      </c>
    </row>
    <row r="1029" spans="2:6" x14ac:dyDescent="0.25">
      <c r="B1029" s="15" t="s">
        <v>2100</v>
      </c>
      <c r="C1029" s="15" t="s">
        <v>104</v>
      </c>
      <c r="D1029" s="13" t="s">
        <v>109</v>
      </c>
      <c r="E1029" s="13" t="s">
        <v>2099</v>
      </c>
      <c r="F1029" s="43">
        <v>159.34</v>
      </c>
    </row>
    <row r="1030" spans="2:6" x14ac:dyDescent="0.25">
      <c r="B1030" s="15" t="s">
        <v>2101</v>
      </c>
      <c r="C1030" s="15" t="s">
        <v>104</v>
      </c>
      <c r="D1030" s="13" t="s">
        <v>109</v>
      </c>
      <c r="E1030" s="13" t="s">
        <v>2099</v>
      </c>
      <c r="F1030" s="43">
        <v>239.02</v>
      </c>
    </row>
    <row r="1031" spans="2:6" x14ac:dyDescent="0.25">
      <c r="B1031" s="15" t="s">
        <v>2102</v>
      </c>
      <c r="C1031" s="15" t="s">
        <v>104</v>
      </c>
      <c r="D1031" s="13" t="s">
        <v>109</v>
      </c>
      <c r="E1031" s="13" t="s">
        <v>2103</v>
      </c>
      <c r="F1031" s="43">
        <v>909.85</v>
      </c>
    </row>
    <row r="1032" spans="2:6" x14ac:dyDescent="0.25">
      <c r="B1032" s="15" t="s">
        <v>2104</v>
      </c>
      <c r="C1032" s="15" t="s">
        <v>104</v>
      </c>
      <c r="D1032" s="13" t="s">
        <v>109</v>
      </c>
      <c r="E1032" s="13" t="s">
        <v>2105</v>
      </c>
      <c r="F1032" s="43">
        <v>1123.23</v>
      </c>
    </row>
    <row r="1033" spans="2:6" x14ac:dyDescent="0.25">
      <c r="B1033" s="15" t="s">
        <v>2106</v>
      </c>
      <c r="C1033" s="15" t="s">
        <v>104</v>
      </c>
      <c r="D1033" s="13" t="s">
        <v>109</v>
      </c>
      <c r="E1033" s="13" t="s">
        <v>2107</v>
      </c>
      <c r="F1033" s="43">
        <v>1947.36</v>
      </c>
    </row>
    <row r="1034" spans="2:6" x14ac:dyDescent="0.25">
      <c r="B1034" s="13" t="s">
        <v>2108</v>
      </c>
      <c r="C1034" s="15" t="s">
        <v>104</v>
      </c>
      <c r="D1034" s="13" t="s">
        <v>109</v>
      </c>
      <c r="E1034" s="13" t="s">
        <v>2109</v>
      </c>
      <c r="F1034" s="43">
        <v>69.150000000000006</v>
      </c>
    </row>
    <row r="1035" spans="2:6" x14ac:dyDescent="0.25">
      <c r="B1035" s="13" t="s">
        <v>2110</v>
      </c>
      <c r="C1035" s="15" t="s">
        <v>104</v>
      </c>
      <c r="D1035" s="13" t="s">
        <v>109</v>
      </c>
      <c r="E1035" s="13" t="s">
        <v>2111</v>
      </c>
      <c r="F1035" s="43">
        <v>212.44</v>
      </c>
    </row>
    <row r="1036" spans="2:6" x14ac:dyDescent="0.25">
      <c r="B1036" s="13" t="s">
        <v>2112</v>
      </c>
      <c r="C1036" s="15" t="s">
        <v>104</v>
      </c>
      <c r="D1036" s="13" t="s">
        <v>109</v>
      </c>
      <c r="E1036" s="13" t="s">
        <v>2113</v>
      </c>
      <c r="F1036" s="43">
        <v>338.28</v>
      </c>
    </row>
    <row r="1037" spans="2:6" x14ac:dyDescent="0.25">
      <c r="B1037" s="13" t="s">
        <v>2114</v>
      </c>
      <c r="C1037" s="15" t="s">
        <v>104</v>
      </c>
      <c r="D1037" s="13" t="s">
        <v>109</v>
      </c>
      <c r="E1037" s="13" t="s">
        <v>2115</v>
      </c>
      <c r="F1037" s="43">
        <v>331.33</v>
      </c>
    </row>
    <row r="1038" spans="2:6" x14ac:dyDescent="0.25">
      <c r="B1038" s="13" t="s">
        <v>2116</v>
      </c>
      <c r="C1038" s="15" t="s">
        <v>104</v>
      </c>
      <c r="D1038" s="13" t="s">
        <v>109</v>
      </c>
      <c r="E1038" t="s">
        <v>2117</v>
      </c>
      <c r="F1038" s="43">
        <v>940.29</v>
      </c>
    </row>
    <row r="1039" spans="2:6" x14ac:dyDescent="0.25">
      <c r="B1039" s="13" t="s">
        <v>2118</v>
      </c>
      <c r="C1039" s="15" t="s">
        <v>104</v>
      </c>
      <c r="D1039" s="13" t="s">
        <v>109</v>
      </c>
      <c r="E1039" s="13" t="s">
        <v>2119</v>
      </c>
      <c r="F1039" s="43">
        <v>189.64</v>
      </c>
    </row>
    <row r="1040" spans="2:6" x14ac:dyDescent="0.25">
      <c r="B1040" s="15">
        <v>6066</v>
      </c>
      <c r="C1040" s="15" t="s">
        <v>104</v>
      </c>
      <c r="D1040" s="13" t="s">
        <v>105</v>
      </c>
      <c r="E1040" s="13" t="s">
        <v>2120</v>
      </c>
      <c r="F1040" s="43">
        <v>37.020000000000003</v>
      </c>
    </row>
    <row r="1041" spans="2:6" x14ac:dyDescent="0.25">
      <c r="B1041" s="13" t="s">
        <v>2121</v>
      </c>
      <c r="C1041" s="15" t="s">
        <v>104</v>
      </c>
      <c r="D1041" s="13" t="s">
        <v>105</v>
      </c>
      <c r="E1041" s="13" t="s">
        <v>2122</v>
      </c>
      <c r="F1041" s="43">
        <v>24.54</v>
      </c>
    </row>
    <row r="1042" spans="2:6" x14ac:dyDescent="0.25">
      <c r="B1042" s="13" t="s">
        <v>2123</v>
      </c>
      <c r="C1042" s="15" t="s">
        <v>104</v>
      </c>
      <c r="D1042" s="13" t="s">
        <v>105</v>
      </c>
      <c r="E1042" s="13" t="s">
        <v>2124</v>
      </c>
      <c r="F1042" s="43">
        <v>24.54</v>
      </c>
    </row>
    <row r="1043" spans="2:6" x14ac:dyDescent="0.25">
      <c r="B1043" s="13" t="s">
        <v>2125</v>
      </c>
      <c r="C1043" s="15" t="s">
        <v>104</v>
      </c>
      <c r="D1043" s="13" t="s">
        <v>105</v>
      </c>
      <c r="E1043" s="13" t="s">
        <v>2126</v>
      </c>
      <c r="F1043" s="43">
        <v>24.54</v>
      </c>
    </row>
    <row r="1044" spans="2:6" x14ac:dyDescent="0.25">
      <c r="B1044" s="13" t="s">
        <v>2127</v>
      </c>
      <c r="C1044" s="15" t="s">
        <v>104</v>
      </c>
      <c r="D1044" s="13" t="s">
        <v>105</v>
      </c>
      <c r="E1044" s="13" t="s">
        <v>2128</v>
      </c>
      <c r="F1044" s="43">
        <v>27.81</v>
      </c>
    </row>
    <row r="1045" spans="2:6" x14ac:dyDescent="0.25">
      <c r="B1045" s="13" t="s">
        <v>2129</v>
      </c>
      <c r="C1045" s="15" t="s">
        <v>104</v>
      </c>
      <c r="D1045" s="13" t="s">
        <v>105</v>
      </c>
      <c r="E1045" s="13" t="s">
        <v>2130</v>
      </c>
      <c r="F1045" s="43">
        <v>118.79</v>
      </c>
    </row>
    <row r="1046" spans="2:6" x14ac:dyDescent="0.25">
      <c r="B1046" s="13" t="s">
        <v>2131</v>
      </c>
      <c r="C1046" s="15" t="s">
        <v>104</v>
      </c>
      <c r="D1046" s="13" t="s">
        <v>105</v>
      </c>
      <c r="E1046" s="13" t="s">
        <v>2132</v>
      </c>
      <c r="F1046" s="43">
        <v>156.87</v>
      </c>
    </row>
    <row r="1047" spans="2:6" x14ac:dyDescent="0.25">
      <c r="B1047" s="13" t="s">
        <v>2133</v>
      </c>
      <c r="C1047" s="15" t="s">
        <v>104</v>
      </c>
      <c r="D1047" s="13" t="s">
        <v>105</v>
      </c>
      <c r="E1047" s="13" t="s">
        <v>2134</v>
      </c>
      <c r="F1047" s="43">
        <v>207.88</v>
      </c>
    </row>
    <row r="1048" spans="2:6" x14ac:dyDescent="0.25">
      <c r="B1048" s="13" t="s">
        <v>2135</v>
      </c>
      <c r="C1048" s="15" t="s">
        <v>104</v>
      </c>
      <c r="D1048" s="13" t="s">
        <v>105</v>
      </c>
      <c r="E1048" s="13" t="s">
        <v>2136</v>
      </c>
      <c r="F1048" s="43">
        <v>337.32</v>
      </c>
    </row>
    <row r="1049" spans="2:6" x14ac:dyDescent="0.25">
      <c r="B1049" s="13" t="s">
        <v>2137</v>
      </c>
      <c r="C1049" s="15" t="s">
        <v>104</v>
      </c>
      <c r="D1049" s="13" t="s">
        <v>105</v>
      </c>
      <c r="E1049" s="13" t="s">
        <v>2138</v>
      </c>
      <c r="F1049" s="43">
        <v>416.48</v>
      </c>
    </row>
    <row r="1050" spans="2:6" x14ac:dyDescent="0.25">
      <c r="B1050" s="13" t="s">
        <v>2139</v>
      </c>
      <c r="C1050" s="15" t="s">
        <v>104</v>
      </c>
      <c r="D1050" s="13" t="s">
        <v>105</v>
      </c>
      <c r="E1050" s="13" t="s">
        <v>2140</v>
      </c>
      <c r="F1050" s="43">
        <v>552</v>
      </c>
    </row>
    <row r="1051" spans="2:6" x14ac:dyDescent="0.25">
      <c r="B1051" s="13" t="s">
        <v>2141</v>
      </c>
      <c r="C1051" s="15" t="s">
        <v>104</v>
      </c>
      <c r="D1051" s="13" t="s">
        <v>105</v>
      </c>
      <c r="E1051" s="13" t="s">
        <v>2142</v>
      </c>
      <c r="F1051" s="43">
        <v>875.56</v>
      </c>
    </row>
    <row r="1052" spans="2:6" x14ac:dyDescent="0.25">
      <c r="B1052" s="13" t="s">
        <v>2143</v>
      </c>
      <c r="C1052" s="15" t="s">
        <v>104</v>
      </c>
      <c r="D1052" s="13" t="s">
        <v>105</v>
      </c>
      <c r="E1052" s="13" t="s">
        <v>2144</v>
      </c>
      <c r="F1052" s="43">
        <v>1382.34</v>
      </c>
    </row>
    <row r="1053" spans="2:6" x14ac:dyDescent="0.25">
      <c r="B1053" s="13" t="s">
        <v>2145</v>
      </c>
      <c r="C1053" s="15" t="s">
        <v>104</v>
      </c>
      <c r="D1053" s="13" t="s">
        <v>105</v>
      </c>
      <c r="E1053" s="13" t="s">
        <v>2146</v>
      </c>
      <c r="F1053" s="43">
        <v>1847.17</v>
      </c>
    </row>
    <row r="1054" spans="2:6" x14ac:dyDescent="0.25">
      <c r="B1054" s="13" t="s">
        <v>2147</v>
      </c>
      <c r="C1054" s="15" t="s">
        <v>104</v>
      </c>
      <c r="D1054" s="13" t="s">
        <v>109</v>
      </c>
      <c r="E1054" s="13" t="s">
        <v>2148</v>
      </c>
      <c r="F1054" s="43">
        <v>689.96</v>
      </c>
    </row>
    <row r="1055" spans="2:6" x14ac:dyDescent="0.25">
      <c r="B1055" s="13" t="s">
        <v>2149</v>
      </c>
      <c r="C1055" s="15" t="s">
        <v>104</v>
      </c>
      <c r="D1055" s="13" t="s">
        <v>109</v>
      </c>
      <c r="E1055" s="13" t="s">
        <v>2150</v>
      </c>
      <c r="F1055" s="43">
        <v>998.6</v>
      </c>
    </row>
    <row r="1056" spans="2:6" x14ac:dyDescent="0.25">
      <c r="B1056" s="13" t="s">
        <v>2151</v>
      </c>
      <c r="C1056" s="15" t="s">
        <v>104</v>
      </c>
      <c r="D1056" s="13" t="s">
        <v>105</v>
      </c>
      <c r="E1056" s="13" t="s">
        <v>2152</v>
      </c>
      <c r="F1056" s="43">
        <v>20.62</v>
      </c>
    </row>
    <row r="1057" spans="2:6" x14ac:dyDescent="0.25">
      <c r="B1057" s="13" t="s">
        <v>2153</v>
      </c>
      <c r="C1057" s="15" t="s">
        <v>104</v>
      </c>
      <c r="D1057" s="13" t="s">
        <v>105</v>
      </c>
      <c r="E1057" s="13" t="s">
        <v>2154</v>
      </c>
      <c r="F1057" s="43">
        <v>6.6</v>
      </c>
    </row>
    <row r="1058" spans="2:6" x14ac:dyDescent="0.25">
      <c r="B1058" s="13" t="s">
        <v>2155</v>
      </c>
      <c r="C1058" s="15" t="s">
        <v>104</v>
      </c>
      <c r="D1058" s="13" t="s">
        <v>105</v>
      </c>
      <c r="E1058" s="13" t="s">
        <v>2156</v>
      </c>
      <c r="F1058" s="43">
        <v>6.6</v>
      </c>
    </row>
    <row r="1059" spans="2:6" x14ac:dyDescent="0.25">
      <c r="B1059" s="13" t="s">
        <v>2157</v>
      </c>
      <c r="C1059" s="15" t="s">
        <v>104</v>
      </c>
      <c r="D1059" s="13" t="s">
        <v>105</v>
      </c>
      <c r="E1059" s="13" t="s">
        <v>2158</v>
      </c>
      <c r="F1059" s="43">
        <v>7.4</v>
      </c>
    </row>
    <row r="1060" spans="2:6" x14ac:dyDescent="0.25">
      <c r="B1060" s="13" t="s">
        <v>2159</v>
      </c>
      <c r="C1060" s="15" t="s">
        <v>104</v>
      </c>
      <c r="D1060" s="13" t="s">
        <v>105</v>
      </c>
      <c r="E1060" s="13" t="s">
        <v>2160</v>
      </c>
      <c r="F1060" s="43">
        <v>11.44</v>
      </c>
    </row>
    <row r="1061" spans="2:6" x14ac:dyDescent="0.25">
      <c r="B1061" s="13" t="s">
        <v>2161</v>
      </c>
      <c r="C1061" s="15" t="s">
        <v>104</v>
      </c>
      <c r="D1061" s="13" t="s">
        <v>105</v>
      </c>
      <c r="E1061" s="13" t="s">
        <v>2162</v>
      </c>
      <c r="F1061" s="43">
        <v>16.8</v>
      </c>
    </row>
    <row r="1062" spans="2:6" x14ac:dyDescent="0.25">
      <c r="B1062" s="13" t="s">
        <v>2163</v>
      </c>
      <c r="C1062" s="15" t="s">
        <v>104</v>
      </c>
      <c r="D1062" s="13" t="s">
        <v>105</v>
      </c>
      <c r="E1062" s="13" t="s">
        <v>2164</v>
      </c>
      <c r="F1062" s="43">
        <v>25.47</v>
      </c>
    </row>
    <row r="1063" spans="2:6" x14ac:dyDescent="0.25">
      <c r="B1063" s="13" t="s">
        <v>2165</v>
      </c>
      <c r="C1063" s="15" t="s">
        <v>104</v>
      </c>
      <c r="D1063" s="13" t="s">
        <v>105</v>
      </c>
      <c r="E1063" s="13" t="s">
        <v>2166</v>
      </c>
      <c r="F1063" s="43">
        <v>34.54</v>
      </c>
    </row>
    <row r="1064" spans="2:6" x14ac:dyDescent="0.25">
      <c r="B1064" s="13" t="s">
        <v>2167</v>
      </c>
      <c r="C1064" s="15" t="s">
        <v>104</v>
      </c>
      <c r="D1064" s="13" t="s">
        <v>105</v>
      </c>
      <c r="E1064" s="13" t="s">
        <v>2168</v>
      </c>
      <c r="F1064" s="43">
        <v>59.25</v>
      </c>
    </row>
    <row r="1065" spans="2:6" x14ac:dyDescent="0.25">
      <c r="B1065" s="13" t="s">
        <v>2169</v>
      </c>
      <c r="C1065" s="15" t="s">
        <v>104</v>
      </c>
      <c r="D1065" s="13" t="s">
        <v>105</v>
      </c>
      <c r="E1065" s="13" t="s">
        <v>2170</v>
      </c>
      <c r="F1065" s="43">
        <v>111.34</v>
      </c>
    </row>
    <row r="1066" spans="2:6" x14ac:dyDescent="0.25">
      <c r="B1066" s="13" t="s">
        <v>2171</v>
      </c>
      <c r="C1066" s="15" t="s">
        <v>104</v>
      </c>
      <c r="D1066" s="13" t="s">
        <v>105</v>
      </c>
      <c r="E1066" s="13" t="s">
        <v>2172</v>
      </c>
      <c r="F1066" s="43">
        <v>176.89</v>
      </c>
    </row>
    <row r="1067" spans="2:6" x14ac:dyDescent="0.25">
      <c r="B1067" s="13" t="s">
        <v>2173</v>
      </c>
      <c r="C1067" s="15" t="s">
        <v>104</v>
      </c>
      <c r="D1067" s="13" t="s">
        <v>105</v>
      </c>
      <c r="E1067" s="13" t="s">
        <v>2174</v>
      </c>
      <c r="F1067" s="43">
        <v>196.58</v>
      </c>
    </row>
    <row r="1068" spans="2:6" x14ac:dyDescent="0.25">
      <c r="B1068" s="13" t="s">
        <v>2175</v>
      </c>
      <c r="C1068" s="15" t="s">
        <v>104</v>
      </c>
      <c r="D1068" s="13" t="s">
        <v>105</v>
      </c>
      <c r="E1068" s="13" t="s">
        <v>2176</v>
      </c>
      <c r="F1068" s="43">
        <v>7.43</v>
      </c>
    </row>
    <row r="1069" spans="2:6" x14ac:dyDescent="0.25">
      <c r="B1069" s="13" t="s">
        <v>2177</v>
      </c>
      <c r="C1069" s="15" t="s">
        <v>104</v>
      </c>
      <c r="D1069" s="13" t="s">
        <v>105</v>
      </c>
      <c r="E1069" s="13" t="s">
        <v>2178</v>
      </c>
      <c r="F1069" s="43">
        <v>7.43</v>
      </c>
    </row>
    <row r="1070" spans="2:6" x14ac:dyDescent="0.25">
      <c r="B1070" s="13" t="s">
        <v>2179</v>
      </c>
      <c r="C1070" s="15" t="s">
        <v>104</v>
      </c>
      <c r="D1070" s="13" t="s">
        <v>105</v>
      </c>
      <c r="E1070" s="13" t="s">
        <v>2180</v>
      </c>
      <c r="F1070" s="43">
        <v>8.33</v>
      </c>
    </row>
    <row r="1071" spans="2:6" x14ac:dyDescent="0.25">
      <c r="B1071" s="13" t="s">
        <v>2181</v>
      </c>
      <c r="C1071" s="15" t="s">
        <v>104</v>
      </c>
      <c r="D1071" s="13" t="s">
        <v>105</v>
      </c>
      <c r="E1071" s="13" t="s">
        <v>2182</v>
      </c>
      <c r="F1071" s="43">
        <v>12.87</v>
      </c>
    </row>
    <row r="1072" spans="2:6" x14ac:dyDescent="0.25">
      <c r="B1072" s="13" t="s">
        <v>2183</v>
      </c>
      <c r="C1072" s="15" t="s">
        <v>104</v>
      </c>
      <c r="D1072" s="13" t="s">
        <v>105</v>
      </c>
      <c r="E1072" s="13" t="s">
        <v>2184</v>
      </c>
      <c r="F1072" s="43">
        <v>18.899999999999999</v>
      </c>
    </row>
    <row r="1073" spans="2:6" x14ac:dyDescent="0.25">
      <c r="B1073" s="13" t="s">
        <v>2185</v>
      </c>
      <c r="C1073" s="15" t="s">
        <v>104</v>
      </c>
      <c r="D1073" s="13" t="s">
        <v>105</v>
      </c>
      <c r="E1073" s="13" t="s">
        <v>2186</v>
      </c>
      <c r="F1073" s="43">
        <v>28.86</v>
      </c>
    </row>
    <row r="1074" spans="2:6" x14ac:dyDescent="0.25">
      <c r="B1074" s="13" t="s">
        <v>2187</v>
      </c>
      <c r="C1074" s="15" t="s">
        <v>104</v>
      </c>
      <c r="D1074" s="13" t="s">
        <v>105</v>
      </c>
      <c r="E1074" s="13" t="s">
        <v>2188</v>
      </c>
      <c r="F1074" s="43">
        <v>39.15</v>
      </c>
    </row>
    <row r="1075" spans="2:6" x14ac:dyDescent="0.25">
      <c r="B1075" s="13" t="s">
        <v>2189</v>
      </c>
      <c r="C1075" s="15" t="s">
        <v>104</v>
      </c>
      <c r="D1075" s="13" t="s">
        <v>105</v>
      </c>
      <c r="E1075" s="13" t="s">
        <v>2190</v>
      </c>
      <c r="F1075" s="43">
        <v>67.150000000000006</v>
      </c>
    </row>
    <row r="1076" spans="2:6" x14ac:dyDescent="0.25">
      <c r="B1076" s="13" t="s">
        <v>2191</v>
      </c>
      <c r="C1076" s="15" t="s">
        <v>104</v>
      </c>
      <c r="D1076" s="13" t="s">
        <v>105</v>
      </c>
      <c r="E1076" s="13" t="s">
        <v>2192</v>
      </c>
      <c r="F1076" s="43">
        <v>118.76</v>
      </c>
    </row>
    <row r="1077" spans="2:6" x14ac:dyDescent="0.25">
      <c r="B1077" s="13" t="s">
        <v>2193</v>
      </c>
      <c r="C1077" s="15" t="s">
        <v>104</v>
      </c>
      <c r="D1077" s="13" t="s">
        <v>105</v>
      </c>
      <c r="E1077" s="13" t="s">
        <v>2194</v>
      </c>
      <c r="F1077" s="43">
        <v>188.68</v>
      </c>
    </row>
    <row r="1078" spans="2:6" x14ac:dyDescent="0.25">
      <c r="B1078" s="13" t="s">
        <v>2195</v>
      </c>
      <c r="C1078" s="15" t="s">
        <v>104</v>
      </c>
      <c r="D1078" s="13" t="s">
        <v>105</v>
      </c>
      <c r="E1078" s="13" t="s">
        <v>2196</v>
      </c>
      <c r="F1078" s="43">
        <v>212.45</v>
      </c>
    </row>
    <row r="1079" spans="2:6" x14ac:dyDescent="0.25">
      <c r="B1079" s="13" t="s">
        <v>2197</v>
      </c>
      <c r="C1079" s="15" t="s">
        <v>104</v>
      </c>
      <c r="D1079" s="13" t="s">
        <v>105</v>
      </c>
      <c r="E1079" s="13" t="s">
        <v>2198</v>
      </c>
      <c r="F1079" s="43">
        <v>17.88</v>
      </c>
    </row>
    <row r="1080" spans="2:6" x14ac:dyDescent="0.25">
      <c r="B1080" s="13" t="s">
        <v>2199</v>
      </c>
      <c r="C1080" s="15" t="s">
        <v>104</v>
      </c>
      <c r="D1080" s="13" t="s">
        <v>105</v>
      </c>
      <c r="E1080" s="13" t="s">
        <v>2200</v>
      </c>
      <c r="F1080" s="43">
        <v>19.309999999999999</v>
      </c>
    </row>
    <row r="1081" spans="2:6" x14ac:dyDescent="0.25">
      <c r="B1081" s="13" t="s">
        <v>2201</v>
      </c>
      <c r="C1081" s="15" t="s">
        <v>104</v>
      </c>
      <c r="D1081" s="13" t="s">
        <v>105</v>
      </c>
      <c r="E1081" s="13" t="s">
        <v>2202</v>
      </c>
      <c r="F1081" s="43">
        <v>22.04</v>
      </c>
    </row>
    <row r="1082" spans="2:6" x14ac:dyDescent="0.25">
      <c r="B1082" s="13" t="s">
        <v>2203</v>
      </c>
      <c r="C1082" s="15" t="s">
        <v>104</v>
      </c>
      <c r="D1082" s="13" t="s">
        <v>105</v>
      </c>
      <c r="E1082" s="13" t="s">
        <v>2204</v>
      </c>
      <c r="F1082" s="43">
        <v>46.87</v>
      </c>
    </row>
    <row r="1083" spans="2:6" x14ac:dyDescent="0.25">
      <c r="B1083" s="13" t="s">
        <v>2205</v>
      </c>
      <c r="C1083" s="15" t="s">
        <v>104</v>
      </c>
      <c r="D1083" s="13" t="s">
        <v>105</v>
      </c>
      <c r="E1083" s="13" t="s">
        <v>2206</v>
      </c>
      <c r="F1083" s="43">
        <v>51.03</v>
      </c>
    </row>
    <row r="1084" spans="2:6" x14ac:dyDescent="0.25">
      <c r="B1084" s="13" t="s">
        <v>2207</v>
      </c>
      <c r="C1084" s="15" t="s">
        <v>104</v>
      </c>
      <c r="D1084" s="13" t="s">
        <v>105</v>
      </c>
      <c r="E1084" s="13" t="s">
        <v>2208</v>
      </c>
      <c r="F1084" s="43">
        <v>93.86</v>
      </c>
    </row>
    <row r="1085" spans="2:6" x14ac:dyDescent="0.25">
      <c r="B1085" s="13" t="s">
        <v>2209</v>
      </c>
      <c r="C1085" s="15" t="s">
        <v>104</v>
      </c>
      <c r="D1085" s="13" t="s">
        <v>105</v>
      </c>
      <c r="E1085" s="13" t="s">
        <v>2210</v>
      </c>
      <c r="F1085" s="43">
        <v>136.63</v>
      </c>
    </row>
    <row r="1086" spans="2:6" x14ac:dyDescent="0.25">
      <c r="B1086" s="13" t="s">
        <v>2211</v>
      </c>
      <c r="C1086" s="15" t="s">
        <v>104</v>
      </c>
      <c r="D1086" s="13" t="s">
        <v>105</v>
      </c>
      <c r="E1086" s="13" t="s">
        <v>2212</v>
      </c>
      <c r="F1086" s="43">
        <v>6.62</v>
      </c>
    </row>
    <row r="1087" spans="2:6" x14ac:dyDescent="0.25">
      <c r="B1087" s="13" t="s">
        <v>2213</v>
      </c>
      <c r="C1087" s="15" t="s">
        <v>104</v>
      </c>
      <c r="D1087" s="13" t="s">
        <v>105</v>
      </c>
      <c r="E1087" s="13" t="s">
        <v>2214</v>
      </c>
      <c r="F1087" s="43">
        <v>7.02</v>
      </c>
    </row>
    <row r="1088" spans="2:6" x14ac:dyDescent="0.25">
      <c r="B1088" s="13" t="s">
        <v>2215</v>
      </c>
      <c r="C1088" s="15" t="s">
        <v>104</v>
      </c>
      <c r="D1088" s="13" t="s">
        <v>105</v>
      </c>
      <c r="E1088" s="13" t="s">
        <v>2216</v>
      </c>
      <c r="F1088" s="43">
        <v>9.98</v>
      </c>
    </row>
    <row r="1089" spans="2:6" x14ac:dyDescent="0.25">
      <c r="B1089" s="13" t="s">
        <v>2217</v>
      </c>
      <c r="C1089" s="15" t="s">
        <v>104</v>
      </c>
      <c r="D1089" s="13" t="s">
        <v>105</v>
      </c>
      <c r="E1089" s="13" t="s">
        <v>2218</v>
      </c>
      <c r="F1089" s="43">
        <v>12.87</v>
      </c>
    </row>
    <row r="1090" spans="2:6" x14ac:dyDescent="0.25">
      <c r="B1090" s="13" t="s">
        <v>2219</v>
      </c>
      <c r="C1090" s="15" t="s">
        <v>104</v>
      </c>
      <c r="D1090" s="13" t="s">
        <v>105</v>
      </c>
      <c r="E1090" s="13" t="s">
        <v>2220</v>
      </c>
      <c r="F1090" s="43">
        <v>24.04</v>
      </c>
    </row>
    <row r="1091" spans="2:6" x14ac:dyDescent="0.25">
      <c r="B1091" s="13" t="s">
        <v>2221</v>
      </c>
      <c r="C1091" s="15" t="s">
        <v>104</v>
      </c>
      <c r="D1091" s="13" t="s">
        <v>105</v>
      </c>
      <c r="E1091" s="13" t="s">
        <v>2222</v>
      </c>
      <c r="F1091" s="43">
        <v>31.84</v>
      </c>
    </row>
    <row r="1092" spans="2:6" x14ac:dyDescent="0.25">
      <c r="B1092" s="13" t="s">
        <v>2223</v>
      </c>
      <c r="C1092" s="15" t="s">
        <v>104</v>
      </c>
      <c r="D1092" s="13" t="s">
        <v>105</v>
      </c>
      <c r="E1092" s="13" t="s">
        <v>2224</v>
      </c>
      <c r="F1092" s="43">
        <v>50.14</v>
      </c>
    </row>
    <row r="1093" spans="2:6" x14ac:dyDescent="0.25">
      <c r="B1093" s="13" t="s">
        <v>2225</v>
      </c>
      <c r="C1093" s="15" t="s">
        <v>104</v>
      </c>
      <c r="D1093" s="13" t="s">
        <v>105</v>
      </c>
      <c r="E1093" s="13" t="s">
        <v>2226</v>
      </c>
      <c r="F1093" s="43">
        <v>107.67</v>
      </c>
    </row>
    <row r="1094" spans="2:6" x14ac:dyDescent="0.25">
      <c r="B1094" s="13" t="s">
        <v>2227</v>
      </c>
      <c r="C1094" s="15" t="s">
        <v>104</v>
      </c>
      <c r="D1094" s="13" t="s">
        <v>105</v>
      </c>
      <c r="E1094" s="13" t="s">
        <v>2228</v>
      </c>
      <c r="F1094" s="43">
        <v>119.85</v>
      </c>
    </row>
    <row r="1095" spans="2:6" x14ac:dyDescent="0.25">
      <c r="B1095" s="13" t="s">
        <v>2229</v>
      </c>
      <c r="C1095" s="15" t="s">
        <v>104</v>
      </c>
      <c r="D1095" s="13" t="s">
        <v>105</v>
      </c>
      <c r="E1095" s="13" t="s">
        <v>2230</v>
      </c>
      <c r="F1095" s="43">
        <v>260.22000000000003</v>
      </c>
    </row>
    <row r="1096" spans="2:6" x14ac:dyDescent="0.25">
      <c r="B1096" s="13" t="s">
        <v>2231</v>
      </c>
      <c r="C1096" s="15" t="s">
        <v>104</v>
      </c>
      <c r="D1096" s="13" t="s">
        <v>105</v>
      </c>
      <c r="E1096" s="13" t="s">
        <v>2232</v>
      </c>
      <c r="F1096" s="43">
        <v>7.32</v>
      </c>
    </row>
    <row r="1097" spans="2:6" x14ac:dyDescent="0.25">
      <c r="B1097" s="13" t="s">
        <v>2233</v>
      </c>
      <c r="C1097" s="15" t="s">
        <v>104</v>
      </c>
      <c r="D1097" s="13" t="s">
        <v>105</v>
      </c>
      <c r="E1097" s="13" t="s">
        <v>2234</v>
      </c>
      <c r="F1097" s="43">
        <v>7.92</v>
      </c>
    </row>
    <row r="1098" spans="2:6" x14ac:dyDescent="0.25">
      <c r="B1098" s="13" t="s">
        <v>2235</v>
      </c>
      <c r="C1098" s="15" t="s">
        <v>104</v>
      </c>
      <c r="D1098" s="13" t="s">
        <v>105</v>
      </c>
      <c r="E1098" s="13" t="s">
        <v>2236</v>
      </c>
      <c r="F1098" s="43">
        <v>11.2</v>
      </c>
    </row>
    <row r="1099" spans="2:6" x14ac:dyDescent="0.25">
      <c r="B1099" s="13" t="s">
        <v>2237</v>
      </c>
      <c r="C1099" s="15" t="s">
        <v>104</v>
      </c>
      <c r="D1099" s="13" t="s">
        <v>105</v>
      </c>
      <c r="E1099" s="13" t="s">
        <v>2238</v>
      </c>
      <c r="F1099" s="43">
        <v>17.239999999999998</v>
      </c>
    </row>
    <row r="1100" spans="2:6" x14ac:dyDescent="0.25">
      <c r="B1100" s="13" t="s">
        <v>2239</v>
      </c>
      <c r="C1100" s="15" t="s">
        <v>104</v>
      </c>
      <c r="D1100" s="13" t="s">
        <v>105</v>
      </c>
      <c r="E1100" s="13" t="s">
        <v>2240</v>
      </c>
      <c r="F1100" s="43">
        <v>26.96</v>
      </c>
    </row>
    <row r="1101" spans="2:6" x14ac:dyDescent="0.25">
      <c r="B1101" s="13" t="s">
        <v>2241</v>
      </c>
      <c r="C1101" s="15" t="s">
        <v>104</v>
      </c>
      <c r="D1101" s="13" t="s">
        <v>105</v>
      </c>
      <c r="E1101" s="13" t="s">
        <v>2242</v>
      </c>
      <c r="F1101" s="43">
        <v>34.619999999999997</v>
      </c>
    </row>
    <row r="1102" spans="2:6" x14ac:dyDescent="0.25">
      <c r="B1102" s="13" t="s">
        <v>2243</v>
      </c>
      <c r="C1102" s="15" t="s">
        <v>104</v>
      </c>
      <c r="D1102" s="13" t="s">
        <v>105</v>
      </c>
      <c r="E1102" s="13" t="s">
        <v>2244</v>
      </c>
      <c r="F1102" s="43">
        <v>54.54</v>
      </c>
    </row>
    <row r="1103" spans="2:6" x14ac:dyDescent="0.25">
      <c r="B1103" s="13" t="s">
        <v>2245</v>
      </c>
      <c r="C1103" s="15" t="s">
        <v>104</v>
      </c>
      <c r="D1103" s="13" t="s">
        <v>105</v>
      </c>
      <c r="E1103" s="13" t="s">
        <v>2246</v>
      </c>
      <c r="F1103" s="43">
        <v>97.96</v>
      </c>
    </row>
    <row r="1104" spans="2:6" x14ac:dyDescent="0.25">
      <c r="B1104" s="13" t="s">
        <v>2247</v>
      </c>
      <c r="C1104" s="15" t="s">
        <v>104</v>
      </c>
      <c r="D1104" s="13" t="s">
        <v>105</v>
      </c>
      <c r="E1104" s="13" t="s">
        <v>2248</v>
      </c>
      <c r="F1104" s="43">
        <v>130.33000000000001</v>
      </c>
    </row>
    <row r="1105" spans="2:6" x14ac:dyDescent="0.25">
      <c r="B1105" s="13" t="s">
        <v>2249</v>
      </c>
      <c r="C1105" s="15" t="s">
        <v>104</v>
      </c>
      <c r="D1105" s="13" t="s">
        <v>105</v>
      </c>
      <c r="E1105" s="13" t="s">
        <v>2250</v>
      </c>
      <c r="F1105" s="43">
        <v>282.95</v>
      </c>
    </row>
    <row r="1106" spans="2:6" x14ac:dyDescent="0.25">
      <c r="B1106" s="13" t="s">
        <v>2251</v>
      </c>
      <c r="C1106" s="15" t="s">
        <v>104</v>
      </c>
      <c r="D1106" s="13" t="s">
        <v>105</v>
      </c>
      <c r="E1106" s="13" t="s">
        <v>2252</v>
      </c>
      <c r="F1106" s="43">
        <v>9.93</v>
      </c>
    </row>
    <row r="1107" spans="2:6" x14ac:dyDescent="0.25">
      <c r="B1107" s="13" t="s">
        <v>2253</v>
      </c>
      <c r="C1107" s="15" t="s">
        <v>104</v>
      </c>
      <c r="D1107" s="13" t="s">
        <v>105</v>
      </c>
      <c r="E1107" s="13" t="s">
        <v>2254</v>
      </c>
      <c r="F1107" s="43">
        <v>11.04</v>
      </c>
    </row>
    <row r="1108" spans="2:6" x14ac:dyDescent="0.25">
      <c r="B1108" s="13" t="s">
        <v>2255</v>
      </c>
      <c r="C1108" s="15" t="s">
        <v>104</v>
      </c>
      <c r="D1108" s="13" t="s">
        <v>105</v>
      </c>
      <c r="E1108" s="13" t="s">
        <v>2256</v>
      </c>
      <c r="F1108" s="43">
        <v>15.39</v>
      </c>
    </row>
    <row r="1109" spans="2:6" x14ac:dyDescent="0.25">
      <c r="B1109" s="13" t="s">
        <v>2257</v>
      </c>
      <c r="C1109" s="15" t="s">
        <v>104</v>
      </c>
      <c r="D1109" s="13" t="s">
        <v>105</v>
      </c>
      <c r="E1109" s="13" t="s">
        <v>2258</v>
      </c>
      <c r="F1109" s="43">
        <v>18.72</v>
      </c>
    </row>
    <row r="1110" spans="2:6" x14ac:dyDescent="0.25">
      <c r="B1110" s="13" t="s">
        <v>2259</v>
      </c>
      <c r="C1110" s="15" t="s">
        <v>104</v>
      </c>
      <c r="D1110" s="13" t="s">
        <v>105</v>
      </c>
      <c r="E1110" s="13" t="s">
        <v>2260</v>
      </c>
      <c r="F1110" s="43">
        <v>25.64</v>
      </c>
    </row>
    <row r="1111" spans="2:6" x14ac:dyDescent="0.25">
      <c r="B1111" s="13" t="s">
        <v>2261</v>
      </c>
      <c r="C1111" s="15" t="s">
        <v>104</v>
      </c>
      <c r="D1111" s="13" t="s">
        <v>105</v>
      </c>
      <c r="E1111" s="13" t="s">
        <v>2262</v>
      </c>
      <c r="F1111" s="43">
        <v>35.44</v>
      </c>
    </row>
    <row r="1112" spans="2:6" x14ac:dyDescent="0.25">
      <c r="B1112" s="13" t="s">
        <v>2263</v>
      </c>
      <c r="C1112" s="15" t="s">
        <v>104</v>
      </c>
      <c r="D1112" s="13" t="s">
        <v>105</v>
      </c>
      <c r="E1112" s="13" t="s">
        <v>2264</v>
      </c>
      <c r="F1112" s="43">
        <v>59.36</v>
      </c>
    </row>
    <row r="1113" spans="2:6" x14ac:dyDescent="0.25">
      <c r="B1113" s="13" t="s">
        <v>2265</v>
      </c>
      <c r="C1113" s="15" t="s">
        <v>104</v>
      </c>
      <c r="D1113" s="13" t="s">
        <v>105</v>
      </c>
      <c r="E1113" s="13" t="s">
        <v>2266</v>
      </c>
      <c r="F1113" s="43">
        <v>76.06</v>
      </c>
    </row>
    <row r="1114" spans="2:6" x14ac:dyDescent="0.25">
      <c r="B1114" s="13" t="s">
        <v>2267</v>
      </c>
      <c r="C1114" s="15" t="s">
        <v>104</v>
      </c>
      <c r="D1114" s="13" t="s">
        <v>105</v>
      </c>
      <c r="E1114" s="13" t="s">
        <v>2268</v>
      </c>
      <c r="F1114" s="43">
        <v>115.1</v>
      </c>
    </row>
    <row r="1115" spans="2:6" x14ac:dyDescent="0.25">
      <c r="B1115" s="13" t="s">
        <v>2269</v>
      </c>
      <c r="C1115" s="15" t="s">
        <v>104</v>
      </c>
      <c r="D1115" s="13" t="s">
        <v>105</v>
      </c>
      <c r="E1115" s="13" t="s">
        <v>2270</v>
      </c>
      <c r="F1115" s="43">
        <v>275.89999999999998</v>
      </c>
    </row>
    <row r="1116" spans="2:6" x14ac:dyDescent="0.25">
      <c r="B1116" s="13" t="s">
        <v>2271</v>
      </c>
      <c r="C1116" s="15" t="s">
        <v>104</v>
      </c>
      <c r="D1116" s="13" t="s">
        <v>105</v>
      </c>
      <c r="E1116" s="13" t="s">
        <v>2272</v>
      </c>
      <c r="F1116" s="43">
        <v>9.65</v>
      </c>
    </row>
    <row r="1117" spans="2:6" x14ac:dyDescent="0.25">
      <c r="B1117" s="13" t="s">
        <v>2273</v>
      </c>
      <c r="C1117" s="15" t="s">
        <v>104</v>
      </c>
      <c r="D1117" s="13" t="s">
        <v>105</v>
      </c>
      <c r="E1117" s="13" t="s">
        <v>2274</v>
      </c>
      <c r="F1117" s="43">
        <v>14</v>
      </c>
    </row>
    <row r="1118" spans="2:6" x14ac:dyDescent="0.25">
      <c r="B1118" s="13" t="s">
        <v>2275</v>
      </c>
      <c r="C1118" s="15" t="s">
        <v>104</v>
      </c>
      <c r="D1118" s="13" t="s">
        <v>105</v>
      </c>
      <c r="E1118" s="13" t="s">
        <v>2276</v>
      </c>
      <c r="F1118" s="43">
        <v>19.100000000000001</v>
      </c>
    </row>
    <row r="1119" spans="2:6" x14ac:dyDescent="0.25">
      <c r="B1119" s="13" t="s">
        <v>2277</v>
      </c>
      <c r="C1119" s="15" t="s">
        <v>104</v>
      </c>
      <c r="D1119" s="13" t="s">
        <v>105</v>
      </c>
      <c r="E1119" s="13" t="s">
        <v>2278</v>
      </c>
      <c r="F1119" s="43">
        <v>30.55</v>
      </c>
    </row>
    <row r="1120" spans="2:6" x14ac:dyDescent="0.25">
      <c r="B1120" s="13" t="s">
        <v>2279</v>
      </c>
      <c r="C1120" s="15" t="s">
        <v>104</v>
      </c>
      <c r="D1120" s="13" t="s">
        <v>105</v>
      </c>
      <c r="E1120" s="13" t="s">
        <v>2280</v>
      </c>
      <c r="F1120" s="43">
        <v>45.5</v>
      </c>
    </row>
    <row r="1121" spans="2:6" x14ac:dyDescent="0.25">
      <c r="B1121" s="13" t="s">
        <v>2281</v>
      </c>
      <c r="C1121" s="15" t="s">
        <v>104</v>
      </c>
      <c r="D1121" s="13" t="s">
        <v>105</v>
      </c>
      <c r="E1121" s="13" t="s">
        <v>2282</v>
      </c>
      <c r="F1121" s="43">
        <v>54.1</v>
      </c>
    </row>
    <row r="1122" spans="2:6" x14ac:dyDescent="0.25">
      <c r="B1122" s="13" t="s">
        <v>2283</v>
      </c>
      <c r="C1122" s="15" t="s">
        <v>104</v>
      </c>
      <c r="D1122" s="13" t="s">
        <v>105</v>
      </c>
      <c r="E1122" s="13" t="s">
        <v>2284</v>
      </c>
      <c r="F1122" s="43">
        <v>102.5</v>
      </c>
    </row>
    <row r="1123" spans="2:6" x14ac:dyDescent="0.25">
      <c r="B1123" s="13" t="s">
        <v>2285</v>
      </c>
      <c r="C1123" s="15" t="s">
        <v>104</v>
      </c>
      <c r="D1123" s="13" t="s">
        <v>105</v>
      </c>
      <c r="E1123" s="13" t="s">
        <v>2286</v>
      </c>
      <c r="F1123" s="43">
        <v>132.75</v>
      </c>
    </row>
    <row r="1124" spans="2:6" x14ac:dyDescent="0.25">
      <c r="B1124" s="13" t="s">
        <v>2287</v>
      </c>
      <c r="C1124" s="15" t="s">
        <v>104</v>
      </c>
      <c r="D1124" s="13" t="s">
        <v>105</v>
      </c>
      <c r="E1124" s="13" t="s">
        <v>2288</v>
      </c>
      <c r="F1124" s="43">
        <v>171.4</v>
      </c>
    </row>
    <row r="1125" spans="2:6" x14ac:dyDescent="0.25">
      <c r="B1125" s="13" t="s">
        <v>2289</v>
      </c>
      <c r="C1125" s="15" t="s">
        <v>104</v>
      </c>
      <c r="D1125" s="13" t="s">
        <v>105</v>
      </c>
      <c r="E1125" s="13" t="s">
        <v>2290</v>
      </c>
      <c r="F1125" s="43">
        <v>275.89999999999998</v>
      </c>
    </row>
    <row r="1126" spans="2:6" x14ac:dyDescent="0.25">
      <c r="B1126" s="13" t="s">
        <v>2291</v>
      </c>
      <c r="C1126" s="15" t="s">
        <v>104</v>
      </c>
      <c r="D1126" s="13" t="s">
        <v>105</v>
      </c>
      <c r="E1126" s="13" t="s">
        <v>2292</v>
      </c>
      <c r="F1126" s="43">
        <v>10.199999999999999</v>
      </c>
    </row>
    <row r="1127" spans="2:6" x14ac:dyDescent="0.25">
      <c r="B1127" s="13" t="s">
        <v>2293</v>
      </c>
      <c r="C1127" s="15" t="s">
        <v>104</v>
      </c>
      <c r="D1127" s="13" t="s">
        <v>105</v>
      </c>
      <c r="E1127" s="13" t="s">
        <v>2294</v>
      </c>
      <c r="F1127" s="43">
        <v>14</v>
      </c>
    </row>
    <row r="1128" spans="2:6" x14ac:dyDescent="0.25">
      <c r="B1128" s="13" t="s">
        <v>2295</v>
      </c>
      <c r="C1128" s="15" t="s">
        <v>104</v>
      </c>
      <c r="D1128" s="13" t="s">
        <v>105</v>
      </c>
      <c r="E1128" s="13" t="s">
        <v>2296</v>
      </c>
      <c r="F1128" s="43">
        <v>19.100000000000001</v>
      </c>
    </row>
    <row r="1129" spans="2:6" x14ac:dyDescent="0.25">
      <c r="B1129" s="13" t="s">
        <v>2297</v>
      </c>
      <c r="C1129" s="15" t="s">
        <v>104</v>
      </c>
      <c r="D1129" s="13" t="s">
        <v>105</v>
      </c>
      <c r="E1129" s="13" t="s">
        <v>2298</v>
      </c>
      <c r="F1129" s="43">
        <v>29.05</v>
      </c>
    </row>
    <row r="1130" spans="2:6" x14ac:dyDescent="0.25">
      <c r="B1130" s="13" t="s">
        <v>2299</v>
      </c>
      <c r="C1130" s="15" t="s">
        <v>104</v>
      </c>
      <c r="D1130" s="13" t="s">
        <v>105</v>
      </c>
      <c r="E1130" s="13" t="s">
        <v>2300</v>
      </c>
      <c r="F1130" s="43">
        <v>45.5</v>
      </c>
    </row>
    <row r="1131" spans="2:6" x14ac:dyDescent="0.25">
      <c r="B1131" s="13" t="s">
        <v>2301</v>
      </c>
      <c r="C1131" s="15" t="s">
        <v>104</v>
      </c>
      <c r="D1131" s="13" t="s">
        <v>105</v>
      </c>
      <c r="E1131" s="13" t="s">
        <v>2302</v>
      </c>
      <c r="F1131" s="43">
        <v>54.1</v>
      </c>
    </row>
    <row r="1132" spans="2:6" x14ac:dyDescent="0.25">
      <c r="B1132" s="13" t="s">
        <v>2303</v>
      </c>
      <c r="C1132" s="15" t="s">
        <v>104</v>
      </c>
      <c r="D1132" s="13" t="s">
        <v>105</v>
      </c>
      <c r="E1132" s="13" t="s">
        <v>2304</v>
      </c>
      <c r="F1132" s="43">
        <v>102.5</v>
      </c>
    </row>
    <row r="1133" spans="2:6" x14ac:dyDescent="0.25">
      <c r="B1133" s="13" t="s">
        <v>2305</v>
      </c>
      <c r="C1133" s="15" t="s">
        <v>104</v>
      </c>
      <c r="D1133" s="13" t="s">
        <v>105</v>
      </c>
      <c r="E1133" s="13" t="s">
        <v>2306</v>
      </c>
      <c r="F1133" s="43">
        <v>132.75</v>
      </c>
    </row>
    <row r="1134" spans="2:6" x14ac:dyDescent="0.25">
      <c r="B1134" s="13" t="s">
        <v>2307</v>
      </c>
      <c r="C1134" s="15" t="s">
        <v>104</v>
      </c>
      <c r="D1134" s="13" t="s">
        <v>105</v>
      </c>
      <c r="E1134" s="13" t="s">
        <v>2308</v>
      </c>
      <c r="F1134" s="43">
        <v>180.35</v>
      </c>
    </row>
    <row r="1135" spans="2:6" x14ac:dyDescent="0.25">
      <c r="B1135" s="13" t="s">
        <v>2309</v>
      </c>
      <c r="C1135" s="15" t="s">
        <v>104</v>
      </c>
      <c r="D1135" s="13" t="s">
        <v>105</v>
      </c>
      <c r="E1135" s="13" t="s">
        <v>2310</v>
      </c>
      <c r="F1135" s="43">
        <v>315.5</v>
      </c>
    </row>
    <row r="1136" spans="2:6" x14ac:dyDescent="0.25">
      <c r="B1136" s="13" t="s">
        <v>2311</v>
      </c>
      <c r="C1136" s="15" t="s">
        <v>104</v>
      </c>
      <c r="D1136" s="13" t="s">
        <v>105</v>
      </c>
      <c r="E1136" s="13" t="s">
        <v>2312</v>
      </c>
      <c r="F1136" s="43">
        <v>11.91</v>
      </c>
    </row>
    <row r="1137" spans="2:6" x14ac:dyDescent="0.25">
      <c r="B1137" s="13" t="s">
        <v>2313</v>
      </c>
      <c r="C1137" s="15" t="s">
        <v>104</v>
      </c>
      <c r="D1137" s="13" t="s">
        <v>105</v>
      </c>
      <c r="E1137" s="13" t="s">
        <v>2314</v>
      </c>
      <c r="F1137" s="43">
        <v>14.65</v>
      </c>
    </row>
    <row r="1138" spans="2:6" x14ac:dyDescent="0.25">
      <c r="B1138" s="13" t="s">
        <v>2315</v>
      </c>
      <c r="C1138" s="15" t="s">
        <v>104</v>
      </c>
      <c r="D1138" s="13" t="s">
        <v>105</v>
      </c>
      <c r="E1138" s="13" t="s">
        <v>2316</v>
      </c>
      <c r="F1138" s="43">
        <v>17.48</v>
      </c>
    </row>
    <row r="1139" spans="2:6" x14ac:dyDescent="0.25">
      <c r="B1139" s="13" t="s">
        <v>2317</v>
      </c>
      <c r="C1139" s="15" t="s">
        <v>104</v>
      </c>
      <c r="D1139" s="13" t="s">
        <v>105</v>
      </c>
      <c r="E1139" s="13" t="s">
        <v>2318</v>
      </c>
      <c r="F1139" s="43">
        <v>21.36</v>
      </c>
    </row>
    <row r="1140" spans="2:6" x14ac:dyDescent="0.25">
      <c r="B1140" s="13" t="s">
        <v>2319</v>
      </c>
      <c r="C1140" s="15" t="s">
        <v>104</v>
      </c>
      <c r="D1140" s="13" t="s">
        <v>105</v>
      </c>
      <c r="E1140" s="13" t="s">
        <v>2320</v>
      </c>
      <c r="F1140" s="43">
        <v>28.61</v>
      </c>
    </row>
    <row r="1141" spans="2:6" x14ac:dyDescent="0.25">
      <c r="B1141" s="13" t="s">
        <v>2321</v>
      </c>
      <c r="C1141" s="15" t="s">
        <v>104</v>
      </c>
      <c r="D1141" s="13" t="s">
        <v>105</v>
      </c>
      <c r="E1141" s="13" t="s">
        <v>2322</v>
      </c>
      <c r="F1141" s="43">
        <v>40.119999999999997</v>
      </c>
    </row>
    <row r="1142" spans="2:6" x14ac:dyDescent="0.25">
      <c r="B1142" s="13" t="s">
        <v>2323</v>
      </c>
      <c r="C1142" s="15" t="s">
        <v>104</v>
      </c>
      <c r="D1142" s="13" t="s">
        <v>105</v>
      </c>
      <c r="E1142" s="13" t="s">
        <v>2324</v>
      </c>
      <c r="F1142" s="43">
        <v>59.27</v>
      </c>
    </row>
    <row r="1143" spans="2:6" x14ac:dyDescent="0.25">
      <c r="B1143" s="13" t="s">
        <v>2325</v>
      </c>
      <c r="C1143" s="15" t="s">
        <v>104</v>
      </c>
      <c r="D1143" s="13" t="s">
        <v>105</v>
      </c>
      <c r="E1143" s="13" t="s">
        <v>2326</v>
      </c>
      <c r="F1143" s="43">
        <v>86.6</v>
      </c>
    </row>
    <row r="1144" spans="2:6" x14ac:dyDescent="0.25">
      <c r="B1144" s="13" t="s">
        <v>2327</v>
      </c>
      <c r="C1144" s="15" t="s">
        <v>104</v>
      </c>
      <c r="D1144" s="13" t="s">
        <v>105</v>
      </c>
      <c r="E1144" s="13" t="s">
        <v>2328</v>
      </c>
      <c r="F1144" s="43">
        <v>133.94</v>
      </c>
    </row>
    <row r="1145" spans="2:6" x14ac:dyDescent="0.25">
      <c r="B1145" s="13" t="s">
        <v>2329</v>
      </c>
      <c r="C1145" s="15" t="s">
        <v>104</v>
      </c>
      <c r="D1145" s="13" t="s">
        <v>105</v>
      </c>
      <c r="E1145" s="13" t="s">
        <v>2330</v>
      </c>
      <c r="F1145" s="43">
        <v>17.2</v>
      </c>
    </row>
    <row r="1146" spans="2:6" x14ac:dyDescent="0.25">
      <c r="B1146" s="13" t="s">
        <v>2331</v>
      </c>
      <c r="C1146" s="15" t="s">
        <v>104</v>
      </c>
      <c r="D1146" s="13" t="s">
        <v>105</v>
      </c>
      <c r="E1146" s="13" t="s">
        <v>2332</v>
      </c>
      <c r="F1146" s="43">
        <v>17.46</v>
      </c>
    </row>
    <row r="1147" spans="2:6" x14ac:dyDescent="0.25">
      <c r="B1147" s="13" t="s">
        <v>2333</v>
      </c>
      <c r="C1147" s="15" t="s">
        <v>104</v>
      </c>
      <c r="D1147" s="13" t="s">
        <v>105</v>
      </c>
      <c r="E1147" s="13" t="s">
        <v>2334</v>
      </c>
      <c r="F1147" s="43">
        <v>54.88</v>
      </c>
    </row>
    <row r="1148" spans="2:6" x14ac:dyDescent="0.25">
      <c r="B1148" s="13" t="s">
        <v>2335</v>
      </c>
      <c r="C1148" s="15" t="s">
        <v>104</v>
      </c>
      <c r="D1148" s="13" t="s">
        <v>105</v>
      </c>
      <c r="E1148" s="13" t="s">
        <v>2336</v>
      </c>
      <c r="F1148" s="43">
        <v>34.65</v>
      </c>
    </row>
    <row r="1149" spans="2:6" x14ac:dyDescent="0.25">
      <c r="B1149" s="13" t="s">
        <v>2337</v>
      </c>
      <c r="C1149" s="15" t="s">
        <v>104</v>
      </c>
      <c r="D1149" s="13" t="s">
        <v>105</v>
      </c>
      <c r="E1149" s="13" t="s">
        <v>2338</v>
      </c>
      <c r="F1149" s="43">
        <v>83.23</v>
      </c>
    </row>
    <row r="1150" spans="2:6" x14ac:dyDescent="0.25">
      <c r="B1150" s="13" t="s">
        <v>2339</v>
      </c>
      <c r="C1150" s="15" t="s">
        <v>104</v>
      </c>
      <c r="D1150" s="13" t="s">
        <v>105</v>
      </c>
      <c r="E1150" s="13" t="s">
        <v>2340</v>
      </c>
      <c r="F1150" s="43">
        <v>51.52</v>
      </c>
    </row>
    <row r="1151" spans="2:6" x14ac:dyDescent="0.25">
      <c r="B1151" s="13" t="s">
        <v>2341</v>
      </c>
      <c r="C1151" s="15" t="s">
        <v>104</v>
      </c>
      <c r="D1151" s="13" t="s">
        <v>105</v>
      </c>
      <c r="E1151" s="13" t="s">
        <v>2342</v>
      </c>
      <c r="F1151" s="43">
        <v>134.71</v>
      </c>
    </row>
    <row r="1152" spans="2:6" x14ac:dyDescent="0.25">
      <c r="B1152" s="13" t="s">
        <v>2343</v>
      </c>
      <c r="C1152" s="15" t="s">
        <v>104</v>
      </c>
      <c r="D1152" s="13" t="s">
        <v>105</v>
      </c>
      <c r="E1152" s="13" t="s">
        <v>2344</v>
      </c>
      <c r="F1152" s="43">
        <v>107.52</v>
      </c>
    </row>
    <row r="1153" spans="2:6" x14ac:dyDescent="0.25">
      <c r="B1153" s="13" t="s">
        <v>2345</v>
      </c>
      <c r="C1153" s="15" t="s">
        <v>104</v>
      </c>
      <c r="D1153" s="13" t="s">
        <v>105</v>
      </c>
      <c r="E1153" s="13" t="s">
        <v>2346</v>
      </c>
      <c r="F1153" s="43">
        <v>278.33</v>
      </c>
    </row>
    <row r="1154" spans="2:6" x14ac:dyDescent="0.25">
      <c r="B1154" s="13" t="s">
        <v>2347</v>
      </c>
      <c r="C1154" s="15" t="s">
        <v>104</v>
      </c>
      <c r="D1154" s="13" t="s">
        <v>105</v>
      </c>
      <c r="E1154" s="13" t="s">
        <v>2348</v>
      </c>
      <c r="F1154" s="43">
        <v>376.86</v>
      </c>
    </row>
    <row r="1155" spans="2:6" x14ac:dyDescent="0.25">
      <c r="B1155" s="13" t="s">
        <v>2349</v>
      </c>
      <c r="C1155" s="15" t="s">
        <v>104</v>
      </c>
      <c r="D1155" s="13" t="s">
        <v>105</v>
      </c>
      <c r="E1155" s="13" t="s">
        <v>2350</v>
      </c>
      <c r="F1155" s="43">
        <v>318.64999999999998</v>
      </c>
    </row>
    <row r="1156" spans="2:6" x14ac:dyDescent="0.25">
      <c r="B1156" s="13" t="s">
        <v>2351</v>
      </c>
      <c r="C1156" s="15" t="s">
        <v>104</v>
      </c>
      <c r="D1156" s="13" t="s">
        <v>105</v>
      </c>
      <c r="E1156" s="13" t="s">
        <v>2352</v>
      </c>
      <c r="F1156" s="43">
        <v>362.38</v>
      </c>
    </row>
    <row r="1157" spans="2:6" x14ac:dyDescent="0.25">
      <c r="B1157" s="13" t="s">
        <v>2353</v>
      </c>
      <c r="C1157" s="15" t="s">
        <v>104</v>
      </c>
      <c r="D1157" s="13" t="s">
        <v>105</v>
      </c>
      <c r="E1157" s="13" t="s">
        <v>2354</v>
      </c>
      <c r="F1157" s="43">
        <v>580.57000000000005</v>
      </c>
    </row>
    <row r="1158" spans="2:6" x14ac:dyDescent="0.25">
      <c r="B1158" s="13" t="s">
        <v>2355</v>
      </c>
      <c r="C1158" s="15" t="s">
        <v>104</v>
      </c>
      <c r="D1158" s="13" t="s">
        <v>105</v>
      </c>
      <c r="E1158" s="13" t="s">
        <v>2356</v>
      </c>
      <c r="F1158" s="43">
        <v>2340.5300000000002</v>
      </c>
    </row>
    <row r="1159" spans="2:6" x14ac:dyDescent="0.25">
      <c r="B1159" s="13" t="s">
        <v>2357</v>
      </c>
      <c r="C1159" s="15" t="s">
        <v>104</v>
      </c>
      <c r="D1159" s="13" t="s">
        <v>105</v>
      </c>
      <c r="E1159" s="13" t="s">
        <v>2358</v>
      </c>
      <c r="F1159" s="43">
        <v>18.600000000000001</v>
      </c>
    </row>
    <row r="1160" spans="2:6" x14ac:dyDescent="0.25">
      <c r="B1160" s="13" t="s">
        <v>2359</v>
      </c>
      <c r="C1160" s="15" t="s">
        <v>104</v>
      </c>
      <c r="D1160" s="13" t="s">
        <v>105</v>
      </c>
      <c r="E1160" s="13" t="s">
        <v>2360</v>
      </c>
      <c r="F1160" s="43">
        <v>26.04</v>
      </c>
    </row>
    <row r="1161" spans="2:6" x14ac:dyDescent="0.25">
      <c r="B1161" s="13" t="s">
        <v>2361</v>
      </c>
      <c r="C1161" s="15" t="s">
        <v>104</v>
      </c>
      <c r="D1161" s="13" t="s">
        <v>105</v>
      </c>
      <c r="E1161" s="13" t="s">
        <v>2362</v>
      </c>
      <c r="F1161" s="43">
        <v>36.56</v>
      </c>
    </row>
    <row r="1162" spans="2:6" x14ac:dyDescent="0.25">
      <c r="B1162" s="13" t="s">
        <v>2363</v>
      </c>
      <c r="C1162" s="15" t="s">
        <v>104</v>
      </c>
      <c r="D1162" s="13" t="s">
        <v>105</v>
      </c>
      <c r="E1162" s="13" t="s">
        <v>2364</v>
      </c>
      <c r="F1162" s="43">
        <v>43.36</v>
      </c>
    </row>
    <row r="1163" spans="2:6" x14ac:dyDescent="0.25">
      <c r="B1163" s="13" t="s">
        <v>2365</v>
      </c>
      <c r="C1163" s="15" t="s">
        <v>104</v>
      </c>
      <c r="D1163" s="13" t="s">
        <v>105</v>
      </c>
      <c r="E1163" s="13" t="s">
        <v>2366</v>
      </c>
      <c r="F1163" s="43">
        <v>46.28</v>
      </c>
    </row>
    <row r="1164" spans="2:6" x14ac:dyDescent="0.25">
      <c r="B1164" s="13" t="s">
        <v>2367</v>
      </c>
      <c r="C1164" s="15" t="s">
        <v>104</v>
      </c>
      <c r="D1164" s="13" t="s">
        <v>105</v>
      </c>
      <c r="E1164" s="13" t="s">
        <v>2368</v>
      </c>
      <c r="F1164" s="43">
        <v>51</v>
      </c>
    </row>
    <row r="1165" spans="2:6" x14ac:dyDescent="0.25">
      <c r="B1165" s="13" t="s">
        <v>2369</v>
      </c>
      <c r="C1165" s="15" t="s">
        <v>104</v>
      </c>
      <c r="D1165" s="13" t="s">
        <v>105</v>
      </c>
      <c r="E1165" s="13" t="s">
        <v>2370</v>
      </c>
      <c r="F1165" s="43">
        <v>57.76</v>
      </c>
    </row>
    <row r="1166" spans="2:6" x14ac:dyDescent="0.25">
      <c r="B1166" s="13" t="s">
        <v>2371</v>
      </c>
      <c r="C1166" s="15" t="s">
        <v>104</v>
      </c>
      <c r="D1166" s="13" t="s">
        <v>105</v>
      </c>
      <c r="E1166" s="13" t="s">
        <v>2372</v>
      </c>
      <c r="F1166" s="43">
        <v>75.2</v>
      </c>
    </row>
    <row r="1167" spans="2:6" x14ac:dyDescent="0.25">
      <c r="B1167" s="13" t="s">
        <v>2373</v>
      </c>
      <c r="C1167" s="15" t="s">
        <v>104</v>
      </c>
      <c r="D1167" s="13" t="s">
        <v>105</v>
      </c>
      <c r="E1167" s="13" t="s">
        <v>2374</v>
      </c>
      <c r="F1167" s="43">
        <v>89.56</v>
      </c>
    </row>
    <row r="1168" spans="2:6" x14ac:dyDescent="0.25">
      <c r="B1168" s="13" t="s">
        <v>2375</v>
      </c>
      <c r="C1168" s="15" t="s">
        <v>104</v>
      </c>
      <c r="D1168" s="13" t="s">
        <v>105</v>
      </c>
      <c r="E1168" s="13" t="s">
        <v>2376</v>
      </c>
      <c r="F1168" s="43">
        <v>97.84</v>
      </c>
    </row>
    <row r="1169" spans="2:6" x14ac:dyDescent="0.25">
      <c r="B1169" s="13" t="s">
        <v>2377</v>
      </c>
      <c r="C1169" s="15" t="s">
        <v>104</v>
      </c>
      <c r="D1169" s="13" t="s">
        <v>105</v>
      </c>
      <c r="E1169" s="13" t="s">
        <v>2378</v>
      </c>
      <c r="F1169" s="43">
        <v>122.64</v>
      </c>
    </row>
    <row r="1170" spans="2:6" x14ac:dyDescent="0.25">
      <c r="B1170" s="13" t="s">
        <v>2379</v>
      </c>
      <c r="C1170" s="15" t="s">
        <v>104</v>
      </c>
      <c r="D1170" s="13" t="s">
        <v>105</v>
      </c>
      <c r="E1170" s="13" t="s">
        <v>2380</v>
      </c>
      <c r="F1170" s="43">
        <v>161.04</v>
      </c>
    </row>
    <row r="1171" spans="2:6" x14ac:dyDescent="0.25">
      <c r="B1171" s="13" t="s">
        <v>2381</v>
      </c>
      <c r="C1171" s="15" t="s">
        <v>104</v>
      </c>
      <c r="D1171" s="13" t="s">
        <v>105</v>
      </c>
      <c r="E1171" s="13" t="s">
        <v>2382</v>
      </c>
      <c r="F1171" s="43">
        <v>164</v>
      </c>
    </row>
    <row r="1172" spans="2:6" x14ac:dyDescent="0.25">
      <c r="B1172" s="13" t="s">
        <v>2383</v>
      </c>
      <c r="C1172" s="15" t="s">
        <v>104</v>
      </c>
      <c r="D1172" s="13" t="s">
        <v>105</v>
      </c>
      <c r="E1172" s="13" t="s">
        <v>2384</v>
      </c>
      <c r="F1172" s="43">
        <v>184.92</v>
      </c>
    </row>
    <row r="1173" spans="2:6" x14ac:dyDescent="0.25">
      <c r="B1173" s="13" t="s">
        <v>2385</v>
      </c>
      <c r="C1173" s="15" t="s">
        <v>104</v>
      </c>
      <c r="D1173" s="13" t="s">
        <v>105</v>
      </c>
      <c r="E1173" s="13" t="s">
        <v>2386</v>
      </c>
      <c r="F1173" s="43">
        <v>28.73</v>
      </c>
    </row>
    <row r="1174" spans="2:6" x14ac:dyDescent="0.25">
      <c r="B1174" s="13" t="s">
        <v>2387</v>
      </c>
      <c r="C1174" s="15" t="s">
        <v>104</v>
      </c>
      <c r="D1174" s="13" t="s">
        <v>105</v>
      </c>
      <c r="E1174" s="13" t="s">
        <v>2388</v>
      </c>
      <c r="F1174" s="43">
        <v>32.18</v>
      </c>
    </row>
    <row r="1175" spans="2:6" x14ac:dyDescent="0.25">
      <c r="B1175" s="13" t="s">
        <v>2389</v>
      </c>
      <c r="C1175" s="15" t="s">
        <v>104</v>
      </c>
      <c r="D1175" s="13" t="s">
        <v>105</v>
      </c>
      <c r="E1175" s="13" t="s">
        <v>2390</v>
      </c>
      <c r="F1175" s="43">
        <v>41.52</v>
      </c>
    </row>
    <row r="1176" spans="2:6" x14ac:dyDescent="0.25">
      <c r="B1176" s="13" t="s">
        <v>2391</v>
      </c>
      <c r="C1176" s="15" t="s">
        <v>104</v>
      </c>
      <c r="D1176" s="13" t="s">
        <v>105</v>
      </c>
      <c r="E1176" s="13" t="s">
        <v>2392</v>
      </c>
      <c r="F1176" s="43">
        <v>62.03</v>
      </c>
    </row>
    <row r="1177" spans="2:6" x14ac:dyDescent="0.25">
      <c r="B1177" s="13" t="s">
        <v>2393</v>
      </c>
      <c r="C1177" s="15" t="s">
        <v>104</v>
      </c>
      <c r="D1177" s="13" t="s">
        <v>105</v>
      </c>
      <c r="E1177" s="13" t="s">
        <v>2394</v>
      </c>
      <c r="F1177" s="43">
        <v>70.95</v>
      </c>
    </row>
    <row r="1178" spans="2:6" x14ac:dyDescent="0.25">
      <c r="B1178" s="13" t="s">
        <v>2395</v>
      </c>
      <c r="C1178" s="15" t="s">
        <v>104</v>
      </c>
      <c r="D1178" s="13" t="s">
        <v>105</v>
      </c>
      <c r="E1178" s="13" t="s">
        <v>2396</v>
      </c>
      <c r="F1178" s="43">
        <v>97.99</v>
      </c>
    </row>
    <row r="1179" spans="2:6" x14ac:dyDescent="0.25">
      <c r="B1179" s="13" t="s">
        <v>2397</v>
      </c>
      <c r="C1179" s="15" t="s">
        <v>104</v>
      </c>
      <c r="D1179" s="13" t="s">
        <v>105</v>
      </c>
      <c r="E1179" s="13" t="s">
        <v>2398</v>
      </c>
      <c r="F1179" s="43">
        <v>8.93</v>
      </c>
    </row>
    <row r="1180" spans="2:6" x14ac:dyDescent="0.25">
      <c r="B1180" s="13" t="s">
        <v>2399</v>
      </c>
      <c r="C1180" s="15" t="s">
        <v>104</v>
      </c>
      <c r="D1180" s="13" t="s">
        <v>105</v>
      </c>
      <c r="E1180" s="13" t="s">
        <v>2400</v>
      </c>
      <c r="F1180" s="43">
        <v>9.8699999999999992</v>
      </c>
    </row>
    <row r="1181" spans="2:6" x14ac:dyDescent="0.25">
      <c r="B1181" s="13" t="s">
        <v>2401</v>
      </c>
      <c r="C1181" s="15" t="s">
        <v>104</v>
      </c>
      <c r="D1181" s="13" t="s">
        <v>105</v>
      </c>
      <c r="E1181" s="13" t="s">
        <v>2402</v>
      </c>
      <c r="F1181" s="43">
        <v>14.84</v>
      </c>
    </row>
    <row r="1182" spans="2:6" x14ac:dyDescent="0.25">
      <c r="B1182" s="13" t="s">
        <v>2403</v>
      </c>
      <c r="C1182" s="15" t="s">
        <v>104</v>
      </c>
      <c r="D1182" s="13" t="s">
        <v>105</v>
      </c>
      <c r="E1182" s="13" t="s">
        <v>2404</v>
      </c>
      <c r="F1182" s="43">
        <v>19.739999999999998</v>
      </c>
    </row>
    <row r="1183" spans="2:6" x14ac:dyDescent="0.25">
      <c r="B1183" s="13" t="s">
        <v>2405</v>
      </c>
      <c r="C1183" s="15" t="s">
        <v>104</v>
      </c>
      <c r="D1183" s="13" t="s">
        <v>105</v>
      </c>
      <c r="E1183" s="13" t="s">
        <v>2406</v>
      </c>
      <c r="F1183" s="43">
        <v>28.67</v>
      </c>
    </row>
    <row r="1184" spans="2:6" x14ac:dyDescent="0.25">
      <c r="B1184" s="13" t="s">
        <v>2407</v>
      </c>
      <c r="C1184" s="15" t="s">
        <v>104</v>
      </c>
      <c r="D1184" s="13" t="s">
        <v>105</v>
      </c>
      <c r="E1184" s="13" t="s">
        <v>2408</v>
      </c>
      <c r="F1184" s="43">
        <v>36.65</v>
      </c>
    </row>
    <row r="1185" spans="2:6" x14ac:dyDescent="0.25">
      <c r="B1185" s="13" t="s">
        <v>2409</v>
      </c>
      <c r="C1185" s="15" t="s">
        <v>104</v>
      </c>
      <c r="D1185" s="13" t="s">
        <v>105</v>
      </c>
      <c r="E1185" s="13" t="s">
        <v>2410</v>
      </c>
      <c r="F1185" s="43">
        <v>50.12</v>
      </c>
    </row>
    <row r="1186" spans="2:6" x14ac:dyDescent="0.25">
      <c r="B1186" s="13" t="s">
        <v>2411</v>
      </c>
      <c r="C1186" s="15" t="s">
        <v>104</v>
      </c>
      <c r="D1186" s="13" t="s">
        <v>105</v>
      </c>
      <c r="E1186" s="13" t="s">
        <v>2412</v>
      </c>
      <c r="F1186" s="43">
        <v>84.14</v>
      </c>
    </row>
    <row r="1187" spans="2:6" x14ac:dyDescent="0.25">
      <c r="B1187" s="13" t="s">
        <v>2413</v>
      </c>
      <c r="C1187" s="15" t="s">
        <v>104</v>
      </c>
      <c r="D1187" s="13" t="s">
        <v>105</v>
      </c>
      <c r="E1187" s="13" t="s">
        <v>2414</v>
      </c>
      <c r="F1187" s="43">
        <v>136.61000000000001</v>
      </c>
    </row>
    <row r="1188" spans="2:6" x14ac:dyDescent="0.25">
      <c r="B1188" s="13" t="s">
        <v>2415</v>
      </c>
      <c r="C1188" s="15" t="s">
        <v>104</v>
      </c>
      <c r="D1188" s="13" t="s">
        <v>105</v>
      </c>
      <c r="E1188" s="13" t="s">
        <v>2416</v>
      </c>
      <c r="F1188" s="43">
        <v>168.25</v>
      </c>
    </row>
    <row r="1189" spans="2:6" x14ac:dyDescent="0.25">
      <c r="B1189" s="13" t="s">
        <v>2417</v>
      </c>
      <c r="C1189" s="15" t="s">
        <v>104</v>
      </c>
      <c r="D1189" s="13" t="s">
        <v>105</v>
      </c>
      <c r="E1189" s="13" t="s">
        <v>2418</v>
      </c>
      <c r="F1189" s="43">
        <v>252.39</v>
      </c>
    </row>
    <row r="1190" spans="2:6" x14ac:dyDescent="0.25">
      <c r="B1190" s="13" t="s">
        <v>2419</v>
      </c>
      <c r="C1190" s="15" t="s">
        <v>104</v>
      </c>
      <c r="D1190" s="13" t="s">
        <v>105</v>
      </c>
      <c r="E1190" s="13" t="s">
        <v>2420</v>
      </c>
      <c r="F1190" s="43">
        <v>275.45</v>
      </c>
    </row>
    <row r="1191" spans="2:6" x14ac:dyDescent="0.25">
      <c r="B1191" s="13" t="s">
        <v>2421</v>
      </c>
      <c r="C1191" s="15" t="s">
        <v>104</v>
      </c>
      <c r="D1191" s="13" t="s">
        <v>105</v>
      </c>
      <c r="E1191" s="13" t="s">
        <v>2422</v>
      </c>
      <c r="F1191" s="43">
        <v>371.21</v>
      </c>
    </row>
    <row r="1192" spans="2:6" x14ac:dyDescent="0.25">
      <c r="B1192" s="13" t="s">
        <v>2423</v>
      </c>
      <c r="C1192" s="15" t="s">
        <v>104</v>
      </c>
      <c r="D1192" s="13" t="s">
        <v>105</v>
      </c>
      <c r="E1192" s="13" t="s">
        <v>2424</v>
      </c>
      <c r="F1192" s="43">
        <v>9.44</v>
      </c>
    </row>
    <row r="1193" spans="2:6" x14ac:dyDescent="0.25">
      <c r="B1193" s="13" t="s">
        <v>2425</v>
      </c>
      <c r="C1193" s="15" t="s">
        <v>104</v>
      </c>
      <c r="D1193" s="13" t="s">
        <v>105</v>
      </c>
      <c r="E1193" s="13" t="s">
        <v>2426</v>
      </c>
      <c r="F1193" s="43">
        <v>10.44</v>
      </c>
    </row>
    <row r="1194" spans="2:6" x14ac:dyDescent="0.25">
      <c r="B1194" s="13" t="s">
        <v>2427</v>
      </c>
      <c r="C1194" s="15" t="s">
        <v>104</v>
      </c>
      <c r="D1194" s="13" t="s">
        <v>105</v>
      </c>
      <c r="E1194" s="13" t="s">
        <v>2428</v>
      </c>
      <c r="F1194" s="43">
        <v>15.69</v>
      </c>
    </row>
    <row r="1195" spans="2:6" x14ac:dyDescent="0.25">
      <c r="B1195" s="13" t="s">
        <v>2429</v>
      </c>
      <c r="C1195" s="15" t="s">
        <v>104</v>
      </c>
      <c r="D1195" s="13" t="s">
        <v>105</v>
      </c>
      <c r="E1195" s="13" t="s">
        <v>2430</v>
      </c>
      <c r="F1195" s="43">
        <v>20.87</v>
      </c>
    </row>
    <row r="1196" spans="2:6" x14ac:dyDescent="0.25">
      <c r="B1196" s="13" t="s">
        <v>2431</v>
      </c>
      <c r="C1196" s="15" t="s">
        <v>104</v>
      </c>
      <c r="D1196" s="13" t="s">
        <v>105</v>
      </c>
      <c r="E1196" s="13" t="s">
        <v>2432</v>
      </c>
      <c r="F1196" s="43">
        <v>30.94</v>
      </c>
    </row>
    <row r="1197" spans="2:6" x14ac:dyDescent="0.25">
      <c r="B1197" s="13" t="s">
        <v>2433</v>
      </c>
      <c r="C1197" s="15" t="s">
        <v>104</v>
      </c>
      <c r="D1197" s="13" t="s">
        <v>105</v>
      </c>
      <c r="E1197" s="13" t="s">
        <v>2434</v>
      </c>
      <c r="F1197" s="43">
        <v>38.74</v>
      </c>
    </row>
    <row r="1198" spans="2:6" x14ac:dyDescent="0.25">
      <c r="B1198" s="13" t="s">
        <v>2435</v>
      </c>
      <c r="C1198" s="15" t="s">
        <v>104</v>
      </c>
      <c r="D1198" s="13" t="s">
        <v>105</v>
      </c>
      <c r="E1198" s="13" t="s">
        <v>2436</v>
      </c>
      <c r="F1198" s="43">
        <v>52.99</v>
      </c>
    </row>
    <row r="1199" spans="2:6" x14ac:dyDescent="0.25">
      <c r="B1199" s="13" t="s">
        <v>2437</v>
      </c>
      <c r="C1199" s="15" t="s">
        <v>104</v>
      </c>
      <c r="D1199" s="13" t="s">
        <v>105</v>
      </c>
      <c r="E1199" s="13" t="s">
        <v>2438</v>
      </c>
      <c r="F1199" s="43">
        <v>88.95</v>
      </c>
    </row>
    <row r="1200" spans="2:6" x14ac:dyDescent="0.25">
      <c r="B1200" s="13" t="s">
        <v>2439</v>
      </c>
      <c r="C1200" s="15" t="s">
        <v>104</v>
      </c>
      <c r="D1200" s="13" t="s">
        <v>105</v>
      </c>
      <c r="E1200" s="13" t="s">
        <v>2440</v>
      </c>
      <c r="F1200" s="43">
        <v>144.41999999999999</v>
      </c>
    </row>
    <row r="1201" spans="2:6" x14ac:dyDescent="0.25">
      <c r="B1201" s="13" t="s">
        <v>2441</v>
      </c>
      <c r="C1201" s="15" t="s">
        <v>104</v>
      </c>
      <c r="D1201" s="13" t="s">
        <v>105</v>
      </c>
      <c r="E1201" s="13" t="s">
        <v>2442</v>
      </c>
      <c r="F1201" s="43">
        <v>181.42</v>
      </c>
    </row>
    <row r="1202" spans="2:6" x14ac:dyDescent="0.25">
      <c r="B1202" s="13" t="s">
        <v>2443</v>
      </c>
      <c r="C1202" s="15" t="s">
        <v>104</v>
      </c>
      <c r="D1202" s="13" t="s">
        <v>105</v>
      </c>
      <c r="E1202" s="13" t="s">
        <v>2444</v>
      </c>
      <c r="F1202" s="43">
        <v>272.20999999999998</v>
      </c>
    </row>
    <row r="1203" spans="2:6" x14ac:dyDescent="0.25">
      <c r="B1203" s="13" t="s">
        <v>2445</v>
      </c>
      <c r="C1203" s="15" t="s">
        <v>104</v>
      </c>
      <c r="D1203" s="13" t="s">
        <v>105</v>
      </c>
      <c r="E1203" s="13" t="s">
        <v>2446</v>
      </c>
      <c r="F1203" s="43">
        <v>288.27</v>
      </c>
    </row>
    <row r="1204" spans="2:6" x14ac:dyDescent="0.25">
      <c r="B1204" s="13" t="s">
        <v>2447</v>
      </c>
      <c r="C1204" s="15" t="s">
        <v>104</v>
      </c>
      <c r="D1204" s="13" t="s">
        <v>105</v>
      </c>
      <c r="E1204" s="13" t="s">
        <v>2448</v>
      </c>
      <c r="F1204" s="43">
        <v>400.38</v>
      </c>
    </row>
    <row r="1205" spans="2:6" x14ac:dyDescent="0.25">
      <c r="B1205" s="13" t="s">
        <v>2449</v>
      </c>
      <c r="C1205" s="15" t="s">
        <v>104</v>
      </c>
      <c r="D1205" s="13" t="s">
        <v>105</v>
      </c>
      <c r="E1205" s="13" t="s">
        <v>2450</v>
      </c>
      <c r="F1205" s="43">
        <v>8.4</v>
      </c>
    </row>
    <row r="1206" spans="2:6" x14ac:dyDescent="0.25">
      <c r="B1206" s="13" t="s">
        <v>2451</v>
      </c>
      <c r="C1206" s="15" t="s">
        <v>104</v>
      </c>
      <c r="D1206" s="13" t="s">
        <v>105</v>
      </c>
      <c r="E1206" s="13" t="s">
        <v>2452</v>
      </c>
      <c r="F1206" s="43">
        <v>8.4</v>
      </c>
    </row>
    <row r="1207" spans="2:6" x14ac:dyDescent="0.25">
      <c r="B1207" s="13" t="s">
        <v>2453</v>
      </c>
      <c r="C1207" s="15" t="s">
        <v>104</v>
      </c>
      <c r="D1207" s="13" t="s">
        <v>105</v>
      </c>
      <c r="E1207" s="13" t="s">
        <v>2454</v>
      </c>
      <c r="F1207" s="43">
        <v>8.4</v>
      </c>
    </row>
    <row r="1208" spans="2:6" x14ac:dyDescent="0.25">
      <c r="B1208" s="13" t="s">
        <v>2455</v>
      </c>
      <c r="C1208" s="15" t="s">
        <v>104</v>
      </c>
      <c r="D1208" s="13" t="s">
        <v>105</v>
      </c>
      <c r="E1208" s="13" t="s">
        <v>2456</v>
      </c>
      <c r="F1208" s="43">
        <v>12.88</v>
      </c>
    </row>
    <row r="1209" spans="2:6" x14ac:dyDescent="0.25">
      <c r="B1209" s="13" t="s">
        <v>2457</v>
      </c>
      <c r="C1209" s="15" t="s">
        <v>104</v>
      </c>
      <c r="D1209" s="13" t="s">
        <v>105</v>
      </c>
      <c r="E1209" s="13" t="s">
        <v>2458</v>
      </c>
      <c r="F1209" s="43">
        <v>16.809999999999999</v>
      </c>
    </row>
    <row r="1210" spans="2:6" x14ac:dyDescent="0.25">
      <c r="B1210" s="13" t="s">
        <v>2459</v>
      </c>
      <c r="C1210" s="15" t="s">
        <v>104</v>
      </c>
      <c r="D1210" s="13" t="s">
        <v>105</v>
      </c>
      <c r="E1210" s="13" t="s">
        <v>2460</v>
      </c>
      <c r="F1210" s="43">
        <v>0</v>
      </c>
    </row>
    <row r="1211" spans="2:6" x14ac:dyDescent="0.25">
      <c r="B1211" s="13" t="s">
        <v>2461</v>
      </c>
      <c r="C1211" s="15" t="s">
        <v>104</v>
      </c>
      <c r="D1211" s="13" t="s">
        <v>105</v>
      </c>
      <c r="E1211" s="13" t="s">
        <v>2462</v>
      </c>
      <c r="F1211" s="43">
        <v>29.67</v>
      </c>
    </row>
    <row r="1212" spans="2:6" x14ac:dyDescent="0.25">
      <c r="B1212" s="13" t="s">
        <v>2463</v>
      </c>
      <c r="C1212" s="15" t="s">
        <v>104</v>
      </c>
      <c r="D1212" s="13" t="s">
        <v>105</v>
      </c>
      <c r="E1212" s="13" t="s">
        <v>2464</v>
      </c>
      <c r="F1212" s="43">
        <v>41.14</v>
      </c>
    </row>
    <row r="1213" spans="2:6" x14ac:dyDescent="0.25">
      <c r="B1213" s="13" t="s">
        <v>2465</v>
      </c>
      <c r="C1213" s="15" t="s">
        <v>104</v>
      </c>
      <c r="D1213" s="13" t="s">
        <v>105</v>
      </c>
      <c r="E1213" s="13" t="s">
        <v>2466</v>
      </c>
      <c r="F1213" s="43">
        <v>78.59</v>
      </c>
    </row>
    <row r="1214" spans="2:6" x14ac:dyDescent="0.25">
      <c r="B1214" s="13" t="s">
        <v>2467</v>
      </c>
      <c r="C1214" s="15" t="s">
        <v>104</v>
      </c>
      <c r="D1214" s="13" t="s">
        <v>105</v>
      </c>
      <c r="E1214" s="13" t="s">
        <v>2468</v>
      </c>
      <c r="F1214" s="43">
        <v>108.04</v>
      </c>
    </row>
    <row r="1215" spans="2:6" x14ac:dyDescent="0.25">
      <c r="B1215" s="13" t="s">
        <v>2469</v>
      </c>
      <c r="C1215" s="15" t="s">
        <v>104</v>
      </c>
      <c r="D1215" s="13" t="s">
        <v>105</v>
      </c>
      <c r="E1215" s="13" t="s">
        <v>2470</v>
      </c>
      <c r="F1215" s="43">
        <v>118.41</v>
      </c>
    </row>
    <row r="1216" spans="2:6" x14ac:dyDescent="0.25">
      <c r="B1216" s="13" t="s">
        <v>2471</v>
      </c>
      <c r="C1216" s="15" t="s">
        <v>104</v>
      </c>
      <c r="D1216" s="13" t="s">
        <v>105</v>
      </c>
      <c r="E1216" s="13" t="s">
        <v>2472</v>
      </c>
      <c r="F1216" s="43">
        <v>130.41999999999999</v>
      </c>
    </row>
    <row r="1217" spans="2:6" x14ac:dyDescent="0.25">
      <c r="B1217" s="13" t="s">
        <v>2473</v>
      </c>
      <c r="C1217" s="15" t="s">
        <v>104</v>
      </c>
      <c r="D1217" s="13" t="s">
        <v>105</v>
      </c>
      <c r="E1217" s="13" t="s">
        <v>2474</v>
      </c>
      <c r="F1217" s="43">
        <v>175.1</v>
      </c>
    </row>
    <row r="1218" spans="2:6" x14ac:dyDescent="0.25">
      <c r="B1218" s="13" t="s">
        <v>2475</v>
      </c>
      <c r="C1218" s="15" t="s">
        <v>104</v>
      </c>
      <c r="D1218" s="13" t="s">
        <v>105</v>
      </c>
      <c r="E1218" s="13" t="s">
        <v>2476</v>
      </c>
      <c r="F1218" s="43">
        <v>212.76</v>
      </c>
    </row>
    <row r="1219" spans="2:6" x14ac:dyDescent="0.25">
      <c r="B1219" s="13" t="s">
        <v>2477</v>
      </c>
      <c r="C1219" s="15" t="s">
        <v>104</v>
      </c>
      <c r="D1219" s="13" t="s">
        <v>105</v>
      </c>
      <c r="E1219" s="13" t="s">
        <v>2478</v>
      </c>
      <c r="F1219" s="43">
        <v>274.52999999999997</v>
      </c>
    </row>
    <row r="1220" spans="2:6" x14ac:dyDescent="0.25">
      <c r="B1220" s="13" t="s">
        <v>2479</v>
      </c>
      <c r="C1220" s="15" t="s">
        <v>104</v>
      </c>
      <c r="D1220" s="13" t="s">
        <v>105</v>
      </c>
      <c r="E1220" s="13" t="s">
        <v>2480</v>
      </c>
      <c r="F1220" s="43">
        <v>315.72000000000003</v>
      </c>
    </row>
    <row r="1221" spans="2:6" x14ac:dyDescent="0.25">
      <c r="B1221" s="13" t="s">
        <v>2481</v>
      </c>
      <c r="C1221" s="15" t="s">
        <v>104</v>
      </c>
      <c r="D1221" s="13" t="s">
        <v>105</v>
      </c>
      <c r="E1221" s="13" t="s">
        <v>2482</v>
      </c>
      <c r="F1221" s="43">
        <v>425.54</v>
      </c>
    </row>
    <row r="1222" spans="2:6" x14ac:dyDescent="0.25">
      <c r="B1222" s="13" t="s">
        <v>2483</v>
      </c>
      <c r="C1222" s="15" t="s">
        <v>104</v>
      </c>
      <c r="D1222" s="13" t="s">
        <v>105</v>
      </c>
      <c r="E1222" s="13" t="s">
        <v>2484</v>
      </c>
      <c r="F1222" s="43">
        <v>672.61</v>
      </c>
    </row>
    <row r="1223" spans="2:6" x14ac:dyDescent="0.25">
      <c r="B1223" s="13" t="s">
        <v>2485</v>
      </c>
      <c r="C1223" s="15" t="s">
        <v>104</v>
      </c>
      <c r="D1223" s="13" t="s">
        <v>115</v>
      </c>
      <c r="E1223" s="13" t="s">
        <v>2486</v>
      </c>
      <c r="F1223" s="43">
        <v>14.69</v>
      </c>
    </row>
    <row r="1224" spans="2:6" x14ac:dyDescent="0.25">
      <c r="B1224" s="13" t="s">
        <v>2487</v>
      </c>
      <c r="C1224" s="15" t="s">
        <v>104</v>
      </c>
      <c r="D1224" s="13" t="s">
        <v>115</v>
      </c>
      <c r="E1224" s="13" t="s">
        <v>2488</v>
      </c>
      <c r="F1224" s="43">
        <v>21.73</v>
      </c>
    </row>
    <row r="1225" spans="2:6" x14ac:dyDescent="0.25">
      <c r="B1225" s="13" t="s">
        <v>2489</v>
      </c>
      <c r="C1225" s="15" t="s">
        <v>104</v>
      </c>
      <c r="D1225" s="13" t="s">
        <v>115</v>
      </c>
      <c r="E1225" s="13" t="s">
        <v>2490</v>
      </c>
      <c r="F1225" s="43">
        <v>32.26</v>
      </c>
    </row>
    <row r="1226" spans="2:6" x14ac:dyDescent="0.25">
      <c r="B1226" s="13" t="s">
        <v>2491</v>
      </c>
      <c r="C1226" s="15" t="s">
        <v>104</v>
      </c>
      <c r="D1226" s="13" t="s">
        <v>115</v>
      </c>
      <c r="E1226" s="13" t="s">
        <v>2492</v>
      </c>
      <c r="F1226" s="43">
        <v>54.87</v>
      </c>
    </row>
    <row r="1227" spans="2:6" x14ac:dyDescent="0.25">
      <c r="B1227" s="13" t="s">
        <v>2493</v>
      </c>
      <c r="C1227" s="15" t="s">
        <v>104</v>
      </c>
      <c r="D1227" s="13" t="s">
        <v>115</v>
      </c>
      <c r="E1227" s="13" t="s">
        <v>2494</v>
      </c>
      <c r="F1227" s="43">
        <v>78.08</v>
      </c>
    </row>
    <row r="1228" spans="2:6" x14ac:dyDescent="0.25">
      <c r="B1228" s="13" t="s">
        <v>2495</v>
      </c>
      <c r="C1228" s="15" t="s">
        <v>104</v>
      </c>
      <c r="D1228" s="13" t="s">
        <v>115</v>
      </c>
      <c r="E1228" s="13" t="s">
        <v>2496</v>
      </c>
      <c r="F1228" s="43">
        <v>127.77</v>
      </c>
    </row>
    <row r="1229" spans="2:6" x14ac:dyDescent="0.25">
      <c r="B1229" s="13" t="s">
        <v>2497</v>
      </c>
      <c r="C1229" s="15" t="s">
        <v>104</v>
      </c>
      <c r="D1229" s="13" t="s">
        <v>115</v>
      </c>
      <c r="E1229" s="13" t="s">
        <v>2498</v>
      </c>
      <c r="F1229" s="43">
        <v>4.24</v>
      </c>
    </row>
    <row r="1230" spans="2:6" x14ac:dyDescent="0.25">
      <c r="B1230" s="13" t="s">
        <v>2499</v>
      </c>
      <c r="C1230" s="15" t="s">
        <v>104</v>
      </c>
      <c r="D1230" s="13" t="s">
        <v>115</v>
      </c>
      <c r="E1230" s="13" t="s">
        <v>2500</v>
      </c>
      <c r="F1230" s="43">
        <v>6.1</v>
      </c>
    </row>
    <row r="1231" spans="2:6" x14ac:dyDescent="0.25">
      <c r="B1231" s="13" t="s">
        <v>2501</v>
      </c>
      <c r="C1231" s="15" t="s">
        <v>104</v>
      </c>
      <c r="D1231" s="13" t="s">
        <v>115</v>
      </c>
      <c r="E1231" s="13" t="s">
        <v>2502</v>
      </c>
      <c r="F1231" s="43">
        <v>10.32</v>
      </c>
    </row>
    <row r="1232" spans="2:6" x14ac:dyDescent="0.25">
      <c r="B1232" s="69" t="s">
        <v>2503</v>
      </c>
      <c r="C1232" s="15" t="s">
        <v>104</v>
      </c>
      <c r="D1232" s="13" t="s">
        <v>115</v>
      </c>
      <c r="E1232" s="13" t="s">
        <v>2504</v>
      </c>
      <c r="F1232" s="43">
        <v>14.42</v>
      </c>
    </row>
    <row r="1233" spans="2:6" x14ac:dyDescent="0.25">
      <c r="B1233" s="13" t="s">
        <v>2505</v>
      </c>
      <c r="C1233" s="15" t="s">
        <v>104</v>
      </c>
      <c r="D1233" s="13" t="s">
        <v>115</v>
      </c>
      <c r="E1233" s="13" t="s">
        <v>2506</v>
      </c>
      <c r="F1233" s="43">
        <v>24.8</v>
      </c>
    </row>
    <row r="1234" spans="2:6" x14ac:dyDescent="0.25">
      <c r="B1234" s="13" t="s">
        <v>2507</v>
      </c>
      <c r="C1234" s="15" t="s">
        <v>104</v>
      </c>
      <c r="D1234" s="13" t="s">
        <v>115</v>
      </c>
      <c r="E1234" s="13" t="s">
        <v>2508</v>
      </c>
      <c r="F1234" s="43">
        <v>35.159999999999997</v>
      </c>
    </row>
    <row r="1235" spans="2:6" x14ac:dyDescent="0.25">
      <c r="B1235" s="13" t="s">
        <v>2509</v>
      </c>
      <c r="C1235" s="15" t="s">
        <v>104</v>
      </c>
      <c r="D1235" s="13" t="s">
        <v>115</v>
      </c>
      <c r="E1235" s="13" t="s">
        <v>2510</v>
      </c>
      <c r="F1235" s="43">
        <v>78.760000000000005</v>
      </c>
    </row>
    <row r="1236" spans="2:6" x14ac:dyDescent="0.25">
      <c r="B1236" s="13" t="s">
        <v>2511</v>
      </c>
      <c r="C1236" s="15" t="s">
        <v>104</v>
      </c>
      <c r="D1236" s="13" t="s">
        <v>115</v>
      </c>
      <c r="E1236" s="13" t="s">
        <v>2512</v>
      </c>
      <c r="F1236" s="43">
        <v>126.6</v>
      </c>
    </row>
    <row r="1237" spans="2:6" x14ac:dyDescent="0.25">
      <c r="B1237" s="13" t="s">
        <v>2513</v>
      </c>
      <c r="C1237" s="15" t="s">
        <v>104</v>
      </c>
      <c r="D1237" s="13" t="s">
        <v>115</v>
      </c>
      <c r="E1237" s="13" t="s">
        <v>2514</v>
      </c>
      <c r="F1237" s="43">
        <v>196.69</v>
      </c>
    </row>
    <row r="1238" spans="2:6" x14ac:dyDescent="0.25">
      <c r="B1238" s="13" t="s">
        <v>2515</v>
      </c>
      <c r="C1238" s="15" t="s">
        <v>104</v>
      </c>
      <c r="D1238" s="13" t="s">
        <v>115</v>
      </c>
      <c r="E1238" s="13" t="s">
        <v>2516</v>
      </c>
      <c r="F1238" s="43">
        <v>4.16</v>
      </c>
    </row>
    <row r="1239" spans="2:6" x14ac:dyDescent="0.25">
      <c r="B1239" s="13" t="s">
        <v>2517</v>
      </c>
      <c r="C1239" s="15" t="s">
        <v>104</v>
      </c>
      <c r="D1239" s="13" t="s">
        <v>115</v>
      </c>
      <c r="E1239" s="13" t="s">
        <v>2518</v>
      </c>
      <c r="F1239" s="43">
        <v>4.16</v>
      </c>
    </row>
    <row r="1240" spans="2:6" x14ac:dyDescent="0.25">
      <c r="B1240" s="13" t="s">
        <v>2519</v>
      </c>
      <c r="C1240" s="15" t="s">
        <v>104</v>
      </c>
      <c r="D1240" s="13" t="s">
        <v>115</v>
      </c>
      <c r="E1240" s="13" t="s">
        <v>2520</v>
      </c>
      <c r="F1240" s="43">
        <v>91.85</v>
      </c>
    </row>
    <row r="1241" spans="2:6" x14ac:dyDescent="0.25">
      <c r="B1241" s="13" t="s">
        <v>2521</v>
      </c>
      <c r="C1241" s="15" t="s">
        <v>104</v>
      </c>
      <c r="D1241" s="13" t="s">
        <v>115</v>
      </c>
      <c r="E1241" s="13" t="s">
        <v>2522</v>
      </c>
      <c r="F1241" s="43">
        <v>147.63999999999999</v>
      </c>
    </row>
    <row r="1242" spans="2:6" x14ac:dyDescent="0.25">
      <c r="B1242" s="13" t="s">
        <v>2523</v>
      </c>
      <c r="C1242" s="15" t="s">
        <v>104</v>
      </c>
      <c r="D1242" s="13" t="s">
        <v>115</v>
      </c>
      <c r="E1242" s="13" t="s">
        <v>2524</v>
      </c>
      <c r="F1242" s="43">
        <v>225.73</v>
      </c>
    </row>
    <row r="1243" spans="2:6" x14ac:dyDescent="0.25">
      <c r="B1243" s="13" t="s">
        <v>2525</v>
      </c>
      <c r="C1243" s="15" t="s">
        <v>104</v>
      </c>
      <c r="D1243" s="13" t="s">
        <v>115</v>
      </c>
      <c r="E1243" s="13" t="s">
        <v>2526</v>
      </c>
      <c r="F1243" s="43">
        <v>4.79</v>
      </c>
    </row>
    <row r="1244" spans="2:6" x14ac:dyDescent="0.25">
      <c r="B1244" s="13" t="s">
        <v>2527</v>
      </c>
      <c r="C1244" s="15" t="s">
        <v>104</v>
      </c>
      <c r="D1244" s="13" t="s">
        <v>115</v>
      </c>
      <c r="E1244" s="13" t="s">
        <v>2528</v>
      </c>
      <c r="F1244" s="43">
        <v>4.79</v>
      </c>
    </row>
    <row r="1245" spans="2:6" x14ac:dyDescent="0.25">
      <c r="B1245" s="13" t="s">
        <v>2529</v>
      </c>
      <c r="C1245" s="15" t="s">
        <v>104</v>
      </c>
      <c r="D1245" s="13" t="s">
        <v>115</v>
      </c>
      <c r="E1245" s="13" t="s">
        <v>2530</v>
      </c>
      <c r="F1245" s="43">
        <v>5.78</v>
      </c>
    </row>
    <row r="1246" spans="2:6" x14ac:dyDescent="0.25">
      <c r="B1246" s="13" t="s">
        <v>2531</v>
      </c>
      <c r="C1246" s="15" t="s">
        <v>104</v>
      </c>
      <c r="D1246" s="13" t="s">
        <v>115</v>
      </c>
      <c r="E1246" s="13" t="s">
        <v>2532</v>
      </c>
      <c r="F1246" s="43">
        <v>9.5299999999999994</v>
      </c>
    </row>
    <row r="1247" spans="2:6" x14ac:dyDescent="0.25">
      <c r="B1247" s="13" t="s">
        <v>2533</v>
      </c>
      <c r="C1247" s="15" t="s">
        <v>104</v>
      </c>
      <c r="D1247" s="13" t="s">
        <v>115</v>
      </c>
      <c r="E1247" s="13" t="s">
        <v>2534</v>
      </c>
      <c r="F1247" s="43">
        <v>14.09</v>
      </c>
    </row>
    <row r="1248" spans="2:6" x14ac:dyDescent="0.25">
      <c r="B1248" s="13" t="s">
        <v>2535</v>
      </c>
      <c r="C1248" s="15" t="s">
        <v>104</v>
      </c>
      <c r="D1248" s="13" t="s">
        <v>115</v>
      </c>
      <c r="E1248" s="13" t="s">
        <v>2536</v>
      </c>
      <c r="F1248" s="43">
        <v>23.11</v>
      </c>
    </row>
    <row r="1249" spans="2:6" x14ac:dyDescent="0.25">
      <c r="B1249" s="13" t="s">
        <v>2537</v>
      </c>
      <c r="C1249" s="15" t="s">
        <v>104</v>
      </c>
      <c r="D1249" s="13" t="s">
        <v>115</v>
      </c>
      <c r="E1249" s="13" t="s">
        <v>2538</v>
      </c>
      <c r="F1249" s="43">
        <v>33.58</v>
      </c>
    </row>
    <row r="1250" spans="2:6" x14ac:dyDescent="0.25">
      <c r="B1250" s="13" t="s">
        <v>2539</v>
      </c>
      <c r="C1250" s="15" t="s">
        <v>104</v>
      </c>
      <c r="D1250" s="13" t="s">
        <v>115</v>
      </c>
      <c r="E1250" s="13" t="s">
        <v>2540</v>
      </c>
      <c r="F1250" s="43">
        <v>50.3</v>
      </c>
    </row>
    <row r="1251" spans="2:6" x14ac:dyDescent="0.25">
      <c r="B1251" s="13" t="s">
        <v>2541</v>
      </c>
      <c r="C1251" s="15" t="s">
        <v>104</v>
      </c>
      <c r="D1251" s="13" t="s">
        <v>115</v>
      </c>
      <c r="E1251" s="13" t="s">
        <v>2542</v>
      </c>
      <c r="F1251" s="43">
        <v>4.67</v>
      </c>
    </row>
    <row r="1252" spans="2:6" x14ac:dyDescent="0.25">
      <c r="B1252" s="13" t="s">
        <v>2543</v>
      </c>
      <c r="C1252" s="15" t="s">
        <v>104</v>
      </c>
      <c r="D1252" s="13" t="s">
        <v>115</v>
      </c>
      <c r="E1252" s="13" t="s">
        <v>2544</v>
      </c>
      <c r="F1252" s="43">
        <v>4.67</v>
      </c>
    </row>
    <row r="1253" spans="2:6" x14ac:dyDescent="0.25">
      <c r="B1253" s="13" t="s">
        <v>2545</v>
      </c>
      <c r="C1253" s="15" t="s">
        <v>104</v>
      </c>
      <c r="D1253" s="13" t="s">
        <v>115</v>
      </c>
      <c r="E1253" s="13" t="s">
        <v>2546</v>
      </c>
      <c r="F1253" s="43">
        <v>5.76</v>
      </c>
    </row>
    <row r="1254" spans="2:6" x14ac:dyDescent="0.25">
      <c r="B1254" s="13" t="s">
        <v>2547</v>
      </c>
      <c r="C1254" s="15" t="s">
        <v>104</v>
      </c>
      <c r="D1254" s="13" t="s">
        <v>115</v>
      </c>
      <c r="E1254" s="13" t="s">
        <v>2548</v>
      </c>
      <c r="F1254" s="43">
        <v>9.36</v>
      </c>
    </row>
    <row r="1255" spans="2:6" x14ac:dyDescent="0.25">
      <c r="B1255" s="13" t="s">
        <v>2549</v>
      </c>
      <c r="C1255" s="15" t="s">
        <v>104</v>
      </c>
      <c r="D1255" s="13" t="s">
        <v>115</v>
      </c>
      <c r="E1255" s="13" t="s">
        <v>2550</v>
      </c>
      <c r="F1255" s="43">
        <v>14.21</v>
      </c>
    </row>
    <row r="1256" spans="2:6" x14ac:dyDescent="0.25">
      <c r="B1256" s="13" t="s">
        <v>2551</v>
      </c>
      <c r="C1256" s="15" t="s">
        <v>104</v>
      </c>
      <c r="D1256" s="13" t="s">
        <v>115</v>
      </c>
      <c r="E1256" s="13" t="s">
        <v>2552</v>
      </c>
      <c r="F1256" s="43">
        <v>4.91</v>
      </c>
    </row>
    <row r="1257" spans="2:6" x14ac:dyDescent="0.25">
      <c r="B1257" s="13" t="s">
        <v>2553</v>
      </c>
      <c r="C1257" s="15" t="s">
        <v>104</v>
      </c>
      <c r="D1257" s="13" t="s">
        <v>115</v>
      </c>
      <c r="E1257" s="13" t="s">
        <v>2554</v>
      </c>
      <c r="F1257" s="43">
        <v>4.91</v>
      </c>
    </row>
    <row r="1258" spans="2:6" x14ac:dyDescent="0.25">
      <c r="B1258" s="13" t="s">
        <v>2555</v>
      </c>
      <c r="C1258" s="15" t="s">
        <v>104</v>
      </c>
      <c r="D1258" s="13" t="s">
        <v>115</v>
      </c>
      <c r="E1258" s="13" t="s">
        <v>2556</v>
      </c>
      <c r="F1258" s="43">
        <v>6.07</v>
      </c>
    </row>
    <row r="1259" spans="2:6" x14ac:dyDescent="0.25">
      <c r="B1259" s="13" t="s">
        <v>2557</v>
      </c>
      <c r="C1259" s="15" t="s">
        <v>104</v>
      </c>
      <c r="D1259" s="13" t="s">
        <v>115</v>
      </c>
      <c r="E1259" s="13" t="s">
        <v>2558</v>
      </c>
      <c r="F1259" s="43">
        <v>9.6999999999999993</v>
      </c>
    </row>
    <row r="1260" spans="2:6" x14ac:dyDescent="0.25">
      <c r="B1260" s="13" t="s">
        <v>2559</v>
      </c>
      <c r="C1260" s="15" t="s">
        <v>104</v>
      </c>
      <c r="D1260" s="13" t="s">
        <v>115</v>
      </c>
      <c r="E1260" s="13" t="s">
        <v>2560</v>
      </c>
      <c r="F1260" s="43">
        <v>14.63</v>
      </c>
    </row>
    <row r="1261" spans="2:6" x14ac:dyDescent="0.25">
      <c r="B1261" s="13" t="s">
        <v>2561</v>
      </c>
      <c r="C1261" s="15" t="s">
        <v>104</v>
      </c>
      <c r="D1261" s="13" t="s">
        <v>115</v>
      </c>
      <c r="E1261" s="13" t="s">
        <v>2562</v>
      </c>
      <c r="F1261" s="43">
        <v>6.74</v>
      </c>
    </row>
    <row r="1262" spans="2:6" x14ac:dyDescent="0.25">
      <c r="B1262" s="13" t="s">
        <v>2563</v>
      </c>
      <c r="C1262" s="15" t="s">
        <v>104</v>
      </c>
      <c r="D1262" s="13" t="s">
        <v>115</v>
      </c>
      <c r="E1262" s="13" t="s">
        <v>2564</v>
      </c>
      <c r="F1262" s="43">
        <v>8.2200000000000006</v>
      </c>
    </row>
    <row r="1263" spans="2:6" x14ac:dyDescent="0.25">
      <c r="B1263" s="13" t="s">
        <v>2565</v>
      </c>
      <c r="C1263" s="15" t="s">
        <v>104</v>
      </c>
      <c r="D1263" s="13" t="s">
        <v>115</v>
      </c>
      <c r="E1263" s="13" t="s">
        <v>2566</v>
      </c>
      <c r="F1263" s="43">
        <v>13.47</v>
      </c>
    </row>
    <row r="1264" spans="2:6" x14ac:dyDescent="0.25">
      <c r="B1264" s="13" t="s">
        <v>2567</v>
      </c>
      <c r="C1264" s="15" t="s">
        <v>104</v>
      </c>
      <c r="D1264" s="13" t="s">
        <v>115</v>
      </c>
      <c r="E1264" s="13" t="s">
        <v>2568</v>
      </c>
      <c r="F1264" s="43">
        <v>20.91</v>
      </c>
    </row>
    <row r="1265" spans="2:6" x14ac:dyDescent="0.25">
      <c r="B1265" s="13" t="s">
        <v>2569</v>
      </c>
      <c r="C1265" s="15" t="s">
        <v>104</v>
      </c>
      <c r="D1265" s="13" t="s">
        <v>115</v>
      </c>
      <c r="E1265" s="13" t="s">
        <v>2570</v>
      </c>
      <c r="F1265" s="43">
        <v>32.6</v>
      </c>
    </row>
    <row r="1266" spans="2:6" x14ac:dyDescent="0.25">
      <c r="B1266" s="13" t="s">
        <v>2571</v>
      </c>
      <c r="C1266" s="15" t="s">
        <v>104</v>
      </c>
      <c r="D1266" s="13" t="s">
        <v>115</v>
      </c>
      <c r="E1266" s="13" t="s">
        <v>2572</v>
      </c>
      <c r="F1266" s="43">
        <v>8.19</v>
      </c>
    </row>
    <row r="1267" spans="2:6" x14ac:dyDescent="0.25">
      <c r="B1267" s="13" t="s">
        <v>2573</v>
      </c>
      <c r="C1267" s="15" t="s">
        <v>104</v>
      </c>
      <c r="D1267" s="13" t="s">
        <v>115</v>
      </c>
      <c r="E1267" s="13" t="s">
        <v>2574</v>
      </c>
      <c r="F1267" s="43">
        <v>11.42</v>
      </c>
    </row>
    <row r="1268" spans="2:6" x14ac:dyDescent="0.25">
      <c r="B1268" s="13" t="s">
        <v>2575</v>
      </c>
      <c r="C1268" s="15" t="s">
        <v>104</v>
      </c>
      <c r="D1268" s="13" t="s">
        <v>115</v>
      </c>
      <c r="E1268" s="13" t="s">
        <v>2576</v>
      </c>
      <c r="F1268" s="43">
        <v>18.02</v>
      </c>
    </row>
    <row r="1269" spans="2:6" x14ac:dyDescent="0.25">
      <c r="B1269" s="13" t="s">
        <v>2577</v>
      </c>
      <c r="C1269" s="15" t="s">
        <v>104</v>
      </c>
      <c r="D1269" s="13" t="s">
        <v>115</v>
      </c>
      <c r="E1269" s="13" t="s">
        <v>2578</v>
      </c>
      <c r="F1269" s="43">
        <v>10.119999999999999</v>
      </c>
    </row>
    <row r="1270" spans="2:6" x14ac:dyDescent="0.25">
      <c r="B1270" s="13" t="s">
        <v>2579</v>
      </c>
      <c r="C1270" s="15" t="s">
        <v>104</v>
      </c>
      <c r="D1270" s="13" t="s">
        <v>115</v>
      </c>
      <c r="E1270" s="13" t="s">
        <v>2580</v>
      </c>
      <c r="F1270" s="43">
        <v>7.62</v>
      </c>
    </row>
    <row r="1271" spans="2:6" x14ac:dyDescent="0.25">
      <c r="B1271" s="13" t="s">
        <v>2581</v>
      </c>
      <c r="C1271" s="15" t="s">
        <v>104</v>
      </c>
      <c r="D1271" s="13" t="s">
        <v>115</v>
      </c>
      <c r="E1271" s="13" t="s">
        <v>2582</v>
      </c>
      <c r="F1271" s="43">
        <v>12</v>
      </c>
    </row>
    <row r="1272" spans="2:6" x14ac:dyDescent="0.25">
      <c r="B1272" s="13" t="s">
        <v>2577</v>
      </c>
      <c r="C1272" s="15" t="s">
        <v>104</v>
      </c>
      <c r="D1272" s="13" t="s">
        <v>115</v>
      </c>
      <c r="E1272" s="13" t="s">
        <v>2583</v>
      </c>
      <c r="F1272" s="43">
        <v>10.119999999999999</v>
      </c>
    </row>
    <row r="1273" spans="2:6" x14ac:dyDescent="0.25">
      <c r="B1273" s="13" t="s">
        <v>2584</v>
      </c>
      <c r="C1273" s="15" t="s">
        <v>104</v>
      </c>
      <c r="D1273" s="13" t="s">
        <v>115</v>
      </c>
      <c r="E1273" s="13" t="s">
        <v>2585</v>
      </c>
      <c r="F1273" s="43">
        <v>9.7799999999999994</v>
      </c>
    </row>
    <row r="1274" spans="2:6" x14ac:dyDescent="0.25">
      <c r="B1274" s="13" t="s">
        <v>2586</v>
      </c>
      <c r="C1274" s="15" t="s">
        <v>104</v>
      </c>
      <c r="D1274" s="13" t="s">
        <v>115</v>
      </c>
      <c r="E1274" s="13" t="s">
        <v>2587</v>
      </c>
      <c r="F1274" s="43">
        <v>12.78</v>
      </c>
    </row>
    <row r="1275" spans="2:6" x14ac:dyDescent="0.25">
      <c r="B1275" s="13" t="s">
        <v>2588</v>
      </c>
      <c r="C1275" s="15" t="s">
        <v>104</v>
      </c>
      <c r="D1275" s="13" t="s">
        <v>115</v>
      </c>
      <c r="E1275" s="13" t="s">
        <v>2589</v>
      </c>
      <c r="F1275" s="43">
        <v>16.170000000000002</v>
      </c>
    </row>
    <row r="1276" spans="2:6" x14ac:dyDescent="0.25">
      <c r="B1276" s="13" t="s">
        <v>2590</v>
      </c>
      <c r="C1276" s="15" t="s">
        <v>104</v>
      </c>
      <c r="D1276" s="13" t="s">
        <v>115</v>
      </c>
      <c r="E1276" s="13" t="s">
        <v>2591</v>
      </c>
      <c r="F1276" s="43">
        <v>26</v>
      </c>
    </row>
    <row r="1277" spans="2:6" x14ac:dyDescent="0.25">
      <c r="B1277" s="13" t="s">
        <v>2592</v>
      </c>
      <c r="C1277" s="15" t="s">
        <v>104</v>
      </c>
      <c r="D1277" s="13" t="s">
        <v>115</v>
      </c>
      <c r="E1277" s="13" t="s">
        <v>2593</v>
      </c>
      <c r="F1277" s="43">
        <v>15.11</v>
      </c>
    </row>
    <row r="1278" spans="2:6" x14ac:dyDescent="0.25">
      <c r="B1278" s="13" t="s">
        <v>2594</v>
      </c>
      <c r="C1278" s="15" t="s">
        <v>104</v>
      </c>
      <c r="D1278" s="13" t="s">
        <v>115</v>
      </c>
      <c r="E1278" s="13" t="s">
        <v>2595</v>
      </c>
      <c r="F1278" s="43">
        <v>13.86</v>
      </c>
    </row>
    <row r="1279" spans="2:6" x14ac:dyDescent="0.25">
      <c r="B1279" s="13" t="s">
        <v>2596</v>
      </c>
      <c r="C1279" s="15" t="s">
        <v>104</v>
      </c>
      <c r="D1279" s="13" t="s">
        <v>115</v>
      </c>
      <c r="E1279" s="13" t="s">
        <v>2597</v>
      </c>
      <c r="F1279" s="43">
        <v>17.260000000000002</v>
      </c>
    </row>
    <row r="1280" spans="2:6" x14ac:dyDescent="0.25">
      <c r="B1280" s="13" t="s">
        <v>2598</v>
      </c>
      <c r="C1280" s="15" t="s">
        <v>104</v>
      </c>
      <c r="D1280" s="13" t="s">
        <v>115</v>
      </c>
      <c r="E1280" s="13" t="s">
        <v>2599</v>
      </c>
      <c r="F1280" s="43">
        <v>24.12</v>
      </c>
    </row>
    <row r="1281" spans="2:6" x14ac:dyDescent="0.25">
      <c r="B1281" s="13" t="s">
        <v>2600</v>
      </c>
      <c r="C1281" s="15" t="s">
        <v>104</v>
      </c>
      <c r="D1281" s="13" t="s">
        <v>115</v>
      </c>
      <c r="E1281" s="13" t="s">
        <v>2601</v>
      </c>
      <c r="F1281" s="43">
        <v>5.65</v>
      </c>
    </row>
    <row r="1282" spans="2:6" x14ac:dyDescent="0.25">
      <c r="B1282" s="13" t="s">
        <v>2602</v>
      </c>
      <c r="C1282" s="15" t="s">
        <v>104</v>
      </c>
      <c r="D1282" s="13" t="s">
        <v>115</v>
      </c>
      <c r="E1282" s="13" t="s">
        <v>2603</v>
      </c>
      <c r="F1282" s="43">
        <v>8.0500000000000007</v>
      </c>
    </row>
    <row r="1283" spans="2:6" x14ac:dyDescent="0.25">
      <c r="B1283" s="13" t="s">
        <v>2604</v>
      </c>
      <c r="C1283" s="15" t="s">
        <v>104</v>
      </c>
      <c r="D1283" s="13" t="s">
        <v>115</v>
      </c>
      <c r="E1283" s="13" t="s">
        <v>2605</v>
      </c>
      <c r="F1283" s="43">
        <v>45.92</v>
      </c>
    </row>
    <row r="1284" spans="2:6" x14ac:dyDescent="0.25">
      <c r="B1284" s="13" t="s">
        <v>2606</v>
      </c>
      <c r="C1284" s="15" t="s">
        <v>104</v>
      </c>
      <c r="D1284" s="13" t="s">
        <v>115</v>
      </c>
      <c r="E1284" s="13" t="s">
        <v>2607</v>
      </c>
      <c r="F1284" s="43">
        <v>70.31</v>
      </c>
    </row>
    <row r="1285" spans="2:6" x14ac:dyDescent="0.25">
      <c r="B1285" s="13" t="s">
        <v>2608</v>
      </c>
      <c r="C1285" s="15" t="s">
        <v>104</v>
      </c>
      <c r="D1285" s="13" t="s">
        <v>115</v>
      </c>
      <c r="E1285" s="13" t="s">
        <v>2609</v>
      </c>
      <c r="F1285" s="43">
        <v>102.97</v>
      </c>
    </row>
    <row r="1286" spans="2:6" x14ac:dyDescent="0.25">
      <c r="B1286" s="13" t="s">
        <v>2610</v>
      </c>
      <c r="C1286" s="15" t="s">
        <v>104</v>
      </c>
      <c r="D1286" s="13" t="s">
        <v>115</v>
      </c>
      <c r="E1286" s="13" t="s">
        <v>2611</v>
      </c>
      <c r="F1286" s="43">
        <v>158.22</v>
      </c>
    </row>
    <row r="1287" spans="2:6" x14ac:dyDescent="0.25">
      <c r="B1287" s="13" t="s">
        <v>2612</v>
      </c>
      <c r="C1287" s="15" t="s">
        <v>104</v>
      </c>
      <c r="D1287" s="13" t="s">
        <v>115</v>
      </c>
      <c r="E1287" s="13" t="s">
        <v>2613</v>
      </c>
      <c r="F1287" s="43">
        <v>219.53</v>
      </c>
    </row>
    <row r="1288" spans="2:6" x14ac:dyDescent="0.25">
      <c r="B1288" s="13" t="s">
        <v>2614</v>
      </c>
      <c r="C1288" s="15" t="s">
        <v>104</v>
      </c>
      <c r="D1288" s="13" t="s">
        <v>115</v>
      </c>
      <c r="E1288" s="13" t="s">
        <v>2615</v>
      </c>
      <c r="F1288" s="43">
        <v>336.59</v>
      </c>
    </row>
    <row r="1289" spans="2:6" x14ac:dyDescent="0.25">
      <c r="B1289" s="13" t="s">
        <v>2616</v>
      </c>
      <c r="C1289" s="15" t="s">
        <v>104</v>
      </c>
      <c r="D1289" s="13" t="s">
        <v>115</v>
      </c>
      <c r="E1289" s="13" t="s">
        <v>2617</v>
      </c>
      <c r="F1289" s="43">
        <v>18.16</v>
      </c>
    </row>
    <row r="1290" spans="2:6" x14ac:dyDescent="0.25">
      <c r="B1290" s="13" t="s">
        <v>2618</v>
      </c>
      <c r="C1290" s="15" t="s">
        <v>104</v>
      </c>
      <c r="D1290" s="13" t="s">
        <v>115</v>
      </c>
      <c r="E1290" s="13" t="s">
        <v>2619</v>
      </c>
      <c r="F1290" s="43">
        <v>27.19</v>
      </c>
    </row>
    <row r="1291" spans="2:6" x14ac:dyDescent="0.25">
      <c r="B1291" s="13" t="s">
        <v>2620</v>
      </c>
      <c r="C1291" s="15" t="s">
        <v>104</v>
      </c>
      <c r="D1291" s="13" t="s">
        <v>115</v>
      </c>
      <c r="E1291" s="13" t="s">
        <v>2621</v>
      </c>
      <c r="F1291" s="43">
        <v>45.92</v>
      </c>
    </row>
    <row r="1292" spans="2:6" x14ac:dyDescent="0.25">
      <c r="B1292" s="13" t="s">
        <v>2622</v>
      </c>
      <c r="C1292" s="15" t="s">
        <v>104</v>
      </c>
      <c r="D1292" s="13" t="s">
        <v>115</v>
      </c>
      <c r="E1292" s="13" t="s">
        <v>2623</v>
      </c>
      <c r="F1292" s="43">
        <v>70.31</v>
      </c>
    </row>
    <row r="1293" spans="2:6" x14ac:dyDescent="0.25">
      <c r="B1293" s="13" t="s">
        <v>2624</v>
      </c>
      <c r="C1293" s="15" t="s">
        <v>104</v>
      </c>
      <c r="D1293" s="13" t="s">
        <v>115</v>
      </c>
      <c r="E1293" s="13" t="s">
        <v>2625</v>
      </c>
      <c r="F1293" s="43">
        <v>102.97</v>
      </c>
    </row>
    <row r="1294" spans="2:6" x14ac:dyDescent="0.25">
      <c r="B1294" s="13" t="s">
        <v>2626</v>
      </c>
      <c r="C1294" s="15" t="s">
        <v>104</v>
      </c>
      <c r="D1294" s="13" t="s">
        <v>115</v>
      </c>
      <c r="E1294" s="13" t="s">
        <v>2627</v>
      </c>
      <c r="F1294" s="43">
        <v>158.22</v>
      </c>
    </row>
    <row r="1295" spans="2:6" x14ac:dyDescent="0.25">
      <c r="B1295" s="13" t="s">
        <v>2628</v>
      </c>
      <c r="C1295" s="15" t="s">
        <v>104</v>
      </c>
      <c r="D1295" s="13" t="s">
        <v>115</v>
      </c>
      <c r="E1295" s="13" t="s">
        <v>2629</v>
      </c>
      <c r="F1295" s="43">
        <v>219.53</v>
      </c>
    </row>
    <row r="1296" spans="2:6" x14ac:dyDescent="0.25">
      <c r="B1296" s="13" t="s">
        <v>2630</v>
      </c>
      <c r="C1296" s="15" t="s">
        <v>104</v>
      </c>
      <c r="D1296" s="13" t="s">
        <v>115</v>
      </c>
      <c r="E1296" s="13" t="s">
        <v>2631</v>
      </c>
      <c r="F1296" s="43">
        <v>336.59</v>
      </c>
    </row>
    <row r="1297" spans="2:6" x14ac:dyDescent="0.25">
      <c r="B1297" s="13" t="s">
        <v>2632</v>
      </c>
      <c r="C1297" s="15" t="s">
        <v>104</v>
      </c>
      <c r="D1297" s="13" t="s">
        <v>115</v>
      </c>
      <c r="E1297" s="13" t="s">
        <v>2633</v>
      </c>
      <c r="F1297" s="43">
        <v>3.78</v>
      </c>
    </row>
    <row r="1298" spans="2:6" x14ac:dyDescent="0.25">
      <c r="B1298" s="13" t="s">
        <v>2634</v>
      </c>
      <c r="C1298" s="15" t="s">
        <v>104</v>
      </c>
      <c r="D1298" s="13" t="s">
        <v>115</v>
      </c>
      <c r="E1298" s="13" t="s">
        <v>2635</v>
      </c>
      <c r="F1298" s="43">
        <v>4.03</v>
      </c>
    </row>
    <row r="1299" spans="2:6" x14ac:dyDescent="0.25">
      <c r="B1299" s="13" t="s">
        <v>2636</v>
      </c>
      <c r="C1299" s="15" t="s">
        <v>104</v>
      </c>
      <c r="D1299" s="13" t="s">
        <v>115</v>
      </c>
      <c r="E1299" s="13" t="s">
        <v>2637</v>
      </c>
      <c r="F1299" s="43">
        <v>9.76</v>
      </c>
    </row>
    <row r="1300" spans="2:6" x14ac:dyDescent="0.25">
      <c r="B1300" s="13" t="s">
        <v>2638</v>
      </c>
      <c r="C1300" s="15" t="s">
        <v>104</v>
      </c>
      <c r="D1300" s="13" t="s">
        <v>115</v>
      </c>
      <c r="E1300" s="13" t="s">
        <v>2639</v>
      </c>
      <c r="F1300" s="43">
        <v>16.170000000000002</v>
      </c>
    </row>
    <row r="1301" spans="2:6" x14ac:dyDescent="0.25">
      <c r="B1301" s="13" t="s">
        <v>2640</v>
      </c>
      <c r="C1301" s="15" t="s">
        <v>104</v>
      </c>
      <c r="D1301" s="13" t="s">
        <v>115</v>
      </c>
      <c r="E1301" s="13" t="s">
        <v>2641</v>
      </c>
      <c r="F1301" s="43">
        <v>24.54</v>
      </c>
    </row>
    <row r="1302" spans="2:6" x14ac:dyDescent="0.25">
      <c r="B1302" s="13" t="s">
        <v>2642</v>
      </c>
      <c r="C1302" s="15" t="s">
        <v>104</v>
      </c>
      <c r="D1302" s="13" t="s">
        <v>115</v>
      </c>
      <c r="E1302" s="13" t="s">
        <v>2643</v>
      </c>
      <c r="F1302" s="43">
        <v>8.27</v>
      </c>
    </row>
    <row r="1303" spans="2:6" x14ac:dyDescent="0.25">
      <c r="B1303" s="13" t="s">
        <v>2644</v>
      </c>
      <c r="C1303" s="15" t="s">
        <v>104</v>
      </c>
      <c r="D1303" s="13" t="s">
        <v>115</v>
      </c>
      <c r="E1303" s="13" t="s">
        <v>2645</v>
      </c>
      <c r="F1303" s="43">
        <v>13.84</v>
      </c>
    </row>
    <row r="1304" spans="2:6" x14ac:dyDescent="0.25">
      <c r="B1304" s="13" t="s">
        <v>2646</v>
      </c>
      <c r="C1304" s="15" t="s">
        <v>104</v>
      </c>
      <c r="D1304" s="13" t="s">
        <v>115</v>
      </c>
      <c r="E1304" s="13" t="s">
        <v>2647</v>
      </c>
      <c r="F1304" s="43">
        <v>20.54</v>
      </c>
    </row>
    <row r="1305" spans="2:6" x14ac:dyDescent="0.25">
      <c r="B1305" s="13" t="s">
        <v>2648</v>
      </c>
      <c r="C1305" s="15" t="s">
        <v>104</v>
      </c>
      <c r="D1305" s="13" t="s">
        <v>115</v>
      </c>
      <c r="E1305" s="13" t="s">
        <v>2649</v>
      </c>
      <c r="F1305" s="43">
        <v>6.89</v>
      </c>
    </row>
    <row r="1306" spans="2:6" x14ac:dyDescent="0.25">
      <c r="B1306" s="13" t="s">
        <v>2650</v>
      </c>
      <c r="C1306" s="15" t="s">
        <v>104</v>
      </c>
      <c r="D1306" s="13" t="s">
        <v>115</v>
      </c>
      <c r="E1306" s="13" t="s">
        <v>2651</v>
      </c>
      <c r="F1306" s="43">
        <v>13.28</v>
      </c>
    </row>
    <row r="1307" spans="2:6" x14ac:dyDescent="0.25">
      <c r="B1307" s="13" t="s">
        <v>2652</v>
      </c>
      <c r="C1307" s="15" t="s">
        <v>104</v>
      </c>
      <c r="D1307" s="13" t="s">
        <v>115</v>
      </c>
      <c r="E1307" s="13" t="s">
        <v>2653</v>
      </c>
      <c r="F1307" s="43">
        <v>3.77</v>
      </c>
    </row>
    <row r="1308" spans="2:6" x14ac:dyDescent="0.25">
      <c r="B1308" s="13" t="s">
        <v>2654</v>
      </c>
      <c r="C1308" s="15" t="s">
        <v>104</v>
      </c>
      <c r="D1308" s="13" t="s">
        <v>115</v>
      </c>
      <c r="E1308" s="13" t="s">
        <v>2655</v>
      </c>
      <c r="F1308" s="43">
        <v>3.93</v>
      </c>
    </row>
    <row r="1309" spans="2:6" x14ac:dyDescent="0.25">
      <c r="B1309" s="13" t="s">
        <v>2656</v>
      </c>
      <c r="C1309" s="15" t="s">
        <v>104</v>
      </c>
      <c r="D1309" s="13" t="s">
        <v>115</v>
      </c>
      <c r="E1309" s="13" t="s">
        <v>2657</v>
      </c>
      <c r="F1309" s="43">
        <v>4.8499999999999996</v>
      </c>
    </row>
    <row r="1310" spans="2:6" x14ac:dyDescent="0.25">
      <c r="B1310" s="13" t="s">
        <v>2658</v>
      </c>
      <c r="C1310" s="15" t="s">
        <v>104</v>
      </c>
      <c r="D1310" s="13" t="s">
        <v>115</v>
      </c>
      <c r="E1310" s="13" t="s">
        <v>2659</v>
      </c>
      <c r="F1310" s="43">
        <v>5.15</v>
      </c>
    </row>
    <row r="1311" spans="2:6" x14ac:dyDescent="0.25">
      <c r="B1311" s="13" t="s">
        <v>2660</v>
      </c>
      <c r="C1311" s="15" t="s">
        <v>104</v>
      </c>
      <c r="D1311" s="13" t="s">
        <v>115</v>
      </c>
      <c r="E1311" s="13" t="s">
        <v>2661</v>
      </c>
      <c r="F1311" s="43">
        <v>6.1</v>
      </c>
    </row>
    <row r="1312" spans="2:6" x14ac:dyDescent="0.25">
      <c r="B1312" s="13" t="s">
        <v>2662</v>
      </c>
      <c r="C1312" s="15" t="s">
        <v>104</v>
      </c>
      <c r="D1312" s="13" t="s">
        <v>115</v>
      </c>
      <c r="E1312" s="13" t="s">
        <v>2663</v>
      </c>
      <c r="F1312" s="43">
        <v>3.5</v>
      </c>
    </row>
    <row r="1313" spans="2:6" x14ac:dyDescent="0.25">
      <c r="B1313" s="13" t="s">
        <v>2664</v>
      </c>
      <c r="C1313" s="15" t="s">
        <v>104</v>
      </c>
      <c r="D1313" s="13" t="s">
        <v>115</v>
      </c>
      <c r="E1313" s="13" t="s">
        <v>2665</v>
      </c>
      <c r="F1313" s="43">
        <v>3.5</v>
      </c>
    </row>
    <row r="1314" spans="2:6" x14ac:dyDescent="0.25">
      <c r="B1314" s="13" t="s">
        <v>2666</v>
      </c>
      <c r="C1314" s="15" t="s">
        <v>104</v>
      </c>
      <c r="D1314" s="13" t="s">
        <v>115</v>
      </c>
      <c r="E1314" s="13" t="s">
        <v>2667</v>
      </c>
      <c r="F1314" s="43">
        <v>4.01</v>
      </c>
    </row>
    <row r="1315" spans="2:6" x14ac:dyDescent="0.25">
      <c r="B1315" s="13" t="s">
        <v>2668</v>
      </c>
      <c r="C1315" s="15" t="s">
        <v>104</v>
      </c>
      <c r="D1315" s="13" t="s">
        <v>115</v>
      </c>
      <c r="E1315" s="13" t="s">
        <v>2669</v>
      </c>
      <c r="F1315" s="43">
        <v>5.33</v>
      </c>
    </row>
    <row r="1316" spans="2:6" x14ac:dyDescent="0.25">
      <c r="B1316" s="13" t="s">
        <v>2670</v>
      </c>
      <c r="C1316" s="15" t="s">
        <v>104</v>
      </c>
      <c r="D1316" s="13" t="s">
        <v>115</v>
      </c>
      <c r="E1316" s="13" t="s">
        <v>2665</v>
      </c>
      <c r="F1316" s="43">
        <v>4.88</v>
      </c>
    </row>
    <row r="1317" spans="2:6" x14ac:dyDescent="0.25">
      <c r="B1317" s="13" t="s">
        <v>2671</v>
      </c>
      <c r="C1317" s="15" t="s">
        <v>104</v>
      </c>
      <c r="D1317" s="13" t="s">
        <v>115</v>
      </c>
      <c r="E1317" s="13" t="s">
        <v>2667</v>
      </c>
      <c r="F1317" s="43">
        <v>4.88</v>
      </c>
    </row>
    <row r="1318" spans="2:6" x14ac:dyDescent="0.25">
      <c r="B1318" s="13" t="s">
        <v>2672</v>
      </c>
      <c r="C1318" s="15" t="s">
        <v>104</v>
      </c>
      <c r="D1318" s="13" t="s">
        <v>115</v>
      </c>
      <c r="E1318" s="13" t="s">
        <v>2673</v>
      </c>
      <c r="F1318" s="43">
        <v>5.97</v>
      </c>
    </row>
    <row r="1319" spans="2:6" x14ac:dyDescent="0.25">
      <c r="B1319" s="13" t="s">
        <v>2674</v>
      </c>
      <c r="C1319" s="15" t="s">
        <v>104</v>
      </c>
      <c r="D1319" s="13" t="s">
        <v>115</v>
      </c>
      <c r="E1319" s="13" t="s">
        <v>2675</v>
      </c>
      <c r="F1319" s="43">
        <v>3.32</v>
      </c>
    </row>
    <row r="1320" spans="2:6" x14ac:dyDescent="0.25">
      <c r="B1320" s="13" t="s">
        <v>2676</v>
      </c>
      <c r="C1320" s="15" t="s">
        <v>104</v>
      </c>
      <c r="D1320" s="13" t="s">
        <v>115</v>
      </c>
      <c r="E1320" s="13" t="s">
        <v>2677</v>
      </c>
      <c r="F1320" s="43">
        <v>3.5</v>
      </c>
    </row>
    <row r="1321" spans="2:6" x14ac:dyDescent="0.25">
      <c r="B1321" s="13" t="s">
        <v>2678</v>
      </c>
      <c r="C1321" s="15" t="s">
        <v>104</v>
      </c>
      <c r="D1321" s="13" t="s">
        <v>115</v>
      </c>
      <c r="E1321" s="13" t="s">
        <v>2679</v>
      </c>
      <c r="F1321" s="43">
        <v>4.01</v>
      </c>
    </row>
    <row r="1322" spans="2:6" x14ac:dyDescent="0.25">
      <c r="B1322" s="13" t="s">
        <v>2680</v>
      </c>
      <c r="C1322" s="15" t="s">
        <v>104</v>
      </c>
      <c r="D1322" s="13" t="s">
        <v>115</v>
      </c>
      <c r="E1322" s="13" t="s">
        <v>2681</v>
      </c>
      <c r="F1322" s="43">
        <v>5.33</v>
      </c>
    </row>
    <row r="1323" spans="2:6" x14ac:dyDescent="0.25">
      <c r="B1323" s="13" t="s">
        <v>2682</v>
      </c>
      <c r="C1323" s="15" t="s">
        <v>104</v>
      </c>
      <c r="D1323" s="13" t="s">
        <v>115</v>
      </c>
      <c r="E1323" s="13" t="s">
        <v>2683</v>
      </c>
      <c r="F1323" s="43">
        <v>4.88</v>
      </c>
    </row>
    <row r="1324" spans="2:6" x14ac:dyDescent="0.25">
      <c r="B1324" s="13" t="s">
        <v>2684</v>
      </c>
      <c r="C1324" s="15" t="s">
        <v>104</v>
      </c>
      <c r="D1324" s="13" t="s">
        <v>115</v>
      </c>
      <c r="E1324" s="13" t="s">
        <v>2685</v>
      </c>
      <c r="F1324" s="43">
        <v>4.88</v>
      </c>
    </row>
    <row r="1325" spans="2:6" x14ac:dyDescent="0.25">
      <c r="B1325" s="13" t="s">
        <v>2686</v>
      </c>
      <c r="C1325" s="15" t="s">
        <v>104</v>
      </c>
      <c r="D1325" s="13" t="s">
        <v>115</v>
      </c>
      <c r="E1325" s="13" t="s">
        <v>2687</v>
      </c>
      <c r="F1325" s="43">
        <v>5.97</v>
      </c>
    </row>
    <row r="1326" spans="2:6" x14ac:dyDescent="0.25">
      <c r="B1326" s="13" t="s">
        <v>2688</v>
      </c>
      <c r="C1326" s="15" t="s">
        <v>104</v>
      </c>
      <c r="D1326" s="13" t="s">
        <v>115</v>
      </c>
      <c r="E1326" s="13" t="s">
        <v>2689</v>
      </c>
      <c r="F1326" s="43">
        <v>10.65</v>
      </c>
    </row>
    <row r="1327" spans="2:6" x14ac:dyDescent="0.25">
      <c r="B1327" s="13" t="s">
        <v>2690</v>
      </c>
      <c r="C1327" s="15" t="s">
        <v>104</v>
      </c>
      <c r="D1327" s="13" t="s">
        <v>115</v>
      </c>
      <c r="E1327" s="13" t="s">
        <v>2691</v>
      </c>
      <c r="F1327" s="43">
        <v>15.24</v>
      </c>
    </row>
    <row r="1328" spans="2:6" x14ac:dyDescent="0.25">
      <c r="B1328" s="13" t="s">
        <v>2692</v>
      </c>
      <c r="C1328" s="15" t="s">
        <v>104</v>
      </c>
      <c r="D1328" s="13" t="s">
        <v>115</v>
      </c>
      <c r="E1328" s="13" t="s">
        <v>2693</v>
      </c>
      <c r="F1328" s="43">
        <v>16.86</v>
      </c>
    </row>
    <row r="1329" spans="2:6" x14ac:dyDescent="0.25">
      <c r="B1329" s="13" t="s">
        <v>2694</v>
      </c>
      <c r="C1329" s="15" t="s">
        <v>104</v>
      </c>
      <c r="D1329" s="13" t="s">
        <v>115</v>
      </c>
      <c r="E1329" s="13" t="s">
        <v>2695</v>
      </c>
      <c r="F1329" s="43">
        <v>5.04</v>
      </c>
    </row>
    <row r="1330" spans="2:6" x14ac:dyDescent="0.25">
      <c r="B1330" s="13" t="s">
        <v>2696</v>
      </c>
      <c r="C1330" s="15" t="s">
        <v>104</v>
      </c>
      <c r="D1330" s="13" t="s">
        <v>115</v>
      </c>
      <c r="E1330" s="13" t="s">
        <v>2697</v>
      </c>
      <c r="F1330" s="43">
        <v>7.41</v>
      </c>
    </row>
    <row r="1331" spans="2:6" x14ac:dyDescent="0.25">
      <c r="B1331" s="13" t="s">
        <v>2698</v>
      </c>
      <c r="C1331" s="15" t="s">
        <v>104</v>
      </c>
      <c r="D1331" s="13" t="s">
        <v>115</v>
      </c>
      <c r="E1331" s="13" t="s">
        <v>2699</v>
      </c>
      <c r="F1331" s="43">
        <v>10.82</v>
      </c>
    </row>
    <row r="1332" spans="2:6" x14ac:dyDescent="0.25">
      <c r="B1332" s="13" t="s">
        <v>2700</v>
      </c>
      <c r="C1332" s="15" t="s">
        <v>104</v>
      </c>
      <c r="D1332" s="13" t="s">
        <v>115</v>
      </c>
      <c r="E1332" s="13" t="s">
        <v>2701</v>
      </c>
      <c r="F1332" s="43">
        <v>15.49</v>
      </c>
    </row>
    <row r="1333" spans="2:6" x14ac:dyDescent="0.25">
      <c r="B1333" s="13" t="s">
        <v>2702</v>
      </c>
      <c r="C1333" s="15" t="s">
        <v>104</v>
      </c>
      <c r="D1333" s="13" t="s">
        <v>115</v>
      </c>
      <c r="E1333" s="13" t="s">
        <v>2703</v>
      </c>
      <c r="F1333" s="43">
        <v>22.07</v>
      </c>
    </row>
    <row r="1334" spans="2:6" x14ac:dyDescent="0.25">
      <c r="B1334" s="13" t="s">
        <v>2704</v>
      </c>
      <c r="C1334" s="15" t="s">
        <v>104</v>
      </c>
      <c r="D1334" s="13" t="s">
        <v>115</v>
      </c>
      <c r="E1334" s="13" t="s">
        <v>2705</v>
      </c>
      <c r="F1334" s="43">
        <v>33.49</v>
      </c>
    </row>
    <row r="1335" spans="2:6" x14ac:dyDescent="0.25">
      <c r="B1335" s="13" t="s">
        <v>2706</v>
      </c>
      <c r="C1335" s="15" t="s">
        <v>104</v>
      </c>
      <c r="D1335" s="13" t="s">
        <v>115</v>
      </c>
      <c r="E1335" s="13" t="s">
        <v>2707</v>
      </c>
      <c r="F1335" s="43">
        <v>74.58</v>
      </c>
    </row>
    <row r="1336" spans="2:6" x14ac:dyDescent="0.25">
      <c r="B1336" s="13" t="s">
        <v>2708</v>
      </c>
      <c r="C1336" s="15" t="s">
        <v>104</v>
      </c>
      <c r="D1336" s="13" t="s">
        <v>115</v>
      </c>
      <c r="E1336" s="13" t="s">
        <v>2709</v>
      </c>
      <c r="F1336" s="43">
        <v>106.38</v>
      </c>
    </row>
    <row r="1337" spans="2:6" x14ac:dyDescent="0.25">
      <c r="B1337" s="13" t="s">
        <v>2710</v>
      </c>
      <c r="C1337" s="15" t="s">
        <v>104</v>
      </c>
      <c r="D1337" s="13" t="s">
        <v>115</v>
      </c>
      <c r="E1337" s="13" t="s">
        <v>2711</v>
      </c>
      <c r="F1337" s="43">
        <v>165.89</v>
      </c>
    </row>
    <row r="1338" spans="2:6" x14ac:dyDescent="0.25">
      <c r="B1338" s="13" t="s">
        <v>2712</v>
      </c>
      <c r="C1338" s="15" t="s">
        <v>104</v>
      </c>
      <c r="D1338" s="13" t="s">
        <v>115</v>
      </c>
      <c r="E1338" s="13" t="s">
        <v>2713</v>
      </c>
      <c r="F1338" s="43">
        <v>0.99</v>
      </c>
    </row>
    <row r="1339" spans="2:6" x14ac:dyDescent="0.25">
      <c r="B1339" s="13" t="s">
        <v>2714</v>
      </c>
      <c r="C1339" s="15" t="s">
        <v>104</v>
      </c>
      <c r="D1339" s="13" t="s">
        <v>115</v>
      </c>
      <c r="E1339" s="13" t="s">
        <v>2715</v>
      </c>
      <c r="F1339" s="43">
        <v>1.1599999999999999</v>
      </c>
    </row>
    <row r="1340" spans="2:6" x14ac:dyDescent="0.25">
      <c r="B1340" s="13" t="s">
        <v>2716</v>
      </c>
      <c r="C1340" s="15" t="s">
        <v>104</v>
      </c>
      <c r="D1340" s="13" t="s">
        <v>115</v>
      </c>
      <c r="E1340" s="13" t="s">
        <v>2717</v>
      </c>
      <c r="F1340" s="43">
        <v>1.44</v>
      </c>
    </row>
    <row r="1341" spans="2:6" x14ac:dyDescent="0.25">
      <c r="B1341" s="13" t="s">
        <v>2718</v>
      </c>
      <c r="C1341" s="15" t="s">
        <v>104</v>
      </c>
      <c r="D1341" s="13" t="s">
        <v>115</v>
      </c>
      <c r="E1341" s="13" t="s">
        <v>2719</v>
      </c>
      <c r="F1341" s="43">
        <v>1.77</v>
      </c>
    </row>
    <row r="1342" spans="2:6" x14ac:dyDescent="0.25">
      <c r="B1342" s="13" t="s">
        <v>2720</v>
      </c>
      <c r="C1342" s="15" t="s">
        <v>104</v>
      </c>
      <c r="D1342" s="13" t="s">
        <v>115</v>
      </c>
      <c r="E1342" s="13" t="s">
        <v>2721</v>
      </c>
      <c r="F1342" s="43">
        <v>2.52</v>
      </c>
    </row>
    <row r="1343" spans="2:6" x14ac:dyDescent="0.25">
      <c r="B1343" s="13" t="s">
        <v>2722</v>
      </c>
      <c r="C1343" s="15" t="s">
        <v>104</v>
      </c>
      <c r="D1343" s="13" t="s">
        <v>115</v>
      </c>
      <c r="E1343" s="13" t="s">
        <v>2723</v>
      </c>
      <c r="F1343" s="43">
        <v>3.24</v>
      </c>
    </row>
    <row r="1344" spans="2:6" x14ac:dyDescent="0.25">
      <c r="B1344" s="13" t="s">
        <v>2724</v>
      </c>
      <c r="C1344" s="15" t="s">
        <v>104</v>
      </c>
      <c r="D1344" s="13" t="s">
        <v>115</v>
      </c>
      <c r="E1344" s="13" t="s">
        <v>2725</v>
      </c>
      <c r="F1344" s="43">
        <v>5.73</v>
      </c>
    </row>
    <row r="1345" spans="2:6" x14ac:dyDescent="0.25">
      <c r="B1345" s="13" t="s">
        <v>2726</v>
      </c>
      <c r="C1345" s="15" t="s">
        <v>104</v>
      </c>
      <c r="D1345" s="13" t="s">
        <v>115</v>
      </c>
      <c r="E1345" s="13" t="s">
        <v>2727</v>
      </c>
      <c r="F1345" s="43">
        <v>7.29</v>
      </c>
    </row>
    <row r="1346" spans="2:6" x14ac:dyDescent="0.25">
      <c r="B1346" s="13" t="s">
        <v>2728</v>
      </c>
      <c r="C1346" s="15" t="s">
        <v>104</v>
      </c>
      <c r="D1346" s="13" t="s">
        <v>115</v>
      </c>
      <c r="E1346" s="13" t="s">
        <v>2729</v>
      </c>
      <c r="F1346" s="43">
        <v>10.34</v>
      </c>
    </row>
    <row r="1347" spans="2:6" x14ac:dyDescent="0.25">
      <c r="B1347" s="13" t="s">
        <v>2730</v>
      </c>
      <c r="C1347" s="15" t="s">
        <v>104</v>
      </c>
      <c r="D1347" s="13" t="s">
        <v>115</v>
      </c>
      <c r="E1347" s="13" t="s">
        <v>2731</v>
      </c>
      <c r="F1347" s="43">
        <v>39.49</v>
      </c>
    </row>
    <row r="1348" spans="2:6" x14ac:dyDescent="0.25">
      <c r="B1348" s="13" t="s">
        <v>2732</v>
      </c>
      <c r="C1348" s="15" t="s">
        <v>104</v>
      </c>
      <c r="D1348" s="13" t="s">
        <v>115</v>
      </c>
      <c r="E1348" s="13" t="s">
        <v>2733</v>
      </c>
      <c r="F1348" s="43">
        <v>53.99</v>
      </c>
    </row>
    <row r="1349" spans="2:6" x14ac:dyDescent="0.25">
      <c r="B1349" s="13" t="s">
        <v>2734</v>
      </c>
      <c r="C1349" s="15" t="s">
        <v>104</v>
      </c>
      <c r="D1349" s="13" t="s">
        <v>115</v>
      </c>
      <c r="E1349" s="13" t="s">
        <v>2735</v>
      </c>
      <c r="F1349" s="43">
        <v>71.97</v>
      </c>
    </row>
    <row r="1350" spans="2:6" x14ac:dyDescent="0.25">
      <c r="B1350" s="13" t="s">
        <v>2736</v>
      </c>
      <c r="C1350" s="15" t="s">
        <v>104</v>
      </c>
      <c r="D1350" s="13" t="s">
        <v>115</v>
      </c>
      <c r="E1350" s="13" t="s">
        <v>2737</v>
      </c>
      <c r="F1350" s="43">
        <v>111.46</v>
      </c>
    </row>
    <row r="1351" spans="2:6" x14ac:dyDescent="0.25">
      <c r="B1351" s="13" t="s">
        <v>2738</v>
      </c>
      <c r="C1351" s="15" t="s">
        <v>104</v>
      </c>
      <c r="D1351" s="13" t="s">
        <v>115</v>
      </c>
      <c r="E1351" s="13" t="s">
        <v>2739</v>
      </c>
      <c r="F1351" s="43">
        <v>136.71</v>
      </c>
    </row>
    <row r="1352" spans="2:6" x14ac:dyDescent="0.25">
      <c r="B1352" s="13" t="s">
        <v>2740</v>
      </c>
      <c r="C1352" s="15" t="s">
        <v>104</v>
      </c>
      <c r="D1352" s="13" t="s">
        <v>115</v>
      </c>
      <c r="E1352" s="13" t="s">
        <v>2741</v>
      </c>
      <c r="F1352" s="43">
        <v>195.97</v>
      </c>
    </row>
    <row r="1353" spans="2:6" x14ac:dyDescent="0.25">
      <c r="B1353" s="13" t="s">
        <v>2742</v>
      </c>
      <c r="C1353" s="15" t="s">
        <v>104</v>
      </c>
      <c r="D1353" s="13" t="s">
        <v>115</v>
      </c>
      <c r="E1353" s="13" t="s">
        <v>2743</v>
      </c>
      <c r="F1353" s="43">
        <v>624.78</v>
      </c>
    </row>
    <row r="1354" spans="2:6" x14ac:dyDescent="0.25">
      <c r="B1354" s="13" t="s">
        <v>2744</v>
      </c>
      <c r="C1354" s="15" t="s">
        <v>104</v>
      </c>
      <c r="D1354" s="13" t="s">
        <v>115</v>
      </c>
      <c r="E1354" s="13" t="s">
        <v>2745</v>
      </c>
      <c r="F1354" s="43">
        <v>755.84</v>
      </c>
    </row>
    <row r="1355" spans="2:6" x14ac:dyDescent="0.25">
      <c r="B1355" s="13" t="s">
        <v>2746</v>
      </c>
      <c r="C1355" s="15" t="s">
        <v>104</v>
      </c>
      <c r="D1355" s="13" t="s">
        <v>115</v>
      </c>
      <c r="E1355" s="13" t="s">
        <v>2747</v>
      </c>
      <c r="F1355" s="43">
        <v>1471.67</v>
      </c>
    </row>
    <row r="1356" spans="2:6" x14ac:dyDescent="0.25">
      <c r="B1356" s="13" t="s">
        <v>2748</v>
      </c>
      <c r="C1356" s="15" t="s">
        <v>104</v>
      </c>
      <c r="D1356" s="13" t="s">
        <v>115</v>
      </c>
      <c r="E1356" s="13" t="s">
        <v>2749</v>
      </c>
      <c r="F1356" s="43">
        <v>4.18</v>
      </c>
    </row>
    <row r="1357" spans="2:6" x14ac:dyDescent="0.25">
      <c r="B1357" s="13" t="s">
        <v>2750</v>
      </c>
      <c r="C1357" s="15" t="s">
        <v>104</v>
      </c>
      <c r="D1357" s="13" t="s">
        <v>115</v>
      </c>
      <c r="E1357" s="13" t="s">
        <v>2751</v>
      </c>
      <c r="F1357" s="43">
        <v>9.2200000000000006</v>
      </c>
    </row>
    <row r="1358" spans="2:6" x14ac:dyDescent="0.25">
      <c r="B1358" s="13" t="s">
        <v>2752</v>
      </c>
      <c r="C1358" s="15" t="s">
        <v>104</v>
      </c>
      <c r="D1358" s="13" t="s">
        <v>115</v>
      </c>
      <c r="E1358" s="13" t="s">
        <v>2753</v>
      </c>
      <c r="F1358" s="43">
        <v>2.23</v>
      </c>
    </row>
    <row r="1359" spans="2:6" x14ac:dyDescent="0.25">
      <c r="B1359" s="13" t="s">
        <v>2754</v>
      </c>
      <c r="C1359" s="15" t="s">
        <v>104</v>
      </c>
      <c r="D1359" s="13" t="s">
        <v>115</v>
      </c>
      <c r="E1359" s="13" t="s">
        <v>2755</v>
      </c>
      <c r="F1359" s="43">
        <v>3.08</v>
      </c>
    </row>
    <row r="1360" spans="2:6" x14ac:dyDescent="0.25">
      <c r="B1360" s="13" t="s">
        <v>2756</v>
      </c>
      <c r="C1360" s="15" t="s">
        <v>104</v>
      </c>
      <c r="D1360" s="13" t="s">
        <v>115</v>
      </c>
      <c r="E1360" s="13" t="s">
        <v>2757</v>
      </c>
      <c r="F1360" s="43">
        <v>8.1999999999999993</v>
      </c>
    </row>
    <row r="1361" spans="2:6" x14ac:dyDescent="0.25">
      <c r="B1361" s="13" t="s">
        <v>2758</v>
      </c>
      <c r="C1361" s="15" t="s">
        <v>104</v>
      </c>
      <c r="D1361" s="13" t="s">
        <v>115</v>
      </c>
      <c r="E1361" s="13" t="s">
        <v>2759</v>
      </c>
      <c r="F1361" s="43">
        <v>9.93</v>
      </c>
    </row>
    <row r="1362" spans="2:6" x14ac:dyDescent="0.25">
      <c r="B1362" s="13" t="s">
        <v>2760</v>
      </c>
      <c r="C1362" s="15" t="s">
        <v>104</v>
      </c>
      <c r="D1362" s="13" t="s">
        <v>115</v>
      </c>
      <c r="E1362" s="13" t="s">
        <v>2761</v>
      </c>
      <c r="F1362" s="43">
        <v>7.16</v>
      </c>
    </row>
    <row r="1363" spans="2:6" x14ac:dyDescent="0.25">
      <c r="B1363" s="13" t="s">
        <v>2762</v>
      </c>
      <c r="C1363" s="15" t="s">
        <v>104</v>
      </c>
      <c r="D1363" s="13" t="s">
        <v>115</v>
      </c>
      <c r="E1363" s="13" t="s">
        <v>2763</v>
      </c>
      <c r="F1363" s="43">
        <v>8.8800000000000008</v>
      </c>
    </row>
    <row r="1364" spans="2:6" x14ac:dyDescent="0.25">
      <c r="B1364" s="13" t="s">
        <v>2764</v>
      </c>
      <c r="C1364" s="15" t="s">
        <v>104</v>
      </c>
      <c r="D1364" s="13" t="s">
        <v>115</v>
      </c>
      <c r="E1364" s="13" t="s">
        <v>2765</v>
      </c>
      <c r="F1364" s="43">
        <v>13.02</v>
      </c>
    </row>
    <row r="1365" spans="2:6" x14ac:dyDescent="0.25">
      <c r="B1365" s="13" t="s">
        <v>2766</v>
      </c>
      <c r="C1365" s="15" t="s">
        <v>104</v>
      </c>
      <c r="D1365" s="13" t="s">
        <v>115</v>
      </c>
      <c r="E1365" s="13" t="s">
        <v>2767</v>
      </c>
      <c r="F1365" s="43">
        <v>19.3</v>
      </c>
    </row>
    <row r="1366" spans="2:6" x14ac:dyDescent="0.25">
      <c r="B1366" s="13" t="s">
        <v>2768</v>
      </c>
      <c r="C1366" s="15" t="s">
        <v>104</v>
      </c>
      <c r="D1366" s="13" t="s">
        <v>115</v>
      </c>
      <c r="E1366" s="13" t="s">
        <v>2769</v>
      </c>
      <c r="F1366" s="43">
        <v>26.32</v>
      </c>
    </row>
    <row r="1367" spans="2:6" x14ac:dyDescent="0.25">
      <c r="B1367" s="13" t="s">
        <v>2770</v>
      </c>
      <c r="C1367" s="15" t="s">
        <v>104</v>
      </c>
      <c r="D1367" s="13" t="s">
        <v>115</v>
      </c>
      <c r="E1367" s="13" t="s">
        <v>2771</v>
      </c>
      <c r="F1367" s="43">
        <v>46.04</v>
      </c>
    </row>
    <row r="1368" spans="2:6" x14ac:dyDescent="0.25">
      <c r="B1368" s="13" t="s">
        <v>2772</v>
      </c>
      <c r="C1368" s="15" t="s">
        <v>104</v>
      </c>
      <c r="D1368" s="13" t="s">
        <v>115</v>
      </c>
      <c r="E1368" s="13" t="s">
        <v>2773</v>
      </c>
      <c r="F1368" s="43">
        <v>78.39</v>
      </c>
    </row>
    <row r="1369" spans="2:6" x14ac:dyDescent="0.25">
      <c r="B1369" s="13" t="s">
        <v>2774</v>
      </c>
      <c r="C1369" s="15" t="s">
        <v>104</v>
      </c>
      <c r="D1369" s="13" t="s">
        <v>115</v>
      </c>
      <c r="E1369" s="13" t="s">
        <v>2775</v>
      </c>
      <c r="F1369" s="43">
        <v>110.77</v>
      </c>
    </row>
    <row r="1370" spans="2:6" x14ac:dyDescent="0.25">
      <c r="B1370" s="13" t="s">
        <v>2776</v>
      </c>
      <c r="C1370" s="15" t="s">
        <v>104</v>
      </c>
      <c r="D1370" s="13" t="s">
        <v>115</v>
      </c>
      <c r="E1370" s="13" t="s">
        <v>2777</v>
      </c>
      <c r="F1370" s="43">
        <v>200.93</v>
      </c>
    </row>
    <row r="1371" spans="2:6" x14ac:dyDescent="0.25">
      <c r="B1371" s="15">
        <v>3252</v>
      </c>
      <c r="C1371" s="15" t="s">
        <v>104</v>
      </c>
      <c r="D1371" s="13" t="s">
        <v>115</v>
      </c>
      <c r="E1371" s="13" t="s">
        <v>2778</v>
      </c>
      <c r="F1371" s="43">
        <v>0</v>
      </c>
    </row>
    <row r="1372" spans="2:6" x14ac:dyDescent="0.25">
      <c r="B1372" s="15">
        <v>3254</v>
      </c>
      <c r="C1372" s="15" t="s">
        <v>104</v>
      </c>
      <c r="D1372" s="13" t="s">
        <v>115</v>
      </c>
      <c r="E1372" s="13" t="s">
        <v>2779</v>
      </c>
      <c r="F1372" s="43">
        <v>59.29</v>
      </c>
    </row>
    <row r="1373" spans="2:6" x14ac:dyDescent="0.25">
      <c r="B1373" s="13" t="s">
        <v>2780</v>
      </c>
      <c r="C1373" s="15" t="s">
        <v>104</v>
      </c>
      <c r="D1373" s="13" t="s">
        <v>115</v>
      </c>
      <c r="E1373" s="13" t="s">
        <v>2781</v>
      </c>
      <c r="F1373" s="43">
        <v>31.74</v>
      </c>
    </row>
    <row r="1374" spans="2:6" x14ac:dyDescent="0.25">
      <c r="B1374" s="13" t="s">
        <v>2782</v>
      </c>
      <c r="C1374" s="15" t="s">
        <v>104</v>
      </c>
      <c r="D1374" s="13" t="s">
        <v>115</v>
      </c>
      <c r="E1374" s="13" t="s">
        <v>2783</v>
      </c>
      <c r="F1374" s="43">
        <v>48.93</v>
      </c>
    </row>
    <row r="1375" spans="2:6" x14ac:dyDescent="0.25">
      <c r="B1375" s="13" t="s">
        <v>2784</v>
      </c>
      <c r="C1375" s="15" t="s">
        <v>104</v>
      </c>
      <c r="D1375" s="13" t="s">
        <v>115</v>
      </c>
      <c r="E1375" s="13" t="s">
        <v>2785</v>
      </c>
      <c r="F1375" s="43">
        <v>76.8</v>
      </c>
    </row>
    <row r="1376" spans="2:6" x14ac:dyDescent="0.25">
      <c r="B1376" s="13" t="s">
        <v>2786</v>
      </c>
      <c r="C1376" s="15" t="s">
        <v>104</v>
      </c>
      <c r="D1376" s="13" t="s">
        <v>115</v>
      </c>
      <c r="E1376" s="13" t="s">
        <v>2787</v>
      </c>
      <c r="F1376" s="43">
        <v>31.74</v>
      </c>
    </row>
    <row r="1377" spans="2:6" x14ac:dyDescent="0.25">
      <c r="B1377" s="13" t="s">
        <v>2788</v>
      </c>
      <c r="C1377" s="15" t="s">
        <v>104</v>
      </c>
      <c r="D1377" s="13" t="s">
        <v>115</v>
      </c>
      <c r="E1377" s="13" t="s">
        <v>2789</v>
      </c>
      <c r="F1377" s="43">
        <v>48.93</v>
      </c>
    </row>
    <row r="1378" spans="2:6" x14ac:dyDescent="0.25">
      <c r="B1378" s="13" t="s">
        <v>2790</v>
      </c>
      <c r="C1378" s="15" t="s">
        <v>104</v>
      </c>
      <c r="D1378" s="13" t="s">
        <v>115</v>
      </c>
      <c r="E1378" s="13" t="s">
        <v>2791</v>
      </c>
      <c r="F1378" s="43">
        <v>76.8</v>
      </c>
    </row>
    <row r="1379" spans="2:6" x14ac:dyDescent="0.25">
      <c r="B1379" s="13" t="s">
        <v>2792</v>
      </c>
      <c r="C1379" s="15" t="s">
        <v>104</v>
      </c>
      <c r="D1379" s="13" t="s">
        <v>115</v>
      </c>
      <c r="E1379" s="13" t="s">
        <v>2793</v>
      </c>
      <c r="F1379" s="43">
        <v>5.13</v>
      </c>
    </row>
    <row r="1380" spans="2:6" x14ac:dyDescent="0.25">
      <c r="B1380" s="13" t="s">
        <v>2794</v>
      </c>
      <c r="C1380" s="15" t="s">
        <v>104</v>
      </c>
      <c r="D1380" s="13" t="s">
        <v>115</v>
      </c>
      <c r="E1380" s="13" t="s">
        <v>2795</v>
      </c>
      <c r="F1380" s="43">
        <v>7.75</v>
      </c>
    </row>
    <row r="1381" spans="2:6" x14ac:dyDescent="0.25">
      <c r="B1381" s="13" t="s">
        <v>2796</v>
      </c>
      <c r="C1381" s="15" t="s">
        <v>104</v>
      </c>
      <c r="D1381" s="13" t="s">
        <v>115</v>
      </c>
      <c r="E1381" s="13" t="s">
        <v>2797</v>
      </c>
      <c r="F1381" s="43">
        <v>11.47</v>
      </c>
    </row>
    <row r="1382" spans="2:6" x14ac:dyDescent="0.25">
      <c r="B1382" s="13" t="s">
        <v>2798</v>
      </c>
      <c r="C1382" s="15" t="s">
        <v>104</v>
      </c>
      <c r="D1382" s="13" t="s">
        <v>115</v>
      </c>
      <c r="E1382" s="13" t="s">
        <v>2799</v>
      </c>
      <c r="F1382" s="43">
        <v>23.12</v>
      </c>
    </row>
    <row r="1383" spans="2:6" x14ac:dyDescent="0.25">
      <c r="B1383" s="13" t="s">
        <v>2800</v>
      </c>
      <c r="C1383" s="15" t="s">
        <v>104</v>
      </c>
      <c r="D1383" s="13" t="s">
        <v>115</v>
      </c>
      <c r="E1383" s="13" t="s">
        <v>2801</v>
      </c>
      <c r="F1383" s="43">
        <v>30.63</v>
      </c>
    </row>
    <row r="1384" spans="2:6" x14ac:dyDescent="0.25">
      <c r="B1384" s="13" t="s">
        <v>2802</v>
      </c>
      <c r="C1384" s="15" t="s">
        <v>104</v>
      </c>
      <c r="D1384" s="13" t="s">
        <v>115</v>
      </c>
      <c r="E1384" s="13" t="s">
        <v>2803</v>
      </c>
      <c r="F1384" s="43">
        <v>50.78</v>
      </c>
    </row>
    <row r="1385" spans="2:6" x14ac:dyDescent="0.25">
      <c r="B1385" s="13" t="s">
        <v>2804</v>
      </c>
      <c r="C1385" s="15" t="s">
        <v>104</v>
      </c>
      <c r="D1385" s="13" t="s">
        <v>115</v>
      </c>
      <c r="E1385" s="13" t="s">
        <v>2805</v>
      </c>
      <c r="F1385" s="43">
        <v>89.31</v>
      </c>
    </row>
    <row r="1386" spans="2:6" x14ac:dyDescent="0.25">
      <c r="B1386" s="13" t="s">
        <v>2806</v>
      </c>
      <c r="C1386" s="15" t="s">
        <v>104</v>
      </c>
      <c r="D1386" s="13" t="s">
        <v>115</v>
      </c>
      <c r="E1386" s="13" t="s">
        <v>2807</v>
      </c>
      <c r="F1386" s="43">
        <v>123.39</v>
      </c>
    </row>
    <row r="1387" spans="2:6" x14ac:dyDescent="0.25">
      <c r="B1387" s="13" t="s">
        <v>2808</v>
      </c>
      <c r="C1387" s="15" t="s">
        <v>104</v>
      </c>
      <c r="D1387" s="13" t="s">
        <v>115</v>
      </c>
      <c r="E1387" s="13" t="s">
        <v>2809</v>
      </c>
      <c r="F1387" s="43">
        <v>233.76</v>
      </c>
    </row>
    <row r="1388" spans="2:6" x14ac:dyDescent="0.25">
      <c r="B1388" s="13" t="s">
        <v>2810</v>
      </c>
      <c r="C1388" s="15" t="s">
        <v>104</v>
      </c>
      <c r="D1388" s="13" t="s">
        <v>115</v>
      </c>
      <c r="E1388" s="13" t="s">
        <v>2811</v>
      </c>
      <c r="F1388" s="43">
        <v>6.82</v>
      </c>
    </row>
    <row r="1389" spans="2:6" x14ac:dyDescent="0.25">
      <c r="B1389" s="13" t="s">
        <v>2812</v>
      </c>
      <c r="C1389" s="15" t="s">
        <v>104</v>
      </c>
      <c r="D1389" s="13" t="s">
        <v>115</v>
      </c>
      <c r="E1389" s="13" t="s">
        <v>2813</v>
      </c>
      <c r="F1389" s="43">
        <v>11.25</v>
      </c>
    </row>
    <row r="1390" spans="2:6" x14ac:dyDescent="0.25">
      <c r="B1390" s="13" t="s">
        <v>2814</v>
      </c>
      <c r="C1390" s="15" t="s">
        <v>104</v>
      </c>
      <c r="D1390" s="13" t="s">
        <v>115</v>
      </c>
      <c r="E1390" s="13" t="s">
        <v>2815</v>
      </c>
      <c r="F1390" s="43">
        <v>17.38</v>
      </c>
    </row>
    <row r="1391" spans="2:6" x14ac:dyDescent="0.25">
      <c r="B1391" s="13" t="s">
        <v>2816</v>
      </c>
      <c r="C1391" s="15" t="s">
        <v>104</v>
      </c>
      <c r="D1391" s="13" t="s">
        <v>115</v>
      </c>
      <c r="E1391" s="13" t="s">
        <v>2817</v>
      </c>
      <c r="F1391" s="43">
        <v>32.78</v>
      </c>
    </row>
    <row r="1392" spans="2:6" x14ac:dyDescent="0.25">
      <c r="B1392" s="13" t="s">
        <v>2818</v>
      </c>
      <c r="C1392" s="15" t="s">
        <v>104</v>
      </c>
      <c r="D1392" s="13" t="s">
        <v>115</v>
      </c>
      <c r="E1392" s="13" t="s">
        <v>2819</v>
      </c>
      <c r="F1392" s="43">
        <v>48.21</v>
      </c>
    </row>
    <row r="1393" spans="2:6" x14ac:dyDescent="0.25">
      <c r="B1393" s="13" t="s">
        <v>2820</v>
      </c>
      <c r="C1393" s="15" t="s">
        <v>104</v>
      </c>
      <c r="D1393" s="13" t="s">
        <v>115</v>
      </c>
      <c r="E1393" s="13" t="s">
        <v>2821</v>
      </c>
      <c r="F1393" s="43">
        <v>76.510000000000005</v>
      </c>
    </row>
    <row r="1394" spans="2:6" x14ac:dyDescent="0.25">
      <c r="B1394" s="13" t="s">
        <v>2822</v>
      </c>
      <c r="C1394" s="15" t="s">
        <v>104</v>
      </c>
      <c r="D1394" s="13" t="s">
        <v>115</v>
      </c>
      <c r="E1394" s="13" t="s">
        <v>2823</v>
      </c>
      <c r="F1394" s="43">
        <v>6.96</v>
      </c>
    </row>
    <row r="1395" spans="2:6" x14ac:dyDescent="0.25">
      <c r="B1395" s="13" t="s">
        <v>2824</v>
      </c>
      <c r="C1395" s="15" t="s">
        <v>104</v>
      </c>
      <c r="D1395" s="13" t="s">
        <v>115</v>
      </c>
      <c r="E1395" s="13" t="s">
        <v>2825</v>
      </c>
      <c r="F1395" s="43">
        <v>11.47</v>
      </c>
    </row>
    <row r="1396" spans="2:6" x14ac:dyDescent="0.25">
      <c r="B1396" s="13" t="s">
        <v>2826</v>
      </c>
      <c r="C1396" s="15" t="s">
        <v>104</v>
      </c>
      <c r="D1396" s="13" t="s">
        <v>115</v>
      </c>
      <c r="E1396" s="13" t="s">
        <v>2827</v>
      </c>
      <c r="F1396" s="43">
        <v>17.690000000000001</v>
      </c>
    </row>
    <row r="1397" spans="2:6" x14ac:dyDescent="0.25">
      <c r="B1397" s="13" t="s">
        <v>2828</v>
      </c>
      <c r="C1397" s="15" t="s">
        <v>104</v>
      </c>
      <c r="D1397" s="13" t="s">
        <v>115</v>
      </c>
      <c r="E1397" s="13" t="s">
        <v>2829</v>
      </c>
      <c r="F1397" s="43">
        <v>33.75</v>
      </c>
    </row>
    <row r="1398" spans="2:6" x14ac:dyDescent="0.25">
      <c r="B1398" s="13" t="s">
        <v>2830</v>
      </c>
      <c r="C1398" s="15" t="s">
        <v>104</v>
      </c>
      <c r="D1398" s="13" t="s">
        <v>115</v>
      </c>
      <c r="E1398" s="13" t="s">
        <v>2831</v>
      </c>
      <c r="F1398" s="43">
        <v>50.08</v>
      </c>
    </row>
    <row r="1399" spans="2:6" x14ac:dyDescent="0.25">
      <c r="B1399" s="13" t="s">
        <v>2832</v>
      </c>
      <c r="C1399" s="15" t="s">
        <v>104</v>
      </c>
      <c r="D1399" s="13" t="s">
        <v>115</v>
      </c>
      <c r="E1399" s="13" t="s">
        <v>2833</v>
      </c>
      <c r="F1399" s="43">
        <v>78.540000000000006</v>
      </c>
    </row>
    <row r="1400" spans="2:6" x14ac:dyDescent="0.25">
      <c r="B1400" s="13" t="s">
        <v>2834</v>
      </c>
      <c r="C1400" s="15" t="s">
        <v>104</v>
      </c>
      <c r="D1400" s="13" t="s">
        <v>115</v>
      </c>
      <c r="E1400" s="13" t="s">
        <v>2835</v>
      </c>
      <c r="F1400" s="43">
        <v>7.72</v>
      </c>
    </row>
    <row r="1401" spans="2:6" x14ac:dyDescent="0.25">
      <c r="B1401" s="13" t="s">
        <v>2836</v>
      </c>
      <c r="C1401" s="15" t="s">
        <v>104</v>
      </c>
      <c r="D1401" s="13" t="s">
        <v>115</v>
      </c>
      <c r="E1401" s="13" t="s">
        <v>2837</v>
      </c>
      <c r="F1401" s="43">
        <v>12.72</v>
      </c>
    </row>
    <row r="1402" spans="2:6" x14ac:dyDescent="0.25">
      <c r="B1402" s="13" t="s">
        <v>2838</v>
      </c>
      <c r="C1402" s="15" t="s">
        <v>104</v>
      </c>
      <c r="D1402" s="13" t="s">
        <v>115</v>
      </c>
      <c r="E1402" s="13" t="s">
        <v>2839</v>
      </c>
      <c r="F1402" s="43">
        <v>19.62</v>
      </c>
    </row>
    <row r="1403" spans="2:6" x14ac:dyDescent="0.25">
      <c r="B1403" s="13" t="s">
        <v>2840</v>
      </c>
      <c r="C1403" s="15" t="s">
        <v>104</v>
      </c>
      <c r="D1403" s="13" t="s">
        <v>115</v>
      </c>
      <c r="E1403" s="13" t="s">
        <v>2841</v>
      </c>
      <c r="F1403" s="43">
        <v>38.01</v>
      </c>
    </row>
    <row r="1404" spans="2:6" x14ac:dyDescent="0.25">
      <c r="B1404" s="13" t="s">
        <v>2842</v>
      </c>
      <c r="C1404" s="15" t="s">
        <v>104</v>
      </c>
      <c r="D1404" s="13" t="s">
        <v>115</v>
      </c>
      <c r="E1404" s="13" t="s">
        <v>2843</v>
      </c>
      <c r="F1404" s="43">
        <v>56.49</v>
      </c>
    </row>
    <row r="1405" spans="2:6" x14ac:dyDescent="0.25">
      <c r="B1405" s="13" t="s">
        <v>2844</v>
      </c>
      <c r="C1405" s="15" t="s">
        <v>104</v>
      </c>
      <c r="D1405" s="13" t="s">
        <v>115</v>
      </c>
      <c r="E1405" s="13" t="s">
        <v>2845</v>
      </c>
      <c r="F1405" s="43">
        <v>88.52</v>
      </c>
    </row>
    <row r="1406" spans="2:6" x14ac:dyDescent="0.25">
      <c r="B1406" s="13" t="s">
        <v>2846</v>
      </c>
      <c r="C1406" s="15" t="s">
        <v>104</v>
      </c>
      <c r="D1406" s="13" t="s">
        <v>115</v>
      </c>
      <c r="E1406" s="13" t="s">
        <v>2847</v>
      </c>
      <c r="F1406" s="43">
        <v>35.369999999999997</v>
      </c>
    </row>
    <row r="1407" spans="2:6" x14ac:dyDescent="0.25">
      <c r="B1407" s="13" t="s">
        <v>2848</v>
      </c>
      <c r="C1407" s="15" t="s">
        <v>104</v>
      </c>
      <c r="D1407" s="13" t="s">
        <v>115</v>
      </c>
      <c r="E1407" s="13" t="s">
        <v>2849</v>
      </c>
      <c r="F1407" s="43">
        <v>39.44</v>
      </c>
    </row>
    <row r="1408" spans="2:6" x14ac:dyDescent="0.25">
      <c r="B1408" s="13" t="s">
        <v>2850</v>
      </c>
      <c r="C1408" s="15" t="s">
        <v>104</v>
      </c>
      <c r="D1408" s="13" t="s">
        <v>115</v>
      </c>
      <c r="E1408" s="13" t="s">
        <v>2851</v>
      </c>
      <c r="F1408" s="43">
        <v>71.959999999999994</v>
      </c>
    </row>
    <row r="1409" spans="2:6" x14ac:dyDescent="0.25">
      <c r="B1409" s="13" t="s">
        <v>2852</v>
      </c>
      <c r="C1409" s="15" t="s">
        <v>104</v>
      </c>
      <c r="D1409" s="13" t="s">
        <v>115</v>
      </c>
      <c r="E1409" s="13" t="s">
        <v>2853</v>
      </c>
      <c r="F1409" s="43">
        <v>111.79</v>
      </c>
    </row>
    <row r="1410" spans="2:6" x14ac:dyDescent="0.25">
      <c r="B1410" s="13" t="s">
        <v>2854</v>
      </c>
      <c r="C1410" s="15" t="s">
        <v>104</v>
      </c>
      <c r="D1410" s="13" t="s">
        <v>115</v>
      </c>
      <c r="E1410" s="13" t="s">
        <v>2855</v>
      </c>
      <c r="F1410" s="43">
        <v>142.11000000000001</v>
      </c>
    </row>
    <row r="1411" spans="2:6" x14ac:dyDescent="0.25">
      <c r="B1411" s="13" t="s">
        <v>2856</v>
      </c>
      <c r="C1411" s="15" t="s">
        <v>104</v>
      </c>
      <c r="D1411" s="13" t="s">
        <v>115</v>
      </c>
      <c r="E1411" s="13" t="s">
        <v>2857</v>
      </c>
      <c r="F1411" s="43">
        <v>182.07</v>
      </c>
    </row>
    <row r="1412" spans="2:6" x14ac:dyDescent="0.25">
      <c r="B1412" s="13" t="s">
        <v>2858</v>
      </c>
      <c r="C1412" s="15" t="s">
        <v>104</v>
      </c>
      <c r="D1412" s="13" t="s">
        <v>115</v>
      </c>
      <c r="E1412" s="13" t="s">
        <v>2859</v>
      </c>
      <c r="F1412" s="43">
        <v>647.41</v>
      </c>
    </row>
    <row r="1413" spans="2:6" x14ac:dyDescent="0.25">
      <c r="B1413" s="13" t="s">
        <v>2860</v>
      </c>
      <c r="C1413" s="15" t="s">
        <v>104</v>
      </c>
      <c r="D1413" s="13" t="s">
        <v>115</v>
      </c>
      <c r="E1413" s="13" t="s">
        <v>2861</v>
      </c>
      <c r="F1413" s="43">
        <v>894.33</v>
      </c>
    </row>
    <row r="1414" spans="2:6" x14ac:dyDescent="0.25">
      <c r="B1414" s="13" t="s">
        <v>2862</v>
      </c>
      <c r="C1414" s="15" t="s">
        <v>104</v>
      </c>
      <c r="D1414" s="13" t="s">
        <v>115</v>
      </c>
      <c r="E1414" s="13" t="s">
        <v>2863</v>
      </c>
      <c r="F1414" s="43">
        <v>1666.9</v>
      </c>
    </row>
    <row r="1415" spans="2:6" x14ac:dyDescent="0.25">
      <c r="B1415" s="13" t="s">
        <v>2864</v>
      </c>
      <c r="C1415" s="15" t="s">
        <v>104</v>
      </c>
      <c r="D1415" s="13" t="s">
        <v>115</v>
      </c>
      <c r="E1415" s="13" t="s">
        <v>2865</v>
      </c>
      <c r="F1415" s="43">
        <v>11.53</v>
      </c>
    </row>
    <row r="1416" spans="2:6" x14ac:dyDescent="0.25">
      <c r="B1416" s="13" t="s">
        <v>2866</v>
      </c>
      <c r="C1416" s="15" t="s">
        <v>104</v>
      </c>
      <c r="D1416" s="13" t="s">
        <v>115</v>
      </c>
      <c r="E1416" s="13" t="s">
        <v>2867</v>
      </c>
      <c r="F1416" s="43">
        <v>13.12</v>
      </c>
    </row>
    <row r="1417" spans="2:6" x14ac:dyDescent="0.25">
      <c r="B1417" s="13" t="s">
        <v>2868</v>
      </c>
      <c r="C1417" s="15" t="s">
        <v>104</v>
      </c>
      <c r="D1417" s="13" t="s">
        <v>115</v>
      </c>
      <c r="E1417" s="13" t="s">
        <v>2869</v>
      </c>
      <c r="F1417" s="43">
        <v>9.8800000000000008</v>
      </c>
    </row>
    <row r="1418" spans="2:6" x14ac:dyDescent="0.25">
      <c r="B1418" s="13" t="s">
        <v>2870</v>
      </c>
      <c r="C1418" s="15" t="s">
        <v>104</v>
      </c>
      <c r="D1418" s="13" t="s">
        <v>115</v>
      </c>
      <c r="E1418" s="13" t="s">
        <v>2871</v>
      </c>
      <c r="F1418" s="43">
        <v>13.2</v>
      </c>
    </row>
    <row r="1419" spans="2:6" x14ac:dyDescent="0.25">
      <c r="B1419" s="13">
        <v>3880</v>
      </c>
      <c r="C1419" s="15" t="s">
        <v>104</v>
      </c>
      <c r="D1419" s="13" t="s">
        <v>115</v>
      </c>
      <c r="E1419" s="13" t="s">
        <v>2872</v>
      </c>
      <c r="F1419" s="43">
        <v>11.19</v>
      </c>
    </row>
    <row r="1420" spans="2:6" x14ac:dyDescent="0.25">
      <c r="B1420" s="13" t="s">
        <v>2873</v>
      </c>
      <c r="C1420" s="15" t="s">
        <v>104</v>
      </c>
      <c r="D1420" s="13" t="s">
        <v>115</v>
      </c>
      <c r="E1420" s="13" t="s">
        <v>2874</v>
      </c>
      <c r="F1420" s="43">
        <v>21.36</v>
      </c>
    </row>
    <row r="1421" spans="2:6" x14ac:dyDescent="0.25">
      <c r="B1421" s="13" t="s">
        <v>2875</v>
      </c>
      <c r="C1421" s="15" t="s">
        <v>104</v>
      </c>
      <c r="D1421" s="13" t="s">
        <v>115</v>
      </c>
      <c r="E1421" s="13" t="s">
        <v>2876</v>
      </c>
      <c r="F1421" s="43">
        <v>20.440000000000001</v>
      </c>
    </row>
    <row r="1422" spans="2:6" x14ac:dyDescent="0.25">
      <c r="B1422" s="13" t="s">
        <v>2877</v>
      </c>
      <c r="C1422" s="15" t="s">
        <v>104</v>
      </c>
      <c r="D1422" s="13" t="s">
        <v>115</v>
      </c>
      <c r="E1422" s="13" t="s">
        <v>2878</v>
      </c>
      <c r="F1422" s="43">
        <v>34.96</v>
      </c>
    </row>
    <row r="1423" spans="2:6" x14ac:dyDescent="0.25">
      <c r="B1423" s="13" t="s">
        <v>2879</v>
      </c>
      <c r="C1423" s="15" t="s">
        <v>104</v>
      </c>
      <c r="D1423" s="13" t="s">
        <v>115</v>
      </c>
      <c r="E1423" s="13" t="s">
        <v>2880</v>
      </c>
      <c r="F1423" s="43">
        <v>38.5</v>
      </c>
    </row>
    <row r="1424" spans="2:6" x14ac:dyDescent="0.25">
      <c r="B1424" s="13" t="s">
        <v>2881</v>
      </c>
      <c r="C1424" s="15" t="s">
        <v>104</v>
      </c>
      <c r="D1424" s="13" t="s">
        <v>115</v>
      </c>
      <c r="E1424" s="13" t="s">
        <v>2882</v>
      </c>
      <c r="F1424" s="43">
        <v>41.75</v>
      </c>
    </row>
    <row r="1425" spans="2:6" x14ac:dyDescent="0.25">
      <c r="B1425" s="13" t="s">
        <v>2883</v>
      </c>
      <c r="C1425" s="15" t="s">
        <v>104</v>
      </c>
      <c r="D1425" s="13" t="s">
        <v>115</v>
      </c>
      <c r="E1425" s="13" t="s">
        <v>2884</v>
      </c>
      <c r="F1425" s="43">
        <v>20.65</v>
      </c>
    </row>
    <row r="1426" spans="2:6" x14ac:dyDescent="0.25">
      <c r="B1426" s="13" t="s">
        <v>2885</v>
      </c>
      <c r="C1426" s="15" t="s">
        <v>104</v>
      </c>
      <c r="D1426" s="13" t="s">
        <v>115</v>
      </c>
      <c r="E1426" s="13" t="s">
        <v>2886</v>
      </c>
      <c r="F1426" s="43">
        <v>44.84</v>
      </c>
    </row>
    <row r="1427" spans="2:6" x14ac:dyDescent="0.25">
      <c r="B1427" s="13" t="s">
        <v>2887</v>
      </c>
      <c r="C1427" s="15" t="s">
        <v>104</v>
      </c>
      <c r="D1427" s="13" t="s">
        <v>115</v>
      </c>
      <c r="E1427" s="13" t="s">
        <v>2888</v>
      </c>
      <c r="F1427" s="43">
        <v>0.49</v>
      </c>
    </row>
    <row r="1428" spans="2:6" x14ac:dyDescent="0.25">
      <c r="B1428" s="13" t="s">
        <v>2889</v>
      </c>
      <c r="C1428" s="15" t="s">
        <v>104</v>
      </c>
      <c r="D1428" s="13" t="s">
        <v>115</v>
      </c>
      <c r="E1428" s="13" t="s">
        <v>2890</v>
      </c>
      <c r="F1428" s="43">
        <v>0.36</v>
      </c>
    </row>
    <row r="1429" spans="2:6" x14ac:dyDescent="0.25">
      <c r="B1429" s="13" t="s">
        <v>2891</v>
      </c>
      <c r="C1429" s="15" t="s">
        <v>104</v>
      </c>
      <c r="D1429" s="13" t="s">
        <v>115</v>
      </c>
      <c r="E1429" s="13" t="s">
        <v>2892</v>
      </c>
      <c r="F1429" s="43">
        <v>5.53</v>
      </c>
    </row>
    <row r="1430" spans="2:6" x14ac:dyDescent="0.25">
      <c r="B1430" s="13" t="s">
        <v>29189</v>
      </c>
      <c r="C1430" s="15" t="s">
        <v>104</v>
      </c>
      <c r="D1430" s="13" t="s">
        <v>115</v>
      </c>
      <c r="E1430" s="13" t="s">
        <v>29190</v>
      </c>
      <c r="F1430" s="43">
        <v>3.79</v>
      </c>
    </row>
    <row r="1431" spans="2:6" x14ac:dyDescent="0.25">
      <c r="B1431" s="13" t="s">
        <v>2893</v>
      </c>
      <c r="C1431" s="15" t="s">
        <v>104</v>
      </c>
      <c r="D1431" s="13" t="s">
        <v>115</v>
      </c>
      <c r="E1431" s="13" t="s">
        <v>2894</v>
      </c>
      <c r="F1431" s="43">
        <v>2.71</v>
      </c>
    </row>
    <row r="1432" spans="2:6" x14ac:dyDescent="0.25">
      <c r="B1432" s="13" t="s">
        <v>2895</v>
      </c>
      <c r="C1432" s="15" t="s">
        <v>104</v>
      </c>
      <c r="D1432" s="13" t="s">
        <v>115</v>
      </c>
      <c r="E1432" s="13" t="s">
        <v>2896</v>
      </c>
      <c r="F1432" s="43">
        <v>3.85</v>
      </c>
    </row>
    <row r="1433" spans="2:6" x14ac:dyDescent="0.25">
      <c r="B1433" s="13" t="s">
        <v>2897</v>
      </c>
      <c r="C1433" s="15" t="s">
        <v>104</v>
      </c>
      <c r="D1433" s="13" t="s">
        <v>115</v>
      </c>
      <c r="E1433" s="13" t="s">
        <v>2898</v>
      </c>
      <c r="F1433" s="43">
        <v>5.92</v>
      </c>
    </row>
    <row r="1434" spans="2:6" x14ac:dyDescent="0.25">
      <c r="B1434" s="13" t="s">
        <v>2899</v>
      </c>
      <c r="C1434" s="15" t="s">
        <v>104</v>
      </c>
      <c r="D1434" s="13" t="s">
        <v>115</v>
      </c>
      <c r="E1434" s="13" t="s">
        <v>2900</v>
      </c>
      <c r="F1434" s="43">
        <v>78.84</v>
      </c>
    </row>
    <row r="1435" spans="2:6" x14ac:dyDescent="0.25">
      <c r="B1435" s="13" t="s">
        <v>2901</v>
      </c>
      <c r="C1435" s="15" t="s">
        <v>104</v>
      </c>
      <c r="D1435" s="13" t="s">
        <v>115</v>
      </c>
      <c r="E1435" s="13" t="s">
        <v>2902</v>
      </c>
      <c r="F1435" s="43">
        <v>44.28</v>
      </c>
    </row>
    <row r="1436" spans="2:6" x14ac:dyDescent="0.25">
      <c r="B1436" s="15">
        <v>3052</v>
      </c>
      <c r="C1436" s="15" t="s">
        <v>104</v>
      </c>
      <c r="D1436" s="13" t="s">
        <v>115</v>
      </c>
      <c r="E1436" s="13" t="s">
        <v>2903</v>
      </c>
      <c r="F1436" s="43">
        <v>5.9</v>
      </c>
    </row>
    <row r="1437" spans="2:6" x14ac:dyDescent="0.25">
      <c r="B1437" s="15">
        <v>3054</v>
      </c>
      <c r="C1437" s="15" t="s">
        <v>104</v>
      </c>
      <c r="D1437" s="13" t="s">
        <v>115</v>
      </c>
      <c r="E1437" s="13" t="s">
        <v>2904</v>
      </c>
      <c r="F1437" s="43">
        <v>6.46</v>
      </c>
    </row>
    <row r="1438" spans="2:6" x14ac:dyDescent="0.25">
      <c r="B1438" s="15">
        <v>3055</v>
      </c>
      <c r="C1438" s="15" t="s">
        <v>104</v>
      </c>
      <c r="D1438" s="13" t="s">
        <v>115</v>
      </c>
      <c r="E1438" s="13" t="s">
        <v>2905</v>
      </c>
      <c r="F1438" s="43">
        <v>5.88</v>
      </c>
    </row>
    <row r="1439" spans="2:6" x14ac:dyDescent="0.25">
      <c r="B1439" s="15">
        <v>3057</v>
      </c>
      <c r="C1439" s="15" t="s">
        <v>104</v>
      </c>
      <c r="D1439" s="13" t="s">
        <v>115</v>
      </c>
      <c r="E1439" s="13" t="s">
        <v>2906</v>
      </c>
      <c r="F1439" s="43">
        <v>5.88</v>
      </c>
    </row>
    <row r="1440" spans="2:6" x14ac:dyDescent="0.25">
      <c r="B1440" s="13" t="s">
        <v>2907</v>
      </c>
      <c r="C1440" s="15" t="s">
        <v>104</v>
      </c>
      <c r="D1440" s="13" t="s">
        <v>115</v>
      </c>
      <c r="E1440" s="13" t="s">
        <v>2908</v>
      </c>
      <c r="F1440" s="43">
        <v>1.1399999999999999</v>
      </c>
    </row>
    <row r="1441" spans="2:6" x14ac:dyDescent="0.25">
      <c r="B1441" s="13" t="s">
        <v>2909</v>
      </c>
      <c r="C1441" s="15" t="s">
        <v>104</v>
      </c>
      <c r="D1441" s="13" t="s">
        <v>115</v>
      </c>
      <c r="E1441" s="13" t="s">
        <v>2910</v>
      </c>
      <c r="F1441" s="43">
        <v>1.36</v>
      </c>
    </row>
    <row r="1442" spans="2:6" x14ac:dyDescent="0.25">
      <c r="B1442" s="13" t="s">
        <v>2911</v>
      </c>
      <c r="C1442" s="15" t="s">
        <v>104</v>
      </c>
      <c r="D1442" s="13" t="s">
        <v>115</v>
      </c>
      <c r="E1442" s="13" t="s">
        <v>2912</v>
      </c>
      <c r="F1442" s="43">
        <v>2.2599999999999998</v>
      </c>
    </row>
    <row r="1443" spans="2:6" x14ac:dyDescent="0.25">
      <c r="B1443" s="13" t="s">
        <v>2913</v>
      </c>
      <c r="C1443" s="15" t="s">
        <v>104</v>
      </c>
      <c r="D1443" s="13" t="s">
        <v>115</v>
      </c>
      <c r="E1443" s="13" t="s">
        <v>2914</v>
      </c>
      <c r="F1443" s="43">
        <v>6.05</v>
      </c>
    </row>
    <row r="1444" spans="2:6" x14ac:dyDescent="0.25">
      <c r="B1444" s="13" t="s">
        <v>2915</v>
      </c>
      <c r="C1444" s="15" t="s">
        <v>104</v>
      </c>
      <c r="D1444" s="13" t="s">
        <v>115</v>
      </c>
      <c r="E1444" s="13" t="s">
        <v>2916</v>
      </c>
      <c r="F1444" s="43">
        <v>6.15</v>
      </c>
    </row>
    <row r="1445" spans="2:6" x14ac:dyDescent="0.25">
      <c r="B1445" s="13" t="s">
        <v>2917</v>
      </c>
      <c r="C1445" s="15" t="s">
        <v>104</v>
      </c>
      <c r="D1445" s="13" t="s">
        <v>115</v>
      </c>
      <c r="E1445" s="13" t="s">
        <v>2918</v>
      </c>
      <c r="F1445" s="43">
        <v>146.86000000000001</v>
      </c>
    </row>
    <row r="1446" spans="2:6" x14ac:dyDescent="0.25">
      <c r="B1446" s="13" t="s">
        <v>2919</v>
      </c>
      <c r="C1446" s="15" t="s">
        <v>104</v>
      </c>
      <c r="D1446" s="13" t="s">
        <v>115</v>
      </c>
      <c r="E1446" s="13" t="s">
        <v>2920</v>
      </c>
      <c r="F1446" s="43">
        <v>228.61</v>
      </c>
    </row>
    <row r="1447" spans="2:6" x14ac:dyDescent="0.25">
      <c r="B1447" s="13" t="s">
        <v>2921</v>
      </c>
      <c r="C1447" s="15" t="s">
        <v>104</v>
      </c>
      <c r="D1447" s="13" t="s">
        <v>115</v>
      </c>
      <c r="E1447" s="13" t="s">
        <v>2922</v>
      </c>
      <c r="F1447" s="43">
        <v>373.3</v>
      </c>
    </row>
    <row r="1448" spans="2:6" x14ac:dyDescent="0.25">
      <c r="B1448" s="13" t="s">
        <v>2923</v>
      </c>
      <c r="C1448" s="15" t="s">
        <v>104</v>
      </c>
      <c r="D1448" s="13" t="s">
        <v>115</v>
      </c>
      <c r="E1448" s="13" t="s">
        <v>2924</v>
      </c>
      <c r="F1448" s="43">
        <v>9.51</v>
      </c>
    </row>
    <row r="1449" spans="2:6" x14ac:dyDescent="0.25">
      <c r="B1449" s="13" t="s">
        <v>2925</v>
      </c>
      <c r="C1449" s="15" t="s">
        <v>104</v>
      </c>
      <c r="D1449" s="13" t="s">
        <v>115</v>
      </c>
      <c r="E1449" s="13" t="s">
        <v>2926</v>
      </c>
      <c r="F1449" s="43">
        <v>12.86</v>
      </c>
    </row>
    <row r="1450" spans="2:6" x14ac:dyDescent="0.25">
      <c r="B1450" s="13" t="s">
        <v>2927</v>
      </c>
      <c r="C1450" s="15" t="s">
        <v>104</v>
      </c>
      <c r="D1450" s="13" t="s">
        <v>115</v>
      </c>
      <c r="E1450" s="13" t="s">
        <v>2928</v>
      </c>
      <c r="F1450" s="43">
        <v>17.59</v>
      </c>
    </row>
    <row r="1451" spans="2:6" x14ac:dyDescent="0.25">
      <c r="B1451" s="13" t="s">
        <v>2929</v>
      </c>
      <c r="C1451" s="15" t="s">
        <v>104</v>
      </c>
      <c r="D1451" s="13" t="s">
        <v>115</v>
      </c>
      <c r="E1451" s="13" t="s">
        <v>2930</v>
      </c>
      <c r="F1451" s="43">
        <v>27.6</v>
      </c>
    </row>
    <row r="1452" spans="2:6" x14ac:dyDescent="0.25">
      <c r="B1452" s="13" t="s">
        <v>2931</v>
      </c>
      <c r="C1452" s="15" t="s">
        <v>104</v>
      </c>
      <c r="D1452" s="13" t="s">
        <v>115</v>
      </c>
      <c r="E1452" s="13" t="s">
        <v>2932</v>
      </c>
      <c r="F1452" s="43">
        <v>0</v>
      </c>
    </row>
    <row r="1453" spans="2:6" x14ac:dyDescent="0.25">
      <c r="B1453" s="13" t="s">
        <v>2933</v>
      </c>
      <c r="C1453" s="15" t="s">
        <v>104</v>
      </c>
      <c r="D1453" s="13" t="s">
        <v>115</v>
      </c>
      <c r="E1453" s="13" t="s">
        <v>2934</v>
      </c>
      <c r="F1453" s="43">
        <v>0</v>
      </c>
    </row>
    <row r="1454" spans="2:6" x14ac:dyDescent="0.25">
      <c r="B1454" s="13" t="s">
        <v>2935</v>
      </c>
      <c r="C1454" s="15" t="s">
        <v>104</v>
      </c>
      <c r="D1454" s="13" t="s">
        <v>115</v>
      </c>
      <c r="E1454" s="13" t="s">
        <v>2936</v>
      </c>
      <c r="F1454" s="43">
        <v>132.96</v>
      </c>
    </row>
    <row r="1455" spans="2:6" x14ac:dyDescent="0.25">
      <c r="B1455" s="13" t="s">
        <v>2937</v>
      </c>
      <c r="C1455" s="15" t="s">
        <v>104</v>
      </c>
      <c r="D1455" s="13" t="s">
        <v>115</v>
      </c>
      <c r="E1455" s="13" t="s">
        <v>2938</v>
      </c>
      <c r="F1455" s="43">
        <v>197.65</v>
      </c>
    </row>
    <row r="1456" spans="2:6" x14ac:dyDescent="0.25">
      <c r="B1456" s="13" t="s">
        <v>2939</v>
      </c>
      <c r="C1456" s="15" t="s">
        <v>104</v>
      </c>
      <c r="D1456" s="13" t="s">
        <v>115</v>
      </c>
      <c r="E1456" s="13" t="s">
        <v>2940</v>
      </c>
      <c r="F1456" s="43">
        <v>0</v>
      </c>
    </row>
    <row r="1457" spans="2:6" x14ac:dyDescent="0.25">
      <c r="B1457" s="13" t="s">
        <v>2941</v>
      </c>
      <c r="C1457" s="15" t="s">
        <v>104</v>
      </c>
      <c r="D1457" s="13" t="s">
        <v>115</v>
      </c>
      <c r="E1457" s="13" t="s">
        <v>2942</v>
      </c>
      <c r="F1457" s="43">
        <v>6.72</v>
      </c>
    </row>
    <row r="1458" spans="2:6" x14ac:dyDescent="0.25">
      <c r="B1458" s="13" t="s">
        <v>2943</v>
      </c>
      <c r="C1458" s="15" t="s">
        <v>104</v>
      </c>
      <c r="D1458" s="13" t="s">
        <v>115</v>
      </c>
      <c r="E1458" s="13" t="s">
        <v>2944</v>
      </c>
      <c r="F1458" s="43">
        <v>9.2200000000000006</v>
      </c>
    </row>
    <row r="1459" spans="2:6" x14ac:dyDescent="0.25">
      <c r="B1459" s="13" t="s">
        <v>2945</v>
      </c>
      <c r="C1459" s="15" t="s">
        <v>104</v>
      </c>
      <c r="D1459" s="13" t="s">
        <v>115</v>
      </c>
      <c r="E1459" s="13" t="s">
        <v>2946</v>
      </c>
      <c r="F1459" s="43">
        <v>0</v>
      </c>
    </row>
    <row r="1460" spans="2:6" x14ac:dyDescent="0.25">
      <c r="B1460" s="13" t="s">
        <v>2947</v>
      </c>
      <c r="C1460" s="15" t="s">
        <v>104</v>
      </c>
      <c r="D1460" s="13" t="s">
        <v>115</v>
      </c>
      <c r="E1460" s="13" t="s">
        <v>2948</v>
      </c>
      <c r="F1460" s="43">
        <v>0</v>
      </c>
    </row>
    <row r="1461" spans="2:6" x14ac:dyDescent="0.25">
      <c r="B1461" s="13" t="s">
        <v>2949</v>
      </c>
      <c r="C1461" s="15" t="s">
        <v>104</v>
      </c>
      <c r="D1461" s="13" t="s">
        <v>115</v>
      </c>
      <c r="E1461" s="13" t="s">
        <v>2948</v>
      </c>
      <c r="F1461" s="43">
        <v>26.11</v>
      </c>
    </row>
    <row r="1462" spans="2:6" x14ac:dyDescent="0.25">
      <c r="B1462" s="13" t="s">
        <v>2950</v>
      </c>
      <c r="C1462" s="15" t="s">
        <v>104</v>
      </c>
      <c r="D1462" s="13" t="s">
        <v>115</v>
      </c>
      <c r="E1462" s="13" t="s">
        <v>2951</v>
      </c>
      <c r="F1462" s="43">
        <v>0</v>
      </c>
    </row>
    <row r="1463" spans="2:6" x14ac:dyDescent="0.25">
      <c r="B1463" s="13" t="s">
        <v>2952</v>
      </c>
      <c r="C1463" s="15" t="s">
        <v>104</v>
      </c>
      <c r="D1463" s="13" t="s">
        <v>115</v>
      </c>
      <c r="E1463" s="13" t="s">
        <v>2953</v>
      </c>
      <c r="F1463" s="43">
        <v>0</v>
      </c>
    </row>
    <row r="1464" spans="2:6" x14ac:dyDescent="0.25">
      <c r="B1464" s="13" t="s">
        <v>2954</v>
      </c>
      <c r="C1464" s="15" t="s">
        <v>104</v>
      </c>
      <c r="D1464" s="13" t="s">
        <v>115</v>
      </c>
      <c r="E1464" s="13" t="s">
        <v>2955</v>
      </c>
      <c r="F1464" s="43">
        <v>0</v>
      </c>
    </row>
    <row r="1465" spans="2:6" x14ac:dyDescent="0.25">
      <c r="B1465" s="13" t="s">
        <v>2956</v>
      </c>
      <c r="C1465" s="15" t="s">
        <v>104</v>
      </c>
      <c r="D1465" s="13" t="s">
        <v>115</v>
      </c>
      <c r="E1465" s="13" t="s">
        <v>2955</v>
      </c>
      <c r="F1465" s="43">
        <v>0</v>
      </c>
    </row>
    <row r="1466" spans="2:6" x14ac:dyDescent="0.25">
      <c r="B1466" s="13" t="s">
        <v>2957</v>
      </c>
      <c r="C1466" s="15" t="s">
        <v>104</v>
      </c>
      <c r="D1466" s="13" t="s">
        <v>115</v>
      </c>
      <c r="E1466" s="13" t="s">
        <v>2958</v>
      </c>
      <c r="F1466" s="43">
        <v>0</v>
      </c>
    </row>
    <row r="1467" spans="2:6" x14ac:dyDescent="0.25">
      <c r="B1467" s="13" t="s">
        <v>2959</v>
      </c>
      <c r="C1467" s="15" t="s">
        <v>104</v>
      </c>
      <c r="D1467" s="13" t="s">
        <v>115</v>
      </c>
      <c r="E1467" s="13" t="s">
        <v>2960</v>
      </c>
      <c r="F1467" s="43">
        <v>19.02</v>
      </c>
    </row>
    <row r="1468" spans="2:6" x14ac:dyDescent="0.25">
      <c r="B1468" s="13" t="s">
        <v>2961</v>
      </c>
      <c r="C1468" s="15" t="s">
        <v>104</v>
      </c>
      <c r="D1468" s="13" t="s">
        <v>115</v>
      </c>
      <c r="E1468" s="13" t="s">
        <v>2962</v>
      </c>
      <c r="F1468" s="43">
        <v>0</v>
      </c>
    </row>
    <row r="1469" spans="2:6" x14ac:dyDescent="0.25">
      <c r="B1469" s="13" t="s">
        <v>2963</v>
      </c>
      <c r="C1469" s="15" t="s">
        <v>104</v>
      </c>
      <c r="D1469" s="13" t="s">
        <v>115</v>
      </c>
      <c r="E1469" s="13" t="s">
        <v>2964</v>
      </c>
      <c r="F1469" s="43">
        <v>35.42</v>
      </c>
    </row>
    <row r="1470" spans="2:6" x14ac:dyDescent="0.25">
      <c r="B1470" s="13" t="s">
        <v>2965</v>
      </c>
      <c r="C1470" s="15" t="s">
        <v>104</v>
      </c>
      <c r="D1470" s="13" t="s">
        <v>115</v>
      </c>
      <c r="E1470" s="13" t="s">
        <v>2964</v>
      </c>
      <c r="F1470" s="43">
        <v>49.65</v>
      </c>
    </row>
    <row r="1471" spans="2:6" x14ac:dyDescent="0.25">
      <c r="B1471" s="13" t="s">
        <v>2966</v>
      </c>
      <c r="C1471" s="15" t="s">
        <v>104</v>
      </c>
      <c r="D1471" s="13" t="s">
        <v>115</v>
      </c>
      <c r="E1471" s="13" t="s">
        <v>2967</v>
      </c>
      <c r="F1471" s="43">
        <v>74.290000000000006</v>
      </c>
    </row>
    <row r="1472" spans="2:6" x14ac:dyDescent="0.25">
      <c r="B1472" s="13" t="s">
        <v>2968</v>
      </c>
      <c r="C1472" s="15" t="s">
        <v>104</v>
      </c>
      <c r="D1472" s="13" t="s">
        <v>115</v>
      </c>
      <c r="E1472" s="13" t="s">
        <v>2969</v>
      </c>
      <c r="F1472" s="43">
        <v>0</v>
      </c>
    </row>
    <row r="1473" spans="2:6" x14ac:dyDescent="0.25">
      <c r="B1473" s="13" t="s">
        <v>2970</v>
      </c>
      <c r="C1473" s="15" t="s">
        <v>104</v>
      </c>
      <c r="D1473" s="13" t="s">
        <v>115</v>
      </c>
      <c r="E1473" s="13" t="s">
        <v>2971</v>
      </c>
      <c r="F1473" s="43">
        <v>9.91</v>
      </c>
    </row>
    <row r="1474" spans="2:6" x14ac:dyDescent="0.25">
      <c r="B1474" s="13" t="s">
        <v>2972</v>
      </c>
      <c r="C1474" s="15" t="s">
        <v>104</v>
      </c>
      <c r="D1474" s="13" t="s">
        <v>115</v>
      </c>
      <c r="E1474" s="13" t="s">
        <v>2973</v>
      </c>
      <c r="F1474" s="43">
        <v>14.77</v>
      </c>
    </row>
    <row r="1475" spans="2:6" x14ac:dyDescent="0.25">
      <c r="B1475" s="13" t="s">
        <v>2974</v>
      </c>
      <c r="C1475" s="15" t="s">
        <v>104</v>
      </c>
      <c r="D1475" s="13" t="s">
        <v>115</v>
      </c>
      <c r="E1475" s="13" t="s">
        <v>2975</v>
      </c>
      <c r="F1475" s="43">
        <v>23.6</v>
      </c>
    </row>
    <row r="1476" spans="2:6" x14ac:dyDescent="0.25">
      <c r="B1476" s="13" t="s">
        <v>2976</v>
      </c>
      <c r="C1476" s="15" t="s">
        <v>104</v>
      </c>
      <c r="D1476" s="13" t="s">
        <v>115</v>
      </c>
      <c r="E1476" s="13" t="s">
        <v>2977</v>
      </c>
      <c r="F1476" s="43">
        <v>33.29</v>
      </c>
    </row>
    <row r="1477" spans="2:6" x14ac:dyDescent="0.25">
      <c r="B1477" s="13" t="s">
        <v>2978</v>
      </c>
      <c r="C1477" s="15" t="s">
        <v>104</v>
      </c>
      <c r="D1477" s="13" t="s">
        <v>115</v>
      </c>
      <c r="E1477" s="13" t="s">
        <v>2979</v>
      </c>
      <c r="F1477" s="43">
        <v>55.43</v>
      </c>
    </row>
    <row r="1478" spans="2:6" x14ac:dyDescent="0.25">
      <c r="B1478" s="13" t="s">
        <v>2980</v>
      </c>
      <c r="C1478" s="15" t="s">
        <v>104</v>
      </c>
      <c r="D1478" s="13" t="s">
        <v>115</v>
      </c>
      <c r="E1478" s="13" t="s">
        <v>2981</v>
      </c>
      <c r="F1478" s="43">
        <v>7.1</v>
      </c>
    </row>
    <row r="1479" spans="2:6" x14ac:dyDescent="0.25">
      <c r="B1479" s="13" t="s">
        <v>2982</v>
      </c>
      <c r="C1479" s="15" t="s">
        <v>104</v>
      </c>
      <c r="D1479" s="13" t="s">
        <v>115</v>
      </c>
      <c r="E1479" s="13" t="s">
        <v>2983</v>
      </c>
      <c r="F1479" s="43">
        <v>9.9</v>
      </c>
    </row>
    <row r="1480" spans="2:6" x14ac:dyDescent="0.25">
      <c r="B1480" s="13" t="s">
        <v>2984</v>
      </c>
      <c r="C1480" s="15" t="s">
        <v>104</v>
      </c>
      <c r="D1480" s="13" t="s">
        <v>115</v>
      </c>
      <c r="E1480" s="13" t="s">
        <v>2985</v>
      </c>
      <c r="F1480" s="43">
        <v>14.91</v>
      </c>
    </row>
    <row r="1481" spans="2:6" x14ac:dyDescent="0.25">
      <c r="B1481" s="13" t="s">
        <v>2986</v>
      </c>
      <c r="C1481" s="15" t="s">
        <v>104</v>
      </c>
      <c r="D1481" s="13" t="s">
        <v>115</v>
      </c>
      <c r="E1481" s="13" t="s">
        <v>2987</v>
      </c>
      <c r="F1481" s="43">
        <v>21.78</v>
      </c>
    </row>
    <row r="1482" spans="2:6" x14ac:dyDescent="0.25">
      <c r="B1482" s="13" t="s">
        <v>2988</v>
      </c>
      <c r="C1482" s="15" t="s">
        <v>104</v>
      </c>
      <c r="D1482" s="13" t="s">
        <v>115</v>
      </c>
      <c r="E1482" s="13" t="s">
        <v>2989</v>
      </c>
      <c r="F1482" s="43">
        <v>33.090000000000003</v>
      </c>
    </row>
    <row r="1483" spans="2:6" x14ac:dyDescent="0.25">
      <c r="B1483" s="13" t="s">
        <v>2990</v>
      </c>
      <c r="C1483" s="15" t="s">
        <v>104</v>
      </c>
      <c r="D1483" s="13" t="s">
        <v>115</v>
      </c>
      <c r="E1483" s="13" t="s">
        <v>2991</v>
      </c>
      <c r="F1483" s="43">
        <v>46.26</v>
      </c>
    </row>
    <row r="1484" spans="2:6" x14ac:dyDescent="0.25">
      <c r="B1484" s="13" t="s">
        <v>2992</v>
      </c>
      <c r="C1484" s="15" t="s">
        <v>104</v>
      </c>
      <c r="D1484" s="13" t="s">
        <v>115</v>
      </c>
      <c r="E1484" s="13" t="s">
        <v>2993</v>
      </c>
      <c r="F1484" s="43">
        <v>84.53</v>
      </c>
    </row>
    <row r="1485" spans="2:6" x14ac:dyDescent="0.25">
      <c r="B1485" s="13" t="s">
        <v>2994</v>
      </c>
      <c r="C1485" s="15" t="s">
        <v>104</v>
      </c>
      <c r="D1485" s="13" t="s">
        <v>115</v>
      </c>
      <c r="E1485" s="13" t="s">
        <v>2995</v>
      </c>
      <c r="F1485" s="43">
        <v>111.34</v>
      </c>
    </row>
    <row r="1486" spans="2:6" x14ac:dyDescent="0.25">
      <c r="B1486" s="13" t="s">
        <v>2996</v>
      </c>
      <c r="C1486" s="15" t="s">
        <v>104</v>
      </c>
      <c r="D1486" s="13" t="s">
        <v>115</v>
      </c>
      <c r="E1486" s="13" t="s">
        <v>2997</v>
      </c>
      <c r="F1486" s="43">
        <v>210.02</v>
      </c>
    </row>
    <row r="1487" spans="2:6" x14ac:dyDescent="0.25">
      <c r="B1487" s="13" t="s">
        <v>2998</v>
      </c>
      <c r="C1487" s="15" t="s">
        <v>104</v>
      </c>
      <c r="D1487" s="13" t="s">
        <v>115</v>
      </c>
      <c r="E1487" s="13" t="s">
        <v>2999</v>
      </c>
      <c r="F1487" s="43">
        <v>8.32</v>
      </c>
    </row>
    <row r="1488" spans="2:6" x14ac:dyDescent="0.25">
      <c r="B1488" s="13" t="s">
        <v>3000</v>
      </c>
      <c r="C1488" s="15" t="s">
        <v>104</v>
      </c>
      <c r="D1488" s="13" t="s">
        <v>115</v>
      </c>
      <c r="E1488" s="13" t="s">
        <v>3001</v>
      </c>
      <c r="F1488" s="43">
        <v>8.4700000000000006</v>
      </c>
    </row>
    <row r="1489" spans="2:6" x14ac:dyDescent="0.25">
      <c r="B1489" s="13" t="s">
        <v>3002</v>
      </c>
      <c r="C1489" s="15" t="s">
        <v>104</v>
      </c>
      <c r="D1489" s="13" t="s">
        <v>115</v>
      </c>
      <c r="E1489" s="13" t="s">
        <v>3003</v>
      </c>
      <c r="F1489" s="43">
        <v>12.13</v>
      </c>
    </row>
    <row r="1490" spans="2:6" x14ac:dyDescent="0.25">
      <c r="B1490" s="13" t="s">
        <v>3004</v>
      </c>
      <c r="C1490" s="15" t="s">
        <v>104</v>
      </c>
      <c r="D1490" s="13" t="s">
        <v>115</v>
      </c>
      <c r="E1490" s="13" t="s">
        <v>3005</v>
      </c>
      <c r="F1490" s="43">
        <v>14.49</v>
      </c>
    </row>
    <row r="1491" spans="2:6" x14ac:dyDescent="0.25">
      <c r="B1491" s="13" t="s">
        <v>3006</v>
      </c>
      <c r="C1491" s="15" t="str">
        <f>INDEX(CA[Marca],MATCH(Precios_Lista[[#This Row],[Tipo]],CA[Tipo],0))</f>
        <v>GENEBRE</v>
      </c>
      <c r="D1491" s="13" t="s">
        <v>127</v>
      </c>
      <c r="E1491" s="13" t="s">
        <v>3007</v>
      </c>
      <c r="F1491" s="43">
        <v>32.43</v>
      </c>
    </row>
    <row r="1492" spans="2:6" x14ac:dyDescent="0.25">
      <c r="B1492" s="13" t="s">
        <v>3008</v>
      </c>
      <c r="C1492" s="15" t="str">
        <f>INDEX(CA[Marca],MATCH(Precios_Lista[[#This Row],[Tipo]],CA[Tipo],0))</f>
        <v>GENEBRE</v>
      </c>
      <c r="D1492" s="13" t="s">
        <v>127</v>
      </c>
      <c r="E1492" s="13" t="s">
        <v>3009</v>
      </c>
      <c r="F1492" s="43">
        <v>43.35</v>
      </c>
    </row>
    <row r="1493" spans="2:6" x14ac:dyDescent="0.25">
      <c r="B1493" s="13" t="s">
        <v>3010</v>
      </c>
      <c r="C1493" s="15" t="str">
        <f>INDEX(CA[Marca],MATCH(Precios_Lista[[#This Row],[Tipo]],CA[Tipo],0))</f>
        <v>GENEBRE</v>
      </c>
      <c r="D1493" s="13" t="s">
        <v>127</v>
      </c>
      <c r="E1493" s="13" t="s">
        <v>3011</v>
      </c>
      <c r="F1493" s="43">
        <v>34.53</v>
      </c>
    </row>
    <row r="1494" spans="2:6" x14ac:dyDescent="0.25">
      <c r="B1494" s="13" t="s">
        <v>3012</v>
      </c>
      <c r="C1494" s="15" t="str">
        <f>INDEX(CA[Marca],MATCH(Precios_Lista[[#This Row],[Tipo]],CA[Tipo],0))</f>
        <v>GENEBRE</v>
      </c>
      <c r="D1494" s="13" t="s">
        <v>127</v>
      </c>
      <c r="E1494" s="13" t="s">
        <v>3013</v>
      </c>
      <c r="F1494" s="43">
        <v>95.73</v>
      </c>
    </row>
    <row r="1495" spans="2:6" x14ac:dyDescent="0.25">
      <c r="B1495" s="13" t="s">
        <v>3014</v>
      </c>
      <c r="C1495" s="15" t="str">
        <f>INDEX(CA[Marca],MATCH(Precios_Lista[[#This Row],[Tipo]],CA[Tipo],0))</f>
        <v>GENEBRE</v>
      </c>
      <c r="D1495" s="13" t="s">
        <v>127</v>
      </c>
      <c r="E1495" s="13" t="s">
        <v>3015</v>
      </c>
      <c r="F1495" s="43">
        <v>120.93</v>
      </c>
    </row>
    <row r="1496" spans="2:6" x14ac:dyDescent="0.25">
      <c r="B1496" s="13" t="s">
        <v>3016</v>
      </c>
      <c r="C1496" s="15" t="str">
        <f>INDEX(CA[Marca],MATCH(Precios_Lista[[#This Row],[Tipo]],CA[Tipo],0))</f>
        <v>GENEBRE</v>
      </c>
      <c r="D1496" s="13" t="s">
        <v>127</v>
      </c>
      <c r="E1496" s="13" t="s">
        <v>3017</v>
      </c>
      <c r="F1496" s="43">
        <v>178.26</v>
      </c>
    </row>
    <row r="1497" spans="2:6" x14ac:dyDescent="0.25">
      <c r="B1497" s="13" t="s">
        <v>3018</v>
      </c>
      <c r="C1497" s="15" t="str">
        <f>INDEX(CA[Marca],MATCH(Precios_Lista[[#This Row],[Tipo]],CA[Tipo],0))</f>
        <v>GENEBRE</v>
      </c>
      <c r="D1497" s="13" t="s">
        <v>127</v>
      </c>
      <c r="E1497" s="13" t="s">
        <v>3019</v>
      </c>
      <c r="F1497" s="43">
        <v>318.24</v>
      </c>
    </row>
    <row r="1498" spans="2:6" x14ac:dyDescent="0.25">
      <c r="B1498" s="13" t="s">
        <v>3020</v>
      </c>
      <c r="C1498" s="15" t="str">
        <f>INDEX(CA[Marca],MATCH(Precios_Lista[[#This Row],[Tipo]],CA[Tipo],0))</f>
        <v>GENEBRE</v>
      </c>
      <c r="D1498" s="13" t="s">
        <v>127</v>
      </c>
      <c r="E1498" s="13" t="s">
        <v>3021</v>
      </c>
      <c r="F1498" s="43">
        <v>450.36</v>
      </c>
    </row>
    <row r="1499" spans="2:6" x14ac:dyDescent="0.25">
      <c r="B1499" s="13" t="s">
        <v>3022</v>
      </c>
      <c r="C1499" s="15" t="str">
        <f>INDEX(CA[Marca],MATCH(Precios_Lista[[#This Row],[Tipo]],CA[Tipo],0))</f>
        <v>GENEBRE</v>
      </c>
      <c r="D1499" s="13" t="s">
        <v>127</v>
      </c>
      <c r="E1499" s="13" t="s">
        <v>3023</v>
      </c>
      <c r="F1499" s="43">
        <v>858.36</v>
      </c>
    </row>
    <row r="1500" spans="2:6" x14ac:dyDescent="0.25">
      <c r="B1500" s="13" t="s">
        <v>3024</v>
      </c>
      <c r="C1500" s="15" t="str">
        <f>INDEX(CA[Marca],MATCH(Precios_Lista[[#This Row],[Tipo]],CA[Tipo],0))</f>
        <v>GENEBRE</v>
      </c>
      <c r="D1500" s="13" t="s">
        <v>127</v>
      </c>
      <c r="E1500" s="13" t="s">
        <v>3025</v>
      </c>
      <c r="F1500" s="43">
        <v>1211.4000000000001</v>
      </c>
    </row>
    <row r="1501" spans="2:6" x14ac:dyDescent="0.25">
      <c r="B1501" s="13" t="s">
        <v>3026</v>
      </c>
      <c r="C1501" s="15" t="str">
        <f>INDEX(CA[Marca],MATCH(Precios_Lista[[#This Row],[Tipo]],CA[Tipo],0))</f>
        <v>GENEBRE</v>
      </c>
      <c r="D1501" s="13" t="s">
        <v>127</v>
      </c>
      <c r="E1501" s="13" t="s">
        <v>3027</v>
      </c>
      <c r="F1501" s="43">
        <v>2346.1799999999998</v>
      </c>
    </row>
    <row r="1502" spans="2:6" x14ac:dyDescent="0.25">
      <c r="B1502" s="13" t="s">
        <v>3028</v>
      </c>
      <c r="C1502" s="15" t="str">
        <f>INDEX(CA[Marca],MATCH(Precios_Lista[[#This Row],[Tipo]],CA[Tipo],0))</f>
        <v>GENEBRE</v>
      </c>
      <c r="D1502" s="13" t="s">
        <v>127</v>
      </c>
      <c r="E1502" s="13" t="s">
        <v>3029</v>
      </c>
      <c r="F1502" s="43">
        <v>206.52</v>
      </c>
    </row>
    <row r="1503" spans="2:6" x14ac:dyDescent="0.25">
      <c r="B1503" s="13" t="s">
        <v>3030</v>
      </c>
      <c r="C1503" s="15" t="str">
        <f>INDEX(CA[Marca],MATCH(Precios_Lista[[#This Row],[Tipo]],CA[Tipo],0))</f>
        <v>GENEBRE</v>
      </c>
      <c r="D1503" s="13" t="s">
        <v>127</v>
      </c>
      <c r="E1503" s="13" t="s">
        <v>3031</v>
      </c>
      <c r="F1503" s="43">
        <v>206.52</v>
      </c>
    </row>
    <row r="1504" spans="2:6" x14ac:dyDescent="0.25">
      <c r="B1504" s="13" t="s">
        <v>3032</v>
      </c>
      <c r="C1504" s="15" t="str">
        <f>INDEX(CA[Marca],MATCH(Precios_Lista[[#This Row],[Tipo]],CA[Tipo],0))</f>
        <v>GENEBRE</v>
      </c>
      <c r="D1504" s="13" t="s">
        <v>127</v>
      </c>
      <c r="E1504" s="13" t="s">
        <v>3033</v>
      </c>
      <c r="F1504" s="43">
        <v>224.07</v>
      </c>
    </row>
    <row r="1505" spans="2:6" x14ac:dyDescent="0.25">
      <c r="B1505" s="13" t="s">
        <v>3034</v>
      </c>
      <c r="C1505" s="15" t="str">
        <f>INDEX(CA[Marca],MATCH(Precios_Lista[[#This Row],[Tipo]],CA[Tipo],0))</f>
        <v>GENEBRE</v>
      </c>
      <c r="D1505" s="13" t="s">
        <v>127</v>
      </c>
      <c r="E1505" s="13" t="s">
        <v>3035</v>
      </c>
      <c r="F1505" s="43">
        <v>413.88</v>
      </c>
    </row>
    <row r="1506" spans="2:6" x14ac:dyDescent="0.25">
      <c r="B1506" s="13" t="s">
        <v>3036</v>
      </c>
      <c r="C1506" s="15" t="str">
        <f>INDEX(CA[Marca],MATCH(Precios_Lista[[#This Row],[Tipo]],CA[Tipo],0))</f>
        <v>GENEBRE</v>
      </c>
      <c r="D1506" s="13" t="s">
        <v>127</v>
      </c>
      <c r="E1506" s="13" t="s">
        <v>3037</v>
      </c>
      <c r="F1506" s="43">
        <v>637.89</v>
      </c>
    </row>
    <row r="1507" spans="2:6" x14ac:dyDescent="0.25">
      <c r="B1507" s="13" t="s">
        <v>3038</v>
      </c>
      <c r="C1507" s="15" t="str">
        <f>INDEX(CA[Marca],MATCH(Precios_Lista[[#This Row],[Tipo]],CA[Tipo],0))</f>
        <v>GENEBRE</v>
      </c>
      <c r="D1507" s="13" t="s">
        <v>127</v>
      </c>
      <c r="E1507" s="13" t="s">
        <v>3039</v>
      </c>
      <c r="F1507" s="43">
        <v>894.99</v>
      </c>
    </row>
    <row r="1508" spans="2:6" x14ac:dyDescent="0.25">
      <c r="B1508" s="13" t="s">
        <v>3040</v>
      </c>
      <c r="C1508" s="15" t="str">
        <f>INDEX(CA[Marca],MATCH(Precios_Lista[[#This Row],[Tipo]],CA[Tipo],0))</f>
        <v>GENEBRE</v>
      </c>
      <c r="D1508" s="13" t="s">
        <v>127</v>
      </c>
      <c r="E1508" s="13" t="s">
        <v>3041</v>
      </c>
      <c r="F1508" s="43">
        <v>105.66</v>
      </c>
    </row>
    <row r="1509" spans="2:6" x14ac:dyDescent="0.25">
      <c r="B1509" s="13" t="s">
        <v>3042</v>
      </c>
      <c r="C1509" s="15" t="str">
        <f>INDEX(CA[Marca],MATCH(Precios_Lista[[#This Row],[Tipo]],CA[Tipo],0))</f>
        <v>GENEBRE</v>
      </c>
      <c r="D1509" s="13" t="s">
        <v>127</v>
      </c>
      <c r="E1509" s="13" t="s">
        <v>3043</v>
      </c>
      <c r="F1509" s="43">
        <v>128.79</v>
      </c>
    </row>
    <row r="1510" spans="2:6" x14ac:dyDescent="0.25">
      <c r="B1510" s="13" t="s">
        <v>3044</v>
      </c>
      <c r="C1510" s="15" t="str">
        <f>INDEX(CA[Marca],MATCH(Precios_Lista[[#This Row],[Tipo]],CA[Tipo],0))</f>
        <v>GENEBRE</v>
      </c>
      <c r="D1510" s="13" t="s">
        <v>127</v>
      </c>
      <c r="E1510" s="13" t="s">
        <v>3045</v>
      </c>
      <c r="F1510" s="43">
        <v>147.38999999999999</v>
      </c>
    </row>
    <row r="1511" spans="2:6" x14ac:dyDescent="0.25">
      <c r="B1511" s="13" t="s">
        <v>3046</v>
      </c>
      <c r="C1511" s="15" t="str">
        <f>INDEX(CA[Marca],MATCH(Precios_Lista[[#This Row],[Tipo]],CA[Tipo],0))</f>
        <v>GENEBRE</v>
      </c>
      <c r="D1511" s="13" t="s">
        <v>127</v>
      </c>
      <c r="E1511" s="13" t="s">
        <v>3047</v>
      </c>
      <c r="F1511" s="43">
        <v>261.69</v>
      </c>
    </row>
    <row r="1512" spans="2:6" x14ac:dyDescent="0.25">
      <c r="B1512" s="13" t="s">
        <v>3048</v>
      </c>
      <c r="C1512" s="15" t="str">
        <f>INDEX(CA[Marca],MATCH(Precios_Lista[[#This Row],[Tipo]],CA[Tipo],0))</f>
        <v>GENEBRE</v>
      </c>
      <c r="D1512" s="13" t="s">
        <v>127</v>
      </c>
      <c r="E1512" s="13" t="s">
        <v>3049</v>
      </c>
      <c r="F1512" s="43">
        <v>419.58</v>
      </c>
    </row>
    <row r="1513" spans="2:6" x14ac:dyDescent="0.25">
      <c r="B1513" s="13" t="s">
        <v>3050</v>
      </c>
      <c r="C1513" s="15" t="str">
        <f>INDEX(CA[Marca],MATCH(Precios_Lista[[#This Row],[Tipo]],CA[Tipo],0))</f>
        <v>GENEBRE</v>
      </c>
      <c r="D1513" s="13" t="s">
        <v>127</v>
      </c>
      <c r="E1513" s="13" t="s">
        <v>3051</v>
      </c>
      <c r="F1513" s="43">
        <v>716.13</v>
      </c>
    </row>
    <row r="1514" spans="2:6" x14ac:dyDescent="0.25">
      <c r="B1514" s="13" t="s">
        <v>3052</v>
      </c>
      <c r="C1514" s="15" t="str">
        <f>INDEX(CA[Marca],MATCH(Precios_Lista[[#This Row],[Tipo]],CA[Tipo],0))</f>
        <v>GENEBRE</v>
      </c>
      <c r="D1514" s="13" t="s">
        <v>127</v>
      </c>
      <c r="E1514" s="13" t="s">
        <v>3053</v>
      </c>
      <c r="F1514" s="43">
        <v>163.71</v>
      </c>
    </row>
    <row r="1515" spans="2:6" x14ac:dyDescent="0.25">
      <c r="B1515" s="13" t="s">
        <v>3054</v>
      </c>
      <c r="C1515" s="15" t="str">
        <f>INDEX(CA[Marca],MATCH(Precios_Lista[[#This Row],[Tipo]],CA[Tipo],0))</f>
        <v>GENEBRE</v>
      </c>
      <c r="D1515" s="13" t="s">
        <v>127</v>
      </c>
      <c r="E1515" s="13" t="s">
        <v>3055</v>
      </c>
      <c r="F1515" s="43">
        <v>178.62</v>
      </c>
    </row>
    <row r="1516" spans="2:6" x14ac:dyDescent="0.25">
      <c r="B1516" s="13" t="s">
        <v>3056</v>
      </c>
      <c r="C1516" s="15" t="str">
        <f>INDEX(CA[Marca],MATCH(Precios_Lista[[#This Row],[Tipo]],CA[Tipo],0))</f>
        <v>GENEBRE</v>
      </c>
      <c r="D1516" s="13" t="s">
        <v>127</v>
      </c>
      <c r="E1516" s="13" t="s">
        <v>3057</v>
      </c>
      <c r="F1516" s="43">
        <v>225.42</v>
      </c>
    </row>
    <row r="1517" spans="2:6" x14ac:dyDescent="0.25">
      <c r="B1517" s="13" t="s">
        <v>3058</v>
      </c>
      <c r="C1517" s="15" t="str">
        <f>INDEX(CA[Marca],MATCH(Precios_Lista[[#This Row],[Tipo]],CA[Tipo],0))</f>
        <v>GENEBRE</v>
      </c>
      <c r="D1517" s="13" t="s">
        <v>127</v>
      </c>
      <c r="E1517" s="13" t="s">
        <v>3059</v>
      </c>
      <c r="F1517" s="43">
        <v>306.87</v>
      </c>
    </row>
    <row r="1518" spans="2:6" x14ac:dyDescent="0.25">
      <c r="B1518" s="13" t="s">
        <v>3060</v>
      </c>
      <c r="C1518" s="15" t="str">
        <f>INDEX(CA[Marca],MATCH(Precios_Lista[[#This Row],[Tipo]],CA[Tipo],0))</f>
        <v>GENEBRE</v>
      </c>
      <c r="D1518" s="13" t="s">
        <v>127</v>
      </c>
      <c r="E1518" s="13" t="s">
        <v>3061</v>
      </c>
      <c r="F1518" s="43">
        <v>359.37</v>
      </c>
    </row>
    <row r="1519" spans="2:6" x14ac:dyDescent="0.25">
      <c r="B1519" s="13" t="s">
        <v>3062</v>
      </c>
      <c r="C1519" s="15" t="str">
        <f>INDEX(CA[Marca],MATCH(Precios_Lista[[#This Row],[Tipo]],CA[Tipo],0))</f>
        <v>GENEBRE</v>
      </c>
      <c r="D1519" s="13" t="s">
        <v>127</v>
      </c>
      <c r="E1519" s="13" t="s">
        <v>3063</v>
      </c>
      <c r="F1519" s="43">
        <v>486.69</v>
      </c>
    </row>
    <row r="1520" spans="2:6" x14ac:dyDescent="0.25">
      <c r="B1520" s="13" t="s">
        <v>3064</v>
      </c>
      <c r="C1520" s="15" t="str">
        <f>INDEX(CA[Marca],MATCH(Precios_Lista[[#This Row],[Tipo]],CA[Tipo],0))</f>
        <v>GENEBRE</v>
      </c>
      <c r="D1520" s="13" t="s">
        <v>127</v>
      </c>
      <c r="E1520" s="13" t="s">
        <v>3065</v>
      </c>
      <c r="F1520" s="43">
        <v>128.01</v>
      </c>
    </row>
    <row r="1521" spans="2:6" x14ac:dyDescent="0.25">
      <c r="B1521" s="13" t="s">
        <v>3066</v>
      </c>
      <c r="C1521" s="15" t="str">
        <f>INDEX(CA[Marca],MATCH(Precios_Lista[[#This Row],[Tipo]],CA[Tipo],0))</f>
        <v>GENEBRE</v>
      </c>
      <c r="D1521" s="13" t="s">
        <v>127</v>
      </c>
      <c r="E1521" s="13" t="s">
        <v>3067</v>
      </c>
      <c r="F1521" s="43">
        <v>136.58000000000001</v>
      </c>
    </row>
    <row r="1522" spans="2:6" x14ac:dyDescent="0.25">
      <c r="B1522" s="13" t="s">
        <v>3068</v>
      </c>
      <c r="C1522" s="15" t="str">
        <f>INDEX(CA[Marca],MATCH(Precios_Lista[[#This Row],[Tipo]],CA[Tipo],0))</f>
        <v>GENEBRE</v>
      </c>
      <c r="D1522" s="13" t="s">
        <v>127</v>
      </c>
      <c r="E1522" s="13" t="s">
        <v>3069</v>
      </c>
      <c r="F1522" s="43">
        <v>154.86000000000001</v>
      </c>
    </row>
    <row r="1523" spans="2:6" x14ac:dyDescent="0.25">
      <c r="B1523" s="13" t="s">
        <v>3070</v>
      </c>
      <c r="C1523" s="15" t="str">
        <f>INDEX(CA[Marca],MATCH(Precios_Lista[[#This Row],[Tipo]],CA[Tipo],0))</f>
        <v>GENEBRE</v>
      </c>
      <c r="D1523" s="13" t="s">
        <v>127</v>
      </c>
      <c r="E1523" s="13" t="s">
        <v>3071</v>
      </c>
      <c r="F1523" s="43">
        <v>181.46</v>
      </c>
    </row>
    <row r="1524" spans="2:6" x14ac:dyDescent="0.25">
      <c r="B1524" s="13" t="s">
        <v>3072</v>
      </c>
      <c r="C1524" s="15" t="str">
        <f>INDEX(CA[Marca],MATCH(Precios_Lista[[#This Row],[Tipo]],CA[Tipo],0))</f>
        <v>GENEBRE</v>
      </c>
      <c r="D1524" s="13" t="s">
        <v>127</v>
      </c>
      <c r="E1524" s="13" t="s">
        <v>3073</v>
      </c>
      <c r="F1524" s="43">
        <v>227.86</v>
      </c>
    </row>
    <row r="1525" spans="2:6" x14ac:dyDescent="0.25">
      <c r="B1525" s="13" t="s">
        <v>3074</v>
      </c>
      <c r="C1525" s="15" t="str">
        <f>INDEX(CA[Marca],MATCH(Precios_Lista[[#This Row],[Tipo]],CA[Tipo],0))</f>
        <v>GENEBRE</v>
      </c>
      <c r="D1525" s="13" t="s">
        <v>127</v>
      </c>
      <c r="E1525" s="13" t="s">
        <v>3075</v>
      </c>
      <c r="F1525" s="43">
        <v>294.91000000000003</v>
      </c>
    </row>
    <row r="1526" spans="2:6" x14ac:dyDescent="0.25">
      <c r="B1526" s="13" t="s">
        <v>3076</v>
      </c>
      <c r="C1526" s="15" t="str">
        <f>INDEX(CA[Marca],MATCH(Precios_Lista[[#This Row],[Tipo]],CA[Tipo],0))</f>
        <v>GENEBRE</v>
      </c>
      <c r="D1526" s="13" t="s">
        <v>127</v>
      </c>
      <c r="E1526" s="13" t="s">
        <v>3077</v>
      </c>
      <c r="F1526" s="43">
        <v>408.65</v>
      </c>
    </row>
    <row r="1527" spans="2:6" x14ac:dyDescent="0.25">
      <c r="B1527" s="13" t="s">
        <v>3078</v>
      </c>
      <c r="C1527" s="15" t="str">
        <f>INDEX(CA[Marca],MATCH(Precios_Lista[[#This Row],[Tipo]],CA[Tipo],0))</f>
        <v>GENEBRE</v>
      </c>
      <c r="D1527" s="13" t="s">
        <v>127</v>
      </c>
      <c r="E1527" s="13" t="s">
        <v>3079</v>
      </c>
      <c r="F1527" s="43">
        <v>118.09</v>
      </c>
    </row>
    <row r="1528" spans="2:6" x14ac:dyDescent="0.25">
      <c r="B1528" s="13" t="s">
        <v>3080</v>
      </c>
      <c r="C1528" s="15" t="str">
        <f>INDEX(CA[Marca],MATCH(Precios_Lista[[#This Row],[Tipo]],CA[Tipo],0))</f>
        <v>GENEBRE</v>
      </c>
      <c r="D1528" s="13" t="s">
        <v>127</v>
      </c>
      <c r="E1528" s="13" t="s">
        <v>3081</v>
      </c>
      <c r="F1528" s="43">
        <v>130.79</v>
      </c>
    </row>
    <row r="1529" spans="2:6" x14ac:dyDescent="0.25">
      <c r="B1529" s="13" t="s">
        <v>3082</v>
      </c>
      <c r="C1529" s="15" t="str">
        <f>INDEX(CA[Marca],MATCH(Precios_Lista[[#This Row],[Tipo]],CA[Tipo],0))</f>
        <v>GENEBRE</v>
      </c>
      <c r="D1529" s="13" t="s">
        <v>127</v>
      </c>
      <c r="E1529" s="13" t="s">
        <v>3083</v>
      </c>
      <c r="F1529" s="43">
        <v>142.80000000000001</v>
      </c>
    </row>
    <row r="1530" spans="2:6" x14ac:dyDescent="0.25">
      <c r="B1530" s="13" t="s">
        <v>3084</v>
      </c>
      <c r="C1530" s="15" t="str">
        <f>INDEX(CA[Marca],MATCH(Precios_Lista[[#This Row],[Tipo]],CA[Tipo],0))</f>
        <v>GENEBRE</v>
      </c>
      <c r="D1530" s="13" t="s">
        <v>127</v>
      </c>
      <c r="E1530" s="13" t="s">
        <v>3085</v>
      </c>
      <c r="F1530" s="43">
        <v>165.38</v>
      </c>
    </row>
    <row r="1531" spans="2:6" x14ac:dyDescent="0.25">
      <c r="B1531" s="13" t="s">
        <v>3086</v>
      </c>
      <c r="C1531" s="15" t="str">
        <f>INDEX(CA[Marca],MATCH(Precios_Lista[[#This Row],[Tipo]],CA[Tipo],0))</f>
        <v>GENEBRE</v>
      </c>
      <c r="D1531" s="13" t="s">
        <v>127</v>
      </c>
      <c r="E1531" s="13" t="s">
        <v>3087</v>
      </c>
      <c r="F1531" s="43">
        <v>206.42</v>
      </c>
    </row>
    <row r="1532" spans="2:6" x14ac:dyDescent="0.25">
      <c r="B1532" s="13" t="s">
        <v>3088</v>
      </c>
      <c r="C1532" s="15" t="str">
        <f>INDEX(CA[Marca],MATCH(Precios_Lista[[#This Row],[Tipo]],CA[Tipo],0))</f>
        <v>GENEBRE</v>
      </c>
      <c r="D1532" s="13" t="s">
        <v>127</v>
      </c>
      <c r="E1532" s="13" t="s">
        <v>3089</v>
      </c>
      <c r="F1532" s="43">
        <v>272.35000000000002</v>
      </c>
    </row>
    <row r="1533" spans="2:6" x14ac:dyDescent="0.25">
      <c r="B1533" s="13" t="s">
        <v>3090</v>
      </c>
      <c r="C1533" s="15" t="str">
        <f>INDEX(CA[Marca],MATCH(Precios_Lista[[#This Row],[Tipo]],CA[Tipo],0))</f>
        <v>GENEBRE</v>
      </c>
      <c r="D1533" s="13" t="s">
        <v>127</v>
      </c>
      <c r="E1533" s="13" t="s">
        <v>3091</v>
      </c>
      <c r="F1533" s="43">
        <v>343.44</v>
      </c>
    </row>
    <row r="1534" spans="2:6" x14ac:dyDescent="0.25">
      <c r="B1534" s="13" t="s">
        <v>3092</v>
      </c>
      <c r="C1534" s="15" t="str">
        <f>INDEX(CA[Marca],MATCH(Precios_Lista[[#This Row],[Tipo]],CA[Tipo],0))</f>
        <v>GENEBRE</v>
      </c>
      <c r="D1534" s="13" t="s">
        <v>127</v>
      </c>
      <c r="E1534" s="13" t="s">
        <v>29182</v>
      </c>
      <c r="F1534" s="43">
        <v>103.52</v>
      </c>
    </row>
    <row r="1535" spans="2:6" x14ac:dyDescent="0.25">
      <c r="B1535" s="13" t="s">
        <v>3093</v>
      </c>
      <c r="C1535" s="15" t="str">
        <f>INDEX(CA[Marca],MATCH(Precios_Lista[[#This Row],[Tipo]],CA[Tipo],0))</f>
        <v>GENEBRE</v>
      </c>
      <c r="D1535" s="13" t="s">
        <v>127</v>
      </c>
      <c r="E1535" s="13" t="s">
        <v>29183</v>
      </c>
      <c r="F1535" s="43">
        <v>127.71</v>
      </c>
    </row>
    <row r="1536" spans="2:6" x14ac:dyDescent="0.25">
      <c r="B1536" s="13" t="s">
        <v>3094</v>
      </c>
      <c r="C1536" s="15" t="str">
        <f>INDEX(CA[Marca],MATCH(Precios_Lista[[#This Row],[Tipo]],CA[Tipo],0))</f>
        <v>GENEBRE</v>
      </c>
      <c r="D1536" s="13" t="s">
        <v>127</v>
      </c>
      <c r="E1536" s="13" t="s">
        <v>29184</v>
      </c>
      <c r="F1536" s="43">
        <v>136.09</v>
      </c>
    </row>
    <row r="1537" spans="2:6" x14ac:dyDescent="0.25">
      <c r="B1537" s="13" t="s">
        <v>3095</v>
      </c>
      <c r="C1537" s="15" t="str">
        <f>INDEX(CA[Marca],MATCH(Precios_Lista[[#This Row],[Tipo]],CA[Tipo],0))</f>
        <v>GENEBRE</v>
      </c>
      <c r="D1537" s="13" t="s">
        <v>127</v>
      </c>
      <c r="E1537" s="13" t="s">
        <v>29185</v>
      </c>
      <c r="F1537" s="43">
        <v>148.41</v>
      </c>
    </row>
    <row r="1538" spans="2:6" x14ac:dyDescent="0.25">
      <c r="B1538" s="13" t="s">
        <v>3096</v>
      </c>
      <c r="C1538" s="15" t="str">
        <f>INDEX(CA[Marca],MATCH(Precios_Lista[[#This Row],[Tipo]],CA[Tipo],0))</f>
        <v>GENEBRE</v>
      </c>
      <c r="D1538" s="13" t="s">
        <v>127</v>
      </c>
      <c r="E1538" s="13" t="s">
        <v>29186</v>
      </c>
      <c r="F1538" s="43">
        <v>181.11</v>
      </c>
    </row>
    <row r="1539" spans="2:6" x14ac:dyDescent="0.25">
      <c r="B1539" s="13" t="s">
        <v>3097</v>
      </c>
      <c r="C1539" s="15" t="str">
        <f>INDEX(CA[Marca],MATCH(Precios_Lista[[#This Row],[Tipo]],CA[Tipo],0))</f>
        <v>GENEBRE</v>
      </c>
      <c r="D1539" s="13" t="s">
        <v>127</v>
      </c>
      <c r="E1539" s="13" t="s">
        <v>29187</v>
      </c>
      <c r="F1539" s="43">
        <v>246.29</v>
      </c>
    </row>
    <row r="1540" spans="2:6" x14ac:dyDescent="0.25">
      <c r="B1540" s="13" t="s">
        <v>3098</v>
      </c>
      <c r="C1540" s="15" t="str">
        <f>INDEX(CA[Marca],MATCH(Precios_Lista[[#This Row],[Tipo]],CA[Tipo],0))</f>
        <v>GENEBRE</v>
      </c>
      <c r="D1540" s="13" t="s">
        <v>127</v>
      </c>
      <c r="E1540" s="13" t="s">
        <v>29188</v>
      </c>
      <c r="F1540" s="43">
        <v>284.20999999999998</v>
      </c>
    </row>
    <row r="1541" spans="2:6" x14ac:dyDescent="0.25">
      <c r="B1541" s="15">
        <v>2944</v>
      </c>
      <c r="C1541" s="15" t="str">
        <f>INDEX(CA[Marca],MATCH(Precios_Lista[[#This Row],[Tipo]],CA[Tipo],0))</f>
        <v>GENEBRE</v>
      </c>
      <c r="D1541" s="13" t="s">
        <v>127</v>
      </c>
      <c r="E1541" s="13" t="s">
        <v>3099</v>
      </c>
      <c r="F1541" s="43">
        <v>555.89</v>
      </c>
    </row>
    <row r="1542" spans="2:6" x14ac:dyDescent="0.25">
      <c r="B1542" s="13" t="s">
        <v>3100</v>
      </c>
      <c r="C1542" s="15" t="str">
        <f>INDEX(CA[Marca],MATCH(Precios_Lista[[#This Row],[Tipo]],CA[Tipo],0))</f>
        <v>GENEBRE</v>
      </c>
      <c r="D1542" s="13" t="s">
        <v>127</v>
      </c>
      <c r="E1542" s="13" t="s">
        <v>3101</v>
      </c>
      <c r="F1542" s="43">
        <v>146.88</v>
      </c>
    </row>
    <row r="1543" spans="2:6" x14ac:dyDescent="0.25">
      <c r="B1543" s="13" t="s">
        <v>3102</v>
      </c>
      <c r="C1543" s="15" t="str">
        <f>INDEX(CA[Marca],MATCH(Precios_Lista[[#This Row],[Tipo]],CA[Tipo],0))</f>
        <v>GENEBRE</v>
      </c>
      <c r="D1543" s="13" t="s">
        <v>127</v>
      </c>
      <c r="E1543" s="13" t="s">
        <v>3103</v>
      </c>
      <c r="F1543" s="43">
        <v>156.24</v>
      </c>
    </row>
    <row r="1544" spans="2:6" x14ac:dyDescent="0.25">
      <c r="B1544" s="13" t="s">
        <v>3104</v>
      </c>
      <c r="C1544" s="15" t="str">
        <f>INDEX(CA[Marca],MATCH(Precios_Lista[[#This Row],[Tipo]],CA[Tipo],0))</f>
        <v>GENEBRE</v>
      </c>
      <c r="D1544" s="13" t="s">
        <v>127</v>
      </c>
      <c r="E1544" s="13" t="s">
        <v>3105</v>
      </c>
      <c r="F1544" s="43">
        <v>170.22</v>
      </c>
    </row>
    <row r="1545" spans="2:6" x14ac:dyDescent="0.25">
      <c r="B1545" s="13" t="s">
        <v>3106</v>
      </c>
      <c r="C1545" s="15" t="str">
        <f>INDEX(CA[Marca],MATCH(Precios_Lista[[#This Row],[Tipo]],CA[Tipo],0))</f>
        <v>GENEBRE</v>
      </c>
      <c r="D1545" s="13" t="s">
        <v>127</v>
      </c>
      <c r="E1545" s="13" t="s">
        <v>3107</v>
      </c>
      <c r="F1545" s="43">
        <v>255.21</v>
      </c>
    </row>
    <row r="1546" spans="2:6" x14ac:dyDescent="0.25">
      <c r="B1546" s="13" t="s">
        <v>3108</v>
      </c>
      <c r="C1546" s="15" t="str">
        <f>INDEX(CA[Marca],MATCH(Precios_Lista[[#This Row],[Tipo]],CA[Tipo],0))</f>
        <v>GENEBRE</v>
      </c>
      <c r="D1546" s="13" t="s">
        <v>127</v>
      </c>
      <c r="E1546" s="13" t="s">
        <v>3109</v>
      </c>
      <c r="F1546" s="43">
        <v>382.8</v>
      </c>
    </row>
    <row r="1547" spans="2:6" x14ac:dyDescent="0.25">
      <c r="B1547" s="13" t="s">
        <v>3110</v>
      </c>
      <c r="C1547" s="15" t="str">
        <f>INDEX(CA[Marca],MATCH(Precios_Lista[[#This Row],[Tipo]],CA[Tipo],0))</f>
        <v>GENEBRE</v>
      </c>
      <c r="D1547" s="13" t="s">
        <v>127</v>
      </c>
      <c r="E1547" s="13" t="s">
        <v>3111</v>
      </c>
      <c r="F1547" s="43">
        <v>0</v>
      </c>
    </row>
    <row r="1548" spans="2:6" x14ac:dyDescent="0.25">
      <c r="B1548" s="13" t="s">
        <v>3112</v>
      </c>
      <c r="C1548" s="15" t="str">
        <f>INDEX(CA[Marca],MATCH(Precios_Lista[[#This Row],[Tipo]],CA[Tipo],0))</f>
        <v>GENEBRE</v>
      </c>
      <c r="D1548" s="13" t="s">
        <v>127</v>
      </c>
      <c r="E1548" s="13" t="s">
        <v>3113</v>
      </c>
      <c r="F1548" s="43">
        <v>0</v>
      </c>
    </row>
    <row r="1549" spans="2:6" x14ac:dyDescent="0.25">
      <c r="B1549" s="13" t="s">
        <v>3114</v>
      </c>
      <c r="C1549" s="15" t="str">
        <f>INDEX(CA[Marca],MATCH(Precios_Lista[[#This Row],[Tipo]],CA[Tipo],0))</f>
        <v>GENEBRE</v>
      </c>
      <c r="D1549" s="13" t="s">
        <v>127</v>
      </c>
      <c r="E1549" s="13" t="s">
        <v>3115</v>
      </c>
      <c r="F1549" s="43">
        <v>996.93</v>
      </c>
    </row>
    <row r="1550" spans="2:6" x14ac:dyDescent="0.25">
      <c r="B1550" s="15" t="s">
        <v>3116</v>
      </c>
      <c r="C1550" s="15" t="str">
        <f>INDEX(CA[Marca],MATCH(Precios_Lista[[#This Row],[Tipo]],CA[Tipo],0))</f>
        <v>GENEBRE</v>
      </c>
      <c r="D1550" s="13" t="s">
        <v>127</v>
      </c>
      <c r="E1550" s="13" t="s">
        <v>3117</v>
      </c>
      <c r="F1550" s="43">
        <v>91.02</v>
      </c>
    </row>
    <row r="1551" spans="2:6" x14ac:dyDescent="0.25">
      <c r="B1551" s="13" t="s">
        <v>3118</v>
      </c>
      <c r="C1551" s="15" t="str">
        <f>INDEX(CA[Marca],MATCH(Precios_Lista[[#This Row],[Tipo]],CA[Tipo],0))</f>
        <v>GENEBRE</v>
      </c>
      <c r="D1551" s="13" t="s">
        <v>127</v>
      </c>
      <c r="E1551" s="13" t="s">
        <v>3119</v>
      </c>
      <c r="F1551" s="43">
        <v>110.4</v>
      </c>
    </row>
    <row r="1552" spans="2:6" x14ac:dyDescent="0.25">
      <c r="B1552" s="13" t="s">
        <v>3120</v>
      </c>
      <c r="C1552" s="15" t="str">
        <f>INDEX(CA[Marca],MATCH(Precios_Lista[[#This Row],[Tipo]],CA[Tipo],0))</f>
        <v>GENEBRE</v>
      </c>
      <c r="D1552" s="13" t="s">
        <v>127</v>
      </c>
      <c r="E1552" s="13" t="s">
        <v>3121</v>
      </c>
      <c r="F1552" s="43">
        <v>218.58</v>
      </c>
    </row>
    <row r="1553" spans="2:6" x14ac:dyDescent="0.25">
      <c r="B1553" s="13" t="s">
        <v>3122</v>
      </c>
      <c r="C1553" s="15" t="str">
        <f>INDEX(CA[Marca],MATCH(Precios_Lista[[#This Row],[Tipo]],CA[Tipo],0))</f>
        <v>GENEBRE</v>
      </c>
      <c r="D1553" s="13" t="s">
        <v>127</v>
      </c>
      <c r="E1553" s="13" t="s">
        <v>3123</v>
      </c>
      <c r="F1553" s="43">
        <v>334.53</v>
      </c>
    </row>
    <row r="1554" spans="2:6" x14ac:dyDescent="0.25">
      <c r="B1554" s="13" t="s">
        <v>3124</v>
      </c>
      <c r="C1554" s="15" t="str">
        <f>INDEX(CA[Marca],MATCH(Precios_Lista[[#This Row],[Tipo]],CA[Tipo],0))</f>
        <v>GENEBRE</v>
      </c>
      <c r="D1554" s="13" t="s">
        <v>127</v>
      </c>
      <c r="E1554" s="13" t="s">
        <v>3125</v>
      </c>
      <c r="F1554" s="43">
        <v>14.31</v>
      </c>
    </row>
    <row r="1555" spans="2:6" x14ac:dyDescent="0.25">
      <c r="B1555" s="13" t="s">
        <v>3126</v>
      </c>
      <c r="C1555" s="15" t="str">
        <f>INDEX(CA[Marca],MATCH(Precios_Lista[[#This Row],[Tipo]],CA[Tipo],0))</f>
        <v>GENEBRE</v>
      </c>
      <c r="D1555" s="13" t="s">
        <v>127</v>
      </c>
      <c r="E1555" s="13" t="s">
        <v>3127</v>
      </c>
      <c r="F1555" s="43">
        <v>14.31</v>
      </c>
    </row>
    <row r="1556" spans="2:6" x14ac:dyDescent="0.25">
      <c r="B1556" s="13" t="s">
        <v>3128</v>
      </c>
      <c r="C1556" s="15" t="str">
        <f>INDEX(CA[Marca],MATCH(Precios_Lista[[#This Row],[Tipo]],CA[Tipo],0))</f>
        <v>GENEBRE</v>
      </c>
      <c r="D1556" s="13" t="s">
        <v>127</v>
      </c>
      <c r="E1556" s="13" t="s">
        <v>3129</v>
      </c>
      <c r="F1556" s="43">
        <v>11.97</v>
      </c>
    </row>
    <row r="1557" spans="2:6" x14ac:dyDescent="0.25">
      <c r="B1557" s="13" t="s">
        <v>3130</v>
      </c>
      <c r="C1557" s="15" t="str">
        <f>INDEX(CA[Marca],MATCH(Precios_Lista[[#This Row],[Tipo]],CA[Tipo],0))</f>
        <v>GENEBRE</v>
      </c>
      <c r="D1557" s="13" t="s">
        <v>127</v>
      </c>
      <c r="E1557" s="13" t="s">
        <v>3131</v>
      </c>
      <c r="F1557" s="43">
        <v>11.97</v>
      </c>
    </row>
    <row r="1558" spans="2:6" x14ac:dyDescent="0.25">
      <c r="B1558" s="13" t="s">
        <v>3132</v>
      </c>
      <c r="C1558" s="15" t="str">
        <f>INDEX(CA[Marca],MATCH(Precios_Lista[[#This Row],[Tipo]],CA[Tipo],0))</f>
        <v>GENEBRE</v>
      </c>
      <c r="D1558" s="13" t="s">
        <v>127</v>
      </c>
      <c r="E1558" s="13" t="s">
        <v>3133</v>
      </c>
      <c r="F1558" s="43">
        <v>15.57</v>
      </c>
    </row>
    <row r="1559" spans="2:6" x14ac:dyDescent="0.25">
      <c r="B1559" s="13" t="s">
        <v>3134</v>
      </c>
      <c r="C1559" s="15" t="str">
        <f>INDEX(CA[Marca],MATCH(Precios_Lista[[#This Row],[Tipo]],CA[Tipo],0))</f>
        <v>GENEBRE</v>
      </c>
      <c r="D1559" s="13" t="s">
        <v>127</v>
      </c>
      <c r="E1559" s="13" t="s">
        <v>3135</v>
      </c>
      <c r="F1559" s="43">
        <v>21.75</v>
      </c>
    </row>
    <row r="1560" spans="2:6" x14ac:dyDescent="0.25">
      <c r="B1560" s="13" t="s">
        <v>3136</v>
      </c>
      <c r="C1560" s="15" t="str">
        <f>INDEX(CA[Marca],MATCH(Precios_Lista[[#This Row],[Tipo]],CA[Tipo],0))</f>
        <v>GENEBRE</v>
      </c>
      <c r="D1560" s="13" t="s">
        <v>127</v>
      </c>
      <c r="E1560" s="13" t="s">
        <v>3137</v>
      </c>
      <c r="F1560" s="43">
        <v>26.07</v>
      </c>
    </row>
    <row r="1561" spans="2:6" x14ac:dyDescent="0.25">
      <c r="B1561" s="13" t="s">
        <v>3138</v>
      </c>
      <c r="C1561" s="15" t="str">
        <f>INDEX(CA[Marca],MATCH(Precios_Lista[[#This Row],[Tipo]],CA[Tipo],0))</f>
        <v>GENEBRE</v>
      </c>
      <c r="D1561" s="13" t="s">
        <v>127</v>
      </c>
      <c r="E1561" s="13" t="s">
        <v>3139</v>
      </c>
      <c r="F1561" s="43">
        <v>37.770000000000003</v>
      </c>
    </row>
    <row r="1562" spans="2:6" x14ac:dyDescent="0.25">
      <c r="B1562" s="13" t="s">
        <v>3140</v>
      </c>
      <c r="C1562" s="15" t="str">
        <f>INDEX(CA[Marca],MATCH(Precios_Lista[[#This Row],[Tipo]],CA[Tipo],0))</f>
        <v>GENEBRE</v>
      </c>
      <c r="D1562" s="13" t="s">
        <v>127</v>
      </c>
      <c r="E1562" s="13" t="s">
        <v>3141</v>
      </c>
      <c r="F1562" s="43">
        <v>10.47</v>
      </c>
    </row>
    <row r="1563" spans="2:6" x14ac:dyDescent="0.25">
      <c r="B1563" s="13" t="s">
        <v>3142</v>
      </c>
      <c r="C1563" s="15" t="str">
        <f>INDEX(CA[Marca],MATCH(Precios_Lista[[#This Row],[Tipo]],CA[Tipo],0))</f>
        <v>GENEBRE</v>
      </c>
      <c r="D1563" s="13" t="s">
        <v>127</v>
      </c>
      <c r="E1563" s="13" t="s">
        <v>3143</v>
      </c>
      <c r="F1563" s="43">
        <v>9</v>
      </c>
    </row>
    <row r="1564" spans="2:6" x14ac:dyDescent="0.25">
      <c r="B1564" s="13" t="s">
        <v>3144</v>
      </c>
      <c r="C1564" s="15" t="str">
        <f>INDEX(CA[Marca],MATCH(Precios_Lista[[#This Row],[Tipo]],CA[Tipo],0))</f>
        <v>GENEBRE</v>
      </c>
      <c r="D1564" s="13" t="s">
        <v>127</v>
      </c>
      <c r="E1564" s="13" t="s">
        <v>3145</v>
      </c>
      <c r="F1564" s="43">
        <v>9</v>
      </c>
    </row>
    <row r="1565" spans="2:6" x14ac:dyDescent="0.25">
      <c r="B1565" s="13" t="s">
        <v>3146</v>
      </c>
      <c r="C1565" s="15" t="str">
        <f>INDEX(CA[Marca],MATCH(Precios_Lista[[#This Row],[Tipo]],CA[Tipo],0))</f>
        <v>GENEBRE</v>
      </c>
      <c r="D1565" s="13" t="s">
        <v>127</v>
      </c>
      <c r="E1565" s="13" t="s">
        <v>3147</v>
      </c>
      <c r="F1565" s="43">
        <v>13.08</v>
      </c>
    </row>
    <row r="1566" spans="2:6" x14ac:dyDescent="0.25">
      <c r="B1566" s="13" t="s">
        <v>3148</v>
      </c>
      <c r="C1566" s="15" t="str">
        <f>INDEX(CA[Marca],MATCH(Precios_Lista[[#This Row],[Tipo]],CA[Tipo],0))</f>
        <v>GENEBRE</v>
      </c>
      <c r="D1566" s="13" t="s">
        <v>127</v>
      </c>
      <c r="E1566" s="13" t="s">
        <v>3149</v>
      </c>
      <c r="F1566" s="43">
        <v>17.25</v>
      </c>
    </row>
    <row r="1567" spans="2:6" x14ac:dyDescent="0.25">
      <c r="B1567" s="13" t="s">
        <v>3150</v>
      </c>
      <c r="C1567" s="15" t="str">
        <f>INDEX(CA[Marca],MATCH(Precios_Lista[[#This Row],[Tipo]],CA[Tipo],0))</f>
        <v>GENEBRE</v>
      </c>
      <c r="D1567" s="13" t="s">
        <v>127</v>
      </c>
      <c r="E1567" s="13" t="s">
        <v>3151</v>
      </c>
      <c r="F1567" s="43">
        <v>22.62</v>
      </c>
    </row>
    <row r="1568" spans="2:6" x14ac:dyDescent="0.25">
      <c r="B1568" s="13" t="s">
        <v>3152</v>
      </c>
      <c r="C1568" s="15" t="str">
        <f>INDEX(CA[Marca],MATCH(Precios_Lista[[#This Row],[Tipo]],CA[Tipo],0))</f>
        <v>GENEBRE</v>
      </c>
      <c r="D1568" s="13" t="s">
        <v>127</v>
      </c>
      <c r="E1568" s="13" t="s">
        <v>3153</v>
      </c>
      <c r="F1568" s="43">
        <v>40.409999999999997</v>
      </c>
    </row>
    <row r="1569" spans="2:6" x14ac:dyDescent="0.25">
      <c r="B1569" s="13" t="s">
        <v>3154</v>
      </c>
      <c r="C1569" s="15" t="str">
        <f>INDEX(CA[Marca],MATCH(Precios_Lista[[#This Row],[Tipo]],CA[Tipo],0))</f>
        <v>GENEBRE</v>
      </c>
      <c r="D1569" s="13" t="s">
        <v>127</v>
      </c>
      <c r="E1569" s="13" t="s">
        <v>3155</v>
      </c>
      <c r="F1569" s="43">
        <v>42.36</v>
      </c>
    </row>
    <row r="1570" spans="2:6" x14ac:dyDescent="0.25">
      <c r="B1570" s="13" t="s">
        <v>3156</v>
      </c>
      <c r="C1570" s="15" t="str">
        <f>INDEX(CA[Marca],MATCH(Precios_Lista[[#This Row],[Tipo]],CA[Tipo],0))</f>
        <v>GENEBRE</v>
      </c>
      <c r="D1570" s="13" t="s">
        <v>127</v>
      </c>
      <c r="E1570" s="13" t="s">
        <v>3157</v>
      </c>
      <c r="F1570" s="43">
        <v>51.6</v>
      </c>
    </row>
    <row r="1571" spans="2:6" x14ac:dyDescent="0.25">
      <c r="B1571" s="13" t="s">
        <v>3158</v>
      </c>
      <c r="C1571" s="15" t="str">
        <f>INDEX(CA[Marca],MATCH(Precios_Lista[[#This Row],[Tipo]],CA[Tipo],0))</f>
        <v>GENEBRE</v>
      </c>
      <c r="D1571" s="13" t="s">
        <v>127</v>
      </c>
      <c r="E1571" s="13" t="s">
        <v>3159</v>
      </c>
      <c r="F1571" s="43">
        <v>65.91</v>
      </c>
    </row>
    <row r="1572" spans="2:6" x14ac:dyDescent="0.25">
      <c r="B1572" s="13" t="s">
        <v>3160</v>
      </c>
      <c r="C1572" s="15" t="str">
        <f>INDEX(CA[Marca],MATCH(Precios_Lista[[#This Row],[Tipo]],CA[Tipo],0))</f>
        <v>GENEBRE</v>
      </c>
      <c r="D1572" s="13" t="s">
        <v>127</v>
      </c>
      <c r="E1572" s="13" t="s">
        <v>3161</v>
      </c>
      <c r="F1572" s="43">
        <v>97.35</v>
      </c>
    </row>
    <row r="1573" spans="2:6" x14ac:dyDescent="0.25">
      <c r="B1573" s="13" t="s">
        <v>3162</v>
      </c>
      <c r="C1573" s="15" t="str">
        <f>INDEX(CA[Marca],MATCH(Precios_Lista[[#This Row],[Tipo]],CA[Tipo],0))</f>
        <v>GENEBRE</v>
      </c>
      <c r="D1573" s="13" t="s">
        <v>127</v>
      </c>
      <c r="E1573" s="13" t="s">
        <v>3163</v>
      </c>
      <c r="F1573" s="43">
        <v>122.7</v>
      </c>
    </row>
    <row r="1574" spans="2:6" x14ac:dyDescent="0.25">
      <c r="B1574" s="13" t="s">
        <v>3164</v>
      </c>
      <c r="C1574" s="15" t="str">
        <f>INDEX(CA[Marca],MATCH(Precios_Lista[[#This Row],[Tipo]],CA[Tipo],0))</f>
        <v>GENEBRE</v>
      </c>
      <c r="D1574" s="13" t="s">
        <v>127</v>
      </c>
      <c r="E1574" s="13" t="s">
        <v>3165</v>
      </c>
      <c r="F1574" s="43">
        <v>202.53</v>
      </c>
    </row>
    <row r="1575" spans="2:6" x14ac:dyDescent="0.25">
      <c r="B1575" s="13" t="s">
        <v>3166</v>
      </c>
      <c r="C1575" s="15" t="str">
        <f>INDEX(CA[Marca],MATCH(Precios_Lista[[#This Row],[Tipo]],CA[Tipo],0))</f>
        <v>GENEBRE</v>
      </c>
      <c r="D1575" s="13" t="s">
        <v>127</v>
      </c>
      <c r="E1575" s="13" t="s">
        <v>3167</v>
      </c>
      <c r="F1575" s="43">
        <v>42.36</v>
      </c>
    </row>
    <row r="1576" spans="2:6" x14ac:dyDescent="0.25">
      <c r="B1576" s="13" t="s">
        <v>3168</v>
      </c>
      <c r="C1576" s="15" t="str">
        <f>INDEX(CA[Marca],MATCH(Precios_Lista[[#This Row],[Tipo]],CA[Tipo],0))</f>
        <v>GENEBRE</v>
      </c>
      <c r="D1576" s="13" t="s">
        <v>127</v>
      </c>
      <c r="E1576" s="13" t="s">
        <v>3169</v>
      </c>
      <c r="F1576" s="43">
        <v>51.6</v>
      </c>
    </row>
    <row r="1577" spans="2:6" x14ac:dyDescent="0.25">
      <c r="B1577" s="13" t="s">
        <v>3170</v>
      </c>
      <c r="C1577" s="15" t="str">
        <f>INDEX(CA[Marca],MATCH(Precios_Lista[[#This Row],[Tipo]],CA[Tipo],0))</f>
        <v>GENEBRE</v>
      </c>
      <c r="D1577" s="13" t="s">
        <v>127</v>
      </c>
      <c r="E1577" s="13" t="s">
        <v>3171</v>
      </c>
      <c r="F1577" s="43">
        <v>64.62</v>
      </c>
    </row>
    <row r="1578" spans="2:6" x14ac:dyDescent="0.25">
      <c r="B1578" s="13" t="s">
        <v>3172</v>
      </c>
      <c r="C1578" s="15" t="str">
        <f>INDEX(CA[Marca],MATCH(Precios_Lista[[#This Row],[Tipo]],CA[Tipo],0))</f>
        <v>GENEBRE</v>
      </c>
      <c r="D1578" s="13" t="s">
        <v>127</v>
      </c>
      <c r="E1578" s="13" t="s">
        <v>3173</v>
      </c>
      <c r="F1578" s="43">
        <v>87.36</v>
      </c>
    </row>
    <row r="1579" spans="2:6" x14ac:dyDescent="0.25">
      <c r="B1579" s="13" t="s">
        <v>3174</v>
      </c>
      <c r="C1579" s="15" t="str">
        <f>INDEX(CA[Marca],MATCH(Precios_Lista[[#This Row],[Tipo]],CA[Tipo],0))</f>
        <v>GENEBRE</v>
      </c>
      <c r="D1579" s="13" t="s">
        <v>127</v>
      </c>
      <c r="E1579" s="13" t="s">
        <v>3175</v>
      </c>
      <c r="F1579" s="43">
        <v>122.7</v>
      </c>
    </row>
    <row r="1580" spans="2:6" x14ac:dyDescent="0.25">
      <c r="B1580" s="13" t="s">
        <v>3176</v>
      </c>
      <c r="C1580" s="15" t="str">
        <f>INDEX(CA[Marca],MATCH(Precios_Lista[[#This Row],[Tipo]],CA[Tipo],0))</f>
        <v>GENEBRE</v>
      </c>
      <c r="D1580" s="13" t="s">
        <v>127</v>
      </c>
      <c r="E1580" s="13" t="s">
        <v>3177</v>
      </c>
      <c r="F1580" s="43">
        <v>202.53</v>
      </c>
    </row>
    <row r="1581" spans="2:6" x14ac:dyDescent="0.25">
      <c r="B1581" s="13" t="s">
        <v>3178</v>
      </c>
      <c r="C1581" s="15" t="str">
        <f>INDEX(CA[Marca],MATCH(Precios_Lista[[#This Row],[Tipo]],CA[Tipo],0))</f>
        <v>GENEBRE</v>
      </c>
      <c r="D1581" s="13" t="s">
        <v>127</v>
      </c>
      <c r="E1581" s="13" t="s">
        <v>3179</v>
      </c>
      <c r="F1581" s="43">
        <v>62.73</v>
      </c>
    </row>
    <row r="1582" spans="2:6" x14ac:dyDescent="0.25">
      <c r="B1582" s="13" t="s">
        <v>3180</v>
      </c>
      <c r="C1582" s="15" t="str">
        <f>INDEX(CA[Marca],MATCH(Precios_Lista[[#This Row],[Tipo]],CA[Tipo],0))</f>
        <v>GENEBRE</v>
      </c>
      <c r="D1582" s="13" t="s">
        <v>127</v>
      </c>
      <c r="E1582" s="13" t="s">
        <v>3181</v>
      </c>
      <c r="F1582" s="43">
        <v>70.47</v>
      </c>
    </row>
    <row r="1583" spans="2:6" x14ac:dyDescent="0.25">
      <c r="B1583" s="13" t="s">
        <v>3182</v>
      </c>
      <c r="C1583" s="15" t="str">
        <f>INDEX(CA[Marca],MATCH(Precios_Lista[[#This Row],[Tipo]],CA[Tipo],0))</f>
        <v>GENEBRE</v>
      </c>
      <c r="D1583" s="13" t="s">
        <v>127</v>
      </c>
      <c r="E1583" s="13" t="s">
        <v>3183</v>
      </c>
      <c r="F1583" s="43">
        <v>95.91</v>
      </c>
    </row>
    <row r="1584" spans="2:6" x14ac:dyDescent="0.25">
      <c r="B1584" s="13" t="s">
        <v>3184</v>
      </c>
      <c r="C1584" s="15" t="str">
        <f>INDEX(CA[Marca],MATCH(Precios_Lista[[#This Row],[Tipo]],CA[Tipo],0))</f>
        <v>GENEBRE</v>
      </c>
      <c r="D1584" s="13" t="s">
        <v>127</v>
      </c>
      <c r="E1584" s="13" t="s">
        <v>3185</v>
      </c>
      <c r="F1584" s="43">
        <v>127.71</v>
      </c>
    </row>
    <row r="1585" spans="2:6" x14ac:dyDescent="0.25">
      <c r="B1585" s="13" t="s">
        <v>3186</v>
      </c>
      <c r="C1585" s="15" t="str">
        <f>INDEX(CA[Marca],MATCH(Precios_Lista[[#This Row],[Tipo]],CA[Tipo],0))</f>
        <v>GENEBRE</v>
      </c>
      <c r="D1585" s="13" t="s">
        <v>127</v>
      </c>
      <c r="E1585" s="13" t="s">
        <v>3187</v>
      </c>
      <c r="F1585" s="43">
        <v>161.61000000000001</v>
      </c>
    </row>
    <row r="1586" spans="2:6" x14ac:dyDescent="0.25">
      <c r="B1586" s="13" t="s">
        <v>3188</v>
      </c>
      <c r="C1586" s="15" t="str">
        <f>INDEX(CA[Marca],MATCH(Precios_Lista[[#This Row],[Tipo]],CA[Tipo],0))</f>
        <v>GENEBRE</v>
      </c>
      <c r="D1586" s="13" t="s">
        <v>127</v>
      </c>
      <c r="E1586" s="13" t="s">
        <v>3189</v>
      </c>
      <c r="F1586" s="43">
        <v>270.14999999999998</v>
      </c>
    </row>
    <row r="1587" spans="2:6" x14ac:dyDescent="0.25">
      <c r="B1587" s="13" t="s">
        <v>3190</v>
      </c>
      <c r="C1587" s="15" t="str">
        <f>INDEX(CA[Marca],MATCH(Precios_Lista[[#This Row],[Tipo]],CA[Tipo],0))</f>
        <v>GENEBRE</v>
      </c>
      <c r="D1587" s="13" t="s">
        <v>127</v>
      </c>
      <c r="E1587" s="13" t="s">
        <v>3191</v>
      </c>
      <c r="F1587" s="43">
        <v>14.28</v>
      </c>
    </row>
    <row r="1588" spans="2:6" x14ac:dyDescent="0.25">
      <c r="B1588" s="13" t="s">
        <v>3192</v>
      </c>
      <c r="C1588" s="15" t="str">
        <f>INDEX(CA[Marca],MATCH(Precios_Lista[[#This Row],[Tipo]],CA[Tipo],0))</f>
        <v>GENEBRE</v>
      </c>
      <c r="D1588" s="13" t="s">
        <v>127</v>
      </c>
      <c r="E1588" s="13" t="s">
        <v>3193</v>
      </c>
      <c r="F1588" s="43">
        <v>14.28</v>
      </c>
    </row>
    <row r="1589" spans="2:6" x14ac:dyDescent="0.25">
      <c r="B1589" s="13" t="s">
        <v>3194</v>
      </c>
      <c r="C1589" s="15" t="str">
        <f>INDEX(CA[Marca],MATCH(Precios_Lista[[#This Row],[Tipo]],CA[Tipo],0))</f>
        <v>GENEBRE</v>
      </c>
      <c r="D1589" s="13" t="s">
        <v>127</v>
      </c>
      <c r="E1589" s="13" t="s">
        <v>3195</v>
      </c>
      <c r="F1589" s="43">
        <v>17.28</v>
      </c>
    </row>
    <row r="1590" spans="2:6" x14ac:dyDescent="0.25">
      <c r="B1590" s="13" t="s">
        <v>3196</v>
      </c>
      <c r="C1590" s="15" t="str">
        <f>INDEX(CA[Marca],MATCH(Precios_Lista[[#This Row],[Tipo]],CA[Tipo],0))</f>
        <v>GENEBRE</v>
      </c>
      <c r="D1590" s="13" t="s">
        <v>127</v>
      </c>
      <c r="E1590" s="13" t="s">
        <v>3197</v>
      </c>
      <c r="F1590" s="43">
        <v>21.51</v>
      </c>
    </row>
    <row r="1591" spans="2:6" x14ac:dyDescent="0.25">
      <c r="B1591" s="13" t="s">
        <v>3198</v>
      </c>
      <c r="C1591" s="15" t="str">
        <f>INDEX(CA[Marca],MATCH(Precios_Lista[[#This Row],[Tipo]],CA[Tipo],0))</f>
        <v>GENEBRE</v>
      </c>
      <c r="D1591" s="13" t="s">
        <v>127</v>
      </c>
      <c r="E1591" s="13" t="s">
        <v>3199</v>
      </c>
      <c r="F1591" s="43">
        <v>25.8</v>
      </c>
    </row>
    <row r="1592" spans="2:6" x14ac:dyDescent="0.25">
      <c r="B1592" s="13" t="s">
        <v>3200</v>
      </c>
      <c r="C1592" s="15" t="str">
        <f>INDEX(CA[Marca],MATCH(Precios_Lista[[#This Row],[Tipo]],CA[Tipo],0))</f>
        <v>GENEBRE</v>
      </c>
      <c r="D1592" s="13" t="s">
        <v>127</v>
      </c>
      <c r="E1592" s="13" t="s">
        <v>3201</v>
      </c>
      <c r="F1592" s="43">
        <v>32.67</v>
      </c>
    </row>
    <row r="1593" spans="2:6" x14ac:dyDescent="0.25">
      <c r="B1593" s="13" t="s">
        <v>3202</v>
      </c>
      <c r="C1593" s="15" t="str">
        <f>INDEX(CA[Marca],MATCH(Precios_Lista[[#This Row],[Tipo]],CA[Tipo],0))</f>
        <v>GENEBRE</v>
      </c>
      <c r="D1593" s="13" t="s">
        <v>127</v>
      </c>
      <c r="E1593" s="13" t="s">
        <v>3203</v>
      </c>
      <c r="F1593" s="43">
        <v>0.87</v>
      </c>
    </row>
    <row r="1594" spans="2:6" x14ac:dyDescent="0.25">
      <c r="B1594" s="13" t="s">
        <v>3204</v>
      </c>
      <c r="C1594" s="15" t="str">
        <f>INDEX(CA[Marca],MATCH(Precios_Lista[[#This Row],[Tipo]],CA[Tipo],0))</f>
        <v>GENEBRE</v>
      </c>
      <c r="D1594" s="13" t="s">
        <v>127</v>
      </c>
      <c r="E1594" s="13" t="s">
        <v>3205</v>
      </c>
      <c r="F1594" s="43">
        <v>1.23</v>
      </c>
    </row>
    <row r="1595" spans="2:6" x14ac:dyDescent="0.25">
      <c r="B1595" s="13" t="s">
        <v>3206</v>
      </c>
      <c r="C1595" s="15" t="str">
        <f>INDEX(CA[Marca],MATCH(Precios_Lista[[#This Row],[Tipo]],CA[Tipo],0))</f>
        <v>GENEBRE</v>
      </c>
      <c r="D1595" s="13" t="s">
        <v>127</v>
      </c>
      <c r="E1595" s="13" t="s">
        <v>3207</v>
      </c>
      <c r="F1595" s="43">
        <v>1.23</v>
      </c>
    </row>
    <row r="1596" spans="2:6" x14ac:dyDescent="0.25">
      <c r="B1596" s="13" t="s">
        <v>3208</v>
      </c>
      <c r="C1596" s="15" t="str">
        <f>INDEX(CA[Marca],MATCH(Precios_Lista[[#This Row],[Tipo]],CA[Tipo],0))</f>
        <v>GENEBRE</v>
      </c>
      <c r="D1596" s="13" t="s">
        <v>127</v>
      </c>
      <c r="E1596" s="13" t="s">
        <v>3209</v>
      </c>
      <c r="F1596" s="43">
        <v>1.23</v>
      </c>
    </row>
    <row r="1597" spans="2:6" x14ac:dyDescent="0.25">
      <c r="B1597" s="13" t="s">
        <v>3210</v>
      </c>
      <c r="C1597" s="15" t="str">
        <f>INDEX(CA[Marca],MATCH(Precios_Lista[[#This Row],[Tipo]],CA[Tipo],0))</f>
        <v>GENEBRE</v>
      </c>
      <c r="D1597" s="13" t="s">
        <v>127</v>
      </c>
      <c r="E1597" s="13" t="s">
        <v>3211</v>
      </c>
      <c r="F1597" s="43">
        <v>1.38</v>
      </c>
    </row>
    <row r="1598" spans="2:6" x14ac:dyDescent="0.25">
      <c r="B1598" s="13" t="s">
        <v>3212</v>
      </c>
      <c r="C1598" s="15" t="str">
        <f>INDEX(CA[Marca],MATCH(Precios_Lista[[#This Row],[Tipo]],CA[Tipo],0))</f>
        <v>GENEBRE</v>
      </c>
      <c r="D1598" s="13" t="s">
        <v>127</v>
      </c>
      <c r="E1598" s="13" t="s">
        <v>3213</v>
      </c>
      <c r="F1598" s="43">
        <v>1.71</v>
      </c>
    </row>
    <row r="1599" spans="2:6" x14ac:dyDescent="0.25">
      <c r="B1599" s="13" t="s">
        <v>3214</v>
      </c>
      <c r="C1599" s="15" t="str">
        <f>INDEX(CA[Marca],MATCH(Precios_Lista[[#This Row],[Tipo]],CA[Tipo],0))</f>
        <v>GENEBRE</v>
      </c>
      <c r="D1599" s="13" t="s">
        <v>127</v>
      </c>
      <c r="E1599" s="13" t="s">
        <v>3215</v>
      </c>
      <c r="F1599" s="43">
        <v>2.1</v>
      </c>
    </row>
    <row r="1600" spans="2:6" x14ac:dyDescent="0.25">
      <c r="B1600" s="13" t="s">
        <v>3216</v>
      </c>
      <c r="C1600" s="15" t="str">
        <f>INDEX(CA[Marca],MATCH(Precios_Lista[[#This Row],[Tipo]],CA[Tipo],0))</f>
        <v>GENEBRE</v>
      </c>
      <c r="D1600" s="13" t="s">
        <v>127</v>
      </c>
      <c r="E1600" s="13" t="s">
        <v>3217</v>
      </c>
      <c r="F1600" s="43">
        <v>3.48</v>
      </c>
    </row>
    <row r="1601" spans="2:6" x14ac:dyDescent="0.25">
      <c r="B1601" s="13" t="s">
        <v>3218</v>
      </c>
      <c r="C1601" s="15" t="str">
        <f>INDEX(CA[Marca],MATCH(Precios_Lista[[#This Row],[Tipo]],CA[Tipo],0))</f>
        <v>GENEBRE</v>
      </c>
      <c r="D1601" s="13" t="s">
        <v>124</v>
      </c>
      <c r="E1601" s="13" t="s">
        <v>3219</v>
      </c>
      <c r="F1601" s="43">
        <v>82.64</v>
      </c>
    </row>
    <row r="1602" spans="2:6" x14ac:dyDescent="0.25">
      <c r="B1602" s="13" t="s">
        <v>3220</v>
      </c>
      <c r="C1602" s="15" t="str">
        <f>INDEX(CA[Marca],MATCH(Precios_Lista[[#This Row],[Tipo]],CA[Tipo],0))</f>
        <v>GENEBRE</v>
      </c>
      <c r="D1602" s="13" t="s">
        <v>124</v>
      </c>
      <c r="E1602" s="13" t="s">
        <v>3221</v>
      </c>
      <c r="F1602" s="43">
        <v>85.75</v>
      </c>
    </row>
    <row r="1603" spans="2:6" x14ac:dyDescent="0.25">
      <c r="B1603" s="13" t="s">
        <v>3222</v>
      </c>
      <c r="C1603" s="15" t="str">
        <f>INDEX(CA[Marca],MATCH(Precios_Lista[[#This Row],[Tipo]],CA[Tipo],0))</f>
        <v>GENEBRE</v>
      </c>
      <c r="D1603" s="13" t="s">
        <v>124</v>
      </c>
      <c r="E1603" s="13" t="s">
        <v>3223</v>
      </c>
      <c r="F1603" s="43">
        <v>85.75</v>
      </c>
    </row>
    <row r="1604" spans="2:6" x14ac:dyDescent="0.25">
      <c r="B1604" s="13" t="s">
        <v>3224</v>
      </c>
      <c r="C1604" s="15" t="str">
        <f>INDEX(CA[Marca],MATCH(Precios_Lista[[#This Row],[Tipo]],CA[Tipo],0))</f>
        <v>GENEBRE</v>
      </c>
      <c r="D1604" s="13" t="s">
        <v>124</v>
      </c>
      <c r="E1604" s="13" t="s">
        <v>3225</v>
      </c>
      <c r="F1604" s="43">
        <v>132.34</v>
      </c>
    </row>
    <row r="1605" spans="2:6" x14ac:dyDescent="0.25">
      <c r="B1605" s="13" t="s">
        <v>3226</v>
      </c>
      <c r="C1605" s="15" t="str">
        <f>INDEX(CA[Marca],MATCH(Precios_Lista[[#This Row],[Tipo]],CA[Tipo],0))</f>
        <v>GENEBRE</v>
      </c>
      <c r="D1605" s="13" t="s">
        <v>124</v>
      </c>
      <c r="E1605" s="13" t="s">
        <v>3227</v>
      </c>
      <c r="F1605" s="43">
        <v>263.10000000000002</v>
      </c>
    </row>
    <row r="1606" spans="2:6" x14ac:dyDescent="0.25">
      <c r="B1606" s="13" t="s">
        <v>3228</v>
      </c>
      <c r="C1606" s="15" t="str">
        <f>INDEX(CA[Marca],MATCH(Precios_Lista[[#This Row],[Tipo]],CA[Tipo],0))</f>
        <v>GENEBRE</v>
      </c>
      <c r="D1606" s="13" t="s">
        <v>124</v>
      </c>
      <c r="E1606" s="13" t="s">
        <v>3229</v>
      </c>
      <c r="F1606" s="43">
        <v>277.8</v>
      </c>
    </row>
    <row r="1607" spans="2:6" x14ac:dyDescent="0.25">
      <c r="B1607" s="13" t="s">
        <v>3230</v>
      </c>
      <c r="C1607" s="15" t="str">
        <f>INDEX(CA[Marca],MATCH(Precios_Lista[[#This Row],[Tipo]],CA[Tipo],0))</f>
        <v>GENEBRE</v>
      </c>
      <c r="D1607" s="13" t="s">
        <v>124</v>
      </c>
      <c r="E1607" s="13" t="s">
        <v>3231</v>
      </c>
      <c r="F1607" s="43">
        <v>67.95</v>
      </c>
    </row>
    <row r="1608" spans="2:6" x14ac:dyDescent="0.25">
      <c r="B1608" s="13" t="s">
        <v>3232</v>
      </c>
      <c r="C1608" s="15" t="str">
        <f>INDEX(CA[Marca],MATCH(Precios_Lista[[#This Row],[Tipo]],CA[Tipo],0))</f>
        <v>GENEBRE</v>
      </c>
      <c r="D1608" s="13" t="s">
        <v>124</v>
      </c>
      <c r="E1608" s="13" t="s">
        <v>3233</v>
      </c>
      <c r="F1608" s="43">
        <v>67.95</v>
      </c>
    </row>
    <row r="1609" spans="2:6" x14ac:dyDescent="0.25">
      <c r="B1609" s="13" t="s">
        <v>3234</v>
      </c>
      <c r="C1609" s="15" t="str">
        <f>INDEX(CA[Marca],MATCH(Precios_Lista[[#This Row],[Tipo]],CA[Tipo],0))</f>
        <v>GENEBRE</v>
      </c>
      <c r="D1609" s="13" t="s">
        <v>124</v>
      </c>
      <c r="E1609" s="13" t="s">
        <v>3235</v>
      </c>
      <c r="F1609" s="43">
        <v>112.56</v>
      </c>
    </row>
    <row r="1610" spans="2:6" x14ac:dyDescent="0.25">
      <c r="B1610" s="13" t="s">
        <v>3236</v>
      </c>
      <c r="C1610" s="15" t="str">
        <f>INDEX(CA[Marca],MATCH(Precios_Lista[[#This Row],[Tipo]],CA[Tipo],0))</f>
        <v>GENEBRE</v>
      </c>
      <c r="D1610" s="13" t="s">
        <v>124</v>
      </c>
      <c r="E1610" s="13" t="s">
        <v>3237</v>
      </c>
      <c r="F1610" s="43">
        <v>124.85</v>
      </c>
    </row>
    <row r="1611" spans="2:6" x14ac:dyDescent="0.25">
      <c r="B1611" s="13" t="s">
        <v>3238</v>
      </c>
      <c r="C1611" s="15" t="str">
        <f>INDEX(CA[Marca],MATCH(Precios_Lista[[#This Row],[Tipo]],CA[Tipo],0))</f>
        <v>GENEBRE</v>
      </c>
      <c r="D1611" s="13" t="s">
        <v>124</v>
      </c>
      <c r="E1611" s="13" t="s">
        <v>3239</v>
      </c>
      <c r="F1611" s="43">
        <v>259.32</v>
      </c>
    </row>
    <row r="1612" spans="2:6" x14ac:dyDescent="0.25">
      <c r="B1612" s="13" t="s">
        <v>3240</v>
      </c>
      <c r="C1612" s="15" t="str">
        <f>INDEX(CA[Marca],MATCH(Precios_Lista[[#This Row],[Tipo]],CA[Tipo],0))</f>
        <v>GENEBRE</v>
      </c>
      <c r="D1612" s="13" t="s">
        <v>124</v>
      </c>
      <c r="E1612" s="13" t="s">
        <v>3241</v>
      </c>
      <c r="F1612" s="43">
        <v>275.17</v>
      </c>
    </row>
    <row r="1613" spans="2:6" x14ac:dyDescent="0.25">
      <c r="B1613" s="13" t="s">
        <v>3242</v>
      </c>
      <c r="C1613" s="15" t="str">
        <f>INDEX(CA[Marca],MATCH(Precios_Lista[[#This Row],[Tipo]],CA[Tipo],0))</f>
        <v>GENEBRE</v>
      </c>
      <c r="D1613" s="13" t="s">
        <v>124</v>
      </c>
      <c r="E1613" s="13" t="s">
        <v>3243</v>
      </c>
      <c r="F1613" s="43">
        <v>381.08</v>
      </c>
    </row>
    <row r="1614" spans="2:6" x14ac:dyDescent="0.25">
      <c r="B1614" s="13" t="s">
        <v>3244</v>
      </c>
      <c r="C1614" s="15" t="str">
        <f>INDEX(CA[Marca],MATCH(Precios_Lista[[#This Row],[Tipo]],CA[Tipo],0))</f>
        <v>GENEBRE</v>
      </c>
      <c r="D1614" s="13" t="s">
        <v>124</v>
      </c>
      <c r="E1614" s="13" t="s">
        <v>3245</v>
      </c>
      <c r="F1614" s="43">
        <v>68.849999999999994</v>
      </c>
    </row>
    <row r="1615" spans="2:6" x14ac:dyDescent="0.25">
      <c r="B1615" s="13" t="s">
        <v>3246</v>
      </c>
      <c r="C1615" s="15" t="str">
        <f>INDEX(CA[Marca],MATCH(Precios_Lista[[#This Row],[Tipo]],CA[Tipo],0))</f>
        <v>GENEBRE</v>
      </c>
      <c r="D1615" s="13" t="s">
        <v>124</v>
      </c>
      <c r="E1615" s="13" t="s">
        <v>3247</v>
      </c>
      <c r="F1615" s="43">
        <v>68.849999999999994</v>
      </c>
    </row>
    <row r="1616" spans="2:6" x14ac:dyDescent="0.25">
      <c r="B1616" s="13" t="s">
        <v>3248</v>
      </c>
      <c r="C1616" s="15" t="str">
        <f>INDEX(CA[Marca],MATCH(Precios_Lista[[#This Row],[Tipo]],CA[Tipo],0))</f>
        <v>GENEBRE</v>
      </c>
      <c r="D1616" s="13" t="s">
        <v>124</v>
      </c>
      <c r="E1616" s="13" t="s">
        <v>3249</v>
      </c>
      <c r="F1616" s="43">
        <v>123.03</v>
      </c>
    </row>
    <row r="1617" spans="2:6" x14ac:dyDescent="0.25">
      <c r="B1617" s="13" t="s">
        <v>3250</v>
      </c>
      <c r="C1617" s="15" t="str">
        <f>INDEX(CA[Marca],MATCH(Precios_Lista[[#This Row],[Tipo]],CA[Tipo],0))</f>
        <v>GENEBRE</v>
      </c>
      <c r="D1617" s="13" t="s">
        <v>124</v>
      </c>
      <c r="E1617" s="13" t="s">
        <v>3251</v>
      </c>
      <c r="F1617" s="43">
        <v>135.91</v>
      </c>
    </row>
    <row r="1618" spans="2:6" x14ac:dyDescent="0.25">
      <c r="B1618" s="13" t="s">
        <v>3252</v>
      </c>
      <c r="C1618" s="15" t="str">
        <f>INDEX(CA[Marca],MATCH(Precios_Lista[[#This Row],[Tipo]],CA[Tipo],0))</f>
        <v>GENEBRE</v>
      </c>
      <c r="D1618" s="13" t="s">
        <v>124</v>
      </c>
      <c r="E1618" s="13" t="s">
        <v>3253</v>
      </c>
      <c r="F1618" s="43">
        <v>291.06</v>
      </c>
    </row>
    <row r="1619" spans="2:6" x14ac:dyDescent="0.25">
      <c r="B1619" s="13" t="s">
        <v>3254</v>
      </c>
      <c r="C1619" s="15" t="str">
        <f>INDEX(CA[Marca],MATCH(Precios_Lista[[#This Row],[Tipo]],CA[Tipo],0))</f>
        <v>GENEBRE</v>
      </c>
      <c r="D1619" s="13" t="s">
        <v>124</v>
      </c>
      <c r="E1619" s="13" t="s">
        <v>3255</v>
      </c>
      <c r="F1619" s="43">
        <v>306.95</v>
      </c>
    </row>
    <row r="1620" spans="2:6" x14ac:dyDescent="0.25">
      <c r="B1620" s="13" t="s">
        <v>3256</v>
      </c>
      <c r="C1620" s="15" t="str">
        <f>INDEX(CA[Marca],MATCH(Precios_Lista[[#This Row],[Tipo]],CA[Tipo],0))</f>
        <v>GENEBRE</v>
      </c>
      <c r="D1620" s="13" t="s">
        <v>124</v>
      </c>
      <c r="E1620" s="13" t="s">
        <v>3257</v>
      </c>
      <c r="F1620" s="43">
        <v>446.15</v>
      </c>
    </row>
    <row r="1621" spans="2:6" x14ac:dyDescent="0.25">
      <c r="B1621" s="13" t="s">
        <v>3258</v>
      </c>
      <c r="C1621" s="15" t="str">
        <f>INDEX(CA[Marca],MATCH(Precios_Lista[[#This Row],[Tipo]],CA[Tipo],0))</f>
        <v>GENEBRE</v>
      </c>
      <c r="D1621" s="13" t="s">
        <v>124</v>
      </c>
      <c r="E1621" s="13" t="s">
        <v>3259</v>
      </c>
      <c r="F1621" s="43">
        <v>123.03</v>
      </c>
    </row>
    <row r="1622" spans="2:6" x14ac:dyDescent="0.25">
      <c r="B1622" s="13" t="s">
        <v>3260</v>
      </c>
      <c r="C1622" s="15" t="str">
        <f>INDEX(CA[Marca],MATCH(Precios_Lista[[#This Row],[Tipo]],CA[Tipo],0))</f>
        <v>GENEBRE</v>
      </c>
      <c r="D1622" s="13" t="s">
        <v>124</v>
      </c>
      <c r="E1622" s="13" t="s">
        <v>3261</v>
      </c>
      <c r="F1622" s="43">
        <v>135.91</v>
      </c>
    </row>
    <row r="1623" spans="2:6" x14ac:dyDescent="0.25">
      <c r="B1623" s="13" t="s">
        <v>3262</v>
      </c>
      <c r="C1623" s="15" t="str">
        <f>INDEX(CA[Marca],MATCH(Precios_Lista[[#This Row],[Tipo]],CA[Tipo],0))</f>
        <v>GENEBRE</v>
      </c>
      <c r="D1623" s="13" t="s">
        <v>124</v>
      </c>
      <c r="E1623" s="13" t="s">
        <v>3263</v>
      </c>
      <c r="F1623" s="43">
        <v>291.06</v>
      </c>
    </row>
    <row r="1624" spans="2:6" x14ac:dyDescent="0.25">
      <c r="B1624" s="13" t="s">
        <v>3264</v>
      </c>
      <c r="C1624" s="15" t="str">
        <f>INDEX(CA[Marca],MATCH(Precios_Lista[[#This Row],[Tipo]],CA[Tipo],0))</f>
        <v>GENEBRE</v>
      </c>
      <c r="D1624" s="13" t="s">
        <v>124</v>
      </c>
      <c r="E1624" s="13" t="s">
        <v>3265</v>
      </c>
      <c r="F1624" s="43">
        <v>306.92</v>
      </c>
    </row>
    <row r="1625" spans="2:6" x14ac:dyDescent="0.25">
      <c r="B1625" s="13" t="s">
        <v>3266</v>
      </c>
      <c r="C1625" s="15" t="str">
        <f>INDEX(CA[Marca],MATCH(Precios_Lista[[#This Row],[Tipo]],CA[Tipo],0))</f>
        <v>GENEBRE</v>
      </c>
      <c r="D1625" s="13" t="s">
        <v>124</v>
      </c>
      <c r="E1625" s="13" t="s">
        <v>3267</v>
      </c>
      <c r="F1625" s="43">
        <v>446.15</v>
      </c>
    </row>
    <row r="1626" spans="2:6" x14ac:dyDescent="0.25">
      <c r="B1626" s="13" t="s">
        <v>3268</v>
      </c>
      <c r="C1626" s="15" t="str">
        <f>INDEX(CA[Marca],MATCH(Precios_Lista[[#This Row],[Tipo]],CA[Tipo],0))</f>
        <v>GENEBRE</v>
      </c>
      <c r="D1626" s="13" t="s">
        <v>124</v>
      </c>
      <c r="E1626" s="13" t="s">
        <v>3269</v>
      </c>
      <c r="F1626" s="43">
        <v>233.52</v>
      </c>
    </row>
    <row r="1627" spans="2:6" x14ac:dyDescent="0.25">
      <c r="B1627" s="13" t="s">
        <v>3270</v>
      </c>
      <c r="C1627" s="15" t="str">
        <f>INDEX(CA[Marca],MATCH(Precios_Lista[[#This Row],[Tipo]],CA[Tipo],0))</f>
        <v>GENEBRE</v>
      </c>
      <c r="D1627" s="13" t="s">
        <v>124</v>
      </c>
      <c r="E1627" s="13" t="s">
        <v>3271</v>
      </c>
      <c r="F1627" s="43">
        <v>0</v>
      </c>
    </row>
    <row r="1628" spans="2:6" x14ac:dyDescent="0.25">
      <c r="B1628" s="13" t="s">
        <v>3272</v>
      </c>
      <c r="C1628" s="15" t="str">
        <f>INDEX(CA[Marca],MATCH(Precios_Lista[[#This Row],[Tipo]],CA[Tipo],0))</f>
        <v>GENEBRE</v>
      </c>
      <c r="D1628" s="13" t="s">
        <v>124</v>
      </c>
      <c r="E1628" s="13" t="s">
        <v>3273</v>
      </c>
      <c r="F1628" s="43">
        <v>0</v>
      </c>
    </row>
    <row r="1629" spans="2:6" x14ac:dyDescent="0.25">
      <c r="B1629" s="13" t="s">
        <v>3274</v>
      </c>
      <c r="C1629" s="15" t="str">
        <f>INDEX(CA[Marca],MATCH(Precios_Lista[[#This Row],[Tipo]],CA[Tipo],0))</f>
        <v>GENEBRE</v>
      </c>
      <c r="D1629" s="13" t="s">
        <v>124</v>
      </c>
      <c r="E1629" s="13" t="s">
        <v>3275</v>
      </c>
      <c r="F1629" s="43">
        <v>0</v>
      </c>
    </row>
    <row r="1630" spans="2:6" x14ac:dyDescent="0.25">
      <c r="B1630" s="13" t="s">
        <v>3276</v>
      </c>
      <c r="C1630" s="15" t="str">
        <f>INDEX(CA[Marca],MATCH(Precios_Lista[[#This Row],[Tipo]],CA[Tipo],0))</f>
        <v>GENEBRE</v>
      </c>
      <c r="D1630" s="13" t="s">
        <v>124</v>
      </c>
      <c r="E1630" s="13" t="s">
        <v>3277</v>
      </c>
      <c r="F1630" s="43">
        <v>125.44</v>
      </c>
    </row>
    <row r="1631" spans="2:6" x14ac:dyDescent="0.25">
      <c r="B1631" s="13" t="s">
        <v>3278</v>
      </c>
      <c r="C1631" s="15" t="s">
        <v>104</v>
      </c>
      <c r="D1631" s="13" t="s">
        <v>124</v>
      </c>
      <c r="E1631" s="13" t="s">
        <v>3279</v>
      </c>
      <c r="F1631" s="43">
        <v>225.09</v>
      </c>
    </row>
    <row r="1632" spans="2:6" x14ac:dyDescent="0.25">
      <c r="B1632" s="13" t="s">
        <v>3280</v>
      </c>
      <c r="C1632" s="15" t="s">
        <v>104</v>
      </c>
      <c r="D1632" s="13" t="s">
        <v>124</v>
      </c>
      <c r="E1632" s="13" t="s">
        <v>3281</v>
      </c>
      <c r="F1632" s="43">
        <v>281.33</v>
      </c>
    </row>
    <row r="1633" spans="2:6" x14ac:dyDescent="0.25">
      <c r="B1633" s="13" t="s">
        <v>3282</v>
      </c>
      <c r="C1633" s="15" t="s">
        <v>104</v>
      </c>
      <c r="D1633" s="13" t="s">
        <v>124</v>
      </c>
      <c r="E1633" s="13" t="s">
        <v>3283</v>
      </c>
      <c r="F1633" s="43">
        <v>363.93</v>
      </c>
    </row>
    <row r="1634" spans="2:6" x14ac:dyDescent="0.25">
      <c r="B1634" s="13" t="s">
        <v>3284</v>
      </c>
      <c r="C1634" s="15" t="str">
        <f>INDEX(CA[Marca],MATCH(Precios_Lista[[#This Row],[Tipo]],CA[Tipo],0))</f>
        <v>GENEBRE</v>
      </c>
      <c r="D1634" s="13" t="s">
        <v>124</v>
      </c>
      <c r="E1634" s="13" t="s">
        <v>3285</v>
      </c>
      <c r="F1634" s="43">
        <v>408.77</v>
      </c>
    </row>
    <row r="1635" spans="2:6" x14ac:dyDescent="0.25">
      <c r="B1635" s="13" t="s">
        <v>3286</v>
      </c>
      <c r="C1635" s="15" t="str">
        <f>INDEX(CA[Marca],MATCH(Precios_Lista[[#This Row],[Tipo]],CA[Tipo],0))</f>
        <v>GENEBRE</v>
      </c>
      <c r="D1635" s="13" t="s">
        <v>124</v>
      </c>
      <c r="E1635" s="13" t="s">
        <v>3287</v>
      </c>
      <c r="F1635" s="43">
        <v>631.54</v>
      </c>
    </row>
    <row r="1636" spans="2:6" x14ac:dyDescent="0.25">
      <c r="B1636" s="13" t="s">
        <v>3288</v>
      </c>
      <c r="C1636" s="15" t="str">
        <f>INDEX(CA[Marca],MATCH(Precios_Lista[[#This Row],[Tipo]],CA[Tipo],0))</f>
        <v>GENEBRE</v>
      </c>
      <c r="D1636" s="13" t="s">
        <v>124</v>
      </c>
      <c r="E1636" s="13" t="s">
        <v>3289</v>
      </c>
      <c r="F1636" s="43">
        <v>631.54</v>
      </c>
    </row>
    <row r="1637" spans="2:6" x14ac:dyDescent="0.25">
      <c r="B1637" s="13" t="s">
        <v>3290</v>
      </c>
      <c r="C1637" s="15" t="str">
        <f>INDEX(CA[Marca],MATCH(Precios_Lista[[#This Row],[Tipo]],CA[Tipo],0))</f>
        <v>GENEBRE</v>
      </c>
      <c r="D1637" s="13" t="s">
        <v>124</v>
      </c>
      <c r="E1637" s="13" t="s">
        <v>3291</v>
      </c>
      <c r="F1637" s="43">
        <v>94.47</v>
      </c>
    </row>
    <row r="1638" spans="2:6" x14ac:dyDescent="0.25">
      <c r="B1638" s="13" t="s">
        <v>3292</v>
      </c>
      <c r="C1638" s="15" t="str">
        <f>INDEX(CA[Marca],MATCH(Precios_Lista[[#This Row],[Tipo]],CA[Tipo],0))</f>
        <v>GENEBRE</v>
      </c>
      <c r="D1638" s="13" t="s">
        <v>124</v>
      </c>
      <c r="E1638" s="13" t="s">
        <v>3293</v>
      </c>
      <c r="F1638" s="43">
        <v>94.47</v>
      </c>
    </row>
    <row r="1639" spans="2:6" x14ac:dyDescent="0.25">
      <c r="B1639" s="13" t="s">
        <v>3294</v>
      </c>
      <c r="C1639" s="15" t="str">
        <f>INDEX(CA[Marca],MATCH(Precios_Lista[[#This Row],[Tipo]],CA[Tipo],0))</f>
        <v>GENEBRE</v>
      </c>
      <c r="D1639" s="13" t="s">
        <v>124</v>
      </c>
      <c r="E1639" s="13" t="s">
        <v>3295</v>
      </c>
      <c r="F1639" s="43">
        <v>133.18</v>
      </c>
    </row>
    <row r="1640" spans="2:6" x14ac:dyDescent="0.25">
      <c r="B1640" s="13" t="s">
        <v>3296</v>
      </c>
      <c r="C1640" s="15" t="str">
        <f>INDEX(CA[Marca],MATCH(Precios_Lista[[#This Row],[Tipo]],CA[Tipo],0))</f>
        <v>GENEBRE</v>
      </c>
      <c r="D1640" s="13" t="s">
        <v>124</v>
      </c>
      <c r="E1640" s="13" t="s">
        <v>3297</v>
      </c>
      <c r="F1640" s="43">
        <v>145.5</v>
      </c>
    </row>
    <row r="1641" spans="2:6" x14ac:dyDescent="0.25">
      <c r="B1641" s="13" t="s">
        <v>3298</v>
      </c>
      <c r="C1641" s="15" t="str">
        <f>INDEX(CA[Marca],MATCH(Precios_Lista[[#This Row],[Tipo]],CA[Tipo],0))</f>
        <v>GENEBRE</v>
      </c>
      <c r="D1641" s="13" t="s">
        <v>124</v>
      </c>
      <c r="E1641" s="13" t="s">
        <v>3299</v>
      </c>
      <c r="F1641" s="43">
        <v>279.93</v>
      </c>
    </row>
    <row r="1642" spans="2:6" x14ac:dyDescent="0.25">
      <c r="B1642" s="13" t="s">
        <v>3300</v>
      </c>
      <c r="C1642" s="15" t="str">
        <f>INDEX(CA[Marca],MATCH(Precios_Lista[[#This Row],[Tipo]],CA[Tipo],0))</f>
        <v>GENEBRE</v>
      </c>
      <c r="D1642" s="13" t="s">
        <v>124</v>
      </c>
      <c r="E1642" s="13" t="s">
        <v>3301</v>
      </c>
      <c r="F1642" s="43">
        <v>295.82</v>
      </c>
    </row>
    <row r="1643" spans="2:6" x14ac:dyDescent="0.25">
      <c r="B1643" s="13" t="s">
        <v>3302</v>
      </c>
      <c r="C1643" s="15" t="str">
        <f>INDEX(CA[Marca],MATCH(Precios_Lista[[#This Row],[Tipo]],CA[Tipo],0))</f>
        <v>GENEBRE</v>
      </c>
      <c r="D1643" s="13" t="s">
        <v>124</v>
      </c>
      <c r="E1643" s="13" t="s">
        <v>3303</v>
      </c>
      <c r="F1643" s="43">
        <v>401.59</v>
      </c>
    </row>
    <row r="1644" spans="2:6" x14ac:dyDescent="0.25">
      <c r="B1644" s="13" t="s">
        <v>3304</v>
      </c>
      <c r="C1644" s="15" t="str">
        <f>INDEX(CA[Marca],MATCH(Precios_Lista[[#This Row],[Tipo]],CA[Tipo],0))</f>
        <v>GENEBRE</v>
      </c>
      <c r="D1644" s="13" t="s">
        <v>124</v>
      </c>
      <c r="E1644" s="13" t="s">
        <v>3305</v>
      </c>
      <c r="F1644" s="43">
        <v>96.01</v>
      </c>
    </row>
    <row r="1645" spans="2:6" x14ac:dyDescent="0.25">
      <c r="B1645" s="13" t="s">
        <v>3306</v>
      </c>
      <c r="C1645" s="15" t="str">
        <f>INDEX(CA[Marca],MATCH(Precios_Lista[[#This Row],[Tipo]],CA[Tipo],0))</f>
        <v>GENEBRE</v>
      </c>
      <c r="D1645" s="13" t="s">
        <v>124</v>
      </c>
      <c r="E1645" s="13" t="s">
        <v>3307</v>
      </c>
      <c r="F1645" s="43">
        <v>96.01</v>
      </c>
    </row>
    <row r="1646" spans="2:6" x14ac:dyDescent="0.25">
      <c r="B1646" s="13" t="s">
        <v>3308</v>
      </c>
      <c r="C1646" s="15" t="str">
        <f>INDEX(CA[Marca],MATCH(Precios_Lista[[#This Row],[Tipo]],CA[Tipo],0))</f>
        <v>GENEBRE</v>
      </c>
      <c r="D1646" s="13" t="s">
        <v>124</v>
      </c>
      <c r="E1646" s="13" t="s">
        <v>3309</v>
      </c>
      <c r="F1646" s="43">
        <v>143.63999999999999</v>
      </c>
    </row>
    <row r="1647" spans="2:6" x14ac:dyDescent="0.25">
      <c r="B1647" s="13" t="s">
        <v>3310</v>
      </c>
      <c r="C1647" s="15" t="str">
        <f>INDEX(CA[Marca],MATCH(Precios_Lista[[#This Row],[Tipo]],CA[Tipo],0))</f>
        <v>GENEBRE</v>
      </c>
      <c r="D1647" s="13" t="s">
        <v>124</v>
      </c>
      <c r="E1647" s="13" t="s">
        <v>3311</v>
      </c>
      <c r="F1647" s="43">
        <v>156.52000000000001</v>
      </c>
    </row>
    <row r="1648" spans="2:6" x14ac:dyDescent="0.25">
      <c r="B1648" s="13" t="s">
        <v>3312</v>
      </c>
      <c r="C1648" s="15" t="str">
        <f>INDEX(CA[Marca],MATCH(Precios_Lista[[#This Row],[Tipo]],CA[Tipo],0))</f>
        <v>GENEBRE</v>
      </c>
      <c r="D1648" s="13" t="s">
        <v>124</v>
      </c>
      <c r="E1648" s="13" t="s">
        <v>3313</v>
      </c>
      <c r="F1648" s="43">
        <v>311.77999999999997</v>
      </c>
    </row>
    <row r="1649" spans="2:6" x14ac:dyDescent="0.25">
      <c r="B1649" s="13" t="s">
        <v>3314</v>
      </c>
      <c r="C1649" s="15" t="str">
        <f>INDEX(CA[Marca],MATCH(Precios_Lista[[#This Row],[Tipo]],CA[Tipo],0))</f>
        <v>GENEBRE</v>
      </c>
      <c r="D1649" s="13" t="s">
        <v>124</v>
      </c>
      <c r="E1649" s="13" t="s">
        <v>3315</v>
      </c>
      <c r="F1649" s="43">
        <v>327.5</v>
      </c>
    </row>
    <row r="1650" spans="2:6" x14ac:dyDescent="0.25">
      <c r="B1650" s="13" t="s">
        <v>3316</v>
      </c>
      <c r="C1650" s="15" t="str">
        <f>INDEX(CA[Marca],MATCH(Precios_Lista[[#This Row],[Tipo]],CA[Tipo],0))</f>
        <v>GENEBRE</v>
      </c>
      <c r="D1650" s="13" t="s">
        <v>124</v>
      </c>
      <c r="E1650" s="13" t="s">
        <v>3317</v>
      </c>
      <c r="F1650" s="43">
        <v>466.8</v>
      </c>
    </row>
    <row r="1651" spans="2:6" x14ac:dyDescent="0.25">
      <c r="B1651" s="13" t="s">
        <v>3318</v>
      </c>
      <c r="C1651" s="15" t="str">
        <f>INDEX(CA[Marca],MATCH(Precios_Lista[[#This Row],[Tipo]],CA[Tipo],0))</f>
        <v>GENEBRE</v>
      </c>
      <c r="D1651" s="13" t="s">
        <v>124</v>
      </c>
      <c r="E1651" s="13" t="s">
        <v>3319</v>
      </c>
      <c r="F1651" s="43">
        <v>143.63999999999999</v>
      </c>
    </row>
    <row r="1652" spans="2:6" x14ac:dyDescent="0.25">
      <c r="B1652" s="13" t="s">
        <v>3320</v>
      </c>
      <c r="C1652" s="15" t="str">
        <f>INDEX(CA[Marca],MATCH(Precios_Lista[[#This Row],[Tipo]],CA[Tipo],0))</f>
        <v>GENEBRE</v>
      </c>
      <c r="D1652" s="13" t="s">
        <v>124</v>
      </c>
      <c r="E1652" s="13" t="s">
        <v>3321</v>
      </c>
      <c r="F1652" s="43">
        <v>156.52000000000001</v>
      </c>
    </row>
    <row r="1653" spans="2:6" x14ac:dyDescent="0.25">
      <c r="B1653" s="13" t="s">
        <v>3322</v>
      </c>
      <c r="C1653" s="15" t="str">
        <f>INDEX(CA[Marca],MATCH(Precios_Lista[[#This Row],[Tipo]],CA[Tipo],0))</f>
        <v>GENEBRE</v>
      </c>
      <c r="D1653" s="13" t="s">
        <v>124</v>
      </c>
      <c r="E1653" s="13" t="s">
        <v>3323</v>
      </c>
      <c r="F1653" s="43">
        <v>311.77999999999997</v>
      </c>
    </row>
    <row r="1654" spans="2:6" x14ac:dyDescent="0.25">
      <c r="B1654" s="13" t="s">
        <v>3324</v>
      </c>
      <c r="C1654" s="15" t="str">
        <f>INDEX(CA[Marca],MATCH(Precios_Lista[[#This Row],[Tipo]],CA[Tipo],0))</f>
        <v>GENEBRE</v>
      </c>
      <c r="D1654" s="13" t="s">
        <v>124</v>
      </c>
      <c r="E1654" s="13" t="s">
        <v>3325</v>
      </c>
      <c r="F1654" s="43">
        <v>327.5</v>
      </c>
    </row>
    <row r="1655" spans="2:6" x14ac:dyDescent="0.25">
      <c r="B1655" s="13" t="s">
        <v>3326</v>
      </c>
      <c r="C1655" s="15" t="str">
        <f>INDEX(CA[Marca],MATCH(Precios_Lista[[#This Row],[Tipo]],CA[Tipo],0))</f>
        <v>GENEBRE</v>
      </c>
      <c r="D1655" s="13" t="s">
        <v>124</v>
      </c>
      <c r="E1655" s="13" t="s">
        <v>3327</v>
      </c>
      <c r="F1655" s="43">
        <v>466.8</v>
      </c>
    </row>
    <row r="1656" spans="2:6" x14ac:dyDescent="0.25">
      <c r="B1656" s="13" t="s">
        <v>3328</v>
      </c>
      <c r="C1656" s="15" t="str">
        <f>INDEX(CA[Marca],MATCH(Precios_Lista[[#This Row],[Tipo]],CA[Tipo],0))</f>
        <v>GENEBRE</v>
      </c>
      <c r="D1656" s="13" t="s">
        <v>124</v>
      </c>
      <c r="E1656" s="13" t="s">
        <v>3329</v>
      </c>
      <c r="F1656" s="43">
        <v>0</v>
      </c>
    </row>
    <row r="1657" spans="2:6" x14ac:dyDescent="0.25">
      <c r="B1657" s="13" t="s">
        <v>3330</v>
      </c>
      <c r="C1657" s="15" t="str">
        <f>INDEX(CA[Marca],MATCH(Precios_Lista[[#This Row],[Tipo]],CA[Tipo],0))</f>
        <v>GENEBRE</v>
      </c>
      <c r="D1657" s="13" t="s">
        <v>124</v>
      </c>
      <c r="E1657" s="13" t="s">
        <v>3331</v>
      </c>
      <c r="F1657" s="43">
        <v>0</v>
      </c>
    </row>
    <row r="1658" spans="2:6" x14ac:dyDescent="0.25">
      <c r="B1658" s="13" t="s">
        <v>3332</v>
      </c>
      <c r="C1658" s="15" t="str">
        <f>INDEX(CA[Marca],MATCH(Precios_Lista[[#This Row],[Tipo]],CA[Tipo],0))</f>
        <v>GENEBRE</v>
      </c>
      <c r="D1658" s="13" t="s">
        <v>124</v>
      </c>
      <c r="E1658" s="13" t="s">
        <v>3333</v>
      </c>
      <c r="F1658" s="43">
        <v>0</v>
      </c>
    </row>
    <row r="1659" spans="2:6" x14ac:dyDescent="0.25">
      <c r="B1659" s="13" t="s">
        <v>3334</v>
      </c>
      <c r="C1659" s="15" t="str">
        <f>INDEX(CA[Marca],MATCH(Precios_Lista[[#This Row],[Tipo]],CA[Tipo],0))</f>
        <v>GENEBRE</v>
      </c>
      <c r="D1659" s="13" t="s">
        <v>124</v>
      </c>
      <c r="E1659" s="13" t="s">
        <v>3335</v>
      </c>
      <c r="F1659" s="43">
        <v>147.21</v>
      </c>
    </row>
    <row r="1660" spans="2:6" x14ac:dyDescent="0.25">
      <c r="B1660" s="13" t="s">
        <v>3336</v>
      </c>
      <c r="C1660" s="15" t="str">
        <f>INDEX(CA[Marca],MATCH(Precios_Lista[[#This Row],[Tipo]],CA[Tipo],0))</f>
        <v>GENEBRE</v>
      </c>
      <c r="D1660" s="13" t="s">
        <v>124</v>
      </c>
      <c r="E1660" s="13" t="s">
        <v>3337</v>
      </c>
      <c r="F1660" s="43">
        <v>473.03</v>
      </c>
    </row>
    <row r="1661" spans="2:6" x14ac:dyDescent="0.25">
      <c r="B1661" s="13" t="s">
        <v>3338</v>
      </c>
      <c r="C1661" s="15" t="str">
        <f>INDEX(CA[Marca],MATCH(Precios_Lista[[#This Row],[Tipo]],CA[Tipo],0))</f>
        <v>GENEBRE</v>
      </c>
      <c r="D1661" s="13" t="s">
        <v>124</v>
      </c>
      <c r="E1661" s="13" t="s">
        <v>3339</v>
      </c>
      <c r="F1661" s="43">
        <v>695.84</v>
      </c>
    </row>
    <row r="1662" spans="2:6" x14ac:dyDescent="0.25">
      <c r="B1662" s="13" t="s">
        <v>3340</v>
      </c>
      <c r="C1662" s="15" t="str">
        <f>INDEX(CA[Marca],MATCH(Precios_Lista[[#This Row],[Tipo]],CA[Tipo],0))</f>
        <v>GENEBRE</v>
      </c>
      <c r="D1662" s="13" t="s">
        <v>124</v>
      </c>
      <c r="E1662" s="13" t="s">
        <v>3341</v>
      </c>
      <c r="F1662" s="43">
        <v>695.84</v>
      </c>
    </row>
    <row r="1663" spans="2:6" x14ac:dyDescent="0.25">
      <c r="B1663" s="13" t="s">
        <v>3342</v>
      </c>
      <c r="C1663" s="15" t="s">
        <v>104</v>
      </c>
      <c r="D1663" s="13" t="s">
        <v>470</v>
      </c>
      <c r="E1663" s="13" t="s">
        <v>3343</v>
      </c>
      <c r="F1663" s="43">
        <v>0</v>
      </c>
    </row>
    <row r="1664" spans="2:6" x14ac:dyDescent="0.25">
      <c r="B1664" s="13" t="s">
        <v>3344</v>
      </c>
      <c r="C1664" s="15" t="s">
        <v>104</v>
      </c>
      <c r="D1664" s="13" t="s">
        <v>470</v>
      </c>
      <c r="E1664" s="13" t="s">
        <v>3345</v>
      </c>
      <c r="F1664" s="43">
        <v>0</v>
      </c>
    </row>
    <row r="1665" spans="2:6" x14ac:dyDescent="0.25">
      <c r="B1665" s="13" t="s">
        <v>3346</v>
      </c>
      <c r="C1665" s="15" t="s">
        <v>104</v>
      </c>
      <c r="D1665" s="13" t="s">
        <v>470</v>
      </c>
      <c r="E1665" s="13" t="s">
        <v>3347</v>
      </c>
      <c r="F1665" s="43">
        <v>0</v>
      </c>
    </row>
    <row r="1666" spans="2:6" x14ac:dyDescent="0.25">
      <c r="B1666" s="13" t="s">
        <v>3348</v>
      </c>
      <c r="C1666" s="15" t="s">
        <v>104</v>
      </c>
      <c r="D1666" s="13" t="s">
        <v>470</v>
      </c>
      <c r="E1666" s="13" t="s">
        <v>3349</v>
      </c>
      <c r="F1666" s="43">
        <v>0</v>
      </c>
    </row>
    <row r="1667" spans="2:6" x14ac:dyDescent="0.25">
      <c r="B1667" s="13" t="s">
        <v>3350</v>
      </c>
      <c r="C1667" s="15" t="s">
        <v>104</v>
      </c>
      <c r="D1667" s="13" t="s">
        <v>470</v>
      </c>
      <c r="E1667" s="13" t="s">
        <v>3351</v>
      </c>
      <c r="F1667" s="43">
        <v>0</v>
      </c>
    </row>
    <row r="1668" spans="2:6" x14ac:dyDescent="0.25">
      <c r="B1668" s="13" t="s">
        <v>3352</v>
      </c>
      <c r="C1668" s="15" t="s">
        <v>104</v>
      </c>
      <c r="D1668" s="13" t="s">
        <v>470</v>
      </c>
      <c r="E1668" s="13" t="s">
        <v>3353</v>
      </c>
      <c r="F1668" s="43">
        <v>0</v>
      </c>
    </row>
    <row r="1669" spans="2:6" x14ac:dyDescent="0.25">
      <c r="B1669" s="13" t="s">
        <v>3354</v>
      </c>
      <c r="C1669" s="15" t="s">
        <v>104</v>
      </c>
      <c r="D1669" s="13" t="s">
        <v>470</v>
      </c>
      <c r="E1669" s="13" t="s">
        <v>3355</v>
      </c>
      <c r="F1669" s="43">
        <v>0</v>
      </c>
    </row>
    <row r="1670" spans="2:6" x14ac:dyDescent="0.25">
      <c r="B1670" s="13" t="s">
        <v>3356</v>
      </c>
      <c r="C1670" s="15" t="str">
        <f>INDEX(CA[Marca],MATCH(Precios_Lista[[#This Row],[Tipo]],CA[Tipo],0))</f>
        <v>GENEBRE</v>
      </c>
      <c r="D1670" s="13" t="s">
        <v>124</v>
      </c>
      <c r="E1670" s="13" t="s">
        <v>3357</v>
      </c>
      <c r="F1670" s="43">
        <v>14.89</v>
      </c>
    </row>
    <row r="1671" spans="2:6" x14ac:dyDescent="0.25">
      <c r="B1671" s="13" t="s">
        <v>3358</v>
      </c>
      <c r="C1671" s="15" t="str">
        <f>INDEX(CA[Marca],MATCH(Precios_Lista[[#This Row],[Tipo]],CA[Tipo],0))</f>
        <v>GENEBRE</v>
      </c>
      <c r="D1671" s="13" t="s">
        <v>124</v>
      </c>
      <c r="E1671" s="13" t="s">
        <v>3359</v>
      </c>
      <c r="F1671" s="43">
        <v>14.89</v>
      </c>
    </row>
    <row r="1672" spans="2:6" x14ac:dyDescent="0.25">
      <c r="B1672" s="13" t="s">
        <v>3360</v>
      </c>
      <c r="C1672" s="15" t="str">
        <f>INDEX(CA[Marca],MATCH(Precios_Lista[[#This Row],[Tipo]],CA[Tipo],0))</f>
        <v>GENEBRE</v>
      </c>
      <c r="D1672" s="13" t="s">
        <v>124</v>
      </c>
      <c r="E1672" s="13" t="s">
        <v>3361</v>
      </c>
      <c r="F1672" s="43">
        <v>14.89</v>
      </c>
    </row>
    <row r="1673" spans="2:6" x14ac:dyDescent="0.25">
      <c r="B1673" s="13" t="s">
        <v>3362</v>
      </c>
      <c r="C1673" s="15" t="str">
        <f>INDEX(CA[Marca],MATCH(Precios_Lista[[#This Row],[Tipo]],CA[Tipo],0))</f>
        <v>GENEBRE</v>
      </c>
      <c r="D1673" s="13" t="s">
        <v>124</v>
      </c>
      <c r="E1673" s="13" t="s">
        <v>3363</v>
      </c>
      <c r="F1673" s="43">
        <v>14.89</v>
      </c>
    </row>
    <row r="1674" spans="2:6" x14ac:dyDescent="0.25">
      <c r="B1674" s="13" t="s">
        <v>3364</v>
      </c>
      <c r="C1674" s="15" t="str">
        <f>INDEX(CA[Marca],MATCH(Precios_Lista[[#This Row],[Tipo]],CA[Tipo],0))</f>
        <v>GENEBRE</v>
      </c>
      <c r="D1674" s="13" t="s">
        <v>124</v>
      </c>
      <c r="E1674" s="13" t="s">
        <v>3365</v>
      </c>
      <c r="F1674" s="43">
        <v>14.89</v>
      </c>
    </row>
    <row r="1675" spans="2:6" x14ac:dyDescent="0.25">
      <c r="B1675" s="13" t="s">
        <v>3366</v>
      </c>
      <c r="C1675" s="15" t="str">
        <f>INDEX(CA[Marca],MATCH(Precios_Lista[[#This Row],[Tipo]],CA[Tipo],0))</f>
        <v>GENEBRE</v>
      </c>
      <c r="D1675" s="13" t="s">
        <v>124</v>
      </c>
      <c r="E1675" s="13" t="s">
        <v>3367</v>
      </c>
      <c r="F1675" s="43">
        <v>22.37</v>
      </c>
    </row>
    <row r="1676" spans="2:6" x14ac:dyDescent="0.25">
      <c r="B1676" s="13" t="s">
        <v>3368</v>
      </c>
      <c r="C1676" s="15" t="str">
        <f>INDEX(CA[Marca],MATCH(Precios_Lista[[#This Row],[Tipo]],CA[Tipo],0))</f>
        <v>GENEBRE</v>
      </c>
      <c r="D1676" s="13" t="s">
        <v>124</v>
      </c>
      <c r="E1676" s="13" t="s">
        <v>3369</v>
      </c>
      <c r="F1676" s="43">
        <v>22.37</v>
      </c>
    </row>
    <row r="1677" spans="2:6" x14ac:dyDescent="0.25">
      <c r="B1677" s="13" t="s">
        <v>3370</v>
      </c>
      <c r="C1677" s="15" t="str">
        <f>INDEX(CA[Marca],MATCH(Precios_Lista[[#This Row],[Tipo]],CA[Tipo],0))</f>
        <v>GENEBRE</v>
      </c>
      <c r="D1677" s="13" t="s">
        <v>124</v>
      </c>
      <c r="E1677" s="13" t="s">
        <v>3371</v>
      </c>
      <c r="F1677" s="43">
        <v>22.37</v>
      </c>
    </row>
    <row r="1678" spans="2:6" x14ac:dyDescent="0.25">
      <c r="B1678" s="13" t="s">
        <v>3372</v>
      </c>
      <c r="C1678" s="15" t="str">
        <f>INDEX(CA[Marca],MATCH(Precios_Lista[[#This Row],[Tipo]],CA[Tipo],0))</f>
        <v>GENEBRE</v>
      </c>
      <c r="D1678" s="13" t="s">
        <v>124</v>
      </c>
      <c r="E1678" s="13" t="s">
        <v>3373</v>
      </c>
      <c r="F1678" s="43">
        <v>22.37</v>
      </c>
    </row>
    <row r="1679" spans="2:6" x14ac:dyDescent="0.25">
      <c r="B1679" s="13" t="s">
        <v>3374</v>
      </c>
      <c r="C1679" s="15" t="str">
        <f>INDEX(CA[Marca],MATCH(Precios_Lista[[#This Row],[Tipo]],CA[Tipo],0))</f>
        <v>GENEBRE</v>
      </c>
      <c r="D1679" s="13" t="s">
        <v>124</v>
      </c>
      <c r="E1679" s="13" t="s">
        <v>3375</v>
      </c>
      <c r="F1679" s="43">
        <v>22.37</v>
      </c>
    </row>
    <row r="1680" spans="2:6" x14ac:dyDescent="0.25">
      <c r="B1680" s="13" t="s">
        <v>3376</v>
      </c>
      <c r="C1680" s="15" t="str">
        <f>INDEX(CA[Marca],MATCH(Precios_Lista[[#This Row],[Tipo]],CA[Tipo],0))</f>
        <v>GENEBRE</v>
      </c>
      <c r="D1680" s="13" t="s">
        <v>124</v>
      </c>
      <c r="E1680" s="13" t="s">
        <v>3377</v>
      </c>
      <c r="F1680" s="43">
        <v>47.92</v>
      </c>
    </row>
    <row r="1681" spans="2:6" x14ac:dyDescent="0.25">
      <c r="B1681" s="13" t="s">
        <v>3378</v>
      </c>
      <c r="C1681" s="15" t="str">
        <f>INDEX(CA[Marca],MATCH(Precios_Lista[[#This Row],[Tipo]],CA[Tipo],0))</f>
        <v>GENEBRE</v>
      </c>
      <c r="D1681" s="13" t="s">
        <v>124</v>
      </c>
      <c r="E1681" s="13" t="s">
        <v>3379</v>
      </c>
      <c r="F1681" s="43">
        <v>47.92</v>
      </c>
    </row>
    <row r="1682" spans="2:6" x14ac:dyDescent="0.25">
      <c r="B1682" s="13" t="s">
        <v>3380</v>
      </c>
      <c r="C1682" s="15" t="str">
        <f>INDEX(CA[Marca],MATCH(Precios_Lista[[#This Row],[Tipo]],CA[Tipo],0))</f>
        <v>GENEBRE</v>
      </c>
      <c r="D1682" s="13" t="s">
        <v>124</v>
      </c>
      <c r="E1682" s="13" t="s">
        <v>3381</v>
      </c>
      <c r="F1682" s="43">
        <v>47.92</v>
      </c>
    </row>
    <row r="1683" spans="2:6" x14ac:dyDescent="0.25">
      <c r="B1683" s="13" t="s">
        <v>3382</v>
      </c>
      <c r="C1683" s="15" t="str">
        <f>INDEX(CA[Marca],MATCH(Precios_Lista[[#This Row],[Tipo]],CA[Tipo],0))</f>
        <v>GENEBRE</v>
      </c>
      <c r="D1683" s="13" t="s">
        <v>124</v>
      </c>
      <c r="E1683" s="13" t="s">
        <v>3383</v>
      </c>
      <c r="F1683" s="43">
        <v>47.92</v>
      </c>
    </row>
    <row r="1684" spans="2:6" x14ac:dyDescent="0.25">
      <c r="B1684" s="13" t="s">
        <v>3384</v>
      </c>
      <c r="C1684" s="15" t="str">
        <f>INDEX(CA[Marca],MATCH(Precios_Lista[[#This Row],[Tipo]],CA[Tipo],0))</f>
        <v>GENEBRE</v>
      </c>
      <c r="D1684" s="13" t="s">
        <v>124</v>
      </c>
      <c r="E1684" s="13" t="s">
        <v>3385</v>
      </c>
      <c r="F1684" s="43">
        <v>47.92</v>
      </c>
    </row>
    <row r="1685" spans="2:6" x14ac:dyDescent="0.25">
      <c r="B1685" s="13" t="s">
        <v>3386</v>
      </c>
      <c r="C1685" s="15" t="str">
        <f>INDEX(CA[Marca],MATCH(Precios_Lista[[#This Row],[Tipo]],CA[Tipo],0))</f>
        <v>GENEBRE</v>
      </c>
      <c r="D1685" s="13" t="s">
        <v>124</v>
      </c>
      <c r="E1685" s="13" t="s">
        <v>3387</v>
      </c>
      <c r="F1685" s="43">
        <v>9.99</v>
      </c>
    </row>
    <row r="1686" spans="2:6" x14ac:dyDescent="0.25">
      <c r="B1686" s="13" t="s">
        <v>3388</v>
      </c>
      <c r="C1686" s="15" t="str">
        <f>INDEX(CA[Marca],MATCH(Precios_Lista[[#This Row],[Tipo]],CA[Tipo],0))</f>
        <v>GENEBRE</v>
      </c>
      <c r="D1686" s="13" t="s">
        <v>124</v>
      </c>
      <c r="E1686" s="13" t="s">
        <v>3389</v>
      </c>
      <c r="F1686" s="43">
        <v>9.99</v>
      </c>
    </row>
    <row r="1687" spans="2:6" x14ac:dyDescent="0.25">
      <c r="B1687" s="13" t="s">
        <v>3390</v>
      </c>
      <c r="C1687" s="15" t="str">
        <f>INDEX(CA[Marca],MATCH(Precios_Lista[[#This Row],[Tipo]],CA[Tipo],0))</f>
        <v>GENEBRE</v>
      </c>
      <c r="D1687" s="13" t="s">
        <v>124</v>
      </c>
      <c r="E1687" s="13" t="s">
        <v>3391</v>
      </c>
      <c r="F1687" s="43">
        <v>9.99</v>
      </c>
    </row>
    <row r="1688" spans="2:6" x14ac:dyDescent="0.25">
      <c r="B1688" s="13" t="s">
        <v>3392</v>
      </c>
      <c r="C1688" s="15" t="str">
        <f>INDEX(CA[Marca],MATCH(Precios_Lista[[#This Row],[Tipo]],CA[Tipo],0))</f>
        <v>GENEBRE</v>
      </c>
      <c r="D1688" s="13" t="s">
        <v>124</v>
      </c>
      <c r="E1688" s="13" t="s">
        <v>3393</v>
      </c>
      <c r="F1688" s="43">
        <v>9.99</v>
      </c>
    </row>
    <row r="1689" spans="2:6" x14ac:dyDescent="0.25">
      <c r="B1689" s="13" t="s">
        <v>3394</v>
      </c>
      <c r="C1689" s="15" t="str">
        <f>INDEX(CA[Marca],MATCH(Precios_Lista[[#This Row],[Tipo]],CA[Tipo],0))</f>
        <v>GENEBRE</v>
      </c>
      <c r="D1689" s="13" t="s">
        <v>124</v>
      </c>
      <c r="E1689" s="13" t="s">
        <v>3395</v>
      </c>
      <c r="F1689" s="43">
        <v>9.99</v>
      </c>
    </row>
    <row r="1690" spans="2:6" x14ac:dyDescent="0.25">
      <c r="B1690" s="13" t="s">
        <v>3396</v>
      </c>
      <c r="C1690" s="15" t="str">
        <f>INDEX(CA[Marca],MATCH(Precios_Lista[[#This Row],[Tipo]],CA[Tipo],0))</f>
        <v>GENEBRE</v>
      </c>
      <c r="D1690" s="13" t="s">
        <v>124</v>
      </c>
      <c r="E1690" s="13" t="s">
        <v>3397</v>
      </c>
      <c r="F1690" s="43">
        <v>2.25</v>
      </c>
    </row>
    <row r="1691" spans="2:6" x14ac:dyDescent="0.25">
      <c r="B1691" s="13" t="s">
        <v>3398</v>
      </c>
      <c r="C1691" s="15" t="str">
        <f>INDEX(CA[Marca],MATCH(Precios_Lista[[#This Row],[Tipo]],CA[Tipo],0))</f>
        <v>GENEBRE</v>
      </c>
      <c r="D1691" s="13" t="s">
        <v>124</v>
      </c>
      <c r="E1691" s="13" t="s">
        <v>3399</v>
      </c>
      <c r="F1691" s="43">
        <v>3.19</v>
      </c>
    </row>
    <row r="1692" spans="2:6" x14ac:dyDescent="0.25">
      <c r="B1692" s="13" t="s">
        <v>3400</v>
      </c>
      <c r="C1692" s="15" t="s">
        <v>163</v>
      </c>
      <c r="D1692" s="13" t="s">
        <v>3401</v>
      </c>
      <c r="E1692" s="13" t="s">
        <v>3402</v>
      </c>
      <c r="F1692" s="43">
        <v>540</v>
      </c>
    </row>
    <row r="1693" spans="2:6" x14ac:dyDescent="0.25">
      <c r="B1693" s="13" t="s">
        <v>3403</v>
      </c>
      <c r="C1693" s="15" t="s">
        <v>163</v>
      </c>
      <c r="D1693" s="13" t="s">
        <v>3401</v>
      </c>
      <c r="E1693" s="13" t="s">
        <v>3404</v>
      </c>
      <c r="F1693" s="43">
        <v>600</v>
      </c>
    </row>
    <row r="1694" spans="2:6" x14ac:dyDescent="0.25">
      <c r="B1694" s="13" t="s">
        <v>3405</v>
      </c>
      <c r="C1694" s="15" t="s">
        <v>163</v>
      </c>
      <c r="D1694" s="13" t="s">
        <v>3401</v>
      </c>
      <c r="E1694" s="13" t="s">
        <v>3406</v>
      </c>
      <c r="F1694" s="43">
        <v>645</v>
      </c>
    </row>
    <row r="1695" spans="2:6" x14ac:dyDescent="0.25">
      <c r="B1695" s="13" t="s">
        <v>3407</v>
      </c>
      <c r="C1695" s="15" t="s">
        <v>163</v>
      </c>
      <c r="D1695" s="13" t="s">
        <v>3401</v>
      </c>
      <c r="E1695" s="13" t="s">
        <v>3408</v>
      </c>
      <c r="F1695" s="43">
        <v>1095</v>
      </c>
    </row>
    <row r="1696" spans="2:6" x14ac:dyDescent="0.25">
      <c r="B1696" s="13" t="s">
        <v>3409</v>
      </c>
      <c r="C1696" s="15" t="s">
        <v>163</v>
      </c>
      <c r="D1696" s="13" t="s">
        <v>3401</v>
      </c>
      <c r="E1696" s="13" t="s">
        <v>3410</v>
      </c>
      <c r="F1696" s="43">
        <v>1635</v>
      </c>
    </row>
    <row r="1697" spans="2:6" x14ac:dyDescent="0.25">
      <c r="B1697" s="13" t="s">
        <v>3411</v>
      </c>
      <c r="C1697" s="15" t="s">
        <v>163</v>
      </c>
      <c r="D1697" s="13" t="s">
        <v>3401</v>
      </c>
      <c r="E1697" s="13" t="s">
        <v>3412</v>
      </c>
      <c r="F1697" s="43">
        <v>1980</v>
      </c>
    </row>
    <row r="1698" spans="2:6" x14ac:dyDescent="0.25">
      <c r="B1698" s="13" t="s">
        <v>3413</v>
      </c>
      <c r="C1698" s="15" t="s">
        <v>163</v>
      </c>
      <c r="D1698" s="13" t="s">
        <v>3401</v>
      </c>
      <c r="E1698" s="13" t="s">
        <v>3414</v>
      </c>
      <c r="F1698" s="43">
        <v>3465</v>
      </c>
    </row>
    <row r="1699" spans="2:6" x14ac:dyDescent="0.25">
      <c r="B1699" s="13" t="s">
        <v>3415</v>
      </c>
      <c r="C1699" s="15" t="s">
        <v>131</v>
      </c>
      <c r="D1699" s="13" t="s">
        <v>130</v>
      </c>
      <c r="E1699" s="13" t="s">
        <v>3416</v>
      </c>
      <c r="F1699" s="43">
        <v>101.5</v>
      </c>
    </row>
    <row r="1700" spans="2:6" x14ac:dyDescent="0.25">
      <c r="B1700" s="13" t="s">
        <v>3417</v>
      </c>
      <c r="C1700" s="15" t="s">
        <v>131</v>
      </c>
      <c r="D1700" s="13" t="s">
        <v>130</v>
      </c>
      <c r="E1700" s="13" t="s">
        <v>3418</v>
      </c>
      <c r="F1700" s="43">
        <v>101.5</v>
      </c>
    </row>
    <row r="1701" spans="2:6" x14ac:dyDescent="0.25">
      <c r="B1701" s="13" t="s">
        <v>3419</v>
      </c>
      <c r="C1701" s="15" t="s">
        <v>131</v>
      </c>
      <c r="D1701" s="13" t="s">
        <v>130</v>
      </c>
      <c r="E1701" s="13" t="s">
        <v>3420</v>
      </c>
      <c r="F1701" s="43">
        <v>101.5</v>
      </c>
    </row>
    <row r="1702" spans="2:6" x14ac:dyDescent="0.25">
      <c r="B1702" s="13" t="s">
        <v>3421</v>
      </c>
      <c r="C1702" s="15" t="s">
        <v>167</v>
      </c>
      <c r="D1702" s="13" t="s">
        <v>166</v>
      </c>
      <c r="E1702" s="13" t="s">
        <v>3422</v>
      </c>
      <c r="F1702" s="43">
        <v>115.4</v>
      </c>
    </row>
    <row r="1703" spans="2:6" x14ac:dyDescent="0.25">
      <c r="B1703" s="13" t="s">
        <v>3423</v>
      </c>
      <c r="C1703" s="15" t="s">
        <v>167</v>
      </c>
      <c r="D1703" s="13" t="s">
        <v>166</v>
      </c>
      <c r="E1703" s="13" t="s">
        <v>3424</v>
      </c>
      <c r="F1703" s="152">
        <v>0</v>
      </c>
    </row>
    <row r="1704" spans="2:6" x14ac:dyDescent="0.25">
      <c r="B1704" s="13" t="s">
        <v>3425</v>
      </c>
      <c r="C1704" s="15" t="s">
        <v>167</v>
      </c>
      <c r="D1704" s="13" t="s">
        <v>166</v>
      </c>
      <c r="E1704" s="13" t="s">
        <v>3426</v>
      </c>
      <c r="F1704" s="43">
        <v>33</v>
      </c>
    </row>
    <row r="1705" spans="2:6" x14ac:dyDescent="0.25">
      <c r="B1705" s="13" t="s">
        <v>3427</v>
      </c>
      <c r="C1705" s="15" t="s">
        <v>167</v>
      </c>
      <c r="D1705" s="13" t="s">
        <v>166</v>
      </c>
      <c r="E1705" s="13" t="s">
        <v>3428</v>
      </c>
      <c r="F1705" s="43">
        <v>14.1</v>
      </c>
    </row>
    <row r="1706" spans="2:6" x14ac:dyDescent="0.25">
      <c r="B1706" s="13" t="s">
        <v>3429</v>
      </c>
      <c r="C1706" s="15" t="s">
        <v>167</v>
      </c>
      <c r="D1706" s="13" t="s">
        <v>166</v>
      </c>
      <c r="E1706" s="13" t="s">
        <v>3430</v>
      </c>
      <c r="F1706" s="43">
        <v>14.1</v>
      </c>
    </row>
    <row r="1707" spans="2:6" x14ac:dyDescent="0.25">
      <c r="B1707" s="13" t="s">
        <v>3431</v>
      </c>
      <c r="C1707" s="15" t="s">
        <v>167</v>
      </c>
      <c r="D1707" s="13" t="s">
        <v>166</v>
      </c>
      <c r="E1707" s="13" t="s">
        <v>3432</v>
      </c>
      <c r="F1707" s="43">
        <v>116.55</v>
      </c>
    </row>
    <row r="1708" spans="2:6" x14ac:dyDescent="0.25">
      <c r="B1708" s="13" t="s">
        <v>3433</v>
      </c>
      <c r="C1708" s="15" t="s">
        <v>167</v>
      </c>
      <c r="D1708" s="13" t="s">
        <v>166</v>
      </c>
      <c r="E1708" s="13" t="s">
        <v>3434</v>
      </c>
      <c r="F1708" s="43">
        <v>89.9</v>
      </c>
    </row>
    <row r="1709" spans="2:6" x14ac:dyDescent="0.25">
      <c r="B1709" s="13" t="s">
        <v>3435</v>
      </c>
      <c r="C1709" s="15" t="s">
        <v>167</v>
      </c>
      <c r="D1709" s="13" t="s">
        <v>166</v>
      </c>
      <c r="E1709" s="13" t="s">
        <v>3436</v>
      </c>
      <c r="F1709" s="43">
        <v>115.4</v>
      </c>
    </row>
    <row r="1710" spans="2:6" x14ac:dyDescent="0.25">
      <c r="B1710" s="13" t="s">
        <v>3437</v>
      </c>
      <c r="C1710" s="15" t="s">
        <v>167</v>
      </c>
      <c r="D1710" s="13" t="s">
        <v>166</v>
      </c>
      <c r="E1710" s="13" t="s">
        <v>3438</v>
      </c>
      <c r="F1710" s="43">
        <v>14.1</v>
      </c>
    </row>
    <row r="1711" spans="2:6" x14ac:dyDescent="0.25">
      <c r="B1711" s="13" t="s">
        <v>3439</v>
      </c>
      <c r="C1711" s="15" t="s">
        <v>167</v>
      </c>
      <c r="D1711" s="13" t="s">
        <v>166</v>
      </c>
      <c r="E1711" s="13" t="s">
        <v>3440</v>
      </c>
      <c r="F1711" s="43">
        <v>38</v>
      </c>
    </row>
    <row r="1712" spans="2:6" x14ac:dyDescent="0.25">
      <c r="B1712" s="13" t="s">
        <v>3441</v>
      </c>
      <c r="C1712" s="15" t="s">
        <v>167</v>
      </c>
      <c r="D1712" s="13" t="s">
        <v>166</v>
      </c>
      <c r="E1712" s="13" t="s">
        <v>3442</v>
      </c>
      <c r="F1712" s="43">
        <v>33</v>
      </c>
    </row>
    <row r="1713" spans="2:6" x14ac:dyDescent="0.25">
      <c r="B1713" s="13" t="s">
        <v>3443</v>
      </c>
      <c r="C1713" s="15" t="s">
        <v>167</v>
      </c>
      <c r="D1713" s="13" t="s">
        <v>166</v>
      </c>
      <c r="E1713" s="13" t="s">
        <v>3444</v>
      </c>
      <c r="F1713" s="43">
        <v>14.1</v>
      </c>
    </row>
    <row r="1714" spans="2:6" x14ac:dyDescent="0.25">
      <c r="B1714" s="13" t="s">
        <v>3445</v>
      </c>
      <c r="C1714" s="15" t="s">
        <v>167</v>
      </c>
      <c r="D1714" s="13" t="s">
        <v>166</v>
      </c>
      <c r="E1714" s="13" t="s">
        <v>3444</v>
      </c>
      <c r="F1714" s="43">
        <v>33</v>
      </c>
    </row>
    <row r="1715" spans="2:6" x14ac:dyDescent="0.25">
      <c r="B1715" s="13" t="s">
        <v>3446</v>
      </c>
      <c r="C1715" s="15" t="s">
        <v>167</v>
      </c>
      <c r="D1715" s="13" t="s">
        <v>166</v>
      </c>
      <c r="E1715" s="13" t="s">
        <v>3447</v>
      </c>
      <c r="F1715" s="43">
        <v>38</v>
      </c>
    </row>
    <row r="1716" spans="2:6" x14ac:dyDescent="0.25">
      <c r="B1716" s="13" t="s">
        <v>3448</v>
      </c>
      <c r="C1716" s="15" t="s">
        <v>167</v>
      </c>
      <c r="D1716" s="13" t="s">
        <v>166</v>
      </c>
      <c r="E1716" s="13" t="s">
        <v>3449</v>
      </c>
      <c r="F1716" s="43">
        <v>38</v>
      </c>
    </row>
    <row r="1717" spans="2:6" x14ac:dyDescent="0.25">
      <c r="B1717" s="13" t="s">
        <v>3450</v>
      </c>
      <c r="C1717" s="15" t="s">
        <v>167</v>
      </c>
      <c r="D1717" s="13" t="s">
        <v>166</v>
      </c>
      <c r="E1717" s="13" t="s">
        <v>3451</v>
      </c>
      <c r="F1717" s="43">
        <v>33</v>
      </c>
    </row>
    <row r="1718" spans="2:6" x14ac:dyDescent="0.25">
      <c r="B1718" s="13" t="s">
        <v>3452</v>
      </c>
      <c r="C1718" s="15" t="s">
        <v>167</v>
      </c>
      <c r="D1718" s="13" t="s">
        <v>166</v>
      </c>
      <c r="E1718" s="13" t="s">
        <v>3453</v>
      </c>
      <c r="F1718" s="43">
        <v>38</v>
      </c>
    </row>
    <row r="1719" spans="2:6" x14ac:dyDescent="0.25">
      <c r="B1719" s="13" t="s">
        <v>3454</v>
      </c>
      <c r="C1719" s="15" t="s">
        <v>167</v>
      </c>
      <c r="D1719" s="13" t="s">
        <v>166</v>
      </c>
      <c r="E1719" s="13" t="s">
        <v>3455</v>
      </c>
      <c r="F1719" s="43">
        <v>0</v>
      </c>
    </row>
    <row r="1720" spans="2:6" x14ac:dyDescent="0.25">
      <c r="B1720" s="13" t="s">
        <v>3456</v>
      </c>
      <c r="C1720" s="15" t="s">
        <v>167</v>
      </c>
      <c r="D1720" s="13" t="s">
        <v>166</v>
      </c>
      <c r="E1720" s="13" t="s">
        <v>3457</v>
      </c>
      <c r="F1720" s="43">
        <v>120.9</v>
      </c>
    </row>
    <row r="1721" spans="2:6" x14ac:dyDescent="0.25">
      <c r="B1721" s="13" t="s">
        <v>3458</v>
      </c>
      <c r="C1721" s="15" t="s">
        <v>167</v>
      </c>
      <c r="D1721" s="13" t="s">
        <v>166</v>
      </c>
      <c r="E1721" s="13" t="s">
        <v>3459</v>
      </c>
      <c r="F1721" s="43">
        <v>120.9</v>
      </c>
    </row>
    <row r="1722" spans="2:6" x14ac:dyDescent="0.25">
      <c r="B1722" s="13" t="s">
        <v>3460</v>
      </c>
      <c r="C1722" s="15" t="s">
        <v>167</v>
      </c>
      <c r="D1722" s="13" t="s">
        <v>166</v>
      </c>
      <c r="E1722" s="13" t="s">
        <v>3461</v>
      </c>
      <c r="F1722" s="43">
        <v>72.099999999999994</v>
      </c>
    </row>
    <row r="1723" spans="2:6" x14ac:dyDescent="0.25">
      <c r="B1723" s="13" t="s">
        <v>3462</v>
      </c>
      <c r="C1723" s="15" t="s">
        <v>167</v>
      </c>
      <c r="D1723" s="13" t="s">
        <v>166</v>
      </c>
      <c r="E1723" s="13" t="s">
        <v>3463</v>
      </c>
      <c r="F1723" s="43">
        <v>72.099999999999994</v>
      </c>
    </row>
    <row r="1724" spans="2:6" x14ac:dyDescent="0.25">
      <c r="B1724" s="13" t="s">
        <v>3464</v>
      </c>
      <c r="C1724" s="15" t="s">
        <v>167</v>
      </c>
      <c r="D1724" s="13" t="s">
        <v>166</v>
      </c>
      <c r="E1724" s="13" t="s">
        <v>3465</v>
      </c>
      <c r="F1724" s="43">
        <v>116.55</v>
      </c>
    </row>
    <row r="1725" spans="2:6" x14ac:dyDescent="0.25">
      <c r="B1725" s="13" t="s">
        <v>3466</v>
      </c>
      <c r="C1725" s="15" t="s">
        <v>167</v>
      </c>
      <c r="D1725" s="13" t="s">
        <v>166</v>
      </c>
      <c r="E1725" s="13" t="s">
        <v>3467</v>
      </c>
      <c r="F1725" s="43">
        <v>8.6999999999999993</v>
      </c>
    </row>
    <row r="1726" spans="2:6" x14ac:dyDescent="0.25">
      <c r="B1726" s="13" t="s">
        <v>3468</v>
      </c>
      <c r="C1726" s="15" t="s">
        <v>167</v>
      </c>
      <c r="D1726" s="13" t="s">
        <v>166</v>
      </c>
      <c r="E1726" s="13" t="s">
        <v>3469</v>
      </c>
      <c r="F1726" s="43">
        <v>5.15</v>
      </c>
    </row>
    <row r="1727" spans="2:6" x14ac:dyDescent="0.25">
      <c r="B1727" s="13" t="s">
        <v>3470</v>
      </c>
      <c r="C1727" s="15" t="s">
        <v>167</v>
      </c>
      <c r="D1727" s="13" t="s">
        <v>166</v>
      </c>
      <c r="E1727" s="13" t="s">
        <v>3471</v>
      </c>
      <c r="F1727" s="43">
        <v>38</v>
      </c>
    </row>
    <row r="1728" spans="2:6" x14ac:dyDescent="0.25">
      <c r="B1728" s="13" t="s">
        <v>3472</v>
      </c>
      <c r="C1728" s="15" t="s">
        <v>167</v>
      </c>
      <c r="D1728" s="13" t="s">
        <v>166</v>
      </c>
      <c r="E1728" s="13" t="s">
        <v>3473</v>
      </c>
      <c r="F1728" s="43">
        <v>38</v>
      </c>
    </row>
    <row r="1729" spans="2:6" x14ac:dyDescent="0.25">
      <c r="B1729" s="13" t="s">
        <v>3474</v>
      </c>
      <c r="C1729" s="15" t="s">
        <v>167</v>
      </c>
      <c r="D1729" s="13" t="s">
        <v>166</v>
      </c>
      <c r="E1729" s="13" t="s">
        <v>3475</v>
      </c>
      <c r="F1729" s="43">
        <v>115.4</v>
      </c>
    </row>
    <row r="1730" spans="2:6" x14ac:dyDescent="0.25">
      <c r="B1730" s="13" t="s">
        <v>3476</v>
      </c>
      <c r="C1730" s="15" t="s">
        <v>167</v>
      </c>
      <c r="D1730" s="13" t="s">
        <v>166</v>
      </c>
      <c r="E1730" s="13" t="s">
        <v>3477</v>
      </c>
      <c r="F1730" s="43">
        <v>2.35</v>
      </c>
    </row>
    <row r="1731" spans="2:6" x14ac:dyDescent="0.25">
      <c r="B1731" s="13" t="s">
        <v>3478</v>
      </c>
      <c r="C1731" s="15" t="s">
        <v>167</v>
      </c>
      <c r="D1731" s="13" t="s">
        <v>166</v>
      </c>
      <c r="E1731" s="13" t="s">
        <v>3479</v>
      </c>
      <c r="F1731" s="43">
        <v>1.7</v>
      </c>
    </row>
    <row r="1732" spans="2:6" x14ac:dyDescent="0.25">
      <c r="B1732" s="13" t="s">
        <v>3480</v>
      </c>
      <c r="C1732" s="15" t="s">
        <v>167</v>
      </c>
      <c r="D1732" s="13" t="s">
        <v>166</v>
      </c>
      <c r="E1732" s="13" t="s">
        <v>3481</v>
      </c>
      <c r="F1732" s="43">
        <v>0</v>
      </c>
    </row>
    <row r="1733" spans="2:6" x14ac:dyDescent="0.25">
      <c r="B1733" s="13" t="s">
        <v>3482</v>
      </c>
      <c r="C1733" s="15" t="s">
        <v>167</v>
      </c>
      <c r="D1733" s="13" t="s">
        <v>166</v>
      </c>
      <c r="E1733" s="13" t="s">
        <v>3483</v>
      </c>
      <c r="F1733" s="43">
        <v>72.099999999999994</v>
      </c>
    </row>
    <row r="1734" spans="2:6" x14ac:dyDescent="0.25">
      <c r="B1734" s="13" t="s">
        <v>3484</v>
      </c>
      <c r="C1734" s="15" t="s">
        <v>167</v>
      </c>
      <c r="D1734" s="13" t="s">
        <v>166</v>
      </c>
      <c r="E1734" s="13" t="s">
        <v>3485</v>
      </c>
      <c r="F1734" s="43">
        <v>8.9</v>
      </c>
    </row>
    <row r="1735" spans="2:6" x14ac:dyDescent="0.25">
      <c r="B1735" s="13" t="s">
        <v>3486</v>
      </c>
      <c r="C1735" s="15" t="s">
        <v>167</v>
      </c>
      <c r="D1735" s="13" t="s">
        <v>166</v>
      </c>
      <c r="E1735" s="13" t="s">
        <v>3487</v>
      </c>
      <c r="F1735" s="43">
        <v>7.8</v>
      </c>
    </row>
    <row r="1736" spans="2:6" x14ac:dyDescent="0.25">
      <c r="B1736" s="13" t="s">
        <v>3488</v>
      </c>
      <c r="C1736" s="15" t="s">
        <v>167</v>
      </c>
      <c r="D1736" s="13" t="s">
        <v>166</v>
      </c>
      <c r="E1736" s="13" t="s">
        <v>3489</v>
      </c>
      <c r="F1736" s="43">
        <v>43</v>
      </c>
    </row>
    <row r="1737" spans="2:6" x14ac:dyDescent="0.25">
      <c r="B1737" s="13" t="s">
        <v>3490</v>
      </c>
      <c r="C1737" s="15" t="s">
        <v>167</v>
      </c>
      <c r="D1737" s="13" t="s">
        <v>166</v>
      </c>
      <c r="E1737" s="13" t="s">
        <v>3491</v>
      </c>
      <c r="F1737" s="43">
        <v>37</v>
      </c>
    </row>
    <row r="1738" spans="2:6" x14ac:dyDescent="0.25">
      <c r="B1738" s="13" t="s">
        <v>3492</v>
      </c>
      <c r="C1738" s="15" t="s">
        <v>167</v>
      </c>
      <c r="D1738" s="13" t="s">
        <v>166</v>
      </c>
      <c r="E1738" s="13" t="s">
        <v>3493</v>
      </c>
      <c r="F1738" s="43">
        <v>38.200000000000003</v>
      </c>
    </row>
    <row r="1739" spans="2:6" x14ac:dyDescent="0.25">
      <c r="B1739" s="13" t="s">
        <v>3494</v>
      </c>
      <c r="C1739" s="15" t="s">
        <v>167</v>
      </c>
      <c r="D1739" s="13" t="s">
        <v>166</v>
      </c>
      <c r="E1739" s="13" t="s">
        <v>3495</v>
      </c>
      <c r="F1739" s="43">
        <v>33</v>
      </c>
    </row>
    <row r="1740" spans="2:6" x14ac:dyDescent="0.25">
      <c r="B1740" s="13" t="s">
        <v>3496</v>
      </c>
      <c r="C1740" s="15" t="s">
        <v>167</v>
      </c>
      <c r="D1740" s="13" t="s">
        <v>166</v>
      </c>
      <c r="E1740" s="13" t="s">
        <v>3497</v>
      </c>
      <c r="F1740" s="43">
        <v>120.9</v>
      </c>
    </row>
    <row r="1741" spans="2:6" x14ac:dyDescent="0.25">
      <c r="B1741" s="13" t="s">
        <v>3498</v>
      </c>
      <c r="C1741" s="15" t="s">
        <v>167</v>
      </c>
      <c r="D1741" s="13" t="s">
        <v>166</v>
      </c>
      <c r="E1741" s="13" t="s">
        <v>3499</v>
      </c>
      <c r="F1741" s="43">
        <v>227.5</v>
      </c>
    </row>
    <row r="1742" spans="2:6" x14ac:dyDescent="0.25">
      <c r="B1742" s="13" t="s">
        <v>3500</v>
      </c>
      <c r="C1742" s="15" t="s">
        <v>167</v>
      </c>
      <c r="D1742" s="13" t="s">
        <v>166</v>
      </c>
      <c r="E1742" s="13" t="s">
        <v>3501</v>
      </c>
      <c r="F1742" s="43">
        <v>98.6</v>
      </c>
    </row>
    <row r="1743" spans="2:6" x14ac:dyDescent="0.25">
      <c r="B1743" s="13" t="s">
        <v>3502</v>
      </c>
      <c r="C1743" s="15" t="s">
        <v>167</v>
      </c>
      <c r="D1743" s="13" t="s">
        <v>166</v>
      </c>
      <c r="E1743" s="13" t="s">
        <v>3491</v>
      </c>
      <c r="F1743" s="43">
        <v>58</v>
      </c>
    </row>
    <row r="1744" spans="2:6" x14ac:dyDescent="0.25">
      <c r="B1744" s="13" t="s">
        <v>3503</v>
      </c>
      <c r="C1744" s="15" t="s">
        <v>167</v>
      </c>
      <c r="D1744" s="13" t="s">
        <v>166</v>
      </c>
      <c r="E1744" s="13" t="s">
        <v>3504</v>
      </c>
      <c r="F1744" s="43">
        <v>0</v>
      </c>
    </row>
    <row r="1745" spans="2:6" x14ac:dyDescent="0.25">
      <c r="B1745" s="13" t="s">
        <v>3505</v>
      </c>
      <c r="C1745" s="15" t="s">
        <v>167</v>
      </c>
      <c r="D1745" s="13" t="s">
        <v>166</v>
      </c>
      <c r="E1745" s="13" t="s">
        <v>3506</v>
      </c>
      <c r="F1745" s="43">
        <v>117.6</v>
      </c>
    </row>
    <row r="1746" spans="2:6" x14ac:dyDescent="0.25">
      <c r="B1746" s="13" t="s">
        <v>3507</v>
      </c>
      <c r="C1746" s="15" t="s">
        <v>167</v>
      </c>
      <c r="D1746" s="13" t="s">
        <v>166</v>
      </c>
      <c r="E1746" s="13" t="s">
        <v>3508</v>
      </c>
      <c r="F1746" s="43">
        <v>173.1</v>
      </c>
    </row>
    <row r="1747" spans="2:6" x14ac:dyDescent="0.25">
      <c r="B1747" s="13" t="s">
        <v>3509</v>
      </c>
      <c r="C1747" s="15" t="s">
        <v>167</v>
      </c>
      <c r="D1747" s="13" t="s">
        <v>166</v>
      </c>
      <c r="E1747" s="13" t="s">
        <v>3510</v>
      </c>
      <c r="F1747" s="43">
        <v>176.2</v>
      </c>
    </row>
    <row r="1748" spans="2:6" x14ac:dyDescent="0.25">
      <c r="B1748" s="13" t="s">
        <v>3511</v>
      </c>
      <c r="C1748" s="15" t="s">
        <v>167</v>
      </c>
      <c r="D1748" s="13" t="s">
        <v>166</v>
      </c>
      <c r="E1748" s="13" t="s">
        <v>3512</v>
      </c>
      <c r="F1748" s="43">
        <v>447.5</v>
      </c>
    </row>
    <row r="1749" spans="2:6" x14ac:dyDescent="0.25">
      <c r="B1749" s="13" t="s">
        <v>3513</v>
      </c>
      <c r="C1749" s="15" t="s">
        <v>167</v>
      </c>
      <c r="D1749" s="13" t="s">
        <v>166</v>
      </c>
      <c r="E1749" s="13" t="s">
        <v>3514</v>
      </c>
      <c r="F1749" s="43">
        <v>229.3</v>
      </c>
    </row>
    <row r="1750" spans="2:6" x14ac:dyDescent="0.25">
      <c r="B1750" s="13" t="s">
        <v>3515</v>
      </c>
      <c r="C1750" s="15" t="s">
        <v>167</v>
      </c>
      <c r="D1750" s="13" t="s">
        <v>166</v>
      </c>
      <c r="E1750" s="13" t="s">
        <v>3516</v>
      </c>
      <c r="F1750" s="43">
        <v>0</v>
      </c>
    </row>
    <row r="1751" spans="2:6" x14ac:dyDescent="0.25">
      <c r="B1751" s="13" t="s">
        <v>3515</v>
      </c>
      <c r="C1751" s="15" t="s">
        <v>167</v>
      </c>
      <c r="D1751" s="13" t="s">
        <v>166</v>
      </c>
      <c r="E1751" s="13" t="s">
        <v>3517</v>
      </c>
      <c r="F1751" s="43">
        <v>0</v>
      </c>
    </row>
    <row r="1752" spans="2:6" x14ac:dyDescent="0.25">
      <c r="B1752" s="13" t="s">
        <v>3515</v>
      </c>
      <c r="C1752" s="15" t="s">
        <v>167</v>
      </c>
      <c r="D1752" s="13" t="s">
        <v>166</v>
      </c>
      <c r="E1752" s="13" t="s">
        <v>3518</v>
      </c>
      <c r="F1752" s="43">
        <v>0</v>
      </c>
    </row>
    <row r="1753" spans="2:6" x14ac:dyDescent="0.25">
      <c r="B1753" s="13" t="s">
        <v>3515</v>
      </c>
      <c r="C1753" s="15" t="s">
        <v>167</v>
      </c>
      <c r="D1753" s="13" t="s">
        <v>166</v>
      </c>
      <c r="E1753" s="13" t="s">
        <v>3519</v>
      </c>
      <c r="F1753" s="43">
        <v>0</v>
      </c>
    </row>
    <row r="1754" spans="2:6" x14ac:dyDescent="0.25">
      <c r="B1754" s="13" t="s">
        <v>3515</v>
      </c>
      <c r="C1754" s="15" t="s">
        <v>167</v>
      </c>
      <c r="D1754" s="13" t="s">
        <v>166</v>
      </c>
      <c r="E1754" s="13" t="s">
        <v>3520</v>
      </c>
      <c r="F1754" s="43">
        <v>0</v>
      </c>
    </row>
    <row r="1755" spans="2:6" x14ac:dyDescent="0.25">
      <c r="B1755" s="13" t="s">
        <v>3515</v>
      </c>
      <c r="C1755" s="15" t="s">
        <v>167</v>
      </c>
      <c r="D1755" s="13" t="s">
        <v>166</v>
      </c>
      <c r="E1755" s="13" t="s">
        <v>3521</v>
      </c>
      <c r="F1755" s="43">
        <v>0</v>
      </c>
    </row>
    <row r="1756" spans="2:6" x14ac:dyDescent="0.25">
      <c r="B1756" s="13" t="s">
        <v>3522</v>
      </c>
      <c r="C1756" s="15" t="s">
        <v>167</v>
      </c>
      <c r="D1756" s="13" t="s">
        <v>166</v>
      </c>
      <c r="E1756" s="13" t="s">
        <v>3523</v>
      </c>
      <c r="F1756" s="43">
        <v>0</v>
      </c>
    </row>
    <row r="1757" spans="2:6" x14ac:dyDescent="0.25">
      <c r="B1757" s="13" t="s">
        <v>3524</v>
      </c>
      <c r="C1757" s="15" t="s">
        <v>167</v>
      </c>
      <c r="D1757" s="13" t="s">
        <v>166</v>
      </c>
      <c r="E1757" s="13" t="s">
        <v>3525</v>
      </c>
      <c r="F1757" s="43">
        <v>227.5</v>
      </c>
    </row>
    <row r="1758" spans="2:6" x14ac:dyDescent="0.25">
      <c r="B1758" s="13" t="s">
        <v>3526</v>
      </c>
      <c r="C1758" s="15" t="s">
        <v>167</v>
      </c>
      <c r="D1758" s="13" t="s">
        <v>166</v>
      </c>
      <c r="E1758" s="13" t="s">
        <v>3527</v>
      </c>
      <c r="F1758" s="43">
        <v>227.5</v>
      </c>
    </row>
    <row r="1759" spans="2:6" x14ac:dyDescent="0.25">
      <c r="B1759" s="13" t="s">
        <v>3528</v>
      </c>
      <c r="C1759" s="15" t="s">
        <v>167</v>
      </c>
      <c r="D1759" s="13" t="s">
        <v>166</v>
      </c>
      <c r="E1759" s="13" t="s">
        <v>3529</v>
      </c>
      <c r="F1759" s="43">
        <v>227.5</v>
      </c>
    </row>
    <row r="1760" spans="2:6" x14ac:dyDescent="0.25">
      <c r="B1760" s="13" t="s">
        <v>3530</v>
      </c>
      <c r="C1760" s="15" t="s">
        <v>167</v>
      </c>
      <c r="D1760" s="13" t="s">
        <v>166</v>
      </c>
      <c r="E1760" s="13" t="s">
        <v>3531</v>
      </c>
      <c r="F1760" s="43">
        <v>227.5</v>
      </c>
    </row>
    <row r="1761" spans="2:6" x14ac:dyDescent="0.25">
      <c r="B1761" s="13" t="s">
        <v>3532</v>
      </c>
      <c r="C1761" s="15" t="s">
        <v>167</v>
      </c>
      <c r="D1761" s="13" t="s">
        <v>166</v>
      </c>
      <c r="E1761" s="13" t="s">
        <v>3533</v>
      </c>
      <c r="F1761" s="43">
        <v>227.5</v>
      </c>
    </row>
    <row r="1762" spans="2:6" x14ac:dyDescent="0.25">
      <c r="B1762" s="13" t="s">
        <v>3534</v>
      </c>
      <c r="C1762" s="15" t="s">
        <v>167</v>
      </c>
      <c r="D1762" s="13" t="s">
        <v>166</v>
      </c>
      <c r="E1762" s="13" t="s">
        <v>3535</v>
      </c>
      <c r="F1762" s="43">
        <v>227.5</v>
      </c>
    </row>
    <row r="1763" spans="2:6" x14ac:dyDescent="0.25">
      <c r="B1763" s="13" t="s">
        <v>3536</v>
      </c>
      <c r="C1763" s="15" t="s">
        <v>167</v>
      </c>
      <c r="D1763" s="13" t="s">
        <v>166</v>
      </c>
      <c r="E1763" s="13" t="s">
        <v>3537</v>
      </c>
      <c r="F1763" s="43">
        <v>227.5</v>
      </c>
    </row>
    <row r="1764" spans="2:6" x14ac:dyDescent="0.25">
      <c r="B1764" s="13" t="s">
        <v>3538</v>
      </c>
      <c r="C1764" s="15" t="s">
        <v>167</v>
      </c>
      <c r="D1764" s="13" t="s">
        <v>166</v>
      </c>
      <c r="E1764" s="13" t="s">
        <v>3539</v>
      </c>
      <c r="F1764" s="43">
        <v>227.5</v>
      </c>
    </row>
    <row r="1765" spans="2:6" x14ac:dyDescent="0.25">
      <c r="B1765" s="13" t="s">
        <v>3540</v>
      </c>
      <c r="C1765" s="15" t="s">
        <v>167</v>
      </c>
      <c r="D1765" s="13" t="s">
        <v>166</v>
      </c>
      <c r="E1765" s="13" t="s">
        <v>3541</v>
      </c>
      <c r="F1765" s="43">
        <v>227.5</v>
      </c>
    </row>
    <row r="1766" spans="2:6" x14ac:dyDescent="0.25">
      <c r="B1766" s="13" t="s">
        <v>3542</v>
      </c>
      <c r="C1766" s="15" t="s">
        <v>167</v>
      </c>
      <c r="D1766" s="13" t="s">
        <v>166</v>
      </c>
      <c r="E1766" s="13" t="s">
        <v>3543</v>
      </c>
      <c r="F1766" s="43">
        <v>227.5</v>
      </c>
    </row>
    <row r="1767" spans="2:6" x14ac:dyDescent="0.25">
      <c r="B1767" s="13" t="s">
        <v>3544</v>
      </c>
      <c r="C1767" s="15" t="s">
        <v>167</v>
      </c>
      <c r="D1767" s="13" t="s">
        <v>166</v>
      </c>
      <c r="E1767" s="13" t="s">
        <v>3545</v>
      </c>
      <c r="F1767" s="43">
        <v>227.5</v>
      </c>
    </row>
    <row r="1768" spans="2:6" x14ac:dyDescent="0.25">
      <c r="B1768" s="13" t="s">
        <v>3546</v>
      </c>
      <c r="C1768" s="15" t="s">
        <v>167</v>
      </c>
      <c r="D1768" s="13" t="s">
        <v>166</v>
      </c>
      <c r="E1768" s="13" t="s">
        <v>3547</v>
      </c>
      <c r="F1768" s="43">
        <v>227.5</v>
      </c>
    </row>
    <row r="1769" spans="2:6" x14ac:dyDescent="0.25">
      <c r="B1769" s="13" t="s">
        <v>3548</v>
      </c>
      <c r="C1769" s="15" t="s">
        <v>167</v>
      </c>
      <c r="D1769" s="13" t="s">
        <v>166</v>
      </c>
      <c r="E1769" s="13" t="s">
        <v>3549</v>
      </c>
      <c r="F1769" s="43">
        <v>227.5</v>
      </c>
    </row>
    <row r="1770" spans="2:6" x14ac:dyDescent="0.25">
      <c r="B1770" s="13" t="s">
        <v>3550</v>
      </c>
      <c r="C1770" s="15" t="s">
        <v>167</v>
      </c>
      <c r="D1770" s="13" t="s">
        <v>166</v>
      </c>
      <c r="E1770" s="13" t="s">
        <v>3551</v>
      </c>
      <c r="F1770" s="43">
        <v>227.5</v>
      </c>
    </row>
    <row r="1771" spans="2:6" x14ac:dyDescent="0.25">
      <c r="B1771" s="13" t="s">
        <v>3552</v>
      </c>
      <c r="C1771" s="15" t="s">
        <v>167</v>
      </c>
      <c r="D1771" s="13" t="s">
        <v>166</v>
      </c>
      <c r="E1771" s="13" t="s">
        <v>3553</v>
      </c>
      <c r="F1771" s="43">
        <v>227.5</v>
      </c>
    </row>
    <row r="1772" spans="2:6" x14ac:dyDescent="0.25">
      <c r="B1772" s="13" t="s">
        <v>3554</v>
      </c>
      <c r="C1772" s="15" t="s">
        <v>167</v>
      </c>
      <c r="D1772" s="13" t="s">
        <v>166</v>
      </c>
      <c r="E1772" s="13" t="s">
        <v>3555</v>
      </c>
      <c r="F1772" s="43">
        <v>227.5</v>
      </c>
    </row>
    <row r="1773" spans="2:6" x14ac:dyDescent="0.25">
      <c r="B1773" s="13" t="s">
        <v>3556</v>
      </c>
      <c r="C1773" s="15" t="s">
        <v>167</v>
      </c>
      <c r="D1773" s="13" t="s">
        <v>166</v>
      </c>
      <c r="E1773" s="13" t="s">
        <v>3557</v>
      </c>
      <c r="F1773" s="43">
        <v>227.5</v>
      </c>
    </row>
    <row r="1774" spans="2:6" x14ac:dyDescent="0.25">
      <c r="B1774" s="13" t="s">
        <v>3558</v>
      </c>
      <c r="C1774" s="15" t="s">
        <v>167</v>
      </c>
      <c r="D1774" s="13" t="s">
        <v>166</v>
      </c>
      <c r="E1774" s="13" t="s">
        <v>3559</v>
      </c>
      <c r="F1774" s="43">
        <v>227.5</v>
      </c>
    </row>
    <row r="1775" spans="2:6" x14ac:dyDescent="0.25">
      <c r="B1775" s="13" t="s">
        <v>3560</v>
      </c>
      <c r="C1775" s="15" t="s">
        <v>167</v>
      </c>
      <c r="D1775" s="13" t="s">
        <v>166</v>
      </c>
      <c r="E1775" s="13" t="s">
        <v>3561</v>
      </c>
      <c r="F1775" s="43">
        <v>227.5</v>
      </c>
    </row>
    <row r="1776" spans="2:6" x14ac:dyDescent="0.25">
      <c r="B1776" s="13" t="s">
        <v>3562</v>
      </c>
      <c r="C1776" s="15" t="s">
        <v>167</v>
      </c>
      <c r="D1776" s="13" t="s">
        <v>166</v>
      </c>
      <c r="E1776" s="13" t="s">
        <v>3563</v>
      </c>
      <c r="F1776" s="43">
        <v>227.5</v>
      </c>
    </row>
    <row r="1777" spans="2:6" x14ac:dyDescent="0.25">
      <c r="B1777" s="13" t="s">
        <v>3564</v>
      </c>
      <c r="C1777" s="15" t="s">
        <v>167</v>
      </c>
      <c r="D1777" s="13" t="s">
        <v>166</v>
      </c>
      <c r="E1777" s="13" t="s">
        <v>3565</v>
      </c>
      <c r="F1777" s="43">
        <v>227.5</v>
      </c>
    </row>
    <row r="1778" spans="2:6" x14ac:dyDescent="0.25">
      <c r="B1778" s="13" t="s">
        <v>3566</v>
      </c>
      <c r="C1778" s="15" t="s">
        <v>167</v>
      </c>
      <c r="D1778" s="13" t="s">
        <v>166</v>
      </c>
      <c r="E1778" s="13" t="s">
        <v>3567</v>
      </c>
      <c r="F1778" s="43">
        <v>147.6</v>
      </c>
    </row>
    <row r="1779" spans="2:6" x14ac:dyDescent="0.25">
      <c r="B1779" s="13" t="s">
        <v>3568</v>
      </c>
      <c r="C1779" s="15" t="s">
        <v>167</v>
      </c>
      <c r="D1779" s="13" t="s">
        <v>166</v>
      </c>
      <c r="E1779" s="13" t="s">
        <v>3569</v>
      </c>
      <c r="F1779" s="43">
        <v>104.3</v>
      </c>
    </row>
    <row r="1780" spans="2:6" x14ac:dyDescent="0.25">
      <c r="B1780" s="13" t="s">
        <v>3570</v>
      </c>
      <c r="C1780" s="15" t="s">
        <v>167</v>
      </c>
      <c r="D1780" s="13" t="s">
        <v>166</v>
      </c>
      <c r="E1780" s="13" t="s">
        <v>3571</v>
      </c>
      <c r="F1780" s="43">
        <v>104.3</v>
      </c>
    </row>
    <row r="1781" spans="2:6" x14ac:dyDescent="0.25">
      <c r="B1781" s="13" t="s">
        <v>3572</v>
      </c>
      <c r="C1781" s="15" t="s">
        <v>167</v>
      </c>
      <c r="D1781" s="13" t="s">
        <v>166</v>
      </c>
      <c r="E1781" s="13" t="s">
        <v>3573</v>
      </c>
      <c r="F1781" s="43">
        <v>60.6</v>
      </c>
    </row>
    <row r="1782" spans="2:6" x14ac:dyDescent="0.25">
      <c r="B1782" s="13" t="s">
        <v>3574</v>
      </c>
      <c r="C1782" s="15" t="s">
        <v>167</v>
      </c>
      <c r="D1782" s="13" t="s">
        <v>166</v>
      </c>
      <c r="E1782" s="13" t="s">
        <v>3575</v>
      </c>
      <c r="F1782" s="43">
        <v>49.8</v>
      </c>
    </row>
    <row r="1783" spans="2:6" x14ac:dyDescent="0.25">
      <c r="B1783" s="13" t="s">
        <v>3576</v>
      </c>
      <c r="C1783" s="15" t="s">
        <v>167</v>
      </c>
      <c r="D1783" s="13" t="s">
        <v>166</v>
      </c>
      <c r="E1783" s="13" t="s">
        <v>3577</v>
      </c>
      <c r="F1783" s="43">
        <v>104.3</v>
      </c>
    </row>
    <row r="1784" spans="2:6" x14ac:dyDescent="0.25">
      <c r="B1784" s="13" t="s">
        <v>3578</v>
      </c>
      <c r="C1784" s="15" t="s">
        <v>167</v>
      </c>
      <c r="D1784" s="13" t="s">
        <v>166</v>
      </c>
      <c r="E1784" s="13" t="s">
        <v>3579</v>
      </c>
      <c r="F1784" s="43">
        <v>104.3</v>
      </c>
    </row>
    <row r="1785" spans="2:6" x14ac:dyDescent="0.25">
      <c r="B1785" s="13" t="s">
        <v>3580</v>
      </c>
      <c r="C1785" s="15" t="s">
        <v>167</v>
      </c>
      <c r="D1785" s="13" t="s">
        <v>166</v>
      </c>
      <c r="E1785" s="13" t="s">
        <v>3581</v>
      </c>
      <c r="F1785" s="43">
        <v>60.6</v>
      </c>
    </row>
    <row r="1786" spans="2:6" x14ac:dyDescent="0.25">
      <c r="B1786" s="13" t="s">
        <v>3582</v>
      </c>
      <c r="C1786" s="15" t="s">
        <v>167</v>
      </c>
      <c r="D1786" s="13" t="s">
        <v>166</v>
      </c>
      <c r="E1786" s="13" t="s">
        <v>3583</v>
      </c>
      <c r="F1786" s="43">
        <v>25.3</v>
      </c>
    </row>
    <row r="1787" spans="2:6" x14ac:dyDescent="0.25">
      <c r="B1787" s="13" t="s">
        <v>3584</v>
      </c>
      <c r="C1787" s="15" t="s">
        <v>167</v>
      </c>
      <c r="D1787" s="13" t="s">
        <v>166</v>
      </c>
      <c r="E1787" s="13" t="s">
        <v>3585</v>
      </c>
      <c r="F1787" s="43">
        <v>25.3</v>
      </c>
    </row>
    <row r="1788" spans="2:6" x14ac:dyDescent="0.25">
      <c r="B1788" s="13" t="s">
        <v>3586</v>
      </c>
      <c r="C1788" s="15" t="s">
        <v>167</v>
      </c>
      <c r="D1788" s="13" t="s">
        <v>166</v>
      </c>
      <c r="E1788" s="13" t="s">
        <v>3587</v>
      </c>
      <c r="F1788" s="43">
        <v>25.3</v>
      </c>
    </row>
    <row r="1789" spans="2:6" x14ac:dyDescent="0.25">
      <c r="B1789" s="13" t="s">
        <v>3588</v>
      </c>
      <c r="C1789" s="15" t="s">
        <v>167</v>
      </c>
      <c r="D1789" s="13" t="s">
        <v>166</v>
      </c>
      <c r="E1789" s="13" t="s">
        <v>3589</v>
      </c>
      <c r="F1789" s="43">
        <v>19.399999999999999</v>
      </c>
    </row>
    <row r="1790" spans="2:6" x14ac:dyDescent="0.25">
      <c r="B1790" s="13" t="s">
        <v>3590</v>
      </c>
      <c r="C1790" s="15" t="s">
        <v>167</v>
      </c>
      <c r="D1790" s="13" t="s">
        <v>166</v>
      </c>
      <c r="E1790" s="13" t="s">
        <v>3591</v>
      </c>
      <c r="F1790" s="43">
        <v>19.399999999999999</v>
      </c>
    </row>
    <row r="1791" spans="2:6" x14ac:dyDescent="0.25">
      <c r="B1791" s="13" t="s">
        <v>3592</v>
      </c>
      <c r="C1791" s="15" t="s">
        <v>167</v>
      </c>
      <c r="D1791" s="13" t="s">
        <v>166</v>
      </c>
      <c r="E1791" s="13" t="s">
        <v>3593</v>
      </c>
      <c r="F1791" s="43">
        <v>19.399999999999999</v>
      </c>
    </row>
    <row r="1792" spans="2:6" x14ac:dyDescent="0.25">
      <c r="B1792" s="13" t="s">
        <v>3594</v>
      </c>
      <c r="C1792" s="15" t="s">
        <v>167</v>
      </c>
      <c r="D1792" s="13" t="s">
        <v>166</v>
      </c>
      <c r="E1792" s="13" t="s">
        <v>3595</v>
      </c>
      <c r="F1792" s="43">
        <v>19.399999999999999</v>
      </c>
    </row>
    <row r="1793" spans="2:6" x14ac:dyDescent="0.25">
      <c r="B1793" s="13" t="s">
        <v>3596</v>
      </c>
      <c r="C1793" s="15" t="s">
        <v>167</v>
      </c>
      <c r="D1793" s="13" t="s">
        <v>166</v>
      </c>
      <c r="E1793" s="13" t="s">
        <v>3597</v>
      </c>
      <c r="F1793" s="43">
        <v>19.399999999999999</v>
      </c>
    </row>
    <row r="1794" spans="2:6" x14ac:dyDescent="0.25">
      <c r="B1794" s="13" t="s">
        <v>3598</v>
      </c>
      <c r="C1794" s="15" t="s">
        <v>167</v>
      </c>
      <c r="D1794" s="13" t="s">
        <v>166</v>
      </c>
      <c r="E1794" s="13" t="s">
        <v>3599</v>
      </c>
      <c r="F1794" s="43">
        <v>19.399999999999999</v>
      </c>
    </row>
    <row r="1795" spans="2:6" x14ac:dyDescent="0.25">
      <c r="B1795" s="13" t="s">
        <v>3600</v>
      </c>
      <c r="C1795" s="15" t="s">
        <v>167</v>
      </c>
      <c r="D1795" s="13" t="s">
        <v>166</v>
      </c>
      <c r="E1795" s="13" t="s">
        <v>3601</v>
      </c>
      <c r="F1795" s="43">
        <v>19.399999999999999</v>
      </c>
    </row>
    <row r="1796" spans="2:6" x14ac:dyDescent="0.25">
      <c r="B1796" s="13" t="s">
        <v>3602</v>
      </c>
      <c r="C1796" s="15" t="s">
        <v>167</v>
      </c>
      <c r="D1796" s="13" t="s">
        <v>166</v>
      </c>
      <c r="E1796" s="13" t="s">
        <v>3603</v>
      </c>
      <c r="F1796" s="43">
        <v>19.399999999999999</v>
      </c>
    </row>
    <row r="1797" spans="2:6" x14ac:dyDescent="0.25">
      <c r="B1797" s="13" t="s">
        <v>3604</v>
      </c>
      <c r="C1797" s="15" t="s">
        <v>167</v>
      </c>
      <c r="D1797" s="13" t="s">
        <v>166</v>
      </c>
      <c r="E1797" s="13" t="s">
        <v>3605</v>
      </c>
      <c r="F1797" s="43">
        <v>68</v>
      </c>
    </row>
    <row r="1798" spans="2:6" x14ac:dyDescent="0.25">
      <c r="B1798" s="13" t="s">
        <v>3606</v>
      </c>
      <c r="C1798" s="15" t="s">
        <v>167</v>
      </c>
      <c r="D1798" s="13" t="s">
        <v>166</v>
      </c>
      <c r="E1798" s="13" t="s">
        <v>3607</v>
      </c>
      <c r="F1798" s="43">
        <v>68</v>
      </c>
    </row>
    <row r="1799" spans="2:6" x14ac:dyDescent="0.25">
      <c r="B1799" s="13" t="s">
        <v>3608</v>
      </c>
      <c r="C1799" s="15" t="s">
        <v>167</v>
      </c>
      <c r="D1799" s="13" t="s">
        <v>166</v>
      </c>
      <c r="E1799" s="13" t="s">
        <v>3609</v>
      </c>
      <c r="F1799" s="43">
        <v>68</v>
      </c>
    </row>
    <row r="1800" spans="2:6" x14ac:dyDescent="0.25">
      <c r="B1800" s="13" t="s">
        <v>3610</v>
      </c>
      <c r="C1800" s="15" t="s">
        <v>167</v>
      </c>
      <c r="D1800" s="13" t="s">
        <v>166</v>
      </c>
      <c r="E1800" s="13" t="s">
        <v>3611</v>
      </c>
      <c r="F1800" s="43">
        <v>68</v>
      </c>
    </row>
    <row r="1801" spans="2:6" x14ac:dyDescent="0.25">
      <c r="B1801" s="13" t="s">
        <v>3612</v>
      </c>
      <c r="C1801" s="15" t="s">
        <v>167</v>
      </c>
      <c r="D1801" s="13" t="s">
        <v>166</v>
      </c>
      <c r="E1801" s="13" t="s">
        <v>3613</v>
      </c>
      <c r="F1801" s="43">
        <v>68</v>
      </c>
    </row>
    <row r="1802" spans="2:6" x14ac:dyDescent="0.25">
      <c r="B1802" s="13" t="s">
        <v>3614</v>
      </c>
      <c r="C1802" s="15" t="s">
        <v>167</v>
      </c>
      <c r="D1802" s="13" t="s">
        <v>166</v>
      </c>
      <c r="E1802" s="13" t="s">
        <v>3615</v>
      </c>
      <c r="F1802" s="43">
        <v>39.9</v>
      </c>
    </row>
    <row r="1803" spans="2:6" x14ac:dyDescent="0.25">
      <c r="B1803" s="13" t="s">
        <v>3616</v>
      </c>
      <c r="C1803" s="15" t="s">
        <v>167</v>
      </c>
      <c r="D1803" s="13" t="s">
        <v>166</v>
      </c>
      <c r="E1803" s="13" t="s">
        <v>3617</v>
      </c>
      <c r="F1803" s="43">
        <v>39.9</v>
      </c>
    </row>
    <row r="1804" spans="2:6" x14ac:dyDescent="0.25">
      <c r="B1804" s="13" t="s">
        <v>3618</v>
      </c>
      <c r="C1804" s="15" t="s">
        <v>167</v>
      </c>
      <c r="D1804" s="13" t="s">
        <v>166</v>
      </c>
      <c r="E1804" s="13" t="s">
        <v>3619</v>
      </c>
      <c r="F1804" s="43">
        <v>39.9</v>
      </c>
    </row>
    <row r="1805" spans="2:6" x14ac:dyDescent="0.25">
      <c r="B1805" s="13" t="s">
        <v>3620</v>
      </c>
      <c r="C1805" s="15" t="s">
        <v>167</v>
      </c>
      <c r="D1805" s="13" t="s">
        <v>166</v>
      </c>
      <c r="E1805" s="13" t="s">
        <v>3621</v>
      </c>
      <c r="F1805" s="43">
        <v>36.6</v>
      </c>
    </row>
    <row r="1806" spans="2:6" x14ac:dyDescent="0.25">
      <c r="B1806" s="13" t="s">
        <v>3622</v>
      </c>
      <c r="C1806" s="15" t="s">
        <v>167</v>
      </c>
      <c r="D1806" s="13" t="s">
        <v>166</v>
      </c>
      <c r="E1806" s="13" t="s">
        <v>3623</v>
      </c>
      <c r="F1806" s="43">
        <v>36.6</v>
      </c>
    </row>
    <row r="1807" spans="2:6" x14ac:dyDescent="0.25">
      <c r="B1807" s="13" t="s">
        <v>3624</v>
      </c>
      <c r="C1807" s="15" t="s">
        <v>167</v>
      </c>
      <c r="D1807" s="13" t="s">
        <v>166</v>
      </c>
      <c r="E1807" s="13" t="s">
        <v>3625</v>
      </c>
      <c r="F1807" s="43">
        <v>36.6</v>
      </c>
    </row>
    <row r="1808" spans="2:6" x14ac:dyDescent="0.25">
      <c r="B1808" s="13" t="s">
        <v>3626</v>
      </c>
      <c r="C1808" s="15" t="s">
        <v>167</v>
      </c>
      <c r="D1808" s="13" t="s">
        <v>166</v>
      </c>
      <c r="E1808" s="13" t="s">
        <v>3627</v>
      </c>
      <c r="F1808" s="43">
        <v>36.6</v>
      </c>
    </row>
    <row r="1809" spans="2:6" x14ac:dyDescent="0.25">
      <c r="B1809" s="13" t="s">
        <v>3628</v>
      </c>
      <c r="C1809" s="15" t="s">
        <v>167</v>
      </c>
      <c r="D1809" s="13" t="s">
        <v>166</v>
      </c>
      <c r="E1809" s="13" t="s">
        <v>3629</v>
      </c>
      <c r="F1809" s="43">
        <v>36.6</v>
      </c>
    </row>
    <row r="1810" spans="2:6" x14ac:dyDescent="0.25">
      <c r="B1810" s="13" t="s">
        <v>3630</v>
      </c>
      <c r="C1810" s="15" t="s">
        <v>167</v>
      </c>
      <c r="D1810" s="13" t="s">
        <v>166</v>
      </c>
      <c r="E1810" s="13" t="s">
        <v>3631</v>
      </c>
      <c r="F1810" s="43">
        <v>42</v>
      </c>
    </row>
    <row r="1811" spans="2:6" x14ac:dyDescent="0.25">
      <c r="B1811" s="13" t="s">
        <v>3632</v>
      </c>
      <c r="C1811" s="15" t="s">
        <v>167</v>
      </c>
      <c r="D1811" s="13" t="s">
        <v>166</v>
      </c>
      <c r="E1811" s="13" t="s">
        <v>3633</v>
      </c>
      <c r="F1811" s="43">
        <v>36.6</v>
      </c>
    </row>
    <row r="1812" spans="2:6" x14ac:dyDescent="0.25">
      <c r="B1812" s="13" t="s">
        <v>3634</v>
      </c>
      <c r="C1812" s="15" t="s">
        <v>167</v>
      </c>
      <c r="D1812" s="13" t="s">
        <v>166</v>
      </c>
      <c r="E1812" s="13" t="s">
        <v>3635</v>
      </c>
      <c r="F1812" s="43">
        <v>38</v>
      </c>
    </row>
    <row r="1813" spans="2:6" x14ac:dyDescent="0.25">
      <c r="B1813" s="13" t="s">
        <v>3636</v>
      </c>
      <c r="C1813" s="15" t="s">
        <v>167</v>
      </c>
      <c r="D1813" s="13" t="s">
        <v>166</v>
      </c>
      <c r="E1813" s="13" t="s">
        <v>3637</v>
      </c>
      <c r="F1813" s="43">
        <v>61.1</v>
      </c>
    </row>
    <row r="1814" spans="2:6" x14ac:dyDescent="0.25">
      <c r="B1814" s="13" t="s">
        <v>3638</v>
      </c>
      <c r="C1814" s="15" t="s">
        <v>167</v>
      </c>
      <c r="D1814" s="13" t="s">
        <v>166</v>
      </c>
      <c r="E1814" s="13" t="s">
        <v>3639</v>
      </c>
      <c r="F1814" s="43">
        <v>49</v>
      </c>
    </row>
    <row r="1815" spans="2:6" x14ac:dyDescent="0.25">
      <c r="B1815" s="13" t="s">
        <v>3640</v>
      </c>
      <c r="C1815" s="15" t="s">
        <v>167</v>
      </c>
      <c r="D1815" s="13" t="s">
        <v>166</v>
      </c>
      <c r="E1815" s="13" t="s">
        <v>3641</v>
      </c>
      <c r="F1815" s="43">
        <v>57</v>
      </c>
    </row>
    <row r="1816" spans="2:6" x14ac:dyDescent="0.25">
      <c r="B1816" s="13" t="s">
        <v>3642</v>
      </c>
      <c r="C1816" s="15" t="s">
        <v>167</v>
      </c>
      <c r="D1816" s="13" t="s">
        <v>166</v>
      </c>
      <c r="E1816" s="13" t="s">
        <v>3643</v>
      </c>
      <c r="F1816" s="43">
        <v>213.3</v>
      </c>
    </row>
    <row r="1817" spans="2:6" x14ac:dyDescent="0.25">
      <c r="B1817" s="13" t="s">
        <v>3644</v>
      </c>
      <c r="C1817" s="15" t="s">
        <v>167</v>
      </c>
      <c r="D1817" s="13" t="s">
        <v>166</v>
      </c>
      <c r="E1817" s="13" t="s">
        <v>3645</v>
      </c>
      <c r="F1817" s="43">
        <v>265.3</v>
      </c>
    </row>
    <row r="1818" spans="2:6" x14ac:dyDescent="0.25">
      <c r="B1818" s="13" t="s">
        <v>3646</v>
      </c>
      <c r="C1818" s="15" t="s">
        <v>167</v>
      </c>
      <c r="D1818" s="13" t="s">
        <v>166</v>
      </c>
      <c r="E1818" s="13" t="s">
        <v>3647</v>
      </c>
      <c r="F1818" s="43">
        <v>233.4</v>
      </c>
    </row>
    <row r="1819" spans="2:6" x14ac:dyDescent="0.25">
      <c r="B1819" s="13" t="s">
        <v>3648</v>
      </c>
      <c r="C1819" s="15" t="s">
        <v>167</v>
      </c>
      <c r="D1819" s="13" t="s">
        <v>166</v>
      </c>
      <c r="E1819" s="13" t="s">
        <v>3649</v>
      </c>
      <c r="F1819" s="43">
        <v>187.3</v>
      </c>
    </row>
    <row r="1820" spans="2:6" x14ac:dyDescent="0.25">
      <c r="B1820" s="13" t="s">
        <v>3650</v>
      </c>
      <c r="C1820" s="15" t="s">
        <v>167</v>
      </c>
      <c r="D1820" s="13" t="s">
        <v>166</v>
      </c>
      <c r="E1820" s="13" t="s">
        <v>3651</v>
      </c>
      <c r="F1820" s="43">
        <v>74.599999999999994</v>
      </c>
    </row>
    <row r="1821" spans="2:6" x14ac:dyDescent="0.25">
      <c r="B1821" s="13" t="s">
        <v>3652</v>
      </c>
      <c r="C1821" s="15" t="s">
        <v>167</v>
      </c>
      <c r="D1821" s="13" t="s">
        <v>166</v>
      </c>
      <c r="E1821" s="13" t="s">
        <v>3653</v>
      </c>
      <c r="F1821" s="43">
        <v>68.400000000000006</v>
      </c>
    </row>
    <row r="1822" spans="2:6" x14ac:dyDescent="0.25">
      <c r="B1822" s="13" t="s">
        <v>3654</v>
      </c>
      <c r="C1822" s="15" t="s">
        <v>167</v>
      </c>
      <c r="D1822" s="13" t="s">
        <v>166</v>
      </c>
      <c r="E1822" s="13" t="s">
        <v>3655</v>
      </c>
      <c r="F1822" s="43">
        <v>68.400000000000006</v>
      </c>
    </row>
    <row r="1823" spans="2:6" x14ac:dyDescent="0.25">
      <c r="B1823" s="13" t="s">
        <v>3656</v>
      </c>
      <c r="C1823" s="15" t="s">
        <v>167</v>
      </c>
      <c r="D1823" s="13" t="s">
        <v>166</v>
      </c>
      <c r="E1823" s="13" t="s">
        <v>3657</v>
      </c>
      <c r="F1823" s="43">
        <v>83.5</v>
      </c>
    </row>
    <row r="1824" spans="2:6" x14ac:dyDescent="0.25">
      <c r="B1824" s="13" t="s">
        <v>3658</v>
      </c>
      <c r="C1824" s="15" t="s">
        <v>167</v>
      </c>
      <c r="D1824" s="13" t="s">
        <v>166</v>
      </c>
      <c r="E1824" s="13" t="s">
        <v>3659</v>
      </c>
      <c r="F1824" s="43">
        <v>95.45</v>
      </c>
    </row>
    <row r="1825" spans="2:6" x14ac:dyDescent="0.25">
      <c r="B1825" s="13" t="s">
        <v>3660</v>
      </c>
      <c r="C1825" s="15" t="s">
        <v>167</v>
      </c>
      <c r="D1825" s="13" t="s">
        <v>166</v>
      </c>
      <c r="E1825" s="13" t="s">
        <v>3661</v>
      </c>
      <c r="F1825" s="43">
        <v>181.3</v>
      </c>
    </row>
    <row r="1826" spans="2:6" x14ac:dyDescent="0.25">
      <c r="B1826" s="13" t="s">
        <v>3662</v>
      </c>
      <c r="C1826" s="15" t="s">
        <v>167</v>
      </c>
      <c r="D1826" s="13" t="s">
        <v>166</v>
      </c>
      <c r="E1826" s="13" t="s">
        <v>3663</v>
      </c>
      <c r="F1826" s="43">
        <v>147.69999999999999</v>
      </c>
    </row>
    <row r="1827" spans="2:6" x14ac:dyDescent="0.25">
      <c r="B1827" s="13" t="s">
        <v>3664</v>
      </c>
      <c r="C1827" s="15" t="s">
        <v>167</v>
      </c>
      <c r="D1827" s="13" t="s">
        <v>166</v>
      </c>
      <c r="E1827" s="13" t="s">
        <v>3665</v>
      </c>
      <c r="F1827" s="43">
        <v>140.25</v>
      </c>
    </row>
    <row r="1828" spans="2:6" x14ac:dyDescent="0.25">
      <c r="B1828" s="13" t="s">
        <v>3464</v>
      </c>
      <c r="C1828" s="15" t="s">
        <v>167</v>
      </c>
      <c r="D1828" s="13" t="s">
        <v>166</v>
      </c>
      <c r="E1828" s="13" t="s">
        <v>3666</v>
      </c>
      <c r="F1828" s="43">
        <v>116.55</v>
      </c>
    </row>
    <row r="1829" spans="2:6" x14ac:dyDescent="0.25">
      <c r="B1829" s="13" t="s">
        <v>3667</v>
      </c>
      <c r="C1829" s="15" t="s">
        <v>167</v>
      </c>
      <c r="D1829" s="13" t="s">
        <v>166</v>
      </c>
      <c r="E1829" s="13" t="s">
        <v>3668</v>
      </c>
      <c r="F1829" s="43">
        <v>143.1</v>
      </c>
    </row>
    <row r="1830" spans="2:6" x14ac:dyDescent="0.25">
      <c r="B1830" s="13" t="s">
        <v>3669</v>
      </c>
      <c r="C1830" s="15" t="s">
        <v>167</v>
      </c>
      <c r="D1830" s="13" t="s">
        <v>166</v>
      </c>
      <c r="E1830" s="13" t="s">
        <v>3670</v>
      </c>
      <c r="F1830" s="43">
        <v>100.3</v>
      </c>
    </row>
    <row r="1831" spans="2:6" x14ac:dyDescent="0.25">
      <c r="B1831" s="13" t="s">
        <v>3671</v>
      </c>
      <c r="C1831" s="15" t="s">
        <v>167</v>
      </c>
      <c r="D1831" s="13" t="s">
        <v>166</v>
      </c>
      <c r="E1831" s="13" t="s">
        <v>3672</v>
      </c>
      <c r="F1831" s="43">
        <v>147.69999999999999</v>
      </c>
    </row>
    <row r="1832" spans="2:6" x14ac:dyDescent="0.25">
      <c r="B1832" s="13" t="s">
        <v>3673</v>
      </c>
      <c r="C1832" s="15" t="s">
        <v>167</v>
      </c>
      <c r="D1832" s="13" t="s">
        <v>166</v>
      </c>
      <c r="E1832" s="13" t="s">
        <v>3674</v>
      </c>
      <c r="F1832" s="43">
        <v>140.25</v>
      </c>
    </row>
    <row r="1833" spans="2:6" x14ac:dyDescent="0.25">
      <c r="B1833" s="13" t="s">
        <v>3675</v>
      </c>
      <c r="C1833" s="15" t="s">
        <v>167</v>
      </c>
      <c r="D1833" s="13" t="s">
        <v>166</v>
      </c>
      <c r="E1833" s="13" t="s">
        <v>3676</v>
      </c>
      <c r="F1833" s="43">
        <v>140.25</v>
      </c>
    </row>
    <row r="1834" spans="2:6" x14ac:dyDescent="0.25">
      <c r="B1834" s="13" t="s">
        <v>3677</v>
      </c>
      <c r="C1834" s="15" t="s">
        <v>167</v>
      </c>
      <c r="D1834" s="13" t="s">
        <v>166</v>
      </c>
      <c r="E1834" s="13" t="s">
        <v>3678</v>
      </c>
      <c r="F1834" s="43">
        <v>116.55</v>
      </c>
    </row>
    <row r="1835" spans="2:6" x14ac:dyDescent="0.25">
      <c r="B1835" s="13" t="s">
        <v>3679</v>
      </c>
      <c r="C1835" s="15" t="s">
        <v>167</v>
      </c>
      <c r="D1835" s="13" t="s">
        <v>166</v>
      </c>
      <c r="E1835" s="13" t="s">
        <v>3680</v>
      </c>
      <c r="F1835" s="43">
        <v>116.55</v>
      </c>
    </row>
    <row r="1836" spans="2:6" x14ac:dyDescent="0.25">
      <c r="B1836" s="13" t="s">
        <v>3681</v>
      </c>
      <c r="C1836" s="15" t="s">
        <v>167</v>
      </c>
      <c r="D1836" s="13" t="s">
        <v>166</v>
      </c>
      <c r="E1836" s="13" t="s">
        <v>3682</v>
      </c>
      <c r="F1836" s="43">
        <v>100.75</v>
      </c>
    </row>
    <row r="1837" spans="2:6" x14ac:dyDescent="0.25">
      <c r="B1837" s="13" t="s">
        <v>3683</v>
      </c>
      <c r="C1837" s="15" t="s">
        <v>167</v>
      </c>
      <c r="D1837" s="13" t="s">
        <v>166</v>
      </c>
      <c r="E1837" s="13" t="s">
        <v>3684</v>
      </c>
      <c r="F1837" s="43">
        <v>104.6</v>
      </c>
    </row>
    <row r="1838" spans="2:6" x14ac:dyDescent="0.25">
      <c r="B1838" s="13" t="s">
        <v>3685</v>
      </c>
      <c r="C1838" s="15" t="s">
        <v>167</v>
      </c>
      <c r="D1838" s="13" t="s">
        <v>166</v>
      </c>
      <c r="E1838" s="13" t="s">
        <v>3686</v>
      </c>
      <c r="F1838" s="43">
        <v>89.9</v>
      </c>
    </row>
    <row r="1839" spans="2:6" x14ac:dyDescent="0.25">
      <c r="B1839" s="13" t="s">
        <v>3687</v>
      </c>
      <c r="C1839" s="15" t="s">
        <v>167</v>
      </c>
      <c r="D1839" s="13" t="s">
        <v>166</v>
      </c>
      <c r="E1839" s="13" t="s">
        <v>3688</v>
      </c>
      <c r="F1839" s="43">
        <v>147.69999999999999</v>
      </c>
    </row>
    <row r="1840" spans="2:6" x14ac:dyDescent="0.25">
      <c r="B1840" s="13" t="s">
        <v>3689</v>
      </c>
      <c r="C1840" s="15" t="s">
        <v>167</v>
      </c>
      <c r="D1840" s="13" t="s">
        <v>166</v>
      </c>
      <c r="E1840" s="13" t="s">
        <v>3690</v>
      </c>
      <c r="F1840" s="43">
        <v>89.9</v>
      </c>
    </row>
    <row r="1841" spans="2:6" x14ac:dyDescent="0.25">
      <c r="B1841" s="13" t="s">
        <v>3691</v>
      </c>
      <c r="C1841" s="15" t="s">
        <v>167</v>
      </c>
      <c r="D1841" s="13" t="s">
        <v>166</v>
      </c>
      <c r="E1841" s="13" t="s">
        <v>3432</v>
      </c>
      <c r="F1841" s="43">
        <v>116.55</v>
      </c>
    </row>
    <row r="1842" spans="2:6" x14ac:dyDescent="0.25">
      <c r="B1842" s="13" t="s">
        <v>3692</v>
      </c>
      <c r="C1842" s="15" t="s">
        <v>167</v>
      </c>
      <c r="D1842" s="13" t="s">
        <v>166</v>
      </c>
      <c r="E1842" s="13" t="s">
        <v>3693</v>
      </c>
      <c r="F1842" s="43">
        <v>77.3</v>
      </c>
    </row>
    <row r="1843" spans="2:6" x14ac:dyDescent="0.25">
      <c r="B1843" s="13" t="s">
        <v>3694</v>
      </c>
      <c r="C1843" s="15" t="s">
        <v>167</v>
      </c>
      <c r="D1843" s="13" t="s">
        <v>166</v>
      </c>
      <c r="E1843" s="13" t="s">
        <v>3695</v>
      </c>
      <c r="F1843" s="43">
        <v>117.2</v>
      </c>
    </row>
    <row r="1844" spans="2:6" x14ac:dyDescent="0.25">
      <c r="B1844" s="13" t="s">
        <v>3696</v>
      </c>
      <c r="C1844" s="15" t="s">
        <v>167</v>
      </c>
      <c r="D1844" s="13" t="s">
        <v>166</v>
      </c>
      <c r="E1844" s="13" t="s">
        <v>3697</v>
      </c>
      <c r="F1844" s="43">
        <v>142.19999999999999</v>
      </c>
    </row>
    <row r="1845" spans="2:6" x14ac:dyDescent="0.25">
      <c r="B1845" s="13" t="s">
        <v>3698</v>
      </c>
      <c r="C1845" s="15" t="s">
        <v>167</v>
      </c>
      <c r="D1845" s="13" t="s">
        <v>166</v>
      </c>
      <c r="E1845" s="13" t="s">
        <v>3699</v>
      </c>
      <c r="F1845" s="43">
        <v>86.8</v>
      </c>
    </row>
    <row r="1846" spans="2:6" x14ac:dyDescent="0.25">
      <c r="B1846" s="13" t="s">
        <v>3700</v>
      </c>
      <c r="C1846" s="15" t="s">
        <v>167</v>
      </c>
      <c r="D1846" s="13" t="s">
        <v>166</v>
      </c>
      <c r="E1846" s="13" t="s">
        <v>3701</v>
      </c>
      <c r="F1846" s="43">
        <v>86.8</v>
      </c>
    </row>
    <row r="1847" spans="2:6" x14ac:dyDescent="0.25">
      <c r="B1847" s="13" t="s">
        <v>3702</v>
      </c>
      <c r="C1847" s="15" t="s">
        <v>167</v>
      </c>
      <c r="D1847" s="13" t="s">
        <v>166</v>
      </c>
      <c r="E1847" s="13" t="s">
        <v>3703</v>
      </c>
      <c r="F1847" s="43">
        <v>86.8</v>
      </c>
    </row>
    <row r="1848" spans="2:6" x14ac:dyDescent="0.25">
      <c r="B1848" s="13" t="s">
        <v>3704</v>
      </c>
      <c r="C1848" s="15" t="s">
        <v>167</v>
      </c>
      <c r="D1848" s="13" t="s">
        <v>166</v>
      </c>
      <c r="E1848" s="13" t="s">
        <v>3705</v>
      </c>
      <c r="F1848" s="43">
        <v>0</v>
      </c>
    </row>
    <row r="1849" spans="2:6" x14ac:dyDescent="0.25">
      <c r="B1849" s="13" t="s">
        <v>3706</v>
      </c>
      <c r="C1849" s="15" t="s">
        <v>167</v>
      </c>
      <c r="D1849" s="13" t="s">
        <v>166</v>
      </c>
      <c r="E1849" s="13" t="s">
        <v>3707</v>
      </c>
      <c r="F1849" s="43">
        <v>311.8</v>
      </c>
    </row>
    <row r="1850" spans="2:6" x14ac:dyDescent="0.25">
      <c r="B1850" s="13" t="s">
        <v>3708</v>
      </c>
      <c r="C1850" s="15" t="s">
        <v>167</v>
      </c>
      <c r="D1850" s="13" t="s">
        <v>166</v>
      </c>
      <c r="E1850" s="13" t="s">
        <v>3709</v>
      </c>
      <c r="F1850" s="43">
        <v>256.7</v>
      </c>
    </row>
    <row r="1851" spans="2:6" x14ac:dyDescent="0.25">
      <c r="B1851" s="13" t="s">
        <v>3710</v>
      </c>
      <c r="C1851" s="15" t="s">
        <v>167</v>
      </c>
      <c r="D1851" s="13" t="s">
        <v>166</v>
      </c>
      <c r="E1851" s="13" t="s">
        <v>3711</v>
      </c>
      <c r="F1851" s="43">
        <v>281.89999999999998</v>
      </c>
    </row>
    <row r="1852" spans="2:6" x14ac:dyDescent="0.25">
      <c r="B1852" s="13" t="s">
        <v>3712</v>
      </c>
      <c r="C1852" s="15" t="s">
        <v>167</v>
      </c>
      <c r="D1852" s="13" t="s">
        <v>166</v>
      </c>
      <c r="E1852" s="13" t="s">
        <v>3713</v>
      </c>
      <c r="F1852" s="43">
        <v>281.89999999999998</v>
      </c>
    </row>
    <row r="1853" spans="2:6" x14ac:dyDescent="0.25">
      <c r="B1853" s="13" t="s">
        <v>3714</v>
      </c>
      <c r="C1853" s="15" t="s">
        <v>167</v>
      </c>
      <c r="D1853" s="13" t="s">
        <v>166</v>
      </c>
      <c r="E1853" s="13" t="s">
        <v>3715</v>
      </c>
      <c r="F1853" s="43">
        <v>256.7</v>
      </c>
    </row>
    <row r="1854" spans="2:6" x14ac:dyDescent="0.25">
      <c r="B1854" s="13" t="s">
        <v>3716</v>
      </c>
      <c r="C1854" s="15" t="s">
        <v>167</v>
      </c>
      <c r="D1854" s="13" t="s">
        <v>166</v>
      </c>
      <c r="E1854" s="13" t="s">
        <v>3717</v>
      </c>
      <c r="F1854" s="43">
        <v>624.79999999999995</v>
      </c>
    </row>
    <row r="1855" spans="2:6" x14ac:dyDescent="0.25">
      <c r="B1855" s="13" t="s">
        <v>3718</v>
      </c>
      <c r="C1855" s="15" t="s">
        <v>167</v>
      </c>
      <c r="D1855" s="13" t="s">
        <v>166</v>
      </c>
      <c r="E1855" s="13" t="s">
        <v>3719</v>
      </c>
      <c r="F1855" s="43">
        <v>268.45</v>
      </c>
    </row>
    <row r="1856" spans="2:6" x14ac:dyDescent="0.25">
      <c r="B1856" s="13" t="s">
        <v>3720</v>
      </c>
      <c r="C1856" s="15" t="s">
        <v>167</v>
      </c>
      <c r="D1856" s="13" t="s">
        <v>166</v>
      </c>
      <c r="E1856" s="13" t="s">
        <v>3721</v>
      </c>
      <c r="F1856" s="43">
        <v>268.45</v>
      </c>
    </row>
    <row r="1857" spans="2:6" x14ac:dyDescent="0.25">
      <c r="B1857" s="13" t="s">
        <v>3722</v>
      </c>
      <c r="C1857" s="15" t="s">
        <v>167</v>
      </c>
      <c r="D1857" s="13" t="s">
        <v>166</v>
      </c>
      <c r="E1857" s="13" t="s">
        <v>3723</v>
      </c>
      <c r="F1857" s="43">
        <v>0</v>
      </c>
    </row>
    <row r="1858" spans="2:6" x14ac:dyDescent="0.25">
      <c r="B1858" s="13" t="s">
        <v>3724</v>
      </c>
      <c r="C1858" s="15" t="s">
        <v>167</v>
      </c>
      <c r="D1858" s="13" t="s">
        <v>166</v>
      </c>
      <c r="E1858" s="13" t="s">
        <v>3725</v>
      </c>
      <c r="F1858" s="43">
        <v>324.3</v>
      </c>
    </row>
    <row r="1859" spans="2:6" x14ac:dyDescent="0.25">
      <c r="B1859" s="13" t="s">
        <v>3726</v>
      </c>
      <c r="C1859" s="15" t="s">
        <v>167</v>
      </c>
      <c r="D1859" s="13" t="s">
        <v>166</v>
      </c>
      <c r="E1859" s="13" t="s">
        <v>3727</v>
      </c>
      <c r="F1859" s="43">
        <v>514.4</v>
      </c>
    </row>
    <row r="1860" spans="2:6" x14ac:dyDescent="0.25">
      <c r="B1860" s="13" t="s">
        <v>3728</v>
      </c>
      <c r="C1860" s="15" t="s">
        <v>167</v>
      </c>
      <c r="D1860" s="13" t="s">
        <v>166</v>
      </c>
      <c r="E1860" s="13" t="s">
        <v>3729</v>
      </c>
      <c r="F1860" s="43">
        <v>451.7</v>
      </c>
    </row>
    <row r="1861" spans="2:6" x14ac:dyDescent="0.25">
      <c r="B1861" s="13" t="s">
        <v>3730</v>
      </c>
      <c r="C1861" s="15" t="s">
        <v>167</v>
      </c>
      <c r="D1861" s="13" t="s">
        <v>166</v>
      </c>
      <c r="E1861" s="13" t="s">
        <v>3731</v>
      </c>
      <c r="F1861" s="43">
        <v>375.1</v>
      </c>
    </row>
    <row r="1862" spans="2:6" x14ac:dyDescent="0.25">
      <c r="B1862" s="13" t="s">
        <v>3732</v>
      </c>
      <c r="C1862" s="15" t="s">
        <v>167</v>
      </c>
      <c r="D1862" s="13" t="s">
        <v>166</v>
      </c>
      <c r="E1862" s="13" t="s">
        <v>3733</v>
      </c>
      <c r="F1862" s="43">
        <v>241.1</v>
      </c>
    </row>
    <row r="1863" spans="2:6" x14ac:dyDescent="0.25">
      <c r="B1863" s="13" t="s">
        <v>3734</v>
      </c>
      <c r="C1863" s="15" t="s">
        <v>167</v>
      </c>
      <c r="D1863" s="13" t="s">
        <v>166</v>
      </c>
      <c r="E1863" s="13" t="s">
        <v>3735</v>
      </c>
      <c r="F1863" s="43">
        <v>353.1</v>
      </c>
    </row>
    <row r="1864" spans="2:6" x14ac:dyDescent="0.25">
      <c r="B1864" s="13" t="s">
        <v>3736</v>
      </c>
      <c r="C1864" s="15" t="s">
        <v>167</v>
      </c>
      <c r="D1864" s="13" t="s">
        <v>166</v>
      </c>
      <c r="E1864" s="13" t="s">
        <v>3737</v>
      </c>
      <c r="F1864" s="43">
        <v>296.39999999999998</v>
      </c>
    </row>
    <row r="1865" spans="2:6" x14ac:dyDescent="0.25">
      <c r="B1865" s="13" t="s">
        <v>3738</v>
      </c>
      <c r="C1865" s="15" t="s">
        <v>167</v>
      </c>
      <c r="D1865" s="13" t="s">
        <v>166</v>
      </c>
      <c r="E1865" s="13" t="s">
        <v>3739</v>
      </c>
      <c r="F1865" s="43">
        <v>331</v>
      </c>
    </row>
    <row r="1866" spans="2:6" x14ac:dyDescent="0.25">
      <c r="B1866" s="13" t="s">
        <v>3740</v>
      </c>
      <c r="C1866" s="15" t="s">
        <v>167</v>
      </c>
      <c r="D1866" s="13" t="s">
        <v>166</v>
      </c>
      <c r="E1866" s="13" t="s">
        <v>3491</v>
      </c>
      <c r="F1866" s="43">
        <v>0</v>
      </c>
    </row>
    <row r="1867" spans="2:6" x14ac:dyDescent="0.25">
      <c r="B1867" s="13" t="s">
        <v>3741</v>
      </c>
      <c r="C1867" s="15" t="s">
        <v>167</v>
      </c>
      <c r="D1867" s="13" t="s">
        <v>166</v>
      </c>
      <c r="E1867" s="13" t="s">
        <v>3742</v>
      </c>
      <c r="F1867" s="43">
        <v>55</v>
      </c>
    </row>
    <row r="1868" spans="2:6" x14ac:dyDescent="0.25">
      <c r="B1868" s="13" t="s">
        <v>3743</v>
      </c>
      <c r="C1868" s="15" t="s">
        <v>167</v>
      </c>
      <c r="D1868" s="13" t="s">
        <v>166</v>
      </c>
      <c r="E1868" s="13" t="s">
        <v>3742</v>
      </c>
      <c r="F1868" s="43">
        <v>48</v>
      </c>
    </row>
    <row r="1869" spans="2:6" x14ac:dyDescent="0.25">
      <c r="B1869" s="13" t="s">
        <v>3744</v>
      </c>
      <c r="C1869" s="15" t="s">
        <v>167</v>
      </c>
      <c r="D1869" s="13" t="s">
        <v>166</v>
      </c>
      <c r="E1869" s="13" t="s">
        <v>3745</v>
      </c>
      <c r="F1869" s="43">
        <v>2.35</v>
      </c>
    </row>
    <row r="1870" spans="2:6" x14ac:dyDescent="0.25">
      <c r="B1870" s="13" t="s">
        <v>3746</v>
      </c>
      <c r="C1870" s="15" t="s">
        <v>167</v>
      </c>
      <c r="D1870" s="13" t="s">
        <v>166</v>
      </c>
      <c r="E1870" s="13" t="s">
        <v>3477</v>
      </c>
      <c r="F1870" s="43">
        <v>1.9</v>
      </c>
    </row>
    <row r="1871" spans="2:6" x14ac:dyDescent="0.25">
      <c r="B1871" s="13" t="s">
        <v>3747</v>
      </c>
      <c r="C1871" s="15" t="s">
        <v>167</v>
      </c>
      <c r="D1871" s="13" t="s">
        <v>166</v>
      </c>
      <c r="E1871" s="13" t="s">
        <v>3748</v>
      </c>
      <c r="F1871" s="43">
        <v>3.35</v>
      </c>
    </row>
    <row r="1872" spans="2:6" x14ac:dyDescent="0.25">
      <c r="B1872" s="13" t="s">
        <v>3749</v>
      </c>
      <c r="C1872" s="15" t="s">
        <v>167</v>
      </c>
      <c r="D1872" s="13" t="s">
        <v>166</v>
      </c>
      <c r="E1872" s="13" t="s">
        <v>3750</v>
      </c>
      <c r="F1872" s="43">
        <v>2.35</v>
      </c>
    </row>
    <row r="1873" spans="2:6" x14ac:dyDescent="0.25">
      <c r="B1873" s="13" t="s">
        <v>3751</v>
      </c>
      <c r="C1873" s="15" t="s">
        <v>167</v>
      </c>
      <c r="D1873" s="13" t="s">
        <v>166</v>
      </c>
      <c r="E1873" s="13" t="s">
        <v>3752</v>
      </c>
      <c r="F1873" s="43">
        <v>3.35</v>
      </c>
    </row>
    <row r="1874" spans="2:6" x14ac:dyDescent="0.25">
      <c r="B1874" s="13" t="s">
        <v>3753</v>
      </c>
      <c r="C1874" s="15" t="s">
        <v>167</v>
      </c>
      <c r="D1874" s="13" t="s">
        <v>166</v>
      </c>
      <c r="E1874" s="13" t="s">
        <v>3754</v>
      </c>
      <c r="F1874" s="43">
        <v>0</v>
      </c>
    </row>
    <row r="1875" spans="2:6" x14ac:dyDescent="0.25">
      <c r="B1875" s="13" t="s">
        <v>3755</v>
      </c>
      <c r="C1875" s="15" t="s">
        <v>167</v>
      </c>
      <c r="D1875" s="13" t="s">
        <v>166</v>
      </c>
      <c r="E1875" s="13" t="s">
        <v>3756</v>
      </c>
      <c r="F1875" s="43">
        <v>412.9</v>
      </c>
    </row>
    <row r="1876" spans="2:6" x14ac:dyDescent="0.25">
      <c r="B1876" s="13" t="s">
        <v>3757</v>
      </c>
      <c r="C1876" s="15" t="s">
        <v>167</v>
      </c>
      <c r="D1876" s="13" t="s">
        <v>166</v>
      </c>
      <c r="E1876" s="13" t="s">
        <v>3758</v>
      </c>
      <c r="F1876" s="43">
        <v>0</v>
      </c>
    </row>
    <row r="1877" spans="2:6" x14ac:dyDescent="0.25">
      <c r="B1877" s="13" t="s">
        <v>3759</v>
      </c>
      <c r="C1877" s="15" t="s">
        <v>167</v>
      </c>
      <c r="D1877" s="13" t="s">
        <v>166</v>
      </c>
      <c r="E1877" s="13" t="s">
        <v>3760</v>
      </c>
      <c r="F1877" s="43">
        <v>260.10000000000002</v>
      </c>
    </row>
    <row r="1878" spans="2:6" x14ac:dyDescent="0.25">
      <c r="B1878" s="13" t="s">
        <v>3757</v>
      </c>
      <c r="C1878" s="15" t="s">
        <v>167</v>
      </c>
      <c r="D1878" s="13" t="s">
        <v>166</v>
      </c>
      <c r="E1878" s="13" t="s">
        <v>3761</v>
      </c>
      <c r="F1878" s="43">
        <v>0</v>
      </c>
    </row>
    <row r="1879" spans="2:6" x14ac:dyDescent="0.25">
      <c r="B1879" s="13" t="s">
        <v>3757</v>
      </c>
      <c r="C1879" s="15" t="s">
        <v>167</v>
      </c>
      <c r="D1879" s="13" t="s">
        <v>166</v>
      </c>
      <c r="E1879" s="13" t="s">
        <v>3762</v>
      </c>
      <c r="F1879" s="43">
        <v>0</v>
      </c>
    </row>
    <row r="1880" spans="2:6" x14ac:dyDescent="0.25">
      <c r="B1880" s="13" t="s">
        <v>3763</v>
      </c>
      <c r="C1880" s="15" t="s">
        <v>167</v>
      </c>
      <c r="D1880" s="13" t="s">
        <v>166</v>
      </c>
      <c r="E1880" s="13" t="s">
        <v>3764</v>
      </c>
      <c r="F1880" s="43">
        <v>0</v>
      </c>
    </row>
    <row r="1881" spans="2:6" x14ac:dyDescent="0.25">
      <c r="B1881" s="13" t="s">
        <v>3765</v>
      </c>
      <c r="C1881" s="15" t="s">
        <v>167</v>
      </c>
      <c r="D1881" s="13" t="s">
        <v>166</v>
      </c>
      <c r="E1881" s="13" t="s">
        <v>3766</v>
      </c>
      <c r="F1881" s="43">
        <v>0</v>
      </c>
    </row>
    <row r="1882" spans="2:6" x14ac:dyDescent="0.25">
      <c r="B1882" s="13" t="s">
        <v>3767</v>
      </c>
      <c r="C1882" s="15" t="s">
        <v>167</v>
      </c>
      <c r="D1882" s="13" t="s">
        <v>166</v>
      </c>
      <c r="E1882" s="13" t="s">
        <v>3768</v>
      </c>
      <c r="F1882" s="43">
        <v>0</v>
      </c>
    </row>
    <row r="1883" spans="2:6" x14ac:dyDescent="0.25">
      <c r="B1883" s="13" t="s">
        <v>3769</v>
      </c>
      <c r="C1883" s="15" t="s">
        <v>167</v>
      </c>
      <c r="D1883" s="13" t="s">
        <v>166</v>
      </c>
      <c r="E1883" s="13" t="s">
        <v>3770</v>
      </c>
      <c r="F1883" s="43">
        <v>5.9</v>
      </c>
    </row>
    <row r="1884" spans="2:6" x14ac:dyDescent="0.25">
      <c r="B1884" s="13" t="s">
        <v>3771</v>
      </c>
      <c r="C1884" s="15" t="s">
        <v>167</v>
      </c>
      <c r="D1884" s="13" t="s">
        <v>166</v>
      </c>
      <c r="E1884" s="13" t="s">
        <v>3772</v>
      </c>
      <c r="F1884" s="43">
        <v>6.5</v>
      </c>
    </row>
    <row r="1885" spans="2:6" x14ac:dyDescent="0.25">
      <c r="B1885" s="13" t="s">
        <v>3773</v>
      </c>
      <c r="C1885" s="15" t="s">
        <v>167</v>
      </c>
      <c r="D1885" s="13" t="s">
        <v>166</v>
      </c>
      <c r="E1885" s="13" t="s">
        <v>3774</v>
      </c>
      <c r="F1885" s="43">
        <v>414.3</v>
      </c>
    </row>
    <row r="1886" spans="2:6" x14ac:dyDescent="0.25">
      <c r="B1886" s="13" t="s">
        <v>3775</v>
      </c>
      <c r="C1886" s="15" t="s">
        <v>167</v>
      </c>
      <c r="D1886" s="13" t="s">
        <v>166</v>
      </c>
      <c r="E1886" s="13" t="s">
        <v>3776</v>
      </c>
      <c r="F1886" s="43">
        <v>336</v>
      </c>
    </row>
    <row r="1887" spans="2:6" x14ac:dyDescent="0.25">
      <c r="B1887" s="13" t="s">
        <v>3777</v>
      </c>
      <c r="C1887" s="15" t="s">
        <v>167</v>
      </c>
      <c r="D1887" s="13" t="s">
        <v>166</v>
      </c>
      <c r="E1887" s="13" t="s">
        <v>3778</v>
      </c>
      <c r="F1887" s="43">
        <v>248.1</v>
      </c>
    </row>
    <row r="1888" spans="2:6" x14ac:dyDescent="0.25">
      <c r="B1888" s="13" t="s">
        <v>3779</v>
      </c>
      <c r="C1888" s="15" t="s">
        <v>167</v>
      </c>
      <c r="D1888" s="13" t="s">
        <v>166</v>
      </c>
      <c r="E1888" s="13" t="s">
        <v>3780</v>
      </c>
      <c r="F1888" s="43">
        <v>144.80000000000001</v>
      </c>
    </row>
    <row r="1889" spans="2:6" x14ac:dyDescent="0.25">
      <c r="B1889" s="13" t="s">
        <v>3781</v>
      </c>
      <c r="C1889" s="15" t="s">
        <v>167</v>
      </c>
      <c r="D1889" s="13" t="s">
        <v>166</v>
      </c>
      <c r="E1889" s="13" t="s">
        <v>3782</v>
      </c>
      <c r="F1889" s="43">
        <v>92.7</v>
      </c>
    </row>
    <row r="1890" spans="2:6" x14ac:dyDescent="0.25">
      <c r="B1890" s="13" t="s">
        <v>3783</v>
      </c>
      <c r="C1890" s="15" t="s">
        <v>167</v>
      </c>
      <c r="D1890" s="13" t="s">
        <v>166</v>
      </c>
      <c r="E1890" s="13" t="s">
        <v>3784</v>
      </c>
      <c r="F1890" s="43">
        <v>19</v>
      </c>
    </row>
    <row r="1891" spans="2:6" x14ac:dyDescent="0.25">
      <c r="B1891" s="13" t="s">
        <v>3785</v>
      </c>
      <c r="C1891" s="15" t="s">
        <v>167</v>
      </c>
      <c r="D1891" s="13" t="s">
        <v>166</v>
      </c>
      <c r="E1891" s="13" t="s">
        <v>3784</v>
      </c>
      <c r="F1891" s="43">
        <v>31</v>
      </c>
    </row>
    <row r="1892" spans="2:6" x14ac:dyDescent="0.25">
      <c r="B1892" s="13" t="s">
        <v>3786</v>
      </c>
      <c r="C1892" s="15" t="s">
        <v>167</v>
      </c>
      <c r="D1892" s="13" t="s">
        <v>166</v>
      </c>
      <c r="E1892" s="13" t="s">
        <v>3784</v>
      </c>
      <c r="F1892" s="43">
        <v>0</v>
      </c>
    </row>
    <row r="1893" spans="2:6" x14ac:dyDescent="0.25">
      <c r="B1893" s="13" t="s">
        <v>3787</v>
      </c>
      <c r="C1893" s="15" t="s">
        <v>167</v>
      </c>
      <c r="D1893" s="13" t="s">
        <v>166</v>
      </c>
      <c r="E1893" s="13" t="s">
        <v>3784</v>
      </c>
      <c r="F1893" s="43">
        <v>0</v>
      </c>
    </row>
    <row r="1894" spans="2:6" x14ac:dyDescent="0.25">
      <c r="B1894" s="13" t="s">
        <v>3788</v>
      </c>
      <c r="C1894" s="15" t="s">
        <v>167</v>
      </c>
      <c r="D1894" s="13" t="s">
        <v>166</v>
      </c>
      <c r="E1894" s="13" t="s">
        <v>3789</v>
      </c>
      <c r="F1894" s="43">
        <v>7.9</v>
      </c>
    </row>
    <row r="1895" spans="2:6" x14ac:dyDescent="0.25">
      <c r="B1895" s="13" t="s">
        <v>3790</v>
      </c>
      <c r="C1895" s="15" t="s">
        <v>167</v>
      </c>
      <c r="D1895" s="13" t="s">
        <v>166</v>
      </c>
      <c r="E1895" s="13" t="s">
        <v>3791</v>
      </c>
      <c r="F1895" s="43">
        <v>0</v>
      </c>
    </row>
    <row r="1896" spans="2:6" x14ac:dyDescent="0.25">
      <c r="B1896" s="13" t="s">
        <v>3792</v>
      </c>
      <c r="C1896" s="15" t="s">
        <v>167</v>
      </c>
      <c r="D1896" s="13" t="s">
        <v>166</v>
      </c>
      <c r="E1896" s="13" t="s">
        <v>3793</v>
      </c>
      <c r="F1896" s="43">
        <v>3.4</v>
      </c>
    </row>
    <row r="1897" spans="2:6" x14ac:dyDescent="0.25">
      <c r="B1897" s="13" t="s">
        <v>3794</v>
      </c>
      <c r="C1897" s="15" t="s">
        <v>167</v>
      </c>
      <c r="D1897" s="13" t="s">
        <v>166</v>
      </c>
      <c r="E1897" s="13" t="s">
        <v>3795</v>
      </c>
      <c r="F1897" s="43">
        <v>7.5</v>
      </c>
    </row>
    <row r="1898" spans="2:6" x14ac:dyDescent="0.25">
      <c r="B1898" s="13" t="s">
        <v>3796</v>
      </c>
      <c r="C1898" s="15" t="s">
        <v>167</v>
      </c>
      <c r="D1898" s="13" t="s">
        <v>166</v>
      </c>
      <c r="E1898" s="13" t="s">
        <v>3797</v>
      </c>
      <c r="F1898" s="43">
        <v>7.5</v>
      </c>
    </row>
    <row r="1899" spans="2:6" x14ac:dyDescent="0.25">
      <c r="B1899" s="13" t="s">
        <v>3798</v>
      </c>
      <c r="C1899" s="15" t="s">
        <v>167</v>
      </c>
      <c r="D1899" s="13" t="s">
        <v>166</v>
      </c>
      <c r="E1899" s="13" t="s">
        <v>3799</v>
      </c>
      <c r="F1899" s="43">
        <v>4</v>
      </c>
    </row>
    <row r="1900" spans="2:6" x14ac:dyDescent="0.25">
      <c r="B1900" s="13" t="s">
        <v>3800</v>
      </c>
      <c r="C1900" s="15" t="s">
        <v>167</v>
      </c>
      <c r="D1900" s="13" t="s">
        <v>166</v>
      </c>
      <c r="E1900" s="13" t="s">
        <v>3801</v>
      </c>
      <c r="F1900" s="43">
        <v>14.6</v>
      </c>
    </row>
    <row r="1901" spans="2:6" x14ac:dyDescent="0.25">
      <c r="B1901" s="13" t="s">
        <v>3802</v>
      </c>
      <c r="C1901" s="15" t="s">
        <v>167</v>
      </c>
      <c r="D1901" s="13" t="s">
        <v>166</v>
      </c>
      <c r="E1901" s="13" t="s">
        <v>3803</v>
      </c>
      <c r="F1901" s="43">
        <v>130.5</v>
      </c>
    </row>
    <row r="1902" spans="2:6" x14ac:dyDescent="0.25">
      <c r="B1902" s="13" t="s">
        <v>3804</v>
      </c>
      <c r="C1902" s="15" t="s">
        <v>167</v>
      </c>
      <c r="D1902" s="13" t="s">
        <v>166</v>
      </c>
      <c r="E1902" s="13" t="s">
        <v>3805</v>
      </c>
      <c r="F1902" s="43">
        <v>130.5</v>
      </c>
    </row>
    <row r="1903" spans="2:6" x14ac:dyDescent="0.25">
      <c r="B1903" s="13" t="s">
        <v>3806</v>
      </c>
      <c r="C1903" s="15" t="s">
        <v>167</v>
      </c>
      <c r="D1903" s="13" t="s">
        <v>166</v>
      </c>
      <c r="E1903" s="13" t="s">
        <v>3807</v>
      </c>
      <c r="F1903" s="43">
        <v>130.5</v>
      </c>
    </row>
    <row r="1904" spans="2:6" x14ac:dyDescent="0.25">
      <c r="B1904" s="13" t="s">
        <v>3808</v>
      </c>
      <c r="C1904" s="15" t="s">
        <v>167</v>
      </c>
      <c r="D1904" s="13" t="s">
        <v>166</v>
      </c>
      <c r="E1904" s="13" t="s">
        <v>3809</v>
      </c>
      <c r="F1904" s="43">
        <v>130.5</v>
      </c>
    </row>
    <row r="1905" spans="2:6" x14ac:dyDescent="0.25">
      <c r="B1905" s="13" t="s">
        <v>3810</v>
      </c>
      <c r="C1905" s="15" t="s">
        <v>167</v>
      </c>
      <c r="D1905" s="13" t="s">
        <v>166</v>
      </c>
      <c r="E1905" s="13" t="s">
        <v>3811</v>
      </c>
      <c r="F1905" s="43">
        <v>130.5</v>
      </c>
    </row>
    <row r="1906" spans="2:6" x14ac:dyDescent="0.25">
      <c r="B1906" s="13" t="s">
        <v>3812</v>
      </c>
      <c r="C1906" s="15" t="s">
        <v>167</v>
      </c>
      <c r="D1906" s="13" t="s">
        <v>166</v>
      </c>
      <c r="E1906" s="13" t="s">
        <v>3813</v>
      </c>
      <c r="F1906" s="43">
        <v>130.5</v>
      </c>
    </row>
    <row r="1907" spans="2:6" x14ac:dyDescent="0.25">
      <c r="B1907" s="13" t="s">
        <v>3814</v>
      </c>
      <c r="C1907" s="15" t="s">
        <v>167</v>
      </c>
      <c r="D1907" s="13" t="s">
        <v>166</v>
      </c>
      <c r="E1907" s="13" t="s">
        <v>3815</v>
      </c>
      <c r="F1907" s="43">
        <v>130.5</v>
      </c>
    </row>
    <row r="1908" spans="2:6" x14ac:dyDescent="0.25">
      <c r="B1908" s="13" t="s">
        <v>3816</v>
      </c>
      <c r="C1908" s="15" t="s">
        <v>167</v>
      </c>
      <c r="D1908" s="13" t="s">
        <v>166</v>
      </c>
      <c r="E1908" s="13" t="s">
        <v>3817</v>
      </c>
      <c r="F1908" s="43">
        <v>130.5</v>
      </c>
    </row>
    <row r="1909" spans="2:6" x14ac:dyDescent="0.25">
      <c r="B1909" s="13" t="s">
        <v>3818</v>
      </c>
      <c r="C1909" s="15" t="s">
        <v>167</v>
      </c>
      <c r="D1909" s="13" t="s">
        <v>166</v>
      </c>
      <c r="E1909" s="13" t="s">
        <v>3819</v>
      </c>
      <c r="F1909" s="43">
        <v>130.5</v>
      </c>
    </row>
    <row r="1910" spans="2:6" x14ac:dyDescent="0.25">
      <c r="B1910" s="13" t="s">
        <v>3820</v>
      </c>
      <c r="C1910" s="15" t="s">
        <v>167</v>
      </c>
      <c r="D1910" s="13" t="s">
        <v>166</v>
      </c>
      <c r="E1910" s="13" t="s">
        <v>3821</v>
      </c>
      <c r="F1910" s="43">
        <v>130.5</v>
      </c>
    </row>
    <row r="1911" spans="2:6" x14ac:dyDescent="0.25">
      <c r="B1911" s="13" t="s">
        <v>3822</v>
      </c>
      <c r="C1911" s="15" t="s">
        <v>167</v>
      </c>
      <c r="D1911" s="13" t="s">
        <v>166</v>
      </c>
      <c r="E1911" s="13" t="s">
        <v>3823</v>
      </c>
      <c r="F1911" s="43">
        <v>130.5</v>
      </c>
    </row>
    <row r="1912" spans="2:6" x14ac:dyDescent="0.25">
      <c r="B1912" s="13" t="s">
        <v>3824</v>
      </c>
      <c r="C1912" s="15" t="s">
        <v>167</v>
      </c>
      <c r="D1912" s="13" t="s">
        <v>166</v>
      </c>
      <c r="E1912" s="13" t="s">
        <v>3825</v>
      </c>
      <c r="F1912" s="43">
        <v>130.5</v>
      </c>
    </row>
    <row r="1913" spans="2:6" x14ac:dyDescent="0.25">
      <c r="B1913" s="13" t="s">
        <v>3826</v>
      </c>
      <c r="C1913" s="15" t="s">
        <v>167</v>
      </c>
      <c r="D1913" s="13" t="s">
        <v>166</v>
      </c>
      <c r="E1913" s="13" t="s">
        <v>3827</v>
      </c>
      <c r="F1913" s="43">
        <v>120.9</v>
      </c>
    </row>
    <row r="1914" spans="2:6" x14ac:dyDescent="0.25">
      <c r="B1914" s="13" t="s">
        <v>3828</v>
      </c>
      <c r="C1914" s="15" t="s">
        <v>167</v>
      </c>
      <c r="D1914" s="13" t="s">
        <v>166</v>
      </c>
      <c r="E1914" s="13" t="s">
        <v>3829</v>
      </c>
      <c r="F1914" s="43">
        <v>120.9</v>
      </c>
    </row>
    <row r="1915" spans="2:6" x14ac:dyDescent="0.25">
      <c r="B1915" s="13" t="s">
        <v>3830</v>
      </c>
      <c r="C1915" s="15" t="s">
        <v>167</v>
      </c>
      <c r="D1915" s="13" t="s">
        <v>166</v>
      </c>
      <c r="E1915" s="13" t="s">
        <v>3831</v>
      </c>
      <c r="F1915" s="43">
        <v>120.9</v>
      </c>
    </row>
    <row r="1916" spans="2:6" x14ac:dyDescent="0.25">
      <c r="B1916" s="13" t="s">
        <v>3832</v>
      </c>
      <c r="C1916" s="15" t="s">
        <v>167</v>
      </c>
      <c r="D1916" s="13" t="s">
        <v>166</v>
      </c>
      <c r="E1916" s="13" t="s">
        <v>3833</v>
      </c>
      <c r="F1916" s="43">
        <v>120.9</v>
      </c>
    </row>
    <row r="1917" spans="2:6" x14ac:dyDescent="0.25">
      <c r="B1917" s="13" t="s">
        <v>3834</v>
      </c>
      <c r="C1917" s="15" t="s">
        <v>167</v>
      </c>
      <c r="D1917" s="13" t="s">
        <v>166</v>
      </c>
      <c r="E1917" s="13" t="s">
        <v>3835</v>
      </c>
      <c r="F1917" s="43">
        <v>120.9</v>
      </c>
    </row>
    <row r="1918" spans="2:6" x14ac:dyDescent="0.25">
      <c r="B1918" s="13" t="s">
        <v>3836</v>
      </c>
      <c r="C1918" s="15" t="s">
        <v>167</v>
      </c>
      <c r="D1918" s="13" t="s">
        <v>166</v>
      </c>
      <c r="E1918" s="13" t="s">
        <v>3837</v>
      </c>
      <c r="F1918" s="43">
        <v>120.9</v>
      </c>
    </row>
    <row r="1919" spans="2:6" x14ac:dyDescent="0.25">
      <c r="B1919" s="13" t="s">
        <v>3838</v>
      </c>
      <c r="C1919" s="15" t="s">
        <v>167</v>
      </c>
      <c r="D1919" s="13" t="s">
        <v>166</v>
      </c>
      <c r="E1919" s="13" t="s">
        <v>3839</v>
      </c>
      <c r="F1919" s="43">
        <v>120.9</v>
      </c>
    </row>
    <row r="1920" spans="2:6" x14ac:dyDescent="0.25">
      <c r="B1920" s="13" t="s">
        <v>3840</v>
      </c>
      <c r="C1920" s="15" t="s">
        <v>167</v>
      </c>
      <c r="D1920" s="13" t="s">
        <v>166</v>
      </c>
      <c r="E1920" s="13" t="s">
        <v>3841</v>
      </c>
      <c r="F1920" s="43">
        <v>120.9</v>
      </c>
    </row>
    <row r="1921" spans="2:6" x14ac:dyDescent="0.25">
      <c r="B1921" s="13" t="s">
        <v>3842</v>
      </c>
      <c r="C1921" s="15" t="s">
        <v>167</v>
      </c>
      <c r="D1921" s="13" t="s">
        <v>166</v>
      </c>
      <c r="E1921" s="13" t="s">
        <v>3843</v>
      </c>
      <c r="F1921" s="43">
        <v>120.9</v>
      </c>
    </row>
    <row r="1922" spans="2:6" x14ac:dyDescent="0.25">
      <c r="B1922" s="13" t="s">
        <v>3844</v>
      </c>
      <c r="C1922" s="15" t="s">
        <v>167</v>
      </c>
      <c r="D1922" s="13" t="s">
        <v>166</v>
      </c>
      <c r="E1922" s="13" t="s">
        <v>3845</v>
      </c>
      <c r="F1922" s="43">
        <v>39.1</v>
      </c>
    </row>
    <row r="1923" spans="2:6" x14ac:dyDescent="0.25">
      <c r="B1923" s="13" t="s">
        <v>3846</v>
      </c>
      <c r="C1923" s="15" t="s">
        <v>167</v>
      </c>
      <c r="D1923" s="13" t="s">
        <v>166</v>
      </c>
      <c r="E1923" s="13" t="s">
        <v>3847</v>
      </c>
      <c r="F1923" s="43">
        <v>39.1</v>
      </c>
    </row>
    <row r="1924" spans="2:6" x14ac:dyDescent="0.25">
      <c r="B1924" s="13" t="s">
        <v>3848</v>
      </c>
      <c r="C1924" s="15" t="s">
        <v>167</v>
      </c>
      <c r="D1924" s="13" t="s">
        <v>166</v>
      </c>
      <c r="E1924" s="13" t="s">
        <v>3849</v>
      </c>
      <c r="F1924" s="43">
        <v>39.1</v>
      </c>
    </row>
    <row r="1925" spans="2:6" x14ac:dyDescent="0.25">
      <c r="B1925" s="13" t="s">
        <v>3850</v>
      </c>
      <c r="C1925" s="15" t="s">
        <v>167</v>
      </c>
      <c r="D1925" s="13" t="s">
        <v>166</v>
      </c>
      <c r="E1925" s="13" t="s">
        <v>3851</v>
      </c>
      <c r="F1925" s="43">
        <v>39.1</v>
      </c>
    </row>
    <row r="1926" spans="2:6" x14ac:dyDescent="0.25">
      <c r="B1926" s="13" t="s">
        <v>3852</v>
      </c>
      <c r="C1926" s="15" t="s">
        <v>167</v>
      </c>
      <c r="D1926" s="13" t="s">
        <v>166</v>
      </c>
      <c r="E1926" s="13" t="s">
        <v>3853</v>
      </c>
      <c r="F1926" s="43">
        <v>39.1</v>
      </c>
    </row>
    <row r="1927" spans="2:6" x14ac:dyDescent="0.25">
      <c r="B1927" s="13" t="s">
        <v>3854</v>
      </c>
      <c r="C1927" s="15" t="s">
        <v>167</v>
      </c>
      <c r="D1927" s="13" t="s">
        <v>166</v>
      </c>
      <c r="E1927" s="13" t="s">
        <v>3855</v>
      </c>
      <c r="F1927" s="43">
        <v>39.1</v>
      </c>
    </row>
    <row r="1928" spans="2:6" x14ac:dyDescent="0.25">
      <c r="B1928" s="13" t="s">
        <v>3856</v>
      </c>
      <c r="C1928" s="15" t="s">
        <v>167</v>
      </c>
      <c r="D1928" s="13" t="s">
        <v>166</v>
      </c>
      <c r="E1928" s="13" t="s">
        <v>3857</v>
      </c>
      <c r="F1928" s="43">
        <v>39.1</v>
      </c>
    </row>
    <row r="1929" spans="2:6" x14ac:dyDescent="0.25">
      <c r="B1929" s="13" t="s">
        <v>3858</v>
      </c>
      <c r="C1929" s="15" t="s">
        <v>167</v>
      </c>
      <c r="D1929" s="13" t="s">
        <v>166</v>
      </c>
      <c r="E1929" s="13" t="s">
        <v>3859</v>
      </c>
      <c r="F1929" s="43">
        <v>39.1</v>
      </c>
    </row>
    <row r="1930" spans="2:6" x14ac:dyDescent="0.25">
      <c r="B1930" s="13" t="s">
        <v>3860</v>
      </c>
      <c r="C1930" s="15" t="s">
        <v>167</v>
      </c>
      <c r="D1930" s="13" t="s">
        <v>166</v>
      </c>
      <c r="E1930" s="13" t="s">
        <v>3861</v>
      </c>
      <c r="F1930" s="43">
        <v>39.1</v>
      </c>
    </row>
    <row r="1931" spans="2:6" x14ac:dyDescent="0.25">
      <c r="B1931" s="13" t="s">
        <v>3862</v>
      </c>
      <c r="C1931" s="15" t="s">
        <v>167</v>
      </c>
      <c r="D1931" s="13" t="s">
        <v>166</v>
      </c>
      <c r="E1931" s="13" t="s">
        <v>3863</v>
      </c>
      <c r="F1931" s="43">
        <v>39.1</v>
      </c>
    </row>
    <row r="1932" spans="2:6" x14ac:dyDescent="0.25">
      <c r="B1932" s="13" t="s">
        <v>3864</v>
      </c>
      <c r="C1932" s="15" t="s">
        <v>167</v>
      </c>
      <c r="D1932" s="13" t="s">
        <v>166</v>
      </c>
      <c r="E1932" s="13" t="s">
        <v>3865</v>
      </c>
      <c r="F1932" s="43">
        <v>39.1</v>
      </c>
    </row>
    <row r="1933" spans="2:6" x14ac:dyDescent="0.25">
      <c r="B1933" s="13" t="s">
        <v>3866</v>
      </c>
      <c r="C1933" s="15" t="s">
        <v>167</v>
      </c>
      <c r="D1933" s="13" t="s">
        <v>166</v>
      </c>
      <c r="E1933" s="13" t="s">
        <v>3867</v>
      </c>
      <c r="F1933" s="43">
        <v>39.1</v>
      </c>
    </row>
    <row r="1934" spans="2:6" x14ac:dyDescent="0.25">
      <c r="B1934" s="13" t="s">
        <v>3868</v>
      </c>
      <c r="C1934" s="15" t="s">
        <v>167</v>
      </c>
      <c r="D1934" s="13" t="s">
        <v>166</v>
      </c>
      <c r="E1934" s="13" t="s">
        <v>3869</v>
      </c>
      <c r="F1934" s="43">
        <v>39.1</v>
      </c>
    </row>
    <row r="1935" spans="2:6" x14ac:dyDescent="0.25">
      <c r="B1935" s="13" t="s">
        <v>3870</v>
      </c>
      <c r="C1935" s="15" t="s">
        <v>167</v>
      </c>
      <c r="D1935" s="13" t="s">
        <v>166</v>
      </c>
      <c r="E1935" s="13" t="s">
        <v>3871</v>
      </c>
      <c r="F1935" s="43">
        <v>39.1</v>
      </c>
    </row>
    <row r="1936" spans="2:6" x14ac:dyDescent="0.25">
      <c r="B1936" s="13" t="s">
        <v>3872</v>
      </c>
      <c r="C1936" s="15" t="s">
        <v>167</v>
      </c>
      <c r="D1936" s="13" t="s">
        <v>166</v>
      </c>
      <c r="E1936" s="13" t="s">
        <v>3873</v>
      </c>
      <c r="F1936" s="43">
        <v>39.1</v>
      </c>
    </row>
    <row r="1937" spans="2:6" x14ac:dyDescent="0.25">
      <c r="B1937" s="13" t="s">
        <v>3874</v>
      </c>
      <c r="C1937" s="15" t="s">
        <v>167</v>
      </c>
      <c r="D1937" s="13" t="s">
        <v>166</v>
      </c>
      <c r="E1937" s="13" t="s">
        <v>3875</v>
      </c>
      <c r="F1937" s="43">
        <v>39.1</v>
      </c>
    </row>
    <row r="1938" spans="2:6" x14ac:dyDescent="0.25">
      <c r="B1938" s="13" t="s">
        <v>3876</v>
      </c>
      <c r="C1938" s="15" t="s">
        <v>167</v>
      </c>
      <c r="D1938" s="13" t="s">
        <v>166</v>
      </c>
      <c r="E1938" s="13" t="s">
        <v>3877</v>
      </c>
      <c r="F1938" s="43">
        <v>39.1</v>
      </c>
    </row>
    <row r="1939" spans="2:6" x14ac:dyDescent="0.25">
      <c r="B1939" s="13" t="s">
        <v>3878</v>
      </c>
      <c r="C1939" s="15" t="s">
        <v>167</v>
      </c>
      <c r="D1939" s="13" t="s">
        <v>166</v>
      </c>
      <c r="E1939" s="13" t="s">
        <v>3879</v>
      </c>
      <c r="F1939" s="43">
        <v>39.1</v>
      </c>
    </row>
    <row r="1940" spans="2:6" x14ac:dyDescent="0.25">
      <c r="B1940" s="13" t="s">
        <v>3880</v>
      </c>
      <c r="C1940" s="15" t="s">
        <v>167</v>
      </c>
      <c r="D1940" s="13" t="s">
        <v>166</v>
      </c>
      <c r="E1940" s="13" t="s">
        <v>3881</v>
      </c>
      <c r="F1940" s="43">
        <v>39.1</v>
      </c>
    </row>
    <row r="1941" spans="2:6" x14ac:dyDescent="0.25">
      <c r="B1941" s="13" t="s">
        <v>3882</v>
      </c>
      <c r="C1941" s="15" t="s">
        <v>167</v>
      </c>
      <c r="D1941" s="13" t="s">
        <v>166</v>
      </c>
      <c r="E1941" s="13" t="s">
        <v>3883</v>
      </c>
      <c r="F1941" s="43">
        <v>39.1</v>
      </c>
    </row>
    <row r="1942" spans="2:6" x14ac:dyDescent="0.25">
      <c r="B1942" s="13" t="s">
        <v>3884</v>
      </c>
      <c r="C1942" s="15" t="s">
        <v>167</v>
      </c>
      <c r="D1942" s="13" t="s">
        <v>166</v>
      </c>
      <c r="E1942" s="13" t="s">
        <v>3885</v>
      </c>
      <c r="F1942" s="43">
        <v>39.1</v>
      </c>
    </row>
    <row r="1943" spans="2:6" x14ac:dyDescent="0.25">
      <c r="B1943" s="13" t="s">
        <v>3886</v>
      </c>
      <c r="C1943" s="15" t="s">
        <v>167</v>
      </c>
      <c r="D1943" s="13" t="s">
        <v>166</v>
      </c>
      <c r="E1943" s="13" t="s">
        <v>3887</v>
      </c>
      <c r="F1943" s="43">
        <v>39.1</v>
      </c>
    </row>
    <row r="1944" spans="2:6" x14ac:dyDescent="0.25">
      <c r="B1944" s="13" t="s">
        <v>3888</v>
      </c>
      <c r="C1944" s="15" t="s">
        <v>167</v>
      </c>
      <c r="D1944" s="13" t="s">
        <v>166</v>
      </c>
      <c r="E1944" s="13" t="s">
        <v>3889</v>
      </c>
      <c r="F1944" s="43">
        <v>39.1</v>
      </c>
    </row>
    <row r="1945" spans="2:6" x14ac:dyDescent="0.25">
      <c r="B1945" s="13" t="s">
        <v>3890</v>
      </c>
      <c r="C1945" s="15" t="s">
        <v>167</v>
      </c>
      <c r="D1945" s="13" t="s">
        <v>166</v>
      </c>
      <c r="E1945" s="13" t="s">
        <v>3891</v>
      </c>
      <c r="F1945" s="43">
        <v>39.1</v>
      </c>
    </row>
    <row r="1946" spans="2:6" x14ac:dyDescent="0.25">
      <c r="B1946" s="13" t="s">
        <v>3892</v>
      </c>
      <c r="C1946" s="15" t="s">
        <v>167</v>
      </c>
      <c r="D1946" s="13" t="s">
        <v>166</v>
      </c>
      <c r="E1946" s="13" t="s">
        <v>3893</v>
      </c>
      <c r="F1946" s="43">
        <v>39.1</v>
      </c>
    </row>
    <row r="1947" spans="2:6" x14ac:dyDescent="0.25">
      <c r="B1947" s="13" t="s">
        <v>3894</v>
      </c>
      <c r="C1947" s="15" t="s">
        <v>167</v>
      </c>
      <c r="D1947" s="13" t="s">
        <v>166</v>
      </c>
      <c r="E1947" s="13" t="s">
        <v>3895</v>
      </c>
      <c r="F1947" s="43">
        <v>39.1</v>
      </c>
    </row>
    <row r="1948" spans="2:6" x14ac:dyDescent="0.25">
      <c r="B1948" s="13" t="s">
        <v>3896</v>
      </c>
      <c r="C1948" s="15" t="s">
        <v>167</v>
      </c>
      <c r="D1948" s="13" t="s">
        <v>166</v>
      </c>
      <c r="E1948" s="13" t="s">
        <v>3897</v>
      </c>
      <c r="F1948" s="43">
        <v>39.1</v>
      </c>
    </row>
    <row r="1949" spans="2:6" x14ac:dyDescent="0.25">
      <c r="B1949" s="13" t="s">
        <v>3898</v>
      </c>
      <c r="C1949" s="15" t="s">
        <v>167</v>
      </c>
      <c r="D1949" s="13" t="s">
        <v>166</v>
      </c>
      <c r="E1949" s="13" t="s">
        <v>3899</v>
      </c>
      <c r="F1949" s="43">
        <v>39.1</v>
      </c>
    </row>
    <row r="1950" spans="2:6" x14ac:dyDescent="0.25">
      <c r="B1950" s="13" t="s">
        <v>3900</v>
      </c>
      <c r="C1950" s="15" t="s">
        <v>167</v>
      </c>
      <c r="D1950" s="13" t="s">
        <v>166</v>
      </c>
      <c r="E1950" s="13" t="s">
        <v>3901</v>
      </c>
      <c r="F1950" s="43">
        <v>39.1</v>
      </c>
    </row>
    <row r="1951" spans="2:6" x14ac:dyDescent="0.25">
      <c r="B1951" s="13" t="s">
        <v>3902</v>
      </c>
      <c r="C1951" s="15" t="s">
        <v>167</v>
      </c>
      <c r="D1951" s="13" t="s">
        <v>166</v>
      </c>
      <c r="E1951" s="13" t="s">
        <v>3903</v>
      </c>
      <c r="F1951" s="43">
        <v>39.1</v>
      </c>
    </row>
    <row r="1952" spans="2:6" x14ac:dyDescent="0.25">
      <c r="B1952" s="13" t="s">
        <v>3904</v>
      </c>
      <c r="C1952" s="15" t="s">
        <v>167</v>
      </c>
      <c r="D1952" s="13" t="s">
        <v>166</v>
      </c>
      <c r="E1952" s="13" t="s">
        <v>3905</v>
      </c>
      <c r="F1952" s="43">
        <v>39.1</v>
      </c>
    </row>
    <row r="1953" spans="2:6" x14ac:dyDescent="0.25">
      <c r="B1953" s="13" t="s">
        <v>3906</v>
      </c>
      <c r="C1953" s="15" t="s">
        <v>167</v>
      </c>
      <c r="D1953" s="13" t="s">
        <v>166</v>
      </c>
      <c r="E1953" s="13" t="s">
        <v>3907</v>
      </c>
      <c r="F1953" s="43">
        <v>39.1</v>
      </c>
    </row>
    <row r="1954" spans="2:6" x14ac:dyDescent="0.25">
      <c r="B1954" s="13" t="s">
        <v>3908</v>
      </c>
      <c r="C1954" s="15" t="s">
        <v>167</v>
      </c>
      <c r="D1954" s="13" t="s">
        <v>166</v>
      </c>
      <c r="E1954" s="13" t="s">
        <v>3909</v>
      </c>
      <c r="F1954" s="43">
        <v>39.1</v>
      </c>
    </row>
    <row r="1955" spans="2:6" x14ac:dyDescent="0.25">
      <c r="B1955" s="13" t="s">
        <v>3910</v>
      </c>
      <c r="C1955" s="15" t="s">
        <v>167</v>
      </c>
      <c r="D1955" s="13" t="s">
        <v>166</v>
      </c>
      <c r="E1955" s="13" t="s">
        <v>3911</v>
      </c>
      <c r="F1955" s="43">
        <v>39.1</v>
      </c>
    </row>
    <row r="1956" spans="2:6" x14ac:dyDescent="0.25">
      <c r="B1956" s="13" t="s">
        <v>3912</v>
      </c>
      <c r="C1956" s="15" t="s">
        <v>167</v>
      </c>
      <c r="D1956" s="13" t="s">
        <v>166</v>
      </c>
      <c r="E1956" s="13" t="s">
        <v>3913</v>
      </c>
      <c r="F1956" s="43">
        <v>39.1</v>
      </c>
    </row>
    <row r="1957" spans="2:6" x14ac:dyDescent="0.25">
      <c r="B1957" s="13" t="s">
        <v>3914</v>
      </c>
      <c r="C1957" s="15" t="s">
        <v>167</v>
      </c>
      <c r="D1957" s="13" t="s">
        <v>166</v>
      </c>
      <c r="E1957" s="13" t="s">
        <v>3915</v>
      </c>
      <c r="F1957" s="43">
        <v>39.1</v>
      </c>
    </row>
    <row r="1958" spans="2:6" x14ac:dyDescent="0.25">
      <c r="B1958" s="13" t="s">
        <v>3916</v>
      </c>
      <c r="C1958" s="15" t="s">
        <v>167</v>
      </c>
      <c r="D1958" s="13" t="s">
        <v>166</v>
      </c>
      <c r="E1958" s="13" t="s">
        <v>3917</v>
      </c>
      <c r="F1958" s="43">
        <v>39.1</v>
      </c>
    </row>
    <row r="1959" spans="2:6" x14ac:dyDescent="0.25">
      <c r="B1959" s="13" t="s">
        <v>3918</v>
      </c>
      <c r="C1959" s="15" t="s">
        <v>167</v>
      </c>
      <c r="D1959" s="13" t="s">
        <v>166</v>
      </c>
      <c r="E1959" s="13" t="s">
        <v>3919</v>
      </c>
      <c r="F1959" s="43">
        <v>39.1</v>
      </c>
    </row>
    <row r="1960" spans="2:6" x14ac:dyDescent="0.25">
      <c r="B1960" s="13" t="s">
        <v>3920</v>
      </c>
      <c r="C1960" s="15" t="s">
        <v>167</v>
      </c>
      <c r="D1960" s="13" t="s">
        <v>166</v>
      </c>
      <c r="E1960" s="13" t="s">
        <v>3921</v>
      </c>
      <c r="F1960" s="43">
        <v>39.1</v>
      </c>
    </row>
    <row r="1961" spans="2:6" x14ac:dyDescent="0.25">
      <c r="B1961" s="13" t="s">
        <v>3922</v>
      </c>
      <c r="C1961" s="15" t="s">
        <v>167</v>
      </c>
      <c r="D1961" s="13" t="s">
        <v>166</v>
      </c>
      <c r="E1961" s="13" t="s">
        <v>3923</v>
      </c>
      <c r="F1961" s="43">
        <v>39.1</v>
      </c>
    </row>
    <row r="1962" spans="2:6" x14ac:dyDescent="0.25">
      <c r="B1962" s="13" t="s">
        <v>3924</v>
      </c>
      <c r="C1962" s="15" t="s">
        <v>167</v>
      </c>
      <c r="D1962" s="13" t="s">
        <v>166</v>
      </c>
      <c r="E1962" s="13" t="s">
        <v>3925</v>
      </c>
      <c r="F1962" s="43">
        <v>24.4</v>
      </c>
    </row>
    <row r="1963" spans="2:6" x14ac:dyDescent="0.25">
      <c r="B1963" s="13" t="s">
        <v>3926</v>
      </c>
      <c r="C1963" s="15" t="s">
        <v>167</v>
      </c>
      <c r="D1963" s="13" t="s">
        <v>166</v>
      </c>
      <c r="E1963" s="13" t="s">
        <v>3927</v>
      </c>
      <c r="F1963" s="43">
        <v>24.4</v>
      </c>
    </row>
    <row r="1964" spans="2:6" x14ac:dyDescent="0.25">
      <c r="B1964" s="13" t="s">
        <v>3928</v>
      </c>
      <c r="C1964" s="15" t="s">
        <v>167</v>
      </c>
      <c r="D1964" s="13" t="s">
        <v>166</v>
      </c>
      <c r="E1964" s="13" t="s">
        <v>3929</v>
      </c>
      <c r="F1964" s="43">
        <v>115.4</v>
      </c>
    </row>
    <row r="1965" spans="2:6" x14ac:dyDescent="0.25">
      <c r="B1965" s="13" t="s">
        <v>3930</v>
      </c>
      <c r="C1965" s="15" t="s">
        <v>167</v>
      </c>
      <c r="D1965" s="13" t="s">
        <v>166</v>
      </c>
      <c r="E1965" s="13" t="s">
        <v>3931</v>
      </c>
      <c r="F1965" s="43">
        <v>115.4</v>
      </c>
    </row>
    <row r="1966" spans="2:6" x14ac:dyDescent="0.25">
      <c r="B1966" s="13" t="s">
        <v>3932</v>
      </c>
      <c r="C1966" s="15" t="s">
        <v>167</v>
      </c>
      <c r="D1966" s="13" t="s">
        <v>166</v>
      </c>
      <c r="E1966" s="13" t="s">
        <v>3933</v>
      </c>
      <c r="F1966" s="43">
        <v>115.4</v>
      </c>
    </row>
    <row r="1967" spans="2:6" x14ac:dyDescent="0.25">
      <c r="B1967" s="13" t="s">
        <v>3934</v>
      </c>
      <c r="C1967" s="15" t="s">
        <v>167</v>
      </c>
      <c r="D1967" s="13" t="s">
        <v>166</v>
      </c>
      <c r="E1967" s="13" t="s">
        <v>3935</v>
      </c>
      <c r="F1967" s="43">
        <v>115.4</v>
      </c>
    </row>
    <row r="1968" spans="2:6" x14ac:dyDescent="0.25">
      <c r="B1968" s="13" t="s">
        <v>3936</v>
      </c>
      <c r="C1968" s="15" t="s">
        <v>167</v>
      </c>
      <c r="D1968" s="13" t="s">
        <v>166</v>
      </c>
      <c r="E1968" s="13" t="s">
        <v>3937</v>
      </c>
      <c r="F1968" s="43">
        <v>115.4</v>
      </c>
    </row>
    <row r="1969" spans="2:6" x14ac:dyDescent="0.25">
      <c r="B1969" s="13" t="s">
        <v>3938</v>
      </c>
      <c r="C1969" s="15" t="s">
        <v>167</v>
      </c>
      <c r="D1969" s="13" t="s">
        <v>166</v>
      </c>
      <c r="E1969" s="13" t="s">
        <v>3939</v>
      </c>
      <c r="F1969" s="43">
        <v>115.4</v>
      </c>
    </row>
    <row r="1970" spans="2:6" x14ac:dyDescent="0.25">
      <c r="B1970" s="13" t="s">
        <v>3940</v>
      </c>
      <c r="C1970" s="15" t="s">
        <v>167</v>
      </c>
      <c r="D1970" s="13" t="s">
        <v>166</v>
      </c>
      <c r="E1970" s="13" t="s">
        <v>3941</v>
      </c>
      <c r="F1970" s="43">
        <v>115.4</v>
      </c>
    </row>
    <row r="1971" spans="2:6" x14ac:dyDescent="0.25">
      <c r="B1971" s="13" t="s">
        <v>3942</v>
      </c>
      <c r="C1971" s="15" t="s">
        <v>167</v>
      </c>
      <c r="D1971" s="13" t="s">
        <v>166</v>
      </c>
      <c r="E1971" s="13" t="s">
        <v>3943</v>
      </c>
      <c r="F1971" s="43">
        <v>115.4</v>
      </c>
    </row>
    <row r="1972" spans="2:6" x14ac:dyDescent="0.25">
      <c r="B1972" s="13" t="s">
        <v>3944</v>
      </c>
      <c r="C1972" s="15" t="s">
        <v>167</v>
      </c>
      <c r="D1972" s="13" t="s">
        <v>166</v>
      </c>
      <c r="E1972" s="13" t="s">
        <v>3945</v>
      </c>
      <c r="F1972" s="43">
        <v>115.4</v>
      </c>
    </row>
    <row r="1973" spans="2:6" x14ac:dyDescent="0.25">
      <c r="B1973" s="13" t="s">
        <v>3946</v>
      </c>
      <c r="C1973" s="15" t="s">
        <v>167</v>
      </c>
      <c r="D1973" s="13" t="s">
        <v>166</v>
      </c>
      <c r="E1973" s="13" t="s">
        <v>3947</v>
      </c>
      <c r="F1973" s="43">
        <v>115.4</v>
      </c>
    </row>
    <row r="1974" spans="2:6" x14ac:dyDescent="0.25">
      <c r="B1974" s="13" t="s">
        <v>3948</v>
      </c>
      <c r="C1974" s="15" t="s">
        <v>167</v>
      </c>
      <c r="D1974" s="13" t="s">
        <v>166</v>
      </c>
      <c r="E1974" s="13" t="s">
        <v>3949</v>
      </c>
      <c r="F1974" s="43">
        <v>115.4</v>
      </c>
    </row>
    <row r="1975" spans="2:6" x14ac:dyDescent="0.25">
      <c r="B1975" s="13" t="s">
        <v>3950</v>
      </c>
      <c r="C1975" s="15" t="s">
        <v>167</v>
      </c>
      <c r="D1975" s="13" t="s">
        <v>166</v>
      </c>
      <c r="E1975" s="13" t="s">
        <v>3951</v>
      </c>
      <c r="F1975" s="43">
        <v>115.4</v>
      </c>
    </row>
    <row r="1976" spans="2:6" x14ac:dyDescent="0.25">
      <c r="B1976" s="13" t="s">
        <v>3952</v>
      </c>
      <c r="C1976" s="15" t="s">
        <v>167</v>
      </c>
      <c r="D1976" s="13" t="s">
        <v>166</v>
      </c>
      <c r="E1976" s="13" t="s">
        <v>3953</v>
      </c>
      <c r="F1976" s="43">
        <v>115.4</v>
      </c>
    </row>
    <row r="1977" spans="2:6" x14ac:dyDescent="0.25">
      <c r="B1977" s="13" t="s">
        <v>3954</v>
      </c>
      <c r="C1977" s="15" t="s">
        <v>167</v>
      </c>
      <c r="D1977" s="13" t="s">
        <v>166</v>
      </c>
      <c r="E1977" s="13" t="s">
        <v>3955</v>
      </c>
      <c r="F1977" s="43">
        <v>115.4</v>
      </c>
    </row>
    <row r="1978" spans="2:6" x14ac:dyDescent="0.25">
      <c r="B1978" s="13" t="s">
        <v>3956</v>
      </c>
      <c r="C1978" s="15" t="s">
        <v>167</v>
      </c>
      <c r="D1978" s="13" t="s">
        <v>166</v>
      </c>
      <c r="E1978" s="13" t="s">
        <v>3957</v>
      </c>
      <c r="F1978" s="43">
        <v>115.4</v>
      </c>
    </row>
    <row r="1979" spans="2:6" x14ac:dyDescent="0.25">
      <c r="B1979" s="13" t="s">
        <v>3958</v>
      </c>
      <c r="C1979" s="15" t="s">
        <v>167</v>
      </c>
      <c r="D1979" s="13" t="s">
        <v>166</v>
      </c>
      <c r="E1979" s="13" t="s">
        <v>3959</v>
      </c>
      <c r="F1979" s="43">
        <v>72.099999999999994</v>
      </c>
    </row>
    <row r="1980" spans="2:6" x14ac:dyDescent="0.25">
      <c r="B1980" s="13" t="s">
        <v>3960</v>
      </c>
      <c r="C1980" s="15" t="s">
        <v>167</v>
      </c>
      <c r="D1980" s="13" t="s">
        <v>166</v>
      </c>
      <c r="E1980" s="13" t="s">
        <v>3961</v>
      </c>
      <c r="F1980" s="43">
        <v>72.099999999999994</v>
      </c>
    </row>
    <row r="1981" spans="2:6" x14ac:dyDescent="0.25">
      <c r="B1981" s="13" t="s">
        <v>3962</v>
      </c>
      <c r="C1981" s="15" t="s">
        <v>167</v>
      </c>
      <c r="D1981" s="13" t="s">
        <v>166</v>
      </c>
      <c r="E1981" s="13" t="s">
        <v>3963</v>
      </c>
      <c r="F1981" s="43">
        <v>72.099999999999994</v>
      </c>
    </row>
    <row r="1982" spans="2:6" x14ac:dyDescent="0.25">
      <c r="B1982" s="13" t="s">
        <v>3964</v>
      </c>
      <c r="C1982" s="15" t="s">
        <v>167</v>
      </c>
      <c r="D1982" s="13" t="s">
        <v>166</v>
      </c>
      <c r="E1982" s="13" t="s">
        <v>3965</v>
      </c>
      <c r="F1982" s="43">
        <v>72.099999999999994</v>
      </c>
    </row>
    <row r="1983" spans="2:6" x14ac:dyDescent="0.25">
      <c r="B1983" s="13" t="s">
        <v>3966</v>
      </c>
      <c r="C1983" s="15" t="s">
        <v>167</v>
      </c>
      <c r="D1983" s="13" t="s">
        <v>166</v>
      </c>
      <c r="E1983" s="13" t="s">
        <v>3967</v>
      </c>
      <c r="F1983" s="43">
        <v>72.099999999999994</v>
      </c>
    </row>
    <row r="1984" spans="2:6" x14ac:dyDescent="0.25">
      <c r="B1984" s="13" t="s">
        <v>3968</v>
      </c>
      <c r="C1984" s="15" t="s">
        <v>167</v>
      </c>
      <c r="D1984" s="13" t="s">
        <v>166</v>
      </c>
      <c r="E1984" s="13" t="s">
        <v>3969</v>
      </c>
      <c r="F1984" s="43">
        <v>72.099999999999994</v>
      </c>
    </row>
    <row r="1985" spans="2:6" x14ac:dyDescent="0.25">
      <c r="B1985" s="13" t="s">
        <v>3970</v>
      </c>
      <c r="C1985" s="15" t="s">
        <v>167</v>
      </c>
      <c r="D1985" s="13" t="s">
        <v>166</v>
      </c>
      <c r="E1985" s="13" t="s">
        <v>3971</v>
      </c>
      <c r="F1985" s="43">
        <v>72.099999999999994</v>
      </c>
    </row>
    <row r="1986" spans="2:6" x14ac:dyDescent="0.25">
      <c r="B1986" s="13" t="s">
        <v>3972</v>
      </c>
      <c r="C1986" s="15" t="s">
        <v>167</v>
      </c>
      <c r="D1986" s="13" t="s">
        <v>166</v>
      </c>
      <c r="E1986" s="13" t="s">
        <v>3973</v>
      </c>
      <c r="F1986" s="43">
        <v>72.099999999999994</v>
      </c>
    </row>
    <row r="1987" spans="2:6" x14ac:dyDescent="0.25">
      <c r="B1987" s="13" t="s">
        <v>3974</v>
      </c>
      <c r="C1987" s="15" t="s">
        <v>167</v>
      </c>
      <c r="D1987" s="13" t="s">
        <v>166</v>
      </c>
      <c r="E1987" s="13" t="s">
        <v>3975</v>
      </c>
      <c r="F1987" s="43">
        <v>72.099999999999994</v>
      </c>
    </row>
    <row r="1988" spans="2:6" x14ac:dyDescent="0.25">
      <c r="B1988" s="13" t="s">
        <v>3976</v>
      </c>
      <c r="C1988" s="15" t="s">
        <v>167</v>
      </c>
      <c r="D1988" s="13" t="s">
        <v>166</v>
      </c>
      <c r="E1988" s="13" t="s">
        <v>3977</v>
      </c>
      <c r="F1988" s="43">
        <v>72.099999999999994</v>
      </c>
    </row>
    <row r="1989" spans="2:6" x14ac:dyDescent="0.25">
      <c r="B1989" s="13" t="s">
        <v>3978</v>
      </c>
      <c r="C1989" s="15" t="s">
        <v>167</v>
      </c>
      <c r="D1989" s="13" t="s">
        <v>166</v>
      </c>
      <c r="E1989" s="13" t="s">
        <v>3979</v>
      </c>
      <c r="F1989" s="43">
        <v>72.099999999999994</v>
      </c>
    </row>
    <row r="1990" spans="2:6" x14ac:dyDescent="0.25">
      <c r="B1990" s="13" t="s">
        <v>3980</v>
      </c>
      <c r="C1990" s="15" t="s">
        <v>167</v>
      </c>
      <c r="D1990" s="13" t="s">
        <v>166</v>
      </c>
      <c r="E1990" s="13" t="s">
        <v>3981</v>
      </c>
      <c r="F1990" s="43">
        <v>72.099999999999994</v>
      </c>
    </row>
    <row r="1991" spans="2:6" x14ac:dyDescent="0.25">
      <c r="B1991" s="13" t="s">
        <v>3982</v>
      </c>
      <c r="C1991" s="15" t="s">
        <v>167</v>
      </c>
      <c r="D1991" s="13" t="s">
        <v>166</v>
      </c>
      <c r="E1991" s="13" t="s">
        <v>3983</v>
      </c>
      <c r="F1991" s="43">
        <v>72.099999999999994</v>
      </c>
    </row>
    <row r="1992" spans="2:6" x14ac:dyDescent="0.25">
      <c r="B1992" s="13" t="s">
        <v>3984</v>
      </c>
      <c r="C1992" s="15" t="s">
        <v>167</v>
      </c>
      <c r="D1992" s="13" t="s">
        <v>166</v>
      </c>
      <c r="E1992" s="13" t="s">
        <v>3985</v>
      </c>
      <c r="F1992" s="43">
        <v>72.099999999999994</v>
      </c>
    </row>
    <row r="1993" spans="2:6" x14ac:dyDescent="0.25">
      <c r="B1993" s="13" t="s">
        <v>3986</v>
      </c>
      <c r="C1993" s="15" t="s">
        <v>167</v>
      </c>
      <c r="D1993" s="13" t="s">
        <v>166</v>
      </c>
      <c r="E1993" s="13" t="s">
        <v>3987</v>
      </c>
      <c r="F1993" s="43">
        <v>72.099999999999994</v>
      </c>
    </row>
    <row r="1994" spans="2:6" x14ac:dyDescent="0.25">
      <c r="B1994" s="13" t="s">
        <v>3988</v>
      </c>
      <c r="C1994" s="15" t="s">
        <v>167</v>
      </c>
      <c r="D1994" s="13" t="s">
        <v>166</v>
      </c>
      <c r="E1994" s="13" t="s">
        <v>3989</v>
      </c>
      <c r="F1994" s="43">
        <v>72.099999999999994</v>
      </c>
    </row>
    <row r="1995" spans="2:6" x14ac:dyDescent="0.25">
      <c r="B1995" s="13" t="s">
        <v>3990</v>
      </c>
      <c r="C1995" s="15" t="s">
        <v>167</v>
      </c>
      <c r="D1995" s="13" t="s">
        <v>166</v>
      </c>
      <c r="E1995" s="13" t="s">
        <v>3991</v>
      </c>
      <c r="F1995" s="43">
        <v>72.099999999999994</v>
      </c>
    </row>
    <row r="1996" spans="2:6" x14ac:dyDescent="0.25">
      <c r="B1996" s="13" t="s">
        <v>3992</v>
      </c>
      <c r="C1996" s="15" t="s">
        <v>167</v>
      </c>
      <c r="D1996" s="13" t="s">
        <v>166</v>
      </c>
      <c r="E1996" s="13" t="s">
        <v>3993</v>
      </c>
      <c r="F1996" s="43">
        <v>72.099999999999994</v>
      </c>
    </row>
    <row r="1997" spans="2:6" x14ac:dyDescent="0.25">
      <c r="B1997" s="13" t="s">
        <v>3994</v>
      </c>
      <c r="C1997" s="15" t="s">
        <v>167</v>
      </c>
      <c r="D1997" s="13" t="s">
        <v>166</v>
      </c>
      <c r="E1997" s="13" t="s">
        <v>3995</v>
      </c>
      <c r="F1997" s="43">
        <v>72.099999999999994</v>
      </c>
    </row>
    <row r="1998" spans="2:6" x14ac:dyDescent="0.25">
      <c r="B1998" s="13" t="s">
        <v>3996</v>
      </c>
      <c r="C1998" s="15" t="s">
        <v>167</v>
      </c>
      <c r="D1998" s="13" t="s">
        <v>166</v>
      </c>
      <c r="E1998" s="13" t="s">
        <v>3997</v>
      </c>
      <c r="F1998" s="43">
        <v>72.099999999999994</v>
      </c>
    </row>
    <row r="1999" spans="2:6" x14ac:dyDescent="0.25">
      <c r="B1999" s="13" t="s">
        <v>3998</v>
      </c>
      <c r="C1999" s="15" t="s">
        <v>167</v>
      </c>
      <c r="D1999" s="13" t="s">
        <v>166</v>
      </c>
      <c r="E1999" s="13" t="s">
        <v>3999</v>
      </c>
      <c r="F1999" s="43">
        <v>72.099999999999994</v>
      </c>
    </row>
    <row r="2000" spans="2:6" x14ac:dyDescent="0.25">
      <c r="B2000" s="13" t="s">
        <v>4000</v>
      </c>
      <c r="C2000" s="15" t="s">
        <v>167</v>
      </c>
      <c r="D2000" s="13" t="s">
        <v>166</v>
      </c>
      <c r="E2000" s="13" t="s">
        <v>4001</v>
      </c>
      <c r="F2000" s="43">
        <v>72.099999999999994</v>
      </c>
    </row>
    <row r="2001" spans="2:6" x14ac:dyDescent="0.25">
      <c r="B2001" s="13" t="s">
        <v>4002</v>
      </c>
      <c r="C2001" s="15" t="s">
        <v>167</v>
      </c>
      <c r="D2001" s="13" t="s">
        <v>166</v>
      </c>
      <c r="E2001" s="13" t="s">
        <v>4003</v>
      </c>
      <c r="F2001" s="43">
        <v>72.099999999999994</v>
      </c>
    </row>
    <row r="2002" spans="2:6" x14ac:dyDescent="0.25">
      <c r="B2002" s="13" t="s">
        <v>4004</v>
      </c>
      <c r="C2002" s="15" t="s">
        <v>167</v>
      </c>
      <c r="D2002" s="13" t="s">
        <v>166</v>
      </c>
      <c r="E2002" s="13" t="s">
        <v>4005</v>
      </c>
      <c r="F2002" s="43">
        <v>72.099999999999994</v>
      </c>
    </row>
    <row r="2003" spans="2:6" x14ac:dyDescent="0.25">
      <c r="B2003" s="13" t="s">
        <v>4006</v>
      </c>
      <c r="C2003" s="15" t="s">
        <v>167</v>
      </c>
      <c r="D2003" s="13" t="s">
        <v>166</v>
      </c>
      <c r="E2003" s="13" t="s">
        <v>4007</v>
      </c>
      <c r="F2003" s="43">
        <v>72.099999999999994</v>
      </c>
    </row>
    <row r="2004" spans="2:6" x14ac:dyDescent="0.25">
      <c r="B2004" s="13" t="s">
        <v>4008</v>
      </c>
      <c r="C2004" s="15" t="s">
        <v>167</v>
      </c>
      <c r="D2004" s="13" t="s">
        <v>166</v>
      </c>
      <c r="E2004" s="13" t="s">
        <v>4009</v>
      </c>
      <c r="F2004" s="43">
        <v>72.099999999999994</v>
      </c>
    </row>
    <row r="2005" spans="2:6" x14ac:dyDescent="0.25">
      <c r="B2005" s="13" t="s">
        <v>4010</v>
      </c>
      <c r="C2005" s="15" t="s">
        <v>167</v>
      </c>
      <c r="D2005" s="13" t="s">
        <v>166</v>
      </c>
      <c r="E2005" s="13" t="s">
        <v>4011</v>
      </c>
      <c r="F2005" s="43">
        <v>72.099999999999994</v>
      </c>
    </row>
    <row r="2006" spans="2:6" x14ac:dyDescent="0.25">
      <c r="B2006" s="13" t="s">
        <v>4012</v>
      </c>
      <c r="C2006" s="15" t="s">
        <v>167</v>
      </c>
      <c r="D2006" s="13" t="s">
        <v>166</v>
      </c>
      <c r="E2006" s="13" t="s">
        <v>4013</v>
      </c>
      <c r="F2006" s="43">
        <v>72.099999999999994</v>
      </c>
    </row>
    <row r="2007" spans="2:6" x14ac:dyDescent="0.25">
      <c r="B2007" s="13" t="s">
        <v>4014</v>
      </c>
      <c r="C2007" s="15" t="s">
        <v>167</v>
      </c>
      <c r="D2007" s="13" t="s">
        <v>166</v>
      </c>
      <c r="E2007" s="13" t="s">
        <v>4015</v>
      </c>
      <c r="F2007" s="43">
        <v>72.099999999999994</v>
      </c>
    </row>
    <row r="2008" spans="2:6" x14ac:dyDescent="0.25">
      <c r="B2008" s="13" t="s">
        <v>4016</v>
      </c>
      <c r="C2008" s="15" t="s">
        <v>167</v>
      </c>
      <c r="D2008" s="13" t="s">
        <v>166</v>
      </c>
      <c r="E2008" s="13" t="s">
        <v>4017</v>
      </c>
      <c r="F2008" s="43">
        <v>72.099999999999994</v>
      </c>
    </row>
    <row r="2009" spans="2:6" x14ac:dyDescent="0.25">
      <c r="B2009" s="13" t="s">
        <v>4018</v>
      </c>
      <c r="C2009" s="15" t="s">
        <v>167</v>
      </c>
      <c r="D2009" s="13" t="s">
        <v>166</v>
      </c>
      <c r="E2009" s="13" t="s">
        <v>4019</v>
      </c>
      <c r="F2009" s="43">
        <v>72.099999999999994</v>
      </c>
    </row>
    <row r="2010" spans="2:6" x14ac:dyDescent="0.25">
      <c r="B2010" s="13" t="s">
        <v>4020</v>
      </c>
      <c r="C2010" s="15" t="s">
        <v>167</v>
      </c>
      <c r="D2010" s="13" t="s">
        <v>166</v>
      </c>
      <c r="E2010" s="13" t="s">
        <v>4021</v>
      </c>
      <c r="F2010" s="43">
        <v>72.099999999999994</v>
      </c>
    </row>
    <row r="2011" spans="2:6" x14ac:dyDescent="0.25">
      <c r="B2011" s="13" t="s">
        <v>4022</v>
      </c>
      <c r="C2011" s="15" t="s">
        <v>167</v>
      </c>
      <c r="D2011" s="13" t="s">
        <v>166</v>
      </c>
      <c r="E2011" s="13" t="s">
        <v>4023</v>
      </c>
      <c r="F2011" s="43">
        <v>72.099999999999994</v>
      </c>
    </row>
    <row r="2012" spans="2:6" x14ac:dyDescent="0.25">
      <c r="B2012" s="13" t="s">
        <v>4024</v>
      </c>
      <c r="C2012" s="15" t="s">
        <v>167</v>
      </c>
      <c r="D2012" s="13" t="s">
        <v>166</v>
      </c>
      <c r="E2012" s="13" t="s">
        <v>4025</v>
      </c>
      <c r="F2012" s="43">
        <v>72.099999999999994</v>
      </c>
    </row>
    <row r="2013" spans="2:6" x14ac:dyDescent="0.25">
      <c r="B2013" s="13" t="s">
        <v>4026</v>
      </c>
      <c r="C2013" s="15" t="s">
        <v>167</v>
      </c>
      <c r="D2013" s="13" t="s">
        <v>166</v>
      </c>
      <c r="E2013" s="13" t="s">
        <v>4027</v>
      </c>
      <c r="F2013" s="43">
        <v>72.099999999999994</v>
      </c>
    </row>
    <row r="2014" spans="2:6" x14ac:dyDescent="0.25">
      <c r="B2014" s="13" t="s">
        <v>4028</v>
      </c>
      <c r="C2014" s="15" t="s">
        <v>167</v>
      </c>
      <c r="D2014" s="13" t="s">
        <v>166</v>
      </c>
      <c r="E2014" s="13" t="s">
        <v>4029</v>
      </c>
      <c r="F2014" s="43">
        <v>72.099999999999994</v>
      </c>
    </row>
    <row r="2015" spans="2:6" x14ac:dyDescent="0.25">
      <c r="B2015" s="13" t="s">
        <v>4030</v>
      </c>
      <c r="C2015" s="15" t="s">
        <v>167</v>
      </c>
      <c r="D2015" s="13" t="s">
        <v>166</v>
      </c>
      <c r="E2015" s="13" t="s">
        <v>4031</v>
      </c>
      <c r="F2015" s="43">
        <v>72.099999999999994</v>
      </c>
    </row>
    <row r="2016" spans="2:6" x14ac:dyDescent="0.25">
      <c r="B2016" s="13" t="s">
        <v>4032</v>
      </c>
      <c r="C2016" s="15" t="s">
        <v>167</v>
      </c>
      <c r="D2016" s="13" t="s">
        <v>166</v>
      </c>
      <c r="E2016" s="13" t="s">
        <v>4033</v>
      </c>
      <c r="F2016" s="43">
        <v>72.099999999999994</v>
      </c>
    </row>
    <row r="2017" spans="2:6" x14ac:dyDescent="0.25">
      <c r="B2017" s="13" t="s">
        <v>4034</v>
      </c>
      <c r="C2017" s="15" t="s">
        <v>167</v>
      </c>
      <c r="D2017" s="13" t="s">
        <v>166</v>
      </c>
      <c r="E2017" s="13" t="s">
        <v>4035</v>
      </c>
      <c r="F2017" s="43">
        <v>72.099999999999994</v>
      </c>
    </row>
    <row r="2018" spans="2:6" x14ac:dyDescent="0.25">
      <c r="B2018" s="13" t="s">
        <v>4036</v>
      </c>
      <c r="C2018" s="15" t="s">
        <v>167</v>
      </c>
      <c r="D2018" s="13" t="s">
        <v>166</v>
      </c>
      <c r="E2018" s="13" t="s">
        <v>4037</v>
      </c>
      <c r="F2018" s="43">
        <v>72.099999999999994</v>
      </c>
    </row>
    <row r="2019" spans="2:6" x14ac:dyDescent="0.25">
      <c r="B2019" s="13" t="s">
        <v>4038</v>
      </c>
      <c r="C2019" s="15" t="s">
        <v>167</v>
      </c>
      <c r="D2019" s="13" t="s">
        <v>166</v>
      </c>
      <c r="E2019" s="13" t="s">
        <v>4039</v>
      </c>
      <c r="F2019" s="43">
        <v>72.099999999999994</v>
      </c>
    </row>
    <row r="2020" spans="2:6" x14ac:dyDescent="0.25">
      <c r="B2020" s="13" t="s">
        <v>4040</v>
      </c>
      <c r="C2020" s="15" t="s">
        <v>167</v>
      </c>
      <c r="D2020" s="13" t="s">
        <v>166</v>
      </c>
      <c r="E2020" s="13" t="s">
        <v>4041</v>
      </c>
      <c r="F2020" s="43">
        <v>72.099999999999994</v>
      </c>
    </row>
    <row r="2021" spans="2:6" x14ac:dyDescent="0.25">
      <c r="B2021" s="13" t="s">
        <v>4042</v>
      </c>
      <c r="C2021" s="15" t="s">
        <v>167</v>
      </c>
      <c r="D2021" s="13" t="s">
        <v>166</v>
      </c>
      <c r="E2021" s="13" t="s">
        <v>4043</v>
      </c>
      <c r="F2021" s="43">
        <v>72.099999999999994</v>
      </c>
    </row>
    <row r="2022" spans="2:6" x14ac:dyDescent="0.25">
      <c r="B2022" s="13" t="s">
        <v>4044</v>
      </c>
      <c r="C2022" s="15" t="s">
        <v>167</v>
      </c>
      <c r="D2022" s="13" t="s">
        <v>166</v>
      </c>
      <c r="E2022" s="13" t="s">
        <v>4045</v>
      </c>
      <c r="F2022" s="43">
        <v>72.099999999999994</v>
      </c>
    </row>
    <row r="2023" spans="2:6" x14ac:dyDescent="0.25">
      <c r="B2023" s="13" t="s">
        <v>4046</v>
      </c>
      <c r="C2023" s="15" t="s">
        <v>167</v>
      </c>
      <c r="D2023" s="13" t="s">
        <v>166</v>
      </c>
      <c r="E2023" s="13" t="s">
        <v>4047</v>
      </c>
      <c r="F2023" s="43">
        <v>72.099999999999994</v>
      </c>
    </row>
    <row r="2024" spans="2:6" x14ac:dyDescent="0.25">
      <c r="B2024" s="13" t="s">
        <v>4048</v>
      </c>
      <c r="C2024" s="15" t="s">
        <v>167</v>
      </c>
      <c r="D2024" s="13" t="s">
        <v>166</v>
      </c>
      <c r="E2024" s="13" t="s">
        <v>4049</v>
      </c>
      <c r="F2024" s="43">
        <v>72.099999999999994</v>
      </c>
    </row>
    <row r="2025" spans="2:6" x14ac:dyDescent="0.25">
      <c r="B2025" s="13" t="s">
        <v>4050</v>
      </c>
      <c r="C2025" s="15" t="s">
        <v>167</v>
      </c>
      <c r="D2025" s="13" t="s">
        <v>166</v>
      </c>
      <c r="E2025" s="13" t="s">
        <v>4051</v>
      </c>
      <c r="F2025" s="43">
        <v>72.099999999999994</v>
      </c>
    </row>
    <row r="2026" spans="2:6" x14ac:dyDescent="0.25">
      <c r="B2026" s="13" t="s">
        <v>4052</v>
      </c>
      <c r="C2026" s="15" t="s">
        <v>167</v>
      </c>
      <c r="D2026" s="13" t="s">
        <v>166</v>
      </c>
      <c r="E2026" s="13" t="s">
        <v>4053</v>
      </c>
      <c r="F2026" s="43">
        <v>72.099999999999994</v>
      </c>
    </row>
    <row r="2027" spans="2:6" x14ac:dyDescent="0.25">
      <c r="B2027" s="13" t="s">
        <v>4054</v>
      </c>
      <c r="C2027" s="15" t="s">
        <v>167</v>
      </c>
      <c r="D2027" s="13" t="s">
        <v>166</v>
      </c>
      <c r="E2027" s="13" t="s">
        <v>4055</v>
      </c>
      <c r="F2027" s="43">
        <v>72.099999999999994</v>
      </c>
    </row>
    <row r="2028" spans="2:6" x14ac:dyDescent="0.25">
      <c r="B2028" s="13" t="s">
        <v>4056</v>
      </c>
      <c r="C2028" s="15" t="s">
        <v>167</v>
      </c>
      <c r="D2028" s="13" t="s">
        <v>166</v>
      </c>
      <c r="E2028" s="13" t="s">
        <v>4057</v>
      </c>
      <c r="F2028" s="43">
        <v>72.099999999999994</v>
      </c>
    </row>
    <row r="2029" spans="2:6" x14ac:dyDescent="0.25">
      <c r="B2029" s="13" t="s">
        <v>4058</v>
      </c>
      <c r="C2029" s="15" t="s">
        <v>167</v>
      </c>
      <c r="D2029" s="13" t="s">
        <v>166</v>
      </c>
      <c r="E2029" s="13" t="s">
        <v>4059</v>
      </c>
      <c r="F2029" s="43">
        <v>72.099999999999994</v>
      </c>
    </row>
    <row r="2030" spans="2:6" x14ac:dyDescent="0.25">
      <c r="B2030" s="13" t="s">
        <v>4060</v>
      </c>
      <c r="C2030" s="15" t="s">
        <v>167</v>
      </c>
      <c r="D2030" s="13" t="s">
        <v>166</v>
      </c>
      <c r="E2030" s="13" t="s">
        <v>4061</v>
      </c>
      <c r="F2030" s="43">
        <v>72.099999999999994</v>
      </c>
    </row>
    <row r="2031" spans="2:6" x14ac:dyDescent="0.25">
      <c r="B2031" s="13" t="s">
        <v>4062</v>
      </c>
      <c r="C2031" s="15" t="s">
        <v>167</v>
      </c>
      <c r="D2031" s="13" t="s">
        <v>166</v>
      </c>
      <c r="E2031" s="13" t="s">
        <v>4063</v>
      </c>
      <c r="F2031" s="43">
        <v>72.099999999999994</v>
      </c>
    </row>
    <row r="2032" spans="2:6" x14ac:dyDescent="0.25">
      <c r="B2032" s="13" t="s">
        <v>4064</v>
      </c>
      <c r="C2032" s="15" t="s">
        <v>167</v>
      </c>
      <c r="D2032" s="13" t="s">
        <v>166</v>
      </c>
      <c r="E2032" s="13" t="s">
        <v>4065</v>
      </c>
      <c r="F2032" s="43">
        <v>0</v>
      </c>
    </row>
    <row r="2033" spans="2:6" x14ac:dyDescent="0.25">
      <c r="B2033" s="13" t="s">
        <v>4066</v>
      </c>
      <c r="C2033" s="15" t="s">
        <v>167</v>
      </c>
      <c r="D2033" s="13" t="s">
        <v>166</v>
      </c>
      <c r="E2033" s="13" t="s">
        <v>4067</v>
      </c>
      <c r="F2033" s="43">
        <v>0</v>
      </c>
    </row>
    <row r="2034" spans="2:6" x14ac:dyDescent="0.25">
      <c r="B2034" s="13" t="s">
        <v>4068</v>
      </c>
      <c r="C2034" s="15" t="s">
        <v>167</v>
      </c>
      <c r="D2034" s="13" t="s">
        <v>166</v>
      </c>
      <c r="E2034" s="13" t="s">
        <v>4069</v>
      </c>
      <c r="F2034" s="43">
        <v>46.9</v>
      </c>
    </row>
    <row r="2035" spans="2:6" x14ac:dyDescent="0.25">
      <c r="B2035" s="13" t="s">
        <v>4070</v>
      </c>
      <c r="C2035" s="15" t="s">
        <v>167</v>
      </c>
      <c r="D2035" s="13" t="s">
        <v>166</v>
      </c>
      <c r="E2035" s="13" t="s">
        <v>4071</v>
      </c>
      <c r="F2035" s="43">
        <v>46.9</v>
      </c>
    </row>
    <row r="2036" spans="2:6" x14ac:dyDescent="0.25">
      <c r="B2036" s="13" t="s">
        <v>4072</v>
      </c>
      <c r="C2036" s="15" t="s">
        <v>167</v>
      </c>
      <c r="D2036" s="13" t="s">
        <v>166</v>
      </c>
      <c r="E2036" s="13" t="s">
        <v>4073</v>
      </c>
      <c r="F2036" s="43">
        <v>46.9</v>
      </c>
    </row>
    <row r="2037" spans="2:6" x14ac:dyDescent="0.25">
      <c r="B2037" s="13" t="s">
        <v>4074</v>
      </c>
      <c r="C2037" s="15" t="s">
        <v>167</v>
      </c>
      <c r="D2037" s="13" t="s">
        <v>166</v>
      </c>
      <c r="E2037" s="13" t="s">
        <v>4075</v>
      </c>
      <c r="F2037" s="43">
        <v>46.9</v>
      </c>
    </row>
    <row r="2038" spans="2:6" x14ac:dyDescent="0.25">
      <c r="B2038" s="13" t="s">
        <v>4076</v>
      </c>
      <c r="C2038" s="15" t="s">
        <v>167</v>
      </c>
      <c r="D2038" s="13" t="s">
        <v>166</v>
      </c>
      <c r="E2038" s="13" t="s">
        <v>4077</v>
      </c>
      <c r="F2038" s="43">
        <v>46.9</v>
      </c>
    </row>
    <row r="2039" spans="2:6" x14ac:dyDescent="0.25">
      <c r="B2039" s="13" t="s">
        <v>4078</v>
      </c>
      <c r="C2039" s="15" t="s">
        <v>167</v>
      </c>
      <c r="D2039" s="13" t="s">
        <v>166</v>
      </c>
      <c r="E2039" s="13" t="s">
        <v>4079</v>
      </c>
      <c r="F2039" s="43">
        <v>46.9</v>
      </c>
    </row>
    <row r="2040" spans="2:6" x14ac:dyDescent="0.25">
      <c r="B2040" s="13" t="s">
        <v>4080</v>
      </c>
      <c r="C2040" s="15" t="s">
        <v>167</v>
      </c>
      <c r="D2040" s="13" t="s">
        <v>166</v>
      </c>
      <c r="E2040" s="13" t="s">
        <v>4069</v>
      </c>
      <c r="F2040" s="43">
        <v>46.9</v>
      </c>
    </row>
    <row r="2041" spans="2:6" x14ac:dyDescent="0.25">
      <c r="B2041" s="13" t="s">
        <v>4081</v>
      </c>
      <c r="C2041" s="15" t="s">
        <v>167</v>
      </c>
      <c r="D2041" s="13" t="s">
        <v>166</v>
      </c>
      <c r="E2041" s="13" t="s">
        <v>4082</v>
      </c>
      <c r="F2041" s="43">
        <v>46.9</v>
      </c>
    </row>
    <row r="2042" spans="2:6" x14ac:dyDescent="0.25">
      <c r="B2042" s="13" t="s">
        <v>4083</v>
      </c>
      <c r="C2042" s="15" t="s">
        <v>167</v>
      </c>
      <c r="D2042" s="13" t="s">
        <v>166</v>
      </c>
      <c r="E2042" s="13" t="s">
        <v>4084</v>
      </c>
      <c r="F2042" s="43">
        <v>46.9</v>
      </c>
    </row>
    <row r="2043" spans="2:6" x14ac:dyDescent="0.25">
      <c r="B2043" s="13" t="s">
        <v>4085</v>
      </c>
      <c r="C2043" s="15" t="s">
        <v>167</v>
      </c>
      <c r="D2043" s="13" t="s">
        <v>166</v>
      </c>
      <c r="E2043" s="13" t="s">
        <v>4086</v>
      </c>
      <c r="F2043" s="43">
        <v>46.9</v>
      </c>
    </row>
    <row r="2044" spans="2:6" x14ac:dyDescent="0.25">
      <c r="B2044" s="13" t="s">
        <v>4087</v>
      </c>
      <c r="C2044" s="15" t="s">
        <v>167</v>
      </c>
      <c r="D2044" s="13" t="s">
        <v>166</v>
      </c>
      <c r="E2044" s="13" t="s">
        <v>4088</v>
      </c>
      <c r="F2044" s="43">
        <v>46.9</v>
      </c>
    </row>
    <row r="2045" spans="2:6" x14ac:dyDescent="0.25">
      <c r="B2045" s="13" t="s">
        <v>4089</v>
      </c>
      <c r="C2045" s="15" t="s">
        <v>167</v>
      </c>
      <c r="D2045" s="13" t="s">
        <v>166</v>
      </c>
      <c r="E2045" s="13" t="s">
        <v>4090</v>
      </c>
      <c r="F2045" s="43">
        <v>46.9</v>
      </c>
    </row>
    <row r="2046" spans="2:6" x14ac:dyDescent="0.25">
      <c r="B2046" s="13" t="s">
        <v>4091</v>
      </c>
      <c r="C2046" s="15" t="s">
        <v>167</v>
      </c>
      <c r="D2046" s="13" t="s">
        <v>166</v>
      </c>
      <c r="E2046" s="13" t="s">
        <v>4092</v>
      </c>
      <c r="F2046" s="43">
        <v>46.9</v>
      </c>
    </row>
    <row r="2047" spans="2:6" x14ac:dyDescent="0.25">
      <c r="B2047" s="13" t="s">
        <v>4093</v>
      </c>
      <c r="C2047" s="15" t="s">
        <v>167</v>
      </c>
      <c r="D2047" s="13" t="s">
        <v>166</v>
      </c>
      <c r="E2047" s="13" t="s">
        <v>4094</v>
      </c>
      <c r="F2047" s="43">
        <v>46.9</v>
      </c>
    </row>
    <row r="2048" spans="2:6" x14ac:dyDescent="0.25">
      <c r="B2048" s="13" t="s">
        <v>4095</v>
      </c>
      <c r="C2048" s="15" t="s">
        <v>167</v>
      </c>
      <c r="D2048" s="13" t="s">
        <v>166</v>
      </c>
      <c r="E2048" s="13" t="s">
        <v>4096</v>
      </c>
      <c r="F2048" s="43">
        <v>46.9</v>
      </c>
    </row>
    <row r="2049" spans="2:6" x14ac:dyDescent="0.25">
      <c r="B2049" s="13" t="s">
        <v>4097</v>
      </c>
      <c r="C2049" s="15" t="s">
        <v>167</v>
      </c>
      <c r="D2049" s="13" t="s">
        <v>166</v>
      </c>
      <c r="E2049" s="13" t="s">
        <v>4098</v>
      </c>
      <c r="F2049" s="43">
        <v>46.9</v>
      </c>
    </row>
    <row r="2050" spans="2:6" x14ac:dyDescent="0.25">
      <c r="B2050" s="13" t="s">
        <v>4099</v>
      </c>
      <c r="C2050" s="15" t="s">
        <v>167</v>
      </c>
      <c r="D2050" s="13" t="s">
        <v>166</v>
      </c>
      <c r="E2050" s="13" t="s">
        <v>4100</v>
      </c>
      <c r="F2050" s="43">
        <v>46.9</v>
      </c>
    </row>
    <row r="2051" spans="2:6" x14ac:dyDescent="0.25">
      <c r="B2051" s="13" t="s">
        <v>4101</v>
      </c>
      <c r="C2051" s="15" t="s">
        <v>167</v>
      </c>
      <c r="D2051" s="13" t="s">
        <v>166</v>
      </c>
      <c r="E2051" s="13" t="s">
        <v>4102</v>
      </c>
      <c r="F2051" s="43">
        <v>46.9</v>
      </c>
    </row>
    <row r="2052" spans="2:6" x14ac:dyDescent="0.25">
      <c r="B2052" s="13" t="s">
        <v>4103</v>
      </c>
      <c r="C2052" s="15" t="s">
        <v>167</v>
      </c>
      <c r="D2052" s="13" t="s">
        <v>166</v>
      </c>
      <c r="E2052" s="13" t="s">
        <v>4104</v>
      </c>
      <c r="F2052" s="43">
        <v>46.9</v>
      </c>
    </row>
    <row r="2053" spans="2:6" x14ac:dyDescent="0.25">
      <c r="B2053" s="13" t="s">
        <v>4105</v>
      </c>
      <c r="C2053" s="15" t="s">
        <v>167</v>
      </c>
      <c r="D2053" s="13" t="s">
        <v>166</v>
      </c>
      <c r="E2053" s="13" t="s">
        <v>4106</v>
      </c>
      <c r="F2053" s="43">
        <v>45.9</v>
      </c>
    </row>
    <row r="2054" spans="2:6" x14ac:dyDescent="0.25">
      <c r="B2054" s="13" t="s">
        <v>4107</v>
      </c>
      <c r="C2054" s="15" t="s">
        <v>167</v>
      </c>
      <c r="D2054" s="13" t="s">
        <v>166</v>
      </c>
      <c r="E2054" s="13" t="s">
        <v>4108</v>
      </c>
      <c r="F2054" s="43">
        <v>45.9</v>
      </c>
    </row>
    <row r="2055" spans="2:6" x14ac:dyDescent="0.25">
      <c r="B2055" s="13" t="s">
        <v>4109</v>
      </c>
      <c r="C2055" s="15" t="s">
        <v>167</v>
      </c>
      <c r="D2055" s="13" t="s">
        <v>166</v>
      </c>
      <c r="E2055" s="13" t="s">
        <v>4110</v>
      </c>
      <c r="F2055" s="43">
        <v>45.9</v>
      </c>
    </row>
    <row r="2056" spans="2:6" x14ac:dyDescent="0.25">
      <c r="B2056" s="13" t="s">
        <v>4111</v>
      </c>
      <c r="C2056" s="15" t="s">
        <v>167</v>
      </c>
      <c r="D2056" s="13" t="s">
        <v>166</v>
      </c>
      <c r="E2056" s="13" t="s">
        <v>4112</v>
      </c>
      <c r="F2056" s="43">
        <v>98.6</v>
      </c>
    </row>
    <row r="2057" spans="2:6" x14ac:dyDescent="0.25">
      <c r="B2057" s="13" t="s">
        <v>4113</v>
      </c>
      <c r="C2057" s="15" t="s">
        <v>167</v>
      </c>
      <c r="D2057" s="13" t="s">
        <v>166</v>
      </c>
      <c r="E2057" s="13" t="s">
        <v>4114</v>
      </c>
      <c r="F2057" s="43">
        <v>98.6</v>
      </c>
    </row>
    <row r="2058" spans="2:6" x14ac:dyDescent="0.25">
      <c r="B2058" s="13" t="s">
        <v>4115</v>
      </c>
      <c r="C2058" s="15" t="s">
        <v>167</v>
      </c>
      <c r="D2058" s="13" t="s">
        <v>166</v>
      </c>
      <c r="E2058" s="13" t="s">
        <v>4116</v>
      </c>
      <c r="F2058" s="43">
        <v>98.6</v>
      </c>
    </row>
    <row r="2059" spans="2:6" x14ac:dyDescent="0.25">
      <c r="B2059" s="13" t="s">
        <v>4117</v>
      </c>
      <c r="C2059" s="15" t="s">
        <v>167</v>
      </c>
      <c r="D2059" s="13" t="s">
        <v>166</v>
      </c>
      <c r="E2059" s="13" t="s">
        <v>4118</v>
      </c>
      <c r="F2059" s="43">
        <v>98.6</v>
      </c>
    </row>
    <row r="2060" spans="2:6" x14ac:dyDescent="0.25">
      <c r="B2060" s="13" t="s">
        <v>4119</v>
      </c>
      <c r="C2060" s="15" t="s">
        <v>167</v>
      </c>
      <c r="D2060" s="13" t="s">
        <v>166</v>
      </c>
      <c r="E2060" s="13" t="s">
        <v>4120</v>
      </c>
      <c r="F2060" s="43">
        <v>98.6</v>
      </c>
    </row>
    <row r="2061" spans="2:6" x14ac:dyDescent="0.25">
      <c r="B2061" s="13" t="s">
        <v>4121</v>
      </c>
      <c r="C2061" s="15" t="s">
        <v>167</v>
      </c>
      <c r="D2061" s="13" t="s">
        <v>166</v>
      </c>
      <c r="E2061" s="13" t="s">
        <v>4122</v>
      </c>
      <c r="F2061" s="43">
        <v>98.6</v>
      </c>
    </row>
    <row r="2062" spans="2:6" x14ac:dyDescent="0.25">
      <c r="B2062" s="13" t="s">
        <v>4123</v>
      </c>
      <c r="C2062" s="15" t="s">
        <v>167</v>
      </c>
      <c r="D2062" s="13" t="s">
        <v>166</v>
      </c>
      <c r="E2062" s="13" t="s">
        <v>3493</v>
      </c>
      <c r="F2062" s="43">
        <v>38.200000000000003</v>
      </c>
    </row>
    <row r="2063" spans="2:6" x14ac:dyDescent="0.25">
      <c r="B2063" s="13" t="s">
        <v>4124</v>
      </c>
      <c r="C2063" s="15" t="s">
        <v>167</v>
      </c>
      <c r="D2063" s="13" t="s">
        <v>166</v>
      </c>
      <c r="E2063" s="13" t="s">
        <v>4125</v>
      </c>
      <c r="F2063" s="43">
        <v>38.200000000000003</v>
      </c>
    </row>
    <row r="2064" spans="2:6" x14ac:dyDescent="0.25">
      <c r="B2064" s="13" t="s">
        <v>4126</v>
      </c>
      <c r="C2064" s="15" t="s">
        <v>167</v>
      </c>
      <c r="D2064" s="13" t="s">
        <v>166</v>
      </c>
      <c r="E2064" s="13" t="s">
        <v>4127</v>
      </c>
      <c r="F2064" s="43">
        <v>38.200000000000003</v>
      </c>
    </row>
    <row r="2065" spans="2:6" x14ac:dyDescent="0.25">
      <c r="B2065" s="13" t="s">
        <v>4128</v>
      </c>
      <c r="C2065" s="15" t="s">
        <v>167</v>
      </c>
      <c r="D2065" s="13" t="s">
        <v>166</v>
      </c>
      <c r="E2065" s="13" t="s">
        <v>4129</v>
      </c>
      <c r="F2065" s="43">
        <v>38.200000000000003</v>
      </c>
    </row>
    <row r="2066" spans="2:6" x14ac:dyDescent="0.25">
      <c r="B2066" s="13" t="s">
        <v>4130</v>
      </c>
      <c r="C2066" s="15" t="s">
        <v>167</v>
      </c>
      <c r="D2066" s="13" t="s">
        <v>166</v>
      </c>
      <c r="E2066" s="13" t="s">
        <v>4131</v>
      </c>
      <c r="F2066" s="43">
        <v>38.200000000000003</v>
      </c>
    </row>
    <row r="2067" spans="2:6" x14ac:dyDescent="0.25">
      <c r="B2067" s="13" t="s">
        <v>4132</v>
      </c>
      <c r="C2067" s="15" t="s">
        <v>167</v>
      </c>
      <c r="D2067" s="13" t="s">
        <v>166</v>
      </c>
      <c r="E2067" s="13" t="s">
        <v>4133</v>
      </c>
      <c r="F2067" s="43">
        <v>38.200000000000003</v>
      </c>
    </row>
    <row r="2068" spans="2:6" x14ac:dyDescent="0.25">
      <c r="B2068" s="13" t="s">
        <v>4134</v>
      </c>
      <c r="C2068" s="15" t="s">
        <v>167</v>
      </c>
      <c r="D2068" s="13" t="s">
        <v>166</v>
      </c>
      <c r="E2068" s="13" t="s">
        <v>4135</v>
      </c>
      <c r="F2068" s="43">
        <v>38.200000000000003</v>
      </c>
    </row>
    <row r="2069" spans="2:6" x14ac:dyDescent="0.25">
      <c r="B2069" s="13" t="s">
        <v>4136</v>
      </c>
      <c r="C2069" s="15" t="s">
        <v>167</v>
      </c>
      <c r="D2069" s="13" t="s">
        <v>166</v>
      </c>
      <c r="E2069" s="13" t="s">
        <v>4137</v>
      </c>
      <c r="F2069" s="43">
        <v>7.95</v>
      </c>
    </row>
    <row r="2070" spans="2:6" x14ac:dyDescent="0.25">
      <c r="B2070" s="13" t="s">
        <v>4138</v>
      </c>
      <c r="C2070" s="15" t="s">
        <v>167</v>
      </c>
      <c r="D2070" s="13" t="s">
        <v>166</v>
      </c>
      <c r="E2070" s="13" t="s">
        <v>4139</v>
      </c>
      <c r="F2070" s="43">
        <v>7.4</v>
      </c>
    </row>
    <row r="2071" spans="2:6" x14ac:dyDescent="0.25">
      <c r="B2071" s="13" t="s">
        <v>4140</v>
      </c>
      <c r="C2071" s="15" t="s">
        <v>167</v>
      </c>
      <c r="D2071" s="13" t="s">
        <v>166</v>
      </c>
      <c r="E2071" s="13" t="s">
        <v>4141</v>
      </c>
      <c r="F2071" s="43">
        <v>7.8</v>
      </c>
    </row>
    <row r="2072" spans="2:6" x14ac:dyDescent="0.25">
      <c r="B2072" s="13" t="s">
        <v>4142</v>
      </c>
      <c r="C2072" s="15" t="s">
        <v>167</v>
      </c>
      <c r="D2072" s="13" t="s">
        <v>166</v>
      </c>
      <c r="E2072" s="13" t="s">
        <v>4143</v>
      </c>
      <c r="F2072" s="43">
        <v>7.8</v>
      </c>
    </row>
    <row r="2073" spans="2:6" x14ac:dyDescent="0.25">
      <c r="B2073" s="13" t="s">
        <v>4144</v>
      </c>
      <c r="C2073" s="15" t="s">
        <v>167</v>
      </c>
      <c r="D2073" s="13" t="s">
        <v>166</v>
      </c>
      <c r="E2073" s="13" t="s">
        <v>4145</v>
      </c>
      <c r="F2073" s="43">
        <v>7.8</v>
      </c>
    </row>
    <row r="2074" spans="2:6" x14ac:dyDescent="0.25">
      <c r="B2074" s="13" t="s">
        <v>4146</v>
      </c>
      <c r="C2074" s="15" t="s">
        <v>167</v>
      </c>
      <c r="D2074" s="13" t="s">
        <v>166</v>
      </c>
      <c r="E2074" s="13" t="s">
        <v>4147</v>
      </c>
      <c r="F2074" s="43">
        <v>7.8</v>
      </c>
    </row>
    <row r="2075" spans="2:6" x14ac:dyDescent="0.25">
      <c r="B2075" s="13" t="s">
        <v>4148</v>
      </c>
      <c r="C2075" s="15" t="s">
        <v>167</v>
      </c>
      <c r="D2075" s="13" t="s">
        <v>166</v>
      </c>
      <c r="E2075" s="13" t="s">
        <v>4149</v>
      </c>
      <c r="F2075" s="43">
        <v>7.8</v>
      </c>
    </row>
    <row r="2076" spans="2:6" x14ac:dyDescent="0.25">
      <c r="B2076" s="13" t="s">
        <v>4150</v>
      </c>
      <c r="C2076" s="15" t="s">
        <v>167</v>
      </c>
      <c r="D2076" s="13" t="s">
        <v>166</v>
      </c>
      <c r="E2076" s="13" t="s">
        <v>4151</v>
      </c>
      <c r="F2076" s="43">
        <v>7.8</v>
      </c>
    </row>
    <row r="2077" spans="2:6" x14ac:dyDescent="0.25">
      <c r="B2077" s="13" t="s">
        <v>4152</v>
      </c>
      <c r="C2077" s="15" t="s">
        <v>167</v>
      </c>
      <c r="D2077" s="13" t="s">
        <v>166</v>
      </c>
      <c r="E2077" s="13" t="s">
        <v>4153</v>
      </c>
      <c r="F2077" s="43">
        <v>7.8</v>
      </c>
    </row>
    <row r="2078" spans="2:6" x14ac:dyDescent="0.25">
      <c r="B2078" s="13" t="s">
        <v>4152</v>
      </c>
      <c r="C2078" s="15" t="s">
        <v>167</v>
      </c>
      <c r="D2078" s="13" t="s">
        <v>166</v>
      </c>
      <c r="E2078" s="13" t="s">
        <v>4153</v>
      </c>
      <c r="F2078" s="43">
        <v>7.8</v>
      </c>
    </row>
    <row r="2079" spans="2:6" x14ac:dyDescent="0.25">
      <c r="B2079" s="13" t="s">
        <v>4154</v>
      </c>
      <c r="C2079" s="15" t="s">
        <v>167</v>
      </c>
      <c r="D2079" s="13" t="s">
        <v>166</v>
      </c>
      <c r="E2079" s="13" t="s">
        <v>4155</v>
      </c>
      <c r="F2079" s="43">
        <v>7.8</v>
      </c>
    </row>
    <row r="2080" spans="2:6" x14ac:dyDescent="0.25">
      <c r="B2080" s="13" t="s">
        <v>4156</v>
      </c>
      <c r="C2080" s="15" t="s">
        <v>167</v>
      </c>
      <c r="D2080" s="13" t="s">
        <v>166</v>
      </c>
      <c r="E2080" s="13" t="s">
        <v>4157</v>
      </c>
      <c r="F2080" s="43">
        <v>7.8</v>
      </c>
    </row>
    <row r="2081" spans="2:6" x14ac:dyDescent="0.25">
      <c r="B2081" s="13" t="s">
        <v>4158</v>
      </c>
      <c r="C2081" s="15" t="s">
        <v>167</v>
      </c>
      <c r="D2081" s="13" t="s">
        <v>166</v>
      </c>
      <c r="E2081" s="13" t="s">
        <v>4159</v>
      </c>
      <c r="F2081" s="43">
        <v>7.8</v>
      </c>
    </row>
    <row r="2082" spans="2:6" x14ac:dyDescent="0.25">
      <c r="B2082" s="13" t="s">
        <v>4160</v>
      </c>
      <c r="C2082" s="15" t="s">
        <v>167</v>
      </c>
      <c r="D2082" s="13" t="s">
        <v>166</v>
      </c>
      <c r="E2082" s="13" t="s">
        <v>4161</v>
      </c>
      <c r="F2082" s="43">
        <v>7.8</v>
      </c>
    </row>
    <row r="2083" spans="2:6" x14ac:dyDescent="0.25">
      <c r="B2083" s="13" t="s">
        <v>4162</v>
      </c>
      <c r="C2083" s="15" t="s">
        <v>167</v>
      </c>
      <c r="D2083" s="13" t="s">
        <v>166</v>
      </c>
      <c r="E2083" s="13" t="s">
        <v>4163</v>
      </c>
      <c r="F2083" s="43">
        <v>7.8</v>
      </c>
    </row>
    <row r="2084" spans="2:6" x14ac:dyDescent="0.25">
      <c r="B2084" s="13" t="s">
        <v>4164</v>
      </c>
      <c r="C2084" s="15" t="s">
        <v>167</v>
      </c>
      <c r="D2084" s="13" t="s">
        <v>166</v>
      </c>
      <c r="E2084" s="13" t="s">
        <v>4165</v>
      </c>
      <c r="F2084" s="43">
        <v>7.8</v>
      </c>
    </row>
    <row r="2085" spans="2:6" x14ac:dyDescent="0.25">
      <c r="B2085" s="13" t="s">
        <v>4166</v>
      </c>
      <c r="C2085" s="15" t="s">
        <v>167</v>
      </c>
      <c r="D2085" s="13" t="s">
        <v>166</v>
      </c>
      <c r="E2085" s="13" t="s">
        <v>4167</v>
      </c>
      <c r="F2085" s="43">
        <v>7.8</v>
      </c>
    </row>
    <row r="2086" spans="2:6" x14ac:dyDescent="0.25">
      <c r="B2086" s="13" t="s">
        <v>4168</v>
      </c>
      <c r="C2086" s="15" t="s">
        <v>167</v>
      </c>
      <c r="D2086" s="13" t="s">
        <v>166</v>
      </c>
      <c r="E2086" s="13" t="s">
        <v>4169</v>
      </c>
      <c r="F2086" s="43">
        <v>7.8</v>
      </c>
    </row>
    <row r="2087" spans="2:6" x14ac:dyDescent="0.25">
      <c r="B2087" s="13" t="s">
        <v>4170</v>
      </c>
      <c r="C2087" s="15" t="s">
        <v>167</v>
      </c>
      <c r="D2087" s="13" t="s">
        <v>166</v>
      </c>
      <c r="E2087" s="13" t="s">
        <v>4171</v>
      </c>
      <c r="F2087" s="43">
        <v>7.8</v>
      </c>
    </row>
    <row r="2088" spans="2:6" x14ac:dyDescent="0.25">
      <c r="B2088" s="13" t="s">
        <v>4172</v>
      </c>
      <c r="C2088" s="15" t="s">
        <v>167</v>
      </c>
      <c r="D2088" s="13" t="s">
        <v>166</v>
      </c>
      <c r="E2088" s="13" t="s">
        <v>4173</v>
      </c>
      <c r="F2088" s="43">
        <v>7.8</v>
      </c>
    </row>
    <row r="2089" spans="2:6" x14ac:dyDescent="0.25">
      <c r="B2089" s="13" t="s">
        <v>4174</v>
      </c>
      <c r="C2089" s="15" t="s">
        <v>167</v>
      </c>
      <c r="D2089" s="13" t="s">
        <v>166</v>
      </c>
      <c r="E2089" s="13" t="s">
        <v>4175</v>
      </c>
      <c r="F2089" s="43">
        <v>7.8</v>
      </c>
    </row>
    <row r="2090" spans="2:6" x14ac:dyDescent="0.25">
      <c r="B2090" s="13" t="s">
        <v>4176</v>
      </c>
      <c r="C2090" s="15" t="s">
        <v>167</v>
      </c>
      <c r="D2090" s="13" t="s">
        <v>166</v>
      </c>
      <c r="E2090" s="13" t="s">
        <v>4177</v>
      </c>
      <c r="F2090" s="43">
        <v>7.8</v>
      </c>
    </row>
    <row r="2091" spans="2:6" x14ac:dyDescent="0.25">
      <c r="B2091" s="13" t="s">
        <v>4178</v>
      </c>
      <c r="C2091" s="15" t="s">
        <v>167</v>
      </c>
      <c r="D2091" s="13" t="s">
        <v>166</v>
      </c>
      <c r="E2091" s="13" t="s">
        <v>4179</v>
      </c>
      <c r="F2091" s="43">
        <v>7.8</v>
      </c>
    </row>
    <row r="2092" spans="2:6" x14ac:dyDescent="0.25">
      <c r="B2092" s="13" t="s">
        <v>4180</v>
      </c>
      <c r="C2092" s="15" t="s">
        <v>167</v>
      </c>
      <c r="D2092" s="13" t="s">
        <v>166</v>
      </c>
      <c r="E2092" s="13" t="s">
        <v>4181</v>
      </c>
      <c r="F2092" s="43">
        <v>7.8</v>
      </c>
    </row>
    <row r="2093" spans="2:6" x14ac:dyDescent="0.25">
      <c r="B2093" s="13" t="s">
        <v>4182</v>
      </c>
      <c r="C2093" s="15" t="s">
        <v>167</v>
      </c>
      <c r="D2093" s="13" t="s">
        <v>166</v>
      </c>
      <c r="E2093" s="13" t="s">
        <v>4183</v>
      </c>
      <c r="F2093" s="43">
        <v>7.8</v>
      </c>
    </row>
    <row r="2094" spans="2:6" x14ac:dyDescent="0.25">
      <c r="B2094" s="13" t="s">
        <v>4184</v>
      </c>
      <c r="C2094" s="15" t="s">
        <v>167</v>
      </c>
      <c r="D2094" s="13" t="s">
        <v>166</v>
      </c>
      <c r="E2094" s="13" t="s">
        <v>4185</v>
      </c>
      <c r="F2094" s="43">
        <v>7.8</v>
      </c>
    </row>
    <row r="2095" spans="2:6" x14ac:dyDescent="0.25">
      <c r="B2095" s="13" t="s">
        <v>4186</v>
      </c>
      <c r="C2095" s="15" t="s">
        <v>167</v>
      </c>
      <c r="D2095" s="13" t="s">
        <v>166</v>
      </c>
      <c r="E2095" s="13" t="s">
        <v>4187</v>
      </c>
      <c r="F2095" s="43">
        <v>7.8</v>
      </c>
    </row>
    <row r="2096" spans="2:6" x14ac:dyDescent="0.25">
      <c r="B2096" s="13" t="s">
        <v>4188</v>
      </c>
      <c r="C2096" s="15" t="s">
        <v>167</v>
      </c>
      <c r="D2096" s="13" t="s">
        <v>166</v>
      </c>
      <c r="E2096" s="13" t="s">
        <v>4189</v>
      </c>
      <c r="F2096" s="43">
        <v>7.8</v>
      </c>
    </row>
    <row r="2097" spans="2:6" x14ac:dyDescent="0.25">
      <c r="B2097" s="13" t="s">
        <v>4190</v>
      </c>
      <c r="C2097" s="15" t="s">
        <v>167</v>
      </c>
      <c r="D2097" s="13" t="s">
        <v>166</v>
      </c>
      <c r="E2097" s="13" t="s">
        <v>4191</v>
      </c>
      <c r="F2097" s="43">
        <v>7.8</v>
      </c>
    </row>
    <row r="2098" spans="2:6" x14ac:dyDescent="0.25">
      <c r="B2098" s="13" t="s">
        <v>4192</v>
      </c>
      <c r="C2098" s="15" t="s">
        <v>167</v>
      </c>
      <c r="D2098" s="13" t="s">
        <v>166</v>
      </c>
      <c r="E2098" s="13" t="s">
        <v>4193</v>
      </c>
      <c r="F2098" s="43">
        <v>7.8</v>
      </c>
    </row>
    <row r="2099" spans="2:6" x14ac:dyDescent="0.25">
      <c r="B2099" s="13" t="s">
        <v>4194</v>
      </c>
      <c r="C2099" s="15" t="s">
        <v>167</v>
      </c>
      <c r="D2099" s="13" t="s">
        <v>166</v>
      </c>
      <c r="E2099" s="13" t="s">
        <v>4195</v>
      </c>
      <c r="F2099" s="43">
        <v>7.8</v>
      </c>
    </row>
    <row r="2100" spans="2:6" x14ac:dyDescent="0.25">
      <c r="B2100" s="13" t="s">
        <v>4196</v>
      </c>
      <c r="C2100" s="15" t="s">
        <v>167</v>
      </c>
      <c r="D2100" s="13" t="s">
        <v>166</v>
      </c>
      <c r="E2100" s="13" t="s">
        <v>4197</v>
      </c>
      <c r="F2100" s="43">
        <v>7.8</v>
      </c>
    </row>
    <row r="2101" spans="2:6" x14ac:dyDescent="0.25">
      <c r="B2101" s="13" t="s">
        <v>4198</v>
      </c>
      <c r="C2101" s="15" t="s">
        <v>167</v>
      </c>
      <c r="D2101" s="13" t="s">
        <v>166</v>
      </c>
      <c r="E2101" s="13" t="s">
        <v>4199</v>
      </c>
      <c r="F2101" s="43">
        <v>7.8</v>
      </c>
    </row>
    <row r="2102" spans="2:6" x14ac:dyDescent="0.25">
      <c r="B2102" s="13" t="s">
        <v>4200</v>
      </c>
      <c r="C2102" s="15" t="s">
        <v>167</v>
      </c>
      <c r="D2102" s="13" t="s">
        <v>166</v>
      </c>
      <c r="E2102" s="13" t="s">
        <v>4201</v>
      </c>
      <c r="F2102" s="43">
        <v>7.8</v>
      </c>
    </row>
    <row r="2103" spans="2:6" x14ac:dyDescent="0.25">
      <c r="B2103" s="13" t="s">
        <v>4202</v>
      </c>
      <c r="C2103" s="15" t="s">
        <v>167</v>
      </c>
      <c r="D2103" s="13" t="s">
        <v>166</v>
      </c>
      <c r="E2103" s="13" t="s">
        <v>4203</v>
      </c>
      <c r="F2103" s="43">
        <v>7.8</v>
      </c>
    </row>
    <row r="2104" spans="2:6" x14ac:dyDescent="0.25">
      <c r="B2104" s="13" t="s">
        <v>4204</v>
      </c>
      <c r="C2104" s="15" t="s">
        <v>167</v>
      </c>
      <c r="D2104" s="13" t="s">
        <v>166</v>
      </c>
      <c r="E2104" s="13" t="s">
        <v>4205</v>
      </c>
      <c r="F2104" s="43">
        <v>7.8</v>
      </c>
    </row>
    <row r="2105" spans="2:6" x14ac:dyDescent="0.25">
      <c r="B2105" s="13" t="s">
        <v>4206</v>
      </c>
      <c r="C2105" s="15" t="s">
        <v>167</v>
      </c>
      <c r="D2105" s="13" t="s">
        <v>166</v>
      </c>
      <c r="E2105" s="13" t="s">
        <v>4207</v>
      </c>
      <c r="F2105" s="43">
        <v>7.8</v>
      </c>
    </row>
    <row r="2106" spans="2:6" x14ac:dyDescent="0.25">
      <c r="B2106" s="13" t="s">
        <v>4208</v>
      </c>
      <c r="C2106" s="15" t="s">
        <v>167</v>
      </c>
      <c r="D2106" s="13" t="s">
        <v>166</v>
      </c>
      <c r="E2106" s="13" t="s">
        <v>4209</v>
      </c>
      <c r="F2106" s="43">
        <v>7.8</v>
      </c>
    </row>
    <row r="2107" spans="2:6" x14ac:dyDescent="0.25">
      <c r="B2107" s="13" t="s">
        <v>4210</v>
      </c>
      <c r="C2107" s="15" t="s">
        <v>167</v>
      </c>
      <c r="D2107" s="13" t="s">
        <v>166</v>
      </c>
      <c r="E2107" s="13" t="s">
        <v>4211</v>
      </c>
      <c r="F2107" s="43">
        <v>7.8</v>
      </c>
    </row>
    <row r="2108" spans="2:6" x14ac:dyDescent="0.25">
      <c r="B2108" s="13" t="s">
        <v>4212</v>
      </c>
      <c r="C2108" s="15" t="s">
        <v>167</v>
      </c>
      <c r="D2108" s="13" t="s">
        <v>166</v>
      </c>
      <c r="E2108" s="13" t="s">
        <v>4213</v>
      </c>
      <c r="F2108" s="43">
        <v>7.8</v>
      </c>
    </row>
    <row r="2109" spans="2:6" x14ac:dyDescent="0.25">
      <c r="B2109" s="13" t="s">
        <v>4214</v>
      </c>
      <c r="C2109" s="15" t="s">
        <v>167</v>
      </c>
      <c r="D2109" s="13" t="s">
        <v>166</v>
      </c>
      <c r="E2109" s="13" t="s">
        <v>4215</v>
      </c>
      <c r="F2109" s="43">
        <v>7.8</v>
      </c>
    </row>
    <row r="2110" spans="2:6" x14ac:dyDescent="0.25">
      <c r="B2110" s="13" t="s">
        <v>4216</v>
      </c>
      <c r="C2110" s="15" t="s">
        <v>167</v>
      </c>
      <c r="D2110" s="13" t="s">
        <v>166</v>
      </c>
      <c r="E2110" s="13" t="s">
        <v>4217</v>
      </c>
      <c r="F2110" s="43">
        <v>7.8</v>
      </c>
    </row>
    <row r="2111" spans="2:6" x14ac:dyDescent="0.25">
      <c r="B2111" s="13" t="s">
        <v>4218</v>
      </c>
      <c r="C2111" s="15" t="s">
        <v>167</v>
      </c>
      <c r="D2111" s="13" t="s">
        <v>166</v>
      </c>
      <c r="E2111" s="13" t="s">
        <v>4219</v>
      </c>
      <c r="F2111" s="43">
        <v>7.8</v>
      </c>
    </row>
    <row r="2112" spans="2:6" x14ac:dyDescent="0.25">
      <c r="B2112" s="13" t="s">
        <v>4220</v>
      </c>
      <c r="C2112" s="15" t="s">
        <v>167</v>
      </c>
      <c r="D2112" s="13" t="s">
        <v>166</v>
      </c>
      <c r="E2112" s="13" t="s">
        <v>4221</v>
      </c>
      <c r="F2112" s="43">
        <v>7.8</v>
      </c>
    </row>
    <row r="2113" spans="2:6" x14ac:dyDescent="0.25">
      <c r="B2113" s="13" t="s">
        <v>4222</v>
      </c>
      <c r="C2113" s="15" t="s">
        <v>167</v>
      </c>
      <c r="D2113" s="13" t="s">
        <v>166</v>
      </c>
      <c r="E2113" s="13" t="s">
        <v>4223</v>
      </c>
      <c r="F2113" s="43">
        <v>7.8</v>
      </c>
    </row>
    <row r="2114" spans="2:6" x14ac:dyDescent="0.25">
      <c r="B2114" s="13" t="s">
        <v>4224</v>
      </c>
      <c r="C2114" s="15" t="s">
        <v>167</v>
      </c>
      <c r="D2114" s="13" t="s">
        <v>166</v>
      </c>
      <c r="E2114" s="13" t="s">
        <v>4225</v>
      </c>
      <c r="F2114" s="43">
        <v>7.8</v>
      </c>
    </row>
    <row r="2115" spans="2:6" x14ac:dyDescent="0.25">
      <c r="B2115" s="13" t="s">
        <v>4226</v>
      </c>
      <c r="C2115" s="15" t="s">
        <v>167</v>
      </c>
      <c r="D2115" s="13" t="s">
        <v>166</v>
      </c>
      <c r="E2115" s="13" t="s">
        <v>4227</v>
      </c>
      <c r="F2115" s="43">
        <v>7.8</v>
      </c>
    </row>
    <row r="2116" spans="2:6" x14ac:dyDescent="0.25">
      <c r="B2116" s="13" t="s">
        <v>4228</v>
      </c>
      <c r="C2116" s="15" t="s">
        <v>167</v>
      </c>
      <c r="D2116" s="13" t="s">
        <v>166</v>
      </c>
      <c r="E2116" s="13" t="s">
        <v>4229</v>
      </c>
      <c r="F2116" s="43">
        <v>7.8</v>
      </c>
    </row>
    <row r="2117" spans="2:6" x14ac:dyDescent="0.25">
      <c r="B2117" s="13" t="s">
        <v>4230</v>
      </c>
      <c r="C2117" s="15" t="s">
        <v>167</v>
      </c>
      <c r="D2117" s="13" t="s">
        <v>166</v>
      </c>
      <c r="E2117" s="13" t="s">
        <v>4231</v>
      </c>
      <c r="F2117" s="43">
        <v>7.8</v>
      </c>
    </row>
    <row r="2118" spans="2:6" x14ac:dyDescent="0.25">
      <c r="B2118" s="13" t="s">
        <v>4232</v>
      </c>
      <c r="C2118" s="15" t="s">
        <v>167</v>
      </c>
      <c r="D2118" s="13" t="s">
        <v>166</v>
      </c>
      <c r="E2118" s="13" t="s">
        <v>4233</v>
      </c>
      <c r="F2118" s="43">
        <v>7.8</v>
      </c>
    </row>
    <row r="2119" spans="2:6" x14ac:dyDescent="0.25">
      <c r="B2119" s="13" t="s">
        <v>4234</v>
      </c>
      <c r="C2119" s="15" t="s">
        <v>167</v>
      </c>
      <c r="D2119" s="13" t="s">
        <v>166</v>
      </c>
      <c r="E2119" s="13" t="s">
        <v>4235</v>
      </c>
      <c r="F2119" s="43">
        <v>8.9</v>
      </c>
    </row>
    <row r="2120" spans="2:6" x14ac:dyDescent="0.25">
      <c r="B2120" s="13" t="s">
        <v>4236</v>
      </c>
      <c r="C2120" s="15" t="s">
        <v>167</v>
      </c>
      <c r="D2120" s="13" t="s">
        <v>166</v>
      </c>
      <c r="E2120" s="13" t="s">
        <v>4237</v>
      </c>
      <c r="F2120" s="43">
        <v>8.9</v>
      </c>
    </row>
    <row r="2121" spans="2:6" x14ac:dyDescent="0.25">
      <c r="B2121" s="13" t="s">
        <v>4238</v>
      </c>
      <c r="C2121" s="15" t="s">
        <v>167</v>
      </c>
      <c r="D2121" s="13" t="s">
        <v>166</v>
      </c>
      <c r="E2121" s="13" t="s">
        <v>4239</v>
      </c>
      <c r="F2121" s="43">
        <v>8.9</v>
      </c>
    </row>
    <row r="2122" spans="2:6" x14ac:dyDescent="0.25">
      <c r="B2122" s="13" t="s">
        <v>4240</v>
      </c>
      <c r="C2122" s="15" t="s">
        <v>167</v>
      </c>
      <c r="D2122" s="13" t="s">
        <v>166</v>
      </c>
      <c r="E2122" s="13" t="s">
        <v>4241</v>
      </c>
      <c r="F2122" s="43">
        <v>8.9</v>
      </c>
    </row>
    <row r="2123" spans="2:6" x14ac:dyDescent="0.25">
      <c r="B2123" s="13" t="s">
        <v>4242</v>
      </c>
      <c r="C2123" s="15" t="s">
        <v>167</v>
      </c>
      <c r="D2123" s="13" t="s">
        <v>166</v>
      </c>
      <c r="E2123" s="13" t="s">
        <v>4243</v>
      </c>
      <c r="F2123" s="43">
        <v>7.8</v>
      </c>
    </row>
    <row r="2124" spans="2:6" x14ac:dyDescent="0.25">
      <c r="B2124" s="13" t="s">
        <v>4244</v>
      </c>
      <c r="C2124" s="15" t="s">
        <v>167</v>
      </c>
      <c r="D2124" s="13" t="s">
        <v>166</v>
      </c>
      <c r="E2124" s="13" t="s">
        <v>4245</v>
      </c>
      <c r="F2124" s="43">
        <v>7.8</v>
      </c>
    </row>
    <row r="2125" spans="2:6" x14ac:dyDescent="0.25">
      <c r="B2125" s="13" t="s">
        <v>4246</v>
      </c>
      <c r="C2125" s="15" t="s">
        <v>167</v>
      </c>
      <c r="D2125" s="13" t="s">
        <v>166</v>
      </c>
      <c r="E2125" s="13" t="s">
        <v>4245</v>
      </c>
      <c r="F2125" s="43">
        <v>7.8</v>
      </c>
    </row>
    <row r="2126" spans="2:6" x14ac:dyDescent="0.25">
      <c r="B2126" s="13" t="s">
        <v>4247</v>
      </c>
      <c r="C2126" s="15" t="s">
        <v>167</v>
      </c>
      <c r="D2126" s="13" t="s">
        <v>166</v>
      </c>
      <c r="E2126" s="13" t="s">
        <v>4248</v>
      </c>
      <c r="F2126" s="43">
        <v>7.8</v>
      </c>
    </row>
    <row r="2127" spans="2:6" x14ac:dyDescent="0.25">
      <c r="B2127" s="13" t="s">
        <v>4249</v>
      </c>
      <c r="C2127" s="15" t="s">
        <v>167</v>
      </c>
      <c r="D2127" s="13" t="s">
        <v>166</v>
      </c>
      <c r="E2127" s="13" t="s">
        <v>4250</v>
      </c>
      <c r="F2127" s="43">
        <v>7.8</v>
      </c>
    </row>
    <row r="2128" spans="2:6" x14ac:dyDescent="0.25">
      <c r="B2128" s="13" t="s">
        <v>4251</v>
      </c>
      <c r="C2128" s="15" t="s">
        <v>167</v>
      </c>
      <c r="D2128" s="13" t="s">
        <v>166</v>
      </c>
      <c r="E2128" s="13" t="s">
        <v>4252</v>
      </c>
      <c r="F2128" s="43">
        <v>7.8</v>
      </c>
    </row>
    <row r="2129" spans="2:6" x14ac:dyDescent="0.25">
      <c r="B2129" s="13" t="s">
        <v>4253</v>
      </c>
      <c r="C2129" s="15" t="s">
        <v>167</v>
      </c>
      <c r="D2129" s="13" t="s">
        <v>166</v>
      </c>
      <c r="E2129" s="13" t="s">
        <v>4254</v>
      </c>
      <c r="F2129" s="43">
        <v>7.8</v>
      </c>
    </row>
    <row r="2130" spans="2:6" x14ac:dyDescent="0.25">
      <c r="B2130" s="13" t="s">
        <v>4255</v>
      </c>
      <c r="C2130" s="15" t="s">
        <v>167</v>
      </c>
      <c r="D2130" s="13" t="s">
        <v>166</v>
      </c>
      <c r="E2130" s="13" t="s">
        <v>4256</v>
      </c>
      <c r="F2130" s="43">
        <v>7.8</v>
      </c>
    </row>
    <row r="2131" spans="2:6" x14ac:dyDescent="0.25">
      <c r="B2131" s="13" t="s">
        <v>4257</v>
      </c>
      <c r="C2131" s="15" t="s">
        <v>167</v>
      </c>
      <c r="D2131" s="13" t="s">
        <v>166</v>
      </c>
      <c r="E2131" s="13" t="s">
        <v>4258</v>
      </c>
      <c r="F2131" s="43">
        <v>7.8</v>
      </c>
    </row>
    <row r="2132" spans="2:6" x14ac:dyDescent="0.25">
      <c r="B2132" s="13" t="s">
        <v>4259</v>
      </c>
      <c r="C2132" s="15" t="s">
        <v>167</v>
      </c>
      <c r="D2132" s="13" t="s">
        <v>166</v>
      </c>
      <c r="E2132" s="13" t="s">
        <v>4260</v>
      </c>
      <c r="F2132" s="43">
        <v>7.8</v>
      </c>
    </row>
    <row r="2133" spans="2:6" x14ac:dyDescent="0.25">
      <c r="B2133" s="13" t="s">
        <v>4261</v>
      </c>
      <c r="C2133" s="15" t="s">
        <v>167</v>
      </c>
      <c r="D2133" s="13" t="s">
        <v>166</v>
      </c>
      <c r="E2133" s="13" t="s">
        <v>4262</v>
      </c>
      <c r="F2133" s="43">
        <v>7.6</v>
      </c>
    </row>
    <row r="2134" spans="2:6" x14ac:dyDescent="0.25">
      <c r="B2134" s="13" t="s">
        <v>4263</v>
      </c>
      <c r="C2134" s="15" t="s">
        <v>167</v>
      </c>
      <c r="D2134" s="13" t="s">
        <v>166</v>
      </c>
      <c r="E2134" s="13" t="s">
        <v>4264</v>
      </c>
      <c r="F2134" s="43">
        <v>7.6</v>
      </c>
    </row>
    <row r="2135" spans="2:6" x14ac:dyDescent="0.25">
      <c r="B2135" s="13" t="s">
        <v>4265</v>
      </c>
      <c r="C2135" s="15" t="s">
        <v>167</v>
      </c>
      <c r="D2135" s="13" t="s">
        <v>166</v>
      </c>
      <c r="E2135" s="13" t="s">
        <v>4266</v>
      </c>
      <c r="F2135" s="43">
        <v>7.6</v>
      </c>
    </row>
    <row r="2136" spans="2:6" x14ac:dyDescent="0.25">
      <c r="B2136" s="13" t="s">
        <v>4267</v>
      </c>
      <c r="C2136" s="15" t="s">
        <v>167</v>
      </c>
      <c r="D2136" s="13" t="s">
        <v>166</v>
      </c>
      <c r="E2136" s="13" t="s">
        <v>4268</v>
      </c>
      <c r="F2136" s="43">
        <v>7.6</v>
      </c>
    </row>
    <row r="2137" spans="2:6" x14ac:dyDescent="0.25">
      <c r="B2137" s="13" t="s">
        <v>4269</v>
      </c>
      <c r="C2137" s="15" t="s">
        <v>167</v>
      </c>
      <c r="D2137" s="13" t="s">
        <v>166</v>
      </c>
      <c r="E2137" s="13" t="s">
        <v>4270</v>
      </c>
      <c r="F2137" s="43">
        <v>7.6</v>
      </c>
    </row>
    <row r="2138" spans="2:6" x14ac:dyDescent="0.25">
      <c r="B2138" s="13" t="s">
        <v>4271</v>
      </c>
      <c r="C2138" s="15" t="s">
        <v>167</v>
      </c>
      <c r="D2138" s="13" t="s">
        <v>166</v>
      </c>
      <c r="E2138" s="13" t="s">
        <v>4272</v>
      </c>
      <c r="F2138" s="43">
        <v>7.6</v>
      </c>
    </row>
    <row r="2139" spans="2:6" x14ac:dyDescent="0.25">
      <c r="B2139" s="13" t="s">
        <v>4273</v>
      </c>
      <c r="C2139" s="15" t="s">
        <v>167</v>
      </c>
      <c r="D2139" s="13" t="s">
        <v>166</v>
      </c>
      <c r="E2139" s="13" t="s">
        <v>4274</v>
      </c>
      <c r="F2139" s="43">
        <v>7.6</v>
      </c>
    </row>
    <row r="2140" spans="2:6" x14ac:dyDescent="0.25">
      <c r="B2140" s="13" t="s">
        <v>4275</v>
      </c>
      <c r="C2140" s="15" t="s">
        <v>167</v>
      </c>
      <c r="D2140" s="13" t="s">
        <v>166</v>
      </c>
      <c r="E2140" s="13" t="s">
        <v>4276</v>
      </c>
      <c r="F2140" s="43">
        <v>7.6</v>
      </c>
    </row>
    <row r="2141" spans="2:6" x14ac:dyDescent="0.25">
      <c r="B2141" s="13" t="s">
        <v>4277</v>
      </c>
      <c r="C2141" s="15" t="s">
        <v>167</v>
      </c>
      <c r="D2141" s="13" t="s">
        <v>166</v>
      </c>
      <c r="E2141" s="13" t="s">
        <v>4278</v>
      </c>
      <c r="F2141" s="43">
        <v>7.6</v>
      </c>
    </row>
    <row r="2142" spans="2:6" x14ac:dyDescent="0.25">
      <c r="B2142" s="13" t="s">
        <v>4279</v>
      </c>
      <c r="C2142" s="15" t="s">
        <v>167</v>
      </c>
      <c r="D2142" s="13" t="s">
        <v>166</v>
      </c>
      <c r="E2142" s="13" t="s">
        <v>4280</v>
      </c>
      <c r="F2142" s="43">
        <v>7.6</v>
      </c>
    </row>
    <row r="2143" spans="2:6" x14ac:dyDescent="0.25">
      <c r="B2143" s="13" t="s">
        <v>4281</v>
      </c>
      <c r="C2143" s="15" t="s">
        <v>167</v>
      </c>
      <c r="D2143" s="13" t="s">
        <v>166</v>
      </c>
      <c r="E2143" s="13" t="s">
        <v>4282</v>
      </c>
      <c r="F2143" s="43">
        <v>7.6</v>
      </c>
    </row>
    <row r="2144" spans="2:6" x14ac:dyDescent="0.25">
      <c r="B2144" s="13" t="s">
        <v>4283</v>
      </c>
      <c r="C2144" s="15" t="s">
        <v>167</v>
      </c>
      <c r="D2144" s="13" t="s">
        <v>166</v>
      </c>
      <c r="E2144" s="13" t="s">
        <v>4284</v>
      </c>
      <c r="F2144" s="43">
        <v>7.6</v>
      </c>
    </row>
    <row r="2145" spans="2:6" x14ac:dyDescent="0.25">
      <c r="B2145" s="13" t="s">
        <v>4285</v>
      </c>
      <c r="C2145" s="15" t="s">
        <v>167</v>
      </c>
      <c r="D2145" s="13" t="s">
        <v>166</v>
      </c>
      <c r="E2145" s="13" t="s">
        <v>4286</v>
      </c>
      <c r="F2145" s="43">
        <v>7.6</v>
      </c>
    </row>
    <row r="2146" spans="2:6" x14ac:dyDescent="0.25">
      <c r="B2146" s="13" t="s">
        <v>4287</v>
      </c>
      <c r="C2146" s="15" t="s">
        <v>167</v>
      </c>
      <c r="D2146" s="13" t="s">
        <v>166</v>
      </c>
      <c r="E2146" s="13" t="s">
        <v>4288</v>
      </c>
      <c r="F2146" s="43">
        <v>7.6</v>
      </c>
    </row>
    <row r="2147" spans="2:6" x14ac:dyDescent="0.25">
      <c r="B2147" s="13" t="s">
        <v>4289</v>
      </c>
      <c r="C2147" s="15" t="s">
        <v>167</v>
      </c>
      <c r="D2147" s="13" t="s">
        <v>166</v>
      </c>
      <c r="E2147" s="13" t="s">
        <v>4290</v>
      </c>
      <c r="F2147" s="43">
        <v>7.6</v>
      </c>
    </row>
    <row r="2148" spans="2:6" x14ac:dyDescent="0.25">
      <c r="B2148" s="13" t="s">
        <v>4291</v>
      </c>
      <c r="C2148" s="15" t="s">
        <v>167</v>
      </c>
      <c r="D2148" s="13" t="s">
        <v>166</v>
      </c>
      <c r="E2148" s="13" t="s">
        <v>4292</v>
      </c>
      <c r="F2148" s="43">
        <v>7.6</v>
      </c>
    </row>
    <row r="2149" spans="2:6" x14ac:dyDescent="0.25">
      <c r="B2149" s="13" t="s">
        <v>4293</v>
      </c>
      <c r="C2149" s="15" t="s">
        <v>167</v>
      </c>
      <c r="D2149" s="13" t="s">
        <v>166</v>
      </c>
      <c r="E2149" s="13" t="s">
        <v>4294</v>
      </c>
      <c r="F2149" s="43">
        <v>7.6</v>
      </c>
    </row>
    <row r="2150" spans="2:6" x14ac:dyDescent="0.25">
      <c r="B2150" s="13" t="s">
        <v>4295</v>
      </c>
      <c r="C2150" s="15" t="s">
        <v>167</v>
      </c>
      <c r="D2150" s="13" t="s">
        <v>166</v>
      </c>
      <c r="E2150" s="13" t="s">
        <v>4296</v>
      </c>
      <c r="F2150" s="43">
        <v>7.6</v>
      </c>
    </row>
    <row r="2151" spans="2:6" x14ac:dyDescent="0.25">
      <c r="B2151" s="13" t="s">
        <v>4297</v>
      </c>
      <c r="C2151" s="15" t="s">
        <v>167</v>
      </c>
      <c r="D2151" s="13" t="s">
        <v>166</v>
      </c>
      <c r="E2151" s="13" t="s">
        <v>4298</v>
      </c>
      <c r="F2151" s="43">
        <v>7.6</v>
      </c>
    </row>
    <row r="2152" spans="2:6" x14ac:dyDescent="0.25">
      <c r="B2152" s="13" t="s">
        <v>4299</v>
      </c>
      <c r="C2152" s="15" t="s">
        <v>167</v>
      </c>
      <c r="D2152" s="13" t="s">
        <v>166</v>
      </c>
      <c r="E2152" s="13" t="s">
        <v>4300</v>
      </c>
      <c r="F2152" s="43">
        <v>7.6</v>
      </c>
    </row>
    <row r="2153" spans="2:6" x14ac:dyDescent="0.25">
      <c r="B2153" s="13" t="s">
        <v>4301</v>
      </c>
      <c r="C2153" s="15" t="s">
        <v>167</v>
      </c>
      <c r="D2153" s="13" t="s">
        <v>166</v>
      </c>
      <c r="E2153" s="13" t="s">
        <v>4302</v>
      </c>
      <c r="F2153" s="43">
        <v>7.6</v>
      </c>
    </row>
    <row r="2154" spans="2:6" x14ac:dyDescent="0.25">
      <c r="B2154" s="13" t="s">
        <v>4303</v>
      </c>
      <c r="C2154" s="15" t="s">
        <v>167</v>
      </c>
      <c r="D2154" s="13" t="s">
        <v>166</v>
      </c>
      <c r="E2154" s="13" t="s">
        <v>4304</v>
      </c>
      <c r="F2154" s="43">
        <v>7.6</v>
      </c>
    </row>
    <row r="2155" spans="2:6" x14ac:dyDescent="0.25">
      <c r="B2155" s="13" t="s">
        <v>4305</v>
      </c>
      <c r="C2155" s="15" t="s">
        <v>167</v>
      </c>
      <c r="D2155" s="13" t="s">
        <v>166</v>
      </c>
      <c r="E2155" s="13" t="s">
        <v>4306</v>
      </c>
      <c r="F2155" s="43">
        <v>7.6</v>
      </c>
    </row>
    <row r="2156" spans="2:6" x14ac:dyDescent="0.25">
      <c r="B2156" s="13" t="s">
        <v>4307</v>
      </c>
      <c r="C2156" s="15" t="s">
        <v>167</v>
      </c>
      <c r="D2156" s="13" t="s">
        <v>166</v>
      </c>
      <c r="E2156" s="13" t="s">
        <v>4308</v>
      </c>
      <c r="F2156" s="43">
        <v>7.6</v>
      </c>
    </row>
    <row r="2157" spans="2:6" x14ac:dyDescent="0.25">
      <c r="B2157" s="13" t="s">
        <v>4309</v>
      </c>
      <c r="C2157" s="15" t="s">
        <v>167</v>
      </c>
      <c r="D2157" s="13" t="s">
        <v>166</v>
      </c>
      <c r="E2157" s="13" t="s">
        <v>4310</v>
      </c>
      <c r="F2157" s="43">
        <v>7.6</v>
      </c>
    </row>
    <row r="2158" spans="2:6" x14ac:dyDescent="0.25">
      <c r="B2158" s="13" t="s">
        <v>4311</v>
      </c>
      <c r="C2158" s="15" t="s">
        <v>167</v>
      </c>
      <c r="D2158" s="13" t="s">
        <v>166</v>
      </c>
      <c r="E2158" s="13" t="s">
        <v>4312</v>
      </c>
      <c r="F2158" s="43">
        <v>7.6</v>
      </c>
    </row>
    <row r="2159" spans="2:6" x14ac:dyDescent="0.25">
      <c r="B2159" s="13" t="s">
        <v>4313</v>
      </c>
      <c r="C2159" s="15" t="s">
        <v>167</v>
      </c>
      <c r="D2159" s="13" t="s">
        <v>166</v>
      </c>
      <c r="E2159" s="13" t="s">
        <v>4314</v>
      </c>
      <c r="F2159" s="43">
        <v>7.6</v>
      </c>
    </row>
    <row r="2160" spans="2:6" x14ac:dyDescent="0.25">
      <c r="B2160" s="13" t="s">
        <v>4315</v>
      </c>
      <c r="C2160" s="15" t="s">
        <v>167</v>
      </c>
      <c r="D2160" s="13" t="s">
        <v>166</v>
      </c>
      <c r="E2160" s="13" t="s">
        <v>4316</v>
      </c>
      <c r="F2160" s="43">
        <v>7.6</v>
      </c>
    </row>
    <row r="2161" spans="2:6" x14ac:dyDescent="0.25">
      <c r="B2161" s="13" t="s">
        <v>4317</v>
      </c>
      <c r="C2161" s="15" t="s">
        <v>167</v>
      </c>
      <c r="D2161" s="13" t="s">
        <v>166</v>
      </c>
      <c r="E2161" s="13" t="s">
        <v>4318</v>
      </c>
      <c r="F2161" s="43">
        <v>7.6</v>
      </c>
    </row>
    <row r="2162" spans="2:6" x14ac:dyDescent="0.25">
      <c r="B2162" s="13" t="s">
        <v>4319</v>
      </c>
      <c r="C2162" s="15" t="s">
        <v>167</v>
      </c>
      <c r="D2162" s="13" t="s">
        <v>166</v>
      </c>
      <c r="E2162" s="13" t="s">
        <v>4320</v>
      </c>
      <c r="F2162" s="43">
        <v>7.6</v>
      </c>
    </row>
    <row r="2163" spans="2:6" x14ac:dyDescent="0.25">
      <c r="B2163" s="13" t="s">
        <v>4321</v>
      </c>
      <c r="C2163" s="15" t="s">
        <v>167</v>
      </c>
      <c r="D2163" s="13" t="s">
        <v>166</v>
      </c>
      <c r="E2163" s="13" t="s">
        <v>4322</v>
      </c>
      <c r="F2163" s="43">
        <v>7.6</v>
      </c>
    </row>
    <row r="2164" spans="2:6" x14ac:dyDescent="0.25">
      <c r="B2164" s="13" t="s">
        <v>4323</v>
      </c>
      <c r="C2164" s="15" t="s">
        <v>167</v>
      </c>
      <c r="D2164" s="13" t="s">
        <v>166</v>
      </c>
      <c r="E2164" s="13" t="s">
        <v>4324</v>
      </c>
      <c r="F2164" s="43">
        <v>7.6</v>
      </c>
    </row>
    <row r="2165" spans="2:6" x14ac:dyDescent="0.25">
      <c r="B2165" s="13" t="s">
        <v>4325</v>
      </c>
      <c r="C2165" s="15" t="s">
        <v>167</v>
      </c>
      <c r="D2165" s="13" t="s">
        <v>166</v>
      </c>
      <c r="E2165" s="13" t="s">
        <v>4326</v>
      </c>
      <c r="F2165" s="43">
        <v>7.6</v>
      </c>
    </row>
    <row r="2166" spans="2:6" x14ac:dyDescent="0.25">
      <c r="B2166" s="13" t="s">
        <v>4327</v>
      </c>
      <c r="C2166" s="15" t="s">
        <v>167</v>
      </c>
      <c r="D2166" s="13" t="s">
        <v>166</v>
      </c>
      <c r="E2166" s="13" t="s">
        <v>4328</v>
      </c>
      <c r="F2166" s="43">
        <v>7.6</v>
      </c>
    </row>
    <row r="2167" spans="2:6" x14ac:dyDescent="0.25">
      <c r="B2167" s="13" t="s">
        <v>4329</v>
      </c>
      <c r="C2167" s="15" t="s">
        <v>167</v>
      </c>
      <c r="D2167" s="13" t="s">
        <v>166</v>
      </c>
      <c r="E2167" s="13" t="s">
        <v>4330</v>
      </c>
      <c r="F2167" s="43">
        <v>7.6</v>
      </c>
    </row>
    <row r="2168" spans="2:6" x14ac:dyDescent="0.25">
      <c r="B2168" s="13" t="s">
        <v>4331</v>
      </c>
      <c r="C2168" s="15" t="s">
        <v>167</v>
      </c>
      <c r="D2168" s="13" t="s">
        <v>166</v>
      </c>
      <c r="E2168" s="13" t="s">
        <v>4332</v>
      </c>
      <c r="F2168" s="43">
        <v>7.6</v>
      </c>
    </row>
    <row r="2169" spans="2:6" x14ac:dyDescent="0.25">
      <c r="B2169" s="13" t="s">
        <v>4333</v>
      </c>
      <c r="C2169" s="15" t="s">
        <v>167</v>
      </c>
      <c r="D2169" s="13" t="s">
        <v>166</v>
      </c>
      <c r="E2169" s="13" t="s">
        <v>4334</v>
      </c>
      <c r="F2169" s="43">
        <v>7.6</v>
      </c>
    </row>
    <row r="2170" spans="2:6" x14ac:dyDescent="0.25">
      <c r="B2170" s="13" t="s">
        <v>4335</v>
      </c>
      <c r="C2170" s="15" t="s">
        <v>167</v>
      </c>
      <c r="D2170" s="13" t="s">
        <v>166</v>
      </c>
      <c r="E2170" s="13" t="s">
        <v>4336</v>
      </c>
      <c r="F2170" s="43">
        <v>7.6</v>
      </c>
    </row>
    <row r="2171" spans="2:6" x14ac:dyDescent="0.25">
      <c r="B2171" s="13" t="s">
        <v>4335</v>
      </c>
      <c r="C2171" s="15" t="s">
        <v>167</v>
      </c>
      <c r="D2171" s="13" t="s">
        <v>166</v>
      </c>
      <c r="E2171" s="13" t="s">
        <v>4336</v>
      </c>
      <c r="F2171" s="43">
        <v>7.6</v>
      </c>
    </row>
    <row r="2172" spans="2:6" x14ac:dyDescent="0.25">
      <c r="B2172" s="13" t="s">
        <v>4337</v>
      </c>
      <c r="C2172" s="15" t="s">
        <v>167</v>
      </c>
      <c r="D2172" s="13" t="s">
        <v>166</v>
      </c>
      <c r="E2172" s="13" t="s">
        <v>4338</v>
      </c>
      <c r="F2172" s="43">
        <v>7.6</v>
      </c>
    </row>
    <row r="2173" spans="2:6" x14ac:dyDescent="0.25">
      <c r="B2173" s="13" t="s">
        <v>4339</v>
      </c>
      <c r="C2173" s="15" t="s">
        <v>167</v>
      </c>
      <c r="D2173" s="13" t="s">
        <v>166</v>
      </c>
      <c r="E2173" s="13" t="s">
        <v>4340</v>
      </c>
      <c r="F2173" s="43">
        <v>7.6</v>
      </c>
    </row>
    <row r="2174" spans="2:6" x14ac:dyDescent="0.25">
      <c r="B2174" s="13" t="s">
        <v>4341</v>
      </c>
      <c r="C2174" s="15" t="s">
        <v>167</v>
      </c>
      <c r="D2174" s="13" t="s">
        <v>166</v>
      </c>
      <c r="E2174" s="13" t="s">
        <v>4342</v>
      </c>
      <c r="F2174" s="43">
        <v>7.6</v>
      </c>
    </row>
    <row r="2175" spans="2:6" x14ac:dyDescent="0.25">
      <c r="B2175" s="13" t="s">
        <v>4343</v>
      </c>
      <c r="C2175" s="15" t="s">
        <v>167</v>
      </c>
      <c r="D2175" s="13" t="s">
        <v>166</v>
      </c>
      <c r="E2175" s="13" t="s">
        <v>4344</v>
      </c>
      <c r="F2175" s="43">
        <v>8.6999999999999993</v>
      </c>
    </row>
    <row r="2176" spans="2:6" x14ac:dyDescent="0.25">
      <c r="B2176" s="13" t="s">
        <v>3466</v>
      </c>
      <c r="C2176" s="15" t="s">
        <v>167</v>
      </c>
      <c r="D2176" s="13" t="s">
        <v>166</v>
      </c>
      <c r="E2176" s="13" t="s">
        <v>4345</v>
      </c>
      <c r="F2176" s="43">
        <v>8.6999999999999993</v>
      </c>
    </row>
    <row r="2177" spans="2:6" x14ac:dyDescent="0.25">
      <c r="B2177" s="13" t="s">
        <v>4346</v>
      </c>
      <c r="C2177" s="15" t="s">
        <v>167</v>
      </c>
      <c r="D2177" s="13" t="s">
        <v>166</v>
      </c>
      <c r="E2177" s="13" t="s">
        <v>4347</v>
      </c>
      <c r="F2177" s="43">
        <v>8.6999999999999993</v>
      </c>
    </row>
    <row r="2178" spans="2:6" x14ac:dyDescent="0.25">
      <c r="B2178" s="13" t="s">
        <v>4348</v>
      </c>
      <c r="C2178" s="15" t="s">
        <v>167</v>
      </c>
      <c r="D2178" s="13" t="s">
        <v>166</v>
      </c>
      <c r="E2178" s="13" t="s">
        <v>4349</v>
      </c>
      <c r="F2178" s="43">
        <v>8.6999999999999993</v>
      </c>
    </row>
    <row r="2179" spans="2:6" x14ac:dyDescent="0.25">
      <c r="B2179" s="13" t="s">
        <v>4350</v>
      </c>
      <c r="C2179" s="15" t="s">
        <v>167</v>
      </c>
      <c r="D2179" s="13" t="s">
        <v>166</v>
      </c>
      <c r="E2179" s="13" t="s">
        <v>4351</v>
      </c>
      <c r="F2179" s="43">
        <v>8.6999999999999993</v>
      </c>
    </row>
    <row r="2180" spans="2:6" x14ac:dyDescent="0.25">
      <c r="B2180" s="13" t="s">
        <v>4352</v>
      </c>
      <c r="C2180" s="15" t="s">
        <v>167</v>
      </c>
      <c r="D2180" s="13" t="s">
        <v>166</v>
      </c>
      <c r="E2180" s="13" t="s">
        <v>4353</v>
      </c>
      <c r="F2180" s="43">
        <v>7.6</v>
      </c>
    </row>
    <row r="2181" spans="2:6" x14ac:dyDescent="0.25">
      <c r="B2181" s="13" t="s">
        <v>4354</v>
      </c>
      <c r="C2181" s="15" t="s">
        <v>167</v>
      </c>
      <c r="D2181" s="13" t="s">
        <v>166</v>
      </c>
      <c r="E2181" s="13" t="s">
        <v>4355</v>
      </c>
      <c r="F2181" s="43">
        <v>7.6</v>
      </c>
    </row>
    <row r="2182" spans="2:6" x14ac:dyDescent="0.25">
      <c r="B2182" s="13" t="s">
        <v>4356</v>
      </c>
      <c r="C2182" s="15" t="s">
        <v>167</v>
      </c>
      <c r="D2182" s="13" t="s">
        <v>166</v>
      </c>
      <c r="E2182" s="13" t="s">
        <v>4357</v>
      </c>
      <c r="F2182" s="43">
        <v>7.6</v>
      </c>
    </row>
    <row r="2183" spans="2:6" x14ac:dyDescent="0.25">
      <c r="B2183" s="13" t="s">
        <v>4358</v>
      </c>
      <c r="C2183" s="15" t="s">
        <v>167</v>
      </c>
      <c r="D2183" s="13" t="s">
        <v>166</v>
      </c>
      <c r="E2183" s="13" t="s">
        <v>4359</v>
      </c>
      <c r="F2183" s="43">
        <v>7.6</v>
      </c>
    </row>
    <row r="2184" spans="2:6" x14ac:dyDescent="0.25">
      <c r="B2184" s="13" t="s">
        <v>4360</v>
      </c>
      <c r="C2184" s="15" t="s">
        <v>167</v>
      </c>
      <c r="D2184" s="13" t="s">
        <v>166</v>
      </c>
      <c r="E2184" s="13" t="s">
        <v>4361</v>
      </c>
      <c r="F2184" s="43">
        <v>7.6</v>
      </c>
    </row>
    <row r="2185" spans="2:6" x14ac:dyDescent="0.25">
      <c r="B2185" s="13" t="s">
        <v>4362</v>
      </c>
      <c r="C2185" s="15" t="s">
        <v>167</v>
      </c>
      <c r="D2185" s="13" t="s">
        <v>166</v>
      </c>
      <c r="E2185" s="13" t="s">
        <v>4363</v>
      </c>
      <c r="F2185" s="43">
        <v>7.6</v>
      </c>
    </row>
    <row r="2186" spans="2:6" x14ac:dyDescent="0.25">
      <c r="B2186" s="13" t="s">
        <v>4364</v>
      </c>
      <c r="C2186" s="15" t="s">
        <v>167</v>
      </c>
      <c r="D2186" s="13" t="s">
        <v>166</v>
      </c>
      <c r="E2186" s="13" t="s">
        <v>3467</v>
      </c>
      <c r="F2186" s="43">
        <v>7.6</v>
      </c>
    </row>
    <row r="2187" spans="2:6" x14ac:dyDescent="0.25">
      <c r="B2187" s="13" t="s">
        <v>4365</v>
      </c>
      <c r="C2187" s="15" t="s">
        <v>167</v>
      </c>
      <c r="D2187" s="13" t="s">
        <v>166</v>
      </c>
      <c r="E2187" s="13" t="s">
        <v>4366</v>
      </c>
      <c r="F2187" s="43">
        <v>7.6</v>
      </c>
    </row>
    <row r="2188" spans="2:6" x14ac:dyDescent="0.25">
      <c r="B2188" s="13" t="s">
        <v>4367</v>
      </c>
      <c r="C2188" s="15" t="s">
        <v>167</v>
      </c>
      <c r="D2188" s="13" t="s">
        <v>166</v>
      </c>
      <c r="E2188" s="13" t="s">
        <v>4368</v>
      </c>
      <c r="F2188" s="43">
        <v>7.6</v>
      </c>
    </row>
    <row r="2189" spans="2:6" x14ac:dyDescent="0.25">
      <c r="B2189" s="13" t="s">
        <v>4369</v>
      </c>
      <c r="C2189" s="15" t="s">
        <v>167</v>
      </c>
      <c r="D2189" s="13" t="s">
        <v>166</v>
      </c>
      <c r="E2189" s="13" t="s">
        <v>4370</v>
      </c>
      <c r="F2189" s="43">
        <v>6</v>
      </c>
    </row>
    <row r="2190" spans="2:6" x14ac:dyDescent="0.25">
      <c r="B2190" s="13" t="s">
        <v>4371</v>
      </c>
      <c r="C2190" s="15" t="s">
        <v>167</v>
      </c>
      <c r="D2190" s="13" t="s">
        <v>166</v>
      </c>
      <c r="E2190" s="13" t="s">
        <v>4372</v>
      </c>
      <c r="F2190" s="43">
        <v>6</v>
      </c>
    </row>
    <row r="2191" spans="2:6" x14ac:dyDescent="0.25">
      <c r="B2191" s="13" t="s">
        <v>4373</v>
      </c>
      <c r="C2191" s="15" t="s">
        <v>167</v>
      </c>
      <c r="D2191" s="13" t="s">
        <v>166</v>
      </c>
      <c r="E2191" s="13" t="s">
        <v>4374</v>
      </c>
      <c r="F2191" s="43">
        <v>6</v>
      </c>
    </row>
    <row r="2192" spans="2:6" x14ac:dyDescent="0.25">
      <c r="B2192" s="13" t="s">
        <v>4375</v>
      </c>
      <c r="C2192" s="15" t="s">
        <v>167</v>
      </c>
      <c r="D2192" s="13" t="s">
        <v>166</v>
      </c>
      <c r="E2192" s="13" t="s">
        <v>4376</v>
      </c>
      <c r="F2192" s="43">
        <v>6</v>
      </c>
    </row>
    <row r="2193" spans="2:6" x14ac:dyDescent="0.25">
      <c r="B2193" s="13" t="s">
        <v>4377</v>
      </c>
      <c r="C2193" s="15" t="s">
        <v>167</v>
      </c>
      <c r="D2193" s="13" t="s">
        <v>166</v>
      </c>
      <c r="E2193" s="13" t="s">
        <v>4378</v>
      </c>
      <c r="F2193" s="43">
        <v>6</v>
      </c>
    </row>
    <row r="2194" spans="2:6" x14ac:dyDescent="0.25">
      <c r="B2194" s="13" t="s">
        <v>4379</v>
      </c>
      <c r="C2194" s="15" t="s">
        <v>167</v>
      </c>
      <c r="D2194" s="13" t="s">
        <v>166</v>
      </c>
      <c r="E2194" s="13" t="s">
        <v>4380</v>
      </c>
      <c r="F2194" s="43">
        <v>6</v>
      </c>
    </row>
    <row r="2195" spans="2:6" x14ac:dyDescent="0.25">
      <c r="B2195" s="13" t="s">
        <v>4381</v>
      </c>
      <c r="C2195" s="15" t="s">
        <v>167</v>
      </c>
      <c r="D2195" s="13" t="s">
        <v>166</v>
      </c>
      <c r="E2195" s="13" t="s">
        <v>4382</v>
      </c>
      <c r="F2195" s="43">
        <v>6</v>
      </c>
    </row>
    <row r="2196" spans="2:6" x14ac:dyDescent="0.25">
      <c r="B2196" s="13" t="s">
        <v>4383</v>
      </c>
      <c r="C2196" s="15" t="s">
        <v>167</v>
      </c>
      <c r="D2196" s="13" t="s">
        <v>166</v>
      </c>
      <c r="E2196" s="13" t="s">
        <v>4384</v>
      </c>
      <c r="F2196" s="43">
        <v>6.9</v>
      </c>
    </row>
    <row r="2197" spans="2:6" x14ac:dyDescent="0.25">
      <c r="B2197" s="13" t="s">
        <v>4385</v>
      </c>
      <c r="C2197" s="15" t="s">
        <v>167</v>
      </c>
      <c r="D2197" s="13" t="s">
        <v>166</v>
      </c>
      <c r="E2197" s="13" t="s">
        <v>4386</v>
      </c>
      <c r="F2197" s="43">
        <v>6.9</v>
      </c>
    </row>
    <row r="2198" spans="2:6" x14ac:dyDescent="0.25">
      <c r="B2198" s="13" t="s">
        <v>4387</v>
      </c>
      <c r="C2198" s="15" t="s">
        <v>167</v>
      </c>
      <c r="D2198" s="13" t="s">
        <v>166</v>
      </c>
      <c r="E2198" s="13" t="s">
        <v>4388</v>
      </c>
      <c r="F2198" s="43">
        <v>6</v>
      </c>
    </row>
    <row r="2199" spans="2:6" x14ac:dyDescent="0.25">
      <c r="B2199" s="13" t="s">
        <v>4389</v>
      </c>
      <c r="C2199" s="15" t="s">
        <v>167</v>
      </c>
      <c r="D2199" s="13" t="s">
        <v>166</v>
      </c>
      <c r="E2199" s="13" t="s">
        <v>4390</v>
      </c>
      <c r="F2199" s="43">
        <v>6</v>
      </c>
    </row>
    <row r="2200" spans="2:6" x14ac:dyDescent="0.25">
      <c r="B2200" s="13" t="s">
        <v>4391</v>
      </c>
      <c r="C2200" s="15" t="s">
        <v>167</v>
      </c>
      <c r="D2200" s="13" t="s">
        <v>166</v>
      </c>
      <c r="E2200" s="13" t="s">
        <v>4392</v>
      </c>
      <c r="F2200" s="43">
        <v>6</v>
      </c>
    </row>
    <row r="2201" spans="2:6" x14ac:dyDescent="0.25">
      <c r="B2201" s="13" t="s">
        <v>4393</v>
      </c>
      <c r="C2201" s="15" t="s">
        <v>167</v>
      </c>
      <c r="D2201" s="13" t="s">
        <v>166</v>
      </c>
      <c r="E2201" s="13" t="s">
        <v>4394</v>
      </c>
      <c r="F2201" s="43">
        <v>6</v>
      </c>
    </row>
    <row r="2202" spans="2:6" x14ac:dyDescent="0.25">
      <c r="B2202" s="13" t="s">
        <v>4395</v>
      </c>
      <c r="C2202" s="15" t="s">
        <v>167</v>
      </c>
      <c r="D2202" s="13" t="s">
        <v>166</v>
      </c>
      <c r="E2202" s="13" t="s">
        <v>4396</v>
      </c>
      <c r="F2202" s="43">
        <v>6</v>
      </c>
    </row>
    <row r="2203" spans="2:6" x14ac:dyDescent="0.25">
      <c r="B2203" s="13" t="s">
        <v>4397</v>
      </c>
      <c r="C2203" s="15" t="s">
        <v>167</v>
      </c>
      <c r="D2203" s="13" t="s">
        <v>166</v>
      </c>
      <c r="E2203" s="13" t="s">
        <v>4398</v>
      </c>
      <c r="F2203" s="43">
        <v>6</v>
      </c>
    </row>
    <row r="2204" spans="2:6" x14ac:dyDescent="0.25">
      <c r="B2204" s="13" t="s">
        <v>4399</v>
      </c>
      <c r="C2204" s="15" t="s">
        <v>167</v>
      </c>
      <c r="D2204" s="13" t="s">
        <v>166</v>
      </c>
      <c r="E2204" s="13" t="s">
        <v>4400</v>
      </c>
      <c r="F2204" s="43">
        <v>6</v>
      </c>
    </row>
    <row r="2205" spans="2:6" x14ac:dyDescent="0.25">
      <c r="B2205" s="13" t="s">
        <v>4401</v>
      </c>
      <c r="C2205" s="15" t="s">
        <v>167</v>
      </c>
      <c r="D2205" s="13" t="s">
        <v>166</v>
      </c>
      <c r="E2205" s="13" t="s">
        <v>4402</v>
      </c>
      <c r="F2205" s="43">
        <v>6</v>
      </c>
    </row>
    <row r="2206" spans="2:6" x14ac:dyDescent="0.25">
      <c r="B2206" s="13" t="s">
        <v>4403</v>
      </c>
      <c r="C2206" s="15" t="s">
        <v>167</v>
      </c>
      <c r="D2206" s="13" t="s">
        <v>166</v>
      </c>
      <c r="E2206" s="13" t="s">
        <v>4404</v>
      </c>
      <c r="F2206" s="43">
        <v>6</v>
      </c>
    </row>
    <row r="2207" spans="2:6" x14ac:dyDescent="0.25">
      <c r="B2207" s="13" t="s">
        <v>4405</v>
      </c>
      <c r="C2207" s="15" t="s">
        <v>167</v>
      </c>
      <c r="D2207" s="13" t="s">
        <v>166</v>
      </c>
      <c r="E2207" s="13" t="s">
        <v>4406</v>
      </c>
      <c r="F2207" s="43">
        <v>6</v>
      </c>
    </row>
    <row r="2208" spans="2:6" x14ac:dyDescent="0.25">
      <c r="B2208" s="13" t="s">
        <v>4407</v>
      </c>
      <c r="C2208" s="15" t="s">
        <v>167</v>
      </c>
      <c r="D2208" s="13" t="s">
        <v>166</v>
      </c>
      <c r="E2208" s="13" t="s">
        <v>4408</v>
      </c>
      <c r="F2208" s="43">
        <v>6</v>
      </c>
    </row>
    <row r="2209" spans="2:6" x14ac:dyDescent="0.25">
      <c r="B2209" s="13" t="s">
        <v>4409</v>
      </c>
      <c r="C2209" s="15" t="s">
        <v>167</v>
      </c>
      <c r="D2209" s="13" t="s">
        <v>166</v>
      </c>
      <c r="E2209" s="13" t="s">
        <v>4410</v>
      </c>
      <c r="F2209" s="43">
        <v>6</v>
      </c>
    </row>
    <row r="2210" spans="2:6" x14ac:dyDescent="0.25">
      <c r="B2210" s="13" t="s">
        <v>4411</v>
      </c>
      <c r="C2210" s="15" t="s">
        <v>167</v>
      </c>
      <c r="D2210" s="13" t="s">
        <v>166</v>
      </c>
      <c r="E2210" s="13" t="s">
        <v>4412</v>
      </c>
      <c r="F2210" s="43">
        <v>6</v>
      </c>
    </row>
    <row r="2211" spans="2:6" x14ac:dyDescent="0.25">
      <c r="B2211" s="13" t="s">
        <v>4413</v>
      </c>
      <c r="C2211" s="15" t="s">
        <v>167</v>
      </c>
      <c r="D2211" s="13" t="s">
        <v>166</v>
      </c>
      <c r="E2211" s="13" t="s">
        <v>4414</v>
      </c>
      <c r="F2211" s="43">
        <v>6</v>
      </c>
    </row>
    <row r="2212" spans="2:6" x14ac:dyDescent="0.25">
      <c r="B2212" s="13" t="s">
        <v>4415</v>
      </c>
      <c r="C2212" s="15" t="s">
        <v>167</v>
      </c>
      <c r="D2212" s="13" t="s">
        <v>166</v>
      </c>
      <c r="E2212" s="13" t="s">
        <v>4416</v>
      </c>
      <c r="F2212" s="43">
        <v>6</v>
      </c>
    </row>
    <row r="2213" spans="2:6" x14ac:dyDescent="0.25">
      <c r="B2213" s="13" t="s">
        <v>4417</v>
      </c>
      <c r="C2213" s="15" t="s">
        <v>167</v>
      </c>
      <c r="D2213" s="13" t="s">
        <v>166</v>
      </c>
      <c r="E2213" s="13" t="s">
        <v>4418</v>
      </c>
      <c r="F2213" s="43">
        <v>6</v>
      </c>
    </row>
    <row r="2214" spans="2:6" x14ac:dyDescent="0.25">
      <c r="B2214" s="13" t="s">
        <v>4419</v>
      </c>
      <c r="C2214" s="15" t="s">
        <v>167</v>
      </c>
      <c r="D2214" s="13" t="s">
        <v>166</v>
      </c>
      <c r="E2214" s="13" t="s">
        <v>4420</v>
      </c>
      <c r="F2214" s="43">
        <v>0</v>
      </c>
    </row>
    <row r="2215" spans="2:6" x14ac:dyDescent="0.25">
      <c r="B2215" s="13" t="s">
        <v>4421</v>
      </c>
      <c r="C2215" s="15" t="s">
        <v>167</v>
      </c>
      <c r="D2215" s="13" t="s">
        <v>166</v>
      </c>
      <c r="E2215" s="13" t="s">
        <v>4422</v>
      </c>
      <c r="F2215" s="43">
        <v>0</v>
      </c>
    </row>
    <row r="2216" spans="2:6" x14ac:dyDescent="0.25">
      <c r="B2216" s="13" t="s">
        <v>4423</v>
      </c>
      <c r="C2216" s="15" t="s">
        <v>167</v>
      </c>
      <c r="D2216" s="13" t="s">
        <v>166</v>
      </c>
      <c r="E2216" s="13" t="s">
        <v>4424</v>
      </c>
      <c r="F2216" s="43">
        <v>0</v>
      </c>
    </row>
    <row r="2217" spans="2:6" x14ac:dyDescent="0.25">
      <c r="B2217" s="13" t="s">
        <v>4425</v>
      </c>
      <c r="C2217" s="15" t="s">
        <v>167</v>
      </c>
      <c r="D2217" s="13" t="s">
        <v>166</v>
      </c>
      <c r="E2217" s="13" t="s">
        <v>4426</v>
      </c>
      <c r="F2217" s="43">
        <v>0</v>
      </c>
    </row>
    <row r="2218" spans="2:6" x14ac:dyDescent="0.25">
      <c r="B2218" s="13" t="s">
        <v>4427</v>
      </c>
      <c r="C2218" s="15" t="s">
        <v>167</v>
      </c>
      <c r="D2218" s="13" t="s">
        <v>166</v>
      </c>
      <c r="E2218" s="13" t="s">
        <v>4428</v>
      </c>
      <c r="F2218" s="43">
        <v>0</v>
      </c>
    </row>
    <row r="2219" spans="2:6" x14ac:dyDescent="0.25">
      <c r="B2219" s="13" t="s">
        <v>4429</v>
      </c>
      <c r="C2219" s="15" t="s">
        <v>167</v>
      </c>
      <c r="D2219" s="13" t="s">
        <v>166</v>
      </c>
      <c r="E2219" s="13" t="s">
        <v>4430</v>
      </c>
      <c r="F2219" s="43">
        <v>0</v>
      </c>
    </row>
    <row r="2220" spans="2:6" x14ac:dyDescent="0.25">
      <c r="B2220" s="13" t="s">
        <v>4431</v>
      </c>
      <c r="C2220" s="15" t="s">
        <v>167</v>
      </c>
      <c r="D2220" s="13" t="s">
        <v>166</v>
      </c>
      <c r="E2220" s="13" t="s">
        <v>4432</v>
      </c>
      <c r="F2220" s="43">
        <v>8.25</v>
      </c>
    </row>
    <row r="2221" spans="2:6" x14ac:dyDescent="0.25">
      <c r="B2221" s="13" t="s">
        <v>4433</v>
      </c>
      <c r="C2221" s="15" t="s">
        <v>167</v>
      </c>
      <c r="D2221" s="13" t="s">
        <v>166</v>
      </c>
      <c r="E2221" s="13" t="s">
        <v>4434</v>
      </c>
      <c r="F2221" s="43">
        <v>8.25</v>
      </c>
    </row>
    <row r="2222" spans="2:6" x14ac:dyDescent="0.25">
      <c r="B2222" s="13" t="s">
        <v>4435</v>
      </c>
      <c r="C2222" s="15" t="s">
        <v>167</v>
      </c>
      <c r="D2222" s="13" t="s">
        <v>166</v>
      </c>
      <c r="E2222" s="13" t="s">
        <v>4436</v>
      </c>
      <c r="F2222" s="43">
        <v>8.25</v>
      </c>
    </row>
    <row r="2223" spans="2:6" x14ac:dyDescent="0.25">
      <c r="B2223" s="13" t="s">
        <v>4437</v>
      </c>
      <c r="C2223" s="15" t="s">
        <v>167</v>
      </c>
      <c r="D2223" s="13" t="s">
        <v>166</v>
      </c>
      <c r="E2223" s="13" t="s">
        <v>4438</v>
      </c>
      <c r="F2223" s="43">
        <v>8.25</v>
      </c>
    </row>
    <row r="2224" spans="2:6" x14ac:dyDescent="0.25">
      <c r="B2224" s="13" t="s">
        <v>4439</v>
      </c>
      <c r="C2224" s="15" t="s">
        <v>167</v>
      </c>
      <c r="D2224" s="13" t="s">
        <v>166</v>
      </c>
      <c r="E2224" s="13" t="s">
        <v>4440</v>
      </c>
      <c r="F2224" s="43">
        <v>8.25</v>
      </c>
    </row>
    <row r="2225" spans="2:6" x14ac:dyDescent="0.25">
      <c r="B2225" s="13" t="s">
        <v>4441</v>
      </c>
      <c r="C2225" s="15" t="s">
        <v>167</v>
      </c>
      <c r="D2225" s="13" t="s">
        <v>166</v>
      </c>
      <c r="E2225" s="13" t="s">
        <v>4442</v>
      </c>
      <c r="F2225" s="43">
        <v>7.95</v>
      </c>
    </row>
    <row r="2226" spans="2:6" x14ac:dyDescent="0.25">
      <c r="B2226" s="13" t="s">
        <v>4443</v>
      </c>
      <c r="C2226" s="15" t="s">
        <v>167</v>
      </c>
      <c r="D2226" s="13" t="s">
        <v>166</v>
      </c>
      <c r="E2226" s="13" t="s">
        <v>4444</v>
      </c>
      <c r="F2226" s="43">
        <v>7.95</v>
      </c>
    </row>
    <row r="2227" spans="2:6" x14ac:dyDescent="0.25">
      <c r="B2227" s="13" t="s">
        <v>4445</v>
      </c>
      <c r="C2227" s="15" t="s">
        <v>167</v>
      </c>
      <c r="D2227" s="13" t="s">
        <v>166</v>
      </c>
      <c r="E2227" s="13" t="s">
        <v>4446</v>
      </c>
      <c r="F2227" s="43">
        <v>7.95</v>
      </c>
    </row>
    <row r="2228" spans="2:6" x14ac:dyDescent="0.25">
      <c r="B2228" s="13" t="s">
        <v>4447</v>
      </c>
      <c r="C2228" s="15" t="s">
        <v>167</v>
      </c>
      <c r="D2228" s="13" t="s">
        <v>166</v>
      </c>
      <c r="E2228" s="13" t="s">
        <v>4448</v>
      </c>
      <c r="F2228" s="43">
        <v>7.95</v>
      </c>
    </row>
    <row r="2229" spans="2:6" x14ac:dyDescent="0.25">
      <c r="B2229" s="13" t="s">
        <v>4449</v>
      </c>
      <c r="C2229" s="15" t="s">
        <v>167</v>
      </c>
      <c r="D2229" s="13" t="s">
        <v>166</v>
      </c>
      <c r="E2229" s="13" t="s">
        <v>4450</v>
      </c>
      <c r="F2229" s="43">
        <v>7.95</v>
      </c>
    </row>
    <row r="2230" spans="2:6" x14ac:dyDescent="0.25">
      <c r="B2230" s="13" t="s">
        <v>4451</v>
      </c>
      <c r="C2230" s="15" t="s">
        <v>167</v>
      </c>
      <c r="D2230" s="13" t="s">
        <v>166</v>
      </c>
      <c r="E2230" s="13" t="s">
        <v>4452</v>
      </c>
      <c r="F2230" s="43">
        <v>7.95</v>
      </c>
    </row>
    <row r="2231" spans="2:6" x14ac:dyDescent="0.25">
      <c r="B2231" s="13" t="s">
        <v>4453</v>
      </c>
      <c r="C2231" s="15" t="s">
        <v>167</v>
      </c>
      <c r="D2231" s="13" t="s">
        <v>166</v>
      </c>
      <c r="E2231" s="13" t="s">
        <v>4454</v>
      </c>
      <c r="F2231" s="43">
        <v>7.95</v>
      </c>
    </row>
    <row r="2232" spans="2:6" x14ac:dyDescent="0.25">
      <c r="B2232" s="13" t="s">
        <v>4455</v>
      </c>
      <c r="C2232" s="15" t="s">
        <v>167</v>
      </c>
      <c r="D2232" s="13" t="s">
        <v>166</v>
      </c>
      <c r="E2232" s="13" t="s">
        <v>4456</v>
      </c>
      <c r="F2232" s="43">
        <v>7.95</v>
      </c>
    </row>
    <row r="2233" spans="2:6" x14ac:dyDescent="0.25">
      <c r="B2233" s="13" t="s">
        <v>4457</v>
      </c>
      <c r="C2233" s="15" t="s">
        <v>167</v>
      </c>
      <c r="D2233" s="13" t="s">
        <v>166</v>
      </c>
      <c r="E2233" s="13" t="s">
        <v>4458</v>
      </c>
      <c r="F2233" s="43">
        <v>7.95</v>
      </c>
    </row>
    <row r="2234" spans="2:6" x14ac:dyDescent="0.25">
      <c r="B2234" s="13" t="s">
        <v>4459</v>
      </c>
      <c r="C2234" s="15" t="s">
        <v>167</v>
      </c>
      <c r="D2234" s="13" t="s">
        <v>166</v>
      </c>
      <c r="E2234" s="13" t="s">
        <v>4460</v>
      </c>
      <c r="F2234" s="43">
        <v>7.95</v>
      </c>
    </row>
    <row r="2235" spans="2:6" x14ac:dyDescent="0.25">
      <c r="B2235" s="13" t="s">
        <v>4461</v>
      </c>
      <c r="C2235" s="15" t="s">
        <v>167</v>
      </c>
      <c r="D2235" s="13" t="s">
        <v>166</v>
      </c>
      <c r="E2235" s="13" t="s">
        <v>4462</v>
      </c>
      <c r="F2235" s="43">
        <v>7.95</v>
      </c>
    </row>
    <row r="2236" spans="2:6" x14ac:dyDescent="0.25">
      <c r="B2236" s="13" t="s">
        <v>4463</v>
      </c>
      <c r="C2236" s="15" t="s">
        <v>167</v>
      </c>
      <c r="D2236" s="13" t="s">
        <v>166</v>
      </c>
      <c r="E2236" s="13" t="s">
        <v>4464</v>
      </c>
      <c r="F2236" s="43">
        <v>7.95</v>
      </c>
    </row>
    <row r="2237" spans="2:6" x14ac:dyDescent="0.25">
      <c r="B2237" s="13" t="s">
        <v>4465</v>
      </c>
      <c r="C2237" s="15" t="s">
        <v>167</v>
      </c>
      <c r="D2237" s="13" t="s">
        <v>166</v>
      </c>
      <c r="E2237" s="13" t="s">
        <v>4466</v>
      </c>
      <c r="F2237" s="43">
        <v>7.4</v>
      </c>
    </row>
    <row r="2238" spans="2:6" x14ac:dyDescent="0.25">
      <c r="B2238" s="13" t="s">
        <v>4467</v>
      </c>
      <c r="C2238" s="15" t="s">
        <v>167</v>
      </c>
      <c r="D2238" s="13" t="s">
        <v>166</v>
      </c>
      <c r="E2238" s="13" t="s">
        <v>4468</v>
      </c>
      <c r="F2238" s="43">
        <v>7.4</v>
      </c>
    </row>
    <row r="2239" spans="2:6" x14ac:dyDescent="0.25">
      <c r="B2239" s="13" t="s">
        <v>4469</v>
      </c>
      <c r="C2239" s="15" t="s">
        <v>167</v>
      </c>
      <c r="D2239" s="13" t="s">
        <v>166</v>
      </c>
      <c r="E2239" s="13" t="s">
        <v>4470</v>
      </c>
      <c r="F2239" s="43">
        <v>7.4</v>
      </c>
    </row>
    <row r="2240" spans="2:6" x14ac:dyDescent="0.25">
      <c r="B2240" s="13" t="s">
        <v>4471</v>
      </c>
      <c r="C2240" s="15" t="s">
        <v>167</v>
      </c>
      <c r="D2240" s="13" t="s">
        <v>166</v>
      </c>
      <c r="E2240" s="13" t="s">
        <v>4472</v>
      </c>
      <c r="F2240" s="43">
        <v>10.5</v>
      </c>
    </row>
    <row r="2241" spans="2:6" x14ac:dyDescent="0.25">
      <c r="B2241" s="13" t="s">
        <v>4473</v>
      </c>
      <c r="C2241" s="15" t="s">
        <v>167</v>
      </c>
      <c r="D2241" s="13" t="s">
        <v>166</v>
      </c>
      <c r="E2241" s="13" t="s">
        <v>4474</v>
      </c>
      <c r="F2241" s="43">
        <v>3</v>
      </c>
    </row>
    <row r="2242" spans="2:6" x14ac:dyDescent="0.25">
      <c r="B2242" s="13" t="s">
        <v>4475</v>
      </c>
      <c r="C2242" s="15" t="s">
        <v>167</v>
      </c>
      <c r="D2242" s="13" t="s">
        <v>166</v>
      </c>
      <c r="E2242" s="13" t="s">
        <v>4476</v>
      </c>
      <c r="F2242" s="43">
        <v>3</v>
      </c>
    </row>
    <row r="2243" spans="2:6" x14ac:dyDescent="0.25">
      <c r="B2243" s="13" t="s">
        <v>4477</v>
      </c>
      <c r="C2243" s="15" t="s">
        <v>167</v>
      </c>
      <c r="D2243" s="13" t="s">
        <v>166</v>
      </c>
      <c r="E2243" s="13" t="s">
        <v>4478</v>
      </c>
      <c r="F2243" s="43">
        <v>3</v>
      </c>
    </row>
    <row r="2244" spans="2:6" x14ac:dyDescent="0.25">
      <c r="B2244" s="13" t="s">
        <v>4479</v>
      </c>
      <c r="C2244" s="15" t="s">
        <v>167</v>
      </c>
      <c r="D2244" s="13" t="s">
        <v>166</v>
      </c>
      <c r="E2244" s="13" t="s">
        <v>4480</v>
      </c>
      <c r="F2244" s="43">
        <v>3</v>
      </c>
    </row>
    <row r="2245" spans="2:6" x14ac:dyDescent="0.25">
      <c r="B2245" s="13" t="s">
        <v>4481</v>
      </c>
      <c r="C2245" s="15" t="s">
        <v>167</v>
      </c>
      <c r="D2245" s="13" t="s">
        <v>166</v>
      </c>
      <c r="E2245" s="13" t="s">
        <v>4482</v>
      </c>
      <c r="F2245" s="43">
        <v>3</v>
      </c>
    </row>
    <row r="2246" spans="2:6" x14ac:dyDescent="0.25">
      <c r="B2246" s="13" t="s">
        <v>4483</v>
      </c>
      <c r="C2246" s="15" t="s">
        <v>167</v>
      </c>
      <c r="D2246" s="13" t="s">
        <v>166</v>
      </c>
      <c r="E2246" s="13" t="s">
        <v>4484</v>
      </c>
      <c r="F2246" s="43">
        <v>3</v>
      </c>
    </row>
    <row r="2247" spans="2:6" x14ac:dyDescent="0.25">
      <c r="B2247" s="13" t="s">
        <v>4485</v>
      </c>
      <c r="C2247" s="15" t="s">
        <v>167</v>
      </c>
      <c r="D2247" s="13" t="s">
        <v>166</v>
      </c>
      <c r="E2247" s="13" t="s">
        <v>4486</v>
      </c>
      <c r="F2247" s="43">
        <v>3</v>
      </c>
    </row>
    <row r="2248" spans="2:6" x14ac:dyDescent="0.25">
      <c r="B2248" s="13" t="s">
        <v>4487</v>
      </c>
      <c r="C2248" s="15" t="s">
        <v>167</v>
      </c>
      <c r="D2248" s="13" t="s">
        <v>166</v>
      </c>
      <c r="E2248" s="13" t="s">
        <v>4488</v>
      </c>
      <c r="F2248" s="43">
        <v>3</v>
      </c>
    </row>
    <row r="2249" spans="2:6" x14ac:dyDescent="0.25">
      <c r="B2249" s="13" t="s">
        <v>4489</v>
      </c>
      <c r="C2249" s="15" t="s">
        <v>167</v>
      </c>
      <c r="D2249" s="13" t="s">
        <v>166</v>
      </c>
      <c r="E2249" s="13" t="s">
        <v>4490</v>
      </c>
      <c r="F2249" s="43">
        <v>3</v>
      </c>
    </row>
    <row r="2250" spans="2:6" x14ac:dyDescent="0.25">
      <c r="B2250" s="13" t="s">
        <v>4491</v>
      </c>
      <c r="C2250" s="15" t="s">
        <v>167</v>
      </c>
      <c r="D2250" s="13" t="s">
        <v>166</v>
      </c>
      <c r="E2250" s="13" t="s">
        <v>4492</v>
      </c>
      <c r="F2250" s="43">
        <v>3</v>
      </c>
    </row>
    <row r="2251" spans="2:6" x14ac:dyDescent="0.25">
      <c r="B2251" s="13" t="s">
        <v>4493</v>
      </c>
      <c r="C2251" s="15" t="s">
        <v>167</v>
      </c>
      <c r="D2251" s="13" t="s">
        <v>166</v>
      </c>
      <c r="E2251" s="13" t="s">
        <v>4494</v>
      </c>
      <c r="F2251" s="43">
        <v>3</v>
      </c>
    </row>
    <row r="2252" spans="2:6" x14ac:dyDescent="0.25">
      <c r="B2252" s="13" t="s">
        <v>4495</v>
      </c>
      <c r="C2252" s="15" t="s">
        <v>167</v>
      </c>
      <c r="D2252" s="13" t="s">
        <v>166</v>
      </c>
      <c r="E2252" s="13" t="s">
        <v>4496</v>
      </c>
      <c r="F2252" s="43">
        <v>3</v>
      </c>
    </row>
    <row r="2253" spans="2:6" x14ac:dyDescent="0.25">
      <c r="B2253" s="13" t="s">
        <v>4497</v>
      </c>
      <c r="C2253" s="15" t="s">
        <v>167</v>
      </c>
      <c r="D2253" s="13" t="s">
        <v>166</v>
      </c>
      <c r="E2253" s="13" t="s">
        <v>4498</v>
      </c>
      <c r="F2253" s="43">
        <v>3</v>
      </c>
    </row>
    <row r="2254" spans="2:6" x14ac:dyDescent="0.25">
      <c r="B2254" s="13" t="s">
        <v>4499</v>
      </c>
      <c r="C2254" s="15" t="s">
        <v>167</v>
      </c>
      <c r="D2254" s="13" t="s">
        <v>166</v>
      </c>
      <c r="E2254" s="13" t="s">
        <v>4500</v>
      </c>
      <c r="F2254" s="43">
        <v>3</v>
      </c>
    </row>
    <row r="2255" spans="2:6" x14ac:dyDescent="0.25">
      <c r="B2255" s="13" t="s">
        <v>4501</v>
      </c>
      <c r="C2255" s="15" t="s">
        <v>167</v>
      </c>
      <c r="D2255" s="13" t="s">
        <v>166</v>
      </c>
      <c r="E2255" s="13" t="s">
        <v>4502</v>
      </c>
      <c r="F2255" s="43">
        <v>3</v>
      </c>
    </row>
    <row r="2256" spans="2:6" x14ac:dyDescent="0.25">
      <c r="B2256" s="13" t="s">
        <v>4503</v>
      </c>
      <c r="C2256" s="15" t="s">
        <v>167</v>
      </c>
      <c r="D2256" s="13" t="s">
        <v>166</v>
      </c>
      <c r="E2256" s="13" t="s">
        <v>4504</v>
      </c>
      <c r="F2256" s="43">
        <v>3</v>
      </c>
    </row>
    <row r="2257" spans="2:6" x14ac:dyDescent="0.25">
      <c r="B2257" s="13" t="s">
        <v>4505</v>
      </c>
      <c r="C2257" s="15" t="s">
        <v>167</v>
      </c>
      <c r="D2257" s="13" t="s">
        <v>166</v>
      </c>
      <c r="E2257" s="13" t="s">
        <v>4506</v>
      </c>
      <c r="F2257" s="43">
        <v>3</v>
      </c>
    </row>
    <row r="2258" spans="2:6" x14ac:dyDescent="0.25">
      <c r="B2258" s="13" t="s">
        <v>4507</v>
      </c>
      <c r="C2258" s="15" t="s">
        <v>167</v>
      </c>
      <c r="D2258" s="13" t="s">
        <v>166</v>
      </c>
      <c r="E2258" s="13" t="s">
        <v>4508</v>
      </c>
      <c r="F2258" s="43">
        <v>3</v>
      </c>
    </row>
    <row r="2259" spans="2:6" x14ac:dyDescent="0.25">
      <c r="B2259" s="13" t="s">
        <v>4509</v>
      </c>
      <c r="C2259" s="15" t="s">
        <v>167</v>
      </c>
      <c r="D2259" s="13" t="s">
        <v>166</v>
      </c>
      <c r="E2259" s="13" t="s">
        <v>4510</v>
      </c>
      <c r="F2259" s="43">
        <v>3</v>
      </c>
    </row>
    <row r="2260" spans="2:6" x14ac:dyDescent="0.25">
      <c r="B2260" s="13" t="s">
        <v>4511</v>
      </c>
      <c r="C2260" s="15" t="s">
        <v>167</v>
      </c>
      <c r="D2260" s="13" t="s">
        <v>166</v>
      </c>
      <c r="E2260" s="13" t="s">
        <v>4512</v>
      </c>
      <c r="F2260" s="43">
        <v>3</v>
      </c>
    </row>
    <row r="2261" spans="2:6" x14ac:dyDescent="0.25">
      <c r="B2261" s="13" t="s">
        <v>4513</v>
      </c>
      <c r="C2261" s="15" t="s">
        <v>167</v>
      </c>
      <c r="D2261" s="13" t="s">
        <v>166</v>
      </c>
      <c r="E2261" s="13" t="s">
        <v>4514</v>
      </c>
      <c r="F2261" s="43">
        <v>3</v>
      </c>
    </row>
    <row r="2262" spans="2:6" x14ac:dyDescent="0.25">
      <c r="B2262" s="13" t="s">
        <v>4515</v>
      </c>
      <c r="C2262" s="15" t="s">
        <v>167</v>
      </c>
      <c r="D2262" s="13" t="s">
        <v>166</v>
      </c>
      <c r="E2262" s="13" t="s">
        <v>4516</v>
      </c>
      <c r="F2262" s="43">
        <v>0</v>
      </c>
    </row>
    <row r="2263" spans="2:6" x14ac:dyDescent="0.25">
      <c r="B2263" s="13" t="s">
        <v>4517</v>
      </c>
      <c r="C2263" s="15" t="s">
        <v>167</v>
      </c>
      <c r="D2263" s="13" t="s">
        <v>166</v>
      </c>
      <c r="E2263" s="13" t="s">
        <v>4518</v>
      </c>
      <c r="F2263" s="43">
        <v>0</v>
      </c>
    </row>
    <row r="2264" spans="2:6" x14ac:dyDescent="0.25">
      <c r="B2264" s="13" t="s">
        <v>4519</v>
      </c>
      <c r="C2264" s="15" t="s">
        <v>167</v>
      </c>
      <c r="D2264" s="13" t="s">
        <v>166</v>
      </c>
      <c r="E2264" s="13" t="s">
        <v>4520</v>
      </c>
      <c r="F2264" s="43">
        <v>0</v>
      </c>
    </row>
    <row r="2265" spans="2:6" x14ac:dyDescent="0.25">
      <c r="B2265" s="13" t="s">
        <v>4521</v>
      </c>
      <c r="C2265" s="15" t="s">
        <v>167</v>
      </c>
      <c r="D2265" s="13" t="s">
        <v>166</v>
      </c>
      <c r="E2265" s="13" t="s">
        <v>4522</v>
      </c>
      <c r="F2265" s="43">
        <v>0</v>
      </c>
    </row>
    <row r="2266" spans="2:6" x14ac:dyDescent="0.25">
      <c r="B2266" s="13" t="s">
        <v>4523</v>
      </c>
      <c r="C2266" s="15" t="s">
        <v>167</v>
      </c>
      <c r="D2266" s="13" t="s">
        <v>166</v>
      </c>
      <c r="E2266" s="13" t="s">
        <v>4524</v>
      </c>
      <c r="F2266" s="43">
        <v>0</v>
      </c>
    </row>
    <row r="2267" spans="2:6" x14ac:dyDescent="0.25">
      <c r="B2267" s="13" t="s">
        <v>4525</v>
      </c>
      <c r="C2267" s="15" t="s">
        <v>167</v>
      </c>
      <c r="D2267" s="13" t="s">
        <v>166</v>
      </c>
      <c r="E2267" s="13" t="s">
        <v>4526</v>
      </c>
      <c r="F2267" s="43">
        <v>0</v>
      </c>
    </row>
    <row r="2268" spans="2:6" x14ac:dyDescent="0.25">
      <c r="B2268" s="13" t="s">
        <v>4527</v>
      </c>
      <c r="C2268" s="15" t="s">
        <v>167</v>
      </c>
      <c r="D2268" s="13" t="s">
        <v>166</v>
      </c>
      <c r="E2268" s="13" t="s">
        <v>4528</v>
      </c>
      <c r="F2268" s="43">
        <v>0</v>
      </c>
    </row>
    <row r="2269" spans="2:6" x14ac:dyDescent="0.25">
      <c r="B2269" s="13" t="s">
        <v>4529</v>
      </c>
      <c r="C2269" s="15" t="s">
        <v>167</v>
      </c>
      <c r="D2269" s="13" t="s">
        <v>166</v>
      </c>
      <c r="E2269" s="13" t="s">
        <v>4530</v>
      </c>
      <c r="F2269" s="43">
        <v>0</v>
      </c>
    </row>
    <row r="2270" spans="2:6" x14ac:dyDescent="0.25">
      <c r="B2270" s="13" t="s">
        <v>4531</v>
      </c>
      <c r="C2270" s="15" t="s">
        <v>167</v>
      </c>
      <c r="D2270" s="13" t="s">
        <v>166</v>
      </c>
      <c r="E2270" s="13" t="s">
        <v>4532</v>
      </c>
      <c r="F2270" s="43">
        <v>14.1</v>
      </c>
    </row>
    <row r="2271" spans="2:6" x14ac:dyDescent="0.25">
      <c r="B2271" s="13" t="s">
        <v>4533</v>
      </c>
      <c r="C2271" s="15" t="s">
        <v>167</v>
      </c>
      <c r="D2271" s="13" t="s">
        <v>166</v>
      </c>
      <c r="E2271" s="13" t="s">
        <v>4534</v>
      </c>
      <c r="F2271" s="43">
        <v>14.1</v>
      </c>
    </row>
    <row r="2272" spans="2:6" x14ac:dyDescent="0.25">
      <c r="B2272" s="13" t="s">
        <v>4535</v>
      </c>
      <c r="C2272" s="15" t="s">
        <v>167</v>
      </c>
      <c r="D2272" s="13" t="s">
        <v>166</v>
      </c>
      <c r="E2272" s="13" t="s">
        <v>4536</v>
      </c>
      <c r="F2272" s="43">
        <v>14.1</v>
      </c>
    </row>
    <row r="2273" spans="2:6" x14ac:dyDescent="0.25">
      <c r="B2273" s="13" t="s">
        <v>4537</v>
      </c>
      <c r="C2273" s="15" t="s">
        <v>167</v>
      </c>
      <c r="D2273" s="13" t="s">
        <v>166</v>
      </c>
      <c r="E2273" s="13" t="s">
        <v>4538</v>
      </c>
      <c r="F2273" s="43">
        <v>14.1</v>
      </c>
    </row>
    <row r="2274" spans="2:6" x14ac:dyDescent="0.25">
      <c r="B2274" s="13" t="s">
        <v>4539</v>
      </c>
      <c r="C2274" s="15" t="s">
        <v>167</v>
      </c>
      <c r="D2274" s="13" t="s">
        <v>166</v>
      </c>
      <c r="E2274" s="13" t="s">
        <v>4540</v>
      </c>
      <c r="F2274" s="43">
        <v>14.1</v>
      </c>
    </row>
    <row r="2275" spans="2:6" x14ac:dyDescent="0.25">
      <c r="B2275" s="13" t="s">
        <v>4541</v>
      </c>
      <c r="C2275" s="15" t="s">
        <v>167</v>
      </c>
      <c r="D2275" s="13" t="s">
        <v>166</v>
      </c>
      <c r="E2275" s="13" t="s">
        <v>4542</v>
      </c>
      <c r="F2275" s="43">
        <v>14.1</v>
      </c>
    </row>
    <row r="2276" spans="2:6" x14ac:dyDescent="0.25">
      <c r="B2276" s="13" t="s">
        <v>4543</v>
      </c>
      <c r="C2276" s="15" t="s">
        <v>167</v>
      </c>
      <c r="D2276" s="13" t="s">
        <v>166</v>
      </c>
      <c r="E2276" s="13" t="s">
        <v>4544</v>
      </c>
      <c r="F2276" s="43">
        <v>14.1</v>
      </c>
    </row>
    <row r="2277" spans="2:6" x14ac:dyDescent="0.25">
      <c r="B2277" s="13" t="s">
        <v>4545</v>
      </c>
      <c r="C2277" s="15" t="s">
        <v>167</v>
      </c>
      <c r="D2277" s="13" t="s">
        <v>166</v>
      </c>
      <c r="E2277" s="13" t="s">
        <v>4546</v>
      </c>
      <c r="F2277" s="43">
        <v>14.1</v>
      </c>
    </row>
    <row r="2278" spans="2:6" x14ac:dyDescent="0.25">
      <c r="B2278" s="13" t="s">
        <v>4547</v>
      </c>
      <c r="C2278" s="15" t="s">
        <v>167</v>
      </c>
      <c r="D2278" s="13" t="s">
        <v>166</v>
      </c>
      <c r="E2278" s="13" t="s">
        <v>4548</v>
      </c>
      <c r="F2278" s="43">
        <v>14.1</v>
      </c>
    </row>
    <row r="2279" spans="2:6" x14ac:dyDescent="0.25">
      <c r="B2279" s="13" t="s">
        <v>4549</v>
      </c>
      <c r="C2279" s="15" t="s">
        <v>167</v>
      </c>
      <c r="D2279" s="13" t="s">
        <v>166</v>
      </c>
      <c r="E2279" s="13" t="s">
        <v>4550</v>
      </c>
      <c r="F2279" s="43">
        <v>14.1</v>
      </c>
    </row>
    <row r="2280" spans="2:6" x14ac:dyDescent="0.25">
      <c r="B2280" s="13" t="s">
        <v>4551</v>
      </c>
      <c r="C2280" s="15" t="s">
        <v>167</v>
      </c>
      <c r="D2280" s="13" t="s">
        <v>166</v>
      </c>
      <c r="E2280" s="13" t="s">
        <v>4552</v>
      </c>
      <c r="F2280" s="43">
        <v>14.1</v>
      </c>
    </row>
    <row r="2281" spans="2:6" x14ac:dyDescent="0.25">
      <c r="B2281" s="13" t="s">
        <v>4553</v>
      </c>
      <c r="C2281" s="15" t="s">
        <v>167</v>
      </c>
      <c r="D2281" s="13" t="s">
        <v>166</v>
      </c>
      <c r="E2281" s="13" t="s">
        <v>4554</v>
      </c>
      <c r="F2281" s="43">
        <v>14.1</v>
      </c>
    </row>
    <row r="2282" spans="2:6" x14ac:dyDescent="0.25">
      <c r="B2282" s="13" t="s">
        <v>4555</v>
      </c>
      <c r="C2282" s="15" t="s">
        <v>167</v>
      </c>
      <c r="D2282" s="13" t="s">
        <v>166</v>
      </c>
      <c r="E2282" s="13" t="s">
        <v>4556</v>
      </c>
      <c r="F2282" s="43">
        <v>14.1</v>
      </c>
    </row>
    <row r="2283" spans="2:6" x14ac:dyDescent="0.25">
      <c r="B2283" s="13" t="s">
        <v>4557</v>
      </c>
      <c r="C2283" s="15" t="s">
        <v>167</v>
      </c>
      <c r="D2283" s="13" t="s">
        <v>166</v>
      </c>
      <c r="E2283" s="13" t="s">
        <v>4558</v>
      </c>
      <c r="F2283" s="43">
        <v>14.1</v>
      </c>
    </row>
    <row r="2284" spans="2:6" x14ac:dyDescent="0.25">
      <c r="B2284" s="13" t="s">
        <v>4559</v>
      </c>
      <c r="C2284" s="15" t="s">
        <v>167</v>
      </c>
      <c r="D2284" s="13" t="s">
        <v>166</v>
      </c>
      <c r="E2284" s="13" t="s">
        <v>4560</v>
      </c>
      <c r="F2284" s="43">
        <v>14.1</v>
      </c>
    </row>
    <row r="2285" spans="2:6" x14ac:dyDescent="0.25">
      <c r="B2285" s="13" t="s">
        <v>4561</v>
      </c>
      <c r="C2285" s="15" t="s">
        <v>167</v>
      </c>
      <c r="D2285" s="13" t="s">
        <v>166</v>
      </c>
      <c r="E2285" s="13" t="s">
        <v>4562</v>
      </c>
      <c r="F2285" s="43">
        <v>14.1</v>
      </c>
    </row>
    <row r="2286" spans="2:6" x14ac:dyDescent="0.25">
      <c r="B2286" s="13" t="s">
        <v>4563</v>
      </c>
      <c r="C2286" s="15" t="s">
        <v>167</v>
      </c>
      <c r="D2286" s="13" t="s">
        <v>166</v>
      </c>
      <c r="E2286" s="13" t="s">
        <v>4564</v>
      </c>
      <c r="F2286" s="43">
        <v>14.1</v>
      </c>
    </row>
    <row r="2287" spans="2:6" x14ac:dyDescent="0.25">
      <c r="B2287" s="13" t="s">
        <v>4565</v>
      </c>
      <c r="C2287" s="15" t="s">
        <v>167</v>
      </c>
      <c r="D2287" s="13" t="s">
        <v>166</v>
      </c>
      <c r="E2287" s="13" t="s">
        <v>3451</v>
      </c>
      <c r="F2287" s="43">
        <v>14.1</v>
      </c>
    </row>
    <row r="2288" spans="2:6" x14ac:dyDescent="0.25">
      <c r="B2288" s="13" t="s">
        <v>4566</v>
      </c>
      <c r="C2288" s="15" t="s">
        <v>167</v>
      </c>
      <c r="D2288" s="13" t="s">
        <v>166</v>
      </c>
      <c r="E2288" s="13" t="s">
        <v>4567</v>
      </c>
      <c r="F2288" s="43">
        <v>14.1</v>
      </c>
    </row>
    <row r="2289" spans="2:6" x14ac:dyDescent="0.25">
      <c r="B2289" s="13" t="s">
        <v>4568</v>
      </c>
      <c r="C2289" s="15" t="s">
        <v>167</v>
      </c>
      <c r="D2289" s="13" t="s">
        <v>166</v>
      </c>
      <c r="E2289" s="13" t="s">
        <v>4569</v>
      </c>
      <c r="F2289" s="43">
        <v>14.1</v>
      </c>
    </row>
    <row r="2290" spans="2:6" x14ac:dyDescent="0.25">
      <c r="B2290" s="13" t="s">
        <v>4570</v>
      </c>
      <c r="C2290" s="15" t="s">
        <v>167</v>
      </c>
      <c r="D2290" s="13" t="s">
        <v>166</v>
      </c>
      <c r="E2290" s="13" t="s">
        <v>4571</v>
      </c>
      <c r="F2290" s="43">
        <v>14.1</v>
      </c>
    </row>
    <row r="2291" spans="2:6" x14ac:dyDescent="0.25">
      <c r="B2291" s="13" t="s">
        <v>4572</v>
      </c>
      <c r="C2291" s="15" t="s">
        <v>167</v>
      </c>
      <c r="D2291" s="13" t="s">
        <v>166</v>
      </c>
      <c r="E2291" s="13" t="s">
        <v>4573</v>
      </c>
      <c r="F2291" s="43">
        <v>14.1</v>
      </c>
    </row>
    <row r="2292" spans="2:6" x14ac:dyDescent="0.25">
      <c r="B2292" s="13" t="s">
        <v>4574</v>
      </c>
      <c r="C2292" s="15" t="s">
        <v>167</v>
      </c>
      <c r="D2292" s="13" t="s">
        <v>166</v>
      </c>
      <c r="E2292" s="13" t="s">
        <v>4575</v>
      </c>
      <c r="F2292" s="43">
        <v>14.1</v>
      </c>
    </row>
    <row r="2293" spans="2:6" x14ac:dyDescent="0.25">
      <c r="B2293" s="13" t="s">
        <v>4576</v>
      </c>
      <c r="C2293" s="15" t="s">
        <v>167</v>
      </c>
      <c r="D2293" s="13" t="s">
        <v>166</v>
      </c>
      <c r="E2293" s="13" t="s">
        <v>4577</v>
      </c>
      <c r="F2293" s="43">
        <v>14.1</v>
      </c>
    </row>
    <row r="2294" spans="2:6" x14ac:dyDescent="0.25">
      <c r="B2294" s="13" t="s">
        <v>4578</v>
      </c>
      <c r="C2294" s="15" t="s">
        <v>167</v>
      </c>
      <c r="D2294" s="13" t="s">
        <v>166</v>
      </c>
      <c r="E2294" s="13" t="s">
        <v>4579</v>
      </c>
      <c r="F2294" s="43">
        <v>14.1</v>
      </c>
    </row>
    <row r="2295" spans="2:6" x14ac:dyDescent="0.25">
      <c r="B2295" s="13" t="s">
        <v>4580</v>
      </c>
      <c r="C2295" s="15" t="s">
        <v>167</v>
      </c>
      <c r="D2295" s="13" t="s">
        <v>166</v>
      </c>
      <c r="E2295" s="13" t="s">
        <v>4581</v>
      </c>
      <c r="F2295" s="43">
        <v>14.1</v>
      </c>
    </row>
    <row r="2296" spans="2:6" x14ac:dyDescent="0.25">
      <c r="B2296" s="13" t="s">
        <v>4582</v>
      </c>
      <c r="C2296" s="15" t="s">
        <v>167</v>
      </c>
      <c r="D2296" s="13" t="s">
        <v>166</v>
      </c>
      <c r="E2296" s="13" t="s">
        <v>4583</v>
      </c>
      <c r="F2296" s="43">
        <v>14.1</v>
      </c>
    </row>
    <row r="2297" spans="2:6" x14ac:dyDescent="0.25">
      <c r="B2297" s="13" t="s">
        <v>4584</v>
      </c>
      <c r="C2297" s="15" t="s">
        <v>167</v>
      </c>
      <c r="D2297" s="13" t="s">
        <v>166</v>
      </c>
      <c r="E2297" s="13" t="s">
        <v>4585</v>
      </c>
      <c r="F2297" s="43">
        <v>14.1</v>
      </c>
    </row>
    <row r="2298" spans="2:6" x14ac:dyDescent="0.25">
      <c r="B2298" s="13" t="s">
        <v>4586</v>
      </c>
      <c r="C2298" s="15" t="s">
        <v>167</v>
      </c>
      <c r="D2298" s="13" t="s">
        <v>166</v>
      </c>
      <c r="E2298" s="13" t="s">
        <v>4587</v>
      </c>
      <c r="F2298" s="43">
        <v>14.1</v>
      </c>
    </row>
    <row r="2299" spans="2:6" x14ac:dyDescent="0.25">
      <c r="B2299" s="13" t="s">
        <v>4588</v>
      </c>
      <c r="C2299" s="15" t="s">
        <v>167</v>
      </c>
      <c r="D2299" s="13" t="s">
        <v>166</v>
      </c>
      <c r="E2299" s="13" t="s">
        <v>4589</v>
      </c>
      <c r="F2299" s="43">
        <v>14.1</v>
      </c>
    </row>
    <row r="2300" spans="2:6" x14ac:dyDescent="0.25">
      <c r="B2300" s="13" t="s">
        <v>4590</v>
      </c>
      <c r="C2300" s="15" t="s">
        <v>167</v>
      </c>
      <c r="D2300" s="13" t="s">
        <v>166</v>
      </c>
      <c r="E2300" s="13" t="s">
        <v>4591</v>
      </c>
      <c r="F2300" s="43">
        <v>14.1</v>
      </c>
    </row>
    <row r="2301" spans="2:6" x14ac:dyDescent="0.25">
      <c r="B2301" s="13" t="s">
        <v>4592</v>
      </c>
      <c r="C2301" s="15" t="s">
        <v>167</v>
      </c>
      <c r="D2301" s="13" t="s">
        <v>166</v>
      </c>
      <c r="E2301" s="13" t="s">
        <v>4593</v>
      </c>
      <c r="F2301" s="43">
        <v>14.1</v>
      </c>
    </row>
    <row r="2302" spans="2:6" x14ac:dyDescent="0.25">
      <c r="B2302" s="13" t="s">
        <v>4594</v>
      </c>
      <c r="C2302" s="15" t="s">
        <v>167</v>
      </c>
      <c r="D2302" s="13" t="s">
        <v>166</v>
      </c>
      <c r="E2302" s="13" t="s">
        <v>4595</v>
      </c>
      <c r="F2302" s="43">
        <v>14.1</v>
      </c>
    </row>
    <row r="2303" spans="2:6" x14ac:dyDescent="0.25">
      <c r="B2303" s="13" t="s">
        <v>4596</v>
      </c>
      <c r="C2303" s="15" t="s">
        <v>167</v>
      </c>
      <c r="D2303" s="13" t="s">
        <v>166</v>
      </c>
      <c r="E2303" s="13" t="s">
        <v>4597</v>
      </c>
      <c r="F2303" s="43">
        <v>14.1</v>
      </c>
    </row>
    <row r="2304" spans="2:6" x14ac:dyDescent="0.25">
      <c r="B2304" s="13" t="s">
        <v>4598</v>
      </c>
      <c r="C2304" s="15" t="s">
        <v>167</v>
      </c>
      <c r="D2304" s="13" t="s">
        <v>166</v>
      </c>
      <c r="E2304" s="13" t="s">
        <v>4599</v>
      </c>
      <c r="F2304" s="43">
        <v>14.1</v>
      </c>
    </row>
    <row r="2305" spans="2:6" x14ac:dyDescent="0.25">
      <c r="B2305" s="13" t="s">
        <v>4600</v>
      </c>
      <c r="C2305" s="15" t="s">
        <v>167</v>
      </c>
      <c r="D2305" s="13" t="s">
        <v>166</v>
      </c>
      <c r="E2305" s="13" t="s">
        <v>4601</v>
      </c>
      <c r="F2305" s="43">
        <v>14.1</v>
      </c>
    </row>
    <row r="2306" spans="2:6" x14ac:dyDescent="0.25">
      <c r="B2306" s="13" t="s">
        <v>4602</v>
      </c>
      <c r="C2306" s="15" t="s">
        <v>167</v>
      </c>
      <c r="D2306" s="13" t="s">
        <v>166</v>
      </c>
      <c r="E2306" s="13" t="s">
        <v>4603</v>
      </c>
      <c r="F2306" s="43">
        <v>14.1</v>
      </c>
    </row>
    <row r="2307" spans="2:6" x14ac:dyDescent="0.25">
      <c r="B2307" s="13" t="s">
        <v>4604</v>
      </c>
      <c r="C2307" s="15" t="s">
        <v>167</v>
      </c>
      <c r="D2307" s="13" t="s">
        <v>166</v>
      </c>
      <c r="E2307" s="13" t="s">
        <v>4605</v>
      </c>
      <c r="F2307" s="43">
        <v>14.1</v>
      </c>
    </row>
    <row r="2308" spans="2:6" x14ac:dyDescent="0.25">
      <c r="B2308" s="13" t="s">
        <v>4606</v>
      </c>
      <c r="C2308" s="15" t="s">
        <v>167</v>
      </c>
      <c r="D2308" s="13" t="s">
        <v>166</v>
      </c>
      <c r="E2308" s="13" t="s">
        <v>4607</v>
      </c>
      <c r="F2308" s="43">
        <v>14.1</v>
      </c>
    </row>
    <row r="2309" spans="2:6" x14ac:dyDescent="0.25">
      <c r="B2309" s="13" t="s">
        <v>4608</v>
      </c>
      <c r="C2309" s="15" t="s">
        <v>167</v>
      </c>
      <c r="D2309" s="13" t="s">
        <v>166</v>
      </c>
      <c r="E2309" s="13" t="s">
        <v>4609</v>
      </c>
      <c r="F2309" s="43">
        <v>14.1</v>
      </c>
    </row>
    <row r="2310" spans="2:6" x14ac:dyDescent="0.25">
      <c r="B2310" s="13" t="s">
        <v>4610</v>
      </c>
      <c r="C2310" s="15" t="s">
        <v>167</v>
      </c>
      <c r="D2310" s="13" t="s">
        <v>166</v>
      </c>
      <c r="E2310" s="13" t="s">
        <v>4611</v>
      </c>
      <c r="F2310" s="43">
        <v>14.1</v>
      </c>
    </row>
    <row r="2311" spans="2:6" x14ac:dyDescent="0.25">
      <c r="B2311" s="13" t="s">
        <v>4612</v>
      </c>
      <c r="C2311" s="15" t="s">
        <v>167</v>
      </c>
      <c r="D2311" s="13" t="s">
        <v>166</v>
      </c>
      <c r="E2311" s="13" t="s">
        <v>4613</v>
      </c>
      <c r="F2311" s="43">
        <v>14.1</v>
      </c>
    </row>
    <row r="2312" spans="2:6" x14ac:dyDescent="0.25">
      <c r="B2312" s="13" t="s">
        <v>4614</v>
      </c>
      <c r="C2312" s="15" t="s">
        <v>167</v>
      </c>
      <c r="D2312" s="13" t="s">
        <v>166</v>
      </c>
      <c r="E2312" s="13" t="s">
        <v>4615</v>
      </c>
      <c r="F2312" s="43">
        <v>14.1</v>
      </c>
    </row>
    <row r="2313" spans="2:6" x14ac:dyDescent="0.25">
      <c r="B2313" s="13" t="s">
        <v>4616</v>
      </c>
      <c r="C2313" s="15" t="s">
        <v>167</v>
      </c>
      <c r="D2313" s="13" t="s">
        <v>166</v>
      </c>
      <c r="E2313" s="13" t="s">
        <v>4617</v>
      </c>
      <c r="F2313" s="43">
        <v>14.1</v>
      </c>
    </row>
    <row r="2314" spans="2:6" x14ac:dyDescent="0.25">
      <c r="B2314" s="13" t="s">
        <v>4618</v>
      </c>
      <c r="C2314" s="15" t="s">
        <v>167</v>
      </c>
      <c r="D2314" s="13" t="s">
        <v>166</v>
      </c>
      <c r="E2314" s="13" t="s">
        <v>4619</v>
      </c>
      <c r="F2314" s="43">
        <v>14.1</v>
      </c>
    </row>
    <row r="2315" spans="2:6" x14ac:dyDescent="0.25">
      <c r="B2315" s="13" t="s">
        <v>4620</v>
      </c>
      <c r="C2315" s="15" t="s">
        <v>167</v>
      </c>
      <c r="D2315" s="13" t="s">
        <v>166</v>
      </c>
      <c r="E2315" s="13" t="s">
        <v>4621</v>
      </c>
      <c r="F2315" s="43">
        <v>14.1</v>
      </c>
    </row>
    <row r="2316" spans="2:6" x14ac:dyDescent="0.25">
      <c r="B2316" s="13" t="s">
        <v>4622</v>
      </c>
      <c r="C2316" s="15" t="s">
        <v>167</v>
      </c>
      <c r="D2316" s="13" t="s">
        <v>166</v>
      </c>
      <c r="E2316" s="13" t="s">
        <v>4623</v>
      </c>
      <c r="F2316" s="43">
        <v>14.1</v>
      </c>
    </row>
    <row r="2317" spans="2:6" x14ac:dyDescent="0.25">
      <c r="B2317" s="13" t="s">
        <v>4624</v>
      </c>
      <c r="C2317" s="15" t="s">
        <v>167</v>
      </c>
      <c r="D2317" s="13" t="s">
        <v>166</v>
      </c>
      <c r="E2317" s="13" t="s">
        <v>4625</v>
      </c>
      <c r="F2317" s="43">
        <v>14.1</v>
      </c>
    </row>
    <row r="2318" spans="2:6" x14ac:dyDescent="0.25">
      <c r="B2318" s="13" t="s">
        <v>4626</v>
      </c>
      <c r="C2318" s="15" t="s">
        <v>167</v>
      </c>
      <c r="D2318" s="13" t="s">
        <v>166</v>
      </c>
      <c r="E2318" s="13" t="s">
        <v>4627</v>
      </c>
      <c r="F2318" s="43">
        <v>14.1</v>
      </c>
    </row>
    <row r="2319" spans="2:6" x14ac:dyDescent="0.25">
      <c r="B2319" s="13" t="s">
        <v>4628</v>
      </c>
      <c r="C2319" s="15" t="s">
        <v>167</v>
      </c>
      <c r="D2319" s="13" t="s">
        <v>166</v>
      </c>
      <c r="E2319" s="13" t="s">
        <v>4629</v>
      </c>
      <c r="F2319" s="43">
        <v>14.1</v>
      </c>
    </row>
    <row r="2320" spans="2:6" x14ac:dyDescent="0.25">
      <c r="B2320" s="13" t="s">
        <v>4630</v>
      </c>
      <c r="C2320" s="15" t="s">
        <v>167</v>
      </c>
      <c r="D2320" s="13" t="s">
        <v>166</v>
      </c>
      <c r="E2320" s="13" t="s">
        <v>4631</v>
      </c>
      <c r="F2320" s="43">
        <v>14.1</v>
      </c>
    </row>
    <row r="2321" spans="2:6" x14ac:dyDescent="0.25">
      <c r="B2321" s="13" t="s">
        <v>4632</v>
      </c>
      <c r="C2321" s="15" t="s">
        <v>167</v>
      </c>
      <c r="D2321" s="13" t="s">
        <v>166</v>
      </c>
      <c r="E2321" s="13" t="s">
        <v>4633</v>
      </c>
      <c r="F2321" s="43">
        <v>14.1</v>
      </c>
    </row>
    <row r="2322" spans="2:6" x14ac:dyDescent="0.25">
      <c r="B2322" s="13" t="s">
        <v>4634</v>
      </c>
      <c r="C2322" s="15" t="s">
        <v>167</v>
      </c>
      <c r="D2322" s="13" t="s">
        <v>166</v>
      </c>
      <c r="E2322" s="13" t="s">
        <v>4635</v>
      </c>
      <c r="F2322" s="43">
        <v>11.2</v>
      </c>
    </row>
    <row r="2323" spans="2:6" x14ac:dyDescent="0.25">
      <c r="B2323" s="13" t="s">
        <v>4636</v>
      </c>
      <c r="C2323" s="15" t="s">
        <v>167</v>
      </c>
      <c r="D2323" s="13" t="s">
        <v>166</v>
      </c>
      <c r="E2323" s="13" t="s">
        <v>4637</v>
      </c>
      <c r="F2323" s="43">
        <v>11.2</v>
      </c>
    </row>
    <row r="2324" spans="2:6" x14ac:dyDescent="0.25">
      <c r="B2324" s="13" t="s">
        <v>4638</v>
      </c>
      <c r="C2324" s="15" t="s">
        <v>167</v>
      </c>
      <c r="D2324" s="13" t="s">
        <v>166</v>
      </c>
      <c r="E2324" s="13" t="s">
        <v>4639</v>
      </c>
      <c r="F2324" s="43">
        <v>11.2</v>
      </c>
    </row>
    <row r="2325" spans="2:6" x14ac:dyDescent="0.25">
      <c r="B2325" s="13" t="s">
        <v>4640</v>
      </c>
      <c r="C2325" s="15" t="s">
        <v>167</v>
      </c>
      <c r="D2325" s="13" t="s">
        <v>166</v>
      </c>
      <c r="E2325" s="13" t="s">
        <v>4641</v>
      </c>
      <c r="F2325" s="43">
        <v>11.2</v>
      </c>
    </row>
    <row r="2326" spans="2:6" x14ac:dyDescent="0.25">
      <c r="B2326" s="13" t="s">
        <v>4642</v>
      </c>
      <c r="C2326" s="15" t="s">
        <v>167</v>
      </c>
      <c r="D2326" s="13" t="s">
        <v>166</v>
      </c>
      <c r="E2326" s="13" t="s">
        <v>4643</v>
      </c>
      <c r="F2326" s="43">
        <v>11.2</v>
      </c>
    </row>
    <row r="2327" spans="2:6" x14ac:dyDescent="0.25">
      <c r="B2327" s="13" t="s">
        <v>4644</v>
      </c>
      <c r="C2327" s="15" t="s">
        <v>167</v>
      </c>
      <c r="D2327" s="13" t="s">
        <v>166</v>
      </c>
      <c r="E2327" s="13" t="s">
        <v>4645</v>
      </c>
      <c r="F2327" s="43">
        <v>11.2</v>
      </c>
    </row>
    <row r="2328" spans="2:6" x14ac:dyDescent="0.25">
      <c r="B2328" s="13" t="s">
        <v>4646</v>
      </c>
      <c r="C2328" s="15" t="s">
        <v>167</v>
      </c>
      <c r="D2328" s="13" t="s">
        <v>166</v>
      </c>
      <c r="E2328" s="13" t="s">
        <v>4647</v>
      </c>
      <c r="F2328" s="43">
        <v>11.2</v>
      </c>
    </row>
    <row r="2329" spans="2:6" x14ac:dyDescent="0.25">
      <c r="B2329" s="13" t="s">
        <v>4648</v>
      </c>
      <c r="C2329" s="15" t="s">
        <v>167</v>
      </c>
      <c r="D2329" s="13" t="s">
        <v>166</v>
      </c>
      <c r="E2329" s="13" t="s">
        <v>4649</v>
      </c>
      <c r="F2329" s="43">
        <v>11.2</v>
      </c>
    </row>
    <row r="2330" spans="2:6" x14ac:dyDescent="0.25">
      <c r="B2330" s="13" t="s">
        <v>4650</v>
      </c>
      <c r="C2330" s="15" t="s">
        <v>167</v>
      </c>
      <c r="D2330" s="13" t="s">
        <v>166</v>
      </c>
      <c r="E2330" s="13" t="s">
        <v>4651</v>
      </c>
      <c r="F2330" s="43">
        <v>11.2</v>
      </c>
    </row>
    <row r="2331" spans="2:6" x14ac:dyDescent="0.25">
      <c r="B2331" s="13" t="s">
        <v>4652</v>
      </c>
      <c r="C2331" s="15" t="s">
        <v>167</v>
      </c>
      <c r="D2331" s="13" t="s">
        <v>166</v>
      </c>
      <c r="E2331" s="13" t="s">
        <v>4653</v>
      </c>
      <c r="F2331" s="43">
        <v>11.2</v>
      </c>
    </row>
    <row r="2332" spans="2:6" x14ac:dyDescent="0.25">
      <c r="B2332" s="13" t="s">
        <v>4654</v>
      </c>
      <c r="C2332" s="15" t="s">
        <v>167</v>
      </c>
      <c r="D2332" s="13" t="s">
        <v>166</v>
      </c>
      <c r="E2332" s="13" t="s">
        <v>4655</v>
      </c>
      <c r="F2332" s="43">
        <v>11.2</v>
      </c>
    </row>
    <row r="2333" spans="2:6" x14ac:dyDescent="0.25">
      <c r="B2333" s="13" t="s">
        <v>4656</v>
      </c>
      <c r="C2333" s="15" t="s">
        <v>167</v>
      </c>
      <c r="D2333" s="13" t="s">
        <v>166</v>
      </c>
      <c r="E2333" s="13" t="s">
        <v>4657</v>
      </c>
      <c r="F2333" s="43">
        <v>33</v>
      </c>
    </row>
    <row r="2334" spans="2:6" x14ac:dyDescent="0.25">
      <c r="B2334" s="13" t="s">
        <v>4658</v>
      </c>
      <c r="C2334" s="15" t="s">
        <v>167</v>
      </c>
      <c r="D2334" s="13" t="s">
        <v>166</v>
      </c>
      <c r="E2334" s="13" t="s">
        <v>4659</v>
      </c>
      <c r="F2334" s="43">
        <v>33</v>
      </c>
    </row>
    <row r="2335" spans="2:6" x14ac:dyDescent="0.25">
      <c r="B2335" s="13" t="s">
        <v>4660</v>
      </c>
      <c r="C2335" s="15" t="s">
        <v>167</v>
      </c>
      <c r="D2335" s="13" t="s">
        <v>166</v>
      </c>
      <c r="E2335" s="13" t="s">
        <v>4661</v>
      </c>
      <c r="F2335" s="43">
        <v>33</v>
      </c>
    </row>
    <row r="2336" spans="2:6" x14ac:dyDescent="0.25">
      <c r="B2336" s="13" t="s">
        <v>4662</v>
      </c>
      <c r="C2336" s="15" t="s">
        <v>167</v>
      </c>
      <c r="D2336" s="13" t="s">
        <v>166</v>
      </c>
      <c r="E2336" s="13" t="s">
        <v>4663</v>
      </c>
      <c r="F2336" s="43">
        <v>33</v>
      </c>
    </row>
    <row r="2337" spans="2:6" x14ac:dyDescent="0.25">
      <c r="B2337" s="13" t="s">
        <v>4664</v>
      </c>
      <c r="C2337" s="15" t="s">
        <v>167</v>
      </c>
      <c r="D2337" s="13" t="s">
        <v>166</v>
      </c>
      <c r="E2337" s="13" t="s">
        <v>4665</v>
      </c>
      <c r="F2337" s="43">
        <v>33</v>
      </c>
    </row>
    <row r="2338" spans="2:6" x14ac:dyDescent="0.25">
      <c r="B2338" s="13" t="s">
        <v>4666</v>
      </c>
      <c r="C2338" s="15" t="s">
        <v>167</v>
      </c>
      <c r="D2338" s="13" t="s">
        <v>166</v>
      </c>
      <c r="E2338" s="13" t="s">
        <v>4667</v>
      </c>
      <c r="F2338" s="43">
        <v>33</v>
      </c>
    </row>
    <row r="2339" spans="2:6" x14ac:dyDescent="0.25">
      <c r="B2339" s="13" t="s">
        <v>4668</v>
      </c>
      <c r="C2339" s="15" t="s">
        <v>167</v>
      </c>
      <c r="D2339" s="13" t="s">
        <v>166</v>
      </c>
      <c r="E2339" s="13" t="s">
        <v>4669</v>
      </c>
      <c r="F2339" s="43">
        <v>33</v>
      </c>
    </row>
    <row r="2340" spans="2:6" x14ac:dyDescent="0.25">
      <c r="B2340" s="13" t="s">
        <v>4670</v>
      </c>
      <c r="C2340" s="15" t="s">
        <v>167</v>
      </c>
      <c r="D2340" s="13" t="s">
        <v>166</v>
      </c>
      <c r="E2340" s="13" t="s">
        <v>4671</v>
      </c>
      <c r="F2340" s="43">
        <v>33</v>
      </c>
    </row>
    <row r="2341" spans="2:6" x14ac:dyDescent="0.25">
      <c r="B2341" s="13" t="s">
        <v>4672</v>
      </c>
      <c r="C2341" s="15" t="s">
        <v>167</v>
      </c>
      <c r="D2341" s="13" t="s">
        <v>166</v>
      </c>
      <c r="E2341" s="13" t="s">
        <v>4673</v>
      </c>
      <c r="F2341" s="43">
        <v>33</v>
      </c>
    </row>
    <row r="2342" spans="2:6" x14ac:dyDescent="0.25">
      <c r="B2342" s="13" t="s">
        <v>4674</v>
      </c>
      <c r="C2342" s="15" t="s">
        <v>167</v>
      </c>
      <c r="D2342" s="13" t="s">
        <v>166</v>
      </c>
      <c r="E2342" s="13" t="s">
        <v>4675</v>
      </c>
      <c r="F2342" s="43">
        <v>33</v>
      </c>
    </row>
    <row r="2343" spans="2:6" x14ac:dyDescent="0.25">
      <c r="B2343" s="13" t="s">
        <v>4676</v>
      </c>
      <c r="C2343" s="15" t="s">
        <v>167</v>
      </c>
      <c r="D2343" s="13" t="s">
        <v>166</v>
      </c>
      <c r="E2343" s="13" t="s">
        <v>4677</v>
      </c>
      <c r="F2343" s="43">
        <v>33</v>
      </c>
    </row>
    <row r="2344" spans="2:6" x14ac:dyDescent="0.25">
      <c r="B2344" s="13" t="s">
        <v>4678</v>
      </c>
      <c r="C2344" s="15" t="s">
        <v>167</v>
      </c>
      <c r="D2344" s="13" t="s">
        <v>166</v>
      </c>
      <c r="E2344" s="13" t="s">
        <v>4679</v>
      </c>
      <c r="F2344" s="43">
        <v>33</v>
      </c>
    </row>
    <row r="2345" spans="2:6" x14ac:dyDescent="0.25">
      <c r="B2345" s="13" t="s">
        <v>4680</v>
      </c>
      <c r="C2345" s="15" t="s">
        <v>167</v>
      </c>
      <c r="D2345" s="13" t="s">
        <v>166</v>
      </c>
      <c r="E2345" s="13" t="s">
        <v>4681</v>
      </c>
      <c r="F2345" s="43">
        <v>33</v>
      </c>
    </row>
    <row r="2346" spans="2:6" x14ac:dyDescent="0.25">
      <c r="B2346" s="13" t="s">
        <v>4682</v>
      </c>
      <c r="C2346" s="15" t="s">
        <v>167</v>
      </c>
      <c r="D2346" s="13" t="s">
        <v>166</v>
      </c>
      <c r="E2346" s="13" t="s">
        <v>4683</v>
      </c>
      <c r="F2346" s="43">
        <v>33</v>
      </c>
    </row>
    <row r="2347" spans="2:6" x14ac:dyDescent="0.25">
      <c r="B2347" s="13" t="s">
        <v>4684</v>
      </c>
      <c r="C2347" s="15" t="s">
        <v>167</v>
      </c>
      <c r="D2347" s="13" t="s">
        <v>166</v>
      </c>
      <c r="E2347" s="13" t="s">
        <v>4685</v>
      </c>
      <c r="F2347" s="43">
        <v>33</v>
      </c>
    </row>
    <row r="2348" spans="2:6" x14ac:dyDescent="0.25">
      <c r="B2348" s="13" t="s">
        <v>4686</v>
      </c>
      <c r="C2348" s="15" t="s">
        <v>167</v>
      </c>
      <c r="D2348" s="13" t="s">
        <v>166</v>
      </c>
      <c r="E2348" s="13" t="s">
        <v>4687</v>
      </c>
      <c r="F2348" s="43">
        <v>33</v>
      </c>
    </row>
    <row r="2349" spans="2:6" x14ac:dyDescent="0.25">
      <c r="B2349" s="13" t="s">
        <v>4688</v>
      </c>
      <c r="C2349" s="15" t="s">
        <v>167</v>
      </c>
      <c r="D2349" s="13" t="s">
        <v>166</v>
      </c>
      <c r="E2349" s="13" t="s">
        <v>4689</v>
      </c>
      <c r="F2349" s="43">
        <v>33</v>
      </c>
    </row>
    <row r="2350" spans="2:6" x14ac:dyDescent="0.25">
      <c r="B2350" s="13" t="s">
        <v>4690</v>
      </c>
      <c r="C2350" s="15" t="s">
        <v>167</v>
      </c>
      <c r="D2350" s="13" t="s">
        <v>166</v>
      </c>
      <c r="E2350" s="13" t="s">
        <v>4691</v>
      </c>
      <c r="F2350" s="43">
        <v>33</v>
      </c>
    </row>
    <row r="2351" spans="2:6" x14ac:dyDescent="0.25">
      <c r="B2351" s="13" t="s">
        <v>4692</v>
      </c>
      <c r="C2351" s="15" t="s">
        <v>167</v>
      </c>
      <c r="D2351" s="13" t="s">
        <v>166</v>
      </c>
      <c r="E2351" s="13" t="s">
        <v>4693</v>
      </c>
      <c r="F2351" s="43">
        <v>33</v>
      </c>
    </row>
    <row r="2352" spans="2:6" x14ac:dyDescent="0.25">
      <c r="B2352" s="13" t="s">
        <v>4694</v>
      </c>
      <c r="C2352" s="15" t="s">
        <v>167</v>
      </c>
      <c r="D2352" s="13" t="s">
        <v>166</v>
      </c>
      <c r="E2352" s="13" t="s">
        <v>4695</v>
      </c>
      <c r="F2352" s="43">
        <v>33</v>
      </c>
    </row>
    <row r="2353" spans="2:6" x14ac:dyDescent="0.25">
      <c r="B2353" s="13" t="s">
        <v>4696</v>
      </c>
      <c r="C2353" s="15" t="s">
        <v>167</v>
      </c>
      <c r="D2353" s="13" t="s">
        <v>166</v>
      </c>
      <c r="E2353" s="13" t="s">
        <v>4697</v>
      </c>
      <c r="F2353" s="43">
        <v>38</v>
      </c>
    </row>
    <row r="2354" spans="2:6" x14ac:dyDescent="0.25">
      <c r="B2354" s="13" t="s">
        <v>4698</v>
      </c>
      <c r="C2354" s="15" t="s">
        <v>167</v>
      </c>
      <c r="D2354" s="13" t="s">
        <v>166</v>
      </c>
      <c r="E2354" s="13" t="s">
        <v>4699</v>
      </c>
      <c r="F2354" s="43">
        <v>38</v>
      </c>
    </row>
    <row r="2355" spans="2:6" x14ac:dyDescent="0.25">
      <c r="B2355" s="13" t="s">
        <v>4700</v>
      </c>
      <c r="C2355" s="15" t="s">
        <v>167</v>
      </c>
      <c r="D2355" s="13" t="s">
        <v>166</v>
      </c>
      <c r="E2355" s="13" t="s">
        <v>4701</v>
      </c>
      <c r="F2355" s="43">
        <v>38</v>
      </c>
    </row>
    <row r="2356" spans="2:6" x14ac:dyDescent="0.25">
      <c r="B2356" s="13" t="s">
        <v>4702</v>
      </c>
      <c r="C2356" s="15" t="s">
        <v>167</v>
      </c>
      <c r="D2356" s="13" t="s">
        <v>166</v>
      </c>
      <c r="E2356" s="13" t="s">
        <v>4703</v>
      </c>
      <c r="F2356" s="43">
        <v>38</v>
      </c>
    </row>
    <row r="2357" spans="2:6" x14ac:dyDescent="0.25">
      <c r="B2357" s="13" t="s">
        <v>4704</v>
      </c>
      <c r="C2357" s="15" t="s">
        <v>167</v>
      </c>
      <c r="D2357" s="13" t="s">
        <v>166</v>
      </c>
      <c r="E2357" s="13" t="s">
        <v>4705</v>
      </c>
      <c r="F2357" s="43">
        <v>38</v>
      </c>
    </row>
    <row r="2358" spans="2:6" x14ac:dyDescent="0.25">
      <c r="B2358" s="13" t="s">
        <v>4706</v>
      </c>
      <c r="C2358" s="15" t="s">
        <v>167</v>
      </c>
      <c r="D2358" s="13" t="s">
        <v>166</v>
      </c>
      <c r="E2358" s="13" t="s">
        <v>4707</v>
      </c>
      <c r="F2358" s="43">
        <v>38</v>
      </c>
    </row>
    <row r="2359" spans="2:6" x14ac:dyDescent="0.25">
      <c r="B2359" s="13" t="s">
        <v>4708</v>
      </c>
      <c r="C2359" s="15" t="s">
        <v>167</v>
      </c>
      <c r="D2359" s="13" t="s">
        <v>166</v>
      </c>
      <c r="E2359" s="13" t="s">
        <v>4709</v>
      </c>
      <c r="F2359" s="43">
        <v>38</v>
      </c>
    </row>
    <row r="2360" spans="2:6" x14ac:dyDescent="0.25">
      <c r="B2360" s="13" t="s">
        <v>4710</v>
      </c>
      <c r="C2360" s="15" t="s">
        <v>167</v>
      </c>
      <c r="D2360" s="13" t="s">
        <v>166</v>
      </c>
      <c r="E2360" s="13" t="s">
        <v>4711</v>
      </c>
      <c r="F2360" s="43">
        <v>38</v>
      </c>
    </row>
    <row r="2361" spans="2:6" x14ac:dyDescent="0.25">
      <c r="B2361" s="13" t="s">
        <v>4712</v>
      </c>
      <c r="C2361" s="15" t="s">
        <v>167</v>
      </c>
      <c r="D2361" s="13" t="s">
        <v>166</v>
      </c>
      <c r="E2361" s="13" t="s">
        <v>4713</v>
      </c>
      <c r="F2361" s="43">
        <v>38</v>
      </c>
    </row>
    <row r="2362" spans="2:6" x14ac:dyDescent="0.25">
      <c r="B2362" s="13" t="s">
        <v>4714</v>
      </c>
      <c r="C2362" s="15" t="s">
        <v>167</v>
      </c>
      <c r="D2362" s="13" t="s">
        <v>166</v>
      </c>
      <c r="E2362" s="13" t="s">
        <v>4715</v>
      </c>
      <c r="F2362" s="43">
        <v>38</v>
      </c>
    </row>
    <row r="2363" spans="2:6" x14ac:dyDescent="0.25">
      <c r="B2363" s="13" t="s">
        <v>4716</v>
      </c>
      <c r="C2363" s="15" t="s">
        <v>167</v>
      </c>
      <c r="D2363" s="13" t="s">
        <v>166</v>
      </c>
      <c r="E2363" s="13" t="s">
        <v>4717</v>
      </c>
      <c r="F2363" s="43">
        <v>0</v>
      </c>
    </row>
    <row r="2364" spans="2:6" x14ac:dyDescent="0.25">
      <c r="B2364" s="13" t="s">
        <v>4718</v>
      </c>
      <c r="C2364" s="15" t="s">
        <v>167</v>
      </c>
      <c r="D2364" s="13" t="s">
        <v>166</v>
      </c>
      <c r="E2364" s="13" t="s">
        <v>4719</v>
      </c>
      <c r="F2364" s="43">
        <v>22.9</v>
      </c>
    </row>
    <row r="2365" spans="2:6" x14ac:dyDescent="0.25">
      <c r="B2365" s="13" t="s">
        <v>4720</v>
      </c>
      <c r="C2365" s="15" t="s">
        <v>167</v>
      </c>
      <c r="D2365" s="13" t="s">
        <v>166</v>
      </c>
      <c r="E2365" s="13" t="s">
        <v>4721</v>
      </c>
      <c r="F2365" s="43">
        <v>22.9</v>
      </c>
    </row>
    <row r="2366" spans="2:6" x14ac:dyDescent="0.25">
      <c r="B2366" s="13" t="s">
        <v>4722</v>
      </c>
      <c r="C2366" s="15" t="s">
        <v>167</v>
      </c>
      <c r="D2366" s="13" t="s">
        <v>166</v>
      </c>
      <c r="E2366" s="13" t="s">
        <v>4723</v>
      </c>
      <c r="F2366" s="43">
        <v>22.9</v>
      </c>
    </row>
    <row r="2367" spans="2:6" x14ac:dyDescent="0.25">
      <c r="B2367" s="13" t="s">
        <v>4724</v>
      </c>
      <c r="C2367" s="15" t="s">
        <v>167</v>
      </c>
      <c r="D2367" s="13" t="s">
        <v>166</v>
      </c>
      <c r="E2367" s="13" t="s">
        <v>4725</v>
      </c>
      <c r="F2367" s="43">
        <v>22.9</v>
      </c>
    </row>
    <row r="2368" spans="2:6" x14ac:dyDescent="0.25">
      <c r="B2368" s="13" t="s">
        <v>4726</v>
      </c>
      <c r="C2368" s="15" t="s">
        <v>167</v>
      </c>
      <c r="D2368" s="13" t="s">
        <v>166</v>
      </c>
      <c r="E2368" s="13" t="s">
        <v>4727</v>
      </c>
      <c r="F2368" s="43">
        <v>22.9</v>
      </c>
    </row>
    <row r="2369" spans="2:6" x14ac:dyDescent="0.25">
      <c r="B2369" s="13" t="s">
        <v>4728</v>
      </c>
      <c r="C2369" s="15" t="s">
        <v>167</v>
      </c>
      <c r="D2369" s="13" t="s">
        <v>166</v>
      </c>
      <c r="E2369" s="13" t="s">
        <v>4729</v>
      </c>
      <c r="F2369" s="43">
        <v>22.9</v>
      </c>
    </row>
    <row r="2370" spans="2:6" x14ac:dyDescent="0.25">
      <c r="B2370" s="13" t="s">
        <v>4730</v>
      </c>
      <c r="C2370" s="15" t="s">
        <v>167</v>
      </c>
      <c r="D2370" s="13" t="s">
        <v>166</v>
      </c>
      <c r="E2370" s="13" t="s">
        <v>4731</v>
      </c>
      <c r="F2370" s="43">
        <v>22.9</v>
      </c>
    </row>
    <row r="2371" spans="2:6" x14ac:dyDescent="0.25">
      <c r="B2371" s="13" t="s">
        <v>4732</v>
      </c>
      <c r="C2371" s="15" t="s">
        <v>167</v>
      </c>
      <c r="D2371" s="13" t="s">
        <v>166</v>
      </c>
      <c r="E2371" s="13" t="s">
        <v>4733</v>
      </c>
      <c r="F2371" s="43">
        <v>22.9</v>
      </c>
    </row>
    <row r="2372" spans="2:6" x14ac:dyDescent="0.25">
      <c r="B2372" s="13" t="s">
        <v>4734</v>
      </c>
      <c r="C2372" s="15" t="s">
        <v>167</v>
      </c>
      <c r="D2372" s="13" t="s">
        <v>166</v>
      </c>
      <c r="E2372" s="13" t="s">
        <v>4735</v>
      </c>
      <c r="F2372" s="43">
        <v>22.9</v>
      </c>
    </row>
    <row r="2373" spans="2:6" x14ac:dyDescent="0.25">
      <c r="B2373" s="13" t="s">
        <v>4736</v>
      </c>
      <c r="C2373" s="15" t="s">
        <v>167</v>
      </c>
      <c r="D2373" s="13" t="s">
        <v>166</v>
      </c>
      <c r="E2373" s="13" t="s">
        <v>4737</v>
      </c>
      <c r="F2373" s="43">
        <v>22.9</v>
      </c>
    </row>
    <row r="2374" spans="2:6" x14ac:dyDescent="0.25">
      <c r="B2374" s="13" t="s">
        <v>4738</v>
      </c>
      <c r="C2374" s="15" t="s">
        <v>167</v>
      </c>
      <c r="D2374" s="13" t="s">
        <v>166</v>
      </c>
      <c r="E2374" s="13" t="s">
        <v>4739</v>
      </c>
      <c r="F2374" s="43">
        <v>22.9</v>
      </c>
    </row>
    <row r="2375" spans="2:6" x14ac:dyDescent="0.25">
      <c r="B2375" s="13" t="s">
        <v>4740</v>
      </c>
      <c r="C2375" s="15" t="s">
        <v>167</v>
      </c>
      <c r="D2375" s="13" t="s">
        <v>166</v>
      </c>
      <c r="E2375" s="13" t="s">
        <v>4741</v>
      </c>
      <c r="F2375" s="43">
        <v>22.9</v>
      </c>
    </row>
    <row r="2376" spans="2:6" x14ac:dyDescent="0.25">
      <c r="B2376" s="13" t="s">
        <v>4742</v>
      </c>
      <c r="C2376" s="15" t="s">
        <v>167</v>
      </c>
      <c r="D2376" s="13" t="s">
        <v>166</v>
      </c>
      <c r="E2376" s="13" t="s">
        <v>4743</v>
      </c>
      <c r="F2376" s="43">
        <v>22.9</v>
      </c>
    </row>
    <row r="2377" spans="2:6" x14ac:dyDescent="0.25">
      <c r="B2377" s="13" t="s">
        <v>4744</v>
      </c>
      <c r="C2377" s="15" t="s">
        <v>167</v>
      </c>
      <c r="D2377" s="13" t="s">
        <v>166</v>
      </c>
      <c r="E2377" s="13" t="s">
        <v>4745</v>
      </c>
      <c r="F2377" s="43">
        <v>22.9</v>
      </c>
    </row>
    <row r="2378" spans="2:6" x14ac:dyDescent="0.25">
      <c r="B2378" s="13" t="s">
        <v>4746</v>
      </c>
      <c r="C2378" s="15" t="s">
        <v>167</v>
      </c>
      <c r="D2378" s="13" t="s">
        <v>166</v>
      </c>
      <c r="E2378" s="13" t="s">
        <v>4747</v>
      </c>
      <c r="F2378" s="43">
        <v>22.9</v>
      </c>
    </row>
    <row r="2379" spans="2:6" x14ac:dyDescent="0.25">
      <c r="B2379" s="13" t="s">
        <v>4748</v>
      </c>
      <c r="C2379" s="15" t="s">
        <v>167</v>
      </c>
      <c r="D2379" s="13" t="s">
        <v>166</v>
      </c>
      <c r="E2379" s="13" t="s">
        <v>4749</v>
      </c>
      <c r="F2379" s="43">
        <v>22.9</v>
      </c>
    </row>
    <row r="2380" spans="2:6" x14ac:dyDescent="0.25">
      <c r="B2380" s="13" t="s">
        <v>4750</v>
      </c>
      <c r="C2380" s="15" t="s">
        <v>167</v>
      </c>
      <c r="D2380" s="13" t="s">
        <v>166</v>
      </c>
      <c r="E2380" s="13" t="s">
        <v>4751</v>
      </c>
      <c r="F2380" s="43">
        <v>22.9</v>
      </c>
    </row>
    <row r="2381" spans="2:6" x14ac:dyDescent="0.25">
      <c r="B2381" s="13" t="s">
        <v>4752</v>
      </c>
      <c r="C2381" s="15" t="s">
        <v>167</v>
      </c>
      <c r="D2381" s="13" t="s">
        <v>166</v>
      </c>
      <c r="E2381" s="13" t="s">
        <v>4753</v>
      </c>
      <c r="F2381" s="43">
        <v>22.9</v>
      </c>
    </row>
    <row r="2382" spans="2:6" x14ac:dyDescent="0.25">
      <c r="B2382" s="13" t="s">
        <v>4754</v>
      </c>
      <c r="C2382" s="15" t="s">
        <v>167</v>
      </c>
      <c r="D2382" s="13" t="s">
        <v>166</v>
      </c>
      <c r="E2382" s="13" t="s">
        <v>4755</v>
      </c>
      <c r="F2382" s="43">
        <v>22.9</v>
      </c>
    </row>
    <row r="2383" spans="2:6" x14ac:dyDescent="0.25">
      <c r="B2383" s="13" t="s">
        <v>4756</v>
      </c>
      <c r="C2383" s="15" t="s">
        <v>167</v>
      </c>
      <c r="D2383" s="13" t="s">
        <v>166</v>
      </c>
      <c r="E2383" s="13" t="s">
        <v>4757</v>
      </c>
      <c r="F2383" s="43">
        <v>22.9</v>
      </c>
    </row>
    <row r="2384" spans="2:6" x14ac:dyDescent="0.25">
      <c r="B2384" s="13" t="s">
        <v>4758</v>
      </c>
      <c r="C2384" s="15" t="s">
        <v>167</v>
      </c>
      <c r="D2384" s="13" t="s">
        <v>166</v>
      </c>
      <c r="E2384" s="13" t="s">
        <v>4759</v>
      </c>
      <c r="F2384" s="43">
        <v>22.9</v>
      </c>
    </row>
    <row r="2385" spans="2:6" x14ac:dyDescent="0.25">
      <c r="B2385" s="13" t="s">
        <v>4760</v>
      </c>
      <c r="C2385" s="15" t="s">
        <v>167</v>
      </c>
      <c r="D2385" s="13" t="s">
        <v>166</v>
      </c>
      <c r="E2385" s="13" t="s">
        <v>4761</v>
      </c>
      <c r="F2385" s="43">
        <v>22.9</v>
      </c>
    </row>
    <row r="2386" spans="2:6" x14ac:dyDescent="0.25">
      <c r="B2386" s="13" t="s">
        <v>4762</v>
      </c>
      <c r="C2386" s="15" t="s">
        <v>167</v>
      </c>
      <c r="D2386" s="13" t="s">
        <v>166</v>
      </c>
      <c r="E2386" s="13" t="s">
        <v>4763</v>
      </c>
      <c r="F2386" s="43">
        <v>0</v>
      </c>
    </row>
    <row r="2387" spans="2:6" x14ac:dyDescent="0.25">
      <c r="B2387" s="13" t="s">
        <v>4764</v>
      </c>
      <c r="C2387" s="15" t="s">
        <v>167</v>
      </c>
      <c r="D2387" s="13" t="s">
        <v>166</v>
      </c>
      <c r="E2387" s="13" t="s">
        <v>4765</v>
      </c>
      <c r="F2387" s="43">
        <v>0</v>
      </c>
    </row>
    <row r="2388" spans="2:6" x14ac:dyDescent="0.25">
      <c r="B2388" s="13" t="s">
        <v>4766</v>
      </c>
      <c r="C2388" s="15" t="s">
        <v>167</v>
      </c>
      <c r="D2388" s="13" t="s">
        <v>166</v>
      </c>
      <c r="E2388" s="13" t="s">
        <v>4767</v>
      </c>
      <c r="F2388" s="43">
        <v>0</v>
      </c>
    </row>
    <row r="2389" spans="2:6" x14ac:dyDescent="0.25">
      <c r="B2389" s="13" t="s">
        <v>4768</v>
      </c>
      <c r="C2389" s="15" t="s">
        <v>167</v>
      </c>
      <c r="D2389" s="13" t="s">
        <v>166</v>
      </c>
      <c r="E2389" s="13" t="s">
        <v>4769</v>
      </c>
      <c r="F2389" s="43">
        <v>0</v>
      </c>
    </row>
    <row r="2390" spans="2:6" x14ac:dyDescent="0.25">
      <c r="B2390" s="13" t="s">
        <v>4770</v>
      </c>
      <c r="C2390" s="15" t="s">
        <v>135</v>
      </c>
      <c r="D2390" s="13" t="s">
        <v>134</v>
      </c>
      <c r="E2390" s="13" t="s">
        <v>4771</v>
      </c>
      <c r="F2390" s="43">
        <v>1.17</v>
      </c>
    </row>
    <row r="2391" spans="2:6" x14ac:dyDescent="0.25">
      <c r="B2391" s="13" t="s">
        <v>4772</v>
      </c>
      <c r="C2391" s="15" t="s">
        <v>135</v>
      </c>
      <c r="D2391" s="13" t="s">
        <v>134</v>
      </c>
      <c r="E2391" s="13" t="s">
        <v>4773</v>
      </c>
      <c r="F2391" s="43">
        <v>1.17</v>
      </c>
    </row>
    <row r="2392" spans="2:6" x14ac:dyDescent="0.25">
      <c r="B2392" s="13" t="s">
        <v>4774</v>
      </c>
      <c r="C2392" s="15" t="s">
        <v>135</v>
      </c>
      <c r="D2392" s="13" t="s">
        <v>134</v>
      </c>
      <c r="E2392" s="13" t="s">
        <v>4775</v>
      </c>
      <c r="F2392" s="43">
        <v>2.0099999999999998</v>
      </c>
    </row>
    <row r="2393" spans="2:6" x14ac:dyDescent="0.25">
      <c r="B2393" s="13" t="s">
        <v>4776</v>
      </c>
      <c r="C2393" s="15" t="s">
        <v>135</v>
      </c>
      <c r="D2393" s="13" t="s">
        <v>134</v>
      </c>
      <c r="E2393" s="13" t="s">
        <v>4777</v>
      </c>
      <c r="F2393" s="43">
        <v>1.97</v>
      </c>
    </row>
    <row r="2394" spans="2:6" x14ac:dyDescent="0.25">
      <c r="B2394" s="13" t="s">
        <v>4778</v>
      </c>
      <c r="C2394" s="15" t="s">
        <v>135</v>
      </c>
      <c r="D2394" s="13" t="s">
        <v>134</v>
      </c>
      <c r="E2394" s="13" t="s">
        <v>4779</v>
      </c>
      <c r="F2394" s="43">
        <v>3.32</v>
      </c>
    </row>
    <row r="2395" spans="2:6" x14ac:dyDescent="0.25">
      <c r="B2395" s="13" t="s">
        <v>4780</v>
      </c>
      <c r="C2395" s="15" t="s">
        <v>135</v>
      </c>
      <c r="D2395" s="13" t="s">
        <v>134</v>
      </c>
      <c r="E2395" s="13" t="s">
        <v>4781</v>
      </c>
      <c r="F2395" s="43">
        <v>5.72</v>
      </c>
    </row>
    <row r="2396" spans="2:6" x14ac:dyDescent="0.25">
      <c r="B2396" s="13" t="s">
        <v>4782</v>
      </c>
      <c r="C2396" s="15" t="s">
        <v>135</v>
      </c>
      <c r="D2396" s="13" t="s">
        <v>134</v>
      </c>
      <c r="E2396" s="13" t="s">
        <v>4783</v>
      </c>
      <c r="F2396" s="43">
        <v>8.5399999999999991</v>
      </c>
    </row>
    <row r="2397" spans="2:6" x14ac:dyDescent="0.25">
      <c r="B2397" s="13" t="s">
        <v>4784</v>
      </c>
      <c r="C2397" s="15" t="s">
        <v>135</v>
      </c>
      <c r="D2397" s="13" t="s">
        <v>134</v>
      </c>
      <c r="E2397" s="13" t="s">
        <v>4785</v>
      </c>
      <c r="F2397" s="43">
        <v>15.55</v>
      </c>
    </row>
    <row r="2398" spans="2:6" x14ac:dyDescent="0.25">
      <c r="B2398" s="13" t="s">
        <v>4786</v>
      </c>
      <c r="C2398" s="15" t="s">
        <v>135</v>
      </c>
      <c r="D2398" s="13" t="s">
        <v>134</v>
      </c>
      <c r="E2398" s="13" t="s">
        <v>4787</v>
      </c>
      <c r="F2398" s="43">
        <v>50.15</v>
      </c>
    </row>
    <row r="2399" spans="2:6" x14ac:dyDescent="0.25">
      <c r="B2399" s="13" t="s">
        <v>4788</v>
      </c>
      <c r="C2399" s="15" t="s">
        <v>135</v>
      </c>
      <c r="D2399" s="13" t="s">
        <v>134</v>
      </c>
      <c r="E2399" s="13" t="s">
        <v>4789</v>
      </c>
      <c r="F2399" s="43">
        <v>97.29</v>
      </c>
    </row>
    <row r="2400" spans="2:6" x14ac:dyDescent="0.25">
      <c r="B2400" s="13" t="s">
        <v>4790</v>
      </c>
      <c r="C2400" s="15" t="s">
        <v>135</v>
      </c>
      <c r="D2400" s="13" t="s">
        <v>134</v>
      </c>
      <c r="E2400" s="13" t="s">
        <v>4791</v>
      </c>
      <c r="F2400" s="43">
        <v>1.0900000000000001</v>
      </c>
    </row>
    <row r="2401" spans="2:6" x14ac:dyDescent="0.25">
      <c r="B2401" s="13" t="s">
        <v>4792</v>
      </c>
      <c r="C2401" s="15" t="s">
        <v>135</v>
      </c>
      <c r="D2401" s="13" t="s">
        <v>134</v>
      </c>
      <c r="E2401" s="13" t="s">
        <v>4793</v>
      </c>
      <c r="F2401" s="43">
        <v>1.1200000000000001</v>
      </c>
    </row>
    <row r="2402" spans="2:6" x14ac:dyDescent="0.25">
      <c r="B2402" s="13" t="s">
        <v>4794</v>
      </c>
      <c r="C2402" s="15" t="s">
        <v>135</v>
      </c>
      <c r="D2402" s="13" t="s">
        <v>134</v>
      </c>
      <c r="E2402" s="13" t="s">
        <v>4795</v>
      </c>
      <c r="F2402" s="43">
        <v>1.6</v>
      </c>
    </row>
    <row r="2403" spans="2:6" x14ac:dyDescent="0.25">
      <c r="B2403" s="13" t="s">
        <v>4796</v>
      </c>
      <c r="C2403" s="15" t="s">
        <v>135</v>
      </c>
      <c r="D2403" s="13" t="s">
        <v>134</v>
      </c>
      <c r="E2403" s="13" t="s">
        <v>4797</v>
      </c>
      <c r="F2403" s="43">
        <v>2.25</v>
      </c>
    </row>
    <row r="2404" spans="2:6" x14ac:dyDescent="0.25">
      <c r="B2404" s="13" t="s">
        <v>4798</v>
      </c>
      <c r="C2404" s="15" t="s">
        <v>135</v>
      </c>
      <c r="D2404" s="13" t="s">
        <v>134</v>
      </c>
      <c r="E2404" s="13" t="s">
        <v>4799</v>
      </c>
      <c r="F2404" s="43">
        <v>3.37</v>
      </c>
    </row>
    <row r="2405" spans="2:6" x14ac:dyDescent="0.25">
      <c r="B2405" s="13" t="s">
        <v>4800</v>
      </c>
      <c r="C2405" s="15" t="s">
        <v>135</v>
      </c>
      <c r="D2405" s="13" t="s">
        <v>134</v>
      </c>
      <c r="E2405" s="13" t="s">
        <v>4801</v>
      </c>
      <c r="F2405" s="43">
        <v>5.6</v>
      </c>
    </row>
    <row r="2406" spans="2:6" x14ac:dyDescent="0.25">
      <c r="B2406" s="13" t="s">
        <v>4802</v>
      </c>
      <c r="C2406" s="15" t="s">
        <v>135</v>
      </c>
      <c r="D2406" s="13" t="s">
        <v>134</v>
      </c>
      <c r="E2406" s="13" t="s">
        <v>4803</v>
      </c>
      <c r="F2406" s="43">
        <v>11.19</v>
      </c>
    </row>
    <row r="2407" spans="2:6" x14ac:dyDescent="0.25">
      <c r="B2407" s="13" t="s">
        <v>4804</v>
      </c>
      <c r="C2407" s="15" t="s">
        <v>135</v>
      </c>
      <c r="D2407" s="13" t="s">
        <v>134</v>
      </c>
      <c r="E2407" s="13" t="s">
        <v>4805</v>
      </c>
      <c r="F2407" s="43">
        <v>19.010000000000002</v>
      </c>
    </row>
    <row r="2408" spans="2:6" x14ac:dyDescent="0.25">
      <c r="B2408" s="13" t="s">
        <v>4806</v>
      </c>
      <c r="C2408" s="15" t="s">
        <v>135</v>
      </c>
      <c r="D2408" s="13" t="s">
        <v>134</v>
      </c>
      <c r="E2408" s="13" t="s">
        <v>4807</v>
      </c>
      <c r="F2408" s="43">
        <v>9.8000000000000007</v>
      </c>
    </row>
    <row r="2409" spans="2:6" x14ac:dyDescent="0.25">
      <c r="B2409" s="13" t="s">
        <v>4808</v>
      </c>
      <c r="C2409" s="15" t="s">
        <v>135</v>
      </c>
      <c r="D2409" s="13" t="s">
        <v>134</v>
      </c>
      <c r="E2409" s="13" t="s">
        <v>4809</v>
      </c>
      <c r="F2409" s="43">
        <v>0.64</v>
      </c>
    </row>
    <row r="2410" spans="2:6" x14ac:dyDescent="0.25">
      <c r="B2410" s="13" t="s">
        <v>4810</v>
      </c>
      <c r="C2410" s="15" t="s">
        <v>135</v>
      </c>
      <c r="D2410" s="13" t="s">
        <v>134</v>
      </c>
      <c r="E2410" s="13" t="s">
        <v>4811</v>
      </c>
      <c r="F2410" s="43">
        <v>0.83</v>
      </c>
    </row>
    <row r="2411" spans="2:6" x14ac:dyDescent="0.25">
      <c r="B2411" s="13" t="s">
        <v>4812</v>
      </c>
      <c r="C2411" s="15" t="s">
        <v>135</v>
      </c>
      <c r="D2411" s="13" t="s">
        <v>134</v>
      </c>
      <c r="E2411" s="13" t="s">
        <v>4813</v>
      </c>
      <c r="F2411" s="43">
        <v>1.19</v>
      </c>
    </row>
    <row r="2412" spans="2:6" x14ac:dyDescent="0.25">
      <c r="B2412" s="13" t="s">
        <v>4814</v>
      </c>
      <c r="C2412" s="15" t="s">
        <v>135</v>
      </c>
      <c r="D2412" s="13" t="s">
        <v>134</v>
      </c>
      <c r="E2412" s="13" t="s">
        <v>4815</v>
      </c>
      <c r="F2412" s="43">
        <v>1.6</v>
      </c>
    </row>
    <row r="2413" spans="2:6" x14ac:dyDescent="0.25">
      <c r="B2413" s="13" t="s">
        <v>4816</v>
      </c>
      <c r="C2413" s="15" t="s">
        <v>135</v>
      </c>
      <c r="D2413" s="13" t="s">
        <v>134</v>
      </c>
      <c r="E2413" s="13" t="s">
        <v>4817</v>
      </c>
      <c r="F2413" s="43">
        <v>1.87</v>
      </c>
    </row>
    <row r="2414" spans="2:6" x14ac:dyDescent="0.25">
      <c r="B2414" s="13" t="s">
        <v>4818</v>
      </c>
      <c r="C2414" s="15" t="s">
        <v>135</v>
      </c>
      <c r="D2414" s="13" t="s">
        <v>134</v>
      </c>
      <c r="E2414" s="13" t="s">
        <v>4819</v>
      </c>
      <c r="F2414" s="43">
        <v>2.42</v>
      </c>
    </row>
    <row r="2415" spans="2:6" x14ac:dyDescent="0.25">
      <c r="B2415" s="13" t="s">
        <v>4820</v>
      </c>
      <c r="C2415" s="15" t="s">
        <v>135</v>
      </c>
      <c r="D2415" s="13" t="s">
        <v>134</v>
      </c>
      <c r="E2415" s="13" t="s">
        <v>4821</v>
      </c>
      <c r="F2415" s="43">
        <v>4.7300000000000004</v>
      </c>
    </row>
    <row r="2416" spans="2:6" x14ac:dyDescent="0.25">
      <c r="B2416" s="13" t="s">
        <v>4822</v>
      </c>
      <c r="C2416" s="15" t="s">
        <v>135</v>
      </c>
      <c r="D2416" s="13" t="s">
        <v>134</v>
      </c>
      <c r="E2416" s="13" t="s">
        <v>4823</v>
      </c>
      <c r="F2416" s="43">
        <v>0.8</v>
      </c>
    </row>
    <row r="2417" spans="2:6" x14ac:dyDescent="0.25">
      <c r="B2417" s="13" t="s">
        <v>4824</v>
      </c>
      <c r="C2417" s="15" t="s">
        <v>135</v>
      </c>
      <c r="D2417" s="13" t="s">
        <v>134</v>
      </c>
      <c r="E2417" s="13" t="s">
        <v>4825</v>
      </c>
      <c r="F2417" s="43">
        <v>1.18</v>
      </c>
    </row>
    <row r="2418" spans="2:6" x14ac:dyDescent="0.25">
      <c r="B2418" s="13" t="s">
        <v>4826</v>
      </c>
      <c r="C2418" s="15" t="s">
        <v>135</v>
      </c>
      <c r="D2418" s="13" t="s">
        <v>134</v>
      </c>
      <c r="E2418" s="13" t="s">
        <v>4827</v>
      </c>
      <c r="F2418" s="43">
        <v>1.87</v>
      </c>
    </row>
    <row r="2419" spans="2:6" x14ac:dyDescent="0.25">
      <c r="B2419" s="13" t="s">
        <v>4828</v>
      </c>
      <c r="C2419" s="15" t="s">
        <v>135</v>
      </c>
      <c r="D2419" s="13" t="s">
        <v>134</v>
      </c>
      <c r="E2419" s="13" t="s">
        <v>4829</v>
      </c>
      <c r="F2419" s="43">
        <v>2.37</v>
      </c>
    </row>
    <row r="2420" spans="2:6" x14ac:dyDescent="0.25">
      <c r="B2420" s="13" t="s">
        <v>4830</v>
      </c>
      <c r="C2420" s="15" t="s">
        <v>135</v>
      </c>
      <c r="D2420" s="13" t="s">
        <v>134</v>
      </c>
      <c r="E2420" s="13" t="s">
        <v>4831</v>
      </c>
      <c r="F2420" s="43">
        <v>3.59</v>
      </c>
    </row>
    <row r="2421" spans="2:6" x14ac:dyDescent="0.25">
      <c r="B2421" s="13" t="s">
        <v>4832</v>
      </c>
      <c r="C2421" s="15" t="s">
        <v>135</v>
      </c>
      <c r="D2421" s="13" t="s">
        <v>134</v>
      </c>
      <c r="E2421" s="13" t="s">
        <v>4833</v>
      </c>
      <c r="F2421" s="43">
        <v>6.32</v>
      </c>
    </row>
    <row r="2422" spans="2:6" x14ac:dyDescent="0.25">
      <c r="B2422" s="13" t="s">
        <v>4834</v>
      </c>
      <c r="C2422" s="15" t="s">
        <v>135</v>
      </c>
      <c r="D2422" s="13" t="s">
        <v>134</v>
      </c>
      <c r="E2422" s="13" t="s">
        <v>4835</v>
      </c>
      <c r="F2422" s="43">
        <v>11.09</v>
      </c>
    </row>
    <row r="2423" spans="2:6" x14ac:dyDescent="0.25">
      <c r="B2423" s="13" t="s">
        <v>4836</v>
      </c>
      <c r="C2423" s="15" t="s">
        <v>135</v>
      </c>
      <c r="D2423" s="13" t="s">
        <v>134</v>
      </c>
      <c r="E2423" s="13" t="s">
        <v>4837</v>
      </c>
      <c r="F2423" s="43">
        <v>18.16</v>
      </c>
    </row>
    <row r="2424" spans="2:6" x14ac:dyDescent="0.25">
      <c r="B2424" s="13" t="s">
        <v>4838</v>
      </c>
      <c r="C2424" s="15" t="s">
        <v>135</v>
      </c>
      <c r="D2424" s="13" t="s">
        <v>134</v>
      </c>
      <c r="E2424" s="13" t="s">
        <v>4839</v>
      </c>
      <c r="F2424" s="43">
        <v>41.92</v>
      </c>
    </row>
    <row r="2425" spans="2:6" x14ac:dyDescent="0.25">
      <c r="B2425" s="13" t="s">
        <v>4840</v>
      </c>
      <c r="C2425" s="15" t="s">
        <v>135</v>
      </c>
      <c r="D2425" s="13" t="s">
        <v>134</v>
      </c>
      <c r="E2425" s="13" t="s">
        <v>4841</v>
      </c>
      <c r="F2425" s="43">
        <v>122.34</v>
      </c>
    </row>
    <row r="2426" spans="2:6" x14ac:dyDescent="0.25">
      <c r="B2426" s="13" t="s">
        <v>4842</v>
      </c>
      <c r="C2426" s="15" t="s">
        <v>135</v>
      </c>
      <c r="D2426" s="13" t="s">
        <v>134</v>
      </c>
      <c r="E2426" s="13" t="s">
        <v>4843</v>
      </c>
      <c r="F2426" s="43">
        <v>178.11</v>
      </c>
    </row>
    <row r="2427" spans="2:6" x14ac:dyDescent="0.25">
      <c r="B2427" s="13" t="s">
        <v>4844</v>
      </c>
      <c r="C2427" s="15" t="s">
        <v>135</v>
      </c>
      <c r="D2427" s="13" t="s">
        <v>134</v>
      </c>
      <c r="E2427" s="13" t="s">
        <v>4845</v>
      </c>
      <c r="F2427" s="43">
        <v>0.68</v>
      </c>
    </row>
    <row r="2428" spans="2:6" x14ac:dyDescent="0.25">
      <c r="B2428" s="13" t="s">
        <v>4846</v>
      </c>
      <c r="C2428" s="15" t="s">
        <v>135</v>
      </c>
      <c r="D2428" s="13" t="s">
        <v>134</v>
      </c>
      <c r="E2428" s="13" t="s">
        <v>4847</v>
      </c>
      <c r="F2428" s="43">
        <v>1.27</v>
      </c>
    </row>
    <row r="2429" spans="2:6" x14ac:dyDescent="0.25">
      <c r="B2429" s="13" t="s">
        <v>4848</v>
      </c>
      <c r="C2429" s="15" t="s">
        <v>135</v>
      </c>
      <c r="D2429" s="13" t="s">
        <v>134</v>
      </c>
      <c r="E2429" s="13" t="s">
        <v>4849</v>
      </c>
      <c r="F2429" s="43">
        <v>1.42</v>
      </c>
    </row>
    <row r="2430" spans="2:6" x14ac:dyDescent="0.25">
      <c r="B2430" s="13" t="s">
        <v>4850</v>
      </c>
      <c r="C2430" s="15" t="s">
        <v>135</v>
      </c>
      <c r="D2430" s="13" t="s">
        <v>134</v>
      </c>
      <c r="E2430" s="13" t="s">
        <v>4851</v>
      </c>
      <c r="F2430" s="43">
        <v>2.12</v>
      </c>
    </row>
    <row r="2431" spans="2:6" x14ac:dyDescent="0.25">
      <c r="B2431" s="13" t="s">
        <v>4852</v>
      </c>
      <c r="C2431" s="15" t="s">
        <v>135</v>
      </c>
      <c r="D2431" s="13" t="s">
        <v>134</v>
      </c>
      <c r="E2431" s="13" t="s">
        <v>4853</v>
      </c>
      <c r="F2431" s="43">
        <v>2.63</v>
      </c>
    </row>
    <row r="2432" spans="2:6" x14ac:dyDescent="0.25">
      <c r="B2432" s="13" t="s">
        <v>4854</v>
      </c>
      <c r="C2432" s="15" t="s">
        <v>135</v>
      </c>
      <c r="D2432" s="13" t="s">
        <v>134</v>
      </c>
      <c r="E2432" s="13" t="s">
        <v>4855</v>
      </c>
      <c r="F2432" s="43">
        <v>5.31</v>
      </c>
    </row>
    <row r="2433" spans="2:6" x14ac:dyDescent="0.25">
      <c r="B2433" s="13" t="s">
        <v>4856</v>
      </c>
      <c r="C2433" s="15" t="s">
        <v>135</v>
      </c>
      <c r="D2433" s="13" t="s">
        <v>134</v>
      </c>
      <c r="E2433" s="13" t="s">
        <v>4857</v>
      </c>
      <c r="F2433" s="43">
        <v>69.790000000000006</v>
      </c>
    </row>
    <row r="2434" spans="2:6" x14ac:dyDescent="0.25">
      <c r="B2434" s="13" t="s">
        <v>4858</v>
      </c>
      <c r="C2434" s="15" t="s">
        <v>135</v>
      </c>
      <c r="D2434" s="13" t="s">
        <v>134</v>
      </c>
      <c r="E2434" s="13" t="s">
        <v>4859</v>
      </c>
      <c r="F2434" s="43">
        <v>132.97</v>
      </c>
    </row>
    <row r="2435" spans="2:6" x14ac:dyDescent="0.25">
      <c r="B2435" s="13" t="s">
        <v>4860</v>
      </c>
      <c r="C2435" s="15" t="s">
        <v>135</v>
      </c>
      <c r="D2435" s="13" t="s">
        <v>134</v>
      </c>
      <c r="E2435" s="13" t="s">
        <v>4861</v>
      </c>
      <c r="F2435" s="43">
        <v>1.28</v>
      </c>
    </row>
    <row r="2436" spans="2:6" x14ac:dyDescent="0.25">
      <c r="B2436" s="13" t="s">
        <v>4862</v>
      </c>
      <c r="C2436" s="15" t="s">
        <v>135</v>
      </c>
      <c r="D2436" s="13" t="s">
        <v>134</v>
      </c>
      <c r="E2436" s="13" t="s">
        <v>4863</v>
      </c>
      <c r="F2436" s="43">
        <v>1.75</v>
      </c>
    </row>
    <row r="2437" spans="2:6" x14ac:dyDescent="0.25">
      <c r="B2437" s="13" t="s">
        <v>4864</v>
      </c>
      <c r="C2437" s="15" t="s">
        <v>135</v>
      </c>
      <c r="D2437" s="13" t="s">
        <v>134</v>
      </c>
      <c r="E2437" s="13" t="s">
        <v>4865</v>
      </c>
      <c r="F2437" s="43">
        <v>2.66</v>
      </c>
    </row>
    <row r="2438" spans="2:6" x14ac:dyDescent="0.25">
      <c r="B2438" s="13" t="s">
        <v>4866</v>
      </c>
      <c r="C2438" s="15" t="s">
        <v>135</v>
      </c>
      <c r="D2438" s="13" t="s">
        <v>134</v>
      </c>
      <c r="E2438" s="13" t="s">
        <v>4867</v>
      </c>
      <c r="F2438" s="43">
        <v>2.71</v>
      </c>
    </row>
    <row r="2439" spans="2:6" x14ac:dyDescent="0.25">
      <c r="B2439" s="13" t="s">
        <v>4868</v>
      </c>
      <c r="C2439" s="15" t="s">
        <v>135</v>
      </c>
      <c r="D2439" s="13" t="s">
        <v>134</v>
      </c>
      <c r="E2439" s="13" t="s">
        <v>4869</v>
      </c>
      <c r="F2439" s="43">
        <v>5.56</v>
      </c>
    </row>
    <row r="2440" spans="2:6" x14ac:dyDescent="0.25">
      <c r="B2440" s="13" t="s">
        <v>4870</v>
      </c>
      <c r="C2440" s="15" t="s">
        <v>135</v>
      </c>
      <c r="D2440" s="13" t="s">
        <v>134</v>
      </c>
      <c r="E2440" s="13" t="s">
        <v>4871</v>
      </c>
      <c r="F2440" s="43">
        <v>8.2799999999999994</v>
      </c>
    </row>
    <row r="2441" spans="2:6" x14ac:dyDescent="0.25">
      <c r="B2441" s="13" t="s">
        <v>4872</v>
      </c>
      <c r="C2441" s="15" t="s">
        <v>135</v>
      </c>
      <c r="D2441" s="13" t="s">
        <v>134</v>
      </c>
      <c r="E2441" s="13" t="s">
        <v>4873</v>
      </c>
      <c r="F2441" s="43">
        <v>18.66</v>
      </c>
    </row>
    <row r="2442" spans="2:6" x14ac:dyDescent="0.25">
      <c r="B2442" s="13" t="s">
        <v>4874</v>
      </c>
      <c r="C2442" s="15" t="s">
        <v>135</v>
      </c>
      <c r="D2442" s="13" t="s">
        <v>134</v>
      </c>
      <c r="E2442" s="13" t="s">
        <v>4875</v>
      </c>
      <c r="F2442" s="43">
        <v>66.44</v>
      </c>
    </row>
    <row r="2443" spans="2:6" x14ac:dyDescent="0.25">
      <c r="B2443" s="13" t="s">
        <v>4876</v>
      </c>
      <c r="C2443" s="15" t="s">
        <v>135</v>
      </c>
      <c r="D2443" s="13" t="s">
        <v>134</v>
      </c>
      <c r="E2443" s="13" t="s">
        <v>4877</v>
      </c>
      <c r="F2443" s="43">
        <v>137.91</v>
      </c>
    </row>
    <row r="2444" spans="2:6" x14ac:dyDescent="0.25">
      <c r="B2444" s="13" t="s">
        <v>4878</v>
      </c>
      <c r="C2444" s="15" t="s">
        <v>135</v>
      </c>
      <c r="D2444" s="13" t="s">
        <v>134</v>
      </c>
      <c r="E2444" s="13" t="s">
        <v>4879</v>
      </c>
      <c r="F2444" s="43">
        <v>1.06</v>
      </c>
    </row>
    <row r="2445" spans="2:6" x14ac:dyDescent="0.25">
      <c r="B2445" s="13" t="s">
        <v>4880</v>
      </c>
      <c r="C2445" s="15" t="s">
        <v>135</v>
      </c>
      <c r="D2445" s="13" t="s">
        <v>134</v>
      </c>
      <c r="E2445" s="13" t="s">
        <v>4881</v>
      </c>
      <c r="F2445" s="43">
        <v>1.24</v>
      </c>
    </row>
    <row r="2446" spans="2:6" x14ac:dyDescent="0.25">
      <c r="B2446" s="13" t="s">
        <v>4882</v>
      </c>
      <c r="C2446" s="15" t="s">
        <v>135</v>
      </c>
      <c r="D2446" s="13" t="s">
        <v>134</v>
      </c>
      <c r="E2446" s="13" t="s">
        <v>4883</v>
      </c>
      <c r="F2446" s="43">
        <v>1.46</v>
      </c>
    </row>
    <row r="2447" spans="2:6" x14ac:dyDescent="0.25">
      <c r="B2447" s="13" t="s">
        <v>4884</v>
      </c>
      <c r="C2447" s="15" t="s">
        <v>135</v>
      </c>
      <c r="D2447" s="13" t="s">
        <v>134</v>
      </c>
      <c r="E2447" s="13" t="s">
        <v>4885</v>
      </c>
      <c r="F2447" s="43">
        <v>1.87</v>
      </c>
    </row>
    <row r="2448" spans="2:6" x14ac:dyDescent="0.25">
      <c r="B2448" s="13" t="s">
        <v>4886</v>
      </c>
      <c r="C2448" s="15" t="s">
        <v>135</v>
      </c>
      <c r="D2448" s="13" t="s">
        <v>134</v>
      </c>
      <c r="E2448" s="13" t="s">
        <v>4887</v>
      </c>
      <c r="F2448" s="43">
        <v>2.74</v>
      </c>
    </row>
    <row r="2449" spans="2:6" x14ac:dyDescent="0.25">
      <c r="B2449" s="13" t="s">
        <v>4888</v>
      </c>
      <c r="C2449" s="15" t="s">
        <v>135</v>
      </c>
      <c r="D2449" s="13" t="s">
        <v>134</v>
      </c>
      <c r="E2449" s="13" t="s">
        <v>4889</v>
      </c>
      <c r="F2449" s="43">
        <v>3.07</v>
      </c>
    </row>
    <row r="2450" spans="2:6" x14ac:dyDescent="0.25">
      <c r="B2450" s="13" t="s">
        <v>4890</v>
      </c>
      <c r="C2450" s="15" t="s">
        <v>135</v>
      </c>
      <c r="D2450" s="13" t="s">
        <v>134</v>
      </c>
      <c r="E2450" s="13" t="s">
        <v>4891</v>
      </c>
      <c r="F2450" s="43">
        <v>6.57</v>
      </c>
    </row>
    <row r="2451" spans="2:6" x14ac:dyDescent="0.25">
      <c r="B2451" s="13" t="s">
        <v>4892</v>
      </c>
      <c r="C2451" s="15" t="s">
        <v>135</v>
      </c>
      <c r="D2451" s="13" t="s">
        <v>134</v>
      </c>
      <c r="E2451" s="13" t="s">
        <v>4893</v>
      </c>
      <c r="F2451" s="43">
        <v>16.93</v>
      </c>
    </row>
    <row r="2452" spans="2:6" x14ac:dyDescent="0.25">
      <c r="B2452" s="13" t="s">
        <v>4894</v>
      </c>
      <c r="C2452" s="15" t="s">
        <v>135</v>
      </c>
      <c r="D2452" s="13" t="s">
        <v>134</v>
      </c>
      <c r="E2452" s="13" t="s">
        <v>4895</v>
      </c>
      <c r="F2452" s="43">
        <v>24.86</v>
      </c>
    </row>
    <row r="2453" spans="2:6" x14ac:dyDescent="0.25">
      <c r="B2453" s="13" t="s">
        <v>4896</v>
      </c>
      <c r="C2453" s="15" t="s">
        <v>135</v>
      </c>
      <c r="D2453" s="13" t="s">
        <v>134</v>
      </c>
      <c r="E2453" s="13" t="s">
        <v>4897</v>
      </c>
      <c r="F2453" s="43">
        <v>1.38</v>
      </c>
    </row>
    <row r="2454" spans="2:6" x14ac:dyDescent="0.25">
      <c r="B2454" s="13" t="s">
        <v>4898</v>
      </c>
      <c r="C2454" s="15" t="s">
        <v>135</v>
      </c>
      <c r="D2454" s="13" t="s">
        <v>134</v>
      </c>
      <c r="E2454" s="13" t="s">
        <v>4899</v>
      </c>
      <c r="F2454" s="43">
        <v>1.58</v>
      </c>
    </row>
    <row r="2455" spans="2:6" x14ac:dyDescent="0.25">
      <c r="B2455" s="13" t="s">
        <v>4900</v>
      </c>
      <c r="C2455" s="15" t="s">
        <v>135</v>
      </c>
      <c r="D2455" s="13" t="s">
        <v>134</v>
      </c>
      <c r="E2455" s="13" t="s">
        <v>4901</v>
      </c>
      <c r="F2455" s="43">
        <v>2.42</v>
      </c>
    </row>
    <row r="2456" spans="2:6" x14ac:dyDescent="0.25">
      <c r="B2456" s="13" t="s">
        <v>4902</v>
      </c>
      <c r="C2456" s="15" t="s">
        <v>135</v>
      </c>
      <c r="D2456" s="13" t="s">
        <v>134</v>
      </c>
      <c r="E2456" s="13" t="s">
        <v>4903</v>
      </c>
      <c r="F2456" s="43">
        <v>2.4700000000000002</v>
      </c>
    </row>
    <row r="2457" spans="2:6" x14ac:dyDescent="0.25">
      <c r="B2457" s="13" t="s">
        <v>4904</v>
      </c>
      <c r="C2457" s="15" t="s">
        <v>135</v>
      </c>
      <c r="D2457" s="13" t="s">
        <v>134</v>
      </c>
      <c r="E2457" s="13" t="s">
        <v>4905</v>
      </c>
      <c r="F2457" s="43">
        <v>5.52</v>
      </c>
    </row>
    <row r="2458" spans="2:6" x14ac:dyDescent="0.25">
      <c r="B2458" s="13" t="s">
        <v>4906</v>
      </c>
      <c r="C2458" s="15" t="s">
        <v>135</v>
      </c>
      <c r="D2458" s="13" t="s">
        <v>134</v>
      </c>
      <c r="E2458" s="13" t="s">
        <v>4907</v>
      </c>
      <c r="F2458" s="43">
        <v>4.9000000000000004</v>
      </c>
    </row>
    <row r="2459" spans="2:6" x14ac:dyDescent="0.25">
      <c r="B2459" s="13" t="s">
        <v>4908</v>
      </c>
      <c r="C2459" s="15" t="s">
        <v>135</v>
      </c>
      <c r="D2459" s="13" t="s">
        <v>134</v>
      </c>
      <c r="E2459" s="13" t="s">
        <v>4909</v>
      </c>
      <c r="F2459" s="43">
        <v>11.06</v>
      </c>
    </row>
    <row r="2460" spans="2:6" x14ac:dyDescent="0.25">
      <c r="B2460" s="13" t="s">
        <v>4910</v>
      </c>
      <c r="C2460" s="15" t="s">
        <v>135</v>
      </c>
      <c r="D2460" s="13" t="s">
        <v>134</v>
      </c>
      <c r="E2460" s="13" t="s">
        <v>4911</v>
      </c>
      <c r="F2460" s="43">
        <v>15.6</v>
      </c>
    </row>
    <row r="2461" spans="2:6" x14ac:dyDescent="0.25">
      <c r="B2461" s="13" t="s">
        <v>4912</v>
      </c>
      <c r="C2461" s="15" t="s">
        <v>135</v>
      </c>
      <c r="D2461" s="13" t="s">
        <v>134</v>
      </c>
      <c r="E2461" s="13" t="s">
        <v>4913</v>
      </c>
      <c r="F2461" s="43">
        <v>32.229999999999997</v>
      </c>
    </row>
    <row r="2462" spans="2:6" x14ac:dyDescent="0.25">
      <c r="B2462" s="13" t="s">
        <v>4914</v>
      </c>
      <c r="C2462" s="15" t="s">
        <v>135</v>
      </c>
      <c r="D2462" s="13" t="s">
        <v>134</v>
      </c>
      <c r="E2462" s="13" t="s">
        <v>4915</v>
      </c>
      <c r="F2462" s="43">
        <v>1.44</v>
      </c>
    </row>
    <row r="2463" spans="2:6" x14ac:dyDescent="0.25">
      <c r="B2463" s="13" t="s">
        <v>4916</v>
      </c>
      <c r="C2463" s="15" t="s">
        <v>135</v>
      </c>
      <c r="D2463" s="13" t="s">
        <v>134</v>
      </c>
      <c r="E2463" s="13" t="s">
        <v>4917</v>
      </c>
      <c r="F2463" s="43">
        <v>2.5499999999999998</v>
      </c>
    </row>
    <row r="2464" spans="2:6" x14ac:dyDescent="0.25">
      <c r="B2464" s="13" t="s">
        <v>4918</v>
      </c>
      <c r="C2464" s="15" t="s">
        <v>135</v>
      </c>
      <c r="D2464" s="13" t="s">
        <v>134</v>
      </c>
      <c r="E2464" s="13" t="s">
        <v>4919</v>
      </c>
      <c r="F2464" s="43">
        <v>3.98</v>
      </c>
    </row>
    <row r="2465" spans="2:6" x14ac:dyDescent="0.25">
      <c r="B2465" s="13" t="s">
        <v>4920</v>
      </c>
      <c r="C2465" s="15" t="s">
        <v>135</v>
      </c>
      <c r="D2465" s="13" t="s">
        <v>134</v>
      </c>
      <c r="E2465" s="13" t="s">
        <v>4921</v>
      </c>
      <c r="F2465" s="43">
        <v>7.5</v>
      </c>
    </row>
    <row r="2466" spans="2:6" x14ac:dyDescent="0.25">
      <c r="B2466" s="13" t="s">
        <v>4922</v>
      </c>
      <c r="C2466" s="15" t="s">
        <v>135</v>
      </c>
      <c r="D2466" s="13" t="s">
        <v>134</v>
      </c>
      <c r="E2466" s="13" t="s">
        <v>4923</v>
      </c>
      <c r="F2466" s="43">
        <v>7.46</v>
      </c>
    </row>
    <row r="2467" spans="2:6" x14ac:dyDescent="0.25">
      <c r="B2467" s="13" t="s">
        <v>4924</v>
      </c>
      <c r="C2467" s="15" t="s">
        <v>135</v>
      </c>
      <c r="D2467" s="13" t="s">
        <v>134</v>
      </c>
      <c r="E2467" s="13" t="s">
        <v>4925</v>
      </c>
      <c r="F2467" s="43">
        <v>11.15</v>
      </c>
    </row>
    <row r="2468" spans="2:6" x14ac:dyDescent="0.25">
      <c r="B2468" s="13" t="s">
        <v>4926</v>
      </c>
      <c r="C2468" s="15" t="s">
        <v>135</v>
      </c>
      <c r="D2468" s="13" t="s">
        <v>134</v>
      </c>
      <c r="E2468" s="13" t="s">
        <v>4927</v>
      </c>
      <c r="F2468" s="43">
        <v>2.5299999999999998</v>
      </c>
    </row>
    <row r="2469" spans="2:6" x14ac:dyDescent="0.25">
      <c r="B2469" s="13" t="s">
        <v>4928</v>
      </c>
      <c r="C2469" s="15" t="s">
        <v>135</v>
      </c>
      <c r="D2469" s="13" t="s">
        <v>134</v>
      </c>
      <c r="E2469" s="13" t="s">
        <v>4929</v>
      </c>
      <c r="F2469" s="43">
        <v>3.49</v>
      </c>
    </row>
    <row r="2470" spans="2:6" x14ac:dyDescent="0.25">
      <c r="B2470" s="13" t="s">
        <v>4930</v>
      </c>
      <c r="C2470" s="15" t="s">
        <v>135</v>
      </c>
      <c r="D2470" s="13" t="s">
        <v>134</v>
      </c>
      <c r="E2470" s="13" t="s">
        <v>4931</v>
      </c>
      <c r="F2470" s="43">
        <v>5.98</v>
      </c>
    </row>
    <row r="2471" spans="2:6" x14ac:dyDescent="0.25">
      <c r="B2471" s="13" t="s">
        <v>4932</v>
      </c>
      <c r="C2471" s="15" t="s">
        <v>135</v>
      </c>
      <c r="D2471" s="13" t="s">
        <v>134</v>
      </c>
      <c r="E2471" s="13" t="s">
        <v>4933</v>
      </c>
      <c r="F2471" s="43">
        <v>9.64</v>
      </c>
    </row>
    <row r="2472" spans="2:6" x14ac:dyDescent="0.25">
      <c r="B2472" s="13" t="s">
        <v>4934</v>
      </c>
      <c r="C2472" s="15" t="s">
        <v>135</v>
      </c>
      <c r="D2472" s="13" t="s">
        <v>134</v>
      </c>
      <c r="E2472" s="13" t="s">
        <v>4935</v>
      </c>
      <c r="F2472" s="43">
        <v>13.28</v>
      </c>
    </row>
    <row r="2473" spans="2:6" x14ac:dyDescent="0.25">
      <c r="B2473" s="13" t="s">
        <v>4936</v>
      </c>
      <c r="C2473" s="15" t="s">
        <v>135</v>
      </c>
      <c r="D2473" s="13" t="s">
        <v>134</v>
      </c>
      <c r="E2473" s="13" t="s">
        <v>4937</v>
      </c>
      <c r="F2473" s="43">
        <v>20.72</v>
      </c>
    </row>
    <row r="2474" spans="2:6" x14ac:dyDescent="0.25">
      <c r="B2474" s="13" t="s">
        <v>4938</v>
      </c>
      <c r="C2474" s="15" t="s">
        <v>135</v>
      </c>
      <c r="D2474" s="13" t="s">
        <v>134</v>
      </c>
      <c r="E2474" s="13" t="s">
        <v>4939</v>
      </c>
      <c r="F2474" s="43">
        <v>41.95</v>
      </c>
    </row>
    <row r="2475" spans="2:6" x14ac:dyDescent="0.25">
      <c r="B2475" s="13" t="s">
        <v>4940</v>
      </c>
      <c r="C2475" s="15" t="s">
        <v>135</v>
      </c>
      <c r="D2475" s="13" t="s">
        <v>134</v>
      </c>
      <c r="E2475" s="13" t="s">
        <v>4941</v>
      </c>
      <c r="F2475" s="43">
        <v>58.85</v>
      </c>
    </row>
    <row r="2476" spans="2:6" x14ac:dyDescent="0.25">
      <c r="B2476" s="13" t="s">
        <v>4942</v>
      </c>
      <c r="C2476" s="15" t="s">
        <v>135</v>
      </c>
      <c r="D2476" s="13" t="s">
        <v>134</v>
      </c>
      <c r="E2476" s="13" t="s">
        <v>4943</v>
      </c>
      <c r="F2476" s="43">
        <v>145.79</v>
      </c>
    </row>
    <row r="2477" spans="2:6" x14ac:dyDescent="0.25">
      <c r="B2477" s="13" t="s">
        <v>4944</v>
      </c>
      <c r="C2477" s="15" t="s">
        <v>135</v>
      </c>
      <c r="D2477" s="13" t="s">
        <v>134</v>
      </c>
      <c r="E2477" s="13" t="s">
        <v>4945</v>
      </c>
      <c r="F2477" s="43">
        <v>10.76</v>
      </c>
    </row>
    <row r="2478" spans="2:6" x14ac:dyDescent="0.25">
      <c r="B2478" s="13" t="s">
        <v>4946</v>
      </c>
      <c r="C2478" s="15" t="s">
        <v>135</v>
      </c>
      <c r="D2478" s="13" t="s">
        <v>134</v>
      </c>
      <c r="E2478" s="13" t="s">
        <v>4947</v>
      </c>
      <c r="F2478" s="43">
        <v>12.27</v>
      </c>
    </row>
    <row r="2479" spans="2:6" x14ac:dyDescent="0.25">
      <c r="B2479" s="13" t="s">
        <v>4948</v>
      </c>
      <c r="C2479" s="15" t="s">
        <v>135</v>
      </c>
      <c r="D2479" s="13" t="s">
        <v>134</v>
      </c>
      <c r="E2479" s="13" t="s">
        <v>4949</v>
      </c>
      <c r="F2479" s="43">
        <v>13.63</v>
      </c>
    </row>
    <row r="2480" spans="2:6" x14ac:dyDescent="0.25">
      <c r="B2480" s="13" t="s">
        <v>4950</v>
      </c>
      <c r="C2480" s="15" t="s">
        <v>135</v>
      </c>
      <c r="D2480" s="13" t="s">
        <v>134</v>
      </c>
      <c r="E2480" s="13" t="s">
        <v>4951</v>
      </c>
      <c r="F2480" s="43">
        <v>16.43</v>
      </c>
    </row>
    <row r="2481" spans="2:6" x14ac:dyDescent="0.25">
      <c r="B2481" s="13" t="s">
        <v>4952</v>
      </c>
      <c r="C2481" s="15" t="s">
        <v>135</v>
      </c>
      <c r="D2481" s="13" t="s">
        <v>134</v>
      </c>
      <c r="E2481" s="13" t="s">
        <v>4953</v>
      </c>
      <c r="F2481" s="43">
        <v>18.25</v>
      </c>
    </row>
    <row r="2482" spans="2:6" x14ac:dyDescent="0.25">
      <c r="B2482" s="13" t="s">
        <v>4954</v>
      </c>
      <c r="C2482" s="15" t="s">
        <v>135</v>
      </c>
      <c r="D2482" s="13" t="s">
        <v>134</v>
      </c>
      <c r="E2482" s="13" t="s">
        <v>4955</v>
      </c>
      <c r="F2482" s="43">
        <v>267.38</v>
      </c>
    </row>
    <row r="2483" spans="2:6" x14ac:dyDescent="0.25">
      <c r="B2483" s="13" t="s">
        <v>4956</v>
      </c>
      <c r="C2483" s="15" t="s">
        <v>135</v>
      </c>
      <c r="D2483" s="13" t="s">
        <v>134</v>
      </c>
      <c r="E2483" s="13" t="s">
        <v>4957</v>
      </c>
      <c r="F2483" s="43">
        <v>36.200000000000003</v>
      </c>
    </row>
    <row r="2484" spans="2:6" x14ac:dyDescent="0.25">
      <c r="B2484" s="13" t="s">
        <v>4958</v>
      </c>
      <c r="C2484" s="15" t="s">
        <v>135</v>
      </c>
      <c r="D2484" s="13" t="s">
        <v>134</v>
      </c>
      <c r="E2484" s="13" t="s">
        <v>4959</v>
      </c>
      <c r="F2484" s="43">
        <v>105.68</v>
      </c>
    </row>
    <row r="2485" spans="2:6" x14ac:dyDescent="0.25">
      <c r="B2485" s="13" t="s">
        <v>4960</v>
      </c>
      <c r="C2485" s="15" t="s">
        <v>135</v>
      </c>
      <c r="D2485" s="13" t="s">
        <v>134</v>
      </c>
      <c r="E2485" s="13" t="s">
        <v>4961</v>
      </c>
      <c r="F2485" s="43">
        <v>142.44</v>
      </c>
    </row>
    <row r="2486" spans="2:6" x14ac:dyDescent="0.25">
      <c r="B2486" s="13" t="s">
        <v>4962</v>
      </c>
      <c r="C2486" s="15" t="s">
        <v>135</v>
      </c>
      <c r="D2486" s="13" t="s">
        <v>134</v>
      </c>
      <c r="E2486" s="13" t="s">
        <v>4963</v>
      </c>
      <c r="F2486" s="43">
        <v>284.83999999999997</v>
      </c>
    </row>
    <row r="2487" spans="2:6" x14ac:dyDescent="0.25">
      <c r="B2487" s="13" t="s">
        <v>4964</v>
      </c>
      <c r="C2487" s="15" t="s">
        <v>135</v>
      </c>
      <c r="D2487" s="13" t="s">
        <v>134</v>
      </c>
      <c r="E2487" s="13" t="s">
        <v>4965</v>
      </c>
      <c r="F2487" s="43">
        <v>10.17</v>
      </c>
    </row>
    <row r="2488" spans="2:6" x14ac:dyDescent="0.25">
      <c r="B2488" s="13" t="s">
        <v>4966</v>
      </c>
      <c r="C2488" s="15" t="s">
        <v>135</v>
      </c>
      <c r="D2488" s="13" t="s">
        <v>134</v>
      </c>
      <c r="E2488" s="13" t="s">
        <v>4967</v>
      </c>
      <c r="F2488" s="43">
        <v>10.33</v>
      </c>
    </row>
    <row r="2489" spans="2:6" x14ac:dyDescent="0.25">
      <c r="B2489" s="13" t="s">
        <v>4968</v>
      </c>
      <c r="C2489" s="15" t="s">
        <v>135</v>
      </c>
      <c r="D2489" s="13" t="s">
        <v>134</v>
      </c>
      <c r="E2489" s="13" t="s">
        <v>4969</v>
      </c>
      <c r="F2489" s="43">
        <v>13.14</v>
      </c>
    </row>
    <row r="2490" spans="2:6" x14ac:dyDescent="0.25">
      <c r="B2490" s="13" t="s">
        <v>4970</v>
      </c>
      <c r="C2490" s="15" t="s">
        <v>135</v>
      </c>
      <c r="D2490" s="13" t="s">
        <v>134</v>
      </c>
      <c r="E2490" s="13" t="s">
        <v>4971</v>
      </c>
      <c r="F2490" s="43">
        <v>18.89</v>
      </c>
    </row>
    <row r="2491" spans="2:6" x14ac:dyDescent="0.25">
      <c r="B2491" s="13" t="s">
        <v>4972</v>
      </c>
      <c r="C2491" s="15" t="s">
        <v>135</v>
      </c>
      <c r="D2491" s="13" t="s">
        <v>134</v>
      </c>
      <c r="E2491" s="13" t="s">
        <v>4973</v>
      </c>
      <c r="F2491" s="43">
        <v>20.309999999999999</v>
      </c>
    </row>
    <row r="2492" spans="2:6" x14ac:dyDescent="0.25">
      <c r="B2492" s="13" t="s">
        <v>4974</v>
      </c>
      <c r="C2492" s="15" t="s">
        <v>135</v>
      </c>
      <c r="D2492" s="13" t="s">
        <v>134</v>
      </c>
      <c r="E2492" s="13" t="s">
        <v>4975</v>
      </c>
      <c r="F2492" s="43">
        <v>28.62</v>
      </c>
    </row>
    <row r="2493" spans="2:6" x14ac:dyDescent="0.25">
      <c r="B2493" s="13" t="s">
        <v>4976</v>
      </c>
      <c r="C2493" s="15" t="s">
        <v>135</v>
      </c>
      <c r="D2493" s="13" t="s">
        <v>134</v>
      </c>
      <c r="E2493" s="13" t="s">
        <v>4977</v>
      </c>
      <c r="F2493" s="43">
        <v>105.01</v>
      </c>
    </row>
    <row r="2494" spans="2:6" x14ac:dyDescent="0.25">
      <c r="B2494" s="13" t="s">
        <v>4978</v>
      </c>
      <c r="C2494" s="15" t="s">
        <v>135</v>
      </c>
      <c r="D2494" s="13" t="s">
        <v>134</v>
      </c>
      <c r="E2494" s="13" t="s">
        <v>4979</v>
      </c>
      <c r="F2494" s="43">
        <v>154.32</v>
      </c>
    </row>
    <row r="2495" spans="2:6" x14ac:dyDescent="0.25">
      <c r="B2495" s="13">
        <v>1473</v>
      </c>
      <c r="C2495" s="15" t="s">
        <v>141</v>
      </c>
      <c r="D2495" s="13" t="s">
        <v>134</v>
      </c>
      <c r="E2495" s="13" t="s">
        <v>4980</v>
      </c>
      <c r="F2495" s="43">
        <v>13.15</v>
      </c>
    </row>
    <row r="2496" spans="2:6" x14ac:dyDescent="0.25">
      <c r="B2496" s="13">
        <v>1476</v>
      </c>
      <c r="C2496" s="15" t="s">
        <v>141</v>
      </c>
      <c r="D2496" s="13" t="s">
        <v>134</v>
      </c>
      <c r="E2496" s="13" t="s">
        <v>4981</v>
      </c>
      <c r="F2496" s="43">
        <v>55.73</v>
      </c>
    </row>
    <row r="2497" spans="2:6" x14ac:dyDescent="0.25">
      <c r="B2497" s="13">
        <v>1487</v>
      </c>
      <c r="C2497" s="15" t="s">
        <v>141</v>
      </c>
      <c r="D2497" s="13" t="s">
        <v>134</v>
      </c>
      <c r="E2497" s="13" t="s">
        <v>4982</v>
      </c>
      <c r="F2497" s="43">
        <v>12.54</v>
      </c>
    </row>
    <row r="2498" spans="2:6" x14ac:dyDescent="0.25">
      <c r="B2498" s="13">
        <v>1491</v>
      </c>
      <c r="C2498" s="15" t="s">
        <v>141</v>
      </c>
      <c r="D2498" s="13" t="s">
        <v>134</v>
      </c>
      <c r="E2498" s="13" t="s">
        <v>4983</v>
      </c>
      <c r="F2498" s="43">
        <v>48.88</v>
      </c>
    </row>
    <row r="2499" spans="2:6" x14ac:dyDescent="0.25">
      <c r="B2499" s="13">
        <v>1501</v>
      </c>
      <c r="C2499" s="15" t="s">
        <v>141</v>
      </c>
      <c r="D2499" s="13" t="s">
        <v>134</v>
      </c>
      <c r="E2499" s="13" t="s">
        <v>4984</v>
      </c>
      <c r="F2499" s="43">
        <v>11.83</v>
      </c>
    </row>
    <row r="2500" spans="2:6" x14ac:dyDescent="0.25">
      <c r="B2500" s="13">
        <v>1513</v>
      </c>
      <c r="C2500" s="15" t="s">
        <v>141</v>
      </c>
      <c r="D2500" s="13" t="s">
        <v>134</v>
      </c>
      <c r="E2500" s="13" t="s">
        <v>4985</v>
      </c>
      <c r="F2500" s="43">
        <v>78.14</v>
      </c>
    </row>
    <row r="2501" spans="2:6" x14ac:dyDescent="0.25">
      <c r="B2501" s="13">
        <v>1519</v>
      </c>
      <c r="C2501" s="15" t="s">
        <v>141</v>
      </c>
      <c r="D2501" s="13" t="s">
        <v>134</v>
      </c>
      <c r="E2501" s="13" t="s">
        <v>4986</v>
      </c>
      <c r="F2501" s="43">
        <v>25.91</v>
      </c>
    </row>
    <row r="2502" spans="2:6" x14ac:dyDescent="0.25">
      <c r="B2502" s="13">
        <v>1524</v>
      </c>
      <c r="C2502" s="15" t="s">
        <v>141</v>
      </c>
      <c r="D2502" s="13" t="s">
        <v>134</v>
      </c>
      <c r="E2502" s="13" t="s">
        <v>4987</v>
      </c>
      <c r="F2502" s="43">
        <v>4.95</v>
      </c>
    </row>
    <row r="2503" spans="2:6" x14ac:dyDescent="0.25">
      <c r="B2503" s="13">
        <v>1529</v>
      </c>
      <c r="C2503" s="15" t="s">
        <v>141</v>
      </c>
      <c r="D2503" s="13" t="s">
        <v>134</v>
      </c>
      <c r="E2503" s="13" t="s">
        <v>4988</v>
      </c>
      <c r="F2503" s="43">
        <v>10.86</v>
      </c>
    </row>
    <row r="2504" spans="2:6" x14ac:dyDescent="0.25">
      <c r="B2504" s="13">
        <v>1532</v>
      </c>
      <c r="C2504" s="15" t="s">
        <v>141</v>
      </c>
      <c r="D2504" s="13" t="s">
        <v>134</v>
      </c>
      <c r="E2504" s="13" t="s">
        <v>4989</v>
      </c>
      <c r="F2504" s="43">
        <v>32.19</v>
      </c>
    </row>
    <row r="2505" spans="2:6" x14ac:dyDescent="0.25">
      <c r="B2505" s="13">
        <v>1534</v>
      </c>
      <c r="C2505" s="15" t="s">
        <v>141</v>
      </c>
      <c r="D2505" s="13" t="s">
        <v>134</v>
      </c>
      <c r="E2505" s="13" t="s">
        <v>4990</v>
      </c>
      <c r="F2505" s="43">
        <v>64.040000000000006</v>
      </c>
    </row>
    <row r="2506" spans="2:6" x14ac:dyDescent="0.25">
      <c r="B2506" s="13">
        <v>1554</v>
      </c>
      <c r="C2506" s="15" t="s">
        <v>141</v>
      </c>
      <c r="D2506" s="13" t="s">
        <v>134</v>
      </c>
      <c r="E2506" s="13" t="s">
        <v>4991</v>
      </c>
      <c r="F2506" s="43">
        <v>35.130000000000003</v>
      </c>
    </row>
    <row r="2507" spans="2:6" x14ac:dyDescent="0.25">
      <c r="B2507" s="13">
        <v>1555</v>
      </c>
      <c r="C2507" s="15" t="s">
        <v>141</v>
      </c>
      <c r="D2507" s="13" t="s">
        <v>134</v>
      </c>
      <c r="E2507" s="13" t="s">
        <v>4992</v>
      </c>
      <c r="F2507" s="43">
        <v>56.32</v>
      </c>
    </row>
    <row r="2508" spans="2:6" x14ac:dyDescent="0.25">
      <c r="B2508" s="13">
        <v>1560</v>
      </c>
      <c r="C2508" s="15" t="s">
        <v>141</v>
      </c>
      <c r="D2508" s="13" t="s">
        <v>134</v>
      </c>
      <c r="E2508" s="13" t="s">
        <v>4993</v>
      </c>
      <c r="F2508" s="43">
        <v>12</v>
      </c>
    </row>
    <row r="2509" spans="2:6" x14ac:dyDescent="0.25">
      <c r="B2509" s="13">
        <v>1561</v>
      </c>
      <c r="C2509" s="15" t="s">
        <v>141</v>
      </c>
      <c r="D2509" s="13" t="s">
        <v>134</v>
      </c>
      <c r="E2509" s="13" t="s">
        <v>4994</v>
      </c>
      <c r="F2509" s="43">
        <v>18.309999999999999</v>
      </c>
    </row>
    <row r="2510" spans="2:6" x14ac:dyDescent="0.25">
      <c r="B2510" s="13">
        <v>1563</v>
      </c>
      <c r="C2510" s="15" t="s">
        <v>141</v>
      </c>
      <c r="D2510" s="13" t="s">
        <v>134</v>
      </c>
      <c r="E2510" s="13" t="s">
        <v>4995</v>
      </c>
      <c r="F2510" s="43">
        <v>60.91</v>
      </c>
    </row>
    <row r="2511" spans="2:6" x14ac:dyDescent="0.25">
      <c r="B2511" s="13">
        <v>1580</v>
      </c>
      <c r="C2511" s="15" t="s">
        <v>141</v>
      </c>
      <c r="D2511" s="13" t="s">
        <v>134</v>
      </c>
      <c r="E2511" s="13" t="s">
        <v>4996</v>
      </c>
      <c r="F2511" s="43">
        <v>36.81</v>
      </c>
    </row>
    <row r="2512" spans="2:6" x14ac:dyDescent="0.25">
      <c r="B2512" s="13">
        <v>1591</v>
      </c>
      <c r="C2512" s="15" t="s">
        <v>141</v>
      </c>
      <c r="D2512" s="13" t="s">
        <v>134</v>
      </c>
      <c r="E2512" s="13" t="s">
        <v>4997</v>
      </c>
      <c r="F2512" s="43">
        <v>9.11</v>
      </c>
    </row>
    <row r="2513" spans="2:6" x14ac:dyDescent="0.25">
      <c r="B2513" s="13">
        <v>1593</v>
      </c>
      <c r="C2513" s="15" t="s">
        <v>141</v>
      </c>
      <c r="D2513" s="13" t="s">
        <v>134</v>
      </c>
      <c r="E2513" s="13" t="s">
        <v>4998</v>
      </c>
      <c r="F2513" s="43">
        <v>13</v>
      </c>
    </row>
    <row r="2514" spans="2:6" x14ac:dyDescent="0.25">
      <c r="B2514" s="13">
        <v>1594</v>
      </c>
      <c r="C2514" s="15" t="s">
        <v>141</v>
      </c>
      <c r="D2514" s="13" t="s">
        <v>134</v>
      </c>
      <c r="E2514" s="13" t="s">
        <v>4999</v>
      </c>
      <c r="F2514" s="43">
        <v>14.78</v>
      </c>
    </row>
    <row r="2515" spans="2:6" x14ac:dyDescent="0.25">
      <c r="B2515" s="13">
        <v>1596</v>
      </c>
      <c r="C2515" s="15" t="s">
        <v>141</v>
      </c>
      <c r="D2515" s="13" t="s">
        <v>134</v>
      </c>
      <c r="E2515" s="13" t="s">
        <v>5000</v>
      </c>
      <c r="F2515" s="43">
        <v>19.54</v>
      </c>
    </row>
    <row r="2516" spans="2:6" x14ac:dyDescent="0.25">
      <c r="B2516" s="13">
        <v>1597</v>
      </c>
      <c r="C2516" s="15" t="s">
        <v>141</v>
      </c>
      <c r="D2516" s="13" t="s">
        <v>134</v>
      </c>
      <c r="E2516" s="13" t="s">
        <v>5001</v>
      </c>
      <c r="F2516" s="43">
        <v>36.81</v>
      </c>
    </row>
    <row r="2517" spans="2:6" x14ac:dyDescent="0.25">
      <c r="B2517" s="13">
        <v>1598</v>
      </c>
      <c r="C2517" s="15" t="s">
        <v>141</v>
      </c>
      <c r="D2517" s="13" t="s">
        <v>134</v>
      </c>
      <c r="E2517" s="13" t="s">
        <v>5002</v>
      </c>
      <c r="F2517" s="43">
        <v>36.81</v>
      </c>
    </row>
    <row r="2518" spans="2:6" x14ac:dyDescent="0.25">
      <c r="B2518" s="13">
        <v>1712</v>
      </c>
      <c r="C2518" s="15" t="s">
        <v>141</v>
      </c>
      <c r="D2518" s="13" t="s">
        <v>134</v>
      </c>
      <c r="E2518" s="13" t="s">
        <v>5003</v>
      </c>
      <c r="F2518" s="43">
        <v>1.34</v>
      </c>
    </row>
    <row r="2519" spans="2:6" x14ac:dyDescent="0.25">
      <c r="B2519" s="13">
        <v>1713</v>
      </c>
      <c r="C2519" s="15" t="s">
        <v>141</v>
      </c>
      <c r="D2519" s="13" t="s">
        <v>134</v>
      </c>
      <c r="E2519" s="13" t="s">
        <v>5004</v>
      </c>
      <c r="F2519" s="43">
        <v>1.76</v>
      </c>
    </row>
    <row r="2520" spans="2:6" x14ac:dyDescent="0.25">
      <c r="B2520" s="13">
        <v>1714</v>
      </c>
      <c r="C2520" s="15" t="s">
        <v>141</v>
      </c>
      <c r="D2520" s="13" t="s">
        <v>134</v>
      </c>
      <c r="E2520" s="13" t="s">
        <v>5005</v>
      </c>
      <c r="F2520" s="43">
        <v>2.71</v>
      </c>
    </row>
    <row r="2521" spans="2:6" x14ac:dyDescent="0.25">
      <c r="B2521" s="13">
        <v>1715</v>
      </c>
      <c r="C2521" s="15" t="s">
        <v>141</v>
      </c>
      <c r="D2521" s="13" t="s">
        <v>134</v>
      </c>
      <c r="E2521" s="13" t="s">
        <v>5006</v>
      </c>
      <c r="F2521" s="43">
        <v>2.93</v>
      </c>
    </row>
    <row r="2522" spans="2:6" x14ac:dyDescent="0.25">
      <c r="B2522" s="13">
        <v>1716</v>
      </c>
      <c r="C2522" s="15" t="s">
        <v>141</v>
      </c>
      <c r="D2522" s="13" t="s">
        <v>134</v>
      </c>
      <c r="E2522" s="13" t="s">
        <v>5007</v>
      </c>
      <c r="F2522" s="43">
        <v>4.5199999999999996</v>
      </c>
    </row>
    <row r="2523" spans="2:6" x14ac:dyDescent="0.25">
      <c r="B2523" s="13">
        <v>1717</v>
      </c>
      <c r="C2523" s="15" t="s">
        <v>141</v>
      </c>
      <c r="D2523" s="13" t="s">
        <v>134</v>
      </c>
      <c r="E2523" s="13" t="s">
        <v>5008</v>
      </c>
      <c r="F2523" s="43">
        <v>7.94</v>
      </c>
    </row>
    <row r="2524" spans="2:6" x14ac:dyDescent="0.25">
      <c r="B2524" s="13">
        <v>1718</v>
      </c>
      <c r="C2524" s="15" t="s">
        <v>141</v>
      </c>
      <c r="D2524" s="13" t="s">
        <v>134</v>
      </c>
      <c r="E2524" s="13" t="s">
        <v>5009</v>
      </c>
      <c r="F2524" s="43">
        <v>14.42</v>
      </c>
    </row>
    <row r="2525" spans="2:6" x14ac:dyDescent="0.25">
      <c r="B2525" s="13">
        <v>1719</v>
      </c>
      <c r="C2525" s="15" t="s">
        <v>141</v>
      </c>
      <c r="D2525" s="13" t="s">
        <v>134</v>
      </c>
      <c r="E2525" s="13" t="s">
        <v>5010</v>
      </c>
      <c r="F2525" s="43">
        <v>21.52</v>
      </c>
    </row>
    <row r="2526" spans="2:6" x14ac:dyDescent="0.25">
      <c r="B2526" s="13">
        <v>1720</v>
      </c>
      <c r="C2526" s="15" t="s">
        <v>141</v>
      </c>
      <c r="D2526" s="13" t="s">
        <v>134</v>
      </c>
      <c r="E2526" s="13" t="s">
        <v>5011</v>
      </c>
      <c r="F2526" s="43">
        <v>42.18</v>
      </c>
    </row>
    <row r="2527" spans="2:6" x14ac:dyDescent="0.25">
      <c r="B2527" s="13">
        <v>1721</v>
      </c>
      <c r="C2527" s="15" t="s">
        <v>141</v>
      </c>
      <c r="D2527" s="13" t="s">
        <v>134</v>
      </c>
      <c r="E2527" s="13" t="s">
        <v>5012</v>
      </c>
      <c r="F2527" s="43">
        <v>72.290000000000006</v>
      </c>
    </row>
    <row r="2528" spans="2:6" x14ac:dyDescent="0.25">
      <c r="B2528" s="13">
        <v>1722</v>
      </c>
      <c r="C2528" s="15" t="s">
        <v>141</v>
      </c>
      <c r="D2528" s="13" t="s">
        <v>134</v>
      </c>
      <c r="E2528" s="13" t="s">
        <v>5013</v>
      </c>
      <c r="F2528" s="43">
        <v>101.94</v>
      </c>
    </row>
    <row r="2529" spans="2:6" x14ac:dyDescent="0.25">
      <c r="B2529" s="13">
        <v>1723</v>
      </c>
      <c r="C2529" s="15" t="s">
        <v>141</v>
      </c>
      <c r="D2529" s="13" t="s">
        <v>134</v>
      </c>
      <c r="E2529" s="13" t="s">
        <v>5014</v>
      </c>
      <c r="F2529" s="43">
        <v>114.42</v>
      </c>
    </row>
    <row r="2530" spans="2:6" x14ac:dyDescent="0.25">
      <c r="B2530" s="13">
        <v>1724</v>
      </c>
      <c r="C2530" s="15" t="s">
        <v>141</v>
      </c>
      <c r="D2530" s="13" t="s">
        <v>134</v>
      </c>
      <c r="E2530" s="13" t="s">
        <v>5015</v>
      </c>
      <c r="F2530" s="43">
        <v>217.98</v>
      </c>
    </row>
    <row r="2531" spans="2:6" x14ac:dyDescent="0.25">
      <c r="B2531" s="13">
        <v>1725</v>
      </c>
      <c r="C2531" s="15" t="s">
        <v>141</v>
      </c>
      <c r="D2531" s="13" t="s">
        <v>134</v>
      </c>
      <c r="E2531" s="13" t="s">
        <v>5016</v>
      </c>
      <c r="F2531" s="43">
        <v>340.65</v>
      </c>
    </row>
    <row r="2532" spans="2:6" x14ac:dyDescent="0.25">
      <c r="B2532" s="13">
        <v>1726</v>
      </c>
      <c r="C2532" s="15" t="s">
        <v>141</v>
      </c>
      <c r="D2532" s="13" t="s">
        <v>134</v>
      </c>
      <c r="E2532" s="13" t="s">
        <v>5017</v>
      </c>
      <c r="F2532" s="43">
        <v>733.27</v>
      </c>
    </row>
    <row r="2533" spans="2:6" x14ac:dyDescent="0.25">
      <c r="B2533" s="13">
        <v>1727</v>
      </c>
      <c r="C2533" s="15" t="s">
        <v>141</v>
      </c>
      <c r="D2533" s="13" t="s">
        <v>134</v>
      </c>
      <c r="E2533" s="13" t="s">
        <v>5018</v>
      </c>
      <c r="F2533" s="43">
        <v>1429.27</v>
      </c>
    </row>
    <row r="2534" spans="2:6" x14ac:dyDescent="0.25">
      <c r="B2534" s="13">
        <v>1728</v>
      </c>
      <c r="C2534" s="15" t="s">
        <v>141</v>
      </c>
      <c r="D2534" s="13" t="s">
        <v>134</v>
      </c>
      <c r="E2534" s="13" t="s">
        <v>5019</v>
      </c>
      <c r="F2534" s="43">
        <v>2.98</v>
      </c>
    </row>
    <row r="2535" spans="2:6" x14ac:dyDescent="0.25">
      <c r="B2535" s="13">
        <v>1729</v>
      </c>
      <c r="C2535" s="15" t="s">
        <v>141</v>
      </c>
      <c r="D2535" s="13" t="s">
        <v>134</v>
      </c>
      <c r="E2535" s="13" t="s">
        <v>5020</v>
      </c>
      <c r="F2535" s="43">
        <v>3.49</v>
      </c>
    </row>
    <row r="2536" spans="2:6" x14ac:dyDescent="0.25">
      <c r="B2536" s="13">
        <v>1730</v>
      </c>
      <c r="C2536" s="15" t="s">
        <v>141</v>
      </c>
      <c r="D2536" s="13" t="s">
        <v>134</v>
      </c>
      <c r="E2536" s="13" t="s">
        <v>5021</v>
      </c>
      <c r="F2536" s="43">
        <v>4.08</v>
      </c>
    </row>
    <row r="2537" spans="2:6" x14ac:dyDescent="0.25">
      <c r="B2537" s="13">
        <v>1731</v>
      </c>
      <c r="C2537" s="15" t="s">
        <v>141</v>
      </c>
      <c r="D2537" s="13" t="s">
        <v>134</v>
      </c>
      <c r="E2537" s="13" t="s">
        <v>5022</v>
      </c>
      <c r="F2537" s="43">
        <v>6.65</v>
      </c>
    </row>
    <row r="2538" spans="2:6" x14ac:dyDescent="0.25">
      <c r="B2538" s="13">
        <v>1732</v>
      </c>
      <c r="C2538" s="15" t="s">
        <v>141</v>
      </c>
      <c r="D2538" s="13" t="s">
        <v>134</v>
      </c>
      <c r="E2538" s="13" t="s">
        <v>5023</v>
      </c>
      <c r="F2538" s="43">
        <v>8.26</v>
      </c>
    </row>
    <row r="2539" spans="2:6" x14ac:dyDescent="0.25">
      <c r="B2539" s="13">
        <v>1733</v>
      </c>
      <c r="C2539" s="15" t="s">
        <v>141</v>
      </c>
      <c r="D2539" s="13" t="s">
        <v>134</v>
      </c>
      <c r="E2539" s="13" t="s">
        <v>5024</v>
      </c>
      <c r="F2539" s="43">
        <v>13.02</v>
      </c>
    </row>
    <row r="2540" spans="2:6" x14ac:dyDescent="0.25">
      <c r="B2540" s="13">
        <v>1734</v>
      </c>
      <c r="C2540" s="15" t="s">
        <v>141</v>
      </c>
      <c r="D2540" s="13" t="s">
        <v>134</v>
      </c>
      <c r="E2540" s="13" t="s">
        <v>5025</v>
      </c>
      <c r="F2540" s="43">
        <v>3.58</v>
      </c>
    </row>
    <row r="2541" spans="2:6" x14ac:dyDescent="0.25">
      <c r="B2541" s="13">
        <v>1735</v>
      </c>
      <c r="C2541" s="15" t="s">
        <v>141</v>
      </c>
      <c r="D2541" s="13" t="s">
        <v>134</v>
      </c>
      <c r="E2541" s="13" t="s">
        <v>5026</v>
      </c>
      <c r="F2541" s="43">
        <v>4.1100000000000003</v>
      </c>
    </row>
    <row r="2542" spans="2:6" x14ac:dyDescent="0.25">
      <c r="B2542" s="13">
        <v>1736</v>
      </c>
      <c r="C2542" s="15" t="s">
        <v>141</v>
      </c>
      <c r="D2542" s="13" t="s">
        <v>134</v>
      </c>
      <c r="E2542" s="13" t="s">
        <v>5027</v>
      </c>
      <c r="F2542" s="43">
        <v>5.43</v>
      </c>
    </row>
    <row r="2543" spans="2:6" x14ac:dyDescent="0.25">
      <c r="B2543" s="13">
        <v>1737</v>
      </c>
      <c r="C2543" s="15" t="s">
        <v>141</v>
      </c>
      <c r="D2543" s="13" t="s">
        <v>134</v>
      </c>
      <c r="E2543" s="13" t="s">
        <v>5028</v>
      </c>
      <c r="F2543" s="43">
        <v>7.44</v>
      </c>
    </row>
    <row r="2544" spans="2:6" x14ac:dyDescent="0.25">
      <c r="B2544" s="13">
        <v>1738</v>
      </c>
      <c r="C2544" s="15" t="s">
        <v>141</v>
      </c>
      <c r="D2544" s="13" t="s">
        <v>134</v>
      </c>
      <c r="E2544" s="13" t="s">
        <v>5029</v>
      </c>
      <c r="F2544" s="43">
        <v>9.91</v>
      </c>
    </row>
    <row r="2545" spans="2:6" x14ac:dyDescent="0.25">
      <c r="B2545" s="13">
        <v>1739</v>
      </c>
      <c r="C2545" s="15" t="s">
        <v>141</v>
      </c>
      <c r="D2545" s="13" t="s">
        <v>134</v>
      </c>
      <c r="E2545" s="13" t="s">
        <v>5030</v>
      </c>
      <c r="F2545" s="43">
        <v>14.14</v>
      </c>
    </row>
    <row r="2546" spans="2:6" x14ac:dyDescent="0.25">
      <c r="B2546" s="13">
        <v>1740</v>
      </c>
      <c r="C2546" s="15" t="s">
        <v>141</v>
      </c>
      <c r="D2546" s="13" t="s">
        <v>134</v>
      </c>
      <c r="E2546" s="13" t="s">
        <v>5031</v>
      </c>
      <c r="F2546" s="43">
        <v>6</v>
      </c>
    </row>
    <row r="2547" spans="2:6" x14ac:dyDescent="0.25">
      <c r="B2547" s="13">
        <v>1741</v>
      </c>
      <c r="C2547" s="15" t="s">
        <v>141</v>
      </c>
      <c r="D2547" s="13" t="s">
        <v>134</v>
      </c>
      <c r="E2547" s="13" t="s">
        <v>5032</v>
      </c>
      <c r="F2547" s="43">
        <v>6.32</v>
      </c>
    </row>
    <row r="2548" spans="2:6" x14ac:dyDescent="0.25">
      <c r="B2548" s="13">
        <v>1742</v>
      </c>
      <c r="C2548" s="15" t="s">
        <v>141</v>
      </c>
      <c r="D2548" s="13" t="s">
        <v>134</v>
      </c>
      <c r="E2548" s="13" t="s">
        <v>5033</v>
      </c>
      <c r="F2548" s="43">
        <v>8.08</v>
      </c>
    </row>
    <row r="2549" spans="2:6" x14ac:dyDescent="0.25">
      <c r="B2549" s="13">
        <v>1743</v>
      </c>
      <c r="C2549" s="15" t="s">
        <v>141</v>
      </c>
      <c r="D2549" s="13" t="s">
        <v>134</v>
      </c>
      <c r="E2549" s="13" t="s">
        <v>5034</v>
      </c>
      <c r="F2549" s="43">
        <v>10.36</v>
      </c>
    </row>
    <row r="2550" spans="2:6" x14ac:dyDescent="0.25">
      <c r="B2550" s="13">
        <v>1744</v>
      </c>
      <c r="C2550" s="15" t="s">
        <v>141</v>
      </c>
      <c r="D2550" s="13" t="s">
        <v>134</v>
      </c>
      <c r="E2550" s="13" t="s">
        <v>5035</v>
      </c>
      <c r="F2550" s="43">
        <v>16.53</v>
      </c>
    </row>
    <row r="2551" spans="2:6" x14ac:dyDescent="0.25">
      <c r="B2551" s="13">
        <v>1745</v>
      </c>
      <c r="C2551" s="15" t="s">
        <v>141</v>
      </c>
      <c r="D2551" s="13" t="s">
        <v>134</v>
      </c>
      <c r="E2551" s="13" t="s">
        <v>5036</v>
      </c>
      <c r="F2551" s="43">
        <v>19.64</v>
      </c>
    </row>
    <row r="2552" spans="2:6" x14ac:dyDescent="0.25">
      <c r="B2552" s="13">
        <v>1746</v>
      </c>
      <c r="C2552" s="15" t="s">
        <v>141</v>
      </c>
      <c r="D2552" s="13" t="s">
        <v>134</v>
      </c>
      <c r="E2552" s="13" t="s">
        <v>5037</v>
      </c>
      <c r="F2552" s="43">
        <v>2.1</v>
      </c>
    </row>
    <row r="2553" spans="2:6" x14ac:dyDescent="0.25">
      <c r="B2553" s="13">
        <v>1747</v>
      </c>
      <c r="C2553" s="15" t="s">
        <v>141</v>
      </c>
      <c r="D2553" s="13" t="s">
        <v>134</v>
      </c>
      <c r="E2553" s="13" t="s">
        <v>5038</v>
      </c>
      <c r="F2553" s="43">
        <v>2.37</v>
      </c>
    </row>
    <row r="2554" spans="2:6" x14ac:dyDescent="0.25">
      <c r="B2554" s="13">
        <v>1748</v>
      </c>
      <c r="C2554" s="15" t="s">
        <v>141</v>
      </c>
      <c r="D2554" s="13" t="s">
        <v>134</v>
      </c>
      <c r="E2554" s="13" t="s">
        <v>5039</v>
      </c>
      <c r="F2554" s="43">
        <v>3.08</v>
      </c>
    </row>
    <row r="2555" spans="2:6" x14ac:dyDescent="0.25">
      <c r="B2555" s="13">
        <v>1749</v>
      </c>
      <c r="C2555" s="15" t="s">
        <v>141</v>
      </c>
      <c r="D2555" s="13" t="s">
        <v>134</v>
      </c>
      <c r="E2555" s="13" t="s">
        <v>5040</v>
      </c>
      <c r="F2555" s="43">
        <v>3.74</v>
      </c>
    </row>
    <row r="2556" spans="2:6" x14ac:dyDescent="0.25">
      <c r="B2556" s="13">
        <v>1750</v>
      </c>
      <c r="C2556" s="15" t="s">
        <v>141</v>
      </c>
      <c r="D2556" s="13" t="s">
        <v>134</v>
      </c>
      <c r="E2556" s="13" t="s">
        <v>5041</v>
      </c>
      <c r="F2556" s="43">
        <v>5.28</v>
      </c>
    </row>
    <row r="2557" spans="2:6" x14ac:dyDescent="0.25">
      <c r="B2557" s="13">
        <v>1751</v>
      </c>
      <c r="C2557" s="15" t="s">
        <v>141</v>
      </c>
      <c r="D2557" s="13" t="s">
        <v>134</v>
      </c>
      <c r="E2557" s="13" t="s">
        <v>5042</v>
      </c>
      <c r="F2557" s="43">
        <v>8.51</v>
      </c>
    </row>
    <row r="2558" spans="2:6" x14ac:dyDescent="0.25">
      <c r="B2558" s="13">
        <v>1752</v>
      </c>
      <c r="C2558" s="15" t="s">
        <v>141</v>
      </c>
      <c r="D2558" s="13" t="s">
        <v>134</v>
      </c>
      <c r="E2558" s="13" t="s">
        <v>5043</v>
      </c>
      <c r="F2558" s="43">
        <v>15.95</v>
      </c>
    </row>
    <row r="2559" spans="2:6" x14ac:dyDescent="0.25">
      <c r="B2559" s="13">
        <v>1753</v>
      </c>
      <c r="C2559" s="15" t="s">
        <v>141</v>
      </c>
      <c r="D2559" s="13" t="s">
        <v>134</v>
      </c>
      <c r="E2559" s="13" t="s">
        <v>5044</v>
      </c>
      <c r="F2559" s="43">
        <v>24.64</v>
      </c>
    </row>
    <row r="2560" spans="2:6" x14ac:dyDescent="0.25">
      <c r="B2560" s="13">
        <v>1754</v>
      </c>
      <c r="C2560" s="15" t="s">
        <v>141</v>
      </c>
      <c r="D2560" s="13" t="s">
        <v>134</v>
      </c>
      <c r="E2560" s="13" t="s">
        <v>5045</v>
      </c>
      <c r="F2560" s="43">
        <v>36.61</v>
      </c>
    </row>
    <row r="2561" spans="2:6" x14ac:dyDescent="0.25">
      <c r="B2561" s="13">
        <v>1755</v>
      </c>
      <c r="C2561" s="15" t="s">
        <v>141</v>
      </c>
      <c r="D2561" s="13" t="s">
        <v>134</v>
      </c>
      <c r="E2561" s="13" t="s">
        <v>5046</v>
      </c>
      <c r="F2561" s="43">
        <v>60.72</v>
      </c>
    </row>
    <row r="2562" spans="2:6" x14ac:dyDescent="0.25">
      <c r="B2562" s="13">
        <v>1756</v>
      </c>
      <c r="C2562" s="15" t="s">
        <v>141</v>
      </c>
      <c r="D2562" s="13" t="s">
        <v>134</v>
      </c>
      <c r="E2562" s="13" t="s">
        <v>5047</v>
      </c>
      <c r="F2562" s="43">
        <v>85.59</v>
      </c>
    </row>
    <row r="2563" spans="2:6" x14ac:dyDescent="0.25">
      <c r="B2563" s="13">
        <v>1757</v>
      </c>
      <c r="C2563" s="15" t="s">
        <v>141</v>
      </c>
      <c r="D2563" s="13" t="s">
        <v>134</v>
      </c>
      <c r="E2563" s="13" t="s">
        <v>5048</v>
      </c>
      <c r="F2563" s="43">
        <v>117.33</v>
      </c>
    </row>
    <row r="2564" spans="2:6" x14ac:dyDescent="0.25">
      <c r="B2564" s="13">
        <v>1758</v>
      </c>
      <c r="C2564" s="15" t="s">
        <v>141</v>
      </c>
      <c r="D2564" s="13" t="s">
        <v>134</v>
      </c>
      <c r="E2564" s="13" t="s">
        <v>5049</v>
      </c>
      <c r="F2564" s="43">
        <v>173.94</v>
      </c>
    </row>
    <row r="2565" spans="2:6" x14ac:dyDescent="0.25">
      <c r="B2565" s="13">
        <v>1759</v>
      </c>
      <c r="C2565" s="15" t="s">
        <v>141</v>
      </c>
      <c r="D2565" s="13" t="s">
        <v>134</v>
      </c>
      <c r="E2565" s="13" t="s">
        <v>5050</v>
      </c>
      <c r="F2565" s="43">
        <v>265.61</v>
      </c>
    </row>
    <row r="2566" spans="2:6" x14ac:dyDescent="0.25">
      <c r="B2566" s="13">
        <v>1760</v>
      </c>
      <c r="C2566" s="15" t="s">
        <v>141</v>
      </c>
      <c r="D2566" s="13" t="s">
        <v>134</v>
      </c>
      <c r="E2566" s="13" t="s">
        <v>5051</v>
      </c>
      <c r="F2566" s="43">
        <v>600.11</v>
      </c>
    </row>
    <row r="2567" spans="2:6" x14ac:dyDescent="0.25">
      <c r="B2567" s="13">
        <v>1761</v>
      </c>
      <c r="C2567" s="15" t="s">
        <v>141</v>
      </c>
      <c r="D2567" s="13" t="s">
        <v>134</v>
      </c>
      <c r="E2567" s="13" t="s">
        <v>5052</v>
      </c>
      <c r="F2567" s="43">
        <v>1244.8399999999999</v>
      </c>
    </row>
    <row r="2568" spans="2:6" x14ac:dyDescent="0.25">
      <c r="B2568" s="13">
        <v>1762</v>
      </c>
      <c r="C2568" s="15" t="s">
        <v>141</v>
      </c>
      <c r="D2568" s="13" t="s">
        <v>134</v>
      </c>
      <c r="E2568" s="13" t="s">
        <v>5053</v>
      </c>
      <c r="F2568" s="43">
        <v>3.63</v>
      </c>
    </row>
    <row r="2569" spans="2:6" x14ac:dyDescent="0.25">
      <c r="B2569" s="13">
        <v>1763</v>
      </c>
      <c r="C2569" s="15" t="s">
        <v>141</v>
      </c>
      <c r="D2569" s="13" t="s">
        <v>134</v>
      </c>
      <c r="E2569" s="13" t="s">
        <v>5054</v>
      </c>
      <c r="F2569" s="43">
        <v>3.71</v>
      </c>
    </row>
    <row r="2570" spans="2:6" x14ac:dyDescent="0.25">
      <c r="B2570" s="13">
        <v>1764</v>
      </c>
      <c r="C2570" s="15" t="s">
        <v>141</v>
      </c>
      <c r="D2570" s="13" t="s">
        <v>134</v>
      </c>
      <c r="E2570" s="13" t="s">
        <v>5055</v>
      </c>
      <c r="F2570" s="43">
        <v>4.42</v>
      </c>
    </row>
    <row r="2571" spans="2:6" x14ac:dyDescent="0.25">
      <c r="B2571" s="13">
        <v>1765</v>
      </c>
      <c r="C2571" s="15" t="s">
        <v>141</v>
      </c>
      <c r="D2571" s="13" t="s">
        <v>134</v>
      </c>
      <c r="E2571" s="13" t="s">
        <v>5056</v>
      </c>
      <c r="F2571" s="43">
        <v>6.32</v>
      </c>
    </row>
    <row r="2572" spans="2:6" x14ac:dyDescent="0.25">
      <c r="B2572" s="13">
        <v>1766</v>
      </c>
      <c r="C2572" s="15" t="s">
        <v>141</v>
      </c>
      <c r="D2572" s="13" t="s">
        <v>134</v>
      </c>
      <c r="E2572" s="13" t="s">
        <v>5057</v>
      </c>
      <c r="F2572" s="43">
        <v>9.4</v>
      </c>
    </row>
    <row r="2573" spans="2:6" x14ac:dyDescent="0.25">
      <c r="B2573" s="13">
        <v>1767</v>
      </c>
      <c r="C2573" s="15" t="s">
        <v>141</v>
      </c>
      <c r="D2573" s="13" t="s">
        <v>134</v>
      </c>
      <c r="E2573" s="13" t="s">
        <v>5058</v>
      </c>
      <c r="F2573" s="43">
        <v>13.46</v>
      </c>
    </row>
    <row r="2574" spans="2:6" x14ac:dyDescent="0.25">
      <c r="B2574" s="13">
        <v>1768</v>
      </c>
      <c r="C2574" s="15" t="s">
        <v>141</v>
      </c>
      <c r="D2574" s="13" t="s">
        <v>134</v>
      </c>
      <c r="E2574" s="13" t="s">
        <v>5059</v>
      </c>
      <c r="F2574" s="43">
        <v>3.7</v>
      </c>
    </row>
    <row r="2575" spans="2:6" x14ac:dyDescent="0.25">
      <c r="B2575" s="13">
        <v>1769</v>
      </c>
      <c r="C2575" s="15" t="s">
        <v>141</v>
      </c>
      <c r="D2575" s="13" t="s">
        <v>134</v>
      </c>
      <c r="E2575" s="13" t="s">
        <v>5060</v>
      </c>
      <c r="F2575" s="43">
        <v>4.42</v>
      </c>
    </row>
    <row r="2576" spans="2:6" x14ac:dyDescent="0.25">
      <c r="B2576" s="13">
        <v>1770</v>
      </c>
      <c r="C2576" s="15" t="s">
        <v>141</v>
      </c>
      <c r="D2576" s="13" t="s">
        <v>134</v>
      </c>
      <c r="E2576" s="13" t="s">
        <v>5061</v>
      </c>
      <c r="F2576" s="43">
        <v>5.97</v>
      </c>
    </row>
    <row r="2577" spans="2:6" x14ac:dyDescent="0.25">
      <c r="B2577" s="13">
        <v>1771</v>
      </c>
      <c r="C2577" s="15" t="s">
        <v>141</v>
      </c>
      <c r="D2577" s="13" t="s">
        <v>134</v>
      </c>
      <c r="E2577" s="13" t="s">
        <v>5062</v>
      </c>
      <c r="F2577" s="43">
        <v>7.31</v>
      </c>
    </row>
    <row r="2578" spans="2:6" x14ac:dyDescent="0.25">
      <c r="B2578" s="13">
        <v>1772</v>
      </c>
      <c r="C2578" s="15" t="s">
        <v>141</v>
      </c>
      <c r="D2578" s="13" t="s">
        <v>134</v>
      </c>
      <c r="E2578" s="13" t="s">
        <v>5063</v>
      </c>
      <c r="F2578" s="43">
        <v>11.25</v>
      </c>
    </row>
    <row r="2579" spans="2:6" x14ac:dyDescent="0.25">
      <c r="B2579" s="13">
        <v>1773</v>
      </c>
      <c r="C2579" s="15" t="s">
        <v>141</v>
      </c>
      <c r="D2579" s="13" t="s">
        <v>134</v>
      </c>
      <c r="E2579" s="13" t="s">
        <v>5064</v>
      </c>
      <c r="F2579" s="43">
        <v>15.67</v>
      </c>
    </row>
    <row r="2580" spans="2:6" x14ac:dyDescent="0.25">
      <c r="B2580" s="13">
        <v>1780</v>
      </c>
      <c r="C2580" s="15" t="s">
        <v>141</v>
      </c>
      <c r="D2580" s="13" t="s">
        <v>134</v>
      </c>
      <c r="E2580" s="13" t="s">
        <v>5065</v>
      </c>
      <c r="F2580" s="43">
        <v>1.62</v>
      </c>
    </row>
    <row r="2581" spans="2:6" x14ac:dyDescent="0.25">
      <c r="B2581" s="13">
        <v>1781</v>
      </c>
      <c r="C2581" s="15" t="s">
        <v>141</v>
      </c>
      <c r="D2581" s="13" t="s">
        <v>134</v>
      </c>
      <c r="E2581" s="13" t="s">
        <v>5066</v>
      </c>
      <c r="F2581" s="43">
        <v>2.21</v>
      </c>
    </row>
    <row r="2582" spans="2:6" x14ac:dyDescent="0.25">
      <c r="B2582" s="13">
        <v>1782</v>
      </c>
      <c r="C2582" s="15" t="s">
        <v>141</v>
      </c>
      <c r="D2582" s="13" t="s">
        <v>134</v>
      </c>
      <c r="E2582" s="13" t="s">
        <v>5067</v>
      </c>
      <c r="F2582" s="43">
        <v>3.24</v>
      </c>
    </row>
    <row r="2583" spans="2:6" x14ac:dyDescent="0.25">
      <c r="B2583" s="13">
        <v>1783</v>
      </c>
      <c r="C2583" s="15" t="s">
        <v>141</v>
      </c>
      <c r="D2583" s="13" t="s">
        <v>134</v>
      </c>
      <c r="E2583" s="13" t="s">
        <v>5068</v>
      </c>
      <c r="F2583" s="43">
        <v>4.3</v>
      </c>
    </row>
    <row r="2584" spans="2:6" x14ac:dyDescent="0.25">
      <c r="B2584" s="13">
        <v>1784</v>
      </c>
      <c r="C2584" s="15" t="s">
        <v>141</v>
      </c>
      <c r="D2584" s="13" t="s">
        <v>134</v>
      </c>
      <c r="E2584" s="13" t="s">
        <v>5069</v>
      </c>
      <c r="F2584" s="43">
        <v>7.1</v>
      </c>
    </row>
    <row r="2585" spans="2:6" x14ac:dyDescent="0.25">
      <c r="B2585" s="13">
        <v>1785</v>
      </c>
      <c r="C2585" s="15" t="s">
        <v>141</v>
      </c>
      <c r="D2585" s="13" t="s">
        <v>134</v>
      </c>
      <c r="E2585" s="13" t="s">
        <v>5070</v>
      </c>
      <c r="F2585" s="43">
        <v>10.41</v>
      </c>
    </row>
    <row r="2586" spans="2:6" x14ac:dyDescent="0.25">
      <c r="B2586" s="13">
        <v>1786</v>
      </c>
      <c r="C2586" s="15" t="s">
        <v>141</v>
      </c>
      <c r="D2586" s="13" t="s">
        <v>134</v>
      </c>
      <c r="E2586" s="13" t="s">
        <v>5071</v>
      </c>
      <c r="F2586" s="43">
        <v>18.420000000000002</v>
      </c>
    </row>
    <row r="2587" spans="2:6" x14ac:dyDescent="0.25">
      <c r="B2587" s="13">
        <v>1787</v>
      </c>
      <c r="C2587" s="15" t="s">
        <v>141</v>
      </c>
      <c r="D2587" s="13" t="s">
        <v>134</v>
      </c>
      <c r="E2587" s="13" t="s">
        <v>5072</v>
      </c>
      <c r="F2587" s="43">
        <v>31.7</v>
      </c>
    </row>
    <row r="2588" spans="2:6" x14ac:dyDescent="0.25">
      <c r="B2588" s="13">
        <v>1788</v>
      </c>
      <c r="C2588" s="15" t="s">
        <v>141</v>
      </c>
      <c r="D2588" s="13" t="s">
        <v>134</v>
      </c>
      <c r="E2588" s="13" t="s">
        <v>5073</v>
      </c>
      <c r="F2588" s="43">
        <v>53.05</v>
      </c>
    </row>
    <row r="2589" spans="2:6" x14ac:dyDescent="0.25">
      <c r="B2589" s="13">
        <v>1789</v>
      </c>
      <c r="C2589" s="15" t="s">
        <v>141</v>
      </c>
      <c r="D2589" s="13" t="s">
        <v>134</v>
      </c>
      <c r="E2589" s="13" t="s">
        <v>5074</v>
      </c>
      <c r="F2589" s="43">
        <v>106.04</v>
      </c>
    </row>
    <row r="2590" spans="2:6" x14ac:dyDescent="0.25">
      <c r="B2590" s="13">
        <v>1790</v>
      </c>
      <c r="C2590" s="15" t="s">
        <v>141</v>
      </c>
      <c r="D2590" s="13" t="s">
        <v>134</v>
      </c>
      <c r="E2590" s="13" t="s">
        <v>5075</v>
      </c>
      <c r="F2590" s="43">
        <v>130.76</v>
      </c>
    </row>
    <row r="2591" spans="2:6" x14ac:dyDescent="0.25">
      <c r="B2591" s="13">
        <v>1791</v>
      </c>
      <c r="C2591" s="15" t="s">
        <v>141</v>
      </c>
      <c r="D2591" s="13" t="s">
        <v>134</v>
      </c>
      <c r="E2591" s="13" t="s">
        <v>5076</v>
      </c>
      <c r="F2591" s="43">
        <v>156.25</v>
      </c>
    </row>
    <row r="2592" spans="2:6" x14ac:dyDescent="0.25">
      <c r="B2592" s="13">
        <v>1792</v>
      </c>
      <c r="C2592" s="15" t="s">
        <v>141</v>
      </c>
      <c r="D2592" s="13" t="s">
        <v>134</v>
      </c>
      <c r="E2592" s="13" t="s">
        <v>5077</v>
      </c>
      <c r="F2592" s="43">
        <v>292.01</v>
      </c>
    </row>
    <row r="2593" spans="2:6" x14ac:dyDescent="0.25">
      <c r="B2593" s="13">
        <v>1793</v>
      </c>
      <c r="C2593" s="15" t="s">
        <v>141</v>
      </c>
      <c r="D2593" s="13" t="s">
        <v>134</v>
      </c>
      <c r="E2593" s="13" t="s">
        <v>5078</v>
      </c>
      <c r="F2593" s="43">
        <v>418.92</v>
      </c>
    </row>
    <row r="2594" spans="2:6" x14ac:dyDescent="0.25">
      <c r="B2594" s="13">
        <v>1794</v>
      </c>
      <c r="C2594" s="15" t="s">
        <v>141</v>
      </c>
      <c r="D2594" s="13" t="s">
        <v>134</v>
      </c>
      <c r="E2594" s="13" t="s">
        <v>5079</v>
      </c>
      <c r="F2594" s="43">
        <v>935.83</v>
      </c>
    </row>
    <row r="2595" spans="2:6" x14ac:dyDescent="0.25">
      <c r="B2595" s="13">
        <v>1795</v>
      </c>
      <c r="C2595" s="15" t="s">
        <v>141</v>
      </c>
      <c r="D2595" s="13" t="s">
        <v>134</v>
      </c>
      <c r="E2595" s="13" t="s">
        <v>5080</v>
      </c>
      <c r="F2595" s="43">
        <v>1628.03</v>
      </c>
    </row>
    <row r="2596" spans="2:6" x14ac:dyDescent="0.25">
      <c r="B2596" s="13">
        <v>1796</v>
      </c>
      <c r="C2596" s="15" t="s">
        <v>141</v>
      </c>
      <c r="D2596" s="13" t="s">
        <v>134</v>
      </c>
      <c r="E2596" s="13" t="s">
        <v>5081</v>
      </c>
      <c r="F2596" s="43">
        <v>3.63</v>
      </c>
    </row>
    <row r="2597" spans="2:6" x14ac:dyDescent="0.25">
      <c r="B2597" s="13">
        <v>1797</v>
      </c>
      <c r="C2597" s="15" t="s">
        <v>141</v>
      </c>
      <c r="D2597" s="13" t="s">
        <v>134</v>
      </c>
      <c r="E2597" s="13" t="s">
        <v>5082</v>
      </c>
      <c r="F2597" s="43">
        <v>4.42</v>
      </c>
    </row>
    <row r="2598" spans="2:6" x14ac:dyDescent="0.25">
      <c r="B2598" s="13">
        <v>1798</v>
      </c>
      <c r="C2598" s="15" t="s">
        <v>141</v>
      </c>
      <c r="D2598" s="13" t="s">
        <v>134</v>
      </c>
      <c r="E2598" s="13" t="s">
        <v>5083</v>
      </c>
      <c r="F2598" s="43">
        <v>5.59</v>
      </c>
    </row>
    <row r="2599" spans="2:6" x14ac:dyDescent="0.25">
      <c r="B2599" s="13">
        <v>1799</v>
      </c>
      <c r="C2599" s="15" t="s">
        <v>141</v>
      </c>
      <c r="D2599" s="13" t="s">
        <v>134</v>
      </c>
      <c r="E2599" s="13" t="s">
        <v>5084</v>
      </c>
      <c r="F2599" s="43">
        <v>8.84</v>
      </c>
    </row>
    <row r="2600" spans="2:6" x14ac:dyDescent="0.25">
      <c r="B2600" s="13">
        <v>1800</v>
      </c>
      <c r="C2600" s="15" t="s">
        <v>141</v>
      </c>
      <c r="D2600" s="13" t="s">
        <v>134</v>
      </c>
      <c r="E2600" s="13" t="s">
        <v>5085</v>
      </c>
      <c r="F2600" s="43">
        <v>12.02</v>
      </c>
    </row>
    <row r="2601" spans="2:6" x14ac:dyDescent="0.25">
      <c r="B2601" s="13">
        <v>1801</v>
      </c>
      <c r="C2601" s="15" t="s">
        <v>141</v>
      </c>
      <c r="D2601" s="13" t="s">
        <v>134</v>
      </c>
      <c r="E2601" s="13" t="s">
        <v>5086</v>
      </c>
      <c r="F2601" s="43">
        <v>18.239999999999998</v>
      </c>
    </row>
    <row r="2602" spans="2:6" x14ac:dyDescent="0.25">
      <c r="B2602" s="13">
        <v>1802</v>
      </c>
      <c r="C2602" s="15" t="s">
        <v>141</v>
      </c>
      <c r="D2602" s="13" t="s">
        <v>134</v>
      </c>
      <c r="E2602" s="13" t="s">
        <v>5087</v>
      </c>
      <c r="F2602" s="43">
        <v>5.43</v>
      </c>
    </row>
    <row r="2603" spans="2:6" x14ac:dyDescent="0.25">
      <c r="B2603" s="13">
        <v>1803</v>
      </c>
      <c r="C2603" s="15" t="s">
        <v>141</v>
      </c>
      <c r="D2603" s="13" t="s">
        <v>134</v>
      </c>
      <c r="E2603" s="13" t="s">
        <v>5088</v>
      </c>
      <c r="F2603" s="43">
        <v>5.94</v>
      </c>
    </row>
    <row r="2604" spans="2:6" x14ac:dyDescent="0.25">
      <c r="B2604" s="13">
        <v>1804</v>
      </c>
      <c r="C2604" s="15" t="s">
        <v>141</v>
      </c>
      <c r="D2604" s="13" t="s">
        <v>134</v>
      </c>
      <c r="E2604" s="13" t="s">
        <v>5089</v>
      </c>
      <c r="F2604" s="43">
        <v>7.26</v>
      </c>
    </row>
    <row r="2605" spans="2:6" x14ac:dyDescent="0.25">
      <c r="B2605" s="13">
        <v>1805</v>
      </c>
      <c r="C2605" s="15" t="s">
        <v>141</v>
      </c>
      <c r="D2605" s="13" t="s">
        <v>134</v>
      </c>
      <c r="E2605" s="13" t="s">
        <v>5090</v>
      </c>
      <c r="F2605" s="43">
        <v>11.56</v>
      </c>
    </row>
    <row r="2606" spans="2:6" x14ac:dyDescent="0.25">
      <c r="B2606" s="13">
        <v>1806</v>
      </c>
      <c r="C2606" s="15" t="s">
        <v>141</v>
      </c>
      <c r="D2606" s="13" t="s">
        <v>134</v>
      </c>
      <c r="E2606" s="13" t="s">
        <v>5091</v>
      </c>
      <c r="F2606" s="43">
        <v>17.25</v>
      </c>
    </row>
    <row r="2607" spans="2:6" x14ac:dyDescent="0.25">
      <c r="B2607" s="13">
        <v>1807</v>
      </c>
      <c r="C2607" s="15" t="s">
        <v>141</v>
      </c>
      <c r="D2607" s="13" t="s">
        <v>134</v>
      </c>
      <c r="E2607" s="13" t="s">
        <v>5092</v>
      </c>
      <c r="F2607" s="43">
        <v>26.26</v>
      </c>
    </row>
    <row r="2608" spans="2:6" x14ac:dyDescent="0.25">
      <c r="B2608" s="13">
        <v>1808</v>
      </c>
      <c r="C2608" s="15" t="s">
        <v>141</v>
      </c>
      <c r="D2608" s="13" t="s">
        <v>134</v>
      </c>
      <c r="E2608" s="13" t="s">
        <v>5093</v>
      </c>
      <c r="F2608" s="43">
        <v>6.94</v>
      </c>
    </row>
    <row r="2609" spans="2:6" x14ac:dyDescent="0.25">
      <c r="B2609" s="13">
        <v>1809</v>
      </c>
      <c r="C2609" s="15" t="s">
        <v>141</v>
      </c>
      <c r="D2609" s="13" t="s">
        <v>134</v>
      </c>
      <c r="E2609" s="13" t="s">
        <v>5094</v>
      </c>
      <c r="F2609" s="43">
        <v>6.63</v>
      </c>
    </row>
    <row r="2610" spans="2:6" x14ac:dyDescent="0.25">
      <c r="B2610" s="13">
        <v>1810</v>
      </c>
      <c r="C2610" s="15" t="s">
        <v>141</v>
      </c>
      <c r="D2610" s="13" t="s">
        <v>134</v>
      </c>
      <c r="E2610" s="13" t="s">
        <v>5095</v>
      </c>
      <c r="F2610" s="43">
        <v>9.86</v>
      </c>
    </row>
    <row r="2611" spans="2:6" x14ac:dyDescent="0.25">
      <c r="B2611" s="13">
        <v>1811</v>
      </c>
      <c r="C2611" s="15" t="s">
        <v>141</v>
      </c>
      <c r="D2611" s="13" t="s">
        <v>134</v>
      </c>
      <c r="E2611" s="13" t="s">
        <v>5096</v>
      </c>
      <c r="F2611" s="43">
        <v>12.74</v>
      </c>
    </row>
    <row r="2612" spans="2:6" x14ac:dyDescent="0.25">
      <c r="B2612" s="13">
        <v>1812</v>
      </c>
      <c r="C2612" s="15" t="s">
        <v>141</v>
      </c>
      <c r="D2612" s="13" t="s">
        <v>134</v>
      </c>
      <c r="E2612" s="13" t="s">
        <v>5097</v>
      </c>
      <c r="F2612" s="43">
        <v>17.63</v>
      </c>
    </row>
    <row r="2613" spans="2:6" x14ac:dyDescent="0.25">
      <c r="B2613" s="13">
        <v>1813</v>
      </c>
      <c r="C2613" s="15" t="s">
        <v>141</v>
      </c>
      <c r="D2613" s="13" t="s">
        <v>134</v>
      </c>
      <c r="E2613" s="13" t="s">
        <v>5098</v>
      </c>
      <c r="F2613" s="43">
        <v>25.91</v>
      </c>
    </row>
    <row r="2614" spans="2:6" x14ac:dyDescent="0.25">
      <c r="B2614" s="13">
        <v>1814</v>
      </c>
      <c r="C2614" s="15" t="s">
        <v>141</v>
      </c>
      <c r="D2614" s="13" t="s">
        <v>134</v>
      </c>
      <c r="E2614" s="13" t="s">
        <v>5099</v>
      </c>
      <c r="F2614" s="43">
        <v>3</v>
      </c>
    </row>
    <row r="2615" spans="2:6" x14ac:dyDescent="0.25">
      <c r="B2615" s="13">
        <v>1815</v>
      </c>
      <c r="C2615" s="15" t="s">
        <v>141</v>
      </c>
      <c r="D2615" s="13" t="s">
        <v>134</v>
      </c>
      <c r="E2615" s="13" t="s">
        <v>5100</v>
      </c>
      <c r="F2615" s="43">
        <v>4.0999999999999996</v>
      </c>
    </row>
    <row r="2616" spans="2:6" x14ac:dyDescent="0.25">
      <c r="B2616" s="13">
        <v>1816</v>
      </c>
      <c r="C2616" s="15" t="s">
        <v>141</v>
      </c>
      <c r="D2616" s="13" t="s">
        <v>134</v>
      </c>
      <c r="E2616" s="13" t="s">
        <v>5101</v>
      </c>
      <c r="F2616" s="43">
        <v>3.74</v>
      </c>
    </row>
    <row r="2617" spans="2:6" x14ac:dyDescent="0.25">
      <c r="B2617" s="13">
        <v>1817</v>
      </c>
      <c r="C2617" s="15" t="s">
        <v>141</v>
      </c>
      <c r="D2617" s="13" t="s">
        <v>134</v>
      </c>
      <c r="E2617" s="13" t="s">
        <v>5102</v>
      </c>
      <c r="F2617" s="43">
        <v>5.87</v>
      </c>
    </row>
    <row r="2618" spans="2:6" x14ac:dyDescent="0.25">
      <c r="B2618" s="13">
        <v>1818</v>
      </c>
      <c r="C2618" s="15" t="s">
        <v>141</v>
      </c>
      <c r="D2618" s="13" t="s">
        <v>134</v>
      </c>
      <c r="E2618" s="13" t="s">
        <v>5103</v>
      </c>
      <c r="F2618" s="43">
        <v>6.65</v>
      </c>
    </row>
    <row r="2619" spans="2:6" x14ac:dyDescent="0.25">
      <c r="B2619" s="13">
        <v>1819</v>
      </c>
      <c r="C2619" s="15" t="s">
        <v>141</v>
      </c>
      <c r="D2619" s="13" t="s">
        <v>134</v>
      </c>
      <c r="E2619" s="13" t="s">
        <v>5104</v>
      </c>
      <c r="F2619" s="43">
        <v>6.65</v>
      </c>
    </row>
    <row r="2620" spans="2:6" x14ac:dyDescent="0.25">
      <c r="B2620" s="13">
        <v>1820</v>
      </c>
      <c r="C2620" s="15" t="s">
        <v>141</v>
      </c>
      <c r="D2620" s="13" t="s">
        <v>134</v>
      </c>
      <c r="E2620" s="13" t="s">
        <v>5105</v>
      </c>
      <c r="F2620" s="43">
        <v>8.98</v>
      </c>
    </row>
    <row r="2621" spans="2:6" x14ac:dyDescent="0.25">
      <c r="B2621" s="13">
        <v>1821</v>
      </c>
      <c r="C2621" s="15" t="s">
        <v>141</v>
      </c>
      <c r="D2621" s="13" t="s">
        <v>134</v>
      </c>
      <c r="E2621" s="13" t="s">
        <v>5106</v>
      </c>
      <c r="F2621" s="43">
        <v>9.1999999999999993</v>
      </c>
    </row>
    <row r="2622" spans="2:6" x14ac:dyDescent="0.25">
      <c r="B2622" s="13">
        <v>1822</v>
      </c>
      <c r="C2622" s="15" t="s">
        <v>141</v>
      </c>
      <c r="D2622" s="13" t="s">
        <v>134</v>
      </c>
      <c r="E2622" s="13" t="s">
        <v>5107</v>
      </c>
      <c r="F2622" s="43">
        <v>8.92</v>
      </c>
    </row>
    <row r="2623" spans="2:6" x14ac:dyDescent="0.25">
      <c r="B2623" s="13">
        <v>1823</v>
      </c>
      <c r="C2623" s="15" t="s">
        <v>141</v>
      </c>
      <c r="D2623" s="13" t="s">
        <v>134</v>
      </c>
      <c r="E2623" s="13" t="s">
        <v>5108</v>
      </c>
      <c r="F2623" s="43">
        <v>8.98</v>
      </c>
    </row>
    <row r="2624" spans="2:6" x14ac:dyDescent="0.25">
      <c r="B2624" s="13">
        <v>1824</v>
      </c>
      <c r="C2624" s="15" t="s">
        <v>141</v>
      </c>
      <c r="D2624" s="13" t="s">
        <v>134</v>
      </c>
      <c r="E2624" s="13" t="s">
        <v>5109</v>
      </c>
      <c r="F2624" s="43">
        <v>19.52</v>
      </c>
    </row>
    <row r="2625" spans="2:6" x14ac:dyDescent="0.25">
      <c r="B2625" s="13">
        <v>1825</v>
      </c>
      <c r="C2625" s="15" t="s">
        <v>141</v>
      </c>
      <c r="D2625" s="13" t="s">
        <v>134</v>
      </c>
      <c r="E2625" s="13" t="s">
        <v>5110</v>
      </c>
      <c r="F2625" s="43">
        <v>17.829999999999998</v>
      </c>
    </row>
    <row r="2626" spans="2:6" x14ac:dyDescent="0.25">
      <c r="B2626" s="13">
        <v>1826</v>
      </c>
      <c r="C2626" s="15" t="s">
        <v>141</v>
      </c>
      <c r="D2626" s="13" t="s">
        <v>134</v>
      </c>
      <c r="E2626" s="13" t="s">
        <v>5111</v>
      </c>
      <c r="F2626" s="43">
        <v>13.77</v>
      </c>
    </row>
    <row r="2627" spans="2:6" x14ac:dyDescent="0.25">
      <c r="B2627" s="13">
        <v>1827</v>
      </c>
      <c r="C2627" s="15" t="s">
        <v>141</v>
      </c>
      <c r="D2627" s="13" t="s">
        <v>134</v>
      </c>
      <c r="E2627" s="13" t="s">
        <v>5112</v>
      </c>
      <c r="F2627" s="43">
        <v>13.72</v>
      </c>
    </row>
    <row r="2628" spans="2:6" x14ac:dyDescent="0.25">
      <c r="B2628" s="13">
        <v>1828</v>
      </c>
      <c r="C2628" s="15" t="s">
        <v>141</v>
      </c>
      <c r="D2628" s="13" t="s">
        <v>134</v>
      </c>
      <c r="E2628" s="13" t="s">
        <v>5113</v>
      </c>
      <c r="F2628" s="43">
        <v>16.170000000000002</v>
      </c>
    </row>
    <row r="2629" spans="2:6" x14ac:dyDescent="0.25">
      <c r="B2629" s="13">
        <v>1829</v>
      </c>
      <c r="C2629" s="15" t="s">
        <v>141</v>
      </c>
      <c r="D2629" s="13" t="s">
        <v>134</v>
      </c>
      <c r="E2629" s="13" t="s">
        <v>5114</v>
      </c>
      <c r="F2629" s="43">
        <v>23.06</v>
      </c>
    </row>
    <row r="2630" spans="2:6" x14ac:dyDescent="0.25">
      <c r="B2630" s="13">
        <v>1830</v>
      </c>
      <c r="C2630" s="15" t="s">
        <v>141</v>
      </c>
      <c r="D2630" s="13" t="s">
        <v>134</v>
      </c>
      <c r="E2630" s="13" t="s">
        <v>5115</v>
      </c>
      <c r="F2630" s="43">
        <v>23.06</v>
      </c>
    </row>
    <row r="2631" spans="2:6" x14ac:dyDescent="0.25">
      <c r="B2631" s="13">
        <v>1831</v>
      </c>
      <c r="C2631" s="15" t="s">
        <v>141</v>
      </c>
      <c r="D2631" s="13" t="s">
        <v>134</v>
      </c>
      <c r="E2631" s="13" t="s">
        <v>5116</v>
      </c>
      <c r="F2631" s="43">
        <v>22.62</v>
      </c>
    </row>
    <row r="2632" spans="2:6" x14ac:dyDescent="0.25">
      <c r="B2632" s="13">
        <v>1832</v>
      </c>
      <c r="C2632" s="15" t="s">
        <v>141</v>
      </c>
      <c r="D2632" s="13" t="s">
        <v>134</v>
      </c>
      <c r="E2632" s="13" t="s">
        <v>5117</v>
      </c>
      <c r="F2632" s="43">
        <v>25.72</v>
      </c>
    </row>
    <row r="2633" spans="2:6" x14ac:dyDescent="0.25">
      <c r="B2633" s="13">
        <v>1833</v>
      </c>
      <c r="C2633" s="15" t="s">
        <v>141</v>
      </c>
      <c r="D2633" s="13" t="s">
        <v>134</v>
      </c>
      <c r="E2633" s="13" t="s">
        <v>5118</v>
      </c>
      <c r="F2633" s="43">
        <v>44.59</v>
      </c>
    </row>
    <row r="2634" spans="2:6" x14ac:dyDescent="0.25">
      <c r="B2634" s="13">
        <v>1834</v>
      </c>
      <c r="C2634" s="15" t="s">
        <v>141</v>
      </c>
      <c r="D2634" s="13" t="s">
        <v>134</v>
      </c>
      <c r="E2634" s="13" t="s">
        <v>5119</v>
      </c>
      <c r="F2634" s="43">
        <v>44.59</v>
      </c>
    </row>
    <row r="2635" spans="2:6" x14ac:dyDescent="0.25">
      <c r="B2635" s="13">
        <v>1835</v>
      </c>
      <c r="C2635" s="15" t="s">
        <v>141</v>
      </c>
      <c r="D2635" s="13" t="s">
        <v>134</v>
      </c>
      <c r="E2635" s="13" t="s">
        <v>5120</v>
      </c>
      <c r="F2635" s="43">
        <v>44.59</v>
      </c>
    </row>
    <row r="2636" spans="2:6" x14ac:dyDescent="0.25">
      <c r="B2636" s="13">
        <v>1836</v>
      </c>
      <c r="C2636" s="15" t="s">
        <v>141</v>
      </c>
      <c r="D2636" s="13" t="s">
        <v>134</v>
      </c>
      <c r="E2636" s="13" t="s">
        <v>5121</v>
      </c>
      <c r="F2636" s="43">
        <v>44.59</v>
      </c>
    </row>
    <row r="2637" spans="2:6" x14ac:dyDescent="0.25">
      <c r="B2637" s="13">
        <v>1837</v>
      </c>
      <c r="C2637" s="15" t="s">
        <v>141</v>
      </c>
      <c r="D2637" s="13" t="s">
        <v>134</v>
      </c>
      <c r="E2637" s="13" t="s">
        <v>5122</v>
      </c>
      <c r="F2637" s="43">
        <v>59.63</v>
      </c>
    </row>
    <row r="2638" spans="2:6" x14ac:dyDescent="0.25">
      <c r="B2638" s="13">
        <v>1838</v>
      </c>
      <c r="C2638" s="15" t="s">
        <v>141</v>
      </c>
      <c r="D2638" s="13" t="s">
        <v>134</v>
      </c>
      <c r="E2638" s="13" t="s">
        <v>5123</v>
      </c>
      <c r="F2638" s="43">
        <v>53.54</v>
      </c>
    </row>
    <row r="2639" spans="2:6" x14ac:dyDescent="0.25">
      <c r="B2639" s="13">
        <v>1839</v>
      </c>
      <c r="C2639" s="15" t="s">
        <v>141</v>
      </c>
      <c r="D2639" s="13" t="s">
        <v>134</v>
      </c>
      <c r="E2639" s="13" t="s">
        <v>5124</v>
      </c>
      <c r="F2639" s="43">
        <v>53.54</v>
      </c>
    </row>
    <row r="2640" spans="2:6" x14ac:dyDescent="0.25">
      <c r="B2640" s="13">
        <v>1840</v>
      </c>
      <c r="C2640" s="15" t="s">
        <v>141</v>
      </c>
      <c r="D2640" s="13" t="s">
        <v>134</v>
      </c>
      <c r="E2640" s="13" t="s">
        <v>5125</v>
      </c>
      <c r="F2640" s="43">
        <v>53.54</v>
      </c>
    </row>
    <row r="2641" spans="2:6" x14ac:dyDescent="0.25">
      <c r="B2641" s="13">
        <v>1841</v>
      </c>
      <c r="C2641" s="15" t="s">
        <v>141</v>
      </c>
      <c r="D2641" s="13" t="s">
        <v>134</v>
      </c>
      <c r="E2641" s="13" t="s">
        <v>5126</v>
      </c>
      <c r="F2641" s="43">
        <v>98.12</v>
      </c>
    </row>
    <row r="2642" spans="2:6" x14ac:dyDescent="0.25">
      <c r="B2642" s="13">
        <v>1842</v>
      </c>
      <c r="C2642" s="15" t="s">
        <v>141</v>
      </c>
      <c r="D2642" s="13" t="s">
        <v>134</v>
      </c>
      <c r="E2642" s="13" t="s">
        <v>5127</v>
      </c>
      <c r="F2642" s="43">
        <v>98.12</v>
      </c>
    </row>
    <row r="2643" spans="2:6" x14ac:dyDescent="0.25">
      <c r="B2643" s="13">
        <v>1843</v>
      </c>
      <c r="C2643" s="15" t="s">
        <v>141</v>
      </c>
      <c r="D2643" s="13" t="s">
        <v>134</v>
      </c>
      <c r="E2643" s="13" t="s">
        <v>5128</v>
      </c>
      <c r="F2643" s="43">
        <v>98.12</v>
      </c>
    </row>
    <row r="2644" spans="2:6" x14ac:dyDescent="0.25">
      <c r="B2644" s="13">
        <v>1844</v>
      </c>
      <c r="C2644" s="15" t="s">
        <v>141</v>
      </c>
      <c r="D2644" s="13" t="s">
        <v>134</v>
      </c>
      <c r="E2644" s="13" t="s">
        <v>5129</v>
      </c>
      <c r="F2644" s="43">
        <v>109.31</v>
      </c>
    </row>
    <row r="2645" spans="2:6" x14ac:dyDescent="0.25">
      <c r="B2645" s="13">
        <v>1845</v>
      </c>
      <c r="C2645" s="15" t="s">
        <v>141</v>
      </c>
      <c r="D2645" s="13" t="s">
        <v>134</v>
      </c>
      <c r="E2645" s="13" t="s">
        <v>5130</v>
      </c>
      <c r="F2645" s="43">
        <v>142.13</v>
      </c>
    </row>
    <row r="2646" spans="2:6" x14ac:dyDescent="0.25">
      <c r="B2646" s="13">
        <v>1846</v>
      </c>
      <c r="C2646" s="15" t="s">
        <v>141</v>
      </c>
      <c r="D2646" s="13" t="s">
        <v>134</v>
      </c>
      <c r="E2646" s="13" t="s">
        <v>5131</v>
      </c>
      <c r="F2646" s="43">
        <v>132.49</v>
      </c>
    </row>
    <row r="2647" spans="2:6" x14ac:dyDescent="0.25">
      <c r="B2647" s="13">
        <v>1847</v>
      </c>
      <c r="C2647" s="15" t="s">
        <v>141</v>
      </c>
      <c r="D2647" s="13" t="s">
        <v>134</v>
      </c>
      <c r="E2647" s="13" t="s">
        <v>5132</v>
      </c>
      <c r="F2647" s="43">
        <v>142.13</v>
      </c>
    </row>
    <row r="2648" spans="2:6" x14ac:dyDescent="0.25">
      <c r="B2648" s="13">
        <v>1848</v>
      </c>
      <c r="C2648" s="15" t="s">
        <v>141</v>
      </c>
      <c r="D2648" s="13" t="s">
        <v>134</v>
      </c>
      <c r="E2648" s="13" t="s">
        <v>5133</v>
      </c>
      <c r="F2648" s="43">
        <v>146.43</v>
      </c>
    </row>
    <row r="2649" spans="2:6" x14ac:dyDescent="0.25">
      <c r="B2649" s="13">
        <v>1849</v>
      </c>
      <c r="C2649" s="15" t="s">
        <v>141</v>
      </c>
      <c r="D2649" s="13" t="s">
        <v>134</v>
      </c>
      <c r="E2649" s="13" t="s">
        <v>5134</v>
      </c>
      <c r="F2649" s="43">
        <v>4.07</v>
      </c>
    </row>
    <row r="2650" spans="2:6" x14ac:dyDescent="0.25">
      <c r="B2650" s="13">
        <v>1850</v>
      </c>
      <c r="C2650" s="15" t="s">
        <v>141</v>
      </c>
      <c r="D2650" s="13" t="s">
        <v>134</v>
      </c>
      <c r="E2650" s="13" t="s">
        <v>5135</v>
      </c>
      <c r="F2650" s="43">
        <v>5.79</v>
      </c>
    </row>
    <row r="2651" spans="2:6" x14ac:dyDescent="0.25">
      <c r="B2651" s="13">
        <v>1851</v>
      </c>
      <c r="C2651" s="15" t="s">
        <v>141</v>
      </c>
      <c r="D2651" s="13" t="s">
        <v>134</v>
      </c>
      <c r="E2651" s="13" t="s">
        <v>5136</v>
      </c>
      <c r="F2651" s="43">
        <v>5.15</v>
      </c>
    </row>
    <row r="2652" spans="2:6" x14ac:dyDescent="0.25">
      <c r="B2652" s="13">
        <v>1852</v>
      </c>
      <c r="C2652" s="15" t="s">
        <v>141</v>
      </c>
      <c r="D2652" s="13" t="s">
        <v>134</v>
      </c>
      <c r="E2652" s="13" t="s">
        <v>5137</v>
      </c>
      <c r="F2652" s="43">
        <v>6.94</v>
      </c>
    </row>
    <row r="2653" spans="2:6" x14ac:dyDescent="0.25">
      <c r="B2653" s="13">
        <v>1853</v>
      </c>
      <c r="C2653" s="15" t="s">
        <v>141</v>
      </c>
      <c r="D2653" s="13" t="s">
        <v>134</v>
      </c>
      <c r="E2653" s="13" t="s">
        <v>5138</v>
      </c>
      <c r="F2653" s="43">
        <v>7.76</v>
      </c>
    </row>
    <row r="2654" spans="2:6" x14ac:dyDescent="0.25">
      <c r="B2654" s="13">
        <v>1854</v>
      </c>
      <c r="C2654" s="15" t="s">
        <v>141</v>
      </c>
      <c r="D2654" s="13" t="s">
        <v>134</v>
      </c>
      <c r="E2654" s="13" t="s">
        <v>5139</v>
      </c>
      <c r="F2654" s="43">
        <v>8.39</v>
      </c>
    </row>
    <row r="2655" spans="2:6" x14ac:dyDescent="0.25">
      <c r="B2655" s="13">
        <v>1855</v>
      </c>
      <c r="C2655" s="15" t="s">
        <v>141</v>
      </c>
      <c r="D2655" s="13" t="s">
        <v>134</v>
      </c>
      <c r="E2655" s="13" t="s">
        <v>5140</v>
      </c>
      <c r="F2655" s="43">
        <v>12.59</v>
      </c>
    </row>
    <row r="2656" spans="2:6" x14ac:dyDescent="0.25">
      <c r="B2656" s="13">
        <v>1856</v>
      </c>
      <c r="C2656" s="15" t="s">
        <v>141</v>
      </c>
      <c r="D2656" s="13" t="s">
        <v>134</v>
      </c>
      <c r="E2656" s="13" t="s">
        <v>5141</v>
      </c>
      <c r="F2656" s="43">
        <v>11.69</v>
      </c>
    </row>
    <row r="2657" spans="2:6" x14ac:dyDescent="0.25">
      <c r="B2657" s="13">
        <v>1857</v>
      </c>
      <c r="C2657" s="15" t="s">
        <v>141</v>
      </c>
      <c r="D2657" s="13" t="s">
        <v>134</v>
      </c>
      <c r="E2657" s="13" t="s">
        <v>5142</v>
      </c>
      <c r="F2657" s="43">
        <v>11.69</v>
      </c>
    </row>
    <row r="2658" spans="2:6" x14ac:dyDescent="0.25">
      <c r="B2658" s="13">
        <v>1858</v>
      </c>
      <c r="C2658" s="15" t="s">
        <v>141</v>
      </c>
      <c r="D2658" s="13" t="s">
        <v>134</v>
      </c>
      <c r="E2658" s="13" t="s">
        <v>5143</v>
      </c>
      <c r="F2658" s="43">
        <v>11.69</v>
      </c>
    </row>
    <row r="2659" spans="2:6" x14ac:dyDescent="0.25">
      <c r="B2659" s="13">
        <v>1859</v>
      </c>
      <c r="C2659" s="15" t="s">
        <v>141</v>
      </c>
      <c r="D2659" s="13" t="s">
        <v>134</v>
      </c>
      <c r="E2659" s="13" t="s">
        <v>5144</v>
      </c>
      <c r="F2659" s="43">
        <v>18.2</v>
      </c>
    </row>
    <row r="2660" spans="2:6" x14ac:dyDescent="0.25">
      <c r="B2660" s="13">
        <v>1860</v>
      </c>
      <c r="C2660" s="15" t="s">
        <v>141</v>
      </c>
      <c r="D2660" s="13" t="s">
        <v>134</v>
      </c>
      <c r="E2660" s="13" t="s">
        <v>5145</v>
      </c>
      <c r="F2660" s="43">
        <v>19.989999999999998</v>
      </c>
    </row>
    <row r="2661" spans="2:6" x14ac:dyDescent="0.25">
      <c r="B2661" s="13">
        <v>1861</v>
      </c>
      <c r="C2661" s="15" t="s">
        <v>141</v>
      </c>
      <c r="D2661" s="13" t="s">
        <v>134</v>
      </c>
      <c r="E2661" s="13" t="s">
        <v>5146</v>
      </c>
      <c r="F2661" s="43">
        <v>20.25</v>
      </c>
    </row>
    <row r="2662" spans="2:6" x14ac:dyDescent="0.25">
      <c r="B2662" s="13">
        <v>1862</v>
      </c>
      <c r="C2662" s="15" t="s">
        <v>141</v>
      </c>
      <c r="D2662" s="13" t="s">
        <v>134</v>
      </c>
      <c r="E2662" s="13" t="s">
        <v>5147</v>
      </c>
      <c r="F2662" s="43">
        <v>18.2</v>
      </c>
    </row>
    <row r="2663" spans="2:6" x14ac:dyDescent="0.25">
      <c r="B2663" s="13">
        <v>1863</v>
      </c>
      <c r="C2663" s="15" t="s">
        <v>141</v>
      </c>
      <c r="D2663" s="13" t="s">
        <v>134</v>
      </c>
      <c r="E2663" s="13" t="s">
        <v>5148</v>
      </c>
      <c r="F2663" s="43">
        <v>20.83</v>
      </c>
    </row>
    <row r="2664" spans="2:6" x14ac:dyDescent="0.25">
      <c r="B2664" s="13">
        <v>1864</v>
      </c>
      <c r="C2664" s="15" t="s">
        <v>141</v>
      </c>
      <c r="D2664" s="13" t="s">
        <v>134</v>
      </c>
      <c r="E2664" s="13" t="s">
        <v>5149</v>
      </c>
      <c r="F2664" s="43">
        <v>26.41</v>
      </c>
    </row>
    <row r="2665" spans="2:6" x14ac:dyDescent="0.25">
      <c r="B2665" s="13">
        <v>1865</v>
      </c>
      <c r="C2665" s="15" t="s">
        <v>141</v>
      </c>
      <c r="D2665" s="13" t="s">
        <v>134</v>
      </c>
      <c r="E2665" s="13" t="s">
        <v>5150</v>
      </c>
      <c r="F2665" s="43">
        <v>25.97</v>
      </c>
    </row>
    <row r="2666" spans="2:6" x14ac:dyDescent="0.25">
      <c r="B2666" s="13">
        <v>1866</v>
      </c>
      <c r="C2666" s="15" t="s">
        <v>141</v>
      </c>
      <c r="D2666" s="13" t="s">
        <v>134</v>
      </c>
      <c r="E2666" s="13" t="s">
        <v>5151</v>
      </c>
      <c r="F2666" s="43">
        <v>28.9</v>
      </c>
    </row>
    <row r="2667" spans="2:6" x14ac:dyDescent="0.25">
      <c r="B2667" s="13">
        <v>1867</v>
      </c>
      <c r="C2667" s="15" t="s">
        <v>141</v>
      </c>
      <c r="D2667" s="13" t="s">
        <v>134</v>
      </c>
      <c r="E2667" s="13" t="s">
        <v>5152</v>
      </c>
      <c r="F2667" s="43">
        <v>28.94</v>
      </c>
    </row>
    <row r="2668" spans="2:6" x14ac:dyDescent="0.25">
      <c r="B2668" s="13">
        <v>1868</v>
      </c>
      <c r="C2668" s="15" t="s">
        <v>141</v>
      </c>
      <c r="D2668" s="13" t="s">
        <v>134</v>
      </c>
      <c r="E2668" s="13" t="s">
        <v>5153</v>
      </c>
      <c r="F2668" s="43">
        <v>46.21</v>
      </c>
    </row>
    <row r="2669" spans="2:6" x14ac:dyDescent="0.25">
      <c r="B2669" s="13">
        <v>1869</v>
      </c>
      <c r="C2669" s="15" t="s">
        <v>141</v>
      </c>
      <c r="D2669" s="13" t="s">
        <v>134</v>
      </c>
      <c r="E2669" s="13" t="s">
        <v>5154</v>
      </c>
      <c r="F2669" s="43">
        <v>46.07</v>
      </c>
    </row>
    <row r="2670" spans="2:6" x14ac:dyDescent="0.25">
      <c r="B2670" s="13">
        <v>1870</v>
      </c>
      <c r="C2670" s="15" t="s">
        <v>141</v>
      </c>
      <c r="D2670" s="13" t="s">
        <v>134</v>
      </c>
      <c r="E2670" s="13" t="s">
        <v>5155</v>
      </c>
      <c r="F2670" s="43">
        <v>40.97</v>
      </c>
    </row>
    <row r="2671" spans="2:6" x14ac:dyDescent="0.25">
      <c r="B2671" s="13">
        <v>1871</v>
      </c>
      <c r="C2671" s="15" t="s">
        <v>141</v>
      </c>
      <c r="D2671" s="13" t="s">
        <v>134</v>
      </c>
      <c r="E2671" s="13" t="s">
        <v>5156</v>
      </c>
      <c r="F2671" s="43">
        <v>53.06</v>
      </c>
    </row>
    <row r="2672" spans="2:6" x14ac:dyDescent="0.25">
      <c r="B2672" s="13">
        <v>1872</v>
      </c>
      <c r="C2672" s="15" t="s">
        <v>141</v>
      </c>
      <c r="D2672" s="13" t="s">
        <v>134</v>
      </c>
      <c r="E2672" s="13" t="s">
        <v>5157</v>
      </c>
      <c r="F2672" s="43">
        <v>1.66</v>
      </c>
    </row>
    <row r="2673" spans="2:6" x14ac:dyDescent="0.25">
      <c r="B2673" s="13">
        <v>1873</v>
      </c>
      <c r="C2673" s="15" t="s">
        <v>141</v>
      </c>
      <c r="D2673" s="13" t="s">
        <v>134</v>
      </c>
      <c r="E2673" s="13" t="s">
        <v>5158</v>
      </c>
      <c r="F2673" s="43">
        <v>1.9</v>
      </c>
    </row>
    <row r="2674" spans="2:6" x14ac:dyDescent="0.25">
      <c r="B2674" s="13">
        <v>1874</v>
      </c>
      <c r="C2674" s="15" t="s">
        <v>141</v>
      </c>
      <c r="D2674" s="13" t="s">
        <v>134</v>
      </c>
      <c r="E2674" s="13" t="s">
        <v>5159</v>
      </c>
      <c r="F2674" s="43">
        <v>1.91</v>
      </c>
    </row>
    <row r="2675" spans="2:6" x14ac:dyDescent="0.25">
      <c r="B2675" s="13">
        <v>1875</v>
      </c>
      <c r="C2675" s="15" t="s">
        <v>141</v>
      </c>
      <c r="D2675" s="13" t="s">
        <v>134</v>
      </c>
      <c r="E2675" s="13" t="s">
        <v>5160</v>
      </c>
      <c r="F2675" s="43">
        <v>2.78</v>
      </c>
    </row>
    <row r="2676" spans="2:6" x14ac:dyDescent="0.25">
      <c r="B2676" s="13">
        <v>1876</v>
      </c>
      <c r="C2676" s="15" t="s">
        <v>141</v>
      </c>
      <c r="D2676" s="13" t="s">
        <v>134</v>
      </c>
      <c r="E2676" s="13" t="s">
        <v>5161</v>
      </c>
      <c r="F2676" s="43">
        <v>3.82</v>
      </c>
    </row>
    <row r="2677" spans="2:6" x14ac:dyDescent="0.25">
      <c r="B2677" s="13">
        <v>1877</v>
      </c>
      <c r="C2677" s="15" t="s">
        <v>141</v>
      </c>
      <c r="D2677" s="13" t="s">
        <v>134</v>
      </c>
      <c r="E2677" s="13" t="s">
        <v>5162</v>
      </c>
      <c r="F2677" s="43">
        <v>5.45</v>
      </c>
    </row>
    <row r="2678" spans="2:6" x14ac:dyDescent="0.25">
      <c r="B2678" s="13">
        <v>1878</v>
      </c>
      <c r="C2678" s="15" t="s">
        <v>141</v>
      </c>
      <c r="D2678" s="13" t="s">
        <v>134</v>
      </c>
      <c r="E2678" s="13" t="s">
        <v>5163</v>
      </c>
      <c r="F2678" s="43">
        <v>11.79</v>
      </c>
    </row>
    <row r="2679" spans="2:6" x14ac:dyDescent="0.25">
      <c r="B2679" s="13">
        <v>1879</v>
      </c>
      <c r="C2679" s="15" t="s">
        <v>141</v>
      </c>
      <c r="D2679" s="13" t="s">
        <v>134</v>
      </c>
      <c r="E2679" s="13" t="s">
        <v>5164</v>
      </c>
      <c r="F2679" s="43">
        <v>15.04</v>
      </c>
    </row>
    <row r="2680" spans="2:6" x14ac:dyDescent="0.25">
      <c r="B2680" s="13">
        <v>1880</v>
      </c>
      <c r="C2680" s="15" t="s">
        <v>141</v>
      </c>
      <c r="D2680" s="13" t="s">
        <v>134</v>
      </c>
      <c r="E2680" s="13" t="s">
        <v>5165</v>
      </c>
      <c r="F2680" s="43">
        <v>21.47</v>
      </c>
    </row>
    <row r="2681" spans="2:6" x14ac:dyDescent="0.25">
      <c r="B2681" s="13">
        <v>1881</v>
      </c>
      <c r="C2681" s="15" t="s">
        <v>141</v>
      </c>
      <c r="D2681" s="13" t="s">
        <v>134</v>
      </c>
      <c r="E2681" s="13" t="s">
        <v>5166</v>
      </c>
      <c r="F2681" s="43">
        <v>41.65</v>
      </c>
    </row>
    <row r="2682" spans="2:6" x14ac:dyDescent="0.25">
      <c r="B2682" s="13">
        <v>1882</v>
      </c>
      <c r="C2682" s="15" t="s">
        <v>141</v>
      </c>
      <c r="D2682" s="13" t="s">
        <v>134</v>
      </c>
      <c r="E2682" s="13" t="s">
        <v>5167</v>
      </c>
      <c r="F2682" s="43">
        <v>61.78</v>
      </c>
    </row>
    <row r="2683" spans="2:6" x14ac:dyDescent="0.25">
      <c r="B2683" s="13">
        <v>1883</v>
      </c>
      <c r="C2683" s="15" t="s">
        <v>141</v>
      </c>
      <c r="D2683" s="13" t="s">
        <v>134</v>
      </c>
      <c r="E2683" s="13" t="s">
        <v>5168</v>
      </c>
      <c r="F2683" s="43">
        <v>82.25</v>
      </c>
    </row>
    <row r="2684" spans="2:6" x14ac:dyDescent="0.25">
      <c r="B2684" s="13">
        <v>1884</v>
      </c>
      <c r="C2684" s="15" t="s">
        <v>141</v>
      </c>
      <c r="D2684" s="13" t="s">
        <v>134</v>
      </c>
      <c r="E2684" s="13" t="s">
        <v>5169</v>
      </c>
      <c r="F2684" s="43">
        <v>122.69</v>
      </c>
    </row>
    <row r="2685" spans="2:6" x14ac:dyDescent="0.25">
      <c r="B2685" s="13">
        <v>1885</v>
      </c>
      <c r="C2685" s="15" t="s">
        <v>141</v>
      </c>
      <c r="D2685" s="13" t="s">
        <v>134</v>
      </c>
      <c r="E2685" s="13" t="s">
        <v>5170</v>
      </c>
      <c r="F2685" s="43">
        <v>204.43</v>
      </c>
    </row>
    <row r="2686" spans="2:6" x14ac:dyDescent="0.25">
      <c r="B2686" s="13">
        <v>1886</v>
      </c>
      <c r="C2686" s="15" t="s">
        <v>141</v>
      </c>
      <c r="D2686" s="13" t="s">
        <v>134</v>
      </c>
      <c r="E2686" s="13" t="s">
        <v>5171</v>
      </c>
      <c r="F2686" s="43">
        <v>398.8</v>
      </c>
    </row>
    <row r="2687" spans="2:6" x14ac:dyDescent="0.25">
      <c r="B2687" s="13">
        <v>1887</v>
      </c>
      <c r="C2687" s="15" t="s">
        <v>141</v>
      </c>
      <c r="D2687" s="13" t="s">
        <v>134</v>
      </c>
      <c r="E2687" s="13" t="s">
        <v>5172</v>
      </c>
      <c r="F2687" s="43">
        <v>713.39</v>
      </c>
    </row>
    <row r="2688" spans="2:6" x14ac:dyDescent="0.25">
      <c r="B2688" s="13">
        <v>1889</v>
      </c>
      <c r="C2688" s="15" t="s">
        <v>141</v>
      </c>
      <c r="D2688" s="13" t="s">
        <v>134</v>
      </c>
      <c r="E2688" s="13" t="s">
        <v>5173</v>
      </c>
      <c r="F2688" s="43">
        <v>2.86</v>
      </c>
    </row>
    <row r="2689" spans="2:6" x14ac:dyDescent="0.25">
      <c r="B2689" s="13">
        <v>1890</v>
      </c>
      <c r="C2689" s="15" t="s">
        <v>141</v>
      </c>
      <c r="D2689" s="13" t="s">
        <v>134</v>
      </c>
      <c r="E2689" s="13" t="s">
        <v>5174</v>
      </c>
      <c r="F2689" s="43">
        <v>3.24</v>
      </c>
    </row>
    <row r="2690" spans="2:6" x14ac:dyDescent="0.25">
      <c r="B2690" s="13">
        <v>1891</v>
      </c>
      <c r="C2690" s="15" t="s">
        <v>141</v>
      </c>
      <c r="D2690" s="13" t="s">
        <v>134</v>
      </c>
      <c r="E2690" s="13" t="s">
        <v>5175</v>
      </c>
      <c r="F2690" s="43">
        <v>3.63</v>
      </c>
    </row>
    <row r="2691" spans="2:6" x14ac:dyDescent="0.25">
      <c r="B2691" s="13">
        <v>1892</v>
      </c>
      <c r="C2691" s="15" t="s">
        <v>141</v>
      </c>
      <c r="D2691" s="13" t="s">
        <v>134</v>
      </c>
      <c r="E2691" s="13" t="s">
        <v>5176</v>
      </c>
      <c r="F2691" s="43">
        <v>5.01</v>
      </c>
    </row>
    <row r="2692" spans="2:6" x14ac:dyDescent="0.25">
      <c r="B2692" s="13">
        <v>1893</v>
      </c>
      <c r="C2692" s="15" t="s">
        <v>141</v>
      </c>
      <c r="D2692" s="13" t="s">
        <v>134</v>
      </c>
      <c r="E2692" s="13" t="s">
        <v>5177</v>
      </c>
      <c r="F2692" s="43">
        <v>7.26</v>
      </c>
    </row>
    <row r="2693" spans="2:6" x14ac:dyDescent="0.25">
      <c r="B2693" s="13">
        <v>1894</v>
      </c>
      <c r="C2693" s="15" t="s">
        <v>141</v>
      </c>
      <c r="D2693" s="13" t="s">
        <v>134</v>
      </c>
      <c r="E2693" s="13" t="s">
        <v>5178</v>
      </c>
      <c r="F2693" s="43">
        <v>9.93</v>
      </c>
    </row>
    <row r="2694" spans="2:6" x14ac:dyDescent="0.25">
      <c r="B2694" s="13">
        <v>1895</v>
      </c>
      <c r="C2694" s="15" t="s">
        <v>141</v>
      </c>
      <c r="D2694" s="13" t="s">
        <v>134</v>
      </c>
      <c r="E2694" s="13" t="s">
        <v>5179</v>
      </c>
      <c r="F2694" s="43">
        <v>21.41</v>
      </c>
    </row>
    <row r="2695" spans="2:6" x14ac:dyDescent="0.25">
      <c r="B2695" s="13">
        <v>1896</v>
      </c>
      <c r="C2695" s="15" t="s">
        <v>141</v>
      </c>
      <c r="D2695" s="13" t="s">
        <v>134</v>
      </c>
      <c r="E2695" s="13" t="s">
        <v>5180</v>
      </c>
      <c r="F2695" s="43">
        <v>31.55</v>
      </c>
    </row>
    <row r="2696" spans="2:6" x14ac:dyDescent="0.25">
      <c r="B2696" s="13">
        <v>1897</v>
      </c>
      <c r="C2696" s="15" t="s">
        <v>141</v>
      </c>
      <c r="D2696" s="13" t="s">
        <v>134</v>
      </c>
      <c r="E2696" s="13" t="s">
        <v>5181</v>
      </c>
      <c r="F2696" s="43">
        <v>48.47</v>
      </c>
    </row>
    <row r="2697" spans="2:6" x14ac:dyDescent="0.25">
      <c r="B2697" s="13">
        <v>1899</v>
      </c>
      <c r="C2697" s="15" t="s">
        <v>141</v>
      </c>
      <c r="D2697" s="13" t="s">
        <v>134</v>
      </c>
      <c r="E2697" s="13" t="s">
        <v>5182</v>
      </c>
      <c r="F2697" s="43">
        <v>3.21</v>
      </c>
    </row>
    <row r="2698" spans="2:6" x14ac:dyDescent="0.25">
      <c r="B2698" s="13">
        <v>1900</v>
      </c>
      <c r="C2698" s="15" t="s">
        <v>141</v>
      </c>
      <c r="D2698" s="13" t="s">
        <v>134</v>
      </c>
      <c r="E2698" s="13" t="s">
        <v>5183</v>
      </c>
      <c r="F2698" s="43">
        <v>4.13</v>
      </c>
    </row>
    <row r="2699" spans="2:6" x14ac:dyDescent="0.25">
      <c r="B2699" s="13">
        <v>1901</v>
      </c>
      <c r="C2699" s="15" t="s">
        <v>141</v>
      </c>
      <c r="D2699" s="13" t="s">
        <v>134</v>
      </c>
      <c r="E2699" s="13" t="s">
        <v>5184</v>
      </c>
      <c r="F2699" s="43">
        <v>5.01</v>
      </c>
    </row>
    <row r="2700" spans="2:6" x14ac:dyDescent="0.25">
      <c r="B2700" s="13">
        <v>1902</v>
      </c>
      <c r="C2700" s="15" t="s">
        <v>141</v>
      </c>
      <c r="D2700" s="13" t="s">
        <v>134</v>
      </c>
      <c r="E2700" s="13" t="s">
        <v>5185</v>
      </c>
      <c r="F2700" s="43">
        <v>5.87</v>
      </c>
    </row>
    <row r="2701" spans="2:6" x14ac:dyDescent="0.25">
      <c r="B2701" s="13">
        <v>1903</v>
      </c>
      <c r="C2701" s="15" t="s">
        <v>141</v>
      </c>
      <c r="D2701" s="13" t="s">
        <v>134</v>
      </c>
      <c r="E2701" s="13" t="s">
        <v>5186</v>
      </c>
      <c r="F2701" s="43">
        <v>9.3800000000000008</v>
      </c>
    </row>
    <row r="2702" spans="2:6" x14ac:dyDescent="0.25">
      <c r="B2702" s="13">
        <v>1904</v>
      </c>
      <c r="C2702" s="15" t="s">
        <v>141</v>
      </c>
      <c r="D2702" s="13" t="s">
        <v>134</v>
      </c>
      <c r="E2702" s="13" t="s">
        <v>5187</v>
      </c>
      <c r="F2702" s="43">
        <v>14.14</v>
      </c>
    </row>
    <row r="2703" spans="2:6" x14ac:dyDescent="0.25">
      <c r="B2703" s="13">
        <v>1905</v>
      </c>
      <c r="C2703" s="15" t="s">
        <v>141</v>
      </c>
      <c r="D2703" s="13" t="s">
        <v>134</v>
      </c>
      <c r="E2703" s="13" t="s">
        <v>5188</v>
      </c>
      <c r="F2703" s="43">
        <v>29.5</v>
      </c>
    </row>
    <row r="2704" spans="2:6" x14ac:dyDescent="0.25">
      <c r="B2704" s="13">
        <v>1906</v>
      </c>
      <c r="C2704" s="15" t="s">
        <v>141</v>
      </c>
      <c r="D2704" s="13" t="s">
        <v>134</v>
      </c>
      <c r="E2704" s="13" t="s">
        <v>5189</v>
      </c>
      <c r="F2704" s="43">
        <v>40.159999999999997</v>
      </c>
    </row>
    <row r="2705" spans="2:6" x14ac:dyDescent="0.25">
      <c r="B2705" s="13">
        <v>1907</v>
      </c>
      <c r="C2705" s="15" t="s">
        <v>141</v>
      </c>
      <c r="D2705" s="13" t="s">
        <v>134</v>
      </c>
      <c r="E2705" s="13" t="s">
        <v>5190</v>
      </c>
      <c r="F2705" s="43">
        <v>62.49</v>
      </c>
    </row>
    <row r="2706" spans="2:6" x14ac:dyDescent="0.25">
      <c r="B2706" s="13">
        <v>1908</v>
      </c>
      <c r="C2706" s="15" t="s">
        <v>141</v>
      </c>
      <c r="D2706" s="13" t="s">
        <v>134</v>
      </c>
      <c r="E2706" s="13" t="s">
        <v>5191</v>
      </c>
      <c r="F2706" s="43">
        <v>6.11</v>
      </c>
    </row>
    <row r="2707" spans="2:6" x14ac:dyDescent="0.25">
      <c r="B2707" s="13">
        <v>1909</v>
      </c>
      <c r="C2707" s="15" t="s">
        <v>141</v>
      </c>
      <c r="D2707" s="13" t="s">
        <v>134</v>
      </c>
      <c r="E2707" s="13" t="s">
        <v>5192</v>
      </c>
      <c r="F2707" s="43">
        <v>6.32</v>
      </c>
    </row>
    <row r="2708" spans="2:6" x14ac:dyDescent="0.25">
      <c r="B2708" s="13">
        <v>1910</v>
      </c>
      <c r="C2708" s="15" t="s">
        <v>141</v>
      </c>
      <c r="D2708" s="13" t="s">
        <v>134</v>
      </c>
      <c r="E2708" s="13" t="s">
        <v>5193</v>
      </c>
      <c r="F2708" s="43">
        <v>8.2200000000000006</v>
      </c>
    </row>
    <row r="2709" spans="2:6" x14ac:dyDescent="0.25">
      <c r="B2709" s="13">
        <v>1911</v>
      </c>
      <c r="C2709" s="15" t="s">
        <v>141</v>
      </c>
      <c r="D2709" s="13" t="s">
        <v>134</v>
      </c>
      <c r="E2709" s="13" t="s">
        <v>5194</v>
      </c>
      <c r="F2709" s="43">
        <v>10.74</v>
      </c>
    </row>
    <row r="2710" spans="2:6" x14ac:dyDescent="0.25">
      <c r="B2710" s="13">
        <v>1912</v>
      </c>
      <c r="C2710" s="15" t="s">
        <v>141</v>
      </c>
      <c r="D2710" s="13" t="s">
        <v>134</v>
      </c>
      <c r="E2710" s="13" t="s">
        <v>5195</v>
      </c>
      <c r="F2710" s="43">
        <v>13.88</v>
      </c>
    </row>
    <row r="2711" spans="2:6" x14ac:dyDescent="0.25">
      <c r="B2711" s="13">
        <v>1913</v>
      </c>
      <c r="C2711" s="15" t="s">
        <v>141</v>
      </c>
      <c r="D2711" s="13" t="s">
        <v>134</v>
      </c>
      <c r="E2711" s="13" t="s">
        <v>5196</v>
      </c>
      <c r="F2711" s="43">
        <v>19.18</v>
      </c>
    </row>
    <row r="2712" spans="2:6" x14ac:dyDescent="0.25">
      <c r="B2712" s="13">
        <v>1915</v>
      </c>
      <c r="C2712" s="15" t="s">
        <v>141</v>
      </c>
      <c r="D2712" s="13" t="s">
        <v>134</v>
      </c>
      <c r="E2712" s="13" t="s">
        <v>5197</v>
      </c>
      <c r="F2712" s="43">
        <v>1.21</v>
      </c>
    </row>
    <row r="2713" spans="2:6" x14ac:dyDescent="0.25">
      <c r="B2713" s="13">
        <v>1916</v>
      </c>
      <c r="C2713" s="15" t="s">
        <v>141</v>
      </c>
      <c r="D2713" s="13" t="s">
        <v>134</v>
      </c>
      <c r="E2713" s="13" t="s">
        <v>5198</v>
      </c>
      <c r="F2713" s="43">
        <v>1.21</v>
      </c>
    </row>
    <row r="2714" spans="2:6" x14ac:dyDescent="0.25">
      <c r="B2714" s="13">
        <v>1917</v>
      </c>
      <c r="C2714" s="15" t="s">
        <v>141</v>
      </c>
      <c r="D2714" s="13" t="s">
        <v>134</v>
      </c>
      <c r="E2714" s="13" t="s">
        <v>5199</v>
      </c>
      <c r="F2714" s="43">
        <v>1.76</v>
      </c>
    </row>
    <row r="2715" spans="2:6" x14ac:dyDescent="0.25">
      <c r="B2715" s="13">
        <v>1918</v>
      </c>
      <c r="C2715" s="15" t="s">
        <v>141</v>
      </c>
      <c r="D2715" s="13" t="s">
        <v>134</v>
      </c>
      <c r="E2715" s="13" t="s">
        <v>5200</v>
      </c>
      <c r="F2715" s="43">
        <v>1.9</v>
      </c>
    </row>
    <row r="2716" spans="2:6" x14ac:dyDescent="0.25">
      <c r="B2716" s="13">
        <v>1919</v>
      </c>
      <c r="C2716" s="15" t="s">
        <v>141</v>
      </c>
      <c r="D2716" s="13" t="s">
        <v>134</v>
      </c>
      <c r="E2716" s="13" t="s">
        <v>5201</v>
      </c>
      <c r="F2716" s="43">
        <v>2.71</v>
      </c>
    </row>
    <row r="2717" spans="2:6" x14ac:dyDescent="0.25">
      <c r="B2717" s="13">
        <v>1920</v>
      </c>
      <c r="C2717" s="15" t="s">
        <v>141</v>
      </c>
      <c r="D2717" s="13" t="s">
        <v>134</v>
      </c>
      <c r="E2717" s="13" t="s">
        <v>5202</v>
      </c>
      <c r="F2717" s="43">
        <v>2.71</v>
      </c>
    </row>
    <row r="2718" spans="2:6" x14ac:dyDescent="0.25">
      <c r="B2718" s="13">
        <v>1921</v>
      </c>
      <c r="C2718" s="15" t="s">
        <v>141</v>
      </c>
      <c r="D2718" s="13" t="s">
        <v>134</v>
      </c>
      <c r="E2718" s="13" t="s">
        <v>5203</v>
      </c>
      <c r="F2718" s="43">
        <v>2.2200000000000002</v>
      </c>
    </row>
    <row r="2719" spans="2:6" x14ac:dyDescent="0.25">
      <c r="B2719" s="13">
        <v>1922</v>
      </c>
      <c r="C2719" s="15" t="s">
        <v>141</v>
      </c>
      <c r="D2719" s="13" t="s">
        <v>134</v>
      </c>
      <c r="E2719" s="13" t="s">
        <v>5204</v>
      </c>
      <c r="F2719" s="43">
        <v>3.87</v>
      </c>
    </row>
    <row r="2720" spans="2:6" x14ac:dyDescent="0.25">
      <c r="B2720" s="13">
        <v>1923</v>
      </c>
      <c r="C2720" s="15" t="s">
        <v>141</v>
      </c>
      <c r="D2720" s="13" t="s">
        <v>134</v>
      </c>
      <c r="E2720" s="13" t="s">
        <v>5205</v>
      </c>
      <c r="F2720" s="43">
        <v>3.68</v>
      </c>
    </row>
    <row r="2721" spans="2:6" x14ac:dyDescent="0.25">
      <c r="B2721" s="13">
        <v>1924</v>
      </c>
      <c r="C2721" s="15" t="s">
        <v>141</v>
      </c>
      <c r="D2721" s="13" t="s">
        <v>134</v>
      </c>
      <c r="E2721" s="13" t="s">
        <v>5206</v>
      </c>
      <c r="F2721" s="43">
        <v>3.27</v>
      </c>
    </row>
    <row r="2722" spans="2:6" x14ac:dyDescent="0.25">
      <c r="B2722" s="13">
        <v>1925</v>
      </c>
      <c r="C2722" s="15" t="s">
        <v>141</v>
      </c>
      <c r="D2722" s="13" t="s">
        <v>134</v>
      </c>
      <c r="E2722" s="13" t="s">
        <v>5207</v>
      </c>
      <c r="F2722" s="43">
        <v>3.35</v>
      </c>
    </row>
    <row r="2723" spans="2:6" x14ac:dyDescent="0.25">
      <c r="B2723" s="13">
        <v>1926</v>
      </c>
      <c r="C2723" s="15" t="s">
        <v>141</v>
      </c>
      <c r="D2723" s="13" t="s">
        <v>134</v>
      </c>
      <c r="E2723" s="13" t="s">
        <v>5208</v>
      </c>
      <c r="F2723" s="43">
        <v>5.01</v>
      </c>
    </row>
    <row r="2724" spans="2:6" x14ac:dyDescent="0.25">
      <c r="B2724" s="13">
        <v>1927</v>
      </c>
      <c r="C2724" s="15" t="s">
        <v>141</v>
      </c>
      <c r="D2724" s="13" t="s">
        <v>134</v>
      </c>
      <c r="E2724" s="13" t="s">
        <v>5209</v>
      </c>
      <c r="F2724" s="43">
        <v>5.64</v>
      </c>
    </row>
    <row r="2725" spans="2:6" x14ac:dyDescent="0.25">
      <c r="B2725" s="13">
        <v>1928</v>
      </c>
      <c r="C2725" s="15" t="s">
        <v>141</v>
      </c>
      <c r="D2725" s="13" t="s">
        <v>134</v>
      </c>
      <c r="E2725" s="13" t="s">
        <v>5210</v>
      </c>
      <c r="F2725" s="43">
        <v>4.8899999999999997</v>
      </c>
    </row>
    <row r="2726" spans="2:6" x14ac:dyDescent="0.25">
      <c r="B2726" s="13">
        <v>1929</v>
      </c>
      <c r="C2726" s="15" t="s">
        <v>141</v>
      </c>
      <c r="D2726" s="13" t="s">
        <v>134</v>
      </c>
      <c r="E2726" s="13" t="s">
        <v>5211</v>
      </c>
      <c r="F2726" s="43">
        <v>7.79</v>
      </c>
    </row>
    <row r="2727" spans="2:6" x14ac:dyDescent="0.25">
      <c r="B2727" s="13">
        <v>1930</v>
      </c>
      <c r="C2727" s="15" t="s">
        <v>141</v>
      </c>
      <c r="D2727" s="13" t="s">
        <v>134</v>
      </c>
      <c r="E2727" s="13" t="s">
        <v>5212</v>
      </c>
      <c r="F2727" s="43">
        <v>14</v>
      </c>
    </row>
    <row r="2728" spans="2:6" x14ac:dyDescent="0.25">
      <c r="B2728" s="13">
        <v>1931</v>
      </c>
      <c r="C2728" s="15" t="s">
        <v>141</v>
      </c>
      <c r="D2728" s="13" t="s">
        <v>134</v>
      </c>
      <c r="E2728" s="13" t="s">
        <v>5213</v>
      </c>
      <c r="F2728" s="43">
        <v>28.11</v>
      </c>
    </row>
    <row r="2729" spans="2:6" x14ac:dyDescent="0.25">
      <c r="B2729" s="13">
        <v>1932</v>
      </c>
      <c r="C2729" s="15" t="s">
        <v>141</v>
      </c>
      <c r="D2729" s="13" t="s">
        <v>134</v>
      </c>
      <c r="E2729" s="13" t="s">
        <v>5214</v>
      </c>
      <c r="F2729" s="43">
        <v>33.44</v>
      </c>
    </row>
    <row r="2730" spans="2:6" x14ac:dyDescent="0.25">
      <c r="B2730" s="13">
        <v>1933</v>
      </c>
      <c r="C2730" s="15" t="s">
        <v>141</v>
      </c>
      <c r="D2730" s="13" t="s">
        <v>134</v>
      </c>
      <c r="E2730" s="13" t="s">
        <v>5215</v>
      </c>
      <c r="F2730" s="43">
        <v>45.05</v>
      </c>
    </row>
    <row r="2731" spans="2:6" x14ac:dyDescent="0.25">
      <c r="B2731" s="13">
        <v>1935</v>
      </c>
      <c r="C2731" s="15" t="s">
        <v>141</v>
      </c>
      <c r="D2731" s="13" t="s">
        <v>134</v>
      </c>
      <c r="E2731" s="13" t="s">
        <v>5216</v>
      </c>
      <c r="F2731" s="43">
        <v>103.69</v>
      </c>
    </row>
    <row r="2732" spans="2:6" x14ac:dyDescent="0.25">
      <c r="B2732" s="13">
        <v>1936</v>
      </c>
      <c r="C2732" s="15" t="s">
        <v>141</v>
      </c>
      <c r="D2732" s="13" t="s">
        <v>134</v>
      </c>
      <c r="E2732" s="13" t="s">
        <v>5217</v>
      </c>
      <c r="F2732" s="43">
        <v>105.8</v>
      </c>
    </row>
    <row r="2733" spans="2:6" x14ac:dyDescent="0.25">
      <c r="B2733" s="13">
        <v>1937</v>
      </c>
      <c r="C2733" s="15" t="s">
        <v>141</v>
      </c>
      <c r="D2733" s="13" t="s">
        <v>134</v>
      </c>
      <c r="E2733" s="13" t="s">
        <v>5218</v>
      </c>
      <c r="F2733" s="43">
        <v>117.44</v>
      </c>
    </row>
    <row r="2734" spans="2:6" x14ac:dyDescent="0.25">
      <c r="B2734" s="13">
        <v>1938</v>
      </c>
      <c r="C2734" s="15" t="s">
        <v>141</v>
      </c>
      <c r="D2734" s="13" t="s">
        <v>134</v>
      </c>
      <c r="E2734" s="13" t="s">
        <v>5219</v>
      </c>
      <c r="F2734" s="43">
        <v>172.53</v>
      </c>
    </row>
    <row r="2735" spans="2:6" x14ac:dyDescent="0.25">
      <c r="B2735" s="13">
        <v>1939</v>
      </c>
      <c r="C2735" s="15" t="s">
        <v>141</v>
      </c>
      <c r="D2735" s="13" t="s">
        <v>134</v>
      </c>
      <c r="E2735" s="13" t="s">
        <v>5220</v>
      </c>
      <c r="F2735" s="43">
        <v>175.01</v>
      </c>
    </row>
    <row r="2736" spans="2:6" x14ac:dyDescent="0.25">
      <c r="B2736" s="13">
        <v>1940</v>
      </c>
      <c r="C2736" s="15" t="s">
        <v>141</v>
      </c>
      <c r="D2736" s="13" t="s">
        <v>134</v>
      </c>
      <c r="E2736" s="13" t="s">
        <v>5221</v>
      </c>
      <c r="F2736" s="43">
        <v>569.38</v>
      </c>
    </row>
    <row r="2737" spans="2:6" x14ac:dyDescent="0.25">
      <c r="B2737" s="13">
        <v>1943</v>
      </c>
      <c r="C2737" s="15" t="s">
        <v>141</v>
      </c>
      <c r="D2737" s="13" t="s">
        <v>134</v>
      </c>
      <c r="E2737" s="13" t="s">
        <v>5222</v>
      </c>
      <c r="F2737" s="43">
        <v>1.32</v>
      </c>
    </row>
    <row r="2738" spans="2:6" x14ac:dyDescent="0.25">
      <c r="B2738" s="13">
        <v>1944</v>
      </c>
      <c r="C2738" s="15" t="s">
        <v>141</v>
      </c>
      <c r="D2738" s="13" t="s">
        <v>134</v>
      </c>
      <c r="E2738" s="13" t="s">
        <v>5223</v>
      </c>
      <c r="F2738" s="43">
        <v>1.58</v>
      </c>
    </row>
    <row r="2739" spans="2:6" x14ac:dyDescent="0.25">
      <c r="B2739" s="13">
        <v>1945</v>
      </c>
      <c r="C2739" s="15" t="s">
        <v>141</v>
      </c>
      <c r="D2739" s="13" t="s">
        <v>134</v>
      </c>
      <c r="E2739" s="13" t="s">
        <v>5224</v>
      </c>
      <c r="F2739" s="43">
        <v>1.9</v>
      </c>
    </row>
    <row r="2740" spans="2:6" x14ac:dyDescent="0.25">
      <c r="B2740" s="13">
        <v>1946</v>
      </c>
      <c r="C2740" s="15" t="s">
        <v>141</v>
      </c>
      <c r="D2740" s="13" t="s">
        <v>134</v>
      </c>
      <c r="E2740" s="13" t="s">
        <v>5225</v>
      </c>
      <c r="F2740" s="43">
        <v>2.84</v>
      </c>
    </row>
    <row r="2741" spans="2:6" x14ac:dyDescent="0.25">
      <c r="B2741" s="13">
        <v>1947</v>
      </c>
      <c r="C2741" s="15" t="s">
        <v>141</v>
      </c>
      <c r="D2741" s="13" t="s">
        <v>134</v>
      </c>
      <c r="E2741" s="13" t="s">
        <v>5226</v>
      </c>
      <c r="F2741" s="43">
        <v>4.3099999999999996</v>
      </c>
    </row>
    <row r="2742" spans="2:6" x14ac:dyDescent="0.25">
      <c r="B2742" s="13">
        <v>1948</v>
      </c>
      <c r="C2742" s="15" t="s">
        <v>141</v>
      </c>
      <c r="D2742" s="13" t="s">
        <v>134</v>
      </c>
      <c r="E2742" s="13" t="s">
        <v>5227</v>
      </c>
      <c r="F2742" s="43">
        <v>6</v>
      </c>
    </row>
    <row r="2743" spans="2:6" x14ac:dyDescent="0.25">
      <c r="B2743" s="13">
        <v>1949</v>
      </c>
      <c r="C2743" s="15" t="s">
        <v>141</v>
      </c>
      <c r="D2743" s="13" t="s">
        <v>134</v>
      </c>
      <c r="E2743" s="13" t="s">
        <v>5228</v>
      </c>
      <c r="F2743" s="43">
        <v>9.91</v>
      </c>
    </row>
    <row r="2744" spans="2:6" x14ac:dyDescent="0.25">
      <c r="B2744" s="13">
        <v>1950</v>
      </c>
      <c r="C2744" s="15" t="s">
        <v>141</v>
      </c>
      <c r="D2744" s="13" t="s">
        <v>134</v>
      </c>
      <c r="E2744" s="13" t="s">
        <v>5229</v>
      </c>
      <c r="F2744" s="43">
        <v>18</v>
      </c>
    </row>
    <row r="2745" spans="2:6" x14ac:dyDescent="0.25">
      <c r="B2745" s="13">
        <v>1951</v>
      </c>
      <c r="C2745" s="15" t="s">
        <v>141</v>
      </c>
      <c r="D2745" s="13" t="s">
        <v>134</v>
      </c>
      <c r="E2745" s="13" t="s">
        <v>5230</v>
      </c>
      <c r="F2745" s="43">
        <v>32.92</v>
      </c>
    </row>
    <row r="2746" spans="2:6" x14ac:dyDescent="0.25">
      <c r="B2746" s="13">
        <v>1952</v>
      </c>
      <c r="C2746" s="15" t="s">
        <v>141</v>
      </c>
      <c r="D2746" s="13" t="s">
        <v>134</v>
      </c>
      <c r="E2746" s="13" t="s">
        <v>5231</v>
      </c>
      <c r="F2746" s="43">
        <v>56.43</v>
      </c>
    </row>
    <row r="2747" spans="2:6" x14ac:dyDescent="0.25">
      <c r="B2747" s="13">
        <v>1953</v>
      </c>
      <c r="C2747" s="15" t="s">
        <v>141</v>
      </c>
      <c r="D2747" s="13" t="s">
        <v>134</v>
      </c>
      <c r="E2747" s="13" t="s">
        <v>5232</v>
      </c>
      <c r="F2747" s="43">
        <v>58.77</v>
      </c>
    </row>
    <row r="2748" spans="2:6" x14ac:dyDescent="0.25">
      <c r="B2748" s="13">
        <v>1954</v>
      </c>
      <c r="C2748" s="15" t="s">
        <v>141</v>
      </c>
      <c r="D2748" s="13" t="s">
        <v>134</v>
      </c>
      <c r="E2748" s="13" t="s">
        <v>5233</v>
      </c>
      <c r="F2748" s="43">
        <v>77.489999999999995</v>
      </c>
    </row>
    <row r="2749" spans="2:6" x14ac:dyDescent="0.25">
      <c r="B2749" s="13">
        <v>1955</v>
      </c>
      <c r="C2749" s="15" t="s">
        <v>141</v>
      </c>
      <c r="D2749" s="13" t="s">
        <v>134</v>
      </c>
      <c r="E2749" s="13" t="s">
        <v>5234</v>
      </c>
      <c r="F2749" s="43">
        <v>97.16</v>
      </c>
    </row>
    <row r="2750" spans="2:6" x14ac:dyDescent="0.25">
      <c r="B2750" s="13">
        <v>1956</v>
      </c>
      <c r="C2750" s="15" t="s">
        <v>141</v>
      </c>
      <c r="D2750" s="13" t="s">
        <v>134</v>
      </c>
      <c r="E2750" s="13" t="s">
        <v>5235</v>
      </c>
      <c r="F2750" s="43">
        <v>207.35</v>
      </c>
    </row>
    <row r="2751" spans="2:6" x14ac:dyDescent="0.25">
      <c r="B2751" s="13">
        <v>1957</v>
      </c>
      <c r="C2751" s="15" t="s">
        <v>141</v>
      </c>
      <c r="D2751" s="13" t="s">
        <v>134</v>
      </c>
      <c r="E2751" s="13" t="s">
        <v>5236</v>
      </c>
      <c r="F2751" s="43">
        <v>2.1</v>
      </c>
    </row>
    <row r="2752" spans="2:6" x14ac:dyDescent="0.25">
      <c r="B2752" s="13">
        <v>1958</v>
      </c>
      <c r="C2752" s="15" t="s">
        <v>141</v>
      </c>
      <c r="D2752" s="13" t="s">
        <v>134</v>
      </c>
      <c r="E2752" s="13" t="s">
        <v>5237</v>
      </c>
      <c r="F2752" s="43">
        <v>2.58</v>
      </c>
    </row>
    <row r="2753" spans="2:6" x14ac:dyDescent="0.25">
      <c r="B2753" s="13">
        <v>1959</v>
      </c>
      <c r="C2753" s="15" t="s">
        <v>141</v>
      </c>
      <c r="D2753" s="13" t="s">
        <v>134</v>
      </c>
      <c r="E2753" s="13" t="s">
        <v>5238</v>
      </c>
      <c r="F2753" s="43">
        <v>2.82</v>
      </c>
    </row>
    <row r="2754" spans="2:6" x14ac:dyDescent="0.25">
      <c r="B2754" s="13">
        <v>1960</v>
      </c>
      <c r="C2754" s="15" t="s">
        <v>141</v>
      </c>
      <c r="D2754" s="13" t="s">
        <v>134</v>
      </c>
      <c r="E2754" s="13" t="s">
        <v>5239</v>
      </c>
      <c r="F2754" s="43">
        <v>3.47</v>
      </c>
    </row>
    <row r="2755" spans="2:6" x14ac:dyDescent="0.25">
      <c r="B2755" s="13">
        <v>1961</v>
      </c>
      <c r="C2755" s="15" t="s">
        <v>141</v>
      </c>
      <c r="D2755" s="13" t="s">
        <v>134</v>
      </c>
      <c r="E2755" s="13" t="s">
        <v>5240</v>
      </c>
      <c r="F2755" s="43">
        <v>5.44</v>
      </c>
    </row>
    <row r="2756" spans="2:6" x14ac:dyDescent="0.25">
      <c r="B2756" s="13">
        <v>1962</v>
      </c>
      <c r="C2756" s="15" t="s">
        <v>141</v>
      </c>
      <c r="D2756" s="13" t="s">
        <v>134</v>
      </c>
      <c r="E2756" s="13" t="s">
        <v>5241</v>
      </c>
      <c r="F2756" s="43">
        <v>7.28</v>
      </c>
    </row>
    <row r="2757" spans="2:6" x14ac:dyDescent="0.25">
      <c r="B2757" s="13">
        <v>1963</v>
      </c>
      <c r="C2757" s="15" t="s">
        <v>141</v>
      </c>
      <c r="D2757" s="13" t="s">
        <v>134</v>
      </c>
      <c r="E2757" s="13" t="s">
        <v>5242</v>
      </c>
      <c r="F2757" s="43">
        <v>9.85</v>
      </c>
    </row>
    <row r="2758" spans="2:6" x14ac:dyDescent="0.25">
      <c r="B2758" s="13">
        <v>1964</v>
      </c>
      <c r="C2758" s="15" t="s">
        <v>141</v>
      </c>
      <c r="D2758" s="13" t="s">
        <v>134</v>
      </c>
      <c r="E2758" s="13" t="s">
        <v>5243</v>
      </c>
      <c r="F2758" s="43">
        <v>20.79</v>
      </c>
    </row>
    <row r="2759" spans="2:6" x14ac:dyDescent="0.25">
      <c r="B2759" s="13">
        <v>1965</v>
      </c>
      <c r="C2759" s="15" t="s">
        <v>141</v>
      </c>
      <c r="D2759" s="13" t="s">
        <v>134</v>
      </c>
      <c r="E2759" s="13" t="s">
        <v>5244</v>
      </c>
      <c r="F2759" s="43">
        <v>33.57</v>
      </c>
    </row>
    <row r="2760" spans="2:6" x14ac:dyDescent="0.25">
      <c r="B2760" s="13">
        <v>1966</v>
      </c>
      <c r="C2760" s="15" t="s">
        <v>141</v>
      </c>
      <c r="D2760" s="13" t="s">
        <v>134</v>
      </c>
      <c r="E2760" s="13" t="s">
        <v>5245</v>
      </c>
      <c r="F2760" s="43">
        <v>51.73</v>
      </c>
    </row>
    <row r="2761" spans="2:6" x14ac:dyDescent="0.25">
      <c r="B2761" s="13">
        <v>1967</v>
      </c>
      <c r="C2761" s="15" t="s">
        <v>141</v>
      </c>
      <c r="D2761" s="13" t="s">
        <v>134</v>
      </c>
      <c r="E2761" s="13" t="s">
        <v>5246</v>
      </c>
      <c r="F2761" s="43">
        <v>4.47</v>
      </c>
    </row>
    <row r="2762" spans="2:6" x14ac:dyDescent="0.25">
      <c r="B2762" s="13">
        <v>1968</v>
      </c>
      <c r="C2762" s="15" t="s">
        <v>141</v>
      </c>
      <c r="D2762" s="13" t="s">
        <v>134</v>
      </c>
      <c r="E2762" s="13" t="s">
        <v>5247</v>
      </c>
      <c r="F2762" s="43">
        <v>5.43</v>
      </c>
    </row>
    <row r="2763" spans="2:6" x14ac:dyDescent="0.25">
      <c r="B2763" s="13">
        <v>1969</v>
      </c>
      <c r="C2763" s="15" t="s">
        <v>141</v>
      </c>
      <c r="D2763" s="13" t="s">
        <v>134</v>
      </c>
      <c r="E2763" s="13" t="s">
        <v>5248</v>
      </c>
      <c r="F2763" s="43">
        <v>7.88</v>
      </c>
    </row>
    <row r="2764" spans="2:6" x14ac:dyDescent="0.25">
      <c r="B2764" s="13">
        <v>1970</v>
      </c>
      <c r="C2764" s="15" t="s">
        <v>141</v>
      </c>
      <c r="D2764" s="13" t="s">
        <v>134</v>
      </c>
      <c r="E2764" s="13" t="s">
        <v>5249</v>
      </c>
      <c r="F2764" s="43">
        <v>8.6300000000000008</v>
      </c>
    </row>
    <row r="2765" spans="2:6" x14ac:dyDescent="0.25">
      <c r="B2765" s="13">
        <v>1971</v>
      </c>
      <c r="C2765" s="15" t="s">
        <v>141</v>
      </c>
      <c r="D2765" s="13" t="s">
        <v>134</v>
      </c>
      <c r="E2765" s="13" t="s">
        <v>5250</v>
      </c>
      <c r="F2765" s="43">
        <v>13.11</v>
      </c>
    </row>
    <row r="2766" spans="2:6" x14ac:dyDescent="0.25">
      <c r="B2766" s="13">
        <v>1972</v>
      </c>
      <c r="C2766" s="15" t="s">
        <v>141</v>
      </c>
      <c r="D2766" s="13" t="s">
        <v>134</v>
      </c>
      <c r="E2766" s="13" t="s">
        <v>5251</v>
      </c>
      <c r="F2766" s="43">
        <v>24.17</v>
      </c>
    </row>
    <row r="2767" spans="2:6" x14ac:dyDescent="0.25">
      <c r="B2767" s="13">
        <v>1973</v>
      </c>
      <c r="C2767" s="15" t="s">
        <v>141</v>
      </c>
      <c r="D2767" s="13" t="s">
        <v>134</v>
      </c>
      <c r="E2767" s="13" t="s">
        <v>5252</v>
      </c>
      <c r="F2767" s="43">
        <v>40.29</v>
      </c>
    </row>
    <row r="2768" spans="2:6" x14ac:dyDescent="0.25">
      <c r="B2768" s="13">
        <v>1974</v>
      </c>
      <c r="C2768" s="15" t="s">
        <v>141</v>
      </c>
      <c r="D2768" s="13" t="s">
        <v>134</v>
      </c>
      <c r="E2768" s="13" t="s">
        <v>5253</v>
      </c>
      <c r="F2768" s="43">
        <v>1.96</v>
      </c>
    </row>
    <row r="2769" spans="2:6" x14ac:dyDescent="0.25">
      <c r="B2769" s="13">
        <v>1975</v>
      </c>
      <c r="C2769" s="15" t="s">
        <v>141</v>
      </c>
      <c r="D2769" s="13" t="s">
        <v>134</v>
      </c>
      <c r="E2769" s="13" t="s">
        <v>5254</v>
      </c>
      <c r="F2769" s="43">
        <v>1.91</v>
      </c>
    </row>
    <row r="2770" spans="2:6" x14ac:dyDescent="0.25">
      <c r="B2770" s="13">
        <v>1976</v>
      </c>
      <c r="C2770" s="15" t="s">
        <v>141</v>
      </c>
      <c r="D2770" s="13" t="s">
        <v>134</v>
      </c>
      <c r="E2770" s="13" t="s">
        <v>5255</v>
      </c>
      <c r="F2770" s="43">
        <v>2.57</v>
      </c>
    </row>
    <row r="2771" spans="2:6" x14ac:dyDescent="0.25">
      <c r="B2771" s="13">
        <v>1977</v>
      </c>
      <c r="C2771" s="15" t="s">
        <v>141</v>
      </c>
      <c r="D2771" s="13" t="s">
        <v>134</v>
      </c>
      <c r="E2771" s="13" t="s">
        <v>5256</v>
      </c>
      <c r="F2771" s="43">
        <v>2.57</v>
      </c>
    </row>
    <row r="2772" spans="2:6" x14ac:dyDescent="0.25">
      <c r="B2772" s="13">
        <v>1978</v>
      </c>
      <c r="C2772" s="15" t="s">
        <v>141</v>
      </c>
      <c r="D2772" s="13" t="s">
        <v>134</v>
      </c>
      <c r="E2772" s="13" t="s">
        <v>5257</v>
      </c>
      <c r="F2772" s="43">
        <v>2.58</v>
      </c>
    </row>
    <row r="2773" spans="2:6" x14ac:dyDescent="0.25">
      <c r="B2773" s="13">
        <v>1979</v>
      </c>
      <c r="C2773" s="15" t="s">
        <v>141</v>
      </c>
      <c r="D2773" s="13" t="s">
        <v>134</v>
      </c>
      <c r="E2773" s="13" t="s">
        <v>5258</v>
      </c>
      <c r="F2773" s="43">
        <v>4.1500000000000004</v>
      </c>
    </row>
    <row r="2774" spans="2:6" x14ac:dyDescent="0.25">
      <c r="B2774" s="13">
        <v>1980</v>
      </c>
      <c r="C2774" s="15" t="s">
        <v>141</v>
      </c>
      <c r="D2774" s="13" t="s">
        <v>134</v>
      </c>
      <c r="E2774" s="13" t="s">
        <v>5259</v>
      </c>
      <c r="F2774" s="43">
        <v>4.07</v>
      </c>
    </row>
    <row r="2775" spans="2:6" x14ac:dyDescent="0.25">
      <c r="B2775" s="13">
        <v>1981</v>
      </c>
      <c r="C2775" s="15" t="s">
        <v>141</v>
      </c>
      <c r="D2775" s="13" t="s">
        <v>134</v>
      </c>
      <c r="E2775" s="13" t="s">
        <v>5260</v>
      </c>
      <c r="F2775" s="43">
        <v>4.1500000000000004</v>
      </c>
    </row>
    <row r="2776" spans="2:6" x14ac:dyDescent="0.25">
      <c r="B2776" s="13">
        <v>1982</v>
      </c>
      <c r="C2776" s="15" t="s">
        <v>141</v>
      </c>
      <c r="D2776" s="13" t="s">
        <v>134</v>
      </c>
      <c r="E2776" s="13" t="s">
        <v>5261</v>
      </c>
      <c r="F2776" s="43">
        <v>3.71</v>
      </c>
    </row>
    <row r="2777" spans="2:6" x14ac:dyDescent="0.25">
      <c r="B2777" s="13">
        <v>1983</v>
      </c>
      <c r="C2777" s="15" t="s">
        <v>141</v>
      </c>
      <c r="D2777" s="13" t="s">
        <v>134</v>
      </c>
      <c r="E2777" s="13" t="s">
        <v>5262</v>
      </c>
      <c r="F2777" s="43">
        <v>6.39</v>
      </c>
    </row>
    <row r="2778" spans="2:6" x14ac:dyDescent="0.25">
      <c r="B2778" s="13">
        <v>1984</v>
      </c>
      <c r="C2778" s="15" t="s">
        <v>141</v>
      </c>
      <c r="D2778" s="13" t="s">
        <v>134</v>
      </c>
      <c r="E2778" s="13" t="s">
        <v>5263</v>
      </c>
      <c r="F2778" s="43">
        <v>6.39</v>
      </c>
    </row>
    <row r="2779" spans="2:6" x14ac:dyDescent="0.25">
      <c r="B2779" s="13">
        <v>1985</v>
      </c>
      <c r="C2779" s="15" t="s">
        <v>141</v>
      </c>
      <c r="D2779" s="13" t="s">
        <v>134</v>
      </c>
      <c r="E2779" s="13" t="s">
        <v>5264</v>
      </c>
      <c r="F2779" s="43">
        <v>6.39</v>
      </c>
    </row>
    <row r="2780" spans="2:6" x14ac:dyDescent="0.25">
      <c r="B2780" s="13">
        <v>1986</v>
      </c>
      <c r="C2780" s="15" t="s">
        <v>141</v>
      </c>
      <c r="D2780" s="13" t="s">
        <v>134</v>
      </c>
      <c r="E2780" s="13" t="s">
        <v>5265</v>
      </c>
      <c r="F2780" s="43">
        <v>6.6</v>
      </c>
    </row>
    <row r="2781" spans="2:6" x14ac:dyDescent="0.25">
      <c r="B2781" s="13">
        <v>1987</v>
      </c>
      <c r="C2781" s="15" t="s">
        <v>141</v>
      </c>
      <c r="D2781" s="13" t="s">
        <v>134</v>
      </c>
      <c r="E2781" s="13" t="s">
        <v>5266</v>
      </c>
      <c r="F2781" s="43">
        <v>6.6</v>
      </c>
    </row>
    <row r="2782" spans="2:6" x14ac:dyDescent="0.25">
      <c r="B2782" s="13">
        <v>1988</v>
      </c>
      <c r="C2782" s="15" t="s">
        <v>141</v>
      </c>
      <c r="D2782" s="13" t="s">
        <v>134</v>
      </c>
      <c r="E2782" s="13" t="s">
        <v>5267</v>
      </c>
      <c r="F2782" s="43">
        <v>9.2100000000000009</v>
      </c>
    </row>
    <row r="2783" spans="2:6" x14ac:dyDescent="0.25">
      <c r="B2783" s="13">
        <v>1989</v>
      </c>
      <c r="C2783" s="15" t="s">
        <v>141</v>
      </c>
      <c r="D2783" s="13" t="s">
        <v>134</v>
      </c>
      <c r="E2783" s="13" t="s">
        <v>5268</v>
      </c>
      <c r="F2783" s="43">
        <v>8.5500000000000007</v>
      </c>
    </row>
    <row r="2784" spans="2:6" x14ac:dyDescent="0.25">
      <c r="B2784" s="13">
        <v>1990</v>
      </c>
      <c r="C2784" s="15" t="s">
        <v>141</v>
      </c>
      <c r="D2784" s="13" t="s">
        <v>134</v>
      </c>
      <c r="E2784" s="13" t="s">
        <v>5269</v>
      </c>
      <c r="F2784" s="43">
        <v>9.52</v>
      </c>
    </row>
    <row r="2785" spans="2:6" x14ac:dyDescent="0.25">
      <c r="B2785" s="13">
        <v>1991</v>
      </c>
      <c r="C2785" s="15" t="s">
        <v>141</v>
      </c>
      <c r="D2785" s="13" t="s">
        <v>134</v>
      </c>
      <c r="E2785" s="13" t="s">
        <v>5270</v>
      </c>
      <c r="F2785" s="43">
        <v>9.5299999999999994</v>
      </c>
    </row>
    <row r="2786" spans="2:6" x14ac:dyDescent="0.25">
      <c r="B2786" s="13">
        <v>1992</v>
      </c>
      <c r="C2786" s="15" t="s">
        <v>141</v>
      </c>
      <c r="D2786" s="13" t="s">
        <v>134</v>
      </c>
      <c r="E2786" s="13" t="s">
        <v>5271</v>
      </c>
      <c r="F2786" s="43">
        <v>12.06</v>
      </c>
    </row>
    <row r="2787" spans="2:6" x14ac:dyDescent="0.25">
      <c r="B2787" s="13">
        <v>1993</v>
      </c>
      <c r="C2787" s="15" t="s">
        <v>141</v>
      </c>
      <c r="D2787" s="13" t="s">
        <v>134</v>
      </c>
      <c r="E2787" s="13" t="s">
        <v>5272</v>
      </c>
      <c r="F2787" s="43">
        <v>12.44</v>
      </c>
    </row>
    <row r="2788" spans="2:6" x14ac:dyDescent="0.25">
      <c r="B2788" s="13">
        <v>1994</v>
      </c>
      <c r="C2788" s="15" t="s">
        <v>141</v>
      </c>
      <c r="D2788" s="13" t="s">
        <v>134</v>
      </c>
      <c r="E2788" s="13" t="s">
        <v>5273</v>
      </c>
      <c r="F2788" s="43">
        <v>11.14</v>
      </c>
    </row>
    <row r="2789" spans="2:6" x14ac:dyDescent="0.25">
      <c r="B2789" s="13">
        <v>1995</v>
      </c>
      <c r="C2789" s="15" t="s">
        <v>141</v>
      </c>
      <c r="D2789" s="13" t="s">
        <v>134</v>
      </c>
      <c r="E2789" s="13" t="s">
        <v>5274</v>
      </c>
      <c r="F2789" s="43">
        <v>11.14</v>
      </c>
    </row>
    <row r="2790" spans="2:6" x14ac:dyDescent="0.25">
      <c r="B2790" s="13">
        <v>1996</v>
      </c>
      <c r="C2790" s="15" t="s">
        <v>141</v>
      </c>
      <c r="D2790" s="13" t="s">
        <v>134</v>
      </c>
      <c r="E2790" s="13" t="s">
        <v>5275</v>
      </c>
      <c r="F2790" s="43">
        <v>22.49</v>
      </c>
    </row>
    <row r="2791" spans="2:6" x14ac:dyDescent="0.25">
      <c r="B2791" s="13">
        <v>1997</v>
      </c>
      <c r="C2791" s="15" t="s">
        <v>141</v>
      </c>
      <c r="D2791" s="13" t="s">
        <v>134</v>
      </c>
      <c r="E2791" s="13" t="s">
        <v>5276</v>
      </c>
      <c r="F2791" s="43">
        <v>25.04</v>
      </c>
    </row>
    <row r="2792" spans="2:6" x14ac:dyDescent="0.25">
      <c r="B2792" s="13">
        <v>1998</v>
      </c>
      <c r="C2792" s="15" t="s">
        <v>141</v>
      </c>
      <c r="D2792" s="13" t="s">
        <v>134</v>
      </c>
      <c r="E2792" s="13" t="s">
        <v>5277</v>
      </c>
      <c r="F2792" s="43">
        <v>24.49</v>
      </c>
    </row>
    <row r="2793" spans="2:6" x14ac:dyDescent="0.25">
      <c r="B2793" s="13">
        <v>1999</v>
      </c>
      <c r="C2793" s="15" t="s">
        <v>141</v>
      </c>
      <c r="D2793" s="13" t="s">
        <v>134</v>
      </c>
      <c r="E2793" s="13" t="s">
        <v>5278</v>
      </c>
      <c r="F2793" s="43">
        <v>21.98</v>
      </c>
    </row>
    <row r="2794" spans="2:6" x14ac:dyDescent="0.25">
      <c r="B2794" s="13">
        <v>2000</v>
      </c>
      <c r="C2794" s="15" t="s">
        <v>141</v>
      </c>
      <c r="D2794" s="13" t="s">
        <v>134</v>
      </c>
      <c r="E2794" s="13" t="s">
        <v>5279</v>
      </c>
      <c r="F2794" s="43">
        <v>29.11</v>
      </c>
    </row>
    <row r="2795" spans="2:6" x14ac:dyDescent="0.25">
      <c r="B2795" s="13">
        <v>2001</v>
      </c>
      <c r="C2795" s="15" t="s">
        <v>141</v>
      </c>
      <c r="D2795" s="13" t="s">
        <v>134</v>
      </c>
      <c r="E2795" s="13" t="s">
        <v>5280</v>
      </c>
      <c r="F2795" s="43">
        <v>31.13</v>
      </c>
    </row>
    <row r="2796" spans="2:6" x14ac:dyDescent="0.25">
      <c r="B2796" s="13">
        <v>2002</v>
      </c>
      <c r="C2796" s="15" t="s">
        <v>141</v>
      </c>
      <c r="D2796" s="13" t="s">
        <v>134</v>
      </c>
      <c r="E2796" s="13" t="s">
        <v>5281</v>
      </c>
      <c r="F2796" s="43">
        <v>32.06</v>
      </c>
    </row>
    <row r="2797" spans="2:6" x14ac:dyDescent="0.25">
      <c r="B2797" s="13">
        <v>2003</v>
      </c>
      <c r="C2797" s="15" t="s">
        <v>141</v>
      </c>
      <c r="D2797" s="13" t="s">
        <v>134</v>
      </c>
      <c r="E2797" s="13" t="s">
        <v>5282</v>
      </c>
      <c r="F2797" s="43">
        <v>37.74</v>
      </c>
    </row>
    <row r="2798" spans="2:6" x14ac:dyDescent="0.25">
      <c r="B2798" s="13">
        <v>2004</v>
      </c>
      <c r="C2798" s="15" t="s">
        <v>141</v>
      </c>
      <c r="D2798" s="13" t="s">
        <v>134</v>
      </c>
      <c r="E2798" s="13" t="s">
        <v>5283</v>
      </c>
      <c r="F2798" s="43">
        <v>38.229999999999997</v>
      </c>
    </row>
    <row r="2799" spans="2:6" x14ac:dyDescent="0.25">
      <c r="B2799" s="13">
        <v>2005</v>
      </c>
      <c r="C2799" s="15" t="s">
        <v>141</v>
      </c>
      <c r="D2799" s="13" t="s">
        <v>134</v>
      </c>
      <c r="E2799" s="13" t="s">
        <v>5284</v>
      </c>
      <c r="F2799" s="43">
        <v>41.34</v>
      </c>
    </row>
    <row r="2800" spans="2:6" x14ac:dyDescent="0.25">
      <c r="B2800" s="13">
        <v>2006</v>
      </c>
      <c r="C2800" s="15" t="s">
        <v>141</v>
      </c>
      <c r="D2800" s="13" t="s">
        <v>134</v>
      </c>
      <c r="E2800" s="13" t="s">
        <v>5285</v>
      </c>
      <c r="F2800" s="43">
        <v>52.97</v>
      </c>
    </row>
    <row r="2801" spans="2:6" x14ac:dyDescent="0.25">
      <c r="B2801" s="13">
        <v>2007</v>
      </c>
      <c r="C2801" s="15" t="s">
        <v>141</v>
      </c>
      <c r="D2801" s="13" t="s">
        <v>134</v>
      </c>
      <c r="E2801" s="13" t="s">
        <v>5286</v>
      </c>
      <c r="F2801" s="43">
        <v>49.11</v>
      </c>
    </row>
    <row r="2802" spans="2:6" x14ac:dyDescent="0.25">
      <c r="B2802" s="13">
        <v>2008</v>
      </c>
      <c r="C2802" s="15" t="s">
        <v>141</v>
      </c>
      <c r="D2802" s="13" t="s">
        <v>134</v>
      </c>
      <c r="E2802" s="13" t="s">
        <v>5287</v>
      </c>
      <c r="F2802" s="43">
        <v>49.11</v>
      </c>
    </row>
    <row r="2803" spans="2:6" x14ac:dyDescent="0.25">
      <c r="B2803" s="13">
        <v>2009</v>
      </c>
      <c r="C2803" s="15" t="s">
        <v>141</v>
      </c>
      <c r="D2803" s="13" t="s">
        <v>134</v>
      </c>
      <c r="E2803" s="13" t="s">
        <v>5288</v>
      </c>
      <c r="F2803" s="43">
        <v>93.53</v>
      </c>
    </row>
    <row r="2804" spans="2:6" x14ac:dyDescent="0.25">
      <c r="B2804" s="13">
        <v>2010</v>
      </c>
      <c r="C2804" s="15" t="s">
        <v>141</v>
      </c>
      <c r="D2804" s="13" t="s">
        <v>134</v>
      </c>
      <c r="E2804" s="13" t="s">
        <v>5289</v>
      </c>
      <c r="F2804" s="43">
        <v>86.87</v>
      </c>
    </row>
    <row r="2805" spans="2:6" x14ac:dyDescent="0.25">
      <c r="B2805" s="13">
        <v>2011</v>
      </c>
      <c r="C2805" s="15" t="s">
        <v>141</v>
      </c>
      <c r="D2805" s="13" t="s">
        <v>134</v>
      </c>
      <c r="E2805" s="13" t="s">
        <v>5290</v>
      </c>
      <c r="F2805" s="43">
        <v>78.11</v>
      </c>
    </row>
    <row r="2806" spans="2:6" x14ac:dyDescent="0.25">
      <c r="B2806" s="13">
        <v>2012</v>
      </c>
      <c r="C2806" s="15" t="s">
        <v>141</v>
      </c>
      <c r="D2806" s="13" t="s">
        <v>134</v>
      </c>
      <c r="E2806" s="13" t="s">
        <v>5291</v>
      </c>
      <c r="F2806" s="43">
        <v>128.1</v>
      </c>
    </row>
    <row r="2807" spans="2:6" x14ac:dyDescent="0.25">
      <c r="B2807" s="13">
        <v>2013</v>
      </c>
      <c r="C2807" s="15" t="s">
        <v>141</v>
      </c>
      <c r="D2807" s="13" t="s">
        <v>134</v>
      </c>
      <c r="E2807" s="13" t="s">
        <v>5292</v>
      </c>
      <c r="F2807" s="43">
        <v>118.8</v>
      </c>
    </row>
    <row r="2808" spans="2:6" x14ac:dyDescent="0.25">
      <c r="B2808" s="13">
        <v>2014</v>
      </c>
      <c r="C2808" s="15" t="s">
        <v>141</v>
      </c>
      <c r="D2808" s="13" t="s">
        <v>134</v>
      </c>
      <c r="E2808" s="13" t="s">
        <v>5293</v>
      </c>
      <c r="F2808" s="43">
        <v>115</v>
      </c>
    </row>
    <row r="2809" spans="2:6" x14ac:dyDescent="0.25">
      <c r="B2809" s="13">
        <v>2015</v>
      </c>
      <c r="C2809" s="15" t="s">
        <v>141</v>
      </c>
      <c r="D2809" s="13" t="s">
        <v>134</v>
      </c>
      <c r="E2809" s="13" t="s">
        <v>5294</v>
      </c>
      <c r="F2809" s="43">
        <v>166.7</v>
      </c>
    </row>
    <row r="2810" spans="2:6" x14ac:dyDescent="0.25">
      <c r="B2810" s="13">
        <v>2016</v>
      </c>
      <c r="C2810" s="15" t="s">
        <v>141</v>
      </c>
      <c r="D2810" s="13" t="s">
        <v>134</v>
      </c>
      <c r="E2810" s="13" t="s">
        <v>5295</v>
      </c>
      <c r="F2810" s="43">
        <v>157.44</v>
      </c>
    </row>
    <row r="2811" spans="2:6" x14ac:dyDescent="0.25">
      <c r="B2811" s="13">
        <v>2017</v>
      </c>
      <c r="C2811" s="15" t="s">
        <v>141</v>
      </c>
      <c r="D2811" s="13" t="s">
        <v>134</v>
      </c>
      <c r="E2811" s="13" t="s">
        <v>5296</v>
      </c>
      <c r="F2811" s="43">
        <v>157.44</v>
      </c>
    </row>
    <row r="2812" spans="2:6" x14ac:dyDescent="0.25">
      <c r="B2812" s="13">
        <v>2018</v>
      </c>
      <c r="C2812" s="15" t="s">
        <v>141</v>
      </c>
      <c r="D2812" s="13" t="s">
        <v>134</v>
      </c>
      <c r="E2812" s="13" t="s">
        <v>5297</v>
      </c>
      <c r="F2812" s="43">
        <v>731.65</v>
      </c>
    </row>
    <row r="2813" spans="2:6" x14ac:dyDescent="0.25">
      <c r="B2813" s="13">
        <v>2019</v>
      </c>
      <c r="C2813" s="15" t="s">
        <v>141</v>
      </c>
      <c r="D2813" s="13" t="s">
        <v>134</v>
      </c>
      <c r="E2813" s="13" t="s">
        <v>5298</v>
      </c>
      <c r="F2813" s="43">
        <v>656.89</v>
      </c>
    </row>
    <row r="2814" spans="2:6" x14ac:dyDescent="0.25">
      <c r="B2814" s="13">
        <v>2020</v>
      </c>
      <c r="C2814" s="15" t="s">
        <v>141</v>
      </c>
      <c r="D2814" s="13" t="s">
        <v>134</v>
      </c>
      <c r="E2814" s="13" t="s">
        <v>5299</v>
      </c>
      <c r="F2814" s="43">
        <v>6.72</v>
      </c>
    </row>
    <row r="2815" spans="2:6" x14ac:dyDescent="0.25">
      <c r="B2815" s="13">
        <v>2021</v>
      </c>
      <c r="C2815" s="15" t="s">
        <v>141</v>
      </c>
      <c r="D2815" s="13" t="s">
        <v>134</v>
      </c>
      <c r="E2815" s="13" t="s">
        <v>5300</v>
      </c>
      <c r="F2815" s="43">
        <v>9.98</v>
      </c>
    </row>
    <row r="2816" spans="2:6" x14ac:dyDescent="0.25">
      <c r="B2816" s="13">
        <v>2022</v>
      </c>
      <c r="C2816" s="15" t="s">
        <v>141</v>
      </c>
      <c r="D2816" s="13" t="s">
        <v>134</v>
      </c>
      <c r="E2816" s="13" t="s">
        <v>5301</v>
      </c>
      <c r="F2816" s="43">
        <v>13.92</v>
      </c>
    </row>
    <row r="2817" spans="2:6" x14ac:dyDescent="0.25">
      <c r="B2817" s="13">
        <v>2023</v>
      </c>
      <c r="C2817" s="15" t="s">
        <v>141</v>
      </c>
      <c r="D2817" s="13" t="s">
        <v>134</v>
      </c>
      <c r="E2817" s="13" t="s">
        <v>5302</v>
      </c>
      <c r="F2817" s="43">
        <v>21.16</v>
      </c>
    </row>
    <row r="2818" spans="2:6" x14ac:dyDescent="0.25">
      <c r="B2818" s="13">
        <v>2024</v>
      </c>
      <c r="C2818" s="15" t="s">
        <v>141</v>
      </c>
      <c r="D2818" s="13" t="s">
        <v>134</v>
      </c>
      <c r="E2818" s="13" t="s">
        <v>5303</v>
      </c>
      <c r="F2818" s="43">
        <v>26.21</v>
      </c>
    </row>
    <row r="2819" spans="2:6" x14ac:dyDescent="0.25">
      <c r="B2819" s="13">
        <v>2025</v>
      </c>
      <c r="C2819" s="15" t="s">
        <v>141</v>
      </c>
      <c r="D2819" s="13" t="s">
        <v>134</v>
      </c>
      <c r="E2819" s="13" t="s">
        <v>5304</v>
      </c>
      <c r="F2819" s="43">
        <v>30.09</v>
      </c>
    </row>
    <row r="2820" spans="2:6" x14ac:dyDescent="0.25">
      <c r="B2820" s="13">
        <v>2026</v>
      </c>
      <c r="C2820" s="15" t="s">
        <v>141</v>
      </c>
      <c r="D2820" s="13" t="s">
        <v>134</v>
      </c>
      <c r="E2820" s="13" t="s">
        <v>5305</v>
      </c>
      <c r="F2820" s="43">
        <v>35.79</v>
      </c>
    </row>
    <row r="2821" spans="2:6" x14ac:dyDescent="0.25">
      <c r="B2821" s="13">
        <v>2027</v>
      </c>
      <c r="C2821" s="15" t="s">
        <v>141</v>
      </c>
      <c r="D2821" s="13" t="s">
        <v>134</v>
      </c>
      <c r="E2821" s="13" t="s">
        <v>5306</v>
      </c>
      <c r="F2821" s="43">
        <v>47.2</v>
      </c>
    </row>
    <row r="2822" spans="2:6" x14ac:dyDescent="0.25">
      <c r="B2822" s="13">
        <v>2028</v>
      </c>
      <c r="C2822" s="15" t="s">
        <v>141</v>
      </c>
      <c r="D2822" s="13" t="s">
        <v>134</v>
      </c>
      <c r="E2822" s="13" t="s">
        <v>5307</v>
      </c>
      <c r="F2822" s="43">
        <v>80.98</v>
      </c>
    </row>
    <row r="2823" spans="2:6" x14ac:dyDescent="0.25">
      <c r="B2823" s="13">
        <v>2029</v>
      </c>
      <c r="C2823" s="15" t="s">
        <v>141</v>
      </c>
      <c r="D2823" s="13" t="s">
        <v>134</v>
      </c>
      <c r="E2823" s="13" t="s">
        <v>5308</v>
      </c>
      <c r="F2823" s="43">
        <v>101.12</v>
      </c>
    </row>
    <row r="2824" spans="2:6" x14ac:dyDescent="0.25">
      <c r="B2824" s="13">
        <v>2030</v>
      </c>
      <c r="C2824" s="15" t="s">
        <v>141</v>
      </c>
      <c r="D2824" s="13" t="s">
        <v>134</v>
      </c>
      <c r="E2824" s="13" t="s">
        <v>5309</v>
      </c>
      <c r="F2824" s="43">
        <v>226.68</v>
      </c>
    </row>
    <row r="2825" spans="2:6" x14ac:dyDescent="0.25">
      <c r="B2825" s="13">
        <v>2031</v>
      </c>
      <c r="C2825" s="15" t="s">
        <v>141</v>
      </c>
      <c r="D2825" s="13" t="s">
        <v>134</v>
      </c>
      <c r="E2825" s="13" t="s">
        <v>5310</v>
      </c>
      <c r="F2825" s="43">
        <v>400.05</v>
      </c>
    </row>
    <row r="2826" spans="2:6" x14ac:dyDescent="0.25">
      <c r="B2826" s="13">
        <v>2032</v>
      </c>
      <c r="C2826" s="15" t="s">
        <v>141</v>
      </c>
      <c r="D2826" s="13" t="s">
        <v>134</v>
      </c>
      <c r="E2826" s="13" t="s">
        <v>5311</v>
      </c>
      <c r="F2826" s="43">
        <v>14.47</v>
      </c>
    </row>
    <row r="2827" spans="2:6" x14ac:dyDescent="0.25">
      <c r="B2827" s="13">
        <v>2033</v>
      </c>
      <c r="C2827" s="15" t="s">
        <v>141</v>
      </c>
      <c r="D2827" s="13" t="s">
        <v>134</v>
      </c>
      <c r="E2827" s="13" t="s">
        <v>5312</v>
      </c>
      <c r="F2827" s="43">
        <v>18.989999999999998</v>
      </c>
    </row>
    <row r="2828" spans="2:6" x14ac:dyDescent="0.25">
      <c r="B2828" s="13">
        <v>2034</v>
      </c>
      <c r="C2828" s="15" t="s">
        <v>141</v>
      </c>
      <c r="D2828" s="13" t="s">
        <v>134</v>
      </c>
      <c r="E2828" s="13" t="s">
        <v>5313</v>
      </c>
      <c r="F2828" s="43">
        <v>23.84</v>
      </c>
    </row>
    <row r="2829" spans="2:6" x14ac:dyDescent="0.25">
      <c r="B2829" s="13">
        <v>2035</v>
      </c>
      <c r="C2829" s="15" t="s">
        <v>141</v>
      </c>
      <c r="D2829" s="13" t="s">
        <v>134</v>
      </c>
      <c r="E2829" s="13" t="s">
        <v>5314</v>
      </c>
      <c r="F2829" s="43">
        <v>25.93</v>
      </c>
    </row>
    <row r="2830" spans="2:6" x14ac:dyDescent="0.25">
      <c r="B2830" s="13">
        <v>2036</v>
      </c>
      <c r="C2830" s="15" t="s">
        <v>141</v>
      </c>
      <c r="D2830" s="13" t="s">
        <v>134</v>
      </c>
      <c r="E2830" s="13" t="s">
        <v>5315</v>
      </c>
      <c r="F2830" s="43">
        <v>35.880000000000003</v>
      </c>
    </row>
    <row r="2831" spans="2:6" x14ac:dyDescent="0.25">
      <c r="B2831" s="13">
        <v>2037</v>
      </c>
      <c r="C2831" s="15" t="s">
        <v>141</v>
      </c>
      <c r="D2831" s="13" t="s">
        <v>134</v>
      </c>
      <c r="E2831" s="13" t="s">
        <v>5316</v>
      </c>
      <c r="F2831" s="43">
        <v>44.08</v>
      </c>
    </row>
    <row r="2832" spans="2:6" x14ac:dyDescent="0.25">
      <c r="B2832" s="13">
        <v>2038</v>
      </c>
      <c r="C2832" s="15" t="s">
        <v>141</v>
      </c>
      <c r="D2832" s="13" t="s">
        <v>134</v>
      </c>
      <c r="E2832" s="13" t="s">
        <v>5317</v>
      </c>
      <c r="F2832" s="43">
        <v>46.11</v>
      </c>
    </row>
    <row r="2833" spans="2:6" x14ac:dyDescent="0.25">
      <c r="B2833" s="13">
        <v>2039</v>
      </c>
      <c r="C2833" s="15" t="s">
        <v>141</v>
      </c>
      <c r="D2833" s="13" t="s">
        <v>134</v>
      </c>
      <c r="E2833" s="13" t="s">
        <v>5318</v>
      </c>
      <c r="F2833" s="43">
        <v>50.41</v>
      </c>
    </row>
    <row r="2834" spans="2:6" x14ac:dyDescent="0.25">
      <c r="B2834" s="13">
        <v>2040</v>
      </c>
      <c r="C2834" s="15" t="s">
        <v>141</v>
      </c>
      <c r="D2834" s="13" t="s">
        <v>134</v>
      </c>
      <c r="E2834" s="13" t="s">
        <v>5319</v>
      </c>
      <c r="F2834" s="43">
        <v>49.17</v>
      </c>
    </row>
    <row r="2835" spans="2:6" x14ac:dyDescent="0.25">
      <c r="B2835" s="13">
        <v>2041</v>
      </c>
      <c r="C2835" s="15" t="s">
        <v>141</v>
      </c>
      <c r="D2835" s="13" t="s">
        <v>134</v>
      </c>
      <c r="E2835" s="13" t="s">
        <v>5320</v>
      </c>
      <c r="F2835" s="43">
        <v>62.26</v>
      </c>
    </row>
    <row r="2836" spans="2:6" x14ac:dyDescent="0.25">
      <c r="B2836" s="13">
        <v>2042</v>
      </c>
      <c r="C2836" s="15" t="s">
        <v>141</v>
      </c>
      <c r="D2836" s="13" t="s">
        <v>134</v>
      </c>
      <c r="E2836" s="13" t="s">
        <v>5321</v>
      </c>
      <c r="F2836" s="43">
        <v>63.49</v>
      </c>
    </row>
    <row r="2837" spans="2:6" x14ac:dyDescent="0.25">
      <c r="B2837" s="13">
        <v>2043</v>
      </c>
      <c r="C2837" s="15" t="s">
        <v>141</v>
      </c>
      <c r="D2837" s="13" t="s">
        <v>134</v>
      </c>
      <c r="E2837" s="13" t="s">
        <v>5322</v>
      </c>
      <c r="F2837" s="43">
        <v>223.61</v>
      </c>
    </row>
    <row r="2838" spans="2:6" x14ac:dyDescent="0.25">
      <c r="B2838" s="13">
        <v>2044</v>
      </c>
      <c r="C2838" s="15" t="s">
        <v>141</v>
      </c>
      <c r="D2838" s="13" t="s">
        <v>134</v>
      </c>
      <c r="E2838" s="13" t="s">
        <v>5323</v>
      </c>
      <c r="F2838" s="43">
        <v>302.69</v>
      </c>
    </row>
    <row r="2839" spans="2:6" x14ac:dyDescent="0.25">
      <c r="B2839" s="13">
        <v>2061</v>
      </c>
      <c r="C2839" s="15" t="s">
        <v>141</v>
      </c>
      <c r="D2839" s="13" t="s">
        <v>134</v>
      </c>
      <c r="E2839" s="13" t="s">
        <v>5324</v>
      </c>
      <c r="F2839" s="43">
        <v>3.68</v>
      </c>
    </row>
    <row r="2840" spans="2:6" x14ac:dyDescent="0.25">
      <c r="B2840" s="13">
        <v>2062</v>
      </c>
      <c r="C2840" s="15" t="s">
        <v>141</v>
      </c>
      <c r="D2840" s="13" t="s">
        <v>134</v>
      </c>
      <c r="E2840" s="13" t="s">
        <v>5325</v>
      </c>
      <c r="F2840" s="43">
        <v>4.42</v>
      </c>
    </row>
    <row r="2841" spans="2:6" x14ac:dyDescent="0.25">
      <c r="B2841" s="13">
        <v>2063</v>
      </c>
      <c r="C2841" s="15" t="s">
        <v>141</v>
      </c>
      <c r="D2841" s="13" t="s">
        <v>134</v>
      </c>
      <c r="E2841" s="13" t="s">
        <v>5326</v>
      </c>
      <c r="F2841" s="43">
        <v>6.22</v>
      </c>
    </row>
    <row r="2842" spans="2:6" x14ac:dyDescent="0.25">
      <c r="B2842" s="13">
        <v>2064</v>
      </c>
      <c r="C2842" s="15" t="s">
        <v>141</v>
      </c>
      <c r="D2842" s="13" t="s">
        <v>134</v>
      </c>
      <c r="E2842" s="13" t="s">
        <v>5327</v>
      </c>
      <c r="F2842" s="43">
        <v>6.71</v>
      </c>
    </row>
    <row r="2843" spans="2:6" x14ac:dyDescent="0.25">
      <c r="B2843" s="13">
        <v>2065</v>
      </c>
      <c r="C2843" s="15" t="s">
        <v>141</v>
      </c>
      <c r="D2843" s="13" t="s">
        <v>134</v>
      </c>
      <c r="E2843" s="13" t="s">
        <v>5328</v>
      </c>
      <c r="F2843" s="43">
        <v>8.32</v>
      </c>
    </row>
    <row r="2844" spans="2:6" x14ac:dyDescent="0.25">
      <c r="B2844" s="13">
        <v>2066</v>
      </c>
      <c r="C2844" s="15" t="s">
        <v>141</v>
      </c>
      <c r="D2844" s="13" t="s">
        <v>134</v>
      </c>
      <c r="E2844" s="13" t="s">
        <v>5329</v>
      </c>
      <c r="F2844" s="43">
        <v>9.08</v>
      </c>
    </row>
    <row r="2845" spans="2:6" x14ac:dyDescent="0.25">
      <c r="B2845" s="13">
        <v>2067</v>
      </c>
      <c r="C2845" s="15" t="s">
        <v>141</v>
      </c>
      <c r="D2845" s="13" t="s">
        <v>134</v>
      </c>
      <c r="E2845" s="13" t="s">
        <v>5330</v>
      </c>
      <c r="F2845" s="43">
        <v>8.86</v>
      </c>
    </row>
    <row r="2846" spans="2:6" x14ac:dyDescent="0.25">
      <c r="B2846" s="13">
        <v>2068</v>
      </c>
      <c r="C2846" s="15" t="s">
        <v>141</v>
      </c>
      <c r="D2846" s="13" t="s">
        <v>134</v>
      </c>
      <c r="E2846" s="13" t="s">
        <v>5331</v>
      </c>
      <c r="F2846" s="43">
        <v>11.28</v>
      </c>
    </row>
    <row r="2847" spans="2:6" x14ac:dyDescent="0.25">
      <c r="B2847" s="13">
        <v>2069</v>
      </c>
      <c r="C2847" s="15" t="s">
        <v>141</v>
      </c>
      <c r="D2847" s="13" t="s">
        <v>134</v>
      </c>
      <c r="E2847" s="13" t="s">
        <v>5332</v>
      </c>
      <c r="F2847" s="43">
        <v>14.69</v>
      </c>
    </row>
    <row r="2848" spans="2:6" x14ac:dyDescent="0.25">
      <c r="B2848" s="13">
        <v>2070</v>
      </c>
      <c r="C2848" s="15" t="s">
        <v>141</v>
      </c>
      <c r="D2848" s="13" t="s">
        <v>134</v>
      </c>
      <c r="E2848" s="13" t="s">
        <v>5333</v>
      </c>
      <c r="F2848" s="43">
        <v>22.75</v>
      </c>
    </row>
    <row r="2849" spans="2:6" x14ac:dyDescent="0.25">
      <c r="B2849" s="13">
        <v>2071</v>
      </c>
      <c r="C2849" s="15" t="s">
        <v>141</v>
      </c>
      <c r="D2849" s="13" t="s">
        <v>134</v>
      </c>
      <c r="E2849" s="13" t="s">
        <v>5334</v>
      </c>
      <c r="F2849" s="43">
        <v>52.48</v>
      </c>
    </row>
    <row r="2850" spans="2:6" x14ac:dyDescent="0.25">
      <c r="B2850" s="13">
        <v>2072</v>
      </c>
      <c r="C2850" s="15" t="s">
        <v>141</v>
      </c>
      <c r="D2850" s="13" t="s">
        <v>134</v>
      </c>
      <c r="E2850" s="13" t="s">
        <v>5335</v>
      </c>
      <c r="F2850" s="43">
        <v>82.23</v>
      </c>
    </row>
    <row r="2851" spans="2:6" x14ac:dyDescent="0.25">
      <c r="B2851" s="13">
        <v>2074</v>
      </c>
      <c r="C2851" s="15" t="s">
        <v>141</v>
      </c>
      <c r="D2851" s="13" t="s">
        <v>134</v>
      </c>
      <c r="E2851" s="13" t="s">
        <v>5336</v>
      </c>
      <c r="F2851" s="43">
        <v>1.9</v>
      </c>
    </row>
    <row r="2852" spans="2:6" x14ac:dyDescent="0.25">
      <c r="B2852" s="13">
        <v>2075</v>
      </c>
      <c r="C2852" s="15" t="s">
        <v>141</v>
      </c>
      <c r="D2852" s="13" t="s">
        <v>134</v>
      </c>
      <c r="E2852" s="13" t="s">
        <v>5337</v>
      </c>
      <c r="F2852" s="43">
        <v>1.98</v>
      </c>
    </row>
    <row r="2853" spans="2:6" x14ac:dyDescent="0.25">
      <c r="B2853" s="13">
        <v>2076</v>
      </c>
      <c r="C2853" s="15" t="s">
        <v>141</v>
      </c>
      <c r="D2853" s="13" t="s">
        <v>134</v>
      </c>
      <c r="E2853" s="13" t="s">
        <v>5338</v>
      </c>
      <c r="F2853" s="43">
        <v>2.29</v>
      </c>
    </row>
    <row r="2854" spans="2:6" x14ac:dyDescent="0.25">
      <c r="B2854" s="13">
        <v>2077</v>
      </c>
      <c r="C2854" s="15" t="s">
        <v>141</v>
      </c>
      <c r="D2854" s="13" t="s">
        <v>134</v>
      </c>
      <c r="E2854" s="13" t="s">
        <v>5339</v>
      </c>
      <c r="F2854" s="43">
        <v>2.29</v>
      </c>
    </row>
    <row r="2855" spans="2:6" x14ac:dyDescent="0.25">
      <c r="B2855" s="13">
        <v>2079</v>
      </c>
      <c r="C2855" s="15" t="s">
        <v>141</v>
      </c>
      <c r="D2855" s="13" t="s">
        <v>134</v>
      </c>
      <c r="E2855" s="13" t="s">
        <v>5340</v>
      </c>
      <c r="F2855" s="43">
        <v>2.57</v>
      </c>
    </row>
    <row r="2856" spans="2:6" x14ac:dyDescent="0.25">
      <c r="B2856" s="13">
        <v>2080</v>
      </c>
      <c r="C2856" s="15" t="s">
        <v>141</v>
      </c>
      <c r="D2856" s="13" t="s">
        <v>134</v>
      </c>
      <c r="E2856" s="13" t="s">
        <v>5341</v>
      </c>
      <c r="F2856" s="43">
        <v>2.57</v>
      </c>
    </row>
    <row r="2857" spans="2:6" x14ac:dyDescent="0.25">
      <c r="B2857" s="13">
        <v>2081</v>
      </c>
      <c r="C2857" s="15" t="s">
        <v>141</v>
      </c>
      <c r="D2857" s="13" t="s">
        <v>134</v>
      </c>
      <c r="E2857" s="13" t="s">
        <v>5342</v>
      </c>
      <c r="F2857" s="43">
        <v>2.57</v>
      </c>
    </row>
    <row r="2858" spans="2:6" x14ac:dyDescent="0.25">
      <c r="B2858" s="13">
        <v>2082</v>
      </c>
      <c r="C2858" s="15" t="s">
        <v>141</v>
      </c>
      <c r="D2858" s="13" t="s">
        <v>134</v>
      </c>
      <c r="E2858" s="13" t="s">
        <v>5343</v>
      </c>
      <c r="F2858" s="43">
        <v>3.24</v>
      </c>
    </row>
    <row r="2859" spans="2:6" x14ac:dyDescent="0.25">
      <c r="B2859" s="13">
        <v>2083</v>
      </c>
      <c r="C2859" s="15" t="s">
        <v>141</v>
      </c>
      <c r="D2859" s="13" t="s">
        <v>134</v>
      </c>
      <c r="E2859" s="13" t="s">
        <v>5344</v>
      </c>
      <c r="F2859" s="43">
        <v>2.59</v>
      </c>
    </row>
    <row r="2860" spans="2:6" x14ac:dyDescent="0.25">
      <c r="B2860" s="13">
        <v>2084</v>
      </c>
      <c r="C2860" s="15" t="s">
        <v>141</v>
      </c>
      <c r="D2860" s="13" t="s">
        <v>134</v>
      </c>
      <c r="E2860" s="13" t="s">
        <v>5345</v>
      </c>
      <c r="F2860" s="43">
        <v>3.24</v>
      </c>
    </row>
    <row r="2861" spans="2:6" x14ac:dyDescent="0.25">
      <c r="B2861" s="13">
        <v>2085</v>
      </c>
      <c r="C2861" s="15" t="s">
        <v>141</v>
      </c>
      <c r="D2861" s="13" t="s">
        <v>134</v>
      </c>
      <c r="E2861" s="13" t="s">
        <v>5346</v>
      </c>
      <c r="F2861" s="43">
        <v>4.01</v>
      </c>
    </row>
    <row r="2862" spans="2:6" x14ac:dyDescent="0.25">
      <c r="B2862" s="13">
        <v>2086</v>
      </c>
      <c r="C2862" s="15" t="s">
        <v>141</v>
      </c>
      <c r="D2862" s="13" t="s">
        <v>134</v>
      </c>
      <c r="E2862" s="13" t="s">
        <v>5347</v>
      </c>
      <c r="F2862" s="43">
        <v>4.3499999999999996</v>
      </c>
    </row>
    <row r="2863" spans="2:6" x14ac:dyDescent="0.25">
      <c r="B2863" s="13">
        <v>2087</v>
      </c>
      <c r="C2863" s="15" t="s">
        <v>141</v>
      </c>
      <c r="D2863" s="13" t="s">
        <v>134</v>
      </c>
      <c r="E2863" s="13" t="s">
        <v>5348</v>
      </c>
      <c r="F2863" s="43">
        <v>3.68</v>
      </c>
    </row>
    <row r="2864" spans="2:6" x14ac:dyDescent="0.25">
      <c r="B2864" s="13">
        <v>2088</v>
      </c>
      <c r="C2864" s="15" t="s">
        <v>141</v>
      </c>
      <c r="D2864" s="13" t="s">
        <v>134</v>
      </c>
      <c r="E2864" s="13" t="s">
        <v>5349</v>
      </c>
      <c r="F2864" s="43">
        <v>5.94</v>
      </c>
    </row>
    <row r="2865" spans="2:6" x14ac:dyDescent="0.25">
      <c r="B2865" s="13">
        <v>2089</v>
      </c>
      <c r="C2865" s="15" t="s">
        <v>141</v>
      </c>
      <c r="D2865" s="13" t="s">
        <v>134</v>
      </c>
      <c r="E2865" s="13" t="s">
        <v>5350</v>
      </c>
      <c r="F2865" s="43">
        <v>5.73</v>
      </c>
    </row>
    <row r="2866" spans="2:6" x14ac:dyDescent="0.25">
      <c r="B2866" s="13">
        <v>2090</v>
      </c>
      <c r="C2866" s="15" t="s">
        <v>141</v>
      </c>
      <c r="D2866" s="13" t="s">
        <v>134</v>
      </c>
      <c r="E2866" s="13" t="s">
        <v>5351</v>
      </c>
      <c r="F2866" s="43">
        <v>6.79</v>
      </c>
    </row>
    <row r="2867" spans="2:6" x14ac:dyDescent="0.25">
      <c r="B2867" s="13">
        <v>2091</v>
      </c>
      <c r="C2867" s="15" t="s">
        <v>141</v>
      </c>
      <c r="D2867" s="13" t="s">
        <v>134</v>
      </c>
      <c r="E2867" s="13" t="s">
        <v>5352</v>
      </c>
      <c r="F2867" s="43">
        <v>10.89</v>
      </c>
    </row>
    <row r="2868" spans="2:6" x14ac:dyDescent="0.25">
      <c r="B2868" s="13">
        <v>2092</v>
      </c>
      <c r="C2868" s="15" t="s">
        <v>141</v>
      </c>
      <c r="D2868" s="13" t="s">
        <v>134</v>
      </c>
      <c r="E2868" s="13" t="s">
        <v>5353</v>
      </c>
      <c r="F2868" s="43">
        <v>9.52</v>
      </c>
    </row>
    <row r="2869" spans="2:6" x14ac:dyDescent="0.25">
      <c r="B2869" s="13">
        <v>2093</v>
      </c>
      <c r="C2869" s="15" t="s">
        <v>141</v>
      </c>
      <c r="D2869" s="13" t="s">
        <v>134</v>
      </c>
      <c r="E2869" s="13" t="s">
        <v>5354</v>
      </c>
      <c r="F2869" s="43">
        <v>10.89</v>
      </c>
    </row>
    <row r="2870" spans="2:6" x14ac:dyDescent="0.25">
      <c r="B2870" s="13">
        <v>2094</v>
      </c>
      <c r="C2870" s="15" t="s">
        <v>141</v>
      </c>
      <c r="D2870" s="13" t="s">
        <v>134</v>
      </c>
      <c r="E2870" s="13" t="s">
        <v>5355</v>
      </c>
      <c r="F2870" s="43">
        <v>12.51</v>
      </c>
    </row>
    <row r="2871" spans="2:6" x14ac:dyDescent="0.25">
      <c r="B2871" s="13">
        <v>2095</v>
      </c>
      <c r="C2871" s="15" t="s">
        <v>141</v>
      </c>
      <c r="D2871" s="13" t="s">
        <v>134</v>
      </c>
      <c r="E2871" s="13" t="s">
        <v>5356</v>
      </c>
      <c r="F2871" s="43">
        <v>14.14</v>
      </c>
    </row>
    <row r="2872" spans="2:6" x14ac:dyDescent="0.25">
      <c r="B2872" s="13">
        <v>2096</v>
      </c>
      <c r="C2872" s="15" t="s">
        <v>141</v>
      </c>
      <c r="D2872" s="13" t="s">
        <v>134</v>
      </c>
      <c r="E2872" s="13" t="s">
        <v>5357</v>
      </c>
      <c r="F2872" s="43">
        <v>11.25</v>
      </c>
    </row>
    <row r="2873" spans="2:6" x14ac:dyDescent="0.25">
      <c r="B2873" s="13">
        <v>2097</v>
      </c>
      <c r="C2873" s="15" t="s">
        <v>141</v>
      </c>
      <c r="D2873" s="13" t="s">
        <v>134</v>
      </c>
      <c r="E2873" s="13" t="s">
        <v>5358</v>
      </c>
      <c r="F2873" s="43">
        <v>35.97</v>
      </c>
    </row>
    <row r="2874" spans="2:6" x14ac:dyDescent="0.25">
      <c r="B2874" s="13">
        <v>2098</v>
      </c>
      <c r="C2874" s="15" t="s">
        <v>141</v>
      </c>
      <c r="D2874" s="13" t="s">
        <v>134</v>
      </c>
      <c r="E2874" s="13" t="s">
        <v>5359</v>
      </c>
      <c r="F2874" s="43">
        <v>34.979999999999997</v>
      </c>
    </row>
    <row r="2875" spans="2:6" x14ac:dyDescent="0.25">
      <c r="B2875" s="13">
        <v>2099</v>
      </c>
      <c r="C2875" s="15" t="s">
        <v>141</v>
      </c>
      <c r="D2875" s="13" t="s">
        <v>134</v>
      </c>
      <c r="E2875" s="13" t="s">
        <v>5360</v>
      </c>
      <c r="F2875" s="43">
        <v>32.07</v>
      </c>
    </row>
    <row r="2876" spans="2:6" x14ac:dyDescent="0.25">
      <c r="B2876" s="13">
        <v>2102</v>
      </c>
      <c r="C2876" s="15" t="s">
        <v>141</v>
      </c>
      <c r="D2876" s="13" t="s">
        <v>134</v>
      </c>
      <c r="E2876" s="13" t="s">
        <v>5361</v>
      </c>
      <c r="F2876" s="43">
        <v>2.21</v>
      </c>
    </row>
    <row r="2877" spans="2:6" x14ac:dyDescent="0.25">
      <c r="B2877" s="13">
        <v>2103</v>
      </c>
      <c r="C2877" s="15" t="s">
        <v>141</v>
      </c>
      <c r="D2877" s="13" t="s">
        <v>134</v>
      </c>
      <c r="E2877" s="13" t="s">
        <v>5362</v>
      </c>
      <c r="F2877" s="43">
        <v>2.56</v>
      </c>
    </row>
    <row r="2878" spans="2:6" x14ac:dyDescent="0.25">
      <c r="B2878" s="13">
        <v>2104</v>
      </c>
      <c r="C2878" s="15" t="s">
        <v>141</v>
      </c>
      <c r="D2878" s="13" t="s">
        <v>134</v>
      </c>
      <c r="E2878" s="13" t="s">
        <v>5363</v>
      </c>
      <c r="F2878" s="43">
        <v>2.98</v>
      </c>
    </row>
    <row r="2879" spans="2:6" x14ac:dyDescent="0.25">
      <c r="B2879" s="13">
        <v>2105</v>
      </c>
      <c r="C2879" s="15" t="s">
        <v>141</v>
      </c>
      <c r="D2879" s="13" t="s">
        <v>134</v>
      </c>
      <c r="E2879" s="13" t="s">
        <v>5364</v>
      </c>
      <c r="F2879" s="43">
        <v>4.0199999999999996</v>
      </c>
    </row>
    <row r="2880" spans="2:6" x14ac:dyDescent="0.25">
      <c r="B2880" s="13">
        <v>2106</v>
      </c>
      <c r="C2880" s="15" t="s">
        <v>141</v>
      </c>
      <c r="D2880" s="13" t="s">
        <v>134</v>
      </c>
      <c r="E2880" s="13" t="s">
        <v>5365</v>
      </c>
      <c r="F2880" s="43">
        <v>4.1100000000000003</v>
      </c>
    </row>
    <row r="2881" spans="2:6" x14ac:dyDescent="0.25">
      <c r="B2881" s="13">
        <v>2107</v>
      </c>
      <c r="C2881" s="15" t="s">
        <v>141</v>
      </c>
      <c r="D2881" s="13" t="s">
        <v>134</v>
      </c>
      <c r="E2881" s="13" t="s">
        <v>5366</v>
      </c>
      <c r="F2881" s="43">
        <v>6.24</v>
      </c>
    </row>
    <row r="2882" spans="2:6" x14ac:dyDescent="0.25">
      <c r="B2882" s="13">
        <v>2108</v>
      </c>
      <c r="C2882" s="15" t="s">
        <v>141</v>
      </c>
      <c r="D2882" s="13" t="s">
        <v>134</v>
      </c>
      <c r="E2882" s="13" t="s">
        <v>5367</v>
      </c>
      <c r="F2882" s="43">
        <v>13.46</v>
      </c>
    </row>
    <row r="2883" spans="2:6" x14ac:dyDescent="0.25">
      <c r="B2883" s="13">
        <v>2109</v>
      </c>
      <c r="C2883" s="15" t="s">
        <v>141</v>
      </c>
      <c r="D2883" s="13" t="s">
        <v>134</v>
      </c>
      <c r="E2883" s="13" t="s">
        <v>5368</v>
      </c>
      <c r="F2883" s="43">
        <v>24.49</v>
      </c>
    </row>
    <row r="2884" spans="2:6" x14ac:dyDescent="0.25">
      <c r="B2884" s="13">
        <v>2110</v>
      </c>
      <c r="C2884" s="15" t="s">
        <v>141</v>
      </c>
      <c r="D2884" s="13" t="s">
        <v>134</v>
      </c>
      <c r="E2884" s="13" t="s">
        <v>5369</v>
      </c>
      <c r="F2884" s="43">
        <v>36.94</v>
      </c>
    </row>
    <row r="2885" spans="2:6" x14ac:dyDescent="0.25">
      <c r="B2885" s="13">
        <v>2112</v>
      </c>
      <c r="C2885" s="15" t="s">
        <v>141</v>
      </c>
      <c r="D2885" s="13" t="s">
        <v>134</v>
      </c>
      <c r="E2885" s="13" t="s">
        <v>5370</v>
      </c>
      <c r="F2885" s="43">
        <v>2.29</v>
      </c>
    </row>
    <row r="2886" spans="2:6" x14ac:dyDescent="0.25">
      <c r="B2886" s="13">
        <v>2113</v>
      </c>
      <c r="C2886" s="15" t="s">
        <v>141</v>
      </c>
      <c r="D2886" s="13" t="s">
        <v>134</v>
      </c>
      <c r="E2886" s="13" t="s">
        <v>5371</v>
      </c>
      <c r="F2886" s="43">
        <v>2.71</v>
      </c>
    </row>
    <row r="2887" spans="2:6" x14ac:dyDescent="0.25">
      <c r="B2887" s="13">
        <v>2114</v>
      </c>
      <c r="C2887" s="15" t="s">
        <v>141</v>
      </c>
      <c r="D2887" s="13" t="s">
        <v>134</v>
      </c>
      <c r="E2887" s="13" t="s">
        <v>5372</v>
      </c>
      <c r="F2887" s="43">
        <v>3.24</v>
      </c>
    </row>
    <row r="2888" spans="2:6" x14ac:dyDescent="0.25">
      <c r="B2888" s="13">
        <v>2115</v>
      </c>
      <c r="C2888" s="15" t="s">
        <v>141</v>
      </c>
      <c r="D2888" s="13" t="s">
        <v>134</v>
      </c>
      <c r="E2888" s="13" t="s">
        <v>5373</v>
      </c>
      <c r="F2888" s="43">
        <v>4.42</v>
      </c>
    </row>
    <row r="2889" spans="2:6" x14ac:dyDescent="0.25">
      <c r="B2889" s="13">
        <v>2116</v>
      </c>
      <c r="C2889" s="15" t="s">
        <v>141</v>
      </c>
      <c r="D2889" s="13" t="s">
        <v>134</v>
      </c>
      <c r="E2889" s="13" t="s">
        <v>5374</v>
      </c>
      <c r="F2889" s="43">
        <v>5.3</v>
      </c>
    </row>
    <row r="2890" spans="2:6" x14ac:dyDescent="0.25">
      <c r="B2890" s="13">
        <v>2117</v>
      </c>
      <c r="C2890" s="15" t="s">
        <v>141</v>
      </c>
      <c r="D2890" s="13" t="s">
        <v>134</v>
      </c>
      <c r="E2890" s="13" t="s">
        <v>5375</v>
      </c>
      <c r="F2890" s="43">
        <v>6.66</v>
      </c>
    </row>
    <row r="2891" spans="2:6" x14ac:dyDescent="0.25">
      <c r="B2891" s="13">
        <v>2118</v>
      </c>
      <c r="C2891" s="15" t="s">
        <v>141</v>
      </c>
      <c r="D2891" s="13" t="s">
        <v>134</v>
      </c>
      <c r="E2891" s="13" t="s">
        <v>5376</v>
      </c>
      <c r="F2891" s="43">
        <v>13.11</v>
      </c>
    </row>
    <row r="2892" spans="2:6" x14ac:dyDescent="0.25">
      <c r="B2892" s="13">
        <v>2119</v>
      </c>
      <c r="C2892" s="15" t="s">
        <v>141</v>
      </c>
      <c r="D2892" s="13" t="s">
        <v>134</v>
      </c>
      <c r="E2892" s="13" t="s">
        <v>5377</v>
      </c>
      <c r="F2892" s="43">
        <v>20.48</v>
      </c>
    </row>
    <row r="2893" spans="2:6" x14ac:dyDescent="0.25">
      <c r="B2893" s="13">
        <v>2120</v>
      </c>
      <c r="C2893" s="15" t="s">
        <v>141</v>
      </c>
      <c r="D2893" s="13" t="s">
        <v>134</v>
      </c>
      <c r="E2893" s="13" t="s">
        <v>5378</v>
      </c>
      <c r="F2893" s="43">
        <v>43.29</v>
      </c>
    </row>
    <row r="2894" spans="2:6" x14ac:dyDescent="0.25">
      <c r="B2894" s="13">
        <v>2121</v>
      </c>
      <c r="C2894" s="15" t="s">
        <v>141</v>
      </c>
      <c r="D2894" s="13" t="s">
        <v>134</v>
      </c>
      <c r="E2894" s="13" t="s">
        <v>5379</v>
      </c>
      <c r="F2894" s="43">
        <v>1.01</v>
      </c>
    </row>
    <row r="2895" spans="2:6" x14ac:dyDescent="0.25">
      <c r="B2895" s="13">
        <v>2123</v>
      </c>
      <c r="C2895" s="15" t="s">
        <v>141</v>
      </c>
      <c r="D2895" s="13" t="s">
        <v>134</v>
      </c>
      <c r="E2895" s="13" t="s">
        <v>5380</v>
      </c>
      <c r="F2895" s="43">
        <v>2.0699999999999998</v>
      </c>
    </row>
    <row r="2896" spans="2:6" x14ac:dyDescent="0.25">
      <c r="B2896" s="13">
        <v>2124</v>
      </c>
      <c r="C2896" s="15" t="s">
        <v>141</v>
      </c>
      <c r="D2896" s="13" t="s">
        <v>134</v>
      </c>
      <c r="E2896" s="13" t="s">
        <v>5381</v>
      </c>
      <c r="F2896" s="43">
        <v>2.5299999999999998</v>
      </c>
    </row>
    <row r="2897" spans="2:6" x14ac:dyDescent="0.25">
      <c r="B2897" s="13">
        <v>2125</v>
      </c>
      <c r="C2897" s="15" t="s">
        <v>141</v>
      </c>
      <c r="D2897" s="13" t="s">
        <v>134</v>
      </c>
      <c r="E2897" s="13" t="s">
        <v>5382</v>
      </c>
      <c r="F2897" s="43">
        <v>3.24</v>
      </c>
    </row>
    <row r="2898" spans="2:6" x14ac:dyDescent="0.25">
      <c r="B2898" s="13">
        <v>2126</v>
      </c>
      <c r="C2898" s="15" t="s">
        <v>141</v>
      </c>
      <c r="D2898" s="13" t="s">
        <v>134</v>
      </c>
      <c r="E2898" s="13" t="s">
        <v>5383</v>
      </c>
      <c r="F2898" s="43">
        <v>4.34</v>
      </c>
    </row>
    <row r="2899" spans="2:6" x14ac:dyDescent="0.25">
      <c r="B2899" s="13">
        <v>2127</v>
      </c>
      <c r="C2899" s="15" t="s">
        <v>141</v>
      </c>
      <c r="D2899" s="13" t="s">
        <v>134</v>
      </c>
      <c r="E2899" s="13" t="s">
        <v>5384</v>
      </c>
      <c r="F2899" s="43">
        <v>4.9000000000000004</v>
      </c>
    </row>
    <row r="2900" spans="2:6" x14ac:dyDescent="0.25">
      <c r="B2900" s="13">
        <v>2128</v>
      </c>
      <c r="C2900" s="15" t="s">
        <v>141</v>
      </c>
      <c r="D2900" s="13" t="s">
        <v>134</v>
      </c>
      <c r="E2900" s="13" t="s">
        <v>5385</v>
      </c>
      <c r="F2900" s="43">
        <v>7.28</v>
      </c>
    </row>
    <row r="2901" spans="2:6" x14ac:dyDescent="0.25">
      <c r="B2901" s="13">
        <v>2129</v>
      </c>
      <c r="C2901" s="15" t="s">
        <v>141</v>
      </c>
      <c r="D2901" s="13" t="s">
        <v>134</v>
      </c>
      <c r="E2901" s="13" t="s">
        <v>5386</v>
      </c>
      <c r="F2901" s="43">
        <v>10.48</v>
      </c>
    </row>
    <row r="2902" spans="2:6" x14ac:dyDescent="0.25">
      <c r="B2902" s="13">
        <v>2130</v>
      </c>
      <c r="C2902" s="15" t="s">
        <v>141</v>
      </c>
      <c r="D2902" s="13" t="s">
        <v>134</v>
      </c>
      <c r="E2902" s="13" t="s">
        <v>5387</v>
      </c>
      <c r="F2902" s="43">
        <v>19.05</v>
      </c>
    </row>
    <row r="2903" spans="2:6" x14ac:dyDescent="0.25">
      <c r="B2903" s="13">
        <v>2131</v>
      </c>
      <c r="C2903" s="15" t="s">
        <v>141</v>
      </c>
      <c r="D2903" s="13" t="s">
        <v>134</v>
      </c>
      <c r="E2903" s="13" t="s">
        <v>5388</v>
      </c>
      <c r="F2903" s="43">
        <v>36.79</v>
      </c>
    </row>
    <row r="2904" spans="2:6" x14ac:dyDescent="0.25">
      <c r="B2904" s="13">
        <v>2132</v>
      </c>
      <c r="C2904" s="15" t="s">
        <v>141</v>
      </c>
      <c r="D2904" s="13" t="s">
        <v>134</v>
      </c>
      <c r="E2904" s="13" t="s">
        <v>5389</v>
      </c>
      <c r="F2904" s="43">
        <v>1.99</v>
      </c>
    </row>
    <row r="2905" spans="2:6" x14ac:dyDescent="0.25">
      <c r="B2905" s="13">
        <v>2133</v>
      </c>
      <c r="C2905" s="15" t="s">
        <v>141</v>
      </c>
      <c r="D2905" s="13" t="s">
        <v>134</v>
      </c>
      <c r="E2905" s="13" t="s">
        <v>5390</v>
      </c>
      <c r="F2905" s="43">
        <v>2.15</v>
      </c>
    </row>
    <row r="2906" spans="2:6" x14ac:dyDescent="0.25">
      <c r="B2906" s="13">
        <v>2134</v>
      </c>
      <c r="C2906" s="15" t="s">
        <v>141</v>
      </c>
      <c r="D2906" s="13" t="s">
        <v>134</v>
      </c>
      <c r="E2906" s="13" t="s">
        <v>5391</v>
      </c>
      <c r="F2906" s="43">
        <v>2.75</v>
      </c>
    </row>
    <row r="2907" spans="2:6" x14ac:dyDescent="0.25">
      <c r="B2907" s="13">
        <v>2135</v>
      </c>
      <c r="C2907" s="15" t="s">
        <v>141</v>
      </c>
      <c r="D2907" s="13" t="s">
        <v>134</v>
      </c>
      <c r="E2907" s="13" t="s">
        <v>5392</v>
      </c>
      <c r="F2907" s="43">
        <v>3.24</v>
      </c>
    </row>
    <row r="2908" spans="2:6" x14ac:dyDescent="0.25">
      <c r="B2908" s="13">
        <v>2136</v>
      </c>
      <c r="C2908" s="15" t="s">
        <v>141</v>
      </c>
      <c r="D2908" s="13" t="s">
        <v>134</v>
      </c>
      <c r="E2908" s="13" t="s">
        <v>5393</v>
      </c>
      <c r="F2908" s="43">
        <v>4.01</v>
      </c>
    </row>
    <row r="2909" spans="2:6" x14ac:dyDescent="0.25">
      <c r="B2909" s="13">
        <v>2137</v>
      </c>
      <c r="C2909" s="15" t="s">
        <v>141</v>
      </c>
      <c r="D2909" s="13" t="s">
        <v>134</v>
      </c>
      <c r="E2909" s="13" t="s">
        <v>5394</v>
      </c>
      <c r="F2909" s="43">
        <v>4.6399999999999997</v>
      </c>
    </row>
    <row r="2910" spans="2:6" x14ac:dyDescent="0.25">
      <c r="B2910" s="13">
        <v>2138</v>
      </c>
      <c r="C2910" s="15" t="s">
        <v>141</v>
      </c>
      <c r="D2910" s="13" t="s">
        <v>134</v>
      </c>
      <c r="E2910" s="13" t="s">
        <v>5395</v>
      </c>
      <c r="F2910" s="43">
        <v>6.18</v>
      </c>
    </row>
    <row r="2911" spans="2:6" x14ac:dyDescent="0.25">
      <c r="B2911" s="13">
        <v>2139</v>
      </c>
      <c r="C2911" s="15" t="s">
        <v>141</v>
      </c>
      <c r="D2911" s="13" t="s">
        <v>134</v>
      </c>
      <c r="E2911" s="13" t="s">
        <v>5396</v>
      </c>
      <c r="F2911" s="43">
        <v>7.2</v>
      </c>
    </row>
    <row r="2912" spans="2:6" x14ac:dyDescent="0.25">
      <c r="B2912" s="13">
        <v>2144</v>
      </c>
      <c r="C2912" s="15" t="s">
        <v>141</v>
      </c>
      <c r="D2912" s="13" t="s">
        <v>134</v>
      </c>
      <c r="E2912" s="13" t="s">
        <v>5397</v>
      </c>
      <c r="F2912" s="43">
        <v>0.94</v>
      </c>
    </row>
    <row r="2913" spans="2:6" x14ac:dyDescent="0.25">
      <c r="B2913" s="13">
        <v>2145</v>
      </c>
      <c r="C2913" s="15" t="s">
        <v>141</v>
      </c>
      <c r="D2913" s="13" t="s">
        <v>134</v>
      </c>
      <c r="E2913" s="13" t="s">
        <v>5398</v>
      </c>
      <c r="F2913" s="43">
        <v>0.94</v>
      </c>
    </row>
    <row r="2914" spans="2:6" x14ac:dyDescent="0.25">
      <c r="B2914" s="13">
        <v>2146</v>
      </c>
      <c r="C2914" s="15" t="s">
        <v>141</v>
      </c>
      <c r="D2914" s="13" t="s">
        <v>134</v>
      </c>
      <c r="E2914" s="13" t="s">
        <v>5399</v>
      </c>
      <c r="F2914" s="43">
        <v>1.06</v>
      </c>
    </row>
    <row r="2915" spans="2:6" x14ac:dyDescent="0.25">
      <c r="B2915" s="13">
        <v>2147</v>
      </c>
      <c r="C2915" s="15" t="s">
        <v>141</v>
      </c>
      <c r="D2915" s="13" t="s">
        <v>134</v>
      </c>
      <c r="E2915" s="13" t="s">
        <v>5400</v>
      </c>
      <c r="F2915" s="43">
        <v>1.52</v>
      </c>
    </row>
    <row r="2916" spans="2:6" x14ac:dyDescent="0.25">
      <c r="B2916" s="13">
        <v>2205</v>
      </c>
      <c r="C2916" s="15" t="s">
        <v>141</v>
      </c>
      <c r="D2916" s="13" t="s">
        <v>134</v>
      </c>
      <c r="E2916" s="13" t="s">
        <v>5401</v>
      </c>
      <c r="F2916" s="43">
        <v>3.87</v>
      </c>
    </row>
    <row r="2917" spans="2:6" x14ac:dyDescent="0.25">
      <c r="B2917" s="13">
        <v>2206</v>
      </c>
      <c r="C2917" s="15" t="s">
        <v>141</v>
      </c>
      <c r="D2917" s="13" t="s">
        <v>134</v>
      </c>
      <c r="E2917" s="13" t="s">
        <v>5402</v>
      </c>
      <c r="F2917" s="43">
        <v>6.57</v>
      </c>
    </row>
    <row r="2918" spans="2:6" x14ac:dyDescent="0.25">
      <c r="B2918" s="13">
        <v>2207</v>
      </c>
      <c r="C2918" s="15" t="s">
        <v>141</v>
      </c>
      <c r="D2918" s="13" t="s">
        <v>134</v>
      </c>
      <c r="E2918" s="13" t="s">
        <v>5403</v>
      </c>
      <c r="F2918" s="43">
        <v>5.97</v>
      </c>
    </row>
    <row r="2919" spans="2:6" x14ac:dyDescent="0.25">
      <c r="B2919" s="13">
        <v>2218</v>
      </c>
      <c r="C2919" s="15" t="s">
        <v>141</v>
      </c>
      <c r="D2919" s="13" t="s">
        <v>134</v>
      </c>
      <c r="E2919" s="13" t="s">
        <v>5404</v>
      </c>
      <c r="F2919" s="43">
        <v>2.0099999999999998</v>
      </c>
    </row>
    <row r="2920" spans="2:6" x14ac:dyDescent="0.25">
      <c r="B2920" s="13">
        <v>2219</v>
      </c>
      <c r="C2920" s="15" t="s">
        <v>141</v>
      </c>
      <c r="D2920" s="13" t="s">
        <v>134</v>
      </c>
      <c r="E2920" s="13" t="s">
        <v>5405</v>
      </c>
      <c r="F2920" s="43">
        <v>2.15</v>
      </c>
    </row>
    <row r="2921" spans="2:6" x14ac:dyDescent="0.25">
      <c r="B2921" s="13">
        <v>2220</v>
      </c>
      <c r="C2921" s="15" t="s">
        <v>141</v>
      </c>
      <c r="D2921" s="13" t="s">
        <v>134</v>
      </c>
      <c r="E2921" s="13" t="s">
        <v>5406</v>
      </c>
      <c r="F2921" s="43">
        <v>2.65</v>
      </c>
    </row>
    <row r="2922" spans="2:6" x14ac:dyDescent="0.25">
      <c r="B2922" s="13">
        <v>2221</v>
      </c>
      <c r="C2922" s="15" t="s">
        <v>141</v>
      </c>
      <c r="D2922" s="13" t="s">
        <v>134</v>
      </c>
      <c r="E2922" s="13" t="s">
        <v>5407</v>
      </c>
      <c r="F2922" s="43">
        <v>3.49</v>
      </c>
    </row>
    <row r="2923" spans="2:6" x14ac:dyDescent="0.25">
      <c r="B2923" s="13">
        <v>2222</v>
      </c>
      <c r="C2923" s="15" t="s">
        <v>141</v>
      </c>
      <c r="D2923" s="13" t="s">
        <v>134</v>
      </c>
      <c r="E2923" s="13" t="s">
        <v>5408</v>
      </c>
      <c r="F2923" s="43">
        <v>4.08</v>
      </c>
    </row>
    <row r="2924" spans="2:6" x14ac:dyDescent="0.25">
      <c r="B2924" s="13">
        <v>2223</v>
      </c>
      <c r="C2924" s="15" t="s">
        <v>141</v>
      </c>
      <c r="D2924" s="13" t="s">
        <v>134</v>
      </c>
      <c r="E2924" s="13" t="s">
        <v>5409</v>
      </c>
      <c r="F2924" s="43">
        <v>4.82</v>
      </c>
    </row>
    <row r="2925" spans="2:6" x14ac:dyDescent="0.25">
      <c r="B2925" s="13">
        <v>2224</v>
      </c>
      <c r="C2925" s="15" t="s">
        <v>141</v>
      </c>
      <c r="D2925" s="13" t="s">
        <v>134</v>
      </c>
      <c r="E2925" s="13" t="s">
        <v>5410</v>
      </c>
      <c r="F2925" s="43">
        <v>5.43</v>
      </c>
    </row>
    <row r="2926" spans="2:6" x14ac:dyDescent="0.25">
      <c r="B2926" s="13">
        <v>2225</v>
      </c>
      <c r="C2926" s="15" t="s">
        <v>141</v>
      </c>
      <c r="D2926" s="13" t="s">
        <v>134</v>
      </c>
      <c r="E2926" s="13" t="s">
        <v>5411</v>
      </c>
      <c r="F2926" s="43">
        <v>7.07</v>
      </c>
    </row>
    <row r="2927" spans="2:6" x14ac:dyDescent="0.25">
      <c r="B2927" s="13">
        <v>2226</v>
      </c>
      <c r="C2927" s="15" t="s">
        <v>141</v>
      </c>
      <c r="D2927" s="13" t="s">
        <v>134</v>
      </c>
      <c r="E2927" s="13" t="s">
        <v>5412</v>
      </c>
      <c r="F2927" s="43">
        <v>34.57</v>
      </c>
    </row>
    <row r="2928" spans="2:6" x14ac:dyDescent="0.25">
      <c r="B2928" s="13">
        <v>2227</v>
      </c>
      <c r="C2928" s="15" t="s">
        <v>141</v>
      </c>
      <c r="D2928" s="13" t="s">
        <v>134</v>
      </c>
      <c r="E2928" s="13" t="s">
        <v>5413</v>
      </c>
      <c r="F2928" s="43">
        <v>43.15</v>
      </c>
    </row>
    <row r="2929" spans="2:6" x14ac:dyDescent="0.25">
      <c r="B2929" s="13">
        <v>2228</v>
      </c>
      <c r="C2929" s="15" t="s">
        <v>141</v>
      </c>
      <c r="D2929" s="13" t="s">
        <v>134</v>
      </c>
      <c r="E2929" s="13" t="s">
        <v>5414</v>
      </c>
      <c r="F2929" s="43">
        <v>57.01</v>
      </c>
    </row>
    <row r="2930" spans="2:6" x14ac:dyDescent="0.25">
      <c r="B2930" s="13">
        <v>2229</v>
      </c>
      <c r="C2930" s="15" t="s">
        <v>141</v>
      </c>
      <c r="D2930" s="13" t="s">
        <v>134</v>
      </c>
      <c r="E2930" s="13" t="s">
        <v>5415</v>
      </c>
      <c r="F2930" s="43">
        <v>66.41</v>
      </c>
    </row>
    <row r="2931" spans="2:6" x14ac:dyDescent="0.25">
      <c r="B2931" s="13">
        <v>2230</v>
      </c>
      <c r="C2931" s="15" t="s">
        <v>141</v>
      </c>
      <c r="D2931" s="13" t="s">
        <v>134</v>
      </c>
      <c r="E2931" s="13" t="s">
        <v>5416</v>
      </c>
      <c r="F2931" s="43">
        <v>68.59</v>
      </c>
    </row>
    <row r="2932" spans="2:6" x14ac:dyDescent="0.25">
      <c r="B2932" s="13">
        <v>2231</v>
      </c>
      <c r="C2932" s="15" t="s">
        <v>141</v>
      </c>
      <c r="D2932" s="13" t="s">
        <v>134</v>
      </c>
      <c r="E2932" s="13" t="s">
        <v>5417</v>
      </c>
      <c r="F2932" s="43">
        <v>116.27</v>
      </c>
    </row>
    <row r="2933" spans="2:6" x14ac:dyDescent="0.25">
      <c r="B2933" s="13">
        <v>2235</v>
      </c>
      <c r="C2933" s="15" t="s">
        <v>141</v>
      </c>
      <c r="D2933" s="13" t="s">
        <v>134</v>
      </c>
      <c r="E2933" s="13" t="s">
        <v>5418</v>
      </c>
      <c r="F2933" s="43">
        <v>14.42</v>
      </c>
    </row>
    <row r="2934" spans="2:6" x14ac:dyDescent="0.25">
      <c r="B2934" s="13">
        <v>2236</v>
      </c>
      <c r="C2934" s="15" t="s">
        <v>141</v>
      </c>
      <c r="D2934" s="13" t="s">
        <v>134</v>
      </c>
      <c r="E2934" s="13" t="s">
        <v>5419</v>
      </c>
      <c r="F2934" s="43">
        <v>18.45</v>
      </c>
    </row>
    <row r="2935" spans="2:6" x14ac:dyDescent="0.25">
      <c r="B2935" s="13">
        <v>2237</v>
      </c>
      <c r="C2935" s="15" t="s">
        <v>141</v>
      </c>
      <c r="D2935" s="13" t="s">
        <v>134</v>
      </c>
      <c r="E2935" s="13" t="s">
        <v>5420</v>
      </c>
      <c r="F2935" s="43">
        <v>7.95</v>
      </c>
    </row>
    <row r="2936" spans="2:6" x14ac:dyDescent="0.25">
      <c r="B2936" s="13">
        <v>2238</v>
      </c>
      <c r="C2936" s="15" t="s">
        <v>141</v>
      </c>
      <c r="D2936" s="13" t="s">
        <v>134</v>
      </c>
      <c r="E2936" s="13" t="s">
        <v>5421</v>
      </c>
      <c r="F2936" s="43">
        <v>10.1</v>
      </c>
    </row>
    <row r="2937" spans="2:6" x14ac:dyDescent="0.25">
      <c r="B2937" s="13">
        <v>2239</v>
      </c>
      <c r="C2937" s="15" t="s">
        <v>141</v>
      </c>
      <c r="D2937" s="13" t="s">
        <v>134</v>
      </c>
      <c r="E2937" s="13" t="s">
        <v>5422</v>
      </c>
      <c r="F2937" s="43">
        <v>8.52</v>
      </c>
    </row>
    <row r="2938" spans="2:6" x14ac:dyDescent="0.25">
      <c r="B2938" s="13">
        <v>2240</v>
      </c>
      <c r="C2938" s="15" t="s">
        <v>141</v>
      </c>
      <c r="D2938" s="13" t="s">
        <v>134</v>
      </c>
      <c r="E2938" s="13" t="s">
        <v>5423</v>
      </c>
      <c r="F2938" s="43">
        <v>11.42</v>
      </c>
    </row>
    <row r="2939" spans="2:6" x14ac:dyDescent="0.25">
      <c r="B2939" s="13">
        <v>2241</v>
      </c>
      <c r="C2939" s="15" t="s">
        <v>141</v>
      </c>
      <c r="D2939" s="13" t="s">
        <v>134</v>
      </c>
      <c r="E2939" s="13" t="s">
        <v>5424</v>
      </c>
      <c r="F2939" s="43">
        <v>8.5299999999999994</v>
      </c>
    </row>
    <row r="2940" spans="2:6" x14ac:dyDescent="0.25">
      <c r="B2940" s="13">
        <v>2242</v>
      </c>
      <c r="C2940" s="15" t="s">
        <v>141</v>
      </c>
      <c r="D2940" s="13" t="s">
        <v>134</v>
      </c>
      <c r="E2940" s="13" t="s">
        <v>5425</v>
      </c>
      <c r="F2940" s="43">
        <v>12.57</v>
      </c>
    </row>
    <row r="2941" spans="2:6" x14ac:dyDescent="0.25">
      <c r="B2941" s="13">
        <v>2243</v>
      </c>
      <c r="C2941" s="15" t="s">
        <v>141</v>
      </c>
      <c r="D2941" s="13" t="s">
        <v>134</v>
      </c>
      <c r="E2941" s="13" t="s">
        <v>5426</v>
      </c>
      <c r="F2941" s="43">
        <v>3.21</v>
      </c>
    </row>
    <row r="2942" spans="2:6" x14ac:dyDescent="0.25">
      <c r="B2942" s="13">
        <v>2244</v>
      </c>
      <c r="C2942" s="15" t="s">
        <v>141</v>
      </c>
      <c r="D2942" s="13" t="s">
        <v>134</v>
      </c>
      <c r="E2942" s="13" t="s">
        <v>5427</v>
      </c>
      <c r="F2942" s="43">
        <v>3.24</v>
      </c>
    </row>
    <row r="2943" spans="2:6" x14ac:dyDescent="0.25">
      <c r="B2943" s="13">
        <v>2245</v>
      </c>
      <c r="C2943" s="15" t="s">
        <v>141</v>
      </c>
      <c r="D2943" s="13" t="s">
        <v>134</v>
      </c>
      <c r="E2943" s="13" t="s">
        <v>5428</v>
      </c>
      <c r="F2943" s="43">
        <v>2.89</v>
      </c>
    </row>
    <row r="2944" spans="2:6" x14ac:dyDescent="0.25">
      <c r="B2944" s="13">
        <v>2246</v>
      </c>
      <c r="C2944" s="15" t="s">
        <v>141</v>
      </c>
      <c r="D2944" s="13" t="s">
        <v>134</v>
      </c>
      <c r="E2944" s="13" t="s">
        <v>5429</v>
      </c>
      <c r="F2944" s="43">
        <v>3.78</v>
      </c>
    </row>
    <row r="2945" spans="2:6" x14ac:dyDescent="0.25">
      <c r="B2945" s="13">
        <v>2247</v>
      </c>
      <c r="C2945" s="15" t="s">
        <v>141</v>
      </c>
      <c r="D2945" s="13" t="s">
        <v>134</v>
      </c>
      <c r="E2945" s="13" t="s">
        <v>5430</v>
      </c>
      <c r="F2945" s="43">
        <v>3.71</v>
      </c>
    </row>
    <row r="2946" spans="2:6" x14ac:dyDescent="0.25">
      <c r="B2946" s="13">
        <v>2248</v>
      </c>
      <c r="C2946" s="15" t="s">
        <v>141</v>
      </c>
      <c r="D2946" s="13" t="s">
        <v>134</v>
      </c>
      <c r="E2946" s="13" t="s">
        <v>5431</v>
      </c>
      <c r="F2946" s="43">
        <v>3.63</v>
      </c>
    </row>
    <row r="2947" spans="2:6" x14ac:dyDescent="0.25">
      <c r="B2947" s="13">
        <v>2249</v>
      </c>
      <c r="C2947" s="15" t="s">
        <v>141</v>
      </c>
      <c r="D2947" s="13" t="s">
        <v>134</v>
      </c>
      <c r="E2947" s="13" t="s">
        <v>5432</v>
      </c>
      <c r="F2947" s="43">
        <v>3.63</v>
      </c>
    </row>
    <row r="2948" spans="2:6" x14ac:dyDescent="0.25">
      <c r="B2948" s="13">
        <v>2250</v>
      </c>
      <c r="C2948" s="15" t="s">
        <v>141</v>
      </c>
      <c r="D2948" s="13" t="s">
        <v>134</v>
      </c>
      <c r="E2948" s="13" t="s">
        <v>5433</v>
      </c>
      <c r="F2948" s="43">
        <v>4.92</v>
      </c>
    </row>
    <row r="2949" spans="2:6" x14ac:dyDescent="0.25">
      <c r="B2949" s="13">
        <v>2251</v>
      </c>
      <c r="C2949" s="15" t="s">
        <v>141</v>
      </c>
      <c r="D2949" s="13" t="s">
        <v>134</v>
      </c>
      <c r="E2949" s="13" t="s">
        <v>5434</v>
      </c>
      <c r="F2949" s="43">
        <v>4.76</v>
      </c>
    </row>
    <row r="2950" spans="2:6" x14ac:dyDescent="0.25">
      <c r="B2950" s="13">
        <v>2252</v>
      </c>
      <c r="C2950" s="15" t="s">
        <v>141</v>
      </c>
      <c r="D2950" s="13" t="s">
        <v>134</v>
      </c>
      <c r="E2950" s="13" t="s">
        <v>5435</v>
      </c>
      <c r="F2950" s="43">
        <v>5.22</v>
      </c>
    </row>
    <row r="2951" spans="2:6" x14ac:dyDescent="0.25">
      <c r="B2951" s="13">
        <v>2253</v>
      </c>
      <c r="C2951" s="15" t="s">
        <v>141</v>
      </c>
      <c r="D2951" s="13" t="s">
        <v>134</v>
      </c>
      <c r="E2951" s="13" t="s">
        <v>5436</v>
      </c>
      <c r="F2951" s="43">
        <v>7.64</v>
      </c>
    </row>
    <row r="2952" spans="2:6" x14ac:dyDescent="0.25">
      <c r="B2952" s="13">
        <v>2254</v>
      </c>
      <c r="C2952" s="15" t="s">
        <v>141</v>
      </c>
      <c r="D2952" s="13" t="s">
        <v>134</v>
      </c>
      <c r="E2952" s="13" t="s">
        <v>5437</v>
      </c>
      <c r="F2952" s="43">
        <v>6.53</v>
      </c>
    </row>
    <row r="2953" spans="2:6" x14ac:dyDescent="0.25">
      <c r="B2953" s="13">
        <v>2255</v>
      </c>
      <c r="C2953" s="15" t="s">
        <v>141</v>
      </c>
      <c r="D2953" s="13" t="s">
        <v>134</v>
      </c>
      <c r="E2953" s="13" t="s">
        <v>5438</v>
      </c>
      <c r="F2953" s="43">
        <v>6.11</v>
      </c>
    </row>
    <row r="2954" spans="2:6" x14ac:dyDescent="0.25">
      <c r="B2954" s="13">
        <v>2256</v>
      </c>
      <c r="C2954" s="15" t="s">
        <v>141</v>
      </c>
      <c r="D2954" s="13" t="s">
        <v>134</v>
      </c>
      <c r="E2954" s="13" t="s">
        <v>5439</v>
      </c>
      <c r="F2954" s="43">
        <v>12.05</v>
      </c>
    </row>
    <row r="2955" spans="2:6" x14ac:dyDescent="0.25">
      <c r="B2955" s="13">
        <v>2257</v>
      </c>
      <c r="C2955" s="15" t="s">
        <v>141</v>
      </c>
      <c r="D2955" s="13" t="s">
        <v>134</v>
      </c>
      <c r="E2955" s="13" t="s">
        <v>5440</v>
      </c>
      <c r="F2955" s="43">
        <v>8.94</v>
      </c>
    </row>
    <row r="2956" spans="2:6" x14ac:dyDescent="0.25">
      <c r="B2956" s="13">
        <v>2258</v>
      </c>
      <c r="C2956" s="15" t="s">
        <v>141</v>
      </c>
      <c r="D2956" s="13" t="s">
        <v>134</v>
      </c>
      <c r="E2956" s="13" t="s">
        <v>5441</v>
      </c>
      <c r="F2956" s="43">
        <v>8.6199999999999992</v>
      </c>
    </row>
    <row r="2957" spans="2:6" x14ac:dyDescent="0.25">
      <c r="B2957" s="13">
        <v>2259</v>
      </c>
      <c r="C2957" s="15" t="s">
        <v>141</v>
      </c>
      <c r="D2957" s="13" t="s">
        <v>134</v>
      </c>
      <c r="E2957" s="13" t="s">
        <v>5442</v>
      </c>
      <c r="F2957" s="43">
        <v>16.54</v>
      </c>
    </row>
    <row r="2958" spans="2:6" x14ac:dyDescent="0.25">
      <c r="B2958" s="13">
        <v>2260</v>
      </c>
      <c r="C2958" s="15" t="s">
        <v>141</v>
      </c>
      <c r="D2958" s="13" t="s">
        <v>134</v>
      </c>
      <c r="E2958" s="13" t="s">
        <v>5443</v>
      </c>
      <c r="F2958" s="43">
        <v>13.14</v>
      </c>
    </row>
    <row r="2959" spans="2:6" x14ac:dyDescent="0.25">
      <c r="B2959" s="13">
        <v>2261</v>
      </c>
      <c r="C2959" s="15" t="s">
        <v>141</v>
      </c>
      <c r="D2959" s="13" t="s">
        <v>134</v>
      </c>
      <c r="E2959" s="13" t="s">
        <v>5444</v>
      </c>
      <c r="F2959" s="43">
        <v>13.14</v>
      </c>
    </row>
    <row r="2960" spans="2:6" x14ac:dyDescent="0.25">
      <c r="B2960" s="13">
        <v>2262</v>
      </c>
      <c r="C2960" s="15" t="s">
        <v>141</v>
      </c>
      <c r="D2960" s="13" t="s">
        <v>134</v>
      </c>
      <c r="E2960" s="13" t="s">
        <v>5445</v>
      </c>
      <c r="F2960" s="43">
        <v>24.7</v>
      </c>
    </row>
    <row r="2961" spans="2:6" x14ac:dyDescent="0.25">
      <c r="B2961" s="13">
        <v>2263</v>
      </c>
      <c r="C2961" s="15" t="s">
        <v>141</v>
      </c>
      <c r="D2961" s="13" t="s">
        <v>134</v>
      </c>
      <c r="E2961" s="13" t="s">
        <v>5446</v>
      </c>
      <c r="F2961" s="43">
        <v>16.36</v>
      </c>
    </row>
    <row r="2962" spans="2:6" x14ac:dyDescent="0.25">
      <c r="B2962" s="13">
        <v>2264</v>
      </c>
      <c r="C2962" s="15" t="s">
        <v>141</v>
      </c>
      <c r="D2962" s="13" t="s">
        <v>134</v>
      </c>
      <c r="E2962" s="13" t="s">
        <v>5447</v>
      </c>
      <c r="F2962" s="43">
        <v>16.059999999999999</v>
      </c>
    </row>
    <row r="2963" spans="2:6" x14ac:dyDescent="0.25">
      <c r="B2963" s="13">
        <v>2265</v>
      </c>
      <c r="C2963" s="15" t="s">
        <v>141</v>
      </c>
      <c r="D2963" s="13" t="s">
        <v>134</v>
      </c>
      <c r="E2963" s="13" t="s">
        <v>5448</v>
      </c>
      <c r="F2963" s="43">
        <v>34.380000000000003</v>
      </c>
    </row>
    <row r="2964" spans="2:6" x14ac:dyDescent="0.25">
      <c r="B2964" s="13">
        <v>2266</v>
      </c>
      <c r="C2964" s="15" t="s">
        <v>141</v>
      </c>
      <c r="D2964" s="13" t="s">
        <v>134</v>
      </c>
      <c r="E2964" s="13" t="s">
        <v>5449</v>
      </c>
      <c r="F2964" s="43">
        <v>32.32</v>
      </c>
    </row>
    <row r="2965" spans="2:6" x14ac:dyDescent="0.25">
      <c r="B2965" s="13">
        <v>2267</v>
      </c>
      <c r="C2965" s="15" t="s">
        <v>141</v>
      </c>
      <c r="D2965" s="13" t="s">
        <v>134</v>
      </c>
      <c r="E2965" s="13" t="s">
        <v>5450</v>
      </c>
      <c r="F2965" s="43">
        <v>29.01</v>
      </c>
    </row>
    <row r="2966" spans="2:6" x14ac:dyDescent="0.25">
      <c r="B2966" s="13">
        <v>2268</v>
      </c>
      <c r="C2966" s="15" t="s">
        <v>141</v>
      </c>
      <c r="D2966" s="13" t="s">
        <v>134</v>
      </c>
      <c r="E2966" s="13" t="s">
        <v>5451</v>
      </c>
      <c r="F2966" s="43">
        <v>44.09</v>
      </c>
    </row>
    <row r="2967" spans="2:6" x14ac:dyDescent="0.25">
      <c r="B2967" s="13">
        <v>2269</v>
      </c>
      <c r="C2967" s="15" t="s">
        <v>141</v>
      </c>
      <c r="D2967" s="13" t="s">
        <v>134</v>
      </c>
      <c r="E2967" s="13" t="s">
        <v>5452</v>
      </c>
      <c r="F2967" s="43">
        <v>39.97</v>
      </c>
    </row>
    <row r="2968" spans="2:6" x14ac:dyDescent="0.25">
      <c r="B2968" s="13">
        <v>2271</v>
      </c>
      <c r="C2968" s="15" t="s">
        <v>141</v>
      </c>
      <c r="D2968" s="13" t="s">
        <v>134</v>
      </c>
      <c r="E2968" s="13" t="s">
        <v>5453</v>
      </c>
      <c r="F2968" s="43">
        <v>3.21</v>
      </c>
    </row>
    <row r="2969" spans="2:6" x14ac:dyDescent="0.25">
      <c r="B2969" s="13">
        <v>2273</v>
      </c>
      <c r="C2969" s="15" t="s">
        <v>141</v>
      </c>
      <c r="D2969" s="13" t="s">
        <v>134</v>
      </c>
      <c r="E2969" s="13" t="s">
        <v>5454</v>
      </c>
      <c r="F2969" s="43">
        <v>3.9</v>
      </c>
    </row>
    <row r="2970" spans="2:6" x14ac:dyDescent="0.25">
      <c r="B2970" s="13">
        <v>2274</v>
      </c>
      <c r="C2970" s="15" t="s">
        <v>141</v>
      </c>
      <c r="D2970" s="13" t="s">
        <v>134</v>
      </c>
      <c r="E2970" s="13" t="s">
        <v>5455</v>
      </c>
      <c r="F2970" s="43">
        <v>3.57</v>
      </c>
    </row>
    <row r="2971" spans="2:6" x14ac:dyDescent="0.25">
      <c r="B2971" s="13">
        <v>2277</v>
      </c>
      <c r="C2971" s="15" t="s">
        <v>141</v>
      </c>
      <c r="D2971" s="13" t="s">
        <v>134</v>
      </c>
      <c r="E2971" s="13" t="s">
        <v>5456</v>
      </c>
      <c r="F2971" s="43">
        <v>4.1100000000000003</v>
      </c>
    </row>
    <row r="2972" spans="2:6" x14ac:dyDescent="0.25">
      <c r="B2972" s="13">
        <v>2278</v>
      </c>
      <c r="C2972" s="15" t="s">
        <v>141</v>
      </c>
      <c r="D2972" s="13" t="s">
        <v>134</v>
      </c>
      <c r="E2972" s="13" t="s">
        <v>5457</v>
      </c>
      <c r="F2972" s="43">
        <v>3.94</v>
      </c>
    </row>
    <row r="2973" spans="2:6" x14ac:dyDescent="0.25">
      <c r="B2973" s="13">
        <v>2281</v>
      </c>
      <c r="C2973" s="15" t="s">
        <v>141</v>
      </c>
      <c r="D2973" s="13" t="s">
        <v>134</v>
      </c>
      <c r="E2973" s="13" t="s">
        <v>5458</v>
      </c>
      <c r="F2973" s="43">
        <v>4.76</v>
      </c>
    </row>
    <row r="2974" spans="2:6" x14ac:dyDescent="0.25">
      <c r="B2974" s="13">
        <v>2282</v>
      </c>
      <c r="C2974" s="15" t="s">
        <v>141</v>
      </c>
      <c r="D2974" s="13" t="s">
        <v>134</v>
      </c>
      <c r="E2974" s="13" t="s">
        <v>5459</v>
      </c>
      <c r="F2974" s="43">
        <v>4.62</v>
      </c>
    </row>
    <row r="2975" spans="2:6" x14ac:dyDescent="0.25">
      <c r="B2975" s="13">
        <v>2283</v>
      </c>
      <c r="C2975" s="15" t="s">
        <v>141</v>
      </c>
      <c r="D2975" s="13" t="s">
        <v>134</v>
      </c>
      <c r="E2975" s="13" t="s">
        <v>5460</v>
      </c>
      <c r="F2975" s="43">
        <v>4.58</v>
      </c>
    </row>
    <row r="2976" spans="2:6" x14ac:dyDescent="0.25">
      <c r="B2976" s="13">
        <v>2285</v>
      </c>
      <c r="C2976" s="15" t="s">
        <v>141</v>
      </c>
      <c r="D2976" s="13" t="s">
        <v>134</v>
      </c>
      <c r="E2976" s="13" t="s">
        <v>5461</v>
      </c>
      <c r="F2976" s="43">
        <v>5.8</v>
      </c>
    </row>
    <row r="2977" spans="2:6" x14ac:dyDescent="0.25">
      <c r="B2977" s="13">
        <v>2286</v>
      </c>
      <c r="C2977" s="15" t="s">
        <v>141</v>
      </c>
      <c r="D2977" s="13" t="s">
        <v>134</v>
      </c>
      <c r="E2977" s="13" t="s">
        <v>5462</v>
      </c>
      <c r="F2977" s="43">
        <v>4.82</v>
      </c>
    </row>
    <row r="2978" spans="2:6" x14ac:dyDescent="0.25">
      <c r="B2978" s="13">
        <v>2287</v>
      </c>
      <c r="C2978" s="15" t="s">
        <v>141</v>
      </c>
      <c r="D2978" s="13" t="s">
        <v>134</v>
      </c>
      <c r="E2978" s="13" t="s">
        <v>5463</v>
      </c>
      <c r="F2978" s="43">
        <v>4.9000000000000004</v>
      </c>
    </row>
    <row r="2979" spans="2:6" x14ac:dyDescent="0.25">
      <c r="B2979" s="13">
        <v>2289</v>
      </c>
      <c r="C2979" s="15" t="s">
        <v>141</v>
      </c>
      <c r="D2979" s="13" t="s">
        <v>134</v>
      </c>
      <c r="E2979" s="13" t="s">
        <v>5464</v>
      </c>
      <c r="F2979" s="43">
        <v>8.39</v>
      </c>
    </row>
    <row r="2980" spans="2:6" x14ac:dyDescent="0.25">
      <c r="B2980" s="13">
        <v>2290</v>
      </c>
      <c r="C2980" s="15" t="s">
        <v>141</v>
      </c>
      <c r="D2980" s="13" t="s">
        <v>134</v>
      </c>
      <c r="E2980" s="13" t="s">
        <v>5465</v>
      </c>
      <c r="F2980" s="43">
        <v>7.64</v>
      </c>
    </row>
    <row r="2981" spans="2:6" x14ac:dyDescent="0.25">
      <c r="B2981" s="13">
        <v>2291</v>
      </c>
      <c r="C2981" s="15" t="s">
        <v>141</v>
      </c>
      <c r="D2981" s="13" t="s">
        <v>134</v>
      </c>
      <c r="E2981" s="13" t="s">
        <v>5466</v>
      </c>
      <c r="F2981" s="43">
        <v>7.64</v>
      </c>
    </row>
    <row r="2982" spans="2:6" x14ac:dyDescent="0.25">
      <c r="B2982" s="13">
        <v>2293</v>
      </c>
      <c r="C2982" s="15" t="s">
        <v>141</v>
      </c>
      <c r="D2982" s="13" t="s">
        <v>134</v>
      </c>
      <c r="E2982" s="13" t="s">
        <v>5467</v>
      </c>
      <c r="F2982" s="43">
        <v>10.029999999999999</v>
      </c>
    </row>
    <row r="2983" spans="2:6" x14ac:dyDescent="0.25">
      <c r="B2983" s="13">
        <v>2294</v>
      </c>
      <c r="C2983" s="15" t="s">
        <v>141</v>
      </c>
      <c r="D2983" s="13" t="s">
        <v>134</v>
      </c>
      <c r="E2983" s="13" t="s">
        <v>5468</v>
      </c>
      <c r="F2983" s="43">
        <v>10.48</v>
      </c>
    </row>
    <row r="2984" spans="2:6" x14ac:dyDescent="0.25">
      <c r="B2984" s="13">
        <v>2295</v>
      </c>
      <c r="C2984" s="15" t="s">
        <v>141</v>
      </c>
      <c r="D2984" s="13" t="s">
        <v>134</v>
      </c>
      <c r="E2984" s="13" t="s">
        <v>5469</v>
      </c>
      <c r="F2984" s="43">
        <v>10.48</v>
      </c>
    </row>
    <row r="2985" spans="2:6" x14ac:dyDescent="0.25">
      <c r="B2985" s="13">
        <v>2297</v>
      </c>
      <c r="C2985" s="15" t="s">
        <v>141</v>
      </c>
      <c r="D2985" s="13" t="s">
        <v>134</v>
      </c>
      <c r="E2985" s="13" t="s">
        <v>5470</v>
      </c>
      <c r="F2985" s="43">
        <v>19.41</v>
      </c>
    </row>
    <row r="2986" spans="2:6" x14ac:dyDescent="0.25">
      <c r="B2986" s="13">
        <v>2298</v>
      </c>
      <c r="C2986" s="15" t="s">
        <v>141</v>
      </c>
      <c r="D2986" s="13" t="s">
        <v>134</v>
      </c>
      <c r="E2986" s="13" t="s">
        <v>5471</v>
      </c>
      <c r="F2986" s="43">
        <v>12.44</v>
      </c>
    </row>
    <row r="2987" spans="2:6" x14ac:dyDescent="0.25">
      <c r="B2987" s="13">
        <v>2299</v>
      </c>
      <c r="C2987" s="15" t="s">
        <v>141</v>
      </c>
      <c r="D2987" s="13" t="s">
        <v>134</v>
      </c>
      <c r="E2987" s="13" t="s">
        <v>5472</v>
      </c>
      <c r="F2987" s="43">
        <v>13.09</v>
      </c>
    </row>
    <row r="2988" spans="2:6" x14ac:dyDescent="0.25">
      <c r="B2988" s="13">
        <v>2300</v>
      </c>
      <c r="C2988" s="15" t="s">
        <v>141</v>
      </c>
      <c r="D2988" s="13" t="s">
        <v>134</v>
      </c>
      <c r="E2988" s="13" t="s">
        <v>5473</v>
      </c>
      <c r="F2988" s="43">
        <v>47.37</v>
      </c>
    </row>
    <row r="2989" spans="2:6" x14ac:dyDescent="0.25">
      <c r="B2989" s="13">
        <v>2301</v>
      </c>
      <c r="C2989" s="15" t="s">
        <v>141</v>
      </c>
      <c r="D2989" s="13" t="s">
        <v>134</v>
      </c>
      <c r="E2989" s="13" t="s">
        <v>5474</v>
      </c>
      <c r="F2989" s="43">
        <v>41.78</v>
      </c>
    </row>
    <row r="2990" spans="2:6" x14ac:dyDescent="0.25">
      <c r="B2990" s="13">
        <v>2302</v>
      </c>
      <c r="C2990" s="15" t="s">
        <v>141</v>
      </c>
      <c r="D2990" s="13" t="s">
        <v>134</v>
      </c>
      <c r="E2990" s="13" t="s">
        <v>5475</v>
      </c>
      <c r="F2990" s="43">
        <v>46.51</v>
      </c>
    </row>
    <row r="2991" spans="2:6" x14ac:dyDescent="0.25">
      <c r="B2991" s="13">
        <v>2304</v>
      </c>
      <c r="C2991" s="15" t="s">
        <v>141</v>
      </c>
      <c r="D2991" s="13" t="s">
        <v>134</v>
      </c>
      <c r="E2991" s="13" t="s">
        <v>5476</v>
      </c>
      <c r="F2991" s="43">
        <v>2.71</v>
      </c>
    </row>
    <row r="2992" spans="2:6" x14ac:dyDescent="0.25">
      <c r="B2992" s="13">
        <v>2306</v>
      </c>
      <c r="C2992" s="15" t="s">
        <v>141</v>
      </c>
      <c r="D2992" s="13" t="s">
        <v>134</v>
      </c>
      <c r="E2992" s="13" t="s">
        <v>5477</v>
      </c>
      <c r="F2992" s="43">
        <v>3.28</v>
      </c>
    </row>
    <row r="2993" spans="2:6" x14ac:dyDescent="0.25">
      <c r="B2993" s="13">
        <v>2309</v>
      </c>
      <c r="C2993" s="15" t="s">
        <v>141</v>
      </c>
      <c r="D2993" s="13" t="s">
        <v>134</v>
      </c>
      <c r="E2993" s="13" t="s">
        <v>5478</v>
      </c>
      <c r="F2993" s="43">
        <v>4.25</v>
      </c>
    </row>
    <row r="2994" spans="2:6" x14ac:dyDescent="0.25">
      <c r="B2994" s="13">
        <v>2312</v>
      </c>
      <c r="C2994" s="15" t="s">
        <v>141</v>
      </c>
      <c r="D2994" s="13" t="s">
        <v>134</v>
      </c>
      <c r="E2994" s="13" t="s">
        <v>5479</v>
      </c>
      <c r="F2994" s="43">
        <v>10.130000000000001</v>
      </c>
    </row>
    <row r="2995" spans="2:6" x14ac:dyDescent="0.25">
      <c r="B2995" s="13">
        <v>2315</v>
      </c>
      <c r="C2995" s="15" t="s">
        <v>141</v>
      </c>
      <c r="D2995" s="13" t="s">
        <v>134</v>
      </c>
      <c r="E2995" s="13" t="s">
        <v>5480</v>
      </c>
      <c r="F2995" s="43">
        <v>20.440000000000001</v>
      </c>
    </row>
    <row r="2996" spans="2:6" x14ac:dyDescent="0.25">
      <c r="B2996" s="13">
        <v>2327</v>
      </c>
      <c r="C2996" s="15" t="s">
        <v>141</v>
      </c>
      <c r="D2996" s="13" t="s">
        <v>134</v>
      </c>
      <c r="E2996" s="13" t="s">
        <v>5481</v>
      </c>
      <c r="F2996" s="43">
        <v>5.15</v>
      </c>
    </row>
    <row r="2997" spans="2:6" x14ac:dyDescent="0.25">
      <c r="B2997" s="13">
        <v>2328</v>
      </c>
      <c r="C2997" s="15" t="s">
        <v>141</v>
      </c>
      <c r="D2997" s="13" t="s">
        <v>134</v>
      </c>
      <c r="E2997" s="13" t="s">
        <v>5482</v>
      </c>
      <c r="F2997" s="43">
        <v>5.97</v>
      </c>
    </row>
    <row r="2998" spans="2:6" x14ac:dyDescent="0.25">
      <c r="B2998" s="13">
        <v>2329</v>
      </c>
      <c r="C2998" s="15" t="s">
        <v>141</v>
      </c>
      <c r="D2998" s="13" t="s">
        <v>134</v>
      </c>
      <c r="E2998" s="13" t="s">
        <v>5483</v>
      </c>
      <c r="F2998" s="43">
        <v>7.68</v>
      </c>
    </row>
    <row r="2999" spans="2:6" x14ac:dyDescent="0.25">
      <c r="B2999" s="13">
        <v>2330</v>
      </c>
      <c r="C2999" s="15" t="s">
        <v>141</v>
      </c>
      <c r="D2999" s="13" t="s">
        <v>134</v>
      </c>
      <c r="E2999" s="13" t="s">
        <v>5484</v>
      </c>
      <c r="F2999" s="43">
        <v>9.82</v>
      </c>
    </row>
    <row r="3000" spans="2:6" x14ac:dyDescent="0.25">
      <c r="B3000" s="13">
        <v>2331</v>
      </c>
      <c r="C3000" s="15" t="s">
        <v>141</v>
      </c>
      <c r="D3000" s="13" t="s">
        <v>134</v>
      </c>
      <c r="E3000" s="13" t="s">
        <v>5485</v>
      </c>
      <c r="F3000" s="43">
        <v>11.89</v>
      </c>
    </row>
    <row r="3001" spans="2:6" x14ac:dyDescent="0.25">
      <c r="B3001" s="13">
        <v>2332</v>
      </c>
      <c r="C3001" s="15" t="s">
        <v>141</v>
      </c>
      <c r="D3001" s="13" t="s">
        <v>134</v>
      </c>
      <c r="E3001" s="13" t="s">
        <v>5486</v>
      </c>
      <c r="F3001" s="43">
        <v>17.28</v>
      </c>
    </row>
    <row r="3002" spans="2:6" x14ac:dyDescent="0.25">
      <c r="B3002" s="13">
        <v>2333</v>
      </c>
      <c r="C3002" s="15" t="s">
        <v>141</v>
      </c>
      <c r="D3002" s="13" t="s">
        <v>134</v>
      </c>
      <c r="E3002" s="13" t="s">
        <v>5487</v>
      </c>
      <c r="F3002" s="43">
        <v>51.99</v>
      </c>
    </row>
    <row r="3003" spans="2:6" x14ac:dyDescent="0.25">
      <c r="B3003" s="13">
        <v>2334</v>
      </c>
      <c r="C3003" s="15" t="s">
        <v>141</v>
      </c>
      <c r="D3003" s="13" t="s">
        <v>134</v>
      </c>
      <c r="E3003" s="13" t="s">
        <v>5488</v>
      </c>
      <c r="F3003" s="43">
        <v>68.66</v>
      </c>
    </row>
    <row r="3004" spans="2:6" x14ac:dyDescent="0.25">
      <c r="B3004" s="13">
        <v>2335</v>
      </c>
      <c r="C3004" s="15" t="s">
        <v>141</v>
      </c>
      <c r="D3004" s="13" t="s">
        <v>134</v>
      </c>
      <c r="E3004" s="13" t="s">
        <v>5489</v>
      </c>
      <c r="F3004" s="43">
        <v>110.14</v>
      </c>
    </row>
    <row r="3005" spans="2:6" x14ac:dyDescent="0.25">
      <c r="B3005" s="13">
        <v>2339</v>
      </c>
      <c r="C3005" s="15" t="s">
        <v>141</v>
      </c>
      <c r="D3005" s="13" t="s">
        <v>134</v>
      </c>
      <c r="E3005" s="13" t="s">
        <v>5490</v>
      </c>
      <c r="F3005" s="43">
        <v>12.65</v>
      </c>
    </row>
    <row r="3006" spans="2:6" x14ac:dyDescent="0.25">
      <c r="B3006" s="13">
        <v>2340</v>
      </c>
      <c r="C3006" s="15" t="s">
        <v>141</v>
      </c>
      <c r="D3006" s="13" t="s">
        <v>134</v>
      </c>
      <c r="E3006" s="13" t="s">
        <v>5491</v>
      </c>
      <c r="F3006" s="43">
        <v>15.23</v>
      </c>
    </row>
    <row r="3007" spans="2:6" x14ac:dyDescent="0.25">
      <c r="B3007" s="13">
        <v>2341</v>
      </c>
      <c r="C3007" s="15" t="s">
        <v>141</v>
      </c>
      <c r="D3007" s="13" t="s">
        <v>134</v>
      </c>
      <c r="E3007" s="13" t="s">
        <v>5492</v>
      </c>
      <c r="F3007" s="43">
        <v>22.04</v>
      </c>
    </row>
    <row r="3008" spans="2:6" x14ac:dyDescent="0.25">
      <c r="B3008" s="13">
        <v>2343</v>
      </c>
      <c r="C3008" s="15" t="s">
        <v>141</v>
      </c>
      <c r="D3008" s="13" t="s">
        <v>134</v>
      </c>
      <c r="E3008" s="13" t="s">
        <v>5493</v>
      </c>
      <c r="F3008" s="43">
        <v>78.959999999999994</v>
      </c>
    </row>
    <row r="3009" spans="2:6" x14ac:dyDescent="0.25">
      <c r="B3009" s="13">
        <v>2345</v>
      </c>
      <c r="C3009" s="15" t="s">
        <v>141</v>
      </c>
      <c r="D3009" s="13" t="s">
        <v>134</v>
      </c>
      <c r="E3009" s="13" t="s">
        <v>5494</v>
      </c>
      <c r="F3009" s="43">
        <v>7.06</v>
      </c>
    </row>
    <row r="3010" spans="2:6" x14ac:dyDescent="0.25">
      <c r="B3010" s="13">
        <v>2346</v>
      </c>
      <c r="C3010" s="15" t="s">
        <v>141</v>
      </c>
      <c r="D3010" s="13" t="s">
        <v>134</v>
      </c>
      <c r="E3010" s="13" t="s">
        <v>5495</v>
      </c>
      <c r="F3010" s="43">
        <v>8.15</v>
      </c>
    </row>
    <row r="3011" spans="2:6" x14ac:dyDescent="0.25">
      <c r="B3011" s="13">
        <v>2347</v>
      </c>
      <c r="C3011" s="15" t="s">
        <v>141</v>
      </c>
      <c r="D3011" s="13" t="s">
        <v>134</v>
      </c>
      <c r="E3011" s="13" t="s">
        <v>5496</v>
      </c>
      <c r="F3011" s="43">
        <v>11.9</v>
      </c>
    </row>
    <row r="3012" spans="2:6" x14ac:dyDescent="0.25">
      <c r="B3012" s="13">
        <v>2348</v>
      </c>
      <c r="C3012" s="15" t="s">
        <v>141</v>
      </c>
      <c r="D3012" s="13" t="s">
        <v>134</v>
      </c>
      <c r="E3012" s="13" t="s">
        <v>5497</v>
      </c>
      <c r="F3012" s="43">
        <v>15.21</v>
      </c>
    </row>
    <row r="3013" spans="2:6" x14ac:dyDescent="0.25">
      <c r="B3013" s="13">
        <v>2349</v>
      </c>
      <c r="C3013" s="15" t="s">
        <v>141</v>
      </c>
      <c r="D3013" s="13" t="s">
        <v>134</v>
      </c>
      <c r="E3013" s="13" t="s">
        <v>5498</v>
      </c>
      <c r="F3013" s="43">
        <v>18.04</v>
      </c>
    </row>
    <row r="3014" spans="2:6" x14ac:dyDescent="0.25">
      <c r="B3014" s="13">
        <v>2350</v>
      </c>
      <c r="C3014" s="15" t="s">
        <v>141</v>
      </c>
      <c r="D3014" s="13" t="s">
        <v>134</v>
      </c>
      <c r="E3014" s="13" t="s">
        <v>5499</v>
      </c>
      <c r="F3014" s="43">
        <v>22.88</v>
      </c>
    </row>
    <row r="3015" spans="2:6" x14ac:dyDescent="0.25">
      <c r="B3015" s="13">
        <v>2351</v>
      </c>
      <c r="C3015" s="15" t="s">
        <v>141</v>
      </c>
      <c r="D3015" s="13" t="s">
        <v>134</v>
      </c>
      <c r="E3015" s="13" t="s">
        <v>5500</v>
      </c>
      <c r="F3015" s="43">
        <v>13.09</v>
      </c>
    </row>
    <row r="3016" spans="2:6" x14ac:dyDescent="0.25">
      <c r="B3016" s="13">
        <v>2353</v>
      </c>
      <c r="C3016" s="15" t="s">
        <v>141</v>
      </c>
      <c r="D3016" s="13" t="s">
        <v>134</v>
      </c>
      <c r="E3016" s="13" t="s">
        <v>5501</v>
      </c>
      <c r="F3016" s="43">
        <v>7.66</v>
      </c>
    </row>
    <row r="3017" spans="2:6" x14ac:dyDescent="0.25">
      <c r="B3017" s="13">
        <v>2354</v>
      </c>
      <c r="C3017" s="15" t="s">
        <v>141</v>
      </c>
      <c r="D3017" s="13" t="s">
        <v>134</v>
      </c>
      <c r="E3017" s="13" t="s">
        <v>5502</v>
      </c>
      <c r="F3017" s="43">
        <v>8.6</v>
      </c>
    </row>
    <row r="3018" spans="2:6" x14ac:dyDescent="0.25">
      <c r="B3018" s="13">
        <v>2355</v>
      </c>
      <c r="C3018" s="15" t="s">
        <v>141</v>
      </c>
      <c r="D3018" s="13" t="s">
        <v>134</v>
      </c>
      <c r="E3018" s="13" t="s">
        <v>5503</v>
      </c>
      <c r="F3018" s="43">
        <v>10.37</v>
      </c>
    </row>
    <row r="3019" spans="2:6" x14ac:dyDescent="0.25">
      <c r="B3019" s="13">
        <v>2356</v>
      </c>
      <c r="C3019" s="15" t="s">
        <v>141</v>
      </c>
      <c r="D3019" s="13" t="s">
        <v>134</v>
      </c>
      <c r="E3019" s="13" t="s">
        <v>5504</v>
      </c>
      <c r="F3019" s="43">
        <v>12.26</v>
      </c>
    </row>
    <row r="3020" spans="2:6" x14ac:dyDescent="0.25">
      <c r="B3020" s="13">
        <v>2357</v>
      </c>
      <c r="C3020" s="15" t="s">
        <v>141</v>
      </c>
      <c r="D3020" s="13" t="s">
        <v>134</v>
      </c>
      <c r="E3020" s="13" t="s">
        <v>5505</v>
      </c>
      <c r="F3020" s="43">
        <v>14.05</v>
      </c>
    </row>
    <row r="3021" spans="2:6" x14ac:dyDescent="0.25">
      <c r="B3021" s="13">
        <v>2358</v>
      </c>
      <c r="C3021" s="15" t="s">
        <v>141</v>
      </c>
      <c r="D3021" s="13" t="s">
        <v>134</v>
      </c>
      <c r="E3021" s="13" t="s">
        <v>5506</v>
      </c>
      <c r="F3021" s="43">
        <v>22.67</v>
      </c>
    </row>
    <row r="3022" spans="2:6" x14ac:dyDescent="0.25">
      <c r="B3022" s="13">
        <v>2366</v>
      </c>
      <c r="C3022" s="15" t="s">
        <v>141</v>
      </c>
      <c r="D3022" s="13" t="s">
        <v>134</v>
      </c>
      <c r="E3022" s="13" t="s">
        <v>5507</v>
      </c>
      <c r="F3022" s="43">
        <v>14.8</v>
      </c>
    </row>
    <row r="3023" spans="2:6" x14ac:dyDescent="0.25">
      <c r="B3023" s="13">
        <v>2397</v>
      </c>
      <c r="C3023" s="15" t="s">
        <v>141</v>
      </c>
      <c r="D3023" s="13" t="s">
        <v>134</v>
      </c>
      <c r="E3023" s="13" t="s">
        <v>5508</v>
      </c>
      <c r="F3023" s="43">
        <v>74.97</v>
      </c>
    </row>
    <row r="3024" spans="2:6" x14ac:dyDescent="0.25">
      <c r="B3024" s="13">
        <v>2398</v>
      </c>
      <c r="C3024" s="15" t="s">
        <v>141</v>
      </c>
      <c r="D3024" s="13" t="s">
        <v>134</v>
      </c>
      <c r="E3024" s="13" t="s">
        <v>5509</v>
      </c>
      <c r="F3024" s="43">
        <v>88.66</v>
      </c>
    </row>
    <row r="3025" spans="2:6" x14ac:dyDescent="0.25">
      <c r="B3025" s="13">
        <v>2403</v>
      </c>
      <c r="C3025" s="15" t="s">
        <v>141</v>
      </c>
      <c r="D3025" s="13" t="s">
        <v>134</v>
      </c>
      <c r="E3025" s="13" t="s">
        <v>5510</v>
      </c>
      <c r="F3025" s="43">
        <v>5.74</v>
      </c>
    </row>
    <row r="3026" spans="2:6" x14ac:dyDescent="0.25">
      <c r="B3026" s="13">
        <v>2404</v>
      </c>
      <c r="C3026" s="15" t="s">
        <v>141</v>
      </c>
      <c r="D3026" s="13" t="s">
        <v>134</v>
      </c>
      <c r="E3026" s="13" t="s">
        <v>5511</v>
      </c>
      <c r="F3026" s="43">
        <v>8.91</v>
      </c>
    </row>
    <row r="3027" spans="2:6" x14ac:dyDescent="0.25">
      <c r="B3027" s="13">
        <v>2422</v>
      </c>
      <c r="C3027" s="15" t="s">
        <v>141</v>
      </c>
      <c r="D3027" s="13" t="s">
        <v>134</v>
      </c>
      <c r="E3027" s="13" t="s">
        <v>5512</v>
      </c>
      <c r="F3027" s="43">
        <v>14.33</v>
      </c>
    </row>
    <row r="3028" spans="2:6" x14ac:dyDescent="0.25">
      <c r="B3028" s="13">
        <v>2423</v>
      </c>
      <c r="C3028" s="15" t="s">
        <v>141</v>
      </c>
      <c r="D3028" s="13" t="s">
        <v>134</v>
      </c>
      <c r="E3028" s="13" t="s">
        <v>5513</v>
      </c>
      <c r="F3028" s="43">
        <v>15.11</v>
      </c>
    </row>
    <row r="3029" spans="2:6" x14ac:dyDescent="0.25">
      <c r="B3029" s="13">
        <v>2424</v>
      </c>
      <c r="C3029" s="15" t="s">
        <v>141</v>
      </c>
      <c r="D3029" s="13" t="s">
        <v>134</v>
      </c>
      <c r="E3029" s="13" t="s">
        <v>5514</v>
      </c>
      <c r="F3029" s="43">
        <v>17.38</v>
      </c>
    </row>
    <row r="3030" spans="2:6" x14ac:dyDescent="0.25">
      <c r="B3030" s="13">
        <v>2425</v>
      </c>
      <c r="C3030" s="15" t="s">
        <v>141</v>
      </c>
      <c r="D3030" s="13" t="s">
        <v>134</v>
      </c>
      <c r="E3030" s="13" t="s">
        <v>5515</v>
      </c>
      <c r="F3030" s="43">
        <v>22.93</v>
      </c>
    </row>
    <row r="3031" spans="2:6" x14ac:dyDescent="0.25">
      <c r="B3031" s="13">
        <v>2426</v>
      </c>
      <c r="C3031" s="15" t="s">
        <v>141</v>
      </c>
      <c r="D3031" s="13" t="s">
        <v>134</v>
      </c>
      <c r="E3031" s="13" t="s">
        <v>5516</v>
      </c>
      <c r="F3031" s="43">
        <v>64.760000000000005</v>
      </c>
    </row>
    <row r="3032" spans="2:6" x14ac:dyDescent="0.25">
      <c r="B3032" s="13">
        <v>2427</v>
      </c>
      <c r="C3032" s="15" t="s">
        <v>141</v>
      </c>
      <c r="D3032" s="13" t="s">
        <v>134</v>
      </c>
      <c r="E3032" s="13" t="s">
        <v>5517</v>
      </c>
      <c r="F3032" s="43">
        <v>40.82</v>
      </c>
    </row>
    <row r="3033" spans="2:6" x14ac:dyDescent="0.25">
      <c r="B3033" s="13">
        <v>2428</v>
      </c>
      <c r="C3033" s="15" t="s">
        <v>141</v>
      </c>
      <c r="D3033" s="13" t="s">
        <v>134</v>
      </c>
      <c r="E3033" s="13" t="s">
        <v>5518</v>
      </c>
      <c r="F3033" s="43">
        <v>12.06</v>
      </c>
    </row>
    <row r="3034" spans="2:6" x14ac:dyDescent="0.25">
      <c r="B3034" s="13">
        <v>2429</v>
      </c>
      <c r="C3034" s="15" t="s">
        <v>141</v>
      </c>
      <c r="D3034" s="13" t="s">
        <v>134</v>
      </c>
      <c r="E3034" s="13" t="s">
        <v>5519</v>
      </c>
      <c r="F3034" s="43">
        <v>14.46</v>
      </c>
    </row>
    <row r="3035" spans="2:6" x14ac:dyDescent="0.25">
      <c r="B3035" s="13">
        <v>2430</v>
      </c>
      <c r="C3035" s="15" t="s">
        <v>141</v>
      </c>
      <c r="D3035" s="13" t="s">
        <v>134</v>
      </c>
      <c r="E3035" s="13" t="s">
        <v>5520</v>
      </c>
      <c r="F3035" s="43">
        <v>26.54</v>
      </c>
    </row>
    <row r="3036" spans="2:6" x14ac:dyDescent="0.25">
      <c r="B3036" s="13">
        <v>2432</v>
      </c>
      <c r="C3036" s="15" t="s">
        <v>141</v>
      </c>
      <c r="D3036" s="13" t="s">
        <v>134</v>
      </c>
      <c r="E3036" s="13" t="s">
        <v>5521</v>
      </c>
      <c r="F3036" s="43">
        <v>26.05</v>
      </c>
    </row>
    <row r="3037" spans="2:6" x14ac:dyDescent="0.25">
      <c r="B3037" s="13">
        <v>2453</v>
      </c>
      <c r="C3037" s="15" t="s">
        <v>141</v>
      </c>
      <c r="D3037" s="13" t="s">
        <v>134</v>
      </c>
      <c r="E3037" s="13" t="s">
        <v>5522</v>
      </c>
      <c r="F3037" s="43">
        <v>27.36</v>
      </c>
    </row>
    <row r="3038" spans="2:6" x14ac:dyDescent="0.25">
      <c r="B3038" s="13">
        <v>2454</v>
      </c>
      <c r="C3038" s="15" t="s">
        <v>141</v>
      </c>
      <c r="D3038" s="13" t="s">
        <v>134</v>
      </c>
      <c r="E3038" s="13" t="s">
        <v>5523</v>
      </c>
      <c r="F3038" s="43">
        <v>25.78</v>
      </c>
    </row>
    <row r="3039" spans="2:6" x14ac:dyDescent="0.25">
      <c r="B3039" s="13">
        <v>2455</v>
      </c>
      <c r="C3039" s="15" t="s">
        <v>141</v>
      </c>
      <c r="D3039" s="13" t="s">
        <v>134</v>
      </c>
      <c r="E3039" s="13" t="s">
        <v>5524</v>
      </c>
      <c r="F3039" s="43">
        <v>39.65</v>
      </c>
    </row>
    <row r="3040" spans="2:6" x14ac:dyDescent="0.25">
      <c r="B3040" s="13">
        <v>2456</v>
      </c>
      <c r="C3040" s="15" t="s">
        <v>141</v>
      </c>
      <c r="D3040" s="13" t="s">
        <v>134</v>
      </c>
      <c r="E3040" s="13" t="s">
        <v>5525</v>
      </c>
      <c r="F3040" s="43">
        <v>44.44</v>
      </c>
    </row>
    <row r="3041" spans="2:6" x14ac:dyDescent="0.25">
      <c r="B3041" s="13">
        <v>2457</v>
      </c>
      <c r="C3041" s="15" t="s">
        <v>141</v>
      </c>
      <c r="D3041" s="13" t="s">
        <v>134</v>
      </c>
      <c r="E3041" s="13" t="s">
        <v>5526</v>
      </c>
      <c r="F3041" s="43">
        <v>61.22</v>
      </c>
    </row>
    <row r="3042" spans="2:6" x14ac:dyDescent="0.25">
      <c r="B3042" s="13">
        <v>2458</v>
      </c>
      <c r="C3042" s="15" t="s">
        <v>141</v>
      </c>
      <c r="D3042" s="13" t="s">
        <v>134</v>
      </c>
      <c r="E3042" s="13" t="s">
        <v>5527</v>
      </c>
      <c r="F3042" s="43">
        <v>86.03</v>
      </c>
    </row>
    <row r="3043" spans="2:6" x14ac:dyDescent="0.25">
      <c r="B3043" s="13">
        <v>2459</v>
      </c>
      <c r="C3043" s="15" t="s">
        <v>141</v>
      </c>
      <c r="D3043" s="13" t="s">
        <v>134</v>
      </c>
      <c r="E3043" s="13" t="s">
        <v>5528</v>
      </c>
      <c r="F3043" s="43">
        <v>222.56</v>
      </c>
    </row>
    <row r="3044" spans="2:6" x14ac:dyDescent="0.25">
      <c r="B3044" s="13">
        <v>2460</v>
      </c>
      <c r="C3044" s="15" t="s">
        <v>141</v>
      </c>
      <c r="D3044" s="13" t="s">
        <v>134</v>
      </c>
      <c r="E3044" s="13" t="s">
        <v>5529</v>
      </c>
      <c r="F3044" s="43">
        <v>457.6</v>
      </c>
    </row>
    <row r="3045" spans="2:6" x14ac:dyDescent="0.25">
      <c r="B3045" s="13">
        <v>2461</v>
      </c>
      <c r="C3045" s="15" t="s">
        <v>141</v>
      </c>
      <c r="D3045" s="13" t="s">
        <v>134</v>
      </c>
      <c r="E3045" s="13" t="s">
        <v>5530</v>
      </c>
      <c r="F3045" s="43">
        <v>381.28</v>
      </c>
    </row>
    <row r="3046" spans="2:6" x14ac:dyDescent="0.25">
      <c r="B3046" s="13">
        <v>2462</v>
      </c>
      <c r="C3046" s="15" t="s">
        <v>141</v>
      </c>
      <c r="D3046" s="13" t="s">
        <v>134</v>
      </c>
      <c r="E3046" s="13" t="s">
        <v>5531</v>
      </c>
      <c r="F3046" s="43">
        <v>26.85</v>
      </c>
    </row>
    <row r="3047" spans="2:6" x14ac:dyDescent="0.25">
      <c r="B3047" s="13">
        <v>2463</v>
      </c>
      <c r="C3047" s="15" t="s">
        <v>141</v>
      </c>
      <c r="D3047" s="13" t="s">
        <v>134</v>
      </c>
      <c r="E3047" s="13" t="s">
        <v>5532</v>
      </c>
      <c r="F3047" s="43">
        <v>20.89</v>
      </c>
    </row>
    <row r="3048" spans="2:6" x14ac:dyDescent="0.25">
      <c r="B3048" s="13">
        <v>2464</v>
      </c>
      <c r="C3048" s="15" t="s">
        <v>141</v>
      </c>
      <c r="D3048" s="13" t="s">
        <v>134</v>
      </c>
      <c r="E3048" s="13" t="s">
        <v>5533</v>
      </c>
      <c r="F3048" s="43">
        <v>31.44</v>
      </c>
    </row>
    <row r="3049" spans="2:6" x14ac:dyDescent="0.25">
      <c r="B3049" s="13">
        <v>2465</v>
      </c>
      <c r="C3049" s="15" t="s">
        <v>141</v>
      </c>
      <c r="D3049" s="13" t="s">
        <v>134</v>
      </c>
      <c r="E3049" s="13" t="s">
        <v>5534</v>
      </c>
      <c r="F3049" s="43">
        <v>44.5</v>
      </c>
    </row>
    <row r="3050" spans="2:6" x14ac:dyDescent="0.25">
      <c r="B3050" s="13">
        <v>2466</v>
      </c>
      <c r="C3050" s="15" t="s">
        <v>141</v>
      </c>
      <c r="D3050" s="13" t="s">
        <v>134</v>
      </c>
      <c r="E3050" s="13" t="s">
        <v>5535</v>
      </c>
      <c r="F3050" s="43">
        <v>49.42</v>
      </c>
    </row>
    <row r="3051" spans="2:6" x14ac:dyDescent="0.25">
      <c r="B3051" s="13">
        <v>2467</v>
      </c>
      <c r="C3051" s="15" t="s">
        <v>141</v>
      </c>
      <c r="D3051" s="13" t="s">
        <v>134</v>
      </c>
      <c r="E3051" s="13" t="s">
        <v>5536</v>
      </c>
      <c r="F3051" s="43">
        <v>67.09</v>
      </c>
    </row>
    <row r="3052" spans="2:6" x14ac:dyDescent="0.25">
      <c r="B3052" s="13">
        <v>2468</v>
      </c>
      <c r="C3052" s="15" t="s">
        <v>141</v>
      </c>
      <c r="D3052" s="13" t="s">
        <v>134</v>
      </c>
      <c r="E3052" s="13" t="s">
        <v>5537</v>
      </c>
      <c r="F3052" s="43">
        <v>256.14999999999998</v>
      </c>
    </row>
    <row r="3053" spans="2:6" x14ac:dyDescent="0.25">
      <c r="B3053" s="13">
        <v>2469</v>
      </c>
      <c r="C3053" s="15" t="s">
        <v>141</v>
      </c>
      <c r="D3053" s="13" t="s">
        <v>134</v>
      </c>
      <c r="E3053" s="13" t="s">
        <v>5538</v>
      </c>
      <c r="F3053" s="43">
        <v>361.81</v>
      </c>
    </row>
    <row r="3054" spans="2:6" x14ac:dyDescent="0.25">
      <c r="B3054" s="13">
        <v>2470</v>
      </c>
      <c r="C3054" s="15" t="s">
        <v>141</v>
      </c>
      <c r="D3054" s="13" t="s">
        <v>134</v>
      </c>
      <c r="E3054" s="13" t="s">
        <v>5539</v>
      </c>
      <c r="F3054" s="43">
        <v>30.25</v>
      </c>
    </row>
    <row r="3055" spans="2:6" x14ac:dyDescent="0.25">
      <c r="B3055" s="13">
        <v>2471</v>
      </c>
      <c r="C3055" s="15" t="s">
        <v>141</v>
      </c>
      <c r="D3055" s="13" t="s">
        <v>134</v>
      </c>
      <c r="E3055" s="13" t="s">
        <v>5540</v>
      </c>
      <c r="F3055" s="43">
        <v>31.38</v>
      </c>
    </row>
    <row r="3056" spans="2:6" x14ac:dyDescent="0.25">
      <c r="B3056" s="13">
        <v>2472</v>
      </c>
      <c r="C3056" s="15" t="s">
        <v>141</v>
      </c>
      <c r="D3056" s="13" t="s">
        <v>134</v>
      </c>
      <c r="E3056" s="13" t="s">
        <v>5541</v>
      </c>
      <c r="F3056" s="43">
        <v>40.520000000000003</v>
      </c>
    </row>
    <row r="3057" spans="2:6" x14ac:dyDescent="0.25">
      <c r="B3057" s="13">
        <v>2473</v>
      </c>
      <c r="C3057" s="15" t="s">
        <v>141</v>
      </c>
      <c r="D3057" s="13" t="s">
        <v>134</v>
      </c>
      <c r="E3057" s="13" t="s">
        <v>5542</v>
      </c>
      <c r="F3057" s="43">
        <v>51.44</v>
      </c>
    </row>
    <row r="3058" spans="2:6" x14ac:dyDescent="0.25">
      <c r="B3058" s="13">
        <v>2474</v>
      </c>
      <c r="C3058" s="15" t="s">
        <v>141</v>
      </c>
      <c r="D3058" s="13" t="s">
        <v>134</v>
      </c>
      <c r="E3058" s="13" t="s">
        <v>5543</v>
      </c>
      <c r="F3058" s="43">
        <v>69.5</v>
      </c>
    </row>
    <row r="3059" spans="2:6" x14ac:dyDescent="0.25">
      <c r="B3059" s="13">
        <v>2475</v>
      </c>
      <c r="C3059" s="15" t="s">
        <v>141</v>
      </c>
      <c r="D3059" s="13" t="s">
        <v>134</v>
      </c>
      <c r="E3059" s="13" t="s">
        <v>5544</v>
      </c>
      <c r="F3059" s="43">
        <v>91.2</v>
      </c>
    </row>
    <row r="3060" spans="2:6" x14ac:dyDescent="0.25">
      <c r="B3060" s="13">
        <v>2476</v>
      </c>
      <c r="C3060" s="15" t="s">
        <v>141</v>
      </c>
      <c r="D3060" s="13" t="s">
        <v>134</v>
      </c>
      <c r="E3060" s="13" t="s">
        <v>5545</v>
      </c>
      <c r="F3060" s="43">
        <v>246.47</v>
      </c>
    </row>
    <row r="3061" spans="2:6" x14ac:dyDescent="0.25">
      <c r="B3061" s="13">
        <v>2477</v>
      </c>
      <c r="C3061" s="15" t="s">
        <v>141</v>
      </c>
      <c r="D3061" s="13" t="s">
        <v>134</v>
      </c>
      <c r="E3061" s="13" t="s">
        <v>5546</v>
      </c>
      <c r="F3061" s="43">
        <v>340.2</v>
      </c>
    </row>
    <row r="3062" spans="2:6" x14ac:dyDescent="0.25">
      <c r="B3062" s="13">
        <v>2478</v>
      </c>
      <c r="C3062" s="15" t="s">
        <v>141</v>
      </c>
      <c r="D3062" s="13" t="s">
        <v>134</v>
      </c>
      <c r="E3062" s="13" t="s">
        <v>5547</v>
      </c>
      <c r="F3062" s="43">
        <v>27.97</v>
      </c>
    </row>
    <row r="3063" spans="2:6" x14ac:dyDescent="0.25">
      <c r="B3063" s="13">
        <v>2479</v>
      </c>
      <c r="C3063" s="15" t="s">
        <v>141</v>
      </c>
      <c r="D3063" s="13" t="s">
        <v>134</v>
      </c>
      <c r="E3063" s="13" t="s">
        <v>5548</v>
      </c>
      <c r="F3063" s="43">
        <v>35.729999999999997</v>
      </c>
    </row>
    <row r="3064" spans="2:6" x14ac:dyDescent="0.25">
      <c r="B3064" s="13">
        <v>2480</v>
      </c>
      <c r="C3064" s="15" t="s">
        <v>141</v>
      </c>
      <c r="D3064" s="13" t="s">
        <v>134</v>
      </c>
      <c r="E3064" s="13" t="s">
        <v>5549</v>
      </c>
      <c r="F3064" s="43">
        <v>42.81</v>
      </c>
    </row>
    <row r="3065" spans="2:6" x14ac:dyDescent="0.25">
      <c r="B3065" s="13">
        <v>2481</v>
      </c>
      <c r="C3065" s="15" t="s">
        <v>141</v>
      </c>
      <c r="D3065" s="13" t="s">
        <v>134</v>
      </c>
      <c r="E3065" s="13" t="s">
        <v>5550</v>
      </c>
      <c r="F3065" s="43">
        <v>52.98</v>
      </c>
    </row>
    <row r="3066" spans="2:6" x14ac:dyDescent="0.25">
      <c r="B3066" s="13">
        <v>2482</v>
      </c>
      <c r="C3066" s="15" t="s">
        <v>141</v>
      </c>
      <c r="D3066" s="13" t="s">
        <v>134</v>
      </c>
      <c r="E3066" s="13" t="s">
        <v>5551</v>
      </c>
      <c r="F3066" s="43">
        <v>73.81</v>
      </c>
    </row>
    <row r="3067" spans="2:6" x14ac:dyDescent="0.25">
      <c r="B3067" s="13">
        <v>2483</v>
      </c>
      <c r="C3067" s="15" t="s">
        <v>141</v>
      </c>
      <c r="D3067" s="13" t="s">
        <v>134</v>
      </c>
      <c r="E3067" s="13" t="s">
        <v>5552</v>
      </c>
      <c r="F3067" s="43">
        <v>114.58</v>
      </c>
    </row>
    <row r="3068" spans="2:6" x14ac:dyDescent="0.25">
      <c r="B3068" s="13">
        <v>2484</v>
      </c>
      <c r="C3068" s="15" t="s">
        <v>141</v>
      </c>
      <c r="D3068" s="13" t="s">
        <v>134</v>
      </c>
      <c r="E3068" s="13" t="s">
        <v>5553</v>
      </c>
      <c r="F3068" s="43">
        <v>262.07</v>
      </c>
    </row>
    <row r="3069" spans="2:6" x14ac:dyDescent="0.25">
      <c r="B3069" s="13">
        <v>2485</v>
      </c>
      <c r="C3069" s="15" t="s">
        <v>141</v>
      </c>
      <c r="D3069" s="13" t="s">
        <v>134</v>
      </c>
      <c r="E3069" s="13" t="s">
        <v>5554</v>
      </c>
      <c r="F3069" s="43">
        <v>377.89</v>
      </c>
    </row>
    <row r="3070" spans="2:6" x14ac:dyDescent="0.25">
      <c r="B3070" s="13">
        <v>2502</v>
      </c>
      <c r="C3070" s="15" t="s">
        <v>141</v>
      </c>
      <c r="D3070" s="13" t="s">
        <v>134</v>
      </c>
      <c r="E3070" s="13" t="s">
        <v>5555</v>
      </c>
      <c r="F3070" s="43">
        <v>44.18</v>
      </c>
    </row>
    <row r="3071" spans="2:6" x14ac:dyDescent="0.25">
      <c r="B3071" s="13">
        <v>2503</v>
      </c>
      <c r="C3071" s="15" t="s">
        <v>141</v>
      </c>
      <c r="D3071" s="13" t="s">
        <v>134</v>
      </c>
      <c r="E3071" s="13" t="s">
        <v>5556</v>
      </c>
      <c r="F3071" s="43">
        <v>58.97</v>
      </c>
    </row>
    <row r="3072" spans="2:6" x14ac:dyDescent="0.25">
      <c r="B3072" s="13">
        <v>2504</v>
      </c>
      <c r="C3072" s="15" t="s">
        <v>141</v>
      </c>
      <c r="D3072" s="13" t="s">
        <v>134</v>
      </c>
      <c r="E3072" s="13" t="s">
        <v>5557</v>
      </c>
      <c r="F3072" s="43">
        <v>53.98</v>
      </c>
    </row>
    <row r="3073" spans="2:6" x14ac:dyDescent="0.25">
      <c r="B3073" s="13">
        <v>2505</v>
      </c>
      <c r="C3073" s="15" t="s">
        <v>141</v>
      </c>
      <c r="D3073" s="13" t="s">
        <v>134</v>
      </c>
      <c r="E3073" s="13" t="s">
        <v>5558</v>
      </c>
      <c r="F3073" s="43">
        <v>71.12</v>
      </c>
    </row>
    <row r="3074" spans="2:6" x14ac:dyDescent="0.25">
      <c r="B3074" s="13">
        <v>2579</v>
      </c>
      <c r="C3074" s="15" t="s">
        <v>141</v>
      </c>
      <c r="D3074" s="13" t="s">
        <v>134</v>
      </c>
      <c r="E3074" s="13" t="s">
        <v>5559</v>
      </c>
      <c r="F3074" s="43">
        <v>9.4</v>
      </c>
    </row>
    <row r="3075" spans="2:6" x14ac:dyDescent="0.25">
      <c r="B3075" s="13">
        <v>2581</v>
      </c>
      <c r="C3075" s="15" t="s">
        <v>141</v>
      </c>
      <c r="D3075" s="13" t="s">
        <v>134</v>
      </c>
      <c r="E3075" s="13" t="s">
        <v>5560</v>
      </c>
      <c r="F3075" s="43">
        <v>241.59</v>
      </c>
    </row>
    <row r="3076" spans="2:6" x14ac:dyDescent="0.25">
      <c r="B3076" s="13">
        <v>2582</v>
      </c>
      <c r="C3076" s="15" t="s">
        <v>141</v>
      </c>
      <c r="D3076" s="13" t="s">
        <v>134</v>
      </c>
      <c r="E3076" s="13" t="s">
        <v>5561</v>
      </c>
      <c r="F3076" s="43">
        <v>281.58</v>
      </c>
    </row>
    <row r="3077" spans="2:6" x14ac:dyDescent="0.25">
      <c r="B3077" s="13">
        <v>2583</v>
      </c>
      <c r="C3077" s="15" t="s">
        <v>141</v>
      </c>
      <c r="D3077" s="13" t="s">
        <v>134</v>
      </c>
      <c r="E3077" s="13" t="s">
        <v>5562</v>
      </c>
      <c r="F3077" s="43">
        <v>312.49</v>
      </c>
    </row>
    <row r="3078" spans="2:6" x14ac:dyDescent="0.25">
      <c r="B3078" s="13">
        <v>2585</v>
      </c>
      <c r="C3078" s="15" t="s">
        <v>141</v>
      </c>
      <c r="D3078" s="13" t="s">
        <v>134</v>
      </c>
      <c r="E3078" s="13" t="s">
        <v>5563</v>
      </c>
      <c r="F3078" s="43">
        <v>358.22</v>
      </c>
    </row>
    <row r="3079" spans="2:6" x14ac:dyDescent="0.25">
      <c r="B3079" s="13">
        <v>2586</v>
      </c>
      <c r="C3079" s="15" t="s">
        <v>141</v>
      </c>
      <c r="D3079" s="13" t="s">
        <v>134</v>
      </c>
      <c r="E3079" s="13" t="s">
        <v>5564</v>
      </c>
      <c r="F3079" s="43">
        <v>437.44</v>
      </c>
    </row>
    <row r="3080" spans="2:6" x14ac:dyDescent="0.25">
      <c r="B3080" s="13">
        <v>2587</v>
      </c>
      <c r="C3080" s="15" t="s">
        <v>141</v>
      </c>
      <c r="D3080" s="13" t="s">
        <v>134</v>
      </c>
      <c r="E3080" s="13" t="s">
        <v>5565</v>
      </c>
      <c r="F3080" s="43">
        <v>696.68</v>
      </c>
    </row>
    <row r="3081" spans="2:6" x14ac:dyDescent="0.25">
      <c r="B3081" s="13">
        <v>2706</v>
      </c>
      <c r="C3081" s="15" t="s">
        <v>141</v>
      </c>
      <c r="D3081" s="13" t="s">
        <v>134</v>
      </c>
      <c r="E3081" s="13" t="s">
        <v>5566</v>
      </c>
      <c r="F3081" s="43">
        <v>2.3199999999999998</v>
      </c>
    </row>
    <row r="3082" spans="2:6" x14ac:dyDescent="0.25">
      <c r="B3082" s="13">
        <v>2707</v>
      </c>
      <c r="C3082" s="15" t="s">
        <v>141</v>
      </c>
      <c r="D3082" s="13" t="s">
        <v>134</v>
      </c>
      <c r="E3082" s="13" t="s">
        <v>5567</v>
      </c>
      <c r="F3082" s="43">
        <v>3.4</v>
      </c>
    </row>
    <row r="3083" spans="2:6" x14ac:dyDescent="0.25">
      <c r="B3083" s="13">
        <v>2708</v>
      </c>
      <c r="C3083" s="15" t="s">
        <v>141</v>
      </c>
      <c r="D3083" s="13" t="s">
        <v>134</v>
      </c>
      <c r="E3083" s="13" t="s">
        <v>5568</v>
      </c>
      <c r="F3083" s="43">
        <v>2.17</v>
      </c>
    </row>
    <row r="3084" spans="2:6" x14ac:dyDescent="0.25">
      <c r="B3084" s="13">
        <v>2709</v>
      </c>
      <c r="C3084" s="15" t="s">
        <v>141</v>
      </c>
      <c r="D3084" s="13" t="s">
        <v>134</v>
      </c>
      <c r="E3084" s="13" t="s">
        <v>5569</v>
      </c>
      <c r="F3084" s="43">
        <v>3.51</v>
      </c>
    </row>
    <row r="3085" spans="2:6" x14ac:dyDescent="0.25">
      <c r="B3085" s="13">
        <v>2710</v>
      </c>
      <c r="C3085" s="15" t="s">
        <v>141</v>
      </c>
      <c r="D3085" s="13" t="s">
        <v>134</v>
      </c>
      <c r="E3085" s="13" t="s">
        <v>5570</v>
      </c>
      <c r="F3085" s="43">
        <v>5.78</v>
      </c>
    </row>
    <row r="3086" spans="2:6" x14ac:dyDescent="0.25">
      <c r="B3086" s="13">
        <v>2711</v>
      </c>
      <c r="C3086" s="15" t="s">
        <v>141</v>
      </c>
      <c r="D3086" s="13" t="s">
        <v>134</v>
      </c>
      <c r="E3086" s="13" t="s">
        <v>5571</v>
      </c>
      <c r="F3086" s="43">
        <v>14.42</v>
      </c>
    </row>
    <row r="3087" spans="2:6" x14ac:dyDescent="0.25">
      <c r="B3087" s="13">
        <v>2712</v>
      </c>
      <c r="C3087" s="15" t="s">
        <v>141</v>
      </c>
      <c r="D3087" s="13" t="s">
        <v>134</v>
      </c>
      <c r="E3087" s="13" t="s">
        <v>5572</v>
      </c>
      <c r="F3087" s="43">
        <v>20.66</v>
      </c>
    </row>
    <row r="3088" spans="2:6" x14ac:dyDescent="0.25">
      <c r="B3088" s="13">
        <v>2713</v>
      </c>
      <c r="C3088" s="15" t="s">
        <v>141</v>
      </c>
      <c r="D3088" s="13" t="s">
        <v>134</v>
      </c>
      <c r="E3088" s="13" t="s">
        <v>5573</v>
      </c>
      <c r="F3088" s="43">
        <v>30.88</v>
      </c>
    </row>
    <row r="3089" spans="2:6" x14ac:dyDescent="0.25">
      <c r="B3089" s="13">
        <v>2722</v>
      </c>
      <c r="C3089" s="15" t="s">
        <v>141</v>
      </c>
      <c r="D3089" s="13" t="s">
        <v>134</v>
      </c>
      <c r="E3089" s="13" t="s">
        <v>5574</v>
      </c>
      <c r="F3089" s="43">
        <v>4.62</v>
      </c>
    </row>
    <row r="3090" spans="2:6" x14ac:dyDescent="0.25">
      <c r="B3090" s="13">
        <v>2723</v>
      </c>
      <c r="C3090" s="15" t="s">
        <v>141</v>
      </c>
      <c r="D3090" s="13" t="s">
        <v>134</v>
      </c>
      <c r="E3090" s="13" t="s">
        <v>5575</v>
      </c>
      <c r="F3090" s="43">
        <v>7.37</v>
      </c>
    </row>
    <row r="3091" spans="2:6" x14ac:dyDescent="0.25">
      <c r="B3091" s="13">
        <v>2724</v>
      </c>
      <c r="C3091" s="15" t="s">
        <v>141</v>
      </c>
      <c r="D3091" s="13" t="s">
        <v>134</v>
      </c>
      <c r="E3091" s="13" t="s">
        <v>5576</v>
      </c>
      <c r="F3091" s="43">
        <v>13.46</v>
      </c>
    </row>
    <row r="3092" spans="2:6" x14ac:dyDescent="0.25">
      <c r="B3092" s="13">
        <v>2725</v>
      </c>
      <c r="C3092" s="15" t="s">
        <v>141</v>
      </c>
      <c r="D3092" s="13" t="s">
        <v>134</v>
      </c>
      <c r="E3092" s="13" t="s">
        <v>5577</v>
      </c>
      <c r="F3092" s="43">
        <v>16.16</v>
      </c>
    </row>
    <row r="3093" spans="2:6" x14ac:dyDescent="0.25">
      <c r="B3093" s="13">
        <v>2726</v>
      </c>
      <c r="C3093" s="15" t="s">
        <v>141</v>
      </c>
      <c r="D3093" s="13" t="s">
        <v>134</v>
      </c>
      <c r="E3093" s="13" t="s">
        <v>5578</v>
      </c>
      <c r="F3093" s="43">
        <v>24.99</v>
      </c>
    </row>
    <row r="3094" spans="2:6" x14ac:dyDescent="0.25">
      <c r="B3094" s="13">
        <v>2727</v>
      </c>
      <c r="C3094" s="15" t="s">
        <v>141</v>
      </c>
      <c r="D3094" s="13" t="s">
        <v>134</v>
      </c>
      <c r="E3094" s="13" t="s">
        <v>5579</v>
      </c>
      <c r="F3094" s="43">
        <v>32.79</v>
      </c>
    </row>
    <row r="3095" spans="2:6" x14ac:dyDescent="0.25">
      <c r="B3095" s="13">
        <v>2728</v>
      </c>
      <c r="C3095" s="15" t="s">
        <v>141</v>
      </c>
      <c r="D3095" s="13" t="s">
        <v>134</v>
      </c>
      <c r="E3095" s="13" t="s">
        <v>5580</v>
      </c>
      <c r="F3095" s="43">
        <v>46.2</v>
      </c>
    </row>
    <row r="3096" spans="2:6" x14ac:dyDescent="0.25">
      <c r="B3096" s="13">
        <v>2729</v>
      </c>
      <c r="C3096" s="15" t="s">
        <v>141</v>
      </c>
      <c r="D3096" s="13" t="s">
        <v>134</v>
      </c>
      <c r="E3096" s="13" t="s">
        <v>5581</v>
      </c>
      <c r="F3096" s="43">
        <v>61.79</v>
      </c>
    </row>
    <row r="3097" spans="2:6" x14ac:dyDescent="0.25">
      <c r="B3097" s="13">
        <v>2730</v>
      </c>
      <c r="C3097" s="15" t="s">
        <v>141</v>
      </c>
      <c r="D3097" s="13" t="s">
        <v>134</v>
      </c>
      <c r="E3097" s="13" t="s">
        <v>5582</v>
      </c>
      <c r="F3097" s="43">
        <v>76.44</v>
      </c>
    </row>
    <row r="3098" spans="2:6" x14ac:dyDescent="0.25">
      <c r="B3098" s="13">
        <v>2731</v>
      </c>
      <c r="C3098" s="15" t="s">
        <v>141</v>
      </c>
      <c r="D3098" s="13" t="s">
        <v>134</v>
      </c>
      <c r="E3098" s="13" t="s">
        <v>5583</v>
      </c>
      <c r="F3098" s="43">
        <v>61.42</v>
      </c>
    </row>
    <row r="3099" spans="2:6" x14ac:dyDescent="0.25">
      <c r="B3099" s="13">
        <v>2732</v>
      </c>
      <c r="C3099" s="15" t="s">
        <v>141</v>
      </c>
      <c r="D3099" s="13" t="s">
        <v>134</v>
      </c>
      <c r="E3099" s="13" t="s">
        <v>5584</v>
      </c>
      <c r="F3099" s="43">
        <v>79.48</v>
      </c>
    </row>
    <row r="3100" spans="2:6" x14ac:dyDescent="0.25">
      <c r="B3100" s="13">
        <v>3338</v>
      </c>
      <c r="C3100" s="15" t="s">
        <v>141</v>
      </c>
      <c r="D3100" s="13" t="s">
        <v>134</v>
      </c>
      <c r="E3100" s="13" t="s">
        <v>5585</v>
      </c>
      <c r="F3100" s="43">
        <v>15.27</v>
      </c>
    </row>
    <row r="3101" spans="2:6" x14ac:dyDescent="0.25">
      <c r="B3101" s="13">
        <v>5331</v>
      </c>
      <c r="C3101" s="15" t="s">
        <v>141</v>
      </c>
      <c r="D3101" s="13" t="s">
        <v>134</v>
      </c>
      <c r="E3101" s="13" t="s">
        <v>5586</v>
      </c>
      <c r="F3101" s="43">
        <v>91.48</v>
      </c>
    </row>
    <row r="3102" spans="2:6" x14ac:dyDescent="0.25">
      <c r="B3102" s="13">
        <v>5332</v>
      </c>
      <c r="C3102" s="15" t="s">
        <v>141</v>
      </c>
      <c r="D3102" s="13" t="s">
        <v>134</v>
      </c>
      <c r="E3102" s="13" t="s">
        <v>5587</v>
      </c>
      <c r="F3102" s="43">
        <v>197.61</v>
      </c>
    </row>
    <row r="3103" spans="2:6" x14ac:dyDescent="0.25">
      <c r="B3103" s="13">
        <v>5354</v>
      </c>
      <c r="C3103" s="15" t="s">
        <v>141</v>
      </c>
      <c r="D3103" s="13" t="s">
        <v>134</v>
      </c>
      <c r="E3103" s="13" t="s">
        <v>5588</v>
      </c>
      <c r="F3103" s="43">
        <v>387.04</v>
      </c>
    </row>
    <row r="3104" spans="2:6" x14ac:dyDescent="0.25">
      <c r="B3104" s="13">
        <v>5356</v>
      </c>
      <c r="C3104" s="15" t="s">
        <v>141</v>
      </c>
      <c r="D3104" s="13" t="s">
        <v>134</v>
      </c>
      <c r="E3104" s="13" t="s">
        <v>5589</v>
      </c>
      <c r="F3104" s="43">
        <v>383.87</v>
      </c>
    </row>
    <row r="3105" spans="2:6" x14ac:dyDescent="0.25">
      <c r="B3105" s="13">
        <v>5358</v>
      </c>
      <c r="C3105" s="15" t="s">
        <v>141</v>
      </c>
      <c r="D3105" s="13" t="s">
        <v>134</v>
      </c>
      <c r="E3105" s="13" t="s">
        <v>5590</v>
      </c>
      <c r="F3105" s="43">
        <v>407.37</v>
      </c>
    </row>
    <row r="3106" spans="2:6" x14ac:dyDescent="0.25">
      <c r="B3106" s="13">
        <v>5360</v>
      </c>
      <c r="C3106" s="15" t="s">
        <v>141</v>
      </c>
      <c r="D3106" s="13" t="s">
        <v>134</v>
      </c>
      <c r="E3106" s="13" t="s">
        <v>5591</v>
      </c>
      <c r="F3106" s="43">
        <v>1065.07</v>
      </c>
    </row>
    <row r="3107" spans="2:6" x14ac:dyDescent="0.25">
      <c r="B3107" s="13">
        <v>7002</v>
      </c>
      <c r="C3107" s="15" t="s">
        <v>141</v>
      </c>
      <c r="D3107" s="13" t="s">
        <v>134</v>
      </c>
      <c r="E3107" s="13" t="s">
        <v>5592</v>
      </c>
      <c r="F3107" s="43">
        <v>0</v>
      </c>
    </row>
    <row r="3108" spans="2:6" x14ac:dyDescent="0.25">
      <c r="B3108" s="13">
        <v>7003</v>
      </c>
      <c r="C3108" s="15" t="s">
        <v>141</v>
      </c>
      <c r="D3108" s="13" t="s">
        <v>134</v>
      </c>
      <c r="E3108" s="13" t="s">
        <v>5593</v>
      </c>
      <c r="F3108" s="43">
        <v>0</v>
      </c>
    </row>
    <row r="3109" spans="2:6" x14ac:dyDescent="0.25">
      <c r="B3109" s="13">
        <v>7688</v>
      </c>
      <c r="C3109" s="15" t="s">
        <v>141</v>
      </c>
      <c r="D3109" s="13" t="s">
        <v>134</v>
      </c>
      <c r="E3109" s="13" t="s">
        <v>5594</v>
      </c>
      <c r="F3109" s="43">
        <v>159.21</v>
      </c>
    </row>
    <row r="3110" spans="2:6" x14ac:dyDescent="0.25">
      <c r="B3110" s="13">
        <v>7689</v>
      </c>
      <c r="C3110" s="15" t="s">
        <v>141</v>
      </c>
      <c r="D3110" s="13" t="s">
        <v>134</v>
      </c>
      <c r="E3110" s="13" t="s">
        <v>5595</v>
      </c>
      <c r="F3110" s="43">
        <v>176.39</v>
      </c>
    </row>
    <row r="3111" spans="2:6" x14ac:dyDescent="0.25">
      <c r="B3111" s="13">
        <v>7690</v>
      </c>
      <c r="C3111" s="15" t="s">
        <v>141</v>
      </c>
      <c r="D3111" s="13" t="s">
        <v>134</v>
      </c>
      <c r="E3111" s="13" t="s">
        <v>5596</v>
      </c>
      <c r="F3111" s="43">
        <v>172.39</v>
      </c>
    </row>
    <row r="3112" spans="2:6" x14ac:dyDescent="0.25">
      <c r="B3112" s="13">
        <v>7691</v>
      </c>
      <c r="C3112" s="15" t="s">
        <v>141</v>
      </c>
      <c r="D3112" s="13" t="s">
        <v>134</v>
      </c>
      <c r="E3112" s="13" t="s">
        <v>5597</v>
      </c>
      <c r="F3112" s="43">
        <v>194.11</v>
      </c>
    </row>
    <row r="3113" spans="2:6" x14ac:dyDescent="0.25">
      <c r="B3113" s="13">
        <v>7692</v>
      </c>
      <c r="C3113" s="15" t="s">
        <v>141</v>
      </c>
      <c r="D3113" s="13" t="s">
        <v>134</v>
      </c>
      <c r="E3113" s="13" t="s">
        <v>5598</v>
      </c>
      <c r="F3113" s="43">
        <v>3.74</v>
      </c>
    </row>
    <row r="3114" spans="2:6" x14ac:dyDescent="0.25">
      <c r="B3114" s="13">
        <v>7693</v>
      </c>
      <c r="C3114" s="15" t="s">
        <v>141</v>
      </c>
      <c r="D3114" s="13" t="s">
        <v>134</v>
      </c>
      <c r="E3114" s="13" t="s">
        <v>5599</v>
      </c>
      <c r="F3114" s="43">
        <v>3.86</v>
      </c>
    </row>
    <row r="3115" spans="2:6" x14ac:dyDescent="0.25">
      <c r="B3115" s="13">
        <v>7694</v>
      </c>
      <c r="C3115" s="15" t="s">
        <v>141</v>
      </c>
      <c r="D3115" s="13" t="s">
        <v>134</v>
      </c>
      <c r="E3115" s="13" t="s">
        <v>5600</v>
      </c>
      <c r="F3115" s="43">
        <v>4.97</v>
      </c>
    </row>
    <row r="3116" spans="2:6" x14ac:dyDescent="0.25">
      <c r="B3116" s="13">
        <v>7695</v>
      </c>
      <c r="C3116" s="15" t="s">
        <v>141</v>
      </c>
      <c r="D3116" s="13" t="s">
        <v>134</v>
      </c>
      <c r="E3116" s="13" t="s">
        <v>5601</v>
      </c>
      <c r="F3116" s="43">
        <v>6.18</v>
      </c>
    </row>
    <row r="3117" spans="2:6" x14ac:dyDescent="0.25">
      <c r="B3117" s="13">
        <v>7696</v>
      </c>
      <c r="C3117" s="15" t="s">
        <v>141</v>
      </c>
      <c r="D3117" s="13" t="s">
        <v>134</v>
      </c>
      <c r="E3117" s="13" t="s">
        <v>5602</v>
      </c>
      <c r="F3117" s="43">
        <v>8.5299999999999994</v>
      </c>
    </row>
    <row r="3118" spans="2:6" x14ac:dyDescent="0.25">
      <c r="B3118" s="13">
        <v>7697</v>
      </c>
      <c r="C3118" s="15" t="s">
        <v>141</v>
      </c>
      <c r="D3118" s="13" t="s">
        <v>134</v>
      </c>
      <c r="E3118" s="13" t="s">
        <v>5603</v>
      </c>
      <c r="F3118" s="43">
        <v>10.029999999999999</v>
      </c>
    </row>
    <row r="3119" spans="2:6" x14ac:dyDescent="0.25">
      <c r="B3119" s="13">
        <v>7698</v>
      </c>
      <c r="C3119" s="15" t="s">
        <v>141</v>
      </c>
      <c r="D3119" s="13" t="s">
        <v>134</v>
      </c>
      <c r="E3119" s="13" t="s">
        <v>5604</v>
      </c>
      <c r="F3119" s="43">
        <v>12.26</v>
      </c>
    </row>
    <row r="3120" spans="2:6" x14ac:dyDescent="0.25">
      <c r="B3120" s="13">
        <v>7699</v>
      </c>
      <c r="C3120" s="15" t="s">
        <v>141</v>
      </c>
      <c r="D3120" s="13" t="s">
        <v>134</v>
      </c>
      <c r="E3120" s="13" t="s">
        <v>5605</v>
      </c>
      <c r="F3120" s="43">
        <v>12.46</v>
      </c>
    </row>
    <row r="3121" spans="2:6" x14ac:dyDescent="0.25">
      <c r="B3121" s="13">
        <v>7700</v>
      </c>
      <c r="C3121" s="15" t="s">
        <v>141</v>
      </c>
      <c r="D3121" s="13" t="s">
        <v>134</v>
      </c>
      <c r="E3121" s="13" t="s">
        <v>5606</v>
      </c>
      <c r="F3121" s="43">
        <v>2.1800000000000002</v>
      </c>
    </row>
    <row r="3122" spans="2:6" x14ac:dyDescent="0.25">
      <c r="B3122" s="13">
        <v>7701</v>
      </c>
      <c r="C3122" s="15" t="s">
        <v>141</v>
      </c>
      <c r="D3122" s="13" t="s">
        <v>134</v>
      </c>
      <c r="E3122" s="13" t="s">
        <v>5607</v>
      </c>
      <c r="F3122" s="43">
        <v>2.29</v>
      </c>
    </row>
    <row r="3123" spans="2:6" x14ac:dyDescent="0.25">
      <c r="B3123" s="13">
        <v>7702</v>
      </c>
      <c r="C3123" s="15" t="s">
        <v>141</v>
      </c>
      <c r="D3123" s="13" t="s">
        <v>134</v>
      </c>
      <c r="E3123" s="13" t="s">
        <v>5608</v>
      </c>
      <c r="F3123" s="43">
        <v>2.81</v>
      </c>
    </row>
    <row r="3124" spans="2:6" x14ac:dyDescent="0.25">
      <c r="B3124" s="13">
        <v>7703</v>
      </c>
      <c r="C3124" s="15" t="s">
        <v>141</v>
      </c>
      <c r="D3124" s="13" t="s">
        <v>134</v>
      </c>
      <c r="E3124" s="13" t="s">
        <v>5609</v>
      </c>
      <c r="F3124" s="43">
        <v>2.92</v>
      </c>
    </row>
    <row r="3125" spans="2:6" x14ac:dyDescent="0.25">
      <c r="B3125" s="13">
        <v>7713</v>
      </c>
      <c r="C3125" s="15" t="s">
        <v>141</v>
      </c>
      <c r="D3125" s="13" t="s">
        <v>134</v>
      </c>
      <c r="E3125" s="13" t="s">
        <v>5610</v>
      </c>
      <c r="F3125" s="43">
        <v>63.3</v>
      </c>
    </row>
    <row r="3126" spans="2:6" x14ac:dyDescent="0.25">
      <c r="B3126" s="13">
        <v>7714</v>
      </c>
      <c r="C3126" s="15" t="s">
        <v>141</v>
      </c>
      <c r="D3126" s="13" t="s">
        <v>134</v>
      </c>
      <c r="E3126" s="13" t="s">
        <v>5611</v>
      </c>
      <c r="F3126" s="43">
        <v>85.7</v>
      </c>
    </row>
    <row r="3127" spans="2:6" x14ac:dyDescent="0.25">
      <c r="B3127" s="13">
        <v>7715</v>
      </c>
      <c r="C3127" s="15" t="s">
        <v>141</v>
      </c>
      <c r="D3127" s="13" t="s">
        <v>134</v>
      </c>
      <c r="E3127" s="13" t="s">
        <v>5612</v>
      </c>
      <c r="F3127" s="43">
        <v>134.35</v>
      </c>
    </row>
    <row r="3128" spans="2:6" x14ac:dyDescent="0.25">
      <c r="B3128" s="13">
        <v>8908</v>
      </c>
      <c r="C3128" s="15" t="s">
        <v>141</v>
      </c>
      <c r="D3128" s="13" t="s">
        <v>134</v>
      </c>
      <c r="E3128" s="13" t="s">
        <v>5613</v>
      </c>
      <c r="F3128" s="43">
        <v>13.8</v>
      </c>
    </row>
    <row r="3129" spans="2:6" x14ac:dyDescent="0.25">
      <c r="B3129" s="13">
        <v>8909</v>
      </c>
      <c r="C3129" s="15" t="s">
        <v>141</v>
      </c>
      <c r="D3129" s="13" t="s">
        <v>134</v>
      </c>
      <c r="E3129" s="13" t="s">
        <v>5614</v>
      </c>
      <c r="F3129" s="43">
        <v>15.71</v>
      </c>
    </row>
    <row r="3130" spans="2:6" x14ac:dyDescent="0.25">
      <c r="B3130" s="13">
        <v>8910</v>
      </c>
      <c r="C3130" s="15" t="s">
        <v>141</v>
      </c>
      <c r="D3130" s="13" t="s">
        <v>134</v>
      </c>
      <c r="E3130" s="13" t="s">
        <v>5615</v>
      </c>
      <c r="F3130" s="43">
        <v>20.6</v>
      </c>
    </row>
    <row r="3131" spans="2:6" x14ac:dyDescent="0.25">
      <c r="B3131" s="13">
        <v>8911</v>
      </c>
      <c r="C3131" s="15" t="s">
        <v>141</v>
      </c>
      <c r="D3131" s="13" t="s">
        <v>134</v>
      </c>
      <c r="E3131" s="13" t="s">
        <v>5616</v>
      </c>
      <c r="F3131" s="43">
        <v>22.4</v>
      </c>
    </row>
    <row r="3132" spans="2:6" x14ac:dyDescent="0.25">
      <c r="B3132" s="13">
        <v>8912</v>
      </c>
      <c r="C3132" s="15" t="s">
        <v>141</v>
      </c>
      <c r="D3132" s="13" t="s">
        <v>134</v>
      </c>
      <c r="E3132" s="13" t="s">
        <v>5617</v>
      </c>
      <c r="F3132" s="43">
        <v>9.08</v>
      </c>
    </row>
    <row r="3133" spans="2:6" x14ac:dyDescent="0.25">
      <c r="B3133" s="13">
        <v>8913</v>
      </c>
      <c r="C3133" s="15" t="s">
        <v>141</v>
      </c>
      <c r="D3133" s="13" t="s">
        <v>134</v>
      </c>
      <c r="E3133" s="13" t="s">
        <v>5618</v>
      </c>
      <c r="F3133" s="43">
        <v>8.84</v>
      </c>
    </row>
    <row r="3134" spans="2:6" x14ac:dyDescent="0.25">
      <c r="B3134" s="13">
        <v>8914</v>
      </c>
      <c r="C3134" s="15" t="s">
        <v>141</v>
      </c>
      <c r="D3134" s="13" t="s">
        <v>134</v>
      </c>
      <c r="E3134" s="13" t="s">
        <v>5619</v>
      </c>
      <c r="F3134" s="43">
        <v>9.48</v>
      </c>
    </row>
    <row r="3135" spans="2:6" x14ac:dyDescent="0.25">
      <c r="B3135" s="13">
        <v>8915</v>
      </c>
      <c r="C3135" s="15" t="s">
        <v>141</v>
      </c>
      <c r="D3135" s="13" t="s">
        <v>134</v>
      </c>
      <c r="E3135" s="13" t="s">
        <v>5620</v>
      </c>
      <c r="F3135" s="43">
        <v>11.42</v>
      </c>
    </row>
    <row r="3136" spans="2:6" x14ac:dyDescent="0.25">
      <c r="B3136" s="13">
        <v>8916</v>
      </c>
      <c r="C3136" s="15" t="s">
        <v>141</v>
      </c>
      <c r="D3136" s="13" t="s">
        <v>134</v>
      </c>
      <c r="E3136" s="13" t="s">
        <v>5621</v>
      </c>
      <c r="F3136" s="43">
        <v>12.06</v>
      </c>
    </row>
    <row r="3137" spans="2:6" x14ac:dyDescent="0.25">
      <c r="B3137" s="13">
        <v>8977</v>
      </c>
      <c r="C3137" s="15" t="s">
        <v>141</v>
      </c>
      <c r="D3137" s="13" t="s">
        <v>134</v>
      </c>
      <c r="E3137" s="13" t="s">
        <v>5622</v>
      </c>
      <c r="F3137" s="43">
        <v>1093.2</v>
      </c>
    </row>
    <row r="3138" spans="2:6" x14ac:dyDescent="0.25">
      <c r="B3138" s="13">
        <v>8981</v>
      </c>
      <c r="C3138" s="15" t="s">
        <v>141</v>
      </c>
      <c r="D3138" s="13" t="s">
        <v>134</v>
      </c>
      <c r="E3138" s="13" t="s">
        <v>5623</v>
      </c>
      <c r="F3138" s="43">
        <v>1256.54</v>
      </c>
    </row>
    <row r="3139" spans="2:6" x14ac:dyDescent="0.25">
      <c r="B3139" s="13">
        <v>8982</v>
      </c>
      <c r="C3139" s="15" t="s">
        <v>141</v>
      </c>
      <c r="D3139" s="13" t="s">
        <v>134</v>
      </c>
      <c r="E3139" s="13" t="s">
        <v>5624</v>
      </c>
      <c r="F3139" s="43">
        <v>1800.28</v>
      </c>
    </row>
    <row r="3140" spans="2:6" x14ac:dyDescent="0.25">
      <c r="B3140" s="13">
        <v>8984</v>
      </c>
      <c r="C3140" s="15" t="s">
        <v>141</v>
      </c>
      <c r="D3140" s="13" t="s">
        <v>134</v>
      </c>
      <c r="E3140" s="13" t="s">
        <v>5625</v>
      </c>
      <c r="F3140" s="43">
        <v>88.23</v>
      </c>
    </row>
    <row r="3141" spans="2:6" x14ac:dyDescent="0.25">
      <c r="B3141" s="13">
        <v>8985</v>
      </c>
      <c r="C3141" s="15" t="s">
        <v>141</v>
      </c>
      <c r="D3141" s="13" t="s">
        <v>134</v>
      </c>
      <c r="E3141" s="13" t="s">
        <v>5626</v>
      </c>
      <c r="F3141" s="43">
        <v>106.92</v>
      </c>
    </row>
    <row r="3142" spans="2:6" x14ac:dyDescent="0.25">
      <c r="B3142" s="13">
        <v>8986</v>
      </c>
      <c r="C3142" s="15" t="s">
        <v>141</v>
      </c>
      <c r="D3142" s="13" t="s">
        <v>134</v>
      </c>
      <c r="E3142" s="13" t="s">
        <v>5627</v>
      </c>
      <c r="F3142" s="43">
        <v>128.94</v>
      </c>
    </row>
    <row r="3143" spans="2:6" x14ac:dyDescent="0.25">
      <c r="B3143" s="13">
        <v>8987</v>
      </c>
      <c r="C3143" s="15" t="s">
        <v>141</v>
      </c>
      <c r="D3143" s="13" t="s">
        <v>134</v>
      </c>
      <c r="E3143" s="13" t="s">
        <v>5628</v>
      </c>
      <c r="F3143" s="43">
        <v>144.88</v>
      </c>
    </row>
    <row r="3144" spans="2:6" x14ac:dyDescent="0.25">
      <c r="B3144" s="13">
        <v>8988</v>
      </c>
      <c r="C3144" s="15" t="s">
        <v>141</v>
      </c>
      <c r="D3144" s="13" t="s">
        <v>134</v>
      </c>
      <c r="E3144" s="13" t="s">
        <v>5629</v>
      </c>
      <c r="F3144" s="43">
        <v>183.24</v>
      </c>
    </row>
    <row r="3145" spans="2:6" x14ac:dyDescent="0.25">
      <c r="B3145" s="13">
        <v>8989</v>
      </c>
      <c r="C3145" s="15" t="s">
        <v>141</v>
      </c>
      <c r="D3145" s="13" t="s">
        <v>134</v>
      </c>
      <c r="E3145" s="13" t="s">
        <v>5630</v>
      </c>
      <c r="F3145" s="43">
        <v>330.81</v>
      </c>
    </row>
    <row r="3146" spans="2:6" x14ac:dyDescent="0.25">
      <c r="B3146" s="13">
        <v>8994</v>
      </c>
      <c r="C3146" s="15" t="s">
        <v>141</v>
      </c>
      <c r="D3146" s="13" t="s">
        <v>134</v>
      </c>
      <c r="E3146" s="13" t="s">
        <v>5631</v>
      </c>
      <c r="F3146" s="43">
        <v>50.94</v>
      </c>
    </row>
    <row r="3147" spans="2:6" x14ac:dyDescent="0.25">
      <c r="B3147" s="13">
        <v>9005</v>
      </c>
      <c r="C3147" s="15" t="s">
        <v>141</v>
      </c>
      <c r="D3147" s="13" t="s">
        <v>134</v>
      </c>
      <c r="E3147" s="13" t="s">
        <v>5632</v>
      </c>
      <c r="F3147" s="43">
        <v>71.69</v>
      </c>
    </row>
    <row r="3148" spans="2:6" x14ac:dyDescent="0.25">
      <c r="B3148" s="13">
        <v>9011</v>
      </c>
      <c r="C3148" s="15" t="s">
        <v>141</v>
      </c>
      <c r="D3148" s="13" t="s">
        <v>134</v>
      </c>
      <c r="E3148" s="13" t="s">
        <v>5633</v>
      </c>
      <c r="F3148" s="43">
        <v>29.97</v>
      </c>
    </row>
    <row r="3149" spans="2:6" x14ac:dyDescent="0.25">
      <c r="B3149" s="13">
        <v>9012</v>
      </c>
      <c r="C3149" s="15" t="s">
        <v>141</v>
      </c>
      <c r="D3149" s="13" t="s">
        <v>134</v>
      </c>
      <c r="E3149" s="13" t="s">
        <v>5634</v>
      </c>
      <c r="F3149" s="43">
        <v>34.840000000000003</v>
      </c>
    </row>
    <row r="3150" spans="2:6" x14ac:dyDescent="0.25">
      <c r="B3150" s="13">
        <v>9013</v>
      </c>
      <c r="C3150" s="15" t="s">
        <v>141</v>
      </c>
      <c r="D3150" s="13" t="s">
        <v>134</v>
      </c>
      <c r="E3150" s="13" t="s">
        <v>5635</v>
      </c>
      <c r="F3150" s="43">
        <v>37.549999999999997</v>
      </c>
    </row>
    <row r="3151" spans="2:6" x14ac:dyDescent="0.25">
      <c r="B3151" s="13">
        <v>9014</v>
      </c>
      <c r="C3151" s="15" t="s">
        <v>141</v>
      </c>
      <c r="D3151" s="13" t="s">
        <v>134</v>
      </c>
      <c r="E3151" s="13" t="s">
        <v>5636</v>
      </c>
      <c r="F3151" s="43">
        <v>46.58</v>
      </c>
    </row>
    <row r="3152" spans="2:6" x14ac:dyDescent="0.25">
      <c r="B3152" s="13">
        <v>9015</v>
      </c>
      <c r="C3152" s="15" t="s">
        <v>141</v>
      </c>
      <c r="D3152" s="13" t="s">
        <v>134</v>
      </c>
      <c r="E3152" s="13" t="s">
        <v>5637</v>
      </c>
      <c r="F3152" s="43">
        <v>63.42</v>
      </c>
    </row>
    <row r="3153" spans="2:6" x14ac:dyDescent="0.25">
      <c r="B3153" s="13">
        <v>9016</v>
      </c>
      <c r="C3153" s="15" t="s">
        <v>141</v>
      </c>
      <c r="D3153" s="13" t="s">
        <v>134</v>
      </c>
      <c r="E3153" s="13" t="s">
        <v>5638</v>
      </c>
      <c r="F3153" s="43">
        <v>89.37</v>
      </c>
    </row>
    <row r="3154" spans="2:6" x14ac:dyDescent="0.25">
      <c r="B3154" s="13">
        <v>9017</v>
      </c>
      <c r="C3154" s="15" t="s">
        <v>141</v>
      </c>
      <c r="D3154" s="13" t="s">
        <v>134</v>
      </c>
      <c r="E3154" s="13" t="s">
        <v>5639</v>
      </c>
      <c r="F3154" s="43">
        <v>199.14</v>
      </c>
    </row>
    <row r="3155" spans="2:6" x14ac:dyDescent="0.25">
      <c r="B3155" s="13">
        <v>9018</v>
      </c>
      <c r="C3155" s="15" t="s">
        <v>141</v>
      </c>
      <c r="D3155" s="13" t="s">
        <v>134</v>
      </c>
      <c r="E3155" s="13" t="s">
        <v>5640</v>
      </c>
      <c r="F3155" s="43">
        <v>273.88</v>
      </c>
    </row>
    <row r="3156" spans="2:6" x14ac:dyDescent="0.25">
      <c r="B3156" s="13">
        <v>9019</v>
      </c>
      <c r="C3156" s="15" t="s">
        <v>141</v>
      </c>
      <c r="D3156" s="13" t="s">
        <v>134</v>
      </c>
      <c r="E3156" s="13" t="s">
        <v>5641</v>
      </c>
      <c r="F3156" s="43">
        <v>259.33</v>
      </c>
    </row>
    <row r="3157" spans="2:6" x14ac:dyDescent="0.25">
      <c r="B3157" s="13">
        <v>9021</v>
      </c>
      <c r="C3157" s="15" t="s">
        <v>141</v>
      </c>
      <c r="D3157" s="13" t="s">
        <v>134</v>
      </c>
      <c r="E3157" s="13" t="s">
        <v>5642</v>
      </c>
      <c r="F3157" s="43">
        <v>31.13</v>
      </c>
    </row>
    <row r="3158" spans="2:6" x14ac:dyDescent="0.25">
      <c r="B3158" s="13">
        <v>9022</v>
      </c>
      <c r="C3158" s="15" t="s">
        <v>141</v>
      </c>
      <c r="D3158" s="13" t="s">
        <v>134</v>
      </c>
      <c r="E3158" s="13" t="s">
        <v>5643</v>
      </c>
      <c r="F3158" s="43">
        <v>37.33</v>
      </c>
    </row>
    <row r="3159" spans="2:6" x14ac:dyDescent="0.25">
      <c r="B3159" s="13">
        <v>9023</v>
      </c>
      <c r="C3159" s="15" t="s">
        <v>141</v>
      </c>
      <c r="D3159" s="13" t="s">
        <v>134</v>
      </c>
      <c r="E3159" s="13" t="s">
        <v>5644</v>
      </c>
      <c r="F3159" s="43">
        <v>41.19</v>
      </c>
    </row>
    <row r="3160" spans="2:6" x14ac:dyDescent="0.25">
      <c r="B3160" s="13">
        <v>9024</v>
      </c>
      <c r="C3160" s="15" t="s">
        <v>141</v>
      </c>
      <c r="D3160" s="13" t="s">
        <v>134</v>
      </c>
      <c r="E3160" s="13" t="s">
        <v>5645</v>
      </c>
      <c r="F3160" s="43">
        <v>49.96</v>
      </c>
    </row>
    <row r="3161" spans="2:6" x14ac:dyDescent="0.25">
      <c r="B3161" s="13">
        <v>9025</v>
      </c>
      <c r="C3161" s="15" t="s">
        <v>141</v>
      </c>
      <c r="D3161" s="13" t="s">
        <v>134</v>
      </c>
      <c r="E3161" s="13" t="s">
        <v>5646</v>
      </c>
      <c r="F3161" s="43">
        <v>68.91</v>
      </c>
    </row>
    <row r="3162" spans="2:6" x14ac:dyDescent="0.25">
      <c r="B3162" s="13">
        <v>9026</v>
      </c>
      <c r="C3162" s="15" t="s">
        <v>141</v>
      </c>
      <c r="D3162" s="13" t="s">
        <v>134</v>
      </c>
      <c r="E3162" s="13" t="s">
        <v>5647</v>
      </c>
      <c r="F3162" s="43">
        <v>106.84</v>
      </c>
    </row>
    <row r="3163" spans="2:6" x14ac:dyDescent="0.25">
      <c r="B3163" s="13">
        <v>9027</v>
      </c>
      <c r="C3163" s="15" t="s">
        <v>141</v>
      </c>
      <c r="D3163" s="13" t="s">
        <v>134</v>
      </c>
      <c r="E3163" s="13" t="s">
        <v>5648</v>
      </c>
      <c r="F3163" s="43">
        <v>191</v>
      </c>
    </row>
    <row r="3164" spans="2:6" x14ac:dyDescent="0.25">
      <c r="B3164" s="13">
        <v>9028</v>
      </c>
      <c r="C3164" s="15" t="s">
        <v>141</v>
      </c>
      <c r="D3164" s="13" t="s">
        <v>134</v>
      </c>
      <c r="E3164" s="13" t="s">
        <v>5649</v>
      </c>
      <c r="F3164" s="43">
        <v>300.60000000000002</v>
      </c>
    </row>
    <row r="3165" spans="2:6" x14ac:dyDescent="0.25">
      <c r="B3165" s="13">
        <v>9029</v>
      </c>
      <c r="C3165" s="15" t="s">
        <v>141</v>
      </c>
      <c r="D3165" s="13" t="s">
        <v>134</v>
      </c>
      <c r="E3165" s="13" t="s">
        <v>5650</v>
      </c>
      <c r="F3165" s="43">
        <v>360.09</v>
      </c>
    </row>
    <row r="3166" spans="2:6" x14ac:dyDescent="0.25">
      <c r="B3166" s="13">
        <v>9030</v>
      </c>
      <c r="C3166" s="15" t="s">
        <v>141</v>
      </c>
      <c r="D3166" s="13" t="s">
        <v>134</v>
      </c>
      <c r="E3166" s="13" t="s">
        <v>5651</v>
      </c>
      <c r="F3166" s="43">
        <v>0</v>
      </c>
    </row>
    <row r="3167" spans="2:6" x14ac:dyDescent="0.25">
      <c r="B3167" s="13">
        <v>9031</v>
      </c>
      <c r="C3167" s="15" t="s">
        <v>141</v>
      </c>
      <c r="D3167" s="13" t="s">
        <v>134</v>
      </c>
      <c r="E3167" s="13" t="s">
        <v>5652</v>
      </c>
      <c r="F3167" s="43">
        <v>3.41</v>
      </c>
    </row>
    <row r="3168" spans="2:6" x14ac:dyDescent="0.25">
      <c r="B3168" s="13">
        <v>9039</v>
      </c>
      <c r="C3168" s="15" t="s">
        <v>141</v>
      </c>
      <c r="D3168" s="13" t="s">
        <v>134</v>
      </c>
      <c r="E3168" s="13" t="s">
        <v>5653</v>
      </c>
      <c r="F3168" s="43">
        <v>96.23</v>
      </c>
    </row>
    <row r="3169" spans="2:6" x14ac:dyDescent="0.25">
      <c r="B3169" s="13">
        <v>9040</v>
      </c>
      <c r="C3169" s="15" t="s">
        <v>141</v>
      </c>
      <c r="D3169" s="13" t="s">
        <v>134</v>
      </c>
      <c r="E3169" s="13" t="s">
        <v>5654</v>
      </c>
      <c r="F3169" s="43">
        <v>142.21</v>
      </c>
    </row>
    <row r="3170" spans="2:6" x14ac:dyDescent="0.25">
      <c r="B3170" s="13">
        <v>9041</v>
      </c>
      <c r="C3170" s="15" t="s">
        <v>141</v>
      </c>
      <c r="D3170" s="13" t="s">
        <v>134</v>
      </c>
      <c r="E3170" s="13" t="s">
        <v>5655</v>
      </c>
      <c r="F3170" s="43">
        <v>195.67</v>
      </c>
    </row>
    <row r="3171" spans="2:6" x14ac:dyDescent="0.25">
      <c r="B3171" s="13">
        <v>9043</v>
      </c>
      <c r="C3171" s="15" t="s">
        <v>141</v>
      </c>
      <c r="D3171" s="13" t="s">
        <v>134</v>
      </c>
      <c r="E3171" s="13" t="s">
        <v>5656</v>
      </c>
      <c r="F3171" s="43">
        <v>44.64</v>
      </c>
    </row>
    <row r="3172" spans="2:6" x14ac:dyDescent="0.25">
      <c r="B3172" s="13">
        <v>9044</v>
      </c>
      <c r="C3172" s="15" t="s">
        <v>141</v>
      </c>
      <c r="D3172" s="13" t="s">
        <v>134</v>
      </c>
      <c r="E3172" s="13" t="s">
        <v>5657</v>
      </c>
      <c r="F3172" s="43">
        <v>71.430000000000007</v>
      </c>
    </row>
    <row r="3173" spans="2:6" x14ac:dyDescent="0.25">
      <c r="B3173" s="13">
        <v>9711</v>
      </c>
      <c r="C3173" s="15" t="s">
        <v>141</v>
      </c>
      <c r="D3173" s="13" t="s">
        <v>134</v>
      </c>
      <c r="E3173" s="13" t="s">
        <v>5658</v>
      </c>
      <c r="F3173" s="43">
        <v>36.81</v>
      </c>
    </row>
    <row r="3174" spans="2:6" x14ac:dyDescent="0.25">
      <c r="B3174" s="13">
        <v>10955</v>
      </c>
      <c r="C3174" s="15" t="s">
        <v>141</v>
      </c>
      <c r="D3174" s="13" t="s">
        <v>134</v>
      </c>
      <c r="E3174" s="13" t="s">
        <v>5659</v>
      </c>
      <c r="F3174" s="43">
        <v>23.07</v>
      </c>
    </row>
    <row r="3175" spans="2:6" x14ac:dyDescent="0.25">
      <c r="B3175" s="13">
        <v>10957</v>
      </c>
      <c r="C3175" s="15" t="s">
        <v>141</v>
      </c>
      <c r="D3175" s="13" t="s">
        <v>134</v>
      </c>
      <c r="E3175" s="13" t="s">
        <v>5660</v>
      </c>
      <c r="F3175" s="43">
        <v>84.84</v>
      </c>
    </row>
    <row r="3176" spans="2:6" x14ac:dyDescent="0.25">
      <c r="B3176" s="13">
        <v>10997</v>
      </c>
      <c r="C3176" s="15" t="s">
        <v>141</v>
      </c>
      <c r="D3176" s="13" t="s">
        <v>134</v>
      </c>
      <c r="E3176" s="13" t="s">
        <v>5661</v>
      </c>
      <c r="F3176" s="43">
        <v>40.21</v>
      </c>
    </row>
    <row r="3177" spans="2:6" x14ac:dyDescent="0.25">
      <c r="B3177" s="13">
        <v>11300</v>
      </c>
      <c r="C3177" s="15" t="s">
        <v>141</v>
      </c>
      <c r="D3177" s="13" t="s">
        <v>134</v>
      </c>
      <c r="E3177" s="13" t="s">
        <v>5662</v>
      </c>
      <c r="F3177" s="43">
        <v>9.1300000000000008</v>
      </c>
    </row>
    <row r="3178" spans="2:6" x14ac:dyDescent="0.25">
      <c r="B3178" s="13">
        <v>11301</v>
      </c>
      <c r="C3178" s="15" t="s">
        <v>141</v>
      </c>
      <c r="D3178" s="13" t="s">
        <v>134</v>
      </c>
      <c r="E3178" s="13" t="s">
        <v>5663</v>
      </c>
      <c r="F3178" s="43">
        <v>12.5</v>
      </c>
    </row>
    <row r="3179" spans="2:6" x14ac:dyDescent="0.25">
      <c r="B3179" s="13">
        <v>11374</v>
      </c>
      <c r="C3179" s="15" t="s">
        <v>141</v>
      </c>
      <c r="D3179" s="13" t="s">
        <v>134</v>
      </c>
      <c r="E3179" s="13" t="s">
        <v>5664</v>
      </c>
      <c r="F3179" s="43">
        <v>43.62</v>
      </c>
    </row>
    <row r="3180" spans="2:6" x14ac:dyDescent="0.25">
      <c r="B3180" s="13">
        <v>11375</v>
      </c>
      <c r="C3180" s="15" t="s">
        <v>141</v>
      </c>
      <c r="D3180" s="13" t="s">
        <v>134</v>
      </c>
      <c r="E3180" s="13" t="s">
        <v>5665</v>
      </c>
      <c r="F3180" s="43">
        <v>34.07</v>
      </c>
    </row>
    <row r="3181" spans="2:6" x14ac:dyDescent="0.25">
      <c r="B3181" s="13">
        <v>11376</v>
      </c>
      <c r="C3181" s="15" t="s">
        <v>141</v>
      </c>
      <c r="D3181" s="13" t="s">
        <v>134</v>
      </c>
      <c r="E3181" s="13" t="s">
        <v>5666</v>
      </c>
      <c r="F3181" s="43">
        <v>31.34</v>
      </c>
    </row>
    <row r="3182" spans="2:6" x14ac:dyDescent="0.25">
      <c r="B3182" s="13">
        <v>11377</v>
      </c>
      <c r="C3182" s="15" t="s">
        <v>141</v>
      </c>
      <c r="D3182" s="13" t="s">
        <v>134</v>
      </c>
      <c r="E3182" s="13" t="s">
        <v>5667</v>
      </c>
      <c r="F3182" s="43">
        <v>38.99</v>
      </c>
    </row>
    <row r="3183" spans="2:6" x14ac:dyDescent="0.25">
      <c r="B3183" s="13">
        <v>11656</v>
      </c>
      <c r="C3183" s="15" t="s">
        <v>141</v>
      </c>
      <c r="D3183" s="13" t="s">
        <v>134</v>
      </c>
      <c r="E3183" s="13" t="s">
        <v>5668</v>
      </c>
      <c r="F3183" s="43">
        <v>9.77</v>
      </c>
    </row>
    <row r="3184" spans="2:6" x14ac:dyDescent="0.25">
      <c r="B3184" s="13">
        <v>15763</v>
      </c>
      <c r="C3184" s="15" t="s">
        <v>141</v>
      </c>
      <c r="D3184" s="13" t="s">
        <v>134</v>
      </c>
      <c r="E3184" s="13" t="s">
        <v>5669</v>
      </c>
      <c r="F3184" s="43">
        <v>2.76</v>
      </c>
    </row>
    <row r="3185" spans="2:6" x14ac:dyDescent="0.25">
      <c r="B3185" s="13">
        <v>15765</v>
      </c>
      <c r="C3185" s="15" t="s">
        <v>141</v>
      </c>
      <c r="D3185" s="13" t="s">
        <v>134</v>
      </c>
      <c r="E3185" s="13" t="s">
        <v>5670</v>
      </c>
      <c r="F3185" s="43">
        <v>93.52</v>
      </c>
    </row>
    <row r="3186" spans="2:6" x14ac:dyDescent="0.25">
      <c r="B3186" s="13">
        <v>15776</v>
      </c>
      <c r="C3186" s="15" t="s">
        <v>141</v>
      </c>
      <c r="D3186" s="13" t="s">
        <v>134</v>
      </c>
      <c r="E3186" s="13" t="s">
        <v>5671</v>
      </c>
      <c r="F3186" s="43">
        <v>355.65</v>
      </c>
    </row>
    <row r="3187" spans="2:6" x14ac:dyDescent="0.25">
      <c r="B3187" s="13">
        <v>15826</v>
      </c>
      <c r="C3187" s="15" t="s">
        <v>141</v>
      </c>
      <c r="D3187" s="13" t="s">
        <v>134</v>
      </c>
      <c r="E3187" s="13" t="s">
        <v>5672</v>
      </c>
      <c r="F3187" s="43">
        <v>52.28</v>
      </c>
    </row>
    <row r="3188" spans="2:6" x14ac:dyDescent="0.25">
      <c r="B3188" s="13">
        <v>15829</v>
      </c>
      <c r="C3188" s="15" t="s">
        <v>141</v>
      </c>
      <c r="D3188" s="13" t="s">
        <v>134</v>
      </c>
      <c r="E3188" s="13" t="s">
        <v>5673</v>
      </c>
      <c r="F3188" s="43">
        <v>65.38</v>
      </c>
    </row>
    <row r="3189" spans="2:6" x14ac:dyDescent="0.25">
      <c r="B3189" s="13">
        <v>15846</v>
      </c>
      <c r="C3189" s="15" t="s">
        <v>141</v>
      </c>
      <c r="D3189" s="13" t="s">
        <v>134</v>
      </c>
      <c r="E3189" s="13" t="s">
        <v>5674</v>
      </c>
      <c r="F3189" s="43">
        <v>1340.23</v>
      </c>
    </row>
    <row r="3190" spans="2:6" x14ac:dyDescent="0.25">
      <c r="B3190" s="13">
        <v>17898</v>
      </c>
      <c r="C3190" s="15" t="s">
        <v>141</v>
      </c>
      <c r="D3190" s="13" t="s">
        <v>134</v>
      </c>
      <c r="E3190" s="13" t="s">
        <v>5675</v>
      </c>
      <c r="F3190" s="43">
        <v>71.84</v>
      </c>
    </row>
    <row r="3191" spans="2:6" x14ac:dyDescent="0.25">
      <c r="B3191" s="13">
        <v>17899</v>
      </c>
      <c r="C3191" s="15" t="s">
        <v>141</v>
      </c>
      <c r="D3191" s="13" t="s">
        <v>134</v>
      </c>
      <c r="E3191" s="13" t="s">
        <v>5676</v>
      </c>
      <c r="F3191" s="43">
        <v>149.09</v>
      </c>
    </row>
    <row r="3192" spans="2:6" x14ac:dyDescent="0.25">
      <c r="B3192" s="13">
        <v>17906</v>
      </c>
      <c r="C3192" s="15" t="s">
        <v>141</v>
      </c>
      <c r="D3192" s="13" t="s">
        <v>134</v>
      </c>
      <c r="E3192" s="13" t="s">
        <v>5677</v>
      </c>
      <c r="F3192" s="43">
        <v>113.6</v>
      </c>
    </row>
    <row r="3193" spans="2:6" x14ac:dyDescent="0.25">
      <c r="B3193" s="13">
        <v>17907</v>
      </c>
      <c r="C3193" s="15" t="s">
        <v>141</v>
      </c>
      <c r="D3193" s="13" t="s">
        <v>134</v>
      </c>
      <c r="E3193" s="13" t="s">
        <v>5678</v>
      </c>
      <c r="F3193" s="43">
        <v>220.36</v>
      </c>
    </row>
    <row r="3194" spans="2:6" x14ac:dyDescent="0.25">
      <c r="B3194" s="13">
        <v>17910</v>
      </c>
      <c r="C3194" s="15" t="s">
        <v>141</v>
      </c>
      <c r="D3194" s="13" t="s">
        <v>134</v>
      </c>
      <c r="E3194" s="13" t="s">
        <v>5679</v>
      </c>
      <c r="F3194" s="43">
        <v>110.39</v>
      </c>
    </row>
    <row r="3195" spans="2:6" x14ac:dyDescent="0.25">
      <c r="B3195" s="13">
        <v>17912</v>
      </c>
      <c r="C3195" s="15" t="s">
        <v>141</v>
      </c>
      <c r="D3195" s="13" t="s">
        <v>134</v>
      </c>
      <c r="E3195" s="13" t="s">
        <v>5680</v>
      </c>
      <c r="F3195" s="43">
        <v>175.56</v>
      </c>
    </row>
    <row r="3196" spans="2:6" x14ac:dyDescent="0.25">
      <c r="B3196" s="13">
        <v>17916</v>
      </c>
      <c r="C3196" s="15" t="s">
        <v>141</v>
      </c>
      <c r="D3196" s="13" t="s">
        <v>134</v>
      </c>
      <c r="E3196" s="13" t="s">
        <v>5681</v>
      </c>
      <c r="F3196" s="43">
        <v>66.8</v>
      </c>
    </row>
    <row r="3197" spans="2:6" x14ac:dyDescent="0.25">
      <c r="B3197" s="13">
        <v>17917</v>
      </c>
      <c r="C3197" s="15" t="s">
        <v>141</v>
      </c>
      <c r="D3197" s="13" t="s">
        <v>134</v>
      </c>
      <c r="E3197" s="13" t="s">
        <v>5682</v>
      </c>
      <c r="F3197" s="43">
        <v>164.45</v>
      </c>
    </row>
    <row r="3198" spans="2:6" x14ac:dyDescent="0.25">
      <c r="B3198" s="13">
        <v>17918</v>
      </c>
      <c r="C3198" s="15" t="s">
        <v>141</v>
      </c>
      <c r="D3198" s="13" t="s">
        <v>134</v>
      </c>
      <c r="E3198" s="13" t="s">
        <v>5683</v>
      </c>
      <c r="F3198" s="43">
        <v>77.58</v>
      </c>
    </row>
    <row r="3199" spans="2:6" x14ac:dyDescent="0.25">
      <c r="B3199" s="13">
        <v>17919</v>
      </c>
      <c r="C3199" s="15" t="s">
        <v>141</v>
      </c>
      <c r="D3199" s="13" t="s">
        <v>134</v>
      </c>
      <c r="E3199" s="13" t="s">
        <v>5684</v>
      </c>
      <c r="F3199" s="43">
        <v>77.58</v>
      </c>
    </row>
    <row r="3200" spans="2:6" x14ac:dyDescent="0.25">
      <c r="B3200" s="13">
        <v>17920</v>
      </c>
      <c r="C3200" s="15" t="s">
        <v>141</v>
      </c>
      <c r="D3200" s="13" t="s">
        <v>134</v>
      </c>
      <c r="E3200" s="13" t="s">
        <v>5685</v>
      </c>
      <c r="F3200" s="43">
        <v>162.4</v>
      </c>
    </row>
    <row r="3201" spans="2:6" x14ac:dyDescent="0.25">
      <c r="B3201" s="13">
        <v>17923</v>
      </c>
      <c r="C3201" s="15" t="s">
        <v>141</v>
      </c>
      <c r="D3201" s="13" t="s">
        <v>134</v>
      </c>
      <c r="E3201" s="13" t="s">
        <v>5686</v>
      </c>
      <c r="F3201" s="43">
        <v>46.54</v>
      </c>
    </row>
    <row r="3202" spans="2:6" x14ac:dyDescent="0.25">
      <c r="B3202" s="13">
        <v>17927</v>
      </c>
      <c r="C3202" s="15" t="s">
        <v>141</v>
      </c>
      <c r="D3202" s="13" t="s">
        <v>134</v>
      </c>
      <c r="E3202" s="13" t="s">
        <v>5687</v>
      </c>
      <c r="F3202" s="43">
        <v>109.62</v>
      </c>
    </row>
    <row r="3203" spans="2:6" x14ac:dyDescent="0.25">
      <c r="B3203" s="13">
        <v>17930</v>
      </c>
      <c r="C3203" s="15" t="s">
        <v>141</v>
      </c>
      <c r="D3203" s="13" t="s">
        <v>134</v>
      </c>
      <c r="E3203" s="13" t="s">
        <v>5688</v>
      </c>
      <c r="F3203" s="43">
        <v>45.37</v>
      </c>
    </row>
    <row r="3204" spans="2:6" x14ac:dyDescent="0.25">
      <c r="B3204" s="13">
        <v>17931</v>
      </c>
      <c r="C3204" s="15" t="s">
        <v>141</v>
      </c>
      <c r="D3204" s="13" t="s">
        <v>134</v>
      </c>
      <c r="E3204" s="13" t="s">
        <v>5689</v>
      </c>
      <c r="F3204" s="43">
        <v>70.84</v>
      </c>
    </row>
    <row r="3205" spans="2:6" x14ac:dyDescent="0.25">
      <c r="B3205" s="13">
        <v>17933</v>
      </c>
      <c r="C3205" s="15" t="s">
        <v>141</v>
      </c>
      <c r="D3205" s="13" t="s">
        <v>134</v>
      </c>
      <c r="E3205" s="13" t="s">
        <v>5690</v>
      </c>
      <c r="F3205" s="43">
        <v>82.63</v>
      </c>
    </row>
    <row r="3206" spans="2:6" x14ac:dyDescent="0.25">
      <c r="B3206" s="13">
        <v>17934</v>
      </c>
      <c r="C3206" s="15" t="s">
        <v>141</v>
      </c>
      <c r="D3206" s="13" t="s">
        <v>134</v>
      </c>
      <c r="E3206" s="13" t="s">
        <v>5691</v>
      </c>
      <c r="F3206" s="43">
        <v>93.62</v>
      </c>
    </row>
    <row r="3207" spans="2:6" x14ac:dyDescent="0.25">
      <c r="B3207" s="13">
        <v>17935</v>
      </c>
      <c r="C3207" s="15" t="s">
        <v>141</v>
      </c>
      <c r="D3207" s="13" t="s">
        <v>134</v>
      </c>
      <c r="E3207" s="13" t="s">
        <v>5692</v>
      </c>
      <c r="F3207" s="43">
        <v>50.57</v>
      </c>
    </row>
    <row r="3208" spans="2:6" x14ac:dyDescent="0.25">
      <c r="B3208" s="13">
        <v>17936</v>
      </c>
      <c r="C3208" s="15" t="s">
        <v>141</v>
      </c>
      <c r="D3208" s="13" t="s">
        <v>134</v>
      </c>
      <c r="E3208" s="13" t="s">
        <v>5693</v>
      </c>
      <c r="F3208" s="43">
        <v>120.89</v>
      </c>
    </row>
    <row r="3209" spans="2:6" x14ac:dyDescent="0.25">
      <c r="B3209" s="13">
        <v>18435</v>
      </c>
      <c r="C3209" s="15" t="s">
        <v>141</v>
      </c>
      <c r="D3209" s="13" t="s">
        <v>134</v>
      </c>
      <c r="E3209" s="13" t="s">
        <v>5694</v>
      </c>
      <c r="F3209" s="43">
        <v>49.52</v>
      </c>
    </row>
    <row r="3210" spans="2:6" x14ac:dyDescent="0.25">
      <c r="B3210" s="13">
        <v>18436</v>
      </c>
      <c r="C3210" s="15" t="s">
        <v>141</v>
      </c>
      <c r="D3210" s="13" t="s">
        <v>134</v>
      </c>
      <c r="E3210" s="13" t="s">
        <v>5695</v>
      </c>
      <c r="F3210" s="43">
        <v>53.57</v>
      </c>
    </row>
    <row r="3211" spans="2:6" x14ac:dyDescent="0.25">
      <c r="B3211" s="13">
        <v>18437</v>
      </c>
      <c r="C3211" s="15" t="s">
        <v>141</v>
      </c>
      <c r="D3211" s="13" t="s">
        <v>134</v>
      </c>
      <c r="E3211" s="13" t="s">
        <v>5696</v>
      </c>
      <c r="F3211" s="43">
        <v>72.11</v>
      </c>
    </row>
    <row r="3212" spans="2:6" x14ac:dyDescent="0.25">
      <c r="B3212" s="13">
        <v>18438</v>
      </c>
      <c r="C3212" s="15" t="s">
        <v>141</v>
      </c>
      <c r="D3212" s="13" t="s">
        <v>134</v>
      </c>
      <c r="E3212" s="13" t="s">
        <v>5697</v>
      </c>
      <c r="F3212" s="43">
        <v>87.21</v>
      </c>
    </row>
    <row r="3213" spans="2:6" x14ac:dyDescent="0.25">
      <c r="B3213" s="13">
        <v>18439</v>
      </c>
      <c r="C3213" s="15" t="s">
        <v>141</v>
      </c>
      <c r="D3213" s="13" t="s">
        <v>134</v>
      </c>
      <c r="E3213" s="13" t="s">
        <v>5698</v>
      </c>
      <c r="F3213" s="43">
        <v>117.85</v>
      </c>
    </row>
    <row r="3214" spans="2:6" x14ac:dyDescent="0.25">
      <c r="B3214" s="13">
        <v>18440</v>
      </c>
      <c r="C3214" s="15" t="s">
        <v>141</v>
      </c>
      <c r="D3214" s="13" t="s">
        <v>134</v>
      </c>
      <c r="E3214" s="13" t="s">
        <v>5699</v>
      </c>
      <c r="F3214" s="43">
        <v>103.02</v>
      </c>
    </row>
    <row r="3215" spans="2:6" x14ac:dyDescent="0.25">
      <c r="B3215" s="13">
        <v>18441</v>
      </c>
      <c r="C3215" s="15" t="s">
        <v>141</v>
      </c>
      <c r="D3215" s="13" t="s">
        <v>134</v>
      </c>
      <c r="E3215" s="13" t="s">
        <v>5700</v>
      </c>
      <c r="F3215" s="43">
        <v>364.16</v>
      </c>
    </row>
    <row r="3216" spans="2:6" x14ac:dyDescent="0.25">
      <c r="B3216" s="13">
        <v>18442</v>
      </c>
      <c r="C3216" s="15" t="s">
        <v>141</v>
      </c>
      <c r="D3216" s="13" t="s">
        <v>134</v>
      </c>
      <c r="E3216" s="13" t="s">
        <v>5701</v>
      </c>
      <c r="F3216" s="43">
        <v>422.72</v>
      </c>
    </row>
    <row r="3217" spans="2:6" x14ac:dyDescent="0.25">
      <c r="B3217" s="13">
        <v>18443</v>
      </c>
      <c r="C3217" s="15" t="s">
        <v>141</v>
      </c>
      <c r="D3217" s="13" t="s">
        <v>134</v>
      </c>
      <c r="E3217" s="13" t="s">
        <v>5702</v>
      </c>
      <c r="F3217" s="43">
        <v>831.07</v>
      </c>
    </row>
    <row r="3218" spans="2:6" x14ac:dyDescent="0.25">
      <c r="B3218" s="13">
        <v>18455</v>
      </c>
      <c r="C3218" s="15" t="s">
        <v>141</v>
      </c>
      <c r="D3218" s="13" t="s">
        <v>134</v>
      </c>
      <c r="E3218" s="13" t="s">
        <v>5703</v>
      </c>
      <c r="F3218" s="43">
        <v>53.17</v>
      </c>
    </row>
    <row r="3219" spans="2:6" x14ac:dyDescent="0.25">
      <c r="B3219" s="13">
        <v>18459</v>
      </c>
      <c r="C3219" s="15" t="s">
        <v>141</v>
      </c>
      <c r="D3219" s="13" t="s">
        <v>134</v>
      </c>
      <c r="E3219" s="13" t="s">
        <v>5704</v>
      </c>
      <c r="F3219" s="43">
        <v>102.57</v>
      </c>
    </row>
    <row r="3220" spans="2:6" x14ac:dyDescent="0.25">
      <c r="B3220" s="13">
        <v>18685</v>
      </c>
      <c r="C3220" s="15" t="s">
        <v>141</v>
      </c>
      <c r="D3220" s="13" t="s">
        <v>134</v>
      </c>
      <c r="E3220" s="13" t="s">
        <v>5705</v>
      </c>
      <c r="F3220" s="43">
        <v>5.85</v>
      </c>
    </row>
    <row r="3221" spans="2:6" x14ac:dyDescent="0.25">
      <c r="B3221" s="13">
        <v>18686</v>
      </c>
      <c r="C3221" s="15" t="s">
        <v>141</v>
      </c>
      <c r="D3221" s="13" t="s">
        <v>134</v>
      </c>
      <c r="E3221" s="13" t="s">
        <v>5706</v>
      </c>
      <c r="F3221" s="43">
        <v>7.35</v>
      </c>
    </row>
    <row r="3222" spans="2:6" x14ac:dyDescent="0.25">
      <c r="B3222" s="13">
        <v>18687</v>
      </c>
      <c r="C3222" s="15" t="s">
        <v>141</v>
      </c>
      <c r="D3222" s="13" t="s">
        <v>134</v>
      </c>
      <c r="E3222" s="13" t="s">
        <v>5707</v>
      </c>
      <c r="F3222" s="43">
        <v>9.3800000000000008</v>
      </c>
    </row>
    <row r="3223" spans="2:6" x14ac:dyDescent="0.25">
      <c r="B3223" s="13">
        <v>18688</v>
      </c>
      <c r="C3223" s="15" t="s">
        <v>141</v>
      </c>
      <c r="D3223" s="13" t="s">
        <v>134</v>
      </c>
      <c r="E3223" s="13" t="s">
        <v>5708</v>
      </c>
      <c r="F3223" s="43">
        <v>9.3800000000000008</v>
      </c>
    </row>
    <row r="3224" spans="2:6" x14ac:dyDescent="0.25">
      <c r="B3224" s="13">
        <v>18689</v>
      </c>
      <c r="C3224" s="15" t="s">
        <v>141</v>
      </c>
      <c r="D3224" s="13" t="s">
        <v>134</v>
      </c>
      <c r="E3224" s="13" t="s">
        <v>5709</v>
      </c>
      <c r="F3224" s="43">
        <v>18.09</v>
      </c>
    </row>
    <row r="3225" spans="2:6" x14ac:dyDescent="0.25">
      <c r="B3225" s="13">
        <v>18690</v>
      </c>
      <c r="C3225" s="15" t="s">
        <v>141</v>
      </c>
      <c r="D3225" s="13" t="s">
        <v>134</v>
      </c>
      <c r="E3225" s="13" t="s">
        <v>5710</v>
      </c>
      <c r="F3225" s="43">
        <v>18.350000000000001</v>
      </c>
    </row>
    <row r="3226" spans="2:6" x14ac:dyDescent="0.25">
      <c r="B3226" s="13">
        <v>18691</v>
      </c>
      <c r="C3226" s="15" t="s">
        <v>141</v>
      </c>
      <c r="D3226" s="13" t="s">
        <v>134</v>
      </c>
      <c r="E3226" s="13" t="s">
        <v>5711</v>
      </c>
      <c r="F3226" s="43">
        <v>28.9</v>
      </c>
    </row>
    <row r="3227" spans="2:6" x14ac:dyDescent="0.25">
      <c r="B3227" s="13">
        <v>18692</v>
      </c>
      <c r="C3227" s="15" t="s">
        <v>141</v>
      </c>
      <c r="D3227" s="13" t="s">
        <v>134</v>
      </c>
      <c r="E3227" s="13" t="s">
        <v>5712</v>
      </c>
      <c r="F3227" s="43">
        <v>39.39</v>
      </c>
    </row>
    <row r="3228" spans="2:6" x14ac:dyDescent="0.25">
      <c r="B3228" s="13">
        <v>18693</v>
      </c>
      <c r="C3228" s="15" t="s">
        <v>141</v>
      </c>
      <c r="D3228" s="13" t="s">
        <v>134</v>
      </c>
      <c r="E3228" s="13" t="s">
        <v>5713</v>
      </c>
      <c r="F3228" s="43">
        <v>51.94</v>
      </c>
    </row>
    <row r="3229" spans="2:6" x14ac:dyDescent="0.25">
      <c r="B3229" s="13">
        <v>18874</v>
      </c>
      <c r="C3229" s="15" t="s">
        <v>141</v>
      </c>
      <c r="D3229" s="13" t="s">
        <v>134</v>
      </c>
      <c r="E3229" s="13" t="s">
        <v>5714</v>
      </c>
      <c r="F3229" s="43">
        <v>0</v>
      </c>
    </row>
    <row r="3230" spans="2:6" x14ac:dyDescent="0.25">
      <c r="B3230" s="13">
        <v>19711</v>
      </c>
      <c r="C3230" s="15" t="s">
        <v>141</v>
      </c>
      <c r="D3230" s="13" t="s">
        <v>134</v>
      </c>
      <c r="E3230" s="13" t="s">
        <v>5715</v>
      </c>
      <c r="F3230" s="43">
        <v>34.74</v>
      </c>
    </row>
    <row r="3231" spans="2:6" x14ac:dyDescent="0.25">
      <c r="B3231" s="13">
        <v>20143</v>
      </c>
      <c r="C3231" s="15" t="s">
        <v>141</v>
      </c>
      <c r="D3231" s="13" t="s">
        <v>134</v>
      </c>
      <c r="E3231" s="13" t="s">
        <v>5716</v>
      </c>
      <c r="F3231" s="43">
        <v>3.21</v>
      </c>
    </row>
    <row r="3232" spans="2:6" x14ac:dyDescent="0.25">
      <c r="B3232" s="13">
        <v>20144</v>
      </c>
      <c r="C3232" s="15" t="s">
        <v>141</v>
      </c>
      <c r="D3232" s="13" t="s">
        <v>134</v>
      </c>
      <c r="E3232" s="13" t="s">
        <v>5717</v>
      </c>
      <c r="F3232" s="43">
        <v>3.97</v>
      </c>
    </row>
    <row r="3233" spans="2:6" x14ac:dyDescent="0.25">
      <c r="B3233" s="13">
        <v>20145</v>
      </c>
      <c r="C3233" s="15" t="s">
        <v>141</v>
      </c>
      <c r="D3233" s="13" t="s">
        <v>134</v>
      </c>
      <c r="E3233" s="13" t="s">
        <v>5718</v>
      </c>
      <c r="F3233" s="43">
        <v>6.65</v>
      </c>
    </row>
    <row r="3234" spans="2:6" x14ac:dyDescent="0.25">
      <c r="B3234" s="13">
        <v>20146</v>
      </c>
      <c r="C3234" s="15" t="s">
        <v>141</v>
      </c>
      <c r="D3234" s="13" t="s">
        <v>134</v>
      </c>
      <c r="E3234" s="13" t="s">
        <v>5719</v>
      </c>
      <c r="F3234" s="43">
        <v>10.74</v>
      </c>
    </row>
    <row r="3235" spans="2:6" x14ac:dyDescent="0.25">
      <c r="B3235" s="13">
        <v>20147</v>
      </c>
      <c r="C3235" s="15" t="s">
        <v>141</v>
      </c>
      <c r="D3235" s="13" t="s">
        <v>134</v>
      </c>
      <c r="E3235" s="13" t="s">
        <v>5720</v>
      </c>
      <c r="F3235" s="43">
        <v>3.17</v>
      </c>
    </row>
    <row r="3236" spans="2:6" x14ac:dyDescent="0.25">
      <c r="B3236" s="13">
        <v>20148</v>
      </c>
      <c r="C3236" s="15" t="s">
        <v>141</v>
      </c>
      <c r="D3236" s="13" t="s">
        <v>134</v>
      </c>
      <c r="E3236" s="13" t="s">
        <v>5721</v>
      </c>
      <c r="F3236" s="43">
        <v>3.63</v>
      </c>
    </row>
    <row r="3237" spans="2:6" x14ac:dyDescent="0.25">
      <c r="B3237" s="13">
        <v>20150</v>
      </c>
      <c r="C3237" s="15" t="s">
        <v>141</v>
      </c>
      <c r="D3237" s="13" t="s">
        <v>134</v>
      </c>
      <c r="E3237" s="13" t="s">
        <v>5722</v>
      </c>
      <c r="F3237" s="43">
        <v>5.3</v>
      </c>
    </row>
    <row r="3238" spans="2:6" x14ac:dyDescent="0.25">
      <c r="B3238" s="13">
        <v>20151</v>
      </c>
      <c r="C3238" s="15" t="s">
        <v>141</v>
      </c>
      <c r="D3238" s="13" t="s">
        <v>134</v>
      </c>
      <c r="E3238" s="13" t="s">
        <v>5723</v>
      </c>
      <c r="F3238" s="43">
        <v>8.17</v>
      </c>
    </row>
    <row r="3239" spans="2:6" x14ac:dyDescent="0.25">
      <c r="B3239" s="13">
        <v>20152</v>
      </c>
      <c r="C3239" s="15" t="s">
        <v>141</v>
      </c>
      <c r="D3239" s="13" t="s">
        <v>134</v>
      </c>
      <c r="E3239" s="13" t="s">
        <v>5724</v>
      </c>
      <c r="F3239" s="43">
        <v>12.39</v>
      </c>
    </row>
    <row r="3240" spans="2:6" x14ac:dyDescent="0.25">
      <c r="B3240" s="13">
        <v>20153</v>
      </c>
      <c r="C3240" s="15" t="s">
        <v>141</v>
      </c>
      <c r="D3240" s="13" t="s">
        <v>134</v>
      </c>
      <c r="E3240" s="13" t="s">
        <v>5725</v>
      </c>
      <c r="F3240" s="43">
        <v>20.87</v>
      </c>
    </row>
    <row r="3241" spans="2:6" x14ac:dyDescent="0.25">
      <c r="B3241" s="13">
        <v>20154</v>
      </c>
      <c r="C3241" s="15" t="s">
        <v>141</v>
      </c>
      <c r="D3241" s="13" t="s">
        <v>134</v>
      </c>
      <c r="E3241" s="13" t="s">
        <v>5726</v>
      </c>
      <c r="F3241" s="43">
        <v>44.48</v>
      </c>
    </row>
    <row r="3242" spans="2:6" x14ac:dyDescent="0.25">
      <c r="B3242" s="13">
        <v>20155</v>
      </c>
      <c r="C3242" s="15" t="s">
        <v>141</v>
      </c>
      <c r="D3242" s="13" t="s">
        <v>134</v>
      </c>
      <c r="E3242" s="13" t="s">
        <v>5727</v>
      </c>
      <c r="F3242" s="43">
        <v>16.62</v>
      </c>
    </row>
    <row r="3243" spans="2:6" x14ac:dyDescent="0.25">
      <c r="B3243" s="13">
        <v>20156</v>
      </c>
      <c r="C3243" s="15" t="s">
        <v>141</v>
      </c>
      <c r="D3243" s="13" t="s">
        <v>134</v>
      </c>
      <c r="E3243" s="13" t="s">
        <v>5728</v>
      </c>
      <c r="F3243" s="43">
        <v>23.7</v>
      </c>
    </row>
    <row r="3244" spans="2:6" x14ac:dyDescent="0.25">
      <c r="B3244" s="13">
        <v>20162</v>
      </c>
      <c r="C3244" s="15" t="s">
        <v>141</v>
      </c>
      <c r="D3244" s="13" t="s">
        <v>134</v>
      </c>
      <c r="E3244" s="13" t="s">
        <v>5729</v>
      </c>
      <c r="F3244" s="43">
        <v>25.28</v>
      </c>
    </row>
    <row r="3245" spans="2:6" x14ac:dyDescent="0.25">
      <c r="B3245" s="13">
        <v>20163</v>
      </c>
      <c r="C3245" s="15" t="s">
        <v>141</v>
      </c>
      <c r="D3245" s="13" t="s">
        <v>134</v>
      </c>
      <c r="E3245" s="13" t="s">
        <v>5730</v>
      </c>
      <c r="F3245" s="43">
        <v>68.78</v>
      </c>
    </row>
    <row r="3246" spans="2:6" x14ac:dyDescent="0.25">
      <c r="B3246" s="13">
        <v>20164</v>
      </c>
      <c r="C3246" s="15" t="s">
        <v>141</v>
      </c>
      <c r="D3246" s="13" t="s">
        <v>134</v>
      </c>
      <c r="E3246" s="13" t="s">
        <v>5731</v>
      </c>
      <c r="F3246" s="43">
        <v>86.65</v>
      </c>
    </row>
    <row r="3247" spans="2:6" x14ac:dyDescent="0.25">
      <c r="B3247" s="13">
        <v>20165</v>
      </c>
      <c r="C3247" s="15" t="s">
        <v>141</v>
      </c>
      <c r="D3247" s="13" t="s">
        <v>134</v>
      </c>
      <c r="E3247" s="13" t="s">
        <v>5732</v>
      </c>
      <c r="F3247" s="43">
        <v>48.13</v>
      </c>
    </row>
    <row r="3248" spans="2:6" x14ac:dyDescent="0.25">
      <c r="B3248" s="13">
        <v>20166</v>
      </c>
      <c r="C3248" s="15" t="s">
        <v>141</v>
      </c>
      <c r="D3248" s="13" t="s">
        <v>134</v>
      </c>
      <c r="E3248" s="13" t="s">
        <v>5733</v>
      </c>
      <c r="F3248" s="43">
        <v>58.36</v>
      </c>
    </row>
    <row r="3249" spans="2:6" x14ac:dyDescent="0.25">
      <c r="B3249" s="13">
        <v>20167</v>
      </c>
      <c r="C3249" s="15" t="s">
        <v>141</v>
      </c>
      <c r="D3249" s="13" t="s">
        <v>134</v>
      </c>
      <c r="E3249" s="13" t="s">
        <v>5734</v>
      </c>
      <c r="F3249" s="43">
        <v>74.260000000000005</v>
      </c>
    </row>
    <row r="3250" spans="2:6" x14ac:dyDescent="0.25">
      <c r="B3250" s="13">
        <v>20213</v>
      </c>
      <c r="C3250" s="15" t="s">
        <v>141</v>
      </c>
      <c r="D3250" s="13" t="s">
        <v>134</v>
      </c>
      <c r="E3250" s="13" t="s">
        <v>5735</v>
      </c>
      <c r="F3250" s="43">
        <v>456.24</v>
      </c>
    </row>
    <row r="3251" spans="2:6" x14ac:dyDescent="0.25">
      <c r="B3251" s="13">
        <v>20214</v>
      </c>
      <c r="C3251" s="15" t="s">
        <v>141</v>
      </c>
      <c r="D3251" s="13" t="s">
        <v>134</v>
      </c>
      <c r="E3251" s="13" t="s">
        <v>5736</v>
      </c>
      <c r="F3251" s="43">
        <v>524.66999999999996</v>
      </c>
    </row>
    <row r="3252" spans="2:6" x14ac:dyDescent="0.25">
      <c r="B3252" s="13">
        <v>20215</v>
      </c>
      <c r="C3252" s="15" t="s">
        <v>141</v>
      </c>
      <c r="D3252" s="13" t="s">
        <v>134</v>
      </c>
      <c r="E3252" s="13" t="s">
        <v>5737</v>
      </c>
      <c r="F3252" s="43">
        <v>524.66999999999996</v>
      </c>
    </row>
    <row r="3253" spans="2:6" x14ac:dyDescent="0.25">
      <c r="B3253" s="13">
        <v>20216</v>
      </c>
      <c r="C3253" s="15" t="s">
        <v>141</v>
      </c>
      <c r="D3253" s="13" t="s">
        <v>134</v>
      </c>
      <c r="E3253" s="13" t="s">
        <v>5738</v>
      </c>
      <c r="F3253" s="43">
        <v>524.66999999999996</v>
      </c>
    </row>
    <row r="3254" spans="2:6" x14ac:dyDescent="0.25">
      <c r="B3254" s="13">
        <v>20786</v>
      </c>
      <c r="C3254" s="15" t="s">
        <v>141</v>
      </c>
      <c r="D3254" s="13" t="s">
        <v>134</v>
      </c>
      <c r="E3254" s="13" t="s">
        <v>5739</v>
      </c>
      <c r="F3254" s="43">
        <v>36.81</v>
      </c>
    </row>
    <row r="3255" spans="2:6" x14ac:dyDescent="0.25">
      <c r="B3255" s="13">
        <v>21444</v>
      </c>
      <c r="C3255" s="15" t="s">
        <v>141</v>
      </c>
      <c r="D3255" s="13" t="s">
        <v>134</v>
      </c>
      <c r="E3255" s="13" t="s">
        <v>5740</v>
      </c>
      <c r="F3255" s="43">
        <v>92.74</v>
      </c>
    </row>
    <row r="3256" spans="2:6" x14ac:dyDescent="0.25">
      <c r="B3256" s="13">
        <v>21445</v>
      </c>
      <c r="C3256" s="15" t="s">
        <v>141</v>
      </c>
      <c r="D3256" s="13" t="s">
        <v>134</v>
      </c>
      <c r="E3256" s="13" t="s">
        <v>5741</v>
      </c>
      <c r="F3256" s="43">
        <v>130.33000000000001</v>
      </c>
    </row>
    <row r="3257" spans="2:6" x14ac:dyDescent="0.25">
      <c r="B3257" s="13">
        <v>21948</v>
      </c>
      <c r="C3257" s="15" t="s">
        <v>141</v>
      </c>
      <c r="D3257" s="13" t="s">
        <v>134</v>
      </c>
      <c r="E3257" s="13" t="s">
        <v>5742</v>
      </c>
      <c r="F3257" s="43">
        <v>0.31</v>
      </c>
    </row>
    <row r="3258" spans="2:6" x14ac:dyDescent="0.25">
      <c r="B3258" s="13">
        <v>21949</v>
      </c>
      <c r="C3258" s="15" t="s">
        <v>141</v>
      </c>
      <c r="D3258" s="13" t="s">
        <v>134</v>
      </c>
      <c r="E3258" s="13" t="s">
        <v>5743</v>
      </c>
      <c r="F3258" s="43">
        <v>0.31</v>
      </c>
    </row>
    <row r="3259" spans="2:6" x14ac:dyDescent="0.25">
      <c r="B3259" s="13">
        <v>22061</v>
      </c>
      <c r="C3259" s="15" t="s">
        <v>141</v>
      </c>
      <c r="D3259" s="13" t="s">
        <v>134</v>
      </c>
      <c r="E3259" s="13" t="s">
        <v>5744</v>
      </c>
      <c r="F3259" s="43">
        <v>49.09</v>
      </c>
    </row>
    <row r="3260" spans="2:6" x14ac:dyDescent="0.25">
      <c r="B3260" s="13">
        <v>22062</v>
      </c>
      <c r="C3260" s="15" t="s">
        <v>141</v>
      </c>
      <c r="D3260" s="13" t="s">
        <v>134</v>
      </c>
      <c r="E3260" s="13" t="s">
        <v>5745</v>
      </c>
      <c r="F3260" s="43">
        <v>51.4</v>
      </c>
    </row>
    <row r="3261" spans="2:6" x14ac:dyDescent="0.25">
      <c r="B3261" s="13">
        <v>22065</v>
      </c>
      <c r="C3261" s="15" t="s">
        <v>141</v>
      </c>
      <c r="D3261" s="13" t="s">
        <v>134</v>
      </c>
      <c r="E3261" s="13" t="s">
        <v>5746</v>
      </c>
      <c r="F3261" s="43">
        <v>575</v>
      </c>
    </row>
    <row r="3262" spans="2:6" x14ac:dyDescent="0.25">
      <c r="B3262" s="13">
        <v>22066</v>
      </c>
      <c r="C3262" s="15" t="s">
        <v>141</v>
      </c>
      <c r="D3262" s="13" t="s">
        <v>134</v>
      </c>
      <c r="E3262" s="13" t="s">
        <v>5747</v>
      </c>
      <c r="F3262" s="43">
        <v>644.79</v>
      </c>
    </row>
    <row r="3263" spans="2:6" x14ac:dyDescent="0.25">
      <c r="B3263" s="13">
        <v>22085</v>
      </c>
      <c r="C3263" s="15" t="s">
        <v>141</v>
      </c>
      <c r="D3263" s="13" t="s">
        <v>134</v>
      </c>
      <c r="E3263" s="13" t="s">
        <v>5748</v>
      </c>
      <c r="F3263" s="43">
        <v>69.33</v>
      </c>
    </row>
    <row r="3264" spans="2:6" x14ac:dyDescent="0.25">
      <c r="B3264" s="13">
        <v>22086</v>
      </c>
      <c r="C3264" s="15" t="s">
        <v>141</v>
      </c>
      <c r="D3264" s="13" t="s">
        <v>134</v>
      </c>
      <c r="E3264" s="13" t="s">
        <v>5749</v>
      </c>
      <c r="F3264" s="43">
        <v>72.41</v>
      </c>
    </row>
    <row r="3265" spans="2:6" x14ac:dyDescent="0.25">
      <c r="B3265" s="13">
        <v>22242</v>
      </c>
      <c r="C3265" s="15" t="s">
        <v>141</v>
      </c>
      <c r="D3265" s="13" t="s">
        <v>134</v>
      </c>
      <c r="E3265" s="13" t="s">
        <v>5750</v>
      </c>
      <c r="F3265" s="43">
        <v>0</v>
      </c>
    </row>
    <row r="3266" spans="2:6" x14ac:dyDescent="0.25">
      <c r="B3266" s="13">
        <v>22246</v>
      </c>
      <c r="C3266" s="15" t="s">
        <v>141</v>
      </c>
      <c r="D3266" s="13" t="s">
        <v>134</v>
      </c>
      <c r="E3266" s="13" t="s">
        <v>5751</v>
      </c>
      <c r="F3266" s="43">
        <v>833.32</v>
      </c>
    </row>
    <row r="3267" spans="2:6" x14ac:dyDescent="0.25">
      <c r="B3267" s="13">
        <v>22270</v>
      </c>
      <c r="C3267" s="15" t="s">
        <v>141</v>
      </c>
      <c r="D3267" s="13" t="s">
        <v>134</v>
      </c>
      <c r="E3267" s="13" t="s">
        <v>5752</v>
      </c>
      <c r="F3267" s="43">
        <v>451.98</v>
      </c>
    </row>
    <row r="3268" spans="2:6" x14ac:dyDescent="0.25">
      <c r="B3268" s="13">
        <v>22275</v>
      </c>
      <c r="C3268" s="15" t="s">
        <v>141</v>
      </c>
      <c r="D3268" s="13" t="s">
        <v>134</v>
      </c>
      <c r="E3268" s="13" t="s">
        <v>5753</v>
      </c>
      <c r="F3268" s="43">
        <v>1.79</v>
      </c>
    </row>
    <row r="3269" spans="2:6" x14ac:dyDescent="0.25">
      <c r="B3269" s="13">
        <v>22276</v>
      </c>
      <c r="C3269" s="15" t="s">
        <v>141</v>
      </c>
      <c r="D3269" s="13" t="s">
        <v>134</v>
      </c>
      <c r="E3269" s="13" t="s">
        <v>5754</v>
      </c>
      <c r="F3269" s="43">
        <v>2.27</v>
      </c>
    </row>
    <row r="3270" spans="2:6" x14ac:dyDescent="0.25">
      <c r="B3270" s="13">
        <v>22277</v>
      </c>
      <c r="C3270" s="15" t="s">
        <v>141</v>
      </c>
      <c r="D3270" s="13" t="s">
        <v>134</v>
      </c>
      <c r="E3270" s="13" t="s">
        <v>5755</v>
      </c>
      <c r="F3270" s="43">
        <v>4.46</v>
      </c>
    </row>
    <row r="3271" spans="2:6" x14ac:dyDescent="0.25">
      <c r="B3271" s="13">
        <v>22278</v>
      </c>
      <c r="C3271" s="15" t="s">
        <v>141</v>
      </c>
      <c r="D3271" s="13" t="s">
        <v>134</v>
      </c>
      <c r="E3271" s="13" t="s">
        <v>5756</v>
      </c>
      <c r="F3271" s="43">
        <v>6.39</v>
      </c>
    </row>
    <row r="3272" spans="2:6" x14ac:dyDescent="0.25">
      <c r="B3272" s="13">
        <v>22279</v>
      </c>
      <c r="C3272" s="15" t="s">
        <v>141</v>
      </c>
      <c r="D3272" s="13" t="s">
        <v>134</v>
      </c>
      <c r="E3272" s="13" t="s">
        <v>5757</v>
      </c>
      <c r="F3272" s="43">
        <v>8.65</v>
      </c>
    </row>
    <row r="3273" spans="2:6" x14ac:dyDescent="0.25">
      <c r="B3273" s="13">
        <v>22280</v>
      </c>
      <c r="C3273" s="15" t="s">
        <v>141</v>
      </c>
      <c r="D3273" s="13" t="s">
        <v>134</v>
      </c>
      <c r="E3273" s="13" t="s">
        <v>5758</v>
      </c>
      <c r="F3273" s="43">
        <v>14.29</v>
      </c>
    </row>
    <row r="3274" spans="2:6" x14ac:dyDescent="0.25">
      <c r="B3274" s="13">
        <v>22281</v>
      </c>
      <c r="C3274" s="15" t="s">
        <v>141</v>
      </c>
      <c r="D3274" s="13" t="s">
        <v>134</v>
      </c>
      <c r="E3274" s="13" t="s">
        <v>5759</v>
      </c>
      <c r="F3274" s="43">
        <v>22.03</v>
      </c>
    </row>
    <row r="3275" spans="2:6" x14ac:dyDescent="0.25">
      <c r="B3275" s="13">
        <v>22282</v>
      </c>
      <c r="C3275" s="15" t="s">
        <v>141</v>
      </c>
      <c r="D3275" s="13" t="s">
        <v>134</v>
      </c>
      <c r="E3275" s="13" t="s">
        <v>5760</v>
      </c>
      <c r="F3275" s="43">
        <v>34.590000000000003</v>
      </c>
    </row>
    <row r="3276" spans="2:6" x14ac:dyDescent="0.25">
      <c r="B3276" s="13">
        <v>22283</v>
      </c>
      <c r="C3276" s="15" t="s">
        <v>141</v>
      </c>
      <c r="D3276" s="13" t="s">
        <v>134</v>
      </c>
      <c r="E3276" s="13" t="s">
        <v>5761</v>
      </c>
      <c r="F3276" s="43">
        <v>75.540000000000006</v>
      </c>
    </row>
    <row r="3277" spans="2:6" x14ac:dyDescent="0.25">
      <c r="B3277" s="13">
        <v>22284</v>
      </c>
      <c r="C3277" s="15" t="s">
        <v>141</v>
      </c>
      <c r="D3277" s="13" t="s">
        <v>134</v>
      </c>
      <c r="E3277" s="13" t="s">
        <v>5762</v>
      </c>
      <c r="F3277" s="43">
        <v>0</v>
      </c>
    </row>
    <row r="3278" spans="2:6" x14ac:dyDescent="0.25">
      <c r="B3278" s="13">
        <v>22285</v>
      </c>
      <c r="C3278" s="15" t="s">
        <v>141</v>
      </c>
      <c r="D3278" s="13" t="s">
        <v>134</v>
      </c>
      <c r="E3278" s="13" t="s">
        <v>5763</v>
      </c>
      <c r="F3278" s="43">
        <v>0</v>
      </c>
    </row>
    <row r="3279" spans="2:6" x14ac:dyDescent="0.25">
      <c r="B3279" s="13">
        <v>22286</v>
      </c>
      <c r="C3279" s="15" t="s">
        <v>141</v>
      </c>
      <c r="D3279" s="13" t="s">
        <v>134</v>
      </c>
      <c r="E3279" s="13" t="s">
        <v>5764</v>
      </c>
      <c r="F3279" s="43">
        <v>0</v>
      </c>
    </row>
    <row r="3280" spans="2:6" x14ac:dyDescent="0.25">
      <c r="B3280" s="13">
        <v>22287</v>
      </c>
      <c r="C3280" s="15" t="s">
        <v>141</v>
      </c>
      <c r="D3280" s="13" t="s">
        <v>134</v>
      </c>
      <c r="E3280" s="13" t="s">
        <v>5765</v>
      </c>
      <c r="F3280" s="43">
        <v>0</v>
      </c>
    </row>
    <row r="3281" spans="2:6" x14ac:dyDescent="0.25">
      <c r="B3281" s="13">
        <v>22288</v>
      </c>
      <c r="C3281" s="15" t="s">
        <v>141</v>
      </c>
      <c r="D3281" s="13" t="s">
        <v>134</v>
      </c>
      <c r="E3281" s="13" t="s">
        <v>5766</v>
      </c>
      <c r="F3281" s="43">
        <v>0</v>
      </c>
    </row>
    <row r="3282" spans="2:6" x14ac:dyDescent="0.25">
      <c r="B3282" s="13">
        <v>22289</v>
      </c>
      <c r="C3282" s="15" t="s">
        <v>141</v>
      </c>
      <c r="D3282" s="13" t="s">
        <v>134</v>
      </c>
      <c r="E3282" s="13" t="s">
        <v>5767</v>
      </c>
      <c r="F3282" s="43">
        <v>3.56</v>
      </c>
    </row>
    <row r="3283" spans="2:6" x14ac:dyDescent="0.25">
      <c r="B3283" s="13">
        <v>22291</v>
      </c>
      <c r="C3283" s="15" t="s">
        <v>141</v>
      </c>
      <c r="D3283" s="13" t="s">
        <v>134</v>
      </c>
      <c r="E3283" s="13" t="s">
        <v>5768</v>
      </c>
      <c r="F3283" s="43">
        <v>35.22</v>
      </c>
    </row>
    <row r="3284" spans="2:6" x14ac:dyDescent="0.25">
      <c r="B3284" s="13">
        <v>22292</v>
      </c>
      <c r="C3284" s="15" t="s">
        <v>141</v>
      </c>
      <c r="D3284" s="13" t="s">
        <v>134</v>
      </c>
      <c r="E3284" s="13" t="s">
        <v>5769</v>
      </c>
      <c r="F3284" s="43">
        <v>102.16</v>
      </c>
    </row>
    <row r="3285" spans="2:6" x14ac:dyDescent="0.25">
      <c r="B3285" s="13">
        <v>22565</v>
      </c>
      <c r="C3285" s="15" t="s">
        <v>141</v>
      </c>
      <c r="D3285" s="13" t="s">
        <v>134</v>
      </c>
      <c r="E3285" s="13" t="s">
        <v>5770</v>
      </c>
      <c r="F3285" s="43">
        <v>33.39</v>
      </c>
    </row>
    <row r="3286" spans="2:6" x14ac:dyDescent="0.25">
      <c r="B3286" s="13">
        <v>22566</v>
      </c>
      <c r="C3286" s="15" t="s">
        <v>141</v>
      </c>
      <c r="D3286" s="13" t="s">
        <v>134</v>
      </c>
      <c r="E3286" s="13" t="s">
        <v>5771</v>
      </c>
      <c r="F3286" s="43">
        <v>40.99</v>
      </c>
    </row>
    <row r="3287" spans="2:6" x14ac:dyDescent="0.25">
      <c r="B3287" s="13">
        <v>22567</v>
      </c>
      <c r="C3287" s="15" t="s">
        <v>141</v>
      </c>
      <c r="D3287" s="13" t="s">
        <v>134</v>
      </c>
      <c r="E3287" s="13" t="s">
        <v>5772</v>
      </c>
      <c r="F3287" s="43">
        <v>47.98</v>
      </c>
    </row>
    <row r="3288" spans="2:6" x14ac:dyDescent="0.25">
      <c r="B3288" s="13">
        <v>22568</v>
      </c>
      <c r="C3288" s="15" t="s">
        <v>141</v>
      </c>
      <c r="D3288" s="13" t="s">
        <v>134</v>
      </c>
      <c r="E3288" s="13" t="s">
        <v>5773</v>
      </c>
      <c r="F3288" s="43">
        <v>62.15</v>
      </c>
    </row>
    <row r="3289" spans="2:6" x14ac:dyDescent="0.25">
      <c r="B3289" s="13">
        <v>22569</v>
      </c>
      <c r="C3289" s="15" t="s">
        <v>141</v>
      </c>
      <c r="D3289" s="13" t="s">
        <v>134</v>
      </c>
      <c r="E3289" s="13" t="s">
        <v>5774</v>
      </c>
      <c r="F3289" s="43">
        <v>81.78</v>
      </c>
    </row>
    <row r="3290" spans="2:6" x14ac:dyDescent="0.25">
      <c r="B3290" s="13">
        <v>22572</v>
      </c>
      <c r="C3290" s="15" t="s">
        <v>141</v>
      </c>
      <c r="D3290" s="13" t="s">
        <v>134</v>
      </c>
      <c r="E3290" s="13" t="s">
        <v>5775</v>
      </c>
      <c r="F3290" s="43">
        <v>120.42</v>
      </c>
    </row>
    <row r="3291" spans="2:6" x14ac:dyDescent="0.25">
      <c r="B3291" s="13">
        <v>22581</v>
      </c>
      <c r="C3291" s="15" t="s">
        <v>141</v>
      </c>
      <c r="D3291" s="13" t="s">
        <v>134</v>
      </c>
      <c r="E3291" s="13" t="s">
        <v>5776</v>
      </c>
      <c r="F3291" s="43">
        <v>134.91</v>
      </c>
    </row>
    <row r="3292" spans="2:6" x14ac:dyDescent="0.25">
      <c r="B3292" s="13">
        <v>22582</v>
      </c>
      <c r="C3292" s="15" t="s">
        <v>141</v>
      </c>
      <c r="D3292" s="13" t="s">
        <v>134</v>
      </c>
      <c r="E3292" s="13" t="s">
        <v>5777</v>
      </c>
      <c r="F3292" s="43">
        <v>195.49</v>
      </c>
    </row>
    <row r="3293" spans="2:6" x14ac:dyDescent="0.25">
      <c r="B3293" s="13">
        <v>22586</v>
      </c>
      <c r="C3293" s="15" t="s">
        <v>141</v>
      </c>
      <c r="D3293" s="13" t="s">
        <v>134</v>
      </c>
      <c r="E3293" s="13" t="s">
        <v>5778</v>
      </c>
      <c r="F3293" s="43">
        <v>15.9</v>
      </c>
    </row>
    <row r="3294" spans="2:6" x14ac:dyDescent="0.25">
      <c r="B3294" s="13">
        <v>22588</v>
      </c>
      <c r="C3294" s="15" t="s">
        <v>141</v>
      </c>
      <c r="D3294" s="13" t="s">
        <v>134</v>
      </c>
      <c r="E3294" s="13" t="s">
        <v>5779</v>
      </c>
      <c r="F3294" s="43">
        <v>62.32</v>
      </c>
    </row>
    <row r="3295" spans="2:6" x14ac:dyDescent="0.25">
      <c r="B3295" s="13">
        <v>22593</v>
      </c>
      <c r="C3295" s="15" t="s">
        <v>141</v>
      </c>
      <c r="D3295" s="13" t="s">
        <v>134</v>
      </c>
      <c r="E3295" s="13" t="s">
        <v>5780</v>
      </c>
      <c r="F3295" s="43">
        <v>49.75</v>
      </c>
    </row>
    <row r="3296" spans="2:6" x14ac:dyDescent="0.25">
      <c r="B3296" s="13">
        <v>22594</v>
      </c>
      <c r="C3296" s="15" t="s">
        <v>141</v>
      </c>
      <c r="D3296" s="13" t="s">
        <v>134</v>
      </c>
      <c r="E3296" s="13" t="s">
        <v>5781</v>
      </c>
      <c r="F3296" s="43">
        <v>73.42</v>
      </c>
    </row>
    <row r="3297" spans="2:6" x14ac:dyDescent="0.25">
      <c r="B3297" s="13">
        <v>22595</v>
      </c>
      <c r="C3297" s="15" t="s">
        <v>141</v>
      </c>
      <c r="D3297" s="13" t="s">
        <v>134</v>
      </c>
      <c r="E3297" s="13" t="s">
        <v>5782</v>
      </c>
      <c r="F3297" s="43">
        <v>120.74</v>
      </c>
    </row>
    <row r="3298" spans="2:6" x14ac:dyDescent="0.25">
      <c r="B3298" s="13">
        <v>22596</v>
      </c>
      <c r="C3298" s="15" t="s">
        <v>141</v>
      </c>
      <c r="D3298" s="13" t="s">
        <v>134</v>
      </c>
      <c r="E3298" s="13" t="s">
        <v>5783</v>
      </c>
      <c r="F3298" s="43">
        <v>36.700000000000003</v>
      </c>
    </row>
    <row r="3299" spans="2:6" x14ac:dyDescent="0.25">
      <c r="B3299" s="13">
        <v>22597</v>
      </c>
      <c r="C3299" s="15" t="s">
        <v>141</v>
      </c>
      <c r="D3299" s="13" t="s">
        <v>134</v>
      </c>
      <c r="E3299" s="13" t="s">
        <v>5784</v>
      </c>
      <c r="F3299" s="43">
        <v>61.99</v>
      </c>
    </row>
    <row r="3300" spans="2:6" x14ac:dyDescent="0.25">
      <c r="B3300" s="13">
        <v>22598</v>
      </c>
      <c r="C3300" s="15" t="s">
        <v>141</v>
      </c>
      <c r="D3300" s="13" t="s">
        <v>134</v>
      </c>
      <c r="E3300" s="13" t="s">
        <v>5785</v>
      </c>
      <c r="F3300" s="43">
        <v>85.7</v>
      </c>
    </row>
    <row r="3301" spans="2:6" x14ac:dyDescent="0.25">
      <c r="B3301" s="13">
        <v>22602</v>
      </c>
      <c r="C3301" s="15" t="s">
        <v>141</v>
      </c>
      <c r="D3301" s="13" t="s">
        <v>134</v>
      </c>
      <c r="E3301" s="13" t="s">
        <v>5786</v>
      </c>
      <c r="F3301" s="43">
        <v>52.84</v>
      </c>
    </row>
    <row r="3302" spans="2:6" x14ac:dyDescent="0.25">
      <c r="B3302" s="13">
        <v>22603</v>
      </c>
      <c r="C3302" s="15" t="s">
        <v>141</v>
      </c>
      <c r="D3302" s="13" t="s">
        <v>134</v>
      </c>
      <c r="E3302" s="13" t="s">
        <v>5787</v>
      </c>
      <c r="F3302" s="43">
        <v>74.42</v>
      </c>
    </row>
    <row r="3303" spans="2:6" x14ac:dyDescent="0.25">
      <c r="B3303" s="13">
        <v>22604</v>
      </c>
      <c r="C3303" s="15" t="s">
        <v>141</v>
      </c>
      <c r="D3303" s="13" t="s">
        <v>134</v>
      </c>
      <c r="E3303" s="13" t="s">
        <v>5788</v>
      </c>
      <c r="F3303" s="43">
        <v>116.95</v>
      </c>
    </row>
    <row r="3304" spans="2:6" x14ac:dyDescent="0.25">
      <c r="B3304" s="13">
        <v>22773</v>
      </c>
      <c r="C3304" s="15" t="s">
        <v>141</v>
      </c>
      <c r="D3304" s="13" t="s">
        <v>134</v>
      </c>
      <c r="E3304" s="13" t="s">
        <v>5789</v>
      </c>
      <c r="F3304" s="43">
        <v>19.29</v>
      </c>
    </row>
    <row r="3305" spans="2:6" x14ac:dyDescent="0.25">
      <c r="B3305" s="13">
        <v>22774</v>
      </c>
      <c r="C3305" s="15" t="s">
        <v>141</v>
      </c>
      <c r="D3305" s="13" t="s">
        <v>134</v>
      </c>
      <c r="E3305" s="13" t="s">
        <v>5790</v>
      </c>
      <c r="F3305" s="43">
        <v>21.09</v>
      </c>
    </row>
    <row r="3306" spans="2:6" x14ac:dyDescent="0.25">
      <c r="B3306" s="13">
        <v>22775</v>
      </c>
      <c r="C3306" s="15" t="s">
        <v>141</v>
      </c>
      <c r="D3306" s="13" t="s">
        <v>134</v>
      </c>
      <c r="E3306" s="13" t="s">
        <v>5791</v>
      </c>
      <c r="F3306" s="43">
        <v>27.95</v>
      </c>
    </row>
    <row r="3307" spans="2:6" x14ac:dyDescent="0.25">
      <c r="B3307" s="13">
        <v>22776</v>
      </c>
      <c r="C3307" s="15" t="s">
        <v>141</v>
      </c>
      <c r="D3307" s="13" t="s">
        <v>134</v>
      </c>
      <c r="E3307" s="13" t="s">
        <v>5792</v>
      </c>
      <c r="F3307" s="43">
        <v>31.39</v>
      </c>
    </row>
    <row r="3308" spans="2:6" x14ac:dyDescent="0.25">
      <c r="B3308" s="13">
        <v>22777</v>
      </c>
      <c r="C3308" s="15" t="s">
        <v>141</v>
      </c>
      <c r="D3308" s="13" t="s">
        <v>134</v>
      </c>
      <c r="E3308" s="13" t="s">
        <v>5793</v>
      </c>
      <c r="F3308" s="43">
        <v>142.09</v>
      </c>
    </row>
    <row r="3309" spans="2:6" x14ac:dyDescent="0.25">
      <c r="B3309" s="13">
        <v>22778</v>
      </c>
      <c r="C3309" s="15" t="s">
        <v>141</v>
      </c>
      <c r="D3309" s="13" t="s">
        <v>134</v>
      </c>
      <c r="E3309" s="13" t="s">
        <v>5794</v>
      </c>
      <c r="F3309" s="43">
        <v>208.25</v>
      </c>
    </row>
    <row r="3310" spans="2:6" x14ac:dyDescent="0.25">
      <c r="B3310" s="13">
        <v>22791</v>
      </c>
      <c r="C3310" s="15" t="s">
        <v>141</v>
      </c>
      <c r="D3310" s="13" t="s">
        <v>134</v>
      </c>
      <c r="E3310" s="13" t="s">
        <v>5795</v>
      </c>
      <c r="F3310" s="43">
        <v>20.329999999999998</v>
      </c>
    </row>
    <row r="3311" spans="2:6" x14ac:dyDescent="0.25">
      <c r="B3311" s="13">
        <v>22792</v>
      </c>
      <c r="C3311" s="15" t="s">
        <v>141</v>
      </c>
      <c r="D3311" s="13" t="s">
        <v>134</v>
      </c>
      <c r="E3311" s="13" t="s">
        <v>5796</v>
      </c>
      <c r="F3311" s="43">
        <v>22.07</v>
      </c>
    </row>
    <row r="3312" spans="2:6" x14ac:dyDescent="0.25">
      <c r="B3312" s="13">
        <v>22793</v>
      </c>
      <c r="C3312" s="15" t="s">
        <v>141</v>
      </c>
      <c r="D3312" s="13" t="s">
        <v>134</v>
      </c>
      <c r="E3312" s="13" t="s">
        <v>5797</v>
      </c>
      <c r="F3312" s="43">
        <v>28.31</v>
      </c>
    </row>
    <row r="3313" spans="2:6" x14ac:dyDescent="0.25">
      <c r="B3313" s="13">
        <v>22794</v>
      </c>
      <c r="C3313" s="15" t="s">
        <v>141</v>
      </c>
      <c r="D3313" s="13" t="s">
        <v>134</v>
      </c>
      <c r="E3313" s="13" t="s">
        <v>5798</v>
      </c>
      <c r="F3313" s="43">
        <v>35.94</v>
      </c>
    </row>
    <row r="3314" spans="2:6" x14ac:dyDescent="0.25">
      <c r="B3314" s="13">
        <v>22795</v>
      </c>
      <c r="C3314" s="15" t="s">
        <v>141</v>
      </c>
      <c r="D3314" s="13" t="s">
        <v>134</v>
      </c>
      <c r="E3314" s="13" t="s">
        <v>5799</v>
      </c>
      <c r="F3314" s="43">
        <v>186.6</v>
      </c>
    </row>
    <row r="3315" spans="2:6" x14ac:dyDescent="0.25">
      <c r="B3315" s="13">
        <v>22796</v>
      </c>
      <c r="C3315" s="15" t="s">
        <v>141</v>
      </c>
      <c r="D3315" s="13" t="s">
        <v>134</v>
      </c>
      <c r="E3315" s="13" t="s">
        <v>5800</v>
      </c>
      <c r="F3315" s="43">
        <v>233.55</v>
      </c>
    </row>
    <row r="3316" spans="2:6" x14ac:dyDescent="0.25">
      <c r="B3316" s="13">
        <v>22797</v>
      </c>
      <c r="C3316" s="15" t="s">
        <v>141</v>
      </c>
      <c r="D3316" s="13" t="s">
        <v>134</v>
      </c>
      <c r="E3316" s="13" t="s">
        <v>5801</v>
      </c>
      <c r="F3316" s="43">
        <v>482.28</v>
      </c>
    </row>
    <row r="3317" spans="2:6" x14ac:dyDescent="0.25">
      <c r="B3317" s="13">
        <v>22798</v>
      </c>
      <c r="C3317" s="15" t="s">
        <v>141</v>
      </c>
      <c r="D3317" s="13" t="s">
        <v>134</v>
      </c>
      <c r="E3317" s="13" t="s">
        <v>5802</v>
      </c>
      <c r="F3317" s="43">
        <v>509.07</v>
      </c>
    </row>
    <row r="3318" spans="2:6" x14ac:dyDescent="0.25">
      <c r="B3318" s="13">
        <v>22814</v>
      </c>
      <c r="C3318" s="15" t="s">
        <v>141</v>
      </c>
      <c r="D3318" s="13" t="s">
        <v>134</v>
      </c>
      <c r="E3318" s="13" t="s">
        <v>5803</v>
      </c>
      <c r="F3318" s="43">
        <v>77.55</v>
      </c>
    </row>
    <row r="3319" spans="2:6" x14ac:dyDescent="0.25">
      <c r="B3319" s="13">
        <v>22815</v>
      </c>
      <c r="C3319" s="15" t="s">
        <v>141</v>
      </c>
      <c r="D3319" s="13" t="s">
        <v>134</v>
      </c>
      <c r="E3319" s="13" t="s">
        <v>5804</v>
      </c>
      <c r="F3319" s="43">
        <v>77.55</v>
      </c>
    </row>
    <row r="3320" spans="2:6" x14ac:dyDescent="0.25">
      <c r="B3320" s="13">
        <v>22816</v>
      </c>
      <c r="C3320" s="15" t="s">
        <v>141</v>
      </c>
      <c r="D3320" s="13" t="s">
        <v>134</v>
      </c>
      <c r="E3320" s="13" t="s">
        <v>5805</v>
      </c>
      <c r="F3320" s="43">
        <v>95.39</v>
      </c>
    </row>
    <row r="3321" spans="2:6" x14ac:dyDescent="0.25">
      <c r="B3321" s="13">
        <v>22817</v>
      </c>
      <c r="C3321" s="15" t="s">
        <v>141</v>
      </c>
      <c r="D3321" s="13" t="s">
        <v>134</v>
      </c>
      <c r="E3321" s="13" t="s">
        <v>5806</v>
      </c>
      <c r="F3321" s="43">
        <v>135.47</v>
      </c>
    </row>
    <row r="3322" spans="2:6" x14ac:dyDescent="0.25">
      <c r="B3322" s="13">
        <v>22818</v>
      </c>
      <c r="C3322" s="15" t="s">
        <v>141</v>
      </c>
      <c r="D3322" s="13" t="s">
        <v>134</v>
      </c>
      <c r="E3322" s="13" t="s">
        <v>5807</v>
      </c>
      <c r="F3322" s="43">
        <v>167.36</v>
      </c>
    </row>
    <row r="3323" spans="2:6" x14ac:dyDescent="0.25">
      <c r="B3323" s="13">
        <v>22819</v>
      </c>
      <c r="C3323" s="15" t="s">
        <v>141</v>
      </c>
      <c r="D3323" s="13" t="s">
        <v>134</v>
      </c>
      <c r="E3323" s="13" t="s">
        <v>5808</v>
      </c>
      <c r="F3323" s="43">
        <v>213.58</v>
      </c>
    </row>
    <row r="3324" spans="2:6" x14ac:dyDescent="0.25">
      <c r="B3324" s="13">
        <v>22820</v>
      </c>
      <c r="C3324" s="15" t="s">
        <v>141</v>
      </c>
      <c r="D3324" s="13" t="s">
        <v>134</v>
      </c>
      <c r="E3324" s="13" t="s">
        <v>5809</v>
      </c>
      <c r="F3324" s="43">
        <v>284.16000000000003</v>
      </c>
    </row>
    <row r="3325" spans="2:6" x14ac:dyDescent="0.25">
      <c r="B3325" s="13">
        <v>22821</v>
      </c>
      <c r="C3325" s="15" t="s">
        <v>141</v>
      </c>
      <c r="D3325" s="13" t="s">
        <v>134</v>
      </c>
      <c r="E3325" s="13" t="s">
        <v>5810</v>
      </c>
      <c r="F3325" s="43">
        <v>744.83</v>
      </c>
    </row>
    <row r="3326" spans="2:6" x14ac:dyDescent="0.25">
      <c r="B3326" s="13">
        <v>22822</v>
      </c>
      <c r="C3326" s="15" t="s">
        <v>141</v>
      </c>
      <c r="D3326" s="13" t="s">
        <v>134</v>
      </c>
      <c r="E3326" s="13" t="s">
        <v>5811</v>
      </c>
      <c r="F3326" s="43">
        <v>893.4</v>
      </c>
    </row>
    <row r="3327" spans="2:6" x14ac:dyDescent="0.25">
      <c r="B3327" s="13">
        <v>22858</v>
      </c>
      <c r="C3327" s="15" t="s">
        <v>141</v>
      </c>
      <c r="D3327" s="13" t="s">
        <v>134</v>
      </c>
      <c r="E3327" s="13" t="s">
        <v>5812</v>
      </c>
      <c r="F3327" s="43">
        <v>121.84</v>
      </c>
    </row>
    <row r="3328" spans="2:6" x14ac:dyDescent="0.25">
      <c r="B3328" s="13">
        <v>22859</v>
      </c>
      <c r="C3328" s="15" t="s">
        <v>141</v>
      </c>
      <c r="D3328" s="13" t="s">
        <v>134</v>
      </c>
      <c r="E3328" s="13" t="s">
        <v>5813</v>
      </c>
      <c r="F3328" s="43">
        <v>170.17</v>
      </c>
    </row>
    <row r="3329" spans="2:6" x14ac:dyDescent="0.25">
      <c r="B3329" s="13">
        <v>22860</v>
      </c>
      <c r="C3329" s="15" t="s">
        <v>141</v>
      </c>
      <c r="D3329" s="13" t="s">
        <v>134</v>
      </c>
      <c r="E3329" s="13" t="s">
        <v>5814</v>
      </c>
      <c r="F3329" s="43">
        <v>246.9</v>
      </c>
    </row>
    <row r="3330" spans="2:6" x14ac:dyDescent="0.25">
      <c r="B3330" s="13">
        <v>22885</v>
      </c>
      <c r="C3330" s="15" t="s">
        <v>141</v>
      </c>
      <c r="D3330" s="13" t="s">
        <v>134</v>
      </c>
      <c r="E3330" s="13" t="s">
        <v>5815</v>
      </c>
      <c r="F3330" s="43">
        <v>58.02</v>
      </c>
    </row>
    <row r="3331" spans="2:6" x14ac:dyDescent="0.25">
      <c r="B3331" s="13">
        <v>22894</v>
      </c>
      <c r="C3331" s="15" t="s">
        <v>141</v>
      </c>
      <c r="D3331" s="13" t="s">
        <v>134</v>
      </c>
      <c r="E3331" s="13" t="s">
        <v>5816</v>
      </c>
      <c r="F3331" s="43">
        <v>26.13</v>
      </c>
    </row>
    <row r="3332" spans="2:6" x14ac:dyDescent="0.25">
      <c r="B3332" s="13">
        <v>22895</v>
      </c>
      <c r="C3332" s="15" t="s">
        <v>141</v>
      </c>
      <c r="D3332" s="13" t="s">
        <v>134</v>
      </c>
      <c r="E3332" s="13" t="s">
        <v>5817</v>
      </c>
      <c r="F3332" s="43">
        <v>38.32</v>
      </c>
    </row>
    <row r="3333" spans="2:6" x14ac:dyDescent="0.25">
      <c r="B3333" s="13">
        <v>22896</v>
      </c>
      <c r="C3333" s="15" t="s">
        <v>141</v>
      </c>
      <c r="D3333" s="13" t="s">
        <v>134</v>
      </c>
      <c r="E3333" s="13" t="s">
        <v>5818</v>
      </c>
      <c r="F3333" s="43">
        <v>58.93</v>
      </c>
    </row>
    <row r="3334" spans="2:6" x14ac:dyDescent="0.25">
      <c r="B3334" s="13">
        <v>22897</v>
      </c>
      <c r="C3334" s="15" t="s">
        <v>141</v>
      </c>
      <c r="D3334" s="13" t="s">
        <v>134</v>
      </c>
      <c r="E3334" s="13" t="s">
        <v>5819</v>
      </c>
      <c r="F3334" s="43">
        <v>94.52</v>
      </c>
    </row>
    <row r="3335" spans="2:6" x14ac:dyDescent="0.25">
      <c r="B3335" s="13">
        <v>22898</v>
      </c>
      <c r="C3335" s="15" t="s">
        <v>141</v>
      </c>
      <c r="D3335" s="13" t="s">
        <v>134</v>
      </c>
      <c r="E3335" s="13" t="s">
        <v>5820</v>
      </c>
      <c r="F3335" s="43">
        <v>126.72</v>
      </c>
    </row>
    <row r="3336" spans="2:6" x14ac:dyDescent="0.25">
      <c r="B3336" s="13">
        <v>22899</v>
      </c>
      <c r="C3336" s="15" t="s">
        <v>141</v>
      </c>
      <c r="D3336" s="13" t="s">
        <v>134</v>
      </c>
      <c r="E3336" s="13" t="s">
        <v>5821</v>
      </c>
      <c r="F3336" s="43">
        <v>157.77000000000001</v>
      </c>
    </row>
    <row r="3337" spans="2:6" x14ac:dyDescent="0.25">
      <c r="B3337" s="13">
        <v>22900</v>
      </c>
      <c r="C3337" s="15" t="s">
        <v>141</v>
      </c>
      <c r="D3337" s="13" t="s">
        <v>134</v>
      </c>
      <c r="E3337" s="13" t="s">
        <v>5822</v>
      </c>
      <c r="F3337" s="43">
        <v>184.47</v>
      </c>
    </row>
    <row r="3338" spans="2:6" x14ac:dyDescent="0.25">
      <c r="B3338" s="13">
        <v>22907</v>
      </c>
      <c r="C3338" s="15" t="s">
        <v>141</v>
      </c>
      <c r="D3338" s="13" t="s">
        <v>134</v>
      </c>
      <c r="E3338" s="13" t="s">
        <v>5823</v>
      </c>
      <c r="F3338" s="43">
        <v>38.32</v>
      </c>
    </row>
    <row r="3339" spans="2:6" x14ac:dyDescent="0.25">
      <c r="B3339" s="13">
        <v>22908</v>
      </c>
      <c r="C3339" s="15" t="s">
        <v>141</v>
      </c>
      <c r="D3339" s="13" t="s">
        <v>134</v>
      </c>
      <c r="E3339" s="13" t="s">
        <v>5824</v>
      </c>
      <c r="F3339" s="43">
        <v>58.93</v>
      </c>
    </row>
    <row r="3340" spans="2:6" x14ac:dyDescent="0.25">
      <c r="B3340" s="13">
        <v>22909</v>
      </c>
      <c r="C3340" s="15" t="s">
        <v>141</v>
      </c>
      <c r="D3340" s="13" t="s">
        <v>134</v>
      </c>
      <c r="E3340" s="13" t="s">
        <v>5825</v>
      </c>
      <c r="F3340" s="43">
        <v>70.010000000000005</v>
      </c>
    </row>
    <row r="3341" spans="2:6" x14ac:dyDescent="0.25">
      <c r="B3341" s="13">
        <v>22910</v>
      </c>
      <c r="C3341" s="15" t="s">
        <v>141</v>
      </c>
      <c r="D3341" s="13" t="s">
        <v>134</v>
      </c>
      <c r="E3341" s="13" t="s">
        <v>5826</v>
      </c>
      <c r="F3341" s="43">
        <v>94.52</v>
      </c>
    </row>
    <row r="3342" spans="2:6" x14ac:dyDescent="0.25">
      <c r="B3342" s="13">
        <v>22911</v>
      </c>
      <c r="C3342" s="15" t="s">
        <v>141</v>
      </c>
      <c r="D3342" s="13" t="s">
        <v>134</v>
      </c>
      <c r="E3342" s="13" t="s">
        <v>5827</v>
      </c>
      <c r="F3342" s="43">
        <v>112.28</v>
      </c>
    </row>
    <row r="3343" spans="2:6" x14ac:dyDescent="0.25">
      <c r="B3343" s="13">
        <v>22912</v>
      </c>
      <c r="C3343" s="15" t="s">
        <v>141</v>
      </c>
      <c r="D3343" s="13" t="s">
        <v>134</v>
      </c>
      <c r="E3343" s="13" t="s">
        <v>5828</v>
      </c>
      <c r="F3343" s="43">
        <v>112.28</v>
      </c>
    </row>
    <row r="3344" spans="2:6" x14ac:dyDescent="0.25">
      <c r="B3344" s="13">
        <v>22913</v>
      </c>
      <c r="C3344" s="15" t="s">
        <v>141</v>
      </c>
      <c r="D3344" s="13" t="s">
        <v>134</v>
      </c>
      <c r="E3344" s="13" t="s">
        <v>5829</v>
      </c>
      <c r="F3344" s="43">
        <v>126.72</v>
      </c>
    </row>
    <row r="3345" spans="2:6" x14ac:dyDescent="0.25">
      <c r="B3345" s="13">
        <v>22914</v>
      </c>
      <c r="C3345" s="15" t="s">
        <v>141</v>
      </c>
      <c r="D3345" s="13" t="s">
        <v>134</v>
      </c>
      <c r="E3345" s="13" t="s">
        <v>5830</v>
      </c>
      <c r="F3345" s="43">
        <v>187.42</v>
      </c>
    </row>
    <row r="3346" spans="2:6" x14ac:dyDescent="0.25">
      <c r="B3346" s="13">
        <v>22915</v>
      </c>
      <c r="C3346" s="15" t="s">
        <v>141</v>
      </c>
      <c r="D3346" s="13" t="s">
        <v>134</v>
      </c>
      <c r="E3346" s="13" t="s">
        <v>5831</v>
      </c>
      <c r="F3346" s="43">
        <v>196.84</v>
      </c>
    </row>
    <row r="3347" spans="2:6" x14ac:dyDescent="0.25">
      <c r="B3347" s="13">
        <v>22916</v>
      </c>
      <c r="C3347" s="15" t="s">
        <v>141</v>
      </c>
      <c r="D3347" s="13" t="s">
        <v>134</v>
      </c>
      <c r="E3347" s="13" t="s">
        <v>5832</v>
      </c>
      <c r="F3347" s="43">
        <v>169.37</v>
      </c>
    </row>
    <row r="3348" spans="2:6" x14ac:dyDescent="0.25">
      <c r="B3348" s="13">
        <v>23084</v>
      </c>
      <c r="C3348" s="15" t="s">
        <v>141</v>
      </c>
      <c r="D3348" s="13" t="s">
        <v>134</v>
      </c>
      <c r="E3348" s="13" t="s">
        <v>5833</v>
      </c>
      <c r="F3348" s="43">
        <v>554.34</v>
      </c>
    </row>
    <row r="3349" spans="2:6" x14ac:dyDescent="0.25">
      <c r="B3349" s="13">
        <v>23087</v>
      </c>
      <c r="C3349" s="15" t="s">
        <v>141</v>
      </c>
      <c r="D3349" s="13" t="s">
        <v>134</v>
      </c>
      <c r="E3349" s="13" t="s">
        <v>5834</v>
      </c>
      <c r="F3349" s="43">
        <v>2.62</v>
      </c>
    </row>
    <row r="3350" spans="2:6" x14ac:dyDescent="0.25">
      <c r="B3350" s="13">
        <v>23088</v>
      </c>
      <c r="C3350" s="15" t="s">
        <v>141</v>
      </c>
      <c r="D3350" s="13" t="s">
        <v>134</v>
      </c>
      <c r="E3350" s="13" t="s">
        <v>5835</v>
      </c>
      <c r="F3350" s="43">
        <v>3.12</v>
      </c>
    </row>
    <row r="3351" spans="2:6" x14ac:dyDescent="0.25">
      <c r="B3351" s="13">
        <v>23089</v>
      </c>
      <c r="C3351" s="15" t="s">
        <v>141</v>
      </c>
      <c r="D3351" s="13" t="s">
        <v>134</v>
      </c>
      <c r="E3351" s="13" t="s">
        <v>5836</v>
      </c>
      <c r="F3351" s="43">
        <v>3.85</v>
      </c>
    </row>
    <row r="3352" spans="2:6" x14ac:dyDescent="0.25">
      <c r="B3352" s="13">
        <v>23129</v>
      </c>
      <c r="C3352" s="15" t="s">
        <v>141</v>
      </c>
      <c r="D3352" s="13" t="s">
        <v>134</v>
      </c>
      <c r="E3352" s="13" t="s">
        <v>5837</v>
      </c>
      <c r="F3352" s="43">
        <v>9.26</v>
      </c>
    </row>
    <row r="3353" spans="2:6" x14ac:dyDescent="0.25">
      <c r="B3353" s="13">
        <v>23130</v>
      </c>
      <c r="C3353" s="15" t="s">
        <v>141</v>
      </c>
      <c r="D3353" s="13" t="s">
        <v>134</v>
      </c>
      <c r="E3353" s="13" t="s">
        <v>5838</v>
      </c>
      <c r="F3353" s="43">
        <v>12.11</v>
      </c>
    </row>
    <row r="3354" spans="2:6" x14ac:dyDescent="0.25">
      <c r="B3354" s="13">
        <v>24248</v>
      </c>
      <c r="C3354" s="15" t="s">
        <v>141</v>
      </c>
      <c r="D3354" s="13" t="s">
        <v>134</v>
      </c>
      <c r="E3354" s="13" t="s">
        <v>5839</v>
      </c>
      <c r="F3354" s="43">
        <v>1.61</v>
      </c>
    </row>
    <row r="3355" spans="2:6" x14ac:dyDescent="0.25">
      <c r="B3355" s="13">
        <v>24249</v>
      </c>
      <c r="C3355" s="15" t="s">
        <v>141</v>
      </c>
      <c r="D3355" s="13" t="s">
        <v>134</v>
      </c>
      <c r="E3355" s="13" t="s">
        <v>5840</v>
      </c>
      <c r="F3355" s="43">
        <v>1.8</v>
      </c>
    </row>
    <row r="3356" spans="2:6" x14ac:dyDescent="0.25">
      <c r="B3356" s="13">
        <v>24250</v>
      </c>
      <c r="C3356" s="15" t="s">
        <v>141</v>
      </c>
      <c r="D3356" s="13" t="s">
        <v>134</v>
      </c>
      <c r="E3356" s="13" t="s">
        <v>5841</v>
      </c>
      <c r="F3356" s="43">
        <v>2.5</v>
      </c>
    </row>
    <row r="3357" spans="2:6" x14ac:dyDescent="0.25">
      <c r="B3357" s="13">
        <v>24251</v>
      </c>
      <c r="C3357" s="15" t="s">
        <v>141</v>
      </c>
      <c r="D3357" s="13" t="s">
        <v>134</v>
      </c>
      <c r="E3357" s="13" t="s">
        <v>5842</v>
      </c>
      <c r="F3357" s="43">
        <v>3.5</v>
      </c>
    </row>
    <row r="3358" spans="2:6" x14ac:dyDescent="0.25">
      <c r="B3358" s="13">
        <v>24252</v>
      </c>
      <c r="C3358" s="15" t="s">
        <v>141</v>
      </c>
      <c r="D3358" s="13" t="s">
        <v>134</v>
      </c>
      <c r="E3358" s="13" t="s">
        <v>5843</v>
      </c>
      <c r="F3358" s="43">
        <v>5.0199999999999996</v>
      </c>
    </row>
    <row r="3359" spans="2:6" x14ac:dyDescent="0.25">
      <c r="B3359" s="13">
        <v>24253</v>
      </c>
      <c r="C3359" s="15" t="s">
        <v>141</v>
      </c>
      <c r="D3359" s="13" t="s">
        <v>134</v>
      </c>
      <c r="E3359" s="13" t="s">
        <v>5844</v>
      </c>
      <c r="F3359" s="43">
        <v>0</v>
      </c>
    </row>
    <row r="3360" spans="2:6" x14ac:dyDescent="0.25">
      <c r="B3360" s="13">
        <v>24636</v>
      </c>
      <c r="C3360" s="15" t="s">
        <v>141</v>
      </c>
      <c r="D3360" s="13" t="s">
        <v>134</v>
      </c>
      <c r="E3360" s="13" t="s">
        <v>5845</v>
      </c>
      <c r="F3360" s="43">
        <v>4.9000000000000004</v>
      </c>
    </row>
    <row r="3361" spans="2:6" x14ac:dyDescent="0.25">
      <c r="B3361" s="13">
        <v>24637</v>
      </c>
      <c r="C3361" s="15" t="s">
        <v>141</v>
      </c>
      <c r="D3361" s="13" t="s">
        <v>134</v>
      </c>
      <c r="E3361" s="13" t="s">
        <v>5846</v>
      </c>
      <c r="F3361" s="43">
        <v>6.96</v>
      </c>
    </row>
    <row r="3362" spans="2:6" x14ac:dyDescent="0.25">
      <c r="B3362" s="13">
        <v>24640</v>
      </c>
      <c r="C3362" s="15" t="s">
        <v>141</v>
      </c>
      <c r="D3362" s="13" t="s">
        <v>134</v>
      </c>
      <c r="E3362" s="13" t="s">
        <v>5847</v>
      </c>
      <c r="F3362" s="43">
        <v>9.15</v>
      </c>
    </row>
    <row r="3363" spans="2:6" x14ac:dyDescent="0.25">
      <c r="B3363" s="13">
        <v>24641</v>
      </c>
      <c r="C3363" s="15" t="s">
        <v>141</v>
      </c>
      <c r="D3363" s="13" t="s">
        <v>134</v>
      </c>
      <c r="E3363" s="13" t="s">
        <v>5848</v>
      </c>
      <c r="F3363" s="43">
        <v>13.49</v>
      </c>
    </row>
    <row r="3364" spans="2:6" x14ac:dyDescent="0.25">
      <c r="B3364" s="13">
        <v>24642</v>
      </c>
      <c r="C3364" s="15" t="s">
        <v>141</v>
      </c>
      <c r="D3364" s="13" t="s">
        <v>134</v>
      </c>
      <c r="E3364" s="13" t="s">
        <v>5849</v>
      </c>
      <c r="F3364" s="43">
        <v>25.25</v>
      </c>
    </row>
    <row r="3365" spans="2:6" x14ac:dyDescent="0.25">
      <c r="B3365" s="13">
        <v>24644</v>
      </c>
      <c r="C3365" s="15" t="s">
        <v>141</v>
      </c>
      <c r="D3365" s="13" t="s">
        <v>134</v>
      </c>
      <c r="E3365" s="13" t="s">
        <v>5850</v>
      </c>
      <c r="F3365" s="43">
        <v>35.81</v>
      </c>
    </row>
    <row r="3366" spans="2:6" x14ac:dyDescent="0.25">
      <c r="B3366" s="13">
        <v>24658</v>
      </c>
      <c r="C3366" s="15" t="s">
        <v>141</v>
      </c>
      <c r="D3366" s="13" t="s">
        <v>134</v>
      </c>
      <c r="E3366" s="13" t="s">
        <v>5851</v>
      </c>
      <c r="F3366" s="43">
        <v>4.29</v>
      </c>
    </row>
    <row r="3367" spans="2:6" x14ac:dyDescent="0.25">
      <c r="B3367" s="13">
        <v>24659</v>
      </c>
      <c r="C3367" s="15" t="s">
        <v>141</v>
      </c>
      <c r="D3367" s="13" t="s">
        <v>134</v>
      </c>
      <c r="E3367" s="13" t="s">
        <v>5852</v>
      </c>
      <c r="F3367" s="43">
        <v>5.53</v>
      </c>
    </row>
    <row r="3368" spans="2:6" x14ac:dyDescent="0.25">
      <c r="B3368" s="13">
        <v>24660</v>
      </c>
      <c r="C3368" s="15" t="s">
        <v>141</v>
      </c>
      <c r="D3368" s="13" t="s">
        <v>134</v>
      </c>
      <c r="E3368" s="13" t="s">
        <v>5853</v>
      </c>
      <c r="F3368" s="43">
        <v>7.13</v>
      </c>
    </row>
    <row r="3369" spans="2:6" x14ac:dyDescent="0.25">
      <c r="B3369" s="13">
        <v>24661</v>
      </c>
      <c r="C3369" s="15" t="s">
        <v>141</v>
      </c>
      <c r="D3369" s="13" t="s">
        <v>134</v>
      </c>
      <c r="E3369" s="13" t="s">
        <v>5854</v>
      </c>
      <c r="F3369" s="43">
        <v>11.62</v>
      </c>
    </row>
    <row r="3370" spans="2:6" x14ac:dyDescent="0.25">
      <c r="B3370" s="13">
        <v>24662</v>
      </c>
      <c r="C3370" s="15" t="s">
        <v>141</v>
      </c>
      <c r="D3370" s="13" t="s">
        <v>134</v>
      </c>
      <c r="E3370" s="13" t="s">
        <v>5855</v>
      </c>
      <c r="F3370" s="43">
        <v>20.350000000000001</v>
      </c>
    </row>
    <row r="3371" spans="2:6" x14ac:dyDescent="0.25">
      <c r="B3371" s="13">
        <v>24663</v>
      </c>
      <c r="C3371" s="15" t="s">
        <v>141</v>
      </c>
      <c r="D3371" s="13" t="s">
        <v>134</v>
      </c>
      <c r="E3371" s="13" t="s">
        <v>5856</v>
      </c>
      <c r="F3371" s="43">
        <v>25.48</v>
      </c>
    </row>
    <row r="3372" spans="2:6" x14ac:dyDescent="0.25">
      <c r="B3372" s="13">
        <v>24665</v>
      </c>
      <c r="C3372" s="15" t="s">
        <v>141</v>
      </c>
      <c r="D3372" s="13" t="s">
        <v>134</v>
      </c>
      <c r="E3372" s="13" t="s">
        <v>5857</v>
      </c>
      <c r="F3372" s="43">
        <v>5.36</v>
      </c>
    </row>
    <row r="3373" spans="2:6" x14ac:dyDescent="0.25">
      <c r="B3373" s="13">
        <v>24666</v>
      </c>
      <c r="C3373" s="15" t="s">
        <v>141</v>
      </c>
      <c r="D3373" s="13" t="s">
        <v>134</v>
      </c>
      <c r="E3373" s="13" t="s">
        <v>5858</v>
      </c>
      <c r="F3373" s="43">
        <v>8.1199999999999992</v>
      </c>
    </row>
    <row r="3374" spans="2:6" x14ac:dyDescent="0.25">
      <c r="B3374" s="13">
        <v>24667</v>
      </c>
      <c r="C3374" s="15" t="s">
        <v>141</v>
      </c>
      <c r="D3374" s="13" t="s">
        <v>134</v>
      </c>
      <c r="E3374" s="13" t="s">
        <v>5859</v>
      </c>
      <c r="F3374" s="43">
        <v>12.65</v>
      </c>
    </row>
    <row r="3375" spans="2:6" x14ac:dyDescent="0.25">
      <c r="B3375" s="13">
        <v>24668</v>
      </c>
      <c r="C3375" s="15" t="s">
        <v>141</v>
      </c>
      <c r="D3375" s="13" t="s">
        <v>134</v>
      </c>
      <c r="E3375" s="13" t="s">
        <v>5860</v>
      </c>
      <c r="F3375" s="43">
        <v>19.87</v>
      </c>
    </row>
    <row r="3376" spans="2:6" x14ac:dyDescent="0.25">
      <c r="B3376" s="13">
        <v>24669</v>
      </c>
      <c r="C3376" s="15" t="s">
        <v>141</v>
      </c>
      <c r="D3376" s="13" t="s">
        <v>134</v>
      </c>
      <c r="E3376" s="13" t="s">
        <v>5861</v>
      </c>
      <c r="F3376" s="43">
        <v>28.14</v>
      </c>
    </row>
    <row r="3377" spans="2:6" x14ac:dyDescent="0.25">
      <c r="B3377" s="13">
        <v>24672</v>
      </c>
      <c r="C3377" s="15" t="s">
        <v>141</v>
      </c>
      <c r="D3377" s="13" t="s">
        <v>134</v>
      </c>
      <c r="E3377" s="13" t="s">
        <v>5862</v>
      </c>
      <c r="F3377" s="43">
        <v>4.3600000000000003</v>
      </c>
    </row>
    <row r="3378" spans="2:6" x14ac:dyDescent="0.25">
      <c r="B3378" s="13">
        <v>24673</v>
      </c>
      <c r="C3378" s="15" t="s">
        <v>141</v>
      </c>
      <c r="D3378" s="13" t="s">
        <v>134</v>
      </c>
      <c r="E3378" s="13" t="s">
        <v>5863</v>
      </c>
      <c r="F3378" s="43">
        <v>5.53</v>
      </c>
    </row>
    <row r="3379" spans="2:6" x14ac:dyDescent="0.25">
      <c r="B3379" s="13">
        <v>24674</v>
      </c>
      <c r="C3379" s="15" t="s">
        <v>141</v>
      </c>
      <c r="D3379" s="13" t="s">
        <v>134</v>
      </c>
      <c r="E3379" s="13" t="s">
        <v>5864</v>
      </c>
      <c r="F3379" s="43">
        <v>7.99</v>
      </c>
    </row>
    <row r="3380" spans="2:6" x14ac:dyDescent="0.25">
      <c r="B3380" s="13">
        <v>24675</v>
      </c>
      <c r="C3380" s="15" t="s">
        <v>141</v>
      </c>
      <c r="D3380" s="13" t="s">
        <v>134</v>
      </c>
      <c r="E3380" s="13" t="s">
        <v>5865</v>
      </c>
      <c r="F3380" s="43">
        <v>13.95</v>
      </c>
    </row>
    <row r="3381" spans="2:6" x14ac:dyDescent="0.25">
      <c r="B3381" s="13">
        <v>24676</v>
      </c>
      <c r="C3381" s="15" t="s">
        <v>141</v>
      </c>
      <c r="D3381" s="13" t="s">
        <v>134</v>
      </c>
      <c r="E3381" s="13" t="s">
        <v>5866</v>
      </c>
      <c r="F3381" s="43">
        <v>19.04</v>
      </c>
    </row>
    <row r="3382" spans="2:6" x14ac:dyDescent="0.25">
      <c r="B3382" s="13">
        <v>24677</v>
      </c>
      <c r="C3382" s="15" t="s">
        <v>141</v>
      </c>
      <c r="D3382" s="13" t="s">
        <v>134</v>
      </c>
      <c r="E3382" s="13" t="s">
        <v>5867</v>
      </c>
      <c r="F3382" s="43">
        <v>31.31</v>
      </c>
    </row>
    <row r="3383" spans="2:6" x14ac:dyDescent="0.25">
      <c r="B3383" s="13">
        <v>24683</v>
      </c>
      <c r="C3383" s="15" t="s">
        <v>141</v>
      </c>
      <c r="D3383" s="13" t="s">
        <v>134</v>
      </c>
      <c r="E3383" s="13" t="s">
        <v>5868</v>
      </c>
      <c r="F3383" s="43">
        <v>4.4800000000000004</v>
      </c>
    </row>
    <row r="3384" spans="2:6" x14ac:dyDescent="0.25">
      <c r="B3384" s="13">
        <v>24686</v>
      </c>
      <c r="C3384" s="15" t="s">
        <v>141</v>
      </c>
      <c r="D3384" s="13" t="s">
        <v>134</v>
      </c>
      <c r="E3384" s="13" t="s">
        <v>5869</v>
      </c>
      <c r="F3384" s="43">
        <v>5.45</v>
      </c>
    </row>
    <row r="3385" spans="2:6" x14ac:dyDescent="0.25">
      <c r="B3385" s="13">
        <v>24689</v>
      </c>
      <c r="C3385" s="15" t="s">
        <v>141</v>
      </c>
      <c r="D3385" s="13" t="s">
        <v>134</v>
      </c>
      <c r="E3385" s="13" t="s">
        <v>5870</v>
      </c>
      <c r="F3385" s="43">
        <v>14</v>
      </c>
    </row>
    <row r="3386" spans="2:6" x14ac:dyDescent="0.25">
      <c r="B3386" s="13">
        <v>24691</v>
      </c>
      <c r="C3386" s="15" t="s">
        <v>141</v>
      </c>
      <c r="D3386" s="13" t="s">
        <v>134</v>
      </c>
      <c r="E3386" s="13" t="s">
        <v>5871</v>
      </c>
      <c r="F3386" s="43">
        <v>21.81</v>
      </c>
    </row>
    <row r="3387" spans="2:6" x14ac:dyDescent="0.25">
      <c r="B3387" s="13">
        <v>24708</v>
      </c>
      <c r="C3387" s="15" t="s">
        <v>141</v>
      </c>
      <c r="D3387" s="13" t="s">
        <v>134</v>
      </c>
      <c r="E3387" s="13" t="s">
        <v>5872</v>
      </c>
      <c r="F3387" s="43">
        <v>5.97</v>
      </c>
    </row>
    <row r="3388" spans="2:6" x14ac:dyDescent="0.25">
      <c r="B3388" s="13">
        <v>24709</v>
      </c>
      <c r="C3388" s="15" t="s">
        <v>141</v>
      </c>
      <c r="D3388" s="13" t="s">
        <v>134</v>
      </c>
      <c r="E3388" s="13" t="s">
        <v>5873</v>
      </c>
      <c r="F3388" s="43">
        <v>7.9</v>
      </c>
    </row>
    <row r="3389" spans="2:6" x14ac:dyDescent="0.25">
      <c r="B3389" s="13">
        <v>24710</v>
      </c>
      <c r="C3389" s="15" t="s">
        <v>141</v>
      </c>
      <c r="D3389" s="13" t="s">
        <v>134</v>
      </c>
      <c r="E3389" s="13" t="s">
        <v>5874</v>
      </c>
      <c r="F3389" s="43">
        <v>10.210000000000001</v>
      </c>
    </row>
    <row r="3390" spans="2:6" x14ac:dyDescent="0.25">
      <c r="B3390" s="13">
        <v>24711</v>
      </c>
      <c r="C3390" s="15" t="s">
        <v>141</v>
      </c>
      <c r="D3390" s="13" t="s">
        <v>134</v>
      </c>
      <c r="E3390" s="13" t="s">
        <v>5875</v>
      </c>
      <c r="F3390" s="43">
        <v>16.91</v>
      </c>
    </row>
    <row r="3391" spans="2:6" x14ac:dyDescent="0.25">
      <c r="B3391" s="13">
        <v>24712</v>
      </c>
      <c r="C3391" s="15" t="s">
        <v>141</v>
      </c>
      <c r="D3391" s="13" t="s">
        <v>134</v>
      </c>
      <c r="E3391" s="13" t="s">
        <v>5876</v>
      </c>
      <c r="F3391" s="43">
        <v>29.64</v>
      </c>
    </row>
    <row r="3392" spans="2:6" x14ac:dyDescent="0.25">
      <c r="B3392" s="13">
        <v>24713</v>
      </c>
      <c r="C3392" s="15" t="s">
        <v>141</v>
      </c>
      <c r="D3392" s="13" t="s">
        <v>134</v>
      </c>
      <c r="E3392" s="13" t="s">
        <v>5877</v>
      </c>
      <c r="F3392" s="43">
        <v>44.03</v>
      </c>
    </row>
    <row r="3393" spans="2:6" x14ac:dyDescent="0.25">
      <c r="B3393" s="13">
        <v>24716</v>
      </c>
      <c r="C3393" s="15" t="s">
        <v>141</v>
      </c>
      <c r="D3393" s="13" t="s">
        <v>134</v>
      </c>
      <c r="E3393" s="13" t="s">
        <v>5878</v>
      </c>
      <c r="F3393" s="43">
        <v>2.82</v>
      </c>
    </row>
    <row r="3394" spans="2:6" x14ac:dyDescent="0.25">
      <c r="B3394" s="13">
        <v>24719</v>
      </c>
      <c r="C3394" s="15" t="s">
        <v>141</v>
      </c>
      <c r="D3394" s="13" t="s">
        <v>134</v>
      </c>
      <c r="E3394" s="13" t="s">
        <v>5879</v>
      </c>
      <c r="F3394" s="43">
        <v>3.34</v>
      </c>
    </row>
    <row r="3395" spans="2:6" x14ac:dyDescent="0.25">
      <c r="B3395" s="13">
        <v>24722</v>
      </c>
      <c r="C3395" s="15" t="s">
        <v>141</v>
      </c>
      <c r="D3395" s="13" t="s">
        <v>134</v>
      </c>
      <c r="E3395" s="13" t="s">
        <v>5880</v>
      </c>
      <c r="F3395" s="43">
        <v>4.75</v>
      </c>
    </row>
    <row r="3396" spans="2:6" x14ac:dyDescent="0.25">
      <c r="B3396" s="13">
        <v>24724</v>
      </c>
      <c r="C3396" s="15" t="s">
        <v>141</v>
      </c>
      <c r="D3396" s="13" t="s">
        <v>134</v>
      </c>
      <c r="E3396" s="13" t="s">
        <v>5881</v>
      </c>
      <c r="F3396" s="43">
        <v>6.95</v>
      </c>
    </row>
    <row r="3397" spans="2:6" x14ac:dyDescent="0.25">
      <c r="B3397" s="13">
        <v>24726</v>
      </c>
      <c r="C3397" s="15" t="s">
        <v>141</v>
      </c>
      <c r="D3397" s="13" t="s">
        <v>134</v>
      </c>
      <c r="E3397" s="13" t="s">
        <v>5882</v>
      </c>
      <c r="F3397" s="43">
        <v>10.8</v>
      </c>
    </row>
    <row r="3398" spans="2:6" x14ac:dyDescent="0.25">
      <c r="B3398" s="13">
        <v>24728</v>
      </c>
      <c r="C3398" s="15" t="s">
        <v>141</v>
      </c>
      <c r="D3398" s="13" t="s">
        <v>134</v>
      </c>
      <c r="E3398" s="13" t="s">
        <v>5883</v>
      </c>
      <c r="F3398" s="43">
        <v>17.11</v>
      </c>
    </row>
    <row r="3399" spans="2:6" x14ac:dyDescent="0.25">
      <c r="B3399" s="13">
        <v>24731</v>
      </c>
      <c r="C3399" s="15" t="s">
        <v>141</v>
      </c>
      <c r="D3399" s="13" t="s">
        <v>134</v>
      </c>
      <c r="E3399" s="13" t="s">
        <v>5884</v>
      </c>
      <c r="F3399" s="43">
        <v>2.5</v>
      </c>
    </row>
    <row r="3400" spans="2:6" x14ac:dyDescent="0.25">
      <c r="B3400" s="13">
        <v>24732</v>
      </c>
      <c r="C3400" s="15" t="s">
        <v>141</v>
      </c>
      <c r="D3400" s="13" t="s">
        <v>134</v>
      </c>
      <c r="E3400" s="13" t="s">
        <v>5885</v>
      </c>
      <c r="F3400" s="43">
        <v>2.5</v>
      </c>
    </row>
    <row r="3401" spans="2:6" x14ac:dyDescent="0.25">
      <c r="B3401" s="13">
        <v>24734</v>
      </c>
      <c r="C3401" s="15" t="s">
        <v>141</v>
      </c>
      <c r="D3401" s="13" t="s">
        <v>134</v>
      </c>
      <c r="E3401" s="13" t="s">
        <v>5886</v>
      </c>
      <c r="F3401" s="43">
        <v>3.02</v>
      </c>
    </row>
    <row r="3402" spans="2:6" x14ac:dyDescent="0.25">
      <c r="B3402" s="13">
        <v>24735</v>
      </c>
      <c r="C3402" s="15" t="s">
        <v>141</v>
      </c>
      <c r="D3402" s="13" t="s">
        <v>134</v>
      </c>
      <c r="E3402" s="13" t="s">
        <v>5887</v>
      </c>
      <c r="F3402" s="43">
        <v>3.02</v>
      </c>
    </row>
    <row r="3403" spans="2:6" x14ac:dyDescent="0.25">
      <c r="B3403" s="13">
        <v>24739</v>
      </c>
      <c r="C3403" s="15" t="s">
        <v>141</v>
      </c>
      <c r="D3403" s="13" t="s">
        <v>134</v>
      </c>
      <c r="E3403" s="13" t="s">
        <v>5888</v>
      </c>
      <c r="F3403" s="43">
        <v>3.02</v>
      </c>
    </row>
    <row r="3404" spans="2:6" x14ac:dyDescent="0.25">
      <c r="B3404" s="13">
        <v>24740</v>
      </c>
      <c r="C3404" s="15" t="s">
        <v>141</v>
      </c>
      <c r="D3404" s="13" t="s">
        <v>134</v>
      </c>
      <c r="E3404" s="13" t="s">
        <v>5889</v>
      </c>
      <c r="F3404" s="43">
        <v>3.78</v>
      </c>
    </row>
    <row r="3405" spans="2:6" x14ac:dyDescent="0.25">
      <c r="B3405" s="13">
        <v>24741</v>
      </c>
      <c r="C3405" s="15" t="s">
        <v>141</v>
      </c>
      <c r="D3405" s="13" t="s">
        <v>134</v>
      </c>
      <c r="E3405" s="13" t="s">
        <v>5890</v>
      </c>
      <c r="F3405" s="43">
        <v>3.78</v>
      </c>
    </row>
    <row r="3406" spans="2:6" x14ac:dyDescent="0.25">
      <c r="B3406" s="13">
        <v>24742</v>
      </c>
      <c r="C3406" s="15" t="s">
        <v>141</v>
      </c>
      <c r="D3406" s="13" t="s">
        <v>134</v>
      </c>
      <c r="E3406" s="13" t="s">
        <v>5891</v>
      </c>
      <c r="F3406" s="43">
        <v>4.22</v>
      </c>
    </row>
    <row r="3407" spans="2:6" x14ac:dyDescent="0.25">
      <c r="B3407" s="13">
        <v>24743</v>
      </c>
      <c r="C3407" s="15" t="s">
        <v>141</v>
      </c>
      <c r="D3407" s="13" t="s">
        <v>134</v>
      </c>
      <c r="E3407" s="13" t="s">
        <v>5892</v>
      </c>
      <c r="F3407" s="43">
        <v>8.17</v>
      </c>
    </row>
    <row r="3408" spans="2:6" x14ac:dyDescent="0.25">
      <c r="B3408" s="13">
        <v>24744</v>
      </c>
      <c r="C3408" s="15" t="s">
        <v>141</v>
      </c>
      <c r="D3408" s="13" t="s">
        <v>134</v>
      </c>
      <c r="E3408" s="13" t="s">
        <v>5893</v>
      </c>
      <c r="F3408" s="43">
        <v>8.52</v>
      </c>
    </row>
    <row r="3409" spans="2:6" x14ac:dyDescent="0.25">
      <c r="B3409" s="13">
        <v>24746</v>
      </c>
      <c r="C3409" s="15" t="s">
        <v>141</v>
      </c>
      <c r="D3409" s="13" t="s">
        <v>134</v>
      </c>
      <c r="E3409" s="13" t="s">
        <v>5894</v>
      </c>
      <c r="F3409" s="43">
        <v>10.54</v>
      </c>
    </row>
    <row r="3410" spans="2:6" x14ac:dyDescent="0.25">
      <c r="B3410" s="13">
        <v>24749</v>
      </c>
      <c r="C3410" s="15" t="s">
        <v>141</v>
      </c>
      <c r="D3410" s="13" t="s">
        <v>134</v>
      </c>
      <c r="E3410" s="13" t="s">
        <v>5895</v>
      </c>
      <c r="F3410" s="43">
        <v>15.04</v>
      </c>
    </row>
    <row r="3411" spans="2:6" x14ac:dyDescent="0.25">
      <c r="B3411" s="13">
        <v>24751</v>
      </c>
      <c r="C3411" s="15" t="s">
        <v>141</v>
      </c>
      <c r="D3411" s="13" t="s">
        <v>134</v>
      </c>
      <c r="E3411" s="13" t="s">
        <v>5896</v>
      </c>
      <c r="F3411" s="43">
        <v>2.82</v>
      </c>
    </row>
    <row r="3412" spans="2:6" x14ac:dyDescent="0.25">
      <c r="B3412" s="13">
        <v>24752</v>
      </c>
      <c r="C3412" s="15" t="s">
        <v>141</v>
      </c>
      <c r="D3412" s="13" t="s">
        <v>134</v>
      </c>
      <c r="E3412" s="13" t="s">
        <v>5897</v>
      </c>
      <c r="F3412" s="43">
        <v>3.45</v>
      </c>
    </row>
    <row r="3413" spans="2:6" x14ac:dyDescent="0.25">
      <c r="B3413" s="13">
        <v>24753</v>
      </c>
      <c r="C3413" s="15" t="s">
        <v>141</v>
      </c>
      <c r="D3413" s="13" t="s">
        <v>134</v>
      </c>
      <c r="E3413" s="13" t="s">
        <v>5898</v>
      </c>
      <c r="F3413" s="43">
        <v>4.16</v>
      </c>
    </row>
    <row r="3414" spans="2:6" x14ac:dyDescent="0.25">
      <c r="B3414" s="13">
        <v>24754</v>
      </c>
      <c r="C3414" s="15" t="s">
        <v>141</v>
      </c>
      <c r="D3414" s="13" t="s">
        <v>134</v>
      </c>
      <c r="E3414" s="13" t="s">
        <v>5899</v>
      </c>
      <c r="F3414" s="43">
        <v>6.99</v>
      </c>
    </row>
    <row r="3415" spans="2:6" x14ac:dyDescent="0.25">
      <c r="B3415" s="13">
        <v>24755</v>
      </c>
      <c r="C3415" s="15" t="s">
        <v>141</v>
      </c>
      <c r="D3415" s="13" t="s">
        <v>134</v>
      </c>
      <c r="E3415" s="13" t="s">
        <v>5900</v>
      </c>
      <c r="F3415" s="43">
        <v>11.77</v>
      </c>
    </row>
    <row r="3416" spans="2:6" x14ac:dyDescent="0.25">
      <c r="B3416" s="13">
        <v>24756</v>
      </c>
      <c r="C3416" s="15" t="s">
        <v>141</v>
      </c>
      <c r="D3416" s="13" t="s">
        <v>134</v>
      </c>
      <c r="E3416" s="13" t="s">
        <v>5901</v>
      </c>
      <c r="F3416" s="43">
        <v>15.96</v>
      </c>
    </row>
    <row r="3417" spans="2:6" x14ac:dyDescent="0.25">
      <c r="B3417" s="13">
        <v>25216</v>
      </c>
      <c r="C3417" s="15" t="s">
        <v>141</v>
      </c>
      <c r="D3417" s="13" t="s">
        <v>134</v>
      </c>
      <c r="E3417" s="13" t="s">
        <v>5902</v>
      </c>
      <c r="F3417" s="43">
        <v>1.17</v>
      </c>
    </row>
    <row r="3418" spans="2:6" x14ac:dyDescent="0.25">
      <c r="B3418" s="13">
        <v>25220</v>
      </c>
      <c r="C3418" s="15" t="s">
        <v>141</v>
      </c>
      <c r="D3418" s="13" t="s">
        <v>134</v>
      </c>
      <c r="E3418" s="13" t="s">
        <v>5903</v>
      </c>
      <c r="F3418" s="43">
        <v>1.17</v>
      </c>
    </row>
    <row r="3419" spans="2:6" x14ac:dyDescent="0.25">
      <c r="B3419" s="13">
        <v>25221</v>
      </c>
      <c r="C3419" s="15" t="s">
        <v>141</v>
      </c>
      <c r="D3419" s="13" t="s">
        <v>134</v>
      </c>
      <c r="E3419" s="13" t="s">
        <v>5904</v>
      </c>
      <c r="F3419" s="43">
        <v>1.17</v>
      </c>
    </row>
    <row r="3420" spans="2:6" x14ac:dyDescent="0.25">
      <c r="B3420" s="13">
        <v>25699</v>
      </c>
      <c r="C3420" s="15" t="s">
        <v>141</v>
      </c>
      <c r="D3420" s="13" t="s">
        <v>134</v>
      </c>
      <c r="E3420" s="13" t="s">
        <v>5905</v>
      </c>
      <c r="F3420" s="43">
        <v>107.53</v>
      </c>
    </row>
    <row r="3421" spans="2:6" x14ac:dyDescent="0.25">
      <c r="B3421" s="13">
        <v>25700</v>
      </c>
      <c r="C3421" s="15" t="s">
        <v>141</v>
      </c>
      <c r="D3421" s="13" t="s">
        <v>134</v>
      </c>
      <c r="E3421" s="13" t="s">
        <v>5906</v>
      </c>
      <c r="F3421" s="43">
        <v>142.91</v>
      </c>
    </row>
    <row r="3422" spans="2:6" x14ac:dyDescent="0.25">
      <c r="B3422" s="13">
        <v>25701</v>
      </c>
      <c r="C3422" s="15" t="s">
        <v>141</v>
      </c>
      <c r="D3422" s="13" t="s">
        <v>134</v>
      </c>
      <c r="E3422" s="13" t="s">
        <v>5907</v>
      </c>
      <c r="F3422" s="43">
        <v>0</v>
      </c>
    </row>
    <row r="3423" spans="2:6" x14ac:dyDescent="0.25">
      <c r="B3423" s="13">
        <v>25702</v>
      </c>
      <c r="C3423" s="15" t="s">
        <v>141</v>
      </c>
      <c r="D3423" s="13" t="s">
        <v>134</v>
      </c>
      <c r="E3423" s="13" t="s">
        <v>5908</v>
      </c>
      <c r="F3423" s="43">
        <v>0</v>
      </c>
    </row>
    <row r="3424" spans="2:6" x14ac:dyDescent="0.25">
      <c r="B3424" s="13">
        <v>25714</v>
      </c>
      <c r="C3424" s="15" t="s">
        <v>141</v>
      </c>
      <c r="D3424" s="13" t="s">
        <v>134</v>
      </c>
      <c r="E3424" s="13" t="s">
        <v>5909</v>
      </c>
      <c r="F3424" s="43">
        <v>43.07</v>
      </c>
    </row>
    <row r="3425" spans="2:6" x14ac:dyDescent="0.25">
      <c r="B3425" s="13">
        <v>26445</v>
      </c>
      <c r="C3425" s="15" t="s">
        <v>141</v>
      </c>
      <c r="D3425" s="13" t="s">
        <v>134</v>
      </c>
      <c r="E3425" s="13" t="s">
        <v>5910</v>
      </c>
      <c r="F3425" s="43">
        <v>1822.73</v>
      </c>
    </row>
    <row r="3426" spans="2:6" x14ac:dyDescent="0.25">
      <c r="B3426" s="13">
        <v>27051</v>
      </c>
      <c r="C3426" s="15" t="s">
        <v>141</v>
      </c>
      <c r="D3426" s="13" t="s">
        <v>134</v>
      </c>
      <c r="E3426" s="13" t="s">
        <v>5911</v>
      </c>
      <c r="F3426" s="43">
        <v>35.36</v>
      </c>
    </row>
    <row r="3427" spans="2:6" x14ac:dyDescent="0.25">
      <c r="B3427" s="13">
        <v>27052</v>
      </c>
      <c r="C3427" s="15" t="s">
        <v>141</v>
      </c>
      <c r="D3427" s="13" t="s">
        <v>134</v>
      </c>
      <c r="E3427" s="13" t="s">
        <v>5912</v>
      </c>
      <c r="F3427" s="43">
        <v>59.09</v>
      </c>
    </row>
    <row r="3428" spans="2:6" x14ac:dyDescent="0.25">
      <c r="B3428" s="13">
        <v>27400</v>
      </c>
      <c r="C3428" s="15" t="s">
        <v>141</v>
      </c>
      <c r="D3428" s="13" t="s">
        <v>134</v>
      </c>
      <c r="E3428" s="13" t="s">
        <v>5913</v>
      </c>
      <c r="F3428" s="43">
        <v>0</v>
      </c>
    </row>
    <row r="3429" spans="2:6" x14ac:dyDescent="0.25">
      <c r="B3429" s="13">
        <v>27510</v>
      </c>
      <c r="C3429" s="15" t="s">
        <v>141</v>
      </c>
      <c r="D3429" s="13" t="s">
        <v>134</v>
      </c>
      <c r="E3429" s="13" t="s">
        <v>5914</v>
      </c>
      <c r="F3429" s="43">
        <v>243.06</v>
      </c>
    </row>
    <row r="3430" spans="2:6" x14ac:dyDescent="0.25">
      <c r="B3430" s="13">
        <v>27511</v>
      </c>
      <c r="C3430" s="15" t="s">
        <v>141</v>
      </c>
      <c r="D3430" s="13" t="s">
        <v>134</v>
      </c>
      <c r="E3430" s="13" t="s">
        <v>5915</v>
      </c>
      <c r="F3430" s="43">
        <v>185.81</v>
      </c>
    </row>
    <row r="3431" spans="2:6" x14ac:dyDescent="0.25">
      <c r="B3431" s="13">
        <v>27512</v>
      </c>
      <c r="C3431" s="15" t="s">
        <v>141</v>
      </c>
      <c r="D3431" s="13" t="s">
        <v>134</v>
      </c>
      <c r="E3431" s="13" t="s">
        <v>5916</v>
      </c>
      <c r="F3431" s="43">
        <v>215.85</v>
      </c>
    </row>
    <row r="3432" spans="2:6" x14ac:dyDescent="0.25">
      <c r="B3432" s="13">
        <v>27513</v>
      </c>
      <c r="C3432" s="15" t="s">
        <v>141</v>
      </c>
      <c r="D3432" s="13" t="s">
        <v>134</v>
      </c>
      <c r="E3432" s="13" t="s">
        <v>5917</v>
      </c>
      <c r="F3432" s="43">
        <v>280.42</v>
      </c>
    </row>
    <row r="3433" spans="2:6" x14ac:dyDescent="0.25">
      <c r="B3433" s="13">
        <v>27514</v>
      </c>
      <c r="C3433" s="15" t="s">
        <v>141</v>
      </c>
      <c r="D3433" s="13" t="s">
        <v>134</v>
      </c>
      <c r="E3433" s="13" t="s">
        <v>5918</v>
      </c>
      <c r="F3433" s="43">
        <v>335.33</v>
      </c>
    </row>
    <row r="3434" spans="2:6" x14ac:dyDescent="0.25">
      <c r="B3434" s="13">
        <v>27515</v>
      </c>
      <c r="C3434" s="15" t="s">
        <v>141</v>
      </c>
      <c r="D3434" s="13" t="s">
        <v>134</v>
      </c>
      <c r="E3434" s="13" t="s">
        <v>5919</v>
      </c>
      <c r="F3434" s="43">
        <v>525.73</v>
      </c>
    </row>
    <row r="3435" spans="2:6" x14ac:dyDescent="0.25">
      <c r="B3435" s="13">
        <v>27958</v>
      </c>
      <c r="C3435" s="15" t="s">
        <v>141</v>
      </c>
      <c r="D3435" s="13" t="s">
        <v>134</v>
      </c>
      <c r="E3435" s="13" t="s">
        <v>5920</v>
      </c>
      <c r="F3435" s="43">
        <v>92.91</v>
      </c>
    </row>
    <row r="3436" spans="2:6" x14ac:dyDescent="0.25">
      <c r="B3436" s="13">
        <v>28052</v>
      </c>
      <c r="C3436" s="15" t="s">
        <v>141</v>
      </c>
      <c r="D3436" s="13" t="s">
        <v>134</v>
      </c>
      <c r="E3436" s="13" t="s">
        <v>5921</v>
      </c>
      <c r="F3436" s="43">
        <v>9.2799999999999994</v>
      </c>
    </row>
    <row r="3437" spans="2:6" x14ac:dyDescent="0.25">
      <c r="B3437" s="13">
        <v>28053</v>
      </c>
      <c r="C3437" s="15" t="s">
        <v>141</v>
      </c>
      <c r="D3437" s="13" t="s">
        <v>134</v>
      </c>
      <c r="E3437" s="13" t="s">
        <v>5922</v>
      </c>
      <c r="F3437" s="43">
        <v>0</v>
      </c>
    </row>
    <row r="3438" spans="2:6" x14ac:dyDescent="0.25">
      <c r="B3438" s="13">
        <v>28054</v>
      </c>
      <c r="C3438" s="15" t="s">
        <v>141</v>
      </c>
      <c r="D3438" s="13" t="s">
        <v>134</v>
      </c>
      <c r="E3438" s="13" t="s">
        <v>5923</v>
      </c>
      <c r="F3438" s="43">
        <v>0</v>
      </c>
    </row>
    <row r="3439" spans="2:6" x14ac:dyDescent="0.25">
      <c r="B3439" s="13">
        <v>28570</v>
      </c>
      <c r="C3439" s="15" t="s">
        <v>141</v>
      </c>
      <c r="D3439" s="13" t="s">
        <v>134</v>
      </c>
      <c r="E3439" s="13" t="s">
        <v>5924</v>
      </c>
      <c r="F3439" s="43">
        <v>7.51</v>
      </c>
    </row>
    <row r="3440" spans="2:6" x14ac:dyDescent="0.25">
      <c r="B3440" s="13">
        <v>28571</v>
      </c>
      <c r="C3440" s="15" t="s">
        <v>141</v>
      </c>
      <c r="D3440" s="13" t="s">
        <v>134</v>
      </c>
      <c r="E3440" s="13" t="s">
        <v>5925</v>
      </c>
      <c r="F3440" s="43">
        <v>8.76</v>
      </c>
    </row>
    <row r="3441" spans="2:6" x14ac:dyDescent="0.25">
      <c r="B3441" s="13">
        <v>28572</v>
      </c>
      <c r="C3441" s="15" t="s">
        <v>141</v>
      </c>
      <c r="D3441" s="13" t="s">
        <v>134</v>
      </c>
      <c r="E3441" s="13" t="s">
        <v>5926</v>
      </c>
      <c r="F3441" s="43">
        <v>12.85</v>
      </c>
    </row>
    <row r="3442" spans="2:6" x14ac:dyDescent="0.25">
      <c r="B3442" s="13">
        <v>28573</v>
      </c>
      <c r="C3442" s="15" t="s">
        <v>141</v>
      </c>
      <c r="D3442" s="13" t="s">
        <v>134</v>
      </c>
      <c r="E3442" s="13" t="s">
        <v>5927</v>
      </c>
      <c r="F3442" s="43">
        <v>15.88</v>
      </c>
    </row>
    <row r="3443" spans="2:6" x14ac:dyDescent="0.25">
      <c r="B3443" s="13">
        <v>28574</v>
      </c>
      <c r="C3443" s="15" t="s">
        <v>141</v>
      </c>
      <c r="D3443" s="13" t="s">
        <v>134</v>
      </c>
      <c r="E3443" s="13" t="s">
        <v>5928</v>
      </c>
      <c r="F3443" s="43">
        <v>19.72</v>
      </c>
    </row>
    <row r="3444" spans="2:6" x14ac:dyDescent="0.25">
      <c r="B3444" s="13">
        <v>28575</v>
      </c>
      <c r="C3444" s="15" t="s">
        <v>141</v>
      </c>
      <c r="D3444" s="13" t="s">
        <v>134</v>
      </c>
      <c r="E3444" s="13" t="s">
        <v>5929</v>
      </c>
      <c r="F3444" s="43">
        <v>36.68</v>
      </c>
    </row>
    <row r="3445" spans="2:6" x14ac:dyDescent="0.25">
      <c r="B3445" s="13">
        <v>28671</v>
      </c>
      <c r="C3445" s="15" t="s">
        <v>141</v>
      </c>
      <c r="D3445" s="13" t="s">
        <v>134</v>
      </c>
      <c r="E3445" s="13" t="s">
        <v>5930</v>
      </c>
      <c r="F3445" s="43">
        <v>0.31</v>
      </c>
    </row>
    <row r="3446" spans="2:6" x14ac:dyDescent="0.25">
      <c r="B3446" s="13">
        <v>28672</v>
      </c>
      <c r="C3446" s="15" t="s">
        <v>141</v>
      </c>
      <c r="D3446" s="13" t="s">
        <v>134</v>
      </c>
      <c r="E3446" s="13" t="s">
        <v>5931</v>
      </c>
      <c r="F3446" s="43">
        <v>0.26</v>
      </c>
    </row>
    <row r="3447" spans="2:6" x14ac:dyDescent="0.25">
      <c r="B3447" s="13">
        <v>28673</v>
      </c>
      <c r="C3447" s="15" t="s">
        <v>141</v>
      </c>
      <c r="D3447" s="13" t="s">
        <v>134</v>
      </c>
      <c r="E3447" s="13" t="s">
        <v>5932</v>
      </c>
      <c r="F3447" s="43">
        <v>0.62</v>
      </c>
    </row>
    <row r="3448" spans="2:6" x14ac:dyDescent="0.25">
      <c r="B3448" s="13">
        <v>28918</v>
      </c>
      <c r="C3448" s="15" t="s">
        <v>141</v>
      </c>
      <c r="D3448" s="13" t="s">
        <v>134</v>
      </c>
      <c r="E3448" s="13" t="s">
        <v>5933</v>
      </c>
      <c r="F3448" s="43">
        <v>506.17</v>
      </c>
    </row>
    <row r="3449" spans="2:6" x14ac:dyDescent="0.25">
      <c r="B3449" s="13">
        <v>28920</v>
      </c>
      <c r="C3449" s="15" t="s">
        <v>141</v>
      </c>
      <c r="D3449" s="13" t="s">
        <v>134</v>
      </c>
      <c r="E3449" s="13" t="s">
        <v>5934</v>
      </c>
      <c r="F3449" s="43">
        <v>746.03</v>
      </c>
    </row>
    <row r="3450" spans="2:6" x14ac:dyDescent="0.25">
      <c r="B3450" s="13">
        <v>28921</v>
      </c>
      <c r="C3450" s="15" t="s">
        <v>141</v>
      </c>
      <c r="D3450" s="13" t="s">
        <v>134</v>
      </c>
      <c r="E3450" s="13" t="s">
        <v>5935</v>
      </c>
      <c r="F3450" s="43">
        <v>925.91</v>
      </c>
    </row>
    <row r="3451" spans="2:6" x14ac:dyDescent="0.25">
      <c r="B3451" s="13">
        <v>29403</v>
      </c>
      <c r="C3451" s="15" t="s">
        <v>141</v>
      </c>
      <c r="D3451" s="13" t="s">
        <v>134</v>
      </c>
      <c r="E3451" s="13" t="s">
        <v>5936</v>
      </c>
      <c r="F3451" s="43">
        <v>23.98</v>
      </c>
    </row>
    <row r="3452" spans="2:6" x14ac:dyDescent="0.25">
      <c r="B3452" s="13">
        <v>29404</v>
      </c>
      <c r="C3452" s="15" t="s">
        <v>141</v>
      </c>
      <c r="D3452" s="13" t="s">
        <v>134</v>
      </c>
      <c r="E3452" s="13" t="s">
        <v>5937</v>
      </c>
      <c r="F3452" s="43">
        <v>28.33</v>
      </c>
    </row>
    <row r="3453" spans="2:6" x14ac:dyDescent="0.25">
      <c r="B3453" s="13">
        <v>29405</v>
      </c>
      <c r="C3453" s="15" t="s">
        <v>141</v>
      </c>
      <c r="D3453" s="13" t="s">
        <v>134</v>
      </c>
      <c r="E3453" s="13" t="s">
        <v>5938</v>
      </c>
      <c r="F3453" s="43">
        <v>41.73</v>
      </c>
    </row>
    <row r="3454" spans="2:6" x14ac:dyDescent="0.25">
      <c r="B3454" s="13">
        <v>29406</v>
      </c>
      <c r="C3454" s="15" t="s">
        <v>141</v>
      </c>
      <c r="D3454" s="13" t="s">
        <v>134</v>
      </c>
      <c r="E3454" s="13" t="s">
        <v>5939</v>
      </c>
      <c r="F3454" s="43">
        <v>50.1</v>
      </c>
    </row>
    <row r="3455" spans="2:6" x14ac:dyDescent="0.25">
      <c r="B3455" s="13">
        <v>29407</v>
      </c>
      <c r="C3455" s="15" t="s">
        <v>141</v>
      </c>
      <c r="D3455" s="13" t="s">
        <v>134</v>
      </c>
      <c r="E3455" s="13" t="s">
        <v>5940</v>
      </c>
      <c r="F3455" s="43">
        <v>104.78</v>
      </c>
    </row>
    <row r="3456" spans="2:6" x14ac:dyDescent="0.25">
      <c r="B3456" s="13">
        <v>32614</v>
      </c>
      <c r="C3456" s="15" t="s">
        <v>141</v>
      </c>
      <c r="D3456" s="13" t="s">
        <v>134</v>
      </c>
      <c r="E3456" s="13" t="s">
        <v>5941</v>
      </c>
      <c r="F3456" s="43">
        <v>319.57</v>
      </c>
    </row>
    <row r="3457" spans="2:6" x14ac:dyDescent="0.25">
      <c r="B3457" s="13">
        <v>32615</v>
      </c>
      <c r="C3457" s="15" t="s">
        <v>141</v>
      </c>
      <c r="D3457" s="13" t="s">
        <v>134</v>
      </c>
      <c r="E3457" s="13" t="s">
        <v>5942</v>
      </c>
      <c r="F3457" s="43">
        <v>372.18</v>
      </c>
    </row>
    <row r="3458" spans="2:6" x14ac:dyDescent="0.25">
      <c r="B3458" s="13">
        <v>32616</v>
      </c>
      <c r="C3458" s="15" t="s">
        <v>141</v>
      </c>
      <c r="D3458" s="13" t="s">
        <v>134</v>
      </c>
      <c r="E3458" s="13" t="s">
        <v>5943</v>
      </c>
      <c r="F3458" s="43">
        <v>421.61</v>
      </c>
    </row>
    <row r="3459" spans="2:6" x14ac:dyDescent="0.25">
      <c r="B3459" s="13">
        <v>32617</v>
      </c>
      <c r="C3459" s="15" t="s">
        <v>141</v>
      </c>
      <c r="D3459" s="13" t="s">
        <v>134</v>
      </c>
      <c r="E3459" s="13" t="s">
        <v>5944</v>
      </c>
      <c r="F3459" s="43">
        <v>428.59</v>
      </c>
    </row>
    <row r="3460" spans="2:6" x14ac:dyDescent="0.25">
      <c r="B3460" s="13">
        <v>32618</v>
      </c>
      <c r="C3460" s="15" t="s">
        <v>141</v>
      </c>
      <c r="D3460" s="13" t="s">
        <v>134</v>
      </c>
      <c r="E3460" s="13" t="s">
        <v>5945</v>
      </c>
      <c r="F3460" s="43">
        <v>590.24</v>
      </c>
    </row>
    <row r="3461" spans="2:6" x14ac:dyDescent="0.25">
      <c r="B3461" s="13">
        <v>32619</v>
      </c>
      <c r="C3461" s="15" t="s">
        <v>141</v>
      </c>
      <c r="D3461" s="13" t="s">
        <v>134</v>
      </c>
      <c r="E3461" s="13" t="s">
        <v>5946</v>
      </c>
      <c r="F3461" s="43">
        <v>861.26</v>
      </c>
    </row>
    <row r="3462" spans="2:6" x14ac:dyDescent="0.25">
      <c r="B3462" s="13">
        <v>32621</v>
      </c>
      <c r="C3462" s="15" t="s">
        <v>141</v>
      </c>
      <c r="D3462" s="13" t="s">
        <v>134</v>
      </c>
      <c r="E3462" s="13" t="s">
        <v>5947</v>
      </c>
      <c r="F3462" s="43">
        <v>379.95</v>
      </c>
    </row>
    <row r="3463" spans="2:6" x14ac:dyDescent="0.25">
      <c r="B3463" s="13">
        <v>32622</v>
      </c>
      <c r="C3463" s="15" t="s">
        <v>141</v>
      </c>
      <c r="D3463" s="13" t="s">
        <v>134</v>
      </c>
      <c r="E3463" s="13" t="s">
        <v>5948</v>
      </c>
      <c r="F3463" s="43">
        <v>436</v>
      </c>
    </row>
    <row r="3464" spans="2:6" x14ac:dyDescent="0.25">
      <c r="B3464" s="13">
        <v>32624</v>
      </c>
      <c r="C3464" s="15" t="s">
        <v>141</v>
      </c>
      <c r="D3464" s="13" t="s">
        <v>134</v>
      </c>
      <c r="E3464" s="13" t="s">
        <v>5949</v>
      </c>
      <c r="F3464" s="43">
        <v>800.8</v>
      </c>
    </row>
    <row r="3465" spans="2:6" x14ac:dyDescent="0.25">
      <c r="B3465" s="13">
        <v>32629</v>
      </c>
      <c r="C3465" s="15" t="s">
        <v>141</v>
      </c>
      <c r="D3465" s="13" t="s">
        <v>134</v>
      </c>
      <c r="E3465" s="13" t="s">
        <v>5950</v>
      </c>
      <c r="F3465" s="43">
        <v>600.5</v>
      </c>
    </row>
    <row r="3466" spans="2:6" x14ac:dyDescent="0.25">
      <c r="B3466" s="13">
        <v>32630</v>
      </c>
      <c r="C3466" s="15" t="s">
        <v>141</v>
      </c>
      <c r="D3466" s="13" t="s">
        <v>134</v>
      </c>
      <c r="E3466" s="13" t="s">
        <v>5951</v>
      </c>
      <c r="F3466" s="43">
        <v>780.42</v>
      </c>
    </row>
    <row r="3467" spans="2:6" x14ac:dyDescent="0.25">
      <c r="B3467" s="13">
        <v>32632</v>
      </c>
      <c r="C3467" s="15" t="s">
        <v>141</v>
      </c>
      <c r="D3467" s="13" t="s">
        <v>134</v>
      </c>
      <c r="E3467" s="13" t="s">
        <v>5952</v>
      </c>
      <c r="F3467" s="43">
        <v>1276.6400000000001</v>
      </c>
    </row>
    <row r="3468" spans="2:6" x14ac:dyDescent="0.25">
      <c r="B3468" s="13">
        <v>32738</v>
      </c>
      <c r="C3468" s="15" t="s">
        <v>141</v>
      </c>
      <c r="D3468" s="13" t="s">
        <v>134</v>
      </c>
      <c r="E3468" s="13" t="s">
        <v>5953</v>
      </c>
      <c r="F3468" s="43">
        <v>5315.83</v>
      </c>
    </row>
    <row r="3469" spans="2:6" x14ac:dyDescent="0.25">
      <c r="B3469" s="13">
        <v>32804</v>
      </c>
      <c r="C3469" s="15" t="s">
        <v>141</v>
      </c>
      <c r="D3469" s="13" t="s">
        <v>134</v>
      </c>
      <c r="E3469" s="13" t="s">
        <v>5954</v>
      </c>
      <c r="F3469" s="43">
        <v>81.349999999999994</v>
      </c>
    </row>
    <row r="3470" spans="2:6" x14ac:dyDescent="0.25">
      <c r="B3470" s="13">
        <v>32805</v>
      </c>
      <c r="C3470" s="15" t="s">
        <v>141</v>
      </c>
      <c r="D3470" s="13" t="s">
        <v>134</v>
      </c>
      <c r="E3470" s="13" t="s">
        <v>5955</v>
      </c>
      <c r="F3470" s="43">
        <v>150.30000000000001</v>
      </c>
    </row>
    <row r="3471" spans="2:6" x14ac:dyDescent="0.25">
      <c r="B3471" s="13">
        <v>32806</v>
      </c>
      <c r="C3471" s="15" t="s">
        <v>141</v>
      </c>
      <c r="D3471" s="13" t="s">
        <v>134</v>
      </c>
      <c r="E3471" s="13" t="s">
        <v>5956</v>
      </c>
      <c r="F3471" s="43">
        <v>304.5</v>
      </c>
    </row>
    <row r="3472" spans="2:6" x14ac:dyDescent="0.25">
      <c r="B3472" s="13">
        <v>33961</v>
      </c>
      <c r="C3472" s="15" t="s">
        <v>141</v>
      </c>
      <c r="D3472" s="13" t="s">
        <v>134</v>
      </c>
      <c r="E3472" s="13" t="s">
        <v>5957</v>
      </c>
      <c r="F3472" s="43">
        <v>723.29</v>
      </c>
    </row>
    <row r="3473" spans="2:6" x14ac:dyDescent="0.25">
      <c r="B3473" s="13">
        <v>33963</v>
      </c>
      <c r="C3473" s="15" t="s">
        <v>141</v>
      </c>
      <c r="D3473" s="13" t="s">
        <v>134</v>
      </c>
      <c r="E3473" s="13" t="s">
        <v>5958</v>
      </c>
      <c r="F3473" s="43">
        <v>669.35</v>
      </c>
    </row>
    <row r="3474" spans="2:6" x14ac:dyDescent="0.25">
      <c r="B3474" s="13">
        <v>34472</v>
      </c>
      <c r="C3474" s="15" t="s">
        <v>141</v>
      </c>
      <c r="D3474" s="13" t="s">
        <v>134</v>
      </c>
      <c r="E3474" s="13" t="s">
        <v>5959</v>
      </c>
      <c r="F3474" s="43">
        <v>4339.2299999999996</v>
      </c>
    </row>
    <row r="3475" spans="2:6" x14ac:dyDescent="0.25">
      <c r="B3475" s="13">
        <v>34480</v>
      </c>
      <c r="C3475" s="15" t="s">
        <v>141</v>
      </c>
      <c r="D3475" s="13" t="s">
        <v>134</v>
      </c>
      <c r="E3475" s="13" t="s">
        <v>5960</v>
      </c>
      <c r="F3475" s="43">
        <v>493.7</v>
      </c>
    </row>
    <row r="3476" spans="2:6" x14ac:dyDescent="0.25">
      <c r="B3476" s="13">
        <v>34481</v>
      </c>
      <c r="C3476" s="15" t="s">
        <v>141</v>
      </c>
      <c r="D3476" s="13" t="s">
        <v>134</v>
      </c>
      <c r="E3476" s="13" t="s">
        <v>5961</v>
      </c>
      <c r="F3476" s="43">
        <v>567.54999999999995</v>
      </c>
    </row>
    <row r="3477" spans="2:6" x14ac:dyDescent="0.25">
      <c r="B3477" s="13">
        <v>34483</v>
      </c>
      <c r="C3477" s="15" t="s">
        <v>141</v>
      </c>
      <c r="D3477" s="13" t="s">
        <v>134</v>
      </c>
      <c r="E3477" s="13" t="s">
        <v>5962</v>
      </c>
      <c r="F3477" s="43">
        <v>1164.49</v>
      </c>
    </row>
    <row r="3478" spans="2:6" x14ac:dyDescent="0.25">
      <c r="B3478" s="13">
        <v>34484</v>
      </c>
      <c r="C3478" s="15" t="s">
        <v>141</v>
      </c>
      <c r="D3478" s="13" t="s">
        <v>134</v>
      </c>
      <c r="E3478" s="13" t="s">
        <v>5963</v>
      </c>
      <c r="F3478" s="43">
        <v>1625.31</v>
      </c>
    </row>
    <row r="3479" spans="2:6" x14ac:dyDescent="0.25">
      <c r="B3479" s="13">
        <v>34507</v>
      </c>
      <c r="C3479" s="15" t="s">
        <v>141</v>
      </c>
      <c r="D3479" s="13" t="s">
        <v>134</v>
      </c>
      <c r="E3479" s="13" t="s">
        <v>5964</v>
      </c>
      <c r="F3479" s="43">
        <v>583.46</v>
      </c>
    </row>
    <row r="3480" spans="2:6" x14ac:dyDescent="0.25">
      <c r="B3480" s="13">
        <v>34508</v>
      </c>
      <c r="C3480" s="15" t="s">
        <v>141</v>
      </c>
      <c r="D3480" s="13" t="s">
        <v>134</v>
      </c>
      <c r="E3480" s="13" t="s">
        <v>5965</v>
      </c>
      <c r="F3480" s="43">
        <v>951.23</v>
      </c>
    </row>
    <row r="3481" spans="2:6" x14ac:dyDescent="0.25">
      <c r="B3481" s="13">
        <v>34509</v>
      </c>
      <c r="C3481" s="15" t="s">
        <v>141</v>
      </c>
      <c r="D3481" s="13" t="s">
        <v>134</v>
      </c>
      <c r="E3481" s="13" t="s">
        <v>5966</v>
      </c>
      <c r="F3481" s="43">
        <v>1088.31</v>
      </c>
    </row>
    <row r="3482" spans="2:6" x14ac:dyDescent="0.25">
      <c r="B3482" s="13">
        <v>34510</v>
      </c>
      <c r="C3482" s="15" t="s">
        <v>141</v>
      </c>
      <c r="D3482" s="13" t="s">
        <v>134</v>
      </c>
      <c r="E3482" s="13" t="s">
        <v>5967</v>
      </c>
      <c r="F3482" s="43">
        <v>1518.98</v>
      </c>
    </row>
    <row r="3483" spans="2:6" x14ac:dyDescent="0.25">
      <c r="B3483" s="13">
        <v>34512</v>
      </c>
      <c r="C3483" s="15" t="s">
        <v>141</v>
      </c>
      <c r="D3483" s="13" t="s">
        <v>134</v>
      </c>
      <c r="E3483" s="13" t="s">
        <v>5968</v>
      </c>
      <c r="F3483" s="43">
        <v>790.53</v>
      </c>
    </row>
    <row r="3484" spans="2:6" x14ac:dyDescent="0.25">
      <c r="B3484" s="13">
        <v>34515</v>
      </c>
      <c r="C3484" s="15" t="s">
        <v>141</v>
      </c>
      <c r="D3484" s="13" t="s">
        <v>134</v>
      </c>
      <c r="E3484" s="13" t="s">
        <v>5969</v>
      </c>
      <c r="F3484" s="43">
        <v>2635.57</v>
      </c>
    </row>
    <row r="3485" spans="2:6" x14ac:dyDescent="0.25">
      <c r="B3485" s="13">
        <v>34588</v>
      </c>
      <c r="C3485" s="15" t="s">
        <v>141</v>
      </c>
      <c r="D3485" s="13" t="s">
        <v>134</v>
      </c>
      <c r="E3485" s="13" t="s">
        <v>5970</v>
      </c>
      <c r="F3485" s="43">
        <v>50.13</v>
      </c>
    </row>
    <row r="3486" spans="2:6" x14ac:dyDescent="0.25">
      <c r="B3486" s="13">
        <v>35898</v>
      </c>
      <c r="C3486" s="15" t="s">
        <v>141</v>
      </c>
      <c r="D3486" s="13" t="s">
        <v>134</v>
      </c>
      <c r="E3486" s="13" t="s">
        <v>5971</v>
      </c>
      <c r="F3486" s="43">
        <v>341.86</v>
      </c>
    </row>
    <row r="3487" spans="2:6" x14ac:dyDescent="0.25">
      <c r="B3487" s="13">
        <v>35901</v>
      </c>
      <c r="C3487" s="15" t="s">
        <v>141</v>
      </c>
      <c r="D3487" s="13" t="s">
        <v>134</v>
      </c>
      <c r="E3487" s="13" t="s">
        <v>5972</v>
      </c>
      <c r="F3487" s="43">
        <v>341.86</v>
      </c>
    </row>
    <row r="3488" spans="2:6" x14ac:dyDescent="0.25">
      <c r="B3488" s="13">
        <v>35905</v>
      </c>
      <c r="C3488" s="15" t="s">
        <v>141</v>
      </c>
      <c r="D3488" s="13" t="s">
        <v>134</v>
      </c>
      <c r="E3488" s="13" t="s">
        <v>5973</v>
      </c>
      <c r="F3488" s="43">
        <v>341.86</v>
      </c>
    </row>
    <row r="3489" spans="2:6" x14ac:dyDescent="0.25">
      <c r="B3489" s="13">
        <v>36128</v>
      </c>
      <c r="C3489" s="15" t="s">
        <v>141</v>
      </c>
      <c r="D3489" s="13" t="s">
        <v>134</v>
      </c>
      <c r="E3489" s="13" t="s">
        <v>5974</v>
      </c>
      <c r="F3489" s="43">
        <v>277.07</v>
      </c>
    </row>
    <row r="3490" spans="2:6" x14ac:dyDescent="0.25">
      <c r="B3490" s="13">
        <v>36133</v>
      </c>
      <c r="C3490" s="15" t="s">
        <v>141</v>
      </c>
      <c r="D3490" s="13" t="s">
        <v>134</v>
      </c>
      <c r="E3490" s="13" t="s">
        <v>5975</v>
      </c>
      <c r="F3490" s="43">
        <v>105.34</v>
      </c>
    </row>
    <row r="3491" spans="2:6" x14ac:dyDescent="0.25">
      <c r="B3491" s="13">
        <v>36134</v>
      </c>
      <c r="C3491" s="15" t="s">
        <v>141</v>
      </c>
      <c r="D3491" s="13" t="s">
        <v>134</v>
      </c>
      <c r="E3491" s="13" t="s">
        <v>5976</v>
      </c>
      <c r="F3491" s="43">
        <v>123.88</v>
      </c>
    </row>
    <row r="3492" spans="2:6" x14ac:dyDescent="0.25">
      <c r="B3492" s="13">
        <v>36135</v>
      </c>
      <c r="C3492" s="15" t="s">
        <v>141</v>
      </c>
      <c r="D3492" s="13" t="s">
        <v>134</v>
      </c>
      <c r="E3492" s="13" t="s">
        <v>5977</v>
      </c>
      <c r="F3492" s="43">
        <v>140.29</v>
      </c>
    </row>
    <row r="3493" spans="2:6" x14ac:dyDescent="0.25">
      <c r="B3493" s="13">
        <v>36136</v>
      </c>
      <c r="C3493" s="15" t="s">
        <v>141</v>
      </c>
      <c r="D3493" s="13" t="s">
        <v>134</v>
      </c>
      <c r="E3493" s="13" t="s">
        <v>5978</v>
      </c>
      <c r="F3493" s="43">
        <v>190.83</v>
      </c>
    </row>
    <row r="3494" spans="2:6" x14ac:dyDescent="0.25">
      <c r="B3494" s="13">
        <v>36137</v>
      </c>
      <c r="C3494" s="15" t="s">
        <v>141</v>
      </c>
      <c r="D3494" s="13" t="s">
        <v>134</v>
      </c>
      <c r="E3494" s="13" t="s">
        <v>5979</v>
      </c>
      <c r="F3494" s="43">
        <v>236.17</v>
      </c>
    </row>
    <row r="3495" spans="2:6" x14ac:dyDescent="0.25">
      <c r="B3495" s="13">
        <v>36138</v>
      </c>
      <c r="C3495" s="15" t="s">
        <v>141</v>
      </c>
      <c r="D3495" s="13" t="s">
        <v>134</v>
      </c>
      <c r="E3495" s="13" t="s">
        <v>5980</v>
      </c>
      <c r="F3495" s="43">
        <v>260.69</v>
      </c>
    </row>
    <row r="3496" spans="2:6" x14ac:dyDescent="0.25">
      <c r="B3496" s="13">
        <v>36173</v>
      </c>
      <c r="C3496" s="15" t="s">
        <v>141</v>
      </c>
      <c r="D3496" s="13" t="s">
        <v>134</v>
      </c>
      <c r="E3496" s="13" t="s">
        <v>5981</v>
      </c>
      <c r="F3496" s="43">
        <v>126.25</v>
      </c>
    </row>
    <row r="3497" spans="2:6" x14ac:dyDescent="0.25">
      <c r="B3497" s="13">
        <v>36174</v>
      </c>
      <c r="C3497" s="15" t="s">
        <v>141</v>
      </c>
      <c r="D3497" s="13" t="s">
        <v>134</v>
      </c>
      <c r="E3497" s="13" t="s">
        <v>5982</v>
      </c>
      <c r="F3497" s="43">
        <v>145.9</v>
      </c>
    </row>
    <row r="3498" spans="2:6" x14ac:dyDescent="0.25">
      <c r="B3498" s="13">
        <v>36175</v>
      </c>
      <c r="C3498" s="15" t="s">
        <v>141</v>
      </c>
      <c r="D3498" s="13" t="s">
        <v>134</v>
      </c>
      <c r="E3498" s="13" t="s">
        <v>5983</v>
      </c>
      <c r="F3498" s="43">
        <v>180.95</v>
      </c>
    </row>
    <row r="3499" spans="2:6" x14ac:dyDescent="0.25">
      <c r="B3499" s="13">
        <v>36176</v>
      </c>
      <c r="C3499" s="15" t="s">
        <v>141</v>
      </c>
      <c r="D3499" s="13" t="s">
        <v>134</v>
      </c>
      <c r="E3499" s="13" t="s">
        <v>5984</v>
      </c>
      <c r="F3499" s="43">
        <v>222.51</v>
      </c>
    </row>
    <row r="3500" spans="2:6" x14ac:dyDescent="0.25">
      <c r="B3500" s="13">
        <v>36177</v>
      </c>
      <c r="C3500" s="15" t="s">
        <v>141</v>
      </c>
      <c r="D3500" s="13" t="s">
        <v>134</v>
      </c>
      <c r="E3500" s="13" t="s">
        <v>5985</v>
      </c>
      <c r="F3500" s="43">
        <v>276.45999999999998</v>
      </c>
    </row>
    <row r="3501" spans="2:6" x14ac:dyDescent="0.25">
      <c r="B3501" s="13">
        <v>36178</v>
      </c>
      <c r="C3501" s="15" t="s">
        <v>141</v>
      </c>
      <c r="D3501" s="13" t="s">
        <v>134</v>
      </c>
      <c r="E3501" s="13" t="s">
        <v>5986</v>
      </c>
      <c r="F3501" s="43">
        <v>343.12</v>
      </c>
    </row>
    <row r="3502" spans="2:6" x14ac:dyDescent="0.25">
      <c r="B3502" s="13">
        <v>36213</v>
      </c>
      <c r="C3502" s="15" t="s">
        <v>141</v>
      </c>
      <c r="D3502" s="13" t="s">
        <v>134</v>
      </c>
      <c r="E3502" s="13" t="s">
        <v>5987</v>
      </c>
      <c r="F3502" s="43">
        <v>125.84</v>
      </c>
    </row>
    <row r="3503" spans="2:6" x14ac:dyDescent="0.25">
      <c r="B3503" s="13">
        <v>36214</v>
      </c>
      <c r="C3503" s="15" t="s">
        <v>141</v>
      </c>
      <c r="D3503" s="13" t="s">
        <v>134</v>
      </c>
      <c r="E3503" s="13" t="s">
        <v>5988</v>
      </c>
      <c r="F3503" s="43">
        <v>150.68</v>
      </c>
    </row>
    <row r="3504" spans="2:6" x14ac:dyDescent="0.25">
      <c r="B3504" s="13">
        <v>36215</v>
      </c>
      <c r="C3504" s="15" t="s">
        <v>141</v>
      </c>
      <c r="D3504" s="13" t="s">
        <v>134</v>
      </c>
      <c r="E3504" s="13" t="s">
        <v>5989</v>
      </c>
      <c r="F3504" s="43">
        <v>182.39</v>
      </c>
    </row>
    <row r="3505" spans="2:6" x14ac:dyDescent="0.25">
      <c r="B3505" s="13">
        <v>36217</v>
      </c>
      <c r="C3505" s="15" t="s">
        <v>141</v>
      </c>
      <c r="D3505" s="13" t="s">
        <v>134</v>
      </c>
      <c r="E3505" s="13" t="s">
        <v>5990</v>
      </c>
      <c r="F3505" s="43">
        <v>281.67</v>
      </c>
    </row>
    <row r="3506" spans="2:6" x14ac:dyDescent="0.25">
      <c r="B3506" s="13">
        <v>36218</v>
      </c>
      <c r="C3506" s="15" t="s">
        <v>141</v>
      </c>
      <c r="D3506" s="13" t="s">
        <v>134</v>
      </c>
      <c r="E3506" s="13" t="s">
        <v>5991</v>
      </c>
      <c r="F3506" s="43">
        <v>383.71</v>
      </c>
    </row>
    <row r="3507" spans="2:6" x14ac:dyDescent="0.25">
      <c r="B3507" s="13">
        <v>36501</v>
      </c>
      <c r="C3507" s="15" t="s">
        <v>141</v>
      </c>
      <c r="D3507" s="13" t="s">
        <v>134</v>
      </c>
      <c r="E3507" s="13" t="s">
        <v>5992</v>
      </c>
      <c r="F3507" s="43">
        <v>25.08</v>
      </c>
    </row>
    <row r="3508" spans="2:6" x14ac:dyDescent="0.25">
      <c r="B3508" s="13">
        <v>36502</v>
      </c>
      <c r="C3508" s="15" t="s">
        <v>141</v>
      </c>
      <c r="D3508" s="13" t="s">
        <v>134</v>
      </c>
      <c r="E3508" s="13" t="s">
        <v>5993</v>
      </c>
      <c r="F3508" s="43">
        <v>27.36</v>
      </c>
    </row>
    <row r="3509" spans="2:6" x14ac:dyDescent="0.25">
      <c r="B3509" s="13">
        <v>36503</v>
      </c>
      <c r="C3509" s="15" t="s">
        <v>141</v>
      </c>
      <c r="D3509" s="13" t="s">
        <v>134</v>
      </c>
      <c r="E3509" s="13" t="s">
        <v>5994</v>
      </c>
      <c r="F3509" s="43">
        <v>36.43</v>
      </c>
    </row>
    <row r="3510" spans="2:6" x14ac:dyDescent="0.25">
      <c r="B3510" s="13">
        <v>36504</v>
      </c>
      <c r="C3510" s="15" t="s">
        <v>141</v>
      </c>
      <c r="D3510" s="13" t="s">
        <v>134</v>
      </c>
      <c r="E3510" s="13" t="s">
        <v>5995</v>
      </c>
      <c r="F3510" s="43">
        <v>44.46</v>
      </c>
    </row>
    <row r="3511" spans="2:6" x14ac:dyDescent="0.25">
      <c r="B3511" s="13">
        <v>36505</v>
      </c>
      <c r="C3511" s="15" t="s">
        <v>141</v>
      </c>
      <c r="D3511" s="13" t="s">
        <v>134</v>
      </c>
      <c r="E3511" s="13" t="s">
        <v>5996</v>
      </c>
      <c r="F3511" s="43">
        <v>61.22</v>
      </c>
    </row>
    <row r="3512" spans="2:6" x14ac:dyDescent="0.25">
      <c r="B3512" s="13">
        <v>36506</v>
      </c>
      <c r="C3512" s="15" t="s">
        <v>141</v>
      </c>
      <c r="D3512" s="13" t="s">
        <v>134</v>
      </c>
      <c r="E3512" s="13" t="s">
        <v>5997</v>
      </c>
      <c r="F3512" s="43">
        <v>81.2</v>
      </c>
    </row>
    <row r="3513" spans="2:6" x14ac:dyDescent="0.25">
      <c r="B3513" s="13">
        <v>36507</v>
      </c>
      <c r="C3513" s="15" t="s">
        <v>141</v>
      </c>
      <c r="D3513" s="13" t="s">
        <v>134</v>
      </c>
      <c r="E3513" s="13" t="s">
        <v>5998</v>
      </c>
      <c r="F3513" s="43">
        <v>267.67</v>
      </c>
    </row>
    <row r="3514" spans="2:6" x14ac:dyDescent="0.25">
      <c r="B3514" s="13">
        <v>36508</v>
      </c>
      <c r="C3514" s="15" t="s">
        <v>141</v>
      </c>
      <c r="D3514" s="13" t="s">
        <v>134</v>
      </c>
      <c r="E3514" s="13" t="s">
        <v>5999</v>
      </c>
      <c r="F3514" s="43">
        <v>357.12</v>
      </c>
    </row>
    <row r="3515" spans="2:6" x14ac:dyDescent="0.25">
      <c r="B3515" s="13">
        <v>36509</v>
      </c>
      <c r="C3515" s="15" t="s">
        <v>141</v>
      </c>
      <c r="D3515" s="13" t="s">
        <v>134</v>
      </c>
      <c r="E3515" s="13" t="s">
        <v>6000</v>
      </c>
      <c r="F3515" s="43">
        <v>731.07</v>
      </c>
    </row>
    <row r="3516" spans="2:6" x14ac:dyDescent="0.25">
      <c r="B3516" s="13">
        <v>36511</v>
      </c>
      <c r="C3516" s="15" t="s">
        <v>141</v>
      </c>
      <c r="D3516" s="13" t="s">
        <v>134</v>
      </c>
      <c r="E3516" s="13" t="s">
        <v>6001</v>
      </c>
      <c r="F3516" s="43">
        <v>27.83</v>
      </c>
    </row>
    <row r="3517" spans="2:6" x14ac:dyDescent="0.25">
      <c r="B3517" s="13">
        <v>36512</v>
      </c>
      <c r="C3517" s="15" t="s">
        <v>141</v>
      </c>
      <c r="D3517" s="13" t="s">
        <v>134</v>
      </c>
      <c r="E3517" s="13" t="s">
        <v>6002</v>
      </c>
      <c r="F3517" s="43">
        <v>30.61</v>
      </c>
    </row>
    <row r="3518" spans="2:6" x14ac:dyDescent="0.25">
      <c r="B3518" s="13">
        <v>36513</v>
      </c>
      <c r="C3518" s="15" t="s">
        <v>141</v>
      </c>
      <c r="D3518" s="13" t="s">
        <v>134</v>
      </c>
      <c r="E3518" s="13" t="s">
        <v>6003</v>
      </c>
      <c r="F3518" s="43">
        <v>42.46</v>
      </c>
    </row>
    <row r="3519" spans="2:6" x14ac:dyDescent="0.25">
      <c r="B3519" s="13">
        <v>36514</v>
      </c>
      <c r="C3519" s="15" t="s">
        <v>141</v>
      </c>
      <c r="D3519" s="13" t="s">
        <v>134</v>
      </c>
      <c r="E3519" s="13" t="s">
        <v>6004</v>
      </c>
      <c r="F3519" s="43">
        <v>50.28</v>
      </c>
    </row>
    <row r="3520" spans="2:6" x14ac:dyDescent="0.25">
      <c r="B3520" s="13">
        <v>36515</v>
      </c>
      <c r="C3520" s="15" t="s">
        <v>141</v>
      </c>
      <c r="D3520" s="13" t="s">
        <v>134</v>
      </c>
      <c r="E3520" s="13" t="s">
        <v>6005</v>
      </c>
      <c r="F3520" s="43">
        <v>66.73</v>
      </c>
    </row>
    <row r="3521" spans="2:6" x14ac:dyDescent="0.25">
      <c r="B3521" s="13">
        <v>36516</v>
      </c>
      <c r="C3521" s="15" t="s">
        <v>141</v>
      </c>
      <c r="D3521" s="13" t="s">
        <v>134</v>
      </c>
      <c r="E3521" s="13" t="s">
        <v>6006</v>
      </c>
      <c r="F3521" s="43">
        <v>90.55</v>
      </c>
    </row>
    <row r="3522" spans="2:6" x14ac:dyDescent="0.25">
      <c r="B3522" s="13">
        <v>36517</v>
      </c>
      <c r="C3522" s="15" t="s">
        <v>141</v>
      </c>
      <c r="D3522" s="13" t="s">
        <v>134</v>
      </c>
      <c r="E3522" s="13" t="s">
        <v>6007</v>
      </c>
      <c r="F3522" s="43">
        <v>268.70999999999998</v>
      </c>
    </row>
    <row r="3523" spans="2:6" x14ac:dyDescent="0.25">
      <c r="B3523" s="13">
        <v>36518</v>
      </c>
      <c r="C3523" s="15" t="s">
        <v>141</v>
      </c>
      <c r="D3523" s="13" t="s">
        <v>134</v>
      </c>
      <c r="E3523" s="13" t="s">
        <v>6008</v>
      </c>
      <c r="F3523" s="43">
        <v>406.63</v>
      </c>
    </row>
    <row r="3524" spans="2:6" x14ac:dyDescent="0.25">
      <c r="B3524" s="13">
        <v>36519</v>
      </c>
      <c r="C3524" s="15" t="s">
        <v>141</v>
      </c>
      <c r="D3524" s="13" t="s">
        <v>134</v>
      </c>
      <c r="E3524" s="13" t="s">
        <v>6009</v>
      </c>
      <c r="F3524" s="43">
        <v>611.16</v>
      </c>
    </row>
    <row r="3525" spans="2:6" x14ac:dyDescent="0.25">
      <c r="B3525" s="13">
        <v>36692</v>
      </c>
      <c r="C3525" s="15" t="s">
        <v>141</v>
      </c>
      <c r="D3525" s="13" t="s">
        <v>134</v>
      </c>
      <c r="E3525" s="13" t="s">
        <v>6010</v>
      </c>
      <c r="F3525" s="43">
        <v>820.45</v>
      </c>
    </row>
    <row r="3526" spans="2:6" x14ac:dyDescent="0.25">
      <c r="B3526" s="13">
        <v>36694</v>
      </c>
      <c r="C3526" s="15" t="s">
        <v>141</v>
      </c>
      <c r="D3526" s="13" t="s">
        <v>134</v>
      </c>
      <c r="E3526" s="13" t="s">
        <v>6011</v>
      </c>
      <c r="F3526" s="43">
        <v>1499.9</v>
      </c>
    </row>
    <row r="3527" spans="2:6" x14ac:dyDescent="0.25">
      <c r="B3527" s="13">
        <v>36728</v>
      </c>
      <c r="C3527" s="15" t="s">
        <v>141</v>
      </c>
      <c r="D3527" s="13" t="s">
        <v>134</v>
      </c>
      <c r="E3527" s="13" t="s">
        <v>6012</v>
      </c>
      <c r="F3527" s="43">
        <v>518.47</v>
      </c>
    </row>
    <row r="3528" spans="2:6" x14ac:dyDescent="0.25">
      <c r="B3528" s="13">
        <v>36729</v>
      </c>
      <c r="C3528" s="15" t="s">
        <v>141</v>
      </c>
      <c r="D3528" s="13" t="s">
        <v>134</v>
      </c>
      <c r="E3528" s="13" t="s">
        <v>6013</v>
      </c>
      <c r="F3528" s="43">
        <v>456.2</v>
      </c>
    </row>
    <row r="3529" spans="2:6" x14ac:dyDescent="0.25">
      <c r="B3529" s="13">
        <v>36790</v>
      </c>
      <c r="C3529" s="15" t="s">
        <v>141</v>
      </c>
      <c r="D3529" s="13" t="s">
        <v>134</v>
      </c>
      <c r="E3529" s="13" t="s">
        <v>6014</v>
      </c>
      <c r="F3529" s="43">
        <v>287.77999999999997</v>
      </c>
    </row>
    <row r="3530" spans="2:6" x14ac:dyDescent="0.25">
      <c r="B3530" s="13">
        <v>36800</v>
      </c>
      <c r="C3530" s="15" t="s">
        <v>141</v>
      </c>
      <c r="D3530" s="13" t="s">
        <v>134</v>
      </c>
      <c r="E3530" s="13" t="s">
        <v>6015</v>
      </c>
      <c r="F3530" s="43">
        <v>409.6</v>
      </c>
    </row>
    <row r="3531" spans="2:6" x14ac:dyDescent="0.25">
      <c r="B3531" s="13">
        <v>37039</v>
      </c>
      <c r="C3531" s="15" t="s">
        <v>141</v>
      </c>
      <c r="D3531" s="13" t="s">
        <v>134</v>
      </c>
      <c r="E3531" s="13" t="s">
        <v>6016</v>
      </c>
      <c r="F3531" s="43">
        <v>32.090000000000003</v>
      </c>
    </row>
    <row r="3532" spans="2:6" x14ac:dyDescent="0.25">
      <c r="B3532" s="13">
        <v>37040</v>
      </c>
      <c r="C3532" s="15" t="s">
        <v>141</v>
      </c>
      <c r="D3532" s="13" t="s">
        <v>134</v>
      </c>
      <c r="E3532" s="13" t="s">
        <v>6017</v>
      </c>
      <c r="F3532" s="43">
        <v>37.79</v>
      </c>
    </row>
    <row r="3533" spans="2:6" x14ac:dyDescent="0.25">
      <c r="B3533" s="13">
        <v>37041</v>
      </c>
      <c r="C3533" s="15" t="s">
        <v>141</v>
      </c>
      <c r="D3533" s="13" t="s">
        <v>134</v>
      </c>
      <c r="E3533" s="13" t="s">
        <v>6018</v>
      </c>
      <c r="F3533" s="43">
        <v>47.78</v>
      </c>
    </row>
    <row r="3534" spans="2:6" x14ac:dyDescent="0.25">
      <c r="B3534" s="13">
        <v>37042</v>
      </c>
      <c r="C3534" s="15" t="s">
        <v>141</v>
      </c>
      <c r="D3534" s="13" t="s">
        <v>134</v>
      </c>
      <c r="E3534" s="13" t="s">
        <v>6019</v>
      </c>
      <c r="F3534" s="43">
        <v>61.87</v>
      </c>
    </row>
    <row r="3535" spans="2:6" x14ac:dyDescent="0.25">
      <c r="B3535" s="13">
        <v>37043</v>
      </c>
      <c r="C3535" s="15" t="s">
        <v>141</v>
      </c>
      <c r="D3535" s="13" t="s">
        <v>134</v>
      </c>
      <c r="E3535" s="13" t="s">
        <v>6020</v>
      </c>
      <c r="F3535" s="43">
        <v>83.61</v>
      </c>
    </row>
    <row r="3536" spans="2:6" x14ac:dyDescent="0.25">
      <c r="B3536" s="13">
        <v>37044</v>
      </c>
      <c r="C3536" s="15" t="s">
        <v>141</v>
      </c>
      <c r="D3536" s="13" t="s">
        <v>134</v>
      </c>
      <c r="E3536" s="13" t="s">
        <v>6021</v>
      </c>
      <c r="F3536" s="43">
        <v>109.69</v>
      </c>
    </row>
    <row r="3537" spans="2:6" x14ac:dyDescent="0.25">
      <c r="B3537" s="13">
        <v>37045</v>
      </c>
      <c r="C3537" s="15" t="s">
        <v>141</v>
      </c>
      <c r="D3537" s="13" t="s">
        <v>134</v>
      </c>
      <c r="E3537" s="13" t="s">
        <v>6022</v>
      </c>
      <c r="F3537" s="43">
        <v>295.04000000000002</v>
      </c>
    </row>
    <row r="3538" spans="2:6" x14ac:dyDescent="0.25">
      <c r="B3538" s="13">
        <v>37047</v>
      </c>
      <c r="C3538" s="15" t="s">
        <v>141</v>
      </c>
      <c r="D3538" s="13" t="s">
        <v>134</v>
      </c>
      <c r="E3538" s="13" t="s">
        <v>6023</v>
      </c>
      <c r="F3538" s="43">
        <v>33.69</v>
      </c>
    </row>
    <row r="3539" spans="2:6" x14ac:dyDescent="0.25">
      <c r="B3539" s="13">
        <v>37048</v>
      </c>
      <c r="C3539" s="15" t="s">
        <v>141</v>
      </c>
      <c r="D3539" s="13" t="s">
        <v>134</v>
      </c>
      <c r="E3539" s="13" t="s">
        <v>6024</v>
      </c>
      <c r="F3539" s="43">
        <v>40.64</v>
      </c>
    </row>
    <row r="3540" spans="2:6" x14ac:dyDescent="0.25">
      <c r="B3540" s="13">
        <v>37049</v>
      </c>
      <c r="C3540" s="15" t="s">
        <v>141</v>
      </c>
      <c r="D3540" s="13" t="s">
        <v>134</v>
      </c>
      <c r="E3540" s="13" t="s">
        <v>6025</v>
      </c>
      <c r="F3540" s="43">
        <v>50.49</v>
      </c>
    </row>
    <row r="3541" spans="2:6" x14ac:dyDescent="0.25">
      <c r="B3541" s="13">
        <v>37050</v>
      </c>
      <c r="C3541" s="15" t="s">
        <v>141</v>
      </c>
      <c r="D3541" s="13" t="s">
        <v>134</v>
      </c>
      <c r="E3541" s="13" t="s">
        <v>6026</v>
      </c>
      <c r="F3541" s="43">
        <v>68.25</v>
      </c>
    </row>
    <row r="3542" spans="2:6" x14ac:dyDescent="0.25">
      <c r="B3542" s="13">
        <v>37051</v>
      </c>
      <c r="C3542" s="15" t="s">
        <v>141</v>
      </c>
      <c r="D3542" s="13" t="s">
        <v>134</v>
      </c>
      <c r="E3542" s="13" t="s">
        <v>6027</v>
      </c>
      <c r="F3542" s="43">
        <v>88.74</v>
      </c>
    </row>
    <row r="3543" spans="2:6" x14ac:dyDescent="0.25">
      <c r="B3543" s="13">
        <v>37052</v>
      </c>
      <c r="C3543" s="15" t="s">
        <v>141</v>
      </c>
      <c r="D3543" s="13" t="s">
        <v>134</v>
      </c>
      <c r="E3543" s="13" t="s">
        <v>6028</v>
      </c>
      <c r="F3543" s="43">
        <v>114.59</v>
      </c>
    </row>
    <row r="3544" spans="2:6" x14ac:dyDescent="0.25">
      <c r="B3544" s="13">
        <v>37053</v>
      </c>
      <c r="C3544" s="15" t="s">
        <v>141</v>
      </c>
      <c r="D3544" s="13" t="s">
        <v>134</v>
      </c>
      <c r="E3544" s="13" t="s">
        <v>6029</v>
      </c>
      <c r="F3544" s="43">
        <v>286.02</v>
      </c>
    </row>
    <row r="3545" spans="2:6" x14ac:dyDescent="0.25">
      <c r="B3545" s="13">
        <v>37056</v>
      </c>
      <c r="C3545" s="15" t="s">
        <v>141</v>
      </c>
      <c r="D3545" s="13" t="s">
        <v>134</v>
      </c>
      <c r="E3545" s="13" t="s">
        <v>6030</v>
      </c>
      <c r="F3545" s="43">
        <v>359.44</v>
      </c>
    </row>
    <row r="3546" spans="2:6" x14ac:dyDescent="0.25">
      <c r="B3546" s="13">
        <v>37057</v>
      </c>
      <c r="C3546" s="15" t="s">
        <v>141</v>
      </c>
      <c r="D3546" s="13" t="s">
        <v>134</v>
      </c>
      <c r="E3546" s="13" t="s">
        <v>6031</v>
      </c>
      <c r="F3546" s="43">
        <v>849.64</v>
      </c>
    </row>
    <row r="3547" spans="2:6" x14ac:dyDescent="0.25">
      <c r="B3547" s="13">
        <v>37076</v>
      </c>
      <c r="C3547" s="15" t="s">
        <v>141</v>
      </c>
      <c r="D3547" s="13" t="s">
        <v>134</v>
      </c>
      <c r="E3547" s="13" t="s">
        <v>6032</v>
      </c>
      <c r="F3547" s="43">
        <v>461.1</v>
      </c>
    </row>
    <row r="3548" spans="2:6" x14ac:dyDescent="0.25">
      <c r="B3548" s="13">
        <v>37077</v>
      </c>
      <c r="C3548" s="15" t="s">
        <v>141</v>
      </c>
      <c r="D3548" s="13" t="s">
        <v>134</v>
      </c>
      <c r="E3548" s="13" t="s">
        <v>6033</v>
      </c>
      <c r="F3548" s="43">
        <v>516.61</v>
      </c>
    </row>
    <row r="3549" spans="2:6" x14ac:dyDescent="0.25">
      <c r="B3549" s="13">
        <v>41867</v>
      </c>
      <c r="C3549" s="15" t="s">
        <v>141</v>
      </c>
      <c r="D3549" s="13" t="s">
        <v>134</v>
      </c>
      <c r="E3549" s="13" t="s">
        <v>6034</v>
      </c>
      <c r="F3549" s="43">
        <v>409.16</v>
      </c>
    </row>
    <row r="3550" spans="2:6" x14ac:dyDescent="0.25">
      <c r="B3550" s="13">
        <v>41868</v>
      </c>
      <c r="C3550" s="15" t="s">
        <v>141</v>
      </c>
      <c r="D3550" s="13" t="s">
        <v>134</v>
      </c>
      <c r="E3550" s="13" t="s">
        <v>6035</v>
      </c>
      <c r="F3550" s="43">
        <v>913.05</v>
      </c>
    </row>
    <row r="3551" spans="2:6" x14ac:dyDescent="0.25">
      <c r="B3551" s="13">
        <v>41870</v>
      </c>
      <c r="C3551" s="15" t="s">
        <v>141</v>
      </c>
      <c r="D3551" s="13" t="s">
        <v>134</v>
      </c>
      <c r="E3551" s="13" t="s">
        <v>6036</v>
      </c>
      <c r="F3551" s="43">
        <v>424.73</v>
      </c>
    </row>
    <row r="3552" spans="2:6" x14ac:dyDescent="0.25">
      <c r="B3552" s="13">
        <v>41871</v>
      </c>
      <c r="C3552" s="15" t="s">
        <v>141</v>
      </c>
      <c r="D3552" s="13" t="s">
        <v>134</v>
      </c>
      <c r="E3552" s="13" t="s">
        <v>6037</v>
      </c>
      <c r="F3552" s="43">
        <v>774.09</v>
      </c>
    </row>
    <row r="3553" spans="2:6" x14ac:dyDescent="0.25">
      <c r="B3553" s="13">
        <v>41962</v>
      </c>
      <c r="C3553" s="15" t="s">
        <v>141</v>
      </c>
      <c r="D3553" s="13" t="s">
        <v>134</v>
      </c>
      <c r="E3553" s="13" t="s">
        <v>6038</v>
      </c>
      <c r="F3553" s="43">
        <v>0</v>
      </c>
    </row>
    <row r="3554" spans="2:6" x14ac:dyDescent="0.25">
      <c r="B3554" s="13">
        <v>41963</v>
      </c>
      <c r="C3554" s="15" t="s">
        <v>141</v>
      </c>
      <c r="D3554" s="13" t="s">
        <v>134</v>
      </c>
      <c r="E3554" s="13" t="s">
        <v>6039</v>
      </c>
      <c r="F3554" s="43">
        <v>0</v>
      </c>
    </row>
    <row r="3555" spans="2:6" x14ac:dyDescent="0.25">
      <c r="B3555" s="13">
        <v>41964</v>
      </c>
      <c r="C3555" s="15" t="s">
        <v>141</v>
      </c>
      <c r="D3555" s="13" t="s">
        <v>134</v>
      </c>
      <c r="E3555" s="13" t="s">
        <v>6040</v>
      </c>
      <c r="F3555" s="43">
        <v>0</v>
      </c>
    </row>
    <row r="3556" spans="2:6" x14ac:dyDescent="0.25">
      <c r="B3556" s="13">
        <v>41966</v>
      </c>
      <c r="C3556" s="15" t="s">
        <v>141</v>
      </c>
      <c r="D3556" s="13" t="s">
        <v>134</v>
      </c>
      <c r="E3556" s="13" t="s">
        <v>6041</v>
      </c>
      <c r="F3556" s="43">
        <v>0</v>
      </c>
    </row>
    <row r="3557" spans="2:6" x14ac:dyDescent="0.25">
      <c r="B3557" s="13">
        <v>41967</v>
      </c>
      <c r="C3557" s="15" t="s">
        <v>141</v>
      </c>
      <c r="D3557" s="13" t="s">
        <v>134</v>
      </c>
      <c r="E3557" s="13" t="s">
        <v>6042</v>
      </c>
      <c r="F3557" s="43">
        <v>0</v>
      </c>
    </row>
    <row r="3558" spans="2:6" x14ac:dyDescent="0.25">
      <c r="B3558" s="13">
        <v>41969</v>
      </c>
      <c r="C3558" s="15" t="s">
        <v>141</v>
      </c>
      <c r="D3558" s="13" t="s">
        <v>134</v>
      </c>
      <c r="E3558" s="13" t="s">
        <v>6043</v>
      </c>
      <c r="F3558" s="43">
        <v>0</v>
      </c>
    </row>
    <row r="3559" spans="2:6" x14ac:dyDescent="0.25">
      <c r="B3559" s="13">
        <v>42624</v>
      </c>
      <c r="C3559" s="15" t="s">
        <v>141</v>
      </c>
      <c r="D3559" s="13" t="s">
        <v>134</v>
      </c>
      <c r="E3559" s="13" t="s">
        <v>6044</v>
      </c>
      <c r="F3559" s="43">
        <v>86.87</v>
      </c>
    </row>
    <row r="3560" spans="2:6" x14ac:dyDescent="0.25">
      <c r="B3560" s="13">
        <v>42626</v>
      </c>
      <c r="C3560" s="15" t="s">
        <v>141</v>
      </c>
      <c r="D3560" s="13" t="s">
        <v>134</v>
      </c>
      <c r="E3560" s="13" t="s">
        <v>6045</v>
      </c>
      <c r="F3560" s="43">
        <v>68.819999999999993</v>
      </c>
    </row>
    <row r="3561" spans="2:6" x14ac:dyDescent="0.25">
      <c r="B3561" s="13">
        <v>42628</v>
      </c>
      <c r="C3561" s="15" t="s">
        <v>141</v>
      </c>
      <c r="D3561" s="13" t="s">
        <v>134</v>
      </c>
      <c r="E3561" s="13" t="s">
        <v>6046</v>
      </c>
      <c r="F3561" s="43">
        <v>0</v>
      </c>
    </row>
    <row r="3562" spans="2:6" x14ac:dyDescent="0.25">
      <c r="B3562" s="13">
        <v>42629</v>
      </c>
      <c r="C3562" s="15" t="s">
        <v>141</v>
      </c>
      <c r="D3562" s="13" t="s">
        <v>134</v>
      </c>
      <c r="E3562" s="13" t="s">
        <v>6047</v>
      </c>
      <c r="F3562" s="43">
        <v>0</v>
      </c>
    </row>
    <row r="3563" spans="2:6" x14ac:dyDescent="0.25">
      <c r="B3563" s="13">
        <v>42630</v>
      </c>
      <c r="C3563" s="15" t="s">
        <v>141</v>
      </c>
      <c r="D3563" s="13" t="s">
        <v>134</v>
      </c>
      <c r="E3563" s="13" t="s">
        <v>6048</v>
      </c>
      <c r="F3563" s="43">
        <v>0</v>
      </c>
    </row>
    <row r="3564" spans="2:6" x14ac:dyDescent="0.25">
      <c r="B3564" s="13">
        <v>42631</v>
      </c>
      <c r="C3564" s="15" t="s">
        <v>141</v>
      </c>
      <c r="D3564" s="13" t="s">
        <v>134</v>
      </c>
      <c r="E3564" s="13" t="s">
        <v>6049</v>
      </c>
      <c r="F3564" s="43">
        <v>0</v>
      </c>
    </row>
    <row r="3565" spans="2:6" x14ac:dyDescent="0.25">
      <c r="B3565" s="13">
        <v>42632</v>
      </c>
      <c r="C3565" s="15" t="s">
        <v>141</v>
      </c>
      <c r="D3565" s="13" t="s">
        <v>134</v>
      </c>
      <c r="E3565" s="13" t="s">
        <v>6050</v>
      </c>
      <c r="F3565" s="43">
        <v>0</v>
      </c>
    </row>
    <row r="3566" spans="2:6" x14ac:dyDescent="0.25">
      <c r="B3566" s="13">
        <v>42634</v>
      </c>
      <c r="C3566" s="15" t="s">
        <v>141</v>
      </c>
      <c r="D3566" s="13" t="s">
        <v>134</v>
      </c>
      <c r="E3566" s="13" t="s">
        <v>6051</v>
      </c>
      <c r="F3566" s="43">
        <v>0</v>
      </c>
    </row>
    <row r="3567" spans="2:6" x14ac:dyDescent="0.25">
      <c r="B3567" s="13">
        <v>42635</v>
      </c>
      <c r="C3567" s="15" t="s">
        <v>141</v>
      </c>
      <c r="D3567" s="13" t="s">
        <v>134</v>
      </c>
      <c r="E3567" s="13" t="s">
        <v>6052</v>
      </c>
      <c r="F3567" s="43">
        <v>0</v>
      </c>
    </row>
    <row r="3568" spans="2:6" x14ac:dyDescent="0.25">
      <c r="B3568" s="13">
        <v>42636</v>
      </c>
      <c r="C3568" s="15" t="s">
        <v>141</v>
      </c>
      <c r="D3568" s="13" t="s">
        <v>134</v>
      </c>
      <c r="E3568" s="13" t="s">
        <v>6053</v>
      </c>
      <c r="F3568" s="43">
        <v>0</v>
      </c>
    </row>
    <row r="3569" spans="2:6" x14ac:dyDescent="0.25">
      <c r="B3569" s="13">
        <v>42639</v>
      </c>
      <c r="C3569" s="15" t="s">
        <v>141</v>
      </c>
      <c r="D3569" s="13" t="s">
        <v>134</v>
      </c>
      <c r="E3569" s="13" t="s">
        <v>6054</v>
      </c>
      <c r="F3569" s="43">
        <v>0</v>
      </c>
    </row>
    <row r="3570" spans="2:6" x14ac:dyDescent="0.25">
      <c r="B3570" s="13">
        <v>42643</v>
      </c>
      <c r="C3570" s="15" t="s">
        <v>141</v>
      </c>
      <c r="D3570" s="13" t="s">
        <v>134</v>
      </c>
      <c r="E3570" s="13" t="s">
        <v>6055</v>
      </c>
      <c r="F3570" s="43">
        <v>0</v>
      </c>
    </row>
    <row r="3571" spans="2:6" x14ac:dyDescent="0.25">
      <c r="B3571" s="13">
        <v>42646</v>
      </c>
      <c r="C3571" s="15" t="s">
        <v>141</v>
      </c>
      <c r="D3571" s="13" t="s">
        <v>134</v>
      </c>
      <c r="E3571" s="13" t="s">
        <v>6056</v>
      </c>
      <c r="F3571" s="43">
        <v>3.07</v>
      </c>
    </row>
    <row r="3572" spans="2:6" x14ac:dyDescent="0.25">
      <c r="B3572" s="13">
        <v>42650</v>
      </c>
      <c r="C3572" s="15" t="s">
        <v>141</v>
      </c>
      <c r="D3572" s="13" t="s">
        <v>134</v>
      </c>
      <c r="E3572" s="13" t="s">
        <v>6057</v>
      </c>
      <c r="F3572" s="43">
        <v>0</v>
      </c>
    </row>
    <row r="3573" spans="2:6" x14ac:dyDescent="0.25">
      <c r="B3573" s="13">
        <v>42653</v>
      </c>
      <c r="C3573" s="15" t="s">
        <v>141</v>
      </c>
      <c r="D3573" s="13" t="s">
        <v>134</v>
      </c>
      <c r="E3573" s="13" t="s">
        <v>6058</v>
      </c>
      <c r="F3573" s="43">
        <v>9.26</v>
      </c>
    </row>
    <row r="3574" spans="2:6" x14ac:dyDescent="0.25">
      <c r="B3574" s="13">
        <v>42654</v>
      </c>
      <c r="C3574" s="15" t="s">
        <v>141</v>
      </c>
      <c r="D3574" s="13" t="s">
        <v>134</v>
      </c>
      <c r="E3574" s="13" t="s">
        <v>6059</v>
      </c>
      <c r="F3574" s="43">
        <v>0</v>
      </c>
    </row>
    <row r="3575" spans="2:6" x14ac:dyDescent="0.25">
      <c r="B3575" s="13">
        <v>42656</v>
      </c>
      <c r="C3575" s="15" t="s">
        <v>141</v>
      </c>
      <c r="D3575" s="13" t="s">
        <v>134</v>
      </c>
      <c r="E3575" s="13" t="s">
        <v>6060</v>
      </c>
      <c r="F3575" s="43">
        <v>0</v>
      </c>
    </row>
    <row r="3576" spans="2:6" x14ac:dyDescent="0.25">
      <c r="B3576" s="13">
        <v>42659</v>
      </c>
      <c r="C3576" s="15" t="s">
        <v>141</v>
      </c>
      <c r="D3576" s="13" t="s">
        <v>134</v>
      </c>
      <c r="E3576" s="13" t="s">
        <v>6061</v>
      </c>
      <c r="F3576" s="43">
        <v>0</v>
      </c>
    </row>
    <row r="3577" spans="2:6" x14ac:dyDescent="0.25">
      <c r="B3577" s="13">
        <v>42660</v>
      </c>
      <c r="C3577" s="15" t="s">
        <v>141</v>
      </c>
      <c r="D3577" s="13" t="s">
        <v>134</v>
      </c>
      <c r="E3577" s="13" t="s">
        <v>6062</v>
      </c>
      <c r="F3577" s="43">
        <v>31.14</v>
      </c>
    </row>
    <row r="3578" spans="2:6" x14ac:dyDescent="0.25">
      <c r="B3578" s="13">
        <v>42663</v>
      </c>
      <c r="C3578" s="15" t="s">
        <v>141</v>
      </c>
      <c r="D3578" s="13" t="s">
        <v>134</v>
      </c>
      <c r="E3578" s="13" t="s">
        <v>6063</v>
      </c>
      <c r="F3578" s="43">
        <v>0</v>
      </c>
    </row>
    <row r="3579" spans="2:6" x14ac:dyDescent="0.25">
      <c r="B3579" s="13">
        <v>42667</v>
      </c>
      <c r="C3579" s="15" t="s">
        <v>141</v>
      </c>
      <c r="D3579" s="13" t="s">
        <v>134</v>
      </c>
      <c r="E3579" s="13" t="s">
        <v>6064</v>
      </c>
      <c r="F3579" s="43">
        <v>64.28</v>
      </c>
    </row>
    <row r="3580" spans="2:6" x14ac:dyDescent="0.25">
      <c r="B3580" s="13">
        <v>42703</v>
      </c>
      <c r="C3580" s="15" t="s">
        <v>141</v>
      </c>
      <c r="D3580" s="13" t="s">
        <v>134</v>
      </c>
      <c r="E3580" s="13" t="s">
        <v>6065</v>
      </c>
      <c r="F3580" s="43">
        <v>0</v>
      </c>
    </row>
    <row r="3581" spans="2:6" x14ac:dyDescent="0.25">
      <c r="B3581" s="13">
        <v>42704</v>
      </c>
      <c r="C3581" s="15" t="s">
        <v>141</v>
      </c>
      <c r="D3581" s="13" t="s">
        <v>134</v>
      </c>
      <c r="E3581" s="13" t="s">
        <v>6066</v>
      </c>
      <c r="F3581" s="43">
        <v>113.6</v>
      </c>
    </row>
    <row r="3582" spans="2:6" x14ac:dyDescent="0.25">
      <c r="B3582" s="13">
        <v>42705</v>
      </c>
      <c r="C3582" s="15" t="s">
        <v>141</v>
      </c>
      <c r="D3582" s="13" t="s">
        <v>134</v>
      </c>
      <c r="E3582" s="13" t="s">
        <v>6067</v>
      </c>
      <c r="F3582" s="43">
        <v>0</v>
      </c>
    </row>
    <row r="3583" spans="2:6" x14ac:dyDescent="0.25">
      <c r="B3583" s="13">
        <v>42711</v>
      </c>
      <c r="C3583" s="15" t="s">
        <v>141</v>
      </c>
      <c r="D3583" s="13" t="s">
        <v>134</v>
      </c>
      <c r="E3583" s="13" t="s">
        <v>6068</v>
      </c>
      <c r="F3583" s="43">
        <v>0</v>
      </c>
    </row>
    <row r="3584" spans="2:6" x14ac:dyDescent="0.25">
      <c r="B3584" s="13">
        <v>42718</v>
      </c>
      <c r="C3584" s="15" t="s">
        <v>141</v>
      </c>
      <c r="D3584" s="13" t="s">
        <v>134</v>
      </c>
      <c r="E3584" s="13" t="s">
        <v>6069</v>
      </c>
      <c r="F3584" s="43">
        <v>0</v>
      </c>
    </row>
    <row r="3585" spans="2:6" x14ac:dyDescent="0.25">
      <c r="B3585" s="13">
        <v>42726</v>
      </c>
      <c r="C3585" s="15" t="s">
        <v>141</v>
      </c>
      <c r="D3585" s="13" t="s">
        <v>134</v>
      </c>
      <c r="E3585" s="13" t="s">
        <v>6070</v>
      </c>
      <c r="F3585" s="43">
        <v>0</v>
      </c>
    </row>
    <row r="3586" spans="2:6" x14ac:dyDescent="0.25">
      <c r="B3586" s="13">
        <v>42729</v>
      </c>
      <c r="C3586" s="15" t="s">
        <v>141</v>
      </c>
      <c r="D3586" s="13" t="s">
        <v>134</v>
      </c>
      <c r="E3586" s="13" t="s">
        <v>6071</v>
      </c>
      <c r="F3586" s="43">
        <v>70.22</v>
      </c>
    </row>
    <row r="3587" spans="2:6" x14ac:dyDescent="0.25">
      <c r="B3587" s="13">
        <v>42732</v>
      </c>
      <c r="C3587" s="15" t="s">
        <v>141</v>
      </c>
      <c r="D3587" s="13" t="s">
        <v>134</v>
      </c>
      <c r="E3587" s="13" t="s">
        <v>6072</v>
      </c>
      <c r="F3587" s="43">
        <v>113.75</v>
      </c>
    </row>
    <row r="3588" spans="2:6" x14ac:dyDescent="0.25">
      <c r="B3588" s="13">
        <v>42809</v>
      </c>
      <c r="C3588" s="15" t="s">
        <v>141</v>
      </c>
      <c r="D3588" s="13" t="s">
        <v>134</v>
      </c>
      <c r="E3588" s="13" t="s">
        <v>6073</v>
      </c>
      <c r="F3588" s="43">
        <v>0</v>
      </c>
    </row>
    <row r="3589" spans="2:6" x14ac:dyDescent="0.25">
      <c r="B3589" s="13">
        <v>42810</v>
      </c>
      <c r="C3589" s="15" t="s">
        <v>141</v>
      </c>
      <c r="D3589" s="13" t="s">
        <v>134</v>
      </c>
      <c r="E3589" s="13" t="s">
        <v>6074</v>
      </c>
      <c r="F3589" s="43">
        <v>0</v>
      </c>
    </row>
    <row r="3590" spans="2:6" x14ac:dyDescent="0.25">
      <c r="B3590" s="13">
        <v>42811</v>
      </c>
      <c r="C3590" s="15" t="s">
        <v>141</v>
      </c>
      <c r="D3590" s="13" t="s">
        <v>134</v>
      </c>
      <c r="E3590" s="13" t="s">
        <v>6075</v>
      </c>
      <c r="F3590" s="43">
        <v>3.72</v>
      </c>
    </row>
    <row r="3591" spans="2:6" x14ac:dyDescent="0.25">
      <c r="B3591" s="13">
        <v>42812</v>
      </c>
      <c r="C3591" s="15" t="s">
        <v>141</v>
      </c>
      <c r="D3591" s="13" t="s">
        <v>134</v>
      </c>
      <c r="E3591" s="13" t="s">
        <v>6076</v>
      </c>
      <c r="F3591" s="43">
        <v>0</v>
      </c>
    </row>
    <row r="3592" spans="2:6" x14ac:dyDescent="0.25">
      <c r="B3592" s="13">
        <v>42813</v>
      </c>
      <c r="C3592" s="15" t="s">
        <v>141</v>
      </c>
      <c r="D3592" s="13" t="s">
        <v>134</v>
      </c>
      <c r="E3592" s="13" t="s">
        <v>6077</v>
      </c>
      <c r="F3592" s="43">
        <v>0</v>
      </c>
    </row>
    <row r="3593" spans="2:6" x14ac:dyDescent="0.25">
      <c r="B3593" s="13">
        <v>42814</v>
      </c>
      <c r="C3593" s="15" t="s">
        <v>141</v>
      </c>
      <c r="D3593" s="13" t="s">
        <v>134</v>
      </c>
      <c r="E3593" s="13" t="s">
        <v>6078</v>
      </c>
      <c r="F3593" s="43">
        <v>12.76</v>
      </c>
    </row>
    <row r="3594" spans="2:6" x14ac:dyDescent="0.25">
      <c r="B3594" s="13">
        <v>42815</v>
      </c>
      <c r="C3594" s="15" t="s">
        <v>141</v>
      </c>
      <c r="D3594" s="13" t="s">
        <v>134</v>
      </c>
      <c r="E3594" s="13" t="s">
        <v>6079</v>
      </c>
      <c r="F3594" s="43">
        <v>0</v>
      </c>
    </row>
    <row r="3595" spans="2:6" x14ac:dyDescent="0.25">
      <c r="B3595" s="13">
        <v>42816</v>
      </c>
      <c r="C3595" s="15" t="s">
        <v>141</v>
      </c>
      <c r="D3595" s="13" t="s">
        <v>134</v>
      </c>
      <c r="E3595" s="13" t="s">
        <v>6080</v>
      </c>
      <c r="F3595" s="43">
        <v>40.03</v>
      </c>
    </row>
    <row r="3596" spans="2:6" x14ac:dyDescent="0.25">
      <c r="B3596" s="13">
        <v>42817</v>
      </c>
      <c r="C3596" s="15" t="s">
        <v>141</v>
      </c>
      <c r="D3596" s="13" t="s">
        <v>134</v>
      </c>
      <c r="E3596" s="13" t="s">
        <v>6081</v>
      </c>
      <c r="F3596" s="43">
        <v>0</v>
      </c>
    </row>
    <row r="3597" spans="2:6" x14ac:dyDescent="0.25">
      <c r="B3597" s="13">
        <v>43684</v>
      </c>
      <c r="C3597" s="15" t="s">
        <v>141</v>
      </c>
      <c r="D3597" s="13" t="s">
        <v>134</v>
      </c>
      <c r="E3597" s="13" t="s">
        <v>6082</v>
      </c>
      <c r="F3597" s="43">
        <v>341.86</v>
      </c>
    </row>
    <row r="3598" spans="2:6" x14ac:dyDescent="0.25">
      <c r="B3598" s="13">
        <v>43685</v>
      </c>
      <c r="C3598" s="15" t="s">
        <v>141</v>
      </c>
      <c r="D3598" s="13" t="s">
        <v>134</v>
      </c>
      <c r="E3598" s="13" t="s">
        <v>6083</v>
      </c>
      <c r="F3598" s="43">
        <v>341.86</v>
      </c>
    </row>
    <row r="3599" spans="2:6" x14ac:dyDescent="0.25">
      <c r="B3599" s="13">
        <v>43686</v>
      </c>
      <c r="C3599" s="15" t="s">
        <v>141</v>
      </c>
      <c r="D3599" s="13" t="s">
        <v>134</v>
      </c>
      <c r="E3599" s="13" t="s">
        <v>6084</v>
      </c>
      <c r="F3599" s="43">
        <v>341.86</v>
      </c>
    </row>
    <row r="3600" spans="2:6" x14ac:dyDescent="0.25">
      <c r="B3600" s="13">
        <v>43687</v>
      </c>
      <c r="C3600" s="15" t="s">
        <v>141</v>
      </c>
      <c r="D3600" s="13" t="s">
        <v>134</v>
      </c>
      <c r="E3600" s="13" t="s">
        <v>6085</v>
      </c>
      <c r="F3600" s="43">
        <v>258.98</v>
      </c>
    </row>
    <row r="3601" spans="2:6" x14ac:dyDescent="0.25">
      <c r="B3601" s="13">
        <v>43688</v>
      </c>
      <c r="C3601" s="15" t="s">
        <v>141</v>
      </c>
      <c r="D3601" s="13" t="s">
        <v>134</v>
      </c>
      <c r="E3601" s="13" t="s">
        <v>6086</v>
      </c>
      <c r="F3601" s="43">
        <v>341.86</v>
      </c>
    </row>
    <row r="3602" spans="2:6" x14ac:dyDescent="0.25">
      <c r="B3602" s="13">
        <v>43689</v>
      </c>
      <c r="C3602" s="15" t="s">
        <v>141</v>
      </c>
      <c r="D3602" s="13" t="s">
        <v>134</v>
      </c>
      <c r="E3602" s="13" t="s">
        <v>6087</v>
      </c>
      <c r="F3602" s="43">
        <v>341.86</v>
      </c>
    </row>
    <row r="3603" spans="2:6" x14ac:dyDescent="0.25">
      <c r="B3603" s="13">
        <v>43700</v>
      </c>
      <c r="C3603" s="15" t="s">
        <v>141</v>
      </c>
      <c r="D3603" s="13" t="s">
        <v>134</v>
      </c>
      <c r="E3603" s="13" t="s">
        <v>6088</v>
      </c>
      <c r="F3603" s="43">
        <v>456.1</v>
      </c>
    </row>
    <row r="3604" spans="2:6" x14ac:dyDescent="0.25">
      <c r="B3604" s="13">
        <v>44338</v>
      </c>
      <c r="C3604" s="15" t="s">
        <v>141</v>
      </c>
      <c r="D3604" s="13" t="s">
        <v>134</v>
      </c>
      <c r="E3604" s="13" t="s">
        <v>6089</v>
      </c>
      <c r="F3604" s="43">
        <v>70.739999999999995</v>
      </c>
    </row>
    <row r="3605" spans="2:6" x14ac:dyDescent="0.25">
      <c r="B3605" s="13">
        <v>44339</v>
      </c>
      <c r="C3605" s="15" t="s">
        <v>141</v>
      </c>
      <c r="D3605" s="13" t="s">
        <v>134</v>
      </c>
      <c r="E3605" s="13" t="s">
        <v>6090</v>
      </c>
      <c r="F3605" s="43">
        <v>84.07</v>
      </c>
    </row>
    <row r="3606" spans="2:6" x14ac:dyDescent="0.25">
      <c r="B3606" s="13">
        <v>44340</v>
      </c>
      <c r="C3606" s="15" t="s">
        <v>141</v>
      </c>
      <c r="D3606" s="13" t="s">
        <v>134</v>
      </c>
      <c r="E3606" s="13" t="s">
        <v>6091</v>
      </c>
      <c r="F3606" s="43">
        <v>108.59</v>
      </c>
    </row>
    <row r="3607" spans="2:6" x14ac:dyDescent="0.25">
      <c r="B3607" s="13">
        <v>44341</v>
      </c>
      <c r="C3607" s="15" t="s">
        <v>141</v>
      </c>
      <c r="D3607" s="13" t="s">
        <v>134</v>
      </c>
      <c r="E3607" s="13" t="s">
        <v>6092</v>
      </c>
      <c r="F3607" s="43">
        <v>137.80000000000001</v>
      </c>
    </row>
    <row r="3608" spans="2:6" x14ac:dyDescent="0.25">
      <c r="B3608" s="13">
        <v>44342</v>
      </c>
      <c r="C3608" s="15" t="s">
        <v>141</v>
      </c>
      <c r="D3608" s="13" t="s">
        <v>134</v>
      </c>
      <c r="E3608" s="13" t="s">
        <v>6093</v>
      </c>
      <c r="F3608" s="43">
        <v>186.42</v>
      </c>
    </row>
    <row r="3609" spans="2:6" x14ac:dyDescent="0.25">
      <c r="B3609" s="13">
        <v>44343</v>
      </c>
      <c r="C3609" s="15" t="s">
        <v>141</v>
      </c>
      <c r="D3609" s="13" t="s">
        <v>134</v>
      </c>
      <c r="E3609" s="13" t="s">
        <v>6094</v>
      </c>
      <c r="F3609" s="43">
        <v>214.98</v>
      </c>
    </row>
    <row r="3610" spans="2:6" x14ac:dyDescent="0.25">
      <c r="B3610" s="13">
        <v>44344</v>
      </c>
      <c r="C3610" s="15" t="s">
        <v>141</v>
      </c>
      <c r="D3610" s="13" t="s">
        <v>134</v>
      </c>
      <c r="E3610" s="13" t="s">
        <v>6095</v>
      </c>
      <c r="F3610" s="43">
        <v>75.48</v>
      </c>
    </row>
    <row r="3611" spans="2:6" x14ac:dyDescent="0.25">
      <c r="B3611" s="13">
        <v>44345</v>
      </c>
      <c r="C3611" s="15" t="s">
        <v>141</v>
      </c>
      <c r="D3611" s="13" t="s">
        <v>134</v>
      </c>
      <c r="E3611" s="13" t="s">
        <v>6096</v>
      </c>
      <c r="F3611" s="43">
        <v>89.61</v>
      </c>
    </row>
    <row r="3612" spans="2:6" x14ac:dyDescent="0.25">
      <c r="B3612" s="13">
        <v>44346</v>
      </c>
      <c r="C3612" s="15" t="s">
        <v>141</v>
      </c>
      <c r="D3612" s="13" t="s">
        <v>134</v>
      </c>
      <c r="E3612" s="13" t="s">
        <v>6097</v>
      </c>
      <c r="F3612" s="43">
        <v>114.75</v>
      </c>
    </row>
    <row r="3613" spans="2:6" x14ac:dyDescent="0.25">
      <c r="B3613" s="13">
        <v>44347</v>
      </c>
      <c r="C3613" s="15" t="s">
        <v>141</v>
      </c>
      <c r="D3613" s="13" t="s">
        <v>134</v>
      </c>
      <c r="E3613" s="13" t="s">
        <v>6098</v>
      </c>
      <c r="F3613" s="43">
        <v>144.78</v>
      </c>
    </row>
    <row r="3614" spans="2:6" x14ac:dyDescent="0.25">
      <c r="B3614" s="13">
        <v>44348</v>
      </c>
      <c r="C3614" s="15" t="s">
        <v>141</v>
      </c>
      <c r="D3614" s="13" t="s">
        <v>134</v>
      </c>
      <c r="E3614" s="13" t="s">
        <v>6099</v>
      </c>
      <c r="F3614" s="43">
        <v>198.01</v>
      </c>
    </row>
    <row r="3615" spans="2:6" x14ac:dyDescent="0.25">
      <c r="B3615" s="13">
        <v>44349</v>
      </c>
      <c r="C3615" s="15" t="s">
        <v>141</v>
      </c>
      <c r="D3615" s="13" t="s">
        <v>134</v>
      </c>
      <c r="E3615" s="13" t="s">
        <v>6100</v>
      </c>
      <c r="F3615" s="43">
        <v>252.43</v>
      </c>
    </row>
    <row r="3616" spans="2:6" x14ac:dyDescent="0.25">
      <c r="B3616" s="13">
        <v>46647</v>
      </c>
      <c r="C3616" s="15" t="s">
        <v>141</v>
      </c>
      <c r="D3616" s="13" t="s">
        <v>134</v>
      </c>
      <c r="E3616" s="13" t="s">
        <v>6101</v>
      </c>
      <c r="F3616" s="43">
        <v>1804.47</v>
      </c>
    </row>
    <row r="3617" spans="2:6" x14ac:dyDescent="0.25">
      <c r="B3617" s="13">
        <v>52708</v>
      </c>
      <c r="C3617" s="15" t="s">
        <v>141</v>
      </c>
      <c r="D3617" s="13" t="s">
        <v>134</v>
      </c>
      <c r="E3617" s="13" t="s">
        <v>6102</v>
      </c>
      <c r="F3617" s="43">
        <v>123.99</v>
      </c>
    </row>
    <row r="3618" spans="2:6" x14ac:dyDescent="0.25">
      <c r="B3618" s="13">
        <v>52711</v>
      </c>
      <c r="C3618" s="15" t="s">
        <v>141</v>
      </c>
      <c r="D3618" s="13" t="s">
        <v>134</v>
      </c>
      <c r="E3618" s="13" t="s">
        <v>6103</v>
      </c>
      <c r="F3618" s="43">
        <v>314.36</v>
      </c>
    </row>
    <row r="3619" spans="2:6" x14ac:dyDescent="0.25">
      <c r="B3619" s="13">
        <v>54503</v>
      </c>
      <c r="C3619" s="15" t="s">
        <v>141</v>
      </c>
      <c r="D3619" s="13" t="s">
        <v>134</v>
      </c>
      <c r="E3619" s="13" t="s">
        <v>6104</v>
      </c>
      <c r="F3619" s="43">
        <v>0</v>
      </c>
    </row>
    <row r="3620" spans="2:6" x14ac:dyDescent="0.25">
      <c r="B3620" s="13">
        <v>54504</v>
      </c>
      <c r="C3620" s="15" t="s">
        <v>141</v>
      </c>
      <c r="D3620" s="13" t="s">
        <v>134</v>
      </c>
      <c r="E3620" s="13" t="s">
        <v>6105</v>
      </c>
      <c r="F3620" s="43">
        <v>0</v>
      </c>
    </row>
    <row r="3621" spans="2:6" x14ac:dyDescent="0.25">
      <c r="B3621" s="13">
        <v>54505</v>
      </c>
      <c r="C3621" s="15" t="s">
        <v>141</v>
      </c>
      <c r="D3621" s="13" t="s">
        <v>134</v>
      </c>
      <c r="E3621" s="13" t="s">
        <v>6106</v>
      </c>
      <c r="F3621" s="43">
        <v>0</v>
      </c>
    </row>
    <row r="3622" spans="2:6" x14ac:dyDescent="0.25">
      <c r="B3622" s="13">
        <v>54506</v>
      </c>
      <c r="C3622" s="15" t="s">
        <v>141</v>
      </c>
      <c r="D3622" s="13" t="s">
        <v>134</v>
      </c>
      <c r="E3622" s="13" t="s">
        <v>6107</v>
      </c>
      <c r="F3622" s="43">
        <v>0</v>
      </c>
    </row>
    <row r="3623" spans="2:6" x14ac:dyDescent="0.25">
      <c r="B3623" s="13">
        <v>54507</v>
      </c>
      <c r="C3623" s="15" t="s">
        <v>141</v>
      </c>
      <c r="D3623" s="13" t="s">
        <v>134</v>
      </c>
      <c r="E3623" s="13" t="s">
        <v>6108</v>
      </c>
      <c r="F3623" s="43">
        <v>3.91</v>
      </c>
    </row>
    <row r="3624" spans="2:6" x14ac:dyDescent="0.25">
      <c r="B3624" s="13">
        <v>54508</v>
      </c>
      <c r="C3624" s="15" t="s">
        <v>141</v>
      </c>
      <c r="D3624" s="13" t="s">
        <v>134</v>
      </c>
      <c r="E3624" s="13" t="s">
        <v>6109</v>
      </c>
      <c r="F3624" s="43">
        <v>0</v>
      </c>
    </row>
    <row r="3625" spans="2:6" x14ac:dyDescent="0.25">
      <c r="B3625" s="13">
        <v>54509</v>
      </c>
      <c r="C3625" s="15" t="s">
        <v>141</v>
      </c>
      <c r="D3625" s="13" t="s">
        <v>134</v>
      </c>
      <c r="E3625" s="13" t="s">
        <v>6110</v>
      </c>
      <c r="F3625" s="43">
        <v>0</v>
      </c>
    </row>
    <row r="3626" spans="2:6" x14ac:dyDescent="0.25">
      <c r="B3626" s="13">
        <v>54510</v>
      </c>
      <c r="C3626" s="15" t="s">
        <v>141</v>
      </c>
      <c r="D3626" s="13" t="s">
        <v>134</v>
      </c>
      <c r="E3626" s="13" t="s">
        <v>6111</v>
      </c>
      <c r="F3626" s="43">
        <v>0</v>
      </c>
    </row>
    <row r="3627" spans="2:6" x14ac:dyDescent="0.25">
      <c r="B3627" s="13">
        <v>54511</v>
      </c>
      <c r="C3627" s="15" t="s">
        <v>141</v>
      </c>
      <c r="D3627" s="13" t="s">
        <v>134</v>
      </c>
      <c r="E3627" s="13" t="s">
        <v>6112</v>
      </c>
      <c r="F3627" s="43">
        <v>0</v>
      </c>
    </row>
    <row r="3628" spans="2:6" x14ac:dyDescent="0.25">
      <c r="B3628" s="13">
        <v>54817</v>
      </c>
      <c r="C3628" s="15" t="s">
        <v>141</v>
      </c>
      <c r="D3628" s="13" t="s">
        <v>134</v>
      </c>
      <c r="E3628" s="13" t="s">
        <v>6113</v>
      </c>
      <c r="F3628" s="43">
        <v>208.01</v>
      </c>
    </row>
    <row r="3629" spans="2:6" x14ac:dyDescent="0.25">
      <c r="B3629" s="13">
        <v>54818</v>
      </c>
      <c r="C3629" s="15" t="s">
        <v>141</v>
      </c>
      <c r="D3629" s="13" t="s">
        <v>134</v>
      </c>
      <c r="E3629" s="13" t="s">
        <v>6114</v>
      </c>
      <c r="F3629" s="43">
        <v>229.25</v>
      </c>
    </row>
    <row r="3630" spans="2:6" x14ac:dyDescent="0.25">
      <c r="B3630" s="13">
        <v>56663</v>
      </c>
      <c r="C3630" s="15" t="s">
        <v>141</v>
      </c>
      <c r="D3630" s="13" t="s">
        <v>134</v>
      </c>
      <c r="E3630" s="13" t="s">
        <v>6115</v>
      </c>
      <c r="F3630" s="43">
        <v>286.36</v>
      </c>
    </row>
    <row r="3631" spans="2:6" x14ac:dyDescent="0.25">
      <c r="B3631" s="13">
        <v>56664</v>
      </c>
      <c r="C3631" s="15" t="s">
        <v>141</v>
      </c>
      <c r="D3631" s="13" t="s">
        <v>134</v>
      </c>
      <c r="E3631" s="13" t="s">
        <v>6116</v>
      </c>
      <c r="F3631" s="43">
        <v>310.14</v>
      </c>
    </row>
    <row r="3632" spans="2:6" x14ac:dyDescent="0.25">
      <c r="B3632" s="13">
        <v>56675</v>
      </c>
      <c r="C3632" s="15" t="s">
        <v>141</v>
      </c>
      <c r="D3632" s="13" t="s">
        <v>134</v>
      </c>
      <c r="E3632" s="13" t="s">
        <v>6117</v>
      </c>
      <c r="F3632" s="43">
        <v>453.81</v>
      </c>
    </row>
    <row r="3633" spans="2:6" x14ac:dyDescent="0.25">
      <c r="B3633" s="13">
        <v>56676</v>
      </c>
      <c r="C3633" s="15" t="s">
        <v>141</v>
      </c>
      <c r="D3633" s="13" t="s">
        <v>134</v>
      </c>
      <c r="E3633" s="13" t="s">
        <v>6118</v>
      </c>
      <c r="F3633" s="43">
        <v>510.76</v>
      </c>
    </row>
    <row r="3634" spans="2:6" x14ac:dyDescent="0.25">
      <c r="B3634" s="13">
        <v>61963</v>
      </c>
      <c r="C3634" s="15" t="s">
        <v>141</v>
      </c>
      <c r="D3634" s="13" t="s">
        <v>134</v>
      </c>
      <c r="E3634" s="13" t="s">
        <v>6119</v>
      </c>
      <c r="F3634" s="43">
        <v>1516.82</v>
      </c>
    </row>
    <row r="3635" spans="2:6" x14ac:dyDescent="0.25">
      <c r="B3635" s="13">
        <v>61966</v>
      </c>
      <c r="C3635" s="15" t="s">
        <v>141</v>
      </c>
      <c r="D3635" s="13" t="s">
        <v>134</v>
      </c>
      <c r="E3635" s="13" t="s">
        <v>6120</v>
      </c>
      <c r="F3635" s="43">
        <v>2731.89</v>
      </c>
    </row>
    <row r="3636" spans="2:6" x14ac:dyDescent="0.25">
      <c r="B3636" s="13">
        <v>62206</v>
      </c>
      <c r="C3636" s="15" t="s">
        <v>141</v>
      </c>
      <c r="D3636" s="13" t="s">
        <v>134</v>
      </c>
      <c r="E3636" s="13" t="s">
        <v>6121</v>
      </c>
      <c r="F3636" s="43">
        <v>1.8</v>
      </c>
    </row>
    <row r="3637" spans="2:6" x14ac:dyDescent="0.25">
      <c r="B3637" s="13">
        <v>62207</v>
      </c>
      <c r="C3637" s="15" t="s">
        <v>141</v>
      </c>
      <c r="D3637" s="13" t="s">
        <v>134</v>
      </c>
      <c r="E3637" s="13" t="s">
        <v>6122</v>
      </c>
      <c r="F3637" s="43">
        <v>0</v>
      </c>
    </row>
    <row r="3638" spans="2:6" x14ac:dyDescent="0.25">
      <c r="B3638" s="13">
        <v>62208</v>
      </c>
      <c r="C3638" s="15" t="s">
        <v>141</v>
      </c>
      <c r="D3638" s="13" t="s">
        <v>134</v>
      </c>
      <c r="E3638" s="13" t="s">
        <v>6123</v>
      </c>
      <c r="F3638" s="43">
        <v>0</v>
      </c>
    </row>
    <row r="3639" spans="2:6" x14ac:dyDescent="0.25">
      <c r="B3639" s="13">
        <v>62209</v>
      </c>
      <c r="C3639" s="15" t="s">
        <v>141</v>
      </c>
      <c r="D3639" s="13" t="s">
        <v>134</v>
      </c>
      <c r="E3639" s="13" t="s">
        <v>6124</v>
      </c>
      <c r="F3639" s="43">
        <v>0</v>
      </c>
    </row>
    <row r="3640" spans="2:6" x14ac:dyDescent="0.25">
      <c r="B3640" s="13">
        <v>62210</v>
      </c>
      <c r="C3640" s="15" t="s">
        <v>141</v>
      </c>
      <c r="D3640" s="13" t="s">
        <v>134</v>
      </c>
      <c r="E3640" s="13" t="s">
        <v>6125</v>
      </c>
      <c r="F3640" s="43">
        <v>0</v>
      </c>
    </row>
    <row r="3641" spans="2:6" x14ac:dyDescent="0.25">
      <c r="B3641" s="13">
        <v>62211</v>
      </c>
      <c r="C3641" s="15" t="s">
        <v>141</v>
      </c>
      <c r="D3641" s="13" t="s">
        <v>134</v>
      </c>
      <c r="E3641" s="13" t="s">
        <v>6126</v>
      </c>
      <c r="F3641" s="43">
        <v>0.12</v>
      </c>
    </row>
    <row r="3642" spans="2:6" x14ac:dyDescent="0.25">
      <c r="B3642" s="13">
        <v>63215</v>
      </c>
      <c r="C3642" s="15" t="s">
        <v>141</v>
      </c>
      <c r="D3642" s="13" t="s">
        <v>134</v>
      </c>
      <c r="E3642" s="13" t="s">
        <v>6127</v>
      </c>
      <c r="F3642" s="43">
        <v>1316.24</v>
      </c>
    </row>
    <row r="3643" spans="2:6" x14ac:dyDescent="0.25">
      <c r="B3643" s="13">
        <v>63223</v>
      </c>
      <c r="C3643" s="15" t="s">
        <v>141</v>
      </c>
      <c r="D3643" s="13" t="s">
        <v>134</v>
      </c>
      <c r="E3643" s="13" t="s">
        <v>6128</v>
      </c>
      <c r="F3643" s="43">
        <v>14.78</v>
      </c>
    </row>
    <row r="3644" spans="2:6" x14ac:dyDescent="0.25">
      <c r="B3644" s="13">
        <v>63224</v>
      </c>
      <c r="C3644" s="15" t="s">
        <v>141</v>
      </c>
      <c r="D3644" s="13" t="s">
        <v>134</v>
      </c>
      <c r="E3644" s="13" t="s">
        <v>6129</v>
      </c>
      <c r="F3644" s="43">
        <v>21.97</v>
      </c>
    </row>
    <row r="3645" spans="2:6" x14ac:dyDescent="0.25">
      <c r="B3645" s="13">
        <v>63225</v>
      </c>
      <c r="C3645" s="15" t="s">
        <v>141</v>
      </c>
      <c r="D3645" s="13" t="s">
        <v>134</v>
      </c>
      <c r="E3645" s="13" t="s">
        <v>6130</v>
      </c>
      <c r="F3645" s="43">
        <v>47.39</v>
      </c>
    </row>
    <row r="3646" spans="2:6" x14ac:dyDescent="0.25">
      <c r="B3646" s="13">
        <v>63226</v>
      </c>
      <c r="C3646" s="15" t="s">
        <v>141</v>
      </c>
      <c r="D3646" s="13" t="s">
        <v>134</v>
      </c>
      <c r="E3646" s="13" t="s">
        <v>6131</v>
      </c>
      <c r="F3646" s="43">
        <v>58.91</v>
      </c>
    </row>
    <row r="3647" spans="2:6" x14ac:dyDescent="0.25">
      <c r="B3647" s="13">
        <v>63227</v>
      </c>
      <c r="C3647" s="15" t="s">
        <v>141</v>
      </c>
      <c r="D3647" s="13" t="s">
        <v>134</v>
      </c>
      <c r="E3647" s="13" t="s">
        <v>6132</v>
      </c>
      <c r="F3647" s="43">
        <v>74.97</v>
      </c>
    </row>
    <row r="3648" spans="2:6" x14ac:dyDescent="0.25">
      <c r="B3648" s="13">
        <v>63228</v>
      </c>
      <c r="C3648" s="15" t="s">
        <v>141</v>
      </c>
      <c r="D3648" s="13" t="s">
        <v>134</v>
      </c>
      <c r="E3648" s="13" t="s">
        <v>6133</v>
      </c>
      <c r="F3648" s="43">
        <v>123.06</v>
      </c>
    </row>
    <row r="3649" spans="2:6" x14ac:dyDescent="0.25">
      <c r="B3649" s="13">
        <v>63229</v>
      </c>
      <c r="C3649" s="15" t="s">
        <v>141</v>
      </c>
      <c r="D3649" s="13" t="s">
        <v>134</v>
      </c>
      <c r="E3649" s="13" t="s">
        <v>6134</v>
      </c>
      <c r="F3649" s="43">
        <v>159.02000000000001</v>
      </c>
    </row>
    <row r="3650" spans="2:6" x14ac:dyDescent="0.25">
      <c r="B3650" s="13">
        <v>63230</v>
      </c>
      <c r="C3650" s="15" t="s">
        <v>141</v>
      </c>
      <c r="D3650" s="13" t="s">
        <v>134</v>
      </c>
      <c r="E3650" s="13" t="s">
        <v>6135</v>
      </c>
      <c r="F3650" s="43">
        <v>228.16</v>
      </c>
    </row>
    <row r="3651" spans="2:6" x14ac:dyDescent="0.25">
      <c r="B3651" s="13">
        <v>63231</v>
      </c>
      <c r="C3651" s="15" t="s">
        <v>141</v>
      </c>
      <c r="D3651" s="13" t="s">
        <v>134</v>
      </c>
      <c r="E3651" s="13" t="s">
        <v>6136</v>
      </c>
      <c r="F3651" s="43">
        <v>375.51</v>
      </c>
    </row>
    <row r="3652" spans="2:6" x14ac:dyDescent="0.25">
      <c r="B3652" s="13">
        <v>64589</v>
      </c>
      <c r="C3652" s="15" t="s">
        <v>141</v>
      </c>
      <c r="D3652" s="13" t="s">
        <v>134</v>
      </c>
      <c r="E3652" s="13" t="s">
        <v>6137</v>
      </c>
      <c r="F3652" s="43">
        <v>1.17</v>
      </c>
    </row>
    <row r="3653" spans="2:6" x14ac:dyDescent="0.25">
      <c r="B3653" s="13">
        <v>64915</v>
      </c>
      <c r="C3653" s="15" t="s">
        <v>141</v>
      </c>
      <c r="D3653" s="13" t="s">
        <v>134</v>
      </c>
      <c r="E3653" s="13" t="s">
        <v>6138</v>
      </c>
      <c r="F3653" s="43">
        <v>1.17</v>
      </c>
    </row>
    <row r="3654" spans="2:6" x14ac:dyDescent="0.25">
      <c r="B3654" s="13">
        <v>64916</v>
      </c>
      <c r="C3654" s="15" t="s">
        <v>141</v>
      </c>
      <c r="D3654" s="13" t="s">
        <v>134</v>
      </c>
      <c r="E3654" s="13" t="s">
        <v>6139</v>
      </c>
      <c r="F3654" s="43">
        <v>1.17</v>
      </c>
    </row>
    <row r="3655" spans="2:6" x14ac:dyDescent="0.25">
      <c r="B3655" s="13">
        <v>67181</v>
      </c>
      <c r="C3655" s="15" t="s">
        <v>141</v>
      </c>
      <c r="D3655" s="13" t="s">
        <v>134</v>
      </c>
      <c r="E3655" s="13" t="s">
        <v>6140</v>
      </c>
      <c r="F3655" s="43">
        <v>0</v>
      </c>
    </row>
    <row r="3656" spans="2:6" x14ac:dyDescent="0.25">
      <c r="B3656" s="13">
        <v>67183</v>
      </c>
      <c r="C3656" s="15" t="s">
        <v>141</v>
      </c>
      <c r="D3656" s="13" t="s">
        <v>134</v>
      </c>
      <c r="E3656" s="13" t="s">
        <v>6141</v>
      </c>
      <c r="F3656" s="43">
        <v>0</v>
      </c>
    </row>
    <row r="3657" spans="2:6" x14ac:dyDescent="0.25">
      <c r="B3657" s="13">
        <v>68859</v>
      </c>
      <c r="C3657" s="15" t="s">
        <v>141</v>
      </c>
      <c r="D3657" s="13" t="s">
        <v>134</v>
      </c>
      <c r="E3657" s="13" t="s">
        <v>6142</v>
      </c>
      <c r="F3657" s="43">
        <v>0</v>
      </c>
    </row>
    <row r="3658" spans="2:6" x14ac:dyDescent="0.25">
      <c r="B3658" s="13">
        <v>68993</v>
      </c>
      <c r="C3658" s="15" t="s">
        <v>141</v>
      </c>
      <c r="D3658" s="13" t="s">
        <v>134</v>
      </c>
      <c r="E3658" s="13" t="s">
        <v>6143</v>
      </c>
      <c r="F3658" s="43">
        <v>0</v>
      </c>
    </row>
    <row r="3659" spans="2:6" x14ac:dyDescent="0.25">
      <c r="B3659" s="13">
        <v>69134</v>
      </c>
      <c r="C3659" s="15" t="s">
        <v>141</v>
      </c>
      <c r="D3659" s="13" t="s">
        <v>134</v>
      </c>
      <c r="E3659" s="13" t="s">
        <v>6144</v>
      </c>
      <c r="F3659" s="43">
        <v>0</v>
      </c>
    </row>
    <row r="3660" spans="2:6" x14ac:dyDescent="0.25">
      <c r="B3660" s="13">
        <v>69135</v>
      </c>
      <c r="C3660" s="15" t="s">
        <v>141</v>
      </c>
      <c r="D3660" s="13" t="s">
        <v>134</v>
      </c>
      <c r="E3660" s="13" t="s">
        <v>6145</v>
      </c>
      <c r="F3660" s="43">
        <v>0</v>
      </c>
    </row>
    <row r="3661" spans="2:6" x14ac:dyDescent="0.25">
      <c r="B3661" s="13">
        <v>69137</v>
      </c>
      <c r="C3661" s="15" t="s">
        <v>141</v>
      </c>
      <c r="D3661" s="13" t="s">
        <v>134</v>
      </c>
      <c r="E3661" s="13" t="s">
        <v>6146</v>
      </c>
      <c r="F3661" s="43">
        <v>0</v>
      </c>
    </row>
    <row r="3662" spans="2:6" x14ac:dyDescent="0.25">
      <c r="B3662" s="13">
        <v>69208</v>
      </c>
      <c r="C3662" s="15" t="s">
        <v>141</v>
      </c>
      <c r="D3662" s="13" t="s">
        <v>134</v>
      </c>
      <c r="E3662" s="13" t="s">
        <v>6147</v>
      </c>
      <c r="F3662" s="43">
        <v>87.32</v>
      </c>
    </row>
    <row r="3663" spans="2:6" x14ac:dyDescent="0.25">
      <c r="B3663" s="13">
        <v>69209</v>
      </c>
      <c r="C3663" s="15" t="s">
        <v>141</v>
      </c>
      <c r="D3663" s="13" t="s">
        <v>134</v>
      </c>
      <c r="E3663" s="13" t="s">
        <v>6148</v>
      </c>
      <c r="F3663" s="43">
        <v>102.37</v>
      </c>
    </row>
    <row r="3664" spans="2:6" x14ac:dyDescent="0.25">
      <c r="B3664" s="13">
        <v>69210</v>
      </c>
      <c r="C3664" s="15" t="s">
        <v>141</v>
      </c>
      <c r="D3664" s="13" t="s">
        <v>134</v>
      </c>
      <c r="E3664" s="13" t="s">
        <v>6149</v>
      </c>
      <c r="F3664" s="43">
        <v>130.18</v>
      </c>
    </row>
    <row r="3665" spans="2:6" x14ac:dyDescent="0.25">
      <c r="B3665" s="13">
        <v>69211</v>
      </c>
      <c r="C3665" s="15" t="s">
        <v>141</v>
      </c>
      <c r="D3665" s="13" t="s">
        <v>134</v>
      </c>
      <c r="E3665" s="13" t="s">
        <v>6150</v>
      </c>
      <c r="F3665" s="43">
        <v>161.83000000000001</v>
      </c>
    </row>
    <row r="3666" spans="2:6" x14ac:dyDescent="0.25">
      <c r="B3666" s="13">
        <v>69212</v>
      </c>
      <c r="C3666" s="15" t="s">
        <v>141</v>
      </c>
      <c r="D3666" s="13" t="s">
        <v>134</v>
      </c>
      <c r="E3666" s="13" t="s">
        <v>6151</v>
      </c>
      <c r="F3666" s="43">
        <v>197.94</v>
      </c>
    </row>
    <row r="3667" spans="2:6" x14ac:dyDescent="0.25">
      <c r="B3667" s="13">
        <v>69213</v>
      </c>
      <c r="C3667" s="15" t="s">
        <v>141</v>
      </c>
      <c r="D3667" s="13" t="s">
        <v>134</v>
      </c>
      <c r="E3667" s="13" t="s">
        <v>6152</v>
      </c>
      <c r="F3667" s="43">
        <v>255.91</v>
      </c>
    </row>
    <row r="3668" spans="2:6" x14ac:dyDescent="0.25">
      <c r="B3668" s="13">
        <v>69214</v>
      </c>
      <c r="C3668" s="15" t="s">
        <v>141</v>
      </c>
      <c r="D3668" s="13" t="s">
        <v>134</v>
      </c>
      <c r="E3668" s="13" t="s">
        <v>6153</v>
      </c>
      <c r="F3668" s="43">
        <v>728.85</v>
      </c>
    </row>
    <row r="3669" spans="2:6" x14ac:dyDescent="0.25">
      <c r="B3669" s="13">
        <v>69215</v>
      </c>
      <c r="C3669" s="15" t="s">
        <v>141</v>
      </c>
      <c r="D3669" s="13" t="s">
        <v>134</v>
      </c>
      <c r="E3669" s="13" t="s">
        <v>6154</v>
      </c>
      <c r="F3669" s="43">
        <v>634.07000000000005</v>
      </c>
    </row>
    <row r="3670" spans="2:6" x14ac:dyDescent="0.25">
      <c r="B3670" s="13">
        <v>7003200</v>
      </c>
      <c r="C3670" s="15" t="s">
        <v>141</v>
      </c>
      <c r="D3670" s="13" t="s">
        <v>134</v>
      </c>
      <c r="E3670" s="13" t="s">
        <v>6155</v>
      </c>
      <c r="F3670" s="43">
        <v>305.82</v>
      </c>
    </row>
    <row r="3671" spans="2:6" x14ac:dyDescent="0.25">
      <c r="B3671" s="13">
        <v>7003250</v>
      </c>
      <c r="C3671" s="15" t="s">
        <v>141</v>
      </c>
      <c r="D3671" s="13" t="s">
        <v>134</v>
      </c>
      <c r="E3671" s="13" t="s">
        <v>6156</v>
      </c>
      <c r="F3671" s="43">
        <v>467.66</v>
      </c>
    </row>
    <row r="3672" spans="2:6" x14ac:dyDescent="0.25">
      <c r="B3672" s="13">
        <v>7003315</v>
      </c>
      <c r="C3672" s="15" t="s">
        <v>141</v>
      </c>
      <c r="D3672" s="13" t="s">
        <v>134</v>
      </c>
      <c r="E3672" s="13" t="s">
        <v>6157</v>
      </c>
      <c r="F3672" s="43">
        <v>890.08</v>
      </c>
    </row>
    <row r="3673" spans="2:6" x14ac:dyDescent="0.25">
      <c r="B3673" s="13">
        <v>7004164</v>
      </c>
      <c r="C3673" s="15" t="s">
        <v>141</v>
      </c>
      <c r="D3673" s="13" t="s">
        <v>134</v>
      </c>
      <c r="E3673" s="13" t="s">
        <v>6158</v>
      </c>
      <c r="F3673" s="43">
        <v>154.97</v>
      </c>
    </row>
    <row r="3674" spans="2:6" x14ac:dyDescent="0.25">
      <c r="B3674" s="13">
        <v>7004165</v>
      </c>
      <c r="C3674" s="15" t="s">
        <v>141</v>
      </c>
      <c r="D3674" s="13" t="s">
        <v>134</v>
      </c>
      <c r="E3674" s="13" t="s">
        <v>6159</v>
      </c>
      <c r="F3674" s="43">
        <v>159.77000000000001</v>
      </c>
    </row>
    <row r="3675" spans="2:6" x14ac:dyDescent="0.25">
      <c r="B3675" s="13">
        <v>7004201</v>
      </c>
      <c r="C3675" s="15" t="s">
        <v>141</v>
      </c>
      <c r="D3675" s="13" t="s">
        <v>134</v>
      </c>
      <c r="E3675" s="13" t="s">
        <v>6160</v>
      </c>
      <c r="F3675" s="43">
        <v>237.92</v>
      </c>
    </row>
    <row r="3676" spans="2:6" x14ac:dyDescent="0.25">
      <c r="B3676" s="13">
        <v>7004206</v>
      </c>
      <c r="C3676" s="15" t="s">
        <v>141</v>
      </c>
      <c r="D3676" s="13" t="s">
        <v>134</v>
      </c>
      <c r="E3676" s="13" t="s">
        <v>6161</v>
      </c>
      <c r="F3676" s="43">
        <v>226.93</v>
      </c>
    </row>
    <row r="3677" spans="2:6" x14ac:dyDescent="0.25">
      <c r="B3677" s="13">
        <v>7004207</v>
      </c>
      <c r="C3677" s="15" t="s">
        <v>141</v>
      </c>
      <c r="D3677" s="13" t="s">
        <v>134</v>
      </c>
      <c r="E3677" s="13" t="s">
        <v>6162</v>
      </c>
      <c r="F3677" s="43">
        <v>212.54</v>
      </c>
    </row>
    <row r="3678" spans="2:6" x14ac:dyDescent="0.25">
      <c r="B3678" s="13">
        <v>7004209</v>
      </c>
      <c r="C3678" s="15" t="s">
        <v>141</v>
      </c>
      <c r="D3678" s="13" t="s">
        <v>134</v>
      </c>
      <c r="E3678" s="13" t="s">
        <v>6163</v>
      </c>
      <c r="F3678" s="43">
        <v>253.89</v>
      </c>
    </row>
    <row r="3679" spans="2:6" x14ac:dyDescent="0.25">
      <c r="B3679" s="13">
        <v>7004216</v>
      </c>
      <c r="C3679" s="15" t="s">
        <v>141</v>
      </c>
      <c r="D3679" s="13" t="s">
        <v>134</v>
      </c>
      <c r="E3679" s="13" t="s">
        <v>6164</v>
      </c>
      <c r="F3679" s="43">
        <v>272.92</v>
      </c>
    </row>
    <row r="3680" spans="2:6" x14ac:dyDescent="0.25">
      <c r="B3680" s="13">
        <v>24530105</v>
      </c>
      <c r="C3680" s="15" t="s">
        <v>141</v>
      </c>
      <c r="D3680" s="13" t="s">
        <v>134</v>
      </c>
      <c r="E3680" s="13" t="s">
        <v>6165</v>
      </c>
      <c r="F3680" s="43">
        <v>8.5299999999999994</v>
      </c>
    </row>
    <row r="3681" spans="2:6" x14ac:dyDescent="0.25">
      <c r="B3681" s="13">
        <v>24540105</v>
      </c>
      <c r="C3681" s="15" t="s">
        <v>141</v>
      </c>
      <c r="D3681" s="13" t="s">
        <v>134</v>
      </c>
      <c r="E3681" s="13" t="s">
        <v>6166</v>
      </c>
      <c r="F3681" s="43">
        <v>17.02</v>
      </c>
    </row>
    <row r="3682" spans="2:6" x14ac:dyDescent="0.25">
      <c r="B3682" s="13">
        <v>24550105</v>
      </c>
      <c r="C3682" s="15" t="s">
        <v>141</v>
      </c>
      <c r="D3682" s="13" t="s">
        <v>134</v>
      </c>
      <c r="E3682" s="13" t="s">
        <v>6167</v>
      </c>
      <c r="F3682" s="43">
        <v>19.73</v>
      </c>
    </row>
    <row r="3683" spans="2:6" x14ac:dyDescent="0.25">
      <c r="B3683" s="13">
        <v>24560105</v>
      </c>
      <c r="C3683" s="15" t="s">
        <v>141</v>
      </c>
      <c r="D3683" s="13" t="s">
        <v>134</v>
      </c>
      <c r="E3683" s="13" t="s">
        <v>6168</v>
      </c>
      <c r="F3683" s="43">
        <v>23.4</v>
      </c>
    </row>
    <row r="3684" spans="2:6" x14ac:dyDescent="0.25">
      <c r="B3684" s="13">
        <v>24570105</v>
      </c>
      <c r="C3684" s="15" t="s">
        <v>141</v>
      </c>
      <c r="D3684" s="13" t="s">
        <v>134</v>
      </c>
      <c r="E3684" s="13" t="s">
        <v>6169</v>
      </c>
      <c r="F3684" s="43">
        <v>25.93</v>
      </c>
    </row>
    <row r="3685" spans="2:6" x14ac:dyDescent="0.25">
      <c r="B3685" s="13">
        <v>24570121</v>
      </c>
      <c r="C3685" s="15" t="s">
        <v>141</v>
      </c>
      <c r="D3685" s="13" t="s">
        <v>134</v>
      </c>
      <c r="E3685" s="13" t="s">
        <v>6170</v>
      </c>
      <c r="F3685" s="43">
        <v>0</v>
      </c>
    </row>
    <row r="3686" spans="2:6" x14ac:dyDescent="0.25">
      <c r="B3686" s="13">
        <v>24580102</v>
      </c>
      <c r="C3686" s="15" t="s">
        <v>141</v>
      </c>
      <c r="D3686" s="13" t="s">
        <v>134</v>
      </c>
      <c r="E3686" s="13" t="s">
        <v>6171</v>
      </c>
      <c r="F3686" s="43">
        <v>7</v>
      </c>
    </row>
    <row r="3687" spans="2:6" x14ac:dyDescent="0.25">
      <c r="B3687" s="13">
        <v>24580105</v>
      </c>
      <c r="C3687" s="15" t="s">
        <v>141</v>
      </c>
      <c r="D3687" s="13" t="s">
        <v>134</v>
      </c>
      <c r="E3687" s="13" t="s">
        <v>6172</v>
      </c>
      <c r="F3687" s="43">
        <v>25.93</v>
      </c>
    </row>
    <row r="3688" spans="2:6" x14ac:dyDescent="0.25">
      <c r="B3688" s="13">
        <v>24580107</v>
      </c>
      <c r="C3688" s="15" t="s">
        <v>141</v>
      </c>
      <c r="D3688" s="13" t="s">
        <v>134</v>
      </c>
      <c r="E3688" s="13" t="s">
        <v>6173</v>
      </c>
      <c r="F3688" s="43">
        <v>1.03</v>
      </c>
    </row>
    <row r="3689" spans="2:6" x14ac:dyDescent="0.25">
      <c r="B3689" s="13">
        <v>24590102</v>
      </c>
      <c r="C3689" s="15" t="s">
        <v>141</v>
      </c>
      <c r="D3689" s="13" t="s">
        <v>134</v>
      </c>
      <c r="E3689" s="13" t="s">
        <v>6174</v>
      </c>
      <c r="F3689" s="43">
        <v>13.58</v>
      </c>
    </row>
    <row r="3690" spans="2:6" x14ac:dyDescent="0.25">
      <c r="B3690" s="13">
        <v>24590105</v>
      </c>
      <c r="C3690" s="15" t="s">
        <v>141</v>
      </c>
      <c r="D3690" s="13" t="s">
        <v>134</v>
      </c>
      <c r="E3690" s="13" t="s">
        <v>6175</v>
      </c>
      <c r="F3690" s="43">
        <v>37.380000000000003</v>
      </c>
    </row>
    <row r="3691" spans="2:6" x14ac:dyDescent="0.25">
      <c r="B3691" s="13">
        <v>24590107</v>
      </c>
      <c r="C3691" s="15" t="s">
        <v>141</v>
      </c>
      <c r="D3691" s="13" t="s">
        <v>134</v>
      </c>
      <c r="E3691" s="13" t="s">
        <v>6176</v>
      </c>
      <c r="F3691" s="43">
        <v>1.6</v>
      </c>
    </row>
    <row r="3692" spans="2:6" x14ac:dyDescent="0.25">
      <c r="B3692" s="13">
        <v>24590121</v>
      </c>
      <c r="C3692" s="15" t="s">
        <v>141</v>
      </c>
      <c r="D3692" s="13" t="s">
        <v>134</v>
      </c>
      <c r="E3692" s="13" t="s">
        <v>6177</v>
      </c>
      <c r="F3692" s="43">
        <v>0</v>
      </c>
    </row>
    <row r="3693" spans="2:6" x14ac:dyDescent="0.25">
      <c r="B3693" s="13">
        <v>24590124</v>
      </c>
      <c r="C3693" s="15" t="s">
        <v>141</v>
      </c>
      <c r="D3693" s="13" t="s">
        <v>134</v>
      </c>
      <c r="E3693" s="13" t="s">
        <v>6178</v>
      </c>
      <c r="F3693" s="43">
        <v>14.05</v>
      </c>
    </row>
    <row r="3694" spans="2:6" x14ac:dyDescent="0.25">
      <c r="B3694" s="13">
        <v>24590129</v>
      </c>
      <c r="C3694" s="15" t="s">
        <v>141</v>
      </c>
      <c r="D3694" s="13" t="s">
        <v>134</v>
      </c>
      <c r="E3694" s="13" t="s">
        <v>6179</v>
      </c>
      <c r="F3694" s="43">
        <v>6</v>
      </c>
    </row>
    <row r="3695" spans="2:6" x14ac:dyDescent="0.25">
      <c r="B3695" s="13">
        <v>24600102</v>
      </c>
      <c r="C3695" s="15" t="s">
        <v>141</v>
      </c>
      <c r="D3695" s="13" t="s">
        <v>134</v>
      </c>
      <c r="E3695" s="13" t="s">
        <v>6180</v>
      </c>
      <c r="F3695" s="43">
        <v>24.88</v>
      </c>
    </row>
    <row r="3696" spans="2:6" x14ac:dyDescent="0.25">
      <c r="B3696" s="13">
        <v>24600105</v>
      </c>
      <c r="C3696" s="15" t="s">
        <v>141</v>
      </c>
      <c r="D3696" s="13" t="s">
        <v>134</v>
      </c>
      <c r="E3696" s="13" t="s">
        <v>6181</v>
      </c>
      <c r="F3696" s="43">
        <v>47.44</v>
      </c>
    </row>
    <row r="3697" spans="2:6" x14ac:dyDescent="0.25">
      <c r="B3697" s="13">
        <v>24600107</v>
      </c>
      <c r="C3697" s="15" t="s">
        <v>141</v>
      </c>
      <c r="D3697" s="13" t="s">
        <v>134</v>
      </c>
      <c r="E3697" s="13" t="s">
        <v>6182</v>
      </c>
      <c r="F3697" s="43">
        <v>2.86</v>
      </c>
    </row>
    <row r="3698" spans="2:6" x14ac:dyDescent="0.25">
      <c r="B3698" s="13">
        <v>24600121</v>
      </c>
      <c r="C3698" s="15" t="s">
        <v>141</v>
      </c>
      <c r="D3698" s="13" t="s">
        <v>134</v>
      </c>
      <c r="E3698" s="13" t="s">
        <v>6183</v>
      </c>
      <c r="F3698" s="43">
        <v>0</v>
      </c>
    </row>
    <row r="3699" spans="2:6" x14ac:dyDescent="0.25">
      <c r="B3699" s="13">
        <v>24600124</v>
      </c>
      <c r="C3699" s="15" t="s">
        <v>141</v>
      </c>
      <c r="D3699" s="13" t="s">
        <v>134</v>
      </c>
      <c r="E3699" s="13" t="s">
        <v>6184</v>
      </c>
      <c r="F3699" s="43">
        <v>19.95</v>
      </c>
    </row>
    <row r="3700" spans="2:6" x14ac:dyDescent="0.25">
      <c r="B3700" s="13">
        <v>24600129</v>
      </c>
      <c r="C3700" s="15" t="s">
        <v>141</v>
      </c>
      <c r="D3700" s="13" t="s">
        <v>134</v>
      </c>
      <c r="E3700" s="13" t="s">
        <v>6185</v>
      </c>
      <c r="F3700" s="43">
        <v>8.67</v>
      </c>
    </row>
    <row r="3701" spans="2:6" x14ac:dyDescent="0.25">
      <c r="B3701" s="13">
        <v>24610105</v>
      </c>
      <c r="C3701" s="15" t="s">
        <v>141</v>
      </c>
      <c r="D3701" s="13" t="s">
        <v>134</v>
      </c>
      <c r="E3701" s="13" t="s">
        <v>6186</v>
      </c>
      <c r="F3701" s="43">
        <v>57.57</v>
      </c>
    </row>
    <row r="3702" spans="2:6" x14ac:dyDescent="0.25">
      <c r="B3702" s="13">
        <v>24630105</v>
      </c>
      <c r="C3702" s="15" t="s">
        <v>141</v>
      </c>
      <c r="D3702" s="13" t="s">
        <v>134</v>
      </c>
      <c r="E3702" s="13" t="s">
        <v>6187</v>
      </c>
      <c r="F3702" s="43">
        <v>18.72</v>
      </c>
    </row>
    <row r="3703" spans="2:6" x14ac:dyDescent="0.25">
      <c r="B3703" s="13">
        <v>24640105</v>
      </c>
      <c r="C3703" s="15" t="s">
        <v>141</v>
      </c>
      <c r="D3703" s="13" t="s">
        <v>134</v>
      </c>
      <c r="E3703" s="13" t="s">
        <v>6188</v>
      </c>
      <c r="F3703" s="43">
        <v>19.73</v>
      </c>
    </row>
    <row r="3704" spans="2:6" x14ac:dyDescent="0.25">
      <c r="B3704" s="13">
        <v>24650105</v>
      </c>
      <c r="C3704" s="15" t="s">
        <v>141</v>
      </c>
      <c r="D3704" s="13" t="s">
        <v>134</v>
      </c>
      <c r="E3704" s="13" t="s">
        <v>6189</v>
      </c>
      <c r="F3704" s="43">
        <v>23.4</v>
      </c>
    </row>
    <row r="3705" spans="2:6" x14ac:dyDescent="0.25">
      <c r="B3705" s="13">
        <v>24660105</v>
      </c>
      <c r="C3705" s="15" t="s">
        <v>141</v>
      </c>
      <c r="D3705" s="13" t="s">
        <v>134</v>
      </c>
      <c r="E3705" s="13" t="s">
        <v>6190</v>
      </c>
      <c r="F3705" s="43">
        <v>23.58</v>
      </c>
    </row>
    <row r="3706" spans="2:6" x14ac:dyDescent="0.25">
      <c r="B3706" s="13">
        <v>24670105</v>
      </c>
      <c r="C3706" s="15" t="s">
        <v>141</v>
      </c>
      <c r="D3706" s="13" t="s">
        <v>134</v>
      </c>
      <c r="E3706" s="13" t="s">
        <v>6191</v>
      </c>
      <c r="F3706" s="43">
        <v>23.58</v>
      </c>
    </row>
    <row r="3707" spans="2:6" x14ac:dyDescent="0.25">
      <c r="B3707" s="13">
        <v>24680105</v>
      </c>
      <c r="C3707" s="15" t="s">
        <v>141</v>
      </c>
      <c r="D3707" s="13" t="s">
        <v>134</v>
      </c>
      <c r="E3707" s="13" t="s">
        <v>6192</v>
      </c>
      <c r="F3707" s="43">
        <v>41.11</v>
      </c>
    </row>
    <row r="3708" spans="2:6" x14ac:dyDescent="0.25">
      <c r="B3708" s="13">
        <v>24690105</v>
      </c>
      <c r="C3708" s="15" t="s">
        <v>141</v>
      </c>
      <c r="D3708" s="13" t="s">
        <v>134</v>
      </c>
      <c r="E3708" s="13" t="s">
        <v>6193</v>
      </c>
      <c r="F3708" s="43">
        <v>43.13</v>
      </c>
    </row>
    <row r="3709" spans="2:6" x14ac:dyDescent="0.25">
      <c r="B3709" s="13">
        <v>24860129</v>
      </c>
      <c r="C3709" s="15" t="s">
        <v>141</v>
      </c>
      <c r="D3709" s="13" t="s">
        <v>134</v>
      </c>
      <c r="E3709" s="13" t="s">
        <v>6194</v>
      </c>
      <c r="F3709" s="43">
        <v>43.72</v>
      </c>
    </row>
    <row r="3710" spans="2:6" x14ac:dyDescent="0.25">
      <c r="B3710" s="13">
        <v>24870129</v>
      </c>
      <c r="C3710" s="15" t="s">
        <v>141</v>
      </c>
      <c r="D3710" s="13" t="s">
        <v>134</v>
      </c>
      <c r="E3710" s="13" t="s">
        <v>6195</v>
      </c>
      <c r="F3710" s="43">
        <v>52.93</v>
      </c>
    </row>
    <row r="3711" spans="2:6" x14ac:dyDescent="0.25">
      <c r="B3711" s="13">
        <v>24880129</v>
      </c>
      <c r="C3711" s="15" t="s">
        <v>141</v>
      </c>
      <c r="D3711" s="13" t="s">
        <v>134</v>
      </c>
      <c r="E3711" s="13" t="s">
        <v>6196</v>
      </c>
      <c r="F3711" s="43">
        <v>77.2</v>
      </c>
    </row>
    <row r="3712" spans="2:6" x14ac:dyDescent="0.25">
      <c r="B3712" s="13">
        <v>24890129</v>
      </c>
      <c r="C3712" s="15" t="s">
        <v>141</v>
      </c>
      <c r="D3712" s="13" t="s">
        <v>134</v>
      </c>
      <c r="E3712" s="13" t="s">
        <v>6197</v>
      </c>
      <c r="F3712" s="43">
        <v>91.94</v>
      </c>
    </row>
    <row r="3713" spans="2:6" x14ac:dyDescent="0.25">
      <c r="B3713" s="13">
        <v>24900129</v>
      </c>
      <c r="C3713" s="15" t="s">
        <v>141</v>
      </c>
      <c r="D3713" s="13" t="s">
        <v>134</v>
      </c>
      <c r="E3713" s="13" t="s">
        <v>6198</v>
      </c>
      <c r="F3713" s="43">
        <v>123.26</v>
      </c>
    </row>
    <row r="3714" spans="2:6" x14ac:dyDescent="0.25">
      <c r="B3714" s="13">
        <v>24910129</v>
      </c>
      <c r="C3714" s="15" t="s">
        <v>141</v>
      </c>
      <c r="D3714" s="13" t="s">
        <v>134</v>
      </c>
      <c r="E3714" s="13" t="s">
        <v>6199</v>
      </c>
      <c r="F3714" s="43">
        <v>163.15</v>
      </c>
    </row>
    <row r="3715" spans="2:6" x14ac:dyDescent="0.25">
      <c r="B3715" s="13">
        <v>24920129</v>
      </c>
      <c r="C3715" s="15" t="s">
        <v>141</v>
      </c>
      <c r="D3715" s="13" t="s">
        <v>134</v>
      </c>
      <c r="E3715" s="13" t="s">
        <v>6200</v>
      </c>
      <c r="F3715" s="43">
        <v>508.87</v>
      </c>
    </row>
    <row r="3716" spans="2:6" x14ac:dyDescent="0.25">
      <c r="B3716" s="13">
        <v>24930129</v>
      </c>
      <c r="C3716" s="15" t="s">
        <v>141</v>
      </c>
      <c r="D3716" s="13" t="s">
        <v>134</v>
      </c>
      <c r="E3716" s="13" t="s">
        <v>6201</v>
      </c>
      <c r="F3716" s="43">
        <v>685.74</v>
      </c>
    </row>
    <row r="3717" spans="2:6" x14ac:dyDescent="0.25">
      <c r="B3717" s="13">
        <v>25020121</v>
      </c>
      <c r="C3717" s="15" t="s">
        <v>141</v>
      </c>
      <c r="D3717" s="13" t="s">
        <v>134</v>
      </c>
      <c r="E3717" s="13" t="s">
        <v>6202</v>
      </c>
      <c r="F3717" s="43">
        <v>0</v>
      </c>
    </row>
    <row r="3718" spans="2:6" x14ac:dyDescent="0.25">
      <c r="B3718" s="13">
        <v>53540105</v>
      </c>
      <c r="C3718" s="15" t="s">
        <v>141</v>
      </c>
      <c r="D3718" s="13" t="s">
        <v>134</v>
      </c>
      <c r="E3718" s="13" t="s">
        <v>6203</v>
      </c>
      <c r="F3718" s="43">
        <v>52.76</v>
      </c>
    </row>
    <row r="3719" spans="2:6" x14ac:dyDescent="0.25">
      <c r="B3719" s="13">
        <v>59073013</v>
      </c>
      <c r="C3719" s="15" t="s">
        <v>141</v>
      </c>
      <c r="D3719" s="13" t="s">
        <v>134</v>
      </c>
      <c r="E3719" s="13" t="s">
        <v>6204</v>
      </c>
      <c r="F3719" s="43">
        <v>9.64</v>
      </c>
    </row>
    <row r="3720" spans="2:6" x14ac:dyDescent="0.25">
      <c r="B3720" s="13">
        <v>113740105</v>
      </c>
      <c r="C3720" s="15" t="s">
        <v>141</v>
      </c>
      <c r="D3720" s="13" t="s">
        <v>134</v>
      </c>
      <c r="E3720" s="13" t="s">
        <v>6205</v>
      </c>
      <c r="F3720" s="43">
        <v>5.84</v>
      </c>
    </row>
    <row r="3721" spans="2:6" x14ac:dyDescent="0.25">
      <c r="B3721" s="13">
        <v>113750124</v>
      </c>
      <c r="C3721" s="15" t="s">
        <v>141</v>
      </c>
      <c r="D3721" s="13" t="s">
        <v>134</v>
      </c>
      <c r="E3721" s="13" t="s">
        <v>6206</v>
      </c>
      <c r="F3721" s="43">
        <v>4.67</v>
      </c>
    </row>
    <row r="3722" spans="2:6" x14ac:dyDescent="0.25">
      <c r="B3722" s="13">
        <v>113750129</v>
      </c>
      <c r="C3722" s="15" t="s">
        <v>141</v>
      </c>
      <c r="D3722" s="13" t="s">
        <v>134</v>
      </c>
      <c r="E3722" s="13" t="s">
        <v>6207</v>
      </c>
      <c r="F3722" s="43">
        <v>3.52</v>
      </c>
    </row>
    <row r="3723" spans="2:6" x14ac:dyDescent="0.25">
      <c r="B3723" s="13">
        <v>158260124</v>
      </c>
      <c r="C3723" s="15" t="s">
        <v>141</v>
      </c>
      <c r="D3723" s="13" t="s">
        <v>134</v>
      </c>
      <c r="E3723" s="13" t="s">
        <v>6208</v>
      </c>
      <c r="F3723" s="43">
        <v>3.21</v>
      </c>
    </row>
    <row r="3724" spans="2:6" x14ac:dyDescent="0.25">
      <c r="B3724" s="13">
        <v>158260129</v>
      </c>
      <c r="C3724" s="15" t="s">
        <v>141</v>
      </c>
      <c r="D3724" s="13" t="s">
        <v>134</v>
      </c>
      <c r="E3724" s="13" t="s">
        <v>6209</v>
      </c>
      <c r="F3724" s="43">
        <v>4</v>
      </c>
    </row>
    <row r="3725" spans="2:6" x14ac:dyDescent="0.25">
      <c r="B3725" s="13">
        <v>158270105</v>
      </c>
      <c r="C3725" s="15" t="s">
        <v>141</v>
      </c>
      <c r="D3725" s="13" t="s">
        <v>134</v>
      </c>
      <c r="E3725" s="13" t="s">
        <v>6210</v>
      </c>
      <c r="F3725" s="43">
        <v>9.18</v>
      </c>
    </row>
    <row r="3726" spans="2:6" x14ac:dyDescent="0.25">
      <c r="B3726" s="13">
        <v>227770105</v>
      </c>
      <c r="C3726" s="15" t="s">
        <v>141</v>
      </c>
      <c r="D3726" s="13" t="s">
        <v>134</v>
      </c>
      <c r="E3726" s="13" t="s">
        <v>6211</v>
      </c>
      <c r="F3726" s="43">
        <v>11.31</v>
      </c>
    </row>
    <row r="3727" spans="2:6" x14ac:dyDescent="0.25">
      <c r="B3727" s="13">
        <v>227770124</v>
      </c>
      <c r="C3727" s="15" t="s">
        <v>141</v>
      </c>
      <c r="D3727" s="13" t="s">
        <v>134</v>
      </c>
      <c r="E3727" s="13" t="s">
        <v>6212</v>
      </c>
      <c r="F3727" s="43">
        <v>14</v>
      </c>
    </row>
    <row r="3728" spans="2:6" x14ac:dyDescent="0.25">
      <c r="B3728" s="13">
        <v>227780105</v>
      </c>
      <c r="C3728" s="15" t="s">
        <v>141</v>
      </c>
      <c r="D3728" s="13" t="s">
        <v>134</v>
      </c>
      <c r="E3728" s="13" t="s">
        <v>6213</v>
      </c>
      <c r="F3728" s="43">
        <v>16.09</v>
      </c>
    </row>
    <row r="3729" spans="2:6" x14ac:dyDescent="0.25">
      <c r="B3729" s="13">
        <v>227780124</v>
      </c>
      <c r="C3729" s="15" t="s">
        <v>141</v>
      </c>
      <c r="D3729" s="13" t="s">
        <v>134</v>
      </c>
      <c r="E3729" s="13" t="s">
        <v>6214</v>
      </c>
      <c r="F3729" s="43">
        <v>21.95</v>
      </c>
    </row>
    <row r="3730" spans="2:6" x14ac:dyDescent="0.25">
      <c r="B3730" s="13">
        <v>227970102</v>
      </c>
      <c r="C3730" s="15" t="s">
        <v>141</v>
      </c>
      <c r="D3730" s="13" t="s">
        <v>134</v>
      </c>
      <c r="E3730" s="13" t="s">
        <v>6215</v>
      </c>
      <c r="F3730" s="43">
        <v>71.790000000000006</v>
      </c>
    </row>
    <row r="3731" spans="2:6" x14ac:dyDescent="0.25">
      <c r="B3731" s="13">
        <v>227970107</v>
      </c>
      <c r="C3731" s="15" t="s">
        <v>141</v>
      </c>
      <c r="D3731" s="13" t="s">
        <v>134</v>
      </c>
      <c r="E3731" s="13" t="s">
        <v>6216</v>
      </c>
      <c r="F3731" s="43">
        <v>1.9</v>
      </c>
    </row>
    <row r="3732" spans="2:6" x14ac:dyDescent="0.25">
      <c r="B3732" s="13">
        <v>227970121</v>
      </c>
      <c r="C3732" s="15" t="s">
        <v>141</v>
      </c>
      <c r="D3732" s="13" t="s">
        <v>134</v>
      </c>
      <c r="E3732" s="13" t="s">
        <v>6217</v>
      </c>
      <c r="F3732" s="43">
        <v>0</v>
      </c>
    </row>
    <row r="3733" spans="2:6" x14ac:dyDescent="0.25">
      <c r="B3733" s="13">
        <v>227970124</v>
      </c>
      <c r="C3733" s="15" t="s">
        <v>141</v>
      </c>
      <c r="D3733" s="13" t="s">
        <v>134</v>
      </c>
      <c r="E3733" s="13" t="s">
        <v>6218</v>
      </c>
      <c r="F3733" s="43">
        <v>9.6199999999999992</v>
      </c>
    </row>
    <row r="3734" spans="2:6" x14ac:dyDescent="0.25">
      <c r="B3734" s="13">
        <v>361430135</v>
      </c>
      <c r="C3734" s="15" t="s">
        <v>141</v>
      </c>
      <c r="D3734" s="13" t="s">
        <v>134</v>
      </c>
      <c r="E3734" s="13" t="s">
        <v>6219</v>
      </c>
      <c r="F3734" s="43">
        <v>109.69</v>
      </c>
    </row>
    <row r="3735" spans="2:6" x14ac:dyDescent="0.25">
      <c r="B3735" s="13">
        <v>361440135</v>
      </c>
      <c r="C3735" s="15" t="s">
        <v>141</v>
      </c>
      <c r="D3735" s="13" t="s">
        <v>134</v>
      </c>
      <c r="E3735" s="13" t="s">
        <v>6220</v>
      </c>
      <c r="F3735" s="43">
        <v>139.75</v>
      </c>
    </row>
    <row r="3736" spans="2:6" x14ac:dyDescent="0.25">
      <c r="B3736" s="13">
        <v>361450135</v>
      </c>
      <c r="C3736" s="15" t="s">
        <v>141</v>
      </c>
      <c r="D3736" s="13" t="s">
        <v>134</v>
      </c>
      <c r="E3736" s="13" t="s">
        <v>6221</v>
      </c>
      <c r="F3736" s="43">
        <v>156.26</v>
      </c>
    </row>
    <row r="3737" spans="2:6" x14ac:dyDescent="0.25">
      <c r="B3737" s="13">
        <v>361460135</v>
      </c>
      <c r="C3737" s="15" t="s">
        <v>141</v>
      </c>
      <c r="D3737" s="13" t="s">
        <v>134</v>
      </c>
      <c r="E3737" s="13" t="s">
        <v>6222</v>
      </c>
      <c r="F3737" s="43">
        <v>242.11</v>
      </c>
    </row>
    <row r="3738" spans="2:6" x14ac:dyDescent="0.25">
      <c r="B3738" s="13">
        <v>361470135</v>
      </c>
      <c r="C3738" s="15" t="s">
        <v>141</v>
      </c>
      <c r="D3738" s="13" t="s">
        <v>134</v>
      </c>
      <c r="E3738" s="13" t="s">
        <v>6223</v>
      </c>
      <c r="F3738" s="43">
        <v>299.23</v>
      </c>
    </row>
    <row r="3739" spans="2:6" x14ac:dyDescent="0.25">
      <c r="B3739" s="13">
        <v>361480135</v>
      </c>
      <c r="C3739" s="15" t="s">
        <v>141</v>
      </c>
      <c r="D3739" s="13" t="s">
        <v>134</v>
      </c>
      <c r="E3739" s="13" t="s">
        <v>6224</v>
      </c>
      <c r="F3739" s="43">
        <v>299.98</v>
      </c>
    </row>
    <row r="3740" spans="2:6" x14ac:dyDescent="0.25">
      <c r="B3740" s="13">
        <v>367280129</v>
      </c>
      <c r="C3740" s="15" t="s">
        <v>141</v>
      </c>
      <c r="D3740" s="13" t="s">
        <v>134</v>
      </c>
      <c r="E3740" s="13" t="s">
        <v>6225</v>
      </c>
      <c r="F3740" s="43">
        <v>8.24</v>
      </c>
    </row>
    <row r="3741" spans="2:6" x14ac:dyDescent="0.25">
      <c r="B3741" s="13">
        <v>7230470053</v>
      </c>
      <c r="C3741" s="15" t="s">
        <v>141</v>
      </c>
      <c r="D3741" s="13" t="s">
        <v>134</v>
      </c>
      <c r="E3741" s="13" t="s">
        <v>6226</v>
      </c>
      <c r="F3741" s="43">
        <v>0.28999999999999998</v>
      </c>
    </row>
    <row r="3742" spans="2:6" x14ac:dyDescent="0.25">
      <c r="B3742" s="13" t="s">
        <v>6227</v>
      </c>
      <c r="C3742" s="15" t="s">
        <v>141</v>
      </c>
      <c r="D3742" s="13" t="s">
        <v>134</v>
      </c>
      <c r="E3742" s="13" t="s">
        <v>6228</v>
      </c>
      <c r="F3742" s="43">
        <v>41.61</v>
      </c>
    </row>
    <row r="3743" spans="2:6" x14ac:dyDescent="0.25">
      <c r="B3743" s="13" t="s">
        <v>6229</v>
      </c>
      <c r="C3743" s="15" t="s">
        <v>141</v>
      </c>
      <c r="D3743" s="13" t="s">
        <v>134</v>
      </c>
      <c r="E3743" s="13" t="s">
        <v>6230</v>
      </c>
      <c r="F3743" s="43">
        <v>0</v>
      </c>
    </row>
    <row r="3744" spans="2:6" x14ac:dyDescent="0.25">
      <c r="B3744" s="13" t="s">
        <v>6231</v>
      </c>
      <c r="C3744" s="15" t="s">
        <v>141</v>
      </c>
      <c r="D3744" s="13" t="s">
        <v>134</v>
      </c>
      <c r="E3744" s="13" t="s">
        <v>6232</v>
      </c>
      <c r="F3744" s="43">
        <v>0</v>
      </c>
    </row>
    <row r="3745" spans="2:6" x14ac:dyDescent="0.25">
      <c r="B3745" s="13" t="s">
        <v>6233</v>
      </c>
      <c r="C3745" s="15" t="s">
        <v>141</v>
      </c>
      <c r="D3745" s="13" t="s">
        <v>134</v>
      </c>
      <c r="E3745" s="13" t="s">
        <v>6234</v>
      </c>
      <c r="F3745" s="43">
        <v>0</v>
      </c>
    </row>
    <row r="3746" spans="2:6" x14ac:dyDescent="0.25">
      <c r="B3746" s="13" t="s">
        <v>6235</v>
      </c>
      <c r="C3746" s="15" t="s">
        <v>141</v>
      </c>
      <c r="D3746" s="13" t="s">
        <v>134</v>
      </c>
      <c r="E3746" s="13" t="s">
        <v>6236</v>
      </c>
      <c r="F3746" s="43">
        <v>0</v>
      </c>
    </row>
    <row r="3747" spans="2:6" x14ac:dyDescent="0.25">
      <c r="B3747" s="13" t="s">
        <v>6237</v>
      </c>
      <c r="C3747" s="15" t="s">
        <v>141</v>
      </c>
      <c r="D3747" s="13" t="s">
        <v>134</v>
      </c>
      <c r="E3747" s="13" t="s">
        <v>6238</v>
      </c>
      <c r="F3747" s="43">
        <v>0</v>
      </c>
    </row>
    <row r="3748" spans="2:6" x14ac:dyDescent="0.25">
      <c r="B3748" s="13" t="s">
        <v>6239</v>
      </c>
      <c r="C3748" s="15" t="s">
        <v>141</v>
      </c>
      <c r="D3748" s="13" t="s">
        <v>134</v>
      </c>
      <c r="E3748" s="13" t="s">
        <v>6240</v>
      </c>
      <c r="F3748" s="43">
        <v>0</v>
      </c>
    </row>
    <row r="3749" spans="2:6" x14ac:dyDescent="0.25">
      <c r="B3749" s="13" t="s">
        <v>6241</v>
      </c>
      <c r="C3749" s="15" t="s">
        <v>141</v>
      </c>
      <c r="D3749" s="13" t="s">
        <v>134</v>
      </c>
      <c r="E3749" s="13" t="s">
        <v>6242</v>
      </c>
      <c r="F3749" s="43">
        <v>0</v>
      </c>
    </row>
    <row r="3750" spans="2:6" x14ac:dyDescent="0.25">
      <c r="B3750" s="13" t="s">
        <v>6243</v>
      </c>
      <c r="C3750" s="15" t="s">
        <v>141</v>
      </c>
      <c r="D3750" s="13" t="s">
        <v>134</v>
      </c>
      <c r="E3750" s="13" t="s">
        <v>6244</v>
      </c>
      <c r="F3750" s="43">
        <v>8.7799999999999994</v>
      </c>
    </row>
    <row r="3751" spans="2:6" x14ac:dyDescent="0.25">
      <c r="B3751" s="13" t="s">
        <v>6245</v>
      </c>
      <c r="C3751" s="15" t="s">
        <v>141</v>
      </c>
      <c r="D3751" s="13" t="s">
        <v>134</v>
      </c>
      <c r="E3751" s="13" t="s">
        <v>6246</v>
      </c>
      <c r="F3751" s="43">
        <v>99.61</v>
      </c>
    </row>
    <row r="3752" spans="2:6" x14ac:dyDescent="0.25">
      <c r="B3752" s="13" t="s">
        <v>6247</v>
      </c>
      <c r="C3752" s="15" t="s">
        <v>141</v>
      </c>
      <c r="D3752" s="13" t="s">
        <v>134</v>
      </c>
      <c r="E3752" s="13" t="s">
        <v>6248</v>
      </c>
      <c r="F3752" s="43">
        <v>2.52</v>
      </c>
    </row>
    <row r="3753" spans="2:6" x14ac:dyDescent="0.25">
      <c r="B3753" s="13" t="s">
        <v>6249</v>
      </c>
      <c r="C3753" s="15" t="s">
        <v>141</v>
      </c>
      <c r="D3753" s="13" t="s">
        <v>134</v>
      </c>
      <c r="E3753" s="13" t="s">
        <v>6250</v>
      </c>
      <c r="F3753" s="43">
        <v>3.43</v>
      </c>
    </row>
    <row r="3754" spans="2:6" x14ac:dyDescent="0.25">
      <c r="B3754" s="13" t="s">
        <v>6251</v>
      </c>
      <c r="C3754" s="15" t="s">
        <v>141</v>
      </c>
      <c r="D3754" s="13" t="s">
        <v>134</v>
      </c>
      <c r="E3754" s="13" t="s">
        <v>6252</v>
      </c>
      <c r="F3754" s="43">
        <v>3.91</v>
      </c>
    </row>
    <row r="3755" spans="2:6" x14ac:dyDescent="0.25">
      <c r="B3755" s="13" t="s">
        <v>6253</v>
      </c>
      <c r="C3755" s="15" t="s">
        <v>141</v>
      </c>
      <c r="D3755" s="13" t="s">
        <v>134</v>
      </c>
      <c r="E3755" s="13" t="s">
        <v>6254</v>
      </c>
      <c r="F3755" s="43">
        <v>4.5199999999999996</v>
      </c>
    </row>
    <row r="3756" spans="2:6" x14ac:dyDescent="0.25">
      <c r="B3756" s="13" t="s">
        <v>6255</v>
      </c>
      <c r="C3756" s="15" t="s">
        <v>141</v>
      </c>
      <c r="D3756" s="13" t="s">
        <v>134</v>
      </c>
      <c r="E3756" s="13" t="s">
        <v>6256</v>
      </c>
      <c r="F3756" s="43">
        <v>18.760000000000002</v>
      </c>
    </row>
    <row r="3757" spans="2:6" x14ac:dyDescent="0.25">
      <c r="B3757" s="13" t="s">
        <v>6257</v>
      </c>
      <c r="C3757" s="15" t="s">
        <v>141</v>
      </c>
      <c r="D3757" s="13" t="s">
        <v>134</v>
      </c>
      <c r="E3757" s="13" t="s">
        <v>6258</v>
      </c>
      <c r="F3757" s="43">
        <v>22.26</v>
      </c>
    </row>
    <row r="3758" spans="2:6" x14ac:dyDescent="0.25">
      <c r="B3758" s="13" t="s">
        <v>6259</v>
      </c>
      <c r="C3758" s="15" t="s">
        <v>141</v>
      </c>
      <c r="D3758" s="13" t="s">
        <v>134</v>
      </c>
      <c r="E3758" s="13" t="s">
        <v>6260</v>
      </c>
      <c r="F3758" s="43">
        <v>9.9499999999999993</v>
      </c>
    </row>
    <row r="3759" spans="2:6" x14ac:dyDescent="0.25">
      <c r="B3759" s="13" t="s">
        <v>6261</v>
      </c>
      <c r="C3759" s="15" t="s">
        <v>141</v>
      </c>
      <c r="D3759" s="13" t="s">
        <v>134</v>
      </c>
      <c r="E3759" s="13" t="s">
        <v>6262</v>
      </c>
      <c r="F3759" s="43">
        <v>12.54</v>
      </c>
    </row>
    <row r="3760" spans="2:6" x14ac:dyDescent="0.25">
      <c r="B3760" s="13" t="s">
        <v>6263</v>
      </c>
      <c r="C3760" s="15" t="s">
        <v>141</v>
      </c>
      <c r="D3760" s="13" t="s">
        <v>134</v>
      </c>
      <c r="E3760" s="13" t="s">
        <v>6264</v>
      </c>
      <c r="F3760" s="43">
        <v>7.59</v>
      </c>
    </row>
    <row r="3761" spans="2:6" x14ac:dyDescent="0.25">
      <c r="B3761" s="13" t="s">
        <v>6265</v>
      </c>
      <c r="C3761" s="15" t="s">
        <v>141</v>
      </c>
      <c r="D3761" s="13" t="s">
        <v>134</v>
      </c>
      <c r="E3761" s="13" t="s">
        <v>6266</v>
      </c>
      <c r="F3761" s="43">
        <v>8.81</v>
      </c>
    </row>
    <row r="3762" spans="2:6" x14ac:dyDescent="0.25">
      <c r="B3762" s="13" t="s">
        <v>6267</v>
      </c>
      <c r="C3762" s="15" t="s">
        <v>141</v>
      </c>
      <c r="D3762" s="13" t="s">
        <v>134</v>
      </c>
      <c r="E3762" s="13" t="s">
        <v>6268</v>
      </c>
      <c r="F3762" s="43">
        <v>11.19</v>
      </c>
    </row>
    <row r="3763" spans="2:6" x14ac:dyDescent="0.25">
      <c r="B3763" s="13" t="s">
        <v>6269</v>
      </c>
      <c r="C3763" s="15" t="s">
        <v>141</v>
      </c>
      <c r="D3763" s="13" t="s">
        <v>134</v>
      </c>
      <c r="E3763" s="13" t="s">
        <v>6270</v>
      </c>
      <c r="F3763" s="43">
        <v>12.9</v>
      </c>
    </row>
    <row r="3764" spans="2:6" x14ac:dyDescent="0.25">
      <c r="B3764" s="13" t="s">
        <v>6271</v>
      </c>
      <c r="C3764" s="15" t="s">
        <v>141</v>
      </c>
      <c r="D3764" s="13" t="s">
        <v>134</v>
      </c>
      <c r="E3764" s="13" t="s">
        <v>6272</v>
      </c>
      <c r="F3764" s="43">
        <v>20.440000000000001</v>
      </c>
    </row>
    <row r="3765" spans="2:6" x14ac:dyDescent="0.25">
      <c r="B3765" s="13" t="s">
        <v>6273</v>
      </c>
      <c r="C3765" s="15" t="s">
        <v>141</v>
      </c>
      <c r="D3765" s="13" t="s">
        <v>134</v>
      </c>
      <c r="E3765" s="13" t="s">
        <v>6274</v>
      </c>
      <c r="F3765" s="43">
        <v>28.03</v>
      </c>
    </row>
    <row r="3766" spans="2:6" x14ac:dyDescent="0.25">
      <c r="B3766" s="13" t="s">
        <v>6275</v>
      </c>
      <c r="C3766" s="15" t="s">
        <v>141</v>
      </c>
      <c r="D3766" s="13" t="s">
        <v>134</v>
      </c>
      <c r="E3766" s="13" t="s">
        <v>6276</v>
      </c>
      <c r="F3766" s="43">
        <v>23.35</v>
      </c>
    </row>
    <row r="3767" spans="2:6" x14ac:dyDescent="0.25">
      <c r="B3767" s="13" t="s">
        <v>6277</v>
      </c>
      <c r="C3767" s="15" t="s">
        <v>141</v>
      </c>
      <c r="D3767" s="13" t="s">
        <v>134</v>
      </c>
      <c r="E3767" s="13" t="s">
        <v>6278</v>
      </c>
      <c r="F3767" s="43">
        <v>3.54</v>
      </c>
    </row>
    <row r="3768" spans="2:6" x14ac:dyDescent="0.25">
      <c r="B3768" s="13" t="s">
        <v>6279</v>
      </c>
      <c r="C3768" s="15" t="s">
        <v>141</v>
      </c>
      <c r="D3768" s="13" t="s">
        <v>134</v>
      </c>
      <c r="E3768" s="13" t="s">
        <v>6280</v>
      </c>
      <c r="F3768" s="43">
        <v>6.01</v>
      </c>
    </row>
    <row r="3769" spans="2:6" x14ac:dyDescent="0.25">
      <c r="B3769" s="13" t="s">
        <v>6281</v>
      </c>
      <c r="C3769" s="15" t="s">
        <v>141</v>
      </c>
      <c r="D3769" s="13" t="s">
        <v>134</v>
      </c>
      <c r="E3769" s="13" t="s">
        <v>6282</v>
      </c>
      <c r="F3769" s="43">
        <v>25.52</v>
      </c>
    </row>
    <row r="3770" spans="2:6" x14ac:dyDescent="0.25">
      <c r="B3770" s="13" t="s">
        <v>6283</v>
      </c>
      <c r="C3770" s="15" t="s">
        <v>141</v>
      </c>
      <c r="D3770" s="13" t="s">
        <v>134</v>
      </c>
      <c r="E3770" s="13" t="s">
        <v>6284</v>
      </c>
      <c r="F3770" s="43">
        <v>4.91</v>
      </c>
    </row>
    <row r="3771" spans="2:6" x14ac:dyDescent="0.25">
      <c r="B3771" s="13" t="s">
        <v>6285</v>
      </c>
      <c r="C3771" s="15" t="s">
        <v>141</v>
      </c>
      <c r="D3771" s="13" t="s">
        <v>134</v>
      </c>
      <c r="E3771" s="13" t="s">
        <v>6286</v>
      </c>
      <c r="F3771" s="43">
        <v>6.83</v>
      </c>
    </row>
    <row r="3772" spans="2:6" x14ac:dyDescent="0.25">
      <c r="B3772" s="13" t="s">
        <v>6287</v>
      </c>
      <c r="C3772" s="15" t="s">
        <v>141</v>
      </c>
      <c r="D3772" s="13" t="s">
        <v>134</v>
      </c>
      <c r="E3772" s="13" t="s">
        <v>6288</v>
      </c>
      <c r="F3772" s="43">
        <v>9.49</v>
      </c>
    </row>
    <row r="3773" spans="2:6" x14ac:dyDescent="0.25">
      <c r="B3773" s="13" t="s">
        <v>6289</v>
      </c>
      <c r="C3773" s="15" t="s">
        <v>141</v>
      </c>
      <c r="D3773" s="13" t="s">
        <v>134</v>
      </c>
      <c r="E3773" s="13" t="s">
        <v>6290</v>
      </c>
      <c r="F3773" s="43">
        <v>11.39</v>
      </c>
    </row>
    <row r="3774" spans="2:6" x14ac:dyDescent="0.25">
      <c r="B3774" s="13" t="s">
        <v>6291</v>
      </c>
      <c r="C3774" s="15" t="s">
        <v>141</v>
      </c>
      <c r="D3774" s="13" t="s">
        <v>134</v>
      </c>
      <c r="E3774" s="13" t="s">
        <v>6292</v>
      </c>
      <c r="F3774" s="43">
        <v>18.04</v>
      </c>
    </row>
    <row r="3775" spans="2:6" x14ac:dyDescent="0.25">
      <c r="B3775" s="13" t="s">
        <v>6293</v>
      </c>
      <c r="C3775" s="15" t="s">
        <v>141</v>
      </c>
      <c r="D3775" s="13" t="s">
        <v>134</v>
      </c>
      <c r="E3775" s="13" t="s">
        <v>6294</v>
      </c>
      <c r="F3775" s="43">
        <v>3.12</v>
      </c>
    </row>
    <row r="3776" spans="2:6" x14ac:dyDescent="0.25">
      <c r="B3776" s="13" t="s">
        <v>6295</v>
      </c>
      <c r="C3776" s="15" t="s">
        <v>141</v>
      </c>
      <c r="D3776" s="13" t="s">
        <v>134</v>
      </c>
      <c r="E3776" s="13" t="s">
        <v>6296</v>
      </c>
      <c r="F3776" s="43">
        <v>2.56</v>
      </c>
    </row>
    <row r="3777" spans="2:6" x14ac:dyDescent="0.25">
      <c r="B3777" s="13" t="s">
        <v>6297</v>
      </c>
      <c r="C3777" s="15" t="s">
        <v>141</v>
      </c>
      <c r="D3777" s="13" t="s">
        <v>134</v>
      </c>
      <c r="E3777" s="13" t="s">
        <v>6298</v>
      </c>
      <c r="F3777" s="43">
        <v>16.41</v>
      </c>
    </row>
    <row r="3778" spans="2:6" x14ac:dyDescent="0.25">
      <c r="B3778" s="13" t="s">
        <v>6299</v>
      </c>
      <c r="C3778" s="15" t="s">
        <v>141</v>
      </c>
      <c r="D3778" s="13" t="s">
        <v>134</v>
      </c>
      <c r="E3778" s="13" t="s">
        <v>6300</v>
      </c>
      <c r="F3778" s="43">
        <v>20.57</v>
      </c>
    </row>
    <row r="3779" spans="2:6" x14ac:dyDescent="0.25">
      <c r="B3779" s="13" t="s">
        <v>6301</v>
      </c>
      <c r="C3779" s="15" t="s">
        <v>141</v>
      </c>
      <c r="D3779" s="13" t="s">
        <v>134</v>
      </c>
      <c r="E3779" s="13" t="s">
        <v>6302</v>
      </c>
      <c r="F3779" s="43">
        <v>12.39</v>
      </c>
    </row>
    <row r="3780" spans="2:6" x14ac:dyDescent="0.25">
      <c r="B3780" s="13" t="s">
        <v>6303</v>
      </c>
      <c r="C3780" s="15" t="s">
        <v>141</v>
      </c>
      <c r="D3780" s="13" t="s">
        <v>134</v>
      </c>
      <c r="E3780" s="13" t="s">
        <v>6304</v>
      </c>
      <c r="F3780" s="43">
        <v>17.63</v>
      </c>
    </row>
    <row r="3781" spans="2:6" x14ac:dyDescent="0.25">
      <c r="B3781" s="13" t="s">
        <v>6305</v>
      </c>
      <c r="C3781" s="15" t="s">
        <v>141</v>
      </c>
      <c r="D3781" s="13" t="s">
        <v>134</v>
      </c>
      <c r="E3781" s="13" t="s">
        <v>6306</v>
      </c>
      <c r="F3781" s="43">
        <v>34.08</v>
      </c>
    </row>
    <row r="3782" spans="2:6" x14ac:dyDescent="0.25">
      <c r="B3782" s="13" t="s">
        <v>6307</v>
      </c>
      <c r="C3782" s="15" t="s">
        <v>141</v>
      </c>
      <c r="D3782" s="13" t="s">
        <v>134</v>
      </c>
      <c r="E3782" s="13" t="s">
        <v>6308</v>
      </c>
      <c r="F3782" s="43">
        <v>41.67</v>
      </c>
    </row>
    <row r="3783" spans="2:6" x14ac:dyDescent="0.25">
      <c r="B3783" s="13" t="s">
        <v>6309</v>
      </c>
      <c r="C3783" s="15" t="s">
        <v>141</v>
      </c>
      <c r="D3783" s="13" t="s">
        <v>134</v>
      </c>
      <c r="E3783" s="13" t="s">
        <v>6310</v>
      </c>
      <c r="F3783" s="43">
        <v>114.03</v>
      </c>
    </row>
    <row r="3784" spans="2:6" x14ac:dyDescent="0.25">
      <c r="B3784" s="13" t="s">
        <v>6311</v>
      </c>
      <c r="C3784" s="15" t="s">
        <v>141</v>
      </c>
      <c r="D3784" s="13" t="s">
        <v>134</v>
      </c>
      <c r="E3784" s="13" t="s">
        <v>6312</v>
      </c>
      <c r="F3784" s="43">
        <v>125.62</v>
      </c>
    </row>
    <row r="3785" spans="2:6" x14ac:dyDescent="0.25">
      <c r="B3785" s="13" t="s">
        <v>6313</v>
      </c>
      <c r="C3785" s="15" t="s">
        <v>141</v>
      </c>
      <c r="D3785" s="13" t="s">
        <v>134</v>
      </c>
      <c r="E3785" s="13" t="s">
        <v>6314</v>
      </c>
      <c r="F3785" s="43">
        <v>0</v>
      </c>
    </row>
    <row r="3786" spans="2:6" x14ac:dyDescent="0.25">
      <c r="B3786" s="13" t="s">
        <v>6315</v>
      </c>
      <c r="C3786" s="15" t="s">
        <v>141</v>
      </c>
      <c r="D3786" s="13" t="s">
        <v>134</v>
      </c>
      <c r="E3786" s="13" t="s">
        <v>6316</v>
      </c>
      <c r="F3786" s="43">
        <v>0</v>
      </c>
    </row>
    <row r="3787" spans="2:6" x14ac:dyDescent="0.25">
      <c r="B3787" s="13" t="s">
        <v>6317</v>
      </c>
      <c r="C3787" s="15" t="s">
        <v>141</v>
      </c>
      <c r="D3787" s="13" t="s">
        <v>134</v>
      </c>
      <c r="E3787" s="13" t="s">
        <v>6318</v>
      </c>
      <c r="F3787" s="43">
        <v>0</v>
      </c>
    </row>
    <row r="3788" spans="2:6" x14ac:dyDescent="0.25">
      <c r="B3788" s="13" t="s">
        <v>6319</v>
      </c>
      <c r="C3788" s="15" t="s">
        <v>141</v>
      </c>
      <c r="D3788" s="13" t="s">
        <v>134</v>
      </c>
      <c r="E3788" s="13" t="s">
        <v>6320</v>
      </c>
      <c r="F3788" s="43">
        <v>0</v>
      </c>
    </row>
    <row r="3789" spans="2:6" x14ac:dyDescent="0.25">
      <c r="B3789" s="13" t="s">
        <v>6321</v>
      </c>
      <c r="C3789" s="15" t="s">
        <v>141</v>
      </c>
      <c r="D3789" s="13" t="s">
        <v>134</v>
      </c>
      <c r="E3789" s="13" t="s">
        <v>6322</v>
      </c>
      <c r="F3789" s="43">
        <v>0</v>
      </c>
    </row>
    <row r="3790" spans="2:6" x14ac:dyDescent="0.25">
      <c r="B3790" s="13" t="s">
        <v>6323</v>
      </c>
      <c r="C3790" s="15" t="s">
        <v>141</v>
      </c>
      <c r="D3790" s="13" t="s">
        <v>134</v>
      </c>
      <c r="E3790" s="13" t="s">
        <v>6324</v>
      </c>
      <c r="F3790" s="43">
        <v>0</v>
      </c>
    </row>
    <row r="3791" spans="2:6" x14ac:dyDescent="0.25">
      <c r="B3791" s="13" t="s">
        <v>6325</v>
      </c>
      <c r="C3791" s="15" t="s">
        <v>141</v>
      </c>
      <c r="D3791" s="13" t="s">
        <v>134</v>
      </c>
      <c r="E3791" s="13" t="s">
        <v>6326</v>
      </c>
      <c r="F3791" s="43">
        <v>0</v>
      </c>
    </row>
    <row r="3792" spans="2:6" x14ac:dyDescent="0.25">
      <c r="B3792" s="13" t="s">
        <v>6327</v>
      </c>
      <c r="C3792" s="15" t="s">
        <v>141</v>
      </c>
      <c r="D3792" s="13" t="s">
        <v>134</v>
      </c>
      <c r="E3792" s="13" t="s">
        <v>6328</v>
      </c>
      <c r="F3792" s="43">
        <v>0</v>
      </c>
    </row>
    <row r="3793" spans="2:6" x14ac:dyDescent="0.25">
      <c r="B3793" s="13" t="s">
        <v>6329</v>
      </c>
      <c r="C3793" s="15" t="s">
        <v>141</v>
      </c>
      <c r="D3793" s="13" t="s">
        <v>134</v>
      </c>
      <c r="E3793" s="13" t="s">
        <v>6330</v>
      </c>
      <c r="F3793" s="43">
        <v>0</v>
      </c>
    </row>
    <row r="3794" spans="2:6" x14ac:dyDescent="0.25">
      <c r="B3794" s="13" t="s">
        <v>6331</v>
      </c>
      <c r="C3794" s="15" t="s">
        <v>141</v>
      </c>
      <c r="D3794" s="13" t="s">
        <v>134</v>
      </c>
      <c r="E3794" s="13" t="s">
        <v>6332</v>
      </c>
      <c r="F3794" s="43">
        <v>0</v>
      </c>
    </row>
    <row r="3795" spans="2:6" x14ac:dyDescent="0.25">
      <c r="B3795" s="13" t="s">
        <v>6333</v>
      </c>
      <c r="C3795" s="15" t="s">
        <v>141</v>
      </c>
      <c r="D3795" s="13" t="s">
        <v>134</v>
      </c>
      <c r="E3795" s="13" t="s">
        <v>6334</v>
      </c>
      <c r="F3795" s="43">
        <v>0</v>
      </c>
    </row>
    <row r="3796" spans="2:6" x14ac:dyDescent="0.25">
      <c r="B3796" s="13" t="s">
        <v>6335</v>
      </c>
      <c r="C3796" s="15" t="s">
        <v>141</v>
      </c>
      <c r="D3796" s="13" t="s">
        <v>134</v>
      </c>
      <c r="E3796" s="13" t="s">
        <v>6336</v>
      </c>
      <c r="F3796" s="43">
        <v>0</v>
      </c>
    </row>
    <row r="3797" spans="2:6" x14ac:dyDescent="0.25">
      <c r="B3797" s="13" t="s">
        <v>6337</v>
      </c>
      <c r="C3797" s="15" t="s">
        <v>141</v>
      </c>
      <c r="D3797" s="13" t="s">
        <v>134</v>
      </c>
      <c r="E3797" s="13" t="s">
        <v>6338</v>
      </c>
      <c r="F3797" s="43">
        <v>0</v>
      </c>
    </row>
    <row r="3798" spans="2:6" x14ac:dyDescent="0.25">
      <c r="B3798" s="13" t="s">
        <v>6339</v>
      </c>
      <c r="C3798" s="15" t="s">
        <v>141</v>
      </c>
      <c r="D3798" s="13" t="s">
        <v>134</v>
      </c>
      <c r="E3798" s="13" t="s">
        <v>6340</v>
      </c>
      <c r="F3798" s="43">
        <v>0</v>
      </c>
    </row>
    <row r="3799" spans="2:6" x14ac:dyDescent="0.25">
      <c r="B3799" s="13" t="s">
        <v>6341</v>
      </c>
      <c r="C3799" s="15" t="s">
        <v>141</v>
      </c>
      <c r="D3799" s="13" t="s">
        <v>134</v>
      </c>
      <c r="E3799" s="13" t="s">
        <v>6342</v>
      </c>
      <c r="F3799" s="43">
        <v>0</v>
      </c>
    </row>
    <row r="3800" spans="2:6" x14ac:dyDescent="0.25">
      <c r="B3800" s="13" t="s">
        <v>6343</v>
      </c>
      <c r="C3800" s="15" t="s">
        <v>141</v>
      </c>
      <c r="D3800" s="13" t="s">
        <v>134</v>
      </c>
      <c r="E3800" s="13" t="s">
        <v>6344</v>
      </c>
      <c r="F3800" s="43">
        <v>37.130000000000003</v>
      </c>
    </row>
    <row r="3801" spans="2:6" x14ac:dyDescent="0.25">
      <c r="B3801" s="13" t="s">
        <v>6345</v>
      </c>
      <c r="C3801" s="15" t="s">
        <v>141</v>
      </c>
      <c r="D3801" s="13" t="s">
        <v>134</v>
      </c>
      <c r="E3801" s="13" t="s">
        <v>6346</v>
      </c>
      <c r="F3801" s="43">
        <v>0</v>
      </c>
    </row>
    <row r="3802" spans="2:6" x14ac:dyDescent="0.25">
      <c r="B3802" s="13" t="s">
        <v>6347</v>
      </c>
      <c r="C3802" s="15" t="s">
        <v>141</v>
      </c>
      <c r="D3802" s="13" t="s">
        <v>134</v>
      </c>
      <c r="E3802" s="13" t="s">
        <v>6348</v>
      </c>
      <c r="F3802" s="43">
        <v>0</v>
      </c>
    </row>
    <row r="3803" spans="2:6" x14ac:dyDescent="0.25">
      <c r="B3803" s="13" t="s">
        <v>6349</v>
      </c>
      <c r="C3803" s="15" t="s">
        <v>141</v>
      </c>
      <c r="D3803" s="13" t="s">
        <v>134</v>
      </c>
      <c r="E3803" s="13" t="s">
        <v>6350</v>
      </c>
      <c r="F3803" s="43">
        <v>0</v>
      </c>
    </row>
    <row r="3804" spans="2:6" x14ac:dyDescent="0.25">
      <c r="B3804" s="13" t="s">
        <v>6351</v>
      </c>
      <c r="C3804" s="15" t="s">
        <v>141</v>
      </c>
      <c r="D3804" s="13" t="s">
        <v>134</v>
      </c>
      <c r="E3804" s="13" t="s">
        <v>6352</v>
      </c>
      <c r="F3804" s="43">
        <v>0</v>
      </c>
    </row>
    <row r="3805" spans="2:6" x14ac:dyDescent="0.25">
      <c r="B3805" s="13" t="s">
        <v>6353</v>
      </c>
      <c r="C3805" s="15" t="s">
        <v>141</v>
      </c>
      <c r="D3805" s="13" t="s">
        <v>134</v>
      </c>
      <c r="E3805" s="13" t="s">
        <v>6354</v>
      </c>
      <c r="F3805" s="43">
        <v>0</v>
      </c>
    </row>
    <row r="3806" spans="2:6" x14ac:dyDescent="0.25">
      <c r="B3806" s="13" t="s">
        <v>6355</v>
      </c>
      <c r="C3806" s="15" t="s">
        <v>141</v>
      </c>
      <c r="D3806" s="13" t="s">
        <v>134</v>
      </c>
      <c r="E3806" s="13" t="s">
        <v>6356</v>
      </c>
      <c r="F3806" s="43">
        <v>0</v>
      </c>
    </row>
    <row r="3807" spans="2:6" x14ac:dyDescent="0.25">
      <c r="B3807" s="13" t="s">
        <v>6357</v>
      </c>
      <c r="C3807" s="15" t="s">
        <v>141</v>
      </c>
      <c r="D3807" s="13" t="s">
        <v>134</v>
      </c>
      <c r="E3807" s="13" t="s">
        <v>6358</v>
      </c>
      <c r="F3807" s="43">
        <v>9.1999999999999993</v>
      </c>
    </row>
    <row r="3808" spans="2:6" x14ac:dyDescent="0.25">
      <c r="B3808" s="13" t="s">
        <v>6359</v>
      </c>
      <c r="C3808" s="15" t="s">
        <v>141</v>
      </c>
      <c r="D3808" s="13" t="s">
        <v>134</v>
      </c>
      <c r="E3808" s="13" t="s">
        <v>6360</v>
      </c>
      <c r="F3808" s="43">
        <v>0</v>
      </c>
    </row>
    <row r="3809" spans="2:6" x14ac:dyDescent="0.25">
      <c r="B3809" s="13" t="s">
        <v>6361</v>
      </c>
      <c r="C3809" s="15" t="s">
        <v>141</v>
      </c>
      <c r="D3809" s="13" t="s">
        <v>134</v>
      </c>
      <c r="E3809" s="13" t="s">
        <v>6362</v>
      </c>
      <c r="F3809" s="43">
        <v>0</v>
      </c>
    </row>
    <row r="3810" spans="2:6" x14ac:dyDescent="0.25">
      <c r="B3810" s="13" t="s">
        <v>6363</v>
      </c>
      <c r="C3810" s="15" t="s">
        <v>141</v>
      </c>
      <c r="D3810" s="13" t="s">
        <v>134</v>
      </c>
      <c r="E3810" s="13" t="s">
        <v>6364</v>
      </c>
      <c r="F3810" s="43">
        <v>0</v>
      </c>
    </row>
    <row r="3811" spans="2:6" x14ac:dyDescent="0.25">
      <c r="B3811" s="13" t="s">
        <v>6365</v>
      </c>
      <c r="C3811" s="15" t="s">
        <v>141</v>
      </c>
      <c r="D3811" s="13" t="s">
        <v>134</v>
      </c>
      <c r="E3811" s="13" t="s">
        <v>6366</v>
      </c>
      <c r="F3811" s="43">
        <v>0</v>
      </c>
    </row>
    <row r="3812" spans="2:6" x14ac:dyDescent="0.25">
      <c r="B3812" s="13" t="s">
        <v>6367</v>
      </c>
      <c r="C3812" s="15" t="s">
        <v>141</v>
      </c>
      <c r="D3812" s="13" t="s">
        <v>134</v>
      </c>
      <c r="E3812" s="13" t="s">
        <v>6368</v>
      </c>
      <c r="F3812" s="43">
        <v>0</v>
      </c>
    </row>
    <row r="3813" spans="2:6" x14ac:dyDescent="0.25">
      <c r="B3813" s="13" t="s">
        <v>6369</v>
      </c>
      <c r="C3813" s="15" t="s">
        <v>141</v>
      </c>
      <c r="D3813" s="13" t="s">
        <v>134</v>
      </c>
      <c r="E3813" s="13" t="s">
        <v>6370</v>
      </c>
      <c r="F3813" s="43">
        <v>0</v>
      </c>
    </row>
    <row r="3814" spans="2:6" x14ac:dyDescent="0.25">
      <c r="B3814" s="13" t="s">
        <v>6371</v>
      </c>
      <c r="C3814" s="15" t="s">
        <v>141</v>
      </c>
      <c r="D3814" s="13" t="s">
        <v>134</v>
      </c>
      <c r="E3814" s="13" t="s">
        <v>6372</v>
      </c>
      <c r="F3814" s="43">
        <v>0</v>
      </c>
    </row>
    <row r="3815" spans="2:6" x14ac:dyDescent="0.25">
      <c r="B3815" s="13" t="s">
        <v>6373</v>
      </c>
      <c r="C3815" s="15" t="s">
        <v>141</v>
      </c>
      <c r="D3815" s="13" t="s">
        <v>134</v>
      </c>
      <c r="E3815" s="13" t="s">
        <v>6374</v>
      </c>
      <c r="F3815" s="43">
        <v>0</v>
      </c>
    </row>
    <row r="3816" spans="2:6" x14ac:dyDescent="0.25">
      <c r="B3816" s="13" t="s">
        <v>6375</v>
      </c>
      <c r="C3816" s="15" t="s">
        <v>141</v>
      </c>
      <c r="D3816" s="13" t="s">
        <v>134</v>
      </c>
      <c r="E3816" s="13" t="s">
        <v>6376</v>
      </c>
      <c r="F3816" s="43">
        <v>0</v>
      </c>
    </row>
    <row r="3817" spans="2:6" x14ac:dyDescent="0.25">
      <c r="B3817" s="13" t="s">
        <v>6377</v>
      </c>
      <c r="C3817" s="15" t="s">
        <v>141</v>
      </c>
      <c r="D3817" s="13" t="s">
        <v>134</v>
      </c>
      <c r="E3817" s="13" t="s">
        <v>6378</v>
      </c>
      <c r="F3817" s="43">
        <v>0</v>
      </c>
    </row>
    <row r="3818" spans="2:6" x14ac:dyDescent="0.25">
      <c r="B3818" s="13" t="s">
        <v>6379</v>
      </c>
      <c r="C3818" s="15" t="s">
        <v>141</v>
      </c>
      <c r="D3818" s="13" t="s">
        <v>134</v>
      </c>
      <c r="E3818" s="13" t="s">
        <v>6380</v>
      </c>
      <c r="F3818" s="43">
        <v>0</v>
      </c>
    </row>
    <row r="3819" spans="2:6" x14ac:dyDescent="0.25">
      <c r="B3819" s="13" t="s">
        <v>6381</v>
      </c>
      <c r="C3819" s="15" t="s">
        <v>141</v>
      </c>
      <c r="D3819" s="13" t="s">
        <v>134</v>
      </c>
      <c r="E3819" s="13" t="s">
        <v>6382</v>
      </c>
      <c r="F3819" s="43">
        <v>0</v>
      </c>
    </row>
    <row r="3820" spans="2:6" x14ac:dyDescent="0.25">
      <c r="B3820" s="13" t="s">
        <v>6383</v>
      </c>
      <c r="C3820" s="15" t="s">
        <v>141</v>
      </c>
      <c r="D3820" s="13" t="s">
        <v>134</v>
      </c>
      <c r="E3820" s="13" t="s">
        <v>6384</v>
      </c>
      <c r="F3820" s="43">
        <v>12.06</v>
      </c>
    </row>
    <row r="3821" spans="2:6" x14ac:dyDescent="0.25">
      <c r="B3821" s="13" t="s">
        <v>6385</v>
      </c>
      <c r="C3821" s="15" t="s">
        <v>141</v>
      </c>
      <c r="D3821" s="13" t="s">
        <v>134</v>
      </c>
      <c r="E3821" s="13" t="s">
        <v>6386</v>
      </c>
      <c r="F3821" s="43">
        <v>55.05</v>
      </c>
    </row>
    <row r="3822" spans="2:6" x14ac:dyDescent="0.25">
      <c r="B3822" s="13" t="s">
        <v>6387</v>
      </c>
      <c r="C3822" s="15" t="s">
        <v>141</v>
      </c>
      <c r="D3822" s="13" t="s">
        <v>134</v>
      </c>
      <c r="E3822" s="13" t="s">
        <v>6388</v>
      </c>
      <c r="F3822" s="43">
        <v>0</v>
      </c>
    </row>
    <row r="3823" spans="2:6" x14ac:dyDescent="0.25">
      <c r="B3823" s="13" t="s">
        <v>6389</v>
      </c>
      <c r="C3823" s="15" t="s">
        <v>141</v>
      </c>
      <c r="D3823" s="13" t="s">
        <v>134</v>
      </c>
      <c r="E3823" s="13" t="s">
        <v>6390</v>
      </c>
      <c r="F3823" s="43">
        <v>0</v>
      </c>
    </row>
    <row r="3824" spans="2:6" x14ac:dyDescent="0.25">
      <c r="B3824" s="13" t="s">
        <v>6391</v>
      </c>
      <c r="C3824" s="15" t="s">
        <v>141</v>
      </c>
      <c r="D3824" s="13" t="s">
        <v>134</v>
      </c>
      <c r="E3824" s="13" t="s">
        <v>6392</v>
      </c>
      <c r="F3824" s="43">
        <v>1384.88</v>
      </c>
    </row>
    <row r="3825" spans="2:6" x14ac:dyDescent="0.25">
      <c r="B3825" s="13" t="s">
        <v>6393</v>
      </c>
      <c r="C3825" s="15" t="s">
        <v>141</v>
      </c>
      <c r="D3825" s="13" t="s">
        <v>134</v>
      </c>
      <c r="E3825" s="13" t="s">
        <v>6394</v>
      </c>
      <c r="F3825" s="43">
        <v>3187.37</v>
      </c>
    </row>
    <row r="3826" spans="2:6" x14ac:dyDescent="0.25">
      <c r="B3826" s="13" t="s">
        <v>6395</v>
      </c>
      <c r="C3826" s="15" t="s">
        <v>141</v>
      </c>
      <c r="D3826" s="13" t="s">
        <v>134</v>
      </c>
      <c r="E3826" s="13" t="s">
        <v>6396</v>
      </c>
      <c r="F3826" s="43">
        <v>0</v>
      </c>
    </row>
    <row r="3827" spans="2:6" x14ac:dyDescent="0.25">
      <c r="B3827" s="13" t="s">
        <v>6397</v>
      </c>
      <c r="C3827" s="15" t="s">
        <v>141</v>
      </c>
      <c r="D3827" s="13" t="s">
        <v>134</v>
      </c>
      <c r="E3827" s="13" t="s">
        <v>6398</v>
      </c>
      <c r="F3827" s="43">
        <v>0</v>
      </c>
    </row>
    <row r="3828" spans="2:6" x14ac:dyDescent="0.25">
      <c r="B3828" s="13" t="s">
        <v>6399</v>
      </c>
      <c r="C3828" s="15" t="s">
        <v>141</v>
      </c>
      <c r="D3828" s="13" t="s">
        <v>134</v>
      </c>
      <c r="E3828" s="13" t="s">
        <v>6400</v>
      </c>
      <c r="F3828" s="43">
        <v>0</v>
      </c>
    </row>
    <row r="3829" spans="2:6" x14ac:dyDescent="0.25">
      <c r="B3829" s="13" t="s">
        <v>6401</v>
      </c>
      <c r="C3829" s="15" t="s">
        <v>141</v>
      </c>
      <c r="D3829" s="13" t="s">
        <v>134</v>
      </c>
      <c r="E3829" s="13" t="s">
        <v>6402</v>
      </c>
      <c r="F3829" s="43">
        <v>0</v>
      </c>
    </row>
    <row r="3830" spans="2:6" x14ac:dyDescent="0.25">
      <c r="B3830" s="13" t="s">
        <v>6403</v>
      </c>
      <c r="C3830" s="15" t="s">
        <v>141</v>
      </c>
      <c r="D3830" s="13" t="s">
        <v>134</v>
      </c>
      <c r="E3830" s="13" t="s">
        <v>6404</v>
      </c>
      <c r="F3830" s="43">
        <v>0</v>
      </c>
    </row>
    <row r="3831" spans="2:6" x14ac:dyDescent="0.25">
      <c r="B3831" s="13" t="s">
        <v>6405</v>
      </c>
      <c r="C3831" s="15" t="s">
        <v>141</v>
      </c>
      <c r="D3831" s="13" t="s">
        <v>134</v>
      </c>
      <c r="E3831" s="13" t="s">
        <v>6406</v>
      </c>
      <c r="F3831" s="43">
        <v>0</v>
      </c>
    </row>
    <row r="3832" spans="2:6" x14ac:dyDescent="0.25">
      <c r="B3832" s="13" t="s">
        <v>6407</v>
      </c>
      <c r="C3832" s="15" t="s">
        <v>141</v>
      </c>
      <c r="D3832" s="13" t="s">
        <v>134</v>
      </c>
      <c r="E3832" s="13" t="s">
        <v>6408</v>
      </c>
      <c r="F3832" s="43">
        <v>0</v>
      </c>
    </row>
    <row r="3833" spans="2:6" x14ac:dyDescent="0.25">
      <c r="B3833" s="13" t="s">
        <v>6409</v>
      </c>
      <c r="C3833" s="15" t="s">
        <v>141</v>
      </c>
      <c r="D3833" s="13" t="s">
        <v>134</v>
      </c>
      <c r="E3833" s="13" t="s">
        <v>6410</v>
      </c>
      <c r="F3833" s="43">
        <v>0</v>
      </c>
    </row>
    <row r="3834" spans="2:6" x14ac:dyDescent="0.25">
      <c r="B3834" s="13" t="s">
        <v>6411</v>
      </c>
      <c r="C3834" s="15" t="s">
        <v>141</v>
      </c>
      <c r="D3834" s="13" t="s">
        <v>134</v>
      </c>
      <c r="E3834" s="13" t="s">
        <v>6412</v>
      </c>
      <c r="F3834" s="43">
        <v>0</v>
      </c>
    </row>
    <row r="3835" spans="2:6" x14ac:dyDescent="0.25">
      <c r="B3835" s="13" t="s">
        <v>6413</v>
      </c>
      <c r="C3835" s="15" t="s">
        <v>141</v>
      </c>
      <c r="D3835" s="13" t="s">
        <v>134</v>
      </c>
      <c r="E3835" s="13" t="s">
        <v>6414</v>
      </c>
      <c r="F3835" s="43">
        <v>0</v>
      </c>
    </row>
    <row r="3836" spans="2:6" x14ac:dyDescent="0.25">
      <c r="B3836" s="13" t="s">
        <v>6415</v>
      </c>
      <c r="C3836" s="15" t="s">
        <v>141</v>
      </c>
      <c r="D3836" s="13" t="s">
        <v>134</v>
      </c>
      <c r="E3836" s="13" t="s">
        <v>6416</v>
      </c>
      <c r="F3836" s="43">
        <v>2.36</v>
      </c>
    </row>
    <row r="3837" spans="2:6" x14ac:dyDescent="0.25">
      <c r="B3837" s="13" t="s">
        <v>6417</v>
      </c>
      <c r="C3837" s="15" t="s">
        <v>141</v>
      </c>
      <c r="D3837" s="13" t="s">
        <v>134</v>
      </c>
      <c r="E3837" s="13" t="s">
        <v>6418</v>
      </c>
      <c r="F3837" s="43">
        <v>3.89</v>
      </c>
    </row>
    <row r="3838" spans="2:6" x14ac:dyDescent="0.25">
      <c r="B3838" s="13" t="s">
        <v>6419</v>
      </c>
      <c r="C3838" s="15" t="s">
        <v>141</v>
      </c>
      <c r="D3838" s="13" t="s">
        <v>134</v>
      </c>
      <c r="E3838" s="13" t="s">
        <v>6420</v>
      </c>
      <c r="F3838" s="43">
        <v>4.42</v>
      </c>
    </row>
    <row r="3839" spans="2:6" x14ac:dyDescent="0.25">
      <c r="B3839" s="13" t="s">
        <v>6421</v>
      </c>
      <c r="C3839" s="15" t="s">
        <v>141</v>
      </c>
      <c r="D3839" s="13" t="s">
        <v>134</v>
      </c>
      <c r="E3839" s="13" t="s">
        <v>6422</v>
      </c>
      <c r="F3839" s="43">
        <v>6.88</v>
      </c>
    </row>
    <row r="3840" spans="2:6" x14ac:dyDescent="0.25">
      <c r="B3840" s="13" t="s">
        <v>6423</v>
      </c>
      <c r="C3840" s="15" t="s">
        <v>141</v>
      </c>
      <c r="D3840" s="13" t="s">
        <v>134</v>
      </c>
      <c r="E3840" s="13" t="s">
        <v>6424</v>
      </c>
      <c r="F3840" s="43">
        <v>15.88</v>
      </c>
    </row>
    <row r="3841" spans="2:6" x14ac:dyDescent="0.25">
      <c r="B3841" s="13" t="s">
        <v>6425</v>
      </c>
      <c r="C3841" s="15" t="s">
        <v>141</v>
      </c>
      <c r="D3841" s="13" t="s">
        <v>134</v>
      </c>
      <c r="E3841" s="13" t="s">
        <v>6426</v>
      </c>
      <c r="F3841" s="43">
        <v>12.26</v>
      </c>
    </row>
    <row r="3842" spans="2:6" x14ac:dyDescent="0.25">
      <c r="B3842" s="13" t="s">
        <v>6427</v>
      </c>
      <c r="C3842" s="15" t="s">
        <v>141</v>
      </c>
      <c r="D3842" s="13" t="s">
        <v>134</v>
      </c>
      <c r="E3842" s="13" t="s">
        <v>6428</v>
      </c>
      <c r="F3842" s="43">
        <v>11.82</v>
      </c>
    </row>
    <row r="3843" spans="2:6" x14ac:dyDescent="0.25">
      <c r="B3843" s="13" t="s">
        <v>6429</v>
      </c>
      <c r="C3843" s="15" t="s">
        <v>141</v>
      </c>
      <c r="D3843" s="13" t="s">
        <v>134</v>
      </c>
      <c r="E3843" s="13" t="s">
        <v>6430</v>
      </c>
      <c r="F3843" s="43">
        <v>22.64</v>
      </c>
    </row>
    <row r="3844" spans="2:6" x14ac:dyDescent="0.25">
      <c r="B3844" s="13" t="s">
        <v>6431</v>
      </c>
      <c r="C3844" s="15" t="s">
        <v>141</v>
      </c>
      <c r="D3844" s="13" t="s">
        <v>134</v>
      </c>
      <c r="E3844" s="13" t="s">
        <v>6432</v>
      </c>
      <c r="F3844" s="43">
        <v>0</v>
      </c>
    </row>
    <row r="3845" spans="2:6" x14ac:dyDescent="0.25">
      <c r="B3845" s="13" t="s">
        <v>6433</v>
      </c>
      <c r="C3845" s="15" t="s">
        <v>141</v>
      </c>
      <c r="D3845" s="13" t="s">
        <v>134</v>
      </c>
      <c r="E3845" s="13" t="s">
        <v>6434</v>
      </c>
      <c r="F3845" s="43">
        <v>0</v>
      </c>
    </row>
    <row r="3846" spans="2:6" x14ac:dyDescent="0.25">
      <c r="B3846" s="13" t="s">
        <v>6435</v>
      </c>
      <c r="C3846" s="15" t="s">
        <v>141</v>
      </c>
      <c r="D3846" s="13" t="s">
        <v>134</v>
      </c>
      <c r="E3846" s="13" t="s">
        <v>6436</v>
      </c>
      <c r="F3846" s="43">
        <v>3383.72</v>
      </c>
    </row>
    <row r="3847" spans="2:6" x14ac:dyDescent="0.25">
      <c r="B3847" s="13" t="s">
        <v>6437</v>
      </c>
      <c r="C3847" s="15" t="s">
        <v>141</v>
      </c>
      <c r="D3847" s="13" t="s">
        <v>134</v>
      </c>
      <c r="E3847" s="13" t="s">
        <v>6438</v>
      </c>
      <c r="F3847" s="43">
        <v>1921.76</v>
      </c>
    </row>
    <row r="3848" spans="2:6" x14ac:dyDescent="0.25">
      <c r="B3848" s="13" t="s">
        <v>6439</v>
      </c>
      <c r="C3848" s="15" t="s">
        <v>141</v>
      </c>
      <c r="D3848" s="13" t="s">
        <v>134</v>
      </c>
      <c r="E3848" s="13" t="s">
        <v>6440</v>
      </c>
      <c r="F3848" s="43">
        <v>4.21</v>
      </c>
    </row>
    <row r="3849" spans="2:6" x14ac:dyDescent="0.25">
      <c r="B3849" s="13" t="s">
        <v>6441</v>
      </c>
      <c r="C3849" s="15" t="s">
        <v>141</v>
      </c>
      <c r="D3849" s="13" t="s">
        <v>134</v>
      </c>
      <c r="E3849" s="13" t="s">
        <v>6442</v>
      </c>
      <c r="F3849" s="43">
        <v>7.05</v>
      </c>
    </row>
    <row r="3850" spans="2:6" x14ac:dyDescent="0.25">
      <c r="B3850" s="13" t="s">
        <v>6443</v>
      </c>
      <c r="C3850" s="15" t="s">
        <v>141</v>
      </c>
      <c r="D3850" s="13" t="s">
        <v>134</v>
      </c>
      <c r="E3850" s="13" t="s">
        <v>6444</v>
      </c>
      <c r="F3850" s="43">
        <v>13.83</v>
      </c>
    </row>
    <row r="3851" spans="2:6" x14ac:dyDescent="0.25">
      <c r="B3851" s="13" t="s">
        <v>6445</v>
      </c>
      <c r="C3851" s="15" t="s">
        <v>141</v>
      </c>
      <c r="D3851" s="13" t="s">
        <v>134</v>
      </c>
      <c r="E3851" s="13" t="s">
        <v>6446</v>
      </c>
      <c r="F3851" s="43">
        <v>21.53</v>
      </c>
    </row>
    <row r="3852" spans="2:6" x14ac:dyDescent="0.25">
      <c r="B3852" s="13" t="s">
        <v>6447</v>
      </c>
      <c r="C3852" s="15" t="s">
        <v>141</v>
      </c>
      <c r="D3852" s="13" t="s">
        <v>134</v>
      </c>
      <c r="E3852" s="13" t="s">
        <v>6448</v>
      </c>
      <c r="F3852" s="43">
        <v>39.79</v>
      </c>
    </row>
    <row r="3853" spans="2:6" x14ac:dyDescent="0.25">
      <c r="B3853" s="13" t="s">
        <v>6449</v>
      </c>
      <c r="C3853" s="15" t="s">
        <v>141</v>
      </c>
      <c r="D3853" s="13" t="s">
        <v>134</v>
      </c>
      <c r="E3853" s="13" t="s">
        <v>6450</v>
      </c>
      <c r="F3853" s="43">
        <v>4.58</v>
      </c>
    </row>
    <row r="3854" spans="2:6" x14ac:dyDescent="0.25">
      <c r="B3854" s="13" t="s">
        <v>6451</v>
      </c>
      <c r="C3854" s="15" t="s">
        <v>141</v>
      </c>
      <c r="D3854" s="13" t="s">
        <v>134</v>
      </c>
      <c r="E3854" s="13" t="s">
        <v>6452</v>
      </c>
      <c r="F3854" s="43">
        <v>7.22</v>
      </c>
    </row>
    <row r="3855" spans="2:6" x14ac:dyDescent="0.25">
      <c r="B3855" s="13" t="s">
        <v>6453</v>
      </c>
      <c r="C3855" s="15" t="s">
        <v>141</v>
      </c>
      <c r="D3855" s="13" t="s">
        <v>134</v>
      </c>
      <c r="E3855" s="13" t="s">
        <v>6454</v>
      </c>
      <c r="F3855" s="43">
        <v>13.27</v>
      </c>
    </row>
    <row r="3856" spans="2:6" x14ac:dyDescent="0.25">
      <c r="B3856" s="13" t="s">
        <v>6455</v>
      </c>
      <c r="C3856" s="15" t="s">
        <v>141</v>
      </c>
      <c r="D3856" s="13" t="s">
        <v>134</v>
      </c>
      <c r="E3856" s="13" t="s">
        <v>6456</v>
      </c>
      <c r="F3856" s="43">
        <v>23.12</v>
      </c>
    </row>
    <row r="3857" spans="2:6" x14ac:dyDescent="0.25">
      <c r="B3857" s="13" t="s">
        <v>6457</v>
      </c>
      <c r="C3857" s="15" t="s">
        <v>141</v>
      </c>
      <c r="D3857" s="13" t="s">
        <v>134</v>
      </c>
      <c r="E3857" s="13" t="s">
        <v>6458</v>
      </c>
      <c r="F3857" s="43">
        <v>6.39</v>
      </c>
    </row>
    <row r="3858" spans="2:6" x14ac:dyDescent="0.25">
      <c r="B3858" s="13" t="s">
        <v>6459</v>
      </c>
      <c r="C3858" s="15" t="s">
        <v>141</v>
      </c>
      <c r="D3858" s="13" t="s">
        <v>134</v>
      </c>
      <c r="E3858" s="13" t="s">
        <v>6460</v>
      </c>
      <c r="F3858" s="43">
        <v>9.2100000000000009</v>
      </c>
    </row>
    <row r="3859" spans="2:6" x14ac:dyDescent="0.25">
      <c r="B3859" s="13" t="s">
        <v>6461</v>
      </c>
      <c r="C3859" s="15" t="s">
        <v>141</v>
      </c>
      <c r="D3859" s="13" t="s">
        <v>134</v>
      </c>
      <c r="E3859" s="13" t="s">
        <v>6462</v>
      </c>
      <c r="F3859" s="43">
        <v>16.170000000000002</v>
      </c>
    </row>
    <row r="3860" spans="2:6" x14ac:dyDescent="0.25">
      <c r="B3860" s="13" t="s">
        <v>6463</v>
      </c>
      <c r="C3860" s="15" t="s">
        <v>141</v>
      </c>
      <c r="D3860" s="13" t="s">
        <v>134</v>
      </c>
      <c r="E3860" s="13" t="s">
        <v>6464</v>
      </c>
      <c r="F3860" s="43">
        <v>31.35</v>
      </c>
    </row>
    <row r="3861" spans="2:6" x14ac:dyDescent="0.25">
      <c r="B3861" s="13" t="s">
        <v>6465</v>
      </c>
      <c r="C3861" s="15" t="s">
        <v>141</v>
      </c>
      <c r="D3861" s="13" t="s">
        <v>134</v>
      </c>
      <c r="E3861" s="13" t="s">
        <v>6466</v>
      </c>
      <c r="F3861" s="43">
        <v>3.09</v>
      </c>
    </row>
    <row r="3862" spans="2:6" x14ac:dyDescent="0.25">
      <c r="B3862" s="13" t="s">
        <v>6467</v>
      </c>
      <c r="C3862" s="15" t="s">
        <v>141</v>
      </c>
      <c r="D3862" s="13" t="s">
        <v>134</v>
      </c>
      <c r="E3862" s="13" t="s">
        <v>6468</v>
      </c>
      <c r="F3862" s="43">
        <v>5.48</v>
      </c>
    </row>
    <row r="3863" spans="2:6" x14ac:dyDescent="0.25">
      <c r="B3863" s="13" t="s">
        <v>6469</v>
      </c>
      <c r="C3863" s="15" t="s">
        <v>141</v>
      </c>
      <c r="D3863" s="13" t="s">
        <v>134</v>
      </c>
      <c r="E3863" s="13" t="s">
        <v>6470</v>
      </c>
      <c r="F3863" s="43">
        <v>9.52</v>
      </c>
    </row>
    <row r="3864" spans="2:6" x14ac:dyDescent="0.25">
      <c r="B3864" s="13" t="s">
        <v>6471</v>
      </c>
      <c r="C3864" s="15" t="s">
        <v>141</v>
      </c>
      <c r="D3864" s="13" t="s">
        <v>134</v>
      </c>
      <c r="E3864" s="13" t="s">
        <v>6472</v>
      </c>
      <c r="F3864" s="43">
        <v>12.47</v>
      </c>
    </row>
    <row r="3865" spans="2:6" x14ac:dyDescent="0.25">
      <c r="B3865" s="13" t="s">
        <v>6473</v>
      </c>
      <c r="C3865" s="15" t="s">
        <v>141</v>
      </c>
      <c r="D3865" s="13" t="s">
        <v>134</v>
      </c>
      <c r="E3865" s="13" t="s">
        <v>6474</v>
      </c>
      <c r="F3865" s="43">
        <v>3.26</v>
      </c>
    </row>
    <row r="3866" spans="2:6" x14ac:dyDescent="0.25">
      <c r="B3866" s="13" t="s">
        <v>6475</v>
      </c>
      <c r="C3866" s="15" t="s">
        <v>141</v>
      </c>
      <c r="D3866" s="13" t="s">
        <v>134</v>
      </c>
      <c r="E3866" s="13" t="s">
        <v>6476</v>
      </c>
      <c r="F3866" s="43">
        <v>3.8</v>
      </c>
    </row>
    <row r="3867" spans="2:6" x14ac:dyDescent="0.25">
      <c r="B3867" s="13" t="s">
        <v>6477</v>
      </c>
      <c r="C3867" s="15" t="s">
        <v>144</v>
      </c>
      <c r="D3867" s="13" t="s">
        <v>134</v>
      </c>
      <c r="E3867" s="13" t="s">
        <v>6478</v>
      </c>
      <c r="F3867" s="43">
        <v>1.07</v>
      </c>
    </row>
    <row r="3868" spans="2:6" x14ac:dyDescent="0.25">
      <c r="B3868" s="13" t="s">
        <v>6479</v>
      </c>
      <c r="C3868" s="15" t="s">
        <v>144</v>
      </c>
      <c r="D3868" s="13" t="s">
        <v>134</v>
      </c>
      <c r="E3868" s="13" t="s">
        <v>6480</v>
      </c>
      <c r="F3868" s="43">
        <v>1.29</v>
      </c>
    </row>
    <row r="3869" spans="2:6" x14ac:dyDescent="0.25">
      <c r="B3869" s="13" t="s">
        <v>6481</v>
      </c>
      <c r="C3869" s="15" t="s">
        <v>144</v>
      </c>
      <c r="D3869" s="13" t="s">
        <v>134</v>
      </c>
      <c r="E3869" s="13" t="s">
        <v>6482</v>
      </c>
      <c r="F3869" s="43">
        <v>1.73</v>
      </c>
    </row>
    <row r="3870" spans="2:6" x14ac:dyDescent="0.25">
      <c r="B3870" s="13" t="s">
        <v>6483</v>
      </c>
      <c r="C3870" s="15" t="s">
        <v>144</v>
      </c>
      <c r="D3870" s="13" t="s">
        <v>134</v>
      </c>
      <c r="E3870" s="13" t="s">
        <v>6484</v>
      </c>
      <c r="F3870" s="43">
        <v>2.38</v>
      </c>
    </row>
    <row r="3871" spans="2:6" x14ac:dyDescent="0.25">
      <c r="B3871" s="13" t="s">
        <v>6485</v>
      </c>
      <c r="C3871" s="15" t="s">
        <v>144</v>
      </c>
      <c r="D3871" s="13" t="s">
        <v>134</v>
      </c>
      <c r="E3871" s="13" t="s">
        <v>6486</v>
      </c>
      <c r="F3871" s="43">
        <v>4</v>
      </c>
    </row>
    <row r="3872" spans="2:6" x14ac:dyDescent="0.25">
      <c r="B3872" s="13" t="s">
        <v>6487</v>
      </c>
      <c r="C3872" s="15" t="s">
        <v>144</v>
      </c>
      <c r="D3872" s="13" t="s">
        <v>134</v>
      </c>
      <c r="E3872" s="13" t="s">
        <v>6488</v>
      </c>
      <c r="F3872" s="43">
        <v>6.91</v>
      </c>
    </row>
    <row r="3873" spans="2:6" x14ac:dyDescent="0.25">
      <c r="B3873" s="13" t="s">
        <v>6489</v>
      </c>
      <c r="C3873" s="15" t="s">
        <v>144</v>
      </c>
      <c r="D3873" s="13" t="s">
        <v>134</v>
      </c>
      <c r="E3873" s="13" t="s">
        <v>6490</v>
      </c>
      <c r="F3873" s="43">
        <v>10.32</v>
      </c>
    </row>
    <row r="3874" spans="2:6" x14ac:dyDescent="0.25">
      <c r="B3874" s="13" t="s">
        <v>6491</v>
      </c>
      <c r="C3874" s="15" t="s">
        <v>144</v>
      </c>
      <c r="D3874" s="13" t="s">
        <v>134</v>
      </c>
      <c r="E3874" s="13" t="s">
        <v>6492</v>
      </c>
      <c r="F3874" s="43">
        <v>14.46</v>
      </c>
    </row>
    <row r="3875" spans="2:6" x14ac:dyDescent="0.25">
      <c r="B3875" s="13" t="s">
        <v>6493</v>
      </c>
      <c r="C3875" s="15" t="s">
        <v>144</v>
      </c>
      <c r="D3875" s="13" t="s">
        <v>134</v>
      </c>
      <c r="E3875" s="13" t="s">
        <v>6494</v>
      </c>
      <c r="F3875" s="43">
        <v>41.58</v>
      </c>
    </row>
    <row r="3876" spans="2:6" x14ac:dyDescent="0.25">
      <c r="B3876" s="13" t="s">
        <v>6495</v>
      </c>
      <c r="C3876" s="15" t="s">
        <v>144</v>
      </c>
      <c r="D3876" s="13" t="s">
        <v>134</v>
      </c>
      <c r="E3876" s="13" t="s">
        <v>6496</v>
      </c>
      <c r="F3876" s="43">
        <v>60.67</v>
      </c>
    </row>
    <row r="3877" spans="2:6" x14ac:dyDescent="0.25">
      <c r="B3877" s="13" t="s">
        <v>6497</v>
      </c>
      <c r="C3877" s="15" t="s">
        <v>144</v>
      </c>
      <c r="D3877" s="13" t="s">
        <v>134</v>
      </c>
      <c r="E3877" s="13" t="s">
        <v>6498</v>
      </c>
      <c r="F3877" s="43">
        <v>90.55</v>
      </c>
    </row>
    <row r="3878" spans="2:6" x14ac:dyDescent="0.25">
      <c r="B3878" s="13" t="s">
        <v>6499</v>
      </c>
      <c r="C3878" s="15" t="s">
        <v>144</v>
      </c>
      <c r="D3878" s="13" t="s">
        <v>134</v>
      </c>
      <c r="E3878" s="13" t="s">
        <v>6500</v>
      </c>
      <c r="F3878" s="43">
        <v>0.77</v>
      </c>
    </row>
    <row r="3879" spans="2:6" x14ac:dyDescent="0.25">
      <c r="B3879" s="13" t="s">
        <v>6501</v>
      </c>
      <c r="C3879" s="15" t="s">
        <v>144</v>
      </c>
      <c r="D3879" s="13" t="s">
        <v>134</v>
      </c>
      <c r="E3879" s="13" t="s">
        <v>6502</v>
      </c>
      <c r="F3879" s="43">
        <v>0.77</v>
      </c>
    </row>
    <row r="3880" spans="2:6" x14ac:dyDescent="0.25">
      <c r="B3880" s="13" t="s">
        <v>6503</v>
      </c>
      <c r="C3880" s="15" t="s">
        <v>144</v>
      </c>
      <c r="D3880" s="13" t="s">
        <v>134</v>
      </c>
      <c r="E3880" s="13" t="s">
        <v>6504</v>
      </c>
      <c r="F3880" s="43">
        <v>1.36</v>
      </c>
    </row>
    <row r="3881" spans="2:6" x14ac:dyDescent="0.25">
      <c r="B3881" s="13" t="s">
        <v>6505</v>
      </c>
      <c r="C3881" s="15" t="s">
        <v>144</v>
      </c>
      <c r="D3881" s="13" t="s">
        <v>134</v>
      </c>
      <c r="E3881" s="13" t="s">
        <v>6506</v>
      </c>
      <c r="F3881" s="43">
        <v>2.25</v>
      </c>
    </row>
    <row r="3882" spans="2:6" x14ac:dyDescent="0.25">
      <c r="B3882" s="13" t="s">
        <v>6507</v>
      </c>
      <c r="C3882" s="15" t="s">
        <v>144</v>
      </c>
      <c r="D3882" s="13" t="s">
        <v>134</v>
      </c>
      <c r="E3882" s="13" t="s">
        <v>6508</v>
      </c>
      <c r="F3882" s="43">
        <v>2.92</v>
      </c>
    </row>
    <row r="3883" spans="2:6" x14ac:dyDescent="0.25">
      <c r="B3883" s="13" t="s">
        <v>6509</v>
      </c>
      <c r="C3883" s="15" t="s">
        <v>144</v>
      </c>
      <c r="D3883" s="13" t="s">
        <v>134</v>
      </c>
      <c r="E3883" s="13" t="s">
        <v>6510</v>
      </c>
      <c r="F3883" s="43">
        <v>5.72</v>
      </c>
    </row>
    <row r="3884" spans="2:6" x14ac:dyDescent="0.25">
      <c r="B3884" s="13" t="s">
        <v>6511</v>
      </c>
      <c r="C3884" s="15" t="s">
        <v>144</v>
      </c>
      <c r="D3884" s="13" t="s">
        <v>134</v>
      </c>
      <c r="E3884" s="13" t="s">
        <v>6512</v>
      </c>
      <c r="F3884" s="43">
        <v>35.56</v>
      </c>
    </row>
    <row r="3885" spans="2:6" x14ac:dyDescent="0.25">
      <c r="B3885" s="13" t="s">
        <v>6513</v>
      </c>
      <c r="C3885" s="15" t="s">
        <v>144</v>
      </c>
      <c r="D3885" s="13" t="s">
        <v>134</v>
      </c>
      <c r="E3885" s="13" t="s">
        <v>6514</v>
      </c>
      <c r="F3885" s="43">
        <v>8.4499999999999993</v>
      </c>
    </row>
    <row r="3886" spans="2:6" x14ac:dyDescent="0.25">
      <c r="B3886" s="13" t="s">
        <v>6515</v>
      </c>
      <c r="C3886" s="15" t="s">
        <v>144</v>
      </c>
      <c r="D3886" s="13" t="s">
        <v>134</v>
      </c>
      <c r="E3886" s="13" t="s">
        <v>6516</v>
      </c>
      <c r="F3886" s="43">
        <v>0.94</v>
      </c>
    </row>
    <row r="3887" spans="2:6" x14ac:dyDescent="0.25">
      <c r="B3887" s="13" t="s">
        <v>6517</v>
      </c>
      <c r="C3887" s="15" t="s">
        <v>144</v>
      </c>
      <c r="D3887" s="13" t="s">
        <v>134</v>
      </c>
      <c r="E3887" s="13" t="s">
        <v>6518</v>
      </c>
      <c r="F3887" s="43">
        <v>1.76</v>
      </c>
    </row>
    <row r="3888" spans="2:6" x14ac:dyDescent="0.25">
      <c r="B3888" s="13" t="s">
        <v>6519</v>
      </c>
      <c r="C3888" s="15" t="s">
        <v>144</v>
      </c>
      <c r="D3888" s="13" t="s">
        <v>134</v>
      </c>
      <c r="E3888" s="13" t="s">
        <v>6520</v>
      </c>
      <c r="F3888" s="43">
        <v>2.72</v>
      </c>
    </row>
    <row r="3889" spans="2:6" x14ac:dyDescent="0.25">
      <c r="B3889" s="13" t="s">
        <v>6521</v>
      </c>
      <c r="C3889" s="15" t="s">
        <v>144</v>
      </c>
      <c r="D3889" s="13" t="s">
        <v>134</v>
      </c>
      <c r="E3889" s="13" t="s">
        <v>6522</v>
      </c>
      <c r="F3889" s="43">
        <v>4.07</v>
      </c>
    </row>
    <row r="3890" spans="2:6" x14ac:dyDescent="0.25">
      <c r="B3890" s="13" t="s">
        <v>6523</v>
      </c>
      <c r="C3890" s="15" t="s">
        <v>144</v>
      </c>
      <c r="D3890" s="13" t="s">
        <v>134</v>
      </c>
      <c r="E3890" s="13" t="s">
        <v>6524</v>
      </c>
      <c r="F3890" s="43">
        <v>6.76</v>
      </c>
    </row>
    <row r="3891" spans="2:6" x14ac:dyDescent="0.25">
      <c r="B3891" s="13" t="s">
        <v>6525</v>
      </c>
      <c r="C3891" s="15" t="s">
        <v>144</v>
      </c>
      <c r="D3891" s="13" t="s">
        <v>134</v>
      </c>
      <c r="E3891" s="13" t="s">
        <v>6526</v>
      </c>
      <c r="F3891" s="43">
        <v>13.53</v>
      </c>
    </row>
    <row r="3892" spans="2:6" x14ac:dyDescent="0.25">
      <c r="B3892" s="13" t="s">
        <v>6527</v>
      </c>
      <c r="C3892" s="15" t="s">
        <v>144</v>
      </c>
      <c r="D3892" s="13" t="s">
        <v>134</v>
      </c>
      <c r="E3892" s="13" t="s">
        <v>6528</v>
      </c>
      <c r="F3892" s="43">
        <v>22.99</v>
      </c>
    </row>
    <row r="3893" spans="2:6" x14ac:dyDescent="0.25">
      <c r="B3893" s="13" t="s">
        <v>6529</v>
      </c>
      <c r="C3893" s="15" t="s">
        <v>144</v>
      </c>
      <c r="D3893" s="13" t="s">
        <v>134</v>
      </c>
      <c r="E3893" s="13" t="s">
        <v>6530</v>
      </c>
      <c r="F3893" s="43">
        <v>45.27</v>
      </c>
    </row>
    <row r="3894" spans="2:6" x14ac:dyDescent="0.25">
      <c r="B3894" s="13" t="s">
        <v>6531</v>
      </c>
      <c r="C3894" s="15" t="s">
        <v>144</v>
      </c>
      <c r="D3894" s="13" t="s">
        <v>134</v>
      </c>
      <c r="E3894" s="13" t="s">
        <v>6532</v>
      </c>
      <c r="F3894" s="43">
        <v>58.31</v>
      </c>
    </row>
    <row r="3895" spans="2:6" x14ac:dyDescent="0.25">
      <c r="B3895" s="13" t="s">
        <v>6533</v>
      </c>
      <c r="C3895" s="15" t="s">
        <v>144</v>
      </c>
      <c r="D3895" s="13" t="s">
        <v>134</v>
      </c>
      <c r="E3895" s="13" t="s">
        <v>6534</v>
      </c>
      <c r="F3895" s="43">
        <v>71.69</v>
      </c>
    </row>
    <row r="3896" spans="2:6" x14ac:dyDescent="0.25">
      <c r="B3896" s="13" t="s">
        <v>6535</v>
      </c>
      <c r="C3896" s="15" t="s">
        <v>144</v>
      </c>
      <c r="D3896" s="13" t="s">
        <v>134</v>
      </c>
      <c r="E3896" s="13" t="s">
        <v>6536</v>
      </c>
      <c r="F3896" s="43">
        <v>2.11</v>
      </c>
    </row>
    <row r="3897" spans="2:6" x14ac:dyDescent="0.25">
      <c r="B3897" s="13" t="s">
        <v>6537</v>
      </c>
      <c r="C3897" s="15" t="s">
        <v>144</v>
      </c>
      <c r="D3897" s="13" t="s">
        <v>134</v>
      </c>
      <c r="E3897" s="13" t="s">
        <v>6538</v>
      </c>
      <c r="F3897" s="43">
        <v>2.2799999999999998</v>
      </c>
    </row>
    <row r="3898" spans="2:6" x14ac:dyDescent="0.25">
      <c r="B3898" s="13" t="s">
        <v>6539</v>
      </c>
      <c r="C3898" s="15" t="s">
        <v>144</v>
      </c>
      <c r="D3898" s="13" t="s">
        <v>134</v>
      </c>
      <c r="E3898" s="13" t="s">
        <v>6540</v>
      </c>
      <c r="F3898" s="43">
        <v>3.27</v>
      </c>
    </row>
    <row r="3899" spans="2:6" x14ac:dyDescent="0.25">
      <c r="B3899" s="13" t="s">
        <v>6541</v>
      </c>
      <c r="C3899" s="15" t="s">
        <v>144</v>
      </c>
      <c r="D3899" s="13" t="s">
        <v>134</v>
      </c>
      <c r="E3899" s="13" t="s">
        <v>6542</v>
      </c>
      <c r="F3899" s="43">
        <v>10.02</v>
      </c>
    </row>
    <row r="3900" spans="2:6" x14ac:dyDescent="0.25">
      <c r="B3900" s="13" t="s">
        <v>6543</v>
      </c>
      <c r="C3900" s="15" t="s">
        <v>144</v>
      </c>
      <c r="D3900" s="13" t="s">
        <v>134</v>
      </c>
      <c r="E3900" s="13" t="s">
        <v>6544</v>
      </c>
      <c r="F3900" s="43">
        <v>65.92</v>
      </c>
    </row>
    <row r="3901" spans="2:6" x14ac:dyDescent="0.25">
      <c r="B3901" s="13" t="s">
        <v>6545</v>
      </c>
      <c r="C3901" s="15" t="s">
        <v>144</v>
      </c>
      <c r="D3901" s="13" t="s">
        <v>134</v>
      </c>
      <c r="E3901" s="13" t="s">
        <v>6546</v>
      </c>
      <c r="F3901" s="43">
        <v>37.85</v>
      </c>
    </row>
    <row r="3902" spans="2:6" x14ac:dyDescent="0.25">
      <c r="B3902" s="13" t="s">
        <v>6547</v>
      </c>
      <c r="C3902" s="15" t="s">
        <v>144</v>
      </c>
      <c r="D3902" s="13" t="s">
        <v>134</v>
      </c>
      <c r="E3902" s="13" t="s">
        <v>6548</v>
      </c>
      <c r="F3902" s="43">
        <v>80.38</v>
      </c>
    </row>
    <row r="3903" spans="2:6" x14ac:dyDescent="0.25">
      <c r="B3903" s="13" t="s">
        <v>6549</v>
      </c>
      <c r="C3903" s="15" t="s">
        <v>144</v>
      </c>
      <c r="D3903" s="13" t="s">
        <v>134</v>
      </c>
      <c r="E3903" s="13" t="s">
        <v>6550</v>
      </c>
      <c r="F3903" s="43">
        <v>128.34</v>
      </c>
    </row>
    <row r="3904" spans="2:6" x14ac:dyDescent="0.25">
      <c r="B3904" s="13" t="s">
        <v>6551</v>
      </c>
      <c r="C3904" s="15" t="s">
        <v>144</v>
      </c>
      <c r="D3904" s="13" t="s">
        <v>134</v>
      </c>
      <c r="E3904" s="13" t="s">
        <v>6552</v>
      </c>
      <c r="F3904" s="43">
        <v>0.82</v>
      </c>
    </row>
    <row r="3905" spans="2:6" x14ac:dyDescent="0.25">
      <c r="B3905" s="13" t="s">
        <v>6553</v>
      </c>
      <c r="C3905" s="15" t="s">
        <v>144</v>
      </c>
      <c r="D3905" s="13" t="s">
        <v>134</v>
      </c>
      <c r="E3905" s="13" t="s">
        <v>6554</v>
      </c>
      <c r="F3905" s="43">
        <v>1.08</v>
      </c>
    </row>
    <row r="3906" spans="2:6" x14ac:dyDescent="0.25">
      <c r="B3906" s="13" t="s">
        <v>6555</v>
      </c>
      <c r="C3906" s="15" t="s">
        <v>144</v>
      </c>
      <c r="D3906" s="13" t="s">
        <v>134</v>
      </c>
      <c r="E3906" s="13" t="s">
        <v>6556</v>
      </c>
      <c r="F3906" s="43">
        <v>1.71</v>
      </c>
    </row>
    <row r="3907" spans="2:6" x14ac:dyDescent="0.25">
      <c r="B3907" s="13" t="s">
        <v>6557</v>
      </c>
      <c r="C3907" s="15" t="s">
        <v>144</v>
      </c>
      <c r="D3907" s="13" t="s">
        <v>134</v>
      </c>
      <c r="E3907" s="13" t="s">
        <v>6558</v>
      </c>
      <c r="F3907" s="43">
        <v>1.96</v>
      </c>
    </row>
    <row r="3908" spans="2:6" x14ac:dyDescent="0.25">
      <c r="B3908" s="13" t="s">
        <v>6559</v>
      </c>
      <c r="C3908" s="15" t="s">
        <v>144</v>
      </c>
      <c r="D3908" s="13" t="s">
        <v>134</v>
      </c>
      <c r="E3908" s="13" t="s">
        <v>6560</v>
      </c>
      <c r="F3908" s="43">
        <v>3.17</v>
      </c>
    </row>
    <row r="3909" spans="2:6" x14ac:dyDescent="0.25">
      <c r="B3909" s="13" t="s">
        <v>6561</v>
      </c>
      <c r="C3909" s="15" t="s">
        <v>144</v>
      </c>
      <c r="D3909" s="13" t="s">
        <v>134</v>
      </c>
      <c r="E3909" s="13" t="s">
        <v>6562</v>
      </c>
      <c r="F3909" s="43">
        <v>5.85</v>
      </c>
    </row>
    <row r="3910" spans="2:6" x14ac:dyDescent="0.25">
      <c r="B3910" s="13" t="s">
        <v>6563</v>
      </c>
      <c r="C3910" s="15" t="s">
        <v>144</v>
      </c>
      <c r="D3910" s="13" t="s">
        <v>134</v>
      </c>
      <c r="E3910" s="13" t="s">
        <v>6564</v>
      </c>
      <c r="F3910" s="43">
        <v>65.489999999999995</v>
      </c>
    </row>
    <row r="3911" spans="2:6" x14ac:dyDescent="0.25">
      <c r="B3911" s="13" t="s">
        <v>6565</v>
      </c>
      <c r="C3911" s="15" t="s">
        <v>144</v>
      </c>
      <c r="D3911" s="13" t="s">
        <v>134</v>
      </c>
      <c r="E3911" s="13" t="s">
        <v>6566</v>
      </c>
      <c r="F3911" s="43">
        <v>84.44</v>
      </c>
    </row>
    <row r="3912" spans="2:6" x14ac:dyDescent="0.25">
      <c r="B3912" s="13" t="s">
        <v>6567</v>
      </c>
      <c r="C3912" s="15" t="s">
        <v>144</v>
      </c>
      <c r="D3912" s="13" t="s">
        <v>134</v>
      </c>
      <c r="E3912" s="13" t="s">
        <v>6568</v>
      </c>
      <c r="F3912" s="43">
        <v>160.88999999999999</v>
      </c>
    </row>
    <row r="3913" spans="2:6" x14ac:dyDescent="0.25">
      <c r="B3913" s="13" t="s">
        <v>6569</v>
      </c>
      <c r="C3913" s="15" t="s">
        <v>144</v>
      </c>
      <c r="D3913" s="13" t="s">
        <v>134</v>
      </c>
      <c r="E3913" s="13" t="s">
        <v>6570</v>
      </c>
      <c r="F3913" s="43">
        <v>0.96</v>
      </c>
    </row>
    <row r="3914" spans="2:6" x14ac:dyDescent="0.25">
      <c r="B3914" s="13" t="s">
        <v>6571</v>
      </c>
      <c r="C3914" s="15" t="s">
        <v>144</v>
      </c>
      <c r="D3914" s="13" t="s">
        <v>134</v>
      </c>
      <c r="E3914" s="13" t="s">
        <v>6572</v>
      </c>
      <c r="F3914" s="43">
        <v>1.3</v>
      </c>
    </row>
    <row r="3915" spans="2:6" x14ac:dyDescent="0.25">
      <c r="B3915" s="13" t="s">
        <v>6573</v>
      </c>
      <c r="C3915" s="15" t="s">
        <v>144</v>
      </c>
      <c r="D3915" s="13" t="s">
        <v>134</v>
      </c>
      <c r="E3915" s="13" t="s">
        <v>6574</v>
      </c>
      <c r="F3915" s="43">
        <v>2.0499999999999998</v>
      </c>
    </row>
    <row r="3916" spans="2:6" x14ac:dyDescent="0.25">
      <c r="B3916" s="13" t="s">
        <v>6575</v>
      </c>
      <c r="C3916" s="15" t="s">
        <v>144</v>
      </c>
      <c r="D3916" s="13" t="s">
        <v>134</v>
      </c>
      <c r="E3916" s="13" t="s">
        <v>6576</v>
      </c>
      <c r="F3916" s="43">
        <v>2.87</v>
      </c>
    </row>
    <row r="3917" spans="2:6" x14ac:dyDescent="0.25">
      <c r="B3917" s="13" t="s">
        <v>6577</v>
      </c>
      <c r="C3917" s="15" t="s">
        <v>144</v>
      </c>
      <c r="D3917" s="13" t="s">
        <v>134</v>
      </c>
      <c r="E3917" s="13" t="s">
        <v>6578</v>
      </c>
      <c r="F3917" s="43">
        <v>4.33</v>
      </c>
    </row>
    <row r="3918" spans="2:6" x14ac:dyDescent="0.25">
      <c r="B3918" s="13" t="s">
        <v>6579</v>
      </c>
      <c r="C3918" s="15" t="s">
        <v>144</v>
      </c>
      <c r="D3918" s="13" t="s">
        <v>134</v>
      </c>
      <c r="E3918" s="13" t="s">
        <v>6580</v>
      </c>
      <c r="F3918" s="43">
        <v>7.63</v>
      </c>
    </row>
    <row r="3919" spans="2:6" x14ac:dyDescent="0.25">
      <c r="B3919" s="13" t="s">
        <v>6581</v>
      </c>
      <c r="C3919" s="15" t="s">
        <v>144</v>
      </c>
      <c r="D3919" s="13" t="s">
        <v>134</v>
      </c>
      <c r="E3919" s="13" t="s">
        <v>6582</v>
      </c>
      <c r="F3919" s="43">
        <v>13.42</v>
      </c>
    </row>
    <row r="3920" spans="2:6" x14ac:dyDescent="0.25">
      <c r="B3920" s="13" t="s">
        <v>6583</v>
      </c>
      <c r="C3920" s="15" t="s">
        <v>144</v>
      </c>
      <c r="D3920" s="13" t="s">
        <v>134</v>
      </c>
      <c r="E3920" s="13" t="s">
        <v>6584</v>
      </c>
      <c r="F3920" s="43">
        <v>23.11</v>
      </c>
    </row>
    <row r="3921" spans="2:6" x14ac:dyDescent="0.25">
      <c r="B3921" s="13" t="s">
        <v>6585</v>
      </c>
      <c r="C3921" s="15" t="s">
        <v>144</v>
      </c>
      <c r="D3921" s="13" t="s">
        <v>134</v>
      </c>
      <c r="E3921" s="13" t="s">
        <v>6586</v>
      </c>
      <c r="F3921" s="43">
        <v>39.01</v>
      </c>
    </row>
    <row r="3922" spans="2:6" x14ac:dyDescent="0.25">
      <c r="B3922" s="13" t="s">
        <v>6587</v>
      </c>
      <c r="C3922" s="15" t="s">
        <v>144</v>
      </c>
      <c r="D3922" s="13" t="s">
        <v>134</v>
      </c>
      <c r="E3922" s="13" t="s">
        <v>6588</v>
      </c>
      <c r="F3922" s="43">
        <v>89.59</v>
      </c>
    </row>
    <row r="3923" spans="2:6" x14ac:dyDescent="0.25">
      <c r="B3923" s="13" t="s">
        <v>6589</v>
      </c>
      <c r="C3923" s="15" t="s">
        <v>144</v>
      </c>
      <c r="D3923" s="13" t="s">
        <v>134</v>
      </c>
      <c r="E3923" s="13" t="s">
        <v>6590</v>
      </c>
      <c r="F3923" s="43">
        <v>105.72</v>
      </c>
    </row>
    <row r="3924" spans="2:6" x14ac:dyDescent="0.25">
      <c r="B3924" s="13" t="s">
        <v>6591</v>
      </c>
      <c r="C3924" s="15" t="s">
        <v>144</v>
      </c>
      <c r="D3924" s="13" t="s">
        <v>134</v>
      </c>
      <c r="E3924" s="13" t="s">
        <v>6592</v>
      </c>
      <c r="F3924" s="43">
        <v>215.5</v>
      </c>
    </row>
    <row r="3925" spans="2:6" x14ac:dyDescent="0.25">
      <c r="B3925" s="13" t="s">
        <v>6593</v>
      </c>
      <c r="C3925" s="15" t="s">
        <v>144</v>
      </c>
      <c r="D3925" s="13" t="s">
        <v>134</v>
      </c>
      <c r="E3925" s="13" t="s">
        <v>6594</v>
      </c>
      <c r="F3925" s="43">
        <v>3</v>
      </c>
    </row>
    <row r="3926" spans="2:6" x14ac:dyDescent="0.25">
      <c r="B3926" s="13" t="s">
        <v>6595</v>
      </c>
      <c r="C3926" s="15" t="s">
        <v>144</v>
      </c>
      <c r="D3926" s="13" t="s">
        <v>134</v>
      </c>
      <c r="E3926" s="13" t="s">
        <v>6596</v>
      </c>
      <c r="F3926" s="43">
        <v>3.52</v>
      </c>
    </row>
    <row r="3927" spans="2:6" x14ac:dyDescent="0.25">
      <c r="B3927" s="13" t="s">
        <v>6597</v>
      </c>
      <c r="C3927" s="15" t="s">
        <v>144</v>
      </c>
      <c r="D3927" s="13" t="s">
        <v>134</v>
      </c>
      <c r="E3927" s="13" t="s">
        <v>6598</v>
      </c>
      <c r="F3927" s="43">
        <v>5.26</v>
      </c>
    </row>
    <row r="3928" spans="2:6" x14ac:dyDescent="0.25">
      <c r="B3928" s="13" t="s">
        <v>6599</v>
      </c>
      <c r="C3928" s="15" t="s">
        <v>144</v>
      </c>
      <c r="D3928" s="13" t="s">
        <v>134</v>
      </c>
      <c r="E3928" s="13" t="s">
        <v>6600</v>
      </c>
      <c r="F3928" s="43">
        <v>5.65</v>
      </c>
    </row>
    <row r="3929" spans="2:6" x14ac:dyDescent="0.25">
      <c r="B3929" s="13" t="s">
        <v>6601</v>
      </c>
      <c r="C3929" s="15" t="s">
        <v>144</v>
      </c>
      <c r="D3929" s="13" t="s">
        <v>134</v>
      </c>
      <c r="E3929" s="13" t="s">
        <v>6602</v>
      </c>
      <c r="F3929" s="43">
        <v>6.95</v>
      </c>
    </row>
    <row r="3930" spans="2:6" x14ac:dyDescent="0.25">
      <c r="B3930" s="13" t="s">
        <v>6603</v>
      </c>
      <c r="C3930" s="15" t="s">
        <v>144</v>
      </c>
      <c r="D3930" s="13" t="s">
        <v>134</v>
      </c>
      <c r="E3930" s="13" t="s">
        <v>6604</v>
      </c>
      <c r="F3930" s="43">
        <v>11.26</v>
      </c>
    </row>
    <row r="3931" spans="2:6" x14ac:dyDescent="0.25">
      <c r="B3931" s="13" t="s">
        <v>6605</v>
      </c>
      <c r="C3931" s="15" t="s">
        <v>144</v>
      </c>
      <c r="D3931" s="13" t="s">
        <v>134</v>
      </c>
      <c r="E3931" s="13" t="s">
        <v>6606</v>
      </c>
      <c r="F3931" s="43">
        <v>30.74</v>
      </c>
    </row>
    <row r="3932" spans="2:6" x14ac:dyDescent="0.25">
      <c r="B3932" s="13" t="s">
        <v>6607</v>
      </c>
      <c r="C3932" s="15" t="s">
        <v>144</v>
      </c>
      <c r="D3932" s="13" t="s">
        <v>134</v>
      </c>
      <c r="E3932" s="13" t="s">
        <v>6608</v>
      </c>
      <c r="F3932" s="43">
        <v>40.64</v>
      </c>
    </row>
    <row r="3933" spans="2:6" x14ac:dyDescent="0.25">
      <c r="B3933" s="13" t="s">
        <v>6609</v>
      </c>
      <c r="C3933" s="15" t="s">
        <v>144</v>
      </c>
      <c r="D3933" s="13" t="s">
        <v>134</v>
      </c>
      <c r="E3933" s="13" t="s">
        <v>6610</v>
      </c>
      <c r="F3933" s="43">
        <v>65.489999999999995</v>
      </c>
    </row>
    <row r="3934" spans="2:6" x14ac:dyDescent="0.25">
      <c r="B3934" s="13" t="s">
        <v>6611</v>
      </c>
      <c r="C3934" s="15" t="s">
        <v>144</v>
      </c>
      <c r="D3934" s="13" t="s">
        <v>134</v>
      </c>
      <c r="E3934" s="13" t="s">
        <v>6612</v>
      </c>
      <c r="F3934" s="43">
        <v>5.5</v>
      </c>
    </row>
    <row r="3935" spans="2:6" x14ac:dyDescent="0.25">
      <c r="B3935" s="13" t="s">
        <v>6613</v>
      </c>
      <c r="C3935" s="15" t="s">
        <v>144</v>
      </c>
      <c r="D3935" s="13" t="s">
        <v>134</v>
      </c>
      <c r="E3935" s="13" t="s">
        <v>6614</v>
      </c>
      <c r="F3935" s="43">
        <v>8.3699999999999992</v>
      </c>
    </row>
    <row r="3936" spans="2:6" x14ac:dyDescent="0.25">
      <c r="B3936" s="13" t="s">
        <v>6615</v>
      </c>
      <c r="C3936" s="15" t="s">
        <v>144</v>
      </c>
      <c r="D3936" s="13" t="s">
        <v>134</v>
      </c>
      <c r="E3936" s="13" t="s">
        <v>6616</v>
      </c>
      <c r="F3936" s="43">
        <v>23.89</v>
      </c>
    </row>
    <row r="3937" spans="2:6" x14ac:dyDescent="0.25">
      <c r="B3937" s="13" t="s">
        <v>6617</v>
      </c>
      <c r="C3937" s="15" t="s">
        <v>144</v>
      </c>
      <c r="D3937" s="13" t="s">
        <v>134</v>
      </c>
      <c r="E3937" s="13" t="s">
        <v>6618</v>
      </c>
      <c r="F3937" s="43">
        <v>36.24</v>
      </c>
    </row>
    <row r="3938" spans="2:6" x14ac:dyDescent="0.25">
      <c r="B3938" s="13" t="s">
        <v>6619</v>
      </c>
      <c r="C3938" s="15" t="s">
        <v>144</v>
      </c>
      <c r="D3938" s="13" t="s">
        <v>134</v>
      </c>
      <c r="E3938" s="13" t="s">
        <v>6620</v>
      </c>
      <c r="F3938" s="43">
        <v>2.93</v>
      </c>
    </row>
    <row r="3939" spans="2:6" x14ac:dyDescent="0.25">
      <c r="B3939" s="13" t="s">
        <v>6621</v>
      </c>
      <c r="C3939" s="15" t="s">
        <v>144</v>
      </c>
      <c r="D3939" s="13" t="s">
        <v>134</v>
      </c>
      <c r="E3939" s="13" t="s">
        <v>6622</v>
      </c>
      <c r="F3939" s="43">
        <v>1.18</v>
      </c>
    </row>
    <row r="3940" spans="2:6" x14ac:dyDescent="0.25">
      <c r="B3940" s="13" t="s">
        <v>6623</v>
      </c>
      <c r="C3940" s="15" t="s">
        <v>144</v>
      </c>
      <c r="D3940" s="13" t="s">
        <v>134</v>
      </c>
      <c r="E3940" s="13" t="s">
        <v>6624</v>
      </c>
      <c r="F3940" s="43">
        <v>5.97</v>
      </c>
    </row>
    <row r="3941" spans="2:6" x14ac:dyDescent="0.25">
      <c r="B3941" s="13" t="s">
        <v>6625</v>
      </c>
      <c r="C3941" s="15" t="s">
        <v>144</v>
      </c>
      <c r="D3941" s="13" t="s">
        <v>134</v>
      </c>
      <c r="E3941" s="13" t="s">
        <v>6626</v>
      </c>
      <c r="F3941" s="43">
        <v>4.43</v>
      </c>
    </row>
    <row r="3942" spans="2:6" x14ac:dyDescent="0.25">
      <c r="B3942" s="13" t="s">
        <v>6627</v>
      </c>
      <c r="C3942" s="15" t="s">
        <v>144</v>
      </c>
      <c r="D3942" s="13" t="s">
        <v>134</v>
      </c>
      <c r="E3942" s="13" t="s">
        <v>6628</v>
      </c>
      <c r="F3942" s="43">
        <v>8.58</v>
      </c>
    </row>
    <row r="3943" spans="2:6" x14ac:dyDescent="0.25">
      <c r="B3943" s="13" t="s">
        <v>6629</v>
      </c>
      <c r="C3943" s="15" t="s">
        <v>144</v>
      </c>
      <c r="D3943" s="13" t="s">
        <v>134</v>
      </c>
      <c r="E3943" s="13" t="s">
        <v>6630</v>
      </c>
      <c r="F3943" s="43">
        <v>40.39</v>
      </c>
    </row>
    <row r="3944" spans="2:6" x14ac:dyDescent="0.25">
      <c r="B3944" s="13" t="s">
        <v>6631</v>
      </c>
      <c r="C3944" s="15" t="s">
        <v>144</v>
      </c>
      <c r="D3944" s="13" t="s">
        <v>134</v>
      </c>
      <c r="E3944" s="13" t="s">
        <v>6632</v>
      </c>
      <c r="F3944" s="43">
        <v>2.27</v>
      </c>
    </row>
    <row r="3945" spans="2:6" x14ac:dyDescent="0.25">
      <c r="B3945" s="13" t="s">
        <v>6633</v>
      </c>
      <c r="C3945" s="15" t="s">
        <v>144</v>
      </c>
      <c r="D3945" s="13" t="s">
        <v>134</v>
      </c>
      <c r="E3945" s="13" t="s">
        <v>6634</v>
      </c>
      <c r="F3945" s="43">
        <v>65.81</v>
      </c>
    </row>
    <row r="3946" spans="2:6" x14ac:dyDescent="0.25">
      <c r="B3946" s="13" t="s">
        <v>6635</v>
      </c>
      <c r="C3946" s="15" t="s">
        <v>144</v>
      </c>
      <c r="D3946" s="13" t="s">
        <v>134</v>
      </c>
      <c r="E3946" s="13" t="s">
        <v>6636</v>
      </c>
      <c r="F3946" s="43">
        <v>3.88</v>
      </c>
    </row>
    <row r="3947" spans="2:6" x14ac:dyDescent="0.25">
      <c r="B3947" s="13" t="s">
        <v>6637</v>
      </c>
      <c r="C3947" s="15" t="s">
        <v>144</v>
      </c>
      <c r="D3947" s="13" t="s">
        <v>134</v>
      </c>
      <c r="E3947" s="13" t="s">
        <v>6638</v>
      </c>
      <c r="F3947" s="43">
        <v>2.09</v>
      </c>
    </row>
    <row r="3948" spans="2:6" x14ac:dyDescent="0.25">
      <c r="B3948" s="13" t="s">
        <v>6639</v>
      </c>
      <c r="C3948" s="15" t="s">
        <v>144</v>
      </c>
      <c r="D3948" s="13" t="s">
        <v>134</v>
      </c>
      <c r="E3948" s="13" t="s">
        <v>6640</v>
      </c>
      <c r="F3948" s="43">
        <v>2.2799999999999998</v>
      </c>
    </row>
    <row r="3949" spans="2:6" x14ac:dyDescent="0.25">
      <c r="B3949" s="13" t="s">
        <v>6641</v>
      </c>
      <c r="C3949" s="15" t="s">
        <v>144</v>
      </c>
      <c r="D3949" s="13" t="s">
        <v>134</v>
      </c>
      <c r="E3949" s="13" t="s">
        <v>6642</v>
      </c>
      <c r="F3949" s="43">
        <v>2.89</v>
      </c>
    </row>
    <row r="3950" spans="2:6" x14ac:dyDescent="0.25">
      <c r="B3950" s="13" t="s">
        <v>6643</v>
      </c>
      <c r="C3950" s="15" t="s">
        <v>144</v>
      </c>
      <c r="D3950" s="13" t="s">
        <v>134</v>
      </c>
      <c r="E3950" s="13" t="s">
        <v>6644</v>
      </c>
      <c r="F3950" s="43">
        <v>3.24</v>
      </c>
    </row>
    <row r="3951" spans="2:6" x14ac:dyDescent="0.25">
      <c r="B3951" s="13" t="s">
        <v>6645</v>
      </c>
      <c r="C3951" s="15" t="s">
        <v>144</v>
      </c>
      <c r="D3951" s="13" t="s">
        <v>134</v>
      </c>
      <c r="E3951" s="13" t="s">
        <v>6646</v>
      </c>
      <c r="F3951" s="43">
        <v>4.53</v>
      </c>
    </row>
    <row r="3952" spans="2:6" x14ac:dyDescent="0.25">
      <c r="B3952" s="13" t="s">
        <v>6647</v>
      </c>
      <c r="C3952" s="15" t="s">
        <v>144</v>
      </c>
      <c r="D3952" s="13" t="s">
        <v>134</v>
      </c>
      <c r="E3952" s="13" t="s">
        <v>6648</v>
      </c>
      <c r="F3952" s="43">
        <v>4.46</v>
      </c>
    </row>
    <row r="3953" spans="2:6" x14ac:dyDescent="0.25">
      <c r="B3953" s="13" t="s">
        <v>6649</v>
      </c>
      <c r="C3953" s="15" t="s">
        <v>144</v>
      </c>
      <c r="D3953" s="13" t="s">
        <v>134</v>
      </c>
      <c r="E3953" s="13" t="s">
        <v>6650</v>
      </c>
      <c r="F3953" s="43">
        <v>1.17</v>
      </c>
    </row>
    <row r="3954" spans="2:6" x14ac:dyDescent="0.25">
      <c r="B3954" s="13" t="s">
        <v>6651</v>
      </c>
      <c r="C3954" s="15" t="s">
        <v>144</v>
      </c>
      <c r="D3954" s="13" t="s">
        <v>134</v>
      </c>
      <c r="E3954" s="13" t="s">
        <v>6652</v>
      </c>
      <c r="F3954" s="43">
        <v>3.99</v>
      </c>
    </row>
    <row r="3955" spans="2:6" x14ac:dyDescent="0.25">
      <c r="B3955" s="13" t="s">
        <v>6653</v>
      </c>
      <c r="C3955" s="15" t="s">
        <v>144</v>
      </c>
      <c r="D3955" s="13" t="s">
        <v>134</v>
      </c>
      <c r="E3955" s="13" t="s">
        <v>6654</v>
      </c>
      <c r="F3955" s="43">
        <v>6.32</v>
      </c>
    </row>
    <row r="3956" spans="2:6" x14ac:dyDescent="0.25">
      <c r="B3956" s="13" t="s">
        <v>6655</v>
      </c>
      <c r="C3956" s="15" t="s">
        <v>144</v>
      </c>
      <c r="D3956" s="13" t="s">
        <v>134</v>
      </c>
      <c r="E3956" s="13" t="s">
        <v>6656</v>
      </c>
      <c r="F3956" s="43">
        <v>41.82</v>
      </c>
    </row>
    <row r="3957" spans="2:6" x14ac:dyDescent="0.25">
      <c r="B3957" s="13" t="s">
        <v>6657</v>
      </c>
      <c r="C3957" s="15" t="s">
        <v>144</v>
      </c>
      <c r="D3957" s="13" t="s">
        <v>134</v>
      </c>
      <c r="E3957" s="13" t="s">
        <v>6658</v>
      </c>
      <c r="F3957" s="43">
        <v>30.82</v>
      </c>
    </row>
    <row r="3958" spans="2:6" x14ac:dyDescent="0.25">
      <c r="B3958" s="13" t="s">
        <v>6659</v>
      </c>
      <c r="C3958" s="15" t="s">
        <v>144</v>
      </c>
      <c r="D3958" s="13" t="s">
        <v>134</v>
      </c>
      <c r="E3958" s="13" t="s">
        <v>6660</v>
      </c>
      <c r="F3958" s="43">
        <v>64.47</v>
      </c>
    </row>
    <row r="3959" spans="2:6" x14ac:dyDescent="0.25">
      <c r="B3959" s="13" t="s">
        <v>6661</v>
      </c>
      <c r="C3959" s="15" t="s">
        <v>144</v>
      </c>
      <c r="D3959" s="13" t="s">
        <v>134</v>
      </c>
      <c r="E3959" s="13" t="s">
        <v>6662</v>
      </c>
      <c r="F3959" s="43">
        <v>1.27</v>
      </c>
    </row>
    <row r="3960" spans="2:6" x14ac:dyDescent="0.25">
      <c r="B3960" s="13" t="s">
        <v>6663</v>
      </c>
      <c r="C3960" s="15" t="s">
        <v>144</v>
      </c>
      <c r="D3960" s="13" t="s">
        <v>134</v>
      </c>
      <c r="E3960" s="13" t="s">
        <v>6664</v>
      </c>
      <c r="F3960" s="43">
        <v>1.49</v>
      </c>
    </row>
    <row r="3961" spans="2:6" x14ac:dyDescent="0.25">
      <c r="B3961" s="13" t="s">
        <v>6665</v>
      </c>
      <c r="C3961" s="15" t="s">
        <v>144</v>
      </c>
      <c r="D3961" s="13" t="s">
        <v>134</v>
      </c>
      <c r="E3961" s="13" t="s">
        <v>6666</v>
      </c>
      <c r="F3961" s="43">
        <v>1.76</v>
      </c>
    </row>
    <row r="3962" spans="2:6" x14ac:dyDescent="0.25">
      <c r="B3962" s="13" t="s">
        <v>6667</v>
      </c>
      <c r="C3962" s="15" t="s">
        <v>144</v>
      </c>
      <c r="D3962" s="13" t="s">
        <v>134</v>
      </c>
      <c r="E3962" s="13" t="s">
        <v>6668</v>
      </c>
      <c r="F3962" s="43">
        <v>2.25</v>
      </c>
    </row>
    <row r="3963" spans="2:6" x14ac:dyDescent="0.25">
      <c r="B3963" s="13" t="s">
        <v>6669</v>
      </c>
      <c r="C3963" s="15" t="s">
        <v>144</v>
      </c>
      <c r="D3963" s="13" t="s">
        <v>134</v>
      </c>
      <c r="E3963" s="13" t="s">
        <v>6670</v>
      </c>
      <c r="F3963" s="43">
        <v>2.36</v>
      </c>
    </row>
    <row r="3964" spans="2:6" x14ac:dyDescent="0.25">
      <c r="B3964" s="13" t="s">
        <v>6671</v>
      </c>
      <c r="C3964" s="15" t="s">
        <v>144</v>
      </c>
      <c r="D3964" s="13" t="s">
        <v>134</v>
      </c>
      <c r="E3964" s="13" t="s">
        <v>6672</v>
      </c>
      <c r="F3964" s="43">
        <v>3.7</v>
      </c>
    </row>
    <row r="3965" spans="2:6" x14ac:dyDescent="0.25">
      <c r="B3965" s="13" t="s">
        <v>6673</v>
      </c>
      <c r="C3965" s="15" t="s">
        <v>144</v>
      </c>
      <c r="D3965" s="13" t="s">
        <v>134</v>
      </c>
      <c r="E3965" s="13" t="s">
        <v>6674</v>
      </c>
      <c r="F3965" s="43">
        <v>7.95</v>
      </c>
    </row>
    <row r="3966" spans="2:6" x14ac:dyDescent="0.25">
      <c r="B3966" s="13" t="s">
        <v>6675</v>
      </c>
      <c r="C3966" s="15" t="s">
        <v>144</v>
      </c>
      <c r="D3966" s="13" t="s">
        <v>134</v>
      </c>
      <c r="E3966" s="13" t="s">
        <v>6676</v>
      </c>
      <c r="F3966" s="43">
        <v>14.61</v>
      </c>
    </row>
    <row r="3967" spans="2:6" x14ac:dyDescent="0.25">
      <c r="B3967" s="13" t="s">
        <v>6677</v>
      </c>
      <c r="C3967" s="15" t="s">
        <v>144</v>
      </c>
      <c r="D3967" s="13" t="s">
        <v>134</v>
      </c>
      <c r="E3967" s="13" t="s">
        <v>6678</v>
      </c>
      <c r="F3967" s="43">
        <v>22.56</v>
      </c>
    </row>
    <row r="3968" spans="2:6" x14ac:dyDescent="0.25">
      <c r="B3968" s="13" t="s">
        <v>6679</v>
      </c>
      <c r="C3968" s="15" t="s">
        <v>144</v>
      </c>
      <c r="D3968" s="13" t="s">
        <v>134</v>
      </c>
      <c r="E3968" s="13" t="s">
        <v>6680</v>
      </c>
      <c r="F3968" s="43">
        <v>1.66</v>
      </c>
    </row>
    <row r="3969" spans="2:6" x14ac:dyDescent="0.25">
      <c r="B3969" s="13" t="s">
        <v>6681</v>
      </c>
      <c r="C3969" s="15" t="s">
        <v>144</v>
      </c>
      <c r="D3969" s="13" t="s">
        <v>134</v>
      </c>
      <c r="E3969" s="13" t="s">
        <v>6682</v>
      </c>
      <c r="F3969" s="43">
        <v>1.9</v>
      </c>
    </row>
    <row r="3970" spans="2:6" x14ac:dyDescent="0.25">
      <c r="B3970" s="13" t="s">
        <v>6683</v>
      </c>
      <c r="C3970" s="15" t="s">
        <v>144</v>
      </c>
      <c r="D3970" s="13" t="s">
        <v>134</v>
      </c>
      <c r="E3970" s="13" t="s">
        <v>6684</v>
      </c>
      <c r="F3970" s="43">
        <v>2.09</v>
      </c>
    </row>
    <row r="3971" spans="2:6" x14ac:dyDescent="0.25">
      <c r="B3971" s="13" t="s">
        <v>6685</v>
      </c>
      <c r="C3971" s="15" t="s">
        <v>144</v>
      </c>
      <c r="D3971" s="13" t="s">
        <v>134</v>
      </c>
      <c r="E3971" s="13" t="s">
        <v>6686</v>
      </c>
      <c r="F3971" s="43">
        <v>2.98</v>
      </c>
    </row>
    <row r="3972" spans="2:6" x14ac:dyDescent="0.25">
      <c r="B3972" s="13" t="s">
        <v>6687</v>
      </c>
      <c r="C3972" s="15" t="s">
        <v>144</v>
      </c>
      <c r="D3972" s="13" t="s">
        <v>134</v>
      </c>
      <c r="E3972" s="13" t="s">
        <v>6688</v>
      </c>
      <c r="F3972" s="43">
        <v>4.33</v>
      </c>
    </row>
    <row r="3973" spans="2:6" x14ac:dyDescent="0.25">
      <c r="B3973" s="13" t="s">
        <v>6689</v>
      </c>
      <c r="C3973" s="15" t="s">
        <v>144</v>
      </c>
      <c r="D3973" s="13" t="s">
        <v>134</v>
      </c>
      <c r="E3973" s="13" t="s">
        <v>6690</v>
      </c>
      <c r="F3973" s="43">
        <v>5.91</v>
      </c>
    </row>
    <row r="3974" spans="2:6" x14ac:dyDescent="0.25">
      <c r="B3974" s="13" t="s">
        <v>6691</v>
      </c>
      <c r="C3974" s="15" t="s">
        <v>144</v>
      </c>
      <c r="D3974" s="13" t="s">
        <v>134</v>
      </c>
      <c r="E3974" s="13" t="s">
        <v>6692</v>
      </c>
      <c r="F3974" s="43">
        <v>13.36</v>
      </c>
    </row>
    <row r="3975" spans="2:6" x14ac:dyDescent="0.25">
      <c r="B3975" s="13" t="s">
        <v>6693</v>
      </c>
      <c r="C3975" s="15" t="s">
        <v>144</v>
      </c>
      <c r="D3975" s="13" t="s">
        <v>134</v>
      </c>
      <c r="E3975" s="13" t="s">
        <v>6694</v>
      </c>
      <c r="F3975" s="43">
        <v>18.87</v>
      </c>
    </row>
    <row r="3976" spans="2:6" x14ac:dyDescent="0.25">
      <c r="B3976" s="13" t="s">
        <v>6695</v>
      </c>
      <c r="C3976" s="15" t="s">
        <v>144</v>
      </c>
      <c r="D3976" s="13" t="s">
        <v>134</v>
      </c>
      <c r="E3976" s="13" t="s">
        <v>6696</v>
      </c>
      <c r="F3976" s="43">
        <v>29.23</v>
      </c>
    </row>
    <row r="3977" spans="2:6" x14ac:dyDescent="0.25">
      <c r="B3977" s="13" t="s">
        <v>6697</v>
      </c>
      <c r="C3977" s="15" t="s">
        <v>144</v>
      </c>
      <c r="D3977" s="13" t="s">
        <v>134</v>
      </c>
      <c r="E3977" s="13" t="s">
        <v>6698</v>
      </c>
      <c r="F3977" s="43">
        <v>1.39</v>
      </c>
    </row>
    <row r="3978" spans="2:6" x14ac:dyDescent="0.25">
      <c r="B3978" s="13" t="s">
        <v>6699</v>
      </c>
      <c r="C3978" s="15" t="s">
        <v>144</v>
      </c>
      <c r="D3978" s="13" t="s">
        <v>134</v>
      </c>
      <c r="E3978" s="13" t="s">
        <v>6700</v>
      </c>
      <c r="F3978" s="43">
        <v>11.6</v>
      </c>
    </row>
    <row r="3979" spans="2:6" x14ac:dyDescent="0.25">
      <c r="B3979" s="13" t="s">
        <v>6701</v>
      </c>
      <c r="C3979" s="15" t="s">
        <v>144</v>
      </c>
      <c r="D3979" s="13" t="s">
        <v>134</v>
      </c>
      <c r="E3979" s="13" t="s">
        <v>6702</v>
      </c>
      <c r="F3979" s="43">
        <v>1.26</v>
      </c>
    </row>
    <row r="3980" spans="2:6" x14ac:dyDescent="0.25">
      <c r="B3980" s="13" t="s">
        <v>6703</v>
      </c>
      <c r="C3980" s="15" t="s">
        <v>144</v>
      </c>
      <c r="D3980" s="13" t="s">
        <v>134</v>
      </c>
      <c r="E3980" s="13" t="s">
        <v>6704</v>
      </c>
      <c r="F3980" s="43">
        <v>1.43</v>
      </c>
    </row>
    <row r="3981" spans="2:6" x14ac:dyDescent="0.25">
      <c r="B3981" s="13" t="s">
        <v>6705</v>
      </c>
      <c r="C3981" s="15" t="s">
        <v>144</v>
      </c>
      <c r="D3981" s="13" t="s">
        <v>134</v>
      </c>
      <c r="E3981" s="13" t="s">
        <v>6706</v>
      </c>
      <c r="F3981" s="43">
        <v>1.74</v>
      </c>
    </row>
    <row r="3982" spans="2:6" x14ac:dyDescent="0.25">
      <c r="B3982" s="13" t="s">
        <v>6707</v>
      </c>
      <c r="C3982" s="15" t="s">
        <v>144</v>
      </c>
      <c r="D3982" s="13" t="s">
        <v>134</v>
      </c>
      <c r="E3982" s="13" t="s">
        <v>6708</v>
      </c>
      <c r="F3982" s="43">
        <v>1.61</v>
      </c>
    </row>
    <row r="3983" spans="2:6" x14ac:dyDescent="0.25">
      <c r="B3983" s="13" t="s">
        <v>6709</v>
      </c>
      <c r="C3983" s="15" t="s">
        <v>144</v>
      </c>
      <c r="D3983" s="13" t="s">
        <v>134</v>
      </c>
      <c r="E3983" s="13" t="s">
        <v>6710</v>
      </c>
      <c r="F3983" s="43">
        <v>2.14</v>
      </c>
    </row>
    <row r="3984" spans="2:6" x14ac:dyDescent="0.25">
      <c r="B3984" s="13" t="s">
        <v>6711</v>
      </c>
      <c r="C3984" s="15" t="s">
        <v>144</v>
      </c>
      <c r="D3984" s="13" t="s">
        <v>134</v>
      </c>
      <c r="E3984" s="13" t="s">
        <v>6712</v>
      </c>
      <c r="F3984" s="43">
        <v>2.27</v>
      </c>
    </row>
    <row r="3985" spans="2:6" x14ac:dyDescent="0.25">
      <c r="B3985" s="13" t="s">
        <v>6713</v>
      </c>
      <c r="C3985" s="15" t="s">
        <v>144</v>
      </c>
      <c r="D3985" s="13" t="s">
        <v>134</v>
      </c>
      <c r="E3985" s="13" t="s">
        <v>6714</v>
      </c>
      <c r="F3985" s="43">
        <v>2.27</v>
      </c>
    </row>
    <row r="3986" spans="2:6" x14ac:dyDescent="0.25">
      <c r="B3986" s="13" t="s">
        <v>6715</v>
      </c>
      <c r="C3986" s="15" t="s">
        <v>144</v>
      </c>
      <c r="D3986" s="13" t="s">
        <v>134</v>
      </c>
      <c r="E3986" s="13" t="s">
        <v>6716</v>
      </c>
      <c r="F3986" s="43">
        <v>3.42</v>
      </c>
    </row>
    <row r="3987" spans="2:6" x14ac:dyDescent="0.25">
      <c r="B3987" s="13" t="s">
        <v>6717</v>
      </c>
      <c r="C3987" s="15" t="s">
        <v>144</v>
      </c>
      <c r="D3987" s="13" t="s">
        <v>134</v>
      </c>
      <c r="E3987" s="13" t="s">
        <v>6718</v>
      </c>
      <c r="F3987" s="43">
        <v>3.28</v>
      </c>
    </row>
    <row r="3988" spans="2:6" x14ac:dyDescent="0.25">
      <c r="B3988" s="13" t="s">
        <v>6719</v>
      </c>
      <c r="C3988" s="15" t="s">
        <v>144</v>
      </c>
      <c r="D3988" s="13" t="s">
        <v>134</v>
      </c>
      <c r="E3988" s="13" t="s">
        <v>6720</v>
      </c>
      <c r="F3988" s="43">
        <v>5.15</v>
      </c>
    </row>
    <row r="3989" spans="2:6" x14ac:dyDescent="0.25">
      <c r="B3989" s="13" t="s">
        <v>6721</v>
      </c>
      <c r="C3989" s="15" t="s">
        <v>144</v>
      </c>
      <c r="D3989" s="13" t="s">
        <v>134</v>
      </c>
      <c r="E3989" s="13" t="s">
        <v>6722</v>
      </c>
      <c r="F3989" s="43">
        <v>8.8000000000000007</v>
      </c>
    </row>
    <row r="3990" spans="2:6" x14ac:dyDescent="0.25">
      <c r="B3990" s="13" t="s">
        <v>6723</v>
      </c>
      <c r="C3990" s="15" t="s">
        <v>144</v>
      </c>
      <c r="D3990" s="13" t="s">
        <v>134</v>
      </c>
      <c r="E3990" s="13" t="s">
        <v>6724</v>
      </c>
      <c r="F3990" s="43">
        <v>7.16</v>
      </c>
    </row>
    <row r="3991" spans="2:6" x14ac:dyDescent="0.25">
      <c r="B3991" s="13" t="s">
        <v>6725</v>
      </c>
      <c r="C3991" s="15" t="s">
        <v>144</v>
      </c>
      <c r="D3991" s="13" t="s">
        <v>134</v>
      </c>
      <c r="E3991" s="13" t="s">
        <v>6726</v>
      </c>
      <c r="F3991" s="43">
        <v>19.559999999999999</v>
      </c>
    </row>
    <row r="3992" spans="2:6" x14ac:dyDescent="0.25">
      <c r="B3992" s="13" t="s">
        <v>6727</v>
      </c>
      <c r="C3992" s="15" t="s">
        <v>144</v>
      </c>
      <c r="D3992" s="13" t="s">
        <v>134</v>
      </c>
      <c r="E3992" s="13" t="s">
        <v>6728</v>
      </c>
      <c r="F3992" s="43">
        <v>27.04</v>
      </c>
    </row>
    <row r="3993" spans="2:6" x14ac:dyDescent="0.25">
      <c r="B3993" s="13" t="s">
        <v>6729</v>
      </c>
      <c r="C3993" s="15" t="s">
        <v>144</v>
      </c>
      <c r="D3993" s="13" t="s">
        <v>134</v>
      </c>
      <c r="E3993" s="13" t="s">
        <v>6730</v>
      </c>
      <c r="F3993" s="43">
        <v>27.04</v>
      </c>
    </row>
    <row r="3994" spans="2:6" x14ac:dyDescent="0.25">
      <c r="B3994" s="13" t="s">
        <v>6731</v>
      </c>
      <c r="C3994" s="15" t="s">
        <v>144</v>
      </c>
      <c r="D3994" s="13" t="s">
        <v>134</v>
      </c>
      <c r="E3994" s="13" t="s">
        <v>6732</v>
      </c>
      <c r="F3994" s="43">
        <v>12.7</v>
      </c>
    </row>
    <row r="3995" spans="2:6" x14ac:dyDescent="0.25">
      <c r="B3995" s="13" t="s">
        <v>6733</v>
      </c>
      <c r="C3995" s="15" t="s">
        <v>144</v>
      </c>
      <c r="D3995" s="13" t="s">
        <v>134</v>
      </c>
      <c r="E3995" s="13" t="s">
        <v>6734</v>
      </c>
      <c r="F3995" s="43">
        <v>5.34</v>
      </c>
    </row>
    <row r="3996" spans="2:6" x14ac:dyDescent="0.25">
      <c r="B3996" s="13" t="s">
        <v>6735</v>
      </c>
      <c r="C3996" s="15" t="s">
        <v>144</v>
      </c>
      <c r="D3996" s="13" t="s">
        <v>134</v>
      </c>
      <c r="E3996" s="13" t="s">
        <v>6736</v>
      </c>
      <c r="F3996" s="43">
        <v>7.42</v>
      </c>
    </row>
    <row r="3997" spans="2:6" x14ac:dyDescent="0.25">
      <c r="B3997" s="13" t="s">
        <v>6737</v>
      </c>
      <c r="C3997" s="15" t="s">
        <v>144</v>
      </c>
      <c r="D3997" s="13" t="s">
        <v>134</v>
      </c>
      <c r="E3997" s="13" t="s">
        <v>6738</v>
      </c>
      <c r="F3997" s="43">
        <v>8.77</v>
      </c>
    </row>
    <row r="3998" spans="2:6" x14ac:dyDescent="0.25">
      <c r="B3998" s="13" t="s">
        <v>6739</v>
      </c>
      <c r="C3998" s="15" t="s">
        <v>144</v>
      </c>
      <c r="D3998" s="13" t="s">
        <v>134</v>
      </c>
      <c r="E3998" s="13" t="s">
        <v>6740</v>
      </c>
      <c r="F3998" s="43">
        <v>12.49</v>
      </c>
    </row>
    <row r="3999" spans="2:6" x14ac:dyDescent="0.25">
      <c r="B3999" s="13" t="s">
        <v>6741</v>
      </c>
      <c r="C3999" s="15" t="s">
        <v>144</v>
      </c>
      <c r="D3999" s="13" t="s">
        <v>134</v>
      </c>
      <c r="E3999" s="13" t="s">
        <v>6742</v>
      </c>
      <c r="F3999" s="43">
        <v>43.24</v>
      </c>
    </row>
    <row r="4000" spans="2:6" x14ac:dyDescent="0.25">
      <c r="B4000" s="13" t="s">
        <v>6743</v>
      </c>
      <c r="C4000" s="15" t="s">
        <v>144</v>
      </c>
      <c r="D4000" s="13" t="s">
        <v>134</v>
      </c>
      <c r="E4000" s="13" t="s">
        <v>6744</v>
      </c>
      <c r="F4000" s="43">
        <v>22.01</v>
      </c>
    </row>
    <row r="4001" spans="2:6" x14ac:dyDescent="0.25">
      <c r="B4001" s="13" t="s">
        <v>6745</v>
      </c>
      <c r="C4001" s="15" t="s">
        <v>144</v>
      </c>
      <c r="D4001" s="13" t="s">
        <v>134</v>
      </c>
      <c r="E4001" s="13" t="s">
        <v>6746</v>
      </c>
      <c r="F4001" s="43">
        <v>24.59</v>
      </c>
    </row>
    <row r="4002" spans="2:6" x14ac:dyDescent="0.25">
      <c r="B4002" s="13" t="s">
        <v>6747</v>
      </c>
      <c r="C4002" s="15" t="s">
        <v>144</v>
      </c>
      <c r="D4002" s="13" t="s">
        <v>134</v>
      </c>
      <c r="E4002" s="13" t="s">
        <v>6748</v>
      </c>
      <c r="F4002" s="43">
        <v>36.82</v>
      </c>
    </row>
    <row r="4003" spans="2:6" x14ac:dyDescent="0.25">
      <c r="B4003" s="13" t="s">
        <v>6749</v>
      </c>
      <c r="C4003" s="15" t="s">
        <v>144</v>
      </c>
      <c r="D4003" s="13" t="s">
        <v>134</v>
      </c>
      <c r="E4003" s="13" t="s">
        <v>6750</v>
      </c>
      <c r="F4003" s="43">
        <v>56.51</v>
      </c>
    </row>
    <row r="4004" spans="2:6" x14ac:dyDescent="0.25">
      <c r="B4004" s="13" t="s">
        <v>6751</v>
      </c>
      <c r="C4004" s="15" t="s">
        <v>144</v>
      </c>
      <c r="D4004" s="13" t="s">
        <v>134</v>
      </c>
      <c r="E4004" s="13" t="s">
        <v>6752</v>
      </c>
      <c r="F4004" s="43">
        <v>1.18</v>
      </c>
    </row>
    <row r="4005" spans="2:6" x14ac:dyDescent="0.25">
      <c r="B4005" s="13" t="s">
        <v>6753</v>
      </c>
      <c r="C4005" s="15" t="s">
        <v>144</v>
      </c>
      <c r="D4005" s="13" t="s">
        <v>134</v>
      </c>
      <c r="E4005" s="13" t="s">
        <v>6754</v>
      </c>
      <c r="F4005" s="43">
        <v>0.79</v>
      </c>
    </row>
    <row r="4006" spans="2:6" x14ac:dyDescent="0.25">
      <c r="B4006" s="13" t="s">
        <v>6755</v>
      </c>
      <c r="C4006" s="15" t="s">
        <v>144</v>
      </c>
      <c r="D4006" s="13" t="s">
        <v>134</v>
      </c>
      <c r="E4006" s="13" t="s">
        <v>6756</v>
      </c>
      <c r="F4006" s="43">
        <v>9.68</v>
      </c>
    </row>
    <row r="4007" spans="2:6" x14ac:dyDescent="0.25">
      <c r="B4007" s="13" t="s">
        <v>6757</v>
      </c>
      <c r="C4007" s="15" t="s">
        <v>144</v>
      </c>
      <c r="D4007" s="13" t="s">
        <v>134</v>
      </c>
      <c r="E4007" s="13" t="s">
        <v>6758</v>
      </c>
      <c r="F4007" s="43">
        <v>15.9</v>
      </c>
    </row>
    <row r="4008" spans="2:6" x14ac:dyDescent="0.25">
      <c r="B4008" s="13" t="s">
        <v>6759</v>
      </c>
      <c r="C4008" s="15" t="s">
        <v>144</v>
      </c>
      <c r="D4008" s="13" t="s">
        <v>134</v>
      </c>
      <c r="E4008" s="13" t="s">
        <v>6760</v>
      </c>
      <c r="F4008" s="43">
        <v>28.88</v>
      </c>
    </row>
    <row r="4009" spans="2:6" x14ac:dyDescent="0.25">
      <c r="B4009" s="13" t="s">
        <v>6761</v>
      </c>
      <c r="C4009" s="15" t="s">
        <v>144</v>
      </c>
      <c r="D4009" s="13" t="s">
        <v>134</v>
      </c>
      <c r="E4009" s="13" t="s">
        <v>6762</v>
      </c>
      <c r="F4009" s="43">
        <v>1.18</v>
      </c>
    </row>
    <row r="4010" spans="2:6" x14ac:dyDescent="0.25">
      <c r="B4010" s="13" t="s">
        <v>6763</v>
      </c>
      <c r="C4010" s="15" t="s">
        <v>144</v>
      </c>
      <c r="D4010" s="13" t="s">
        <v>134</v>
      </c>
      <c r="E4010" s="13" t="s">
        <v>6764</v>
      </c>
      <c r="F4010" s="43">
        <v>15.01</v>
      </c>
    </row>
    <row r="4011" spans="2:6" x14ac:dyDescent="0.25">
      <c r="B4011" s="13" t="s">
        <v>6765</v>
      </c>
      <c r="C4011" s="15" t="s">
        <v>144</v>
      </c>
      <c r="D4011" s="13" t="s">
        <v>134</v>
      </c>
      <c r="E4011" s="13" t="s">
        <v>6766</v>
      </c>
      <c r="F4011" s="43">
        <v>11.19</v>
      </c>
    </row>
    <row r="4012" spans="2:6" x14ac:dyDescent="0.25">
      <c r="B4012" s="13" t="s">
        <v>6767</v>
      </c>
      <c r="C4012" s="15" t="s">
        <v>144</v>
      </c>
      <c r="D4012" s="13" t="s">
        <v>134</v>
      </c>
      <c r="E4012" s="13" t="s">
        <v>6768</v>
      </c>
      <c r="F4012" s="43">
        <v>12.49</v>
      </c>
    </row>
    <row r="4013" spans="2:6" x14ac:dyDescent="0.25">
      <c r="B4013" s="13" t="s">
        <v>6769</v>
      </c>
      <c r="C4013" s="15" t="s">
        <v>144</v>
      </c>
      <c r="D4013" s="13" t="s">
        <v>134</v>
      </c>
      <c r="E4013" s="13" t="s">
        <v>6770</v>
      </c>
      <c r="F4013" s="43">
        <v>15.89</v>
      </c>
    </row>
    <row r="4014" spans="2:6" x14ac:dyDescent="0.25">
      <c r="B4014" s="13" t="s">
        <v>6771</v>
      </c>
      <c r="C4014" s="15" t="s">
        <v>144</v>
      </c>
      <c r="D4014" s="13" t="s">
        <v>134</v>
      </c>
      <c r="E4014" s="13" t="s">
        <v>6772</v>
      </c>
      <c r="F4014" s="43">
        <v>20.149999999999999</v>
      </c>
    </row>
    <row r="4015" spans="2:6" x14ac:dyDescent="0.25">
      <c r="B4015" s="13" t="s">
        <v>6773</v>
      </c>
      <c r="C4015" s="15" t="s">
        <v>144</v>
      </c>
      <c r="D4015" s="13" t="s">
        <v>134</v>
      </c>
      <c r="E4015" s="13" t="s">
        <v>6774</v>
      </c>
      <c r="F4015" s="43">
        <v>27.96</v>
      </c>
    </row>
    <row r="4016" spans="2:6" x14ac:dyDescent="0.25">
      <c r="B4016" s="13" t="s">
        <v>6775</v>
      </c>
      <c r="C4016" s="15" t="s">
        <v>144</v>
      </c>
      <c r="D4016" s="13" t="s">
        <v>134</v>
      </c>
      <c r="E4016" s="13" t="s">
        <v>6776</v>
      </c>
      <c r="F4016" s="43">
        <v>45.15</v>
      </c>
    </row>
    <row r="4017" spans="2:6" x14ac:dyDescent="0.25">
      <c r="B4017" s="13" t="s">
        <v>6777</v>
      </c>
      <c r="C4017" s="15" t="s">
        <v>144</v>
      </c>
      <c r="D4017" s="13" t="s">
        <v>134</v>
      </c>
      <c r="E4017" s="13" t="s">
        <v>6778</v>
      </c>
      <c r="F4017" s="43">
        <v>97.09</v>
      </c>
    </row>
    <row r="4018" spans="2:6" x14ac:dyDescent="0.25">
      <c r="B4018" s="13" t="s">
        <v>6779</v>
      </c>
      <c r="C4018" s="15" t="s">
        <v>144</v>
      </c>
      <c r="D4018" s="13" t="s">
        <v>134</v>
      </c>
      <c r="E4018" s="13" t="s">
        <v>6780</v>
      </c>
      <c r="F4018" s="43">
        <v>153.68</v>
      </c>
    </row>
    <row r="4019" spans="2:6" x14ac:dyDescent="0.25">
      <c r="B4019" s="13" t="s">
        <v>6781</v>
      </c>
      <c r="C4019" s="15" t="s">
        <v>144</v>
      </c>
      <c r="D4019" s="13" t="s">
        <v>134</v>
      </c>
      <c r="E4019" s="13" t="s">
        <v>6782</v>
      </c>
      <c r="F4019" s="43">
        <v>323.52999999999997</v>
      </c>
    </row>
    <row r="4020" spans="2:6" x14ac:dyDescent="0.25">
      <c r="B4020" s="13" t="s">
        <v>6783</v>
      </c>
      <c r="C4020" s="15" t="s">
        <v>144</v>
      </c>
      <c r="D4020" s="13" t="s">
        <v>134</v>
      </c>
      <c r="E4020" s="13" t="s">
        <v>6784</v>
      </c>
      <c r="F4020" s="43">
        <v>11.84</v>
      </c>
    </row>
    <row r="4021" spans="2:6" x14ac:dyDescent="0.25">
      <c r="B4021" s="13" t="s">
        <v>6785</v>
      </c>
      <c r="C4021" s="15" t="s">
        <v>144</v>
      </c>
      <c r="D4021" s="13" t="s">
        <v>134</v>
      </c>
      <c r="E4021" s="13" t="s">
        <v>6786</v>
      </c>
      <c r="F4021" s="43">
        <v>13.49</v>
      </c>
    </row>
    <row r="4022" spans="2:6" x14ac:dyDescent="0.25">
      <c r="B4022" s="13" t="s">
        <v>6787</v>
      </c>
      <c r="C4022" s="15" t="s">
        <v>144</v>
      </c>
      <c r="D4022" s="13" t="s">
        <v>134</v>
      </c>
      <c r="E4022" s="13" t="s">
        <v>6788</v>
      </c>
      <c r="F4022" s="43">
        <v>16.47</v>
      </c>
    </row>
    <row r="4023" spans="2:6" x14ac:dyDescent="0.25">
      <c r="B4023" s="13" t="s">
        <v>6789</v>
      </c>
      <c r="C4023" s="15" t="s">
        <v>144</v>
      </c>
      <c r="D4023" s="13" t="s">
        <v>134</v>
      </c>
      <c r="E4023" s="13" t="s">
        <v>6790</v>
      </c>
      <c r="F4023" s="43">
        <v>19.87</v>
      </c>
    </row>
    <row r="4024" spans="2:6" x14ac:dyDescent="0.25">
      <c r="B4024" s="13" t="s">
        <v>6791</v>
      </c>
      <c r="C4024" s="15" t="s">
        <v>144</v>
      </c>
      <c r="D4024" s="13" t="s">
        <v>134</v>
      </c>
      <c r="E4024" s="13" t="s">
        <v>6792</v>
      </c>
      <c r="F4024" s="43">
        <v>25.35</v>
      </c>
    </row>
    <row r="4025" spans="2:6" x14ac:dyDescent="0.25">
      <c r="B4025" s="13" t="s">
        <v>6793</v>
      </c>
      <c r="C4025" s="15" t="s">
        <v>144</v>
      </c>
      <c r="D4025" s="13" t="s">
        <v>134</v>
      </c>
      <c r="E4025" s="13" t="s">
        <v>6794</v>
      </c>
      <c r="F4025" s="43">
        <v>42.27</v>
      </c>
    </row>
    <row r="4026" spans="2:6" x14ac:dyDescent="0.25">
      <c r="B4026" s="13" t="s">
        <v>6795</v>
      </c>
      <c r="C4026" s="15" t="s">
        <v>144</v>
      </c>
      <c r="D4026" s="13" t="s">
        <v>134</v>
      </c>
      <c r="E4026" s="13" t="s">
        <v>6796</v>
      </c>
      <c r="F4026" s="43">
        <v>127.87</v>
      </c>
    </row>
    <row r="4027" spans="2:6" x14ac:dyDescent="0.25">
      <c r="B4027" s="13" t="s">
        <v>6797</v>
      </c>
      <c r="C4027" s="15" t="s">
        <v>144</v>
      </c>
      <c r="D4027" s="13" t="s">
        <v>134</v>
      </c>
      <c r="E4027" s="13" t="s">
        <v>6798</v>
      </c>
      <c r="F4027" s="43">
        <v>172.35</v>
      </c>
    </row>
    <row r="4028" spans="2:6" x14ac:dyDescent="0.25">
      <c r="B4028" s="13" t="s">
        <v>6799</v>
      </c>
      <c r="C4028" s="15" t="s">
        <v>144</v>
      </c>
      <c r="D4028" s="13" t="s">
        <v>134</v>
      </c>
      <c r="E4028" s="13" t="s">
        <v>6800</v>
      </c>
      <c r="F4028" s="43">
        <v>344.64</v>
      </c>
    </row>
    <row r="4029" spans="2:6" x14ac:dyDescent="0.25">
      <c r="B4029" s="13" t="s">
        <v>6801</v>
      </c>
      <c r="C4029" s="15" t="s">
        <v>144</v>
      </c>
      <c r="D4029" s="13" t="s">
        <v>134</v>
      </c>
      <c r="E4029" s="13" t="s">
        <v>6802</v>
      </c>
      <c r="F4029" s="43">
        <v>203.1</v>
      </c>
    </row>
    <row r="4030" spans="2:6" x14ac:dyDescent="0.25">
      <c r="B4030" s="13" t="s">
        <v>6803</v>
      </c>
      <c r="C4030" s="15" t="s">
        <v>144</v>
      </c>
      <c r="D4030" s="13" t="s">
        <v>134</v>
      </c>
      <c r="E4030" s="13" t="s">
        <v>6804</v>
      </c>
      <c r="F4030" s="43">
        <v>203.1</v>
      </c>
    </row>
    <row r="4031" spans="2:6" x14ac:dyDescent="0.25">
      <c r="B4031" s="13" t="s">
        <v>6805</v>
      </c>
      <c r="C4031" s="15" t="s">
        <v>144</v>
      </c>
      <c r="D4031" s="13" t="s">
        <v>134</v>
      </c>
      <c r="E4031" s="13" t="s">
        <v>6806</v>
      </c>
      <c r="F4031" s="43">
        <v>236.54</v>
      </c>
    </row>
    <row r="4032" spans="2:6" x14ac:dyDescent="0.25">
      <c r="B4032" s="13" t="s">
        <v>6807</v>
      </c>
      <c r="C4032" s="15" t="s">
        <v>144</v>
      </c>
      <c r="D4032" s="13" t="s">
        <v>134</v>
      </c>
      <c r="E4032" s="13" t="s">
        <v>6808</v>
      </c>
      <c r="F4032" s="43">
        <v>262.70999999999998</v>
      </c>
    </row>
    <row r="4033" spans="2:6" x14ac:dyDescent="0.25">
      <c r="B4033" s="13" t="s">
        <v>6809</v>
      </c>
      <c r="C4033" s="15" t="s">
        <v>144</v>
      </c>
      <c r="D4033" s="13" t="s">
        <v>134</v>
      </c>
      <c r="E4033" s="13" t="s">
        <v>6810</v>
      </c>
      <c r="F4033" s="43">
        <v>323.22000000000003</v>
      </c>
    </row>
    <row r="4034" spans="2:6" x14ac:dyDescent="0.25">
      <c r="B4034" s="13" t="s">
        <v>6811</v>
      </c>
      <c r="C4034" s="15" t="s">
        <v>144</v>
      </c>
      <c r="D4034" s="13" t="s">
        <v>134</v>
      </c>
      <c r="E4034" s="13" t="s">
        <v>6812</v>
      </c>
      <c r="F4034" s="43">
        <v>323.22000000000003</v>
      </c>
    </row>
    <row r="4035" spans="2:6" x14ac:dyDescent="0.25">
      <c r="B4035" s="13" t="s">
        <v>6813</v>
      </c>
      <c r="C4035" s="15" t="s">
        <v>144</v>
      </c>
      <c r="D4035" s="13" t="s">
        <v>134</v>
      </c>
      <c r="E4035" s="13" t="s">
        <v>6814</v>
      </c>
      <c r="F4035" s="43">
        <v>396.06</v>
      </c>
    </row>
    <row r="4036" spans="2:6" x14ac:dyDescent="0.25">
      <c r="B4036" s="13" t="s">
        <v>6815</v>
      </c>
      <c r="C4036" s="15" t="s">
        <v>144</v>
      </c>
      <c r="D4036" s="13" t="s">
        <v>134</v>
      </c>
      <c r="E4036" s="13" t="s">
        <v>6816</v>
      </c>
      <c r="F4036" s="43">
        <v>589.49</v>
      </c>
    </row>
    <row r="4037" spans="2:6" x14ac:dyDescent="0.25">
      <c r="B4037" s="13" t="s">
        <v>6817</v>
      </c>
      <c r="C4037" s="15" t="s">
        <v>144</v>
      </c>
      <c r="D4037" s="13" t="s">
        <v>134</v>
      </c>
      <c r="E4037" s="13" t="s">
        <v>6818</v>
      </c>
      <c r="F4037" s="43">
        <v>16.95</v>
      </c>
    </row>
    <row r="4038" spans="2:6" x14ac:dyDescent="0.25">
      <c r="B4038" s="13" t="s">
        <v>6819</v>
      </c>
      <c r="C4038" s="15" t="s">
        <v>144</v>
      </c>
      <c r="D4038" s="13" t="s">
        <v>134</v>
      </c>
      <c r="E4038" s="13" t="s">
        <v>6820</v>
      </c>
      <c r="F4038" s="43">
        <v>18.73</v>
      </c>
    </row>
    <row r="4039" spans="2:6" x14ac:dyDescent="0.25">
      <c r="B4039" s="13" t="s">
        <v>6821</v>
      </c>
      <c r="C4039" s="15" t="s">
        <v>144</v>
      </c>
      <c r="D4039" s="13" t="s">
        <v>134</v>
      </c>
      <c r="E4039" s="13" t="s">
        <v>6822</v>
      </c>
      <c r="F4039" s="43">
        <v>24.78</v>
      </c>
    </row>
    <row r="4040" spans="2:6" x14ac:dyDescent="0.25">
      <c r="B4040" s="13" t="s">
        <v>6823</v>
      </c>
      <c r="C4040" s="15" t="s">
        <v>144</v>
      </c>
      <c r="D4040" s="13" t="s">
        <v>134</v>
      </c>
      <c r="E4040" s="13" t="s">
        <v>6824</v>
      </c>
      <c r="F4040" s="43">
        <v>32.590000000000003</v>
      </c>
    </row>
    <row r="4041" spans="2:6" x14ac:dyDescent="0.25">
      <c r="B4041" s="13" t="s">
        <v>6825</v>
      </c>
      <c r="C4041" s="15" t="s">
        <v>144</v>
      </c>
      <c r="D4041" s="13" t="s">
        <v>134</v>
      </c>
      <c r="E4041" s="13" t="s">
        <v>6826</v>
      </c>
      <c r="F4041" s="43">
        <v>43.98</v>
      </c>
    </row>
    <row r="4042" spans="2:6" x14ac:dyDescent="0.25">
      <c r="B4042" s="13" t="s">
        <v>6827</v>
      </c>
      <c r="C4042" s="15" t="s">
        <v>144</v>
      </c>
      <c r="D4042" s="13" t="s">
        <v>134</v>
      </c>
      <c r="E4042" s="13" t="s">
        <v>6828</v>
      </c>
      <c r="F4042" s="43">
        <v>59.88</v>
      </c>
    </row>
    <row r="4043" spans="2:6" x14ac:dyDescent="0.25">
      <c r="B4043" s="13" t="s">
        <v>6829</v>
      </c>
      <c r="C4043" s="15" t="s">
        <v>144</v>
      </c>
      <c r="D4043" s="13" t="s">
        <v>134</v>
      </c>
      <c r="E4043" s="13" t="s">
        <v>6830</v>
      </c>
      <c r="F4043" s="43">
        <v>183.44</v>
      </c>
    </row>
    <row r="4044" spans="2:6" x14ac:dyDescent="0.25">
      <c r="B4044" s="13" t="s">
        <v>6831</v>
      </c>
      <c r="C4044" s="15" t="s">
        <v>144</v>
      </c>
      <c r="D4044" s="13" t="s">
        <v>134</v>
      </c>
      <c r="E4044" s="13" t="s">
        <v>6832</v>
      </c>
      <c r="F4044" s="43">
        <v>268.86</v>
      </c>
    </row>
    <row r="4045" spans="2:6" x14ac:dyDescent="0.25">
      <c r="B4045" s="13" t="s">
        <v>6833</v>
      </c>
      <c r="C4045" s="15" t="s">
        <v>144</v>
      </c>
      <c r="D4045" s="13" t="s">
        <v>134</v>
      </c>
      <c r="E4045" s="13" t="s">
        <v>6834</v>
      </c>
      <c r="F4045" s="43">
        <v>445.99</v>
      </c>
    </row>
    <row r="4046" spans="2:6" x14ac:dyDescent="0.25">
      <c r="B4046" s="13" t="s">
        <v>6835</v>
      </c>
      <c r="C4046" s="15" t="s">
        <v>144</v>
      </c>
      <c r="D4046" s="13" t="s">
        <v>134</v>
      </c>
      <c r="E4046" s="13" t="s">
        <v>6836</v>
      </c>
      <c r="F4046" s="43">
        <v>16.95</v>
      </c>
    </row>
    <row r="4047" spans="2:6" x14ac:dyDescent="0.25">
      <c r="B4047" s="13" t="s">
        <v>6837</v>
      </c>
      <c r="C4047" s="15" t="s">
        <v>144</v>
      </c>
      <c r="D4047" s="13" t="s">
        <v>134</v>
      </c>
      <c r="E4047" s="13" t="s">
        <v>6838</v>
      </c>
      <c r="F4047" s="43">
        <v>19.309999999999999</v>
      </c>
    </row>
    <row r="4048" spans="2:6" x14ac:dyDescent="0.25">
      <c r="B4048" s="13" t="s">
        <v>6839</v>
      </c>
      <c r="C4048" s="15" t="s">
        <v>144</v>
      </c>
      <c r="D4048" s="13" t="s">
        <v>134</v>
      </c>
      <c r="E4048" s="13" t="s">
        <v>6840</v>
      </c>
      <c r="F4048" s="43">
        <v>29.07</v>
      </c>
    </row>
    <row r="4049" spans="2:6" x14ac:dyDescent="0.25">
      <c r="B4049" s="13" t="s">
        <v>6841</v>
      </c>
      <c r="C4049" s="15" t="s">
        <v>144</v>
      </c>
      <c r="D4049" s="13" t="s">
        <v>134</v>
      </c>
      <c r="E4049" s="13" t="s">
        <v>6842</v>
      </c>
      <c r="F4049" s="43">
        <v>36.630000000000003</v>
      </c>
    </row>
    <row r="4050" spans="2:6" x14ac:dyDescent="0.25">
      <c r="B4050" s="13" t="s">
        <v>6843</v>
      </c>
      <c r="C4050" s="15" t="s">
        <v>144</v>
      </c>
      <c r="D4050" s="13" t="s">
        <v>134</v>
      </c>
      <c r="E4050" s="13" t="s">
        <v>6844</v>
      </c>
      <c r="F4050" s="43">
        <v>49.22</v>
      </c>
    </row>
    <row r="4051" spans="2:6" x14ac:dyDescent="0.25">
      <c r="B4051" s="13" t="s">
        <v>6845</v>
      </c>
      <c r="C4051" s="15" t="s">
        <v>144</v>
      </c>
      <c r="D4051" s="13" t="s">
        <v>134</v>
      </c>
      <c r="E4051" s="13" t="s">
        <v>6846</v>
      </c>
      <c r="F4051" s="43">
        <v>66.8</v>
      </c>
    </row>
    <row r="4052" spans="2:6" x14ac:dyDescent="0.25">
      <c r="B4052" s="13" t="s">
        <v>6847</v>
      </c>
      <c r="C4052" s="15" t="s">
        <v>147</v>
      </c>
      <c r="D4052" s="13" t="s">
        <v>134</v>
      </c>
      <c r="E4052" s="13" t="s">
        <v>6848</v>
      </c>
      <c r="F4052" s="43">
        <v>1.8</v>
      </c>
    </row>
    <row r="4053" spans="2:6" x14ac:dyDescent="0.25">
      <c r="B4053" s="13">
        <v>1607</v>
      </c>
      <c r="C4053" s="15" t="s">
        <v>150</v>
      </c>
      <c r="D4053" s="13" t="s">
        <v>134</v>
      </c>
      <c r="E4053" s="13" t="s">
        <v>6849</v>
      </c>
      <c r="F4053" s="43">
        <v>33.04</v>
      </c>
    </row>
    <row r="4054" spans="2:6" x14ac:dyDescent="0.25">
      <c r="B4054" s="13">
        <v>1609</v>
      </c>
      <c r="C4054" s="15" t="s">
        <v>150</v>
      </c>
      <c r="D4054" s="13" t="s">
        <v>134</v>
      </c>
      <c r="E4054" s="13" t="s">
        <v>6850</v>
      </c>
      <c r="F4054" s="43">
        <v>41.24</v>
      </c>
    </row>
    <row r="4055" spans="2:6" x14ac:dyDescent="0.25">
      <c r="B4055" s="13">
        <v>1610</v>
      </c>
      <c r="C4055" s="15" t="s">
        <v>150</v>
      </c>
      <c r="D4055" s="13" t="s">
        <v>134</v>
      </c>
      <c r="E4055" s="13" t="s">
        <v>6851</v>
      </c>
      <c r="F4055" s="43">
        <v>0.73</v>
      </c>
    </row>
    <row r="4056" spans="2:6" x14ac:dyDescent="0.25">
      <c r="B4056" s="13">
        <v>1612</v>
      </c>
      <c r="C4056" s="15" t="s">
        <v>150</v>
      </c>
      <c r="D4056" s="13" t="s">
        <v>134</v>
      </c>
      <c r="E4056" s="13" t="s">
        <v>6852</v>
      </c>
      <c r="F4056" s="43">
        <v>0.93</v>
      </c>
    </row>
    <row r="4057" spans="2:6" x14ac:dyDescent="0.25">
      <c r="B4057" s="13">
        <v>1630</v>
      </c>
      <c r="C4057" s="15" t="s">
        <v>150</v>
      </c>
      <c r="D4057" s="13" t="s">
        <v>134</v>
      </c>
      <c r="E4057" s="13" t="s">
        <v>6853</v>
      </c>
      <c r="F4057" s="43">
        <v>1.19</v>
      </c>
    </row>
    <row r="4058" spans="2:6" x14ac:dyDescent="0.25">
      <c r="B4058" s="13">
        <v>1648</v>
      </c>
      <c r="C4058" s="15" t="s">
        <v>150</v>
      </c>
      <c r="D4058" s="13" t="s">
        <v>134</v>
      </c>
      <c r="E4058" s="13" t="s">
        <v>6854</v>
      </c>
      <c r="F4058" s="43">
        <v>0.84</v>
      </c>
    </row>
    <row r="4059" spans="2:6" x14ac:dyDescent="0.25">
      <c r="B4059" s="13">
        <v>1649</v>
      </c>
      <c r="C4059" s="15" t="s">
        <v>150</v>
      </c>
      <c r="D4059" s="13" t="s">
        <v>134</v>
      </c>
      <c r="E4059" s="13" t="s">
        <v>6855</v>
      </c>
      <c r="F4059" s="43">
        <v>1.53</v>
      </c>
    </row>
    <row r="4060" spans="2:6" x14ac:dyDescent="0.25">
      <c r="B4060" s="13">
        <v>1658</v>
      </c>
      <c r="C4060" s="15" t="s">
        <v>150</v>
      </c>
      <c r="D4060" s="13" t="s">
        <v>134</v>
      </c>
      <c r="E4060" s="13" t="s">
        <v>6856</v>
      </c>
      <c r="F4060" s="43">
        <v>1.53</v>
      </c>
    </row>
    <row r="4061" spans="2:6" x14ac:dyDescent="0.25">
      <c r="B4061" s="13">
        <v>2193</v>
      </c>
      <c r="C4061" s="15" t="s">
        <v>150</v>
      </c>
      <c r="D4061" s="13" t="s">
        <v>134</v>
      </c>
      <c r="E4061" s="13" t="s">
        <v>6857</v>
      </c>
      <c r="F4061" s="43">
        <v>4.2</v>
      </c>
    </row>
    <row r="4062" spans="2:6" x14ac:dyDescent="0.25">
      <c r="B4062" s="13">
        <v>5351</v>
      </c>
      <c r="C4062" s="15" t="s">
        <v>150</v>
      </c>
      <c r="D4062" s="13" t="s">
        <v>134</v>
      </c>
      <c r="E4062" s="13" t="s">
        <v>6858</v>
      </c>
      <c r="F4062" s="43">
        <v>15.87</v>
      </c>
    </row>
    <row r="4063" spans="2:6" x14ac:dyDescent="0.25">
      <c r="B4063" s="13">
        <v>18606</v>
      </c>
      <c r="C4063" s="15" t="s">
        <v>150</v>
      </c>
      <c r="D4063" s="13" t="s">
        <v>134</v>
      </c>
      <c r="E4063" s="13" t="s">
        <v>6859</v>
      </c>
      <c r="F4063" s="43">
        <v>4.6399999999999997</v>
      </c>
    </row>
    <row r="4064" spans="2:6" x14ac:dyDescent="0.25">
      <c r="B4064" s="13">
        <v>18622</v>
      </c>
      <c r="C4064" s="15" t="s">
        <v>150</v>
      </c>
      <c r="D4064" s="13" t="s">
        <v>134</v>
      </c>
      <c r="E4064" s="13" t="s">
        <v>6860</v>
      </c>
      <c r="F4064" s="43">
        <v>4.09</v>
      </c>
    </row>
    <row r="4065" spans="2:6" x14ac:dyDescent="0.25">
      <c r="B4065" s="13">
        <v>23131</v>
      </c>
      <c r="C4065" s="15" t="s">
        <v>150</v>
      </c>
      <c r="D4065" s="13" t="s">
        <v>134</v>
      </c>
      <c r="E4065" s="13" t="s">
        <v>6861</v>
      </c>
      <c r="F4065" s="43">
        <v>13.03</v>
      </c>
    </row>
    <row r="4066" spans="2:6" x14ac:dyDescent="0.25">
      <c r="B4066" s="13">
        <v>23132</v>
      </c>
      <c r="C4066" s="15" t="s">
        <v>150</v>
      </c>
      <c r="D4066" s="13" t="s">
        <v>134</v>
      </c>
      <c r="E4066" s="13" t="s">
        <v>6862</v>
      </c>
      <c r="F4066" s="43">
        <v>15.32</v>
      </c>
    </row>
    <row r="4067" spans="2:6" x14ac:dyDescent="0.25">
      <c r="B4067" s="13">
        <v>23133</v>
      </c>
      <c r="C4067" s="15" t="s">
        <v>150</v>
      </c>
      <c r="D4067" s="13" t="s">
        <v>134</v>
      </c>
      <c r="E4067" s="13" t="s">
        <v>6863</v>
      </c>
      <c r="F4067" s="43">
        <v>22.47</v>
      </c>
    </row>
    <row r="4068" spans="2:6" x14ac:dyDescent="0.25">
      <c r="B4068" s="13">
        <v>23134</v>
      </c>
      <c r="C4068" s="15" t="s">
        <v>150</v>
      </c>
      <c r="D4068" s="13" t="s">
        <v>134</v>
      </c>
      <c r="E4068" s="13" t="s">
        <v>6864</v>
      </c>
      <c r="F4068" s="43">
        <v>34.39</v>
      </c>
    </row>
    <row r="4069" spans="2:6" x14ac:dyDescent="0.25">
      <c r="B4069" s="13">
        <v>23135</v>
      </c>
      <c r="C4069" s="15" t="s">
        <v>150</v>
      </c>
      <c r="D4069" s="13" t="s">
        <v>134</v>
      </c>
      <c r="E4069" s="13" t="s">
        <v>6865</v>
      </c>
      <c r="F4069" s="43">
        <v>64.55</v>
      </c>
    </row>
    <row r="4070" spans="2:6" x14ac:dyDescent="0.25">
      <c r="B4070" s="13">
        <v>24634</v>
      </c>
      <c r="C4070" s="15" t="s">
        <v>150</v>
      </c>
      <c r="D4070" s="13" t="s">
        <v>134</v>
      </c>
      <c r="E4070" s="13" t="s">
        <v>6866</v>
      </c>
      <c r="F4070" s="43">
        <v>4.2300000000000004</v>
      </c>
    </row>
    <row r="4071" spans="2:6" x14ac:dyDescent="0.25">
      <c r="B4071" s="13">
        <v>28407</v>
      </c>
      <c r="C4071" s="15" t="s">
        <v>150</v>
      </c>
      <c r="D4071" s="13" t="s">
        <v>134</v>
      </c>
      <c r="E4071" s="13" t="s">
        <v>6867</v>
      </c>
      <c r="F4071" s="43">
        <v>434.31</v>
      </c>
    </row>
    <row r="4072" spans="2:6" x14ac:dyDescent="0.25">
      <c r="B4072" s="13">
        <v>28409</v>
      </c>
      <c r="C4072" s="15" t="s">
        <v>150</v>
      </c>
      <c r="D4072" s="13" t="s">
        <v>134</v>
      </c>
      <c r="E4072" s="13" t="s">
        <v>6868</v>
      </c>
      <c r="F4072" s="43">
        <v>821.74</v>
      </c>
    </row>
    <row r="4073" spans="2:6" x14ac:dyDescent="0.25">
      <c r="B4073" s="13">
        <v>34646</v>
      </c>
      <c r="C4073" s="15" t="s">
        <v>150</v>
      </c>
      <c r="D4073" s="13" t="s">
        <v>134</v>
      </c>
      <c r="E4073" s="13" t="s">
        <v>6869</v>
      </c>
      <c r="F4073" s="43">
        <v>83.68</v>
      </c>
    </row>
    <row r="4074" spans="2:6" x14ac:dyDescent="0.25">
      <c r="B4074" s="13">
        <v>34647</v>
      </c>
      <c r="C4074" s="15" t="s">
        <v>150</v>
      </c>
      <c r="D4074" s="13" t="s">
        <v>134</v>
      </c>
      <c r="E4074" s="13" t="s">
        <v>6870</v>
      </c>
      <c r="F4074" s="43">
        <v>107.69</v>
      </c>
    </row>
    <row r="4075" spans="2:6" x14ac:dyDescent="0.25">
      <c r="B4075" s="13">
        <v>59901</v>
      </c>
      <c r="C4075" s="15" t="s">
        <v>150</v>
      </c>
      <c r="D4075" s="13" t="s">
        <v>134</v>
      </c>
      <c r="E4075" s="13" t="s">
        <v>6871</v>
      </c>
      <c r="F4075" s="43">
        <v>110.8</v>
      </c>
    </row>
    <row r="4076" spans="2:6" x14ac:dyDescent="0.25">
      <c r="B4076" s="13">
        <v>59902</v>
      </c>
      <c r="C4076" s="15" t="s">
        <v>150</v>
      </c>
      <c r="D4076" s="13" t="s">
        <v>134</v>
      </c>
      <c r="E4076" s="13" t="s">
        <v>6872</v>
      </c>
      <c r="F4076" s="43">
        <v>147.68</v>
      </c>
    </row>
    <row r="4077" spans="2:6" x14ac:dyDescent="0.25">
      <c r="B4077" s="13">
        <v>59903</v>
      </c>
      <c r="C4077" s="15" t="s">
        <v>150</v>
      </c>
      <c r="D4077" s="13" t="s">
        <v>134</v>
      </c>
      <c r="E4077" s="13" t="s">
        <v>6873</v>
      </c>
      <c r="F4077" s="43">
        <v>181.34</v>
      </c>
    </row>
    <row r="4078" spans="2:6" x14ac:dyDescent="0.25">
      <c r="B4078" s="13">
        <v>59904</v>
      </c>
      <c r="C4078" s="15" t="s">
        <v>150</v>
      </c>
      <c r="D4078" s="13" t="s">
        <v>134</v>
      </c>
      <c r="E4078" s="13" t="s">
        <v>6874</v>
      </c>
      <c r="F4078" s="43">
        <v>207.62</v>
      </c>
    </row>
    <row r="4079" spans="2:6" x14ac:dyDescent="0.25">
      <c r="B4079" s="13">
        <v>59905</v>
      </c>
      <c r="C4079" s="15" t="s">
        <v>150</v>
      </c>
      <c r="D4079" s="13" t="s">
        <v>134</v>
      </c>
      <c r="E4079" s="13" t="s">
        <v>6875</v>
      </c>
      <c r="F4079" s="43">
        <v>263.5</v>
      </c>
    </row>
    <row r="4080" spans="2:6" x14ac:dyDescent="0.25">
      <c r="B4080" s="13">
        <v>59906</v>
      </c>
      <c r="C4080" s="15" t="s">
        <v>150</v>
      </c>
      <c r="D4080" s="13" t="s">
        <v>134</v>
      </c>
      <c r="E4080" s="13" t="s">
        <v>6876</v>
      </c>
      <c r="F4080" s="43">
        <v>309.48</v>
      </c>
    </row>
    <row r="4081" spans="2:6" x14ac:dyDescent="0.25">
      <c r="B4081" s="13">
        <v>59907</v>
      </c>
      <c r="C4081" s="15" t="s">
        <v>150</v>
      </c>
      <c r="D4081" s="13" t="s">
        <v>134</v>
      </c>
      <c r="E4081" s="13" t="s">
        <v>6877</v>
      </c>
      <c r="F4081" s="43">
        <v>85.44</v>
      </c>
    </row>
    <row r="4082" spans="2:6" x14ac:dyDescent="0.25">
      <c r="B4082" s="13">
        <v>59908</v>
      </c>
      <c r="C4082" s="15" t="s">
        <v>150</v>
      </c>
      <c r="D4082" s="13" t="s">
        <v>134</v>
      </c>
      <c r="E4082" s="13" t="s">
        <v>6878</v>
      </c>
      <c r="F4082" s="43">
        <v>104.19</v>
      </c>
    </row>
    <row r="4083" spans="2:6" x14ac:dyDescent="0.25">
      <c r="B4083" s="13">
        <v>59909</v>
      </c>
      <c r="C4083" s="15" t="s">
        <v>150</v>
      </c>
      <c r="D4083" s="13" t="s">
        <v>134</v>
      </c>
      <c r="E4083" s="13" t="s">
        <v>6879</v>
      </c>
      <c r="F4083" s="43">
        <v>138.9</v>
      </c>
    </row>
    <row r="4084" spans="2:6" x14ac:dyDescent="0.25">
      <c r="B4084" s="13">
        <v>59910</v>
      </c>
      <c r="C4084" s="15" t="s">
        <v>150</v>
      </c>
      <c r="D4084" s="13" t="s">
        <v>134</v>
      </c>
      <c r="E4084" s="13" t="s">
        <v>6880</v>
      </c>
      <c r="F4084" s="43">
        <v>180.4</v>
      </c>
    </row>
    <row r="4085" spans="2:6" x14ac:dyDescent="0.25">
      <c r="B4085" s="13">
        <v>59911</v>
      </c>
      <c r="C4085" s="15" t="s">
        <v>150</v>
      </c>
      <c r="D4085" s="13" t="s">
        <v>134</v>
      </c>
      <c r="E4085" s="13" t="s">
        <v>6881</v>
      </c>
      <c r="F4085" s="43">
        <v>224.75</v>
      </c>
    </row>
    <row r="4086" spans="2:6" x14ac:dyDescent="0.25">
      <c r="B4086" s="13">
        <v>59912</v>
      </c>
      <c r="C4086" s="15" t="s">
        <v>150</v>
      </c>
      <c r="D4086" s="13" t="s">
        <v>134</v>
      </c>
      <c r="E4086" s="13" t="s">
        <v>6882</v>
      </c>
      <c r="F4086" s="43">
        <v>267.38</v>
      </c>
    </row>
    <row r="4087" spans="2:6" x14ac:dyDescent="0.25">
      <c r="B4087" s="13">
        <v>62648</v>
      </c>
      <c r="C4087" s="15" t="s">
        <v>150</v>
      </c>
      <c r="D4087" s="13" t="s">
        <v>134</v>
      </c>
      <c r="E4087" s="13" t="s">
        <v>6883</v>
      </c>
      <c r="F4087" s="43">
        <v>49.95</v>
      </c>
    </row>
    <row r="4088" spans="2:6" x14ac:dyDescent="0.25">
      <c r="B4088" s="13">
        <v>62749</v>
      </c>
      <c r="C4088" s="15" t="s">
        <v>150</v>
      </c>
      <c r="D4088" s="13" t="s">
        <v>134</v>
      </c>
      <c r="E4088" s="13" t="s">
        <v>6884</v>
      </c>
      <c r="F4088" s="43">
        <v>84.99</v>
      </c>
    </row>
    <row r="4089" spans="2:6" x14ac:dyDescent="0.25">
      <c r="B4089" s="13">
        <v>63499</v>
      </c>
      <c r="C4089" s="15" t="s">
        <v>150</v>
      </c>
      <c r="D4089" s="13" t="s">
        <v>134</v>
      </c>
      <c r="E4089" s="13" t="s">
        <v>6885</v>
      </c>
      <c r="F4089" s="43">
        <v>2.2200000000000002</v>
      </c>
    </row>
    <row r="4090" spans="2:6" x14ac:dyDescent="0.25">
      <c r="B4090" s="13">
        <v>162030</v>
      </c>
      <c r="C4090" s="15" t="s">
        <v>150</v>
      </c>
      <c r="D4090" s="13" t="s">
        <v>134</v>
      </c>
      <c r="E4090" s="13" t="s">
        <v>6886</v>
      </c>
      <c r="F4090" s="43">
        <v>2.27</v>
      </c>
    </row>
    <row r="4091" spans="2:6" x14ac:dyDescent="0.25">
      <c r="B4091" s="13">
        <v>202530</v>
      </c>
      <c r="C4091" s="15" t="s">
        <v>150</v>
      </c>
      <c r="D4091" s="13" t="s">
        <v>134</v>
      </c>
      <c r="E4091" s="13" t="s">
        <v>6887</v>
      </c>
      <c r="F4091" s="43">
        <v>2.94</v>
      </c>
    </row>
    <row r="4092" spans="2:6" x14ac:dyDescent="0.25">
      <c r="B4092" s="13">
        <v>263230</v>
      </c>
      <c r="C4092" s="15" t="s">
        <v>150</v>
      </c>
      <c r="D4092" s="13" t="s">
        <v>134</v>
      </c>
      <c r="E4092" s="13" t="s">
        <v>6888</v>
      </c>
      <c r="F4092" s="43">
        <v>5.33</v>
      </c>
    </row>
    <row r="4093" spans="2:6" x14ac:dyDescent="0.25">
      <c r="B4093" s="13">
        <v>354030</v>
      </c>
      <c r="C4093" s="15" t="s">
        <v>150</v>
      </c>
      <c r="D4093" s="13" t="s">
        <v>134</v>
      </c>
      <c r="E4093" s="13" t="s">
        <v>6889</v>
      </c>
      <c r="F4093" s="43">
        <v>6.21</v>
      </c>
    </row>
    <row r="4094" spans="2:6" x14ac:dyDescent="0.25">
      <c r="B4094" s="13">
        <v>435050</v>
      </c>
      <c r="C4094" s="15" t="s">
        <v>150</v>
      </c>
      <c r="D4094" s="13" t="s">
        <v>134</v>
      </c>
      <c r="E4094" s="13" t="s">
        <v>6890</v>
      </c>
      <c r="F4094" s="43">
        <v>6.75</v>
      </c>
    </row>
    <row r="4095" spans="2:6" x14ac:dyDescent="0.25">
      <c r="B4095" s="13">
        <v>566330</v>
      </c>
      <c r="C4095" s="15" t="s">
        <v>150</v>
      </c>
      <c r="D4095" s="13" t="s">
        <v>134</v>
      </c>
      <c r="E4095" s="13" t="s">
        <v>6891</v>
      </c>
      <c r="F4095" s="43">
        <v>12.29</v>
      </c>
    </row>
    <row r="4096" spans="2:6" x14ac:dyDescent="0.25">
      <c r="B4096" s="13">
        <v>25830121</v>
      </c>
      <c r="C4096" s="15" t="s">
        <v>150</v>
      </c>
      <c r="D4096" s="13" t="s">
        <v>134</v>
      </c>
      <c r="E4096" s="13" t="s">
        <v>6892</v>
      </c>
      <c r="F4096" s="43">
        <v>129.53</v>
      </c>
    </row>
    <row r="4097" spans="2:6" x14ac:dyDescent="0.25">
      <c r="B4097" s="13">
        <v>7010108050</v>
      </c>
      <c r="C4097" s="15" t="s">
        <v>150</v>
      </c>
      <c r="D4097" s="13" t="s">
        <v>134</v>
      </c>
      <c r="E4097" s="13" t="s">
        <v>6893</v>
      </c>
      <c r="F4097" s="43">
        <v>1.25</v>
      </c>
    </row>
    <row r="4098" spans="2:6" x14ac:dyDescent="0.25">
      <c r="B4098" s="13">
        <v>7022008000</v>
      </c>
      <c r="C4098" s="15" t="s">
        <v>150</v>
      </c>
      <c r="D4098" s="13" t="s">
        <v>134</v>
      </c>
      <c r="E4098" s="13" t="s">
        <v>6894</v>
      </c>
      <c r="F4098" s="43">
        <v>0.57999999999999996</v>
      </c>
    </row>
    <row r="4099" spans="2:6" x14ac:dyDescent="0.25">
      <c r="B4099" s="13">
        <v>7022108000</v>
      </c>
      <c r="C4099" s="15" t="s">
        <v>150</v>
      </c>
      <c r="D4099" s="13" t="s">
        <v>134</v>
      </c>
      <c r="E4099" s="13" t="s">
        <v>6895</v>
      </c>
      <c r="F4099" s="43">
        <v>0.87</v>
      </c>
    </row>
    <row r="4100" spans="2:6" x14ac:dyDescent="0.25">
      <c r="B4100" s="13">
        <v>7220090030</v>
      </c>
      <c r="C4100" s="15" t="s">
        <v>150</v>
      </c>
      <c r="D4100" s="13" t="s">
        <v>134</v>
      </c>
      <c r="E4100" s="13" t="s">
        <v>6896</v>
      </c>
      <c r="F4100" s="43">
        <v>0.18</v>
      </c>
    </row>
    <row r="4101" spans="2:6" x14ac:dyDescent="0.25">
      <c r="B4101" s="13">
        <v>7230202035</v>
      </c>
      <c r="C4101" s="15" t="s">
        <v>150</v>
      </c>
      <c r="D4101" s="13" t="s">
        <v>134</v>
      </c>
      <c r="E4101" s="13" t="s">
        <v>6897</v>
      </c>
      <c r="F4101" s="43">
        <v>0.18</v>
      </c>
    </row>
    <row r="4102" spans="2:6" x14ac:dyDescent="0.25">
      <c r="B4102" s="13">
        <v>7230282035</v>
      </c>
      <c r="C4102" s="15" t="s">
        <v>150</v>
      </c>
      <c r="D4102" s="13" t="s">
        <v>134</v>
      </c>
      <c r="E4102" s="13" t="s">
        <v>6898</v>
      </c>
      <c r="F4102" s="43">
        <v>0.22</v>
      </c>
    </row>
    <row r="4103" spans="2:6" x14ac:dyDescent="0.25">
      <c r="B4103" s="13">
        <v>7230597053</v>
      </c>
      <c r="C4103" s="15" t="s">
        <v>150</v>
      </c>
      <c r="D4103" s="13" t="s">
        <v>134</v>
      </c>
      <c r="E4103" s="13" t="s">
        <v>6899</v>
      </c>
      <c r="F4103" s="43">
        <v>0.59</v>
      </c>
    </row>
    <row r="4104" spans="2:6" x14ac:dyDescent="0.25">
      <c r="B4104" s="13">
        <v>7230599035</v>
      </c>
      <c r="C4104" s="15" t="s">
        <v>150</v>
      </c>
      <c r="D4104" s="13" t="s">
        <v>134</v>
      </c>
      <c r="E4104" s="13" t="s">
        <v>6900</v>
      </c>
      <c r="F4104" s="43">
        <v>0.48</v>
      </c>
    </row>
    <row r="4105" spans="2:6" x14ac:dyDescent="0.25">
      <c r="B4105" s="13">
        <v>7230756053</v>
      </c>
      <c r="C4105" s="15" t="s">
        <v>150</v>
      </c>
      <c r="D4105" s="13" t="s">
        <v>134</v>
      </c>
      <c r="E4105" s="13" t="s">
        <v>6901</v>
      </c>
      <c r="F4105" s="43">
        <v>1.93</v>
      </c>
    </row>
    <row r="4106" spans="2:6" x14ac:dyDescent="0.25">
      <c r="B4106" s="13">
        <v>14014031511</v>
      </c>
      <c r="C4106" s="15" t="s">
        <v>150</v>
      </c>
      <c r="D4106" s="13" t="s">
        <v>134</v>
      </c>
      <c r="E4106" s="13" t="s">
        <v>6902</v>
      </c>
      <c r="F4106" s="43">
        <v>625.85</v>
      </c>
    </row>
    <row r="4107" spans="2:6" x14ac:dyDescent="0.25">
      <c r="B4107" s="13" t="s">
        <v>6903</v>
      </c>
      <c r="C4107" s="15" t="s">
        <v>150</v>
      </c>
      <c r="D4107" s="13" t="s">
        <v>134</v>
      </c>
      <c r="E4107" s="13" t="s">
        <v>6904</v>
      </c>
      <c r="F4107" s="43">
        <v>12.13</v>
      </c>
    </row>
    <row r="4108" spans="2:6" x14ac:dyDescent="0.25">
      <c r="B4108" s="13" t="s">
        <v>6905</v>
      </c>
      <c r="C4108" s="15" t="s">
        <v>150</v>
      </c>
      <c r="D4108" s="13" t="s">
        <v>134</v>
      </c>
      <c r="E4108" s="13" t="s">
        <v>6906</v>
      </c>
      <c r="F4108" s="43">
        <v>207.03</v>
      </c>
    </row>
    <row r="4109" spans="2:6" x14ac:dyDescent="0.25">
      <c r="B4109" s="13" t="s">
        <v>6907</v>
      </c>
      <c r="C4109" s="15" t="s">
        <v>150</v>
      </c>
      <c r="D4109" s="13" t="s">
        <v>134</v>
      </c>
      <c r="E4109" s="13" t="s">
        <v>6908</v>
      </c>
      <c r="F4109" s="43">
        <v>241.34</v>
      </c>
    </row>
    <row r="4110" spans="2:6" x14ac:dyDescent="0.25">
      <c r="B4110" s="13" t="s">
        <v>6909</v>
      </c>
      <c r="C4110" s="15" t="s">
        <v>150</v>
      </c>
      <c r="D4110" s="13" t="s">
        <v>134</v>
      </c>
      <c r="E4110" s="13" t="s">
        <v>6910</v>
      </c>
      <c r="F4110" s="43">
        <v>760.93</v>
      </c>
    </row>
    <row r="4111" spans="2:6" x14ac:dyDescent="0.25">
      <c r="B4111" s="13" t="s">
        <v>6911</v>
      </c>
      <c r="C4111" s="15" t="s">
        <v>150</v>
      </c>
      <c r="D4111" s="13" t="s">
        <v>134</v>
      </c>
      <c r="E4111" s="13" t="s">
        <v>6912</v>
      </c>
      <c r="F4111" s="43">
        <v>760.93</v>
      </c>
    </row>
    <row r="4112" spans="2:6" x14ac:dyDescent="0.25">
      <c r="B4112" s="13" t="s">
        <v>6913</v>
      </c>
      <c r="C4112" s="15" t="s">
        <v>150</v>
      </c>
      <c r="D4112" s="13" t="s">
        <v>134</v>
      </c>
      <c r="E4112" s="13" t="s">
        <v>6914</v>
      </c>
      <c r="F4112" s="43">
        <v>25.35</v>
      </c>
    </row>
    <row r="4113" spans="2:6" x14ac:dyDescent="0.25">
      <c r="B4113" s="13" t="s">
        <v>6915</v>
      </c>
      <c r="C4113" s="15" t="s">
        <v>150</v>
      </c>
      <c r="D4113" s="13" t="s">
        <v>134</v>
      </c>
      <c r="E4113" s="13" t="s">
        <v>6916</v>
      </c>
      <c r="F4113" s="43">
        <v>9.27</v>
      </c>
    </row>
    <row r="4114" spans="2:6" x14ac:dyDescent="0.25">
      <c r="B4114" s="13" t="s">
        <v>6917</v>
      </c>
      <c r="C4114" s="15" t="s">
        <v>150</v>
      </c>
      <c r="D4114" s="13" t="s">
        <v>134</v>
      </c>
      <c r="E4114" s="13" t="s">
        <v>6918</v>
      </c>
      <c r="F4114" s="43">
        <v>40.22</v>
      </c>
    </row>
    <row r="4115" spans="2:6" x14ac:dyDescent="0.25">
      <c r="B4115" s="13" t="s">
        <v>6919</v>
      </c>
      <c r="C4115" s="15" t="s">
        <v>150</v>
      </c>
      <c r="D4115" s="13" t="s">
        <v>134</v>
      </c>
      <c r="E4115" s="13" t="s">
        <v>6920</v>
      </c>
      <c r="F4115" s="43">
        <v>7.04</v>
      </c>
    </row>
    <row r="4116" spans="2:6" x14ac:dyDescent="0.25">
      <c r="B4116" s="13" t="s">
        <v>6921</v>
      </c>
      <c r="C4116" s="15" t="s">
        <v>150</v>
      </c>
      <c r="D4116" s="13" t="s">
        <v>134</v>
      </c>
      <c r="E4116" s="13" t="s">
        <v>6922</v>
      </c>
      <c r="F4116" s="43">
        <v>0</v>
      </c>
    </row>
    <row r="4117" spans="2:6" x14ac:dyDescent="0.25">
      <c r="B4117" s="13" t="s">
        <v>6923</v>
      </c>
      <c r="C4117" s="15" t="s">
        <v>150</v>
      </c>
      <c r="D4117" s="13" t="s">
        <v>134</v>
      </c>
      <c r="E4117" s="13" t="s">
        <v>6924</v>
      </c>
      <c r="F4117" s="43">
        <v>0</v>
      </c>
    </row>
    <row r="4118" spans="2:6" x14ac:dyDescent="0.25">
      <c r="B4118" s="13" t="s">
        <v>6925</v>
      </c>
      <c r="C4118" s="15" t="s">
        <v>150</v>
      </c>
      <c r="D4118" s="13" t="s">
        <v>134</v>
      </c>
      <c r="E4118" s="13" t="s">
        <v>6926</v>
      </c>
      <c r="F4118" s="43">
        <v>39.659999999999997</v>
      </c>
    </row>
    <row r="4119" spans="2:6" x14ac:dyDescent="0.25">
      <c r="B4119" s="13" t="s">
        <v>6927</v>
      </c>
      <c r="C4119" s="15" t="s">
        <v>150</v>
      </c>
      <c r="D4119" s="13" t="s">
        <v>134</v>
      </c>
      <c r="E4119" s="13" t="s">
        <v>6928</v>
      </c>
      <c r="F4119" s="43">
        <v>9.64</v>
      </c>
    </row>
    <row r="4120" spans="2:6" x14ac:dyDescent="0.25">
      <c r="B4120" s="13" t="s">
        <v>6929</v>
      </c>
      <c r="C4120" s="15" t="s">
        <v>150</v>
      </c>
      <c r="D4120" s="13" t="s">
        <v>134</v>
      </c>
      <c r="E4120" s="13" t="s">
        <v>6930</v>
      </c>
      <c r="F4120" s="43">
        <v>0</v>
      </c>
    </row>
    <row r="4121" spans="2:6" x14ac:dyDescent="0.25">
      <c r="B4121" s="13" t="s">
        <v>6931</v>
      </c>
      <c r="C4121" s="15" t="s">
        <v>150</v>
      </c>
      <c r="D4121" s="13" t="s">
        <v>134</v>
      </c>
      <c r="E4121" s="13" t="s">
        <v>6932</v>
      </c>
      <c r="F4121" s="43">
        <v>0</v>
      </c>
    </row>
    <row r="4122" spans="2:6" x14ac:dyDescent="0.25">
      <c r="B4122" s="13" t="s">
        <v>6933</v>
      </c>
      <c r="C4122" s="15" t="s">
        <v>150</v>
      </c>
      <c r="D4122" s="13" t="s">
        <v>134</v>
      </c>
      <c r="E4122" s="13" t="s">
        <v>6934</v>
      </c>
      <c r="F4122" s="43">
        <v>17.68</v>
      </c>
    </row>
    <row r="4123" spans="2:6" x14ac:dyDescent="0.25">
      <c r="B4123" s="13" t="s">
        <v>6935</v>
      </c>
      <c r="C4123" s="15" t="s">
        <v>150</v>
      </c>
      <c r="D4123" s="13" t="s">
        <v>134</v>
      </c>
      <c r="E4123" s="13" t="s">
        <v>6936</v>
      </c>
      <c r="F4123" s="43">
        <v>0</v>
      </c>
    </row>
    <row r="4124" spans="2:6" x14ac:dyDescent="0.25">
      <c r="B4124" s="13" t="s">
        <v>6937</v>
      </c>
      <c r="C4124" s="15" t="s">
        <v>150</v>
      </c>
      <c r="D4124" s="13" t="s">
        <v>134</v>
      </c>
      <c r="E4124" s="13" t="s">
        <v>6938</v>
      </c>
      <c r="F4124" s="43">
        <v>126.72</v>
      </c>
    </row>
    <row r="4125" spans="2:6" x14ac:dyDescent="0.25">
      <c r="B4125" s="13" t="s">
        <v>6939</v>
      </c>
      <c r="C4125" s="15" t="s">
        <v>150</v>
      </c>
      <c r="D4125" s="13" t="s">
        <v>134</v>
      </c>
      <c r="E4125" s="13" t="s">
        <v>6940</v>
      </c>
      <c r="F4125" s="43">
        <v>0</v>
      </c>
    </row>
    <row r="4126" spans="2:6" x14ac:dyDescent="0.25">
      <c r="B4126" s="13" t="s">
        <v>6941</v>
      </c>
      <c r="C4126" s="15" t="s">
        <v>150</v>
      </c>
      <c r="D4126" s="13" t="s">
        <v>134</v>
      </c>
      <c r="E4126" s="13" t="s">
        <v>6942</v>
      </c>
      <c r="F4126" s="43">
        <v>26.89</v>
      </c>
    </row>
    <row r="4127" spans="2:6" x14ac:dyDescent="0.25">
      <c r="B4127" s="13" t="s">
        <v>6943</v>
      </c>
      <c r="C4127" s="15" t="s">
        <v>150</v>
      </c>
      <c r="D4127" s="13" t="s">
        <v>134</v>
      </c>
      <c r="E4127" s="13" t="s">
        <v>6944</v>
      </c>
      <c r="F4127" s="43">
        <v>50.27</v>
      </c>
    </row>
    <row r="4128" spans="2:6" x14ac:dyDescent="0.25">
      <c r="B4128" s="13" t="s">
        <v>6945</v>
      </c>
      <c r="C4128" s="15" t="s">
        <v>150</v>
      </c>
      <c r="D4128" s="13" t="s">
        <v>134</v>
      </c>
      <c r="E4128" s="13" t="s">
        <v>6946</v>
      </c>
      <c r="F4128" s="43">
        <v>65.3</v>
      </c>
    </row>
    <row r="4129" spans="2:6" x14ac:dyDescent="0.25">
      <c r="B4129" s="13" t="s">
        <v>6947</v>
      </c>
      <c r="C4129" s="15" t="s">
        <v>150</v>
      </c>
      <c r="D4129" s="13" t="s">
        <v>134</v>
      </c>
      <c r="E4129" s="13" t="s">
        <v>6948</v>
      </c>
      <c r="F4129" s="43">
        <v>2.0299999999999998</v>
      </c>
    </row>
    <row r="4130" spans="2:6" x14ac:dyDescent="0.25">
      <c r="B4130" s="13" t="s">
        <v>6949</v>
      </c>
      <c r="C4130" s="15" t="s">
        <v>150</v>
      </c>
      <c r="D4130" s="13" t="s">
        <v>134</v>
      </c>
      <c r="E4130" s="13" t="s">
        <v>6950</v>
      </c>
      <c r="F4130" s="43">
        <v>31.71</v>
      </c>
    </row>
    <row r="4131" spans="2:6" x14ac:dyDescent="0.25">
      <c r="B4131" s="13" t="s">
        <v>6951</v>
      </c>
      <c r="C4131" s="15" t="s">
        <v>150</v>
      </c>
      <c r="D4131" s="13" t="s">
        <v>134</v>
      </c>
      <c r="E4131" s="13" t="s">
        <v>6952</v>
      </c>
      <c r="F4131" s="43">
        <v>0.35</v>
      </c>
    </row>
    <row r="4132" spans="2:6" x14ac:dyDescent="0.25">
      <c r="B4132" s="13" t="s">
        <v>6953</v>
      </c>
      <c r="C4132" s="15" t="s">
        <v>150</v>
      </c>
      <c r="D4132" s="13" t="s">
        <v>134</v>
      </c>
      <c r="E4132" s="13" t="s">
        <v>6954</v>
      </c>
      <c r="F4132" s="43">
        <v>0.65</v>
      </c>
    </row>
    <row r="4133" spans="2:6" x14ac:dyDescent="0.25">
      <c r="B4133" s="13" t="s">
        <v>6955</v>
      </c>
      <c r="C4133" s="15" t="s">
        <v>150</v>
      </c>
      <c r="D4133" s="13" t="s">
        <v>134</v>
      </c>
      <c r="E4133" s="13" t="s">
        <v>6956</v>
      </c>
      <c r="F4133" s="43">
        <v>0.96</v>
      </c>
    </row>
    <row r="4134" spans="2:6" x14ac:dyDescent="0.25">
      <c r="B4134" s="13" t="s">
        <v>6957</v>
      </c>
      <c r="C4134" s="15" t="s">
        <v>150</v>
      </c>
      <c r="D4134" s="13" t="s">
        <v>134</v>
      </c>
      <c r="E4134" s="13" t="s">
        <v>6958</v>
      </c>
      <c r="F4134" s="43">
        <v>3.34</v>
      </c>
    </row>
    <row r="4135" spans="2:6" x14ac:dyDescent="0.25">
      <c r="B4135" s="13" t="s">
        <v>6959</v>
      </c>
      <c r="C4135" s="15" t="s">
        <v>150</v>
      </c>
      <c r="D4135" s="13" t="s">
        <v>134</v>
      </c>
      <c r="E4135" s="13" t="s">
        <v>6960</v>
      </c>
      <c r="F4135" s="43">
        <v>2.17</v>
      </c>
    </row>
    <row r="4136" spans="2:6" x14ac:dyDescent="0.25">
      <c r="B4136" s="13" t="s">
        <v>6961</v>
      </c>
      <c r="C4136" s="15" t="s">
        <v>150</v>
      </c>
      <c r="D4136" s="13" t="s">
        <v>134</v>
      </c>
      <c r="E4136" s="13" t="s">
        <v>6962</v>
      </c>
      <c r="F4136" s="43">
        <v>1.47</v>
      </c>
    </row>
    <row r="4137" spans="2:6" x14ac:dyDescent="0.25">
      <c r="B4137" s="13" t="s">
        <v>6963</v>
      </c>
      <c r="C4137" s="15" t="s">
        <v>150</v>
      </c>
      <c r="D4137" s="13" t="s">
        <v>134</v>
      </c>
      <c r="E4137" s="13" t="s">
        <v>6964</v>
      </c>
      <c r="F4137" s="43">
        <v>1.98</v>
      </c>
    </row>
    <row r="4138" spans="2:6" x14ac:dyDescent="0.25">
      <c r="B4138" s="13" t="s">
        <v>6965</v>
      </c>
      <c r="C4138" s="15" t="s">
        <v>150</v>
      </c>
      <c r="D4138" s="13" t="s">
        <v>134</v>
      </c>
      <c r="E4138" s="13" t="s">
        <v>6966</v>
      </c>
      <c r="F4138" s="43">
        <v>0</v>
      </c>
    </row>
    <row r="4139" spans="2:6" x14ac:dyDescent="0.25">
      <c r="B4139" s="13" t="s">
        <v>6967</v>
      </c>
      <c r="C4139" s="15" t="s">
        <v>150</v>
      </c>
      <c r="D4139" s="13" t="s">
        <v>134</v>
      </c>
      <c r="E4139" s="13" t="s">
        <v>6968</v>
      </c>
      <c r="F4139" s="43">
        <v>8.42</v>
      </c>
    </row>
    <row r="4140" spans="2:6" x14ac:dyDescent="0.25">
      <c r="B4140" s="13" t="s">
        <v>6969</v>
      </c>
      <c r="C4140" s="15" t="s">
        <v>150</v>
      </c>
      <c r="D4140" s="13" t="s">
        <v>134</v>
      </c>
      <c r="E4140" s="13" t="s">
        <v>6970</v>
      </c>
      <c r="F4140" s="43">
        <v>9.4700000000000006</v>
      </c>
    </row>
    <row r="4141" spans="2:6" x14ac:dyDescent="0.25">
      <c r="B4141" s="13" t="s">
        <v>6971</v>
      </c>
      <c r="C4141" s="15" t="s">
        <v>150</v>
      </c>
      <c r="D4141" s="13" t="s">
        <v>134</v>
      </c>
      <c r="E4141" s="13" t="s">
        <v>6972</v>
      </c>
      <c r="F4141" s="43">
        <v>30.85</v>
      </c>
    </row>
    <row r="4142" spans="2:6" x14ac:dyDescent="0.25">
      <c r="B4142" s="13" t="s">
        <v>6973</v>
      </c>
      <c r="C4142" s="15" t="s">
        <v>150</v>
      </c>
      <c r="D4142" s="13" t="s">
        <v>134</v>
      </c>
      <c r="E4142" s="13" t="s">
        <v>6974</v>
      </c>
      <c r="F4142" s="43">
        <v>15.7</v>
      </c>
    </row>
    <row r="4143" spans="2:6" x14ac:dyDescent="0.25">
      <c r="B4143" s="13" t="s">
        <v>6975</v>
      </c>
      <c r="C4143" s="15" t="s">
        <v>150</v>
      </c>
      <c r="D4143" s="13" t="s">
        <v>134</v>
      </c>
      <c r="E4143" s="13" t="s">
        <v>6976</v>
      </c>
      <c r="F4143" s="43">
        <v>24.42</v>
      </c>
    </row>
    <row r="4144" spans="2:6" x14ac:dyDescent="0.25">
      <c r="B4144" s="13" t="s">
        <v>6977</v>
      </c>
      <c r="C4144" s="15" t="s">
        <v>150</v>
      </c>
      <c r="D4144" s="13" t="s">
        <v>134</v>
      </c>
      <c r="E4144" s="13" t="s">
        <v>6978</v>
      </c>
      <c r="F4144" s="43">
        <v>35.47</v>
      </c>
    </row>
    <row r="4145" spans="2:6" x14ac:dyDescent="0.25">
      <c r="B4145" s="13" t="s">
        <v>6979</v>
      </c>
      <c r="C4145" s="15" t="s">
        <v>150</v>
      </c>
      <c r="D4145" s="13" t="s">
        <v>134</v>
      </c>
      <c r="E4145" s="13" t="s">
        <v>6980</v>
      </c>
      <c r="F4145" s="43">
        <v>14.34</v>
      </c>
    </row>
    <row r="4146" spans="2:6" x14ac:dyDescent="0.25">
      <c r="B4146" s="13" t="s">
        <v>6981</v>
      </c>
      <c r="C4146" s="15" t="s">
        <v>150</v>
      </c>
      <c r="D4146" s="13" t="s">
        <v>134</v>
      </c>
      <c r="E4146" s="13" t="s">
        <v>6982</v>
      </c>
      <c r="F4146" s="43">
        <v>64.36</v>
      </c>
    </row>
    <row r="4147" spans="2:6" x14ac:dyDescent="0.25">
      <c r="B4147" s="13" t="s">
        <v>6983</v>
      </c>
      <c r="C4147" s="15" t="s">
        <v>150</v>
      </c>
      <c r="D4147" s="13" t="s">
        <v>134</v>
      </c>
      <c r="E4147" s="13" t="s">
        <v>6984</v>
      </c>
      <c r="F4147" s="43">
        <v>0.54</v>
      </c>
    </row>
    <row r="4148" spans="2:6" x14ac:dyDescent="0.25">
      <c r="B4148" s="13" t="s">
        <v>6985</v>
      </c>
      <c r="C4148" s="15" t="s">
        <v>150</v>
      </c>
      <c r="D4148" s="13" t="s">
        <v>134</v>
      </c>
      <c r="E4148" s="13" t="s">
        <v>6986</v>
      </c>
      <c r="F4148" s="43">
        <v>1.91</v>
      </c>
    </row>
    <row r="4149" spans="2:6" x14ac:dyDescent="0.25">
      <c r="B4149" s="13" t="s">
        <v>6987</v>
      </c>
      <c r="C4149" s="15" t="s">
        <v>150</v>
      </c>
      <c r="D4149" s="13" t="s">
        <v>134</v>
      </c>
      <c r="E4149" s="13" t="s">
        <v>6988</v>
      </c>
      <c r="F4149" s="43">
        <v>21.49</v>
      </c>
    </row>
    <row r="4150" spans="2:6" x14ac:dyDescent="0.25">
      <c r="B4150" s="13" t="s">
        <v>6989</v>
      </c>
      <c r="C4150" s="15" t="s">
        <v>150</v>
      </c>
      <c r="D4150" s="13" t="s">
        <v>134</v>
      </c>
      <c r="E4150" s="13" t="s">
        <v>6990</v>
      </c>
      <c r="F4150" s="43">
        <v>99.83</v>
      </c>
    </row>
    <row r="4151" spans="2:6" x14ac:dyDescent="0.25">
      <c r="B4151" s="13" t="s">
        <v>6991</v>
      </c>
      <c r="C4151" s="15" t="s">
        <v>150</v>
      </c>
      <c r="D4151" s="13" t="s">
        <v>134</v>
      </c>
      <c r="E4151" s="13" t="s">
        <v>6992</v>
      </c>
      <c r="F4151" s="43">
        <v>0.74</v>
      </c>
    </row>
    <row r="4152" spans="2:6" x14ac:dyDescent="0.25">
      <c r="B4152" s="13" t="s">
        <v>6993</v>
      </c>
      <c r="C4152" s="15" t="s">
        <v>150</v>
      </c>
      <c r="D4152" s="13" t="s">
        <v>134</v>
      </c>
      <c r="E4152" s="13" t="s">
        <v>6994</v>
      </c>
      <c r="F4152" s="43">
        <v>11.76</v>
      </c>
    </row>
    <row r="4153" spans="2:6" x14ac:dyDescent="0.25">
      <c r="B4153" s="13" t="s">
        <v>6995</v>
      </c>
      <c r="C4153" s="15" t="s">
        <v>150</v>
      </c>
      <c r="D4153" s="13" t="s">
        <v>134</v>
      </c>
      <c r="E4153" s="13" t="s">
        <v>6996</v>
      </c>
      <c r="F4153" s="43">
        <v>36.24</v>
      </c>
    </row>
    <row r="4154" spans="2:6" x14ac:dyDescent="0.25">
      <c r="B4154" s="13" t="s">
        <v>6997</v>
      </c>
      <c r="C4154" s="15" t="s">
        <v>150</v>
      </c>
      <c r="D4154" s="13" t="s">
        <v>134</v>
      </c>
      <c r="E4154" s="13" t="s">
        <v>6998</v>
      </c>
      <c r="F4154" s="43">
        <v>163.83000000000001</v>
      </c>
    </row>
    <row r="4155" spans="2:6" x14ac:dyDescent="0.25">
      <c r="B4155" s="13" t="s">
        <v>6999</v>
      </c>
      <c r="C4155" s="15" t="s">
        <v>150</v>
      </c>
      <c r="D4155" s="13" t="s">
        <v>134</v>
      </c>
      <c r="E4155" s="13" t="s">
        <v>7000</v>
      </c>
      <c r="F4155" s="43">
        <v>12.24</v>
      </c>
    </row>
    <row r="4156" spans="2:6" x14ac:dyDescent="0.25">
      <c r="B4156" s="13" t="s">
        <v>7001</v>
      </c>
      <c r="C4156" s="15" t="s">
        <v>150</v>
      </c>
      <c r="D4156" s="13" t="s">
        <v>134</v>
      </c>
      <c r="E4156" s="13" t="s">
        <v>7002</v>
      </c>
      <c r="F4156" s="43">
        <v>10.5</v>
      </c>
    </row>
    <row r="4157" spans="2:6" x14ac:dyDescent="0.25">
      <c r="B4157" s="13" t="s">
        <v>7003</v>
      </c>
      <c r="C4157" s="15" t="s">
        <v>150</v>
      </c>
      <c r="D4157" s="13" t="s">
        <v>134</v>
      </c>
      <c r="E4157" s="13" t="s">
        <v>7004</v>
      </c>
      <c r="F4157" s="43">
        <v>51.75</v>
      </c>
    </row>
    <row r="4158" spans="2:6" x14ac:dyDescent="0.25">
      <c r="B4158" s="13" t="s">
        <v>7005</v>
      </c>
      <c r="C4158" s="15" t="s">
        <v>150</v>
      </c>
      <c r="D4158" s="13" t="s">
        <v>134</v>
      </c>
      <c r="E4158" s="13" t="s">
        <v>7006</v>
      </c>
      <c r="F4158" s="43">
        <v>3.2</v>
      </c>
    </row>
    <row r="4159" spans="2:6" x14ac:dyDescent="0.25">
      <c r="B4159" s="13" t="s">
        <v>7007</v>
      </c>
      <c r="C4159" s="15" t="s">
        <v>150</v>
      </c>
      <c r="D4159" s="13" t="s">
        <v>134</v>
      </c>
      <c r="E4159" s="13" t="s">
        <v>7008</v>
      </c>
      <c r="F4159" s="43">
        <v>223.77</v>
      </c>
    </row>
    <row r="4160" spans="2:6" x14ac:dyDescent="0.25">
      <c r="B4160" s="13" t="s">
        <v>7009</v>
      </c>
      <c r="C4160" s="15" t="s">
        <v>150</v>
      </c>
      <c r="D4160" s="13" t="s">
        <v>134</v>
      </c>
      <c r="E4160" s="13" t="s">
        <v>7010</v>
      </c>
      <c r="F4160" s="43">
        <v>1.44</v>
      </c>
    </row>
    <row r="4161" spans="2:6" x14ac:dyDescent="0.25">
      <c r="B4161" s="13" t="s">
        <v>7011</v>
      </c>
      <c r="C4161" s="15" t="s">
        <v>150</v>
      </c>
      <c r="D4161" s="13" t="s">
        <v>134</v>
      </c>
      <c r="E4161" s="13" t="s">
        <v>7012</v>
      </c>
      <c r="F4161" s="43">
        <v>4.53</v>
      </c>
    </row>
    <row r="4162" spans="2:6" x14ac:dyDescent="0.25">
      <c r="B4162" s="13" t="s">
        <v>7013</v>
      </c>
      <c r="C4162" s="15" t="s">
        <v>150</v>
      </c>
      <c r="D4162" s="13" t="s">
        <v>134</v>
      </c>
      <c r="E4162" s="13" t="s">
        <v>7014</v>
      </c>
      <c r="F4162" s="43">
        <v>70.349999999999994</v>
      </c>
    </row>
    <row r="4163" spans="2:6" x14ac:dyDescent="0.25">
      <c r="B4163" s="13" t="s">
        <v>7015</v>
      </c>
      <c r="C4163" s="15" t="s">
        <v>150</v>
      </c>
      <c r="D4163" s="13" t="s">
        <v>134</v>
      </c>
      <c r="E4163" s="13" t="s">
        <v>7016</v>
      </c>
      <c r="F4163" s="43">
        <v>20.6</v>
      </c>
    </row>
    <row r="4164" spans="2:6" x14ac:dyDescent="0.25">
      <c r="B4164" s="13" t="s">
        <v>7017</v>
      </c>
      <c r="C4164" s="15" t="s">
        <v>150</v>
      </c>
      <c r="D4164" s="13" t="s">
        <v>134</v>
      </c>
      <c r="E4164" s="13" t="s">
        <v>7018</v>
      </c>
      <c r="F4164" s="43">
        <v>325.02999999999997</v>
      </c>
    </row>
    <row r="4165" spans="2:6" x14ac:dyDescent="0.25">
      <c r="B4165" s="13" t="s">
        <v>7019</v>
      </c>
      <c r="C4165" s="15" t="s">
        <v>150</v>
      </c>
      <c r="D4165" s="13" t="s">
        <v>134</v>
      </c>
      <c r="E4165" s="13" t="s">
        <v>7020</v>
      </c>
      <c r="F4165" s="43">
        <v>1.97</v>
      </c>
    </row>
    <row r="4166" spans="2:6" x14ac:dyDescent="0.25">
      <c r="B4166" s="13" t="s">
        <v>7021</v>
      </c>
      <c r="C4166" s="15" t="s">
        <v>150</v>
      </c>
      <c r="D4166" s="13" t="s">
        <v>134</v>
      </c>
      <c r="E4166" s="13" t="s">
        <v>7022</v>
      </c>
      <c r="F4166" s="43">
        <v>0</v>
      </c>
    </row>
    <row r="4167" spans="2:6" x14ac:dyDescent="0.25">
      <c r="B4167" s="13" t="s">
        <v>7023</v>
      </c>
      <c r="C4167" s="15" t="s">
        <v>150</v>
      </c>
      <c r="D4167" s="13" t="s">
        <v>134</v>
      </c>
      <c r="E4167" s="13" t="s">
        <v>7024</v>
      </c>
      <c r="F4167" s="43">
        <v>0</v>
      </c>
    </row>
    <row r="4168" spans="2:6" x14ac:dyDescent="0.25">
      <c r="B4168" s="13" t="s">
        <v>7025</v>
      </c>
      <c r="C4168" s="15" t="s">
        <v>150</v>
      </c>
      <c r="D4168" s="13" t="s">
        <v>134</v>
      </c>
      <c r="E4168" s="13" t="s">
        <v>7026</v>
      </c>
      <c r="F4168" s="43">
        <v>0</v>
      </c>
    </row>
    <row r="4169" spans="2:6" x14ac:dyDescent="0.25">
      <c r="B4169" s="13" t="s">
        <v>7027</v>
      </c>
      <c r="C4169" s="15" t="s">
        <v>150</v>
      </c>
      <c r="D4169" s="13" t="s">
        <v>134</v>
      </c>
      <c r="E4169" s="13" t="s">
        <v>7028</v>
      </c>
      <c r="F4169" s="43">
        <v>0</v>
      </c>
    </row>
    <row r="4170" spans="2:6" x14ac:dyDescent="0.25">
      <c r="B4170" s="13" t="s">
        <v>7029</v>
      </c>
      <c r="C4170" s="15" t="s">
        <v>150</v>
      </c>
      <c r="D4170" s="13" t="s">
        <v>134</v>
      </c>
      <c r="E4170" s="13" t="s">
        <v>7030</v>
      </c>
      <c r="F4170" s="43">
        <v>0</v>
      </c>
    </row>
    <row r="4171" spans="2:6" x14ac:dyDescent="0.25">
      <c r="B4171" s="13" t="s">
        <v>7031</v>
      </c>
      <c r="C4171" s="15" t="s">
        <v>150</v>
      </c>
      <c r="D4171" s="13" t="s">
        <v>134</v>
      </c>
      <c r="E4171" s="13" t="s">
        <v>7032</v>
      </c>
      <c r="F4171" s="43">
        <v>0</v>
      </c>
    </row>
    <row r="4172" spans="2:6" x14ac:dyDescent="0.25">
      <c r="B4172" s="13" t="s">
        <v>7033</v>
      </c>
      <c r="C4172" s="15" t="s">
        <v>150</v>
      </c>
      <c r="D4172" s="13" t="s">
        <v>134</v>
      </c>
      <c r="E4172" s="13" t="s">
        <v>7034</v>
      </c>
      <c r="F4172" s="43">
        <v>11.82</v>
      </c>
    </row>
    <row r="4173" spans="2:6" x14ac:dyDescent="0.25">
      <c r="B4173" s="13" t="s">
        <v>7035</v>
      </c>
      <c r="C4173" s="15" t="s">
        <v>150</v>
      </c>
      <c r="D4173" s="13" t="s">
        <v>134</v>
      </c>
      <c r="E4173" s="13" t="s">
        <v>7036</v>
      </c>
      <c r="F4173" s="43">
        <v>103.56</v>
      </c>
    </row>
    <row r="4174" spans="2:6" x14ac:dyDescent="0.25">
      <c r="B4174" s="13" t="s">
        <v>7037</v>
      </c>
      <c r="C4174" s="15" t="s">
        <v>150</v>
      </c>
      <c r="D4174" s="13" t="s">
        <v>134</v>
      </c>
      <c r="E4174" s="13" t="s">
        <v>7038</v>
      </c>
      <c r="F4174" s="43">
        <v>125.32</v>
      </c>
    </row>
    <row r="4175" spans="2:6" x14ac:dyDescent="0.25">
      <c r="B4175" s="13" t="s">
        <v>7039</v>
      </c>
      <c r="C4175" s="15" t="s">
        <v>150</v>
      </c>
      <c r="D4175" s="13" t="s">
        <v>134</v>
      </c>
      <c r="E4175" s="13" t="s">
        <v>7040</v>
      </c>
      <c r="F4175" s="43">
        <v>478.01</v>
      </c>
    </row>
    <row r="4176" spans="2:6" x14ac:dyDescent="0.25">
      <c r="B4176" s="13" t="s">
        <v>7041</v>
      </c>
      <c r="C4176" s="15" t="s">
        <v>150</v>
      </c>
      <c r="D4176" s="13" t="s">
        <v>134</v>
      </c>
      <c r="E4176" s="13" t="s">
        <v>7042</v>
      </c>
      <c r="F4176" s="43">
        <v>35.47</v>
      </c>
    </row>
    <row r="4177" spans="2:6" x14ac:dyDescent="0.25">
      <c r="B4177" s="13" t="s">
        <v>7043</v>
      </c>
      <c r="C4177" s="15" t="s">
        <v>150</v>
      </c>
      <c r="D4177" s="13" t="s">
        <v>134</v>
      </c>
      <c r="E4177" s="13" t="s">
        <v>7044</v>
      </c>
      <c r="F4177" s="43">
        <v>5.67</v>
      </c>
    </row>
    <row r="4178" spans="2:6" x14ac:dyDescent="0.25">
      <c r="B4178" s="13" t="s">
        <v>7045</v>
      </c>
      <c r="C4178" s="15" t="s">
        <v>150</v>
      </c>
      <c r="D4178" s="13" t="s">
        <v>134</v>
      </c>
      <c r="E4178" s="13" t="s">
        <v>7046</v>
      </c>
      <c r="F4178" s="43">
        <v>19.72</v>
      </c>
    </row>
    <row r="4179" spans="2:6" x14ac:dyDescent="0.25">
      <c r="B4179" s="13" t="s">
        <v>7047</v>
      </c>
      <c r="C4179" s="15" t="s">
        <v>150</v>
      </c>
      <c r="D4179" s="13" t="s">
        <v>134</v>
      </c>
      <c r="E4179" s="13" t="s">
        <v>7048</v>
      </c>
      <c r="F4179" s="43">
        <v>71.97</v>
      </c>
    </row>
    <row r="4180" spans="2:6" x14ac:dyDescent="0.25">
      <c r="B4180" s="13" t="s">
        <v>7049</v>
      </c>
      <c r="C4180" s="15" t="s">
        <v>150</v>
      </c>
      <c r="D4180" s="13" t="s">
        <v>134</v>
      </c>
      <c r="E4180" s="13" t="s">
        <v>7050</v>
      </c>
      <c r="F4180" s="43">
        <v>124.3</v>
      </c>
    </row>
    <row r="4181" spans="2:6" x14ac:dyDescent="0.25">
      <c r="B4181" s="13" t="s">
        <v>7051</v>
      </c>
      <c r="C4181" s="15" t="s">
        <v>150</v>
      </c>
      <c r="D4181" s="13" t="s">
        <v>134</v>
      </c>
      <c r="E4181" s="13" t="s">
        <v>7052</v>
      </c>
      <c r="F4181" s="43">
        <v>303.95999999999998</v>
      </c>
    </row>
    <row r="4182" spans="2:6" x14ac:dyDescent="0.25">
      <c r="B4182" s="13" t="s">
        <v>7053</v>
      </c>
      <c r="C4182" s="15" t="s">
        <v>150</v>
      </c>
      <c r="D4182" s="13" t="s">
        <v>134</v>
      </c>
      <c r="E4182" s="13" t="s">
        <v>7054</v>
      </c>
      <c r="F4182" s="43">
        <v>11.63</v>
      </c>
    </row>
    <row r="4183" spans="2:6" x14ac:dyDescent="0.25">
      <c r="B4183" s="13" t="s">
        <v>7055</v>
      </c>
      <c r="C4183" s="15" t="s">
        <v>150</v>
      </c>
      <c r="D4183" s="13" t="s">
        <v>134</v>
      </c>
      <c r="E4183" s="13" t="s">
        <v>7056</v>
      </c>
      <c r="F4183" s="43">
        <v>390.63</v>
      </c>
    </row>
    <row r="4184" spans="2:6" x14ac:dyDescent="0.25">
      <c r="B4184" s="13" t="s">
        <v>7057</v>
      </c>
      <c r="C4184" s="15" t="s">
        <v>150</v>
      </c>
      <c r="D4184" s="13" t="s">
        <v>134</v>
      </c>
      <c r="E4184" s="13" t="s">
        <v>7058</v>
      </c>
      <c r="F4184" s="43">
        <v>47.92</v>
      </c>
    </row>
    <row r="4185" spans="2:6" x14ac:dyDescent="0.25">
      <c r="B4185" s="13" t="s">
        <v>7059</v>
      </c>
      <c r="C4185" s="15" t="s">
        <v>150</v>
      </c>
      <c r="D4185" s="13" t="s">
        <v>134</v>
      </c>
      <c r="E4185" s="13" t="s">
        <v>7060</v>
      </c>
      <c r="F4185" s="43">
        <v>354.75</v>
      </c>
    </row>
    <row r="4186" spans="2:6" x14ac:dyDescent="0.25">
      <c r="B4186" s="13" t="s">
        <v>7061</v>
      </c>
      <c r="C4186" s="15" t="s">
        <v>150</v>
      </c>
      <c r="D4186" s="13" t="s">
        <v>134</v>
      </c>
      <c r="E4186" s="13" t="s">
        <v>7062</v>
      </c>
      <c r="F4186" s="43">
        <v>82.04</v>
      </c>
    </row>
    <row r="4187" spans="2:6" x14ac:dyDescent="0.25">
      <c r="B4187" s="13" t="s">
        <v>7063</v>
      </c>
      <c r="C4187" s="15" t="s">
        <v>150</v>
      </c>
      <c r="D4187" s="13" t="s">
        <v>134</v>
      </c>
      <c r="E4187" s="13" t="s">
        <v>7064</v>
      </c>
      <c r="F4187" s="43">
        <v>513.4</v>
      </c>
    </row>
    <row r="4188" spans="2:6" x14ac:dyDescent="0.25">
      <c r="B4188" s="13" t="s">
        <v>7065</v>
      </c>
      <c r="C4188" s="15" t="s">
        <v>150</v>
      </c>
      <c r="D4188" s="13" t="s">
        <v>134</v>
      </c>
      <c r="E4188" s="13" t="s">
        <v>7066</v>
      </c>
      <c r="F4188" s="43">
        <v>891.49</v>
      </c>
    </row>
    <row r="4189" spans="2:6" x14ac:dyDescent="0.25">
      <c r="B4189" s="13" t="s">
        <v>7067</v>
      </c>
      <c r="C4189" s="15" t="s">
        <v>150</v>
      </c>
      <c r="D4189" s="13" t="s">
        <v>134</v>
      </c>
      <c r="E4189" s="13" t="s">
        <v>7068</v>
      </c>
      <c r="F4189" s="43">
        <v>56.52</v>
      </c>
    </row>
    <row r="4190" spans="2:6" x14ac:dyDescent="0.25">
      <c r="B4190" s="13" t="s">
        <v>7069</v>
      </c>
      <c r="C4190" s="15" t="s">
        <v>150</v>
      </c>
      <c r="D4190" s="13" t="s">
        <v>134</v>
      </c>
      <c r="E4190" s="13" t="s">
        <v>7070</v>
      </c>
      <c r="F4190" s="43">
        <v>0</v>
      </c>
    </row>
    <row r="4191" spans="2:6" x14ac:dyDescent="0.25">
      <c r="B4191" s="13" t="s">
        <v>7071</v>
      </c>
      <c r="C4191" s="15" t="s">
        <v>150</v>
      </c>
      <c r="D4191" s="13" t="s">
        <v>134</v>
      </c>
      <c r="E4191" s="13" t="s">
        <v>7072</v>
      </c>
      <c r="F4191" s="43">
        <v>1258.27</v>
      </c>
    </row>
    <row r="4192" spans="2:6" x14ac:dyDescent="0.25">
      <c r="B4192" s="13" t="s">
        <v>7073</v>
      </c>
      <c r="C4192" s="15" t="s">
        <v>150</v>
      </c>
      <c r="D4192" s="13" t="s">
        <v>134</v>
      </c>
      <c r="E4192" s="13" t="s">
        <v>7074</v>
      </c>
      <c r="F4192" s="43">
        <v>650.37</v>
      </c>
    </row>
    <row r="4193" spans="2:6" x14ac:dyDescent="0.25">
      <c r="B4193" s="13" t="s">
        <v>7075</v>
      </c>
      <c r="C4193" s="15" t="s">
        <v>150</v>
      </c>
      <c r="D4193" s="13" t="s">
        <v>134</v>
      </c>
      <c r="E4193" s="13" t="s">
        <v>7076</v>
      </c>
      <c r="F4193" s="43">
        <v>2529.14</v>
      </c>
    </row>
    <row r="4194" spans="2:6" x14ac:dyDescent="0.25">
      <c r="B4194" s="13" t="s">
        <v>7077</v>
      </c>
      <c r="C4194" s="15" t="s">
        <v>150</v>
      </c>
      <c r="D4194" s="13" t="s">
        <v>134</v>
      </c>
      <c r="E4194" s="13" t="s">
        <v>7078</v>
      </c>
      <c r="F4194" s="43">
        <v>134.62</v>
      </c>
    </row>
    <row r="4195" spans="2:6" x14ac:dyDescent="0.25">
      <c r="B4195" s="13" t="s">
        <v>7079</v>
      </c>
      <c r="C4195" s="15" t="s">
        <v>150</v>
      </c>
      <c r="D4195" s="13" t="s">
        <v>134</v>
      </c>
      <c r="E4195" s="13" t="s">
        <v>7080</v>
      </c>
      <c r="F4195" s="43">
        <v>1444.07</v>
      </c>
    </row>
    <row r="4196" spans="2:6" x14ac:dyDescent="0.25">
      <c r="B4196" s="13" t="s">
        <v>7081</v>
      </c>
      <c r="C4196" s="15" t="s">
        <v>150</v>
      </c>
      <c r="D4196" s="13" t="s">
        <v>134</v>
      </c>
      <c r="E4196" s="13" t="s">
        <v>7082</v>
      </c>
      <c r="F4196" s="43">
        <v>2399.29</v>
      </c>
    </row>
    <row r="4197" spans="2:6" x14ac:dyDescent="0.25">
      <c r="B4197" s="13" t="s">
        <v>7083</v>
      </c>
      <c r="C4197" s="15" t="s">
        <v>150</v>
      </c>
      <c r="D4197" s="13" t="s">
        <v>134</v>
      </c>
      <c r="E4197" s="13" t="s">
        <v>7084</v>
      </c>
      <c r="F4197" s="43">
        <v>1870.29</v>
      </c>
    </row>
    <row r="4198" spans="2:6" x14ac:dyDescent="0.25">
      <c r="B4198" s="13" t="s">
        <v>7085</v>
      </c>
      <c r="C4198" s="15" t="s">
        <v>150</v>
      </c>
      <c r="D4198" s="13" t="s">
        <v>134</v>
      </c>
      <c r="E4198" s="13" t="s">
        <v>7086</v>
      </c>
      <c r="F4198" s="43">
        <v>4741.88</v>
      </c>
    </row>
    <row r="4199" spans="2:6" x14ac:dyDescent="0.25">
      <c r="B4199" s="13" t="s">
        <v>7087</v>
      </c>
      <c r="C4199" s="15" t="s">
        <v>150</v>
      </c>
      <c r="D4199" s="13" t="s">
        <v>134</v>
      </c>
      <c r="E4199" s="13" t="s">
        <v>7088</v>
      </c>
      <c r="F4199" s="43">
        <v>245.36</v>
      </c>
    </row>
    <row r="4200" spans="2:6" x14ac:dyDescent="0.25">
      <c r="B4200" s="13" t="s">
        <v>7089</v>
      </c>
      <c r="C4200" s="15" t="s">
        <v>150</v>
      </c>
      <c r="D4200" s="13" t="s">
        <v>134</v>
      </c>
      <c r="E4200" s="13" t="s">
        <v>7090</v>
      </c>
      <c r="F4200" s="43">
        <v>404.33</v>
      </c>
    </row>
    <row r="4201" spans="2:6" x14ac:dyDescent="0.25">
      <c r="B4201" s="13" t="s">
        <v>7091</v>
      </c>
      <c r="C4201" s="15" t="s">
        <v>150</v>
      </c>
      <c r="D4201" s="13" t="s">
        <v>134</v>
      </c>
      <c r="E4201" s="13" t="s">
        <v>7092</v>
      </c>
      <c r="F4201" s="43">
        <v>5202.2</v>
      </c>
    </row>
    <row r="4202" spans="2:6" x14ac:dyDescent="0.25">
      <c r="B4202" s="13" t="s">
        <v>7093</v>
      </c>
      <c r="C4202" s="15" t="s">
        <v>150</v>
      </c>
      <c r="D4202" s="13" t="s">
        <v>134</v>
      </c>
      <c r="E4202" s="13" t="s">
        <v>7094</v>
      </c>
      <c r="F4202" s="43">
        <v>1218.8499999999999</v>
      </c>
    </row>
    <row r="4203" spans="2:6" x14ac:dyDescent="0.25">
      <c r="B4203" s="13" t="s">
        <v>7095</v>
      </c>
      <c r="C4203" s="15" t="s">
        <v>150</v>
      </c>
      <c r="D4203" s="13" t="s">
        <v>134</v>
      </c>
      <c r="E4203" s="13" t="s">
        <v>7096</v>
      </c>
      <c r="F4203" s="43">
        <v>767.55</v>
      </c>
    </row>
    <row r="4204" spans="2:6" x14ac:dyDescent="0.25">
      <c r="B4204" s="13" t="s">
        <v>7097</v>
      </c>
      <c r="C4204" s="15" t="s">
        <v>150</v>
      </c>
      <c r="D4204" s="13" t="s">
        <v>134</v>
      </c>
      <c r="E4204" s="13" t="s">
        <v>7098</v>
      </c>
      <c r="F4204" s="43">
        <v>639.27</v>
      </c>
    </row>
    <row r="4205" spans="2:6" x14ac:dyDescent="0.25">
      <c r="B4205" s="13" t="s">
        <v>7099</v>
      </c>
      <c r="C4205" s="15" t="s">
        <v>150</v>
      </c>
      <c r="D4205" s="13" t="s">
        <v>134</v>
      </c>
      <c r="E4205" s="13" t="s">
        <v>7100</v>
      </c>
      <c r="F4205" s="43">
        <v>120.64</v>
      </c>
    </row>
    <row r="4206" spans="2:6" x14ac:dyDescent="0.25">
      <c r="B4206" s="13" t="s">
        <v>7101</v>
      </c>
      <c r="C4206" s="15" t="s">
        <v>150</v>
      </c>
      <c r="D4206" s="13" t="s">
        <v>134</v>
      </c>
      <c r="E4206" s="13" t="s">
        <v>7102</v>
      </c>
      <c r="F4206" s="43">
        <v>1.1100000000000001</v>
      </c>
    </row>
    <row r="4207" spans="2:6" x14ac:dyDescent="0.25">
      <c r="B4207" s="13" t="s">
        <v>7103</v>
      </c>
      <c r="C4207" s="15" t="s">
        <v>150</v>
      </c>
      <c r="D4207" s="13" t="s">
        <v>134</v>
      </c>
      <c r="E4207" s="13" t="s">
        <v>7104</v>
      </c>
      <c r="F4207" s="43">
        <v>6.37</v>
      </c>
    </row>
    <row r="4208" spans="2:6" x14ac:dyDescent="0.25">
      <c r="B4208" s="13" t="s">
        <v>7105</v>
      </c>
      <c r="C4208" s="15" t="s">
        <v>150</v>
      </c>
      <c r="D4208" s="13" t="s">
        <v>134</v>
      </c>
      <c r="E4208" s="13" t="s">
        <v>7106</v>
      </c>
      <c r="F4208" s="43">
        <v>3.04</v>
      </c>
    </row>
    <row r="4209" spans="2:6" x14ac:dyDescent="0.25">
      <c r="B4209" s="13" t="s">
        <v>7107</v>
      </c>
      <c r="C4209" s="15" t="s">
        <v>150</v>
      </c>
      <c r="D4209" s="13" t="s">
        <v>134</v>
      </c>
      <c r="E4209" s="13" t="s">
        <v>7108</v>
      </c>
      <c r="F4209" s="43">
        <v>2.44</v>
      </c>
    </row>
    <row r="4210" spans="2:6" x14ac:dyDescent="0.25">
      <c r="B4210" s="13" t="s">
        <v>7109</v>
      </c>
      <c r="C4210" s="15" t="s">
        <v>150</v>
      </c>
      <c r="D4210" s="13" t="s">
        <v>134</v>
      </c>
      <c r="E4210" s="13" t="s">
        <v>7110</v>
      </c>
      <c r="F4210" s="43">
        <v>0</v>
      </c>
    </row>
    <row r="4211" spans="2:6" x14ac:dyDescent="0.25">
      <c r="B4211" s="13" t="s">
        <v>7111</v>
      </c>
      <c r="C4211" s="15" t="s">
        <v>150</v>
      </c>
      <c r="D4211" s="13" t="s">
        <v>134</v>
      </c>
      <c r="E4211" s="13" t="s">
        <v>7112</v>
      </c>
      <c r="F4211" s="43">
        <v>83.29</v>
      </c>
    </row>
    <row r="4212" spans="2:6" x14ac:dyDescent="0.25">
      <c r="B4212" s="13" t="s">
        <v>7113</v>
      </c>
      <c r="C4212" s="15" t="s">
        <v>150</v>
      </c>
      <c r="D4212" s="13" t="s">
        <v>134</v>
      </c>
      <c r="E4212" s="13" t="s">
        <v>7114</v>
      </c>
      <c r="F4212" s="43">
        <v>15.94</v>
      </c>
    </row>
    <row r="4213" spans="2:6" x14ac:dyDescent="0.25">
      <c r="B4213" s="13" t="s">
        <v>7115</v>
      </c>
      <c r="C4213" s="15" t="s">
        <v>150</v>
      </c>
      <c r="D4213" s="13" t="s">
        <v>134</v>
      </c>
      <c r="E4213" s="13" t="s">
        <v>7116</v>
      </c>
      <c r="F4213" s="43">
        <v>0</v>
      </c>
    </row>
    <row r="4214" spans="2:6" x14ac:dyDescent="0.25">
      <c r="B4214" s="13" t="s">
        <v>7117</v>
      </c>
      <c r="C4214" s="15" t="s">
        <v>150</v>
      </c>
      <c r="D4214" s="13" t="s">
        <v>134</v>
      </c>
      <c r="E4214" s="13" t="s">
        <v>7118</v>
      </c>
      <c r="F4214" s="43">
        <v>183.3</v>
      </c>
    </row>
    <row r="4215" spans="2:6" x14ac:dyDescent="0.25">
      <c r="B4215" s="13" t="s">
        <v>7119</v>
      </c>
      <c r="C4215" s="15" t="s">
        <v>150</v>
      </c>
      <c r="D4215" s="13" t="s">
        <v>134</v>
      </c>
      <c r="E4215" s="13" t="s">
        <v>7120</v>
      </c>
      <c r="F4215" s="43">
        <v>0</v>
      </c>
    </row>
    <row r="4216" spans="2:6" x14ac:dyDescent="0.25">
      <c r="B4216" s="13" t="s">
        <v>7121</v>
      </c>
      <c r="C4216" s="15" t="s">
        <v>150</v>
      </c>
      <c r="D4216" s="13" t="s">
        <v>134</v>
      </c>
      <c r="E4216" s="13" t="s">
        <v>7122</v>
      </c>
      <c r="F4216" s="43">
        <v>7.7</v>
      </c>
    </row>
    <row r="4217" spans="2:6" x14ac:dyDescent="0.25">
      <c r="B4217" s="13" t="s">
        <v>7123</v>
      </c>
      <c r="C4217" s="15" t="s">
        <v>150</v>
      </c>
      <c r="D4217" s="13" t="s">
        <v>134</v>
      </c>
      <c r="E4217" s="13" t="s">
        <v>7124</v>
      </c>
      <c r="F4217" s="43">
        <v>4.8499999999999996</v>
      </c>
    </row>
    <row r="4218" spans="2:6" x14ac:dyDescent="0.25">
      <c r="B4218" s="13" t="s">
        <v>7125</v>
      </c>
      <c r="C4218" s="15" t="s">
        <v>150</v>
      </c>
      <c r="D4218" s="13" t="s">
        <v>134</v>
      </c>
      <c r="E4218" s="13" t="s">
        <v>7126</v>
      </c>
      <c r="F4218" s="43">
        <v>285.95</v>
      </c>
    </row>
    <row r="4219" spans="2:6" x14ac:dyDescent="0.25">
      <c r="B4219" s="13" t="s">
        <v>7127</v>
      </c>
      <c r="C4219" s="15" t="s">
        <v>150</v>
      </c>
      <c r="D4219" s="13" t="s">
        <v>134</v>
      </c>
      <c r="E4219" s="13" t="s">
        <v>7128</v>
      </c>
      <c r="F4219" s="43">
        <v>2.65</v>
      </c>
    </row>
    <row r="4220" spans="2:6" x14ac:dyDescent="0.25">
      <c r="B4220" s="13" t="s">
        <v>7129</v>
      </c>
      <c r="C4220" s="15" t="s">
        <v>150</v>
      </c>
      <c r="D4220" s="13" t="s">
        <v>134</v>
      </c>
      <c r="E4220" s="13" t="s">
        <v>7130</v>
      </c>
      <c r="F4220" s="43">
        <v>9.66</v>
      </c>
    </row>
    <row r="4221" spans="2:6" x14ac:dyDescent="0.25">
      <c r="B4221" s="13" t="s">
        <v>7131</v>
      </c>
      <c r="C4221" s="15" t="s">
        <v>150</v>
      </c>
      <c r="D4221" s="13" t="s">
        <v>134</v>
      </c>
      <c r="E4221" s="13" t="s">
        <v>7132</v>
      </c>
      <c r="F4221" s="43">
        <v>68.27</v>
      </c>
    </row>
    <row r="4222" spans="2:6" x14ac:dyDescent="0.25">
      <c r="B4222" s="13" t="s">
        <v>7133</v>
      </c>
      <c r="C4222" s="15" t="s">
        <v>150</v>
      </c>
      <c r="D4222" s="13" t="s">
        <v>134</v>
      </c>
      <c r="E4222" s="13" t="s">
        <v>7134</v>
      </c>
      <c r="F4222" s="43">
        <v>0</v>
      </c>
    </row>
    <row r="4223" spans="2:6" x14ac:dyDescent="0.25">
      <c r="B4223" s="13" t="s">
        <v>7135</v>
      </c>
      <c r="C4223" s="15" t="s">
        <v>150</v>
      </c>
      <c r="D4223" s="13" t="s">
        <v>134</v>
      </c>
      <c r="E4223" s="13" t="s">
        <v>7136</v>
      </c>
      <c r="F4223" s="43">
        <v>230.68</v>
      </c>
    </row>
    <row r="4224" spans="2:6" x14ac:dyDescent="0.25">
      <c r="B4224" s="13" t="s">
        <v>7137</v>
      </c>
      <c r="C4224" s="15" t="s">
        <v>150</v>
      </c>
      <c r="D4224" s="13" t="s">
        <v>134</v>
      </c>
      <c r="E4224" s="13" t="s">
        <v>7138</v>
      </c>
      <c r="F4224" s="43">
        <v>12.16</v>
      </c>
    </row>
    <row r="4225" spans="2:6" x14ac:dyDescent="0.25">
      <c r="B4225" s="13" t="s">
        <v>7139</v>
      </c>
      <c r="C4225" s="15" t="s">
        <v>150</v>
      </c>
      <c r="D4225" s="13" t="s">
        <v>134</v>
      </c>
      <c r="E4225" s="13" t="s">
        <v>7140</v>
      </c>
      <c r="F4225" s="43">
        <v>0</v>
      </c>
    </row>
    <row r="4226" spans="2:6" x14ac:dyDescent="0.25">
      <c r="B4226" s="13" t="s">
        <v>7141</v>
      </c>
      <c r="C4226" s="15" t="s">
        <v>150</v>
      </c>
      <c r="D4226" s="13" t="s">
        <v>134</v>
      </c>
      <c r="E4226" s="13" t="s">
        <v>7142</v>
      </c>
      <c r="F4226" s="43">
        <v>0</v>
      </c>
    </row>
    <row r="4227" spans="2:6" x14ac:dyDescent="0.25">
      <c r="B4227" s="13" t="s">
        <v>7143</v>
      </c>
      <c r="C4227" s="15" t="s">
        <v>150</v>
      </c>
      <c r="D4227" s="13" t="s">
        <v>134</v>
      </c>
      <c r="E4227" s="13" t="s">
        <v>7144</v>
      </c>
      <c r="F4227" s="43">
        <v>75.5</v>
      </c>
    </row>
    <row r="4228" spans="2:6" x14ac:dyDescent="0.25">
      <c r="B4228" s="13" t="s">
        <v>7145</v>
      </c>
      <c r="C4228" s="15" t="s">
        <v>150</v>
      </c>
      <c r="D4228" s="13" t="s">
        <v>134</v>
      </c>
      <c r="E4228" s="13" t="s">
        <v>7146</v>
      </c>
      <c r="F4228" s="43">
        <v>104.28</v>
      </c>
    </row>
    <row r="4229" spans="2:6" x14ac:dyDescent="0.25">
      <c r="B4229" s="13" t="s">
        <v>7147</v>
      </c>
      <c r="C4229" s="15" t="s">
        <v>150</v>
      </c>
      <c r="D4229" s="13" t="s">
        <v>134</v>
      </c>
      <c r="E4229" s="13" t="s">
        <v>7148</v>
      </c>
      <c r="F4229" s="43">
        <v>3.52</v>
      </c>
    </row>
    <row r="4230" spans="2:6" x14ac:dyDescent="0.25">
      <c r="B4230" s="13" t="s">
        <v>7149</v>
      </c>
      <c r="C4230" s="15" t="s">
        <v>150</v>
      </c>
      <c r="D4230" s="13" t="s">
        <v>134</v>
      </c>
      <c r="E4230" s="13" t="s">
        <v>7150</v>
      </c>
      <c r="F4230" s="43">
        <v>3.96</v>
      </c>
    </row>
    <row r="4231" spans="2:6" x14ac:dyDescent="0.25">
      <c r="B4231" s="13" t="s">
        <v>7151</v>
      </c>
      <c r="C4231" s="15" t="s">
        <v>150</v>
      </c>
      <c r="D4231" s="13" t="s">
        <v>134</v>
      </c>
      <c r="E4231" s="13" t="s">
        <v>7152</v>
      </c>
      <c r="F4231" s="43">
        <v>5.28</v>
      </c>
    </row>
    <row r="4232" spans="2:6" x14ac:dyDescent="0.25">
      <c r="B4232" s="13" t="s">
        <v>7153</v>
      </c>
      <c r="C4232" s="15" t="s">
        <v>150</v>
      </c>
      <c r="D4232" s="13" t="s">
        <v>134</v>
      </c>
      <c r="E4232" s="13" t="s">
        <v>7154</v>
      </c>
      <c r="F4232" s="43">
        <v>14.42</v>
      </c>
    </row>
    <row r="4233" spans="2:6" x14ac:dyDescent="0.25">
      <c r="B4233" s="13" t="s">
        <v>7155</v>
      </c>
      <c r="C4233" s="15" t="s">
        <v>150</v>
      </c>
      <c r="D4233" s="13" t="s">
        <v>134</v>
      </c>
      <c r="E4233" s="13" t="s">
        <v>7156</v>
      </c>
      <c r="F4233" s="43">
        <v>16.21</v>
      </c>
    </row>
    <row r="4234" spans="2:6" x14ac:dyDescent="0.25">
      <c r="B4234" s="13" t="s">
        <v>7157</v>
      </c>
      <c r="C4234" s="15" t="s">
        <v>150</v>
      </c>
      <c r="D4234" s="13" t="s">
        <v>134</v>
      </c>
      <c r="E4234" s="13" t="s">
        <v>7158</v>
      </c>
      <c r="F4234" s="43">
        <v>19.97</v>
      </c>
    </row>
    <row r="4235" spans="2:6" x14ac:dyDescent="0.25">
      <c r="B4235" s="13" t="s">
        <v>7159</v>
      </c>
      <c r="C4235" s="15" t="s">
        <v>150</v>
      </c>
      <c r="D4235" s="13" t="s">
        <v>134</v>
      </c>
      <c r="E4235" s="13" t="s">
        <v>7160</v>
      </c>
      <c r="F4235" s="43">
        <v>7.1</v>
      </c>
    </row>
    <row r="4236" spans="2:6" x14ac:dyDescent="0.25">
      <c r="B4236" s="13" t="s">
        <v>7161</v>
      </c>
      <c r="C4236" s="15" t="s">
        <v>150</v>
      </c>
      <c r="D4236" s="13" t="s">
        <v>134</v>
      </c>
      <c r="E4236" s="13" t="s">
        <v>7162</v>
      </c>
      <c r="F4236" s="43">
        <v>52.65</v>
      </c>
    </row>
    <row r="4237" spans="2:6" x14ac:dyDescent="0.25">
      <c r="B4237" s="13" t="s">
        <v>7163</v>
      </c>
      <c r="C4237" s="15" t="s">
        <v>150</v>
      </c>
      <c r="D4237" s="13" t="s">
        <v>134</v>
      </c>
      <c r="E4237" s="13" t="s">
        <v>7164</v>
      </c>
      <c r="F4237" s="43">
        <v>23.83</v>
      </c>
    </row>
    <row r="4238" spans="2:6" x14ac:dyDescent="0.25">
      <c r="B4238" s="13" t="s">
        <v>7165</v>
      </c>
      <c r="C4238" s="15" t="s">
        <v>150</v>
      </c>
      <c r="D4238" s="13" t="s">
        <v>134</v>
      </c>
      <c r="E4238" s="13" t="s">
        <v>7166</v>
      </c>
      <c r="F4238" s="43">
        <v>3.76</v>
      </c>
    </row>
    <row r="4239" spans="2:6" x14ac:dyDescent="0.25">
      <c r="B4239" s="13" t="s">
        <v>7167</v>
      </c>
      <c r="C4239" s="15" t="s">
        <v>150</v>
      </c>
      <c r="D4239" s="13" t="s">
        <v>134</v>
      </c>
      <c r="E4239" s="13" t="s">
        <v>7168</v>
      </c>
      <c r="F4239" s="43">
        <v>5.37</v>
      </c>
    </row>
    <row r="4240" spans="2:6" x14ac:dyDescent="0.25">
      <c r="B4240" s="13" t="s">
        <v>7169</v>
      </c>
      <c r="C4240" s="15" t="s">
        <v>150</v>
      </c>
      <c r="D4240" s="13" t="s">
        <v>134</v>
      </c>
      <c r="E4240" s="13" t="s">
        <v>7170</v>
      </c>
      <c r="F4240" s="43">
        <v>0</v>
      </c>
    </row>
    <row r="4241" spans="2:6" x14ac:dyDescent="0.25">
      <c r="B4241" s="13" t="s">
        <v>7171</v>
      </c>
      <c r="C4241" s="15" t="s">
        <v>150</v>
      </c>
      <c r="D4241" s="13" t="s">
        <v>134</v>
      </c>
      <c r="E4241" s="13" t="s">
        <v>7172</v>
      </c>
      <c r="F4241" s="43">
        <v>3.51</v>
      </c>
    </row>
    <row r="4242" spans="2:6" x14ac:dyDescent="0.25">
      <c r="B4242" s="13" t="s">
        <v>7173</v>
      </c>
      <c r="C4242" s="15" t="s">
        <v>150</v>
      </c>
      <c r="D4242" s="13" t="s">
        <v>134</v>
      </c>
      <c r="E4242" s="13" t="s">
        <v>7174</v>
      </c>
      <c r="F4242" s="43">
        <v>4.4800000000000004</v>
      </c>
    </row>
    <row r="4243" spans="2:6" x14ac:dyDescent="0.25">
      <c r="B4243" s="13" t="s">
        <v>7175</v>
      </c>
      <c r="C4243" s="15" t="s">
        <v>150</v>
      </c>
      <c r="D4243" s="13" t="s">
        <v>134</v>
      </c>
      <c r="E4243" s="13" t="s">
        <v>7176</v>
      </c>
      <c r="F4243" s="43">
        <v>2.25</v>
      </c>
    </row>
    <row r="4244" spans="2:6" x14ac:dyDescent="0.25">
      <c r="B4244" s="13" t="s">
        <v>7177</v>
      </c>
      <c r="C4244" s="15" t="s">
        <v>150</v>
      </c>
      <c r="D4244" s="13" t="s">
        <v>134</v>
      </c>
      <c r="E4244" s="13" t="s">
        <v>7178</v>
      </c>
      <c r="F4244" s="43">
        <v>5.32</v>
      </c>
    </row>
    <row r="4245" spans="2:6" x14ac:dyDescent="0.25">
      <c r="B4245" s="13" t="s">
        <v>7179</v>
      </c>
      <c r="C4245" s="15" t="s">
        <v>150</v>
      </c>
      <c r="D4245" s="13" t="s">
        <v>134</v>
      </c>
      <c r="E4245" s="13" t="s">
        <v>7180</v>
      </c>
      <c r="F4245" s="43">
        <v>0</v>
      </c>
    </row>
    <row r="4246" spans="2:6" x14ac:dyDescent="0.25">
      <c r="B4246" s="13" t="s">
        <v>7181</v>
      </c>
      <c r="C4246" s="15" t="s">
        <v>150</v>
      </c>
      <c r="D4246" s="13" t="s">
        <v>134</v>
      </c>
      <c r="E4246" s="13" t="s">
        <v>7182</v>
      </c>
      <c r="F4246" s="43">
        <v>5.32</v>
      </c>
    </row>
    <row r="4247" spans="2:6" x14ac:dyDescent="0.25">
      <c r="B4247" s="13" t="s">
        <v>7183</v>
      </c>
      <c r="C4247" s="15" t="s">
        <v>150</v>
      </c>
      <c r="D4247" s="13" t="s">
        <v>134</v>
      </c>
      <c r="E4247" s="13" t="s">
        <v>7184</v>
      </c>
      <c r="F4247" s="43">
        <v>5.81</v>
      </c>
    </row>
    <row r="4248" spans="2:6" x14ac:dyDescent="0.25">
      <c r="B4248" s="13" t="s">
        <v>7185</v>
      </c>
      <c r="C4248" s="15" t="s">
        <v>150</v>
      </c>
      <c r="D4248" s="13" t="s">
        <v>134</v>
      </c>
      <c r="E4248" s="13" t="s">
        <v>7186</v>
      </c>
      <c r="F4248" s="43">
        <v>25.04</v>
      </c>
    </row>
    <row r="4249" spans="2:6" x14ac:dyDescent="0.25">
      <c r="B4249" s="13" t="s">
        <v>7187</v>
      </c>
      <c r="C4249" s="15" t="s">
        <v>150</v>
      </c>
      <c r="D4249" s="13" t="s">
        <v>134</v>
      </c>
      <c r="E4249" s="13" t="s">
        <v>7188</v>
      </c>
      <c r="F4249" s="43">
        <v>0</v>
      </c>
    </row>
    <row r="4250" spans="2:6" x14ac:dyDescent="0.25">
      <c r="B4250" s="13" t="s">
        <v>7189</v>
      </c>
      <c r="C4250" s="15" t="s">
        <v>150</v>
      </c>
      <c r="D4250" s="13" t="s">
        <v>134</v>
      </c>
      <c r="E4250" s="13" t="s">
        <v>7190</v>
      </c>
      <c r="F4250" s="43">
        <v>23.83</v>
      </c>
    </row>
    <row r="4251" spans="2:6" x14ac:dyDescent="0.25">
      <c r="B4251" s="13" t="s">
        <v>7191</v>
      </c>
      <c r="C4251" s="15" t="s">
        <v>150</v>
      </c>
      <c r="D4251" s="13" t="s">
        <v>134</v>
      </c>
      <c r="E4251" s="13" t="s">
        <v>7192</v>
      </c>
      <c r="F4251" s="43">
        <v>0.68</v>
      </c>
    </row>
    <row r="4252" spans="2:6" x14ac:dyDescent="0.25">
      <c r="B4252" s="13" t="s">
        <v>7193</v>
      </c>
      <c r="C4252" s="15" t="s">
        <v>150</v>
      </c>
      <c r="D4252" s="13" t="s">
        <v>134</v>
      </c>
      <c r="E4252" s="13" t="s">
        <v>7194</v>
      </c>
      <c r="F4252" s="43">
        <v>0</v>
      </c>
    </row>
    <row r="4253" spans="2:6" x14ac:dyDescent="0.25">
      <c r="B4253" s="13" t="s">
        <v>7195</v>
      </c>
      <c r="C4253" s="15" t="s">
        <v>150</v>
      </c>
      <c r="D4253" s="13" t="s">
        <v>134</v>
      </c>
      <c r="E4253" s="13" t="s">
        <v>7196</v>
      </c>
      <c r="F4253" s="43">
        <v>7.09</v>
      </c>
    </row>
    <row r="4254" spans="2:6" x14ac:dyDescent="0.25">
      <c r="B4254" s="13" t="s">
        <v>7197</v>
      </c>
      <c r="C4254" s="15" t="s">
        <v>150</v>
      </c>
      <c r="D4254" s="13" t="s">
        <v>134</v>
      </c>
      <c r="E4254" s="13" t="s">
        <v>7198</v>
      </c>
      <c r="F4254" s="43">
        <v>2.92</v>
      </c>
    </row>
    <row r="4255" spans="2:6" x14ac:dyDescent="0.25">
      <c r="B4255" s="13" t="s">
        <v>7199</v>
      </c>
      <c r="C4255" s="15" t="s">
        <v>150</v>
      </c>
      <c r="D4255" s="13" t="s">
        <v>134</v>
      </c>
      <c r="E4255" s="13" t="s">
        <v>7200</v>
      </c>
      <c r="F4255" s="43">
        <v>13.54</v>
      </c>
    </row>
    <row r="4256" spans="2:6" x14ac:dyDescent="0.25">
      <c r="B4256" s="13" t="s">
        <v>7201</v>
      </c>
      <c r="C4256" s="15" t="s">
        <v>150</v>
      </c>
      <c r="D4256" s="13" t="s">
        <v>134</v>
      </c>
      <c r="E4256" s="13" t="s">
        <v>7202</v>
      </c>
      <c r="F4256" s="43">
        <v>28.51</v>
      </c>
    </row>
    <row r="4257" spans="2:6" x14ac:dyDescent="0.25">
      <c r="B4257" s="13" t="s">
        <v>7203</v>
      </c>
      <c r="C4257" s="15" t="s">
        <v>150</v>
      </c>
      <c r="D4257" s="13" t="s">
        <v>134</v>
      </c>
      <c r="E4257" s="13" t="s">
        <v>7204</v>
      </c>
      <c r="F4257" s="43">
        <v>14.96</v>
      </c>
    </row>
    <row r="4258" spans="2:6" x14ac:dyDescent="0.25">
      <c r="B4258" s="13" t="s">
        <v>7205</v>
      </c>
      <c r="C4258" s="15" t="s">
        <v>150</v>
      </c>
      <c r="D4258" s="13" t="s">
        <v>134</v>
      </c>
      <c r="E4258" s="13" t="s">
        <v>7206</v>
      </c>
      <c r="F4258" s="43">
        <v>33.5</v>
      </c>
    </row>
    <row r="4259" spans="2:6" x14ac:dyDescent="0.25">
      <c r="B4259" s="13" t="s">
        <v>7207</v>
      </c>
      <c r="C4259" s="15" t="s">
        <v>150</v>
      </c>
      <c r="D4259" s="13" t="s">
        <v>134</v>
      </c>
      <c r="E4259" s="13" t="s">
        <v>7208</v>
      </c>
      <c r="F4259" s="43">
        <v>6.8</v>
      </c>
    </row>
    <row r="4260" spans="2:6" x14ac:dyDescent="0.25">
      <c r="B4260" s="13" t="s">
        <v>7209</v>
      </c>
      <c r="C4260" s="15" t="s">
        <v>150</v>
      </c>
      <c r="D4260" s="13" t="s">
        <v>134</v>
      </c>
      <c r="E4260" s="13" t="s">
        <v>7210</v>
      </c>
      <c r="F4260" s="43">
        <v>0</v>
      </c>
    </row>
    <row r="4261" spans="2:6" x14ac:dyDescent="0.25">
      <c r="B4261" s="13" t="s">
        <v>7211</v>
      </c>
      <c r="C4261" s="15" t="s">
        <v>150</v>
      </c>
      <c r="D4261" s="13" t="s">
        <v>134</v>
      </c>
      <c r="E4261" s="13" t="s">
        <v>7212</v>
      </c>
      <c r="F4261" s="43">
        <v>4.8499999999999996</v>
      </c>
    </row>
    <row r="4262" spans="2:6" x14ac:dyDescent="0.25">
      <c r="B4262" s="13" t="s">
        <v>7213</v>
      </c>
      <c r="C4262" s="15" t="s">
        <v>150</v>
      </c>
      <c r="D4262" s="13" t="s">
        <v>134</v>
      </c>
      <c r="E4262" s="13" t="s">
        <v>7214</v>
      </c>
      <c r="F4262" s="43">
        <v>7.84</v>
      </c>
    </row>
    <row r="4263" spans="2:6" x14ac:dyDescent="0.25">
      <c r="B4263" s="13" t="s">
        <v>7215</v>
      </c>
      <c r="C4263" s="15" t="s">
        <v>150</v>
      </c>
      <c r="D4263" s="13" t="s">
        <v>134</v>
      </c>
      <c r="E4263" s="13" t="s">
        <v>7216</v>
      </c>
      <c r="F4263" s="43">
        <v>13.63</v>
      </c>
    </row>
    <row r="4264" spans="2:6" x14ac:dyDescent="0.25">
      <c r="B4264" s="13" t="s">
        <v>7217</v>
      </c>
      <c r="C4264" s="15" t="s">
        <v>150</v>
      </c>
      <c r="D4264" s="13" t="s">
        <v>134</v>
      </c>
      <c r="E4264" s="13" t="s">
        <v>7218</v>
      </c>
      <c r="F4264" s="43">
        <v>6.44</v>
      </c>
    </row>
    <row r="4265" spans="2:6" x14ac:dyDescent="0.25">
      <c r="B4265" s="13" t="s">
        <v>7219</v>
      </c>
      <c r="C4265" s="15" t="s">
        <v>150</v>
      </c>
      <c r="D4265" s="13" t="s">
        <v>134</v>
      </c>
      <c r="E4265" s="13" t="s">
        <v>7220</v>
      </c>
      <c r="F4265" s="43">
        <v>0</v>
      </c>
    </row>
    <row r="4266" spans="2:6" x14ac:dyDescent="0.25">
      <c r="B4266" s="13" t="s">
        <v>7221</v>
      </c>
      <c r="C4266" s="15" t="s">
        <v>150</v>
      </c>
      <c r="D4266" s="13" t="s">
        <v>134</v>
      </c>
      <c r="E4266" s="13" t="s">
        <v>7222</v>
      </c>
      <c r="F4266" s="43">
        <v>0</v>
      </c>
    </row>
    <row r="4267" spans="2:6" x14ac:dyDescent="0.25">
      <c r="B4267" s="13" t="s">
        <v>7223</v>
      </c>
      <c r="C4267" s="15" t="s">
        <v>150</v>
      </c>
      <c r="D4267" s="13" t="s">
        <v>134</v>
      </c>
      <c r="E4267" s="13" t="s">
        <v>7224</v>
      </c>
      <c r="F4267" s="43">
        <v>0</v>
      </c>
    </row>
    <row r="4268" spans="2:6" x14ac:dyDescent="0.25">
      <c r="B4268" s="13" t="s">
        <v>7225</v>
      </c>
      <c r="C4268" s="15" t="s">
        <v>150</v>
      </c>
      <c r="D4268" s="13" t="s">
        <v>134</v>
      </c>
      <c r="E4268" s="13" t="s">
        <v>7226</v>
      </c>
      <c r="F4268" s="43">
        <v>121.29</v>
      </c>
    </row>
    <row r="4269" spans="2:6" x14ac:dyDescent="0.25">
      <c r="B4269" s="13" t="s">
        <v>7227</v>
      </c>
      <c r="C4269" s="15" t="s">
        <v>150</v>
      </c>
      <c r="D4269" s="13" t="s">
        <v>134</v>
      </c>
      <c r="E4269" s="13" t="s">
        <v>7228</v>
      </c>
      <c r="F4269" s="43">
        <v>0</v>
      </c>
    </row>
    <row r="4270" spans="2:6" x14ac:dyDescent="0.25">
      <c r="B4270" s="13" t="s">
        <v>7229</v>
      </c>
      <c r="C4270" s="15" t="s">
        <v>150</v>
      </c>
      <c r="D4270" s="13" t="s">
        <v>134</v>
      </c>
      <c r="E4270" s="13" t="s">
        <v>7230</v>
      </c>
      <c r="F4270" s="43">
        <v>0</v>
      </c>
    </row>
    <row r="4271" spans="2:6" x14ac:dyDescent="0.25">
      <c r="B4271" s="13" t="s">
        <v>7231</v>
      </c>
      <c r="C4271" s="15" t="s">
        <v>150</v>
      </c>
      <c r="D4271" s="13" t="s">
        <v>134</v>
      </c>
      <c r="E4271" s="13" t="s">
        <v>7232</v>
      </c>
      <c r="F4271" s="43">
        <v>12.91</v>
      </c>
    </row>
    <row r="4272" spans="2:6" x14ac:dyDescent="0.25">
      <c r="B4272" s="13" t="s">
        <v>7233</v>
      </c>
      <c r="C4272" s="15" t="s">
        <v>150</v>
      </c>
      <c r="D4272" s="13" t="s">
        <v>134</v>
      </c>
      <c r="E4272" s="13" t="s">
        <v>7234</v>
      </c>
      <c r="F4272" s="43">
        <v>0</v>
      </c>
    </row>
    <row r="4273" spans="2:6" x14ac:dyDescent="0.25">
      <c r="B4273" s="13" t="s">
        <v>7235</v>
      </c>
      <c r="C4273" s="15" t="s">
        <v>150</v>
      </c>
      <c r="D4273" s="13" t="s">
        <v>134</v>
      </c>
      <c r="E4273" s="13" t="s">
        <v>7236</v>
      </c>
      <c r="F4273" s="43">
        <v>0</v>
      </c>
    </row>
    <row r="4274" spans="2:6" x14ac:dyDescent="0.25">
      <c r="B4274" s="13" t="s">
        <v>7237</v>
      </c>
      <c r="C4274" s="15" t="s">
        <v>150</v>
      </c>
      <c r="D4274" s="13" t="s">
        <v>134</v>
      </c>
      <c r="E4274" s="13" t="s">
        <v>7238</v>
      </c>
      <c r="F4274" s="43">
        <v>0</v>
      </c>
    </row>
    <row r="4275" spans="2:6" x14ac:dyDescent="0.25">
      <c r="B4275" s="13" t="s">
        <v>7239</v>
      </c>
      <c r="C4275" s="15" t="s">
        <v>150</v>
      </c>
      <c r="D4275" s="13" t="s">
        <v>134</v>
      </c>
      <c r="E4275" s="13" t="s">
        <v>7240</v>
      </c>
      <c r="F4275" s="43">
        <v>96.66</v>
      </c>
    </row>
    <row r="4276" spans="2:6" x14ac:dyDescent="0.25">
      <c r="B4276" s="13" t="s">
        <v>7241</v>
      </c>
      <c r="C4276" s="15" t="s">
        <v>150</v>
      </c>
      <c r="D4276" s="13" t="s">
        <v>134</v>
      </c>
      <c r="E4276" s="13" t="s">
        <v>7242</v>
      </c>
      <c r="F4276" s="43">
        <v>2.59</v>
      </c>
    </row>
    <row r="4277" spans="2:6" x14ac:dyDescent="0.25">
      <c r="B4277" s="13" t="s">
        <v>7243</v>
      </c>
      <c r="C4277" s="15" t="s">
        <v>150</v>
      </c>
      <c r="D4277" s="13" t="s">
        <v>134</v>
      </c>
      <c r="E4277" s="13" t="s">
        <v>7244</v>
      </c>
      <c r="F4277" s="43">
        <v>49.19</v>
      </c>
    </row>
    <row r="4278" spans="2:6" x14ac:dyDescent="0.25">
      <c r="B4278" s="13" t="s">
        <v>7245</v>
      </c>
      <c r="C4278" s="15" t="s">
        <v>150</v>
      </c>
      <c r="D4278" s="13" t="s">
        <v>134</v>
      </c>
      <c r="E4278" s="13" t="s">
        <v>7246</v>
      </c>
      <c r="F4278" s="43">
        <v>39.24</v>
      </c>
    </row>
    <row r="4279" spans="2:6" x14ac:dyDescent="0.25">
      <c r="B4279" s="13" t="s">
        <v>7247</v>
      </c>
      <c r="C4279" s="15" t="s">
        <v>150</v>
      </c>
      <c r="D4279" s="13" t="s">
        <v>134</v>
      </c>
      <c r="E4279" s="13" t="s">
        <v>7248</v>
      </c>
      <c r="F4279" s="43">
        <v>4.93</v>
      </c>
    </row>
    <row r="4280" spans="2:6" x14ac:dyDescent="0.25">
      <c r="B4280" s="13" t="s">
        <v>7249</v>
      </c>
      <c r="C4280" s="15" t="s">
        <v>150</v>
      </c>
      <c r="D4280" s="13" t="s">
        <v>134</v>
      </c>
      <c r="E4280" s="13" t="s">
        <v>7250</v>
      </c>
      <c r="F4280" s="43">
        <v>22.48</v>
      </c>
    </row>
    <row r="4281" spans="2:6" x14ac:dyDescent="0.25">
      <c r="B4281" s="13" t="s">
        <v>7251</v>
      </c>
      <c r="C4281" s="15" t="s">
        <v>150</v>
      </c>
      <c r="D4281" s="13" t="s">
        <v>134</v>
      </c>
      <c r="E4281" s="13" t="s">
        <v>7252</v>
      </c>
      <c r="F4281" s="43">
        <v>0</v>
      </c>
    </row>
    <row r="4282" spans="2:6" x14ac:dyDescent="0.25">
      <c r="B4282" s="13" t="s">
        <v>7253</v>
      </c>
      <c r="C4282" s="15" t="s">
        <v>150</v>
      </c>
      <c r="D4282" s="13" t="s">
        <v>134</v>
      </c>
      <c r="E4282" s="13" t="s">
        <v>7254</v>
      </c>
      <c r="F4282" s="43">
        <v>257.35000000000002</v>
      </c>
    </row>
    <row r="4283" spans="2:6" x14ac:dyDescent="0.25">
      <c r="B4283" s="13" t="s">
        <v>7255</v>
      </c>
      <c r="C4283" s="15" t="s">
        <v>150</v>
      </c>
      <c r="D4283" s="13" t="s">
        <v>134</v>
      </c>
      <c r="E4283" s="13" t="s">
        <v>7256</v>
      </c>
      <c r="F4283" s="43">
        <v>256.97000000000003</v>
      </c>
    </row>
    <row r="4284" spans="2:6" x14ac:dyDescent="0.25">
      <c r="B4284" s="13" t="s">
        <v>7257</v>
      </c>
      <c r="C4284" s="15" t="s">
        <v>150</v>
      </c>
      <c r="D4284" s="13" t="s">
        <v>134</v>
      </c>
      <c r="E4284" s="13" t="s">
        <v>7258</v>
      </c>
      <c r="F4284" s="43">
        <v>2.82</v>
      </c>
    </row>
    <row r="4285" spans="2:6" x14ac:dyDescent="0.25">
      <c r="B4285" s="13" t="s">
        <v>7259</v>
      </c>
      <c r="C4285" s="15" t="s">
        <v>150</v>
      </c>
      <c r="D4285" s="13" t="s">
        <v>134</v>
      </c>
      <c r="E4285" s="13" t="s">
        <v>7260</v>
      </c>
      <c r="F4285" s="43">
        <v>244.76</v>
      </c>
    </row>
    <row r="4286" spans="2:6" x14ac:dyDescent="0.25">
      <c r="B4286" s="13" t="s">
        <v>7261</v>
      </c>
      <c r="C4286" s="15" t="s">
        <v>150</v>
      </c>
      <c r="D4286" s="13" t="s">
        <v>134</v>
      </c>
      <c r="E4286" s="13" t="s">
        <v>7262</v>
      </c>
      <c r="F4286" s="43">
        <v>0.13</v>
      </c>
    </row>
    <row r="4287" spans="2:6" x14ac:dyDescent="0.25">
      <c r="B4287" s="13" t="s">
        <v>7263</v>
      </c>
      <c r="C4287" s="15" t="s">
        <v>150</v>
      </c>
      <c r="D4287" s="13" t="s">
        <v>134</v>
      </c>
      <c r="E4287" s="13" t="s">
        <v>7264</v>
      </c>
      <c r="F4287" s="43">
        <v>0.19</v>
      </c>
    </row>
    <row r="4288" spans="2:6" x14ac:dyDescent="0.25">
      <c r="B4288" s="13" t="s">
        <v>7265</v>
      </c>
      <c r="C4288" s="15" t="s">
        <v>150</v>
      </c>
      <c r="D4288" s="13" t="s">
        <v>134</v>
      </c>
      <c r="E4288" s="13" t="s">
        <v>7266</v>
      </c>
      <c r="F4288" s="43">
        <v>3.59</v>
      </c>
    </row>
    <row r="4289" spans="2:6" x14ac:dyDescent="0.25">
      <c r="B4289" s="13" t="s">
        <v>7267</v>
      </c>
      <c r="C4289" s="15" t="s">
        <v>150</v>
      </c>
      <c r="D4289" s="13" t="s">
        <v>134</v>
      </c>
      <c r="E4289" s="13" t="s">
        <v>7268</v>
      </c>
      <c r="F4289" s="43">
        <v>0.33</v>
      </c>
    </row>
    <row r="4290" spans="2:6" x14ac:dyDescent="0.25">
      <c r="B4290" s="13" t="s">
        <v>7269</v>
      </c>
      <c r="C4290" s="15" t="s">
        <v>150</v>
      </c>
      <c r="D4290" s="13" t="s">
        <v>134</v>
      </c>
      <c r="E4290" s="13" t="s">
        <v>7270</v>
      </c>
      <c r="F4290" s="43">
        <v>6.44</v>
      </c>
    </row>
    <row r="4291" spans="2:6" x14ac:dyDescent="0.25">
      <c r="B4291" s="13" t="s">
        <v>7271</v>
      </c>
      <c r="C4291" s="15" t="s">
        <v>150</v>
      </c>
      <c r="D4291" s="13" t="s">
        <v>134</v>
      </c>
      <c r="E4291" s="13" t="s">
        <v>7272</v>
      </c>
      <c r="F4291" s="43">
        <v>9.2799999999999994</v>
      </c>
    </row>
    <row r="4292" spans="2:6" x14ac:dyDescent="0.25">
      <c r="B4292" s="13" t="s">
        <v>7273</v>
      </c>
      <c r="C4292" s="15" t="s">
        <v>150</v>
      </c>
      <c r="D4292" s="13" t="s">
        <v>134</v>
      </c>
      <c r="E4292" s="13" t="s">
        <v>7274</v>
      </c>
      <c r="F4292" s="43">
        <v>16</v>
      </c>
    </row>
    <row r="4293" spans="2:6" x14ac:dyDescent="0.25">
      <c r="B4293" s="13" t="s">
        <v>7275</v>
      </c>
      <c r="C4293" s="15" t="s">
        <v>150</v>
      </c>
      <c r="D4293" s="13" t="s">
        <v>134</v>
      </c>
      <c r="E4293" s="13" t="s">
        <v>7276</v>
      </c>
      <c r="F4293" s="43">
        <v>21.31</v>
      </c>
    </row>
    <row r="4294" spans="2:6" x14ac:dyDescent="0.25">
      <c r="B4294" s="13" t="s">
        <v>7277</v>
      </c>
      <c r="C4294" s="15" t="s">
        <v>150</v>
      </c>
      <c r="D4294" s="13" t="s">
        <v>134</v>
      </c>
      <c r="E4294" s="13" t="s">
        <v>7278</v>
      </c>
      <c r="F4294" s="43">
        <v>32.07</v>
      </c>
    </row>
    <row r="4295" spans="2:6" x14ac:dyDescent="0.25">
      <c r="B4295" s="13" t="s">
        <v>7279</v>
      </c>
      <c r="C4295" s="15" t="s">
        <v>150</v>
      </c>
      <c r="D4295" s="13" t="s">
        <v>134</v>
      </c>
      <c r="E4295" s="13" t="s">
        <v>7280</v>
      </c>
      <c r="F4295" s="43">
        <v>1.97</v>
      </c>
    </row>
    <row r="4296" spans="2:6" x14ac:dyDescent="0.25">
      <c r="B4296" s="13" t="s">
        <v>7281</v>
      </c>
      <c r="C4296" s="15" t="s">
        <v>150</v>
      </c>
      <c r="D4296" s="13" t="s">
        <v>134</v>
      </c>
      <c r="E4296" s="13" t="s">
        <v>7282</v>
      </c>
      <c r="F4296" s="43">
        <v>1.52</v>
      </c>
    </row>
    <row r="4297" spans="2:6" x14ac:dyDescent="0.25">
      <c r="B4297" s="13" t="s">
        <v>7283</v>
      </c>
      <c r="C4297" s="15" t="s">
        <v>150</v>
      </c>
      <c r="D4297" s="13" t="s">
        <v>134</v>
      </c>
      <c r="E4297" s="13" t="s">
        <v>7284</v>
      </c>
      <c r="F4297" s="43">
        <v>1.99</v>
      </c>
    </row>
    <row r="4298" spans="2:6" x14ac:dyDescent="0.25">
      <c r="B4298" s="13" t="s">
        <v>7285</v>
      </c>
      <c r="C4298" s="15" t="s">
        <v>150</v>
      </c>
      <c r="D4298" s="13" t="s">
        <v>134</v>
      </c>
      <c r="E4298" s="13" t="s">
        <v>7286</v>
      </c>
      <c r="F4298" s="43">
        <v>0.13</v>
      </c>
    </row>
    <row r="4299" spans="2:6" x14ac:dyDescent="0.25">
      <c r="B4299" s="13" t="s">
        <v>7287</v>
      </c>
      <c r="C4299" s="15" t="s">
        <v>150</v>
      </c>
      <c r="D4299" s="13" t="s">
        <v>134</v>
      </c>
      <c r="E4299" s="13" t="s">
        <v>7288</v>
      </c>
      <c r="F4299" s="43">
        <v>0.18</v>
      </c>
    </row>
    <row r="4300" spans="2:6" x14ac:dyDescent="0.25">
      <c r="B4300" s="13" t="s">
        <v>7289</v>
      </c>
      <c r="C4300" s="15" t="s">
        <v>150</v>
      </c>
      <c r="D4300" s="13" t="s">
        <v>134</v>
      </c>
      <c r="E4300" s="13" t="s">
        <v>7290</v>
      </c>
      <c r="F4300" s="43">
        <v>0.28999999999999998</v>
      </c>
    </row>
    <row r="4301" spans="2:6" x14ac:dyDescent="0.25">
      <c r="B4301" s="13" t="s">
        <v>7291</v>
      </c>
      <c r="C4301" s="15" t="s">
        <v>150</v>
      </c>
      <c r="D4301" s="13" t="s">
        <v>134</v>
      </c>
      <c r="E4301" s="13" t="s">
        <v>7292</v>
      </c>
      <c r="F4301" s="43">
        <v>0.39</v>
      </c>
    </row>
    <row r="4302" spans="2:6" x14ac:dyDescent="0.25">
      <c r="B4302" s="13" t="s">
        <v>7293</v>
      </c>
      <c r="C4302" s="15" t="s">
        <v>150</v>
      </c>
      <c r="D4302" s="13" t="s">
        <v>134</v>
      </c>
      <c r="E4302" s="13" t="s">
        <v>7294</v>
      </c>
      <c r="F4302" s="43">
        <v>0.66</v>
      </c>
    </row>
    <row r="4303" spans="2:6" x14ac:dyDescent="0.25">
      <c r="B4303" s="13" t="s">
        <v>7295</v>
      </c>
      <c r="C4303" s="15" t="s">
        <v>150</v>
      </c>
      <c r="D4303" s="13" t="s">
        <v>134</v>
      </c>
      <c r="E4303" s="13" t="s">
        <v>7296</v>
      </c>
      <c r="F4303" s="43">
        <v>1.1000000000000001</v>
      </c>
    </row>
    <row r="4304" spans="2:6" x14ac:dyDescent="0.25">
      <c r="B4304" s="13" t="s">
        <v>7297</v>
      </c>
      <c r="C4304" s="15" t="s">
        <v>150</v>
      </c>
      <c r="D4304" s="13" t="s">
        <v>134</v>
      </c>
      <c r="E4304" s="13" t="s">
        <v>7298</v>
      </c>
      <c r="F4304" s="43">
        <v>0.73</v>
      </c>
    </row>
    <row r="4305" spans="2:6" x14ac:dyDescent="0.25">
      <c r="B4305" s="13" t="s">
        <v>7299</v>
      </c>
      <c r="C4305" s="15" t="s">
        <v>150</v>
      </c>
      <c r="D4305" s="13" t="s">
        <v>134</v>
      </c>
      <c r="E4305" s="13" t="s">
        <v>7300</v>
      </c>
      <c r="F4305" s="43">
        <v>0.15</v>
      </c>
    </row>
    <row r="4306" spans="2:6" x14ac:dyDescent="0.25">
      <c r="B4306" s="13" t="s">
        <v>7301</v>
      </c>
      <c r="C4306" s="15" t="s">
        <v>150</v>
      </c>
      <c r="D4306" s="13" t="s">
        <v>134</v>
      </c>
      <c r="E4306" s="13" t="s">
        <v>7302</v>
      </c>
      <c r="F4306" s="43">
        <v>0.21</v>
      </c>
    </row>
    <row r="4307" spans="2:6" x14ac:dyDescent="0.25">
      <c r="B4307" s="13" t="s">
        <v>7303</v>
      </c>
      <c r="C4307" s="15" t="s">
        <v>150</v>
      </c>
      <c r="D4307" s="13" t="s">
        <v>134</v>
      </c>
      <c r="E4307" s="13" t="s">
        <v>7304</v>
      </c>
      <c r="F4307" s="43">
        <v>0.51</v>
      </c>
    </row>
    <row r="4308" spans="2:6" x14ac:dyDescent="0.25">
      <c r="B4308" s="13" t="s">
        <v>7305</v>
      </c>
      <c r="C4308" s="15" t="s">
        <v>150</v>
      </c>
      <c r="D4308" s="13" t="s">
        <v>134</v>
      </c>
      <c r="E4308" s="13" t="s">
        <v>7306</v>
      </c>
      <c r="F4308" s="43">
        <v>0.1</v>
      </c>
    </row>
    <row r="4309" spans="2:6" x14ac:dyDescent="0.25">
      <c r="B4309" s="13">
        <v>15010104</v>
      </c>
      <c r="C4309" s="15" t="s">
        <v>138</v>
      </c>
      <c r="D4309" s="13" t="s">
        <v>7307</v>
      </c>
      <c r="E4309" s="13" t="s">
        <v>7308</v>
      </c>
      <c r="F4309" s="43">
        <v>106.6</v>
      </c>
    </row>
    <row r="4310" spans="2:6" x14ac:dyDescent="0.25">
      <c r="B4310" s="13">
        <v>15010106</v>
      </c>
      <c r="C4310" s="15" t="s">
        <v>138</v>
      </c>
      <c r="D4310" s="13" t="s">
        <v>7307</v>
      </c>
      <c r="E4310" s="13" t="s">
        <v>7309</v>
      </c>
      <c r="F4310" s="43">
        <v>136.24</v>
      </c>
    </row>
    <row r="4311" spans="2:6" x14ac:dyDescent="0.25">
      <c r="B4311" s="13" t="s">
        <v>7310</v>
      </c>
      <c r="C4311" s="15" t="s">
        <v>138</v>
      </c>
      <c r="D4311" s="13" t="s">
        <v>7307</v>
      </c>
      <c r="E4311" s="13" t="s">
        <v>7311</v>
      </c>
      <c r="F4311" s="43">
        <v>0.2</v>
      </c>
    </row>
    <row r="4312" spans="2:6" x14ac:dyDescent="0.25">
      <c r="B4312" s="13" t="s">
        <v>7312</v>
      </c>
      <c r="C4312" s="15" t="s">
        <v>138</v>
      </c>
      <c r="D4312" s="13" t="s">
        <v>7307</v>
      </c>
      <c r="E4312" s="13" t="s">
        <v>7313</v>
      </c>
      <c r="F4312" s="43">
        <v>111</v>
      </c>
    </row>
    <row r="4313" spans="2:6" x14ac:dyDescent="0.25">
      <c r="B4313" s="13" t="s">
        <v>7314</v>
      </c>
      <c r="C4313" s="15" t="s">
        <v>138</v>
      </c>
      <c r="D4313" s="13" t="s">
        <v>7307</v>
      </c>
      <c r="E4313" s="13" t="s">
        <v>7315</v>
      </c>
      <c r="F4313" s="43">
        <v>176.46</v>
      </c>
    </row>
    <row r="4314" spans="2:6" x14ac:dyDescent="0.25">
      <c r="B4314" s="13" t="s">
        <v>7316</v>
      </c>
      <c r="C4314" s="15" t="s">
        <v>138</v>
      </c>
      <c r="D4314" s="13" t="s">
        <v>7307</v>
      </c>
      <c r="E4314" s="13" t="s">
        <v>7317</v>
      </c>
      <c r="F4314" s="43">
        <v>398.09</v>
      </c>
    </row>
    <row r="4315" spans="2:6" x14ac:dyDescent="0.25">
      <c r="B4315" s="13" t="s">
        <v>7318</v>
      </c>
      <c r="C4315" s="15" t="s">
        <v>138</v>
      </c>
      <c r="D4315" s="13" t="s">
        <v>7307</v>
      </c>
      <c r="E4315" s="13" t="s">
        <v>7319</v>
      </c>
      <c r="F4315" s="43">
        <v>302.5</v>
      </c>
    </row>
    <row r="4316" spans="2:6" x14ac:dyDescent="0.25">
      <c r="B4316" s="13" t="s">
        <v>7320</v>
      </c>
      <c r="C4316" s="15" t="s">
        <v>138</v>
      </c>
      <c r="D4316" s="13" t="s">
        <v>7307</v>
      </c>
      <c r="E4316" s="13" t="s">
        <v>7321</v>
      </c>
      <c r="F4316" s="43">
        <v>477.95</v>
      </c>
    </row>
    <row r="4317" spans="2:6" x14ac:dyDescent="0.25">
      <c r="B4317" s="13" t="s">
        <v>7322</v>
      </c>
      <c r="C4317" s="15" t="s">
        <v>138</v>
      </c>
      <c r="D4317" s="13" t="s">
        <v>7307</v>
      </c>
      <c r="E4317" s="13" t="s">
        <v>7323</v>
      </c>
      <c r="F4317" s="43">
        <v>391.07</v>
      </c>
    </row>
    <row r="4318" spans="2:6" x14ac:dyDescent="0.25">
      <c r="B4318" s="13" t="s">
        <v>7324</v>
      </c>
      <c r="C4318" s="15" t="s">
        <v>138</v>
      </c>
      <c r="D4318" s="13" t="s">
        <v>7307</v>
      </c>
      <c r="E4318" s="13" t="s">
        <v>7325</v>
      </c>
      <c r="F4318" s="43">
        <v>456.98</v>
      </c>
    </row>
    <row r="4319" spans="2:6" x14ac:dyDescent="0.25">
      <c r="B4319" s="13" t="s">
        <v>7326</v>
      </c>
      <c r="C4319" s="15" t="s">
        <v>138</v>
      </c>
      <c r="D4319" s="13" t="s">
        <v>7307</v>
      </c>
      <c r="E4319" s="13" t="s">
        <v>7327</v>
      </c>
      <c r="F4319" s="43">
        <v>345</v>
      </c>
    </row>
    <row r="4320" spans="2:6" x14ac:dyDescent="0.25">
      <c r="B4320" s="13" t="s">
        <v>7328</v>
      </c>
      <c r="C4320" s="15" t="s">
        <v>138</v>
      </c>
      <c r="D4320" s="13" t="s">
        <v>7307</v>
      </c>
      <c r="E4320" s="13" t="s">
        <v>7329</v>
      </c>
      <c r="F4320" s="43">
        <v>522.72</v>
      </c>
    </row>
    <row r="4321" spans="2:6" x14ac:dyDescent="0.25">
      <c r="B4321" s="13" t="s">
        <v>7330</v>
      </c>
      <c r="C4321" s="15" t="s">
        <v>138</v>
      </c>
      <c r="D4321" s="13" t="s">
        <v>7307</v>
      </c>
      <c r="E4321" s="13" t="s">
        <v>7331</v>
      </c>
      <c r="F4321" s="43">
        <v>411.64</v>
      </c>
    </row>
    <row r="4322" spans="2:6" x14ac:dyDescent="0.25">
      <c r="B4322" s="13" t="s">
        <v>7332</v>
      </c>
      <c r="C4322" s="15" t="s">
        <v>138</v>
      </c>
      <c r="D4322" s="13" t="s">
        <v>7307</v>
      </c>
      <c r="E4322" s="13" t="s">
        <v>7333</v>
      </c>
      <c r="F4322" s="43">
        <v>130.41</v>
      </c>
    </row>
    <row r="4323" spans="2:6" x14ac:dyDescent="0.25">
      <c r="B4323" s="13" t="s">
        <v>7334</v>
      </c>
      <c r="C4323" s="15" t="s">
        <v>138</v>
      </c>
      <c r="D4323" s="13" t="s">
        <v>7307</v>
      </c>
      <c r="E4323" s="13" t="s">
        <v>7335</v>
      </c>
      <c r="F4323" s="43">
        <v>264.7</v>
      </c>
    </row>
    <row r="4324" spans="2:6" x14ac:dyDescent="0.25">
      <c r="B4324" s="13" t="s">
        <v>7336</v>
      </c>
      <c r="C4324" s="15" t="s">
        <v>138</v>
      </c>
      <c r="D4324" s="13" t="s">
        <v>7307</v>
      </c>
      <c r="E4324" s="13" t="s">
        <v>7337</v>
      </c>
      <c r="F4324" s="43">
        <v>79.459999999999994</v>
      </c>
    </row>
    <row r="4325" spans="2:6" x14ac:dyDescent="0.25">
      <c r="B4325" s="13" t="s">
        <v>7338</v>
      </c>
      <c r="C4325" s="15" t="s">
        <v>138</v>
      </c>
      <c r="D4325" s="13" t="s">
        <v>7307</v>
      </c>
      <c r="E4325" s="13" t="s">
        <v>7339</v>
      </c>
      <c r="F4325" s="43">
        <v>692.38</v>
      </c>
    </row>
    <row r="4326" spans="2:6" x14ac:dyDescent="0.25">
      <c r="B4326" s="13" t="s">
        <v>7340</v>
      </c>
      <c r="C4326" s="15" t="s">
        <v>138</v>
      </c>
      <c r="D4326" s="13" t="s">
        <v>7307</v>
      </c>
      <c r="E4326" s="13" t="s">
        <v>7341</v>
      </c>
      <c r="F4326" s="43">
        <v>0</v>
      </c>
    </row>
    <row r="4327" spans="2:6" x14ac:dyDescent="0.25">
      <c r="B4327" s="13" t="s">
        <v>7342</v>
      </c>
      <c r="C4327" s="15" t="s">
        <v>138</v>
      </c>
      <c r="D4327" s="13" t="s">
        <v>7307</v>
      </c>
      <c r="E4327" s="13" t="s">
        <v>7343</v>
      </c>
      <c r="F4327" s="43">
        <v>853.72</v>
      </c>
    </row>
    <row r="4328" spans="2:6" x14ac:dyDescent="0.25">
      <c r="B4328" s="13" t="s">
        <v>7344</v>
      </c>
      <c r="C4328" s="15" t="s">
        <v>138</v>
      </c>
      <c r="D4328" s="13" t="s">
        <v>7307</v>
      </c>
      <c r="E4328" s="13" t="s">
        <v>7345</v>
      </c>
      <c r="F4328" s="43">
        <v>75.62</v>
      </c>
    </row>
    <row r="4329" spans="2:6" x14ac:dyDescent="0.25">
      <c r="B4329" s="13" t="s">
        <v>7346</v>
      </c>
      <c r="C4329" s="15" t="s">
        <v>138</v>
      </c>
      <c r="D4329" s="13" t="s">
        <v>7307</v>
      </c>
      <c r="E4329" s="13" t="s">
        <v>7347</v>
      </c>
      <c r="F4329" s="43">
        <v>20.32</v>
      </c>
    </row>
    <row r="4330" spans="2:6" x14ac:dyDescent="0.25">
      <c r="B4330" s="13" t="s">
        <v>7348</v>
      </c>
      <c r="C4330" s="15" t="s">
        <v>138</v>
      </c>
      <c r="D4330" s="13" t="s">
        <v>7307</v>
      </c>
      <c r="E4330" s="13" t="s">
        <v>7349</v>
      </c>
      <c r="F4330" s="43">
        <v>124.09</v>
      </c>
    </row>
    <row r="4331" spans="2:6" x14ac:dyDescent="0.25">
      <c r="B4331" s="13" t="s">
        <v>7350</v>
      </c>
      <c r="C4331" s="15" t="s">
        <v>138</v>
      </c>
      <c r="D4331" s="13" t="s">
        <v>7307</v>
      </c>
      <c r="E4331" s="13" t="s">
        <v>7351</v>
      </c>
      <c r="F4331" s="43">
        <v>130.30000000000001</v>
      </c>
    </row>
    <row r="4332" spans="2:6" x14ac:dyDescent="0.25">
      <c r="B4332" s="13" t="s">
        <v>7352</v>
      </c>
      <c r="C4332" s="15" t="s">
        <v>138</v>
      </c>
      <c r="D4332" s="13" t="s">
        <v>7307</v>
      </c>
      <c r="E4332" s="13" t="s">
        <v>7353</v>
      </c>
      <c r="F4332" s="43">
        <v>130.30000000000001</v>
      </c>
    </row>
    <row r="4333" spans="2:6" x14ac:dyDescent="0.25">
      <c r="B4333" s="13" t="s">
        <v>7354</v>
      </c>
      <c r="C4333" s="15" t="s">
        <v>138</v>
      </c>
      <c r="D4333" s="13" t="s">
        <v>7307</v>
      </c>
      <c r="E4333" s="13" t="s">
        <v>7355</v>
      </c>
      <c r="F4333" s="43">
        <v>130.30000000000001</v>
      </c>
    </row>
    <row r="4334" spans="2:6" x14ac:dyDescent="0.25">
      <c r="B4334" s="13" t="s">
        <v>7356</v>
      </c>
      <c r="C4334" s="15" t="s">
        <v>138</v>
      </c>
      <c r="D4334" s="13" t="s">
        <v>7307</v>
      </c>
      <c r="E4334" s="13" t="s">
        <v>7357</v>
      </c>
      <c r="F4334" s="43">
        <v>24.64</v>
      </c>
    </row>
    <row r="4335" spans="2:6" x14ac:dyDescent="0.25">
      <c r="B4335" s="13" t="s">
        <v>7358</v>
      </c>
      <c r="C4335" s="15" t="s">
        <v>138</v>
      </c>
      <c r="D4335" s="13" t="s">
        <v>7307</v>
      </c>
      <c r="E4335" s="13" t="s">
        <v>7359</v>
      </c>
      <c r="F4335" s="43">
        <v>173.73</v>
      </c>
    </row>
    <row r="4336" spans="2:6" x14ac:dyDescent="0.25">
      <c r="B4336" s="13" t="s">
        <v>7360</v>
      </c>
      <c r="C4336" s="15" t="s">
        <v>138</v>
      </c>
      <c r="D4336" s="13" t="s">
        <v>7307</v>
      </c>
      <c r="E4336" s="13" t="s">
        <v>7361</v>
      </c>
      <c r="F4336" s="43">
        <v>173.73</v>
      </c>
    </row>
    <row r="4337" spans="2:6" x14ac:dyDescent="0.25">
      <c r="B4337" s="13" t="s">
        <v>7362</v>
      </c>
      <c r="C4337" s="15" t="s">
        <v>138</v>
      </c>
      <c r="D4337" s="13" t="s">
        <v>7307</v>
      </c>
      <c r="E4337" s="13" t="s">
        <v>7363</v>
      </c>
      <c r="F4337" s="43">
        <v>173.73</v>
      </c>
    </row>
    <row r="4338" spans="2:6" x14ac:dyDescent="0.25">
      <c r="B4338" s="13" t="s">
        <v>7364</v>
      </c>
      <c r="C4338" s="15" t="s">
        <v>138</v>
      </c>
      <c r="D4338" s="13" t="s">
        <v>7307</v>
      </c>
      <c r="E4338" s="13" t="s">
        <v>7365</v>
      </c>
      <c r="F4338" s="43">
        <v>71.62</v>
      </c>
    </row>
    <row r="4339" spans="2:6" x14ac:dyDescent="0.25">
      <c r="B4339" s="13" t="s">
        <v>7366</v>
      </c>
      <c r="C4339" s="15" t="s">
        <v>138</v>
      </c>
      <c r="D4339" s="13" t="s">
        <v>7307</v>
      </c>
      <c r="E4339" s="13" t="s">
        <v>7367</v>
      </c>
      <c r="F4339" s="43">
        <v>26.18</v>
      </c>
    </row>
    <row r="4340" spans="2:6" x14ac:dyDescent="0.25">
      <c r="B4340" s="13" t="s">
        <v>7368</v>
      </c>
      <c r="C4340" s="15" t="s">
        <v>138</v>
      </c>
      <c r="D4340" s="13" t="s">
        <v>7307</v>
      </c>
      <c r="E4340" s="13" t="s">
        <v>7369</v>
      </c>
      <c r="F4340" s="43">
        <v>26.18</v>
      </c>
    </row>
    <row r="4341" spans="2:6" x14ac:dyDescent="0.25">
      <c r="B4341" s="13" t="s">
        <v>7370</v>
      </c>
      <c r="C4341" s="15" t="s">
        <v>138</v>
      </c>
      <c r="D4341" s="13" t="s">
        <v>7307</v>
      </c>
      <c r="E4341" s="13" t="s">
        <v>7371</v>
      </c>
      <c r="F4341" s="43">
        <v>28.79</v>
      </c>
    </row>
    <row r="4342" spans="2:6" x14ac:dyDescent="0.25">
      <c r="B4342" s="13" t="s">
        <v>7372</v>
      </c>
      <c r="C4342" s="15" t="s">
        <v>138</v>
      </c>
      <c r="D4342" s="13" t="s">
        <v>7307</v>
      </c>
      <c r="E4342" s="13" t="s">
        <v>7373</v>
      </c>
      <c r="F4342" s="43">
        <v>17.05</v>
      </c>
    </row>
    <row r="4343" spans="2:6" x14ac:dyDescent="0.25">
      <c r="B4343" s="13" t="s">
        <v>7374</v>
      </c>
      <c r="C4343" s="15" t="s">
        <v>138</v>
      </c>
      <c r="D4343" s="13" t="s">
        <v>7307</v>
      </c>
      <c r="E4343" s="13" t="s">
        <v>7375</v>
      </c>
      <c r="F4343" s="43">
        <v>16.96</v>
      </c>
    </row>
    <row r="4344" spans="2:6" x14ac:dyDescent="0.25">
      <c r="B4344" s="13" t="s">
        <v>7376</v>
      </c>
      <c r="C4344" s="15" t="s">
        <v>138</v>
      </c>
      <c r="D4344" s="13" t="s">
        <v>7307</v>
      </c>
      <c r="E4344" s="13" t="s">
        <v>7377</v>
      </c>
      <c r="F4344" s="43">
        <v>18.149999999999999</v>
      </c>
    </row>
    <row r="4345" spans="2:6" x14ac:dyDescent="0.25">
      <c r="B4345" s="13" t="s">
        <v>7378</v>
      </c>
      <c r="C4345" s="15" t="s">
        <v>138</v>
      </c>
      <c r="D4345" s="13" t="s">
        <v>7307</v>
      </c>
      <c r="E4345" s="13" t="s">
        <v>7379</v>
      </c>
      <c r="F4345" s="43">
        <v>8.8800000000000008</v>
      </c>
    </row>
    <row r="4346" spans="2:6" x14ac:dyDescent="0.25">
      <c r="B4346" s="13" t="s">
        <v>7380</v>
      </c>
      <c r="C4346" s="15" t="s">
        <v>138</v>
      </c>
      <c r="D4346" s="13" t="s">
        <v>7307</v>
      </c>
      <c r="E4346" s="13" t="s">
        <v>7381</v>
      </c>
      <c r="F4346" s="43">
        <v>16.96</v>
      </c>
    </row>
    <row r="4347" spans="2:6" x14ac:dyDescent="0.25">
      <c r="B4347" s="13" t="s">
        <v>7382</v>
      </c>
      <c r="C4347" s="15" t="s">
        <v>138</v>
      </c>
      <c r="D4347" s="13" t="s">
        <v>7307</v>
      </c>
      <c r="E4347" s="13" t="s">
        <v>7383</v>
      </c>
      <c r="F4347" s="43">
        <v>42.22</v>
      </c>
    </row>
    <row r="4348" spans="2:6" x14ac:dyDescent="0.25">
      <c r="B4348" s="13" t="s">
        <v>7384</v>
      </c>
      <c r="C4348" s="15" t="s">
        <v>138</v>
      </c>
      <c r="D4348" s="13" t="s">
        <v>7307</v>
      </c>
      <c r="E4348" s="13" t="s">
        <v>7385</v>
      </c>
      <c r="F4348" s="43">
        <v>28.43</v>
      </c>
    </row>
    <row r="4349" spans="2:6" x14ac:dyDescent="0.25">
      <c r="B4349" s="13" t="s">
        <v>7386</v>
      </c>
      <c r="C4349" s="15" t="s">
        <v>138</v>
      </c>
      <c r="D4349" s="13" t="s">
        <v>7307</v>
      </c>
      <c r="E4349" s="13" t="s">
        <v>7387</v>
      </c>
      <c r="F4349" s="43">
        <v>46.45</v>
      </c>
    </row>
    <row r="4350" spans="2:6" x14ac:dyDescent="0.25">
      <c r="B4350" s="13" t="s">
        <v>7388</v>
      </c>
      <c r="C4350" s="15" t="s">
        <v>138</v>
      </c>
      <c r="D4350" s="13" t="s">
        <v>7307</v>
      </c>
      <c r="E4350" s="13" t="s">
        <v>7389</v>
      </c>
      <c r="F4350" s="43">
        <v>28.43</v>
      </c>
    </row>
    <row r="4351" spans="2:6" x14ac:dyDescent="0.25">
      <c r="B4351" s="13" t="s">
        <v>7390</v>
      </c>
      <c r="C4351" s="15" t="s">
        <v>138</v>
      </c>
      <c r="D4351" s="13" t="s">
        <v>7307</v>
      </c>
      <c r="E4351" s="13" t="s">
        <v>7391</v>
      </c>
      <c r="F4351" s="43">
        <v>71.989999999999995</v>
      </c>
    </row>
    <row r="4352" spans="2:6" x14ac:dyDescent="0.25">
      <c r="B4352" s="13" t="s">
        <v>7392</v>
      </c>
      <c r="C4352" s="15" t="s">
        <v>138</v>
      </c>
      <c r="D4352" s="13" t="s">
        <v>7307</v>
      </c>
      <c r="E4352" s="13" t="s">
        <v>7393</v>
      </c>
      <c r="F4352" s="43">
        <v>55.31</v>
      </c>
    </row>
    <row r="4353" spans="2:6" x14ac:dyDescent="0.25">
      <c r="B4353" s="13" t="s">
        <v>7394</v>
      </c>
      <c r="C4353" s="15" t="s">
        <v>138</v>
      </c>
      <c r="D4353" s="13" t="s">
        <v>7307</v>
      </c>
      <c r="E4353" s="13" t="s">
        <v>7395</v>
      </c>
      <c r="F4353" s="43">
        <v>209.88</v>
      </c>
    </row>
    <row r="4354" spans="2:6" x14ac:dyDescent="0.25">
      <c r="B4354" s="13" t="s">
        <v>7396</v>
      </c>
      <c r="C4354" s="15" t="s">
        <v>138</v>
      </c>
      <c r="D4354" s="13" t="s">
        <v>7307</v>
      </c>
      <c r="E4354" s="13" t="s">
        <v>7397</v>
      </c>
      <c r="F4354" s="43">
        <v>313.5</v>
      </c>
    </row>
    <row r="4355" spans="2:6" x14ac:dyDescent="0.25">
      <c r="B4355" s="13" t="s">
        <v>7398</v>
      </c>
      <c r="C4355" s="15" t="s">
        <v>138</v>
      </c>
      <c r="D4355" s="13" t="s">
        <v>7307</v>
      </c>
      <c r="E4355" s="13" t="s">
        <v>7399</v>
      </c>
      <c r="F4355" s="43">
        <v>404.8</v>
      </c>
    </row>
    <row r="4356" spans="2:6" x14ac:dyDescent="0.25">
      <c r="B4356" s="13" t="s">
        <v>7400</v>
      </c>
      <c r="C4356" s="15" t="s">
        <v>138</v>
      </c>
      <c r="D4356" s="13" t="s">
        <v>7307</v>
      </c>
      <c r="E4356" s="13" t="s">
        <v>7401</v>
      </c>
      <c r="F4356" s="43">
        <v>5.44</v>
      </c>
    </row>
    <row r="4357" spans="2:6" x14ac:dyDescent="0.25">
      <c r="B4357" s="13" t="s">
        <v>7402</v>
      </c>
      <c r="C4357" s="15" t="s">
        <v>138</v>
      </c>
      <c r="D4357" s="13" t="s">
        <v>7307</v>
      </c>
      <c r="E4357" s="13" t="s">
        <v>7403</v>
      </c>
      <c r="F4357" s="43">
        <v>10.39</v>
      </c>
    </row>
    <row r="4358" spans="2:6" x14ac:dyDescent="0.25">
      <c r="B4358" s="13" t="s">
        <v>7404</v>
      </c>
      <c r="C4358" s="15" t="s">
        <v>138</v>
      </c>
      <c r="D4358" s="13" t="s">
        <v>7307</v>
      </c>
      <c r="E4358" s="13" t="s">
        <v>7405</v>
      </c>
      <c r="F4358" s="43">
        <v>10.39</v>
      </c>
    </row>
    <row r="4359" spans="2:6" x14ac:dyDescent="0.25">
      <c r="B4359" s="13" t="s">
        <v>7406</v>
      </c>
      <c r="C4359" s="15" t="s">
        <v>138</v>
      </c>
      <c r="D4359" s="13" t="s">
        <v>7307</v>
      </c>
      <c r="E4359" s="13" t="s">
        <v>7407</v>
      </c>
      <c r="F4359" s="43">
        <v>10.39</v>
      </c>
    </row>
    <row r="4360" spans="2:6" x14ac:dyDescent="0.25">
      <c r="B4360" s="13" t="s">
        <v>7408</v>
      </c>
      <c r="C4360" s="15" t="s">
        <v>138</v>
      </c>
      <c r="D4360" s="13" t="s">
        <v>7307</v>
      </c>
      <c r="E4360" s="13" t="s">
        <v>7409</v>
      </c>
      <c r="F4360" s="43">
        <v>14.68</v>
      </c>
    </row>
    <row r="4361" spans="2:6" x14ac:dyDescent="0.25">
      <c r="B4361" s="13" t="s">
        <v>7410</v>
      </c>
      <c r="C4361" s="15" t="s">
        <v>138</v>
      </c>
      <c r="D4361" s="13" t="s">
        <v>7307</v>
      </c>
      <c r="E4361" s="13" t="s">
        <v>7411</v>
      </c>
      <c r="F4361" s="43">
        <v>14.68</v>
      </c>
    </row>
    <row r="4362" spans="2:6" x14ac:dyDescent="0.25">
      <c r="B4362" s="13" t="s">
        <v>7412</v>
      </c>
      <c r="C4362" s="15" t="s">
        <v>138</v>
      </c>
      <c r="D4362" s="13" t="s">
        <v>7307</v>
      </c>
      <c r="E4362" s="13" t="s">
        <v>7413</v>
      </c>
      <c r="F4362" s="43">
        <v>6.75</v>
      </c>
    </row>
    <row r="4363" spans="2:6" x14ac:dyDescent="0.25">
      <c r="B4363" s="13" t="s">
        <v>7414</v>
      </c>
      <c r="C4363" s="15" t="s">
        <v>138</v>
      </c>
      <c r="D4363" s="13" t="s">
        <v>7307</v>
      </c>
      <c r="E4363" s="13" t="s">
        <v>7415</v>
      </c>
      <c r="F4363" s="43">
        <v>17.41</v>
      </c>
    </row>
    <row r="4364" spans="2:6" x14ac:dyDescent="0.25">
      <c r="B4364" s="13" t="s">
        <v>7416</v>
      </c>
      <c r="C4364" s="15" t="s">
        <v>138</v>
      </c>
      <c r="D4364" s="13" t="s">
        <v>7307</v>
      </c>
      <c r="E4364" s="13" t="s">
        <v>7417</v>
      </c>
      <c r="F4364" s="43">
        <v>26.86</v>
      </c>
    </row>
    <row r="4365" spans="2:6" x14ac:dyDescent="0.25">
      <c r="B4365" s="13" t="s">
        <v>7418</v>
      </c>
      <c r="C4365" s="15" t="s">
        <v>138</v>
      </c>
      <c r="D4365" s="13" t="s">
        <v>7307</v>
      </c>
      <c r="E4365" s="13" t="s">
        <v>7419</v>
      </c>
      <c r="F4365" s="43">
        <v>49.5</v>
      </c>
    </row>
    <row r="4366" spans="2:6" x14ac:dyDescent="0.25">
      <c r="B4366" s="13" t="s">
        <v>7420</v>
      </c>
      <c r="C4366" s="15" t="s">
        <v>138</v>
      </c>
      <c r="D4366" s="13" t="s">
        <v>7307</v>
      </c>
      <c r="E4366" s="13" t="s">
        <v>7421</v>
      </c>
      <c r="F4366" s="43">
        <v>98.4</v>
      </c>
    </row>
    <row r="4367" spans="2:6" x14ac:dyDescent="0.25">
      <c r="B4367" s="13" t="s">
        <v>7422</v>
      </c>
      <c r="C4367" s="15" t="s">
        <v>138</v>
      </c>
      <c r="D4367" s="13" t="s">
        <v>7307</v>
      </c>
      <c r="E4367" s="13" t="s">
        <v>7423</v>
      </c>
      <c r="F4367" s="43">
        <v>93.17</v>
      </c>
    </row>
    <row r="4368" spans="2:6" x14ac:dyDescent="0.25">
      <c r="B4368" s="13" t="s">
        <v>7424</v>
      </c>
      <c r="C4368" s="15" t="s">
        <v>138</v>
      </c>
      <c r="D4368" s="13" t="s">
        <v>7307</v>
      </c>
      <c r="E4368" s="13" t="s">
        <v>7425</v>
      </c>
      <c r="F4368" s="43">
        <v>279.13</v>
      </c>
    </row>
    <row r="4369" spans="2:6" x14ac:dyDescent="0.25">
      <c r="B4369" s="13" t="s">
        <v>7426</v>
      </c>
      <c r="C4369" s="15" t="s">
        <v>138</v>
      </c>
      <c r="D4369" s="13" t="s">
        <v>7307</v>
      </c>
      <c r="E4369" s="13" t="s">
        <v>7427</v>
      </c>
      <c r="F4369" s="43">
        <v>1885.57</v>
      </c>
    </row>
    <row r="4370" spans="2:6" x14ac:dyDescent="0.25">
      <c r="B4370" s="13" t="s">
        <v>7428</v>
      </c>
      <c r="C4370" s="15" t="s">
        <v>138</v>
      </c>
      <c r="D4370" s="13" t="s">
        <v>7307</v>
      </c>
      <c r="E4370" s="13" t="s">
        <v>7429</v>
      </c>
      <c r="F4370" s="43">
        <v>1967.77</v>
      </c>
    </row>
    <row r="4371" spans="2:6" x14ac:dyDescent="0.25">
      <c r="B4371" s="13" t="s">
        <v>7430</v>
      </c>
      <c r="C4371" s="15" t="s">
        <v>138</v>
      </c>
      <c r="D4371" s="13" t="s">
        <v>7307</v>
      </c>
      <c r="E4371" s="13" t="s">
        <v>7431</v>
      </c>
      <c r="F4371" s="43">
        <v>9178.99</v>
      </c>
    </row>
    <row r="4372" spans="2:6" x14ac:dyDescent="0.25">
      <c r="B4372" s="13">
        <v>2672</v>
      </c>
      <c r="C4372" s="15" t="s">
        <v>141</v>
      </c>
      <c r="D4372" s="13" t="s">
        <v>7307</v>
      </c>
      <c r="E4372" s="13" t="s">
        <v>7432</v>
      </c>
      <c r="F4372" s="43">
        <v>11.19</v>
      </c>
    </row>
    <row r="4373" spans="2:6" x14ac:dyDescent="0.25">
      <c r="B4373" s="13">
        <v>2673</v>
      </c>
      <c r="C4373" s="15" t="s">
        <v>141</v>
      </c>
      <c r="D4373" s="13" t="s">
        <v>7307</v>
      </c>
      <c r="E4373" s="13" t="s">
        <v>7433</v>
      </c>
      <c r="F4373" s="43">
        <v>24.35</v>
      </c>
    </row>
    <row r="4374" spans="2:6" x14ac:dyDescent="0.25">
      <c r="B4374" s="13">
        <v>2674</v>
      </c>
      <c r="C4374" s="15" t="s">
        <v>141</v>
      </c>
      <c r="D4374" s="13" t="s">
        <v>7307</v>
      </c>
      <c r="E4374" s="13" t="s">
        <v>7434</v>
      </c>
      <c r="F4374" s="43">
        <v>60.29</v>
      </c>
    </row>
    <row r="4375" spans="2:6" x14ac:dyDescent="0.25">
      <c r="B4375" s="13">
        <v>2675</v>
      </c>
      <c r="C4375" s="15" t="s">
        <v>141</v>
      </c>
      <c r="D4375" s="13" t="s">
        <v>7307</v>
      </c>
      <c r="E4375" s="13" t="s">
        <v>7435</v>
      </c>
      <c r="F4375" s="43">
        <v>90.23</v>
      </c>
    </row>
    <row r="4376" spans="2:6" x14ac:dyDescent="0.25">
      <c r="B4376" s="13">
        <v>5138</v>
      </c>
      <c r="C4376" s="15" t="s">
        <v>141</v>
      </c>
      <c r="D4376" s="13" t="s">
        <v>7307</v>
      </c>
      <c r="E4376" s="13" t="s">
        <v>7436</v>
      </c>
      <c r="F4376" s="43">
        <v>1.84</v>
      </c>
    </row>
    <row r="4377" spans="2:6" x14ac:dyDescent="0.25">
      <c r="B4377" s="13">
        <v>5139</v>
      </c>
      <c r="C4377" s="15" t="s">
        <v>141</v>
      </c>
      <c r="D4377" s="13" t="s">
        <v>7307</v>
      </c>
      <c r="E4377" s="13" t="s">
        <v>7437</v>
      </c>
      <c r="F4377" s="43">
        <v>1.84</v>
      </c>
    </row>
    <row r="4378" spans="2:6" x14ac:dyDescent="0.25">
      <c r="B4378" s="13">
        <v>5140</v>
      </c>
      <c r="C4378" s="15" t="s">
        <v>141</v>
      </c>
      <c r="D4378" s="13" t="s">
        <v>7307</v>
      </c>
      <c r="E4378" s="13" t="s">
        <v>7438</v>
      </c>
      <c r="F4378" s="43">
        <v>1.84</v>
      </c>
    </row>
    <row r="4379" spans="2:6" x14ac:dyDescent="0.25">
      <c r="B4379" s="13">
        <v>5141</v>
      </c>
      <c r="C4379" s="15" t="s">
        <v>141</v>
      </c>
      <c r="D4379" s="13" t="s">
        <v>7307</v>
      </c>
      <c r="E4379" s="13" t="s">
        <v>7439</v>
      </c>
      <c r="F4379" s="43">
        <v>1.98</v>
      </c>
    </row>
    <row r="4380" spans="2:6" x14ac:dyDescent="0.25">
      <c r="B4380" s="13">
        <v>5142</v>
      </c>
      <c r="C4380" s="15" t="s">
        <v>141</v>
      </c>
      <c r="D4380" s="13" t="s">
        <v>7307</v>
      </c>
      <c r="E4380" s="13" t="s">
        <v>7440</v>
      </c>
      <c r="F4380" s="43">
        <v>1.98</v>
      </c>
    </row>
    <row r="4381" spans="2:6" x14ac:dyDescent="0.25">
      <c r="B4381" s="13">
        <v>5143</v>
      </c>
      <c r="C4381" s="15" t="s">
        <v>141</v>
      </c>
      <c r="D4381" s="13" t="s">
        <v>7307</v>
      </c>
      <c r="E4381" s="13" t="s">
        <v>7441</v>
      </c>
      <c r="F4381" s="43">
        <v>1.98</v>
      </c>
    </row>
    <row r="4382" spans="2:6" x14ac:dyDescent="0.25">
      <c r="B4382" s="13">
        <v>5145</v>
      </c>
      <c r="C4382" s="15" t="s">
        <v>141</v>
      </c>
      <c r="D4382" s="13" t="s">
        <v>7307</v>
      </c>
      <c r="E4382" s="13" t="s">
        <v>7442</v>
      </c>
      <c r="F4382" s="43">
        <v>2.79</v>
      </c>
    </row>
    <row r="4383" spans="2:6" x14ac:dyDescent="0.25">
      <c r="B4383" s="13">
        <v>5146</v>
      </c>
      <c r="C4383" s="15" t="s">
        <v>141</v>
      </c>
      <c r="D4383" s="13" t="s">
        <v>7307</v>
      </c>
      <c r="E4383" s="13" t="s">
        <v>7443</v>
      </c>
      <c r="F4383" s="43">
        <v>2.79</v>
      </c>
    </row>
    <row r="4384" spans="2:6" x14ac:dyDescent="0.25">
      <c r="B4384" s="13">
        <v>5148</v>
      </c>
      <c r="C4384" s="15" t="s">
        <v>141</v>
      </c>
      <c r="D4384" s="13" t="s">
        <v>7307</v>
      </c>
      <c r="E4384" s="13" t="s">
        <v>7444</v>
      </c>
      <c r="F4384" s="43">
        <v>4.67</v>
      </c>
    </row>
    <row r="4385" spans="2:6" x14ac:dyDescent="0.25">
      <c r="B4385" s="13">
        <v>5150</v>
      </c>
      <c r="C4385" s="15" t="s">
        <v>141</v>
      </c>
      <c r="D4385" s="13" t="s">
        <v>7307</v>
      </c>
      <c r="E4385" s="13" t="s">
        <v>7445</v>
      </c>
      <c r="F4385" s="43">
        <v>4.67</v>
      </c>
    </row>
    <row r="4386" spans="2:6" x14ac:dyDescent="0.25">
      <c r="B4386" s="13">
        <v>5151</v>
      </c>
      <c r="C4386" s="15" t="s">
        <v>141</v>
      </c>
      <c r="D4386" s="13" t="s">
        <v>7307</v>
      </c>
      <c r="E4386" s="13" t="s">
        <v>7446</v>
      </c>
      <c r="F4386" s="43">
        <v>4.67</v>
      </c>
    </row>
    <row r="4387" spans="2:6" x14ac:dyDescent="0.25">
      <c r="B4387" s="13">
        <v>5152</v>
      </c>
      <c r="C4387" s="15" t="s">
        <v>141</v>
      </c>
      <c r="D4387" s="13" t="s">
        <v>7307</v>
      </c>
      <c r="E4387" s="13" t="s">
        <v>7447</v>
      </c>
      <c r="F4387" s="43">
        <v>5.17</v>
      </c>
    </row>
    <row r="4388" spans="2:6" x14ac:dyDescent="0.25">
      <c r="B4388" s="13">
        <v>5154</v>
      </c>
      <c r="C4388" s="15" t="s">
        <v>141</v>
      </c>
      <c r="D4388" s="13" t="s">
        <v>7307</v>
      </c>
      <c r="E4388" s="13" t="s">
        <v>7448</v>
      </c>
      <c r="F4388" s="43">
        <v>5.68</v>
      </c>
    </row>
    <row r="4389" spans="2:6" x14ac:dyDescent="0.25">
      <c r="B4389" s="13">
        <v>5287</v>
      </c>
      <c r="C4389" s="15" t="s">
        <v>141</v>
      </c>
      <c r="D4389" s="13" t="s">
        <v>7307</v>
      </c>
      <c r="E4389" s="13" t="s">
        <v>7449</v>
      </c>
      <c r="F4389" s="43">
        <v>1.25</v>
      </c>
    </row>
    <row r="4390" spans="2:6" x14ac:dyDescent="0.25">
      <c r="B4390" s="13">
        <v>5288</v>
      </c>
      <c r="C4390" s="15" t="s">
        <v>141</v>
      </c>
      <c r="D4390" s="13" t="s">
        <v>7307</v>
      </c>
      <c r="E4390" s="13" t="s">
        <v>7450</v>
      </c>
      <c r="F4390" s="43">
        <v>1.73</v>
      </c>
    </row>
    <row r="4391" spans="2:6" x14ac:dyDescent="0.25">
      <c r="B4391" s="13">
        <v>5289</v>
      </c>
      <c r="C4391" s="15" t="s">
        <v>141</v>
      </c>
      <c r="D4391" s="13" t="s">
        <v>7307</v>
      </c>
      <c r="E4391" s="13" t="s">
        <v>7451</v>
      </c>
      <c r="F4391" s="43">
        <v>1.73</v>
      </c>
    </row>
    <row r="4392" spans="2:6" x14ac:dyDescent="0.25">
      <c r="B4392" s="13">
        <v>5438</v>
      </c>
      <c r="C4392" s="15" t="s">
        <v>141</v>
      </c>
      <c r="D4392" s="13" t="s">
        <v>7307</v>
      </c>
      <c r="E4392" s="13" t="s">
        <v>7452</v>
      </c>
      <c r="F4392" s="43">
        <v>4.67</v>
      </c>
    </row>
    <row r="4393" spans="2:6" x14ac:dyDescent="0.25">
      <c r="B4393" s="13">
        <v>5439</v>
      </c>
      <c r="C4393" s="15" t="s">
        <v>141</v>
      </c>
      <c r="D4393" s="13" t="s">
        <v>7307</v>
      </c>
      <c r="E4393" s="13" t="s">
        <v>7453</v>
      </c>
      <c r="F4393" s="43">
        <v>4.67</v>
      </c>
    </row>
    <row r="4394" spans="2:6" x14ac:dyDescent="0.25">
      <c r="B4394" s="13">
        <v>5440</v>
      </c>
      <c r="C4394" s="15" t="s">
        <v>141</v>
      </c>
      <c r="D4394" s="13" t="s">
        <v>7307</v>
      </c>
      <c r="E4394" s="13" t="s">
        <v>7454</v>
      </c>
      <c r="F4394" s="43">
        <v>5.68</v>
      </c>
    </row>
    <row r="4395" spans="2:6" x14ac:dyDescent="0.25">
      <c r="B4395" s="13">
        <v>5441</v>
      </c>
      <c r="C4395" s="15" t="s">
        <v>141</v>
      </c>
      <c r="D4395" s="13" t="s">
        <v>7307</v>
      </c>
      <c r="E4395" s="13" t="s">
        <v>7455</v>
      </c>
      <c r="F4395" s="43">
        <v>3.06</v>
      </c>
    </row>
    <row r="4396" spans="2:6" x14ac:dyDescent="0.25">
      <c r="B4396" s="13">
        <v>6011</v>
      </c>
      <c r="C4396" s="15" t="s">
        <v>141</v>
      </c>
      <c r="D4396" s="13" t="s">
        <v>7307</v>
      </c>
      <c r="E4396" s="13" t="s">
        <v>7456</v>
      </c>
      <c r="F4396" s="43">
        <v>5.68</v>
      </c>
    </row>
    <row r="4397" spans="2:6" x14ac:dyDescent="0.25">
      <c r="B4397" s="13">
        <v>6013</v>
      </c>
      <c r="C4397" s="15" t="s">
        <v>141</v>
      </c>
      <c r="D4397" s="13" t="s">
        <v>7307</v>
      </c>
      <c r="E4397" s="13" t="s">
        <v>7457</v>
      </c>
      <c r="F4397" s="43">
        <v>6.17</v>
      </c>
    </row>
    <row r="4398" spans="2:6" x14ac:dyDescent="0.25">
      <c r="B4398" s="13">
        <v>6015</v>
      </c>
      <c r="C4398" s="15" t="s">
        <v>141</v>
      </c>
      <c r="D4398" s="13" t="s">
        <v>7307</v>
      </c>
      <c r="E4398" s="13" t="s">
        <v>7458</v>
      </c>
      <c r="F4398" s="43">
        <v>6.78</v>
      </c>
    </row>
    <row r="4399" spans="2:6" x14ac:dyDescent="0.25">
      <c r="B4399" s="13">
        <v>6016</v>
      </c>
      <c r="C4399" s="15" t="s">
        <v>141</v>
      </c>
      <c r="D4399" s="13" t="s">
        <v>7307</v>
      </c>
      <c r="E4399" s="13" t="s">
        <v>7459</v>
      </c>
      <c r="F4399" s="43">
        <v>6.17</v>
      </c>
    </row>
    <row r="4400" spans="2:6" x14ac:dyDescent="0.25">
      <c r="B4400" s="13">
        <v>6018</v>
      </c>
      <c r="C4400" s="15" t="s">
        <v>141</v>
      </c>
      <c r="D4400" s="13" t="s">
        <v>7307</v>
      </c>
      <c r="E4400" s="13" t="s">
        <v>7460</v>
      </c>
      <c r="F4400" s="43">
        <v>13.48</v>
      </c>
    </row>
    <row r="4401" spans="2:6" x14ac:dyDescent="0.25">
      <c r="B4401" s="13">
        <v>6020</v>
      </c>
      <c r="C4401" s="15" t="s">
        <v>141</v>
      </c>
      <c r="D4401" s="13" t="s">
        <v>7307</v>
      </c>
      <c r="E4401" s="13" t="s">
        <v>7461</v>
      </c>
      <c r="F4401" s="43">
        <v>13.7</v>
      </c>
    </row>
    <row r="4402" spans="2:6" x14ac:dyDescent="0.25">
      <c r="B4402" s="13">
        <v>6021</v>
      </c>
      <c r="C4402" s="15" t="s">
        <v>141</v>
      </c>
      <c r="D4402" s="13" t="s">
        <v>7307</v>
      </c>
      <c r="E4402" s="13" t="s">
        <v>7462</v>
      </c>
      <c r="F4402" s="43">
        <v>13.7</v>
      </c>
    </row>
    <row r="4403" spans="2:6" x14ac:dyDescent="0.25">
      <c r="B4403" s="13">
        <v>6026</v>
      </c>
      <c r="C4403" s="15" t="s">
        <v>141</v>
      </c>
      <c r="D4403" s="13" t="s">
        <v>7307</v>
      </c>
      <c r="E4403" s="13" t="s">
        <v>7463</v>
      </c>
      <c r="F4403" s="43">
        <v>11.81</v>
      </c>
    </row>
    <row r="4404" spans="2:6" x14ac:dyDescent="0.25">
      <c r="B4404" s="13">
        <v>6031</v>
      </c>
      <c r="C4404" s="15" t="s">
        <v>141</v>
      </c>
      <c r="D4404" s="13" t="s">
        <v>7307</v>
      </c>
      <c r="E4404" s="13" t="s">
        <v>7464</v>
      </c>
      <c r="F4404" s="43">
        <v>12.61</v>
      </c>
    </row>
    <row r="4405" spans="2:6" x14ac:dyDescent="0.25">
      <c r="B4405" s="13">
        <v>6052</v>
      </c>
      <c r="C4405" s="15" t="s">
        <v>141</v>
      </c>
      <c r="D4405" s="13" t="s">
        <v>7307</v>
      </c>
      <c r="E4405" s="13" t="s">
        <v>7465</v>
      </c>
      <c r="F4405" s="43">
        <v>1.25</v>
      </c>
    </row>
    <row r="4406" spans="2:6" x14ac:dyDescent="0.25">
      <c r="B4406" s="13">
        <v>6100</v>
      </c>
      <c r="C4406" s="15" t="s">
        <v>141</v>
      </c>
      <c r="D4406" s="13" t="s">
        <v>7307</v>
      </c>
      <c r="E4406" s="13" t="s">
        <v>7466</v>
      </c>
      <c r="F4406" s="43">
        <v>0</v>
      </c>
    </row>
    <row r="4407" spans="2:6" x14ac:dyDescent="0.25">
      <c r="B4407" s="13">
        <v>11446</v>
      </c>
      <c r="C4407" s="15" t="s">
        <v>141</v>
      </c>
      <c r="D4407" s="13" t="s">
        <v>7307</v>
      </c>
      <c r="E4407" s="13" t="s">
        <v>7467</v>
      </c>
      <c r="F4407" s="43">
        <v>3.84</v>
      </c>
    </row>
    <row r="4408" spans="2:6" x14ac:dyDescent="0.25">
      <c r="B4408" s="13">
        <v>18785</v>
      </c>
      <c r="C4408" s="15" t="s">
        <v>141</v>
      </c>
      <c r="D4408" s="13" t="s">
        <v>7307</v>
      </c>
      <c r="E4408" s="13" t="s">
        <v>7468</v>
      </c>
      <c r="F4408" s="43">
        <v>18.329999999999998</v>
      </c>
    </row>
    <row r="4409" spans="2:6" x14ac:dyDescent="0.25">
      <c r="B4409" s="13">
        <v>18786</v>
      </c>
      <c r="C4409" s="15" t="s">
        <v>141</v>
      </c>
      <c r="D4409" s="13" t="s">
        <v>7307</v>
      </c>
      <c r="E4409" s="13" t="s">
        <v>7469</v>
      </c>
      <c r="F4409" s="43">
        <v>18.329999999999998</v>
      </c>
    </row>
    <row r="4410" spans="2:6" x14ac:dyDescent="0.25">
      <c r="B4410" s="13">
        <v>18787</v>
      </c>
      <c r="C4410" s="15" t="s">
        <v>141</v>
      </c>
      <c r="D4410" s="13" t="s">
        <v>7307</v>
      </c>
      <c r="E4410" s="13" t="s">
        <v>7470</v>
      </c>
      <c r="F4410" s="43">
        <v>18.329999999999998</v>
      </c>
    </row>
    <row r="4411" spans="2:6" x14ac:dyDescent="0.25">
      <c r="B4411" s="13">
        <v>18788</v>
      </c>
      <c r="C4411" s="15" t="s">
        <v>141</v>
      </c>
      <c r="D4411" s="13" t="s">
        <v>7307</v>
      </c>
      <c r="E4411" s="13" t="s">
        <v>7471</v>
      </c>
      <c r="F4411" s="43">
        <v>18.329999999999998</v>
      </c>
    </row>
    <row r="4412" spans="2:6" x14ac:dyDescent="0.25">
      <c r="B4412" s="13">
        <v>18789</v>
      </c>
      <c r="C4412" s="15" t="s">
        <v>141</v>
      </c>
      <c r="D4412" s="13" t="s">
        <v>7307</v>
      </c>
      <c r="E4412" s="13" t="s">
        <v>7472</v>
      </c>
      <c r="F4412" s="43">
        <v>25</v>
      </c>
    </row>
    <row r="4413" spans="2:6" x14ac:dyDescent="0.25">
      <c r="B4413" s="13">
        <v>18790</v>
      </c>
      <c r="C4413" s="15" t="s">
        <v>141</v>
      </c>
      <c r="D4413" s="13" t="s">
        <v>7307</v>
      </c>
      <c r="E4413" s="13" t="s">
        <v>7473</v>
      </c>
      <c r="F4413" s="43">
        <v>27.5</v>
      </c>
    </row>
    <row r="4414" spans="2:6" x14ac:dyDescent="0.25">
      <c r="B4414" s="13">
        <v>18791</v>
      </c>
      <c r="C4414" s="15" t="s">
        <v>141</v>
      </c>
      <c r="D4414" s="13" t="s">
        <v>7307</v>
      </c>
      <c r="E4414" s="13" t="s">
        <v>7474</v>
      </c>
      <c r="F4414" s="43">
        <v>25</v>
      </c>
    </row>
    <row r="4415" spans="2:6" x14ac:dyDescent="0.25">
      <c r="B4415" s="13">
        <v>18792</v>
      </c>
      <c r="C4415" s="15" t="s">
        <v>141</v>
      </c>
      <c r="D4415" s="13" t="s">
        <v>7307</v>
      </c>
      <c r="E4415" s="13" t="s">
        <v>7475</v>
      </c>
      <c r="F4415" s="43">
        <v>25</v>
      </c>
    </row>
    <row r="4416" spans="2:6" x14ac:dyDescent="0.25">
      <c r="B4416" s="13">
        <v>18795</v>
      </c>
      <c r="C4416" s="15" t="s">
        <v>141</v>
      </c>
      <c r="D4416" s="13" t="s">
        <v>7307</v>
      </c>
      <c r="E4416" s="13" t="s">
        <v>7476</v>
      </c>
      <c r="F4416" s="43">
        <v>85</v>
      </c>
    </row>
    <row r="4417" spans="2:6" x14ac:dyDescent="0.25">
      <c r="B4417" s="13">
        <v>18796</v>
      </c>
      <c r="C4417" s="15" t="s">
        <v>141</v>
      </c>
      <c r="D4417" s="13" t="s">
        <v>7307</v>
      </c>
      <c r="E4417" s="13" t="s">
        <v>7477</v>
      </c>
      <c r="F4417" s="43">
        <v>85</v>
      </c>
    </row>
    <row r="4418" spans="2:6" x14ac:dyDescent="0.25">
      <c r="B4418" s="13">
        <v>18797</v>
      </c>
      <c r="C4418" s="15" t="s">
        <v>141</v>
      </c>
      <c r="D4418" s="13" t="s">
        <v>7307</v>
      </c>
      <c r="E4418" s="13" t="s">
        <v>7478</v>
      </c>
      <c r="F4418" s="43">
        <v>54</v>
      </c>
    </row>
    <row r="4419" spans="2:6" x14ac:dyDescent="0.25">
      <c r="B4419" s="13">
        <v>18800</v>
      </c>
      <c r="C4419" s="15" t="s">
        <v>141</v>
      </c>
      <c r="D4419" s="13" t="s">
        <v>7307</v>
      </c>
      <c r="E4419" s="13" t="s">
        <v>7479</v>
      </c>
      <c r="F4419" s="43">
        <v>96.66</v>
      </c>
    </row>
    <row r="4420" spans="2:6" x14ac:dyDescent="0.25">
      <c r="B4420" s="13">
        <v>18801</v>
      </c>
      <c r="C4420" s="15" t="s">
        <v>141</v>
      </c>
      <c r="D4420" s="13" t="s">
        <v>7307</v>
      </c>
      <c r="E4420" s="13" t="s">
        <v>7480</v>
      </c>
      <c r="F4420" s="43">
        <v>96.66</v>
      </c>
    </row>
    <row r="4421" spans="2:6" x14ac:dyDescent="0.25">
      <c r="B4421" s="13">
        <v>18802</v>
      </c>
      <c r="C4421" s="15" t="s">
        <v>141</v>
      </c>
      <c r="D4421" s="13" t="s">
        <v>7307</v>
      </c>
      <c r="E4421" s="13" t="s">
        <v>7481</v>
      </c>
      <c r="F4421" s="43">
        <v>96.66</v>
      </c>
    </row>
    <row r="4422" spans="2:6" x14ac:dyDescent="0.25">
      <c r="B4422" s="13">
        <v>18805</v>
      </c>
      <c r="C4422" s="15" t="s">
        <v>141</v>
      </c>
      <c r="D4422" s="13" t="s">
        <v>7307</v>
      </c>
      <c r="E4422" s="13" t="s">
        <v>7482</v>
      </c>
      <c r="F4422" s="43">
        <v>114.99</v>
      </c>
    </row>
    <row r="4423" spans="2:6" x14ac:dyDescent="0.25">
      <c r="B4423" s="13">
        <v>18806</v>
      </c>
      <c r="C4423" s="15" t="s">
        <v>141</v>
      </c>
      <c r="D4423" s="13" t="s">
        <v>7307</v>
      </c>
      <c r="E4423" s="13" t="s">
        <v>7483</v>
      </c>
      <c r="F4423" s="43">
        <v>114.99</v>
      </c>
    </row>
    <row r="4424" spans="2:6" x14ac:dyDescent="0.25">
      <c r="B4424" s="13">
        <v>18807</v>
      </c>
      <c r="C4424" s="15" t="s">
        <v>141</v>
      </c>
      <c r="D4424" s="13" t="s">
        <v>7307</v>
      </c>
      <c r="E4424" s="13" t="s">
        <v>7484</v>
      </c>
      <c r="F4424" s="43">
        <v>114.99</v>
      </c>
    </row>
    <row r="4425" spans="2:6" x14ac:dyDescent="0.25">
      <c r="B4425" s="13">
        <v>18810</v>
      </c>
      <c r="C4425" s="15" t="s">
        <v>141</v>
      </c>
      <c r="D4425" s="13" t="s">
        <v>7307</v>
      </c>
      <c r="E4425" s="13" t="s">
        <v>7485</v>
      </c>
      <c r="F4425" s="43">
        <v>144.83000000000001</v>
      </c>
    </row>
    <row r="4426" spans="2:6" x14ac:dyDescent="0.25">
      <c r="B4426" s="13">
        <v>18811</v>
      </c>
      <c r="C4426" s="15" t="s">
        <v>141</v>
      </c>
      <c r="D4426" s="13" t="s">
        <v>7307</v>
      </c>
      <c r="E4426" s="13" t="s">
        <v>7486</v>
      </c>
      <c r="F4426" s="43">
        <v>115.5</v>
      </c>
    </row>
    <row r="4427" spans="2:6" x14ac:dyDescent="0.25">
      <c r="B4427" s="13">
        <v>18812</v>
      </c>
      <c r="C4427" s="15" t="s">
        <v>141</v>
      </c>
      <c r="D4427" s="13" t="s">
        <v>7307</v>
      </c>
      <c r="E4427" s="13" t="s">
        <v>7487</v>
      </c>
      <c r="F4427" s="43">
        <v>144.83000000000001</v>
      </c>
    </row>
    <row r="4428" spans="2:6" x14ac:dyDescent="0.25">
      <c r="B4428" s="13">
        <v>20596</v>
      </c>
      <c r="C4428" s="15" t="s">
        <v>141</v>
      </c>
      <c r="D4428" s="13" t="s">
        <v>7307</v>
      </c>
      <c r="E4428" s="13" t="s">
        <v>7488</v>
      </c>
      <c r="F4428" s="43">
        <v>1.73</v>
      </c>
    </row>
    <row r="4429" spans="2:6" x14ac:dyDescent="0.25">
      <c r="B4429" s="13">
        <v>28670</v>
      </c>
      <c r="C4429" s="15" t="s">
        <v>141</v>
      </c>
      <c r="D4429" s="13" t="s">
        <v>7307</v>
      </c>
      <c r="E4429" s="13" t="s">
        <v>7489</v>
      </c>
      <c r="F4429" s="43">
        <v>0.28999999999999998</v>
      </c>
    </row>
    <row r="4430" spans="2:6" x14ac:dyDescent="0.25">
      <c r="B4430" s="13">
        <v>28675</v>
      </c>
      <c r="C4430" s="15" t="s">
        <v>141</v>
      </c>
      <c r="D4430" s="13" t="s">
        <v>7307</v>
      </c>
      <c r="E4430" s="13" t="s">
        <v>7490</v>
      </c>
      <c r="F4430" s="43">
        <v>2.79</v>
      </c>
    </row>
    <row r="4431" spans="2:6" x14ac:dyDescent="0.25">
      <c r="B4431" s="13">
        <v>33000</v>
      </c>
      <c r="C4431" s="15" t="s">
        <v>141</v>
      </c>
      <c r="D4431" s="13" t="s">
        <v>7307</v>
      </c>
      <c r="E4431" s="13" t="s">
        <v>7491</v>
      </c>
      <c r="F4431" s="43">
        <v>4.51</v>
      </c>
    </row>
    <row r="4432" spans="2:6" x14ac:dyDescent="0.25">
      <c r="B4432" s="13">
        <v>33001</v>
      </c>
      <c r="C4432" s="15" t="s">
        <v>141</v>
      </c>
      <c r="D4432" s="13" t="s">
        <v>7307</v>
      </c>
      <c r="E4432" s="13" t="s">
        <v>7492</v>
      </c>
      <c r="F4432" s="43">
        <v>10.1</v>
      </c>
    </row>
    <row r="4433" spans="2:6" x14ac:dyDescent="0.25">
      <c r="B4433" s="13">
        <v>33002</v>
      </c>
      <c r="C4433" s="15" t="s">
        <v>141</v>
      </c>
      <c r="D4433" s="13" t="s">
        <v>7307</v>
      </c>
      <c r="E4433" s="13" t="s">
        <v>7493</v>
      </c>
      <c r="F4433" s="43">
        <v>24.16</v>
      </c>
    </row>
    <row r="4434" spans="2:6" x14ac:dyDescent="0.25">
      <c r="B4434" s="13">
        <v>33003</v>
      </c>
      <c r="C4434" s="15" t="s">
        <v>141</v>
      </c>
      <c r="D4434" s="13" t="s">
        <v>7307</v>
      </c>
      <c r="E4434" s="13" t="s">
        <v>7494</v>
      </c>
      <c r="F4434" s="43">
        <v>37.32</v>
      </c>
    </row>
    <row r="4435" spans="2:6" x14ac:dyDescent="0.25">
      <c r="B4435" s="13">
        <v>56157</v>
      </c>
      <c r="C4435" s="15" t="s">
        <v>141</v>
      </c>
      <c r="D4435" s="13" t="s">
        <v>7307</v>
      </c>
      <c r="E4435" s="13" t="s">
        <v>7495</v>
      </c>
      <c r="F4435" s="43">
        <v>93</v>
      </c>
    </row>
    <row r="4436" spans="2:6" x14ac:dyDescent="0.25">
      <c r="B4436" s="13">
        <v>56158</v>
      </c>
      <c r="C4436" s="15" t="s">
        <v>141</v>
      </c>
      <c r="D4436" s="13" t="s">
        <v>7307</v>
      </c>
      <c r="E4436" s="13" t="s">
        <v>7496</v>
      </c>
      <c r="F4436" s="43">
        <v>93</v>
      </c>
    </row>
    <row r="4437" spans="2:6" x14ac:dyDescent="0.25">
      <c r="B4437" s="13">
        <v>57188</v>
      </c>
      <c r="C4437" s="15" t="s">
        <v>141</v>
      </c>
      <c r="D4437" s="13" t="s">
        <v>7307</v>
      </c>
      <c r="E4437" s="13" t="s">
        <v>7497</v>
      </c>
      <c r="F4437" s="43">
        <v>10.039999999999999</v>
      </c>
    </row>
    <row r="4438" spans="2:6" x14ac:dyDescent="0.25">
      <c r="B4438" s="13" t="s">
        <v>7498</v>
      </c>
      <c r="C4438" s="15" t="s">
        <v>141</v>
      </c>
      <c r="D4438" s="13" t="s">
        <v>7307</v>
      </c>
      <c r="E4438" s="13" t="s">
        <v>7499</v>
      </c>
      <c r="F4438" s="43">
        <v>0</v>
      </c>
    </row>
    <row r="4439" spans="2:6" x14ac:dyDescent="0.25">
      <c r="B4439" s="13" t="s">
        <v>7500</v>
      </c>
      <c r="C4439" s="15" t="s">
        <v>147</v>
      </c>
      <c r="D4439" s="13" t="s">
        <v>7307</v>
      </c>
      <c r="E4439" s="13" t="s">
        <v>7501</v>
      </c>
      <c r="F4439" s="43">
        <v>20.12</v>
      </c>
    </row>
    <row r="4440" spans="2:6" x14ac:dyDescent="0.25">
      <c r="B4440" s="13" t="s">
        <v>7502</v>
      </c>
      <c r="C4440" s="15" t="s">
        <v>147</v>
      </c>
      <c r="D4440" s="13" t="s">
        <v>7307</v>
      </c>
      <c r="E4440" s="13" t="s">
        <v>7503</v>
      </c>
      <c r="F4440" s="43">
        <v>1.35</v>
      </c>
    </row>
    <row r="4441" spans="2:6" x14ac:dyDescent="0.25">
      <c r="B4441" s="13" t="s">
        <v>7504</v>
      </c>
      <c r="C4441" s="15" t="s">
        <v>147</v>
      </c>
      <c r="D4441" s="13" t="s">
        <v>7307</v>
      </c>
      <c r="E4441" s="13" t="s">
        <v>7505</v>
      </c>
      <c r="F4441" s="43">
        <v>1.4</v>
      </c>
    </row>
    <row r="4442" spans="2:6" x14ac:dyDescent="0.25">
      <c r="B4442" s="13" t="s">
        <v>7506</v>
      </c>
      <c r="C4442" s="15" t="s">
        <v>147</v>
      </c>
      <c r="D4442" s="13" t="s">
        <v>7307</v>
      </c>
      <c r="E4442" s="13" t="s">
        <v>7507</v>
      </c>
      <c r="F4442" s="43">
        <v>0.38</v>
      </c>
    </row>
    <row r="4443" spans="2:6" x14ac:dyDescent="0.25">
      <c r="B4443" s="13" t="s">
        <v>7508</v>
      </c>
      <c r="C4443" s="15" t="s">
        <v>147</v>
      </c>
      <c r="D4443" s="13" t="s">
        <v>7307</v>
      </c>
      <c r="E4443" s="13" t="s">
        <v>7509</v>
      </c>
      <c r="F4443" s="43">
        <v>0.5</v>
      </c>
    </row>
    <row r="4444" spans="2:6" x14ac:dyDescent="0.25">
      <c r="B4444" s="13" t="s">
        <v>7510</v>
      </c>
      <c r="C4444" s="15" t="s">
        <v>153</v>
      </c>
      <c r="D4444" s="13" t="s">
        <v>7307</v>
      </c>
      <c r="E4444" s="13" t="s">
        <v>7511</v>
      </c>
      <c r="F4444" s="43">
        <v>0.15</v>
      </c>
    </row>
    <row r="4445" spans="2:6" x14ac:dyDescent="0.25">
      <c r="B4445" s="13" t="s">
        <v>7512</v>
      </c>
      <c r="C4445" s="15" t="s">
        <v>153</v>
      </c>
      <c r="D4445" s="13" t="s">
        <v>7307</v>
      </c>
      <c r="E4445" s="13" t="s">
        <v>7513</v>
      </c>
      <c r="F4445" s="43">
        <v>0.8</v>
      </c>
    </row>
    <row r="4446" spans="2:6" x14ac:dyDescent="0.25">
      <c r="B4446" s="13" t="s">
        <v>7514</v>
      </c>
      <c r="C4446" s="15" t="s">
        <v>153</v>
      </c>
      <c r="D4446" s="13" t="s">
        <v>7307</v>
      </c>
      <c r="E4446" s="13" t="s">
        <v>7515</v>
      </c>
      <c r="F4446" s="43">
        <v>0.16</v>
      </c>
    </row>
    <row r="4447" spans="2:6" x14ac:dyDescent="0.25">
      <c r="B4447" s="13" t="s">
        <v>7516</v>
      </c>
      <c r="C4447" s="15" t="s">
        <v>153</v>
      </c>
      <c r="D4447" s="13" t="s">
        <v>7307</v>
      </c>
      <c r="E4447" s="13" t="s">
        <v>7517</v>
      </c>
      <c r="F4447" s="43">
        <v>0.83</v>
      </c>
    </row>
    <row r="4448" spans="2:6" x14ac:dyDescent="0.25">
      <c r="B4448" s="13" t="s">
        <v>7518</v>
      </c>
      <c r="C4448" s="15" t="s">
        <v>153</v>
      </c>
      <c r="D4448" s="13" t="s">
        <v>7307</v>
      </c>
      <c r="E4448" s="13" t="s">
        <v>7519</v>
      </c>
      <c r="F4448" s="43">
        <v>0.16</v>
      </c>
    </row>
    <row r="4449" spans="2:6" x14ac:dyDescent="0.25">
      <c r="B4449" s="13" t="s">
        <v>7520</v>
      </c>
      <c r="C4449" s="15" t="s">
        <v>153</v>
      </c>
      <c r="D4449" s="13" t="s">
        <v>7307</v>
      </c>
      <c r="E4449" s="13" t="s">
        <v>7521</v>
      </c>
      <c r="F4449" s="43">
        <v>0.83</v>
      </c>
    </row>
    <row r="4450" spans="2:6" x14ac:dyDescent="0.25">
      <c r="B4450" s="13" t="s">
        <v>7522</v>
      </c>
      <c r="C4450" s="15" t="s">
        <v>153</v>
      </c>
      <c r="D4450" s="13" t="s">
        <v>7307</v>
      </c>
      <c r="E4450" s="13" t="s">
        <v>7523</v>
      </c>
      <c r="F4450" s="43">
        <v>0.36</v>
      </c>
    </row>
    <row r="4451" spans="2:6" x14ac:dyDescent="0.25">
      <c r="B4451" s="13" t="s">
        <v>7524</v>
      </c>
      <c r="C4451" s="15" t="s">
        <v>153</v>
      </c>
      <c r="D4451" s="13" t="s">
        <v>7307</v>
      </c>
      <c r="E4451" s="13" t="s">
        <v>7525</v>
      </c>
      <c r="F4451" s="43">
        <v>0.71</v>
      </c>
    </row>
    <row r="4452" spans="2:6" x14ac:dyDescent="0.25">
      <c r="B4452" s="13" t="s">
        <v>7526</v>
      </c>
      <c r="C4452" s="15" t="s">
        <v>153</v>
      </c>
      <c r="D4452" s="13" t="s">
        <v>7307</v>
      </c>
      <c r="E4452" s="13" t="s">
        <v>7527</v>
      </c>
      <c r="F4452" s="43">
        <v>0.36</v>
      </c>
    </row>
    <row r="4453" spans="2:6" x14ac:dyDescent="0.25">
      <c r="B4453" s="13" t="s">
        <v>7528</v>
      </c>
      <c r="C4453" s="15" t="s">
        <v>153</v>
      </c>
      <c r="D4453" s="13" t="s">
        <v>7307</v>
      </c>
      <c r="E4453" s="13" t="s">
        <v>7529</v>
      </c>
      <c r="F4453" s="43">
        <v>0.71</v>
      </c>
    </row>
    <row r="4454" spans="2:6" x14ac:dyDescent="0.25">
      <c r="B4454" s="13" t="s">
        <v>7530</v>
      </c>
      <c r="C4454" s="15" t="s">
        <v>153</v>
      </c>
      <c r="D4454" s="13" t="s">
        <v>7307</v>
      </c>
      <c r="E4454" s="13" t="s">
        <v>7531</v>
      </c>
      <c r="F4454" s="43">
        <v>6.49</v>
      </c>
    </row>
    <row r="4455" spans="2:6" x14ac:dyDescent="0.25">
      <c r="B4455" s="13" t="s">
        <v>7532</v>
      </c>
      <c r="C4455" s="15" t="s">
        <v>153</v>
      </c>
      <c r="D4455" s="13" t="s">
        <v>7307</v>
      </c>
      <c r="E4455" s="13" t="s">
        <v>7533</v>
      </c>
      <c r="F4455" s="43">
        <v>2.0299999999999998</v>
      </c>
    </row>
    <row r="4456" spans="2:6" x14ac:dyDescent="0.25">
      <c r="B4456" s="13" t="s">
        <v>7534</v>
      </c>
      <c r="C4456" s="15" t="s">
        <v>153</v>
      </c>
      <c r="D4456" s="13" t="s">
        <v>7307</v>
      </c>
      <c r="E4456" s="13" t="s">
        <v>7535</v>
      </c>
      <c r="F4456" s="43">
        <v>0.67</v>
      </c>
    </row>
    <row r="4457" spans="2:6" x14ac:dyDescent="0.25">
      <c r="B4457" s="13" t="s">
        <v>7536</v>
      </c>
      <c r="C4457" s="15" t="s">
        <v>153</v>
      </c>
      <c r="D4457" s="13" t="s">
        <v>7307</v>
      </c>
      <c r="E4457" s="13" t="s">
        <v>7537</v>
      </c>
      <c r="F4457" s="43">
        <v>13.55</v>
      </c>
    </row>
    <row r="4458" spans="2:6" x14ac:dyDescent="0.25">
      <c r="B4458" s="13" t="s">
        <v>7538</v>
      </c>
      <c r="C4458" s="15" t="s">
        <v>153</v>
      </c>
      <c r="D4458" s="13" t="s">
        <v>7307</v>
      </c>
      <c r="E4458" s="13" t="s">
        <v>7539</v>
      </c>
      <c r="F4458" s="43">
        <v>5.67</v>
      </c>
    </row>
    <row r="4459" spans="2:6" x14ac:dyDescent="0.25">
      <c r="B4459" s="13" t="s">
        <v>7540</v>
      </c>
      <c r="C4459" s="15" t="s">
        <v>153</v>
      </c>
      <c r="D4459" s="13" t="s">
        <v>7307</v>
      </c>
      <c r="E4459" s="13" t="s">
        <v>7541</v>
      </c>
      <c r="F4459" s="43">
        <v>5.31</v>
      </c>
    </row>
    <row r="4460" spans="2:6" x14ac:dyDescent="0.25">
      <c r="B4460" s="13" t="s">
        <v>7542</v>
      </c>
      <c r="C4460" s="15" t="s">
        <v>153</v>
      </c>
      <c r="D4460" s="13" t="s">
        <v>7307</v>
      </c>
      <c r="E4460" s="13" t="s">
        <v>7543</v>
      </c>
      <c r="F4460" s="43">
        <v>1.24</v>
      </c>
    </row>
    <row r="4461" spans="2:6" x14ac:dyDescent="0.25">
      <c r="B4461" s="13" t="s">
        <v>7544</v>
      </c>
      <c r="C4461" s="15" t="s">
        <v>153</v>
      </c>
      <c r="D4461" s="13" t="s">
        <v>7307</v>
      </c>
      <c r="E4461" s="13" t="s">
        <v>7545</v>
      </c>
      <c r="F4461" s="43">
        <v>2.27</v>
      </c>
    </row>
    <row r="4462" spans="2:6" x14ac:dyDescent="0.25">
      <c r="B4462" s="13" t="s">
        <v>7546</v>
      </c>
      <c r="C4462" s="15" t="s">
        <v>153</v>
      </c>
      <c r="D4462" s="13" t="s">
        <v>7307</v>
      </c>
      <c r="E4462" s="13" t="s">
        <v>7547</v>
      </c>
      <c r="F4462" s="43">
        <v>1.89</v>
      </c>
    </row>
    <row r="4463" spans="2:6" x14ac:dyDescent="0.25">
      <c r="B4463" s="13" t="s">
        <v>7548</v>
      </c>
      <c r="C4463" s="15" t="s">
        <v>153</v>
      </c>
      <c r="D4463" s="13" t="s">
        <v>7307</v>
      </c>
      <c r="E4463" s="13" t="s">
        <v>7549</v>
      </c>
      <c r="F4463" s="43">
        <v>2.91</v>
      </c>
    </row>
    <row r="4464" spans="2:6" x14ac:dyDescent="0.25">
      <c r="B4464" s="13" t="s">
        <v>7550</v>
      </c>
      <c r="C4464" s="15" t="s">
        <v>153</v>
      </c>
      <c r="D4464" s="13" t="s">
        <v>7307</v>
      </c>
      <c r="E4464" s="13" t="s">
        <v>7551</v>
      </c>
      <c r="F4464" s="43">
        <v>1.8</v>
      </c>
    </row>
    <row r="4465" spans="2:6" x14ac:dyDescent="0.25">
      <c r="B4465" s="13" t="s">
        <v>7552</v>
      </c>
      <c r="C4465" s="15" t="s">
        <v>153</v>
      </c>
      <c r="D4465" s="13" t="s">
        <v>7307</v>
      </c>
      <c r="E4465" s="13" t="s">
        <v>7553</v>
      </c>
      <c r="F4465" s="43">
        <v>2.82</v>
      </c>
    </row>
    <row r="4466" spans="2:6" x14ac:dyDescent="0.25">
      <c r="B4466" s="13" t="s">
        <v>7554</v>
      </c>
      <c r="C4466" s="15" t="s">
        <v>153</v>
      </c>
      <c r="D4466" s="13" t="s">
        <v>7307</v>
      </c>
      <c r="E4466" s="13" t="s">
        <v>7555</v>
      </c>
      <c r="F4466" s="43">
        <v>2.1</v>
      </c>
    </row>
    <row r="4467" spans="2:6" x14ac:dyDescent="0.25">
      <c r="B4467" s="13" t="s">
        <v>7556</v>
      </c>
      <c r="C4467" s="15" t="s">
        <v>153</v>
      </c>
      <c r="D4467" s="13" t="s">
        <v>7307</v>
      </c>
      <c r="E4467" s="13" t="s">
        <v>7557</v>
      </c>
      <c r="F4467" s="43">
        <v>3.11</v>
      </c>
    </row>
    <row r="4468" spans="2:6" x14ac:dyDescent="0.25">
      <c r="B4468" s="13" t="s">
        <v>7558</v>
      </c>
      <c r="C4468" s="15" t="s">
        <v>153</v>
      </c>
      <c r="D4468" s="13" t="s">
        <v>7307</v>
      </c>
      <c r="E4468" s="13" t="s">
        <v>7559</v>
      </c>
      <c r="F4468" s="43">
        <v>2.1</v>
      </c>
    </row>
    <row r="4469" spans="2:6" x14ac:dyDescent="0.25">
      <c r="B4469" s="13" t="s">
        <v>7560</v>
      </c>
      <c r="C4469" s="15" t="s">
        <v>153</v>
      </c>
      <c r="D4469" s="13" t="s">
        <v>7307</v>
      </c>
      <c r="E4469" s="13" t="s">
        <v>7561</v>
      </c>
      <c r="F4469" s="43">
        <v>3.15</v>
      </c>
    </row>
    <row r="4470" spans="2:6" x14ac:dyDescent="0.25">
      <c r="B4470" s="13" t="s">
        <v>7562</v>
      </c>
      <c r="C4470" s="15" t="s">
        <v>153</v>
      </c>
      <c r="D4470" s="13" t="s">
        <v>7307</v>
      </c>
      <c r="E4470" s="13" t="s">
        <v>7563</v>
      </c>
      <c r="F4470" s="43">
        <v>2.12</v>
      </c>
    </row>
    <row r="4471" spans="2:6" x14ac:dyDescent="0.25">
      <c r="B4471" s="13" t="s">
        <v>7564</v>
      </c>
      <c r="C4471" s="15" t="s">
        <v>153</v>
      </c>
      <c r="D4471" s="13" t="s">
        <v>7307</v>
      </c>
      <c r="E4471" s="13" t="s">
        <v>7565</v>
      </c>
      <c r="F4471" s="43">
        <v>3.55</v>
      </c>
    </row>
    <row r="4472" spans="2:6" x14ac:dyDescent="0.25">
      <c r="B4472" s="13" t="s">
        <v>7566</v>
      </c>
      <c r="C4472" s="15" t="s">
        <v>153</v>
      </c>
      <c r="D4472" s="13" t="s">
        <v>7307</v>
      </c>
      <c r="E4472" s="13" t="s">
        <v>7567</v>
      </c>
      <c r="F4472" s="43">
        <v>0.44</v>
      </c>
    </row>
    <row r="4473" spans="2:6" x14ac:dyDescent="0.25">
      <c r="B4473" s="13" t="s">
        <v>7568</v>
      </c>
      <c r="C4473" s="15" t="s">
        <v>153</v>
      </c>
      <c r="D4473" s="13" t="s">
        <v>7307</v>
      </c>
      <c r="E4473" s="13" t="s">
        <v>7569</v>
      </c>
      <c r="F4473" s="43">
        <v>1.54</v>
      </c>
    </row>
    <row r="4474" spans="2:6" x14ac:dyDescent="0.25">
      <c r="B4474" s="13" t="s">
        <v>7570</v>
      </c>
      <c r="C4474" s="15" t="s">
        <v>153</v>
      </c>
      <c r="D4474" s="13" t="s">
        <v>7307</v>
      </c>
      <c r="E4474" s="13" t="s">
        <v>7571</v>
      </c>
      <c r="F4474" s="43">
        <v>0.57999999999999996</v>
      </c>
    </row>
    <row r="4475" spans="2:6" x14ac:dyDescent="0.25">
      <c r="B4475" s="13" t="s">
        <v>7572</v>
      </c>
      <c r="C4475" s="15" t="s">
        <v>153</v>
      </c>
      <c r="D4475" s="13" t="s">
        <v>7307</v>
      </c>
      <c r="E4475" s="13" t="s">
        <v>7573</v>
      </c>
      <c r="F4475" s="43">
        <v>1.65</v>
      </c>
    </row>
    <row r="4476" spans="2:6" x14ac:dyDescent="0.25">
      <c r="B4476" s="13" t="s">
        <v>7574</v>
      </c>
      <c r="C4476" s="15" t="s">
        <v>153</v>
      </c>
      <c r="D4476" s="13" t="s">
        <v>7307</v>
      </c>
      <c r="E4476" s="13" t="s">
        <v>7575</v>
      </c>
      <c r="F4476" s="43">
        <v>0.71</v>
      </c>
    </row>
    <row r="4477" spans="2:6" x14ac:dyDescent="0.25">
      <c r="B4477" s="13" t="s">
        <v>7576</v>
      </c>
      <c r="C4477" s="15" t="s">
        <v>153</v>
      </c>
      <c r="D4477" s="13" t="s">
        <v>7307</v>
      </c>
      <c r="E4477" s="13" t="s">
        <v>7577</v>
      </c>
      <c r="F4477" s="43">
        <v>1.78</v>
      </c>
    </row>
    <row r="4478" spans="2:6" x14ac:dyDescent="0.25">
      <c r="B4478" s="13" t="s">
        <v>7578</v>
      </c>
      <c r="C4478" s="15" t="s">
        <v>153</v>
      </c>
      <c r="D4478" s="13" t="s">
        <v>7307</v>
      </c>
      <c r="E4478" s="13" t="s">
        <v>7579</v>
      </c>
      <c r="F4478" s="43">
        <v>0.97</v>
      </c>
    </row>
    <row r="4479" spans="2:6" x14ac:dyDescent="0.25">
      <c r="B4479" s="13" t="s">
        <v>7580</v>
      </c>
      <c r="C4479" s="15" t="s">
        <v>153</v>
      </c>
      <c r="D4479" s="13" t="s">
        <v>7307</v>
      </c>
      <c r="E4479" s="13" t="s">
        <v>7581</v>
      </c>
      <c r="F4479" s="43">
        <v>2.27</v>
      </c>
    </row>
    <row r="4480" spans="2:6" x14ac:dyDescent="0.25">
      <c r="B4480" s="13" t="s">
        <v>7582</v>
      </c>
      <c r="C4480" s="15" t="s">
        <v>153</v>
      </c>
      <c r="D4480" s="13" t="s">
        <v>7307</v>
      </c>
      <c r="E4480" s="13" t="s">
        <v>7583</v>
      </c>
      <c r="F4480" s="43">
        <v>0.6</v>
      </c>
    </row>
    <row r="4481" spans="2:6" x14ac:dyDescent="0.25">
      <c r="B4481" s="13" t="s">
        <v>7584</v>
      </c>
      <c r="C4481" s="15" t="s">
        <v>153</v>
      </c>
      <c r="D4481" s="13" t="s">
        <v>7307</v>
      </c>
      <c r="E4481" s="13" t="s">
        <v>7585</v>
      </c>
      <c r="F4481" s="43">
        <v>1.72</v>
      </c>
    </row>
    <row r="4482" spans="2:6" x14ac:dyDescent="0.25">
      <c r="B4482" s="13" t="s">
        <v>7586</v>
      </c>
      <c r="C4482" s="15" t="s">
        <v>153</v>
      </c>
      <c r="D4482" s="13" t="s">
        <v>7307</v>
      </c>
      <c r="E4482" s="13" t="s">
        <v>7587</v>
      </c>
      <c r="F4482" s="43">
        <v>1.01</v>
      </c>
    </row>
    <row r="4483" spans="2:6" x14ac:dyDescent="0.25">
      <c r="B4483" s="13" t="s">
        <v>7588</v>
      </c>
      <c r="C4483" s="15" t="s">
        <v>153</v>
      </c>
      <c r="D4483" s="13" t="s">
        <v>7307</v>
      </c>
      <c r="E4483" s="13" t="s">
        <v>7589</v>
      </c>
      <c r="F4483" s="43">
        <v>2.16</v>
      </c>
    </row>
    <row r="4484" spans="2:6" x14ac:dyDescent="0.25">
      <c r="B4484" s="13" t="s">
        <v>7590</v>
      </c>
      <c r="C4484" s="15" t="s">
        <v>153</v>
      </c>
      <c r="D4484" s="13" t="s">
        <v>7307</v>
      </c>
      <c r="E4484" s="13" t="s">
        <v>7591</v>
      </c>
      <c r="F4484" s="43">
        <v>4.3099999999999996</v>
      </c>
    </row>
    <row r="4485" spans="2:6" x14ac:dyDescent="0.25">
      <c r="B4485" s="13" t="s">
        <v>7592</v>
      </c>
      <c r="C4485" s="15" t="s">
        <v>153</v>
      </c>
      <c r="D4485" s="13" t="s">
        <v>7307</v>
      </c>
      <c r="E4485" s="13" t="s">
        <v>7593</v>
      </c>
      <c r="F4485" s="43">
        <v>5.22</v>
      </c>
    </row>
    <row r="4486" spans="2:6" x14ac:dyDescent="0.25">
      <c r="B4486" s="13" t="s">
        <v>7594</v>
      </c>
      <c r="C4486" s="15" t="s">
        <v>153</v>
      </c>
      <c r="D4486" s="13" t="s">
        <v>7307</v>
      </c>
      <c r="E4486" s="13" t="s">
        <v>7595</v>
      </c>
      <c r="F4486" s="43">
        <v>10.85</v>
      </c>
    </row>
    <row r="4487" spans="2:6" x14ac:dyDescent="0.25">
      <c r="B4487" s="13" t="s">
        <v>7596</v>
      </c>
      <c r="C4487" s="15" t="s">
        <v>153</v>
      </c>
      <c r="D4487" s="13" t="s">
        <v>7307</v>
      </c>
      <c r="E4487" s="13" t="s">
        <v>7597</v>
      </c>
      <c r="F4487" s="43">
        <v>11.25</v>
      </c>
    </row>
    <row r="4488" spans="2:6" x14ac:dyDescent="0.25">
      <c r="B4488" s="13" t="s">
        <v>7598</v>
      </c>
      <c r="C4488" s="15" t="s">
        <v>153</v>
      </c>
      <c r="D4488" s="13" t="s">
        <v>7307</v>
      </c>
      <c r="E4488" s="13" t="s">
        <v>7599</v>
      </c>
      <c r="F4488" s="43">
        <v>2.1800000000000002</v>
      </c>
    </row>
    <row r="4489" spans="2:6" x14ac:dyDescent="0.25">
      <c r="B4489" s="13" t="s">
        <v>7600</v>
      </c>
      <c r="C4489" s="15" t="s">
        <v>153</v>
      </c>
      <c r="D4489" s="13" t="s">
        <v>7307</v>
      </c>
      <c r="E4489" s="13" t="s">
        <v>7601</v>
      </c>
      <c r="F4489" s="43">
        <v>3.05</v>
      </c>
    </row>
    <row r="4490" spans="2:6" x14ac:dyDescent="0.25">
      <c r="B4490" s="13" t="s">
        <v>7602</v>
      </c>
      <c r="C4490" s="15" t="s">
        <v>153</v>
      </c>
      <c r="D4490" s="13" t="s">
        <v>7307</v>
      </c>
      <c r="E4490" s="13" t="s">
        <v>7603</v>
      </c>
      <c r="F4490" s="43">
        <v>10.5</v>
      </c>
    </row>
    <row r="4491" spans="2:6" x14ac:dyDescent="0.25">
      <c r="B4491" s="13" t="s">
        <v>7604</v>
      </c>
      <c r="C4491" s="15" t="s">
        <v>153</v>
      </c>
      <c r="D4491" s="13" t="s">
        <v>7307</v>
      </c>
      <c r="E4491" s="13" t="s">
        <v>7605</v>
      </c>
      <c r="F4491" s="43">
        <v>11.22</v>
      </c>
    </row>
    <row r="4492" spans="2:6" x14ac:dyDescent="0.25">
      <c r="B4492" s="13" t="s">
        <v>7606</v>
      </c>
      <c r="C4492" s="15" t="s">
        <v>153</v>
      </c>
      <c r="D4492" s="13" t="s">
        <v>7307</v>
      </c>
      <c r="E4492" s="13" t="s">
        <v>7607</v>
      </c>
      <c r="F4492" s="43">
        <v>10.62</v>
      </c>
    </row>
    <row r="4493" spans="2:6" x14ac:dyDescent="0.25">
      <c r="B4493" s="13" t="s">
        <v>7608</v>
      </c>
      <c r="C4493" s="15" t="s">
        <v>153</v>
      </c>
      <c r="D4493" s="13" t="s">
        <v>7307</v>
      </c>
      <c r="E4493" s="13" t="s">
        <v>7609</v>
      </c>
      <c r="F4493" s="43">
        <v>11.08</v>
      </c>
    </row>
    <row r="4494" spans="2:6" x14ac:dyDescent="0.25">
      <c r="B4494" s="13" t="s">
        <v>7610</v>
      </c>
      <c r="C4494" s="15" t="s">
        <v>153</v>
      </c>
      <c r="D4494" s="13" t="s">
        <v>7307</v>
      </c>
      <c r="E4494" s="13" t="s">
        <v>7611</v>
      </c>
      <c r="F4494" s="43">
        <v>2.1</v>
      </c>
    </row>
    <row r="4495" spans="2:6" x14ac:dyDescent="0.25">
      <c r="B4495" s="13" t="s">
        <v>7612</v>
      </c>
      <c r="C4495" s="15" t="s">
        <v>153</v>
      </c>
      <c r="D4495" s="13" t="s">
        <v>7307</v>
      </c>
      <c r="E4495" s="13" t="s">
        <v>7613</v>
      </c>
      <c r="F4495" s="43">
        <v>2.93</v>
      </c>
    </row>
    <row r="4496" spans="2:6" x14ac:dyDescent="0.25">
      <c r="B4496" s="13" t="s">
        <v>7614</v>
      </c>
      <c r="C4496" s="15" t="s">
        <v>153</v>
      </c>
      <c r="D4496" s="13" t="s">
        <v>7307</v>
      </c>
      <c r="E4496" s="13" t="s">
        <v>7615</v>
      </c>
      <c r="F4496" s="43">
        <v>5.67</v>
      </c>
    </row>
    <row r="4497" spans="2:6" x14ac:dyDescent="0.25">
      <c r="B4497" s="13" t="s">
        <v>7616</v>
      </c>
      <c r="C4497" s="15" t="s">
        <v>153</v>
      </c>
      <c r="D4497" s="13" t="s">
        <v>7307</v>
      </c>
      <c r="E4497" s="13" t="s">
        <v>7617</v>
      </c>
      <c r="F4497" s="43">
        <v>8.74</v>
      </c>
    </row>
    <row r="4498" spans="2:6" x14ac:dyDescent="0.25">
      <c r="B4498" s="13">
        <v>64393</v>
      </c>
      <c r="C4498" s="15" t="s">
        <v>156</v>
      </c>
      <c r="D4498" s="13" t="s">
        <v>7307</v>
      </c>
      <c r="E4498" s="13" t="s">
        <v>7618</v>
      </c>
      <c r="F4498" s="43">
        <v>2.44</v>
      </c>
    </row>
    <row r="4499" spans="2:6" x14ac:dyDescent="0.25">
      <c r="B4499" s="13">
        <v>64411</v>
      </c>
      <c r="C4499" s="15" t="s">
        <v>156</v>
      </c>
      <c r="D4499" s="13" t="s">
        <v>7307</v>
      </c>
      <c r="E4499" s="13" t="s">
        <v>7619</v>
      </c>
      <c r="F4499" s="43">
        <v>3.97</v>
      </c>
    </row>
    <row r="4500" spans="2:6" x14ac:dyDescent="0.25">
      <c r="B4500" s="13">
        <v>170452</v>
      </c>
      <c r="C4500" s="15" t="s">
        <v>156</v>
      </c>
      <c r="D4500" s="13" t="s">
        <v>7307</v>
      </c>
      <c r="E4500" s="13" t="s">
        <v>7620</v>
      </c>
      <c r="F4500" s="43">
        <v>10.51</v>
      </c>
    </row>
    <row r="4501" spans="2:6" x14ac:dyDescent="0.25">
      <c r="B4501" s="13">
        <v>209005</v>
      </c>
      <c r="C4501" s="15" t="s">
        <v>156</v>
      </c>
      <c r="D4501" s="13" t="s">
        <v>7307</v>
      </c>
      <c r="E4501" s="13" t="s">
        <v>7621</v>
      </c>
      <c r="F4501" s="43">
        <v>78.73</v>
      </c>
    </row>
    <row r="4502" spans="2:6" x14ac:dyDescent="0.25">
      <c r="B4502" s="13">
        <v>210866</v>
      </c>
      <c r="C4502" s="15" t="s">
        <v>156</v>
      </c>
      <c r="D4502" s="13" t="s">
        <v>7307</v>
      </c>
      <c r="E4502" s="13" t="s">
        <v>7622</v>
      </c>
      <c r="F4502" s="43">
        <v>84.56</v>
      </c>
    </row>
    <row r="4503" spans="2:6" x14ac:dyDescent="0.25">
      <c r="B4503" s="13">
        <v>236239</v>
      </c>
      <c r="C4503" s="15" t="s">
        <v>156</v>
      </c>
      <c r="D4503" s="13" t="s">
        <v>7307</v>
      </c>
      <c r="E4503" s="13" t="s">
        <v>7623</v>
      </c>
      <c r="F4503" s="43">
        <v>74.78</v>
      </c>
    </row>
    <row r="4504" spans="2:6" x14ac:dyDescent="0.25">
      <c r="B4504" s="13">
        <v>236307</v>
      </c>
      <c r="C4504" s="15" t="s">
        <v>156</v>
      </c>
      <c r="D4504" s="13" t="s">
        <v>7307</v>
      </c>
      <c r="E4504" s="13" t="s">
        <v>7624</v>
      </c>
      <c r="F4504" s="43">
        <v>28.96</v>
      </c>
    </row>
    <row r="4505" spans="2:6" x14ac:dyDescent="0.25">
      <c r="B4505" s="13">
        <v>639392</v>
      </c>
      <c r="C4505" s="15" t="s">
        <v>156</v>
      </c>
      <c r="D4505" s="13" t="s">
        <v>7307</v>
      </c>
      <c r="E4505" s="13" t="s">
        <v>7625</v>
      </c>
      <c r="F4505" s="43">
        <v>85.64</v>
      </c>
    </row>
    <row r="4506" spans="2:6" x14ac:dyDescent="0.25">
      <c r="B4506" s="13">
        <v>20858801</v>
      </c>
      <c r="C4506" s="15" t="s">
        <v>156</v>
      </c>
      <c r="D4506" s="13" t="s">
        <v>7307</v>
      </c>
      <c r="E4506" s="13" t="s">
        <v>7626</v>
      </c>
      <c r="F4506" s="43">
        <v>39.729999999999997</v>
      </c>
    </row>
    <row r="4507" spans="2:6" x14ac:dyDescent="0.25">
      <c r="B4507" s="13">
        <v>20953202</v>
      </c>
      <c r="C4507" s="15" t="s">
        <v>156</v>
      </c>
      <c r="D4507" s="13" t="s">
        <v>7307</v>
      </c>
      <c r="E4507" s="13" t="s">
        <v>7627</v>
      </c>
      <c r="F4507" s="43">
        <v>57.53</v>
      </c>
    </row>
    <row r="4508" spans="2:6" x14ac:dyDescent="0.25">
      <c r="B4508" s="13">
        <v>250201215</v>
      </c>
      <c r="C4508" s="15" t="s">
        <v>156</v>
      </c>
      <c r="D4508" s="13" t="s">
        <v>7307</v>
      </c>
      <c r="E4508" s="13" t="s">
        <v>7628</v>
      </c>
      <c r="F4508" s="43">
        <v>3.4</v>
      </c>
    </row>
    <row r="4509" spans="2:6" x14ac:dyDescent="0.25">
      <c r="B4509" s="13">
        <v>250201410</v>
      </c>
      <c r="C4509" s="15" t="s">
        <v>156</v>
      </c>
      <c r="D4509" s="13" t="s">
        <v>7307</v>
      </c>
      <c r="E4509" s="13" t="s">
        <v>7629</v>
      </c>
      <c r="F4509" s="43">
        <v>3.4</v>
      </c>
    </row>
    <row r="4510" spans="2:6" x14ac:dyDescent="0.25">
      <c r="B4510" s="13">
        <v>250201412</v>
      </c>
      <c r="C4510" s="15" t="s">
        <v>156</v>
      </c>
      <c r="D4510" s="13" t="s">
        <v>7307</v>
      </c>
      <c r="E4510" s="13" t="s">
        <v>7630</v>
      </c>
      <c r="F4510" s="43">
        <v>3.4</v>
      </c>
    </row>
    <row r="4511" spans="2:6" x14ac:dyDescent="0.25">
      <c r="B4511" s="13">
        <v>250201415</v>
      </c>
      <c r="C4511" s="15" t="s">
        <v>156</v>
      </c>
      <c r="D4511" s="13" t="s">
        <v>7307</v>
      </c>
      <c r="E4511" s="13" t="s">
        <v>7631</v>
      </c>
      <c r="F4511" s="43">
        <v>3.4</v>
      </c>
    </row>
    <row r="4512" spans="2:6" x14ac:dyDescent="0.25">
      <c r="B4512" s="13">
        <v>250201418</v>
      </c>
      <c r="C4512" s="15" t="s">
        <v>156</v>
      </c>
      <c r="D4512" s="13" t="s">
        <v>7307</v>
      </c>
      <c r="E4512" s="13" t="s">
        <v>7632</v>
      </c>
      <c r="F4512" s="43">
        <v>3.4</v>
      </c>
    </row>
    <row r="4513" spans="2:6" x14ac:dyDescent="0.25">
      <c r="B4513" s="13">
        <v>250201419</v>
      </c>
      <c r="C4513" s="15" t="s">
        <v>156</v>
      </c>
      <c r="D4513" s="13" t="s">
        <v>7307</v>
      </c>
      <c r="E4513" s="13" t="s">
        <v>7633</v>
      </c>
      <c r="F4513" s="43">
        <v>3.14</v>
      </c>
    </row>
    <row r="4514" spans="2:6" x14ac:dyDescent="0.25">
      <c r="B4514" s="13">
        <v>250201500</v>
      </c>
      <c r="C4514" s="15" t="s">
        <v>156</v>
      </c>
      <c r="D4514" s="13" t="s">
        <v>7307</v>
      </c>
      <c r="E4514" s="13" t="s">
        <v>7634</v>
      </c>
      <c r="F4514" s="43">
        <v>2.4</v>
      </c>
    </row>
    <row r="4515" spans="2:6" x14ac:dyDescent="0.25">
      <c r="B4515" s="13">
        <v>250202804</v>
      </c>
      <c r="C4515" s="15" t="s">
        <v>156</v>
      </c>
      <c r="D4515" s="13" t="s">
        <v>7307</v>
      </c>
      <c r="E4515" s="13" t="s">
        <v>7635</v>
      </c>
      <c r="F4515" s="43">
        <v>4.84</v>
      </c>
    </row>
    <row r="4516" spans="2:6" x14ac:dyDescent="0.25">
      <c r="B4516" s="13">
        <v>250215090</v>
      </c>
      <c r="C4516" s="15" t="s">
        <v>156</v>
      </c>
      <c r="D4516" s="13" t="s">
        <v>7307</v>
      </c>
      <c r="E4516" s="13" t="s">
        <v>7636</v>
      </c>
      <c r="F4516" s="43">
        <v>1.82</v>
      </c>
    </row>
    <row r="4517" spans="2:6" x14ac:dyDescent="0.25">
      <c r="B4517" s="13">
        <v>250215180</v>
      </c>
      <c r="C4517" s="15" t="s">
        <v>156</v>
      </c>
      <c r="D4517" s="13" t="s">
        <v>7307</v>
      </c>
      <c r="E4517" s="13" t="s">
        <v>7637</v>
      </c>
      <c r="F4517" s="43">
        <v>1.91</v>
      </c>
    </row>
    <row r="4518" spans="2:6" x14ac:dyDescent="0.25">
      <c r="B4518" s="13">
        <v>250215270</v>
      </c>
      <c r="C4518" s="15" t="s">
        <v>156</v>
      </c>
      <c r="D4518" s="13" t="s">
        <v>7307</v>
      </c>
      <c r="E4518" s="13" t="s">
        <v>7638</v>
      </c>
      <c r="F4518" s="43">
        <v>1.82</v>
      </c>
    </row>
    <row r="4519" spans="2:6" x14ac:dyDescent="0.25">
      <c r="B4519" s="13">
        <v>250215360</v>
      </c>
      <c r="C4519" s="15" t="s">
        <v>156</v>
      </c>
      <c r="D4519" s="13" t="s">
        <v>7307</v>
      </c>
      <c r="E4519" s="13" t="s">
        <v>7639</v>
      </c>
      <c r="F4519" s="43">
        <v>1.82</v>
      </c>
    </row>
    <row r="4520" spans="2:6" x14ac:dyDescent="0.25">
      <c r="B4520" s="13">
        <v>250215400</v>
      </c>
      <c r="C4520" s="15" t="s">
        <v>156</v>
      </c>
      <c r="D4520" s="13" t="s">
        <v>7307</v>
      </c>
      <c r="E4520" s="13" t="s">
        <v>7640</v>
      </c>
      <c r="F4520" s="43">
        <v>2.17</v>
      </c>
    </row>
    <row r="4521" spans="2:6" x14ac:dyDescent="0.25">
      <c r="B4521" s="13">
        <v>250215500</v>
      </c>
      <c r="C4521" s="15" t="s">
        <v>156</v>
      </c>
      <c r="D4521" s="13" t="s">
        <v>7307</v>
      </c>
      <c r="E4521" s="13" t="s">
        <v>7641</v>
      </c>
      <c r="F4521" s="43">
        <v>2.17</v>
      </c>
    </row>
    <row r="4522" spans="2:6" x14ac:dyDescent="0.25">
      <c r="B4522" s="13">
        <v>250215600</v>
      </c>
      <c r="C4522" s="15" t="s">
        <v>156</v>
      </c>
      <c r="D4522" s="13" t="s">
        <v>7307</v>
      </c>
      <c r="E4522" s="13" t="s">
        <v>7642</v>
      </c>
      <c r="F4522" s="43">
        <v>2.17</v>
      </c>
    </row>
    <row r="4523" spans="2:6" x14ac:dyDescent="0.25">
      <c r="B4523" s="13">
        <v>250215700</v>
      </c>
      <c r="C4523" s="15" t="s">
        <v>156</v>
      </c>
      <c r="D4523" s="13" t="s">
        <v>7307</v>
      </c>
      <c r="E4523" s="13" t="s">
        <v>7643</v>
      </c>
      <c r="F4523" s="43">
        <v>1.68</v>
      </c>
    </row>
    <row r="4524" spans="2:6" x14ac:dyDescent="0.25">
      <c r="B4524" s="13">
        <v>250215900</v>
      </c>
      <c r="C4524" s="15" t="s">
        <v>156</v>
      </c>
      <c r="D4524" s="13" t="s">
        <v>7307</v>
      </c>
      <c r="E4524" s="13" t="s">
        <v>7644</v>
      </c>
      <c r="F4524" s="43">
        <v>2.17</v>
      </c>
    </row>
    <row r="4525" spans="2:6" x14ac:dyDescent="0.25">
      <c r="B4525" s="13">
        <v>250230004</v>
      </c>
      <c r="C4525" s="15" t="s">
        <v>156</v>
      </c>
      <c r="D4525" s="13" t="s">
        <v>7307</v>
      </c>
      <c r="E4525" s="13" t="s">
        <v>7645</v>
      </c>
      <c r="F4525" s="43">
        <v>1.8</v>
      </c>
    </row>
    <row r="4526" spans="2:6" x14ac:dyDescent="0.25">
      <c r="B4526" s="13">
        <v>250230006</v>
      </c>
      <c r="C4526" s="15" t="s">
        <v>156</v>
      </c>
      <c r="D4526" s="13" t="s">
        <v>7307</v>
      </c>
      <c r="E4526" s="13" t="s">
        <v>7646</v>
      </c>
      <c r="F4526" s="43">
        <v>1.8</v>
      </c>
    </row>
    <row r="4527" spans="2:6" x14ac:dyDescent="0.25">
      <c r="B4527" s="13">
        <v>250230008</v>
      </c>
      <c r="C4527" s="15" t="s">
        <v>156</v>
      </c>
      <c r="D4527" s="13" t="s">
        <v>7307</v>
      </c>
      <c r="E4527" s="13" t="s">
        <v>7647</v>
      </c>
      <c r="F4527" s="43">
        <v>1.8</v>
      </c>
    </row>
    <row r="4528" spans="2:6" x14ac:dyDescent="0.25">
      <c r="B4528" s="13">
        <v>250230010</v>
      </c>
      <c r="C4528" s="15" t="s">
        <v>156</v>
      </c>
      <c r="D4528" s="13" t="s">
        <v>7307</v>
      </c>
      <c r="E4528" s="13" t="s">
        <v>7648</v>
      </c>
      <c r="F4528" s="43">
        <v>1.8</v>
      </c>
    </row>
    <row r="4529" spans="2:6" x14ac:dyDescent="0.25">
      <c r="B4529" s="13">
        <v>250230012</v>
      </c>
      <c r="C4529" s="15" t="s">
        <v>156</v>
      </c>
      <c r="D4529" s="13" t="s">
        <v>7307</v>
      </c>
      <c r="E4529" s="13" t="s">
        <v>7649</v>
      </c>
      <c r="F4529" s="43">
        <v>1.8</v>
      </c>
    </row>
    <row r="4530" spans="2:6" x14ac:dyDescent="0.25">
      <c r="B4530" s="13">
        <v>250230015</v>
      </c>
      <c r="C4530" s="15" t="s">
        <v>156</v>
      </c>
      <c r="D4530" s="13" t="s">
        <v>7307</v>
      </c>
      <c r="E4530" s="13" t="s">
        <v>7650</v>
      </c>
      <c r="F4530" s="43">
        <v>1.8</v>
      </c>
    </row>
    <row r="4531" spans="2:6" x14ac:dyDescent="0.25">
      <c r="B4531" s="13">
        <v>250230018</v>
      </c>
      <c r="C4531" s="15" t="s">
        <v>156</v>
      </c>
      <c r="D4531" s="13" t="s">
        <v>7307</v>
      </c>
      <c r="E4531" s="13" t="s">
        <v>7651</v>
      </c>
      <c r="F4531" s="43">
        <v>1.8</v>
      </c>
    </row>
    <row r="4532" spans="2:6" x14ac:dyDescent="0.25">
      <c r="B4532" s="13">
        <v>250301500</v>
      </c>
      <c r="C4532" s="15" t="s">
        <v>156</v>
      </c>
      <c r="D4532" s="13" t="s">
        <v>7307</v>
      </c>
      <c r="E4532" s="13" t="s">
        <v>7652</v>
      </c>
      <c r="F4532" s="43">
        <v>5.04</v>
      </c>
    </row>
    <row r="4533" spans="2:6" x14ac:dyDescent="0.25">
      <c r="B4533" s="13">
        <v>250303504</v>
      </c>
      <c r="C4533" s="15" t="s">
        <v>156</v>
      </c>
      <c r="D4533" s="13" t="s">
        <v>7307</v>
      </c>
      <c r="E4533" s="13" t="s">
        <v>7653</v>
      </c>
      <c r="F4533" s="43">
        <v>13.91</v>
      </c>
    </row>
    <row r="4534" spans="2:6" x14ac:dyDescent="0.25">
      <c r="B4534" s="13">
        <v>250305004</v>
      </c>
      <c r="C4534" s="15" t="s">
        <v>156</v>
      </c>
      <c r="D4534" s="13" t="s">
        <v>7307</v>
      </c>
      <c r="E4534" s="13" t="s">
        <v>7654</v>
      </c>
      <c r="F4534" s="43">
        <v>14.42</v>
      </c>
    </row>
    <row r="4535" spans="2:6" x14ac:dyDescent="0.25">
      <c r="B4535" s="13">
        <v>250305015</v>
      </c>
      <c r="C4535" s="15" t="s">
        <v>156</v>
      </c>
      <c r="D4535" s="13" t="s">
        <v>7307</v>
      </c>
      <c r="E4535" s="13" t="s">
        <v>7655</v>
      </c>
      <c r="F4535" s="43">
        <v>4.1399999999999997</v>
      </c>
    </row>
    <row r="4536" spans="2:6" x14ac:dyDescent="0.25">
      <c r="B4536" s="13" t="s">
        <v>7656</v>
      </c>
      <c r="C4536" s="15" t="s">
        <v>156</v>
      </c>
      <c r="D4536" s="13" t="s">
        <v>7307</v>
      </c>
      <c r="E4536" s="13" t="s">
        <v>7657</v>
      </c>
      <c r="F4536" s="43">
        <v>15.75</v>
      </c>
    </row>
    <row r="4537" spans="2:6" x14ac:dyDescent="0.25">
      <c r="B4537" s="13" t="s">
        <v>7658</v>
      </c>
      <c r="C4537" s="15" t="s">
        <v>156</v>
      </c>
      <c r="D4537" s="13" t="s">
        <v>7307</v>
      </c>
      <c r="E4537" s="13" t="s">
        <v>7659</v>
      </c>
      <c r="F4537" s="43">
        <v>104.93</v>
      </c>
    </row>
    <row r="4538" spans="2:6" x14ac:dyDescent="0.25">
      <c r="B4538" s="13" t="s">
        <v>7660</v>
      </c>
      <c r="C4538" s="15" t="s">
        <v>156</v>
      </c>
      <c r="D4538" s="13" t="s">
        <v>7307</v>
      </c>
      <c r="E4538" s="13" t="s">
        <v>7661</v>
      </c>
      <c r="F4538" s="43">
        <v>141.22</v>
      </c>
    </row>
    <row r="4539" spans="2:6" x14ac:dyDescent="0.25">
      <c r="B4539" s="13" t="s">
        <v>7662</v>
      </c>
      <c r="C4539" s="15" t="s">
        <v>156</v>
      </c>
      <c r="D4539" s="13" t="s">
        <v>7307</v>
      </c>
      <c r="E4539" s="13" t="s">
        <v>7663</v>
      </c>
      <c r="F4539" s="43">
        <v>55.48</v>
      </c>
    </row>
    <row r="4540" spans="2:6" x14ac:dyDescent="0.25">
      <c r="B4540" s="13" t="s">
        <v>7664</v>
      </c>
      <c r="C4540" s="15" t="s">
        <v>156</v>
      </c>
      <c r="D4540" s="13" t="s">
        <v>7307</v>
      </c>
      <c r="E4540" s="13" t="s">
        <v>7665</v>
      </c>
      <c r="F4540" s="43">
        <v>9.07</v>
      </c>
    </row>
    <row r="4541" spans="2:6" x14ac:dyDescent="0.25">
      <c r="B4541" s="13" t="s">
        <v>7666</v>
      </c>
      <c r="C4541" s="15" t="s">
        <v>156</v>
      </c>
      <c r="D4541" s="13" t="s">
        <v>7307</v>
      </c>
      <c r="E4541" s="13" t="s">
        <v>7667</v>
      </c>
      <c r="F4541" s="43">
        <v>25.24</v>
      </c>
    </row>
    <row r="4542" spans="2:6" x14ac:dyDescent="0.25">
      <c r="B4542" s="13" t="s">
        <v>7668</v>
      </c>
      <c r="C4542" s="15" t="s">
        <v>156</v>
      </c>
      <c r="D4542" s="13" t="s">
        <v>7307</v>
      </c>
      <c r="E4542" s="13" t="s">
        <v>7669</v>
      </c>
      <c r="F4542" s="43">
        <v>0.32</v>
      </c>
    </row>
    <row r="4543" spans="2:6" x14ac:dyDescent="0.25">
      <c r="B4543" s="13" t="s">
        <v>7670</v>
      </c>
      <c r="C4543" s="15" t="s">
        <v>156</v>
      </c>
      <c r="D4543" s="13" t="s">
        <v>7307</v>
      </c>
      <c r="E4543" s="13" t="s">
        <v>7671</v>
      </c>
      <c r="F4543" s="43">
        <v>0.32</v>
      </c>
    </row>
    <row r="4544" spans="2:6" x14ac:dyDescent="0.25">
      <c r="B4544" s="13" t="s">
        <v>7672</v>
      </c>
      <c r="C4544" s="15" t="s">
        <v>156</v>
      </c>
      <c r="D4544" s="13" t="s">
        <v>7307</v>
      </c>
      <c r="E4544" s="13" t="s">
        <v>7673</v>
      </c>
      <c r="F4544" s="43">
        <v>2.75</v>
      </c>
    </row>
    <row r="4545" spans="2:6" x14ac:dyDescent="0.25">
      <c r="B4545" s="13" t="s">
        <v>7674</v>
      </c>
      <c r="C4545" s="15" t="s">
        <v>156</v>
      </c>
      <c r="D4545" s="13" t="s">
        <v>7307</v>
      </c>
      <c r="E4545" s="13" t="s">
        <v>7675</v>
      </c>
      <c r="F4545" s="43">
        <v>1.06</v>
      </c>
    </row>
    <row r="4546" spans="2:6" x14ac:dyDescent="0.25">
      <c r="B4546" s="13" t="s">
        <v>7676</v>
      </c>
      <c r="C4546" s="15" t="s">
        <v>156</v>
      </c>
      <c r="D4546" s="13" t="s">
        <v>7307</v>
      </c>
      <c r="E4546" s="13" t="s">
        <v>7677</v>
      </c>
      <c r="F4546" s="43">
        <v>0</v>
      </c>
    </row>
    <row r="4547" spans="2:6" x14ac:dyDescent="0.25">
      <c r="B4547" s="13" t="s">
        <v>7678</v>
      </c>
      <c r="C4547" s="15" t="s">
        <v>156</v>
      </c>
      <c r="D4547" s="13" t="s">
        <v>7307</v>
      </c>
      <c r="E4547" s="13" t="s">
        <v>7679</v>
      </c>
      <c r="F4547" s="43">
        <v>3.36</v>
      </c>
    </row>
    <row r="4548" spans="2:6" x14ac:dyDescent="0.25">
      <c r="B4548" s="13" t="s">
        <v>7680</v>
      </c>
      <c r="C4548" s="15" t="s">
        <v>156</v>
      </c>
      <c r="D4548" s="13" t="s">
        <v>7307</v>
      </c>
      <c r="E4548" s="13" t="s">
        <v>7681</v>
      </c>
      <c r="F4548" s="43">
        <v>52.5</v>
      </c>
    </row>
    <row r="4549" spans="2:6" x14ac:dyDescent="0.25">
      <c r="B4549" s="13" t="s">
        <v>7682</v>
      </c>
      <c r="C4549" s="15" t="s">
        <v>156</v>
      </c>
      <c r="D4549" s="13" t="s">
        <v>7307</v>
      </c>
      <c r="E4549" s="13" t="s">
        <v>7683</v>
      </c>
      <c r="F4549" s="43">
        <v>3.36</v>
      </c>
    </row>
    <row r="4550" spans="2:6" x14ac:dyDescent="0.25">
      <c r="B4550" s="13" t="s">
        <v>7684</v>
      </c>
      <c r="C4550" s="15" t="s">
        <v>156</v>
      </c>
      <c r="D4550" s="13" t="s">
        <v>7307</v>
      </c>
      <c r="E4550" s="13" t="s">
        <v>7685</v>
      </c>
      <c r="F4550" s="43">
        <v>52.5</v>
      </c>
    </row>
    <row r="4551" spans="2:6" x14ac:dyDescent="0.25">
      <c r="B4551" s="13" t="s">
        <v>7686</v>
      </c>
      <c r="C4551" s="15" t="s">
        <v>156</v>
      </c>
      <c r="D4551" s="13" t="s">
        <v>7307</v>
      </c>
      <c r="E4551" s="13" t="s">
        <v>7687</v>
      </c>
      <c r="F4551" s="43">
        <v>3.36</v>
      </c>
    </row>
    <row r="4552" spans="2:6" x14ac:dyDescent="0.25">
      <c r="B4552" s="13" t="s">
        <v>7688</v>
      </c>
      <c r="C4552" s="15" t="s">
        <v>156</v>
      </c>
      <c r="D4552" s="13" t="s">
        <v>7307</v>
      </c>
      <c r="E4552" s="13" t="s">
        <v>7689</v>
      </c>
      <c r="F4552" s="43">
        <v>105</v>
      </c>
    </row>
    <row r="4553" spans="2:6" x14ac:dyDescent="0.25">
      <c r="B4553" s="13" t="s">
        <v>7690</v>
      </c>
      <c r="C4553" s="15" t="s">
        <v>156</v>
      </c>
      <c r="D4553" s="13" t="s">
        <v>7307</v>
      </c>
      <c r="E4553" s="13" t="s">
        <v>7691</v>
      </c>
      <c r="F4553" s="43">
        <v>3.36</v>
      </c>
    </row>
    <row r="4554" spans="2:6" x14ac:dyDescent="0.25">
      <c r="B4554" s="13" t="s">
        <v>7692</v>
      </c>
      <c r="C4554" s="15" t="s">
        <v>156</v>
      </c>
      <c r="D4554" s="13" t="s">
        <v>7307</v>
      </c>
      <c r="E4554" s="13" t="s">
        <v>7693</v>
      </c>
      <c r="F4554" s="43">
        <v>0</v>
      </c>
    </row>
    <row r="4555" spans="2:6" x14ac:dyDescent="0.25">
      <c r="B4555" s="13" t="s">
        <v>7694</v>
      </c>
      <c r="C4555" s="15" t="s">
        <v>156</v>
      </c>
      <c r="D4555" s="13" t="s">
        <v>7307</v>
      </c>
      <c r="E4555" s="13" t="s">
        <v>7695</v>
      </c>
      <c r="F4555" s="43">
        <v>3.36</v>
      </c>
    </row>
    <row r="4556" spans="2:6" x14ac:dyDescent="0.25">
      <c r="B4556" s="13" t="s">
        <v>7696</v>
      </c>
      <c r="C4556" s="15" t="s">
        <v>156</v>
      </c>
      <c r="D4556" s="13" t="s">
        <v>7307</v>
      </c>
      <c r="E4556" s="13" t="s">
        <v>7697</v>
      </c>
      <c r="F4556" s="43">
        <v>0</v>
      </c>
    </row>
    <row r="4557" spans="2:6" x14ac:dyDescent="0.25">
      <c r="B4557" s="13" t="s">
        <v>7698</v>
      </c>
      <c r="C4557" s="15" t="s">
        <v>156</v>
      </c>
      <c r="D4557" s="13" t="s">
        <v>7307</v>
      </c>
      <c r="E4557" s="13" t="s">
        <v>7699</v>
      </c>
      <c r="F4557" s="43">
        <v>4.66</v>
      </c>
    </row>
    <row r="4558" spans="2:6" x14ac:dyDescent="0.25">
      <c r="B4558" s="13" t="s">
        <v>7700</v>
      </c>
      <c r="C4558" s="15" t="s">
        <v>156</v>
      </c>
      <c r="D4558" s="13" t="s">
        <v>7307</v>
      </c>
      <c r="E4558" s="13" t="s">
        <v>7701</v>
      </c>
      <c r="F4558" s="43">
        <v>0</v>
      </c>
    </row>
    <row r="4559" spans="2:6" x14ac:dyDescent="0.25">
      <c r="B4559" s="13" t="s">
        <v>7702</v>
      </c>
      <c r="C4559" s="15" t="s">
        <v>156</v>
      </c>
      <c r="D4559" s="13" t="s">
        <v>7307</v>
      </c>
      <c r="E4559" s="13" t="s">
        <v>7703</v>
      </c>
      <c r="F4559" s="43">
        <v>4.66</v>
      </c>
    </row>
    <row r="4560" spans="2:6" x14ac:dyDescent="0.25">
      <c r="B4560" s="13" t="s">
        <v>7704</v>
      </c>
      <c r="C4560" s="15" t="s">
        <v>156</v>
      </c>
      <c r="D4560" s="13" t="s">
        <v>7307</v>
      </c>
      <c r="E4560" s="13" t="s">
        <v>7705</v>
      </c>
      <c r="F4560" s="43">
        <v>0</v>
      </c>
    </row>
    <row r="4561" spans="2:6" x14ac:dyDescent="0.25">
      <c r="B4561" s="13" t="s">
        <v>7706</v>
      </c>
      <c r="C4561" s="15" t="s">
        <v>156</v>
      </c>
      <c r="D4561" s="13" t="s">
        <v>7307</v>
      </c>
      <c r="E4561" s="13" t="s">
        <v>7707</v>
      </c>
      <c r="F4561" s="43">
        <v>4.66</v>
      </c>
    </row>
    <row r="4562" spans="2:6" x14ac:dyDescent="0.25">
      <c r="B4562" s="13" t="s">
        <v>7708</v>
      </c>
      <c r="C4562" s="15" t="s">
        <v>156</v>
      </c>
      <c r="D4562" s="13" t="s">
        <v>7307</v>
      </c>
      <c r="E4562" s="13" t="s">
        <v>7709</v>
      </c>
      <c r="F4562" s="43">
        <v>0</v>
      </c>
    </row>
    <row r="4563" spans="2:6" x14ac:dyDescent="0.25">
      <c r="B4563" s="13" t="s">
        <v>7710</v>
      </c>
      <c r="C4563" s="15" t="s">
        <v>156</v>
      </c>
      <c r="D4563" s="13" t="s">
        <v>7307</v>
      </c>
      <c r="E4563" s="13" t="s">
        <v>7711</v>
      </c>
      <c r="F4563" s="43">
        <v>0</v>
      </c>
    </row>
    <row r="4564" spans="2:6" x14ac:dyDescent="0.25">
      <c r="B4564" s="13" t="s">
        <v>7712</v>
      </c>
      <c r="C4564" s="15" t="s">
        <v>156</v>
      </c>
      <c r="D4564" s="13" t="s">
        <v>7307</v>
      </c>
      <c r="E4564" s="13" t="s">
        <v>7713</v>
      </c>
      <c r="F4564" s="43">
        <v>0</v>
      </c>
    </row>
    <row r="4565" spans="2:6" x14ac:dyDescent="0.25">
      <c r="B4565" s="13" t="s">
        <v>7714</v>
      </c>
      <c r="C4565" s="15" t="s">
        <v>156</v>
      </c>
      <c r="D4565" s="13" t="s">
        <v>7307</v>
      </c>
      <c r="E4565" s="13" t="s">
        <v>7715</v>
      </c>
      <c r="F4565" s="43">
        <v>0</v>
      </c>
    </row>
    <row r="4566" spans="2:6" x14ac:dyDescent="0.25">
      <c r="B4566" s="13" t="s">
        <v>7716</v>
      </c>
      <c r="C4566" s="15" t="s">
        <v>156</v>
      </c>
      <c r="D4566" s="13" t="s">
        <v>7307</v>
      </c>
      <c r="E4566" s="13" t="s">
        <v>7717</v>
      </c>
      <c r="F4566" s="43">
        <v>0</v>
      </c>
    </row>
    <row r="4567" spans="2:6" x14ac:dyDescent="0.25">
      <c r="B4567" s="13" t="s">
        <v>7718</v>
      </c>
      <c r="C4567" s="15" t="s">
        <v>156</v>
      </c>
      <c r="D4567" s="13" t="s">
        <v>7307</v>
      </c>
      <c r="E4567" s="13" t="s">
        <v>7719</v>
      </c>
      <c r="F4567" s="43">
        <v>4.66</v>
      </c>
    </row>
    <row r="4568" spans="2:6" x14ac:dyDescent="0.25">
      <c r="B4568" s="13" t="s">
        <v>7720</v>
      </c>
      <c r="C4568" s="15" t="s">
        <v>156</v>
      </c>
      <c r="D4568" s="13" t="s">
        <v>7307</v>
      </c>
      <c r="E4568" s="13" t="s">
        <v>7721</v>
      </c>
      <c r="F4568" s="43">
        <v>4.66</v>
      </c>
    </row>
    <row r="4569" spans="2:6" x14ac:dyDescent="0.25">
      <c r="B4569" s="13" t="s">
        <v>7722</v>
      </c>
      <c r="C4569" s="15" t="s">
        <v>156</v>
      </c>
      <c r="D4569" s="13" t="s">
        <v>7307</v>
      </c>
      <c r="E4569" s="13" t="s">
        <v>7723</v>
      </c>
      <c r="F4569" s="43">
        <v>0</v>
      </c>
    </row>
    <row r="4570" spans="2:6" x14ac:dyDescent="0.25">
      <c r="B4570" s="13" t="s">
        <v>7724</v>
      </c>
      <c r="C4570" s="15" t="s">
        <v>156</v>
      </c>
      <c r="D4570" s="13" t="s">
        <v>7307</v>
      </c>
      <c r="E4570" s="13" t="s">
        <v>7725</v>
      </c>
      <c r="F4570" s="43">
        <v>4.66</v>
      </c>
    </row>
    <row r="4571" spans="2:6" x14ac:dyDescent="0.25">
      <c r="B4571" s="13" t="s">
        <v>7726</v>
      </c>
      <c r="C4571" s="15" t="s">
        <v>156</v>
      </c>
      <c r="D4571" s="13" t="s">
        <v>7307</v>
      </c>
      <c r="E4571" s="13" t="s">
        <v>7727</v>
      </c>
      <c r="F4571" s="43">
        <v>0</v>
      </c>
    </row>
    <row r="4572" spans="2:6" x14ac:dyDescent="0.25">
      <c r="B4572" s="13" t="s">
        <v>7728</v>
      </c>
      <c r="C4572" s="15" t="s">
        <v>156</v>
      </c>
      <c r="D4572" s="13" t="s">
        <v>7307</v>
      </c>
      <c r="E4572" s="13" t="s">
        <v>7729</v>
      </c>
      <c r="F4572" s="43">
        <v>4.4400000000000004</v>
      </c>
    </row>
    <row r="4573" spans="2:6" x14ac:dyDescent="0.25">
      <c r="B4573" s="13" t="s">
        <v>7730</v>
      </c>
      <c r="C4573" s="15" t="s">
        <v>156</v>
      </c>
      <c r="D4573" s="13" t="s">
        <v>7307</v>
      </c>
      <c r="E4573" s="13" t="s">
        <v>7731</v>
      </c>
      <c r="F4573" s="43">
        <v>0</v>
      </c>
    </row>
    <row r="4574" spans="2:6" x14ac:dyDescent="0.25">
      <c r="B4574" s="13" t="s">
        <v>7732</v>
      </c>
      <c r="C4574" s="15" t="s">
        <v>156</v>
      </c>
      <c r="D4574" s="13" t="s">
        <v>7307</v>
      </c>
      <c r="E4574" s="13" t="s">
        <v>7733</v>
      </c>
      <c r="F4574" s="43">
        <v>4.66</v>
      </c>
    </row>
    <row r="4575" spans="2:6" x14ac:dyDescent="0.25">
      <c r="B4575" s="13" t="s">
        <v>7734</v>
      </c>
      <c r="C4575" s="15" t="s">
        <v>156</v>
      </c>
      <c r="D4575" s="13" t="s">
        <v>7307</v>
      </c>
      <c r="E4575" s="13" t="s">
        <v>7735</v>
      </c>
      <c r="F4575" s="43">
        <v>0</v>
      </c>
    </row>
    <row r="4576" spans="2:6" x14ac:dyDescent="0.25">
      <c r="B4576" s="13" t="s">
        <v>7736</v>
      </c>
      <c r="C4576" s="15" t="s">
        <v>156</v>
      </c>
      <c r="D4576" s="13" t="s">
        <v>7307</v>
      </c>
      <c r="E4576" s="13" t="s">
        <v>7737</v>
      </c>
      <c r="F4576" s="43">
        <v>4.66</v>
      </c>
    </row>
    <row r="4577" spans="2:6" x14ac:dyDescent="0.25">
      <c r="B4577" s="13" t="s">
        <v>7738</v>
      </c>
      <c r="C4577" s="15" t="s">
        <v>156</v>
      </c>
      <c r="D4577" s="13" t="s">
        <v>7307</v>
      </c>
      <c r="E4577" s="13" t="s">
        <v>7739</v>
      </c>
      <c r="F4577" s="43">
        <v>0</v>
      </c>
    </row>
    <row r="4578" spans="2:6" x14ac:dyDescent="0.25">
      <c r="B4578" s="13" t="s">
        <v>7740</v>
      </c>
      <c r="C4578" s="15" t="s">
        <v>156</v>
      </c>
      <c r="D4578" s="13" t="s">
        <v>7307</v>
      </c>
      <c r="E4578" s="13" t="s">
        <v>7741</v>
      </c>
      <c r="F4578" s="43">
        <v>2.33</v>
      </c>
    </row>
    <row r="4579" spans="2:6" x14ac:dyDescent="0.25">
      <c r="B4579" s="13" t="s">
        <v>7742</v>
      </c>
      <c r="C4579" s="15" t="s">
        <v>156</v>
      </c>
      <c r="D4579" s="13" t="s">
        <v>7307</v>
      </c>
      <c r="E4579" s="13" t="s">
        <v>7743</v>
      </c>
      <c r="F4579" s="43">
        <v>10.029999999999999</v>
      </c>
    </row>
    <row r="4580" spans="2:6" x14ac:dyDescent="0.25">
      <c r="B4580" s="13" t="s">
        <v>7744</v>
      </c>
      <c r="C4580" s="15" t="s">
        <v>156</v>
      </c>
      <c r="D4580" s="13" t="s">
        <v>7307</v>
      </c>
      <c r="E4580" s="13" t="s">
        <v>7745</v>
      </c>
      <c r="F4580" s="43">
        <v>5.0199999999999996</v>
      </c>
    </row>
    <row r="4581" spans="2:6" x14ac:dyDescent="0.25">
      <c r="B4581" s="13" t="s">
        <v>7746</v>
      </c>
      <c r="C4581" s="15" t="s">
        <v>156</v>
      </c>
      <c r="D4581" s="13" t="s">
        <v>7307</v>
      </c>
      <c r="E4581" s="13" t="s">
        <v>7747</v>
      </c>
      <c r="F4581" s="43">
        <v>28.66</v>
      </c>
    </row>
    <row r="4582" spans="2:6" x14ac:dyDescent="0.25">
      <c r="B4582" s="13" t="s">
        <v>7748</v>
      </c>
      <c r="C4582" s="15" t="s">
        <v>156</v>
      </c>
      <c r="D4582" s="13" t="s">
        <v>7307</v>
      </c>
      <c r="E4582" s="13" t="s">
        <v>7749</v>
      </c>
      <c r="F4582" s="43">
        <v>0.46</v>
      </c>
    </row>
    <row r="4583" spans="2:6" x14ac:dyDescent="0.25">
      <c r="B4583" s="13" t="s">
        <v>7750</v>
      </c>
      <c r="C4583" s="15" t="s">
        <v>156</v>
      </c>
      <c r="D4583" s="13" t="s">
        <v>7307</v>
      </c>
      <c r="E4583" s="13" t="s">
        <v>7751</v>
      </c>
      <c r="F4583" s="43">
        <v>0.7</v>
      </c>
    </row>
    <row r="4584" spans="2:6" x14ac:dyDescent="0.25">
      <c r="B4584" s="13" t="s">
        <v>7752</v>
      </c>
      <c r="C4584" s="15" t="s">
        <v>156</v>
      </c>
      <c r="D4584" s="13" t="s">
        <v>7307</v>
      </c>
      <c r="E4584" s="13" t="s">
        <v>7753</v>
      </c>
      <c r="F4584" s="43">
        <v>0.54</v>
      </c>
    </row>
    <row r="4585" spans="2:6" x14ac:dyDescent="0.25">
      <c r="B4585" s="13" t="s">
        <v>7754</v>
      </c>
      <c r="C4585" s="15" t="s">
        <v>156</v>
      </c>
      <c r="D4585" s="13" t="s">
        <v>7307</v>
      </c>
      <c r="E4585" s="13" t="s">
        <v>7755</v>
      </c>
      <c r="F4585" s="43">
        <v>0.5</v>
      </c>
    </row>
    <row r="4586" spans="2:6" x14ac:dyDescent="0.25">
      <c r="B4586" s="13" t="s">
        <v>7756</v>
      </c>
      <c r="C4586" s="15" t="s">
        <v>156</v>
      </c>
      <c r="D4586" s="13" t="s">
        <v>7307</v>
      </c>
      <c r="E4586" s="13" t="s">
        <v>7757</v>
      </c>
      <c r="F4586" s="43">
        <v>0.52</v>
      </c>
    </row>
    <row r="4587" spans="2:6" x14ac:dyDescent="0.25">
      <c r="B4587" s="13" t="s">
        <v>7758</v>
      </c>
      <c r="C4587" s="15" t="s">
        <v>156</v>
      </c>
      <c r="D4587" s="13" t="s">
        <v>7307</v>
      </c>
      <c r="E4587" s="13" t="s">
        <v>7759</v>
      </c>
      <c r="F4587" s="43">
        <v>0.56999999999999995</v>
      </c>
    </row>
    <row r="4588" spans="2:6" x14ac:dyDescent="0.25">
      <c r="B4588" s="13" t="s">
        <v>7760</v>
      </c>
      <c r="C4588" s="15" t="s">
        <v>156</v>
      </c>
      <c r="D4588" s="13" t="s">
        <v>7307</v>
      </c>
      <c r="E4588" s="13" t="s">
        <v>7761</v>
      </c>
      <c r="F4588" s="43">
        <v>2.74</v>
      </c>
    </row>
    <row r="4589" spans="2:6" x14ac:dyDescent="0.25">
      <c r="B4589" s="13" t="s">
        <v>7762</v>
      </c>
      <c r="C4589" s="15" t="s">
        <v>156</v>
      </c>
      <c r="D4589" s="13" t="s">
        <v>7307</v>
      </c>
      <c r="E4589" s="13" t="s">
        <v>7763</v>
      </c>
      <c r="F4589" s="43">
        <v>2.74</v>
      </c>
    </row>
    <row r="4590" spans="2:6" x14ac:dyDescent="0.25">
      <c r="B4590" s="13" t="s">
        <v>7764</v>
      </c>
      <c r="C4590" s="15" t="s">
        <v>156</v>
      </c>
      <c r="D4590" s="13" t="s">
        <v>7307</v>
      </c>
      <c r="E4590" s="13" t="s">
        <v>7765</v>
      </c>
      <c r="F4590" s="43">
        <v>2.74</v>
      </c>
    </row>
    <row r="4591" spans="2:6" x14ac:dyDescent="0.25">
      <c r="B4591" s="13" t="s">
        <v>7766</v>
      </c>
      <c r="C4591" s="15" t="s">
        <v>156</v>
      </c>
      <c r="D4591" s="13" t="s">
        <v>7307</v>
      </c>
      <c r="E4591" s="13" t="s">
        <v>7767</v>
      </c>
      <c r="F4591" s="43">
        <v>2.74</v>
      </c>
    </row>
    <row r="4592" spans="2:6" x14ac:dyDescent="0.25">
      <c r="B4592" s="13" t="s">
        <v>7768</v>
      </c>
      <c r="C4592" s="15" t="s">
        <v>156</v>
      </c>
      <c r="D4592" s="13" t="s">
        <v>7307</v>
      </c>
      <c r="E4592" s="13" t="s">
        <v>7769</v>
      </c>
      <c r="F4592" s="43">
        <v>2.74</v>
      </c>
    </row>
    <row r="4593" spans="2:6" x14ac:dyDescent="0.25">
      <c r="B4593" s="13" t="s">
        <v>7770</v>
      </c>
      <c r="C4593" s="15" t="s">
        <v>156</v>
      </c>
      <c r="D4593" s="13" t="s">
        <v>7307</v>
      </c>
      <c r="E4593" s="13" t="s">
        <v>7771</v>
      </c>
      <c r="F4593" s="43">
        <v>2.74</v>
      </c>
    </row>
    <row r="4594" spans="2:6" x14ac:dyDescent="0.25">
      <c r="B4594" s="13" t="s">
        <v>7772</v>
      </c>
      <c r="C4594" s="15" t="s">
        <v>156</v>
      </c>
      <c r="D4594" s="13" t="s">
        <v>7307</v>
      </c>
      <c r="E4594" s="13" t="s">
        <v>7773</v>
      </c>
      <c r="F4594" s="43">
        <v>2.74</v>
      </c>
    </row>
    <row r="4595" spans="2:6" x14ac:dyDescent="0.25">
      <c r="B4595" s="13" t="s">
        <v>7774</v>
      </c>
      <c r="C4595" s="15" t="s">
        <v>156</v>
      </c>
      <c r="D4595" s="13" t="s">
        <v>7307</v>
      </c>
      <c r="E4595" s="13" t="s">
        <v>7775</v>
      </c>
      <c r="F4595" s="43">
        <v>2.74</v>
      </c>
    </row>
    <row r="4596" spans="2:6" x14ac:dyDescent="0.25">
      <c r="B4596" s="13" t="s">
        <v>7776</v>
      </c>
      <c r="C4596" s="15" t="s">
        <v>156</v>
      </c>
      <c r="D4596" s="13" t="s">
        <v>7307</v>
      </c>
      <c r="E4596" s="13" t="s">
        <v>7777</v>
      </c>
      <c r="F4596" s="43">
        <v>2.74</v>
      </c>
    </row>
    <row r="4597" spans="2:6" x14ac:dyDescent="0.25">
      <c r="B4597" s="13" t="s">
        <v>7778</v>
      </c>
      <c r="C4597" s="15" t="s">
        <v>156</v>
      </c>
      <c r="D4597" s="13" t="s">
        <v>7307</v>
      </c>
      <c r="E4597" s="13" t="s">
        <v>7779</v>
      </c>
      <c r="F4597" s="43">
        <v>2.74</v>
      </c>
    </row>
    <row r="4598" spans="2:6" x14ac:dyDescent="0.25">
      <c r="B4598" s="13" t="s">
        <v>7780</v>
      </c>
      <c r="C4598" s="15" t="s">
        <v>156</v>
      </c>
      <c r="D4598" s="13" t="s">
        <v>7307</v>
      </c>
      <c r="E4598" s="13" t="s">
        <v>7781</v>
      </c>
      <c r="F4598" s="43">
        <v>2.74</v>
      </c>
    </row>
    <row r="4599" spans="2:6" x14ac:dyDescent="0.25">
      <c r="B4599" s="13" t="s">
        <v>7782</v>
      </c>
      <c r="C4599" s="15" t="s">
        <v>156</v>
      </c>
      <c r="D4599" s="13" t="s">
        <v>7307</v>
      </c>
      <c r="E4599" s="13" t="s">
        <v>7783</v>
      </c>
      <c r="F4599" s="43">
        <v>2.74</v>
      </c>
    </row>
    <row r="4600" spans="2:6" x14ac:dyDescent="0.25">
      <c r="B4600" s="13" t="s">
        <v>7784</v>
      </c>
      <c r="C4600" s="15" t="s">
        <v>156</v>
      </c>
      <c r="D4600" s="13" t="s">
        <v>7307</v>
      </c>
      <c r="E4600" s="13" t="s">
        <v>7785</v>
      </c>
      <c r="F4600" s="43">
        <v>2.74</v>
      </c>
    </row>
    <row r="4601" spans="2:6" x14ac:dyDescent="0.25">
      <c r="B4601" s="13" t="s">
        <v>7786</v>
      </c>
      <c r="C4601" s="15" t="s">
        <v>156</v>
      </c>
      <c r="D4601" s="13" t="s">
        <v>7307</v>
      </c>
      <c r="E4601" s="13" t="s">
        <v>7787</v>
      </c>
      <c r="F4601" s="43">
        <v>2.74</v>
      </c>
    </row>
    <row r="4602" spans="2:6" x14ac:dyDescent="0.25">
      <c r="B4602" s="13" t="s">
        <v>7788</v>
      </c>
      <c r="C4602" s="15" t="s">
        <v>156</v>
      </c>
      <c r="D4602" s="13" t="s">
        <v>7307</v>
      </c>
      <c r="E4602" s="13" t="s">
        <v>7789</v>
      </c>
      <c r="F4602" s="43">
        <v>2.74</v>
      </c>
    </row>
    <row r="4603" spans="2:6" x14ac:dyDescent="0.25">
      <c r="B4603" s="13" t="s">
        <v>7790</v>
      </c>
      <c r="C4603" s="15" t="s">
        <v>156</v>
      </c>
      <c r="D4603" s="13" t="s">
        <v>7307</v>
      </c>
      <c r="E4603" s="13" t="s">
        <v>7791</v>
      </c>
      <c r="F4603" s="43">
        <v>2.74</v>
      </c>
    </row>
    <row r="4604" spans="2:6" x14ac:dyDescent="0.25">
      <c r="B4604" s="13" t="s">
        <v>7792</v>
      </c>
      <c r="C4604" s="15" t="s">
        <v>156</v>
      </c>
      <c r="D4604" s="13" t="s">
        <v>7307</v>
      </c>
      <c r="E4604" s="13" t="s">
        <v>7793</v>
      </c>
      <c r="F4604" s="43">
        <v>2.74</v>
      </c>
    </row>
    <row r="4605" spans="2:6" x14ac:dyDescent="0.25">
      <c r="B4605" s="13" t="s">
        <v>7794</v>
      </c>
      <c r="C4605" s="15" t="s">
        <v>156</v>
      </c>
      <c r="D4605" s="13" t="s">
        <v>7307</v>
      </c>
      <c r="E4605" s="13" t="s">
        <v>7795</v>
      </c>
      <c r="F4605" s="43">
        <v>2.74</v>
      </c>
    </row>
    <row r="4606" spans="2:6" x14ac:dyDescent="0.25">
      <c r="B4606" s="13" t="s">
        <v>7796</v>
      </c>
      <c r="C4606" s="15" t="s">
        <v>156</v>
      </c>
      <c r="D4606" s="13" t="s">
        <v>7307</v>
      </c>
      <c r="E4606" s="13" t="s">
        <v>7797</v>
      </c>
      <c r="F4606" s="43">
        <v>2.74</v>
      </c>
    </row>
    <row r="4607" spans="2:6" x14ac:dyDescent="0.25">
      <c r="B4607" s="13" t="s">
        <v>7798</v>
      </c>
      <c r="C4607" s="15" t="s">
        <v>156</v>
      </c>
      <c r="D4607" s="13" t="s">
        <v>7307</v>
      </c>
      <c r="E4607" s="13" t="s">
        <v>7799</v>
      </c>
      <c r="F4607" s="43">
        <v>2.74</v>
      </c>
    </row>
    <row r="4608" spans="2:6" x14ac:dyDescent="0.25">
      <c r="B4608" s="13" t="s">
        <v>7800</v>
      </c>
      <c r="C4608" s="15" t="s">
        <v>156</v>
      </c>
      <c r="D4608" s="13" t="s">
        <v>7307</v>
      </c>
      <c r="E4608" s="13" t="s">
        <v>7801</v>
      </c>
      <c r="F4608" s="43">
        <v>2.74</v>
      </c>
    </row>
    <row r="4609" spans="2:6" x14ac:dyDescent="0.25">
      <c r="B4609" s="13" t="s">
        <v>7802</v>
      </c>
      <c r="C4609" s="15" t="s">
        <v>156</v>
      </c>
      <c r="D4609" s="13" t="s">
        <v>7307</v>
      </c>
      <c r="E4609" s="13" t="s">
        <v>7803</v>
      </c>
      <c r="F4609" s="43">
        <v>2.74</v>
      </c>
    </row>
    <row r="4610" spans="2:6" x14ac:dyDescent="0.25">
      <c r="B4610" s="13" t="s">
        <v>7804</v>
      </c>
      <c r="C4610" s="15" t="s">
        <v>156</v>
      </c>
      <c r="D4610" s="13" t="s">
        <v>7307</v>
      </c>
      <c r="E4610" s="13" t="s">
        <v>7805</v>
      </c>
      <c r="F4610" s="43">
        <v>2.74</v>
      </c>
    </row>
    <row r="4611" spans="2:6" x14ac:dyDescent="0.25">
      <c r="B4611" s="13" t="s">
        <v>7806</v>
      </c>
      <c r="C4611" s="15" t="s">
        <v>156</v>
      </c>
      <c r="D4611" s="13" t="s">
        <v>7307</v>
      </c>
      <c r="E4611" s="13" t="s">
        <v>7807</v>
      </c>
      <c r="F4611" s="43">
        <v>2.74</v>
      </c>
    </row>
    <row r="4612" spans="2:6" x14ac:dyDescent="0.25">
      <c r="B4612" s="13" t="s">
        <v>7808</v>
      </c>
      <c r="C4612" s="15" t="s">
        <v>156</v>
      </c>
      <c r="D4612" s="13" t="s">
        <v>7307</v>
      </c>
      <c r="E4612" s="13" t="s">
        <v>7809</v>
      </c>
      <c r="F4612" s="43">
        <v>2.78</v>
      </c>
    </row>
    <row r="4613" spans="2:6" x14ac:dyDescent="0.25">
      <c r="B4613" s="13" t="s">
        <v>7810</v>
      </c>
      <c r="C4613" s="15" t="s">
        <v>156</v>
      </c>
      <c r="D4613" s="13" t="s">
        <v>7307</v>
      </c>
      <c r="E4613" s="13" t="s">
        <v>7811</v>
      </c>
      <c r="F4613" s="43">
        <v>2.83</v>
      </c>
    </row>
    <row r="4614" spans="2:6" x14ac:dyDescent="0.25">
      <c r="B4614" s="13" t="s">
        <v>7812</v>
      </c>
      <c r="C4614" s="15" t="s">
        <v>156</v>
      </c>
      <c r="D4614" s="13" t="s">
        <v>7307</v>
      </c>
      <c r="E4614" s="13" t="s">
        <v>7813</v>
      </c>
      <c r="F4614" s="43">
        <v>3.82</v>
      </c>
    </row>
    <row r="4615" spans="2:6" x14ac:dyDescent="0.25">
      <c r="B4615" s="13" t="s">
        <v>7814</v>
      </c>
      <c r="C4615" s="15" t="s">
        <v>156</v>
      </c>
      <c r="D4615" s="13" t="s">
        <v>7307</v>
      </c>
      <c r="E4615" s="13" t="s">
        <v>7815</v>
      </c>
      <c r="F4615" s="43">
        <v>4.3</v>
      </c>
    </row>
    <row r="4616" spans="2:6" x14ac:dyDescent="0.25">
      <c r="B4616" s="13" t="s">
        <v>7816</v>
      </c>
      <c r="C4616" s="15" t="s">
        <v>156</v>
      </c>
      <c r="D4616" s="13" t="s">
        <v>7307</v>
      </c>
      <c r="E4616" s="13" t="s">
        <v>7817</v>
      </c>
      <c r="F4616" s="43">
        <v>3.08</v>
      </c>
    </row>
    <row r="4617" spans="2:6" x14ac:dyDescent="0.25">
      <c r="B4617" s="13" t="s">
        <v>7818</v>
      </c>
      <c r="C4617" s="15" t="s">
        <v>156</v>
      </c>
      <c r="D4617" s="13" t="s">
        <v>7307</v>
      </c>
      <c r="E4617" s="13" t="s">
        <v>7819</v>
      </c>
      <c r="F4617" s="43">
        <v>11.35</v>
      </c>
    </row>
    <row r="4618" spans="2:6" x14ac:dyDescent="0.25">
      <c r="B4618" s="13" t="s">
        <v>7820</v>
      </c>
      <c r="C4618" s="15" t="s">
        <v>156</v>
      </c>
      <c r="D4618" s="13" t="s">
        <v>7307</v>
      </c>
      <c r="E4618" s="13" t="s">
        <v>7821</v>
      </c>
      <c r="F4618" s="43">
        <v>2.97</v>
      </c>
    </row>
    <row r="4619" spans="2:6" x14ac:dyDescent="0.25">
      <c r="B4619" s="13" t="s">
        <v>7822</v>
      </c>
      <c r="C4619" s="15" t="s">
        <v>156</v>
      </c>
      <c r="D4619" s="13" t="s">
        <v>7307</v>
      </c>
      <c r="E4619" s="13" t="s">
        <v>7823</v>
      </c>
      <c r="F4619" s="43">
        <v>106.28</v>
      </c>
    </row>
    <row r="4620" spans="2:6" x14ac:dyDescent="0.25">
      <c r="B4620" s="13" t="s">
        <v>7824</v>
      </c>
      <c r="C4620" s="15" t="s">
        <v>156</v>
      </c>
      <c r="D4620" s="13" t="s">
        <v>7307</v>
      </c>
      <c r="E4620" s="13" t="s">
        <v>7825</v>
      </c>
      <c r="F4620" s="43">
        <v>68.11</v>
      </c>
    </row>
    <row r="4621" spans="2:6" x14ac:dyDescent="0.25">
      <c r="B4621" s="13" t="s">
        <v>7826</v>
      </c>
      <c r="C4621" s="15" t="s">
        <v>156</v>
      </c>
      <c r="D4621" s="13" t="s">
        <v>7307</v>
      </c>
      <c r="E4621" s="13" t="s">
        <v>7827</v>
      </c>
      <c r="F4621" s="43">
        <v>37</v>
      </c>
    </row>
    <row r="4622" spans="2:6" x14ac:dyDescent="0.25">
      <c r="B4622" s="13" t="s">
        <v>7828</v>
      </c>
      <c r="C4622" s="15" t="s">
        <v>156</v>
      </c>
      <c r="D4622" s="13" t="s">
        <v>7307</v>
      </c>
      <c r="E4622" s="13" t="s">
        <v>7829</v>
      </c>
      <c r="F4622" s="43">
        <v>304.68</v>
      </c>
    </row>
    <row r="4623" spans="2:6" x14ac:dyDescent="0.25">
      <c r="B4623" s="13" t="s">
        <v>7830</v>
      </c>
      <c r="C4623" s="15" t="s">
        <v>156</v>
      </c>
      <c r="D4623" s="13" t="s">
        <v>7307</v>
      </c>
      <c r="E4623" s="13" t="s">
        <v>7831</v>
      </c>
      <c r="F4623" s="43">
        <v>52.21</v>
      </c>
    </row>
    <row r="4624" spans="2:6" x14ac:dyDescent="0.25">
      <c r="B4624" s="13" t="s">
        <v>7832</v>
      </c>
      <c r="C4624" s="15" t="s">
        <v>156</v>
      </c>
      <c r="D4624" s="13" t="s">
        <v>7307</v>
      </c>
      <c r="E4624" s="13" t="s">
        <v>7833</v>
      </c>
      <c r="F4624" s="43">
        <v>0.49</v>
      </c>
    </row>
    <row r="4625" spans="2:6" x14ac:dyDescent="0.25">
      <c r="B4625" s="13" t="s">
        <v>7834</v>
      </c>
      <c r="C4625" s="15" t="s">
        <v>156</v>
      </c>
      <c r="D4625" s="13" t="s">
        <v>7307</v>
      </c>
      <c r="E4625" s="13" t="s">
        <v>7835</v>
      </c>
      <c r="F4625" s="43">
        <v>11.37</v>
      </c>
    </row>
    <row r="4626" spans="2:6" x14ac:dyDescent="0.25">
      <c r="B4626" s="13" t="s">
        <v>7836</v>
      </c>
      <c r="C4626" s="15" t="s">
        <v>156</v>
      </c>
      <c r="D4626" s="13" t="s">
        <v>7307</v>
      </c>
      <c r="E4626" s="13" t="s">
        <v>7837</v>
      </c>
      <c r="F4626" s="43">
        <v>11.37</v>
      </c>
    </row>
    <row r="4627" spans="2:6" x14ac:dyDescent="0.25">
      <c r="B4627" s="13" t="s">
        <v>7838</v>
      </c>
      <c r="C4627" s="15" t="s">
        <v>156</v>
      </c>
      <c r="D4627" s="13" t="s">
        <v>7307</v>
      </c>
      <c r="E4627" s="13" t="s">
        <v>7839</v>
      </c>
      <c r="F4627" s="43">
        <v>10.83</v>
      </c>
    </row>
    <row r="4628" spans="2:6" x14ac:dyDescent="0.25">
      <c r="B4628" s="13" t="s">
        <v>7840</v>
      </c>
      <c r="C4628" s="15" t="s">
        <v>156</v>
      </c>
      <c r="D4628" s="13" t="s">
        <v>7307</v>
      </c>
      <c r="E4628" s="13" t="s">
        <v>7841</v>
      </c>
      <c r="F4628" s="43">
        <v>6.3</v>
      </c>
    </row>
    <row r="4629" spans="2:6" x14ac:dyDescent="0.25">
      <c r="B4629" s="13" t="s">
        <v>7842</v>
      </c>
      <c r="C4629" s="15" t="s">
        <v>156</v>
      </c>
      <c r="D4629" s="13" t="s">
        <v>7307</v>
      </c>
      <c r="E4629" s="13" t="s">
        <v>7843</v>
      </c>
      <c r="F4629" s="43">
        <v>10.83</v>
      </c>
    </row>
    <row r="4630" spans="2:6" x14ac:dyDescent="0.25">
      <c r="B4630" s="13" t="s">
        <v>7844</v>
      </c>
      <c r="C4630" s="15" t="s">
        <v>156</v>
      </c>
      <c r="D4630" s="13" t="s">
        <v>7307</v>
      </c>
      <c r="E4630" s="13" t="s">
        <v>7845</v>
      </c>
      <c r="F4630" s="43">
        <v>15.4</v>
      </c>
    </row>
    <row r="4631" spans="2:6" x14ac:dyDescent="0.25">
      <c r="B4631" s="13" t="s">
        <v>7846</v>
      </c>
      <c r="C4631" s="15" t="s">
        <v>156</v>
      </c>
      <c r="D4631" s="13" t="s">
        <v>7307</v>
      </c>
      <c r="E4631" s="13" t="s">
        <v>7847</v>
      </c>
      <c r="F4631" s="43">
        <v>10.83</v>
      </c>
    </row>
    <row r="4632" spans="2:6" x14ac:dyDescent="0.25">
      <c r="B4632" s="13" t="s">
        <v>7848</v>
      </c>
      <c r="C4632" s="15" t="s">
        <v>156</v>
      </c>
      <c r="D4632" s="13" t="s">
        <v>7307</v>
      </c>
      <c r="E4632" s="13" t="s">
        <v>7849</v>
      </c>
      <c r="F4632" s="43">
        <v>6.3</v>
      </c>
    </row>
    <row r="4633" spans="2:6" x14ac:dyDescent="0.25">
      <c r="B4633" s="13" t="s">
        <v>7850</v>
      </c>
      <c r="C4633" s="15" t="s">
        <v>156</v>
      </c>
      <c r="D4633" s="13" t="s">
        <v>7307</v>
      </c>
      <c r="E4633" s="13" t="s">
        <v>7851</v>
      </c>
      <c r="F4633" s="43">
        <v>11.37</v>
      </c>
    </row>
    <row r="4634" spans="2:6" x14ac:dyDescent="0.25">
      <c r="B4634" s="13" t="s">
        <v>7852</v>
      </c>
      <c r="C4634" s="15" t="s">
        <v>156</v>
      </c>
      <c r="D4634" s="13" t="s">
        <v>7307</v>
      </c>
      <c r="E4634" s="13" t="s">
        <v>7853</v>
      </c>
      <c r="F4634" s="43">
        <v>10.83</v>
      </c>
    </row>
    <row r="4635" spans="2:6" x14ac:dyDescent="0.25">
      <c r="B4635" s="13" t="s">
        <v>7854</v>
      </c>
      <c r="C4635" s="15" t="s">
        <v>156</v>
      </c>
      <c r="D4635" s="13" t="s">
        <v>7307</v>
      </c>
      <c r="E4635" s="13" t="s">
        <v>7855</v>
      </c>
      <c r="F4635" s="43">
        <v>10.83</v>
      </c>
    </row>
    <row r="4636" spans="2:6" x14ac:dyDescent="0.25">
      <c r="B4636" s="13" t="s">
        <v>7856</v>
      </c>
      <c r="C4636" s="15" t="s">
        <v>156</v>
      </c>
      <c r="D4636" s="13" t="s">
        <v>7307</v>
      </c>
      <c r="E4636" s="13" t="s">
        <v>7857</v>
      </c>
      <c r="F4636" s="43">
        <v>15.4</v>
      </c>
    </row>
    <row r="4637" spans="2:6" x14ac:dyDescent="0.25">
      <c r="B4637" s="13" t="s">
        <v>7858</v>
      </c>
      <c r="C4637" s="15" t="s">
        <v>156</v>
      </c>
      <c r="D4637" s="13" t="s">
        <v>7307</v>
      </c>
      <c r="E4637" s="13" t="s">
        <v>7859</v>
      </c>
      <c r="F4637" s="43">
        <v>15.4</v>
      </c>
    </row>
    <row r="4638" spans="2:6" x14ac:dyDescent="0.25">
      <c r="B4638" s="13" t="s">
        <v>7860</v>
      </c>
      <c r="C4638" s="15" t="s">
        <v>156</v>
      </c>
      <c r="D4638" s="13" t="s">
        <v>7307</v>
      </c>
      <c r="E4638" s="13" t="s">
        <v>7861</v>
      </c>
      <c r="F4638" s="43">
        <v>15.4</v>
      </c>
    </row>
    <row r="4639" spans="2:6" x14ac:dyDescent="0.25">
      <c r="B4639" s="13" t="s">
        <v>7862</v>
      </c>
      <c r="C4639" s="15" t="s">
        <v>156</v>
      </c>
      <c r="D4639" s="13" t="s">
        <v>7307</v>
      </c>
      <c r="E4639" s="13" t="s">
        <v>7863</v>
      </c>
      <c r="F4639" s="43">
        <v>15.4</v>
      </c>
    </row>
    <row r="4640" spans="2:6" x14ac:dyDescent="0.25">
      <c r="B4640" s="13" t="s">
        <v>7864</v>
      </c>
      <c r="C4640" s="15" t="s">
        <v>156</v>
      </c>
      <c r="D4640" s="13" t="s">
        <v>7307</v>
      </c>
      <c r="E4640" s="13" t="s">
        <v>7865</v>
      </c>
      <c r="F4640" s="43">
        <v>15.4</v>
      </c>
    </row>
    <row r="4641" spans="2:6" x14ac:dyDescent="0.25">
      <c r="B4641" s="13" t="s">
        <v>7866</v>
      </c>
      <c r="C4641" s="15" t="s">
        <v>156</v>
      </c>
      <c r="D4641" s="13" t="s">
        <v>7307</v>
      </c>
      <c r="E4641" s="13" t="s">
        <v>7867</v>
      </c>
      <c r="F4641" s="43">
        <v>15.4</v>
      </c>
    </row>
    <row r="4642" spans="2:6" x14ac:dyDescent="0.25">
      <c r="B4642" s="13" t="s">
        <v>7868</v>
      </c>
      <c r="C4642" s="15" t="s">
        <v>156</v>
      </c>
      <c r="D4642" s="13" t="s">
        <v>7307</v>
      </c>
      <c r="E4642" s="13" t="s">
        <v>7869</v>
      </c>
      <c r="F4642" s="43">
        <v>15.4</v>
      </c>
    </row>
    <row r="4643" spans="2:6" x14ac:dyDescent="0.25">
      <c r="B4643" s="13" t="s">
        <v>7870</v>
      </c>
      <c r="C4643" s="15" t="s">
        <v>156</v>
      </c>
      <c r="D4643" s="13" t="s">
        <v>7307</v>
      </c>
      <c r="E4643" s="13" t="s">
        <v>7871</v>
      </c>
      <c r="F4643" s="43">
        <v>15.4</v>
      </c>
    </row>
    <row r="4644" spans="2:6" x14ac:dyDescent="0.25">
      <c r="B4644" s="13" t="s">
        <v>7872</v>
      </c>
      <c r="C4644" s="15" t="s">
        <v>156</v>
      </c>
      <c r="D4644" s="13" t="s">
        <v>7307</v>
      </c>
      <c r="E4644" s="13" t="s">
        <v>7873</v>
      </c>
      <c r="F4644" s="43">
        <v>15.4</v>
      </c>
    </row>
    <row r="4645" spans="2:6" x14ac:dyDescent="0.25">
      <c r="B4645" s="13" t="s">
        <v>7874</v>
      </c>
      <c r="C4645" s="15" t="s">
        <v>156</v>
      </c>
      <c r="D4645" s="13" t="s">
        <v>7307</v>
      </c>
      <c r="E4645" s="13" t="s">
        <v>7875</v>
      </c>
      <c r="F4645" s="43">
        <v>41.88</v>
      </c>
    </row>
    <row r="4646" spans="2:6" x14ac:dyDescent="0.25">
      <c r="B4646" s="13" t="s">
        <v>7876</v>
      </c>
      <c r="C4646" s="15" t="s">
        <v>156</v>
      </c>
      <c r="D4646" s="13" t="s">
        <v>7307</v>
      </c>
      <c r="E4646" s="13" t="s">
        <v>7877</v>
      </c>
      <c r="F4646" s="43">
        <v>154.08000000000001</v>
      </c>
    </row>
    <row r="4647" spans="2:6" x14ac:dyDescent="0.25">
      <c r="B4647" s="13" t="s">
        <v>7878</v>
      </c>
      <c r="C4647" s="15" t="s">
        <v>156</v>
      </c>
      <c r="D4647" s="13" t="s">
        <v>7307</v>
      </c>
      <c r="E4647" s="13" t="s">
        <v>7879</v>
      </c>
      <c r="F4647" s="43">
        <v>191.94</v>
      </c>
    </row>
    <row r="4648" spans="2:6" x14ac:dyDescent="0.25">
      <c r="B4648" s="13" t="s">
        <v>7880</v>
      </c>
      <c r="C4648" s="15" t="s">
        <v>156</v>
      </c>
      <c r="D4648" s="13" t="s">
        <v>7307</v>
      </c>
      <c r="E4648" s="13" t="s">
        <v>7881</v>
      </c>
      <c r="F4648" s="43">
        <v>104.73</v>
      </c>
    </row>
    <row r="4649" spans="2:6" x14ac:dyDescent="0.25">
      <c r="B4649" s="13" t="s">
        <v>7882</v>
      </c>
      <c r="C4649" s="15" t="s">
        <v>156</v>
      </c>
      <c r="D4649" s="13" t="s">
        <v>7307</v>
      </c>
      <c r="E4649" s="13" t="s">
        <v>7883</v>
      </c>
      <c r="F4649" s="43">
        <v>6.7</v>
      </c>
    </row>
    <row r="4650" spans="2:6" x14ac:dyDescent="0.25">
      <c r="B4650" s="13" t="s">
        <v>7884</v>
      </c>
      <c r="C4650" s="15" t="s">
        <v>156</v>
      </c>
      <c r="D4650" s="13" t="s">
        <v>7307</v>
      </c>
      <c r="E4650" s="13" t="s">
        <v>7885</v>
      </c>
      <c r="F4650" s="43">
        <v>0</v>
      </c>
    </row>
    <row r="4651" spans="2:6" x14ac:dyDescent="0.25">
      <c r="B4651" s="13" t="s">
        <v>7886</v>
      </c>
      <c r="C4651" s="15" t="s">
        <v>156</v>
      </c>
      <c r="D4651" s="13" t="s">
        <v>7307</v>
      </c>
      <c r="E4651" s="13" t="s">
        <v>7887</v>
      </c>
      <c r="F4651" s="43">
        <v>28.35</v>
      </c>
    </row>
    <row r="4652" spans="2:6" x14ac:dyDescent="0.25">
      <c r="B4652" s="13" t="s">
        <v>7888</v>
      </c>
      <c r="C4652" s="15" t="s">
        <v>156</v>
      </c>
      <c r="D4652" s="13" t="s">
        <v>7307</v>
      </c>
      <c r="E4652" s="13" t="s">
        <v>7889</v>
      </c>
      <c r="F4652" s="43">
        <v>0</v>
      </c>
    </row>
    <row r="4653" spans="2:6" x14ac:dyDescent="0.25">
      <c r="B4653" s="13" t="s">
        <v>7890</v>
      </c>
      <c r="C4653" s="15" t="s">
        <v>156</v>
      </c>
      <c r="D4653" s="13" t="s">
        <v>7307</v>
      </c>
      <c r="E4653" s="13" t="s">
        <v>7891</v>
      </c>
      <c r="F4653" s="43">
        <v>22.74</v>
      </c>
    </row>
    <row r="4654" spans="2:6" x14ac:dyDescent="0.25">
      <c r="B4654" s="13" t="s">
        <v>7892</v>
      </c>
      <c r="C4654" s="15" t="s">
        <v>156</v>
      </c>
      <c r="D4654" s="13" t="s">
        <v>7307</v>
      </c>
      <c r="E4654" s="13" t="s">
        <v>7893</v>
      </c>
      <c r="F4654" s="43">
        <v>0</v>
      </c>
    </row>
    <row r="4655" spans="2:6" x14ac:dyDescent="0.25">
      <c r="B4655" s="13" t="s">
        <v>7894</v>
      </c>
      <c r="C4655" s="15" t="s">
        <v>156</v>
      </c>
      <c r="D4655" s="13" t="s">
        <v>7307</v>
      </c>
      <c r="E4655" s="13" t="s">
        <v>7895</v>
      </c>
      <c r="F4655" s="43">
        <v>0</v>
      </c>
    </row>
    <row r="4656" spans="2:6" x14ac:dyDescent="0.25">
      <c r="B4656" s="13" t="s">
        <v>7896</v>
      </c>
      <c r="C4656" s="15" t="s">
        <v>156</v>
      </c>
      <c r="D4656" s="13" t="s">
        <v>7307</v>
      </c>
      <c r="E4656" s="13" t="s">
        <v>7897</v>
      </c>
      <c r="F4656" s="43">
        <v>108.31</v>
      </c>
    </row>
    <row r="4657" spans="2:6" x14ac:dyDescent="0.25">
      <c r="B4657" s="13" t="s">
        <v>7898</v>
      </c>
      <c r="C4657" s="15" t="s">
        <v>156</v>
      </c>
      <c r="D4657" s="13" t="s">
        <v>7307</v>
      </c>
      <c r="E4657" s="13" t="s">
        <v>7899</v>
      </c>
      <c r="F4657" s="43">
        <v>108.31</v>
      </c>
    </row>
    <row r="4658" spans="2:6" x14ac:dyDescent="0.25">
      <c r="B4658" s="13" t="s">
        <v>7900</v>
      </c>
      <c r="C4658" s="15" t="s">
        <v>156</v>
      </c>
      <c r="D4658" s="13" t="s">
        <v>7307</v>
      </c>
      <c r="E4658" s="13" t="s">
        <v>7901</v>
      </c>
      <c r="F4658" s="43">
        <v>132.11000000000001</v>
      </c>
    </row>
    <row r="4659" spans="2:6" x14ac:dyDescent="0.25">
      <c r="B4659" s="13" t="s">
        <v>7902</v>
      </c>
      <c r="C4659" s="15" t="s">
        <v>156</v>
      </c>
      <c r="D4659" s="13" t="s">
        <v>7307</v>
      </c>
      <c r="E4659" s="13" t="s">
        <v>7903</v>
      </c>
      <c r="F4659" s="43">
        <v>136.5</v>
      </c>
    </row>
    <row r="4660" spans="2:6" x14ac:dyDescent="0.25">
      <c r="B4660" s="13" t="s">
        <v>7904</v>
      </c>
      <c r="C4660" s="15" t="s">
        <v>156</v>
      </c>
      <c r="D4660" s="13" t="s">
        <v>7307</v>
      </c>
      <c r="E4660" s="13" t="s">
        <v>7905</v>
      </c>
      <c r="F4660" s="43">
        <v>50.49</v>
      </c>
    </row>
    <row r="4661" spans="2:6" x14ac:dyDescent="0.25">
      <c r="B4661" s="13" t="s">
        <v>7906</v>
      </c>
      <c r="C4661" s="15" t="s">
        <v>156</v>
      </c>
      <c r="D4661" s="13" t="s">
        <v>7307</v>
      </c>
      <c r="E4661" s="13" t="s">
        <v>7907</v>
      </c>
      <c r="F4661" s="43">
        <v>54.82</v>
      </c>
    </row>
    <row r="4662" spans="2:6" x14ac:dyDescent="0.25">
      <c r="B4662" s="13" t="s">
        <v>7908</v>
      </c>
      <c r="C4662" s="15" t="s">
        <v>156</v>
      </c>
      <c r="D4662" s="13" t="s">
        <v>7307</v>
      </c>
      <c r="E4662" s="13" t="s">
        <v>7909</v>
      </c>
      <c r="F4662" s="43">
        <v>33.74</v>
      </c>
    </row>
    <row r="4663" spans="2:6" x14ac:dyDescent="0.25">
      <c r="B4663" s="13" t="s">
        <v>7910</v>
      </c>
      <c r="C4663" s="15" t="s">
        <v>156</v>
      </c>
      <c r="D4663" s="13" t="s">
        <v>7307</v>
      </c>
      <c r="E4663" s="13" t="s">
        <v>7911</v>
      </c>
      <c r="F4663" s="43">
        <v>159.13999999999999</v>
      </c>
    </row>
    <row r="4664" spans="2:6" x14ac:dyDescent="0.25">
      <c r="B4664" s="13" t="s">
        <v>7912</v>
      </c>
      <c r="C4664" s="15" t="s">
        <v>156</v>
      </c>
      <c r="D4664" s="13" t="s">
        <v>7307</v>
      </c>
      <c r="E4664" s="13" t="s">
        <v>7913</v>
      </c>
      <c r="F4664" s="43">
        <v>206.41</v>
      </c>
    </row>
    <row r="4665" spans="2:6" x14ac:dyDescent="0.25">
      <c r="B4665" s="13" t="s">
        <v>7914</v>
      </c>
      <c r="C4665" s="15" t="s">
        <v>156</v>
      </c>
      <c r="D4665" s="13" t="s">
        <v>7307</v>
      </c>
      <c r="E4665" s="13" t="s">
        <v>7915</v>
      </c>
      <c r="F4665" s="43">
        <v>0.26</v>
      </c>
    </row>
    <row r="4666" spans="2:6" x14ac:dyDescent="0.25">
      <c r="B4666" s="13" t="s">
        <v>7916</v>
      </c>
      <c r="C4666" s="15" t="s">
        <v>156</v>
      </c>
      <c r="D4666" s="13" t="s">
        <v>7307</v>
      </c>
      <c r="E4666" s="13" t="s">
        <v>7917</v>
      </c>
      <c r="F4666" s="43">
        <v>0.26</v>
      </c>
    </row>
    <row r="4667" spans="2:6" x14ac:dyDescent="0.25">
      <c r="B4667" s="13" t="s">
        <v>7918</v>
      </c>
      <c r="C4667" s="15" t="s">
        <v>156</v>
      </c>
      <c r="D4667" s="13" t="s">
        <v>7307</v>
      </c>
      <c r="E4667" s="13" t="s">
        <v>7919</v>
      </c>
      <c r="F4667" s="43">
        <v>0.26</v>
      </c>
    </row>
    <row r="4668" spans="2:6" x14ac:dyDescent="0.25">
      <c r="B4668" s="13" t="s">
        <v>7920</v>
      </c>
      <c r="C4668" s="15" t="s">
        <v>156</v>
      </c>
      <c r="D4668" s="13" t="s">
        <v>7307</v>
      </c>
      <c r="E4668" s="13" t="s">
        <v>7921</v>
      </c>
      <c r="F4668" s="43">
        <v>0.26</v>
      </c>
    </row>
    <row r="4669" spans="2:6" x14ac:dyDescent="0.25">
      <c r="B4669" s="13" t="s">
        <v>7922</v>
      </c>
      <c r="C4669" s="15" t="s">
        <v>156</v>
      </c>
      <c r="D4669" s="13" t="s">
        <v>7307</v>
      </c>
      <c r="E4669" s="13" t="s">
        <v>7923</v>
      </c>
      <c r="F4669" s="43">
        <v>0.26</v>
      </c>
    </row>
    <row r="4670" spans="2:6" x14ac:dyDescent="0.25">
      <c r="B4670" s="13" t="s">
        <v>7924</v>
      </c>
      <c r="C4670" s="15" t="s">
        <v>156</v>
      </c>
      <c r="D4670" s="13" t="s">
        <v>7307</v>
      </c>
      <c r="E4670" s="13" t="s">
        <v>7925</v>
      </c>
      <c r="F4670" s="43">
        <v>0.26</v>
      </c>
    </row>
    <row r="4671" spans="2:6" x14ac:dyDescent="0.25">
      <c r="B4671" s="13" t="s">
        <v>7926</v>
      </c>
      <c r="C4671" s="15" t="s">
        <v>156</v>
      </c>
      <c r="D4671" s="13" t="s">
        <v>7307</v>
      </c>
      <c r="E4671" s="13" t="s">
        <v>7927</v>
      </c>
      <c r="F4671" s="43">
        <v>0.26</v>
      </c>
    </row>
    <row r="4672" spans="2:6" x14ac:dyDescent="0.25">
      <c r="B4672" s="13" t="s">
        <v>7928</v>
      </c>
      <c r="C4672" s="15" t="s">
        <v>156</v>
      </c>
      <c r="D4672" s="13" t="s">
        <v>7307</v>
      </c>
      <c r="E4672" s="13" t="s">
        <v>7929</v>
      </c>
      <c r="F4672" s="43">
        <v>0.26</v>
      </c>
    </row>
    <row r="4673" spans="2:6" x14ac:dyDescent="0.25">
      <c r="B4673" s="13" t="s">
        <v>7930</v>
      </c>
      <c r="C4673" s="15" t="s">
        <v>156</v>
      </c>
      <c r="D4673" s="13" t="s">
        <v>7307</v>
      </c>
      <c r="E4673" s="13" t="s">
        <v>7931</v>
      </c>
      <c r="F4673" s="43">
        <v>0.26</v>
      </c>
    </row>
    <row r="4674" spans="2:6" x14ac:dyDescent="0.25">
      <c r="B4674" s="13" t="s">
        <v>7932</v>
      </c>
      <c r="C4674" s="15" t="s">
        <v>156</v>
      </c>
      <c r="D4674" s="13" t="s">
        <v>7307</v>
      </c>
      <c r="E4674" s="13" t="s">
        <v>7933</v>
      </c>
      <c r="F4674" s="43">
        <v>0.26</v>
      </c>
    </row>
    <row r="4675" spans="2:6" x14ac:dyDescent="0.25">
      <c r="B4675" s="13" t="s">
        <v>7934</v>
      </c>
      <c r="C4675" s="15" t="s">
        <v>156</v>
      </c>
      <c r="D4675" s="13" t="s">
        <v>7307</v>
      </c>
      <c r="E4675" s="13" t="s">
        <v>7935</v>
      </c>
      <c r="F4675" s="43">
        <v>0.26</v>
      </c>
    </row>
    <row r="4676" spans="2:6" x14ac:dyDescent="0.25">
      <c r="B4676" s="13" t="s">
        <v>7936</v>
      </c>
      <c r="C4676" s="15" t="s">
        <v>156</v>
      </c>
      <c r="D4676" s="13" t="s">
        <v>7307</v>
      </c>
      <c r="E4676" s="13" t="s">
        <v>7937</v>
      </c>
      <c r="F4676" s="43">
        <v>0.26</v>
      </c>
    </row>
    <row r="4677" spans="2:6" x14ac:dyDescent="0.25">
      <c r="B4677" s="13" t="s">
        <v>7938</v>
      </c>
      <c r="C4677" s="15" t="s">
        <v>156</v>
      </c>
      <c r="D4677" s="13" t="s">
        <v>7307</v>
      </c>
      <c r="E4677" s="13" t="s">
        <v>7939</v>
      </c>
      <c r="F4677" s="43">
        <v>0.39</v>
      </c>
    </row>
    <row r="4678" spans="2:6" x14ac:dyDescent="0.25">
      <c r="B4678" s="13" t="s">
        <v>7940</v>
      </c>
      <c r="C4678" s="15" t="s">
        <v>156</v>
      </c>
      <c r="D4678" s="13" t="s">
        <v>7307</v>
      </c>
      <c r="E4678" s="13" t="s">
        <v>7941</v>
      </c>
      <c r="F4678" s="43">
        <v>0.39</v>
      </c>
    </row>
    <row r="4679" spans="2:6" x14ac:dyDescent="0.25">
      <c r="B4679" s="13" t="s">
        <v>7942</v>
      </c>
      <c r="C4679" s="15" t="s">
        <v>156</v>
      </c>
      <c r="D4679" s="13" t="s">
        <v>7307</v>
      </c>
      <c r="E4679" s="13" t="s">
        <v>7943</v>
      </c>
      <c r="F4679" s="43">
        <v>64.98</v>
      </c>
    </row>
    <row r="4680" spans="2:6" x14ac:dyDescent="0.25">
      <c r="B4680" s="13" t="s">
        <v>7944</v>
      </c>
      <c r="C4680" s="15" t="s">
        <v>156</v>
      </c>
      <c r="D4680" s="13" t="s">
        <v>7307</v>
      </c>
      <c r="E4680" s="13" t="s">
        <v>7945</v>
      </c>
      <c r="F4680" s="43">
        <v>78.63</v>
      </c>
    </row>
    <row r="4681" spans="2:6" x14ac:dyDescent="0.25">
      <c r="B4681" s="13" t="s">
        <v>7946</v>
      </c>
      <c r="C4681" s="15" t="s">
        <v>156</v>
      </c>
      <c r="D4681" s="13" t="s">
        <v>7307</v>
      </c>
      <c r="E4681" s="13" t="s">
        <v>7947</v>
      </c>
      <c r="F4681" s="43">
        <v>0.21</v>
      </c>
    </row>
    <row r="4682" spans="2:6" x14ac:dyDescent="0.25">
      <c r="B4682" s="13" t="s">
        <v>7948</v>
      </c>
      <c r="C4682" s="15" t="s">
        <v>156</v>
      </c>
      <c r="D4682" s="13" t="s">
        <v>7307</v>
      </c>
      <c r="E4682" s="13" t="s">
        <v>7949</v>
      </c>
      <c r="F4682" s="43">
        <v>0.21</v>
      </c>
    </row>
    <row r="4683" spans="2:6" x14ac:dyDescent="0.25">
      <c r="B4683" s="13" t="s">
        <v>7950</v>
      </c>
      <c r="C4683" s="15" t="s">
        <v>156</v>
      </c>
      <c r="D4683" s="13" t="s">
        <v>7307</v>
      </c>
      <c r="E4683" s="13" t="s">
        <v>7951</v>
      </c>
      <c r="F4683" s="43">
        <v>0.21</v>
      </c>
    </row>
    <row r="4684" spans="2:6" x14ac:dyDescent="0.25">
      <c r="B4684" s="13" t="s">
        <v>7952</v>
      </c>
      <c r="C4684" s="15" t="s">
        <v>156</v>
      </c>
      <c r="D4684" s="13" t="s">
        <v>7307</v>
      </c>
      <c r="E4684" s="13" t="s">
        <v>7953</v>
      </c>
      <c r="F4684" s="43">
        <v>0.21</v>
      </c>
    </row>
    <row r="4685" spans="2:6" x14ac:dyDescent="0.25">
      <c r="B4685" s="13" t="s">
        <v>7954</v>
      </c>
      <c r="C4685" s="15" t="s">
        <v>156</v>
      </c>
      <c r="D4685" s="13" t="s">
        <v>7307</v>
      </c>
      <c r="E4685" s="13" t="s">
        <v>7955</v>
      </c>
      <c r="F4685" s="43">
        <v>0.21</v>
      </c>
    </row>
    <row r="4686" spans="2:6" x14ac:dyDescent="0.25">
      <c r="B4686" s="13" t="s">
        <v>7956</v>
      </c>
      <c r="C4686" s="15" t="s">
        <v>156</v>
      </c>
      <c r="D4686" s="13" t="s">
        <v>7307</v>
      </c>
      <c r="E4686" s="13" t="s">
        <v>7957</v>
      </c>
      <c r="F4686" s="43">
        <v>0.21</v>
      </c>
    </row>
    <row r="4687" spans="2:6" x14ac:dyDescent="0.25">
      <c r="B4687" s="13" t="s">
        <v>7958</v>
      </c>
      <c r="C4687" s="15" t="s">
        <v>156</v>
      </c>
      <c r="D4687" s="13" t="s">
        <v>7307</v>
      </c>
      <c r="E4687" s="13" t="s">
        <v>7959</v>
      </c>
      <c r="F4687" s="43">
        <v>0.21</v>
      </c>
    </row>
    <row r="4688" spans="2:6" x14ac:dyDescent="0.25">
      <c r="B4688" s="13" t="s">
        <v>7960</v>
      </c>
      <c r="C4688" s="15" t="s">
        <v>156</v>
      </c>
      <c r="D4688" s="13" t="s">
        <v>7307</v>
      </c>
      <c r="E4688" s="13" t="s">
        <v>7961</v>
      </c>
      <c r="F4688" s="43">
        <v>0.2</v>
      </c>
    </row>
    <row r="4689" spans="2:6" x14ac:dyDescent="0.25">
      <c r="B4689" s="13" t="s">
        <v>7962</v>
      </c>
      <c r="C4689" s="15" t="s">
        <v>156</v>
      </c>
      <c r="D4689" s="13" t="s">
        <v>7307</v>
      </c>
      <c r="E4689" s="13" t="s">
        <v>7963</v>
      </c>
      <c r="F4689" s="43">
        <v>38.869999999999997</v>
      </c>
    </row>
    <row r="4690" spans="2:6" x14ac:dyDescent="0.25">
      <c r="B4690" s="13" t="s">
        <v>7964</v>
      </c>
      <c r="C4690" s="15" t="s">
        <v>156</v>
      </c>
      <c r="D4690" s="13" t="s">
        <v>7307</v>
      </c>
      <c r="E4690" s="13" t="s">
        <v>7965</v>
      </c>
      <c r="F4690" s="43">
        <v>97.65</v>
      </c>
    </row>
    <row r="4691" spans="2:6" x14ac:dyDescent="0.25">
      <c r="B4691" s="13" t="s">
        <v>7966</v>
      </c>
      <c r="C4691" s="15" t="s">
        <v>156</v>
      </c>
      <c r="D4691" s="13" t="s">
        <v>7307</v>
      </c>
      <c r="E4691" s="13" t="s">
        <v>7967</v>
      </c>
      <c r="F4691" s="43">
        <v>291.67</v>
      </c>
    </row>
    <row r="4692" spans="2:6" x14ac:dyDescent="0.25">
      <c r="B4692" s="13" t="s">
        <v>7968</v>
      </c>
      <c r="C4692" s="15" t="s">
        <v>156</v>
      </c>
      <c r="D4692" s="13" t="s">
        <v>7307</v>
      </c>
      <c r="E4692" s="13" t="s">
        <v>7969</v>
      </c>
      <c r="F4692" s="43">
        <v>458.32</v>
      </c>
    </row>
    <row r="4693" spans="2:6" x14ac:dyDescent="0.25">
      <c r="B4693" s="13" t="s">
        <v>7970</v>
      </c>
      <c r="C4693" s="15" t="s">
        <v>156</v>
      </c>
      <c r="D4693" s="13" t="s">
        <v>7307</v>
      </c>
      <c r="E4693" s="13" t="s">
        <v>7971</v>
      </c>
      <c r="F4693" s="43">
        <v>196.78</v>
      </c>
    </row>
    <row r="4694" spans="2:6" x14ac:dyDescent="0.25">
      <c r="B4694" s="13" t="s">
        <v>7972</v>
      </c>
      <c r="C4694" s="15" t="s">
        <v>156</v>
      </c>
      <c r="D4694" s="13" t="s">
        <v>7307</v>
      </c>
      <c r="E4694" s="13" t="s">
        <v>7973</v>
      </c>
      <c r="F4694" s="43">
        <v>666.2</v>
      </c>
    </row>
    <row r="4695" spans="2:6" x14ac:dyDescent="0.25">
      <c r="B4695" s="13" t="s">
        <v>7974</v>
      </c>
      <c r="C4695" s="15" t="s">
        <v>156</v>
      </c>
      <c r="D4695" s="13" t="s">
        <v>7307</v>
      </c>
      <c r="E4695" s="13" t="s">
        <v>7975</v>
      </c>
      <c r="F4695" s="43">
        <v>583.36</v>
      </c>
    </row>
    <row r="4696" spans="2:6" x14ac:dyDescent="0.25">
      <c r="B4696" s="13" t="s">
        <v>7976</v>
      </c>
      <c r="C4696" s="15" t="s">
        <v>156</v>
      </c>
      <c r="D4696" s="13" t="s">
        <v>7307</v>
      </c>
      <c r="E4696" s="13" t="s">
        <v>7977</v>
      </c>
      <c r="F4696" s="43">
        <v>703.16</v>
      </c>
    </row>
    <row r="4697" spans="2:6" x14ac:dyDescent="0.25">
      <c r="B4697" s="13" t="s">
        <v>7978</v>
      </c>
      <c r="C4697" s="15" t="s">
        <v>156</v>
      </c>
      <c r="D4697" s="13" t="s">
        <v>7307</v>
      </c>
      <c r="E4697" s="13" t="s">
        <v>7979</v>
      </c>
      <c r="F4697" s="43">
        <v>711.51</v>
      </c>
    </row>
    <row r="4698" spans="2:6" x14ac:dyDescent="0.25">
      <c r="B4698" s="13" t="s">
        <v>7980</v>
      </c>
      <c r="C4698" s="15" t="s">
        <v>156</v>
      </c>
      <c r="D4698" s="13" t="s">
        <v>7307</v>
      </c>
      <c r="E4698" s="13" t="s">
        <v>7981</v>
      </c>
      <c r="F4698" s="43">
        <v>3.29</v>
      </c>
    </row>
    <row r="4699" spans="2:6" x14ac:dyDescent="0.25">
      <c r="B4699" s="13" t="s">
        <v>7982</v>
      </c>
      <c r="C4699" s="15" t="s">
        <v>156</v>
      </c>
      <c r="D4699" s="13" t="s">
        <v>7307</v>
      </c>
      <c r="E4699" s="13" t="s">
        <v>7983</v>
      </c>
      <c r="F4699" s="43">
        <v>3.14</v>
      </c>
    </row>
    <row r="4700" spans="2:6" x14ac:dyDescent="0.25">
      <c r="B4700" s="13" t="s">
        <v>7984</v>
      </c>
      <c r="C4700" s="15" t="s">
        <v>156</v>
      </c>
      <c r="D4700" s="13" t="s">
        <v>7307</v>
      </c>
      <c r="E4700" s="13" t="s">
        <v>7985</v>
      </c>
      <c r="F4700" s="43">
        <v>5.51</v>
      </c>
    </row>
    <row r="4701" spans="2:6" x14ac:dyDescent="0.25">
      <c r="B4701" s="13" t="s">
        <v>7986</v>
      </c>
      <c r="C4701" s="15" t="s">
        <v>156</v>
      </c>
      <c r="D4701" s="13" t="s">
        <v>7307</v>
      </c>
      <c r="E4701" s="13" t="s">
        <v>7987</v>
      </c>
      <c r="F4701" s="43">
        <v>75.8</v>
      </c>
    </row>
    <row r="4702" spans="2:6" x14ac:dyDescent="0.25">
      <c r="B4702" s="13" t="s">
        <v>7988</v>
      </c>
      <c r="C4702" s="15" t="s">
        <v>156</v>
      </c>
      <c r="D4702" s="13" t="s">
        <v>7307</v>
      </c>
      <c r="E4702" s="13" t="s">
        <v>7989</v>
      </c>
      <c r="F4702" s="43">
        <v>80.14</v>
      </c>
    </row>
    <row r="4703" spans="2:6" x14ac:dyDescent="0.25">
      <c r="B4703" s="13" t="s">
        <v>7990</v>
      </c>
      <c r="C4703" s="15" t="s">
        <v>156</v>
      </c>
      <c r="D4703" s="13" t="s">
        <v>7307</v>
      </c>
      <c r="E4703" s="13" t="s">
        <v>7991</v>
      </c>
      <c r="F4703" s="43">
        <v>102.9</v>
      </c>
    </row>
    <row r="4704" spans="2:6" x14ac:dyDescent="0.25">
      <c r="B4704" s="13" t="s">
        <v>7992</v>
      </c>
      <c r="C4704" s="15" t="s">
        <v>156</v>
      </c>
      <c r="D4704" s="13" t="s">
        <v>7307</v>
      </c>
      <c r="E4704" s="13" t="s">
        <v>7993</v>
      </c>
      <c r="F4704" s="43">
        <v>84.85</v>
      </c>
    </row>
    <row r="4705" spans="2:6" x14ac:dyDescent="0.25">
      <c r="B4705" s="13" t="s">
        <v>7994</v>
      </c>
      <c r="C4705" s="15" t="s">
        <v>156</v>
      </c>
      <c r="D4705" s="13" t="s">
        <v>7307</v>
      </c>
      <c r="E4705" s="13" t="s">
        <v>7995</v>
      </c>
      <c r="F4705" s="43">
        <v>84.85</v>
      </c>
    </row>
    <row r="4706" spans="2:6" x14ac:dyDescent="0.25">
      <c r="B4706" s="13" t="s">
        <v>7996</v>
      </c>
      <c r="C4706" s="15" t="s">
        <v>156</v>
      </c>
      <c r="D4706" s="13" t="s">
        <v>7307</v>
      </c>
      <c r="E4706" s="13" t="s">
        <v>7997</v>
      </c>
      <c r="F4706" s="43">
        <v>89.56</v>
      </c>
    </row>
    <row r="4707" spans="2:6" x14ac:dyDescent="0.25">
      <c r="B4707" s="13" t="s">
        <v>7998</v>
      </c>
      <c r="C4707" s="15" t="s">
        <v>156</v>
      </c>
      <c r="D4707" s="13" t="s">
        <v>7307</v>
      </c>
      <c r="E4707" s="13" t="s">
        <v>7999</v>
      </c>
      <c r="F4707" s="43">
        <v>89.56</v>
      </c>
    </row>
    <row r="4708" spans="2:6" x14ac:dyDescent="0.25">
      <c r="B4708" s="13" t="s">
        <v>8000</v>
      </c>
      <c r="C4708" s="15" t="s">
        <v>156</v>
      </c>
      <c r="D4708" s="13" t="s">
        <v>7307</v>
      </c>
      <c r="E4708" s="13" t="s">
        <v>8001</v>
      </c>
      <c r="F4708" s="43">
        <v>22.39</v>
      </c>
    </row>
    <row r="4709" spans="2:6" x14ac:dyDescent="0.25">
      <c r="B4709" s="13" t="s">
        <v>8002</v>
      </c>
      <c r="C4709" s="15" t="s">
        <v>156</v>
      </c>
      <c r="D4709" s="13" t="s">
        <v>7307</v>
      </c>
      <c r="E4709" s="13" t="s">
        <v>8003</v>
      </c>
      <c r="F4709" s="43">
        <v>110.9</v>
      </c>
    </row>
    <row r="4710" spans="2:6" x14ac:dyDescent="0.25">
      <c r="B4710" s="13" t="s">
        <v>8004</v>
      </c>
      <c r="C4710" s="15" t="s">
        <v>156</v>
      </c>
      <c r="D4710" s="13" t="s">
        <v>7307</v>
      </c>
      <c r="E4710" s="13" t="s">
        <v>8005</v>
      </c>
      <c r="F4710" s="43">
        <v>110</v>
      </c>
    </row>
    <row r="4711" spans="2:6" x14ac:dyDescent="0.25">
      <c r="B4711" s="13" t="s">
        <v>8006</v>
      </c>
      <c r="C4711" s="15" t="s">
        <v>156</v>
      </c>
      <c r="D4711" s="13" t="s">
        <v>7307</v>
      </c>
      <c r="E4711" s="13" t="s">
        <v>8007</v>
      </c>
      <c r="F4711" s="43">
        <v>102.98</v>
      </c>
    </row>
    <row r="4712" spans="2:6" x14ac:dyDescent="0.25">
      <c r="B4712" s="13" t="s">
        <v>8008</v>
      </c>
      <c r="C4712" s="15" t="s">
        <v>156</v>
      </c>
      <c r="D4712" s="13" t="s">
        <v>7307</v>
      </c>
      <c r="E4712" s="13" t="s">
        <v>8009</v>
      </c>
      <c r="F4712" s="43">
        <v>273.95</v>
      </c>
    </row>
    <row r="4713" spans="2:6" x14ac:dyDescent="0.25">
      <c r="B4713" s="13" t="s">
        <v>8010</v>
      </c>
      <c r="C4713" s="15" t="s">
        <v>156</v>
      </c>
      <c r="D4713" s="13" t="s">
        <v>7307</v>
      </c>
      <c r="E4713" s="13" t="s">
        <v>8011</v>
      </c>
      <c r="F4713" s="43">
        <v>183.75</v>
      </c>
    </row>
    <row r="4714" spans="2:6" x14ac:dyDescent="0.25">
      <c r="B4714" s="13" t="s">
        <v>8012</v>
      </c>
      <c r="C4714" s="15" t="s">
        <v>156</v>
      </c>
      <c r="D4714" s="13" t="s">
        <v>7307</v>
      </c>
      <c r="E4714" s="13" t="s">
        <v>8013</v>
      </c>
      <c r="F4714" s="43">
        <v>181.91</v>
      </c>
    </row>
    <row r="4715" spans="2:6" x14ac:dyDescent="0.25">
      <c r="B4715" s="13" t="s">
        <v>8014</v>
      </c>
      <c r="C4715" s="15" t="s">
        <v>156</v>
      </c>
      <c r="D4715" s="13" t="s">
        <v>7307</v>
      </c>
      <c r="E4715" s="13" t="s">
        <v>8015</v>
      </c>
      <c r="F4715" s="43">
        <v>337.73</v>
      </c>
    </row>
    <row r="4716" spans="2:6" x14ac:dyDescent="0.25">
      <c r="B4716" s="13" t="s">
        <v>8016</v>
      </c>
      <c r="C4716" s="15" t="s">
        <v>156</v>
      </c>
      <c r="D4716" s="13" t="s">
        <v>7307</v>
      </c>
      <c r="E4716" s="13" t="s">
        <v>8017</v>
      </c>
      <c r="F4716" s="43">
        <v>3340.61</v>
      </c>
    </row>
    <row r="4717" spans="2:6" x14ac:dyDescent="0.25">
      <c r="B4717" s="13" t="s">
        <v>8018</v>
      </c>
      <c r="C4717" s="15" t="s">
        <v>156</v>
      </c>
      <c r="D4717" s="13" t="s">
        <v>7307</v>
      </c>
      <c r="E4717" s="13" t="s">
        <v>8019</v>
      </c>
      <c r="F4717" s="43">
        <v>459.3</v>
      </c>
    </row>
    <row r="4718" spans="2:6" x14ac:dyDescent="0.25">
      <c r="B4718" s="13" t="s">
        <v>8020</v>
      </c>
      <c r="C4718" s="15" t="s">
        <v>156</v>
      </c>
      <c r="D4718" s="13" t="s">
        <v>7307</v>
      </c>
      <c r="E4718" s="13" t="s">
        <v>8021</v>
      </c>
      <c r="F4718" s="43">
        <v>4767.05</v>
      </c>
    </row>
    <row r="4719" spans="2:6" x14ac:dyDescent="0.25">
      <c r="B4719" s="13" t="s">
        <v>8022</v>
      </c>
      <c r="C4719" s="15" t="s">
        <v>156</v>
      </c>
      <c r="D4719" s="13" t="s">
        <v>7307</v>
      </c>
      <c r="E4719" s="13" t="s">
        <v>8023</v>
      </c>
      <c r="F4719" s="43">
        <v>1583</v>
      </c>
    </row>
    <row r="4720" spans="2:6" x14ac:dyDescent="0.25">
      <c r="B4720" s="13" t="s">
        <v>8024</v>
      </c>
      <c r="C4720" s="15" t="s">
        <v>156</v>
      </c>
      <c r="D4720" s="13" t="s">
        <v>7307</v>
      </c>
      <c r="E4720" s="13" t="s">
        <v>8025</v>
      </c>
      <c r="F4720" s="43">
        <v>0</v>
      </c>
    </row>
    <row r="4721" spans="2:6" x14ac:dyDescent="0.25">
      <c r="B4721" s="13" t="s">
        <v>8026</v>
      </c>
      <c r="C4721" s="15" t="s">
        <v>156</v>
      </c>
      <c r="D4721" s="13" t="s">
        <v>7307</v>
      </c>
      <c r="E4721" s="13" t="s">
        <v>8027</v>
      </c>
      <c r="F4721" s="43">
        <v>88.5</v>
      </c>
    </row>
    <row r="4722" spans="2:6" x14ac:dyDescent="0.25">
      <c r="B4722" s="13" t="s">
        <v>8028</v>
      </c>
      <c r="C4722" s="15" t="s">
        <v>156</v>
      </c>
      <c r="D4722" s="13" t="s">
        <v>7307</v>
      </c>
      <c r="E4722" s="13" t="s">
        <v>8029</v>
      </c>
      <c r="F4722" s="43">
        <v>107.99</v>
      </c>
    </row>
    <row r="4723" spans="2:6" x14ac:dyDescent="0.25">
      <c r="B4723" s="13" t="s">
        <v>8030</v>
      </c>
      <c r="C4723" s="15" t="s">
        <v>156</v>
      </c>
      <c r="D4723" s="13" t="s">
        <v>7307</v>
      </c>
      <c r="E4723" s="13" t="s">
        <v>8031</v>
      </c>
      <c r="F4723" s="43">
        <v>137.4</v>
      </c>
    </row>
    <row r="4724" spans="2:6" x14ac:dyDescent="0.25">
      <c r="B4724" s="13" t="s">
        <v>8032</v>
      </c>
      <c r="C4724" s="15" t="s">
        <v>156</v>
      </c>
      <c r="D4724" s="13" t="s">
        <v>7307</v>
      </c>
      <c r="E4724" s="13" t="s">
        <v>8033</v>
      </c>
      <c r="F4724" s="43">
        <v>2364</v>
      </c>
    </row>
    <row r="4725" spans="2:6" x14ac:dyDescent="0.25">
      <c r="B4725" s="13" t="s">
        <v>8034</v>
      </c>
      <c r="C4725" s="15" t="s">
        <v>156</v>
      </c>
      <c r="D4725" s="13" t="s">
        <v>7307</v>
      </c>
      <c r="E4725" s="13" t="s">
        <v>8035</v>
      </c>
      <c r="F4725" s="43">
        <v>350.7</v>
      </c>
    </row>
    <row r="4726" spans="2:6" x14ac:dyDescent="0.25">
      <c r="B4726" s="13" t="s">
        <v>8036</v>
      </c>
      <c r="C4726" s="15" t="s">
        <v>156</v>
      </c>
      <c r="D4726" s="13" t="s">
        <v>7307</v>
      </c>
      <c r="E4726" s="13" t="s">
        <v>8037</v>
      </c>
      <c r="F4726" s="43">
        <v>1099.8699999999999</v>
      </c>
    </row>
    <row r="4727" spans="2:6" x14ac:dyDescent="0.25">
      <c r="B4727" s="13" t="s">
        <v>8038</v>
      </c>
      <c r="C4727" s="15" t="s">
        <v>156</v>
      </c>
      <c r="D4727" s="13" t="s">
        <v>7307</v>
      </c>
      <c r="E4727" s="13" t="s">
        <v>8039</v>
      </c>
      <c r="F4727" s="43">
        <v>423.49</v>
      </c>
    </row>
    <row r="4728" spans="2:6" x14ac:dyDescent="0.25">
      <c r="B4728" s="13" t="s">
        <v>8040</v>
      </c>
      <c r="C4728" s="15" t="s">
        <v>156</v>
      </c>
      <c r="D4728" s="13" t="s">
        <v>7307</v>
      </c>
      <c r="E4728" s="13" t="s">
        <v>8041</v>
      </c>
      <c r="F4728" s="43">
        <v>0</v>
      </c>
    </row>
    <row r="4729" spans="2:6" x14ac:dyDescent="0.25">
      <c r="B4729" s="13" t="s">
        <v>8042</v>
      </c>
      <c r="C4729" s="15" t="s">
        <v>156</v>
      </c>
      <c r="D4729" s="13" t="s">
        <v>7307</v>
      </c>
      <c r="E4729" s="13" t="s">
        <v>8043</v>
      </c>
      <c r="F4729" s="43">
        <v>297.67</v>
      </c>
    </row>
    <row r="4730" spans="2:6" x14ac:dyDescent="0.25">
      <c r="B4730" s="13" t="s">
        <v>8044</v>
      </c>
      <c r="C4730" s="15" t="s">
        <v>156</v>
      </c>
      <c r="D4730" s="13" t="s">
        <v>7307</v>
      </c>
      <c r="E4730" s="13" t="s">
        <v>8045</v>
      </c>
      <c r="F4730" s="43">
        <v>0</v>
      </c>
    </row>
    <row r="4731" spans="2:6" x14ac:dyDescent="0.25">
      <c r="B4731" s="13" t="s">
        <v>8046</v>
      </c>
      <c r="C4731" s="15" t="s">
        <v>156</v>
      </c>
      <c r="D4731" s="13" t="s">
        <v>7307</v>
      </c>
      <c r="E4731" s="13" t="s">
        <v>8047</v>
      </c>
      <c r="F4731" s="43">
        <v>257.70999999999998</v>
      </c>
    </row>
    <row r="4732" spans="2:6" x14ac:dyDescent="0.25">
      <c r="B4732" s="13" t="s">
        <v>8048</v>
      </c>
      <c r="C4732" s="15" t="s">
        <v>156</v>
      </c>
      <c r="D4732" s="13" t="s">
        <v>7307</v>
      </c>
      <c r="E4732" s="13" t="s">
        <v>8049</v>
      </c>
      <c r="F4732" s="43">
        <v>214.98</v>
      </c>
    </row>
    <row r="4733" spans="2:6" x14ac:dyDescent="0.25">
      <c r="B4733" s="13" t="s">
        <v>8050</v>
      </c>
      <c r="C4733" s="15" t="s">
        <v>156</v>
      </c>
      <c r="D4733" s="13" t="s">
        <v>7307</v>
      </c>
      <c r="E4733" s="13" t="s">
        <v>8051</v>
      </c>
      <c r="F4733" s="43">
        <v>237.44</v>
      </c>
    </row>
    <row r="4734" spans="2:6" x14ac:dyDescent="0.25">
      <c r="B4734" s="13" t="s">
        <v>8052</v>
      </c>
      <c r="C4734" s="15" t="s">
        <v>156</v>
      </c>
      <c r="D4734" s="13" t="s">
        <v>7307</v>
      </c>
      <c r="E4734" s="13" t="s">
        <v>8053</v>
      </c>
      <c r="F4734" s="43">
        <v>273.22000000000003</v>
      </c>
    </row>
    <row r="4735" spans="2:6" x14ac:dyDescent="0.25">
      <c r="B4735" s="13" t="s">
        <v>8054</v>
      </c>
      <c r="C4735" s="15" t="s">
        <v>156</v>
      </c>
      <c r="D4735" s="13" t="s">
        <v>7307</v>
      </c>
      <c r="E4735" s="13" t="s">
        <v>8055</v>
      </c>
      <c r="F4735" s="43">
        <v>308.83</v>
      </c>
    </row>
    <row r="4736" spans="2:6" x14ac:dyDescent="0.25">
      <c r="B4736" s="13" t="s">
        <v>8056</v>
      </c>
      <c r="C4736" s="15" t="s">
        <v>156</v>
      </c>
      <c r="D4736" s="13" t="s">
        <v>7307</v>
      </c>
      <c r="E4736" s="13" t="s">
        <v>8057</v>
      </c>
      <c r="F4736" s="43">
        <v>358.36</v>
      </c>
    </row>
    <row r="4737" spans="2:6" x14ac:dyDescent="0.25">
      <c r="B4737" s="13" t="s">
        <v>8058</v>
      </c>
      <c r="C4737" s="15" t="s">
        <v>156</v>
      </c>
      <c r="D4737" s="13" t="s">
        <v>7307</v>
      </c>
      <c r="E4737" s="13" t="s">
        <v>8059</v>
      </c>
      <c r="F4737" s="43">
        <v>688.99</v>
      </c>
    </row>
    <row r="4738" spans="2:6" x14ac:dyDescent="0.25">
      <c r="B4738" s="13" t="s">
        <v>8060</v>
      </c>
      <c r="C4738" s="15" t="s">
        <v>156</v>
      </c>
      <c r="D4738" s="13" t="s">
        <v>7307</v>
      </c>
      <c r="E4738" s="13" t="s">
        <v>8061</v>
      </c>
      <c r="F4738" s="43">
        <v>0</v>
      </c>
    </row>
    <row r="4739" spans="2:6" x14ac:dyDescent="0.25">
      <c r="B4739" s="13" t="s">
        <v>8062</v>
      </c>
      <c r="C4739" s="15" t="s">
        <v>156</v>
      </c>
      <c r="D4739" s="13" t="s">
        <v>7307</v>
      </c>
      <c r="E4739" s="13" t="s">
        <v>8063</v>
      </c>
      <c r="F4739" s="43">
        <v>296.14</v>
      </c>
    </row>
    <row r="4740" spans="2:6" x14ac:dyDescent="0.25">
      <c r="B4740" s="13" t="s">
        <v>8064</v>
      </c>
      <c r="C4740" s="15" t="s">
        <v>156</v>
      </c>
      <c r="D4740" s="13" t="s">
        <v>7307</v>
      </c>
      <c r="E4740" s="13" t="s">
        <v>8065</v>
      </c>
      <c r="F4740" s="43">
        <v>234.41</v>
      </c>
    </row>
    <row r="4741" spans="2:6" x14ac:dyDescent="0.25">
      <c r="B4741" s="13" t="s">
        <v>8066</v>
      </c>
      <c r="C4741" s="15" t="s">
        <v>156</v>
      </c>
      <c r="D4741" s="13" t="s">
        <v>7307</v>
      </c>
      <c r="E4741" s="13" t="s">
        <v>8067</v>
      </c>
      <c r="F4741" s="43">
        <v>183.4</v>
      </c>
    </row>
    <row r="4742" spans="2:6" x14ac:dyDescent="0.25">
      <c r="B4742" s="13" t="s">
        <v>8068</v>
      </c>
      <c r="C4742" s="15" t="s">
        <v>156</v>
      </c>
      <c r="D4742" s="13" t="s">
        <v>7307</v>
      </c>
      <c r="E4742" s="13" t="s">
        <v>8069</v>
      </c>
      <c r="F4742" s="43">
        <v>0</v>
      </c>
    </row>
    <row r="4743" spans="2:6" x14ac:dyDescent="0.25">
      <c r="B4743" s="13" t="s">
        <v>8070</v>
      </c>
      <c r="C4743" s="15" t="s">
        <v>156</v>
      </c>
      <c r="D4743" s="13" t="s">
        <v>7307</v>
      </c>
      <c r="E4743" s="13" t="s">
        <v>8071</v>
      </c>
      <c r="F4743" s="43">
        <v>208.74</v>
      </c>
    </row>
    <row r="4744" spans="2:6" x14ac:dyDescent="0.25">
      <c r="B4744" s="13" t="s">
        <v>8072</v>
      </c>
      <c r="C4744" s="15" t="s">
        <v>156</v>
      </c>
      <c r="D4744" s="13" t="s">
        <v>7307</v>
      </c>
      <c r="E4744" s="13" t="s">
        <v>8073</v>
      </c>
      <c r="F4744" s="43">
        <v>246.97</v>
      </c>
    </row>
    <row r="4745" spans="2:6" x14ac:dyDescent="0.25">
      <c r="B4745" s="13" t="s">
        <v>8074</v>
      </c>
      <c r="C4745" s="15" t="s">
        <v>156</v>
      </c>
      <c r="D4745" s="13" t="s">
        <v>7307</v>
      </c>
      <c r="E4745" s="13" t="s">
        <v>8075</v>
      </c>
      <c r="F4745" s="43">
        <v>401.08</v>
      </c>
    </row>
    <row r="4746" spans="2:6" x14ac:dyDescent="0.25">
      <c r="B4746" s="13" t="s">
        <v>8076</v>
      </c>
      <c r="C4746" s="15" t="s">
        <v>156</v>
      </c>
      <c r="D4746" s="13" t="s">
        <v>7307</v>
      </c>
      <c r="E4746" s="13" t="s">
        <v>8077</v>
      </c>
      <c r="F4746" s="43">
        <v>38.96</v>
      </c>
    </row>
    <row r="4747" spans="2:6" x14ac:dyDescent="0.25">
      <c r="B4747" s="13" t="s">
        <v>8078</v>
      </c>
      <c r="C4747" s="15" t="s">
        <v>156</v>
      </c>
      <c r="D4747" s="13" t="s">
        <v>7307</v>
      </c>
      <c r="E4747" s="13" t="s">
        <v>8079</v>
      </c>
      <c r="F4747" s="43">
        <v>43.68</v>
      </c>
    </row>
    <row r="4748" spans="2:6" x14ac:dyDescent="0.25">
      <c r="B4748" s="13" t="s">
        <v>8080</v>
      </c>
      <c r="C4748" s="15" t="s">
        <v>156</v>
      </c>
      <c r="D4748" s="13" t="s">
        <v>7307</v>
      </c>
      <c r="E4748" s="13" t="s">
        <v>8081</v>
      </c>
      <c r="F4748" s="43">
        <v>275.62</v>
      </c>
    </row>
    <row r="4749" spans="2:6" x14ac:dyDescent="0.25">
      <c r="B4749" s="13" t="s">
        <v>8082</v>
      </c>
      <c r="C4749" s="15" t="s">
        <v>156</v>
      </c>
      <c r="D4749" s="13" t="s">
        <v>7307</v>
      </c>
      <c r="E4749" s="13" t="s">
        <v>8083</v>
      </c>
      <c r="F4749" s="43">
        <v>362.72</v>
      </c>
    </row>
    <row r="4750" spans="2:6" x14ac:dyDescent="0.25">
      <c r="B4750" s="13" t="s">
        <v>8084</v>
      </c>
      <c r="C4750" s="15" t="s">
        <v>156</v>
      </c>
      <c r="D4750" s="13" t="s">
        <v>7307</v>
      </c>
      <c r="E4750" s="13" t="s">
        <v>8085</v>
      </c>
      <c r="F4750" s="43">
        <v>3.03</v>
      </c>
    </row>
    <row r="4751" spans="2:6" x14ac:dyDescent="0.25">
      <c r="B4751" s="13" t="s">
        <v>8086</v>
      </c>
      <c r="C4751" s="15" t="s">
        <v>156</v>
      </c>
      <c r="D4751" s="13" t="s">
        <v>7307</v>
      </c>
      <c r="E4751" s="13" t="s">
        <v>8087</v>
      </c>
      <c r="F4751" s="43">
        <v>3.03</v>
      </c>
    </row>
    <row r="4752" spans="2:6" x14ac:dyDescent="0.25">
      <c r="B4752" s="13" t="s">
        <v>8088</v>
      </c>
      <c r="C4752" s="15" t="s">
        <v>156</v>
      </c>
      <c r="D4752" s="13" t="s">
        <v>7307</v>
      </c>
      <c r="E4752" s="13" t="s">
        <v>8089</v>
      </c>
      <c r="F4752" s="43">
        <v>3.03</v>
      </c>
    </row>
    <row r="4753" spans="2:6" x14ac:dyDescent="0.25">
      <c r="B4753" s="13" t="s">
        <v>8090</v>
      </c>
      <c r="C4753" s="15" t="s">
        <v>156</v>
      </c>
      <c r="D4753" s="13" t="s">
        <v>7307</v>
      </c>
      <c r="E4753" s="13" t="s">
        <v>8091</v>
      </c>
      <c r="F4753" s="43">
        <v>3.03</v>
      </c>
    </row>
    <row r="4754" spans="2:6" x14ac:dyDescent="0.25">
      <c r="B4754" s="13" t="s">
        <v>8092</v>
      </c>
      <c r="C4754" s="15" t="s">
        <v>156</v>
      </c>
      <c r="D4754" s="13" t="s">
        <v>7307</v>
      </c>
      <c r="E4754" s="13" t="s">
        <v>8093</v>
      </c>
      <c r="F4754" s="43">
        <v>1852.2</v>
      </c>
    </row>
    <row r="4755" spans="2:6" x14ac:dyDescent="0.25">
      <c r="B4755" s="13" t="s">
        <v>8094</v>
      </c>
      <c r="C4755" s="15" t="s">
        <v>156</v>
      </c>
      <c r="D4755" s="13" t="s">
        <v>7307</v>
      </c>
      <c r="E4755" s="13" t="s">
        <v>8095</v>
      </c>
      <c r="F4755" s="43">
        <v>1627.5</v>
      </c>
    </row>
    <row r="4756" spans="2:6" x14ac:dyDescent="0.25">
      <c r="B4756" s="13" t="s">
        <v>8096</v>
      </c>
      <c r="C4756" s="15" t="s">
        <v>156</v>
      </c>
      <c r="D4756" s="13" t="s">
        <v>7307</v>
      </c>
      <c r="E4756" s="13" t="s">
        <v>8097</v>
      </c>
      <c r="F4756" s="43">
        <v>52.8</v>
      </c>
    </row>
    <row r="4757" spans="2:6" x14ac:dyDescent="0.25">
      <c r="B4757" s="13" t="s">
        <v>8098</v>
      </c>
      <c r="C4757" s="15" t="s">
        <v>156</v>
      </c>
      <c r="D4757" s="13" t="s">
        <v>7307</v>
      </c>
      <c r="E4757" s="13" t="s">
        <v>8099</v>
      </c>
      <c r="F4757" s="43">
        <v>1135.23</v>
      </c>
    </row>
    <row r="4758" spans="2:6" x14ac:dyDescent="0.25">
      <c r="B4758" s="13" t="s">
        <v>8100</v>
      </c>
      <c r="C4758" s="15" t="s">
        <v>156</v>
      </c>
      <c r="D4758" s="13" t="s">
        <v>7307</v>
      </c>
      <c r="E4758" s="13" t="s">
        <v>8101</v>
      </c>
      <c r="F4758" s="43">
        <v>0</v>
      </c>
    </row>
    <row r="4759" spans="2:6" x14ac:dyDescent="0.25">
      <c r="B4759" s="13" t="s">
        <v>8102</v>
      </c>
      <c r="C4759" s="15" t="s">
        <v>156</v>
      </c>
      <c r="D4759" s="13" t="s">
        <v>7307</v>
      </c>
      <c r="E4759" s="13" t="s">
        <v>8103</v>
      </c>
      <c r="F4759" s="43">
        <v>0</v>
      </c>
    </row>
    <row r="4760" spans="2:6" x14ac:dyDescent="0.25">
      <c r="B4760" s="13" t="s">
        <v>8104</v>
      </c>
      <c r="C4760" s="15" t="s">
        <v>156</v>
      </c>
      <c r="D4760" s="13" t="s">
        <v>7307</v>
      </c>
      <c r="E4760" s="13" t="s">
        <v>8105</v>
      </c>
      <c r="F4760" s="43">
        <v>2.74</v>
      </c>
    </row>
    <row r="4761" spans="2:6" x14ac:dyDescent="0.25">
      <c r="B4761" s="13" t="s">
        <v>8106</v>
      </c>
      <c r="C4761" s="15" t="s">
        <v>156</v>
      </c>
      <c r="D4761" s="13" t="s">
        <v>7307</v>
      </c>
      <c r="E4761" s="13" t="s">
        <v>8107</v>
      </c>
      <c r="F4761" s="43">
        <v>2.74</v>
      </c>
    </row>
    <row r="4762" spans="2:6" x14ac:dyDescent="0.25">
      <c r="B4762" s="13" t="s">
        <v>8108</v>
      </c>
      <c r="C4762" s="15" t="s">
        <v>156</v>
      </c>
      <c r="D4762" s="13" t="s">
        <v>7307</v>
      </c>
      <c r="E4762" s="13" t="s">
        <v>8109</v>
      </c>
      <c r="F4762" s="43">
        <v>2.74</v>
      </c>
    </row>
    <row r="4763" spans="2:6" x14ac:dyDescent="0.25">
      <c r="B4763" s="13" t="s">
        <v>8110</v>
      </c>
      <c r="C4763" s="15" t="s">
        <v>156</v>
      </c>
      <c r="D4763" s="13" t="s">
        <v>7307</v>
      </c>
      <c r="E4763" s="13" t="s">
        <v>8111</v>
      </c>
      <c r="F4763" s="43">
        <v>2.74</v>
      </c>
    </row>
    <row r="4764" spans="2:6" x14ac:dyDescent="0.25">
      <c r="B4764" s="13" t="s">
        <v>8112</v>
      </c>
      <c r="C4764" s="15" t="s">
        <v>156</v>
      </c>
      <c r="D4764" s="13" t="s">
        <v>7307</v>
      </c>
      <c r="E4764" s="13" t="s">
        <v>8113</v>
      </c>
      <c r="F4764" s="43">
        <v>2.74</v>
      </c>
    </row>
    <row r="4765" spans="2:6" x14ac:dyDescent="0.25">
      <c r="B4765" s="13" t="s">
        <v>8114</v>
      </c>
      <c r="C4765" s="15" t="s">
        <v>156</v>
      </c>
      <c r="D4765" s="13" t="s">
        <v>7307</v>
      </c>
      <c r="E4765" s="13" t="s">
        <v>8115</v>
      </c>
      <c r="F4765" s="43">
        <v>2.74</v>
      </c>
    </row>
    <row r="4766" spans="2:6" x14ac:dyDescent="0.25">
      <c r="B4766" s="13" t="s">
        <v>8116</v>
      </c>
      <c r="C4766" s="15" t="s">
        <v>156</v>
      </c>
      <c r="D4766" s="13" t="s">
        <v>7307</v>
      </c>
      <c r="E4766" s="13" t="s">
        <v>8117</v>
      </c>
      <c r="F4766" s="43">
        <v>2.74</v>
      </c>
    </row>
    <row r="4767" spans="2:6" x14ac:dyDescent="0.25">
      <c r="B4767" s="13" t="s">
        <v>8118</v>
      </c>
      <c r="C4767" s="15" t="s">
        <v>156</v>
      </c>
      <c r="D4767" s="13" t="s">
        <v>7307</v>
      </c>
      <c r="E4767" s="13" t="s">
        <v>8119</v>
      </c>
      <c r="F4767" s="43">
        <v>4.43</v>
      </c>
    </row>
    <row r="4768" spans="2:6" x14ac:dyDescent="0.25">
      <c r="B4768" s="13" t="s">
        <v>8120</v>
      </c>
      <c r="C4768" s="15" t="s">
        <v>156</v>
      </c>
      <c r="D4768" s="13" t="s">
        <v>7307</v>
      </c>
      <c r="E4768" s="13" t="s">
        <v>8121</v>
      </c>
      <c r="F4768" s="43">
        <v>4.43</v>
      </c>
    </row>
    <row r="4769" spans="2:6" x14ac:dyDescent="0.25">
      <c r="B4769" s="13" t="s">
        <v>8122</v>
      </c>
      <c r="C4769" s="15" t="s">
        <v>156</v>
      </c>
      <c r="D4769" s="13" t="s">
        <v>7307</v>
      </c>
      <c r="E4769" s="13" t="s">
        <v>8123</v>
      </c>
      <c r="F4769" s="43">
        <v>3.96</v>
      </c>
    </row>
    <row r="4770" spans="2:6" x14ac:dyDescent="0.25">
      <c r="B4770" s="13" t="s">
        <v>8124</v>
      </c>
      <c r="C4770" s="15" t="s">
        <v>156</v>
      </c>
      <c r="D4770" s="13" t="s">
        <v>7307</v>
      </c>
      <c r="E4770" s="13" t="s">
        <v>8125</v>
      </c>
      <c r="F4770" s="43">
        <v>6.23</v>
      </c>
    </row>
    <row r="4771" spans="2:6" x14ac:dyDescent="0.25">
      <c r="B4771" s="13" t="s">
        <v>8126</v>
      </c>
      <c r="C4771" s="15" t="s">
        <v>156</v>
      </c>
      <c r="D4771" s="13" t="s">
        <v>7307</v>
      </c>
      <c r="E4771" s="13" t="s">
        <v>8127</v>
      </c>
      <c r="F4771" s="43">
        <v>6.23</v>
      </c>
    </row>
    <row r="4772" spans="2:6" x14ac:dyDescent="0.25">
      <c r="B4772" s="13" t="s">
        <v>8128</v>
      </c>
      <c r="C4772" s="15" t="s">
        <v>156</v>
      </c>
      <c r="D4772" s="13" t="s">
        <v>7307</v>
      </c>
      <c r="E4772" s="13" t="s">
        <v>8129</v>
      </c>
      <c r="F4772" s="43">
        <v>6.23</v>
      </c>
    </row>
    <row r="4773" spans="2:6" x14ac:dyDescent="0.25">
      <c r="B4773" s="13" t="s">
        <v>8130</v>
      </c>
      <c r="C4773" s="15" t="s">
        <v>156</v>
      </c>
      <c r="D4773" s="13" t="s">
        <v>7307</v>
      </c>
      <c r="E4773" s="13" t="s">
        <v>8131</v>
      </c>
      <c r="F4773" s="43">
        <v>6.23</v>
      </c>
    </row>
    <row r="4774" spans="2:6" x14ac:dyDescent="0.25">
      <c r="B4774" s="13" t="s">
        <v>8132</v>
      </c>
      <c r="C4774" s="15" t="s">
        <v>156</v>
      </c>
      <c r="D4774" s="13" t="s">
        <v>7307</v>
      </c>
      <c r="E4774" s="13" t="s">
        <v>8133</v>
      </c>
      <c r="F4774" s="43">
        <v>3.7</v>
      </c>
    </row>
    <row r="4775" spans="2:6" x14ac:dyDescent="0.25">
      <c r="B4775" s="13" t="s">
        <v>8134</v>
      </c>
      <c r="C4775" s="15" t="s">
        <v>156</v>
      </c>
      <c r="D4775" s="13" t="s">
        <v>7307</v>
      </c>
      <c r="E4775" s="13" t="s">
        <v>8135</v>
      </c>
      <c r="F4775" s="43">
        <v>147.81</v>
      </c>
    </row>
    <row r="4776" spans="2:6" x14ac:dyDescent="0.25">
      <c r="B4776" s="13" t="s">
        <v>8136</v>
      </c>
      <c r="C4776" s="15" t="s">
        <v>156</v>
      </c>
      <c r="D4776" s="13" t="s">
        <v>7307</v>
      </c>
      <c r="E4776" s="13" t="s">
        <v>8137</v>
      </c>
      <c r="F4776" s="43">
        <v>38.630000000000003</v>
      </c>
    </row>
    <row r="4777" spans="2:6" x14ac:dyDescent="0.25">
      <c r="B4777" s="13" t="s">
        <v>8138</v>
      </c>
      <c r="C4777" s="15" t="s">
        <v>156</v>
      </c>
      <c r="D4777" s="13" t="s">
        <v>7307</v>
      </c>
      <c r="E4777" s="13" t="s">
        <v>8139</v>
      </c>
      <c r="F4777" s="43">
        <v>0</v>
      </c>
    </row>
    <row r="4778" spans="2:6" x14ac:dyDescent="0.25">
      <c r="B4778" s="13" t="s">
        <v>8140</v>
      </c>
      <c r="C4778" s="15" t="s">
        <v>156</v>
      </c>
      <c r="D4778" s="13" t="s">
        <v>7307</v>
      </c>
      <c r="E4778" s="13" t="s">
        <v>8141</v>
      </c>
      <c r="F4778" s="43">
        <v>0</v>
      </c>
    </row>
    <row r="4779" spans="2:6" x14ac:dyDescent="0.25">
      <c r="B4779" s="13" t="s">
        <v>8142</v>
      </c>
      <c r="C4779" s="15" t="s">
        <v>156</v>
      </c>
      <c r="D4779" s="13" t="s">
        <v>7307</v>
      </c>
      <c r="E4779" s="13" t="s">
        <v>8143</v>
      </c>
      <c r="F4779" s="43">
        <v>3.2</v>
      </c>
    </row>
    <row r="4780" spans="2:6" x14ac:dyDescent="0.25">
      <c r="B4780" s="13" t="s">
        <v>8144</v>
      </c>
      <c r="C4780" s="15" t="s">
        <v>156</v>
      </c>
      <c r="D4780" s="13" t="s">
        <v>7307</v>
      </c>
      <c r="E4780" s="13" t="s">
        <v>8145</v>
      </c>
      <c r="F4780" s="43">
        <v>3.2</v>
      </c>
    </row>
    <row r="4781" spans="2:6" x14ac:dyDescent="0.25">
      <c r="B4781" s="13" t="s">
        <v>8146</v>
      </c>
      <c r="C4781" s="15" t="s">
        <v>156</v>
      </c>
      <c r="D4781" s="13" t="s">
        <v>7307</v>
      </c>
      <c r="E4781" s="13" t="s">
        <v>8147</v>
      </c>
      <c r="F4781" s="43">
        <v>3.2</v>
      </c>
    </row>
    <row r="4782" spans="2:6" x14ac:dyDescent="0.25">
      <c r="B4782" s="13" t="s">
        <v>8148</v>
      </c>
      <c r="C4782" s="15" t="s">
        <v>156</v>
      </c>
      <c r="D4782" s="13" t="s">
        <v>7307</v>
      </c>
      <c r="E4782" s="13" t="s">
        <v>8149</v>
      </c>
      <c r="F4782" s="43">
        <v>3.2</v>
      </c>
    </row>
    <row r="4783" spans="2:6" x14ac:dyDescent="0.25">
      <c r="B4783" s="13" t="s">
        <v>8150</v>
      </c>
      <c r="C4783" s="15" t="s">
        <v>156</v>
      </c>
      <c r="D4783" s="13" t="s">
        <v>7307</v>
      </c>
      <c r="E4783" s="13" t="s">
        <v>8151</v>
      </c>
      <c r="F4783" s="43">
        <v>3.2</v>
      </c>
    </row>
    <row r="4784" spans="2:6" x14ac:dyDescent="0.25">
      <c r="B4784" s="13" t="s">
        <v>8152</v>
      </c>
      <c r="C4784" s="15" t="s">
        <v>156</v>
      </c>
      <c r="D4784" s="13" t="s">
        <v>7307</v>
      </c>
      <c r="E4784" s="13" t="s">
        <v>8153</v>
      </c>
      <c r="F4784" s="43">
        <v>3.2</v>
      </c>
    </row>
    <row r="4785" spans="2:6" x14ac:dyDescent="0.25">
      <c r="B4785" s="13" t="s">
        <v>8154</v>
      </c>
      <c r="C4785" s="15" t="s">
        <v>156</v>
      </c>
      <c r="D4785" s="13" t="s">
        <v>7307</v>
      </c>
      <c r="E4785" s="13" t="s">
        <v>8155</v>
      </c>
      <c r="F4785" s="43">
        <v>3.2</v>
      </c>
    </row>
    <row r="4786" spans="2:6" x14ac:dyDescent="0.25">
      <c r="B4786" s="13" t="s">
        <v>8156</v>
      </c>
      <c r="C4786" s="15" t="s">
        <v>156</v>
      </c>
      <c r="D4786" s="13" t="s">
        <v>7307</v>
      </c>
      <c r="E4786" s="13" t="s">
        <v>8157</v>
      </c>
      <c r="F4786" s="43">
        <v>3.2</v>
      </c>
    </row>
    <row r="4787" spans="2:6" x14ac:dyDescent="0.25">
      <c r="B4787" s="13" t="s">
        <v>8158</v>
      </c>
      <c r="C4787" s="15" t="s">
        <v>156</v>
      </c>
      <c r="D4787" s="13" t="s">
        <v>7307</v>
      </c>
      <c r="E4787" s="13" t="s">
        <v>8159</v>
      </c>
      <c r="F4787" s="43">
        <v>3.2</v>
      </c>
    </row>
    <row r="4788" spans="2:6" x14ac:dyDescent="0.25">
      <c r="B4788" s="13" t="s">
        <v>8160</v>
      </c>
      <c r="C4788" s="15" t="s">
        <v>156</v>
      </c>
      <c r="D4788" s="13" t="s">
        <v>7307</v>
      </c>
      <c r="E4788" s="13" t="s">
        <v>8161</v>
      </c>
      <c r="F4788" s="43">
        <v>3.2</v>
      </c>
    </row>
    <row r="4789" spans="2:6" x14ac:dyDescent="0.25">
      <c r="B4789" s="13" t="s">
        <v>8162</v>
      </c>
      <c r="C4789" s="15" t="s">
        <v>156</v>
      </c>
      <c r="D4789" s="13" t="s">
        <v>7307</v>
      </c>
      <c r="E4789" s="13" t="s">
        <v>8163</v>
      </c>
      <c r="F4789" s="43">
        <v>3.2</v>
      </c>
    </row>
    <row r="4790" spans="2:6" x14ac:dyDescent="0.25">
      <c r="B4790" s="13" t="s">
        <v>8164</v>
      </c>
      <c r="C4790" s="15" t="s">
        <v>156</v>
      </c>
      <c r="D4790" s="13" t="s">
        <v>7307</v>
      </c>
      <c r="E4790" s="13" t="s">
        <v>8165</v>
      </c>
      <c r="F4790" s="43">
        <v>3.05</v>
      </c>
    </row>
    <row r="4791" spans="2:6" x14ac:dyDescent="0.25">
      <c r="B4791" s="13" t="s">
        <v>8166</v>
      </c>
      <c r="C4791" s="15" t="s">
        <v>156</v>
      </c>
      <c r="D4791" s="13" t="s">
        <v>7307</v>
      </c>
      <c r="E4791" s="13" t="s">
        <v>8167</v>
      </c>
      <c r="F4791" s="43">
        <v>3.2</v>
      </c>
    </row>
    <row r="4792" spans="2:6" x14ac:dyDescent="0.25">
      <c r="B4792" s="13" t="s">
        <v>8168</v>
      </c>
      <c r="C4792" s="15" t="s">
        <v>156</v>
      </c>
      <c r="D4792" s="13" t="s">
        <v>7307</v>
      </c>
      <c r="E4792" s="13" t="s">
        <v>8169</v>
      </c>
      <c r="F4792" s="43">
        <v>3.2</v>
      </c>
    </row>
    <row r="4793" spans="2:6" x14ac:dyDescent="0.25">
      <c r="B4793" s="13" t="s">
        <v>8170</v>
      </c>
      <c r="C4793" s="15" t="s">
        <v>156</v>
      </c>
      <c r="D4793" s="13" t="s">
        <v>7307</v>
      </c>
      <c r="E4793" s="13" t="s">
        <v>8171</v>
      </c>
      <c r="F4793" s="43">
        <v>3.2</v>
      </c>
    </row>
    <row r="4794" spans="2:6" x14ac:dyDescent="0.25">
      <c r="B4794" s="13" t="s">
        <v>8172</v>
      </c>
      <c r="C4794" s="15" t="s">
        <v>156</v>
      </c>
      <c r="D4794" s="13" t="s">
        <v>7307</v>
      </c>
      <c r="E4794" s="13" t="s">
        <v>8173</v>
      </c>
      <c r="F4794" s="43">
        <v>3.2</v>
      </c>
    </row>
    <row r="4795" spans="2:6" x14ac:dyDescent="0.25">
      <c r="B4795" s="13" t="s">
        <v>8174</v>
      </c>
      <c r="C4795" s="15" t="s">
        <v>156</v>
      </c>
      <c r="D4795" s="13" t="s">
        <v>7307</v>
      </c>
      <c r="E4795" s="13" t="s">
        <v>8175</v>
      </c>
      <c r="F4795" s="43">
        <v>2293.98</v>
      </c>
    </row>
    <row r="4796" spans="2:6" x14ac:dyDescent="0.25">
      <c r="B4796" s="13" t="s">
        <v>8176</v>
      </c>
      <c r="C4796" s="15" t="s">
        <v>156</v>
      </c>
      <c r="D4796" s="13" t="s">
        <v>7307</v>
      </c>
      <c r="E4796" s="13" t="s">
        <v>8177</v>
      </c>
      <c r="F4796" s="43">
        <v>1531.05</v>
      </c>
    </row>
    <row r="4797" spans="2:6" x14ac:dyDescent="0.25">
      <c r="B4797" s="13" t="s">
        <v>8178</v>
      </c>
      <c r="C4797" s="15" t="s">
        <v>156</v>
      </c>
      <c r="D4797" s="13" t="s">
        <v>7307</v>
      </c>
      <c r="E4797" s="13" t="s">
        <v>8179</v>
      </c>
      <c r="F4797" s="43">
        <v>0.45</v>
      </c>
    </row>
    <row r="4798" spans="2:6" x14ac:dyDescent="0.25">
      <c r="B4798" s="13" t="s">
        <v>8180</v>
      </c>
      <c r="C4798" s="15" t="s">
        <v>156</v>
      </c>
      <c r="D4798" s="13" t="s">
        <v>7307</v>
      </c>
      <c r="E4798" s="13" t="s">
        <v>8181</v>
      </c>
      <c r="F4798" s="43">
        <v>0.45</v>
      </c>
    </row>
    <row r="4799" spans="2:6" x14ac:dyDescent="0.25">
      <c r="B4799" s="13" t="s">
        <v>8182</v>
      </c>
      <c r="C4799" s="15" t="s">
        <v>156</v>
      </c>
      <c r="D4799" s="13" t="s">
        <v>7307</v>
      </c>
      <c r="E4799" s="13" t="s">
        <v>8183</v>
      </c>
      <c r="F4799" s="43">
        <v>525</v>
      </c>
    </row>
    <row r="4800" spans="2:6" x14ac:dyDescent="0.25">
      <c r="B4800" s="13" t="s">
        <v>8184</v>
      </c>
      <c r="C4800" s="15" t="s">
        <v>156</v>
      </c>
      <c r="D4800" s="13" t="s">
        <v>7307</v>
      </c>
      <c r="E4800" s="13" t="s">
        <v>8185</v>
      </c>
      <c r="F4800" s="43">
        <v>6.61</v>
      </c>
    </row>
    <row r="4801" spans="2:6" x14ac:dyDescent="0.25">
      <c r="B4801" s="13" t="s">
        <v>8186</v>
      </c>
      <c r="C4801" s="15" t="s">
        <v>156</v>
      </c>
      <c r="D4801" s="13" t="s">
        <v>7307</v>
      </c>
      <c r="E4801" s="13" t="s">
        <v>8187</v>
      </c>
      <c r="F4801" s="43">
        <v>514.5</v>
      </c>
    </row>
    <row r="4802" spans="2:6" x14ac:dyDescent="0.25">
      <c r="B4802" s="13" t="s">
        <v>8188</v>
      </c>
      <c r="C4802" s="15" t="s">
        <v>156</v>
      </c>
      <c r="D4802" s="13" t="s">
        <v>7307</v>
      </c>
      <c r="E4802" s="13" t="s">
        <v>8189</v>
      </c>
      <c r="F4802" s="43">
        <v>18.399999999999999</v>
      </c>
    </row>
    <row r="4803" spans="2:6" x14ac:dyDescent="0.25">
      <c r="B4803" s="13" t="s">
        <v>8190</v>
      </c>
      <c r="C4803" s="15" t="s">
        <v>156</v>
      </c>
      <c r="D4803" s="13" t="s">
        <v>7307</v>
      </c>
      <c r="E4803" s="13" t="s">
        <v>8191</v>
      </c>
      <c r="F4803" s="43">
        <v>3.57</v>
      </c>
    </row>
    <row r="4804" spans="2:6" x14ac:dyDescent="0.25">
      <c r="B4804" s="13" t="s">
        <v>8192</v>
      </c>
      <c r="C4804" s="15" t="s">
        <v>156</v>
      </c>
      <c r="D4804" s="13" t="s">
        <v>7307</v>
      </c>
      <c r="E4804" s="13" t="s">
        <v>8193</v>
      </c>
      <c r="F4804" s="43">
        <v>21.84</v>
      </c>
    </row>
    <row r="4805" spans="2:6" x14ac:dyDescent="0.25">
      <c r="B4805" s="13" t="s">
        <v>8194</v>
      </c>
      <c r="C4805" s="15" t="s">
        <v>156</v>
      </c>
      <c r="D4805" s="13" t="s">
        <v>7307</v>
      </c>
      <c r="E4805" s="13" t="s">
        <v>8195</v>
      </c>
      <c r="F4805" s="43">
        <v>0.3</v>
      </c>
    </row>
    <row r="4806" spans="2:6" x14ac:dyDescent="0.25">
      <c r="B4806" s="13" t="s">
        <v>8196</v>
      </c>
      <c r="C4806" s="15" t="s">
        <v>156</v>
      </c>
      <c r="D4806" s="13" t="s">
        <v>7307</v>
      </c>
      <c r="E4806" s="13" t="s">
        <v>8197</v>
      </c>
      <c r="F4806" s="43">
        <v>0.25</v>
      </c>
    </row>
    <row r="4807" spans="2:6" x14ac:dyDescent="0.25">
      <c r="B4807" s="13" t="s">
        <v>8198</v>
      </c>
      <c r="C4807" s="15" t="s">
        <v>156</v>
      </c>
      <c r="D4807" s="13" t="s">
        <v>7307</v>
      </c>
      <c r="E4807" s="13" t="s">
        <v>8199</v>
      </c>
      <c r="F4807" s="43">
        <v>0.17</v>
      </c>
    </row>
    <row r="4808" spans="2:6" x14ac:dyDescent="0.25">
      <c r="B4808" s="13" t="s">
        <v>8200</v>
      </c>
      <c r="C4808" s="15" t="s">
        <v>156</v>
      </c>
      <c r="D4808" s="13" t="s">
        <v>7307</v>
      </c>
      <c r="E4808" s="13" t="s">
        <v>8201</v>
      </c>
      <c r="F4808" s="43">
        <v>1.68</v>
      </c>
    </row>
    <row r="4809" spans="2:6" x14ac:dyDescent="0.25">
      <c r="B4809" s="13" t="s">
        <v>8202</v>
      </c>
      <c r="C4809" s="15" t="s">
        <v>156</v>
      </c>
      <c r="D4809" s="13" t="s">
        <v>7307</v>
      </c>
      <c r="E4809" s="13" t="s">
        <v>8203</v>
      </c>
      <c r="F4809" s="43">
        <v>1.88</v>
      </c>
    </row>
    <row r="4810" spans="2:6" x14ac:dyDescent="0.25">
      <c r="B4810" s="13" t="s">
        <v>8204</v>
      </c>
      <c r="C4810" s="15" t="s">
        <v>156</v>
      </c>
      <c r="D4810" s="13" t="s">
        <v>7307</v>
      </c>
      <c r="E4810" s="13" t="s">
        <v>8205</v>
      </c>
      <c r="F4810" s="43">
        <v>2.37</v>
      </c>
    </row>
    <row r="4811" spans="2:6" x14ac:dyDescent="0.25">
      <c r="B4811" s="13" t="s">
        <v>8206</v>
      </c>
      <c r="C4811" s="15" t="s">
        <v>156</v>
      </c>
      <c r="D4811" s="13" t="s">
        <v>7307</v>
      </c>
      <c r="E4811" s="13" t="s">
        <v>8207</v>
      </c>
      <c r="F4811" s="43">
        <v>107.07</v>
      </c>
    </row>
    <row r="4812" spans="2:6" x14ac:dyDescent="0.25">
      <c r="B4812" s="13" t="s">
        <v>8208</v>
      </c>
      <c r="C4812" s="15" t="s">
        <v>156</v>
      </c>
      <c r="D4812" s="13" t="s">
        <v>7307</v>
      </c>
      <c r="E4812" s="13" t="s">
        <v>8209</v>
      </c>
      <c r="F4812" s="43">
        <v>484.79</v>
      </c>
    </row>
    <row r="4813" spans="2:6" x14ac:dyDescent="0.25">
      <c r="B4813" s="13" t="s">
        <v>8210</v>
      </c>
      <c r="C4813" s="15" t="s">
        <v>156</v>
      </c>
      <c r="D4813" s="13" t="s">
        <v>7307</v>
      </c>
      <c r="E4813" s="13" t="s">
        <v>8211</v>
      </c>
      <c r="F4813" s="43">
        <v>0.14000000000000001</v>
      </c>
    </row>
    <row r="4814" spans="2:6" x14ac:dyDescent="0.25">
      <c r="B4814" s="13" t="s">
        <v>8212</v>
      </c>
      <c r="C4814" s="15" t="s">
        <v>156</v>
      </c>
      <c r="D4814" s="13" t="s">
        <v>7307</v>
      </c>
      <c r="E4814" s="13" t="s">
        <v>8213</v>
      </c>
      <c r="F4814" s="43">
        <v>1.87</v>
      </c>
    </row>
    <row r="4815" spans="2:6" x14ac:dyDescent="0.25">
      <c r="B4815" s="13" t="s">
        <v>8214</v>
      </c>
      <c r="C4815" s="15" t="s">
        <v>156</v>
      </c>
      <c r="D4815" s="13" t="s">
        <v>7307</v>
      </c>
      <c r="E4815" s="13" t="s">
        <v>8215</v>
      </c>
      <c r="F4815" s="43">
        <v>1.01</v>
      </c>
    </row>
    <row r="4816" spans="2:6" x14ac:dyDescent="0.25">
      <c r="B4816" s="13" t="s">
        <v>8216</v>
      </c>
      <c r="C4816" s="15" t="s">
        <v>156</v>
      </c>
      <c r="D4816" s="13" t="s">
        <v>7307</v>
      </c>
      <c r="E4816" s="13" t="s">
        <v>8217</v>
      </c>
      <c r="F4816" s="43">
        <v>0.81</v>
      </c>
    </row>
    <row r="4817" spans="2:6" x14ac:dyDescent="0.25">
      <c r="B4817" s="13" t="s">
        <v>8218</v>
      </c>
      <c r="C4817" s="15" t="s">
        <v>156</v>
      </c>
      <c r="D4817" s="13" t="s">
        <v>7307</v>
      </c>
      <c r="E4817" s="13" t="s">
        <v>8219</v>
      </c>
      <c r="F4817" s="43">
        <v>3.15</v>
      </c>
    </row>
    <row r="4818" spans="2:6" x14ac:dyDescent="0.25">
      <c r="B4818" s="13" t="s">
        <v>8220</v>
      </c>
      <c r="C4818" s="15" t="s">
        <v>156</v>
      </c>
      <c r="D4818" s="13" t="s">
        <v>7307</v>
      </c>
      <c r="E4818" s="13" t="s">
        <v>8221</v>
      </c>
      <c r="F4818" s="43">
        <v>3.15</v>
      </c>
    </row>
    <row r="4819" spans="2:6" x14ac:dyDescent="0.25">
      <c r="B4819" s="13" t="s">
        <v>8222</v>
      </c>
      <c r="C4819" s="15" t="s">
        <v>156</v>
      </c>
      <c r="D4819" s="13" t="s">
        <v>7307</v>
      </c>
      <c r="E4819" s="13" t="s">
        <v>8223</v>
      </c>
      <c r="F4819" s="43">
        <v>3.15</v>
      </c>
    </row>
    <row r="4820" spans="2:6" x14ac:dyDescent="0.25">
      <c r="B4820" s="13" t="s">
        <v>8224</v>
      </c>
      <c r="C4820" s="15" t="s">
        <v>156</v>
      </c>
      <c r="D4820" s="13" t="s">
        <v>7307</v>
      </c>
      <c r="E4820" s="13" t="s">
        <v>8225</v>
      </c>
      <c r="F4820" s="43">
        <v>0.23</v>
      </c>
    </row>
    <row r="4821" spans="2:6" x14ac:dyDescent="0.25">
      <c r="B4821" s="13" t="s">
        <v>8226</v>
      </c>
      <c r="C4821" s="15" t="s">
        <v>156</v>
      </c>
      <c r="D4821" s="13" t="s">
        <v>7307</v>
      </c>
      <c r="E4821" s="13" t="s">
        <v>8227</v>
      </c>
      <c r="F4821" s="43">
        <v>1.41</v>
      </c>
    </row>
    <row r="4822" spans="2:6" x14ac:dyDescent="0.25">
      <c r="B4822" s="13" t="s">
        <v>8228</v>
      </c>
      <c r="C4822" s="15" t="s">
        <v>156</v>
      </c>
      <c r="D4822" s="13" t="s">
        <v>7307</v>
      </c>
      <c r="E4822" s="13" t="s">
        <v>8229</v>
      </c>
      <c r="F4822" s="43">
        <v>1.72</v>
      </c>
    </row>
    <row r="4823" spans="2:6" x14ac:dyDescent="0.25">
      <c r="B4823" s="13" t="s">
        <v>8230</v>
      </c>
      <c r="C4823" s="15" t="s">
        <v>156</v>
      </c>
      <c r="D4823" s="13" t="s">
        <v>7307</v>
      </c>
      <c r="E4823" s="13" t="s">
        <v>8231</v>
      </c>
      <c r="F4823" s="43">
        <v>1.1100000000000001</v>
      </c>
    </row>
    <row r="4824" spans="2:6" x14ac:dyDescent="0.25">
      <c r="B4824" s="13" t="s">
        <v>8232</v>
      </c>
      <c r="C4824" s="15" t="s">
        <v>156</v>
      </c>
      <c r="D4824" s="13" t="s">
        <v>7307</v>
      </c>
      <c r="E4824" s="13" t="s">
        <v>8233</v>
      </c>
      <c r="F4824" s="43">
        <v>1.21</v>
      </c>
    </row>
    <row r="4825" spans="2:6" x14ac:dyDescent="0.25">
      <c r="B4825" s="13" t="s">
        <v>8234</v>
      </c>
      <c r="C4825" s="15" t="s">
        <v>156</v>
      </c>
      <c r="D4825" s="13" t="s">
        <v>7307</v>
      </c>
      <c r="E4825" s="13" t="s">
        <v>8235</v>
      </c>
      <c r="F4825" s="43">
        <v>0.46</v>
      </c>
    </row>
    <row r="4826" spans="2:6" x14ac:dyDescent="0.25">
      <c r="B4826" s="13" t="s">
        <v>8236</v>
      </c>
      <c r="C4826" s="15" t="s">
        <v>156</v>
      </c>
      <c r="D4826" s="13" t="s">
        <v>7307</v>
      </c>
      <c r="E4826" s="13" t="s">
        <v>8237</v>
      </c>
      <c r="F4826" s="43">
        <v>1.18</v>
      </c>
    </row>
    <row r="4827" spans="2:6" x14ac:dyDescent="0.25">
      <c r="B4827" s="13" t="s">
        <v>8238</v>
      </c>
      <c r="C4827" s="15" t="s">
        <v>156</v>
      </c>
      <c r="D4827" s="13" t="s">
        <v>7307</v>
      </c>
      <c r="E4827" s="13" t="s">
        <v>8239</v>
      </c>
      <c r="F4827" s="43">
        <v>6.42</v>
      </c>
    </row>
    <row r="4828" spans="2:6" x14ac:dyDescent="0.25">
      <c r="B4828" s="13" t="s">
        <v>8240</v>
      </c>
      <c r="C4828" s="15" t="s">
        <v>156</v>
      </c>
      <c r="D4828" s="13" t="s">
        <v>7307</v>
      </c>
      <c r="E4828" s="13" t="s">
        <v>8241</v>
      </c>
      <c r="F4828" s="43">
        <v>1.34</v>
      </c>
    </row>
    <row r="4829" spans="2:6" x14ac:dyDescent="0.25">
      <c r="B4829" s="13" t="s">
        <v>8242</v>
      </c>
      <c r="C4829" s="15" t="s">
        <v>156</v>
      </c>
      <c r="D4829" s="13" t="s">
        <v>7307</v>
      </c>
      <c r="E4829" s="13" t="s">
        <v>8231</v>
      </c>
      <c r="F4829" s="43">
        <v>2.4</v>
      </c>
    </row>
    <row r="4830" spans="2:6" x14ac:dyDescent="0.25">
      <c r="B4830" s="13" t="s">
        <v>8243</v>
      </c>
      <c r="C4830" s="15" t="s">
        <v>156</v>
      </c>
      <c r="D4830" s="13" t="s">
        <v>7307</v>
      </c>
      <c r="E4830" s="13" t="s">
        <v>8244</v>
      </c>
      <c r="F4830" s="43">
        <v>1.48</v>
      </c>
    </row>
    <row r="4831" spans="2:6" x14ac:dyDescent="0.25">
      <c r="B4831" s="13" t="s">
        <v>8245</v>
      </c>
      <c r="C4831" s="15" t="s">
        <v>156</v>
      </c>
      <c r="D4831" s="13" t="s">
        <v>7307</v>
      </c>
      <c r="E4831" s="13" t="s">
        <v>8246</v>
      </c>
      <c r="F4831" s="43">
        <v>1.78</v>
      </c>
    </row>
    <row r="4832" spans="2:6" x14ac:dyDescent="0.25">
      <c r="B4832" s="13" t="s">
        <v>8247</v>
      </c>
      <c r="C4832" s="15" t="s">
        <v>156</v>
      </c>
      <c r="D4832" s="13" t="s">
        <v>7307</v>
      </c>
      <c r="E4832" s="13" t="s">
        <v>8248</v>
      </c>
      <c r="F4832" s="43">
        <v>1.48</v>
      </c>
    </row>
    <row r="4833" spans="2:6" x14ac:dyDescent="0.25">
      <c r="B4833" s="13" t="s">
        <v>8249</v>
      </c>
      <c r="C4833" s="15" t="s">
        <v>156</v>
      </c>
      <c r="D4833" s="13" t="s">
        <v>7307</v>
      </c>
      <c r="E4833" s="13" t="s">
        <v>8250</v>
      </c>
      <c r="F4833" s="43">
        <v>1.78</v>
      </c>
    </row>
    <row r="4834" spans="2:6" x14ac:dyDescent="0.25">
      <c r="B4834" s="13" t="s">
        <v>8251</v>
      </c>
      <c r="C4834" s="15" t="s">
        <v>156</v>
      </c>
      <c r="D4834" s="13" t="s">
        <v>7307</v>
      </c>
      <c r="E4834" s="13" t="s">
        <v>8252</v>
      </c>
      <c r="F4834" s="43">
        <v>2.64</v>
      </c>
    </row>
    <row r="4835" spans="2:6" x14ac:dyDescent="0.25">
      <c r="B4835" s="13" t="s">
        <v>8253</v>
      </c>
      <c r="C4835" s="15" t="s">
        <v>156</v>
      </c>
      <c r="D4835" s="13" t="s">
        <v>7307</v>
      </c>
      <c r="E4835" s="13" t="s">
        <v>8254</v>
      </c>
      <c r="F4835" s="43">
        <v>2.66</v>
      </c>
    </row>
    <row r="4836" spans="2:6" x14ac:dyDescent="0.25">
      <c r="B4836" s="13" t="s">
        <v>8255</v>
      </c>
      <c r="C4836" s="15" t="s">
        <v>156</v>
      </c>
      <c r="D4836" s="13" t="s">
        <v>7307</v>
      </c>
      <c r="E4836" s="13" t="s">
        <v>8256</v>
      </c>
      <c r="F4836" s="43">
        <v>2.64</v>
      </c>
    </row>
    <row r="4837" spans="2:6" x14ac:dyDescent="0.25">
      <c r="B4837" s="13" t="s">
        <v>8257</v>
      </c>
      <c r="C4837" s="15" t="s">
        <v>156</v>
      </c>
      <c r="D4837" s="13" t="s">
        <v>7307</v>
      </c>
      <c r="E4837" s="13" t="s">
        <v>8258</v>
      </c>
      <c r="F4837" s="43">
        <v>1.72</v>
      </c>
    </row>
    <row r="4838" spans="2:6" x14ac:dyDescent="0.25">
      <c r="B4838" s="13" t="s">
        <v>8259</v>
      </c>
      <c r="C4838" s="15" t="s">
        <v>156</v>
      </c>
      <c r="D4838" s="13" t="s">
        <v>7307</v>
      </c>
      <c r="E4838" s="13" t="s">
        <v>8260</v>
      </c>
      <c r="F4838" s="43">
        <v>7.63</v>
      </c>
    </row>
    <row r="4839" spans="2:6" x14ac:dyDescent="0.25">
      <c r="B4839" s="13" t="s">
        <v>8261</v>
      </c>
      <c r="C4839" s="15" t="s">
        <v>156</v>
      </c>
      <c r="D4839" s="13" t="s">
        <v>7307</v>
      </c>
      <c r="E4839" s="13" t="s">
        <v>8262</v>
      </c>
      <c r="F4839" s="43">
        <v>7.63</v>
      </c>
    </row>
    <row r="4840" spans="2:6" x14ac:dyDescent="0.25">
      <c r="B4840" s="13" t="s">
        <v>8263</v>
      </c>
      <c r="C4840" s="15" t="s">
        <v>156</v>
      </c>
      <c r="D4840" s="13" t="s">
        <v>7307</v>
      </c>
      <c r="E4840" s="13" t="s">
        <v>8264</v>
      </c>
      <c r="F4840" s="43">
        <v>7.63</v>
      </c>
    </row>
    <row r="4841" spans="2:6" x14ac:dyDescent="0.25">
      <c r="B4841" s="13" t="s">
        <v>8265</v>
      </c>
      <c r="C4841" s="15" t="s">
        <v>156</v>
      </c>
      <c r="D4841" s="13" t="s">
        <v>7307</v>
      </c>
      <c r="E4841" s="13" t="s">
        <v>8266</v>
      </c>
      <c r="F4841" s="43">
        <v>0.6</v>
      </c>
    </row>
    <row r="4842" spans="2:6" x14ac:dyDescent="0.25">
      <c r="B4842" s="13" t="s">
        <v>8267</v>
      </c>
      <c r="C4842" s="15" t="s">
        <v>156</v>
      </c>
      <c r="D4842" s="13" t="s">
        <v>7307</v>
      </c>
      <c r="E4842" s="13" t="s">
        <v>8268</v>
      </c>
      <c r="F4842" s="43">
        <v>0.6</v>
      </c>
    </row>
    <row r="4843" spans="2:6" x14ac:dyDescent="0.25">
      <c r="B4843" s="13" t="s">
        <v>8269</v>
      </c>
      <c r="C4843" s="15" t="s">
        <v>156</v>
      </c>
      <c r="D4843" s="13" t="s">
        <v>7307</v>
      </c>
      <c r="E4843" s="13" t="s">
        <v>8270</v>
      </c>
      <c r="F4843" s="43">
        <v>0.6</v>
      </c>
    </row>
    <row r="4844" spans="2:6" x14ac:dyDescent="0.25">
      <c r="B4844" s="13" t="s">
        <v>8271</v>
      </c>
      <c r="C4844" s="15" t="s">
        <v>156</v>
      </c>
      <c r="D4844" s="13" t="s">
        <v>7307</v>
      </c>
      <c r="E4844" s="13" t="s">
        <v>8272</v>
      </c>
      <c r="F4844" s="43">
        <v>1.81</v>
      </c>
    </row>
    <row r="4845" spans="2:6" x14ac:dyDescent="0.25">
      <c r="B4845" s="13" t="s">
        <v>8273</v>
      </c>
      <c r="C4845" s="15" t="s">
        <v>156</v>
      </c>
      <c r="D4845" s="13" t="s">
        <v>7307</v>
      </c>
      <c r="E4845" s="13" t="s">
        <v>8274</v>
      </c>
      <c r="F4845" s="43">
        <v>1.81</v>
      </c>
    </row>
    <row r="4846" spans="2:6" x14ac:dyDescent="0.25">
      <c r="B4846" s="13" t="s">
        <v>8275</v>
      </c>
      <c r="C4846" s="15" t="s">
        <v>156</v>
      </c>
      <c r="D4846" s="13" t="s">
        <v>7307</v>
      </c>
      <c r="E4846" s="13" t="s">
        <v>8276</v>
      </c>
      <c r="F4846" s="43">
        <v>1.81</v>
      </c>
    </row>
    <row r="4847" spans="2:6" x14ac:dyDescent="0.25">
      <c r="B4847" s="13" t="s">
        <v>8277</v>
      </c>
      <c r="C4847" s="15" t="s">
        <v>156</v>
      </c>
      <c r="D4847" s="13" t="s">
        <v>7307</v>
      </c>
      <c r="E4847" s="13" t="s">
        <v>8278</v>
      </c>
      <c r="F4847" s="43">
        <v>2.68</v>
      </c>
    </row>
    <row r="4848" spans="2:6" x14ac:dyDescent="0.25">
      <c r="B4848" s="13" t="s">
        <v>8279</v>
      </c>
      <c r="C4848" s="15" t="s">
        <v>156</v>
      </c>
      <c r="D4848" s="13" t="s">
        <v>7307</v>
      </c>
      <c r="E4848" s="13" t="s">
        <v>8280</v>
      </c>
      <c r="F4848" s="43">
        <v>1.81</v>
      </c>
    </row>
    <row r="4849" spans="2:6" x14ac:dyDescent="0.25">
      <c r="B4849" s="13" t="s">
        <v>8281</v>
      </c>
      <c r="C4849" s="15" t="s">
        <v>156</v>
      </c>
      <c r="D4849" s="13" t="s">
        <v>7307</v>
      </c>
      <c r="E4849" s="13" t="s">
        <v>8282</v>
      </c>
      <c r="F4849" s="43">
        <v>1.81</v>
      </c>
    </row>
    <row r="4850" spans="2:6" x14ac:dyDescent="0.25">
      <c r="B4850" s="13" t="s">
        <v>8283</v>
      </c>
      <c r="C4850" s="15" t="s">
        <v>156</v>
      </c>
      <c r="D4850" s="13" t="s">
        <v>7307</v>
      </c>
      <c r="E4850" s="13" t="s">
        <v>8284</v>
      </c>
      <c r="F4850" s="43">
        <v>1710.97</v>
      </c>
    </row>
    <row r="4851" spans="2:6" x14ac:dyDescent="0.25">
      <c r="B4851" s="13" t="s">
        <v>8285</v>
      </c>
      <c r="C4851" s="15" t="s">
        <v>156</v>
      </c>
      <c r="D4851" s="13" t="s">
        <v>7307</v>
      </c>
      <c r="E4851" s="13" t="s">
        <v>8286</v>
      </c>
      <c r="F4851" s="43">
        <v>32.69</v>
      </c>
    </row>
    <row r="4852" spans="2:6" x14ac:dyDescent="0.25">
      <c r="B4852" s="13" t="s">
        <v>8287</v>
      </c>
      <c r="C4852" s="15" t="s">
        <v>156</v>
      </c>
      <c r="D4852" s="13" t="s">
        <v>7307</v>
      </c>
      <c r="E4852" s="13" t="s">
        <v>8288</v>
      </c>
      <c r="F4852" s="43">
        <v>0</v>
      </c>
    </row>
    <row r="4853" spans="2:6" x14ac:dyDescent="0.25">
      <c r="B4853" s="13" t="s">
        <v>8289</v>
      </c>
      <c r="C4853" s="15" t="s">
        <v>156</v>
      </c>
      <c r="D4853" s="13" t="s">
        <v>7307</v>
      </c>
      <c r="E4853" s="13" t="s">
        <v>8290</v>
      </c>
      <c r="F4853" s="43">
        <v>0</v>
      </c>
    </row>
    <row r="4854" spans="2:6" x14ac:dyDescent="0.25">
      <c r="B4854" s="13" t="s">
        <v>8291</v>
      </c>
      <c r="C4854" s="15" t="s">
        <v>156</v>
      </c>
      <c r="D4854" s="13" t="s">
        <v>7307</v>
      </c>
      <c r="E4854" s="13" t="s">
        <v>8292</v>
      </c>
      <c r="F4854" s="43">
        <v>0</v>
      </c>
    </row>
    <row r="4855" spans="2:6" x14ac:dyDescent="0.25">
      <c r="B4855" s="13" t="s">
        <v>8293</v>
      </c>
      <c r="C4855" s="15" t="s">
        <v>156</v>
      </c>
      <c r="D4855" s="13" t="s">
        <v>7307</v>
      </c>
      <c r="E4855" s="13" t="s">
        <v>8294</v>
      </c>
      <c r="F4855" s="43">
        <v>3.6</v>
      </c>
    </row>
    <row r="4856" spans="2:6" x14ac:dyDescent="0.25">
      <c r="B4856" s="13" t="s">
        <v>8295</v>
      </c>
      <c r="C4856" s="15" t="s">
        <v>156</v>
      </c>
      <c r="D4856" s="13" t="s">
        <v>7307</v>
      </c>
      <c r="E4856" s="13" t="s">
        <v>8296</v>
      </c>
      <c r="F4856" s="43">
        <v>3.65</v>
      </c>
    </row>
    <row r="4857" spans="2:6" x14ac:dyDescent="0.25">
      <c r="B4857" s="13" t="s">
        <v>8297</v>
      </c>
      <c r="C4857" s="15" t="s">
        <v>156</v>
      </c>
      <c r="D4857" s="13" t="s">
        <v>7307</v>
      </c>
      <c r="E4857" s="13" t="s">
        <v>8298</v>
      </c>
      <c r="F4857" s="43">
        <v>0.51</v>
      </c>
    </row>
    <row r="4858" spans="2:6" x14ac:dyDescent="0.25">
      <c r="B4858" s="13" t="s">
        <v>8299</v>
      </c>
      <c r="C4858" s="15" t="s">
        <v>156</v>
      </c>
      <c r="D4858" s="13" t="s">
        <v>7307</v>
      </c>
      <c r="E4858" s="13" t="s">
        <v>8300</v>
      </c>
      <c r="F4858" s="43">
        <v>0.51</v>
      </c>
    </row>
    <row r="4859" spans="2:6" x14ac:dyDescent="0.25">
      <c r="B4859" s="13" t="s">
        <v>8301</v>
      </c>
      <c r="C4859" s="15" t="s">
        <v>156</v>
      </c>
      <c r="D4859" s="13" t="s">
        <v>7307</v>
      </c>
      <c r="E4859" s="13" t="s">
        <v>8302</v>
      </c>
      <c r="F4859" s="43">
        <v>0.51</v>
      </c>
    </row>
    <row r="4860" spans="2:6" x14ac:dyDescent="0.25">
      <c r="B4860" s="13" t="s">
        <v>8303</v>
      </c>
      <c r="C4860" s="15" t="s">
        <v>156</v>
      </c>
      <c r="D4860" s="13" t="s">
        <v>7307</v>
      </c>
      <c r="E4860" s="13" t="s">
        <v>8304</v>
      </c>
      <c r="F4860" s="43">
        <v>3.88</v>
      </c>
    </row>
    <row r="4861" spans="2:6" x14ac:dyDescent="0.25">
      <c r="B4861" s="13" t="s">
        <v>8305</v>
      </c>
      <c r="C4861" s="15" t="s">
        <v>156</v>
      </c>
      <c r="D4861" s="13" t="s">
        <v>7307</v>
      </c>
      <c r="E4861" s="13" t="s">
        <v>8306</v>
      </c>
      <c r="F4861" s="43">
        <v>26.75</v>
      </c>
    </row>
    <row r="4862" spans="2:6" x14ac:dyDescent="0.25">
      <c r="B4862" s="13" t="s">
        <v>8307</v>
      </c>
      <c r="C4862" s="15" t="s">
        <v>156</v>
      </c>
      <c r="D4862" s="13" t="s">
        <v>7307</v>
      </c>
      <c r="E4862" s="13" t="s">
        <v>8308</v>
      </c>
      <c r="F4862" s="43">
        <v>32.520000000000003</v>
      </c>
    </row>
    <row r="4863" spans="2:6" x14ac:dyDescent="0.25">
      <c r="B4863" s="13" t="s">
        <v>8309</v>
      </c>
      <c r="C4863" s="15" t="s">
        <v>156</v>
      </c>
      <c r="D4863" s="13" t="s">
        <v>7307</v>
      </c>
      <c r="E4863" s="13" t="s">
        <v>8310</v>
      </c>
      <c r="F4863" s="43">
        <v>34.47</v>
      </c>
    </row>
    <row r="4864" spans="2:6" x14ac:dyDescent="0.25">
      <c r="B4864" s="13" t="s">
        <v>8311</v>
      </c>
      <c r="C4864" s="15" t="s">
        <v>156</v>
      </c>
      <c r="D4864" s="13" t="s">
        <v>7307</v>
      </c>
      <c r="E4864" s="13" t="s">
        <v>8312</v>
      </c>
      <c r="F4864" s="43">
        <v>32.83</v>
      </c>
    </row>
    <row r="4865" spans="2:6" x14ac:dyDescent="0.25">
      <c r="B4865" s="13" t="s">
        <v>8313</v>
      </c>
      <c r="C4865" s="15" t="s">
        <v>156</v>
      </c>
      <c r="D4865" s="13" t="s">
        <v>7307</v>
      </c>
      <c r="E4865" s="13" t="s">
        <v>8314</v>
      </c>
      <c r="F4865" s="43">
        <v>30.39</v>
      </c>
    </row>
    <row r="4866" spans="2:6" x14ac:dyDescent="0.25">
      <c r="B4866" s="13" t="s">
        <v>8315</v>
      </c>
      <c r="C4866" s="15" t="s">
        <v>156</v>
      </c>
      <c r="D4866" s="13" t="s">
        <v>7307</v>
      </c>
      <c r="E4866" s="13" t="s">
        <v>8316</v>
      </c>
      <c r="F4866" s="43">
        <v>32.83</v>
      </c>
    </row>
    <row r="4867" spans="2:6" x14ac:dyDescent="0.25">
      <c r="B4867" s="13" t="s">
        <v>8317</v>
      </c>
      <c r="C4867" s="15" t="s">
        <v>156</v>
      </c>
      <c r="D4867" s="13" t="s">
        <v>7307</v>
      </c>
      <c r="E4867" s="13" t="s">
        <v>8318</v>
      </c>
      <c r="F4867" s="43">
        <v>35.79</v>
      </c>
    </row>
    <row r="4868" spans="2:6" x14ac:dyDescent="0.25">
      <c r="B4868" s="13" t="s">
        <v>8319</v>
      </c>
      <c r="C4868" s="15" t="s">
        <v>156</v>
      </c>
      <c r="D4868" s="13" t="s">
        <v>7307</v>
      </c>
      <c r="E4868" s="13" t="s">
        <v>8320</v>
      </c>
      <c r="F4868" s="43">
        <v>127.63</v>
      </c>
    </row>
    <row r="4869" spans="2:6" x14ac:dyDescent="0.25">
      <c r="B4869" s="13">
        <v>2003035</v>
      </c>
      <c r="C4869" s="15" t="s">
        <v>159</v>
      </c>
      <c r="D4869" s="13" t="s">
        <v>7307</v>
      </c>
      <c r="E4869" s="13" t="s">
        <v>8321</v>
      </c>
      <c r="F4869" s="43">
        <v>18.72</v>
      </c>
    </row>
    <row r="4870" spans="2:6" x14ac:dyDescent="0.25">
      <c r="B4870" s="13">
        <v>2010002</v>
      </c>
      <c r="C4870" s="15" t="s">
        <v>159</v>
      </c>
      <c r="D4870" s="13" t="s">
        <v>7307</v>
      </c>
      <c r="E4870" s="13" t="s">
        <v>8322</v>
      </c>
      <c r="F4870" s="43">
        <v>0.19</v>
      </c>
    </row>
    <row r="4871" spans="2:6" x14ac:dyDescent="0.25">
      <c r="B4871" s="13">
        <v>2010004</v>
      </c>
      <c r="C4871" s="15" t="s">
        <v>159</v>
      </c>
      <c r="D4871" s="13" t="s">
        <v>7307</v>
      </c>
      <c r="E4871" s="13" t="s">
        <v>8323</v>
      </c>
      <c r="F4871" s="43">
        <v>0.19</v>
      </c>
    </row>
    <row r="4872" spans="2:6" x14ac:dyDescent="0.25">
      <c r="B4872" s="13">
        <v>2010008</v>
      </c>
      <c r="C4872" s="15" t="s">
        <v>159</v>
      </c>
      <c r="D4872" s="13" t="s">
        <v>7307</v>
      </c>
      <c r="E4872" s="13" t="s">
        <v>8324</v>
      </c>
      <c r="F4872" s="43">
        <v>0.19</v>
      </c>
    </row>
    <row r="4873" spans="2:6" x14ac:dyDescent="0.25">
      <c r="B4873" s="13">
        <v>2010016</v>
      </c>
      <c r="C4873" s="15" t="s">
        <v>159</v>
      </c>
      <c r="D4873" s="13" t="s">
        <v>7307</v>
      </c>
      <c r="E4873" s="13" t="s">
        <v>8325</v>
      </c>
      <c r="F4873" s="43">
        <v>0.19</v>
      </c>
    </row>
    <row r="4874" spans="2:6" x14ac:dyDescent="0.25">
      <c r="B4874" s="13">
        <v>2013180</v>
      </c>
      <c r="C4874" s="15" t="s">
        <v>159</v>
      </c>
      <c r="D4874" s="13" t="s">
        <v>7307</v>
      </c>
      <c r="E4874" s="13" t="s">
        <v>8326</v>
      </c>
      <c r="F4874" s="43">
        <v>0.17</v>
      </c>
    </row>
    <row r="4875" spans="2:6" x14ac:dyDescent="0.25">
      <c r="B4875" s="13">
        <v>2013360</v>
      </c>
      <c r="C4875" s="15" t="s">
        <v>159</v>
      </c>
      <c r="D4875" s="13" t="s">
        <v>7307</v>
      </c>
      <c r="E4875" s="13" t="s">
        <v>8327</v>
      </c>
      <c r="F4875" s="43">
        <v>0.17</v>
      </c>
    </row>
    <row r="4876" spans="2:6" x14ac:dyDescent="0.25">
      <c r="B4876" s="13">
        <v>2015015</v>
      </c>
      <c r="C4876" s="15" t="s">
        <v>159</v>
      </c>
      <c r="D4876" s="13" t="s">
        <v>7307</v>
      </c>
      <c r="E4876" s="13" t="s">
        <v>8328</v>
      </c>
      <c r="F4876" s="43">
        <v>0.39</v>
      </c>
    </row>
    <row r="4877" spans="2:6" x14ac:dyDescent="0.25">
      <c r="B4877" s="13">
        <v>2015040</v>
      </c>
      <c r="C4877" s="15" t="s">
        <v>159</v>
      </c>
      <c r="D4877" s="13" t="s">
        <v>7307</v>
      </c>
      <c r="E4877" s="13" t="s">
        <v>8329</v>
      </c>
      <c r="F4877" s="43">
        <v>0.39</v>
      </c>
    </row>
    <row r="4878" spans="2:6" x14ac:dyDescent="0.25">
      <c r="B4878" s="13">
        <v>2015080</v>
      </c>
      <c r="C4878" s="15" t="s">
        <v>159</v>
      </c>
      <c r="D4878" s="13" t="s">
        <v>7307</v>
      </c>
      <c r="E4878" s="13" t="s">
        <v>8330</v>
      </c>
      <c r="F4878" s="43">
        <v>0.39</v>
      </c>
    </row>
    <row r="4879" spans="2:6" x14ac:dyDescent="0.25">
      <c r="B4879" s="13">
        <v>2016008</v>
      </c>
      <c r="C4879" s="15" t="s">
        <v>159</v>
      </c>
      <c r="D4879" s="13" t="s">
        <v>7307</v>
      </c>
      <c r="E4879" s="13" t="s">
        <v>8331</v>
      </c>
      <c r="F4879" s="43">
        <v>0.18</v>
      </c>
    </row>
    <row r="4880" spans="2:6" x14ac:dyDescent="0.25">
      <c r="B4880" s="13">
        <v>2060004</v>
      </c>
      <c r="C4880" s="15" t="s">
        <v>159</v>
      </c>
      <c r="D4880" s="13" t="s">
        <v>7307</v>
      </c>
      <c r="E4880" s="13" t="s">
        <v>8332</v>
      </c>
      <c r="F4880" s="43">
        <v>0.05</v>
      </c>
    </row>
    <row r="4881" spans="2:6" x14ac:dyDescent="0.25">
      <c r="B4881" s="13">
        <v>2060016</v>
      </c>
      <c r="C4881" s="15" t="s">
        <v>159</v>
      </c>
      <c r="D4881" s="13" t="s">
        <v>7307</v>
      </c>
      <c r="E4881" s="13" t="s">
        <v>8333</v>
      </c>
      <c r="F4881" s="43">
        <v>0.17</v>
      </c>
    </row>
    <row r="4882" spans="2:6" x14ac:dyDescent="0.25">
      <c r="B4882" s="13">
        <v>2061004</v>
      </c>
      <c r="C4882" s="15" t="s">
        <v>159</v>
      </c>
      <c r="D4882" s="13" t="s">
        <v>7307</v>
      </c>
      <c r="E4882" s="13" t="s">
        <v>8334</v>
      </c>
      <c r="F4882" s="43">
        <v>0.06</v>
      </c>
    </row>
    <row r="4883" spans="2:6" x14ac:dyDescent="0.25">
      <c r="B4883" s="13">
        <v>912300016</v>
      </c>
      <c r="C4883" s="15" t="s">
        <v>159</v>
      </c>
      <c r="D4883" s="13" t="s">
        <v>7307</v>
      </c>
      <c r="E4883" s="13" t="s">
        <v>8335</v>
      </c>
      <c r="F4883" s="43">
        <v>0.44</v>
      </c>
    </row>
    <row r="4884" spans="2:6" x14ac:dyDescent="0.25">
      <c r="B4884" s="13">
        <v>2210016000</v>
      </c>
      <c r="C4884" s="15" t="s">
        <v>159</v>
      </c>
      <c r="D4884" s="13" t="s">
        <v>7307</v>
      </c>
      <c r="E4884" s="13" t="s">
        <v>8336</v>
      </c>
      <c r="F4884" s="43">
        <v>1</v>
      </c>
    </row>
    <row r="4885" spans="2:6" x14ac:dyDescent="0.25">
      <c r="B4885" s="13">
        <v>2210020000</v>
      </c>
      <c r="C4885" s="15" t="s">
        <v>159</v>
      </c>
      <c r="D4885" s="13" t="s">
        <v>7307</v>
      </c>
      <c r="E4885" s="13" t="s">
        <v>8337</v>
      </c>
      <c r="F4885" s="43">
        <v>1.19</v>
      </c>
    </row>
    <row r="4886" spans="2:6" x14ac:dyDescent="0.25">
      <c r="B4886" s="13">
        <v>2235016000</v>
      </c>
      <c r="C4886" s="15" t="s">
        <v>159</v>
      </c>
      <c r="D4886" s="13" t="s">
        <v>7307</v>
      </c>
      <c r="E4886" s="13" t="s">
        <v>8338</v>
      </c>
      <c r="F4886" s="43">
        <v>1.06</v>
      </c>
    </row>
    <row r="4887" spans="2:6" x14ac:dyDescent="0.25">
      <c r="B4887" s="13">
        <v>2248016016</v>
      </c>
      <c r="C4887" s="15" t="s">
        <v>159</v>
      </c>
      <c r="D4887" s="13" t="s">
        <v>7307</v>
      </c>
      <c r="E4887" s="13" t="s">
        <v>8339</v>
      </c>
      <c r="F4887" s="43">
        <v>1.1100000000000001</v>
      </c>
    </row>
    <row r="4888" spans="2:6" x14ac:dyDescent="0.25">
      <c r="B4888" s="13">
        <v>9190016000</v>
      </c>
      <c r="C4888" s="15" t="s">
        <v>159</v>
      </c>
      <c r="D4888" s="13" t="s">
        <v>7307</v>
      </c>
      <c r="E4888" s="13" t="s">
        <v>8340</v>
      </c>
      <c r="F4888" s="43">
        <v>0.12</v>
      </c>
    </row>
    <row r="4889" spans="2:6" x14ac:dyDescent="0.25">
      <c r="B4889" s="13">
        <v>9190020000</v>
      </c>
      <c r="C4889" s="15" t="s">
        <v>159</v>
      </c>
      <c r="D4889" s="13" t="s">
        <v>7307</v>
      </c>
      <c r="E4889" s="13" t="s">
        <v>8341</v>
      </c>
      <c r="F4889" s="43">
        <v>0.14000000000000001</v>
      </c>
    </row>
    <row r="4890" spans="2:6" x14ac:dyDescent="0.25">
      <c r="B4890" s="13">
        <v>9190020016</v>
      </c>
      <c r="C4890" s="15" t="s">
        <v>159</v>
      </c>
      <c r="D4890" s="13" t="s">
        <v>7307</v>
      </c>
      <c r="E4890" s="13" t="s">
        <v>8342</v>
      </c>
      <c r="F4890" s="43">
        <v>0.27</v>
      </c>
    </row>
    <row r="4891" spans="2:6" x14ac:dyDescent="0.25">
      <c r="B4891" s="13">
        <v>9191016000</v>
      </c>
      <c r="C4891" s="15" t="s">
        <v>159</v>
      </c>
      <c r="D4891" s="13" t="s">
        <v>7307</v>
      </c>
      <c r="E4891" s="13" t="s">
        <v>8343</v>
      </c>
      <c r="F4891" s="43">
        <v>0.28999999999999998</v>
      </c>
    </row>
    <row r="4892" spans="2:6" x14ac:dyDescent="0.25">
      <c r="B4892" s="13">
        <v>9191020000</v>
      </c>
      <c r="C4892" s="15" t="s">
        <v>159</v>
      </c>
      <c r="D4892" s="13" t="s">
        <v>7307</v>
      </c>
      <c r="E4892" s="13" t="s">
        <v>8344</v>
      </c>
      <c r="F4892" s="43">
        <v>0.69</v>
      </c>
    </row>
    <row r="4893" spans="2:6" x14ac:dyDescent="0.25">
      <c r="B4893" s="13">
        <v>9193016000</v>
      </c>
      <c r="C4893" s="15" t="s">
        <v>159</v>
      </c>
      <c r="D4893" s="13" t="s">
        <v>7307</v>
      </c>
      <c r="E4893" s="13" t="s">
        <v>8345</v>
      </c>
      <c r="F4893" s="43">
        <v>0.44</v>
      </c>
    </row>
    <row r="4894" spans="2:6" x14ac:dyDescent="0.25">
      <c r="B4894" s="13">
        <v>9193020000</v>
      </c>
      <c r="C4894" s="15" t="s">
        <v>159</v>
      </c>
      <c r="D4894" s="13" t="s">
        <v>7307</v>
      </c>
      <c r="E4894" s="13" t="s">
        <v>8346</v>
      </c>
      <c r="F4894" s="43">
        <v>0.48</v>
      </c>
    </row>
    <row r="4895" spans="2:6" x14ac:dyDescent="0.25">
      <c r="B4895" s="13" t="s">
        <v>8347</v>
      </c>
      <c r="C4895" s="15" t="s">
        <v>159</v>
      </c>
      <c r="D4895" s="13" t="s">
        <v>7307</v>
      </c>
      <c r="E4895" s="13" t="s">
        <v>8348</v>
      </c>
      <c r="F4895" s="43">
        <v>1.66</v>
      </c>
    </row>
    <row r="4896" spans="2:6" x14ac:dyDescent="0.25">
      <c r="B4896" s="13" t="s">
        <v>8349</v>
      </c>
      <c r="C4896" s="15" t="s">
        <v>159</v>
      </c>
      <c r="D4896" s="13" t="s">
        <v>7307</v>
      </c>
      <c r="E4896" s="13" t="s">
        <v>8350</v>
      </c>
      <c r="F4896" s="43">
        <v>1.66</v>
      </c>
    </row>
    <row r="4897" spans="2:6" x14ac:dyDescent="0.25">
      <c r="B4897" s="13" t="s">
        <v>8351</v>
      </c>
      <c r="C4897" s="15" t="s">
        <v>159</v>
      </c>
      <c r="D4897" s="13" t="s">
        <v>7307</v>
      </c>
      <c r="E4897" s="13" t="s">
        <v>8352</v>
      </c>
      <c r="F4897" s="43">
        <v>1.94</v>
      </c>
    </row>
    <row r="4898" spans="2:6" x14ac:dyDescent="0.25">
      <c r="B4898" s="13" t="s">
        <v>8353</v>
      </c>
      <c r="C4898" s="15" t="s">
        <v>159</v>
      </c>
      <c r="D4898" s="13" t="s">
        <v>7307</v>
      </c>
      <c r="E4898" s="13" t="s">
        <v>8354</v>
      </c>
      <c r="F4898" s="43">
        <v>1.94</v>
      </c>
    </row>
    <row r="4899" spans="2:6" x14ac:dyDescent="0.25">
      <c r="B4899" s="13" t="s">
        <v>8355</v>
      </c>
      <c r="C4899" s="15" t="s">
        <v>159</v>
      </c>
      <c r="D4899" s="13" t="s">
        <v>7307</v>
      </c>
      <c r="E4899" s="13" t="s">
        <v>8356</v>
      </c>
      <c r="F4899" s="43">
        <v>2.0499999999999998</v>
      </c>
    </row>
    <row r="4900" spans="2:6" x14ac:dyDescent="0.25">
      <c r="B4900" s="13" t="s">
        <v>8357</v>
      </c>
      <c r="C4900" s="15" t="s">
        <v>159</v>
      </c>
      <c r="D4900" s="13" t="s">
        <v>7307</v>
      </c>
      <c r="E4900" s="13" t="s">
        <v>8358</v>
      </c>
      <c r="F4900" s="43">
        <v>2.0499999999999998</v>
      </c>
    </row>
    <row r="4901" spans="2:6" x14ac:dyDescent="0.25">
      <c r="B4901" s="13" t="s">
        <v>8359</v>
      </c>
      <c r="C4901" s="15" t="s">
        <v>159</v>
      </c>
      <c r="D4901" s="13" t="s">
        <v>7307</v>
      </c>
      <c r="E4901" s="13" t="s">
        <v>8360</v>
      </c>
      <c r="F4901" s="43">
        <v>2.0499999999999998</v>
      </c>
    </row>
    <row r="4902" spans="2:6" x14ac:dyDescent="0.25">
      <c r="B4902" s="13" t="s">
        <v>8361</v>
      </c>
      <c r="C4902" s="15" t="s">
        <v>159</v>
      </c>
      <c r="D4902" s="13" t="s">
        <v>7307</v>
      </c>
      <c r="E4902" s="13" t="s">
        <v>8362</v>
      </c>
      <c r="F4902" s="43">
        <v>2.25</v>
      </c>
    </row>
    <row r="4903" spans="2:6" x14ac:dyDescent="0.25">
      <c r="B4903" s="13" t="s">
        <v>8363</v>
      </c>
      <c r="C4903" s="15" t="s">
        <v>159</v>
      </c>
      <c r="D4903" s="13" t="s">
        <v>7307</v>
      </c>
      <c r="E4903" s="13" t="s">
        <v>8364</v>
      </c>
      <c r="F4903" s="43">
        <v>2.25</v>
      </c>
    </row>
    <row r="4904" spans="2:6" x14ac:dyDescent="0.25">
      <c r="B4904" s="13" t="s">
        <v>8365</v>
      </c>
      <c r="C4904" s="15" t="s">
        <v>159</v>
      </c>
      <c r="D4904" s="13" t="s">
        <v>7307</v>
      </c>
      <c r="E4904" s="13" t="s">
        <v>8366</v>
      </c>
      <c r="F4904" s="43">
        <v>2.25</v>
      </c>
    </row>
    <row r="4905" spans="2:6" x14ac:dyDescent="0.25">
      <c r="B4905" s="13" t="s">
        <v>8367</v>
      </c>
      <c r="C4905" s="15" t="s">
        <v>159</v>
      </c>
      <c r="D4905" s="13" t="s">
        <v>7307</v>
      </c>
      <c r="E4905" s="13" t="s">
        <v>8368</v>
      </c>
      <c r="F4905" s="43">
        <v>3.56</v>
      </c>
    </row>
    <row r="4906" spans="2:6" x14ac:dyDescent="0.25">
      <c r="B4906" s="13" t="s">
        <v>8369</v>
      </c>
      <c r="C4906" s="15" t="s">
        <v>159</v>
      </c>
      <c r="D4906" s="13" t="s">
        <v>7307</v>
      </c>
      <c r="E4906" s="13" t="s">
        <v>8370</v>
      </c>
      <c r="F4906" s="43">
        <v>3.56</v>
      </c>
    </row>
    <row r="4907" spans="2:6" x14ac:dyDescent="0.25">
      <c r="B4907" s="13" t="s">
        <v>8371</v>
      </c>
      <c r="C4907" s="15" t="s">
        <v>159</v>
      </c>
      <c r="D4907" s="13" t="s">
        <v>7307</v>
      </c>
      <c r="E4907" s="13" t="s">
        <v>8372</v>
      </c>
      <c r="F4907" s="43">
        <v>3.56</v>
      </c>
    </row>
    <row r="4908" spans="2:6" x14ac:dyDescent="0.25">
      <c r="B4908" s="13" t="s">
        <v>8373</v>
      </c>
      <c r="C4908" s="15" t="s">
        <v>159</v>
      </c>
      <c r="D4908" s="13" t="s">
        <v>7307</v>
      </c>
      <c r="E4908" s="13" t="s">
        <v>8374</v>
      </c>
      <c r="F4908" s="43">
        <v>4.04</v>
      </c>
    </row>
    <row r="4909" spans="2:6" x14ac:dyDescent="0.25">
      <c r="B4909" s="13" t="s">
        <v>8375</v>
      </c>
      <c r="C4909" s="15" t="s">
        <v>159</v>
      </c>
      <c r="D4909" s="13" t="s">
        <v>7307</v>
      </c>
      <c r="E4909" s="13" t="s">
        <v>8376</v>
      </c>
      <c r="F4909" s="43">
        <v>4.04</v>
      </c>
    </row>
    <row r="4910" spans="2:6" x14ac:dyDescent="0.25">
      <c r="B4910" s="13" t="s">
        <v>8377</v>
      </c>
      <c r="C4910" s="15" t="s">
        <v>159</v>
      </c>
      <c r="D4910" s="13" t="s">
        <v>7307</v>
      </c>
      <c r="E4910" s="13" t="s">
        <v>8378</v>
      </c>
      <c r="F4910" s="43">
        <v>4.04</v>
      </c>
    </row>
    <row r="4911" spans="2:6" x14ac:dyDescent="0.25">
      <c r="B4911" s="13" t="s">
        <v>8379</v>
      </c>
      <c r="C4911" s="15" t="s">
        <v>159</v>
      </c>
      <c r="D4911" s="13" t="s">
        <v>7307</v>
      </c>
      <c r="E4911" s="13" t="s">
        <v>8380</v>
      </c>
      <c r="F4911" s="43">
        <v>5.29</v>
      </c>
    </row>
    <row r="4912" spans="2:6" x14ac:dyDescent="0.25">
      <c r="B4912" s="13" t="s">
        <v>8381</v>
      </c>
      <c r="C4912" s="15" t="s">
        <v>159</v>
      </c>
      <c r="D4912" s="13" t="s">
        <v>7307</v>
      </c>
      <c r="E4912" s="13" t="s">
        <v>8382</v>
      </c>
      <c r="F4912" s="43">
        <v>5.29</v>
      </c>
    </row>
    <row r="4913" spans="2:6" x14ac:dyDescent="0.25">
      <c r="B4913" s="13" t="s">
        <v>8383</v>
      </c>
      <c r="C4913" s="15" t="s">
        <v>159</v>
      </c>
      <c r="D4913" s="13" t="s">
        <v>7307</v>
      </c>
      <c r="E4913" s="13" t="s">
        <v>8384</v>
      </c>
      <c r="F4913" s="43">
        <v>5.29</v>
      </c>
    </row>
    <row r="4914" spans="2:6" x14ac:dyDescent="0.25">
      <c r="B4914" s="13" t="s">
        <v>8385</v>
      </c>
      <c r="C4914" s="15" t="s">
        <v>159</v>
      </c>
      <c r="D4914" s="13" t="s">
        <v>7307</v>
      </c>
      <c r="E4914" s="13" t="s">
        <v>8386</v>
      </c>
      <c r="F4914" s="43">
        <v>6.24</v>
      </c>
    </row>
    <row r="4915" spans="2:6" x14ac:dyDescent="0.25">
      <c r="B4915" s="13" t="s">
        <v>8387</v>
      </c>
      <c r="C4915" s="15" t="s">
        <v>159</v>
      </c>
      <c r="D4915" s="13" t="s">
        <v>7307</v>
      </c>
      <c r="E4915" s="13" t="s">
        <v>8388</v>
      </c>
      <c r="F4915" s="43">
        <v>6.24</v>
      </c>
    </row>
    <row r="4916" spans="2:6" x14ac:dyDescent="0.25">
      <c r="B4916" s="13" t="s">
        <v>8389</v>
      </c>
      <c r="C4916" s="15" t="s">
        <v>159</v>
      </c>
      <c r="D4916" s="13" t="s">
        <v>7307</v>
      </c>
      <c r="E4916" s="13" t="s">
        <v>8390</v>
      </c>
      <c r="F4916" s="43">
        <v>6.24</v>
      </c>
    </row>
    <row r="4917" spans="2:6" x14ac:dyDescent="0.25">
      <c r="B4917" s="13" t="s">
        <v>8391</v>
      </c>
      <c r="C4917" s="15" t="s">
        <v>159</v>
      </c>
      <c r="D4917" s="13" t="s">
        <v>7307</v>
      </c>
      <c r="E4917" s="13" t="s">
        <v>8392</v>
      </c>
      <c r="F4917" s="43">
        <v>0</v>
      </c>
    </row>
    <row r="4918" spans="2:6" x14ac:dyDescent="0.25">
      <c r="B4918" s="13" t="s">
        <v>8393</v>
      </c>
      <c r="C4918" s="15" t="s">
        <v>159</v>
      </c>
      <c r="D4918" s="13" t="s">
        <v>7307</v>
      </c>
      <c r="E4918" s="13" t="s">
        <v>8394</v>
      </c>
      <c r="F4918" s="43">
        <v>2.44</v>
      </c>
    </row>
    <row r="4919" spans="2:6" x14ac:dyDescent="0.25">
      <c r="B4919" s="13" t="s">
        <v>8395</v>
      </c>
      <c r="C4919" s="15" t="s">
        <v>159</v>
      </c>
      <c r="D4919" s="13" t="s">
        <v>7307</v>
      </c>
      <c r="E4919" s="13" t="s">
        <v>8396</v>
      </c>
      <c r="F4919" s="43">
        <v>6.43</v>
      </c>
    </row>
    <row r="4920" spans="2:6" x14ac:dyDescent="0.25">
      <c r="B4920" s="13" t="s">
        <v>8397</v>
      </c>
      <c r="C4920" s="15" t="s">
        <v>159</v>
      </c>
      <c r="D4920" s="13" t="s">
        <v>7307</v>
      </c>
      <c r="E4920" s="13" t="s">
        <v>8398</v>
      </c>
      <c r="F4920" s="43">
        <v>7.29</v>
      </c>
    </row>
    <row r="4921" spans="2:6" x14ac:dyDescent="0.25">
      <c r="B4921" s="13" t="s">
        <v>8399</v>
      </c>
      <c r="C4921" s="15" t="s">
        <v>159</v>
      </c>
      <c r="D4921" s="13" t="s">
        <v>7307</v>
      </c>
      <c r="E4921" s="13" t="s">
        <v>8400</v>
      </c>
      <c r="F4921" s="43">
        <v>7.29</v>
      </c>
    </row>
    <row r="4922" spans="2:6" x14ac:dyDescent="0.25">
      <c r="B4922" s="13" t="s">
        <v>8401</v>
      </c>
      <c r="C4922" s="15" t="s">
        <v>159</v>
      </c>
      <c r="D4922" s="13" t="s">
        <v>7307</v>
      </c>
      <c r="E4922" s="13" t="s">
        <v>8402</v>
      </c>
      <c r="F4922" s="43">
        <v>8.2100000000000009</v>
      </c>
    </row>
    <row r="4923" spans="2:6" x14ac:dyDescent="0.25">
      <c r="B4923" s="13" t="s">
        <v>8403</v>
      </c>
      <c r="C4923" s="15" t="s">
        <v>159</v>
      </c>
      <c r="D4923" s="13" t="s">
        <v>7307</v>
      </c>
      <c r="E4923" s="13" t="s">
        <v>8404</v>
      </c>
      <c r="F4923" s="43">
        <v>8.2100000000000009</v>
      </c>
    </row>
    <row r="4924" spans="2:6" x14ac:dyDescent="0.25">
      <c r="B4924" s="13" t="s">
        <v>8405</v>
      </c>
      <c r="C4924" s="15" t="s">
        <v>159</v>
      </c>
      <c r="D4924" s="13" t="s">
        <v>7307</v>
      </c>
      <c r="E4924" s="13" t="s">
        <v>8406</v>
      </c>
      <c r="F4924" s="43">
        <v>9.6999999999999993</v>
      </c>
    </row>
    <row r="4925" spans="2:6" x14ac:dyDescent="0.25">
      <c r="B4925" s="13" t="s">
        <v>8407</v>
      </c>
      <c r="C4925" s="15" t="s">
        <v>159</v>
      </c>
      <c r="D4925" s="13" t="s">
        <v>7307</v>
      </c>
      <c r="E4925" s="13" t="s">
        <v>8408</v>
      </c>
      <c r="F4925" s="43">
        <v>9.6999999999999993</v>
      </c>
    </row>
    <row r="4926" spans="2:6" x14ac:dyDescent="0.25">
      <c r="B4926" s="13" t="s">
        <v>8409</v>
      </c>
      <c r="C4926" s="15" t="s">
        <v>159</v>
      </c>
      <c r="D4926" s="13" t="s">
        <v>7307</v>
      </c>
      <c r="E4926" s="13" t="s">
        <v>8410</v>
      </c>
      <c r="F4926" s="43">
        <v>18.28</v>
      </c>
    </row>
    <row r="4927" spans="2:6" x14ac:dyDescent="0.25">
      <c r="B4927" s="13" t="s">
        <v>8411</v>
      </c>
      <c r="C4927" s="15" t="s">
        <v>159</v>
      </c>
      <c r="D4927" s="13" t="s">
        <v>7307</v>
      </c>
      <c r="E4927" s="13" t="s">
        <v>8412</v>
      </c>
      <c r="F4927" s="43">
        <v>18.61</v>
      </c>
    </row>
    <row r="4928" spans="2:6" x14ac:dyDescent="0.25">
      <c r="B4928" s="13" t="s">
        <v>8413</v>
      </c>
      <c r="C4928" s="15" t="s">
        <v>159</v>
      </c>
      <c r="D4928" s="13" t="s">
        <v>7307</v>
      </c>
      <c r="E4928" s="13" t="s">
        <v>8414</v>
      </c>
      <c r="F4928" s="43">
        <v>18.28</v>
      </c>
    </row>
    <row r="4929" spans="2:6" x14ac:dyDescent="0.25">
      <c r="B4929" s="13" t="s">
        <v>8415</v>
      </c>
      <c r="C4929" s="15" t="s">
        <v>159</v>
      </c>
      <c r="D4929" s="13" t="s">
        <v>7307</v>
      </c>
      <c r="E4929" s="13" t="s">
        <v>8416</v>
      </c>
      <c r="F4929" s="43">
        <v>22.15</v>
      </c>
    </row>
    <row r="4930" spans="2:6" x14ac:dyDescent="0.25">
      <c r="B4930" s="13" t="s">
        <v>8417</v>
      </c>
      <c r="C4930" s="15" t="s">
        <v>159</v>
      </c>
      <c r="D4930" s="13" t="s">
        <v>7307</v>
      </c>
      <c r="E4930" s="13" t="s">
        <v>8418</v>
      </c>
      <c r="F4930" s="43">
        <v>21.19</v>
      </c>
    </row>
    <row r="4931" spans="2:6" x14ac:dyDescent="0.25">
      <c r="B4931" s="13" t="s">
        <v>8419</v>
      </c>
      <c r="C4931" s="15" t="s">
        <v>159</v>
      </c>
      <c r="D4931" s="13" t="s">
        <v>7307</v>
      </c>
      <c r="E4931" s="13" t="s">
        <v>8420</v>
      </c>
      <c r="F4931" s="43">
        <v>21.58</v>
      </c>
    </row>
    <row r="4932" spans="2:6" x14ac:dyDescent="0.25">
      <c r="B4932" s="13" t="s">
        <v>8421</v>
      </c>
      <c r="C4932" s="15" t="s">
        <v>159</v>
      </c>
      <c r="D4932" s="13" t="s">
        <v>7307</v>
      </c>
      <c r="E4932" s="13" t="s">
        <v>8422</v>
      </c>
      <c r="F4932" s="43">
        <v>28.85</v>
      </c>
    </row>
    <row r="4933" spans="2:6" x14ac:dyDescent="0.25">
      <c r="B4933" s="13" t="s">
        <v>8423</v>
      </c>
      <c r="C4933" s="15" t="s">
        <v>159</v>
      </c>
      <c r="D4933" s="13" t="s">
        <v>7307</v>
      </c>
      <c r="E4933" s="13" t="s">
        <v>8424</v>
      </c>
      <c r="F4933" s="43">
        <v>28.85</v>
      </c>
    </row>
    <row r="4934" spans="2:6" x14ac:dyDescent="0.25">
      <c r="B4934" s="13" t="s">
        <v>8425</v>
      </c>
      <c r="C4934" s="15" t="s">
        <v>159</v>
      </c>
      <c r="D4934" s="13" t="s">
        <v>7307</v>
      </c>
      <c r="E4934" s="13" t="s">
        <v>8426</v>
      </c>
      <c r="F4934" s="43">
        <v>28.85</v>
      </c>
    </row>
    <row r="4935" spans="2:6" x14ac:dyDescent="0.25">
      <c r="B4935" s="13" t="s">
        <v>8427</v>
      </c>
      <c r="C4935" s="15" t="s">
        <v>159</v>
      </c>
      <c r="D4935" s="13" t="s">
        <v>7307</v>
      </c>
      <c r="E4935" s="13" t="s">
        <v>8428</v>
      </c>
      <c r="F4935" s="43">
        <v>28.85</v>
      </c>
    </row>
    <row r="4936" spans="2:6" x14ac:dyDescent="0.25">
      <c r="B4936" s="13" t="s">
        <v>8429</v>
      </c>
      <c r="C4936" s="15" t="s">
        <v>159</v>
      </c>
      <c r="D4936" s="13" t="s">
        <v>7307</v>
      </c>
      <c r="E4936" s="13" t="s">
        <v>8430</v>
      </c>
      <c r="F4936" s="43">
        <v>0</v>
      </c>
    </row>
    <row r="4937" spans="2:6" x14ac:dyDescent="0.25">
      <c r="B4937" s="13" t="s">
        <v>8431</v>
      </c>
      <c r="C4937" s="15" t="s">
        <v>159</v>
      </c>
      <c r="D4937" s="13" t="s">
        <v>7307</v>
      </c>
      <c r="E4937" s="13" t="s">
        <v>8432</v>
      </c>
      <c r="F4937" s="43">
        <v>28.33</v>
      </c>
    </row>
    <row r="4938" spans="2:6" x14ac:dyDescent="0.25">
      <c r="B4938" s="13" t="s">
        <v>8433</v>
      </c>
      <c r="C4938" s="15" t="s">
        <v>159</v>
      </c>
      <c r="D4938" s="13" t="s">
        <v>7307</v>
      </c>
      <c r="E4938" s="13" t="s">
        <v>8434</v>
      </c>
      <c r="F4938" s="43">
        <v>27.08</v>
      </c>
    </row>
    <row r="4939" spans="2:6" x14ac:dyDescent="0.25">
      <c r="B4939" s="13" t="s">
        <v>8435</v>
      </c>
      <c r="C4939" s="15" t="s">
        <v>159</v>
      </c>
      <c r="D4939" s="13" t="s">
        <v>7307</v>
      </c>
      <c r="E4939" s="13" t="s">
        <v>8436</v>
      </c>
      <c r="F4939" s="43">
        <v>30.1</v>
      </c>
    </row>
    <row r="4940" spans="2:6" x14ac:dyDescent="0.25">
      <c r="B4940" s="13" t="s">
        <v>8437</v>
      </c>
      <c r="C4940" s="15" t="s">
        <v>159</v>
      </c>
      <c r="D4940" s="13" t="s">
        <v>7307</v>
      </c>
      <c r="E4940" s="13" t="s">
        <v>8438</v>
      </c>
      <c r="F4940" s="43">
        <v>26.23</v>
      </c>
    </row>
    <row r="4941" spans="2:6" x14ac:dyDescent="0.25">
      <c r="B4941" s="13" t="s">
        <v>8439</v>
      </c>
      <c r="C4941" s="15" t="s">
        <v>159</v>
      </c>
      <c r="D4941" s="13" t="s">
        <v>7307</v>
      </c>
      <c r="E4941" s="13" t="s">
        <v>8440</v>
      </c>
      <c r="F4941" s="43">
        <v>37.82</v>
      </c>
    </row>
    <row r="4942" spans="2:6" x14ac:dyDescent="0.25">
      <c r="B4942" s="13" t="s">
        <v>8441</v>
      </c>
      <c r="C4942" s="15" t="s">
        <v>159</v>
      </c>
      <c r="D4942" s="13" t="s">
        <v>7307</v>
      </c>
      <c r="E4942" s="13" t="s">
        <v>8442</v>
      </c>
      <c r="F4942" s="43">
        <v>62.37</v>
      </c>
    </row>
    <row r="4943" spans="2:6" x14ac:dyDescent="0.25">
      <c r="B4943" s="13" t="s">
        <v>8443</v>
      </c>
      <c r="C4943" s="15" t="s">
        <v>159</v>
      </c>
      <c r="D4943" s="13" t="s">
        <v>7307</v>
      </c>
      <c r="E4943" s="13" t="s">
        <v>8444</v>
      </c>
      <c r="F4943" s="43">
        <v>62.37</v>
      </c>
    </row>
    <row r="4944" spans="2:6" x14ac:dyDescent="0.25">
      <c r="B4944" s="13" t="s">
        <v>8445</v>
      </c>
      <c r="C4944" s="15" t="s">
        <v>159</v>
      </c>
      <c r="D4944" s="13" t="s">
        <v>7307</v>
      </c>
      <c r="E4944" s="13" t="s">
        <v>8446</v>
      </c>
      <c r="F4944" s="43">
        <v>62.37</v>
      </c>
    </row>
    <row r="4945" spans="2:6" x14ac:dyDescent="0.25">
      <c r="B4945" s="13" t="s">
        <v>8447</v>
      </c>
      <c r="C4945" s="15" t="s">
        <v>159</v>
      </c>
      <c r="D4945" s="13" t="s">
        <v>7307</v>
      </c>
      <c r="E4945" s="13" t="s">
        <v>8448</v>
      </c>
      <c r="F4945" s="43">
        <v>80.849999999999994</v>
      </c>
    </row>
    <row r="4946" spans="2:6" x14ac:dyDescent="0.25">
      <c r="B4946" s="13" t="s">
        <v>8449</v>
      </c>
      <c r="C4946" s="15" t="s">
        <v>159</v>
      </c>
      <c r="D4946" s="13" t="s">
        <v>7307</v>
      </c>
      <c r="E4946" s="13" t="s">
        <v>8450</v>
      </c>
      <c r="F4946" s="43">
        <v>80.849999999999994</v>
      </c>
    </row>
    <row r="4947" spans="2:6" x14ac:dyDescent="0.25">
      <c r="B4947" s="13" t="s">
        <v>8451</v>
      </c>
      <c r="C4947" s="15" t="s">
        <v>159</v>
      </c>
      <c r="D4947" s="13" t="s">
        <v>7307</v>
      </c>
      <c r="E4947" s="13" t="s">
        <v>8452</v>
      </c>
      <c r="F4947" s="43">
        <v>80.849999999999994</v>
      </c>
    </row>
    <row r="4948" spans="2:6" x14ac:dyDescent="0.25">
      <c r="B4948" s="13" t="s">
        <v>8453</v>
      </c>
      <c r="C4948" s="15" t="s">
        <v>159</v>
      </c>
      <c r="D4948" s="13" t="s">
        <v>7307</v>
      </c>
      <c r="E4948" s="13" t="s">
        <v>8454</v>
      </c>
      <c r="F4948" s="43">
        <v>90.09</v>
      </c>
    </row>
    <row r="4949" spans="2:6" x14ac:dyDescent="0.25">
      <c r="B4949" s="13" t="s">
        <v>8455</v>
      </c>
      <c r="C4949" s="15" t="s">
        <v>159</v>
      </c>
      <c r="D4949" s="13" t="s">
        <v>7307</v>
      </c>
      <c r="E4949" s="13" t="s">
        <v>8456</v>
      </c>
      <c r="F4949" s="43">
        <v>90.09</v>
      </c>
    </row>
    <row r="4950" spans="2:6" x14ac:dyDescent="0.25">
      <c r="B4950" s="13" t="s">
        <v>8457</v>
      </c>
      <c r="C4950" s="15" t="s">
        <v>159</v>
      </c>
      <c r="D4950" s="13" t="s">
        <v>7307</v>
      </c>
      <c r="E4950" s="13" t="s">
        <v>8458</v>
      </c>
      <c r="F4950" s="43">
        <v>90.09</v>
      </c>
    </row>
    <row r="4951" spans="2:6" x14ac:dyDescent="0.25">
      <c r="B4951" s="13" t="s">
        <v>8459</v>
      </c>
      <c r="C4951" s="15" t="s">
        <v>159</v>
      </c>
      <c r="D4951" s="13" t="s">
        <v>7307</v>
      </c>
      <c r="E4951" s="13" t="s">
        <v>8460</v>
      </c>
      <c r="F4951" s="43">
        <v>121.27</v>
      </c>
    </row>
    <row r="4952" spans="2:6" x14ac:dyDescent="0.25">
      <c r="B4952" s="13" t="s">
        <v>8461</v>
      </c>
      <c r="C4952" s="15" t="s">
        <v>159</v>
      </c>
      <c r="D4952" s="13" t="s">
        <v>7307</v>
      </c>
      <c r="E4952" s="13" t="s">
        <v>8462</v>
      </c>
      <c r="F4952" s="43">
        <v>121.27</v>
      </c>
    </row>
    <row r="4953" spans="2:6" x14ac:dyDescent="0.25">
      <c r="B4953" s="13" t="s">
        <v>8463</v>
      </c>
      <c r="C4953" s="15" t="s">
        <v>159</v>
      </c>
      <c r="D4953" s="13" t="s">
        <v>7307</v>
      </c>
      <c r="E4953" s="13" t="s">
        <v>8464</v>
      </c>
      <c r="F4953" s="43">
        <v>121.27</v>
      </c>
    </row>
    <row r="4954" spans="2:6" x14ac:dyDescent="0.25">
      <c r="B4954" s="13" t="s">
        <v>8465</v>
      </c>
      <c r="C4954" s="15" t="s">
        <v>159</v>
      </c>
      <c r="D4954" s="13" t="s">
        <v>7307</v>
      </c>
      <c r="E4954" s="13" t="s">
        <v>8466</v>
      </c>
      <c r="F4954" s="43">
        <v>0.44</v>
      </c>
    </row>
    <row r="4955" spans="2:6" x14ac:dyDescent="0.25">
      <c r="B4955" s="13" t="s">
        <v>8467</v>
      </c>
      <c r="C4955" s="15" t="s">
        <v>159</v>
      </c>
      <c r="D4955" s="13" t="s">
        <v>7307</v>
      </c>
      <c r="E4955" s="13" t="s">
        <v>8468</v>
      </c>
      <c r="F4955" s="43">
        <v>0.47</v>
      </c>
    </row>
    <row r="4956" spans="2:6" x14ac:dyDescent="0.25">
      <c r="B4956" s="13" t="s">
        <v>8469</v>
      </c>
      <c r="C4956" s="15" t="s">
        <v>159</v>
      </c>
      <c r="D4956" s="13" t="s">
        <v>7307</v>
      </c>
      <c r="E4956" s="13" t="s">
        <v>8470</v>
      </c>
      <c r="F4956" s="43">
        <v>0.4</v>
      </c>
    </row>
    <row r="4957" spans="2:6" x14ac:dyDescent="0.25">
      <c r="B4957" s="13" t="s">
        <v>8471</v>
      </c>
      <c r="C4957" s="15" t="s">
        <v>159</v>
      </c>
      <c r="D4957" s="13" t="s">
        <v>7307</v>
      </c>
      <c r="E4957" s="13" t="s">
        <v>8472</v>
      </c>
      <c r="F4957" s="43">
        <v>1.1100000000000001</v>
      </c>
    </row>
    <row r="4958" spans="2:6" x14ac:dyDescent="0.25">
      <c r="B4958" s="13" t="s">
        <v>8473</v>
      </c>
      <c r="C4958" s="15" t="s">
        <v>159</v>
      </c>
      <c r="D4958" s="13" t="s">
        <v>7307</v>
      </c>
      <c r="E4958" s="13" t="s">
        <v>8474</v>
      </c>
      <c r="F4958" s="43">
        <v>0.23</v>
      </c>
    </row>
    <row r="4959" spans="2:6" x14ac:dyDescent="0.25">
      <c r="B4959" s="13" t="s">
        <v>8475</v>
      </c>
      <c r="C4959" s="15" t="s">
        <v>159</v>
      </c>
      <c r="D4959" s="13" t="s">
        <v>7307</v>
      </c>
      <c r="E4959" s="13" t="s">
        <v>8476</v>
      </c>
      <c r="F4959" s="43">
        <v>0.6</v>
      </c>
    </row>
    <row r="4960" spans="2:6" x14ac:dyDescent="0.25">
      <c r="B4960" s="13" t="s">
        <v>8477</v>
      </c>
      <c r="C4960" s="15" t="s">
        <v>159</v>
      </c>
      <c r="D4960" s="13" t="s">
        <v>7307</v>
      </c>
      <c r="E4960" s="13" t="s">
        <v>8478</v>
      </c>
      <c r="F4960" s="43">
        <v>0.96</v>
      </c>
    </row>
    <row r="4961" spans="2:6" x14ac:dyDescent="0.25">
      <c r="B4961" s="13" t="s">
        <v>8479</v>
      </c>
      <c r="C4961" s="15" t="s">
        <v>159</v>
      </c>
      <c r="D4961" s="13" t="s">
        <v>7307</v>
      </c>
      <c r="E4961" s="13" t="s">
        <v>8480</v>
      </c>
      <c r="F4961" s="43">
        <v>0.9</v>
      </c>
    </row>
    <row r="4962" spans="2:6" x14ac:dyDescent="0.25">
      <c r="B4962" s="13" t="s">
        <v>8481</v>
      </c>
      <c r="C4962" s="15" t="s">
        <v>159</v>
      </c>
      <c r="D4962" s="13" t="s">
        <v>7307</v>
      </c>
      <c r="E4962" s="13" t="s">
        <v>8482</v>
      </c>
      <c r="F4962" s="43">
        <v>0.59</v>
      </c>
    </row>
    <row r="4963" spans="2:6" x14ac:dyDescent="0.25">
      <c r="B4963" s="13" t="s">
        <v>8483</v>
      </c>
      <c r="C4963" s="15" t="s">
        <v>159</v>
      </c>
      <c r="D4963" s="13" t="s">
        <v>7307</v>
      </c>
      <c r="E4963" s="13" t="s">
        <v>8484</v>
      </c>
      <c r="F4963" s="43">
        <v>0.68</v>
      </c>
    </row>
    <row r="4964" spans="2:6" x14ac:dyDescent="0.25">
      <c r="B4964" s="13" t="s">
        <v>8485</v>
      </c>
      <c r="C4964" s="15" t="s">
        <v>159</v>
      </c>
      <c r="D4964" s="13" t="s">
        <v>7307</v>
      </c>
      <c r="E4964" s="13" t="s">
        <v>8486</v>
      </c>
      <c r="F4964" s="43">
        <v>0.71</v>
      </c>
    </row>
    <row r="4965" spans="2:6" x14ac:dyDescent="0.25">
      <c r="B4965" s="13" t="s">
        <v>8487</v>
      </c>
      <c r="C4965" s="15" t="s">
        <v>159</v>
      </c>
      <c r="D4965" s="13" t="s">
        <v>7307</v>
      </c>
      <c r="E4965" s="13" t="s">
        <v>8488</v>
      </c>
      <c r="F4965" s="43">
        <v>0.75</v>
      </c>
    </row>
    <row r="4966" spans="2:6" x14ac:dyDescent="0.25">
      <c r="B4966" s="13" t="s">
        <v>8489</v>
      </c>
      <c r="C4966" s="15" t="s">
        <v>159</v>
      </c>
      <c r="D4966" s="13" t="s">
        <v>7307</v>
      </c>
      <c r="E4966" s="13" t="s">
        <v>8490</v>
      </c>
      <c r="F4966" s="43">
        <v>0.48</v>
      </c>
    </row>
    <row r="4967" spans="2:6" x14ac:dyDescent="0.25">
      <c r="B4967" s="13" t="s">
        <v>8491</v>
      </c>
      <c r="C4967" s="15" t="s">
        <v>159</v>
      </c>
      <c r="D4967" s="13" t="s">
        <v>7307</v>
      </c>
      <c r="E4967" s="13" t="s">
        <v>8492</v>
      </c>
      <c r="F4967" s="43">
        <v>0.48</v>
      </c>
    </row>
    <row r="4968" spans="2:6" x14ac:dyDescent="0.25">
      <c r="B4968" s="13" t="s">
        <v>8493</v>
      </c>
      <c r="C4968" s="15" t="s">
        <v>159</v>
      </c>
      <c r="D4968" s="13" t="s">
        <v>7307</v>
      </c>
      <c r="E4968" s="13" t="s">
        <v>8494</v>
      </c>
      <c r="F4968" s="43">
        <v>0.52</v>
      </c>
    </row>
    <row r="4969" spans="2:6" x14ac:dyDescent="0.25">
      <c r="B4969" s="13" t="s">
        <v>8495</v>
      </c>
      <c r="C4969" s="15" t="s">
        <v>159</v>
      </c>
      <c r="D4969" s="13" t="s">
        <v>7307</v>
      </c>
      <c r="E4969" s="13" t="s">
        <v>8496</v>
      </c>
      <c r="F4969" s="43">
        <v>0.52</v>
      </c>
    </row>
    <row r="4970" spans="2:6" x14ac:dyDescent="0.25">
      <c r="B4970" s="13" t="s">
        <v>8497</v>
      </c>
      <c r="C4970" s="15" t="s">
        <v>159</v>
      </c>
      <c r="D4970" s="13" t="s">
        <v>7307</v>
      </c>
      <c r="E4970" s="13" t="s">
        <v>8498</v>
      </c>
      <c r="F4970" s="43">
        <v>13.78</v>
      </c>
    </row>
    <row r="4971" spans="2:6" x14ac:dyDescent="0.25">
      <c r="B4971" s="13" t="s">
        <v>8499</v>
      </c>
      <c r="C4971" s="15" t="s">
        <v>159</v>
      </c>
      <c r="D4971" s="13" t="s">
        <v>7307</v>
      </c>
      <c r="E4971" s="13" t="s">
        <v>8500</v>
      </c>
      <c r="F4971" s="43">
        <v>13.78</v>
      </c>
    </row>
    <row r="4972" spans="2:6" x14ac:dyDescent="0.25">
      <c r="B4972" s="13" t="s">
        <v>8501</v>
      </c>
      <c r="C4972" s="15" t="s">
        <v>159</v>
      </c>
      <c r="D4972" s="13" t="s">
        <v>7307</v>
      </c>
      <c r="E4972" s="13" t="s">
        <v>8502</v>
      </c>
      <c r="F4972" s="43">
        <v>5.7</v>
      </c>
    </row>
    <row r="4973" spans="2:6" x14ac:dyDescent="0.25">
      <c r="B4973" s="13" t="s">
        <v>8503</v>
      </c>
      <c r="C4973" s="15" t="s">
        <v>159</v>
      </c>
      <c r="D4973" s="13" t="s">
        <v>7307</v>
      </c>
      <c r="E4973" s="13" t="s">
        <v>8504</v>
      </c>
      <c r="F4973" s="43">
        <v>12</v>
      </c>
    </row>
    <row r="4974" spans="2:6" x14ac:dyDescent="0.25">
      <c r="B4974" s="13" t="s">
        <v>8505</v>
      </c>
      <c r="C4974" s="15" t="s">
        <v>159</v>
      </c>
      <c r="D4974" s="13" t="s">
        <v>7307</v>
      </c>
      <c r="E4974" s="13" t="s">
        <v>8506</v>
      </c>
      <c r="F4974" s="43">
        <v>25</v>
      </c>
    </row>
    <row r="4975" spans="2:6" x14ac:dyDescent="0.25">
      <c r="B4975" s="13" t="s">
        <v>8507</v>
      </c>
      <c r="C4975" s="15" t="s">
        <v>159</v>
      </c>
      <c r="D4975" s="13" t="s">
        <v>7307</v>
      </c>
      <c r="E4975" s="13" t="s">
        <v>8508</v>
      </c>
      <c r="F4975" s="43">
        <v>35</v>
      </c>
    </row>
    <row r="4976" spans="2:6" x14ac:dyDescent="0.25">
      <c r="B4976" s="13" t="s">
        <v>8509</v>
      </c>
      <c r="C4976" s="15" t="s">
        <v>159</v>
      </c>
      <c r="D4976" s="13" t="s">
        <v>7307</v>
      </c>
      <c r="E4976" s="13" t="s">
        <v>8510</v>
      </c>
      <c r="F4976" s="43">
        <v>12</v>
      </c>
    </row>
    <row r="4977" spans="2:6" x14ac:dyDescent="0.25">
      <c r="B4977" s="13" t="s">
        <v>8511</v>
      </c>
      <c r="C4977" s="15" t="s">
        <v>159</v>
      </c>
      <c r="D4977" s="13" t="s">
        <v>7307</v>
      </c>
      <c r="E4977" s="13" t="s">
        <v>8512</v>
      </c>
      <c r="F4977" s="43">
        <v>15</v>
      </c>
    </row>
    <row r="4978" spans="2:6" x14ac:dyDescent="0.25">
      <c r="B4978" s="13" t="s">
        <v>8513</v>
      </c>
      <c r="C4978" s="15" t="s">
        <v>159</v>
      </c>
      <c r="D4978" s="13" t="s">
        <v>7307</v>
      </c>
      <c r="E4978" s="13" t="s">
        <v>8514</v>
      </c>
      <c r="F4978" s="43">
        <v>28</v>
      </c>
    </row>
    <row r="4979" spans="2:6" x14ac:dyDescent="0.25">
      <c r="B4979" s="13" t="s">
        <v>8515</v>
      </c>
      <c r="C4979" s="15" t="s">
        <v>159</v>
      </c>
      <c r="D4979" s="13" t="s">
        <v>7307</v>
      </c>
      <c r="E4979" s="13" t="s">
        <v>8516</v>
      </c>
      <c r="F4979" s="43">
        <v>0</v>
      </c>
    </row>
    <row r="4980" spans="2:6" x14ac:dyDescent="0.25">
      <c r="B4980" s="13" t="s">
        <v>8517</v>
      </c>
      <c r="C4980" s="15" t="s">
        <v>159</v>
      </c>
      <c r="D4980" s="13" t="s">
        <v>7307</v>
      </c>
      <c r="E4980" s="13" t="s">
        <v>8518</v>
      </c>
      <c r="F4980" s="43">
        <v>0</v>
      </c>
    </row>
    <row r="4981" spans="2:6" x14ac:dyDescent="0.25">
      <c r="B4981" s="13" t="s">
        <v>8519</v>
      </c>
      <c r="C4981" s="15" t="s">
        <v>159</v>
      </c>
      <c r="D4981" s="13" t="s">
        <v>7307</v>
      </c>
      <c r="E4981" s="13" t="s">
        <v>8520</v>
      </c>
      <c r="F4981" s="43">
        <v>0</v>
      </c>
    </row>
    <row r="4982" spans="2:6" x14ac:dyDescent="0.25">
      <c r="B4982" s="13" t="s">
        <v>8521</v>
      </c>
      <c r="C4982" s="15" t="s">
        <v>159</v>
      </c>
      <c r="D4982" s="13" t="s">
        <v>7307</v>
      </c>
      <c r="E4982" s="13" t="s">
        <v>8522</v>
      </c>
      <c r="F4982" s="43">
        <v>0</v>
      </c>
    </row>
    <row r="4983" spans="2:6" x14ac:dyDescent="0.25">
      <c r="B4983" s="13" t="s">
        <v>8523</v>
      </c>
      <c r="C4983" s="15" t="s">
        <v>159</v>
      </c>
      <c r="D4983" s="13" t="s">
        <v>7307</v>
      </c>
      <c r="E4983" s="13" t="s">
        <v>8524</v>
      </c>
      <c r="F4983" s="43">
        <v>0</v>
      </c>
    </row>
    <row r="4984" spans="2:6" x14ac:dyDescent="0.25">
      <c r="B4984" s="13" t="s">
        <v>8525</v>
      </c>
      <c r="C4984" s="15" t="s">
        <v>159</v>
      </c>
      <c r="D4984" s="13" t="s">
        <v>7307</v>
      </c>
      <c r="E4984" s="13" t="s">
        <v>8526</v>
      </c>
      <c r="F4984" s="43">
        <v>0</v>
      </c>
    </row>
    <row r="4985" spans="2:6" x14ac:dyDescent="0.25">
      <c r="B4985" s="13" t="s">
        <v>8527</v>
      </c>
      <c r="C4985" s="15" t="s">
        <v>159</v>
      </c>
      <c r="D4985" s="13" t="s">
        <v>7307</v>
      </c>
      <c r="E4985" s="13" t="s">
        <v>8528</v>
      </c>
      <c r="F4985" s="43">
        <v>0</v>
      </c>
    </row>
    <row r="4986" spans="2:6" x14ac:dyDescent="0.25">
      <c r="B4986" s="13" t="s">
        <v>8529</v>
      </c>
      <c r="C4986" s="15" t="s">
        <v>159</v>
      </c>
      <c r="D4986" s="13" t="s">
        <v>7307</v>
      </c>
      <c r="E4986" s="13" t="s">
        <v>8530</v>
      </c>
      <c r="F4986" s="43">
        <v>0</v>
      </c>
    </row>
    <row r="4987" spans="2:6" x14ac:dyDescent="0.25">
      <c r="B4987" s="13" t="s">
        <v>8531</v>
      </c>
      <c r="C4987" s="15" t="s">
        <v>150</v>
      </c>
      <c r="D4987" s="13" t="s">
        <v>7307</v>
      </c>
      <c r="E4987" s="13" t="s">
        <v>8532</v>
      </c>
      <c r="F4987" s="43">
        <v>0.11</v>
      </c>
    </row>
    <row r="4988" spans="2:6" x14ac:dyDescent="0.25">
      <c r="B4988" s="13" t="s">
        <v>8533</v>
      </c>
      <c r="C4988" s="15" t="s">
        <v>150</v>
      </c>
      <c r="D4988" s="13" t="s">
        <v>7307</v>
      </c>
      <c r="E4988" s="13" t="s">
        <v>8534</v>
      </c>
      <c r="F4988" s="43">
        <v>0.36</v>
      </c>
    </row>
    <row r="4989" spans="2:6" x14ac:dyDescent="0.25">
      <c r="B4989" s="13" t="s">
        <v>8535</v>
      </c>
      <c r="C4989" s="15" t="s">
        <v>150</v>
      </c>
      <c r="D4989" s="13" t="s">
        <v>7307</v>
      </c>
      <c r="E4989" s="13" t="s">
        <v>8536</v>
      </c>
      <c r="F4989" s="43">
        <v>0.26</v>
      </c>
    </row>
    <row r="4990" spans="2:6" x14ac:dyDescent="0.25">
      <c r="B4990" s="13" t="s">
        <v>8537</v>
      </c>
      <c r="C4990" s="15" t="s">
        <v>150</v>
      </c>
      <c r="D4990" s="13" t="s">
        <v>7307</v>
      </c>
      <c r="E4990" s="13" t="s">
        <v>8538</v>
      </c>
      <c r="F4990" s="43">
        <v>0</v>
      </c>
    </row>
    <row r="4991" spans="2:6" x14ac:dyDescent="0.25">
      <c r="B4991" s="13" t="s">
        <v>8539</v>
      </c>
      <c r="C4991" s="15" t="s">
        <v>150</v>
      </c>
      <c r="D4991" s="13" t="s">
        <v>7307</v>
      </c>
      <c r="E4991" s="13" t="s">
        <v>8540</v>
      </c>
      <c r="F4991" s="43">
        <v>0</v>
      </c>
    </row>
    <row r="4992" spans="2:6" x14ac:dyDescent="0.25">
      <c r="B4992" s="13" t="s">
        <v>8541</v>
      </c>
      <c r="C4992" s="15" t="s">
        <v>150</v>
      </c>
      <c r="D4992" s="13" t="s">
        <v>7307</v>
      </c>
      <c r="E4992" s="13" t="s">
        <v>8542</v>
      </c>
      <c r="F4992" s="43">
        <v>2.12</v>
      </c>
    </row>
    <row r="4993" spans="2:6" x14ac:dyDescent="0.25">
      <c r="B4993" s="13" t="s">
        <v>8543</v>
      </c>
      <c r="C4993" s="15" t="s">
        <v>150</v>
      </c>
      <c r="D4993" s="13" t="s">
        <v>7307</v>
      </c>
      <c r="E4993" s="13" t="s">
        <v>8544</v>
      </c>
      <c r="F4993" s="43">
        <v>0</v>
      </c>
    </row>
    <row r="4994" spans="2:6" x14ac:dyDescent="0.25">
      <c r="B4994" s="13" t="s">
        <v>8545</v>
      </c>
      <c r="C4994" s="15" t="s">
        <v>150</v>
      </c>
      <c r="D4994" s="13" t="s">
        <v>7307</v>
      </c>
      <c r="E4994" s="13" t="s">
        <v>8546</v>
      </c>
      <c r="F4994" s="43">
        <v>1035</v>
      </c>
    </row>
    <row r="4995" spans="2:6" x14ac:dyDescent="0.25">
      <c r="B4995" s="13" t="s">
        <v>8547</v>
      </c>
      <c r="C4995" s="15" t="s">
        <v>150</v>
      </c>
      <c r="D4995" s="13" t="s">
        <v>7307</v>
      </c>
      <c r="E4995" s="13" t="s">
        <v>8548</v>
      </c>
      <c r="F4995" s="43">
        <v>1200</v>
      </c>
    </row>
    <row r="4996" spans="2:6" x14ac:dyDescent="0.25">
      <c r="B4996" s="13" t="s">
        <v>8549</v>
      </c>
      <c r="C4996" s="15" t="s">
        <v>150</v>
      </c>
      <c r="D4996" s="13" t="s">
        <v>7307</v>
      </c>
      <c r="E4996" s="13" t="s">
        <v>8550</v>
      </c>
      <c r="F4996" s="43">
        <v>107.74</v>
      </c>
    </row>
    <row r="4997" spans="2:6" x14ac:dyDescent="0.25">
      <c r="B4997" s="13" t="s">
        <v>8551</v>
      </c>
      <c r="C4997" s="15" t="s">
        <v>150</v>
      </c>
      <c r="D4997" s="13" t="s">
        <v>7307</v>
      </c>
      <c r="E4997" s="13" t="s">
        <v>8552</v>
      </c>
      <c r="F4997" s="43">
        <v>73.47</v>
      </c>
    </row>
    <row r="4998" spans="2:6" x14ac:dyDescent="0.25">
      <c r="B4998" s="13" t="s">
        <v>8553</v>
      </c>
      <c r="C4998" s="15" t="s">
        <v>150</v>
      </c>
      <c r="D4998" s="13" t="s">
        <v>7307</v>
      </c>
      <c r="E4998" s="13" t="s">
        <v>8554</v>
      </c>
      <c r="F4998" s="43">
        <v>73.47</v>
      </c>
    </row>
    <row r="4999" spans="2:6" x14ac:dyDescent="0.25">
      <c r="B4999" s="13" t="s">
        <v>8555</v>
      </c>
      <c r="C4999" s="15" t="s">
        <v>150</v>
      </c>
      <c r="D4999" s="13" t="s">
        <v>7307</v>
      </c>
      <c r="E4999" s="13" t="s">
        <v>8556</v>
      </c>
      <c r="F4999" s="43">
        <v>107.38</v>
      </c>
    </row>
    <row r="5000" spans="2:6" x14ac:dyDescent="0.25">
      <c r="B5000" s="13" t="s">
        <v>8557</v>
      </c>
      <c r="C5000" s="15" t="s">
        <v>150</v>
      </c>
      <c r="D5000" s="13" t="s">
        <v>7307</v>
      </c>
      <c r="E5000" s="13" t="s">
        <v>8558</v>
      </c>
      <c r="F5000" s="43">
        <v>1.66</v>
      </c>
    </row>
    <row r="5001" spans="2:6" x14ac:dyDescent="0.25">
      <c r="B5001" s="13" t="s">
        <v>8559</v>
      </c>
      <c r="C5001" s="15" t="s">
        <v>150</v>
      </c>
      <c r="D5001" s="13" t="s">
        <v>7307</v>
      </c>
      <c r="E5001" s="13" t="s">
        <v>8560</v>
      </c>
      <c r="F5001" s="43">
        <v>0.44</v>
      </c>
    </row>
    <row r="5002" spans="2:6" x14ac:dyDescent="0.25">
      <c r="B5002" s="13" t="s">
        <v>8561</v>
      </c>
      <c r="C5002" s="15" t="s">
        <v>150</v>
      </c>
      <c r="D5002" s="13" t="s">
        <v>7307</v>
      </c>
      <c r="E5002" s="13" t="s">
        <v>8562</v>
      </c>
      <c r="F5002" s="43">
        <v>342.02</v>
      </c>
    </row>
    <row r="5003" spans="2:6" x14ac:dyDescent="0.25">
      <c r="B5003" s="13" t="s">
        <v>8563</v>
      </c>
      <c r="C5003" s="15" t="s">
        <v>150</v>
      </c>
      <c r="D5003" s="13" t="s">
        <v>7307</v>
      </c>
      <c r="E5003" s="13" t="s">
        <v>8564</v>
      </c>
      <c r="F5003" s="43">
        <v>50</v>
      </c>
    </row>
    <row r="5004" spans="2:6" x14ac:dyDescent="0.25">
      <c r="B5004" s="13" t="s">
        <v>8565</v>
      </c>
      <c r="C5004" s="15" t="s">
        <v>150</v>
      </c>
      <c r="D5004" s="13" t="s">
        <v>7307</v>
      </c>
      <c r="E5004" s="13" t="s">
        <v>8566</v>
      </c>
      <c r="F5004" s="43">
        <v>4.51</v>
      </c>
    </row>
    <row r="5005" spans="2:6" x14ac:dyDescent="0.25">
      <c r="B5005" s="13" t="s">
        <v>8567</v>
      </c>
      <c r="C5005" s="15" t="s">
        <v>150</v>
      </c>
      <c r="D5005" s="13" t="s">
        <v>7307</v>
      </c>
      <c r="E5005" s="13" t="s">
        <v>8568</v>
      </c>
      <c r="F5005" s="43">
        <v>3.58</v>
      </c>
    </row>
    <row r="5006" spans="2:6" x14ac:dyDescent="0.25">
      <c r="B5006" s="13" t="s">
        <v>8569</v>
      </c>
      <c r="C5006" s="15" t="s">
        <v>150</v>
      </c>
      <c r="D5006" s="13" t="s">
        <v>7307</v>
      </c>
      <c r="E5006" s="13" t="s">
        <v>8570</v>
      </c>
      <c r="F5006" s="43">
        <v>3.58</v>
      </c>
    </row>
    <row r="5007" spans="2:6" x14ac:dyDescent="0.25">
      <c r="B5007" s="13" t="s">
        <v>8571</v>
      </c>
      <c r="C5007" s="15" t="s">
        <v>150</v>
      </c>
      <c r="D5007" s="13" t="s">
        <v>7307</v>
      </c>
      <c r="E5007" s="13" t="s">
        <v>8572</v>
      </c>
      <c r="F5007" s="43">
        <v>1.55</v>
      </c>
    </row>
    <row r="5008" spans="2:6" x14ac:dyDescent="0.25">
      <c r="B5008" s="13" t="s">
        <v>8573</v>
      </c>
      <c r="C5008" s="15" t="s">
        <v>150</v>
      </c>
      <c r="D5008" s="13" t="s">
        <v>7307</v>
      </c>
      <c r="E5008" s="13" t="s">
        <v>8574</v>
      </c>
      <c r="F5008" s="43">
        <v>1.32</v>
      </c>
    </row>
    <row r="5009" spans="2:6" x14ac:dyDescent="0.25">
      <c r="B5009" s="13" t="s">
        <v>8575</v>
      </c>
      <c r="C5009" s="15" t="s">
        <v>150</v>
      </c>
      <c r="D5009" s="13" t="s">
        <v>7307</v>
      </c>
      <c r="E5009" s="13" t="s">
        <v>8576</v>
      </c>
      <c r="F5009" s="43">
        <v>4</v>
      </c>
    </row>
    <row r="5010" spans="2:6" x14ac:dyDescent="0.25">
      <c r="B5010" s="13" t="s">
        <v>8577</v>
      </c>
      <c r="C5010" s="15" t="s">
        <v>150</v>
      </c>
      <c r="D5010" s="13" t="s">
        <v>7307</v>
      </c>
      <c r="E5010" s="13" t="s">
        <v>8578</v>
      </c>
      <c r="F5010" s="43">
        <v>33.75</v>
      </c>
    </row>
    <row r="5011" spans="2:6" x14ac:dyDescent="0.25">
      <c r="B5011" s="13" t="s">
        <v>8579</v>
      </c>
      <c r="C5011" s="15" t="s">
        <v>150</v>
      </c>
      <c r="D5011" s="13" t="s">
        <v>7307</v>
      </c>
      <c r="E5011" s="13" t="s">
        <v>8580</v>
      </c>
      <c r="F5011" s="43">
        <v>0.19</v>
      </c>
    </row>
    <row r="5012" spans="2:6" x14ac:dyDescent="0.25">
      <c r="B5012" s="13" t="s">
        <v>8581</v>
      </c>
      <c r="C5012" s="15" t="s">
        <v>150</v>
      </c>
      <c r="D5012" s="13" t="s">
        <v>7307</v>
      </c>
      <c r="E5012" s="13" t="s">
        <v>8582</v>
      </c>
      <c r="F5012" s="43">
        <v>333</v>
      </c>
    </row>
    <row r="5013" spans="2:6" x14ac:dyDescent="0.25">
      <c r="B5013" s="13" t="s">
        <v>8583</v>
      </c>
      <c r="C5013" s="15" t="s">
        <v>150</v>
      </c>
      <c r="D5013" s="13" t="s">
        <v>7307</v>
      </c>
      <c r="E5013" s="13" t="s">
        <v>8584</v>
      </c>
      <c r="F5013" s="43">
        <v>11.78</v>
      </c>
    </row>
    <row r="5014" spans="2:6" x14ac:dyDescent="0.25">
      <c r="B5014" s="13" t="s">
        <v>8585</v>
      </c>
      <c r="C5014" s="15" t="s">
        <v>150</v>
      </c>
      <c r="D5014" s="13" t="s">
        <v>7307</v>
      </c>
      <c r="E5014" s="13" t="s">
        <v>8586</v>
      </c>
      <c r="F5014" s="43">
        <v>37.15</v>
      </c>
    </row>
    <row r="5015" spans="2:6" x14ac:dyDescent="0.25">
      <c r="B5015" s="13" t="s">
        <v>8587</v>
      </c>
      <c r="C5015" s="15" t="s">
        <v>150</v>
      </c>
      <c r="D5015" s="13" t="s">
        <v>7307</v>
      </c>
      <c r="E5015" s="13" t="s">
        <v>8588</v>
      </c>
      <c r="F5015" s="43">
        <v>7.5</v>
      </c>
    </row>
    <row r="5016" spans="2:6" x14ac:dyDescent="0.25">
      <c r="B5016" s="13" t="s">
        <v>8589</v>
      </c>
      <c r="C5016" s="15" t="s">
        <v>150</v>
      </c>
      <c r="D5016" s="13" t="s">
        <v>7307</v>
      </c>
      <c r="E5016" s="13" t="s">
        <v>8590</v>
      </c>
      <c r="F5016" s="43">
        <v>110.54</v>
      </c>
    </row>
    <row r="5017" spans="2:6" x14ac:dyDescent="0.25">
      <c r="B5017" s="13" t="s">
        <v>8591</v>
      </c>
      <c r="C5017" s="15" t="s">
        <v>150</v>
      </c>
      <c r="D5017" s="13" t="s">
        <v>7307</v>
      </c>
      <c r="E5017" s="13" t="s">
        <v>8592</v>
      </c>
      <c r="F5017" s="43">
        <v>0.74</v>
      </c>
    </row>
    <row r="5018" spans="2:6" x14ac:dyDescent="0.25">
      <c r="B5018" s="13" t="s">
        <v>8593</v>
      </c>
      <c r="C5018" s="15" t="s">
        <v>150</v>
      </c>
      <c r="D5018" s="13" t="s">
        <v>7307</v>
      </c>
      <c r="E5018" s="13" t="s">
        <v>8594</v>
      </c>
      <c r="F5018" s="43">
        <v>110.21</v>
      </c>
    </row>
    <row r="5019" spans="2:6" x14ac:dyDescent="0.25">
      <c r="B5019" s="13" t="s">
        <v>8595</v>
      </c>
      <c r="C5019" s="15" t="s">
        <v>150</v>
      </c>
      <c r="D5019" s="13" t="s">
        <v>7307</v>
      </c>
      <c r="E5019" s="13" t="s">
        <v>8596</v>
      </c>
      <c r="F5019" s="43">
        <v>176</v>
      </c>
    </row>
    <row r="5020" spans="2:6" x14ac:dyDescent="0.25">
      <c r="B5020" s="13" t="s">
        <v>8597</v>
      </c>
      <c r="C5020" s="15" t="s">
        <v>150</v>
      </c>
      <c r="D5020" s="13" t="s">
        <v>7307</v>
      </c>
      <c r="E5020" s="13" t="s">
        <v>8598</v>
      </c>
      <c r="F5020" s="43">
        <v>47.6</v>
      </c>
    </row>
    <row r="5021" spans="2:6" x14ac:dyDescent="0.25">
      <c r="B5021" s="13" t="s">
        <v>8599</v>
      </c>
      <c r="C5021" s="15" t="s">
        <v>150</v>
      </c>
      <c r="D5021" s="13" t="s">
        <v>7307</v>
      </c>
      <c r="E5021" s="13" t="s">
        <v>8600</v>
      </c>
      <c r="F5021" s="43">
        <v>95.8</v>
      </c>
    </row>
    <row r="5022" spans="2:6" x14ac:dyDescent="0.25">
      <c r="B5022" s="13" t="s">
        <v>8601</v>
      </c>
      <c r="C5022" s="15" t="s">
        <v>150</v>
      </c>
      <c r="D5022" s="13" t="s">
        <v>7307</v>
      </c>
      <c r="E5022" s="13" t="s">
        <v>8602</v>
      </c>
      <c r="F5022" s="43">
        <v>49.38</v>
      </c>
    </row>
    <row r="5023" spans="2:6" x14ac:dyDescent="0.25">
      <c r="B5023" s="13" t="s">
        <v>8603</v>
      </c>
      <c r="C5023" s="15" t="s">
        <v>150</v>
      </c>
      <c r="D5023" s="13" t="s">
        <v>7307</v>
      </c>
      <c r="E5023" s="13" t="s">
        <v>8604</v>
      </c>
      <c r="F5023" s="43">
        <v>24.7</v>
      </c>
    </row>
    <row r="5024" spans="2:6" x14ac:dyDescent="0.25">
      <c r="B5024" s="13" t="s">
        <v>8605</v>
      </c>
      <c r="C5024" s="15" t="s">
        <v>150</v>
      </c>
      <c r="D5024" s="13" t="s">
        <v>7307</v>
      </c>
      <c r="E5024" s="13" t="s">
        <v>8606</v>
      </c>
      <c r="F5024" s="43">
        <v>3.65</v>
      </c>
    </row>
    <row r="5025" spans="2:6" x14ac:dyDescent="0.25">
      <c r="B5025" s="13" t="s">
        <v>8607</v>
      </c>
      <c r="C5025" s="15" t="s">
        <v>150</v>
      </c>
      <c r="D5025" s="13" t="s">
        <v>7307</v>
      </c>
      <c r="E5025" s="13" t="s">
        <v>8608</v>
      </c>
      <c r="F5025" s="43">
        <v>174.3</v>
      </c>
    </row>
    <row r="5026" spans="2:6" x14ac:dyDescent="0.25">
      <c r="B5026" s="13" t="s">
        <v>8609</v>
      </c>
      <c r="C5026" s="15" t="s">
        <v>150</v>
      </c>
      <c r="D5026" s="13" t="s">
        <v>7307</v>
      </c>
      <c r="E5026" s="13" t="s">
        <v>8610</v>
      </c>
      <c r="F5026" s="43">
        <v>0.27</v>
      </c>
    </row>
    <row r="5027" spans="2:6" x14ac:dyDescent="0.25">
      <c r="B5027" s="13" t="s">
        <v>8611</v>
      </c>
      <c r="C5027" s="15" t="s">
        <v>150</v>
      </c>
      <c r="D5027" s="13" t="s">
        <v>7307</v>
      </c>
      <c r="E5027" s="13" t="s">
        <v>8612</v>
      </c>
      <c r="F5027" s="43">
        <v>245.9</v>
      </c>
    </row>
    <row r="5028" spans="2:6" x14ac:dyDescent="0.25">
      <c r="B5028" s="13" t="s">
        <v>8613</v>
      </c>
      <c r="C5028" s="15" t="s">
        <v>150</v>
      </c>
      <c r="D5028" s="13" t="s">
        <v>7307</v>
      </c>
      <c r="E5028" s="13" t="s">
        <v>8614</v>
      </c>
      <c r="F5028" s="43">
        <v>0.84</v>
      </c>
    </row>
    <row r="5029" spans="2:6" x14ac:dyDescent="0.25">
      <c r="B5029" s="13" t="s">
        <v>8615</v>
      </c>
      <c r="C5029" s="15" t="s">
        <v>150</v>
      </c>
      <c r="D5029" s="13" t="s">
        <v>7307</v>
      </c>
      <c r="E5029" s="13" t="s">
        <v>8616</v>
      </c>
      <c r="F5029" s="43">
        <v>113.46</v>
      </c>
    </row>
    <row r="5030" spans="2:6" x14ac:dyDescent="0.25">
      <c r="B5030" s="13" t="s">
        <v>8617</v>
      </c>
      <c r="C5030" s="15" t="s">
        <v>150</v>
      </c>
      <c r="D5030" s="13" t="s">
        <v>7307</v>
      </c>
      <c r="E5030" s="13" t="s">
        <v>8618</v>
      </c>
      <c r="F5030" s="43">
        <v>0.4</v>
      </c>
    </row>
    <row r="5031" spans="2:6" x14ac:dyDescent="0.25">
      <c r="B5031" s="13" t="s">
        <v>8619</v>
      </c>
      <c r="C5031" s="15" t="s">
        <v>150</v>
      </c>
      <c r="D5031" s="13" t="s">
        <v>7307</v>
      </c>
      <c r="E5031" s="13" t="s">
        <v>8620</v>
      </c>
      <c r="F5031" s="43">
        <v>0</v>
      </c>
    </row>
    <row r="5032" spans="2:6" x14ac:dyDescent="0.25">
      <c r="B5032" s="13" t="s">
        <v>8621</v>
      </c>
      <c r="C5032" s="15" t="s">
        <v>150</v>
      </c>
      <c r="D5032" s="13" t="s">
        <v>7307</v>
      </c>
      <c r="E5032" s="13" t="s">
        <v>8622</v>
      </c>
      <c r="F5032" s="43">
        <v>0.45</v>
      </c>
    </row>
    <row r="5033" spans="2:6" x14ac:dyDescent="0.25">
      <c r="B5033" s="13" t="s">
        <v>8623</v>
      </c>
      <c r="C5033" s="15" t="s">
        <v>150</v>
      </c>
      <c r="D5033" s="13" t="s">
        <v>7307</v>
      </c>
      <c r="E5033" s="13" t="s">
        <v>8624</v>
      </c>
      <c r="F5033" s="43">
        <v>235</v>
      </c>
    </row>
    <row r="5034" spans="2:6" x14ac:dyDescent="0.25">
      <c r="B5034" s="13" t="s">
        <v>8625</v>
      </c>
      <c r="C5034" s="15" t="s">
        <v>150</v>
      </c>
      <c r="D5034" s="13" t="s">
        <v>7307</v>
      </c>
      <c r="E5034" s="13" t="s">
        <v>8626</v>
      </c>
      <c r="F5034" s="43">
        <v>271.10000000000002</v>
      </c>
    </row>
    <row r="5035" spans="2:6" x14ac:dyDescent="0.25">
      <c r="B5035" s="13" t="s">
        <v>8627</v>
      </c>
      <c r="C5035" s="15" t="s">
        <v>150</v>
      </c>
      <c r="D5035" s="13" t="s">
        <v>7307</v>
      </c>
      <c r="E5035" s="13" t="s">
        <v>8628</v>
      </c>
      <c r="F5035" s="43">
        <v>141.74</v>
      </c>
    </row>
    <row r="5036" spans="2:6" x14ac:dyDescent="0.25">
      <c r="B5036" s="13" t="s">
        <v>8629</v>
      </c>
      <c r="C5036" s="15" t="s">
        <v>150</v>
      </c>
      <c r="D5036" s="13" t="s">
        <v>7307</v>
      </c>
      <c r="E5036" s="13" t="s">
        <v>8630</v>
      </c>
      <c r="F5036" s="43">
        <v>45.7</v>
      </c>
    </row>
    <row r="5037" spans="2:6" x14ac:dyDescent="0.25">
      <c r="B5037" s="13" t="s">
        <v>8631</v>
      </c>
      <c r="C5037" s="15" t="s">
        <v>150</v>
      </c>
      <c r="D5037" s="13" t="s">
        <v>7307</v>
      </c>
      <c r="E5037" s="13" t="s">
        <v>8632</v>
      </c>
      <c r="F5037" s="43">
        <v>112.8</v>
      </c>
    </row>
    <row r="5038" spans="2:6" x14ac:dyDescent="0.25">
      <c r="B5038" s="13" t="s">
        <v>8633</v>
      </c>
      <c r="C5038" s="15" t="s">
        <v>150</v>
      </c>
      <c r="D5038" s="13" t="s">
        <v>7307</v>
      </c>
      <c r="E5038" s="13" t="s">
        <v>8634</v>
      </c>
      <c r="F5038" s="43">
        <v>1.46</v>
      </c>
    </row>
    <row r="5039" spans="2:6" x14ac:dyDescent="0.25">
      <c r="B5039" s="13" t="s">
        <v>8635</v>
      </c>
      <c r="C5039" s="15" t="s">
        <v>150</v>
      </c>
      <c r="D5039" s="13" t="s">
        <v>7307</v>
      </c>
      <c r="E5039" s="13" t="s">
        <v>8636</v>
      </c>
      <c r="F5039" s="43">
        <v>0.11</v>
      </c>
    </row>
    <row r="5040" spans="2:6" x14ac:dyDescent="0.25">
      <c r="B5040" s="13" t="s">
        <v>8637</v>
      </c>
      <c r="C5040" s="15" t="s">
        <v>150</v>
      </c>
      <c r="D5040" s="13" t="s">
        <v>7307</v>
      </c>
      <c r="E5040" s="13" t="s">
        <v>8638</v>
      </c>
      <c r="F5040" s="43">
        <v>0.16</v>
      </c>
    </row>
    <row r="5041" spans="2:6" x14ac:dyDescent="0.25">
      <c r="B5041" s="13" t="s">
        <v>8639</v>
      </c>
      <c r="C5041" s="15" t="s">
        <v>150</v>
      </c>
      <c r="D5041" s="13" t="s">
        <v>7307</v>
      </c>
      <c r="E5041" s="13" t="s">
        <v>8640</v>
      </c>
      <c r="F5041" s="43">
        <v>0.2</v>
      </c>
    </row>
    <row r="5042" spans="2:6" x14ac:dyDescent="0.25">
      <c r="B5042" s="13" t="s">
        <v>8641</v>
      </c>
      <c r="C5042" s="15" t="s">
        <v>150</v>
      </c>
      <c r="D5042" s="13" t="s">
        <v>7307</v>
      </c>
      <c r="E5042" s="13" t="s">
        <v>8642</v>
      </c>
      <c r="F5042" s="43">
        <v>0.13</v>
      </c>
    </row>
    <row r="5043" spans="2:6" x14ac:dyDescent="0.25">
      <c r="B5043" s="13" t="s">
        <v>8643</v>
      </c>
      <c r="C5043" s="15" t="s">
        <v>150</v>
      </c>
      <c r="D5043" s="13" t="s">
        <v>7307</v>
      </c>
      <c r="E5043" s="13" t="s">
        <v>8644</v>
      </c>
      <c r="F5043" s="43">
        <v>0.26</v>
      </c>
    </row>
    <row r="5044" spans="2:6" x14ac:dyDescent="0.25">
      <c r="B5044" s="13" t="s">
        <v>8645</v>
      </c>
      <c r="C5044" s="15" t="s">
        <v>150</v>
      </c>
      <c r="D5044" s="13" t="s">
        <v>7307</v>
      </c>
      <c r="E5044" s="13" t="s">
        <v>8646</v>
      </c>
      <c r="F5044" s="43">
        <v>0.26</v>
      </c>
    </row>
    <row r="5045" spans="2:6" x14ac:dyDescent="0.25">
      <c r="B5045" s="13" t="s">
        <v>8647</v>
      </c>
      <c r="C5045" s="15" t="s">
        <v>150</v>
      </c>
      <c r="D5045" s="13" t="s">
        <v>7307</v>
      </c>
      <c r="E5045" s="13" t="s">
        <v>8648</v>
      </c>
      <c r="F5045" s="43">
        <v>0.44</v>
      </c>
    </row>
    <row r="5046" spans="2:6" x14ac:dyDescent="0.25">
      <c r="B5046" s="13" t="s">
        <v>8649</v>
      </c>
      <c r="C5046" s="15" t="s">
        <v>150</v>
      </c>
      <c r="D5046" s="13" t="s">
        <v>7307</v>
      </c>
      <c r="E5046" s="13" t="s">
        <v>8650</v>
      </c>
      <c r="F5046" s="43">
        <v>27.85</v>
      </c>
    </row>
    <row r="5047" spans="2:6" x14ac:dyDescent="0.25">
      <c r="B5047" s="13" t="s">
        <v>8651</v>
      </c>
      <c r="C5047" s="15" t="s">
        <v>150</v>
      </c>
      <c r="D5047" s="13" t="s">
        <v>7307</v>
      </c>
      <c r="E5047" s="13" t="s">
        <v>8652</v>
      </c>
      <c r="F5047" s="43">
        <v>10.6</v>
      </c>
    </row>
    <row r="5048" spans="2:6" x14ac:dyDescent="0.25">
      <c r="B5048" s="13" t="s">
        <v>8653</v>
      </c>
      <c r="C5048" s="15" t="s">
        <v>150</v>
      </c>
      <c r="D5048" s="13" t="s">
        <v>7307</v>
      </c>
      <c r="E5048" s="13" t="s">
        <v>8654</v>
      </c>
      <c r="F5048" s="43">
        <v>15.16</v>
      </c>
    </row>
    <row r="5049" spans="2:6" x14ac:dyDescent="0.25">
      <c r="B5049" s="13" t="s">
        <v>8655</v>
      </c>
      <c r="C5049" s="15" t="s">
        <v>150</v>
      </c>
      <c r="D5049" s="13" t="s">
        <v>7307</v>
      </c>
      <c r="E5049" s="13" t="s">
        <v>8656</v>
      </c>
      <c r="F5049" s="43">
        <v>22.87</v>
      </c>
    </row>
    <row r="5050" spans="2:6" x14ac:dyDescent="0.25">
      <c r="B5050" s="13" t="s">
        <v>8657</v>
      </c>
      <c r="C5050" s="15" t="s">
        <v>150</v>
      </c>
      <c r="D5050" s="13" t="s">
        <v>7307</v>
      </c>
      <c r="E5050" s="13" t="s">
        <v>8658</v>
      </c>
      <c r="F5050" s="43">
        <v>38.86</v>
      </c>
    </row>
    <row r="5051" spans="2:6" x14ac:dyDescent="0.25">
      <c r="B5051" s="13" t="s">
        <v>8659</v>
      </c>
      <c r="C5051" s="15" t="s">
        <v>150</v>
      </c>
      <c r="D5051" s="13" t="s">
        <v>7307</v>
      </c>
      <c r="E5051" s="13" t="s">
        <v>8660</v>
      </c>
      <c r="F5051" s="43">
        <v>0.38</v>
      </c>
    </row>
    <row r="5052" spans="2:6" x14ac:dyDescent="0.25">
      <c r="B5052" s="13" t="s">
        <v>8661</v>
      </c>
      <c r="C5052" s="15" t="s">
        <v>150</v>
      </c>
      <c r="D5052" s="13" t="s">
        <v>7307</v>
      </c>
      <c r="E5052" s="13" t="s">
        <v>8662</v>
      </c>
      <c r="F5052" s="43">
        <v>1</v>
      </c>
    </row>
    <row r="5053" spans="2:6" x14ac:dyDescent="0.25">
      <c r="B5053" s="13" t="s">
        <v>8663</v>
      </c>
      <c r="C5053" s="15" t="s">
        <v>150</v>
      </c>
      <c r="D5053" s="13" t="s">
        <v>7307</v>
      </c>
      <c r="E5053" s="13" t="s">
        <v>8664</v>
      </c>
      <c r="F5053" s="43">
        <v>43.48</v>
      </c>
    </row>
    <row r="5054" spans="2:6" x14ac:dyDescent="0.25">
      <c r="B5054" s="13" t="s">
        <v>8665</v>
      </c>
      <c r="C5054" s="15" t="s">
        <v>150</v>
      </c>
      <c r="D5054" s="13" t="s">
        <v>7307</v>
      </c>
      <c r="E5054" s="13" t="s">
        <v>8666</v>
      </c>
      <c r="F5054" s="43">
        <v>39.4</v>
      </c>
    </row>
    <row r="5055" spans="2:6" x14ac:dyDescent="0.25">
      <c r="B5055" s="13" t="s">
        <v>8667</v>
      </c>
      <c r="C5055" s="15" t="s">
        <v>150</v>
      </c>
      <c r="D5055" s="13" t="s">
        <v>7307</v>
      </c>
      <c r="E5055" s="13" t="s">
        <v>8231</v>
      </c>
      <c r="F5055" s="43">
        <v>611.54</v>
      </c>
    </row>
    <row r="5056" spans="2:6" x14ac:dyDescent="0.25">
      <c r="B5056" s="13" t="s">
        <v>8668</v>
      </c>
      <c r="C5056" s="15" t="s">
        <v>150</v>
      </c>
      <c r="D5056" s="13" t="s">
        <v>7307</v>
      </c>
      <c r="E5056" s="13" t="s">
        <v>8669</v>
      </c>
      <c r="F5056" s="43">
        <v>49.19</v>
      </c>
    </row>
    <row r="5057" spans="2:6" x14ac:dyDescent="0.25">
      <c r="B5057" s="13" t="s">
        <v>8670</v>
      </c>
      <c r="C5057" s="15" t="s">
        <v>150</v>
      </c>
      <c r="D5057" s="13" t="s">
        <v>7307</v>
      </c>
      <c r="E5057" s="13" t="s">
        <v>8671</v>
      </c>
      <c r="F5057" s="43">
        <v>21.25</v>
      </c>
    </row>
    <row r="5058" spans="2:6" x14ac:dyDescent="0.25">
      <c r="B5058" s="13" t="s">
        <v>8672</v>
      </c>
      <c r="C5058" s="15" t="s">
        <v>150</v>
      </c>
      <c r="D5058" s="13" t="s">
        <v>7307</v>
      </c>
      <c r="E5058" s="13" t="s">
        <v>8673</v>
      </c>
      <c r="F5058" s="43">
        <v>6.05</v>
      </c>
    </row>
    <row r="5059" spans="2:6" x14ac:dyDescent="0.25">
      <c r="B5059" s="13" t="s">
        <v>8674</v>
      </c>
      <c r="C5059" s="15" t="s">
        <v>150</v>
      </c>
      <c r="D5059" s="13" t="s">
        <v>7307</v>
      </c>
      <c r="E5059" s="13" t="s">
        <v>8675</v>
      </c>
      <c r="F5059" s="43">
        <v>0.63</v>
      </c>
    </row>
    <row r="5060" spans="2:6" x14ac:dyDescent="0.25">
      <c r="B5060" s="13" t="s">
        <v>8676</v>
      </c>
      <c r="C5060" s="15" t="s">
        <v>150</v>
      </c>
      <c r="D5060" s="13" t="s">
        <v>7307</v>
      </c>
      <c r="E5060" s="13" t="s">
        <v>8677</v>
      </c>
      <c r="F5060" s="43">
        <v>0.53</v>
      </c>
    </row>
    <row r="5061" spans="2:6" x14ac:dyDescent="0.25">
      <c r="B5061" s="13" t="s">
        <v>8678</v>
      </c>
      <c r="C5061" s="15" t="s">
        <v>150</v>
      </c>
      <c r="D5061" s="13" t="s">
        <v>7307</v>
      </c>
      <c r="E5061" s="13" t="s">
        <v>8679</v>
      </c>
      <c r="F5061" s="43">
        <v>0.08</v>
      </c>
    </row>
    <row r="5062" spans="2:6" x14ac:dyDescent="0.25">
      <c r="B5062" s="13" t="s">
        <v>8680</v>
      </c>
      <c r="C5062" s="15" t="s">
        <v>150</v>
      </c>
      <c r="D5062" s="13" t="s">
        <v>7307</v>
      </c>
      <c r="E5062" s="13" t="s">
        <v>8681</v>
      </c>
      <c r="F5062" s="43">
        <v>78.400000000000006</v>
      </c>
    </row>
    <row r="5063" spans="2:6" x14ac:dyDescent="0.25">
      <c r="B5063" s="13" t="s">
        <v>8682</v>
      </c>
      <c r="C5063" s="15" t="s">
        <v>150</v>
      </c>
      <c r="D5063" s="13" t="s">
        <v>7307</v>
      </c>
      <c r="E5063" s="13" t="s">
        <v>8683</v>
      </c>
      <c r="F5063" s="43">
        <v>0.39</v>
      </c>
    </row>
    <row r="5064" spans="2:6" x14ac:dyDescent="0.25">
      <c r="B5064" s="13" t="s">
        <v>8684</v>
      </c>
      <c r="C5064" s="15" t="s">
        <v>150</v>
      </c>
      <c r="D5064" s="13" t="s">
        <v>7307</v>
      </c>
      <c r="E5064" s="13" t="s">
        <v>8685</v>
      </c>
      <c r="F5064" s="43">
        <v>0</v>
      </c>
    </row>
    <row r="5065" spans="2:6" x14ac:dyDescent="0.25">
      <c r="B5065" s="13" t="s">
        <v>8686</v>
      </c>
      <c r="C5065" s="15" t="s">
        <v>150</v>
      </c>
      <c r="D5065" s="13" t="s">
        <v>7307</v>
      </c>
      <c r="E5065" s="13" t="s">
        <v>8687</v>
      </c>
      <c r="F5065" s="43">
        <v>10.17</v>
      </c>
    </row>
    <row r="5066" spans="2:6" x14ac:dyDescent="0.25">
      <c r="B5066" s="13" t="s">
        <v>8688</v>
      </c>
      <c r="C5066" s="15" t="s">
        <v>150</v>
      </c>
      <c r="D5066" s="13" t="s">
        <v>7307</v>
      </c>
      <c r="E5066" s="13" t="s">
        <v>8689</v>
      </c>
      <c r="F5066" s="43">
        <v>4.95</v>
      </c>
    </row>
    <row r="5067" spans="2:6" x14ac:dyDescent="0.25">
      <c r="B5067" s="13" t="s">
        <v>8690</v>
      </c>
      <c r="C5067" s="15" t="s">
        <v>150</v>
      </c>
      <c r="D5067" s="13" t="s">
        <v>7307</v>
      </c>
      <c r="E5067" s="13" t="s">
        <v>8691</v>
      </c>
      <c r="F5067" s="43">
        <v>0.38</v>
      </c>
    </row>
    <row r="5068" spans="2:6" x14ac:dyDescent="0.25">
      <c r="B5068" s="13" t="s">
        <v>8692</v>
      </c>
      <c r="C5068" s="15" t="s">
        <v>150</v>
      </c>
      <c r="D5068" s="13" t="s">
        <v>7307</v>
      </c>
      <c r="E5068" s="13" t="s">
        <v>8693</v>
      </c>
      <c r="F5068" s="43">
        <v>23.1</v>
      </c>
    </row>
    <row r="5069" spans="2:6" x14ac:dyDescent="0.25">
      <c r="B5069" s="13" t="s">
        <v>8694</v>
      </c>
      <c r="C5069" s="15" t="s">
        <v>150</v>
      </c>
      <c r="D5069" s="13" t="s">
        <v>7307</v>
      </c>
      <c r="E5069" s="13" t="s">
        <v>8695</v>
      </c>
      <c r="F5069" s="43">
        <v>91.3</v>
      </c>
    </row>
    <row r="5070" spans="2:6" x14ac:dyDescent="0.25">
      <c r="B5070" s="13" t="s">
        <v>8696</v>
      </c>
      <c r="C5070" s="15" t="s">
        <v>150</v>
      </c>
      <c r="D5070" s="13" t="s">
        <v>7307</v>
      </c>
      <c r="E5070" s="13" t="s">
        <v>8697</v>
      </c>
      <c r="F5070" s="43">
        <v>0.37</v>
      </c>
    </row>
    <row r="5071" spans="2:6" x14ac:dyDescent="0.25">
      <c r="B5071" s="13" t="s">
        <v>8698</v>
      </c>
      <c r="C5071" s="15" t="s">
        <v>150</v>
      </c>
      <c r="D5071" s="13" t="s">
        <v>7307</v>
      </c>
      <c r="E5071" s="13" t="s">
        <v>8699</v>
      </c>
      <c r="F5071" s="43">
        <v>4.0999999999999996</v>
      </c>
    </row>
    <row r="5072" spans="2:6" x14ac:dyDescent="0.25">
      <c r="B5072" s="13" t="s">
        <v>8700</v>
      </c>
      <c r="C5072" s="15" t="s">
        <v>150</v>
      </c>
      <c r="D5072" s="13" t="s">
        <v>7307</v>
      </c>
      <c r="E5072" s="13" t="s">
        <v>8701</v>
      </c>
      <c r="F5072" s="43">
        <v>21.36</v>
      </c>
    </row>
    <row r="5073" spans="2:6" x14ac:dyDescent="0.25">
      <c r="B5073" s="13" t="s">
        <v>8702</v>
      </c>
      <c r="C5073" s="17" t="s">
        <v>170</v>
      </c>
      <c r="D5073" s="13" t="s">
        <v>118</v>
      </c>
      <c r="E5073" s="13" t="s">
        <v>8703</v>
      </c>
      <c r="F5073" s="43">
        <v>10.86</v>
      </c>
    </row>
    <row r="5074" spans="2:6" x14ac:dyDescent="0.25">
      <c r="B5074" s="13" t="s">
        <v>8704</v>
      </c>
      <c r="C5074" s="17" t="s">
        <v>170</v>
      </c>
      <c r="D5074" s="13" t="s">
        <v>118</v>
      </c>
      <c r="E5074" s="13" t="s">
        <v>8705</v>
      </c>
      <c r="F5074" s="43">
        <v>10.86</v>
      </c>
    </row>
    <row r="5075" spans="2:6" x14ac:dyDescent="0.25">
      <c r="B5075" s="13" t="s">
        <v>8706</v>
      </c>
      <c r="C5075" s="17" t="s">
        <v>170</v>
      </c>
      <c r="D5075" s="13" t="s">
        <v>118</v>
      </c>
      <c r="E5075" s="13" t="s">
        <v>8707</v>
      </c>
      <c r="F5075" s="43">
        <v>10.86</v>
      </c>
    </row>
    <row r="5076" spans="2:6" x14ac:dyDescent="0.25">
      <c r="B5076" s="13" t="s">
        <v>8708</v>
      </c>
      <c r="C5076" s="17" t="s">
        <v>170</v>
      </c>
      <c r="D5076" s="13" t="s">
        <v>118</v>
      </c>
      <c r="E5076" s="13" t="s">
        <v>8709</v>
      </c>
      <c r="F5076" s="43">
        <v>10.86</v>
      </c>
    </row>
    <row r="5077" spans="2:6" x14ac:dyDescent="0.25">
      <c r="B5077" s="13" t="s">
        <v>8710</v>
      </c>
      <c r="C5077" s="17" t="s">
        <v>170</v>
      </c>
      <c r="D5077" s="13" t="s">
        <v>118</v>
      </c>
      <c r="E5077" s="13" t="s">
        <v>8711</v>
      </c>
      <c r="F5077" s="43">
        <v>10.86</v>
      </c>
    </row>
    <row r="5078" spans="2:6" x14ac:dyDescent="0.25">
      <c r="B5078" s="13" t="s">
        <v>8712</v>
      </c>
      <c r="C5078" s="17" t="s">
        <v>170</v>
      </c>
      <c r="D5078" s="13" t="s">
        <v>118</v>
      </c>
      <c r="E5078" s="13" t="s">
        <v>8713</v>
      </c>
      <c r="F5078" s="43">
        <v>10.86</v>
      </c>
    </row>
    <row r="5079" spans="2:6" x14ac:dyDescent="0.25">
      <c r="B5079" s="13" t="s">
        <v>8714</v>
      </c>
      <c r="C5079" s="17" t="s">
        <v>170</v>
      </c>
      <c r="D5079" s="13" t="s">
        <v>118</v>
      </c>
      <c r="E5079" s="13" t="s">
        <v>8715</v>
      </c>
      <c r="F5079" s="43">
        <v>10.86</v>
      </c>
    </row>
    <row r="5080" spans="2:6" x14ac:dyDescent="0.25">
      <c r="B5080" s="13" t="s">
        <v>8716</v>
      </c>
      <c r="C5080" s="17" t="s">
        <v>170</v>
      </c>
      <c r="D5080" s="13" t="s">
        <v>118</v>
      </c>
      <c r="E5080" s="13" t="s">
        <v>8717</v>
      </c>
      <c r="F5080" s="43">
        <v>10.86</v>
      </c>
    </row>
    <row r="5081" spans="2:6" x14ac:dyDescent="0.25">
      <c r="B5081" s="13" t="s">
        <v>8718</v>
      </c>
      <c r="C5081" s="17" t="s">
        <v>170</v>
      </c>
      <c r="D5081" s="13" t="s">
        <v>118</v>
      </c>
      <c r="E5081" s="13" t="s">
        <v>8719</v>
      </c>
      <c r="F5081" s="43">
        <v>10.86</v>
      </c>
    </row>
    <row r="5082" spans="2:6" x14ac:dyDescent="0.25">
      <c r="B5082" s="13" t="s">
        <v>8720</v>
      </c>
      <c r="C5082" s="17" t="s">
        <v>170</v>
      </c>
      <c r="D5082" s="13" t="s">
        <v>118</v>
      </c>
      <c r="E5082" s="13" t="s">
        <v>8721</v>
      </c>
      <c r="F5082" s="43">
        <v>10.86</v>
      </c>
    </row>
    <row r="5083" spans="2:6" x14ac:dyDescent="0.25">
      <c r="B5083" s="13" t="s">
        <v>8722</v>
      </c>
      <c r="C5083" s="17" t="s">
        <v>170</v>
      </c>
      <c r="D5083" s="13" t="s">
        <v>118</v>
      </c>
      <c r="E5083" s="13" t="s">
        <v>8723</v>
      </c>
      <c r="F5083" s="43">
        <v>10.86</v>
      </c>
    </row>
    <row r="5084" spans="2:6" x14ac:dyDescent="0.25">
      <c r="B5084" s="13" t="s">
        <v>8724</v>
      </c>
      <c r="C5084" s="17" t="s">
        <v>170</v>
      </c>
      <c r="D5084" s="13" t="s">
        <v>118</v>
      </c>
      <c r="E5084" s="13" t="s">
        <v>8725</v>
      </c>
      <c r="F5084" s="43">
        <v>10.86</v>
      </c>
    </row>
    <row r="5085" spans="2:6" x14ac:dyDescent="0.25">
      <c r="B5085" s="13" t="s">
        <v>8726</v>
      </c>
      <c r="C5085" s="17" t="s">
        <v>170</v>
      </c>
      <c r="D5085" s="13" t="s">
        <v>118</v>
      </c>
      <c r="E5085" s="13" t="s">
        <v>8727</v>
      </c>
      <c r="F5085" s="43">
        <v>11.22</v>
      </c>
    </row>
    <row r="5086" spans="2:6" x14ac:dyDescent="0.25">
      <c r="B5086" s="13" t="s">
        <v>8728</v>
      </c>
      <c r="C5086" s="17" t="s">
        <v>170</v>
      </c>
      <c r="D5086" s="13" t="s">
        <v>118</v>
      </c>
      <c r="E5086" s="13" t="s">
        <v>8729</v>
      </c>
      <c r="F5086" s="43">
        <v>11.22</v>
      </c>
    </row>
    <row r="5087" spans="2:6" x14ac:dyDescent="0.25">
      <c r="B5087" s="13" t="s">
        <v>8730</v>
      </c>
      <c r="C5087" s="17" t="s">
        <v>170</v>
      </c>
      <c r="D5087" s="13" t="s">
        <v>118</v>
      </c>
      <c r="E5087" s="13" t="s">
        <v>8731</v>
      </c>
      <c r="F5087" s="43">
        <v>11.22</v>
      </c>
    </row>
    <row r="5088" spans="2:6" x14ac:dyDescent="0.25">
      <c r="B5088" s="13" t="s">
        <v>8732</v>
      </c>
      <c r="C5088" s="17" t="s">
        <v>170</v>
      </c>
      <c r="D5088" s="13" t="s">
        <v>118</v>
      </c>
      <c r="E5088" s="13" t="s">
        <v>8733</v>
      </c>
      <c r="F5088" s="43">
        <v>11.22</v>
      </c>
    </row>
    <row r="5089" spans="2:6" x14ac:dyDescent="0.25">
      <c r="B5089" s="13" t="s">
        <v>8734</v>
      </c>
      <c r="C5089" s="17" t="s">
        <v>170</v>
      </c>
      <c r="D5089" s="13" t="s">
        <v>118</v>
      </c>
      <c r="E5089" s="13" t="s">
        <v>8735</v>
      </c>
      <c r="F5089" s="43">
        <v>11.22</v>
      </c>
    </row>
    <row r="5090" spans="2:6" x14ac:dyDescent="0.25">
      <c r="B5090" s="13" t="s">
        <v>8736</v>
      </c>
      <c r="C5090" s="17" t="s">
        <v>170</v>
      </c>
      <c r="D5090" s="13" t="s">
        <v>118</v>
      </c>
      <c r="E5090" s="13" t="s">
        <v>8737</v>
      </c>
      <c r="F5090" s="43">
        <v>11.22</v>
      </c>
    </row>
    <row r="5091" spans="2:6" x14ac:dyDescent="0.25">
      <c r="B5091" s="13" t="s">
        <v>8738</v>
      </c>
      <c r="C5091" s="17" t="s">
        <v>170</v>
      </c>
      <c r="D5091" s="13" t="s">
        <v>118</v>
      </c>
      <c r="E5091" s="13" t="s">
        <v>8739</v>
      </c>
      <c r="F5091" s="43">
        <v>11.22</v>
      </c>
    </row>
    <row r="5092" spans="2:6" x14ac:dyDescent="0.25">
      <c r="B5092" s="13" t="s">
        <v>8740</v>
      </c>
      <c r="C5092" s="17" t="s">
        <v>170</v>
      </c>
      <c r="D5092" s="13" t="s">
        <v>118</v>
      </c>
      <c r="E5092" s="13" t="s">
        <v>8741</v>
      </c>
      <c r="F5092" s="43">
        <v>11.22</v>
      </c>
    </row>
    <row r="5093" spans="2:6" x14ac:dyDescent="0.25">
      <c r="B5093" s="13" t="s">
        <v>8742</v>
      </c>
      <c r="C5093" s="17" t="s">
        <v>170</v>
      </c>
      <c r="D5093" s="13" t="s">
        <v>118</v>
      </c>
      <c r="E5093" s="13" t="s">
        <v>8743</v>
      </c>
      <c r="F5093" s="43">
        <v>11.22</v>
      </c>
    </row>
    <row r="5094" spans="2:6" x14ac:dyDescent="0.25">
      <c r="B5094" s="13" t="s">
        <v>8744</v>
      </c>
      <c r="C5094" s="17" t="s">
        <v>170</v>
      </c>
      <c r="D5094" s="13" t="s">
        <v>118</v>
      </c>
      <c r="E5094" s="13" t="s">
        <v>8745</v>
      </c>
      <c r="F5094" s="43">
        <v>11.22</v>
      </c>
    </row>
    <row r="5095" spans="2:6" x14ac:dyDescent="0.25">
      <c r="B5095" s="13" t="s">
        <v>8746</v>
      </c>
      <c r="C5095" s="17" t="s">
        <v>170</v>
      </c>
      <c r="D5095" s="13" t="s">
        <v>118</v>
      </c>
      <c r="E5095" s="13" t="s">
        <v>8747</v>
      </c>
      <c r="F5095" s="43">
        <v>11.22</v>
      </c>
    </row>
    <row r="5096" spans="2:6" x14ac:dyDescent="0.25">
      <c r="B5096" s="13" t="s">
        <v>8748</v>
      </c>
      <c r="C5096" s="17" t="s">
        <v>170</v>
      </c>
      <c r="D5096" s="13" t="s">
        <v>118</v>
      </c>
      <c r="E5096" s="13" t="s">
        <v>8749</v>
      </c>
      <c r="F5096" s="43">
        <v>11.22</v>
      </c>
    </row>
    <row r="5097" spans="2:6" x14ac:dyDescent="0.25">
      <c r="B5097" s="13" t="s">
        <v>8750</v>
      </c>
      <c r="C5097" s="17" t="s">
        <v>170</v>
      </c>
      <c r="D5097" s="13" t="s">
        <v>118</v>
      </c>
      <c r="E5097" s="13" t="s">
        <v>8751</v>
      </c>
      <c r="F5097" s="43">
        <v>11.22</v>
      </c>
    </row>
    <row r="5098" spans="2:6" x14ac:dyDescent="0.25">
      <c r="B5098" s="13" t="s">
        <v>8752</v>
      </c>
      <c r="C5098" s="17" t="s">
        <v>170</v>
      </c>
      <c r="D5098" s="13" t="s">
        <v>118</v>
      </c>
      <c r="E5098" s="13" t="s">
        <v>8753</v>
      </c>
      <c r="F5098" s="43">
        <v>12.77</v>
      </c>
    </row>
    <row r="5099" spans="2:6" x14ac:dyDescent="0.25">
      <c r="B5099" s="13" t="s">
        <v>8754</v>
      </c>
      <c r="C5099" s="17" t="s">
        <v>170</v>
      </c>
      <c r="D5099" s="13" t="s">
        <v>118</v>
      </c>
      <c r="E5099" s="13" t="s">
        <v>8755</v>
      </c>
      <c r="F5099" s="43">
        <v>12.77</v>
      </c>
    </row>
    <row r="5100" spans="2:6" x14ac:dyDescent="0.25">
      <c r="B5100" s="13" t="s">
        <v>8756</v>
      </c>
      <c r="C5100" s="17" t="s">
        <v>170</v>
      </c>
      <c r="D5100" s="13" t="s">
        <v>118</v>
      </c>
      <c r="E5100" s="13" t="s">
        <v>8757</v>
      </c>
      <c r="F5100" s="43">
        <v>12.77</v>
      </c>
    </row>
    <row r="5101" spans="2:6" x14ac:dyDescent="0.25">
      <c r="B5101" s="13" t="s">
        <v>8758</v>
      </c>
      <c r="C5101" s="17" t="s">
        <v>170</v>
      </c>
      <c r="D5101" s="13" t="s">
        <v>118</v>
      </c>
      <c r="E5101" s="13" t="s">
        <v>8759</v>
      </c>
      <c r="F5101" s="43">
        <v>12.77</v>
      </c>
    </row>
    <row r="5102" spans="2:6" x14ac:dyDescent="0.25">
      <c r="B5102" s="13" t="s">
        <v>8760</v>
      </c>
      <c r="C5102" s="17" t="s">
        <v>170</v>
      </c>
      <c r="D5102" s="13" t="s">
        <v>118</v>
      </c>
      <c r="E5102" s="13" t="s">
        <v>8761</v>
      </c>
      <c r="F5102" s="43">
        <v>12.77</v>
      </c>
    </row>
    <row r="5103" spans="2:6" x14ac:dyDescent="0.25">
      <c r="B5103" s="13" t="s">
        <v>8762</v>
      </c>
      <c r="C5103" s="17" t="s">
        <v>170</v>
      </c>
      <c r="D5103" s="13" t="s">
        <v>118</v>
      </c>
      <c r="E5103" s="13" t="s">
        <v>8763</v>
      </c>
      <c r="F5103" s="43">
        <v>12.77</v>
      </c>
    </row>
    <row r="5104" spans="2:6" x14ac:dyDescent="0.25">
      <c r="B5104" s="13" t="s">
        <v>8764</v>
      </c>
      <c r="C5104" s="17" t="s">
        <v>170</v>
      </c>
      <c r="D5104" s="13" t="s">
        <v>118</v>
      </c>
      <c r="E5104" s="13" t="s">
        <v>8765</v>
      </c>
      <c r="F5104" s="43">
        <v>12.77</v>
      </c>
    </row>
    <row r="5105" spans="2:6" x14ac:dyDescent="0.25">
      <c r="B5105" s="13" t="s">
        <v>8766</v>
      </c>
      <c r="C5105" s="17" t="s">
        <v>170</v>
      </c>
      <c r="D5105" s="13" t="s">
        <v>118</v>
      </c>
      <c r="E5105" s="13" t="s">
        <v>8767</v>
      </c>
      <c r="F5105" s="43">
        <v>12.77</v>
      </c>
    </row>
    <row r="5106" spans="2:6" x14ac:dyDescent="0.25">
      <c r="B5106" s="13" t="s">
        <v>8768</v>
      </c>
      <c r="C5106" s="17" t="s">
        <v>170</v>
      </c>
      <c r="D5106" s="13" t="s">
        <v>118</v>
      </c>
      <c r="E5106" s="13" t="s">
        <v>8769</v>
      </c>
      <c r="F5106" s="43">
        <v>13.49</v>
      </c>
    </row>
    <row r="5107" spans="2:6" x14ac:dyDescent="0.25">
      <c r="B5107" s="13" t="s">
        <v>8770</v>
      </c>
      <c r="C5107" s="17" t="s">
        <v>170</v>
      </c>
      <c r="D5107" s="13" t="s">
        <v>118</v>
      </c>
      <c r="E5107" s="13" t="s">
        <v>8771</v>
      </c>
      <c r="F5107" s="43">
        <v>13.49</v>
      </c>
    </row>
    <row r="5108" spans="2:6" x14ac:dyDescent="0.25">
      <c r="B5108" s="13" t="s">
        <v>8772</v>
      </c>
      <c r="C5108" s="17" t="s">
        <v>170</v>
      </c>
      <c r="D5108" s="13" t="s">
        <v>118</v>
      </c>
      <c r="E5108" s="13" t="s">
        <v>8773</v>
      </c>
      <c r="F5108" s="43">
        <v>13.49</v>
      </c>
    </row>
    <row r="5109" spans="2:6" x14ac:dyDescent="0.25">
      <c r="B5109" s="13" t="s">
        <v>8774</v>
      </c>
      <c r="C5109" s="17" t="s">
        <v>170</v>
      </c>
      <c r="D5109" s="13" t="s">
        <v>118</v>
      </c>
      <c r="E5109" s="13" t="s">
        <v>8775</v>
      </c>
      <c r="F5109" s="43">
        <v>13.49</v>
      </c>
    </row>
    <row r="5110" spans="2:6" x14ac:dyDescent="0.25">
      <c r="B5110" s="13" t="s">
        <v>8776</v>
      </c>
      <c r="C5110" s="17" t="s">
        <v>170</v>
      </c>
      <c r="D5110" s="13" t="s">
        <v>118</v>
      </c>
      <c r="E5110" s="13" t="s">
        <v>8777</v>
      </c>
      <c r="F5110" s="43">
        <v>13.49</v>
      </c>
    </row>
    <row r="5111" spans="2:6" x14ac:dyDescent="0.25">
      <c r="B5111" s="13" t="s">
        <v>8778</v>
      </c>
      <c r="C5111" s="17" t="s">
        <v>170</v>
      </c>
      <c r="D5111" s="13" t="s">
        <v>118</v>
      </c>
      <c r="E5111" s="13" t="s">
        <v>8779</v>
      </c>
      <c r="F5111" s="43">
        <v>13.49</v>
      </c>
    </row>
    <row r="5112" spans="2:6" x14ac:dyDescent="0.25">
      <c r="B5112" s="13" t="s">
        <v>8780</v>
      </c>
      <c r="C5112" s="17" t="s">
        <v>170</v>
      </c>
      <c r="D5112" s="13" t="s">
        <v>118</v>
      </c>
      <c r="E5112" s="13" t="s">
        <v>8781</v>
      </c>
      <c r="F5112" s="43">
        <v>13.49</v>
      </c>
    </row>
    <row r="5113" spans="2:6" x14ac:dyDescent="0.25">
      <c r="B5113" s="13" t="s">
        <v>8782</v>
      </c>
      <c r="C5113" s="17" t="s">
        <v>170</v>
      </c>
      <c r="D5113" s="13" t="s">
        <v>118</v>
      </c>
      <c r="E5113" s="13" t="s">
        <v>8783</v>
      </c>
      <c r="F5113" s="43">
        <v>13.49</v>
      </c>
    </row>
    <row r="5114" spans="2:6" x14ac:dyDescent="0.25">
      <c r="B5114" s="13" t="s">
        <v>8784</v>
      </c>
      <c r="C5114" s="17" t="s">
        <v>170</v>
      </c>
      <c r="D5114" s="13" t="s">
        <v>118</v>
      </c>
      <c r="E5114" s="13" t="s">
        <v>8785</v>
      </c>
      <c r="F5114" s="43">
        <v>13.49</v>
      </c>
    </row>
    <row r="5115" spans="2:6" x14ac:dyDescent="0.25">
      <c r="B5115" s="13" t="s">
        <v>8786</v>
      </c>
      <c r="C5115" s="17" t="s">
        <v>170</v>
      </c>
      <c r="D5115" s="13" t="s">
        <v>118</v>
      </c>
      <c r="E5115" s="13" t="s">
        <v>8787</v>
      </c>
      <c r="F5115" s="43">
        <v>12.77</v>
      </c>
    </row>
    <row r="5116" spans="2:6" x14ac:dyDescent="0.25">
      <c r="B5116" s="13" t="s">
        <v>8788</v>
      </c>
      <c r="C5116" s="17" t="s">
        <v>170</v>
      </c>
      <c r="D5116" s="13" t="s">
        <v>118</v>
      </c>
      <c r="E5116" s="13" t="s">
        <v>8789</v>
      </c>
      <c r="F5116" s="43">
        <v>12.77</v>
      </c>
    </row>
    <row r="5117" spans="2:6" x14ac:dyDescent="0.25">
      <c r="B5117" s="13" t="s">
        <v>8790</v>
      </c>
      <c r="C5117" s="17" t="s">
        <v>170</v>
      </c>
      <c r="D5117" s="13" t="s">
        <v>118</v>
      </c>
      <c r="E5117" s="13" t="s">
        <v>8791</v>
      </c>
      <c r="F5117" s="43">
        <v>12.77</v>
      </c>
    </row>
    <row r="5118" spans="2:6" x14ac:dyDescent="0.25">
      <c r="B5118" s="13" t="s">
        <v>8792</v>
      </c>
      <c r="C5118" s="17" t="s">
        <v>170</v>
      </c>
      <c r="D5118" s="13" t="s">
        <v>118</v>
      </c>
      <c r="E5118" s="13" t="s">
        <v>8793</v>
      </c>
      <c r="F5118" s="43">
        <v>12.77</v>
      </c>
    </row>
    <row r="5119" spans="2:6" x14ac:dyDescent="0.25">
      <c r="B5119" s="13" t="s">
        <v>8794</v>
      </c>
      <c r="C5119" s="17" t="s">
        <v>170</v>
      </c>
      <c r="D5119" s="13" t="s">
        <v>118</v>
      </c>
      <c r="E5119" s="13" t="s">
        <v>8795</v>
      </c>
      <c r="F5119" s="43">
        <v>12.77</v>
      </c>
    </row>
    <row r="5120" spans="2:6" x14ac:dyDescent="0.25">
      <c r="B5120" s="13" t="s">
        <v>8796</v>
      </c>
      <c r="C5120" s="17" t="s">
        <v>170</v>
      </c>
      <c r="D5120" s="13" t="s">
        <v>118</v>
      </c>
      <c r="E5120" s="13" t="s">
        <v>8797</v>
      </c>
      <c r="F5120" s="43">
        <v>12.77</v>
      </c>
    </row>
    <row r="5121" spans="2:6" x14ac:dyDescent="0.25">
      <c r="B5121" s="13" t="s">
        <v>8798</v>
      </c>
      <c r="C5121" s="17" t="s">
        <v>170</v>
      </c>
      <c r="D5121" s="13" t="s">
        <v>118</v>
      </c>
      <c r="E5121" s="13" t="s">
        <v>8799</v>
      </c>
      <c r="F5121" s="43">
        <v>12.77</v>
      </c>
    </row>
    <row r="5122" spans="2:6" x14ac:dyDescent="0.25">
      <c r="B5122" s="13" t="s">
        <v>8800</v>
      </c>
      <c r="C5122" s="17" t="s">
        <v>170</v>
      </c>
      <c r="D5122" s="13" t="s">
        <v>118</v>
      </c>
      <c r="E5122" s="13" t="s">
        <v>8801</v>
      </c>
      <c r="F5122" s="43">
        <v>12.77</v>
      </c>
    </row>
    <row r="5123" spans="2:6" x14ac:dyDescent="0.25">
      <c r="B5123" s="13" t="s">
        <v>8802</v>
      </c>
      <c r="C5123" s="17" t="s">
        <v>170</v>
      </c>
      <c r="D5123" s="13" t="s">
        <v>118</v>
      </c>
      <c r="E5123" s="13" t="s">
        <v>8803</v>
      </c>
      <c r="F5123" s="43">
        <v>12.77</v>
      </c>
    </row>
    <row r="5124" spans="2:6" x14ac:dyDescent="0.25">
      <c r="B5124" s="13" t="s">
        <v>8804</v>
      </c>
      <c r="C5124" s="17" t="s">
        <v>170</v>
      </c>
      <c r="D5124" s="13" t="s">
        <v>118</v>
      </c>
      <c r="E5124" s="13" t="s">
        <v>8805</v>
      </c>
      <c r="F5124" s="43">
        <v>12.77</v>
      </c>
    </row>
    <row r="5125" spans="2:6" x14ac:dyDescent="0.25">
      <c r="B5125" s="13" t="s">
        <v>8806</v>
      </c>
      <c r="C5125" s="17" t="s">
        <v>170</v>
      </c>
      <c r="D5125" s="13" t="s">
        <v>118</v>
      </c>
      <c r="E5125" s="13" t="s">
        <v>8807</v>
      </c>
      <c r="F5125" s="43">
        <v>12.77</v>
      </c>
    </row>
    <row r="5126" spans="2:6" x14ac:dyDescent="0.25">
      <c r="B5126" s="13" t="s">
        <v>8808</v>
      </c>
      <c r="C5126" s="17" t="s">
        <v>170</v>
      </c>
      <c r="D5126" s="13" t="s">
        <v>118</v>
      </c>
      <c r="E5126" s="13" t="s">
        <v>8809</v>
      </c>
      <c r="F5126" s="43">
        <v>12.77</v>
      </c>
    </row>
    <row r="5127" spans="2:6" x14ac:dyDescent="0.25">
      <c r="B5127" s="13" t="s">
        <v>8810</v>
      </c>
      <c r="C5127" s="17" t="s">
        <v>170</v>
      </c>
      <c r="D5127" s="13" t="s">
        <v>118</v>
      </c>
      <c r="E5127" s="13" t="s">
        <v>8811</v>
      </c>
      <c r="F5127" s="43">
        <v>12.77</v>
      </c>
    </row>
    <row r="5128" spans="2:6" x14ac:dyDescent="0.25">
      <c r="B5128" s="13" t="s">
        <v>8812</v>
      </c>
      <c r="C5128" s="17" t="s">
        <v>170</v>
      </c>
      <c r="D5128" s="13" t="s">
        <v>118</v>
      </c>
      <c r="E5128" s="13" t="s">
        <v>8813</v>
      </c>
      <c r="F5128" s="43">
        <v>13.49</v>
      </c>
    </row>
    <row r="5129" spans="2:6" x14ac:dyDescent="0.25">
      <c r="B5129" s="13" t="s">
        <v>8814</v>
      </c>
      <c r="C5129" s="17" t="s">
        <v>170</v>
      </c>
      <c r="D5129" s="13" t="s">
        <v>118</v>
      </c>
      <c r="E5129" s="13" t="s">
        <v>8815</v>
      </c>
      <c r="F5129" s="43">
        <v>13.49</v>
      </c>
    </row>
    <row r="5130" spans="2:6" x14ac:dyDescent="0.25">
      <c r="B5130" s="13" t="s">
        <v>8816</v>
      </c>
      <c r="C5130" s="17" t="s">
        <v>170</v>
      </c>
      <c r="D5130" s="13" t="s">
        <v>118</v>
      </c>
      <c r="E5130" s="13" t="s">
        <v>8817</v>
      </c>
      <c r="F5130" s="43">
        <v>13.49</v>
      </c>
    </row>
    <row r="5131" spans="2:6" x14ac:dyDescent="0.25">
      <c r="B5131" s="13" t="s">
        <v>8818</v>
      </c>
      <c r="C5131" s="17" t="s">
        <v>170</v>
      </c>
      <c r="D5131" s="13" t="s">
        <v>118</v>
      </c>
      <c r="E5131" s="13" t="s">
        <v>8819</v>
      </c>
      <c r="F5131" s="43">
        <v>13.49</v>
      </c>
    </row>
    <row r="5132" spans="2:6" x14ac:dyDescent="0.25">
      <c r="B5132" s="13" t="s">
        <v>8820</v>
      </c>
      <c r="C5132" s="17" t="s">
        <v>170</v>
      </c>
      <c r="D5132" s="13" t="s">
        <v>118</v>
      </c>
      <c r="E5132" s="13" t="s">
        <v>8821</v>
      </c>
      <c r="F5132" s="43">
        <v>13.49</v>
      </c>
    </row>
    <row r="5133" spans="2:6" x14ac:dyDescent="0.25">
      <c r="B5133" s="13" t="s">
        <v>8822</v>
      </c>
      <c r="C5133" s="17" t="s">
        <v>170</v>
      </c>
      <c r="D5133" s="13" t="s">
        <v>118</v>
      </c>
      <c r="E5133" s="13" t="s">
        <v>8823</v>
      </c>
      <c r="F5133" s="43">
        <v>13.49</v>
      </c>
    </row>
    <row r="5134" spans="2:6" x14ac:dyDescent="0.25">
      <c r="B5134" s="13" t="s">
        <v>8824</v>
      </c>
      <c r="C5134" s="17" t="s">
        <v>170</v>
      </c>
      <c r="D5134" s="13" t="s">
        <v>118</v>
      </c>
      <c r="E5134" s="13" t="s">
        <v>8825</v>
      </c>
      <c r="F5134" s="43">
        <v>13.49</v>
      </c>
    </row>
    <row r="5135" spans="2:6" x14ac:dyDescent="0.25">
      <c r="B5135" s="13" t="s">
        <v>8826</v>
      </c>
      <c r="C5135" s="17" t="s">
        <v>170</v>
      </c>
      <c r="D5135" s="13" t="s">
        <v>118</v>
      </c>
      <c r="E5135" s="13" t="s">
        <v>8827</v>
      </c>
      <c r="F5135" s="43">
        <v>13.49</v>
      </c>
    </row>
    <row r="5136" spans="2:6" x14ac:dyDescent="0.25">
      <c r="B5136" s="13" t="s">
        <v>8828</v>
      </c>
      <c r="C5136" s="17" t="s">
        <v>170</v>
      </c>
      <c r="D5136" s="13" t="s">
        <v>118</v>
      </c>
      <c r="E5136" s="13" t="s">
        <v>8829</v>
      </c>
      <c r="F5136" s="43">
        <v>13.49</v>
      </c>
    </row>
    <row r="5137" spans="2:6" x14ac:dyDescent="0.25">
      <c r="B5137" s="13" t="s">
        <v>8830</v>
      </c>
      <c r="C5137" s="17" t="s">
        <v>170</v>
      </c>
      <c r="D5137" s="13" t="s">
        <v>118</v>
      </c>
      <c r="E5137" s="13" t="s">
        <v>8831</v>
      </c>
      <c r="F5137" s="43">
        <v>13.49</v>
      </c>
    </row>
    <row r="5138" spans="2:6" x14ac:dyDescent="0.25">
      <c r="B5138" s="13" t="s">
        <v>8832</v>
      </c>
      <c r="C5138" s="17" t="s">
        <v>170</v>
      </c>
      <c r="D5138" s="13" t="s">
        <v>118</v>
      </c>
      <c r="E5138" s="13" t="s">
        <v>8833</v>
      </c>
      <c r="F5138" s="43">
        <v>13.49</v>
      </c>
    </row>
    <row r="5139" spans="2:6" x14ac:dyDescent="0.25">
      <c r="B5139" s="13" t="s">
        <v>8834</v>
      </c>
      <c r="C5139" s="17" t="s">
        <v>170</v>
      </c>
      <c r="D5139" s="13" t="s">
        <v>118</v>
      </c>
      <c r="E5139" s="13" t="s">
        <v>8835</v>
      </c>
      <c r="F5139" s="43">
        <v>13.49</v>
      </c>
    </row>
    <row r="5140" spans="2:6" x14ac:dyDescent="0.25">
      <c r="B5140" s="13" t="s">
        <v>8836</v>
      </c>
      <c r="C5140" s="17" t="s">
        <v>170</v>
      </c>
      <c r="D5140" s="13" t="s">
        <v>118</v>
      </c>
      <c r="E5140" s="13" t="s">
        <v>8837</v>
      </c>
      <c r="F5140" s="43">
        <v>14.92</v>
      </c>
    </row>
    <row r="5141" spans="2:6" x14ac:dyDescent="0.25">
      <c r="B5141" s="13" t="s">
        <v>8838</v>
      </c>
      <c r="C5141" s="17" t="s">
        <v>170</v>
      </c>
      <c r="D5141" s="13" t="s">
        <v>118</v>
      </c>
      <c r="E5141" s="13" t="s">
        <v>8839</v>
      </c>
      <c r="F5141" s="43">
        <v>14.92</v>
      </c>
    </row>
    <row r="5142" spans="2:6" x14ac:dyDescent="0.25">
      <c r="B5142" s="13" t="s">
        <v>8840</v>
      </c>
      <c r="C5142" s="17" t="s">
        <v>170</v>
      </c>
      <c r="D5142" s="13" t="s">
        <v>118</v>
      </c>
      <c r="E5142" s="13" t="s">
        <v>8841</v>
      </c>
      <c r="F5142" s="43">
        <v>14.92</v>
      </c>
    </row>
    <row r="5143" spans="2:6" x14ac:dyDescent="0.25">
      <c r="B5143" s="13" t="s">
        <v>8842</v>
      </c>
      <c r="C5143" s="17" t="s">
        <v>170</v>
      </c>
      <c r="D5143" s="13" t="s">
        <v>118</v>
      </c>
      <c r="E5143" s="13" t="s">
        <v>8843</v>
      </c>
      <c r="F5143" s="43">
        <v>14.92</v>
      </c>
    </row>
    <row r="5144" spans="2:6" x14ac:dyDescent="0.25">
      <c r="B5144" s="13" t="s">
        <v>8844</v>
      </c>
      <c r="C5144" s="17" t="s">
        <v>170</v>
      </c>
      <c r="D5144" s="13" t="s">
        <v>118</v>
      </c>
      <c r="E5144" s="13" t="s">
        <v>8845</v>
      </c>
      <c r="F5144" s="43">
        <v>14.92</v>
      </c>
    </row>
    <row r="5145" spans="2:6" x14ac:dyDescent="0.25">
      <c r="B5145" s="13" t="s">
        <v>8846</v>
      </c>
      <c r="C5145" s="17" t="s">
        <v>170</v>
      </c>
      <c r="D5145" s="13" t="s">
        <v>118</v>
      </c>
      <c r="E5145" s="13" t="s">
        <v>8847</v>
      </c>
      <c r="F5145" s="43">
        <v>14.92</v>
      </c>
    </row>
    <row r="5146" spans="2:6" x14ac:dyDescent="0.25">
      <c r="B5146" s="13" t="s">
        <v>8848</v>
      </c>
      <c r="C5146" s="17" t="s">
        <v>170</v>
      </c>
      <c r="D5146" s="13" t="s">
        <v>118</v>
      </c>
      <c r="E5146" s="13" t="s">
        <v>8849</v>
      </c>
      <c r="F5146" s="43">
        <v>14.92</v>
      </c>
    </row>
    <row r="5147" spans="2:6" x14ac:dyDescent="0.25">
      <c r="B5147" s="13" t="s">
        <v>8850</v>
      </c>
      <c r="C5147" s="17" t="s">
        <v>170</v>
      </c>
      <c r="D5147" s="13" t="s">
        <v>118</v>
      </c>
      <c r="E5147" s="13" t="s">
        <v>8851</v>
      </c>
      <c r="F5147" s="43">
        <v>14.92</v>
      </c>
    </row>
    <row r="5148" spans="2:6" x14ac:dyDescent="0.25">
      <c r="B5148" s="13" t="s">
        <v>8852</v>
      </c>
      <c r="C5148" s="17" t="s">
        <v>170</v>
      </c>
      <c r="D5148" s="13" t="s">
        <v>118</v>
      </c>
      <c r="E5148" s="13" t="s">
        <v>8853</v>
      </c>
      <c r="F5148" s="43">
        <v>14.92</v>
      </c>
    </row>
    <row r="5149" spans="2:6" x14ac:dyDescent="0.25">
      <c r="B5149" s="13" t="s">
        <v>8854</v>
      </c>
      <c r="C5149" s="17" t="s">
        <v>170</v>
      </c>
      <c r="D5149" s="13" t="s">
        <v>118</v>
      </c>
      <c r="E5149" s="13" t="s">
        <v>8855</v>
      </c>
      <c r="F5149" s="43">
        <v>14.92</v>
      </c>
    </row>
    <row r="5150" spans="2:6" x14ac:dyDescent="0.25">
      <c r="B5150" s="13" t="s">
        <v>8856</v>
      </c>
      <c r="C5150" s="17" t="s">
        <v>170</v>
      </c>
      <c r="D5150" s="13" t="s">
        <v>118</v>
      </c>
      <c r="E5150" s="13" t="s">
        <v>8857</v>
      </c>
      <c r="F5150" s="43">
        <v>14.92</v>
      </c>
    </row>
    <row r="5151" spans="2:6" x14ac:dyDescent="0.25">
      <c r="B5151" s="13" t="s">
        <v>8858</v>
      </c>
      <c r="C5151" s="17" t="s">
        <v>170</v>
      </c>
      <c r="D5151" s="13" t="s">
        <v>118</v>
      </c>
      <c r="E5151" s="13" t="s">
        <v>8859</v>
      </c>
      <c r="F5151" s="43">
        <v>14.92</v>
      </c>
    </row>
    <row r="5152" spans="2:6" x14ac:dyDescent="0.25">
      <c r="B5152" s="13" t="s">
        <v>8860</v>
      </c>
      <c r="C5152" s="17" t="s">
        <v>170</v>
      </c>
      <c r="D5152" s="13" t="s">
        <v>118</v>
      </c>
      <c r="E5152" s="13" t="s">
        <v>8861</v>
      </c>
      <c r="F5152" s="43">
        <v>14.92</v>
      </c>
    </row>
    <row r="5153" spans="2:6" x14ac:dyDescent="0.25">
      <c r="B5153" s="13" t="s">
        <v>8862</v>
      </c>
      <c r="C5153" s="17" t="s">
        <v>170</v>
      </c>
      <c r="D5153" s="13" t="s">
        <v>118</v>
      </c>
      <c r="E5153" s="13" t="s">
        <v>8863</v>
      </c>
      <c r="F5153" s="43">
        <v>14.92</v>
      </c>
    </row>
    <row r="5154" spans="2:6" x14ac:dyDescent="0.25">
      <c r="B5154" s="13" t="s">
        <v>8864</v>
      </c>
      <c r="C5154" s="17" t="s">
        <v>170</v>
      </c>
      <c r="D5154" s="13" t="s">
        <v>118</v>
      </c>
      <c r="E5154" s="13" t="s">
        <v>8865</v>
      </c>
      <c r="F5154" s="43">
        <v>14.92</v>
      </c>
    </row>
    <row r="5155" spans="2:6" x14ac:dyDescent="0.25">
      <c r="B5155" s="13" t="s">
        <v>8866</v>
      </c>
      <c r="C5155" s="17" t="s">
        <v>170</v>
      </c>
      <c r="D5155" s="13" t="s">
        <v>118</v>
      </c>
      <c r="E5155" s="13" t="s">
        <v>8867</v>
      </c>
      <c r="F5155" s="43">
        <v>14.92</v>
      </c>
    </row>
    <row r="5156" spans="2:6" x14ac:dyDescent="0.25">
      <c r="B5156" s="13" t="s">
        <v>8868</v>
      </c>
      <c r="C5156" s="17" t="s">
        <v>170</v>
      </c>
      <c r="D5156" s="13" t="s">
        <v>118</v>
      </c>
      <c r="E5156" s="13" t="s">
        <v>8869</v>
      </c>
      <c r="F5156" s="43">
        <v>14.92</v>
      </c>
    </row>
    <row r="5157" spans="2:6" x14ac:dyDescent="0.25">
      <c r="B5157" s="13" t="s">
        <v>8870</v>
      </c>
      <c r="C5157" s="17" t="s">
        <v>170</v>
      </c>
      <c r="D5157" s="13" t="s">
        <v>118</v>
      </c>
      <c r="E5157" s="13" t="s">
        <v>8871</v>
      </c>
      <c r="F5157" s="43">
        <v>14.92</v>
      </c>
    </row>
    <row r="5158" spans="2:6" x14ac:dyDescent="0.25">
      <c r="B5158" s="13" t="s">
        <v>8872</v>
      </c>
      <c r="C5158" s="17" t="s">
        <v>170</v>
      </c>
      <c r="D5158" s="13" t="s">
        <v>118</v>
      </c>
      <c r="E5158" s="13" t="s">
        <v>8873</v>
      </c>
      <c r="F5158" s="43">
        <v>14.92</v>
      </c>
    </row>
    <row r="5159" spans="2:6" x14ac:dyDescent="0.25">
      <c r="B5159" s="13" t="s">
        <v>8874</v>
      </c>
      <c r="C5159" s="17" t="s">
        <v>170</v>
      </c>
      <c r="D5159" s="13" t="s">
        <v>118</v>
      </c>
      <c r="E5159" s="13" t="s">
        <v>8875</v>
      </c>
      <c r="F5159" s="43">
        <v>14.92</v>
      </c>
    </row>
    <row r="5160" spans="2:6" x14ac:dyDescent="0.25">
      <c r="B5160" s="13" t="s">
        <v>8876</v>
      </c>
      <c r="C5160" s="17" t="s">
        <v>170</v>
      </c>
      <c r="D5160" s="13" t="s">
        <v>118</v>
      </c>
      <c r="E5160" s="13" t="s">
        <v>8877</v>
      </c>
      <c r="F5160" s="43">
        <v>14.92</v>
      </c>
    </row>
    <row r="5161" spans="2:6" x14ac:dyDescent="0.25">
      <c r="B5161" s="13" t="s">
        <v>8878</v>
      </c>
      <c r="C5161" s="17" t="s">
        <v>170</v>
      </c>
      <c r="D5161" s="13" t="s">
        <v>118</v>
      </c>
      <c r="E5161" s="13" t="s">
        <v>8879</v>
      </c>
      <c r="F5161" s="43">
        <v>14.92</v>
      </c>
    </row>
    <row r="5162" spans="2:6" x14ac:dyDescent="0.25">
      <c r="B5162" s="13" t="s">
        <v>8880</v>
      </c>
      <c r="C5162" s="17" t="s">
        <v>170</v>
      </c>
      <c r="D5162" s="13" t="s">
        <v>118</v>
      </c>
      <c r="E5162" s="13" t="s">
        <v>8881</v>
      </c>
      <c r="F5162" s="43">
        <v>14.92</v>
      </c>
    </row>
    <row r="5163" spans="2:6" x14ac:dyDescent="0.25">
      <c r="B5163" s="13" t="s">
        <v>8882</v>
      </c>
      <c r="C5163" s="17" t="s">
        <v>170</v>
      </c>
      <c r="D5163" s="13" t="s">
        <v>118</v>
      </c>
      <c r="E5163" s="13" t="s">
        <v>8883</v>
      </c>
      <c r="F5163" s="43">
        <v>16.71</v>
      </c>
    </row>
    <row r="5164" spans="2:6" x14ac:dyDescent="0.25">
      <c r="B5164" s="13" t="s">
        <v>8884</v>
      </c>
      <c r="C5164" s="17" t="s">
        <v>170</v>
      </c>
      <c r="D5164" s="13" t="s">
        <v>118</v>
      </c>
      <c r="E5164" s="13" t="s">
        <v>8885</v>
      </c>
      <c r="F5164" s="43">
        <v>16.71</v>
      </c>
    </row>
    <row r="5165" spans="2:6" x14ac:dyDescent="0.25">
      <c r="B5165" s="13" t="s">
        <v>8886</v>
      </c>
      <c r="C5165" s="17" t="s">
        <v>170</v>
      </c>
      <c r="D5165" s="13" t="s">
        <v>118</v>
      </c>
      <c r="E5165" s="13" t="s">
        <v>8887</v>
      </c>
      <c r="F5165" s="43">
        <v>16.71</v>
      </c>
    </row>
    <row r="5166" spans="2:6" x14ac:dyDescent="0.25">
      <c r="B5166" s="13" t="s">
        <v>8888</v>
      </c>
      <c r="C5166" s="17" t="s">
        <v>170</v>
      </c>
      <c r="D5166" s="13" t="s">
        <v>118</v>
      </c>
      <c r="E5166" s="13" t="s">
        <v>8889</v>
      </c>
      <c r="F5166" s="43">
        <v>16.71</v>
      </c>
    </row>
    <row r="5167" spans="2:6" x14ac:dyDescent="0.25">
      <c r="B5167" s="13" t="s">
        <v>8890</v>
      </c>
      <c r="C5167" s="17" t="s">
        <v>170</v>
      </c>
      <c r="D5167" s="13" t="s">
        <v>118</v>
      </c>
      <c r="E5167" s="13" t="s">
        <v>8891</v>
      </c>
      <c r="F5167" s="43">
        <v>16.71</v>
      </c>
    </row>
    <row r="5168" spans="2:6" x14ac:dyDescent="0.25">
      <c r="B5168" s="13" t="s">
        <v>8892</v>
      </c>
      <c r="C5168" s="17" t="s">
        <v>170</v>
      </c>
      <c r="D5168" s="13" t="s">
        <v>118</v>
      </c>
      <c r="E5168" s="13" t="s">
        <v>8893</v>
      </c>
      <c r="F5168" s="43">
        <v>16.71</v>
      </c>
    </row>
    <row r="5169" spans="2:6" x14ac:dyDescent="0.25">
      <c r="B5169" s="13" t="s">
        <v>8894</v>
      </c>
      <c r="C5169" s="17" t="s">
        <v>170</v>
      </c>
      <c r="D5169" s="13" t="s">
        <v>118</v>
      </c>
      <c r="E5169" s="13" t="s">
        <v>8895</v>
      </c>
      <c r="F5169" s="43">
        <v>14.92</v>
      </c>
    </row>
    <row r="5170" spans="2:6" x14ac:dyDescent="0.25">
      <c r="B5170" s="13" t="s">
        <v>8896</v>
      </c>
      <c r="C5170" s="17" t="s">
        <v>170</v>
      </c>
      <c r="D5170" s="13" t="s">
        <v>118</v>
      </c>
      <c r="E5170" s="13" t="s">
        <v>8897</v>
      </c>
      <c r="F5170" s="43">
        <v>14.92</v>
      </c>
    </row>
    <row r="5171" spans="2:6" x14ac:dyDescent="0.25">
      <c r="B5171" s="13" t="s">
        <v>8898</v>
      </c>
      <c r="C5171" s="17" t="s">
        <v>170</v>
      </c>
      <c r="D5171" s="13" t="s">
        <v>118</v>
      </c>
      <c r="E5171" s="13" t="s">
        <v>8899</v>
      </c>
      <c r="F5171" s="43">
        <v>14.92</v>
      </c>
    </row>
    <row r="5172" spans="2:6" x14ac:dyDescent="0.25">
      <c r="B5172" s="13" t="s">
        <v>8900</v>
      </c>
      <c r="C5172" s="17" t="s">
        <v>170</v>
      </c>
      <c r="D5172" s="13" t="s">
        <v>118</v>
      </c>
      <c r="E5172" s="13" t="s">
        <v>8901</v>
      </c>
      <c r="F5172" s="43">
        <v>14.92</v>
      </c>
    </row>
    <row r="5173" spans="2:6" x14ac:dyDescent="0.25">
      <c r="B5173" s="13" t="s">
        <v>8902</v>
      </c>
      <c r="C5173" s="17" t="s">
        <v>170</v>
      </c>
      <c r="D5173" s="13" t="s">
        <v>118</v>
      </c>
      <c r="E5173" s="13" t="s">
        <v>8903</v>
      </c>
      <c r="F5173" s="43">
        <v>14.92</v>
      </c>
    </row>
    <row r="5174" spans="2:6" x14ac:dyDescent="0.25">
      <c r="B5174" s="13" t="s">
        <v>8904</v>
      </c>
      <c r="C5174" s="17" t="s">
        <v>170</v>
      </c>
      <c r="D5174" s="13" t="s">
        <v>118</v>
      </c>
      <c r="E5174" s="13" t="s">
        <v>8905</v>
      </c>
      <c r="F5174" s="43">
        <v>14.92</v>
      </c>
    </row>
    <row r="5175" spans="2:6" x14ac:dyDescent="0.25">
      <c r="B5175" s="13" t="s">
        <v>8906</v>
      </c>
      <c r="C5175" s="17" t="s">
        <v>170</v>
      </c>
      <c r="D5175" s="13" t="s">
        <v>118</v>
      </c>
      <c r="E5175" s="13" t="s">
        <v>8907</v>
      </c>
      <c r="F5175" s="43">
        <v>14.92</v>
      </c>
    </row>
    <row r="5176" spans="2:6" x14ac:dyDescent="0.25">
      <c r="B5176" s="13" t="s">
        <v>8908</v>
      </c>
      <c r="C5176" s="17" t="s">
        <v>170</v>
      </c>
      <c r="D5176" s="13" t="s">
        <v>118</v>
      </c>
      <c r="E5176" s="13" t="s">
        <v>8909</v>
      </c>
      <c r="F5176" s="43">
        <v>14.92</v>
      </c>
    </row>
    <row r="5177" spans="2:6" x14ac:dyDescent="0.25">
      <c r="B5177" s="13" t="s">
        <v>8910</v>
      </c>
      <c r="C5177" s="17" t="s">
        <v>170</v>
      </c>
      <c r="D5177" s="13" t="s">
        <v>118</v>
      </c>
      <c r="E5177" s="13" t="s">
        <v>8911</v>
      </c>
      <c r="F5177" s="43">
        <v>14.92</v>
      </c>
    </row>
    <row r="5178" spans="2:6" x14ac:dyDescent="0.25">
      <c r="B5178" s="13" t="s">
        <v>8912</v>
      </c>
      <c r="C5178" s="17" t="s">
        <v>170</v>
      </c>
      <c r="D5178" s="13" t="s">
        <v>118</v>
      </c>
      <c r="E5178" s="13" t="s">
        <v>8913</v>
      </c>
      <c r="F5178" s="43">
        <v>14.92</v>
      </c>
    </row>
    <row r="5179" spans="2:6" x14ac:dyDescent="0.25">
      <c r="B5179" s="13" t="s">
        <v>8914</v>
      </c>
      <c r="C5179" s="17" t="s">
        <v>170</v>
      </c>
      <c r="D5179" s="13" t="s">
        <v>118</v>
      </c>
      <c r="E5179" s="13" t="s">
        <v>8915</v>
      </c>
      <c r="F5179" s="43">
        <v>14.92</v>
      </c>
    </row>
    <row r="5180" spans="2:6" x14ac:dyDescent="0.25">
      <c r="B5180" s="13" t="s">
        <v>8916</v>
      </c>
      <c r="C5180" s="17" t="s">
        <v>170</v>
      </c>
      <c r="D5180" s="13" t="s">
        <v>118</v>
      </c>
      <c r="E5180" s="13" t="s">
        <v>8917</v>
      </c>
      <c r="F5180" s="43">
        <v>14.92</v>
      </c>
    </row>
    <row r="5181" spans="2:6" x14ac:dyDescent="0.25">
      <c r="B5181" s="13" t="s">
        <v>8918</v>
      </c>
      <c r="C5181" s="17" t="s">
        <v>170</v>
      </c>
      <c r="D5181" s="13" t="s">
        <v>118</v>
      </c>
      <c r="E5181" s="13" t="s">
        <v>8919</v>
      </c>
      <c r="F5181" s="43">
        <v>14.92</v>
      </c>
    </row>
    <row r="5182" spans="2:6" x14ac:dyDescent="0.25">
      <c r="B5182" s="13" t="s">
        <v>8920</v>
      </c>
      <c r="C5182" s="17" t="s">
        <v>170</v>
      </c>
      <c r="D5182" s="13" t="s">
        <v>118</v>
      </c>
      <c r="E5182" s="13" t="s">
        <v>8921</v>
      </c>
      <c r="F5182" s="43">
        <v>31.63</v>
      </c>
    </row>
    <row r="5183" spans="2:6" x14ac:dyDescent="0.25">
      <c r="B5183" s="13" t="s">
        <v>8922</v>
      </c>
      <c r="C5183" s="17" t="s">
        <v>170</v>
      </c>
      <c r="D5183" s="13" t="s">
        <v>118</v>
      </c>
      <c r="E5183" s="13" t="s">
        <v>8923</v>
      </c>
      <c r="F5183" s="43">
        <v>31.63</v>
      </c>
    </row>
    <row r="5184" spans="2:6" x14ac:dyDescent="0.25">
      <c r="B5184" s="13" t="s">
        <v>8924</v>
      </c>
      <c r="C5184" s="17" t="s">
        <v>170</v>
      </c>
      <c r="D5184" s="13" t="s">
        <v>118</v>
      </c>
      <c r="E5184" s="13" t="s">
        <v>8925</v>
      </c>
      <c r="F5184" s="43">
        <v>31.63</v>
      </c>
    </row>
    <row r="5185" spans="2:6" x14ac:dyDescent="0.25">
      <c r="B5185" s="13" t="s">
        <v>8926</v>
      </c>
      <c r="C5185" s="17" t="s">
        <v>170</v>
      </c>
      <c r="D5185" s="13" t="s">
        <v>118</v>
      </c>
      <c r="E5185" s="13" t="s">
        <v>8927</v>
      </c>
      <c r="F5185" s="43">
        <v>31.63</v>
      </c>
    </row>
    <row r="5186" spans="2:6" x14ac:dyDescent="0.25">
      <c r="B5186" s="13" t="s">
        <v>8928</v>
      </c>
      <c r="C5186" s="17" t="s">
        <v>170</v>
      </c>
      <c r="D5186" s="13" t="s">
        <v>118</v>
      </c>
      <c r="E5186" s="13" t="s">
        <v>8929</v>
      </c>
      <c r="F5186" s="43">
        <v>31.63</v>
      </c>
    </row>
    <row r="5187" spans="2:6" x14ac:dyDescent="0.25">
      <c r="B5187" s="13" t="s">
        <v>8930</v>
      </c>
      <c r="C5187" s="17" t="s">
        <v>170</v>
      </c>
      <c r="D5187" s="13" t="s">
        <v>118</v>
      </c>
      <c r="E5187" s="13" t="s">
        <v>8931</v>
      </c>
      <c r="F5187" s="43">
        <v>31.63</v>
      </c>
    </row>
    <row r="5188" spans="2:6" x14ac:dyDescent="0.25">
      <c r="B5188" s="13" t="s">
        <v>8932</v>
      </c>
      <c r="C5188" s="17" t="s">
        <v>170</v>
      </c>
      <c r="D5188" s="13" t="s">
        <v>118</v>
      </c>
      <c r="E5188" s="13" t="s">
        <v>8933</v>
      </c>
      <c r="F5188" s="43">
        <v>31.63</v>
      </c>
    </row>
    <row r="5189" spans="2:6" x14ac:dyDescent="0.25">
      <c r="B5189" s="13" t="s">
        <v>8934</v>
      </c>
      <c r="C5189" s="17" t="s">
        <v>170</v>
      </c>
      <c r="D5189" s="13" t="s">
        <v>118</v>
      </c>
      <c r="E5189" s="13" t="s">
        <v>8935</v>
      </c>
      <c r="F5189" s="43">
        <v>31.63</v>
      </c>
    </row>
    <row r="5190" spans="2:6" x14ac:dyDescent="0.25">
      <c r="B5190" s="13" t="s">
        <v>8936</v>
      </c>
      <c r="C5190" s="17" t="s">
        <v>170</v>
      </c>
      <c r="D5190" s="13" t="s">
        <v>118</v>
      </c>
      <c r="E5190" s="13" t="s">
        <v>8937</v>
      </c>
      <c r="F5190" s="43">
        <v>31.63</v>
      </c>
    </row>
    <row r="5191" spans="2:6" x14ac:dyDescent="0.25">
      <c r="B5191" s="13" t="s">
        <v>8938</v>
      </c>
      <c r="C5191" s="17" t="s">
        <v>170</v>
      </c>
      <c r="D5191" s="13" t="s">
        <v>118</v>
      </c>
      <c r="E5191" s="13" t="s">
        <v>8939</v>
      </c>
      <c r="F5191" s="43">
        <v>41.18</v>
      </c>
    </row>
    <row r="5192" spans="2:6" x14ac:dyDescent="0.25">
      <c r="B5192" s="13" t="s">
        <v>8940</v>
      </c>
      <c r="C5192" s="17" t="s">
        <v>170</v>
      </c>
      <c r="D5192" s="13" t="s">
        <v>118</v>
      </c>
      <c r="E5192" s="13" t="s">
        <v>8941</v>
      </c>
      <c r="F5192" s="43">
        <v>41.18</v>
      </c>
    </row>
    <row r="5193" spans="2:6" x14ac:dyDescent="0.25">
      <c r="B5193" s="13" t="s">
        <v>8942</v>
      </c>
      <c r="C5193" s="17" t="s">
        <v>170</v>
      </c>
      <c r="D5193" s="13" t="s">
        <v>118</v>
      </c>
      <c r="E5193" s="13" t="s">
        <v>8943</v>
      </c>
      <c r="F5193" s="43">
        <v>41.18</v>
      </c>
    </row>
    <row r="5194" spans="2:6" x14ac:dyDescent="0.25">
      <c r="B5194" s="13" t="s">
        <v>8944</v>
      </c>
      <c r="C5194" s="17" t="s">
        <v>170</v>
      </c>
      <c r="D5194" s="13" t="s">
        <v>118</v>
      </c>
      <c r="E5194" s="13" t="s">
        <v>8945</v>
      </c>
      <c r="F5194" s="43">
        <v>41.18</v>
      </c>
    </row>
    <row r="5195" spans="2:6" x14ac:dyDescent="0.25">
      <c r="B5195" s="13" t="s">
        <v>8946</v>
      </c>
      <c r="C5195" s="17" t="s">
        <v>170</v>
      </c>
      <c r="D5195" s="13" t="s">
        <v>118</v>
      </c>
      <c r="E5195" s="13" t="s">
        <v>8947</v>
      </c>
      <c r="F5195" s="43">
        <v>41.18</v>
      </c>
    </row>
    <row r="5196" spans="2:6" x14ac:dyDescent="0.25">
      <c r="B5196" s="13" t="s">
        <v>8948</v>
      </c>
      <c r="C5196" s="17" t="s">
        <v>170</v>
      </c>
      <c r="D5196" s="13" t="s">
        <v>118</v>
      </c>
      <c r="E5196" s="13" t="s">
        <v>8949</v>
      </c>
      <c r="F5196" s="43">
        <v>41.18</v>
      </c>
    </row>
    <row r="5197" spans="2:6" x14ac:dyDescent="0.25">
      <c r="B5197" s="13" t="s">
        <v>8950</v>
      </c>
      <c r="C5197" s="17" t="s">
        <v>170</v>
      </c>
      <c r="D5197" s="13" t="s">
        <v>118</v>
      </c>
      <c r="E5197" s="13" t="s">
        <v>8951</v>
      </c>
      <c r="F5197" s="43">
        <v>41.18</v>
      </c>
    </row>
    <row r="5198" spans="2:6" x14ac:dyDescent="0.25">
      <c r="B5198" s="13" t="s">
        <v>8952</v>
      </c>
      <c r="C5198" s="17" t="s">
        <v>170</v>
      </c>
      <c r="D5198" s="13" t="s">
        <v>118</v>
      </c>
      <c r="E5198" s="13" t="s">
        <v>8953</v>
      </c>
      <c r="F5198" s="43">
        <v>41.18</v>
      </c>
    </row>
    <row r="5199" spans="2:6" x14ac:dyDescent="0.25">
      <c r="B5199" s="13" t="s">
        <v>8954</v>
      </c>
      <c r="C5199" s="17" t="s">
        <v>170</v>
      </c>
      <c r="D5199" s="13" t="s">
        <v>118</v>
      </c>
      <c r="E5199" s="13" t="s">
        <v>8955</v>
      </c>
      <c r="F5199" s="43">
        <v>41.18</v>
      </c>
    </row>
    <row r="5200" spans="2:6" x14ac:dyDescent="0.25">
      <c r="B5200" s="13" t="s">
        <v>8956</v>
      </c>
      <c r="C5200" s="17" t="s">
        <v>170</v>
      </c>
      <c r="D5200" s="13" t="s">
        <v>118</v>
      </c>
      <c r="E5200" s="13" t="s">
        <v>8957</v>
      </c>
      <c r="F5200" s="43">
        <v>41.18</v>
      </c>
    </row>
    <row r="5201" spans="2:6" x14ac:dyDescent="0.25">
      <c r="B5201" s="13" t="s">
        <v>8958</v>
      </c>
      <c r="C5201" s="17" t="s">
        <v>170</v>
      </c>
      <c r="D5201" s="13" t="s">
        <v>118</v>
      </c>
      <c r="E5201" s="13" t="s">
        <v>8959</v>
      </c>
      <c r="F5201" s="43">
        <v>41.18</v>
      </c>
    </row>
    <row r="5202" spans="2:6" x14ac:dyDescent="0.25">
      <c r="B5202" s="13" t="s">
        <v>8960</v>
      </c>
      <c r="C5202" s="17" t="s">
        <v>170</v>
      </c>
      <c r="D5202" s="13" t="s">
        <v>118</v>
      </c>
      <c r="E5202" s="13" t="s">
        <v>8961</v>
      </c>
      <c r="F5202" s="43">
        <v>41.18</v>
      </c>
    </row>
    <row r="5203" spans="2:6" x14ac:dyDescent="0.25">
      <c r="B5203" s="13" t="s">
        <v>8962</v>
      </c>
      <c r="C5203" s="17" t="s">
        <v>170</v>
      </c>
      <c r="D5203" s="13" t="s">
        <v>118</v>
      </c>
      <c r="E5203" s="13" t="s">
        <v>8963</v>
      </c>
      <c r="F5203" s="43">
        <v>41.18</v>
      </c>
    </row>
    <row r="5204" spans="2:6" x14ac:dyDescent="0.25">
      <c r="B5204" s="13" t="s">
        <v>8964</v>
      </c>
      <c r="C5204" s="17" t="s">
        <v>170</v>
      </c>
      <c r="D5204" s="13" t="s">
        <v>118</v>
      </c>
      <c r="E5204" s="13" t="s">
        <v>8965</v>
      </c>
      <c r="F5204" s="43">
        <v>41.18</v>
      </c>
    </row>
    <row r="5205" spans="2:6" x14ac:dyDescent="0.25">
      <c r="B5205" s="13" t="s">
        <v>8966</v>
      </c>
      <c r="C5205" s="17" t="s">
        <v>170</v>
      </c>
      <c r="D5205" s="13" t="s">
        <v>118</v>
      </c>
      <c r="E5205" s="13" t="s">
        <v>8967</v>
      </c>
      <c r="F5205" s="43">
        <v>41.18</v>
      </c>
    </row>
    <row r="5206" spans="2:6" x14ac:dyDescent="0.25">
      <c r="B5206" s="13" t="s">
        <v>8968</v>
      </c>
      <c r="C5206" s="17" t="s">
        <v>170</v>
      </c>
      <c r="D5206" s="13" t="s">
        <v>118</v>
      </c>
      <c r="E5206" s="13" t="s">
        <v>8969</v>
      </c>
      <c r="F5206" s="43">
        <v>41.18</v>
      </c>
    </row>
    <row r="5207" spans="2:6" x14ac:dyDescent="0.25">
      <c r="B5207" s="13" t="s">
        <v>8970</v>
      </c>
      <c r="C5207" s="17" t="s">
        <v>170</v>
      </c>
      <c r="D5207" s="13" t="s">
        <v>118</v>
      </c>
      <c r="E5207" s="13" t="s">
        <v>8971</v>
      </c>
      <c r="F5207" s="43">
        <v>41.18</v>
      </c>
    </row>
    <row r="5208" spans="2:6" x14ac:dyDescent="0.25">
      <c r="B5208" s="13" t="s">
        <v>8972</v>
      </c>
      <c r="C5208" s="17" t="s">
        <v>170</v>
      </c>
      <c r="D5208" s="13" t="s">
        <v>118</v>
      </c>
      <c r="E5208" s="13" t="s">
        <v>8973</v>
      </c>
      <c r="F5208" s="43">
        <v>41.18</v>
      </c>
    </row>
    <row r="5209" spans="2:6" x14ac:dyDescent="0.25">
      <c r="B5209" s="13" t="s">
        <v>8974</v>
      </c>
      <c r="C5209" s="17" t="s">
        <v>170</v>
      </c>
      <c r="D5209" s="13" t="s">
        <v>118</v>
      </c>
      <c r="E5209" s="13" t="s">
        <v>8975</v>
      </c>
      <c r="F5209" s="43">
        <v>41.18</v>
      </c>
    </row>
    <row r="5210" spans="2:6" x14ac:dyDescent="0.25">
      <c r="B5210" s="13" t="s">
        <v>8976</v>
      </c>
      <c r="C5210" s="17" t="s">
        <v>170</v>
      </c>
      <c r="D5210" s="13" t="s">
        <v>118</v>
      </c>
      <c r="E5210" s="13" t="s">
        <v>8977</v>
      </c>
      <c r="F5210" s="43">
        <v>41.18</v>
      </c>
    </row>
    <row r="5211" spans="2:6" x14ac:dyDescent="0.25">
      <c r="B5211" s="13" t="s">
        <v>8978</v>
      </c>
      <c r="C5211" s="17" t="s">
        <v>170</v>
      </c>
      <c r="D5211" s="13" t="s">
        <v>118</v>
      </c>
      <c r="E5211" s="13" t="s">
        <v>8979</v>
      </c>
      <c r="F5211" s="43">
        <v>50.49</v>
      </c>
    </row>
    <row r="5212" spans="2:6" x14ac:dyDescent="0.25">
      <c r="B5212" s="13" t="s">
        <v>8980</v>
      </c>
      <c r="C5212" s="17" t="s">
        <v>170</v>
      </c>
      <c r="D5212" s="13" t="s">
        <v>118</v>
      </c>
      <c r="E5212" s="13" t="s">
        <v>8981</v>
      </c>
      <c r="F5212" s="43">
        <v>50.49</v>
      </c>
    </row>
    <row r="5213" spans="2:6" x14ac:dyDescent="0.25">
      <c r="B5213" s="13" t="s">
        <v>8982</v>
      </c>
      <c r="C5213" s="17" t="s">
        <v>170</v>
      </c>
      <c r="D5213" s="13" t="s">
        <v>118</v>
      </c>
      <c r="E5213" s="13" t="s">
        <v>8983</v>
      </c>
      <c r="F5213" s="43">
        <v>50.49</v>
      </c>
    </row>
    <row r="5214" spans="2:6" x14ac:dyDescent="0.25">
      <c r="B5214" s="13" t="s">
        <v>8984</v>
      </c>
      <c r="C5214" s="17" t="s">
        <v>170</v>
      </c>
      <c r="D5214" s="13" t="s">
        <v>118</v>
      </c>
      <c r="E5214" s="13" t="s">
        <v>8985</v>
      </c>
      <c r="F5214" s="43">
        <v>50.49</v>
      </c>
    </row>
    <row r="5215" spans="2:6" x14ac:dyDescent="0.25">
      <c r="B5215" s="13" t="s">
        <v>8986</v>
      </c>
      <c r="C5215" s="17" t="s">
        <v>170</v>
      </c>
      <c r="D5215" s="13" t="s">
        <v>118</v>
      </c>
      <c r="E5215" s="13" t="s">
        <v>8987</v>
      </c>
      <c r="F5215" s="43">
        <v>50.49</v>
      </c>
    </row>
    <row r="5216" spans="2:6" x14ac:dyDescent="0.25">
      <c r="B5216" s="13" t="s">
        <v>8988</v>
      </c>
      <c r="C5216" s="17" t="s">
        <v>170</v>
      </c>
      <c r="D5216" s="13" t="s">
        <v>118</v>
      </c>
      <c r="E5216" s="13" t="s">
        <v>8989</v>
      </c>
      <c r="F5216" s="43">
        <v>50.49</v>
      </c>
    </row>
    <row r="5217" spans="2:6" x14ac:dyDescent="0.25">
      <c r="B5217" s="13" t="s">
        <v>8990</v>
      </c>
      <c r="C5217" s="17" t="s">
        <v>170</v>
      </c>
      <c r="D5217" s="13" t="s">
        <v>118</v>
      </c>
      <c r="E5217" s="13" t="s">
        <v>8991</v>
      </c>
      <c r="F5217" s="43">
        <v>50.49</v>
      </c>
    </row>
    <row r="5218" spans="2:6" x14ac:dyDescent="0.25">
      <c r="B5218" s="13" t="s">
        <v>8992</v>
      </c>
      <c r="C5218" s="17" t="s">
        <v>170</v>
      </c>
      <c r="D5218" s="13" t="s">
        <v>118</v>
      </c>
      <c r="E5218" s="13" t="s">
        <v>8993</v>
      </c>
      <c r="F5218" s="43">
        <v>50.49</v>
      </c>
    </row>
    <row r="5219" spans="2:6" x14ac:dyDescent="0.25">
      <c r="B5219" s="13" t="s">
        <v>8994</v>
      </c>
      <c r="C5219" s="17" t="s">
        <v>170</v>
      </c>
      <c r="D5219" s="13" t="s">
        <v>118</v>
      </c>
      <c r="E5219" s="13" t="s">
        <v>8995</v>
      </c>
      <c r="F5219" s="43">
        <v>50.49</v>
      </c>
    </row>
    <row r="5220" spans="2:6" x14ac:dyDescent="0.25">
      <c r="B5220" s="13" t="s">
        <v>8996</v>
      </c>
      <c r="C5220" s="17" t="s">
        <v>170</v>
      </c>
      <c r="D5220" s="13" t="s">
        <v>118</v>
      </c>
      <c r="E5220" s="13" t="s">
        <v>8997</v>
      </c>
      <c r="F5220" s="43">
        <v>50.49</v>
      </c>
    </row>
    <row r="5221" spans="2:6" x14ac:dyDescent="0.25">
      <c r="B5221" s="13" t="s">
        <v>8998</v>
      </c>
      <c r="C5221" s="17" t="s">
        <v>170</v>
      </c>
      <c r="D5221" s="13" t="s">
        <v>118</v>
      </c>
      <c r="E5221" s="13" t="s">
        <v>8999</v>
      </c>
      <c r="F5221" s="43">
        <v>50.49</v>
      </c>
    </row>
    <row r="5222" spans="2:6" x14ac:dyDescent="0.25">
      <c r="B5222" s="13" t="s">
        <v>9000</v>
      </c>
      <c r="C5222" s="17" t="s">
        <v>170</v>
      </c>
      <c r="D5222" s="13" t="s">
        <v>118</v>
      </c>
      <c r="E5222" s="13" t="s">
        <v>9001</v>
      </c>
      <c r="F5222" s="43">
        <v>50.49</v>
      </c>
    </row>
    <row r="5223" spans="2:6" x14ac:dyDescent="0.25">
      <c r="B5223" s="13" t="s">
        <v>9002</v>
      </c>
      <c r="C5223" s="17" t="s">
        <v>170</v>
      </c>
      <c r="D5223" s="13" t="s">
        <v>118</v>
      </c>
      <c r="E5223" s="13" t="s">
        <v>9003</v>
      </c>
      <c r="F5223" s="43">
        <v>50.49</v>
      </c>
    </row>
    <row r="5224" spans="2:6" x14ac:dyDescent="0.25">
      <c r="B5224" s="13" t="s">
        <v>9004</v>
      </c>
      <c r="C5224" s="17" t="s">
        <v>170</v>
      </c>
      <c r="D5224" s="13" t="s">
        <v>118</v>
      </c>
      <c r="E5224" s="13" t="s">
        <v>9005</v>
      </c>
      <c r="F5224" s="43">
        <v>50.49</v>
      </c>
    </row>
    <row r="5225" spans="2:6" x14ac:dyDescent="0.25">
      <c r="B5225" s="13" t="s">
        <v>9006</v>
      </c>
      <c r="C5225" s="17" t="s">
        <v>170</v>
      </c>
      <c r="D5225" s="13" t="s">
        <v>118</v>
      </c>
      <c r="E5225" s="13" t="s">
        <v>9007</v>
      </c>
      <c r="F5225" s="43">
        <v>50.49</v>
      </c>
    </row>
    <row r="5226" spans="2:6" x14ac:dyDescent="0.25">
      <c r="B5226" s="13" t="s">
        <v>9008</v>
      </c>
      <c r="C5226" s="17" t="s">
        <v>170</v>
      </c>
      <c r="D5226" s="13" t="s">
        <v>118</v>
      </c>
      <c r="E5226" s="13" t="s">
        <v>9009</v>
      </c>
      <c r="F5226" s="43">
        <v>50.49</v>
      </c>
    </row>
    <row r="5227" spans="2:6" x14ac:dyDescent="0.25">
      <c r="B5227" s="13" t="s">
        <v>9010</v>
      </c>
      <c r="C5227" s="17" t="s">
        <v>170</v>
      </c>
      <c r="D5227" s="13" t="s">
        <v>118</v>
      </c>
      <c r="E5227" s="13" t="s">
        <v>9011</v>
      </c>
      <c r="F5227" s="43">
        <v>8.36</v>
      </c>
    </row>
    <row r="5228" spans="2:6" x14ac:dyDescent="0.25">
      <c r="B5228" s="13" t="s">
        <v>9012</v>
      </c>
      <c r="C5228" s="17" t="s">
        <v>170</v>
      </c>
      <c r="D5228" s="13" t="s">
        <v>118</v>
      </c>
      <c r="E5228" s="13" t="s">
        <v>9013</v>
      </c>
      <c r="F5228" s="43">
        <v>8.36</v>
      </c>
    </row>
    <row r="5229" spans="2:6" x14ac:dyDescent="0.25">
      <c r="B5229" s="13" t="s">
        <v>9014</v>
      </c>
      <c r="C5229" s="17" t="s">
        <v>170</v>
      </c>
      <c r="D5229" s="13" t="s">
        <v>118</v>
      </c>
      <c r="E5229" s="13" t="s">
        <v>9015</v>
      </c>
      <c r="F5229" s="43">
        <v>9.5500000000000007</v>
      </c>
    </row>
    <row r="5230" spans="2:6" x14ac:dyDescent="0.25">
      <c r="B5230" s="13" t="s">
        <v>9016</v>
      </c>
      <c r="C5230" s="17" t="s">
        <v>170</v>
      </c>
      <c r="D5230" s="13" t="s">
        <v>118</v>
      </c>
      <c r="E5230" s="13" t="s">
        <v>9017</v>
      </c>
      <c r="F5230" s="43">
        <v>9.5500000000000007</v>
      </c>
    </row>
    <row r="5231" spans="2:6" x14ac:dyDescent="0.25">
      <c r="B5231" s="13" t="s">
        <v>9018</v>
      </c>
      <c r="C5231" s="17" t="s">
        <v>170</v>
      </c>
      <c r="D5231" s="13" t="s">
        <v>118</v>
      </c>
      <c r="E5231" s="13" t="s">
        <v>9019</v>
      </c>
      <c r="F5231" s="43">
        <v>3.11</v>
      </c>
    </row>
    <row r="5232" spans="2:6" x14ac:dyDescent="0.25">
      <c r="B5232" s="13" t="s">
        <v>9020</v>
      </c>
      <c r="C5232" s="17" t="s">
        <v>170</v>
      </c>
      <c r="D5232" s="13" t="s">
        <v>118</v>
      </c>
      <c r="E5232" s="13" t="s">
        <v>9021</v>
      </c>
      <c r="F5232" s="43">
        <v>3.35</v>
      </c>
    </row>
    <row r="5233" spans="2:6" x14ac:dyDescent="0.25">
      <c r="B5233" s="13" t="s">
        <v>9022</v>
      </c>
      <c r="C5233" s="17" t="s">
        <v>170</v>
      </c>
      <c r="D5233" s="13" t="s">
        <v>118</v>
      </c>
      <c r="E5233" s="13" t="s">
        <v>9023</v>
      </c>
      <c r="F5233" s="43">
        <v>3.59</v>
      </c>
    </row>
    <row r="5234" spans="2:6" x14ac:dyDescent="0.25">
      <c r="B5234" s="13" t="s">
        <v>9024</v>
      </c>
      <c r="C5234" s="17" t="s">
        <v>170</v>
      </c>
      <c r="D5234" s="13" t="s">
        <v>118</v>
      </c>
      <c r="E5234" s="13" t="s">
        <v>9025</v>
      </c>
      <c r="F5234" s="43">
        <v>13.97</v>
      </c>
    </row>
    <row r="5235" spans="2:6" x14ac:dyDescent="0.25">
      <c r="B5235" s="13" t="s">
        <v>9026</v>
      </c>
      <c r="C5235" s="17" t="s">
        <v>170</v>
      </c>
      <c r="D5235" s="13" t="s">
        <v>118</v>
      </c>
      <c r="E5235" s="13" t="s">
        <v>9027</v>
      </c>
      <c r="F5235" s="43">
        <v>13.97</v>
      </c>
    </row>
    <row r="5236" spans="2:6" x14ac:dyDescent="0.25">
      <c r="B5236" s="13" t="s">
        <v>9028</v>
      </c>
      <c r="C5236" s="17" t="s">
        <v>170</v>
      </c>
      <c r="D5236" s="13" t="s">
        <v>118</v>
      </c>
      <c r="E5236" s="13" t="s">
        <v>9029</v>
      </c>
      <c r="F5236" s="43">
        <v>13.97</v>
      </c>
    </row>
    <row r="5237" spans="2:6" x14ac:dyDescent="0.25">
      <c r="B5237" s="13" t="s">
        <v>9030</v>
      </c>
      <c r="C5237" s="17" t="s">
        <v>170</v>
      </c>
      <c r="D5237" s="13" t="s">
        <v>118</v>
      </c>
      <c r="E5237" s="13" t="s">
        <v>9031</v>
      </c>
      <c r="F5237" s="43">
        <v>13.97</v>
      </c>
    </row>
    <row r="5238" spans="2:6" x14ac:dyDescent="0.25">
      <c r="B5238" s="13" t="s">
        <v>9032</v>
      </c>
      <c r="C5238" s="17" t="s">
        <v>170</v>
      </c>
      <c r="D5238" s="13" t="s">
        <v>118</v>
      </c>
      <c r="E5238" s="13" t="s">
        <v>9033</v>
      </c>
      <c r="F5238" s="43">
        <v>13.97</v>
      </c>
    </row>
    <row r="5239" spans="2:6" x14ac:dyDescent="0.25">
      <c r="B5239" s="13" t="s">
        <v>9034</v>
      </c>
      <c r="C5239" s="17" t="s">
        <v>170</v>
      </c>
      <c r="D5239" s="13" t="s">
        <v>118</v>
      </c>
      <c r="E5239" s="13" t="s">
        <v>9035</v>
      </c>
      <c r="F5239" s="43">
        <v>13.97</v>
      </c>
    </row>
    <row r="5240" spans="2:6" x14ac:dyDescent="0.25">
      <c r="B5240" s="13" t="s">
        <v>9036</v>
      </c>
      <c r="C5240" s="17" t="s">
        <v>170</v>
      </c>
      <c r="D5240" s="13" t="s">
        <v>118</v>
      </c>
      <c r="E5240" s="13" t="s">
        <v>9037</v>
      </c>
      <c r="F5240" s="43">
        <v>13.97</v>
      </c>
    </row>
    <row r="5241" spans="2:6" x14ac:dyDescent="0.25">
      <c r="B5241" s="13" t="s">
        <v>9038</v>
      </c>
      <c r="C5241" s="17" t="s">
        <v>170</v>
      </c>
      <c r="D5241" s="13" t="s">
        <v>118</v>
      </c>
      <c r="E5241" s="13" t="s">
        <v>9039</v>
      </c>
      <c r="F5241" s="43">
        <v>13.97</v>
      </c>
    </row>
    <row r="5242" spans="2:6" x14ac:dyDescent="0.25">
      <c r="B5242" s="13" t="s">
        <v>9040</v>
      </c>
      <c r="C5242" s="17" t="s">
        <v>170</v>
      </c>
      <c r="D5242" s="13" t="s">
        <v>118</v>
      </c>
      <c r="E5242" s="13" t="s">
        <v>9041</v>
      </c>
      <c r="F5242" s="43">
        <v>14.33</v>
      </c>
    </row>
    <row r="5243" spans="2:6" x14ac:dyDescent="0.25">
      <c r="B5243" s="13" t="s">
        <v>9042</v>
      </c>
      <c r="C5243" s="17" t="s">
        <v>170</v>
      </c>
      <c r="D5243" s="13" t="s">
        <v>118</v>
      </c>
      <c r="E5243" s="13" t="s">
        <v>9043</v>
      </c>
      <c r="F5243" s="43">
        <v>14.33</v>
      </c>
    </row>
    <row r="5244" spans="2:6" x14ac:dyDescent="0.25">
      <c r="B5244" s="13" t="s">
        <v>9044</v>
      </c>
      <c r="C5244" s="17" t="s">
        <v>170</v>
      </c>
      <c r="D5244" s="13" t="s">
        <v>118</v>
      </c>
      <c r="E5244" s="13" t="s">
        <v>9045</v>
      </c>
      <c r="F5244" s="43">
        <v>14.33</v>
      </c>
    </row>
    <row r="5245" spans="2:6" x14ac:dyDescent="0.25">
      <c r="B5245" s="13" t="s">
        <v>9046</v>
      </c>
      <c r="C5245" s="17" t="s">
        <v>170</v>
      </c>
      <c r="D5245" s="13" t="s">
        <v>118</v>
      </c>
      <c r="E5245" s="13" t="s">
        <v>9047</v>
      </c>
      <c r="F5245" s="43">
        <v>14.33</v>
      </c>
    </row>
    <row r="5246" spans="2:6" x14ac:dyDescent="0.25">
      <c r="B5246" s="13" t="s">
        <v>9048</v>
      </c>
      <c r="C5246" s="17" t="s">
        <v>170</v>
      </c>
      <c r="D5246" s="13" t="s">
        <v>118</v>
      </c>
      <c r="E5246" s="13" t="s">
        <v>9049</v>
      </c>
      <c r="F5246" s="43">
        <v>14.33</v>
      </c>
    </row>
    <row r="5247" spans="2:6" x14ac:dyDescent="0.25">
      <c r="B5247" s="13" t="s">
        <v>9050</v>
      </c>
      <c r="C5247" s="17" t="s">
        <v>170</v>
      </c>
      <c r="D5247" s="13" t="s">
        <v>118</v>
      </c>
      <c r="E5247" s="13" t="s">
        <v>9051</v>
      </c>
      <c r="F5247" s="43">
        <v>14.33</v>
      </c>
    </row>
    <row r="5248" spans="2:6" x14ac:dyDescent="0.25">
      <c r="B5248" s="13" t="s">
        <v>9052</v>
      </c>
      <c r="C5248" s="17" t="s">
        <v>170</v>
      </c>
      <c r="D5248" s="13" t="s">
        <v>118</v>
      </c>
      <c r="E5248" s="13" t="s">
        <v>9053</v>
      </c>
      <c r="F5248" s="43">
        <v>14.33</v>
      </c>
    </row>
    <row r="5249" spans="2:6" x14ac:dyDescent="0.25">
      <c r="B5249" s="13" t="s">
        <v>9054</v>
      </c>
      <c r="C5249" s="17" t="s">
        <v>170</v>
      </c>
      <c r="D5249" s="13" t="s">
        <v>118</v>
      </c>
      <c r="E5249" s="13" t="s">
        <v>9055</v>
      </c>
      <c r="F5249" s="43">
        <v>14.33</v>
      </c>
    </row>
    <row r="5250" spans="2:6" x14ac:dyDescent="0.25">
      <c r="B5250" s="13" t="s">
        <v>9056</v>
      </c>
      <c r="C5250" s="17" t="s">
        <v>170</v>
      </c>
      <c r="D5250" s="13" t="s">
        <v>118</v>
      </c>
      <c r="E5250" s="13" t="s">
        <v>9057</v>
      </c>
      <c r="F5250" s="43">
        <v>16</v>
      </c>
    </row>
    <row r="5251" spans="2:6" x14ac:dyDescent="0.25">
      <c r="B5251" s="13" t="s">
        <v>9058</v>
      </c>
      <c r="C5251" s="17" t="s">
        <v>170</v>
      </c>
      <c r="D5251" s="13" t="s">
        <v>118</v>
      </c>
      <c r="E5251" s="13" t="s">
        <v>9059</v>
      </c>
      <c r="F5251" s="43">
        <v>16</v>
      </c>
    </row>
    <row r="5252" spans="2:6" x14ac:dyDescent="0.25">
      <c r="B5252" s="13" t="s">
        <v>9060</v>
      </c>
      <c r="C5252" s="17" t="s">
        <v>170</v>
      </c>
      <c r="D5252" s="13" t="s">
        <v>118</v>
      </c>
      <c r="E5252" s="13" t="s">
        <v>9061</v>
      </c>
      <c r="F5252" s="43">
        <v>16</v>
      </c>
    </row>
    <row r="5253" spans="2:6" x14ac:dyDescent="0.25">
      <c r="B5253" s="13" t="s">
        <v>9062</v>
      </c>
      <c r="C5253" s="17" t="s">
        <v>170</v>
      </c>
      <c r="D5253" s="13" t="s">
        <v>118</v>
      </c>
      <c r="E5253" s="13" t="s">
        <v>9063</v>
      </c>
      <c r="F5253" s="43">
        <v>16</v>
      </c>
    </row>
    <row r="5254" spans="2:6" x14ac:dyDescent="0.25">
      <c r="B5254" s="13" t="s">
        <v>9064</v>
      </c>
      <c r="C5254" s="17" t="s">
        <v>170</v>
      </c>
      <c r="D5254" s="13" t="s">
        <v>118</v>
      </c>
      <c r="E5254" s="13" t="s">
        <v>9065</v>
      </c>
      <c r="F5254" s="43">
        <v>16</v>
      </c>
    </row>
    <row r="5255" spans="2:6" x14ac:dyDescent="0.25">
      <c r="B5255" s="13" t="s">
        <v>9066</v>
      </c>
      <c r="C5255" s="17" t="s">
        <v>170</v>
      </c>
      <c r="D5255" s="13" t="s">
        <v>118</v>
      </c>
      <c r="E5255" s="13" t="s">
        <v>9067</v>
      </c>
      <c r="F5255" s="43">
        <v>16</v>
      </c>
    </row>
    <row r="5256" spans="2:6" x14ac:dyDescent="0.25">
      <c r="B5256" s="13" t="s">
        <v>9068</v>
      </c>
      <c r="C5256" s="17" t="s">
        <v>170</v>
      </c>
      <c r="D5256" s="13" t="s">
        <v>118</v>
      </c>
      <c r="E5256" s="13" t="s">
        <v>9069</v>
      </c>
      <c r="F5256" s="43">
        <v>16</v>
      </c>
    </row>
    <row r="5257" spans="2:6" x14ac:dyDescent="0.25">
      <c r="B5257" s="13" t="s">
        <v>9070</v>
      </c>
      <c r="C5257" s="17" t="s">
        <v>170</v>
      </c>
      <c r="D5257" s="13" t="s">
        <v>118</v>
      </c>
      <c r="E5257" s="13" t="s">
        <v>9071</v>
      </c>
      <c r="F5257" s="43">
        <v>16</v>
      </c>
    </row>
    <row r="5258" spans="2:6" x14ac:dyDescent="0.25">
      <c r="B5258" s="13" t="s">
        <v>9072</v>
      </c>
      <c r="C5258" s="17" t="s">
        <v>170</v>
      </c>
      <c r="D5258" s="13" t="s">
        <v>118</v>
      </c>
      <c r="E5258" s="13" t="s">
        <v>9073</v>
      </c>
      <c r="F5258" s="43">
        <v>16</v>
      </c>
    </row>
    <row r="5259" spans="2:6" x14ac:dyDescent="0.25">
      <c r="B5259" s="13" t="s">
        <v>9074</v>
      </c>
      <c r="C5259" s="17" t="s">
        <v>170</v>
      </c>
      <c r="D5259" s="13" t="s">
        <v>118</v>
      </c>
      <c r="E5259" s="13" t="s">
        <v>9075</v>
      </c>
      <c r="F5259" s="43">
        <v>16.71</v>
      </c>
    </row>
    <row r="5260" spans="2:6" x14ac:dyDescent="0.25">
      <c r="B5260" s="13" t="s">
        <v>9076</v>
      </c>
      <c r="C5260" s="17" t="s">
        <v>170</v>
      </c>
      <c r="D5260" s="13" t="s">
        <v>118</v>
      </c>
      <c r="E5260" s="13" t="s">
        <v>9077</v>
      </c>
      <c r="F5260" s="43">
        <v>16.71</v>
      </c>
    </row>
    <row r="5261" spans="2:6" x14ac:dyDescent="0.25">
      <c r="B5261" s="13" t="s">
        <v>9078</v>
      </c>
      <c r="C5261" s="17" t="s">
        <v>170</v>
      </c>
      <c r="D5261" s="13" t="s">
        <v>118</v>
      </c>
      <c r="E5261" s="13" t="s">
        <v>9079</v>
      </c>
      <c r="F5261" s="43">
        <v>16.71</v>
      </c>
    </row>
    <row r="5262" spans="2:6" x14ac:dyDescent="0.25">
      <c r="B5262" s="13" t="s">
        <v>9080</v>
      </c>
      <c r="C5262" s="17" t="s">
        <v>170</v>
      </c>
      <c r="D5262" s="13" t="s">
        <v>118</v>
      </c>
      <c r="E5262" s="13" t="s">
        <v>9081</v>
      </c>
      <c r="F5262" s="43">
        <v>16.71</v>
      </c>
    </row>
    <row r="5263" spans="2:6" x14ac:dyDescent="0.25">
      <c r="B5263" s="13" t="s">
        <v>9082</v>
      </c>
      <c r="C5263" s="17" t="s">
        <v>170</v>
      </c>
      <c r="D5263" s="13" t="s">
        <v>118</v>
      </c>
      <c r="E5263" s="13" t="s">
        <v>9083</v>
      </c>
      <c r="F5263" s="43">
        <v>16.71</v>
      </c>
    </row>
    <row r="5264" spans="2:6" x14ac:dyDescent="0.25">
      <c r="B5264" s="13" t="s">
        <v>9084</v>
      </c>
      <c r="C5264" s="17" t="s">
        <v>170</v>
      </c>
      <c r="D5264" s="13" t="s">
        <v>118</v>
      </c>
      <c r="E5264" s="13" t="s">
        <v>9085</v>
      </c>
      <c r="F5264" s="43">
        <v>16.71</v>
      </c>
    </row>
    <row r="5265" spans="2:6" x14ac:dyDescent="0.25">
      <c r="B5265" s="13" t="s">
        <v>9086</v>
      </c>
      <c r="C5265" s="17" t="s">
        <v>170</v>
      </c>
      <c r="D5265" s="13" t="s">
        <v>118</v>
      </c>
      <c r="E5265" s="13" t="s">
        <v>9087</v>
      </c>
      <c r="F5265" s="43">
        <v>16.71</v>
      </c>
    </row>
    <row r="5266" spans="2:6" x14ac:dyDescent="0.25">
      <c r="B5266" s="13" t="s">
        <v>9088</v>
      </c>
      <c r="C5266" s="17" t="s">
        <v>170</v>
      </c>
      <c r="D5266" s="13" t="s">
        <v>118</v>
      </c>
      <c r="E5266" s="13" t="s">
        <v>9089</v>
      </c>
      <c r="F5266" s="43">
        <v>16.71</v>
      </c>
    </row>
    <row r="5267" spans="2:6" x14ac:dyDescent="0.25">
      <c r="B5267" s="13" t="s">
        <v>9090</v>
      </c>
      <c r="C5267" s="17" t="s">
        <v>170</v>
      </c>
      <c r="D5267" s="13" t="s">
        <v>118</v>
      </c>
      <c r="E5267" s="13" t="s">
        <v>9091</v>
      </c>
      <c r="F5267" s="43">
        <v>16</v>
      </c>
    </row>
    <row r="5268" spans="2:6" x14ac:dyDescent="0.25">
      <c r="B5268" s="13" t="s">
        <v>9092</v>
      </c>
      <c r="C5268" s="17" t="s">
        <v>170</v>
      </c>
      <c r="D5268" s="13" t="s">
        <v>118</v>
      </c>
      <c r="E5268" s="13" t="s">
        <v>9093</v>
      </c>
      <c r="F5268" s="43">
        <v>16</v>
      </c>
    </row>
    <row r="5269" spans="2:6" x14ac:dyDescent="0.25">
      <c r="B5269" s="13" t="s">
        <v>9094</v>
      </c>
      <c r="C5269" s="17" t="s">
        <v>170</v>
      </c>
      <c r="D5269" s="13" t="s">
        <v>118</v>
      </c>
      <c r="E5269" s="13" t="s">
        <v>9095</v>
      </c>
      <c r="F5269" s="43">
        <v>16</v>
      </c>
    </row>
    <row r="5270" spans="2:6" x14ac:dyDescent="0.25">
      <c r="B5270" s="13" t="s">
        <v>9096</v>
      </c>
      <c r="C5270" s="17" t="s">
        <v>170</v>
      </c>
      <c r="D5270" s="13" t="s">
        <v>118</v>
      </c>
      <c r="E5270" s="13" t="s">
        <v>9097</v>
      </c>
      <c r="F5270" s="43">
        <v>16</v>
      </c>
    </row>
    <row r="5271" spans="2:6" x14ac:dyDescent="0.25">
      <c r="B5271" s="13" t="s">
        <v>9098</v>
      </c>
      <c r="C5271" s="17" t="s">
        <v>170</v>
      </c>
      <c r="D5271" s="13" t="s">
        <v>118</v>
      </c>
      <c r="E5271" s="13" t="s">
        <v>9099</v>
      </c>
      <c r="F5271" s="43">
        <v>16</v>
      </c>
    </row>
    <row r="5272" spans="2:6" x14ac:dyDescent="0.25">
      <c r="B5272" s="13" t="s">
        <v>9100</v>
      </c>
      <c r="C5272" s="17" t="s">
        <v>170</v>
      </c>
      <c r="D5272" s="13" t="s">
        <v>118</v>
      </c>
      <c r="E5272" s="13" t="s">
        <v>9101</v>
      </c>
      <c r="F5272" s="43">
        <v>16</v>
      </c>
    </row>
    <row r="5273" spans="2:6" x14ac:dyDescent="0.25">
      <c r="B5273" s="13" t="s">
        <v>9102</v>
      </c>
      <c r="C5273" s="17" t="s">
        <v>170</v>
      </c>
      <c r="D5273" s="13" t="s">
        <v>118</v>
      </c>
      <c r="E5273" s="13" t="s">
        <v>9103</v>
      </c>
      <c r="F5273" s="43">
        <v>16</v>
      </c>
    </row>
    <row r="5274" spans="2:6" x14ac:dyDescent="0.25">
      <c r="B5274" s="13" t="s">
        <v>9104</v>
      </c>
      <c r="C5274" s="17" t="s">
        <v>170</v>
      </c>
      <c r="D5274" s="13" t="s">
        <v>118</v>
      </c>
      <c r="E5274" s="13" t="s">
        <v>9105</v>
      </c>
      <c r="F5274" s="43">
        <v>16</v>
      </c>
    </row>
    <row r="5275" spans="2:6" x14ac:dyDescent="0.25">
      <c r="B5275" s="13" t="s">
        <v>9106</v>
      </c>
      <c r="C5275" s="17" t="s">
        <v>170</v>
      </c>
      <c r="D5275" s="13" t="s">
        <v>118</v>
      </c>
      <c r="E5275" s="13" t="s">
        <v>9107</v>
      </c>
      <c r="F5275" s="43">
        <v>16.71</v>
      </c>
    </row>
    <row r="5276" spans="2:6" x14ac:dyDescent="0.25">
      <c r="B5276" s="13" t="s">
        <v>9108</v>
      </c>
      <c r="C5276" s="17" t="s">
        <v>170</v>
      </c>
      <c r="D5276" s="13" t="s">
        <v>118</v>
      </c>
      <c r="E5276" s="13" t="s">
        <v>9109</v>
      </c>
      <c r="F5276" s="43">
        <v>16.71</v>
      </c>
    </row>
    <row r="5277" spans="2:6" x14ac:dyDescent="0.25">
      <c r="B5277" s="13" t="s">
        <v>9110</v>
      </c>
      <c r="C5277" s="17" t="s">
        <v>170</v>
      </c>
      <c r="D5277" s="13" t="s">
        <v>118</v>
      </c>
      <c r="E5277" s="13" t="s">
        <v>9111</v>
      </c>
      <c r="F5277" s="43">
        <v>16.71</v>
      </c>
    </row>
    <row r="5278" spans="2:6" x14ac:dyDescent="0.25">
      <c r="B5278" s="13" t="s">
        <v>9112</v>
      </c>
      <c r="C5278" s="17" t="s">
        <v>170</v>
      </c>
      <c r="D5278" s="13" t="s">
        <v>118</v>
      </c>
      <c r="E5278" s="13" t="s">
        <v>9113</v>
      </c>
      <c r="F5278" s="43">
        <v>16.71</v>
      </c>
    </row>
    <row r="5279" spans="2:6" x14ac:dyDescent="0.25">
      <c r="B5279" s="13" t="s">
        <v>9114</v>
      </c>
      <c r="C5279" s="17" t="s">
        <v>170</v>
      </c>
      <c r="D5279" s="13" t="s">
        <v>118</v>
      </c>
      <c r="E5279" s="13" t="s">
        <v>9115</v>
      </c>
      <c r="F5279" s="43">
        <v>16.71</v>
      </c>
    </row>
    <row r="5280" spans="2:6" x14ac:dyDescent="0.25">
      <c r="B5280" s="13" t="s">
        <v>9116</v>
      </c>
      <c r="C5280" s="17" t="s">
        <v>170</v>
      </c>
      <c r="D5280" s="13" t="s">
        <v>118</v>
      </c>
      <c r="E5280" s="13" t="s">
        <v>9117</v>
      </c>
      <c r="F5280" s="43">
        <v>16.71</v>
      </c>
    </row>
    <row r="5281" spans="2:6" x14ac:dyDescent="0.25">
      <c r="B5281" s="13" t="s">
        <v>9118</v>
      </c>
      <c r="C5281" s="17" t="s">
        <v>170</v>
      </c>
      <c r="D5281" s="13" t="s">
        <v>118</v>
      </c>
      <c r="E5281" s="13" t="s">
        <v>9119</v>
      </c>
      <c r="F5281" s="43">
        <v>16.71</v>
      </c>
    </row>
    <row r="5282" spans="2:6" x14ac:dyDescent="0.25">
      <c r="B5282" s="13" t="s">
        <v>9120</v>
      </c>
      <c r="C5282" s="17" t="s">
        <v>170</v>
      </c>
      <c r="D5282" s="13" t="s">
        <v>118</v>
      </c>
      <c r="E5282" s="13" t="s">
        <v>9121</v>
      </c>
      <c r="F5282" s="43">
        <v>16.71</v>
      </c>
    </row>
    <row r="5283" spans="2:6" x14ac:dyDescent="0.25">
      <c r="B5283" s="13" t="s">
        <v>9122</v>
      </c>
      <c r="C5283" s="17" t="s">
        <v>170</v>
      </c>
      <c r="D5283" s="13" t="s">
        <v>118</v>
      </c>
      <c r="E5283" s="13" t="s">
        <v>9123</v>
      </c>
      <c r="F5283" s="43">
        <v>16.71</v>
      </c>
    </row>
    <row r="5284" spans="2:6" x14ac:dyDescent="0.25">
      <c r="B5284" s="13" t="s">
        <v>9124</v>
      </c>
      <c r="C5284" s="17" t="s">
        <v>170</v>
      </c>
      <c r="D5284" s="13" t="s">
        <v>118</v>
      </c>
      <c r="E5284" s="13" t="s">
        <v>9125</v>
      </c>
      <c r="F5284" s="43">
        <v>16.71</v>
      </c>
    </row>
    <row r="5285" spans="2:6" x14ac:dyDescent="0.25">
      <c r="B5285" s="13" t="s">
        <v>9126</v>
      </c>
      <c r="C5285" s="17" t="s">
        <v>170</v>
      </c>
      <c r="D5285" s="13" t="s">
        <v>118</v>
      </c>
      <c r="E5285" s="13" t="s">
        <v>9127</v>
      </c>
      <c r="F5285" s="43">
        <v>18.62</v>
      </c>
    </row>
    <row r="5286" spans="2:6" x14ac:dyDescent="0.25">
      <c r="B5286" s="13" t="s">
        <v>9128</v>
      </c>
      <c r="C5286" s="17" t="s">
        <v>170</v>
      </c>
      <c r="D5286" s="13" t="s">
        <v>118</v>
      </c>
      <c r="E5286" s="13" t="s">
        <v>9129</v>
      </c>
      <c r="F5286" s="43">
        <v>18.62</v>
      </c>
    </row>
    <row r="5287" spans="2:6" x14ac:dyDescent="0.25">
      <c r="B5287" s="13" t="s">
        <v>9130</v>
      </c>
      <c r="C5287" s="17" t="s">
        <v>170</v>
      </c>
      <c r="D5287" s="13" t="s">
        <v>118</v>
      </c>
      <c r="E5287" s="13" t="s">
        <v>9131</v>
      </c>
      <c r="F5287" s="43">
        <v>18.62</v>
      </c>
    </row>
    <row r="5288" spans="2:6" x14ac:dyDescent="0.25">
      <c r="B5288" s="13" t="s">
        <v>9132</v>
      </c>
      <c r="C5288" s="17" t="s">
        <v>170</v>
      </c>
      <c r="D5288" s="13" t="s">
        <v>118</v>
      </c>
      <c r="E5288" s="13" t="s">
        <v>9133</v>
      </c>
      <c r="F5288" s="43">
        <v>18.62</v>
      </c>
    </row>
    <row r="5289" spans="2:6" x14ac:dyDescent="0.25">
      <c r="B5289" s="13" t="s">
        <v>9134</v>
      </c>
      <c r="C5289" s="17" t="s">
        <v>170</v>
      </c>
      <c r="D5289" s="13" t="s">
        <v>118</v>
      </c>
      <c r="E5289" s="13" t="s">
        <v>9135</v>
      </c>
      <c r="F5289" s="43">
        <v>18.62</v>
      </c>
    </row>
    <row r="5290" spans="2:6" x14ac:dyDescent="0.25">
      <c r="B5290" s="13" t="s">
        <v>9136</v>
      </c>
      <c r="C5290" s="17" t="s">
        <v>170</v>
      </c>
      <c r="D5290" s="13" t="s">
        <v>118</v>
      </c>
      <c r="E5290" s="13" t="s">
        <v>9137</v>
      </c>
      <c r="F5290" s="43">
        <v>18.62</v>
      </c>
    </row>
    <row r="5291" spans="2:6" x14ac:dyDescent="0.25">
      <c r="B5291" s="13" t="s">
        <v>9138</v>
      </c>
      <c r="C5291" s="17" t="s">
        <v>170</v>
      </c>
      <c r="D5291" s="13" t="s">
        <v>118</v>
      </c>
      <c r="E5291" s="13" t="s">
        <v>9139</v>
      </c>
      <c r="F5291" s="43">
        <v>18.62</v>
      </c>
    </row>
    <row r="5292" spans="2:6" x14ac:dyDescent="0.25">
      <c r="B5292" s="13" t="s">
        <v>9140</v>
      </c>
      <c r="C5292" s="17" t="s">
        <v>170</v>
      </c>
      <c r="D5292" s="13" t="s">
        <v>118</v>
      </c>
      <c r="E5292" s="13" t="s">
        <v>9141</v>
      </c>
      <c r="F5292" s="43">
        <v>18.62</v>
      </c>
    </row>
    <row r="5293" spans="2:6" x14ac:dyDescent="0.25">
      <c r="B5293" s="13" t="s">
        <v>9142</v>
      </c>
      <c r="C5293" s="17" t="s">
        <v>170</v>
      </c>
      <c r="D5293" s="13" t="s">
        <v>118</v>
      </c>
      <c r="E5293" s="13" t="s">
        <v>9143</v>
      </c>
      <c r="F5293" s="43">
        <v>18.62</v>
      </c>
    </row>
    <row r="5294" spans="2:6" x14ac:dyDescent="0.25">
      <c r="B5294" s="13" t="s">
        <v>9144</v>
      </c>
      <c r="C5294" s="17" t="s">
        <v>170</v>
      </c>
      <c r="D5294" s="13" t="s">
        <v>118</v>
      </c>
      <c r="E5294" s="13" t="s">
        <v>9145</v>
      </c>
      <c r="F5294" s="43">
        <v>18.62</v>
      </c>
    </row>
    <row r="5295" spans="2:6" x14ac:dyDescent="0.25">
      <c r="B5295" s="13" t="s">
        <v>9146</v>
      </c>
      <c r="C5295" s="17" t="s">
        <v>170</v>
      </c>
      <c r="D5295" s="13" t="s">
        <v>118</v>
      </c>
      <c r="E5295" s="13" t="s">
        <v>9147</v>
      </c>
      <c r="F5295" s="43">
        <v>18.62</v>
      </c>
    </row>
    <row r="5296" spans="2:6" x14ac:dyDescent="0.25">
      <c r="B5296" s="13" t="s">
        <v>9148</v>
      </c>
      <c r="C5296" s="17" t="s">
        <v>170</v>
      </c>
      <c r="D5296" s="13" t="s">
        <v>118</v>
      </c>
      <c r="E5296" s="13" t="s">
        <v>9149</v>
      </c>
      <c r="F5296" s="43">
        <v>18.62</v>
      </c>
    </row>
    <row r="5297" spans="2:6" x14ac:dyDescent="0.25">
      <c r="B5297" s="13" t="s">
        <v>9150</v>
      </c>
      <c r="C5297" s="17" t="s">
        <v>170</v>
      </c>
      <c r="D5297" s="13" t="s">
        <v>118</v>
      </c>
      <c r="E5297" s="13" t="s">
        <v>9151</v>
      </c>
      <c r="F5297" s="43">
        <v>18.62</v>
      </c>
    </row>
    <row r="5298" spans="2:6" x14ac:dyDescent="0.25">
      <c r="B5298" s="13" t="s">
        <v>9152</v>
      </c>
      <c r="C5298" s="17" t="s">
        <v>170</v>
      </c>
      <c r="D5298" s="13" t="s">
        <v>118</v>
      </c>
      <c r="E5298" s="13" t="s">
        <v>9153</v>
      </c>
      <c r="F5298" s="43">
        <v>18.62</v>
      </c>
    </row>
    <row r="5299" spans="2:6" x14ac:dyDescent="0.25">
      <c r="B5299" s="13" t="s">
        <v>9154</v>
      </c>
      <c r="C5299" s="17" t="s">
        <v>170</v>
      </c>
      <c r="D5299" s="13" t="s">
        <v>118</v>
      </c>
      <c r="E5299" s="13" t="s">
        <v>9155</v>
      </c>
      <c r="F5299" s="43">
        <v>20.89</v>
      </c>
    </row>
    <row r="5300" spans="2:6" x14ac:dyDescent="0.25">
      <c r="B5300" s="13" t="s">
        <v>9156</v>
      </c>
      <c r="C5300" s="17" t="s">
        <v>170</v>
      </c>
      <c r="D5300" s="13" t="s">
        <v>118</v>
      </c>
      <c r="E5300" s="13" t="s">
        <v>9157</v>
      </c>
      <c r="F5300" s="43">
        <v>20.89</v>
      </c>
    </row>
    <row r="5301" spans="2:6" x14ac:dyDescent="0.25">
      <c r="B5301" s="13" t="s">
        <v>9158</v>
      </c>
      <c r="C5301" s="17" t="s">
        <v>170</v>
      </c>
      <c r="D5301" s="13" t="s">
        <v>118</v>
      </c>
      <c r="E5301" s="13" t="s">
        <v>9159</v>
      </c>
      <c r="F5301" s="43">
        <v>20.89</v>
      </c>
    </row>
    <row r="5302" spans="2:6" x14ac:dyDescent="0.25">
      <c r="B5302" s="13" t="s">
        <v>9160</v>
      </c>
      <c r="C5302" s="17" t="s">
        <v>170</v>
      </c>
      <c r="D5302" s="13" t="s">
        <v>118</v>
      </c>
      <c r="E5302" s="13" t="s">
        <v>9161</v>
      </c>
      <c r="F5302" s="43">
        <v>18.62</v>
      </c>
    </row>
    <row r="5303" spans="2:6" x14ac:dyDescent="0.25">
      <c r="B5303" s="13" t="s">
        <v>9162</v>
      </c>
      <c r="C5303" s="17" t="s">
        <v>170</v>
      </c>
      <c r="D5303" s="13" t="s">
        <v>118</v>
      </c>
      <c r="E5303" s="13" t="s">
        <v>9163</v>
      </c>
      <c r="F5303" s="43">
        <v>18.62</v>
      </c>
    </row>
    <row r="5304" spans="2:6" x14ac:dyDescent="0.25">
      <c r="B5304" s="13" t="s">
        <v>9164</v>
      </c>
      <c r="C5304" s="17" t="s">
        <v>170</v>
      </c>
      <c r="D5304" s="13" t="s">
        <v>118</v>
      </c>
      <c r="E5304" s="13" t="s">
        <v>9165</v>
      </c>
      <c r="F5304" s="43">
        <v>18.62</v>
      </c>
    </row>
    <row r="5305" spans="2:6" x14ac:dyDescent="0.25">
      <c r="B5305" s="13" t="s">
        <v>9166</v>
      </c>
      <c r="C5305" s="17" t="s">
        <v>170</v>
      </c>
      <c r="D5305" s="13" t="s">
        <v>118</v>
      </c>
      <c r="E5305" s="13" t="s">
        <v>9167</v>
      </c>
      <c r="F5305" s="43">
        <v>18.62</v>
      </c>
    </row>
    <row r="5306" spans="2:6" x14ac:dyDescent="0.25">
      <c r="B5306" s="13" t="s">
        <v>9168</v>
      </c>
      <c r="C5306" s="17" t="s">
        <v>170</v>
      </c>
      <c r="D5306" s="13" t="s">
        <v>118</v>
      </c>
      <c r="E5306" s="13" t="s">
        <v>9169</v>
      </c>
      <c r="F5306" s="43">
        <v>18.62</v>
      </c>
    </row>
    <row r="5307" spans="2:6" x14ac:dyDescent="0.25">
      <c r="B5307" s="13" t="s">
        <v>9170</v>
      </c>
      <c r="C5307" s="17" t="s">
        <v>170</v>
      </c>
      <c r="D5307" s="13" t="s">
        <v>118</v>
      </c>
      <c r="E5307" s="13" t="s">
        <v>9171</v>
      </c>
      <c r="F5307" s="43">
        <v>18.62</v>
      </c>
    </row>
    <row r="5308" spans="2:6" x14ac:dyDescent="0.25">
      <c r="B5308" s="13" t="s">
        <v>9172</v>
      </c>
      <c r="C5308" s="17" t="s">
        <v>170</v>
      </c>
      <c r="D5308" s="13" t="s">
        <v>118</v>
      </c>
      <c r="E5308" s="13" t="s">
        <v>9173</v>
      </c>
      <c r="F5308" s="43">
        <v>18.62</v>
      </c>
    </row>
    <row r="5309" spans="2:6" x14ac:dyDescent="0.25">
      <c r="B5309" s="13" t="s">
        <v>9174</v>
      </c>
      <c r="C5309" s="17" t="s">
        <v>170</v>
      </c>
      <c r="D5309" s="13" t="s">
        <v>118</v>
      </c>
      <c r="E5309" s="13" t="s">
        <v>9175</v>
      </c>
      <c r="F5309" s="43">
        <v>18.62</v>
      </c>
    </row>
    <row r="5310" spans="2:6" x14ac:dyDescent="0.25">
      <c r="B5310" s="13" t="s">
        <v>9176</v>
      </c>
      <c r="C5310" s="17" t="s">
        <v>170</v>
      </c>
      <c r="D5310" s="13" t="s">
        <v>118</v>
      </c>
      <c r="E5310" s="13" t="s">
        <v>9177</v>
      </c>
      <c r="F5310" s="43">
        <v>18.62</v>
      </c>
    </row>
    <row r="5311" spans="2:6" x14ac:dyDescent="0.25">
      <c r="B5311" s="13" t="s">
        <v>9178</v>
      </c>
      <c r="C5311" s="17" t="s">
        <v>170</v>
      </c>
      <c r="D5311" s="13" t="s">
        <v>118</v>
      </c>
      <c r="E5311" s="13" t="s">
        <v>9179</v>
      </c>
      <c r="F5311" s="43">
        <v>18.62</v>
      </c>
    </row>
    <row r="5312" spans="2:6" x14ac:dyDescent="0.25">
      <c r="B5312" s="13" t="s">
        <v>9180</v>
      </c>
      <c r="C5312" s="17" t="s">
        <v>170</v>
      </c>
      <c r="D5312" s="13" t="s">
        <v>118</v>
      </c>
      <c r="E5312" s="13" t="s">
        <v>9181</v>
      </c>
      <c r="F5312" s="43">
        <v>35.21</v>
      </c>
    </row>
    <row r="5313" spans="2:6" x14ac:dyDescent="0.25">
      <c r="B5313" s="13" t="s">
        <v>9182</v>
      </c>
      <c r="C5313" s="17" t="s">
        <v>170</v>
      </c>
      <c r="D5313" s="13" t="s">
        <v>118</v>
      </c>
      <c r="E5313" s="13" t="s">
        <v>9183</v>
      </c>
      <c r="F5313" s="43">
        <v>35.21</v>
      </c>
    </row>
    <row r="5314" spans="2:6" x14ac:dyDescent="0.25">
      <c r="B5314" s="13" t="s">
        <v>9184</v>
      </c>
      <c r="C5314" s="17" t="s">
        <v>170</v>
      </c>
      <c r="D5314" s="13" t="s">
        <v>118</v>
      </c>
      <c r="E5314" s="13" t="s">
        <v>9185</v>
      </c>
      <c r="F5314" s="43">
        <v>35.21</v>
      </c>
    </row>
    <row r="5315" spans="2:6" x14ac:dyDescent="0.25">
      <c r="B5315" s="13" t="s">
        <v>9186</v>
      </c>
      <c r="C5315" s="17" t="s">
        <v>170</v>
      </c>
      <c r="D5315" s="13" t="s">
        <v>118</v>
      </c>
      <c r="E5315" s="13" t="s">
        <v>9187</v>
      </c>
      <c r="F5315" s="43">
        <v>35.21</v>
      </c>
    </row>
    <row r="5316" spans="2:6" x14ac:dyDescent="0.25">
      <c r="B5316" s="13" t="s">
        <v>9188</v>
      </c>
      <c r="C5316" s="17" t="s">
        <v>170</v>
      </c>
      <c r="D5316" s="13" t="s">
        <v>118</v>
      </c>
      <c r="E5316" s="13" t="s">
        <v>9189</v>
      </c>
      <c r="F5316" s="43">
        <v>35.21</v>
      </c>
    </row>
    <row r="5317" spans="2:6" x14ac:dyDescent="0.25">
      <c r="B5317" s="13" t="s">
        <v>9190</v>
      </c>
      <c r="C5317" s="17" t="s">
        <v>170</v>
      </c>
      <c r="D5317" s="13" t="s">
        <v>118</v>
      </c>
      <c r="E5317" s="13" t="s">
        <v>9191</v>
      </c>
      <c r="F5317" s="43">
        <v>35.21</v>
      </c>
    </row>
    <row r="5318" spans="2:6" x14ac:dyDescent="0.25">
      <c r="B5318" s="13" t="s">
        <v>9192</v>
      </c>
      <c r="C5318" s="17" t="s">
        <v>170</v>
      </c>
      <c r="D5318" s="13" t="s">
        <v>118</v>
      </c>
      <c r="E5318" s="13" t="s">
        <v>9193</v>
      </c>
      <c r="F5318" s="43">
        <v>35.21</v>
      </c>
    </row>
    <row r="5319" spans="2:6" x14ac:dyDescent="0.25">
      <c r="B5319" s="13" t="s">
        <v>9194</v>
      </c>
      <c r="C5319" s="17" t="s">
        <v>170</v>
      </c>
      <c r="D5319" s="13" t="s">
        <v>118</v>
      </c>
      <c r="E5319" s="13" t="s">
        <v>9195</v>
      </c>
      <c r="F5319" s="43">
        <v>35.21</v>
      </c>
    </row>
    <row r="5320" spans="2:6" x14ac:dyDescent="0.25">
      <c r="B5320" s="13" t="s">
        <v>9196</v>
      </c>
      <c r="C5320" s="17" t="s">
        <v>170</v>
      </c>
      <c r="D5320" s="13" t="s">
        <v>118</v>
      </c>
      <c r="E5320" s="13" t="s">
        <v>9197</v>
      </c>
      <c r="F5320" s="43">
        <v>35.21</v>
      </c>
    </row>
    <row r="5321" spans="2:6" x14ac:dyDescent="0.25">
      <c r="B5321" s="13" t="s">
        <v>9198</v>
      </c>
      <c r="C5321" s="17" t="s">
        <v>170</v>
      </c>
      <c r="D5321" s="13" t="s">
        <v>118</v>
      </c>
      <c r="E5321" s="13" t="s">
        <v>9199</v>
      </c>
      <c r="F5321" s="43">
        <v>45.95</v>
      </c>
    </row>
    <row r="5322" spans="2:6" x14ac:dyDescent="0.25">
      <c r="B5322" s="13" t="s">
        <v>9200</v>
      </c>
      <c r="C5322" s="17" t="s">
        <v>170</v>
      </c>
      <c r="D5322" s="13" t="s">
        <v>118</v>
      </c>
      <c r="E5322" s="13" t="s">
        <v>9201</v>
      </c>
      <c r="F5322" s="43">
        <v>45.95</v>
      </c>
    </row>
    <row r="5323" spans="2:6" x14ac:dyDescent="0.25">
      <c r="B5323" s="13" t="s">
        <v>9202</v>
      </c>
      <c r="C5323" s="17" t="s">
        <v>170</v>
      </c>
      <c r="D5323" s="13" t="s">
        <v>118</v>
      </c>
      <c r="E5323" s="13" t="s">
        <v>9203</v>
      </c>
      <c r="F5323" s="43">
        <v>45.95</v>
      </c>
    </row>
    <row r="5324" spans="2:6" x14ac:dyDescent="0.25">
      <c r="B5324" s="13" t="s">
        <v>9204</v>
      </c>
      <c r="C5324" s="17" t="s">
        <v>170</v>
      </c>
      <c r="D5324" s="13" t="s">
        <v>118</v>
      </c>
      <c r="E5324" s="13" t="s">
        <v>9205</v>
      </c>
      <c r="F5324" s="43">
        <v>45.95</v>
      </c>
    </row>
    <row r="5325" spans="2:6" x14ac:dyDescent="0.25">
      <c r="B5325" s="13" t="s">
        <v>9206</v>
      </c>
      <c r="C5325" s="17" t="s">
        <v>170</v>
      </c>
      <c r="D5325" s="13" t="s">
        <v>118</v>
      </c>
      <c r="E5325" s="13" t="s">
        <v>9207</v>
      </c>
      <c r="F5325" s="43">
        <v>45.95</v>
      </c>
    </row>
    <row r="5326" spans="2:6" x14ac:dyDescent="0.25">
      <c r="B5326" s="13" t="s">
        <v>9208</v>
      </c>
      <c r="C5326" s="17" t="s">
        <v>170</v>
      </c>
      <c r="D5326" s="13" t="s">
        <v>118</v>
      </c>
      <c r="E5326" s="13" t="s">
        <v>9209</v>
      </c>
      <c r="F5326" s="43">
        <v>45.95</v>
      </c>
    </row>
    <row r="5327" spans="2:6" x14ac:dyDescent="0.25">
      <c r="B5327" s="13" t="s">
        <v>9210</v>
      </c>
      <c r="C5327" s="17" t="s">
        <v>170</v>
      </c>
      <c r="D5327" s="13" t="s">
        <v>118</v>
      </c>
      <c r="E5327" s="13" t="s">
        <v>9211</v>
      </c>
      <c r="F5327" s="43">
        <v>45.95</v>
      </c>
    </row>
    <row r="5328" spans="2:6" x14ac:dyDescent="0.25">
      <c r="B5328" s="13" t="s">
        <v>9212</v>
      </c>
      <c r="C5328" s="17" t="s">
        <v>170</v>
      </c>
      <c r="D5328" s="13" t="s">
        <v>118</v>
      </c>
      <c r="E5328" s="13" t="s">
        <v>9213</v>
      </c>
      <c r="F5328" s="43">
        <v>45.95</v>
      </c>
    </row>
    <row r="5329" spans="2:6" x14ac:dyDescent="0.25">
      <c r="B5329" s="13" t="s">
        <v>9214</v>
      </c>
      <c r="C5329" s="17" t="s">
        <v>170</v>
      </c>
      <c r="D5329" s="13" t="s">
        <v>118</v>
      </c>
      <c r="E5329" s="13" t="s">
        <v>9215</v>
      </c>
      <c r="F5329" s="43">
        <v>45.95</v>
      </c>
    </row>
    <row r="5330" spans="2:6" x14ac:dyDescent="0.25">
      <c r="B5330" s="13" t="s">
        <v>9216</v>
      </c>
      <c r="C5330" s="17" t="s">
        <v>170</v>
      </c>
      <c r="D5330" s="13" t="s">
        <v>118</v>
      </c>
      <c r="E5330" s="13" t="s">
        <v>9217</v>
      </c>
      <c r="F5330" s="43">
        <v>24.1</v>
      </c>
    </row>
    <row r="5331" spans="2:6" x14ac:dyDescent="0.25">
      <c r="B5331" s="13" t="s">
        <v>9218</v>
      </c>
      <c r="C5331" s="17" t="s">
        <v>170</v>
      </c>
      <c r="D5331" s="13" t="s">
        <v>118</v>
      </c>
      <c r="E5331" s="13" t="s">
        <v>9219</v>
      </c>
      <c r="F5331" s="43">
        <v>24.1</v>
      </c>
    </row>
    <row r="5332" spans="2:6" x14ac:dyDescent="0.25">
      <c r="B5332" s="13" t="s">
        <v>9220</v>
      </c>
      <c r="C5332" s="17" t="s">
        <v>170</v>
      </c>
      <c r="D5332" s="13" t="s">
        <v>118</v>
      </c>
      <c r="E5332" s="13" t="s">
        <v>9221</v>
      </c>
      <c r="F5332" s="43">
        <v>24.1</v>
      </c>
    </row>
    <row r="5333" spans="2:6" x14ac:dyDescent="0.25">
      <c r="B5333" s="13" t="s">
        <v>9222</v>
      </c>
      <c r="C5333" s="17" t="s">
        <v>170</v>
      </c>
      <c r="D5333" s="13" t="s">
        <v>118</v>
      </c>
      <c r="E5333" s="13" t="s">
        <v>9223</v>
      </c>
      <c r="F5333" s="43">
        <v>24.1</v>
      </c>
    </row>
    <row r="5334" spans="2:6" x14ac:dyDescent="0.25">
      <c r="B5334" s="13" t="s">
        <v>9224</v>
      </c>
      <c r="C5334" s="17" t="s">
        <v>170</v>
      </c>
      <c r="D5334" s="13" t="s">
        <v>118</v>
      </c>
      <c r="E5334" s="13" t="s">
        <v>9225</v>
      </c>
      <c r="F5334" s="43">
        <v>24.1</v>
      </c>
    </row>
    <row r="5335" spans="2:6" x14ac:dyDescent="0.25">
      <c r="B5335" s="13" t="s">
        <v>9226</v>
      </c>
      <c r="C5335" s="17" t="s">
        <v>170</v>
      </c>
      <c r="D5335" s="13" t="s">
        <v>118</v>
      </c>
      <c r="E5335" s="13" t="s">
        <v>9227</v>
      </c>
      <c r="F5335" s="43">
        <v>24.1</v>
      </c>
    </row>
    <row r="5336" spans="2:6" x14ac:dyDescent="0.25">
      <c r="B5336" s="13" t="s">
        <v>9228</v>
      </c>
      <c r="C5336" s="17" t="s">
        <v>170</v>
      </c>
      <c r="D5336" s="13" t="s">
        <v>118</v>
      </c>
      <c r="E5336" s="13" t="s">
        <v>9229</v>
      </c>
      <c r="F5336" s="43">
        <v>24.1</v>
      </c>
    </row>
    <row r="5337" spans="2:6" x14ac:dyDescent="0.25">
      <c r="B5337" s="13" t="s">
        <v>9230</v>
      </c>
      <c r="C5337" s="17" t="s">
        <v>170</v>
      </c>
      <c r="D5337" s="13" t="s">
        <v>118</v>
      </c>
      <c r="E5337" s="13" t="s">
        <v>9231</v>
      </c>
      <c r="F5337" s="43">
        <v>24.1</v>
      </c>
    </row>
    <row r="5338" spans="2:6" x14ac:dyDescent="0.25">
      <c r="B5338" s="13" t="s">
        <v>9232</v>
      </c>
      <c r="C5338" s="17" t="s">
        <v>170</v>
      </c>
      <c r="D5338" s="13" t="s">
        <v>118</v>
      </c>
      <c r="E5338" s="13" t="s">
        <v>9233</v>
      </c>
      <c r="F5338" s="43">
        <v>24.1</v>
      </c>
    </row>
    <row r="5339" spans="2:6" x14ac:dyDescent="0.25">
      <c r="B5339" s="13" t="s">
        <v>9234</v>
      </c>
      <c r="C5339" s="17" t="s">
        <v>170</v>
      </c>
      <c r="D5339" s="13" t="s">
        <v>118</v>
      </c>
      <c r="E5339" s="13" t="s">
        <v>9235</v>
      </c>
      <c r="F5339" s="43">
        <v>24.1</v>
      </c>
    </row>
    <row r="5340" spans="2:6" x14ac:dyDescent="0.25">
      <c r="B5340" s="13" t="s">
        <v>9236</v>
      </c>
      <c r="C5340" s="17" t="s">
        <v>170</v>
      </c>
      <c r="D5340" s="13" t="s">
        <v>118</v>
      </c>
      <c r="E5340" s="13" t="s">
        <v>9237</v>
      </c>
      <c r="F5340" s="43">
        <v>24.1</v>
      </c>
    </row>
    <row r="5341" spans="2:6" x14ac:dyDescent="0.25">
      <c r="B5341" s="13" t="s">
        <v>9238</v>
      </c>
      <c r="C5341" s="17" t="s">
        <v>170</v>
      </c>
      <c r="D5341" s="13" t="s">
        <v>118</v>
      </c>
      <c r="E5341" s="13" t="s">
        <v>9239</v>
      </c>
      <c r="F5341" s="43">
        <v>24.1</v>
      </c>
    </row>
    <row r="5342" spans="2:6" x14ac:dyDescent="0.25">
      <c r="B5342" s="13" t="s">
        <v>9240</v>
      </c>
      <c r="C5342" s="17" t="s">
        <v>170</v>
      </c>
      <c r="D5342" s="13" t="s">
        <v>118</v>
      </c>
      <c r="E5342" s="13" t="s">
        <v>9241</v>
      </c>
      <c r="F5342" s="43">
        <v>24.1</v>
      </c>
    </row>
    <row r="5343" spans="2:6" x14ac:dyDescent="0.25">
      <c r="B5343" s="13" t="s">
        <v>9242</v>
      </c>
      <c r="C5343" s="17" t="s">
        <v>170</v>
      </c>
      <c r="D5343" s="13" t="s">
        <v>118</v>
      </c>
      <c r="E5343" s="13" t="s">
        <v>9243</v>
      </c>
      <c r="F5343" s="43">
        <v>24.1</v>
      </c>
    </row>
    <row r="5344" spans="2:6" x14ac:dyDescent="0.25">
      <c r="B5344" s="13" t="s">
        <v>9244</v>
      </c>
      <c r="C5344" s="17" t="s">
        <v>170</v>
      </c>
      <c r="D5344" s="13" t="s">
        <v>118</v>
      </c>
      <c r="E5344" s="13" t="s">
        <v>9245</v>
      </c>
      <c r="F5344" s="43">
        <v>24.1</v>
      </c>
    </row>
    <row r="5345" spans="2:6" x14ac:dyDescent="0.25">
      <c r="B5345" s="13" t="s">
        <v>9246</v>
      </c>
      <c r="C5345" s="17" t="s">
        <v>170</v>
      </c>
      <c r="D5345" s="13" t="s">
        <v>118</v>
      </c>
      <c r="E5345" s="13" t="s">
        <v>9247</v>
      </c>
      <c r="F5345" s="43">
        <v>24.1</v>
      </c>
    </row>
    <row r="5346" spans="2:6" x14ac:dyDescent="0.25">
      <c r="B5346" s="13" t="s">
        <v>9248</v>
      </c>
      <c r="C5346" s="17" t="s">
        <v>170</v>
      </c>
      <c r="D5346" s="13" t="s">
        <v>118</v>
      </c>
      <c r="E5346" s="13" t="s">
        <v>9249</v>
      </c>
      <c r="F5346" s="43">
        <v>24.1</v>
      </c>
    </row>
    <row r="5347" spans="2:6" x14ac:dyDescent="0.25">
      <c r="B5347" s="13" t="s">
        <v>9250</v>
      </c>
      <c r="C5347" s="17" t="s">
        <v>170</v>
      </c>
      <c r="D5347" s="13" t="s">
        <v>118</v>
      </c>
      <c r="E5347" s="13" t="s">
        <v>9251</v>
      </c>
      <c r="F5347" s="43">
        <v>24.79</v>
      </c>
    </row>
    <row r="5348" spans="2:6" x14ac:dyDescent="0.25">
      <c r="B5348" s="13" t="s">
        <v>9252</v>
      </c>
      <c r="C5348" s="17" t="s">
        <v>170</v>
      </c>
      <c r="D5348" s="13" t="s">
        <v>118</v>
      </c>
      <c r="E5348" s="13" t="s">
        <v>9253</v>
      </c>
      <c r="F5348" s="43">
        <v>24.79</v>
      </c>
    </row>
    <row r="5349" spans="2:6" x14ac:dyDescent="0.25">
      <c r="B5349" s="13" t="s">
        <v>9254</v>
      </c>
      <c r="C5349" s="17" t="s">
        <v>170</v>
      </c>
      <c r="D5349" s="13" t="s">
        <v>118</v>
      </c>
      <c r="E5349" s="13" t="s">
        <v>9255</v>
      </c>
      <c r="F5349" s="43">
        <v>24.79</v>
      </c>
    </row>
    <row r="5350" spans="2:6" x14ac:dyDescent="0.25">
      <c r="B5350" s="13" t="s">
        <v>9256</v>
      </c>
      <c r="C5350" s="17" t="s">
        <v>170</v>
      </c>
      <c r="D5350" s="13" t="s">
        <v>118</v>
      </c>
      <c r="E5350" s="13" t="s">
        <v>9257</v>
      </c>
      <c r="F5350" s="43">
        <v>24.79</v>
      </c>
    </row>
    <row r="5351" spans="2:6" x14ac:dyDescent="0.25">
      <c r="B5351" s="13" t="s">
        <v>9258</v>
      </c>
      <c r="C5351" s="17" t="s">
        <v>170</v>
      </c>
      <c r="D5351" s="13" t="s">
        <v>118</v>
      </c>
      <c r="E5351" s="13" t="s">
        <v>9259</v>
      </c>
      <c r="F5351" s="43">
        <v>24.79</v>
      </c>
    </row>
    <row r="5352" spans="2:6" x14ac:dyDescent="0.25">
      <c r="B5352" s="13" t="s">
        <v>9260</v>
      </c>
      <c r="C5352" s="17" t="s">
        <v>170</v>
      </c>
      <c r="D5352" s="13" t="s">
        <v>118</v>
      </c>
      <c r="E5352" s="13" t="s">
        <v>9261</v>
      </c>
      <c r="F5352" s="43">
        <v>24.79</v>
      </c>
    </row>
    <row r="5353" spans="2:6" x14ac:dyDescent="0.25">
      <c r="B5353" s="13" t="s">
        <v>9262</v>
      </c>
      <c r="C5353" s="17" t="s">
        <v>170</v>
      </c>
      <c r="D5353" s="13" t="s">
        <v>118</v>
      </c>
      <c r="E5353" s="13" t="s">
        <v>9263</v>
      </c>
      <c r="F5353" s="43">
        <v>26.63</v>
      </c>
    </row>
    <row r="5354" spans="2:6" x14ac:dyDescent="0.25">
      <c r="B5354" s="13" t="s">
        <v>9264</v>
      </c>
      <c r="C5354" s="17" t="s">
        <v>170</v>
      </c>
      <c r="D5354" s="13" t="s">
        <v>118</v>
      </c>
      <c r="E5354" s="13" t="s">
        <v>9265</v>
      </c>
      <c r="F5354" s="43">
        <v>26.63</v>
      </c>
    </row>
    <row r="5355" spans="2:6" x14ac:dyDescent="0.25">
      <c r="B5355" s="13" t="s">
        <v>9266</v>
      </c>
      <c r="C5355" s="17" t="s">
        <v>170</v>
      </c>
      <c r="D5355" s="13" t="s">
        <v>118</v>
      </c>
      <c r="E5355" s="13" t="s">
        <v>9267</v>
      </c>
      <c r="F5355" s="43">
        <v>26.63</v>
      </c>
    </row>
    <row r="5356" spans="2:6" x14ac:dyDescent="0.25">
      <c r="B5356" s="13" t="s">
        <v>9268</v>
      </c>
      <c r="C5356" s="17" t="s">
        <v>170</v>
      </c>
      <c r="D5356" s="13" t="s">
        <v>118</v>
      </c>
      <c r="E5356" s="13" t="s">
        <v>9269</v>
      </c>
      <c r="F5356" s="43">
        <v>26.63</v>
      </c>
    </row>
    <row r="5357" spans="2:6" x14ac:dyDescent="0.25">
      <c r="B5357" s="13" t="s">
        <v>9270</v>
      </c>
      <c r="C5357" s="17" t="s">
        <v>170</v>
      </c>
      <c r="D5357" s="13" t="s">
        <v>118</v>
      </c>
      <c r="E5357" s="13" t="s">
        <v>9271</v>
      </c>
      <c r="F5357" s="43">
        <v>26.63</v>
      </c>
    </row>
    <row r="5358" spans="2:6" x14ac:dyDescent="0.25">
      <c r="B5358" s="13" t="s">
        <v>9272</v>
      </c>
      <c r="C5358" s="17" t="s">
        <v>170</v>
      </c>
      <c r="D5358" s="13" t="s">
        <v>118</v>
      </c>
      <c r="E5358" s="13" t="s">
        <v>9273</v>
      </c>
      <c r="F5358" s="43">
        <v>26.63</v>
      </c>
    </row>
    <row r="5359" spans="2:6" x14ac:dyDescent="0.25">
      <c r="B5359" s="13" t="s">
        <v>9274</v>
      </c>
      <c r="C5359" s="17" t="s">
        <v>170</v>
      </c>
      <c r="D5359" s="13" t="s">
        <v>118</v>
      </c>
      <c r="E5359" s="13" t="s">
        <v>9275</v>
      </c>
      <c r="F5359" s="43">
        <v>26.63</v>
      </c>
    </row>
    <row r="5360" spans="2:6" x14ac:dyDescent="0.25">
      <c r="B5360" s="13" t="s">
        <v>9276</v>
      </c>
      <c r="C5360" s="17" t="s">
        <v>170</v>
      </c>
      <c r="D5360" s="13" t="s">
        <v>118</v>
      </c>
      <c r="E5360" s="13" t="s">
        <v>9277</v>
      </c>
      <c r="F5360" s="43">
        <v>26.63</v>
      </c>
    </row>
    <row r="5361" spans="2:6" x14ac:dyDescent="0.25">
      <c r="B5361" s="13" t="s">
        <v>9278</v>
      </c>
      <c r="C5361" s="17" t="s">
        <v>170</v>
      </c>
      <c r="D5361" s="13" t="s">
        <v>118</v>
      </c>
      <c r="E5361" s="13" t="s">
        <v>9279</v>
      </c>
      <c r="F5361" s="43">
        <v>26.63</v>
      </c>
    </row>
    <row r="5362" spans="2:6" x14ac:dyDescent="0.25">
      <c r="B5362" s="13" t="s">
        <v>9280</v>
      </c>
      <c r="C5362" s="17" t="s">
        <v>170</v>
      </c>
      <c r="D5362" s="13" t="s">
        <v>118</v>
      </c>
      <c r="E5362" s="13" t="s">
        <v>9281</v>
      </c>
      <c r="F5362" s="43">
        <v>26.63</v>
      </c>
    </row>
    <row r="5363" spans="2:6" x14ac:dyDescent="0.25">
      <c r="B5363" s="13" t="s">
        <v>9282</v>
      </c>
      <c r="C5363" s="17" t="s">
        <v>170</v>
      </c>
      <c r="D5363" s="13" t="s">
        <v>118</v>
      </c>
      <c r="E5363" s="13" t="s">
        <v>9283</v>
      </c>
      <c r="F5363" s="43">
        <v>26.63</v>
      </c>
    </row>
    <row r="5364" spans="2:6" x14ac:dyDescent="0.25">
      <c r="B5364" s="13" t="s">
        <v>9284</v>
      </c>
      <c r="C5364" s="17" t="s">
        <v>170</v>
      </c>
      <c r="D5364" s="13" t="s">
        <v>118</v>
      </c>
      <c r="E5364" s="13" t="s">
        <v>9285</v>
      </c>
      <c r="F5364" s="43">
        <v>26.63</v>
      </c>
    </row>
    <row r="5365" spans="2:6" x14ac:dyDescent="0.25">
      <c r="B5365" s="13" t="s">
        <v>9286</v>
      </c>
      <c r="C5365" s="17" t="s">
        <v>170</v>
      </c>
      <c r="D5365" s="13" t="s">
        <v>118</v>
      </c>
      <c r="E5365" s="13" t="s">
        <v>9287</v>
      </c>
      <c r="F5365" s="43">
        <v>26.63</v>
      </c>
    </row>
    <row r="5366" spans="2:6" x14ac:dyDescent="0.25">
      <c r="B5366" s="13" t="s">
        <v>9288</v>
      </c>
      <c r="C5366" s="17" t="s">
        <v>170</v>
      </c>
      <c r="D5366" s="13" t="s">
        <v>118</v>
      </c>
      <c r="E5366" s="13" t="s">
        <v>9289</v>
      </c>
      <c r="F5366" s="43">
        <v>26.63</v>
      </c>
    </row>
    <row r="5367" spans="2:6" x14ac:dyDescent="0.25">
      <c r="B5367" s="13" t="s">
        <v>9290</v>
      </c>
      <c r="C5367" s="17" t="s">
        <v>170</v>
      </c>
      <c r="D5367" s="13" t="s">
        <v>118</v>
      </c>
      <c r="E5367" s="13" t="s">
        <v>9291</v>
      </c>
      <c r="F5367" s="43">
        <v>27.7</v>
      </c>
    </row>
    <row r="5368" spans="2:6" x14ac:dyDescent="0.25">
      <c r="B5368" s="13" t="s">
        <v>9292</v>
      </c>
      <c r="C5368" s="17" t="s">
        <v>170</v>
      </c>
      <c r="D5368" s="13" t="s">
        <v>118</v>
      </c>
      <c r="E5368" s="13" t="s">
        <v>9293</v>
      </c>
      <c r="F5368" s="43">
        <v>27.7</v>
      </c>
    </row>
    <row r="5369" spans="2:6" x14ac:dyDescent="0.25">
      <c r="B5369" s="13" t="s">
        <v>9294</v>
      </c>
      <c r="C5369" s="17" t="s">
        <v>170</v>
      </c>
      <c r="D5369" s="13" t="s">
        <v>118</v>
      </c>
      <c r="E5369" s="13" t="s">
        <v>9295</v>
      </c>
      <c r="F5369" s="43">
        <v>27.7</v>
      </c>
    </row>
    <row r="5370" spans="2:6" x14ac:dyDescent="0.25">
      <c r="B5370" s="13" t="s">
        <v>9296</v>
      </c>
      <c r="C5370" s="17" t="s">
        <v>170</v>
      </c>
      <c r="D5370" s="13" t="s">
        <v>118</v>
      </c>
      <c r="E5370" s="13" t="s">
        <v>9297</v>
      </c>
      <c r="F5370" s="43">
        <v>27.7</v>
      </c>
    </row>
    <row r="5371" spans="2:6" x14ac:dyDescent="0.25">
      <c r="B5371" s="13" t="s">
        <v>9298</v>
      </c>
      <c r="C5371" s="17" t="s">
        <v>170</v>
      </c>
      <c r="D5371" s="13" t="s">
        <v>118</v>
      </c>
      <c r="E5371" s="13" t="s">
        <v>9299</v>
      </c>
      <c r="F5371" s="43">
        <v>27.7</v>
      </c>
    </row>
    <row r="5372" spans="2:6" x14ac:dyDescent="0.25">
      <c r="B5372" s="13" t="s">
        <v>9300</v>
      </c>
      <c r="C5372" s="17" t="s">
        <v>170</v>
      </c>
      <c r="D5372" s="13" t="s">
        <v>118</v>
      </c>
      <c r="E5372" s="13" t="s">
        <v>9301</v>
      </c>
      <c r="F5372" s="43">
        <v>27.2</v>
      </c>
    </row>
    <row r="5373" spans="2:6" x14ac:dyDescent="0.25">
      <c r="B5373" s="13" t="s">
        <v>9302</v>
      </c>
      <c r="C5373" s="17" t="s">
        <v>170</v>
      </c>
      <c r="D5373" s="13" t="s">
        <v>118</v>
      </c>
      <c r="E5373" s="13" t="s">
        <v>9303</v>
      </c>
      <c r="F5373" s="43">
        <v>27.7</v>
      </c>
    </row>
    <row r="5374" spans="2:6" x14ac:dyDescent="0.25">
      <c r="B5374" s="13" t="s">
        <v>9304</v>
      </c>
      <c r="C5374" s="17" t="s">
        <v>170</v>
      </c>
      <c r="D5374" s="13" t="s">
        <v>118</v>
      </c>
      <c r="E5374" s="13" t="s">
        <v>9305</v>
      </c>
      <c r="F5374" s="43">
        <v>27.7</v>
      </c>
    </row>
    <row r="5375" spans="2:6" x14ac:dyDescent="0.25">
      <c r="B5375" s="13" t="s">
        <v>9306</v>
      </c>
      <c r="C5375" s="17" t="s">
        <v>170</v>
      </c>
      <c r="D5375" s="13" t="s">
        <v>118</v>
      </c>
      <c r="E5375" s="13" t="s">
        <v>9307</v>
      </c>
      <c r="F5375" s="43">
        <v>27.7</v>
      </c>
    </row>
    <row r="5376" spans="2:6" x14ac:dyDescent="0.25">
      <c r="B5376" s="13" t="s">
        <v>9308</v>
      </c>
      <c r="C5376" s="17" t="s">
        <v>170</v>
      </c>
      <c r="D5376" s="13" t="s">
        <v>118</v>
      </c>
      <c r="E5376" s="13" t="s">
        <v>9309</v>
      </c>
      <c r="F5376" s="43">
        <v>39.630000000000003</v>
      </c>
    </row>
    <row r="5377" spans="2:6" x14ac:dyDescent="0.25">
      <c r="B5377" s="13" t="s">
        <v>9310</v>
      </c>
      <c r="C5377" s="17" t="s">
        <v>170</v>
      </c>
      <c r="D5377" s="13" t="s">
        <v>118</v>
      </c>
      <c r="E5377" s="13" t="s">
        <v>9311</v>
      </c>
      <c r="F5377" s="43">
        <v>39.630000000000003</v>
      </c>
    </row>
    <row r="5378" spans="2:6" x14ac:dyDescent="0.25">
      <c r="B5378" s="13" t="s">
        <v>9312</v>
      </c>
      <c r="C5378" s="17" t="s">
        <v>170</v>
      </c>
      <c r="D5378" s="13" t="s">
        <v>118</v>
      </c>
      <c r="E5378" s="13" t="s">
        <v>9313</v>
      </c>
      <c r="F5378" s="43">
        <v>39.630000000000003</v>
      </c>
    </row>
    <row r="5379" spans="2:6" x14ac:dyDescent="0.25">
      <c r="B5379" s="13" t="s">
        <v>9314</v>
      </c>
      <c r="C5379" s="17" t="s">
        <v>170</v>
      </c>
      <c r="D5379" s="13" t="s">
        <v>118</v>
      </c>
      <c r="E5379" s="13" t="s">
        <v>9315</v>
      </c>
      <c r="F5379" s="43">
        <v>39.630000000000003</v>
      </c>
    </row>
    <row r="5380" spans="2:6" x14ac:dyDescent="0.25">
      <c r="B5380" s="13" t="s">
        <v>9316</v>
      </c>
      <c r="C5380" s="17" t="s">
        <v>170</v>
      </c>
      <c r="D5380" s="13" t="s">
        <v>118</v>
      </c>
      <c r="E5380" s="13" t="s">
        <v>9317</v>
      </c>
      <c r="F5380" s="43">
        <v>39.630000000000003</v>
      </c>
    </row>
    <row r="5381" spans="2:6" x14ac:dyDescent="0.25">
      <c r="B5381" s="13" t="s">
        <v>9318</v>
      </c>
      <c r="C5381" s="17" t="s">
        <v>170</v>
      </c>
      <c r="D5381" s="13" t="s">
        <v>118</v>
      </c>
      <c r="E5381" s="13" t="s">
        <v>9319</v>
      </c>
      <c r="F5381" s="43">
        <v>39.630000000000003</v>
      </c>
    </row>
    <row r="5382" spans="2:6" x14ac:dyDescent="0.25">
      <c r="B5382" s="13" t="s">
        <v>9320</v>
      </c>
      <c r="C5382" s="17" t="s">
        <v>170</v>
      </c>
      <c r="D5382" s="13" t="s">
        <v>118</v>
      </c>
      <c r="E5382" s="13" t="s">
        <v>9321</v>
      </c>
      <c r="F5382" s="43">
        <v>39.630000000000003</v>
      </c>
    </row>
    <row r="5383" spans="2:6" x14ac:dyDescent="0.25">
      <c r="B5383" s="13" t="s">
        <v>9322</v>
      </c>
      <c r="C5383" s="17" t="s">
        <v>170</v>
      </c>
      <c r="D5383" s="13" t="s">
        <v>118</v>
      </c>
      <c r="E5383" s="13" t="s">
        <v>9323</v>
      </c>
      <c r="F5383" s="43">
        <v>39.630000000000003</v>
      </c>
    </row>
    <row r="5384" spans="2:6" x14ac:dyDescent="0.25">
      <c r="B5384" s="13" t="s">
        <v>9324</v>
      </c>
      <c r="C5384" s="17" t="s">
        <v>170</v>
      </c>
      <c r="D5384" s="13" t="s">
        <v>118</v>
      </c>
      <c r="E5384" s="13" t="s">
        <v>9325</v>
      </c>
      <c r="F5384" s="43">
        <v>39.630000000000003</v>
      </c>
    </row>
    <row r="5385" spans="2:6" x14ac:dyDescent="0.25">
      <c r="B5385" s="13" t="s">
        <v>9326</v>
      </c>
      <c r="C5385" s="17" t="s">
        <v>170</v>
      </c>
      <c r="D5385" s="13" t="s">
        <v>118</v>
      </c>
      <c r="E5385" s="13" t="s">
        <v>9327</v>
      </c>
      <c r="F5385" s="43">
        <v>39.630000000000003</v>
      </c>
    </row>
    <row r="5386" spans="2:6" x14ac:dyDescent="0.25">
      <c r="B5386" s="13" t="s">
        <v>9328</v>
      </c>
      <c r="C5386" s="17" t="s">
        <v>170</v>
      </c>
      <c r="D5386" s="13" t="s">
        <v>118</v>
      </c>
      <c r="E5386" s="13" t="s">
        <v>9329</v>
      </c>
      <c r="F5386" s="43">
        <v>41.01</v>
      </c>
    </row>
    <row r="5387" spans="2:6" x14ac:dyDescent="0.25">
      <c r="B5387" s="13" t="s">
        <v>9330</v>
      </c>
      <c r="C5387" s="17" t="s">
        <v>170</v>
      </c>
      <c r="D5387" s="13" t="s">
        <v>118</v>
      </c>
      <c r="E5387" s="13" t="s">
        <v>9331</v>
      </c>
      <c r="F5387" s="43">
        <v>41.01</v>
      </c>
    </row>
    <row r="5388" spans="2:6" x14ac:dyDescent="0.25">
      <c r="B5388" s="13" t="s">
        <v>9332</v>
      </c>
      <c r="C5388" s="17" t="s">
        <v>170</v>
      </c>
      <c r="D5388" s="13" t="s">
        <v>118</v>
      </c>
      <c r="E5388" s="13" t="s">
        <v>9333</v>
      </c>
      <c r="F5388" s="43">
        <v>41.01</v>
      </c>
    </row>
    <row r="5389" spans="2:6" x14ac:dyDescent="0.25">
      <c r="B5389" s="13" t="s">
        <v>9334</v>
      </c>
      <c r="C5389" s="17" t="s">
        <v>170</v>
      </c>
      <c r="D5389" s="13" t="s">
        <v>118</v>
      </c>
      <c r="E5389" s="13" t="s">
        <v>9335</v>
      </c>
      <c r="F5389" s="43">
        <v>41.01</v>
      </c>
    </row>
    <row r="5390" spans="2:6" x14ac:dyDescent="0.25">
      <c r="B5390" s="13" t="s">
        <v>9336</v>
      </c>
      <c r="C5390" s="17" t="s">
        <v>170</v>
      </c>
      <c r="D5390" s="13" t="s">
        <v>118</v>
      </c>
      <c r="E5390" s="13" t="s">
        <v>9337</v>
      </c>
      <c r="F5390" s="43">
        <v>45.22</v>
      </c>
    </row>
    <row r="5391" spans="2:6" x14ac:dyDescent="0.25">
      <c r="B5391" s="13" t="s">
        <v>9338</v>
      </c>
      <c r="C5391" s="17" t="s">
        <v>170</v>
      </c>
      <c r="D5391" s="13" t="s">
        <v>118</v>
      </c>
      <c r="E5391" s="13" t="s">
        <v>9339</v>
      </c>
      <c r="F5391" s="43">
        <v>45.22</v>
      </c>
    </row>
    <row r="5392" spans="2:6" x14ac:dyDescent="0.25">
      <c r="B5392" s="13" t="s">
        <v>9340</v>
      </c>
      <c r="C5392" s="17" t="s">
        <v>170</v>
      </c>
      <c r="D5392" s="13" t="s">
        <v>118</v>
      </c>
      <c r="E5392" s="13" t="s">
        <v>9341</v>
      </c>
      <c r="F5392" s="43">
        <v>45.22</v>
      </c>
    </row>
    <row r="5393" spans="2:6" x14ac:dyDescent="0.25">
      <c r="B5393" s="13" t="s">
        <v>9342</v>
      </c>
      <c r="C5393" s="17" t="s">
        <v>170</v>
      </c>
      <c r="D5393" s="13" t="s">
        <v>118</v>
      </c>
      <c r="E5393" s="13" t="s">
        <v>9343</v>
      </c>
      <c r="F5393" s="43">
        <v>45.22</v>
      </c>
    </row>
    <row r="5394" spans="2:6" x14ac:dyDescent="0.25">
      <c r="B5394" s="13" t="s">
        <v>9344</v>
      </c>
      <c r="C5394" s="17" t="s">
        <v>170</v>
      </c>
      <c r="D5394" s="13" t="s">
        <v>118</v>
      </c>
      <c r="E5394" s="13" t="s">
        <v>9345</v>
      </c>
      <c r="F5394" s="43">
        <v>45.22</v>
      </c>
    </row>
    <row r="5395" spans="2:6" x14ac:dyDescent="0.25">
      <c r="B5395" s="13" t="s">
        <v>9346</v>
      </c>
      <c r="C5395" s="17" t="s">
        <v>170</v>
      </c>
      <c r="D5395" s="13" t="s">
        <v>118</v>
      </c>
      <c r="E5395" s="13" t="s">
        <v>9347</v>
      </c>
      <c r="F5395" s="43">
        <v>45.22</v>
      </c>
    </row>
    <row r="5396" spans="2:6" x14ac:dyDescent="0.25">
      <c r="B5396" s="13" t="s">
        <v>9348</v>
      </c>
      <c r="C5396" s="17" t="s">
        <v>170</v>
      </c>
      <c r="D5396" s="13" t="s">
        <v>118</v>
      </c>
      <c r="E5396" s="13" t="s">
        <v>9349</v>
      </c>
      <c r="F5396" s="43">
        <v>45.22</v>
      </c>
    </row>
    <row r="5397" spans="2:6" x14ac:dyDescent="0.25">
      <c r="B5397" s="13" t="s">
        <v>9350</v>
      </c>
      <c r="C5397" s="17" t="s">
        <v>170</v>
      </c>
      <c r="D5397" s="13" t="s">
        <v>118</v>
      </c>
      <c r="E5397" s="13" t="s">
        <v>9351</v>
      </c>
      <c r="F5397" s="43">
        <v>45.22</v>
      </c>
    </row>
    <row r="5398" spans="2:6" x14ac:dyDescent="0.25">
      <c r="B5398" s="13" t="s">
        <v>9352</v>
      </c>
      <c r="C5398" s="17" t="s">
        <v>170</v>
      </c>
      <c r="D5398" s="13" t="s">
        <v>118</v>
      </c>
      <c r="E5398" s="13" t="s">
        <v>9353</v>
      </c>
      <c r="F5398" s="43">
        <v>45.22</v>
      </c>
    </row>
    <row r="5399" spans="2:6" x14ac:dyDescent="0.25">
      <c r="B5399" s="13" t="s">
        <v>9354</v>
      </c>
      <c r="C5399" s="17" t="s">
        <v>170</v>
      </c>
      <c r="D5399" s="13" t="s">
        <v>118</v>
      </c>
      <c r="E5399" s="13" t="s">
        <v>9355</v>
      </c>
      <c r="F5399" s="43">
        <v>45.22</v>
      </c>
    </row>
    <row r="5400" spans="2:6" x14ac:dyDescent="0.25">
      <c r="B5400" s="13" t="s">
        <v>9356</v>
      </c>
      <c r="C5400" s="17" t="s">
        <v>170</v>
      </c>
      <c r="D5400" s="13" t="s">
        <v>118</v>
      </c>
      <c r="E5400" s="13" t="s">
        <v>9357</v>
      </c>
      <c r="F5400" s="43">
        <v>45.22</v>
      </c>
    </row>
    <row r="5401" spans="2:6" x14ac:dyDescent="0.25">
      <c r="B5401" s="13" t="s">
        <v>9358</v>
      </c>
      <c r="C5401" s="17" t="s">
        <v>170</v>
      </c>
      <c r="D5401" s="13" t="s">
        <v>118</v>
      </c>
      <c r="E5401" s="13" t="s">
        <v>9359</v>
      </c>
      <c r="F5401" s="43">
        <v>45.22</v>
      </c>
    </row>
    <row r="5402" spans="2:6" x14ac:dyDescent="0.25">
      <c r="B5402" s="13" t="s">
        <v>9360</v>
      </c>
      <c r="C5402" s="17" t="s">
        <v>170</v>
      </c>
      <c r="D5402" s="13" t="s">
        <v>118</v>
      </c>
      <c r="E5402" s="13" t="s">
        <v>9361</v>
      </c>
      <c r="F5402" s="43">
        <v>45.22</v>
      </c>
    </row>
    <row r="5403" spans="2:6" x14ac:dyDescent="0.25">
      <c r="B5403" s="13" t="s">
        <v>9362</v>
      </c>
      <c r="C5403" s="17" t="s">
        <v>170</v>
      </c>
      <c r="D5403" s="13" t="s">
        <v>118</v>
      </c>
      <c r="E5403" s="13" t="s">
        <v>9363</v>
      </c>
      <c r="F5403" s="43">
        <v>46.75</v>
      </c>
    </row>
    <row r="5404" spans="2:6" x14ac:dyDescent="0.25">
      <c r="B5404" s="13" t="s">
        <v>9364</v>
      </c>
      <c r="C5404" s="17" t="s">
        <v>170</v>
      </c>
      <c r="D5404" s="13" t="s">
        <v>118</v>
      </c>
      <c r="E5404" s="13" t="s">
        <v>9365</v>
      </c>
      <c r="F5404" s="43">
        <v>46.75</v>
      </c>
    </row>
    <row r="5405" spans="2:6" x14ac:dyDescent="0.25">
      <c r="B5405" s="13" t="s">
        <v>9366</v>
      </c>
      <c r="C5405" s="17" t="s">
        <v>170</v>
      </c>
      <c r="D5405" s="13" t="s">
        <v>118</v>
      </c>
      <c r="E5405" s="13" t="s">
        <v>9367</v>
      </c>
      <c r="F5405" s="43">
        <v>46.75</v>
      </c>
    </row>
    <row r="5406" spans="2:6" x14ac:dyDescent="0.25">
      <c r="B5406" s="13" t="s">
        <v>9368</v>
      </c>
      <c r="C5406" s="17" t="s">
        <v>170</v>
      </c>
      <c r="D5406" s="13" t="s">
        <v>118</v>
      </c>
      <c r="E5406" s="13" t="s">
        <v>9369</v>
      </c>
      <c r="F5406" s="43">
        <v>46.75</v>
      </c>
    </row>
    <row r="5407" spans="2:6" x14ac:dyDescent="0.25">
      <c r="B5407" s="13" t="s">
        <v>9370</v>
      </c>
      <c r="C5407" s="17" t="s">
        <v>170</v>
      </c>
      <c r="D5407" s="13" t="s">
        <v>118</v>
      </c>
      <c r="E5407" s="13" t="s">
        <v>9371</v>
      </c>
      <c r="F5407" s="43">
        <v>46.75</v>
      </c>
    </row>
    <row r="5408" spans="2:6" x14ac:dyDescent="0.25">
      <c r="B5408" s="13" t="s">
        <v>9372</v>
      </c>
      <c r="C5408" s="17" t="s">
        <v>170</v>
      </c>
      <c r="D5408" s="13" t="s">
        <v>118</v>
      </c>
      <c r="E5408" s="13" t="s">
        <v>9373</v>
      </c>
      <c r="F5408" s="43">
        <v>29.76</v>
      </c>
    </row>
    <row r="5409" spans="2:6" x14ac:dyDescent="0.25">
      <c r="B5409" s="13" t="s">
        <v>9374</v>
      </c>
      <c r="C5409" s="17" t="s">
        <v>170</v>
      </c>
      <c r="D5409" s="13" t="s">
        <v>118</v>
      </c>
      <c r="E5409" s="13" t="s">
        <v>9375</v>
      </c>
      <c r="F5409" s="43">
        <v>29.76</v>
      </c>
    </row>
    <row r="5410" spans="2:6" x14ac:dyDescent="0.25">
      <c r="B5410" s="13" t="s">
        <v>9376</v>
      </c>
      <c r="C5410" s="17" t="s">
        <v>170</v>
      </c>
      <c r="D5410" s="13" t="s">
        <v>118</v>
      </c>
      <c r="E5410" s="13" t="s">
        <v>9377</v>
      </c>
      <c r="F5410" s="43">
        <v>29.76</v>
      </c>
    </row>
    <row r="5411" spans="2:6" x14ac:dyDescent="0.25">
      <c r="B5411" s="13" t="s">
        <v>9378</v>
      </c>
      <c r="C5411" s="17" t="s">
        <v>170</v>
      </c>
      <c r="D5411" s="13" t="s">
        <v>118</v>
      </c>
      <c r="E5411" s="13" t="s">
        <v>9379</v>
      </c>
      <c r="F5411" s="43">
        <v>29.76</v>
      </c>
    </row>
    <row r="5412" spans="2:6" x14ac:dyDescent="0.25">
      <c r="B5412" s="13" t="s">
        <v>9380</v>
      </c>
      <c r="C5412" s="17" t="s">
        <v>170</v>
      </c>
      <c r="D5412" s="13" t="s">
        <v>118</v>
      </c>
      <c r="E5412" s="13" t="s">
        <v>9381</v>
      </c>
      <c r="F5412" s="43">
        <v>29.76</v>
      </c>
    </row>
    <row r="5413" spans="2:6" x14ac:dyDescent="0.25">
      <c r="B5413" s="13" t="s">
        <v>9382</v>
      </c>
      <c r="C5413" s="17" t="s">
        <v>170</v>
      </c>
      <c r="D5413" s="13" t="s">
        <v>118</v>
      </c>
      <c r="E5413" s="13" t="s">
        <v>9383</v>
      </c>
      <c r="F5413" s="43">
        <v>29.76</v>
      </c>
    </row>
    <row r="5414" spans="2:6" x14ac:dyDescent="0.25">
      <c r="B5414" s="13" t="s">
        <v>9384</v>
      </c>
      <c r="C5414" s="17" t="s">
        <v>170</v>
      </c>
      <c r="D5414" s="13" t="s">
        <v>118</v>
      </c>
      <c r="E5414" s="13" t="s">
        <v>9385</v>
      </c>
      <c r="F5414" s="43">
        <v>29.76</v>
      </c>
    </row>
    <row r="5415" spans="2:6" x14ac:dyDescent="0.25">
      <c r="B5415" s="13" t="s">
        <v>9386</v>
      </c>
      <c r="C5415" s="17" t="s">
        <v>170</v>
      </c>
      <c r="D5415" s="13" t="s">
        <v>118</v>
      </c>
      <c r="E5415" s="13" t="s">
        <v>9387</v>
      </c>
      <c r="F5415" s="43">
        <v>29.76</v>
      </c>
    </row>
    <row r="5416" spans="2:6" x14ac:dyDescent="0.25">
      <c r="B5416" s="13" t="s">
        <v>9388</v>
      </c>
      <c r="C5416" s="17" t="s">
        <v>170</v>
      </c>
      <c r="D5416" s="13" t="s">
        <v>118</v>
      </c>
      <c r="E5416" s="13" t="s">
        <v>9389</v>
      </c>
      <c r="F5416" s="43">
        <v>29.76</v>
      </c>
    </row>
    <row r="5417" spans="2:6" x14ac:dyDescent="0.25">
      <c r="B5417" s="13" t="s">
        <v>9390</v>
      </c>
      <c r="C5417" s="17" t="s">
        <v>170</v>
      </c>
      <c r="D5417" s="13" t="s">
        <v>118</v>
      </c>
      <c r="E5417" s="13" t="s">
        <v>9389</v>
      </c>
      <c r="F5417" s="43">
        <v>29.76</v>
      </c>
    </row>
    <row r="5418" spans="2:6" x14ac:dyDescent="0.25">
      <c r="B5418" s="13" t="s">
        <v>9391</v>
      </c>
      <c r="C5418" s="17" t="s">
        <v>170</v>
      </c>
      <c r="D5418" s="13" t="s">
        <v>118</v>
      </c>
      <c r="E5418" s="13" t="s">
        <v>9392</v>
      </c>
      <c r="F5418" s="43">
        <v>29.76</v>
      </c>
    </row>
    <row r="5419" spans="2:6" x14ac:dyDescent="0.25">
      <c r="B5419" s="13" t="s">
        <v>9393</v>
      </c>
      <c r="C5419" s="17" t="s">
        <v>170</v>
      </c>
      <c r="D5419" s="13" t="s">
        <v>118</v>
      </c>
      <c r="E5419" s="13" t="s">
        <v>9394</v>
      </c>
      <c r="F5419" s="43">
        <v>29.76</v>
      </c>
    </row>
    <row r="5420" spans="2:6" x14ac:dyDescent="0.25">
      <c r="B5420" s="13" t="s">
        <v>9395</v>
      </c>
      <c r="C5420" s="17" t="s">
        <v>170</v>
      </c>
      <c r="D5420" s="13" t="s">
        <v>118</v>
      </c>
      <c r="E5420" s="13" t="s">
        <v>9396</v>
      </c>
      <c r="F5420" s="43">
        <v>29.76</v>
      </c>
    </row>
    <row r="5421" spans="2:6" x14ac:dyDescent="0.25">
      <c r="B5421" s="13" t="s">
        <v>9397</v>
      </c>
      <c r="C5421" s="17" t="s">
        <v>170</v>
      </c>
      <c r="D5421" s="13" t="s">
        <v>118</v>
      </c>
      <c r="E5421" s="13" t="s">
        <v>9398</v>
      </c>
      <c r="F5421" s="43">
        <v>29.76</v>
      </c>
    </row>
    <row r="5422" spans="2:6" x14ac:dyDescent="0.25">
      <c r="B5422" s="13" t="s">
        <v>9399</v>
      </c>
      <c r="C5422" s="17" t="s">
        <v>170</v>
      </c>
      <c r="D5422" s="13" t="s">
        <v>118</v>
      </c>
      <c r="E5422" s="13" t="s">
        <v>9400</v>
      </c>
      <c r="F5422" s="43">
        <v>29.76</v>
      </c>
    </row>
    <row r="5423" spans="2:6" x14ac:dyDescent="0.25">
      <c r="B5423" s="13" t="s">
        <v>9401</v>
      </c>
      <c r="C5423" s="17" t="s">
        <v>170</v>
      </c>
      <c r="D5423" s="13" t="s">
        <v>118</v>
      </c>
      <c r="E5423" s="13" t="s">
        <v>9402</v>
      </c>
      <c r="F5423" s="43">
        <v>29.76</v>
      </c>
    </row>
    <row r="5424" spans="2:6" x14ac:dyDescent="0.25">
      <c r="B5424" s="13" t="s">
        <v>9403</v>
      </c>
      <c r="C5424" s="17" t="s">
        <v>170</v>
      </c>
      <c r="D5424" s="13" t="s">
        <v>118</v>
      </c>
      <c r="E5424" s="13" t="s">
        <v>9404</v>
      </c>
      <c r="F5424" s="43">
        <v>29.76</v>
      </c>
    </row>
    <row r="5425" spans="2:6" x14ac:dyDescent="0.25">
      <c r="B5425" s="13" t="s">
        <v>9405</v>
      </c>
      <c r="C5425" s="17" t="s">
        <v>170</v>
      </c>
      <c r="D5425" s="13" t="s">
        <v>118</v>
      </c>
      <c r="E5425" s="13" t="s">
        <v>9406</v>
      </c>
      <c r="F5425" s="43">
        <v>31.91</v>
      </c>
    </row>
    <row r="5426" spans="2:6" x14ac:dyDescent="0.25">
      <c r="B5426" s="13" t="s">
        <v>9407</v>
      </c>
      <c r="C5426" s="17" t="s">
        <v>170</v>
      </c>
      <c r="D5426" s="13" t="s">
        <v>118</v>
      </c>
      <c r="E5426" s="13" t="s">
        <v>9408</v>
      </c>
      <c r="F5426" s="43">
        <v>31.91</v>
      </c>
    </row>
    <row r="5427" spans="2:6" x14ac:dyDescent="0.25">
      <c r="B5427" s="13" t="s">
        <v>9409</v>
      </c>
      <c r="C5427" s="17" t="s">
        <v>170</v>
      </c>
      <c r="D5427" s="13" t="s">
        <v>118</v>
      </c>
      <c r="E5427" s="13" t="s">
        <v>9410</v>
      </c>
      <c r="F5427" s="43">
        <v>31.91</v>
      </c>
    </row>
    <row r="5428" spans="2:6" x14ac:dyDescent="0.25">
      <c r="B5428" s="13" t="s">
        <v>9411</v>
      </c>
      <c r="C5428" s="17" t="s">
        <v>170</v>
      </c>
      <c r="D5428" s="13" t="s">
        <v>118</v>
      </c>
      <c r="E5428" s="13" t="s">
        <v>9412</v>
      </c>
      <c r="F5428" s="43">
        <v>31.91</v>
      </c>
    </row>
    <row r="5429" spans="2:6" x14ac:dyDescent="0.25">
      <c r="B5429" s="13" t="s">
        <v>9413</v>
      </c>
      <c r="C5429" s="17" t="s">
        <v>170</v>
      </c>
      <c r="D5429" s="13" t="s">
        <v>118</v>
      </c>
      <c r="E5429" s="13" t="s">
        <v>9414</v>
      </c>
      <c r="F5429" s="43">
        <v>31.91</v>
      </c>
    </row>
    <row r="5430" spans="2:6" x14ac:dyDescent="0.25">
      <c r="B5430" s="13" t="s">
        <v>9415</v>
      </c>
      <c r="C5430" s="17" t="s">
        <v>170</v>
      </c>
      <c r="D5430" s="13" t="s">
        <v>118</v>
      </c>
      <c r="E5430" s="13" t="s">
        <v>9416</v>
      </c>
      <c r="F5430" s="43">
        <v>31.91</v>
      </c>
    </row>
    <row r="5431" spans="2:6" x14ac:dyDescent="0.25">
      <c r="B5431" s="13" t="s">
        <v>9417</v>
      </c>
      <c r="C5431" s="17" t="s">
        <v>170</v>
      </c>
      <c r="D5431" s="13" t="s">
        <v>118</v>
      </c>
      <c r="E5431" s="13" t="s">
        <v>9418</v>
      </c>
      <c r="F5431" s="43">
        <v>40.17</v>
      </c>
    </row>
    <row r="5432" spans="2:6" x14ac:dyDescent="0.25">
      <c r="B5432" s="13" t="s">
        <v>9419</v>
      </c>
      <c r="C5432" s="17" t="s">
        <v>170</v>
      </c>
      <c r="D5432" s="13" t="s">
        <v>118</v>
      </c>
      <c r="E5432" s="13" t="s">
        <v>9420</v>
      </c>
      <c r="F5432" s="43">
        <v>40.17</v>
      </c>
    </row>
    <row r="5433" spans="2:6" x14ac:dyDescent="0.25">
      <c r="B5433" s="13" t="s">
        <v>9421</v>
      </c>
      <c r="C5433" s="17" t="s">
        <v>170</v>
      </c>
      <c r="D5433" s="13" t="s">
        <v>118</v>
      </c>
      <c r="E5433" s="13" t="s">
        <v>9422</v>
      </c>
      <c r="F5433" s="43">
        <v>40.17</v>
      </c>
    </row>
    <row r="5434" spans="2:6" x14ac:dyDescent="0.25">
      <c r="B5434" s="13" t="s">
        <v>9423</v>
      </c>
      <c r="C5434" s="17" t="s">
        <v>170</v>
      </c>
      <c r="D5434" s="13" t="s">
        <v>118</v>
      </c>
      <c r="E5434" s="13" t="s">
        <v>9424</v>
      </c>
      <c r="F5434" s="43">
        <v>30.53</v>
      </c>
    </row>
    <row r="5435" spans="2:6" x14ac:dyDescent="0.25">
      <c r="B5435" s="13" t="s">
        <v>9425</v>
      </c>
      <c r="C5435" s="17" t="s">
        <v>170</v>
      </c>
      <c r="D5435" s="13" t="s">
        <v>118</v>
      </c>
      <c r="E5435" s="13" t="s">
        <v>9426</v>
      </c>
      <c r="F5435" s="43">
        <v>30.53</v>
      </c>
    </row>
    <row r="5436" spans="2:6" x14ac:dyDescent="0.25">
      <c r="B5436" s="13" t="s">
        <v>9427</v>
      </c>
      <c r="C5436" s="17" t="s">
        <v>170</v>
      </c>
      <c r="D5436" s="13" t="s">
        <v>118</v>
      </c>
      <c r="E5436" s="13" t="s">
        <v>9428</v>
      </c>
      <c r="F5436" s="43">
        <v>30.53</v>
      </c>
    </row>
    <row r="5437" spans="2:6" x14ac:dyDescent="0.25">
      <c r="B5437" s="13" t="s">
        <v>9429</v>
      </c>
      <c r="C5437" s="17" t="s">
        <v>170</v>
      </c>
      <c r="D5437" s="13" t="s">
        <v>118</v>
      </c>
      <c r="E5437" s="13" t="s">
        <v>9430</v>
      </c>
      <c r="F5437" s="43">
        <v>30.53</v>
      </c>
    </row>
    <row r="5438" spans="2:6" x14ac:dyDescent="0.25">
      <c r="B5438" s="13" t="s">
        <v>9431</v>
      </c>
      <c r="C5438" s="17" t="s">
        <v>170</v>
      </c>
      <c r="D5438" s="13" t="s">
        <v>118</v>
      </c>
      <c r="E5438" s="13" t="s">
        <v>9432</v>
      </c>
      <c r="F5438" s="43">
        <v>30.53</v>
      </c>
    </row>
    <row r="5439" spans="2:6" x14ac:dyDescent="0.25">
      <c r="B5439" s="13" t="s">
        <v>9433</v>
      </c>
      <c r="C5439" s="17" t="s">
        <v>170</v>
      </c>
      <c r="D5439" s="13" t="s">
        <v>118</v>
      </c>
      <c r="E5439" s="13" t="s">
        <v>9434</v>
      </c>
      <c r="F5439" s="43">
        <v>30.53</v>
      </c>
    </row>
    <row r="5440" spans="2:6" x14ac:dyDescent="0.25">
      <c r="B5440" s="13" t="s">
        <v>9435</v>
      </c>
      <c r="C5440" s="17" t="s">
        <v>170</v>
      </c>
      <c r="D5440" s="13" t="s">
        <v>118</v>
      </c>
      <c r="E5440" s="13" t="s">
        <v>9436</v>
      </c>
      <c r="F5440" s="43">
        <v>30.53</v>
      </c>
    </row>
    <row r="5441" spans="2:6" x14ac:dyDescent="0.25">
      <c r="B5441" s="13" t="s">
        <v>9437</v>
      </c>
      <c r="C5441" s="17" t="s">
        <v>170</v>
      </c>
      <c r="D5441" s="13" t="s">
        <v>118</v>
      </c>
      <c r="E5441" s="13" t="s">
        <v>9438</v>
      </c>
      <c r="F5441" s="43">
        <v>30.53</v>
      </c>
    </row>
    <row r="5442" spans="2:6" x14ac:dyDescent="0.25">
      <c r="B5442" s="13" t="s">
        <v>9439</v>
      </c>
      <c r="C5442" s="17" t="s">
        <v>170</v>
      </c>
      <c r="D5442" s="13" t="s">
        <v>118</v>
      </c>
      <c r="E5442" s="13" t="s">
        <v>9440</v>
      </c>
      <c r="F5442" s="43">
        <v>30.53</v>
      </c>
    </row>
    <row r="5443" spans="2:6" x14ac:dyDescent="0.25">
      <c r="B5443" s="13" t="s">
        <v>9441</v>
      </c>
      <c r="C5443" s="17" t="s">
        <v>170</v>
      </c>
      <c r="D5443" s="13" t="s">
        <v>118</v>
      </c>
      <c r="E5443" s="13" t="s">
        <v>9442</v>
      </c>
      <c r="F5443" s="43">
        <v>30.53</v>
      </c>
    </row>
    <row r="5444" spans="2:6" x14ac:dyDescent="0.25">
      <c r="B5444" s="13" t="s">
        <v>9443</v>
      </c>
      <c r="C5444" s="17" t="s">
        <v>170</v>
      </c>
      <c r="D5444" s="13" t="s">
        <v>118</v>
      </c>
      <c r="E5444" s="13" t="s">
        <v>9444</v>
      </c>
      <c r="F5444" s="43">
        <v>30.53</v>
      </c>
    </row>
    <row r="5445" spans="2:6" x14ac:dyDescent="0.25">
      <c r="B5445" s="13" t="s">
        <v>9445</v>
      </c>
      <c r="C5445" s="17" t="s">
        <v>170</v>
      </c>
      <c r="D5445" s="13" t="s">
        <v>118</v>
      </c>
      <c r="E5445" s="13" t="s">
        <v>9446</v>
      </c>
      <c r="F5445" s="43">
        <v>30.53</v>
      </c>
    </row>
    <row r="5446" spans="2:6" x14ac:dyDescent="0.25">
      <c r="B5446" s="13" t="s">
        <v>9447</v>
      </c>
      <c r="C5446" s="17" t="s">
        <v>170</v>
      </c>
      <c r="D5446" s="13" t="s">
        <v>118</v>
      </c>
      <c r="E5446" s="13" t="s">
        <v>9448</v>
      </c>
      <c r="F5446" s="43">
        <v>30.53</v>
      </c>
    </row>
    <row r="5447" spans="2:6" x14ac:dyDescent="0.25">
      <c r="B5447" s="13" t="s">
        <v>9449</v>
      </c>
      <c r="C5447" s="17" t="s">
        <v>170</v>
      </c>
      <c r="D5447" s="13" t="s">
        <v>118</v>
      </c>
      <c r="E5447" s="13" t="s">
        <v>9450</v>
      </c>
      <c r="F5447" s="43">
        <v>30.53</v>
      </c>
    </row>
    <row r="5448" spans="2:6" x14ac:dyDescent="0.25">
      <c r="B5448" s="13" t="s">
        <v>9451</v>
      </c>
      <c r="C5448" s="17" t="s">
        <v>170</v>
      </c>
      <c r="D5448" s="13" t="s">
        <v>118</v>
      </c>
      <c r="E5448" s="13" t="s">
        <v>9452</v>
      </c>
      <c r="F5448" s="43">
        <v>30.53</v>
      </c>
    </row>
    <row r="5449" spans="2:6" x14ac:dyDescent="0.25">
      <c r="B5449" s="13" t="s">
        <v>9453</v>
      </c>
      <c r="C5449" s="17" t="s">
        <v>170</v>
      </c>
      <c r="D5449" s="13" t="s">
        <v>118</v>
      </c>
      <c r="E5449" s="13" t="s">
        <v>9454</v>
      </c>
      <c r="F5449" s="43">
        <v>30.53</v>
      </c>
    </row>
    <row r="5450" spans="2:6" x14ac:dyDescent="0.25">
      <c r="B5450" s="13" t="s">
        <v>9455</v>
      </c>
      <c r="C5450" s="17" t="s">
        <v>170</v>
      </c>
      <c r="D5450" s="13" t="s">
        <v>118</v>
      </c>
      <c r="E5450" s="13" t="s">
        <v>9456</v>
      </c>
      <c r="F5450" s="43">
        <v>30.53</v>
      </c>
    </row>
    <row r="5451" spans="2:6" x14ac:dyDescent="0.25">
      <c r="B5451" s="13" t="s">
        <v>9457</v>
      </c>
      <c r="C5451" s="17" t="s">
        <v>170</v>
      </c>
      <c r="D5451" s="13" t="s">
        <v>118</v>
      </c>
      <c r="E5451" s="13" t="s">
        <v>9458</v>
      </c>
      <c r="F5451" s="43">
        <v>32.979999999999997</v>
      </c>
    </row>
    <row r="5452" spans="2:6" x14ac:dyDescent="0.25">
      <c r="B5452" s="13" t="s">
        <v>9459</v>
      </c>
      <c r="C5452" s="17" t="s">
        <v>170</v>
      </c>
      <c r="D5452" s="13" t="s">
        <v>118</v>
      </c>
      <c r="E5452" s="13" t="s">
        <v>9460</v>
      </c>
      <c r="F5452" s="43">
        <v>32.979999999999997</v>
      </c>
    </row>
    <row r="5453" spans="2:6" x14ac:dyDescent="0.25">
      <c r="B5453" s="13" t="s">
        <v>9461</v>
      </c>
      <c r="C5453" s="17" t="s">
        <v>170</v>
      </c>
      <c r="D5453" s="13" t="s">
        <v>118</v>
      </c>
      <c r="E5453" s="13" t="s">
        <v>9462</v>
      </c>
      <c r="F5453" s="43">
        <v>32.979999999999997</v>
      </c>
    </row>
    <row r="5454" spans="2:6" x14ac:dyDescent="0.25">
      <c r="B5454" s="13" t="s">
        <v>9463</v>
      </c>
      <c r="C5454" s="17" t="s">
        <v>170</v>
      </c>
      <c r="D5454" s="13" t="s">
        <v>118</v>
      </c>
      <c r="E5454" s="13" t="s">
        <v>9464</v>
      </c>
      <c r="F5454" s="43">
        <v>32.979999999999997</v>
      </c>
    </row>
    <row r="5455" spans="2:6" x14ac:dyDescent="0.25">
      <c r="B5455" s="13" t="s">
        <v>9465</v>
      </c>
      <c r="C5455" s="17" t="s">
        <v>170</v>
      </c>
      <c r="D5455" s="13" t="s">
        <v>118</v>
      </c>
      <c r="E5455" s="13" t="s">
        <v>9466</v>
      </c>
      <c r="F5455" s="43">
        <v>32.979999999999997</v>
      </c>
    </row>
    <row r="5456" spans="2:6" x14ac:dyDescent="0.25">
      <c r="B5456" s="13" t="s">
        <v>9467</v>
      </c>
      <c r="C5456" s="17" t="s">
        <v>170</v>
      </c>
      <c r="D5456" s="13" t="s">
        <v>118</v>
      </c>
      <c r="E5456" s="13" t="s">
        <v>9468</v>
      </c>
      <c r="F5456" s="43">
        <v>32.979999999999997</v>
      </c>
    </row>
    <row r="5457" spans="2:6" x14ac:dyDescent="0.25">
      <c r="B5457" s="13" t="s">
        <v>9469</v>
      </c>
      <c r="C5457" s="17" t="s">
        <v>170</v>
      </c>
      <c r="D5457" s="13" t="s">
        <v>118</v>
      </c>
      <c r="E5457" s="13" t="s">
        <v>9470</v>
      </c>
      <c r="F5457" s="43">
        <v>41.24</v>
      </c>
    </row>
    <row r="5458" spans="2:6" x14ac:dyDescent="0.25">
      <c r="B5458" s="13" t="s">
        <v>9471</v>
      </c>
      <c r="C5458" s="17" t="s">
        <v>170</v>
      </c>
      <c r="D5458" s="13" t="s">
        <v>118</v>
      </c>
      <c r="E5458" s="13" t="s">
        <v>9472</v>
      </c>
      <c r="F5458" s="43">
        <v>41.24</v>
      </c>
    </row>
    <row r="5459" spans="2:6" x14ac:dyDescent="0.25">
      <c r="B5459" s="13" t="s">
        <v>9473</v>
      </c>
      <c r="C5459" s="17" t="s">
        <v>170</v>
      </c>
      <c r="D5459" s="13" t="s">
        <v>118</v>
      </c>
      <c r="E5459" s="13" t="s">
        <v>9474</v>
      </c>
      <c r="F5459" s="43">
        <v>41.24</v>
      </c>
    </row>
    <row r="5460" spans="2:6" x14ac:dyDescent="0.25">
      <c r="B5460" s="13" t="s">
        <v>9475</v>
      </c>
      <c r="C5460" s="17" t="s">
        <v>170</v>
      </c>
      <c r="D5460" s="13" t="s">
        <v>118</v>
      </c>
      <c r="E5460" s="13" t="s">
        <v>9476</v>
      </c>
      <c r="F5460" s="43">
        <v>29.76</v>
      </c>
    </row>
    <row r="5461" spans="2:6" x14ac:dyDescent="0.25">
      <c r="B5461" s="13" t="s">
        <v>9477</v>
      </c>
      <c r="C5461" s="17" t="s">
        <v>170</v>
      </c>
      <c r="D5461" s="13" t="s">
        <v>118</v>
      </c>
      <c r="E5461" s="13" t="s">
        <v>9478</v>
      </c>
      <c r="F5461" s="43">
        <v>29.76</v>
      </c>
    </row>
    <row r="5462" spans="2:6" x14ac:dyDescent="0.25">
      <c r="B5462" s="13" t="s">
        <v>9479</v>
      </c>
      <c r="C5462" s="17" t="s">
        <v>170</v>
      </c>
      <c r="D5462" s="13" t="s">
        <v>118</v>
      </c>
      <c r="E5462" s="13" t="s">
        <v>9480</v>
      </c>
      <c r="F5462" s="43">
        <v>29.76</v>
      </c>
    </row>
    <row r="5463" spans="2:6" x14ac:dyDescent="0.25">
      <c r="B5463" s="13" t="s">
        <v>9481</v>
      </c>
      <c r="C5463" s="17" t="s">
        <v>170</v>
      </c>
      <c r="D5463" s="13" t="s">
        <v>118</v>
      </c>
      <c r="E5463" s="13" t="s">
        <v>9482</v>
      </c>
      <c r="F5463" s="43">
        <v>29.76</v>
      </c>
    </row>
    <row r="5464" spans="2:6" x14ac:dyDescent="0.25">
      <c r="B5464" s="13" t="s">
        <v>9483</v>
      </c>
      <c r="C5464" s="17" t="s">
        <v>170</v>
      </c>
      <c r="D5464" s="13" t="s">
        <v>118</v>
      </c>
      <c r="E5464" s="13" t="s">
        <v>9484</v>
      </c>
      <c r="F5464" s="43">
        <v>29.76</v>
      </c>
    </row>
    <row r="5465" spans="2:6" x14ac:dyDescent="0.25">
      <c r="B5465" s="13" t="s">
        <v>9485</v>
      </c>
      <c r="C5465" s="17" t="s">
        <v>170</v>
      </c>
      <c r="D5465" s="13" t="s">
        <v>118</v>
      </c>
      <c r="E5465" s="13" t="s">
        <v>9486</v>
      </c>
      <c r="F5465" s="43">
        <v>29.76</v>
      </c>
    </row>
    <row r="5466" spans="2:6" x14ac:dyDescent="0.25">
      <c r="B5466" s="13" t="s">
        <v>9487</v>
      </c>
      <c r="C5466" s="17" t="s">
        <v>170</v>
      </c>
      <c r="D5466" s="13" t="s">
        <v>118</v>
      </c>
      <c r="E5466" s="13" t="s">
        <v>9488</v>
      </c>
      <c r="F5466" s="43">
        <v>29.76</v>
      </c>
    </row>
    <row r="5467" spans="2:6" x14ac:dyDescent="0.25">
      <c r="B5467" s="13" t="s">
        <v>9489</v>
      </c>
      <c r="C5467" s="17" t="s">
        <v>170</v>
      </c>
      <c r="D5467" s="13" t="s">
        <v>118</v>
      </c>
      <c r="E5467" s="13" t="s">
        <v>9490</v>
      </c>
      <c r="F5467" s="43">
        <v>29.76</v>
      </c>
    </row>
    <row r="5468" spans="2:6" x14ac:dyDescent="0.25">
      <c r="B5468" s="13" t="s">
        <v>9491</v>
      </c>
      <c r="C5468" s="17" t="s">
        <v>170</v>
      </c>
      <c r="D5468" s="13" t="s">
        <v>118</v>
      </c>
      <c r="E5468" s="13" t="s">
        <v>9492</v>
      </c>
      <c r="F5468" s="43">
        <v>29.76</v>
      </c>
    </row>
    <row r="5469" spans="2:6" x14ac:dyDescent="0.25">
      <c r="B5469" s="13" t="s">
        <v>9493</v>
      </c>
      <c r="C5469" s="17" t="s">
        <v>170</v>
      </c>
      <c r="D5469" s="13" t="s">
        <v>118</v>
      </c>
      <c r="E5469" s="13" t="s">
        <v>9494</v>
      </c>
      <c r="F5469" s="43">
        <v>29.76</v>
      </c>
    </row>
    <row r="5470" spans="2:6" x14ac:dyDescent="0.25">
      <c r="B5470" s="13" t="s">
        <v>9495</v>
      </c>
      <c r="C5470" s="17" t="s">
        <v>170</v>
      </c>
      <c r="D5470" s="13" t="s">
        <v>118</v>
      </c>
      <c r="E5470" s="13" t="s">
        <v>9496</v>
      </c>
      <c r="F5470" s="43">
        <v>29.76</v>
      </c>
    </row>
    <row r="5471" spans="2:6" x14ac:dyDescent="0.25">
      <c r="B5471" s="13" t="s">
        <v>9497</v>
      </c>
      <c r="C5471" s="17" t="s">
        <v>170</v>
      </c>
      <c r="D5471" s="13" t="s">
        <v>118</v>
      </c>
      <c r="E5471" s="13" t="s">
        <v>9498</v>
      </c>
      <c r="F5471" s="43">
        <v>29.76</v>
      </c>
    </row>
    <row r="5472" spans="2:6" x14ac:dyDescent="0.25">
      <c r="B5472" s="13" t="s">
        <v>9499</v>
      </c>
      <c r="C5472" s="17" t="s">
        <v>170</v>
      </c>
      <c r="D5472" s="13" t="s">
        <v>118</v>
      </c>
      <c r="E5472" s="13" t="s">
        <v>9500</v>
      </c>
      <c r="F5472" s="43">
        <v>29.76</v>
      </c>
    </row>
    <row r="5473" spans="2:6" x14ac:dyDescent="0.25">
      <c r="B5473" s="13" t="s">
        <v>9501</v>
      </c>
      <c r="C5473" s="17" t="s">
        <v>170</v>
      </c>
      <c r="D5473" s="13" t="s">
        <v>118</v>
      </c>
      <c r="E5473" s="13" t="s">
        <v>9502</v>
      </c>
      <c r="F5473" s="43">
        <v>29.76</v>
      </c>
    </row>
    <row r="5474" spans="2:6" x14ac:dyDescent="0.25">
      <c r="B5474" s="13" t="s">
        <v>9503</v>
      </c>
      <c r="C5474" s="17" t="s">
        <v>170</v>
      </c>
      <c r="D5474" s="13" t="s">
        <v>118</v>
      </c>
      <c r="E5474" s="13" t="s">
        <v>9504</v>
      </c>
      <c r="F5474" s="43">
        <v>29.76</v>
      </c>
    </row>
    <row r="5475" spans="2:6" x14ac:dyDescent="0.25">
      <c r="B5475" s="13" t="s">
        <v>9505</v>
      </c>
      <c r="C5475" s="17" t="s">
        <v>170</v>
      </c>
      <c r="D5475" s="13" t="s">
        <v>118</v>
      </c>
      <c r="E5475" s="13" t="s">
        <v>9506</v>
      </c>
      <c r="F5475" s="43">
        <v>29.76</v>
      </c>
    </row>
    <row r="5476" spans="2:6" x14ac:dyDescent="0.25">
      <c r="B5476" s="13" t="s">
        <v>9507</v>
      </c>
      <c r="C5476" s="17" t="s">
        <v>170</v>
      </c>
      <c r="D5476" s="13" t="s">
        <v>118</v>
      </c>
      <c r="E5476" s="13" t="s">
        <v>9508</v>
      </c>
      <c r="F5476" s="43">
        <v>29.76</v>
      </c>
    </row>
    <row r="5477" spans="2:6" x14ac:dyDescent="0.25">
      <c r="B5477" s="13" t="s">
        <v>9509</v>
      </c>
      <c r="C5477" s="17" t="s">
        <v>170</v>
      </c>
      <c r="D5477" s="13" t="s">
        <v>118</v>
      </c>
      <c r="E5477" s="13" t="s">
        <v>9510</v>
      </c>
      <c r="F5477" s="43">
        <v>31.91</v>
      </c>
    </row>
    <row r="5478" spans="2:6" x14ac:dyDescent="0.25">
      <c r="B5478" s="13" t="s">
        <v>9511</v>
      </c>
      <c r="C5478" s="17" t="s">
        <v>170</v>
      </c>
      <c r="D5478" s="13" t="s">
        <v>118</v>
      </c>
      <c r="E5478" s="13" t="s">
        <v>9512</v>
      </c>
      <c r="F5478" s="43">
        <v>31.91</v>
      </c>
    </row>
    <row r="5479" spans="2:6" x14ac:dyDescent="0.25">
      <c r="B5479" s="13" t="s">
        <v>9513</v>
      </c>
      <c r="C5479" s="17" t="s">
        <v>170</v>
      </c>
      <c r="D5479" s="13" t="s">
        <v>118</v>
      </c>
      <c r="E5479" s="13" t="s">
        <v>9514</v>
      </c>
      <c r="F5479" s="43">
        <v>31.91</v>
      </c>
    </row>
    <row r="5480" spans="2:6" x14ac:dyDescent="0.25">
      <c r="B5480" s="13" t="s">
        <v>9515</v>
      </c>
      <c r="C5480" s="17" t="s">
        <v>170</v>
      </c>
      <c r="D5480" s="13" t="s">
        <v>118</v>
      </c>
      <c r="E5480" s="13" t="s">
        <v>9516</v>
      </c>
      <c r="F5480" s="43">
        <v>31.91</v>
      </c>
    </row>
    <row r="5481" spans="2:6" x14ac:dyDescent="0.25">
      <c r="B5481" s="13" t="s">
        <v>9517</v>
      </c>
      <c r="C5481" s="17" t="s">
        <v>170</v>
      </c>
      <c r="D5481" s="13" t="s">
        <v>118</v>
      </c>
      <c r="E5481" s="13" t="s">
        <v>9518</v>
      </c>
      <c r="F5481" s="43">
        <v>31.91</v>
      </c>
    </row>
    <row r="5482" spans="2:6" x14ac:dyDescent="0.25">
      <c r="B5482" s="13" t="s">
        <v>9519</v>
      </c>
      <c r="C5482" s="17" t="s">
        <v>170</v>
      </c>
      <c r="D5482" s="13" t="s">
        <v>118</v>
      </c>
      <c r="E5482" s="13" t="s">
        <v>9520</v>
      </c>
      <c r="F5482" s="43">
        <v>31.91</v>
      </c>
    </row>
    <row r="5483" spans="2:6" x14ac:dyDescent="0.25">
      <c r="B5483" s="13" t="s">
        <v>9521</v>
      </c>
      <c r="C5483" s="17" t="s">
        <v>170</v>
      </c>
      <c r="D5483" s="13" t="s">
        <v>118</v>
      </c>
      <c r="E5483" s="13" t="s">
        <v>9522</v>
      </c>
      <c r="F5483" s="43">
        <v>40.17</v>
      </c>
    </row>
    <row r="5484" spans="2:6" x14ac:dyDescent="0.25">
      <c r="B5484" s="13" t="s">
        <v>9523</v>
      </c>
      <c r="C5484" s="17" t="s">
        <v>170</v>
      </c>
      <c r="D5484" s="13" t="s">
        <v>118</v>
      </c>
      <c r="E5484" s="13" t="s">
        <v>9524</v>
      </c>
      <c r="F5484" s="43">
        <v>40.17</v>
      </c>
    </row>
    <row r="5485" spans="2:6" x14ac:dyDescent="0.25">
      <c r="B5485" s="13" t="s">
        <v>9525</v>
      </c>
      <c r="C5485" s="17" t="s">
        <v>170</v>
      </c>
      <c r="D5485" s="13" t="s">
        <v>118</v>
      </c>
      <c r="E5485" s="13" t="s">
        <v>9526</v>
      </c>
      <c r="F5485" s="43">
        <v>40.17</v>
      </c>
    </row>
    <row r="5486" spans="2:6" x14ac:dyDescent="0.25">
      <c r="B5486" s="13" t="s">
        <v>9527</v>
      </c>
      <c r="C5486" s="17" t="s">
        <v>170</v>
      </c>
      <c r="D5486" s="13" t="s">
        <v>118</v>
      </c>
      <c r="E5486" s="13" t="s">
        <v>9528</v>
      </c>
      <c r="F5486" s="43">
        <v>30.53</v>
      </c>
    </row>
    <row r="5487" spans="2:6" x14ac:dyDescent="0.25">
      <c r="B5487" s="13" t="s">
        <v>9529</v>
      </c>
      <c r="C5487" s="17" t="s">
        <v>170</v>
      </c>
      <c r="D5487" s="13" t="s">
        <v>118</v>
      </c>
      <c r="E5487" s="13" t="s">
        <v>9530</v>
      </c>
      <c r="F5487" s="43">
        <v>30.53</v>
      </c>
    </row>
    <row r="5488" spans="2:6" x14ac:dyDescent="0.25">
      <c r="B5488" s="13" t="s">
        <v>9531</v>
      </c>
      <c r="C5488" s="17" t="s">
        <v>170</v>
      </c>
      <c r="D5488" s="13" t="s">
        <v>118</v>
      </c>
      <c r="E5488" s="13" t="s">
        <v>9532</v>
      </c>
      <c r="F5488" s="43">
        <v>30.53</v>
      </c>
    </row>
    <row r="5489" spans="2:6" x14ac:dyDescent="0.25">
      <c r="B5489" s="13" t="s">
        <v>9533</v>
      </c>
      <c r="C5489" s="17" t="s">
        <v>170</v>
      </c>
      <c r="D5489" s="13" t="s">
        <v>118</v>
      </c>
      <c r="E5489" s="13" t="s">
        <v>9534</v>
      </c>
      <c r="F5489" s="43">
        <v>30.53</v>
      </c>
    </row>
    <row r="5490" spans="2:6" x14ac:dyDescent="0.25">
      <c r="B5490" s="13" t="s">
        <v>9535</v>
      </c>
      <c r="C5490" s="17" t="s">
        <v>170</v>
      </c>
      <c r="D5490" s="13" t="s">
        <v>118</v>
      </c>
      <c r="E5490" s="13" t="s">
        <v>9536</v>
      </c>
      <c r="F5490" s="43">
        <v>30.53</v>
      </c>
    </row>
    <row r="5491" spans="2:6" x14ac:dyDescent="0.25">
      <c r="B5491" s="13" t="s">
        <v>9537</v>
      </c>
      <c r="C5491" s="17" t="s">
        <v>170</v>
      </c>
      <c r="D5491" s="13" t="s">
        <v>118</v>
      </c>
      <c r="E5491" s="13" t="s">
        <v>9538</v>
      </c>
      <c r="F5491" s="43">
        <v>30.53</v>
      </c>
    </row>
    <row r="5492" spans="2:6" x14ac:dyDescent="0.25">
      <c r="B5492" s="13" t="s">
        <v>9539</v>
      </c>
      <c r="C5492" s="17" t="s">
        <v>170</v>
      </c>
      <c r="D5492" s="13" t="s">
        <v>118</v>
      </c>
      <c r="E5492" s="13" t="s">
        <v>9540</v>
      </c>
      <c r="F5492" s="43">
        <v>30.53</v>
      </c>
    </row>
    <row r="5493" spans="2:6" x14ac:dyDescent="0.25">
      <c r="B5493" s="13" t="s">
        <v>9541</v>
      </c>
      <c r="C5493" s="17" t="s">
        <v>170</v>
      </c>
      <c r="D5493" s="13" t="s">
        <v>118</v>
      </c>
      <c r="E5493" s="13" t="s">
        <v>9542</v>
      </c>
      <c r="F5493" s="43">
        <v>30.53</v>
      </c>
    </row>
    <row r="5494" spans="2:6" x14ac:dyDescent="0.25">
      <c r="B5494" s="13" t="s">
        <v>9543</v>
      </c>
      <c r="C5494" s="17" t="s">
        <v>170</v>
      </c>
      <c r="D5494" s="13" t="s">
        <v>118</v>
      </c>
      <c r="E5494" s="13" t="s">
        <v>9544</v>
      </c>
      <c r="F5494" s="43">
        <v>30.53</v>
      </c>
    </row>
    <row r="5495" spans="2:6" x14ac:dyDescent="0.25">
      <c r="B5495" s="13" t="s">
        <v>9545</v>
      </c>
      <c r="C5495" s="17" t="s">
        <v>170</v>
      </c>
      <c r="D5495" s="13" t="s">
        <v>118</v>
      </c>
      <c r="E5495" s="13" t="s">
        <v>9546</v>
      </c>
      <c r="F5495" s="43">
        <v>30.53</v>
      </c>
    </row>
    <row r="5496" spans="2:6" x14ac:dyDescent="0.25">
      <c r="B5496" s="13" t="s">
        <v>9547</v>
      </c>
      <c r="C5496" s="17" t="s">
        <v>170</v>
      </c>
      <c r="D5496" s="13" t="s">
        <v>118</v>
      </c>
      <c r="E5496" s="13" t="s">
        <v>9548</v>
      </c>
      <c r="F5496" s="43">
        <v>30.53</v>
      </c>
    </row>
    <row r="5497" spans="2:6" x14ac:dyDescent="0.25">
      <c r="B5497" s="13" t="s">
        <v>9549</v>
      </c>
      <c r="C5497" s="17" t="s">
        <v>170</v>
      </c>
      <c r="D5497" s="13" t="s">
        <v>118</v>
      </c>
      <c r="E5497" s="13" t="s">
        <v>9550</v>
      </c>
      <c r="F5497" s="43">
        <v>30.53</v>
      </c>
    </row>
    <row r="5498" spans="2:6" x14ac:dyDescent="0.25">
      <c r="B5498" s="13" t="s">
        <v>9551</v>
      </c>
      <c r="C5498" s="17" t="s">
        <v>170</v>
      </c>
      <c r="D5498" s="13" t="s">
        <v>118</v>
      </c>
      <c r="E5498" s="13" t="s">
        <v>9552</v>
      </c>
      <c r="F5498" s="43">
        <v>30.53</v>
      </c>
    </row>
    <row r="5499" spans="2:6" x14ac:dyDescent="0.25">
      <c r="B5499" s="13" t="s">
        <v>9553</v>
      </c>
      <c r="C5499" s="17" t="s">
        <v>170</v>
      </c>
      <c r="D5499" s="13" t="s">
        <v>118</v>
      </c>
      <c r="E5499" s="13" t="s">
        <v>9554</v>
      </c>
      <c r="F5499" s="43">
        <v>30.53</v>
      </c>
    </row>
    <row r="5500" spans="2:6" x14ac:dyDescent="0.25">
      <c r="B5500" s="13" t="s">
        <v>9555</v>
      </c>
      <c r="C5500" s="17" t="s">
        <v>170</v>
      </c>
      <c r="D5500" s="13" t="s">
        <v>118</v>
      </c>
      <c r="E5500" s="13" t="s">
        <v>9556</v>
      </c>
      <c r="F5500" s="43">
        <v>30.53</v>
      </c>
    </row>
    <row r="5501" spans="2:6" x14ac:dyDescent="0.25">
      <c r="B5501" s="13" t="s">
        <v>9557</v>
      </c>
      <c r="C5501" s="17" t="s">
        <v>170</v>
      </c>
      <c r="D5501" s="13" t="s">
        <v>118</v>
      </c>
      <c r="E5501" s="13" t="s">
        <v>9558</v>
      </c>
      <c r="F5501" s="43">
        <v>30.53</v>
      </c>
    </row>
    <row r="5502" spans="2:6" x14ac:dyDescent="0.25">
      <c r="B5502" s="13" t="s">
        <v>9559</v>
      </c>
      <c r="C5502" s="17" t="s">
        <v>170</v>
      </c>
      <c r="D5502" s="13" t="s">
        <v>118</v>
      </c>
      <c r="E5502" s="13" t="s">
        <v>9560</v>
      </c>
      <c r="F5502" s="43">
        <v>30.53</v>
      </c>
    </row>
    <row r="5503" spans="2:6" x14ac:dyDescent="0.25">
      <c r="B5503" s="13" t="s">
        <v>9561</v>
      </c>
      <c r="C5503" s="17" t="s">
        <v>170</v>
      </c>
      <c r="D5503" s="13" t="s">
        <v>118</v>
      </c>
      <c r="E5503" s="13" t="s">
        <v>9562</v>
      </c>
      <c r="F5503" s="43">
        <v>30.53</v>
      </c>
    </row>
    <row r="5504" spans="2:6" x14ac:dyDescent="0.25">
      <c r="B5504" s="13" t="s">
        <v>9563</v>
      </c>
      <c r="C5504" s="17" t="s">
        <v>170</v>
      </c>
      <c r="D5504" s="13" t="s">
        <v>118</v>
      </c>
      <c r="E5504" s="13" t="s">
        <v>9564</v>
      </c>
      <c r="F5504" s="43">
        <v>32.979999999999997</v>
      </c>
    </row>
    <row r="5505" spans="2:6" x14ac:dyDescent="0.25">
      <c r="B5505" s="13" t="s">
        <v>9565</v>
      </c>
      <c r="C5505" s="17" t="s">
        <v>170</v>
      </c>
      <c r="D5505" s="13" t="s">
        <v>118</v>
      </c>
      <c r="E5505" s="13" t="s">
        <v>9566</v>
      </c>
      <c r="F5505" s="43">
        <v>32.979999999999997</v>
      </c>
    </row>
    <row r="5506" spans="2:6" x14ac:dyDescent="0.25">
      <c r="B5506" s="13" t="s">
        <v>9567</v>
      </c>
      <c r="C5506" s="17" t="s">
        <v>170</v>
      </c>
      <c r="D5506" s="13" t="s">
        <v>118</v>
      </c>
      <c r="E5506" s="13" t="s">
        <v>9568</v>
      </c>
      <c r="F5506" s="43">
        <v>32.979999999999997</v>
      </c>
    </row>
    <row r="5507" spans="2:6" x14ac:dyDescent="0.25">
      <c r="B5507" s="13" t="s">
        <v>9569</v>
      </c>
      <c r="C5507" s="17" t="s">
        <v>170</v>
      </c>
      <c r="D5507" s="13" t="s">
        <v>118</v>
      </c>
      <c r="E5507" s="13" t="s">
        <v>9570</v>
      </c>
      <c r="F5507" s="43">
        <v>32.979999999999997</v>
      </c>
    </row>
    <row r="5508" spans="2:6" x14ac:dyDescent="0.25">
      <c r="B5508" s="13" t="s">
        <v>9571</v>
      </c>
      <c r="C5508" s="17" t="s">
        <v>170</v>
      </c>
      <c r="D5508" s="13" t="s">
        <v>118</v>
      </c>
      <c r="E5508" s="13" t="s">
        <v>9572</v>
      </c>
      <c r="F5508" s="43">
        <v>32.979999999999997</v>
      </c>
    </row>
    <row r="5509" spans="2:6" x14ac:dyDescent="0.25">
      <c r="B5509" s="13" t="s">
        <v>9573</v>
      </c>
      <c r="C5509" s="17" t="s">
        <v>170</v>
      </c>
      <c r="D5509" s="13" t="s">
        <v>118</v>
      </c>
      <c r="E5509" s="13" t="s">
        <v>9574</v>
      </c>
      <c r="F5509" s="43">
        <v>32.979999999999997</v>
      </c>
    </row>
    <row r="5510" spans="2:6" x14ac:dyDescent="0.25">
      <c r="B5510" s="13" t="s">
        <v>9575</v>
      </c>
      <c r="C5510" s="17" t="s">
        <v>170</v>
      </c>
      <c r="D5510" s="13" t="s">
        <v>118</v>
      </c>
      <c r="E5510" s="13" t="s">
        <v>9576</v>
      </c>
      <c r="F5510" s="43">
        <v>41.24</v>
      </c>
    </row>
    <row r="5511" spans="2:6" x14ac:dyDescent="0.25">
      <c r="B5511" s="13" t="s">
        <v>9577</v>
      </c>
      <c r="C5511" s="17" t="s">
        <v>170</v>
      </c>
      <c r="D5511" s="13" t="s">
        <v>118</v>
      </c>
      <c r="E5511" s="13" t="s">
        <v>9578</v>
      </c>
      <c r="F5511" s="43">
        <v>41.24</v>
      </c>
    </row>
    <row r="5512" spans="2:6" x14ac:dyDescent="0.25">
      <c r="B5512" s="13" t="s">
        <v>9579</v>
      </c>
      <c r="C5512" s="17" t="s">
        <v>170</v>
      </c>
      <c r="D5512" s="13" t="s">
        <v>118</v>
      </c>
      <c r="E5512" s="13" t="s">
        <v>9580</v>
      </c>
      <c r="F5512" s="43">
        <v>41.24</v>
      </c>
    </row>
    <row r="5513" spans="2:6" x14ac:dyDescent="0.25">
      <c r="B5513" s="13" t="s">
        <v>9581</v>
      </c>
      <c r="C5513" s="17" t="s">
        <v>170</v>
      </c>
      <c r="D5513" s="13" t="s">
        <v>118</v>
      </c>
      <c r="E5513" s="13" t="s">
        <v>9582</v>
      </c>
      <c r="F5513" s="43">
        <v>52.48</v>
      </c>
    </row>
    <row r="5514" spans="2:6" x14ac:dyDescent="0.25">
      <c r="B5514" s="13" t="s">
        <v>9583</v>
      </c>
      <c r="C5514" s="17" t="s">
        <v>170</v>
      </c>
      <c r="D5514" s="13" t="s">
        <v>118</v>
      </c>
      <c r="E5514" s="13" t="s">
        <v>9584</v>
      </c>
      <c r="F5514" s="43">
        <v>52.48</v>
      </c>
    </row>
    <row r="5515" spans="2:6" x14ac:dyDescent="0.25">
      <c r="B5515" s="13" t="s">
        <v>9585</v>
      </c>
      <c r="C5515" s="17" t="s">
        <v>170</v>
      </c>
      <c r="D5515" s="13" t="s">
        <v>118</v>
      </c>
      <c r="E5515" s="13" t="s">
        <v>9586</v>
      </c>
      <c r="F5515" s="43">
        <v>52.48</v>
      </c>
    </row>
    <row r="5516" spans="2:6" x14ac:dyDescent="0.25">
      <c r="B5516" s="13" t="s">
        <v>9587</v>
      </c>
      <c r="C5516" s="17" t="s">
        <v>170</v>
      </c>
      <c r="D5516" s="13" t="s">
        <v>118</v>
      </c>
      <c r="E5516" s="13" t="s">
        <v>9588</v>
      </c>
      <c r="F5516" s="43">
        <v>52.48</v>
      </c>
    </row>
    <row r="5517" spans="2:6" x14ac:dyDescent="0.25">
      <c r="B5517" s="13" t="s">
        <v>9589</v>
      </c>
      <c r="C5517" s="17" t="s">
        <v>170</v>
      </c>
      <c r="D5517" s="13" t="s">
        <v>118</v>
      </c>
      <c r="E5517" s="13" t="s">
        <v>9590</v>
      </c>
      <c r="F5517" s="43">
        <v>52.48</v>
      </c>
    </row>
    <row r="5518" spans="2:6" x14ac:dyDescent="0.25">
      <c r="B5518" s="13" t="s">
        <v>9591</v>
      </c>
      <c r="C5518" s="17" t="s">
        <v>170</v>
      </c>
      <c r="D5518" s="13" t="s">
        <v>118</v>
      </c>
      <c r="E5518" s="13" t="s">
        <v>9592</v>
      </c>
      <c r="F5518" s="43">
        <v>52.48</v>
      </c>
    </row>
    <row r="5519" spans="2:6" x14ac:dyDescent="0.25">
      <c r="B5519" s="13" t="s">
        <v>9593</v>
      </c>
      <c r="C5519" s="17" t="s">
        <v>170</v>
      </c>
      <c r="D5519" s="13" t="s">
        <v>118</v>
      </c>
      <c r="E5519" s="13" t="s">
        <v>9594</v>
      </c>
      <c r="F5519" s="43">
        <v>52.48</v>
      </c>
    </row>
    <row r="5520" spans="2:6" x14ac:dyDescent="0.25">
      <c r="B5520" s="13" t="s">
        <v>9595</v>
      </c>
      <c r="C5520" s="17" t="s">
        <v>170</v>
      </c>
      <c r="D5520" s="13" t="s">
        <v>118</v>
      </c>
      <c r="E5520" s="13" t="s">
        <v>9596</v>
      </c>
      <c r="F5520" s="43">
        <v>52.48</v>
      </c>
    </row>
    <row r="5521" spans="2:6" x14ac:dyDescent="0.25">
      <c r="B5521" s="13" t="s">
        <v>9597</v>
      </c>
      <c r="C5521" s="17" t="s">
        <v>170</v>
      </c>
      <c r="D5521" s="13" t="s">
        <v>118</v>
      </c>
      <c r="E5521" s="13" t="s">
        <v>9598</v>
      </c>
      <c r="F5521" s="43">
        <v>52.48</v>
      </c>
    </row>
    <row r="5522" spans="2:6" x14ac:dyDescent="0.25">
      <c r="B5522" s="13" t="s">
        <v>9599</v>
      </c>
      <c r="C5522" s="17" t="s">
        <v>170</v>
      </c>
      <c r="D5522" s="13" t="s">
        <v>118</v>
      </c>
      <c r="E5522" s="13" t="s">
        <v>9600</v>
      </c>
      <c r="F5522" s="43">
        <v>52.48</v>
      </c>
    </row>
    <row r="5523" spans="2:6" x14ac:dyDescent="0.25">
      <c r="B5523" s="13" t="s">
        <v>9601</v>
      </c>
      <c r="C5523" s="17" t="s">
        <v>170</v>
      </c>
      <c r="D5523" s="13" t="s">
        <v>118</v>
      </c>
      <c r="E5523" s="13" t="s">
        <v>9602</v>
      </c>
      <c r="F5523" s="43">
        <v>52.48</v>
      </c>
    </row>
    <row r="5524" spans="2:6" x14ac:dyDescent="0.25">
      <c r="B5524" s="13" t="s">
        <v>9603</v>
      </c>
      <c r="C5524" s="17" t="s">
        <v>170</v>
      </c>
      <c r="D5524" s="13" t="s">
        <v>118</v>
      </c>
      <c r="E5524" s="13" t="s">
        <v>9604</v>
      </c>
      <c r="F5524" s="43">
        <v>52.48</v>
      </c>
    </row>
    <row r="5525" spans="2:6" x14ac:dyDescent="0.25">
      <c r="B5525" s="13" t="s">
        <v>9605</v>
      </c>
      <c r="C5525" s="17" t="s">
        <v>170</v>
      </c>
      <c r="D5525" s="13" t="s">
        <v>118</v>
      </c>
      <c r="E5525" s="13" t="s">
        <v>9606</v>
      </c>
      <c r="F5525" s="43">
        <v>52.48</v>
      </c>
    </row>
    <row r="5526" spans="2:6" x14ac:dyDescent="0.25">
      <c r="B5526" s="13" t="s">
        <v>9607</v>
      </c>
      <c r="C5526" s="17" t="s">
        <v>170</v>
      </c>
      <c r="D5526" s="13" t="s">
        <v>118</v>
      </c>
      <c r="E5526" s="13" t="s">
        <v>9608</v>
      </c>
      <c r="F5526" s="43">
        <v>52.48</v>
      </c>
    </row>
    <row r="5527" spans="2:6" x14ac:dyDescent="0.25">
      <c r="B5527" s="13" t="s">
        <v>9609</v>
      </c>
      <c r="C5527" s="17" t="s">
        <v>170</v>
      </c>
      <c r="D5527" s="13" t="s">
        <v>118</v>
      </c>
      <c r="E5527" s="13" t="s">
        <v>9610</v>
      </c>
      <c r="F5527" s="43">
        <v>52.48</v>
      </c>
    </row>
    <row r="5528" spans="2:6" x14ac:dyDescent="0.25">
      <c r="B5528" s="13" t="s">
        <v>9611</v>
      </c>
      <c r="C5528" s="17" t="s">
        <v>170</v>
      </c>
      <c r="D5528" s="13" t="s">
        <v>118</v>
      </c>
      <c r="E5528" s="13" t="s">
        <v>9612</v>
      </c>
      <c r="F5528" s="43">
        <v>52.48</v>
      </c>
    </row>
    <row r="5529" spans="2:6" x14ac:dyDescent="0.25">
      <c r="B5529" s="13" t="s">
        <v>9613</v>
      </c>
      <c r="C5529" s="17" t="s">
        <v>170</v>
      </c>
      <c r="D5529" s="13" t="s">
        <v>118</v>
      </c>
      <c r="E5529" s="13" t="s">
        <v>9614</v>
      </c>
      <c r="F5529" s="43">
        <v>52.48</v>
      </c>
    </row>
    <row r="5530" spans="2:6" x14ac:dyDescent="0.25">
      <c r="B5530" s="13" t="s">
        <v>9615</v>
      </c>
      <c r="C5530" s="17" t="s">
        <v>170</v>
      </c>
      <c r="D5530" s="13" t="s">
        <v>118</v>
      </c>
      <c r="E5530" s="13" t="s">
        <v>9616</v>
      </c>
      <c r="F5530" s="43">
        <v>54.86</v>
      </c>
    </row>
    <row r="5531" spans="2:6" x14ac:dyDescent="0.25">
      <c r="B5531" s="13" t="s">
        <v>9617</v>
      </c>
      <c r="C5531" s="17" t="s">
        <v>170</v>
      </c>
      <c r="D5531" s="13" t="s">
        <v>118</v>
      </c>
      <c r="E5531" s="13" t="s">
        <v>9618</v>
      </c>
      <c r="F5531" s="43">
        <v>54.86</v>
      </c>
    </row>
    <row r="5532" spans="2:6" x14ac:dyDescent="0.25">
      <c r="B5532" s="13" t="s">
        <v>9619</v>
      </c>
      <c r="C5532" s="17" t="s">
        <v>170</v>
      </c>
      <c r="D5532" s="13" t="s">
        <v>118</v>
      </c>
      <c r="E5532" s="13" t="s">
        <v>9620</v>
      </c>
      <c r="F5532" s="43">
        <v>54.86</v>
      </c>
    </row>
    <row r="5533" spans="2:6" x14ac:dyDescent="0.25">
      <c r="B5533" s="13" t="s">
        <v>9621</v>
      </c>
      <c r="C5533" s="17" t="s">
        <v>170</v>
      </c>
      <c r="D5533" s="13" t="s">
        <v>118</v>
      </c>
      <c r="E5533" s="13" t="s">
        <v>9622</v>
      </c>
      <c r="F5533" s="43">
        <v>54.86</v>
      </c>
    </row>
    <row r="5534" spans="2:6" x14ac:dyDescent="0.25">
      <c r="B5534" s="13" t="s">
        <v>9623</v>
      </c>
      <c r="C5534" s="17" t="s">
        <v>170</v>
      </c>
      <c r="D5534" s="13" t="s">
        <v>118</v>
      </c>
      <c r="E5534" s="13" t="s">
        <v>9624</v>
      </c>
      <c r="F5534" s="43">
        <v>54.86</v>
      </c>
    </row>
    <row r="5535" spans="2:6" x14ac:dyDescent="0.25">
      <c r="B5535" s="13" t="s">
        <v>9625</v>
      </c>
      <c r="C5535" s="17" t="s">
        <v>170</v>
      </c>
      <c r="D5535" s="13" t="s">
        <v>118</v>
      </c>
      <c r="E5535" s="13" t="s">
        <v>9626</v>
      </c>
      <c r="F5535" s="43">
        <v>54.86</v>
      </c>
    </row>
    <row r="5536" spans="2:6" x14ac:dyDescent="0.25">
      <c r="B5536" s="13" t="s">
        <v>9627</v>
      </c>
      <c r="C5536" s="17" t="s">
        <v>170</v>
      </c>
      <c r="D5536" s="13" t="s">
        <v>118</v>
      </c>
      <c r="E5536" s="13" t="s">
        <v>9628</v>
      </c>
      <c r="F5536" s="43">
        <v>70</v>
      </c>
    </row>
    <row r="5537" spans="2:6" x14ac:dyDescent="0.25">
      <c r="B5537" s="13" t="s">
        <v>9629</v>
      </c>
      <c r="C5537" s="17" t="s">
        <v>170</v>
      </c>
      <c r="D5537" s="13" t="s">
        <v>118</v>
      </c>
      <c r="E5537" s="13" t="s">
        <v>9630</v>
      </c>
      <c r="F5537" s="43">
        <v>70</v>
      </c>
    </row>
    <row r="5538" spans="2:6" x14ac:dyDescent="0.25">
      <c r="B5538" s="13" t="s">
        <v>9631</v>
      </c>
      <c r="C5538" s="17" t="s">
        <v>170</v>
      </c>
      <c r="D5538" s="13" t="s">
        <v>118</v>
      </c>
      <c r="E5538" s="13" t="s">
        <v>9632</v>
      </c>
      <c r="F5538" s="43">
        <v>70</v>
      </c>
    </row>
    <row r="5539" spans="2:6" x14ac:dyDescent="0.25">
      <c r="B5539" s="13" t="s">
        <v>9633</v>
      </c>
      <c r="C5539" s="17" t="s">
        <v>170</v>
      </c>
      <c r="D5539" s="13" t="s">
        <v>118</v>
      </c>
      <c r="E5539" s="13" t="s">
        <v>9634</v>
      </c>
      <c r="F5539" s="43">
        <v>58.76</v>
      </c>
    </row>
    <row r="5540" spans="2:6" x14ac:dyDescent="0.25">
      <c r="B5540" s="13" t="s">
        <v>9635</v>
      </c>
      <c r="C5540" s="17" t="s">
        <v>170</v>
      </c>
      <c r="D5540" s="13" t="s">
        <v>118</v>
      </c>
      <c r="E5540" s="13" t="s">
        <v>9636</v>
      </c>
      <c r="F5540" s="43">
        <v>58.76</v>
      </c>
    </row>
    <row r="5541" spans="2:6" x14ac:dyDescent="0.25">
      <c r="B5541" s="13" t="s">
        <v>9637</v>
      </c>
      <c r="C5541" s="17" t="s">
        <v>170</v>
      </c>
      <c r="D5541" s="13" t="s">
        <v>118</v>
      </c>
      <c r="E5541" s="13" t="s">
        <v>9638</v>
      </c>
      <c r="F5541" s="43">
        <v>58.76</v>
      </c>
    </row>
    <row r="5542" spans="2:6" x14ac:dyDescent="0.25">
      <c r="B5542" s="13" t="s">
        <v>9639</v>
      </c>
      <c r="C5542" s="17" t="s">
        <v>170</v>
      </c>
      <c r="D5542" s="13" t="s">
        <v>118</v>
      </c>
      <c r="E5542" s="13" t="s">
        <v>9640</v>
      </c>
      <c r="F5542" s="43">
        <v>58.76</v>
      </c>
    </row>
    <row r="5543" spans="2:6" x14ac:dyDescent="0.25">
      <c r="B5543" s="13" t="s">
        <v>9641</v>
      </c>
      <c r="C5543" s="17" t="s">
        <v>170</v>
      </c>
      <c r="D5543" s="13" t="s">
        <v>118</v>
      </c>
      <c r="E5543" s="13" t="s">
        <v>9642</v>
      </c>
      <c r="F5543" s="43">
        <v>58.76</v>
      </c>
    </row>
    <row r="5544" spans="2:6" x14ac:dyDescent="0.25">
      <c r="B5544" s="13" t="s">
        <v>9643</v>
      </c>
      <c r="C5544" s="17" t="s">
        <v>170</v>
      </c>
      <c r="D5544" s="13" t="s">
        <v>118</v>
      </c>
      <c r="E5544" s="13" t="s">
        <v>9644</v>
      </c>
      <c r="F5544" s="43">
        <v>58.76</v>
      </c>
    </row>
    <row r="5545" spans="2:6" x14ac:dyDescent="0.25">
      <c r="B5545" s="13" t="s">
        <v>9645</v>
      </c>
      <c r="C5545" s="17" t="s">
        <v>170</v>
      </c>
      <c r="D5545" s="13" t="s">
        <v>118</v>
      </c>
      <c r="E5545" s="13" t="s">
        <v>9646</v>
      </c>
      <c r="F5545" s="43">
        <v>58.76</v>
      </c>
    </row>
    <row r="5546" spans="2:6" x14ac:dyDescent="0.25">
      <c r="B5546" s="13" t="s">
        <v>9647</v>
      </c>
      <c r="C5546" s="17" t="s">
        <v>170</v>
      </c>
      <c r="D5546" s="13" t="s">
        <v>118</v>
      </c>
      <c r="E5546" s="13" t="s">
        <v>9648</v>
      </c>
      <c r="F5546" s="43">
        <v>58.76</v>
      </c>
    </row>
    <row r="5547" spans="2:6" x14ac:dyDescent="0.25">
      <c r="B5547" s="13" t="s">
        <v>9649</v>
      </c>
      <c r="C5547" s="17" t="s">
        <v>170</v>
      </c>
      <c r="D5547" s="13" t="s">
        <v>118</v>
      </c>
      <c r="E5547" s="13" t="s">
        <v>9650</v>
      </c>
      <c r="F5547" s="43">
        <v>58.76</v>
      </c>
    </row>
    <row r="5548" spans="2:6" x14ac:dyDescent="0.25">
      <c r="B5548" s="13" t="s">
        <v>9651</v>
      </c>
      <c r="C5548" s="17" t="s">
        <v>170</v>
      </c>
      <c r="D5548" s="13" t="s">
        <v>118</v>
      </c>
      <c r="E5548" s="13" t="s">
        <v>9652</v>
      </c>
      <c r="F5548" s="43">
        <v>58.76</v>
      </c>
    </row>
    <row r="5549" spans="2:6" x14ac:dyDescent="0.25">
      <c r="B5549" s="13" t="s">
        <v>9653</v>
      </c>
      <c r="C5549" s="17" t="s">
        <v>170</v>
      </c>
      <c r="D5549" s="13" t="s">
        <v>118</v>
      </c>
      <c r="E5549" s="13" t="s">
        <v>9654</v>
      </c>
      <c r="F5549" s="43">
        <v>58.76</v>
      </c>
    </row>
    <row r="5550" spans="2:6" x14ac:dyDescent="0.25">
      <c r="B5550" s="13" t="s">
        <v>9655</v>
      </c>
      <c r="C5550" s="17" t="s">
        <v>170</v>
      </c>
      <c r="D5550" s="13" t="s">
        <v>118</v>
      </c>
      <c r="E5550" s="13" t="s">
        <v>9656</v>
      </c>
      <c r="F5550" s="43">
        <v>58.76</v>
      </c>
    </row>
    <row r="5551" spans="2:6" x14ac:dyDescent="0.25">
      <c r="B5551" s="13" t="s">
        <v>9657</v>
      </c>
      <c r="C5551" s="17" t="s">
        <v>170</v>
      </c>
      <c r="D5551" s="13" t="s">
        <v>118</v>
      </c>
      <c r="E5551" s="13" t="s">
        <v>9658</v>
      </c>
      <c r="F5551" s="43">
        <v>58.76</v>
      </c>
    </row>
    <row r="5552" spans="2:6" x14ac:dyDescent="0.25">
      <c r="B5552" s="13" t="s">
        <v>9659</v>
      </c>
      <c r="C5552" s="17" t="s">
        <v>170</v>
      </c>
      <c r="D5552" s="13" t="s">
        <v>118</v>
      </c>
      <c r="E5552" s="13" t="s">
        <v>9660</v>
      </c>
      <c r="F5552" s="43">
        <v>58.76</v>
      </c>
    </row>
    <row r="5553" spans="2:6" x14ac:dyDescent="0.25">
      <c r="B5553" s="13" t="s">
        <v>9661</v>
      </c>
      <c r="C5553" s="17" t="s">
        <v>170</v>
      </c>
      <c r="D5553" s="13" t="s">
        <v>118</v>
      </c>
      <c r="E5553" s="13" t="s">
        <v>9662</v>
      </c>
      <c r="F5553" s="43">
        <v>58.76</v>
      </c>
    </row>
    <row r="5554" spans="2:6" x14ac:dyDescent="0.25">
      <c r="B5554" s="13" t="s">
        <v>9663</v>
      </c>
      <c r="C5554" s="17" t="s">
        <v>170</v>
      </c>
      <c r="D5554" s="13" t="s">
        <v>118</v>
      </c>
      <c r="E5554" s="13" t="s">
        <v>9664</v>
      </c>
      <c r="F5554" s="43">
        <v>58.76</v>
      </c>
    </row>
    <row r="5555" spans="2:6" x14ac:dyDescent="0.25">
      <c r="B5555" s="13" t="s">
        <v>9665</v>
      </c>
      <c r="C5555" s="17" t="s">
        <v>170</v>
      </c>
      <c r="D5555" s="13" t="s">
        <v>118</v>
      </c>
      <c r="E5555" s="13" t="s">
        <v>9666</v>
      </c>
      <c r="F5555" s="43">
        <v>58.76</v>
      </c>
    </row>
    <row r="5556" spans="2:6" x14ac:dyDescent="0.25">
      <c r="B5556" s="13" t="s">
        <v>9667</v>
      </c>
      <c r="C5556" s="17" t="s">
        <v>170</v>
      </c>
      <c r="D5556" s="13" t="s">
        <v>118</v>
      </c>
      <c r="E5556" s="13" t="s">
        <v>9668</v>
      </c>
      <c r="F5556" s="43">
        <v>61.2</v>
      </c>
    </row>
    <row r="5557" spans="2:6" x14ac:dyDescent="0.25">
      <c r="B5557" s="13" t="s">
        <v>9669</v>
      </c>
      <c r="C5557" s="17" t="s">
        <v>170</v>
      </c>
      <c r="D5557" s="13" t="s">
        <v>118</v>
      </c>
      <c r="E5557" s="13" t="s">
        <v>9670</v>
      </c>
      <c r="F5557" s="43">
        <v>61.2</v>
      </c>
    </row>
    <row r="5558" spans="2:6" x14ac:dyDescent="0.25">
      <c r="B5558" s="13" t="s">
        <v>9671</v>
      </c>
      <c r="C5558" s="17" t="s">
        <v>170</v>
      </c>
      <c r="D5558" s="13" t="s">
        <v>118</v>
      </c>
      <c r="E5558" s="13" t="s">
        <v>9672</v>
      </c>
      <c r="F5558" s="43">
        <v>61.2</v>
      </c>
    </row>
    <row r="5559" spans="2:6" x14ac:dyDescent="0.25">
      <c r="B5559" s="13" t="s">
        <v>9673</v>
      </c>
      <c r="C5559" s="17" t="s">
        <v>170</v>
      </c>
      <c r="D5559" s="13" t="s">
        <v>118</v>
      </c>
      <c r="E5559" s="13" t="s">
        <v>9674</v>
      </c>
      <c r="F5559" s="43">
        <v>61.2</v>
      </c>
    </row>
    <row r="5560" spans="2:6" x14ac:dyDescent="0.25">
      <c r="B5560" s="13" t="s">
        <v>9675</v>
      </c>
      <c r="C5560" s="17" t="s">
        <v>170</v>
      </c>
      <c r="D5560" s="13" t="s">
        <v>118</v>
      </c>
      <c r="E5560" s="13" t="s">
        <v>9676</v>
      </c>
      <c r="F5560" s="43">
        <v>61.2</v>
      </c>
    </row>
    <row r="5561" spans="2:6" x14ac:dyDescent="0.25">
      <c r="B5561" s="13" t="s">
        <v>9677</v>
      </c>
      <c r="C5561" s="17" t="s">
        <v>170</v>
      </c>
      <c r="D5561" s="13" t="s">
        <v>118</v>
      </c>
      <c r="E5561" s="13" t="s">
        <v>9678</v>
      </c>
      <c r="F5561" s="43">
        <v>61.2</v>
      </c>
    </row>
    <row r="5562" spans="2:6" x14ac:dyDescent="0.25">
      <c r="B5562" s="13" t="s">
        <v>9679</v>
      </c>
      <c r="C5562" s="17" t="s">
        <v>170</v>
      </c>
      <c r="D5562" s="13" t="s">
        <v>118</v>
      </c>
      <c r="E5562" s="13" t="s">
        <v>9680</v>
      </c>
      <c r="F5562" s="43">
        <v>76.2</v>
      </c>
    </row>
    <row r="5563" spans="2:6" x14ac:dyDescent="0.25">
      <c r="B5563" s="13" t="s">
        <v>9681</v>
      </c>
      <c r="C5563" s="17" t="s">
        <v>170</v>
      </c>
      <c r="D5563" s="13" t="s">
        <v>118</v>
      </c>
      <c r="E5563" s="13" t="s">
        <v>9682</v>
      </c>
      <c r="F5563" s="43">
        <v>76.2</v>
      </c>
    </row>
    <row r="5564" spans="2:6" x14ac:dyDescent="0.25">
      <c r="B5564" s="13" t="s">
        <v>9683</v>
      </c>
      <c r="C5564" s="17" t="s">
        <v>170</v>
      </c>
      <c r="D5564" s="13" t="s">
        <v>118</v>
      </c>
      <c r="E5564" s="13" t="s">
        <v>9684</v>
      </c>
      <c r="F5564" s="43">
        <v>76.2</v>
      </c>
    </row>
    <row r="5565" spans="2:6" x14ac:dyDescent="0.25">
      <c r="B5565" s="13" t="s">
        <v>9685</v>
      </c>
      <c r="C5565" s="17" t="s">
        <v>170</v>
      </c>
      <c r="D5565" s="13" t="s">
        <v>118</v>
      </c>
      <c r="E5565" s="13" t="s">
        <v>9686</v>
      </c>
      <c r="F5565" s="43">
        <v>52.48</v>
      </c>
    </row>
    <row r="5566" spans="2:6" x14ac:dyDescent="0.25">
      <c r="B5566" s="13" t="s">
        <v>9687</v>
      </c>
      <c r="C5566" s="17" t="s">
        <v>170</v>
      </c>
      <c r="D5566" s="13" t="s">
        <v>118</v>
      </c>
      <c r="E5566" s="13" t="s">
        <v>9688</v>
      </c>
      <c r="F5566" s="43">
        <v>52.48</v>
      </c>
    </row>
    <row r="5567" spans="2:6" x14ac:dyDescent="0.25">
      <c r="B5567" s="13" t="s">
        <v>9689</v>
      </c>
      <c r="C5567" s="17" t="s">
        <v>170</v>
      </c>
      <c r="D5567" s="13" t="s">
        <v>118</v>
      </c>
      <c r="E5567" s="13" t="s">
        <v>9690</v>
      </c>
      <c r="F5567" s="43">
        <v>52.48</v>
      </c>
    </row>
    <row r="5568" spans="2:6" x14ac:dyDescent="0.25">
      <c r="B5568" s="13" t="s">
        <v>9691</v>
      </c>
      <c r="C5568" s="17" t="s">
        <v>170</v>
      </c>
      <c r="D5568" s="13" t="s">
        <v>118</v>
      </c>
      <c r="E5568" s="13" t="s">
        <v>9692</v>
      </c>
      <c r="F5568" s="43">
        <v>52.48</v>
      </c>
    </row>
    <row r="5569" spans="2:6" x14ac:dyDescent="0.25">
      <c r="B5569" s="13" t="s">
        <v>9693</v>
      </c>
      <c r="C5569" s="17" t="s">
        <v>170</v>
      </c>
      <c r="D5569" s="13" t="s">
        <v>118</v>
      </c>
      <c r="E5569" s="13" t="s">
        <v>9694</v>
      </c>
      <c r="F5569" s="43">
        <v>52.48</v>
      </c>
    </row>
    <row r="5570" spans="2:6" x14ac:dyDescent="0.25">
      <c r="B5570" s="13" t="s">
        <v>9695</v>
      </c>
      <c r="C5570" s="17" t="s">
        <v>170</v>
      </c>
      <c r="D5570" s="13" t="s">
        <v>118</v>
      </c>
      <c r="E5570" s="13" t="s">
        <v>9696</v>
      </c>
      <c r="F5570" s="43">
        <v>52.48</v>
      </c>
    </row>
    <row r="5571" spans="2:6" x14ac:dyDescent="0.25">
      <c r="B5571" s="13" t="s">
        <v>9697</v>
      </c>
      <c r="C5571" s="17" t="s">
        <v>170</v>
      </c>
      <c r="D5571" s="13" t="s">
        <v>118</v>
      </c>
      <c r="E5571" s="13" t="s">
        <v>9698</v>
      </c>
      <c r="F5571" s="43">
        <v>52.48</v>
      </c>
    </row>
    <row r="5572" spans="2:6" x14ac:dyDescent="0.25">
      <c r="B5572" s="13" t="s">
        <v>9699</v>
      </c>
      <c r="C5572" s="17" t="s">
        <v>170</v>
      </c>
      <c r="D5572" s="13" t="s">
        <v>118</v>
      </c>
      <c r="E5572" s="13" t="s">
        <v>9700</v>
      </c>
      <c r="F5572" s="43">
        <v>52.48</v>
      </c>
    </row>
    <row r="5573" spans="2:6" x14ac:dyDescent="0.25">
      <c r="B5573" s="13" t="s">
        <v>9701</v>
      </c>
      <c r="C5573" s="17" t="s">
        <v>170</v>
      </c>
      <c r="D5573" s="13" t="s">
        <v>118</v>
      </c>
      <c r="E5573" s="13" t="s">
        <v>9702</v>
      </c>
      <c r="F5573" s="43">
        <v>52.48</v>
      </c>
    </row>
    <row r="5574" spans="2:6" x14ac:dyDescent="0.25">
      <c r="B5574" s="13" t="s">
        <v>9703</v>
      </c>
      <c r="C5574" s="17" t="s">
        <v>170</v>
      </c>
      <c r="D5574" s="13" t="s">
        <v>118</v>
      </c>
      <c r="E5574" s="13" t="s">
        <v>9704</v>
      </c>
      <c r="F5574" s="43">
        <v>52.48</v>
      </c>
    </row>
    <row r="5575" spans="2:6" x14ac:dyDescent="0.25">
      <c r="B5575" s="13" t="s">
        <v>9705</v>
      </c>
      <c r="C5575" s="17" t="s">
        <v>170</v>
      </c>
      <c r="D5575" s="13" t="s">
        <v>118</v>
      </c>
      <c r="E5575" s="13" t="s">
        <v>9706</v>
      </c>
      <c r="F5575" s="43">
        <v>52.48</v>
      </c>
    </row>
    <row r="5576" spans="2:6" x14ac:dyDescent="0.25">
      <c r="B5576" s="13" t="s">
        <v>9707</v>
      </c>
      <c r="C5576" s="17" t="s">
        <v>170</v>
      </c>
      <c r="D5576" s="13" t="s">
        <v>118</v>
      </c>
      <c r="E5576" s="13" t="s">
        <v>9708</v>
      </c>
      <c r="F5576" s="43">
        <v>52.48</v>
      </c>
    </row>
    <row r="5577" spans="2:6" x14ac:dyDescent="0.25">
      <c r="B5577" s="13" t="s">
        <v>9709</v>
      </c>
      <c r="C5577" s="17" t="s">
        <v>170</v>
      </c>
      <c r="D5577" s="13" t="s">
        <v>118</v>
      </c>
      <c r="E5577" s="13" t="s">
        <v>9710</v>
      </c>
      <c r="F5577" s="43">
        <v>52.48</v>
      </c>
    </row>
    <row r="5578" spans="2:6" x14ac:dyDescent="0.25">
      <c r="B5578" s="13" t="s">
        <v>9711</v>
      </c>
      <c r="C5578" s="17" t="s">
        <v>170</v>
      </c>
      <c r="D5578" s="13" t="s">
        <v>118</v>
      </c>
      <c r="E5578" s="13" t="s">
        <v>9712</v>
      </c>
      <c r="F5578" s="43">
        <v>52.48</v>
      </c>
    </row>
    <row r="5579" spans="2:6" x14ac:dyDescent="0.25">
      <c r="B5579" s="13" t="s">
        <v>9713</v>
      </c>
      <c r="C5579" s="17" t="s">
        <v>170</v>
      </c>
      <c r="D5579" s="13" t="s">
        <v>118</v>
      </c>
      <c r="E5579" s="13" t="s">
        <v>9714</v>
      </c>
      <c r="F5579" s="43">
        <v>52.48</v>
      </c>
    </row>
    <row r="5580" spans="2:6" x14ac:dyDescent="0.25">
      <c r="B5580" s="13" t="s">
        <v>9715</v>
      </c>
      <c r="C5580" s="17" t="s">
        <v>170</v>
      </c>
      <c r="D5580" s="13" t="s">
        <v>118</v>
      </c>
      <c r="E5580" s="13" t="s">
        <v>9716</v>
      </c>
      <c r="F5580" s="43">
        <v>52.48</v>
      </c>
    </row>
    <row r="5581" spans="2:6" x14ac:dyDescent="0.25">
      <c r="B5581" s="13" t="s">
        <v>9717</v>
      </c>
      <c r="C5581" s="17" t="s">
        <v>170</v>
      </c>
      <c r="D5581" s="13" t="s">
        <v>118</v>
      </c>
      <c r="E5581" s="13" t="s">
        <v>9718</v>
      </c>
      <c r="F5581" s="43">
        <v>52.48</v>
      </c>
    </row>
    <row r="5582" spans="2:6" x14ac:dyDescent="0.25">
      <c r="B5582" s="13" t="s">
        <v>9719</v>
      </c>
      <c r="C5582" s="17" t="s">
        <v>170</v>
      </c>
      <c r="D5582" s="13" t="s">
        <v>118</v>
      </c>
      <c r="E5582" s="13" t="s">
        <v>9720</v>
      </c>
      <c r="F5582" s="43">
        <v>54.86</v>
      </c>
    </row>
    <row r="5583" spans="2:6" x14ac:dyDescent="0.25">
      <c r="B5583" s="13" t="s">
        <v>9721</v>
      </c>
      <c r="C5583" s="17" t="s">
        <v>170</v>
      </c>
      <c r="D5583" s="13" t="s">
        <v>118</v>
      </c>
      <c r="E5583" s="13" t="s">
        <v>9722</v>
      </c>
      <c r="F5583" s="43">
        <v>54.86</v>
      </c>
    </row>
    <row r="5584" spans="2:6" x14ac:dyDescent="0.25">
      <c r="B5584" s="13" t="s">
        <v>9723</v>
      </c>
      <c r="C5584" s="17" t="s">
        <v>170</v>
      </c>
      <c r="D5584" s="13" t="s">
        <v>118</v>
      </c>
      <c r="E5584" s="13" t="s">
        <v>9724</v>
      </c>
      <c r="F5584" s="43">
        <v>54.86</v>
      </c>
    </row>
    <row r="5585" spans="2:6" x14ac:dyDescent="0.25">
      <c r="B5585" s="13" t="s">
        <v>9725</v>
      </c>
      <c r="C5585" s="17" t="s">
        <v>170</v>
      </c>
      <c r="D5585" s="13" t="s">
        <v>118</v>
      </c>
      <c r="E5585" s="13" t="s">
        <v>9726</v>
      </c>
      <c r="F5585" s="43">
        <v>54.86</v>
      </c>
    </row>
    <row r="5586" spans="2:6" x14ac:dyDescent="0.25">
      <c r="B5586" s="13" t="s">
        <v>9727</v>
      </c>
      <c r="C5586" s="17" t="s">
        <v>170</v>
      </c>
      <c r="D5586" s="13" t="s">
        <v>118</v>
      </c>
      <c r="E5586" s="13" t="s">
        <v>9728</v>
      </c>
      <c r="F5586" s="43">
        <v>54.86</v>
      </c>
    </row>
    <row r="5587" spans="2:6" x14ac:dyDescent="0.25">
      <c r="B5587" s="13" t="s">
        <v>9729</v>
      </c>
      <c r="C5587" s="17" t="s">
        <v>170</v>
      </c>
      <c r="D5587" s="13" t="s">
        <v>118</v>
      </c>
      <c r="E5587" s="13" t="s">
        <v>9730</v>
      </c>
      <c r="F5587" s="43">
        <v>54.86</v>
      </c>
    </row>
    <row r="5588" spans="2:6" x14ac:dyDescent="0.25">
      <c r="B5588" s="13" t="s">
        <v>9731</v>
      </c>
      <c r="C5588" s="17" t="s">
        <v>170</v>
      </c>
      <c r="D5588" s="13" t="s">
        <v>118</v>
      </c>
      <c r="E5588" s="13" t="s">
        <v>9732</v>
      </c>
      <c r="F5588" s="43">
        <v>70</v>
      </c>
    </row>
    <row r="5589" spans="2:6" x14ac:dyDescent="0.25">
      <c r="B5589" s="13" t="s">
        <v>9733</v>
      </c>
      <c r="C5589" s="17" t="s">
        <v>170</v>
      </c>
      <c r="D5589" s="13" t="s">
        <v>118</v>
      </c>
      <c r="E5589" s="13" t="s">
        <v>9734</v>
      </c>
      <c r="F5589" s="43">
        <v>70</v>
      </c>
    </row>
    <row r="5590" spans="2:6" x14ac:dyDescent="0.25">
      <c r="B5590" s="13" t="s">
        <v>9735</v>
      </c>
      <c r="C5590" s="17" t="s">
        <v>170</v>
      </c>
      <c r="D5590" s="13" t="s">
        <v>118</v>
      </c>
      <c r="E5590" s="13" t="s">
        <v>9736</v>
      </c>
      <c r="F5590" s="43">
        <v>70</v>
      </c>
    </row>
    <row r="5591" spans="2:6" x14ac:dyDescent="0.25">
      <c r="B5591" s="13" t="s">
        <v>9737</v>
      </c>
      <c r="C5591" s="17" t="s">
        <v>170</v>
      </c>
      <c r="D5591" s="13" t="s">
        <v>118</v>
      </c>
      <c r="E5591" s="13" t="s">
        <v>9738</v>
      </c>
      <c r="F5591" s="43">
        <v>58.76</v>
      </c>
    </row>
    <row r="5592" spans="2:6" x14ac:dyDescent="0.25">
      <c r="B5592" s="13" t="s">
        <v>9739</v>
      </c>
      <c r="C5592" s="17" t="s">
        <v>170</v>
      </c>
      <c r="D5592" s="13" t="s">
        <v>118</v>
      </c>
      <c r="E5592" s="13" t="s">
        <v>9740</v>
      </c>
      <c r="F5592" s="43">
        <v>58.76</v>
      </c>
    </row>
    <row r="5593" spans="2:6" x14ac:dyDescent="0.25">
      <c r="B5593" s="13" t="s">
        <v>9741</v>
      </c>
      <c r="C5593" s="17" t="s">
        <v>170</v>
      </c>
      <c r="D5593" s="13" t="s">
        <v>118</v>
      </c>
      <c r="E5593" s="13" t="s">
        <v>9742</v>
      </c>
      <c r="F5593" s="43">
        <v>58.76</v>
      </c>
    </row>
    <row r="5594" spans="2:6" x14ac:dyDescent="0.25">
      <c r="B5594" s="13" t="s">
        <v>9743</v>
      </c>
      <c r="C5594" s="17" t="s">
        <v>170</v>
      </c>
      <c r="D5594" s="13" t="s">
        <v>118</v>
      </c>
      <c r="E5594" s="13" t="s">
        <v>9744</v>
      </c>
      <c r="F5594" s="43">
        <v>58.76</v>
      </c>
    </row>
    <row r="5595" spans="2:6" x14ac:dyDescent="0.25">
      <c r="B5595" s="13" t="s">
        <v>9745</v>
      </c>
      <c r="C5595" s="17" t="s">
        <v>170</v>
      </c>
      <c r="D5595" s="13" t="s">
        <v>118</v>
      </c>
      <c r="E5595" s="13" t="s">
        <v>9746</v>
      </c>
      <c r="F5595" s="43">
        <v>58.76</v>
      </c>
    </row>
    <row r="5596" spans="2:6" x14ac:dyDescent="0.25">
      <c r="B5596" s="13" t="s">
        <v>9747</v>
      </c>
      <c r="C5596" s="17" t="s">
        <v>170</v>
      </c>
      <c r="D5596" s="13" t="s">
        <v>118</v>
      </c>
      <c r="E5596" s="13" t="s">
        <v>9748</v>
      </c>
      <c r="F5596" s="43">
        <v>58.76</v>
      </c>
    </row>
    <row r="5597" spans="2:6" x14ac:dyDescent="0.25">
      <c r="B5597" s="13" t="s">
        <v>9749</v>
      </c>
      <c r="C5597" s="17" t="s">
        <v>170</v>
      </c>
      <c r="D5597" s="13" t="s">
        <v>118</v>
      </c>
      <c r="E5597" s="13" t="s">
        <v>9750</v>
      </c>
      <c r="F5597" s="43">
        <v>58.76</v>
      </c>
    </row>
    <row r="5598" spans="2:6" x14ac:dyDescent="0.25">
      <c r="B5598" s="13" t="s">
        <v>9751</v>
      </c>
      <c r="C5598" s="17" t="s">
        <v>170</v>
      </c>
      <c r="D5598" s="13" t="s">
        <v>118</v>
      </c>
      <c r="E5598" s="13" t="s">
        <v>9752</v>
      </c>
      <c r="F5598" s="43">
        <v>58.76</v>
      </c>
    </row>
    <row r="5599" spans="2:6" x14ac:dyDescent="0.25">
      <c r="B5599" s="13" t="s">
        <v>9753</v>
      </c>
      <c r="C5599" s="17" t="s">
        <v>170</v>
      </c>
      <c r="D5599" s="13" t="s">
        <v>118</v>
      </c>
      <c r="E5599" s="13" t="s">
        <v>9754</v>
      </c>
      <c r="F5599" s="43">
        <v>58.76</v>
      </c>
    </row>
    <row r="5600" spans="2:6" x14ac:dyDescent="0.25">
      <c r="B5600" s="13" t="s">
        <v>9755</v>
      </c>
      <c r="C5600" s="17" t="s">
        <v>170</v>
      </c>
      <c r="D5600" s="13" t="s">
        <v>118</v>
      </c>
      <c r="E5600" s="13" t="s">
        <v>9756</v>
      </c>
      <c r="F5600" s="43">
        <v>58.76</v>
      </c>
    </row>
    <row r="5601" spans="2:6" x14ac:dyDescent="0.25">
      <c r="B5601" s="13" t="s">
        <v>9757</v>
      </c>
      <c r="C5601" s="17" t="s">
        <v>170</v>
      </c>
      <c r="D5601" s="13" t="s">
        <v>118</v>
      </c>
      <c r="E5601" s="13" t="s">
        <v>9758</v>
      </c>
      <c r="F5601" s="43">
        <v>58.76</v>
      </c>
    </row>
    <row r="5602" spans="2:6" x14ac:dyDescent="0.25">
      <c r="B5602" s="13" t="s">
        <v>9759</v>
      </c>
      <c r="C5602" s="17" t="s">
        <v>170</v>
      </c>
      <c r="D5602" s="13" t="s">
        <v>118</v>
      </c>
      <c r="E5602" s="13" t="s">
        <v>9760</v>
      </c>
      <c r="F5602" s="43">
        <v>58.76</v>
      </c>
    </row>
    <row r="5603" spans="2:6" x14ac:dyDescent="0.25">
      <c r="B5603" s="13" t="s">
        <v>9761</v>
      </c>
      <c r="C5603" s="17" t="s">
        <v>170</v>
      </c>
      <c r="D5603" s="13" t="s">
        <v>118</v>
      </c>
      <c r="E5603" s="13" t="s">
        <v>9762</v>
      </c>
      <c r="F5603" s="43">
        <v>58.76</v>
      </c>
    </row>
    <row r="5604" spans="2:6" x14ac:dyDescent="0.25">
      <c r="B5604" s="13" t="s">
        <v>9763</v>
      </c>
      <c r="C5604" s="17" t="s">
        <v>170</v>
      </c>
      <c r="D5604" s="13" t="s">
        <v>118</v>
      </c>
      <c r="E5604" s="13" t="s">
        <v>9764</v>
      </c>
      <c r="F5604" s="43">
        <v>58.76</v>
      </c>
    </row>
    <row r="5605" spans="2:6" x14ac:dyDescent="0.25">
      <c r="B5605" s="13" t="s">
        <v>9765</v>
      </c>
      <c r="C5605" s="17" t="s">
        <v>170</v>
      </c>
      <c r="D5605" s="13" t="s">
        <v>118</v>
      </c>
      <c r="E5605" s="13" t="s">
        <v>9766</v>
      </c>
      <c r="F5605" s="43">
        <v>58.76</v>
      </c>
    </row>
    <row r="5606" spans="2:6" x14ac:dyDescent="0.25">
      <c r="B5606" s="13" t="s">
        <v>9767</v>
      </c>
      <c r="C5606" s="17" t="s">
        <v>170</v>
      </c>
      <c r="D5606" s="13" t="s">
        <v>118</v>
      </c>
      <c r="E5606" s="13" t="s">
        <v>9768</v>
      </c>
      <c r="F5606" s="43">
        <v>58.76</v>
      </c>
    </row>
    <row r="5607" spans="2:6" x14ac:dyDescent="0.25">
      <c r="B5607" s="13" t="s">
        <v>9769</v>
      </c>
      <c r="C5607" s="17" t="s">
        <v>170</v>
      </c>
      <c r="D5607" s="13" t="s">
        <v>118</v>
      </c>
      <c r="E5607" s="13" t="s">
        <v>9770</v>
      </c>
      <c r="F5607" s="43">
        <v>58.76</v>
      </c>
    </row>
    <row r="5608" spans="2:6" x14ac:dyDescent="0.25">
      <c r="B5608" s="13" t="s">
        <v>9771</v>
      </c>
      <c r="C5608" s="17" t="s">
        <v>170</v>
      </c>
      <c r="D5608" s="13" t="s">
        <v>118</v>
      </c>
      <c r="E5608" s="13" t="s">
        <v>9772</v>
      </c>
      <c r="F5608" s="43">
        <v>61.2</v>
      </c>
    </row>
    <row r="5609" spans="2:6" x14ac:dyDescent="0.25">
      <c r="B5609" s="13" t="s">
        <v>9773</v>
      </c>
      <c r="C5609" s="17" t="s">
        <v>170</v>
      </c>
      <c r="D5609" s="13" t="s">
        <v>118</v>
      </c>
      <c r="E5609" s="13" t="s">
        <v>9774</v>
      </c>
      <c r="F5609" s="43">
        <v>61.2</v>
      </c>
    </row>
    <row r="5610" spans="2:6" x14ac:dyDescent="0.25">
      <c r="B5610" s="13" t="s">
        <v>9775</v>
      </c>
      <c r="C5610" s="17" t="s">
        <v>170</v>
      </c>
      <c r="D5610" s="13" t="s">
        <v>118</v>
      </c>
      <c r="E5610" s="13" t="s">
        <v>9776</v>
      </c>
      <c r="F5610" s="43">
        <v>61.2</v>
      </c>
    </row>
    <row r="5611" spans="2:6" x14ac:dyDescent="0.25">
      <c r="B5611" s="13" t="s">
        <v>9777</v>
      </c>
      <c r="C5611" s="17" t="s">
        <v>170</v>
      </c>
      <c r="D5611" s="13" t="s">
        <v>118</v>
      </c>
      <c r="E5611" s="13" t="s">
        <v>9778</v>
      </c>
      <c r="F5611" s="43">
        <v>61.2</v>
      </c>
    </row>
    <row r="5612" spans="2:6" x14ac:dyDescent="0.25">
      <c r="B5612" s="13" t="s">
        <v>9779</v>
      </c>
      <c r="C5612" s="17" t="s">
        <v>170</v>
      </c>
      <c r="D5612" s="13" t="s">
        <v>118</v>
      </c>
      <c r="E5612" s="13" t="s">
        <v>9780</v>
      </c>
      <c r="F5612" s="43">
        <v>61.2</v>
      </c>
    </row>
    <row r="5613" spans="2:6" x14ac:dyDescent="0.25">
      <c r="B5613" s="13" t="s">
        <v>9781</v>
      </c>
      <c r="C5613" s="17" t="s">
        <v>170</v>
      </c>
      <c r="D5613" s="13" t="s">
        <v>118</v>
      </c>
      <c r="E5613" s="13" t="s">
        <v>9782</v>
      </c>
      <c r="F5613" s="43">
        <v>61.2</v>
      </c>
    </row>
    <row r="5614" spans="2:6" x14ac:dyDescent="0.25">
      <c r="B5614" s="13" t="s">
        <v>9783</v>
      </c>
      <c r="C5614" s="17" t="s">
        <v>170</v>
      </c>
      <c r="D5614" s="13" t="s">
        <v>118</v>
      </c>
      <c r="E5614" s="13" t="s">
        <v>9784</v>
      </c>
      <c r="F5614" s="43">
        <v>76.2</v>
      </c>
    </row>
    <row r="5615" spans="2:6" x14ac:dyDescent="0.25">
      <c r="B5615" s="13" t="s">
        <v>9785</v>
      </c>
      <c r="C5615" s="17" t="s">
        <v>170</v>
      </c>
      <c r="D5615" s="13" t="s">
        <v>118</v>
      </c>
      <c r="E5615" s="13" t="s">
        <v>9786</v>
      </c>
      <c r="F5615" s="43">
        <v>76.2</v>
      </c>
    </row>
    <row r="5616" spans="2:6" x14ac:dyDescent="0.25">
      <c r="B5616" s="13" t="s">
        <v>9787</v>
      </c>
      <c r="C5616" s="17" t="s">
        <v>170</v>
      </c>
      <c r="D5616" s="13" t="s">
        <v>118</v>
      </c>
      <c r="E5616" s="13" t="s">
        <v>9788</v>
      </c>
      <c r="F5616" s="43">
        <v>76.2</v>
      </c>
    </row>
    <row r="5617" spans="2:6" x14ac:dyDescent="0.25">
      <c r="B5617" s="13" t="s">
        <v>9789</v>
      </c>
      <c r="C5617" s="17" t="s">
        <v>170</v>
      </c>
      <c r="D5617" s="13" t="s">
        <v>118</v>
      </c>
      <c r="E5617" s="13" t="s">
        <v>9790</v>
      </c>
      <c r="F5617" s="43">
        <v>30.03</v>
      </c>
    </row>
    <row r="5618" spans="2:6" x14ac:dyDescent="0.25">
      <c r="B5618" s="13" t="s">
        <v>9791</v>
      </c>
      <c r="C5618" s="17" t="s">
        <v>170</v>
      </c>
      <c r="D5618" s="13" t="s">
        <v>118</v>
      </c>
      <c r="E5618" s="13" t="s">
        <v>9792</v>
      </c>
      <c r="F5618" s="43">
        <v>30.03</v>
      </c>
    </row>
    <row r="5619" spans="2:6" x14ac:dyDescent="0.25">
      <c r="B5619" s="13" t="s">
        <v>9793</v>
      </c>
      <c r="C5619" s="17" t="s">
        <v>170</v>
      </c>
      <c r="D5619" s="13" t="s">
        <v>118</v>
      </c>
      <c r="E5619" s="13" t="s">
        <v>9794</v>
      </c>
      <c r="F5619" s="43">
        <v>30.03</v>
      </c>
    </row>
    <row r="5620" spans="2:6" x14ac:dyDescent="0.25">
      <c r="B5620" s="13" t="s">
        <v>9795</v>
      </c>
      <c r="C5620" s="17" t="s">
        <v>170</v>
      </c>
      <c r="D5620" s="13" t="s">
        <v>118</v>
      </c>
      <c r="E5620" s="13" t="s">
        <v>9796</v>
      </c>
      <c r="F5620" s="43">
        <v>30.03</v>
      </c>
    </row>
    <row r="5621" spans="2:6" x14ac:dyDescent="0.25">
      <c r="B5621" s="13" t="s">
        <v>9797</v>
      </c>
      <c r="C5621" s="17" t="s">
        <v>170</v>
      </c>
      <c r="D5621" s="13" t="s">
        <v>118</v>
      </c>
      <c r="E5621" s="13" t="s">
        <v>9798</v>
      </c>
      <c r="F5621" s="43">
        <v>30.03</v>
      </c>
    </row>
    <row r="5622" spans="2:6" x14ac:dyDescent="0.25">
      <c r="B5622" s="13" t="s">
        <v>9799</v>
      </c>
      <c r="C5622" s="17" t="s">
        <v>170</v>
      </c>
      <c r="D5622" s="13" t="s">
        <v>118</v>
      </c>
      <c r="E5622" s="13" t="s">
        <v>9800</v>
      </c>
      <c r="F5622" s="43">
        <v>30.03</v>
      </c>
    </row>
    <row r="5623" spans="2:6" x14ac:dyDescent="0.25">
      <c r="B5623" s="13" t="s">
        <v>9801</v>
      </c>
      <c r="C5623" s="17" t="s">
        <v>170</v>
      </c>
      <c r="D5623" s="13" t="s">
        <v>118</v>
      </c>
      <c r="E5623" s="13" t="s">
        <v>9802</v>
      </c>
      <c r="F5623" s="43">
        <v>30.03</v>
      </c>
    </row>
    <row r="5624" spans="2:6" x14ac:dyDescent="0.25">
      <c r="B5624" s="13" t="s">
        <v>9803</v>
      </c>
      <c r="C5624" s="17" t="s">
        <v>170</v>
      </c>
      <c r="D5624" s="13" t="s">
        <v>118</v>
      </c>
      <c r="E5624" s="13" t="s">
        <v>9804</v>
      </c>
      <c r="F5624" s="43">
        <v>30.03</v>
      </c>
    </row>
    <row r="5625" spans="2:6" x14ac:dyDescent="0.25">
      <c r="B5625" s="13" t="s">
        <v>9805</v>
      </c>
      <c r="C5625" s="17" t="s">
        <v>170</v>
      </c>
      <c r="D5625" s="13" t="s">
        <v>118</v>
      </c>
      <c r="E5625" s="13" t="s">
        <v>9806</v>
      </c>
      <c r="F5625" s="43">
        <v>30.03</v>
      </c>
    </row>
    <row r="5626" spans="2:6" x14ac:dyDescent="0.25">
      <c r="B5626" s="13" t="s">
        <v>9807</v>
      </c>
      <c r="C5626" s="17" t="s">
        <v>170</v>
      </c>
      <c r="D5626" s="13" t="s">
        <v>118</v>
      </c>
      <c r="E5626" s="13" t="s">
        <v>9808</v>
      </c>
      <c r="F5626" s="43">
        <v>30.03</v>
      </c>
    </row>
    <row r="5627" spans="2:6" x14ac:dyDescent="0.25">
      <c r="B5627" s="13" t="s">
        <v>9809</v>
      </c>
      <c r="C5627" s="17" t="s">
        <v>170</v>
      </c>
      <c r="D5627" s="13" t="s">
        <v>118</v>
      </c>
      <c r="E5627" s="13" t="s">
        <v>9810</v>
      </c>
      <c r="F5627" s="43">
        <v>30.03</v>
      </c>
    </row>
    <row r="5628" spans="2:6" x14ac:dyDescent="0.25">
      <c r="B5628" s="13" t="s">
        <v>9811</v>
      </c>
      <c r="C5628" s="17" t="s">
        <v>170</v>
      </c>
      <c r="D5628" s="13" t="s">
        <v>118</v>
      </c>
      <c r="E5628" s="13" t="s">
        <v>9812</v>
      </c>
      <c r="F5628" s="43">
        <v>30.03</v>
      </c>
    </row>
    <row r="5629" spans="2:6" x14ac:dyDescent="0.25">
      <c r="B5629" s="13" t="s">
        <v>9813</v>
      </c>
      <c r="C5629" s="17" t="s">
        <v>170</v>
      </c>
      <c r="D5629" s="13" t="s">
        <v>118</v>
      </c>
      <c r="E5629" s="13" t="s">
        <v>9814</v>
      </c>
      <c r="F5629" s="43">
        <v>30.03</v>
      </c>
    </row>
    <row r="5630" spans="2:6" x14ac:dyDescent="0.25">
      <c r="B5630" s="13" t="s">
        <v>9815</v>
      </c>
      <c r="C5630" s="17" t="s">
        <v>170</v>
      </c>
      <c r="D5630" s="13" t="s">
        <v>118</v>
      </c>
      <c r="E5630" s="13" t="s">
        <v>9816</v>
      </c>
      <c r="F5630" s="43">
        <v>30.03</v>
      </c>
    </row>
    <row r="5631" spans="2:6" x14ac:dyDescent="0.25">
      <c r="B5631" s="13" t="s">
        <v>9817</v>
      </c>
      <c r="C5631" s="17" t="s">
        <v>170</v>
      </c>
      <c r="D5631" s="13" t="s">
        <v>118</v>
      </c>
      <c r="E5631" s="13" t="s">
        <v>9818</v>
      </c>
      <c r="F5631" s="43">
        <v>30.03</v>
      </c>
    </row>
    <row r="5632" spans="2:6" x14ac:dyDescent="0.25">
      <c r="B5632" s="13" t="s">
        <v>9819</v>
      </c>
      <c r="C5632" s="17" t="s">
        <v>170</v>
      </c>
      <c r="D5632" s="13" t="s">
        <v>118</v>
      </c>
      <c r="E5632" s="13" t="s">
        <v>9820</v>
      </c>
      <c r="F5632" s="43">
        <v>30.03</v>
      </c>
    </row>
    <row r="5633" spans="2:6" x14ac:dyDescent="0.25">
      <c r="B5633" s="13" t="s">
        <v>9821</v>
      </c>
      <c r="C5633" s="17" t="s">
        <v>170</v>
      </c>
      <c r="D5633" s="13" t="s">
        <v>118</v>
      </c>
      <c r="E5633" s="13" t="s">
        <v>9822</v>
      </c>
      <c r="F5633" s="43">
        <v>30.03</v>
      </c>
    </row>
    <row r="5634" spans="2:6" x14ac:dyDescent="0.25">
      <c r="B5634" s="13" t="s">
        <v>9823</v>
      </c>
      <c r="C5634" s="17" t="s">
        <v>170</v>
      </c>
      <c r="D5634" s="13" t="s">
        <v>118</v>
      </c>
      <c r="E5634" s="13" t="s">
        <v>9824</v>
      </c>
      <c r="F5634" s="43">
        <v>30.03</v>
      </c>
    </row>
    <row r="5635" spans="2:6" x14ac:dyDescent="0.25">
      <c r="B5635" s="13" t="s">
        <v>9825</v>
      </c>
      <c r="C5635" s="17" t="s">
        <v>170</v>
      </c>
      <c r="D5635" s="13" t="s">
        <v>118</v>
      </c>
      <c r="E5635" s="13" t="s">
        <v>9826</v>
      </c>
      <c r="F5635" s="43">
        <v>30.03</v>
      </c>
    </row>
    <row r="5636" spans="2:6" x14ac:dyDescent="0.25">
      <c r="B5636" s="13" t="s">
        <v>9827</v>
      </c>
      <c r="C5636" s="17" t="s">
        <v>170</v>
      </c>
      <c r="D5636" s="13" t="s">
        <v>118</v>
      </c>
      <c r="E5636" s="13" t="s">
        <v>9828</v>
      </c>
      <c r="F5636" s="43">
        <v>30.03</v>
      </c>
    </row>
    <row r="5637" spans="2:6" x14ac:dyDescent="0.25">
      <c r="B5637" s="13" t="s">
        <v>9829</v>
      </c>
      <c r="C5637" s="17" t="s">
        <v>170</v>
      </c>
      <c r="D5637" s="13" t="s">
        <v>118</v>
      </c>
      <c r="E5637" s="13" t="s">
        <v>9830</v>
      </c>
      <c r="F5637" s="43">
        <v>30.03</v>
      </c>
    </row>
    <row r="5638" spans="2:6" x14ac:dyDescent="0.25">
      <c r="B5638" s="13" t="s">
        <v>9831</v>
      </c>
      <c r="C5638" s="17" t="s">
        <v>170</v>
      </c>
      <c r="D5638" s="13" t="s">
        <v>118</v>
      </c>
      <c r="E5638" s="13" t="s">
        <v>9832</v>
      </c>
      <c r="F5638" s="43">
        <v>44.71</v>
      </c>
    </row>
    <row r="5639" spans="2:6" x14ac:dyDescent="0.25">
      <c r="B5639" s="13" t="s">
        <v>9833</v>
      </c>
      <c r="C5639" s="17" t="s">
        <v>170</v>
      </c>
      <c r="D5639" s="13" t="s">
        <v>118</v>
      </c>
      <c r="E5639" s="13" t="s">
        <v>9834</v>
      </c>
      <c r="F5639" s="43">
        <v>30.03</v>
      </c>
    </row>
    <row r="5640" spans="2:6" x14ac:dyDescent="0.25">
      <c r="B5640" s="13" t="s">
        <v>9835</v>
      </c>
      <c r="C5640" s="17" t="s">
        <v>170</v>
      </c>
      <c r="D5640" s="13" t="s">
        <v>118</v>
      </c>
      <c r="E5640" s="13" t="s">
        <v>9836</v>
      </c>
      <c r="F5640" s="43">
        <v>30.03</v>
      </c>
    </row>
    <row r="5641" spans="2:6" x14ac:dyDescent="0.25">
      <c r="B5641" s="13" t="s">
        <v>9837</v>
      </c>
      <c r="C5641" s="17" t="s">
        <v>170</v>
      </c>
      <c r="D5641" s="13" t="s">
        <v>118</v>
      </c>
      <c r="E5641" s="13" t="s">
        <v>9838</v>
      </c>
      <c r="F5641" s="43">
        <v>44.71</v>
      </c>
    </row>
    <row r="5642" spans="2:6" x14ac:dyDescent="0.25">
      <c r="B5642" s="13" t="s">
        <v>9839</v>
      </c>
      <c r="C5642" s="17" t="s">
        <v>170</v>
      </c>
      <c r="D5642" s="13" t="s">
        <v>118</v>
      </c>
      <c r="E5642" s="13" t="s">
        <v>9840</v>
      </c>
      <c r="F5642" s="43">
        <v>30.03</v>
      </c>
    </row>
    <row r="5643" spans="2:6" x14ac:dyDescent="0.25">
      <c r="B5643" s="13" t="s">
        <v>9841</v>
      </c>
      <c r="C5643" s="17" t="s">
        <v>170</v>
      </c>
      <c r="D5643" s="13" t="s">
        <v>118</v>
      </c>
      <c r="E5643" s="13" t="s">
        <v>9842</v>
      </c>
      <c r="F5643" s="43">
        <v>30.03</v>
      </c>
    </row>
    <row r="5644" spans="2:6" x14ac:dyDescent="0.25">
      <c r="B5644" s="13" t="s">
        <v>9843</v>
      </c>
      <c r="C5644" s="17" t="s">
        <v>170</v>
      </c>
      <c r="D5644" s="13" t="s">
        <v>118</v>
      </c>
      <c r="E5644" s="13" t="s">
        <v>9844</v>
      </c>
      <c r="F5644" s="43">
        <v>30.03</v>
      </c>
    </row>
    <row r="5645" spans="2:6" x14ac:dyDescent="0.25">
      <c r="B5645" s="13" t="s">
        <v>9845</v>
      </c>
      <c r="C5645" s="17" t="s">
        <v>170</v>
      </c>
      <c r="D5645" s="13" t="s">
        <v>118</v>
      </c>
      <c r="E5645" s="13" t="s">
        <v>9846</v>
      </c>
      <c r="F5645" s="43">
        <v>30.03</v>
      </c>
    </row>
    <row r="5646" spans="2:6" x14ac:dyDescent="0.25">
      <c r="B5646" s="13" t="s">
        <v>9847</v>
      </c>
      <c r="C5646" s="17" t="s">
        <v>170</v>
      </c>
      <c r="D5646" s="13" t="s">
        <v>118</v>
      </c>
      <c r="E5646" s="13" t="s">
        <v>9848</v>
      </c>
      <c r="F5646" s="43">
        <v>44.71</v>
      </c>
    </row>
    <row r="5647" spans="2:6" x14ac:dyDescent="0.25">
      <c r="B5647" s="13" t="s">
        <v>9849</v>
      </c>
      <c r="C5647" s="17" t="s">
        <v>170</v>
      </c>
      <c r="D5647" s="13" t="s">
        <v>118</v>
      </c>
      <c r="E5647" s="13" t="s">
        <v>9850</v>
      </c>
      <c r="F5647" s="43">
        <v>30.03</v>
      </c>
    </row>
    <row r="5648" spans="2:6" x14ac:dyDescent="0.25">
      <c r="B5648" s="13" t="s">
        <v>9851</v>
      </c>
      <c r="C5648" s="17" t="s">
        <v>170</v>
      </c>
      <c r="D5648" s="13" t="s">
        <v>118</v>
      </c>
      <c r="E5648" s="13" t="s">
        <v>9852</v>
      </c>
      <c r="F5648" s="43">
        <v>30.03</v>
      </c>
    </row>
    <row r="5649" spans="2:6" x14ac:dyDescent="0.25">
      <c r="B5649" s="13" t="s">
        <v>9853</v>
      </c>
      <c r="C5649" s="17" t="s">
        <v>170</v>
      </c>
      <c r="D5649" s="13" t="s">
        <v>118</v>
      </c>
      <c r="E5649" s="13" t="s">
        <v>9854</v>
      </c>
      <c r="F5649" s="43">
        <v>30.03</v>
      </c>
    </row>
    <row r="5650" spans="2:6" x14ac:dyDescent="0.25">
      <c r="B5650" s="13" t="s">
        <v>9855</v>
      </c>
      <c r="C5650" s="17" t="s">
        <v>170</v>
      </c>
      <c r="D5650" s="13" t="s">
        <v>118</v>
      </c>
      <c r="E5650" s="13" t="s">
        <v>9856</v>
      </c>
      <c r="F5650" s="43">
        <v>44.71</v>
      </c>
    </row>
    <row r="5651" spans="2:6" x14ac:dyDescent="0.25">
      <c r="B5651" s="13" t="s">
        <v>9857</v>
      </c>
      <c r="C5651" s="17" t="s">
        <v>170</v>
      </c>
      <c r="D5651" s="13" t="s">
        <v>118</v>
      </c>
      <c r="E5651" s="13" t="s">
        <v>9858</v>
      </c>
      <c r="F5651" s="43">
        <v>30.03</v>
      </c>
    </row>
    <row r="5652" spans="2:6" x14ac:dyDescent="0.25">
      <c r="B5652" s="13" t="s">
        <v>9859</v>
      </c>
      <c r="C5652" s="17" t="s">
        <v>170</v>
      </c>
      <c r="D5652" s="13" t="s">
        <v>118</v>
      </c>
      <c r="E5652" s="13" t="s">
        <v>9860</v>
      </c>
      <c r="F5652" s="43">
        <v>30.03</v>
      </c>
    </row>
    <row r="5653" spans="2:6" x14ac:dyDescent="0.25">
      <c r="B5653" s="13" t="s">
        <v>9861</v>
      </c>
      <c r="C5653" s="17" t="s">
        <v>170</v>
      </c>
      <c r="D5653" s="13" t="s">
        <v>118</v>
      </c>
      <c r="E5653" s="13" t="s">
        <v>9862</v>
      </c>
      <c r="F5653" s="43">
        <v>30.03</v>
      </c>
    </row>
    <row r="5654" spans="2:6" x14ac:dyDescent="0.25">
      <c r="B5654" s="13" t="s">
        <v>9863</v>
      </c>
      <c r="C5654" s="17" t="s">
        <v>170</v>
      </c>
      <c r="D5654" s="13" t="s">
        <v>118</v>
      </c>
      <c r="E5654" s="13" t="s">
        <v>9864</v>
      </c>
      <c r="F5654" s="43">
        <v>30.03</v>
      </c>
    </row>
    <row r="5655" spans="2:6" x14ac:dyDescent="0.25">
      <c r="B5655" s="13" t="s">
        <v>9865</v>
      </c>
      <c r="C5655" s="17" t="s">
        <v>170</v>
      </c>
      <c r="D5655" s="13" t="s">
        <v>118</v>
      </c>
      <c r="E5655" s="13" t="s">
        <v>9866</v>
      </c>
      <c r="F5655" s="43">
        <v>30.03</v>
      </c>
    </row>
    <row r="5656" spans="2:6" x14ac:dyDescent="0.25">
      <c r="B5656" s="13" t="s">
        <v>9867</v>
      </c>
      <c r="C5656" s="17" t="s">
        <v>170</v>
      </c>
      <c r="D5656" s="13" t="s">
        <v>118</v>
      </c>
      <c r="E5656" s="13" t="s">
        <v>9868</v>
      </c>
      <c r="F5656" s="43">
        <v>30.03</v>
      </c>
    </row>
    <row r="5657" spans="2:6" x14ac:dyDescent="0.25">
      <c r="B5657" s="13" t="s">
        <v>9869</v>
      </c>
      <c r="C5657" s="17" t="s">
        <v>170</v>
      </c>
      <c r="D5657" s="13" t="s">
        <v>118</v>
      </c>
      <c r="E5657" s="13" t="s">
        <v>9870</v>
      </c>
      <c r="F5657" s="43">
        <v>30.03</v>
      </c>
    </row>
    <row r="5658" spans="2:6" x14ac:dyDescent="0.25">
      <c r="B5658" s="13" t="s">
        <v>9871</v>
      </c>
      <c r="C5658" s="17" t="s">
        <v>170</v>
      </c>
      <c r="D5658" s="13" t="s">
        <v>118</v>
      </c>
      <c r="E5658" s="13" t="s">
        <v>9872</v>
      </c>
      <c r="F5658" s="43">
        <v>30.03</v>
      </c>
    </row>
    <row r="5659" spans="2:6" x14ac:dyDescent="0.25">
      <c r="B5659" s="13" t="s">
        <v>9873</v>
      </c>
      <c r="C5659" s="17" t="s">
        <v>170</v>
      </c>
      <c r="D5659" s="13" t="s">
        <v>118</v>
      </c>
      <c r="E5659" s="13" t="s">
        <v>9874</v>
      </c>
      <c r="F5659" s="43">
        <v>30.03</v>
      </c>
    </row>
    <row r="5660" spans="2:6" x14ac:dyDescent="0.25">
      <c r="B5660" s="13" t="s">
        <v>9875</v>
      </c>
      <c r="C5660" s="17" t="s">
        <v>170</v>
      </c>
      <c r="D5660" s="13" t="s">
        <v>118</v>
      </c>
      <c r="E5660" s="13" t="s">
        <v>9876</v>
      </c>
      <c r="F5660" s="43">
        <v>30.03</v>
      </c>
    </row>
    <row r="5661" spans="2:6" x14ac:dyDescent="0.25">
      <c r="B5661" s="13" t="s">
        <v>9877</v>
      </c>
      <c r="C5661" s="17" t="s">
        <v>170</v>
      </c>
      <c r="D5661" s="13" t="s">
        <v>118</v>
      </c>
      <c r="E5661" s="13" t="s">
        <v>9878</v>
      </c>
      <c r="F5661" s="43">
        <v>44.71</v>
      </c>
    </row>
    <row r="5662" spans="2:6" x14ac:dyDescent="0.25">
      <c r="B5662" s="13" t="s">
        <v>9879</v>
      </c>
      <c r="C5662" s="17" t="s">
        <v>170</v>
      </c>
      <c r="D5662" s="13" t="s">
        <v>118</v>
      </c>
      <c r="E5662" s="13" t="s">
        <v>9880</v>
      </c>
      <c r="F5662" s="43">
        <v>30.03</v>
      </c>
    </row>
    <row r="5663" spans="2:6" x14ac:dyDescent="0.25">
      <c r="B5663" s="13" t="s">
        <v>9881</v>
      </c>
      <c r="C5663" s="17" t="s">
        <v>170</v>
      </c>
      <c r="D5663" s="13" t="s">
        <v>118</v>
      </c>
      <c r="E5663" s="13" t="s">
        <v>9882</v>
      </c>
      <c r="F5663" s="43">
        <v>30.03</v>
      </c>
    </row>
    <row r="5664" spans="2:6" x14ac:dyDescent="0.25">
      <c r="B5664" s="13" t="s">
        <v>9883</v>
      </c>
      <c r="C5664" s="17" t="s">
        <v>170</v>
      </c>
      <c r="D5664" s="13" t="s">
        <v>118</v>
      </c>
      <c r="E5664" s="13" t="s">
        <v>9884</v>
      </c>
      <c r="F5664" s="43">
        <v>44.71</v>
      </c>
    </row>
    <row r="5665" spans="2:6" x14ac:dyDescent="0.25">
      <c r="B5665" s="13" t="s">
        <v>9885</v>
      </c>
      <c r="C5665" s="17" t="s">
        <v>170</v>
      </c>
      <c r="D5665" s="13" t="s">
        <v>118</v>
      </c>
      <c r="E5665" s="13" t="s">
        <v>9886</v>
      </c>
      <c r="F5665" s="43">
        <v>30.03</v>
      </c>
    </row>
    <row r="5666" spans="2:6" x14ac:dyDescent="0.25">
      <c r="B5666" s="13" t="s">
        <v>9887</v>
      </c>
      <c r="C5666" s="17" t="s">
        <v>170</v>
      </c>
      <c r="D5666" s="13" t="s">
        <v>118</v>
      </c>
      <c r="E5666" s="13" t="s">
        <v>9888</v>
      </c>
      <c r="F5666" s="43">
        <v>44.71</v>
      </c>
    </row>
    <row r="5667" spans="2:6" x14ac:dyDescent="0.25">
      <c r="B5667" s="13" t="s">
        <v>9889</v>
      </c>
      <c r="C5667" s="17" t="s">
        <v>170</v>
      </c>
      <c r="D5667" s="13" t="s">
        <v>118</v>
      </c>
      <c r="E5667" s="13" t="s">
        <v>9890</v>
      </c>
      <c r="F5667" s="43">
        <v>30.03</v>
      </c>
    </row>
    <row r="5668" spans="2:6" x14ac:dyDescent="0.25">
      <c r="B5668" s="13" t="s">
        <v>9891</v>
      </c>
      <c r="C5668" s="17" t="s">
        <v>170</v>
      </c>
      <c r="D5668" s="13" t="s">
        <v>118</v>
      </c>
      <c r="E5668" s="13" t="s">
        <v>9892</v>
      </c>
      <c r="F5668" s="43">
        <v>30.03</v>
      </c>
    </row>
    <row r="5669" spans="2:6" x14ac:dyDescent="0.25">
      <c r="B5669" s="13" t="s">
        <v>9893</v>
      </c>
      <c r="C5669" s="17" t="s">
        <v>170</v>
      </c>
      <c r="D5669" s="13" t="s">
        <v>118</v>
      </c>
      <c r="E5669" s="13" t="s">
        <v>9894</v>
      </c>
      <c r="F5669" s="43">
        <v>30.03</v>
      </c>
    </row>
    <row r="5670" spans="2:6" x14ac:dyDescent="0.25">
      <c r="B5670" s="13" t="s">
        <v>9895</v>
      </c>
      <c r="C5670" s="17" t="s">
        <v>170</v>
      </c>
      <c r="D5670" s="13" t="s">
        <v>118</v>
      </c>
      <c r="E5670" s="13" t="s">
        <v>9896</v>
      </c>
      <c r="F5670" s="43">
        <v>30.03</v>
      </c>
    </row>
    <row r="5671" spans="2:6" x14ac:dyDescent="0.25">
      <c r="B5671" s="13" t="s">
        <v>9897</v>
      </c>
      <c r="C5671" s="17" t="s">
        <v>170</v>
      </c>
      <c r="D5671" s="13" t="s">
        <v>118</v>
      </c>
      <c r="E5671" s="13" t="s">
        <v>9898</v>
      </c>
      <c r="F5671" s="43">
        <v>44.71</v>
      </c>
    </row>
    <row r="5672" spans="2:6" x14ac:dyDescent="0.25">
      <c r="B5672" s="13" t="s">
        <v>9899</v>
      </c>
      <c r="C5672" s="17" t="s">
        <v>170</v>
      </c>
      <c r="D5672" s="13" t="s">
        <v>118</v>
      </c>
      <c r="E5672" s="13" t="s">
        <v>9900</v>
      </c>
      <c r="F5672" s="43">
        <v>30.03</v>
      </c>
    </row>
    <row r="5673" spans="2:6" x14ac:dyDescent="0.25">
      <c r="B5673" s="13" t="s">
        <v>9901</v>
      </c>
      <c r="C5673" s="17" t="s">
        <v>170</v>
      </c>
      <c r="D5673" s="13" t="s">
        <v>118</v>
      </c>
      <c r="E5673" s="13" t="s">
        <v>9902</v>
      </c>
      <c r="F5673" s="43">
        <v>31.21</v>
      </c>
    </row>
    <row r="5674" spans="2:6" x14ac:dyDescent="0.25">
      <c r="B5674" s="13" t="s">
        <v>9903</v>
      </c>
      <c r="C5674" s="17" t="s">
        <v>170</v>
      </c>
      <c r="D5674" s="13" t="s">
        <v>118</v>
      </c>
      <c r="E5674" s="13" t="s">
        <v>9904</v>
      </c>
      <c r="F5674" s="43">
        <v>31.21</v>
      </c>
    </row>
    <row r="5675" spans="2:6" x14ac:dyDescent="0.25">
      <c r="B5675" s="13" t="s">
        <v>9905</v>
      </c>
      <c r="C5675" s="17" t="s">
        <v>170</v>
      </c>
      <c r="D5675" s="13" t="s">
        <v>118</v>
      </c>
      <c r="E5675" s="13" t="s">
        <v>9906</v>
      </c>
      <c r="F5675" s="43">
        <v>31.21</v>
      </c>
    </row>
    <row r="5676" spans="2:6" x14ac:dyDescent="0.25">
      <c r="B5676" s="13" t="s">
        <v>9907</v>
      </c>
      <c r="C5676" s="17" t="s">
        <v>170</v>
      </c>
      <c r="D5676" s="13" t="s">
        <v>118</v>
      </c>
      <c r="E5676" s="13" t="s">
        <v>9908</v>
      </c>
      <c r="F5676" s="43">
        <v>30.03</v>
      </c>
    </row>
    <row r="5677" spans="2:6" x14ac:dyDescent="0.25">
      <c r="B5677" s="13" t="s">
        <v>9909</v>
      </c>
      <c r="C5677" s="17" t="s">
        <v>170</v>
      </c>
      <c r="D5677" s="13" t="s">
        <v>118</v>
      </c>
      <c r="E5677" s="13" t="s">
        <v>9910</v>
      </c>
      <c r="F5677" s="43">
        <v>30.03</v>
      </c>
    </row>
    <row r="5678" spans="2:6" x14ac:dyDescent="0.25">
      <c r="B5678" s="13" t="s">
        <v>9911</v>
      </c>
      <c r="C5678" s="17" t="s">
        <v>170</v>
      </c>
      <c r="D5678" s="13" t="s">
        <v>118</v>
      </c>
      <c r="E5678" s="13" t="s">
        <v>9912</v>
      </c>
      <c r="F5678" s="43">
        <v>30.03</v>
      </c>
    </row>
    <row r="5679" spans="2:6" x14ac:dyDescent="0.25">
      <c r="B5679" s="13" t="s">
        <v>9913</v>
      </c>
      <c r="C5679" s="17" t="s">
        <v>170</v>
      </c>
      <c r="D5679" s="13" t="s">
        <v>118</v>
      </c>
      <c r="E5679" s="13" t="s">
        <v>9914</v>
      </c>
      <c r="F5679" s="43">
        <v>30.03</v>
      </c>
    </row>
    <row r="5680" spans="2:6" x14ac:dyDescent="0.25">
      <c r="B5680" s="13" t="s">
        <v>9915</v>
      </c>
      <c r="C5680" s="17" t="s">
        <v>170</v>
      </c>
      <c r="D5680" s="13" t="s">
        <v>118</v>
      </c>
      <c r="E5680" s="13" t="s">
        <v>9916</v>
      </c>
      <c r="F5680" s="43">
        <v>30.03</v>
      </c>
    </row>
    <row r="5681" spans="2:6" x14ac:dyDescent="0.25">
      <c r="B5681" s="13" t="s">
        <v>9917</v>
      </c>
      <c r="C5681" s="17" t="s">
        <v>170</v>
      </c>
      <c r="D5681" s="13" t="s">
        <v>118</v>
      </c>
      <c r="E5681" s="13" t="s">
        <v>9918</v>
      </c>
      <c r="F5681" s="43">
        <v>30.03</v>
      </c>
    </row>
    <row r="5682" spans="2:6" x14ac:dyDescent="0.25">
      <c r="B5682" s="13" t="s">
        <v>9919</v>
      </c>
      <c r="C5682" s="17" t="s">
        <v>170</v>
      </c>
      <c r="D5682" s="13" t="s">
        <v>118</v>
      </c>
      <c r="E5682" s="13" t="s">
        <v>9920</v>
      </c>
      <c r="F5682" s="43">
        <v>30.03</v>
      </c>
    </row>
    <row r="5683" spans="2:6" x14ac:dyDescent="0.25">
      <c r="B5683" s="13" t="s">
        <v>9921</v>
      </c>
      <c r="C5683" s="17" t="s">
        <v>170</v>
      </c>
      <c r="D5683" s="13" t="s">
        <v>118</v>
      </c>
      <c r="E5683" s="13" t="s">
        <v>9922</v>
      </c>
      <c r="F5683" s="43">
        <v>30.03</v>
      </c>
    </row>
    <row r="5684" spans="2:6" x14ac:dyDescent="0.25">
      <c r="B5684" s="13" t="s">
        <v>9923</v>
      </c>
      <c r="C5684" s="17" t="s">
        <v>170</v>
      </c>
      <c r="D5684" s="13" t="s">
        <v>118</v>
      </c>
      <c r="E5684" s="13" t="s">
        <v>9924</v>
      </c>
      <c r="F5684" s="43">
        <v>30.03</v>
      </c>
    </row>
    <row r="5685" spans="2:6" x14ac:dyDescent="0.25">
      <c r="B5685" s="13" t="s">
        <v>9925</v>
      </c>
      <c r="C5685" s="17" t="s">
        <v>170</v>
      </c>
      <c r="D5685" s="13" t="s">
        <v>118</v>
      </c>
      <c r="E5685" s="13" t="s">
        <v>9926</v>
      </c>
      <c r="F5685" s="43">
        <v>30.03</v>
      </c>
    </row>
    <row r="5686" spans="2:6" x14ac:dyDescent="0.25">
      <c r="B5686" s="13" t="s">
        <v>9927</v>
      </c>
      <c r="C5686" s="17" t="s">
        <v>170</v>
      </c>
      <c r="D5686" s="13" t="s">
        <v>118</v>
      </c>
      <c r="E5686" s="13" t="s">
        <v>9928</v>
      </c>
      <c r="F5686" s="43">
        <v>30.03</v>
      </c>
    </row>
    <row r="5687" spans="2:6" x14ac:dyDescent="0.25">
      <c r="B5687" s="13" t="s">
        <v>9929</v>
      </c>
      <c r="C5687" s="17" t="s">
        <v>170</v>
      </c>
      <c r="D5687" s="13" t="s">
        <v>118</v>
      </c>
      <c r="E5687" s="13" t="s">
        <v>9930</v>
      </c>
      <c r="F5687" s="43">
        <v>30.03</v>
      </c>
    </row>
    <row r="5688" spans="2:6" x14ac:dyDescent="0.25">
      <c r="B5688" s="13" t="s">
        <v>9931</v>
      </c>
      <c r="C5688" s="17" t="s">
        <v>170</v>
      </c>
      <c r="D5688" s="13" t="s">
        <v>118</v>
      </c>
      <c r="E5688" s="13" t="s">
        <v>9932</v>
      </c>
      <c r="F5688" s="43">
        <v>30.03</v>
      </c>
    </row>
    <row r="5689" spans="2:6" x14ac:dyDescent="0.25">
      <c r="B5689" s="13" t="s">
        <v>9933</v>
      </c>
      <c r="C5689" s="17" t="s">
        <v>170</v>
      </c>
      <c r="D5689" s="13" t="s">
        <v>118</v>
      </c>
      <c r="E5689" s="13" t="s">
        <v>9934</v>
      </c>
      <c r="F5689" s="43">
        <v>30.03</v>
      </c>
    </row>
    <row r="5690" spans="2:6" x14ac:dyDescent="0.25">
      <c r="B5690" s="13" t="s">
        <v>9935</v>
      </c>
      <c r="C5690" s="17" t="s">
        <v>170</v>
      </c>
      <c r="D5690" s="13" t="s">
        <v>118</v>
      </c>
      <c r="E5690" s="13" t="s">
        <v>9934</v>
      </c>
      <c r="F5690" s="43">
        <v>30.03</v>
      </c>
    </row>
    <row r="5691" spans="2:6" x14ac:dyDescent="0.25">
      <c r="B5691" s="13" t="s">
        <v>9936</v>
      </c>
      <c r="C5691" s="17" t="s">
        <v>170</v>
      </c>
      <c r="D5691" s="13" t="s">
        <v>118</v>
      </c>
      <c r="E5691" s="13" t="s">
        <v>9937</v>
      </c>
      <c r="F5691" s="43">
        <v>30.03</v>
      </c>
    </row>
    <row r="5692" spans="2:6" x14ac:dyDescent="0.25">
      <c r="B5692" s="13" t="s">
        <v>9938</v>
      </c>
      <c r="C5692" s="17" t="s">
        <v>170</v>
      </c>
      <c r="D5692" s="13" t="s">
        <v>118</v>
      </c>
      <c r="E5692" s="13" t="s">
        <v>9939</v>
      </c>
      <c r="F5692" s="43">
        <v>30.03</v>
      </c>
    </row>
    <row r="5693" spans="2:6" x14ac:dyDescent="0.25">
      <c r="B5693" s="13" t="s">
        <v>9940</v>
      </c>
      <c r="C5693" s="17" t="s">
        <v>170</v>
      </c>
      <c r="D5693" s="13" t="s">
        <v>118</v>
      </c>
      <c r="E5693" s="13" t="s">
        <v>9941</v>
      </c>
      <c r="F5693" s="43">
        <v>30.03</v>
      </c>
    </row>
    <row r="5694" spans="2:6" x14ac:dyDescent="0.25">
      <c r="B5694" s="13" t="s">
        <v>9942</v>
      </c>
      <c r="C5694" s="17" t="s">
        <v>170</v>
      </c>
      <c r="D5694" s="13" t="s">
        <v>118</v>
      </c>
      <c r="E5694" s="13" t="s">
        <v>9943</v>
      </c>
      <c r="F5694" s="43">
        <v>30.03</v>
      </c>
    </row>
    <row r="5695" spans="2:6" x14ac:dyDescent="0.25">
      <c r="B5695" s="13" t="s">
        <v>9944</v>
      </c>
      <c r="C5695" s="17" t="s">
        <v>170</v>
      </c>
      <c r="D5695" s="13" t="s">
        <v>118</v>
      </c>
      <c r="E5695" s="13" t="s">
        <v>9945</v>
      </c>
      <c r="F5695" s="43">
        <v>30.03</v>
      </c>
    </row>
    <row r="5696" spans="2:6" x14ac:dyDescent="0.25">
      <c r="B5696" s="13" t="s">
        <v>9946</v>
      </c>
      <c r="C5696" s="17" t="s">
        <v>170</v>
      </c>
      <c r="D5696" s="13" t="s">
        <v>118</v>
      </c>
      <c r="E5696" s="13" t="s">
        <v>9947</v>
      </c>
      <c r="F5696" s="43">
        <v>30.03</v>
      </c>
    </row>
    <row r="5697" spans="2:6" x14ac:dyDescent="0.25">
      <c r="B5697" s="13" t="s">
        <v>9948</v>
      </c>
      <c r="C5697" s="17" t="s">
        <v>170</v>
      </c>
      <c r="D5697" s="13" t="s">
        <v>118</v>
      </c>
      <c r="E5697" s="13" t="s">
        <v>9949</v>
      </c>
      <c r="F5697" s="43">
        <v>30.03</v>
      </c>
    </row>
    <row r="5698" spans="2:6" x14ac:dyDescent="0.25">
      <c r="B5698" s="13" t="s">
        <v>9950</v>
      </c>
      <c r="C5698" s="17" t="s">
        <v>170</v>
      </c>
      <c r="D5698" s="13" t="s">
        <v>118</v>
      </c>
      <c r="E5698" s="13" t="s">
        <v>9951</v>
      </c>
      <c r="F5698" s="43">
        <v>30.03</v>
      </c>
    </row>
    <row r="5699" spans="2:6" x14ac:dyDescent="0.25">
      <c r="B5699" s="13" t="s">
        <v>9952</v>
      </c>
      <c r="C5699" s="17" t="s">
        <v>170</v>
      </c>
      <c r="D5699" s="13" t="s">
        <v>118</v>
      </c>
      <c r="E5699" s="13" t="s">
        <v>9953</v>
      </c>
      <c r="F5699" s="43">
        <v>30.03</v>
      </c>
    </row>
    <row r="5700" spans="2:6" x14ac:dyDescent="0.25">
      <c r="B5700" s="13" t="s">
        <v>9954</v>
      </c>
      <c r="C5700" s="17" t="s">
        <v>170</v>
      </c>
      <c r="D5700" s="13" t="s">
        <v>118</v>
      </c>
      <c r="E5700" s="13" t="s">
        <v>9955</v>
      </c>
      <c r="F5700" s="43">
        <v>44.71</v>
      </c>
    </row>
    <row r="5701" spans="2:6" x14ac:dyDescent="0.25">
      <c r="B5701" s="13" t="s">
        <v>9956</v>
      </c>
      <c r="C5701" s="17" t="s">
        <v>170</v>
      </c>
      <c r="D5701" s="13" t="s">
        <v>118</v>
      </c>
      <c r="E5701" s="13" t="s">
        <v>9957</v>
      </c>
      <c r="F5701" s="43">
        <v>30.03</v>
      </c>
    </row>
    <row r="5702" spans="2:6" x14ac:dyDescent="0.25">
      <c r="B5702" s="13" t="s">
        <v>9958</v>
      </c>
      <c r="C5702" s="17" t="s">
        <v>170</v>
      </c>
      <c r="D5702" s="13" t="s">
        <v>118</v>
      </c>
      <c r="E5702" s="13" t="s">
        <v>9959</v>
      </c>
      <c r="F5702" s="43">
        <v>30.03</v>
      </c>
    </row>
    <row r="5703" spans="2:6" x14ac:dyDescent="0.25">
      <c r="B5703" s="13" t="s">
        <v>9960</v>
      </c>
      <c r="C5703" s="17" t="s">
        <v>170</v>
      </c>
      <c r="D5703" s="13" t="s">
        <v>118</v>
      </c>
      <c r="E5703" s="13" t="s">
        <v>9961</v>
      </c>
      <c r="F5703" s="43">
        <v>30.03</v>
      </c>
    </row>
    <row r="5704" spans="2:6" x14ac:dyDescent="0.25">
      <c r="B5704" s="13" t="s">
        <v>9962</v>
      </c>
      <c r="C5704" s="17" t="s">
        <v>170</v>
      </c>
      <c r="D5704" s="13" t="s">
        <v>118</v>
      </c>
      <c r="E5704" s="13" t="s">
        <v>9963</v>
      </c>
      <c r="F5704" s="43">
        <v>44.71</v>
      </c>
    </row>
    <row r="5705" spans="2:6" x14ac:dyDescent="0.25">
      <c r="B5705" s="13" t="s">
        <v>9964</v>
      </c>
      <c r="C5705" s="17" t="s">
        <v>170</v>
      </c>
      <c r="D5705" s="13" t="s">
        <v>118</v>
      </c>
      <c r="E5705" s="13" t="s">
        <v>9965</v>
      </c>
      <c r="F5705" s="43">
        <v>30.03</v>
      </c>
    </row>
    <row r="5706" spans="2:6" x14ac:dyDescent="0.25">
      <c r="B5706" s="13" t="s">
        <v>9966</v>
      </c>
      <c r="C5706" s="17" t="s">
        <v>170</v>
      </c>
      <c r="D5706" s="13" t="s">
        <v>118</v>
      </c>
      <c r="E5706" s="13" t="s">
        <v>9967</v>
      </c>
      <c r="F5706" s="43">
        <v>30.03</v>
      </c>
    </row>
    <row r="5707" spans="2:6" x14ac:dyDescent="0.25">
      <c r="B5707" s="13" t="s">
        <v>9968</v>
      </c>
      <c r="C5707" s="17" t="s">
        <v>170</v>
      </c>
      <c r="D5707" s="13" t="s">
        <v>118</v>
      </c>
      <c r="E5707" s="13" t="s">
        <v>9969</v>
      </c>
      <c r="F5707" s="43">
        <v>30.03</v>
      </c>
    </row>
    <row r="5708" spans="2:6" x14ac:dyDescent="0.25">
      <c r="B5708" s="13" t="s">
        <v>9970</v>
      </c>
      <c r="C5708" s="17" t="s">
        <v>170</v>
      </c>
      <c r="D5708" s="13" t="s">
        <v>118</v>
      </c>
      <c r="E5708" s="13" t="s">
        <v>9971</v>
      </c>
      <c r="F5708" s="43">
        <v>44.24</v>
      </c>
    </row>
    <row r="5709" spans="2:6" x14ac:dyDescent="0.25">
      <c r="B5709" s="13" t="s">
        <v>9972</v>
      </c>
      <c r="C5709" s="17" t="s">
        <v>170</v>
      </c>
      <c r="D5709" s="13" t="s">
        <v>118</v>
      </c>
      <c r="E5709" s="13" t="s">
        <v>9973</v>
      </c>
      <c r="F5709" s="43">
        <v>30.03</v>
      </c>
    </row>
    <row r="5710" spans="2:6" x14ac:dyDescent="0.25">
      <c r="B5710" s="13" t="s">
        <v>9974</v>
      </c>
      <c r="C5710" s="17" t="s">
        <v>170</v>
      </c>
      <c r="D5710" s="13" t="s">
        <v>118</v>
      </c>
      <c r="E5710" s="13" t="s">
        <v>9975</v>
      </c>
      <c r="F5710" s="43">
        <v>30.03</v>
      </c>
    </row>
    <row r="5711" spans="2:6" x14ac:dyDescent="0.25">
      <c r="B5711" s="13" t="s">
        <v>9976</v>
      </c>
      <c r="C5711" s="17" t="s">
        <v>170</v>
      </c>
      <c r="D5711" s="13" t="s">
        <v>118</v>
      </c>
      <c r="E5711" s="13" t="s">
        <v>9977</v>
      </c>
      <c r="F5711" s="43">
        <v>30.03</v>
      </c>
    </row>
    <row r="5712" spans="2:6" x14ac:dyDescent="0.25">
      <c r="B5712" s="13" t="s">
        <v>9978</v>
      </c>
      <c r="C5712" s="17" t="s">
        <v>170</v>
      </c>
      <c r="D5712" s="13" t="s">
        <v>118</v>
      </c>
      <c r="E5712" s="13" t="s">
        <v>9979</v>
      </c>
      <c r="F5712" s="43">
        <v>30.03</v>
      </c>
    </row>
    <row r="5713" spans="2:6" x14ac:dyDescent="0.25">
      <c r="B5713" s="13" t="s">
        <v>9980</v>
      </c>
      <c r="C5713" s="17" t="s">
        <v>170</v>
      </c>
      <c r="D5713" s="13" t="s">
        <v>118</v>
      </c>
      <c r="E5713" s="13" t="s">
        <v>9981</v>
      </c>
      <c r="F5713" s="43">
        <v>30.03</v>
      </c>
    </row>
    <row r="5714" spans="2:6" x14ac:dyDescent="0.25">
      <c r="B5714" s="13" t="s">
        <v>9982</v>
      </c>
      <c r="C5714" s="17" t="s">
        <v>170</v>
      </c>
      <c r="D5714" s="13" t="s">
        <v>118</v>
      </c>
      <c r="E5714" s="13" t="s">
        <v>9983</v>
      </c>
      <c r="F5714" s="43">
        <v>30.03</v>
      </c>
    </row>
    <row r="5715" spans="2:6" x14ac:dyDescent="0.25">
      <c r="B5715" s="13" t="s">
        <v>9984</v>
      </c>
      <c r="C5715" s="17" t="s">
        <v>170</v>
      </c>
      <c r="D5715" s="13" t="s">
        <v>118</v>
      </c>
      <c r="E5715" s="13" t="s">
        <v>9985</v>
      </c>
      <c r="F5715" s="43">
        <v>30.03</v>
      </c>
    </row>
    <row r="5716" spans="2:6" x14ac:dyDescent="0.25">
      <c r="B5716" s="13" t="s">
        <v>9986</v>
      </c>
      <c r="C5716" s="17" t="s">
        <v>170</v>
      </c>
      <c r="D5716" s="13" t="s">
        <v>118</v>
      </c>
      <c r="E5716" s="13" t="s">
        <v>9987</v>
      </c>
      <c r="F5716" s="43">
        <v>30.03</v>
      </c>
    </row>
    <row r="5717" spans="2:6" x14ac:dyDescent="0.25">
      <c r="B5717" s="13" t="s">
        <v>9988</v>
      </c>
      <c r="C5717" s="17" t="s">
        <v>170</v>
      </c>
      <c r="D5717" s="13" t="s">
        <v>118</v>
      </c>
      <c r="E5717" s="13" t="s">
        <v>9989</v>
      </c>
      <c r="F5717" s="43">
        <v>30.03</v>
      </c>
    </row>
    <row r="5718" spans="2:6" x14ac:dyDescent="0.25">
      <c r="B5718" s="13" t="s">
        <v>9990</v>
      </c>
      <c r="C5718" s="17" t="s">
        <v>170</v>
      </c>
      <c r="D5718" s="13" t="s">
        <v>118</v>
      </c>
      <c r="E5718" s="13" t="s">
        <v>9991</v>
      </c>
      <c r="F5718" s="43">
        <v>30.03</v>
      </c>
    </row>
    <row r="5719" spans="2:6" x14ac:dyDescent="0.25">
      <c r="B5719" s="13" t="s">
        <v>9992</v>
      </c>
      <c r="C5719" s="17" t="s">
        <v>170</v>
      </c>
      <c r="D5719" s="13" t="s">
        <v>118</v>
      </c>
      <c r="E5719" s="13" t="s">
        <v>9993</v>
      </c>
      <c r="F5719" s="43">
        <v>30.03</v>
      </c>
    </row>
    <row r="5720" spans="2:6" x14ac:dyDescent="0.25">
      <c r="B5720" s="13" t="s">
        <v>9994</v>
      </c>
      <c r="C5720" s="17" t="s">
        <v>170</v>
      </c>
      <c r="D5720" s="13" t="s">
        <v>118</v>
      </c>
      <c r="E5720" s="13" t="s">
        <v>9995</v>
      </c>
      <c r="F5720" s="43">
        <v>30.03</v>
      </c>
    </row>
    <row r="5721" spans="2:6" x14ac:dyDescent="0.25">
      <c r="B5721" s="13" t="s">
        <v>9996</v>
      </c>
      <c r="C5721" s="17" t="s">
        <v>170</v>
      </c>
      <c r="D5721" s="13" t="s">
        <v>118</v>
      </c>
      <c r="E5721" s="13" t="s">
        <v>9997</v>
      </c>
      <c r="F5721" s="43">
        <v>44.71</v>
      </c>
    </row>
    <row r="5722" spans="2:6" x14ac:dyDescent="0.25">
      <c r="B5722" s="13" t="s">
        <v>9998</v>
      </c>
      <c r="C5722" s="17" t="s">
        <v>170</v>
      </c>
      <c r="D5722" s="13" t="s">
        <v>118</v>
      </c>
      <c r="E5722" s="13" t="s">
        <v>9999</v>
      </c>
      <c r="F5722" s="43">
        <v>44.71</v>
      </c>
    </row>
    <row r="5723" spans="2:6" x14ac:dyDescent="0.25">
      <c r="B5723" s="13" t="s">
        <v>10000</v>
      </c>
      <c r="C5723" s="17" t="s">
        <v>170</v>
      </c>
      <c r="D5723" s="13" t="s">
        <v>118</v>
      </c>
      <c r="E5723" s="13" t="s">
        <v>10001</v>
      </c>
      <c r="F5723" s="43">
        <v>30.03</v>
      </c>
    </row>
    <row r="5724" spans="2:6" x14ac:dyDescent="0.25">
      <c r="B5724" s="13" t="s">
        <v>10002</v>
      </c>
      <c r="C5724" s="17" t="s">
        <v>170</v>
      </c>
      <c r="D5724" s="13" t="s">
        <v>118</v>
      </c>
      <c r="E5724" s="13" t="s">
        <v>10003</v>
      </c>
      <c r="F5724" s="43">
        <v>30.03</v>
      </c>
    </row>
    <row r="5725" spans="2:6" x14ac:dyDescent="0.25">
      <c r="B5725" s="13" t="s">
        <v>10004</v>
      </c>
      <c r="C5725" s="17" t="s">
        <v>170</v>
      </c>
      <c r="D5725" s="13" t="s">
        <v>118</v>
      </c>
      <c r="E5725" s="13" t="s">
        <v>10005</v>
      </c>
      <c r="F5725" s="43">
        <v>30.03</v>
      </c>
    </row>
    <row r="5726" spans="2:6" x14ac:dyDescent="0.25">
      <c r="B5726" s="13" t="s">
        <v>10006</v>
      </c>
      <c r="C5726" s="17" t="s">
        <v>170</v>
      </c>
      <c r="D5726" s="13" t="s">
        <v>118</v>
      </c>
      <c r="E5726" s="13" t="s">
        <v>10007</v>
      </c>
      <c r="F5726" s="43">
        <v>30.03</v>
      </c>
    </row>
    <row r="5727" spans="2:6" x14ac:dyDescent="0.25">
      <c r="B5727" s="13" t="s">
        <v>10008</v>
      </c>
      <c r="C5727" s="17" t="s">
        <v>170</v>
      </c>
      <c r="D5727" s="13" t="s">
        <v>118</v>
      </c>
      <c r="E5727" s="13" t="s">
        <v>10009</v>
      </c>
      <c r="F5727" s="43">
        <v>30.03</v>
      </c>
    </row>
    <row r="5728" spans="2:6" x14ac:dyDescent="0.25">
      <c r="B5728" s="13" t="s">
        <v>10010</v>
      </c>
      <c r="C5728" s="17" t="s">
        <v>170</v>
      </c>
      <c r="D5728" s="13" t="s">
        <v>118</v>
      </c>
      <c r="E5728" s="13" t="s">
        <v>10011</v>
      </c>
      <c r="F5728" s="43">
        <v>30.03</v>
      </c>
    </row>
    <row r="5729" spans="2:6" x14ac:dyDescent="0.25">
      <c r="B5729" s="13" t="s">
        <v>10012</v>
      </c>
      <c r="C5729" s="17" t="s">
        <v>170</v>
      </c>
      <c r="D5729" s="13" t="s">
        <v>118</v>
      </c>
      <c r="E5729" s="13" t="s">
        <v>10013</v>
      </c>
      <c r="F5729" s="43">
        <v>30.03</v>
      </c>
    </row>
    <row r="5730" spans="2:6" x14ac:dyDescent="0.25">
      <c r="B5730" s="13" t="s">
        <v>10014</v>
      </c>
      <c r="C5730" s="17" t="s">
        <v>170</v>
      </c>
      <c r="D5730" s="13" t="s">
        <v>118</v>
      </c>
      <c r="E5730" s="13" t="s">
        <v>10015</v>
      </c>
      <c r="F5730" s="43">
        <v>30.03</v>
      </c>
    </row>
    <row r="5731" spans="2:6" x14ac:dyDescent="0.25">
      <c r="B5731" s="13" t="s">
        <v>10016</v>
      </c>
      <c r="C5731" s="17" t="s">
        <v>170</v>
      </c>
      <c r="D5731" s="13" t="s">
        <v>118</v>
      </c>
      <c r="E5731" s="13" t="s">
        <v>10017</v>
      </c>
      <c r="F5731" s="43">
        <v>31.21</v>
      </c>
    </row>
    <row r="5732" spans="2:6" x14ac:dyDescent="0.25">
      <c r="B5732" s="13" t="s">
        <v>10018</v>
      </c>
      <c r="C5732" s="17" t="s">
        <v>170</v>
      </c>
      <c r="D5732" s="13" t="s">
        <v>118</v>
      </c>
      <c r="E5732" s="13" t="s">
        <v>10019</v>
      </c>
      <c r="F5732" s="43">
        <v>60.13</v>
      </c>
    </row>
    <row r="5733" spans="2:6" x14ac:dyDescent="0.25">
      <c r="B5733" s="13" t="s">
        <v>10020</v>
      </c>
      <c r="C5733" s="17" t="s">
        <v>170</v>
      </c>
      <c r="D5733" s="13" t="s">
        <v>118</v>
      </c>
      <c r="E5733" s="13" t="s">
        <v>10021</v>
      </c>
      <c r="F5733" s="43">
        <v>60.13</v>
      </c>
    </row>
    <row r="5734" spans="2:6" x14ac:dyDescent="0.25">
      <c r="B5734" s="13" t="s">
        <v>10022</v>
      </c>
      <c r="C5734" s="17" t="s">
        <v>170</v>
      </c>
      <c r="D5734" s="13" t="s">
        <v>118</v>
      </c>
      <c r="E5734" s="13" t="s">
        <v>10023</v>
      </c>
      <c r="F5734" s="43">
        <v>60.13</v>
      </c>
    </row>
    <row r="5735" spans="2:6" x14ac:dyDescent="0.25">
      <c r="B5735" s="13" t="s">
        <v>10024</v>
      </c>
      <c r="C5735" s="17" t="s">
        <v>170</v>
      </c>
      <c r="D5735" s="13" t="s">
        <v>118</v>
      </c>
      <c r="E5735" s="13" t="s">
        <v>10025</v>
      </c>
      <c r="F5735" s="43">
        <v>60.13</v>
      </c>
    </row>
    <row r="5736" spans="2:6" x14ac:dyDescent="0.25">
      <c r="B5736" s="13" t="s">
        <v>10026</v>
      </c>
      <c r="C5736" s="17" t="s">
        <v>170</v>
      </c>
      <c r="D5736" s="13" t="s">
        <v>118</v>
      </c>
      <c r="E5736" s="13" t="s">
        <v>10027</v>
      </c>
      <c r="F5736" s="43">
        <v>60.13</v>
      </c>
    </row>
    <row r="5737" spans="2:6" x14ac:dyDescent="0.25">
      <c r="B5737" s="13" t="s">
        <v>10028</v>
      </c>
      <c r="C5737" s="17" t="s">
        <v>170</v>
      </c>
      <c r="D5737" s="13" t="s">
        <v>118</v>
      </c>
      <c r="E5737" s="13" t="s">
        <v>10029</v>
      </c>
      <c r="F5737" s="43">
        <v>60.13</v>
      </c>
    </row>
    <row r="5738" spans="2:6" x14ac:dyDescent="0.25">
      <c r="B5738" s="13" t="s">
        <v>10030</v>
      </c>
      <c r="C5738" s="17" t="s">
        <v>170</v>
      </c>
      <c r="D5738" s="13" t="s">
        <v>118</v>
      </c>
      <c r="E5738" s="13" t="s">
        <v>10031</v>
      </c>
      <c r="F5738" s="43">
        <v>60.13</v>
      </c>
    </row>
    <row r="5739" spans="2:6" x14ac:dyDescent="0.25">
      <c r="B5739" s="13" t="s">
        <v>10032</v>
      </c>
      <c r="C5739" s="17" t="s">
        <v>170</v>
      </c>
      <c r="D5739" s="13" t="s">
        <v>118</v>
      </c>
      <c r="E5739" s="13" t="s">
        <v>10033</v>
      </c>
      <c r="F5739" s="43">
        <v>60.13</v>
      </c>
    </row>
    <row r="5740" spans="2:6" x14ac:dyDescent="0.25">
      <c r="B5740" s="13" t="s">
        <v>10034</v>
      </c>
      <c r="C5740" s="17" t="s">
        <v>170</v>
      </c>
      <c r="D5740" s="13" t="s">
        <v>118</v>
      </c>
      <c r="E5740" s="13" t="s">
        <v>10035</v>
      </c>
      <c r="F5740" s="43">
        <v>60.13</v>
      </c>
    </row>
    <row r="5741" spans="2:6" x14ac:dyDescent="0.25">
      <c r="B5741" s="13" t="s">
        <v>10036</v>
      </c>
      <c r="C5741" s="17" t="s">
        <v>170</v>
      </c>
      <c r="D5741" s="13" t="s">
        <v>118</v>
      </c>
      <c r="E5741" s="13" t="s">
        <v>10037</v>
      </c>
      <c r="F5741" s="43">
        <v>60.13</v>
      </c>
    </row>
    <row r="5742" spans="2:6" x14ac:dyDescent="0.25">
      <c r="B5742" s="13" t="s">
        <v>10038</v>
      </c>
      <c r="C5742" s="17" t="s">
        <v>170</v>
      </c>
      <c r="D5742" s="13" t="s">
        <v>118</v>
      </c>
      <c r="E5742" s="13" t="s">
        <v>10039</v>
      </c>
      <c r="F5742" s="43">
        <v>60.13</v>
      </c>
    </row>
    <row r="5743" spans="2:6" x14ac:dyDescent="0.25">
      <c r="B5743" s="13" t="s">
        <v>10040</v>
      </c>
      <c r="C5743" s="17" t="s">
        <v>170</v>
      </c>
      <c r="D5743" s="13" t="s">
        <v>118</v>
      </c>
      <c r="E5743" s="13" t="s">
        <v>10041</v>
      </c>
      <c r="F5743" s="43">
        <v>60.13</v>
      </c>
    </row>
    <row r="5744" spans="2:6" x14ac:dyDescent="0.25">
      <c r="B5744" s="13" t="s">
        <v>10042</v>
      </c>
      <c r="C5744" s="17" t="s">
        <v>170</v>
      </c>
      <c r="D5744" s="13" t="s">
        <v>118</v>
      </c>
      <c r="E5744" s="13" t="s">
        <v>10043</v>
      </c>
      <c r="F5744" s="43">
        <v>60.13</v>
      </c>
    </row>
    <row r="5745" spans="2:6" x14ac:dyDescent="0.25">
      <c r="B5745" s="13" t="s">
        <v>10044</v>
      </c>
      <c r="C5745" s="17" t="s">
        <v>170</v>
      </c>
      <c r="D5745" s="13" t="s">
        <v>118</v>
      </c>
      <c r="E5745" s="13" t="s">
        <v>10045</v>
      </c>
      <c r="F5745" s="43">
        <v>60.13</v>
      </c>
    </row>
    <row r="5746" spans="2:6" x14ac:dyDescent="0.25">
      <c r="B5746" s="13" t="s">
        <v>10046</v>
      </c>
      <c r="C5746" s="17" t="s">
        <v>170</v>
      </c>
      <c r="D5746" s="13" t="s">
        <v>118</v>
      </c>
      <c r="E5746" s="13" t="s">
        <v>10047</v>
      </c>
      <c r="F5746" s="43">
        <v>60.13</v>
      </c>
    </row>
    <row r="5747" spans="2:6" x14ac:dyDescent="0.25">
      <c r="B5747" s="13" t="s">
        <v>10048</v>
      </c>
      <c r="C5747" s="17" t="s">
        <v>170</v>
      </c>
      <c r="D5747" s="13" t="s">
        <v>118</v>
      </c>
      <c r="E5747" s="13" t="s">
        <v>10049</v>
      </c>
      <c r="F5747" s="43">
        <v>60.13</v>
      </c>
    </row>
    <row r="5748" spans="2:6" x14ac:dyDescent="0.25">
      <c r="B5748" s="13" t="s">
        <v>10050</v>
      </c>
      <c r="C5748" s="17" t="s">
        <v>170</v>
      </c>
      <c r="D5748" s="13" t="s">
        <v>118</v>
      </c>
      <c r="E5748" s="13" t="s">
        <v>10051</v>
      </c>
      <c r="F5748" s="43">
        <v>60.13</v>
      </c>
    </row>
    <row r="5749" spans="2:6" x14ac:dyDescent="0.25">
      <c r="B5749" s="13" t="s">
        <v>10052</v>
      </c>
      <c r="C5749" s="17" t="s">
        <v>170</v>
      </c>
      <c r="D5749" s="13" t="s">
        <v>118</v>
      </c>
      <c r="E5749" s="13" t="s">
        <v>10053</v>
      </c>
      <c r="F5749" s="43">
        <v>60.13</v>
      </c>
    </row>
    <row r="5750" spans="2:6" x14ac:dyDescent="0.25">
      <c r="B5750" s="13" t="s">
        <v>10054</v>
      </c>
      <c r="C5750" s="17" t="s">
        <v>170</v>
      </c>
      <c r="D5750" s="13" t="s">
        <v>118</v>
      </c>
      <c r="E5750" s="13" t="s">
        <v>10055</v>
      </c>
      <c r="F5750" s="43">
        <v>60.13</v>
      </c>
    </row>
    <row r="5751" spans="2:6" x14ac:dyDescent="0.25">
      <c r="B5751" s="13" t="s">
        <v>10056</v>
      </c>
      <c r="C5751" s="17" t="s">
        <v>170</v>
      </c>
      <c r="D5751" s="13" t="s">
        <v>118</v>
      </c>
      <c r="E5751" s="13" t="s">
        <v>10057</v>
      </c>
      <c r="F5751" s="43">
        <v>60.13</v>
      </c>
    </row>
    <row r="5752" spans="2:6" x14ac:dyDescent="0.25">
      <c r="B5752" s="13" t="s">
        <v>10058</v>
      </c>
      <c r="C5752" s="17" t="s">
        <v>170</v>
      </c>
      <c r="D5752" s="13" t="s">
        <v>118</v>
      </c>
      <c r="E5752" s="13" t="s">
        <v>10059</v>
      </c>
      <c r="F5752" s="43">
        <v>60.13</v>
      </c>
    </row>
    <row r="5753" spans="2:6" x14ac:dyDescent="0.25">
      <c r="B5753" s="13" t="s">
        <v>10060</v>
      </c>
      <c r="C5753" s="17" t="s">
        <v>170</v>
      </c>
      <c r="D5753" s="13" t="s">
        <v>118</v>
      </c>
      <c r="E5753" s="13" t="s">
        <v>10061</v>
      </c>
      <c r="F5753" s="43">
        <v>60.13</v>
      </c>
    </row>
    <row r="5754" spans="2:6" x14ac:dyDescent="0.25">
      <c r="B5754" s="13" t="s">
        <v>10062</v>
      </c>
      <c r="C5754" s="17" t="s">
        <v>170</v>
      </c>
      <c r="D5754" s="13" t="s">
        <v>118</v>
      </c>
      <c r="E5754" s="13" t="s">
        <v>10063</v>
      </c>
      <c r="F5754" s="43">
        <v>60.13</v>
      </c>
    </row>
    <row r="5755" spans="2:6" x14ac:dyDescent="0.25">
      <c r="B5755" s="13" t="s">
        <v>10064</v>
      </c>
      <c r="C5755" s="17" t="s">
        <v>170</v>
      </c>
      <c r="D5755" s="13" t="s">
        <v>118</v>
      </c>
      <c r="E5755" s="13" t="s">
        <v>10065</v>
      </c>
      <c r="F5755" s="43">
        <v>60.13</v>
      </c>
    </row>
    <row r="5756" spans="2:6" x14ac:dyDescent="0.25">
      <c r="B5756" s="13" t="s">
        <v>10066</v>
      </c>
      <c r="C5756" s="17" t="s">
        <v>170</v>
      </c>
      <c r="D5756" s="13" t="s">
        <v>118</v>
      </c>
      <c r="E5756" s="13" t="s">
        <v>10067</v>
      </c>
      <c r="F5756" s="43">
        <v>60.13</v>
      </c>
    </row>
    <row r="5757" spans="2:6" x14ac:dyDescent="0.25">
      <c r="B5757" s="13" t="s">
        <v>10068</v>
      </c>
      <c r="C5757" s="17" t="s">
        <v>170</v>
      </c>
      <c r="D5757" s="13" t="s">
        <v>118</v>
      </c>
      <c r="E5757" s="13" t="s">
        <v>10069</v>
      </c>
      <c r="F5757" s="43">
        <v>85.3</v>
      </c>
    </row>
    <row r="5758" spans="2:6" x14ac:dyDescent="0.25">
      <c r="B5758" s="13" t="s">
        <v>10070</v>
      </c>
      <c r="C5758" s="17" t="s">
        <v>170</v>
      </c>
      <c r="D5758" s="13" t="s">
        <v>118</v>
      </c>
      <c r="E5758" s="13" t="s">
        <v>10071</v>
      </c>
      <c r="F5758" s="43">
        <v>85.3</v>
      </c>
    </row>
    <row r="5759" spans="2:6" x14ac:dyDescent="0.25">
      <c r="B5759" s="13" t="s">
        <v>10072</v>
      </c>
      <c r="C5759" s="17" t="s">
        <v>170</v>
      </c>
      <c r="D5759" s="13" t="s">
        <v>118</v>
      </c>
      <c r="E5759" s="13" t="s">
        <v>10019</v>
      </c>
      <c r="F5759" s="43">
        <v>60.13</v>
      </c>
    </row>
    <row r="5760" spans="2:6" x14ac:dyDescent="0.25">
      <c r="B5760" s="13" t="s">
        <v>10073</v>
      </c>
      <c r="C5760" s="17" t="s">
        <v>170</v>
      </c>
      <c r="D5760" s="13" t="s">
        <v>118</v>
      </c>
      <c r="E5760" s="13" t="s">
        <v>10021</v>
      </c>
      <c r="F5760" s="43">
        <v>60.13</v>
      </c>
    </row>
    <row r="5761" spans="2:6" x14ac:dyDescent="0.25">
      <c r="B5761" s="13" t="s">
        <v>10074</v>
      </c>
      <c r="C5761" s="17" t="s">
        <v>170</v>
      </c>
      <c r="D5761" s="13" t="s">
        <v>118</v>
      </c>
      <c r="E5761" s="13" t="s">
        <v>10023</v>
      </c>
      <c r="F5761" s="43">
        <v>60.13</v>
      </c>
    </row>
    <row r="5762" spans="2:6" x14ac:dyDescent="0.25">
      <c r="B5762" s="13" t="s">
        <v>10075</v>
      </c>
      <c r="C5762" s="17" t="s">
        <v>170</v>
      </c>
      <c r="D5762" s="13" t="s">
        <v>118</v>
      </c>
      <c r="E5762" s="13" t="s">
        <v>10025</v>
      </c>
      <c r="F5762" s="43">
        <v>60.13</v>
      </c>
    </row>
    <row r="5763" spans="2:6" x14ac:dyDescent="0.25">
      <c r="B5763" s="13" t="s">
        <v>10076</v>
      </c>
      <c r="C5763" s="17" t="s">
        <v>170</v>
      </c>
      <c r="D5763" s="13" t="s">
        <v>118</v>
      </c>
      <c r="E5763" s="13" t="s">
        <v>10027</v>
      </c>
      <c r="F5763" s="43">
        <v>60.13</v>
      </c>
    </row>
    <row r="5764" spans="2:6" x14ac:dyDescent="0.25">
      <c r="B5764" s="13" t="s">
        <v>10077</v>
      </c>
      <c r="C5764" s="17" t="s">
        <v>170</v>
      </c>
      <c r="D5764" s="13" t="s">
        <v>118</v>
      </c>
      <c r="E5764" s="13" t="s">
        <v>10029</v>
      </c>
      <c r="F5764" s="43">
        <v>60.13</v>
      </c>
    </row>
    <row r="5765" spans="2:6" x14ac:dyDescent="0.25">
      <c r="B5765" s="13" t="s">
        <v>10078</v>
      </c>
      <c r="C5765" s="17" t="s">
        <v>170</v>
      </c>
      <c r="D5765" s="13" t="s">
        <v>118</v>
      </c>
      <c r="E5765" s="13" t="s">
        <v>10031</v>
      </c>
      <c r="F5765" s="43">
        <v>60.13</v>
      </c>
    </row>
    <row r="5766" spans="2:6" x14ac:dyDescent="0.25">
      <c r="B5766" s="13" t="s">
        <v>10079</v>
      </c>
      <c r="C5766" s="17" t="s">
        <v>170</v>
      </c>
      <c r="D5766" s="13" t="s">
        <v>118</v>
      </c>
      <c r="E5766" s="13" t="s">
        <v>10033</v>
      </c>
      <c r="F5766" s="43">
        <v>60.13</v>
      </c>
    </row>
    <row r="5767" spans="2:6" x14ac:dyDescent="0.25">
      <c r="B5767" s="13" t="s">
        <v>10080</v>
      </c>
      <c r="C5767" s="17" t="s">
        <v>170</v>
      </c>
      <c r="D5767" s="13" t="s">
        <v>118</v>
      </c>
      <c r="E5767" s="13" t="s">
        <v>10035</v>
      </c>
      <c r="F5767" s="43">
        <v>60.13</v>
      </c>
    </row>
    <row r="5768" spans="2:6" x14ac:dyDescent="0.25">
      <c r="B5768" s="13" t="s">
        <v>10081</v>
      </c>
      <c r="C5768" s="17" t="s">
        <v>170</v>
      </c>
      <c r="D5768" s="13" t="s">
        <v>118</v>
      </c>
      <c r="E5768" s="13" t="s">
        <v>10037</v>
      </c>
      <c r="F5768" s="43">
        <v>60.13</v>
      </c>
    </row>
    <row r="5769" spans="2:6" x14ac:dyDescent="0.25">
      <c r="B5769" s="13" t="s">
        <v>10082</v>
      </c>
      <c r="C5769" s="17" t="s">
        <v>170</v>
      </c>
      <c r="D5769" s="13" t="s">
        <v>118</v>
      </c>
      <c r="E5769" s="13" t="s">
        <v>10039</v>
      </c>
      <c r="F5769" s="43">
        <v>60.13</v>
      </c>
    </row>
    <row r="5770" spans="2:6" x14ac:dyDescent="0.25">
      <c r="B5770" s="13" t="s">
        <v>10083</v>
      </c>
      <c r="C5770" s="17" t="s">
        <v>170</v>
      </c>
      <c r="D5770" s="13" t="s">
        <v>118</v>
      </c>
      <c r="E5770" s="13" t="s">
        <v>10041</v>
      </c>
      <c r="F5770" s="43">
        <v>60.13</v>
      </c>
    </row>
    <row r="5771" spans="2:6" x14ac:dyDescent="0.25">
      <c r="B5771" s="13" t="s">
        <v>10084</v>
      </c>
      <c r="C5771" s="17" t="s">
        <v>170</v>
      </c>
      <c r="D5771" s="13" t="s">
        <v>118</v>
      </c>
      <c r="E5771" s="13" t="s">
        <v>10043</v>
      </c>
      <c r="F5771" s="43">
        <v>60.13</v>
      </c>
    </row>
    <row r="5772" spans="2:6" x14ac:dyDescent="0.25">
      <c r="B5772" s="13" t="s">
        <v>10085</v>
      </c>
      <c r="C5772" s="17" t="s">
        <v>170</v>
      </c>
      <c r="D5772" s="13" t="s">
        <v>118</v>
      </c>
      <c r="E5772" s="13" t="s">
        <v>10045</v>
      </c>
      <c r="F5772" s="43">
        <v>60.13</v>
      </c>
    </row>
    <row r="5773" spans="2:6" x14ac:dyDescent="0.25">
      <c r="B5773" s="13" t="s">
        <v>10086</v>
      </c>
      <c r="C5773" s="17" t="s">
        <v>170</v>
      </c>
      <c r="D5773" s="13" t="s">
        <v>118</v>
      </c>
      <c r="E5773" s="13" t="s">
        <v>10047</v>
      </c>
      <c r="F5773" s="43">
        <v>60.13</v>
      </c>
    </row>
    <row r="5774" spans="2:6" x14ac:dyDescent="0.25">
      <c r="B5774" s="13" t="s">
        <v>10087</v>
      </c>
      <c r="C5774" s="17" t="s">
        <v>170</v>
      </c>
      <c r="D5774" s="13" t="s">
        <v>118</v>
      </c>
      <c r="E5774" s="13" t="s">
        <v>10049</v>
      </c>
      <c r="F5774" s="43">
        <v>60.13</v>
      </c>
    </row>
    <row r="5775" spans="2:6" x14ac:dyDescent="0.25">
      <c r="B5775" s="13" t="s">
        <v>10088</v>
      </c>
      <c r="C5775" s="17" t="s">
        <v>170</v>
      </c>
      <c r="D5775" s="13" t="s">
        <v>118</v>
      </c>
      <c r="E5775" s="13" t="s">
        <v>10051</v>
      </c>
      <c r="F5775" s="43">
        <v>60.13</v>
      </c>
    </row>
    <row r="5776" spans="2:6" x14ac:dyDescent="0.25">
      <c r="B5776" s="13" t="s">
        <v>10089</v>
      </c>
      <c r="C5776" s="17" t="s">
        <v>170</v>
      </c>
      <c r="D5776" s="13" t="s">
        <v>118</v>
      </c>
      <c r="E5776" s="13" t="s">
        <v>10053</v>
      </c>
      <c r="F5776" s="43">
        <v>60.13</v>
      </c>
    </row>
    <row r="5777" spans="2:6" x14ac:dyDescent="0.25">
      <c r="B5777" s="13" t="s">
        <v>10090</v>
      </c>
      <c r="C5777" s="17" t="s">
        <v>170</v>
      </c>
      <c r="D5777" s="13" t="s">
        <v>118</v>
      </c>
      <c r="E5777" s="13" t="s">
        <v>10055</v>
      </c>
      <c r="F5777" s="43">
        <v>60.13</v>
      </c>
    </row>
    <row r="5778" spans="2:6" x14ac:dyDescent="0.25">
      <c r="B5778" s="13" t="s">
        <v>10091</v>
      </c>
      <c r="C5778" s="17" t="s">
        <v>170</v>
      </c>
      <c r="D5778" s="13" t="s">
        <v>118</v>
      </c>
      <c r="E5778" s="13" t="s">
        <v>10057</v>
      </c>
      <c r="F5778" s="43">
        <v>60.13</v>
      </c>
    </row>
    <row r="5779" spans="2:6" x14ac:dyDescent="0.25">
      <c r="B5779" s="13" t="s">
        <v>10092</v>
      </c>
      <c r="C5779" s="17" t="s">
        <v>170</v>
      </c>
      <c r="D5779" s="13" t="s">
        <v>118</v>
      </c>
      <c r="E5779" s="13" t="s">
        <v>10059</v>
      </c>
      <c r="F5779" s="43">
        <v>60.13</v>
      </c>
    </row>
    <row r="5780" spans="2:6" x14ac:dyDescent="0.25">
      <c r="B5780" s="13" t="s">
        <v>10093</v>
      </c>
      <c r="C5780" s="17" t="s">
        <v>170</v>
      </c>
      <c r="D5780" s="13" t="s">
        <v>118</v>
      </c>
      <c r="E5780" s="13" t="s">
        <v>10063</v>
      </c>
      <c r="F5780" s="43">
        <v>60.13</v>
      </c>
    </row>
    <row r="5781" spans="2:6" x14ac:dyDescent="0.25">
      <c r="B5781" s="13" t="s">
        <v>10094</v>
      </c>
      <c r="C5781" s="17" t="s">
        <v>170</v>
      </c>
      <c r="D5781" s="13" t="s">
        <v>118</v>
      </c>
      <c r="E5781" s="13" t="s">
        <v>10065</v>
      </c>
      <c r="F5781" s="43">
        <v>60.13</v>
      </c>
    </row>
    <row r="5782" spans="2:6" x14ac:dyDescent="0.25">
      <c r="B5782" s="13" t="s">
        <v>10095</v>
      </c>
      <c r="C5782" s="17" t="s">
        <v>170</v>
      </c>
      <c r="D5782" s="13" t="s">
        <v>118</v>
      </c>
      <c r="E5782" s="13" t="s">
        <v>10067</v>
      </c>
      <c r="F5782" s="43">
        <v>60.13</v>
      </c>
    </row>
    <row r="5783" spans="2:6" x14ac:dyDescent="0.25">
      <c r="B5783" s="13" t="s">
        <v>10096</v>
      </c>
      <c r="C5783" s="17" t="s">
        <v>170</v>
      </c>
      <c r="D5783" s="13" t="s">
        <v>118</v>
      </c>
      <c r="E5783" s="13" t="s">
        <v>10069</v>
      </c>
      <c r="F5783" s="43">
        <v>85.3</v>
      </c>
    </row>
    <row r="5784" spans="2:6" x14ac:dyDescent="0.25">
      <c r="B5784" s="13" t="s">
        <v>10097</v>
      </c>
      <c r="C5784" s="17" t="s">
        <v>170</v>
      </c>
      <c r="D5784" s="13" t="s">
        <v>118</v>
      </c>
      <c r="E5784" s="13" t="s">
        <v>10071</v>
      </c>
      <c r="F5784" s="43">
        <v>85.3</v>
      </c>
    </row>
    <row r="5785" spans="2:6" x14ac:dyDescent="0.25">
      <c r="B5785" s="13" t="s">
        <v>10098</v>
      </c>
      <c r="C5785" s="17" t="s">
        <v>170</v>
      </c>
      <c r="D5785" s="13" t="s">
        <v>118</v>
      </c>
      <c r="E5785" s="13" t="s">
        <v>10099</v>
      </c>
      <c r="F5785" s="43">
        <v>68.63</v>
      </c>
    </row>
    <row r="5786" spans="2:6" x14ac:dyDescent="0.25">
      <c r="B5786" s="13" t="s">
        <v>10100</v>
      </c>
      <c r="C5786" s="17" t="s">
        <v>170</v>
      </c>
      <c r="D5786" s="13" t="s">
        <v>118</v>
      </c>
      <c r="E5786" s="13" t="s">
        <v>10101</v>
      </c>
      <c r="F5786" s="43">
        <v>68.63</v>
      </c>
    </row>
    <row r="5787" spans="2:6" x14ac:dyDescent="0.25">
      <c r="B5787" s="13" t="s">
        <v>10102</v>
      </c>
      <c r="C5787" s="17" t="s">
        <v>170</v>
      </c>
      <c r="D5787" s="13" t="s">
        <v>118</v>
      </c>
      <c r="E5787" s="13" t="s">
        <v>10103</v>
      </c>
      <c r="F5787" s="43">
        <v>68.63</v>
      </c>
    </row>
    <row r="5788" spans="2:6" x14ac:dyDescent="0.25">
      <c r="B5788" s="13" t="s">
        <v>10104</v>
      </c>
      <c r="C5788" s="17" t="s">
        <v>170</v>
      </c>
      <c r="D5788" s="13" t="s">
        <v>118</v>
      </c>
      <c r="E5788" s="13" t="s">
        <v>10105</v>
      </c>
      <c r="F5788" s="43">
        <v>68.63</v>
      </c>
    </row>
    <row r="5789" spans="2:6" x14ac:dyDescent="0.25">
      <c r="B5789" s="13" t="s">
        <v>10106</v>
      </c>
      <c r="C5789" s="17" t="s">
        <v>170</v>
      </c>
      <c r="D5789" s="13" t="s">
        <v>118</v>
      </c>
      <c r="E5789" s="13" t="s">
        <v>10107</v>
      </c>
      <c r="F5789" s="43">
        <v>68.63</v>
      </c>
    </row>
    <row r="5790" spans="2:6" x14ac:dyDescent="0.25">
      <c r="B5790" s="13" t="s">
        <v>10108</v>
      </c>
      <c r="C5790" s="17" t="s">
        <v>170</v>
      </c>
      <c r="D5790" s="13" t="s">
        <v>118</v>
      </c>
      <c r="E5790" s="13" t="s">
        <v>10109</v>
      </c>
      <c r="F5790" s="43">
        <v>68.63</v>
      </c>
    </row>
    <row r="5791" spans="2:6" x14ac:dyDescent="0.25">
      <c r="B5791" s="13" t="s">
        <v>10110</v>
      </c>
      <c r="C5791" s="17" t="s">
        <v>170</v>
      </c>
      <c r="D5791" s="13" t="s">
        <v>118</v>
      </c>
      <c r="E5791" s="13" t="s">
        <v>10111</v>
      </c>
      <c r="F5791" s="43">
        <v>68.63</v>
      </c>
    </row>
    <row r="5792" spans="2:6" x14ac:dyDescent="0.25">
      <c r="B5792" s="13" t="s">
        <v>10112</v>
      </c>
      <c r="C5792" s="17" t="s">
        <v>170</v>
      </c>
      <c r="D5792" s="13" t="s">
        <v>118</v>
      </c>
      <c r="E5792" s="13" t="s">
        <v>10113</v>
      </c>
      <c r="F5792" s="43">
        <v>68.63</v>
      </c>
    </row>
    <row r="5793" spans="2:6" x14ac:dyDescent="0.25">
      <c r="B5793" s="13" t="s">
        <v>10114</v>
      </c>
      <c r="C5793" s="17" t="s">
        <v>170</v>
      </c>
      <c r="D5793" s="13" t="s">
        <v>118</v>
      </c>
      <c r="E5793" s="13" t="s">
        <v>10115</v>
      </c>
      <c r="F5793" s="43">
        <v>68.63</v>
      </c>
    </row>
    <row r="5794" spans="2:6" x14ac:dyDescent="0.25">
      <c r="B5794" s="13" t="s">
        <v>10116</v>
      </c>
      <c r="C5794" s="17" t="s">
        <v>170</v>
      </c>
      <c r="D5794" s="13" t="s">
        <v>118</v>
      </c>
      <c r="E5794" s="13" t="s">
        <v>10117</v>
      </c>
      <c r="F5794" s="43">
        <v>68.63</v>
      </c>
    </row>
    <row r="5795" spans="2:6" x14ac:dyDescent="0.25">
      <c r="B5795" s="13" t="s">
        <v>10118</v>
      </c>
      <c r="C5795" s="17" t="s">
        <v>170</v>
      </c>
      <c r="D5795" s="13" t="s">
        <v>118</v>
      </c>
      <c r="E5795" s="13" t="s">
        <v>10119</v>
      </c>
      <c r="F5795" s="43">
        <v>68.63</v>
      </c>
    </row>
    <row r="5796" spans="2:6" x14ac:dyDescent="0.25">
      <c r="B5796" s="13" t="s">
        <v>10120</v>
      </c>
      <c r="C5796" s="17" t="s">
        <v>170</v>
      </c>
      <c r="D5796" s="13" t="s">
        <v>118</v>
      </c>
      <c r="E5796" s="13" t="s">
        <v>10121</v>
      </c>
      <c r="F5796" s="43">
        <v>68.63</v>
      </c>
    </row>
    <row r="5797" spans="2:6" x14ac:dyDescent="0.25">
      <c r="B5797" s="13" t="s">
        <v>10122</v>
      </c>
      <c r="C5797" s="17" t="s">
        <v>170</v>
      </c>
      <c r="D5797" s="13" t="s">
        <v>118</v>
      </c>
      <c r="E5797" s="13" t="s">
        <v>10123</v>
      </c>
      <c r="F5797" s="43">
        <v>68.63</v>
      </c>
    </row>
    <row r="5798" spans="2:6" x14ac:dyDescent="0.25">
      <c r="B5798" s="13" t="s">
        <v>10124</v>
      </c>
      <c r="C5798" s="17" t="s">
        <v>170</v>
      </c>
      <c r="D5798" s="13" t="s">
        <v>118</v>
      </c>
      <c r="E5798" s="13" t="s">
        <v>10125</v>
      </c>
      <c r="F5798" s="43">
        <v>68.63</v>
      </c>
    </row>
    <row r="5799" spans="2:6" x14ac:dyDescent="0.25">
      <c r="B5799" s="13" t="s">
        <v>10126</v>
      </c>
      <c r="C5799" s="17" t="s">
        <v>170</v>
      </c>
      <c r="D5799" s="13" t="s">
        <v>118</v>
      </c>
      <c r="E5799" s="13" t="s">
        <v>10127</v>
      </c>
      <c r="F5799" s="43">
        <v>68.63</v>
      </c>
    </row>
    <row r="5800" spans="2:6" x14ac:dyDescent="0.25">
      <c r="B5800" s="13" t="s">
        <v>10128</v>
      </c>
      <c r="C5800" s="17" t="s">
        <v>170</v>
      </c>
      <c r="D5800" s="13" t="s">
        <v>118</v>
      </c>
      <c r="E5800" s="13" t="s">
        <v>10129</v>
      </c>
      <c r="F5800" s="43">
        <v>68.63</v>
      </c>
    </row>
    <row r="5801" spans="2:6" x14ac:dyDescent="0.25">
      <c r="B5801" s="13" t="s">
        <v>10130</v>
      </c>
      <c r="C5801" s="17" t="s">
        <v>170</v>
      </c>
      <c r="D5801" s="13" t="s">
        <v>118</v>
      </c>
      <c r="E5801" s="13" t="s">
        <v>10131</v>
      </c>
      <c r="F5801" s="43">
        <v>68.63</v>
      </c>
    </row>
    <row r="5802" spans="2:6" x14ac:dyDescent="0.25">
      <c r="B5802" s="13" t="s">
        <v>10132</v>
      </c>
      <c r="C5802" s="17" t="s">
        <v>170</v>
      </c>
      <c r="D5802" s="13" t="s">
        <v>118</v>
      </c>
      <c r="E5802" s="13" t="s">
        <v>10133</v>
      </c>
      <c r="F5802" s="43">
        <v>68.63</v>
      </c>
    </row>
    <row r="5803" spans="2:6" x14ac:dyDescent="0.25">
      <c r="B5803" s="13" t="s">
        <v>10134</v>
      </c>
      <c r="C5803" s="17" t="s">
        <v>170</v>
      </c>
      <c r="D5803" s="13" t="s">
        <v>118</v>
      </c>
      <c r="E5803" s="13" t="s">
        <v>10135</v>
      </c>
      <c r="F5803" s="43">
        <v>68.63</v>
      </c>
    </row>
    <row r="5804" spans="2:6" x14ac:dyDescent="0.25">
      <c r="B5804" s="13" t="s">
        <v>10136</v>
      </c>
      <c r="C5804" s="17" t="s">
        <v>170</v>
      </c>
      <c r="D5804" s="13" t="s">
        <v>118</v>
      </c>
      <c r="E5804" s="13" t="s">
        <v>10137</v>
      </c>
      <c r="F5804" s="43">
        <v>68.63</v>
      </c>
    </row>
    <row r="5805" spans="2:6" x14ac:dyDescent="0.25">
      <c r="B5805" s="13" t="s">
        <v>10138</v>
      </c>
      <c r="C5805" s="17" t="s">
        <v>170</v>
      </c>
      <c r="D5805" s="13" t="s">
        <v>118</v>
      </c>
      <c r="E5805" s="13" t="s">
        <v>10139</v>
      </c>
      <c r="F5805" s="43">
        <v>68.63</v>
      </c>
    </row>
    <row r="5806" spans="2:6" x14ac:dyDescent="0.25">
      <c r="B5806" s="13" t="s">
        <v>10140</v>
      </c>
      <c r="C5806" s="17" t="s">
        <v>170</v>
      </c>
      <c r="D5806" s="13" t="s">
        <v>118</v>
      </c>
      <c r="E5806" s="13" t="s">
        <v>10141</v>
      </c>
      <c r="F5806" s="43">
        <v>68.63</v>
      </c>
    </row>
    <row r="5807" spans="2:6" x14ac:dyDescent="0.25">
      <c r="B5807" s="13" t="s">
        <v>10142</v>
      </c>
      <c r="C5807" s="17" t="s">
        <v>170</v>
      </c>
      <c r="D5807" s="13" t="s">
        <v>118</v>
      </c>
      <c r="E5807" s="13" t="s">
        <v>10143</v>
      </c>
      <c r="F5807" s="43">
        <v>68.63</v>
      </c>
    </row>
    <row r="5808" spans="2:6" x14ac:dyDescent="0.25">
      <c r="B5808" s="13" t="s">
        <v>10144</v>
      </c>
      <c r="C5808" s="17" t="s">
        <v>170</v>
      </c>
      <c r="D5808" s="13" t="s">
        <v>118</v>
      </c>
      <c r="E5808" s="13" t="s">
        <v>10145</v>
      </c>
      <c r="F5808" s="43">
        <v>68.63</v>
      </c>
    </row>
    <row r="5809" spans="2:6" x14ac:dyDescent="0.25">
      <c r="B5809" s="13" t="s">
        <v>10146</v>
      </c>
      <c r="C5809" s="17" t="s">
        <v>170</v>
      </c>
      <c r="D5809" s="13" t="s">
        <v>118</v>
      </c>
      <c r="E5809" s="13" t="s">
        <v>10147</v>
      </c>
      <c r="F5809" s="43">
        <v>105.04</v>
      </c>
    </row>
    <row r="5810" spans="2:6" x14ac:dyDescent="0.25">
      <c r="B5810" s="13" t="s">
        <v>10148</v>
      </c>
      <c r="C5810" s="17" t="s">
        <v>170</v>
      </c>
      <c r="D5810" s="13" t="s">
        <v>118</v>
      </c>
      <c r="E5810" s="13" t="s">
        <v>10149</v>
      </c>
      <c r="F5810" s="43">
        <v>105.04</v>
      </c>
    </row>
    <row r="5811" spans="2:6" x14ac:dyDescent="0.25">
      <c r="B5811" s="13" t="s">
        <v>10150</v>
      </c>
      <c r="C5811" s="17" t="s">
        <v>170</v>
      </c>
      <c r="D5811" s="13" t="s">
        <v>118</v>
      </c>
      <c r="E5811" s="13" t="s">
        <v>10151</v>
      </c>
      <c r="F5811" s="43">
        <v>68.63</v>
      </c>
    </row>
    <row r="5812" spans="2:6" x14ac:dyDescent="0.25">
      <c r="B5812" s="13" t="s">
        <v>10152</v>
      </c>
      <c r="C5812" s="17" t="s">
        <v>170</v>
      </c>
      <c r="D5812" s="13" t="s">
        <v>118</v>
      </c>
      <c r="E5812" s="13" t="s">
        <v>10153</v>
      </c>
      <c r="F5812" s="43">
        <v>68.63</v>
      </c>
    </row>
    <row r="5813" spans="2:6" x14ac:dyDescent="0.25">
      <c r="B5813" s="13" t="s">
        <v>10154</v>
      </c>
      <c r="C5813" s="17" t="s">
        <v>170</v>
      </c>
      <c r="D5813" s="13" t="s">
        <v>118</v>
      </c>
      <c r="E5813" s="13" t="s">
        <v>10155</v>
      </c>
      <c r="F5813" s="43">
        <v>68.63</v>
      </c>
    </row>
    <row r="5814" spans="2:6" x14ac:dyDescent="0.25">
      <c r="B5814" s="13" t="s">
        <v>10156</v>
      </c>
      <c r="C5814" s="17" t="s">
        <v>170</v>
      </c>
      <c r="D5814" s="13" t="s">
        <v>118</v>
      </c>
      <c r="E5814" s="13" t="s">
        <v>10157</v>
      </c>
      <c r="F5814" s="43">
        <v>68.63</v>
      </c>
    </row>
    <row r="5815" spans="2:6" x14ac:dyDescent="0.25">
      <c r="B5815" s="13" t="s">
        <v>10158</v>
      </c>
      <c r="C5815" s="17" t="s">
        <v>170</v>
      </c>
      <c r="D5815" s="13" t="s">
        <v>118</v>
      </c>
      <c r="E5815" s="13" t="s">
        <v>10159</v>
      </c>
      <c r="F5815" s="43">
        <v>68.63</v>
      </c>
    </row>
    <row r="5816" spans="2:6" x14ac:dyDescent="0.25">
      <c r="B5816" s="13" t="s">
        <v>10160</v>
      </c>
      <c r="C5816" s="17" t="s">
        <v>170</v>
      </c>
      <c r="D5816" s="13" t="s">
        <v>118</v>
      </c>
      <c r="E5816" s="13" t="s">
        <v>10161</v>
      </c>
      <c r="F5816" s="43">
        <v>68.63</v>
      </c>
    </row>
    <row r="5817" spans="2:6" x14ac:dyDescent="0.25">
      <c r="B5817" s="13" t="s">
        <v>10162</v>
      </c>
      <c r="C5817" s="17" t="s">
        <v>170</v>
      </c>
      <c r="D5817" s="13" t="s">
        <v>118</v>
      </c>
      <c r="E5817" s="13" t="s">
        <v>10163</v>
      </c>
      <c r="F5817" s="43">
        <v>68.63</v>
      </c>
    </row>
    <row r="5818" spans="2:6" x14ac:dyDescent="0.25">
      <c r="B5818" s="13" t="s">
        <v>10164</v>
      </c>
      <c r="C5818" s="17" t="s">
        <v>170</v>
      </c>
      <c r="D5818" s="13" t="s">
        <v>118</v>
      </c>
      <c r="E5818" s="13" t="s">
        <v>10165</v>
      </c>
      <c r="F5818" s="43">
        <v>68.63</v>
      </c>
    </row>
    <row r="5819" spans="2:6" x14ac:dyDescent="0.25">
      <c r="B5819" s="13" t="s">
        <v>10166</v>
      </c>
      <c r="C5819" s="17" t="s">
        <v>170</v>
      </c>
      <c r="D5819" s="13" t="s">
        <v>118</v>
      </c>
      <c r="E5819" s="13" t="s">
        <v>10167</v>
      </c>
      <c r="F5819" s="43">
        <v>68.63</v>
      </c>
    </row>
    <row r="5820" spans="2:6" x14ac:dyDescent="0.25">
      <c r="B5820" s="13" t="s">
        <v>10168</v>
      </c>
      <c r="C5820" s="17" t="s">
        <v>170</v>
      </c>
      <c r="D5820" s="13" t="s">
        <v>118</v>
      </c>
      <c r="E5820" s="13" t="s">
        <v>10169</v>
      </c>
      <c r="F5820" s="43">
        <v>68.63</v>
      </c>
    </row>
    <row r="5821" spans="2:6" x14ac:dyDescent="0.25">
      <c r="B5821" s="13" t="s">
        <v>10170</v>
      </c>
      <c r="C5821" s="17" t="s">
        <v>170</v>
      </c>
      <c r="D5821" s="13" t="s">
        <v>118</v>
      </c>
      <c r="E5821" s="13" t="s">
        <v>10171</v>
      </c>
      <c r="F5821" s="43">
        <v>68.63</v>
      </c>
    </row>
    <row r="5822" spans="2:6" x14ac:dyDescent="0.25">
      <c r="B5822" s="13" t="s">
        <v>10172</v>
      </c>
      <c r="C5822" s="17" t="s">
        <v>170</v>
      </c>
      <c r="D5822" s="13" t="s">
        <v>118</v>
      </c>
      <c r="E5822" s="13" t="s">
        <v>10173</v>
      </c>
      <c r="F5822" s="43">
        <v>68.63</v>
      </c>
    </row>
    <row r="5823" spans="2:6" x14ac:dyDescent="0.25">
      <c r="B5823" s="13" t="s">
        <v>10174</v>
      </c>
      <c r="C5823" s="17" t="s">
        <v>170</v>
      </c>
      <c r="D5823" s="13" t="s">
        <v>118</v>
      </c>
      <c r="E5823" s="13" t="s">
        <v>10175</v>
      </c>
      <c r="F5823" s="43">
        <v>68.63</v>
      </c>
    </row>
    <row r="5824" spans="2:6" x14ac:dyDescent="0.25">
      <c r="B5824" s="13" t="s">
        <v>10176</v>
      </c>
      <c r="C5824" s="17" t="s">
        <v>170</v>
      </c>
      <c r="D5824" s="13" t="s">
        <v>118</v>
      </c>
      <c r="E5824" s="13" t="s">
        <v>10177</v>
      </c>
      <c r="F5824" s="43">
        <v>68.63</v>
      </c>
    </row>
    <row r="5825" spans="2:6" x14ac:dyDescent="0.25">
      <c r="B5825" s="13" t="s">
        <v>10178</v>
      </c>
      <c r="C5825" s="17" t="s">
        <v>170</v>
      </c>
      <c r="D5825" s="13" t="s">
        <v>118</v>
      </c>
      <c r="E5825" s="13" t="s">
        <v>10179</v>
      </c>
      <c r="F5825" s="43">
        <v>68.63</v>
      </c>
    </row>
    <row r="5826" spans="2:6" x14ac:dyDescent="0.25">
      <c r="B5826" s="13" t="s">
        <v>10180</v>
      </c>
      <c r="C5826" s="17" t="s">
        <v>170</v>
      </c>
      <c r="D5826" s="13" t="s">
        <v>118</v>
      </c>
      <c r="E5826" s="13" t="s">
        <v>10181</v>
      </c>
      <c r="F5826" s="43">
        <v>68.63</v>
      </c>
    </row>
    <row r="5827" spans="2:6" x14ac:dyDescent="0.25">
      <c r="B5827" s="13" t="s">
        <v>10182</v>
      </c>
      <c r="C5827" s="17" t="s">
        <v>170</v>
      </c>
      <c r="D5827" s="13" t="s">
        <v>118</v>
      </c>
      <c r="E5827" s="13" t="s">
        <v>10183</v>
      </c>
      <c r="F5827" s="43">
        <v>68.63</v>
      </c>
    </row>
    <row r="5828" spans="2:6" x14ac:dyDescent="0.25">
      <c r="B5828" s="13" t="s">
        <v>10184</v>
      </c>
      <c r="C5828" s="17" t="s">
        <v>170</v>
      </c>
      <c r="D5828" s="13" t="s">
        <v>118</v>
      </c>
      <c r="E5828" s="13" t="s">
        <v>10185</v>
      </c>
      <c r="F5828" s="43">
        <v>68.63</v>
      </c>
    </row>
    <row r="5829" spans="2:6" x14ac:dyDescent="0.25">
      <c r="B5829" s="13" t="s">
        <v>10186</v>
      </c>
      <c r="C5829" s="17" t="s">
        <v>170</v>
      </c>
      <c r="D5829" s="13" t="s">
        <v>118</v>
      </c>
      <c r="E5829" s="13" t="s">
        <v>10187</v>
      </c>
      <c r="F5829" s="43">
        <v>68.63</v>
      </c>
    </row>
    <row r="5830" spans="2:6" x14ac:dyDescent="0.25">
      <c r="B5830" s="13" t="s">
        <v>10188</v>
      </c>
      <c r="C5830" s="17" t="s">
        <v>170</v>
      </c>
      <c r="D5830" s="13" t="s">
        <v>118</v>
      </c>
      <c r="E5830" s="13" t="s">
        <v>10189</v>
      </c>
      <c r="F5830" s="43">
        <v>68.63</v>
      </c>
    </row>
    <row r="5831" spans="2:6" x14ac:dyDescent="0.25">
      <c r="B5831" s="13" t="s">
        <v>10190</v>
      </c>
      <c r="C5831" s="17" t="s">
        <v>170</v>
      </c>
      <c r="D5831" s="13" t="s">
        <v>118</v>
      </c>
      <c r="E5831" s="13" t="s">
        <v>10191</v>
      </c>
      <c r="F5831" s="43">
        <v>68.63</v>
      </c>
    </row>
    <row r="5832" spans="2:6" x14ac:dyDescent="0.25">
      <c r="B5832" s="13" t="s">
        <v>10192</v>
      </c>
      <c r="C5832" s="17" t="s">
        <v>170</v>
      </c>
      <c r="D5832" s="13" t="s">
        <v>118</v>
      </c>
      <c r="E5832" s="13" t="s">
        <v>10193</v>
      </c>
      <c r="F5832" s="43">
        <v>68.63</v>
      </c>
    </row>
    <row r="5833" spans="2:6" x14ac:dyDescent="0.25">
      <c r="B5833" s="13" t="s">
        <v>10194</v>
      </c>
      <c r="C5833" s="17" t="s">
        <v>170</v>
      </c>
      <c r="D5833" s="13" t="s">
        <v>118</v>
      </c>
      <c r="E5833" s="13" t="s">
        <v>10195</v>
      </c>
      <c r="F5833" s="43">
        <v>68.63</v>
      </c>
    </row>
    <row r="5834" spans="2:6" x14ac:dyDescent="0.25">
      <c r="B5834" s="13" t="s">
        <v>10196</v>
      </c>
      <c r="C5834" s="17" t="s">
        <v>170</v>
      </c>
      <c r="D5834" s="13" t="s">
        <v>118</v>
      </c>
      <c r="E5834" s="13" t="s">
        <v>10197</v>
      </c>
      <c r="F5834" s="43">
        <v>68.63</v>
      </c>
    </row>
    <row r="5835" spans="2:6" x14ac:dyDescent="0.25">
      <c r="B5835" s="13" t="s">
        <v>10198</v>
      </c>
      <c r="C5835" s="17" t="s">
        <v>170</v>
      </c>
      <c r="D5835" s="13" t="s">
        <v>118</v>
      </c>
      <c r="E5835" s="13" t="s">
        <v>10199</v>
      </c>
      <c r="F5835" s="43">
        <v>105.04</v>
      </c>
    </row>
    <row r="5836" spans="2:6" x14ac:dyDescent="0.25">
      <c r="B5836" s="13" t="s">
        <v>10200</v>
      </c>
      <c r="C5836" s="17" t="s">
        <v>170</v>
      </c>
      <c r="D5836" s="13" t="s">
        <v>118</v>
      </c>
      <c r="E5836" s="13" t="s">
        <v>10201</v>
      </c>
      <c r="F5836" s="43">
        <v>105.04</v>
      </c>
    </row>
    <row r="5837" spans="2:6" x14ac:dyDescent="0.25">
      <c r="B5837" s="13" t="s">
        <v>10202</v>
      </c>
      <c r="C5837" s="17" t="s">
        <v>170</v>
      </c>
      <c r="D5837" s="13" t="s">
        <v>118</v>
      </c>
      <c r="E5837" s="13" t="s">
        <v>10203</v>
      </c>
      <c r="F5837" s="43">
        <v>68.63</v>
      </c>
    </row>
    <row r="5838" spans="2:6" x14ac:dyDescent="0.25">
      <c r="B5838" s="13" t="s">
        <v>10204</v>
      </c>
      <c r="C5838" s="17" t="s">
        <v>170</v>
      </c>
      <c r="D5838" s="13" t="s">
        <v>118</v>
      </c>
      <c r="E5838" s="13" t="s">
        <v>10205</v>
      </c>
      <c r="F5838" s="43">
        <v>68.63</v>
      </c>
    </row>
    <row r="5839" spans="2:6" x14ac:dyDescent="0.25">
      <c r="B5839" s="13" t="s">
        <v>10206</v>
      </c>
      <c r="C5839" s="17" t="s">
        <v>170</v>
      </c>
      <c r="D5839" s="13" t="s">
        <v>118</v>
      </c>
      <c r="E5839" s="13" t="s">
        <v>10207</v>
      </c>
      <c r="F5839" s="43">
        <v>68.63</v>
      </c>
    </row>
    <row r="5840" spans="2:6" x14ac:dyDescent="0.25">
      <c r="B5840" s="13" t="s">
        <v>10208</v>
      </c>
      <c r="C5840" s="17" t="s">
        <v>170</v>
      </c>
      <c r="D5840" s="13" t="s">
        <v>118</v>
      </c>
      <c r="E5840" s="13" t="s">
        <v>10209</v>
      </c>
      <c r="F5840" s="43">
        <v>68.63</v>
      </c>
    </row>
    <row r="5841" spans="2:6" x14ac:dyDescent="0.25">
      <c r="B5841" s="13" t="s">
        <v>10210</v>
      </c>
      <c r="C5841" s="17" t="s">
        <v>170</v>
      </c>
      <c r="D5841" s="13" t="s">
        <v>118</v>
      </c>
      <c r="E5841" s="13" t="s">
        <v>10211</v>
      </c>
      <c r="F5841" s="43">
        <v>68.63</v>
      </c>
    </row>
    <row r="5842" spans="2:6" x14ac:dyDescent="0.25">
      <c r="B5842" s="13" t="s">
        <v>10212</v>
      </c>
      <c r="C5842" s="17" t="s">
        <v>170</v>
      </c>
      <c r="D5842" s="13" t="s">
        <v>118</v>
      </c>
      <c r="E5842" s="13" t="s">
        <v>10213</v>
      </c>
      <c r="F5842" s="43">
        <v>68.63</v>
      </c>
    </row>
    <row r="5843" spans="2:6" x14ac:dyDescent="0.25">
      <c r="B5843" s="13" t="s">
        <v>10214</v>
      </c>
      <c r="C5843" s="17" t="s">
        <v>170</v>
      </c>
      <c r="D5843" s="13" t="s">
        <v>118</v>
      </c>
      <c r="E5843" s="13" t="s">
        <v>10215</v>
      </c>
      <c r="F5843" s="43">
        <v>68.63</v>
      </c>
    </row>
    <row r="5844" spans="2:6" x14ac:dyDescent="0.25">
      <c r="B5844" s="13" t="s">
        <v>10216</v>
      </c>
      <c r="C5844" s="17" t="s">
        <v>170</v>
      </c>
      <c r="D5844" s="13" t="s">
        <v>118</v>
      </c>
      <c r="E5844" s="13" t="s">
        <v>10217</v>
      </c>
      <c r="F5844" s="43">
        <v>68.63</v>
      </c>
    </row>
    <row r="5845" spans="2:6" x14ac:dyDescent="0.25">
      <c r="B5845" s="13" t="s">
        <v>10218</v>
      </c>
      <c r="C5845" s="17" t="s">
        <v>170</v>
      </c>
      <c r="D5845" s="13" t="s">
        <v>118</v>
      </c>
      <c r="E5845" s="13" t="s">
        <v>10219</v>
      </c>
      <c r="F5845" s="43">
        <v>68.63</v>
      </c>
    </row>
    <row r="5846" spans="2:6" x14ac:dyDescent="0.25">
      <c r="B5846" s="13" t="s">
        <v>10220</v>
      </c>
      <c r="C5846" s="17" t="s">
        <v>170</v>
      </c>
      <c r="D5846" s="13" t="s">
        <v>118</v>
      </c>
      <c r="E5846" s="13" t="s">
        <v>10221</v>
      </c>
      <c r="F5846" s="43">
        <v>68.63</v>
      </c>
    </row>
    <row r="5847" spans="2:6" x14ac:dyDescent="0.25">
      <c r="B5847" s="13" t="s">
        <v>10222</v>
      </c>
      <c r="C5847" s="17" t="s">
        <v>170</v>
      </c>
      <c r="D5847" s="13" t="s">
        <v>118</v>
      </c>
      <c r="E5847" s="13" t="s">
        <v>10223</v>
      </c>
      <c r="F5847" s="43">
        <v>68.63</v>
      </c>
    </row>
    <row r="5848" spans="2:6" x14ac:dyDescent="0.25">
      <c r="B5848" s="13" t="s">
        <v>10224</v>
      </c>
      <c r="C5848" s="17" t="s">
        <v>170</v>
      </c>
      <c r="D5848" s="13" t="s">
        <v>118</v>
      </c>
      <c r="E5848" s="13" t="s">
        <v>10225</v>
      </c>
      <c r="F5848" s="43">
        <v>68.63</v>
      </c>
    </row>
    <row r="5849" spans="2:6" x14ac:dyDescent="0.25">
      <c r="B5849" s="13" t="s">
        <v>10226</v>
      </c>
      <c r="C5849" s="17" t="s">
        <v>170</v>
      </c>
      <c r="D5849" s="13" t="s">
        <v>118</v>
      </c>
      <c r="E5849" s="13" t="s">
        <v>10227</v>
      </c>
      <c r="F5849" s="43">
        <v>68.63</v>
      </c>
    </row>
    <row r="5850" spans="2:6" x14ac:dyDescent="0.25">
      <c r="B5850" s="13" t="s">
        <v>10228</v>
      </c>
      <c r="C5850" s="17" t="s">
        <v>170</v>
      </c>
      <c r="D5850" s="13" t="s">
        <v>118</v>
      </c>
      <c r="E5850" s="13" t="s">
        <v>10229</v>
      </c>
      <c r="F5850" s="43">
        <v>68.63</v>
      </c>
    </row>
    <row r="5851" spans="2:6" x14ac:dyDescent="0.25">
      <c r="B5851" s="13" t="s">
        <v>10230</v>
      </c>
      <c r="C5851" s="17" t="s">
        <v>170</v>
      </c>
      <c r="D5851" s="13" t="s">
        <v>118</v>
      </c>
      <c r="E5851" s="13" t="s">
        <v>10231</v>
      </c>
      <c r="F5851" s="43">
        <v>68.63</v>
      </c>
    </row>
    <row r="5852" spans="2:6" x14ac:dyDescent="0.25">
      <c r="B5852" s="13" t="s">
        <v>10232</v>
      </c>
      <c r="C5852" s="17" t="s">
        <v>170</v>
      </c>
      <c r="D5852" s="13" t="s">
        <v>118</v>
      </c>
      <c r="E5852" s="13" t="s">
        <v>10233</v>
      </c>
      <c r="F5852" s="43">
        <v>68.63</v>
      </c>
    </row>
    <row r="5853" spans="2:6" x14ac:dyDescent="0.25">
      <c r="B5853" s="13" t="s">
        <v>10234</v>
      </c>
      <c r="C5853" s="17" t="s">
        <v>170</v>
      </c>
      <c r="D5853" s="13" t="s">
        <v>118</v>
      </c>
      <c r="E5853" s="13" t="s">
        <v>10235</v>
      </c>
      <c r="F5853" s="43">
        <v>68.63</v>
      </c>
    </row>
    <row r="5854" spans="2:6" x14ac:dyDescent="0.25">
      <c r="B5854" s="13" t="s">
        <v>10236</v>
      </c>
      <c r="C5854" s="17" t="s">
        <v>170</v>
      </c>
      <c r="D5854" s="13" t="s">
        <v>118</v>
      </c>
      <c r="E5854" s="13" t="s">
        <v>10237</v>
      </c>
      <c r="F5854" s="43">
        <v>68.63</v>
      </c>
    </row>
    <row r="5855" spans="2:6" x14ac:dyDescent="0.25">
      <c r="B5855" s="13" t="s">
        <v>10238</v>
      </c>
      <c r="C5855" s="17" t="s">
        <v>170</v>
      </c>
      <c r="D5855" s="13" t="s">
        <v>118</v>
      </c>
      <c r="E5855" s="13" t="s">
        <v>10239</v>
      </c>
      <c r="F5855" s="43">
        <v>68.63</v>
      </c>
    </row>
    <row r="5856" spans="2:6" x14ac:dyDescent="0.25">
      <c r="B5856" s="13" t="s">
        <v>10240</v>
      </c>
      <c r="C5856" s="17" t="s">
        <v>170</v>
      </c>
      <c r="D5856" s="13" t="s">
        <v>118</v>
      </c>
      <c r="E5856" s="13" t="s">
        <v>10241</v>
      </c>
      <c r="F5856" s="43">
        <v>68.63</v>
      </c>
    </row>
    <row r="5857" spans="2:6" x14ac:dyDescent="0.25">
      <c r="B5857" s="13" t="s">
        <v>10242</v>
      </c>
      <c r="C5857" s="17" t="s">
        <v>170</v>
      </c>
      <c r="D5857" s="13" t="s">
        <v>118</v>
      </c>
      <c r="E5857" s="13" t="s">
        <v>10243</v>
      </c>
      <c r="F5857" s="43">
        <v>68.63</v>
      </c>
    </row>
    <row r="5858" spans="2:6" x14ac:dyDescent="0.25">
      <c r="B5858" s="13" t="s">
        <v>10244</v>
      </c>
      <c r="C5858" s="17" t="s">
        <v>170</v>
      </c>
      <c r="D5858" s="13" t="s">
        <v>118</v>
      </c>
      <c r="E5858" s="13" t="s">
        <v>10245</v>
      </c>
      <c r="F5858" s="43">
        <v>68.63</v>
      </c>
    </row>
    <row r="5859" spans="2:6" x14ac:dyDescent="0.25">
      <c r="B5859" s="13" t="s">
        <v>10246</v>
      </c>
      <c r="C5859" s="17" t="s">
        <v>170</v>
      </c>
      <c r="D5859" s="13" t="s">
        <v>118</v>
      </c>
      <c r="E5859" s="13" t="s">
        <v>10247</v>
      </c>
      <c r="F5859" s="43">
        <v>68.63</v>
      </c>
    </row>
    <row r="5860" spans="2:6" x14ac:dyDescent="0.25">
      <c r="B5860" s="13" t="s">
        <v>10248</v>
      </c>
      <c r="C5860" s="17" t="s">
        <v>170</v>
      </c>
      <c r="D5860" s="13" t="s">
        <v>118</v>
      </c>
      <c r="E5860" s="13" t="s">
        <v>10249</v>
      </c>
      <c r="F5860" s="43">
        <v>68.63</v>
      </c>
    </row>
    <row r="5861" spans="2:6" x14ac:dyDescent="0.25">
      <c r="B5861" s="13" t="s">
        <v>10250</v>
      </c>
      <c r="C5861" s="17" t="s">
        <v>170</v>
      </c>
      <c r="D5861" s="13" t="s">
        <v>118</v>
      </c>
      <c r="E5861" s="13" t="s">
        <v>10251</v>
      </c>
      <c r="F5861" s="43">
        <v>68.63</v>
      </c>
    </row>
    <row r="5862" spans="2:6" x14ac:dyDescent="0.25">
      <c r="B5862" s="13" t="s">
        <v>10252</v>
      </c>
      <c r="C5862" s="17" t="s">
        <v>170</v>
      </c>
      <c r="D5862" s="13" t="s">
        <v>118</v>
      </c>
      <c r="E5862" s="13" t="s">
        <v>10253</v>
      </c>
      <c r="F5862" s="43">
        <v>68.63</v>
      </c>
    </row>
    <row r="5863" spans="2:6" x14ac:dyDescent="0.25">
      <c r="B5863" s="13" t="s">
        <v>10254</v>
      </c>
      <c r="C5863" s="17" t="s">
        <v>170</v>
      </c>
      <c r="D5863" s="13" t="s">
        <v>118</v>
      </c>
      <c r="E5863" s="13" t="s">
        <v>10255</v>
      </c>
      <c r="F5863" s="43">
        <v>68.63</v>
      </c>
    </row>
    <row r="5864" spans="2:6" x14ac:dyDescent="0.25">
      <c r="B5864" s="13" t="s">
        <v>10256</v>
      </c>
      <c r="C5864" s="17" t="s">
        <v>170</v>
      </c>
      <c r="D5864" s="13" t="s">
        <v>118</v>
      </c>
      <c r="E5864" s="13" t="s">
        <v>10257</v>
      </c>
      <c r="F5864" s="43">
        <v>68.63</v>
      </c>
    </row>
    <row r="5865" spans="2:6" x14ac:dyDescent="0.25">
      <c r="B5865" s="13" t="s">
        <v>10258</v>
      </c>
      <c r="C5865" s="17" t="s">
        <v>170</v>
      </c>
      <c r="D5865" s="13" t="s">
        <v>118</v>
      </c>
      <c r="E5865" s="13" t="s">
        <v>10259</v>
      </c>
      <c r="F5865" s="43">
        <v>68.63</v>
      </c>
    </row>
    <row r="5866" spans="2:6" x14ac:dyDescent="0.25">
      <c r="B5866" s="13" t="s">
        <v>10260</v>
      </c>
      <c r="C5866" s="17" t="s">
        <v>170</v>
      </c>
      <c r="D5866" s="13" t="s">
        <v>118</v>
      </c>
      <c r="E5866" s="13" t="s">
        <v>10261</v>
      </c>
      <c r="F5866" s="43">
        <v>68.63</v>
      </c>
    </row>
    <row r="5867" spans="2:6" x14ac:dyDescent="0.25">
      <c r="B5867" s="13" t="s">
        <v>10262</v>
      </c>
      <c r="C5867" s="17" t="s">
        <v>170</v>
      </c>
      <c r="D5867" s="13" t="s">
        <v>118</v>
      </c>
      <c r="E5867" s="13" t="s">
        <v>10263</v>
      </c>
      <c r="F5867" s="43">
        <v>68.63</v>
      </c>
    </row>
    <row r="5868" spans="2:6" x14ac:dyDescent="0.25">
      <c r="B5868" s="13" t="s">
        <v>10264</v>
      </c>
      <c r="C5868" s="17" t="s">
        <v>170</v>
      </c>
      <c r="D5868" s="13" t="s">
        <v>118</v>
      </c>
      <c r="E5868" s="13" t="s">
        <v>10265</v>
      </c>
      <c r="F5868" s="43">
        <v>68.63</v>
      </c>
    </row>
    <row r="5869" spans="2:6" x14ac:dyDescent="0.25">
      <c r="B5869" s="13" t="s">
        <v>10266</v>
      </c>
      <c r="C5869" s="17" t="s">
        <v>170</v>
      </c>
      <c r="D5869" s="13" t="s">
        <v>118</v>
      </c>
      <c r="E5869" s="13" t="s">
        <v>10267</v>
      </c>
      <c r="F5869" s="43">
        <v>68.63</v>
      </c>
    </row>
    <row r="5870" spans="2:6" x14ac:dyDescent="0.25">
      <c r="B5870" s="13" t="s">
        <v>10268</v>
      </c>
      <c r="C5870" s="17" t="s">
        <v>170</v>
      </c>
      <c r="D5870" s="13" t="s">
        <v>118</v>
      </c>
      <c r="E5870" s="13" t="s">
        <v>10269</v>
      </c>
      <c r="F5870" s="43">
        <v>68.63</v>
      </c>
    </row>
    <row r="5871" spans="2:6" x14ac:dyDescent="0.25">
      <c r="B5871" s="13" t="s">
        <v>10270</v>
      </c>
      <c r="C5871" s="17" t="s">
        <v>170</v>
      </c>
      <c r="D5871" s="13" t="s">
        <v>118</v>
      </c>
      <c r="E5871" s="13" t="s">
        <v>10271</v>
      </c>
      <c r="F5871" s="43">
        <v>68.63</v>
      </c>
    </row>
    <row r="5872" spans="2:6" x14ac:dyDescent="0.25">
      <c r="B5872" s="13" t="s">
        <v>10272</v>
      </c>
      <c r="C5872" s="17" t="s">
        <v>170</v>
      </c>
      <c r="D5872" s="13" t="s">
        <v>118</v>
      </c>
      <c r="E5872" s="13" t="s">
        <v>10273</v>
      </c>
      <c r="F5872" s="43">
        <v>68.63</v>
      </c>
    </row>
    <row r="5873" spans="2:6" x14ac:dyDescent="0.25">
      <c r="B5873" s="13" t="s">
        <v>10274</v>
      </c>
      <c r="C5873" s="17" t="s">
        <v>170</v>
      </c>
      <c r="D5873" s="13" t="s">
        <v>118</v>
      </c>
      <c r="E5873" s="13" t="s">
        <v>10275</v>
      </c>
      <c r="F5873" s="43">
        <v>68.63</v>
      </c>
    </row>
    <row r="5874" spans="2:6" x14ac:dyDescent="0.25">
      <c r="B5874" s="13" t="s">
        <v>10276</v>
      </c>
      <c r="C5874" s="17" t="s">
        <v>170</v>
      </c>
      <c r="D5874" s="13" t="s">
        <v>118</v>
      </c>
      <c r="E5874" s="13" t="s">
        <v>10277</v>
      </c>
      <c r="F5874" s="43">
        <v>68.63</v>
      </c>
    </row>
    <row r="5875" spans="2:6" x14ac:dyDescent="0.25">
      <c r="B5875" s="13" t="s">
        <v>10278</v>
      </c>
      <c r="C5875" s="17" t="s">
        <v>170</v>
      </c>
      <c r="D5875" s="13" t="s">
        <v>118</v>
      </c>
      <c r="E5875" s="13" t="s">
        <v>10279</v>
      </c>
      <c r="F5875" s="43">
        <v>68.63</v>
      </c>
    </row>
    <row r="5876" spans="2:6" x14ac:dyDescent="0.25">
      <c r="B5876" s="13" t="s">
        <v>10280</v>
      </c>
      <c r="C5876" s="17" t="s">
        <v>170</v>
      </c>
      <c r="D5876" s="13" t="s">
        <v>118</v>
      </c>
      <c r="E5876" s="13" t="s">
        <v>10281</v>
      </c>
      <c r="F5876" s="43">
        <v>68.63</v>
      </c>
    </row>
    <row r="5877" spans="2:6" x14ac:dyDescent="0.25">
      <c r="B5877" s="13" t="s">
        <v>10282</v>
      </c>
      <c r="C5877" s="17" t="s">
        <v>170</v>
      </c>
      <c r="D5877" s="13" t="s">
        <v>118</v>
      </c>
      <c r="E5877" s="13" t="s">
        <v>10283</v>
      </c>
      <c r="F5877" s="43">
        <v>68.63</v>
      </c>
    </row>
    <row r="5878" spans="2:6" x14ac:dyDescent="0.25">
      <c r="B5878" s="13" t="s">
        <v>10284</v>
      </c>
      <c r="C5878" s="17" t="s">
        <v>170</v>
      </c>
      <c r="D5878" s="13" t="s">
        <v>118</v>
      </c>
      <c r="E5878" s="13" t="s">
        <v>10285</v>
      </c>
      <c r="F5878" s="43">
        <v>68.63</v>
      </c>
    </row>
    <row r="5879" spans="2:6" x14ac:dyDescent="0.25">
      <c r="B5879" s="13" t="s">
        <v>10286</v>
      </c>
      <c r="C5879" s="17" t="s">
        <v>170</v>
      </c>
      <c r="D5879" s="13" t="s">
        <v>118</v>
      </c>
      <c r="E5879" s="13" t="s">
        <v>10287</v>
      </c>
      <c r="F5879" s="43">
        <v>68.63</v>
      </c>
    </row>
    <row r="5880" spans="2:6" x14ac:dyDescent="0.25">
      <c r="B5880" s="13" t="s">
        <v>10288</v>
      </c>
      <c r="C5880" s="17" t="s">
        <v>170</v>
      </c>
      <c r="D5880" s="13" t="s">
        <v>118</v>
      </c>
      <c r="E5880" s="13" t="s">
        <v>10289</v>
      </c>
      <c r="F5880" s="43">
        <v>68.63</v>
      </c>
    </row>
    <row r="5881" spans="2:6" x14ac:dyDescent="0.25">
      <c r="B5881" s="13" t="s">
        <v>10290</v>
      </c>
      <c r="C5881" s="17" t="s">
        <v>170</v>
      </c>
      <c r="D5881" s="13" t="s">
        <v>118</v>
      </c>
      <c r="E5881" s="13" t="s">
        <v>10291</v>
      </c>
      <c r="F5881" s="43">
        <v>68.63</v>
      </c>
    </row>
    <row r="5882" spans="2:6" x14ac:dyDescent="0.25">
      <c r="B5882" s="13" t="s">
        <v>10292</v>
      </c>
      <c r="C5882" s="17" t="s">
        <v>170</v>
      </c>
      <c r="D5882" s="13" t="s">
        <v>118</v>
      </c>
      <c r="E5882" s="13" t="s">
        <v>10293</v>
      </c>
      <c r="F5882" s="43">
        <v>105.04</v>
      </c>
    </row>
    <row r="5883" spans="2:6" x14ac:dyDescent="0.25">
      <c r="B5883" s="13" t="s">
        <v>10294</v>
      </c>
      <c r="C5883" s="17" t="s">
        <v>170</v>
      </c>
      <c r="D5883" s="13" t="s">
        <v>118</v>
      </c>
      <c r="E5883" s="13" t="s">
        <v>10295</v>
      </c>
      <c r="F5883" s="43">
        <v>105.04</v>
      </c>
    </row>
    <row r="5884" spans="2:6" x14ac:dyDescent="0.25">
      <c r="B5884" s="13" t="s">
        <v>10296</v>
      </c>
      <c r="C5884" s="17" t="s">
        <v>170</v>
      </c>
      <c r="D5884" s="13" t="s">
        <v>118</v>
      </c>
      <c r="E5884" s="13" t="s">
        <v>10297</v>
      </c>
      <c r="F5884" s="43">
        <v>105.04</v>
      </c>
    </row>
    <row r="5885" spans="2:6" x14ac:dyDescent="0.25">
      <c r="B5885" s="13" t="s">
        <v>10298</v>
      </c>
      <c r="C5885" s="17" t="s">
        <v>170</v>
      </c>
      <c r="D5885" s="13" t="s">
        <v>118</v>
      </c>
      <c r="E5885" s="13" t="s">
        <v>10299</v>
      </c>
      <c r="F5885" s="43">
        <v>105.04</v>
      </c>
    </row>
    <row r="5886" spans="2:6" x14ac:dyDescent="0.25">
      <c r="B5886" s="13" t="s">
        <v>10300</v>
      </c>
      <c r="C5886" s="17" t="s">
        <v>170</v>
      </c>
      <c r="D5886" s="13" t="s">
        <v>118</v>
      </c>
      <c r="E5886" s="13" t="s">
        <v>10301</v>
      </c>
      <c r="F5886" s="43">
        <v>68.63</v>
      </c>
    </row>
    <row r="5887" spans="2:6" x14ac:dyDescent="0.25">
      <c r="B5887" s="13" t="s">
        <v>10302</v>
      </c>
      <c r="C5887" s="17" t="s">
        <v>170</v>
      </c>
      <c r="D5887" s="13" t="s">
        <v>118</v>
      </c>
      <c r="E5887" s="13" t="s">
        <v>10303</v>
      </c>
      <c r="F5887" s="43">
        <v>68.63</v>
      </c>
    </row>
    <row r="5888" spans="2:6" x14ac:dyDescent="0.25">
      <c r="B5888" s="13" t="s">
        <v>10304</v>
      </c>
      <c r="C5888" s="17" t="s">
        <v>170</v>
      </c>
      <c r="D5888" s="13" t="s">
        <v>118</v>
      </c>
      <c r="E5888" s="13" t="s">
        <v>10305</v>
      </c>
      <c r="F5888" s="43">
        <v>68.63</v>
      </c>
    </row>
    <row r="5889" spans="2:6" x14ac:dyDescent="0.25">
      <c r="B5889" s="13" t="s">
        <v>10306</v>
      </c>
      <c r="C5889" s="17" t="s">
        <v>170</v>
      </c>
      <c r="D5889" s="13" t="s">
        <v>118</v>
      </c>
      <c r="E5889" s="13" t="s">
        <v>10307</v>
      </c>
      <c r="F5889" s="43">
        <v>68.63</v>
      </c>
    </row>
    <row r="5890" spans="2:6" x14ac:dyDescent="0.25">
      <c r="B5890" s="13" t="s">
        <v>10308</v>
      </c>
      <c r="C5890" s="17" t="s">
        <v>170</v>
      </c>
      <c r="D5890" s="13" t="s">
        <v>118</v>
      </c>
      <c r="E5890" s="13" t="s">
        <v>10309</v>
      </c>
      <c r="F5890" s="43">
        <v>68.63</v>
      </c>
    </row>
    <row r="5891" spans="2:6" x14ac:dyDescent="0.25">
      <c r="B5891" s="13" t="s">
        <v>10310</v>
      </c>
      <c r="C5891" s="17" t="s">
        <v>170</v>
      </c>
      <c r="D5891" s="13" t="s">
        <v>118</v>
      </c>
      <c r="E5891" s="13" t="s">
        <v>10311</v>
      </c>
      <c r="F5891" s="43">
        <v>68.63</v>
      </c>
    </row>
    <row r="5892" spans="2:6" x14ac:dyDescent="0.25">
      <c r="B5892" s="13" t="s">
        <v>10312</v>
      </c>
      <c r="C5892" s="17" t="s">
        <v>170</v>
      </c>
      <c r="D5892" s="13" t="s">
        <v>118</v>
      </c>
      <c r="E5892" s="13" t="s">
        <v>10313</v>
      </c>
      <c r="F5892" s="43">
        <v>68.63</v>
      </c>
    </row>
    <row r="5893" spans="2:6" x14ac:dyDescent="0.25">
      <c r="B5893" s="13" t="s">
        <v>10314</v>
      </c>
      <c r="C5893" s="17" t="s">
        <v>170</v>
      </c>
      <c r="D5893" s="13" t="s">
        <v>118</v>
      </c>
      <c r="E5893" s="13" t="s">
        <v>10315</v>
      </c>
      <c r="F5893" s="43">
        <v>68.63</v>
      </c>
    </row>
    <row r="5894" spans="2:6" x14ac:dyDescent="0.25">
      <c r="B5894" s="13" t="s">
        <v>10316</v>
      </c>
      <c r="C5894" s="17" t="s">
        <v>170</v>
      </c>
      <c r="D5894" s="13" t="s">
        <v>118</v>
      </c>
      <c r="E5894" s="13" t="s">
        <v>10317</v>
      </c>
      <c r="F5894" s="43">
        <v>68.63</v>
      </c>
    </row>
    <row r="5895" spans="2:6" x14ac:dyDescent="0.25">
      <c r="B5895" s="13" t="s">
        <v>10318</v>
      </c>
      <c r="C5895" s="17" t="s">
        <v>170</v>
      </c>
      <c r="D5895" s="13" t="s">
        <v>118</v>
      </c>
      <c r="E5895" s="13" t="s">
        <v>10319</v>
      </c>
      <c r="F5895" s="43">
        <v>68.63</v>
      </c>
    </row>
    <row r="5896" spans="2:6" x14ac:dyDescent="0.25">
      <c r="B5896" s="13" t="s">
        <v>10320</v>
      </c>
      <c r="C5896" s="17" t="s">
        <v>170</v>
      </c>
      <c r="D5896" s="13" t="s">
        <v>118</v>
      </c>
      <c r="E5896" s="13" t="s">
        <v>10321</v>
      </c>
      <c r="F5896" s="43">
        <v>68.63</v>
      </c>
    </row>
    <row r="5897" spans="2:6" x14ac:dyDescent="0.25">
      <c r="B5897" s="13" t="s">
        <v>10322</v>
      </c>
      <c r="C5897" s="17" t="s">
        <v>170</v>
      </c>
      <c r="D5897" s="13" t="s">
        <v>118</v>
      </c>
      <c r="E5897" s="13" t="s">
        <v>10323</v>
      </c>
      <c r="F5897" s="43">
        <v>68.63</v>
      </c>
    </row>
    <row r="5898" spans="2:6" x14ac:dyDescent="0.25">
      <c r="B5898" s="13" t="s">
        <v>10324</v>
      </c>
      <c r="C5898" s="17" t="s">
        <v>170</v>
      </c>
      <c r="D5898" s="13" t="s">
        <v>118</v>
      </c>
      <c r="E5898" s="13" t="s">
        <v>10325</v>
      </c>
      <c r="F5898" s="43">
        <v>68.63</v>
      </c>
    </row>
    <row r="5899" spans="2:6" x14ac:dyDescent="0.25">
      <c r="B5899" s="13" t="s">
        <v>10326</v>
      </c>
      <c r="C5899" s="17" t="s">
        <v>170</v>
      </c>
      <c r="D5899" s="13" t="s">
        <v>118</v>
      </c>
      <c r="E5899" s="13" t="s">
        <v>10327</v>
      </c>
      <c r="F5899" s="43">
        <v>68.63</v>
      </c>
    </row>
    <row r="5900" spans="2:6" x14ac:dyDescent="0.25">
      <c r="B5900" s="13" t="s">
        <v>10328</v>
      </c>
      <c r="C5900" s="17" t="s">
        <v>170</v>
      </c>
      <c r="D5900" s="13" t="s">
        <v>118</v>
      </c>
      <c r="E5900" s="13" t="s">
        <v>10329</v>
      </c>
      <c r="F5900" s="43">
        <v>68.63</v>
      </c>
    </row>
    <row r="5901" spans="2:6" x14ac:dyDescent="0.25">
      <c r="B5901" s="13" t="s">
        <v>10330</v>
      </c>
      <c r="C5901" s="17" t="s">
        <v>170</v>
      </c>
      <c r="D5901" s="13" t="s">
        <v>118</v>
      </c>
      <c r="E5901" s="13" t="s">
        <v>10331</v>
      </c>
      <c r="F5901" s="43">
        <v>68.63</v>
      </c>
    </row>
    <row r="5902" spans="2:6" x14ac:dyDescent="0.25">
      <c r="B5902" s="13" t="s">
        <v>10332</v>
      </c>
      <c r="C5902" s="17" t="s">
        <v>170</v>
      </c>
      <c r="D5902" s="13" t="s">
        <v>118</v>
      </c>
      <c r="E5902" s="13" t="s">
        <v>10333</v>
      </c>
      <c r="F5902" s="43">
        <v>68.63</v>
      </c>
    </row>
    <row r="5903" spans="2:6" x14ac:dyDescent="0.25">
      <c r="B5903" s="13" t="s">
        <v>10334</v>
      </c>
      <c r="C5903" s="17" t="s">
        <v>170</v>
      </c>
      <c r="D5903" s="13" t="s">
        <v>118</v>
      </c>
      <c r="E5903" s="13" t="s">
        <v>10335</v>
      </c>
      <c r="F5903" s="43">
        <v>68.63</v>
      </c>
    </row>
    <row r="5904" spans="2:6" x14ac:dyDescent="0.25">
      <c r="B5904" s="13" t="s">
        <v>10336</v>
      </c>
      <c r="C5904" s="17" t="s">
        <v>170</v>
      </c>
      <c r="D5904" s="13" t="s">
        <v>118</v>
      </c>
      <c r="E5904" s="13" t="s">
        <v>10337</v>
      </c>
      <c r="F5904" s="43">
        <v>68.63</v>
      </c>
    </row>
    <row r="5905" spans="2:6" x14ac:dyDescent="0.25">
      <c r="B5905" s="13" t="s">
        <v>10338</v>
      </c>
      <c r="C5905" s="17" t="s">
        <v>170</v>
      </c>
      <c r="D5905" s="13" t="s">
        <v>118</v>
      </c>
      <c r="E5905" s="13" t="s">
        <v>10339</v>
      </c>
      <c r="F5905" s="43">
        <v>68.63</v>
      </c>
    </row>
    <row r="5906" spans="2:6" x14ac:dyDescent="0.25">
      <c r="B5906" s="13" t="s">
        <v>10340</v>
      </c>
      <c r="C5906" s="17" t="s">
        <v>170</v>
      </c>
      <c r="D5906" s="13" t="s">
        <v>118</v>
      </c>
      <c r="E5906" s="13" t="s">
        <v>10341</v>
      </c>
      <c r="F5906" s="43">
        <v>68.63</v>
      </c>
    </row>
    <row r="5907" spans="2:6" x14ac:dyDescent="0.25">
      <c r="B5907" s="13" t="s">
        <v>10342</v>
      </c>
      <c r="C5907" s="17" t="s">
        <v>170</v>
      </c>
      <c r="D5907" s="13" t="s">
        <v>118</v>
      </c>
      <c r="E5907" s="13" t="s">
        <v>10343</v>
      </c>
      <c r="F5907" s="43">
        <v>68.63</v>
      </c>
    </row>
    <row r="5908" spans="2:6" x14ac:dyDescent="0.25">
      <c r="B5908" s="13" t="s">
        <v>10344</v>
      </c>
      <c r="C5908" s="17" t="s">
        <v>170</v>
      </c>
      <c r="D5908" s="13" t="s">
        <v>118</v>
      </c>
      <c r="E5908" s="13" t="s">
        <v>10345</v>
      </c>
      <c r="F5908" s="43">
        <v>68.63</v>
      </c>
    </row>
    <row r="5909" spans="2:6" x14ac:dyDescent="0.25">
      <c r="B5909" s="13" t="s">
        <v>10346</v>
      </c>
      <c r="C5909" s="17" t="s">
        <v>170</v>
      </c>
      <c r="D5909" s="13" t="s">
        <v>118</v>
      </c>
      <c r="E5909" s="13" t="s">
        <v>10347</v>
      </c>
      <c r="F5909" s="43">
        <v>68.63</v>
      </c>
    </row>
    <row r="5910" spans="2:6" x14ac:dyDescent="0.25">
      <c r="B5910" s="13" t="s">
        <v>10348</v>
      </c>
      <c r="C5910" s="17" t="s">
        <v>170</v>
      </c>
      <c r="D5910" s="13" t="s">
        <v>118</v>
      </c>
      <c r="E5910" s="13" t="s">
        <v>10349</v>
      </c>
      <c r="F5910" s="43">
        <v>68.63</v>
      </c>
    </row>
    <row r="5911" spans="2:6" x14ac:dyDescent="0.25">
      <c r="B5911" s="13" t="s">
        <v>10350</v>
      </c>
      <c r="C5911" s="17" t="s">
        <v>170</v>
      </c>
      <c r="D5911" s="13" t="s">
        <v>118</v>
      </c>
      <c r="E5911" s="13" t="s">
        <v>10351</v>
      </c>
      <c r="F5911" s="43">
        <v>68.63</v>
      </c>
    </row>
    <row r="5912" spans="2:6" x14ac:dyDescent="0.25">
      <c r="B5912" s="13" t="s">
        <v>10352</v>
      </c>
      <c r="C5912" s="17" t="s">
        <v>170</v>
      </c>
      <c r="D5912" s="13" t="s">
        <v>118</v>
      </c>
      <c r="E5912" s="13" t="s">
        <v>10353</v>
      </c>
      <c r="F5912" s="43">
        <v>68.63</v>
      </c>
    </row>
    <row r="5913" spans="2:6" x14ac:dyDescent="0.25">
      <c r="B5913" s="13" t="s">
        <v>10354</v>
      </c>
      <c r="C5913" s="17" t="s">
        <v>170</v>
      </c>
      <c r="D5913" s="13" t="s">
        <v>118</v>
      </c>
      <c r="E5913" s="13" t="s">
        <v>10355</v>
      </c>
      <c r="F5913" s="43">
        <v>68.63</v>
      </c>
    </row>
    <row r="5914" spans="2:6" x14ac:dyDescent="0.25">
      <c r="B5914" s="13" t="s">
        <v>10356</v>
      </c>
      <c r="C5914" s="17" t="s">
        <v>170</v>
      </c>
      <c r="D5914" s="13" t="s">
        <v>118</v>
      </c>
      <c r="E5914" s="13" t="s">
        <v>10357</v>
      </c>
      <c r="F5914" s="43">
        <v>68.63</v>
      </c>
    </row>
    <row r="5915" spans="2:6" x14ac:dyDescent="0.25">
      <c r="B5915" s="13" t="s">
        <v>10358</v>
      </c>
      <c r="C5915" s="17" t="s">
        <v>170</v>
      </c>
      <c r="D5915" s="13" t="s">
        <v>118</v>
      </c>
      <c r="E5915" s="13" t="s">
        <v>10359</v>
      </c>
      <c r="F5915" s="43">
        <v>68.63</v>
      </c>
    </row>
    <row r="5916" spans="2:6" x14ac:dyDescent="0.25">
      <c r="B5916" s="13" t="s">
        <v>10360</v>
      </c>
      <c r="C5916" s="17" t="s">
        <v>170</v>
      </c>
      <c r="D5916" s="13" t="s">
        <v>118</v>
      </c>
      <c r="E5916" s="13" t="s">
        <v>10361</v>
      </c>
      <c r="F5916" s="43">
        <v>68.63</v>
      </c>
    </row>
    <row r="5917" spans="2:6" x14ac:dyDescent="0.25">
      <c r="B5917" s="13" t="s">
        <v>10362</v>
      </c>
      <c r="C5917" s="17" t="s">
        <v>170</v>
      </c>
      <c r="D5917" s="13" t="s">
        <v>118</v>
      </c>
      <c r="E5917" s="13" t="s">
        <v>10363</v>
      </c>
      <c r="F5917" s="43">
        <v>68.63</v>
      </c>
    </row>
    <row r="5918" spans="2:6" x14ac:dyDescent="0.25">
      <c r="B5918" s="13" t="s">
        <v>10364</v>
      </c>
      <c r="C5918" s="17" t="s">
        <v>170</v>
      </c>
      <c r="D5918" s="13" t="s">
        <v>118</v>
      </c>
      <c r="E5918" s="13" t="s">
        <v>10365</v>
      </c>
      <c r="F5918" s="43">
        <v>68.63</v>
      </c>
    </row>
    <row r="5919" spans="2:6" x14ac:dyDescent="0.25">
      <c r="B5919" s="13" t="s">
        <v>10366</v>
      </c>
      <c r="C5919" s="17" t="s">
        <v>170</v>
      </c>
      <c r="D5919" s="13" t="s">
        <v>118</v>
      </c>
      <c r="E5919" s="13" t="s">
        <v>10367</v>
      </c>
      <c r="F5919" s="43">
        <v>68.63</v>
      </c>
    </row>
    <row r="5920" spans="2:6" x14ac:dyDescent="0.25">
      <c r="B5920" s="13" t="s">
        <v>10368</v>
      </c>
      <c r="C5920" s="17" t="s">
        <v>170</v>
      </c>
      <c r="D5920" s="13" t="s">
        <v>118</v>
      </c>
      <c r="E5920" s="13" t="s">
        <v>10369</v>
      </c>
      <c r="F5920" s="43">
        <v>68.63</v>
      </c>
    </row>
    <row r="5921" spans="2:6" x14ac:dyDescent="0.25">
      <c r="B5921" s="13" t="s">
        <v>10370</v>
      </c>
      <c r="C5921" s="17" t="s">
        <v>170</v>
      </c>
      <c r="D5921" s="13" t="s">
        <v>118</v>
      </c>
      <c r="E5921" s="13" t="s">
        <v>10371</v>
      </c>
      <c r="F5921" s="43">
        <v>68.63</v>
      </c>
    </row>
    <row r="5922" spans="2:6" x14ac:dyDescent="0.25">
      <c r="B5922" s="13" t="s">
        <v>10372</v>
      </c>
      <c r="C5922" s="17" t="s">
        <v>170</v>
      </c>
      <c r="D5922" s="13" t="s">
        <v>118</v>
      </c>
      <c r="E5922" s="13" t="s">
        <v>10373</v>
      </c>
      <c r="F5922" s="43">
        <v>68.63</v>
      </c>
    </row>
    <row r="5923" spans="2:6" x14ac:dyDescent="0.25">
      <c r="B5923" s="13" t="s">
        <v>10374</v>
      </c>
      <c r="C5923" s="17" t="s">
        <v>170</v>
      </c>
      <c r="D5923" s="13" t="s">
        <v>118</v>
      </c>
      <c r="E5923" s="13" t="s">
        <v>10375</v>
      </c>
      <c r="F5923" s="43">
        <v>68.63</v>
      </c>
    </row>
    <row r="5924" spans="2:6" x14ac:dyDescent="0.25">
      <c r="B5924" s="13" t="s">
        <v>10376</v>
      </c>
      <c r="C5924" s="17" t="s">
        <v>170</v>
      </c>
      <c r="D5924" s="13" t="s">
        <v>118</v>
      </c>
      <c r="E5924" s="13" t="s">
        <v>10377</v>
      </c>
      <c r="F5924" s="43">
        <v>68.63</v>
      </c>
    </row>
    <row r="5925" spans="2:6" x14ac:dyDescent="0.25">
      <c r="B5925" s="13" t="s">
        <v>10378</v>
      </c>
      <c r="C5925" s="17" t="s">
        <v>170</v>
      </c>
      <c r="D5925" s="13" t="s">
        <v>118</v>
      </c>
      <c r="E5925" s="13" t="s">
        <v>10379</v>
      </c>
      <c r="F5925" s="43">
        <v>68.63</v>
      </c>
    </row>
    <row r="5926" spans="2:6" x14ac:dyDescent="0.25">
      <c r="B5926" s="13" t="s">
        <v>10380</v>
      </c>
      <c r="C5926" s="17" t="s">
        <v>170</v>
      </c>
      <c r="D5926" s="13" t="s">
        <v>118</v>
      </c>
      <c r="E5926" s="13" t="s">
        <v>10381</v>
      </c>
      <c r="F5926" s="43">
        <v>68.63</v>
      </c>
    </row>
    <row r="5927" spans="2:6" x14ac:dyDescent="0.25">
      <c r="B5927" s="13" t="s">
        <v>10382</v>
      </c>
      <c r="C5927" s="17" t="s">
        <v>170</v>
      </c>
      <c r="D5927" s="13" t="s">
        <v>118</v>
      </c>
      <c r="E5927" s="13" t="s">
        <v>10383</v>
      </c>
      <c r="F5927" s="43">
        <v>68.63</v>
      </c>
    </row>
    <row r="5928" spans="2:6" x14ac:dyDescent="0.25">
      <c r="B5928" s="13" t="s">
        <v>10384</v>
      </c>
      <c r="C5928" s="17" t="s">
        <v>170</v>
      </c>
      <c r="D5928" s="13" t="s">
        <v>118</v>
      </c>
      <c r="E5928" s="13" t="s">
        <v>10385</v>
      </c>
      <c r="F5928" s="43">
        <v>68.63</v>
      </c>
    </row>
    <row r="5929" spans="2:6" x14ac:dyDescent="0.25">
      <c r="B5929" s="13" t="s">
        <v>10386</v>
      </c>
      <c r="C5929" s="17" t="s">
        <v>170</v>
      </c>
      <c r="D5929" s="13" t="s">
        <v>118</v>
      </c>
      <c r="E5929" s="13" t="s">
        <v>10387</v>
      </c>
      <c r="F5929" s="43">
        <v>68.63</v>
      </c>
    </row>
    <row r="5930" spans="2:6" x14ac:dyDescent="0.25">
      <c r="B5930" s="13" t="s">
        <v>10388</v>
      </c>
      <c r="C5930" s="17" t="s">
        <v>170</v>
      </c>
      <c r="D5930" s="13" t="s">
        <v>118</v>
      </c>
      <c r="E5930" s="13" t="s">
        <v>10389</v>
      </c>
      <c r="F5930" s="43">
        <v>105.04</v>
      </c>
    </row>
    <row r="5931" spans="2:6" x14ac:dyDescent="0.25">
      <c r="B5931" s="13" t="s">
        <v>10390</v>
      </c>
      <c r="C5931" s="17" t="s">
        <v>170</v>
      </c>
      <c r="D5931" s="13" t="s">
        <v>118</v>
      </c>
      <c r="E5931" s="13" t="s">
        <v>10391</v>
      </c>
      <c r="F5931" s="43">
        <v>105.04</v>
      </c>
    </row>
    <row r="5932" spans="2:6" x14ac:dyDescent="0.25">
      <c r="B5932" s="13" t="s">
        <v>10392</v>
      </c>
      <c r="C5932" s="17" t="s">
        <v>170</v>
      </c>
      <c r="D5932" s="13" t="s">
        <v>118</v>
      </c>
      <c r="E5932" s="13" t="s">
        <v>10393</v>
      </c>
      <c r="F5932" s="43">
        <v>105.04</v>
      </c>
    </row>
    <row r="5933" spans="2:6" x14ac:dyDescent="0.25">
      <c r="B5933" s="13" t="s">
        <v>10394</v>
      </c>
      <c r="C5933" s="17" t="s">
        <v>170</v>
      </c>
      <c r="D5933" s="13" t="s">
        <v>118</v>
      </c>
      <c r="E5933" s="13" t="s">
        <v>10395</v>
      </c>
      <c r="F5933" s="43">
        <v>105.04</v>
      </c>
    </row>
    <row r="5934" spans="2:6" x14ac:dyDescent="0.25">
      <c r="B5934" s="13" t="s">
        <v>10396</v>
      </c>
      <c r="C5934" s="17" t="s">
        <v>170</v>
      </c>
      <c r="D5934" s="13" t="s">
        <v>118</v>
      </c>
      <c r="E5934" s="13" t="s">
        <v>10397</v>
      </c>
      <c r="F5934" s="43">
        <v>96.39</v>
      </c>
    </row>
    <row r="5935" spans="2:6" x14ac:dyDescent="0.25">
      <c r="B5935" s="13" t="s">
        <v>10398</v>
      </c>
      <c r="C5935" s="17" t="s">
        <v>170</v>
      </c>
      <c r="D5935" s="13" t="s">
        <v>118</v>
      </c>
      <c r="E5935" s="13" t="s">
        <v>10399</v>
      </c>
      <c r="F5935" s="43">
        <v>96.39</v>
      </c>
    </row>
    <row r="5936" spans="2:6" x14ac:dyDescent="0.25">
      <c r="B5936" s="13" t="s">
        <v>10400</v>
      </c>
      <c r="C5936" s="17" t="s">
        <v>170</v>
      </c>
      <c r="D5936" s="13" t="s">
        <v>118</v>
      </c>
      <c r="E5936" s="13" t="s">
        <v>10401</v>
      </c>
      <c r="F5936" s="43">
        <v>96.39</v>
      </c>
    </row>
    <row r="5937" spans="2:6" x14ac:dyDescent="0.25">
      <c r="B5937" s="13" t="s">
        <v>10402</v>
      </c>
      <c r="C5937" s="17" t="s">
        <v>170</v>
      </c>
      <c r="D5937" s="13" t="s">
        <v>118</v>
      </c>
      <c r="E5937" s="13" t="s">
        <v>10403</v>
      </c>
      <c r="F5937" s="43">
        <v>96.39</v>
      </c>
    </row>
    <row r="5938" spans="2:6" x14ac:dyDescent="0.25">
      <c r="B5938" s="13" t="s">
        <v>10404</v>
      </c>
      <c r="C5938" s="17" t="s">
        <v>170</v>
      </c>
      <c r="D5938" s="13" t="s">
        <v>118</v>
      </c>
      <c r="E5938" s="13" t="s">
        <v>10405</v>
      </c>
      <c r="F5938" s="43">
        <v>96.39</v>
      </c>
    </row>
    <row r="5939" spans="2:6" x14ac:dyDescent="0.25">
      <c r="B5939" s="13" t="s">
        <v>10406</v>
      </c>
      <c r="C5939" s="17" t="s">
        <v>170</v>
      </c>
      <c r="D5939" s="13" t="s">
        <v>118</v>
      </c>
      <c r="E5939" s="13" t="s">
        <v>10407</v>
      </c>
      <c r="F5939" s="43">
        <v>96.39</v>
      </c>
    </row>
    <row r="5940" spans="2:6" x14ac:dyDescent="0.25">
      <c r="B5940" s="13" t="s">
        <v>10408</v>
      </c>
      <c r="C5940" s="17" t="s">
        <v>170</v>
      </c>
      <c r="D5940" s="13" t="s">
        <v>118</v>
      </c>
      <c r="E5940" s="13" t="s">
        <v>10409</v>
      </c>
      <c r="F5940" s="43">
        <v>96.39</v>
      </c>
    </row>
    <row r="5941" spans="2:6" x14ac:dyDescent="0.25">
      <c r="B5941" s="13" t="s">
        <v>10410</v>
      </c>
      <c r="C5941" s="17" t="s">
        <v>170</v>
      </c>
      <c r="D5941" s="13" t="s">
        <v>118</v>
      </c>
      <c r="E5941" s="13" t="s">
        <v>10411</v>
      </c>
      <c r="F5941" s="43">
        <v>96.39</v>
      </c>
    </row>
    <row r="5942" spans="2:6" x14ac:dyDescent="0.25">
      <c r="B5942" s="13" t="s">
        <v>10412</v>
      </c>
      <c r="C5942" s="17" t="s">
        <v>170</v>
      </c>
      <c r="D5942" s="13" t="s">
        <v>118</v>
      </c>
      <c r="E5942" s="13" t="s">
        <v>10413</v>
      </c>
      <c r="F5942" s="43">
        <v>96.39</v>
      </c>
    </row>
    <row r="5943" spans="2:6" x14ac:dyDescent="0.25">
      <c r="B5943" s="13" t="s">
        <v>10414</v>
      </c>
      <c r="C5943" s="17" t="s">
        <v>170</v>
      </c>
      <c r="D5943" s="13" t="s">
        <v>118</v>
      </c>
      <c r="E5943" s="13" t="s">
        <v>10415</v>
      </c>
      <c r="F5943" s="43">
        <v>96.39</v>
      </c>
    </row>
    <row r="5944" spans="2:6" x14ac:dyDescent="0.25">
      <c r="B5944" s="13" t="s">
        <v>10416</v>
      </c>
      <c r="C5944" s="17" t="s">
        <v>170</v>
      </c>
      <c r="D5944" s="13" t="s">
        <v>118</v>
      </c>
      <c r="E5944" s="13" t="s">
        <v>10417</v>
      </c>
      <c r="F5944" s="43">
        <v>96.39</v>
      </c>
    </row>
    <row r="5945" spans="2:6" x14ac:dyDescent="0.25">
      <c r="B5945" s="13" t="s">
        <v>10418</v>
      </c>
      <c r="C5945" s="17" t="s">
        <v>170</v>
      </c>
      <c r="D5945" s="13" t="s">
        <v>118</v>
      </c>
      <c r="E5945" s="13" t="s">
        <v>10419</v>
      </c>
      <c r="F5945" s="43">
        <v>96.39</v>
      </c>
    </row>
    <row r="5946" spans="2:6" x14ac:dyDescent="0.25">
      <c r="B5946" s="13" t="s">
        <v>10420</v>
      </c>
      <c r="C5946" s="17" t="s">
        <v>170</v>
      </c>
      <c r="D5946" s="13" t="s">
        <v>118</v>
      </c>
      <c r="E5946" s="13" t="s">
        <v>10421</v>
      </c>
      <c r="F5946" s="43">
        <v>96.39</v>
      </c>
    </row>
    <row r="5947" spans="2:6" x14ac:dyDescent="0.25">
      <c r="B5947" s="13" t="s">
        <v>10422</v>
      </c>
      <c r="C5947" s="17" t="s">
        <v>170</v>
      </c>
      <c r="D5947" s="13" t="s">
        <v>118</v>
      </c>
      <c r="E5947" s="13" t="s">
        <v>10423</v>
      </c>
      <c r="F5947" s="43">
        <v>96.39</v>
      </c>
    </row>
    <row r="5948" spans="2:6" x14ac:dyDescent="0.25">
      <c r="B5948" s="13" t="s">
        <v>10424</v>
      </c>
      <c r="C5948" s="17" t="s">
        <v>170</v>
      </c>
      <c r="D5948" s="13" t="s">
        <v>118</v>
      </c>
      <c r="E5948" s="13" t="s">
        <v>10425</v>
      </c>
      <c r="F5948" s="43">
        <v>96.39</v>
      </c>
    </row>
    <row r="5949" spans="2:6" x14ac:dyDescent="0.25">
      <c r="B5949" s="13" t="s">
        <v>10426</v>
      </c>
      <c r="C5949" s="17" t="s">
        <v>170</v>
      </c>
      <c r="D5949" s="13" t="s">
        <v>118</v>
      </c>
      <c r="E5949" s="13" t="s">
        <v>10427</v>
      </c>
      <c r="F5949" s="43">
        <v>96.39</v>
      </c>
    </row>
    <row r="5950" spans="2:6" x14ac:dyDescent="0.25">
      <c r="B5950" s="13" t="s">
        <v>10428</v>
      </c>
      <c r="C5950" s="17" t="s">
        <v>170</v>
      </c>
      <c r="D5950" s="13" t="s">
        <v>118</v>
      </c>
      <c r="E5950" s="13" t="s">
        <v>10429</v>
      </c>
      <c r="F5950" s="43">
        <v>96.39</v>
      </c>
    </row>
    <row r="5951" spans="2:6" x14ac:dyDescent="0.25">
      <c r="B5951" s="13" t="s">
        <v>10430</v>
      </c>
      <c r="C5951" s="17" t="s">
        <v>170</v>
      </c>
      <c r="D5951" s="13" t="s">
        <v>118</v>
      </c>
      <c r="E5951" s="13" t="s">
        <v>10431</v>
      </c>
      <c r="F5951" s="43">
        <v>96.39</v>
      </c>
    </row>
    <row r="5952" spans="2:6" x14ac:dyDescent="0.25">
      <c r="B5952" s="13" t="s">
        <v>10432</v>
      </c>
      <c r="C5952" s="17" t="s">
        <v>170</v>
      </c>
      <c r="D5952" s="13" t="s">
        <v>118</v>
      </c>
      <c r="E5952" s="13" t="s">
        <v>10433</v>
      </c>
      <c r="F5952" s="43">
        <v>96.39</v>
      </c>
    </row>
    <row r="5953" spans="2:6" x14ac:dyDescent="0.25">
      <c r="B5953" s="13" t="s">
        <v>10434</v>
      </c>
      <c r="C5953" s="17" t="s">
        <v>170</v>
      </c>
      <c r="D5953" s="13" t="s">
        <v>118</v>
      </c>
      <c r="E5953" s="13" t="s">
        <v>10435</v>
      </c>
      <c r="F5953" s="43">
        <v>96.39</v>
      </c>
    </row>
    <row r="5954" spans="2:6" x14ac:dyDescent="0.25">
      <c r="B5954" s="13" t="s">
        <v>10436</v>
      </c>
      <c r="C5954" s="17" t="s">
        <v>170</v>
      </c>
      <c r="D5954" s="13" t="s">
        <v>118</v>
      </c>
      <c r="E5954" s="13" t="s">
        <v>10437</v>
      </c>
      <c r="F5954" s="43">
        <v>96.39</v>
      </c>
    </row>
    <row r="5955" spans="2:6" x14ac:dyDescent="0.25">
      <c r="B5955" s="13" t="s">
        <v>10438</v>
      </c>
      <c r="C5955" s="17" t="s">
        <v>170</v>
      </c>
      <c r="D5955" s="13" t="s">
        <v>118</v>
      </c>
      <c r="E5955" s="13" t="s">
        <v>10439</v>
      </c>
      <c r="F5955" s="43">
        <v>96.39</v>
      </c>
    </row>
    <row r="5956" spans="2:6" x14ac:dyDescent="0.25">
      <c r="B5956" s="13" t="s">
        <v>10440</v>
      </c>
      <c r="C5956" s="17" t="s">
        <v>170</v>
      </c>
      <c r="D5956" s="13" t="s">
        <v>118</v>
      </c>
      <c r="E5956" s="13" t="s">
        <v>10441</v>
      </c>
      <c r="F5956" s="43">
        <v>109.25</v>
      </c>
    </row>
    <row r="5957" spans="2:6" x14ac:dyDescent="0.25">
      <c r="B5957" s="13" t="s">
        <v>10442</v>
      </c>
      <c r="C5957" s="17" t="s">
        <v>170</v>
      </c>
      <c r="D5957" s="13" t="s">
        <v>118</v>
      </c>
      <c r="E5957" s="13" t="s">
        <v>10443</v>
      </c>
      <c r="F5957" s="43">
        <v>109.25</v>
      </c>
    </row>
    <row r="5958" spans="2:6" x14ac:dyDescent="0.25">
      <c r="B5958" s="13" t="s">
        <v>10444</v>
      </c>
      <c r="C5958" s="17" t="s">
        <v>170</v>
      </c>
      <c r="D5958" s="13" t="s">
        <v>118</v>
      </c>
      <c r="E5958" s="13" t="s">
        <v>10445</v>
      </c>
      <c r="F5958" s="43">
        <v>96.39</v>
      </c>
    </row>
    <row r="5959" spans="2:6" x14ac:dyDescent="0.25">
      <c r="B5959" s="13" t="s">
        <v>10446</v>
      </c>
      <c r="C5959" s="17" t="s">
        <v>170</v>
      </c>
      <c r="D5959" s="13" t="s">
        <v>118</v>
      </c>
      <c r="E5959" s="13" t="s">
        <v>10447</v>
      </c>
      <c r="F5959" s="43">
        <v>96.39</v>
      </c>
    </row>
    <row r="5960" spans="2:6" x14ac:dyDescent="0.25">
      <c r="B5960" s="13" t="s">
        <v>10448</v>
      </c>
      <c r="C5960" s="17" t="s">
        <v>170</v>
      </c>
      <c r="D5960" s="13" t="s">
        <v>118</v>
      </c>
      <c r="E5960" s="13" t="s">
        <v>10449</v>
      </c>
      <c r="F5960" s="43">
        <v>96.39</v>
      </c>
    </row>
    <row r="5961" spans="2:6" x14ac:dyDescent="0.25">
      <c r="B5961" s="13" t="s">
        <v>10450</v>
      </c>
      <c r="C5961" s="17" t="s">
        <v>170</v>
      </c>
      <c r="D5961" s="13" t="s">
        <v>118</v>
      </c>
      <c r="E5961" s="13" t="s">
        <v>10451</v>
      </c>
      <c r="F5961" s="43">
        <v>96.39</v>
      </c>
    </row>
    <row r="5962" spans="2:6" x14ac:dyDescent="0.25">
      <c r="B5962" s="13" t="s">
        <v>10452</v>
      </c>
      <c r="C5962" s="17" t="s">
        <v>170</v>
      </c>
      <c r="D5962" s="13" t="s">
        <v>118</v>
      </c>
      <c r="E5962" s="13" t="s">
        <v>10453</v>
      </c>
      <c r="F5962" s="43">
        <v>96.39</v>
      </c>
    </row>
    <row r="5963" spans="2:6" x14ac:dyDescent="0.25">
      <c r="B5963" s="13" t="s">
        <v>10454</v>
      </c>
      <c r="C5963" s="17" t="s">
        <v>170</v>
      </c>
      <c r="D5963" s="13" t="s">
        <v>118</v>
      </c>
      <c r="E5963" s="13" t="s">
        <v>10455</v>
      </c>
      <c r="F5963" s="43">
        <v>96.39</v>
      </c>
    </row>
    <row r="5964" spans="2:6" x14ac:dyDescent="0.25">
      <c r="B5964" s="13" t="s">
        <v>10456</v>
      </c>
      <c r="C5964" s="17" t="s">
        <v>170</v>
      </c>
      <c r="D5964" s="13" t="s">
        <v>118</v>
      </c>
      <c r="E5964" s="13" t="s">
        <v>10457</v>
      </c>
      <c r="F5964" s="43">
        <v>96.39</v>
      </c>
    </row>
    <row r="5965" spans="2:6" x14ac:dyDescent="0.25">
      <c r="B5965" s="13" t="s">
        <v>10458</v>
      </c>
      <c r="C5965" s="17" t="s">
        <v>170</v>
      </c>
      <c r="D5965" s="13" t="s">
        <v>118</v>
      </c>
      <c r="E5965" s="13" t="s">
        <v>10459</v>
      </c>
      <c r="F5965" s="43">
        <v>96.39</v>
      </c>
    </row>
    <row r="5966" spans="2:6" x14ac:dyDescent="0.25">
      <c r="B5966" s="13" t="s">
        <v>10460</v>
      </c>
      <c r="C5966" s="17" t="s">
        <v>170</v>
      </c>
      <c r="D5966" s="13" t="s">
        <v>118</v>
      </c>
      <c r="E5966" s="13" t="s">
        <v>10461</v>
      </c>
      <c r="F5966" s="43">
        <v>96.39</v>
      </c>
    </row>
    <row r="5967" spans="2:6" x14ac:dyDescent="0.25">
      <c r="B5967" s="13" t="s">
        <v>10462</v>
      </c>
      <c r="C5967" s="17" t="s">
        <v>170</v>
      </c>
      <c r="D5967" s="13" t="s">
        <v>118</v>
      </c>
      <c r="E5967" s="13" t="s">
        <v>10463</v>
      </c>
      <c r="F5967" s="43">
        <v>96.39</v>
      </c>
    </row>
    <row r="5968" spans="2:6" x14ac:dyDescent="0.25">
      <c r="B5968" s="13" t="s">
        <v>10464</v>
      </c>
      <c r="C5968" s="17" t="s">
        <v>170</v>
      </c>
      <c r="D5968" s="13" t="s">
        <v>118</v>
      </c>
      <c r="E5968" s="13" t="s">
        <v>10465</v>
      </c>
      <c r="F5968" s="43">
        <v>96.39</v>
      </c>
    </row>
    <row r="5969" spans="2:6" x14ac:dyDescent="0.25">
      <c r="B5969" s="13" t="s">
        <v>10466</v>
      </c>
      <c r="C5969" s="17" t="s">
        <v>170</v>
      </c>
      <c r="D5969" s="13" t="s">
        <v>118</v>
      </c>
      <c r="E5969" s="13" t="s">
        <v>10467</v>
      </c>
      <c r="F5969" s="43">
        <v>96.39</v>
      </c>
    </row>
    <row r="5970" spans="2:6" x14ac:dyDescent="0.25">
      <c r="B5970" s="13" t="s">
        <v>10468</v>
      </c>
      <c r="C5970" s="17" t="s">
        <v>170</v>
      </c>
      <c r="D5970" s="13" t="s">
        <v>118</v>
      </c>
      <c r="E5970" s="13" t="s">
        <v>10469</v>
      </c>
      <c r="F5970" s="43">
        <v>96.39</v>
      </c>
    </row>
    <row r="5971" spans="2:6" x14ac:dyDescent="0.25">
      <c r="B5971" s="13" t="s">
        <v>10470</v>
      </c>
      <c r="C5971" s="17" t="s">
        <v>170</v>
      </c>
      <c r="D5971" s="13" t="s">
        <v>118</v>
      </c>
      <c r="E5971" s="13" t="s">
        <v>10471</v>
      </c>
      <c r="F5971" s="43">
        <v>96.39</v>
      </c>
    </row>
    <row r="5972" spans="2:6" x14ac:dyDescent="0.25">
      <c r="B5972" s="13" t="s">
        <v>10472</v>
      </c>
      <c r="C5972" s="17" t="s">
        <v>170</v>
      </c>
      <c r="D5972" s="13" t="s">
        <v>118</v>
      </c>
      <c r="E5972" s="13" t="s">
        <v>10473</v>
      </c>
      <c r="F5972" s="43">
        <v>96.39</v>
      </c>
    </row>
    <row r="5973" spans="2:6" x14ac:dyDescent="0.25">
      <c r="B5973" s="13" t="s">
        <v>10474</v>
      </c>
      <c r="C5973" s="17" t="s">
        <v>170</v>
      </c>
      <c r="D5973" s="13" t="s">
        <v>118</v>
      </c>
      <c r="E5973" s="13" t="s">
        <v>10475</v>
      </c>
      <c r="F5973" s="43">
        <v>96.39</v>
      </c>
    </row>
    <row r="5974" spans="2:6" x14ac:dyDescent="0.25">
      <c r="B5974" s="13" t="s">
        <v>10476</v>
      </c>
      <c r="C5974" s="17" t="s">
        <v>170</v>
      </c>
      <c r="D5974" s="13" t="s">
        <v>118</v>
      </c>
      <c r="E5974" s="13" t="s">
        <v>10477</v>
      </c>
      <c r="F5974" s="43">
        <v>96.39</v>
      </c>
    </row>
    <row r="5975" spans="2:6" x14ac:dyDescent="0.25">
      <c r="B5975" s="13" t="s">
        <v>10478</v>
      </c>
      <c r="C5975" s="17" t="s">
        <v>170</v>
      </c>
      <c r="D5975" s="13" t="s">
        <v>118</v>
      </c>
      <c r="E5975" s="13" t="s">
        <v>10479</v>
      </c>
      <c r="F5975" s="43">
        <v>96.39</v>
      </c>
    </row>
    <row r="5976" spans="2:6" x14ac:dyDescent="0.25">
      <c r="B5976" s="13" t="s">
        <v>10480</v>
      </c>
      <c r="C5976" s="17" t="s">
        <v>170</v>
      </c>
      <c r="D5976" s="13" t="s">
        <v>118</v>
      </c>
      <c r="E5976" s="13" t="s">
        <v>10481</v>
      </c>
      <c r="F5976" s="43">
        <v>96.39</v>
      </c>
    </row>
    <row r="5977" spans="2:6" x14ac:dyDescent="0.25">
      <c r="B5977" s="13" t="s">
        <v>10482</v>
      </c>
      <c r="C5977" s="17" t="s">
        <v>170</v>
      </c>
      <c r="D5977" s="13" t="s">
        <v>118</v>
      </c>
      <c r="E5977" s="13" t="s">
        <v>10483</v>
      </c>
      <c r="F5977" s="43">
        <v>96.39</v>
      </c>
    </row>
    <row r="5978" spans="2:6" x14ac:dyDescent="0.25">
      <c r="B5978" s="13" t="s">
        <v>10484</v>
      </c>
      <c r="C5978" s="17" t="s">
        <v>170</v>
      </c>
      <c r="D5978" s="13" t="s">
        <v>118</v>
      </c>
      <c r="E5978" s="13" t="s">
        <v>10485</v>
      </c>
      <c r="F5978" s="43">
        <v>96.39</v>
      </c>
    </row>
    <row r="5979" spans="2:6" x14ac:dyDescent="0.25">
      <c r="B5979" s="13" t="s">
        <v>10486</v>
      </c>
      <c r="C5979" s="17" t="s">
        <v>170</v>
      </c>
      <c r="D5979" s="13" t="s">
        <v>118</v>
      </c>
      <c r="E5979" s="13" t="s">
        <v>10487</v>
      </c>
      <c r="F5979" s="43">
        <v>96.39</v>
      </c>
    </row>
    <row r="5980" spans="2:6" x14ac:dyDescent="0.25">
      <c r="B5980" s="13" t="s">
        <v>10488</v>
      </c>
      <c r="C5980" s="17" t="s">
        <v>170</v>
      </c>
      <c r="D5980" s="13" t="s">
        <v>118</v>
      </c>
      <c r="E5980" s="13" t="s">
        <v>10489</v>
      </c>
      <c r="F5980" s="43">
        <v>96.39</v>
      </c>
    </row>
    <row r="5981" spans="2:6" x14ac:dyDescent="0.25">
      <c r="B5981" s="13" t="s">
        <v>10490</v>
      </c>
      <c r="C5981" s="17" t="s">
        <v>170</v>
      </c>
      <c r="D5981" s="13" t="s">
        <v>118</v>
      </c>
      <c r="E5981" s="13" t="s">
        <v>10491</v>
      </c>
      <c r="F5981" s="43">
        <v>109.25</v>
      </c>
    </row>
    <row r="5982" spans="2:6" x14ac:dyDescent="0.25">
      <c r="B5982" s="13" t="s">
        <v>10492</v>
      </c>
      <c r="C5982" s="17" t="s">
        <v>170</v>
      </c>
      <c r="D5982" s="13" t="s">
        <v>118</v>
      </c>
      <c r="E5982" s="13" t="s">
        <v>10493</v>
      </c>
      <c r="F5982" s="43">
        <v>109.25</v>
      </c>
    </row>
    <row r="5983" spans="2:6" x14ac:dyDescent="0.25">
      <c r="B5983" s="13" t="s">
        <v>10494</v>
      </c>
      <c r="C5983" s="17" t="s">
        <v>170</v>
      </c>
      <c r="D5983" s="13" t="s">
        <v>118</v>
      </c>
      <c r="E5983" s="13" t="s">
        <v>10495</v>
      </c>
      <c r="F5983" s="43">
        <v>96.39</v>
      </c>
    </row>
    <row r="5984" spans="2:6" x14ac:dyDescent="0.25">
      <c r="B5984" s="13" t="s">
        <v>10496</v>
      </c>
      <c r="C5984" s="17" t="s">
        <v>170</v>
      </c>
      <c r="D5984" s="13" t="s">
        <v>118</v>
      </c>
      <c r="E5984" s="13" t="s">
        <v>10497</v>
      </c>
      <c r="F5984" s="43">
        <v>96.39</v>
      </c>
    </row>
    <row r="5985" spans="2:6" x14ac:dyDescent="0.25">
      <c r="B5985" s="13" t="s">
        <v>10498</v>
      </c>
      <c r="C5985" s="17" t="s">
        <v>170</v>
      </c>
      <c r="D5985" s="13" t="s">
        <v>118</v>
      </c>
      <c r="E5985" s="13" t="s">
        <v>10499</v>
      </c>
      <c r="F5985" s="43">
        <v>96.39</v>
      </c>
    </row>
    <row r="5986" spans="2:6" x14ac:dyDescent="0.25">
      <c r="B5986" s="13" t="s">
        <v>10500</v>
      </c>
      <c r="C5986" s="17" t="s">
        <v>170</v>
      </c>
      <c r="D5986" s="13" t="s">
        <v>118</v>
      </c>
      <c r="E5986" s="13" t="s">
        <v>10501</v>
      </c>
      <c r="F5986" s="43">
        <v>96.39</v>
      </c>
    </row>
    <row r="5987" spans="2:6" x14ac:dyDescent="0.25">
      <c r="B5987" s="13" t="s">
        <v>10502</v>
      </c>
      <c r="C5987" s="17" t="s">
        <v>170</v>
      </c>
      <c r="D5987" s="13" t="s">
        <v>118</v>
      </c>
      <c r="E5987" s="13" t="s">
        <v>10503</v>
      </c>
      <c r="F5987" s="43">
        <v>96.39</v>
      </c>
    </row>
    <row r="5988" spans="2:6" x14ac:dyDescent="0.25">
      <c r="B5988" s="13" t="s">
        <v>10504</v>
      </c>
      <c r="C5988" s="17" t="s">
        <v>170</v>
      </c>
      <c r="D5988" s="13" t="s">
        <v>118</v>
      </c>
      <c r="E5988" s="13" t="s">
        <v>10505</v>
      </c>
      <c r="F5988" s="43">
        <v>96.39</v>
      </c>
    </row>
    <row r="5989" spans="2:6" x14ac:dyDescent="0.25">
      <c r="B5989" s="13" t="s">
        <v>10506</v>
      </c>
      <c r="C5989" s="17" t="s">
        <v>170</v>
      </c>
      <c r="D5989" s="13" t="s">
        <v>118</v>
      </c>
      <c r="E5989" s="13" t="s">
        <v>10507</v>
      </c>
      <c r="F5989" s="43">
        <v>96.39</v>
      </c>
    </row>
    <row r="5990" spans="2:6" x14ac:dyDescent="0.25">
      <c r="B5990" s="13" t="s">
        <v>10508</v>
      </c>
      <c r="C5990" s="17" t="s">
        <v>170</v>
      </c>
      <c r="D5990" s="13" t="s">
        <v>118</v>
      </c>
      <c r="E5990" s="13" t="s">
        <v>10509</v>
      </c>
      <c r="F5990" s="43">
        <v>96.39</v>
      </c>
    </row>
    <row r="5991" spans="2:6" x14ac:dyDescent="0.25">
      <c r="B5991" s="13" t="s">
        <v>10510</v>
      </c>
      <c r="C5991" s="17" t="s">
        <v>170</v>
      </c>
      <c r="D5991" s="13" t="s">
        <v>118</v>
      </c>
      <c r="E5991" s="13" t="s">
        <v>10511</v>
      </c>
      <c r="F5991" s="43">
        <v>96.39</v>
      </c>
    </row>
    <row r="5992" spans="2:6" x14ac:dyDescent="0.25">
      <c r="B5992" s="13" t="s">
        <v>10512</v>
      </c>
      <c r="C5992" s="17" t="s">
        <v>170</v>
      </c>
      <c r="D5992" s="13" t="s">
        <v>118</v>
      </c>
      <c r="E5992" s="13" t="s">
        <v>10513</v>
      </c>
      <c r="F5992" s="43">
        <v>96.39</v>
      </c>
    </row>
    <row r="5993" spans="2:6" x14ac:dyDescent="0.25">
      <c r="B5993" s="13" t="s">
        <v>10514</v>
      </c>
      <c r="C5993" s="17" t="s">
        <v>170</v>
      </c>
      <c r="D5993" s="13" t="s">
        <v>118</v>
      </c>
      <c r="E5993" s="13" t="s">
        <v>10515</v>
      </c>
      <c r="F5993" s="43">
        <v>96.39</v>
      </c>
    </row>
    <row r="5994" spans="2:6" x14ac:dyDescent="0.25">
      <c r="B5994" s="13" t="s">
        <v>10516</v>
      </c>
      <c r="C5994" s="17" t="s">
        <v>170</v>
      </c>
      <c r="D5994" s="13" t="s">
        <v>118</v>
      </c>
      <c r="E5994" s="13" t="s">
        <v>10517</v>
      </c>
      <c r="F5994" s="43">
        <v>96.39</v>
      </c>
    </row>
    <row r="5995" spans="2:6" x14ac:dyDescent="0.25">
      <c r="B5995" s="13" t="s">
        <v>10518</v>
      </c>
      <c r="C5995" s="17" t="s">
        <v>170</v>
      </c>
      <c r="D5995" s="13" t="s">
        <v>118</v>
      </c>
      <c r="E5995" s="13" t="s">
        <v>10519</v>
      </c>
      <c r="F5995" s="43">
        <v>96.39</v>
      </c>
    </row>
    <row r="5996" spans="2:6" x14ac:dyDescent="0.25">
      <c r="B5996" s="13" t="s">
        <v>10520</v>
      </c>
      <c r="C5996" s="17" t="s">
        <v>170</v>
      </c>
      <c r="D5996" s="13" t="s">
        <v>118</v>
      </c>
      <c r="E5996" s="13" t="s">
        <v>10521</v>
      </c>
      <c r="F5996" s="43">
        <v>96.39</v>
      </c>
    </row>
    <row r="5997" spans="2:6" x14ac:dyDescent="0.25">
      <c r="B5997" s="13" t="s">
        <v>10522</v>
      </c>
      <c r="C5997" s="17" t="s">
        <v>170</v>
      </c>
      <c r="D5997" s="13" t="s">
        <v>118</v>
      </c>
      <c r="E5997" s="13" t="s">
        <v>10523</v>
      </c>
      <c r="F5997" s="43">
        <v>96.39</v>
      </c>
    </row>
    <row r="5998" spans="2:6" x14ac:dyDescent="0.25">
      <c r="B5998" s="13" t="s">
        <v>10524</v>
      </c>
      <c r="C5998" s="17" t="s">
        <v>170</v>
      </c>
      <c r="D5998" s="13" t="s">
        <v>118</v>
      </c>
      <c r="E5998" s="13" t="s">
        <v>10525</v>
      </c>
      <c r="F5998" s="43">
        <v>96.39</v>
      </c>
    </row>
    <row r="5999" spans="2:6" x14ac:dyDescent="0.25">
      <c r="B5999" s="13" t="s">
        <v>10526</v>
      </c>
      <c r="C5999" s="17" t="s">
        <v>170</v>
      </c>
      <c r="D5999" s="13" t="s">
        <v>118</v>
      </c>
      <c r="E5999" s="13" t="s">
        <v>10527</v>
      </c>
      <c r="F5999" s="43">
        <v>96.39</v>
      </c>
    </row>
    <row r="6000" spans="2:6" x14ac:dyDescent="0.25">
      <c r="B6000" s="13" t="s">
        <v>10528</v>
      </c>
      <c r="C6000" s="17" t="s">
        <v>170</v>
      </c>
      <c r="D6000" s="13" t="s">
        <v>118</v>
      </c>
      <c r="E6000" s="13" t="s">
        <v>10529</v>
      </c>
      <c r="F6000" s="43">
        <v>96.39</v>
      </c>
    </row>
    <row r="6001" spans="2:6" x14ac:dyDescent="0.25">
      <c r="B6001" s="13" t="s">
        <v>10530</v>
      </c>
      <c r="C6001" s="17" t="s">
        <v>170</v>
      </c>
      <c r="D6001" s="13" t="s">
        <v>118</v>
      </c>
      <c r="E6001" s="13" t="s">
        <v>10531</v>
      </c>
      <c r="F6001" s="43">
        <v>96.39</v>
      </c>
    </row>
    <row r="6002" spans="2:6" x14ac:dyDescent="0.25">
      <c r="B6002" s="13" t="s">
        <v>10532</v>
      </c>
      <c r="C6002" s="17" t="s">
        <v>170</v>
      </c>
      <c r="D6002" s="13" t="s">
        <v>118</v>
      </c>
      <c r="E6002" s="13" t="s">
        <v>10533</v>
      </c>
      <c r="F6002" s="43">
        <v>96.39</v>
      </c>
    </row>
    <row r="6003" spans="2:6" x14ac:dyDescent="0.25">
      <c r="B6003" s="13" t="s">
        <v>10534</v>
      </c>
      <c r="C6003" s="17" t="s">
        <v>170</v>
      </c>
      <c r="D6003" s="13" t="s">
        <v>118</v>
      </c>
      <c r="E6003" s="13" t="s">
        <v>10535</v>
      </c>
      <c r="F6003" s="43">
        <v>96.39</v>
      </c>
    </row>
    <row r="6004" spans="2:6" x14ac:dyDescent="0.25">
      <c r="B6004" s="13" t="s">
        <v>10536</v>
      </c>
      <c r="C6004" s="17" t="s">
        <v>170</v>
      </c>
      <c r="D6004" s="13" t="s">
        <v>118</v>
      </c>
      <c r="E6004" s="13" t="s">
        <v>10537</v>
      </c>
      <c r="F6004" s="43">
        <v>96.39</v>
      </c>
    </row>
    <row r="6005" spans="2:6" x14ac:dyDescent="0.25">
      <c r="B6005" s="13" t="s">
        <v>10538</v>
      </c>
      <c r="C6005" s="17" t="s">
        <v>170</v>
      </c>
      <c r="D6005" s="13" t="s">
        <v>118</v>
      </c>
      <c r="E6005" s="13" t="s">
        <v>10539</v>
      </c>
      <c r="F6005" s="43">
        <v>96.39</v>
      </c>
    </row>
    <row r="6006" spans="2:6" x14ac:dyDescent="0.25">
      <c r="B6006" s="13" t="s">
        <v>10540</v>
      </c>
      <c r="C6006" s="17" t="s">
        <v>170</v>
      </c>
      <c r="D6006" s="13" t="s">
        <v>118</v>
      </c>
      <c r="E6006" s="13" t="s">
        <v>10541</v>
      </c>
      <c r="F6006" s="43">
        <v>96.39</v>
      </c>
    </row>
    <row r="6007" spans="2:6" x14ac:dyDescent="0.25">
      <c r="B6007" s="13" t="s">
        <v>10542</v>
      </c>
      <c r="C6007" s="17" t="s">
        <v>170</v>
      </c>
      <c r="D6007" s="13" t="s">
        <v>118</v>
      </c>
      <c r="E6007" s="13" t="s">
        <v>10543</v>
      </c>
      <c r="F6007" s="43">
        <v>96.39</v>
      </c>
    </row>
    <row r="6008" spans="2:6" x14ac:dyDescent="0.25">
      <c r="B6008" s="13" t="s">
        <v>10544</v>
      </c>
      <c r="C6008" s="17" t="s">
        <v>170</v>
      </c>
      <c r="D6008" s="13" t="s">
        <v>118</v>
      </c>
      <c r="E6008" s="13" t="s">
        <v>10545</v>
      </c>
      <c r="F6008" s="43">
        <v>96.39</v>
      </c>
    </row>
    <row r="6009" spans="2:6" x14ac:dyDescent="0.25">
      <c r="B6009" s="13" t="s">
        <v>10546</v>
      </c>
      <c r="C6009" s="17" t="s">
        <v>170</v>
      </c>
      <c r="D6009" s="13" t="s">
        <v>118</v>
      </c>
      <c r="E6009" s="13" t="s">
        <v>10547</v>
      </c>
      <c r="F6009" s="43">
        <v>96.39</v>
      </c>
    </row>
    <row r="6010" spans="2:6" x14ac:dyDescent="0.25">
      <c r="B6010" s="13" t="s">
        <v>10548</v>
      </c>
      <c r="C6010" s="17" t="s">
        <v>170</v>
      </c>
      <c r="D6010" s="13" t="s">
        <v>118</v>
      </c>
      <c r="E6010" s="13" t="s">
        <v>10549</v>
      </c>
      <c r="F6010" s="43">
        <v>96.39</v>
      </c>
    </row>
    <row r="6011" spans="2:6" x14ac:dyDescent="0.25">
      <c r="B6011" s="13" t="s">
        <v>10550</v>
      </c>
      <c r="C6011" s="17" t="s">
        <v>170</v>
      </c>
      <c r="D6011" s="13" t="s">
        <v>118</v>
      </c>
      <c r="E6011" s="13" t="s">
        <v>10551</v>
      </c>
      <c r="F6011" s="43">
        <v>96.39</v>
      </c>
    </row>
    <row r="6012" spans="2:6" x14ac:dyDescent="0.25">
      <c r="B6012" s="13" t="s">
        <v>10552</v>
      </c>
      <c r="C6012" s="17" t="s">
        <v>170</v>
      </c>
      <c r="D6012" s="13" t="s">
        <v>118</v>
      </c>
      <c r="E6012" s="13" t="s">
        <v>10553</v>
      </c>
      <c r="F6012" s="43">
        <v>96.39</v>
      </c>
    </row>
    <row r="6013" spans="2:6" x14ac:dyDescent="0.25">
      <c r="B6013" s="13" t="s">
        <v>10554</v>
      </c>
      <c r="C6013" s="17" t="s">
        <v>170</v>
      </c>
      <c r="D6013" s="13" t="s">
        <v>118</v>
      </c>
      <c r="E6013" s="13" t="s">
        <v>10555</v>
      </c>
      <c r="F6013" s="43">
        <v>96.39</v>
      </c>
    </row>
    <row r="6014" spans="2:6" x14ac:dyDescent="0.25">
      <c r="B6014" s="13" t="s">
        <v>10556</v>
      </c>
      <c r="C6014" s="17" t="s">
        <v>170</v>
      </c>
      <c r="D6014" s="13" t="s">
        <v>118</v>
      </c>
      <c r="E6014" s="13" t="s">
        <v>10557</v>
      </c>
      <c r="F6014" s="43">
        <v>96.39</v>
      </c>
    </row>
    <row r="6015" spans="2:6" x14ac:dyDescent="0.25">
      <c r="B6015" s="13" t="s">
        <v>10558</v>
      </c>
      <c r="C6015" s="17" t="s">
        <v>170</v>
      </c>
      <c r="D6015" s="13" t="s">
        <v>118</v>
      </c>
      <c r="E6015" s="13" t="s">
        <v>10559</v>
      </c>
      <c r="F6015" s="43">
        <v>96.39</v>
      </c>
    </row>
    <row r="6016" spans="2:6" x14ac:dyDescent="0.25">
      <c r="B6016" s="13" t="s">
        <v>10560</v>
      </c>
      <c r="C6016" s="17" t="s">
        <v>170</v>
      </c>
      <c r="D6016" s="13" t="s">
        <v>118</v>
      </c>
      <c r="E6016" s="13" t="s">
        <v>10561</v>
      </c>
      <c r="F6016" s="43">
        <v>96.39</v>
      </c>
    </row>
    <row r="6017" spans="2:6" x14ac:dyDescent="0.25">
      <c r="B6017" s="13" t="s">
        <v>10562</v>
      </c>
      <c r="C6017" s="17" t="s">
        <v>170</v>
      </c>
      <c r="D6017" s="13" t="s">
        <v>118</v>
      </c>
      <c r="E6017" s="13" t="s">
        <v>10563</v>
      </c>
      <c r="F6017" s="43">
        <v>96.39</v>
      </c>
    </row>
    <row r="6018" spans="2:6" x14ac:dyDescent="0.25">
      <c r="B6018" s="13" t="s">
        <v>10564</v>
      </c>
      <c r="C6018" s="17" t="s">
        <v>170</v>
      </c>
      <c r="D6018" s="13" t="s">
        <v>118</v>
      </c>
      <c r="E6018" s="13" t="s">
        <v>10565</v>
      </c>
      <c r="F6018" s="43">
        <v>96.39</v>
      </c>
    </row>
    <row r="6019" spans="2:6" x14ac:dyDescent="0.25">
      <c r="B6019" s="13" t="s">
        <v>10566</v>
      </c>
      <c r="C6019" s="17" t="s">
        <v>170</v>
      </c>
      <c r="D6019" s="13" t="s">
        <v>118</v>
      </c>
      <c r="E6019" s="13" t="s">
        <v>10567</v>
      </c>
      <c r="F6019" s="43">
        <v>96.39</v>
      </c>
    </row>
    <row r="6020" spans="2:6" x14ac:dyDescent="0.25">
      <c r="B6020" s="13" t="s">
        <v>10568</v>
      </c>
      <c r="C6020" s="17" t="s">
        <v>170</v>
      </c>
      <c r="D6020" s="13" t="s">
        <v>118</v>
      </c>
      <c r="E6020" s="13" t="s">
        <v>10569</v>
      </c>
      <c r="F6020" s="43">
        <v>96.39</v>
      </c>
    </row>
    <row r="6021" spans="2:6" x14ac:dyDescent="0.25">
      <c r="B6021" s="13" t="s">
        <v>10570</v>
      </c>
      <c r="C6021" s="17" t="s">
        <v>170</v>
      </c>
      <c r="D6021" s="13" t="s">
        <v>118</v>
      </c>
      <c r="E6021" s="13" t="s">
        <v>10571</v>
      </c>
      <c r="F6021" s="43">
        <v>96.39</v>
      </c>
    </row>
    <row r="6022" spans="2:6" x14ac:dyDescent="0.25">
      <c r="B6022" s="13" t="s">
        <v>10572</v>
      </c>
      <c r="C6022" s="17" t="s">
        <v>170</v>
      </c>
      <c r="D6022" s="13" t="s">
        <v>118</v>
      </c>
      <c r="E6022" s="13" t="s">
        <v>10573</v>
      </c>
      <c r="F6022" s="43">
        <v>96.39</v>
      </c>
    </row>
    <row r="6023" spans="2:6" x14ac:dyDescent="0.25">
      <c r="B6023" s="13" t="s">
        <v>10574</v>
      </c>
      <c r="C6023" s="17" t="s">
        <v>170</v>
      </c>
      <c r="D6023" s="13" t="s">
        <v>118</v>
      </c>
      <c r="E6023" s="13" t="s">
        <v>10575</v>
      </c>
      <c r="F6023" s="43">
        <v>96.39</v>
      </c>
    </row>
    <row r="6024" spans="2:6" x14ac:dyDescent="0.25">
      <c r="B6024" s="13" t="s">
        <v>10576</v>
      </c>
      <c r="C6024" s="17" t="s">
        <v>170</v>
      </c>
      <c r="D6024" s="13" t="s">
        <v>118</v>
      </c>
      <c r="E6024" s="13" t="s">
        <v>10577</v>
      </c>
      <c r="F6024" s="43">
        <v>96.39</v>
      </c>
    </row>
    <row r="6025" spans="2:6" x14ac:dyDescent="0.25">
      <c r="B6025" s="13" t="s">
        <v>10578</v>
      </c>
      <c r="C6025" s="17" t="s">
        <v>170</v>
      </c>
      <c r="D6025" s="13" t="s">
        <v>118</v>
      </c>
      <c r="E6025" s="13" t="s">
        <v>10579</v>
      </c>
      <c r="F6025" s="43">
        <v>109.25</v>
      </c>
    </row>
    <row r="6026" spans="2:6" x14ac:dyDescent="0.25">
      <c r="B6026" s="13" t="s">
        <v>10580</v>
      </c>
      <c r="C6026" s="17" t="s">
        <v>170</v>
      </c>
      <c r="D6026" s="13" t="s">
        <v>118</v>
      </c>
      <c r="E6026" s="13" t="s">
        <v>10581</v>
      </c>
      <c r="F6026" s="43">
        <v>109.25</v>
      </c>
    </row>
    <row r="6027" spans="2:6" x14ac:dyDescent="0.25">
      <c r="B6027" s="13" t="s">
        <v>10582</v>
      </c>
      <c r="C6027" s="17" t="s">
        <v>170</v>
      </c>
      <c r="D6027" s="13" t="s">
        <v>118</v>
      </c>
      <c r="E6027" s="13" t="s">
        <v>10583</v>
      </c>
      <c r="F6027" s="43">
        <v>109.25</v>
      </c>
    </row>
    <row r="6028" spans="2:6" x14ac:dyDescent="0.25">
      <c r="B6028" s="13" t="s">
        <v>10584</v>
      </c>
      <c r="C6028" s="17" t="s">
        <v>170</v>
      </c>
      <c r="D6028" s="13" t="s">
        <v>118</v>
      </c>
      <c r="E6028" s="13" t="s">
        <v>10585</v>
      </c>
      <c r="F6028" s="43">
        <v>109.25</v>
      </c>
    </row>
    <row r="6029" spans="2:6" x14ac:dyDescent="0.25">
      <c r="B6029" s="13" t="s">
        <v>10586</v>
      </c>
      <c r="C6029" s="17" t="s">
        <v>170</v>
      </c>
      <c r="D6029" s="13" t="s">
        <v>118</v>
      </c>
      <c r="E6029" s="13" t="s">
        <v>10587</v>
      </c>
      <c r="F6029" s="43">
        <v>109.25</v>
      </c>
    </row>
    <row r="6030" spans="2:6" x14ac:dyDescent="0.25">
      <c r="B6030" s="13" t="s">
        <v>10588</v>
      </c>
      <c r="C6030" s="17" t="s">
        <v>170</v>
      </c>
      <c r="D6030" s="13" t="s">
        <v>118</v>
      </c>
      <c r="E6030" s="13" t="s">
        <v>10589</v>
      </c>
      <c r="F6030" s="43">
        <v>96.39</v>
      </c>
    </row>
    <row r="6031" spans="2:6" x14ac:dyDescent="0.25">
      <c r="B6031" s="13" t="s">
        <v>10590</v>
      </c>
      <c r="C6031" s="17" t="s">
        <v>170</v>
      </c>
      <c r="D6031" s="13" t="s">
        <v>118</v>
      </c>
      <c r="E6031" s="13" t="s">
        <v>10591</v>
      </c>
      <c r="F6031" s="43">
        <v>96.39</v>
      </c>
    </row>
    <row r="6032" spans="2:6" x14ac:dyDescent="0.25">
      <c r="B6032" s="13" t="s">
        <v>10592</v>
      </c>
      <c r="C6032" s="17" t="s">
        <v>170</v>
      </c>
      <c r="D6032" s="13" t="s">
        <v>118</v>
      </c>
      <c r="E6032" s="13" t="s">
        <v>10593</v>
      </c>
      <c r="F6032" s="43">
        <v>96.39</v>
      </c>
    </row>
    <row r="6033" spans="2:6" x14ac:dyDescent="0.25">
      <c r="B6033" s="13" t="s">
        <v>10594</v>
      </c>
      <c r="C6033" s="17" t="s">
        <v>170</v>
      </c>
      <c r="D6033" s="13" t="s">
        <v>118</v>
      </c>
      <c r="E6033" s="13" t="s">
        <v>10595</v>
      </c>
      <c r="F6033" s="43">
        <v>96.39</v>
      </c>
    </row>
    <row r="6034" spans="2:6" x14ac:dyDescent="0.25">
      <c r="B6034" s="13" t="s">
        <v>10596</v>
      </c>
      <c r="C6034" s="17" t="s">
        <v>170</v>
      </c>
      <c r="D6034" s="13" t="s">
        <v>118</v>
      </c>
      <c r="E6034" s="13" t="s">
        <v>10597</v>
      </c>
      <c r="F6034" s="43">
        <v>96.39</v>
      </c>
    </row>
    <row r="6035" spans="2:6" x14ac:dyDescent="0.25">
      <c r="B6035" s="13" t="s">
        <v>10598</v>
      </c>
      <c r="C6035" s="17" t="s">
        <v>170</v>
      </c>
      <c r="D6035" s="13" t="s">
        <v>118</v>
      </c>
      <c r="E6035" s="13" t="s">
        <v>10599</v>
      </c>
      <c r="F6035" s="43">
        <v>96.39</v>
      </c>
    </row>
    <row r="6036" spans="2:6" x14ac:dyDescent="0.25">
      <c r="B6036" s="13" t="s">
        <v>10600</v>
      </c>
      <c r="C6036" s="17" t="s">
        <v>170</v>
      </c>
      <c r="D6036" s="13" t="s">
        <v>118</v>
      </c>
      <c r="E6036" s="13" t="s">
        <v>10601</v>
      </c>
      <c r="F6036" s="43">
        <v>96.39</v>
      </c>
    </row>
    <row r="6037" spans="2:6" x14ac:dyDescent="0.25">
      <c r="B6037" s="13" t="s">
        <v>10602</v>
      </c>
      <c r="C6037" s="17" t="s">
        <v>170</v>
      </c>
      <c r="D6037" s="13" t="s">
        <v>118</v>
      </c>
      <c r="E6037" s="13" t="s">
        <v>10603</v>
      </c>
      <c r="F6037" s="43">
        <v>96.39</v>
      </c>
    </row>
    <row r="6038" spans="2:6" x14ac:dyDescent="0.25">
      <c r="B6038" s="13" t="s">
        <v>10604</v>
      </c>
      <c r="C6038" s="17" t="s">
        <v>170</v>
      </c>
      <c r="D6038" s="13" t="s">
        <v>118</v>
      </c>
      <c r="E6038" s="13" t="s">
        <v>10605</v>
      </c>
      <c r="F6038" s="43">
        <v>96.39</v>
      </c>
    </row>
    <row r="6039" spans="2:6" x14ac:dyDescent="0.25">
      <c r="B6039" s="13" t="s">
        <v>10606</v>
      </c>
      <c r="C6039" s="17" t="s">
        <v>170</v>
      </c>
      <c r="D6039" s="13" t="s">
        <v>118</v>
      </c>
      <c r="E6039" s="13" t="s">
        <v>10607</v>
      </c>
      <c r="F6039" s="43">
        <v>96.39</v>
      </c>
    </row>
    <row r="6040" spans="2:6" x14ac:dyDescent="0.25">
      <c r="B6040" s="13" t="s">
        <v>10608</v>
      </c>
      <c r="C6040" s="17" t="s">
        <v>170</v>
      </c>
      <c r="D6040" s="13" t="s">
        <v>118</v>
      </c>
      <c r="E6040" s="13" t="s">
        <v>10609</v>
      </c>
      <c r="F6040" s="43">
        <v>96.39</v>
      </c>
    </row>
    <row r="6041" spans="2:6" x14ac:dyDescent="0.25">
      <c r="B6041" s="13" t="s">
        <v>10610</v>
      </c>
      <c r="C6041" s="17" t="s">
        <v>170</v>
      </c>
      <c r="D6041" s="13" t="s">
        <v>118</v>
      </c>
      <c r="E6041" s="13" t="s">
        <v>10611</v>
      </c>
      <c r="F6041" s="43">
        <v>96.39</v>
      </c>
    </row>
    <row r="6042" spans="2:6" x14ac:dyDescent="0.25">
      <c r="B6042" s="13" t="s">
        <v>10612</v>
      </c>
      <c r="C6042" s="17" t="s">
        <v>170</v>
      </c>
      <c r="D6042" s="13" t="s">
        <v>118</v>
      </c>
      <c r="E6042" s="13" t="s">
        <v>10613</v>
      </c>
      <c r="F6042" s="43">
        <v>96.39</v>
      </c>
    </row>
    <row r="6043" spans="2:6" x14ac:dyDescent="0.25">
      <c r="B6043" s="13" t="s">
        <v>10614</v>
      </c>
      <c r="C6043" s="17" t="s">
        <v>170</v>
      </c>
      <c r="D6043" s="13" t="s">
        <v>118</v>
      </c>
      <c r="E6043" s="13" t="s">
        <v>10615</v>
      </c>
      <c r="F6043" s="43">
        <v>96.39</v>
      </c>
    </row>
    <row r="6044" spans="2:6" x14ac:dyDescent="0.25">
      <c r="B6044" s="13" t="s">
        <v>10616</v>
      </c>
      <c r="C6044" s="17" t="s">
        <v>170</v>
      </c>
      <c r="D6044" s="13" t="s">
        <v>118</v>
      </c>
      <c r="E6044" s="13" t="s">
        <v>10617</v>
      </c>
      <c r="F6044" s="43">
        <v>96.39</v>
      </c>
    </row>
    <row r="6045" spans="2:6" x14ac:dyDescent="0.25">
      <c r="B6045" s="13" t="s">
        <v>10618</v>
      </c>
      <c r="C6045" s="17" t="s">
        <v>170</v>
      </c>
      <c r="D6045" s="13" t="s">
        <v>118</v>
      </c>
      <c r="E6045" s="13" t="s">
        <v>10619</v>
      </c>
      <c r="F6045" s="43">
        <v>96.39</v>
      </c>
    </row>
    <row r="6046" spans="2:6" x14ac:dyDescent="0.25">
      <c r="B6046" s="13" t="s">
        <v>10620</v>
      </c>
      <c r="C6046" s="17" t="s">
        <v>170</v>
      </c>
      <c r="D6046" s="13" t="s">
        <v>118</v>
      </c>
      <c r="E6046" s="13" t="s">
        <v>10621</v>
      </c>
      <c r="F6046" s="43">
        <v>96.39</v>
      </c>
    </row>
    <row r="6047" spans="2:6" x14ac:dyDescent="0.25">
      <c r="B6047" s="13" t="s">
        <v>10622</v>
      </c>
      <c r="C6047" s="17" t="s">
        <v>170</v>
      </c>
      <c r="D6047" s="13" t="s">
        <v>118</v>
      </c>
      <c r="E6047" s="13" t="s">
        <v>10623</v>
      </c>
      <c r="F6047" s="43">
        <v>96.39</v>
      </c>
    </row>
    <row r="6048" spans="2:6" x14ac:dyDescent="0.25">
      <c r="B6048" s="13" t="s">
        <v>10624</v>
      </c>
      <c r="C6048" s="17" t="s">
        <v>170</v>
      </c>
      <c r="D6048" s="13" t="s">
        <v>118</v>
      </c>
      <c r="E6048" s="13" t="s">
        <v>10625</v>
      </c>
      <c r="F6048" s="43">
        <v>96.39</v>
      </c>
    </row>
    <row r="6049" spans="2:6" x14ac:dyDescent="0.25">
      <c r="B6049" s="13" t="s">
        <v>10626</v>
      </c>
      <c r="C6049" s="17" t="s">
        <v>170</v>
      </c>
      <c r="D6049" s="13" t="s">
        <v>118</v>
      </c>
      <c r="E6049" s="13" t="s">
        <v>10627</v>
      </c>
      <c r="F6049" s="43">
        <v>96.39</v>
      </c>
    </row>
    <row r="6050" spans="2:6" x14ac:dyDescent="0.25">
      <c r="B6050" s="13" t="s">
        <v>10628</v>
      </c>
      <c r="C6050" s="17" t="s">
        <v>170</v>
      </c>
      <c r="D6050" s="13" t="s">
        <v>118</v>
      </c>
      <c r="E6050" s="13" t="s">
        <v>10629</v>
      </c>
      <c r="F6050" s="43">
        <v>96.39</v>
      </c>
    </row>
    <row r="6051" spans="2:6" x14ac:dyDescent="0.25">
      <c r="B6051" s="13" t="s">
        <v>10630</v>
      </c>
      <c r="C6051" s="17" t="s">
        <v>170</v>
      </c>
      <c r="D6051" s="13" t="s">
        <v>118</v>
      </c>
      <c r="E6051" s="13" t="s">
        <v>10631</v>
      </c>
      <c r="F6051" s="43">
        <v>96.39</v>
      </c>
    </row>
    <row r="6052" spans="2:6" x14ac:dyDescent="0.25">
      <c r="B6052" s="13" t="s">
        <v>10632</v>
      </c>
      <c r="C6052" s="17" t="s">
        <v>170</v>
      </c>
      <c r="D6052" s="13" t="s">
        <v>118</v>
      </c>
      <c r="E6052" s="13" t="s">
        <v>10633</v>
      </c>
      <c r="F6052" s="43">
        <v>96.39</v>
      </c>
    </row>
    <row r="6053" spans="2:6" x14ac:dyDescent="0.25">
      <c r="B6053" s="13" t="s">
        <v>10634</v>
      </c>
      <c r="C6053" s="17" t="s">
        <v>170</v>
      </c>
      <c r="D6053" s="13" t="s">
        <v>118</v>
      </c>
      <c r="E6053" s="13" t="s">
        <v>10635</v>
      </c>
      <c r="F6053" s="43">
        <v>109.25</v>
      </c>
    </row>
    <row r="6054" spans="2:6" x14ac:dyDescent="0.25">
      <c r="B6054" s="13" t="s">
        <v>10636</v>
      </c>
      <c r="C6054" s="17" t="s">
        <v>170</v>
      </c>
      <c r="D6054" s="13" t="s">
        <v>118</v>
      </c>
      <c r="E6054" s="13" t="s">
        <v>10637</v>
      </c>
      <c r="F6054" s="43">
        <v>109.25</v>
      </c>
    </row>
    <row r="6055" spans="2:6" x14ac:dyDescent="0.25">
      <c r="B6055" s="13" t="s">
        <v>10638</v>
      </c>
      <c r="C6055" s="17" t="s">
        <v>170</v>
      </c>
      <c r="D6055" s="13" t="s">
        <v>118</v>
      </c>
      <c r="E6055" s="13" t="s">
        <v>10639</v>
      </c>
      <c r="F6055" s="43">
        <v>109.25</v>
      </c>
    </row>
    <row r="6056" spans="2:6" x14ac:dyDescent="0.25">
      <c r="B6056" s="13" t="s">
        <v>10640</v>
      </c>
      <c r="C6056" s="17" t="s">
        <v>170</v>
      </c>
      <c r="D6056" s="13" t="s">
        <v>118</v>
      </c>
      <c r="E6056" s="13" t="s">
        <v>10641</v>
      </c>
      <c r="F6056" s="43">
        <v>109.25</v>
      </c>
    </row>
    <row r="6057" spans="2:6" x14ac:dyDescent="0.25">
      <c r="B6057" s="13" t="s">
        <v>10642</v>
      </c>
      <c r="C6057" s="17" t="s">
        <v>170</v>
      </c>
      <c r="D6057" s="13" t="s">
        <v>118</v>
      </c>
      <c r="E6057" s="13" t="s">
        <v>10643</v>
      </c>
      <c r="F6057" s="43">
        <v>24.87</v>
      </c>
    </row>
    <row r="6058" spans="2:6" x14ac:dyDescent="0.25">
      <c r="B6058" s="13" t="s">
        <v>10644</v>
      </c>
      <c r="C6058" s="17" t="s">
        <v>170</v>
      </c>
      <c r="D6058" s="13" t="s">
        <v>118</v>
      </c>
      <c r="E6058" s="13" t="s">
        <v>10645</v>
      </c>
      <c r="F6058" s="43">
        <v>24.87</v>
      </c>
    </row>
    <row r="6059" spans="2:6" x14ac:dyDescent="0.25">
      <c r="B6059" s="13" t="s">
        <v>10646</v>
      </c>
      <c r="C6059" s="17" t="s">
        <v>170</v>
      </c>
      <c r="D6059" s="13" t="s">
        <v>118</v>
      </c>
      <c r="E6059" s="13" t="s">
        <v>10647</v>
      </c>
      <c r="F6059" s="43">
        <v>53.4</v>
      </c>
    </row>
    <row r="6060" spans="2:6" x14ac:dyDescent="0.25">
      <c r="B6060" s="13" t="s">
        <v>10648</v>
      </c>
      <c r="C6060" s="17" t="s">
        <v>170</v>
      </c>
      <c r="D6060" s="13" t="s">
        <v>118</v>
      </c>
      <c r="E6060" s="13" t="s">
        <v>10649</v>
      </c>
      <c r="F6060" s="43">
        <v>28.69</v>
      </c>
    </row>
    <row r="6061" spans="2:6" x14ac:dyDescent="0.25">
      <c r="B6061" s="13" t="s">
        <v>10650</v>
      </c>
      <c r="C6061" s="17" t="s">
        <v>170</v>
      </c>
      <c r="D6061" s="13" t="s">
        <v>118</v>
      </c>
      <c r="E6061" s="13" t="s">
        <v>10651</v>
      </c>
      <c r="F6061" s="43">
        <v>28.69</v>
      </c>
    </row>
    <row r="6062" spans="2:6" x14ac:dyDescent="0.25">
      <c r="B6062" s="13" t="s">
        <v>10652</v>
      </c>
      <c r="C6062" s="17" t="s">
        <v>170</v>
      </c>
      <c r="D6062" s="13" t="s">
        <v>118</v>
      </c>
      <c r="E6062" s="13" t="s">
        <v>10653</v>
      </c>
      <c r="F6062" s="43">
        <v>28.69</v>
      </c>
    </row>
    <row r="6063" spans="2:6" x14ac:dyDescent="0.25">
      <c r="B6063" s="13" t="s">
        <v>10654</v>
      </c>
      <c r="C6063" s="17" t="s">
        <v>170</v>
      </c>
      <c r="D6063" s="13" t="s">
        <v>118</v>
      </c>
      <c r="E6063" s="13" t="s">
        <v>10655</v>
      </c>
      <c r="F6063" s="43">
        <v>28.69</v>
      </c>
    </row>
    <row r="6064" spans="2:6" x14ac:dyDescent="0.25">
      <c r="B6064" s="13" t="s">
        <v>10656</v>
      </c>
      <c r="C6064" s="17" t="s">
        <v>170</v>
      </c>
      <c r="D6064" s="13" t="s">
        <v>118</v>
      </c>
      <c r="E6064" s="13" t="s">
        <v>10657</v>
      </c>
      <c r="F6064" s="43">
        <v>28.69</v>
      </c>
    </row>
    <row r="6065" spans="2:6" x14ac:dyDescent="0.25">
      <c r="B6065" s="13" t="s">
        <v>10658</v>
      </c>
      <c r="C6065" s="17" t="s">
        <v>170</v>
      </c>
      <c r="D6065" s="13" t="s">
        <v>118</v>
      </c>
      <c r="E6065" s="13" t="s">
        <v>10659</v>
      </c>
      <c r="F6065" s="43">
        <v>28.69</v>
      </c>
    </row>
    <row r="6066" spans="2:6" x14ac:dyDescent="0.25">
      <c r="B6066" s="13" t="s">
        <v>10660</v>
      </c>
      <c r="C6066" s="17" t="s">
        <v>170</v>
      </c>
      <c r="D6066" s="13" t="s">
        <v>118</v>
      </c>
      <c r="E6066" s="13" t="s">
        <v>10661</v>
      </c>
      <c r="F6066" s="43">
        <v>28.69</v>
      </c>
    </row>
    <row r="6067" spans="2:6" x14ac:dyDescent="0.25">
      <c r="B6067" s="13" t="s">
        <v>10662</v>
      </c>
      <c r="C6067" s="17" t="s">
        <v>170</v>
      </c>
      <c r="D6067" s="13" t="s">
        <v>118</v>
      </c>
      <c r="E6067" s="13" t="s">
        <v>10663</v>
      </c>
      <c r="F6067" s="43">
        <v>28.69</v>
      </c>
    </row>
    <row r="6068" spans="2:6" x14ac:dyDescent="0.25">
      <c r="B6068" s="13" t="s">
        <v>10664</v>
      </c>
      <c r="C6068" s="17" t="s">
        <v>170</v>
      </c>
      <c r="D6068" s="13" t="s">
        <v>118</v>
      </c>
      <c r="E6068" s="13" t="s">
        <v>10665</v>
      </c>
      <c r="F6068" s="43">
        <v>28.69</v>
      </c>
    </row>
    <row r="6069" spans="2:6" x14ac:dyDescent="0.25">
      <c r="B6069" s="13" t="s">
        <v>10666</v>
      </c>
      <c r="C6069" s="17" t="s">
        <v>170</v>
      </c>
      <c r="D6069" s="13" t="s">
        <v>118</v>
      </c>
      <c r="E6069" s="13" t="s">
        <v>10667</v>
      </c>
      <c r="F6069" s="43">
        <v>28.69</v>
      </c>
    </row>
    <row r="6070" spans="2:6" x14ac:dyDescent="0.25">
      <c r="B6070" s="13" t="s">
        <v>10668</v>
      </c>
      <c r="C6070" s="17" t="s">
        <v>170</v>
      </c>
      <c r="D6070" s="13" t="s">
        <v>118</v>
      </c>
      <c r="E6070" s="13" t="s">
        <v>10669</v>
      </c>
      <c r="F6070" s="43">
        <v>28.69</v>
      </c>
    </row>
    <row r="6071" spans="2:6" x14ac:dyDescent="0.25">
      <c r="B6071" s="13" t="s">
        <v>10670</v>
      </c>
      <c r="C6071" s="17" t="s">
        <v>170</v>
      </c>
      <c r="D6071" s="13" t="s">
        <v>118</v>
      </c>
      <c r="E6071" s="13" t="s">
        <v>10671</v>
      </c>
      <c r="F6071" s="43">
        <v>28.69</v>
      </c>
    </row>
    <row r="6072" spans="2:6" x14ac:dyDescent="0.25">
      <c r="B6072" s="13" t="s">
        <v>10672</v>
      </c>
      <c r="C6072" s="17" t="s">
        <v>170</v>
      </c>
      <c r="D6072" s="13" t="s">
        <v>118</v>
      </c>
      <c r="E6072" s="13" t="s">
        <v>10673</v>
      </c>
      <c r="F6072" s="43">
        <v>28.69</v>
      </c>
    </row>
    <row r="6073" spans="2:6" x14ac:dyDescent="0.25">
      <c r="B6073" s="13" t="s">
        <v>10674</v>
      </c>
      <c r="C6073" s="17" t="s">
        <v>170</v>
      </c>
      <c r="D6073" s="13" t="s">
        <v>118</v>
      </c>
      <c r="E6073" s="13" t="s">
        <v>10675</v>
      </c>
      <c r="F6073" s="43">
        <v>28.69</v>
      </c>
    </row>
    <row r="6074" spans="2:6" x14ac:dyDescent="0.25">
      <c r="B6074" s="13" t="s">
        <v>10676</v>
      </c>
      <c r="C6074" s="17" t="s">
        <v>170</v>
      </c>
      <c r="D6074" s="13" t="s">
        <v>118</v>
      </c>
      <c r="E6074" s="13" t="s">
        <v>10677</v>
      </c>
      <c r="F6074" s="43">
        <v>28.69</v>
      </c>
    </row>
    <row r="6075" spans="2:6" x14ac:dyDescent="0.25">
      <c r="B6075" s="13" t="s">
        <v>10678</v>
      </c>
      <c r="C6075" s="17" t="s">
        <v>170</v>
      </c>
      <c r="D6075" s="13" t="s">
        <v>118</v>
      </c>
      <c r="E6075" s="13" t="s">
        <v>10679</v>
      </c>
      <c r="F6075" s="43">
        <v>28.69</v>
      </c>
    </row>
    <row r="6076" spans="2:6" x14ac:dyDescent="0.25">
      <c r="B6076" s="13" t="s">
        <v>10680</v>
      </c>
      <c r="C6076" s="17" t="s">
        <v>170</v>
      </c>
      <c r="D6076" s="13" t="s">
        <v>118</v>
      </c>
      <c r="E6076" s="13" t="s">
        <v>10681</v>
      </c>
      <c r="F6076" s="43">
        <v>28.69</v>
      </c>
    </row>
    <row r="6077" spans="2:6" x14ac:dyDescent="0.25">
      <c r="B6077" s="13" t="s">
        <v>10682</v>
      </c>
      <c r="C6077" s="17" t="s">
        <v>170</v>
      </c>
      <c r="D6077" s="13" t="s">
        <v>118</v>
      </c>
      <c r="E6077" s="13" t="s">
        <v>10683</v>
      </c>
      <c r="F6077" s="43">
        <v>28.69</v>
      </c>
    </row>
    <row r="6078" spans="2:6" x14ac:dyDescent="0.25">
      <c r="B6078" s="13" t="s">
        <v>10684</v>
      </c>
      <c r="C6078" s="17" t="s">
        <v>170</v>
      </c>
      <c r="D6078" s="13" t="s">
        <v>118</v>
      </c>
      <c r="E6078" s="13" t="s">
        <v>10685</v>
      </c>
      <c r="F6078" s="43">
        <v>28.69</v>
      </c>
    </row>
    <row r="6079" spans="2:6" x14ac:dyDescent="0.25">
      <c r="B6079" s="13" t="s">
        <v>10686</v>
      </c>
      <c r="C6079" s="17" t="s">
        <v>170</v>
      </c>
      <c r="D6079" s="13" t="s">
        <v>118</v>
      </c>
      <c r="E6079" s="13" t="s">
        <v>10687</v>
      </c>
      <c r="F6079" s="43">
        <v>28.69</v>
      </c>
    </row>
    <row r="6080" spans="2:6" x14ac:dyDescent="0.25">
      <c r="B6080" s="13" t="s">
        <v>10688</v>
      </c>
      <c r="C6080" s="17" t="s">
        <v>170</v>
      </c>
      <c r="D6080" s="13" t="s">
        <v>118</v>
      </c>
      <c r="E6080" s="13" t="s">
        <v>10689</v>
      </c>
      <c r="F6080" s="43">
        <v>28.69</v>
      </c>
    </row>
    <row r="6081" spans="2:6" x14ac:dyDescent="0.25">
      <c r="B6081" s="13" t="s">
        <v>10690</v>
      </c>
      <c r="C6081" s="17" t="s">
        <v>170</v>
      </c>
      <c r="D6081" s="13" t="s">
        <v>118</v>
      </c>
      <c r="E6081" s="13" t="s">
        <v>10691</v>
      </c>
      <c r="F6081" s="43">
        <v>28.69</v>
      </c>
    </row>
    <row r="6082" spans="2:6" x14ac:dyDescent="0.25">
      <c r="B6082" s="13" t="s">
        <v>10692</v>
      </c>
      <c r="C6082" s="17" t="s">
        <v>170</v>
      </c>
      <c r="D6082" s="13" t="s">
        <v>118</v>
      </c>
      <c r="E6082" s="13" t="s">
        <v>10693</v>
      </c>
      <c r="F6082" s="43">
        <v>28.69</v>
      </c>
    </row>
    <row r="6083" spans="2:6" x14ac:dyDescent="0.25">
      <c r="B6083" s="13" t="s">
        <v>10694</v>
      </c>
      <c r="C6083" s="17" t="s">
        <v>170</v>
      </c>
      <c r="D6083" s="13" t="s">
        <v>118</v>
      </c>
      <c r="E6083" s="13" t="s">
        <v>10695</v>
      </c>
      <c r="F6083" s="43">
        <v>28.69</v>
      </c>
    </row>
    <row r="6084" spans="2:6" x14ac:dyDescent="0.25">
      <c r="B6084" s="13" t="s">
        <v>10696</v>
      </c>
      <c r="C6084" s="17" t="s">
        <v>170</v>
      </c>
      <c r="D6084" s="13" t="s">
        <v>118</v>
      </c>
      <c r="E6084" s="13" t="s">
        <v>10697</v>
      </c>
      <c r="F6084" s="43">
        <v>28.69</v>
      </c>
    </row>
    <row r="6085" spans="2:6" x14ac:dyDescent="0.25">
      <c r="B6085" s="13" t="s">
        <v>10698</v>
      </c>
      <c r="C6085" s="17" t="s">
        <v>170</v>
      </c>
      <c r="D6085" s="13" t="s">
        <v>118</v>
      </c>
      <c r="E6085" s="13" t="s">
        <v>10699</v>
      </c>
      <c r="F6085" s="43">
        <v>28.69</v>
      </c>
    </row>
    <row r="6086" spans="2:6" x14ac:dyDescent="0.25">
      <c r="B6086" s="13" t="s">
        <v>10700</v>
      </c>
      <c r="C6086" s="17" t="s">
        <v>170</v>
      </c>
      <c r="D6086" s="13" t="s">
        <v>118</v>
      </c>
      <c r="E6086" s="13" t="s">
        <v>10701</v>
      </c>
      <c r="F6086" s="43">
        <v>28.69</v>
      </c>
    </row>
    <row r="6087" spans="2:6" x14ac:dyDescent="0.25">
      <c r="B6087" s="13" t="s">
        <v>10702</v>
      </c>
      <c r="C6087" s="17" t="s">
        <v>170</v>
      </c>
      <c r="D6087" s="13" t="s">
        <v>118</v>
      </c>
      <c r="E6087" s="13" t="s">
        <v>10703</v>
      </c>
      <c r="F6087" s="43">
        <v>28.69</v>
      </c>
    </row>
    <row r="6088" spans="2:6" x14ac:dyDescent="0.25">
      <c r="B6088" s="13" t="s">
        <v>10704</v>
      </c>
      <c r="C6088" s="17" t="s">
        <v>170</v>
      </c>
      <c r="D6088" s="13" t="s">
        <v>118</v>
      </c>
      <c r="E6088" s="13" t="s">
        <v>10705</v>
      </c>
      <c r="F6088" s="43">
        <v>28.69</v>
      </c>
    </row>
    <row r="6089" spans="2:6" x14ac:dyDescent="0.25">
      <c r="B6089" s="13" t="s">
        <v>10706</v>
      </c>
      <c r="C6089" s="17" t="s">
        <v>170</v>
      </c>
      <c r="D6089" s="13" t="s">
        <v>118</v>
      </c>
      <c r="E6089" s="13" t="s">
        <v>10707</v>
      </c>
      <c r="F6089" s="43">
        <v>28.69</v>
      </c>
    </row>
    <row r="6090" spans="2:6" x14ac:dyDescent="0.25">
      <c r="B6090" s="13" t="s">
        <v>10708</v>
      </c>
      <c r="C6090" s="17" t="s">
        <v>170</v>
      </c>
      <c r="D6090" s="13" t="s">
        <v>118</v>
      </c>
      <c r="E6090" s="13" t="s">
        <v>10709</v>
      </c>
      <c r="F6090" s="43">
        <v>28.69</v>
      </c>
    </row>
    <row r="6091" spans="2:6" x14ac:dyDescent="0.25">
      <c r="B6091" s="13" t="s">
        <v>10710</v>
      </c>
      <c r="C6091" s="17" t="s">
        <v>170</v>
      </c>
      <c r="D6091" s="13" t="s">
        <v>118</v>
      </c>
      <c r="E6091" s="13" t="s">
        <v>10711</v>
      </c>
      <c r="F6091" s="43">
        <v>28.69</v>
      </c>
    </row>
    <row r="6092" spans="2:6" x14ac:dyDescent="0.25">
      <c r="B6092" s="13" t="s">
        <v>10712</v>
      </c>
      <c r="C6092" s="17" t="s">
        <v>170</v>
      </c>
      <c r="D6092" s="13" t="s">
        <v>118</v>
      </c>
      <c r="E6092" s="13" t="s">
        <v>10713</v>
      </c>
      <c r="F6092" s="43">
        <v>28.69</v>
      </c>
    </row>
    <row r="6093" spans="2:6" x14ac:dyDescent="0.25">
      <c r="B6093" s="13" t="s">
        <v>10714</v>
      </c>
      <c r="C6093" s="17" t="s">
        <v>170</v>
      </c>
      <c r="D6093" s="13" t="s">
        <v>118</v>
      </c>
      <c r="E6093" s="13" t="s">
        <v>10715</v>
      </c>
      <c r="F6093" s="43">
        <v>28.69</v>
      </c>
    </row>
    <row r="6094" spans="2:6" x14ac:dyDescent="0.25">
      <c r="B6094" s="13" t="s">
        <v>10716</v>
      </c>
      <c r="C6094" s="17" t="s">
        <v>170</v>
      </c>
      <c r="D6094" s="13" t="s">
        <v>118</v>
      </c>
      <c r="E6094" s="13" t="s">
        <v>10717</v>
      </c>
      <c r="F6094" s="43">
        <v>28.69</v>
      </c>
    </row>
    <row r="6095" spans="2:6" x14ac:dyDescent="0.25">
      <c r="B6095" s="13" t="s">
        <v>10718</v>
      </c>
      <c r="C6095" s="17" t="s">
        <v>170</v>
      </c>
      <c r="D6095" s="13" t="s">
        <v>118</v>
      </c>
      <c r="E6095" s="13" t="s">
        <v>10719</v>
      </c>
      <c r="F6095" s="43">
        <v>28.69</v>
      </c>
    </row>
    <row r="6096" spans="2:6" x14ac:dyDescent="0.25">
      <c r="B6096" s="13" t="s">
        <v>10720</v>
      </c>
      <c r="C6096" s="17" t="s">
        <v>170</v>
      </c>
      <c r="D6096" s="13" t="s">
        <v>118</v>
      </c>
      <c r="E6096" s="13" t="s">
        <v>10721</v>
      </c>
      <c r="F6096" s="43">
        <v>28.69</v>
      </c>
    </row>
    <row r="6097" spans="2:6" x14ac:dyDescent="0.25">
      <c r="B6097" s="13" t="s">
        <v>10722</v>
      </c>
      <c r="C6097" s="17" t="s">
        <v>170</v>
      </c>
      <c r="D6097" s="13" t="s">
        <v>118</v>
      </c>
      <c r="E6097" s="13" t="s">
        <v>10723</v>
      </c>
      <c r="F6097" s="43">
        <v>28.69</v>
      </c>
    </row>
    <row r="6098" spans="2:6" x14ac:dyDescent="0.25">
      <c r="B6098" s="13" t="s">
        <v>10724</v>
      </c>
      <c r="C6098" s="17" t="s">
        <v>170</v>
      </c>
      <c r="D6098" s="13" t="s">
        <v>118</v>
      </c>
      <c r="E6098" s="13" t="s">
        <v>10725</v>
      </c>
      <c r="F6098" s="43">
        <v>28.69</v>
      </c>
    </row>
    <row r="6099" spans="2:6" x14ac:dyDescent="0.25">
      <c r="B6099" s="13" t="s">
        <v>10726</v>
      </c>
      <c r="C6099" s="17" t="s">
        <v>170</v>
      </c>
      <c r="D6099" s="13" t="s">
        <v>118</v>
      </c>
      <c r="E6099" s="13" t="s">
        <v>10727</v>
      </c>
      <c r="F6099" s="43">
        <v>28.69</v>
      </c>
    </row>
    <row r="6100" spans="2:6" x14ac:dyDescent="0.25">
      <c r="B6100" s="13" t="s">
        <v>10728</v>
      </c>
      <c r="C6100" s="17" t="s">
        <v>170</v>
      </c>
      <c r="D6100" s="13" t="s">
        <v>118</v>
      </c>
      <c r="E6100" s="13" t="s">
        <v>10729</v>
      </c>
      <c r="F6100" s="43">
        <v>28.69</v>
      </c>
    </row>
    <row r="6101" spans="2:6" x14ac:dyDescent="0.25">
      <c r="B6101" s="13" t="s">
        <v>10730</v>
      </c>
      <c r="C6101" s="17" t="s">
        <v>170</v>
      </c>
      <c r="D6101" s="13" t="s">
        <v>118</v>
      </c>
      <c r="E6101" s="13" t="s">
        <v>10731</v>
      </c>
      <c r="F6101" s="43">
        <v>28.69</v>
      </c>
    </row>
    <row r="6102" spans="2:6" x14ac:dyDescent="0.25">
      <c r="B6102" s="13" t="s">
        <v>10732</v>
      </c>
      <c r="C6102" s="17" t="s">
        <v>170</v>
      </c>
      <c r="D6102" s="13" t="s">
        <v>118</v>
      </c>
      <c r="E6102" s="13" t="s">
        <v>10733</v>
      </c>
      <c r="F6102" s="43">
        <v>28.69</v>
      </c>
    </row>
    <row r="6103" spans="2:6" x14ac:dyDescent="0.25">
      <c r="B6103" s="13" t="s">
        <v>10734</v>
      </c>
      <c r="C6103" s="17" t="s">
        <v>170</v>
      </c>
      <c r="D6103" s="13" t="s">
        <v>118</v>
      </c>
      <c r="E6103" s="13" t="s">
        <v>10735</v>
      </c>
      <c r="F6103" s="43">
        <v>28.69</v>
      </c>
    </row>
    <row r="6104" spans="2:6" x14ac:dyDescent="0.25">
      <c r="B6104" s="13" t="s">
        <v>10736</v>
      </c>
      <c r="C6104" s="17" t="s">
        <v>170</v>
      </c>
      <c r="D6104" s="13" t="s">
        <v>118</v>
      </c>
      <c r="E6104" s="13" t="s">
        <v>10737</v>
      </c>
      <c r="F6104" s="43">
        <v>28.69</v>
      </c>
    </row>
    <row r="6105" spans="2:6" x14ac:dyDescent="0.25">
      <c r="B6105" s="13" t="s">
        <v>10738</v>
      </c>
      <c r="C6105" s="17" t="s">
        <v>170</v>
      </c>
      <c r="D6105" s="13" t="s">
        <v>118</v>
      </c>
      <c r="E6105" s="13" t="s">
        <v>10739</v>
      </c>
      <c r="F6105" s="43">
        <v>29.84</v>
      </c>
    </row>
    <row r="6106" spans="2:6" x14ac:dyDescent="0.25">
      <c r="B6106" s="13" t="s">
        <v>10740</v>
      </c>
      <c r="C6106" s="17" t="s">
        <v>170</v>
      </c>
      <c r="D6106" s="13" t="s">
        <v>118</v>
      </c>
      <c r="E6106" s="13" t="s">
        <v>10741</v>
      </c>
      <c r="F6106" s="43">
        <v>29.84</v>
      </c>
    </row>
    <row r="6107" spans="2:6" x14ac:dyDescent="0.25">
      <c r="B6107" s="13" t="s">
        <v>10742</v>
      </c>
      <c r="C6107" s="17" t="s">
        <v>170</v>
      </c>
      <c r="D6107" s="13" t="s">
        <v>118</v>
      </c>
      <c r="E6107" s="13" t="s">
        <v>10743</v>
      </c>
      <c r="F6107" s="43">
        <v>29.84</v>
      </c>
    </row>
    <row r="6108" spans="2:6" x14ac:dyDescent="0.25">
      <c r="B6108" s="13" t="s">
        <v>10744</v>
      </c>
      <c r="C6108" s="17" t="s">
        <v>170</v>
      </c>
      <c r="D6108" s="13" t="s">
        <v>118</v>
      </c>
      <c r="E6108" s="13" t="s">
        <v>10745</v>
      </c>
      <c r="F6108" s="43">
        <v>28.69</v>
      </c>
    </row>
    <row r="6109" spans="2:6" x14ac:dyDescent="0.25">
      <c r="B6109" s="13" t="s">
        <v>10746</v>
      </c>
      <c r="C6109" s="17" t="s">
        <v>170</v>
      </c>
      <c r="D6109" s="13" t="s">
        <v>118</v>
      </c>
      <c r="E6109" s="13" t="s">
        <v>10747</v>
      </c>
      <c r="F6109" s="43">
        <v>28.69</v>
      </c>
    </row>
    <row r="6110" spans="2:6" x14ac:dyDescent="0.25">
      <c r="B6110" s="13" t="s">
        <v>10748</v>
      </c>
      <c r="C6110" s="17" t="s">
        <v>170</v>
      </c>
      <c r="D6110" s="13" t="s">
        <v>118</v>
      </c>
      <c r="E6110" s="13" t="s">
        <v>10749</v>
      </c>
      <c r="F6110" s="43">
        <v>28.69</v>
      </c>
    </row>
    <row r="6111" spans="2:6" x14ac:dyDescent="0.25">
      <c r="B6111" s="13" t="s">
        <v>10750</v>
      </c>
      <c r="C6111" s="17" t="s">
        <v>170</v>
      </c>
      <c r="D6111" s="13" t="s">
        <v>118</v>
      </c>
      <c r="E6111" s="13" t="s">
        <v>10751</v>
      </c>
      <c r="F6111" s="43">
        <v>28.69</v>
      </c>
    </row>
    <row r="6112" spans="2:6" x14ac:dyDescent="0.25">
      <c r="B6112" s="13" t="s">
        <v>10752</v>
      </c>
      <c r="C6112" s="17" t="s">
        <v>170</v>
      </c>
      <c r="D6112" s="13" t="s">
        <v>118</v>
      </c>
      <c r="E6112" s="13" t="s">
        <v>10753</v>
      </c>
      <c r="F6112" s="43">
        <v>28.69</v>
      </c>
    </row>
    <row r="6113" spans="2:6" x14ac:dyDescent="0.25">
      <c r="B6113" s="13" t="s">
        <v>10754</v>
      </c>
      <c r="C6113" s="17" t="s">
        <v>170</v>
      </c>
      <c r="D6113" s="13" t="s">
        <v>118</v>
      </c>
      <c r="E6113" s="13" t="s">
        <v>10755</v>
      </c>
      <c r="F6113" s="43">
        <v>28.69</v>
      </c>
    </row>
    <row r="6114" spans="2:6" x14ac:dyDescent="0.25">
      <c r="B6114" s="13" t="s">
        <v>10756</v>
      </c>
      <c r="C6114" s="17" t="s">
        <v>170</v>
      </c>
      <c r="D6114" s="13" t="s">
        <v>118</v>
      </c>
      <c r="E6114" s="13" t="s">
        <v>10757</v>
      </c>
      <c r="F6114" s="43">
        <v>28.69</v>
      </c>
    </row>
    <row r="6115" spans="2:6" x14ac:dyDescent="0.25">
      <c r="B6115" s="13" t="s">
        <v>10758</v>
      </c>
      <c r="C6115" s="17" t="s">
        <v>170</v>
      </c>
      <c r="D6115" s="13" t="s">
        <v>118</v>
      </c>
      <c r="E6115" s="13" t="s">
        <v>10759</v>
      </c>
      <c r="F6115" s="43">
        <v>28.69</v>
      </c>
    </row>
    <row r="6116" spans="2:6" x14ac:dyDescent="0.25">
      <c r="B6116" s="13" t="s">
        <v>10760</v>
      </c>
      <c r="C6116" s="17" t="s">
        <v>170</v>
      </c>
      <c r="D6116" s="13" t="s">
        <v>118</v>
      </c>
      <c r="E6116" s="13" t="s">
        <v>10761</v>
      </c>
      <c r="F6116" s="43">
        <v>28.69</v>
      </c>
    </row>
    <row r="6117" spans="2:6" x14ac:dyDescent="0.25">
      <c r="B6117" s="13" t="s">
        <v>10762</v>
      </c>
      <c r="C6117" s="17" t="s">
        <v>170</v>
      </c>
      <c r="D6117" s="13" t="s">
        <v>118</v>
      </c>
      <c r="E6117" s="13" t="s">
        <v>10763</v>
      </c>
      <c r="F6117" s="43">
        <v>28.69</v>
      </c>
    </row>
    <row r="6118" spans="2:6" x14ac:dyDescent="0.25">
      <c r="B6118" s="13" t="s">
        <v>10764</v>
      </c>
      <c r="C6118" s="17" t="s">
        <v>170</v>
      </c>
      <c r="D6118" s="13" t="s">
        <v>118</v>
      </c>
      <c r="E6118" s="13" t="s">
        <v>10765</v>
      </c>
      <c r="F6118" s="43">
        <v>28.69</v>
      </c>
    </row>
    <row r="6119" spans="2:6" x14ac:dyDescent="0.25">
      <c r="B6119" s="13" t="s">
        <v>10766</v>
      </c>
      <c r="C6119" s="17" t="s">
        <v>170</v>
      </c>
      <c r="D6119" s="13" t="s">
        <v>118</v>
      </c>
      <c r="E6119" s="13" t="s">
        <v>10767</v>
      </c>
      <c r="F6119" s="43">
        <v>28.69</v>
      </c>
    </row>
    <row r="6120" spans="2:6" x14ac:dyDescent="0.25">
      <c r="B6120" s="13" t="s">
        <v>10768</v>
      </c>
      <c r="C6120" s="17" t="s">
        <v>170</v>
      </c>
      <c r="D6120" s="13" t="s">
        <v>118</v>
      </c>
      <c r="E6120" s="13" t="s">
        <v>10769</v>
      </c>
      <c r="F6120" s="43">
        <v>28.69</v>
      </c>
    </row>
    <row r="6121" spans="2:6" x14ac:dyDescent="0.25">
      <c r="B6121" s="13" t="s">
        <v>10770</v>
      </c>
      <c r="C6121" s="17" t="s">
        <v>170</v>
      </c>
      <c r="D6121" s="13" t="s">
        <v>118</v>
      </c>
      <c r="E6121" s="13" t="s">
        <v>10771</v>
      </c>
      <c r="F6121" s="43">
        <v>28.69</v>
      </c>
    </row>
    <row r="6122" spans="2:6" x14ac:dyDescent="0.25">
      <c r="B6122" s="13" t="s">
        <v>10772</v>
      </c>
      <c r="C6122" s="17" t="s">
        <v>170</v>
      </c>
      <c r="D6122" s="13" t="s">
        <v>118</v>
      </c>
      <c r="E6122" s="13" t="s">
        <v>10773</v>
      </c>
      <c r="F6122" s="43">
        <v>28.69</v>
      </c>
    </row>
    <row r="6123" spans="2:6" x14ac:dyDescent="0.25">
      <c r="B6123" s="13" t="s">
        <v>10774</v>
      </c>
      <c r="C6123" s="17" t="s">
        <v>170</v>
      </c>
      <c r="D6123" s="13" t="s">
        <v>118</v>
      </c>
      <c r="E6123" s="13" t="s">
        <v>10775</v>
      </c>
      <c r="F6123" s="43">
        <v>28.69</v>
      </c>
    </row>
    <row r="6124" spans="2:6" x14ac:dyDescent="0.25">
      <c r="B6124" s="13" t="s">
        <v>10776</v>
      </c>
      <c r="C6124" s="17" t="s">
        <v>170</v>
      </c>
      <c r="D6124" s="13" t="s">
        <v>118</v>
      </c>
      <c r="E6124" s="13" t="s">
        <v>10777</v>
      </c>
      <c r="F6124" s="43">
        <v>28.69</v>
      </c>
    </row>
    <row r="6125" spans="2:6" x14ac:dyDescent="0.25">
      <c r="B6125" s="13" t="s">
        <v>10778</v>
      </c>
      <c r="C6125" s="17" t="s">
        <v>170</v>
      </c>
      <c r="D6125" s="13" t="s">
        <v>118</v>
      </c>
      <c r="E6125" s="13" t="s">
        <v>10779</v>
      </c>
      <c r="F6125" s="43">
        <v>28.69</v>
      </c>
    </row>
    <row r="6126" spans="2:6" x14ac:dyDescent="0.25">
      <c r="B6126" s="13" t="s">
        <v>10780</v>
      </c>
      <c r="C6126" s="17" t="s">
        <v>170</v>
      </c>
      <c r="D6126" s="13" t="s">
        <v>118</v>
      </c>
      <c r="E6126" s="13" t="s">
        <v>10781</v>
      </c>
      <c r="F6126" s="43">
        <v>28.69</v>
      </c>
    </row>
    <row r="6127" spans="2:6" x14ac:dyDescent="0.25">
      <c r="B6127" s="13" t="s">
        <v>10782</v>
      </c>
      <c r="C6127" s="17" t="s">
        <v>170</v>
      </c>
      <c r="D6127" s="13" t="s">
        <v>118</v>
      </c>
      <c r="E6127" s="13" t="s">
        <v>10783</v>
      </c>
      <c r="F6127" s="43">
        <v>28.69</v>
      </c>
    </row>
    <row r="6128" spans="2:6" x14ac:dyDescent="0.25">
      <c r="B6128" s="13" t="s">
        <v>10784</v>
      </c>
      <c r="C6128" s="17" t="s">
        <v>170</v>
      </c>
      <c r="D6128" s="13" t="s">
        <v>118</v>
      </c>
      <c r="E6128" s="13" t="s">
        <v>10785</v>
      </c>
      <c r="F6128" s="43">
        <v>28.69</v>
      </c>
    </row>
    <row r="6129" spans="2:6" x14ac:dyDescent="0.25">
      <c r="B6129" s="13" t="s">
        <v>10786</v>
      </c>
      <c r="C6129" s="17" t="s">
        <v>170</v>
      </c>
      <c r="D6129" s="13" t="s">
        <v>118</v>
      </c>
      <c r="E6129" s="13" t="s">
        <v>10787</v>
      </c>
      <c r="F6129" s="43">
        <v>28.69</v>
      </c>
    </row>
    <row r="6130" spans="2:6" x14ac:dyDescent="0.25">
      <c r="B6130" s="13" t="s">
        <v>10788</v>
      </c>
      <c r="C6130" s="17" t="s">
        <v>170</v>
      </c>
      <c r="D6130" s="13" t="s">
        <v>118</v>
      </c>
      <c r="E6130" s="13" t="s">
        <v>10789</v>
      </c>
      <c r="F6130" s="43">
        <v>28.69</v>
      </c>
    </row>
    <row r="6131" spans="2:6" x14ac:dyDescent="0.25">
      <c r="B6131" s="13" t="s">
        <v>10790</v>
      </c>
      <c r="C6131" s="17" t="s">
        <v>170</v>
      </c>
      <c r="D6131" s="13" t="s">
        <v>118</v>
      </c>
      <c r="E6131" s="13" t="s">
        <v>10791</v>
      </c>
      <c r="F6131" s="43">
        <v>28.69</v>
      </c>
    </row>
    <row r="6132" spans="2:6" x14ac:dyDescent="0.25">
      <c r="B6132" s="13" t="s">
        <v>10792</v>
      </c>
      <c r="C6132" s="17" t="s">
        <v>170</v>
      </c>
      <c r="D6132" s="13" t="s">
        <v>118</v>
      </c>
      <c r="E6132" s="13" t="s">
        <v>10793</v>
      </c>
      <c r="F6132" s="43">
        <v>28.69</v>
      </c>
    </row>
    <row r="6133" spans="2:6" x14ac:dyDescent="0.25">
      <c r="B6133" s="13" t="s">
        <v>10794</v>
      </c>
      <c r="C6133" s="17" t="s">
        <v>170</v>
      </c>
      <c r="D6133" s="13" t="s">
        <v>118</v>
      </c>
      <c r="E6133" s="13" t="s">
        <v>10795</v>
      </c>
      <c r="F6133" s="43">
        <v>28.69</v>
      </c>
    </row>
    <row r="6134" spans="2:6" x14ac:dyDescent="0.25">
      <c r="B6134" s="13" t="s">
        <v>10796</v>
      </c>
      <c r="C6134" s="17" t="s">
        <v>170</v>
      </c>
      <c r="D6134" s="13" t="s">
        <v>118</v>
      </c>
      <c r="E6134" s="13" t="s">
        <v>10797</v>
      </c>
      <c r="F6134" s="43">
        <v>28.69</v>
      </c>
    </row>
    <row r="6135" spans="2:6" x14ac:dyDescent="0.25">
      <c r="B6135" s="13" t="s">
        <v>10796</v>
      </c>
      <c r="C6135" s="17" t="s">
        <v>170</v>
      </c>
      <c r="D6135" s="13" t="s">
        <v>118</v>
      </c>
      <c r="E6135" s="13" t="s">
        <v>10777</v>
      </c>
      <c r="F6135" s="43">
        <v>28.69</v>
      </c>
    </row>
    <row r="6136" spans="2:6" x14ac:dyDescent="0.25">
      <c r="B6136" s="13" t="s">
        <v>10798</v>
      </c>
      <c r="C6136" s="17" t="s">
        <v>170</v>
      </c>
      <c r="D6136" s="13" t="s">
        <v>118</v>
      </c>
      <c r="E6136" s="13" t="s">
        <v>10799</v>
      </c>
      <c r="F6136" s="43">
        <v>28.69</v>
      </c>
    </row>
    <row r="6137" spans="2:6" x14ac:dyDescent="0.25">
      <c r="B6137" s="13" t="s">
        <v>10800</v>
      </c>
      <c r="C6137" s="17" t="s">
        <v>170</v>
      </c>
      <c r="D6137" s="13" t="s">
        <v>118</v>
      </c>
      <c r="E6137" s="13" t="s">
        <v>10801</v>
      </c>
      <c r="F6137" s="43">
        <v>28.69</v>
      </c>
    </row>
    <row r="6138" spans="2:6" x14ac:dyDescent="0.25">
      <c r="B6138" s="13" t="s">
        <v>10802</v>
      </c>
      <c r="C6138" s="17" t="s">
        <v>170</v>
      </c>
      <c r="D6138" s="13" t="s">
        <v>118</v>
      </c>
      <c r="E6138" s="13" t="s">
        <v>10803</v>
      </c>
      <c r="F6138" s="43">
        <v>28.69</v>
      </c>
    </row>
    <row r="6139" spans="2:6" x14ac:dyDescent="0.25">
      <c r="B6139" s="13" t="s">
        <v>10804</v>
      </c>
      <c r="C6139" s="17" t="s">
        <v>170</v>
      </c>
      <c r="D6139" s="13" t="s">
        <v>118</v>
      </c>
      <c r="E6139" s="13" t="s">
        <v>10805</v>
      </c>
      <c r="F6139" s="43">
        <v>28.69</v>
      </c>
    </row>
    <row r="6140" spans="2:6" x14ac:dyDescent="0.25">
      <c r="B6140" s="13" t="s">
        <v>10806</v>
      </c>
      <c r="C6140" s="17" t="s">
        <v>170</v>
      </c>
      <c r="D6140" s="13" t="s">
        <v>118</v>
      </c>
      <c r="E6140" s="13" t="s">
        <v>10807</v>
      </c>
      <c r="F6140" s="43">
        <v>28.69</v>
      </c>
    </row>
    <row r="6141" spans="2:6" x14ac:dyDescent="0.25">
      <c r="B6141" s="13" t="s">
        <v>10808</v>
      </c>
      <c r="C6141" s="17" t="s">
        <v>170</v>
      </c>
      <c r="D6141" s="13" t="s">
        <v>118</v>
      </c>
      <c r="E6141" s="13" t="s">
        <v>10809</v>
      </c>
      <c r="F6141" s="43">
        <v>28.69</v>
      </c>
    </row>
    <row r="6142" spans="2:6" x14ac:dyDescent="0.25">
      <c r="B6142" s="13" t="s">
        <v>10810</v>
      </c>
      <c r="C6142" s="17" t="s">
        <v>170</v>
      </c>
      <c r="D6142" s="13" t="s">
        <v>118</v>
      </c>
      <c r="E6142" s="13" t="s">
        <v>10811</v>
      </c>
      <c r="F6142" s="43">
        <v>28.69</v>
      </c>
    </row>
    <row r="6143" spans="2:6" x14ac:dyDescent="0.25">
      <c r="B6143" s="13" t="s">
        <v>10812</v>
      </c>
      <c r="C6143" s="17" t="s">
        <v>170</v>
      </c>
      <c r="D6143" s="13" t="s">
        <v>118</v>
      </c>
      <c r="E6143" s="13" t="s">
        <v>10813</v>
      </c>
      <c r="F6143" s="43">
        <v>28.69</v>
      </c>
    </row>
    <row r="6144" spans="2:6" x14ac:dyDescent="0.25">
      <c r="B6144" s="13" t="s">
        <v>10814</v>
      </c>
      <c r="C6144" s="17" t="s">
        <v>170</v>
      </c>
      <c r="D6144" s="13" t="s">
        <v>118</v>
      </c>
      <c r="E6144" s="13" t="s">
        <v>10815</v>
      </c>
      <c r="F6144" s="43">
        <v>28.69</v>
      </c>
    </row>
    <row r="6145" spans="2:6" x14ac:dyDescent="0.25">
      <c r="B6145" s="13" t="s">
        <v>10816</v>
      </c>
      <c r="C6145" s="17" t="s">
        <v>170</v>
      </c>
      <c r="D6145" s="13" t="s">
        <v>118</v>
      </c>
      <c r="E6145" s="13" t="s">
        <v>10817</v>
      </c>
      <c r="F6145" s="43">
        <v>28.69</v>
      </c>
    </row>
    <row r="6146" spans="2:6" x14ac:dyDescent="0.25">
      <c r="B6146" s="13" t="s">
        <v>10818</v>
      </c>
      <c r="C6146" s="17" t="s">
        <v>170</v>
      </c>
      <c r="D6146" s="13" t="s">
        <v>118</v>
      </c>
      <c r="E6146" s="13" t="s">
        <v>10819</v>
      </c>
      <c r="F6146" s="43">
        <v>28.69</v>
      </c>
    </row>
    <row r="6147" spans="2:6" x14ac:dyDescent="0.25">
      <c r="B6147" s="13" t="s">
        <v>10820</v>
      </c>
      <c r="C6147" s="17" t="s">
        <v>170</v>
      </c>
      <c r="D6147" s="13" t="s">
        <v>118</v>
      </c>
      <c r="E6147" s="13" t="s">
        <v>10821</v>
      </c>
      <c r="F6147" s="43">
        <v>28.69</v>
      </c>
    </row>
    <row r="6148" spans="2:6" x14ac:dyDescent="0.25">
      <c r="B6148" s="13" t="s">
        <v>10822</v>
      </c>
      <c r="C6148" s="17" t="s">
        <v>170</v>
      </c>
      <c r="D6148" s="13" t="s">
        <v>118</v>
      </c>
      <c r="E6148" s="13" t="s">
        <v>10823</v>
      </c>
      <c r="F6148" s="43">
        <v>29.84</v>
      </c>
    </row>
    <row r="6149" spans="2:6" x14ac:dyDescent="0.25">
      <c r="B6149" s="13" t="s">
        <v>10824</v>
      </c>
      <c r="C6149" s="17" t="s">
        <v>170</v>
      </c>
      <c r="D6149" s="13" t="s">
        <v>118</v>
      </c>
      <c r="E6149" s="13" t="s">
        <v>10825</v>
      </c>
      <c r="F6149" s="43">
        <v>58.76</v>
      </c>
    </row>
    <row r="6150" spans="2:6" x14ac:dyDescent="0.25">
      <c r="B6150" s="13" t="s">
        <v>10826</v>
      </c>
      <c r="C6150" s="17" t="s">
        <v>170</v>
      </c>
      <c r="D6150" s="13" t="s">
        <v>118</v>
      </c>
      <c r="E6150" s="13" t="s">
        <v>10827</v>
      </c>
      <c r="F6150" s="43">
        <v>58.76</v>
      </c>
    </row>
    <row r="6151" spans="2:6" x14ac:dyDescent="0.25">
      <c r="B6151" s="13" t="s">
        <v>10828</v>
      </c>
      <c r="C6151" s="17" t="s">
        <v>170</v>
      </c>
      <c r="D6151" s="13" t="s">
        <v>118</v>
      </c>
      <c r="E6151" s="13" t="s">
        <v>10829</v>
      </c>
      <c r="F6151" s="43">
        <v>58.76</v>
      </c>
    </row>
    <row r="6152" spans="2:6" x14ac:dyDescent="0.25">
      <c r="B6152" s="13" t="s">
        <v>10830</v>
      </c>
      <c r="C6152" s="17" t="s">
        <v>170</v>
      </c>
      <c r="D6152" s="13" t="s">
        <v>118</v>
      </c>
      <c r="E6152" s="13" t="s">
        <v>10831</v>
      </c>
      <c r="F6152" s="43">
        <v>58.76</v>
      </c>
    </row>
    <row r="6153" spans="2:6" x14ac:dyDescent="0.25">
      <c r="B6153" s="13" t="s">
        <v>10832</v>
      </c>
      <c r="C6153" s="17" t="s">
        <v>170</v>
      </c>
      <c r="D6153" s="13" t="s">
        <v>118</v>
      </c>
      <c r="E6153" s="13" t="s">
        <v>10833</v>
      </c>
      <c r="F6153" s="43">
        <v>58.76</v>
      </c>
    </row>
    <row r="6154" spans="2:6" x14ac:dyDescent="0.25">
      <c r="B6154" s="13" t="s">
        <v>10834</v>
      </c>
      <c r="C6154" s="17" t="s">
        <v>170</v>
      </c>
      <c r="D6154" s="13" t="s">
        <v>118</v>
      </c>
      <c r="E6154" s="13" t="s">
        <v>10835</v>
      </c>
      <c r="F6154" s="43">
        <v>58.76</v>
      </c>
    </row>
    <row r="6155" spans="2:6" x14ac:dyDescent="0.25">
      <c r="B6155" s="13" t="s">
        <v>10836</v>
      </c>
      <c r="C6155" s="17" t="s">
        <v>170</v>
      </c>
      <c r="D6155" s="13" t="s">
        <v>118</v>
      </c>
      <c r="E6155" s="13" t="s">
        <v>10837</v>
      </c>
      <c r="F6155" s="43">
        <v>58.76</v>
      </c>
    </row>
    <row r="6156" spans="2:6" x14ac:dyDescent="0.25">
      <c r="B6156" s="13" t="s">
        <v>10838</v>
      </c>
      <c r="C6156" s="17" t="s">
        <v>170</v>
      </c>
      <c r="D6156" s="13" t="s">
        <v>118</v>
      </c>
      <c r="E6156" s="13" t="s">
        <v>10839</v>
      </c>
      <c r="F6156" s="43">
        <v>58.76</v>
      </c>
    </row>
    <row r="6157" spans="2:6" x14ac:dyDescent="0.25">
      <c r="B6157" s="13" t="s">
        <v>10840</v>
      </c>
      <c r="C6157" s="17" t="s">
        <v>170</v>
      </c>
      <c r="D6157" s="13" t="s">
        <v>118</v>
      </c>
      <c r="E6157" s="13" t="s">
        <v>10841</v>
      </c>
      <c r="F6157" s="43">
        <v>58.76</v>
      </c>
    </row>
    <row r="6158" spans="2:6" x14ac:dyDescent="0.25">
      <c r="B6158" s="13" t="s">
        <v>10842</v>
      </c>
      <c r="C6158" s="17" t="s">
        <v>170</v>
      </c>
      <c r="D6158" s="13" t="s">
        <v>118</v>
      </c>
      <c r="E6158" s="13" t="s">
        <v>10843</v>
      </c>
      <c r="F6158" s="43">
        <v>58.76</v>
      </c>
    </row>
    <row r="6159" spans="2:6" x14ac:dyDescent="0.25">
      <c r="B6159" s="13" t="s">
        <v>10844</v>
      </c>
      <c r="C6159" s="17" t="s">
        <v>170</v>
      </c>
      <c r="D6159" s="13" t="s">
        <v>118</v>
      </c>
      <c r="E6159" s="13" t="s">
        <v>10845</v>
      </c>
      <c r="F6159" s="43">
        <v>58.76</v>
      </c>
    </row>
    <row r="6160" spans="2:6" x14ac:dyDescent="0.25">
      <c r="B6160" s="13" t="s">
        <v>10846</v>
      </c>
      <c r="C6160" s="17" t="s">
        <v>170</v>
      </c>
      <c r="D6160" s="13" t="s">
        <v>118</v>
      </c>
      <c r="E6160" s="13" t="s">
        <v>10847</v>
      </c>
      <c r="F6160" s="43">
        <v>58.76</v>
      </c>
    </row>
    <row r="6161" spans="2:6" x14ac:dyDescent="0.25">
      <c r="B6161" s="13" t="s">
        <v>10848</v>
      </c>
      <c r="C6161" s="17" t="s">
        <v>170</v>
      </c>
      <c r="D6161" s="13" t="s">
        <v>118</v>
      </c>
      <c r="E6161" s="13" t="s">
        <v>10849</v>
      </c>
      <c r="F6161" s="43">
        <v>58.76</v>
      </c>
    </row>
    <row r="6162" spans="2:6" x14ac:dyDescent="0.25">
      <c r="B6162" s="13" t="s">
        <v>10850</v>
      </c>
      <c r="C6162" s="17" t="s">
        <v>170</v>
      </c>
      <c r="D6162" s="13" t="s">
        <v>118</v>
      </c>
      <c r="E6162" s="13" t="s">
        <v>10851</v>
      </c>
      <c r="F6162" s="43">
        <v>58.76</v>
      </c>
    </row>
    <row r="6163" spans="2:6" x14ac:dyDescent="0.25">
      <c r="B6163" s="13" t="s">
        <v>10852</v>
      </c>
      <c r="C6163" s="17" t="s">
        <v>170</v>
      </c>
      <c r="D6163" s="13" t="s">
        <v>118</v>
      </c>
      <c r="E6163" s="13" t="s">
        <v>10853</v>
      </c>
      <c r="F6163" s="43">
        <v>58.76</v>
      </c>
    </row>
    <row r="6164" spans="2:6" x14ac:dyDescent="0.25">
      <c r="B6164" s="13" t="s">
        <v>10854</v>
      </c>
      <c r="C6164" s="17" t="s">
        <v>170</v>
      </c>
      <c r="D6164" s="13" t="s">
        <v>118</v>
      </c>
      <c r="E6164" s="13" t="s">
        <v>10855</v>
      </c>
      <c r="F6164" s="43">
        <v>58.76</v>
      </c>
    </row>
    <row r="6165" spans="2:6" x14ac:dyDescent="0.25">
      <c r="B6165" s="13" t="s">
        <v>10856</v>
      </c>
      <c r="C6165" s="17" t="s">
        <v>170</v>
      </c>
      <c r="D6165" s="13" t="s">
        <v>118</v>
      </c>
      <c r="E6165" s="13" t="s">
        <v>10857</v>
      </c>
      <c r="F6165" s="43">
        <v>58.76</v>
      </c>
    </row>
    <row r="6166" spans="2:6" x14ac:dyDescent="0.25">
      <c r="B6166" s="13" t="s">
        <v>10858</v>
      </c>
      <c r="C6166" s="17" t="s">
        <v>170</v>
      </c>
      <c r="D6166" s="13" t="s">
        <v>118</v>
      </c>
      <c r="E6166" s="13" t="s">
        <v>10859</v>
      </c>
      <c r="F6166" s="43">
        <v>58.76</v>
      </c>
    </row>
    <row r="6167" spans="2:6" x14ac:dyDescent="0.25">
      <c r="B6167" s="13" t="s">
        <v>10860</v>
      </c>
      <c r="C6167" s="17" t="s">
        <v>170</v>
      </c>
      <c r="D6167" s="13" t="s">
        <v>118</v>
      </c>
      <c r="E6167" s="13" t="s">
        <v>10861</v>
      </c>
      <c r="F6167" s="43">
        <v>58.76</v>
      </c>
    </row>
    <row r="6168" spans="2:6" x14ac:dyDescent="0.25">
      <c r="B6168" s="13" t="s">
        <v>10862</v>
      </c>
      <c r="C6168" s="17" t="s">
        <v>170</v>
      </c>
      <c r="D6168" s="13" t="s">
        <v>118</v>
      </c>
      <c r="E6168" s="13" t="s">
        <v>10863</v>
      </c>
      <c r="F6168" s="43">
        <v>58.76</v>
      </c>
    </row>
    <row r="6169" spans="2:6" x14ac:dyDescent="0.25">
      <c r="B6169" s="13" t="s">
        <v>10864</v>
      </c>
      <c r="C6169" s="17" t="s">
        <v>170</v>
      </c>
      <c r="D6169" s="13" t="s">
        <v>118</v>
      </c>
      <c r="E6169" s="13" t="s">
        <v>10865</v>
      </c>
      <c r="F6169" s="43">
        <v>58.76</v>
      </c>
    </row>
    <row r="6170" spans="2:6" x14ac:dyDescent="0.25">
      <c r="B6170" s="13" t="s">
        <v>10866</v>
      </c>
      <c r="C6170" s="17" t="s">
        <v>170</v>
      </c>
      <c r="D6170" s="13" t="s">
        <v>118</v>
      </c>
      <c r="E6170" s="13" t="s">
        <v>10867</v>
      </c>
      <c r="F6170" s="43">
        <v>58.76</v>
      </c>
    </row>
    <row r="6171" spans="2:6" x14ac:dyDescent="0.25">
      <c r="B6171" s="13" t="s">
        <v>10868</v>
      </c>
      <c r="C6171" s="17" t="s">
        <v>170</v>
      </c>
      <c r="D6171" s="13" t="s">
        <v>118</v>
      </c>
      <c r="E6171" s="13" t="s">
        <v>10869</v>
      </c>
      <c r="F6171" s="43">
        <v>58.76</v>
      </c>
    </row>
    <row r="6172" spans="2:6" x14ac:dyDescent="0.25">
      <c r="B6172" s="13" t="s">
        <v>10870</v>
      </c>
      <c r="C6172" s="17" t="s">
        <v>170</v>
      </c>
      <c r="D6172" s="13" t="s">
        <v>118</v>
      </c>
      <c r="E6172" s="13" t="s">
        <v>10869</v>
      </c>
      <c r="F6172" s="43">
        <v>58.76</v>
      </c>
    </row>
    <row r="6173" spans="2:6" x14ac:dyDescent="0.25">
      <c r="B6173" s="13" t="s">
        <v>10871</v>
      </c>
      <c r="C6173" s="17" t="s">
        <v>170</v>
      </c>
      <c r="D6173" s="13" t="s">
        <v>118</v>
      </c>
      <c r="E6173" s="13" t="s">
        <v>10872</v>
      </c>
      <c r="F6173" s="43">
        <v>58.76</v>
      </c>
    </row>
    <row r="6174" spans="2:6" x14ac:dyDescent="0.25">
      <c r="B6174" s="13" t="s">
        <v>10873</v>
      </c>
      <c r="C6174" s="17" t="s">
        <v>170</v>
      </c>
      <c r="D6174" s="13" t="s">
        <v>118</v>
      </c>
      <c r="E6174" s="13" t="s">
        <v>10874</v>
      </c>
      <c r="F6174" s="43">
        <v>58.76</v>
      </c>
    </row>
    <row r="6175" spans="2:6" x14ac:dyDescent="0.25">
      <c r="B6175" s="13" t="s">
        <v>10875</v>
      </c>
      <c r="C6175" s="17" t="s">
        <v>170</v>
      </c>
      <c r="D6175" s="13" t="s">
        <v>118</v>
      </c>
      <c r="E6175" s="13" t="s">
        <v>10876</v>
      </c>
      <c r="F6175" s="43">
        <v>58.76</v>
      </c>
    </row>
    <row r="6176" spans="2:6" x14ac:dyDescent="0.25">
      <c r="B6176" s="13" t="s">
        <v>10877</v>
      </c>
      <c r="C6176" s="17" t="s">
        <v>170</v>
      </c>
      <c r="D6176" s="13" t="s">
        <v>118</v>
      </c>
      <c r="E6176" s="13" t="s">
        <v>10878</v>
      </c>
      <c r="F6176" s="43">
        <v>58.76</v>
      </c>
    </row>
    <row r="6177" spans="2:6" x14ac:dyDescent="0.25">
      <c r="B6177" s="13" t="s">
        <v>10879</v>
      </c>
      <c r="C6177" s="17" t="s">
        <v>170</v>
      </c>
      <c r="D6177" s="13" t="s">
        <v>118</v>
      </c>
      <c r="E6177" s="13" t="s">
        <v>10880</v>
      </c>
      <c r="F6177" s="43">
        <v>58.76</v>
      </c>
    </row>
    <row r="6178" spans="2:6" x14ac:dyDescent="0.25">
      <c r="B6178" s="13" t="s">
        <v>10881</v>
      </c>
      <c r="C6178" s="17" t="s">
        <v>170</v>
      </c>
      <c r="D6178" s="13" t="s">
        <v>118</v>
      </c>
      <c r="E6178" s="13" t="s">
        <v>10882</v>
      </c>
      <c r="F6178" s="43">
        <v>58.76</v>
      </c>
    </row>
    <row r="6179" spans="2:6" x14ac:dyDescent="0.25">
      <c r="B6179" s="13" t="s">
        <v>10883</v>
      </c>
      <c r="C6179" s="17" t="s">
        <v>170</v>
      </c>
      <c r="D6179" s="13" t="s">
        <v>118</v>
      </c>
      <c r="E6179" s="13" t="s">
        <v>10884</v>
      </c>
      <c r="F6179" s="43">
        <v>58.76</v>
      </c>
    </row>
    <row r="6180" spans="2:6" x14ac:dyDescent="0.25">
      <c r="B6180" s="13" t="s">
        <v>10885</v>
      </c>
      <c r="C6180" s="17" t="s">
        <v>170</v>
      </c>
      <c r="D6180" s="13" t="s">
        <v>118</v>
      </c>
      <c r="E6180" s="13" t="s">
        <v>10886</v>
      </c>
      <c r="F6180" s="43">
        <v>58.76</v>
      </c>
    </row>
    <row r="6181" spans="2:6" x14ac:dyDescent="0.25">
      <c r="B6181" s="13" t="s">
        <v>10887</v>
      </c>
      <c r="C6181" s="17" t="s">
        <v>170</v>
      </c>
      <c r="D6181" s="13" t="s">
        <v>118</v>
      </c>
      <c r="E6181" s="13" t="s">
        <v>10888</v>
      </c>
      <c r="F6181" s="43">
        <v>58.76</v>
      </c>
    </row>
    <row r="6182" spans="2:6" x14ac:dyDescent="0.25">
      <c r="B6182" s="13" t="s">
        <v>10889</v>
      </c>
      <c r="C6182" s="17" t="s">
        <v>170</v>
      </c>
      <c r="D6182" s="13" t="s">
        <v>118</v>
      </c>
      <c r="E6182" s="13" t="s">
        <v>10890</v>
      </c>
      <c r="F6182" s="43">
        <v>58.76</v>
      </c>
    </row>
    <row r="6183" spans="2:6" x14ac:dyDescent="0.25">
      <c r="B6183" s="13" t="s">
        <v>10891</v>
      </c>
      <c r="C6183" s="17" t="s">
        <v>170</v>
      </c>
      <c r="D6183" s="13" t="s">
        <v>118</v>
      </c>
      <c r="E6183" s="13" t="s">
        <v>10892</v>
      </c>
      <c r="F6183" s="43">
        <v>58.76</v>
      </c>
    </row>
    <row r="6184" spans="2:6" x14ac:dyDescent="0.25">
      <c r="B6184" s="13" t="s">
        <v>10893</v>
      </c>
      <c r="C6184" s="17" t="s">
        <v>170</v>
      </c>
      <c r="D6184" s="13" t="s">
        <v>118</v>
      </c>
      <c r="E6184" s="13" t="s">
        <v>10894</v>
      </c>
      <c r="F6184" s="43">
        <v>58.76</v>
      </c>
    </row>
    <row r="6185" spans="2:6" x14ac:dyDescent="0.25">
      <c r="B6185" s="13" t="s">
        <v>10895</v>
      </c>
      <c r="C6185" s="17" t="s">
        <v>170</v>
      </c>
      <c r="D6185" s="13" t="s">
        <v>118</v>
      </c>
      <c r="E6185" s="13" t="s">
        <v>10896</v>
      </c>
      <c r="F6185" s="43">
        <v>58.76</v>
      </c>
    </row>
    <row r="6186" spans="2:6" x14ac:dyDescent="0.25">
      <c r="B6186" s="13" t="s">
        <v>10897</v>
      </c>
      <c r="C6186" s="17" t="s">
        <v>170</v>
      </c>
      <c r="D6186" s="13" t="s">
        <v>118</v>
      </c>
      <c r="E6186" s="13" t="s">
        <v>10898</v>
      </c>
      <c r="F6186" s="43">
        <v>58.76</v>
      </c>
    </row>
    <row r="6187" spans="2:6" x14ac:dyDescent="0.25">
      <c r="B6187" s="13" t="s">
        <v>10899</v>
      </c>
      <c r="C6187" s="17" t="s">
        <v>170</v>
      </c>
      <c r="D6187" s="13" t="s">
        <v>118</v>
      </c>
      <c r="E6187" s="13" t="s">
        <v>10900</v>
      </c>
      <c r="F6187" s="43">
        <v>58.76</v>
      </c>
    </row>
    <row r="6188" spans="2:6" x14ac:dyDescent="0.25">
      <c r="B6188" s="13" t="s">
        <v>10901</v>
      </c>
      <c r="C6188" s="17" t="s">
        <v>170</v>
      </c>
      <c r="D6188" s="13" t="s">
        <v>118</v>
      </c>
      <c r="E6188" s="13" t="s">
        <v>10902</v>
      </c>
      <c r="F6188" s="43">
        <v>82.74</v>
      </c>
    </row>
    <row r="6189" spans="2:6" x14ac:dyDescent="0.25">
      <c r="B6189" s="13" t="s">
        <v>10903</v>
      </c>
      <c r="C6189" s="17" t="s">
        <v>170</v>
      </c>
      <c r="D6189" s="13" t="s">
        <v>118</v>
      </c>
      <c r="E6189" s="13" t="s">
        <v>10904</v>
      </c>
      <c r="F6189" s="43">
        <v>82.74</v>
      </c>
    </row>
    <row r="6190" spans="2:6" x14ac:dyDescent="0.25">
      <c r="B6190" s="13" t="s">
        <v>10905</v>
      </c>
      <c r="C6190" s="17" t="s">
        <v>170</v>
      </c>
      <c r="D6190" s="13" t="s">
        <v>118</v>
      </c>
      <c r="E6190" s="13" t="s">
        <v>10906</v>
      </c>
      <c r="F6190" s="43">
        <v>82.74</v>
      </c>
    </row>
    <row r="6191" spans="2:6" x14ac:dyDescent="0.25">
      <c r="B6191" s="13" t="s">
        <v>10907</v>
      </c>
      <c r="C6191" s="17" t="s">
        <v>170</v>
      </c>
      <c r="D6191" s="13" t="s">
        <v>118</v>
      </c>
      <c r="E6191" s="13" t="s">
        <v>10908</v>
      </c>
      <c r="F6191" s="43">
        <v>82.74</v>
      </c>
    </row>
    <row r="6192" spans="2:6" x14ac:dyDescent="0.25">
      <c r="B6192" s="13" t="s">
        <v>10909</v>
      </c>
      <c r="C6192" s="17" t="s">
        <v>170</v>
      </c>
      <c r="D6192" s="13" t="s">
        <v>118</v>
      </c>
      <c r="E6192" s="13" t="s">
        <v>10910</v>
      </c>
      <c r="F6192" s="43">
        <v>58.76</v>
      </c>
    </row>
    <row r="6193" spans="2:6" x14ac:dyDescent="0.25">
      <c r="B6193" s="13" t="s">
        <v>10911</v>
      </c>
      <c r="C6193" s="17" t="s">
        <v>170</v>
      </c>
      <c r="D6193" s="13" t="s">
        <v>118</v>
      </c>
      <c r="E6193" s="13" t="s">
        <v>10912</v>
      </c>
      <c r="F6193" s="43">
        <v>58.76</v>
      </c>
    </row>
    <row r="6194" spans="2:6" x14ac:dyDescent="0.25">
      <c r="B6194" s="13" t="s">
        <v>10913</v>
      </c>
      <c r="C6194" s="17" t="s">
        <v>170</v>
      </c>
      <c r="D6194" s="13" t="s">
        <v>118</v>
      </c>
      <c r="E6194" s="13" t="s">
        <v>10914</v>
      </c>
      <c r="F6194" s="43">
        <v>58.76</v>
      </c>
    </row>
    <row r="6195" spans="2:6" x14ac:dyDescent="0.25">
      <c r="B6195" s="13" t="s">
        <v>10915</v>
      </c>
      <c r="C6195" s="17" t="s">
        <v>170</v>
      </c>
      <c r="D6195" s="13" t="s">
        <v>118</v>
      </c>
      <c r="E6195" s="13" t="s">
        <v>10916</v>
      </c>
      <c r="F6195" s="43">
        <v>58.76</v>
      </c>
    </row>
    <row r="6196" spans="2:6" x14ac:dyDescent="0.25">
      <c r="B6196" s="13" t="s">
        <v>10917</v>
      </c>
      <c r="C6196" s="17" t="s">
        <v>170</v>
      </c>
      <c r="D6196" s="13" t="s">
        <v>118</v>
      </c>
      <c r="E6196" s="13" t="s">
        <v>10918</v>
      </c>
      <c r="F6196" s="43">
        <v>58.76</v>
      </c>
    </row>
    <row r="6197" spans="2:6" x14ac:dyDescent="0.25">
      <c r="B6197" s="13" t="s">
        <v>10919</v>
      </c>
      <c r="C6197" s="17" t="s">
        <v>170</v>
      </c>
      <c r="D6197" s="13" t="s">
        <v>118</v>
      </c>
      <c r="E6197" s="13" t="s">
        <v>10920</v>
      </c>
      <c r="F6197" s="43">
        <v>58.76</v>
      </c>
    </row>
    <row r="6198" spans="2:6" x14ac:dyDescent="0.25">
      <c r="B6198" s="13" t="s">
        <v>10921</v>
      </c>
      <c r="C6198" s="17" t="s">
        <v>170</v>
      </c>
      <c r="D6198" s="13" t="s">
        <v>118</v>
      </c>
      <c r="E6198" s="13" t="s">
        <v>10922</v>
      </c>
      <c r="F6198" s="43">
        <v>58.76</v>
      </c>
    </row>
    <row r="6199" spans="2:6" x14ac:dyDescent="0.25">
      <c r="B6199" s="13" t="s">
        <v>10923</v>
      </c>
      <c r="C6199" s="17" t="s">
        <v>170</v>
      </c>
      <c r="D6199" s="13" t="s">
        <v>118</v>
      </c>
      <c r="E6199" s="13" t="s">
        <v>10924</v>
      </c>
      <c r="F6199" s="43">
        <v>58.76</v>
      </c>
    </row>
    <row r="6200" spans="2:6" x14ac:dyDescent="0.25">
      <c r="B6200" s="13" t="s">
        <v>10925</v>
      </c>
      <c r="C6200" s="17" t="s">
        <v>170</v>
      </c>
      <c r="D6200" s="13" t="s">
        <v>118</v>
      </c>
      <c r="E6200" s="13" t="s">
        <v>10926</v>
      </c>
      <c r="F6200" s="43">
        <v>58.76</v>
      </c>
    </row>
    <row r="6201" spans="2:6" x14ac:dyDescent="0.25">
      <c r="B6201" s="13" t="s">
        <v>10927</v>
      </c>
      <c r="C6201" s="17" t="s">
        <v>170</v>
      </c>
      <c r="D6201" s="13" t="s">
        <v>118</v>
      </c>
      <c r="E6201" s="13" t="s">
        <v>10928</v>
      </c>
      <c r="F6201" s="43">
        <v>58.76</v>
      </c>
    </row>
    <row r="6202" spans="2:6" x14ac:dyDescent="0.25">
      <c r="B6202" s="13" t="s">
        <v>10929</v>
      </c>
      <c r="C6202" s="17" t="s">
        <v>170</v>
      </c>
      <c r="D6202" s="13" t="s">
        <v>118</v>
      </c>
      <c r="E6202" s="13" t="s">
        <v>10930</v>
      </c>
      <c r="F6202" s="43">
        <v>58.76</v>
      </c>
    </row>
    <row r="6203" spans="2:6" x14ac:dyDescent="0.25">
      <c r="B6203" s="13" t="s">
        <v>10931</v>
      </c>
      <c r="C6203" s="17" t="s">
        <v>170</v>
      </c>
      <c r="D6203" s="13" t="s">
        <v>118</v>
      </c>
      <c r="E6203" s="13" t="s">
        <v>10932</v>
      </c>
      <c r="F6203" s="43">
        <v>58.76</v>
      </c>
    </row>
    <row r="6204" spans="2:6" x14ac:dyDescent="0.25">
      <c r="B6204" s="13" t="s">
        <v>10933</v>
      </c>
      <c r="C6204" s="17" t="s">
        <v>170</v>
      </c>
      <c r="D6204" s="13" t="s">
        <v>118</v>
      </c>
      <c r="E6204" s="13" t="s">
        <v>10934</v>
      </c>
      <c r="F6204" s="43">
        <v>58.76</v>
      </c>
    </row>
    <row r="6205" spans="2:6" x14ac:dyDescent="0.25">
      <c r="B6205" s="13" t="s">
        <v>10935</v>
      </c>
      <c r="C6205" s="17" t="s">
        <v>170</v>
      </c>
      <c r="D6205" s="13" t="s">
        <v>118</v>
      </c>
      <c r="E6205" s="13" t="s">
        <v>10936</v>
      </c>
      <c r="F6205" s="43">
        <v>58.76</v>
      </c>
    </row>
    <row r="6206" spans="2:6" x14ac:dyDescent="0.25">
      <c r="B6206" s="13" t="s">
        <v>10937</v>
      </c>
      <c r="C6206" s="17" t="s">
        <v>170</v>
      </c>
      <c r="D6206" s="13" t="s">
        <v>118</v>
      </c>
      <c r="E6206" s="13" t="s">
        <v>10938</v>
      </c>
      <c r="F6206" s="43">
        <v>58.76</v>
      </c>
    </row>
    <row r="6207" spans="2:6" x14ac:dyDescent="0.25">
      <c r="B6207" s="13" t="s">
        <v>10939</v>
      </c>
      <c r="C6207" s="17" t="s">
        <v>170</v>
      </c>
      <c r="D6207" s="13" t="s">
        <v>118</v>
      </c>
      <c r="E6207" s="13" t="s">
        <v>10940</v>
      </c>
      <c r="F6207" s="43">
        <v>58.76</v>
      </c>
    </row>
    <row r="6208" spans="2:6" x14ac:dyDescent="0.25">
      <c r="B6208" s="13" t="s">
        <v>10941</v>
      </c>
      <c r="C6208" s="17" t="s">
        <v>170</v>
      </c>
      <c r="D6208" s="13" t="s">
        <v>118</v>
      </c>
      <c r="E6208" s="13" t="s">
        <v>10942</v>
      </c>
      <c r="F6208" s="43">
        <v>58.76</v>
      </c>
    </row>
    <row r="6209" spans="2:6" x14ac:dyDescent="0.25">
      <c r="B6209" s="13" t="s">
        <v>10943</v>
      </c>
      <c r="C6209" s="17" t="s">
        <v>170</v>
      </c>
      <c r="D6209" s="13" t="s">
        <v>118</v>
      </c>
      <c r="E6209" s="13" t="s">
        <v>10944</v>
      </c>
      <c r="F6209" s="43">
        <v>58.76</v>
      </c>
    </row>
    <row r="6210" spans="2:6" x14ac:dyDescent="0.25">
      <c r="B6210" s="13" t="s">
        <v>10945</v>
      </c>
      <c r="C6210" s="17" t="s">
        <v>170</v>
      </c>
      <c r="D6210" s="13" t="s">
        <v>118</v>
      </c>
      <c r="E6210" s="13" t="s">
        <v>10946</v>
      </c>
      <c r="F6210" s="43">
        <v>58.76</v>
      </c>
    </row>
    <row r="6211" spans="2:6" x14ac:dyDescent="0.25">
      <c r="B6211" s="13" t="s">
        <v>10947</v>
      </c>
      <c r="C6211" s="17" t="s">
        <v>170</v>
      </c>
      <c r="D6211" s="13" t="s">
        <v>118</v>
      </c>
      <c r="E6211" s="13" t="s">
        <v>10948</v>
      </c>
      <c r="F6211" s="43">
        <v>58.76</v>
      </c>
    </row>
    <row r="6212" spans="2:6" x14ac:dyDescent="0.25">
      <c r="B6212" s="13" t="s">
        <v>10949</v>
      </c>
      <c r="C6212" s="17" t="s">
        <v>170</v>
      </c>
      <c r="D6212" s="13" t="s">
        <v>118</v>
      </c>
      <c r="E6212" s="13" t="s">
        <v>10950</v>
      </c>
      <c r="F6212" s="43">
        <v>58.76</v>
      </c>
    </row>
    <row r="6213" spans="2:6" x14ac:dyDescent="0.25">
      <c r="B6213" s="13" t="s">
        <v>10951</v>
      </c>
      <c r="C6213" s="17" t="s">
        <v>170</v>
      </c>
      <c r="D6213" s="13" t="s">
        <v>118</v>
      </c>
      <c r="E6213" s="13" t="s">
        <v>10952</v>
      </c>
      <c r="F6213" s="43">
        <v>58.76</v>
      </c>
    </row>
    <row r="6214" spans="2:6" x14ac:dyDescent="0.25">
      <c r="B6214" s="13" t="s">
        <v>10953</v>
      </c>
      <c r="C6214" s="17" t="s">
        <v>170</v>
      </c>
      <c r="D6214" s="13" t="s">
        <v>118</v>
      </c>
      <c r="E6214" s="13" t="s">
        <v>10954</v>
      </c>
      <c r="F6214" s="43">
        <v>58.76</v>
      </c>
    </row>
    <row r="6215" spans="2:6" x14ac:dyDescent="0.25">
      <c r="B6215" s="13" t="s">
        <v>10955</v>
      </c>
      <c r="C6215" s="17" t="s">
        <v>170</v>
      </c>
      <c r="D6215" s="13" t="s">
        <v>118</v>
      </c>
      <c r="E6215" s="13" t="s">
        <v>10956</v>
      </c>
      <c r="F6215" s="43">
        <v>58.76</v>
      </c>
    </row>
    <row r="6216" spans="2:6" x14ac:dyDescent="0.25">
      <c r="B6216" s="13" t="s">
        <v>10957</v>
      </c>
      <c r="C6216" s="17" t="s">
        <v>170</v>
      </c>
      <c r="D6216" s="13" t="s">
        <v>118</v>
      </c>
      <c r="E6216" s="13" t="s">
        <v>10958</v>
      </c>
      <c r="F6216" s="43">
        <v>58.76</v>
      </c>
    </row>
    <row r="6217" spans="2:6" x14ac:dyDescent="0.25">
      <c r="B6217" s="13" t="s">
        <v>10959</v>
      </c>
      <c r="C6217" s="17" t="s">
        <v>170</v>
      </c>
      <c r="D6217" s="13" t="s">
        <v>118</v>
      </c>
      <c r="E6217" s="13" t="s">
        <v>10960</v>
      </c>
      <c r="F6217" s="43">
        <v>58.76</v>
      </c>
    </row>
    <row r="6218" spans="2:6" x14ac:dyDescent="0.25">
      <c r="B6218" s="13" t="s">
        <v>10961</v>
      </c>
      <c r="C6218" s="17" t="s">
        <v>170</v>
      </c>
      <c r="D6218" s="13" t="s">
        <v>118</v>
      </c>
      <c r="E6218" s="13" t="s">
        <v>10962</v>
      </c>
      <c r="F6218" s="43">
        <v>58.76</v>
      </c>
    </row>
    <row r="6219" spans="2:6" x14ac:dyDescent="0.25">
      <c r="B6219" s="13" t="s">
        <v>10963</v>
      </c>
      <c r="C6219" s="17" t="s">
        <v>170</v>
      </c>
      <c r="D6219" s="13" t="s">
        <v>118</v>
      </c>
      <c r="E6219" s="13" t="s">
        <v>10964</v>
      </c>
      <c r="F6219" s="43">
        <v>58.76</v>
      </c>
    </row>
    <row r="6220" spans="2:6" x14ac:dyDescent="0.25">
      <c r="B6220" s="13" t="s">
        <v>10965</v>
      </c>
      <c r="C6220" s="17" t="s">
        <v>170</v>
      </c>
      <c r="D6220" s="13" t="s">
        <v>118</v>
      </c>
      <c r="E6220" s="13" t="s">
        <v>10966</v>
      </c>
      <c r="F6220" s="43">
        <v>58.76</v>
      </c>
    </row>
    <row r="6221" spans="2:6" x14ac:dyDescent="0.25">
      <c r="B6221" s="13" t="s">
        <v>10967</v>
      </c>
      <c r="C6221" s="17" t="s">
        <v>170</v>
      </c>
      <c r="D6221" s="13" t="s">
        <v>118</v>
      </c>
      <c r="E6221" s="13" t="s">
        <v>10968</v>
      </c>
      <c r="F6221" s="43">
        <v>58.76</v>
      </c>
    </row>
    <row r="6222" spans="2:6" x14ac:dyDescent="0.25">
      <c r="B6222" s="13" t="s">
        <v>10969</v>
      </c>
      <c r="C6222" s="17" t="s">
        <v>170</v>
      </c>
      <c r="D6222" s="13" t="s">
        <v>118</v>
      </c>
      <c r="E6222" s="13" t="s">
        <v>10970</v>
      </c>
      <c r="F6222" s="43">
        <v>58.76</v>
      </c>
    </row>
    <row r="6223" spans="2:6" x14ac:dyDescent="0.25">
      <c r="B6223" s="13" t="s">
        <v>10971</v>
      </c>
      <c r="C6223" s="17" t="s">
        <v>170</v>
      </c>
      <c r="D6223" s="13" t="s">
        <v>118</v>
      </c>
      <c r="E6223" s="13" t="s">
        <v>10972</v>
      </c>
      <c r="F6223" s="43">
        <v>58.76</v>
      </c>
    </row>
    <row r="6224" spans="2:6" x14ac:dyDescent="0.25">
      <c r="B6224" s="13" t="s">
        <v>10973</v>
      </c>
      <c r="C6224" s="17" t="s">
        <v>170</v>
      </c>
      <c r="D6224" s="13" t="s">
        <v>118</v>
      </c>
      <c r="E6224" s="13" t="s">
        <v>10974</v>
      </c>
      <c r="F6224" s="43">
        <v>58.76</v>
      </c>
    </row>
    <row r="6225" spans="2:6" x14ac:dyDescent="0.25">
      <c r="B6225" s="13" t="s">
        <v>10975</v>
      </c>
      <c r="C6225" s="17" t="s">
        <v>170</v>
      </c>
      <c r="D6225" s="13" t="s">
        <v>118</v>
      </c>
      <c r="E6225" s="13" t="s">
        <v>10976</v>
      </c>
      <c r="F6225" s="43">
        <v>58.76</v>
      </c>
    </row>
    <row r="6226" spans="2:6" x14ac:dyDescent="0.25">
      <c r="B6226" s="13" t="s">
        <v>10977</v>
      </c>
      <c r="C6226" s="17" t="s">
        <v>170</v>
      </c>
      <c r="D6226" s="13" t="s">
        <v>118</v>
      </c>
      <c r="E6226" s="13" t="s">
        <v>10978</v>
      </c>
      <c r="F6226" s="43">
        <v>58.76</v>
      </c>
    </row>
    <row r="6227" spans="2:6" x14ac:dyDescent="0.25">
      <c r="B6227" s="13" t="s">
        <v>10979</v>
      </c>
      <c r="C6227" s="17" t="s">
        <v>170</v>
      </c>
      <c r="D6227" s="13" t="s">
        <v>118</v>
      </c>
      <c r="E6227" s="13" t="s">
        <v>10980</v>
      </c>
      <c r="F6227" s="43">
        <v>58.76</v>
      </c>
    </row>
    <row r="6228" spans="2:6" x14ac:dyDescent="0.25">
      <c r="B6228" s="13" t="s">
        <v>10981</v>
      </c>
      <c r="C6228" s="17" t="s">
        <v>170</v>
      </c>
      <c r="D6228" s="13" t="s">
        <v>118</v>
      </c>
      <c r="E6228" s="13" t="s">
        <v>10982</v>
      </c>
      <c r="F6228" s="43">
        <v>82.74</v>
      </c>
    </row>
    <row r="6229" spans="2:6" x14ac:dyDescent="0.25">
      <c r="B6229" s="13" t="s">
        <v>10983</v>
      </c>
      <c r="C6229" s="17" t="s">
        <v>170</v>
      </c>
      <c r="D6229" s="13" t="s">
        <v>118</v>
      </c>
      <c r="E6229" s="13" t="s">
        <v>10984</v>
      </c>
      <c r="F6229" s="43">
        <v>82.74</v>
      </c>
    </row>
    <row r="6230" spans="2:6" x14ac:dyDescent="0.25">
      <c r="B6230" s="13" t="s">
        <v>10985</v>
      </c>
      <c r="C6230" s="17" t="s">
        <v>170</v>
      </c>
      <c r="D6230" s="13" t="s">
        <v>118</v>
      </c>
      <c r="E6230" s="13" t="s">
        <v>10986</v>
      </c>
      <c r="F6230" s="43">
        <v>82.74</v>
      </c>
    </row>
    <row r="6231" spans="2:6" x14ac:dyDescent="0.25">
      <c r="B6231" s="13" t="s">
        <v>10987</v>
      </c>
      <c r="C6231" s="17" t="s">
        <v>170</v>
      </c>
      <c r="D6231" s="13" t="s">
        <v>118</v>
      </c>
      <c r="E6231" s="13" t="s">
        <v>10988</v>
      </c>
      <c r="F6231" s="43">
        <v>82.74</v>
      </c>
    </row>
    <row r="6232" spans="2:6" x14ac:dyDescent="0.25">
      <c r="B6232" s="13" t="s">
        <v>10989</v>
      </c>
      <c r="C6232" s="17" t="s">
        <v>170</v>
      </c>
      <c r="D6232" s="13" t="s">
        <v>118</v>
      </c>
      <c r="E6232" s="13" t="s">
        <v>10990</v>
      </c>
      <c r="F6232" s="43">
        <v>80.33</v>
      </c>
    </row>
    <row r="6233" spans="2:6" x14ac:dyDescent="0.25">
      <c r="B6233" s="13" t="s">
        <v>10991</v>
      </c>
      <c r="C6233" s="17" t="s">
        <v>170</v>
      </c>
      <c r="D6233" s="13" t="s">
        <v>118</v>
      </c>
      <c r="E6233" s="13" t="s">
        <v>10992</v>
      </c>
      <c r="F6233" s="43">
        <v>80.33</v>
      </c>
    </row>
    <row r="6234" spans="2:6" x14ac:dyDescent="0.25">
      <c r="B6234" s="13" t="s">
        <v>10993</v>
      </c>
      <c r="C6234" s="17" t="s">
        <v>170</v>
      </c>
      <c r="D6234" s="13" t="s">
        <v>118</v>
      </c>
      <c r="E6234" s="13" t="s">
        <v>10994</v>
      </c>
      <c r="F6234" s="43">
        <v>80.33</v>
      </c>
    </row>
    <row r="6235" spans="2:6" x14ac:dyDescent="0.25">
      <c r="B6235" s="13" t="s">
        <v>10995</v>
      </c>
      <c r="C6235" s="17" t="s">
        <v>170</v>
      </c>
      <c r="D6235" s="13" t="s">
        <v>118</v>
      </c>
      <c r="E6235" s="13" t="s">
        <v>10996</v>
      </c>
      <c r="F6235" s="43">
        <v>80.33</v>
      </c>
    </row>
    <row r="6236" spans="2:6" x14ac:dyDescent="0.25">
      <c r="B6236" s="13" t="s">
        <v>10997</v>
      </c>
      <c r="C6236" s="17" t="s">
        <v>170</v>
      </c>
      <c r="D6236" s="13" t="s">
        <v>118</v>
      </c>
      <c r="E6236" s="13" t="s">
        <v>10998</v>
      </c>
      <c r="F6236" s="43">
        <v>80.33</v>
      </c>
    </row>
    <row r="6237" spans="2:6" x14ac:dyDescent="0.25">
      <c r="B6237" s="13" t="s">
        <v>10999</v>
      </c>
      <c r="C6237" s="17" t="s">
        <v>170</v>
      </c>
      <c r="D6237" s="13" t="s">
        <v>118</v>
      </c>
      <c r="E6237" s="13" t="s">
        <v>11000</v>
      </c>
      <c r="F6237" s="43">
        <v>80.33</v>
      </c>
    </row>
    <row r="6238" spans="2:6" x14ac:dyDescent="0.25">
      <c r="B6238" s="13" t="s">
        <v>11001</v>
      </c>
      <c r="C6238" s="17" t="s">
        <v>170</v>
      </c>
      <c r="D6238" s="13" t="s">
        <v>118</v>
      </c>
      <c r="E6238" s="13" t="s">
        <v>11002</v>
      </c>
      <c r="F6238" s="43">
        <v>80.33</v>
      </c>
    </row>
    <row r="6239" spans="2:6" x14ac:dyDescent="0.25">
      <c r="B6239" s="13" t="s">
        <v>11003</v>
      </c>
      <c r="C6239" s="17" t="s">
        <v>170</v>
      </c>
      <c r="D6239" s="13" t="s">
        <v>118</v>
      </c>
      <c r="E6239" s="13" t="s">
        <v>11004</v>
      </c>
      <c r="F6239" s="43">
        <v>80.33</v>
      </c>
    </row>
    <row r="6240" spans="2:6" x14ac:dyDescent="0.25">
      <c r="B6240" s="13" t="s">
        <v>11005</v>
      </c>
      <c r="C6240" s="17" t="s">
        <v>170</v>
      </c>
      <c r="D6240" s="13" t="s">
        <v>118</v>
      </c>
      <c r="E6240" s="13" t="s">
        <v>11006</v>
      </c>
      <c r="F6240" s="43">
        <v>80.33</v>
      </c>
    </row>
    <row r="6241" spans="2:6" x14ac:dyDescent="0.25">
      <c r="B6241" s="13" t="s">
        <v>11007</v>
      </c>
      <c r="C6241" s="17" t="s">
        <v>170</v>
      </c>
      <c r="D6241" s="13" t="s">
        <v>118</v>
      </c>
      <c r="E6241" s="13" t="s">
        <v>11008</v>
      </c>
      <c r="F6241" s="43">
        <v>80.33</v>
      </c>
    </row>
    <row r="6242" spans="2:6" x14ac:dyDescent="0.25">
      <c r="B6242" s="13" t="s">
        <v>11009</v>
      </c>
      <c r="C6242" s="17" t="s">
        <v>170</v>
      </c>
      <c r="D6242" s="13" t="s">
        <v>118</v>
      </c>
      <c r="E6242" s="13" t="s">
        <v>11010</v>
      </c>
      <c r="F6242" s="43">
        <v>80.33</v>
      </c>
    </row>
    <row r="6243" spans="2:6" x14ac:dyDescent="0.25">
      <c r="B6243" s="13" t="s">
        <v>11011</v>
      </c>
      <c r="C6243" s="17" t="s">
        <v>170</v>
      </c>
      <c r="D6243" s="13" t="s">
        <v>118</v>
      </c>
      <c r="E6243" s="13" t="s">
        <v>11012</v>
      </c>
      <c r="F6243" s="43">
        <v>80.33</v>
      </c>
    </row>
    <row r="6244" spans="2:6" x14ac:dyDescent="0.25">
      <c r="B6244" s="13" t="s">
        <v>11013</v>
      </c>
      <c r="C6244" s="17" t="s">
        <v>170</v>
      </c>
      <c r="D6244" s="13" t="s">
        <v>118</v>
      </c>
      <c r="E6244" s="13" t="s">
        <v>11014</v>
      </c>
      <c r="F6244" s="43">
        <v>80.33</v>
      </c>
    </row>
    <row r="6245" spans="2:6" x14ac:dyDescent="0.25">
      <c r="B6245" s="13" t="s">
        <v>11015</v>
      </c>
      <c r="C6245" s="17" t="s">
        <v>170</v>
      </c>
      <c r="D6245" s="13" t="s">
        <v>118</v>
      </c>
      <c r="E6245" s="13" t="s">
        <v>11016</v>
      </c>
      <c r="F6245" s="43">
        <v>80.33</v>
      </c>
    </row>
    <row r="6246" spans="2:6" x14ac:dyDescent="0.25">
      <c r="B6246" s="13" t="s">
        <v>11017</v>
      </c>
      <c r="C6246" s="17" t="s">
        <v>170</v>
      </c>
      <c r="D6246" s="13" t="s">
        <v>118</v>
      </c>
      <c r="E6246" s="13" t="s">
        <v>11018</v>
      </c>
      <c r="F6246" s="43">
        <v>80.33</v>
      </c>
    </row>
    <row r="6247" spans="2:6" x14ac:dyDescent="0.25">
      <c r="B6247" s="13" t="s">
        <v>11019</v>
      </c>
      <c r="C6247" s="17" t="s">
        <v>170</v>
      </c>
      <c r="D6247" s="13" t="s">
        <v>118</v>
      </c>
      <c r="E6247" s="13" t="s">
        <v>11020</v>
      </c>
      <c r="F6247" s="43">
        <v>80.33</v>
      </c>
    </row>
    <row r="6248" spans="2:6" x14ac:dyDescent="0.25">
      <c r="B6248" s="13" t="s">
        <v>11021</v>
      </c>
      <c r="C6248" s="17" t="s">
        <v>170</v>
      </c>
      <c r="D6248" s="13" t="s">
        <v>118</v>
      </c>
      <c r="E6248" s="13" t="s">
        <v>11022</v>
      </c>
      <c r="F6248" s="43">
        <v>80.33</v>
      </c>
    </row>
    <row r="6249" spans="2:6" x14ac:dyDescent="0.25">
      <c r="B6249" s="13" t="s">
        <v>11023</v>
      </c>
      <c r="C6249" s="17" t="s">
        <v>170</v>
      </c>
      <c r="D6249" s="13" t="s">
        <v>118</v>
      </c>
      <c r="E6249" s="13" t="s">
        <v>11024</v>
      </c>
      <c r="F6249" s="43">
        <v>80.33</v>
      </c>
    </row>
    <row r="6250" spans="2:6" x14ac:dyDescent="0.25">
      <c r="B6250" s="13" t="s">
        <v>11025</v>
      </c>
      <c r="C6250" s="17" t="s">
        <v>170</v>
      </c>
      <c r="D6250" s="13" t="s">
        <v>118</v>
      </c>
      <c r="E6250" s="13" t="s">
        <v>11026</v>
      </c>
      <c r="F6250" s="43">
        <v>80.33</v>
      </c>
    </row>
    <row r="6251" spans="2:6" x14ac:dyDescent="0.25">
      <c r="B6251" s="13" t="s">
        <v>11027</v>
      </c>
      <c r="C6251" s="17" t="s">
        <v>170</v>
      </c>
      <c r="D6251" s="13" t="s">
        <v>118</v>
      </c>
      <c r="E6251" s="13" t="s">
        <v>11028</v>
      </c>
      <c r="F6251" s="43">
        <v>80.33</v>
      </c>
    </row>
    <row r="6252" spans="2:6" x14ac:dyDescent="0.25">
      <c r="B6252" s="13" t="s">
        <v>11029</v>
      </c>
      <c r="C6252" s="17" t="s">
        <v>170</v>
      </c>
      <c r="D6252" s="13" t="s">
        <v>118</v>
      </c>
      <c r="E6252" s="13" t="s">
        <v>11030</v>
      </c>
      <c r="F6252" s="43">
        <v>80.33</v>
      </c>
    </row>
    <row r="6253" spans="2:6" x14ac:dyDescent="0.25">
      <c r="B6253" s="13" t="s">
        <v>11031</v>
      </c>
      <c r="C6253" s="17" t="s">
        <v>170</v>
      </c>
      <c r="D6253" s="13" t="s">
        <v>118</v>
      </c>
      <c r="E6253" s="13" t="s">
        <v>11032</v>
      </c>
      <c r="F6253" s="43">
        <v>80.33</v>
      </c>
    </row>
    <row r="6254" spans="2:6" x14ac:dyDescent="0.25">
      <c r="B6254" s="13" t="s">
        <v>11033</v>
      </c>
      <c r="C6254" s="17" t="s">
        <v>170</v>
      </c>
      <c r="D6254" s="13" t="s">
        <v>118</v>
      </c>
      <c r="E6254" s="13" t="s">
        <v>11034</v>
      </c>
      <c r="F6254" s="43">
        <v>80.33</v>
      </c>
    </row>
    <row r="6255" spans="2:6" x14ac:dyDescent="0.25">
      <c r="B6255" s="13" t="s">
        <v>11035</v>
      </c>
      <c r="C6255" s="17" t="s">
        <v>170</v>
      </c>
      <c r="D6255" s="13" t="s">
        <v>118</v>
      </c>
      <c r="E6255" s="13" t="s">
        <v>11036</v>
      </c>
      <c r="F6255" s="43">
        <v>80.33</v>
      </c>
    </row>
    <row r="6256" spans="2:6" x14ac:dyDescent="0.25">
      <c r="B6256" s="13" t="s">
        <v>11037</v>
      </c>
      <c r="C6256" s="17" t="s">
        <v>170</v>
      </c>
      <c r="D6256" s="13" t="s">
        <v>118</v>
      </c>
      <c r="E6256" s="13" t="s">
        <v>11038</v>
      </c>
      <c r="F6256" s="43">
        <v>95.94</v>
      </c>
    </row>
    <row r="6257" spans="2:6" x14ac:dyDescent="0.25">
      <c r="B6257" s="13" t="s">
        <v>11039</v>
      </c>
      <c r="C6257" s="17" t="s">
        <v>170</v>
      </c>
      <c r="D6257" s="13" t="s">
        <v>118</v>
      </c>
      <c r="E6257" s="13" t="s">
        <v>11040</v>
      </c>
      <c r="F6257" s="43">
        <v>95.94</v>
      </c>
    </row>
    <row r="6258" spans="2:6" x14ac:dyDescent="0.25">
      <c r="B6258" s="13" t="s">
        <v>11041</v>
      </c>
      <c r="C6258" s="17" t="s">
        <v>170</v>
      </c>
      <c r="D6258" s="13" t="s">
        <v>118</v>
      </c>
      <c r="E6258" s="13" t="s">
        <v>11042</v>
      </c>
      <c r="F6258" s="43">
        <v>80.33</v>
      </c>
    </row>
    <row r="6259" spans="2:6" x14ac:dyDescent="0.25">
      <c r="B6259" s="13" t="s">
        <v>11043</v>
      </c>
      <c r="C6259" s="17" t="s">
        <v>170</v>
      </c>
      <c r="D6259" s="13" t="s">
        <v>118</v>
      </c>
      <c r="E6259" s="13" t="s">
        <v>11044</v>
      </c>
      <c r="F6259" s="43">
        <v>80.33</v>
      </c>
    </row>
    <row r="6260" spans="2:6" x14ac:dyDescent="0.25">
      <c r="B6260" s="13" t="s">
        <v>11045</v>
      </c>
      <c r="C6260" s="17" t="s">
        <v>170</v>
      </c>
      <c r="D6260" s="13" t="s">
        <v>118</v>
      </c>
      <c r="E6260" s="13" t="s">
        <v>11046</v>
      </c>
      <c r="F6260" s="43">
        <v>80.33</v>
      </c>
    </row>
    <row r="6261" spans="2:6" x14ac:dyDescent="0.25">
      <c r="B6261" s="13" t="s">
        <v>11047</v>
      </c>
      <c r="C6261" s="17" t="s">
        <v>170</v>
      </c>
      <c r="D6261" s="13" t="s">
        <v>118</v>
      </c>
      <c r="E6261" s="13" t="s">
        <v>11048</v>
      </c>
      <c r="F6261" s="43">
        <v>80.33</v>
      </c>
    </row>
    <row r="6262" spans="2:6" x14ac:dyDescent="0.25">
      <c r="B6262" s="13" t="s">
        <v>11049</v>
      </c>
      <c r="C6262" s="17" t="s">
        <v>170</v>
      </c>
      <c r="D6262" s="13" t="s">
        <v>118</v>
      </c>
      <c r="E6262" s="13" t="s">
        <v>11050</v>
      </c>
      <c r="F6262" s="43">
        <v>80.33</v>
      </c>
    </row>
    <row r="6263" spans="2:6" x14ac:dyDescent="0.25">
      <c r="B6263" s="13" t="s">
        <v>11051</v>
      </c>
      <c r="C6263" s="17" t="s">
        <v>170</v>
      </c>
      <c r="D6263" s="13" t="s">
        <v>118</v>
      </c>
      <c r="E6263" s="13" t="s">
        <v>11052</v>
      </c>
      <c r="F6263" s="43">
        <v>80.33</v>
      </c>
    </row>
    <row r="6264" spans="2:6" x14ac:dyDescent="0.25">
      <c r="B6264" s="13" t="s">
        <v>11053</v>
      </c>
      <c r="C6264" s="17" t="s">
        <v>170</v>
      </c>
      <c r="D6264" s="13" t="s">
        <v>118</v>
      </c>
      <c r="E6264" s="13" t="s">
        <v>11054</v>
      </c>
      <c r="F6264" s="43">
        <v>80.33</v>
      </c>
    </row>
    <row r="6265" spans="2:6" x14ac:dyDescent="0.25">
      <c r="B6265" s="13" t="s">
        <v>11055</v>
      </c>
      <c r="C6265" s="17" t="s">
        <v>170</v>
      </c>
      <c r="D6265" s="13" t="s">
        <v>118</v>
      </c>
      <c r="E6265" s="13" t="s">
        <v>11056</v>
      </c>
      <c r="F6265" s="43">
        <v>80.33</v>
      </c>
    </row>
    <row r="6266" spans="2:6" x14ac:dyDescent="0.25">
      <c r="B6266" s="13" t="s">
        <v>11057</v>
      </c>
      <c r="C6266" s="17" t="s">
        <v>170</v>
      </c>
      <c r="D6266" s="13" t="s">
        <v>118</v>
      </c>
      <c r="E6266" s="13" t="s">
        <v>11058</v>
      </c>
      <c r="F6266" s="43">
        <v>80.33</v>
      </c>
    </row>
    <row r="6267" spans="2:6" x14ac:dyDescent="0.25">
      <c r="B6267" s="13" t="s">
        <v>11059</v>
      </c>
      <c r="C6267" s="17" t="s">
        <v>170</v>
      </c>
      <c r="D6267" s="13" t="s">
        <v>118</v>
      </c>
      <c r="E6267" s="13" t="s">
        <v>11060</v>
      </c>
      <c r="F6267" s="43">
        <v>80.33</v>
      </c>
    </row>
    <row r="6268" spans="2:6" x14ac:dyDescent="0.25">
      <c r="B6268" s="13" t="s">
        <v>11061</v>
      </c>
      <c r="C6268" s="17" t="s">
        <v>170</v>
      </c>
      <c r="D6268" s="13" t="s">
        <v>118</v>
      </c>
      <c r="E6268" s="13" t="s">
        <v>11062</v>
      </c>
      <c r="F6268" s="43">
        <v>80.33</v>
      </c>
    </row>
    <row r="6269" spans="2:6" x14ac:dyDescent="0.25">
      <c r="B6269" s="13" t="s">
        <v>11063</v>
      </c>
      <c r="C6269" s="17" t="s">
        <v>170</v>
      </c>
      <c r="D6269" s="13" t="s">
        <v>118</v>
      </c>
      <c r="E6269" s="13" t="s">
        <v>11064</v>
      </c>
      <c r="F6269" s="43">
        <v>80.33</v>
      </c>
    </row>
    <row r="6270" spans="2:6" x14ac:dyDescent="0.25">
      <c r="B6270" s="13" t="s">
        <v>11065</v>
      </c>
      <c r="C6270" s="17" t="s">
        <v>170</v>
      </c>
      <c r="D6270" s="13" t="s">
        <v>118</v>
      </c>
      <c r="E6270" s="13" t="s">
        <v>11066</v>
      </c>
      <c r="F6270" s="43">
        <v>80.33</v>
      </c>
    </row>
    <row r="6271" spans="2:6" x14ac:dyDescent="0.25">
      <c r="B6271" s="13" t="s">
        <v>11067</v>
      </c>
      <c r="C6271" s="17" t="s">
        <v>170</v>
      </c>
      <c r="D6271" s="13" t="s">
        <v>118</v>
      </c>
      <c r="E6271" s="13" t="s">
        <v>11068</v>
      </c>
      <c r="F6271" s="43">
        <v>80.33</v>
      </c>
    </row>
    <row r="6272" spans="2:6" x14ac:dyDescent="0.25">
      <c r="B6272" s="13" t="s">
        <v>11069</v>
      </c>
      <c r="C6272" s="17" t="s">
        <v>170</v>
      </c>
      <c r="D6272" s="13" t="s">
        <v>118</v>
      </c>
      <c r="E6272" s="13" t="s">
        <v>11070</v>
      </c>
      <c r="F6272" s="43">
        <v>80.33</v>
      </c>
    </row>
    <row r="6273" spans="2:6" x14ac:dyDescent="0.25">
      <c r="B6273" s="13" t="s">
        <v>11071</v>
      </c>
      <c r="C6273" s="17" t="s">
        <v>170</v>
      </c>
      <c r="D6273" s="13" t="s">
        <v>118</v>
      </c>
      <c r="E6273" s="13" t="s">
        <v>11072</v>
      </c>
      <c r="F6273" s="43">
        <v>80.33</v>
      </c>
    </row>
    <row r="6274" spans="2:6" x14ac:dyDescent="0.25">
      <c r="B6274" s="13" t="s">
        <v>11073</v>
      </c>
      <c r="C6274" s="17" t="s">
        <v>170</v>
      </c>
      <c r="D6274" s="13" t="s">
        <v>118</v>
      </c>
      <c r="E6274" s="13" t="s">
        <v>11074</v>
      </c>
      <c r="F6274" s="43">
        <v>80.33</v>
      </c>
    </row>
    <row r="6275" spans="2:6" x14ac:dyDescent="0.25">
      <c r="B6275" s="13" t="s">
        <v>11075</v>
      </c>
      <c r="C6275" s="17" t="s">
        <v>170</v>
      </c>
      <c r="D6275" s="13" t="s">
        <v>118</v>
      </c>
      <c r="E6275" s="13" t="s">
        <v>11076</v>
      </c>
      <c r="F6275" s="43">
        <v>80.33</v>
      </c>
    </row>
    <row r="6276" spans="2:6" x14ac:dyDescent="0.25">
      <c r="B6276" s="13" t="s">
        <v>11077</v>
      </c>
      <c r="C6276" s="17" t="s">
        <v>170</v>
      </c>
      <c r="D6276" s="13" t="s">
        <v>118</v>
      </c>
      <c r="E6276" s="13" t="s">
        <v>11078</v>
      </c>
      <c r="F6276" s="43">
        <v>80.33</v>
      </c>
    </row>
    <row r="6277" spans="2:6" x14ac:dyDescent="0.25">
      <c r="B6277" s="13" t="s">
        <v>11079</v>
      </c>
      <c r="C6277" s="17" t="s">
        <v>170</v>
      </c>
      <c r="D6277" s="13" t="s">
        <v>118</v>
      </c>
      <c r="E6277" s="13" t="s">
        <v>11080</v>
      </c>
      <c r="F6277" s="43">
        <v>80.33</v>
      </c>
    </row>
    <row r="6278" spans="2:6" x14ac:dyDescent="0.25">
      <c r="B6278" s="13" t="s">
        <v>11081</v>
      </c>
      <c r="C6278" s="17" t="s">
        <v>170</v>
      </c>
      <c r="D6278" s="13" t="s">
        <v>118</v>
      </c>
      <c r="E6278" s="13" t="s">
        <v>11082</v>
      </c>
      <c r="F6278" s="43">
        <v>80.33</v>
      </c>
    </row>
    <row r="6279" spans="2:6" x14ac:dyDescent="0.25">
      <c r="B6279" s="13" t="s">
        <v>11083</v>
      </c>
      <c r="C6279" s="17" t="s">
        <v>170</v>
      </c>
      <c r="D6279" s="13" t="s">
        <v>118</v>
      </c>
      <c r="E6279" s="13" t="s">
        <v>11084</v>
      </c>
      <c r="F6279" s="43">
        <v>80.33</v>
      </c>
    </row>
    <row r="6280" spans="2:6" x14ac:dyDescent="0.25">
      <c r="B6280" s="13" t="s">
        <v>11085</v>
      </c>
      <c r="C6280" s="17" t="s">
        <v>170</v>
      </c>
      <c r="D6280" s="13" t="s">
        <v>118</v>
      </c>
      <c r="E6280" s="13" t="s">
        <v>11086</v>
      </c>
      <c r="F6280" s="43">
        <v>80.33</v>
      </c>
    </row>
    <row r="6281" spans="2:6" x14ac:dyDescent="0.25">
      <c r="B6281" s="13" t="s">
        <v>11087</v>
      </c>
      <c r="C6281" s="17" t="s">
        <v>170</v>
      </c>
      <c r="D6281" s="13" t="s">
        <v>118</v>
      </c>
      <c r="E6281" s="13" t="s">
        <v>11088</v>
      </c>
      <c r="F6281" s="43">
        <v>80.33</v>
      </c>
    </row>
    <row r="6282" spans="2:6" x14ac:dyDescent="0.25">
      <c r="B6282" s="13" t="s">
        <v>11089</v>
      </c>
      <c r="C6282" s="17" t="s">
        <v>170</v>
      </c>
      <c r="D6282" s="13" t="s">
        <v>118</v>
      </c>
      <c r="E6282" s="13" t="s">
        <v>11090</v>
      </c>
      <c r="F6282" s="43">
        <v>95.94</v>
      </c>
    </row>
    <row r="6283" spans="2:6" x14ac:dyDescent="0.25">
      <c r="B6283" s="13" t="s">
        <v>11091</v>
      </c>
      <c r="C6283" s="17" t="s">
        <v>170</v>
      </c>
      <c r="D6283" s="13" t="s">
        <v>118</v>
      </c>
      <c r="E6283" s="13" t="s">
        <v>11092</v>
      </c>
      <c r="F6283" s="43">
        <v>95.94</v>
      </c>
    </row>
    <row r="6284" spans="2:6" x14ac:dyDescent="0.25">
      <c r="B6284" s="13" t="s">
        <v>11093</v>
      </c>
      <c r="C6284" s="17" t="s">
        <v>170</v>
      </c>
      <c r="D6284" s="13" t="s">
        <v>118</v>
      </c>
      <c r="E6284" s="13" t="s">
        <v>11094</v>
      </c>
      <c r="F6284" s="43">
        <v>80.33</v>
      </c>
    </row>
    <row r="6285" spans="2:6" x14ac:dyDescent="0.25">
      <c r="B6285" s="13" t="s">
        <v>11095</v>
      </c>
      <c r="C6285" s="17" t="s">
        <v>170</v>
      </c>
      <c r="D6285" s="13" t="s">
        <v>118</v>
      </c>
      <c r="E6285" s="13" t="s">
        <v>11096</v>
      </c>
      <c r="F6285" s="43">
        <v>80.33</v>
      </c>
    </row>
    <row r="6286" spans="2:6" x14ac:dyDescent="0.25">
      <c r="B6286" s="13" t="s">
        <v>11097</v>
      </c>
      <c r="C6286" s="17" t="s">
        <v>170</v>
      </c>
      <c r="D6286" s="13" t="s">
        <v>118</v>
      </c>
      <c r="E6286" s="13" t="s">
        <v>11098</v>
      </c>
      <c r="F6286" s="43">
        <v>80.33</v>
      </c>
    </row>
    <row r="6287" spans="2:6" x14ac:dyDescent="0.25">
      <c r="B6287" s="13" t="s">
        <v>11099</v>
      </c>
      <c r="C6287" s="17" t="s">
        <v>170</v>
      </c>
      <c r="D6287" s="13" t="s">
        <v>118</v>
      </c>
      <c r="E6287" s="13" t="s">
        <v>11100</v>
      </c>
      <c r="F6287" s="43">
        <v>80.33</v>
      </c>
    </row>
    <row r="6288" spans="2:6" x14ac:dyDescent="0.25">
      <c r="B6288" s="13" t="s">
        <v>11101</v>
      </c>
      <c r="C6288" s="17" t="s">
        <v>170</v>
      </c>
      <c r="D6288" s="13" t="s">
        <v>118</v>
      </c>
      <c r="E6288" s="13" t="s">
        <v>11102</v>
      </c>
      <c r="F6288" s="43">
        <v>80.33</v>
      </c>
    </row>
    <row r="6289" spans="2:6" x14ac:dyDescent="0.25">
      <c r="B6289" s="13" t="s">
        <v>11103</v>
      </c>
      <c r="C6289" s="17" t="s">
        <v>170</v>
      </c>
      <c r="D6289" s="13" t="s">
        <v>118</v>
      </c>
      <c r="E6289" s="13" t="s">
        <v>11104</v>
      </c>
      <c r="F6289" s="43">
        <v>80.33</v>
      </c>
    </row>
    <row r="6290" spans="2:6" x14ac:dyDescent="0.25">
      <c r="B6290" s="13" t="s">
        <v>11105</v>
      </c>
      <c r="C6290" s="17" t="s">
        <v>170</v>
      </c>
      <c r="D6290" s="13" t="s">
        <v>118</v>
      </c>
      <c r="E6290" s="13" t="s">
        <v>11106</v>
      </c>
      <c r="F6290" s="43">
        <v>80.33</v>
      </c>
    </row>
    <row r="6291" spans="2:6" x14ac:dyDescent="0.25">
      <c r="B6291" s="13" t="s">
        <v>11107</v>
      </c>
      <c r="C6291" s="17" t="s">
        <v>170</v>
      </c>
      <c r="D6291" s="13" t="s">
        <v>118</v>
      </c>
      <c r="E6291" s="13" t="s">
        <v>11108</v>
      </c>
      <c r="F6291" s="43">
        <v>80.33</v>
      </c>
    </row>
    <row r="6292" spans="2:6" x14ac:dyDescent="0.25">
      <c r="B6292" s="13" t="s">
        <v>11109</v>
      </c>
      <c r="C6292" s="17" t="s">
        <v>170</v>
      </c>
      <c r="D6292" s="13" t="s">
        <v>118</v>
      </c>
      <c r="E6292" s="13" t="s">
        <v>11110</v>
      </c>
      <c r="F6292" s="43">
        <v>80.33</v>
      </c>
    </row>
    <row r="6293" spans="2:6" x14ac:dyDescent="0.25">
      <c r="B6293" s="13" t="s">
        <v>11111</v>
      </c>
      <c r="C6293" s="17" t="s">
        <v>170</v>
      </c>
      <c r="D6293" s="13" t="s">
        <v>118</v>
      </c>
      <c r="E6293" s="13" t="s">
        <v>11112</v>
      </c>
      <c r="F6293" s="43">
        <v>80.33</v>
      </c>
    </row>
    <row r="6294" spans="2:6" x14ac:dyDescent="0.25">
      <c r="B6294" s="13" t="s">
        <v>11113</v>
      </c>
      <c r="C6294" s="17" t="s">
        <v>170</v>
      </c>
      <c r="D6294" s="13" t="s">
        <v>118</v>
      </c>
      <c r="E6294" s="13" t="s">
        <v>11114</v>
      </c>
      <c r="F6294" s="43">
        <v>80.33</v>
      </c>
    </row>
    <row r="6295" spans="2:6" x14ac:dyDescent="0.25">
      <c r="B6295" s="13" t="s">
        <v>11115</v>
      </c>
      <c r="C6295" s="17" t="s">
        <v>170</v>
      </c>
      <c r="D6295" s="13" t="s">
        <v>118</v>
      </c>
      <c r="E6295" s="13" t="s">
        <v>11116</v>
      </c>
      <c r="F6295" s="43">
        <v>80.33</v>
      </c>
    </row>
    <row r="6296" spans="2:6" x14ac:dyDescent="0.25">
      <c r="B6296" s="13" t="s">
        <v>11117</v>
      </c>
      <c r="C6296" s="17" t="s">
        <v>170</v>
      </c>
      <c r="D6296" s="13" t="s">
        <v>118</v>
      </c>
      <c r="E6296" s="13" t="s">
        <v>11118</v>
      </c>
      <c r="F6296" s="43">
        <v>80.33</v>
      </c>
    </row>
    <row r="6297" spans="2:6" x14ac:dyDescent="0.25">
      <c r="B6297" s="13" t="s">
        <v>11119</v>
      </c>
      <c r="C6297" s="17" t="s">
        <v>170</v>
      </c>
      <c r="D6297" s="13" t="s">
        <v>118</v>
      </c>
      <c r="E6297" s="13" t="s">
        <v>11120</v>
      </c>
      <c r="F6297" s="43">
        <v>80.33</v>
      </c>
    </row>
    <row r="6298" spans="2:6" x14ac:dyDescent="0.25">
      <c r="B6298" s="13" t="s">
        <v>11121</v>
      </c>
      <c r="C6298" s="17" t="s">
        <v>170</v>
      </c>
      <c r="D6298" s="13" t="s">
        <v>118</v>
      </c>
      <c r="E6298" s="13" t="s">
        <v>11122</v>
      </c>
      <c r="F6298" s="43">
        <v>80.33</v>
      </c>
    </row>
    <row r="6299" spans="2:6" x14ac:dyDescent="0.25">
      <c r="B6299" s="13" t="s">
        <v>11123</v>
      </c>
      <c r="C6299" s="17" t="s">
        <v>170</v>
      </c>
      <c r="D6299" s="13" t="s">
        <v>118</v>
      </c>
      <c r="E6299" s="13" t="s">
        <v>11124</v>
      </c>
      <c r="F6299" s="43">
        <v>80.33</v>
      </c>
    </row>
    <row r="6300" spans="2:6" x14ac:dyDescent="0.25">
      <c r="B6300" s="13" t="s">
        <v>11125</v>
      </c>
      <c r="C6300" s="17" t="s">
        <v>170</v>
      </c>
      <c r="D6300" s="13" t="s">
        <v>118</v>
      </c>
      <c r="E6300" s="13" t="s">
        <v>11126</v>
      </c>
      <c r="F6300" s="43">
        <v>80.33</v>
      </c>
    </row>
    <row r="6301" spans="2:6" x14ac:dyDescent="0.25">
      <c r="B6301" s="13" t="s">
        <v>11127</v>
      </c>
      <c r="C6301" s="17" t="s">
        <v>170</v>
      </c>
      <c r="D6301" s="13" t="s">
        <v>118</v>
      </c>
      <c r="E6301" s="13" t="s">
        <v>11128</v>
      </c>
      <c r="F6301" s="43">
        <v>80.33</v>
      </c>
    </row>
    <row r="6302" spans="2:6" x14ac:dyDescent="0.25">
      <c r="B6302" s="13" t="s">
        <v>11129</v>
      </c>
      <c r="C6302" s="17" t="s">
        <v>170</v>
      </c>
      <c r="D6302" s="13" t="s">
        <v>118</v>
      </c>
      <c r="E6302" s="13" t="s">
        <v>11130</v>
      </c>
      <c r="F6302" s="43">
        <v>80.33</v>
      </c>
    </row>
    <row r="6303" spans="2:6" x14ac:dyDescent="0.25">
      <c r="B6303" s="13" t="s">
        <v>11131</v>
      </c>
      <c r="C6303" s="17" t="s">
        <v>170</v>
      </c>
      <c r="D6303" s="13" t="s">
        <v>118</v>
      </c>
      <c r="E6303" s="13" t="s">
        <v>11132</v>
      </c>
      <c r="F6303" s="43">
        <v>80.33</v>
      </c>
    </row>
    <row r="6304" spans="2:6" x14ac:dyDescent="0.25">
      <c r="B6304" s="13" t="s">
        <v>11133</v>
      </c>
      <c r="C6304" s="17" t="s">
        <v>170</v>
      </c>
      <c r="D6304" s="13" t="s">
        <v>118</v>
      </c>
      <c r="E6304" s="13" t="s">
        <v>11134</v>
      </c>
      <c r="F6304" s="43">
        <v>80.33</v>
      </c>
    </row>
    <row r="6305" spans="2:6" x14ac:dyDescent="0.25">
      <c r="B6305" s="13" t="s">
        <v>11135</v>
      </c>
      <c r="C6305" s="17" t="s">
        <v>170</v>
      </c>
      <c r="D6305" s="13" t="s">
        <v>118</v>
      </c>
      <c r="E6305" s="13" t="s">
        <v>11136</v>
      </c>
      <c r="F6305" s="43">
        <v>80.33</v>
      </c>
    </row>
    <row r="6306" spans="2:6" x14ac:dyDescent="0.25">
      <c r="B6306" s="13" t="s">
        <v>11137</v>
      </c>
      <c r="C6306" s="17" t="s">
        <v>170</v>
      </c>
      <c r="D6306" s="13" t="s">
        <v>118</v>
      </c>
      <c r="E6306" s="13" t="s">
        <v>11138</v>
      </c>
      <c r="F6306" s="43">
        <v>80.33</v>
      </c>
    </row>
    <row r="6307" spans="2:6" x14ac:dyDescent="0.25">
      <c r="B6307" s="13" t="s">
        <v>11139</v>
      </c>
      <c r="C6307" s="17" t="s">
        <v>170</v>
      </c>
      <c r="D6307" s="13" t="s">
        <v>118</v>
      </c>
      <c r="E6307" s="13" t="s">
        <v>11140</v>
      </c>
      <c r="F6307" s="43">
        <v>80.33</v>
      </c>
    </row>
    <row r="6308" spans="2:6" x14ac:dyDescent="0.25">
      <c r="B6308" s="13" t="s">
        <v>11141</v>
      </c>
      <c r="C6308" s="17" t="s">
        <v>170</v>
      </c>
      <c r="D6308" s="13" t="s">
        <v>118</v>
      </c>
      <c r="E6308" s="13" t="s">
        <v>11142</v>
      </c>
      <c r="F6308" s="43">
        <v>80.33</v>
      </c>
    </row>
    <row r="6309" spans="2:6" x14ac:dyDescent="0.25">
      <c r="B6309" s="13" t="s">
        <v>11143</v>
      </c>
      <c r="C6309" s="17" t="s">
        <v>170</v>
      </c>
      <c r="D6309" s="13" t="s">
        <v>118</v>
      </c>
      <c r="E6309" s="13" t="s">
        <v>11144</v>
      </c>
      <c r="F6309" s="43">
        <v>80.33</v>
      </c>
    </row>
    <row r="6310" spans="2:6" x14ac:dyDescent="0.25">
      <c r="B6310" s="13" t="s">
        <v>11145</v>
      </c>
      <c r="C6310" s="17" t="s">
        <v>170</v>
      </c>
      <c r="D6310" s="13" t="s">
        <v>118</v>
      </c>
      <c r="E6310" s="13" t="s">
        <v>11146</v>
      </c>
      <c r="F6310" s="43">
        <v>80.33</v>
      </c>
    </row>
    <row r="6311" spans="2:6" x14ac:dyDescent="0.25">
      <c r="B6311" s="13" t="s">
        <v>11147</v>
      </c>
      <c r="C6311" s="17" t="s">
        <v>170</v>
      </c>
      <c r="D6311" s="13" t="s">
        <v>118</v>
      </c>
      <c r="E6311" s="13" t="s">
        <v>11148</v>
      </c>
      <c r="F6311" s="43">
        <v>80.33</v>
      </c>
    </row>
    <row r="6312" spans="2:6" x14ac:dyDescent="0.25">
      <c r="B6312" s="13" t="s">
        <v>11149</v>
      </c>
      <c r="C6312" s="17" t="s">
        <v>170</v>
      </c>
      <c r="D6312" s="13" t="s">
        <v>118</v>
      </c>
      <c r="E6312" s="13" t="s">
        <v>11150</v>
      </c>
      <c r="F6312" s="43">
        <v>80.33</v>
      </c>
    </row>
    <row r="6313" spans="2:6" x14ac:dyDescent="0.25">
      <c r="B6313" s="13" t="s">
        <v>11151</v>
      </c>
      <c r="C6313" s="17" t="s">
        <v>170</v>
      </c>
      <c r="D6313" s="13" t="s">
        <v>118</v>
      </c>
      <c r="E6313" s="13" t="s">
        <v>11152</v>
      </c>
      <c r="F6313" s="43">
        <v>80.33</v>
      </c>
    </row>
    <row r="6314" spans="2:6" x14ac:dyDescent="0.25">
      <c r="B6314" s="13" t="s">
        <v>11153</v>
      </c>
      <c r="C6314" s="17" t="s">
        <v>170</v>
      </c>
      <c r="D6314" s="13" t="s">
        <v>118</v>
      </c>
      <c r="E6314" s="13" t="s">
        <v>11154</v>
      </c>
      <c r="F6314" s="43">
        <v>80.33</v>
      </c>
    </row>
    <row r="6315" spans="2:6" x14ac:dyDescent="0.25">
      <c r="B6315" s="13" t="s">
        <v>11155</v>
      </c>
      <c r="C6315" s="17" t="s">
        <v>170</v>
      </c>
      <c r="D6315" s="13" t="s">
        <v>118</v>
      </c>
      <c r="E6315" s="13" t="s">
        <v>11156</v>
      </c>
      <c r="F6315" s="43">
        <v>80.33</v>
      </c>
    </row>
    <row r="6316" spans="2:6" x14ac:dyDescent="0.25">
      <c r="B6316" s="13" t="s">
        <v>11157</v>
      </c>
      <c r="C6316" s="17" t="s">
        <v>170</v>
      </c>
      <c r="D6316" s="13" t="s">
        <v>118</v>
      </c>
      <c r="E6316" s="13" t="s">
        <v>11158</v>
      </c>
      <c r="F6316" s="43">
        <v>80.33</v>
      </c>
    </row>
    <row r="6317" spans="2:6" x14ac:dyDescent="0.25">
      <c r="B6317" s="13" t="s">
        <v>11159</v>
      </c>
      <c r="C6317" s="17" t="s">
        <v>170</v>
      </c>
      <c r="D6317" s="13" t="s">
        <v>118</v>
      </c>
      <c r="E6317" s="13" t="s">
        <v>11160</v>
      </c>
      <c r="F6317" s="43">
        <v>80.33</v>
      </c>
    </row>
    <row r="6318" spans="2:6" x14ac:dyDescent="0.25">
      <c r="B6318" s="13" t="s">
        <v>11161</v>
      </c>
      <c r="C6318" s="17" t="s">
        <v>170</v>
      </c>
      <c r="D6318" s="13" t="s">
        <v>118</v>
      </c>
      <c r="E6318" s="13" t="s">
        <v>11162</v>
      </c>
      <c r="F6318" s="43">
        <v>80.33</v>
      </c>
    </row>
    <row r="6319" spans="2:6" x14ac:dyDescent="0.25">
      <c r="B6319" s="13" t="s">
        <v>11163</v>
      </c>
      <c r="C6319" s="17" t="s">
        <v>170</v>
      </c>
      <c r="D6319" s="13" t="s">
        <v>118</v>
      </c>
      <c r="E6319" s="13" t="s">
        <v>11164</v>
      </c>
      <c r="F6319" s="43">
        <v>80.33</v>
      </c>
    </row>
    <row r="6320" spans="2:6" x14ac:dyDescent="0.25">
      <c r="B6320" s="13" t="s">
        <v>11165</v>
      </c>
      <c r="C6320" s="17" t="s">
        <v>170</v>
      </c>
      <c r="D6320" s="13" t="s">
        <v>118</v>
      </c>
      <c r="E6320" s="13" t="s">
        <v>11166</v>
      </c>
      <c r="F6320" s="43">
        <v>80.33</v>
      </c>
    </row>
    <row r="6321" spans="2:6" x14ac:dyDescent="0.25">
      <c r="B6321" s="13" t="s">
        <v>11167</v>
      </c>
      <c r="C6321" s="17" t="s">
        <v>170</v>
      </c>
      <c r="D6321" s="13" t="s">
        <v>118</v>
      </c>
      <c r="E6321" s="13" t="s">
        <v>11168</v>
      </c>
      <c r="F6321" s="43">
        <v>80.33</v>
      </c>
    </row>
    <row r="6322" spans="2:6" x14ac:dyDescent="0.25">
      <c r="B6322" s="13" t="s">
        <v>11169</v>
      </c>
      <c r="C6322" s="17" t="s">
        <v>170</v>
      </c>
      <c r="D6322" s="13" t="s">
        <v>118</v>
      </c>
      <c r="E6322" s="13" t="s">
        <v>11170</v>
      </c>
      <c r="F6322" s="43">
        <v>80.33</v>
      </c>
    </row>
    <row r="6323" spans="2:6" x14ac:dyDescent="0.25">
      <c r="B6323" s="13" t="s">
        <v>11171</v>
      </c>
      <c r="C6323" s="17" t="s">
        <v>170</v>
      </c>
      <c r="D6323" s="13" t="s">
        <v>118</v>
      </c>
      <c r="E6323" s="13" t="s">
        <v>11172</v>
      </c>
      <c r="F6323" s="43">
        <v>80.33</v>
      </c>
    </row>
    <row r="6324" spans="2:6" x14ac:dyDescent="0.25">
      <c r="B6324" s="13" t="s">
        <v>11173</v>
      </c>
      <c r="C6324" s="17" t="s">
        <v>170</v>
      </c>
      <c r="D6324" s="13" t="s">
        <v>118</v>
      </c>
      <c r="E6324" s="13" t="s">
        <v>11174</v>
      </c>
      <c r="F6324" s="43">
        <v>80.33</v>
      </c>
    </row>
    <row r="6325" spans="2:6" x14ac:dyDescent="0.25">
      <c r="B6325" s="13" t="s">
        <v>11175</v>
      </c>
      <c r="C6325" s="17" t="s">
        <v>170</v>
      </c>
      <c r="D6325" s="13" t="s">
        <v>118</v>
      </c>
      <c r="E6325" s="13" t="s">
        <v>11176</v>
      </c>
      <c r="F6325" s="43">
        <v>80.33</v>
      </c>
    </row>
    <row r="6326" spans="2:6" x14ac:dyDescent="0.25">
      <c r="B6326" s="13" t="s">
        <v>11177</v>
      </c>
      <c r="C6326" s="17" t="s">
        <v>170</v>
      </c>
      <c r="D6326" s="13" t="s">
        <v>118</v>
      </c>
      <c r="E6326" s="13" t="s">
        <v>11178</v>
      </c>
      <c r="F6326" s="43">
        <v>80.33</v>
      </c>
    </row>
    <row r="6327" spans="2:6" x14ac:dyDescent="0.25">
      <c r="B6327" s="13" t="s">
        <v>11179</v>
      </c>
      <c r="C6327" s="17" t="s">
        <v>170</v>
      </c>
      <c r="D6327" s="13" t="s">
        <v>118</v>
      </c>
      <c r="E6327" s="13" t="s">
        <v>11180</v>
      </c>
      <c r="F6327" s="43">
        <v>95.94</v>
      </c>
    </row>
    <row r="6328" spans="2:6" x14ac:dyDescent="0.25">
      <c r="B6328" s="13" t="s">
        <v>11181</v>
      </c>
      <c r="C6328" s="17" t="s">
        <v>170</v>
      </c>
      <c r="D6328" s="13" t="s">
        <v>118</v>
      </c>
      <c r="E6328" s="13" t="s">
        <v>11182</v>
      </c>
      <c r="F6328" s="43">
        <v>95.94</v>
      </c>
    </row>
    <row r="6329" spans="2:6" x14ac:dyDescent="0.25">
      <c r="B6329" s="13" t="s">
        <v>11183</v>
      </c>
      <c r="C6329" s="17" t="s">
        <v>170</v>
      </c>
      <c r="D6329" s="13" t="s">
        <v>118</v>
      </c>
      <c r="E6329" s="13" t="s">
        <v>11184</v>
      </c>
      <c r="F6329" s="43">
        <v>80.33</v>
      </c>
    </row>
    <row r="6330" spans="2:6" x14ac:dyDescent="0.25">
      <c r="B6330" s="13" t="s">
        <v>11185</v>
      </c>
      <c r="C6330" s="17" t="s">
        <v>170</v>
      </c>
      <c r="D6330" s="13" t="s">
        <v>118</v>
      </c>
      <c r="E6330" s="13" t="s">
        <v>11186</v>
      </c>
      <c r="F6330" s="43">
        <v>80.33</v>
      </c>
    </row>
    <row r="6331" spans="2:6" x14ac:dyDescent="0.25">
      <c r="B6331" s="13" t="s">
        <v>11187</v>
      </c>
      <c r="C6331" s="17" t="s">
        <v>170</v>
      </c>
      <c r="D6331" s="13" t="s">
        <v>118</v>
      </c>
      <c r="E6331" s="13" t="s">
        <v>11188</v>
      </c>
      <c r="F6331" s="43">
        <v>80.33</v>
      </c>
    </row>
    <row r="6332" spans="2:6" x14ac:dyDescent="0.25">
      <c r="B6332" s="13" t="s">
        <v>11189</v>
      </c>
      <c r="C6332" s="17" t="s">
        <v>170</v>
      </c>
      <c r="D6332" s="13" t="s">
        <v>118</v>
      </c>
      <c r="E6332" s="13" t="s">
        <v>11190</v>
      </c>
      <c r="F6332" s="43">
        <v>80.33</v>
      </c>
    </row>
    <row r="6333" spans="2:6" x14ac:dyDescent="0.25">
      <c r="B6333" s="13" t="s">
        <v>11191</v>
      </c>
      <c r="C6333" s="17" t="s">
        <v>170</v>
      </c>
      <c r="D6333" s="13" t="s">
        <v>118</v>
      </c>
      <c r="E6333" s="13" t="s">
        <v>11192</v>
      </c>
      <c r="F6333" s="43">
        <v>80.33</v>
      </c>
    </row>
    <row r="6334" spans="2:6" x14ac:dyDescent="0.25">
      <c r="B6334" s="13" t="s">
        <v>11193</v>
      </c>
      <c r="C6334" s="17" t="s">
        <v>170</v>
      </c>
      <c r="D6334" s="13" t="s">
        <v>118</v>
      </c>
      <c r="E6334" s="13" t="s">
        <v>11194</v>
      </c>
      <c r="F6334" s="43">
        <v>80.33</v>
      </c>
    </row>
    <row r="6335" spans="2:6" x14ac:dyDescent="0.25">
      <c r="B6335" s="13" t="s">
        <v>11195</v>
      </c>
      <c r="C6335" s="17" t="s">
        <v>170</v>
      </c>
      <c r="D6335" s="13" t="s">
        <v>118</v>
      </c>
      <c r="E6335" s="13" t="s">
        <v>11196</v>
      </c>
      <c r="F6335" s="43">
        <v>80.33</v>
      </c>
    </row>
    <row r="6336" spans="2:6" x14ac:dyDescent="0.25">
      <c r="B6336" s="13" t="s">
        <v>11197</v>
      </c>
      <c r="C6336" s="17" t="s">
        <v>170</v>
      </c>
      <c r="D6336" s="13" t="s">
        <v>118</v>
      </c>
      <c r="E6336" s="13" t="s">
        <v>11198</v>
      </c>
      <c r="F6336" s="43">
        <v>80.33</v>
      </c>
    </row>
    <row r="6337" spans="2:6" x14ac:dyDescent="0.25">
      <c r="B6337" s="13" t="s">
        <v>11199</v>
      </c>
      <c r="C6337" s="17" t="s">
        <v>170</v>
      </c>
      <c r="D6337" s="13" t="s">
        <v>118</v>
      </c>
      <c r="E6337" s="13" t="s">
        <v>11200</v>
      </c>
      <c r="F6337" s="43">
        <v>80.33</v>
      </c>
    </row>
    <row r="6338" spans="2:6" x14ac:dyDescent="0.25">
      <c r="B6338" s="13" t="s">
        <v>11201</v>
      </c>
      <c r="C6338" s="17" t="s">
        <v>170</v>
      </c>
      <c r="D6338" s="13" t="s">
        <v>118</v>
      </c>
      <c r="E6338" s="13" t="s">
        <v>11202</v>
      </c>
      <c r="F6338" s="43">
        <v>80.33</v>
      </c>
    </row>
    <row r="6339" spans="2:6" x14ac:dyDescent="0.25">
      <c r="B6339" s="13" t="s">
        <v>11203</v>
      </c>
      <c r="C6339" s="17" t="s">
        <v>170</v>
      </c>
      <c r="D6339" s="13" t="s">
        <v>118</v>
      </c>
      <c r="E6339" s="13" t="s">
        <v>11204</v>
      </c>
      <c r="F6339" s="43">
        <v>80.33</v>
      </c>
    </row>
    <row r="6340" spans="2:6" x14ac:dyDescent="0.25">
      <c r="B6340" s="13" t="s">
        <v>11205</v>
      </c>
      <c r="C6340" s="17" t="s">
        <v>170</v>
      </c>
      <c r="D6340" s="13" t="s">
        <v>118</v>
      </c>
      <c r="E6340" s="13" t="s">
        <v>11206</v>
      </c>
      <c r="F6340" s="43">
        <v>80.33</v>
      </c>
    </row>
    <row r="6341" spans="2:6" x14ac:dyDescent="0.25">
      <c r="B6341" s="13" t="s">
        <v>11207</v>
      </c>
      <c r="C6341" s="17" t="s">
        <v>170</v>
      </c>
      <c r="D6341" s="13" t="s">
        <v>118</v>
      </c>
      <c r="E6341" s="13" t="s">
        <v>11208</v>
      </c>
      <c r="F6341" s="43">
        <v>80.33</v>
      </c>
    </row>
    <row r="6342" spans="2:6" x14ac:dyDescent="0.25">
      <c r="B6342" s="13" t="s">
        <v>11209</v>
      </c>
      <c r="C6342" s="17" t="s">
        <v>170</v>
      </c>
      <c r="D6342" s="13" t="s">
        <v>118</v>
      </c>
      <c r="E6342" s="13" t="s">
        <v>11210</v>
      </c>
      <c r="F6342" s="43">
        <v>80.33</v>
      </c>
    </row>
    <row r="6343" spans="2:6" x14ac:dyDescent="0.25">
      <c r="B6343" s="13" t="s">
        <v>11211</v>
      </c>
      <c r="C6343" s="17" t="s">
        <v>170</v>
      </c>
      <c r="D6343" s="13" t="s">
        <v>118</v>
      </c>
      <c r="E6343" s="13" t="s">
        <v>11212</v>
      </c>
      <c r="F6343" s="43">
        <v>80.33</v>
      </c>
    </row>
    <row r="6344" spans="2:6" x14ac:dyDescent="0.25">
      <c r="B6344" s="13" t="s">
        <v>11213</v>
      </c>
      <c r="C6344" s="17" t="s">
        <v>170</v>
      </c>
      <c r="D6344" s="13" t="s">
        <v>118</v>
      </c>
      <c r="E6344" s="13" t="s">
        <v>11214</v>
      </c>
      <c r="F6344" s="43">
        <v>80.33</v>
      </c>
    </row>
    <row r="6345" spans="2:6" x14ac:dyDescent="0.25">
      <c r="B6345" s="13" t="s">
        <v>11215</v>
      </c>
      <c r="C6345" s="17" t="s">
        <v>170</v>
      </c>
      <c r="D6345" s="13" t="s">
        <v>118</v>
      </c>
      <c r="E6345" s="13" t="s">
        <v>11216</v>
      </c>
      <c r="F6345" s="43">
        <v>80.33</v>
      </c>
    </row>
    <row r="6346" spans="2:6" x14ac:dyDescent="0.25">
      <c r="B6346" s="13" t="s">
        <v>11217</v>
      </c>
      <c r="C6346" s="17" t="s">
        <v>170</v>
      </c>
      <c r="D6346" s="13" t="s">
        <v>118</v>
      </c>
      <c r="E6346" s="13" t="s">
        <v>11218</v>
      </c>
      <c r="F6346" s="43">
        <v>80.33</v>
      </c>
    </row>
    <row r="6347" spans="2:6" x14ac:dyDescent="0.25">
      <c r="B6347" s="13" t="s">
        <v>11219</v>
      </c>
      <c r="C6347" s="17" t="s">
        <v>170</v>
      </c>
      <c r="D6347" s="13" t="s">
        <v>118</v>
      </c>
      <c r="E6347" s="13" t="s">
        <v>11220</v>
      </c>
      <c r="F6347" s="43">
        <v>80.33</v>
      </c>
    </row>
    <row r="6348" spans="2:6" x14ac:dyDescent="0.25">
      <c r="B6348" s="13" t="s">
        <v>11221</v>
      </c>
      <c r="C6348" s="17" t="s">
        <v>170</v>
      </c>
      <c r="D6348" s="13" t="s">
        <v>118</v>
      </c>
      <c r="E6348" s="13" t="s">
        <v>11222</v>
      </c>
      <c r="F6348" s="43">
        <v>80.33</v>
      </c>
    </row>
    <row r="6349" spans="2:6" x14ac:dyDescent="0.25">
      <c r="B6349" s="13" t="s">
        <v>11223</v>
      </c>
      <c r="C6349" s="17" t="s">
        <v>170</v>
      </c>
      <c r="D6349" s="13" t="s">
        <v>118</v>
      </c>
      <c r="E6349" s="13" t="s">
        <v>11224</v>
      </c>
      <c r="F6349" s="43">
        <v>80.33</v>
      </c>
    </row>
    <row r="6350" spans="2:6" x14ac:dyDescent="0.25">
      <c r="B6350" s="13" t="s">
        <v>11225</v>
      </c>
      <c r="C6350" s="17" t="s">
        <v>170</v>
      </c>
      <c r="D6350" s="13" t="s">
        <v>118</v>
      </c>
      <c r="E6350" s="13" t="s">
        <v>11226</v>
      </c>
      <c r="F6350" s="43">
        <v>80.33</v>
      </c>
    </row>
    <row r="6351" spans="2:6" x14ac:dyDescent="0.25">
      <c r="B6351" s="13" t="s">
        <v>11227</v>
      </c>
      <c r="C6351" s="17" t="s">
        <v>170</v>
      </c>
      <c r="D6351" s="13" t="s">
        <v>118</v>
      </c>
      <c r="E6351" s="13" t="s">
        <v>11228</v>
      </c>
      <c r="F6351" s="43">
        <v>80.33</v>
      </c>
    </row>
    <row r="6352" spans="2:6" x14ac:dyDescent="0.25">
      <c r="B6352" s="13" t="s">
        <v>11229</v>
      </c>
      <c r="C6352" s="17" t="s">
        <v>170</v>
      </c>
      <c r="D6352" s="13" t="s">
        <v>118</v>
      </c>
      <c r="E6352" s="13" t="s">
        <v>11230</v>
      </c>
      <c r="F6352" s="43">
        <v>80.33</v>
      </c>
    </row>
    <row r="6353" spans="2:6" x14ac:dyDescent="0.25">
      <c r="B6353" s="13" t="s">
        <v>11231</v>
      </c>
      <c r="C6353" s="17" t="s">
        <v>170</v>
      </c>
      <c r="D6353" s="13" t="s">
        <v>118</v>
      </c>
      <c r="E6353" s="13" t="s">
        <v>11232</v>
      </c>
      <c r="F6353" s="43">
        <v>80.33</v>
      </c>
    </row>
    <row r="6354" spans="2:6" x14ac:dyDescent="0.25">
      <c r="B6354" s="13" t="s">
        <v>11233</v>
      </c>
      <c r="C6354" s="17" t="s">
        <v>170</v>
      </c>
      <c r="D6354" s="13" t="s">
        <v>118</v>
      </c>
      <c r="E6354" s="13" t="s">
        <v>11234</v>
      </c>
      <c r="F6354" s="43">
        <v>80.33</v>
      </c>
    </row>
    <row r="6355" spans="2:6" x14ac:dyDescent="0.25">
      <c r="B6355" s="13" t="s">
        <v>11235</v>
      </c>
      <c r="C6355" s="17" t="s">
        <v>170</v>
      </c>
      <c r="D6355" s="13" t="s">
        <v>118</v>
      </c>
      <c r="E6355" s="13" t="s">
        <v>11236</v>
      </c>
      <c r="F6355" s="43">
        <v>80.33</v>
      </c>
    </row>
    <row r="6356" spans="2:6" x14ac:dyDescent="0.25">
      <c r="B6356" s="13" t="s">
        <v>11237</v>
      </c>
      <c r="C6356" s="17" t="s">
        <v>170</v>
      </c>
      <c r="D6356" s="13" t="s">
        <v>118</v>
      </c>
      <c r="E6356" s="13" t="s">
        <v>11238</v>
      </c>
      <c r="F6356" s="43">
        <v>80.33</v>
      </c>
    </row>
    <row r="6357" spans="2:6" x14ac:dyDescent="0.25">
      <c r="B6357" s="13" t="s">
        <v>11239</v>
      </c>
      <c r="C6357" s="17" t="s">
        <v>170</v>
      </c>
      <c r="D6357" s="13" t="s">
        <v>118</v>
      </c>
      <c r="E6357" s="13" t="s">
        <v>11240</v>
      </c>
      <c r="F6357" s="43">
        <v>80.33</v>
      </c>
    </row>
    <row r="6358" spans="2:6" x14ac:dyDescent="0.25">
      <c r="B6358" s="13" t="s">
        <v>11241</v>
      </c>
      <c r="C6358" s="17" t="s">
        <v>170</v>
      </c>
      <c r="D6358" s="13" t="s">
        <v>118</v>
      </c>
      <c r="E6358" s="13" t="s">
        <v>11242</v>
      </c>
      <c r="F6358" s="43">
        <v>80.33</v>
      </c>
    </row>
    <row r="6359" spans="2:6" x14ac:dyDescent="0.25">
      <c r="B6359" s="13" t="s">
        <v>11243</v>
      </c>
      <c r="C6359" s="17" t="s">
        <v>170</v>
      </c>
      <c r="D6359" s="13" t="s">
        <v>118</v>
      </c>
      <c r="E6359" s="13" t="s">
        <v>11244</v>
      </c>
      <c r="F6359" s="43">
        <v>80.33</v>
      </c>
    </row>
    <row r="6360" spans="2:6" x14ac:dyDescent="0.25">
      <c r="B6360" s="13" t="s">
        <v>11245</v>
      </c>
      <c r="C6360" s="17" t="s">
        <v>170</v>
      </c>
      <c r="D6360" s="13" t="s">
        <v>118</v>
      </c>
      <c r="E6360" s="13" t="s">
        <v>11246</v>
      </c>
      <c r="F6360" s="43">
        <v>80.33</v>
      </c>
    </row>
    <row r="6361" spans="2:6" x14ac:dyDescent="0.25">
      <c r="B6361" s="13" t="s">
        <v>11247</v>
      </c>
      <c r="C6361" s="17" t="s">
        <v>170</v>
      </c>
      <c r="D6361" s="13" t="s">
        <v>118</v>
      </c>
      <c r="E6361" s="13" t="s">
        <v>11248</v>
      </c>
      <c r="F6361" s="43">
        <v>80.33</v>
      </c>
    </row>
    <row r="6362" spans="2:6" x14ac:dyDescent="0.25">
      <c r="B6362" s="13" t="s">
        <v>11249</v>
      </c>
      <c r="C6362" s="17" t="s">
        <v>170</v>
      </c>
      <c r="D6362" s="13" t="s">
        <v>118</v>
      </c>
      <c r="E6362" s="13" t="s">
        <v>11250</v>
      </c>
      <c r="F6362" s="43">
        <v>80.33</v>
      </c>
    </row>
    <row r="6363" spans="2:6" x14ac:dyDescent="0.25">
      <c r="B6363" s="13" t="s">
        <v>11251</v>
      </c>
      <c r="C6363" s="17" t="s">
        <v>170</v>
      </c>
      <c r="D6363" s="13" t="s">
        <v>118</v>
      </c>
      <c r="E6363" s="13" t="s">
        <v>11252</v>
      </c>
      <c r="F6363" s="43">
        <v>80.33</v>
      </c>
    </row>
    <row r="6364" spans="2:6" x14ac:dyDescent="0.25">
      <c r="B6364" s="13" t="s">
        <v>11253</v>
      </c>
      <c r="C6364" s="17" t="s">
        <v>170</v>
      </c>
      <c r="D6364" s="13" t="s">
        <v>118</v>
      </c>
      <c r="E6364" s="13" t="s">
        <v>11254</v>
      </c>
      <c r="F6364" s="43">
        <v>80.33</v>
      </c>
    </row>
    <row r="6365" spans="2:6" x14ac:dyDescent="0.25">
      <c r="B6365" s="13" t="s">
        <v>11255</v>
      </c>
      <c r="C6365" s="17" t="s">
        <v>170</v>
      </c>
      <c r="D6365" s="13" t="s">
        <v>118</v>
      </c>
      <c r="E6365" s="13" t="s">
        <v>11256</v>
      </c>
      <c r="F6365" s="43">
        <v>80.33</v>
      </c>
    </row>
    <row r="6366" spans="2:6" x14ac:dyDescent="0.25">
      <c r="B6366" s="13" t="s">
        <v>11257</v>
      </c>
      <c r="C6366" s="17" t="s">
        <v>170</v>
      </c>
      <c r="D6366" s="13" t="s">
        <v>118</v>
      </c>
      <c r="E6366" s="13" t="s">
        <v>11258</v>
      </c>
      <c r="F6366" s="43">
        <v>80.33</v>
      </c>
    </row>
    <row r="6367" spans="2:6" x14ac:dyDescent="0.25">
      <c r="B6367" s="13" t="s">
        <v>11259</v>
      </c>
      <c r="C6367" s="17" t="s">
        <v>170</v>
      </c>
      <c r="D6367" s="13" t="s">
        <v>118</v>
      </c>
      <c r="E6367" s="13" t="s">
        <v>11260</v>
      </c>
      <c r="F6367" s="43">
        <v>95.94</v>
      </c>
    </row>
    <row r="6368" spans="2:6" x14ac:dyDescent="0.25">
      <c r="B6368" s="13" t="s">
        <v>11261</v>
      </c>
      <c r="C6368" s="17" t="s">
        <v>170</v>
      </c>
      <c r="D6368" s="13" t="s">
        <v>118</v>
      </c>
      <c r="E6368" s="13" t="s">
        <v>11262</v>
      </c>
      <c r="F6368" s="43">
        <v>95.94</v>
      </c>
    </row>
    <row r="6369" spans="2:6" x14ac:dyDescent="0.25">
      <c r="B6369" s="13" t="s">
        <v>11263</v>
      </c>
      <c r="C6369" s="17" t="s">
        <v>170</v>
      </c>
      <c r="D6369" s="13" t="s">
        <v>118</v>
      </c>
      <c r="E6369" s="13" t="s">
        <v>11264</v>
      </c>
      <c r="F6369" s="43">
        <v>102.02</v>
      </c>
    </row>
    <row r="6370" spans="2:6" x14ac:dyDescent="0.25">
      <c r="B6370" s="13" t="s">
        <v>11265</v>
      </c>
      <c r="C6370" s="17" t="s">
        <v>170</v>
      </c>
      <c r="D6370" s="13" t="s">
        <v>118</v>
      </c>
      <c r="E6370" s="13" t="s">
        <v>11266</v>
      </c>
      <c r="F6370" s="43">
        <v>102.02</v>
      </c>
    </row>
    <row r="6371" spans="2:6" x14ac:dyDescent="0.25">
      <c r="B6371" s="13" t="s">
        <v>11267</v>
      </c>
      <c r="C6371" s="17" t="s">
        <v>170</v>
      </c>
      <c r="D6371" s="13" t="s">
        <v>118</v>
      </c>
      <c r="E6371" s="13" t="s">
        <v>11268</v>
      </c>
      <c r="F6371" s="43">
        <v>102.02</v>
      </c>
    </row>
    <row r="6372" spans="2:6" x14ac:dyDescent="0.25">
      <c r="B6372" s="13" t="s">
        <v>11269</v>
      </c>
      <c r="C6372" s="17" t="s">
        <v>170</v>
      </c>
      <c r="D6372" s="13" t="s">
        <v>118</v>
      </c>
      <c r="E6372" s="13" t="s">
        <v>11270</v>
      </c>
      <c r="F6372" s="43">
        <v>102.02</v>
      </c>
    </row>
    <row r="6373" spans="2:6" x14ac:dyDescent="0.25">
      <c r="B6373" s="13" t="s">
        <v>11271</v>
      </c>
      <c r="C6373" s="17" t="s">
        <v>170</v>
      </c>
      <c r="D6373" s="13" t="s">
        <v>118</v>
      </c>
      <c r="E6373" s="13" t="s">
        <v>11272</v>
      </c>
      <c r="F6373" s="43">
        <v>102.02</v>
      </c>
    </row>
    <row r="6374" spans="2:6" x14ac:dyDescent="0.25">
      <c r="B6374" s="13" t="s">
        <v>11273</v>
      </c>
      <c r="C6374" s="17" t="s">
        <v>170</v>
      </c>
      <c r="D6374" s="13" t="s">
        <v>118</v>
      </c>
      <c r="E6374" s="13" t="s">
        <v>11274</v>
      </c>
      <c r="F6374" s="43">
        <v>102.02</v>
      </c>
    </row>
    <row r="6375" spans="2:6" x14ac:dyDescent="0.25">
      <c r="B6375" s="13" t="s">
        <v>11275</v>
      </c>
      <c r="C6375" s="17" t="s">
        <v>170</v>
      </c>
      <c r="D6375" s="13" t="s">
        <v>118</v>
      </c>
      <c r="E6375" s="13" t="s">
        <v>11276</v>
      </c>
      <c r="F6375" s="43">
        <v>102.02</v>
      </c>
    </row>
    <row r="6376" spans="2:6" x14ac:dyDescent="0.25">
      <c r="B6376" s="13" t="s">
        <v>11277</v>
      </c>
      <c r="C6376" s="17" t="s">
        <v>170</v>
      </c>
      <c r="D6376" s="13" t="s">
        <v>118</v>
      </c>
      <c r="E6376" s="13" t="s">
        <v>11278</v>
      </c>
      <c r="F6376" s="43">
        <v>102.02</v>
      </c>
    </row>
    <row r="6377" spans="2:6" x14ac:dyDescent="0.25">
      <c r="B6377" s="13" t="s">
        <v>11279</v>
      </c>
      <c r="C6377" s="17" t="s">
        <v>170</v>
      </c>
      <c r="D6377" s="13" t="s">
        <v>118</v>
      </c>
      <c r="E6377" s="13" t="s">
        <v>11280</v>
      </c>
      <c r="F6377" s="43">
        <v>102.02</v>
      </c>
    </row>
    <row r="6378" spans="2:6" x14ac:dyDescent="0.25">
      <c r="B6378" s="13" t="s">
        <v>11281</v>
      </c>
      <c r="C6378" s="17" t="s">
        <v>170</v>
      </c>
      <c r="D6378" s="13" t="s">
        <v>118</v>
      </c>
      <c r="E6378" s="13" t="s">
        <v>11282</v>
      </c>
      <c r="F6378" s="43">
        <v>102.02</v>
      </c>
    </row>
    <row r="6379" spans="2:6" x14ac:dyDescent="0.25">
      <c r="B6379" s="13" t="s">
        <v>11283</v>
      </c>
      <c r="C6379" s="17" t="s">
        <v>170</v>
      </c>
      <c r="D6379" s="13" t="s">
        <v>118</v>
      </c>
      <c r="E6379" s="13" t="s">
        <v>11284</v>
      </c>
      <c r="F6379" s="43">
        <v>102.02</v>
      </c>
    </row>
    <row r="6380" spans="2:6" x14ac:dyDescent="0.25">
      <c r="B6380" s="13" t="s">
        <v>11285</v>
      </c>
      <c r="C6380" s="17" t="s">
        <v>170</v>
      </c>
      <c r="D6380" s="13" t="s">
        <v>118</v>
      </c>
      <c r="E6380" s="13" t="s">
        <v>11286</v>
      </c>
      <c r="F6380" s="43">
        <v>102.02</v>
      </c>
    </row>
    <row r="6381" spans="2:6" x14ac:dyDescent="0.25">
      <c r="B6381" s="13" t="s">
        <v>11287</v>
      </c>
      <c r="C6381" s="17" t="s">
        <v>170</v>
      </c>
      <c r="D6381" s="13" t="s">
        <v>118</v>
      </c>
      <c r="E6381" s="13" t="s">
        <v>11288</v>
      </c>
      <c r="F6381" s="43">
        <v>102.02</v>
      </c>
    </row>
    <row r="6382" spans="2:6" x14ac:dyDescent="0.25">
      <c r="B6382" s="13" t="s">
        <v>11289</v>
      </c>
      <c r="C6382" s="17" t="s">
        <v>170</v>
      </c>
      <c r="D6382" s="13" t="s">
        <v>118</v>
      </c>
      <c r="E6382" s="13" t="s">
        <v>11290</v>
      </c>
      <c r="F6382" s="43">
        <v>102.02</v>
      </c>
    </row>
    <row r="6383" spans="2:6" x14ac:dyDescent="0.25">
      <c r="B6383" s="13" t="s">
        <v>11291</v>
      </c>
      <c r="C6383" s="17" t="s">
        <v>170</v>
      </c>
      <c r="D6383" s="13" t="s">
        <v>118</v>
      </c>
      <c r="E6383" s="13" t="s">
        <v>11292</v>
      </c>
      <c r="F6383" s="43">
        <v>102.02</v>
      </c>
    </row>
    <row r="6384" spans="2:6" x14ac:dyDescent="0.25">
      <c r="B6384" s="13" t="s">
        <v>11293</v>
      </c>
      <c r="C6384" s="17" t="s">
        <v>170</v>
      </c>
      <c r="D6384" s="13" t="s">
        <v>118</v>
      </c>
      <c r="E6384" s="13" t="s">
        <v>11294</v>
      </c>
      <c r="F6384" s="43">
        <v>102.02</v>
      </c>
    </row>
    <row r="6385" spans="2:6" x14ac:dyDescent="0.25">
      <c r="B6385" s="13" t="s">
        <v>11295</v>
      </c>
      <c r="C6385" s="17" t="s">
        <v>170</v>
      </c>
      <c r="D6385" s="13" t="s">
        <v>118</v>
      </c>
      <c r="E6385" s="13" t="s">
        <v>11296</v>
      </c>
      <c r="F6385" s="43">
        <v>102.02</v>
      </c>
    </row>
    <row r="6386" spans="2:6" x14ac:dyDescent="0.25">
      <c r="B6386" s="13" t="s">
        <v>11297</v>
      </c>
      <c r="C6386" s="17" t="s">
        <v>170</v>
      </c>
      <c r="D6386" s="13" t="s">
        <v>118</v>
      </c>
      <c r="E6386" s="13" t="s">
        <v>11298</v>
      </c>
      <c r="F6386" s="43">
        <v>102.02</v>
      </c>
    </row>
    <row r="6387" spans="2:6" x14ac:dyDescent="0.25">
      <c r="B6387" s="13" t="s">
        <v>11299</v>
      </c>
      <c r="C6387" s="17" t="s">
        <v>170</v>
      </c>
      <c r="D6387" s="13" t="s">
        <v>118</v>
      </c>
      <c r="E6387" s="13" t="s">
        <v>11300</v>
      </c>
      <c r="F6387" s="43">
        <v>102.02</v>
      </c>
    </row>
    <row r="6388" spans="2:6" x14ac:dyDescent="0.25">
      <c r="B6388" s="13" t="s">
        <v>11301</v>
      </c>
      <c r="C6388" s="17" t="s">
        <v>170</v>
      </c>
      <c r="D6388" s="13" t="s">
        <v>118</v>
      </c>
      <c r="E6388" s="13" t="s">
        <v>11302</v>
      </c>
      <c r="F6388" s="43">
        <v>102.02</v>
      </c>
    </row>
    <row r="6389" spans="2:6" x14ac:dyDescent="0.25">
      <c r="B6389" s="13" t="s">
        <v>11303</v>
      </c>
      <c r="C6389" s="17" t="s">
        <v>170</v>
      </c>
      <c r="D6389" s="13" t="s">
        <v>118</v>
      </c>
      <c r="E6389" s="13" t="s">
        <v>11304</v>
      </c>
      <c r="F6389" s="43">
        <v>102.02</v>
      </c>
    </row>
    <row r="6390" spans="2:6" x14ac:dyDescent="0.25">
      <c r="B6390" s="13" t="s">
        <v>11305</v>
      </c>
      <c r="C6390" s="17" t="s">
        <v>170</v>
      </c>
      <c r="D6390" s="13" t="s">
        <v>118</v>
      </c>
      <c r="E6390" s="13" t="s">
        <v>11306</v>
      </c>
      <c r="F6390" s="43">
        <v>102.02</v>
      </c>
    </row>
    <row r="6391" spans="2:6" x14ac:dyDescent="0.25">
      <c r="B6391" s="13" t="s">
        <v>11307</v>
      </c>
      <c r="C6391" s="17" t="s">
        <v>170</v>
      </c>
      <c r="D6391" s="13" t="s">
        <v>118</v>
      </c>
      <c r="E6391" s="13" t="s">
        <v>11308</v>
      </c>
      <c r="F6391" s="43">
        <v>102.02</v>
      </c>
    </row>
    <row r="6392" spans="2:6" x14ac:dyDescent="0.25">
      <c r="B6392" s="13" t="s">
        <v>11309</v>
      </c>
      <c r="C6392" s="17" t="s">
        <v>170</v>
      </c>
      <c r="D6392" s="13" t="s">
        <v>118</v>
      </c>
      <c r="E6392" s="13" t="s">
        <v>11310</v>
      </c>
      <c r="F6392" s="43">
        <v>102.02</v>
      </c>
    </row>
    <row r="6393" spans="2:6" x14ac:dyDescent="0.25">
      <c r="B6393" s="13" t="s">
        <v>11311</v>
      </c>
      <c r="C6393" s="17" t="s">
        <v>170</v>
      </c>
      <c r="D6393" s="13" t="s">
        <v>118</v>
      </c>
      <c r="E6393" s="13" t="s">
        <v>11312</v>
      </c>
      <c r="F6393" s="43">
        <v>102.02</v>
      </c>
    </row>
    <row r="6394" spans="2:6" x14ac:dyDescent="0.25">
      <c r="B6394" s="13" t="s">
        <v>11313</v>
      </c>
      <c r="C6394" s="17" t="s">
        <v>170</v>
      </c>
      <c r="D6394" s="13" t="s">
        <v>118</v>
      </c>
      <c r="E6394" s="13" t="s">
        <v>11314</v>
      </c>
      <c r="F6394" s="43">
        <v>102.02</v>
      </c>
    </row>
    <row r="6395" spans="2:6" x14ac:dyDescent="0.25">
      <c r="B6395" s="13" t="s">
        <v>11315</v>
      </c>
      <c r="C6395" s="17" t="s">
        <v>170</v>
      </c>
      <c r="D6395" s="13" t="s">
        <v>118</v>
      </c>
      <c r="E6395" s="13" t="s">
        <v>11316</v>
      </c>
      <c r="F6395" s="43">
        <v>102.02</v>
      </c>
    </row>
    <row r="6396" spans="2:6" x14ac:dyDescent="0.25">
      <c r="B6396" s="13" t="s">
        <v>11317</v>
      </c>
      <c r="C6396" s="17" t="s">
        <v>170</v>
      </c>
      <c r="D6396" s="13" t="s">
        <v>118</v>
      </c>
      <c r="E6396" s="13" t="s">
        <v>11318</v>
      </c>
      <c r="F6396" s="43">
        <v>102.02</v>
      </c>
    </row>
    <row r="6397" spans="2:6" x14ac:dyDescent="0.25">
      <c r="B6397" s="13" t="s">
        <v>11319</v>
      </c>
      <c r="C6397" s="17" t="s">
        <v>170</v>
      </c>
      <c r="D6397" s="13" t="s">
        <v>118</v>
      </c>
      <c r="E6397" s="13" t="s">
        <v>11320</v>
      </c>
      <c r="F6397" s="43">
        <v>102.02</v>
      </c>
    </row>
    <row r="6398" spans="2:6" x14ac:dyDescent="0.25">
      <c r="B6398" s="13" t="s">
        <v>11321</v>
      </c>
      <c r="C6398" s="17" t="s">
        <v>170</v>
      </c>
      <c r="D6398" s="13" t="s">
        <v>118</v>
      </c>
      <c r="E6398" s="13" t="s">
        <v>11322</v>
      </c>
      <c r="F6398" s="43">
        <v>102.02</v>
      </c>
    </row>
    <row r="6399" spans="2:6" x14ac:dyDescent="0.25">
      <c r="B6399" s="13" t="s">
        <v>11323</v>
      </c>
      <c r="C6399" s="17" t="s">
        <v>170</v>
      </c>
      <c r="D6399" s="13" t="s">
        <v>118</v>
      </c>
      <c r="E6399" s="13" t="s">
        <v>11324</v>
      </c>
      <c r="F6399" s="43">
        <v>102.02</v>
      </c>
    </row>
    <row r="6400" spans="2:6" x14ac:dyDescent="0.25">
      <c r="B6400" s="13" t="s">
        <v>11325</v>
      </c>
      <c r="C6400" s="17" t="s">
        <v>170</v>
      </c>
      <c r="D6400" s="13" t="s">
        <v>118</v>
      </c>
      <c r="E6400" s="13" t="s">
        <v>11326</v>
      </c>
      <c r="F6400" s="43">
        <v>102.02</v>
      </c>
    </row>
    <row r="6401" spans="2:6" x14ac:dyDescent="0.25">
      <c r="B6401" s="13" t="s">
        <v>11327</v>
      </c>
      <c r="C6401" s="17" t="s">
        <v>170</v>
      </c>
      <c r="D6401" s="13" t="s">
        <v>118</v>
      </c>
      <c r="E6401" s="13" t="s">
        <v>11328</v>
      </c>
      <c r="F6401" s="43">
        <v>102.02</v>
      </c>
    </row>
    <row r="6402" spans="2:6" x14ac:dyDescent="0.25">
      <c r="B6402" s="13" t="s">
        <v>11329</v>
      </c>
      <c r="C6402" s="17" t="s">
        <v>170</v>
      </c>
      <c r="D6402" s="13" t="s">
        <v>118</v>
      </c>
      <c r="E6402" s="13" t="s">
        <v>11330</v>
      </c>
      <c r="F6402" s="43">
        <v>102.02</v>
      </c>
    </row>
    <row r="6403" spans="2:6" x14ac:dyDescent="0.25">
      <c r="B6403" s="13" t="s">
        <v>11331</v>
      </c>
      <c r="C6403" s="17" t="s">
        <v>170</v>
      </c>
      <c r="D6403" s="13" t="s">
        <v>118</v>
      </c>
      <c r="E6403" s="13" t="s">
        <v>11332</v>
      </c>
      <c r="F6403" s="43">
        <v>102.02</v>
      </c>
    </row>
    <row r="6404" spans="2:6" x14ac:dyDescent="0.25">
      <c r="B6404" s="13" t="s">
        <v>11333</v>
      </c>
      <c r="C6404" s="17" t="s">
        <v>170</v>
      </c>
      <c r="D6404" s="13" t="s">
        <v>118</v>
      </c>
      <c r="E6404" s="13" t="s">
        <v>11334</v>
      </c>
      <c r="F6404" s="43">
        <v>102.02</v>
      </c>
    </row>
    <row r="6405" spans="2:6" x14ac:dyDescent="0.25">
      <c r="B6405" s="13" t="s">
        <v>11335</v>
      </c>
      <c r="C6405" s="17" t="s">
        <v>170</v>
      </c>
      <c r="D6405" s="13" t="s">
        <v>118</v>
      </c>
      <c r="E6405" s="13" t="s">
        <v>11336</v>
      </c>
      <c r="F6405" s="43">
        <v>102.02</v>
      </c>
    </row>
    <row r="6406" spans="2:6" x14ac:dyDescent="0.25">
      <c r="B6406" s="13" t="s">
        <v>11337</v>
      </c>
      <c r="C6406" s="17" t="s">
        <v>170</v>
      </c>
      <c r="D6406" s="13" t="s">
        <v>118</v>
      </c>
      <c r="E6406" s="13" t="s">
        <v>11338</v>
      </c>
      <c r="F6406" s="43">
        <v>102.02</v>
      </c>
    </row>
    <row r="6407" spans="2:6" x14ac:dyDescent="0.25">
      <c r="B6407" s="13" t="s">
        <v>11339</v>
      </c>
      <c r="C6407" s="17" t="s">
        <v>170</v>
      </c>
      <c r="D6407" s="13" t="s">
        <v>118</v>
      </c>
      <c r="E6407" s="13" t="s">
        <v>11340</v>
      </c>
      <c r="F6407" s="43">
        <v>104.54</v>
      </c>
    </row>
    <row r="6408" spans="2:6" x14ac:dyDescent="0.25">
      <c r="B6408" s="13" t="s">
        <v>11341</v>
      </c>
      <c r="C6408" s="17" t="s">
        <v>170</v>
      </c>
      <c r="D6408" s="13" t="s">
        <v>118</v>
      </c>
      <c r="E6408" s="13" t="s">
        <v>11342</v>
      </c>
      <c r="F6408" s="43">
        <v>104.54</v>
      </c>
    </row>
    <row r="6409" spans="2:6" x14ac:dyDescent="0.25">
      <c r="B6409" s="13" t="s">
        <v>11343</v>
      </c>
      <c r="C6409" s="17" t="s">
        <v>170</v>
      </c>
      <c r="D6409" s="13" t="s">
        <v>118</v>
      </c>
      <c r="E6409" s="13" t="s">
        <v>11344</v>
      </c>
      <c r="F6409" s="43">
        <v>104.54</v>
      </c>
    </row>
    <row r="6410" spans="2:6" x14ac:dyDescent="0.25">
      <c r="B6410" s="13" t="s">
        <v>11345</v>
      </c>
      <c r="C6410" s="17" t="s">
        <v>170</v>
      </c>
      <c r="D6410" s="13" t="s">
        <v>118</v>
      </c>
      <c r="E6410" s="13" t="s">
        <v>11346</v>
      </c>
      <c r="F6410" s="43">
        <v>104.54</v>
      </c>
    </row>
    <row r="6411" spans="2:6" x14ac:dyDescent="0.25">
      <c r="B6411" s="13" t="s">
        <v>11347</v>
      </c>
      <c r="C6411" s="17" t="s">
        <v>170</v>
      </c>
      <c r="D6411" s="13" t="s">
        <v>118</v>
      </c>
      <c r="E6411" s="13" t="s">
        <v>11348</v>
      </c>
      <c r="F6411" s="43">
        <v>102.02</v>
      </c>
    </row>
    <row r="6412" spans="2:6" x14ac:dyDescent="0.25">
      <c r="B6412" s="13" t="s">
        <v>11349</v>
      </c>
      <c r="C6412" s="17" t="s">
        <v>170</v>
      </c>
      <c r="D6412" s="13" t="s">
        <v>118</v>
      </c>
      <c r="E6412" s="13" t="s">
        <v>11350</v>
      </c>
      <c r="F6412" s="43">
        <v>102.02</v>
      </c>
    </row>
    <row r="6413" spans="2:6" x14ac:dyDescent="0.25">
      <c r="B6413" s="13" t="s">
        <v>11351</v>
      </c>
      <c r="C6413" s="17" t="s">
        <v>170</v>
      </c>
      <c r="D6413" s="13" t="s">
        <v>118</v>
      </c>
      <c r="E6413" s="13" t="s">
        <v>11352</v>
      </c>
      <c r="F6413" s="43">
        <v>102.02</v>
      </c>
    </row>
    <row r="6414" spans="2:6" x14ac:dyDescent="0.25">
      <c r="B6414" s="13" t="s">
        <v>11353</v>
      </c>
      <c r="C6414" s="17" t="s">
        <v>170</v>
      </c>
      <c r="D6414" s="13" t="s">
        <v>118</v>
      </c>
      <c r="E6414" s="13" t="s">
        <v>11354</v>
      </c>
      <c r="F6414" s="43">
        <v>102.02</v>
      </c>
    </row>
    <row r="6415" spans="2:6" x14ac:dyDescent="0.25">
      <c r="B6415" s="13" t="s">
        <v>11355</v>
      </c>
      <c r="C6415" s="17" t="s">
        <v>170</v>
      </c>
      <c r="D6415" s="13" t="s">
        <v>118</v>
      </c>
      <c r="E6415" s="13" t="s">
        <v>11356</v>
      </c>
      <c r="F6415" s="43">
        <v>102.02</v>
      </c>
    </row>
    <row r="6416" spans="2:6" x14ac:dyDescent="0.25">
      <c r="B6416" s="13" t="s">
        <v>11357</v>
      </c>
      <c r="C6416" s="17" t="s">
        <v>170</v>
      </c>
      <c r="D6416" s="13" t="s">
        <v>118</v>
      </c>
      <c r="E6416" s="13" t="s">
        <v>11358</v>
      </c>
      <c r="F6416" s="43">
        <v>102.02</v>
      </c>
    </row>
    <row r="6417" spans="2:6" x14ac:dyDescent="0.25">
      <c r="B6417" s="13" t="s">
        <v>11359</v>
      </c>
      <c r="C6417" s="17" t="s">
        <v>170</v>
      </c>
      <c r="D6417" s="13" t="s">
        <v>118</v>
      </c>
      <c r="E6417" s="13" t="s">
        <v>11360</v>
      </c>
      <c r="F6417" s="43">
        <v>102.02</v>
      </c>
    </row>
    <row r="6418" spans="2:6" x14ac:dyDescent="0.25">
      <c r="B6418" s="13" t="s">
        <v>11361</v>
      </c>
      <c r="C6418" s="17" t="s">
        <v>170</v>
      </c>
      <c r="D6418" s="13" t="s">
        <v>118</v>
      </c>
      <c r="E6418" s="13" t="s">
        <v>11362</v>
      </c>
      <c r="F6418" s="43">
        <v>102.02</v>
      </c>
    </row>
    <row r="6419" spans="2:6" x14ac:dyDescent="0.25">
      <c r="B6419" s="13" t="s">
        <v>11363</v>
      </c>
      <c r="C6419" s="17" t="s">
        <v>170</v>
      </c>
      <c r="D6419" s="13" t="s">
        <v>118</v>
      </c>
      <c r="E6419" s="13" t="s">
        <v>11364</v>
      </c>
      <c r="F6419" s="43">
        <v>102.02</v>
      </c>
    </row>
    <row r="6420" spans="2:6" x14ac:dyDescent="0.25">
      <c r="B6420" s="13" t="s">
        <v>11365</v>
      </c>
      <c r="C6420" s="17" t="s">
        <v>170</v>
      </c>
      <c r="D6420" s="13" t="s">
        <v>118</v>
      </c>
      <c r="E6420" s="13" t="s">
        <v>11366</v>
      </c>
      <c r="F6420" s="43">
        <v>102.02</v>
      </c>
    </row>
    <row r="6421" spans="2:6" x14ac:dyDescent="0.25">
      <c r="B6421" s="13" t="s">
        <v>11367</v>
      </c>
      <c r="C6421" s="17" t="s">
        <v>170</v>
      </c>
      <c r="D6421" s="13" t="s">
        <v>118</v>
      </c>
      <c r="E6421" s="13" t="s">
        <v>11368</v>
      </c>
      <c r="F6421" s="43">
        <v>102.02</v>
      </c>
    </row>
    <row r="6422" spans="2:6" x14ac:dyDescent="0.25">
      <c r="B6422" s="13" t="s">
        <v>11369</v>
      </c>
      <c r="C6422" s="17" t="s">
        <v>170</v>
      </c>
      <c r="D6422" s="13" t="s">
        <v>118</v>
      </c>
      <c r="E6422" s="13" t="s">
        <v>11370</v>
      </c>
      <c r="F6422" s="43">
        <v>102.02</v>
      </c>
    </row>
    <row r="6423" spans="2:6" x14ac:dyDescent="0.25">
      <c r="B6423" s="13" t="s">
        <v>11371</v>
      </c>
      <c r="C6423" s="17" t="s">
        <v>170</v>
      </c>
      <c r="D6423" s="13" t="s">
        <v>118</v>
      </c>
      <c r="E6423" s="13" t="s">
        <v>11372</v>
      </c>
      <c r="F6423" s="43">
        <v>102.02</v>
      </c>
    </row>
    <row r="6424" spans="2:6" x14ac:dyDescent="0.25">
      <c r="B6424" s="13" t="s">
        <v>11373</v>
      </c>
      <c r="C6424" s="17" t="s">
        <v>170</v>
      </c>
      <c r="D6424" s="13" t="s">
        <v>118</v>
      </c>
      <c r="E6424" s="13" t="s">
        <v>11374</v>
      </c>
      <c r="F6424" s="43">
        <v>102.02</v>
      </c>
    </row>
    <row r="6425" spans="2:6" x14ac:dyDescent="0.25">
      <c r="B6425" s="13" t="s">
        <v>11375</v>
      </c>
      <c r="C6425" s="17" t="s">
        <v>170</v>
      </c>
      <c r="D6425" s="13" t="s">
        <v>118</v>
      </c>
      <c r="E6425" s="13" t="s">
        <v>11376</v>
      </c>
      <c r="F6425" s="43">
        <v>102.02</v>
      </c>
    </row>
    <row r="6426" spans="2:6" x14ac:dyDescent="0.25">
      <c r="B6426" s="13" t="s">
        <v>11377</v>
      </c>
      <c r="C6426" s="17" t="s">
        <v>170</v>
      </c>
      <c r="D6426" s="13" t="s">
        <v>118</v>
      </c>
      <c r="E6426" s="13" t="s">
        <v>11378</v>
      </c>
      <c r="F6426" s="43">
        <v>102.02</v>
      </c>
    </row>
    <row r="6427" spans="2:6" x14ac:dyDescent="0.25">
      <c r="B6427" s="13" t="s">
        <v>11379</v>
      </c>
      <c r="C6427" s="17" t="s">
        <v>170</v>
      </c>
      <c r="D6427" s="13" t="s">
        <v>118</v>
      </c>
      <c r="E6427" s="13" t="s">
        <v>11380</v>
      </c>
      <c r="F6427" s="43">
        <v>102.02</v>
      </c>
    </row>
    <row r="6428" spans="2:6" x14ac:dyDescent="0.25">
      <c r="B6428" s="13" t="s">
        <v>11381</v>
      </c>
      <c r="C6428" s="17" t="s">
        <v>170</v>
      </c>
      <c r="D6428" s="13" t="s">
        <v>118</v>
      </c>
      <c r="E6428" s="13" t="s">
        <v>11382</v>
      </c>
      <c r="F6428" s="43">
        <v>102.02</v>
      </c>
    </row>
    <row r="6429" spans="2:6" x14ac:dyDescent="0.25">
      <c r="B6429" s="13" t="s">
        <v>11383</v>
      </c>
      <c r="C6429" s="17" t="s">
        <v>170</v>
      </c>
      <c r="D6429" s="13" t="s">
        <v>118</v>
      </c>
      <c r="E6429" s="13" t="s">
        <v>11384</v>
      </c>
      <c r="F6429" s="43">
        <v>102.02</v>
      </c>
    </row>
    <row r="6430" spans="2:6" x14ac:dyDescent="0.25">
      <c r="B6430" s="13" t="s">
        <v>11385</v>
      </c>
      <c r="C6430" s="17" t="s">
        <v>170</v>
      </c>
      <c r="D6430" s="13" t="s">
        <v>118</v>
      </c>
      <c r="E6430" s="13" t="s">
        <v>11386</v>
      </c>
      <c r="F6430" s="43">
        <v>102.02</v>
      </c>
    </row>
    <row r="6431" spans="2:6" x14ac:dyDescent="0.25">
      <c r="B6431" s="13" t="s">
        <v>11387</v>
      </c>
      <c r="C6431" s="17" t="s">
        <v>170</v>
      </c>
      <c r="D6431" s="13" t="s">
        <v>118</v>
      </c>
      <c r="E6431" s="13" t="s">
        <v>11388</v>
      </c>
      <c r="F6431" s="43">
        <v>102.02</v>
      </c>
    </row>
    <row r="6432" spans="2:6" x14ac:dyDescent="0.25">
      <c r="B6432" s="13" t="s">
        <v>11389</v>
      </c>
      <c r="C6432" s="17" t="s">
        <v>170</v>
      </c>
      <c r="D6432" s="13" t="s">
        <v>118</v>
      </c>
      <c r="E6432" s="13" t="s">
        <v>11390</v>
      </c>
      <c r="F6432" s="43">
        <v>102.02</v>
      </c>
    </row>
    <row r="6433" spans="2:6" x14ac:dyDescent="0.25">
      <c r="B6433" s="13" t="s">
        <v>11391</v>
      </c>
      <c r="C6433" s="17" t="s">
        <v>170</v>
      </c>
      <c r="D6433" s="13" t="s">
        <v>118</v>
      </c>
      <c r="E6433" s="13" t="s">
        <v>11392</v>
      </c>
      <c r="F6433" s="43">
        <v>102.02</v>
      </c>
    </row>
    <row r="6434" spans="2:6" x14ac:dyDescent="0.25">
      <c r="B6434" s="13" t="s">
        <v>11393</v>
      </c>
      <c r="C6434" s="17" t="s">
        <v>170</v>
      </c>
      <c r="D6434" s="13" t="s">
        <v>118</v>
      </c>
      <c r="E6434" s="13" t="s">
        <v>11394</v>
      </c>
      <c r="F6434" s="43">
        <v>102.02</v>
      </c>
    </row>
    <row r="6435" spans="2:6" x14ac:dyDescent="0.25">
      <c r="B6435" s="13" t="s">
        <v>11395</v>
      </c>
      <c r="C6435" s="17" t="s">
        <v>170</v>
      </c>
      <c r="D6435" s="13" t="s">
        <v>118</v>
      </c>
      <c r="E6435" s="13" t="s">
        <v>11396</v>
      </c>
      <c r="F6435" s="43">
        <v>102.02</v>
      </c>
    </row>
    <row r="6436" spans="2:6" x14ac:dyDescent="0.25">
      <c r="B6436" s="13" t="s">
        <v>11397</v>
      </c>
      <c r="C6436" s="17" t="s">
        <v>170</v>
      </c>
      <c r="D6436" s="13" t="s">
        <v>118</v>
      </c>
      <c r="E6436" s="13" t="s">
        <v>11398</v>
      </c>
      <c r="F6436" s="43">
        <v>102.02</v>
      </c>
    </row>
    <row r="6437" spans="2:6" x14ac:dyDescent="0.25">
      <c r="B6437" s="13" t="s">
        <v>11399</v>
      </c>
      <c r="C6437" s="17" t="s">
        <v>170</v>
      </c>
      <c r="D6437" s="13" t="s">
        <v>118</v>
      </c>
      <c r="E6437" s="13" t="s">
        <v>11400</v>
      </c>
      <c r="F6437" s="43">
        <v>102.02</v>
      </c>
    </row>
    <row r="6438" spans="2:6" x14ac:dyDescent="0.25">
      <c r="B6438" s="13" t="s">
        <v>11401</v>
      </c>
      <c r="C6438" s="17" t="s">
        <v>170</v>
      </c>
      <c r="D6438" s="13" t="s">
        <v>118</v>
      </c>
      <c r="E6438" s="13" t="s">
        <v>11402</v>
      </c>
      <c r="F6438" s="43">
        <v>102.02</v>
      </c>
    </row>
    <row r="6439" spans="2:6" x14ac:dyDescent="0.25">
      <c r="B6439" s="13" t="s">
        <v>11403</v>
      </c>
      <c r="C6439" s="17" t="s">
        <v>170</v>
      </c>
      <c r="D6439" s="13" t="s">
        <v>118</v>
      </c>
      <c r="E6439" s="13" t="s">
        <v>11404</v>
      </c>
      <c r="F6439" s="43">
        <v>102.02</v>
      </c>
    </row>
    <row r="6440" spans="2:6" x14ac:dyDescent="0.25">
      <c r="B6440" s="13" t="s">
        <v>11405</v>
      </c>
      <c r="C6440" s="17" t="s">
        <v>170</v>
      </c>
      <c r="D6440" s="13" t="s">
        <v>118</v>
      </c>
      <c r="E6440" s="13" t="s">
        <v>11406</v>
      </c>
      <c r="F6440" s="43">
        <v>102.02</v>
      </c>
    </row>
    <row r="6441" spans="2:6" x14ac:dyDescent="0.25">
      <c r="B6441" s="13" t="s">
        <v>11407</v>
      </c>
      <c r="C6441" s="17" t="s">
        <v>170</v>
      </c>
      <c r="D6441" s="13" t="s">
        <v>118</v>
      </c>
      <c r="E6441" s="13" t="s">
        <v>11408</v>
      </c>
      <c r="F6441" s="43">
        <v>102.02</v>
      </c>
    </row>
    <row r="6442" spans="2:6" x14ac:dyDescent="0.25">
      <c r="B6442" s="13" t="s">
        <v>11409</v>
      </c>
      <c r="C6442" s="17" t="s">
        <v>170</v>
      </c>
      <c r="D6442" s="13" t="s">
        <v>118</v>
      </c>
      <c r="E6442" s="13" t="s">
        <v>11410</v>
      </c>
      <c r="F6442" s="43">
        <v>102.02</v>
      </c>
    </row>
    <row r="6443" spans="2:6" x14ac:dyDescent="0.25">
      <c r="B6443" s="13" t="s">
        <v>11411</v>
      </c>
      <c r="C6443" s="17" t="s">
        <v>170</v>
      </c>
      <c r="D6443" s="13" t="s">
        <v>118</v>
      </c>
      <c r="E6443" s="13" t="s">
        <v>11412</v>
      </c>
      <c r="F6443" s="43">
        <v>102.02</v>
      </c>
    </row>
    <row r="6444" spans="2:6" x14ac:dyDescent="0.25">
      <c r="B6444" s="13" t="s">
        <v>11413</v>
      </c>
      <c r="C6444" s="17" t="s">
        <v>170</v>
      </c>
      <c r="D6444" s="13" t="s">
        <v>118</v>
      </c>
      <c r="E6444" s="13" t="s">
        <v>11414</v>
      </c>
      <c r="F6444" s="43">
        <v>102.02</v>
      </c>
    </row>
    <row r="6445" spans="2:6" x14ac:dyDescent="0.25">
      <c r="B6445" s="13" t="s">
        <v>11415</v>
      </c>
      <c r="C6445" s="17" t="s">
        <v>170</v>
      </c>
      <c r="D6445" s="13" t="s">
        <v>118</v>
      </c>
      <c r="E6445" s="13" t="s">
        <v>11416</v>
      </c>
      <c r="F6445" s="43">
        <v>102.02</v>
      </c>
    </row>
    <row r="6446" spans="2:6" x14ac:dyDescent="0.25">
      <c r="B6446" s="13" t="s">
        <v>11417</v>
      </c>
      <c r="C6446" s="17" t="s">
        <v>170</v>
      </c>
      <c r="D6446" s="13" t="s">
        <v>118</v>
      </c>
      <c r="E6446" s="13" t="s">
        <v>11418</v>
      </c>
      <c r="F6446" s="43">
        <v>102.02</v>
      </c>
    </row>
    <row r="6447" spans="2:6" x14ac:dyDescent="0.25">
      <c r="B6447" s="13" t="s">
        <v>11419</v>
      </c>
      <c r="C6447" s="17" t="s">
        <v>170</v>
      </c>
      <c r="D6447" s="13" t="s">
        <v>118</v>
      </c>
      <c r="E6447" s="13" t="s">
        <v>11420</v>
      </c>
      <c r="F6447" s="43">
        <v>102.02</v>
      </c>
    </row>
    <row r="6448" spans="2:6" x14ac:dyDescent="0.25">
      <c r="B6448" s="13" t="s">
        <v>11421</v>
      </c>
      <c r="C6448" s="17" t="s">
        <v>170</v>
      </c>
      <c r="D6448" s="13" t="s">
        <v>118</v>
      </c>
      <c r="E6448" s="13" t="s">
        <v>11422</v>
      </c>
      <c r="F6448" s="43">
        <v>102.02</v>
      </c>
    </row>
    <row r="6449" spans="2:6" x14ac:dyDescent="0.25">
      <c r="B6449" s="13" t="s">
        <v>11423</v>
      </c>
      <c r="C6449" s="17" t="s">
        <v>170</v>
      </c>
      <c r="D6449" s="13" t="s">
        <v>118</v>
      </c>
      <c r="E6449" s="13" t="s">
        <v>11424</v>
      </c>
      <c r="F6449" s="43">
        <v>104.54</v>
      </c>
    </row>
    <row r="6450" spans="2:6" x14ac:dyDescent="0.25">
      <c r="B6450" s="13" t="s">
        <v>11425</v>
      </c>
      <c r="C6450" s="17" t="s">
        <v>170</v>
      </c>
      <c r="D6450" s="13" t="s">
        <v>118</v>
      </c>
      <c r="E6450" s="13" t="s">
        <v>11426</v>
      </c>
      <c r="F6450" s="43">
        <v>104.54</v>
      </c>
    </row>
    <row r="6451" spans="2:6" x14ac:dyDescent="0.25">
      <c r="B6451" s="13" t="s">
        <v>11427</v>
      </c>
      <c r="C6451" s="17" t="s">
        <v>170</v>
      </c>
      <c r="D6451" s="13" t="s">
        <v>118</v>
      </c>
      <c r="E6451" s="13" t="s">
        <v>11428</v>
      </c>
      <c r="F6451" s="43">
        <v>104.54</v>
      </c>
    </row>
    <row r="6452" spans="2:6" x14ac:dyDescent="0.25">
      <c r="B6452" s="13" t="s">
        <v>11429</v>
      </c>
      <c r="C6452" s="17" t="s">
        <v>170</v>
      </c>
      <c r="D6452" s="13" t="s">
        <v>118</v>
      </c>
      <c r="E6452" s="13" t="s">
        <v>11430</v>
      </c>
      <c r="F6452" s="43">
        <v>104.54</v>
      </c>
    </row>
    <row r="6453" spans="2:6" x14ac:dyDescent="0.25">
      <c r="B6453" s="13" t="s">
        <v>11431</v>
      </c>
      <c r="C6453" s="17" t="s">
        <v>170</v>
      </c>
      <c r="D6453" s="13" t="s">
        <v>118</v>
      </c>
      <c r="E6453" s="13" t="s">
        <v>11432</v>
      </c>
      <c r="F6453" s="43">
        <v>3.79</v>
      </c>
    </row>
    <row r="6454" spans="2:6" x14ac:dyDescent="0.25">
      <c r="B6454" s="13" t="s">
        <v>11433</v>
      </c>
      <c r="C6454" s="17" t="s">
        <v>170</v>
      </c>
      <c r="D6454" s="13" t="s">
        <v>118</v>
      </c>
      <c r="E6454" s="13" t="s">
        <v>11434</v>
      </c>
      <c r="F6454" s="43">
        <v>3.79</v>
      </c>
    </row>
    <row r="6455" spans="2:6" x14ac:dyDescent="0.25">
      <c r="B6455" s="13" t="s">
        <v>11435</v>
      </c>
      <c r="C6455" s="17" t="s">
        <v>170</v>
      </c>
      <c r="D6455" s="13" t="s">
        <v>118</v>
      </c>
      <c r="E6455" s="13" t="s">
        <v>11436</v>
      </c>
      <c r="F6455" s="43">
        <v>5.17</v>
      </c>
    </row>
    <row r="6456" spans="2:6" x14ac:dyDescent="0.25">
      <c r="B6456" s="13" t="s">
        <v>11437</v>
      </c>
      <c r="C6456" s="17" t="s">
        <v>170</v>
      </c>
      <c r="D6456" s="13" t="s">
        <v>118</v>
      </c>
      <c r="E6456" s="13" t="s">
        <v>11438</v>
      </c>
      <c r="F6456" s="43">
        <v>5.17</v>
      </c>
    </row>
    <row r="6457" spans="2:6" x14ac:dyDescent="0.25">
      <c r="B6457" s="13" t="s">
        <v>11439</v>
      </c>
      <c r="C6457" s="17" t="s">
        <v>170</v>
      </c>
      <c r="D6457" s="13" t="s">
        <v>118</v>
      </c>
      <c r="E6457" s="13" t="s">
        <v>11440</v>
      </c>
      <c r="F6457" s="43">
        <v>6.2</v>
      </c>
    </row>
    <row r="6458" spans="2:6" x14ac:dyDescent="0.25">
      <c r="B6458" s="13" t="s">
        <v>11441</v>
      </c>
      <c r="C6458" s="17" t="s">
        <v>170</v>
      </c>
      <c r="D6458" s="13" t="s">
        <v>118</v>
      </c>
      <c r="E6458" s="13" t="s">
        <v>11442</v>
      </c>
      <c r="F6458" s="43">
        <v>6.2</v>
      </c>
    </row>
    <row r="6459" spans="2:6" x14ac:dyDescent="0.25">
      <c r="B6459" s="13" t="s">
        <v>11443</v>
      </c>
      <c r="C6459" s="17" t="s">
        <v>170</v>
      </c>
      <c r="D6459" s="13" t="s">
        <v>118</v>
      </c>
      <c r="E6459" s="13" t="s">
        <v>11444</v>
      </c>
      <c r="F6459" s="43">
        <v>6.2</v>
      </c>
    </row>
    <row r="6460" spans="2:6" x14ac:dyDescent="0.25">
      <c r="B6460" s="13" t="s">
        <v>11445</v>
      </c>
      <c r="C6460" s="17" t="s">
        <v>170</v>
      </c>
      <c r="D6460" s="13" t="s">
        <v>118</v>
      </c>
      <c r="E6460" s="13" t="s">
        <v>11446</v>
      </c>
      <c r="F6460" s="43">
        <v>18.25</v>
      </c>
    </row>
    <row r="6461" spans="2:6" x14ac:dyDescent="0.25">
      <c r="B6461" s="13" t="s">
        <v>11447</v>
      </c>
      <c r="C6461" s="17" t="s">
        <v>170</v>
      </c>
      <c r="D6461" s="13" t="s">
        <v>118</v>
      </c>
      <c r="E6461" s="13" t="s">
        <v>11448</v>
      </c>
      <c r="F6461" s="43">
        <v>18.25</v>
      </c>
    </row>
    <row r="6462" spans="2:6" x14ac:dyDescent="0.25">
      <c r="B6462" s="13" t="s">
        <v>11449</v>
      </c>
      <c r="C6462" s="17" t="s">
        <v>170</v>
      </c>
      <c r="D6462" s="13" t="s">
        <v>118</v>
      </c>
      <c r="E6462" s="13" t="s">
        <v>11450</v>
      </c>
      <c r="F6462" s="43">
        <v>18.25</v>
      </c>
    </row>
    <row r="6463" spans="2:6" x14ac:dyDescent="0.25">
      <c r="B6463" s="13" t="s">
        <v>11451</v>
      </c>
      <c r="C6463" s="17" t="s">
        <v>170</v>
      </c>
      <c r="D6463" s="13" t="s">
        <v>118</v>
      </c>
      <c r="E6463" s="13" t="s">
        <v>11452</v>
      </c>
      <c r="F6463" s="43">
        <v>18.25</v>
      </c>
    </row>
    <row r="6464" spans="2:6" x14ac:dyDescent="0.25">
      <c r="B6464" s="13" t="s">
        <v>11453</v>
      </c>
      <c r="C6464" s="17" t="s">
        <v>170</v>
      </c>
      <c r="D6464" s="13" t="s">
        <v>118</v>
      </c>
      <c r="E6464" s="13" t="s">
        <v>11454</v>
      </c>
      <c r="F6464" s="43">
        <v>14.18</v>
      </c>
    </row>
    <row r="6465" spans="2:6" x14ac:dyDescent="0.25">
      <c r="B6465" s="13" t="s">
        <v>11455</v>
      </c>
      <c r="C6465" s="17" t="s">
        <v>170</v>
      </c>
      <c r="D6465" s="13" t="s">
        <v>118</v>
      </c>
      <c r="E6465" s="13" t="s">
        <v>11456</v>
      </c>
      <c r="F6465" s="43">
        <v>26.09</v>
      </c>
    </row>
    <row r="6466" spans="2:6" x14ac:dyDescent="0.25">
      <c r="B6466" s="13" t="s">
        <v>11457</v>
      </c>
      <c r="C6466" s="17" t="s">
        <v>170</v>
      </c>
      <c r="D6466" s="13" t="s">
        <v>118</v>
      </c>
      <c r="E6466" s="13" t="s">
        <v>11458</v>
      </c>
      <c r="F6466" s="43">
        <v>52.65</v>
      </c>
    </row>
    <row r="6467" spans="2:6" x14ac:dyDescent="0.25">
      <c r="B6467" s="13" t="s">
        <v>11459</v>
      </c>
      <c r="C6467" s="17" t="s">
        <v>170</v>
      </c>
      <c r="D6467" s="13" t="s">
        <v>118</v>
      </c>
      <c r="E6467" s="13" t="s">
        <v>11460</v>
      </c>
      <c r="F6467" s="43">
        <v>126.69</v>
      </c>
    </row>
    <row r="6468" spans="2:6" x14ac:dyDescent="0.25">
      <c r="B6468" s="13" t="s">
        <v>11461</v>
      </c>
      <c r="C6468" s="17" t="s">
        <v>170</v>
      </c>
      <c r="D6468" s="13" t="s">
        <v>118</v>
      </c>
      <c r="E6468" s="13" t="s">
        <v>11462</v>
      </c>
      <c r="F6468" s="43">
        <v>60.13</v>
      </c>
    </row>
    <row r="6469" spans="2:6" x14ac:dyDescent="0.25">
      <c r="B6469" s="13" t="s">
        <v>11463</v>
      </c>
      <c r="C6469" s="17" t="s">
        <v>170</v>
      </c>
      <c r="D6469" s="13" t="s">
        <v>118</v>
      </c>
      <c r="E6469" s="13" t="s">
        <v>11464</v>
      </c>
      <c r="F6469" s="43">
        <v>60.13</v>
      </c>
    </row>
    <row r="6470" spans="2:6" x14ac:dyDescent="0.25">
      <c r="B6470" s="13" t="s">
        <v>11465</v>
      </c>
      <c r="C6470" s="17" t="s">
        <v>170</v>
      </c>
      <c r="D6470" s="13" t="s">
        <v>118</v>
      </c>
      <c r="E6470" s="13" t="s">
        <v>11466</v>
      </c>
      <c r="F6470" s="43">
        <v>60.13</v>
      </c>
    </row>
    <row r="6471" spans="2:6" x14ac:dyDescent="0.25">
      <c r="B6471" s="13" t="s">
        <v>11467</v>
      </c>
      <c r="C6471" s="17" t="s">
        <v>170</v>
      </c>
      <c r="D6471" s="13" t="s">
        <v>118</v>
      </c>
      <c r="E6471" s="13" t="s">
        <v>11468</v>
      </c>
      <c r="F6471" s="43">
        <v>60.13</v>
      </c>
    </row>
    <row r="6472" spans="2:6" x14ac:dyDescent="0.25">
      <c r="B6472" s="13" t="s">
        <v>11469</v>
      </c>
      <c r="C6472" s="17" t="s">
        <v>170</v>
      </c>
      <c r="D6472" s="13" t="s">
        <v>118</v>
      </c>
      <c r="E6472" s="13" t="s">
        <v>11470</v>
      </c>
      <c r="F6472" s="43">
        <v>60.13</v>
      </c>
    </row>
    <row r="6473" spans="2:6" x14ac:dyDescent="0.25">
      <c r="B6473" s="13" t="s">
        <v>11471</v>
      </c>
      <c r="C6473" s="17" t="s">
        <v>170</v>
      </c>
      <c r="D6473" s="13" t="s">
        <v>118</v>
      </c>
      <c r="E6473" s="13" t="s">
        <v>11472</v>
      </c>
      <c r="F6473" s="43">
        <v>60.13</v>
      </c>
    </row>
    <row r="6474" spans="2:6" x14ac:dyDescent="0.25">
      <c r="B6474" s="13" t="s">
        <v>11473</v>
      </c>
      <c r="C6474" s="17" t="s">
        <v>170</v>
      </c>
      <c r="D6474" s="13" t="s">
        <v>118</v>
      </c>
      <c r="E6474" s="13" t="s">
        <v>11474</v>
      </c>
      <c r="F6474" s="43">
        <v>60.13</v>
      </c>
    </row>
    <row r="6475" spans="2:6" x14ac:dyDescent="0.25">
      <c r="B6475" s="13" t="s">
        <v>11475</v>
      </c>
      <c r="C6475" s="17" t="s">
        <v>170</v>
      </c>
      <c r="D6475" s="13" t="s">
        <v>118</v>
      </c>
      <c r="E6475" s="13" t="s">
        <v>11476</v>
      </c>
      <c r="F6475" s="43">
        <v>60.13</v>
      </c>
    </row>
    <row r="6476" spans="2:6" x14ac:dyDescent="0.25">
      <c r="B6476" s="13" t="s">
        <v>11477</v>
      </c>
      <c r="C6476" s="17" t="s">
        <v>170</v>
      </c>
      <c r="D6476" s="13" t="s">
        <v>118</v>
      </c>
      <c r="E6476" s="13" t="s">
        <v>11478</v>
      </c>
      <c r="F6476" s="43">
        <v>60.13</v>
      </c>
    </row>
    <row r="6477" spans="2:6" x14ac:dyDescent="0.25">
      <c r="B6477" s="13" t="s">
        <v>11479</v>
      </c>
      <c r="C6477" s="17" t="s">
        <v>170</v>
      </c>
      <c r="D6477" s="13" t="s">
        <v>118</v>
      </c>
      <c r="E6477" s="13" t="s">
        <v>11480</v>
      </c>
      <c r="F6477" s="43">
        <v>60.13</v>
      </c>
    </row>
    <row r="6478" spans="2:6" x14ac:dyDescent="0.25">
      <c r="B6478" s="13" t="s">
        <v>11481</v>
      </c>
      <c r="C6478" s="17" t="s">
        <v>170</v>
      </c>
      <c r="D6478" s="13" t="s">
        <v>118</v>
      </c>
      <c r="E6478" s="13" t="s">
        <v>11482</v>
      </c>
      <c r="F6478" s="43">
        <v>60.13</v>
      </c>
    </row>
    <row r="6479" spans="2:6" x14ac:dyDescent="0.25">
      <c r="B6479" s="13" t="s">
        <v>11483</v>
      </c>
      <c r="C6479" s="17" t="s">
        <v>170</v>
      </c>
      <c r="D6479" s="13" t="s">
        <v>118</v>
      </c>
      <c r="E6479" s="13" t="s">
        <v>11484</v>
      </c>
      <c r="F6479" s="43">
        <v>60.13</v>
      </c>
    </row>
    <row r="6480" spans="2:6" x14ac:dyDescent="0.25">
      <c r="B6480" s="13" t="s">
        <v>11485</v>
      </c>
      <c r="C6480" s="17" t="s">
        <v>170</v>
      </c>
      <c r="D6480" s="13" t="s">
        <v>118</v>
      </c>
      <c r="E6480" s="13" t="s">
        <v>11486</v>
      </c>
      <c r="F6480" s="43">
        <v>60.13</v>
      </c>
    </row>
    <row r="6481" spans="2:6" x14ac:dyDescent="0.25">
      <c r="B6481" s="13" t="s">
        <v>11487</v>
      </c>
      <c r="C6481" s="17" t="s">
        <v>170</v>
      </c>
      <c r="D6481" s="13" t="s">
        <v>118</v>
      </c>
      <c r="E6481" s="13" t="s">
        <v>11488</v>
      </c>
      <c r="F6481" s="43">
        <v>60.13</v>
      </c>
    </row>
    <row r="6482" spans="2:6" x14ac:dyDescent="0.25">
      <c r="B6482" s="13" t="s">
        <v>11489</v>
      </c>
      <c r="C6482" s="17" t="s">
        <v>170</v>
      </c>
      <c r="D6482" s="13" t="s">
        <v>118</v>
      </c>
      <c r="E6482" s="13" t="s">
        <v>11490</v>
      </c>
      <c r="F6482" s="43">
        <v>60.13</v>
      </c>
    </row>
    <row r="6483" spans="2:6" x14ac:dyDescent="0.25">
      <c r="B6483" s="13" t="s">
        <v>11491</v>
      </c>
      <c r="C6483" s="17" t="s">
        <v>170</v>
      </c>
      <c r="D6483" s="13" t="s">
        <v>118</v>
      </c>
      <c r="E6483" s="13" t="s">
        <v>11492</v>
      </c>
      <c r="F6483" s="43">
        <v>60.13</v>
      </c>
    </row>
    <row r="6484" spans="2:6" x14ac:dyDescent="0.25">
      <c r="B6484" s="13" t="s">
        <v>11493</v>
      </c>
      <c r="C6484" s="17" t="s">
        <v>170</v>
      </c>
      <c r="D6484" s="13" t="s">
        <v>118</v>
      </c>
      <c r="E6484" s="13" t="s">
        <v>11494</v>
      </c>
      <c r="F6484" s="43">
        <v>60.13</v>
      </c>
    </row>
    <row r="6485" spans="2:6" x14ac:dyDescent="0.25">
      <c r="B6485" s="13" t="s">
        <v>11495</v>
      </c>
      <c r="C6485" s="17" t="s">
        <v>170</v>
      </c>
      <c r="D6485" s="13" t="s">
        <v>118</v>
      </c>
      <c r="E6485" s="13" t="s">
        <v>11496</v>
      </c>
      <c r="F6485" s="43">
        <v>74.819999999999993</v>
      </c>
    </row>
    <row r="6486" spans="2:6" x14ac:dyDescent="0.25">
      <c r="B6486" s="13" t="s">
        <v>11497</v>
      </c>
      <c r="C6486" s="17" t="s">
        <v>170</v>
      </c>
      <c r="D6486" s="13" t="s">
        <v>118</v>
      </c>
      <c r="E6486" s="13" t="s">
        <v>11498</v>
      </c>
      <c r="F6486" s="43">
        <v>60.13</v>
      </c>
    </row>
    <row r="6487" spans="2:6" x14ac:dyDescent="0.25">
      <c r="B6487" s="13" t="s">
        <v>11499</v>
      </c>
      <c r="C6487" s="17" t="s">
        <v>170</v>
      </c>
      <c r="D6487" s="13" t="s">
        <v>118</v>
      </c>
      <c r="E6487" s="13" t="s">
        <v>11500</v>
      </c>
      <c r="F6487" s="43">
        <v>60.13</v>
      </c>
    </row>
    <row r="6488" spans="2:6" x14ac:dyDescent="0.25">
      <c r="B6488" s="13" t="s">
        <v>11501</v>
      </c>
      <c r="C6488" s="17" t="s">
        <v>170</v>
      </c>
      <c r="D6488" s="13" t="s">
        <v>118</v>
      </c>
      <c r="E6488" s="13" t="s">
        <v>11502</v>
      </c>
      <c r="F6488" s="43">
        <v>60.13</v>
      </c>
    </row>
    <row r="6489" spans="2:6" x14ac:dyDescent="0.25">
      <c r="B6489" s="13" t="s">
        <v>11503</v>
      </c>
      <c r="C6489" s="17" t="s">
        <v>170</v>
      </c>
      <c r="D6489" s="13" t="s">
        <v>118</v>
      </c>
      <c r="E6489" s="13" t="s">
        <v>11504</v>
      </c>
      <c r="F6489" s="43">
        <v>60.13</v>
      </c>
    </row>
    <row r="6490" spans="2:6" x14ac:dyDescent="0.25">
      <c r="B6490" s="13" t="s">
        <v>11505</v>
      </c>
      <c r="C6490" s="17" t="s">
        <v>170</v>
      </c>
      <c r="D6490" s="13" t="s">
        <v>118</v>
      </c>
      <c r="E6490" s="13" t="s">
        <v>11506</v>
      </c>
      <c r="F6490" s="43">
        <v>60.13</v>
      </c>
    </row>
    <row r="6491" spans="2:6" x14ac:dyDescent="0.25">
      <c r="B6491" s="13" t="s">
        <v>11507</v>
      </c>
      <c r="C6491" s="17" t="s">
        <v>170</v>
      </c>
      <c r="D6491" s="13" t="s">
        <v>118</v>
      </c>
      <c r="E6491" s="13" t="s">
        <v>11508</v>
      </c>
      <c r="F6491" s="43">
        <v>60.13</v>
      </c>
    </row>
    <row r="6492" spans="2:6" x14ac:dyDescent="0.25">
      <c r="B6492" s="13" t="s">
        <v>11509</v>
      </c>
      <c r="C6492" s="17" t="s">
        <v>170</v>
      </c>
      <c r="D6492" s="13" t="s">
        <v>118</v>
      </c>
      <c r="E6492" s="13" t="s">
        <v>11510</v>
      </c>
      <c r="F6492" s="43">
        <v>60.13</v>
      </c>
    </row>
    <row r="6493" spans="2:6" x14ac:dyDescent="0.25">
      <c r="B6493" s="13" t="s">
        <v>11511</v>
      </c>
      <c r="C6493" s="17" t="s">
        <v>170</v>
      </c>
      <c r="D6493" s="13" t="s">
        <v>118</v>
      </c>
      <c r="E6493" s="13" t="s">
        <v>11512</v>
      </c>
      <c r="F6493" s="43">
        <v>60.13</v>
      </c>
    </row>
    <row r="6494" spans="2:6" x14ac:dyDescent="0.25">
      <c r="B6494" s="13" t="s">
        <v>11513</v>
      </c>
      <c r="C6494" s="17" t="s">
        <v>170</v>
      </c>
      <c r="D6494" s="13" t="s">
        <v>118</v>
      </c>
      <c r="E6494" s="13" t="s">
        <v>11514</v>
      </c>
      <c r="F6494" s="43">
        <v>60.13</v>
      </c>
    </row>
    <row r="6495" spans="2:6" x14ac:dyDescent="0.25">
      <c r="B6495" s="13" t="s">
        <v>11515</v>
      </c>
      <c r="C6495" s="17" t="s">
        <v>170</v>
      </c>
      <c r="D6495" s="13" t="s">
        <v>118</v>
      </c>
      <c r="E6495" s="13" t="s">
        <v>11516</v>
      </c>
      <c r="F6495" s="43">
        <v>60.13</v>
      </c>
    </row>
    <row r="6496" spans="2:6" x14ac:dyDescent="0.25">
      <c r="B6496" s="13" t="s">
        <v>11517</v>
      </c>
      <c r="C6496" s="17" t="s">
        <v>170</v>
      </c>
      <c r="D6496" s="13" t="s">
        <v>118</v>
      </c>
      <c r="E6496" s="13" t="s">
        <v>11518</v>
      </c>
      <c r="F6496" s="43">
        <v>60.13</v>
      </c>
    </row>
    <row r="6497" spans="2:6" x14ac:dyDescent="0.25">
      <c r="B6497" s="13" t="s">
        <v>11519</v>
      </c>
      <c r="C6497" s="17" t="s">
        <v>170</v>
      </c>
      <c r="D6497" s="13" t="s">
        <v>118</v>
      </c>
      <c r="E6497" s="13" t="s">
        <v>11520</v>
      </c>
      <c r="F6497" s="43">
        <v>74.819999999999993</v>
      </c>
    </row>
    <row r="6498" spans="2:6" x14ac:dyDescent="0.25">
      <c r="B6498" s="13" t="s">
        <v>11521</v>
      </c>
      <c r="C6498" s="17" t="s">
        <v>170</v>
      </c>
      <c r="D6498" s="13" t="s">
        <v>118</v>
      </c>
      <c r="E6498" s="13" t="s">
        <v>11522</v>
      </c>
      <c r="F6498" s="43">
        <v>60.13</v>
      </c>
    </row>
    <row r="6499" spans="2:6" x14ac:dyDescent="0.25">
      <c r="B6499" s="13" t="s">
        <v>11523</v>
      </c>
      <c r="C6499" s="17" t="s">
        <v>170</v>
      </c>
      <c r="D6499" s="13" t="s">
        <v>118</v>
      </c>
      <c r="E6499" s="13" t="s">
        <v>11524</v>
      </c>
      <c r="F6499" s="43">
        <v>60.13</v>
      </c>
    </row>
    <row r="6500" spans="2:6" x14ac:dyDescent="0.25">
      <c r="B6500" s="13" t="s">
        <v>11525</v>
      </c>
      <c r="C6500" s="17" t="s">
        <v>170</v>
      </c>
      <c r="D6500" s="13" t="s">
        <v>118</v>
      </c>
      <c r="E6500" s="13" t="s">
        <v>11526</v>
      </c>
      <c r="F6500" s="43">
        <v>60.13</v>
      </c>
    </row>
    <row r="6501" spans="2:6" x14ac:dyDescent="0.25">
      <c r="B6501" s="13" t="s">
        <v>11527</v>
      </c>
      <c r="C6501" s="17" t="s">
        <v>170</v>
      </c>
      <c r="D6501" s="13" t="s">
        <v>118</v>
      </c>
      <c r="E6501" s="13" t="s">
        <v>11528</v>
      </c>
      <c r="F6501" s="43">
        <v>60.13</v>
      </c>
    </row>
    <row r="6502" spans="2:6" x14ac:dyDescent="0.25">
      <c r="B6502" s="13" t="s">
        <v>11529</v>
      </c>
      <c r="C6502" s="17" t="s">
        <v>170</v>
      </c>
      <c r="D6502" s="13" t="s">
        <v>118</v>
      </c>
      <c r="E6502" s="13" t="s">
        <v>11530</v>
      </c>
      <c r="F6502" s="43">
        <v>60.13</v>
      </c>
    </row>
    <row r="6503" spans="2:6" x14ac:dyDescent="0.25">
      <c r="B6503" s="13" t="s">
        <v>11531</v>
      </c>
      <c r="C6503" s="17" t="s">
        <v>170</v>
      </c>
      <c r="D6503" s="13" t="s">
        <v>118</v>
      </c>
      <c r="E6503" s="13" t="s">
        <v>11532</v>
      </c>
      <c r="F6503" s="43">
        <v>74.819999999999993</v>
      </c>
    </row>
    <row r="6504" spans="2:6" x14ac:dyDescent="0.25">
      <c r="B6504" s="13" t="s">
        <v>11533</v>
      </c>
      <c r="C6504" s="17" t="s">
        <v>170</v>
      </c>
      <c r="D6504" s="13" t="s">
        <v>118</v>
      </c>
      <c r="E6504" s="13" t="s">
        <v>11534</v>
      </c>
      <c r="F6504" s="43">
        <v>60.13</v>
      </c>
    </row>
    <row r="6505" spans="2:6" x14ac:dyDescent="0.25">
      <c r="B6505" s="13" t="s">
        <v>11535</v>
      </c>
      <c r="C6505" s="17" t="s">
        <v>170</v>
      </c>
      <c r="D6505" s="13" t="s">
        <v>118</v>
      </c>
      <c r="E6505" s="13" t="s">
        <v>11536</v>
      </c>
      <c r="F6505" s="43">
        <v>60.13</v>
      </c>
    </row>
    <row r="6506" spans="2:6" x14ac:dyDescent="0.25">
      <c r="B6506" s="13" t="s">
        <v>11537</v>
      </c>
      <c r="C6506" s="17" t="s">
        <v>170</v>
      </c>
      <c r="D6506" s="13" t="s">
        <v>118</v>
      </c>
      <c r="E6506" s="13" t="s">
        <v>11538</v>
      </c>
      <c r="F6506" s="43">
        <v>60.13</v>
      </c>
    </row>
    <row r="6507" spans="2:6" x14ac:dyDescent="0.25">
      <c r="B6507" s="13" t="s">
        <v>11539</v>
      </c>
      <c r="C6507" s="17" t="s">
        <v>170</v>
      </c>
      <c r="D6507" s="13" t="s">
        <v>118</v>
      </c>
      <c r="E6507" s="13" t="s">
        <v>11540</v>
      </c>
      <c r="F6507" s="43">
        <v>60.13</v>
      </c>
    </row>
    <row r="6508" spans="2:6" x14ac:dyDescent="0.25">
      <c r="B6508" s="13" t="s">
        <v>11541</v>
      </c>
      <c r="C6508" s="17" t="s">
        <v>170</v>
      </c>
      <c r="D6508" s="13" t="s">
        <v>118</v>
      </c>
      <c r="E6508" s="13" t="s">
        <v>11542</v>
      </c>
      <c r="F6508" s="43">
        <v>60.13</v>
      </c>
    </row>
    <row r="6509" spans="2:6" x14ac:dyDescent="0.25">
      <c r="B6509" s="13" t="s">
        <v>11543</v>
      </c>
      <c r="C6509" s="17" t="s">
        <v>170</v>
      </c>
      <c r="D6509" s="13" t="s">
        <v>118</v>
      </c>
      <c r="E6509" s="13" t="s">
        <v>11544</v>
      </c>
      <c r="F6509" s="43">
        <v>60.13</v>
      </c>
    </row>
    <row r="6510" spans="2:6" x14ac:dyDescent="0.25">
      <c r="B6510" s="13" t="s">
        <v>11545</v>
      </c>
      <c r="C6510" s="17" t="s">
        <v>170</v>
      </c>
      <c r="D6510" s="13" t="s">
        <v>118</v>
      </c>
      <c r="E6510" s="13" t="s">
        <v>11546</v>
      </c>
      <c r="F6510" s="43">
        <v>60.13</v>
      </c>
    </row>
    <row r="6511" spans="2:6" x14ac:dyDescent="0.25">
      <c r="B6511" s="13" t="s">
        <v>11547</v>
      </c>
      <c r="C6511" s="17" t="s">
        <v>170</v>
      </c>
      <c r="D6511" s="13" t="s">
        <v>118</v>
      </c>
      <c r="E6511" s="13" t="s">
        <v>11548</v>
      </c>
      <c r="F6511" s="43">
        <v>60.13</v>
      </c>
    </row>
    <row r="6512" spans="2:6" x14ac:dyDescent="0.25">
      <c r="B6512" s="13" t="s">
        <v>11549</v>
      </c>
      <c r="C6512" s="17" t="s">
        <v>170</v>
      </c>
      <c r="D6512" s="13" t="s">
        <v>118</v>
      </c>
      <c r="E6512" s="13" t="s">
        <v>11550</v>
      </c>
      <c r="F6512" s="43">
        <v>60.13</v>
      </c>
    </row>
    <row r="6513" spans="2:6" x14ac:dyDescent="0.25">
      <c r="B6513" s="13" t="s">
        <v>11551</v>
      </c>
      <c r="C6513" s="17" t="s">
        <v>170</v>
      </c>
      <c r="D6513" s="13" t="s">
        <v>118</v>
      </c>
      <c r="E6513" s="13" t="s">
        <v>11552</v>
      </c>
      <c r="F6513" s="43">
        <v>60.13</v>
      </c>
    </row>
    <row r="6514" spans="2:6" x14ac:dyDescent="0.25">
      <c r="B6514" s="13" t="s">
        <v>11553</v>
      </c>
      <c r="C6514" s="17" t="s">
        <v>170</v>
      </c>
      <c r="D6514" s="13" t="s">
        <v>118</v>
      </c>
      <c r="E6514" s="13" t="s">
        <v>11554</v>
      </c>
      <c r="F6514" s="43">
        <v>60.13</v>
      </c>
    </row>
    <row r="6515" spans="2:6" x14ac:dyDescent="0.25">
      <c r="B6515" s="13" t="s">
        <v>11555</v>
      </c>
      <c r="C6515" s="17" t="s">
        <v>170</v>
      </c>
      <c r="D6515" s="13" t="s">
        <v>118</v>
      </c>
      <c r="E6515" s="13" t="s">
        <v>11556</v>
      </c>
      <c r="F6515" s="43">
        <v>60.13</v>
      </c>
    </row>
    <row r="6516" spans="2:6" x14ac:dyDescent="0.25">
      <c r="B6516" s="13" t="s">
        <v>11557</v>
      </c>
      <c r="C6516" s="17" t="s">
        <v>170</v>
      </c>
      <c r="D6516" s="13" t="s">
        <v>118</v>
      </c>
      <c r="E6516" s="13" t="s">
        <v>11558</v>
      </c>
      <c r="F6516" s="43">
        <v>60.13</v>
      </c>
    </row>
    <row r="6517" spans="2:6" x14ac:dyDescent="0.25">
      <c r="B6517" s="13" t="s">
        <v>11559</v>
      </c>
      <c r="C6517" s="17" t="s">
        <v>170</v>
      </c>
      <c r="D6517" s="13" t="s">
        <v>118</v>
      </c>
      <c r="E6517" s="13" t="s">
        <v>11560</v>
      </c>
      <c r="F6517" s="43">
        <v>83.77</v>
      </c>
    </row>
    <row r="6518" spans="2:6" x14ac:dyDescent="0.25">
      <c r="B6518" s="13" t="s">
        <v>11561</v>
      </c>
      <c r="C6518" s="17" t="s">
        <v>170</v>
      </c>
      <c r="D6518" s="13" t="s">
        <v>118</v>
      </c>
      <c r="E6518" s="13" t="s">
        <v>11562</v>
      </c>
      <c r="F6518" s="43">
        <v>83.77</v>
      </c>
    </row>
    <row r="6519" spans="2:6" x14ac:dyDescent="0.25">
      <c r="B6519" s="13" t="s">
        <v>11563</v>
      </c>
      <c r="C6519" s="17" t="s">
        <v>170</v>
      </c>
      <c r="D6519" s="13" t="s">
        <v>118</v>
      </c>
      <c r="E6519" s="13" t="s">
        <v>11564</v>
      </c>
      <c r="F6519" s="43">
        <v>83.77</v>
      </c>
    </row>
    <row r="6520" spans="2:6" x14ac:dyDescent="0.25">
      <c r="B6520" s="13" t="s">
        <v>11565</v>
      </c>
      <c r="C6520" s="17" t="s">
        <v>170</v>
      </c>
      <c r="D6520" s="13" t="s">
        <v>118</v>
      </c>
      <c r="E6520" s="13" t="s">
        <v>11566</v>
      </c>
      <c r="F6520" s="43">
        <v>83.77</v>
      </c>
    </row>
    <row r="6521" spans="2:6" x14ac:dyDescent="0.25">
      <c r="B6521" s="13" t="s">
        <v>11567</v>
      </c>
      <c r="C6521" s="17" t="s">
        <v>170</v>
      </c>
      <c r="D6521" s="13" t="s">
        <v>118</v>
      </c>
      <c r="E6521" s="13" t="s">
        <v>11568</v>
      </c>
      <c r="F6521" s="43">
        <v>178.33</v>
      </c>
    </row>
    <row r="6522" spans="2:6" x14ac:dyDescent="0.25">
      <c r="B6522" s="13" t="s">
        <v>11569</v>
      </c>
      <c r="C6522" s="17" t="s">
        <v>170</v>
      </c>
      <c r="D6522" s="13" t="s">
        <v>118</v>
      </c>
      <c r="E6522" s="13" t="s">
        <v>11570</v>
      </c>
      <c r="F6522" s="43">
        <v>60.13</v>
      </c>
    </row>
    <row r="6523" spans="2:6" x14ac:dyDescent="0.25">
      <c r="B6523" s="13" t="s">
        <v>11571</v>
      </c>
      <c r="C6523" s="17" t="s">
        <v>170</v>
      </c>
      <c r="D6523" s="13" t="s">
        <v>118</v>
      </c>
      <c r="E6523" s="13" t="s">
        <v>11572</v>
      </c>
      <c r="F6523" s="43">
        <v>60.13</v>
      </c>
    </row>
    <row r="6524" spans="2:6" x14ac:dyDescent="0.25">
      <c r="B6524" s="13" t="s">
        <v>11573</v>
      </c>
      <c r="C6524" s="17" t="s">
        <v>170</v>
      </c>
      <c r="D6524" s="13" t="s">
        <v>118</v>
      </c>
      <c r="E6524" s="13" t="s">
        <v>11574</v>
      </c>
      <c r="F6524" s="43">
        <v>60.13</v>
      </c>
    </row>
    <row r="6525" spans="2:6" x14ac:dyDescent="0.25">
      <c r="B6525" s="13" t="s">
        <v>11575</v>
      </c>
      <c r="C6525" s="17" t="s">
        <v>170</v>
      </c>
      <c r="D6525" s="13" t="s">
        <v>118</v>
      </c>
      <c r="E6525" s="13" t="s">
        <v>11576</v>
      </c>
      <c r="F6525" s="43">
        <v>60.13</v>
      </c>
    </row>
    <row r="6526" spans="2:6" x14ac:dyDescent="0.25">
      <c r="B6526" s="13" t="s">
        <v>11577</v>
      </c>
      <c r="C6526" s="17" t="s">
        <v>170</v>
      </c>
      <c r="D6526" s="13" t="s">
        <v>118</v>
      </c>
      <c r="E6526" s="13" t="s">
        <v>11578</v>
      </c>
      <c r="F6526" s="43">
        <v>60.13</v>
      </c>
    </row>
    <row r="6527" spans="2:6" x14ac:dyDescent="0.25">
      <c r="B6527" s="13" t="s">
        <v>11579</v>
      </c>
      <c r="C6527" s="17" t="s">
        <v>170</v>
      </c>
      <c r="D6527" s="13" t="s">
        <v>118</v>
      </c>
      <c r="E6527" s="13" t="s">
        <v>11580</v>
      </c>
      <c r="F6527" s="43">
        <v>60.13</v>
      </c>
    </row>
    <row r="6528" spans="2:6" x14ac:dyDescent="0.25">
      <c r="B6528" s="13" t="s">
        <v>11581</v>
      </c>
      <c r="C6528" s="17" t="s">
        <v>170</v>
      </c>
      <c r="D6528" s="13" t="s">
        <v>118</v>
      </c>
      <c r="E6528" s="13" t="s">
        <v>11582</v>
      </c>
      <c r="F6528" s="43">
        <v>60.13</v>
      </c>
    </row>
    <row r="6529" spans="2:6" x14ac:dyDescent="0.25">
      <c r="B6529" s="13" t="s">
        <v>11583</v>
      </c>
      <c r="C6529" s="17" t="s">
        <v>170</v>
      </c>
      <c r="D6529" s="13" t="s">
        <v>118</v>
      </c>
      <c r="E6529" s="13" t="s">
        <v>11584</v>
      </c>
      <c r="F6529" s="43">
        <v>60.13</v>
      </c>
    </row>
    <row r="6530" spans="2:6" x14ac:dyDescent="0.25">
      <c r="B6530" s="13" t="s">
        <v>11585</v>
      </c>
      <c r="C6530" s="17" t="s">
        <v>170</v>
      </c>
      <c r="D6530" s="13" t="s">
        <v>118</v>
      </c>
      <c r="E6530" s="13" t="s">
        <v>11586</v>
      </c>
      <c r="F6530" s="43">
        <v>60.13</v>
      </c>
    </row>
    <row r="6531" spans="2:6" x14ac:dyDescent="0.25">
      <c r="B6531" s="13" t="s">
        <v>11587</v>
      </c>
      <c r="C6531" s="17" t="s">
        <v>170</v>
      </c>
      <c r="D6531" s="13" t="s">
        <v>118</v>
      </c>
      <c r="E6531" s="13" t="s">
        <v>11588</v>
      </c>
      <c r="F6531" s="43">
        <v>60.13</v>
      </c>
    </row>
    <row r="6532" spans="2:6" x14ac:dyDescent="0.25">
      <c r="B6532" s="13" t="s">
        <v>11589</v>
      </c>
      <c r="C6532" s="17" t="s">
        <v>170</v>
      </c>
      <c r="D6532" s="13" t="s">
        <v>118</v>
      </c>
      <c r="E6532" s="13" t="s">
        <v>11590</v>
      </c>
      <c r="F6532" s="43">
        <v>60.13</v>
      </c>
    </row>
    <row r="6533" spans="2:6" x14ac:dyDescent="0.25">
      <c r="B6533" s="13" t="s">
        <v>11591</v>
      </c>
      <c r="C6533" s="17" t="s">
        <v>170</v>
      </c>
      <c r="D6533" s="13" t="s">
        <v>118</v>
      </c>
      <c r="E6533" s="13" t="s">
        <v>11592</v>
      </c>
      <c r="F6533" s="43">
        <v>60.13</v>
      </c>
    </row>
    <row r="6534" spans="2:6" x14ac:dyDescent="0.25">
      <c r="B6534" s="13" t="s">
        <v>11593</v>
      </c>
      <c r="C6534" s="17" t="s">
        <v>170</v>
      </c>
      <c r="D6534" s="13" t="s">
        <v>118</v>
      </c>
      <c r="E6534" s="13" t="s">
        <v>11594</v>
      </c>
      <c r="F6534" s="43">
        <v>60.13</v>
      </c>
    </row>
    <row r="6535" spans="2:6" x14ac:dyDescent="0.25">
      <c r="B6535" s="13" t="s">
        <v>11595</v>
      </c>
      <c r="C6535" s="17" t="s">
        <v>170</v>
      </c>
      <c r="D6535" s="13" t="s">
        <v>118</v>
      </c>
      <c r="E6535" s="13" t="s">
        <v>11596</v>
      </c>
      <c r="F6535" s="43">
        <v>60.13</v>
      </c>
    </row>
    <row r="6536" spans="2:6" x14ac:dyDescent="0.25">
      <c r="B6536" s="13" t="s">
        <v>11597</v>
      </c>
      <c r="C6536" s="17" t="s">
        <v>170</v>
      </c>
      <c r="D6536" s="13" t="s">
        <v>118</v>
      </c>
      <c r="E6536" s="13" t="s">
        <v>11598</v>
      </c>
      <c r="F6536" s="43">
        <v>60.13</v>
      </c>
    </row>
    <row r="6537" spans="2:6" x14ac:dyDescent="0.25">
      <c r="B6537" s="13" t="s">
        <v>11599</v>
      </c>
      <c r="C6537" s="17" t="s">
        <v>170</v>
      </c>
      <c r="D6537" s="13" t="s">
        <v>118</v>
      </c>
      <c r="E6537" s="13" t="s">
        <v>11600</v>
      </c>
      <c r="F6537" s="43">
        <v>60.13</v>
      </c>
    </row>
    <row r="6538" spans="2:6" x14ac:dyDescent="0.25">
      <c r="B6538" s="13" t="s">
        <v>11601</v>
      </c>
      <c r="C6538" s="17" t="s">
        <v>170</v>
      </c>
      <c r="D6538" s="13" t="s">
        <v>118</v>
      </c>
      <c r="E6538" s="13" t="s">
        <v>11602</v>
      </c>
      <c r="F6538" s="43">
        <v>60.13</v>
      </c>
    </row>
    <row r="6539" spans="2:6" x14ac:dyDescent="0.25">
      <c r="B6539" s="13" t="s">
        <v>11603</v>
      </c>
      <c r="C6539" s="17" t="s">
        <v>170</v>
      </c>
      <c r="D6539" s="13" t="s">
        <v>118</v>
      </c>
      <c r="E6539" s="13" t="s">
        <v>11604</v>
      </c>
      <c r="F6539" s="43">
        <v>74.819999999999993</v>
      </c>
    </row>
    <row r="6540" spans="2:6" x14ac:dyDescent="0.25">
      <c r="B6540" s="13" t="s">
        <v>11605</v>
      </c>
      <c r="C6540" s="17" t="s">
        <v>170</v>
      </c>
      <c r="D6540" s="13" t="s">
        <v>118</v>
      </c>
      <c r="E6540" s="13" t="s">
        <v>11606</v>
      </c>
      <c r="F6540" s="43">
        <v>60.13</v>
      </c>
    </row>
    <row r="6541" spans="2:6" x14ac:dyDescent="0.25">
      <c r="B6541" s="13" t="s">
        <v>11607</v>
      </c>
      <c r="C6541" s="17" t="s">
        <v>170</v>
      </c>
      <c r="D6541" s="13" t="s">
        <v>118</v>
      </c>
      <c r="E6541" s="13" t="s">
        <v>11608</v>
      </c>
      <c r="F6541" s="43">
        <v>60.13</v>
      </c>
    </row>
    <row r="6542" spans="2:6" x14ac:dyDescent="0.25">
      <c r="B6542" s="13" t="s">
        <v>11609</v>
      </c>
      <c r="C6542" s="17" t="s">
        <v>170</v>
      </c>
      <c r="D6542" s="13" t="s">
        <v>118</v>
      </c>
      <c r="E6542" s="13" t="s">
        <v>11610</v>
      </c>
      <c r="F6542" s="43">
        <v>60.13</v>
      </c>
    </row>
    <row r="6543" spans="2:6" x14ac:dyDescent="0.25">
      <c r="B6543" s="13" t="s">
        <v>11611</v>
      </c>
      <c r="C6543" s="17" t="s">
        <v>170</v>
      </c>
      <c r="D6543" s="13" t="s">
        <v>118</v>
      </c>
      <c r="E6543" s="13" t="s">
        <v>11612</v>
      </c>
      <c r="F6543" s="43">
        <v>60.13</v>
      </c>
    </row>
    <row r="6544" spans="2:6" x14ac:dyDescent="0.25">
      <c r="B6544" s="13" t="s">
        <v>11613</v>
      </c>
      <c r="C6544" s="17" t="s">
        <v>170</v>
      </c>
      <c r="D6544" s="13" t="s">
        <v>118</v>
      </c>
      <c r="E6544" s="13" t="s">
        <v>11614</v>
      </c>
      <c r="F6544" s="43">
        <v>60.13</v>
      </c>
    </row>
    <row r="6545" spans="2:6" x14ac:dyDescent="0.25">
      <c r="B6545" s="13" t="s">
        <v>11615</v>
      </c>
      <c r="C6545" s="17" t="s">
        <v>170</v>
      </c>
      <c r="D6545" s="13" t="s">
        <v>118</v>
      </c>
      <c r="E6545" s="13" t="s">
        <v>11616</v>
      </c>
      <c r="F6545" s="43">
        <v>60.13</v>
      </c>
    </row>
    <row r="6546" spans="2:6" x14ac:dyDescent="0.25">
      <c r="B6546" s="13" t="s">
        <v>11617</v>
      </c>
      <c r="C6546" s="17" t="s">
        <v>170</v>
      </c>
      <c r="D6546" s="13" t="s">
        <v>118</v>
      </c>
      <c r="E6546" s="13" t="s">
        <v>11618</v>
      </c>
      <c r="F6546" s="43">
        <v>60.13</v>
      </c>
    </row>
    <row r="6547" spans="2:6" x14ac:dyDescent="0.25">
      <c r="B6547" s="13" t="s">
        <v>11619</v>
      </c>
      <c r="C6547" s="17" t="s">
        <v>170</v>
      </c>
      <c r="D6547" s="13" t="s">
        <v>118</v>
      </c>
      <c r="E6547" s="13" t="s">
        <v>11620</v>
      </c>
      <c r="F6547" s="43">
        <v>60.13</v>
      </c>
    </row>
    <row r="6548" spans="2:6" x14ac:dyDescent="0.25">
      <c r="B6548" s="13" t="s">
        <v>11621</v>
      </c>
      <c r="C6548" s="17" t="s">
        <v>170</v>
      </c>
      <c r="D6548" s="13" t="s">
        <v>118</v>
      </c>
      <c r="E6548" s="13" t="s">
        <v>11622</v>
      </c>
      <c r="F6548" s="43">
        <v>60.13</v>
      </c>
    </row>
    <row r="6549" spans="2:6" x14ac:dyDescent="0.25">
      <c r="B6549" s="13" t="s">
        <v>11623</v>
      </c>
      <c r="C6549" s="17" t="s">
        <v>170</v>
      </c>
      <c r="D6549" s="13" t="s">
        <v>118</v>
      </c>
      <c r="E6549" s="13" t="s">
        <v>11624</v>
      </c>
      <c r="F6549" s="43">
        <v>60.13</v>
      </c>
    </row>
    <row r="6550" spans="2:6" x14ac:dyDescent="0.25">
      <c r="B6550" s="13" t="s">
        <v>11625</v>
      </c>
      <c r="C6550" s="17" t="s">
        <v>170</v>
      </c>
      <c r="D6550" s="13" t="s">
        <v>118</v>
      </c>
      <c r="E6550" s="13" t="s">
        <v>11626</v>
      </c>
      <c r="F6550" s="43">
        <v>60.13</v>
      </c>
    </row>
    <row r="6551" spans="2:6" x14ac:dyDescent="0.25">
      <c r="B6551" s="13" t="s">
        <v>11627</v>
      </c>
      <c r="C6551" s="17" t="s">
        <v>170</v>
      </c>
      <c r="D6551" s="13" t="s">
        <v>118</v>
      </c>
      <c r="E6551" s="13" t="s">
        <v>11628</v>
      </c>
      <c r="F6551" s="43">
        <v>74.819999999999993</v>
      </c>
    </row>
    <row r="6552" spans="2:6" x14ac:dyDescent="0.25">
      <c r="B6552" s="13" t="s">
        <v>11629</v>
      </c>
      <c r="C6552" s="17" t="s">
        <v>170</v>
      </c>
      <c r="D6552" s="13" t="s">
        <v>118</v>
      </c>
      <c r="E6552" s="13" t="s">
        <v>11630</v>
      </c>
      <c r="F6552" s="43">
        <v>60.13</v>
      </c>
    </row>
    <row r="6553" spans="2:6" x14ac:dyDescent="0.25">
      <c r="B6553" s="13" t="s">
        <v>11631</v>
      </c>
      <c r="C6553" s="17" t="s">
        <v>170</v>
      </c>
      <c r="D6553" s="13" t="s">
        <v>118</v>
      </c>
      <c r="E6553" s="13" t="s">
        <v>11632</v>
      </c>
      <c r="F6553" s="43">
        <v>60.13</v>
      </c>
    </row>
    <row r="6554" spans="2:6" x14ac:dyDescent="0.25">
      <c r="B6554" s="13" t="s">
        <v>11633</v>
      </c>
      <c r="C6554" s="17" t="s">
        <v>170</v>
      </c>
      <c r="D6554" s="13" t="s">
        <v>118</v>
      </c>
      <c r="E6554" s="13" t="s">
        <v>11634</v>
      </c>
      <c r="F6554" s="43">
        <v>60.13</v>
      </c>
    </row>
    <row r="6555" spans="2:6" x14ac:dyDescent="0.25">
      <c r="B6555" s="13" t="s">
        <v>11635</v>
      </c>
      <c r="C6555" s="17" t="s">
        <v>170</v>
      </c>
      <c r="D6555" s="13" t="s">
        <v>118</v>
      </c>
      <c r="E6555" s="13" t="s">
        <v>11636</v>
      </c>
      <c r="F6555" s="43">
        <v>60.13</v>
      </c>
    </row>
    <row r="6556" spans="2:6" x14ac:dyDescent="0.25">
      <c r="B6556" s="13" t="s">
        <v>11637</v>
      </c>
      <c r="C6556" s="17" t="s">
        <v>170</v>
      </c>
      <c r="D6556" s="13" t="s">
        <v>118</v>
      </c>
      <c r="E6556" s="13" t="s">
        <v>11638</v>
      </c>
      <c r="F6556" s="43">
        <v>60.13</v>
      </c>
    </row>
    <row r="6557" spans="2:6" x14ac:dyDescent="0.25">
      <c r="B6557" s="13" t="s">
        <v>11639</v>
      </c>
      <c r="C6557" s="17" t="s">
        <v>170</v>
      </c>
      <c r="D6557" s="13" t="s">
        <v>118</v>
      </c>
      <c r="E6557" s="13" t="s">
        <v>11640</v>
      </c>
      <c r="F6557" s="43">
        <v>60.13</v>
      </c>
    </row>
    <row r="6558" spans="2:6" x14ac:dyDescent="0.25">
      <c r="B6558" s="13" t="s">
        <v>11641</v>
      </c>
      <c r="C6558" s="17" t="s">
        <v>170</v>
      </c>
      <c r="D6558" s="13" t="s">
        <v>118</v>
      </c>
      <c r="E6558" s="13" t="s">
        <v>11642</v>
      </c>
      <c r="F6558" s="43">
        <v>60.13</v>
      </c>
    </row>
    <row r="6559" spans="2:6" x14ac:dyDescent="0.25">
      <c r="B6559" s="13" t="s">
        <v>11643</v>
      </c>
      <c r="C6559" s="17" t="s">
        <v>170</v>
      </c>
      <c r="D6559" s="13" t="s">
        <v>118</v>
      </c>
      <c r="E6559" s="13" t="s">
        <v>11644</v>
      </c>
      <c r="F6559" s="43">
        <v>60.13</v>
      </c>
    </row>
    <row r="6560" spans="2:6" x14ac:dyDescent="0.25">
      <c r="B6560" s="13" t="s">
        <v>11645</v>
      </c>
      <c r="C6560" s="17" t="s">
        <v>170</v>
      </c>
      <c r="D6560" s="13" t="s">
        <v>118</v>
      </c>
      <c r="E6560" s="13" t="s">
        <v>11646</v>
      </c>
      <c r="F6560" s="43">
        <v>60.13</v>
      </c>
    </row>
    <row r="6561" spans="2:6" x14ac:dyDescent="0.25">
      <c r="B6561" s="13" t="s">
        <v>11647</v>
      </c>
      <c r="C6561" s="17" t="s">
        <v>170</v>
      </c>
      <c r="D6561" s="13" t="s">
        <v>118</v>
      </c>
      <c r="E6561" s="13" t="s">
        <v>11648</v>
      </c>
      <c r="F6561" s="43">
        <v>60.13</v>
      </c>
    </row>
    <row r="6562" spans="2:6" x14ac:dyDescent="0.25">
      <c r="B6562" s="13" t="s">
        <v>11649</v>
      </c>
      <c r="C6562" s="17" t="s">
        <v>170</v>
      </c>
      <c r="D6562" s="13" t="s">
        <v>118</v>
      </c>
      <c r="E6562" s="13" t="s">
        <v>11650</v>
      </c>
      <c r="F6562" s="43">
        <v>74.819999999999993</v>
      </c>
    </row>
    <row r="6563" spans="2:6" x14ac:dyDescent="0.25">
      <c r="B6563" s="13" t="s">
        <v>11651</v>
      </c>
      <c r="C6563" s="17" t="s">
        <v>170</v>
      </c>
      <c r="D6563" s="13" t="s">
        <v>118</v>
      </c>
      <c r="E6563" s="13" t="s">
        <v>11652</v>
      </c>
      <c r="F6563" s="43">
        <v>60.13</v>
      </c>
    </row>
    <row r="6564" spans="2:6" x14ac:dyDescent="0.25">
      <c r="B6564" s="13" t="s">
        <v>11653</v>
      </c>
      <c r="C6564" s="17" t="s">
        <v>170</v>
      </c>
      <c r="D6564" s="13" t="s">
        <v>118</v>
      </c>
      <c r="E6564" s="13" t="s">
        <v>11654</v>
      </c>
      <c r="F6564" s="43">
        <v>60.13</v>
      </c>
    </row>
    <row r="6565" spans="2:6" x14ac:dyDescent="0.25">
      <c r="B6565" s="13" t="s">
        <v>11655</v>
      </c>
      <c r="C6565" s="17" t="s">
        <v>170</v>
      </c>
      <c r="D6565" s="13" t="s">
        <v>118</v>
      </c>
      <c r="E6565" s="13" t="s">
        <v>11656</v>
      </c>
      <c r="F6565" s="43">
        <v>60.13</v>
      </c>
    </row>
    <row r="6566" spans="2:6" x14ac:dyDescent="0.25">
      <c r="B6566" s="13" t="s">
        <v>11657</v>
      </c>
      <c r="C6566" s="17" t="s">
        <v>170</v>
      </c>
      <c r="D6566" s="13" t="s">
        <v>118</v>
      </c>
      <c r="E6566" s="13" t="s">
        <v>11658</v>
      </c>
      <c r="F6566" s="43">
        <v>60.13</v>
      </c>
    </row>
    <row r="6567" spans="2:6" x14ac:dyDescent="0.25">
      <c r="B6567" s="13" t="s">
        <v>11659</v>
      </c>
      <c r="C6567" s="17" t="s">
        <v>170</v>
      </c>
      <c r="D6567" s="13" t="s">
        <v>118</v>
      </c>
      <c r="E6567" s="13" t="s">
        <v>11660</v>
      </c>
      <c r="F6567" s="43">
        <v>60.13</v>
      </c>
    </row>
    <row r="6568" spans="2:6" x14ac:dyDescent="0.25">
      <c r="B6568" s="13" t="s">
        <v>11661</v>
      </c>
      <c r="C6568" s="17" t="s">
        <v>170</v>
      </c>
      <c r="D6568" s="13" t="s">
        <v>118</v>
      </c>
      <c r="E6568" s="13" t="s">
        <v>11662</v>
      </c>
      <c r="F6568" s="43">
        <v>60.13</v>
      </c>
    </row>
    <row r="6569" spans="2:6" x14ac:dyDescent="0.25">
      <c r="B6569" s="13" t="s">
        <v>11663</v>
      </c>
      <c r="C6569" s="17" t="s">
        <v>170</v>
      </c>
      <c r="D6569" s="13" t="s">
        <v>118</v>
      </c>
      <c r="E6569" s="13" t="s">
        <v>11664</v>
      </c>
      <c r="F6569" s="43">
        <v>83.77</v>
      </c>
    </row>
    <row r="6570" spans="2:6" x14ac:dyDescent="0.25">
      <c r="B6570" s="13" t="s">
        <v>11665</v>
      </c>
      <c r="C6570" s="17" t="s">
        <v>170</v>
      </c>
      <c r="D6570" s="13" t="s">
        <v>118</v>
      </c>
      <c r="E6570" s="13" t="s">
        <v>11666</v>
      </c>
      <c r="F6570" s="43">
        <v>83.77</v>
      </c>
    </row>
    <row r="6571" spans="2:6" x14ac:dyDescent="0.25">
      <c r="B6571" s="13" t="s">
        <v>11667</v>
      </c>
      <c r="C6571" s="17" t="s">
        <v>170</v>
      </c>
      <c r="D6571" s="13" t="s">
        <v>118</v>
      </c>
      <c r="E6571" s="13" t="s">
        <v>11668</v>
      </c>
      <c r="F6571" s="43">
        <v>83.77</v>
      </c>
    </row>
    <row r="6572" spans="2:6" x14ac:dyDescent="0.25">
      <c r="B6572" s="13" t="s">
        <v>11669</v>
      </c>
      <c r="C6572" s="17" t="s">
        <v>170</v>
      </c>
      <c r="D6572" s="13" t="s">
        <v>118</v>
      </c>
      <c r="E6572" s="13" t="s">
        <v>11670</v>
      </c>
      <c r="F6572" s="43">
        <v>69.89</v>
      </c>
    </row>
    <row r="6573" spans="2:6" x14ac:dyDescent="0.25">
      <c r="B6573" s="13" t="s">
        <v>11671</v>
      </c>
      <c r="C6573" s="17" t="s">
        <v>170</v>
      </c>
      <c r="D6573" s="13" t="s">
        <v>118</v>
      </c>
      <c r="E6573" s="13" t="s">
        <v>11672</v>
      </c>
      <c r="F6573" s="43">
        <v>69.89</v>
      </c>
    </row>
    <row r="6574" spans="2:6" x14ac:dyDescent="0.25">
      <c r="B6574" s="13" t="s">
        <v>11673</v>
      </c>
      <c r="C6574" s="17" t="s">
        <v>170</v>
      </c>
      <c r="D6574" s="13" t="s">
        <v>118</v>
      </c>
      <c r="E6574" s="13" t="s">
        <v>11674</v>
      </c>
      <c r="F6574" s="43">
        <v>69.89</v>
      </c>
    </row>
    <row r="6575" spans="2:6" x14ac:dyDescent="0.25">
      <c r="B6575" s="13" t="s">
        <v>11675</v>
      </c>
      <c r="C6575" s="17" t="s">
        <v>170</v>
      </c>
      <c r="D6575" s="13" t="s">
        <v>118</v>
      </c>
      <c r="E6575" s="13" t="s">
        <v>11676</v>
      </c>
      <c r="F6575" s="43">
        <v>69.89</v>
      </c>
    </row>
    <row r="6576" spans="2:6" x14ac:dyDescent="0.25">
      <c r="B6576" s="13" t="s">
        <v>11677</v>
      </c>
      <c r="C6576" s="17" t="s">
        <v>170</v>
      </c>
      <c r="D6576" s="13" t="s">
        <v>118</v>
      </c>
      <c r="E6576" s="13" t="s">
        <v>11678</v>
      </c>
      <c r="F6576" s="43">
        <v>69.89</v>
      </c>
    </row>
    <row r="6577" spans="2:6" x14ac:dyDescent="0.25">
      <c r="B6577" s="13" t="s">
        <v>11679</v>
      </c>
      <c r="C6577" s="17" t="s">
        <v>170</v>
      </c>
      <c r="D6577" s="13" t="s">
        <v>118</v>
      </c>
      <c r="E6577" s="13" t="s">
        <v>11680</v>
      </c>
      <c r="F6577" s="43">
        <v>69.89</v>
      </c>
    </row>
    <row r="6578" spans="2:6" x14ac:dyDescent="0.25">
      <c r="B6578" s="13" t="s">
        <v>11681</v>
      </c>
      <c r="C6578" s="17" t="s">
        <v>170</v>
      </c>
      <c r="D6578" s="13" t="s">
        <v>118</v>
      </c>
      <c r="E6578" s="13" t="s">
        <v>11682</v>
      </c>
      <c r="F6578" s="43">
        <v>69.89</v>
      </c>
    </row>
    <row r="6579" spans="2:6" x14ac:dyDescent="0.25">
      <c r="B6579" s="13" t="s">
        <v>11683</v>
      </c>
      <c r="C6579" s="17" t="s">
        <v>170</v>
      </c>
      <c r="D6579" s="13" t="s">
        <v>118</v>
      </c>
      <c r="E6579" s="13" t="s">
        <v>11684</v>
      </c>
      <c r="F6579" s="43">
        <v>69.89</v>
      </c>
    </row>
    <row r="6580" spans="2:6" x14ac:dyDescent="0.25">
      <c r="B6580" s="13" t="s">
        <v>11685</v>
      </c>
      <c r="C6580" s="17" t="s">
        <v>170</v>
      </c>
      <c r="D6580" s="13" t="s">
        <v>118</v>
      </c>
      <c r="E6580" s="13" t="s">
        <v>11686</v>
      </c>
      <c r="F6580" s="43">
        <v>69.89</v>
      </c>
    </row>
    <row r="6581" spans="2:6" x14ac:dyDescent="0.25">
      <c r="B6581" s="13" t="s">
        <v>11687</v>
      </c>
      <c r="C6581" s="17" t="s">
        <v>170</v>
      </c>
      <c r="D6581" s="13" t="s">
        <v>118</v>
      </c>
      <c r="E6581" s="13" t="s">
        <v>11688</v>
      </c>
      <c r="F6581" s="43">
        <v>69.89</v>
      </c>
    </row>
    <row r="6582" spans="2:6" x14ac:dyDescent="0.25">
      <c r="B6582" s="13" t="s">
        <v>11689</v>
      </c>
      <c r="C6582" s="17" t="s">
        <v>170</v>
      </c>
      <c r="D6582" s="13" t="s">
        <v>118</v>
      </c>
      <c r="E6582" s="13" t="s">
        <v>11690</v>
      </c>
      <c r="F6582" s="43">
        <v>69.89</v>
      </c>
    </row>
    <row r="6583" spans="2:6" x14ac:dyDescent="0.25">
      <c r="B6583" s="13" t="s">
        <v>11691</v>
      </c>
      <c r="C6583" s="17" t="s">
        <v>170</v>
      </c>
      <c r="D6583" s="13" t="s">
        <v>118</v>
      </c>
      <c r="E6583" s="13" t="s">
        <v>11692</v>
      </c>
      <c r="F6583" s="43">
        <v>69.89</v>
      </c>
    </row>
    <row r="6584" spans="2:6" x14ac:dyDescent="0.25">
      <c r="B6584" s="13" t="s">
        <v>11693</v>
      </c>
      <c r="C6584" s="17" t="s">
        <v>170</v>
      </c>
      <c r="D6584" s="13" t="s">
        <v>118</v>
      </c>
      <c r="E6584" s="13" t="s">
        <v>11694</v>
      </c>
      <c r="F6584" s="43">
        <v>69.89</v>
      </c>
    </row>
    <row r="6585" spans="2:6" x14ac:dyDescent="0.25">
      <c r="B6585" s="13" t="s">
        <v>11695</v>
      </c>
      <c r="C6585" s="17" t="s">
        <v>170</v>
      </c>
      <c r="D6585" s="13" t="s">
        <v>118</v>
      </c>
      <c r="E6585" s="13" t="s">
        <v>11696</v>
      </c>
      <c r="F6585" s="43">
        <v>69.89</v>
      </c>
    </row>
    <row r="6586" spans="2:6" x14ac:dyDescent="0.25">
      <c r="B6586" s="13" t="s">
        <v>11697</v>
      </c>
      <c r="C6586" s="17" t="s">
        <v>170</v>
      </c>
      <c r="D6586" s="13" t="s">
        <v>118</v>
      </c>
      <c r="E6586" s="13" t="s">
        <v>11698</v>
      </c>
      <c r="F6586" s="43">
        <v>69.89</v>
      </c>
    </row>
    <row r="6587" spans="2:6" x14ac:dyDescent="0.25">
      <c r="B6587" s="13" t="s">
        <v>11699</v>
      </c>
      <c r="C6587" s="17" t="s">
        <v>170</v>
      </c>
      <c r="D6587" s="13" t="s">
        <v>118</v>
      </c>
      <c r="E6587" s="13" t="s">
        <v>11700</v>
      </c>
      <c r="F6587" s="43">
        <v>69.89</v>
      </c>
    </row>
    <row r="6588" spans="2:6" x14ac:dyDescent="0.25">
      <c r="B6588" s="13" t="s">
        <v>11701</v>
      </c>
      <c r="C6588" s="17" t="s">
        <v>170</v>
      </c>
      <c r="D6588" s="13" t="s">
        <v>118</v>
      </c>
      <c r="E6588" s="13" t="s">
        <v>11702</v>
      </c>
      <c r="F6588" s="43">
        <v>69.89</v>
      </c>
    </row>
    <row r="6589" spans="2:6" x14ac:dyDescent="0.25">
      <c r="B6589" s="13" t="s">
        <v>11703</v>
      </c>
      <c r="C6589" s="17" t="s">
        <v>170</v>
      </c>
      <c r="D6589" s="13" t="s">
        <v>118</v>
      </c>
      <c r="E6589" s="13" t="s">
        <v>11704</v>
      </c>
      <c r="F6589" s="43">
        <v>69.89</v>
      </c>
    </row>
    <row r="6590" spans="2:6" x14ac:dyDescent="0.25">
      <c r="B6590" s="13" t="s">
        <v>11705</v>
      </c>
      <c r="C6590" s="17" t="s">
        <v>170</v>
      </c>
      <c r="D6590" s="13" t="s">
        <v>118</v>
      </c>
      <c r="E6590" s="13" t="s">
        <v>11706</v>
      </c>
      <c r="F6590" s="43">
        <v>69.89</v>
      </c>
    </row>
    <row r="6591" spans="2:6" x14ac:dyDescent="0.25">
      <c r="B6591" s="13" t="s">
        <v>11707</v>
      </c>
      <c r="C6591" s="17" t="s">
        <v>170</v>
      </c>
      <c r="D6591" s="13" t="s">
        <v>118</v>
      </c>
      <c r="E6591" s="13" t="s">
        <v>11708</v>
      </c>
      <c r="F6591" s="43">
        <v>69.89</v>
      </c>
    </row>
    <row r="6592" spans="2:6" x14ac:dyDescent="0.25">
      <c r="B6592" s="13" t="s">
        <v>11709</v>
      </c>
      <c r="C6592" s="17" t="s">
        <v>170</v>
      </c>
      <c r="D6592" s="13" t="s">
        <v>118</v>
      </c>
      <c r="E6592" s="13" t="s">
        <v>11710</v>
      </c>
      <c r="F6592" s="43">
        <v>69.89</v>
      </c>
    </row>
    <row r="6593" spans="2:6" x14ac:dyDescent="0.25">
      <c r="B6593" s="13" t="s">
        <v>11711</v>
      </c>
      <c r="C6593" s="17" t="s">
        <v>170</v>
      </c>
      <c r="D6593" s="13" t="s">
        <v>118</v>
      </c>
      <c r="E6593" s="13" t="s">
        <v>11712</v>
      </c>
      <c r="F6593" s="43">
        <v>69.89</v>
      </c>
    </row>
    <row r="6594" spans="2:6" x14ac:dyDescent="0.25">
      <c r="B6594" s="13" t="s">
        <v>11713</v>
      </c>
      <c r="C6594" s="17" t="s">
        <v>170</v>
      </c>
      <c r="D6594" s="13" t="s">
        <v>118</v>
      </c>
      <c r="E6594" s="13" t="s">
        <v>11714</v>
      </c>
      <c r="F6594" s="43">
        <v>69.89</v>
      </c>
    </row>
    <row r="6595" spans="2:6" x14ac:dyDescent="0.25">
      <c r="B6595" s="13" t="s">
        <v>11715</v>
      </c>
      <c r="C6595" s="17" t="s">
        <v>170</v>
      </c>
      <c r="D6595" s="13" t="s">
        <v>118</v>
      </c>
      <c r="E6595" s="13" t="s">
        <v>11716</v>
      </c>
      <c r="F6595" s="43">
        <v>69.89</v>
      </c>
    </row>
    <row r="6596" spans="2:6" x14ac:dyDescent="0.25">
      <c r="B6596" s="13" t="s">
        <v>11717</v>
      </c>
      <c r="C6596" s="17" t="s">
        <v>170</v>
      </c>
      <c r="D6596" s="13" t="s">
        <v>118</v>
      </c>
      <c r="E6596" s="13" t="s">
        <v>11718</v>
      </c>
      <c r="F6596" s="43">
        <v>69.89</v>
      </c>
    </row>
    <row r="6597" spans="2:6" x14ac:dyDescent="0.25">
      <c r="B6597" s="13" t="s">
        <v>11719</v>
      </c>
      <c r="C6597" s="17" t="s">
        <v>170</v>
      </c>
      <c r="D6597" s="13" t="s">
        <v>118</v>
      </c>
      <c r="E6597" s="13" t="s">
        <v>11720</v>
      </c>
      <c r="F6597" s="43">
        <v>69.89</v>
      </c>
    </row>
    <row r="6598" spans="2:6" x14ac:dyDescent="0.25">
      <c r="B6598" s="13" t="s">
        <v>11721</v>
      </c>
      <c r="C6598" s="17" t="s">
        <v>170</v>
      </c>
      <c r="D6598" s="13" t="s">
        <v>118</v>
      </c>
      <c r="E6598" s="13" t="s">
        <v>11722</v>
      </c>
      <c r="F6598" s="43">
        <v>69.89</v>
      </c>
    </row>
    <row r="6599" spans="2:6" x14ac:dyDescent="0.25">
      <c r="B6599" s="13" t="s">
        <v>11723</v>
      </c>
      <c r="C6599" s="17" t="s">
        <v>170</v>
      </c>
      <c r="D6599" s="13" t="s">
        <v>118</v>
      </c>
      <c r="E6599" s="13" t="s">
        <v>11724</v>
      </c>
      <c r="F6599" s="43">
        <v>69.89</v>
      </c>
    </row>
    <row r="6600" spans="2:6" x14ac:dyDescent="0.25">
      <c r="B6600" s="13" t="s">
        <v>11725</v>
      </c>
      <c r="C6600" s="17" t="s">
        <v>170</v>
      </c>
      <c r="D6600" s="13" t="s">
        <v>118</v>
      </c>
      <c r="E6600" s="13" t="s">
        <v>11726</v>
      </c>
      <c r="F6600" s="43">
        <v>69.89</v>
      </c>
    </row>
    <row r="6601" spans="2:6" x14ac:dyDescent="0.25">
      <c r="B6601" s="13" t="s">
        <v>11727</v>
      </c>
      <c r="C6601" s="17" t="s">
        <v>170</v>
      </c>
      <c r="D6601" s="13" t="s">
        <v>118</v>
      </c>
      <c r="E6601" s="13" t="s">
        <v>11728</v>
      </c>
      <c r="F6601" s="43">
        <v>69.89</v>
      </c>
    </row>
    <row r="6602" spans="2:6" x14ac:dyDescent="0.25">
      <c r="B6602" s="13" t="s">
        <v>11729</v>
      </c>
      <c r="C6602" s="17" t="s">
        <v>170</v>
      </c>
      <c r="D6602" s="13" t="s">
        <v>118</v>
      </c>
      <c r="E6602" s="13" t="s">
        <v>11730</v>
      </c>
      <c r="F6602" s="43">
        <v>69.89</v>
      </c>
    </row>
    <row r="6603" spans="2:6" x14ac:dyDescent="0.25">
      <c r="B6603" s="13" t="s">
        <v>11731</v>
      </c>
      <c r="C6603" s="17" t="s">
        <v>170</v>
      </c>
      <c r="D6603" s="13" t="s">
        <v>118</v>
      </c>
      <c r="E6603" s="13" t="s">
        <v>11732</v>
      </c>
      <c r="F6603" s="43">
        <v>69.89</v>
      </c>
    </row>
    <row r="6604" spans="2:6" x14ac:dyDescent="0.25">
      <c r="B6604" s="13" t="s">
        <v>11733</v>
      </c>
      <c r="C6604" s="17" t="s">
        <v>170</v>
      </c>
      <c r="D6604" s="13" t="s">
        <v>118</v>
      </c>
      <c r="E6604" s="13" t="s">
        <v>11734</v>
      </c>
      <c r="F6604" s="43">
        <v>69.89</v>
      </c>
    </row>
    <row r="6605" spans="2:6" x14ac:dyDescent="0.25">
      <c r="B6605" s="13" t="s">
        <v>11735</v>
      </c>
      <c r="C6605" s="17" t="s">
        <v>170</v>
      </c>
      <c r="D6605" s="13" t="s">
        <v>118</v>
      </c>
      <c r="E6605" s="13" t="s">
        <v>11736</v>
      </c>
      <c r="F6605" s="43">
        <v>69.89</v>
      </c>
    </row>
    <row r="6606" spans="2:6" x14ac:dyDescent="0.25">
      <c r="B6606" s="13" t="s">
        <v>11737</v>
      </c>
      <c r="C6606" s="17" t="s">
        <v>170</v>
      </c>
      <c r="D6606" s="13" t="s">
        <v>118</v>
      </c>
      <c r="E6606" s="13" t="s">
        <v>11738</v>
      </c>
      <c r="F6606" s="43">
        <v>69.89</v>
      </c>
    </row>
    <row r="6607" spans="2:6" x14ac:dyDescent="0.25">
      <c r="B6607" s="13" t="s">
        <v>11739</v>
      </c>
      <c r="C6607" s="17" t="s">
        <v>170</v>
      </c>
      <c r="D6607" s="13" t="s">
        <v>118</v>
      </c>
      <c r="E6607" s="13" t="s">
        <v>11740</v>
      </c>
      <c r="F6607" s="43">
        <v>69.89</v>
      </c>
    </row>
    <row r="6608" spans="2:6" x14ac:dyDescent="0.25">
      <c r="B6608" s="13" t="s">
        <v>11741</v>
      </c>
      <c r="C6608" s="17" t="s">
        <v>170</v>
      </c>
      <c r="D6608" s="13" t="s">
        <v>118</v>
      </c>
      <c r="E6608" s="13" t="s">
        <v>11742</v>
      </c>
      <c r="F6608" s="43">
        <v>69.89</v>
      </c>
    </row>
    <row r="6609" spans="2:6" x14ac:dyDescent="0.25">
      <c r="B6609" s="13" t="s">
        <v>11743</v>
      </c>
      <c r="C6609" s="17" t="s">
        <v>170</v>
      </c>
      <c r="D6609" s="13" t="s">
        <v>118</v>
      </c>
      <c r="E6609" s="13" t="s">
        <v>11744</v>
      </c>
      <c r="F6609" s="43">
        <v>69.89</v>
      </c>
    </row>
    <row r="6610" spans="2:6" x14ac:dyDescent="0.25">
      <c r="B6610" s="13" t="s">
        <v>11745</v>
      </c>
      <c r="C6610" s="17" t="s">
        <v>170</v>
      </c>
      <c r="D6610" s="13" t="s">
        <v>118</v>
      </c>
      <c r="E6610" s="13" t="s">
        <v>11746</v>
      </c>
      <c r="F6610" s="43">
        <v>69.89</v>
      </c>
    </row>
    <row r="6611" spans="2:6" x14ac:dyDescent="0.25">
      <c r="B6611" s="13" t="s">
        <v>11747</v>
      </c>
      <c r="C6611" s="17" t="s">
        <v>170</v>
      </c>
      <c r="D6611" s="13" t="s">
        <v>118</v>
      </c>
      <c r="E6611" s="13" t="s">
        <v>11748</v>
      </c>
      <c r="F6611" s="43">
        <v>69.89</v>
      </c>
    </row>
    <row r="6612" spans="2:6" x14ac:dyDescent="0.25">
      <c r="B6612" s="13" t="s">
        <v>11749</v>
      </c>
      <c r="C6612" s="17" t="s">
        <v>170</v>
      </c>
      <c r="D6612" s="13" t="s">
        <v>118</v>
      </c>
      <c r="E6612" s="13" t="s">
        <v>11750</v>
      </c>
      <c r="F6612" s="43">
        <v>69.89</v>
      </c>
    </row>
    <row r="6613" spans="2:6" x14ac:dyDescent="0.25">
      <c r="B6613" s="13" t="s">
        <v>11751</v>
      </c>
      <c r="C6613" s="17" t="s">
        <v>170</v>
      </c>
      <c r="D6613" s="13" t="s">
        <v>118</v>
      </c>
      <c r="E6613" s="13" t="s">
        <v>11752</v>
      </c>
      <c r="F6613" s="43">
        <v>69.89</v>
      </c>
    </row>
    <row r="6614" spans="2:6" x14ac:dyDescent="0.25">
      <c r="B6614" s="13" t="s">
        <v>11753</v>
      </c>
      <c r="C6614" s="17" t="s">
        <v>170</v>
      </c>
      <c r="D6614" s="13" t="s">
        <v>118</v>
      </c>
      <c r="E6614" s="13" t="s">
        <v>11754</v>
      </c>
      <c r="F6614" s="43">
        <v>69.89</v>
      </c>
    </row>
    <row r="6615" spans="2:6" x14ac:dyDescent="0.25">
      <c r="B6615" s="13" t="s">
        <v>11755</v>
      </c>
      <c r="C6615" s="17" t="s">
        <v>170</v>
      </c>
      <c r="D6615" s="13" t="s">
        <v>118</v>
      </c>
      <c r="E6615" s="13" t="s">
        <v>11756</v>
      </c>
      <c r="F6615" s="43">
        <v>69.89</v>
      </c>
    </row>
    <row r="6616" spans="2:6" x14ac:dyDescent="0.25">
      <c r="B6616" s="13" t="s">
        <v>11757</v>
      </c>
      <c r="C6616" s="17" t="s">
        <v>170</v>
      </c>
      <c r="D6616" s="13" t="s">
        <v>118</v>
      </c>
      <c r="E6616" s="13" t="s">
        <v>11758</v>
      </c>
      <c r="F6616" s="43">
        <v>69.89</v>
      </c>
    </row>
    <row r="6617" spans="2:6" x14ac:dyDescent="0.25">
      <c r="B6617" s="13" t="s">
        <v>11759</v>
      </c>
      <c r="C6617" s="17" t="s">
        <v>170</v>
      </c>
      <c r="D6617" s="13" t="s">
        <v>118</v>
      </c>
      <c r="E6617" s="13" t="s">
        <v>11760</v>
      </c>
      <c r="F6617" s="43">
        <v>69.89</v>
      </c>
    </row>
    <row r="6618" spans="2:6" x14ac:dyDescent="0.25">
      <c r="B6618" s="13" t="s">
        <v>11761</v>
      </c>
      <c r="C6618" s="17" t="s">
        <v>170</v>
      </c>
      <c r="D6618" s="13" t="s">
        <v>118</v>
      </c>
      <c r="E6618" s="13" t="s">
        <v>11762</v>
      </c>
      <c r="F6618" s="43">
        <v>69.89</v>
      </c>
    </row>
    <row r="6619" spans="2:6" x14ac:dyDescent="0.25">
      <c r="B6619" s="13" t="s">
        <v>11763</v>
      </c>
      <c r="C6619" s="17" t="s">
        <v>170</v>
      </c>
      <c r="D6619" s="13" t="s">
        <v>118</v>
      </c>
      <c r="E6619" s="13" t="s">
        <v>11764</v>
      </c>
      <c r="F6619" s="43">
        <v>69.89</v>
      </c>
    </row>
    <row r="6620" spans="2:6" x14ac:dyDescent="0.25">
      <c r="B6620" s="13" t="s">
        <v>11765</v>
      </c>
      <c r="C6620" s="17" t="s">
        <v>170</v>
      </c>
      <c r="D6620" s="13" t="s">
        <v>118</v>
      </c>
      <c r="E6620" s="13" t="s">
        <v>11766</v>
      </c>
      <c r="F6620" s="43">
        <v>69.89</v>
      </c>
    </row>
    <row r="6621" spans="2:6" x14ac:dyDescent="0.25">
      <c r="B6621" s="13" t="s">
        <v>11767</v>
      </c>
      <c r="C6621" s="17" t="s">
        <v>170</v>
      </c>
      <c r="D6621" s="13" t="s">
        <v>118</v>
      </c>
      <c r="E6621" s="13" t="s">
        <v>11768</v>
      </c>
      <c r="F6621" s="43">
        <v>69.89</v>
      </c>
    </row>
    <row r="6622" spans="2:6" x14ac:dyDescent="0.25">
      <c r="B6622" s="13" t="s">
        <v>11769</v>
      </c>
      <c r="C6622" s="17" t="s">
        <v>170</v>
      </c>
      <c r="D6622" s="13" t="s">
        <v>118</v>
      </c>
      <c r="E6622" s="13" t="s">
        <v>11770</v>
      </c>
      <c r="F6622" s="43">
        <v>69.89</v>
      </c>
    </row>
    <row r="6623" spans="2:6" x14ac:dyDescent="0.25">
      <c r="B6623" s="13" t="s">
        <v>11771</v>
      </c>
      <c r="C6623" s="17" t="s">
        <v>170</v>
      </c>
      <c r="D6623" s="13" t="s">
        <v>118</v>
      </c>
      <c r="E6623" s="13" t="s">
        <v>11772</v>
      </c>
      <c r="F6623" s="43">
        <v>69.89</v>
      </c>
    </row>
    <row r="6624" spans="2:6" x14ac:dyDescent="0.25">
      <c r="B6624" s="13" t="s">
        <v>11773</v>
      </c>
      <c r="C6624" s="17" t="s">
        <v>170</v>
      </c>
      <c r="D6624" s="13" t="s">
        <v>118</v>
      </c>
      <c r="E6624" s="13" t="s">
        <v>11774</v>
      </c>
      <c r="F6624" s="43">
        <v>69.89</v>
      </c>
    </row>
    <row r="6625" spans="2:6" x14ac:dyDescent="0.25">
      <c r="B6625" s="13" t="s">
        <v>11775</v>
      </c>
      <c r="C6625" s="17" t="s">
        <v>170</v>
      </c>
      <c r="D6625" s="13" t="s">
        <v>118</v>
      </c>
      <c r="E6625" s="13" t="s">
        <v>11776</v>
      </c>
      <c r="F6625" s="43">
        <v>69.89</v>
      </c>
    </row>
    <row r="6626" spans="2:6" x14ac:dyDescent="0.25">
      <c r="B6626" s="13" t="s">
        <v>11777</v>
      </c>
      <c r="C6626" s="17" t="s">
        <v>170</v>
      </c>
      <c r="D6626" s="13" t="s">
        <v>118</v>
      </c>
      <c r="E6626" s="13" t="s">
        <v>11778</v>
      </c>
      <c r="F6626" s="43">
        <v>69.89</v>
      </c>
    </row>
    <row r="6627" spans="2:6" x14ac:dyDescent="0.25">
      <c r="B6627" s="13" t="s">
        <v>11779</v>
      </c>
      <c r="C6627" s="17" t="s">
        <v>170</v>
      </c>
      <c r="D6627" s="13" t="s">
        <v>118</v>
      </c>
      <c r="E6627" s="13" t="s">
        <v>11780</v>
      </c>
      <c r="F6627" s="43">
        <v>69.89</v>
      </c>
    </row>
    <row r="6628" spans="2:6" x14ac:dyDescent="0.25">
      <c r="B6628" s="13" t="s">
        <v>11781</v>
      </c>
      <c r="C6628" s="17" t="s">
        <v>170</v>
      </c>
      <c r="D6628" s="13" t="s">
        <v>118</v>
      </c>
      <c r="E6628" s="13" t="s">
        <v>11782</v>
      </c>
      <c r="F6628" s="43">
        <v>69.89</v>
      </c>
    </row>
    <row r="6629" spans="2:6" x14ac:dyDescent="0.25">
      <c r="B6629" s="13" t="s">
        <v>11783</v>
      </c>
      <c r="C6629" s="17" t="s">
        <v>170</v>
      </c>
      <c r="D6629" s="13" t="s">
        <v>118</v>
      </c>
      <c r="E6629" s="13" t="s">
        <v>11784</v>
      </c>
      <c r="F6629" s="43">
        <v>69.89</v>
      </c>
    </row>
    <row r="6630" spans="2:6" x14ac:dyDescent="0.25">
      <c r="B6630" s="13" t="s">
        <v>11785</v>
      </c>
      <c r="C6630" s="17" t="s">
        <v>170</v>
      </c>
      <c r="D6630" s="13" t="s">
        <v>118</v>
      </c>
      <c r="E6630" s="13" t="s">
        <v>11786</v>
      </c>
      <c r="F6630" s="43">
        <v>100.53</v>
      </c>
    </row>
    <row r="6631" spans="2:6" x14ac:dyDescent="0.25">
      <c r="B6631" s="13" t="s">
        <v>11787</v>
      </c>
      <c r="C6631" s="17" t="s">
        <v>170</v>
      </c>
      <c r="D6631" s="13" t="s">
        <v>118</v>
      </c>
      <c r="E6631" s="13" t="s">
        <v>11788</v>
      </c>
      <c r="F6631" s="43">
        <v>100.53</v>
      </c>
    </row>
    <row r="6632" spans="2:6" x14ac:dyDescent="0.25">
      <c r="B6632" s="13" t="s">
        <v>11789</v>
      </c>
      <c r="C6632" s="17" t="s">
        <v>170</v>
      </c>
      <c r="D6632" s="13" t="s">
        <v>118</v>
      </c>
      <c r="E6632" s="13" t="s">
        <v>11790</v>
      </c>
      <c r="F6632" s="43">
        <v>212.29</v>
      </c>
    </row>
    <row r="6633" spans="2:6" x14ac:dyDescent="0.25">
      <c r="B6633" s="13" t="s">
        <v>11791</v>
      </c>
      <c r="C6633" s="17" t="s">
        <v>170</v>
      </c>
      <c r="D6633" s="13" t="s">
        <v>118</v>
      </c>
      <c r="E6633" s="13" t="s">
        <v>11792</v>
      </c>
      <c r="F6633" s="43">
        <v>69.89</v>
      </c>
    </row>
    <row r="6634" spans="2:6" x14ac:dyDescent="0.25">
      <c r="B6634" s="13" t="s">
        <v>11793</v>
      </c>
      <c r="C6634" s="17" t="s">
        <v>170</v>
      </c>
      <c r="D6634" s="13" t="s">
        <v>118</v>
      </c>
      <c r="E6634" s="13" t="s">
        <v>11794</v>
      </c>
      <c r="F6634" s="43">
        <v>69.89</v>
      </c>
    </row>
    <row r="6635" spans="2:6" x14ac:dyDescent="0.25">
      <c r="B6635" s="13" t="s">
        <v>11795</v>
      </c>
      <c r="C6635" s="17" t="s">
        <v>170</v>
      </c>
      <c r="D6635" s="13" t="s">
        <v>118</v>
      </c>
      <c r="E6635" s="13" t="s">
        <v>11796</v>
      </c>
      <c r="F6635" s="43">
        <v>69.89</v>
      </c>
    </row>
    <row r="6636" spans="2:6" x14ac:dyDescent="0.25">
      <c r="B6636" s="13" t="s">
        <v>11797</v>
      </c>
      <c r="C6636" s="17" t="s">
        <v>170</v>
      </c>
      <c r="D6636" s="13" t="s">
        <v>118</v>
      </c>
      <c r="E6636" s="13" t="s">
        <v>11798</v>
      </c>
      <c r="F6636" s="43">
        <v>69.89</v>
      </c>
    </row>
    <row r="6637" spans="2:6" x14ac:dyDescent="0.25">
      <c r="B6637" s="13" t="s">
        <v>11799</v>
      </c>
      <c r="C6637" s="17" t="s">
        <v>170</v>
      </c>
      <c r="D6637" s="13" t="s">
        <v>118</v>
      </c>
      <c r="E6637" s="13" t="s">
        <v>11800</v>
      </c>
      <c r="F6637" s="43">
        <v>69.89</v>
      </c>
    </row>
    <row r="6638" spans="2:6" x14ac:dyDescent="0.25">
      <c r="B6638" s="13" t="s">
        <v>11801</v>
      </c>
      <c r="C6638" s="17" t="s">
        <v>170</v>
      </c>
      <c r="D6638" s="13" t="s">
        <v>118</v>
      </c>
      <c r="E6638" s="13" t="s">
        <v>11802</v>
      </c>
      <c r="F6638" s="43">
        <v>69.89</v>
      </c>
    </row>
    <row r="6639" spans="2:6" x14ac:dyDescent="0.25">
      <c r="B6639" s="13" t="s">
        <v>11803</v>
      </c>
      <c r="C6639" s="17" t="s">
        <v>170</v>
      </c>
      <c r="D6639" s="13" t="s">
        <v>118</v>
      </c>
      <c r="E6639" s="13" t="s">
        <v>11804</v>
      </c>
      <c r="F6639" s="43">
        <v>100.53</v>
      </c>
    </row>
    <row r="6640" spans="2:6" x14ac:dyDescent="0.25">
      <c r="B6640" s="13" t="s">
        <v>11805</v>
      </c>
      <c r="C6640" s="17" t="s">
        <v>170</v>
      </c>
      <c r="D6640" s="13" t="s">
        <v>118</v>
      </c>
      <c r="E6640" s="13" t="s">
        <v>11806</v>
      </c>
      <c r="F6640" s="43">
        <v>100.53</v>
      </c>
    </row>
    <row r="6641" spans="2:6" x14ac:dyDescent="0.25">
      <c r="B6641" s="13" t="s">
        <v>11807</v>
      </c>
      <c r="C6641" s="17" t="s">
        <v>170</v>
      </c>
      <c r="D6641" s="13" t="s">
        <v>118</v>
      </c>
      <c r="E6641" s="13" t="s">
        <v>11808</v>
      </c>
      <c r="F6641" s="43">
        <v>212.29</v>
      </c>
    </row>
    <row r="6642" spans="2:6" x14ac:dyDescent="0.25">
      <c r="B6642" s="13" t="s">
        <v>11809</v>
      </c>
      <c r="C6642" s="17" t="s">
        <v>170</v>
      </c>
      <c r="D6642" s="13" t="s">
        <v>118</v>
      </c>
      <c r="E6642" s="13" t="s">
        <v>11810</v>
      </c>
      <c r="F6642" s="43">
        <v>164.1</v>
      </c>
    </row>
    <row r="6643" spans="2:6" x14ac:dyDescent="0.25">
      <c r="B6643" s="13" t="s">
        <v>11811</v>
      </c>
      <c r="C6643" s="17" t="s">
        <v>170</v>
      </c>
      <c r="D6643" s="13" t="s">
        <v>118</v>
      </c>
      <c r="E6643" s="13" t="s">
        <v>11812</v>
      </c>
      <c r="F6643" s="43">
        <v>164.1</v>
      </c>
    </row>
    <row r="6644" spans="2:6" x14ac:dyDescent="0.25">
      <c r="B6644" s="13" t="s">
        <v>11813</v>
      </c>
      <c r="C6644" s="17" t="s">
        <v>170</v>
      </c>
      <c r="D6644" s="13" t="s">
        <v>118</v>
      </c>
      <c r="E6644" s="13" t="s">
        <v>11814</v>
      </c>
      <c r="F6644" s="43">
        <v>164.1</v>
      </c>
    </row>
    <row r="6645" spans="2:6" x14ac:dyDescent="0.25">
      <c r="B6645" s="13" t="s">
        <v>11815</v>
      </c>
      <c r="C6645" s="17" t="s">
        <v>170</v>
      </c>
      <c r="D6645" s="13" t="s">
        <v>118</v>
      </c>
      <c r="E6645" s="13" t="s">
        <v>11816</v>
      </c>
      <c r="F6645" s="43">
        <v>164.1</v>
      </c>
    </row>
    <row r="6646" spans="2:6" x14ac:dyDescent="0.25">
      <c r="B6646" s="13" t="s">
        <v>11817</v>
      </c>
      <c r="C6646" s="17" t="s">
        <v>170</v>
      </c>
      <c r="D6646" s="13" t="s">
        <v>118</v>
      </c>
      <c r="E6646" s="13" t="s">
        <v>11818</v>
      </c>
      <c r="F6646" s="43">
        <v>164.1</v>
      </c>
    </row>
    <row r="6647" spans="2:6" x14ac:dyDescent="0.25">
      <c r="B6647" s="13" t="s">
        <v>11819</v>
      </c>
      <c r="C6647" s="17" t="s">
        <v>170</v>
      </c>
      <c r="D6647" s="13" t="s">
        <v>118</v>
      </c>
      <c r="E6647" s="13" t="s">
        <v>11820</v>
      </c>
      <c r="F6647" s="43">
        <v>164.1</v>
      </c>
    </row>
    <row r="6648" spans="2:6" x14ac:dyDescent="0.25">
      <c r="B6648" s="13" t="s">
        <v>11821</v>
      </c>
      <c r="C6648" s="17" t="s">
        <v>170</v>
      </c>
      <c r="D6648" s="13" t="s">
        <v>118</v>
      </c>
      <c r="E6648" s="13" t="s">
        <v>11822</v>
      </c>
      <c r="F6648" s="43">
        <v>164.1</v>
      </c>
    </row>
    <row r="6649" spans="2:6" x14ac:dyDescent="0.25">
      <c r="B6649" s="13" t="s">
        <v>11823</v>
      </c>
      <c r="C6649" s="17" t="s">
        <v>170</v>
      </c>
      <c r="D6649" s="13" t="s">
        <v>118</v>
      </c>
      <c r="E6649" s="13" t="s">
        <v>11824</v>
      </c>
      <c r="F6649" s="43">
        <v>164.1</v>
      </c>
    </row>
    <row r="6650" spans="2:6" x14ac:dyDescent="0.25">
      <c r="B6650" s="13" t="s">
        <v>11825</v>
      </c>
      <c r="C6650" s="17" t="s">
        <v>170</v>
      </c>
      <c r="D6650" s="13" t="s">
        <v>118</v>
      </c>
      <c r="E6650" s="13" t="s">
        <v>11826</v>
      </c>
      <c r="F6650" s="43">
        <v>164.1</v>
      </c>
    </row>
    <row r="6651" spans="2:6" x14ac:dyDescent="0.25">
      <c r="B6651" s="13" t="s">
        <v>11827</v>
      </c>
      <c r="C6651" s="17" t="s">
        <v>170</v>
      </c>
      <c r="D6651" s="13" t="s">
        <v>118</v>
      </c>
      <c r="E6651" s="13" t="s">
        <v>11828</v>
      </c>
      <c r="F6651" s="43">
        <v>164.1</v>
      </c>
    </row>
    <row r="6652" spans="2:6" x14ac:dyDescent="0.25">
      <c r="B6652" s="13" t="s">
        <v>11829</v>
      </c>
      <c r="C6652" s="17" t="s">
        <v>170</v>
      </c>
      <c r="D6652" s="13" t="s">
        <v>118</v>
      </c>
      <c r="E6652" s="13" t="s">
        <v>11830</v>
      </c>
      <c r="F6652" s="43">
        <v>164.1</v>
      </c>
    </row>
    <row r="6653" spans="2:6" x14ac:dyDescent="0.25">
      <c r="B6653" s="13" t="s">
        <v>11831</v>
      </c>
      <c r="C6653" s="17" t="s">
        <v>170</v>
      </c>
      <c r="D6653" s="13" t="s">
        <v>118</v>
      </c>
      <c r="E6653" s="13" t="s">
        <v>11832</v>
      </c>
      <c r="F6653" s="43">
        <v>164.1</v>
      </c>
    </row>
    <row r="6654" spans="2:6" x14ac:dyDescent="0.25">
      <c r="B6654" s="13" t="s">
        <v>11833</v>
      </c>
      <c r="C6654" s="17" t="s">
        <v>170</v>
      </c>
      <c r="D6654" s="13" t="s">
        <v>118</v>
      </c>
      <c r="E6654" s="13" t="s">
        <v>11834</v>
      </c>
      <c r="F6654" s="43">
        <v>188.19</v>
      </c>
    </row>
    <row r="6655" spans="2:6" x14ac:dyDescent="0.25">
      <c r="B6655" s="13" t="s">
        <v>11835</v>
      </c>
      <c r="C6655" s="17" t="s">
        <v>170</v>
      </c>
      <c r="D6655" s="13" t="s">
        <v>118</v>
      </c>
      <c r="E6655" s="13" t="s">
        <v>11836</v>
      </c>
      <c r="F6655" s="43">
        <v>164.1</v>
      </c>
    </row>
    <row r="6656" spans="2:6" x14ac:dyDescent="0.25">
      <c r="B6656" s="13" t="s">
        <v>11837</v>
      </c>
      <c r="C6656" s="17" t="s">
        <v>170</v>
      </c>
      <c r="D6656" s="13" t="s">
        <v>118</v>
      </c>
      <c r="E6656" s="13" t="s">
        <v>11838</v>
      </c>
      <c r="F6656" s="43">
        <v>164.1</v>
      </c>
    </row>
    <row r="6657" spans="2:6" x14ac:dyDescent="0.25">
      <c r="B6657" s="13" t="s">
        <v>11839</v>
      </c>
      <c r="C6657" s="17" t="s">
        <v>170</v>
      </c>
      <c r="D6657" s="13" t="s">
        <v>118</v>
      </c>
      <c r="E6657" s="13" t="s">
        <v>11840</v>
      </c>
      <c r="F6657" s="43">
        <v>164.1</v>
      </c>
    </row>
    <row r="6658" spans="2:6" x14ac:dyDescent="0.25">
      <c r="B6658" s="13" t="s">
        <v>11841</v>
      </c>
      <c r="C6658" s="17" t="s">
        <v>170</v>
      </c>
      <c r="D6658" s="13" t="s">
        <v>118</v>
      </c>
      <c r="E6658" s="13" t="s">
        <v>11842</v>
      </c>
      <c r="F6658" s="43">
        <v>164.1</v>
      </c>
    </row>
    <row r="6659" spans="2:6" x14ac:dyDescent="0.25">
      <c r="B6659" s="13" t="s">
        <v>11843</v>
      </c>
      <c r="C6659" s="17" t="s">
        <v>170</v>
      </c>
      <c r="D6659" s="13" t="s">
        <v>118</v>
      </c>
      <c r="E6659" s="13" t="s">
        <v>11844</v>
      </c>
      <c r="F6659" s="43">
        <v>164.1</v>
      </c>
    </row>
    <row r="6660" spans="2:6" x14ac:dyDescent="0.25">
      <c r="B6660" s="13" t="s">
        <v>11845</v>
      </c>
      <c r="C6660" s="17" t="s">
        <v>170</v>
      </c>
      <c r="D6660" s="13" t="s">
        <v>118</v>
      </c>
      <c r="E6660" s="13" t="s">
        <v>11846</v>
      </c>
      <c r="F6660" s="43">
        <v>164.1</v>
      </c>
    </row>
    <row r="6661" spans="2:6" x14ac:dyDescent="0.25">
      <c r="B6661" s="13" t="s">
        <v>11847</v>
      </c>
      <c r="C6661" s="17" t="s">
        <v>170</v>
      </c>
      <c r="D6661" s="13" t="s">
        <v>118</v>
      </c>
      <c r="E6661" s="13" t="s">
        <v>11848</v>
      </c>
      <c r="F6661" s="43">
        <v>164.1</v>
      </c>
    </row>
    <row r="6662" spans="2:6" x14ac:dyDescent="0.25">
      <c r="B6662" s="13" t="s">
        <v>11849</v>
      </c>
      <c r="C6662" s="17" t="s">
        <v>170</v>
      </c>
      <c r="D6662" s="13" t="s">
        <v>118</v>
      </c>
      <c r="E6662" s="13" t="s">
        <v>11850</v>
      </c>
      <c r="F6662" s="43">
        <v>164.1</v>
      </c>
    </row>
    <row r="6663" spans="2:6" x14ac:dyDescent="0.25">
      <c r="B6663" s="13" t="s">
        <v>11851</v>
      </c>
      <c r="C6663" s="17" t="s">
        <v>170</v>
      </c>
      <c r="D6663" s="13" t="s">
        <v>118</v>
      </c>
      <c r="E6663" s="13" t="s">
        <v>11852</v>
      </c>
      <c r="F6663" s="43">
        <v>164.1</v>
      </c>
    </row>
    <row r="6664" spans="2:6" x14ac:dyDescent="0.25">
      <c r="B6664" s="13" t="s">
        <v>11853</v>
      </c>
      <c r="C6664" s="17" t="s">
        <v>170</v>
      </c>
      <c r="D6664" s="13" t="s">
        <v>118</v>
      </c>
      <c r="E6664" s="13" t="s">
        <v>11854</v>
      </c>
      <c r="F6664" s="43">
        <v>164.1</v>
      </c>
    </row>
    <row r="6665" spans="2:6" x14ac:dyDescent="0.25">
      <c r="B6665" s="13" t="s">
        <v>11855</v>
      </c>
      <c r="C6665" s="17" t="s">
        <v>170</v>
      </c>
      <c r="D6665" s="13" t="s">
        <v>118</v>
      </c>
      <c r="E6665" s="13" t="s">
        <v>11856</v>
      </c>
      <c r="F6665" s="43">
        <v>164.1</v>
      </c>
    </row>
    <row r="6666" spans="2:6" x14ac:dyDescent="0.25">
      <c r="B6666" s="13" t="s">
        <v>11857</v>
      </c>
      <c r="C6666" s="17" t="s">
        <v>170</v>
      </c>
      <c r="D6666" s="13" t="s">
        <v>118</v>
      </c>
      <c r="E6666" s="13" t="s">
        <v>11858</v>
      </c>
      <c r="F6666" s="43">
        <v>164.1</v>
      </c>
    </row>
    <row r="6667" spans="2:6" x14ac:dyDescent="0.25">
      <c r="B6667" s="13" t="s">
        <v>11859</v>
      </c>
      <c r="C6667" s="17" t="s">
        <v>170</v>
      </c>
      <c r="D6667" s="13" t="s">
        <v>118</v>
      </c>
      <c r="E6667" s="13" t="s">
        <v>11860</v>
      </c>
      <c r="F6667" s="43">
        <v>190.26</v>
      </c>
    </row>
    <row r="6668" spans="2:6" x14ac:dyDescent="0.25">
      <c r="B6668" s="13" t="s">
        <v>11861</v>
      </c>
      <c r="C6668" s="17" t="s">
        <v>170</v>
      </c>
      <c r="D6668" s="13" t="s">
        <v>118</v>
      </c>
      <c r="E6668" s="13" t="s">
        <v>11862</v>
      </c>
      <c r="F6668" s="43">
        <v>190.26</v>
      </c>
    </row>
    <row r="6669" spans="2:6" x14ac:dyDescent="0.25">
      <c r="B6669" s="13" t="s">
        <v>11863</v>
      </c>
      <c r="C6669" s="17" t="s">
        <v>170</v>
      </c>
      <c r="D6669" s="13" t="s">
        <v>118</v>
      </c>
      <c r="E6669" s="13" t="s">
        <v>11864</v>
      </c>
      <c r="F6669" s="43">
        <v>164.1</v>
      </c>
    </row>
    <row r="6670" spans="2:6" x14ac:dyDescent="0.25">
      <c r="B6670" s="13" t="s">
        <v>11865</v>
      </c>
      <c r="C6670" s="17" t="s">
        <v>170</v>
      </c>
      <c r="D6670" s="13" t="s">
        <v>118</v>
      </c>
      <c r="E6670" s="13" t="s">
        <v>11866</v>
      </c>
      <c r="F6670" s="43">
        <v>164.1</v>
      </c>
    </row>
    <row r="6671" spans="2:6" x14ac:dyDescent="0.25">
      <c r="B6671" s="13" t="s">
        <v>11867</v>
      </c>
      <c r="C6671" s="17" t="s">
        <v>170</v>
      </c>
      <c r="D6671" s="13" t="s">
        <v>118</v>
      </c>
      <c r="E6671" s="13" t="s">
        <v>11868</v>
      </c>
      <c r="F6671" s="43">
        <v>164.1</v>
      </c>
    </row>
    <row r="6672" spans="2:6" x14ac:dyDescent="0.25">
      <c r="B6672" s="13" t="s">
        <v>11869</v>
      </c>
      <c r="C6672" s="17" t="s">
        <v>170</v>
      </c>
      <c r="D6672" s="13" t="s">
        <v>118</v>
      </c>
      <c r="E6672" s="13" t="s">
        <v>11870</v>
      </c>
      <c r="F6672" s="43">
        <v>164.1</v>
      </c>
    </row>
    <row r="6673" spans="2:6" x14ac:dyDescent="0.25">
      <c r="B6673" s="13" t="s">
        <v>11871</v>
      </c>
      <c r="C6673" s="17" t="s">
        <v>170</v>
      </c>
      <c r="D6673" s="13" t="s">
        <v>118</v>
      </c>
      <c r="E6673" s="13" t="s">
        <v>11872</v>
      </c>
      <c r="F6673" s="43">
        <v>164.1</v>
      </c>
    </row>
    <row r="6674" spans="2:6" x14ac:dyDescent="0.25">
      <c r="B6674" s="13" t="s">
        <v>11873</v>
      </c>
      <c r="C6674" s="17" t="s">
        <v>170</v>
      </c>
      <c r="D6674" s="13" t="s">
        <v>118</v>
      </c>
      <c r="E6674" s="13" t="s">
        <v>11874</v>
      </c>
      <c r="F6674" s="43">
        <v>164.1</v>
      </c>
    </row>
    <row r="6675" spans="2:6" x14ac:dyDescent="0.25">
      <c r="B6675" s="13" t="s">
        <v>11875</v>
      </c>
      <c r="C6675" s="17" t="s">
        <v>170</v>
      </c>
      <c r="D6675" s="13" t="s">
        <v>118</v>
      </c>
      <c r="E6675" s="13" t="s">
        <v>11876</v>
      </c>
      <c r="F6675" s="43">
        <v>164.1</v>
      </c>
    </row>
    <row r="6676" spans="2:6" x14ac:dyDescent="0.25">
      <c r="B6676" s="13" t="s">
        <v>11877</v>
      </c>
      <c r="C6676" s="17" t="s">
        <v>170</v>
      </c>
      <c r="D6676" s="13" t="s">
        <v>118</v>
      </c>
      <c r="E6676" s="13" t="s">
        <v>11878</v>
      </c>
      <c r="F6676" s="43">
        <v>164.1</v>
      </c>
    </row>
    <row r="6677" spans="2:6" x14ac:dyDescent="0.25">
      <c r="B6677" s="13" t="s">
        <v>11879</v>
      </c>
      <c r="C6677" s="17" t="s">
        <v>170</v>
      </c>
      <c r="D6677" s="13" t="s">
        <v>118</v>
      </c>
      <c r="E6677" s="13" t="s">
        <v>11880</v>
      </c>
      <c r="F6677" s="43">
        <v>164.1</v>
      </c>
    </row>
    <row r="6678" spans="2:6" x14ac:dyDescent="0.25">
      <c r="B6678" s="13" t="s">
        <v>11881</v>
      </c>
      <c r="C6678" s="17" t="s">
        <v>170</v>
      </c>
      <c r="D6678" s="13" t="s">
        <v>118</v>
      </c>
      <c r="E6678" s="13" t="s">
        <v>11882</v>
      </c>
      <c r="F6678" s="43">
        <v>164.1</v>
      </c>
    </row>
    <row r="6679" spans="2:6" x14ac:dyDescent="0.25">
      <c r="B6679" s="13" t="s">
        <v>11883</v>
      </c>
      <c r="C6679" s="17" t="s">
        <v>170</v>
      </c>
      <c r="D6679" s="13" t="s">
        <v>118</v>
      </c>
      <c r="E6679" s="13" t="s">
        <v>11884</v>
      </c>
      <c r="F6679" s="43">
        <v>164.1</v>
      </c>
    </row>
    <row r="6680" spans="2:6" x14ac:dyDescent="0.25">
      <c r="B6680" s="13" t="s">
        <v>11885</v>
      </c>
      <c r="C6680" s="17" t="s">
        <v>170</v>
      </c>
      <c r="D6680" s="13" t="s">
        <v>118</v>
      </c>
      <c r="E6680" s="13" t="s">
        <v>11886</v>
      </c>
      <c r="F6680" s="43">
        <v>164.1</v>
      </c>
    </row>
    <row r="6681" spans="2:6" x14ac:dyDescent="0.25">
      <c r="B6681" s="13" t="s">
        <v>11887</v>
      </c>
      <c r="C6681" s="17" t="s">
        <v>170</v>
      </c>
      <c r="D6681" s="13" t="s">
        <v>118</v>
      </c>
      <c r="E6681" s="13" t="s">
        <v>11888</v>
      </c>
      <c r="F6681" s="43">
        <v>164.1</v>
      </c>
    </row>
    <row r="6682" spans="2:6" x14ac:dyDescent="0.25">
      <c r="B6682" s="13" t="s">
        <v>11889</v>
      </c>
      <c r="C6682" s="17" t="s">
        <v>170</v>
      </c>
      <c r="D6682" s="13" t="s">
        <v>118</v>
      </c>
      <c r="E6682" s="13" t="s">
        <v>11890</v>
      </c>
      <c r="F6682" s="43">
        <v>164.1</v>
      </c>
    </row>
    <row r="6683" spans="2:6" x14ac:dyDescent="0.25">
      <c r="B6683" s="13" t="s">
        <v>11891</v>
      </c>
      <c r="C6683" s="17" t="s">
        <v>170</v>
      </c>
      <c r="D6683" s="13" t="s">
        <v>118</v>
      </c>
      <c r="E6683" s="13" t="s">
        <v>11892</v>
      </c>
      <c r="F6683" s="43">
        <v>164.1</v>
      </c>
    </row>
    <row r="6684" spans="2:6" x14ac:dyDescent="0.25">
      <c r="B6684" s="13" t="s">
        <v>11893</v>
      </c>
      <c r="C6684" s="17" t="s">
        <v>170</v>
      </c>
      <c r="D6684" s="13" t="s">
        <v>118</v>
      </c>
      <c r="E6684" s="13" t="s">
        <v>11894</v>
      </c>
      <c r="F6684" s="43">
        <v>164.1</v>
      </c>
    </row>
    <row r="6685" spans="2:6" x14ac:dyDescent="0.25">
      <c r="B6685" s="13" t="s">
        <v>11895</v>
      </c>
      <c r="C6685" s="17" t="s">
        <v>170</v>
      </c>
      <c r="D6685" s="13" t="s">
        <v>118</v>
      </c>
      <c r="E6685" s="13" t="s">
        <v>11896</v>
      </c>
      <c r="F6685" s="43">
        <v>164.1</v>
      </c>
    </row>
    <row r="6686" spans="2:6" x14ac:dyDescent="0.25">
      <c r="B6686" s="13" t="s">
        <v>11897</v>
      </c>
      <c r="C6686" s="17" t="s">
        <v>170</v>
      </c>
      <c r="D6686" s="13" t="s">
        <v>118</v>
      </c>
      <c r="E6686" s="13" t="s">
        <v>11898</v>
      </c>
      <c r="F6686" s="43">
        <v>164.1</v>
      </c>
    </row>
    <row r="6687" spans="2:6" x14ac:dyDescent="0.25">
      <c r="B6687" s="13" t="s">
        <v>11899</v>
      </c>
      <c r="C6687" s="17" t="s">
        <v>170</v>
      </c>
      <c r="D6687" s="13" t="s">
        <v>118</v>
      </c>
      <c r="E6687" s="13" t="s">
        <v>11900</v>
      </c>
      <c r="F6687" s="43">
        <v>164.1</v>
      </c>
    </row>
    <row r="6688" spans="2:6" x14ac:dyDescent="0.25">
      <c r="B6688" s="13" t="s">
        <v>11901</v>
      </c>
      <c r="C6688" s="17" t="s">
        <v>170</v>
      </c>
      <c r="D6688" s="13" t="s">
        <v>118</v>
      </c>
      <c r="E6688" s="13" t="s">
        <v>11902</v>
      </c>
      <c r="F6688" s="43">
        <v>164.1</v>
      </c>
    </row>
    <row r="6689" spans="2:6" x14ac:dyDescent="0.25">
      <c r="B6689" s="13" t="s">
        <v>11903</v>
      </c>
      <c r="C6689" s="17" t="s">
        <v>170</v>
      </c>
      <c r="D6689" s="13" t="s">
        <v>118</v>
      </c>
      <c r="E6689" s="13" t="s">
        <v>11904</v>
      </c>
      <c r="F6689" s="43">
        <v>164.1</v>
      </c>
    </row>
    <row r="6690" spans="2:6" x14ac:dyDescent="0.25">
      <c r="B6690" s="13" t="s">
        <v>11905</v>
      </c>
      <c r="C6690" s="17" t="s">
        <v>170</v>
      </c>
      <c r="D6690" s="13" t="s">
        <v>118</v>
      </c>
      <c r="E6690" s="13" t="s">
        <v>11906</v>
      </c>
      <c r="F6690" s="43">
        <v>164.1</v>
      </c>
    </row>
    <row r="6691" spans="2:6" x14ac:dyDescent="0.25">
      <c r="B6691" s="13" t="s">
        <v>11907</v>
      </c>
      <c r="C6691" s="17" t="s">
        <v>170</v>
      </c>
      <c r="D6691" s="13" t="s">
        <v>118</v>
      </c>
      <c r="E6691" s="13" t="s">
        <v>11908</v>
      </c>
      <c r="F6691" s="43">
        <v>164.1</v>
      </c>
    </row>
    <row r="6692" spans="2:6" x14ac:dyDescent="0.25">
      <c r="B6692" s="13" t="s">
        <v>11909</v>
      </c>
      <c r="C6692" s="17" t="s">
        <v>170</v>
      </c>
      <c r="D6692" s="13" t="s">
        <v>118</v>
      </c>
      <c r="E6692" s="13" t="s">
        <v>11910</v>
      </c>
      <c r="F6692" s="43">
        <v>190.26</v>
      </c>
    </row>
    <row r="6693" spans="2:6" x14ac:dyDescent="0.25">
      <c r="B6693" s="13" t="s">
        <v>11911</v>
      </c>
      <c r="C6693" s="17" t="s">
        <v>170</v>
      </c>
      <c r="D6693" s="13" t="s">
        <v>118</v>
      </c>
      <c r="E6693" s="13" t="s">
        <v>11912</v>
      </c>
      <c r="F6693" s="43">
        <v>190.26</v>
      </c>
    </row>
    <row r="6694" spans="2:6" x14ac:dyDescent="0.25">
      <c r="B6694" s="13" t="s">
        <v>11913</v>
      </c>
      <c r="C6694" s="17" t="s">
        <v>170</v>
      </c>
      <c r="D6694" s="13" t="s">
        <v>118</v>
      </c>
      <c r="E6694" s="13" t="s">
        <v>11914</v>
      </c>
      <c r="F6694" s="43">
        <v>164.1</v>
      </c>
    </row>
    <row r="6695" spans="2:6" x14ac:dyDescent="0.25">
      <c r="B6695" s="13" t="s">
        <v>11915</v>
      </c>
      <c r="C6695" s="17" t="s">
        <v>170</v>
      </c>
      <c r="D6695" s="13" t="s">
        <v>118</v>
      </c>
      <c r="E6695" s="13" t="s">
        <v>11916</v>
      </c>
      <c r="F6695" s="43">
        <v>164.1</v>
      </c>
    </row>
    <row r="6696" spans="2:6" x14ac:dyDescent="0.25">
      <c r="B6696" s="13" t="s">
        <v>11917</v>
      </c>
      <c r="C6696" s="17" t="s">
        <v>170</v>
      </c>
      <c r="D6696" s="13" t="s">
        <v>118</v>
      </c>
      <c r="E6696" s="13" t="s">
        <v>11918</v>
      </c>
      <c r="F6696" s="43">
        <v>188.19</v>
      </c>
    </row>
    <row r="6697" spans="2:6" x14ac:dyDescent="0.25">
      <c r="B6697" s="13" t="s">
        <v>11919</v>
      </c>
      <c r="C6697" s="17" t="s">
        <v>170</v>
      </c>
      <c r="D6697" s="13" t="s">
        <v>118</v>
      </c>
      <c r="E6697" s="13" t="s">
        <v>11920</v>
      </c>
      <c r="F6697" s="43">
        <v>164.1</v>
      </c>
    </row>
    <row r="6698" spans="2:6" x14ac:dyDescent="0.25">
      <c r="B6698" s="13" t="s">
        <v>11921</v>
      </c>
      <c r="C6698" s="17" t="s">
        <v>170</v>
      </c>
      <c r="D6698" s="13" t="s">
        <v>118</v>
      </c>
      <c r="E6698" s="13" t="s">
        <v>11922</v>
      </c>
      <c r="F6698" s="43">
        <v>188.19</v>
      </c>
    </row>
    <row r="6699" spans="2:6" x14ac:dyDescent="0.25">
      <c r="B6699" s="13" t="s">
        <v>11923</v>
      </c>
      <c r="C6699" s="17" t="s">
        <v>170</v>
      </c>
      <c r="D6699" s="13" t="s">
        <v>118</v>
      </c>
      <c r="E6699" s="13" t="s">
        <v>11924</v>
      </c>
      <c r="F6699" s="43">
        <v>164.1</v>
      </c>
    </row>
    <row r="6700" spans="2:6" x14ac:dyDescent="0.25">
      <c r="B6700" s="13" t="s">
        <v>11925</v>
      </c>
      <c r="C6700" s="17" t="s">
        <v>170</v>
      </c>
      <c r="D6700" s="13" t="s">
        <v>118</v>
      </c>
      <c r="E6700" s="13" t="s">
        <v>11926</v>
      </c>
      <c r="F6700" s="43">
        <v>164.1</v>
      </c>
    </row>
    <row r="6701" spans="2:6" x14ac:dyDescent="0.25">
      <c r="B6701" s="13" t="s">
        <v>11927</v>
      </c>
      <c r="C6701" s="17" t="s">
        <v>170</v>
      </c>
      <c r="D6701" s="13" t="s">
        <v>118</v>
      </c>
      <c r="E6701" s="13" t="s">
        <v>11928</v>
      </c>
      <c r="F6701" s="43">
        <v>164.1</v>
      </c>
    </row>
    <row r="6702" spans="2:6" x14ac:dyDescent="0.25">
      <c r="B6702" s="13" t="s">
        <v>11929</v>
      </c>
      <c r="C6702" s="17" t="s">
        <v>170</v>
      </c>
      <c r="D6702" s="13" t="s">
        <v>118</v>
      </c>
      <c r="E6702" s="13" t="s">
        <v>11930</v>
      </c>
      <c r="F6702" s="43">
        <v>164.1</v>
      </c>
    </row>
    <row r="6703" spans="2:6" x14ac:dyDescent="0.25">
      <c r="B6703" s="13" t="s">
        <v>11931</v>
      </c>
      <c r="C6703" s="17" t="s">
        <v>170</v>
      </c>
      <c r="D6703" s="13" t="s">
        <v>118</v>
      </c>
      <c r="E6703" s="13" t="s">
        <v>11932</v>
      </c>
      <c r="F6703" s="43">
        <v>164.1</v>
      </c>
    </row>
    <row r="6704" spans="2:6" x14ac:dyDescent="0.25">
      <c r="B6704" s="13" t="s">
        <v>11933</v>
      </c>
      <c r="C6704" s="17" t="s">
        <v>170</v>
      </c>
      <c r="D6704" s="13" t="s">
        <v>118</v>
      </c>
      <c r="E6704" s="13" t="s">
        <v>11934</v>
      </c>
      <c r="F6704" s="43">
        <v>164.1</v>
      </c>
    </row>
    <row r="6705" spans="2:6" x14ac:dyDescent="0.25">
      <c r="B6705" s="13" t="s">
        <v>11935</v>
      </c>
      <c r="C6705" s="17" t="s">
        <v>170</v>
      </c>
      <c r="D6705" s="13" t="s">
        <v>118</v>
      </c>
      <c r="E6705" s="13" t="s">
        <v>11936</v>
      </c>
      <c r="F6705" s="43">
        <v>164.1</v>
      </c>
    </row>
    <row r="6706" spans="2:6" x14ac:dyDescent="0.25">
      <c r="B6706" s="13" t="s">
        <v>11937</v>
      </c>
      <c r="C6706" s="17" t="s">
        <v>170</v>
      </c>
      <c r="D6706" s="13" t="s">
        <v>118</v>
      </c>
      <c r="E6706" s="13" t="s">
        <v>11938</v>
      </c>
      <c r="F6706" s="43">
        <v>188.19</v>
      </c>
    </row>
    <row r="6707" spans="2:6" x14ac:dyDescent="0.25">
      <c r="B6707" s="13" t="s">
        <v>11939</v>
      </c>
      <c r="C6707" s="17" t="s">
        <v>170</v>
      </c>
      <c r="D6707" s="13" t="s">
        <v>118</v>
      </c>
      <c r="E6707" s="13" t="s">
        <v>11940</v>
      </c>
      <c r="F6707" s="43">
        <v>164.1</v>
      </c>
    </row>
    <row r="6708" spans="2:6" x14ac:dyDescent="0.25">
      <c r="B6708" s="13" t="s">
        <v>11941</v>
      </c>
      <c r="C6708" s="17" t="s">
        <v>170</v>
      </c>
      <c r="D6708" s="13" t="s">
        <v>118</v>
      </c>
      <c r="E6708" s="13" t="s">
        <v>11942</v>
      </c>
      <c r="F6708" s="43">
        <v>188.19</v>
      </c>
    </row>
    <row r="6709" spans="2:6" x14ac:dyDescent="0.25">
      <c r="B6709" s="13" t="s">
        <v>11943</v>
      </c>
      <c r="C6709" s="17" t="s">
        <v>170</v>
      </c>
      <c r="D6709" s="13" t="s">
        <v>118</v>
      </c>
      <c r="E6709" s="13" t="s">
        <v>11944</v>
      </c>
      <c r="F6709" s="43">
        <v>164.1</v>
      </c>
    </row>
    <row r="6710" spans="2:6" x14ac:dyDescent="0.25">
      <c r="B6710" s="13" t="s">
        <v>11945</v>
      </c>
      <c r="C6710" s="17" t="s">
        <v>170</v>
      </c>
      <c r="D6710" s="13" t="s">
        <v>118</v>
      </c>
      <c r="E6710" s="13" t="s">
        <v>11946</v>
      </c>
      <c r="F6710" s="43">
        <v>164.1</v>
      </c>
    </row>
    <row r="6711" spans="2:6" x14ac:dyDescent="0.25">
      <c r="B6711" s="13" t="s">
        <v>11947</v>
      </c>
      <c r="C6711" s="17" t="s">
        <v>170</v>
      </c>
      <c r="D6711" s="13" t="s">
        <v>118</v>
      </c>
      <c r="E6711" s="13" t="s">
        <v>11948</v>
      </c>
      <c r="F6711" s="43">
        <v>164.1</v>
      </c>
    </row>
    <row r="6712" spans="2:6" x14ac:dyDescent="0.25">
      <c r="B6712" s="13" t="s">
        <v>11949</v>
      </c>
      <c r="C6712" s="17" t="s">
        <v>170</v>
      </c>
      <c r="D6712" s="13" t="s">
        <v>118</v>
      </c>
      <c r="E6712" s="13" t="s">
        <v>11950</v>
      </c>
      <c r="F6712" s="43">
        <v>164.1</v>
      </c>
    </row>
    <row r="6713" spans="2:6" x14ac:dyDescent="0.25">
      <c r="B6713" s="13" t="s">
        <v>11951</v>
      </c>
      <c r="C6713" s="17" t="s">
        <v>170</v>
      </c>
      <c r="D6713" s="13" t="s">
        <v>118</v>
      </c>
      <c r="E6713" s="13" t="s">
        <v>11952</v>
      </c>
      <c r="F6713" s="43">
        <v>164.1</v>
      </c>
    </row>
    <row r="6714" spans="2:6" x14ac:dyDescent="0.25">
      <c r="B6714" s="13" t="s">
        <v>11953</v>
      </c>
      <c r="C6714" s="17" t="s">
        <v>170</v>
      </c>
      <c r="D6714" s="13" t="s">
        <v>118</v>
      </c>
      <c r="E6714" s="13" t="s">
        <v>11954</v>
      </c>
      <c r="F6714" s="43">
        <v>164.1</v>
      </c>
    </row>
    <row r="6715" spans="2:6" x14ac:dyDescent="0.25">
      <c r="B6715" s="13" t="s">
        <v>11955</v>
      </c>
      <c r="C6715" s="17" t="s">
        <v>170</v>
      </c>
      <c r="D6715" s="13" t="s">
        <v>118</v>
      </c>
      <c r="E6715" s="13" t="s">
        <v>11956</v>
      </c>
      <c r="F6715" s="43">
        <v>164.1</v>
      </c>
    </row>
    <row r="6716" spans="2:6" x14ac:dyDescent="0.25">
      <c r="B6716" s="13" t="s">
        <v>11957</v>
      </c>
      <c r="C6716" s="17" t="s">
        <v>170</v>
      </c>
      <c r="D6716" s="13" t="s">
        <v>118</v>
      </c>
      <c r="E6716" s="13" t="s">
        <v>11958</v>
      </c>
      <c r="F6716" s="43">
        <v>164.1</v>
      </c>
    </row>
    <row r="6717" spans="2:6" x14ac:dyDescent="0.25">
      <c r="B6717" s="13" t="s">
        <v>11959</v>
      </c>
      <c r="C6717" s="17" t="s">
        <v>170</v>
      </c>
      <c r="D6717" s="13" t="s">
        <v>118</v>
      </c>
      <c r="E6717" s="13" t="s">
        <v>11960</v>
      </c>
      <c r="F6717" s="43">
        <v>164.1</v>
      </c>
    </row>
    <row r="6718" spans="2:6" x14ac:dyDescent="0.25">
      <c r="B6718" s="13" t="s">
        <v>11961</v>
      </c>
      <c r="C6718" s="17" t="s">
        <v>170</v>
      </c>
      <c r="D6718" s="13" t="s">
        <v>118</v>
      </c>
      <c r="E6718" s="13" t="s">
        <v>11962</v>
      </c>
      <c r="F6718" s="43">
        <v>164.1</v>
      </c>
    </row>
    <row r="6719" spans="2:6" x14ac:dyDescent="0.25">
      <c r="B6719" s="13" t="s">
        <v>11963</v>
      </c>
      <c r="C6719" s="17" t="s">
        <v>170</v>
      </c>
      <c r="D6719" s="13" t="s">
        <v>118</v>
      </c>
      <c r="E6719" s="13" t="s">
        <v>11964</v>
      </c>
      <c r="F6719" s="43">
        <v>188.19</v>
      </c>
    </row>
    <row r="6720" spans="2:6" x14ac:dyDescent="0.25">
      <c r="B6720" s="13" t="s">
        <v>11965</v>
      </c>
      <c r="C6720" s="17" t="s">
        <v>170</v>
      </c>
      <c r="D6720" s="13" t="s">
        <v>118</v>
      </c>
      <c r="E6720" s="13" t="s">
        <v>11966</v>
      </c>
      <c r="F6720" s="43">
        <v>164.1</v>
      </c>
    </row>
    <row r="6721" spans="2:6" x14ac:dyDescent="0.25">
      <c r="B6721" s="13" t="s">
        <v>11967</v>
      </c>
      <c r="C6721" s="17" t="s">
        <v>170</v>
      </c>
      <c r="D6721" s="13" t="s">
        <v>118</v>
      </c>
      <c r="E6721" s="13" t="s">
        <v>11968</v>
      </c>
      <c r="F6721" s="43">
        <v>164.1</v>
      </c>
    </row>
    <row r="6722" spans="2:6" x14ac:dyDescent="0.25">
      <c r="B6722" s="13" t="s">
        <v>11969</v>
      </c>
      <c r="C6722" s="17" t="s">
        <v>170</v>
      </c>
      <c r="D6722" s="13" t="s">
        <v>118</v>
      </c>
      <c r="E6722" s="13" t="s">
        <v>11970</v>
      </c>
      <c r="F6722" s="43">
        <v>188.19</v>
      </c>
    </row>
    <row r="6723" spans="2:6" x14ac:dyDescent="0.25">
      <c r="B6723" s="13" t="s">
        <v>11971</v>
      </c>
      <c r="C6723" s="17" t="s">
        <v>170</v>
      </c>
      <c r="D6723" s="13" t="s">
        <v>118</v>
      </c>
      <c r="E6723" s="13" t="s">
        <v>11972</v>
      </c>
      <c r="F6723" s="43">
        <v>164.1</v>
      </c>
    </row>
    <row r="6724" spans="2:6" x14ac:dyDescent="0.25">
      <c r="B6724" s="13" t="s">
        <v>11973</v>
      </c>
      <c r="C6724" s="17" t="s">
        <v>170</v>
      </c>
      <c r="D6724" s="13" t="s">
        <v>118</v>
      </c>
      <c r="E6724" s="13" t="s">
        <v>11974</v>
      </c>
      <c r="F6724" s="43">
        <v>188.19</v>
      </c>
    </row>
    <row r="6725" spans="2:6" x14ac:dyDescent="0.25">
      <c r="B6725" s="13" t="s">
        <v>11975</v>
      </c>
      <c r="C6725" s="17" t="s">
        <v>170</v>
      </c>
      <c r="D6725" s="13" t="s">
        <v>118</v>
      </c>
      <c r="E6725" s="13" t="s">
        <v>11976</v>
      </c>
      <c r="F6725" s="43">
        <v>164.1</v>
      </c>
    </row>
    <row r="6726" spans="2:6" x14ac:dyDescent="0.25">
      <c r="B6726" s="13" t="s">
        <v>11977</v>
      </c>
      <c r="C6726" s="17" t="s">
        <v>170</v>
      </c>
      <c r="D6726" s="13" t="s">
        <v>118</v>
      </c>
      <c r="E6726" s="13" t="s">
        <v>11978</v>
      </c>
      <c r="F6726" s="43">
        <v>164.1</v>
      </c>
    </row>
    <row r="6727" spans="2:6" x14ac:dyDescent="0.25">
      <c r="B6727" s="13" t="s">
        <v>11979</v>
      </c>
      <c r="C6727" s="17" t="s">
        <v>170</v>
      </c>
      <c r="D6727" s="13" t="s">
        <v>118</v>
      </c>
      <c r="E6727" s="13" t="s">
        <v>11980</v>
      </c>
      <c r="F6727" s="43">
        <v>164.1</v>
      </c>
    </row>
    <row r="6728" spans="2:6" x14ac:dyDescent="0.25">
      <c r="B6728" s="13" t="s">
        <v>11981</v>
      </c>
      <c r="C6728" s="17" t="s">
        <v>170</v>
      </c>
      <c r="D6728" s="13" t="s">
        <v>118</v>
      </c>
      <c r="E6728" s="13" t="s">
        <v>11982</v>
      </c>
      <c r="F6728" s="43">
        <v>164.1</v>
      </c>
    </row>
    <row r="6729" spans="2:6" x14ac:dyDescent="0.25">
      <c r="B6729" s="13" t="s">
        <v>11983</v>
      </c>
      <c r="C6729" s="17" t="s">
        <v>170</v>
      </c>
      <c r="D6729" s="13" t="s">
        <v>118</v>
      </c>
      <c r="E6729" s="13" t="s">
        <v>11984</v>
      </c>
      <c r="F6729" s="43">
        <v>188.19</v>
      </c>
    </row>
    <row r="6730" spans="2:6" x14ac:dyDescent="0.25">
      <c r="B6730" s="13" t="s">
        <v>11985</v>
      </c>
      <c r="C6730" s="17" t="s">
        <v>170</v>
      </c>
      <c r="D6730" s="13" t="s">
        <v>118</v>
      </c>
      <c r="E6730" s="13" t="s">
        <v>11986</v>
      </c>
      <c r="F6730" s="43">
        <v>188.19</v>
      </c>
    </row>
    <row r="6731" spans="2:6" x14ac:dyDescent="0.25">
      <c r="B6731" s="13" t="s">
        <v>11987</v>
      </c>
      <c r="C6731" s="17" t="s">
        <v>170</v>
      </c>
      <c r="D6731" s="13" t="s">
        <v>118</v>
      </c>
      <c r="E6731" s="13" t="s">
        <v>11988</v>
      </c>
      <c r="F6731" s="43">
        <v>164.1</v>
      </c>
    </row>
    <row r="6732" spans="2:6" x14ac:dyDescent="0.25">
      <c r="B6732" s="13" t="s">
        <v>11989</v>
      </c>
      <c r="C6732" s="17" t="s">
        <v>170</v>
      </c>
      <c r="D6732" s="13" t="s">
        <v>118</v>
      </c>
      <c r="E6732" s="13" t="s">
        <v>11990</v>
      </c>
      <c r="F6732" s="43">
        <v>188.19</v>
      </c>
    </row>
    <row r="6733" spans="2:6" x14ac:dyDescent="0.25">
      <c r="B6733" s="13" t="s">
        <v>11991</v>
      </c>
      <c r="C6733" s="17" t="s">
        <v>170</v>
      </c>
      <c r="D6733" s="13" t="s">
        <v>118</v>
      </c>
      <c r="E6733" s="13" t="s">
        <v>11992</v>
      </c>
      <c r="F6733" s="43">
        <v>164.1</v>
      </c>
    </row>
    <row r="6734" spans="2:6" x14ac:dyDescent="0.25">
      <c r="B6734" s="13" t="s">
        <v>11993</v>
      </c>
      <c r="C6734" s="17" t="s">
        <v>170</v>
      </c>
      <c r="D6734" s="13" t="s">
        <v>118</v>
      </c>
      <c r="E6734" s="13" t="s">
        <v>11994</v>
      </c>
      <c r="F6734" s="43">
        <v>164.1</v>
      </c>
    </row>
    <row r="6735" spans="2:6" x14ac:dyDescent="0.25">
      <c r="B6735" s="13" t="s">
        <v>11995</v>
      </c>
      <c r="C6735" s="17" t="s">
        <v>170</v>
      </c>
      <c r="D6735" s="13" t="s">
        <v>118</v>
      </c>
      <c r="E6735" s="13" t="s">
        <v>11996</v>
      </c>
      <c r="F6735" s="43">
        <v>188.19</v>
      </c>
    </row>
    <row r="6736" spans="2:6" x14ac:dyDescent="0.25">
      <c r="B6736" s="13" t="s">
        <v>11997</v>
      </c>
      <c r="C6736" s="17" t="s">
        <v>170</v>
      </c>
      <c r="D6736" s="13" t="s">
        <v>118</v>
      </c>
      <c r="E6736" s="13" t="s">
        <v>11998</v>
      </c>
      <c r="F6736" s="43">
        <v>188.19</v>
      </c>
    </row>
    <row r="6737" spans="2:6" x14ac:dyDescent="0.25">
      <c r="B6737" s="13" t="s">
        <v>11999</v>
      </c>
      <c r="C6737" s="17" t="s">
        <v>170</v>
      </c>
      <c r="D6737" s="13" t="s">
        <v>118</v>
      </c>
      <c r="E6737" s="13" t="s">
        <v>12000</v>
      </c>
      <c r="F6737" s="43">
        <v>164.1</v>
      </c>
    </row>
    <row r="6738" spans="2:6" x14ac:dyDescent="0.25">
      <c r="B6738" s="13" t="s">
        <v>12001</v>
      </c>
      <c r="C6738" s="17" t="s">
        <v>170</v>
      </c>
      <c r="D6738" s="13" t="s">
        <v>118</v>
      </c>
      <c r="E6738" s="13" t="s">
        <v>12002</v>
      </c>
      <c r="F6738" s="43">
        <v>188.19</v>
      </c>
    </row>
    <row r="6739" spans="2:6" x14ac:dyDescent="0.25">
      <c r="B6739" s="13" t="s">
        <v>12003</v>
      </c>
      <c r="C6739" s="17" t="s">
        <v>170</v>
      </c>
      <c r="D6739" s="13" t="s">
        <v>118</v>
      </c>
      <c r="E6739" s="13" t="s">
        <v>12004</v>
      </c>
      <c r="F6739" s="43">
        <v>164.1</v>
      </c>
    </row>
    <row r="6740" spans="2:6" x14ac:dyDescent="0.25">
      <c r="B6740" s="13" t="s">
        <v>12005</v>
      </c>
      <c r="C6740" s="17" t="s">
        <v>170</v>
      </c>
      <c r="D6740" s="13" t="s">
        <v>118</v>
      </c>
      <c r="E6740" s="13" t="s">
        <v>12006</v>
      </c>
      <c r="F6740" s="43">
        <v>164.1</v>
      </c>
    </row>
    <row r="6741" spans="2:6" x14ac:dyDescent="0.25">
      <c r="B6741" s="13" t="s">
        <v>12007</v>
      </c>
      <c r="C6741" s="17" t="s">
        <v>170</v>
      </c>
      <c r="D6741" s="13" t="s">
        <v>118</v>
      </c>
      <c r="E6741" s="13" t="s">
        <v>12008</v>
      </c>
      <c r="F6741" s="43">
        <v>164.1</v>
      </c>
    </row>
    <row r="6742" spans="2:6" x14ac:dyDescent="0.25">
      <c r="B6742" s="13" t="s">
        <v>12009</v>
      </c>
      <c r="C6742" s="17" t="s">
        <v>170</v>
      </c>
      <c r="D6742" s="13" t="s">
        <v>118</v>
      </c>
      <c r="E6742" s="13" t="s">
        <v>12010</v>
      </c>
      <c r="F6742" s="43">
        <v>164.1</v>
      </c>
    </row>
    <row r="6743" spans="2:6" x14ac:dyDescent="0.25">
      <c r="B6743" s="13" t="s">
        <v>12011</v>
      </c>
      <c r="C6743" s="17" t="s">
        <v>170</v>
      </c>
      <c r="D6743" s="13" t="s">
        <v>118</v>
      </c>
      <c r="E6743" s="13" t="s">
        <v>12012</v>
      </c>
      <c r="F6743" s="43">
        <v>164.1</v>
      </c>
    </row>
    <row r="6744" spans="2:6" x14ac:dyDescent="0.25">
      <c r="B6744" s="13" t="s">
        <v>12013</v>
      </c>
      <c r="C6744" s="17" t="s">
        <v>170</v>
      </c>
      <c r="D6744" s="13" t="s">
        <v>118</v>
      </c>
      <c r="E6744" s="13" t="s">
        <v>12014</v>
      </c>
      <c r="F6744" s="43">
        <v>164.1</v>
      </c>
    </row>
    <row r="6745" spans="2:6" x14ac:dyDescent="0.25">
      <c r="B6745" s="13" t="s">
        <v>12015</v>
      </c>
      <c r="C6745" s="17" t="s">
        <v>170</v>
      </c>
      <c r="D6745" s="13" t="s">
        <v>118</v>
      </c>
      <c r="E6745" s="13" t="s">
        <v>12016</v>
      </c>
      <c r="F6745" s="43">
        <v>188.19</v>
      </c>
    </row>
    <row r="6746" spans="2:6" x14ac:dyDescent="0.25">
      <c r="B6746" s="13" t="s">
        <v>12017</v>
      </c>
      <c r="C6746" s="17" t="s">
        <v>170</v>
      </c>
      <c r="D6746" s="13" t="s">
        <v>118</v>
      </c>
      <c r="E6746" s="13" t="s">
        <v>12018</v>
      </c>
      <c r="F6746" s="43">
        <v>164.1</v>
      </c>
    </row>
    <row r="6747" spans="2:6" x14ac:dyDescent="0.25">
      <c r="B6747" s="13" t="s">
        <v>12019</v>
      </c>
      <c r="C6747" s="17" t="s">
        <v>170</v>
      </c>
      <c r="D6747" s="13" t="s">
        <v>118</v>
      </c>
      <c r="E6747" s="13" t="s">
        <v>12020</v>
      </c>
      <c r="F6747" s="43">
        <v>164.1</v>
      </c>
    </row>
    <row r="6748" spans="2:6" x14ac:dyDescent="0.25">
      <c r="B6748" s="13" t="s">
        <v>12021</v>
      </c>
      <c r="C6748" s="17" t="s">
        <v>170</v>
      </c>
      <c r="D6748" s="13" t="s">
        <v>118</v>
      </c>
      <c r="E6748" s="13" t="s">
        <v>12022</v>
      </c>
      <c r="F6748" s="43">
        <v>164.1</v>
      </c>
    </row>
    <row r="6749" spans="2:6" x14ac:dyDescent="0.25">
      <c r="B6749" s="13" t="s">
        <v>12023</v>
      </c>
      <c r="C6749" s="17" t="s">
        <v>170</v>
      </c>
      <c r="D6749" s="13" t="s">
        <v>118</v>
      </c>
      <c r="E6749" s="13" t="s">
        <v>12024</v>
      </c>
      <c r="F6749" s="43">
        <v>188.19</v>
      </c>
    </row>
    <row r="6750" spans="2:6" x14ac:dyDescent="0.25">
      <c r="B6750" s="13" t="s">
        <v>12025</v>
      </c>
      <c r="C6750" s="17" t="s">
        <v>170</v>
      </c>
      <c r="D6750" s="13" t="s">
        <v>118</v>
      </c>
      <c r="E6750" s="13" t="s">
        <v>12026</v>
      </c>
      <c r="F6750" s="43">
        <v>164.1</v>
      </c>
    </row>
    <row r="6751" spans="2:6" x14ac:dyDescent="0.25">
      <c r="B6751" s="13" t="s">
        <v>12027</v>
      </c>
      <c r="C6751" s="17" t="s">
        <v>170</v>
      </c>
      <c r="D6751" s="13" t="s">
        <v>118</v>
      </c>
      <c r="E6751" s="13" t="s">
        <v>12028</v>
      </c>
      <c r="F6751" s="43">
        <v>164.1</v>
      </c>
    </row>
    <row r="6752" spans="2:6" x14ac:dyDescent="0.25">
      <c r="B6752" s="13" t="s">
        <v>12029</v>
      </c>
      <c r="C6752" s="17" t="s">
        <v>170</v>
      </c>
      <c r="D6752" s="13" t="s">
        <v>118</v>
      </c>
      <c r="E6752" s="13" t="s">
        <v>12030</v>
      </c>
      <c r="F6752" s="43">
        <v>188.19</v>
      </c>
    </row>
    <row r="6753" spans="2:6" x14ac:dyDescent="0.25">
      <c r="B6753" s="13" t="s">
        <v>12031</v>
      </c>
      <c r="C6753" s="17" t="s">
        <v>170</v>
      </c>
      <c r="D6753" s="13" t="s">
        <v>118</v>
      </c>
      <c r="E6753" s="13" t="s">
        <v>12032</v>
      </c>
      <c r="F6753" s="43">
        <v>190.26</v>
      </c>
    </row>
    <row r="6754" spans="2:6" x14ac:dyDescent="0.25">
      <c r="B6754" s="13" t="s">
        <v>12033</v>
      </c>
      <c r="C6754" s="17" t="s">
        <v>170</v>
      </c>
      <c r="D6754" s="13" t="s">
        <v>118</v>
      </c>
      <c r="E6754" s="13" t="s">
        <v>12034</v>
      </c>
      <c r="F6754" s="43">
        <v>190.26</v>
      </c>
    </row>
    <row r="6755" spans="2:6" x14ac:dyDescent="0.25">
      <c r="B6755" s="13" t="s">
        <v>12035</v>
      </c>
      <c r="C6755" s="17" t="s">
        <v>170</v>
      </c>
      <c r="D6755" s="13" t="s">
        <v>118</v>
      </c>
      <c r="E6755" s="13" t="s">
        <v>12036</v>
      </c>
      <c r="F6755" s="43">
        <v>190.26</v>
      </c>
    </row>
    <row r="6756" spans="2:6" x14ac:dyDescent="0.25">
      <c r="B6756" s="13" t="s">
        <v>12037</v>
      </c>
      <c r="C6756" s="17" t="s">
        <v>170</v>
      </c>
      <c r="D6756" s="13" t="s">
        <v>118</v>
      </c>
      <c r="E6756" s="13" t="s">
        <v>12038</v>
      </c>
      <c r="F6756" s="43">
        <v>190.26</v>
      </c>
    </row>
    <row r="6757" spans="2:6" x14ac:dyDescent="0.25">
      <c r="B6757" s="13" t="s">
        <v>12039</v>
      </c>
      <c r="C6757" s="17" t="s">
        <v>170</v>
      </c>
      <c r="D6757" s="13" t="s">
        <v>118</v>
      </c>
      <c r="E6757" s="13" t="s">
        <v>12040</v>
      </c>
      <c r="F6757" s="43">
        <v>190.26</v>
      </c>
    </row>
    <row r="6758" spans="2:6" x14ac:dyDescent="0.25">
      <c r="B6758" s="13" t="s">
        <v>12041</v>
      </c>
      <c r="C6758" s="17" t="s">
        <v>170</v>
      </c>
      <c r="D6758" s="13" t="s">
        <v>118</v>
      </c>
      <c r="E6758" s="13" t="s">
        <v>12042</v>
      </c>
      <c r="F6758" s="43">
        <v>190.26</v>
      </c>
    </row>
    <row r="6759" spans="2:6" x14ac:dyDescent="0.25">
      <c r="B6759" s="13" t="s">
        <v>12043</v>
      </c>
      <c r="C6759" s="17" t="s">
        <v>170</v>
      </c>
      <c r="D6759" s="13" t="s">
        <v>118</v>
      </c>
      <c r="E6759" s="13" t="s">
        <v>12044</v>
      </c>
      <c r="F6759" s="43">
        <v>344.94</v>
      </c>
    </row>
    <row r="6760" spans="2:6" x14ac:dyDescent="0.25">
      <c r="B6760" s="13" t="s">
        <v>12045</v>
      </c>
      <c r="C6760" s="17" t="s">
        <v>170</v>
      </c>
      <c r="D6760" s="13" t="s">
        <v>118</v>
      </c>
      <c r="E6760" s="13" t="s">
        <v>12046</v>
      </c>
      <c r="F6760" s="43">
        <v>159.28</v>
      </c>
    </row>
    <row r="6761" spans="2:6" x14ac:dyDescent="0.25">
      <c r="B6761" s="13" t="s">
        <v>12047</v>
      </c>
      <c r="C6761" s="17" t="s">
        <v>170</v>
      </c>
      <c r="D6761" s="13" t="s">
        <v>118</v>
      </c>
      <c r="E6761" s="13" t="s">
        <v>12048</v>
      </c>
      <c r="F6761" s="43">
        <v>159.28</v>
      </c>
    </row>
    <row r="6762" spans="2:6" x14ac:dyDescent="0.25">
      <c r="B6762" s="13" t="s">
        <v>12049</v>
      </c>
      <c r="C6762" s="17" t="s">
        <v>170</v>
      </c>
      <c r="D6762" s="13" t="s">
        <v>118</v>
      </c>
      <c r="E6762" s="13" t="s">
        <v>12050</v>
      </c>
      <c r="F6762" s="43">
        <v>159.28</v>
      </c>
    </row>
    <row r="6763" spans="2:6" x14ac:dyDescent="0.25">
      <c r="B6763" s="13" t="s">
        <v>12051</v>
      </c>
      <c r="C6763" s="17" t="s">
        <v>170</v>
      </c>
      <c r="D6763" s="13" t="s">
        <v>118</v>
      </c>
      <c r="E6763" s="13" t="s">
        <v>12052</v>
      </c>
      <c r="F6763" s="43">
        <v>159.28</v>
      </c>
    </row>
    <row r="6764" spans="2:6" x14ac:dyDescent="0.25">
      <c r="B6764" s="13" t="s">
        <v>12053</v>
      </c>
      <c r="C6764" s="17" t="s">
        <v>170</v>
      </c>
      <c r="D6764" s="13" t="s">
        <v>118</v>
      </c>
      <c r="E6764" s="13" t="s">
        <v>12054</v>
      </c>
      <c r="F6764" s="43">
        <v>183.38</v>
      </c>
    </row>
    <row r="6765" spans="2:6" x14ac:dyDescent="0.25">
      <c r="B6765" s="13" t="s">
        <v>12055</v>
      </c>
      <c r="C6765" s="17" t="s">
        <v>170</v>
      </c>
      <c r="D6765" s="13" t="s">
        <v>118</v>
      </c>
      <c r="E6765" s="13" t="s">
        <v>12056</v>
      </c>
      <c r="F6765" s="43">
        <v>159.28</v>
      </c>
    </row>
    <row r="6766" spans="2:6" x14ac:dyDescent="0.25">
      <c r="B6766" s="13" t="s">
        <v>12057</v>
      </c>
      <c r="C6766" s="17" t="s">
        <v>170</v>
      </c>
      <c r="D6766" s="13" t="s">
        <v>118</v>
      </c>
      <c r="E6766" s="13" t="s">
        <v>12058</v>
      </c>
      <c r="F6766" s="43">
        <v>159.28</v>
      </c>
    </row>
    <row r="6767" spans="2:6" x14ac:dyDescent="0.25">
      <c r="B6767" s="13" t="s">
        <v>12059</v>
      </c>
      <c r="C6767" s="17" t="s">
        <v>170</v>
      </c>
      <c r="D6767" s="13" t="s">
        <v>118</v>
      </c>
      <c r="E6767" s="13" t="s">
        <v>12060</v>
      </c>
      <c r="F6767" s="43">
        <v>159.28</v>
      </c>
    </row>
    <row r="6768" spans="2:6" x14ac:dyDescent="0.25">
      <c r="B6768" s="13" t="s">
        <v>12061</v>
      </c>
      <c r="C6768" s="17" t="s">
        <v>170</v>
      </c>
      <c r="D6768" s="13" t="s">
        <v>118</v>
      </c>
      <c r="E6768" s="13" t="s">
        <v>12062</v>
      </c>
      <c r="F6768" s="43">
        <v>159.28</v>
      </c>
    </row>
    <row r="6769" spans="2:6" x14ac:dyDescent="0.25">
      <c r="B6769" s="13" t="s">
        <v>12063</v>
      </c>
      <c r="C6769" s="17" t="s">
        <v>170</v>
      </c>
      <c r="D6769" s="13" t="s">
        <v>118</v>
      </c>
      <c r="E6769" s="13" t="s">
        <v>12064</v>
      </c>
      <c r="F6769" s="43">
        <v>159.28</v>
      </c>
    </row>
    <row r="6770" spans="2:6" x14ac:dyDescent="0.25">
      <c r="B6770" s="13" t="s">
        <v>12065</v>
      </c>
      <c r="C6770" s="17" t="s">
        <v>170</v>
      </c>
      <c r="D6770" s="13" t="s">
        <v>118</v>
      </c>
      <c r="E6770" s="13" t="s">
        <v>12066</v>
      </c>
      <c r="F6770" s="43">
        <v>159.28</v>
      </c>
    </row>
    <row r="6771" spans="2:6" x14ac:dyDescent="0.25">
      <c r="B6771" s="13" t="s">
        <v>12067</v>
      </c>
      <c r="C6771" s="17" t="s">
        <v>170</v>
      </c>
      <c r="D6771" s="13" t="s">
        <v>118</v>
      </c>
      <c r="E6771" s="13" t="s">
        <v>12068</v>
      </c>
      <c r="F6771" s="43">
        <v>159.28</v>
      </c>
    </row>
    <row r="6772" spans="2:6" x14ac:dyDescent="0.25">
      <c r="B6772" s="13" t="s">
        <v>12069</v>
      </c>
      <c r="C6772" s="17" t="s">
        <v>170</v>
      </c>
      <c r="D6772" s="13" t="s">
        <v>118</v>
      </c>
      <c r="E6772" s="13" t="s">
        <v>12070</v>
      </c>
      <c r="F6772" s="43">
        <v>159.28</v>
      </c>
    </row>
    <row r="6773" spans="2:6" x14ac:dyDescent="0.25">
      <c r="B6773" s="13" t="s">
        <v>12071</v>
      </c>
      <c r="C6773" s="17" t="s">
        <v>170</v>
      </c>
      <c r="D6773" s="13" t="s">
        <v>118</v>
      </c>
      <c r="E6773" s="13" t="s">
        <v>12072</v>
      </c>
      <c r="F6773" s="43">
        <v>159.28</v>
      </c>
    </row>
    <row r="6774" spans="2:6" x14ac:dyDescent="0.25">
      <c r="B6774" s="13" t="s">
        <v>12073</v>
      </c>
      <c r="C6774" s="17" t="s">
        <v>170</v>
      </c>
      <c r="D6774" s="13" t="s">
        <v>118</v>
      </c>
      <c r="E6774" s="13" t="s">
        <v>12074</v>
      </c>
      <c r="F6774" s="43">
        <v>159.28</v>
      </c>
    </row>
    <row r="6775" spans="2:6" x14ac:dyDescent="0.25">
      <c r="B6775" s="13" t="s">
        <v>12075</v>
      </c>
      <c r="C6775" s="17" t="s">
        <v>170</v>
      </c>
      <c r="D6775" s="13" t="s">
        <v>118</v>
      </c>
      <c r="E6775" s="13" t="s">
        <v>12076</v>
      </c>
      <c r="F6775" s="43">
        <v>159.28</v>
      </c>
    </row>
    <row r="6776" spans="2:6" x14ac:dyDescent="0.25">
      <c r="B6776" s="13" t="s">
        <v>12077</v>
      </c>
      <c r="C6776" s="17" t="s">
        <v>170</v>
      </c>
      <c r="D6776" s="13" t="s">
        <v>118</v>
      </c>
      <c r="E6776" s="13" t="s">
        <v>12078</v>
      </c>
      <c r="F6776" s="43">
        <v>159.28</v>
      </c>
    </row>
    <row r="6777" spans="2:6" x14ac:dyDescent="0.25">
      <c r="B6777" s="13" t="s">
        <v>12079</v>
      </c>
      <c r="C6777" s="17" t="s">
        <v>170</v>
      </c>
      <c r="D6777" s="13" t="s">
        <v>118</v>
      </c>
      <c r="E6777" s="13" t="s">
        <v>12080</v>
      </c>
      <c r="F6777" s="43">
        <v>159.28</v>
      </c>
    </row>
    <row r="6778" spans="2:6" x14ac:dyDescent="0.25">
      <c r="B6778" s="13" t="s">
        <v>12081</v>
      </c>
      <c r="C6778" s="17" t="s">
        <v>170</v>
      </c>
      <c r="D6778" s="13" t="s">
        <v>118</v>
      </c>
      <c r="E6778" s="13" t="s">
        <v>12082</v>
      </c>
      <c r="F6778" s="43">
        <v>159.28</v>
      </c>
    </row>
    <row r="6779" spans="2:6" x14ac:dyDescent="0.25">
      <c r="B6779" s="13" t="s">
        <v>12083</v>
      </c>
      <c r="C6779" s="17" t="s">
        <v>170</v>
      </c>
      <c r="D6779" s="13" t="s">
        <v>118</v>
      </c>
      <c r="E6779" s="13" t="s">
        <v>12084</v>
      </c>
      <c r="F6779" s="43">
        <v>159.28</v>
      </c>
    </row>
    <row r="6780" spans="2:6" x14ac:dyDescent="0.25">
      <c r="B6780" s="13" t="s">
        <v>12085</v>
      </c>
      <c r="C6780" s="17" t="s">
        <v>170</v>
      </c>
      <c r="D6780" s="13" t="s">
        <v>118</v>
      </c>
      <c r="E6780" s="13" t="s">
        <v>12086</v>
      </c>
      <c r="F6780" s="43">
        <v>159.28</v>
      </c>
    </row>
    <row r="6781" spans="2:6" x14ac:dyDescent="0.25">
      <c r="B6781" s="13" t="s">
        <v>12087</v>
      </c>
      <c r="C6781" s="17" t="s">
        <v>170</v>
      </c>
      <c r="D6781" s="13" t="s">
        <v>118</v>
      </c>
      <c r="E6781" s="13" t="s">
        <v>12088</v>
      </c>
      <c r="F6781" s="43">
        <v>159.28</v>
      </c>
    </row>
    <row r="6782" spans="2:6" x14ac:dyDescent="0.25">
      <c r="B6782" s="13" t="s">
        <v>12089</v>
      </c>
      <c r="C6782" s="17" t="s">
        <v>170</v>
      </c>
      <c r="D6782" s="13" t="s">
        <v>118</v>
      </c>
      <c r="E6782" s="13" t="s">
        <v>12090</v>
      </c>
      <c r="F6782" s="43">
        <v>159.28</v>
      </c>
    </row>
    <row r="6783" spans="2:6" x14ac:dyDescent="0.25">
      <c r="B6783" s="13" t="s">
        <v>12091</v>
      </c>
      <c r="C6783" s="17" t="s">
        <v>170</v>
      </c>
      <c r="D6783" s="13" t="s">
        <v>118</v>
      </c>
      <c r="E6783" s="13" t="s">
        <v>12092</v>
      </c>
      <c r="F6783" s="43">
        <v>159.28</v>
      </c>
    </row>
    <row r="6784" spans="2:6" x14ac:dyDescent="0.25">
      <c r="B6784" s="13" t="s">
        <v>12093</v>
      </c>
      <c r="C6784" s="17" t="s">
        <v>170</v>
      </c>
      <c r="D6784" s="13" t="s">
        <v>118</v>
      </c>
      <c r="E6784" s="13" t="s">
        <v>12094</v>
      </c>
      <c r="F6784" s="43">
        <v>159.28</v>
      </c>
    </row>
    <row r="6785" spans="2:6" x14ac:dyDescent="0.25">
      <c r="B6785" s="13" t="s">
        <v>12095</v>
      </c>
      <c r="C6785" s="17" t="s">
        <v>170</v>
      </c>
      <c r="D6785" s="13" t="s">
        <v>118</v>
      </c>
      <c r="E6785" s="13" t="s">
        <v>12096</v>
      </c>
      <c r="F6785" s="43">
        <v>159.28</v>
      </c>
    </row>
    <row r="6786" spans="2:6" x14ac:dyDescent="0.25">
      <c r="B6786" s="13" t="s">
        <v>12097</v>
      </c>
      <c r="C6786" s="17" t="s">
        <v>170</v>
      </c>
      <c r="D6786" s="13" t="s">
        <v>118</v>
      </c>
      <c r="E6786" s="13" t="s">
        <v>12098</v>
      </c>
      <c r="F6786" s="43">
        <v>159.28</v>
      </c>
    </row>
    <row r="6787" spans="2:6" x14ac:dyDescent="0.25">
      <c r="B6787" s="13" t="s">
        <v>12099</v>
      </c>
      <c r="C6787" s="17" t="s">
        <v>170</v>
      </c>
      <c r="D6787" s="13" t="s">
        <v>118</v>
      </c>
      <c r="E6787" s="13" t="s">
        <v>12100</v>
      </c>
      <c r="F6787" s="43">
        <v>159.28</v>
      </c>
    </row>
    <row r="6788" spans="2:6" x14ac:dyDescent="0.25">
      <c r="B6788" s="13" t="s">
        <v>12101</v>
      </c>
      <c r="C6788" s="17" t="s">
        <v>170</v>
      </c>
      <c r="D6788" s="13" t="s">
        <v>118</v>
      </c>
      <c r="E6788" s="13" t="s">
        <v>12102</v>
      </c>
      <c r="F6788" s="43">
        <v>159.28</v>
      </c>
    </row>
    <row r="6789" spans="2:6" x14ac:dyDescent="0.25">
      <c r="B6789" s="13" t="s">
        <v>12103</v>
      </c>
      <c r="C6789" s="17" t="s">
        <v>170</v>
      </c>
      <c r="D6789" s="13" t="s">
        <v>118</v>
      </c>
      <c r="E6789" s="13" t="s">
        <v>12104</v>
      </c>
      <c r="F6789" s="43">
        <v>159.28</v>
      </c>
    </row>
    <row r="6790" spans="2:6" x14ac:dyDescent="0.25">
      <c r="B6790" s="13" t="s">
        <v>12105</v>
      </c>
      <c r="C6790" s="17" t="s">
        <v>170</v>
      </c>
      <c r="D6790" s="13" t="s">
        <v>118</v>
      </c>
      <c r="E6790" s="13" t="s">
        <v>12106</v>
      </c>
      <c r="F6790" s="43">
        <v>159.28</v>
      </c>
    </row>
    <row r="6791" spans="2:6" x14ac:dyDescent="0.25">
      <c r="B6791" s="13" t="s">
        <v>12107</v>
      </c>
      <c r="C6791" s="17" t="s">
        <v>170</v>
      </c>
      <c r="D6791" s="13" t="s">
        <v>118</v>
      </c>
      <c r="E6791" s="13" t="s">
        <v>12108</v>
      </c>
      <c r="F6791" s="43">
        <v>159.28</v>
      </c>
    </row>
    <row r="6792" spans="2:6" x14ac:dyDescent="0.25">
      <c r="B6792" s="13" t="s">
        <v>12109</v>
      </c>
      <c r="C6792" s="17" t="s">
        <v>170</v>
      </c>
      <c r="D6792" s="13" t="s">
        <v>118</v>
      </c>
      <c r="E6792" s="13" t="s">
        <v>12110</v>
      </c>
      <c r="F6792" s="43">
        <v>159.28</v>
      </c>
    </row>
    <row r="6793" spans="2:6" x14ac:dyDescent="0.25">
      <c r="B6793" s="13" t="s">
        <v>12111</v>
      </c>
      <c r="C6793" s="17" t="s">
        <v>170</v>
      </c>
      <c r="D6793" s="13" t="s">
        <v>118</v>
      </c>
      <c r="E6793" s="13" t="s">
        <v>12112</v>
      </c>
      <c r="F6793" s="43">
        <v>159.28</v>
      </c>
    </row>
    <row r="6794" spans="2:6" x14ac:dyDescent="0.25">
      <c r="B6794" s="13" t="s">
        <v>12113</v>
      </c>
      <c r="C6794" s="17" t="s">
        <v>170</v>
      </c>
      <c r="D6794" s="13" t="s">
        <v>118</v>
      </c>
      <c r="E6794" s="13" t="s">
        <v>12114</v>
      </c>
      <c r="F6794" s="43">
        <v>159.28</v>
      </c>
    </row>
    <row r="6795" spans="2:6" x14ac:dyDescent="0.25">
      <c r="B6795" s="13" t="s">
        <v>12115</v>
      </c>
      <c r="C6795" s="17" t="s">
        <v>170</v>
      </c>
      <c r="D6795" s="13" t="s">
        <v>118</v>
      </c>
      <c r="E6795" s="13" t="s">
        <v>12116</v>
      </c>
      <c r="F6795" s="43">
        <v>159.28</v>
      </c>
    </row>
    <row r="6796" spans="2:6" x14ac:dyDescent="0.25">
      <c r="B6796" s="13" t="s">
        <v>12117</v>
      </c>
      <c r="C6796" s="17" t="s">
        <v>170</v>
      </c>
      <c r="D6796" s="13" t="s">
        <v>118</v>
      </c>
      <c r="E6796" s="13" t="s">
        <v>12118</v>
      </c>
      <c r="F6796" s="43">
        <v>159.28</v>
      </c>
    </row>
    <row r="6797" spans="2:6" x14ac:dyDescent="0.25">
      <c r="B6797" s="13" t="s">
        <v>12119</v>
      </c>
      <c r="C6797" s="17" t="s">
        <v>170</v>
      </c>
      <c r="D6797" s="13" t="s">
        <v>118</v>
      </c>
      <c r="E6797" s="13" t="s">
        <v>12120</v>
      </c>
      <c r="F6797" s="43">
        <v>159.28</v>
      </c>
    </row>
    <row r="6798" spans="2:6" x14ac:dyDescent="0.25">
      <c r="B6798" s="13" t="s">
        <v>12121</v>
      </c>
      <c r="C6798" s="17" t="s">
        <v>170</v>
      </c>
      <c r="D6798" s="13" t="s">
        <v>118</v>
      </c>
      <c r="E6798" s="13" t="s">
        <v>12122</v>
      </c>
      <c r="F6798" s="43">
        <v>159.28</v>
      </c>
    </row>
    <row r="6799" spans="2:6" x14ac:dyDescent="0.25">
      <c r="B6799" s="13" t="s">
        <v>12123</v>
      </c>
      <c r="C6799" s="17" t="s">
        <v>170</v>
      </c>
      <c r="D6799" s="13" t="s">
        <v>118</v>
      </c>
      <c r="E6799" s="13" t="s">
        <v>12124</v>
      </c>
      <c r="F6799" s="43">
        <v>159.28</v>
      </c>
    </row>
    <row r="6800" spans="2:6" x14ac:dyDescent="0.25">
      <c r="B6800" s="13" t="s">
        <v>12125</v>
      </c>
      <c r="C6800" s="17" t="s">
        <v>170</v>
      </c>
      <c r="D6800" s="13" t="s">
        <v>118</v>
      </c>
      <c r="E6800" s="13" t="s">
        <v>12126</v>
      </c>
      <c r="F6800" s="43">
        <v>159.28</v>
      </c>
    </row>
    <row r="6801" spans="2:6" x14ac:dyDescent="0.25">
      <c r="B6801" s="13" t="s">
        <v>12127</v>
      </c>
      <c r="C6801" s="17" t="s">
        <v>170</v>
      </c>
      <c r="D6801" s="13" t="s">
        <v>118</v>
      </c>
      <c r="E6801" s="13" t="s">
        <v>12128</v>
      </c>
      <c r="F6801" s="43">
        <v>159.28</v>
      </c>
    </row>
    <row r="6802" spans="2:6" x14ac:dyDescent="0.25">
      <c r="B6802" s="13" t="s">
        <v>12129</v>
      </c>
      <c r="C6802" s="17" t="s">
        <v>170</v>
      </c>
      <c r="D6802" s="13" t="s">
        <v>118</v>
      </c>
      <c r="E6802" s="13" t="s">
        <v>12130</v>
      </c>
      <c r="F6802" s="43">
        <v>159.28</v>
      </c>
    </row>
    <row r="6803" spans="2:6" x14ac:dyDescent="0.25">
      <c r="B6803" s="13" t="s">
        <v>12131</v>
      </c>
      <c r="C6803" s="17" t="s">
        <v>170</v>
      </c>
      <c r="D6803" s="13" t="s">
        <v>118</v>
      </c>
      <c r="E6803" s="13" t="s">
        <v>12132</v>
      </c>
      <c r="F6803" s="43">
        <v>184.75</v>
      </c>
    </row>
    <row r="6804" spans="2:6" x14ac:dyDescent="0.25">
      <c r="B6804" s="13" t="s">
        <v>12133</v>
      </c>
      <c r="C6804" s="17" t="s">
        <v>170</v>
      </c>
      <c r="D6804" s="13" t="s">
        <v>118</v>
      </c>
      <c r="E6804" s="13" t="s">
        <v>12134</v>
      </c>
      <c r="F6804" s="43">
        <v>184.75</v>
      </c>
    </row>
    <row r="6805" spans="2:6" x14ac:dyDescent="0.25">
      <c r="B6805" s="13" t="s">
        <v>12135</v>
      </c>
      <c r="C6805" s="17" t="s">
        <v>170</v>
      </c>
      <c r="D6805" s="13" t="s">
        <v>118</v>
      </c>
      <c r="E6805" s="13" t="s">
        <v>12136</v>
      </c>
      <c r="F6805" s="43">
        <v>184.75</v>
      </c>
    </row>
    <row r="6806" spans="2:6" x14ac:dyDescent="0.25">
      <c r="B6806" s="13" t="s">
        <v>12137</v>
      </c>
      <c r="C6806" s="17" t="s">
        <v>170</v>
      </c>
      <c r="D6806" s="13" t="s">
        <v>118</v>
      </c>
      <c r="E6806" s="13" t="s">
        <v>12138</v>
      </c>
      <c r="F6806" s="43">
        <v>184.75</v>
      </c>
    </row>
    <row r="6807" spans="2:6" x14ac:dyDescent="0.25">
      <c r="B6807" s="13" t="s">
        <v>12139</v>
      </c>
      <c r="C6807" s="17" t="s">
        <v>170</v>
      </c>
      <c r="D6807" s="13" t="s">
        <v>118</v>
      </c>
      <c r="E6807" s="13" t="s">
        <v>12140</v>
      </c>
      <c r="F6807" s="43">
        <v>330.14</v>
      </c>
    </row>
    <row r="6808" spans="2:6" x14ac:dyDescent="0.25">
      <c r="B6808" s="13" t="s">
        <v>12141</v>
      </c>
      <c r="C6808" s="17" t="s">
        <v>170</v>
      </c>
      <c r="D6808" s="13" t="s">
        <v>118</v>
      </c>
      <c r="E6808" s="13" t="s">
        <v>12142</v>
      </c>
      <c r="F6808" s="43">
        <v>914.22</v>
      </c>
    </row>
    <row r="6809" spans="2:6" x14ac:dyDescent="0.25">
      <c r="B6809" s="13" t="s">
        <v>12143</v>
      </c>
      <c r="C6809" s="17" t="s">
        <v>170</v>
      </c>
      <c r="D6809" s="13" t="s">
        <v>118</v>
      </c>
      <c r="E6809" s="13" t="s">
        <v>12144</v>
      </c>
      <c r="F6809" s="43">
        <v>975.61</v>
      </c>
    </row>
    <row r="6810" spans="2:6" x14ac:dyDescent="0.25">
      <c r="B6810" s="13" t="s">
        <v>12145</v>
      </c>
      <c r="C6810" s="17" t="s">
        <v>170</v>
      </c>
      <c r="D6810" s="13" t="s">
        <v>118</v>
      </c>
      <c r="E6810" s="13" t="s">
        <v>12146</v>
      </c>
      <c r="F6810" s="43">
        <v>914.22</v>
      </c>
    </row>
    <row r="6811" spans="2:6" x14ac:dyDescent="0.25">
      <c r="B6811" s="13" t="s">
        <v>12147</v>
      </c>
      <c r="C6811" s="17" t="s">
        <v>170</v>
      </c>
      <c r="D6811" s="13" t="s">
        <v>118</v>
      </c>
      <c r="E6811" s="13" t="s">
        <v>12148</v>
      </c>
      <c r="F6811" s="43">
        <v>994.43</v>
      </c>
    </row>
    <row r="6812" spans="2:6" x14ac:dyDescent="0.25">
      <c r="B6812" s="13" t="s">
        <v>12149</v>
      </c>
      <c r="C6812" s="17" t="s">
        <v>170</v>
      </c>
      <c r="D6812" s="13" t="s">
        <v>118</v>
      </c>
      <c r="E6812" s="13" t="s">
        <v>12150</v>
      </c>
      <c r="F6812" s="43">
        <v>1002.81</v>
      </c>
    </row>
    <row r="6813" spans="2:6" x14ac:dyDescent="0.25">
      <c r="B6813" s="13" t="s">
        <v>12151</v>
      </c>
      <c r="C6813" s="17" t="s">
        <v>170</v>
      </c>
      <c r="D6813" s="13" t="s">
        <v>118</v>
      </c>
      <c r="E6813" s="13" t="s">
        <v>12152</v>
      </c>
      <c r="F6813" s="43">
        <v>1002.81</v>
      </c>
    </row>
    <row r="6814" spans="2:6" x14ac:dyDescent="0.25">
      <c r="B6814" s="13" t="s">
        <v>12153</v>
      </c>
      <c r="C6814" s="17" t="s">
        <v>170</v>
      </c>
      <c r="D6814" s="13" t="s">
        <v>118</v>
      </c>
      <c r="E6814" s="13" t="s">
        <v>12154</v>
      </c>
      <c r="F6814" s="43">
        <v>1002.81</v>
      </c>
    </row>
    <row r="6815" spans="2:6" x14ac:dyDescent="0.25">
      <c r="B6815" s="13" t="s">
        <v>12155</v>
      </c>
      <c r="C6815" s="17" t="s">
        <v>170</v>
      </c>
      <c r="D6815" s="13" t="s">
        <v>118</v>
      </c>
      <c r="E6815" s="13" t="s">
        <v>12156</v>
      </c>
      <c r="F6815" s="43">
        <v>1002.81</v>
      </c>
    </row>
    <row r="6816" spans="2:6" x14ac:dyDescent="0.25">
      <c r="B6816" s="13" t="s">
        <v>12157</v>
      </c>
      <c r="C6816" s="17" t="s">
        <v>170</v>
      </c>
      <c r="D6816" s="13" t="s">
        <v>118</v>
      </c>
      <c r="E6816" s="13" t="s">
        <v>12158</v>
      </c>
      <c r="F6816" s="43">
        <v>1468.8</v>
      </c>
    </row>
    <row r="6817" spans="2:6" x14ac:dyDescent="0.25">
      <c r="B6817" s="13" t="s">
        <v>12159</v>
      </c>
      <c r="C6817" s="17" t="s">
        <v>170</v>
      </c>
      <c r="D6817" s="13" t="s">
        <v>118</v>
      </c>
      <c r="E6817" s="13" t="s">
        <v>12160</v>
      </c>
      <c r="F6817" s="43">
        <v>1492.9</v>
      </c>
    </row>
    <row r="6818" spans="2:6" x14ac:dyDescent="0.25">
      <c r="B6818" s="13" t="s">
        <v>12161</v>
      </c>
      <c r="C6818" s="17" t="s">
        <v>170</v>
      </c>
      <c r="D6818" s="13" t="s">
        <v>118</v>
      </c>
      <c r="E6818" s="13" t="s">
        <v>12162</v>
      </c>
      <c r="F6818" s="43">
        <v>1233.3399999999999</v>
      </c>
    </row>
    <row r="6819" spans="2:6" x14ac:dyDescent="0.25">
      <c r="B6819" s="13" t="s">
        <v>12163</v>
      </c>
      <c r="C6819" s="17" t="s">
        <v>170</v>
      </c>
      <c r="D6819" s="13" t="s">
        <v>118</v>
      </c>
      <c r="E6819" s="13" t="s">
        <v>12164</v>
      </c>
      <c r="F6819" s="43">
        <v>1233.3399999999999</v>
      </c>
    </row>
    <row r="6820" spans="2:6" x14ac:dyDescent="0.25">
      <c r="B6820" s="13" t="s">
        <v>12165</v>
      </c>
      <c r="C6820" s="17" t="s">
        <v>170</v>
      </c>
      <c r="D6820" s="13" t="s">
        <v>118</v>
      </c>
      <c r="E6820" s="13" t="s">
        <v>12166</v>
      </c>
      <c r="F6820" s="43">
        <v>1699.38</v>
      </c>
    </row>
    <row r="6821" spans="2:6" x14ac:dyDescent="0.25">
      <c r="B6821" s="13" t="s">
        <v>12167</v>
      </c>
      <c r="C6821" s="17" t="s">
        <v>170</v>
      </c>
      <c r="D6821" s="13" t="s">
        <v>118</v>
      </c>
      <c r="E6821" s="13" t="s">
        <v>12168</v>
      </c>
      <c r="F6821" s="43">
        <v>1745.58</v>
      </c>
    </row>
    <row r="6822" spans="2:6" x14ac:dyDescent="0.25">
      <c r="B6822" s="13" t="s">
        <v>12169</v>
      </c>
      <c r="C6822" s="17" t="s">
        <v>170</v>
      </c>
      <c r="D6822" s="13" t="s">
        <v>118</v>
      </c>
      <c r="E6822" s="13" t="s">
        <v>12170</v>
      </c>
      <c r="F6822" s="43">
        <v>1784.98</v>
      </c>
    </row>
    <row r="6823" spans="2:6" x14ac:dyDescent="0.25">
      <c r="B6823" s="13" t="s">
        <v>12171</v>
      </c>
      <c r="C6823" s="17" t="s">
        <v>170</v>
      </c>
      <c r="D6823" s="13" t="s">
        <v>118</v>
      </c>
      <c r="E6823" s="13" t="s">
        <v>12172</v>
      </c>
      <c r="F6823" s="43">
        <v>1206.95</v>
      </c>
    </row>
    <row r="6824" spans="2:6" x14ac:dyDescent="0.25">
      <c r="B6824" s="13" t="s">
        <v>12173</v>
      </c>
      <c r="C6824" s="17" t="s">
        <v>170</v>
      </c>
      <c r="D6824" s="13" t="s">
        <v>118</v>
      </c>
      <c r="E6824" s="13" t="s">
        <v>12174</v>
      </c>
      <c r="F6824" s="43">
        <v>1206.95</v>
      </c>
    </row>
    <row r="6825" spans="2:6" x14ac:dyDescent="0.25">
      <c r="B6825" s="13" t="s">
        <v>12175</v>
      </c>
      <c r="C6825" s="17" t="s">
        <v>170</v>
      </c>
      <c r="D6825" s="13" t="s">
        <v>118</v>
      </c>
      <c r="E6825" s="13" t="s">
        <v>12176</v>
      </c>
      <c r="F6825" s="43">
        <v>1672.95</v>
      </c>
    </row>
    <row r="6826" spans="2:6" x14ac:dyDescent="0.25">
      <c r="B6826" s="13" t="s">
        <v>12177</v>
      </c>
      <c r="C6826" s="17" t="s">
        <v>170</v>
      </c>
      <c r="D6826" s="13" t="s">
        <v>118</v>
      </c>
      <c r="E6826" s="13" t="s">
        <v>12178</v>
      </c>
      <c r="F6826" s="43">
        <v>1719.19</v>
      </c>
    </row>
    <row r="6827" spans="2:6" x14ac:dyDescent="0.25">
      <c r="B6827" s="13" t="s">
        <v>12179</v>
      </c>
      <c r="C6827" s="17" t="s">
        <v>170</v>
      </c>
      <c r="D6827" s="13" t="s">
        <v>118</v>
      </c>
      <c r="E6827" s="13" t="s">
        <v>12180</v>
      </c>
      <c r="F6827" s="43">
        <v>1758.55</v>
      </c>
    </row>
    <row r="6828" spans="2:6" x14ac:dyDescent="0.25">
      <c r="B6828" s="13" t="s">
        <v>12181</v>
      </c>
      <c r="C6828" s="17" t="s">
        <v>170</v>
      </c>
      <c r="D6828" s="13" t="s">
        <v>118</v>
      </c>
      <c r="E6828" s="13" t="s">
        <v>12182</v>
      </c>
      <c r="F6828" s="43">
        <v>207.01</v>
      </c>
    </row>
    <row r="6829" spans="2:6" x14ac:dyDescent="0.25">
      <c r="B6829" s="13" t="s">
        <v>12183</v>
      </c>
      <c r="C6829" s="17" t="s">
        <v>170</v>
      </c>
      <c r="D6829" s="13" t="s">
        <v>118</v>
      </c>
      <c r="E6829" s="13" t="s">
        <v>12184</v>
      </c>
      <c r="F6829" s="43">
        <v>207.01</v>
      </c>
    </row>
    <row r="6830" spans="2:6" x14ac:dyDescent="0.25">
      <c r="B6830" s="13" t="s">
        <v>12185</v>
      </c>
      <c r="C6830" s="17" t="s">
        <v>170</v>
      </c>
      <c r="D6830" s="13" t="s">
        <v>118</v>
      </c>
      <c r="E6830" s="13" t="s">
        <v>12186</v>
      </c>
      <c r="F6830" s="43">
        <v>207.01</v>
      </c>
    </row>
    <row r="6831" spans="2:6" x14ac:dyDescent="0.25">
      <c r="B6831" s="13" t="s">
        <v>12187</v>
      </c>
      <c r="C6831" s="17" t="s">
        <v>170</v>
      </c>
      <c r="D6831" s="13" t="s">
        <v>118</v>
      </c>
      <c r="E6831" s="13" t="s">
        <v>12188</v>
      </c>
      <c r="F6831" s="43">
        <v>207.01</v>
      </c>
    </row>
    <row r="6832" spans="2:6" x14ac:dyDescent="0.25">
      <c r="B6832" s="13" t="s">
        <v>12189</v>
      </c>
      <c r="C6832" s="17" t="s">
        <v>170</v>
      </c>
      <c r="D6832" s="13" t="s">
        <v>118</v>
      </c>
      <c r="E6832" s="13" t="s">
        <v>12190</v>
      </c>
      <c r="F6832" s="43">
        <v>207.01</v>
      </c>
    </row>
    <row r="6833" spans="2:6" x14ac:dyDescent="0.25">
      <c r="B6833" s="13" t="s">
        <v>12191</v>
      </c>
      <c r="C6833" s="17" t="s">
        <v>170</v>
      </c>
      <c r="D6833" s="13" t="s">
        <v>118</v>
      </c>
      <c r="E6833" s="13" t="s">
        <v>12192</v>
      </c>
      <c r="F6833" s="43">
        <v>207.01</v>
      </c>
    </row>
    <row r="6834" spans="2:6" x14ac:dyDescent="0.25">
      <c r="B6834" s="13" t="s">
        <v>12193</v>
      </c>
      <c r="C6834" s="17" t="s">
        <v>170</v>
      </c>
      <c r="D6834" s="13" t="s">
        <v>118</v>
      </c>
      <c r="E6834" s="13" t="s">
        <v>12194</v>
      </c>
      <c r="F6834" s="43">
        <v>207.01</v>
      </c>
    </row>
    <row r="6835" spans="2:6" x14ac:dyDescent="0.25">
      <c r="B6835" s="13" t="s">
        <v>12195</v>
      </c>
      <c r="C6835" s="17" t="s">
        <v>170</v>
      </c>
      <c r="D6835" s="13" t="s">
        <v>118</v>
      </c>
      <c r="E6835" s="13" t="s">
        <v>12196</v>
      </c>
      <c r="F6835" s="43">
        <v>207.01</v>
      </c>
    </row>
    <row r="6836" spans="2:6" x14ac:dyDescent="0.25">
      <c r="B6836" s="13" t="s">
        <v>12197</v>
      </c>
      <c r="C6836" s="17" t="s">
        <v>170</v>
      </c>
      <c r="D6836" s="13" t="s">
        <v>118</v>
      </c>
      <c r="E6836" s="13" t="s">
        <v>12198</v>
      </c>
      <c r="F6836" s="43">
        <v>207.01</v>
      </c>
    </row>
    <row r="6837" spans="2:6" x14ac:dyDescent="0.25">
      <c r="B6837" s="13" t="s">
        <v>12199</v>
      </c>
      <c r="C6837" s="17" t="s">
        <v>170</v>
      </c>
      <c r="D6837" s="13" t="s">
        <v>118</v>
      </c>
      <c r="E6837" s="13" t="s">
        <v>12200</v>
      </c>
      <c r="F6837" s="43">
        <v>207.01</v>
      </c>
    </row>
    <row r="6838" spans="2:6" x14ac:dyDescent="0.25">
      <c r="B6838" s="13" t="s">
        <v>12201</v>
      </c>
      <c r="C6838" s="17" t="s">
        <v>170</v>
      </c>
      <c r="D6838" s="13" t="s">
        <v>118</v>
      </c>
      <c r="E6838" s="13" t="s">
        <v>12202</v>
      </c>
      <c r="F6838" s="43">
        <v>207.01</v>
      </c>
    </row>
    <row r="6839" spans="2:6" x14ac:dyDescent="0.25">
      <c r="B6839" s="13" t="s">
        <v>12203</v>
      </c>
      <c r="C6839" s="17" t="s">
        <v>170</v>
      </c>
      <c r="D6839" s="13" t="s">
        <v>118</v>
      </c>
      <c r="E6839" s="13" t="s">
        <v>12204</v>
      </c>
      <c r="F6839" s="43">
        <v>207.01</v>
      </c>
    </row>
    <row r="6840" spans="2:6" x14ac:dyDescent="0.25">
      <c r="B6840" s="13" t="s">
        <v>12205</v>
      </c>
      <c r="C6840" s="17" t="s">
        <v>170</v>
      </c>
      <c r="D6840" s="13" t="s">
        <v>118</v>
      </c>
      <c r="E6840" s="13" t="s">
        <v>12206</v>
      </c>
      <c r="F6840" s="43">
        <v>207.01</v>
      </c>
    </row>
    <row r="6841" spans="2:6" x14ac:dyDescent="0.25">
      <c r="B6841" s="13" t="s">
        <v>12207</v>
      </c>
      <c r="C6841" s="17" t="s">
        <v>170</v>
      </c>
      <c r="D6841" s="13" t="s">
        <v>118</v>
      </c>
      <c r="E6841" s="13" t="s">
        <v>12208</v>
      </c>
      <c r="F6841" s="43">
        <v>207.01</v>
      </c>
    </row>
    <row r="6842" spans="2:6" x14ac:dyDescent="0.25">
      <c r="B6842" s="13" t="s">
        <v>12209</v>
      </c>
      <c r="C6842" s="17" t="s">
        <v>170</v>
      </c>
      <c r="D6842" s="13" t="s">
        <v>118</v>
      </c>
      <c r="E6842" s="13" t="s">
        <v>12210</v>
      </c>
      <c r="F6842" s="43">
        <v>207.01</v>
      </c>
    </row>
    <row r="6843" spans="2:6" x14ac:dyDescent="0.25">
      <c r="B6843" s="13" t="s">
        <v>12211</v>
      </c>
      <c r="C6843" s="17" t="s">
        <v>170</v>
      </c>
      <c r="D6843" s="13" t="s">
        <v>118</v>
      </c>
      <c r="E6843" s="13" t="s">
        <v>12212</v>
      </c>
      <c r="F6843" s="43">
        <v>207.01</v>
      </c>
    </row>
    <row r="6844" spans="2:6" x14ac:dyDescent="0.25">
      <c r="B6844" s="13" t="s">
        <v>12213</v>
      </c>
      <c r="C6844" s="17" t="s">
        <v>170</v>
      </c>
      <c r="D6844" s="13" t="s">
        <v>118</v>
      </c>
      <c r="E6844" s="13" t="s">
        <v>12214</v>
      </c>
      <c r="F6844" s="43">
        <v>207.01</v>
      </c>
    </row>
    <row r="6845" spans="2:6" x14ac:dyDescent="0.25">
      <c r="B6845" s="13" t="s">
        <v>12215</v>
      </c>
      <c r="C6845" s="17" t="s">
        <v>170</v>
      </c>
      <c r="D6845" s="13" t="s">
        <v>118</v>
      </c>
      <c r="E6845" s="13" t="s">
        <v>12216</v>
      </c>
      <c r="F6845" s="43">
        <v>207.01</v>
      </c>
    </row>
    <row r="6846" spans="2:6" x14ac:dyDescent="0.25">
      <c r="B6846" s="13" t="s">
        <v>12217</v>
      </c>
      <c r="C6846" s="17" t="s">
        <v>170</v>
      </c>
      <c r="D6846" s="13" t="s">
        <v>118</v>
      </c>
      <c r="E6846" s="13" t="s">
        <v>12218</v>
      </c>
      <c r="F6846" s="43">
        <v>207.01</v>
      </c>
    </row>
    <row r="6847" spans="2:6" x14ac:dyDescent="0.25">
      <c r="B6847" s="13" t="s">
        <v>12219</v>
      </c>
      <c r="C6847" s="17" t="s">
        <v>170</v>
      </c>
      <c r="D6847" s="13" t="s">
        <v>118</v>
      </c>
      <c r="E6847" s="13" t="s">
        <v>12220</v>
      </c>
      <c r="F6847" s="43">
        <v>207.01</v>
      </c>
    </row>
    <row r="6848" spans="2:6" x14ac:dyDescent="0.25">
      <c r="B6848" s="13" t="s">
        <v>12221</v>
      </c>
      <c r="C6848" s="17" t="s">
        <v>170</v>
      </c>
      <c r="D6848" s="13" t="s">
        <v>118</v>
      </c>
      <c r="E6848" s="13" t="s">
        <v>12222</v>
      </c>
      <c r="F6848" s="43">
        <v>207.01</v>
      </c>
    </row>
    <row r="6849" spans="2:6" x14ac:dyDescent="0.25">
      <c r="B6849" s="13" t="s">
        <v>12223</v>
      </c>
      <c r="C6849" s="17" t="s">
        <v>170</v>
      </c>
      <c r="D6849" s="13" t="s">
        <v>118</v>
      </c>
      <c r="E6849" s="13" t="s">
        <v>12224</v>
      </c>
      <c r="F6849" s="43">
        <v>207.01</v>
      </c>
    </row>
    <row r="6850" spans="2:6" x14ac:dyDescent="0.25">
      <c r="B6850" s="13" t="s">
        <v>12225</v>
      </c>
      <c r="C6850" s="17" t="s">
        <v>170</v>
      </c>
      <c r="D6850" s="13" t="s">
        <v>118</v>
      </c>
      <c r="E6850" s="13" t="s">
        <v>12226</v>
      </c>
      <c r="F6850" s="43">
        <v>207.01</v>
      </c>
    </row>
    <row r="6851" spans="2:6" x14ac:dyDescent="0.25">
      <c r="B6851" s="13" t="s">
        <v>12227</v>
      </c>
      <c r="C6851" s="17" t="s">
        <v>170</v>
      </c>
      <c r="D6851" s="13" t="s">
        <v>118</v>
      </c>
      <c r="E6851" s="13" t="s">
        <v>12228</v>
      </c>
      <c r="F6851" s="43">
        <v>207.01</v>
      </c>
    </row>
    <row r="6852" spans="2:6" x14ac:dyDescent="0.25">
      <c r="B6852" s="13" t="s">
        <v>12229</v>
      </c>
      <c r="C6852" s="17" t="s">
        <v>170</v>
      </c>
      <c r="D6852" s="13" t="s">
        <v>118</v>
      </c>
      <c r="E6852" s="13" t="s">
        <v>12230</v>
      </c>
      <c r="F6852" s="43">
        <v>325.89</v>
      </c>
    </row>
    <row r="6853" spans="2:6" x14ac:dyDescent="0.25">
      <c r="B6853" s="13" t="s">
        <v>12231</v>
      </c>
      <c r="C6853" s="17" t="s">
        <v>170</v>
      </c>
      <c r="D6853" s="13" t="s">
        <v>118</v>
      </c>
      <c r="E6853" s="13" t="s">
        <v>12232</v>
      </c>
      <c r="F6853" s="43">
        <v>325.89</v>
      </c>
    </row>
    <row r="6854" spans="2:6" x14ac:dyDescent="0.25">
      <c r="B6854" s="13" t="s">
        <v>12233</v>
      </c>
      <c r="C6854" s="17" t="s">
        <v>170</v>
      </c>
      <c r="D6854" s="13" t="s">
        <v>118</v>
      </c>
      <c r="E6854" s="13" t="s">
        <v>12234</v>
      </c>
      <c r="F6854" s="43">
        <v>207.01</v>
      </c>
    </row>
    <row r="6855" spans="2:6" x14ac:dyDescent="0.25">
      <c r="B6855" s="13" t="s">
        <v>12235</v>
      </c>
      <c r="C6855" s="17" t="s">
        <v>170</v>
      </c>
      <c r="D6855" s="13" t="s">
        <v>118</v>
      </c>
      <c r="E6855" s="13" t="s">
        <v>12236</v>
      </c>
      <c r="F6855" s="43">
        <v>207.01</v>
      </c>
    </row>
    <row r="6856" spans="2:6" x14ac:dyDescent="0.25">
      <c r="B6856" s="13" t="s">
        <v>12237</v>
      </c>
      <c r="C6856" s="17" t="s">
        <v>170</v>
      </c>
      <c r="D6856" s="13" t="s">
        <v>118</v>
      </c>
      <c r="E6856" s="13" t="s">
        <v>12238</v>
      </c>
      <c r="F6856" s="43">
        <v>207.01</v>
      </c>
    </row>
    <row r="6857" spans="2:6" x14ac:dyDescent="0.25">
      <c r="B6857" s="13" t="s">
        <v>12239</v>
      </c>
      <c r="C6857" s="17" t="s">
        <v>170</v>
      </c>
      <c r="D6857" s="13" t="s">
        <v>118</v>
      </c>
      <c r="E6857" s="13" t="s">
        <v>12240</v>
      </c>
      <c r="F6857" s="43">
        <v>207.01</v>
      </c>
    </row>
    <row r="6858" spans="2:6" x14ac:dyDescent="0.25">
      <c r="B6858" s="13" t="s">
        <v>12241</v>
      </c>
      <c r="C6858" s="17" t="s">
        <v>170</v>
      </c>
      <c r="D6858" s="13" t="s">
        <v>118</v>
      </c>
      <c r="E6858" s="13" t="s">
        <v>12242</v>
      </c>
      <c r="F6858" s="43">
        <v>207.01</v>
      </c>
    </row>
    <row r="6859" spans="2:6" x14ac:dyDescent="0.25">
      <c r="B6859" s="13" t="s">
        <v>12243</v>
      </c>
      <c r="C6859" s="17" t="s">
        <v>170</v>
      </c>
      <c r="D6859" s="13" t="s">
        <v>118</v>
      </c>
      <c r="E6859" s="13" t="s">
        <v>12244</v>
      </c>
      <c r="F6859" s="43">
        <v>207.01</v>
      </c>
    </row>
    <row r="6860" spans="2:6" x14ac:dyDescent="0.25">
      <c r="B6860" s="13" t="s">
        <v>12245</v>
      </c>
      <c r="C6860" s="17" t="s">
        <v>170</v>
      </c>
      <c r="D6860" s="13" t="s">
        <v>118</v>
      </c>
      <c r="E6860" s="13" t="s">
        <v>12246</v>
      </c>
      <c r="F6860" s="43">
        <v>207.01</v>
      </c>
    </row>
    <row r="6861" spans="2:6" x14ac:dyDescent="0.25">
      <c r="B6861" s="13" t="s">
        <v>12247</v>
      </c>
      <c r="C6861" s="17" t="s">
        <v>170</v>
      </c>
      <c r="D6861" s="13" t="s">
        <v>118</v>
      </c>
      <c r="E6861" s="13" t="s">
        <v>12248</v>
      </c>
      <c r="F6861" s="43">
        <v>207.01</v>
      </c>
    </row>
    <row r="6862" spans="2:6" x14ac:dyDescent="0.25">
      <c r="B6862" s="13" t="s">
        <v>12249</v>
      </c>
      <c r="C6862" s="17" t="s">
        <v>170</v>
      </c>
      <c r="D6862" s="13" t="s">
        <v>118</v>
      </c>
      <c r="E6862" s="13" t="s">
        <v>12250</v>
      </c>
      <c r="F6862" s="43">
        <v>207.01</v>
      </c>
    </row>
    <row r="6863" spans="2:6" x14ac:dyDescent="0.25">
      <c r="B6863" s="13" t="s">
        <v>12251</v>
      </c>
      <c r="C6863" s="17" t="s">
        <v>170</v>
      </c>
      <c r="D6863" s="13" t="s">
        <v>118</v>
      </c>
      <c r="E6863" s="13" t="s">
        <v>12252</v>
      </c>
      <c r="F6863" s="43">
        <v>207.01</v>
      </c>
    </row>
    <row r="6864" spans="2:6" x14ac:dyDescent="0.25">
      <c r="B6864" s="13" t="s">
        <v>12253</v>
      </c>
      <c r="C6864" s="17" t="s">
        <v>170</v>
      </c>
      <c r="D6864" s="13" t="s">
        <v>118</v>
      </c>
      <c r="E6864" s="13" t="s">
        <v>12254</v>
      </c>
      <c r="F6864" s="43">
        <v>207.01</v>
      </c>
    </row>
    <row r="6865" spans="2:6" x14ac:dyDescent="0.25">
      <c r="B6865" s="13" t="s">
        <v>12255</v>
      </c>
      <c r="C6865" s="17" t="s">
        <v>170</v>
      </c>
      <c r="D6865" s="13" t="s">
        <v>118</v>
      </c>
      <c r="E6865" s="13" t="s">
        <v>12256</v>
      </c>
      <c r="F6865" s="43">
        <v>207.01</v>
      </c>
    </row>
    <row r="6866" spans="2:6" x14ac:dyDescent="0.25">
      <c r="B6866" s="13" t="s">
        <v>12257</v>
      </c>
      <c r="C6866" s="17" t="s">
        <v>170</v>
      </c>
      <c r="D6866" s="13" t="s">
        <v>118</v>
      </c>
      <c r="E6866" s="13" t="s">
        <v>12258</v>
      </c>
      <c r="F6866" s="43">
        <v>207.01</v>
      </c>
    </row>
    <row r="6867" spans="2:6" x14ac:dyDescent="0.25">
      <c r="B6867" s="13" t="s">
        <v>12259</v>
      </c>
      <c r="C6867" s="17" t="s">
        <v>170</v>
      </c>
      <c r="D6867" s="13" t="s">
        <v>118</v>
      </c>
      <c r="E6867" s="13" t="s">
        <v>12260</v>
      </c>
      <c r="F6867" s="43">
        <v>207.01</v>
      </c>
    </row>
    <row r="6868" spans="2:6" x14ac:dyDescent="0.25">
      <c r="B6868" s="13" t="s">
        <v>12261</v>
      </c>
      <c r="C6868" s="17" t="s">
        <v>170</v>
      </c>
      <c r="D6868" s="13" t="s">
        <v>118</v>
      </c>
      <c r="E6868" s="13" t="s">
        <v>12262</v>
      </c>
      <c r="F6868" s="43">
        <v>207.01</v>
      </c>
    </row>
    <row r="6869" spans="2:6" x14ac:dyDescent="0.25">
      <c r="B6869" s="13" t="s">
        <v>12263</v>
      </c>
      <c r="C6869" s="17" t="s">
        <v>170</v>
      </c>
      <c r="D6869" s="13" t="s">
        <v>118</v>
      </c>
      <c r="E6869" s="13" t="s">
        <v>12264</v>
      </c>
      <c r="F6869" s="43">
        <v>207.01</v>
      </c>
    </row>
    <row r="6870" spans="2:6" x14ac:dyDescent="0.25">
      <c r="B6870" s="13" t="s">
        <v>12265</v>
      </c>
      <c r="C6870" s="17" t="s">
        <v>170</v>
      </c>
      <c r="D6870" s="13" t="s">
        <v>118</v>
      </c>
      <c r="E6870" s="13" t="s">
        <v>12266</v>
      </c>
      <c r="F6870" s="43">
        <v>207.01</v>
      </c>
    </row>
    <row r="6871" spans="2:6" x14ac:dyDescent="0.25">
      <c r="B6871" s="13" t="s">
        <v>12267</v>
      </c>
      <c r="C6871" s="17" t="s">
        <v>170</v>
      </c>
      <c r="D6871" s="13" t="s">
        <v>118</v>
      </c>
      <c r="E6871" s="13" t="s">
        <v>12268</v>
      </c>
      <c r="F6871" s="43">
        <v>207.01</v>
      </c>
    </row>
    <row r="6872" spans="2:6" x14ac:dyDescent="0.25">
      <c r="B6872" s="13" t="s">
        <v>12269</v>
      </c>
      <c r="C6872" s="17" t="s">
        <v>170</v>
      </c>
      <c r="D6872" s="13" t="s">
        <v>118</v>
      </c>
      <c r="E6872" s="13" t="s">
        <v>12270</v>
      </c>
      <c r="F6872" s="43">
        <v>207.01</v>
      </c>
    </row>
    <row r="6873" spans="2:6" x14ac:dyDescent="0.25">
      <c r="B6873" s="13" t="s">
        <v>12271</v>
      </c>
      <c r="C6873" s="17" t="s">
        <v>170</v>
      </c>
      <c r="D6873" s="13" t="s">
        <v>118</v>
      </c>
      <c r="E6873" s="13" t="s">
        <v>12272</v>
      </c>
      <c r="F6873" s="43">
        <v>207.01</v>
      </c>
    </row>
    <row r="6874" spans="2:6" x14ac:dyDescent="0.25">
      <c r="B6874" s="13" t="s">
        <v>12273</v>
      </c>
      <c r="C6874" s="17" t="s">
        <v>170</v>
      </c>
      <c r="D6874" s="13" t="s">
        <v>118</v>
      </c>
      <c r="E6874" s="13" t="s">
        <v>12274</v>
      </c>
      <c r="F6874" s="43">
        <v>207.01</v>
      </c>
    </row>
    <row r="6875" spans="2:6" x14ac:dyDescent="0.25">
      <c r="B6875" s="13" t="s">
        <v>12275</v>
      </c>
      <c r="C6875" s="17" t="s">
        <v>170</v>
      </c>
      <c r="D6875" s="13" t="s">
        <v>118</v>
      </c>
      <c r="E6875" s="13" t="s">
        <v>12276</v>
      </c>
      <c r="F6875" s="43">
        <v>207.01</v>
      </c>
    </row>
    <row r="6876" spans="2:6" x14ac:dyDescent="0.25">
      <c r="B6876" s="13" t="s">
        <v>12277</v>
      </c>
      <c r="C6876" s="17" t="s">
        <v>170</v>
      </c>
      <c r="D6876" s="13" t="s">
        <v>118</v>
      </c>
      <c r="E6876" s="13" t="s">
        <v>12278</v>
      </c>
      <c r="F6876" s="43">
        <v>207.01</v>
      </c>
    </row>
    <row r="6877" spans="2:6" x14ac:dyDescent="0.25">
      <c r="B6877" s="13" t="s">
        <v>12279</v>
      </c>
      <c r="C6877" s="17" t="s">
        <v>170</v>
      </c>
      <c r="D6877" s="13" t="s">
        <v>118</v>
      </c>
      <c r="E6877" s="13" t="s">
        <v>12280</v>
      </c>
      <c r="F6877" s="43">
        <v>207.01</v>
      </c>
    </row>
    <row r="6878" spans="2:6" x14ac:dyDescent="0.25">
      <c r="B6878" s="13" t="s">
        <v>12281</v>
      </c>
      <c r="C6878" s="17" t="s">
        <v>170</v>
      </c>
      <c r="D6878" s="13" t="s">
        <v>118</v>
      </c>
      <c r="E6878" s="13" t="s">
        <v>12282</v>
      </c>
      <c r="F6878" s="43">
        <v>325.89</v>
      </c>
    </row>
    <row r="6879" spans="2:6" x14ac:dyDescent="0.25">
      <c r="B6879" s="13" t="s">
        <v>12283</v>
      </c>
      <c r="C6879" s="17" t="s">
        <v>170</v>
      </c>
      <c r="D6879" s="13" t="s">
        <v>118</v>
      </c>
      <c r="E6879" s="13" t="s">
        <v>12284</v>
      </c>
      <c r="F6879" s="43">
        <v>325.89</v>
      </c>
    </row>
    <row r="6880" spans="2:6" x14ac:dyDescent="0.25">
      <c r="B6880" s="13" t="s">
        <v>12285</v>
      </c>
      <c r="C6880" s="17" t="s">
        <v>170</v>
      </c>
      <c r="D6880" s="13" t="s">
        <v>118</v>
      </c>
      <c r="E6880" s="13" t="s">
        <v>12286</v>
      </c>
      <c r="F6880" s="43">
        <v>207.01</v>
      </c>
    </row>
    <row r="6881" spans="2:6" x14ac:dyDescent="0.25">
      <c r="B6881" s="13" t="s">
        <v>12287</v>
      </c>
      <c r="C6881" s="17" t="s">
        <v>170</v>
      </c>
      <c r="D6881" s="13" t="s">
        <v>118</v>
      </c>
      <c r="E6881" s="13" t="s">
        <v>12288</v>
      </c>
      <c r="F6881" s="43">
        <v>207.01</v>
      </c>
    </row>
    <row r="6882" spans="2:6" x14ac:dyDescent="0.25">
      <c r="B6882" s="13" t="s">
        <v>12289</v>
      </c>
      <c r="C6882" s="17" t="s">
        <v>170</v>
      </c>
      <c r="D6882" s="13" t="s">
        <v>118</v>
      </c>
      <c r="E6882" s="13" t="s">
        <v>12290</v>
      </c>
      <c r="F6882" s="43">
        <v>207.01</v>
      </c>
    </row>
    <row r="6883" spans="2:6" x14ac:dyDescent="0.25">
      <c r="B6883" s="13" t="s">
        <v>12291</v>
      </c>
      <c r="C6883" s="17" t="s">
        <v>170</v>
      </c>
      <c r="D6883" s="13" t="s">
        <v>118</v>
      </c>
      <c r="E6883" s="13" t="s">
        <v>12292</v>
      </c>
      <c r="F6883" s="43">
        <v>207.01</v>
      </c>
    </row>
    <row r="6884" spans="2:6" x14ac:dyDescent="0.25">
      <c r="B6884" s="13" t="s">
        <v>12293</v>
      </c>
      <c r="C6884" s="17" t="s">
        <v>170</v>
      </c>
      <c r="D6884" s="13" t="s">
        <v>118</v>
      </c>
      <c r="E6884" s="13" t="s">
        <v>12294</v>
      </c>
      <c r="F6884" s="43">
        <v>207.01</v>
      </c>
    </row>
    <row r="6885" spans="2:6" x14ac:dyDescent="0.25">
      <c r="B6885" s="13" t="s">
        <v>12295</v>
      </c>
      <c r="C6885" s="17" t="s">
        <v>170</v>
      </c>
      <c r="D6885" s="13" t="s">
        <v>118</v>
      </c>
      <c r="E6885" s="13" t="s">
        <v>12296</v>
      </c>
      <c r="F6885" s="43">
        <v>207.01</v>
      </c>
    </row>
    <row r="6886" spans="2:6" x14ac:dyDescent="0.25">
      <c r="B6886" s="13" t="s">
        <v>12297</v>
      </c>
      <c r="C6886" s="17" t="s">
        <v>170</v>
      </c>
      <c r="D6886" s="13" t="s">
        <v>118</v>
      </c>
      <c r="E6886" s="13" t="s">
        <v>12298</v>
      </c>
      <c r="F6886" s="43">
        <v>207.01</v>
      </c>
    </row>
    <row r="6887" spans="2:6" x14ac:dyDescent="0.25">
      <c r="B6887" s="13" t="s">
        <v>12299</v>
      </c>
      <c r="C6887" s="17" t="s">
        <v>170</v>
      </c>
      <c r="D6887" s="13" t="s">
        <v>118</v>
      </c>
      <c r="E6887" s="13" t="s">
        <v>12300</v>
      </c>
      <c r="F6887" s="43">
        <v>207.01</v>
      </c>
    </row>
    <row r="6888" spans="2:6" x14ac:dyDescent="0.25">
      <c r="B6888" s="13" t="s">
        <v>12301</v>
      </c>
      <c r="C6888" s="17" t="s">
        <v>170</v>
      </c>
      <c r="D6888" s="13" t="s">
        <v>118</v>
      </c>
      <c r="E6888" s="13" t="s">
        <v>12302</v>
      </c>
      <c r="F6888" s="43">
        <v>207.01</v>
      </c>
    </row>
    <row r="6889" spans="2:6" x14ac:dyDescent="0.25">
      <c r="B6889" s="13" t="s">
        <v>12303</v>
      </c>
      <c r="C6889" s="17" t="s">
        <v>170</v>
      </c>
      <c r="D6889" s="13" t="s">
        <v>118</v>
      </c>
      <c r="E6889" s="13" t="s">
        <v>12304</v>
      </c>
      <c r="F6889" s="43">
        <v>207.01</v>
      </c>
    </row>
    <row r="6890" spans="2:6" x14ac:dyDescent="0.25">
      <c r="B6890" s="13" t="s">
        <v>12305</v>
      </c>
      <c r="C6890" s="17" t="s">
        <v>170</v>
      </c>
      <c r="D6890" s="13" t="s">
        <v>118</v>
      </c>
      <c r="E6890" s="13" t="s">
        <v>12306</v>
      </c>
      <c r="F6890" s="43">
        <v>207.01</v>
      </c>
    </row>
    <row r="6891" spans="2:6" x14ac:dyDescent="0.25">
      <c r="B6891" s="13" t="s">
        <v>12307</v>
      </c>
      <c r="C6891" s="17" t="s">
        <v>170</v>
      </c>
      <c r="D6891" s="13" t="s">
        <v>118</v>
      </c>
      <c r="E6891" s="13" t="s">
        <v>12308</v>
      </c>
      <c r="F6891" s="43">
        <v>207.01</v>
      </c>
    </row>
    <row r="6892" spans="2:6" x14ac:dyDescent="0.25">
      <c r="B6892" s="13" t="s">
        <v>12309</v>
      </c>
      <c r="C6892" s="17" t="s">
        <v>170</v>
      </c>
      <c r="D6892" s="13" t="s">
        <v>118</v>
      </c>
      <c r="E6892" s="13" t="s">
        <v>12310</v>
      </c>
      <c r="F6892" s="43">
        <v>207.01</v>
      </c>
    </row>
    <row r="6893" spans="2:6" x14ac:dyDescent="0.25">
      <c r="B6893" s="13" t="s">
        <v>12311</v>
      </c>
      <c r="C6893" s="17" t="s">
        <v>170</v>
      </c>
      <c r="D6893" s="13" t="s">
        <v>118</v>
      </c>
      <c r="E6893" s="13" t="s">
        <v>12312</v>
      </c>
      <c r="F6893" s="43">
        <v>207.01</v>
      </c>
    </row>
    <row r="6894" spans="2:6" x14ac:dyDescent="0.25">
      <c r="B6894" s="13" t="s">
        <v>12313</v>
      </c>
      <c r="C6894" s="17" t="s">
        <v>170</v>
      </c>
      <c r="D6894" s="13" t="s">
        <v>118</v>
      </c>
      <c r="E6894" s="13" t="s">
        <v>12314</v>
      </c>
      <c r="F6894" s="43">
        <v>207.01</v>
      </c>
    </row>
    <row r="6895" spans="2:6" x14ac:dyDescent="0.25">
      <c r="B6895" s="13" t="s">
        <v>12315</v>
      </c>
      <c r="C6895" s="17" t="s">
        <v>170</v>
      </c>
      <c r="D6895" s="13" t="s">
        <v>118</v>
      </c>
      <c r="E6895" s="13" t="s">
        <v>12316</v>
      </c>
      <c r="F6895" s="43">
        <v>207.01</v>
      </c>
    </row>
    <row r="6896" spans="2:6" x14ac:dyDescent="0.25">
      <c r="B6896" s="13" t="s">
        <v>12317</v>
      </c>
      <c r="C6896" s="17" t="s">
        <v>170</v>
      </c>
      <c r="D6896" s="13" t="s">
        <v>118</v>
      </c>
      <c r="E6896" s="13" t="s">
        <v>12318</v>
      </c>
      <c r="F6896" s="43">
        <v>207.01</v>
      </c>
    </row>
    <row r="6897" spans="2:6" x14ac:dyDescent="0.25">
      <c r="B6897" s="13" t="s">
        <v>12319</v>
      </c>
      <c r="C6897" s="17" t="s">
        <v>170</v>
      </c>
      <c r="D6897" s="13" t="s">
        <v>118</v>
      </c>
      <c r="E6897" s="13" t="s">
        <v>12320</v>
      </c>
      <c r="F6897" s="43">
        <v>207.01</v>
      </c>
    </row>
    <row r="6898" spans="2:6" x14ac:dyDescent="0.25">
      <c r="B6898" s="13" t="s">
        <v>12321</v>
      </c>
      <c r="C6898" s="17" t="s">
        <v>170</v>
      </c>
      <c r="D6898" s="13" t="s">
        <v>118</v>
      </c>
      <c r="E6898" s="13" t="s">
        <v>12322</v>
      </c>
      <c r="F6898" s="43">
        <v>207.01</v>
      </c>
    </row>
    <row r="6899" spans="2:6" x14ac:dyDescent="0.25">
      <c r="B6899" s="13" t="s">
        <v>12323</v>
      </c>
      <c r="C6899" s="17" t="s">
        <v>170</v>
      </c>
      <c r="D6899" s="13" t="s">
        <v>118</v>
      </c>
      <c r="E6899" s="13" t="s">
        <v>12324</v>
      </c>
      <c r="F6899" s="43">
        <v>207.01</v>
      </c>
    </row>
    <row r="6900" spans="2:6" x14ac:dyDescent="0.25">
      <c r="B6900" s="13" t="s">
        <v>12325</v>
      </c>
      <c r="C6900" s="17" t="s">
        <v>170</v>
      </c>
      <c r="D6900" s="13" t="s">
        <v>118</v>
      </c>
      <c r="E6900" s="13" t="s">
        <v>12326</v>
      </c>
      <c r="F6900" s="43">
        <v>207.01</v>
      </c>
    </row>
    <row r="6901" spans="2:6" x14ac:dyDescent="0.25">
      <c r="B6901" s="13" t="s">
        <v>12327</v>
      </c>
      <c r="C6901" s="17" t="s">
        <v>170</v>
      </c>
      <c r="D6901" s="13" t="s">
        <v>118</v>
      </c>
      <c r="E6901" s="13" t="s">
        <v>12328</v>
      </c>
      <c r="F6901" s="43">
        <v>207.01</v>
      </c>
    </row>
    <row r="6902" spans="2:6" x14ac:dyDescent="0.25">
      <c r="B6902" s="13" t="s">
        <v>12329</v>
      </c>
      <c r="C6902" s="17" t="s">
        <v>170</v>
      </c>
      <c r="D6902" s="13" t="s">
        <v>118</v>
      </c>
      <c r="E6902" s="13" t="s">
        <v>12330</v>
      </c>
      <c r="F6902" s="43">
        <v>207.01</v>
      </c>
    </row>
    <row r="6903" spans="2:6" x14ac:dyDescent="0.25">
      <c r="B6903" s="13" t="s">
        <v>12331</v>
      </c>
      <c r="C6903" s="17" t="s">
        <v>170</v>
      </c>
      <c r="D6903" s="13" t="s">
        <v>118</v>
      </c>
      <c r="E6903" s="13" t="s">
        <v>12332</v>
      </c>
      <c r="F6903" s="43">
        <v>207.01</v>
      </c>
    </row>
    <row r="6904" spans="2:6" x14ac:dyDescent="0.25">
      <c r="B6904" s="13" t="s">
        <v>12333</v>
      </c>
      <c r="C6904" s="17" t="s">
        <v>170</v>
      </c>
      <c r="D6904" s="13" t="s">
        <v>118</v>
      </c>
      <c r="E6904" s="13" t="s">
        <v>12334</v>
      </c>
      <c r="F6904" s="43">
        <v>325.89</v>
      </c>
    </row>
    <row r="6905" spans="2:6" x14ac:dyDescent="0.25">
      <c r="B6905" s="13" t="s">
        <v>12335</v>
      </c>
      <c r="C6905" s="17" t="s">
        <v>170</v>
      </c>
      <c r="D6905" s="13" t="s">
        <v>118</v>
      </c>
      <c r="E6905" s="13" t="s">
        <v>12336</v>
      </c>
      <c r="F6905" s="43">
        <v>325.89</v>
      </c>
    </row>
    <row r="6906" spans="2:6" x14ac:dyDescent="0.25">
      <c r="B6906" s="13" t="s">
        <v>12337</v>
      </c>
      <c r="C6906" s="17" t="s">
        <v>170</v>
      </c>
      <c r="D6906" s="13" t="s">
        <v>118</v>
      </c>
      <c r="E6906" s="13" t="s">
        <v>12338</v>
      </c>
      <c r="F6906" s="43">
        <v>207.01</v>
      </c>
    </row>
    <row r="6907" spans="2:6" x14ac:dyDescent="0.25">
      <c r="B6907" s="13" t="s">
        <v>12339</v>
      </c>
      <c r="C6907" s="17" t="s">
        <v>170</v>
      </c>
      <c r="D6907" s="13" t="s">
        <v>118</v>
      </c>
      <c r="E6907" s="13" t="s">
        <v>12340</v>
      </c>
      <c r="F6907" s="43">
        <v>207.01</v>
      </c>
    </row>
    <row r="6908" spans="2:6" x14ac:dyDescent="0.25">
      <c r="B6908" s="13" t="s">
        <v>12341</v>
      </c>
      <c r="C6908" s="17" t="s">
        <v>170</v>
      </c>
      <c r="D6908" s="13" t="s">
        <v>118</v>
      </c>
      <c r="E6908" s="13" t="s">
        <v>12342</v>
      </c>
      <c r="F6908" s="43">
        <v>207.01</v>
      </c>
    </row>
    <row r="6909" spans="2:6" x14ac:dyDescent="0.25">
      <c r="B6909" s="13" t="s">
        <v>12343</v>
      </c>
      <c r="C6909" s="17" t="s">
        <v>170</v>
      </c>
      <c r="D6909" s="13" t="s">
        <v>118</v>
      </c>
      <c r="E6909" s="13" t="s">
        <v>12344</v>
      </c>
      <c r="F6909" s="43">
        <v>207.01</v>
      </c>
    </row>
    <row r="6910" spans="2:6" x14ac:dyDescent="0.25">
      <c r="B6910" s="13" t="s">
        <v>12345</v>
      </c>
      <c r="C6910" s="17" t="s">
        <v>170</v>
      </c>
      <c r="D6910" s="13" t="s">
        <v>118</v>
      </c>
      <c r="E6910" s="13" t="s">
        <v>12346</v>
      </c>
      <c r="F6910" s="43">
        <v>207.01</v>
      </c>
    </row>
    <row r="6911" spans="2:6" x14ac:dyDescent="0.25">
      <c r="B6911" s="13" t="s">
        <v>12347</v>
      </c>
      <c r="C6911" s="17" t="s">
        <v>170</v>
      </c>
      <c r="D6911" s="13" t="s">
        <v>118</v>
      </c>
      <c r="E6911" s="13" t="s">
        <v>12348</v>
      </c>
      <c r="F6911" s="43">
        <v>207.01</v>
      </c>
    </row>
    <row r="6912" spans="2:6" x14ac:dyDescent="0.25">
      <c r="B6912" s="13" t="s">
        <v>12349</v>
      </c>
      <c r="C6912" s="17" t="s">
        <v>170</v>
      </c>
      <c r="D6912" s="13" t="s">
        <v>118</v>
      </c>
      <c r="E6912" s="13" t="s">
        <v>12350</v>
      </c>
      <c r="F6912" s="43">
        <v>207.01</v>
      </c>
    </row>
    <row r="6913" spans="2:6" x14ac:dyDescent="0.25">
      <c r="B6913" s="13" t="s">
        <v>12351</v>
      </c>
      <c r="C6913" s="17" t="s">
        <v>170</v>
      </c>
      <c r="D6913" s="13" t="s">
        <v>118</v>
      </c>
      <c r="E6913" s="13" t="s">
        <v>12352</v>
      </c>
      <c r="F6913" s="43">
        <v>207.01</v>
      </c>
    </row>
    <row r="6914" spans="2:6" x14ac:dyDescent="0.25">
      <c r="B6914" s="13" t="s">
        <v>12353</v>
      </c>
      <c r="C6914" s="17" t="s">
        <v>170</v>
      </c>
      <c r="D6914" s="13" t="s">
        <v>118</v>
      </c>
      <c r="E6914" s="13" t="s">
        <v>12354</v>
      </c>
      <c r="F6914" s="43">
        <v>207.01</v>
      </c>
    </row>
    <row r="6915" spans="2:6" x14ac:dyDescent="0.25">
      <c r="B6915" s="13" t="s">
        <v>12355</v>
      </c>
      <c r="C6915" s="17" t="s">
        <v>170</v>
      </c>
      <c r="D6915" s="13" t="s">
        <v>118</v>
      </c>
      <c r="E6915" s="13" t="s">
        <v>12356</v>
      </c>
      <c r="F6915" s="43">
        <v>207.01</v>
      </c>
    </row>
    <row r="6916" spans="2:6" x14ac:dyDescent="0.25">
      <c r="B6916" s="13" t="s">
        <v>12357</v>
      </c>
      <c r="C6916" s="17" t="s">
        <v>170</v>
      </c>
      <c r="D6916" s="13" t="s">
        <v>118</v>
      </c>
      <c r="E6916" s="13" t="s">
        <v>12358</v>
      </c>
      <c r="F6916" s="43">
        <v>207.01</v>
      </c>
    </row>
    <row r="6917" spans="2:6" x14ac:dyDescent="0.25">
      <c r="B6917" s="13" t="s">
        <v>12359</v>
      </c>
      <c r="C6917" s="17" t="s">
        <v>170</v>
      </c>
      <c r="D6917" s="13" t="s">
        <v>118</v>
      </c>
      <c r="E6917" s="13" t="s">
        <v>12360</v>
      </c>
      <c r="F6917" s="43">
        <v>207.01</v>
      </c>
    </row>
    <row r="6918" spans="2:6" x14ac:dyDescent="0.25">
      <c r="B6918" s="13" t="s">
        <v>12361</v>
      </c>
      <c r="C6918" s="17" t="s">
        <v>170</v>
      </c>
      <c r="D6918" s="13" t="s">
        <v>118</v>
      </c>
      <c r="E6918" s="13" t="s">
        <v>12362</v>
      </c>
      <c r="F6918" s="43">
        <v>207.01</v>
      </c>
    </row>
    <row r="6919" spans="2:6" x14ac:dyDescent="0.25">
      <c r="B6919" s="13" t="s">
        <v>12363</v>
      </c>
      <c r="C6919" s="17" t="s">
        <v>170</v>
      </c>
      <c r="D6919" s="13" t="s">
        <v>118</v>
      </c>
      <c r="E6919" s="13" t="s">
        <v>12364</v>
      </c>
      <c r="F6919" s="43">
        <v>207.01</v>
      </c>
    </row>
    <row r="6920" spans="2:6" x14ac:dyDescent="0.25">
      <c r="B6920" s="13" t="s">
        <v>12365</v>
      </c>
      <c r="C6920" s="17" t="s">
        <v>170</v>
      </c>
      <c r="D6920" s="13" t="s">
        <v>118</v>
      </c>
      <c r="E6920" s="13" t="s">
        <v>12366</v>
      </c>
      <c r="F6920" s="43">
        <v>207.01</v>
      </c>
    </row>
    <row r="6921" spans="2:6" x14ac:dyDescent="0.25">
      <c r="B6921" s="13" t="s">
        <v>12367</v>
      </c>
      <c r="C6921" s="17" t="s">
        <v>170</v>
      </c>
      <c r="D6921" s="13" t="s">
        <v>118</v>
      </c>
      <c r="E6921" s="13" t="s">
        <v>12368</v>
      </c>
      <c r="F6921" s="43">
        <v>207.01</v>
      </c>
    </row>
    <row r="6922" spans="2:6" x14ac:dyDescent="0.25">
      <c r="B6922" s="13" t="s">
        <v>12369</v>
      </c>
      <c r="C6922" s="17" t="s">
        <v>170</v>
      </c>
      <c r="D6922" s="13" t="s">
        <v>118</v>
      </c>
      <c r="E6922" s="13" t="s">
        <v>12370</v>
      </c>
      <c r="F6922" s="43">
        <v>207.01</v>
      </c>
    </row>
    <row r="6923" spans="2:6" x14ac:dyDescent="0.25">
      <c r="B6923" s="13" t="s">
        <v>12371</v>
      </c>
      <c r="C6923" s="17" t="s">
        <v>170</v>
      </c>
      <c r="D6923" s="13" t="s">
        <v>118</v>
      </c>
      <c r="E6923" s="13" t="s">
        <v>12372</v>
      </c>
      <c r="F6923" s="43">
        <v>207.01</v>
      </c>
    </row>
    <row r="6924" spans="2:6" x14ac:dyDescent="0.25">
      <c r="B6924" s="13" t="s">
        <v>12373</v>
      </c>
      <c r="C6924" s="17" t="s">
        <v>170</v>
      </c>
      <c r="D6924" s="13" t="s">
        <v>118</v>
      </c>
      <c r="E6924" s="13" t="s">
        <v>12374</v>
      </c>
      <c r="F6924" s="43">
        <v>207.01</v>
      </c>
    </row>
    <row r="6925" spans="2:6" x14ac:dyDescent="0.25">
      <c r="B6925" s="13" t="s">
        <v>12375</v>
      </c>
      <c r="C6925" s="17" t="s">
        <v>170</v>
      </c>
      <c r="D6925" s="13" t="s">
        <v>118</v>
      </c>
      <c r="E6925" s="13" t="s">
        <v>12376</v>
      </c>
      <c r="F6925" s="43">
        <v>207.01</v>
      </c>
    </row>
    <row r="6926" spans="2:6" x14ac:dyDescent="0.25">
      <c r="B6926" s="13" t="s">
        <v>12377</v>
      </c>
      <c r="C6926" s="17" t="s">
        <v>170</v>
      </c>
      <c r="D6926" s="13" t="s">
        <v>118</v>
      </c>
      <c r="E6926" s="13" t="s">
        <v>12378</v>
      </c>
      <c r="F6926" s="43">
        <v>207.01</v>
      </c>
    </row>
    <row r="6927" spans="2:6" x14ac:dyDescent="0.25">
      <c r="B6927" s="13" t="s">
        <v>12379</v>
      </c>
      <c r="C6927" s="17" t="s">
        <v>170</v>
      </c>
      <c r="D6927" s="13" t="s">
        <v>118</v>
      </c>
      <c r="E6927" s="13" t="s">
        <v>12380</v>
      </c>
      <c r="F6927" s="43">
        <v>207.01</v>
      </c>
    </row>
    <row r="6928" spans="2:6" x14ac:dyDescent="0.25">
      <c r="B6928" s="13" t="s">
        <v>12381</v>
      </c>
      <c r="C6928" s="17" t="s">
        <v>170</v>
      </c>
      <c r="D6928" s="13" t="s">
        <v>118</v>
      </c>
      <c r="E6928" s="13" t="s">
        <v>12382</v>
      </c>
      <c r="F6928" s="43">
        <v>207.01</v>
      </c>
    </row>
    <row r="6929" spans="2:6" x14ac:dyDescent="0.25">
      <c r="B6929" s="13" t="s">
        <v>12383</v>
      </c>
      <c r="C6929" s="17" t="s">
        <v>170</v>
      </c>
      <c r="D6929" s="13" t="s">
        <v>118</v>
      </c>
      <c r="E6929" s="13" t="s">
        <v>12384</v>
      </c>
      <c r="F6929" s="43">
        <v>207.01</v>
      </c>
    </row>
    <row r="6930" spans="2:6" x14ac:dyDescent="0.25">
      <c r="B6930" s="13" t="s">
        <v>12385</v>
      </c>
      <c r="C6930" s="17" t="s">
        <v>170</v>
      </c>
      <c r="D6930" s="13" t="s">
        <v>118</v>
      </c>
      <c r="E6930" s="13" t="s">
        <v>12386</v>
      </c>
      <c r="F6930" s="43">
        <v>325.89</v>
      </c>
    </row>
    <row r="6931" spans="2:6" x14ac:dyDescent="0.25">
      <c r="B6931" s="13" t="s">
        <v>12387</v>
      </c>
      <c r="C6931" s="17" t="s">
        <v>170</v>
      </c>
      <c r="D6931" s="13" t="s">
        <v>118</v>
      </c>
      <c r="E6931" s="13" t="s">
        <v>12388</v>
      </c>
      <c r="F6931" s="43">
        <v>325.89</v>
      </c>
    </row>
    <row r="6932" spans="2:6" x14ac:dyDescent="0.25">
      <c r="B6932" s="13" t="s">
        <v>12389</v>
      </c>
      <c r="C6932" s="17" t="s">
        <v>170</v>
      </c>
      <c r="D6932" s="13" t="s">
        <v>118</v>
      </c>
      <c r="E6932" s="13" t="s">
        <v>12390</v>
      </c>
      <c r="F6932" s="43">
        <v>222.31</v>
      </c>
    </row>
    <row r="6933" spans="2:6" x14ac:dyDescent="0.25">
      <c r="B6933" s="13" t="s">
        <v>12391</v>
      </c>
      <c r="C6933" s="17" t="s">
        <v>170</v>
      </c>
      <c r="D6933" s="13" t="s">
        <v>118</v>
      </c>
      <c r="E6933" s="13" t="s">
        <v>12392</v>
      </c>
      <c r="F6933" s="43">
        <v>222.31</v>
      </c>
    </row>
    <row r="6934" spans="2:6" x14ac:dyDescent="0.25">
      <c r="B6934" s="13" t="s">
        <v>12393</v>
      </c>
      <c r="C6934" s="17" t="s">
        <v>170</v>
      </c>
      <c r="D6934" s="13" t="s">
        <v>118</v>
      </c>
      <c r="E6934" s="13" t="s">
        <v>12394</v>
      </c>
      <c r="F6934" s="43">
        <v>222.31</v>
      </c>
    </row>
    <row r="6935" spans="2:6" x14ac:dyDescent="0.25">
      <c r="B6935" s="13" t="s">
        <v>12395</v>
      </c>
      <c r="C6935" s="17" t="s">
        <v>170</v>
      </c>
      <c r="D6935" s="13" t="s">
        <v>118</v>
      </c>
      <c r="E6935" s="13" t="s">
        <v>12396</v>
      </c>
      <c r="F6935" s="43">
        <v>222.31</v>
      </c>
    </row>
    <row r="6936" spans="2:6" x14ac:dyDescent="0.25">
      <c r="B6936" s="13" t="s">
        <v>12397</v>
      </c>
      <c r="C6936" s="17" t="s">
        <v>170</v>
      </c>
      <c r="D6936" s="13" t="s">
        <v>118</v>
      </c>
      <c r="E6936" s="13" t="s">
        <v>12398</v>
      </c>
      <c r="F6936" s="43">
        <v>222.31</v>
      </c>
    </row>
    <row r="6937" spans="2:6" x14ac:dyDescent="0.25">
      <c r="B6937" s="13" t="s">
        <v>12399</v>
      </c>
      <c r="C6937" s="17" t="s">
        <v>170</v>
      </c>
      <c r="D6937" s="13" t="s">
        <v>118</v>
      </c>
      <c r="E6937" s="13" t="s">
        <v>12400</v>
      </c>
      <c r="F6937" s="43">
        <v>222.31</v>
      </c>
    </row>
    <row r="6938" spans="2:6" x14ac:dyDescent="0.25">
      <c r="B6938" s="13" t="s">
        <v>12401</v>
      </c>
      <c r="C6938" s="17" t="s">
        <v>170</v>
      </c>
      <c r="D6938" s="13" t="s">
        <v>118</v>
      </c>
      <c r="E6938" s="13" t="s">
        <v>12402</v>
      </c>
      <c r="F6938" s="43">
        <v>222.31</v>
      </c>
    </row>
    <row r="6939" spans="2:6" x14ac:dyDescent="0.25">
      <c r="B6939" s="13" t="s">
        <v>12403</v>
      </c>
      <c r="C6939" s="17" t="s">
        <v>170</v>
      </c>
      <c r="D6939" s="13" t="s">
        <v>118</v>
      </c>
      <c r="E6939" s="13" t="s">
        <v>12404</v>
      </c>
      <c r="F6939" s="43">
        <v>222.31</v>
      </c>
    </row>
    <row r="6940" spans="2:6" x14ac:dyDescent="0.25">
      <c r="B6940" s="13" t="s">
        <v>12405</v>
      </c>
      <c r="C6940" s="17" t="s">
        <v>170</v>
      </c>
      <c r="D6940" s="13" t="s">
        <v>118</v>
      </c>
      <c r="E6940" s="13" t="s">
        <v>12406</v>
      </c>
      <c r="F6940" s="43">
        <v>222.31</v>
      </c>
    </row>
    <row r="6941" spans="2:6" x14ac:dyDescent="0.25">
      <c r="B6941" s="13" t="s">
        <v>12407</v>
      </c>
      <c r="C6941" s="17" t="s">
        <v>170</v>
      </c>
      <c r="D6941" s="13" t="s">
        <v>118</v>
      </c>
      <c r="E6941" s="13" t="s">
        <v>12408</v>
      </c>
      <c r="F6941" s="43">
        <v>222.31</v>
      </c>
    </row>
    <row r="6942" spans="2:6" x14ac:dyDescent="0.25">
      <c r="B6942" s="13" t="s">
        <v>12409</v>
      </c>
      <c r="C6942" s="17" t="s">
        <v>170</v>
      </c>
      <c r="D6942" s="13" t="s">
        <v>118</v>
      </c>
      <c r="E6942" s="13" t="s">
        <v>12410</v>
      </c>
      <c r="F6942" s="43">
        <v>222.31</v>
      </c>
    </row>
    <row r="6943" spans="2:6" x14ac:dyDescent="0.25">
      <c r="B6943" s="13" t="s">
        <v>12411</v>
      </c>
      <c r="C6943" s="17" t="s">
        <v>170</v>
      </c>
      <c r="D6943" s="13" t="s">
        <v>118</v>
      </c>
      <c r="E6943" s="13" t="s">
        <v>12412</v>
      </c>
      <c r="F6943" s="43">
        <v>222.31</v>
      </c>
    </row>
    <row r="6944" spans="2:6" x14ac:dyDescent="0.25">
      <c r="B6944" s="13" t="s">
        <v>12413</v>
      </c>
      <c r="C6944" s="17" t="s">
        <v>170</v>
      </c>
      <c r="D6944" s="13" t="s">
        <v>118</v>
      </c>
      <c r="E6944" s="13" t="s">
        <v>12414</v>
      </c>
      <c r="F6944" s="43">
        <v>222.31</v>
      </c>
    </row>
    <row r="6945" spans="2:6" x14ac:dyDescent="0.25">
      <c r="B6945" s="13" t="s">
        <v>12415</v>
      </c>
      <c r="C6945" s="17" t="s">
        <v>170</v>
      </c>
      <c r="D6945" s="13" t="s">
        <v>118</v>
      </c>
      <c r="E6945" s="13" t="s">
        <v>12416</v>
      </c>
      <c r="F6945" s="43">
        <v>222.31</v>
      </c>
    </row>
    <row r="6946" spans="2:6" x14ac:dyDescent="0.25">
      <c r="B6946" s="13" t="s">
        <v>12417</v>
      </c>
      <c r="C6946" s="17" t="s">
        <v>170</v>
      </c>
      <c r="D6946" s="13" t="s">
        <v>118</v>
      </c>
      <c r="E6946" s="13" t="s">
        <v>12418</v>
      </c>
      <c r="F6946" s="43">
        <v>222.31</v>
      </c>
    </row>
    <row r="6947" spans="2:6" x14ac:dyDescent="0.25">
      <c r="B6947" s="13" t="s">
        <v>12419</v>
      </c>
      <c r="C6947" s="17" t="s">
        <v>170</v>
      </c>
      <c r="D6947" s="13" t="s">
        <v>118</v>
      </c>
      <c r="E6947" s="13" t="s">
        <v>12420</v>
      </c>
      <c r="F6947" s="43">
        <v>222.31</v>
      </c>
    </row>
    <row r="6948" spans="2:6" x14ac:dyDescent="0.25">
      <c r="B6948" s="13" t="s">
        <v>12421</v>
      </c>
      <c r="C6948" s="17" t="s">
        <v>170</v>
      </c>
      <c r="D6948" s="13" t="s">
        <v>118</v>
      </c>
      <c r="E6948" s="13" t="s">
        <v>12422</v>
      </c>
      <c r="F6948" s="43">
        <v>222.31</v>
      </c>
    </row>
    <row r="6949" spans="2:6" x14ac:dyDescent="0.25">
      <c r="B6949" s="13" t="s">
        <v>12423</v>
      </c>
      <c r="C6949" s="17" t="s">
        <v>170</v>
      </c>
      <c r="D6949" s="13" t="s">
        <v>118</v>
      </c>
      <c r="E6949" s="13" t="s">
        <v>12424</v>
      </c>
      <c r="F6949" s="43">
        <v>222.31</v>
      </c>
    </row>
    <row r="6950" spans="2:6" x14ac:dyDescent="0.25">
      <c r="B6950" s="13" t="s">
        <v>12425</v>
      </c>
      <c r="C6950" s="17" t="s">
        <v>170</v>
      </c>
      <c r="D6950" s="13" t="s">
        <v>118</v>
      </c>
      <c r="E6950" s="13" t="s">
        <v>12426</v>
      </c>
      <c r="F6950" s="43">
        <v>222.31</v>
      </c>
    </row>
    <row r="6951" spans="2:6" x14ac:dyDescent="0.25">
      <c r="B6951" s="13" t="s">
        <v>12427</v>
      </c>
      <c r="C6951" s="17" t="s">
        <v>170</v>
      </c>
      <c r="D6951" s="13" t="s">
        <v>118</v>
      </c>
      <c r="E6951" s="13" t="s">
        <v>12428</v>
      </c>
      <c r="F6951" s="43">
        <v>222.31</v>
      </c>
    </row>
    <row r="6952" spans="2:6" x14ac:dyDescent="0.25">
      <c r="B6952" s="13" t="s">
        <v>12429</v>
      </c>
      <c r="C6952" s="17" t="s">
        <v>170</v>
      </c>
      <c r="D6952" s="13" t="s">
        <v>118</v>
      </c>
      <c r="E6952" s="13" t="s">
        <v>12430</v>
      </c>
      <c r="F6952" s="43">
        <v>222.31</v>
      </c>
    </row>
    <row r="6953" spans="2:6" x14ac:dyDescent="0.25">
      <c r="B6953" s="13" t="s">
        <v>12431</v>
      </c>
      <c r="C6953" s="17" t="s">
        <v>170</v>
      </c>
      <c r="D6953" s="13" t="s">
        <v>118</v>
      </c>
      <c r="E6953" s="13" t="s">
        <v>12432</v>
      </c>
      <c r="F6953" s="43">
        <v>222.31</v>
      </c>
    </row>
    <row r="6954" spans="2:6" x14ac:dyDescent="0.25">
      <c r="B6954" s="13" t="s">
        <v>12433</v>
      </c>
      <c r="C6954" s="17" t="s">
        <v>170</v>
      </c>
      <c r="D6954" s="13" t="s">
        <v>118</v>
      </c>
      <c r="E6954" s="13" t="s">
        <v>12434</v>
      </c>
      <c r="F6954" s="43">
        <v>222.31</v>
      </c>
    </row>
    <row r="6955" spans="2:6" x14ac:dyDescent="0.25">
      <c r="B6955" s="13" t="s">
        <v>12435</v>
      </c>
      <c r="C6955" s="17" t="s">
        <v>170</v>
      </c>
      <c r="D6955" s="13" t="s">
        <v>118</v>
      </c>
      <c r="E6955" s="13" t="s">
        <v>12436</v>
      </c>
      <c r="F6955" s="43">
        <v>344.94</v>
      </c>
    </row>
    <row r="6956" spans="2:6" x14ac:dyDescent="0.25">
      <c r="B6956" s="13" t="s">
        <v>12437</v>
      </c>
      <c r="C6956" s="17" t="s">
        <v>170</v>
      </c>
      <c r="D6956" s="13" t="s">
        <v>118</v>
      </c>
      <c r="E6956" s="13" t="s">
        <v>12438</v>
      </c>
      <c r="F6956" s="43">
        <v>344.94</v>
      </c>
    </row>
    <row r="6957" spans="2:6" x14ac:dyDescent="0.25">
      <c r="B6957" s="13" t="s">
        <v>12439</v>
      </c>
      <c r="C6957" s="17" t="s">
        <v>170</v>
      </c>
      <c r="D6957" s="13" t="s">
        <v>118</v>
      </c>
      <c r="E6957" s="13" t="s">
        <v>12440</v>
      </c>
      <c r="F6957" s="43">
        <v>344.94</v>
      </c>
    </row>
    <row r="6958" spans="2:6" x14ac:dyDescent="0.25">
      <c r="B6958" s="13" t="s">
        <v>12441</v>
      </c>
      <c r="C6958" s="17" t="s">
        <v>170</v>
      </c>
      <c r="D6958" s="13" t="s">
        <v>118</v>
      </c>
      <c r="E6958" s="13" t="s">
        <v>12442</v>
      </c>
      <c r="F6958" s="43">
        <v>222.31</v>
      </c>
    </row>
    <row r="6959" spans="2:6" x14ac:dyDescent="0.25">
      <c r="B6959" s="13" t="s">
        <v>12443</v>
      </c>
      <c r="C6959" s="17" t="s">
        <v>170</v>
      </c>
      <c r="D6959" s="13" t="s">
        <v>118</v>
      </c>
      <c r="E6959" s="13" t="s">
        <v>12444</v>
      </c>
      <c r="F6959" s="43">
        <v>222.31</v>
      </c>
    </row>
    <row r="6960" spans="2:6" x14ac:dyDescent="0.25">
      <c r="B6960" s="13" t="s">
        <v>12445</v>
      </c>
      <c r="C6960" s="17" t="s">
        <v>170</v>
      </c>
      <c r="D6960" s="13" t="s">
        <v>118</v>
      </c>
      <c r="E6960" s="13" t="s">
        <v>12446</v>
      </c>
      <c r="F6960" s="43">
        <v>222.31</v>
      </c>
    </row>
    <row r="6961" spans="2:6" x14ac:dyDescent="0.25">
      <c r="B6961" s="13" t="s">
        <v>12447</v>
      </c>
      <c r="C6961" s="17" t="s">
        <v>170</v>
      </c>
      <c r="D6961" s="13" t="s">
        <v>118</v>
      </c>
      <c r="E6961" s="13" t="s">
        <v>12448</v>
      </c>
      <c r="F6961" s="43">
        <v>222.31</v>
      </c>
    </row>
    <row r="6962" spans="2:6" x14ac:dyDescent="0.25">
      <c r="B6962" s="13" t="s">
        <v>12449</v>
      </c>
      <c r="C6962" s="17" t="s">
        <v>170</v>
      </c>
      <c r="D6962" s="13" t="s">
        <v>118</v>
      </c>
      <c r="E6962" s="13" t="s">
        <v>12450</v>
      </c>
      <c r="F6962" s="43">
        <v>222.31</v>
      </c>
    </row>
    <row r="6963" spans="2:6" x14ac:dyDescent="0.25">
      <c r="B6963" s="13" t="s">
        <v>12451</v>
      </c>
      <c r="C6963" s="17" t="s">
        <v>170</v>
      </c>
      <c r="D6963" s="13" t="s">
        <v>118</v>
      </c>
      <c r="E6963" s="13" t="s">
        <v>12452</v>
      </c>
      <c r="F6963" s="43">
        <v>222.31</v>
      </c>
    </row>
    <row r="6964" spans="2:6" x14ac:dyDescent="0.25">
      <c r="B6964" s="13" t="s">
        <v>12453</v>
      </c>
      <c r="C6964" s="17" t="s">
        <v>170</v>
      </c>
      <c r="D6964" s="13" t="s">
        <v>118</v>
      </c>
      <c r="E6964" s="13" t="s">
        <v>12454</v>
      </c>
      <c r="F6964" s="43">
        <v>222.31</v>
      </c>
    </row>
    <row r="6965" spans="2:6" x14ac:dyDescent="0.25">
      <c r="B6965" s="13" t="s">
        <v>12455</v>
      </c>
      <c r="C6965" s="17" t="s">
        <v>170</v>
      </c>
      <c r="D6965" s="13" t="s">
        <v>118</v>
      </c>
      <c r="E6965" s="13" t="s">
        <v>12456</v>
      </c>
      <c r="F6965" s="43">
        <v>222.31</v>
      </c>
    </row>
    <row r="6966" spans="2:6" x14ac:dyDescent="0.25">
      <c r="B6966" s="13" t="s">
        <v>12457</v>
      </c>
      <c r="C6966" s="17" t="s">
        <v>170</v>
      </c>
      <c r="D6966" s="13" t="s">
        <v>118</v>
      </c>
      <c r="E6966" s="13" t="s">
        <v>12458</v>
      </c>
      <c r="F6966" s="43">
        <v>222.31</v>
      </c>
    </row>
    <row r="6967" spans="2:6" x14ac:dyDescent="0.25">
      <c r="B6967" s="13" t="s">
        <v>12459</v>
      </c>
      <c r="C6967" s="17" t="s">
        <v>170</v>
      </c>
      <c r="D6967" s="13" t="s">
        <v>118</v>
      </c>
      <c r="E6967" s="13" t="s">
        <v>12460</v>
      </c>
      <c r="F6967" s="43">
        <v>222.31</v>
      </c>
    </row>
    <row r="6968" spans="2:6" x14ac:dyDescent="0.25">
      <c r="B6968" s="13" t="s">
        <v>12461</v>
      </c>
      <c r="C6968" s="17" t="s">
        <v>170</v>
      </c>
      <c r="D6968" s="13" t="s">
        <v>118</v>
      </c>
      <c r="E6968" s="13" t="s">
        <v>12462</v>
      </c>
      <c r="F6968" s="43">
        <v>222.31</v>
      </c>
    </row>
    <row r="6969" spans="2:6" x14ac:dyDescent="0.25">
      <c r="B6969" s="13" t="s">
        <v>12463</v>
      </c>
      <c r="C6969" s="17" t="s">
        <v>170</v>
      </c>
      <c r="D6969" s="13" t="s">
        <v>118</v>
      </c>
      <c r="E6969" s="13" t="s">
        <v>12464</v>
      </c>
      <c r="F6969" s="43">
        <v>222.31</v>
      </c>
    </row>
    <row r="6970" spans="2:6" x14ac:dyDescent="0.25">
      <c r="B6970" s="13" t="s">
        <v>12465</v>
      </c>
      <c r="C6970" s="17" t="s">
        <v>170</v>
      </c>
      <c r="D6970" s="13" t="s">
        <v>118</v>
      </c>
      <c r="E6970" s="13" t="s">
        <v>12466</v>
      </c>
      <c r="F6970" s="43">
        <v>222.31</v>
      </c>
    </row>
    <row r="6971" spans="2:6" x14ac:dyDescent="0.25">
      <c r="B6971" s="13" t="s">
        <v>12467</v>
      </c>
      <c r="C6971" s="17" t="s">
        <v>170</v>
      </c>
      <c r="D6971" s="13" t="s">
        <v>118</v>
      </c>
      <c r="E6971" s="13" t="s">
        <v>12468</v>
      </c>
      <c r="F6971" s="43">
        <v>222.31</v>
      </c>
    </row>
    <row r="6972" spans="2:6" x14ac:dyDescent="0.25">
      <c r="B6972" s="13" t="s">
        <v>12469</v>
      </c>
      <c r="C6972" s="17" t="s">
        <v>170</v>
      </c>
      <c r="D6972" s="13" t="s">
        <v>118</v>
      </c>
      <c r="E6972" s="13" t="s">
        <v>12470</v>
      </c>
      <c r="F6972" s="43">
        <v>222.31</v>
      </c>
    </row>
    <row r="6973" spans="2:6" x14ac:dyDescent="0.25">
      <c r="B6973" s="13" t="s">
        <v>12471</v>
      </c>
      <c r="C6973" s="17" t="s">
        <v>170</v>
      </c>
      <c r="D6973" s="13" t="s">
        <v>118</v>
      </c>
      <c r="E6973" s="13" t="s">
        <v>12472</v>
      </c>
      <c r="F6973" s="43">
        <v>222.31</v>
      </c>
    </row>
    <row r="6974" spans="2:6" x14ac:dyDescent="0.25">
      <c r="B6974" s="13" t="s">
        <v>12473</v>
      </c>
      <c r="C6974" s="17" t="s">
        <v>170</v>
      </c>
      <c r="D6974" s="13" t="s">
        <v>118</v>
      </c>
      <c r="E6974" s="13" t="s">
        <v>12474</v>
      </c>
      <c r="F6974" s="43">
        <v>222.31</v>
      </c>
    </row>
    <row r="6975" spans="2:6" x14ac:dyDescent="0.25">
      <c r="B6975" s="13" t="s">
        <v>12475</v>
      </c>
      <c r="C6975" s="17" t="s">
        <v>170</v>
      </c>
      <c r="D6975" s="13" t="s">
        <v>118</v>
      </c>
      <c r="E6975" s="13" t="s">
        <v>12476</v>
      </c>
      <c r="F6975" s="43">
        <v>222.31</v>
      </c>
    </row>
    <row r="6976" spans="2:6" x14ac:dyDescent="0.25">
      <c r="B6976" s="13" t="s">
        <v>12477</v>
      </c>
      <c r="C6976" s="17" t="s">
        <v>170</v>
      </c>
      <c r="D6976" s="13" t="s">
        <v>118</v>
      </c>
      <c r="E6976" s="13" t="s">
        <v>12478</v>
      </c>
      <c r="F6976" s="43">
        <v>222.31</v>
      </c>
    </row>
    <row r="6977" spans="2:6" x14ac:dyDescent="0.25">
      <c r="B6977" s="13" t="s">
        <v>12479</v>
      </c>
      <c r="C6977" s="17" t="s">
        <v>170</v>
      </c>
      <c r="D6977" s="13" t="s">
        <v>118</v>
      </c>
      <c r="E6977" s="13" t="s">
        <v>12480</v>
      </c>
      <c r="F6977" s="43">
        <v>222.31</v>
      </c>
    </row>
    <row r="6978" spans="2:6" x14ac:dyDescent="0.25">
      <c r="B6978" s="13" t="s">
        <v>12481</v>
      </c>
      <c r="C6978" s="17" t="s">
        <v>170</v>
      </c>
      <c r="D6978" s="13" t="s">
        <v>118</v>
      </c>
      <c r="E6978" s="13" t="s">
        <v>12482</v>
      </c>
      <c r="F6978" s="43">
        <v>222.31</v>
      </c>
    </row>
    <row r="6979" spans="2:6" x14ac:dyDescent="0.25">
      <c r="B6979" s="13" t="s">
        <v>12483</v>
      </c>
      <c r="C6979" s="17" t="s">
        <v>170</v>
      </c>
      <c r="D6979" s="13" t="s">
        <v>118</v>
      </c>
      <c r="E6979" s="13" t="s">
        <v>12484</v>
      </c>
      <c r="F6979" s="43">
        <v>222.31</v>
      </c>
    </row>
    <row r="6980" spans="2:6" x14ac:dyDescent="0.25">
      <c r="B6980" s="13" t="s">
        <v>12485</v>
      </c>
      <c r="C6980" s="17" t="s">
        <v>170</v>
      </c>
      <c r="D6980" s="13" t="s">
        <v>118</v>
      </c>
      <c r="E6980" s="13" t="s">
        <v>12486</v>
      </c>
      <c r="F6980" s="43">
        <v>222.31</v>
      </c>
    </row>
    <row r="6981" spans="2:6" x14ac:dyDescent="0.25">
      <c r="B6981" s="13" t="s">
        <v>12487</v>
      </c>
      <c r="C6981" s="17" t="s">
        <v>170</v>
      </c>
      <c r="D6981" s="13" t="s">
        <v>118</v>
      </c>
      <c r="E6981" s="13" t="s">
        <v>12488</v>
      </c>
      <c r="F6981" s="43">
        <v>344.94</v>
      </c>
    </row>
    <row r="6982" spans="2:6" x14ac:dyDescent="0.25">
      <c r="B6982" s="13" t="s">
        <v>12489</v>
      </c>
      <c r="C6982" s="17" t="s">
        <v>170</v>
      </c>
      <c r="D6982" s="13" t="s">
        <v>118</v>
      </c>
      <c r="E6982" s="13" t="s">
        <v>12490</v>
      </c>
      <c r="F6982" s="43">
        <v>344.94</v>
      </c>
    </row>
    <row r="6983" spans="2:6" x14ac:dyDescent="0.25">
      <c r="B6983" s="13" t="s">
        <v>12491</v>
      </c>
      <c r="C6983" s="17" t="s">
        <v>170</v>
      </c>
      <c r="D6983" s="13" t="s">
        <v>118</v>
      </c>
      <c r="E6983" s="13" t="s">
        <v>12492</v>
      </c>
      <c r="F6983" s="43">
        <v>344.94</v>
      </c>
    </row>
    <row r="6984" spans="2:6" x14ac:dyDescent="0.25">
      <c r="B6984" s="13" t="s">
        <v>12493</v>
      </c>
      <c r="C6984" s="17" t="s">
        <v>170</v>
      </c>
      <c r="D6984" s="13" t="s">
        <v>118</v>
      </c>
      <c r="E6984" s="13" t="s">
        <v>12494</v>
      </c>
      <c r="F6984" s="43">
        <v>222.31</v>
      </c>
    </row>
    <row r="6985" spans="2:6" x14ac:dyDescent="0.25">
      <c r="B6985" s="13" t="s">
        <v>12495</v>
      </c>
      <c r="C6985" s="17" t="s">
        <v>170</v>
      </c>
      <c r="D6985" s="13" t="s">
        <v>118</v>
      </c>
      <c r="E6985" s="13" t="s">
        <v>12496</v>
      </c>
      <c r="F6985" s="43">
        <v>222.31</v>
      </c>
    </row>
    <row r="6986" spans="2:6" x14ac:dyDescent="0.25">
      <c r="B6986" s="13" t="s">
        <v>12497</v>
      </c>
      <c r="C6986" s="17" t="s">
        <v>170</v>
      </c>
      <c r="D6986" s="13" t="s">
        <v>118</v>
      </c>
      <c r="E6986" s="13" t="s">
        <v>12498</v>
      </c>
      <c r="F6986" s="43">
        <v>222.31</v>
      </c>
    </row>
    <row r="6987" spans="2:6" x14ac:dyDescent="0.25">
      <c r="B6987" s="13" t="s">
        <v>12499</v>
      </c>
      <c r="C6987" s="17" t="s">
        <v>170</v>
      </c>
      <c r="D6987" s="13" t="s">
        <v>118</v>
      </c>
      <c r="E6987" s="13" t="s">
        <v>12500</v>
      </c>
      <c r="F6987" s="43">
        <v>264.54000000000002</v>
      </c>
    </row>
    <row r="6988" spans="2:6" x14ac:dyDescent="0.25">
      <c r="B6988" s="13" t="s">
        <v>12501</v>
      </c>
      <c r="C6988" s="17" t="s">
        <v>170</v>
      </c>
      <c r="D6988" s="13" t="s">
        <v>118</v>
      </c>
      <c r="E6988" s="13" t="s">
        <v>12502</v>
      </c>
      <c r="F6988" s="43">
        <v>222.31</v>
      </c>
    </row>
    <row r="6989" spans="2:6" x14ac:dyDescent="0.25">
      <c r="B6989" s="13" t="s">
        <v>12503</v>
      </c>
      <c r="C6989" s="17" t="s">
        <v>170</v>
      </c>
      <c r="D6989" s="13" t="s">
        <v>118</v>
      </c>
      <c r="E6989" s="13" t="s">
        <v>12504</v>
      </c>
      <c r="F6989" s="43">
        <v>222.31</v>
      </c>
    </row>
    <row r="6990" spans="2:6" x14ac:dyDescent="0.25">
      <c r="B6990" s="13" t="s">
        <v>12505</v>
      </c>
      <c r="C6990" s="17" t="s">
        <v>170</v>
      </c>
      <c r="D6990" s="13" t="s">
        <v>118</v>
      </c>
      <c r="E6990" s="13" t="s">
        <v>12506</v>
      </c>
      <c r="F6990" s="43">
        <v>222.31</v>
      </c>
    </row>
    <row r="6991" spans="2:6" x14ac:dyDescent="0.25">
      <c r="B6991" s="13" t="s">
        <v>12507</v>
      </c>
      <c r="C6991" s="17" t="s">
        <v>170</v>
      </c>
      <c r="D6991" s="13" t="s">
        <v>118</v>
      </c>
      <c r="E6991" s="13" t="s">
        <v>12508</v>
      </c>
      <c r="F6991" s="43">
        <v>222.31</v>
      </c>
    </row>
    <row r="6992" spans="2:6" x14ac:dyDescent="0.25">
      <c r="B6992" s="13" t="s">
        <v>12509</v>
      </c>
      <c r="C6992" s="17" t="s">
        <v>170</v>
      </c>
      <c r="D6992" s="13" t="s">
        <v>118</v>
      </c>
      <c r="E6992" s="13" t="s">
        <v>12510</v>
      </c>
      <c r="F6992" s="43">
        <v>222.31</v>
      </c>
    </row>
    <row r="6993" spans="2:6" x14ac:dyDescent="0.25">
      <c r="B6993" s="13" t="s">
        <v>12511</v>
      </c>
      <c r="C6993" s="17" t="s">
        <v>170</v>
      </c>
      <c r="D6993" s="13" t="s">
        <v>118</v>
      </c>
      <c r="E6993" s="13" t="s">
        <v>12512</v>
      </c>
      <c r="F6993" s="43">
        <v>222.31</v>
      </c>
    </row>
    <row r="6994" spans="2:6" x14ac:dyDescent="0.25">
      <c r="B6994" s="13" t="s">
        <v>12513</v>
      </c>
      <c r="C6994" s="17" t="s">
        <v>170</v>
      </c>
      <c r="D6994" s="13" t="s">
        <v>118</v>
      </c>
      <c r="E6994" s="13" t="s">
        <v>12514</v>
      </c>
      <c r="F6994" s="43">
        <v>222.31</v>
      </c>
    </row>
    <row r="6995" spans="2:6" x14ac:dyDescent="0.25">
      <c r="B6995" s="13" t="s">
        <v>12515</v>
      </c>
      <c r="C6995" s="17" t="s">
        <v>170</v>
      </c>
      <c r="D6995" s="13" t="s">
        <v>118</v>
      </c>
      <c r="E6995" s="13" t="s">
        <v>12516</v>
      </c>
      <c r="F6995" s="43">
        <v>222.31</v>
      </c>
    </row>
    <row r="6996" spans="2:6" x14ac:dyDescent="0.25">
      <c r="B6996" s="13" t="s">
        <v>12517</v>
      </c>
      <c r="C6996" s="17" t="s">
        <v>170</v>
      </c>
      <c r="D6996" s="13" t="s">
        <v>118</v>
      </c>
      <c r="E6996" s="13" t="s">
        <v>12518</v>
      </c>
      <c r="F6996" s="43">
        <v>222.31</v>
      </c>
    </row>
    <row r="6997" spans="2:6" x14ac:dyDescent="0.25">
      <c r="B6997" s="13" t="s">
        <v>12519</v>
      </c>
      <c r="C6997" s="17" t="s">
        <v>170</v>
      </c>
      <c r="D6997" s="13" t="s">
        <v>118</v>
      </c>
      <c r="E6997" s="13" t="s">
        <v>12520</v>
      </c>
      <c r="F6997" s="43">
        <v>264.54000000000002</v>
      </c>
    </row>
    <row r="6998" spans="2:6" x14ac:dyDescent="0.25">
      <c r="B6998" s="13" t="s">
        <v>12521</v>
      </c>
      <c r="C6998" s="17" t="s">
        <v>170</v>
      </c>
      <c r="D6998" s="13" t="s">
        <v>118</v>
      </c>
      <c r="E6998" s="13" t="s">
        <v>12522</v>
      </c>
      <c r="F6998" s="43">
        <v>222.31</v>
      </c>
    </row>
    <row r="6999" spans="2:6" x14ac:dyDescent="0.25">
      <c r="B6999" s="13" t="s">
        <v>12523</v>
      </c>
      <c r="C6999" s="17" t="s">
        <v>170</v>
      </c>
      <c r="D6999" s="13" t="s">
        <v>118</v>
      </c>
      <c r="E6999" s="13" t="s">
        <v>12524</v>
      </c>
      <c r="F6999" s="43">
        <v>222.31</v>
      </c>
    </row>
    <row r="7000" spans="2:6" x14ac:dyDescent="0.25">
      <c r="B7000" s="13" t="s">
        <v>12525</v>
      </c>
      <c r="C7000" s="17" t="s">
        <v>170</v>
      </c>
      <c r="D7000" s="13" t="s">
        <v>118</v>
      </c>
      <c r="E7000" s="13" t="s">
        <v>12526</v>
      </c>
      <c r="F7000" s="43">
        <v>222.31</v>
      </c>
    </row>
    <row r="7001" spans="2:6" x14ac:dyDescent="0.25">
      <c r="B7001" s="13" t="s">
        <v>12527</v>
      </c>
      <c r="C7001" s="17" t="s">
        <v>170</v>
      </c>
      <c r="D7001" s="13" t="s">
        <v>118</v>
      </c>
      <c r="E7001" s="13" t="s">
        <v>12528</v>
      </c>
      <c r="F7001" s="43">
        <v>264.54000000000002</v>
      </c>
    </row>
    <row r="7002" spans="2:6" x14ac:dyDescent="0.25">
      <c r="B7002" s="13" t="s">
        <v>12529</v>
      </c>
      <c r="C7002" s="17" t="s">
        <v>170</v>
      </c>
      <c r="D7002" s="13" t="s">
        <v>118</v>
      </c>
      <c r="E7002" s="13" t="s">
        <v>12530</v>
      </c>
      <c r="F7002" s="43">
        <v>222.31</v>
      </c>
    </row>
    <row r="7003" spans="2:6" x14ac:dyDescent="0.25">
      <c r="B7003" s="13" t="s">
        <v>12531</v>
      </c>
      <c r="C7003" s="17" t="s">
        <v>170</v>
      </c>
      <c r="D7003" s="13" t="s">
        <v>118</v>
      </c>
      <c r="E7003" s="13" t="s">
        <v>12532</v>
      </c>
      <c r="F7003" s="43">
        <v>264.54000000000002</v>
      </c>
    </row>
    <row r="7004" spans="2:6" x14ac:dyDescent="0.25">
      <c r="B7004" s="13" t="s">
        <v>12533</v>
      </c>
      <c r="C7004" s="17" t="s">
        <v>170</v>
      </c>
      <c r="D7004" s="13" t="s">
        <v>118</v>
      </c>
      <c r="E7004" s="13" t="s">
        <v>12534</v>
      </c>
      <c r="F7004" s="43">
        <v>222.31</v>
      </c>
    </row>
    <row r="7005" spans="2:6" x14ac:dyDescent="0.25">
      <c r="B7005" s="13" t="s">
        <v>12535</v>
      </c>
      <c r="C7005" s="17" t="s">
        <v>170</v>
      </c>
      <c r="D7005" s="13" t="s">
        <v>118</v>
      </c>
      <c r="E7005" s="13" t="s">
        <v>12536</v>
      </c>
      <c r="F7005" s="43">
        <v>222.31</v>
      </c>
    </row>
    <row r="7006" spans="2:6" x14ac:dyDescent="0.25">
      <c r="B7006" s="13" t="s">
        <v>12537</v>
      </c>
      <c r="C7006" s="17" t="s">
        <v>170</v>
      </c>
      <c r="D7006" s="13" t="s">
        <v>118</v>
      </c>
      <c r="E7006" s="13" t="s">
        <v>12538</v>
      </c>
      <c r="F7006" s="43">
        <v>264.54000000000002</v>
      </c>
    </row>
    <row r="7007" spans="2:6" x14ac:dyDescent="0.25">
      <c r="B7007" s="13" t="s">
        <v>12539</v>
      </c>
      <c r="C7007" s="17" t="s">
        <v>170</v>
      </c>
      <c r="D7007" s="13" t="s">
        <v>118</v>
      </c>
      <c r="E7007" s="13" t="s">
        <v>12540</v>
      </c>
      <c r="F7007" s="43">
        <v>222.31</v>
      </c>
    </row>
    <row r="7008" spans="2:6" x14ac:dyDescent="0.25">
      <c r="B7008" s="13" t="s">
        <v>12541</v>
      </c>
      <c r="C7008" s="17" t="s">
        <v>170</v>
      </c>
      <c r="D7008" s="13" t="s">
        <v>118</v>
      </c>
      <c r="E7008" s="13" t="s">
        <v>12542</v>
      </c>
      <c r="F7008" s="43">
        <v>264.54000000000002</v>
      </c>
    </row>
    <row r="7009" spans="2:6" x14ac:dyDescent="0.25">
      <c r="B7009" s="13" t="s">
        <v>12543</v>
      </c>
      <c r="C7009" s="17" t="s">
        <v>170</v>
      </c>
      <c r="D7009" s="13" t="s">
        <v>118</v>
      </c>
      <c r="E7009" s="13" t="s">
        <v>12544</v>
      </c>
      <c r="F7009" s="43">
        <v>222.31</v>
      </c>
    </row>
    <row r="7010" spans="2:6" x14ac:dyDescent="0.25">
      <c r="B7010" s="13" t="s">
        <v>12545</v>
      </c>
      <c r="C7010" s="17" t="s">
        <v>170</v>
      </c>
      <c r="D7010" s="13" t="s">
        <v>118</v>
      </c>
      <c r="E7010" s="13" t="s">
        <v>12546</v>
      </c>
      <c r="F7010" s="43">
        <v>264.54000000000002</v>
      </c>
    </row>
    <row r="7011" spans="2:6" x14ac:dyDescent="0.25">
      <c r="B7011" s="13" t="s">
        <v>12547</v>
      </c>
      <c r="C7011" s="17" t="s">
        <v>170</v>
      </c>
      <c r="D7011" s="13" t="s">
        <v>118</v>
      </c>
      <c r="E7011" s="13" t="s">
        <v>12548</v>
      </c>
      <c r="F7011" s="43">
        <v>222.31</v>
      </c>
    </row>
    <row r="7012" spans="2:6" x14ac:dyDescent="0.25">
      <c r="B7012" s="13" t="s">
        <v>12549</v>
      </c>
      <c r="C7012" s="17" t="s">
        <v>170</v>
      </c>
      <c r="D7012" s="13" t="s">
        <v>118</v>
      </c>
      <c r="E7012" s="13" t="s">
        <v>12550</v>
      </c>
      <c r="F7012" s="43">
        <v>264.54000000000002</v>
      </c>
    </row>
    <row r="7013" spans="2:6" x14ac:dyDescent="0.25">
      <c r="B7013" s="13" t="s">
        <v>12551</v>
      </c>
      <c r="C7013" s="17" t="s">
        <v>170</v>
      </c>
      <c r="D7013" s="13" t="s">
        <v>118</v>
      </c>
      <c r="E7013" s="13" t="s">
        <v>12552</v>
      </c>
      <c r="F7013" s="43">
        <v>222.31</v>
      </c>
    </row>
    <row r="7014" spans="2:6" x14ac:dyDescent="0.25">
      <c r="B7014" s="13" t="s">
        <v>12553</v>
      </c>
      <c r="C7014" s="17" t="s">
        <v>170</v>
      </c>
      <c r="D7014" s="13" t="s">
        <v>118</v>
      </c>
      <c r="E7014" s="13" t="s">
        <v>12554</v>
      </c>
      <c r="F7014" s="43">
        <v>222.31</v>
      </c>
    </row>
    <row r="7015" spans="2:6" x14ac:dyDescent="0.25">
      <c r="B7015" s="13" t="s">
        <v>12555</v>
      </c>
      <c r="C7015" s="17" t="s">
        <v>170</v>
      </c>
      <c r="D7015" s="13" t="s">
        <v>118</v>
      </c>
      <c r="E7015" s="13" t="s">
        <v>12556</v>
      </c>
      <c r="F7015" s="43">
        <v>264.54000000000002</v>
      </c>
    </row>
    <row r="7016" spans="2:6" x14ac:dyDescent="0.25">
      <c r="B7016" s="13" t="s">
        <v>12557</v>
      </c>
      <c r="C7016" s="17" t="s">
        <v>170</v>
      </c>
      <c r="D7016" s="13" t="s">
        <v>118</v>
      </c>
      <c r="E7016" s="13" t="s">
        <v>12558</v>
      </c>
      <c r="F7016" s="43">
        <v>222.31</v>
      </c>
    </row>
    <row r="7017" spans="2:6" x14ac:dyDescent="0.25">
      <c r="B7017" s="13" t="s">
        <v>12559</v>
      </c>
      <c r="C7017" s="17" t="s">
        <v>170</v>
      </c>
      <c r="D7017" s="13" t="s">
        <v>118</v>
      </c>
      <c r="E7017" s="13" t="s">
        <v>12560</v>
      </c>
      <c r="F7017" s="43">
        <v>344.94</v>
      </c>
    </row>
    <row r="7018" spans="2:6" x14ac:dyDescent="0.25">
      <c r="B7018" s="13" t="s">
        <v>12561</v>
      </c>
      <c r="C7018" s="17" t="s">
        <v>170</v>
      </c>
      <c r="D7018" s="13" t="s">
        <v>118</v>
      </c>
      <c r="E7018" s="13" t="s">
        <v>12562</v>
      </c>
      <c r="F7018" s="43">
        <v>344.94</v>
      </c>
    </row>
    <row r="7019" spans="2:6" x14ac:dyDescent="0.25">
      <c r="B7019" s="13" t="s">
        <v>12563</v>
      </c>
      <c r="C7019" s="17" t="s">
        <v>170</v>
      </c>
      <c r="D7019" s="13" t="s">
        <v>118</v>
      </c>
      <c r="E7019" s="13" t="s">
        <v>12564</v>
      </c>
      <c r="F7019" s="43">
        <v>344.94</v>
      </c>
    </row>
    <row r="7020" spans="2:6" x14ac:dyDescent="0.25">
      <c r="B7020" s="13" t="s">
        <v>12565</v>
      </c>
      <c r="C7020" s="17" t="s">
        <v>170</v>
      </c>
      <c r="D7020" s="13" t="s">
        <v>118</v>
      </c>
      <c r="E7020" s="13" t="s">
        <v>12566</v>
      </c>
      <c r="F7020" s="43">
        <v>222.31</v>
      </c>
    </row>
    <row r="7021" spans="2:6" x14ac:dyDescent="0.25">
      <c r="B7021" s="13" t="s">
        <v>12567</v>
      </c>
      <c r="C7021" s="17" t="s">
        <v>170</v>
      </c>
      <c r="D7021" s="13" t="s">
        <v>118</v>
      </c>
      <c r="E7021" s="13" t="s">
        <v>12568</v>
      </c>
      <c r="F7021" s="43">
        <v>222.31</v>
      </c>
    </row>
    <row r="7022" spans="2:6" x14ac:dyDescent="0.25">
      <c r="B7022" s="13" t="s">
        <v>12569</v>
      </c>
      <c r="C7022" s="17" t="s">
        <v>170</v>
      </c>
      <c r="D7022" s="13" t="s">
        <v>118</v>
      </c>
      <c r="E7022" s="13" t="s">
        <v>12570</v>
      </c>
      <c r="F7022" s="43">
        <v>222.31</v>
      </c>
    </row>
    <row r="7023" spans="2:6" x14ac:dyDescent="0.25">
      <c r="B7023" s="13" t="s">
        <v>12571</v>
      </c>
      <c r="C7023" s="17" t="s">
        <v>170</v>
      </c>
      <c r="D7023" s="13" t="s">
        <v>118</v>
      </c>
      <c r="E7023" s="13" t="s">
        <v>12572</v>
      </c>
      <c r="F7023" s="43">
        <v>222.31</v>
      </c>
    </row>
    <row r="7024" spans="2:6" x14ac:dyDescent="0.25">
      <c r="B7024" s="13" t="s">
        <v>12573</v>
      </c>
      <c r="C7024" s="17" t="s">
        <v>170</v>
      </c>
      <c r="D7024" s="13" t="s">
        <v>118</v>
      </c>
      <c r="E7024" s="13" t="s">
        <v>12574</v>
      </c>
      <c r="F7024" s="43">
        <v>222.31</v>
      </c>
    </row>
    <row r="7025" spans="2:6" x14ac:dyDescent="0.25">
      <c r="B7025" s="13" t="s">
        <v>12575</v>
      </c>
      <c r="C7025" s="17" t="s">
        <v>170</v>
      </c>
      <c r="D7025" s="13" t="s">
        <v>118</v>
      </c>
      <c r="E7025" s="13" t="s">
        <v>12576</v>
      </c>
      <c r="F7025" s="43">
        <v>222.31</v>
      </c>
    </row>
    <row r="7026" spans="2:6" x14ac:dyDescent="0.25">
      <c r="B7026" s="13" t="s">
        <v>12577</v>
      </c>
      <c r="C7026" s="17" t="s">
        <v>170</v>
      </c>
      <c r="D7026" s="13" t="s">
        <v>118</v>
      </c>
      <c r="E7026" s="13" t="s">
        <v>12578</v>
      </c>
      <c r="F7026" s="43">
        <v>222.31</v>
      </c>
    </row>
    <row r="7027" spans="2:6" x14ac:dyDescent="0.25">
      <c r="B7027" s="13" t="s">
        <v>12579</v>
      </c>
      <c r="C7027" s="17" t="s">
        <v>170</v>
      </c>
      <c r="D7027" s="13" t="s">
        <v>118</v>
      </c>
      <c r="E7027" s="13" t="s">
        <v>12580</v>
      </c>
      <c r="F7027" s="43">
        <v>222.31</v>
      </c>
    </row>
    <row r="7028" spans="2:6" x14ac:dyDescent="0.25">
      <c r="B7028" s="13" t="s">
        <v>12581</v>
      </c>
      <c r="C7028" s="17" t="s">
        <v>170</v>
      </c>
      <c r="D7028" s="13" t="s">
        <v>118</v>
      </c>
      <c r="E7028" s="13" t="s">
        <v>12582</v>
      </c>
      <c r="F7028" s="43">
        <v>222.31</v>
      </c>
    </row>
    <row r="7029" spans="2:6" x14ac:dyDescent="0.25">
      <c r="B7029" s="13" t="s">
        <v>12583</v>
      </c>
      <c r="C7029" s="17" t="s">
        <v>170</v>
      </c>
      <c r="D7029" s="13" t="s">
        <v>118</v>
      </c>
      <c r="E7029" s="13" t="s">
        <v>12584</v>
      </c>
      <c r="F7029" s="43">
        <v>222.31</v>
      </c>
    </row>
    <row r="7030" spans="2:6" x14ac:dyDescent="0.25">
      <c r="B7030" s="13" t="s">
        <v>12585</v>
      </c>
      <c r="C7030" s="17" t="s">
        <v>170</v>
      </c>
      <c r="D7030" s="13" t="s">
        <v>118</v>
      </c>
      <c r="E7030" s="13" t="s">
        <v>12586</v>
      </c>
      <c r="F7030" s="43">
        <v>222.31</v>
      </c>
    </row>
    <row r="7031" spans="2:6" x14ac:dyDescent="0.25">
      <c r="B7031" s="13" t="s">
        <v>12587</v>
      </c>
      <c r="C7031" s="17" t="s">
        <v>170</v>
      </c>
      <c r="D7031" s="13" t="s">
        <v>118</v>
      </c>
      <c r="E7031" s="13" t="s">
        <v>12588</v>
      </c>
      <c r="F7031" s="43">
        <v>222.31</v>
      </c>
    </row>
    <row r="7032" spans="2:6" x14ac:dyDescent="0.25">
      <c r="B7032" s="13" t="s">
        <v>12589</v>
      </c>
      <c r="C7032" s="17" t="s">
        <v>170</v>
      </c>
      <c r="D7032" s="13" t="s">
        <v>118</v>
      </c>
      <c r="E7032" s="13" t="s">
        <v>12590</v>
      </c>
      <c r="F7032" s="43">
        <v>222.31</v>
      </c>
    </row>
    <row r="7033" spans="2:6" x14ac:dyDescent="0.25">
      <c r="B7033" s="13" t="s">
        <v>12591</v>
      </c>
      <c r="C7033" s="17" t="s">
        <v>170</v>
      </c>
      <c r="D7033" s="13" t="s">
        <v>118</v>
      </c>
      <c r="E7033" s="13" t="s">
        <v>12592</v>
      </c>
      <c r="F7033" s="43">
        <v>222.31</v>
      </c>
    </row>
    <row r="7034" spans="2:6" x14ac:dyDescent="0.25">
      <c r="B7034" s="13" t="s">
        <v>12593</v>
      </c>
      <c r="C7034" s="17" t="s">
        <v>170</v>
      </c>
      <c r="D7034" s="13" t="s">
        <v>118</v>
      </c>
      <c r="E7034" s="13" t="s">
        <v>12594</v>
      </c>
      <c r="F7034" s="43">
        <v>222.31</v>
      </c>
    </row>
    <row r="7035" spans="2:6" x14ac:dyDescent="0.25">
      <c r="B7035" s="13" t="s">
        <v>12595</v>
      </c>
      <c r="C7035" s="17" t="s">
        <v>170</v>
      </c>
      <c r="D7035" s="13" t="s">
        <v>118</v>
      </c>
      <c r="E7035" s="13" t="s">
        <v>12596</v>
      </c>
      <c r="F7035" s="43">
        <v>222.31</v>
      </c>
    </row>
    <row r="7036" spans="2:6" x14ac:dyDescent="0.25">
      <c r="B7036" s="13" t="s">
        <v>12597</v>
      </c>
      <c r="C7036" s="17" t="s">
        <v>170</v>
      </c>
      <c r="D7036" s="13" t="s">
        <v>118</v>
      </c>
      <c r="E7036" s="13" t="s">
        <v>12598</v>
      </c>
      <c r="F7036" s="43">
        <v>222.31</v>
      </c>
    </row>
    <row r="7037" spans="2:6" x14ac:dyDescent="0.25">
      <c r="B7037" s="13" t="s">
        <v>12599</v>
      </c>
      <c r="C7037" s="17" t="s">
        <v>170</v>
      </c>
      <c r="D7037" s="13" t="s">
        <v>118</v>
      </c>
      <c r="E7037" s="13" t="s">
        <v>12600</v>
      </c>
      <c r="F7037" s="43">
        <v>222.31</v>
      </c>
    </row>
    <row r="7038" spans="2:6" x14ac:dyDescent="0.25">
      <c r="B7038" s="13" t="s">
        <v>12601</v>
      </c>
      <c r="C7038" s="17" t="s">
        <v>170</v>
      </c>
      <c r="D7038" s="13" t="s">
        <v>118</v>
      </c>
      <c r="E7038" s="13" t="s">
        <v>12602</v>
      </c>
      <c r="F7038" s="43">
        <v>222.31</v>
      </c>
    </row>
    <row r="7039" spans="2:6" x14ac:dyDescent="0.25">
      <c r="B7039" s="13" t="s">
        <v>12603</v>
      </c>
      <c r="C7039" s="17" t="s">
        <v>170</v>
      </c>
      <c r="D7039" s="13" t="s">
        <v>118</v>
      </c>
      <c r="E7039" s="13" t="s">
        <v>12604</v>
      </c>
      <c r="F7039" s="43">
        <v>222.31</v>
      </c>
    </row>
    <row r="7040" spans="2:6" x14ac:dyDescent="0.25">
      <c r="B7040" s="13" t="s">
        <v>12605</v>
      </c>
      <c r="C7040" s="17" t="s">
        <v>170</v>
      </c>
      <c r="D7040" s="13" t="s">
        <v>118</v>
      </c>
      <c r="E7040" s="13" t="s">
        <v>12606</v>
      </c>
      <c r="F7040" s="43">
        <v>222.31</v>
      </c>
    </row>
    <row r="7041" spans="2:6" x14ac:dyDescent="0.25">
      <c r="B7041" s="13" t="s">
        <v>12607</v>
      </c>
      <c r="C7041" s="17" t="s">
        <v>170</v>
      </c>
      <c r="D7041" s="13" t="s">
        <v>118</v>
      </c>
      <c r="E7041" s="13" t="s">
        <v>12608</v>
      </c>
      <c r="F7041" s="43">
        <v>222.31</v>
      </c>
    </row>
    <row r="7042" spans="2:6" x14ac:dyDescent="0.25">
      <c r="B7042" s="13" t="s">
        <v>12609</v>
      </c>
      <c r="C7042" s="17" t="s">
        <v>170</v>
      </c>
      <c r="D7042" s="13" t="s">
        <v>118</v>
      </c>
      <c r="E7042" s="13" t="s">
        <v>12610</v>
      </c>
      <c r="F7042" s="43">
        <v>222.31</v>
      </c>
    </row>
    <row r="7043" spans="2:6" x14ac:dyDescent="0.25">
      <c r="B7043" s="13" t="s">
        <v>12611</v>
      </c>
      <c r="C7043" s="17" t="s">
        <v>170</v>
      </c>
      <c r="D7043" s="13" t="s">
        <v>118</v>
      </c>
      <c r="E7043" s="13" t="s">
        <v>12612</v>
      </c>
      <c r="F7043" s="43">
        <v>344.94</v>
      </c>
    </row>
    <row r="7044" spans="2:6" x14ac:dyDescent="0.25">
      <c r="B7044" s="13" t="s">
        <v>12613</v>
      </c>
      <c r="C7044" s="17" t="s">
        <v>170</v>
      </c>
      <c r="D7044" s="13" t="s">
        <v>118</v>
      </c>
      <c r="E7044" s="13" t="s">
        <v>12614</v>
      </c>
      <c r="F7044" s="43">
        <v>344.94</v>
      </c>
    </row>
    <row r="7045" spans="2:6" x14ac:dyDescent="0.25">
      <c r="B7045" s="13" t="s">
        <v>12615</v>
      </c>
      <c r="C7045" s="17" t="s">
        <v>170</v>
      </c>
      <c r="D7045" s="13" t="s">
        <v>118</v>
      </c>
      <c r="E7045" s="13" t="s">
        <v>12616</v>
      </c>
      <c r="F7045" s="43">
        <v>344.94</v>
      </c>
    </row>
    <row r="7046" spans="2:6" x14ac:dyDescent="0.25">
      <c r="B7046" s="13" t="s">
        <v>12617</v>
      </c>
      <c r="C7046" s="17" t="s">
        <v>170</v>
      </c>
      <c r="D7046" s="13" t="s">
        <v>118</v>
      </c>
      <c r="E7046" s="13" t="s">
        <v>12618</v>
      </c>
      <c r="F7046" s="43">
        <v>321.42</v>
      </c>
    </row>
    <row r="7047" spans="2:6" x14ac:dyDescent="0.25">
      <c r="B7047" s="13" t="s">
        <v>12619</v>
      </c>
      <c r="C7047" s="17" t="s">
        <v>170</v>
      </c>
      <c r="D7047" s="13" t="s">
        <v>118</v>
      </c>
      <c r="E7047" s="13" t="s">
        <v>12620</v>
      </c>
      <c r="F7047" s="43">
        <v>321.42</v>
      </c>
    </row>
    <row r="7048" spans="2:6" x14ac:dyDescent="0.25">
      <c r="B7048" s="13" t="s">
        <v>12621</v>
      </c>
      <c r="C7048" s="17" t="s">
        <v>170</v>
      </c>
      <c r="D7048" s="13" t="s">
        <v>118</v>
      </c>
      <c r="E7048" s="13" t="s">
        <v>12622</v>
      </c>
      <c r="F7048" s="43">
        <v>321.42</v>
      </c>
    </row>
    <row r="7049" spans="2:6" x14ac:dyDescent="0.25">
      <c r="B7049" s="13" t="s">
        <v>12623</v>
      </c>
      <c r="C7049" s="17" t="s">
        <v>170</v>
      </c>
      <c r="D7049" s="13" t="s">
        <v>118</v>
      </c>
      <c r="E7049" s="13" t="s">
        <v>12624</v>
      </c>
      <c r="F7049" s="43">
        <v>321.42</v>
      </c>
    </row>
    <row r="7050" spans="2:6" x14ac:dyDescent="0.25">
      <c r="B7050" s="13" t="s">
        <v>12625</v>
      </c>
      <c r="C7050" s="17" t="s">
        <v>170</v>
      </c>
      <c r="D7050" s="13" t="s">
        <v>118</v>
      </c>
      <c r="E7050" s="13" t="s">
        <v>12626</v>
      </c>
      <c r="F7050" s="43">
        <v>321.42</v>
      </c>
    </row>
    <row r="7051" spans="2:6" x14ac:dyDescent="0.25">
      <c r="B7051" s="13" t="s">
        <v>12627</v>
      </c>
      <c r="C7051" s="17" t="s">
        <v>170</v>
      </c>
      <c r="D7051" s="13" t="s">
        <v>118</v>
      </c>
      <c r="E7051" s="13" t="s">
        <v>12628</v>
      </c>
      <c r="F7051" s="43">
        <v>321.42</v>
      </c>
    </row>
    <row r="7052" spans="2:6" x14ac:dyDescent="0.25">
      <c r="B7052" s="13" t="s">
        <v>12629</v>
      </c>
      <c r="C7052" s="17" t="s">
        <v>170</v>
      </c>
      <c r="D7052" s="13" t="s">
        <v>118</v>
      </c>
      <c r="E7052" s="13" t="s">
        <v>12630</v>
      </c>
      <c r="F7052" s="43">
        <v>321.42</v>
      </c>
    </row>
    <row r="7053" spans="2:6" x14ac:dyDescent="0.25">
      <c r="B7053" s="13" t="s">
        <v>12631</v>
      </c>
      <c r="C7053" s="17" t="s">
        <v>170</v>
      </c>
      <c r="D7053" s="13" t="s">
        <v>118</v>
      </c>
      <c r="E7053" s="13" t="s">
        <v>12632</v>
      </c>
      <c r="F7053" s="43">
        <v>321.42</v>
      </c>
    </row>
    <row r="7054" spans="2:6" x14ac:dyDescent="0.25">
      <c r="B7054" s="13" t="s">
        <v>12633</v>
      </c>
      <c r="C7054" s="17" t="s">
        <v>170</v>
      </c>
      <c r="D7054" s="13" t="s">
        <v>118</v>
      </c>
      <c r="E7054" s="13" t="s">
        <v>12634</v>
      </c>
      <c r="F7054" s="43">
        <v>321.42</v>
      </c>
    </row>
    <row r="7055" spans="2:6" x14ac:dyDescent="0.25">
      <c r="B7055" s="13" t="s">
        <v>12635</v>
      </c>
      <c r="C7055" s="17" t="s">
        <v>170</v>
      </c>
      <c r="D7055" s="13" t="s">
        <v>118</v>
      </c>
      <c r="E7055" s="13" t="s">
        <v>12636</v>
      </c>
      <c r="F7055" s="43">
        <v>321.42</v>
      </c>
    </row>
    <row r="7056" spans="2:6" x14ac:dyDescent="0.25">
      <c r="B7056" s="13" t="s">
        <v>12637</v>
      </c>
      <c r="C7056" s="17" t="s">
        <v>170</v>
      </c>
      <c r="D7056" s="13" t="s">
        <v>118</v>
      </c>
      <c r="E7056" s="13" t="s">
        <v>12638</v>
      </c>
      <c r="F7056" s="43">
        <v>321.42</v>
      </c>
    </row>
    <row r="7057" spans="2:6" x14ac:dyDescent="0.25">
      <c r="B7057" s="13" t="s">
        <v>12639</v>
      </c>
      <c r="C7057" s="17" t="s">
        <v>170</v>
      </c>
      <c r="D7057" s="13" t="s">
        <v>118</v>
      </c>
      <c r="E7057" s="13" t="s">
        <v>12640</v>
      </c>
      <c r="F7057" s="43">
        <v>321.42</v>
      </c>
    </row>
    <row r="7058" spans="2:6" x14ac:dyDescent="0.25">
      <c r="B7058" s="13" t="s">
        <v>12641</v>
      </c>
      <c r="C7058" s="17" t="s">
        <v>170</v>
      </c>
      <c r="D7058" s="13" t="s">
        <v>118</v>
      </c>
      <c r="E7058" s="13" t="s">
        <v>12642</v>
      </c>
      <c r="F7058" s="43">
        <v>321.42</v>
      </c>
    </row>
    <row r="7059" spans="2:6" x14ac:dyDescent="0.25">
      <c r="B7059" s="13" t="s">
        <v>12643</v>
      </c>
      <c r="C7059" s="17" t="s">
        <v>170</v>
      </c>
      <c r="D7059" s="13" t="s">
        <v>118</v>
      </c>
      <c r="E7059" s="13" t="s">
        <v>12644</v>
      </c>
      <c r="F7059" s="43">
        <v>321.42</v>
      </c>
    </row>
    <row r="7060" spans="2:6" x14ac:dyDescent="0.25">
      <c r="B7060" s="13" t="s">
        <v>12645</v>
      </c>
      <c r="C7060" s="17" t="s">
        <v>170</v>
      </c>
      <c r="D7060" s="13" t="s">
        <v>118</v>
      </c>
      <c r="E7060" s="13" t="s">
        <v>12646</v>
      </c>
      <c r="F7060" s="43">
        <v>321.42</v>
      </c>
    </row>
    <row r="7061" spans="2:6" x14ac:dyDescent="0.25">
      <c r="B7061" s="13" t="s">
        <v>12647</v>
      </c>
      <c r="C7061" s="17" t="s">
        <v>170</v>
      </c>
      <c r="D7061" s="13" t="s">
        <v>118</v>
      </c>
      <c r="E7061" s="13" t="s">
        <v>12648</v>
      </c>
      <c r="F7061" s="43">
        <v>321.42</v>
      </c>
    </row>
    <row r="7062" spans="2:6" x14ac:dyDescent="0.25">
      <c r="B7062" s="13" t="s">
        <v>12649</v>
      </c>
      <c r="C7062" s="17" t="s">
        <v>170</v>
      </c>
      <c r="D7062" s="13" t="s">
        <v>118</v>
      </c>
      <c r="E7062" s="13" t="s">
        <v>12650</v>
      </c>
      <c r="F7062" s="43">
        <v>321.42</v>
      </c>
    </row>
    <row r="7063" spans="2:6" x14ac:dyDescent="0.25">
      <c r="B7063" s="13" t="s">
        <v>12651</v>
      </c>
      <c r="C7063" s="17" t="s">
        <v>170</v>
      </c>
      <c r="D7063" s="13" t="s">
        <v>118</v>
      </c>
      <c r="E7063" s="13" t="s">
        <v>12652</v>
      </c>
      <c r="F7063" s="43">
        <v>321.42</v>
      </c>
    </row>
    <row r="7064" spans="2:6" x14ac:dyDescent="0.25">
      <c r="B7064" s="13" t="s">
        <v>12653</v>
      </c>
      <c r="C7064" s="17" t="s">
        <v>170</v>
      </c>
      <c r="D7064" s="13" t="s">
        <v>118</v>
      </c>
      <c r="E7064" s="13" t="s">
        <v>12654</v>
      </c>
      <c r="F7064" s="43">
        <v>321.42</v>
      </c>
    </row>
    <row r="7065" spans="2:6" x14ac:dyDescent="0.25">
      <c r="B7065" s="13" t="s">
        <v>12655</v>
      </c>
      <c r="C7065" s="17" t="s">
        <v>170</v>
      </c>
      <c r="D7065" s="13" t="s">
        <v>118</v>
      </c>
      <c r="E7065" s="13" t="s">
        <v>12656</v>
      </c>
      <c r="F7065" s="43">
        <v>321.42</v>
      </c>
    </row>
    <row r="7066" spans="2:6" x14ac:dyDescent="0.25">
      <c r="B7066" s="13" t="s">
        <v>12657</v>
      </c>
      <c r="C7066" s="17" t="s">
        <v>170</v>
      </c>
      <c r="D7066" s="13" t="s">
        <v>118</v>
      </c>
      <c r="E7066" s="13" t="s">
        <v>12658</v>
      </c>
      <c r="F7066" s="43">
        <v>321.42</v>
      </c>
    </row>
    <row r="7067" spans="2:6" x14ac:dyDescent="0.25">
      <c r="B7067" s="13" t="s">
        <v>12659</v>
      </c>
      <c r="C7067" s="17" t="s">
        <v>170</v>
      </c>
      <c r="D7067" s="13" t="s">
        <v>118</v>
      </c>
      <c r="E7067" s="13" t="s">
        <v>12660</v>
      </c>
      <c r="F7067" s="43">
        <v>321.42</v>
      </c>
    </row>
    <row r="7068" spans="2:6" x14ac:dyDescent="0.25">
      <c r="B7068" s="13" t="s">
        <v>12661</v>
      </c>
      <c r="C7068" s="17" t="s">
        <v>170</v>
      </c>
      <c r="D7068" s="13" t="s">
        <v>118</v>
      </c>
      <c r="E7068" s="13" t="s">
        <v>12662</v>
      </c>
      <c r="F7068" s="43">
        <v>321.42</v>
      </c>
    </row>
    <row r="7069" spans="2:6" x14ac:dyDescent="0.25">
      <c r="B7069" s="13" t="s">
        <v>12663</v>
      </c>
      <c r="C7069" s="17" t="s">
        <v>170</v>
      </c>
      <c r="D7069" s="13" t="s">
        <v>118</v>
      </c>
      <c r="E7069" s="13" t="s">
        <v>12664</v>
      </c>
      <c r="F7069" s="43">
        <v>321.42</v>
      </c>
    </row>
    <row r="7070" spans="2:6" x14ac:dyDescent="0.25">
      <c r="B7070" s="13" t="s">
        <v>12665</v>
      </c>
      <c r="C7070" s="17" t="s">
        <v>170</v>
      </c>
      <c r="D7070" s="13" t="s">
        <v>118</v>
      </c>
      <c r="E7070" s="13" t="s">
        <v>12666</v>
      </c>
      <c r="F7070" s="43">
        <v>424.12</v>
      </c>
    </row>
    <row r="7071" spans="2:6" x14ac:dyDescent="0.25">
      <c r="B7071" s="13" t="s">
        <v>12667</v>
      </c>
      <c r="C7071" s="17" t="s">
        <v>170</v>
      </c>
      <c r="D7071" s="13" t="s">
        <v>118</v>
      </c>
      <c r="E7071" s="13" t="s">
        <v>12668</v>
      </c>
      <c r="F7071" s="43">
        <v>424.12</v>
      </c>
    </row>
    <row r="7072" spans="2:6" x14ac:dyDescent="0.25">
      <c r="B7072" s="13" t="s">
        <v>12669</v>
      </c>
      <c r="C7072" s="17" t="s">
        <v>170</v>
      </c>
      <c r="D7072" s="13" t="s">
        <v>118</v>
      </c>
      <c r="E7072" s="13" t="s">
        <v>12670</v>
      </c>
      <c r="F7072" s="43">
        <v>545.67999999999995</v>
      </c>
    </row>
    <row r="7073" spans="2:6" x14ac:dyDescent="0.25">
      <c r="B7073" s="13" t="s">
        <v>12671</v>
      </c>
      <c r="C7073" s="17" t="s">
        <v>170</v>
      </c>
      <c r="D7073" s="13" t="s">
        <v>118</v>
      </c>
      <c r="E7073" s="13" t="s">
        <v>12672</v>
      </c>
      <c r="F7073" s="43">
        <v>321.45999999999998</v>
      </c>
    </row>
    <row r="7074" spans="2:6" x14ac:dyDescent="0.25">
      <c r="B7074" s="13" t="s">
        <v>12673</v>
      </c>
      <c r="C7074" s="17" t="s">
        <v>170</v>
      </c>
      <c r="D7074" s="13" t="s">
        <v>118</v>
      </c>
      <c r="E7074" s="13" t="s">
        <v>12674</v>
      </c>
      <c r="F7074" s="43">
        <v>321.45999999999998</v>
      </c>
    </row>
    <row r="7075" spans="2:6" x14ac:dyDescent="0.25">
      <c r="B7075" s="13" t="s">
        <v>12675</v>
      </c>
      <c r="C7075" s="17" t="s">
        <v>170</v>
      </c>
      <c r="D7075" s="13" t="s">
        <v>118</v>
      </c>
      <c r="E7075" s="13" t="s">
        <v>12676</v>
      </c>
      <c r="F7075" s="43">
        <v>321.45999999999998</v>
      </c>
    </row>
    <row r="7076" spans="2:6" x14ac:dyDescent="0.25">
      <c r="B7076" s="13" t="s">
        <v>12677</v>
      </c>
      <c r="C7076" s="17" t="s">
        <v>170</v>
      </c>
      <c r="D7076" s="13" t="s">
        <v>118</v>
      </c>
      <c r="E7076" s="13" t="s">
        <v>12678</v>
      </c>
      <c r="F7076" s="43">
        <v>321.45999999999998</v>
      </c>
    </row>
    <row r="7077" spans="2:6" x14ac:dyDescent="0.25">
      <c r="B7077" s="13" t="s">
        <v>12679</v>
      </c>
      <c r="C7077" s="17" t="s">
        <v>170</v>
      </c>
      <c r="D7077" s="13" t="s">
        <v>118</v>
      </c>
      <c r="E7077" s="13" t="s">
        <v>12680</v>
      </c>
      <c r="F7077" s="43">
        <v>321.45999999999998</v>
      </c>
    </row>
    <row r="7078" spans="2:6" x14ac:dyDescent="0.25">
      <c r="B7078" s="13" t="s">
        <v>12681</v>
      </c>
      <c r="C7078" s="17" t="s">
        <v>170</v>
      </c>
      <c r="D7078" s="13" t="s">
        <v>118</v>
      </c>
      <c r="E7078" s="13" t="s">
        <v>12682</v>
      </c>
      <c r="F7078" s="43">
        <v>321.45999999999998</v>
      </c>
    </row>
    <row r="7079" spans="2:6" x14ac:dyDescent="0.25">
      <c r="B7079" s="13" t="s">
        <v>12683</v>
      </c>
      <c r="C7079" s="17" t="s">
        <v>170</v>
      </c>
      <c r="D7079" s="13" t="s">
        <v>118</v>
      </c>
      <c r="E7079" s="13" t="s">
        <v>12684</v>
      </c>
      <c r="F7079" s="43">
        <v>321.45999999999998</v>
      </c>
    </row>
    <row r="7080" spans="2:6" x14ac:dyDescent="0.25">
      <c r="B7080" s="13" t="s">
        <v>12685</v>
      </c>
      <c r="C7080" s="17" t="s">
        <v>170</v>
      </c>
      <c r="D7080" s="13" t="s">
        <v>118</v>
      </c>
      <c r="E7080" s="13" t="s">
        <v>12686</v>
      </c>
      <c r="F7080" s="43">
        <v>321.45999999999998</v>
      </c>
    </row>
    <row r="7081" spans="2:6" x14ac:dyDescent="0.25">
      <c r="B7081" s="13" t="s">
        <v>12687</v>
      </c>
      <c r="C7081" s="17" t="s">
        <v>170</v>
      </c>
      <c r="D7081" s="13" t="s">
        <v>118</v>
      </c>
      <c r="E7081" s="13" t="s">
        <v>12688</v>
      </c>
      <c r="F7081" s="43">
        <v>321.45999999999998</v>
      </c>
    </row>
    <row r="7082" spans="2:6" x14ac:dyDescent="0.25">
      <c r="B7082" s="13" t="s">
        <v>12689</v>
      </c>
      <c r="C7082" s="17" t="s">
        <v>170</v>
      </c>
      <c r="D7082" s="13" t="s">
        <v>118</v>
      </c>
      <c r="E7082" s="13" t="s">
        <v>12690</v>
      </c>
      <c r="F7082" s="43">
        <v>321.45999999999998</v>
      </c>
    </row>
    <row r="7083" spans="2:6" x14ac:dyDescent="0.25">
      <c r="B7083" s="13" t="s">
        <v>12691</v>
      </c>
      <c r="C7083" s="17" t="s">
        <v>170</v>
      </c>
      <c r="D7083" s="13" t="s">
        <v>118</v>
      </c>
      <c r="E7083" s="13" t="s">
        <v>12676</v>
      </c>
      <c r="F7083" s="43">
        <v>321.45999999999998</v>
      </c>
    </row>
    <row r="7084" spans="2:6" x14ac:dyDescent="0.25">
      <c r="B7084" s="13" t="s">
        <v>12692</v>
      </c>
      <c r="C7084" s="17" t="s">
        <v>170</v>
      </c>
      <c r="D7084" s="13" t="s">
        <v>118</v>
      </c>
      <c r="E7084" s="13" t="s">
        <v>12693</v>
      </c>
      <c r="F7084" s="43">
        <v>321.45999999999998</v>
      </c>
    </row>
    <row r="7085" spans="2:6" x14ac:dyDescent="0.25">
      <c r="B7085" s="13" t="s">
        <v>12694</v>
      </c>
      <c r="C7085" s="17" t="s">
        <v>170</v>
      </c>
      <c r="D7085" s="13" t="s">
        <v>118</v>
      </c>
      <c r="E7085" s="13" t="s">
        <v>12678</v>
      </c>
      <c r="F7085" s="43">
        <v>321.45999999999998</v>
      </c>
    </row>
    <row r="7086" spans="2:6" x14ac:dyDescent="0.25">
      <c r="B7086" s="13" t="s">
        <v>12695</v>
      </c>
      <c r="C7086" s="17" t="s">
        <v>170</v>
      </c>
      <c r="D7086" s="13" t="s">
        <v>118</v>
      </c>
      <c r="E7086" s="13" t="s">
        <v>12680</v>
      </c>
      <c r="F7086" s="43">
        <v>321.45999999999998</v>
      </c>
    </row>
    <row r="7087" spans="2:6" x14ac:dyDescent="0.25">
      <c r="B7087" s="13" t="s">
        <v>12696</v>
      </c>
      <c r="C7087" s="17" t="s">
        <v>170</v>
      </c>
      <c r="D7087" s="13" t="s">
        <v>118</v>
      </c>
      <c r="E7087" s="13" t="s">
        <v>12697</v>
      </c>
      <c r="F7087" s="43">
        <v>321.45999999999998</v>
      </c>
    </row>
    <row r="7088" spans="2:6" x14ac:dyDescent="0.25">
      <c r="B7088" s="13" t="s">
        <v>12698</v>
      </c>
      <c r="C7088" s="17" t="s">
        <v>170</v>
      </c>
      <c r="D7088" s="13" t="s">
        <v>118</v>
      </c>
      <c r="E7088" s="13" t="s">
        <v>12699</v>
      </c>
      <c r="F7088" s="43">
        <v>321.45999999999998</v>
      </c>
    </row>
    <row r="7089" spans="2:6" x14ac:dyDescent="0.25">
      <c r="B7089" s="13" t="s">
        <v>12700</v>
      </c>
      <c r="C7089" s="17" t="s">
        <v>170</v>
      </c>
      <c r="D7089" s="13" t="s">
        <v>118</v>
      </c>
      <c r="E7089" s="13" t="s">
        <v>12701</v>
      </c>
      <c r="F7089" s="43">
        <v>321.45999999999998</v>
      </c>
    </row>
    <row r="7090" spans="2:6" x14ac:dyDescent="0.25">
      <c r="B7090" s="13" t="s">
        <v>12702</v>
      </c>
      <c r="C7090" s="17" t="s">
        <v>170</v>
      </c>
      <c r="D7090" s="13" t="s">
        <v>118</v>
      </c>
      <c r="E7090" s="13" t="s">
        <v>12703</v>
      </c>
      <c r="F7090" s="43">
        <v>321.45999999999998</v>
      </c>
    </row>
    <row r="7091" spans="2:6" x14ac:dyDescent="0.25">
      <c r="B7091" s="13" t="s">
        <v>12704</v>
      </c>
      <c r="C7091" s="17" t="s">
        <v>170</v>
      </c>
      <c r="D7091" s="13" t="s">
        <v>118</v>
      </c>
      <c r="E7091" s="13" t="s">
        <v>12705</v>
      </c>
      <c r="F7091" s="43">
        <v>321.45999999999998</v>
      </c>
    </row>
    <row r="7092" spans="2:6" x14ac:dyDescent="0.25">
      <c r="B7092" s="13" t="s">
        <v>12706</v>
      </c>
      <c r="C7092" s="17" t="s">
        <v>170</v>
      </c>
      <c r="D7092" s="13" t="s">
        <v>118</v>
      </c>
      <c r="E7092" s="13" t="s">
        <v>12707</v>
      </c>
      <c r="F7092" s="43">
        <v>321.45999999999998</v>
      </c>
    </row>
    <row r="7093" spans="2:6" x14ac:dyDescent="0.25">
      <c r="B7093" s="13" t="s">
        <v>12708</v>
      </c>
      <c r="C7093" s="17" t="s">
        <v>170</v>
      </c>
      <c r="D7093" s="13" t="s">
        <v>118</v>
      </c>
      <c r="E7093" s="13" t="s">
        <v>12709</v>
      </c>
      <c r="F7093" s="43">
        <v>321.45999999999998</v>
      </c>
    </row>
    <row r="7094" spans="2:6" x14ac:dyDescent="0.25">
      <c r="B7094" s="13" t="s">
        <v>12710</v>
      </c>
      <c r="C7094" s="17" t="s">
        <v>170</v>
      </c>
      <c r="D7094" s="13" t="s">
        <v>118</v>
      </c>
      <c r="E7094" s="13" t="s">
        <v>12711</v>
      </c>
      <c r="F7094" s="43">
        <v>321.45999999999998</v>
      </c>
    </row>
    <row r="7095" spans="2:6" x14ac:dyDescent="0.25">
      <c r="B7095" s="13" t="s">
        <v>12712</v>
      </c>
      <c r="C7095" s="17" t="s">
        <v>170</v>
      </c>
      <c r="D7095" s="13" t="s">
        <v>118</v>
      </c>
      <c r="E7095" s="13" t="s">
        <v>12713</v>
      </c>
      <c r="F7095" s="43">
        <v>321.45999999999998</v>
      </c>
    </row>
    <row r="7096" spans="2:6" x14ac:dyDescent="0.25">
      <c r="B7096" s="13" t="s">
        <v>12714</v>
      </c>
      <c r="C7096" s="17" t="s">
        <v>170</v>
      </c>
      <c r="D7096" s="13" t="s">
        <v>118</v>
      </c>
      <c r="E7096" s="13" t="s">
        <v>12715</v>
      </c>
      <c r="F7096" s="43">
        <v>321.45999999999998</v>
      </c>
    </row>
    <row r="7097" spans="2:6" x14ac:dyDescent="0.25">
      <c r="B7097" s="13" t="s">
        <v>12716</v>
      </c>
      <c r="C7097" s="17" t="s">
        <v>170</v>
      </c>
      <c r="D7097" s="13" t="s">
        <v>118</v>
      </c>
      <c r="E7097" s="13" t="s">
        <v>12717</v>
      </c>
      <c r="F7097" s="43">
        <v>321.45999999999998</v>
      </c>
    </row>
    <row r="7098" spans="2:6" x14ac:dyDescent="0.25">
      <c r="B7098" s="13" t="s">
        <v>12718</v>
      </c>
      <c r="C7098" s="17" t="s">
        <v>170</v>
      </c>
      <c r="D7098" s="13" t="s">
        <v>118</v>
      </c>
      <c r="E7098" s="13" t="s">
        <v>12719</v>
      </c>
      <c r="F7098" s="43">
        <v>435.98</v>
      </c>
    </row>
    <row r="7099" spans="2:6" x14ac:dyDescent="0.25">
      <c r="B7099" s="13" t="s">
        <v>12720</v>
      </c>
      <c r="C7099" s="17" t="s">
        <v>170</v>
      </c>
      <c r="D7099" s="13" t="s">
        <v>118</v>
      </c>
      <c r="E7099" s="13" t="s">
        <v>12721</v>
      </c>
      <c r="F7099" s="43">
        <v>321.45999999999998</v>
      </c>
    </row>
    <row r="7100" spans="2:6" x14ac:dyDescent="0.25">
      <c r="B7100" s="13" t="s">
        <v>12722</v>
      </c>
      <c r="C7100" s="17" t="s">
        <v>170</v>
      </c>
      <c r="D7100" s="13" t="s">
        <v>118</v>
      </c>
      <c r="E7100" s="13" t="s">
        <v>12723</v>
      </c>
      <c r="F7100" s="43">
        <v>321.45999999999998</v>
      </c>
    </row>
    <row r="7101" spans="2:6" x14ac:dyDescent="0.25">
      <c r="B7101" s="13" t="s">
        <v>12724</v>
      </c>
      <c r="C7101" s="17" t="s">
        <v>170</v>
      </c>
      <c r="D7101" s="13" t="s">
        <v>118</v>
      </c>
      <c r="E7101" s="13" t="s">
        <v>12725</v>
      </c>
      <c r="F7101" s="43">
        <v>321.45999999999998</v>
      </c>
    </row>
    <row r="7102" spans="2:6" x14ac:dyDescent="0.25">
      <c r="B7102" s="13" t="s">
        <v>12726</v>
      </c>
      <c r="C7102" s="17" t="s">
        <v>170</v>
      </c>
      <c r="D7102" s="13" t="s">
        <v>118</v>
      </c>
      <c r="E7102" s="13" t="s">
        <v>12727</v>
      </c>
      <c r="F7102" s="43">
        <v>321.45999999999998</v>
      </c>
    </row>
    <row r="7103" spans="2:6" x14ac:dyDescent="0.25">
      <c r="B7103" s="13" t="s">
        <v>12728</v>
      </c>
      <c r="C7103" s="17" t="s">
        <v>170</v>
      </c>
      <c r="D7103" s="13" t="s">
        <v>118</v>
      </c>
      <c r="E7103" s="13" t="s">
        <v>12729</v>
      </c>
      <c r="F7103" s="43">
        <v>321.45999999999998</v>
      </c>
    </row>
    <row r="7104" spans="2:6" x14ac:dyDescent="0.25">
      <c r="B7104" s="13" t="s">
        <v>12730</v>
      </c>
      <c r="C7104" s="17" t="s">
        <v>170</v>
      </c>
      <c r="D7104" s="13" t="s">
        <v>118</v>
      </c>
      <c r="E7104" s="13" t="s">
        <v>12731</v>
      </c>
      <c r="F7104" s="43">
        <v>321.45999999999998</v>
      </c>
    </row>
    <row r="7105" spans="2:6" x14ac:dyDescent="0.25">
      <c r="B7105" s="13" t="s">
        <v>12732</v>
      </c>
      <c r="C7105" s="17" t="s">
        <v>170</v>
      </c>
      <c r="D7105" s="13" t="s">
        <v>118</v>
      </c>
      <c r="E7105" s="13" t="s">
        <v>12733</v>
      </c>
      <c r="F7105" s="43">
        <v>321.45999999999998</v>
      </c>
    </row>
    <row r="7106" spans="2:6" x14ac:dyDescent="0.25">
      <c r="B7106" s="13" t="s">
        <v>12734</v>
      </c>
      <c r="C7106" s="17" t="s">
        <v>170</v>
      </c>
      <c r="D7106" s="13" t="s">
        <v>118</v>
      </c>
      <c r="E7106" s="13" t="s">
        <v>12735</v>
      </c>
      <c r="F7106" s="43">
        <v>321.45999999999998</v>
      </c>
    </row>
    <row r="7107" spans="2:6" x14ac:dyDescent="0.25">
      <c r="B7107" s="13" t="s">
        <v>12736</v>
      </c>
      <c r="C7107" s="17" t="s">
        <v>170</v>
      </c>
      <c r="D7107" s="13" t="s">
        <v>118</v>
      </c>
      <c r="E7107" s="13" t="s">
        <v>12737</v>
      </c>
      <c r="F7107" s="43">
        <v>321.45999999999998</v>
      </c>
    </row>
    <row r="7108" spans="2:6" x14ac:dyDescent="0.25">
      <c r="B7108" s="13" t="s">
        <v>12738</v>
      </c>
      <c r="C7108" s="17" t="s">
        <v>170</v>
      </c>
      <c r="D7108" s="13" t="s">
        <v>118</v>
      </c>
      <c r="E7108" s="13" t="s">
        <v>12739</v>
      </c>
      <c r="F7108" s="43">
        <v>321.45999999999998</v>
      </c>
    </row>
    <row r="7109" spans="2:6" x14ac:dyDescent="0.25">
      <c r="B7109" s="13" t="s">
        <v>12740</v>
      </c>
      <c r="C7109" s="17" t="s">
        <v>170</v>
      </c>
      <c r="D7109" s="13" t="s">
        <v>118</v>
      </c>
      <c r="E7109" s="13" t="s">
        <v>12741</v>
      </c>
      <c r="F7109" s="43">
        <v>321.45999999999998</v>
      </c>
    </row>
    <row r="7110" spans="2:6" x14ac:dyDescent="0.25">
      <c r="B7110" s="13" t="s">
        <v>12742</v>
      </c>
      <c r="C7110" s="17" t="s">
        <v>170</v>
      </c>
      <c r="D7110" s="13" t="s">
        <v>118</v>
      </c>
      <c r="E7110" s="13" t="s">
        <v>12743</v>
      </c>
      <c r="F7110" s="43">
        <v>321.45999999999998</v>
      </c>
    </row>
    <row r="7111" spans="2:6" x14ac:dyDescent="0.25">
      <c r="B7111" s="13" t="s">
        <v>12744</v>
      </c>
      <c r="C7111" s="17" t="s">
        <v>170</v>
      </c>
      <c r="D7111" s="13" t="s">
        <v>118</v>
      </c>
      <c r="E7111" s="13" t="s">
        <v>12745</v>
      </c>
      <c r="F7111" s="43">
        <v>321.45999999999998</v>
      </c>
    </row>
    <row r="7112" spans="2:6" x14ac:dyDescent="0.25">
      <c r="B7112" s="13" t="s">
        <v>12746</v>
      </c>
      <c r="C7112" s="17" t="s">
        <v>170</v>
      </c>
      <c r="D7112" s="13" t="s">
        <v>118</v>
      </c>
      <c r="E7112" s="13" t="s">
        <v>12747</v>
      </c>
      <c r="F7112" s="43">
        <v>321.45999999999998</v>
      </c>
    </row>
    <row r="7113" spans="2:6" x14ac:dyDescent="0.25">
      <c r="B7113" s="13" t="s">
        <v>12748</v>
      </c>
      <c r="C7113" s="17" t="s">
        <v>170</v>
      </c>
      <c r="D7113" s="13" t="s">
        <v>118</v>
      </c>
      <c r="E7113" s="13" t="s">
        <v>12749</v>
      </c>
      <c r="F7113" s="43">
        <v>321.45999999999998</v>
      </c>
    </row>
    <row r="7114" spans="2:6" x14ac:dyDescent="0.25">
      <c r="B7114" s="13" t="s">
        <v>12750</v>
      </c>
      <c r="C7114" s="17" t="s">
        <v>170</v>
      </c>
      <c r="D7114" s="13" t="s">
        <v>118</v>
      </c>
      <c r="E7114" s="13" t="s">
        <v>12751</v>
      </c>
      <c r="F7114" s="43">
        <v>321.45999999999998</v>
      </c>
    </row>
    <row r="7115" spans="2:6" x14ac:dyDescent="0.25">
      <c r="B7115" s="13" t="s">
        <v>12752</v>
      </c>
      <c r="C7115" s="17" t="s">
        <v>170</v>
      </c>
      <c r="D7115" s="13" t="s">
        <v>118</v>
      </c>
      <c r="E7115" s="13" t="s">
        <v>12753</v>
      </c>
      <c r="F7115" s="43">
        <v>321.45999999999998</v>
      </c>
    </row>
    <row r="7116" spans="2:6" x14ac:dyDescent="0.25">
      <c r="B7116" s="13" t="s">
        <v>12754</v>
      </c>
      <c r="C7116" s="17" t="s">
        <v>170</v>
      </c>
      <c r="D7116" s="13" t="s">
        <v>118</v>
      </c>
      <c r="E7116" s="13" t="s">
        <v>12755</v>
      </c>
      <c r="F7116" s="43">
        <v>321.45999999999998</v>
      </c>
    </row>
    <row r="7117" spans="2:6" x14ac:dyDescent="0.25">
      <c r="B7117" s="13" t="s">
        <v>12756</v>
      </c>
      <c r="C7117" s="17" t="s">
        <v>170</v>
      </c>
      <c r="D7117" s="13" t="s">
        <v>118</v>
      </c>
      <c r="E7117" s="13" t="s">
        <v>12757</v>
      </c>
      <c r="F7117" s="43">
        <v>321.45999999999998</v>
      </c>
    </row>
    <row r="7118" spans="2:6" x14ac:dyDescent="0.25">
      <c r="B7118" s="13" t="s">
        <v>12758</v>
      </c>
      <c r="C7118" s="17" t="s">
        <v>170</v>
      </c>
      <c r="D7118" s="13" t="s">
        <v>118</v>
      </c>
      <c r="E7118" s="13" t="s">
        <v>12759</v>
      </c>
      <c r="F7118" s="43">
        <v>321.45999999999998</v>
      </c>
    </row>
    <row r="7119" spans="2:6" x14ac:dyDescent="0.25">
      <c r="B7119" s="13" t="s">
        <v>12760</v>
      </c>
      <c r="C7119" s="17" t="s">
        <v>170</v>
      </c>
      <c r="D7119" s="13" t="s">
        <v>118</v>
      </c>
      <c r="E7119" s="13" t="s">
        <v>12761</v>
      </c>
      <c r="F7119" s="43">
        <v>321.45999999999998</v>
      </c>
    </row>
    <row r="7120" spans="2:6" x14ac:dyDescent="0.25">
      <c r="B7120" s="13" t="s">
        <v>12762</v>
      </c>
      <c r="C7120" s="17" t="s">
        <v>170</v>
      </c>
      <c r="D7120" s="13" t="s">
        <v>118</v>
      </c>
      <c r="E7120" s="13" t="s">
        <v>12763</v>
      </c>
      <c r="F7120" s="43">
        <v>321.45999999999998</v>
      </c>
    </row>
    <row r="7121" spans="2:6" x14ac:dyDescent="0.25">
      <c r="B7121" s="13" t="s">
        <v>12764</v>
      </c>
      <c r="C7121" s="17" t="s">
        <v>170</v>
      </c>
      <c r="D7121" s="13" t="s">
        <v>118</v>
      </c>
      <c r="E7121" s="13" t="s">
        <v>12765</v>
      </c>
      <c r="F7121" s="43">
        <v>321.45999999999998</v>
      </c>
    </row>
    <row r="7122" spans="2:6" x14ac:dyDescent="0.25">
      <c r="B7122" s="13" t="s">
        <v>12766</v>
      </c>
      <c r="C7122" s="17" t="s">
        <v>170</v>
      </c>
      <c r="D7122" s="13" t="s">
        <v>118</v>
      </c>
      <c r="E7122" s="13" t="s">
        <v>12767</v>
      </c>
      <c r="F7122" s="43">
        <v>321.45999999999998</v>
      </c>
    </row>
    <row r="7123" spans="2:6" x14ac:dyDescent="0.25">
      <c r="B7123" s="13" t="s">
        <v>12768</v>
      </c>
      <c r="C7123" s="17" t="s">
        <v>170</v>
      </c>
      <c r="D7123" s="13" t="s">
        <v>118</v>
      </c>
      <c r="E7123" s="13" t="s">
        <v>12769</v>
      </c>
      <c r="F7123" s="43">
        <v>321.45999999999998</v>
      </c>
    </row>
    <row r="7124" spans="2:6" x14ac:dyDescent="0.25">
      <c r="B7124" s="13" t="s">
        <v>12770</v>
      </c>
      <c r="C7124" s="17" t="s">
        <v>170</v>
      </c>
      <c r="D7124" s="13" t="s">
        <v>118</v>
      </c>
      <c r="E7124" s="13" t="s">
        <v>12771</v>
      </c>
      <c r="F7124" s="43">
        <v>321.45999999999998</v>
      </c>
    </row>
    <row r="7125" spans="2:6" x14ac:dyDescent="0.25">
      <c r="B7125" s="13" t="s">
        <v>12772</v>
      </c>
      <c r="C7125" s="17" t="s">
        <v>170</v>
      </c>
      <c r="D7125" s="13" t="s">
        <v>118</v>
      </c>
      <c r="E7125" s="13" t="s">
        <v>12773</v>
      </c>
      <c r="F7125" s="43">
        <v>321.45999999999998</v>
      </c>
    </row>
    <row r="7126" spans="2:6" x14ac:dyDescent="0.25">
      <c r="B7126" s="13" t="s">
        <v>12774</v>
      </c>
      <c r="C7126" s="17" t="s">
        <v>170</v>
      </c>
      <c r="D7126" s="13" t="s">
        <v>118</v>
      </c>
      <c r="E7126" s="13" t="s">
        <v>12775</v>
      </c>
      <c r="F7126" s="43">
        <v>321.45999999999998</v>
      </c>
    </row>
    <row r="7127" spans="2:6" x14ac:dyDescent="0.25">
      <c r="B7127" s="13" t="s">
        <v>12776</v>
      </c>
      <c r="C7127" s="17" t="s">
        <v>170</v>
      </c>
      <c r="D7127" s="13" t="s">
        <v>118</v>
      </c>
      <c r="E7127" s="13" t="s">
        <v>12777</v>
      </c>
      <c r="F7127" s="43">
        <v>321.45999999999998</v>
      </c>
    </row>
    <row r="7128" spans="2:6" x14ac:dyDescent="0.25">
      <c r="B7128" s="13" t="s">
        <v>12778</v>
      </c>
      <c r="C7128" s="17" t="s">
        <v>170</v>
      </c>
      <c r="D7128" s="13" t="s">
        <v>118</v>
      </c>
      <c r="E7128" s="13" t="s">
        <v>12779</v>
      </c>
      <c r="F7128" s="43">
        <v>321.45999999999998</v>
      </c>
    </row>
    <row r="7129" spans="2:6" x14ac:dyDescent="0.25">
      <c r="B7129" s="13" t="s">
        <v>12780</v>
      </c>
      <c r="C7129" s="17" t="s">
        <v>170</v>
      </c>
      <c r="D7129" s="13" t="s">
        <v>118</v>
      </c>
      <c r="E7129" s="13" t="s">
        <v>12781</v>
      </c>
      <c r="F7129" s="43">
        <v>321.45999999999998</v>
      </c>
    </row>
    <row r="7130" spans="2:6" x14ac:dyDescent="0.25">
      <c r="B7130" s="13" t="s">
        <v>12782</v>
      </c>
      <c r="C7130" s="17" t="s">
        <v>170</v>
      </c>
      <c r="D7130" s="13" t="s">
        <v>118</v>
      </c>
      <c r="E7130" s="13" t="s">
        <v>12783</v>
      </c>
      <c r="F7130" s="43">
        <v>321.45999999999998</v>
      </c>
    </row>
    <row r="7131" spans="2:6" x14ac:dyDescent="0.25">
      <c r="B7131" s="13" t="s">
        <v>12784</v>
      </c>
      <c r="C7131" s="17" t="s">
        <v>170</v>
      </c>
      <c r="D7131" s="13" t="s">
        <v>118</v>
      </c>
      <c r="E7131" s="13" t="s">
        <v>12785</v>
      </c>
      <c r="F7131" s="43">
        <v>321.45999999999998</v>
      </c>
    </row>
    <row r="7132" spans="2:6" x14ac:dyDescent="0.25">
      <c r="B7132" s="13" t="s">
        <v>12786</v>
      </c>
      <c r="C7132" s="17" t="s">
        <v>170</v>
      </c>
      <c r="D7132" s="13" t="s">
        <v>118</v>
      </c>
      <c r="E7132" s="13" t="s">
        <v>12787</v>
      </c>
      <c r="F7132" s="43">
        <v>321.45999999999998</v>
      </c>
    </row>
    <row r="7133" spans="2:6" x14ac:dyDescent="0.25">
      <c r="B7133" s="13" t="s">
        <v>12788</v>
      </c>
      <c r="C7133" s="17" t="s">
        <v>170</v>
      </c>
      <c r="D7133" s="13" t="s">
        <v>118</v>
      </c>
      <c r="E7133" s="13" t="s">
        <v>12789</v>
      </c>
      <c r="F7133" s="43">
        <v>321.45999999999998</v>
      </c>
    </row>
    <row r="7134" spans="2:6" x14ac:dyDescent="0.25">
      <c r="B7134" s="13" t="s">
        <v>12790</v>
      </c>
      <c r="C7134" s="17" t="s">
        <v>170</v>
      </c>
      <c r="D7134" s="13" t="s">
        <v>118</v>
      </c>
      <c r="E7134" s="13" t="s">
        <v>12791</v>
      </c>
      <c r="F7134" s="43">
        <v>321.45999999999998</v>
      </c>
    </row>
    <row r="7135" spans="2:6" x14ac:dyDescent="0.25">
      <c r="B7135" s="13" t="s">
        <v>12792</v>
      </c>
      <c r="C7135" s="17" t="s">
        <v>170</v>
      </c>
      <c r="D7135" s="13" t="s">
        <v>118</v>
      </c>
      <c r="E7135" s="13" t="s">
        <v>12793</v>
      </c>
      <c r="F7135" s="43">
        <v>321.45999999999998</v>
      </c>
    </row>
    <row r="7136" spans="2:6" x14ac:dyDescent="0.25">
      <c r="B7136" s="13" t="s">
        <v>12794</v>
      </c>
      <c r="C7136" s="17" t="s">
        <v>170</v>
      </c>
      <c r="D7136" s="13" t="s">
        <v>118</v>
      </c>
      <c r="E7136" s="13" t="s">
        <v>12795</v>
      </c>
      <c r="F7136" s="43">
        <v>321.45999999999998</v>
      </c>
    </row>
    <row r="7137" spans="2:6" x14ac:dyDescent="0.25">
      <c r="B7137" s="13" t="s">
        <v>12796</v>
      </c>
      <c r="C7137" s="17" t="s">
        <v>170</v>
      </c>
      <c r="D7137" s="13" t="s">
        <v>118</v>
      </c>
      <c r="E7137" s="13" t="s">
        <v>12797</v>
      </c>
      <c r="F7137" s="43">
        <v>321.45999999999998</v>
      </c>
    </row>
    <row r="7138" spans="2:6" x14ac:dyDescent="0.25">
      <c r="B7138" s="13" t="s">
        <v>12798</v>
      </c>
      <c r="C7138" s="17" t="s">
        <v>170</v>
      </c>
      <c r="D7138" s="13" t="s">
        <v>118</v>
      </c>
      <c r="E7138" s="13" t="s">
        <v>12799</v>
      </c>
      <c r="F7138" s="43">
        <v>321.45999999999998</v>
      </c>
    </row>
    <row r="7139" spans="2:6" x14ac:dyDescent="0.25">
      <c r="B7139" s="13" t="s">
        <v>12800</v>
      </c>
      <c r="C7139" s="17" t="s">
        <v>170</v>
      </c>
      <c r="D7139" s="13" t="s">
        <v>118</v>
      </c>
      <c r="E7139" s="13" t="s">
        <v>12801</v>
      </c>
      <c r="F7139" s="43">
        <v>321.45999999999998</v>
      </c>
    </row>
    <row r="7140" spans="2:6" x14ac:dyDescent="0.25">
      <c r="B7140" s="13" t="s">
        <v>12802</v>
      </c>
      <c r="C7140" s="17" t="s">
        <v>170</v>
      </c>
      <c r="D7140" s="13" t="s">
        <v>118</v>
      </c>
      <c r="E7140" s="13" t="s">
        <v>12803</v>
      </c>
      <c r="F7140" s="43">
        <v>321.45999999999998</v>
      </c>
    </row>
    <row r="7141" spans="2:6" x14ac:dyDescent="0.25">
      <c r="B7141" s="13" t="s">
        <v>12804</v>
      </c>
      <c r="C7141" s="17" t="s">
        <v>170</v>
      </c>
      <c r="D7141" s="13" t="s">
        <v>118</v>
      </c>
      <c r="E7141" s="13" t="s">
        <v>12805</v>
      </c>
      <c r="F7141" s="43">
        <v>321.45999999999998</v>
      </c>
    </row>
    <row r="7142" spans="2:6" x14ac:dyDescent="0.25">
      <c r="B7142" s="13" t="s">
        <v>12806</v>
      </c>
      <c r="C7142" s="17" t="s">
        <v>170</v>
      </c>
      <c r="D7142" s="13" t="s">
        <v>118</v>
      </c>
      <c r="E7142" s="13" t="s">
        <v>12807</v>
      </c>
      <c r="F7142" s="43">
        <v>321.45999999999998</v>
      </c>
    </row>
    <row r="7143" spans="2:6" x14ac:dyDescent="0.25">
      <c r="B7143" s="13" t="s">
        <v>12808</v>
      </c>
      <c r="C7143" s="17" t="s">
        <v>170</v>
      </c>
      <c r="D7143" s="13" t="s">
        <v>118</v>
      </c>
      <c r="E7143" s="13" t="s">
        <v>12809</v>
      </c>
      <c r="F7143" s="43">
        <v>321.45999999999998</v>
      </c>
    </row>
    <row r="7144" spans="2:6" x14ac:dyDescent="0.25">
      <c r="B7144" s="13" t="s">
        <v>12810</v>
      </c>
      <c r="C7144" s="17" t="s">
        <v>170</v>
      </c>
      <c r="D7144" s="13" t="s">
        <v>118</v>
      </c>
      <c r="E7144" s="13" t="s">
        <v>12811</v>
      </c>
      <c r="F7144" s="43">
        <v>321.45999999999998</v>
      </c>
    </row>
    <row r="7145" spans="2:6" x14ac:dyDescent="0.25">
      <c r="B7145" s="13" t="s">
        <v>12812</v>
      </c>
      <c r="C7145" s="17" t="s">
        <v>170</v>
      </c>
      <c r="D7145" s="13" t="s">
        <v>118</v>
      </c>
      <c r="E7145" s="13" t="s">
        <v>12813</v>
      </c>
      <c r="F7145" s="43">
        <v>424.12</v>
      </c>
    </row>
    <row r="7146" spans="2:6" x14ac:dyDescent="0.25">
      <c r="B7146" s="13" t="s">
        <v>12814</v>
      </c>
      <c r="C7146" s="17" t="s">
        <v>170</v>
      </c>
      <c r="D7146" s="13" t="s">
        <v>118</v>
      </c>
      <c r="E7146" s="13" t="s">
        <v>12815</v>
      </c>
      <c r="F7146" s="43">
        <v>424.12</v>
      </c>
    </row>
    <row r="7147" spans="2:6" x14ac:dyDescent="0.25">
      <c r="B7147" s="13" t="s">
        <v>12816</v>
      </c>
      <c r="C7147" s="17" t="s">
        <v>170</v>
      </c>
      <c r="D7147" s="13" t="s">
        <v>118</v>
      </c>
      <c r="E7147" s="13" t="s">
        <v>12817</v>
      </c>
      <c r="F7147" s="43">
        <v>424.12</v>
      </c>
    </row>
    <row r="7148" spans="2:6" x14ac:dyDescent="0.25">
      <c r="B7148" s="13" t="s">
        <v>12818</v>
      </c>
      <c r="C7148" s="17" t="s">
        <v>170</v>
      </c>
      <c r="D7148" s="13" t="s">
        <v>118</v>
      </c>
      <c r="E7148" s="13" t="s">
        <v>12819</v>
      </c>
      <c r="F7148" s="43">
        <v>545.67999999999995</v>
      </c>
    </row>
    <row r="7149" spans="2:6" x14ac:dyDescent="0.25">
      <c r="B7149" s="13" t="s">
        <v>12820</v>
      </c>
      <c r="C7149" s="17" t="s">
        <v>170</v>
      </c>
      <c r="D7149" s="13" t="s">
        <v>118</v>
      </c>
      <c r="E7149" s="13" t="s">
        <v>12821</v>
      </c>
      <c r="F7149" s="43">
        <v>321.45999999999998</v>
      </c>
    </row>
    <row r="7150" spans="2:6" x14ac:dyDescent="0.25">
      <c r="B7150" s="13" t="s">
        <v>12822</v>
      </c>
      <c r="C7150" s="17" t="s">
        <v>170</v>
      </c>
      <c r="D7150" s="13" t="s">
        <v>118</v>
      </c>
      <c r="E7150" s="13" t="s">
        <v>12823</v>
      </c>
      <c r="F7150" s="43">
        <v>321.45999999999998</v>
      </c>
    </row>
    <row r="7151" spans="2:6" x14ac:dyDescent="0.25">
      <c r="B7151" s="13" t="s">
        <v>12824</v>
      </c>
      <c r="C7151" s="17" t="s">
        <v>170</v>
      </c>
      <c r="D7151" s="13" t="s">
        <v>118</v>
      </c>
      <c r="E7151" s="13" t="s">
        <v>12825</v>
      </c>
      <c r="F7151" s="43">
        <v>435.98</v>
      </c>
    </row>
    <row r="7152" spans="2:6" x14ac:dyDescent="0.25">
      <c r="B7152" s="13" t="s">
        <v>12826</v>
      </c>
      <c r="C7152" s="17" t="s">
        <v>170</v>
      </c>
      <c r="D7152" s="13" t="s">
        <v>118</v>
      </c>
      <c r="E7152" s="13" t="s">
        <v>12827</v>
      </c>
      <c r="F7152" s="43">
        <v>321.45999999999998</v>
      </c>
    </row>
    <row r="7153" spans="2:6" x14ac:dyDescent="0.25">
      <c r="B7153" s="13" t="s">
        <v>12828</v>
      </c>
      <c r="C7153" s="17" t="s">
        <v>170</v>
      </c>
      <c r="D7153" s="13" t="s">
        <v>118</v>
      </c>
      <c r="E7153" s="13" t="s">
        <v>12829</v>
      </c>
      <c r="F7153" s="43">
        <v>321.45999999999998</v>
      </c>
    </row>
    <row r="7154" spans="2:6" x14ac:dyDescent="0.25">
      <c r="B7154" s="13" t="s">
        <v>12830</v>
      </c>
      <c r="C7154" s="17" t="s">
        <v>170</v>
      </c>
      <c r="D7154" s="13" t="s">
        <v>118</v>
      </c>
      <c r="E7154" s="13" t="s">
        <v>12831</v>
      </c>
      <c r="F7154" s="43">
        <v>321.45999999999998</v>
      </c>
    </row>
    <row r="7155" spans="2:6" x14ac:dyDescent="0.25">
      <c r="B7155" s="13" t="s">
        <v>12832</v>
      </c>
      <c r="C7155" s="17" t="s">
        <v>170</v>
      </c>
      <c r="D7155" s="13" t="s">
        <v>118</v>
      </c>
      <c r="E7155" s="13" t="s">
        <v>12833</v>
      </c>
      <c r="F7155" s="43">
        <v>321.45999999999998</v>
      </c>
    </row>
    <row r="7156" spans="2:6" x14ac:dyDescent="0.25">
      <c r="B7156" s="13" t="s">
        <v>12834</v>
      </c>
      <c r="C7156" s="17" t="s">
        <v>170</v>
      </c>
      <c r="D7156" s="13" t="s">
        <v>118</v>
      </c>
      <c r="E7156" s="13" t="s">
        <v>12835</v>
      </c>
      <c r="F7156" s="43">
        <v>321.45999999999998</v>
      </c>
    </row>
    <row r="7157" spans="2:6" x14ac:dyDescent="0.25">
      <c r="B7157" s="13" t="s">
        <v>12836</v>
      </c>
      <c r="C7157" s="17" t="s">
        <v>170</v>
      </c>
      <c r="D7157" s="13" t="s">
        <v>118</v>
      </c>
      <c r="E7157" s="13" t="s">
        <v>12837</v>
      </c>
      <c r="F7157" s="43">
        <v>424.12</v>
      </c>
    </row>
    <row r="7158" spans="2:6" x14ac:dyDescent="0.25">
      <c r="B7158" s="13" t="s">
        <v>12838</v>
      </c>
      <c r="C7158" s="17" t="s">
        <v>170</v>
      </c>
      <c r="D7158" s="13" t="s">
        <v>118</v>
      </c>
      <c r="E7158" s="13" t="s">
        <v>12839</v>
      </c>
      <c r="F7158" s="43">
        <v>424.12</v>
      </c>
    </row>
    <row r="7159" spans="2:6" x14ac:dyDescent="0.25">
      <c r="B7159" s="13" t="s">
        <v>12840</v>
      </c>
      <c r="C7159" s="17" t="s">
        <v>170</v>
      </c>
      <c r="D7159" s="13" t="s">
        <v>118</v>
      </c>
      <c r="E7159" s="13" t="s">
        <v>12841</v>
      </c>
      <c r="F7159" s="43">
        <v>545.67999999999995</v>
      </c>
    </row>
    <row r="7160" spans="2:6" x14ac:dyDescent="0.25">
      <c r="B7160" s="13" t="s">
        <v>12842</v>
      </c>
      <c r="C7160" s="17" t="s">
        <v>170</v>
      </c>
      <c r="D7160" s="13" t="s">
        <v>118</v>
      </c>
      <c r="E7160" s="13" t="s">
        <v>12843</v>
      </c>
      <c r="F7160" s="43">
        <v>875.78</v>
      </c>
    </row>
    <row r="7161" spans="2:6" x14ac:dyDescent="0.25">
      <c r="B7161" s="13" t="s">
        <v>12844</v>
      </c>
      <c r="C7161" s="17" t="s">
        <v>170</v>
      </c>
      <c r="D7161" s="13" t="s">
        <v>118</v>
      </c>
      <c r="E7161" s="13" t="s">
        <v>12845</v>
      </c>
      <c r="F7161" s="43">
        <v>875.78</v>
      </c>
    </row>
    <row r="7162" spans="2:6" x14ac:dyDescent="0.25">
      <c r="B7162" s="13" t="s">
        <v>12846</v>
      </c>
      <c r="C7162" s="17" t="s">
        <v>170</v>
      </c>
      <c r="D7162" s="13" t="s">
        <v>118</v>
      </c>
      <c r="E7162" s="13" t="s">
        <v>12847</v>
      </c>
      <c r="F7162" s="43">
        <v>875.78</v>
      </c>
    </row>
    <row r="7163" spans="2:6" x14ac:dyDescent="0.25">
      <c r="B7163" s="13" t="s">
        <v>12848</v>
      </c>
      <c r="C7163" s="17" t="s">
        <v>170</v>
      </c>
      <c r="D7163" s="13" t="s">
        <v>118</v>
      </c>
      <c r="E7163" s="13" t="s">
        <v>12849</v>
      </c>
      <c r="F7163" s="43">
        <v>875.78</v>
      </c>
    </row>
    <row r="7164" spans="2:6" x14ac:dyDescent="0.25">
      <c r="B7164" s="13" t="s">
        <v>12850</v>
      </c>
      <c r="C7164" s="17" t="s">
        <v>170</v>
      </c>
      <c r="D7164" s="13" t="s">
        <v>118</v>
      </c>
      <c r="E7164" s="13" t="s">
        <v>12851</v>
      </c>
      <c r="F7164" s="43">
        <v>875.78</v>
      </c>
    </row>
    <row r="7165" spans="2:6" x14ac:dyDescent="0.25">
      <c r="B7165" s="13" t="s">
        <v>12852</v>
      </c>
      <c r="C7165" s="17" t="s">
        <v>170</v>
      </c>
      <c r="D7165" s="13" t="s">
        <v>118</v>
      </c>
      <c r="E7165" s="13" t="s">
        <v>12853</v>
      </c>
      <c r="F7165" s="43">
        <v>875.78</v>
      </c>
    </row>
    <row r="7166" spans="2:6" x14ac:dyDescent="0.25">
      <c r="B7166" s="13" t="s">
        <v>12854</v>
      </c>
      <c r="C7166" s="17" t="s">
        <v>170</v>
      </c>
      <c r="D7166" s="13" t="s">
        <v>118</v>
      </c>
      <c r="E7166" s="13" t="s">
        <v>12855</v>
      </c>
      <c r="F7166" s="43">
        <v>875.78</v>
      </c>
    </row>
    <row r="7167" spans="2:6" x14ac:dyDescent="0.25">
      <c r="B7167" s="13" t="s">
        <v>12856</v>
      </c>
      <c r="C7167" s="17" t="s">
        <v>170</v>
      </c>
      <c r="D7167" s="13" t="s">
        <v>118</v>
      </c>
      <c r="E7167" s="13" t="s">
        <v>12857</v>
      </c>
      <c r="F7167" s="43">
        <v>875.78</v>
      </c>
    </row>
    <row r="7168" spans="2:6" x14ac:dyDescent="0.25">
      <c r="B7168" s="13" t="s">
        <v>12858</v>
      </c>
      <c r="C7168" s="17" t="s">
        <v>170</v>
      </c>
      <c r="D7168" s="13" t="s">
        <v>118</v>
      </c>
      <c r="E7168" s="13" t="s">
        <v>12859</v>
      </c>
      <c r="F7168" s="43">
        <v>875.78</v>
      </c>
    </row>
    <row r="7169" spans="2:6" x14ac:dyDescent="0.25">
      <c r="B7169" s="13" t="s">
        <v>12860</v>
      </c>
      <c r="C7169" s="17" t="s">
        <v>170</v>
      </c>
      <c r="D7169" s="13" t="s">
        <v>118</v>
      </c>
      <c r="E7169" s="13" t="s">
        <v>12861</v>
      </c>
      <c r="F7169" s="43">
        <v>1150.26</v>
      </c>
    </row>
    <row r="7170" spans="2:6" x14ac:dyDescent="0.25">
      <c r="B7170" s="13" t="s">
        <v>12862</v>
      </c>
      <c r="C7170" s="17" t="s">
        <v>170</v>
      </c>
      <c r="D7170" s="13" t="s">
        <v>118</v>
      </c>
      <c r="E7170" s="13" t="s">
        <v>12863</v>
      </c>
      <c r="F7170" s="43">
        <v>58.41</v>
      </c>
    </row>
    <row r="7171" spans="2:6" x14ac:dyDescent="0.25">
      <c r="B7171" s="13" t="s">
        <v>12864</v>
      </c>
      <c r="C7171" s="17" t="s">
        <v>170</v>
      </c>
      <c r="D7171" s="13" t="s">
        <v>118</v>
      </c>
      <c r="E7171" s="13" t="s">
        <v>12865</v>
      </c>
      <c r="F7171" s="43">
        <v>58.41</v>
      </c>
    </row>
    <row r="7172" spans="2:6" x14ac:dyDescent="0.25">
      <c r="B7172" s="13" t="s">
        <v>12866</v>
      </c>
      <c r="C7172" s="17" t="s">
        <v>170</v>
      </c>
      <c r="D7172" s="13" t="s">
        <v>118</v>
      </c>
      <c r="E7172" s="13" t="s">
        <v>12867</v>
      </c>
      <c r="F7172" s="43">
        <v>58.41</v>
      </c>
    </row>
    <row r="7173" spans="2:6" x14ac:dyDescent="0.25">
      <c r="B7173" s="13" t="s">
        <v>12868</v>
      </c>
      <c r="C7173" s="17" t="s">
        <v>170</v>
      </c>
      <c r="D7173" s="13" t="s">
        <v>118</v>
      </c>
      <c r="E7173" s="13" t="s">
        <v>12869</v>
      </c>
      <c r="F7173" s="43">
        <v>58.41</v>
      </c>
    </row>
    <row r="7174" spans="2:6" x14ac:dyDescent="0.25">
      <c r="B7174" s="13" t="s">
        <v>12870</v>
      </c>
      <c r="C7174" s="17" t="s">
        <v>170</v>
      </c>
      <c r="D7174" s="13" t="s">
        <v>118</v>
      </c>
      <c r="E7174" s="13" t="s">
        <v>12871</v>
      </c>
      <c r="F7174" s="43">
        <v>58.41</v>
      </c>
    </row>
    <row r="7175" spans="2:6" x14ac:dyDescent="0.25">
      <c r="B7175" s="13" t="s">
        <v>12872</v>
      </c>
      <c r="C7175" s="17" t="s">
        <v>170</v>
      </c>
      <c r="D7175" s="13" t="s">
        <v>118</v>
      </c>
      <c r="E7175" s="13" t="s">
        <v>12873</v>
      </c>
      <c r="F7175" s="43">
        <v>58.41</v>
      </c>
    </row>
    <row r="7176" spans="2:6" x14ac:dyDescent="0.25">
      <c r="B7176" s="13" t="s">
        <v>12874</v>
      </c>
      <c r="C7176" s="17" t="s">
        <v>170</v>
      </c>
      <c r="D7176" s="13" t="s">
        <v>118</v>
      </c>
      <c r="E7176" s="13" t="s">
        <v>12875</v>
      </c>
      <c r="F7176" s="43">
        <v>58.41</v>
      </c>
    </row>
    <row r="7177" spans="2:6" x14ac:dyDescent="0.25">
      <c r="B7177" s="13" t="s">
        <v>12876</v>
      </c>
      <c r="C7177" s="17" t="s">
        <v>170</v>
      </c>
      <c r="D7177" s="13" t="s">
        <v>118</v>
      </c>
      <c r="E7177" s="13" t="s">
        <v>12877</v>
      </c>
      <c r="F7177" s="43">
        <v>58.41</v>
      </c>
    </row>
    <row r="7178" spans="2:6" x14ac:dyDescent="0.25">
      <c r="B7178" s="13" t="s">
        <v>12878</v>
      </c>
      <c r="C7178" s="17" t="s">
        <v>170</v>
      </c>
      <c r="D7178" s="13" t="s">
        <v>118</v>
      </c>
      <c r="E7178" s="13" t="s">
        <v>12879</v>
      </c>
      <c r="F7178" s="43">
        <v>58.41</v>
      </c>
    </row>
    <row r="7179" spans="2:6" x14ac:dyDescent="0.25">
      <c r="B7179" s="13" t="s">
        <v>12880</v>
      </c>
      <c r="C7179" s="17" t="s">
        <v>170</v>
      </c>
      <c r="D7179" s="13" t="s">
        <v>118</v>
      </c>
      <c r="E7179" s="13" t="s">
        <v>12881</v>
      </c>
      <c r="F7179" s="43">
        <v>58.41</v>
      </c>
    </row>
    <row r="7180" spans="2:6" x14ac:dyDescent="0.25">
      <c r="B7180" s="13" t="s">
        <v>12882</v>
      </c>
      <c r="C7180" s="17" t="s">
        <v>170</v>
      </c>
      <c r="D7180" s="13" t="s">
        <v>118</v>
      </c>
      <c r="E7180" s="13" t="s">
        <v>12883</v>
      </c>
      <c r="F7180" s="43">
        <v>58.41</v>
      </c>
    </row>
    <row r="7181" spans="2:6" x14ac:dyDescent="0.25">
      <c r="B7181" s="13" t="s">
        <v>12884</v>
      </c>
      <c r="C7181" s="17" t="s">
        <v>170</v>
      </c>
      <c r="D7181" s="13" t="s">
        <v>118</v>
      </c>
      <c r="E7181" s="13" t="s">
        <v>12885</v>
      </c>
      <c r="F7181" s="43">
        <v>58.41</v>
      </c>
    </row>
    <row r="7182" spans="2:6" x14ac:dyDescent="0.25">
      <c r="B7182" s="13" t="s">
        <v>12886</v>
      </c>
      <c r="C7182" s="17" t="s">
        <v>170</v>
      </c>
      <c r="D7182" s="13" t="s">
        <v>118</v>
      </c>
      <c r="E7182" s="13" t="s">
        <v>12887</v>
      </c>
      <c r="F7182" s="43">
        <v>58.41</v>
      </c>
    </row>
    <row r="7183" spans="2:6" x14ac:dyDescent="0.25">
      <c r="B7183" s="13" t="s">
        <v>12888</v>
      </c>
      <c r="C7183" s="17" t="s">
        <v>170</v>
      </c>
      <c r="D7183" s="13" t="s">
        <v>118</v>
      </c>
      <c r="E7183" s="13" t="s">
        <v>12889</v>
      </c>
      <c r="F7183" s="43">
        <v>58.41</v>
      </c>
    </row>
    <row r="7184" spans="2:6" x14ac:dyDescent="0.25">
      <c r="B7184" s="13" t="s">
        <v>12890</v>
      </c>
      <c r="C7184" s="17" t="s">
        <v>170</v>
      </c>
      <c r="D7184" s="13" t="s">
        <v>118</v>
      </c>
      <c r="E7184" s="13" t="s">
        <v>12891</v>
      </c>
      <c r="F7184" s="43">
        <v>58.41</v>
      </c>
    </row>
    <row r="7185" spans="2:6" x14ac:dyDescent="0.25">
      <c r="B7185" s="13" t="s">
        <v>12892</v>
      </c>
      <c r="C7185" s="17" t="s">
        <v>170</v>
      </c>
      <c r="D7185" s="13" t="s">
        <v>118</v>
      </c>
      <c r="E7185" s="13" t="s">
        <v>12893</v>
      </c>
      <c r="F7185" s="43">
        <v>73.099999999999994</v>
      </c>
    </row>
    <row r="7186" spans="2:6" x14ac:dyDescent="0.25">
      <c r="B7186" s="13" t="s">
        <v>12894</v>
      </c>
      <c r="C7186" s="17" t="s">
        <v>170</v>
      </c>
      <c r="D7186" s="13" t="s">
        <v>118</v>
      </c>
      <c r="E7186" s="13" t="s">
        <v>12895</v>
      </c>
      <c r="F7186" s="43">
        <v>58.41</v>
      </c>
    </row>
    <row r="7187" spans="2:6" x14ac:dyDescent="0.25">
      <c r="B7187" s="13" t="s">
        <v>12896</v>
      </c>
      <c r="C7187" s="17" t="s">
        <v>170</v>
      </c>
      <c r="D7187" s="13" t="s">
        <v>118</v>
      </c>
      <c r="E7187" s="13" t="s">
        <v>12897</v>
      </c>
      <c r="F7187" s="43">
        <v>73.099999999999994</v>
      </c>
    </row>
    <row r="7188" spans="2:6" x14ac:dyDescent="0.25">
      <c r="B7188" s="13" t="s">
        <v>12898</v>
      </c>
      <c r="C7188" s="17" t="s">
        <v>170</v>
      </c>
      <c r="D7188" s="13" t="s">
        <v>118</v>
      </c>
      <c r="E7188" s="13" t="s">
        <v>12899</v>
      </c>
      <c r="F7188" s="43">
        <v>58.41</v>
      </c>
    </row>
    <row r="7189" spans="2:6" x14ac:dyDescent="0.25">
      <c r="B7189" s="13" t="s">
        <v>12900</v>
      </c>
      <c r="C7189" s="17" t="s">
        <v>170</v>
      </c>
      <c r="D7189" s="13" t="s">
        <v>118</v>
      </c>
      <c r="E7189" s="13" t="s">
        <v>12901</v>
      </c>
      <c r="F7189" s="43">
        <v>73.099999999999994</v>
      </c>
    </row>
    <row r="7190" spans="2:6" x14ac:dyDescent="0.25">
      <c r="B7190" s="13" t="s">
        <v>12902</v>
      </c>
      <c r="C7190" s="17" t="s">
        <v>170</v>
      </c>
      <c r="D7190" s="13" t="s">
        <v>118</v>
      </c>
      <c r="E7190" s="13" t="s">
        <v>12903</v>
      </c>
      <c r="F7190" s="43">
        <v>58.41</v>
      </c>
    </row>
    <row r="7191" spans="2:6" x14ac:dyDescent="0.25">
      <c r="B7191" s="13" t="s">
        <v>12904</v>
      </c>
      <c r="C7191" s="17" t="s">
        <v>170</v>
      </c>
      <c r="D7191" s="13" t="s">
        <v>118</v>
      </c>
      <c r="E7191" s="13" t="s">
        <v>12905</v>
      </c>
      <c r="F7191" s="43">
        <v>58.41</v>
      </c>
    </row>
    <row r="7192" spans="2:6" x14ac:dyDescent="0.25">
      <c r="B7192" s="13" t="s">
        <v>12906</v>
      </c>
      <c r="C7192" s="17" t="s">
        <v>170</v>
      </c>
      <c r="D7192" s="13" t="s">
        <v>118</v>
      </c>
      <c r="E7192" s="13" t="s">
        <v>12907</v>
      </c>
      <c r="F7192" s="43">
        <v>73.099999999999994</v>
      </c>
    </row>
    <row r="7193" spans="2:6" x14ac:dyDescent="0.25">
      <c r="B7193" s="13" t="s">
        <v>12908</v>
      </c>
      <c r="C7193" s="17" t="s">
        <v>170</v>
      </c>
      <c r="D7193" s="13" t="s">
        <v>118</v>
      </c>
      <c r="E7193" s="13" t="s">
        <v>12909</v>
      </c>
      <c r="F7193" s="43">
        <v>73.099999999999994</v>
      </c>
    </row>
    <row r="7194" spans="2:6" x14ac:dyDescent="0.25">
      <c r="B7194" s="13" t="s">
        <v>12910</v>
      </c>
      <c r="C7194" s="17" t="s">
        <v>170</v>
      </c>
      <c r="D7194" s="13" t="s">
        <v>118</v>
      </c>
      <c r="E7194" s="13" t="s">
        <v>12911</v>
      </c>
      <c r="F7194" s="43">
        <v>58.41</v>
      </c>
    </row>
    <row r="7195" spans="2:6" x14ac:dyDescent="0.25">
      <c r="B7195" s="13" t="s">
        <v>12912</v>
      </c>
      <c r="C7195" s="17" t="s">
        <v>170</v>
      </c>
      <c r="D7195" s="13" t="s">
        <v>118</v>
      </c>
      <c r="E7195" s="13" t="s">
        <v>12913</v>
      </c>
      <c r="F7195" s="43">
        <v>58.41</v>
      </c>
    </row>
    <row r="7196" spans="2:6" x14ac:dyDescent="0.25">
      <c r="B7196" s="13" t="s">
        <v>12914</v>
      </c>
      <c r="C7196" s="17" t="s">
        <v>170</v>
      </c>
      <c r="D7196" s="13" t="s">
        <v>118</v>
      </c>
      <c r="E7196" s="13" t="s">
        <v>12915</v>
      </c>
      <c r="F7196" s="43">
        <v>58.41</v>
      </c>
    </row>
    <row r="7197" spans="2:6" x14ac:dyDescent="0.25">
      <c r="B7197" s="13" t="s">
        <v>12916</v>
      </c>
      <c r="C7197" s="17" t="s">
        <v>170</v>
      </c>
      <c r="D7197" s="13" t="s">
        <v>118</v>
      </c>
      <c r="E7197" s="13" t="s">
        <v>12917</v>
      </c>
      <c r="F7197" s="43">
        <v>58.41</v>
      </c>
    </row>
    <row r="7198" spans="2:6" x14ac:dyDescent="0.25">
      <c r="B7198" s="13" t="s">
        <v>12918</v>
      </c>
      <c r="C7198" s="17" t="s">
        <v>170</v>
      </c>
      <c r="D7198" s="13" t="s">
        <v>118</v>
      </c>
      <c r="E7198" s="13" t="s">
        <v>12919</v>
      </c>
      <c r="F7198" s="43">
        <v>73.099999999999994</v>
      </c>
    </row>
    <row r="7199" spans="2:6" x14ac:dyDescent="0.25">
      <c r="B7199" s="13" t="s">
        <v>12920</v>
      </c>
      <c r="C7199" s="17" t="s">
        <v>170</v>
      </c>
      <c r="D7199" s="13" t="s">
        <v>118</v>
      </c>
      <c r="E7199" s="13" t="s">
        <v>12921</v>
      </c>
      <c r="F7199" s="43">
        <v>58.41</v>
      </c>
    </row>
    <row r="7200" spans="2:6" x14ac:dyDescent="0.25">
      <c r="B7200" s="13" t="s">
        <v>12922</v>
      </c>
      <c r="C7200" s="17" t="s">
        <v>170</v>
      </c>
      <c r="D7200" s="13" t="s">
        <v>118</v>
      </c>
      <c r="E7200" s="13" t="s">
        <v>12923</v>
      </c>
      <c r="F7200" s="43">
        <v>58.41</v>
      </c>
    </row>
    <row r="7201" spans="2:6" x14ac:dyDescent="0.25">
      <c r="B7201" s="13" t="s">
        <v>12924</v>
      </c>
      <c r="C7201" s="17" t="s">
        <v>170</v>
      </c>
      <c r="D7201" s="13" t="s">
        <v>118</v>
      </c>
      <c r="E7201" s="13" t="s">
        <v>12925</v>
      </c>
      <c r="F7201" s="43">
        <v>58.41</v>
      </c>
    </row>
    <row r="7202" spans="2:6" x14ac:dyDescent="0.25">
      <c r="B7202" s="13" t="s">
        <v>12926</v>
      </c>
      <c r="C7202" s="17" t="s">
        <v>170</v>
      </c>
      <c r="D7202" s="13" t="s">
        <v>118</v>
      </c>
      <c r="E7202" s="13" t="s">
        <v>12927</v>
      </c>
      <c r="F7202" s="43">
        <v>58.41</v>
      </c>
    </row>
    <row r="7203" spans="2:6" x14ac:dyDescent="0.25">
      <c r="B7203" s="13" t="s">
        <v>12928</v>
      </c>
      <c r="C7203" s="17" t="s">
        <v>170</v>
      </c>
      <c r="D7203" s="13" t="s">
        <v>118</v>
      </c>
      <c r="E7203" s="13" t="s">
        <v>12929</v>
      </c>
      <c r="F7203" s="43">
        <v>58.41</v>
      </c>
    </row>
    <row r="7204" spans="2:6" x14ac:dyDescent="0.25">
      <c r="B7204" s="13" t="s">
        <v>12930</v>
      </c>
      <c r="C7204" s="17" t="s">
        <v>170</v>
      </c>
      <c r="D7204" s="13" t="s">
        <v>118</v>
      </c>
      <c r="E7204" s="13" t="s">
        <v>12931</v>
      </c>
      <c r="F7204" s="43">
        <v>58.41</v>
      </c>
    </row>
    <row r="7205" spans="2:6" x14ac:dyDescent="0.25">
      <c r="B7205" s="13" t="s">
        <v>12932</v>
      </c>
      <c r="C7205" s="17" t="s">
        <v>170</v>
      </c>
      <c r="D7205" s="13" t="s">
        <v>118</v>
      </c>
      <c r="E7205" s="13" t="s">
        <v>12933</v>
      </c>
      <c r="F7205" s="43">
        <v>73.099999999999994</v>
      </c>
    </row>
    <row r="7206" spans="2:6" x14ac:dyDescent="0.25">
      <c r="B7206" s="13" t="s">
        <v>12934</v>
      </c>
      <c r="C7206" s="17" t="s">
        <v>170</v>
      </c>
      <c r="D7206" s="13" t="s">
        <v>118</v>
      </c>
      <c r="E7206" s="13" t="s">
        <v>12935</v>
      </c>
      <c r="F7206" s="43">
        <v>73.099999999999994</v>
      </c>
    </row>
    <row r="7207" spans="2:6" x14ac:dyDescent="0.25">
      <c r="B7207" s="13" t="s">
        <v>12936</v>
      </c>
      <c r="C7207" s="17" t="s">
        <v>170</v>
      </c>
      <c r="D7207" s="13" t="s">
        <v>118</v>
      </c>
      <c r="E7207" s="13" t="s">
        <v>12937</v>
      </c>
      <c r="F7207" s="43">
        <v>73.099999999999994</v>
      </c>
    </row>
    <row r="7208" spans="2:6" x14ac:dyDescent="0.25">
      <c r="B7208" s="13" t="s">
        <v>12938</v>
      </c>
      <c r="C7208" s="17" t="s">
        <v>170</v>
      </c>
      <c r="D7208" s="13" t="s">
        <v>118</v>
      </c>
      <c r="E7208" s="13" t="s">
        <v>12939</v>
      </c>
      <c r="F7208" s="43">
        <v>73.099999999999994</v>
      </c>
    </row>
    <row r="7209" spans="2:6" x14ac:dyDescent="0.25">
      <c r="B7209" s="13" t="s">
        <v>12940</v>
      </c>
      <c r="C7209" s="17" t="s">
        <v>170</v>
      </c>
      <c r="D7209" s="13" t="s">
        <v>118</v>
      </c>
      <c r="E7209" s="13" t="s">
        <v>12941</v>
      </c>
      <c r="F7209" s="43">
        <v>58.41</v>
      </c>
    </row>
    <row r="7210" spans="2:6" x14ac:dyDescent="0.25">
      <c r="B7210" s="13" t="s">
        <v>12942</v>
      </c>
      <c r="C7210" s="17" t="s">
        <v>170</v>
      </c>
      <c r="D7210" s="13" t="s">
        <v>118</v>
      </c>
      <c r="E7210" s="13" t="s">
        <v>12943</v>
      </c>
      <c r="F7210" s="43">
        <v>58.41</v>
      </c>
    </row>
    <row r="7211" spans="2:6" x14ac:dyDescent="0.25">
      <c r="B7211" s="13" t="s">
        <v>12944</v>
      </c>
      <c r="C7211" s="17" t="s">
        <v>170</v>
      </c>
      <c r="D7211" s="13" t="s">
        <v>118</v>
      </c>
      <c r="E7211" s="13" t="s">
        <v>12945</v>
      </c>
      <c r="F7211" s="43">
        <v>73.099999999999994</v>
      </c>
    </row>
    <row r="7212" spans="2:6" x14ac:dyDescent="0.25">
      <c r="B7212" s="13" t="s">
        <v>12946</v>
      </c>
      <c r="C7212" s="17" t="s">
        <v>170</v>
      </c>
      <c r="D7212" s="13" t="s">
        <v>118</v>
      </c>
      <c r="E7212" s="13" t="s">
        <v>12947</v>
      </c>
      <c r="F7212" s="43">
        <v>58.41</v>
      </c>
    </row>
    <row r="7213" spans="2:6" x14ac:dyDescent="0.25">
      <c r="B7213" s="13" t="s">
        <v>12948</v>
      </c>
      <c r="C7213" s="17" t="s">
        <v>170</v>
      </c>
      <c r="D7213" s="13" t="s">
        <v>118</v>
      </c>
      <c r="E7213" s="13" t="s">
        <v>12949</v>
      </c>
      <c r="F7213" s="43">
        <v>73.099999999999994</v>
      </c>
    </row>
    <row r="7214" spans="2:6" x14ac:dyDescent="0.25">
      <c r="B7214" s="13" t="s">
        <v>12950</v>
      </c>
      <c r="C7214" s="17" t="s">
        <v>170</v>
      </c>
      <c r="D7214" s="13" t="s">
        <v>118</v>
      </c>
      <c r="E7214" s="13" t="s">
        <v>12951</v>
      </c>
      <c r="F7214" s="43">
        <v>73.099999999999994</v>
      </c>
    </row>
    <row r="7215" spans="2:6" x14ac:dyDescent="0.25">
      <c r="B7215" s="13" t="s">
        <v>12952</v>
      </c>
      <c r="C7215" s="17" t="s">
        <v>170</v>
      </c>
      <c r="D7215" s="13" t="s">
        <v>118</v>
      </c>
      <c r="E7215" s="13" t="s">
        <v>12953</v>
      </c>
      <c r="F7215" s="43">
        <v>73.099999999999994</v>
      </c>
    </row>
    <row r="7216" spans="2:6" x14ac:dyDescent="0.25">
      <c r="B7216" s="13" t="s">
        <v>12954</v>
      </c>
      <c r="C7216" s="17" t="s">
        <v>170</v>
      </c>
      <c r="D7216" s="13" t="s">
        <v>118</v>
      </c>
      <c r="E7216" s="13" t="s">
        <v>12955</v>
      </c>
      <c r="F7216" s="43">
        <v>58.41</v>
      </c>
    </row>
    <row r="7217" spans="2:6" x14ac:dyDescent="0.25">
      <c r="B7217" s="13" t="s">
        <v>12956</v>
      </c>
      <c r="C7217" s="17" t="s">
        <v>170</v>
      </c>
      <c r="D7217" s="13" t="s">
        <v>118</v>
      </c>
      <c r="E7217" s="13" t="s">
        <v>12957</v>
      </c>
      <c r="F7217" s="43">
        <v>58.41</v>
      </c>
    </row>
    <row r="7218" spans="2:6" x14ac:dyDescent="0.25">
      <c r="B7218" s="13" t="s">
        <v>12958</v>
      </c>
      <c r="C7218" s="17" t="s">
        <v>170</v>
      </c>
      <c r="D7218" s="13" t="s">
        <v>118</v>
      </c>
      <c r="E7218" s="13" t="s">
        <v>12959</v>
      </c>
      <c r="F7218" s="43">
        <v>58.41</v>
      </c>
    </row>
    <row r="7219" spans="2:6" x14ac:dyDescent="0.25">
      <c r="B7219" s="13" t="s">
        <v>12960</v>
      </c>
      <c r="C7219" s="17" t="s">
        <v>170</v>
      </c>
      <c r="D7219" s="13" t="s">
        <v>118</v>
      </c>
      <c r="E7219" s="13" t="s">
        <v>12961</v>
      </c>
      <c r="F7219" s="43">
        <v>58.41</v>
      </c>
    </row>
    <row r="7220" spans="2:6" x14ac:dyDescent="0.25">
      <c r="B7220" s="13" t="s">
        <v>12962</v>
      </c>
      <c r="C7220" s="17" t="s">
        <v>170</v>
      </c>
      <c r="D7220" s="13" t="s">
        <v>118</v>
      </c>
      <c r="E7220" s="13" t="s">
        <v>12963</v>
      </c>
      <c r="F7220" s="43">
        <v>73.099999999999994</v>
      </c>
    </row>
    <row r="7221" spans="2:6" x14ac:dyDescent="0.25">
      <c r="B7221" s="13" t="s">
        <v>12964</v>
      </c>
      <c r="C7221" s="17" t="s">
        <v>170</v>
      </c>
      <c r="D7221" s="13" t="s">
        <v>118</v>
      </c>
      <c r="E7221" s="13" t="s">
        <v>12965</v>
      </c>
      <c r="F7221" s="43">
        <v>58.41</v>
      </c>
    </row>
    <row r="7222" spans="2:6" x14ac:dyDescent="0.25">
      <c r="B7222" s="13" t="s">
        <v>12966</v>
      </c>
      <c r="C7222" s="17" t="s">
        <v>170</v>
      </c>
      <c r="D7222" s="13" t="s">
        <v>118</v>
      </c>
      <c r="E7222" s="13" t="s">
        <v>12967</v>
      </c>
      <c r="F7222" s="43">
        <v>58.41</v>
      </c>
    </row>
    <row r="7223" spans="2:6" x14ac:dyDescent="0.25">
      <c r="B7223" s="13" t="s">
        <v>12968</v>
      </c>
      <c r="C7223" s="17" t="s">
        <v>170</v>
      </c>
      <c r="D7223" s="13" t="s">
        <v>118</v>
      </c>
      <c r="E7223" s="13" t="s">
        <v>12969</v>
      </c>
      <c r="F7223" s="43">
        <v>58.41</v>
      </c>
    </row>
    <row r="7224" spans="2:6" x14ac:dyDescent="0.25">
      <c r="B7224" s="13" t="s">
        <v>12970</v>
      </c>
      <c r="C7224" s="17" t="s">
        <v>170</v>
      </c>
      <c r="D7224" s="13" t="s">
        <v>118</v>
      </c>
      <c r="E7224" s="13" t="s">
        <v>12971</v>
      </c>
      <c r="F7224" s="43">
        <v>73.099999999999994</v>
      </c>
    </row>
    <row r="7225" spans="2:6" x14ac:dyDescent="0.25">
      <c r="B7225" s="13" t="s">
        <v>12972</v>
      </c>
      <c r="C7225" s="17" t="s">
        <v>170</v>
      </c>
      <c r="D7225" s="13" t="s">
        <v>118</v>
      </c>
      <c r="E7225" s="13" t="s">
        <v>12973</v>
      </c>
      <c r="F7225" s="43">
        <v>58.41</v>
      </c>
    </row>
    <row r="7226" spans="2:6" x14ac:dyDescent="0.25">
      <c r="B7226" s="13" t="s">
        <v>12974</v>
      </c>
      <c r="C7226" s="17" t="s">
        <v>170</v>
      </c>
      <c r="D7226" s="13" t="s">
        <v>118</v>
      </c>
      <c r="E7226" s="13" t="s">
        <v>12975</v>
      </c>
      <c r="F7226" s="43">
        <v>58.41</v>
      </c>
    </row>
    <row r="7227" spans="2:6" x14ac:dyDescent="0.25">
      <c r="B7227" s="13" t="s">
        <v>12976</v>
      </c>
      <c r="C7227" s="17" t="s">
        <v>170</v>
      </c>
      <c r="D7227" s="13" t="s">
        <v>118</v>
      </c>
      <c r="E7227" s="13" t="s">
        <v>12977</v>
      </c>
      <c r="F7227" s="43">
        <v>58.41</v>
      </c>
    </row>
    <row r="7228" spans="2:6" x14ac:dyDescent="0.25">
      <c r="B7228" s="13" t="s">
        <v>12978</v>
      </c>
      <c r="C7228" s="17" t="s">
        <v>170</v>
      </c>
      <c r="D7228" s="13" t="s">
        <v>118</v>
      </c>
      <c r="E7228" s="13" t="s">
        <v>12979</v>
      </c>
      <c r="F7228" s="43">
        <v>81.819999999999993</v>
      </c>
    </row>
    <row r="7229" spans="2:6" x14ac:dyDescent="0.25">
      <c r="B7229" s="13" t="s">
        <v>12980</v>
      </c>
      <c r="C7229" s="17" t="s">
        <v>170</v>
      </c>
      <c r="D7229" s="13" t="s">
        <v>118</v>
      </c>
      <c r="E7229" s="13" t="s">
        <v>12981</v>
      </c>
      <c r="F7229" s="43">
        <v>81.819999999999993</v>
      </c>
    </row>
    <row r="7230" spans="2:6" x14ac:dyDescent="0.25">
      <c r="B7230" s="13" t="s">
        <v>12982</v>
      </c>
      <c r="C7230" s="17" t="s">
        <v>170</v>
      </c>
      <c r="D7230" s="13" t="s">
        <v>118</v>
      </c>
      <c r="E7230" s="13" t="s">
        <v>12983</v>
      </c>
      <c r="F7230" s="43">
        <v>81.819999999999993</v>
      </c>
    </row>
    <row r="7231" spans="2:6" x14ac:dyDescent="0.25">
      <c r="B7231" s="13" t="s">
        <v>12984</v>
      </c>
      <c r="C7231" s="17" t="s">
        <v>170</v>
      </c>
      <c r="D7231" s="13" t="s">
        <v>118</v>
      </c>
      <c r="E7231" s="13" t="s">
        <v>12985</v>
      </c>
      <c r="F7231" s="43">
        <v>81.819999999999993</v>
      </c>
    </row>
    <row r="7232" spans="2:6" x14ac:dyDescent="0.25">
      <c r="B7232" s="13" t="s">
        <v>12986</v>
      </c>
      <c r="C7232" s="17" t="s">
        <v>170</v>
      </c>
      <c r="D7232" s="13" t="s">
        <v>118</v>
      </c>
      <c r="E7232" s="13" t="s">
        <v>12987</v>
      </c>
      <c r="F7232" s="43">
        <v>114.87</v>
      </c>
    </row>
    <row r="7233" spans="2:6" x14ac:dyDescent="0.25">
      <c r="B7233" s="13" t="s">
        <v>12988</v>
      </c>
      <c r="C7233" s="17" t="s">
        <v>170</v>
      </c>
      <c r="D7233" s="13" t="s">
        <v>118</v>
      </c>
      <c r="E7233" s="13" t="s">
        <v>12989</v>
      </c>
      <c r="F7233" s="43">
        <v>58.45</v>
      </c>
    </row>
    <row r="7234" spans="2:6" x14ac:dyDescent="0.25">
      <c r="B7234" s="13" t="s">
        <v>12990</v>
      </c>
      <c r="C7234" s="17" t="s">
        <v>170</v>
      </c>
      <c r="D7234" s="13" t="s">
        <v>118</v>
      </c>
      <c r="E7234" s="13" t="s">
        <v>12991</v>
      </c>
      <c r="F7234" s="43">
        <v>58.45</v>
      </c>
    </row>
    <row r="7235" spans="2:6" x14ac:dyDescent="0.25">
      <c r="B7235" s="13" t="s">
        <v>12992</v>
      </c>
      <c r="C7235" s="17" t="s">
        <v>170</v>
      </c>
      <c r="D7235" s="13" t="s">
        <v>118</v>
      </c>
      <c r="E7235" s="13" t="s">
        <v>12993</v>
      </c>
      <c r="F7235" s="43">
        <v>58.45</v>
      </c>
    </row>
    <row r="7236" spans="2:6" x14ac:dyDescent="0.25">
      <c r="B7236" s="13" t="s">
        <v>12994</v>
      </c>
      <c r="C7236" s="17" t="s">
        <v>170</v>
      </c>
      <c r="D7236" s="13" t="s">
        <v>118</v>
      </c>
      <c r="E7236" s="13" t="s">
        <v>12995</v>
      </c>
      <c r="F7236" s="43">
        <v>58.45</v>
      </c>
    </row>
    <row r="7237" spans="2:6" x14ac:dyDescent="0.25">
      <c r="B7237" s="13" t="s">
        <v>12996</v>
      </c>
      <c r="C7237" s="17" t="s">
        <v>170</v>
      </c>
      <c r="D7237" s="13" t="s">
        <v>118</v>
      </c>
      <c r="E7237" s="13" t="s">
        <v>12997</v>
      </c>
      <c r="F7237" s="43">
        <v>58.45</v>
      </c>
    </row>
    <row r="7238" spans="2:6" x14ac:dyDescent="0.25">
      <c r="B7238" s="13" t="s">
        <v>12998</v>
      </c>
      <c r="C7238" s="17" t="s">
        <v>170</v>
      </c>
      <c r="D7238" s="13" t="s">
        <v>118</v>
      </c>
      <c r="E7238" s="13" t="s">
        <v>12999</v>
      </c>
      <c r="F7238" s="43">
        <v>73.14</v>
      </c>
    </row>
    <row r="7239" spans="2:6" x14ac:dyDescent="0.25">
      <c r="B7239" s="13" t="s">
        <v>13000</v>
      </c>
      <c r="C7239" s="17" t="s">
        <v>170</v>
      </c>
      <c r="D7239" s="13" t="s">
        <v>118</v>
      </c>
      <c r="E7239" s="13" t="s">
        <v>13001</v>
      </c>
      <c r="F7239" s="43">
        <v>58.45</v>
      </c>
    </row>
    <row r="7240" spans="2:6" x14ac:dyDescent="0.25">
      <c r="B7240" s="13" t="s">
        <v>13002</v>
      </c>
      <c r="C7240" s="17" t="s">
        <v>170</v>
      </c>
      <c r="D7240" s="13" t="s">
        <v>118</v>
      </c>
      <c r="E7240" s="13" t="s">
        <v>13003</v>
      </c>
      <c r="F7240" s="43">
        <v>58.45</v>
      </c>
    </row>
    <row r="7241" spans="2:6" x14ac:dyDescent="0.25">
      <c r="B7241" s="13" t="s">
        <v>13004</v>
      </c>
      <c r="C7241" s="17" t="s">
        <v>170</v>
      </c>
      <c r="D7241" s="13" t="s">
        <v>118</v>
      </c>
      <c r="E7241" s="13" t="s">
        <v>13005</v>
      </c>
      <c r="F7241" s="43">
        <v>58.45</v>
      </c>
    </row>
    <row r="7242" spans="2:6" x14ac:dyDescent="0.25">
      <c r="B7242" s="13" t="s">
        <v>13006</v>
      </c>
      <c r="C7242" s="17" t="s">
        <v>170</v>
      </c>
      <c r="D7242" s="13" t="s">
        <v>118</v>
      </c>
      <c r="E7242" s="13" t="s">
        <v>13007</v>
      </c>
      <c r="F7242" s="43">
        <v>73.14</v>
      </c>
    </row>
    <row r="7243" spans="2:6" x14ac:dyDescent="0.25">
      <c r="B7243" s="13" t="s">
        <v>13008</v>
      </c>
      <c r="C7243" s="17" t="s">
        <v>170</v>
      </c>
      <c r="D7243" s="13" t="s">
        <v>118</v>
      </c>
      <c r="E7243" s="13" t="s">
        <v>13009</v>
      </c>
      <c r="F7243" s="43">
        <v>58.45</v>
      </c>
    </row>
    <row r="7244" spans="2:6" x14ac:dyDescent="0.25">
      <c r="B7244" s="13" t="s">
        <v>13010</v>
      </c>
      <c r="C7244" s="17" t="s">
        <v>170</v>
      </c>
      <c r="D7244" s="13" t="s">
        <v>118</v>
      </c>
      <c r="E7244" s="13" t="s">
        <v>13011</v>
      </c>
      <c r="F7244" s="43">
        <v>58.45</v>
      </c>
    </row>
    <row r="7245" spans="2:6" x14ac:dyDescent="0.25">
      <c r="B7245" s="13" t="s">
        <v>13012</v>
      </c>
      <c r="C7245" s="17" t="s">
        <v>170</v>
      </c>
      <c r="D7245" s="13" t="s">
        <v>118</v>
      </c>
      <c r="E7245" s="13" t="s">
        <v>13013</v>
      </c>
      <c r="F7245" s="43">
        <v>58.45</v>
      </c>
    </row>
    <row r="7246" spans="2:6" x14ac:dyDescent="0.25">
      <c r="B7246" s="13" t="s">
        <v>13014</v>
      </c>
      <c r="C7246" s="17" t="s">
        <v>170</v>
      </c>
      <c r="D7246" s="13" t="s">
        <v>118</v>
      </c>
      <c r="E7246" s="13" t="s">
        <v>13015</v>
      </c>
      <c r="F7246" s="43">
        <v>58.45</v>
      </c>
    </row>
    <row r="7247" spans="2:6" x14ac:dyDescent="0.25">
      <c r="B7247" s="13" t="s">
        <v>13016</v>
      </c>
      <c r="C7247" s="17" t="s">
        <v>170</v>
      </c>
      <c r="D7247" s="13" t="s">
        <v>118</v>
      </c>
      <c r="E7247" s="13" t="s">
        <v>13017</v>
      </c>
      <c r="F7247" s="43">
        <v>58.45</v>
      </c>
    </row>
    <row r="7248" spans="2:6" x14ac:dyDescent="0.25">
      <c r="B7248" s="13" t="s">
        <v>13018</v>
      </c>
      <c r="C7248" s="17" t="s">
        <v>170</v>
      </c>
      <c r="D7248" s="13" t="s">
        <v>118</v>
      </c>
      <c r="E7248" s="13" t="s">
        <v>13019</v>
      </c>
      <c r="F7248" s="43">
        <v>73.14</v>
      </c>
    </row>
    <row r="7249" spans="2:6" x14ac:dyDescent="0.25">
      <c r="B7249" s="13" t="s">
        <v>13020</v>
      </c>
      <c r="C7249" s="17" t="s">
        <v>170</v>
      </c>
      <c r="D7249" s="13" t="s">
        <v>118</v>
      </c>
      <c r="E7249" s="13" t="s">
        <v>13021</v>
      </c>
      <c r="F7249" s="43">
        <v>73.14</v>
      </c>
    </row>
    <row r="7250" spans="2:6" x14ac:dyDescent="0.25">
      <c r="B7250" s="13" t="s">
        <v>13022</v>
      </c>
      <c r="C7250" s="17" t="s">
        <v>170</v>
      </c>
      <c r="D7250" s="13" t="s">
        <v>118</v>
      </c>
      <c r="E7250" s="13" t="s">
        <v>13023</v>
      </c>
      <c r="F7250" s="43">
        <v>58.45</v>
      </c>
    </row>
    <row r="7251" spans="2:6" x14ac:dyDescent="0.25">
      <c r="B7251" s="13" t="s">
        <v>13024</v>
      </c>
      <c r="C7251" s="17" t="s">
        <v>170</v>
      </c>
      <c r="D7251" s="13" t="s">
        <v>118</v>
      </c>
      <c r="E7251" s="13" t="s">
        <v>13025</v>
      </c>
      <c r="F7251" s="43">
        <v>58.45</v>
      </c>
    </row>
    <row r="7252" spans="2:6" x14ac:dyDescent="0.25">
      <c r="B7252" s="13" t="s">
        <v>13026</v>
      </c>
      <c r="C7252" s="17" t="s">
        <v>170</v>
      </c>
      <c r="D7252" s="13" t="s">
        <v>118</v>
      </c>
      <c r="E7252" s="13" t="s">
        <v>13027</v>
      </c>
      <c r="F7252" s="43">
        <v>73.14</v>
      </c>
    </row>
    <row r="7253" spans="2:6" x14ac:dyDescent="0.25">
      <c r="B7253" s="13" t="s">
        <v>13028</v>
      </c>
      <c r="C7253" s="17" t="s">
        <v>170</v>
      </c>
      <c r="D7253" s="13" t="s">
        <v>118</v>
      </c>
      <c r="E7253" s="13" t="s">
        <v>13029</v>
      </c>
      <c r="F7253" s="43">
        <v>58.45</v>
      </c>
    </row>
    <row r="7254" spans="2:6" x14ac:dyDescent="0.25">
      <c r="B7254" s="13" t="s">
        <v>13030</v>
      </c>
      <c r="C7254" s="17" t="s">
        <v>170</v>
      </c>
      <c r="D7254" s="13" t="s">
        <v>118</v>
      </c>
      <c r="E7254" s="13" t="s">
        <v>13031</v>
      </c>
      <c r="F7254" s="43">
        <v>58.45</v>
      </c>
    </row>
    <row r="7255" spans="2:6" x14ac:dyDescent="0.25">
      <c r="B7255" s="13" t="s">
        <v>13032</v>
      </c>
      <c r="C7255" s="17" t="s">
        <v>170</v>
      </c>
      <c r="D7255" s="13" t="s">
        <v>118</v>
      </c>
      <c r="E7255" s="13" t="s">
        <v>13033</v>
      </c>
      <c r="F7255" s="43">
        <v>73.14</v>
      </c>
    </row>
    <row r="7256" spans="2:6" x14ac:dyDescent="0.25">
      <c r="B7256" s="13" t="s">
        <v>13034</v>
      </c>
      <c r="C7256" s="17" t="s">
        <v>170</v>
      </c>
      <c r="D7256" s="13" t="s">
        <v>118</v>
      </c>
      <c r="E7256" s="13" t="s">
        <v>13035</v>
      </c>
      <c r="F7256" s="43">
        <v>73.14</v>
      </c>
    </row>
    <row r="7257" spans="2:6" x14ac:dyDescent="0.25">
      <c r="B7257" s="13" t="s">
        <v>13036</v>
      </c>
      <c r="C7257" s="17" t="s">
        <v>170</v>
      </c>
      <c r="D7257" s="13" t="s">
        <v>118</v>
      </c>
      <c r="E7257" s="13" t="s">
        <v>13037</v>
      </c>
      <c r="F7257" s="43">
        <v>58.45</v>
      </c>
    </row>
    <row r="7258" spans="2:6" x14ac:dyDescent="0.25">
      <c r="B7258" s="13" t="s">
        <v>13038</v>
      </c>
      <c r="C7258" s="17" t="s">
        <v>170</v>
      </c>
      <c r="D7258" s="13" t="s">
        <v>118</v>
      </c>
      <c r="E7258" s="13" t="s">
        <v>13039</v>
      </c>
      <c r="F7258" s="43">
        <v>58.45</v>
      </c>
    </row>
    <row r="7259" spans="2:6" x14ac:dyDescent="0.25">
      <c r="B7259" s="13" t="s">
        <v>13040</v>
      </c>
      <c r="C7259" s="17" t="s">
        <v>170</v>
      </c>
      <c r="D7259" s="13" t="s">
        <v>118</v>
      </c>
      <c r="E7259" s="13" t="s">
        <v>13041</v>
      </c>
      <c r="F7259" s="43">
        <v>73.14</v>
      </c>
    </row>
    <row r="7260" spans="2:6" x14ac:dyDescent="0.25">
      <c r="B7260" s="13" t="s">
        <v>13042</v>
      </c>
      <c r="C7260" s="17" t="s">
        <v>170</v>
      </c>
      <c r="D7260" s="13" t="s">
        <v>118</v>
      </c>
      <c r="E7260" s="13" t="s">
        <v>13043</v>
      </c>
      <c r="F7260" s="43">
        <v>58.45</v>
      </c>
    </row>
    <row r="7261" spans="2:6" x14ac:dyDescent="0.25">
      <c r="B7261" s="13" t="s">
        <v>13044</v>
      </c>
      <c r="C7261" s="17" t="s">
        <v>170</v>
      </c>
      <c r="D7261" s="13" t="s">
        <v>118</v>
      </c>
      <c r="E7261" s="13" t="s">
        <v>13045</v>
      </c>
      <c r="F7261" s="43">
        <v>58.45</v>
      </c>
    </row>
    <row r="7262" spans="2:6" x14ac:dyDescent="0.25">
      <c r="B7262" s="13" t="s">
        <v>13046</v>
      </c>
      <c r="C7262" s="17" t="s">
        <v>170</v>
      </c>
      <c r="D7262" s="13" t="s">
        <v>118</v>
      </c>
      <c r="E7262" s="13" t="s">
        <v>13047</v>
      </c>
      <c r="F7262" s="43">
        <v>58.45</v>
      </c>
    </row>
    <row r="7263" spans="2:6" x14ac:dyDescent="0.25">
      <c r="B7263" s="13" t="s">
        <v>13048</v>
      </c>
      <c r="C7263" s="17" t="s">
        <v>170</v>
      </c>
      <c r="D7263" s="13" t="s">
        <v>118</v>
      </c>
      <c r="E7263" s="13" t="s">
        <v>13049</v>
      </c>
      <c r="F7263" s="43">
        <v>58.45</v>
      </c>
    </row>
    <row r="7264" spans="2:6" x14ac:dyDescent="0.25">
      <c r="B7264" s="13" t="s">
        <v>13050</v>
      </c>
      <c r="C7264" s="17" t="s">
        <v>170</v>
      </c>
      <c r="D7264" s="13" t="s">
        <v>118</v>
      </c>
      <c r="E7264" s="13" t="s">
        <v>13051</v>
      </c>
      <c r="F7264" s="43">
        <v>73.14</v>
      </c>
    </row>
    <row r="7265" spans="2:6" x14ac:dyDescent="0.25">
      <c r="B7265" s="13" t="s">
        <v>13052</v>
      </c>
      <c r="C7265" s="17" t="s">
        <v>170</v>
      </c>
      <c r="D7265" s="13" t="s">
        <v>118</v>
      </c>
      <c r="E7265" s="13" t="s">
        <v>13053</v>
      </c>
      <c r="F7265" s="43">
        <v>58.45</v>
      </c>
    </row>
    <row r="7266" spans="2:6" x14ac:dyDescent="0.25">
      <c r="B7266" s="13" t="s">
        <v>13054</v>
      </c>
      <c r="C7266" s="17" t="s">
        <v>170</v>
      </c>
      <c r="D7266" s="13" t="s">
        <v>118</v>
      </c>
      <c r="E7266" s="13" t="s">
        <v>13055</v>
      </c>
      <c r="F7266" s="43">
        <v>58.45</v>
      </c>
    </row>
    <row r="7267" spans="2:6" x14ac:dyDescent="0.25">
      <c r="B7267" s="13" t="s">
        <v>13056</v>
      </c>
      <c r="C7267" s="17" t="s">
        <v>170</v>
      </c>
      <c r="D7267" s="13" t="s">
        <v>118</v>
      </c>
      <c r="E7267" s="13" t="s">
        <v>13057</v>
      </c>
      <c r="F7267" s="43">
        <v>73.14</v>
      </c>
    </row>
    <row r="7268" spans="2:6" x14ac:dyDescent="0.25">
      <c r="B7268" s="13" t="s">
        <v>13058</v>
      </c>
      <c r="C7268" s="17" t="s">
        <v>170</v>
      </c>
      <c r="D7268" s="13" t="s">
        <v>118</v>
      </c>
      <c r="E7268" s="13" t="s">
        <v>13059</v>
      </c>
      <c r="F7268" s="43">
        <v>58.45</v>
      </c>
    </row>
    <row r="7269" spans="2:6" x14ac:dyDescent="0.25">
      <c r="B7269" s="13" t="s">
        <v>13060</v>
      </c>
      <c r="C7269" s="17" t="s">
        <v>170</v>
      </c>
      <c r="D7269" s="13" t="s">
        <v>118</v>
      </c>
      <c r="E7269" s="13" t="s">
        <v>13061</v>
      </c>
      <c r="F7269" s="43">
        <v>58.45</v>
      </c>
    </row>
    <row r="7270" spans="2:6" x14ac:dyDescent="0.25">
      <c r="B7270" s="13" t="s">
        <v>13062</v>
      </c>
      <c r="C7270" s="17" t="s">
        <v>170</v>
      </c>
      <c r="D7270" s="13" t="s">
        <v>118</v>
      </c>
      <c r="E7270" s="13" t="s">
        <v>13063</v>
      </c>
      <c r="F7270" s="43">
        <v>58.45</v>
      </c>
    </row>
    <row r="7271" spans="2:6" x14ac:dyDescent="0.25">
      <c r="B7271" s="13" t="s">
        <v>13064</v>
      </c>
      <c r="C7271" s="17" t="s">
        <v>170</v>
      </c>
      <c r="D7271" s="13" t="s">
        <v>118</v>
      </c>
      <c r="E7271" s="13" t="s">
        <v>13065</v>
      </c>
      <c r="F7271" s="43">
        <v>58.45</v>
      </c>
    </row>
    <row r="7272" spans="2:6" x14ac:dyDescent="0.25">
      <c r="B7272" s="13" t="s">
        <v>13066</v>
      </c>
      <c r="C7272" s="17" t="s">
        <v>170</v>
      </c>
      <c r="D7272" s="13" t="s">
        <v>118</v>
      </c>
      <c r="E7272" s="13" t="s">
        <v>13067</v>
      </c>
      <c r="F7272" s="43">
        <v>73.14</v>
      </c>
    </row>
    <row r="7273" spans="2:6" x14ac:dyDescent="0.25">
      <c r="B7273" s="13" t="s">
        <v>13068</v>
      </c>
      <c r="C7273" s="17" t="s">
        <v>170</v>
      </c>
      <c r="D7273" s="13" t="s">
        <v>118</v>
      </c>
      <c r="E7273" s="13" t="s">
        <v>13069</v>
      </c>
      <c r="F7273" s="43">
        <v>58.45</v>
      </c>
    </row>
    <row r="7274" spans="2:6" x14ac:dyDescent="0.25">
      <c r="B7274" s="13" t="s">
        <v>13070</v>
      </c>
      <c r="C7274" s="17" t="s">
        <v>170</v>
      </c>
      <c r="D7274" s="13" t="s">
        <v>118</v>
      </c>
      <c r="E7274" s="13" t="s">
        <v>13071</v>
      </c>
      <c r="F7274" s="43">
        <v>58.45</v>
      </c>
    </row>
    <row r="7275" spans="2:6" x14ac:dyDescent="0.25">
      <c r="B7275" s="13" t="s">
        <v>13072</v>
      </c>
      <c r="C7275" s="17" t="s">
        <v>170</v>
      </c>
      <c r="D7275" s="13" t="s">
        <v>118</v>
      </c>
      <c r="E7275" s="13" t="s">
        <v>13073</v>
      </c>
      <c r="F7275" s="43">
        <v>73.14</v>
      </c>
    </row>
    <row r="7276" spans="2:6" x14ac:dyDescent="0.25">
      <c r="B7276" s="13" t="s">
        <v>13074</v>
      </c>
      <c r="C7276" s="17" t="s">
        <v>170</v>
      </c>
      <c r="D7276" s="13" t="s">
        <v>118</v>
      </c>
      <c r="E7276" s="13" t="s">
        <v>13075</v>
      </c>
      <c r="F7276" s="43">
        <v>58.45</v>
      </c>
    </row>
    <row r="7277" spans="2:6" x14ac:dyDescent="0.25">
      <c r="B7277" s="13" t="s">
        <v>13076</v>
      </c>
      <c r="C7277" s="17" t="s">
        <v>170</v>
      </c>
      <c r="D7277" s="13" t="s">
        <v>118</v>
      </c>
      <c r="E7277" s="13" t="s">
        <v>13077</v>
      </c>
      <c r="F7277" s="43">
        <v>58.45</v>
      </c>
    </row>
    <row r="7278" spans="2:6" x14ac:dyDescent="0.25">
      <c r="B7278" s="13" t="s">
        <v>13078</v>
      </c>
      <c r="C7278" s="17" t="s">
        <v>170</v>
      </c>
      <c r="D7278" s="13" t="s">
        <v>118</v>
      </c>
      <c r="E7278" s="13" t="s">
        <v>13079</v>
      </c>
      <c r="F7278" s="43">
        <v>73.14</v>
      </c>
    </row>
    <row r="7279" spans="2:6" x14ac:dyDescent="0.25">
      <c r="B7279" s="13" t="s">
        <v>13080</v>
      </c>
      <c r="C7279" s="17" t="s">
        <v>170</v>
      </c>
      <c r="D7279" s="13" t="s">
        <v>118</v>
      </c>
      <c r="E7279" s="13" t="s">
        <v>13081</v>
      </c>
      <c r="F7279" s="43">
        <v>58.45</v>
      </c>
    </row>
    <row r="7280" spans="2:6" x14ac:dyDescent="0.25">
      <c r="B7280" s="13" t="s">
        <v>13082</v>
      </c>
      <c r="C7280" s="17" t="s">
        <v>170</v>
      </c>
      <c r="D7280" s="13" t="s">
        <v>118</v>
      </c>
      <c r="E7280" s="13" t="s">
        <v>13083</v>
      </c>
      <c r="F7280" s="43">
        <v>58.45</v>
      </c>
    </row>
    <row r="7281" spans="2:6" x14ac:dyDescent="0.25">
      <c r="B7281" s="13" t="s">
        <v>13084</v>
      </c>
      <c r="C7281" s="17" t="s">
        <v>170</v>
      </c>
      <c r="D7281" s="13" t="s">
        <v>118</v>
      </c>
      <c r="E7281" s="13" t="s">
        <v>13085</v>
      </c>
      <c r="F7281" s="43">
        <v>58.45</v>
      </c>
    </row>
    <row r="7282" spans="2:6" x14ac:dyDescent="0.25">
      <c r="B7282" s="13" t="s">
        <v>13086</v>
      </c>
      <c r="C7282" s="17" t="s">
        <v>170</v>
      </c>
      <c r="D7282" s="13" t="s">
        <v>118</v>
      </c>
      <c r="E7282" s="13" t="s">
        <v>13087</v>
      </c>
      <c r="F7282" s="43">
        <v>58.45</v>
      </c>
    </row>
    <row r="7283" spans="2:6" x14ac:dyDescent="0.25">
      <c r="B7283" s="13" t="s">
        <v>13088</v>
      </c>
      <c r="C7283" s="17" t="s">
        <v>170</v>
      </c>
      <c r="D7283" s="13" t="s">
        <v>118</v>
      </c>
      <c r="E7283" s="13" t="s">
        <v>13089</v>
      </c>
      <c r="F7283" s="43">
        <v>58.45</v>
      </c>
    </row>
    <row r="7284" spans="2:6" x14ac:dyDescent="0.25">
      <c r="B7284" s="13" t="s">
        <v>13090</v>
      </c>
      <c r="C7284" s="17" t="s">
        <v>170</v>
      </c>
      <c r="D7284" s="13" t="s">
        <v>118</v>
      </c>
      <c r="E7284" s="13" t="s">
        <v>13091</v>
      </c>
      <c r="F7284" s="43">
        <v>73.14</v>
      </c>
    </row>
    <row r="7285" spans="2:6" x14ac:dyDescent="0.25">
      <c r="B7285" s="13" t="s">
        <v>13092</v>
      </c>
      <c r="C7285" s="17" t="s">
        <v>170</v>
      </c>
      <c r="D7285" s="13" t="s">
        <v>118</v>
      </c>
      <c r="E7285" s="13" t="s">
        <v>13093</v>
      </c>
      <c r="F7285" s="43">
        <v>58.45</v>
      </c>
    </row>
    <row r="7286" spans="2:6" x14ac:dyDescent="0.25">
      <c r="B7286" s="13" t="s">
        <v>13094</v>
      </c>
      <c r="C7286" s="17" t="s">
        <v>170</v>
      </c>
      <c r="D7286" s="13" t="s">
        <v>118</v>
      </c>
      <c r="E7286" s="13" t="s">
        <v>13095</v>
      </c>
      <c r="F7286" s="43">
        <v>58.45</v>
      </c>
    </row>
    <row r="7287" spans="2:6" x14ac:dyDescent="0.25">
      <c r="B7287" s="13" t="s">
        <v>13096</v>
      </c>
      <c r="C7287" s="17" t="s">
        <v>170</v>
      </c>
      <c r="D7287" s="13" t="s">
        <v>118</v>
      </c>
      <c r="E7287" s="13" t="s">
        <v>13097</v>
      </c>
      <c r="F7287" s="43">
        <v>58.45</v>
      </c>
    </row>
    <row r="7288" spans="2:6" x14ac:dyDescent="0.25">
      <c r="B7288" s="13" t="s">
        <v>13098</v>
      </c>
      <c r="C7288" s="17" t="s">
        <v>170</v>
      </c>
      <c r="D7288" s="13" t="s">
        <v>118</v>
      </c>
      <c r="E7288" s="13" t="s">
        <v>13099</v>
      </c>
      <c r="F7288" s="43">
        <v>58.45</v>
      </c>
    </row>
    <row r="7289" spans="2:6" x14ac:dyDescent="0.25">
      <c r="B7289" s="13" t="s">
        <v>13100</v>
      </c>
      <c r="C7289" s="17" t="s">
        <v>170</v>
      </c>
      <c r="D7289" s="13" t="s">
        <v>118</v>
      </c>
      <c r="E7289" s="13" t="s">
        <v>13101</v>
      </c>
      <c r="F7289" s="43">
        <v>81.86</v>
      </c>
    </row>
    <row r="7290" spans="2:6" x14ac:dyDescent="0.25">
      <c r="B7290" s="13" t="s">
        <v>13102</v>
      </c>
      <c r="C7290" s="17" t="s">
        <v>170</v>
      </c>
      <c r="D7290" s="13" t="s">
        <v>118</v>
      </c>
      <c r="E7290" s="13" t="s">
        <v>13103</v>
      </c>
      <c r="F7290" s="43">
        <v>81.86</v>
      </c>
    </row>
    <row r="7291" spans="2:6" x14ac:dyDescent="0.25">
      <c r="B7291" s="13" t="s">
        <v>13104</v>
      </c>
      <c r="C7291" s="17" t="s">
        <v>170</v>
      </c>
      <c r="D7291" s="13" t="s">
        <v>118</v>
      </c>
      <c r="E7291" s="13" t="s">
        <v>13105</v>
      </c>
      <c r="F7291" s="43">
        <v>81.86</v>
      </c>
    </row>
    <row r="7292" spans="2:6" x14ac:dyDescent="0.25">
      <c r="B7292" s="13" t="s">
        <v>13106</v>
      </c>
      <c r="C7292" s="17" t="s">
        <v>170</v>
      </c>
      <c r="D7292" s="13" t="s">
        <v>118</v>
      </c>
      <c r="E7292" s="13" t="s">
        <v>13107</v>
      </c>
      <c r="F7292" s="43">
        <v>81.86</v>
      </c>
    </row>
    <row r="7293" spans="2:6" x14ac:dyDescent="0.25">
      <c r="B7293" s="13" t="s">
        <v>13108</v>
      </c>
      <c r="C7293" s="17" t="s">
        <v>170</v>
      </c>
      <c r="D7293" s="13" t="s">
        <v>118</v>
      </c>
      <c r="E7293" s="13" t="s">
        <v>13109</v>
      </c>
      <c r="F7293" s="43">
        <v>164.33</v>
      </c>
    </row>
    <row r="7294" spans="2:6" x14ac:dyDescent="0.25">
      <c r="B7294" s="13" t="s">
        <v>13110</v>
      </c>
      <c r="C7294" s="17" t="s">
        <v>170</v>
      </c>
      <c r="D7294" s="13" t="s">
        <v>118</v>
      </c>
      <c r="E7294" s="13" t="s">
        <v>13111</v>
      </c>
      <c r="F7294" s="43">
        <v>164.33</v>
      </c>
    </row>
    <row r="7295" spans="2:6" x14ac:dyDescent="0.25">
      <c r="B7295" s="13" t="s">
        <v>13112</v>
      </c>
      <c r="C7295" s="17" t="s">
        <v>170</v>
      </c>
      <c r="D7295" s="13" t="s">
        <v>118</v>
      </c>
      <c r="E7295" s="13" t="s">
        <v>13113</v>
      </c>
      <c r="F7295" s="43">
        <v>164.33</v>
      </c>
    </row>
    <row r="7296" spans="2:6" x14ac:dyDescent="0.25">
      <c r="B7296" s="13" t="s">
        <v>13114</v>
      </c>
      <c r="C7296" s="17" t="s">
        <v>170</v>
      </c>
      <c r="D7296" s="13" t="s">
        <v>118</v>
      </c>
      <c r="E7296" s="13" t="s">
        <v>13115</v>
      </c>
      <c r="F7296" s="43">
        <v>164.33</v>
      </c>
    </row>
    <row r="7297" spans="2:6" x14ac:dyDescent="0.25">
      <c r="B7297" s="13" t="s">
        <v>13116</v>
      </c>
      <c r="C7297" s="17" t="s">
        <v>170</v>
      </c>
      <c r="D7297" s="13" t="s">
        <v>118</v>
      </c>
      <c r="E7297" s="13" t="s">
        <v>13117</v>
      </c>
      <c r="F7297" s="43">
        <v>164.33</v>
      </c>
    </row>
    <row r="7298" spans="2:6" x14ac:dyDescent="0.25">
      <c r="B7298" s="13" t="s">
        <v>13118</v>
      </c>
      <c r="C7298" s="17" t="s">
        <v>170</v>
      </c>
      <c r="D7298" s="13" t="s">
        <v>118</v>
      </c>
      <c r="E7298" s="13" t="s">
        <v>13119</v>
      </c>
      <c r="F7298" s="43">
        <v>164.33</v>
      </c>
    </row>
    <row r="7299" spans="2:6" x14ac:dyDescent="0.25">
      <c r="B7299" s="13" t="s">
        <v>13120</v>
      </c>
      <c r="C7299" s="17" t="s">
        <v>170</v>
      </c>
      <c r="D7299" s="13" t="s">
        <v>118</v>
      </c>
      <c r="E7299" s="13" t="s">
        <v>13121</v>
      </c>
      <c r="F7299" s="43">
        <v>164.33</v>
      </c>
    </row>
    <row r="7300" spans="2:6" x14ac:dyDescent="0.25">
      <c r="B7300" s="13" t="s">
        <v>13122</v>
      </c>
      <c r="C7300" s="17" t="s">
        <v>170</v>
      </c>
      <c r="D7300" s="13" t="s">
        <v>118</v>
      </c>
      <c r="E7300" s="13" t="s">
        <v>13123</v>
      </c>
      <c r="F7300" s="43">
        <v>164.33</v>
      </c>
    </row>
    <row r="7301" spans="2:6" x14ac:dyDescent="0.25">
      <c r="B7301" s="13" t="s">
        <v>13124</v>
      </c>
      <c r="C7301" s="17" t="s">
        <v>170</v>
      </c>
      <c r="D7301" s="13" t="s">
        <v>118</v>
      </c>
      <c r="E7301" s="13" t="s">
        <v>13125</v>
      </c>
      <c r="F7301" s="43">
        <v>164.33</v>
      </c>
    </row>
    <row r="7302" spans="2:6" x14ac:dyDescent="0.25">
      <c r="B7302" s="13" t="s">
        <v>13126</v>
      </c>
      <c r="C7302" s="17" t="s">
        <v>170</v>
      </c>
      <c r="D7302" s="13" t="s">
        <v>118</v>
      </c>
      <c r="E7302" s="13" t="s">
        <v>13127</v>
      </c>
      <c r="F7302" s="43">
        <v>164.33</v>
      </c>
    </row>
    <row r="7303" spans="2:6" x14ac:dyDescent="0.25">
      <c r="B7303" s="13" t="s">
        <v>13128</v>
      </c>
      <c r="C7303" s="17" t="s">
        <v>170</v>
      </c>
      <c r="D7303" s="13" t="s">
        <v>118</v>
      </c>
      <c r="E7303" s="13" t="s">
        <v>13129</v>
      </c>
      <c r="F7303" s="43">
        <v>164.33</v>
      </c>
    </row>
    <row r="7304" spans="2:6" x14ac:dyDescent="0.25">
      <c r="B7304" s="13" t="s">
        <v>13130</v>
      </c>
      <c r="C7304" s="17" t="s">
        <v>170</v>
      </c>
      <c r="D7304" s="13" t="s">
        <v>118</v>
      </c>
      <c r="E7304" s="13" t="s">
        <v>13131</v>
      </c>
      <c r="F7304" s="43">
        <v>164.33</v>
      </c>
    </row>
    <row r="7305" spans="2:6" x14ac:dyDescent="0.25">
      <c r="B7305" s="13" t="s">
        <v>13132</v>
      </c>
      <c r="C7305" s="17" t="s">
        <v>170</v>
      </c>
      <c r="D7305" s="13" t="s">
        <v>118</v>
      </c>
      <c r="E7305" s="13" t="s">
        <v>13133</v>
      </c>
      <c r="F7305" s="43">
        <v>164.33</v>
      </c>
    </row>
    <row r="7306" spans="2:6" x14ac:dyDescent="0.25">
      <c r="B7306" s="13" t="s">
        <v>13134</v>
      </c>
      <c r="C7306" s="17" t="s">
        <v>170</v>
      </c>
      <c r="D7306" s="13" t="s">
        <v>118</v>
      </c>
      <c r="E7306" s="13" t="s">
        <v>13135</v>
      </c>
      <c r="F7306" s="43">
        <v>164.33</v>
      </c>
    </row>
    <row r="7307" spans="2:6" x14ac:dyDescent="0.25">
      <c r="B7307" s="13" t="s">
        <v>13136</v>
      </c>
      <c r="C7307" s="17" t="s">
        <v>170</v>
      </c>
      <c r="D7307" s="13" t="s">
        <v>118</v>
      </c>
      <c r="E7307" s="13" t="s">
        <v>13137</v>
      </c>
      <c r="F7307" s="43">
        <v>164.33</v>
      </c>
    </row>
    <row r="7308" spans="2:6" x14ac:dyDescent="0.25">
      <c r="B7308" s="13" t="s">
        <v>13138</v>
      </c>
      <c r="C7308" s="17" t="s">
        <v>170</v>
      </c>
      <c r="D7308" s="13" t="s">
        <v>118</v>
      </c>
      <c r="E7308" s="13" t="s">
        <v>13139</v>
      </c>
      <c r="F7308" s="43">
        <v>164.33</v>
      </c>
    </row>
    <row r="7309" spans="2:6" x14ac:dyDescent="0.25">
      <c r="B7309" s="13" t="s">
        <v>13140</v>
      </c>
      <c r="C7309" s="17" t="s">
        <v>170</v>
      </c>
      <c r="D7309" s="13" t="s">
        <v>118</v>
      </c>
      <c r="E7309" s="13" t="s">
        <v>13141</v>
      </c>
      <c r="F7309" s="43">
        <v>164.33</v>
      </c>
    </row>
    <row r="7310" spans="2:6" x14ac:dyDescent="0.25">
      <c r="B7310" s="13" t="s">
        <v>13142</v>
      </c>
      <c r="C7310" s="17" t="s">
        <v>170</v>
      </c>
      <c r="D7310" s="13" t="s">
        <v>118</v>
      </c>
      <c r="E7310" s="13" t="s">
        <v>13143</v>
      </c>
      <c r="F7310" s="43">
        <v>164.33</v>
      </c>
    </row>
    <row r="7311" spans="2:6" x14ac:dyDescent="0.25">
      <c r="B7311" s="13" t="s">
        <v>13144</v>
      </c>
      <c r="C7311" s="17" t="s">
        <v>170</v>
      </c>
      <c r="D7311" s="13" t="s">
        <v>118</v>
      </c>
      <c r="E7311" s="13" t="s">
        <v>13145</v>
      </c>
      <c r="F7311" s="43">
        <v>164.33</v>
      </c>
    </row>
    <row r="7312" spans="2:6" x14ac:dyDescent="0.25">
      <c r="B7312" s="13" t="s">
        <v>13146</v>
      </c>
      <c r="C7312" s="17" t="s">
        <v>170</v>
      </c>
      <c r="D7312" s="13" t="s">
        <v>118</v>
      </c>
      <c r="E7312" s="13" t="s">
        <v>13147</v>
      </c>
      <c r="F7312" s="43">
        <v>164.33</v>
      </c>
    </row>
    <row r="7313" spans="2:6" x14ac:dyDescent="0.25">
      <c r="B7313" s="13" t="s">
        <v>13148</v>
      </c>
      <c r="C7313" s="17" t="s">
        <v>170</v>
      </c>
      <c r="D7313" s="13" t="s">
        <v>118</v>
      </c>
      <c r="E7313" s="13" t="s">
        <v>13149</v>
      </c>
      <c r="F7313" s="43">
        <v>164.33</v>
      </c>
    </row>
    <row r="7314" spans="2:6" x14ac:dyDescent="0.25">
      <c r="B7314" s="13" t="s">
        <v>13150</v>
      </c>
      <c r="C7314" s="17" t="s">
        <v>170</v>
      </c>
      <c r="D7314" s="13" t="s">
        <v>118</v>
      </c>
      <c r="E7314" s="13" t="s">
        <v>13151</v>
      </c>
      <c r="F7314" s="43">
        <v>164.33</v>
      </c>
    </row>
    <row r="7315" spans="2:6" x14ac:dyDescent="0.25">
      <c r="B7315" s="13" t="s">
        <v>13152</v>
      </c>
      <c r="C7315" s="17" t="s">
        <v>170</v>
      </c>
      <c r="D7315" s="13" t="s">
        <v>118</v>
      </c>
      <c r="E7315" s="13" t="s">
        <v>13153</v>
      </c>
      <c r="F7315" s="43">
        <v>164.33</v>
      </c>
    </row>
    <row r="7316" spans="2:6" x14ac:dyDescent="0.25">
      <c r="B7316" s="13" t="s">
        <v>13154</v>
      </c>
      <c r="C7316" s="17" t="s">
        <v>170</v>
      </c>
      <c r="D7316" s="13" t="s">
        <v>118</v>
      </c>
      <c r="E7316" s="13" t="s">
        <v>13155</v>
      </c>
      <c r="F7316" s="43">
        <v>189.8</v>
      </c>
    </row>
    <row r="7317" spans="2:6" x14ac:dyDescent="0.25">
      <c r="B7317" s="13" t="s">
        <v>13156</v>
      </c>
      <c r="C7317" s="17" t="s">
        <v>170</v>
      </c>
      <c r="D7317" s="13" t="s">
        <v>118</v>
      </c>
      <c r="E7317" s="13" t="s">
        <v>13157</v>
      </c>
      <c r="F7317" s="43">
        <v>189.8</v>
      </c>
    </row>
    <row r="7318" spans="2:6" x14ac:dyDescent="0.25">
      <c r="B7318" s="13" t="s">
        <v>13158</v>
      </c>
      <c r="C7318" s="17" t="s">
        <v>170</v>
      </c>
      <c r="D7318" s="13" t="s">
        <v>118</v>
      </c>
      <c r="E7318" s="13" t="s">
        <v>13159</v>
      </c>
      <c r="F7318" s="43">
        <v>164.33</v>
      </c>
    </row>
    <row r="7319" spans="2:6" x14ac:dyDescent="0.25">
      <c r="B7319" s="13" t="s">
        <v>13160</v>
      </c>
      <c r="C7319" s="17" t="s">
        <v>170</v>
      </c>
      <c r="D7319" s="13" t="s">
        <v>118</v>
      </c>
      <c r="E7319" s="13" t="s">
        <v>13161</v>
      </c>
      <c r="F7319" s="43">
        <v>164.33</v>
      </c>
    </row>
    <row r="7320" spans="2:6" x14ac:dyDescent="0.25">
      <c r="B7320" s="13" t="s">
        <v>13162</v>
      </c>
      <c r="C7320" s="17" t="s">
        <v>170</v>
      </c>
      <c r="D7320" s="13" t="s">
        <v>118</v>
      </c>
      <c r="E7320" s="13" t="s">
        <v>13163</v>
      </c>
      <c r="F7320" s="43">
        <v>164.33</v>
      </c>
    </row>
    <row r="7321" spans="2:6" x14ac:dyDescent="0.25">
      <c r="B7321" s="13" t="s">
        <v>13164</v>
      </c>
      <c r="C7321" s="17" t="s">
        <v>170</v>
      </c>
      <c r="D7321" s="13" t="s">
        <v>118</v>
      </c>
      <c r="E7321" s="13" t="s">
        <v>13165</v>
      </c>
      <c r="F7321" s="43">
        <v>164.33</v>
      </c>
    </row>
    <row r="7322" spans="2:6" x14ac:dyDescent="0.25">
      <c r="B7322" s="13" t="s">
        <v>13166</v>
      </c>
      <c r="C7322" s="17" t="s">
        <v>170</v>
      </c>
      <c r="D7322" s="13" t="s">
        <v>118</v>
      </c>
      <c r="E7322" s="13" t="s">
        <v>13167</v>
      </c>
      <c r="F7322" s="43">
        <v>164.33</v>
      </c>
    </row>
    <row r="7323" spans="2:6" x14ac:dyDescent="0.25">
      <c r="B7323" s="13" t="s">
        <v>13168</v>
      </c>
      <c r="C7323" s="17" t="s">
        <v>170</v>
      </c>
      <c r="D7323" s="13" t="s">
        <v>118</v>
      </c>
      <c r="E7323" s="13" t="s">
        <v>13169</v>
      </c>
      <c r="F7323" s="43">
        <v>164.33</v>
      </c>
    </row>
    <row r="7324" spans="2:6" x14ac:dyDescent="0.25">
      <c r="B7324" s="13" t="s">
        <v>13170</v>
      </c>
      <c r="C7324" s="17" t="s">
        <v>170</v>
      </c>
      <c r="D7324" s="13" t="s">
        <v>118</v>
      </c>
      <c r="E7324" s="13" t="s">
        <v>13171</v>
      </c>
      <c r="F7324" s="43">
        <v>164.33</v>
      </c>
    </row>
    <row r="7325" spans="2:6" x14ac:dyDescent="0.25">
      <c r="B7325" s="13" t="s">
        <v>13172</v>
      </c>
      <c r="C7325" s="17" t="s">
        <v>170</v>
      </c>
      <c r="D7325" s="13" t="s">
        <v>118</v>
      </c>
      <c r="E7325" s="13" t="s">
        <v>13173</v>
      </c>
      <c r="F7325" s="43">
        <v>164.33</v>
      </c>
    </row>
    <row r="7326" spans="2:6" x14ac:dyDescent="0.25">
      <c r="B7326" s="13" t="s">
        <v>13174</v>
      </c>
      <c r="C7326" s="17" t="s">
        <v>170</v>
      </c>
      <c r="D7326" s="13" t="s">
        <v>118</v>
      </c>
      <c r="E7326" s="13" t="s">
        <v>13175</v>
      </c>
      <c r="F7326" s="43">
        <v>164.33</v>
      </c>
    </row>
    <row r="7327" spans="2:6" x14ac:dyDescent="0.25">
      <c r="B7327" s="13" t="s">
        <v>13176</v>
      </c>
      <c r="C7327" s="17" t="s">
        <v>170</v>
      </c>
      <c r="D7327" s="13" t="s">
        <v>118</v>
      </c>
      <c r="E7327" s="13" t="s">
        <v>13177</v>
      </c>
      <c r="F7327" s="43">
        <v>164.33</v>
      </c>
    </row>
    <row r="7328" spans="2:6" x14ac:dyDescent="0.25">
      <c r="B7328" s="13" t="s">
        <v>13178</v>
      </c>
      <c r="C7328" s="17" t="s">
        <v>170</v>
      </c>
      <c r="D7328" s="13" t="s">
        <v>118</v>
      </c>
      <c r="E7328" s="13" t="s">
        <v>13179</v>
      </c>
      <c r="F7328" s="43">
        <v>164.33</v>
      </c>
    </row>
    <row r="7329" spans="2:6" x14ac:dyDescent="0.25">
      <c r="B7329" s="13" t="s">
        <v>13180</v>
      </c>
      <c r="C7329" s="17" t="s">
        <v>170</v>
      </c>
      <c r="D7329" s="13" t="s">
        <v>118</v>
      </c>
      <c r="E7329" s="13" t="s">
        <v>13181</v>
      </c>
      <c r="F7329" s="43">
        <v>164.33</v>
      </c>
    </row>
    <row r="7330" spans="2:6" x14ac:dyDescent="0.25">
      <c r="B7330" s="13" t="s">
        <v>13182</v>
      </c>
      <c r="C7330" s="17" t="s">
        <v>170</v>
      </c>
      <c r="D7330" s="13" t="s">
        <v>118</v>
      </c>
      <c r="E7330" s="13" t="s">
        <v>13183</v>
      </c>
      <c r="F7330" s="43">
        <v>164.33</v>
      </c>
    </row>
    <row r="7331" spans="2:6" x14ac:dyDescent="0.25">
      <c r="B7331" s="13" t="s">
        <v>13184</v>
      </c>
      <c r="C7331" s="17" t="s">
        <v>170</v>
      </c>
      <c r="D7331" s="13" t="s">
        <v>118</v>
      </c>
      <c r="E7331" s="13" t="s">
        <v>13185</v>
      </c>
      <c r="F7331" s="43">
        <v>164.33</v>
      </c>
    </row>
    <row r="7332" spans="2:6" x14ac:dyDescent="0.25">
      <c r="B7332" s="13" t="s">
        <v>13186</v>
      </c>
      <c r="C7332" s="17" t="s">
        <v>170</v>
      </c>
      <c r="D7332" s="13" t="s">
        <v>118</v>
      </c>
      <c r="E7332" s="13" t="s">
        <v>13187</v>
      </c>
      <c r="F7332" s="43">
        <v>164.33</v>
      </c>
    </row>
    <row r="7333" spans="2:6" x14ac:dyDescent="0.25">
      <c r="B7333" s="13" t="s">
        <v>13188</v>
      </c>
      <c r="C7333" s="17" t="s">
        <v>170</v>
      </c>
      <c r="D7333" s="13" t="s">
        <v>118</v>
      </c>
      <c r="E7333" s="13" t="s">
        <v>13189</v>
      </c>
      <c r="F7333" s="43">
        <v>164.33</v>
      </c>
    </row>
    <row r="7334" spans="2:6" x14ac:dyDescent="0.25">
      <c r="B7334" s="13" t="s">
        <v>13190</v>
      </c>
      <c r="C7334" s="17" t="s">
        <v>170</v>
      </c>
      <c r="D7334" s="13" t="s">
        <v>118</v>
      </c>
      <c r="E7334" s="13" t="s">
        <v>13191</v>
      </c>
      <c r="F7334" s="43">
        <v>164.33</v>
      </c>
    </row>
    <row r="7335" spans="2:6" x14ac:dyDescent="0.25">
      <c r="B7335" s="13" t="s">
        <v>13192</v>
      </c>
      <c r="C7335" s="17" t="s">
        <v>170</v>
      </c>
      <c r="D7335" s="13" t="s">
        <v>118</v>
      </c>
      <c r="E7335" s="13" t="s">
        <v>13193</v>
      </c>
      <c r="F7335" s="43">
        <v>164.33</v>
      </c>
    </row>
    <row r="7336" spans="2:6" x14ac:dyDescent="0.25">
      <c r="B7336" s="13" t="s">
        <v>13194</v>
      </c>
      <c r="C7336" s="17" t="s">
        <v>170</v>
      </c>
      <c r="D7336" s="13" t="s">
        <v>118</v>
      </c>
      <c r="E7336" s="13" t="s">
        <v>13195</v>
      </c>
      <c r="F7336" s="43">
        <v>164.33</v>
      </c>
    </row>
    <row r="7337" spans="2:6" x14ac:dyDescent="0.25">
      <c r="B7337" s="13" t="s">
        <v>13196</v>
      </c>
      <c r="C7337" s="17" t="s">
        <v>170</v>
      </c>
      <c r="D7337" s="13" t="s">
        <v>118</v>
      </c>
      <c r="E7337" s="13" t="s">
        <v>13197</v>
      </c>
      <c r="F7337" s="43">
        <v>188.42</v>
      </c>
    </row>
    <row r="7338" spans="2:6" x14ac:dyDescent="0.25">
      <c r="B7338" s="13" t="s">
        <v>13198</v>
      </c>
      <c r="C7338" s="17" t="s">
        <v>170</v>
      </c>
      <c r="D7338" s="13" t="s">
        <v>118</v>
      </c>
      <c r="E7338" s="13" t="s">
        <v>13199</v>
      </c>
      <c r="F7338" s="43">
        <v>164.33</v>
      </c>
    </row>
    <row r="7339" spans="2:6" x14ac:dyDescent="0.25">
      <c r="B7339" s="13" t="s">
        <v>13200</v>
      </c>
      <c r="C7339" s="17" t="s">
        <v>170</v>
      </c>
      <c r="D7339" s="13" t="s">
        <v>118</v>
      </c>
      <c r="E7339" s="13" t="s">
        <v>13201</v>
      </c>
      <c r="F7339" s="43">
        <v>164.33</v>
      </c>
    </row>
    <row r="7340" spans="2:6" x14ac:dyDescent="0.25">
      <c r="B7340" s="13" t="s">
        <v>13202</v>
      </c>
      <c r="C7340" s="17" t="s">
        <v>170</v>
      </c>
      <c r="D7340" s="13" t="s">
        <v>118</v>
      </c>
      <c r="E7340" s="13" t="s">
        <v>13203</v>
      </c>
      <c r="F7340" s="43">
        <v>164.33</v>
      </c>
    </row>
    <row r="7341" spans="2:6" x14ac:dyDescent="0.25">
      <c r="B7341" s="13" t="s">
        <v>13204</v>
      </c>
      <c r="C7341" s="17" t="s">
        <v>170</v>
      </c>
      <c r="D7341" s="13" t="s">
        <v>118</v>
      </c>
      <c r="E7341" s="13" t="s">
        <v>13205</v>
      </c>
      <c r="F7341" s="43">
        <v>164.33</v>
      </c>
    </row>
    <row r="7342" spans="2:6" x14ac:dyDescent="0.25">
      <c r="B7342" s="13" t="s">
        <v>13206</v>
      </c>
      <c r="C7342" s="17" t="s">
        <v>170</v>
      </c>
      <c r="D7342" s="13" t="s">
        <v>118</v>
      </c>
      <c r="E7342" s="13" t="s">
        <v>13207</v>
      </c>
      <c r="F7342" s="43">
        <v>189.8</v>
      </c>
    </row>
    <row r="7343" spans="2:6" x14ac:dyDescent="0.25">
      <c r="B7343" s="13" t="s">
        <v>13208</v>
      </c>
      <c r="C7343" s="17" t="s">
        <v>170</v>
      </c>
      <c r="D7343" s="13" t="s">
        <v>118</v>
      </c>
      <c r="E7343" s="13" t="s">
        <v>13209</v>
      </c>
      <c r="F7343" s="43">
        <v>189.8</v>
      </c>
    </row>
    <row r="7344" spans="2:6" x14ac:dyDescent="0.25">
      <c r="B7344" s="13" t="s">
        <v>13210</v>
      </c>
      <c r="C7344" s="17" t="s">
        <v>170</v>
      </c>
      <c r="D7344" s="13" t="s">
        <v>118</v>
      </c>
      <c r="E7344" s="13" t="s">
        <v>13211</v>
      </c>
      <c r="F7344" s="43">
        <v>313.62</v>
      </c>
    </row>
    <row r="7345" spans="2:6" x14ac:dyDescent="0.25">
      <c r="B7345" s="13" t="s">
        <v>13212</v>
      </c>
      <c r="C7345" s="17" t="s">
        <v>170</v>
      </c>
      <c r="D7345" s="13" t="s">
        <v>118</v>
      </c>
      <c r="E7345" s="13" t="s">
        <v>13213</v>
      </c>
      <c r="F7345" s="43">
        <v>164.33</v>
      </c>
    </row>
    <row r="7346" spans="2:6" x14ac:dyDescent="0.25">
      <c r="B7346" s="13" t="s">
        <v>13214</v>
      </c>
      <c r="C7346" s="17" t="s">
        <v>170</v>
      </c>
      <c r="D7346" s="13" t="s">
        <v>118</v>
      </c>
      <c r="E7346" s="13" t="s">
        <v>13215</v>
      </c>
      <c r="F7346" s="43">
        <v>188.42</v>
      </c>
    </row>
    <row r="7347" spans="2:6" x14ac:dyDescent="0.25">
      <c r="B7347" s="13" t="s">
        <v>13216</v>
      </c>
      <c r="C7347" s="17" t="s">
        <v>170</v>
      </c>
      <c r="D7347" s="13" t="s">
        <v>118</v>
      </c>
      <c r="E7347" s="13" t="s">
        <v>13217</v>
      </c>
      <c r="F7347" s="43">
        <v>188.42</v>
      </c>
    </row>
    <row r="7348" spans="2:6" x14ac:dyDescent="0.25">
      <c r="B7348" s="13" t="s">
        <v>13218</v>
      </c>
      <c r="C7348" s="17" t="s">
        <v>170</v>
      </c>
      <c r="D7348" s="13" t="s">
        <v>118</v>
      </c>
      <c r="E7348" s="13" t="s">
        <v>13219</v>
      </c>
      <c r="F7348" s="43">
        <v>164.33</v>
      </c>
    </row>
    <row r="7349" spans="2:6" x14ac:dyDescent="0.25">
      <c r="B7349" s="13" t="s">
        <v>13220</v>
      </c>
      <c r="C7349" s="17" t="s">
        <v>170</v>
      </c>
      <c r="D7349" s="13" t="s">
        <v>118</v>
      </c>
      <c r="E7349" s="13" t="s">
        <v>13221</v>
      </c>
      <c r="F7349" s="43">
        <v>188.42</v>
      </c>
    </row>
    <row r="7350" spans="2:6" x14ac:dyDescent="0.25">
      <c r="B7350" s="13" t="s">
        <v>13222</v>
      </c>
      <c r="C7350" s="17" t="s">
        <v>170</v>
      </c>
      <c r="D7350" s="13" t="s">
        <v>118</v>
      </c>
      <c r="E7350" s="13" t="s">
        <v>13223</v>
      </c>
      <c r="F7350" s="43">
        <v>164.33</v>
      </c>
    </row>
    <row r="7351" spans="2:6" x14ac:dyDescent="0.25">
      <c r="B7351" s="13" t="s">
        <v>13224</v>
      </c>
      <c r="C7351" s="17" t="s">
        <v>170</v>
      </c>
      <c r="D7351" s="13" t="s">
        <v>118</v>
      </c>
      <c r="E7351" s="13" t="s">
        <v>13225</v>
      </c>
      <c r="F7351" s="43">
        <v>188.42</v>
      </c>
    </row>
    <row r="7352" spans="2:6" x14ac:dyDescent="0.25">
      <c r="B7352" s="13" t="s">
        <v>13226</v>
      </c>
      <c r="C7352" s="17" t="s">
        <v>170</v>
      </c>
      <c r="D7352" s="13" t="s">
        <v>118</v>
      </c>
      <c r="E7352" s="13" t="s">
        <v>13227</v>
      </c>
      <c r="F7352" s="43">
        <v>164.33</v>
      </c>
    </row>
    <row r="7353" spans="2:6" x14ac:dyDescent="0.25">
      <c r="B7353" s="13" t="s">
        <v>13228</v>
      </c>
      <c r="C7353" s="17" t="s">
        <v>170</v>
      </c>
      <c r="D7353" s="13" t="s">
        <v>118</v>
      </c>
      <c r="E7353" s="13" t="s">
        <v>13229</v>
      </c>
      <c r="F7353" s="43">
        <v>164.33</v>
      </c>
    </row>
    <row r="7354" spans="2:6" x14ac:dyDescent="0.25">
      <c r="B7354" s="13" t="s">
        <v>13230</v>
      </c>
      <c r="C7354" s="17" t="s">
        <v>170</v>
      </c>
      <c r="D7354" s="13" t="s">
        <v>118</v>
      </c>
      <c r="E7354" s="13" t="s">
        <v>13231</v>
      </c>
      <c r="F7354" s="43">
        <v>164.33</v>
      </c>
    </row>
    <row r="7355" spans="2:6" x14ac:dyDescent="0.25">
      <c r="B7355" s="13" t="s">
        <v>13232</v>
      </c>
      <c r="C7355" s="17" t="s">
        <v>170</v>
      </c>
      <c r="D7355" s="13" t="s">
        <v>118</v>
      </c>
      <c r="E7355" s="13" t="s">
        <v>13233</v>
      </c>
      <c r="F7355" s="43">
        <v>164.33</v>
      </c>
    </row>
    <row r="7356" spans="2:6" x14ac:dyDescent="0.25">
      <c r="B7356" s="13" t="s">
        <v>13234</v>
      </c>
      <c r="C7356" s="17" t="s">
        <v>170</v>
      </c>
      <c r="D7356" s="13" t="s">
        <v>118</v>
      </c>
      <c r="E7356" s="13" t="s">
        <v>13235</v>
      </c>
      <c r="F7356" s="43">
        <v>164.33</v>
      </c>
    </row>
    <row r="7357" spans="2:6" x14ac:dyDescent="0.25">
      <c r="B7357" s="13" t="s">
        <v>13236</v>
      </c>
      <c r="C7357" s="17" t="s">
        <v>170</v>
      </c>
      <c r="D7357" s="13" t="s">
        <v>118</v>
      </c>
      <c r="E7357" s="13" t="s">
        <v>13237</v>
      </c>
      <c r="F7357" s="43">
        <v>164.33</v>
      </c>
    </row>
    <row r="7358" spans="2:6" x14ac:dyDescent="0.25">
      <c r="B7358" s="13" t="s">
        <v>13238</v>
      </c>
      <c r="C7358" s="17" t="s">
        <v>170</v>
      </c>
      <c r="D7358" s="13" t="s">
        <v>118</v>
      </c>
      <c r="E7358" s="13" t="s">
        <v>13239</v>
      </c>
      <c r="F7358" s="43">
        <v>164.33</v>
      </c>
    </row>
    <row r="7359" spans="2:6" x14ac:dyDescent="0.25">
      <c r="B7359" s="13" t="s">
        <v>13240</v>
      </c>
      <c r="C7359" s="17" t="s">
        <v>170</v>
      </c>
      <c r="D7359" s="13" t="s">
        <v>118</v>
      </c>
      <c r="E7359" s="13" t="s">
        <v>13241</v>
      </c>
      <c r="F7359" s="43">
        <v>188.42</v>
      </c>
    </row>
    <row r="7360" spans="2:6" x14ac:dyDescent="0.25">
      <c r="B7360" s="13" t="s">
        <v>13242</v>
      </c>
      <c r="C7360" s="17" t="s">
        <v>170</v>
      </c>
      <c r="D7360" s="13" t="s">
        <v>118</v>
      </c>
      <c r="E7360" s="13" t="s">
        <v>13243</v>
      </c>
      <c r="F7360" s="43">
        <v>188.42</v>
      </c>
    </row>
    <row r="7361" spans="2:6" x14ac:dyDescent="0.25">
      <c r="B7361" s="13" t="s">
        <v>13244</v>
      </c>
      <c r="C7361" s="17" t="s">
        <v>170</v>
      </c>
      <c r="D7361" s="13" t="s">
        <v>118</v>
      </c>
      <c r="E7361" s="13" t="s">
        <v>13245</v>
      </c>
      <c r="F7361" s="43">
        <v>188.42</v>
      </c>
    </row>
    <row r="7362" spans="2:6" x14ac:dyDescent="0.25">
      <c r="B7362" s="13" t="s">
        <v>13246</v>
      </c>
      <c r="C7362" s="17" t="s">
        <v>170</v>
      </c>
      <c r="D7362" s="13" t="s">
        <v>118</v>
      </c>
      <c r="E7362" s="13" t="s">
        <v>13247</v>
      </c>
      <c r="F7362" s="43">
        <v>188.42</v>
      </c>
    </row>
    <row r="7363" spans="2:6" x14ac:dyDescent="0.25">
      <c r="B7363" s="13" t="s">
        <v>13248</v>
      </c>
      <c r="C7363" s="17" t="s">
        <v>170</v>
      </c>
      <c r="D7363" s="13" t="s">
        <v>118</v>
      </c>
      <c r="E7363" s="13" t="s">
        <v>13249</v>
      </c>
      <c r="F7363" s="43">
        <v>188.42</v>
      </c>
    </row>
    <row r="7364" spans="2:6" x14ac:dyDescent="0.25">
      <c r="B7364" s="13" t="s">
        <v>13250</v>
      </c>
      <c r="C7364" s="17" t="s">
        <v>170</v>
      </c>
      <c r="D7364" s="13" t="s">
        <v>118</v>
      </c>
      <c r="E7364" s="13" t="s">
        <v>13251</v>
      </c>
      <c r="F7364" s="43">
        <v>164.33</v>
      </c>
    </row>
    <row r="7365" spans="2:6" x14ac:dyDescent="0.25">
      <c r="B7365" s="13" t="s">
        <v>13252</v>
      </c>
      <c r="C7365" s="17" t="s">
        <v>170</v>
      </c>
      <c r="D7365" s="13" t="s">
        <v>118</v>
      </c>
      <c r="E7365" s="13" t="s">
        <v>13253</v>
      </c>
      <c r="F7365" s="43">
        <v>188.42</v>
      </c>
    </row>
    <row r="7366" spans="2:6" x14ac:dyDescent="0.25">
      <c r="B7366" s="13" t="s">
        <v>13254</v>
      </c>
      <c r="C7366" s="17" t="s">
        <v>170</v>
      </c>
      <c r="D7366" s="13" t="s">
        <v>118</v>
      </c>
      <c r="E7366" s="13" t="s">
        <v>13255</v>
      </c>
      <c r="F7366" s="43">
        <v>188.42</v>
      </c>
    </row>
    <row r="7367" spans="2:6" x14ac:dyDescent="0.25">
      <c r="B7367" s="13" t="s">
        <v>13256</v>
      </c>
      <c r="C7367" s="17" t="s">
        <v>170</v>
      </c>
      <c r="D7367" s="13" t="s">
        <v>118</v>
      </c>
      <c r="E7367" s="13" t="s">
        <v>13257</v>
      </c>
      <c r="F7367" s="43">
        <v>188.42</v>
      </c>
    </row>
    <row r="7368" spans="2:6" x14ac:dyDescent="0.25">
      <c r="B7368" s="13" t="s">
        <v>13258</v>
      </c>
      <c r="C7368" s="17" t="s">
        <v>170</v>
      </c>
      <c r="D7368" s="13" t="s">
        <v>118</v>
      </c>
      <c r="E7368" s="13" t="s">
        <v>13259</v>
      </c>
      <c r="F7368" s="43">
        <v>188.42</v>
      </c>
    </row>
    <row r="7369" spans="2:6" x14ac:dyDescent="0.25">
      <c r="B7369" s="13" t="s">
        <v>13260</v>
      </c>
      <c r="C7369" s="17" t="s">
        <v>170</v>
      </c>
      <c r="D7369" s="13" t="s">
        <v>118</v>
      </c>
      <c r="E7369" s="13" t="s">
        <v>13261</v>
      </c>
      <c r="F7369" s="43">
        <v>188.42</v>
      </c>
    </row>
    <row r="7370" spans="2:6" x14ac:dyDescent="0.25">
      <c r="B7370" s="13" t="s">
        <v>13262</v>
      </c>
      <c r="C7370" s="17" t="s">
        <v>170</v>
      </c>
      <c r="D7370" s="13" t="s">
        <v>118</v>
      </c>
      <c r="E7370" s="13" t="s">
        <v>13263</v>
      </c>
      <c r="F7370" s="43">
        <v>188.42</v>
      </c>
    </row>
    <row r="7371" spans="2:6" x14ac:dyDescent="0.25">
      <c r="B7371" s="13" t="s">
        <v>13264</v>
      </c>
      <c r="C7371" s="17" t="s">
        <v>170</v>
      </c>
      <c r="D7371" s="13" t="s">
        <v>118</v>
      </c>
      <c r="E7371" s="13" t="s">
        <v>13265</v>
      </c>
      <c r="F7371" s="43">
        <v>188.42</v>
      </c>
    </row>
    <row r="7372" spans="2:6" x14ac:dyDescent="0.25">
      <c r="B7372" s="13" t="s">
        <v>13266</v>
      </c>
      <c r="C7372" s="17" t="s">
        <v>170</v>
      </c>
      <c r="D7372" s="13" t="s">
        <v>118</v>
      </c>
      <c r="E7372" s="13" t="s">
        <v>13267</v>
      </c>
      <c r="F7372" s="43">
        <v>188.42</v>
      </c>
    </row>
    <row r="7373" spans="2:6" x14ac:dyDescent="0.25">
      <c r="B7373" s="13" t="s">
        <v>13268</v>
      </c>
      <c r="C7373" s="17" t="s">
        <v>170</v>
      </c>
      <c r="D7373" s="13" t="s">
        <v>118</v>
      </c>
      <c r="E7373" s="13" t="s">
        <v>13269</v>
      </c>
      <c r="F7373" s="43">
        <v>164.33</v>
      </c>
    </row>
    <row r="7374" spans="2:6" x14ac:dyDescent="0.25">
      <c r="B7374" s="13" t="s">
        <v>13270</v>
      </c>
      <c r="C7374" s="17" t="s">
        <v>170</v>
      </c>
      <c r="D7374" s="13" t="s">
        <v>118</v>
      </c>
      <c r="E7374" s="13" t="s">
        <v>13267</v>
      </c>
      <c r="F7374" s="43">
        <v>188.42</v>
      </c>
    </row>
    <row r="7375" spans="2:6" x14ac:dyDescent="0.25">
      <c r="B7375" s="13" t="s">
        <v>13271</v>
      </c>
      <c r="C7375" s="17" t="s">
        <v>170</v>
      </c>
      <c r="D7375" s="13" t="s">
        <v>118</v>
      </c>
      <c r="E7375" s="13" t="s">
        <v>13272</v>
      </c>
      <c r="F7375" s="43">
        <v>188.42</v>
      </c>
    </row>
    <row r="7376" spans="2:6" x14ac:dyDescent="0.25">
      <c r="B7376" s="13" t="s">
        <v>13273</v>
      </c>
      <c r="C7376" s="17" t="s">
        <v>170</v>
      </c>
      <c r="D7376" s="13" t="s">
        <v>118</v>
      </c>
      <c r="E7376" s="13" t="s">
        <v>13274</v>
      </c>
      <c r="F7376" s="43">
        <v>188.42</v>
      </c>
    </row>
    <row r="7377" spans="2:6" x14ac:dyDescent="0.25">
      <c r="B7377" s="13" t="s">
        <v>13275</v>
      </c>
      <c r="C7377" s="17" t="s">
        <v>170</v>
      </c>
      <c r="D7377" s="13" t="s">
        <v>118</v>
      </c>
      <c r="E7377" s="13" t="s">
        <v>13276</v>
      </c>
      <c r="F7377" s="43">
        <v>188.42</v>
      </c>
    </row>
    <row r="7378" spans="2:6" x14ac:dyDescent="0.25">
      <c r="B7378" s="13" t="s">
        <v>13277</v>
      </c>
      <c r="C7378" s="17" t="s">
        <v>170</v>
      </c>
      <c r="D7378" s="13" t="s">
        <v>118</v>
      </c>
      <c r="E7378" s="13" t="s">
        <v>13278</v>
      </c>
      <c r="F7378" s="43">
        <v>188.42</v>
      </c>
    </row>
    <row r="7379" spans="2:6" x14ac:dyDescent="0.25">
      <c r="B7379" s="13" t="s">
        <v>13279</v>
      </c>
      <c r="C7379" s="17" t="s">
        <v>170</v>
      </c>
      <c r="D7379" s="13" t="s">
        <v>118</v>
      </c>
      <c r="E7379" s="13" t="s">
        <v>13280</v>
      </c>
      <c r="F7379" s="43">
        <v>164.33</v>
      </c>
    </row>
    <row r="7380" spans="2:6" x14ac:dyDescent="0.25">
      <c r="B7380" s="13" t="s">
        <v>13281</v>
      </c>
      <c r="C7380" s="17" t="s">
        <v>170</v>
      </c>
      <c r="D7380" s="13" t="s">
        <v>118</v>
      </c>
      <c r="E7380" s="13" t="s">
        <v>13282</v>
      </c>
      <c r="F7380" s="43">
        <v>188.42</v>
      </c>
    </row>
    <row r="7381" spans="2:6" x14ac:dyDescent="0.25">
      <c r="B7381" s="13" t="s">
        <v>13283</v>
      </c>
      <c r="C7381" s="17" t="s">
        <v>170</v>
      </c>
      <c r="D7381" s="13" t="s">
        <v>118</v>
      </c>
      <c r="E7381" s="13" t="s">
        <v>13284</v>
      </c>
      <c r="F7381" s="43">
        <v>188.42</v>
      </c>
    </row>
    <row r="7382" spans="2:6" x14ac:dyDescent="0.25">
      <c r="B7382" s="13" t="s">
        <v>13285</v>
      </c>
      <c r="C7382" s="17" t="s">
        <v>170</v>
      </c>
      <c r="D7382" s="13" t="s">
        <v>118</v>
      </c>
      <c r="E7382" s="13" t="s">
        <v>13286</v>
      </c>
      <c r="F7382" s="43">
        <v>164.33</v>
      </c>
    </row>
    <row r="7383" spans="2:6" x14ac:dyDescent="0.25">
      <c r="B7383" s="13" t="s">
        <v>13287</v>
      </c>
      <c r="C7383" s="17" t="s">
        <v>170</v>
      </c>
      <c r="D7383" s="13" t="s">
        <v>118</v>
      </c>
      <c r="E7383" s="13" t="s">
        <v>13288</v>
      </c>
      <c r="F7383" s="43">
        <v>164.33</v>
      </c>
    </row>
    <row r="7384" spans="2:6" x14ac:dyDescent="0.25">
      <c r="B7384" s="13" t="s">
        <v>13289</v>
      </c>
      <c r="C7384" s="17" t="s">
        <v>170</v>
      </c>
      <c r="D7384" s="13" t="s">
        <v>118</v>
      </c>
      <c r="E7384" s="13" t="s">
        <v>13290</v>
      </c>
      <c r="F7384" s="43">
        <v>164.33</v>
      </c>
    </row>
    <row r="7385" spans="2:6" x14ac:dyDescent="0.25">
      <c r="B7385" s="13" t="s">
        <v>13291</v>
      </c>
      <c r="C7385" s="17" t="s">
        <v>170</v>
      </c>
      <c r="D7385" s="13" t="s">
        <v>118</v>
      </c>
      <c r="E7385" s="13" t="s">
        <v>13292</v>
      </c>
      <c r="F7385" s="43">
        <v>188.42</v>
      </c>
    </row>
    <row r="7386" spans="2:6" x14ac:dyDescent="0.25">
      <c r="B7386" s="13" t="s">
        <v>13293</v>
      </c>
      <c r="C7386" s="17" t="s">
        <v>170</v>
      </c>
      <c r="D7386" s="13" t="s">
        <v>118</v>
      </c>
      <c r="E7386" s="13" t="s">
        <v>13294</v>
      </c>
      <c r="F7386" s="43">
        <v>188.42</v>
      </c>
    </row>
    <row r="7387" spans="2:6" x14ac:dyDescent="0.25">
      <c r="B7387" s="13" t="s">
        <v>13295</v>
      </c>
      <c r="C7387" s="17" t="s">
        <v>170</v>
      </c>
      <c r="D7387" s="13" t="s">
        <v>118</v>
      </c>
      <c r="E7387" s="13" t="s">
        <v>13296</v>
      </c>
      <c r="F7387" s="43">
        <v>188.42</v>
      </c>
    </row>
    <row r="7388" spans="2:6" x14ac:dyDescent="0.25">
      <c r="B7388" s="13" t="s">
        <v>13297</v>
      </c>
      <c r="C7388" s="17" t="s">
        <v>170</v>
      </c>
      <c r="D7388" s="13" t="s">
        <v>118</v>
      </c>
      <c r="E7388" s="13" t="s">
        <v>13298</v>
      </c>
      <c r="F7388" s="43">
        <v>164.33</v>
      </c>
    </row>
    <row r="7389" spans="2:6" x14ac:dyDescent="0.25">
      <c r="B7389" s="13" t="s">
        <v>13299</v>
      </c>
      <c r="C7389" s="17" t="s">
        <v>170</v>
      </c>
      <c r="D7389" s="13" t="s">
        <v>118</v>
      </c>
      <c r="E7389" s="13" t="s">
        <v>13300</v>
      </c>
      <c r="F7389" s="43">
        <v>188.42</v>
      </c>
    </row>
    <row r="7390" spans="2:6" x14ac:dyDescent="0.25">
      <c r="B7390" s="13" t="s">
        <v>13301</v>
      </c>
      <c r="C7390" s="17" t="s">
        <v>170</v>
      </c>
      <c r="D7390" s="13" t="s">
        <v>118</v>
      </c>
      <c r="E7390" s="13" t="s">
        <v>13302</v>
      </c>
      <c r="F7390" s="43">
        <v>188.42</v>
      </c>
    </row>
    <row r="7391" spans="2:6" x14ac:dyDescent="0.25">
      <c r="B7391" s="13" t="s">
        <v>13303</v>
      </c>
      <c r="C7391" s="17" t="s">
        <v>170</v>
      </c>
      <c r="D7391" s="13" t="s">
        <v>118</v>
      </c>
      <c r="E7391" s="13" t="s">
        <v>13304</v>
      </c>
      <c r="F7391" s="43">
        <v>188.42</v>
      </c>
    </row>
    <row r="7392" spans="2:6" x14ac:dyDescent="0.25">
      <c r="B7392" s="13" t="s">
        <v>13305</v>
      </c>
      <c r="C7392" s="17" t="s">
        <v>170</v>
      </c>
      <c r="D7392" s="13" t="s">
        <v>118</v>
      </c>
      <c r="E7392" s="13" t="s">
        <v>13306</v>
      </c>
      <c r="F7392" s="43">
        <v>188.42</v>
      </c>
    </row>
    <row r="7393" spans="2:6" x14ac:dyDescent="0.25">
      <c r="B7393" s="13" t="s">
        <v>13307</v>
      </c>
      <c r="C7393" s="17" t="s">
        <v>170</v>
      </c>
      <c r="D7393" s="13" t="s">
        <v>118</v>
      </c>
      <c r="E7393" s="13" t="s">
        <v>13308</v>
      </c>
      <c r="F7393" s="43">
        <v>164.33</v>
      </c>
    </row>
    <row r="7394" spans="2:6" x14ac:dyDescent="0.25">
      <c r="B7394" s="13" t="s">
        <v>13309</v>
      </c>
      <c r="C7394" s="17" t="s">
        <v>170</v>
      </c>
      <c r="D7394" s="13" t="s">
        <v>118</v>
      </c>
      <c r="E7394" s="13" t="s">
        <v>13310</v>
      </c>
      <c r="F7394" s="43">
        <v>188.42</v>
      </c>
    </row>
    <row r="7395" spans="2:6" x14ac:dyDescent="0.25">
      <c r="B7395" s="13" t="s">
        <v>13311</v>
      </c>
      <c r="C7395" s="17" t="s">
        <v>170</v>
      </c>
      <c r="D7395" s="13" t="s">
        <v>118</v>
      </c>
      <c r="E7395" s="13" t="s">
        <v>13312</v>
      </c>
      <c r="F7395" s="43">
        <v>188.42</v>
      </c>
    </row>
    <row r="7396" spans="2:6" x14ac:dyDescent="0.25">
      <c r="B7396" s="13" t="s">
        <v>13313</v>
      </c>
      <c r="C7396" s="17" t="s">
        <v>170</v>
      </c>
      <c r="D7396" s="13" t="s">
        <v>118</v>
      </c>
      <c r="E7396" s="13" t="s">
        <v>13314</v>
      </c>
      <c r="F7396" s="43">
        <v>188.42</v>
      </c>
    </row>
    <row r="7397" spans="2:6" x14ac:dyDescent="0.25">
      <c r="B7397" s="13" t="s">
        <v>13315</v>
      </c>
      <c r="C7397" s="17" t="s">
        <v>170</v>
      </c>
      <c r="D7397" s="13" t="s">
        <v>118</v>
      </c>
      <c r="E7397" s="13" t="s">
        <v>13316</v>
      </c>
      <c r="F7397" s="43">
        <v>188.42</v>
      </c>
    </row>
    <row r="7398" spans="2:6" x14ac:dyDescent="0.25">
      <c r="B7398" s="13" t="s">
        <v>13317</v>
      </c>
      <c r="C7398" s="17" t="s">
        <v>170</v>
      </c>
      <c r="D7398" s="13" t="s">
        <v>118</v>
      </c>
      <c r="E7398" s="13" t="s">
        <v>13318</v>
      </c>
      <c r="F7398" s="43">
        <v>164.33</v>
      </c>
    </row>
    <row r="7399" spans="2:6" x14ac:dyDescent="0.25">
      <c r="B7399" s="13" t="s">
        <v>13319</v>
      </c>
      <c r="C7399" s="17" t="s">
        <v>170</v>
      </c>
      <c r="D7399" s="13" t="s">
        <v>118</v>
      </c>
      <c r="E7399" s="13" t="s">
        <v>13320</v>
      </c>
      <c r="F7399" s="43">
        <v>188.42</v>
      </c>
    </row>
    <row r="7400" spans="2:6" x14ac:dyDescent="0.25">
      <c r="B7400" s="13" t="s">
        <v>13321</v>
      </c>
      <c r="C7400" s="17" t="s">
        <v>170</v>
      </c>
      <c r="D7400" s="13" t="s">
        <v>118</v>
      </c>
      <c r="E7400" s="13" t="s">
        <v>13322</v>
      </c>
      <c r="F7400" s="43">
        <v>188.42</v>
      </c>
    </row>
    <row r="7401" spans="2:6" x14ac:dyDescent="0.25">
      <c r="B7401" s="13" t="s">
        <v>13323</v>
      </c>
      <c r="C7401" s="17" t="s">
        <v>170</v>
      </c>
      <c r="D7401" s="13" t="s">
        <v>118</v>
      </c>
      <c r="E7401" s="13" t="s">
        <v>13324</v>
      </c>
      <c r="F7401" s="43">
        <v>188.42</v>
      </c>
    </row>
    <row r="7402" spans="2:6" x14ac:dyDescent="0.25">
      <c r="B7402" s="13" t="s">
        <v>13325</v>
      </c>
      <c r="C7402" s="17" t="s">
        <v>170</v>
      </c>
      <c r="D7402" s="13" t="s">
        <v>118</v>
      </c>
      <c r="E7402" s="13" t="s">
        <v>13326</v>
      </c>
      <c r="F7402" s="43">
        <v>188.42</v>
      </c>
    </row>
    <row r="7403" spans="2:6" x14ac:dyDescent="0.25">
      <c r="B7403" s="13" t="s">
        <v>13327</v>
      </c>
      <c r="C7403" s="17" t="s">
        <v>170</v>
      </c>
      <c r="D7403" s="13" t="s">
        <v>118</v>
      </c>
      <c r="E7403" s="13" t="s">
        <v>13328</v>
      </c>
      <c r="F7403" s="43">
        <v>188.42</v>
      </c>
    </row>
    <row r="7404" spans="2:6" x14ac:dyDescent="0.25">
      <c r="B7404" s="13" t="s">
        <v>13329</v>
      </c>
      <c r="C7404" s="17" t="s">
        <v>170</v>
      </c>
      <c r="D7404" s="13" t="s">
        <v>118</v>
      </c>
      <c r="E7404" s="13" t="s">
        <v>13330</v>
      </c>
      <c r="F7404" s="43">
        <v>164.33</v>
      </c>
    </row>
    <row r="7405" spans="2:6" x14ac:dyDescent="0.25">
      <c r="B7405" s="13" t="s">
        <v>13331</v>
      </c>
      <c r="C7405" s="17" t="s">
        <v>170</v>
      </c>
      <c r="D7405" s="13" t="s">
        <v>118</v>
      </c>
      <c r="E7405" s="13" t="s">
        <v>13332</v>
      </c>
      <c r="F7405" s="43">
        <v>188.42</v>
      </c>
    </row>
    <row r="7406" spans="2:6" x14ac:dyDescent="0.25">
      <c r="B7406" s="13" t="s">
        <v>13333</v>
      </c>
      <c r="C7406" s="17" t="s">
        <v>170</v>
      </c>
      <c r="D7406" s="13" t="s">
        <v>118</v>
      </c>
      <c r="E7406" s="13" t="s">
        <v>13334</v>
      </c>
      <c r="F7406" s="43">
        <v>188.42</v>
      </c>
    </row>
    <row r="7407" spans="2:6" x14ac:dyDescent="0.25">
      <c r="B7407" s="13" t="s">
        <v>13335</v>
      </c>
      <c r="C7407" s="17" t="s">
        <v>170</v>
      </c>
      <c r="D7407" s="13" t="s">
        <v>118</v>
      </c>
      <c r="E7407" s="13" t="s">
        <v>13336</v>
      </c>
      <c r="F7407" s="43">
        <v>188.42</v>
      </c>
    </row>
    <row r="7408" spans="2:6" x14ac:dyDescent="0.25">
      <c r="B7408" s="13" t="s">
        <v>13337</v>
      </c>
      <c r="C7408" s="17" t="s">
        <v>170</v>
      </c>
      <c r="D7408" s="13" t="s">
        <v>118</v>
      </c>
      <c r="E7408" s="13" t="s">
        <v>13338</v>
      </c>
      <c r="F7408" s="43">
        <v>164.33</v>
      </c>
    </row>
    <row r="7409" spans="2:6" x14ac:dyDescent="0.25">
      <c r="B7409" s="13" t="s">
        <v>13339</v>
      </c>
      <c r="C7409" s="17" t="s">
        <v>170</v>
      </c>
      <c r="D7409" s="13" t="s">
        <v>118</v>
      </c>
      <c r="E7409" s="13" t="s">
        <v>13340</v>
      </c>
      <c r="F7409" s="43">
        <v>188.42</v>
      </c>
    </row>
    <row r="7410" spans="2:6" x14ac:dyDescent="0.25">
      <c r="B7410" s="13" t="s">
        <v>13341</v>
      </c>
      <c r="C7410" s="17" t="s">
        <v>170</v>
      </c>
      <c r="D7410" s="13" t="s">
        <v>118</v>
      </c>
      <c r="E7410" s="13" t="s">
        <v>13342</v>
      </c>
      <c r="F7410" s="43">
        <v>188.42</v>
      </c>
    </row>
    <row r="7411" spans="2:6" x14ac:dyDescent="0.25">
      <c r="B7411" s="13" t="s">
        <v>13343</v>
      </c>
      <c r="C7411" s="17" t="s">
        <v>170</v>
      </c>
      <c r="D7411" s="13" t="s">
        <v>118</v>
      </c>
      <c r="E7411" s="13" t="s">
        <v>13344</v>
      </c>
      <c r="F7411" s="43">
        <v>164.33</v>
      </c>
    </row>
    <row r="7412" spans="2:6" x14ac:dyDescent="0.25">
      <c r="B7412" s="13" t="s">
        <v>13345</v>
      </c>
      <c r="C7412" s="17" t="s">
        <v>170</v>
      </c>
      <c r="D7412" s="13" t="s">
        <v>118</v>
      </c>
      <c r="E7412" s="13" t="s">
        <v>13346</v>
      </c>
      <c r="F7412" s="43">
        <v>188.42</v>
      </c>
    </row>
    <row r="7413" spans="2:6" x14ac:dyDescent="0.25">
      <c r="B7413" s="13" t="s">
        <v>13347</v>
      </c>
      <c r="C7413" s="17" t="s">
        <v>170</v>
      </c>
      <c r="D7413" s="13" t="s">
        <v>118</v>
      </c>
      <c r="E7413" s="13" t="s">
        <v>13348</v>
      </c>
      <c r="F7413" s="43">
        <v>188.42</v>
      </c>
    </row>
    <row r="7414" spans="2:6" x14ac:dyDescent="0.25">
      <c r="B7414" s="13" t="s">
        <v>13349</v>
      </c>
      <c r="C7414" s="17" t="s">
        <v>170</v>
      </c>
      <c r="D7414" s="13" t="s">
        <v>118</v>
      </c>
      <c r="E7414" s="13" t="s">
        <v>13350</v>
      </c>
      <c r="F7414" s="43">
        <v>188.42</v>
      </c>
    </row>
    <row r="7415" spans="2:6" x14ac:dyDescent="0.25">
      <c r="B7415" s="13" t="s">
        <v>13351</v>
      </c>
      <c r="C7415" s="17" t="s">
        <v>170</v>
      </c>
      <c r="D7415" s="13" t="s">
        <v>118</v>
      </c>
      <c r="E7415" s="13" t="s">
        <v>13352</v>
      </c>
      <c r="F7415" s="43">
        <v>188.42</v>
      </c>
    </row>
    <row r="7416" spans="2:6" x14ac:dyDescent="0.25">
      <c r="B7416" s="13" t="s">
        <v>13353</v>
      </c>
      <c r="C7416" s="17" t="s">
        <v>170</v>
      </c>
      <c r="D7416" s="13" t="s">
        <v>118</v>
      </c>
      <c r="E7416" s="13" t="s">
        <v>13354</v>
      </c>
      <c r="F7416" s="43">
        <v>164.33</v>
      </c>
    </row>
    <row r="7417" spans="2:6" x14ac:dyDescent="0.25">
      <c r="B7417" s="13" t="s">
        <v>13355</v>
      </c>
      <c r="C7417" s="17" t="s">
        <v>170</v>
      </c>
      <c r="D7417" s="13" t="s">
        <v>118</v>
      </c>
      <c r="E7417" s="13" t="s">
        <v>13356</v>
      </c>
      <c r="F7417" s="43">
        <v>188.42</v>
      </c>
    </row>
    <row r="7418" spans="2:6" x14ac:dyDescent="0.25">
      <c r="B7418" s="13" t="s">
        <v>13357</v>
      </c>
      <c r="C7418" s="17" t="s">
        <v>170</v>
      </c>
      <c r="D7418" s="13" t="s">
        <v>118</v>
      </c>
      <c r="E7418" s="13" t="s">
        <v>13358</v>
      </c>
      <c r="F7418" s="43">
        <v>188.42</v>
      </c>
    </row>
    <row r="7419" spans="2:6" x14ac:dyDescent="0.25">
      <c r="B7419" s="13" t="s">
        <v>13359</v>
      </c>
      <c r="C7419" s="17" t="s">
        <v>170</v>
      </c>
      <c r="D7419" s="13" t="s">
        <v>118</v>
      </c>
      <c r="E7419" s="13" t="s">
        <v>13360</v>
      </c>
      <c r="F7419" s="43">
        <v>164.33</v>
      </c>
    </row>
    <row r="7420" spans="2:6" x14ac:dyDescent="0.25">
      <c r="B7420" s="13" t="s">
        <v>13359</v>
      </c>
      <c r="C7420" s="17" t="s">
        <v>170</v>
      </c>
      <c r="D7420" s="13" t="s">
        <v>118</v>
      </c>
      <c r="E7420" s="13" t="s">
        <v>13361</v>
      </c>
      <c r="F7420" s="43">
        <v>164.33</v>
      </c>
    </row>
    <row r="7421" spans="2:6" x14ac:dyDescent="0.25">
      <c r="B7421" s="13" t="s">
        <v>13362</v>
      </c>
      <c r="C7421" s="17" t="s">
        <v>170</v>
      </c>
      <c r="D7421" s="13" t="s">
        <v>118</v>
      </c>
      <c r="E7421" s="13" t="s">
        <v>13363</v>
      </c>
      <c r="F7421" s="43">
        <v>188.42</v>
      </c>
    </row>
    <row r="7422" spans="2:6" x14ac:dyDescent="0.25">
      <c r="B7422" s="13" t="s">
        <v>13364</v>
      </c>
      <c r="C7422" s="17" t="s">
        <v>170</v>
      </c>
      <c r="D7422" s="13" t="s">
        <v>118</v>
      </c>
      <c r="E7422" s="13" t="s">
        <v>13365</v>
      </c>
      <c r="F7422" s="43">
        <v>164.33</v>
      </c>
    </row>
    <row r="7423" spans="2:6" x14ac:dyDescent="0.25">
      <c r="B7423" s="13" t="s">
        <v>13366</v>
      </c>
      <c r="C7423" s="17" t="s">
        <v>170</v>
      </c>
      <c r="D7423" s="13" t="s">
        <v>118</v>
      </c>
      <c r="E7423" s="13" t="s">
        <v>13367</v>
      </c>
      <c r="F7423" s="43">
        <v>164.33</v>
      </c>
    </row>
    <row r="7424" spans="2:6" x14ac:dyDescent="0.25">
      <c r="B7424" s="13" t="s">
        <v>13368</v>
      </c>
      <c r="C7424" s="17" t="s">
        <v>170</v>
      </c>
      <c r="D7424" s="13" t="s">
        <v>118</v>
      </c>
      <c r="E7424" s="13" t="s">
        <v>13369</v>
      </c>
      <c r="F7424" s="43">
        <v>188.42</v>
      </c>
    </row>
    <row r="7425" spans="2:6" x14ac:dyDescent="0.25">
      <c r="B7425" s="13" t="s">
        <v>13370</v>
      </c>
      <c r="C7425" s="17" t="s">
        <v>170</v>
      </c>
      <c r="D7425" s="13" t="s">
        <v>118</v>
      </c>
      <c r="E7425" s="13" t="s">
        <v>13371</v>
      </c>
      <c r="F7425" s="43">
        <v>188.42</v>
      </c>
    </row>
    <row r="7426" spans="2:6" x14ac:dyDescent="0.25">
      <c r="B7426" s="13" t="s">
        <v>13372</v>
      </c>
      <c r="C7426" s="17" t="s">
        <v>170</v>
      </c>
      <c r="D7426" s="13" t="s">
        <v>118</v>
      </c>
      <c r="E7426" s="13" t="s">
        <v>13373</v>
      </c>
      <c r="F7426" s="43">
        <v>189.8</v>
      </c>
    </row>
    <row r="7427" spans="2:6" x14ac:dyDescent="0.25">
      <c r="B7427" s="13" t="s">
        <v>13374</v>
      </c>
      <c r="C7427" s="17" t="s">
        <v>170</v>
      </c>
      <c r="D7427" s="13" t="s">
        <v>118</v>
      </c>
      <c r="E7427" s="13" t="s">
        <v>13375</v>
      </c>
      <c r="F7427" s="43">
        <v>189.8</v>
      </c>
    </row>
    <row r="7428" spans="2:6" x14ac:dyDescent="0.25">
      <c r="B7428" s="13" t="s">
        <v>13376</v>
      </c>
      <c r="C7428" s="17" t="s">
        <v>170</v>
      </c>
      <c r="D7428" s="13" t="s">
        <v>118</v>
      </c>
      <c r="E7428" s="13" t="s">
        <v>13377</v>
      </c>
      <c r="F7428" s="43">
        <v>189.8</v>
      </c>
    </row>
    <row r="7429" spans="2:6" x14ac:dyDescent="0.25">
      <c r="B7429" s="13" t="s">
        <v>13378</v>
      </c>
      <c r="C7429" s="17" t="s">
        <v>170</v>
      </c>
      <c r="D7429" s="13" t="s">
        <v>118</v>
      </c>
      <c r="E7429" s="13" t="s">
        <v>13379</v>
      </c>
      <c r="F7429" s="43">
        <v>313.62</v>
      </c>
    </row>
    <row r="7430" spans="2:6" x14ac:dyDescent="0.25">
      <c r="B7430" s="13" t="s">
        <v>13380</v>
      </c>
      <c r="C7430" s="17" t="s">
        <v>170</v>
      </c>
      <c r="D7430" s="13" t="s">
        <v>118</v>
      </c>
      <c r="E7430" s="13" t="s">
        <v>13381</v>
      </c>
      <c r="F7430" s="43">
        <v>164.33</v>
      </c>
    </row>
    <row r="7431" spans="2:6" x14ac:dyDescent="0.25">
      <c r="B7431" s="13" t="s">
        <v>13382</v>
      </c>
      <c r="C7431" s="17" t="s">
        <v>170</v>
      </c>
      <c r="D7431" s="13" t="s">
        <v>118</v>
      </c>
      <c r="E7431" s="13" t="s">
        <v>13383</v>
      </c>
      <c r="F7431" s="43">
        <v>188.42</v>
      </c>
    </row>
    <row r="7432" spans="2:6" x14ac:dyDescent="0.25">
      <c r="B7432" s="13" t="s">
        <v>13384</v>
      </c>
      <c r="C7432" s="17" t="s">
        <v>170</v>
      </c>
      <c r="D7432" s="13" t="s">
        <v>118</v>
      </c>
      <c r="E7432" s="13" t="s">
        <v>13385</v>
      </c>
      <c r="F7432" s="43">
        <v>164.33</v>
      </c>
    </row>
    <row r="7433" spans="2:6" x14ac:dyDescent="0.25">
      <c r="B7433" s="13" t="s">
        <v>13386</v>
      </c>
      <c r="C7433" s="17" t="s">
        <v>170</v>
      </c>
      <c r="D7433" s="13" t="s">
        <v>118</v>
      </c>
      <c r="E7433" s="13" t="s">
        <v>13387</v>
      </c>
      <c r="F7433" s="43">
        <v>188.42</v>
      </c>
    </row>
    <row r="7434" spans="2:6" x14ac:dyDescent="0.25">
      <c r="B7434" s="13" t="s">
        <v>13388</v>
      </c>
      <c r="C7434" s="17" t="s">
        <v>170</v>
      </c>
      <c r="D7434" s="13" t="s">
        <v>118</v>
      </c>
      <c r="E7434" s="13" t="s">
        <v>13389</v>
      </c>
      <c r="F7434" s="43">
        <v>164.33</v>
      </c>
    </row>
    <row r="7435" spans="2:6" x14ac:dyDescent="0.25">
      <c r="B7435" s="13" t="s">
        <v>13390</v>
      </c>
      <c r="C7435" s="17" t="s">
        <v>170</v>
      </c>
      <c r="D7435" s="13" t="s">
        <v>118</v>
      </c>
      <c r="E7435" s="13" t="s">
        <v>13391</v>
      </c>
      <c r="F7435" s="43">
        <v>164.33</v>
      </c>
    </row>
    <row r="7436" spans="2:6" x14ac:dyDescent="0.25">
      <c r="B7436" s="13" t="s">
        <v>13392</v>
      </c>
      <c r="C7436" s="17" t="s">
        <v>170</v>
      </c>
      <c r="D7436" s="13" t="s">
        <v>118</v>
      </c>
      <c r="E7436" s="13" t="s">
        <v>13393</v>
      </c>
      <c r="F7436" s="43">
        <v>164.33</v>
      </c>
    </row>
    <row r="7437" spans="2:6" x14ac:dyDescent="0.25">
      <c r="B7437" s="13" t="s">
        <v>13394</v>
      </c>
      <c r="C7437" s="17" t="s">
        <v>170</v>
      </c>
      <c r="D7437" s="13" t="s">
        <v>118</v>
      </c>
      <c r="E7437" s="13" t="s">
        <v>13395</v>
      </c>
      <c r="F7437" s="43">
        <v>164.33</v>
      </c>
    </row>
    <row r="7438" spans="2:6" x14ac:dyDescent="0.25">
      <c r="B7438" s="13" t="s">
        <v>13396</v>
      </c>
      <c r="C7438" s="17" t="s">
        <v>170</v>
      </c>
      <c r="D7438" s="13" t="s">
        <v>118</v>
      </c>
      <c r="E7438" s="13" t="s">
        <v>13397</v>
      </c>
      <c r="F7438" s="43">
        <v>188.42</v>
      </c>
    </row>
    <row r="7439" spans="2:6" x14ac:dyDescent="0.25">
      <c r="B7439" s="13" t="s">
        <v>13398</v>
      </c>
      <c r="C7439" s="17" t="s">
        <v>170</v>
      </c>
      <c r="D7439" s="13" t="s">
        <v>118</v>
      </c>
      <c r="E7439" s="13" t="s">
        <v>13399</v>
      </c>
      <c r="F7439" s="43">
        <v>164.33</v>
      </c>
    </row>
    <row r="7440" spans="2:6" x14ac:dyDescent="0.25">
      <c r="B7440" s="13" t="s">
        <v>13400</v>
      </c>
      <c r="C7440" s="17" t="s">
        <v>170</v>
      </c>
      <c r="D7440" s="13" t="s">
        <v>118</v>
      </c>
      <c r="E7440" s="13" t="s">
        <v>13401</v>
      </c>
      <c r="F7440" s="43">
        <v>164.33</v>
      </c>
    </row>
    <row r="7441" spans="2:6" x14ac:dyDescent="0.25">
      <c r="B7441" s="13" t="s">
        <v>13402</v>
      </c>
      <c r="C7441" s="17" t="s">
        <v>170</v>
      </c>
      <c r="D7441" s="13" t="s">
        <v>118</v>
      </c>
      <c r="E7441" s="13" t="s">
        <v>13403</v>
      </c>
      <c r="F7441" s="43">
        <v>164.33</v>
      </c>
    </row>
    <row r="7442" spans="2:6" x14ac:dyDescent="0.25">
      <c r="B7442" s="13" t="s">
        <v>13404</v>
      </c>
      <c r="C7442" s="17" t="s">
        <v>170</v>
      </c>
      <c r="D7442" s="13" t="s">
        <v>118</v>
      </c>
      <c r="E7442" s="13" t="s">
        <v>13405</v>
      </c>
      <c r="F7442" s="43">
        <v>188.42</v>
      </c>
    </row>
    <row r="7443" spans="2:6" x14ac:dyDescent="0.25">
      <c r="B7443" s="13" t="s">
        <v>13406</v>
      </c>
      <c r="C7443" s="17" t="s">
        <v>170</v>
      </c>
      <c r="D7443" s="13" t="s">
        <v>118</v>
      </c>
      <c r="E7443" s="13" t="s">
        <v>13407</v>
      </c>
      <c r="F7443" s="43">
        <v>164.33</v>
      </c>
    </row>
    <row r="7444" spans="2:6" x14ac:dyDescent="0.25">
      <c r="B7444" s="13" t="s">
        <v>13408</v>
      </c>
      <c r="C7444" s="17" t="s">
        <v>170</v>
      </c>
      <c r="D7444" s="13" t="s">
        <v>118</v>
      </c>
      <c r="E7444" s="13" t="s">
        <v>13409</v>
      </c>
      <c r="F7444" s="43">
        <v>188.42</v>
      </c>
    </row>
    <row r="7445" spans="2:6" x14ac:dyDescent="0.25">
      <c r="B7445" s="13" t="s">
        <v>13410</v>
      </c>
      <c r="C7445" s="17" t="s">
        <v>170</v>
      </c>
      <c r="D7445" s="13" t="s">
        <v>118</v>
      </c>
      <c r="E7445" s="13" t="s">
        <v>13411</v>
      </c>
      <c r="F7445" s="43">
        <v>164.33</v>
      </c>
    </row>
    <row r="7446" spans="2:6" x14ac:dyDescent="0.25">
      <c r="B7446" s="13" t="s">
        <v>13412</v>
      </c>
      <c r="C7446" s="17" t="s">
        <v>170</v>
      </c>
      <c r="D7446" s="13" t="s">
        <v>118</v>
      </c>
      <c r="E7446" s="13" t="s">
        <v>13413</v>
      </c>
      <c r="F7446" s="43">
        <v>188.42</v>
      </c>
    </row>
    <row r="7447" spans="2:6" x14ac:dyDescent="0.25">
      <c r="B7447" s="13" t="s">
        <v>13414</v>
      </c>
      <c r="C7447" s="17" t="s">
        <v>170</v>
      </c>
      <c r="D7447" s="13" t="s">
        <v>118</v>
      </c>
      <c r="E7447" s="13" t="s">
        <v>13415</v>
      </c>
      <c r="F7447" s="43">
        <v>164.33</v>
      </c>
    </row>
    <row r="7448" spans="2:6" x14ac:dyDescent="0.25">
      <c r="B7448" s="13" t="s">
        <v>13416</v>
      </c>
      <c r="C7448" s="17" t="s">
        <v>170</v>
      </c>
      <c r="D7448" s="13" t="s">
        <v>118</v>
      </c>
      <c r="E7448" s="13" t="s">
        <v>13417</v>
      </c>
      <c r="F7448" s="43">
        <v>188.42</v>
      </c>
    </row>
    <row r="7449" spans="2:6" x14ac:dyDescent="0.25">
      <c r="B7449" s="13" t="s">
        <v>13418</v>
      </c>
      <c r="C7449" s="17" t="s">
        <v>170</v>
      </c>
      <c r="D7449" s="13" t="s">
        <v>118</v>
      </c>
      <c r="E7449" s="13" t="s">
        <v>13419</v>
      </c>
      <c r="F7449" s="43">
        <v>188.42</v>
      </c>
    </row>
    <row r="7450" spans="2:6" x14ac:dyDescent="0.25">
      <c r="B7450" s="13" t="s">
        <v>13420</v>
      </c>
      <c r="C7450" s="17" t="s">
        <v>170</v>
      </c>
      <c r="D7450" s="13" t="s">
        <v>118</v>
      </c>
      <c r="E7450" s="13" t="s">
        <v>13421</v>
      </c>
      <c r="F7450" s="43">
        <v>188.42</v>
      </c>
    </row>
    <row r="7451" spans="2:6" x14ac:dyDescent="0.25">
      <c r="B7451" s="13" t="s">
        <v>13422</v>
      </c>
      <c r="C7451" s="17" t="s">
        <v>170</v>
      </c>
      <c r="D7451" s="13" t="s">
        <v>118</v>
      </c>
      <c r="E7451" s="13" t="s">
        <v>13423</v>
      </c>
      <c r="F7451" s="43">
        <v>164.33</v>
      </c>
    </row>
    <row r="7452" spans="2:6" x14ac:dyDescent="0.25">
      <c r="B7452" s="13" t="s">
        <v>13424</v>
      </c>
      <c r="C7452" s="17" t="s">
        <v>170</v>
      </c>
      <c r="D7452" s="13" t="s">
        <v>118</v>
      </c>
      <c r="E7452" s="13" t="s">
        <v>13425</v>
      </c>
      <c r="F7452" s="43">
        <v>164.33</v>
      </c>
    </row>
    <row r="7453" spans="2:6" x14ac:dyDescent="0.25">
      <c r="B7453" s="13" t="s">
        <v>13426</v>
      </c>
      <c r="C7453" s="17" t="s">
        <v>170</v>
      </c>
      <c r="D7453" s="13" t="s">
        <v>118</v>
      </c>
      <c r="E7453" s="13" t="s">
        <v>13427</v>
      </c>
      <c r="F7453" s="43">
        <v>188.42</v>
      </c>
    </row>
    <row r="7454" spans="2:6" x14ac:dyDescent="0.25">
      <c r="B7454" s="13" t="s">
        <v>13428</v>
      </c>
      <c r="C7454" s="17" t="s">
        <v>170</v>
      </c>
      <c r="D7454" s="13" t="s">
        <v>118</v>
      </c>
      <c r="E7454" s="13" t="s">
        <v>13429</v>
      </c>
      <c r="F7454" s="43">
        <v>164.33</v>
      </c>
    </row>
    <row r="7455" spans="2:6" x14ac:dyDescent="0.25">
      <c r="B7455" s="13" t="s">
        <v>13430</v>
      </c>
      <c r="C7455" s="17" t="s">
        <v>170</v>
      </c>
      <c r="D7455" s="13" t="s">
        <v>118</v>
      </c>
      <c r="E7455" s="13" t="s">
        <v>13431</v>
      </c>
      <c r="F7455" s="43">
        <v>188.42</v>
      </c>
    </row>
    <row r="7456" spans="2:6" x14ac:dyDescent="0.25">
      <c r="B7456" s="13" t="s">
        <v>13432</v>
      </c>
      <c r="C7456" s="17" t="s">
        <v>170</v>
      </c>
      <c r="D7456" s="13" t="s">
        <v>118</v>
      </c>
      <c r="E7456" s="13" t="s">
        <v>13433</v>
      </c>
      <c r="F7456" s="43">
        <v>188.42</v>
      </c>
    </row>
    <row r="7457" spans="2:6" x14ac:dyDescent="0.25">
      <c r="B7457" s="13" t="s">
        <v>13434</v>
      </c>
      <c r="C7457" s="17" t="s">
        <v>170</v>
      </c>
      <c r="D7457" s="13" t="s">
        <v>118</v>
      </c>
      <c r="E7457" s="13" t="s">
        <v>13435</v>
      </c>
      <c r="F7457" s="43">
        <v>164.33</v>
      </c>
    </row>
    <row r="7458" spans="2:6" x14ac:dyDescent="0.25">
      <c r="B7458" s="13" t="s">
        <v>13436</v>
      </c>
      <c r="C7458" s="17" t="s">
        <v>170</v>
      </c>
      <c r="D7458" s="13" t="s">
        <v>118</v>
      </c>
      <c r="E7458" s="13" t="s">
        <v>13437</v>
      </c>
      <c r="F7458" s="43">
        <v>164.33</v>
      </c>
    </row>
    <row r="7459" spans="2:6" x14ac:dyDescent="0.25">
      <c r="B7459" s="13" t="s">
        <v>13438</v>
      </c>
      <c r="C7459" s="17" t="s">
        <v>170</v>
      </c>
      <c r="D7459" s="13" t="s">
        <v>118</v>
      </c>
      <c r="E7459" s="13" t="s">
        <v>13439</v>
      </c>
      <c r="F7459" s="43">
        <v>188.42</v>
      </c>
    </row>
    <row r="7460" spans="2:6" x14ac:dyDescent="0.25">
      <c r="B7460" s="13" t="s">
        <v>13440</v>
      </c>
      <c r="C7460" s="17" t="s">
        <v>170</v>
      </c>
      <c r="D7460" s="13" t="s">
        <v>118</v>
      </c>
      <c r="E7460" s="13" t="s">
        <v>13441</v>
      </c>
      <c r="F7460" s="43">
        <v>164.33</v>
      </c>
    </row>
    <row r="7461" spans="2:6" x14ac:dyDescent="0.25">
      <c r="B7461" s="13" t="s">
        <v>13442</v>
      </c>
      <c r="C7461" s="17" t="s">
        <v>170</v>
      </c>
      <c r="D7461" s="13" t="s">
        <v>118</v>
      </c>
      <c r="E7461" s="13" t="s">
        <v>13443</v>
      </c>
      <c r="F7461" s="43">
        <v>188.42</v>
      </c>
    </row>
    <row r="7462" spans="2:6" x14ac:dyDescent="0.25">
      <c r="B7462" s="13" t="s">
        <v>13444</v>
      </c>
      <c r="C7462" s="17" t="s">
        <v>170</v>
      </c>
      <c r="D7462" s="13" t="s">
        <v>118</v>
      </c>
      <c r="E7462" s="13" t="s">
        <v>13445</v>
      </c>
      <c r="F7462" s="43">
        <v>206.67</v>
      </c>
    </row>
    <row r="7463" spans="2:6" x14ac:dyDescent="0.25">
      <c r="B7463" s="13" t="s">
        <v>13446</v>
      </c>
      <c r="C7463" s="17" t="s">
        <v>170</v>
      </c>
      <c r="D7463" s="13" t="s">
        <v>118</v>
      </c>
      <c r="E7463" s="13" t="s">
        <v>13447</v>
      </c>
      <c r="F7463" s="43">
        <v>164.33</v>
      </c>
    </row>
    <row r="7464" spans="2:6" x14ac:dyDescent="0.25">
      <c r="B7464" s="13" t="s">
        <v>13448</v>
      </c>
      <c r="C7464" s="17" t="s">
        <v>170</v>
      </c>
      <c r="D7464" s="13" t="s">
        <v>118</v>
      </c>
      <c r="E7464" s="13" t="s">
        <v>13449</v>
      </c>
      <c r="F7464" s="43">
        <v>188.42</v>
      </c>
    </row>
    <row r="7465" spans="2:6" x14ac:dyDescent="0.25">
      <c r="B7465" s="13" t="s">
        <v>13450</v>
      </c>
      <c r="C7465" s="17" t="s">
        <v>170</v>
      </c>
      <c r="D7465" s="13" t="s">
        <v>118</v>
      </c>
      <c r="E7465" s="13" t="s">
        <v>13449</v>
      </c>
      <c r="F7465" s="43">
        <v>188.42</v>
      </c>
    </row>
    <row r="7466" spans="2:6" x14ac:dyDescent="0.25">
      <c r="B7466" s="13" t="s">
        <v>13451</v>
      </c>
      <c r="C7466" s="17" t="s">
        <v>170</v>
      </c>
      <c r="D7466" s="13" t="s">
        <v>118</v>
      </c>
      <c r="E7466" s="13" t="s">
        <v>13452</v>
      </c>
      <c r="F7466" s="43">
        <v>188.42</v>
      </c>
    </row>
    <row r="7467" spans="2:6" x14ac:dyDescent="0.25">
      <c r="B7467" s="13" t="s">
        <v>13453</v>
      </c>
      <c r="C7467" s="17" t="s">
        <v>170</v>
      </c>
      <c r="D7467" s="13" t="s">
        <v>118</v>
      </c>
      <c r="E7467" s="13" t="s">
        <v>13454</v>
      </c>
      <c r="F7467" s="43">
        <v>164.33</v>
      </c>
    </row>
    <row r="7468" spans="2:6" x14ac:dyDescent="0.25">
      <c r="B7468" s="13" t="s">
        <v>13455</v>
      </c>
      <c r="C7468" s="17" t="s">
        <v>170</v>
      </c>
      <c r="D7468" s="13" t="s">
        <v>118</v>
      </c>
      <c r="E7468" s="13" t="s">
        <v>13456</v>
      </c>
      <c r="F7468" s="43">
        <v>188.42</v>
      </c>
    </row>
    <row r="7469" spans="2:6" x14ac:dyDescent="0.25">
      <c r="B7469" s="13" t="s">
        <v>13457</v>
      </c>
      <c r="C7469" s="17" t="s">
        <v>170</v>
      </c>
      <c r="D7469" s="13" t="s">
        <v>118</v>
      </c>
      <c r="E7469" s="13" t="s">
        <v>13458</v>
      </c>
      <c r="F7469" s="43">
        <v>164.33</v>
      </c>
    </row>
    <row r="7470" spans="2:6" x14ac:dyDescent="0.25">
      <c r="B7470" s="13" t="s">
        <v>13459</v>
      </c>
      <c r="C7470" s="17" t="s">
        <v>170</v>
      </c>
      <c r="D7470" s="13" t="s">
        <v>118</v>
      </c>
      <c r="E7470" s="13" t="s">
        <v>13460</v>
      </c>
      <c r="F7470" s="43">
        <v>188.42</v>
      </c>
    </row>
    <row r="7471" spans="2:6" x14ac:dyDescent="0.25">
      <c r="B7471" s="13" t="s">
        <v>13461</v>
      </c>
      <c r="C7471" s="17" t="s">
        <v>170</v>
      </c>
      <c r="D7471" s="13" t="s">
        <v>118</v>
      </c>
      <c r="E7471" s="13" t="s">
        <v>13462</v>
      </c>
      <c r="F7471" s="43">
        <v>164.33</v>
      </c>
    </row>
    <row r="7472" spans="2:6" x14ac:dyDescent="0.25">
      <c r="B7472" s="13" t="s">
        <v>13463</v>
      </c>
      <c r="C7472" s="17" t="s">
        <v>170</v>
      </c>
      <c r="D7472" s="13" t="s">
        <v>118</v>
      </c>
      <c r="E7472" s="13" t="s">
        <v>13464</v>
      </c>
      <c r="F7472" s="43">
        <v>164.33</v>
      </c>
    </row>
    <row r="7473" spans="2:6" x14ac:dyDescent="0.25">
      <c r="B7473" s="13" t="s">
        <v>13465</v>
      </c>
      <c r="C7473" s="17" t="s">
        <v>170</v>
      </c>
      <c r="D7473" s="13" t="s">
        <v>118</v>
      </c>
      <c r="E7473" s="13" t="s">
        <v>13466</v>
      </c>
      <c r="F7473" s="43">
        <v>188.42</v>
      </c>
    </row>
    <row r="7474" spans="2:6" x14ac:dyDescent="0.25">
      <c r="B7474" s="13" t="s">
        <v>13467</v>
      </c>
      <c r="C7474" s="17" t="s">
        <v>170</v>
      </c>
      <c r="D7474" s="13" t="s">
        <v>118</v>
      </c>
      <c r="E7474" s="13" t="s">
        <v>13468</v>
      </c>
      <c r="F7474" s="43">
        <v>189.8</v>
      </c>
    </row>
    <row r="7475" spans="2:6" x14ac:dyDescent="0.25">
      <c r="B7475" s="13" t="s">
        <v>13469</v>
      </c>
      <c r="C7475" s="17" t="s">
        <v>170</v>
      </c>
      <c r="D7475" s="13" t="s">
        <v>118</v>
      </c>
      <c r="E7475" s="13" t="s">
        <v>13470</v>
      </c>
      <c r="F7475" s="43">
        <v>213.9</v>
      </c>
    </row>
    <row r="7476" spans="2:6" x14ac:dyDescent="0.25">
      <c r="B7476" s="13" t="s">
        <v>13471</v>
      </c>
      <c r="C7476" s="17" t="s">
        <v>170</v>
      </c>
      <c r="D7476" s="13" t="s">
        <v>118</v>
      </c>
      <c r="E7476" s="13" t="s">
        <v>13472</v>
      </c>
      <c r="F7476" s="43">
        <v>189.8</v>
      </c>
    </row>
    <row r="7477" spans="2:6" x14ac:dyDescent="0.25">
      <c r="B7477" s="13" t="s">
        <v>13473</v>
      </c>
      <c r="C7477" s="17" t="s">
        <v>170</v>
      </c>
      <c r="D7477" s="13" t="s">
        <v>118</v>
      </c>
      <c r="E7477" s="13" t="s">
        <v>13474</v>
      </c>
      <c r="F7477" s="43">
        <v>213.9</v>
      </c>
    </row>
    <row r="7478" spans="2:6" x14ac:dyDescent="0.25">
      <c r="B7478" s="13" t="s">
        <v>13475</v>
      </c>
      <c r="C7478" s="17" t="s">
        <v>170</v>
      </c>
      <c r="D7478" s="13" t="s">
        <v>118</v>
      </c>
      <c r="E7478" s="13" t="s">
        <v>13476</v>
      </c>
      <c r="F7478" s="43">
        <v>313.62</v>
      </c>
    </row>
    <row r="7479" spans="2:6" x14ac:dyDescent="0.25">
      <c r="B7479" s="13" t="s">
        <v>13477</v>
      </c>
      <c r="C7479" s="17" t="s">
        <v>170</v>
      </c>
      <c r="D7479" s="13" t="s">
        <v>118</v>
      </c>
      <c r="E7479" s="13" t="s">
        <v>13478</v>
      </c>
      <c r="F7479" s="43">
        <v>226.64</v>
      </c>
    </row>
    <row r="7480" spans="2:6" x14ac:dyDescent="0.25">
      <c r="B7480" s="13" t="s">
        <v>13479</v>
      </c>
      <c r="C7480" s="17" t="s">
        <v>170</v>
      </c>
      <c r="D7480" s="13" t="s">
        <v>118</v>
      </c>
      <c r="E7480" s="13" t="s">
        <v>13480</v>
      </c>
      <c r="F7480" s="43">
        <v>226.64</v>
      </c>
    </row>
    <row r="7481" spans="2:6" x14ac:dyDescent="0.25">
      <c r="B7481" s="13" t="s">
        <v>13481</v>
      </c>
      <c r="C7481" s="17" t="s">
        <v>170</v>
      </c>
      <c r="D7481" s="13" t="s">
        <v>118</v>
      </c>
      <c r="E7481" s="13" t="s">
        <v>13482</v>
      </c>
      <c r="F7481" s="43">
        <v>226.64</v>
      </c>
    </row>
    <row r="7482" spans="2:6" x14ac:dyDescent="0.25">
      <c r="B7482" s="13" t="s">
        <v>13483</v>
      </c>
      <c r="C7482" s="17" t="s">
        <v>170</v>
      </c>
      <c r="D7482" s="13" t="s">
        <v>118</v>
      </c>
      <c r="E7482" s="13" t="s">
        <v>13484</v>
      </c>
      <c r="F7482" s="43">
        <v>226.64</v>
      </c>
    </row>
    <row r="7483" spans="2:6" x14ac:dyDescent="0.25">
      <c r="B7483" s="13" t="s">
        <v>13485</v>
      </c>
      <c r="C7483" s="17" t="s">
        <v>170</v>
      </c>
      <c r="D7483" s="13" t="s">
        <v>118</v>
      </c>
      <c r="E7483" s="13" t="s">
        <v>13486</v>
      </c>
      <c r="F7483" s="43">
        <v>226.64</v>
      </c>
    </row>
    <row r="7484" spans="2:6" x14ac:dyDescent="0.25">
      <c r="B7484" s="13" t="s">
        <v>13487</v>
      </c>
      <c r="C7484" s="17" t="s">
        <v>170</v>
      </c>
      <c r="D7484" s="13" t="s">
        <v>118</v>
      </c>
      <c r="E7484" s="13" t="s">
        <v>13488</v>
      </c>
      <c r="F7484" s="43">
        <v>226.64</v>
      </c>
    </row>
    <row r="7485" spans="2:6" x14ac:dyDescent="0.25">
      <c r="B7485" s="13" t="s">
        <v>13489</v>
      </c>
      <c r="C7485" s="17" t="s">
        <v>170</v>
      </c>
      <c r="D7485" s="13" t="s">
        <v>118</v>
      </c>
      <c r="E7485" s="13" t="s">
        <v>13490</v>
      </c>
      <c r="F7485" s="43">
        <v>226.64</v>
      </c>
    </row>
    <row r="7486" spans="2:6" x14ac:dyDescent="0.25">
      <c r="B7486" s="13" t="s">
        <v>13491</v>
      </c>
      <c r="C7486" s="17" t="s">
        <v>170</v>
      </c>
      <c r="D7486" s="13" t="s">
        <v>118</v>
      </c>
      <c r="E7486" s="13" t="s">
        <v>13492</v>
      </c>
      <c r="F7486" s="43">
        <v>226.64</v>
      </c>
    </row>
    <row r="7487" spans="2:6" x14ac:dyDescent="0.25">
      <c r="B7487" s="13" t="s">
        <v>13493</v>
      </c>
      <c r="C7487" s="17" t="s">
        <v>170</v>
      </c>
      <c r="D7487" s="13" t="s">
        <v>118</v>
      </c>
      <c r="E7487" s="13" t="s">
        <v>13494</v>
      </c>
      <c r="F7487" s="43">
        <v>226.64</v>
      </c>
    </row>
    <row r="7488" spans="2:6" x14ac:dyDescent="0.25">
      <c r="B7488" s="13" t="s">
        <v>13495</v>
      </c>
      <c r="C7488" s="17" t="s">
        <v>170</v>
      </c>
      <c r="D7488" s="13" t="s">
        <v>118</v>
      </c>
      <c r="E7488" s="13" t="s">
        <v>13496</v>
      </c>
      <c r="F7488" s="43">
        <v>226.64</v>
      </c>
    </row>
    <row r="7489" spans="2:6" x14ac:dyDescent="0.25">
      <c r="B7489" s="13" t="s">
        <v>13497</v>
      </c>
      <c r="C7489" s="17" t="s">
        <v>170</v>
      </c>
      <c r="D7489" s="13" t="s">
        <v>118</v>
      </c>
      <c r="E7489" s="13" t="s">
        <v>13498</v>
      </c>
      <c r="F7489" s="43">
        <v>226.64</v>
      </c>
    </row>
    <row r="7490" spans="2:6" x14ac:dyDescent="0.25">
      <c r="B7490" s="13" t="s">
        <v>13499</v>
      </c>
      <c r="C7490" s="17" t="s">
        <v>170</v>
      </c>
      <c r="D7490" s="13" t="s">
        <v>118</v>
      </c>
      <c r="E7490" s="13" t="s">
        <v>13500</v>
      </c>
      <c r="F7490" s="43">
        <v>226.64</v>
      </c>
    </row>
    <row r="7491" spans="2:6" x14ac:dyDescent="0.25">
      <c r="B7491" s="13" t="s">
        <v>13501</v>
      </c>
      <c r="C7491" s="17" t="s">
        <v>170</v>
      </c>
      <c r="D7491" s="13" t="s">
        <v>118</v>
      </c>
      <c r="E7491" s="13" t="s">
        <v>13502</v>
      </c>
      <c r="F7491" s="43">
        <v>226.64</v>
      </c>
    </row>
    <row r="7492" spans="2:6" x14ac:dyDescent="0.25">
      <c r="B7492" s="13" t="s">
        <v>13503</v>
      </c>
      <c r="C7492" s="17" t="s">
        <v>170</v>
      </c>
      <c r="D7492" s="13" t="s">
        <v>118</v>
      </c>
      <c r="E7492" s="13" t="s">
        <v>13504</v>
      </c>
      <c r="F7492" s="43">
        <v>226.64</v>
      </c>
    </row>
    <row r="7493" spans="2:6" x14ac:dyDescent="0.25">
      <c r="B7493" s="13" t="s">
        <v>13505</v>
      </c>
      <c r="C7493" s="17" t="s">
        <v>170</v>
      </c>
      <c r="D7493" s="13" t="s">
        <v>118</v>
      </c>
      <c r="E7493" s="13" t="s">
        <v>13506</v>
      </c>
      <c r="F7493" s="43">
        <v>226.64</v>
      </c>
    </row>
    <row r="7494" spans="2:6" x14ac:dyDescent="0.25">
      <c r="B7494" s="13" t="s">
        <v>13507</v>
      </c>
      <c r="C7494" s="17" t="s">
        <v>170</v>
      </c>
      <c r="D7494" s="13" t="s">
        <v>118</v>
      </c>
      <c r="E7494" s="13" t="s">
        <v>13508</v>
      </c>
      <c r="F7494" s="43">
        <v>226.64</v>
      </c>
    </row>
    <row r="7495" spans="2:6" x14ac:dyDescent="0.25">
      <c r="B7495" s="13" t="s">
        <v>13509</v>
      </c>
      <c r="C7495" s="17" t="s">
        <v>170</v>
      </c>
      <c r="D7495" s="13" t="s">
        <v>118</v>
      </c>
      <c r="E7495" s="13" t="s">
        <v>13510</v>
      </c>
      <c r="F7495" s="43">
        <v>226.64</v>
      </c>
    </row>
    <row r="7496" spans="2:6" x14ac:dyDescent="0.25">
      <c r="B7496" s="13" t="s">
        <v>13511</v>
      </c>
      <c r="C7496" s="17" t="s">
        <v>170</v>
      </c>
      <c r="D7496" s="13" t="s">
        <v>118</v>
      </c>
      <c r="E7496" s="13" t="s">
        <v>13512</v>
      </c>
      <c r="F7496" s="43">
        <v>226.64</v>
      </c>
    </row>
    <row r="7497" spans="2:6" x14ac:dyDescent="0.25">
      <c r="B7497" s="13" t="s">
        <v>13513</v>
      </c>
      <c r="C7497" s="17" t="s">
        <v>170</v>
      </c>
      <c r="D7497" s="13" t="s">
        <v>118</v>
      </c>
      <c r="E7497" s="13" t="s">
        <v>13514</v>
      </c>
      <c r="F7497" s="43">
        <v>226.64</v>
      </c>
    </row>
    <row r="7498" spans="2:6" x14ac:dyDescent="0.25">
      <c r="B7498" s="13" t="s">
        <v>13515</v>
      </c>
      <c r="C7498" s="17" t="s">
        <v>170</v>
      </c>
      <c r="D7498" s="13" t="s">
        <v>118</v>
      </c>
      <c r="E7498" s="13" t="s">
        <v>13516</v>
      </c>
      <c r="F7498" s="43">
        <v>226.64</v>
      </c>
    </row>
    <row r="7499" spans="2:6" x14ac:dyDescent="0.25">
      <c r="B7499" s="13" t="s">
        <v>13517</v>
      </c>
      <c r="C7499" s="17" t="s">
        <v>170</v>
      </c>
      <c r="D7499" s="13" t="s">
        <v>118</v>
      </c>
      <c r="E7499" s="13" t="s">
        <v>13518</v>
      </c>
      <c r="F7499" s="43">
        <v>226.64</v>
      </c>
    </row>
    <row r="7500" spans="2:6" x14ac:dyDescent="0.25">
      <c r="B7500" s="13" t="s">
        <v>13519</v>
      </c>
      <c r="C7500" s="17" t="s">
        <v>170</v>
      </c>
      <c r="D7500" s="13" t="s">
        <v>118</v>
      </c>
      <c r="E7500" s="13" t="s">
        <v>13520</v>
      </c>
      <c r="F7500" s="43">
        <v>226.64</v>
      </c>
    </row>
    <row r="7501" spans="2:6" x14ac:dyDescent="0.25">
      <c r="B7501" s="13" t="s">
        <v>13521</v>
      </c>
      <c r="C7501" s="17" t="s">
        <v>170</v>
      </c>
      <c r="D7501" s="13" t="s">
        <v>118</v>
      </c>
      <c r="E7501" s="13" t="s">
        <v>13522</v>
      </c>
      <c r="F7501" s="43">
        <v>226.64</v>
      </c>
    </row>
    <row r="7502" spans="2:6" x14ac:dyDescent="0.25">
      <c r="B7502" s="13" t="s">
        <v>13523</v>
      </c>
      <c r="C7502" s="17" t="s">
        <v>170</v>
      </c>
      <c r="D7502" s="13" t="s">
        <v>118</v>
      </c>
      <c r="E7502" s="13" t="s">
        <v>13524</v>
      </c>
      <c r="F7502" s="43">
        <v>257.62</v>
      </c>
    </row>
    <row r="7503" spans="2:6" x14ac:dyDescent="0.25">
      <c r="B7503" s="13" t="s">
        <v>13525</v>
      </c>
      <c r="C7503" s="17" t="s">
        <v>170</v>
      </c>
      <c r="D7503" s="13" t="s">
        <v>118</v>
      </c>
      <c r="E7503" s="13" t="s">
        <v>13526</v>
      </c>
      <c r="F7503" s="43">
        <v>257.62</v>
      </c>
    </row>
    <row r="7504" spans="2:6" x14ac:dyDescent="0.25">
      <c r="B7504" s="13" t="s">
        <v>13527</v>
      </c>
      <c r="C7504" s="17" t="s">
        <v>170</v>
      </c>
      <c r="D7504" s="13" t="s">
        <v>118</v>
      </c>
      <c r="E7504" s="13" t="s">
        <v>13528</v>
      </c>
      <c r="F7504" s="43">
        <v>296.29000000000002</v>
      </c>
    </row>
    <row r="7505" spans="2:6" x14ac:dyDescent="0.25">
      <c r="B7505" s="13" t="s">
        <v>13529</v>
      </c>
      <c r="C7505" s="17" t="s">
        <v>170</v>
      </c>
      <c r="D7505" s="13" t="s">
        <v>118</v>
      </c>
      <c r="E7505" s="13" t="s">
        <v>13530</v>
      </c>
      <c r="F7505" s="43">
        <v>226.64</v>
      </c>
    </row>
    <row r="7506" spans="2:6" x14ac:dyDescent="0.25">
      <c r="B7506" s="13" t="s">
        <v>13531</v>
      </c>
      <c r="C7506" s="17" t="s">
        <v>170</v>
      </c>
      <c r="D7506" s="13" t="s">
        <v>118</v>
      </c>
      <c r="E7506" s="13" t="s">
        <v>13532</v>
      </c>
      <c r="F7506" s="43">
        <v>226.64</v>
      </c>
    </row>
    <row r="7507" spans="2:6" x14ac:dyDescent="0.25">
      <c r="B7507" s="13" t="s">
        <v>13533</v>
      </c>
      <c r="C7507" s="17" t="s">
        <v>170</v>
      </c>
      <c r="D7507" s="13" t="s">
        <v>118</v>
      </c>
      <c r="E7507" s="13" t="s">
        <v>13534</v>
      </c>
      <c r="F7507" s="43">
        <v>226.64</v>
      </c>
    </row>
    <row r="7508" spans="2:6" x14ac:dyDescent="0.25">
      <c r="B7508" s="13" t="s">
        <v>13535</v>
      </c>
      <c r="C7508" s="17" t="s">
        <v>170</v>
      </c>
      <c r="D7508" s="13" t="s">
        <v>118</v>
      </c>
      <c r="E7508" s="13" t="s">
        <v>13536</v>
      </c>
      <c r="F7508" s="43">
        <v>226.64</v>
      </c>
    </row>
    <row r="7509" spans="2:6" x14ac:dyDescent="0.25">
      <c r="B7509" s="13" t="s">
        <v>13537</v>
      </c>
      <c r="C7509" s="17" t="s">
        <v>170</v>
      </c>
      <c r="D7509" s="13" t="s">
        <v>118</v>
      </c>
      <c r="E7509" s="13" t="s">
        <v>13538</v>
      </c>
      <c r="F7509" s="43">
        <v>226.64</v>
      </c>
    </row>
    <row r="7510" spans="2:6" x14ac:dyDescent="0.25">
      <c r="B7510" s="13" t="s">
        <v>13539</v>
      </c>
      <c r="C7510" s="17" t="s">
        <v>170</v>
      </c>
      <c r="D7510" s="13" t="s">
        <v>118</v>
      </c>
      <c r="E7510" s="13" t="s">
        <v>13540</v>
      </c>
      <c r="F7510" s="43">
        <v>226.64</v>
      </c>
    </row>
    <row r="7511" spans="2:6" x14ac:dyDescent="0.25">
      <c r="B7511" s="13" t="s">
        <v>13541</v>
      </c>
      <c r="C7511" s="17" t="s">
        <v>170</v>
      </c>
      <c r="D7511" s="13" t="s">
        <v>118</v>
      </c>
      <c r="E7511" s="13" t="s">
        <v>13542</v>
      </c>
      <c r="F7511" s="43">
        <v>226.64</v>
      </c>
    </row>
    <row r="7512" spans="2:6" x14ac:dyDescent="0.25">
      <c r="B7512" s="13" t="s">
        <v>13543</v>
      </c>
      <c r="C7512" s="17" t="s">
        <v>170</v>
      </c>
      <c r="D7512" s="13" t="s">
        <v>118</v>
      </c>
      <c r="E7512" s="13" t="s">
        <v>13544</v>
      </c>
      <c r="F7512" s="43">
        <v>226.64</v>
      </c>
    </row>
    <row r="7513" spans="2:6" x14ac:dyDescent="0.25">
      <c r="B7513" s="13" t="s">
        <v>13545</v>
      </c>
      <c r="C7513" s="17" t="s">
        <v>170</v>
      </c>
      <c r="D7513" s="13" t="s">
        <v>118</v>
      </c>
      <c r="E7513" s="13" t="s">
        <v>13546</v>
      </c>
      <c r="F7513" s="43">
        <v>226.64</v>
      </c>
    </row>
    <row r="7514" spans="2:6" x14ac:dyDescent="0.25">
      <c r="B7514" s="13" t="s">
        <v>13547</v>
      </c>
      <c r="C7514" s="17" t="s">
        <v>170</v>
      </c>
      <c r="D7514" s="13" t="s">
        <v>118</v>
      </c>
      <c r="E7514" s="13" t="s">
        <v>13548</v>
      </c>
      <c r="F7514" s="43">
        <v>226.64</v>
      </c>
    </row>
    <row r="7515" spans="2:6" x14ac:dyDescent="0.25">
      <c r="B7515" s="13" t="s">
        <v>13549</v>
      </c>
      <c r="C7515" s="17" t="s">
        <v>170</v>
      </c>
      <c r="D7515" s="13" t="s">
        <v>118</v>
      </c>
      <c r="E7515" s="13" t="s">
        <v>13550</v>
      </c>
      <c r="F7515" s="43">
        <v>226.64</v>
      </c>
    </row>
    <row r="7516" spans="2:6" x14ac:dyDescent="0.25">
      <c r="B7516" s="13" t="s">
        <v>13551</v>
      </c>
      <c r="C7516" s="17" t="s">
        <v>170</v>
      </c>
      <c r="D7516" s="13" t="s">
        <v>118</v>
      </c>
      <c r="E7516" s="13" t="s">
        <v>13552</v>
      </c>
      <c r="F7516" s="43">
        <v>226.64</v>
      </c>
    </row>
    <row r="7517" spans="2:6" x14ac:dyDescent="0.25">
      <c r="B7517" s="13" t="s">
        <v>13553</v>
      </c>
      <c r="C7517" s="17" t="s">
        <v>170</v>
      </c>
      <c r="D7517" s="13" t="s">
        <v>118</v>
      </c>
      <c r="E7517" s="13" t="s">
        <v>13554</v>
      </c>
      <c r="F7517" s="43">
        <v>226.64</v>
      </c>
    </row>
    <row r="7518" spans="2:6" x14ac:dyDescent="0.25">
      <c r="B7518" s="13" t="s">
        <v>13555</v>
      </c>
      <c r="C7518" s="17" t="s">
        <v>170</v>
      </c>
      <c r="D7518" s="13" t="s">
        <v>118</v>
      </c>
      <c r="E7518" s="13" t="s">
        <v>13556</v>
      </c>
      <c r="F7518" s="43">
        <v>226.64</v>
      </c>
    </row>
    <row r="7519" spans="2:6" x14ac:dyDescent="0.25">
      <c r="B7519" s="13" t="s">
        <v>13557</v>
      </c>
      <c r="C7519" s="17" t="s">
        <v>170</v>
      </c>
      <c r="D7519" s="13" t="s">
        <v>118</v>
      </c>
      <c r="E7519" s="13" t="s">
        <v>13558</v>
      </c>
      <c r="F7519" s="43">
        <v>226.64</v>
      </c>
    </row>
    <row r="7520" spans="2:6" x14ac:dyDescent="0.25">
      <c r="B7520" s="13" t="s">
        <v>13559</v>
      </c>
      <c r="C7520" s="17" t="s">
        <v>170</v>
      </c>
      <c r="D7520" s="13" t="s">
        <v>118</v>
      </c>
      <c r="E7520" s="13" t="s">
        <v>13560</v>
      </c>
      <c r="F7520" s="43">
        <v>226.64</v>
      </c>
    </row>
    <row r="7521" spans="2:6" x14ac:dyDescent="0.25">
      <c r="B7521" s="13" t="s">
        <v>13561</v>
      </c>
      <c r="C7521" s="17" t="s">
        <v>170</v>
      </c>
      <c r="D7521" s="13" t="s">
        <v>118</v>
      </c>
      <c r="E7521" s="13" t="s">
        <v>13562</v>
      </c>
      <c r="F7521" s="43">
        <v>226.64</v>
      </c>
    </row>
    <row r="7522" spans="2:6" x14ac:dyDescent="0.25">
      <c r="B7522" s="13" t="s">
        <v>13563</v>
      </c>
      <c r="C7522" s="17" t="s">
        <v>170</v>
      </c>
      <c r="D7522" s="13" t="s">
        <v>118</v>
      </c>
      <c r="E7522" s="13" t="s">
        <v>13564</v>
      </c>
      <c r="F7522" s="43">
        <v>226.64</v>
      </c>
    </row>
    <row r="7523" spans="2:6" x14ac:dyDescent="0.25">
      <c r="B7523" s="13" t="s">
        <v>13565</v>
      </c>
      <c r="C7523" s="17" t="s">
        <v>170</v>
      </c>
      <c r="D7523" s="13" t="s">
        <v>118</v>
      </c>
      <c r="E7523" s="13" t="s">
        <v>13566</v>
      </c>
      <c r="F7523" s="43">
        <v>226.64</v>
      </c>
    </row>
    <row r="7524" spans="2:6" x14ac:dyDescent="0.25">
      <c r="B7524" s="13" t="s">
        <v>13567</v>
      </c>
      <c r="C7524" s="17" t="s">
        <v>170</v>
      </c>
      <c r="D7524" s="13" t="s">
        <v>118</v>
      </c>
      <c r="E7524" s="13" t="s">
        <v>13568</v>
      </c>
      <c r="F7524" s="43">
        <v>226.64</v>
      </c>
    </row>
    <row r="7525" spans="2:6" x14ac:dyDescent="0.25">
      <c r="B7525" s="13" t="s">
        <v>13569</v>
      </c>
      <c r="C7525" s="17" t="s">
        <v>170</v>
      </c>
      <c r="D7525" s="13" t="s">
        <v>118</v>
      </c>
      <c r="E7525" s="13" t="s">
        <v>13570</v>
      </c>
      <c r="F7525" s="43">
        <v>226.64</v>
      </c>
    </row>
    <row r="7526" spans="2:6" x14ac:dyDescent="0.25">
      <c r="B7526" s="13" t="s">
        <v>13571</v>
      </c>
      <c r="C7526" s="17" t="s">
        <v>170</v>
      </c>
      <c r="D7526" s="13" t="s">
        <v>118</v>
      </c>
      <c r="E7526" s="13" t="s">
        <v>13572</v>
      </c>
      <c r="F7526" s="43">
        <v>226.64</v>
      </c>
    </row>
    <row r="7527" spans="2:6" x14ac:dyDescent="0.25">
      <c r="B7527" s="13" t="s">
        <v>13573</v>
      </c>
      <c r="C7527" s="17" t="s">
        <v>170</v>
      </c>
      <c r="D7527" s="13" t="s">
        <v>118</v>
      </c>
      <c r="E7527" s="13" t="s">
        <v>13574</v>
      </c>
      <c r="F7527" s="43">
        <v>226.64</v>
      </c>
    </row>
    <row r="7528" spans="2:6" x14ac:dyDescent="0.25">
      <c r="B7528" s="13" t="s">
        <v>13575</v>
      </c>
      <c r="C7528" s="17" t="s">
        <v>170</v>
      </c>
      <c r="D7528" s="13" t="s">
        <v>118</v>
      </c>
      <c r="E7528" s="13" t="s">
        <v>13576</v>
      </c>
      <c r="F7528" s="43">
        <v>257.62</v>
      </c>
    </row>
    <row r="7529" spans="2:6" x14ac:dyDescent="0.25">
      <c r="B7529" s="13" t="s">
        <v>13577</v>
      </c>
      <c r="C7529" s="17" t="s">
        <v>170</v>
      </c>
      <c r="D7529" s="13" t="s">
        <v>118</v>
      </c>
      <c r="E7529" s="13" t="s">
        <v>13578</v>
      </c>
      <c r="F7529" s="43">
        <v>257.62</v>
      </c>
    </row>
    <row r="7530" spans="2:6" x14ac:dyDescent="0.25">
      <c r="B7530" s="13" t="s">
        <v>13579</v>
      </c>
      <c r="C7530" s="17" t="s">
        <v>170</v>
      </c>
      <c r="D7530" s="13" t="s">
        <v>118</v>
      </c>
      <c r="E7530" s="13" t="s">
        <v>13580</v>
      </c>
      <c r="F7530" s="43">
        <v>296.29000000000002</v>
      </c>
    </row>
    <row r="7531" spans="2:6" x14ac:dyDescent="0.25">
      <c r="B7531" s="13" t="s">
        <v>13581</v>
      </c>
      <c r="C7531" s="17" t="s">
        <v>170</v>
      </c>
      <c r="D7531" s="13" t="s">
        <v>118</v>
      </c>
      <c r="E7531" s="13" t="s">
        <v>13582</v>
      </c>
      <c r="F7531" s="43">
        <v>329.57</v>
      </c>
    </row>
    <row r="7532" spans="2:6" x14ac:dyDescent="0.25">
      <c r="B7532" s="13" t="s">
        <v>13583</v>
      </c>
      <c r="C7532" s="17" t="s">
        <v>170</v>
      </c>
      <c r="D7532" s="13" t="s">
        <v>118</v>
      </c>
      <c r="E7532" s="13" t="s">
        <v>13584</v>
      </c>
      <c r="F7532" s="43">
        <v>329.57</v>
      </c>
    </row>
    <row r="7533" spans="2:6" x14ac:dyDescent="0.25">
      <c r="B7533" s="13" t="s">
        <v>13585</v>
      </c>
      <c r="C7533" s="17" t="s">
        <v>170</v>
      </c>
      <c r="D7533" s="13" t="s">
        <v>118</v>
      </c>
      <c r="E7533" s="13" t="s">
        <v>13586</v>
      </c>
      <c r="F7533" s="43">
        <v>329.57</v>
      </c>
    </row>
    <row r="7534" spans="2:6" x14ac:dyDescent="0.25">
      <c r="B7534" s="13" t="s">
        <v>13587</v>
      </c>
      <c r="C7534" s="17" t="s">
        <v>170</v>
      </c>
      <c r="D7534" s="13" t="s">
        <v>118</v>
      </c>
      <c r="E7534" s="13" t="s">
        <v>13588</v>
      </c>
      <c r="F7534" s="43">
        <v>329.57</v>
      </c>
    </row>
    <row r="7535" spans="2:6" x14ac:dyDescent="0.25">
      <c r="B7535" s="13" t="s">
        <v>13589</v>
      </c>
      <c r="C7535" s="17" t="s">
        <v>170</v>
      </c>
      <c r="D7535" s="13" t="s">
        <v>118</v>
      </c>
      <c r="E7535" s="13" t="s">
        <v>13590</v>
      </c>
      <c r="F7535" s="43">
        <v>329.57</v>
      </c>
    </row>
    <row r="7536" spans="2:6" x14ac:dyDescent="0.25">
      <c r="B7536" s="13" t="s">
        <v>13591</v>
      </c>
      <c r="C7536" s="17" t="s">
        <v>170</v>
      </c>
      <c r="D7536" s="13" t="s">
        <v>118</v>
      </c>
      <c r="E7536" s="13" t="s">
        <v>13592</v>
      </c>
      <c r="F7536" s="43">
        <v>329.57</v>
      </c>
    </row>
    <row r="7537" spans="2:6" x14ac:dyDescent="0.25">
      <c r="B7537" s="13" t="s">
        <v>13593</v>
      </c>
      <c r="C7537" s="17" t="s">
        <v>170</v>
      </c>
      <c r="D7537" s="13" t="s">
        <v>118</v>
      </c>
      <c r="E7537" s="13" t="s">
        <v>13594</v>
      </c>
      <c r="F7537" s="43">
        <v>329.57</v>
      </c>
    </row>
    <row r="7538" spans="2:6" x14ac:dyDescent="0.25">
      <c r="B7538" s="13" t="s">
        <v>13595</v>
      </c>
      <c r="C7538" s="17" t="s">
        <v>170</v>
      </c>
      <c r="D7538" s="13" t="s">
        <v>118</v>
      </c>
      <c r="E7538" s="13" t="s">
        <v>13596</v>
      </c>
      <c r="F7538" s="43">
        <v>329.57</v>
      </c>
    </row>
    <row r="7539" spans="2:6" x14ac:dyDescent="0.25">
      <c r="B7539" s="13" t="s">
        <v>13597</v>
      </c>
      <c r="C7539" s="17" t="s">
        <v>170</v>
      </c>
      <c r="D7539" s="13" t="s">
        <v>118</v>
      </c>
      <c r="E7539" s="13" t="s">
        <v>13598</v>
      </c>
      <c r="F7539" s="43">
        <v>329.57</v>
      </c>
    </row>
    <row r="7540" spans="2:6" x14ac:dyDescent="0.25">
      <c r="B7540" s="13" t="s">
        <v>13599</v>
      </c>
      <c r="C7540" s="17" t="s">
        <v>170</v>
      </c>
      <c r="D7540" s="13" t="s">
        <v>118</v>
      </c>
      <c r="E7540" s="13" t="s">
        <v>13600</v>
      </c>
      <c r="F7540" s="43">
        <v>329.57</v>
      </c>
    </row>
    <row r="7541" spans="2:6" x14ac:dyDescent="0.25">
      <c r="B7541" s="13" t="s">
        <v>13601</v>
      </c>
      <c r="C7541" s="17" t="s">
        <v>170</v>
      </c>
      <c r="D7541" s="13" t="s">
        <v>118</v>
      </c>
      <c r="E7541" s="13" t="s">
        <v>13602</v>
      </c>
      <c r="F7541" s="43">
        <v>329.57</v>
      </c>
    </row>
    <row r="7542" spans="2:6" x14ac:dyDescent="0.25">
      <c r="B7542" s="13" t="s">
        <v>13603</v>
      </c>
      <c r="C7542" s="17" t="s">
        <v>170</v>
      </c>
      <c r="D7542" s="13" t="s">
        <v>118</v>
      </c>
      <c r="E7542" s="13" t="s">
        <v>13604</v>
      </c>
      <c r="F7542" s="43">
        <v>329.57</v>
      </c>
    </row>
    <row r="7543" spans="2:6" x14ac:dyDescent="0.25">
      <c r="B7543" s="13" t="s">
        <v>13605</v>
      </c>
      <c r="C7543" s="17" t="s">
        <v>170</v>
      </c>
      <c r="D7543" s="13" t="s">
        <v>118</v>
      </c>
      <c r="E7543" s="13" t="s">
        <v>13606</v>
      </c>
      <c r="F7543" s="43">
        <v>329.57</v>
      </c>
    </row>
    <row r="7544" spans="2:6" x14ac:dyDescent="0.25">
      <c r="B7544" s="13" t="s">
        <v>13607</v>
      </c>
      <c r="C7544" s="17" t="s">
        <v>170</v>
      </c>
      <c r="D7544" s="13" t="s">
        <v>118</v>
      </c>
      <c r="E7544" s="13" t="s">
        <v>13608</v>
      </c>
      <c r="F7544" s="43">
        <v>329.57</v>
      </c>
    </row>
    <row r="7545" spans="2:6" x14ac:dyDescent="0.25">
      <c r="B7545" s="13" t="s">
        <v>13609</v>
      </c>
      <c r="C7545" s="17" t="s">
        <v>170</v>
      </c>
      <c r="D7545" s="13" t="s">
        <v>118</v>
      </c>
      <c r="E7545" s="13" t="s">
        <v>13610</v>
      </c>
      <c r="F7545" s="43">
        <v>329.57</v>
      </c>
    </row>
    <row r="7546" spans="2:6" x14ac:dyDescent="0.25">
      <c r="B7546" s="13" t="s">
        <v>13611</v>
      </c>
      <c r="C7546" s="17" t="s">
        <v>170</v>
      </c>
      <c r="D7546" s="13" t="s">
        <v>118</v>
      </c>
      <c r="E7546" s="13" t="s">
        <v>13612</v>
      </c>
      <c r="F7546" s="43">
        <v>329.57</v>
      </c>
    </row>
    <row r="7547" spans="2:6" x14ac:dyDescent="0.25">
      <c r="B7547" s="13" t="s">
        <v>13613</v>
      </c>
      <c r="C7547" s="17" t="s">
        <v>170</v>
      </c>
      <c r="D7547" s="13" t="s">
        <v>118</v>
      </c>
      <c r="E7547" s="13" t="s">
        <v>13614</v>
      </c>
      <c r="F7547" s="43">
        <v>329.57</v>
      </c>
    </row>
    <row r="7548" spans="2:6" x14ac:dyDescent="0.25">
      <c r="B7548" s="13" t="s">
        <v>13615</v>
      </c>
      <c r="C7548" s="17" t="s">
        <v>170</v>
      </c>
      <c r="D7548" s="13" t="s">
        <v>118</v>
      </c>
      <c r="E7548" s="13" t="s">
        <v>13616</v>
      </c>
      <c r="F7548" s="43">
        <v>329.57</v>
      </c>
    </row>
    <row r="7549" spans="2:6" x14ac:dyDescent="0.25">
      <c r="B7549" s="13" t="s">
        <v>13617</v>
      </c>
      <c r="C7549" s="17" t="s">
        <v>170</v>
      </c>
      <c r="D7549" s="13" t="s">
        <v>118</v>
      </c>
      <c r="E7549" s="13" t="s">
        <v>13618</v>
      </c>
      <c r="F7549" s="43">
        <v>329.57</v>
      </c>
    </row>
    <row r="7550" spans="2:6" x14ac:dyDescent="0.25">
      <c r="B7550" s="13" t="s">
        <v>13619</v>
      </c>
      <c r="C7550" s="17" t="s">
        <v>170</v>
      </c>
      <c r="D7550" s="13" t="s">
        <v>118</v>
      </c>
      <c r="E7550" s="13" t="s">
        <v>13620</v>
      </c>
      <c r="F7550" s="43">
        <v>329.57</v>
      </c>
    </row>
    <row r="7551" spans="2:6" x14ac:dyDescent="0.25">
      <c r="B7551" s="13" t="s">
        <v>13621</v>
      </c>
      <c r="C7551" s="17" t="s">
        <v>170</v>
      </c>
      <c r="D7551" s="13" t="s">
        <v>118</v>
      </c>
      <c r="E7551" s="13" t="s">
        <v>13622</v>
      </c>
      <c r="F7551" s="43">
        <v>329.57</v>
      </c>
    </row>
    <row r="7552" spans="2:6" x14ac:dyDescent="0.25">
      <c r="B7552" s="13" t="s">
        <v>13623</v>
      </c>
      <c r="C7552" s="17" t="s">
        <v>170</v>
      </c>
      <c r="D7552" s="13" t="s">
        <v>118</v>
      </c>
      <c r="E7552" s="13" t="s">
        <v>13624</v>
      </c>
      <c r="F7552" s="43">
        <v>329.57</v>
      </c>
    </row>
    <row r="7553" spans="2:6" x14ac:dyDescent="0.25">
      <c r="B7553" s="13" t="s">
        <v>13625</v>
      </c>
      <c r="C7553" s="17" t="s">
        <v>170</v>
      </c>
      <c r="D7553" s="13" t="s">
        <v>118</v>
      </c>
      <c r="E7553" s="13" t="s">
        <v>13626</v>
      </c>
      <c r="F7553" s="43">
        <v>329.57</v>
      </c>
    </row>
    <row r="7554" spans="2:6" x14ac:dyDescent="0.25">
      <c r="B7554" s="13" t="s">
        <v>13627</v>
      </c>
      <c r="C7554" s="17" t="s">
        <v>170</v>
      </c>
      <c r="D7554" s="13" t="s">
        <v>118</v>
      </c>
      <c r="E7554" s="13" t="s">
        <v>13628</v>
      </c>
      <c r="F7554" s="43">
        <v>329.57</v>
      </c>
    </row>
    <row r="7555" spans="2:6" x14ac:dyDescent="0.25">
      <c r="B7555" s="13" t="s">
        <v>13629</v>
      </c>
      <c r="C7555" s="17" t="s">
        <v>170</v>
      </c>
      <c r="D7555" s="13" t="s">
        <v>118</v>
      </c>
      <c r="E7555" s="13" t="s">
        <v>13630</v>
      </c>
      <c r="F7555" s="43">
        <v>451.78</v>
      </c>
    </row>
    <row r="7556" spans="2:6" x14ac:dyDescent="0.25">
      <c r="B7556" s="13" t="s">
        <v>13631</v>
      </c>
      <c r="C7556" s="17" t="s">
        <v>170</v>
      </c>
      <c r="D7556" s="13" t="s">
        <v>118</v>
      </c>
      <c r="E7556" s="13" t="s">
        <v>13632</v>
      </c>
      <c r="F7556" s="43">
        <v>451.78</v>
      </c>
    </row>
    <row r="7557" spans="2:6" x14ac:dyDescent="0.25">
      <c r="B7557" s="13" t="s">
        <v>13633</v>
      </c>
      <c r="C7557" s="17" t="s">
        <v>170</v>
      </c>
      <c r="D7557" s="13" t="s">
        <v>118</v>
      </c>
      <c r="E7557" s="13" t="s">
        <v>13634</v>
      </c>
      <c r="F7557" s="43">
        <v>474.73</v>
      </c>
    </row>
    <row r="7558" spans="2:6" x14ac:dyDescent="0.25">
      <c r="B7558" s="13" t="s">
        <v>13635</v>
      </c>
      <c r="C7558" s="17" t="s">
        <v>170</v>
      </c>
      <c r="D7558" s="13" t="s">
        <v>118</v>
      </c>
      <c r="E7558" s="13" t="s">
        <v>13636</v>
      </c>
      <c r="F7558" s="43">
        <v>329.57</v>
      </c>
    </row>
    <row r="7559" spans="2:6" x14ac:dyDescent="0.25">
      <c r="B7559" s="13" t="s">
        <v>13637</v>
      </c>
      <c r="C7559" s="17" t="s">
        <v>170</v>
      </c>
      <c r="D7559" s="13" t="s">
        <v>118</v>
      </c>
      <c r="E7559" s="13" t="s">
        <v>13638</v>
      </c>
      <c r="F7559" s="43">
        <v>329.57</v>
      </c>
    </row>
    <row r="7560" spans="2:6" x14ac:dyDescent="0.25">
      <c r="B7560" s="13" t="s">
        <v>13639</v>
      </c>
      <c r="C7560" s="17" t="s">
        <v>170</v>
      </c>
      <c r="D7560" s="13" t="s">
        <v>118</v>
      </c>
      <c r="E7560" s="13" t="s">
        <v>13640</v>
      </c>
      <c r="F7560" s="43">
        <v>329.57</v>
      </c>
    </row>
    <row r="7561" spans="2:6" x14ac:dyDescent="0.25">
      <c r="B7561" s="13" t="s">
        <v>13641</v>
      </c>
      <c r="C7561" s="17" t="s">
        <v>170</v>
      </c>
      <c r="D7561" s="13" t="s">
        <v>118</v>
      </c>
      <c r="E7561" s="13" t="s">
        <v>13642</v>
      </c>
      <c r="F7561" s="43">
        <v>329.57</v>
      </c>
    </row>
    <row r="7562" spans="2:6" x14ac:dyDescent="0.25">
      <c r="B7562" s="13" t="s">
        <v>13643</v>
      </c>
      <c r="C7562" s="17" t="s">
        <v>170</v>
      </c>
      <c r="D7562" s="13" t="s">
        <v>118</v>
      </c>
      <c r="E7562" s="13" t="s">
        <v>13644</v>
      </c>
      <c r="F7562" s="43">
        <v>329.57</v>
      </c>
    </row>
    <row r="7563" spans="2:6" x14ac:dyDescent="0.25">
      <c r="B7563" s="13" t="s">
        <v>13645</v>
      </c>
      <c r="C7563" s="17" t="s">
        <v>170</v>
      </c>
      <c r="D7563" s="13" t="s">
        <v>118</v>
      </c>
      <c r="E7563" s="13" t="s">
        <v>13646</v>
      </c>
      <c r="F7563" s="43">
        <v>329.57</v>
      </c>
    </row>
    <row r="7564" spans="2:6" x14ac:dyDescent="0.25">
      <c r="B7564" s="13" t="s">
        <v>13647</v>
      </c>
      <c r="C7564" s="17" t="s">
        <v>170</v>
      </c>
      <c r="D7564" s="13" t="s">
        <v>118</v>
      </c>
      <c r="E7564" s="13" t="s">
        <v>13648</v>
      </c>
      <c r="F7564" s="43">
        <v>329.57</v>
      </c>
    </row>
    <row r="7565" spans="2:6" x14ac:dyDescent="0.25">
      <c r="B7565" s="13" t="s">
        <v>13649</v>
      </c>
      <c r="C7565" s="17" t="s">
        <v>170</v>
      </c>
      <c r="D7565" s="13" t="s">
        <v>118</v>
      </c>
      <c r="E7565" s="13" t="s">
        <v>13650</v>
      </c>
      <c r="F7565" s="43">
        <v>329.57</v>
      </c>
    </row>
    <row r="7566" spans="2:6" x14ac:dyDescent="0.25">
      <c r="B7566" s="13" t="s">
        <v>13651</v>
      </c>
      <c r="C7566" s="17" t="s">
        <v>170</v>
      </c>
      <c r="D7566" s="13" t="s">
        <v>118</v>
      </c>
      <c r="E7566" s="13" t="s">
        <v>13652</v>
      </c>
      <c r="F7566" s="43">
        <v>329.57</v>
      </c>
    </row>
    <row r="7567" spans="2:6" x14ac:dyDescent="0.25">
      <c r="B7567" s="13" t="s">
        <v>13653</v>
      </c>
      <c r="C7567" s="17" t="s">
        <v>170</v>
      </c>
      <c r="D7567" s="13" t="s">
        <v>118</v>
      </c>
      <c r="E7567" s="13" t="s">
        <v>13654</v>
      </c>
      <c r="F7567" s="43">
        <v>329.57</v>
      </c>
    </row>
    <row r="7568" spans="2:6" x14ac:dyDescent="0.25">
      <c r="B7568" s="13" t="s">
        <v>13655</v>
      </c>
      <c r="C7568" s="17" t="s">
        <v>170</v>
      </c>
      <c r="D7568" s="13" t="s">
        <v>118</v>
      </c>
      <c r="E7568" s="13" t="s">
        <v>13656</v>
      </c>
      <c r="F7568" s="43">
        <v>329.57</v>
      </c>
    </row>
    <row r="7569" spans="2:6" x14ac:dyDescent="0.25">
      <c r="B7569" s="13" t="s">
        <v>13657</v>
      </c>
      <c r="C7569" s="17" t="s">
        <v>170</v>
      </c>
      <c r="D7569" s="13" t="s">
        <v>118</v>
      </c>
      <c r="E7569" s="13" t="s">
        <v>13658</v>
      </c>
      <c r="F7569" s="43">
        <v>329.57</v>
      </c>
    </row>
    <row r="7570" spans="2:6" x14ac:dyDescent="0.25">
      <c r="B7570" s="13" t="s">
        <v>13659</v>
      </c>
      <c r="C7570" s="17" t="s">
        <v>170</v>
      </c>
      <c r="D7570" s="13" t="s">
        <v>118</v>
      </c>
      <c r="E7570" s="13" t="s">
        <v>13660</v>
      </c>
      <c r="F7570" s="43">
        <v>329.57</v>
      </c>
    </row>
    <row r="7571" spans="2:6" x14ac:dyDescent="0.25">
      <c r="B7571" s="13" t="s">
        <v>13661</v>
      </c>
      <c r="C7571" s="17" t="s">
        <v>170</v>
      </c>
      <c r="D7571" s="13" t="s">
        <v>118</v>
      </c>
      <c r="E7571" s="13" t="s">
        <v>13662</v>
      </c>
      <c r="F7571" s="43">
        <v>329.57</v>
      </c>
    </row>
    <row r="7572" spans="2:6" x14ac:dyDescent="0.25">
      <c r="B7572" s="13" t="s">
        <v>13663</v>
      </c>
      <c r="C7572" s="17" t="s">
        <v>170</v>
      </c>
      <c r="D7572" s="13" t="s">
        <v>118</v>
      </c>
      <c r="E7572" s="13" t="s">
        <v>13664</v>
      </c>
      <c r="F7572" s="43">
        <v>329.57</v>
      </c>
    </row>
    <row r="7573" spans="2:6" x14ac:dyDescent="0.25">
      <c r="B7573" s="13" t="s">
        <v>13665</v>
      </c>
      <c r="C7573" s="17" t="s">
        <v>170</v>
      </c>
      <c r="D7573" s="13" t="s">
        <v>118</v>
      </c>
      <c r="E7573" s="13" t="s">
        <v>13666</v>
      </c>
      <c r="F7573" s="43">
        <v>329.57</v>
      </c>
    </row>
    <row r="7574" spans="2:6" x14ac:dyDescent="0.25">
      <c r="B7574" s="13" t="s">
        <v>13667</v>
      </c>
      <c r="C7574" s="17" t="s">
        <v>170</v>
      </c>
      <c r="D7574" s="13" t="s">
        <v>118</v>
      </c>
      <c r="E7574" s="13" t="s">
        <v>13668</v>
      </c>
      <c r="F7574" s="43">
        <v>329.57</v>
      </c>
    </row>
    <row r="7575" spans="2:6" x14ac:dyDescent="0.25">
      <c r="B7575" s="13" t="s">
        <v>13669</v>
      </c>
      <c r="C7575" s="17" t="s">
        <v>170</v>
      </c>
      <c r="D7575" s="13" t="s">
        <v>118</v>
      </c>
      <c r="E7575" s="13" t="s">
        <v>13670</v>
      </c>
      <c r="F7575" s="43">
        <v>329.57</v>
      </c>
    </row>
    <row r="7576" spans="2:6" x14ac:dyDescent="0.25">
      <c r="B7576" s="13" t="s">
        <v>13671</v>
      </c>
      <c r="C7576" s="17" t="s">
        <v>170</v>
      </c>
      <c r="D7576" s="13" t="s">
        <v>118</v>
      </c>
      <c r="E7576" s="13" t="s">
        <v>13672</v>
      </c>
      <c r="F7576" s="43">
        <v>329.57</v>
      </c>
    </row>
    <row r="7577" spans="2:6" x14ac:dyDescent="0.25">
      <c r="B7577" s="13" t="s">
        <v>13673</v>
      </c>
      <c r="C7577" s="17" t="s">
        <v>170</v>
      </c>
      <c r="D7577" s="13" t="s">
        <v>118</v>
      </c>
      <c r="E7577" s="13" t="s">
        <v>13674</v>
      </c>
      <c r="F7577" s="43">
        <v>329.57</v>
      </c>
    </row>
    <row r="7578" spans="2:6" x14ac:dyDescent="0.25">
      <c r="B7578" s="13" t="s">
        <v>13675</v>
      </c>
      <c r="C7578" s="17" t="s">
        <v>170</v>
      </c>
      <c r="D7578" s="13" t="s">
        <v>118</v>
      </c>
      <c r="E7578" s="13" t="s">
        <v>13676</v>
      </c>
      <c r="F7578" s="43">
        <v>329.57</v>
      </c>
    </row>
    <row r="7579" spans="2:6" x14ac:dyDescent="0.25">
      <c r="B7579" s="13" t="s">
        <v>13677</v>
      </c>
      <c r="C7579" s="17" t="s">
        <v>170</v>
      </c>
      <c r="D7579" s="13" t="s">
        <v>118</v>
      </c>
      <c r="E7579" s="13" t="s">
        <v>13678</v>
      </c>
      <c r="F7579" s="43">
        <v>329.57</v>
      </c>
    </row>
    <row r="7580" spans="2:6" x14ac:dyDescent="0.25">
      <c r="B7580" s="13" t="s">
        <v>13679</v>
      </c>
      <c r="C7580" s="17" t="s">
        <v>170</v>
      </c>
      <c r="D7580" s="13" t="s">
        <v>118</v>
      </c>
      <c r="E7580" s="13" t="s">
        <v>13680</v>
      </c>
      <c r="F7580" s="43">
        <v>329.57</v>
      </c>
    </row>
    <row r="7581" spans="2:6" x14ac:dyDescent="0.25">
      <c r="B7581" s="13" t="s">
        <v>13681</v>
      </c>
      <c r="C7581" s="17" t="s">
        <v>170</v>
      </c>
      <c r="D7581" s="13" t="s">
        <v>118</v>
      </c>
      <c r="E7581" s="13" t="s">
        <v>13682</v>
      </c>
      <c r="F7581" s="43">
        <v>329.57</v>
      </c>
    </row>
    <row r="7582" spans="2:6" x14ac:dyDescent="0.25">
      <c r="B7582" s="13" t="s">
        <v>13683</v>
      </c>
      <c r="C7582" s="17" t="s">
        <v>170</v>
      </c>
      <c r="D7582" s="13" t="s">
        <v>118</v>
      </c>
      <c r="E7582" s="13" t="s">
        <v>13684</v>
      </c>
      <c r="F7582" s="43">
        <v>329.57</v>
      </c>
    </row>
    <row r="7583" spans="2:6" x14ac:dyDescent="0.25">
      <c r="B7583" s="13" t="s">
        <v>13685</v>
      </c>
      <c r="C7583" s="17" t="s">
        <v>170</v>
      </c>
      <c r="D7583" s="13" t="s">
        <v>118</v>
      </c>
      <c r="E7583" s="13" t="s">
        <v>13686</v>
      </c>
      <c r="F7583" s="43">
        <v>451.78</v>
      </c>
    </row>
    <row r="7584" spans="2:6" x14ac:dyDescent="0.25">
      <c r="B7584" s="13" t="s">
        <v>13687</v>
      </c>
      <c r="C7584" s="17" t="s">
        <v>170</v>
      </c>
      <c r="D7584" s="13" t="s">
        <v>118</v>
      </c>
      <c r="E7584" s="13" t="s">
        <v>13688</v>
      </c>
      <c r="F7584" s="43">
        <v>451.78</v>
      </c>
    </row>
    <row r="7585" spans="2:6" x14ac:dyDescent="0.25">
      <c r="B7585" s="13" t="s">
        <v>13689</v>
      </c>
      <c r="C7585" s="17" t="s">
        <v>170</v>
      </c>
      <c r="D7585" s="13" t="s">
        <v>118</v>
      </c>
      <c r="E7585" s="13" t="s">
        <v>13690</v>
      </c>
      <c r="F7585" s="43">
        <v>474.73</v>
      </c>
    </row>
    <row r="7586" spans="2:6" x14ac:dyDescent="0.25">
      <c r="B7586" s="13" t="s">
        <v>13691</v>
      </c>
      <c r="C7586" s="17" t="s">
        <v>170</v>
      </c>
      <c r="D7586" s="13" t="s">
        <v>118</v>
      </c>
      <c r="E7586" s="13" t="s">
        <v>13692</v>
      </c>
      <c r="F7586" s="43">
        <v>329.57</v>
      </c>
    </row>
    <row r="7587" spans="2:6" x14ac:dyDescent="0.25">
      <c r="B7587" s="13" t="s">
        <v>13693</v>
      </c>
      <c r="C7587" s="17" t="s">
        <v>170</v>
      </c>
      <c r="D7587" s="13" t="s">
        <v>118</v>
      </c>
      <c r="E7587" s="13" t="s">
        <v>13694</v>
      </c>
      <c r="F7587" s="43">
        <v>329.57</v>
      </c>
    </row>
    <row r="7588" spans="2:6" x14ac:dyDescent="0.25">
      <c r="B7588" s="13" t="s">
        <v>13695</v>
      </c>
      <c r="C7588" s="17" t="s">
        <v>170</v>
      </c>
      <c r="D7588" s="13" t="s">
        <v>118</v>
      </c>
      <c r="E7588" s="13" t="s">
        <v>13696</v>
      </c>
      <c r="F7588" s="43">
        <v>329.57</v>
      </c>
    </row>
    <row r="7589" spans="2:6" x14ac:dyDescent="0.25">
      <c r="B7589" s="13" t="s">
        <v>13697</v>
      </c>
      <c r="C7589" s="17" t="s">
        <v>170</v>
      </c>
      <c r="D7589" s="13" t="s">
        <v>118</v>
      </c>
      <c r="E7589" s="13" t="s">
        <v>13698</v>
      </c>
      <c r="F7589" s="43">
        <v>329.57</v>
      </c>
    </row>
    <row r="7590" spans="2:6" x14ac:dyDescent="0.25">
      <c r="B7590" s="13" t="s">
        <v>13699</v>
      </c>
      <c r="C7590" s="17" t="s">
        <v>170</v>
      </c>
      <c r="D7590" s="13" t="s">
        <v>118</v>
      </c>
      <c r="E7590" s="13" t="s">
        <v>13700</v>
      </c>
      <c r="F7590" s="43">
        <v>329.57</v>
      </c>
    </row>
    <row r="7591" spans="2:6" x14ac:dyDescent="0.25">
      <c r="B7591" s="13" t="s">
        <v>13701</v>
      </c>
      <c r="C7591" s="17" t="s">
        <v>170</v>
      </c>
      <c r="D7591" s="13" t="s">
        <v>118</v>
      </c>
      <c r="E7591" s="13" t="s">
        <v>13702</v>
      </c>
      <c r="F7591" s="43">
        <v>451.78</v>
      </c>
    </row>
    <row r="7592" spans="2:6" x14ac:dyDescent="0.25">
      <c r="B7592" s="13" t="s">
        <v>13703</v>
      </c>
      <c r="C7592" s="17" t="s">
        <v>170</v>
      </c>
      <c r="D7592" s="13" t="s">
        <v>118</v>
      </c>
      <c r="E7592" s="13" t="s">
        <v>13704</v>
      </c>
      <c r="F7592" s="43">
        <v>451.78</v>
      </c>
    </row>
    <row r="7593" spans="2:6" x14ac:dyDescent="0.25">
      <c r="B7593" s="13" t="s">
        <v>13705</v>
      </c>
      <c r="C7593" s="17" t="s">
        <v>170</v>
      </c>
      <c r="D7593" s="13" t="s">
        <v>118</v>
      </c>
      <c r="E7593" s="13" t="s">
        <v>13706</v>
      </c>
      <c r="F7593" s="43">
        <v>474.73</v>
      </c>
    </row>
    <row r="7594" spans="2:6" x14ac:dyDescent="0.25">
      <c r="B7594" s="13" t="s">
        <v>11441</v>
      </c>
      <c r="C7594" s="17" t="s">
        <v>170</v>
      </c>
      <c r="D7594" s="13" t="s">
        <v>118</v>
      </c>
      <c r="E7594" s="13" t="s">
        <v>13707</v>
      </c>
      <c r="F7594" s="43">
        <v>6.2</v>
      </c>
    </row>
    <row r="7595" spans="2:6" x14ac:dyDescent="0.25">
      <c r="B7595" s="13" t="s">
        <v>13708</v>
      </c>
      <c r="C7595" s="17" t="s">
        <v>170</v>
      </c>
      <c r="D7595" s="13" t="s">
        <v>118</v>
      </c>
      <c r="E7595" s="13" t="s">
        <v>13709</v>
      </c>
      <c r="F7595" s="43">
        <v>8.61</v>
      </c>
    </row>
    <row r="7596" spans="2:6" x14ac:dyDescent="0.25">
      <c r="B7596" s="13" t="s">
        <v>11439</v>
      </c>
      <c r="C7596" s="17" t="s">
        <v>170</v>
      </c>
      <c r="D7596" s="13" t="s">
        <v>118</v>
      </c>
      <c r="E7596" s="13" t="s">
        <v>13710</v>
      </c>
      <c r="F7596" s="43">
        <v>6.2</v>
      </c>
    </row>
    <row r="7597" spans="2:6" x14ac:dyDescent="0.25">
      <c r="B7597" s="13" t="s">
        <v>13711</v>
      </c>
      <c r="C7597" s="17" t="s">
        <v>170</v>
      </c>
      <c r="D7597" s="13" t="s">
        <v>118</v>
      </c>
      <c r="E7597" s="13" t="s">
        <v>13712</v>
      </c>
      <c r="F7597" s="43">
        <v>20.09</v>
      </c>
    </row>
    <row r="7598" spans="2:6" x14ac:dyDescent="0.25">
      <c r="B7598" s="13" t="s">
        <v>11443</v>
      </c>
      <c r="C7598" s="17" t="s">
        <v>170</v>
      </c>
      <c r="D7598" s="13" t="s">
        <v>118</v>
      </c>
      <c r="E7598" s="13" t="s">
        <v>13713</v>
      </c>
      <c r="F7598" s="43">
        <v>6.2</v>
      </c>
    </row>
    <row r="7599" spans="2:6" x14ac:dyDescent="0.25">
      <c r="B7599" s="13" t="s">
        <v>13714</v>
      </c>
      <c r="C7599" s="17" t="s">
        <v>170</v>
      </c>
      <c r="D7599" s="13" t="s">
        <v>118</v>
      </c>
      <c r="E7599" s="13" t="s">
        <v>13715</v>
      </c>
      <c r="F7599" s="43">
        <v>25.25</v>
      </c>
    </row>
    <row r="7600" spans="2:6" x14ac:dyDescent="0.25">
      <c r="B7600" s="13" t="s">
        <v>11451</v>
      </c>
      <c r="C7600" s="17" t="s">
        <v>170</v>
      </c>
      <c r="D7600" s="13" t="s">
        <v>118</v>
      </c>
      <c r="E7600" s="13" t="s">
        <v>13716</v>
      </c>
      <c r="F7600" s="43">
        <v>18.25</v>
      </c>
    </row>
    <row r="7601" spans="2:6" x14ac:dyDescent="0.25">
      <c r="B7601" s="13" t="s">
        <v>11449</v>
      </c>
      <c r="C7601" s="17" t="s">
        <v>170</v>
      </c>
      <c r="D7601" s="13" t="s">
        <v>118</v>
      </c>
      <c r="E7601" s="13" t="s">
        <v>13717</v>
      </c>
      <c r="F7601" s="43">
        <v>18.25</v>
      </c>
    </row>
    <row r="7602" spans="2:6" x14ac:dyDescent="0.25">
      <c r="B7602" s="13" t="s">
        <v>13718</v>
      </c>
      <c r="C7602" s="17" t="s">
        <v>170</v>
      </c>
      <c r="D7602" s="13" t="s">
        <v>118</v>
      </c>
      <c r="E7602" s="13" t="s">
        <v>13719</v>
      </c>
      <c r="F7602" s="43">
        <v>18.25</v>
      </c>
    </row>
    <row r="7603" spans="2:6" x14ac:dyDescent="0.25">
      <c r="B7603" s="13" t="s">
        <v>13720</v>
      </c>
      <c r="C7603" s="17" t="s">
        <v>170</v>
      </c>
      <c r="D7603" s="13" t="s">
        <v>118</v>
      </c>
      <c r="E7603" s="13" t="s">
        <v>13721</v>
      </c>
      <c r="F7603" s="43">
        <v>40.17</v>
      </c>
    </row>
    <row r="7604" spans="2:6" x14ac:dyDescent="0.25">
      <c r="B7604" s="13" t="s">
        <v>13722</v>
      </c>
      <c r="C7604" s="17" t="s">
        <v>170</v>
      </c>
      <c r="D7604" s="13" t="s">
        <v>118</v>
      </c>
      <c r="E7604" s="13" t="s">
        <v>13723</v>
      </c>
      <c r="F7604" s="43">
        <v>18.25</v>
      </c>
    </row>
    <row r="7605" spans="2:6" x14ac:dyDescent="0.25">
      <c r="B7605" s="13" t="s">
        <v>13724</v>
      </c>
      <c r="C7605" s="17" t="s">
        <v>170</v>
      </c>
      <c r="D7605" s="13" t="s">
        <v>118</v>
      </c>
      <c r="E7605" s="13" t="s">
        <v>13723</v>
      </c>
      <c r="F7605" s="43">
        <v>18.25</v>
      </c>
    </row>
    <row r="7606" spans="2:6" x14ac:dyDescent="0.25">
      <c r="B7606" s="13" t="s">
        <v>13725</v>
      </c>
      <c r="C7606" s="17" t="s">
        <v>170</v>
      </c>
      <c r="D7606" s="13" t="s">
        <v>118</v>
      </c>
      <c r="E7606" s="13" t="s">
        <v>13726</v>
      </c>
      <c r="F7606" s="43">
        <v>34.58</v>
      </c>
    </row>
    <row r="7607" spans="2:6" x14ac:dyDescent="0.25">
      <c r="B7607" s="13" t="s">
        <v>13727</v>
      </c>
      <c r="C7607" s="17" t="s">
        <v>170</v>
      </c>
      <c r="D7607" s="13" t="s">
        <v>118</v>
      </c>
      <c r="E7607" s="13" t="s">
        <v>13728</v>
      </c>
      <c r="F7607" s="43">
        <v>43.74</v>
      </c>
    </row>
    <row r="7608" spans="2:6" x14ac:dyDescent="0.25">
      <c r="B7608" s="13" t="s">
        <v>13729</v>
      </c>
      <c r="C7608" s="17" t="s">
        <v>170</v>
      </c>
      <c r="D7608" s="13" t="s">
        <v>118</v>
      </c>
      <c r="E7608" s="13" t="s">
        <v>13730</v>
      </c>
      <c r="F7608" s="43">
        <v>56.23</v>
      </c>
    </row>
    <row r="7609" spans="2:6" x14ac:dyDescent="0.25">
      <c r="B7609" s="13" t="s">
        <v>13731</v>
      </c>
      <c r="C7609" s="17" t="s">
        <v>170</v>
      </c>
      <c r="D7609" s="13" t="s">
        <v>118</v>
      </c>
      <c r="E7609" s="13" t="s">
        <v>13732</v>
      </c>
      <c r="F7609" s="43">
        <v>47.05</v>
      </c>
    </row>
    <row r="7610" spans="2:6" x14ac:dyDescent="0.25">
      <c r="B7610" s="13" t="s">
        <v>13733</v>
      </c>
      <c r="C7610" s="17" t="s">
        <v>170</v>
      </c>
      <c r="D7610" s="13" t="s">
        <v>118</v>
      </c>
      <c r="E7610" s="13" t="s">
        <v>13734</v>
      </c>
      <c r="F7610" s="43">
        <v>65.069999999999993</v>
      </c>
    </row>
    <row r="7611" spans="2:6" x14ac:dyDescent="0.25">
      <c r="B7611" s="13" t="s">
        <v>13735</v>
      </c>
      <c r="C7611" s="17" t="s">
        <v>170</v>
      </c>
      <c r="D7611" s="13" t="s">
        <v>118</v>
      </c>
      <c r="E7611" s="13" t="s">
        <v>13736</v>
      </c>
      <c r="F7611" s="43">
        <v>63.46</v>
      </c>
    </row>
    <row r="7612" spans="2:6" x14ac:dyDescent="0.25">
      <c r="B7612" s="13" t="s">
        <v>13737</v>
      </c>
      <c r="C7612" s="17" t="s">
        <v>170</v>
      </c>
      <c r="D7612" s="13" t="s">
        <v>118</v>
      </c>
      <c r="E7612" s="13" t="s">
        <v>13738</v>
      </c>
      <c r="F7612" s="43">
        <v>63.46</v>
      </c>
    </row>
    <row r="7613" spans="2:6" x14ac:dyDescent="0.25">
      <c r="B7613" s="13" t="s">
        <v>13739</v>
      </c>
      <c r="C7613" s="17" t="s">
        <v>170</v>
      </c>
      <c r="D7613" s="13" t="s">
        <v>118</v>
      </c>
      <c r="E7613" s="13" t="s">
        <v>13740</v>
      </c>
      <c r="F7613" s="43">
        <v>80.44</v>
      </c>
    </row>
    <row r="7614" spans="2:6" x14ac:dyDescent="0.25">
      <c r="B7614" s="13" t="s">
        <v>13741</v>
      </c>
      <c r="C7614" s="17" t="s">
        <v>170</v>
      </c>
      <c r="D7614" s="13" t="s">
        <v>118</v>
      </c>
      <c r="E7614" s="13" t="s">
        <v>13742</v>
      </c>
      <c r="F7614" s="43">
        <v>60.02</v>
      </c>
    </row>
    <row r="7615" spans="2:6" x14ac:dyDescent="0.25">
      <c r="B7615" s="13" t="s">
        <v>11459</v>
      </c>
      <c r="C7615" s="17" t="s">
        <v>170</v>
      </c>
      <c r="D7615" s="13" t="s">
        <v>118</v>
      </c>
      <c r="E7615" s="13" t="s">
        <v>11460</v>
      </c>
      <c r="F7615" s="43">
        <v>126.69</v>
      </c>
    </row>
    <row r="7616" spans="2:6" x14ac:dyDescent="0.25">
      <c r="B7616" s="13" t="s">
        <v>13743</v>
      </c>
      <c r="C7616" s="17" t="s">
        <v>170</v>
      </c>
      <c r="D7616" s="13" t="s">
        <v>118</v>
      </c>
      <c r="E7616" s="13" t="s">
        <v>13744</v>
      </c>
      <c r="F7616" s="43">
        <v>60.25</v>
      </c>
    </row>
    <row r="7617" spans="2:6" x14ac:dyDescent="0.25">
      <c r="B7617" s="13" t="s">
        <v>13745</v>
      </c>
      <c r="C7617" s="17" t="s">
        <v>170</v>
      </c>
      <c r="D7617" s="13" t="s">
        <v>118</v>
      </c>
      <c r="E7617" s="13" t="s">
        <v>13746</v>
      </c>
      <c r="F7617" s="43">
        <v>92.26</v>
      </c>
    </row>
    <row r="7618" spans="2:6" x14ac:dyDescent="0.25">
      <c r="B7618" s="13" t="s">
        <v>11453</v>
      </c>
      <c r="C7618" s="17" t="s">
        <v>170</v>
      </c>
      <c r="D7618" s="13" t="s">
        <v>118</v>
      </c>
      <c r="E7618" s="13" t="s">
        <v>11454</v>
      </c>
      <c r="F7618" s="43">
        <v>14.18</v>
      </c>
    </row>
    <row r="7619" spans="2:6" x14ac:dyDescent="0.25">
      <c r="B7619" s="13" t="s">
        <v>11455</v>
      </c>
      <c r="C7619" s="17" t="s">
        <v>170</v>
      </c>
      <c r="D7619" s="13" t="s">
        <v>118</v>
      </c>
      <c r="E7619" s="13" t="s">
        <v>11456</v>
      </c>
      <c r="F7619" s="43">
        <v>26.09</v>
      </c>
    </row>
    <row r="7620" spans="2:6" x14ac:dyDescent="0.25">
      <c r="B7620" s="13" t="s">
        <v>11457</v>
      </c>
      <c r="C7620" s="17" t="s">
        <v>170</v>
      </c>
      <c r="D7620" s="13" t="s">
        <v>118</v>
      </c>
      <c r="E7620" s="13" t="s">
        <v>11458</v>
      </c>
      <c r="F7620" s="43">
        <v>52.65</v>
      </c>
    </row>
    <row r="7621" spans="2:6" x14ac:dyDescent="0.25">
      <c r="B7621" s="13" t="s">
        <v>13747</v>
      </c>
      <c r="C7621" s="17" t="s">
        <v>170</v>
      </c>
      <c r="D7621" s="13" t="s">
        <v>118</v>
      </c>
      <c r="E7621" s="13" t="s">
        <v>13748</v>
      </c>
      <c r="F7621" s="43">
        <v>14.69</v>
      </c>
    </row>
    <row r="7622" spans="2:6" x14ac:dyDescent="0.25">
      <c r="B7622" s="13" t="s">
        <v>13749</v>
      </c>
      <c r="C7622" s="17" t="s">
        <v>170</v>
      </c>
      <c r="D7622" s="13" t="s">
        <v>118</v>
      </c>
      <c r="E7622" s="13" t="s">
        <v>13750</v>
      </c>
      <c r="F7622" s="43">
        <v>24.1</v>
      </c>
    </row>
    <row r="7623" spans="2:6" x14ac:dyDescent="0.25">
      <c r="B7623" s="13" t="s">
        <v>13751</v>
      </c>
      <c r="C7623" s="17" t="s">
        <v>170</v>
      </c>
      <c r="D7623" s="13" t="s">
        <v>118</v>
      </c>
      <c r="E7623" s="13" t="s">
        <v>13752</v>
      </c>
      <c r="F7623" s="43">
        <v>42.23</v>
      </c>
    </row>
    <row r="7624" spans="2:6" x14ac:dyDescent="0.25">
      <c r="B7624" s="13" t="s">
        <v>13753</v>
      </c>
      <c r="C7624" s="17" t="s">
        <v>170</v>
      </c>
      <c r="D7624" s="13" t="s">
        <v>118</v>
      </c>
      <c r="E7624" s="13" t="s">
        <v>13754</v>
      </c>
      <c r="F7624" s="43">
        <v>51.07</v>
      </c>
    </row>
    <row r="7625" spans="2:6" x14ac:dyDescent="0.25">
      <c r="B7625" s="13" t="s">
        <v>13755</v>
      </c>
      <c r="C7625" s="17" t="s">
        <v>170</v>
      </c>
      <c r="D7625" s="13" t="s">
        <v>118</v>
      </c>
      <c r="E7625" s="13" t="s">
        <v>13756</v>
      </c>
      <c r="F7625" s="43">
        <v>2.41</v>
      </c>
    </row>
    <row r="7626" spans="2:6" x14ac:dyDescent="0.25">
      <c r="B7626" s="13" t="s">
        <v>13757</v>
      </c>
      <c r="C7626" s="17" t="s">
        <v>170</v>
      </c>
      <c r="D7626" s="13" t="s">
        <v>118</v>
      </c>
      <c r="E7626" s="13" t="s">
        <v>13758</v>
      </c>
      <c r="F7626" s="43">
        <v>20.66</v>
      </c>
    </row>
    <row r="7627" spans="2:6" x14ac:dyDescent="0.25">
      <c r="B7627" s="13" t="s">
        <v>13759</v>
      </c>
      <c r="C7627" s="17" t="s">
        <v>170</v>
      </c>
      <c r="D7627" s="13" t="s">
        <v>118</v>
      </c>
      <c r="E7627" s="13" t="s">
        <v>13760</v>
      </c>
      <c r="F7627" s="43">
        <v>50.4</v>
      </c>
    </row>
    <row r="7628" spans="2:6" x14ac:dyDescent="0.25">
      <c r="B7628" s="13" t="s">
        <v>13761</v>
      </c>
      <c r="C7628" s="17" t="s">
        <v>170</v>
      </c>
      <c r="D7628" s="13" t="s">
        <v>118</v>
      </c>
      <c r="E7628" s="13" t="s">
        <v>13762</v>
      </c>
      <c r="F7628" s="43">
        <v>74.59</v>
      </c>
    </row>
    <row r="7629" spans="2:6" x14ac:dyDescent="0.25">
      <c r="B7629" s="13" t="s">
        <v>13763</v>
      </c>
      <c r="C7629" s="17" t="s">
        <v>170</v>
      </c>
      <c r="D7629" s="13" t="s">
        <v>118</v>
      </c>
      <c r="E7629" s="13" t="s">
        <v>13764</v>
      </c>
      <c r="F7629" s="43">
        <v>74.59</v>
      </c>
    </row>
    <row r="7630" spans="2:6" x14ac:dyDescent="0.25">
      <c r="B7630" s="13" t="s">
        <v>13765</v>
      </c>
      <c r="C7630" s="17" t="s">
        <v>170</v>
      </c>
      <c r="D7630" s="13" t="s">
        <v>118</v>
      </c>
      <c r="E7630" s="13" t="s">
        <v>13766</v>
      </c>
      <c r="F7630" s="43">
        <v>74.59</v>
      </c>
    </row>
    <row r="7631" spans="2:6" x14ac:dyDescent="0.25">
      <c r="B7631" s="13" t="s">
        <v>13767</v>
      </c>
      <c r="C7631" s="17" t="s">
        <v>170</v>
      </c>
      <c r="D7631" s="13" t="s">
        <v>118</v>
      </c>
      <c r="E7631" s="13" t="s">
        <v>13768</v>
      </c>
      <c r="F7631" s="43">
        <v>74.59</v>
      </c>
    </row>
    <row r="7632" spans="2:6" x14ac:dyDescent="0.25">
      <c r="B7632" s="13" t="s">
        <v>13769</v>
      </c>
      <c r="C7632" s="17" t="s">
        <v>170</v>
      </c>
      <c r="D7632" s="13" t="s">
        <v>118</v>
      </c>
      <c r="E7632" s="13" t="s">
        <v>13770</v>
      </c>
      <c r="F7632" s="43">
        <v>74.59</v>
      </c>
    </row>
    <row r="7633" spans="2:6" x14ac:dyDescent="0.25">
      <c r="B7633" s="13" t="s">
        <v>13771</v>
      </c>
      <c r="C7633" s="17" t="s">
        <v>170</v>
      </c>
      <c r="D7633" s="13" t="s">
        <v>118</v>
      </c>
      <c r="E7633" s="13" t="s">
        <v>13772</v>
      </c>
      <c r="F7633" s="43">
        <v>74.59</v>
      </c>
    </row>
    <row r="7634" spans="2:6" x14ac:dyDescent="0.25">
      <c r="B7634" s="13" t="s">
        <v>13773</v>
      </c>
      <c r="C7634" s="17" t="s">
        <v>170</v>
      </c>
      <c r="D7634" s="13" t="s">
        <v>118</v>
      </c>
      <c r="E7634" s="13" t="s">
        <v>13774</v>
      </c>
      <c r="F7634" s="43">
        <v>74.59</v>
      </c>
    </row>
    <row r="7635" spans="2:6" x14ac:dyDescent="0.25">
      <c r="B7635" s="13" t="s">
        <v>13775</v>
      </c>
      <c r="C7635" s="17" t="s">
        <v>170</v>
      </c>
      <c r="D7635" s="13" t="s">
        <v>118</v>
      </c>
      <c r="E7635" s="13" t="s">
        <v>13776</v>
      </c>
      <c r="F7635" s="43">
        <v>74.59</v>
      </c>
    </row>
    <row r="7636" spans="2:6" x14ac:dyDescent="0.25">
      <c r="B7636" s="13" t="s">
        <v>13777</v>
      </c>
      <c r="C7636" s="17" t="s">
        <v>170</v>
      </c>
      <c r="D7636" s="13" t="s">
        <v>118</v>
      </c>
      <c r="E7636" s="13" t="s">
        <v>13778</v>
      </c>
      <c r="F7636" s="43">
        <v>74.59</v>
      </c>
    </row>
    <row r="7637" spans="2:6" x14ac:dyDescent="0.25">
      <c r="B7637" s="13" t="s">
        <v>13779</v>
      </c>
      <c r="C7637" s="17" t="s">
        <v>170</v>
      </c>
      <c r="D7637" s="13" t="s">
        <v>118</v>
      </c>
      <c r="E7637" s="13" t="s">
        <v>13780</v>
      </c>
      <c r="F7637" s="43">
        <v>74.59</v>
      </c>
    </row>
    <row r="7638" spans="2:6" x14ac:dyDescent="0.25">
      <c r="B7638" s="13" t="s">
        <v>13781</v>
      </c>
      <c r="C7638" s="17" t="s">
        <v>170</v>
      </c>
      <c r="D7638" s="13" t="s">
        <v>118</v>
      </c>
      <c r="E7638" s="13" t="s">
        <v>13780</v>
      </c>
      <c r="F7638" s="43">
        <v>74.59</v>
      </c>
    </row>
    <row r="7639" spans="2:6" x14ac:dyDescent="0.25">
      <c r="B7639" s="13" t="s">
        <v>13782</v>
      </c>
      <c r="C7639" s="17" t="s">
        <v>170</v>
      </c>
      <c r="D7639" s="13" t="s">
        <v>118</v>
      </c>
      <c r="E7639" s="13" t="s">
        <v>13783</v>
      </c>
      <c r="F7639" s="43">
        <v>74.59</v>
      </c>
    </row>
    <row r="7640" spans="2:6" x14ac:dyDescent="0.25">
      <c r="B7640" s="13" t="s">
        <v>13784</v>
      </c>
      <c r="C7640" s="17" t="s">
        <v>170</v>
      </c>
      <c r="D7640" s="13" t="s">
        <v>118</v>
      </c>
      <c r="E7640" s="13" t="s">
        <v>13785</v>
      </c>
      <c r="F7640" s="43">
        <v>74.59</v>
      </c>
    </row>
    <row r="7641" spans="2:6" x14ac:dyDescent="0.25">
      <c r="B7641" s="13" t="s">
        <v>13786</v>
      </c>
      <c r="C7641" s="17" t="s">
        <v>170</v>
      </c>
      <c r="D7641" s="13" t="s">
        <v>118</v>
      </c>
      <c r="E7641" s="13" t="s">
        <v>13787</v>
      </c>
      <c r="F7641" s="43">
        <v>74.59</v>
      </c>
    </row>
    <row r="7642" spans="2:6" x14ac:dyDescent="0.25">
      <c r="B7642" s="13" t="s">
        <v>13788</v>
      </c>
      <c r="C7642" s="17" t="s">
        <v>170</v>
      </c>
      <c r="D7642" s="13" t="s">
        <v>118</v>
      </c>
      <c r="E7642" s="13" t="s">
        <v>13789</v>
      </c>
      <c r="F7642" s="43">
        <v>74.59</v>
      </c>
    </row>
    <row r="7643" spans="2:6" x14ac:dyDescent="0.25">
      <c r="B7643" s="13" t="s">
        <v>13790</v>
      </c>
      <c r="C7643" s="17" t="s">
        <v>170</v>
      </c>
      <c r="D7643" s="13" t="s">
        <v>118</v>
      </c>
      <c r="E7643" s="13" t="s">
        <v>13789</v>
      </c>
      <c r="F7643" s="43">
        <v>74.59</v>
      </c>
    </row>
    <row r="7644" spans="2:6" x14ac:dyDescent="0.25">
      <c r="B7644" s="13" t="s">
        <v>13791</v>
      </c>
      <c r="C7644" s="17" t="s">
        <v>170</v>
      </c>
      <c r="D7644" s="13" t="s">
        <v>118</v>
      </c>
      <c r="E7644" s="13" t="s">
        <v>13792</v>
      </c>
      <c r="F7644" s="43">
        <v>74.59</v>
      </c>
    </row>
    <row r="7645" spans="2:6" x14ac:dyDescent="0.25">
      <c r="B7645" s="13" t="s">
        <v>13793</v>
      </c>
      <c r="C7645" s="17" t="s">
        <v>170</v>
      </c>
      <c r="D7645" s="13" t="s">
        <v>118</v>
      </c>
      <c r="E7645" s="13" t="s">
        <v>13794</v>
      </c>
      <c r="F7645" s="43">
        <v>74.59</v>
      </c>
    </row>
    <row r="7646" spans="2:6" x14ac:dyDescent="0.25">
      <c r="B7646" s="13" t="s">
        <v>13795</v>
      </c>
      <c r="C7646" s="17" t="s">
        <v>170</v>
      </c>
      <c r="D7646" s="13" t="s">
        <v>118</v>
      </c>
      <c r="E7646" s="13" t="s">
        <v>13796</v>
      </c>
      <c r="F7646" s="43">
        <v>74.59</v>
      </c>
    </row>
    <row r="7647" spans="2:6" x14ac:dyDescent="0.25">
      <c r="B7647" s="13" t="s">
        <v>13797</v>
      </c>
      <c r="C7647" s="17" t="s">
        <v>170</v>
      </c>
      <c r="D7647" s="13" t="s">
        <v>118</v>
      </c>
      <c r="E7647" s="13" t="s">
        <v>13796</v>
      </c>
      <c r="F7647" s="43">
        <v>74.59</v>
      </c>
    </row>
    <row r="7648" spans="2:6" x14ac:dyDescent="0.25">
      <c r="B7648" s="13" t="s">
        <v>13798</v>
      </c>
      <c r="C7648" s="17" t="s">
        <v>170</v>
      </c>
      <c r="D7648" s="13" t="s">
        <v>118</v>
      </c>
      <c r="E7648" s="13" t="s">
        <v>13799</v>
      </c>
      <c r="F7648" s="43">
        <v>74.59</v>
      </c>
    </row>
    <row r="7649" spans="2:6" x14ac:dyDescent="0.25">
      <c r="B7649" s="13" t="s">
        <v>13800</v>
      </c>
      <c r="C7649" s="17" t="s">
        <v>170</v>
      </c>
      <c r="D7649" s="13" t="s">
        <v>118</v>
      </c>
      <c r="E7649" s="13" t="s">
        <v>13801</v>
      </c>
      <c r="F7649" s="43">
        <v>74.59</v>
      </c>
    </row>
    <row r="7650" spans="2:6" x14ac:dyDescent="0.25">
      <c r="B7650" s="13" t="s">
        <v>13802</v>
      </c>
      <c r="C7650" s="17" t="s">
        <v>170</v>
      </c>
      <c r="D7650" s="13" t="s">
        <v>118</v>
      </c>
      <c r="E7650" s="13" t="s">
        <v>13803</v>
      </c>
      <c r="F7650" s="43">
        <v>74.59</v>
      </c>
    </row>
    <row r="7651" spans="2:6" x14ac:dyDescent="0.25">
      <c r="B7651" s="13" t="s">
        <v>13804</v>
      </c>
      <c r="C7651" s="17" t="s">
        <v>170</v>
      </c>
      <c r="D7651" s="13" t="s">
        <v>118</v>
      </c>
      <c r="E7651" s="13" t="s">
        <v>13805</v>
      </c>
      <c r="F7651" s="43">
        <v>74.59</v>
      </c>
    </row>
    <row r="7652" spans="2:6" x14ac:dyDescent="0.25">
      <c r="B7652" s="13" t="s">
        <v>13806</v>
      </c>
      <c r="C7652" s="17" t="s">
        <v>170</v>
      </c>
      <c r="D7652" s="13" t="s">
        <v>118</v>
      </c>
      <c r="E7652" s="13" t="s">
        <v>13805</v>
      </c>
      <c r="F7652" s="43">
        <v>74.59</v>
      </c>
    </row>
    <row r="7653" spans="2:6" x14ac:dyDescent="0.25">
      <c r="B7653" s="13" t="s">
        <v>13807</v>
      </c>
      <c r="C7653" s="17" t="s">
        <v>170</v>
      </c>
      <c r="D7653" s="13" t="s">
        <v>118</v>
      </c>
      <c r="E7653" s="13" t="s">
        <v>13808</v>
      </c>
      <c r="F7653" s="43">
        <v>74.59</v>
      </c>
    </row>
    <row r="7654" spans="2:6" x14ac:dyDescent="0.25">
      <c r="B7654" s="13" t="s">
        <v>13809</v>
      </c>
      <c r="C7654" s="17" t="s">
        <v>170</v>
      </c>
      <c r="D7654" s="13" t="s">
        <v>118</v>
      </c>
      <c r="E7654" s="13" t="s">
        <v>13810</v>
      </c>
      <c r="F7654" s="43">
        <v>74.59</v>
      </c>
    </row>
    <row r="7655" spans="2:6" x14ac:dyDescent="0.25">
      <c r="B7655" s="13" t="s">
        <v>13811</v>
      </c>
      <c r="C7655" s="17" t="s">
        <v>170</v>
      </c>
      <c r="D7655" s="13" t="s">
        <v>118</v>
      </c>
      <c r="E7655" s="13" t="s">
        <v>13810</v>
      </c>
      <c r="F7655" s="43">
        <v>74.59</v>
      </c>
    </row>
    <row r="7656" spans="2:6" x14ac:dyDescent="0.25">
      <c r="B7656" s="13" t="s">
        <v>13812</v>
      </c>
      <c r="C7656" s="17" t="s">
        <v>170</v>
      </c>
      <c r="D7656" s="13" t="s">
        <v>118</v>
      </c>
      <c r="E7656" s="13" t="s">
        <v>13813</v>
      </c>
      <c r="F7656" s="43">
        <v>74.59</v>
      </c>
    </row>
    <row r="7657" spans="2:6" x14ac:dyDescent="0.25">
      <c r="B7657" s="13" t="s">
        <v>13814</v>
      </c>
      <c r="C7657" s="17" t="s">
        <v>170</v>
      </c>
      <c r="D7657" s="13" t="s">
        <v>118</v>
      </c>
      <c r="E7657" s="13" t="s">
        <v>13815</v>
      </c>
      <c r="F7657" s="43">
        <v>74.59</v>
      </c>
    </row>
    <row r="7658" spans="2:6" x14ac:dyDescent="0.25">
      <c r="B7658" s="13" t="s">
        <v>13816</v>
      </c>
      <c r="C7658" s="17" t="s">
        <v>170</v>
      </c>
      <c r="D7658" s="13" t="s">
        <v>118</v>
      </c>
      <c r="E7658" s="13" t="s">
        <v>13817</v>
      </c>
      <c r="F7658" s="43">
        <v>74.59</v>
      </c>
    </row>
    <row r="7659" spans="2:6" x14ac:dyDescent="0.25">
      <c r="B7659" s="13" t="s">
        <v>13818</v>
      </c>
      <c r="C7659" s="17" t="s">
        <v>170</v>
      </c>
      <c r="D7659" s="13" t="s">
        <v>118</v>
      </c>
      <c r="E7659" s="13" t="s">
        <v>13819</v>
      </c>
      <c r="F7659" s="43">
        <v>74.59</v>
      </c>
    </row>
    <row r="7660" spans="2:6" x14ac:dyDescent="0.25">
      <c r="B7660" s="13" t="s">
        <v>13820</v>
      </c>
      <c r="C7660" s="17" t="s">
        <v>170</v>
      </c>
      <c r="D7660" s="13" t="s">
        <v>118</v>
      </c>
      <c r="E7660" s="13" t="s">
        <v>13821</v>
      </c>
      <c r="F7660" s="43">
        <v>74.59</v>
      </c>
    </row>
    <row r="7661" spans="2:6" x14ac:dyDescent="0.25">
      <c r="B7661" s="13" t="s">
        <v>13822</v>
      </c>
      <c r="C7661" s="17" t="s">
        <v>170</v>
      </c>
      <c r="D7661" s="13" t="s">
        <v>118</v>
      </c>
      <c r="E7661" s="13" t="s">
        <v>13823</v>
      </c>
      <c r="F7661" s="43">
        <v>74.59</v>
      </c>
    </row>
    <row r="7662" spans="2:6" x14ac:dyDescent="0.25">
      <c r="B7662" s="13" t="s">
        <v>13824</v>
      </c>
      <c r="C7662" s="17" t="s">
        <v>170</v>
      </c>
      <c r="D7662" s="13" t="s">
        <v>118</v>
      </c>
      <c r="E7662" s="13" t="s">
        <v>13823</v>
      </c>
      <c r="F7662" s="43">
        <v>74.59</v>
      </c>
    </row>
    <row r="7663" spans="2:6" x14ac:dyDescent="0.25">
      <c r="B7663" s="13" t="s">
        <v>13825</v>
      </c>
      <c r="C7663" s="17" t="s">
        <v>170</v>
      </c>
      <c r="D7663" s="13" t="s">
        <v>118</v>
      </c>
      <c r="E7663" s="13" t="s">
        <v>13826</v>
      </c>
      <c r="F7663" s="43">
        <v>74.59</v>
      </c>
    </row>
    <row r="7664" spans="2:6" x14ac:dyDescent="0.25">
      <c r="B7664" s="13" t="s">
        <v>13827</v>
      </c>
      <c r="C7664" s="17" t="s">
        <v>170</v>
      </c>
      <c r="D7664" s="13" t="s">
        <v>118</v>
      </c>
      <c r="E7664" s="13" t="s">
        <v>13828</v>
      </c>
      <c r="F7664" s="43">
        <v>74.59</v>
      </c>
    </row>
    <row r="7665" spans="2:6" x14ac:dyDescent="0.25">
      <c r="B7665" s="13" t="s">
        <v>13829</v>
      </c>
      <c r="C7665" s="17" t="s">
        <v>170</v>
      </c>
      <c r="D7665" s="13" t="s">
        <v>118</v>
      </c>
      <c r="E7665" s="13" t="s">
        <v>13830</v>
      </c>
      <c r="F7665" s="43">
        <v>74.59</v>
      </c>
    </row>
    <row r="7666" spans="2:6" x14ac:dyDescent="0.25">
      <c r="B7666" s="13" t="s">
        <v>13831</v>
      </c>
      <c r="C7666" s="17" t="s">
        <v>170</v>
      </c>
      <c r="D7666" s="13" t="s">
        <v>118</v>
      </c>
      <c r="E7666" s="13" t="s">
        <v>13830</v>
      </c>
      <c r="F7666" s="43">
        <v>74.59</v>
      </c>
    </row>
    <row r="7667" spans="2:6" x14ac:dyDescent="0.25">
      <c r="B7667" s="13" t="s">
        <v>13832</v>
      </c>
      <c r="C7667" s="17" t="s">
        <v>170</v>
      </c>
      <c r="D7667" s="13" t="s">
        <v>118</v>
      </c>
      <c r="E7667" s="13" t="s">
        <v>13833</v>
      </c>
      <c r="F7667" s="43">
        <v>74.59</v>
      </c>
    </row>
    <row r="7668" spans="2:6" x14ac:dyDescent="0.25">
      <c r="B7668" s="13" t="s">
        <v>13834</v>
      </c>
      <c r="C7668" s="17" t="s">
        <v>170</v>
      </c>
      <c r="D7668" s="13" t="s">
        <v>118</v>
      </c>
      <c r="E7668" s="13" t="s">
        <v>13835</v>
      </c>
      <c r="F7668" s="43">
        <v>74.59</v>
      </c>
    </row>
    <row r="7669" spans="2:6" x14ac:dyDescent="0.25">
      <c r="B7669" s="13" t="s">
        <v>13836</v>
      </c>
      <c r="C7669" s="17" t="s">
        <v>170</v>
      </c>
      <c r="D7669" s="13" t="s">
        <v>118</v>
      </c>
      <c r="E7669" s="13" t="s">
        <v>13837</v>
      </c>
      <c r="F7669" s="43">
        <v>74.59</v>
      </c>
    </row>
    <row r="7670" spans="2:6" x14ac:dyDescent="0.25">
      <c r="B7670" s="13" t="s">
        <v>13838</v>
      </c>
      <c r="C7670" s="17" t="s">
        <v>170</v>
      </c>
      <c r="D7670" s="13" t="s">
        <v>118</v>
      </c>
      <c r="E7670" s="13" t="s">
        <v>13839</v>
      </c>
      <c r="F7670" s="43">
        <v>74.59</v>
      </c>
    </row>
    <row r="7671" spans="2:6" x14ac:dyDescent="0.25">
      <c r="B7671" s="13" t="s">
        <v>13840</v>
      </c>
      <c r="C7671" s="17" t="s">
        <v>170</v>
      </c>
      <c r="D7671" s="13" t="s">
        <v>118</v>
      </c>
      <c r="E7671" s="13" t="s">
        <v>13841</v>
      </c>
      <c r="F7671" s="43">
        <v>74.59</v>
      </c>
    </row>
    <row r="7672" spans="2:6" x14ac:dyDescent="0.25">
      <c r="B7672" s="13" t="s">
        <v>13842</v>
      </c>
      <c r="C7672" s="17" t="s">
        <v>170</v>
      </c>
      <c r="D7672" s="13" t="s">
        <v>118</v>
      </c>
      <c r="E7672" s="13" t="s">
        <v>13841</v>
      </c>
      <c r="F7672" s="43">
        <v>74.59</v>
      </c>
    </row>
    <row r="7673" spans="2:6" x14ac:dyDescent="0.25">
      <c r="B7673" s="13" t="s">
        <v>13843</v>
      </c>
      <c r="C7673" s="17" t="s">
        <v>170</v>
      </c>
      <c r="D7673" s="13" t="s">
        <v>118</v>
      </c>
      <c r="E7673" s="13" t="s">
        <v>13844</v>
      </c>
      <c r="F7673" s="43">
        <v>74.59</v>
      </c>
    </row>
    <row r="7674" spans="2:6" x14ac:dyDescent="0.25">
      <c r="B7674" s="13" t="s">
        <v>13845</v>
      </c>
      <c r="C7674" s="17" t="s">
        <v>170</v>
      </c>
      <c r="D7674" s="13" t="s">
        <v>118</v>
      </c>
      <c r="E7674" s="13" t="s">
        <v>13846</v>
      </c>
      <c r="F7674" s="43">
        <v>74.59</v>
      </c>
    </row>
    <row r="7675" spans="2:6" x14ac:dyDescent="0.25">
      <c r="B7675" s="13" t="s">
        <v>13847</v>
      </c>
      <c r="C7675" s="17" t="s">
        <v>170</v>
      </c>
      <c r="D7675" s="13" t="s">
        <v>118</v>
      </c>
      <c r="E7675" s="13" t="s">
        <v>13848</v>
      </c>
      <c r="F7675" s="43">
        <v>74.59</v>
      </c>
    </row>
    <row r="7676" spans="2:6" x14ac:dyDescent="0.25">
      <c r="B7676" s="13" t="s">
        <v>13849</v>
      </c>
      <c r="C7676" s="17" t="s">
        <v>170</v>
      </c>
      <c r="D7676" s="13" t="s">
        <v>118</v>
      </c>
      <c r="E7676" s="13" t="s">
        <v>13848</v>
      </c>
      <c r="F7676" s="43">
        <v>74.59</v>
      </c>
    </row>
    <row r="7677" spans="2:6" x14ac:dyDescent="0.25">
      <c r="B7677" s="13" t="s">
        <v>13850</v>
      </c>
      <c r="C7677" s="17" t="s">
        <v>170</v>
      </c>
      <c r="D7677" s="13" t="s">
        <v>118</v>
      </c>
      <c r="E7677" s="13" t="s">
        <v>13851</v>
      </c>
      <c r="F7677" s="43">
        <v>74.59</v>
      </c>
    </row>
    <row r="7678" spans="2:6" x14ac:dyDescent="0.25">
      <c r="B7678" s="13" t="s">
        <v>13852</v>
      </c>
      <c r="C7678" s="17" t="s">
        <v>170</v>
      </c>
      <c r="D7678" s="13" t="s">
        <v>118</v>
      </c>
      <c r="E7678" s="13" t="s">
        <v>13853</v>
      </c>
      <c r="F7678" s="43">
        <v>74.59</v>
      </c>
    </row>
    <row r="7679" spans="2:6" x14ac:dyDescent="0.25">
      <c r="B7679" s="13" t="s">
        <v>13854</v>
      </c>
      <c r="C7679" s="17" t="s">
        <v>170</v>
      </c>
      <c r="D7679" s="13" t="s">
        <v>118</v>
      </c>
      <c r="E7679" s="13" t="s">
        <v>13855</v>
      </c>
      <c r="F7679" s="43">
        <v>74.59</v>
      </c>
    </row>
    <row r="7680" spans="2:6" x14ac:dyDescent="0.25">
      <c r="B7680" s="13" t="s">
        <v>13856</v>
      </c>
      <c r="C7680" s="17" t="s">
        <v>170</v>
      </c>
      <c r="D7680" s="13" t="s">
        <v>118</v>
      </c>
      <c r="E7680" s="13" t="s">
        <v>13855</v>
      </c>
      <c r="F7680" s="43">
        <v>74.59</v>
      </c>
    </row>
    <row r="7681" spans="2:6" x14ac:dyDescent="0.25">
      <c r="B7681" s="13" t="s">
        <v>13857</v>
      </c>
      <c r="C7681" s="17" t="s">
        <v>170</v>
      </c>
      <c r="D7681" s="13" t="s">
        <v>118</v>
      </c>
      <c r="E7681" s="13" t="s">
        <v>13858</v>
      </c>
      <c r="F7681" s="43">
        <v>74.59</v>
      </c>
    </row>
    <row r="7682" spans="2:6" x14ac:dyDescent="0.25">
      <c r="B7682" s="13" t="s">
        <v>13859</v>
      </c>
      <c r="C7682" s="17" t="s">
        <v>170</v>
      </c>
      <c r="D7682" s="13" t="s">
        <v>118</v>
      </c>
      <c r="E7682" s="13" t="s">
        <v>13860</v>
      </c>
      <c r="F7682" s="43">
        <v>74.59</v>
      </c>
    </row>
    <row r="7683" spans="2:6" x14ac:dyDescent="0.25">
      <c r="B7683" s="13" t="s">
        <v>13861</v>
      </c>
      <c r="C7683" s="17" t="s">
        <v>170</v>
      </c>
      <c r="D7683" s="13" t="s">
        <v>118</v>
      </c>
      <c r="E7683" s="13" t="s">
        <v>13860</v>
      </c>
      <c r="F7683" s="43">
        <v>74.59</v>
      </c>
    </row>
    <row r="7684" spans="2:6" x14ac:dyDescent="0.25">
      <c r="B7684" s="13" t="s">
        <v>13862</v>
      </c>
      <c r="C7684" s="17" t="s">
        <v>170</v>
      </c>
      <c r="D7684" s="13" t="s">
        <v>118</v>
      </c>
      <c r="E7684" s="13" t="s">
        <v>13863</v>
      </c>
      <c r="F7684" s="43">
        <v>74.59</v>
      </c>
    </row>
    <row r="7685" spans="2:6" x14ac:dyDescent="0.25">
      <c r="B7685" s="13" t="s">
        <v>13864</v>
      </c>
      <c r="C7685" s="17" t="s">
        <v>170</v>
      </c>
      <c r="D7685" s="13" t="s">
        <v>118</v>
      </c>
      <c r="E7685" s="13" t="s">
        <v>13865</v>
      </c>
      <c r="F7685" s="43">
        <v>74.59</v>
      </c>
    </row>
    <row r="7686" spans="2:6" x14ac:dyDescent="0.25">
      <c r="B7686" s="13" t="s">
        <v>13866</v>
      </c>
      <c r="C7686" s="17" t="s">
        <v>170</v>
      </c>
      <c r="D7686" s="13" t="s">
        <v>118</v>
      </c>
      <c r="E7686" s="13" t="s">
        <v>13867</v>
      </c>
      <c r="F7686" s="43">
        <v>74.59</v>
      </c>
    </row>
    <row r="7687" spans="2:6" x14ac:dyDescent="0.25">
      <c r="B7687" s="13" t="s">
        <v>13868</v>
      </c>
      <c r="C7687" s="17" t="s">
        <v>170</v>
      </c>
      <c r="D7687" s="13" t="s">
        <v>118</v>
      </c>
      <c r="E7687" s="13" t="s">
        <v>13869</v>
      </c>
      <c r="F7687" s="43">
        <v>223.77</v>
      </c>
    </row>
    <row r="7688" spans="2:6" x14ac:dyDescent="0.25">
      <c r="B7688" s="13" t="s">
        <v>13870</v>
      </c>
      <c r="C7688" s="17" t="s">
        <v>170</v>
      </c>
      <c r="D7688" s="13" t="s">
        <v>118</v>
      </c>
      <c r="E7688" s="13" t="s">
        <v>13871</v>
      </c>
      <c r="F7688" s="43">
        <v>223.77</v>
      </c>
    </row>
    <row r="7689" spans="2:6" x14ac:dyDescent="0.25">
      <c r="B7689" s="13" t="s">
        <v>13872</v>
      </c>
      <c r="C7689" s="17" t="s">
        <v>170</v>
      </c>
      <c r="D7689" s="13" t="s">
        <v>118</v>
      </c>
      <c r="E7689" s="13" t="s">
        <v>13873</v>
      </c>
      <c r="F7689" s="43">
        <v>223.77</v>
      </c>
    </row>
    <row r="7690" spans="2:6" x14ac:dyDescent="0.25">
      <c r="B7690" s="13" t="s">
        <v>13874</v>
      </c>
      <c r="C7690" s="17" t="s">
        <v>170</v>
      </c>
      <c r="D7690" s="13" t="s">
        <v>118</v>
      </c>
      <c r="E7690" s="13" t="s">
        <v>13875</v>
      </c>
      <c r="F7690" s="43">
        <v>223.77</v>
      </c>
    </row>
    <row r="7691" spans="2:6" x14ac:dyDescent="0.25">
      <c r="B7691" s="13" t="s">
        <v>13876</v>
      </c>
      <c r="C7691" s="17" t="s">
        <v>170</v>
      </c>
      <c r="D7691" s="13" t="s">
        <v>118</v>
      </c>
      <c r="E7691" s="13" t="s">
        <v>13877</v>
      </c>
      <c r="F7691" s="43">
        <v>223.77</v>
      </c>
    </row>
    <row r="7692" spans="2:6" x14ac:dyDescent="0.25">
      <c r="B7692" s="13" t="s">
        <v>13878</v>
      </c>
      <c r="C7692" s="17" t="s">
        <v>170</v>
      </c>
      <c r="D7692" s="13" t="s">
        <v>118</v>
      </c>
      <c r="E7692" s="13" t="s">
        <v>13879</v>
      </c>
      <c r="F7692" s="43">
        <v>223.77</v>
      </c>
    </row>
    <row r="7693" spans="2:6" x14ac:dyDescent="0.25">
      <c r="B7693" s="13" t="s">
        <v>13880</v>
      </c>
      <c r="C7693" s="17" t="s">
        <v>170</v>
      </c>
      <c r="D7693" s="13" t="s">
        <v>118</v>
      </c>
      <c r="E7693" s="13" t="s">
        <v>13879</v>
      </c>
      <c r="F7693" s="43">
        <v>223.77</v>
      </c>
    </row>
    <row r="7694" spans="2:6" x14ac:dyDescent="0.25">
      <c r="B7694" s="13" t="s">
        <v>13881</v>
      </c>
      <c r="C7694" s="17" t="s">
        <v>170</v>
      </c>
      <c r="D7694" s="13" t="s">
        <v>118</v>
      </c>
      <c r="E7694" s="13" t="s">
        <v>13882</v>
      </c>
      <c r="F7694" s="43">
        <v>223.77</v>
      </c>
    </row>
    <row r="7695" spans="2:6" x14ac:dyDescent="0.25">
      <c r="B7695" s="13" t="s">
        <v>13883</v>
      </c>
      <c r="C7695" s="17" t="s">
        <v>170</v>
      </c>
      <c r="D7695" s="13" t="s">
        <v>118</v>
      </c>
      <c r="E7695" s="13" t="s">
        <v>13884</v>
      </c>
      <c r="F7695" s="43">
        <v>223.77</v>
      </c>
    </row>
    <row r="7696" spans="2:6" x14ac:dyDescent="0.25">
      <c r="B7696" s="13" t="s">
        <v>13885</v>
      </c>
      <c r="C7696" s="17" t="s">
        <v>170</v>
      </c>
      <c r="D7696" s="13" t="s">
        <v>118</v>
      </c>
      <c r="E7696" s="13" t="s">
        <v>13884</v>
      </c>
      <c r="F7696" s="43">
        <v>223.77</v>
      </c>
    </row>
    <row r="7697" spans="2:6" x14ac:dyDescent="0.25">
      <c r="B7697" s="13" t="s">
        <v>13886</v>
      </c>
      <c r="C7697" s="17" t="s">
        <v>170</v>
      </c>
      <c r="D7697" s="13" t="s">
        <v>118</v>
      </c>
      <c r="E7697" s="13" t="s">
        <v>13887</v>
      </c>
      <c r="F7697" s="43">
        <v>223.77</v>
      </c>
    </row>
    <row r="7698" spans="2:6" x14ac:dyDescent="0.25">
      <c r="B7698" s="13" t="s">
        <v>13888</v>
      </c>
      <c r="C7698" s="17" t="s">
        <v>170</v>
      </c>
      <c r="D7698" s="13" t="s">
        <v>118</v>
      </c>
      <c r="E7698" s="13" t="s">
        <v>13889</v>
      </c>
      <c r="F7698" s="43">
        <v>223.77</v>
      </c>
    </row>
    <row r="7699" spans="2:6" x14ac:dyDescent="0.25">
      <c r="B7699" s="13" t="s">
        <v>13890</v>
      </c>
      <c r="C7699" s="17" t="s">
        <v>170</v>
      </c>
      <c r="D7699" s="13" t="s">
        <v>118</v>
      </c>
      <c r="E7699" s="13" t="s">
        <v>13891</v>
      </c>
      <c r="F7699" s="43">
        <v>223.77</v>
      </c>
    </row>
    <row r="7700" spans="2:6" x14ac:dyDescent="0.25">
      <c r="B7700" s="13" t="s">
        <v>13892</v>
      </c>
      <c r="C7700" s="17" t="s">
        <v>170</v>
      </c>
      <c r="D7700" s="13" t="s">
        <v>118</v>
      </c>
      <c r="E7700" s="13" t="s">
        <v>13891</v>
      </c>
      <c r="F7700" s="43">
        <v>223.77</v>
      </c>
    </row>
    <row r="7701" spans="2:6" x14ac:dyDescent="0.25">
      <c r="B7701" s="13" t="s">
        <v>13893</v>
      </c>
      <c r="C7701" s="17" t="s">
        <v>170</v>
      </c>
      <c r="D7701" s="13" t="s">
        <v>118</v>
      </c>
      <c r="E7701" s="13" t="s">
        <v>13894</v>
      </c>
      <c r="F7701" s="43">
        <v>223.77</v>
      </c>
    </row>
    <row r="7702" spans="2:6" x14ac:dyDescent="0.25">
      <c r="B7702" s="13" t="s">
        <v>13895</v>
      </c>
      <c r="C7702" s="17" t="s">
        <v>170</v>
      </c>
      <c r="D7702" s="13" t="s">
        <v>118</v>
      </c>
      <c r="E7702" s="13" t="s">
        <v>13896</v>
      </c>
      <c r="F7702" s="43">
        <v>223.77</v>
      </c>
    </row>
    <row r="7703" spans="2:6" x14ac:dyDescent="0.25">
      <c r="B7703" s="13" t="s">
        <v>13897</v>
      </c>
      <c r="C7703" s="17" t="s">
        <v>170</v>
      </c>
      <c r="D7703" s="13" t="s">
        <v>118</v>
      </c>
      <c r="E7703" s="13" t="s">
        <v>13898</v>
      </c>
      <c r="F7703" s="43">
        <v>223.77</v>
      </c>
    </row>
    <row r="7704" spans="2:6" x14ac:dyDescent="0.25">
      <c r="B7704" s="13" t="s">
        <v>13899</v>
      </c>
      <c r="C7704" s="17" t="s">
        <v>170</v>
      </c>
      <c r="D7704" s="13" t="s">
        <v>118</v>
      </c>
      <c r="E7704" s="13" t="s">
        <v>13898</v>
      </c>
      <c r="F7704" s="43">
        <v>223.77</v>
      </c>
    </row>
    <row r="7705" spans="2:6" x14ac:dyDescent="0.25">
      <c r="B7705" s="13" t="s">
        <v>13900</v>
      </c>
      <c r="C7705" s="17" t="s">
        <v>170</v>
      </c>
      <c r="D7705" s="13" t="s">
        <v>118</v>
      </c>
      <c r="E7705" s="13" t="s">
        <v>13901</v>
      </c>
      <c r="F7705" s="43">
        <v>223.77</v>
      </c>
    </row>
    <row r="7706" spans="2:6" x14ac:dyDescent="0.25">
      <c r="B7706" s="13" t="s">
        <v>13902</v>
      </c>
      <c r="C7706" s="17" t="s">
        <v>170</v>
      </c>
      <c r="D7706" s="13" t="s">
        <v>118</v>
      </c>
      <c r="E7706" s="13" t="s">
        <v>13903</v>
      </c>
      <c r="F7706" s="43">
        <v>223.77</v>
      </c>
    </row>
    <row r="7707" spans="2:6" x14ac:dyDescent="0.25">
      <c r="B7707" s="13" t="s">
        <v>13904</v>
      </c>
      <c r="C7707" s="17" t="s">
        <v>170</v>
      </c>
      <c r="D7707" s="13" t="s">
        <v>118</v>
      </c>
      <c r="E7707" s="13" t="s">
        <v>13905</v>
      </c>
      <c r="F7707" s="43">
        <v>223.77</v>
      </c>
    </row>
    <row r="7708" spans="2:6" x14ac:dyDescent="0.25">
      <c r="B7708" s="13" t="s">
        <v>13906</v>
      </c>
      <c r="C7708" s="17" t="s">
        <v>170</v>
      </c>
      <c r="D7708" s="13" t="s">
        <v>118</v>
      </c>
      <c r="E7708" s="13" t="s">
        <v>13907</v>
      </c>
      <c r="F7708" s="43">
        <v>223.77</v>
      </c>
    </row>
    <row r="7709" spans="2:6" x14ac:dyDescent="0.25">
      <c r="B7709" s="13" t="s">
        <v>13908</v>
      </c>
      <c r="C7709" s="17" t="s">
        <v>170</v>
      </c>
      <c r="D7709" s="13" t="s">
        <v>118</v>
      </c>
      <c r="E7709" s="13" t="s">
        <v>13909</v>
      </c>
      <c r="F7709" s="43">
        <v>154.91999999999999</v>
      </c>
    </row>
    <row r="7710" spans="2:6" x14ac:dyDescent="0.25">
      <c r="B7710" s="13" t="s">
        <v>13910</v>
      </c>
      <c r="C7710" s="17" t="s">
        <v>170</v>
      </c>
      <c r="D7710" s="13" t="s">
        <v>118</v>
      </c>
      <c r="E7710" s="13" t="s">
        <v>13911</v>
      </c>
      <c r="F7710" s="43">
        <v>154.91999999999999</v>
      </c>
    </row>
    <row r="7711" spans="2:6" x14ac:dyDescent="0.25">
      <c r="B7711" s="13" t="s">
        <v>13912</v>
      </c>
      <c r="C7711" s="17" t="s">
        <v>170</v>
      </c>
      <c r="D7711" s="13" t="s">
        <v>118</v>
      </c>
      <c r="E7711" s="13" t="s">
        <v>13913</v>
      </c>
      <c r="F7711" s="43">
        <v>154.91999999999999</v>
      </c>
    </row>
    <row r="7712" spans="2:6" x14ac:dyDescent="0.25">
      <c r="B7712" s="13" t="s">
        <v>13914</v>
      </c>
      <c r="C7712" s="17" t="s">
        <v>170</v>
      </c>
      <c r="D7712" s="13" t="s">
        <v>118</v>
      </c>
      <c r="E7712" s="13" t="s">
        <v>13913</v>
      </c>
      <c r="F7712" s="43">
        <v>154.91999999999999</v>
      </c>
    </row>
    <row r="7713" spans="2:6" x14ac:dyDescent="0.25">
      <c r="B7713" s="13" t="s">
        <v>13915</v>
      </c>
      <c r="C7713" s="17" t="s">
        <v>170</v>
      </c>
      <c r="D7713" s="13" t="s">
        <v>118</v>
      </c>
      <c r="E7713" s="13" t="s">
        <v>13916</v>
      </c>
      <c r="F7713" s="43">
        <v>154.91999999999999</v>
      </c>
    </row>
    <row r="7714" spans="2:6" x14ac:dyDescent="0.25">
      <c r="B7714" s="13" t="s">
        <v>13917</v>
      </c>
      <c r="C7714" s="17" t="s">
        <v>170</v>
      </c>
      <c r="D7714" s="13" t="s">
        <v>118</v>
      </c>
      <c r="E7714" s="13" t="s">
        <v>13918</v>
      </c>
      <c r="F7714" s="43">
        <v>154.91999999999999</v>
      </c>
    </row>
    <row r="7715" spans="2:6" x14ac:dyDescent="0.25">
      <c r="B7715" s="13" t="s">
        <v>13919</v>
      </c>
      <c r="C7715" s="17" t="s">
        <v>170</v>
      </c>
      <c r="D7715" s="13" t="s">
        <v>118</v>
      </c>
      <c r="E7715" s="13" t="s">
        <v>13920</v>
      </c>
      <c r="F7715" s="43">
        <v>154.91999999999999</v>
      </c>
    </row>
    <row r="7716" spans="2:6" x14ac:dyDescent="0.25">
      <c r="B7716" s="13" t="s">
        <v>13921</v>
      </c>
      <c r="C7716" s="17" t="s">
        <v>170</v>
      </c>
      <c r="D7716" s="13" t="s">
        <v>118</v>
      </c>
      <c r="E7716" s="13" t="s">
        <v>13920</v>
      </c>
      <c r="F7716" s="43">
        <v>154.91999999999999</v>
      </c>
    </row>
    <row r="7717" spans="2:6" x14ac:dyDescent="0.25">
      <c r="B7717" s="13" t="s">
        <v>13917</v>
      </c>
      <c r="C7717" s="17" t="s">
        <v>170</v>
      </c>
      <c r="D7717" s="13" t="s">
        <v>118</v>
      </c>
      <c r="E7717" s="13" t="s">
        <v>13922</v>
      </c>
      <c r="F7717" s="43">
        <v>154.91999999999999</v>
      </c>
    </row>
    <row r="7718" spans="2:6" x14ac:dyDescent="0.25">
      <c r="B7718" s="13" t="s">
        <v>13923</v>
      </c>
      <c r="C7718" s="17" t="s">
        <v>170</v>
      </c>
      <c r="D7718" s="13" t="s">
        <v>118</v>
      </c>
      <c r="E7718" s="13" t="s">
        <v>13924</v>
      </c>
      <c r="F7718" s="43">
        <v>154.91999999999999</v>
      </c>
    </row>
    <row r="7719" spans="2:6" x14ac:dyDescent="0.25">
      <c r="B7719" s="13" t="s">
        <v>13925</v>
      </c>
      <c r="C7719" s="17" t="s">
        <v>170</v>
      </c>
      <c r="D7719" s="13" t="s">
        <v>118</v>
      </c>
      <c r="E7719" s="13" t="s">
        <v>13926</v>
      </c>
      <c r="F7719" s="43">
        <v>154.91999999999999</v>
      </c>
    </row>
    <row r="7720" spans="2:6" x14ac:dyDescent="0.25">
      <c r="B7720" s="13" t="s">
        <v>13927</v>
      </c>
      <c r="C7720" s="17" t="s">
        <v>170</v>
      </c>
      <c r="D7720" s="13" t="s">
        <v>118</v>
      </c>
      <c r="E7720" s="13" t="s">
        <v>13928</v>
      </c>
      <c r="F7720" s="43">
        <v>154.91999999999999</v>
      </c>
    </row>
    <row r="7721" spans="2:6" x14ac:dyDescent="0.25">
      <c r="B7721" s="13" t="s">
        <v>13929</v>
      </c>
      <c r="C7721" s="17" t="s">
        <v>170</v>
      </c>
      <c r="D7721" s="13" t="s">
        <v>118</v>
      </c>
      <c r="E7721" s="13" t="s">
        <v>13930</v>
      </c>
      <c r="F7721" s="43">
        <v>154.91999999999999</v>
      </c>
    </row>
    <row r="7722" spans="2:6" x14ac:dyDescent="0.25">
      <c r="B7722" s="13" t="s">
        <v>13931</v>
      </c>
      <c r="C7722" s="17" t="s">
        <v>170</v>
      </c>
      <c r="D7722" s="13" t="s">
        <v>118</v>
      </c>
      <c r="E7722" s="13" t="s">
        <v>13932</v>
      </c>
      <c r="F7722" s="43">
        <v>154.91999999999999</v>
      </c>
    </row>
    <row r="7723" spans="2:6" x14ac:dyDescent="0.25">
      <c r="B7723" s="13" t="s">
        <v>13933</v>
      </c>
      <c r="C7723" s="17" t="s">
        <v>170</v>
      </c>
      <c r="D7723" s="13" t="s">
        <v>118</v>
      </c>
      <c r="E7723" s="13" t="s">
        <v>13932</v>
      </c>
      <c r="F7723" s="43">
        <v>154.91999999999999</v>
      </c>
    </row>
    <row r="7724" spans="2:6" x14ac:dyDescent="0.25">
      <c r="B7724" s="13" t="s">
        <v>13934</v>
      </c>
      <c r="C7724" s="17" t="s">
        <v>170</v>
      </c>
      <c r="D7724" s="13" t="s">
        <v>118</v>
      </c>
      <c r="E7724" s="13" t="s">
        <v>13935</v>
      </c>
      <c r="F7724" s="43">
        <v>154.91999999999999</v>
      </c>
    </row>
    <row r="7725" spans="2:6" x14ac:dyDescent="0.25">
      <c r="B7725" s="13" t="s">
        <v>13936</v>
      </c>
      <c r="C7725" s="17" t="s">
        <v>170</v>
      </c>
      <c r="D7725" s="13" t="s">
        <v>118</v>
      </c>
      <c r="E7725" s="13" t="s">
        <v>13937</v>
      </c>
      <c r="F7725" s="43">
        <v>154.91999999999999</v>
      </c>
    </row>
    <row r="7726" spans="2:6" x14ac:dyDescent="0.25">
      <c r="B7726" s="13" t="s">
        <v>13938</v>
      </c>
      <c r="C7726" s="17" t="s">
        <v>170</v>
      </c>
      <c r="D7726" s="13" t="s">
        <v>118</v>
      </c>
      <c r="E7726" s="13" t="s">
        <v>13939</v>
      </c>
      <c r="F7726" s="43">
        <v>154.91999999999999</v>
      </c>
    </row>
    <row r="7727" spans="2:6" x14ac:dyDescent="0.25">
      <c r="B7727" s="13" t="s">
        <v>13940</v>
      </c>
      <c r="C7727" s="17" t="s">
        <v>170</v>
      </c>
      <c r="D7727" s="13" t="s">
        <v>118</v>
      </c>
      <c r="E7727" s="13" t="s">
        <v>13939</v>
      </c>
      <c r="F7727" s="43">
        <v>154.91999999999999</v>
      </c>
    </row>
    <row r="7728" spans="2:6" x14ac:dyDescent="0.25">
      <c r="B7728" s="13" t="s">
        <v>13941</v>
      </c>
      <c r="C7728" s="17" t="s">
        <v>170</v>
      </c>
      <c r="D7728" s="13" t="s">
        <v>118</v>
      </c>
      <c r="E7728" s="13" t="s">
        <v>13937</v>
      </c>
      <c r="F7728" s="43">
        <v>154.91999999999999</v>
      </c>
    </row>
    <row r="7729" spans="2:6" x14ac:dyDescent="0.25">
      <c r="B7729" s="13" t="s">
        <v>13942</v>
      </c>
      <c r="C7729" s="17" t="s">
        <v>170</v>
      </c>
      <c r="D7729" s="13" t="s">
        <v>118</v>
      </c>
      <c r="E7729" s="13" t="s">
        <v>13943</v>
      </c>
      <c r="F7729" s="43">
        <v>154.91999999999999</v>
      </c>
    </row>
    <row r="7730" spans="2:6" x14ac:dyDescent="0.25">
      <c r="B7730" s="13" t="s">
        <v>13944</v>
      </c>
      <c r="C7730" s="17" t="s">
        <v>170</v>
      </c>
      <c r="D7730" s="13" t="s">
        <v>118</v>
      </c>
      <c r="E7730" s="13" t="s">
        <v>13945</v>
      </c>
      <c r="F7730" s="43">
        <v>154.91999999999999</v>
      </c>
    </row>
    <row r="7731" spans="2:6" x14ac:dyDescent="0.25">
      <c r="B7731" s="13" t="s">
        <v>13946</v>
      </c>
      <c r="C7731" s="17" t="s">
        <v>170</v>
      </c>
      <c r="D7731" s="13" t="s">
        <v>118</v>
      </c>
      <c r="E7731" s="13" t="s">
        <v>13947</v>
      </c>
      <c r="F7731" s="43">
        <v>154.91999999999999</v>
      </c>
    </row>
    <row r="7732" spans="2:6" x14ac:dyDescent="0.25">
      <c r="B7732" s="13" t="s">
        <v>13948</v>
      </c>
      <c r="C7732" s="17" t="s">
        <v>170</v>
      </c>
      <c r="D7732" s="13" t="s">
        <v>118</v>
      </c>
      <c r="E7732" s="13" t="s">
        <v>13947</v>
      </c>
      <c r="F7732" s="43">
        <v>154.91999999999999</v>
      </c>
    </row>
    <row r="7733" spans="2:6" x14ac:dyDescent="0.25">
      <c r="B7733" s="13" t="s">
        <v>13949</v>
      </c>
      <c r="C7733" s="17" t="s">
        <v>170</v>
      </c>
      <c r="D7733" s="13" t="s">
        <v>118</v>
      </c>
      <c r="E7733" s="13" t="s">
        <v>13950</v>
      </c>
      <c r="F7733" s="43">
        <v>154.91999999999999</v>
      </c>
    </row>
    <row r="7734" spans="2:6" x14ac:dyDescent="0.25">
      <c r="B7734" s="13" t="s">
        <v>13951</v>
      </c>
      <c r="C7734" s="17" t="s">
        <v>170</v>
      </c>
      <c r="D7734" s="13" t="s">
        <v>118</v>
      </c>
      <c r="E7734" s="13" t="s">
        <v>13950</v>
      </c>
      <c r="F7734" s="43">
        <v>154.91999999999999</v>
      </c>
    </row>
    <row r="7735" spans="2:6" x14ac:dyDescent="0.25">
      <c r="B7735" s="13" t="s">
        <v>13952</v>
      </c>
      <c r="C7735" s="17" t="s">
        <v>170</v>
      </c>
      <c r="D7735" s="13" t="s">
        <v>118</v>
      </c>
      <c r="E7735" s="13" t="s">
        <v>13953</v>
      </c>
      <c r="F7735" s="43">
        <v>154.91999999999999</v>
      </c>
    </row>
    <row r="7736" spans="2:6" x14ac:dyDescent="0.25">
      <c r="B7736" s="13" t="s">
        <v>13954</v>
      </c>
      <c r="C7736" s="17" t="s">
        <v>170</v>
      </c>
      <c r="D7736" s="13" t="s">
        <v>118</v>
      </c>
      <c r="E7736" s="13" t="s">
        <v>13955</v>
      </c>
      <c r="F7736" s="43">
        <v>154.91999999999999</v>
      </c>
    </row>
    <row r="7737" spans="2:6" x14ac:dyDescent="0.25">
      <c r="B7737" s="13" t="s">
        <v>13956</v>
      </c>
      <c r="C7737" s="17" t="s">
        <v>170</v>
      </c>
      <c r="D7737" s="13" t="s">
        <v>118</v>
      </c>
      <c r="E7737" s="13" t="s">
        <v>13957</v>
      </c>
      <c r="F7737" s="43">
        <v>154.91999999999999</v>
      </c>
    </row>
    <row r="7738" spans="2:6" x14ac:dyDescent="0.25">
      <c r="B7738" s="13" t="s">
        <v>13958</v>
      </c>
      <c r="C7738" s="17" t="s">
        <v>170</v>
      </c>
      <c r="D7738" s="13" t="s">
        <v>118</v>
      </c>
      <c r="E7738" s="13" t="s">
        <v>13959</v>
      </c>
      <c r="F7738" s="43">
        <v>154.91999999999999</v>
      </c>
    </row>
    <row r="7739" spans="2:6" x14ac:dyDescent="0.25">
      <c r="B7739" s="13" t="s">
        <v>13960</v>
      </c>
      <c r="C7739" s="17" t="s">
        <v>170</v>
      </c>
      <c r="D7739" s="13" t="s">
        <v>118</v>
      </c>
      <c r="E7739" s="13" t="s">
        <v>13961</v>
      </c>
      <c r="F7739" s="43">
        <v>154.91999999999999</v>
      </c>
    </row>
    <row r="7740" spans="2:6" x14ac:dyDescent="0.25">
      <c r="B7740" s="13" t="s">
        <v>13962</v>
      </c>
      <c r="C7740" s="17" t="s">
        <v>170</v>
      </c>
      <c r="D7740" s="13" t="s">
        <v>118</v>
      </c>
      <c r="E7740" s="13" t="s">
        <v>13963</v>
      </c>
      <c r="F7740" s="43">
        <v>154.91999999999999</v>
      </c>
    </row>
    <row r="7741" spans="2:6" x14ac:dyDescent="0.25">
      <c r="B7741" s="13" t="s">
        <v>13964</v>
      </c>
      <c r="C7741" s="17" t="s">
        <v>170</v>
      </c>
      <c r="D7741" s="13" t="s">
        <v>118</v>
      </c>
      <c r="E7741" s="13" t="s">
        <v>13965</v>
      </c>
      <c r="F7741" s="43">
        <v>154.91999999999999</v>
      </c>
    </row>
    <row r="7742" spans="2:6" x14ac:dyDescent="0.25">
      <c r="B7742" s="13" t="s">
        <v>13966</v>
      </c>
      <c r="C7742" s="17" t="s">
        <v>170</v>
      </c>
      <c r="D7742" s="13" t="s">
        <v>118</v>
      </c>
      <c r="E7742" s="13" t="s">
        <v>13967</v>
      </c>
      <c r="F7742" s="43">
        <v>154.91999999999999</v>
      </c>
    </row>
    <row r="7743" spans="2:6" x14ac:dyDescent="0.25">
      <c r="B7743" s="13" t="s">
        <v>13968</v>
      </c>
      <c r="C7743" s="17" t="s">
        <v>170</v>
      </c>
      <c r="D7743" s="13" t="s">
        <v>118</v>
      </c>
      <c r="E7743" s="13" t="s">
        <v>13969</v>
      </c>
      <c r="F7743" s="43">
        <v>154.91999999999999</v>
      </c>
    </row>
    <row r="7744" spans="2:6" x14ac:dyDescent="0.25">
      <c r="B7744" s="13" t="s">
        <v>13970</v>
      </c>
      <c r="C7744" s="17" t="s">
        <v>170</v>
      </c>
      <c r="D7744" s="13" t="s">
        <v>118</v>
      </c>
      <c r="E7744" s="13" t="s">
        <v>13971</v>
      </c>
      <c r="F7744" s="43">
        <v>154.91999999999999</v>
      </c>
    </row>
    <row r="7745" spans="2:6" x14ac:dyDescent="0.25">
      <c r="B7745" s="13" t="s">
        <v>13972</v>
      </c>
      <c r="C7745" s="17" t="s">
        <v>170</v>
      </c>
      <c r="D7745" s="13" t="s">
        <v>118</v>
      </c>
      <c r="E7745" s="13" t="s">
        <v>13971</v>
      </c>
      <c r="F7745" s="43">
        <v>154.91999999999999</v>
      </c>
    </row>
    <row r="7746" spans="2:6" x14ac:dyDescent="0.25">
      <c r="B7746" s="13" t="s">
        <v>13968</v>
      </c>
      <c r="C7746" s="17" t="s">
        <v>170</v>
      </c>
      <c r="D7746" s="13" t="s">
        <v>118</v>
      </c>
      <c r="E7746" s="13" t="s">
        <v>13973</v>
      </c>
      <c r="F7746" s="43">
        <v>154.91999999999999</v>
      </c>
    </row>
    <row r="7747" spans="2:6" x14ac:dyDescent="0.25">
      <c r="B7747" s="13" t="s">
        <v>13974</v>
      </c>
      <c r="C7747" s="17" t="s">
        <v>170</v>
      </c>
      <c r="D7747" s="13" t="s">
        <v>118</v>
      </c>
      <c r="E7747" s="13" t="s">
        <v>13975</v>
      </c>
      <c r="F7747" s="43">
        <v>154.91999999999999</v>
      </c>
    </row>
    <row r="7748" spans="2:6" x14ac:dyDescent="0.25">
      <c r="B7748" s="13" t="s">
        <v>13976</v>
      </c>
      <c r="C7748" s="17" t="s">
        <v>170</v>
      </c>
      <c r="D7748" s="13" t="s">
        <v>118</v>
      </c>
      <c r="E7748" s="13" t="s">
        <v>13977</v>
      </c>
      <c r="F7748" s="43">
        <v>154.91999999999999</v>
      </c>
    </row>
    <row r="7749" spans="2:6" x14ac:dyDescent="0.25">
      <c r="B7749" s="13" t="s">
        <v>13978</v>
      </c>
      <c r="C7749" s="17" t="s">
        <v>170</v>
      </c>
      <c r="D7749" s="13" t="s">
        <v>118</v>
      </c>
      <c r="E7749" s="13" t="s">
        <v>13979</v>
      </c>
      <c r="F7749" s="43">
        <v>154.91999999999999</v>
      </c>
    </row>
    <row r="7750" spans="2:6" x14ac:dyDescent="0.25">
      <c r="B7750" s="13" t="s">
        <v>13980</v>
      </c>
      <c r="C7750" s="17" t="s">
        <v>170</v>
      </c>
      <c r="D7750" s="13" t="s">
        <v>118</v>
      </c>
      <c r="E7750" s="13" t="s">
        <v>13981</v>
      </c>
      <c r="F7750" s="43">
        <v>154.91999999999999</v>
      </c>
    </row>
    <row r="7751" spans="2:6" x14ac:dyDescent="0.25">
      <c r="B7751" s="13" t="s">
        <v>13982</v>
      </c>
      <c r="C7751" s="17" t="s">
        <v>170</v>
      </c>
      <c r="D7751" s="13" t="s">
        <v>118</v>
      </c>
      <c r="E7751" s="13" t="s">
        <v>13983</v>
      </c>
      <c r="F7751" s="43">
        <v>154.91999999999999</v>
      </c>
    </row>
    <row r="7752" spans="2:6" x14ac:dyDescent="0.25">
      <c r="B7752" s="13" t="s">
        <v>13984</v>
      </c>
      <c r="C7752" s="17" t="s">
        <v>170</v>
      </c>
      <c r="D7752" s="13" t="s">
        <v>118</v>
      </c>
      <c r="E7752" s="13" t="s">
        <v>13985</v>
      </c>
      <c r="F7752" s="43">
        <v>154.91999999999999</v>
      </c>
    </row>
    <row r="7753" spans="2:6" x14ac:dyDescent="0.25">
      <c r="B7753" s="13" t="s">
        <v>13986</v>
      </c>
      <c r="C7753" s="17" t="s">
        <v>170</v>
      </c>
      <c r="D7753" s="13" t="s">
        <v>118</v>
      </c>
      <c r="E7753" s="13" t="s">
        <v>13985</v>
      </c>
      <c r="F7753" s="43">
        <v>154.91999999999999</v>
      </c>
    </row>
    <row r="7754" spans="2:6" x14ac:dyDescent="0.25">
      <c r="B7754" s="13" t="s">
        <v>13982</v>
      </c>
      <c r="C7754" s="17" t="s">
        <v>170</v>
      </c>
      <c r="D7754" s="13" t="s">
        <v>118</v>
      </c>
      <c r="E7754" s="13" t="s">
        <v>13987</v>
      </c>
      <c r="F7754" s="43">
        <v>154.91999999999999</v>
      </c>
    </row>
    <row r="7755" spans="2:6" x14ac:dyDescent="0.25">
      <c r="B7755" s="13" t="s">
        <v>13988</v>
      </c>
      <c r="C7755" s="17" t="s">
        <v>170</v>
      </c>
      <c r="D7755" s="13" t="s">
        <v>118</v>
      </c>
      <c r="E7755" s="13" t="s">
        <v>13989</v>
      </c>
      <c r="F7755" s="43">
        <v>154.91999999999999</v>
      </c>
    </row>
    <row r="7756" spans="2:6" x14ac:dyDescent="0.25">
      <c r="B7756" s="13" t="s">
        <v>13990</v>
      </c>
      <c r="C7756" s="17" t="s">
        <v>170</v>
      </c>
      <c r="D7756" s="13" t="s">
        <v>118</v>
      </c>
      <c r="E7756" s="13" t="s">
        <v>13991</v>
      </c>
      <c r="F7756" s="43">
        <v>154.91999999999999</v>
      </c>
    </row>
    <row r="7757" spans="2:6" x14ac:dyDescent="0.25">
      <c r="B7757" s="13" t="s">
        <v>13992</v>
      </c>
      <c r="C7757" s="17" t="s">
        <v>170</v>
      </c>
      <c r="D7757" s="13" t="s">
        <v>118</v>
      </c>
      <c r="E7757" s="13" t="s">
        <v>13993</v>
      </c>
      <c r="F7757" s="43">
        <v>154.91999999999999</v>
      </c>
    </row>
    <row r="7758" spans="2:6" x14ac:dyDescent="0.25">
      <c r="B7758" s="13" t="s">
        <v>13994</v>
      </c>
      <c r="C7758" s="17" t="s">
        <v>170</v>
      </c>
      <c r="D7758" s="13" t="s">
        <v>118</v>
      </c>
      <c r="E7758" s="13" t="s">
        <v>13995</v>
      </c>
      <c r="F7758" s="43">
        <v>154.91999999999999</v>
      </c>
    </row>
    <row r="7759" spans="2:6" x14ac:dyDescent="0.25">
      <c r="B7759" s="13" t="s">
        <v>13996</v>
      </c>
      <c r="C7759" s="17" t="s">
        <v>170</v>
      </c>
      <c r="D7759" s="13" t="s">
        <v>118</v>
      </c>
      <c r="E7759" s="13" t="s">
        <v>13995</v>
      </c>
      <c r="F7759" s="43">
        <v>154.91999999999999</v>
      </c>
    </row>
    <row r="7760" spans="2:6" x14ac:dyDescent="0.25">
      <c r="B7760" s="13" t="s">
        <v>13997</v>
      </c>
      <c r="C7760" s="17" t="s">
        <v>170</v>
      </c>
      <c r="D7760" s="13" t="s">
        <v>118</v>
      </c>
      <c r="E7760" s="13" t="s">
        <v>13998</v>
      </c>
      <c r="F7760" s="43">
        <v>154.91999999999999</v>
      </c>
    </row>
    <row r="7761" spans="2:6" x14ac:dyDescent="0.25">
      <c r="B7761" s="13" t="s">
        <v>13999</v>
      </c>
      <c r="C7761" s="17" t="s">
        <v>170</v>
      </c>
      <c r="D7761" s="13" t="s">
        <v>118</v>
      </c>
      <c r="E7761" s="13" t="s">
        <v>14000</v>
      </c>
      <c r="F7761" s="43">
        <v>154.91999999999999</v>
      </c>
    </row>
    <row r="7762" spans="2:6" x14ac:dyDescent="0.25">
      <c r="B7762" s="13" t="s">
        <v>14001</v>
      </c>
      <c r="C7762" s="17" t="s">
        <v>170</v>
      </c>
      <c r="D7762" s="13" t="s">
        <v>118</v>
      </c>
      <c r="E7762" s="13" t="s">
        <v>14002</v>
      </c>
      <c r="F7762" s="43">
        <v>154.91999999999999</v>
      </c>
    </row>
    <row r="7763" spans="2:6" x14ac:dyDescent="0.25">
      <c r="B7763" s="13" t="s">
        <v>14003</v>
      </c>
      <c r="C7763" s="17" t="s">
        <v>170</v>
      </c>
      <c r="D7763" s="13" t="s">
        <v>118</v>
      </c>
      <c r="E7763" s="13" t="s">
        <v>14004</v>
      </c>
      <c r="F7763" s="43">
        <v>263.93</v>
      </c>
    </row>
    <row r="7764" spans="2:6" x14ac:dyDescent="0.25">
      <c r="B7764" s="13" t="s">
        <v>14005</v>
      </c>
      <c r="C7764" s="17" t="s">
        <v>170</v>
      </c>
      <c r="D7764" s="13" t="s">
        <v>118</v>
      </c>
      <c r="E7764" s="13" t="s">
        <v>14006</v>
      </c>
      <c r="F7764" s="43">
        <v>263.93</v>
      </c>
    </row>
    <row r="7765" spans="2:6" x14ac:dyDescent="0.25">
      <c r="B7765" s="13" t="s">
        <v>14007</v>
      </c>
      <c r="C7765" s="17" t="s">
        <v>170</v>
      </c>
      <c r="D7765" s="13" t="s">
        <v>118</v>
      </c>
      <c r="E7765" s="13" t="s">
        <v>14008</v>
      </c>
      <c r="F7765" s="43">
        <v>263.93</v>
      </c>
    </row>
    <row r="7766" spans="2:6" x14ac:dyDescent="0.25">
      <c r="B7766" s="13" t="s">
        <v>14009</v>
      </c>
      <c r="C7766" s="17" t="s">
        <v>170</v>
      </c>
      <c r="D7766" s="13" t="s">
        <v>118</v>
      </c>
      <c r="E7766" s="13" t="s">
        <v>14010</v>
      </c>
      <c r="F7766" s="43">
        <v>263.93</v>
      </c>
    </row>
    <row r="7767" spans="2:6" x14ac:dyDescent="0.25">
      <c r="B7767" s="13" t="s">
        <v>14011</v>
      </c>
      <c r="C7767" s="17" t="s">
        <v>170</v>
      </c>
      <c r="D7767" s="13" t="s">
        <v>118</v>
      </c>
      <c r="E7767" s="13" t="s">
        <v>14012</v>
      </c>
      <c r="F7767" s="43">
        <v>263.93</v>
      </c>
    </row>
    <row r="7768" spans="2:6" x14ac:dyDescent="0.25">
      <c r="B7768" s="13" t="s">
        <v>14013</v>
      </c>
      <c r="C7768" s="17" t="s">
        <v>170</v>
      </c>
      <c r="D7768" s="13" t="s">
        <v>118</v>
      </c>
      <c r="E7768" s="13" t="s">
        <v>14014</v>
      </c>
      <c r="F7768" s="43">
        <v>263.93</v>
      </c>
    </row>
    <row r="7769" spans="2:6" x14ac:dyDescent="0.25">
      <c r="B7769" s="13" t="s">
        <v>14015</v>
      </c>
      <c r="C7769" s="17" t="s">
        <v>170</v>
      </c>
      <c r="D7769" s="13" t="s">
        <v>118</v>
      </c>
      <c r="E7769" s="13" t="s">
        <v>14016</v>
      </c>
      <c r="F7769" s="43">
        <v>263.93</v>
      </c>
    </row>
    <row r="7770" spans="2:6" x14ac:dyDescent="0.25">
      <c r="B7770" s="13" t="s">
        <v>14017</v>
      </c>
      <c r="C7770" s="17" t="s">
        <v>170</v>
      </c>
      <c r="D7770" s="13" t="s">
        <v>118</v>
      </c>
      <c r="E7770" s="13" t="s">
        <v>14018</v>
      </c>
      <c r="F7770" s="43">
        <v>263.93</v>
      </c>
    </row>
    <row r="7771" spans="2:6" x14ac:dyDescent="0.25">
      <c r="B7771" s="13" t="s">
        <v>14019</v>
      </c>
      <c r="C7771" s="17" t="s">
        <v>170</v>
      </c>
      <c r="D7771" s="13" t="s">
        <v>118</v>
      </c>
      <c r="E7771" s="13" t="s">
        <v>14020</v>
      </c>
      <c r="F7771" s="43">
        <v>263.93</v>
      </c>
    </row>
    <row r="7772" spans="2:6" x14ac:dyDescent="0.25">
      <c r="B7772" s="13" t="s">
        <v>14021</v>
      </c>
      <c r="C7772" s="17" t="s">
        <v>170</v>
      </c>
      <c r="D7772" s="13" t="s">
        <v>118</v>
      </c>
      <c r="E7772" s="13" t="s">
        <v>14022</v>
      </c>
      <c r="F7772" s="43">
        <v>263.93</v>
      </c>
    </row>
    <row r="7773" spans="2:6" x14ac:dyDescent="0.25">
      <c r="B7773" s="13" t="s">
        <v>14023</v>
      </c>
      <c r="C7773" s="17" t="s">
        <v>170</v>
      </c>
      <c r="D7773" s="13" t="s">
        <v>118</v>
      </c>
      <c r="E7773" s="13" t="s">
        <v>14024</v>
      </c>
      <c r="F7773" s="43">
        <v>263.93</v>
      </c>
    </row>
    <row r="7774" spans="2:6" x14ac:dyDescent="0.25">
      <c r="B7774" s="13" t="s">
        <v>14025</v>
      </c>
      <c r="C7774" s="17" t="s">
        <v>170</v>
      </c>
      <c r="D7774" s="13" t="s">
        <v>118</v>
      </c>
      <c r="E7774" s="13" t="s">
        <v>14026</v>
      </c>
      <c r="F7774" s="43">
        <v>263.93</v>
      </c>
    </row>
    <row r="7775" spans="2:6" x14ac:dyDescent="0.25">
      <c r="B7775" s="13" t="s">
        <v>14027</v>
      </c>
      <c r="C7775" s="17" t="s">
        <v>170</v>
      </c>
      <c r="D7775" s="13" t="s">
        <v>118</v>
      </c>
      <c r="E7775" s="13" t="s">
        <v>14028</v>
      </c>
      <c r="F7775" s="43">
        <v>263.93</v>
      </c>
    </row>
    <row r="7776" spans="2:6" x14ac:dyDescent="0.25">
      <c r="B7776" s="13" t="s">
        <v>14029</v>
      </c>
      <c r="C7776" s="17" t="s">
        <v>170</v>
      </c>
      <c r="D7776" s="13" t="s">
        <v>118</v>
      </c>
      <c r="E7776" s="13" t="s">
        <v>14030</v>
      </c>
      <c r="F7776" s="43">
        <v>263.93</v>
      </c>
    </row>
    <row r="7777" spans="2:6" x14ac:dyDescent="0.25">
      <c r="B7777" s="13" t="s">
        <v>14031</v>
      </c>
      <c r="C7777" s="17" t="s">
        <v>170</v>
      </c>
      <c r="D7777" s="13" t="s">
        <v>118</v>
      </c>
      <c r="E7777" s="13" t="s">
        <v>14032</v>
      </c>
      <c r="F7777" s="43">
        <v>263.93</v>
      </c>
    </row>
    <row r="7778" spans="2:6" x14ac:dyDescent="0.25">
      <c r="B7778" s="13" t="s">
        <v>14033</v>
      </c>
      <c r="C7778" s="17" t="s">
        <v>170</v>
      </c>
      <c r="D7778" s="13" t="s">
        <v>118</v>
      </c>
      <c r="E7778" s="13" t="s">
        <v>14034</v>
      </c>
      <c r="F7778" s="43">
        <v>263.93</v>
      </c>
    </row>
    <row r="7779" spans="2:6" x14ac:dyDescent="0.25">
      <c r="B7779" s="13" t="s">
        <v>14035</v>
      </c>
      <c r="C7779" s="17" t="s">
        <v>170</v>
      </c>
      <c r="D7779" s="13" t="s">
        <v>118</v>
      </c>
      <c r="E7779" s="13" t="s">
        <v>14036</v>
      </c>
      <c r="F7779" s="43">
        <v>263.93</v>
      </c>
    </row>
    <row r="7780" spans="2:6" x14ac:dyDescent="0.25">
      <c r="B7780" s="13" t="s">
        <v>14033</v>
      </c>
      <c r="C7780" s="17" t="s">
        <v>170</v>
      </c>
      <c r="D7780" s="13" t="s">
        <v>118</v>
      </c>
      <c r="E7780" s="13" t="s">
        <v>14037</v>
      </c>
      <c r="F7780" s="43">
        <v>263.93</v>
      </c>
    </row>
    <row r="7781" spans="2:6" x14ac:dyDescent="0.25">
      <c r="B7781" s="13" t="s">
        <v>14038</v>
      </c>
      <c r="C7781" s="17" t="s">
        <v>170</v>
      </c>
      <c r="D7781" s="13" t="s">
        <v>118</v>
      </c>
      <c r="E7781" s="13" t="s">
        <v>14039</v>
      </c>
      <c r="F7781" s="43">
        <v>263.93</v>
      </c>
    </row>
    <row r="7782" spans="2:6" x14ac:dyDescent="0.25">
      <c r="B7782" s="13" t="s">
        <v>14040</v>
      </c>
      <c r="C7782" s="17" t="s">
        <v>170</v>
      </c>
      <c r="D7782" s="13" t="s">
        <v>118</v>
      </c>
      <c r="E7782" s="13" t="s">
        <v>14041</v>
      </c>
      <c r="F7782" s="43">
        <v>263.93</v>
      </c>
    </row>
    <row r="7783" spans="2:6" x14ac:dyDescent="0.25">
      <c r="B7783" s="13" t="s">
        <v>14042</v>
      </c>
      <c r="C7783" s="17" t="s">
        <v>170</v>
      </c>
      <c r="D7783" s="13" t="s">
        <v>118</v>
      </c>
      <c r="E7783" s="13" t="s">
        <v>14043</v>
      </c>
      <c r="F7783" s="43">
        <v>298.35000000000002</v>
      </c>
    </row>
    <row r="7784" spans="2:6" x14ac:dyDescent="0.25">
      <c r="B7784" s="13" t="s">
        <v>14044</v>
      </c>
      <c r="C7784" s="17" t="s">
        <v>170</v>
      </c>
      <c r="D7784" s="13" t="s">
        <v>118</v>
      </c>
      <c r="E7784" s="13" t="s">
        <v>14045</v>
      </c>
      <c r="F7784" s="43">
        <v>298.35000000000002</v>
      </c>
    </row>
    <row r="7785" spans="2:6" x14ac:dyDescent="0.25">
      <c r="B7785" s="13" t="s">
        <v>14046</v>
      </c>
      <c r="C7785" s="17" t="s">
        <v>170</v>
      </c>
      <c r="D7785" s="13" t="s">
        <v>118</v>
      </c>
      <c r="E7785" s="13" t="s">
        <v>14047</v>
      </c>
      <c r="F7785" s="43">
        <v>298.35000000000002</v>
      </c>
    </row>
    <row r="7786" spans="2:6" x14ac:dyDescent="0.25">
      <c r="B7786" s="13" t="s">
        <v>14048</v>
      </c>
      <c r="C7786" s="17" t="s">
        <v>170</v>
      </c>
      <c r="D7786" s="13" t="s">
        <v>118</v>
      </c>
      <c r="E7786" s="13" t="s">
        <v>14049</v>
      </c>
      <c r="F7786" s="43">
        <v>298.35000000000002</v>
      </c>
    </row>
    <row r="7787" spans="2:6" x14ac:dyDescent="0.25">
      <c r="B7787" s="13" t="s">
        <v>14050</v>
      </c>
      <c r="C7787" s="17" t="s">
        <v>170</v>
      </c>
      <c r="D7787" s="13" t="s">
        <v>118</v>
      </c>
      <c r="E7787" s="13" t="s">
        <v>14051</v>
      </c>
      <c r="F7787" s="43">
        <v>298.35000000000002</v>
      </c>
    </row>
    <row r="7788" spans="2:6" x14ac:dyDescent="0.25">
      <c r="B7788" s="13" t="s">
        <v>14052</v>
      </c>
      <c r="C7788" s="17" t="s">
        <v>170</v>
      </c>
      <c r="D7788" s="13" t="s">
        <v>118</v>
      </c>
      <c r="E7788" s="13" t="s">
        <v>14053</v>
      </c>
      <c r="F7788" s="43">
        <v>298.35000000000002</v>
      </c>
    </row>
    <row r="7789" spans="2:6" x14ac:dyDescent="0.25">
      <c r="B7789" s="13" t="s">
        <v>14054</v>
      </c>
      <c r="C7789" s="17" t="s">
        <v>170</v>
      </c>
      <c r="D7789" s="13" t="s">
        <v>118</v>
      </c>
      <c r="E7789" s="13" t="s">
        <v>14055</v>
      </c>
      <c r="F7789" s="43">
        <v>298.35000000000002</v>
      </c>
    </row>
    <row r="7790" spans="2:6" x14ac:dyDescent="0.25">
      <c r="B7790" s="13" t="s">
        <v>14056</v>
      </c>
      <c r="C7790" s="17" t="s">
        <v>170</v>
      </c>
      <c r="D7790" s="13" t="s">
        <v>118</v>
      </c>
      <c r="E7790" s="13" t="s">
        <v>14057</v>
      </c>
      <c r="F7790" s="43">
        <v>298.35000000000002</v>
      </c>
    </row>
    <row r="7791" spans="2:6" x14ac:dyDescent="0.25">
      <c r="B7791" s="13" t="s">
        <v>14058</v>
      </c>
      <c r="C7791" s="17" t="s">
        <v>170</v>
      </c>
      <c r="D7791" s="13" t="s">
        <v>118</v>
      </c>
      <c r="E7791" s="13" t="s">
        <v>14059</v>
      </c>
      <c r="F7791" s="43">
        <v>298.35000000000002</v>
      </c>
    </row>
    <row r="7792" spans="2:6" x14ac:dyDescent="0.25">
      <c r="B7792" s="13" t="s">
        <v>14060</v>
      </c>
      <c r="C7792" s="17" t="s">
        <v>170</v>
      </c>
      <c r="D7792" s="13" t="s">
        <v>118</v>
      </c>
      <c r="E7792" s="13" t="s">
        <v>14061</v>
      </c>
      <c r="F7792" s="43">
        <v>298.35000000000002</v>
      </c>
    </row>
    <row r="7793" spans="2:6" x14ac:dyDescent="0.25">
      <c r="B7793" s="13" t="s">
        <v>14062</v>
      </c>
      <c r="C7793" s="17" t="s">
        <v>170</v>
      </c>
      <c r="D7793" s="13" t="s">
        <v>118</v>
      </c>
      <c r="E7793" s="13" t="s">
        <v>14063</v>
      </c>
      <c r="F7793" s="43">
        <v>298.35000000000002</v>
      </c>
    </row>
    <row r="7794" spans="2:6" x14ac:dyDescent="0.25">
      <c r="B7794" s="13" t="s">
        <v>14064</v>
      </c>
      <c r="C7794" s="17" t="s">
        <v>170</v>
      </c>
      <c r="D7794" s="13" t="s">
        <v>118</v>
      </c>
      <c r="E7794" s="13" t="s">
        <v>14065</v>
      </c>
      <c r="F7794" s="43">
        <v>336.6</v>
      </c>
    </row>
    <row r="7795" spans="2:6" x14ac:dyDescent="0.25">
      <c r="B7795" s="13" t="s">
        <v>14066</v>
      </c>
      <c r="C7795" s="17" t="s">
        <v>170</v>
      </c>
      <c r="D7795" s="13" t="s">
        <v>118</v>
      </c>
      <c r="E7795" s="13" t="s">
        <v>14067</v>
      </c>
      <c r="F7795" s="43">
        <v>336.6</v>
      </c>
    </row>
    <row r="7796" spans="2:6" x14ac:dyDescent="0.25">
      <c r="B7796" s="13" t="s">
        <v>14068</v>
      </c>
      <c r="C7796" s="17" t="s">
        <v>170</v>
      </c>
      <c r="D7796" s="13" t="s">
        <v>118</v>
      </c>
      <c r="E7796" s="13" t="s">
        <v>14069</v>
      </c>
      <c r="F7796" s="43">
        <v>21.58</v>
      </c>
    </row>
    <row r="7797" spans="2:6" x14ac:dyDescent="0.25">
      <c r="B7797" s="13" t="s">
        <v>14070</v>
      </c>
      <c r="C7797" s="17" t="s">
        <v>170</v>
      </c>
      <c r="D7797" s="13" t="s">
        <v>118</v>
      </c>
      <c r="E7797" s="13" t="s">
        <v>14071</v>
      </c>
      <c r="F7797" s="43">
        <v>255.32</v>
      </c>
    </row>
    <row r="7798" spans="2:6" x14ac:dyDescent="0.25">
      <c r="B7798" s="13" t="s">
        <v>14072</v>
      </c>
      <c r="C7798" s="17" t="s">
        <v>170</v>
      </c>
      <c r="D7798" s="13" t="s">
        <v>118</v>
      </c>
      <c r="E7798" s="13" t="s">
        <v>14073</v>
      </c>
      <c r="F7798" s="43">
        <v>255.32</v>
      </c>
    </row>
    <row r="7799" spans="2:6" x14ac:dyDescent="0.25">
      <c r="B7799" s="13" t="s">
        <v>14074</v>
      </c>
      <c r="C7799" s="17" t="s">
        <v>170</v>
      </c>
      <c r="D7799" s="13" t="s">
        <v>118</v>
      </c>
      <c r="E7799" s="13" t="s">
        <v>14075</v>
      </c>
      <c r="F7799" s="43">
        <v>255.32</v>
      </c>
    </row>
    <row r="7800" spans="2:6" x14ac:dyDescent="0.25">
      <c r="B7800" s="13" t="s">
        <v>14076</v>
      </c>
      <c r="C7800" s="17" t="s">
        <v>170</v>
      </c>
      <c r="D7800" s="13" t="s">
        <v>118</v>
      </c>
      <c r="E7800" s="13" t="s">
        <v>14077</v>
      </c>
      <c r="F7800" s="43">
        <v>255.32</v>
      </c>
    </row>
    <row r="7801" spans="2:6" x14ac:dyDescent="0.25">
      <c r="B7801" s="13" t="s">
        <v>14078</v>
      </c>
      <c r="C7801" s="17" t="s">
        <v>170</v>
      </c>
      <c r="D7801" s="13" t="s">
        <v>118</v>
      </c>
      <c r="E7801" s="13" t="s">
        <v>14079</v>
      </c>
      <c r="F7801" s="43">
        <v>255.32</v>
      </c>
    </row>
    <row r="7802" spans="2:6" x14ac:dyDescent="0.25">
      <c r="B7802" s="13" t="s">
        <v>14080</v>
      </c>
      <c r="C7802" s="17" t="s">
        <v>170</v>
      </c>
      <c r="D7802" s="13" t="s">
        <v>118</v>
      </c>
      <c r="E7802" s="13" t="s">
        <v>14081</v>
      </c>
      <c r="F7802" s="43">
        <v>255.32</v>
      </c>
    </row>
    <row r="7803" spans="2:6" x14ac:dyDescent="0.25">
      <c r="B7803" s="13" t="s">
        <v>14082</v>
      </c>
      <c r="C7803" s="17" t="s">
        <v>170</v>
      </c>
      <c r="D7803" s="13" t="s">
        <v>118</v>
      </c>
      <c r="E7803" s="13" t="s">
        <v>14083</v>
      </c>
      <c r="F7803" s="43">
        <v>255.32</v>
      </c>
    </row>
    <row r="7804" spans="2:6" x14ac:dyDescent="0.25">
      <c r="B7804" s="13" t="s">
        <v>14084</v>
      </c>
      <c r="C7804" s="17" t="s">
        <v>170</v>
      </c>
      <c r="D7804" s="13" t="s">
        <v>118</v>
      </c>
      <c r="E7804" s="13" t="s">
        <v>14085</v>
      </c>
      <c r="F7804" s="43">
        <v>255.32</v>
      </c>
    </row>
    <row r="7805" spans="2:6" x14ac:dyDescent="0.25">
      <c r="B7805" s="13" t="s">
        <v>14086</v>
      </c>
      <c r="C7805" s="17" t="s">
        <v>170</v>
      </c>
      <c r="D7805" s="13" t="s">
        <v>118</v>
      </c>
      <c r="E7805" s="13" t="s">
        <v>14087</v>
      </c>
      <c r="F7805" s="43">
        <v>255.32</v>
      </c>
    </row>
    <row r="7806" spans="2:6" x14ac:dyDescent="0.25">
      <c r="B7806" s="13" t="s">
        <v>14088</v>
      </c>
      <c r="C7806" s="17" t="s">
        <v>170</v>
      </c>
      <c r="D7806" s="13" t="s">
        <v>118</v>
      </c>
      <c r="E7806" s="13" t="s">
        <v>14089</v>
      </c>
      <c r="F7806" s="43">
        <v>255.32</v>
      </c>
    </row>
    <row r="7807" spans="2:6" x14ac:dyDescent="0.25">
      <c r="B7807" s="13" t="s">
        <v>14090</v>
      </c>
      <c r="C7807" s="17" t="s">
        <v>170</v>
      </c>
      <c r="D7807" s="13" t="s">
        <v>118</v>
      </c>
      <c r="E7807" s="13" t="s">
        <v>14091</v>
      </c>
      <c r="F7807" s="43">
        <v>255.32</v>
      </c>
    </row>
    <row r="7808" spans="2:6" x14ac:dyDescent="0.25">
      <c r="B7808" s="13" t="s">
        <v>14092</v>
      </c>
      <c r="C7808" s="17" t="s">
        <v>170</v>
      </c>
      <c r="D7808" s="13" t="s">
        <v>118</v>
      </c>
      <c r="E7808" s="13" t="s">
        <v>14093</v>
      </c>
      <c r="F7808" s="43">
        <v>255.32</v>
      </c>
    </row>
    <row r="7809" spans="2:6" x14ac:dyDescent="0.25">
      <c r="B7809" s="13" t="s">
        <v>14094</v>
      </c>
      <c r="C7809" s="17" t="s">
        <v>170</v>
      </c>
      <c r="D7809" s="13" t="s">
        <v>118</v>
      </c>
      <c r="E7809" s="13" t="s">
        <v>14095</v>
      </c>
      <c r="F7809" s="43">
        <v>255.32</v>
      </c>
    </row>
    <row r="7810" spans="2:6" x14ac:dyDescent="0.25">
      <c r="B7810" s="13" t="s">
        <v>14096</v>
      </c>
      <c r="C7810" s="17" t="s">
        <v>170</v>
      </c>
      <c r="D7810" s="13" t="s">
        <v>118</v>
      </c>
      <c r="E7810" s="13" t="s">
        <v>14097</v>
      </c>
      <c r="F7810" s="43">
        <v>255.32</v>
      </c>
    </row>
    <row r="7811" spans="2:6" x14ac:dyDescent="0.25">
      <c r="B7811" s="13" t="s">
        <v>14098</v>
      </c>
      <c r="C7811" s="17" t="s">
        <v>170</v>
      </c>
      <c r="D7811" s="13" t="s">
        <v>118</v>
      </c>
      <c r="E7811" s="13" t="s">
        <v>14099</v>
      </c>
      <c r="F7811" s="43">
        <v>255.32</v>
      </c>
    </row>
    <row r="7812" spans="2:6" x14ac:dyDescent="0.25">
      <c r="B7812" s="13" t="s">
        <v>14100</v>
      </c>
      <c r="C7812" s="17" t="s">
        <v>170</v>
      </c>
      <c r="D7812" s="13" t="s">
        <v>118</v>
      </c>
      <c r="E7812" s="13" t="s">
        <v>14101</v>
      </c>
      <c r="F7812" s="43">
        <v>255.32</v>
      </c>
    </row>
    <row r="7813" spans="2:6" x14ac:dyDescent="0.25">
      <c r="B7813" s="13" t="s">
        <v>14102</v>
      </c>
      <c r="C7813" s="17" t="s">
        <v>170</v>
      </c>
      <c r="D7813" s="13" t="s">
        <v>118</v>
      </c>
      <c r="E7813" s="13" t="s">
        <v>14103</v>
      </c>
      <c r="F7813" s="43">
        <v>255.32</v>
      </c>
    </row>
    <row r="7814" spans="2:6" x14ac:dyDescent="0.25">
      <c r="B7814" s="13" t="s">
        <v>14104</v>
      </c>
      <c r="C7814" s="17" t="s">
        <v>170</v>
      </c>
      <c r="D7814" s="13" t="s">
        <v>118</v>
      </c>
      <c r="E7814" s="13" t="s">
        <v>14105</v>
      </c>
      <c r="F7814" s="43">
        <v>255.32</v>
      </c>
    </row>
    <row r="7815" spans="2:6" x14ac:dyDescent="0.25">
      <c r="B7815" s="13" t="s">
        <v>14106</v>
      </c>
      <c r="C7815" s="17" t="s">
        <v>170</v>
      </c>
      <c r="D7815" s="13" t="s">
        <v>118</v>
      </c>
      <c r="E7815" s="13" t="s">
        <v>14107</v>
      </c>
      <c r="F7815" s="43">
        <v>255.32</v>
      </c>
    </row>
    <row r="7816" spans="2:6" x14ac:dyDescent="0.25">
      <c r="B7816" s="13" t="s">
        <v>14108</v>
      </c>
      <c r="C7816" s="17" t="s">
        <v>170</v>
      </c>
      <c r="D7816" s="13" t="s">
        <v>118</v>
      </c>
      <c r="E7816" s="13" t="s">
        <v>14109</v>
      </c>
      <c r="F7816" s="43">
        <v>255.32</v>
      </c>
    </row>
    <row r="7817" spans="2:6" x14ac:dyDescent="0.25">
      <c r="B7817" s="13" t="s">
        <v>14110</v>
      </c>
      <c r="C7817" s="17" t="s">
        <v>170</v>
      </c>
      <c r="D7817" s="13" t="s">
        <v>118</v>
      </c>
      <c r="E7817" s="13" t="s">
        <v>14111</v>
      </c>
      <c r="F7817" s="43">
        <v>255.32</v>
      </c>
    </row>
    <row r="7818" spans="2:6" x14ac:dyDescent="0.25">
      <c r="B7818" s="13" t="s">
        <v>14112</v>
      </c>
      <c r="C7818" s="17" t="s">
        <v>170</v>
      </c>
      <c r="D7818" s="13" t="s">
        <v>118</v>
      </c>
      <c r="E7818" s="13" t="s">
        <v>14113</v>
      </c>
      <c r="F7818" s="43">
        <v>255.32</v>
      </c>
    </row>
    <row r="7819" spans="2:6" x14ac:dyDescent="0.25">
      <c r="B7819" s="13" t="s">
        <v>14114</v>
      </c>
      <c r="C7819" s="17" t="s">
        <v>170</v>
      </c>
      <c r="D7819" s="13" t="s">
        <v>118</v>
      </c>
      <c r="E7819" s="13" t="s">
        <v>14115</v>
      </c>
      <c r="F7819" s="43">
        <v>255.32</v>
      </c>
    </row>
    <row r="7820" spans="2:6" x14ac:dyDescent="0.25">
      <c r="B7820" s="13" t="s">
        <v>14116</v>
      </c>
      <c r="C7820" s="17" t="s">
        <v>170</v>
      </c>
      <c r="D7820" s="13" t="s">
        <v>118</v>
      </c>
      <c r="E7820" s="13" t="s">
        <v>14117</v>
      </c>
      <c r="F7820" s="43">
        <v>255.32</v>
      </c>
    </row>
    <row r="7821" spans="2:6" x14ac:dyDescent="0.25">
      <c r="B7821" s="13" t="s">
        <v>14118</v>
      </c>
      <c r="C7821" s="17" t="s">
        <v>170</v>
      </c>
      <c r="D7821" s="13" t="s">
        <v>118</v>
      </c>
      <c r="E7821" s="13" t="s">
        <v>14119</v>
      </c>
      <c r="F7821" s="43">
        <v>255.32</v>
      </c>
    </row>
    <row r="7822" spans="2:6" x14ac:dyDescent="0.25">
      <c r="B7822" s="13" t="s">
        <v>14120</v>
      </c>
      <c r="C7822" s="17" t="s">
        <v>170</v>
      </c>
      <c r="D7822" s="13" t="s">
        <v>118</v>
      </c>
      <c r="E7822" s="13" t="s">
        <v>14121</v>
      </c>
      <c r="F7822" s="43">
        <v>255.32</v>
      </c>
    </row>
    <row r="7823" spans="2:6" x14ac:dyDescent="0.25">
      <c r="B7823" s="13" t="s">
        <v>14122</v>
      </c>
      <c r="C7823" s="17" t="s">
        <v>170</v>
      </c>
      <c r="D7823" s="13" t="s">
        <v>118</v>
      </c>
      <c r="E7823" s="13" t="s">
        <v>14123</v>
      </c>
      <c r="F7823" s="43">
        <v>255.32</v>
      </c>
    </row>
    <row r="7824" spans="2:6" x14ac:dyDescent="0.25">
      <c r="B7824" s="13" t="s">
        <v>14124</v>
      </c>
      <c r="C7824" s="17" t="s">
        <v>170</v>
      </c>
      <c r="D7824" s="13" t="s">
        <v>118</v>
      </c>
      <c r="E7824" s="13" t="s">
        <v>14125</v>
      </c>
      <c r="F7824" s="43">
        <v>255.32</v>
      </c>
    </row>
    <row r="7825" spans="2:6" x14ac:dyDescent="0.25">
      <c r="B7825" s="13" t="s">
        <v>14126</v>
      </c>
      <c r="C7825" s="17" t="s">
        <v>170</v>
      </c>
      <c r="D7825" s="13" t="s">
        <v>118</v>
      </c>
      <c r="E7825" s="13" t="s">
        <v>14127</v>
      </c>
      <c r="F7825" s="43">
        <v>255.32</v>
      </c>
    </row>
    <row r="7826" spans="2:6" x14ac:dyDescent="0.25">
      <c r="B7826" s="13" t="s">
        <v>14128</v>
      </c>
      <c r="C7826" s="17" t="s">
        <v>170</v>
      </c>
      <c r="D7826" s="13" t="s">
        <v>118</v>
      </c>
      <c r="E7826" s="13" t="s">
        <v>14129</v>
      </c>
      <c r="F7826" s="43">
        <v>255.32</v>
      </c>
    </row>
    <row r="7827" spans="2:6" x14ac:dyDescent="0.25">
      <c r="B7827" s="13" t="s">
        <v>14130</v>
      </c>
      <c r="C7827" s="17" t="s">
        <v>170</v>
      </c>
      <c r="D7827" s="13" t="s">
        <v>118</v>
      </c>
      <c r="E7827" s="13" t="s">
        <v>14131</v>
      </c>
      <c r="F7827" s="43">
        <v>255.32</v>
      </c>
    </row>
    <row r="7828" spans="2:6" x14ac:dyDescent="0.25">
      <c r="B7828" s="13" t="s">
        <v>14132</v>
      </c>
      <c r="C7828" s="17" t="s">
        <v>170</v>
      </c>
      <c r="D7828" s="13" t="s">
        <v>118</v>
      </c>
      <c r="E7828" s="13" t="s">
        <v>14133</v>
      </c>
      <c r="F7828" s="43">
        <v>255.32</v>
      </c>
    </row>
    <row r="7829" spans="2:6" x14ac:dyDescent="0.25">
      <c r="B7829" s="13" t="s">
        <v>14134</v>
      </c>
      <c r="C7829" s="17" t="s">
        <v>170</v>
      </c>
      <c r="D7829" s="13" t="s">
        <v>118</v>
      </c>
      <c r="E7829" s="13" t="s">
        <v>14135</v>
      </c>
      <c r="F7829" s="43">
        <v>255.32</v>
      </c>
    </row>
    <row r="7830" spans="2:6" x14ac:dyDescent="0.25">
      <c r="B7830" s="13" t="s">
        <v>14136</v>
      </c>
      <c r="C7830" s="17" t="s">
        <v>170</v>
      </c>
      <c r="D7830" s="13" t="s">
        <v>118</v>
      </c>
      <c r="E7830" s="13" t="s">
        <v>14137</v>
      </c>
      <c r="F7830" s="43">
        <v>255.32</v>
      </c>
    </row>
    <row r="7831" spans="2:6" x14ac:dyDescent="0.25">
      <c r="B7831" s="13" t="s">
        <v>14138</v>
      </c>
      <c r="C7831" s="17" t="s">
        <v>170</v>
      </c>
      <c r="D7831" s="13" t="s">
        <v>118</v>
      </c>
      <c r="E7831" s="13" t="s">
        <v>14139</v>
      </c>
      <c r="F7831" s="43">
        <v>255.32</v>
      </c>
    </row>
    <row r="7832" spans="2:6" x14ac:dyDescent="0.25">
      <c r="B7832" s="13" t="s">
        <v>14140</v>
      </c>
      <c r="C7832" s="17" t="s">
        <v>170</v>
      </c>
      <c r="D7832" s="13" t="s">
        <v>118</v>
      </c>
      <c r="E7832" s="13" t="s">
        <v>14141</v>
      </c>
      <c r="F7832" s="43">
        <v>255.32</v>
      </c>
    </row>
    <row r="7833" spans="2:6" x14ac:dyDescent="0.25">
      <c r="B7833" s="13" t="s">
        <v>14142</v>
      </c>
      <c r="C7833" s="17" t="s">
        <v>170</v>
      </c>
      <c r="D7833" s="13" t="s">
        <v>118</v>
      </c>
      <c r="E7833" s="13" t="s">
        <v>14143</v>
      </c>
      <c r="F7833" s="43">
        <v>255.32</v>
      </c>
    </row>
    <row r="7834" spans="2:6" x14ac:dyDescent="0.25">
      <c r="B7834" s="13" t="s">
        <v>14144</v>
      </c>
      <c r="C7834" s="17" t="s">
        <v>170</v>
      </c>
      <c r="D7834" s="13" t="s">
        <v>118</v>
      </c>
      <c r="E7834" s="13" t="s">
        <v>14145</v>
      </c>
      <c r="F7834" s="43">
        <v>255.32</v>
      </c>
    </row>
    <row r="7835" spans="2:6" x14ac:dyDescent="0.25">
      <c r="B7835" s="13" t="s">
        <v>14146</v>
      </c>
      <c r="C7835" s="17" t="s">
        <v>170</v>
      </c>
      <c r="D7835" s="13" t="s">
        <v>118</v>
      </c>
      <c r="E7835" s="13" t="s">
        <v>14147</v>
      </c>
      <c r="F7835" s="43">
        <v>255.32</v>
      </c>
    </row>
    <row r="7836" spans="2:6" x14ac:dyDescent="0.25">
      <c r="B7836" s="13" t="s">
        <v>14148</v>
      </c>
      <c r="C7836" s="17" t="s">
        <v>170</v>
      </c>
      <c r="D7836" s="13" t="s">
        <v>118</v>
      </c>
      <c r="E7836" s="13" t="s">
        <v>14149</v>
      </c>
      <c r="F7836" s="43">
        <v>255.32</v>
      </c>
    </row>
    <row r="7837" spans="2:6" x14ac:dyDescent="0.25">
      <c r="B7837" s="13" t="s">
        <v>14150</v>
      </c>
      <c r="C7837" s="17" t="s">
        <v>170</v>
      </c>
      <c r="D7837" s="13" t="s">
        <v>118</v>
      </c>
      <c r="E7837" s="13" t="s">
        <v>14151</v>
      </c>
      <c r="F7837" s="43">
        <v>255.32</v>
      </c>
    </row>
    <row r="7838" spans="2:6" x14ac:dyDescent="0.25">
      <c r="B7838" s="13" t="s">
        <v>14152</v>
      </c>
      <c r="C7838" s="17" t="s">
        <v>170</v>
      </c>
      <c r="D7838" s="13" t="s">
        <v>118</v>
      </c>
      <c r="E7838" s="13" t="s">
        <v>14153</v>
      </c>
      <c r="F7838" s="43">
        <v>255.32</v>
      </c>
    </row>
    <row r="7839" spans="2:6" x14ac:dyDescent="0.25">
      <c r="B7839" s="13" t="s">
        <v>14154</v>
      </c>
      <c r="C7839" s="17" t="s">
        <v>170</v>
      </c>
      <c r="D7839" s="13" t="s">
        <v>118</v>
      </c>
      <c r="E7839" s="13" t="s">
        <v>14155</v>
      </c>
      <c r="F7839" s="43">
        <v>255.32</v>
      </c>
    </row>
    <row r="7840" spans="2:6" x14ac:dyDescent="0.25">
      <c r="B7840" s="13" t="s">
        <v>14156</v>
      </c>
      <c r="C7840" s="17" t="s">
        <v>170</v>
      </c>
      <c r="D7840" s="13" t="s">
        <v>118</v>
      </c>
      <c r="E7840" s="13" t="s">
        <v>14157</v>
      </c>
      <c r="F7840" s="43">
        <v>255.32</v>
      </c>
    </row>
    <row r="7841" spans="2:6" x14ac:dyDescent="0.25">
      <c r="B7841" s="13" t="s">
        <v>14158</v>
      </c>
      <c r="C7841" s="17" t="s">
        <v>170</v>
      </c>
      <c r="D7841" s="13" t="s">
        <v>118</v>
      </c>
      <c r="E7841" s="13" t="s">
        <v>14159</v>
      </c>
      <c r="F7841" s="43">
        <v>255.32</v>
      </c>
    </row>
    <row r="7842" spans="2:6" x14ac:dyDescent="0.25">
      <c r="B7842" s="13" t="s">
        <v>14160</v>
      </c>
      <c r="C7842" s="17" t="s">
        <v>170</v>
      </c>
      <c r="D7842" s="13" t="s">
        <v>118</v>
      </c>
      <c r="E7842" s="13" t="s">
        <v>14161</v>
      </c>
      <c r="F7842" s="43">
        <v>255.32</v>
      </c>
    </row>
    <row r="7843" spans="2:6" x14ac:dyDescent="0.25">
      <c r="B7843" s="13" t="s">
        <v>14162</v>
      </c>
      <c r="C7843" s="17" t="s">
        <v>170</v>
      </c>
      <c r="D7843" s="13" t="s">
        <v>118</v>
      </c>
      <c r="E7843" s="13" t="s">
        <v>14163</v>
      </c>
      <c r="F7843" s="43">
        <v>255.32</v>
      </c>
    </row>
    <row r="7844" spans="2:6" x14ac:dyDescent="0.25">
      <c r="B7844" s="13" t="s">
        <v>14164</v>
      </c>
      <c r="C7844" s="17" t="s">
        <v>170</v>
      </c>
      <c r="D7844" s="13" t="s">
        <v>118</v>
      </c>
      <c r="E7844" s="13" t="s">
        <v>14165</v>
      </c>
      <c r="F7844" s="43">
        <v>255.32</v>
      </c>
    </row>
    <row r="7845" spans="2:6" x14ac:dyDescent="0.25">
      <c r="B7845" s="13" t="s">
        <v>14166</v>
      </c>
      <c r="C7845" s="17" t="s">
        <v>170</v>
      </c>
      <c r="D7845" s="13" t="s">
        <v>118</v>
      </c>
      <c r="E7845" s="13" t="s">
        <v>14167</v>
      </c>
      <c r="F7845" s="43">
        <v>255.32</v>
      </c>
    </row>
    <row r="7846" spans="2:6" x14ac:dyDescent="0.25">
      <c r="B7846" s="13" t="s">
        <v>14168</v>
      </c>
      <c r="C7846" s="17" t="s">
        <v>170</v>
      </c>
      <c r="D7846" s="13" t="s">
        <v>118</v>
      </c>
      <c r="E7846" s="13" t="s">
        <v>14169</v>
      </c>
      <c r="F7846" s="43">
        <v>255.32</v>
      </c>
    </row>
    <row r="7847" spans="2:6" x14ac:dyDescent="0.25">
      <c r="B7847" s="13" t="s">
        <v>14170</v>
      </c>
      <c r="C7847" s="17" t="s">
        <v>170</v>
      </c>
      <c r="D7847" s="13" t="s">
        <v>118</v>
      </c>
      <c r="E7847" s="13" t="s">
        <v>14171</v>
      </c>
      <c r="F7847" s="43">
        <v>255.32</v>
      </c>
    </row>
    <row r="7848" spans="2:6" x14ac:dyDescent="0.25">
      <c r="B7848" s="13" t="s">
        <v>14172</v>
      </c>
      <c r="C7848" s="17" t="s">
        <v>170</v>
      </c>
      <c r="D7848" s="13" t="s">
        <v>118</v>
      </c>
      <c r="E7848" s="13" t="s">
        <v>14173</v>
      </c>
      <c r="F7848" s="43">
        <v>255.32</v>
      </c>
    </row>
    <row r="7849" spans="2:6" x14ac:dyDescent="0.25">
      <c r="B7849" s="13" t="s">
        <v>14174</v>
      </c>
      <c r="C7849" s="17" t="s">
        <v>170</v>
      </c>
      <c r="D7849" s="13" t="s">
        <v>118</v>
      </c>
      <c r="E7849" s="13" t="s">
        <v>14175</v>
      </c>
      <c r="F7849" s="43">
        <v>255.32</v>
      </c>
    </row>
    <row r="7850" spans="2:6" x14ac:dyDescent="0.25">
      <c r="B7850" s="13" t="s">
        <v>14176</v>
      </c>
      <c r="C7850" s="17" t="s">
        <v>170</v>
      </c>
      <c r="D7850" s="13" t="s">
        <v>118</v>
      </c>
      <c r="E7850" s="13" t="s">
        <v>14177</v>
      </c>
      <c r="F7850" s="43">
        <v>297.55</v>
      </c>
    </row>
    <row r="7851" spans="2:6" x14ac:dyDescent="0.25">
      <c r="B7851" s="13" t="s">
        <v>14178</v>
      </c>
      <c r="C7851" s="17" t="s">
        <v>170</v>
      </c>
      <c r="D7851" s="13" t="s">
        <v>118</v>
      </c>
      <c r="E7851" s="13" t="s">
        <v>14179</v>
      </c>
      <c r="F7851" s="43">
        <v>255.32</v>
      </c>
    </row>
    <row r="7852" spans="2:6" x14ac:dyDescent="0.25">
      <c r="B7852" s="13" t="s">
        <v>14180</v>
      </c>
      <c r="C7852" s="17" t="s">
        <v>170</v>
      </c>
      <c r="D7852" s="13" t="s">
        <v>118</v>
      </c>
      <c r="E7852" s="13" t="s">
        <v>14181</v>
      </c>
      <c r="F7852" s="43">
        <v>255.32</v>
      </c>
    </row>
    <row r="7853" spans="2:6" x14ac:dyDescent="0.25">
      <c r="B7853" s="13" t="s">
        <v>14182</v>
      </c>
      <c r="C7853" s="17" t="s">
        <v>170</v>
      </c>
      <c r="D7853" s="13" t="s">
        <v>118</v>
      </c>
      <c r="E7853" s="13" t="s">
        <v>14183</v>
      </c>
      <c r="F7853" s="43">
        <v>255.32</v>
      </c>
    </row>
    <row r="7854" spans="2:6" x14ac:dyDescent="0.25">
      <c r="B7854" s="13" t="s">
        <v>14184</v>
      </c>
      <c r="C7854" s="17" t="s">
        <v>170</v>
      </c>
      <c r="D7854" s="13" t="s">
        <v>118</v>
      </c>
      <c r="E7854" s="13" t="s">
        <v>14185</v>
      </c>
      <c r="F7854" s="43">
        <v>255.32</v>
      </c>
    </row>
    <row r="7855" spans="2:6" x14ac:dyDescent="0.25">
      <c r="B7855" s="13" t="s">
        <v>14186</v>
      </c>
      <c r="C7855" s="17" t="s">
        <v>170</v>
      </c>
      <c r="D7855" s="13" t="s">
        <v>118</v>
      </c>
      <c r="E7855" s="13" t="s">
        <v>14187</v>
      </c>
      <c r="F7855" s="43">
        <v>297.55</v>
      </c>
    </row>
    <row r="7856" spans="2:6" x14ac:dyDescent="0.25">
      <c r="B7856" s="13" t="s">
        <v>14188</v>
      </c>
      <c r="C7856" s="17" t="s">
        <v>170</v>
      </c>
      <c r="D7856" s="13" t="s">
        <v>118</v>
      </c>
      <c r="E7856" s="13" t="s">
        <v>14189</v>
      </c>
      <c r="F7856" s="43">
        <v>255.32</v>
      </c>
    </row>
    <row r="7857" spans="2:6" x14ac:dyDescent="0.25">
      <c r="B7857" s="13" t="s">
        <v>14190</v>
      </c>
      <c r="C7857" s="17" t="s">
        <v>170</v>
      </c>
      <c r="D7857" s="13" t="s">
        <v>118</v>
      </c>
      <c r="E7857" s="13" t="s">
        <v>14191</v>
      </c>
      <c r="F7857" s="43">
        <v>255.32</v>
      </c>
    </row>
    <row r="7858" spans="2:6" x14ac:dyDescent="0.25">
      <c r="B7858" s="13" t="s">
        <v>14192</v>
      </c>
      <c r="C7858" s="17" t="s">
        <v>170</v>
      </c>
      <c r="D7858" s="13" t="s">
        <v>118</v>
      </c>
      <c r="E7858" s="13" t="s">
        <v>14193</v>
      </c>
      <c r="F7858" s="43">
        <v>255.32</v>
      </c>
    </row>
    <row r="7859" spans="2:6" x14ac:dyDescent="0.25">
      <c r="B7859" s="13" t="s">
        <v>14194</v>
      </c>
      <c r="C7859" s="17" t="s">
        <v>170</v>
      </c>
      <c r="D7859" s="13" t="s">
        <v>118</v>
      </c>
      <c r="E7859" s="13" t="s">
        <v>14195</v>
      </c>
      <c r="F7859" s="43">
        <v>255.32</v>
      </c>
    </row>
    <row r="7860" spans="2:6" x14ac:dyDescent="0.25">
      <c r="B7860" s="13" t="s">
        <v>14196</v>
      </c>
      <c r="C7860" s="17" t="s">
        <v>170</v>
      </c>
      <c r="D7860" s="13" t="s">
        <v>118</v>
      </c>
      <c r="E7860" s="13" t="s">
        <v>14197</v>
      </c>
      <c r="F7860" s="43">
        <v>297.55</v>
      </c>
    </row>
    <row r="7861" spans="2:6" x14ac:dyDescent="0.25">
      <c r="B7861" s="13" t="s">
        <v>14198</v>
      </c>
      <c r="C7861" s="17" t="s">
        <v>170</v>
      </c>
      <c r="D7861" s="13" t="s">
        <v>118</v>
      </c>
      <c r="E7861" s="13" t="s">
        <v>14199</v>
      </c>
      <c r="F7861" s="43">
        <v>297.55</v>
      </c>
    </row>
    <row r="7862" spans="2:6" x14ac:dyDescent="0.25">
      <c r="B7862" s="13" t="s">
        <v>14200</v>
      </c>
      <c r="C7862" s="17" t="s">
        <v>170</v>
      </c>
      <c r="D7862" s="13" t="s">
        <v>118</v>
      </c>
      <c r="E7862" s="13" t="s">
        <v>14201</v>
      </c>
      <c r="F7862" s="43">
        <v>255.32</v>
      </c>
    </row>
    <row r="7863" spans="2:6" x14ac:dyDescent="0.25">
      <c r="B7863" s="13" t="s">
        <v>14202</v>
      </c>
      <c r="C7863" s="17" t="s">
        <v>170</v>
      </c>
      <c r="D7863" s="13" t="s">
        <v>118</v>
      </c>
      <c r="E7863" s="13" t="s">
        <v>14203</v>
      </c>
      <c r="F7863" s="43">
        <v>297.55</v>
      </c>
    </row>
    <row r="7864" spans="2:6" x14ac:dyDescent="0.25">
      <c r="B7864" s="13" t="s">
        <v>14204</v>
      </c>
      <c r="C7864" s="17" t="s">
        <v>170</v>
      </c>
      <c r="D7864" s="13" t="s">
        <v>118</v>
      </c>
      <c r="E7864" s="13" t="s">
        <v>14205</v>
      </c>
      <c r="F7864" s="43">
        <v>255.32</v>
      </c>
    </row>
    <row r="7865" spans="2:6" x14ac:dyDescent="0.25">
      <c r="B7865" s="13" t="s">
        <v>14206</v>
      </c>
      <c r="C7865" s="17" t="s">
        <v>170</v>
      </c>
      <c r="D7865" s="13" t="s">
        <v>118</v>
      </c>
      <c r="E7865" s="13" t="s">
        <v>14207</v>
      </c>
      <c r="F7865" s="43">
        <v>297.55</v>
      </c>
    </row>
    <row r="7866" spans="2:6" x14ac:dyDescent="0.25">
      <c r="B7866" s="13" t="s">
        <v>14208</v>
      </c>
      <c r="C7866" s="17" t="s">
        <v>170</v>
      </c>
      <c r="D7866" s="13" t="s">
        <v>118</v>
      </c>
      <c r="E7866" s="13" t="s">
        <v>14209</v>
      </c>
      <c r="F7866" s="43">
        <v>255.32</v>
      </c>
    </row>
    <row r="7867" spans="2:6" x14ac:dyDescent="0.25">
      <c r="B7867" s="13" t="s">
        <v>14210</v>
      </c>
      <c r="C7867" s="17" t="s">
        <v>170</v>
      </c>
      <c r="D7867" s="13" t="s">
        <v>118</v>
      </c>
      <c r="E7867" s="13" t="s">
        <v>14211</v>
      </c>
      <c r="F7867" s="43">
        <v>297.55</v>
      </c>
    </row>
    <row r="7868" spans="2:6" x14ac:dyDescent="0.25">
      <c r="B7868" s="13" t="s">
        <v>14212</v>
      </c>
      <c r="C7868" s="17" t="s">
        <v>170</v>
      </c>
      <c r="D7868" s="13" t="s">
        <v>118</v>
      </c>
      <c r="E7868" s="13" t="s">
        <v>14213</v>
      </c>
      <c r="F7868" s="43">
        <v>255.32</v>
      </c>
    </row>
    <row r="7869" spans="2:6" x14ac:dyDescent="0.25">
      <c r="B7869" s="13" t="s">
        <v>14214</v>
      </c>
      <c r="C7869" s="17" t="s">
        <v>170</v>
      </c>
      <c r="D7869" s="13" t="s">
        <v>118</v>
      </c>
      <c r="E7869" s="13" t="s">
        <v>14215</v>
      </c>
      <c r="F7869" s="43">
        <v>297.55</v>
      </c>
    </row>
    <row r="7870" spans="2:6" x14ac:dyDescent="0.25">
      <c r="B7870" s="13" t="s">
        <v>14216</v>
      </c>
      <c r="C7870" s="17" t="s">
        <v>170</v>
      </c>
      <c r="D7870" s="13" t="s">
        <v>118</v>
      </c>
      <c r="E7870" s="13" t="s">
        <v>14217</v>
      </c>
      <c r="F7870" s="43">
        <v>255.32</v>
      </c>
    </row>
    <row r="7871" spans="2:6" x14ac:dyDescent="0.25">
      <c r="B7871" s="13" t="s">
        <v>14218</v>
      </c>
      <c r="C7871" s="17" t="s">
        <v>170</v>
      </c>
      <c r="D7871" s="13" t="s">
        <v>118</v>
      </c>
      <c r="E7871" s="13" t="s">
        <v>14219</v>
      </c>
      <c r="F7871" s="43">
        <v>255.32</v>
      </c>
    </row>
    <row r="7872" spans="2:6" x14ac:dyDescent="0.25">
      <c r="B7872" s="13" t="s">
        <v>14220</v>
      </c>
      <c r="C7872" s="17" t="s">
        <v>170</v>
      </c>
      <c r="D7872" s="13" t="s">
        <v>118</v>
      </c>
      <c r="E7872" s="13" t="s">
        <v>14221</v>
      </c>
      <c r="F7872" s="43">
        <v>255.32</v>
      </c>
    </row>
    <row r="7873" spans="2:6" x14ac:dyDescent="0.25">
      <c r="B7873" s="13" t="s">
        <v>14222</v>
      </c>
      <c r="C7873" s="17" t="s">
        <v>170</v>
      </c>
      <c r="D7873" s="13" t="s">
        <v>118</v>
      </c>
      <c r="E7873" s="13" t="s">
        <v>14223</v>
      </c>
      <c r="F7873" s="43">
        <v>255.32</v>
      </c>
    </row>
    <row r="7874" spans="2:6" x14ac:dyDescent="0.25">
      <c r="B7874" s="13" t="s">
        <v>14224</v>
      </c>
      <c r="C7874" s="17" t="s">
        <v>170</v>
      </c>
      <c r="D7874" s="13" t="s">
        <v>118</v>
      </c>
      <c r="E7874" s="13" t="s">
        <v>14225</v>
      </c>
      <c r="F7874" s="43">
        <v>255.32</v>
      </c>
    </row>
    <row r="7875" spans="2:6" x14ac:dyDescent="0.25">
      <c r="B7875" s="13" t="s">
        <v>14226</v>
      </c>
      <c r="C7875" s="17" t="s">
        <v>170</v>
      </c>
      <c r="D7875" s="13" t="s">
        <v>118</v>
      </c>
      <c r="E7875" s="13" t="s">
        <v>14227</v>
      </c>
      <c r="F7875" s="43">
        <v>255.32</v>
      </c>
    </row>
    <row r="7876" spans="2:6" x14ac:dyDescent="0.25">
      <c r="B7876" s="13" t="s">
        <v>14228</v>
      </c>
      <c r="C7876" s="17" t="s">
        <v>170</v>
      </c>
      <c r="D7876" s="13" t="s">
        <v>118</v>
      </c>
      <c r="E7876" s="13" t="s">
        <v>14229</v>
      </c>
      <c r="F7876" s="43">
        <v>297.55</v>
      </c>
    </row>
    <row r="7877" spans="2:6" x14ac:dyDescent="0.25">
      <c r="B7877" s="13" t="s">
        <v>14230</v>
      </c>
      <c r="C7877" s="17" t="s">
        <v>170</v>
      </c>
      <c r="D7877" s="13" t="s">
        <v>118</v>
      </c>
      <c r="E7877" s="13" t="s">
        <v>14231</v>
      </c>
      <c r="F7877" s="43">
        <v>255.32</v>
      </c>
    </row>
    <row r="7878" spans="2:6" x14ac:dyDescent="0.25">
      <c r="B7878" s="13" t="s">
        <v>14232</v>
      </c>
      <c r="C7878" s="17" t="s">
        <v>170</v>
      </c>
      <c r="D7878" s="13" t="s">
        <v>118</v>
      </c>
      <c r="E7878" s="13" t="s">
        <v>14233</v>
      </c>
      <c r="F7878" s="43">
        <v>255.32</v>
      </c>
    </row>
    <row r="7879" spans="2:6" x14ac:dyDescent="0.25">
      <c r="B7879" s="13" t="s">
        <v>14234</v>
      </c>
      <c r="C7879" s="17" t="s">
        <v>170</v>
      </c>
      <c r="D7879" s="13" t="s">
        <v>118</v>
      </c>
      <c r="E7879" s="13" t="s">
        <v>14235</v>
      </c>
      <c r="F7879" s="43">
        <v>297.55</v>
      </c>
    </row>
    <row r="7880" spans="2:6" x14ac:dyDescent="0.25">
      <c r="B7880" s="13" t="s">
        <v>14236</v>
      </c>
      <c r="C7880" s="17" t="s">
        <v>170</v>
      </c>
      <c r="D7880" s="13" t="s">
        <v>118</v>
      </c>
      <c r="E7880" s="13" t="s">
        <v>14237</v>
      </c>
      <c r="F7880" s="43">
        <v>255.32</v>
      </c>
    </row>
    <row r="7881" spans="2:6" x14ac:dyDescent="0.25">
      <c r="B7881" s="13" t="s">
        <v>14238</v>
      </c>
      <c r="C7881" s="17" t="s">
        <v>170</v>
      </c>
      <c r="D7881" s="13" t="s">
        <v>118</v>
      </c>
      <c r="E7881" s="13" t="s">
        <v>14239</v>
      </c>
      <c r="F7881" s="43">
        <v>297.55</v>
      </c>
    </row>
    <row r="7882" spans="2:6" x14ac:dyDescent="0.25">
      <c r="B7882" s="13" t="s">
        <v>14240</v>
      </c>
      <c r="C7882" s="17" t="s">
        <v>170</v>
      </c>
      <c r="D7882" s="13" t="s">
        <v>118</v>
      </c>
      <c r="E7882" s="13" t="s">
        <v>14241</v>
      </c>
      <c r="F7882" s="43">
        <v>255.32</v>
      </c>
    </row>
    <row r="7883" spans="2:6" x14ac:dyDescent="0.25">
      <c r="B7883" s="13" t="s">
        <v>14242</v>
      </c>
      <c r="C7883" s="17" t="s">
        <v>170</v>
      </c>
      <c r="D7883" s="13" t="s">
        <v>118</v>
      </c>
      <c r="E7883" s="13" t="s">
        <v>14243</v>
      </c>
      <c r="F7883" s="43">
        <v>297.55</v>
      </c>
    </row>
    <row r="7884" spans="2:6" x14ac:dyDescent="0.25">
      <c r="B7884" s="13" t="s">
        <v>14244</v>
      </c>
      <c r="C7884" s="17" t="s">
        <v>170</v>
      </c>
      <c r="D7884" s="13" t="s">
        <v>118</v>
      </c>
      <c r="E7884" s="13" t="s">
        <v>14245</v>
      </c>
      <c r="F7884" s="43">
        <v>255.32</v>
      </c>
    </row>
    <row r="7885" spans="2:6" x14ac:dyDescent="0.25">
      <c r="B7885" s="13" t="s">
        <v>14246</v>
      </c>
      <c r="C7885" s="17" t="s">
        <v>170</v>
      </c>
      <c r="D7885" s="13" t="s">
        <v>118</v>
      </c>
      <c r="E7885" s="13" t="s">
        <v>14247</v>
      </c>
      <c r="F7885" s="43">
        <v>297.55</v>
      </c>
    </row>
    <row r="7886" spans="2:6" x14ac:dyDescent="0.25">
      <c r="B7886" s="13" t="s">
        <v>14248</v>
      </c>
      <c r="C7886" s="17" t="s">
        <v>170</v>
      </c>
      <c r="D7886" s="13" t="s">
        <v>118</v>
      </c>
      <c r="E7886" s="13" t="s">
        <v>14249</v>
      </c>
      <c r="F7886" s="43">
        <v>255.32</v>
      </c>
    </row>
    <row r="7887" spans="2:6" x14ac:dyDescent="0.25">
      <c r="B7887" s="13" t="s">
        <v>14250</v>
      </c>
      <c r="C7887" s="17" t="s">
        <v>170</v>
      </c>
      <c r="D7887" s="13" t="s">
        <v>118</v>
      </c>
      <c r="E7887" s="13" t="s">
        <v>14251</v>
      </c>
      <c r="F7887" s="43">
        <v>297.55</v>
      </c>
    </row>
    <row r="7888" spans="2:6" x14ac:dyDescent="0.25">
      <c r="B7888" s="13" t="s">
        <v>14252</v>
      </c>
      <c r="C7888" s="17" t="s">
        <v>170</v>
      </c>
      <c r="D7888" s="13" t="s">
        <v>118</v>
      </c>
      <c r="E7888" s="13" t="s">
        <v>14253</v>
      </c>
      <c r="F7888" s="43">
        <v>255.32</v>
      </c>
    </row>
    <row r="7889" spans="2:6" x14ac:dyDescent="0.25">
      <c r="B7889" s="13" t="s">
        <v>14254</v>
      </c>
      <c r="C7889" s="17" t="s">
        <v>170</v>
      </c>
      <c r="D7889" s="13" t="s">
        <v>118</v>
      </c>
      <c r="E7889" s="13" t="s">
        <v>14255</v>
      </c>
      <c r="F7889" s="43">
        <v>297.55</v>
      </c>
    </row>
    <row r="7890" spans="2:6" x14ac:dyDescent="0.25">
      <c r="B7890" s="13" t="s">
        <v>14256</v>
      </c>
      <c r="C7890" s="17" t="s">
        <v>170</v>
      </c>
      <c r="D7890" s="13" t="s">
        <v>118</v>
      </c>
      <c r="E7890" s="13" t="s">
        <v>14257</v>
      </c>
      <c r="F7890" s="43">
        <v>255.32</v>
      </c>
    </row>
    <row r="7891" spans="2:6" x14ac:dyDescent="0.25">
      <c r="B7891" s="13" t="s">
        <v>14258</v>
      </c>
      <c r="C7891" s="17" t="s">
        <v>170</v>
      </c>
      <c r="D7891" s="13" t="s">
        <v>118</v>
      </c>
      <c r="E7891" s="13" t="s">
        <v>14259</v>
      </c>
      <c r="F7891" s="43">
        <v>255.32</v>
      </c>
    </row>
    <row r="7892" spans="2:6" x14ac:dyDescent="0.25">
      <c r="B7892" s="13" t="s">
        <v>14260</v>
      </c>
      <c r="C7892" s="17" t="s">
        <v>170</v>
      </c>
      <c r="D7892" s="13" t="s">
        <v>118</v>
      </c>
      <c r="E7892" s="13" t="s">
        <v>14261</v>
      </c>
      <c r="F7892" s="43">
        <v>255.32</v>
      </c>
    </row>
    <row r="7893" spans="2:6" x14ac:dyDescent="0.25">
      <c r="B7893" s="13" t="s">
        <v>14262</v>
      </c>
      <c r="C7893" s="17" t="s">
        <v>170</v>
      </c>
      <c r="D7893" s="13" t="s">
        <v>118</v>
      </c>
      <c r="E7893" s="13" t="s">
        <v>14263</v>
      </c>
      <c r="F7893" s="43">
        <v>255.32</v>
      </c>
    </row>
    <row r="7894" spans="2:6" x14ac:dyDescent="0.25">
      <c r="B7894" s="13" t="s">
        <v>14264</v>
      </c>
      <c r="C7894" s="17" t="s">
        <v>170</v>
      </c>
      <c r="D7894" s="13" t="s">
        <v>118</v>
      </c>
      <c r="E7894" s="13" t="s">
        <v>14265</v>
      </c>
      <c r="F7894" s="43">
        <v>255.32</v>
      </c>
    </row>
    <row r="7895" spans="2:6" x14ac:dyDescent="0.25">
      <c r="B7895" s="13" t="s">
        <v>14266</v>
      </c>
      <c r="C7895" s="17" t="s">
        <v>170</v>
      </c>
      <c r="D7895" s="13" t="s">
        <v>118</v>
      </c>
      <c r="E7895" s="13" t="s">
        <v>14267</v>
      </c>
      <c r="F7895" s="43">
        <v>255.32</v>
      </c>
    </row>
    <row r="7896" spans="2:6" x14ac:dyDescent="0.25">
      <c r="B7896" s="13" t="s">
        <v>14268</v>
      </c>
      <c r="C7896" s="17" t="s">
        <v>170</v>
      </c>
      <c r="D7896" s="13" t="s">
        <v>118</v>
      </c>
      <c r="E7896" s="13" t="s">
        <v>14269</v>
      </c>
      <c r="F7896" s="43">
        <v>255.32</v>
      </c>
    </row>
    <row r="7897" spans="2:6" x14ac:dyDescent="0.25">
      <c r="B7897" s="13" t="s">
        <v>14270</v>
      </c>
      <c r="C7897" s="17" t="s">
        <v>170</v>
      </c>
      <c r="D7897" s="13" t="s">
        <v>118</v>
      </c>
      <c r="E7897" s="13" t="s">
        <v>14271</v>
      </c>
      <c r="F7897" s="43">
        <v>255.32</v>
      </c>
    </row>
    <row r="7898" spans="2:6" x14ac:dyDescent="0.25">
      <c r="B7898" s="13" t="s">
        <v>14272</v>
      </c>
      <c r="C7898" s="17" t="s">
        <v>170</v>
      </c>
      <c r="D7898" s="13" t="s">
        <v>118</v>
      </c>
      <c r="E7898" s="13" t="s">
        <v>14273</v>
      </c>
      <c r="F7898" s="43">
        <v>255.32</v>
      </c>
    </row>
    <row r="7899" spans="2:6" x14ac:dyDescent="0.25">
      <c r="B7899" s="13" t="s">
        <v>14274</v>
      </c>
      <c r="C7899" s="17" t="s">
        <v>170</v>
      </c>
      <c r="D7899" s="13" t="s">
        <v>118</v>
      </c>
      <c r="E7899" s="13" t="s">
        <v>14275</v>
      </c>
      <c r="F7899" s="43">
        <v>255.32</v>
      </c>
    </row>
    <row r="7900" spans="2:6" x14ac:dyDescent="0.25">
      <c r="B7900" s="13" t="s">
        <v>14276</v>
      </c>
      <c r="C7900" s="17" t="s">
        <v>170</v>
      </c>
      <c r="D7900" s="13" t="s">
        <v>118</v>
      </c>
      <c r="E7900" s="13" t="s">
        <v>14277</v>
      </c>
      <c r="F7900" s="43">
        <v>255.32</v>
      </c>
    </row>
    <row r="7901" spans="2:6" x14ac:dyDescent="0.25">
      <c r="B7901" s="13" t="s">
        <v>14278</v>
      </c>
      <c r="C7901" s="17" t="s">
        <v>170</v>
      </c>
      <c r="D7901" s="13" t="s">
        <v>118</v>
      </c>
      <c r="E7901" s="13" t="s">
        <v>14279</v>
      </c>
      <c r="F7901" s="43">
        <v>255.32</v>
      </c>
    </row>
    <row r="7902" spans="2:6" x14ac:dyDescent="0.25">
      <c r="B7902" s="13" t="s">
        <v>14280</v>
      </c>
      <c r="C7902" s="17" t="s">
        <v>170</v>
      </c>
      <c r="D7902" s="13" t="s">
        <v>118</v>
      </c>
      <c r="E7902" s="13" t="s">
        <v>14281</v>
      </c>
      <c r="F7902" s="43">
        <v>255.32</v>
      </c>
    </row>
    <row r="7903" spans="2:6" x14ac:dyDescent="0.25">
      <c r="B7903" s="13" t="s">
        <v>14282</v>
      </c>
      <c r="C7903" s="17" t="s">
        <v>170</v>
      </c>
      <c r="D7903" s="13" t="s">
        <v>118</v>
      </c>
      <c r="E7903" s="13" t="s">
        <v>14283</v>
      </c>
      <c r="F7903" s="43">
        <v>255.32</v>
      </c>
    </row>
    <row r="7904" spans="2:6" x14ac:dyDescent="0.25">
      <c r="B7904" s="13" t="s">
        <v>14284</v>
      </c>
      <c r="C7904" s="17" t="s">
        <v>170</v>
      </c>
      <c r="D7904" s="13" t="s">
        <v>118</v>
      </c>
      <c r="E7904" s="13" t="s">
        <v>14285</v>
      </c>
      <c r="F7904" s="43">
        <v>255.32</v>
      </c>
    </row>
    <row r="7905" spans="2:6" x14ac:dyDescent="0.25">
      <c r="B7905" s="13" t="s">
        <v>14286</v>
      </c>
      <c r="C7905" s="17" t="s">
        <v>170</v>
      </c>
      <c r="D7905" s="13" t="s">
        <v>118</v>
      </c>
      <c r="E7905" s="13" t="s">
        <v>14287</v>
      </c>
      <c r="F7905" s="43">
        <v>297.55</v>
      </c>
    </row>
    <row r="7906" spans="2:6" x14ac:dyDescent="0.25">
      <c r="B7906" s="13" t="s">
        <v>14288</v>
      </c>
      <c r="C7906" s="17" t="s">
        <v>170</v>
      </c>
      <c r="D7906" s="13" t="s">
        <v>118</v>
      </c>
      <c r="E7906" s="13" t="s">
        <v>14289</v>
      </c>
      <c r="F7906" s="43">
        <v>255.32</v>
      </c>
    </row>
    <row r="7907" spans="2:6" x14ac:dyDescent="0.25">
      <c r="B7907" s="13" t="s">
        <v>14290</v>
      </c>
      <c r="C7907" s="17" t="s">
        <v>170</v>
      </c>
      <c r="D7907" s="13" t="s">
        <v>118</v>
      </c>
      <c r="E7907" s="13" t="s">
        <v>14291</v>
      </c>
      <c r="F7907" s="43">
        <v>255.32</v>
      </c>
    </row>
    <row r="7908" spans="2:6" x14ac:dyDescent="0.25">
      <c r="B7908" s="13" t="s">
        <v>14292</v>
      </c>
      <c r="C7908" s="17" t="s">
        <v>170</v>
      </c>
      <c r="D7908" s="13" t="s">
        <v>118</v>
      </c>
      <c r="E7908" s="13" t="s">
        <v>14293</v>
      </c>
      <c r="F7908" s="43">
        <v>255.32</v>
      </c>
    </row>
    <row r="7909" spans="2:6" x14ac:dyDescent="0.25">
      <c r="B7909" s="13" t="s">
        <v>14294</v>
      </c>
      <c r="C7909" s="17" t="s">
        <v>170</v>
      </c>
      <c r="D7909" s="13" t="s">
        <v>118</v>
      </c>
      <c r="E7909" s="13" t="s">
        <v>14295</v>
      </c>
      <c r="F7909" s="43">
        <v>255.32</v>
      </c>
    </row>
    <row r="7910" spans="2:6" x14ac:dyDescent="0.25">
      <c r="B7910" s="13" t="s">
        <v>14296</v>
      </c>
      <c r="C7910" s="17" t="s">
        <v>170</v>
      </c>
      <c r="D7910" s="13" t="s">
        <v>118</v>
      </c>
      <c r="E7910" s="13" t="s">
        <v>14297</v>
      </c>
      <c r="F7910" s="43">
        <v>255.32</v>
      </c>
    </row>
    <row r="7911" spans="2:6" x14ac:dyDescent="0.25">
      <c r="B7911" s="13" t="s">
        <v>14298</v>
      </c>
      <c r="C7911" s="17" t="s">
        <v>170</v>
      </c>
      <c r="D7911" s="13" t="s">
        <v>118</v>
      </c>
      <c r="E7911" s="13" t="s">
        <v>14299</v>
      </c>
      <c r="F7911" s="43">
        <v>255.32</v>
      </c>
    </row>
    <row r="7912" spans="2:6" x14ac:dyDescent="0.25">
      <c r="B7912" s="13" t="s">
        <v>14300</v>
      </c>
      <c r="C7912" s="17" t="s">
        <v>170</v>
      </c>
      <c r="D7912" s="13" t="s">
        <v>118</v>
      </c>
      <c r="E7912" s="13" t="s">
        <v>14301</v>
      </c>
      <c r="F7912" s="43">
        <v>255.32</v>
      </c>
    </row>
    <row r="7913" spans="2:6" x14ac:dyDescent="0.25">
      <c r="B7913" s="13" t="s">
        <v>14302</v>
      </c>
      <c r="C7913" s="17" t="s">
        <v>170</v>
      </c>
      <c r="D7913" s="13" t="s">
        <v>118</v>
      </c>
      <c r="E7913" s="13" t="s">
        <v>14303</v>
      </c>
      <c r="F7913" s="43">
        <v>255.32</v>
      </c>
    </row>
    <row r="7914" spans="2:6" x14ac:dyDescent="0.25">
      <c r="B7914" s="13" t="s">
        <v>14304</v>
      </c>
      <c r="C7914" s="17" t="s">
        <v>170</v>
      </c>
      <c r="D7914" s="13" t="s">
        <v>118</v>
      </c>
      <c r="E7914" s="13" t="s">
        <v>14305</v>
      </c>
      <c r="F7914" s="43">
        <v>255.32</v>
      </c>
    </row>
    <row r="7915" spans="2:6" x14ac:dyDescent="0.25">
      <c r="B7915" s="13" t="s">
        <v>14306</v>
      </c>
      <c r="C7915" s="17" t="s">
        <v>170</v>
      </c>
      <c r="D7915" s="13" t="s">
        <v>118</v>
      </c>
      <c r="E7915" s="13" t="s">
        <v>14307</v>
      </c>
      <c r="F7915" s="43">
        <v>255.32</v>
      </c>
    </row>
    <row r="7916" spans="2:6" x14ac:dyDescent="0.25">
      <c r="B7916" s="13" t="s">
        <v>14308</v>
      </c>
      <c r="C7916" s="17" t="s">
        <v>170</v>
      </c>
      <c r="D7916" s="13" t="s">
        <v>118</v>
      </c>
      <c r="E7916" s="13" t="s">
        <v>14309</v>
      </c>
      <c r="F7916" s="43">
        <v>255.32</v>
      </c>
    </row>
    <row r="7917" spans="2:6" x14ac:dyDescent="0.25">
      <c r="B7917" s="13" t="s">
        <v>14310</v>
      </c>
      <c r="C7917" s="17" t="s">
        <v>170</v>
      </c>
      <c r="D7917" s="13" t="s">
        <v>118</v>
      </c>
      <c r="E7917" s="13" t="s">
        <v>14311</v>
      </c>
      <c r="F7917" s="43">
        <v>255.32</v>
      </c>
    </row>
    <row r="7918" spans="2:6" x14ac:dyDescent="0.25">
      <c r="B7918" s="13" t="s">
        <v>14312</v>
      </c>
      <c r="C7918" s="17" t="s">
        <v>170</v>
      </c>
      <c r="D7918" s="13" t="s">
        <v>118</v>
      </c>
      <c r="E7918" s="13" t="s">
        <v>14313</v>
      </c>
      <c r="F7918" s="43">
        <v>255.32</v>
      </c>
    </row>
    <row r="7919" spans="2:6" x14ac:dyDescent="0.25">
      <c r="B7919" s="13" t="s">
        <v>14314</v>
      </c>
      <c r="C7919" s="17" t="s">
        <v>170</v>
      </c>
      <c r="D7919" s="13" t="s">
        <v>118</v>
      </c>
      <c r="E7919" s="13" t="s">
        <v>14315</v>
      </c>
      <c r="F7919" s="43">
        <v>1113.19</v>
      </c>
    </row>
    <row r="7920" spans="2:6" x14ac:dyDescent="0.25">
      <c r="B7920" s="13" t="s">
        <v>13751</v>
      </c>
      <c r="C7920" s="17" t="s">
        <v>170</v>
      </c>
      <c r="D7920" s="13" t="s">
        <v>118</v>
      </c>
      <c r="E7920" s="13" t="s">
        <v>14316</v>
      </c>
      <c r="F7920" s="43">
        <v>42.23</v>
      </c>
    </row>
    <row r="7921" spans="2:6" x14ac:dyDescent="0.25">
      <c r="B7921" s="13" t="s">
        <v>14317</v>
      </c>
      <c r="C7921" s="17" t="s">
        <v>170</v>
      </c>
      <c r="D7921" s="13" t="s">
        <v>118</v>
      </c>
      <c r="E7921" s="13" t="s">
        <v>14318</v>
      </c>
      <c r="F7921" s="43">
        <v>115.21</v>
      </c>
    </row>
    <row r="7922" spans="2:6" x14ac:dyDescent="0.25">
      <c r="B7922" s="13" t="s">
        <v>11459</v>
      </c>
      <c r="C7922" s="17" t="s">
        <v>170</v>
      </c>
      <c r="D7922" s="13" t="s">
        <v>118</v>
      </c>
      <c r="E7922" s="13" t="s">
        <v>14319</v>
      </c>
      <c r="F7922" s="43">
        <v>126.69</v>
      </c>
    </row>
    <row r="7923" spans="2:6" x14ac:dyDescent="0.25">
      <c r="B7923" s="13" t="s">
        <v>14320</v>
      </c>
      <c r="C7923" s="17" t="s">
        <v>170</v>
      </c>
      <c r="D7923" s="13" t="s">
        <v>118</v>
      </c>
      <c r="E7923" s="13" t="s">
        <v>14321</v>
      </c>
      <c r="F7923" s="43">
        <v>404.98</v>
      </c>
    </row>
    <row r="7924" spans="2:6" x14ac:dyDescent="0.25">
      <c r="B7924" s="13" t="s">
        <v>14322</v>
      </c>
      <c r="C7924" s="17" t="s">
        <v>170</v>
      </c>
      <c r="D7924" s="13" t="s">
        <v>118</v>
      </c>
      <c r="E7924" s="13" t="s">
        <v>14323</v>
      </c>
      <c r="F7924" s="43">
        <v>404.98</v>
      </c>
    </row>
    <row r="7925" spans="2:6" x14ac:dyDescent="0.25">
      <c r="B7925" s="13" t="s">
        <v>14324</v>
      </c>
      <c r="C7925" s="17" t="s">
        <v>170</v>
      </c>
      <c r="D7925" s="13" t="s">
        <v>118</v>
      </c>
      <c r="E7925" s="13" t="s">
        <v>14325</v>
      </c>
      <c r="F7925" s="43">
        <v>404.98</v>
      </c>
    </row>
    <row r="7926" spans="2:6" x14ac:dyDescent="0.25">
      <c r="B7926" s="13" t="s">
        <v>14326</v>
      </c>
      <c r="C7926" s="17" t="s">
        <v>170</v>
      </c>
      <c r="D7926" s="13" t="s">
        <v>118</v>
      </c>
      <c r="E7926" s="13" t="s">
        <v>14327</v>
      </c>
      <c r="F7926" s="43">
        <v>404.98</v>
      </c>
    </row>
    <row r="7927" spans="2:6" x14ac:dyDescent="0.25">
      <c r="B7927" s="13" t="s">
        <v>14328</v>
      </c>
      <c r="C7927" s="17" t="s">
        <v>170</v>
      </c>
      <c r="D7927" s="13" t="s">
        <v>118</v>
      </c>
      <c r="E7927" s="13" t="s">
        <v>14329</v>
      </c>
      <c r="F7927" s="43">
        <v>404.98</v>
      </c>
    </row>
    <row r="7928" spans="2:6" x14ac:dyDescent="0.25">
      <c r="B7928" s="13" t="s">
        <v>14330</v>
      </c>
      <c r="C7928" s="17" t="s">
        <v>170</v>
      </c>
      <c r="D7928" s="13" t="s">
        <v>118</v>
      </c>
      <c r="E7928" s="13" t="s">
        <v>14331</v>
      </c>
      <c r="F7928" s="43">
        <v>404.98</v>
      </c>
    </row>
    <row r="7929" spans="2:6" x14ac:dyDescent="0.25">
      <c r="B7929" s="13" t="s">
        <v>14332</v>
      </c>
      <c r="C7929" s="17" t="s">
        <v>170</v>
      </c>
      <c r="D7929" s="13" t="s">
        <v>118</v>
      </c>
      <c r="E7929" s="13" t="s">
        <v>14333</v>
      </c>
      <c r="F7929" s="43">
        <v>404.98</v>
      </c>
    </row>
    <row r="7930" spans="2:6" x14ac:dyDescent="0.25">
      <c r="B7930" s="13" t="s">
        <v>14334</v>
      </c>
      <c r="C7930" s="17" t="s">
        <v>170</v>
      </c>
      <c r="D7930" s="13" t="s">
        <v>118</v>
      </c>
      <c r="E7930" s="13" t="s">
        <v>14335</v>
      </c>
      <c r="F7930" s="43">
        <v>404.98</v>
      </c>
    </row>
    <row r="7931" spans="2:6" x14ac:dyDescent="0.25">
      <c r="B7931" s="13" t="s">
        <v>14336</v>
      </c>
      <c r="C7931" s="17" t="s">
        <v>170</v>
      </c>
      <c r="D7931" s="13" t="s">
        <v>118</v>
      </c>
      <c r="E7931" s="13" t="s">
        <v>14337</v>
      </c>
      <c r="F7931" s="43">
        <v>404.98</v>
      </c>
    </row>
    <row r="7932" spans="2:6" x14ac:dyDescent="0.25">
      <c r="B7932" s="13" t="s">
        <v>14338</v>
      </c>
      <c r="C7932" s="17" t="s">
        <v>170</v>
      </c>
      <c r="D7932" s="13" t="s">
        <v>118</v>
      </c>
      <c r="E7932" s="13" t="s">
        <v>14339</v>
      </c>
      <c r="F7932" s="43">
        <v>404.98</v>
      </c>
    </row>
    <row r="7933" spans="2:6" x14ac:dyDescent="0.25">
      <c r="B7933" s="13" t="s">
        <v>14340</v>
      </c>
      <c r="C7933" s="17" t="s">
        <v>170</v>
      </c>
      <c r="D7933" s="13" t="s">
        <v>118</v>
      </c>
      <c r="E7933" s="13" t="s">
        <v>14341</v>
      </c>
      <c r="F7933" s="43">
        <v>404.98</v>
      </c>
    </row>
    <row r="7934" spans="2:6" x14ac:dyDescent="0.25">
      <c r="B7934" s="13" t="s">
        <v>14342</v>
      </c>
      <c r="C7934" s="17" t="s">
        <v>170</v>
      </c>
      <c r="D7934" s="13" t="s">
        <v>118</v>
      </c>
      <c r="E7934" s="13" t="s">
        <v>14343</v>
      </c>
      <c r="F7934" s="43">
        <v>404.98</v>
      </c>
    </row>
    <row r="7935" spans="2:6" x14ac:dyDescent="0.25">
      <c r="B7935" s="13" t="s">
        <v>14344</v>
      </c>
      <c r="C7935" s="17" t="s">
        <v>170</v>
      </c>
      <c r="D7935" s="13" t="s">
        <v>118</v>
      </c>
      <c r="E7935" s="13" t="s">
        <v>14345</v>
      </c>
      <c r="F7935" s="43">
        <v>404.98</v>
      </c>
    </row>
    <row r="7936" spans="2:6" x14ac:dyDescent="0.25">
      <c r="B7936" s="13" t="s">
        <v>14346</v>
      </c>
      <c r="C7936" s="17" t="s">
        <v>170</v>
      </c>
      <c r="D7936" s="13" t="s">
        <v>118</v>
      </c>
      <c r="E7936" s="13" t="s">
        <v>14347</v>
      </c>
      <c r="F7936" s="43">
        <v>404.98</v>
      </c>
    </row>
    <row r="7937" spans="2:6" x14ac:dyDescent="0.25">
      <c r="B7937" s="13" t="s">
        <v>14348</v>
      </c>
      <c r="C7937" s="17" t="s">
        <v>170</v>
      </c>
      <c r="D7937" s="13" t="s">
        <v>118</v>
      </c>
      <c r="E7937" s="13" t="s">
        <v>14349</v>
      </c>
      <c r="F7937" s="43">
        <v>404.98</v>
      </c>
    </row>
    <row r="7938" spans="2:6" x14ac:dyDescent="0.25">
      <c r="B7938" s="13" t="s">
        <v>14350</v>
      </c>
      <c r="C7938" s="17" t="s">
        <v>170</v>
      </c>
      <c r="D7938" s="13" t="s">
        <v>118</v>
      </c>
      <c r="E7938" s="13" t="s">
        <v>14351</v>
      </c>
      <c r="F7938" s="43">
        <v>404.98</v>
      </c>
    </row>
    <row r="7939" spans="2:6" x14ac:dyDescent="0.25">
      <c r="B7939" s="13" t="s">
        <v>14352</v>
      </c>
      <c r="C7939" s="17" t="s">
        <v>170</v>
      </c>
      <c r="D7939" s="13" t="s">
        <v>118</v>
      </c>
      <c r="E7939" s="13" t="s">
        <v>14353</v>
      </c>
      <c r="F7939" s="43">
        <v>404.98</v>
      </c>
    </row>
    <row r="7940" spans="2:6" x14ac:dyDescent="0.25">
      <c r="B7940" s="13" t="s">
        <v>14354</v>
      </c>
      <c r="C7940" s="17" t="s">
        <v>170</v>
      </c>
      <c r="D7940" s="13" t="s">
        <v>118</v>
      </c>
      <c r="E7940" s="13" t="s">
        <v>14355</v>
      </c>
      <c r="F7940" s="43">
        <v>404.98</v>
      </c>
    </row>
    <row r="7941" spans="2:6" x14ac:dyDescent="0.25">
      <c r="B7941" s="13" t="s">
        <v>14356</v>
      </c>
      <c r="C7941" s="17" t="s">
        <v>170</v>
      </c>
      <c r="D7941" s="13" t="s">
        <v>118</v>
      </c>
      <c r="E7941" s="13" t="s">
        <v>14357</v>
      </c>
      <c r="F7941" s="43">
        <v>404.98</v>
      </c>
    </row>
    <row r="7942" spans="2:6" x14ac:dyDescent="0.25">
      <c r="B7942" s="13" t="s">
        <v>14358</v>
      </c>
      <c r="C7942" s="17" t="s">
        <v>170</v>
      </c>
      <c r="D7942" s="13" t="s">
        <v>118</v>
      </c>
      <c r="E7942" s="13" t="s">
        <v>14359</v>
      </c>
      <c r="F7942" s="43">
        <v>404.98</v>
      </c>
    </row>
    <row r="7943" spans="2:6" x14ac:dyDescent="0.25">
      <c r="B7943" s="13" t="s">
        <v>14360</v>
      </c>
      <c r="C7943" s="17" t="s">
        <v>170</v>
      </c>
      <c r="D7943" s="13" t="s">
        <v>118</v>
      </c>
      <c r="E7943" s="13" t="s">
        <v>14361</v>
      </c>
      <c r="F7943" s="43">
        <v>404.98</v>
      </c>
    </row>
    <row r="7944" spans="2:6" x14ac:dyDescent="0.25">
      <c r="B7944" s="13" t="s">
        <v>14362</v>
      </c>
      <c r="C7944" s="17" t="s">
        <v>170</v>
      </c>
      <c r="D7944" s="13" t="s">
        <v>118</v>
      </c>
      <c r="E7944" s="13" t="s">
        <v>14363</v>
      </c>
      <c r="F7944" s="43">
        <v>404.98</v>
      </c>
    </row>
    <row r="7945" spans="2:6" x14ac:dyDescent="0.25">
      <c r="B7945" s="13" t="s">
        <v>14364</v>
      </c>
      <c r="C7945" s="17" t="s">
        <v>170</v>
      </c>
      <c r="D7945" s="13" t="s">
        <v>118</v>
      </c>
      <c r="E7945" s="13" t="s">
        <v>14365</v>
      </c>
      <c r="F7945" s="43">
        <v>404.98</v>
      </c>
    </row>
    <row r="7946" spans="2:6" x14ac:dyDescent="0.25">
      <c r="B7946" s="13" t="s">
        <v>14366</v>
      </c>
      <c r="C7946" s="17" t="s">
        <v>170</v>
      </c>
      <c r="D7946" s="13" t="s">
        <v>118</v>
      </c>
      <c r="E7946" s="13" t="s">
        <v>14367</v>
      </c>
      <c r="F7946" s="43">
        <v>558.79</v>
      </c>
    </row>
    <row r="7947" spans="2:6" x14ac:dyDescent="0.25">
      <c r="B7947" s="13" t="s">
        <v>14368</v>
      </c>
      <c r="C7947" s="17" t="s">
        <v>170</v>
      </c>
      <c r="D7947" s="13" t="s">
        <v>118</v>
      </c>
      <c r="E7947" s="13" t="s">
        <v>14369</v>
      </c>
      <c r="F7947" s="43">
        <v>558.79</v>
      </c>
    </row>
    <row r="7948" spans="2:6" x14ac:dyDescent="0.25">
      <c r="B7948" s="13" t="s">
        <v>14370</v>
      </c>
      <c r="C7948" s="17" t="s">
        <v>170</v>
      </c>
      <c r="D7948" s="13" t="s">
        <v>118</v>
      </c>
      <c r="E7948" s="13" t="s">
        <v>14371</v>
      </c>
      <c r="F7948" s="43">
        <v>558.79</v>
      </c>
    </row>
    <row r="7949" spans="2:6" x14ac:dyDescent="0.25">
      <c r="B7949" s="13" t="s">
        <v>14372</v>
      </c>
      <c r="C7949" s="17" t="s">
        <v>170</v>
      </c>
      <c r="D7949" s="13" t="s">
        <v>118</v>
      </c>
      <c r="E7949" s="13" t="s">
        <v>14373</v>
      </c>
      <c r="F7949" s="43">
        <v>558.79</v>
      </c>
    </row>
    <row r="7950" spans="2:6" x14ac:dyDescent="0.25">
      <c r="B7950" s="13" t="s">
        <v>14374</v>
      </c>
      <c r="C7950" s="17" t="s">
        <v>170</v>
      </c>
      <c r="D7950" s="13" t="s">
        <v>118</v>
      </c>
      <c r="E7950" s="13" t="s">
        <v>14375</v>
      </c>
      <c r="F7950" s="43">
        <v>558.79</v>
      </c>
    </row>
    <row r="7951" spans="2:6" x14ac:dyDescent="0.25">
      <c r="B7951" s="13" t="s">
        <v>14376</v>
      </c>
      <c r="C7951" s="17" t="s">
        <v>170</v>
      </c>
      <c r="D7951" s="13" t="s">
        <v>118</v>
      </c>
      <c r="E7951" s="13" t="s">
        <v>14377</v>
      </c>
      <c r="F7951" s="43">
        <v>558.79</v>
      </c>
    </row>
    <row r="7952" spans="2:6" x14ac:dyDescent="0.25">
      <c r="B7952" s="13" t="s">
        <v>14378</v>
      </c>
      <c r="C7952" s="17" t="s">
        <v>170</v>
      </c>
      <c r="D7952" s="13" t="s">
        <v>118</v>
      </c>
      <c r="E7952" s="13" t="s">
        <v>14379</v>
      </c>
      <c r="F7952" s="43">
        <v>558.79</v>
      </c>
    </row>
    <row r="7953" spans="2:6" x14ac:dyDescent="0.25">
      <c r="B7953" s="13" t="s">
        <v>14380</v>
      </c>
      <c r="C7953" s="17" t="s">
        <v>170</v>
      </c>
      <c r="D7953" s="13" t="s">
        <v>118</v>
      </c>
      <c r="E7953" s="13" t="s">
        <v>14381</v>
      </c>
      <c r="F7953" s="43">
        <v>558.79</v>
      </c>
    </row>
    <row r="7954" spans="2:6" x14ac:dyDescent="0.25">
      <c r="B7954" s="13" t="s">
        <v>14382</v>
      </c>
      <c r="C7954" s="17" t="s">
        <v>170</v>
      </c>
      <c r="D7954" s="13" t="s">
        <v>118</v>
      </c>
      <c r="E7954" s="13" t="s">
        <v>14383</v>
      </c>
      <c r="F7954" s="43">
        <v>558.79</v>
      </c>
    </row>
    <row r="7955" spans="2:6" x14ac:dyDescent="0.25">
      <c r="B7955" s="13" t="s">
        <v>14384</v>
      </c>
      <c r="C7955" s="17" t="s">
        <v>170</v>
      </c>
      <c r="D7955" s="13" t="s">
        <v>118</v>
      </c>
      <c r="E7955" s="13" t="s">
        <v>14385</v>
      </c>
      <c r="F7955" s="43">
        <v>558.79</v>
      </c>
    </row>
    <row r="7956" spans="2:6" x14ac:dyDescent="0.25">
      <c r="B7956" s="13" t="s">
        <v>14386</v>
      </c>
      <c r="C7956" s="17" t="s">
        <v>170</v>
      </c>
      <c r="D7956" s="13" t="s">
        <v>118</v>
      </c>
      <c r="E7956" s="13" t="s">
        <v>14387</v>
      </c>
      <c r="F7956" s="43">
        <v>558.79</v>
      </c>
    </row>
    <row r="7957" spans="2:6" x14ac:dyDescent="0.25">
      <c r="B7957" s="13" t="s">
        <v>14388</v>
      </c>
      <c r="C7957" s="17" t="s">
        <v>170</v>
      </c>
      <c r="D7957" s="13" t="s">
        <v>118</v>
      </c>
      <c r="E7957" s="13" t="s">
        <v>14389</v>
      </c>
      <c r="F7957" s="43">
        <v>558.79</v>
      </c>
    </row>
    <row r="7958" spans="2:6" x14ac:dyDescent="0.25">
      <c r="B7958" s="13" t="s">
        <v>14390</v>
      </c>
      <c r="C7958" s="17" t="s">
        <v>170</v>
      </c>
      <c r="D7958" s="13" t="s">
        <v>118</v>
      </c>
      <c r="E7958" s="13" t="s">
        <v>14391</v>
      </c>
      <c r="F7958" s="43">
        <v>558.79</v>
      </c>
    </row>
    <row r="7959" spans="2:6" x14ac:dyDescent="0.25">
      <c r="B7959" s="13" t="s">
        <v>14392</v>
      </c>
      <c r="C7959" s="17" t="s">
        <v>170</v>
      </c>
      <c r="D7959" s="13" t="s">
        <v>118</v>
      </c>
      <c r="E7959" s="13" t="s">
        <v>14393</v>
      </c>
      <c r="F7959" s="43">
        <v>558.79</v>
      </c>
    </row>
    <row r="7960" spans="2:6" x14ac:dyDescent="0.25">
      <c r="B7960" s="13" t="s">
        <v>14394</v>
      </c>
      <c r="C7960" s="17" t="s">
        <v>170</v>
      </c>
      <c r="D7960" s="13" t="s">
        <v>118</v>
      </c>
      <c r="E7960" s="13" t="s">
        <v>14395</v>
      </c>
      <c r="F7960" s="43">
        <v>558.79</v>
      </c>
    </row>
    <row r="7961" spans="2:6" x14ac:dyDescent="0.25">
      <c r="B7961" s="13" t="s">
        <v>14396</v>
      </c>
      <c r="C7961" s="17" t="s">
        <v>170</v>
      </c>
      <c r="D7961" s="13" t="s">
        <v>118</v>
      </c>
      <c r="E7961" s="13" t="s">
        <v>14397</v>
      </c>
      <c r="F7961" s="43">
        <v>558.79</v>
      </c>
    </row>
    <row r="7962" spans="2:6" x14ac:dyDescent="0.25">
      <c r="B7962" s="13" t="s">
        <v>14398</v>
      </c>
      <c r="C7962" s="17" t="s">
        <v>170</v>
      </c>
      <c r="D7962" s="13" t="s">
        <v>118</v>
      </c>
      <c r="E7962" s="13" t="s">
        <v>14399</v>
      </c>
      <c r="F7962" s="43">
        <v>558.79</v>
      </c>
    </row>
    <row r="7963" spans="2:6" x14ac:dyDescent="0.25">
      <c r="B7963" s="13" t="s">
        <v>14400</v>
      </c>
      <c r="C7963" s="17" t="s">
        <v>170</v>
      </c>
      <c r="D7963" s="13" t="s">
        <v>118</v>
      </c>
      <c r="E7963" s="13" t="s">
        <v>14401</v>
      </c>
      <c r="F7963" s="43">
        <v>558.79</v>
      </c>
    </row>
    <row r="7964" spans="2:6" x14ac:dyDescent="0.25">
      <c r="B7964" s="13" t="s">
        <v>14402</v>
      </c>
      <c r="C7964" s="17" t="s">
        <v>170</v>
      </c>
      <c r="D7964" s="13" t="s">
        <v>118</v>
      </c>
      <c r="E7964" s="13" t="s">
        <v>14403</v>
      </c>
      <c r="F7964" s="43">
        <v>558.79</v>
      </c>
    </row>
    <row r="7965" spans="2:6" x14ac:dyDescent="0.25">
      <c r="B7965" s="13" t="s">
        <v>14404</v>
      </c>
      <c r="C7965" s="17" t="s">
        <v>170</v>
      </c>
      <c r="D7965" s="13" t="s">
        <v>118</v>
      </c>
      <c r="E7965" s="13" t="s">
        <v>14405</v>
      </c>
      <c r="F7965" s="43">
        <v>558.79</v>
      </c>
    </row>
    <row r="7966" spans="2:6" x14ac:dyDescent="0.25">
      <c r="B7966" s="13" t="s">
        <v>14406</v>
      </c>
      <c r="C7966" s="17" t="s">
        <v>170</v>
      </c>
      <c r="D7966" s="13" t="s">
        <v>118</v>
      </c>
      <c r="E7966" s="13" t="s">
        <v>14407</v>
      </c>
      <c r="F7966" s="43">
        <v>558.79</v>
      </c>
    </row>
    <row r="7967" spans="2:6" x14ac:dyDescent="0.25">
      <c r="B7967" s="13" t="s">
        <v>14408</v>
      </c>
      <c r="C7967" s="17" t="s">
        <v>170</v>
      </c>
      <c r="D7967" s="13" t="s">
        <v>118</v>
      </c>
      <c r="E7967" s="13" t="s">
        <v>14409</v>
      </c>
      <c r="F7967" s="43">
        <v>558.79</v>
      </c>
    </row>
    <row r="7968" spans="2:6" x14ac:dyDescent="0.25">
      <c r="B7968" s="13" t="s">
        <v>14410</v>
      </c>
      <c r="C7968" s="17" t="s">
        <v>170</v>
      </c>
      <c r="D7968" s="13" t="s">
        <v>118</v>
      </c>
      <c r="E7968" s="13" t="s">
        <v>14411</v>
      </c>
      <c r="F7968" s="43">
        <v>558.79</v>
      </c>
    </row>
    <row r="7969" spans="2:6" x14ac:dyDescent="0.25">
      <c r="B7969" s="13" t="s">
        <v>14412</v>
      </c>
      <c r="C7969" s="17" t="s">
        <v>170</v>
      </c>
      <c r="D7969" s="13" t="s">
        <v>118</v>
      </c>
      <c r="E7969" s="13" t="s">
        <v>14413</v>
      </c>
      <c r="F7969" s="43">
        <v>484.14</v>
      </c>
    </row>
    <row r="7970" spans="2:6" x14ac:dyDescent="0.25">
      <c r="B7970" s="13" t="s">
        <v>14414</v>
      </c>
      <c r="C7970" s="17" t="s">
        <v>170</v>
      </c>
      <c r="D7970" s="13" t="s">
        <v>118</v>
      </c>
      <c r="E7970" s="13" t="s">
        <v>14415</v>
      </c>
      <c r="F7970" s="43">
        <v>484.14</v>
      </c>
    </row>
    <row r="7971" spans="2:6" x14ac:dyDescent="0.25">
      <c r="B7971" s="13" t="s">
        <v>14416</v>
      </c>
      <c r="C7971" s="17" t="s">
        <v>170</v>
      </c>
      <c r="D7971" s="13" t="s">
        <v>118</v>
      </c>
      <c r="E7971" s="13" t="s">
        <v>14417</v>
      </c>
      <c r="F7971" s="43">
        <v>484.14</v>
      </c>
    </row>
    <row r="7972" spans="2:6" x14ac:dyDescent="0.25">
      <c r="B7972" s="13" t="s">
        <v>14418</v>
      </c>
      <c r="C7972" s="17" t="s">
        <v>170</v>
      </c>
      <c r="D7972" s="13" t="s">
        <v>118</v>
      </c>
      <c r="E7972" s="13" t="s">
        <v>14419</v>
      </c>
      <c r="F7972" s="43">
        <v>484.14</v>
      </c>
    </row>
    <row r="7973" spans="2:6" x14ac:dyDescent="0.25">
      <c r="B7973" s="13" t="s">
        <v>14420</v>
      </c>
      <c r="C7973" s="17" t="s">
        <v>170</v>
      </c>
      <c r="D7973" s="13" t="s">
        <v>118</v>
      </c>
      <c r="E7973" s="13" t="s">
        <v>14421</v>
      </c>
      <c r="F7973" s="43">
        <v>484.14</v>
      </c>
    </row>
    <row r="7974" spans="2:6" x14ac:dyDescent="0.25">
      <c r="B7974" s="13" t="s">
        <v>14422</v>
      </c>
      <c r="C7974" s="17" t="s">
        <v>170</v>
      </c>
      <c r="D7974" s="13" t="s">
        <v>118</v>
      </c>
      <c r="E7974" s="13" t="s">
        <v>14423</v>
      </c>
      <c r="F7974" s="43">
        <v>484.14</v>
      </c>
    </row>
    <row r="7975" spans="2:6" x14ac:dyDescent="0.25">
      <c r="B7975" s="13" t="s">
        <v>14424</v>
      </c>
      <c r="C7975" s="17" t="s">
        <v>170</v>
      </c>
      <c r="D7975" s="13" t="s">
        <v>118</v>
      </c>
      <c r="E7975" s="13" t="s">
        <v>14425</v>
      </c>
      <c r="F7975" s="43">
        <v>484.14</v>
      </c>
    </row>
    <row r="7976" spans="2:6" x14ac:dyDescent="0.25">
      <c r="B7976" s="13" t="s">
        <v>14426</v>
      </c>
      <c r="C7976" s="17" t="s">
        <v>170</v>
      </c>
      <c r="D7976" s="13" t="s">
        <v>118</v>
      </c>
      <c r="E7976" s="13" t="s">
        <v>14427</v>
      </c>
      <c r="F7976" s="43">
        <v>484.14</v>
      </c>
    </row>
    <row r="7977" spans="2:6" x14ac:dyDescent="0.25">
      <c r="B7977" s="13" t="s">
        <v>14428</v>
      </c>
      <c r="C7977" s="17" t="s">
        <v>170</v>
      </c>
      <c r="D7977" s="13" t="s">
        <v>118</v>
      </c>
      <c r="E7977" s="13" t="s">
        <v>14429</v>
      </c>
      <c r="F7977" s="43">
        <v>484.14</v>
      </c>
    </row>
    <row r="7978" spans="2:6" x14ac:dyDescent="0.25">
      <c r="B7978" s="13" t="s">
        <v>14430</v>
      </c>
      <c r="C7978" s="17" t="s">
        <v>170</v>
      </c>
      <c r="D7978" s="13" t="s">
        <v>118</v>
      </c>
      <c r="E7978" s="13" t="s">
        <v>14431</v>
      </c>
      <c r="F7978" s="43">
        <v>484.14</v>
      </c>
    </row>
    <row r="7979" spans="2:6" x14ac:dyDescent="0.25">
      <c r="B7979" s="13" t="s">
        <v>14432</v>
      </c>
      <c r="C7979" s="17" t="s">
        <v>170</v>
      </c>
      <c r="D7979" s="13" t="s">
        <v>118</v>
      </c>
      <c r="E7979" s="13" t="s">
        <v>14433</v>
      </c>
      <c r="F7979" s="43">
        <v>484.14</v>
      </c>
    </row>
    <row r="7980" spans="2:6" x14ac:dyDescent="0.25">
      <c r="B7980" s="13" t="s">
        <v>14434</v>
      </c>
      <c r="C7980" s="17" t="s">
        <v>170</v>
      </c>
      <c r="D7980" s="13" t="s">
        <v>118</v>
      </c>
      <c r="E7980" s="13" t="s">
        <v>14435</v>
      </c>
      <c r="F7980" s="43">
        <v>484.14</v>
      </c>
    </row>
    <row r="7981" spans="2:6" x14ac:dyDescent="0.25">
      <c r="B7981" s="13" t="s">
        <v>14436</v>
      </c>
      <c r="C7981" s="17" t="s">
        <v>170</v>
      </c>
      <c r="D7981" s="13" t="s">
        <v>118</v>
      </c>
      <c r="E7981" s="13" t="s">
        <v>14437</v>
      </c>
      <c r="F7981" s="43">
        <v>484.14</v>
      </c>
    </row>
    <row r="7982" spans="2:6" x14ac:dyDescent="0.25">
      <c r="B7982" s="13" t="s">
        <v>14438</v>
      </c>
      <c r="C7982" s="17" t="s">
        <v>170</v>
      </c>
      <c r="D7982" s="13" t="s">
        <v>118</v>
      </c>
      <c r="E7982" s="13" t="s">
        <v>14439</v>
      </c>
      <c r="F7982" s="43">
        <v>484.14</v>
      </c>
    </row>
    <row r="7983" spans="2:6" x14ac:dyDescent="0.25">
      <c r="B7983" s="13" t="s">
        <v>14440</v>
      </c>
      <c r="C7983" s="17" t="s">
        <v>170</v>
      </c>
      <c r="D7983" s="13" t="s">
        <v>118</v>
      </c>
      <c r="E7983" s="13" t="s">
        <v>14441</v>
      </c>
      <c r="F7983" s="43">
        <v>484.14</v>
      </c>
    </row>
    <row r="7984" spans="2:6" x14ac:dyDescent="0.25">
      <c r="B7984" s="13" t="s">
        <v>14442</v>
      </c>
      <c r="C7984" s="17" t="s">
        <v>170</v>
      </c>
      <c r="D7984" s="13" t="s">
        <v>118</v>
      </c>
      <c r="E7984" s="13" t="s">
        <v>14443</v>
      </c>
      <c r="F7984" s="43">
        <v>251.88</v>
      </c>
    </row>
    <row r="7985" spans="2:6" x14ac:dyDescent="0.25">
      <c r="B7985" s="13" t="s">
        <v>14444</v>
      </c>
      <c r="C7985" s="17" t="s">
        <v>170</v>
      </c>
      <c r="D7985" s="13" t="s">
        <v>118</v>
      </c>
      <c r="E7985" s="13" t="s">
        <v>14445</v>
      </c>
      <c r="F7985" s="43">
        <v>251.88</v>
      </c>
    </row>
    <row r="7986" spans="2:6" x14ac:dyDescent="0.25">
      <c r="B7986" s="13" t="s">
        <v>14446</v>
      </c>
      <c r="C7986" s="17" t="s">
        <v>170</v>
      </c>
      <c r="D7986" s="13" t="s">
        <v>118</v>
      </c>
      <c r="E7986" s="13" t="s">
        <v>14447</v>
      </c>
      <c r="F7986" s="43">
        <v>251.88</v>
      </c>
    </row>
    <row r="7987" spans="2:6" x14ac:dyDescent="0.25">
      <c r="B7987" s="13" t="s">
        <v>14448</v>
      </c>
      <c r="C7987" s="17" t="s">
        <v>170</v>
      </c>
      <c r="D7987" s="13" t="s">
        <v>118</v>
      </c>
      <c r="E7987" s="13" t="s">
        <v>14449</v>
      </c>
      <c r="F7987" s="43">
        <v>251.88</v>
      </c>
    </row>
    <row r="7988" spans="2:6" x14ac:dyDescent="0.25">
      <c r="B7988" s="13" t="s">
        <v>14450</v>
      </c>
      <c r="C7988" s="17" t="s">
        <v>170</v>
      </c>
      <c r="D7988" s="13" t="s">
        <v>118</v>
      </c>
      <c r="E7988" s="13" t="s">
        <v>14451</v>
      </c>
      <c r="F7988" s="43">
        <v>251.88</v>
      </c>
    </row>
    <row r="7989" spans="2:6" x14ac:dyDescent="0.25">
      <c r="B7989" s="13" t="s">
        <v>14452</v>
      </c>
      <c r="C7989" s="17" t="s">
        <v>170</v>
      </c>
      <c r="D7989" s="13" t="s">
        <v>118</v>
      </c>
      <c r="E7989" s="13" t="s">
        <v>14453</v>
      </c>
      <c r="F7989" s="43">
        <v>251.88</v>
      </c>
    </row>
    <row r="7990" spans="2:6" x14ac:dyDescent="0.25">
      <c r="B7990" s="13" t="s">
        <v>14454</v>
      </c>
      <c r="C7990" s="17" t="s">
        <v>170</v>
      </c>
      <c r="D7990" s="13" t="s">
        <v>118</v>
      </c>
      <c r="E7990" s="13" t="s">
        <v>14455</v>
      </c>
      <c r="F7990" s="43">
        <v>251.88</v>
      </c>
    </row>
    <row r="7991" spans="2:6" x14ac:dyDescent="0.25">
      <c r="B7991" s="13" t="s">
        <v>14456</v>
      </c>
      <c r="C7991" s="17" t="s">
        <v>170</v>
      </c>
      <c r="D7991" s="13" t="s">
        <v>118</v>
      </c>
      <c r="E7991" s="13" t="s">
        <v>14457</v>
      </c>
      <c r="F7991" s="43">
        <v>251.88</v>
      </c>
    </row>
    <row r="7992" spans="2:6" x14ac:dyDescent="0.25">
      <c r="B7992" s="13" t="s">
        <v>14458</v>
      </c>
      <c r="C7992" s="17" t="s">
        <v>170</v>
      </c>
      <c r="D7992" s="13" t="s">
        <v>118</v>
      </c>
      <c r="E7992" s="13" t="s">
        <v>14459</v>
      </c>
      <c r="F7992" s="43">
        <v>251.88</v>
      </c>
    </row>
    <row r="7993" spans="2:6" x14ac:dyDescent="0.25">
      <c r="B7993" s="13" t="s">
        <v>14460</v>
      </c>
      <c r="C7993" s="17" t="s">
        <v>170</v>
      </c>
      <c r="D7993" s="13" t="s">
        <v>118</v>
      </c>
      <c r="E7993" s="13" t="s">
        <v>14461</v>
      </c>
      <c r="F7993" s="43">
        <v>251.88</v>
      </c>
    </row>
    <row r="7994" spans="2:6" x14ac:dyDescent="0.25">
      <c r="B7994" s="13" t="s">
        <v>14462</v>
      </c>
      <c r="C7994" s="17" t="s">
        <v>170</v>
      </c>
      <c r="D7994" s="13" t="s">
        <v>118</v>
      </c>
      <c r="E7994" s="13" t="s">
        <v>14463</v>
      </c>
      <c r="F7994" s="43">
        <v>251.88</v>
      </c>
    </row>
    <row r="7995" spans="2:6" x14ac:dyDescent="0.25">
      <c r="B7995" s="13" t="s">
        <v>14464</v>
      </c>
      <c r="C7995" s="17" t="s">
        <v>170</v>
      </c>
      <c r="D7995" s="13" t="s">
        <v>118</v>
      </c>
      <c r="E7995" s="13" t="s">
        <v>14465</v>
      </c>
      <c r="F7995" s="43">
        <v>251.88</v>
      </c>
    </row>
    <row r="7996" spans="2:6" x14ac:dyDescent="0.25">
      <c r="B7996" s="13" t="s">
        <v>14466</v>
      </c>
      <c r="C7996" s="17" t="s">
        <v>170</v>
      </c>
      <c r="D7996" s="13" t="s">
        <v>118</v>
      </c>
      <c r="E7996" s="13" t="s">
        <v>14467</v>
      </c>
      <c r="F7996" s="43">
        <v>251.88</v>
      </c>
    </row>
    <row r="7997" spans="2:6" x14ac:dyDescent="0.25">
      <c r="B7997" s="13" t="s">
        <v>14468</v>
      </c>
      <c r="C7997" s="17" t="s">
        <v>170</v>
      </c>
      <c r="D7997" s="13" t="s">
        <v>118</v>
      </c>
      <c r="E7997" s="13" t="s">
        <v>14469</v>
      </c>
      <c r="F7997" s="43">
        <v>251.88</v>
      </c>
    </row>
    <row r="7998" spans="2:6" x14ac:dyDescent="0.25">
      <c r="B7998" s="13" t="s">
        <v>14470</v>
      </c>
      <c r="C7998" s="17" t="s">
        <v>170</v>
      </c>
      <c r="D7998" s="13" t="s">
        <v>118</v>
      </c>
      <c r="E7998" s="13" t="s">
        <v>14471</v>
      </c>
      <c r="F7998" s="43">
        <v>251.88</v>
      </c>
    </row>
    <row r="7999" spans="2:6" x14ac:dyDescent="0.25">
      <c r="B7999" s="13" t="s">
        <v>14472</v>
      </c>
      <c r="C7999" s="17" t="s">
        <v>170</v>
      </c>
      <c r="D7999" s="13" t="s">
        <v>118</v>
      </c>
      <c r="E7999" s="13" t="s">
        <v>14473</v>
      </c>
      <c r="F7999" s="43">
        <v>251.88</v>
      </c>
    </row>
    <row r="8000" spans="2:6" x14ac:dyDescent="0.25">
      <c r="B8000" s="13" t="s">
        <v>14474</v>
      </c>
      <c r="C8000" s="17" t="s">
        <v>170</v>
      </c>
      <c r="D8000" s="13" t="s">
        <v>118</v>
      </c>
      <c r="E8000" s="13" t="s">
        <v>14475</v>
      </c>
      <c r="F8000" s="43">
        <v>251.88</v>
      </c>
    </row>
    <row r="8001" spans="2:6" x14ac:dyDescent="0.25">
      <c r="B8001" s="13" t="s">
        <v>14476</v>
      </c>
      <c r="C8001" s="17" t="s">
        <v>170</v>
      </c>
      <c r="D8001" s="13" t="s">
        <v>118</v>
      </c>
      <c r="E8001" s="13" t="s">
        <v>14477</v>
      </c>
      <c r="F8001" s="43">
        <v>251.88</v>
      </c>
    </row>
    <row r="8002" spans="2:6" x14ac:dyDescent="0.25">
      <c r="B8002" s="13" t="s">
        <v>14478</v>
      </c>
      <c r="C8002" s="17" t="s">
        <v>170</v>
      </c>
      <c r="D8002" s="13" t="s">
        <v>118</v>
      </c>
      <c r="E8002" s="13" t="s">
        <v>14479</v>
      </c>
      <c r="F8002" s="43">
        <v>251.88</v>
      </c>
    </row>
    <row r="8003" spans="2:6" x14ac:dyDescent="0.25">
      <c r="B8003" s="13" t="s">
        <v>14480</v>
      </c>
      <c r="C8003" s="17" t="s">
        <v>170</v>
      </c>
      <c r="D8003" s="13" t="s">
        <v>118</v>
      </c>
      <c r="E8003" s="13" t="s">
        <v>14481</v>
      </c>
      <c r="F8003" s="43">
        <v>251.88</v>
      </c>
    </row>
    <row r="8004" spans="2:6" x14ac:dyDescent="0.25">
      <c r="B8004" s="13" t="s">
        <v>14482</v>
      </c>
      <c r="C8004" s="17" t="s">
        <v>170</v>
      </c>
      <c r="D8004" s="13" t="s">
        <v>118</v>
      </c>
      <c r="E8004" s="13" t="s">
        <v>14483</v>
      </c>
      <c r="F8004" s="43">
        <v>251.88</v>
      </c>
    </row>
    <row r="8005" spans="2:6" x14ac:dyDescent="0.25">
      <c r="B8005" s="13" t="s">
        <v>14484</v>
      </c>
      <c r="C8005" s="17" t="s">
        <v>170</v>
      </c>
      <c r="D8005" s="13" t="s">
        <v>118</v>
      </c>
      <c r="E8005" s="13" t="s">
        <v>14485</v>
      </c>
      <c r="F8005" s="43">
        <v>251.88</v>
      </c>
    </row>
    <row r="8006" spans="2:6" x14ac:dyDescent="0.25">
      <c r="B8006" s="13" t="s">
        <v>14486</v>
      </c>
      <c r="C8006" s="17" t="s">
        <v>170</v>
      </c>
      <c r="D8006" s="13" t="s">
        <v>118</v>
      </c>
      <c r="E8006" s="13" t="s">
        <v>14487</v>
      </c>
      <c r="F8006" s="43">
        <v>251.88</v>
      </c>
    </row>
    <row r="8007" spans="2:6" x14ac:dyDescent="0.25">
      <c r="B8007" s="13" t="s">
        <v>14488</v>
      </c>
      <c r="C8007" s="17" t="s">
        <v>170</v>
      </c>
      <c r="D8007" s="13" t="s">
        <v>118</v>
      </c>
      <c r="E8007" s="13" t="s">
        <v>14489</v>
      </c>
      <c r="F8007" s="43">
        <v>251.88</v>
      </c>
    </row>
    <row r="8008" spans="2:6" x14ac:dyDescent="0.25">
      <c r="B8008" s="13" t="s">
        <v>14490</v>
      </c>
      <c r="C8008" s="17" t="s">
        <v>170</v>
      </c>
      <c r="D8008" s="13" t="s">
        <v>118</v>
      </c>
      <c r="E8008" s="13" t="s">
        <v>14491</v>
      </c>
      <c r="F8008" s="43">
        <v>251.88</v>
      </c>
    </row>
    <row r="8009" spans="2:6" x14ac:dyDescent="0.25">
      <c r="B8009" s="13" t="s">
        <v>14492</v>
      </c>
      <c r="C8009" s="17" t="s">
        <v>170</v>
      </c>
      <c r="D8009" s="13" t="s">
        <v>118</v>
      </c>
      <c r="E8009" s="13" t="s">
        <v>14493</v>
      </c>
      <c r="F8009" s="43">
        <v>251.88</v>
      </c>
    </row>
    <row r="8010" spans="2:6" x14ac:dyDescent="0.25">
      <c r="B8010" s="13" t="s">
        <v>14494</v>
      </c>
      <c r="C8010" s="17" t="s">
        <v>170</v>
      </c>
      <c r="D8010" s="13" t="s">
        <v>118</v>
      </c>
      <c r="E8010" s="13" t="s">
        <v>14495</v>
      </c>
      <c r="F8010" s="43">
        <v>251.88</v>
      </c>
    </row>
    <row r="8011" spans="2:6" x14ac:dyDescent="0.25">
      <c r="B8011" s="13" t="s">
        <v>14496</v>
      </c>
      <c r="C8011" s="17" t="s">
        <v>170</v>
      </c>
      <c r="D8011" s="13" t="s">
        <v>118</v>
      </c>
      <c r="E8011" s="13" t="s">
        <v>14497</v>
      </c>
      <c r="F8011" s="43">
        <v>251.88</v>
      </c>
    </row>
    <row r="8012" spans="2:6" x14ac:dyDescent="0.25">
      <c r="B8012" s="13" t="s">
        <v>14498</v>
      </c>
      <c r="C8012" s="17" t="s">
        <v>170</v>
      </c>
      <c r="D8012" s="13" t="s">
        <v>118</v>
      </c>
      <c r="E8012" s="13" t="s">
        <v>14499</v>
      </c>
      <c r="F8012" s="43">
        <v>251.88</v>
      </c>
    </row>
    <row r="8013" spans="2:6" x14ac:dyDescent="0.25">
      <c r="B8013" s="13" t="s">
        <v>14500</v>
      </c>
      <c r="C8013" s="17" t="s">
        <v>170</v>
      </c>
      <c r="D8013" s="13" t="s">
        <v>118</v>
      </c>
      <c r="E8013" s="13" t="s">
        <v>14501</v>
      </c>
      <c r="F8013" s="43">
        <v>251.88</v>
      </c>
    </row>
    <row r="8014" spans="2:6" x14ac:dyDescent="0.25">
      <c r="B8014" s="13" t="s">
        <v>14502</v>
      </c>
      <c r="C8014" s="17" t="s">
        <v>170</v>
      </c>
      <c r="D8014" s="13" t="s">
        <v>118</v>
      </c>
      <c r="E8014" s="13" t="s">
        <v>14503</v>
      </c>
      <c r="F8014" s="43">
        <v>289.63</v>
      </c>
    </row>
    <row r="8015" spans="2:6" x14ac:dyDescent="0.25">
      <c r="B8015" s="13" t="s">
        <v>14504</v>
      </c>
      <c r="C8015" s="17" t="s">
        <v>170</v>
      </c>
      <c r="D8015" s="13" t="s">
        <v>118</v>
      </c>
      <c r="E8015" s="13" t="s">
        <v>14505</v>
      </c>
      <c r="F8015" s="43">
        <v>289.63</v>
      </c>
    </row>
    <row r="8016" spans="2:6" x14ac:dyDescent="0.25">
      <c r="B8016" s="13" t="s">
        <v>14506</v>
      </c>
      <c r="C8016" s="17" t="s">
        <v>170</v>
      </c>
      <c r="D8016" s="13" t="s">
        <v>118</v>
      </c>
      <c r="E8016" s="13" t="s">
        <v>14507</v>
      </c>
      <c r="F8016" s="43">
        <v>289.63</v>
      </c>
    </row>
    <row r="8017" spans="2:6" x14ac:dyDescent="0.25">
      <c r="B8017" s="13" t="s">
        <v>14508</v>
      </c>
      <c r="C8017" s="17" t="s">
        <v>170</v>
      </c>
      <c r="D8017" s="13" t="s">
        <v>118</v>
      </c>
      <c r="E8017" s="13" t="s">
        <v>14509</v>
      </c>
      <c r="F8017" s="43">
        <v>289.63</v>
      </c>
    </row>
    <row r="8018" spans="2:6" x14ac:dyDescent="0.25">
      <c r="B8018" s="13" t="s">
        <v>14510</v>
      </c>
      <c r="C8018" s="17" t="s">
        <v>170</v>
      </c>
      <c r="D8018" s="13" t="s">
        <v>118</v>
      </c>
      <c r="E8018" s="13" t="s">
        <v>14511</v>
      </c>
      <c r="F8018" s="43">
        <v>289.63</v>
      </c>
    </row>
    <row r="8019" spans="2:6" x14ac:dyDescent="0.25">
      <c r="B8019" s="13" t="s">
        <v>14512</v>
      </c>
      <c r="C8019" s="17" t="s">
        <v>170</v>
      </c>
      <c r="D8019" s="13" t="s">
        <v>118</v>
      </c>
      <c r="E8019" s="13" t="s">
        <v>14513</v>
      </c>
      <c r="F8019" s="43">
        <v>289.63</v>
      </c>
    </row>
    <row r="8020" spans="2:6" x14ac:dyDescent="0.25">
      <c r="B8020" s="13" t="s">
        <v>14514</v>
      </c>
      <c r="C8020" s="17" t="s">
        <v>170</v>
      </c>
      <c r="D8020" s="13" t="s">
        <v>118</v>
      </c>
      <c r="E8020" s="13" t="s">
        <v>14515</v>
      </c>
      <c r="F8020" s="43">
        <v>289.63</v>
      </c>
    </row>
    <row r="8021" spans="2:6" x14ac:dyDescent="0.25">
      <c r="B8021" s="13" t="s">
        <v>14516</v>
      </c>
      <c r="C8021" s="17" t="s">
        <v>170</v>
      </c>
      <c r="D8021" s="13" t="s">
        <v>118</v>
      </c>
      <c r="E8021" s="13" t="s">
        <v>14517</v>
      </c>
      <c r="F8021" s="43">
        <v>289.63</v>
      </c>
    </row>
    <row r="8022" spans="2:6" x14ac:dyDescent="0.25">
      <c r="B8022" s="13" t="s">
        <v>14518</v>
      </c>
      <c r="C8022" s="17" t="s">
        <v>170</v>
      </c>
      <c r="D8022" s="13" t="s">
        <v>118</v>
      </c>
      <c r="E8022" s="13" t="s">
        <v>14519</v>
      </c>
      <c r="F8022" s="43">
        <v>289.63</v>
      </c>
    </row>
    <row r="8023" spans="2:6" x14ac:dyDescent="0.25">
      <c r="B8023" s="13" t="s">
        <v>14520</v>
      </c>
      <c r="C8023" s="17" t="s">
        <v>170</v>
      </c>
      <c r="D8023" s="13" t="s">
        <v>118</v>
      </c>
      <c r="E8023" s="13" t="s">
        <v>14521</v>
      </c>
      <c r="F8023" s="43">
        <v>289.63</v>
      </c>
    </row>
    <row r="8024" spans="2:6" x14ac:dyDescent="0.25">
      <c r="B8024" s="13" t="s">
        <v>14522</v>
      </c>
      <c r="C8024" s="17" t="s">
        <v>170</v>
      </c>
      <c r="D8024" s="13" t="s">
        <v>118</v>
      </c>
      <c r="E8024" s="13" t="s">
        <v>14523</v>
      </c>
      <c r="F8024" s="43">
        <v>289.63</v>
      </c>
    </row>
    <row r="8025" spans="2:6" x14ac:dyDescent="0.25">
      <c r="B8025" s="13" t="s">
        <v>14524</v>
      </c>
      <c r="C8025" s="17" t="s">
        <v>170</v>
      </c>
      <c r="D8025" s="13" t="s">
        <v>118</v>
      </c>
      <c r="E8025" s="13" t="s">
        <v>14525</v>
      </c>
      <c r="F8025" s="43">
        <v>289.63</v>
      </c>
    </row>
    <row r="8026" spans="2:6" x14ac:dyDescent="0.25">
      <c r="B8026" s="13" t="s">
        <v>14526</v>
      </c>
      <c r="C8026" s="17" t="s">
        <v>170</v>
      </c>
      <c r="D8026" s="13" t="s">
        <v>118</v>
      </c>
      <c r="E8026" s="13" t="s">
        <v>14527</v>
      </c>
      <c r="F8026" s="43">
        <v>289.63</v>
      </c>
    </row>
    <row r="8027" spans="2:6" x14ac:dyDescent="0.25">
      <c r="B8027" s="13" t="s">
        <v>14528</v>
      </c>
      <c r="C8027" s="17" t="s">
        <v>170</v>
      </c>
      <c r="D8027" s="13" t="s">
        <v>118</v>
      </c>
      <c r="E8027" s="13" t="s">
        <v>14529</v>
      </c>
      <c r="F8027" s="43">
        <v>289.63</v>
      </c>
    </row>
    <row r="8028" spans="2:6" x14ac:dyDescent="0.25">
      <c r="B8028" s="13" t="s">
        <v>14530</v>
      </c>
      <c r="C8028" s="17" t="s">
        <v>170</v>
      </c>
      <c r="D8028" s="13" t="s">
        <v>118</v>
      </c>
      <c r="E8028" s="13" t="s">
        <v>14531</v>
      </c>
      <c r="F8028" s="43">
        <v>289.63</v>
      </c>
    </row>
    <row r="8029" spans="2:6" x14ac:dyDescent="0.25">
      <c r="B8029" s="13" t="s">
        <v>14532</v>
      </c>
      <c r="C8029" s="17" t="s">
        <v>170</v>
      </c>
      <c r="D8029" s="13" t="s">
        <v>118</v>
      </c>
      <c r="E8029" s="13" t="s">
        <v>14533</v>
      </c>
      <c r="F8029" s="43">
        <v>289.63</v>
      </c>
    </row>
    <row r="8030" spans="2:6" x14ac:dyDescent="0.25">
      <c r="B8030" s="13" t="s">
        <v>14534</v>
      </c>
      <c r="C8030" s="17" t="s">
        <v>170</v>
      </c>
      <c r="D8030" s="13" t="s">
        <v>118</v>
      </c>
      <c r="E8030" s="13" t="s">
        <v>14535</v>
      </c>
      <c r="F8030" s="43">
        <v>289.63</v>
      </c>
    </row>
    <row r="8031" spans="2:6" x14ac:dyDescent="0.25">
      <c r="B8031" s="13" t="s">
        <v>14536</v>
      </c>
      <c r="C8031" s="17" t="s">
        <v>170</v>
      </c>
      <c r="D8031" s="13" t="s">
        <v>118</v>
      </c>
      <c r="E8031" s="13" t="s">
        <v>14537</v>
      </c>
      <c r="F8031" s="43">
        <v>289.63</v>
      </c>
    </row>
    <row r="8032" spans="2:6" x14ac:dyDescent="0.25">
      <c r="B8032" s="13" t="s">
        <v>14538</v>
      </c>
      <c r="C8032" s="17" t="s">
        <v>170</v>
      </c>
      <c r="D8032" s="13" t="s">
        <v>118</v>
      </c>
      <c r="E8032" s="13" t="s">
        <v>14539</v>
      </c>
      <c r="F8032" s="43">
        <v>289.63</v>
      </c>
    </row>
    <row r="8033" spans="2:6" x14ac:dyDescent="0.25">
      <c r="B8033" s="13" t="s">
        <v>14540</v>
      </c>
      <c r="C8033" s="17" t="s">
        <v>170</v>
      </c>
      <c r="D8033" s="13" t="s">
        <v>118</v>
      </c>
      <c r="E8033" s="13" t="s">
        <v>14541</v>
      </c>
      <c r="F8033" s="43">
        <v>289.63</v>
      </c>
    </row>
    <row r="8034" spans="2:6" x14ac:dyDescent="0.25">
      <c r="B8034" s="13" t="s">
        <v>14542</v>
      </c>
      <c r="C8034" s="17" t="s">
        <v>170</v>
      </c>
      <c r="D8034" s="13" t="s">
        <v>118</v>
      </c>
      <c r="E8034" s="13" t="s">
        <v>14543</v>
      </c>
      <c r="F8034" s="43">
        <v>289.63</v>
      </c>
    </row>
    <row r="8035" spans="2:6" x14ac:dyDescent="0.25">
      <c r="B8035" s="13" t="s">
        <v>14544</v>
      </c>
      <c r="C8035" s="17" t="s">
        <v>170</v>
      </c>
      <c r="D8035" s="13" t="s">
        <v>118</v>
      </c>
      <c r="E8035" s="13" t="s">
        <v>14545</v>
      </c>
      <c r="F8035" s="43">
        <v>289.63</v>
      </c>
    </row>
    <row r="8036" spans="2:6" x14ac:dyDescent="0.25">
      <c r="B8036" s="13" t="s">
        <v>14546</v>
      </c>
      <c r="C8036" s="17" t="s">
        <v>170</v>
      </c>
      <c r="D8036" s="13" t="s">
        <v>118</v>
      </c>
      <c r="E8036" s="13" t="s">
        <v>14547</v>
      </c>
      <c r="F8036" s="43">
        <v>289.63</v>
      </c>
    </row>
    <row r="8037" spans="2:6" x14ac:dyDescent="0.25">
      <c r="B8037" s="13" t="s">
        <v>14548</v>
      </c>
      <c r="C8037" s="17" t="s">
        <v>170</v>
      </c>
      <c r="D8037" s="13" t="s">
        <v>118</v>
      </c>
      <c r="E8037" s="13" t="s">
        <v>14549</v>
      </c>
      <c r="F8037" s="43">
        <v>289.63</v>
      </c>
    </row>
    <row r="8038" spans="2:6" x14ac:dyDescent="0.25">
      <c r="B8038" s="13" t="s">
        <v>14550</v>
      </c>
      <c r="C8038" s="17" t="s">
        <v>170</v>
      </c>
      <c r="D8038" s="13" t="s">
        <v>118</v>
      </c>
      <c r="E8038" s="13" t="s">
        <v>14551</v>
      </c>
      <c r="F8038" s="43">
        <v>289.63</v>
      </c>
    </row>
    <row r="8039" spans="2:6" x14ac:dyDescent="0.25">
      <c r="B8039" s="13" t="s">
        <v>14552</v>
      </c>
      <c r="C8039" s="17" t="s">
        <v>170</v>
      </c>
      <c r="D8039" s="13" t="s">
        <v>118</v>
      </c>
      <c r="E8039" s="13" t="s">
        <v>14553</v>
      </c>
      <c r="F8039" s="43">
        <v>289.63</v>
      </c>
    </row>
    <row r="8040" spans="2:6" x14ac:dyDescent="0.25">
      <c r="B8040" s="13" t="s">
        <v>14554</v>
      </c>
      <c r="C8040" s="17" t="s">
        <v>170</v>
      </c>
      <c r="D8040" s="13" t="s">
        <v>118</v>
      </c>
      <c r="E8040" s="13" t="s">
        <v>14555</v>
      </c>
      <c r="F8040" s="43">
        <v>289.63</v>
      </c>
    </row>
    <row r="8041" spans="2:6" x14ac:dyDescent="0.25">
      <c r="B8041" s="13" t="s">
        <v>14556</v>
      </c>
      <c r="C8041" s="17" t="s">
        <v>170</v>
      </c>
      <c r="D8041" s="13" t="s">
        <v>118</v>
      </c>
      <c r="E8041" s="13" t="s">
        <v>14557</v>
      </c>
      <c r="F8041" s="43">
        <v>289.63</v>
      </c>
    </row>
    <row r="8042" spans="2:6" x14ac:dyDescent="0.25">
      <c r="B8042" s="13" t="s">
        <v>14558</v>
      </c>
      <c r="C8042" s="17" t="s">
        <v>170</v>
      </c>
      <c r="D8042" s="13" t="s">
        <v>118</v>
      </c>
      <c r="E8042" s="13" t="s">
        <v>14559</v>
      </c>
      <c r="F8042" s="43">
        <v>289.63</v>
      </c>
    </row>
    <row r="8043" spans="2:6" x14ac:dyDescent="0.25">
      <c r="B8043" s="13" t="s">
        <v>14560</v>
      </c>
      <c r="C8043" s="17" t="s">
        <v>170</v>
      </c>
      <c r="D8043" s="13" t="s">
        <v>118</v>
      </c>
      <c r="E8043" s="13" t="s">
        <v>14561</v>
      </c>
      <c r="F8043" s="43">
        <v>289.63</v>
      </c>
    </row>
    <row r="8044" spans="2:6" x14ac:dyDescent="0.25">
      <c r="B8044" s="13" t="s">
        <v>14562</v>
      </c>
      <c r="C8044" s="17" t="s">
        <v>170</v>
      </c>
      <c r="D8044" s="13" t="s">
        <v>118</v>
      </c>
      <c r="E8044" s="13" t="s">
        <v>14563</v>
      </c>
      <c r="F8044" s="43">
        <v>337.71</v>
      </c>
    </row>
    <row r="8045" spans="2:6" x14ac:dyDescent="0.25">
      <c r="B8045" s="13" t="s">
        <v>14564</v>
      </c>
      <c r="C8045" s="17" t="s">
        <v>170</v>
      </c>
      <c r="D8045" s="13" t="s">
        <v>118</v>
      </c>
      <c r="E8045" s="13" t="s">
        <v>14565</v>
      </c>
      <c r="F8045" s="43">
        <v>337.71</v>
      </c>
    </row>
    <row r="8046" spans="2:6" x14ac:dyDescent="0.25">
      <c r="B8046" s="13" t="s">
        <v>14566</v>
      </c>
      <c r="C8046" s="17" t="s">
        <v>170</v>
      </c>
      <c r="D8046" s="13" t="s">
        <v>118</v>
      </c>
      <c r="E8046" s="13" t="s">
        <v>14567</v>
      </c>
      <c r="F8046" s="43">
        <v>337.71</v>
      </c>
    </row>
    <row r="8047" spans="2:6" x14ac:dyDescent="0.25">
      <c r="B8047" s="13" t="s">
        <v>14568</v>
      </c>
      <c r="C8047" s="17" t="s">
        <v>170</v>
      </c>
      <c r="D8047" s="13" t="s">
        <v>118</v>
      </c>
      <c r="E8047" s="13" t="s">
        <v>14569</v>
      </c>
      <c r="F8047" s="43">
        <v>337.71</v>
      </c>
    </row>
    <row r="8048" spans="2:6" x14ac:dyDescent="0.25">
      <c r="B8048" s="13" t="s">
        <v>14570</v>
      </c>
      <c r="C8048" s="17" t="s">
        <v>170</v>
      </c>
      <c r="D8048" s="13" t="s">
        <v>118</v>
      </c>
      <c r="E8048" s="13" t="s">
        <v>14571</v>
      </c>
      <c r="F8048" s="43">
        <v>337.71</v>
      </c>
    </row>
    <row r="8049" spans="2:6" x14ac:dyDescent="0.25">
      <c r="B8049" s="13" t="s">
        <v>14572</v>
      </c>
      <c r="C8049" s="17" t="s">
        <v>170</v>
      </c>
      <c r="D8049" s="13" t="s">
        <v>118</v>
      </c>
      <c r="E8049" s="13" t="s">
        <v>14573</v>
      </c>
      <c r="F8049" s="43">
        <v>337.71</v>
      </c>
    </row>
    <row r="8050" spans="2:6" x14ac:dyDescent="0.25">
      <c r="B8050" s="13" t="s">
        <v>14574</v>
      </c>
      <c r="C8050" s="17" t="s">
        <v>170</v>
      </c>
      <c r="D8050" s="13" t="s">
        <v>118</v>
      </c>
      <c r="E8050" s="13" t="s">
        <v>14575</v>
      </c>
      <c r="F8050" s="43">
        <v>337.71</v>
      </c>
    </row>
    <row r="8051" spans="2:6" x14ac:dyDescent="0.25">
      <c r="B8051" s="13" t="s">
        <v>14576</v>
      </c>
      <c r="C8051" s="17" t="s">
        <v>170</v>
      </c>
      <c r="D8051" s="13" t="s">
        <v>118</v>
      </c>
      <c r="E8051" s="13" t="s">
        <v>14577</v>
      </c>
      <c r="F8051" s="43">
        <v>337.71</v>
      </c>
    </row>
    <row r="8052" spans="2:6" x14ac:dyDescent="0.25">
      <c r="B8052" s="13" t="s">
        <v>14578</v>
      </c>
      <c r="C8052" s="17" t="s">
        <v>170</v>
      </c>
      <c r="D8052" s="13" t="s">
        <v>118</v>
      </c>
      <c r="E8052" s="13" t="s">
        <v>14579</v>
      </c>
      <c r="F8052" s="43">
        <v>337.71</v>
      </c>
    </row>
    <row r="8053" spans="2:6" x14ac:dyDescent="0.25">
      <c r="B8053" s="13" t="s">
        <v>14580</v>
      </c>
      <c r="C8053" s="17" t="s">
        <v>170</v>
      </c>
      <c r="D8053" s="13" t="s">
        <v>118</v>
      </c>
      <c r="E8053" s="13" t="s">
        <v>14581</v>
      </c>
      <c r="F8053" s="43">
        <v>337.71</v>
      </c>
    </row>
    <row r="8054" spans="2:6" x14ac:dyDescent="0.25">
      <c r="B8054" s="13" t="s">
        <v>14582</v>
      </c>
      <c r="C8054" s="17" t="s">
        <v>170</v>
      </c>
      <c r="D8054" s="13" t="s">
        <v>118</v>
      </c>
      <c r="E8054" s="13" t="s">
        <v>14583</v>
      </c>
      <c r="F8054" s="43">
        <v>337.71</v>
      </c>
    </row>
    <row r="8055" spans="2:6" x14ac:dyDescent="0.25">
      <c r="B8055" s="13" t="s">
        <v>14584</v>
      </c>
      <c r="C8055" s="17" t="s">
        <v>170</v>
      </c>
      <c r="D8055" s="13" t="s">
        <v>118</v>
      </c>
      <c r="E8055" s="13" t="s">
        <v>14585</v>
      </c>
      <c r="F8055" s="43">
        <v>337.71</v>
      </c>
    </row>
    <row r="8056" spans="2:6" x14ac:dyDescent="0.25">
      <c r="B8056" s="13" t="s">
        <v>14586</v>
      </c>
      <c r="C8056" s="17" t="s">
        <v>170</v>
      </c>
      <c r="D8056" s="13" t="s">
        <v>118</v>
      </c>
      <c r="E8056" s="13" t="s">
        <v>14587</v>
      </c>
      <c r="F8056" s="43">
        <v>337.71</v>
      </c>
    </row>
    <row r="8057" spans="2:6" x14ac:dyDescent="0.25">
      <c r="B8057" s="13" t="s">
        <v>14588</v>
      </c>
      <c r="C8057" s="17" t="s">
        <v>170</v>
      </c>
      <c r="D8057" s="13" t="s">
        <v>118</v>
      </c>
      <c r="E8057" s="13" t="s">
        <v>14589</v>
      </c>
      <c r="F8057" s="43">
        <v>337.71</v>
      </c>
    </row>
    <row r="8058" spans="2:6" x14ac:dyDescent="0.25">
      <c r="B8058" s="13" t="s">
        <v>14590</v>
      </c>
      <c r="C8058" s="17" t="s">
        <v>170</v>
      </c>
      <c r="D8058" s="13" t="s">
        <v>118</v>
      </c>
      <c r="E8058" s="13" t="s">
        <v>14591</v>
      </c>
      <c r="F8058" s="43">
        <v>337.71</v>
      </c>
    </row>
    <row r="8059" spans="2:6" x14ac:dyDescent="0.25">
      <c r="B8059" s="13" t="s">
        <v>14592</v>
      </c>
      <c r="C8059" s="17" t="s">
        <v>170</v>
      </c>
      <c r="D8059" s="13" t="s">
        <v>118</v>
      </c>
      <c r="E8059" s="13" t="s">
        <v>14593</v>
      </c>
      <c r="F8059" s="43">
        <v>337.71</v>
      </c>
    </row>
    <row r="8060" spans="2:6" x14ac:dyDescent="0.25">
      <c r="B8060" s="13" t="s">
        <v>14594</v>
      </c>
      <c r="C8060" s="17" t="s">
        <v>170</v>
      </c>
      <c r="D8060" s="13" t="s">
        <v>118</v>
      </c>
      <c r="E8060" s="13" t="s">
        <v>14595</v>
      </c>
      <c r="F8060" s="43">
        <v>337.71</v>
      </c>
    </row>
    <row r="8061" spans="2:6" x14ac:dyDescent="0.25">
      <c r="B8061" s="13" t="s">
        <v>14596</v>
      </c>
      <c r="C8061" s="17" t="s">
        <v>170</v>
      </c>
      <c r="D8061" s="13" t="s">
        <v>118</v>
      </c>
      <c r="E8061" s="13" t="s">
        <v>14597</v>
      </c>
      <c r="F8061" s="43">
        <v>337.71</v>
      </c>
    </row>
    <row r="8062" spans="2:6" x14ac:dyDescent="0.25">
      <c r="B8062" s="13" t="s">
        <v>14598</v>
      </c>
      <c r="C8062" s="17" t="s">
        <v>170</v>
      </c>
      <c r="D8062" s="13" t="s">
        <v>118</v>
      </c>
      <c r="E8062" s="13" t="s">
        <v>14599</v>
      </c>
      <c r="F8062" s="43">
        <v>337.71</v>
      </c>
    </row>
    <row r="8063" spans="2:6" x14ac:dyDescent="0.25">
      <c r="B8063" s="13" t="s">
        <v>14600</v>
      </c>
      <c r="C8063" s="17" t="s">
        <v>170</v>
      </c>
      <c r="D8063" s="13" t="s">
        <v>118</v>
      </c>
      <c r="E8063" s="13" t="s">
        <v>14601</v>
      </c>
      <c r="F8063" s="43">
        <v>337.71</v>
      </c>
    </row>
    <row r="8064" spans="2:6" x14ac:dyDescent="0.25">
      <c r="B8064" s="13" t="s">
        <v>14602</v>
      </c>
      <c r="C8064" s="17" t="s">
        <v>170</v>
      </c>
      <c r="D8064" s="13" t="s">
        <v>118</v>
      </c>
      <c r="E8064" s="13" t="s">
        <v>14603</v>
      </c>
      <c r="F8064" s="43">
        <v>337.71</v>
      </c>
    </row>
    <row r="8065" spans="2:6" x14ac:dyDescent="0.25">
      <c r="B8065" s="13" t="s">
        <v>14604</v>
      </c>
      <c r="C8065" s="17" t="s">
        <v>170</v>
      </c>
      <c r="D8065" s="13" t="s">
        <v>118</v>
      </c>
      <c r="E8065" s="13" t="s">
        <v>14605</v>
      </c>
      <c r="F8065" s="43">
        <v>337.71</v>
      </c>
    </row>
    <row r="8066" spans="2:6" x14ac:dyDescent="0.25">
      <c r="B8066" s="13" t="s">
        <v>14606</v>
      </c>
      <c r="C8066" s="17" t="s">
        <v>170</v>
      </c>
      <c r="D8066" s="13" t="s">
        <v>118</v>
      </c>
      <c r="E8066" s="13" t="s">
        <v>14607</v>
      </c>
      <c r="F8066" s="43">
        <v>337.71</v>
      </c>
    </row>
    <row r="8067" spans="2:6" x14ac:dyDescent="0.25">
      <c r="B8067" s="13" t="s">
        <v>14608</v>
      </c>
      <c r="C8067" s="17" t="s">
        <v>170</v>
      </c>
      <c r="D8067" s="13" t="s">
        <v>118</v>
      </c>
      <c r="E8067" s="13" t="s">
        <v>14609</v>
      </c>
      <c r="F8067" s="43">
        <v>337.71</v>
      </c>
    </row>
    <row r="8068" spans="2:6" x14ac:dyDescent="0.25">
      <c r="B8068" s="13" t="s">
        <v>14610</v>
      </c>
      <c r="C8068" s="17" t="s">
        <v>170</v>
      </c>
      <c r="D8068" s="13" t="s">
        <v>118</v>
      </c>
      <c r="E8068" s="13" t="s">
        <v>14611</v>
      </c>
      <c r="F8068" s="43">
        <v>337.71</v>
      </c>
    </row>
    <row r="8069" spans="2:6" x14ac:dyDescent="0.25">
      <c r="B8069" s="13" t="s">
        <v>14612</v>
      </c>
      <c r="C8069" s="17" t="s">
        <v>170</v>
      </c>
      <c r="D8069" s="13" t="s">
        <v>118</v>
      </c>
      <c r="E8069" s="13" t="s">
        <v>14613</v>
      </c>
      <c r="F8069" s="43">
        <v>337.71</v>
      </c>
    </row>
    <row r="8070" spans="2:6" x14ac:dyDescent="0.25">
      <c r="B8070" s="13" t="s">
        <v>14614</v>
      </c>
      <c r="C8070" s="17" t="s">
        <v>170</v>
      </c>
      <c r="D8070" s="13" t="s">
        <v>118</v>
      </c>
      <c r="E8070" s="13" t="s">
        <v>14615</v>
      </c>
      <c r="F8070" s="43">
        <v>337.71</v>
      </c>
    </row>
    <row r="8071" spans="2:6" x14ac:dyDescent="0.25">
      <c r="B8071" s="13" t="s">
        <v>14616</v>
      </c>
      <c r="C8071" s="17" t="s">
        <v>170</v>
      </c>
      <c r="D8071" s="13" t="s">
        <v>118</v>
      </c>
      <c r="E8071" s="13" t="s">
        <v>14617</v>
      </c>
      <c r="F8071" s="43">
        <v>337.71</v>
      </c>
    </row>
    <row r="8072" spans="2:6" x14ac:dyDescent="0.25">
      <c r="B8072" s="13" t="s">
        <v>14618</v>
      </c>
      <c r="C8072" s="17" t="s">
        <v>170</v>
      </c>
      <c r="D8072" s="13" t="s">
        <v>118</v>
      </c>
      <c r="E8072" s="13" t="s">
        <v>14619</v>
      </c>
      <c r="F8072" s="43">
        <v>337.71</v>
      </c>
    </row>
    <row r="8073" spans="2:6" x14ac:dyDescent="0.25">
      <c r="B8073" s="13" t="s">
        <v>14620</v>
      </c>
      <c r="C8073" s="17" t="s">
        <v>170</v>
      </c>
      <c r="D8073" s="13" t="s">
        <v>118</v>
      </c>
      <c r="E8073" s="13" t="s">
        <v>14621</v>
      </c>
      <c r="F8073" s="43">
        <v>337.71</v>
      </c>
    </row>
    <row r="8074" spans="2:6" x14ac:dyDescent="0.25">
      <c r="B8074" s="13" t="s">
        <v>14622</v>
      </c>
      <c r="C8074" s="17" t="s">
        <v>170</v>
      </c>
      <c r="D8074" s="13" t="s">
        <v>118</v>
      </c>
      <c r="E8074" s="13" t="s">
        <v>14623</v>
      </c>
      <c r="F8074" s="43">
        <v>406.33</v>
      </c>
    </row>
    <row r="8075" spans="2:6" x14ac:dyDescent="0.25">
      <c r="B8075" s="13" t="s">
        <v>14624</v>
      </c>
      <c r="C8075" s="17" t="s">
        <v>170</v>
      </c>
      <c r="D8075" s="13" t="s">
        <v>118</v>
      </c>
      <c r="E8075" s="13" t="s">
        <v>14625</v>
      </c>
      <c r="F8075" s="43">
        <v>406.33</v>
      </c>
    </row>
    <row r="8076" spans="2:6" x14ac:dyDescent="0.25">
      <c r="B8076" s="13" t="s">
        <v>14626</v>
      </c>
      <c r="C8076" s="17" t="s">
        <v>170</v>
      </c>
      <c r="D8076" s="13" t="s">
        <v>118</v>
      </c>
      <c r="E8076" s="13" t="s">
        <v>14627</v>
      </c>
      <c r="F8076" s="43">
        <v>406.33</v>
      </c>
    </row>
    <row r="8077" spans="2:6" x14ac:dyDescent="0.25">
      <c r="B8077" s="13" t="s">
        <v>14628</v>
      </c>
      <c r="C8077" s="17" t="s">
        <v>170</v>
      </c>
      <c r="D8077" s="13" t="s">
        <v>118</v>
      </c>
      <c r="E8077" s="13" t="s">
        <v>14629</v>
      </c>
      <c r="F8077" s="43">
        <v>406.33</v>
      </c>
    </row>
    <row r="8078" spans="2:6" x14ac:dyDescent="0.25">
      <c r="B8078" s="13" t="s">
        <v>14630</v>
      </c>
      <c r="C8078" s="17" t="s">
        <v>170</v>
      </c>
      <c r="D8078" s="13" t="s">
        <v>118</v>
      </c>
      <c r="E8078" s="13" t="s">
        <v>14631</v>
      </c>
      <c r="F8078" s="43">
        <v>406.33</v>
      </c>
    </row>
    <row r="8079" spans="2:6" x14ac:dyDescent="0.25">
      <c r="B8079" s="13" t="s">
        <v>14632</v>
      </c>
      <c r="C8079" s="17" t="s">
        <v>170</v>
      </c>
      <c r="D8079" s="13" t="s">
        <v>118</v>
      </c>
      <c r="E8079" s="13" t="s">
        <v>14633</v>
      </c>
      <c r="F8079" s="43">
        <v>406.33</v>
      </c>
    </row>
    <row r="8080" spans="2:6" x14ac:dyDescent="0.25">
      <c r="B8080" s="13" t="s">
        <v>14634</v>
      </c>
      <c r="C8080" s="17" t="s">
        <v>170</v>
      </c>
      <c r="D8080" s="13" t="s">
        <v>118</v>
      </c>
      <c r="E8080" s="13" t="s">
        <v>14635</v>
      </c>
      <c r="F8080" s="43">
        <v>406.33</v>
      </c>
    </row>
    <row r="8081" spans="2:6" x14ac:dyDescent="0.25">
      <c r="B8081" s="13" t="s">
        <v>14636</v>
      </c>
      <c r="C8081" s="17" t="s">
        <v>170</v>
      </c>
      <c r="D8081" s="13" t="s">
        <v>118</v>
      </c>
      <c r="E8081" s="13" t="s">
        <v>14637</v>
      </c>
      <c r="F8081" s="43">
        <v>406.33</v>
      </c>
    </row>
    <row r="8082" spans="2:6" x14ac:dyDescent="0.25">
      <c r="B8082" s="13" t="s">
        <v>14638</v>
      </c>
      <c r="C8082" s="17" t="s">
        <v>170</v>
      </c>
      <c r="D8082" s="13" t="s">
        <v>118</v>
      </c>
      <c r="E8082" s="13" t="s">
        <v>14639</v>
      </c>
      <c r="F8082" s="43">
        <v>406.33</v>
      </c>
    </row>
    <row r="8083" spans="2:6" x14ac:dyDescent="0.25">
      <c r="B8083" s="13" t="s">
        <v>14640</v>
      </c>
      <c r="C8083" s="17" t="s">
        <v>170</v>
      </c>
      <c r="D8083" s="13" t="s">
        <v>118</v>
      </c>
      <c r="E8083" s="13" t="s">
        <v>14641</v>
      </c>
      <c r="F8083" s="43">
        <v>406.33</v>
      </c>
    </row>
    <row r="8084" spans="2:6" x14ac:dyDescent="0.25">
      <c r="B8084" s="13" t="s">
        <v>14642</v>
      </c>
      <c r="C8084" s="17" t="s">
        <v>170</v>
      </c>
      <c r="D8084" s="13" t="s">
        <v>118</v>
      </c>
      <c r="E8084" s="13" t="s">
        <v>14643</v>
      </c>
      <c r="F8084" s="43">
        <v>406.33</v>
      </c>
    </row>
    <row r="8085" spans="2:6" x14ac:dyDescent="0.25">
      <c r="B8085" s="13" t="s">
        <v>14644</v>
      </c>
      <c r="C8085" s="17" t="s">
        <v>170</v>
      </c>
      <c r="D8085" s="13" t="s">
        <v>118</v>
      </c>
      <c r="E8085" s="13" t="s">
        <v>14645</v>
      </c>
      <c r="F8085" s="43">
        <v>406.33</v>
      </c>
    </row>
    <row r="8086" spans="2:6" x14ac:dyDescent="0.25">
      <c r="B8086" s="13" t="s">
        <v>14646</v>
      </c>
      <c r="C8086" s="17" t="s">
        <v>170</v>
      </c>
      <c r="D8086" s="13" t="s">
        <v>118</v>
      </c>
      <c r="E8086" s="13" t="s">
        <v>14647</v>
      </c>
      <c r="F8086" s="43">
        <v>406.33</v>
      </c>
    </row>
    <row r="8087" spans="2:6" x14ac:dyDescent="0.25">
      <c r="B8087" s="13" t="s">
        <v>14648</v>
      </c>
      <c r="C8087" s="17" t="s">
        <v>170</v>
      </c>
      <c r="D8087" s="13" t="s">
        <v>118</v>
      </c>
      <c r="E8087" s="13" t="s">
        <v>14649</v>
      </c>
      <c r="F8087" s="43">
        <v>406.33</v>
      </c>
    </row>
    <row r="8088" spans="2:6" x14ac:dyDescent="0.25">
      <c r="B8088" s="13" t="s">
        <v>14650</v>
      </c>
      <c r="C8088" s="17" t="s">
        <v>170</v>
      </c>
      <c r="D8088" s="13" t="s">
        <v>118</v>
      </c>
      <c r="E8088" s="13" t="s">
        <v>14651</v>
      </c>
      <c r="F8088" s="43">
        <v>406.33</v>
      </c>
    </row>
    <row r="8089" spans="2:6" x14ac:dyDescent="0.25">
      <c r="B8089" s="13" t="s">
        <v>14652</v>
      </c>
      <c r="C8089" s="17" t="s">
        <v>170</v>
      </c>
      <c r="D8089" s="13" t="s">
        <v>118</v>
      </c>
      <c r="E8089" s="13" t="s">
        <v>14653</v>
      </c>
      <c r="F8089" s="43">
        <v>372.02</v>
      </c>
    </row>
    <row r="8090" spans="2:6" x14ac:dyDescent="0.25">
      <c r="B8090" s="13" t="s">
        <v>14654</v>
      </c>
      <c r="C8090" s="17" t="s">
        <v>170</v>
      </c>
      <c r="D8090" s="13" t="s">
        <v>118</v>
      </c>
      <c r="E8090" s="13" t="s">
        <v>14655</v>
      </c>
      <c r="F8090" s="43">
        <v>372.02</v>
      </c>
    </row>
    <row r="8091" spans="2:6" x14ac:dyDescent="0.25">
      <c r="B8091" s="13" t="s">
        <v>14656</v>
      </c>
      <c r="C8091" s="17" t="s">
        <v>170</v>
      </c>
      <c r="D8091" s="13" t="s">
        <v>118</v>
      </c>
      <c r="E8091" s="13" t="s">
        <v>14657</v>
      </c>
      <c r="F8091" s="43">
        <v>372.02</v>
      </c>
    </row>
    <row r="8092" spans="2:6" x14ac:dyDescent="0.25">
      <c r="B8092" s="13" t="s">
        <v>14658</v>
      </c>
      <c r="C8092" s="17" t="s">
        <v>170</v>
      </c>
      <c r="D8092" s="13" t="s">
        <v>118</v>
      </c>
      <c r="E8092" s="13" t="s">
        <v>14659</v>
      </c>
      <c r="F8092" s="43">
        <v>372.02</v>
      </c>
    </row>
    <row r="8093" spans="2:6" x14ac:dyDescent="0.25">
      <c r="B8093" s="13" t="s">
        <v>14660</v>
      </c>
      <c r="C8093" s="17" t="s">
        <v>170</v>
      </c>
      <c r="D8093" s="13" t="s">
        <v>118</v>
      </c>
      <c r="E8093" s="13" t="s">
        <v>14661</v>
      </c>
      <c r="F8093" s="43">
        <v>372.02</v>
      </c>
    </row>
    <row r="8094" spans="2:6" x14ac:dyDescent="0.25">
      <c r="B8094" s="13" t="s">
        <v>14662</v>
      </c>
      <c r="C8094" s="17" t="s">
        <v>170</v>
      </c>
      <c r="D8094" s="13" t="s">
        <v>118</v>
      </c>
      <c r="E8094" s="13" t="s">
        <v>14663</v>
      </c>
      <c r="F8094" s="43">
        <v>372.02</v>
      </c>
    </row>
    <row r="8095" spans="2:6" x14ac:dyDescent="0.25">
      <c r="B8095" s="13" t="s">
        <v>14664</v>
      </c>
      <c r="C8095" s="17" t="s">
        <v>170</v>
      </c>
      <c r="D8095" s="13" t="s">
        <v>118</v>
      </c>
      <c r="E8095" s="13" t="s">
        <v>14665</v>
      </c>
      <c r="F8095" s="43">
        <v>372.02</v>
      </c>
    </row>
    <row r="8096" spans="2:6" x14ac:dyDescent="0.25">
      <c r="B8096" s="13" t="s">
        <v>14666</v>
      </c>
      <c r="C8096" s="17" t="s">
        <v>170</v>
      </c>
      <c r="D8096" s="13" t="s">
        <v>118</v>
      </c>
      <c r="E8096" s="13" t="s">
        <v>14667</v>
      </c>
      <c r="F8096" s="43">
        <v>372.02</v>
      </c>
    </row>
    <row r="8097" spans="2:6" x14ac:dyDescent="0.25">
      <c r="B8097" s="13" t="s">
        <v>14668</v>
      </c>
      <c r="C8097" s="17" t="s">
        <v>170</v>
      </c>
      <c r="D8097" s="13" t="s">
        <v>118</v>
      </c>
      <c r="E8097" s="13" t="s">
        <v>14669</v>
      </c>
      <c r="F8097" s="43">
        <v>372.02</v>
      </c>
    </row>
    <row r="8098" spans="2:6" x14ac:dyDescent="0.25">
      <c r="B8098" s="13" t="s">
        <v>14670</v>
      </c>
      <c r="C8098" s="17" t="s">
        <v>170</v>
      </c>
      <c r="D8098" s="13" t="s">
        <v>118</v>
      </c>
      <c r="E8098" s="13" t="s">
        <v>14671</v>
      </c>
      <c r="F8098" s="43">
        <v>372.02</v>
      </c>
    </row>
    <row r="8099" spans="2:6" x14ac:dyDescent="0.25">
      <c r="B8099" s="13" t="s">
        <v>14672</v>
      </c>
      <c r="C8099" s="17" t="s">
        <v>170</v>
      </c>
      <c r="D8099" s="13" t="s">
        <v>118</v>
      </c>
      <c r="E8099" s="13" t="s">
        <v>14673</v>
      </c>
      <c r="F8099" s="43">
        <v>372.02</v>
      </c>
    </row>
    <row r="8100" spans="2:6" x14ac:dyDescent="0.25">
      <c r="B8100" s="13" t="s">
        <v>14674</v>
      </c>
      <c r="C8100" s="17" t="s">
        <v>170</v>
      </c>
      <c r="D8100" s="13" t="s">
        <v>118</v>
      </c>
      <c r="E8100" s="13" t="s">
        <v>14675</v>
      </c>
      <c r="F8100" s="43">
        <v>372.02</v>
      </c>
    </row>
    <row r="8101" spans="2:6" x14ac:dyDescent="0.25">
      <c r="B8101" s="13" t="s">
        <v>14676</v>
      </c>
      <c r="C8101" s="17" t="s">
        <v>170</v>
      </c>
      <c r="D8101" s="13" t="s">
        <v>118</v>
      </c>
      <c r="E8101" s="13" t="s">
        <v>14677</v>
      </c>
      <c r="F8101" s="43">
        <v>372.02</v>
      </c>
    </row>
    <row r="8102" spans="2:6" x14ac:dyDescent="0.25">
      <c r="B8102" s="13" t="s">
        <v>14678</v>
      </c>
      <c r="C8102" s="17" t="s">
        <v>170</v>
      </c>
      <c r="D8102" s="13" t="s">
        <v>118</v>
      </c>
      <c r="E8102" s="13" t="s">
        <v>14679</v>
      </c>
      <c r="F8102" s="43">
        <v>372.02</v>
      </c>
    </row>
    <row r="8103" spans="2:6" x14ac:dyDescent="0.25">
      <c r="B8103" s="13" t="s">
        <v>14680</v>
      </c>
      <c r="C8103" s="17" t="s">
        <v>170</v>
      </c>
      <c r="D8103" s="13" t="s">
        <v>118</v>
      </c>
      <c r="E8103" s="13" t="s">
        <v>14681</v>
      </c>
      <c r="F8103" s="43">
        <v>372.02</v>
      </c>
    </row>
    <row r="8104" spans="2:6" x14ac:dyDescent="0.25">
      <c r="B8104" s="13" t="s">
        <v>14682</v>
      </c>
      <c r="C8104" s="17" t="s">
        <v>170</v>
      </c>
      <c r="D8104" s="13" t="s">
        <v>118</v>
      </c>
      <c r="E8104" s="13" t="s">
        <v>14683</v>
      </c>
      <c r="F8104" s="43">
        <v>60.13</v>
      </c>
    </row>
    <row r="8105" spans="2:6" x14ac:dyDescent="0.25">
      <c r="B8105" s="13" t="s">
        <v>14684</v>
      </c>
      <c r="C8105" s="17" t="s">
        <v>170</v>
      </c>
      <c r="D8105" s="13" t="s">
        <v>118</v>
      </c>
      <c r="E8105" s="13" t="s">
        <v>14685</v>
      </c>
      <c r="F8105" s="43">
        <v>60.13</v>
      </c>
    </row>
    <row r="8106" spans="2:6" x14ac:dyDescent="0.25">
      <c r="B8106" s="13" t="s">
        <v>14686</v>
      </c>
      <c r="C8106" s="17" t="s">
        <v>170</v>
      </c>
      <c r="D8106" s="13" t="s">
        <v>118</v>
      </c>
      <c r="E8106" s="13" t="s">
        <v>14687</v>
      </c>
      <c r="F8106" s="43">
        <v>60.13</v>
      </c>
    </row>
    <row r="8107" spans="2:6" x14ac:dyDescent="0.25">
      <c r="B8107" s="13" t="s">
        <v>14688</v>
      </c>
      <c r="C8107" s="17" t="s">
        <v>170</v>
      </c>
      <c r="D8107" s="13" t="s">
        <v>118</v>
      </c>
      <c r="E8107" s="13" t="s">
        <v>14689</v>
      </c>
      <c r="F8107" s="43">
        <v>60.13</v>
      </c>
    </row>
    <row r="8108" spans="2:6" x14ac:dyDescent="0.25">
      <c r="B8108" s="13" t="s">
        <v>14690</v>
      </c>
      <c r="C8108" s="17" t="s">
        <v>170</v>
      </c>
      <c r="D8108" s="13" t="s">
        <v>118</v>
      </c>
      <c r="E8108" s="13" t="s">
        <v>14691</v>
      </c>
      <c r="F8108" s="43">
        <v>58.41</v>
      </c>
    </row>
    <row r="8109" spans="2:6" x14ac:dyDescent="0.25">
      <c r="B8109" s="13" t="s">
        <v>14692</v>
      </c>
      <c r="C8109" s="17" t="s">
        <v>170</v>
      </c>
      <c r="D8109" s="13" t="s">
        <v>118</v>
      </c>
      <c r="E8109" s="13" t="s">
        <v>14693</v>
      </c>
      <c r="F8109" s="43">
        <v>58.41</v>
      </c>
    </row>
    <row r="8110" spans="2:6" x14ac:dyDescent="0.25">
      <c r="B8110" s="13" t="s">
        <v>14694</v>
      </c>
      <c r="C8110" s="17" t="s">
        <v>170</v>
      </c>
      <c r="D8110" s="13" t="s">
        <v>118</v>
      </c>
      <c r="E8110" s="13" t="s">
        <v>14695</v>
      </c>
      <c r="F8110" s="43">
        <v>58.41</v>
      </c>
    </row>
    <row r="8111" spans="2:6" x14ac:dyDescent="0.25">
      <c r="B8111" s="13" t="s">
        <v>14696</v>
      </c>
      <c r="C8111" s="17" t="s">
        <v>170</v>
      </c>
      <c r="D8111" s="13" t="s">
        <v>118</v>
      </c>
      <c r="E8111" s="13" t="s">
        <v>14697</v>
      </c>
      <c r="F8111" s="43">
        <v>58.41</v>
      </c>
    </row>
    <row r="8112" spans="2:6" x14ac:dyDescent="0.25">
      <c r="B8112" s="13" t="s">
        <v>14698</v>
      </c>
      <c r="C8112" s="17" t="s">
        <v>170</v>
      </c>
      <c r="D8112" s="13" t="s">
        <v>118</v>
      </c>
      <c r="E8112" s="13" t="s">
        <v>14699</v>
      </c>
      <c r="F8112" s="43">
        <v>164.1</v>
      </c>
    </row>
    <row r="8113" spans="2:6" x14ac:dyDescent="0.25">
      <c r="B8113" s="13" t="s">
        <v>14700</v>
      </c>
      <c r="C8113" s="17" t="s">
        <v>170</v>
      </c>
      <c r="D8113" s="13" t="s">
        <v>118</v>
      </c>
      <c r="E8113" s="13" t="s">
        <v>14701</v>
      </c>
      <c r="F8113" s="43">
        <v>164.1</v>
      </c>
    </row>
    <row r="8114" spans="2:6" x14ac:dyDescent="0.25">
      <c r="B8114" s="13" t="s">
        <v>14702</v>
      </c>
      <c r="C8114" s="17" t="s">
        <v>170</v>
      </c>
      <c r="D8114" s="13" t="s">
        <v>118</v>
      </c>
      <c r="E8114" s="13" t="s">
        <v>14703</v>
      </c>
      <c r="F8114" s="43">
        <v>164.1</v>
      </c>
    </row>
    <row r="8115" spans="2:6" x14ac:dyDescent="0.25">
      <c r="B8115" s="13" t="s">
        <v>14704</v>
      </c>
      <c r="C8115" s="17" t="s">
        <v>170</v>
      </c>
      <c r="D8115" s="13" t="s">
        <v>118</v>
      </c>
      <c r="E8115" s="13" t="s">
        <v>14705</v>
      </c>
      <c r="F8115" s="43">
        <v>164.1</v>
      </c>
    </row>
    <row r="8116" spans="2:6" x14ac:dyDescent="0.25">
      <c r="B8116" s="13" t="s">
        <v>14706</v>
      </c>
      <c r="C8116" s="17" t="s">
        <v>170</v>
      </c>
      <c r="D8116" s="13" t="s">
        <v>118</v>
      </c>
      <c r="E8116" s="13" t="s">
        <v>14707</v>
      </c>
      <c r="F8116" s="43">
        <v>164.1</v>
      </c>
    </row>
    <row r="8117" spans="2:6" x14ac:dyDescent="0.25">
      <c r="B8117" s="13" t="s">
        <v>14708</v>
      </c>
      <c r="C8117" s="17" t="s">
        <v>170</v>
      </c>
      <c r="D8117" s="13" t="s">
        <v>118</v>
      </c>
      <c r="E8117" s="13" t="s">
        <v>14709</v>
      </c>
      <c r="F8117" s="43">
        <v>164.1</v>
      </c>
    </row>
    <row r="8118" spans="2:6" x14ac:dyDescent="0.25">
      <c r="B8118" s="13" t="s">
        <v>14710</v>
      </c>
      <c r="C8118" s="17" t="s">
        <v>170</v>
      </c>
      <c r="D8118" s="13" t="s">
        <v>118</v>
      </c>
      <c r="E8118" s="13" t="s">
        <v>14711</v>
      </c>
      <c r="F8118" s="43">
        <v>164.1</v>
      </c>
    </row>
    <row r="8119" spans="2:6" x14ac:dyDescent="0.25">
      <c r="B8119" s="13" t="s">
        <v>14712</v>
      </c>
      <c r="C8119" s="17" t="s">
        <v>170</v>
      </c>
      <c r="D8119" s="13" t="s">
        <v>118</v>
      </c>
      <c r="E8119" s="13" t="s">
        <v>14713</v>
      </c>
      <c r="F8119" s="43">
        <v>164.1</v>
      </c>
    </row>
    <row r="8120" spans="2:6" x14ac:dyDescent="0.25">
      <c r="B8120" s="13" t="s">
        <v>14714</v>
      </c>
      <c r="C8120" s="17" t="s">
        <v>170</v>
      </c>
      <c r="D8120" s="13" t="s">
        <v>118</v>
      </c>
      <c r="E8120" s="13" t="s">
        <v>14715</v>
      </c>
      <c r="F8120" s="43">
        <v>164.1</v>
      </c>
    </row>
    <row r="8121" spans="2:6" x14ac:dyDescent="0.25">
      <c r="B8121" s="13" t="s">
        <v>14716</v>
      </c>
      <c r="C8121" s="17" t="s">
        <v>170</v>
      </c>
      <c r="D8121" s="13" t="s">
        <v>118</v>
      </c>
      <c r="E8121" s="13" t="s">
        <v>14717</v>
      </c>
      <c r="F8121" s="43">
        <v>331.52</v>
      </c>
    </row>
    <row r="8122" spans="2:6" x14ac:dyDescent="0.25">
      <c r="B8122" s="13" t="s">
        <v>14718</v>
      </c>
      <c r="C8122" s="17" t="s">
        <v>170</v>
      </c>
      <c r="D8122" s="13" t="s">
        <v>118</v>
      </c>
      <c r="E8122" s="13" t="s">
        <v>14719</v>
      </c>
      <c r="F8122" s="43">
        <v>164.1</v>
      </c>
    </row>
    <row r="8123" spans="2:6" x14ac:dyDescent="0.25">
      <c r="B8123" s="13" t="s">
        <v>14720</v>
      </c>
      <c r="C8123" s="17" t="s">
        <v>170</v>
      </c>
      <c r="D8123" s="13" t="s">
        <v>118</v>
      </c>
      <c r="E8123" s="13" t="s">
        <v>14721</v>
      </c>
      <c r="F8123" s="43">
        <v>164.1</v>
      </c>
    </row>
    <row r="8124" spans="2:6" x14ac:dyDescent="0.25">
      <c r="B8124" s="13" t="s">
        <v>14722</v>
      </c>
      <c r="C8124" s="17" t="s">
        <v>170</v>
      </c>
      <c r="D8124" s="13" t="s">
        <v>118</v>
      </c>
      <c r="E8124" s="13" t="s">
        <v>14723</v>
      </c>
      <c r="F8124" s="43">
        <v>331.52</v>
      </c>
    </row>
    <row r="8125" spans="2:6" x14ac:dyDescent="0.25">
      <c r="B8125" s="13" t="s">
        <v>14724</v>
      </c>
      <c r="C8125" s="17" t="s">
        <v>170</v>
      </c>
      <c r="D8125" s="13" t="s">
        <v>118</v>
      </c>
      <c r="E8125" s="13" t="s">
        <v>14725</v>
      </c>
      <c r="F8125" s="43">
        <v>164.1</v>
      </c>
    </row>
    <row r="8126" spans="2:6" x14ac:dyDescent="0.25">
      <c r="B8126" s="13" t="s">
        <v>14726</v>
      </c>
      <c r="C8126" s="17" t="s">
        <v>170</v>
      </c>
      <c r="D8126" s="13" t="s">
        <v>118</v>
      </c>
      <c r="E8126" s="13" t="s">
        <v>14727</v>
      </c>
      <c r="F8126" s="43">
        <v>164.1</v>
      </c>
    </row>
    <row r="8127" spans="2:6" x14ac:dyDescent="0.25">
      <c r="B8127" s="13" t="s">
        <v>14728</v>
      </c>
      <c r="C8127" s="17" t="s">
        <v>170</v>
      </c>
      <c r="D8127" s="13" t="s">
        <v>118</v>
      </c>
      <c r="E8127" s="13" t="s">
        <v>14729</v>
      </c>
      <c r="F8127" s="43">
        <v>164.1</v>
      </c>
    </row>
    <row r="8128" spans="2:6" x14ac:dyDescent="0.25">
      <c r="B8128" s="13" t="s">
        <v>14730</v>
      </c>
      <c r="C8128" s="17" t="s">
        <v>170</v>
      </c>
      <c r="D8128" s="13" t="s">
        <v>118</v>
      </c>
      <c r="E8128" s="13" t="s">
        <v>14731</v>
      </c>
      <c r="F8128" s="43">
        <v>164.1</v>
      </c>
    </row>
    <row r="8129" spans="2:6" x14ac:dyDescent="0.25">
      <c r="B8129" s="13" t="s">
        <v>14732</v>
      </c>
      <c r="C8129" s="17" t="s">
        <v>170</v>
      </c>
      <c r="D8129" s="13" t="s">
        <v>118</v>
      </c>
      <c r="E8129" s="13" t="s">
        <v>14733</v>
      </c>
      <c r="F8129" s="43">
        <v>164.1</v>
      </c>
    </row>
    <row r="8130" spans="2:6" x14ac:dyDescent="0.25">
      <c r="B8130" s="13" t="s">
        <v>14734</v>
      </c>
      <c r="C8130" s="17" t="s">
        <v>170</v>
      </c>
      <c r="D8130" s="13" t="s">
        <v>118</v>
      </c>
      <c r="E8130" s="13" t="s">
        <v>14735</v>
      </c>
      <c r="F8130" s="43">
        <v>331.52</v>
      </c>
    </row>
    <row r="8131" spans="2:6" x14ac:dyDescent="0.25">
      <c r="B8131" s="13" t="s">
        <v>14736</v>
      </c>
      <c r="C8131" s="17" t="s">
        <v>170</v>
      </c>
      <c r="D8131" s="13" t="s">
        <v>118</v>
      </c>
      <c r="E8131" s="13" t="s">
        <v>14737</v>
      </c>
      <c r="F8131" s="43">
        <v>331.52</v>
      </c>
    </row>
    <row r="8132" spans="2:6" x14ac:dyDescent="0.25">
      <c r="B8132" s="13" t="s">
        <v>14738</v>
      </c>
      <c r="C8132" s="17" t="s">
        <v>170</v>
      </c>
      <c r="D8132" s="13" t="s">
        <v>118</v>
      </c>
      <c r="E8132" s="13" t="s">
        <v>14739</v>
      </c>
      <c r="F8132" s="43">
        <v>331.52</v>
      </c>
    </row>
    <row r="8133" spans="2:6" x14ac:dyDescent="0.25">
      <c r="B8133" s="13" t="s">
        <v>14740</v>
      </c>
      <c r="C8133" s="17" t="s">
        <v>170</v>
      </c>
      <c r="D8133" s="13" t="s">
        <v>118</v>
      </c>
      <c r="E8133" s="13" t="s">
        <v>14741</v>
      </c>
      <c r="F8133" s="43">
        <v>331.52</v>
      </c>
    </row>
    <row r="8134" spans="2:6" x14ac:dyDescent="0.25">
      <c r="B8134" s="13" t="s">
        <v>14742</v>
      </c>
      <c r="C8134" s="17" t="s">
        <v>170</v>
      </c>
      <c r="D8134" s="13" t="s">
        <v>118</v>
      </c>
      <c r="E8134" s="13" t="s">
        <v>14743</v>
      </c>
      <c r="F8134" s="43">
        <v>485.28</v>
      </c>
    </row>
    <row r="8135" spans="2:6" x14ac:dyDescent="0.25">
      <c r="B8135" s="13" t="s">
        <v>14744</v>
      </c>
      <c r="C8135" s="17" t="s">
        <v>170</v>
      </c>
      <c r="D8135" s="13" t="s">
        <v>118</v>
      </c>
      <c r="E8135" s="13" t="s">
        <v>14745</v>
      </c>
      <c r="F8135" s="43">
        <v>485.28</v>
      </c>
    </row>
    <row r="8136" spans="2:6" x14ac:dyDescent="0.25">
      <c r="B8136" s="13" t="s">
        <v>14746</v>
      </c>
      <c r="C8136" s="17" t="s">
        <v>170</v>
      </c>
      <c r="D8136" s="13" t="s">
        <v>118</v>
      </c>
      <c r="E8136" s="13" t="s">
        <v>14747</v>
      </c>
      <c r="F8136" s="43">
        <v>321.45999999999998</v>
      </c>
    </row>
    <row r="8137" spans="2:6" x14ac:dyDescent="0.25">
      <c r="B8137" s="13" t="s">
        <v>14748</v>
      </c>
      <c r="C8137" s="17" t="s">
        <v>170</v>
      </c>
      <c r="D8137" s="13" t="s">
        <v>118</v>
      </c>
      <c r="E8137" s="13" t="s">
        <v>14749</v>
      </c>
      <c r="F8137" s="43">
        <v>485.28</v>
      </c>
    </row>
    <row r="8138" spans="2:6" x14ac:dyDescent="0.25">
      <c r="B8138" s="13" t="s">
        <v>14750</v>
      </c>
      <c r="C8138" s="17" t="s">
        <v>170</v>
      </c>
      <c r="D8138" s="13" t="s">
        <v>118</v>
      </c>
      <c r="E8138" s="13" t="s">
        <v>14751</v>
      </c>
      <c r="F8138" s="43">
        <v>485.28</v>
      </c>
    </row>
    <row r="8139" spans="2:6" x14ac:dyDescent="0.25">
      <c r="B8139" s="13" t="s">
        <v>14752</v>
      </c>
      <c r="C8139" s="17" t="s">
        <v>170</v>
      </c>
      <c r="D8139" s="13" t="s">
        <v>118</v>
      </c>
      <c r="E8139" s="13" t="s">
        <v>14753</v>
      </c>
      <c r="F8139" s="43">
        <v>321.45999999999998</v>
      </c>
    </row>
    <row r="8140" spans="2:6" x14ac:dyDescent="0.25">
      <c r="B8140" s="13" t="s">
        <v>14754</v>
      </c>
      <c r="C8140" s="17" t="s">
        <v>170</v>
      </c>
      <c r="D8140" s="13" t="s">
        <v>118</v>
      </c>
      <c r="E8140" s="13" t="s">
        <v>14755</v>
      </c>
      <c r="F8140" s="43">
        <v>1009.8</v>
      </c>
    </row>
    <row r="8141" spans="2:6" x14ac:dyDescent="0.25">
      <c r="B8141" s="13" t="s">
        <v>14756</v>
      </c>
      <c r="C8141" s="17" t="s">
        <v>170</v>
      </c>
      <c r="D8141" s="13" t="s">
        <v>118</v>
      </c>
      <c r="E8141" s="13" t="s">
        <v>14757</v>
      </c>
      <c r="F8141" s="43">
        <v>1009.8</v>
      </c>
    </row>
    <row r="8142" spans="2:6" x14ac:dyDescent="0.25">
      <c r="B8142" s="13" t="s">
        <v>14758</v>
      </c>
      <c r="C8142" s="17" t="s">
        <v>170</v>
      </c>
      <c r="D8142" s="13" t="s">
        <v>118</v>
      </c>
      <c r="E8142" s="13" t="s">
        <v>14759</v>
      </c>
      <c r="F8142" s="43">
        <v>1009.8</v>
      </c>
    </row>
    <row r="8143" spans="2:6" x14ac:dyDescent="0.25">
      <c r="B8143" s="13" t="s">
        <v>14760</v>
      </c>
      <c r="C8143" s="17" t="s">
        <v>170</v>
      </c>
      <c r="D8143" s="13" t="s">
        <v>118</v>
      </c>
      <c r="E8143" s="13" t="s">
        <v>14761</v>
      </c>
      <c r="F8143" s="43">
        <v>1009.8</v>
      </c>
    </row>
    <row r="8144" spans="2:6" x14ac:dyDescent="0.25">
      <c r="B8144" s="13" t="s">
        <v>14762</v>
      </c>
      <c r="C8144" s="17" t="s">
        <v>170</v>
      </c>
      <c r="D8144" s="13" t="s">
        <v>118</v>
      </c>
      <c r="E8144" s="13" t="s">
        <v>14763</v>
      </c>
      <c r="F8144" s="43">
        <v>632.16</v>
      </c>
    </row>
    <row r="8145" spans="2:6" x14ac:dyDescent="0.25">
      <c r="B8145" s="13" t="s">
        <v>14764</v>
      </c>
      <c r="C8145" s="17" t="s">
        <v>170</v>
      </c>
      <c r="D8145" s="13" t="s">
        <v>118</v>
      </c>
      <c r="E8145" s="13" t="s">
        <v>14765</v>
      </c>
      <c r="F8145" s="43">
        <v>632.16</v>
      </c>
    </row>
    <row r="8146" spans="2:6" x14ac:dyDescent="0.25">
      <c r="B8146" s="13" t="s">
        <v>14766</v>
      </c>
      <c r="C8146" s="17" t="s">
        <v>170</v>
      </c>
      <c r="D8146" s="13" t="s">
        <v>118</v>
      </c>
      <c r="E8146" s="13" t="s">
        <v>14767</v>
      </c>
      <c r="F8146" s="43">
        <v>632.16</v>
      </c>
    </row>
    <row r="8147" spans="2:6" x14ac:dyDescent="0.25">
      <c r="B8147" s="13" t="s">
        <v>14768</v>
      </c>
      <c r="C8147" s="17" t="s">
        <v>170</v>
      </c>
      <c r="D8147" s="13" t="s">
        <v>118</v>
      </c>
      <c r="E8147" s="13" t="s">
        <v>14769</v>
      </c>
      <c r="F8147" s="43">
        <v>632.16</v>
      </c>
    </row>
    <row r="8148" spans="2:6" x14ac:dyDescent="0.25">
      <c r="B8148" s="13" t="s">
        <v>14770</v>
      </c>
      <c r="C8148" s="17" t="s">
        <v>170</v>
      </c>
      <c r="D8148" s="13" t="s">
        <v>118</v>
      </c>
      <c r="E8148" s="13" t="s">
        <v>14771</v>
      </c>
      <c r="F8148" s="43">
        <v>632.16</v>
      </c>
    </row>
    <row r="8149" spans="2:6" x14ac:dyDescent="0.25">
      <c r="B8149" s="13" t="s">
        <v>14772</v>
      </c>
      <c r="C8149" s="17" t="s">
        <v>170</v>
      </c>
      <c r="D8149" s="13" t="s">
        <v>118</v>
      </c>
      <c r="E8149" s="13" t="s">
        <v>14773</v>
      </c>
      <c r="F8149" s="43">
        <v>632.16</v>
      </c>
    </row>
    <row r="8150" spans="2:6" x14ac:dyDescent="0.25">
      <c r="B8150" s="13" t="s">
        <v>14774</v>
      </c>
      <c r="C8150" s="17" t="s">
        <v>170</v>
      </c>
      <c r="D8150" s="13" t="s">
        <v>118</v>
      </c>
      <c r="E8150" s="13" t="s">
        <v>14775</v>
      </c>
      <c r="F8150" s="43">
        <v>632.16</v>
      </c>
    </row>
    <row r="8151" spans="2:6" x14ac:dyDescent="0.25">
      <c r="B8151" s="13" t="s">
        <v>14776</v>
      </c>
      <c r="C8151" s="17" t="s">
        <v>170</v>
      </c>
      <c r="D8151" s="13" t="s">
        <v>118</v>
      </c>
      <c r="E8151" s="13" t="s">
        <v>14777</v>
      </c>
      <c r="F8151" s="43">
        <v>632.16</v>
      </c>
    </row>
    <row r="8152" spans="2:6" x14ac:dyDescent="0.25">
      <c r="B8152" s="13" t="s">
        <v>14778</v>
      </c>
      <c r="C8152" s="17" t="s">
        <v>170</v>
      </c>
      <c r="D8152" s="13" t="s">
        <v>118</v>
      </c>
      <c r="E8152" s="13" t="s">
        <v>14779</v>
      </c>
      <c r="F8152" s="43">
        <v>632.16</v>
      </c>
    </row>
    <row r="8153" spans="2:6" x14ac:dyDescent="0.25">
      <c r="B8153" s="13" t="s">
        <v>14780</v>
      </c>
      <c r="C8153" s="17" t="s">
        <v>170</v>
      </c>
      <c r="D8153" s="13" t="s">
        <v>118</v>
      </c>
      <c r="E8153" s="13" t="s">
        <v>14781</v>
      </c>
      <c r="F8153" s="43">
        <v>632.16</v>
      </c>
    </row>
    <row r="8154" spans="2:6" x14ac:dyDescent="0.25">
      <c r="B8154" s="13" t="s">
        <v>14782</v>
      </c>
      <c r="C8154" s="17" t="s">
        <v>170</v>
      </c>
      <c r="D8154" s="13" t="s">
        <v>118</v>
      </c>
      <c r="E8154" s="13" t="s">
        <v>14783</v>
      </c>
      <c r="F8154" s="43">
        <v>632.16</v>
      </c>
    </row>
    <row r="8155" spans="2:6" x14ac:dyDescent="0.25">
      <c r="B8155" s="13" t="s">
        <v>14784</v>
      </c>
      <c r="C8155" s="17" t="s">
        <v>170</v>
      </c>
      <c r="D8155" s="13" t="s">
        <v>118</v>
      </c>
      <c r="E8155" s="13" t="s">
        <v>14785</v>
      </c>
      <c r="F8155" s="43">
        <v>632.16</v>
      </c>
    </row>
    <row r="8156" spans="2:6" x14ac:dyDescent="0.25">
      <c r="B8156" s="13" t="s">
        <v>14786</v>
      </c>
      <c r="C8156" s="17" t="s">
        <v>170</v>
      </c>
      <c r="D8156" s="13" t="s">
        <v>118</v>
      </c>
      <c r="E8156" s="13" t="s">
        <v>14787</v>
      </c>
      <c r="F8156" s="43">
        <v>632.16</v>
      </c>
    </row>
    <row r="8157" spans="2:6" x14ac:dyDescent="0.25">
      <c r="B8157" s="13" t="s">
        <v>14788</v>
      </c>
      <c r="C8157" s="17" t="s">
        <v>170</v>
      </c>
      <c r="D8157" s="13" t="s">
        <v>118</v>
      </c>
      <c r="E8157" s="13" t="s">
        <v>14789</v>
      </c>
      <c r="F8157" s="43">
        <v>632.16</v>
      </c>
    </row>
    <row r="8158" spans="2:6" x14ac:dyDescent="0.25">
      <c r="B8158" s="13" t="s">
        <v>14790</v>
      </c>
      <c r="C8158" s="17" t="s">
        <v>170</v>
      </c>
      <c r="D8158" s="13" t="s">
        <v>118</v>
      </c>
      <c r="E8158" s="13" t="s">
        <v>14791</v>
      </c>
      <c r="F8158" s="43">
        <v>632.16</v>
      </c>
    </row>
    <row r="8159" spans="2:6" x14ac:dyDescent="0.25">
      <c r="B8159" s="13" t="s">
        <v>14792</v>
      </c>
      <c r="C8159" s="17" t="s">
        <v>170</v>
      </c>
      <c r="D8159" s="13" t="s">
        <v>118</v>
      </c>
      <c r="E8159" s="13" t="s">
        <v>14793</v>
      </c>
      <c r="F8159" s="43">
        <v>632.16</v>
      </c>
    </row>
    <row r="8160" spans="2:6" x14ac:dyDescent="0.25">
      <c r="B8160" s="13" t="s">
        <v>14794</v>
      </c>
      <c r="C8160" s="17" t="s">
        <v>170</v>
      </c>
      <c r="D8160" s="13" t="s">
        <v>118</v>
      </c>
      <c r="E8160" s="13" t="s">
        <v>14795</v>
      </c>
      <c r="F8160" s="43">
        <v>632.16</v>
      </c>
    </row>
    <row r="8161" spans="2:6" x14ac:dyDescent="0.25">
      <c r="B8161" s="13" t="s">
        <v>14796</v>
      </c>
      <c r="C8161" s="17" t="s">
        <v>170</v>
      </c>
      <c r="D8161" s="13" t="s">
        <v>118</v>
      </c>
      <c r="E8161" s="13" t="s">
        <v>14797</v>
      </c>
      <c r="F8161" s="43">
        <v>632.16</v>
      </c>
    </row>
    <row r="8162" spans="2:6" x14ac:dyDescent="0.25">
      <c r="B8162" s="13" t="s">
        <v>14798</v>
      </c>
      <c r="C8162" s="17" t="s">
        <v>170</v>
      </c>
      <c r="D8162" s="13" t="s">
        <v>118</v>
      </c>
      <c r="E8162" s="13" t="s">
        <v>14799</v>
      </c>
      <c r="F8162" s="43">
        <v>632.16</v>
      </c>
    </row>
    <row r="8163" spans="2:6" x14ac:dyDescent="0.25">
      <c r="B8163" s="13" t="s">
        <v>14800</v>
      </c>
      <c r="C8163" s="17" t="s">
        <v>170</v>
      </c>
      <c r="D8163" s="13" t="s">
        <v>118</v>
      </c>
      <c r="E8163" s="13" t="s">
        <v>14801</v>
      </c>
      <c r="F8163" s="43">
        <v>632.16</v>
      </c>
    </row>
    <row r="8164" spans="2:6" x14ac:dyDescent="0.25">
      <c r="B8164" s="13" t="s">
        <v>14802</v>
      </c>
      <c r="C8164" s="17" t="s">
        <v>170</v>
      </c>
      <c r="D8164" s="13" t="s">
        <v>118</v>
      </c>
      <c r="E8164" s="13" t="s">
        <v>14803</v>
      </c>
      <c r="F8164" s="43">
        <v>632.16</v>
      </c>
    </row>
    <row r="8165" spans="2:6" x14ac:dyDescent="0.25">
      <c r="B8165" s="13" t="s">
        <v>14804</v>
      </c>
      <c r="C8165" s="17" t="s">
        <v>170</v>
      </c>
      <c r="D8165" s="13" t="s">
        <v>118</v>
      </c>
      <c r="E8165" s="13" t="s">
        <v>14805</v>
      </c>
      <c r="F8165" s="43">
        <v>632.16</v>
      </c>
    </row>
    <row r="8166" spans="2:6" x14ac:dyDescent="0.25">
      <c r="B8166" s="13" t="s">
        <v>14806</v>
      </c>
      <c r="C8166" s="17" t="s">
        <v>170</v>
      </c>
      <c r="D8166" s="13" t="s">
        <v>118</v>
      </c>
      <c r="E8166" s="13" t="s">
        <v>14807</v>
      </c>
      <c r="F8166" s="43">
        <v>632.16</v>
      </c>
    </row>
    <row r="8167" spans="2:6" x14ac:dyDescent="0.25">
      <c r="B8167" s="13" t="s">
        <v>14808</v>
      </c>
      <c r="C8167" s="17" t="s">
        <v>170</v>
      </c>
      <c r="D8167" s="13" t="s">
        <v>118</v>
      </c>
      <c r="E8167" s="13" t="s">
        <v>14809</v>
      </c>
      <c r="F8167" s="43">
        <v>632.16</v>
      </c>
    </row>
    <row r="8168" spans="2:6" x14ac:dyDescent="0.25">
      <c r="B8168" s="13" t="s">
        <v>14810</v>
      </c>
      <c r="C8168" s="17" t="s">
        <v>170</v>
      </c>
      <c r="D8168" s="13" t="s">
        <v>118</v>
      </c>
      <c r="E8168" s="13" t="s">
        <v>14811</v>
      </c>
      <c r="F8168" s="43">
        <v>632.16</v>
      </c>
    </row>
    <row r="8169" spans="2:6" x14ac:dyDescent="0.25">
      <c r="B8169" s="13" t="s">
        <v>14812</v>
      </c>
      <c r="C8169" s="17" t="s">
        <v>170</v>
      </c>
      <c r="D8169" s="13" t="s">
        <v>118</v>
      </c>
      <c r="E8169" s="13" t="s">
        <v>14813</v>
      </c>
      <c r="F8169" s="43">
        <v>632.16</v>
      </c>
    </row>
    <row r="8170" spans="2:6" x14ac:dyDescent="0.25">
      <c r="B8170" s="13" t="s">
        <v>14814</v>
      </c>
      <c r="C8170" s="17" t="s">
        <v>170</v>
      </c>
      <c r="D8170" s="13" t="s">
        <v>118</v>
      </c>
      <c r="E8170" s="13" t="s">
        <v>14815</v>
      </c>
      <c r="F8170" s="43">
        <v>632.16</v>
      </c>
    </row>
    <row r="8171" spans="2:6" x14ac:dyDescent="0.25">
      <c r="B8171" s="13" t="s">
        <v>14816</v>
      </c>
      <c r="C8171" s="17" t="s">
        <v>170</v>
      </c>
      <c r="D8171" s="13" t="s">
        <v>118</v>
      </c>
      <c r="E8171" s="13" t="s">
        <v>14817</v>
      </c>
      <c r="F8171" s="43">
        <v>632.16</v>
      </c>
    </row>
    <row r="8172" spans="2:6" x14ac:dyDescent="0.25">
      <c r="B8172" s="13" t="s">
        <v>14818</v>
      </c>
      <c r="C8172" s="17" t="s">
        <v>170</v>
      </c>
      <c r="D8172" s="13" t="s">
        <v>118</v>
      </c>
      <c r="E8172" s="13" t="s">
        <v>14819</v>
      </c>
      <c r="F8172" s="43">
        <v>632.16</v>
      </c>
    </row>
    <row r="8173" spans="2:6" x14ac:dyDescent="0.25">
      <c r="B8173" s="13" t="s">
        <v>14820</v>
      </c>
      <c r="C8173" s="17" t="s">
        <v>170</v>
      </c>
      <c r="D8173" s="13" t="s">
        <v>118</v>
      </c>
      <c r="E8173" s="13" t="s">
        <v>14821</v>
      </c>
      <c r="F8173" s="43">
        <v>632.16</v>
      </c>
    </row>
    <row r="8174" spans="2:6" x14ac:dyDescent="0.25">
      <c r="B8174" s="13" t="s">
        <v>14822</v>
      </c>
      <c r="C8174" s="17" t="s">
        <v>170</v>
      </c>
      <c r="D8174" s="13" t="s">
        <v>118</v>
      </c>
      <c r="E8174" s="13" t="s">
        <v>14823</v>
      </c>
      <c r="F8174" s="43">
        <v>632.16</v>
      </c>
    </row>
    <row r="8175" spans="2:6" x14ac:dyDescent="0.25">
      <c r="B8175" s="13" t="s">
        <v>14824</v>
      </c>
      <c r="C8175" s="17" t="s">
        <v>170</v>
      </c>
      <c r="D8175" s="13" t="s">
        <v>118</v>
      </c>
      <c r="E8175" s="13" t="s">
        <v>14825</v>
      </c>
      <c r="F8175" s="43">
        <v>632.16</v>
      </c>
    </row>
    <row r="8176" spans="2:6" x14ac:dyDescent="0.25">
      <c r="B8176" s="13" t="s">
        <v>14826</v>
      </c>
      <c r="C8176" s="17" t="s">
        <v>170</v>
      </c>
      <c r="D8176" s="13" t="s">
        <v>118</v>
      </c>
      <c r="E8176" s="13" t="s">
        <v>14827</v>
      </c>
      <c r="F8176" s="43">
        <v>632.16</v>
      </c>
    </row>
    <row r="8177" spans="2:6" x14ac:dyDescent="0.25">
      <c r="B8177" s="13" t="s">
        <v>14828</v>
      </c>
      <c r="C8177" s="17" t="s">
        <v>170</v>
      </c>
      <c r="D8177" s="13" t="s">
        <v>118</v>
      </c>
      <c r="E8177" s="13" t="s">
        <v>14829</v>
      </c>
      <c r="F8177" s="43">
        <v>632.16</v>
      </c>
    </row>
    <row r="8178" spans="2:6" x14ac:dyDescent="0.25">
      <c r="B8178" s="13" t="s">
        <v>14830</v>
      </c>
      <c r="C8178" s="17" t="s">
        <v>170</v>
      </c>
      <c r="D8178" s="13" t="s">
        <v>118</v>
      </c>
      <c r="E8178" s="13" t="s">
        <v>14831</v>
      </c>
      <c r="F8178" s="43">
        <v>632.16</v>
      </c>
    </row>
    <row r="8179" spans="2:6" x14ac:dyDescent="0.25">
      <c r="B8179" s="13" t="s">
        <v>14832</v>
      </c>
      <c r="C8179" s="17" t="s">
        <v>170</v>
      </c>
      <c r="D8179" s="13" t="s">
        <v>118</v>
      </c>
      <c r="E8179" s="13" t="s">
        <v>14833</v>
      </c>
      <c r="F8179" s="43">
        <v>216.65</v>
      </c>
    </row>
    <row r="8180" spans="2:6" x14ac:dyDescent="0.25">
      <c r="B8180" s="13" t="s">
        <v>14834</v>
      </c>
      <c r="C8180" s="17" t="s">
        <v>170</v>
      </c>
      <c r="D8180" s="13" t="s">
        <v>118</v>
      </c>
      <c r="E8180" s="13" t="s">
        <v>14835</v>
      </c>
      <c r="F8180" s="43">
        <v>216.65</v>
      </c>
    </row>
    <row r="8181" spans="2:6" x14ac:dyDescent="0.25">
      <c r="B8181" s="13" t="s">
        <v>14836</v>
      </c>
      <c r="C8181" s="17" t="s">
        <v>170</v>
      </c>
      <c r="D8181" s="13" t="s">
        <v>118</v>
      </c>
      <c r="E8181" s="13" t="s">
        <v>14837</v>
      </c>
      <c r="F8181" s="43">
        <v>216.65</v>
      </c>
    </row>
    <row r="8182" spans="2:6" x14ac:dyDescent="0.25">
      <c r="B8182" s="13" t="s">
        <v>14838</v>
      </c>
      <c r="C8182" s="17" t="s">
        <v>170</v>
      </c>
      <c r="D8182" s="13" t="s">
        <v>118</v>
      </c>
      <c r="E8182" s="13" t="s">
        <v>14839</v>
      </c>
      <c r="F8182" s="43">
        <v>216.65</v>
      </c>
    </row>
    <row r="8183" spans="2:6" x14ac:dyDescent="0.25">
      <c r="B8183" s="13" t="s">
        <v>14840</v>
      </c>
      <c r="C8183" s="17" t="s">
        <v>170</v>
      </c>
      <c r="D8183" s="13" t="s">
        <v>118</v>
      </c>
      <c r="E8183" s="13" t="s">
        <v>14841</v>
      </c>
      <c r="F8183" s="43">
        <v>216.65</v>
      </c>
    </row>
    <row r="8184" spans="2:6" x14ac:dyDescent="0.25">
      <c r="B8184" s="13" t="s">
        <v>14842</v>
      </c>
      <c r="C8184" s="17" t="s">
        <v>170</v>
      </c>
      <c r="D8184" s="13" t="s">
        <v>118</v>
      </c>
      <c r="E8184" s="13" t="s">
        <v>14843</v>
      </c>
      <c r="F8184" s="43">
        <v>216.65</v>
      </c>
    </row>
    <row r="8185" spans="2:6" x14ac:dyDescent="0.25">
      <c r="B8185" s="13" t="s">
        <v>14844</v>
      </c>
      <c r="C8185" s="17" t="s">
        <v>170</v>
      </c>
      <c r="D8185" s="13" t="s">
        <v>118</v>
      </c>
      <c r="E8185" s="13" t="s">
        <v>14845</v>
      </c>
      <c r="F8185" s="43">
        <v>216.65</v>
      </c>
    </row>
    <row r="8186" spans="2:6" x14ac:dyDescent="0.25">
      <c r="B8186" s="13" t="s">
        <v>14846</v>
      </c>
      <c r="C8186" s="17" t="s">
        <v>170</v>
      </c>
      <c r="D8186" s="13" t="s">
        <v>118</v>
      </c>
      <c r="E8186" s="13" t="s">
        <v>14847</v>
      </c>
      <c r="F8186" s="43">
        <v>216.65</v>
      </c>
    </row>
    <row r="8187" spans="2:6" x14ac:dyDescent="0.25">
      <c r="B8187" s="13" t="s">
        <v>14848</v>
      </c>
      <c r="C8187" s="17" t="s">
        <v>170</v>
      </c>
      <c r="D8187" s="13" t="s">
        <v>118</v>
      </c>
      <c r="E8187" s="13" t="s">
        <v>14849</v>
      </c>
      <c r="F8187" s="43">
        <v>216.65</v>
      </c>
    </row>
    <row r="8188" spans="2:6" x14ac:dyDescent="0.25">
      <c r="B8188" s="13" t="s">
        <v>14850</v>
      </c>
      <c r="C8188" s="17" t="s">
        <v>170</v>
      </c>
      <c r="D8188" s="13" t="s">
        <v>118</v>
      </c>
      <c r="E8188" s="13" t="s">
        <v>14851</v>
      </c>
      <c r="F8188" s="43">
        <v>216.65</v>
      </c>
    </row>
    <row r="8189" spans="2:6" x14ac:dyDescent="0.25">
      <c r="B8189" s="13" t="s">
        <v>14852</v>
      </c>
      <c r="C8189" s="17" t="s">
        <v>170</v>
      </c>
      <c r="D8189" s="13" t="s">
        <v>118</v>
      </c>
      <c r="E8189" s="13" t="s">
        <v>14853</v>
      </c>
      <c r="F8189" s="43">
        <v>216.65</v>
      </c>
    </row>
    <row r="8190" spans="2:6" x14ac:dyDescent="0.25">
      <c r="B8190" s="13" t="s">
        <v>14854</v>
      </c>
      <c r="C8190" s="17" t="s">
        <v>170</v>
      </c>
      <c r="D8190" s="13" t="s">
        <v>118</v>
      </c>
      <c r="E8190" s="13" t="s">
        <v>14855</v>
      </c>
      <c r="F8190" s="43">
        <v>216.65</v>
      </c>
    </row>
    <row r="8191" spans="2:6" x14ac:dyDescent="0.25">
      <c r="B8191" s="13" t="s">
        <v>14856</v>
      </c>
      <c r="C8191" s="17" t="s">
        <v>170</v>
      </c>
      <c r="D8191" s="13" t="s">
        <v>118</v>
      </c>
      <c r="E8191" s="13" t="s">
        <v>14857</v>
      </c>
      <c r="F8191" s="43">
        <v>216.65</v>
      </c>
    </row>
    <row r="8192" spans="2:6" x14ac:dyDescent="0.25">
      <c r="B8192" s="13" t="s">
        <v>14858</v>
      </c>
      <c r="C8192" s="17" t="s">
        <v>170</v>
      </c>
      <c r="D8192" s="13" t="s">
        <v>118</v>
      </c>
      <c r="E8192" s="13" t="s">
        <v>14859</v>
      </c>
      <c r="F8192" s="43">
        <v>216.65</v>
      </c>
    </row>
    <row r="8193" spans="2:6" x14ac:dyDescent="0.25">
      <c r="B8193" s="13" t="s">
        <v>14860</v>
      </c>
      <c r="C8193" s="17" t="s">
        <v>170</v>
      </c>
      <c r="D8193" s="13" t="s">
        <v>118</v>
      </c>
      <c r="E8193" s="13" t="s">
        <v>14861</v>
      </c>
      <c r="F8193" s="43">
        <v>216.65</v>
      </c>
    </row>
    <row r="8194" spans="2:6" x14ac:dyDescent="0.25">
      <c r="B8194" s="13" t="s">
        <v>14862</v>
      </c>
      <c r="C8194" s="17" t="s">
        <v>170</v>
      </c>
      <c r="D8194" s="13" t="s">
        <v>118</v>
      </c>
      <c r="E8194" s="13" t="s">
        <v>14863</v>
      </c>
      <c r="F8194" s="43">
        <v>216.65</v>
      </c>
    </row>
    <row r="8195" spans="2:6" x14ac:dyDescent="0.25">
      <c r="B8195" s="13" t="s">
        <v>14864</v>
      </c>
      <c r="C8195" s="17" t="s">
        <v>170</v>
      </c>
      <c r="D8195" s="13" t="s">
        <v>118</v>
      </c>
      <c r="E8195" s="13" t="s">
        <v>14865</v>
      </c>
      <c r="F8195" s="43">
        <v>216.65</v>
      </c>
    </row>
    <row r="8196" spans="2:6" x14ac:dyDescent="0.25">
      <c r="B8196" s="13" t="s">
        <v>14866</v>
      </c>
      <c r="C8196" s="17" t="s">
        <v>170</v>
      </c>
      <c r="D8196" s="13" t="s">
        <v>118</v>
      </c>
      <c r="E8196" s="13" t="s">
        <v>14867</v>
      </c>
      <c r="F8196" s="43">
        <v>216.65</v>
      </c>
    </row>
    <row r="8197" spans="2:6" x14ac:dyDescent="0.25">
      <c r="B8197" s="13" t="s">
        <v>14868</v>
      </c>
      <c r="C8197" s="17" t="s">
        <v>170</v>
      </c>
      <c r="D8197" s="13" t="s">
        <v>118</v>
      </c>
      <c r="E8197" s="13" t="s">
        <v>14869</v>
      </c>
      <c r="F8197" s="43">
        <v>216.65</v>
      </c>
    </row>
    <row r="8198" spans="2:6" x14ac:dyDescent="0.25">
      <c r="B8198" s="13" t="s">
        <v>14870</v>
      </c>
      <c r="C8198" s="17" t="s">
        <v>170</v>
      </c>
      <c r="D8198" s="13" t="s">
        <v>118</v>
      </c>
      <c r="E8198" s="13" t="s">
        <v>14871</v>
      </c>
      <c r="F8198" s="43">
        <v>216.65</v>
      </c>
    </row>
    <row r="8199" spans="2:6" x14ac:dyDescent="0.25">
      <c r="B8199" s="13" t="s">
        <v>14872</v>
      </c>
      <c r="C8199" s="17" t="s">
        <v>170</v>
      </c>
      <c r="D8199" s="13" t="s">
        <v>118</v>
      </c>
      <c r="E8199" s="13" t="s">
        <v>14873</v>
      </c>
      <c r="F8199" s="43">
        <v>216.65</v>
      </c>
    </row>
    <row r="8200" spans="2:6" x14ac:dyDescent="0.25">
      <c r="B8200" s="13" t="s">
        <v>14874</v>
      </c>
      <c r="C8200" s="17" t="s">
        <v>170</v>
      </c>
      <c r="D8200" s="13" t="s">
        <v>118</v>
      </c>
      <c r="E8200" s="13" t="s">
        <v>14875</v>
      </c>
      <c r="F8200" s="43">
        <v>216.65</v>
      </c>
    </row>
    <row r="8201" spans="2:6" x14ac:dyDescent="0.25">
      <c r="B8201" s="13" t="s">
        <v>14876</v>
      </c>
      <c r="C8201" s="17" t="s">
        <v>170</v>
      </c>
      <c r="D8201" s="13" t="s">
        <v>118</v>
      </c>
      <c r="E8201" s="13" t="s">
        <v>14877</v>
      </c>
      <c r="F8201" s="43">
        <v>216.65</v>
      </c>
    </row>
    <row r="8202" spans="2:6" x14ac:dyDescent="0.25">
      <c r="B8202" s="13" t="s">
        <v>14878</v>
      </c>
      <c r="C8202" s="17" t="s">
        <v>170</v>
      </c>
      <c r="D8202" s="13" t="s">
        <v>118</v>
      </c>
      <c r="E8202" s="13" t="s">
        <v>14879</v>
      </c>
      <c r="F8202" s="43">
        <v>216.65</v>
      </c>
    </row>
    <row r="8203" spans="2:6" x14ac:dyDescent="0.25">
      <c r="B8203" s="13" t="s">
        <v>14880</v>
      </c>
      <c r="C8203" s="17" t="s">
        <v>170</v>
      </c>
      <c r="D8203" s="13" t="s">
        <v>118</v>
      </c>
      <c r="E8203" s="13" t="s">
        <v>14881</v>
      </c>
      <c r="F8203" s="43">
        <v>216.65</v>
      </c>
    </row>
    <row r="8204" spans="2:6" x14ac:dyDescent="0.25">
      <c r="B8204" s="13" t="s">
        <v>14882</v>
      </c>
      <c r="C8204" s="17" t="s">
        <v>170</v>
      </c>
      <c r="D8204" s="13" t="s">
        <v>118</v>
      </c>
      <c r="E8204" s="13" t="s">
        <v>14883</v>
      </c>
      <c r="F8204" s="43">
        <v>216.65</v>
      </c>
    </row>
    <row r="8205" spans="2:6" x14ac:dyDescent="0.25">
      <c r="B8205" s="13" t="s">
        <v>14884</v>
      </c>
      <c r="C8205" s="17" t="s">
        <v>170</v>
      </c>
      <c r="D8205" s="13" t="s">
        <v>118</v>
      </c>
      <c r="E8205" s="13" t="s">
        <v>14885</v>
      </c>
      <c r="F8205" s="43">
        <v>216.65</v>
      </c>
    </row>
    <row r="8206" spans="2:6" x14ac:dyDescent="0.25">
      <c r="B8206" s="13" t="s">
        <v>14886</v>
      </c>
      <c r="C8206" s="17" t="s">
        <v>170</v>
      </c>
      <c r="D8206" s="13" t="s">
        <v>118</v>
      </c>
      <c r="E8206" s="13" t="s">
        <v>14887</v>
      </c>
      <c r="F8206" s="43">
        <v>216.65</v>
      </c>
    </row>
    <row r="8207" spans="2:6" x14ac:dyDescent="0.25">
      <c r="B8207" s="13" t="s">
        <v>14888</v>
      </c>
      <c r="C8207" s="17" t="s">
        <v>170</v>
      </c>
      <c r="D8207" s="13" t="s">
        <v>118</v>
      </c>
      <c r="E8207" s="13" t="s">
        <v>14889</v>
      </c>
      <c r="F8207" s="43">
        <v>216.65</v>
      </c>
    </row>
    <row r="8208" spans="2:6" x14ac:dyDescent="0.25">
      <c r="B8208" s="13" t="s">
        <v>14890</v>
      </c>
      <c r="C8208" s="17" t="s">
        <v>170</v>
      </c>
      <c r="D8208" s="13" t="s">
        <v>118</v>
      </c>
      <c r="E8208" s="13" t="s">
        <v>14891</v>
      </c>
      <c r="F8208" s="43">
        <v>216.65</v>
      </c>
    </row>
    <row r="8209" spans="2:6" x14ac:dyDescent="0.25">
      <c r="B8209" s="13" t="s">
        <v>14892</v>
      </c>
      <c r="C8209" s="17" t="s">
        <v>170</v>
      </c>
      <c r="D8209" s="13" t="s">
        <v>118</v>
      </c>
      <c r="E8209" s="13" t="s">
        <v>14893</v>
      </c>
      <c r="F8209" s="43">
        <v>216.65</v>
      </c>
    </row>
    <row r="8210" spans="2:6" x14ac:dyDescent="0.25">
      <c r="B8210" s="13" t="s">
        <v>14894</v>
      </c>
      <c r="C8210" s="17" t="s">
        <v>170</v>
      </c>
      <c r="D8210" s="13" t="s">
        <v>118</v>
      </c>
      <c r="E8210" s="13" t="s">
        <v>14895</v>
      </c>
      <c r="F8210" s="43">
        <v>216.65</v>
      </c>
    </row>
    <row r="8211" spans="2:6" x14ac:dyDescent="0.25">
      <c r="B8211" s="13" t="s">
        <v>14896</v>
      </c>
      <c r="C8211" s="17" t="s">
        <v>170</v>
      </c>
      <c r="D8211" s="13" t="s">
        <v>118</v>
      </c>
      <c r="E8211" s="13" t="s">
        <v>14897</v>
      </c>
      <c r="F8211" s="43">
        <v>216.65</v>
      </c>
    </row>
    <row r="8212" spans="2:6" x14ac:dyDescent="0.25">
      <c r="B8212" s="13" t="s">
        <v>14898</v>
      </c>
      <c r="C8212" s="17" t="s">
        <v>170</v>
      </c>
      <c r="D8212" s="13" t="s">
        <v>118</v>
      </c>
      <c r="E8212" s="13" t="s">
        <v>14899</v>
      </c>
      <c r="F8212" s="43">
        <v>216.65</v>
      </c>
    </row>
    <row r="8213" spans="2:6" x14ac:dyDescent="0.25">
      <c r="B8213" s="13" t="s">
        <v>14900</v>
      </c>
      <c r="C8213" s="17" t="s">
        <v>170</v>
      </c>
      <c r="D8213" s="13" t="s">
        <v>118</v>
      </c>
      <c r="E8213" s="13" t="s">
        <v>14901</v>
      </c>
      <c r="F8213" s="43">
        <v>216.65</v>
      </c>
    </row>
    <row r="8214" spans="2:6" x14ac:dyDescent="0.25">
      <c r="B8214" s="13" t="s">
        <v>14902</v>
      </c>
      <c r="C8214" s="17" t="s">
        <v>170</v>
      </c>
      <c r="D8214" s="13" t="s">
        <v>118</v>
      </c>
      <c r="E8214" s="13" t="s">
        <v>14903</v>
      </c>
      <c r="F8214" s="43">
        <v>216.65</v>
      </c>
    </row>
    <row r="8215" spans="2:6" x14ac:dyDescent="0.25">
      <c r="B8215" s="13" t="s">
        <v>14904</v>
      </c>
      <c r="C8215" s="17" t="s">
        <v>170</v>
      </c>
      <c r="D8215" s="13" t="s">
        <v>118</v>
      </c>
      <c r="E8215" s="13" t="s">
        <v>14905</v>
      </c>
      <c r="F8215" s="43">
        <v>216.65</v>
      </c>
    </row>
    <row r="8216" spans="2:6" x14ac:dyDescent="0.25">
      <c r="B8216" s="13" t="s">
        <v>14906</v>
      </c>
      <c r="C8216" s="17" t="s">
        <v>170</v>
      </c>
      <c r="D8216" s="13" t="s">
        <v>118</v>
      </c>
      <c r="E8216" s="13" t="s">
        <v>14907</v>
      </c>
      <c r="F8216" s="43">
        <v>216.65</v>
      </c>
    </row>
    <row r="8217" spans="2:6" x14ac:dyDescent="0.25">
      <c r="B8217" s="13" t="s">
        <v>14908</v>
      </c>
      <c r="C8217" s="17" t="s">
        <v>170</v>
      </c>
      <c r="D8217" s="13" t="s">
        <v>118</v>
      </c>
      <c r="E8217" s="13" t="s">
        <v>14909</v>
      </c>
      <c r="F8217" s="43">
        <v>216.65</v>
      </c>
    </row>
    <row r="8218" spans="2:6" x14ac:dyDescent="0.25">
      <c r="B8218" s="13" t="s">
        <v>14910</v>
      </c>
      <c r="C8218" s="17" t="s">
        <v>170</v>
      </c>
      <c r="D8218" s="13" t="s">
        <v>118</v>
      </c>
      <c r="E8218" s="13" t="s">
        <v>14911</v>
      </c>
      <c r="F8218" s="43">
        <v>216.65</v>
      </c>
    </row>
    <row r="8219" spans="2:6" x14ac:dyDescent="0.25">
      <c r="B8219" s="13" t="s">
        <v>14912</v>
      </c>
      <c r="C8219" s="17" t="s">
        <v>170</v>
      </c>
      <c r="D8219" s="13" t="s">
        <v>118</v>
      </c>
      <c r="E8219" s="13" t="s">
        <v>14913</v>
      </c>
      <c r="F8219" s="43">
        <v>216.65</v>
      </c>
    </row>
    <row r="8220" spans="2:6" x14ac:dyDescent="0.25">
      <c r="B8220" s="13" t="s">
        <v>14914</v>
      </c>
      <c r="C8220" s="17" t="s">
        <v>170</v>
      </c>
      <c r="D8220" s="13" t="s">
        <v>118</v>
      </c>
      <c r="E8220" s="13" t="s">
        <v>14915</v>
      </c>
      <c r="F8220" s="43">
        <v>216.65</v>
      </c>
    </row>
    <row r="8221" spans="2:6" x14ac:dyDescent="0.25">
      <c r="B8221" s="13" t="s">
        <v>14916</v>
      </c>
      <c r="C8221" s="17" t="s">
        <v>170</v>
      </c>
      <c r="D8221" s="13" t="s">
        <v>118</v>
      </c>
      <c r="E8221" s="13" t="s">
        <v>14917</v>
      </c>
      <c r="F8221" s="43">
        <v>216.65</v>
      </c>
    </row>
    <row r="8222" spans="2:6" x14ac:dyDescent="0.25">
      <c r="B8222" s="13" t="s">
        <v>14918</v>
      </c>
      <c r="C8222" s="17" t="s">
        <v>170</v>
      </c>
      <c r="D8222" s="13" t="s">
        <v>118</v>
      </c>
      <c r="E8222" s="13" t="s">
        <v>14919</v>
      </c>
      <c r="F8222" s="43">
        <v>216.65</v>
      </c>
    </row>
    <row r="8223" spans="2:6" x14ac:dyDescent="0.25">
      <c r="B8223" s="13" t="s">
        <v>14920</v>
      </c>
      <c r="C8223" s="17" t="s">
        <v>170</v>
      </c>
      <c r="D8223" s="13" t="s">
        <v>118</v>
      </c>
      <c r="E8223" s="13" t="s">
        <v>14921</v>
      </c>
      <c r="F8223" s="43">
        <v>216.65</v>
      </c>
    </row>
    <row r="8224" spans="2:6" x14ac:dyDescent="0.25">
      <c r="B8224" s="13" t="s">
        <v>14922</v>
      </c>
      <c r="C8224" s="17" t="s">
        <v>170</v>
      </c>
      <c r="D8224" s="13" t="s">
        <v>118</v>
      </c>
      <c r="E8224" s="13" t="s">
        <v>14923</v>
      </c>
      <c r="F8224" s="43">
        <v>216.65</v>
      </c>
    </row>
    <row r="8225" spans="2:6" x14ac:dyDescent="0.25">
      <c r="B8225" s="13" t="s">
        <v>14924</v>
      </c>
      <c r="C8225" s="17" t="s">
        <v>170</v>
      </c>
      <c r="D8225" s="13" t="s">
        <v>118</v>
      </c>
      <c r="E8225" s="13" t="s">
        <v>14925</v>
      </c>
      <c r="F8225" s="43">
        <v>216.65</v>
      </c>
    </row>
    <row r="8226" spans="2:6" x14ac:dyDescent="0.25">
      <c r="B8226" s="13" t="s">
        <v>14926</v>
      </c>
      <c r="C8226" s="17" t="s">
        <v>170</v>
      </c>
      <c r="D8226" s="13" t="s">
        <v>118</v>
      </c>
      <c r="E8226" s="13" t="s">
        <v>14927</v>
      </c>
      <c r="F8226" s="43">
        <v>216.65</v>
      </c>
    </row>
    <row r="8227" spans="2:6" x14ac:dyDescent="0.25">
      <c r="B8227" s="13" t="s">
        <v>14928</v>
      </c>
      <c r="C8227" s="17" t="s">
        <v>170</v>
      </c>
      <c r="D8227" s="13" t="s">
        <v>118</v>
      </c>
      <c r="E8227" s="13" t="s">
        <v>14929</v>
      </c>
      <c r="F8227" s="43">
        <v>216.65</v>
      </c>
    </row>
    <row r="8228" spans="2:6" x14ac:dyDescent="0.25">
      <c r="B8228" s="13" t="s">
        <v>14930</v>
      </c>
      <c r="C8228" s="17" t="s">
        <v>170</v>
      </c>
      <c r="D8228" s="13" t="s">
        <v>118</v>
      </c>
      <c r="E8228" s="13" t="s">
        <v>14931</v>
      </c>
      <c r="F8228" s="43">
        <v>216.65</v>
      </c>
    </row>
    <row r="8229" spans="2:6" x14ac:dyDescent="0.25">
      <c r="B8229" s="13" t="s">
        <v>14932</v>
      </c>
      <c r="C8229" s="17" t="s">
        <v>170</v>
      </c>
      <c r="D8229" s="13" t="s">
        <v>118</v>
      </c>
      <c r="E8229" s="13" t="s">
        <v>14933</v>
      </c>
      <c r="F8229" s="43">
        <v>216.65</v>
      </c>
    </row>
    <row r="8230" spans="2:6" x14ac:dyDescent="0.25">
      <c r="B8230" s="13" t="s">
        <v>14934</v>
      </c>
      <c r="C8230" s="17" t="s">
        <v>170</v>
      </c>
      <c r="D8230" s="13" t="s">
        <v>118</v>
      </c>
      <c r="E8230" s="13" t="s">
        <v>14935</v>
      </c>
      <c r="F8230" s="43">
        <v>216.65</v>
      </c>
    </row>
    <row r="8231" spans="2:6" x14ac:dyDescent="0.25">
      <c r="B8231" s="13" t="s">
        <v>14936</v>
      </c>
      <c r="C8231" s="17" t="s">
        <v>170</v>
      </c>
      <c r="D8231" s="13" t="s">
        <v>118</v>
      </c>
      <c r="E8231" s="13" t="s">
        <v>14937</v>
      </c>
      <c r="F8231" s="43">
        <v>216.65</v>
      </c>
    </row>
    <row r="8232" spans="2:6" x14ac:dyDescent="0.25">
      <c r="B8232" s="13" t="s">
        <v>14938</v>
      </c>
      <c r="C8232" s="17" t="s">
        <v>170</v>
      </c>
      <c r="D8232" s="13" t="s">
        <v>118</v>
      </c>
      <c r="E8232" s="13" t="s">
        <v>14939</v>
      </c>
      <c r="F8232" s="43">
        <v>242.13</v>
      </c>
    </row>
    <row r="8233" spans="2:6" x14ac:dyDescent="0.25">
      <c r="B8233" s="13" t="s">
        <v>14940</v>
      </c>
      <c r="C8233" s="17" t="s">
        <v>170</v>
      </c>
      <c r="D8233" s="13" t="s">
        <v>118</v>
      </c>
      <c r="E8233" s="13" t="s">
        <v>14941</v>
      </c>
      <c r="F8233" s="43">
        <v>242.13</v>
      </c>
    </row>
    <row r="8234" spans="2:6" x14ac:dyDescent="0.25">
      <c r="B8234" s="13" t="s">
        <v>14942</v>
      </c>
      <c r="C8234" s="17" t="s">
        <v>170</v>
      </c>
      <c r="D8234" s="13" t="s">
        <v>118</v>
      </c>
      <c r="E8234" s="13" t="s">
        <v>14943</v>
      </c>
      <c r="F8234" s="43">
        <v>242.13</v>
      </c>
    </row>
    <row r="8235" spans="2:6" x14ac:dyDescent="0.25">
      <c r="B8235" s="13" t="s">
        <v>14944</v>
      </c>
      <c r="C8235" s="17" t="s">
        <v>170</v>
      </c>
      <c r="D8235" s="13" t="s">
        <v>118</v>
      </c>
      <c r="E8235" s="13" t="s">
        <v>14945</v>
      </c>
      <c r="F8235" s="43">
        <v>387.52</v>
      </c>
    </row>
    <row r="8236" spans="2:6" x14ac:dyDescent="0.25">
      <c r="B8236" s="13" t="s">
        <v>14946</v>
      </c>
      <c r="C8236" s="17" t="s">
        <v>170</v>
      </c>
      <c r="D8236" s="13" t="s">
        <v>118</v>
      </c>
      <c r="E8236" s="13" t="s">
        <v>14947</v>
      </c>
      <c r="F8236" s="43">
        <v>216.65</v>
      </c>
    </row>
    <row r="8237" spans="2:6" x14ac:dyDescent="0.25">
      <c r="B8237" s="13" t="s">
        <v>14948</v>
      </c>
      <c r="C8237" s="17" t="s">
        <v>170</v>
      </c>
      <c r="D8237" s="13" t="s">
        <v>118</v>
      </c>
      <c r="E8237" s="13" t="s">
        <v>14949</v>
      </c>
      <c r="F8237" s="43">
        <v>216.65</v>
      </c>
    </row>
    <row r="8238" spans="2:6" x14ac:dyDescent="0.25">
      <c r="B8238" s="13" t="s">
        <v>14950</v>
      </c>
      <c r="C8238" s="17" t="s">
        <v>170</v>
      </c>
      <c r="D8238" s="13" t="s">
        <v>118</v>
      </c>
      <c r="E8238" s="13" t="s">
        <v>14951</v>
      </c>
      <c r="F8238" s="43">
        <v>216.65</v>
      </c>
    </row>
    <row r="8239" spans="2:6" x14ac:dyDescent="0.25">
      <c r="B8239" s="13" t="s">
        <v>14952</v>
      </c>
      <c r="C8239" s="17" t="s">
        <v>170</v>
      </c>
      <c r="D8239" s="13" t="s">
        <v>118</v>
      </c>
      <c r="E8239" s="13" t="s">
        <v>14953</v>
      </c>
      <c r="F8239" s="43">
        <v>216.65</v>
      </c>
    </row>
    <row r="8240" spans="2:6" x14ac:dyDescent="0.25">
      <c r="B8240" s="13" t="s">
        <v>14954</v>
      </c>
      <c r="C8240" s="17" t="s">
        <v>170</v>
      </c>
      <c r="D8240" s="13" t="s">
        <v>118</v>
      </c>
      <c r="E8240" s="13" t="s">
        <v>14955</v>
      </c>
      <c r="F8240" s="43">
        <v>216.65</v>
      </c>
    </row>
    <row r="8241" spans="2:6" x14ac:dyDescent="0.25">
      <c r="B8241" s="13" t="s">
        <v>14956</v>
      </c>
      <c r="C8241" s="17" t="s">
        <v>170</v>
      </c>
      <c r="D8241" s="13" t="s">
        <v>118</v>
      </c>
      <c r="E8241" s="13" t="s">
        <v>14957</v>
      </c>
      <c r="F8241" s="43">
        <v>216.65</v>
      </c>
    </row>
    <row r="8242" spans="2:6" x14ac:dyDescent="0.25">
      <c r="B8242" s="13" t="s">
        <v>14958</v>
      </c>
      <c r="C8242" s="17" t="s">
        <v>170</v>
      </c>
      <c r="D8242" s="13" t="s">
        <v>118</v>
      </c>
      <c r="E8242" s="13" t="s">
        <v>14959</v>
      </c>
      <c r="F8242" s="43">
        <v>242.13</v>
      </c>
    </row>
    <row r="8243" spans="2:6" x14ac:dyDescent="0.25">
      <c r="B8243" s="13" t="s">
        <v>14960</v>
      </c>
      <c r="C8243" s="17" t="s">
        <v>170</v>
      </c>
      <c r="D8243" s="13" t="s">
        <v>118</v>
      </c>
      <c r="E8243" s="13" t="s">
        <v>14961</v>
      </c>
      <c r="F8243" s="43">
        <v>242.13</v>
      </c>
    </row>
    <row r="8244" spans="2:6" x14ac:dyDescent="0.25">
      <c r="B8244" s="13" t="s">
        <v>14962</v>
      </c>
      <c r="C8244" s="17" t="s">
        <v>170</v>
      </c>
      <c r="D8244" s="13" t="s">
        <v>118</v>
      </c>
      <c r="E8244" s="13" t="s">
        <v>14963</v>
      </c>
      <c r="F8244" s="43">
        <v>387.52</v>
      </c>
    </row>
    <row r="8245" spans="2:6" x14ac:dyDescent="0.25">
      <c r="B8245" s="13" t="s">
        <v>14964</v>
      </c>
      <c r="C8245" s="17" t="s">
        <v>170</v>
      </c>
      <c r="D8245" s="13" t="s">
        <v>118</v>
      </c>
      <c r="E8245" s="13" t="s">
        <v>14965</v>
      </c>
      <c r="F8245" s="43">
        <v>364.91</v>
      </c>
    </row>
    <row r="8246" spans="2:6" x14ac:dyDescent="0.25">
      <c r="B8246" s="13" t="s">
        <v>14966</v>
      </c>
      <c r="C8246" s="17" t="s">
        <v>170</v>
      </c>
      <c r="D8246" s="13" t="s">
        <v>118</v>
      </c>
      <c r="E8246" s="13" t="s">
        <v>14967</v>
      </c>
      <c r="F8246" s="43">
        <v>364.91</v>
      </c>
    </row>
    <row r="8247" spans="2:6" x14ac:dyDescent="0.25">
      <c r="B8247" s="13" t="s">
        <v>14968</v>
      </c>
      <c r="C8247" s="17" t="s">
        <v>170</v>
      </c>
      <c r="D8247" s="13" t="s">
        <v>118</v>
      </c>
      <c r="E8247" s="13" t="s">
        <v>14969</v>
      </c>
      <c r="F8247" s="43">
        <v>364.91</v>
      </c>
    </row>
    <row r="8248" spans="2:6" x14ac:dyDescent="0.25">
      <c r="B8248" s="13" t="s">
        <v>14970</v>
      </c>
      <c r="C8248" s="17" t="s">
        <v>170</v>
      </c>
      <c r="D8248" s="13" t="s">
        <v>118</v>
      </c>
      <c r="E8248" s="13" t="s">
        <v>14971</v>
      </c>
      <c r="F8248" s="43">
        <v>364.91</v>
      </c>
    </row>
    <row r="8249" spans="2:6" x14ac:dyDescent="0.25">
      <c r="B8249" s="13" t="s">
        <v>14972</v>
      </c>
      <c r="C8249" s="17" t="s">
        <v>170</v>
      </c>
      <c r="D8249" s="13" t="s">
        <v>118</v>
      </c>
      <c r="E8249" s="13" t="s">
        <v>14973</v>
      </c>
      <c r="F8249" s="43">
        <v>364.91</v>
      </c>
    </row>
    <row r="8250" spans="2:6" x14ac:dyDescent="0.25">
      <c r="B8250" s="13" t="s">
        <v>14974</v>
      </c>
      <c r="C8250" s="17" t="s">
        <v>170</v>
      </c>
      <c r="D8250" s="13" t="s">
        <v>118</v>
      </c>
      <c r="E8250" s="13" t="s">
        <v>14975</v>
      </c>
      <c r="F8250" s="43">
        <v>364.91</v>
      </c>
    </row>
    <row r="8251" spans="2:6" x14ac:dyDescent="0.25">
      <c r="B8251" s="13" t="s">
        <v>14976</v>
      </c>
      <c r="C8251" s="17" t="s">
        <v>170</v>
      </c>
      <c r="D8251" s="13" t="s">
        <v>118</v>
      </c>
      <c r="E8251" s="13" t="s">
        <v>14977</v>
      </c>
      <c r="F8251" s="43">
        <v>364.91</v>
      </c>
    </row>
    <row r="8252" spans="2:6" x14ac:dyDescent="0.25">
      <c r="B8252" s="13" t="s">
        <v>14978</v>
      </c>
      <c r="C8252" s="17" t="s">
        <v>170</v>
      </c>
      <c r="D8252" s="13" t="s">
        <v>118</v>
      </c>
      <c r="E8252" s="13" t="s">
        <v>14979</v>
      </c>
      <c r="F8252" s="43">
        <v>364.91</v>
      </c>
    </row>
    <row r="8253" spans="2:6" x14ac:dyDescent="0.25">
      <c r="B8253" s="13" t="s">
        <v>14980</v>
      </c>
      <c r="C8253" s="17" t="s">
        <v>170</v>
      </c>
      <c r="D8253" s="13" t="s">
        <v>118</v>
      </c>
      <c r="E8253" s="13" t="s">
        <v>14981</v>
      </c>
      <c r="F8253" s="43">
        <v>364.91</v>
      </c>
    </row>
    <row r="8254" spans="2:6" x14ac:dyDescent="0.25">
      <c r="B8254" s="13" t="s">
        <v>14982</v>
      </c>
      <c r="C8254" s="17" t="s">
        <v>170</v>
      </c>
      <c r="D8254" s="13" t="s">
        <v>118</v>
      </c>
      <c r="E8254" s="13" t="s">
        <v>14983</v>
      </c>
      <c r="F8254" s="43">
        <v>364.91</v>
      </c>
    </row>
    <row r="8255" spans="2:6" x14ac:dyDescent="0.25">
      <c r="B8255" s="13" t="s">
        <v>14984</v>
      </c>
      <c r="C8255" s="17" t="s">
        <v>170</v>
      </c>
      <c r="D8255" s="13" t="s">
        <v>118</v>
      </c>
      <c r="E8255" s="13" t="s">
        <v>14985</v>
      </c>
      <c r="F8255" s="43">
        <v>364.91</v>
      </c>
    </row>
    <row r="8256" spans="2:6" x14ac:dyDescent="0.25">
      <c r="B8256" s="13" t="s">
        <v>14986</v>
      </c>
      <c r="C8256" s="17" t="s">
        <v>170</v>
      </c>
      <c r="D8256" s="13" t="s">
        <v>118</v>
      </c>
      <c r="E8256" s="13" t="s">
        <v>14987</v>
      </c>
      <c r="F8256" s="43">
        <v>364.91</v>
      </c>
    </row>
    <row r="8257" spans="2:6" x14ac:dyDescent="0.25">
      <c r="B8257" s="13" t="s">
        <v>14988</v>
      </c>
      <c r="C8257" s="17" t="s">
        <v>170</v>
      </c>
      <c r="D8257" s="13" t="s">
        <v>118</v>
      </c>
      <c r="E8257" s="13" t="s">
        <v>14989</v>
      </c>
      <c r="F8257" s="43">
        <v>364.91</v>
      </c>
    </row>
    <row r="8258" spans="2:6" x14ac:dyDescent="0.25">
      <c r="B8258" s="13" t="s">
        <v>14990</v>
      </c>
      <c r="C8258" s="17" t="s">
        <v>170</v>
      </c>
      <c r="D8258" s="13" t="s">
        <v>118</v>
      </c>
      <c r="E8258" s="13" t="s">
        <v>14991</v>
      </c>
      <c r="F8258" s="43">
        <v>364.91</v>
      </c>
    </row>
    <row r="8259" spans="2:6" x14ac:dyDescent="0.25">
      <c r="B8259" s="13" t="s">
        <v>14992</v>
      </c>
      <c r="C8259" s="17" t="s">
        <v>170</v>
      </c>
      <c r="D8259" s="13" t="s">
        <v>118</v>
      </c>
      <c r="E8259" s="13" t="s">
        <v>14993</v>
      </c>
      <c r="F8259" s="43">
        <v>364.91</v>
      </c>
    </row>
    <row r="8260" spans="2:6" x14ac:dyDescent="0.25">
      <c r="B8260" s="13" t="s">
        <v>14994</v>
      </c>
      <c r="C8260" s="17" t="s">
        <v>170</v>
      </c>
      <c r="D8260" s="13" t="s">
        <v>118</v>
      </c>
      <c r="E8260" s="13" t="s">
        <v>14995</v>
      </c>
      <c r="F8260" s="43">
        <v>364.91</v>
      </c>
    </row>
    <row r="8261" spans="2:6" x14ac:dyDescent="0.25">
      <c r="B8261" s="13" t="s">
        <v>14996</v>
      </c>
      <c r="C8261" s="17" t="s">
        <v>170</v>
      </c>
      <c r="D8261" s="13" t="s">
        <v>118</v>
      </c>
      <c r="E8261" s="13" t="s">
        <v>14997</v>
      </c>
      <c r="F8261" s="43">
        <v>364.91</v>
      </c>
    </row>
    <row r="8262" spans="2:6" x14ac:dyDescent="0.25">
      <c r="B8262" s="13" t="s">
        <v>14998</v>
      </c>
      <c r="C8262" s="17" t="s">
        <v>170</v>
      </c>
      <c r="D8262" s="13" t="s">
        <v>118</v>
      </c>
      <c r="E8262" s="13" t="s">
        <v>14999</v>
      </c>
      <c r="F8262" s="43">
        <v>364.91</v>
      </c>
    </row>
    <row r="8263" spans="2:6" x14ac:dyDescent="0.25">
      <c r="B8263" s="13" t="s">
        <v>15000</v>
      </c>
      <c r="C8263" s="17" t="s">
        <v>170</v>
      </c>
      <c r="D8263" s="13" t="s">
        <v>118</v>
      </c>
      <c r="E8263" s="13" t="s">
        <v>15001</v>
      </c>
      <c r="F8263" s="43">
        <v>364.91</v>
      </c>
    </row>
    <row r="8264" spans="2:6" x14ac:dyDescent="0.25">
      <c r="B8264" s="13" t="s">
        <v>15002</v>
      </c>
      <c r="C8264" s="17" t="s">
        <v>170</v>
      </c>
      <c r="D8264" s="13" t="s">
        <v>118</v>
      </c>
      <c r="E8264" s="13" t="s">
        <v>15003</v>
      </c>
      <c r="F8264" s="43">
        <v>364.91</v>
      </c>
    </row>
    <row r="8265" spans="2:6" x14ac:dyDescent="0.25">
      <c r="B8265" s="13" t="s">
        <v>15004</v>
      </c>
      <c r="C8265" s="17" t="s">
        <v>170</v>
      </c>
      <c r="D8265" s="13" t="s">
        <v>118</v>
      </c>
      <c r="E8265" s="13" t="s">
        <v>15005</v>
      </c>
      <c r="F8265" s="43">
        <v>364.91</v>
      </c>
    </row>
    <row r="8266" spans="2:6" x14ac:dyDescent="0.25">
      <c r="B8266" s="13" t="s">
        <v>15006</v>
      </c>
      <c r="C8266" s="17" t="s">
        <v>170</v>
      </c>
      <c r="D8266" s="13" t="s">
        <v>118</v>
      </c>
      <c r="E8266" s="13" t="s">
        <v>15007</v>
      </c>
      <c r="F8266" s="43">
        <v>364.91</v>
      </c>
    </row>
    <row r="8267" spans="2:6" x14ac:dyDescent="0.25">
      <c r="B8267" s="13" t="s">
        <v>15008</v>
      </c>
      <c r="C8267" s="17" t="s">
        <v>170</v>
      </c>
      <c r="D8267" s="13" t="s">
        <v>118</v>
      </c>
      <c r="E8267" s="13" t="s">
        <v>15009</v>
      </c>
      <c r="F8267" s="43">
        <v>364.91</v>
      </c>
    </row>
    <row r="8268" spans="2:6" x14ac:dyDescent="0.25">
      <c r="B8268" s="13" t="s">
        <v>15010</v>
      </c>
      <c r="C8268" s="17" t="s">
        <v>170</v>
      </c>
      <c r="D8268" s="13" t="s">
        <v>118</v>
      </c>
      <c r="E8268" s="13" t="s">
        <v>15011</v>
      </c>
      <c r="F8268" s="43">
        <v>364.91</v>
      </c>
    </row>
    <row r="8269" spans="2:6" x14ac:dyDescent="0.25">
      <c r="B8269" s="13" t="s">
        <v>15012</v>
      </c>
      <c r="C8269" s="17" t="s">
        <v>170</v>
      </c>
      <c r="D8269" s="13" t="s">
        <v>118</v>
      </c>
      <c r="E8269" s="13" t="s">
        <v>15013</v>
      </c>
      <c r="F8269" s="43">
        <v>463.25</v>
      </c>
    </row>
    <row r="8270" spans="2:6" x14ac:dyDescent="0.25">
      <c r="B8270" s="13" t="s">
        <v>15014</v>
      </c>
      <c r="C8270" s="17" t="s">
        <v>170</v>
      </c>
      <c r="D8270" s="13" t="s">
        <v>118</v>
      </c>
      <c r="E8270" s="13" t="s">
        <v>15015</v>
      </c>
      <c r="F8270" s="43">
        <v>463.25</v>
      </c>
    </row>
    <row r="8271" spans="2:6" x14ac:dyDescent="0.25">
      <c r="B8271" s="13" t="s">
        <v>15016</v>
      </c>
      <c r="C8271" s="17" t="s">
        <v>170</v>
      </c>
      <c r="D8271" s="13" t="s">
        <v>118</v>
      </c>
      <c r="E8271" s="13" t="s">
        <v>15017</v>
      </c>
      <c r="F8271" s="43">
        <v>463.25</v>
      </c>
    </row>
    <row r="8272" spans="2:6" x14ac:dyDescent="0.25">
      <c r="B8272" s="13" t="s">
        <v>15018</v>
      </c>
      <c r="C8272" s="17" t="s">
        <v>170</v>
      </c>
      <c r="D8272" s="13" t="s">
        <v>118</v>
      </c>
      <c r="E8272" s="13" t="s">
        <v>15019</v>
      </c>
      <c r="F8272" s="43">
        <v>364.91</v>
      </c>
    </row>
    <row r="8273" spans="2:6" x14ac:dyDescent="0.25">
      <c r="B8273" s="13" t="s">
        <v>15020</v>
      </c>
      <c r="C8273" s="17" t="s">
        <v>170</v>
      </c>
      <c r="D8273" s="13" t="s">
        <v>118</v>
      </c>
      <c r="E8273" s="13" t="s">
        <v>15021</v>
      </c>
      <c r="F8273" s="43">
        <v>364.91</v>
      </c>
    </row>
    <row r="8274" spans="2:6" x14ac:dyDescent="0.25">
      <c r="B8274" s="13" t="s">
        <v>15022</v>
      </c>
      <c r="C8274" s="17" t="s">
        <v>170</v>
      </c>
      <c r="D8274" s="13" t="s">
        <v>118</v>
      </c>
      <c r="E8274" s="13" t="s">
        <v>15023</v>
      </c>
      <c r="F8274" s="43">
        <v>364.91</v>
      </c>
    </row>
    <row r="8275" spans="2:6" x14ac:dyDescent="0.25">
      <c r="B8275" s="13" t="s">
        <v>15024</v>
      </c>
      <c r="C8275" s="17" t="s">
        <v>170</v>
      </c>
      <c r="D8275" s="13" t="s">
        <v>118</v>
      </c>
      <c r="E8275" s="13" t="s">
        <v>15025</v>
      </c>
      <c r="F8275" s="43">
        <v>364.91</v>
      </c>
    </row>
    <row r="8276" spans="2:6" x14ac:dyDescent="0.25">
      <c r="B8276" s="13" t="s">
        <v>15026</v>
      </c>
      <c r="C8276" s="17" t="s">
        <v>170</v>
      </c>
      <c r="D8276" s="13" t="s">
        <v>118</v>
      </c>
      <c r="E8276" s="13" t="s">
        <v>15027</v>
      </c>
      <c r="F8276" s="43">
        <v>364.91</v>
      </c>
    </row>
    <row r="8277" spans="2:6" x14ac:dyDescent="0.25">
      <c r="B8277" s="13" t="s">
        <v>15028</v>
      </c>
      <c r="C8277" s="17" t="s">
        <v>170</v>
      </c>
      <c r="D8277" s="13" t="s">
        <v>118</v>
      </c>
      <c r="E8277" s="13" t="s">
        <v>15029</v>
      </c>
      <c r="F8277" s="43">
        <v>364.91</v>
      </c>
    </row>
    <row r="8278" spans="2:6" x14ac:dyDescent="0.25">
      <c r="B8278" s="13" t="s">
        <v>15030</v>
      </c>
      <c r="C8278" s="17" t="s">
        <v>170</v>
      </c>
      <c r="D8278" s="13" t="s">
        <v>118</v>
      </c>
      <c r="E8278" s="13" t="s">
        <v>15031</v>
      </c>
      <c r="F8278" s="43">
        <v>364.91</v>
      </c>
    </row>
    <row r="8279" spans="2:6" x14ac:dyDescent="0.25">
      <c r="B8279" s="13" t="s">
        <v>15032</v>
      </c>
      <c r="C8279" s="17" t="s">
        <v>170</v>
      </c>
      <c r="D8279" s="13" t="s">
        <v>118</v>
      </c>
      <c r="E8279" s="13" t="s">
        <v>15033</v>
      </c>
      <c r="F8279" s="43">
        <v>463.25</v>
      </c>
    </row>
    <row r="8280" spans="2:6" x14ac:dyDescent="0.25">
      <c r="B8280" s="13" t="s">
        <v>15034</v>
      </c>
      <c r="C8280" s="17" t="s">
        <v>170</v>
      </c>
      <c r="D8280" s="13" t="s">
        <v>118</v>
      </c>
      <c r="E8280" s="13" t="s">
        <v>15035</v>
      </c>
      <c r="F8280" s="43">
        <v>463.25</v>
      </c>
    </row>
    <row r="8281" spans="2:6" x14ac:dyDescent="0.25">
      <c r="B8281" s="13" t="s">
        <v>15036</v>
      </c>
      <c r="C8281" s="17" t="s">
        <v>170</v>
      </c>
      <c r="D8281" s="13" t="s">
        <v>118</v>
      </c>
      <c r="E8281" s="13" t="s">
        <v>15037</v>
      </c>
      <c r="F8281" s="43">
        <v>463.25</v>
      </c>
    </row>
    <row r="8282" spans="2:6" x14ac:dyDescent="0.25">
      <c r="B8282" s="13" t="s">
        <v>11451</v>
      </c>
      <c r="C8282" s="17" t="s">
        <v>170</v>
      </c>
      <c r="D8282" s="13" t="s">
        <v>118</v>
      </c>
      <c r="E8282" s="13" t="s">
        <v>15038</v>
      </c>
      <c r="F8282" s="43">
        <v>18.25</v>
      </c>
    </row>
    <row r="8283" spans="2:6" x14ac:dyDescent="0.25">
      <c r="B8283" s="13" t="s">
        <v>11449</v>
      </c>
      <c r="C8283" s="17" t="s">
        <v>170</v>
      </c>
      <c r="D8283" s="13" t="s">
        <v>118</v>
      </c>
      <c r="E8283" s="13" t="s">
        <v>15039</v>
      </c>
      <c r="F8283" s="43">
        <v>18.25</v>
      </c>
    </row>
    <row r="8284" spans="2:6" x14ac:dyDescent="0.25">
      <c r="B8284" s="13" t="s">
        <v>15040</v>
      </c>
      <c r="C8284" s="17" t="s">
        <v>170</v>
      </c>
      <c r="D8284" s="13" t="s">
        <v>118</v>
      </c>
      <c r="E8284" s="13" t="s">
        <v>15041</v>
      </c>
      <c r="F8284" s="43">
        <v>40.17</v>
      </c>
    </row>
    <row r="8285" spans="2:6" x14ac:dyDescent="0.25">
      <c r="B8285" s="13" t="s">
        <v>13722</v>
      </c>
      <c r="C8285" s="17" t="s">
        <v>170</v>
      </c>
      <c r="D8285" s="13" t="s">
        <v>118</v>
      </c>
      <c r="E8285" s="13" t="s">
        <v>15042</v>
      </c>
      <c r="F8285" s="43">
        <v>18.25</v>
      </c>
    </row>
    <row r="8286" spans="2:6" x14ac:dyDescent="0.25">
      <c r="B8286" s="13" t="s">
        <v>11459</v>
      </c>
      <c r="C8286" s="17" t="s">
        <v>170</v>
      </c>
      <c r="D8286" s="13" t="s">
        <v>118</v>
      </c>
      <c r="E8286" s="13" t="s">
        <v>11460</v>
      </c>
      <c r="F8286" s="43">
        <v>126.69</v>
      </c>
    </row>
    <row r="8287" spans="2:6" x14ac:dyDescent="0.25">
      <c r="B8287" s="13" t="s">
        <v>15043</v>
      </c>
      <c r="C8287" s="17" t="s">
        <v>170</v>
      </c>
      <c r="D8287" s="13" t="s">
        <v>118</v>
      </c>
      <c r="E8287" s="13" t="s">
        <v>15044</v>
      </c>
      <c r="F8287" s="43">
        <v>284.01</v>
      </c>
    </row>
    <row r="8288" spans="2:6" x14ac:dyDescent="0.25">
      <c r="B8288" s="13" t="s">
        <v>15045</v>
      </c>
      <c r="C8288" s="17" t="s">
        <v>170</v>
      </c>
      <c r="D8288" s="13" t="s">
        <v>118</v>
      </c>
      <c r="E8288" s="13" t="s">
        <v>15046</v>
      </c>
      <c r="F8288" s="43">
        <v>284.01</v>
      </c>
    </row>
    <row r="8289" spans="2:6" x14ac:dyDescent="0.25">
      <c r="B8289" s="13" t="s">
        <v>15047</v>
      </c>
      <c r="C8289" s="17" t="s">
        <v>170</v>
      </c>
      <c r="D8289" s="13" t="s">
        <v>118</v>
      </c>
      <c r="E8289" s="13" t="s">
        <v>15048</v>
      </c>
      <c r="F8289" s="43">
        <v>284.01</v>
      </c>
    </row>
    <row r="8290" spans="2:6" x14ac:dyDescent="0.25">
      <c r="B8290" s="13" t="s">
        <v>15049</v>
      </c>
      <c r="C8290" s="17" t="s">
        <v>170</v>
      </c>
      <c r="D8290" s="13" t="s">
        <v>118</v>
      </c>
      <c r="E8290" s="13" t="s">
        <v>15050</v>
      </c>
      <c r="F8290" s="43">
        <v>284.01</v>
      </c>
    </row>
    <row r="8291" spans="2:6" x14ac:dyDescent="0.25">
      <c r="B8291" s="13" t="s">
        <v>15051</v>
      </c>
      <c r="C8291" s="17" t="s">
        <v>170</v>
      </c>
      <c r="D8291" s="13" t="s">
        <v>118</v>
      </c>
      <c r="E8291" s="13" t="s">
        <v>15052</v>
      </c>
      <c r="F8291" s="43">
        <v>284.01</v>
      </c>
    </row>
    <row r="8292" spans="2:6" x14ac:dyDescent="0.25">
      <c r="B8292" s="13" t="s">
        <v>15053</v>
      </c>
      <c r="C8292" s="17" t="s">
        <v>170</v>
      </c>
      <c r="D8292" s="13" t="s">
        <v>118</v>
      </c>
      <c r="E8292" s="13" t="s">
        <v>15054</v>
      </c>
      <c r="F8292" s="43">
        <v>284.01</v>
      </c>
    </row>
    <row r="8293" spans="2:6" x14ac:dyDescent="0.25">
      <c r="B8293" s="13" t="s">
        <v>15055</v>
      </c>
      <c r="C8293" s="17" t="s">
        <v>170</v>
      </c>
      <c r="D8293" s="13" t="s">
        <v>118</v>
      </c>
      <c r="E8293" s="13" t="s">
        <v>15056</v>
      </c>
      <c r="F8293" s="43">
        <v>284.01</v>
      </c>
    </row>
    <row r="8294" spans="2:6" x14ac:dyDescent="0.25">
      <c r="B8294" s="13" t="s">
        <v>15057</v>
      </c>
      <c r="C8294" s="17" t="s">
        <v>170</v>
      </c>
      <c r="D8294" s="13" t="s">
        <v>118</v>
      </c>
      <c r="E8294" s="13" t="s">
        <v>15058</v>
      </c>
      <c r="F8294" s="43">
        <v>284.01</v>
      </c>
    </row>
    <row r="8295" spans="2:6" x14ac:dyDescent="0.25">
      <c r="B8295" s="13" t="s">
        <v>15059</v>
      </c>
      <c r="C8295" s="17" t="s">
        <v>170</v>
      </c>
      <c r="D8295" s="13" t="s">
        <v>118</v>
      </c>
      <c r="E8295" s="13" t="s">
        <v>15060</v>
      </c>
      <c r="F8295" s="43">
        <v>284.01</v>
      </c>
    </row>
    <row r="8296" spans="2:6" x14ac:dyDescent="0.25">
      <c r="B8296" s="13" t="s">
        <v>15061</v>
      </c>
      <c r="C8296" s="17" t="s">
        <v>170</v>
      </c>
      <c r="D8296" s="13" t="s">
        <v>118</v>
      </c>
      <c r="E8296" s="13" t="s">
        <v>15062</v>
      </c>
      <c r="F8296" s="43">
        <v>284.01</v>
      </c>
    </row>
    <row r="8297" spans="2:6" x14ac:dyDescent="0.25">
      <c r="B8297" s="13" t="s">
        <v>15063</v>
      </c>
      <c r="C8297" s="17" t="s">
        <v>170</v>
      </c>
      <c r="D8297" s="13" t="s">
        <v>118</v>
      </c>
      <c r="E8297" s="13" t="s">
        <v>15064</v>
      </c>
      <c r="F8297" s="43">
        <v>284.01</v>
      </c>
    </row>
    <row r="8298" spans="2:6" x14ac:dyDescent="0.25">
      <c r="B8298" s="13" t="s">
        <v>15065</v>
      </c>
      <c r="C8298" s="17" t="s">
        <v>170</v>
      </c>
      <c r="D8298" s="13" t="s">
        <v>118</v>
      </c>
      <c r="E8298" s="13" t="s">
        <v>15066</v>
      </c>
      <c r="F8298" s="43">
        <v>284.01</v>
      </c>
    </row>
    <row r="8299" spans="2:6" x14ac:dyDescent="0.25">
      <c r="B8299" s="13" t="s">
        <v>15067</v>
      </c>
      <c r="C8299" s="17" t="s">
        <v>170</v>
      </c>
      <c r="D8299" s="13" t="s">
        <v>118</v>
      </c>
      <c r="E8299" s="13" t="s">
        <v>15068</v>
      </c>
      <c r="F8299" s="43">
        <v>284.01</v>
      </c>
    </row>
    <row r="8300" spans="2:6" x14ac:dyDescent="0.25">
      <c r="B8300" s="13" t="s">
        <v>15069</v>
      </c>
      <c r="C8300" s="17" t="s">
        <v>170</v>
      </c>
      <c r="D8300" s="13" t="s">
        <v>118</v>
      </c>
      <c r="E8300" s="13" t="s">
        <v>15070</v>
      </c>
      <c r="F8300" s="43">
        <v>284.01</v>
      </c>
    </row>
    <row r="8301" spans="2:6" x14ac:dyDescent="0.25">
      <c r="B8301" s="13" t="s">
        <v>15071</v>
      </c>
      <c r="C8301" s="17" t="s">
        <v>170</v>
      </c>
      <c r="D8301" s="13" t="s">
        <v>118</v>
      </c>
      <c r="E8301" s="13" t="s">
        <v>15072</v>
      </c>
      <c r="F8301" s="43">
        <v>284.01</v>
      </c>
    </row>
    <row r="8302" spans="2:6" x14ac:dyDescent="0.25">
      <c r="B8302" s="13" t="s">
        <v>15073</v>
      </c>
      <c r="C8302" s="17" t="s">
        <v>170</v>
      </c>
      <c r="D8302" s="13" t="s">
        <v>118</v>
      </c>
      <c r="E8302" s="13" t="s">
        <v>15074</v>
      </c>
      <c r="F8302" s="43">
        <v>284.01</v>
      </c>
    </row>
    <row r="8303" spans="2:6" x14ac:dyDescent="0.25">
      <c r="B8303" s="13" t="s">
        <v>15075</v>
      </c>
      <c r="C8303" s="17" t="s">
        <v>170</v>
      </c>
      <c r="D8303" s="13" t="s">
        <v>118</v>
      </c>
      <c r="E8303" s="13" t="s">
        <v>15076</v>
      </c>
      <c r="F8303" s="43">
        <v>284.01</v>
      </c>
    </row>
    <row r="8304" spans="2:6" x14ac:dyDescent="0.25">
      <c r="B8304" s="13" t="s">
        <v>15077</v>
      </c>
      <c r="C8304" s="17" t="s">
        <v>170</v>
      </c>
      <c r="D8304" s="13" t="s">
        <v>118</v>
      </c>
      <c r="E8304" s="13" t="s">
        <v>15078</v>
      </c>
      <c r="F8304" s="43">
        <v>284.01</v>
      </c>
    </row>
    <row r="8305" spans="2:6" x14ac:dyDescent="0.25">
      <c r="B8305" s="13" t="s">
        <v>15079</v>
      </c>
      <c r="C8305" s="17" t="s">
        <v>170</v>
      </c>
      <c r="D8305" s="13" t="s">
        <v>118</v>
      </c>
      <c r="E8305" s="13" t="s">
        <v>15080</v>
      </c>
      <c r="F8305" s="43">
        <v>284.01</v>
      </c>
    </row>
    <row r="8306" spans="2:6" x14ac:dyDescent="0.25">
      <c r="B8306" s="13" t="s">
        <v>15081</v>
      </c>
      <c r="C8306" s="17" t="s">
        <v>170</v>
      </c>
      <c r="D8306" s="13" t="s">
        <v>118</v>
      </c>
      <c r="E8306" s="13" t="s">
        <v>15082</v>
      </c>
      <c r="F8306" s="43">
        <v>284.01</v>
      </c>
    </row>
    <row r="8307" spans="2:6" x14ac:dyDescent="0.25">
      <c r="B8307" s="13" t="s">
        <v>15083</v>
      </c>
      <c r="C8307" s="17" t="s">
        <v>170</v>
      </c>
      <c r="D8307" s="13" t="s">
        <v>118</v>
      </c>
      <c r="E8307" s="13" t="s">
        <v>15084</v>
      </c>
      <c r="F8307" s="43">
        <v>284.01</v>
      </c>
    </row>
    <row r="8308" spans="2:6" x14ac:dyDescent="0.25">
      <c r="B8308" s="13" t="s">
        <v>15085</v>
      </c>
      <c r="C8308" s="17" t="s">
        <v>170</v>
      </c>
      <c r="D8308" s="13" t="s">
        <v>118</v>
      </c>
      <c r="E8308" s="13" t="s">
        <v>15086</v>
      </c>
      <c r="F8308" s="43">
        <v>284.01</v>
      </c>
    </row>
    <row r="8309" spans="2:6" x14ac:dyDescent="0.25">
      <c r="B8309" s="13" t="s">
        <v>15087</v>
      </c>
      <c r="C8309" s="17" t="s">
        <v>170</v>
      </c>
      <c r="D8309" s="13" t="s">
        <v>118</v>
      </c>
      <c r="E8309" s="13" t="s">
        <v>15088</v>
      </c>
      <c r="F8309" s="43">
        <v>284.01</v>
      </c>
    </row>
    <row r="8310" spans="2:6" x14ac:dyDescent="0.25">
      <c r="B8310" s="13" t="s">
        <v>15089</v>
      </c>
      <c r="C8310" s="17" t="s">
        <v>170</v>
      </c>
      <c r="D8310" s="13" t="s">
        <v>118</v>
      </c>
      <c r="E8310" s="13" t="s">
        <v>15090</v>
      </c>
      <c r="F8310" s="43">
        <v>314.99</v>
      </c>
    </row>
    <row r="8311" spans="2:6" x14ac:dyDescent="0.25">
      <c r="B8311" s="13" t="s">
        <v>15091</v>
      </c>
      <c r="C8311" s="17" t="s">
        <v>170</v>
      </c>
      <c r="D8311" s="13" t="s">
        <v>118</v>
      </c>
      <c r="E8311" s="13" t="s">
        <v>15092</v>
      </c>
      <c r="F8311" s="43">
        <v>314.99</v>
      </c>
    </row>
    <row r="8312" spans="2:6" x14ac:dyDescent="0.25">
      <c r="B8312" s="13" t="s">
        <v>15093</v>
      </c>
      <c r="C8312" s="17" t="s">
        <v>170</v>
      </c>
      <c r="D8312" s="13" t="s">
        <v>118</v>
      </c>
      <c r="E8312" s="13" t="s">
        <v>15094</v>
      </c>
      <c r="F8312" s="43">
        <v>353.66</v>
      </c>
    </row>
    <row r="8313" spans="2:6" x14ac:dyDescent="0.25">
      <c r="B8313" s="13" t="s">
        <v>11451</v>
      </c>
      <c r="C8313" s="17" t="s">
        <v>170</v>
      </c>
      <c r="D8313" s="13" t="s">
        <v>118</v>
      </c>
      <c r="E8313" s="13" t="s">
        <v>15038</v>
      </c>
      <c r="F8313" s="43">
        <v>18.25</v>
      </c>
    </row>
    <row r="8314" spans="2:6" x14ac:dyDescent="0.25">
      <c r="B8314" s="13" t="s">
        <v>15040</v>
      </c>
      <c r="C8314" s="17" t="s">
        <v>170</v>
      </c>
      <c r="D8314" s="13" t="s">
        <v>118</v>
      </c>
      <c r="E8314" s="13" t="s">
        <v>15095</v>
      </c>
      <c r="F8314" s="43">
        <v>40.17</v>
      </c>
    </row>
    <row r="8315" spans="2:6" x14ac:dyDescent="0.25">
      <c r="B8315" s="13" t="s">
        <v>11459</v>
      </c>
      <c r="C8315" s="17" t="s">
        <v>170</v>
      </c>
      <c r="D8315" s="13" t="s">
        <v>118</v>
      </c>
      <c r="E8315" s="13" t="s">
        <v>11460</v>
      </c>
      <c r="F8315" s="43">
        <v>126.69</v>
      </c>
    </row>
    <row r="8316" spans="2:6" x14ac:dyDescent="0.25">
      <c r="B8316" s="13" t="s">
        <v>15096</v>
      </c>
      <c r="C8316" s="17" t="s">
        <v>170</v>
      </c>
      <c r="D8316" s="13" t="s">
        <v>118</v>
      </c>
      <c r="E8316" s="13" t="s">
        <v>15097</v>
      </c>
      <c r="F8316" s="43">
        <v>415.74</v>
      </c>
    </row>
    <row r="8317" spans="2:6" x14ac:dyDescent="0.25">
      <c r="B8317" s="13" t="s">
        <v>15098</v>
      </c>
      <c r="C8317" s="17" t="s">
        <v>170</v>
      </c>
      <c r="D8317" s="13" t="s">
        <v>118</v>
      </c>
      <c r="E8317" s="13" t="s">
        <v>15099</v>
      </c>
      <c r="F8317" s="43">
        <v>415.74</v>
      </c>
    </row>
    <row r="8318" spans="2:6" x14ac:dyDescent="0.25">
      <c r="B8318" s="13" t="s">
        <v>15100</v>
      </c>
      <c r="C8318" s="17" t="s">
        <v>170</v>
      </c>
      <c r="D8318" s="13" t="s">
        <v>118</v>
      </c>
      <c r="E8318" s="13" t="s">
        <v>15101</v>
      </c>
      <c r="F8318" s="43">
        <v>415.74</v>
      </c>
    </row>
    <row r="8319" spans="2:6" x14ac:dyDescent="0.25">
      <c r="B8319" s="13" t="s">
        <v>15102</v>
      </c>
      <c r="C8319" s="17" t="s">
        <v>170</v>
      </c>
      <c r="D8319" s="13" t="s">
        <v>118</v>
      </c>
      <c r="E8319" s="13" t="s">
        <v>15103</v>
      </c>
      <c r="F8319" s="43">
        <v>415.74</v>
      </c>
    </row>
    <row r="8320" spans="2:6" x14ac:dyDescent="0.25">
      <c r="B8320" s="13" t="s">
        <v>15104</v>
      </c>
      <c r="C8320" s="17" t="s">
        <v>170</v>
      </c>
      <c r="D8320" s="13" t="s">
        <v>118</v>
      </c>
      <c r="E8320" s="13" t="s">
        <v>15105</v>
      </c>
      <c r="F8320" s="43">
        <v>415.74</v>
      </c>
    </row>
    <row r="8321" spans="2:6" x14ac:dyDescent="0.25">
      <c r="B8321" s="13" t="s">
        <v>15106</v>
      </c>
      <c r="C8321" s="17" t="s">
        <v>170</v>
      </c>
      <c r="D8321" s="13" t="s">
        <v>118</v>
      </c>
      <c r="E8321" s="13" t="s">
        <v>15107</v>
      </c>
      <c r="F8321" s="43">
        <v>415.74</v>
      </c>
    </row>
    <row r="8322" spans="2:6" x14ac:dyDescent="0.25">
      <c r="B8322" s="13" t="s">
        <v>15108</v>
      </c>
      <c r="C8322" s="17" t="s">
        <v>170</v>
      </c>
      <c r="D8322" s="13" t="s">
        <v>118</v>
      </c>
      <c r="E8322" s="13" t="s">
        <v>15109</v>
      </c>
      <c r="F8322" s="43">
        <v>415.74</v>
      </c>
    </row>
    <row r="8323" spans="2:6" x14ac:dyDescent="0.25">
      <c r="B8323" s="13" t="s">
        <v>15110</v>
      </c>
      <c r="C8323" s="17" t="s">
        <v>170</v>
      </c>
      <c r="D8323" s="13" t="s">
        <v>118</v>
      </c>
      <c r="E8323" s="13" t="s">
        <v>15111</v>
      </c>
      <c r="F8323" s="43">
        <v>415.74</v>
      </c>
    </row>
    <row r="8324" spans="2:6" x14ac:dyDescent="0.25">
      <c r="B8324" s="13" t="s">
        <v>15112</v>
      </c>
      <c r="C8324" s="17" t="s">
        <v>170</v>
      </c>
      <c r="D8324" s="13" t="s">
        <v>118</v>
      </c>
      <c r="E8324" s="13" t="s">
        <v>15113</v>
      </c>
      <c r="F8324" s="43">
        <v>415.74</v>
      </c>
    </row>
    <row r="8325" spans="2:6" x14ac:dyDescent="0.25">
      <c r="B8325" s="13" t="s">
        <v>15114</v>
      </c>
      <c r="C8325" s="17" t="s">
        <v>170</v>
      </c>
      <c r="D8325" s="13" t="s">
        <v>118</v>
      </c>
      <c r="E8325" s="13" t="s">
        <v>15115</v>
      </c>
      <c r="F8325" s="43">
        <v>415.74</v>
      </c>
    </row>
    <row r="8326" spans="2:6" x14ac:dyDescent="0.25">
      <c r="B8326" s="13" t="s">
        <v>15116</v>
      </c>
      <c r="C8326" s="17" t="s">
        <v>170</v>
      </c>
      <c r="D8326" s="13" t="s">
        <v>118</v>
      </c>
      <c r="E8326" s="13" t="s">
        <v>15117</v>
      </c>
      <c r="F8326" s="43">
        <v>415.74</v>
      </c>
    </row>
    <row r="8327" spans="2:6" x14ac:dyDescent="0.25">
      <c r="B8327" s="13" t="s">
        <v>15118</v>
      </c>
      <c r="C8327" s="17" t="s">
        <v>170</v>
      </c>
      <c r="D8327" s="13" t="s">
        <v>118</v>
      </c>
      <c r="E8327" s="13" t="s">
        <v>15119</v>
      </c>
      <c r="F8327" s="43">
        <v>415.74</v>
      </c>
    </row>
    <row r="8328" spans="2:6" x14ac:dyDescent="0.25">
      <c r="B8328" s="13" t="s">
        <v>15120</v>
      </c>
      <c r="C8328" s="17" t="s">
        <v>170</v>
      </c>
      <c r="D8328" s="13" t="s">
        <v>118</v>
      </c>
      <c r="E8328" s="13" t="s">
        <v>15121</v>
      </c>
      <c r="F8328" s="43">
        <v>415.74</v>
      </c>
    </row>
    <row r="8329" spans="2:6" x14ac:dyDescent="0.25">
      <c r="B8329" s="13" t="s">
        <v>15122</v>
      </c>
      <c r="C8329" s="17" t="s">
        <v>170</v>
      </c>
      <c r="D8329" s="13" t="s">
        <v>118</v>
      </c>
      <c r="E8329" s="13" t="s">
        <v>15123</v>
      </c>
      <c r="F8329" s="43">
        <v>415.74</v>
      </c>
    </row>
    <row r="8330" spans="2:6" x14ac:dyDescent="0.25">
      <c r="B8330" s="13" t="s">
        <v>15124</v>
      </c>
      <c r="C8330" s="17" t="s">
        <v>170</v>
      </c>
      <c r="D8330" s="13" t="s">
        <v>118</v>
      </c>
      <c r="E8330" s="13" t="s">
        <v>15125</v>
      </c>
      <c r="F8330" s="43">
        <v>415.74</v>
      </c>
    </row>
    <row r="8331" spans="2:6" x14ac:dyDescent="0.25">
      <c r="B8331" s="13" t="s">
        <v>15126</v>
      </c>
      <c r="C8331" s="17" t="s">
        <v>170</v>
      </c>
      <c r="D8331" s="13" t="s">
        <v>118</v>
      </c>
      <c r="E8331" s="13" t="s">
        <v>15127</v>
      </c>
      <c r="F8331" s="43">
        <v>415.74</v>
      </c>
    </row>
    <row r="8332" spans="2:6" x14ac:dyDescent="0.25">
      <c r="B8332" s="13" t="s">
        <v>15128</v>
      </c>
      <c r="C8332" s="17" t="s">
        <v>170</v>
      </c>
      <c r="D8332" s="13" t="s">
        <v>118</v>
      </c>
      <c r="E8332" s="13" t="s">
        <v>15129</v>
      </c>
      <c r="F8332" s="43">
        <v>415.74</v>
      </c>
    </row>
    <row r="8333" spans="2:6" x14ac:dyDescent="0.25">
      <c r="B8333" s="13" t="s">
        <v>15130</v>
      </c>
      <c r="C8333" s="17" t="s">
        <v>170</v>
      </c>
      <c r="D8333" s="13" t="s">
        <v>118</v>
      </c>
      <c r="E8333" s="13" t="s">
        <v>15131</v>
      </c>
      <c r="F8333" s="43">
        <v>415.74</v>
      </c>
    </row>
    <row r="8334" spans="2:6" x14ac:dyDescent="0.25">
      <c r="B8334" s="13" t="s">
        <v>15132</v>
      </c>
      <c r="C8334" s="17" t="s">
        <v>170</v>
      </c>
      <c r="D8334" s="13" t="s">
        <v>118</v>
      </c>
      <c r="E8334" s="13" t="s">
        <v>15133</v>
      </c>
      <c r="F8334" s="43">
        <v>415.74</v>
      </c>
    </row>
    <row r="8335" spans="2:6" x14ac:dyDescent="0.25">
      <c r="B8335" s="13" t="s">
        <v>15134</v>
      </c>
      <c r="C8335" s="17" t="s">
        <v>170</v>
      </c>
      <c r="D8335" s="13" t="s">
        <v>118</v>
      </c>
      <c r="E8335" s="13" t="s">
        <v>15135</v>
      </c>
      <c r="F8335" s="43">
        <v>415.74</v>
      </c>
    </row>
    <row r="8336" spans="2:6" x14ac:dyDescent="0.25">
      <c r="B8336" s="13" t="s">
        <v>15136</v>
      </c>
      <c r="C8336" s="17" t="s">
        <v>170</v>
      </c>
      <c r="D8336" s="13" t="s">
        <v>118</v>
      </c>
      <c r="E8336" s="13" t="s">
        <v>15137</v>
      </c>
      <c r="F8336" s="43">
        <v>415.74</v>
      </c>
    </row>
    <row r="8337" spans="2:6" x14ac:dyDescent="0.25">
      <c r="B8337" s="13" t="s">
        <v>15138</v>
      </c>
      <c r="C8337" s="17" t="s">
        <v>170</v>
      </c>
      <c r="D8337" s="13" t="s">
        <v>118</v>
      </c>
      <c r="E8337" s="13" t="s">
        <v>15139</v>
      </c>
      <c r="F8337" s="43">
        <v>415.74</v>
      </c>
    </row>
    <row r="8338" spans="2:6" x14ac:dyDescent="0.25">
      <c r="B8338" s="13" t="s">
        <v>15140</v>
      </c>
      <c r="C8338" s="17" t="s">
        <v>170</v>
      </c>
      <c r="D8338" s="13" t="s">
        <v>118</v>
      </c>
      <c r="E8338" s="13" t="s">
        <v>15141</v>
      </c>
      <c r="F8338" s="43">
        <v>415.74</v>
      </c>
    </row>
    <row r="8339" spans="2:6" x14ac:dyDescent="0.25">
      <c r="B8339" s="13" t="s">
        <v>15142</v>
      </c>
      <c r="C8339" s="17" t="s">
        <v>170</v>
      </c>
      <c r="D8339" s="13" t="s">
        <v>118</v>
      </c>
      <c r="E8339" s="13" t="s">
        <v>15143</v>
      </c>
      <c r="F8339" s="43">
        <v>415.74</v>
      </c>
    </row>
    <row r="8340" spans="2:6" x14ac:dyDescent="0.25">
      <c r="B8340" s="13" t="s">
        <v>15144</v>
      </c>
      <c r="C8340" s="17" t="s">
        <v>170</v>
      </c>
      <c r="D8340" s="13" t="s">
        <v>118</v>
      </c>
      <c r="E8340" s="13" t="s">
        <v>15145</v>
      </c>
      <c r="F8340" s="43">
        <v>415.74</v>
      </c>
    </row>
    <row r="8341" spans="2:6" x14ac:dyDescent="0.25">
      <c r="B8341" s="13" t="s">
        <v>15146</v>
      </c>
      <c r="C8341" s="17" t="s">
        <v>170</v>
      </c>
      <c r="D8341" s="13" t="s">
        <v>118</v>
      </c>
      <c r="E8341" s="13" t="s">
        <v>15147</v>
      </c>
      <c r="F8341" s="43">
        <v>415.74</v>
      </c>
    </row>
    <row r="8342" spans="2:6" x14ac:dyDescent="0.25">
      <c r="B8342" s="13" t="s">
        <v>15148</v>
      </c>
      <c r="C8342" s="17" t="s">
        <v>170</v>
      </c>
      <c r="D8342" s="13" t="s">
        <v>118</v>
      </c>
      <c r="E8342" s="13" t="s">
        <v>15149</v>
      </c>
      <c r="F8342" s="43">
        <v>415.74</v>
      </c>
    </row>
    <row r="8343" spans="2:6" x14ac:dyDescent="0.25">
      <c r="B8343" s="13" t="s">
        <v>15150</v>
      </c>
      <c r="C8343" s="17" t="s">
        <v>170</v>
      </c>
      <c r="D8343" s="13" t="s">
        <v>118</v>
      </c>
      <c r="E8343" s="13" t="s">
        <v>15151</v>
      </c>
      <c r="F8343" s="43">
        <v>415.74</v>
      </c>
    </row>
    <row r="8344" spans="2:6" x14ac:dyDescent="0.25">
      <c r="B8344" s="13" t="s">
        <v>15152</v>
      </c>
      <c r="C8344" s="17" t="s">
        <v>170</v>
      </c>
      <c r="D8344" s="13" t="s">
        <v>118</v>
      </c>
      <c r="E8344" s="13" t="s">
        <v>15153</v>
      </c>
      <c r="F8344" s="43">
        <v>415.74</v>
      </c>
    </row>
    <row r="8345" spans="2:6" x14ac:dyDescent="0.25">
      <c r="B8345" s="13" t="s">
        <v>15154</v>
      </c>
      <c r="C8345" s="17" t="s">
        <v>170</v>
      </c>
      <c r="D8345" s="13" t="s">
        <v>118</v>
      </c>
      <c r="E8345" s="13" t="s">
        <v>15155</v>
      </c>
      <c r="F8345" s="43">
        <v>415.74</v>
      </c>
    </row>
    <row r="8346" spans="2:6" x14ac:dyDescent="0.25">
      <c r="B8346" s="13" t="s">
        <v>15156</v>
      </c>
      <c r="C8346" s="17" t="s">
        <v>170</v>
      </c>
      <c r="D8346" s="13" t="s">
        <v>118</v>
      </c>
      <c r="E8346" s="13" t="s">
        <v>15157</v>
      </c>
      <c r="F8346" s="43">
        <v>415.74</v>
      </c>
    </row>
    <row r="8347" spans="2:6" x14ac:dyDescent="0.25">
      <c r="B8347" s="13" t="s">
        <v>15158</v>
      </c>
      <c r="C8347" s="17" t="s">
        <v>170</v>
      </c>
      <c r="D8347" s="13" t="s">
        <v>118</v>
      </c>
      <c r="E8347" s="13" t="s">
        <v>15159</v>
      </c>
      <c r="F8347" s="43">
        <v>415.74</v>
      </c>
    </row>
    <row r="8348" spans="2:6" x14ac:dyDescent="0.25">
      <c r="B8348" s="13" t="s">
        <v>15160</v>
      </c>
      <c r="C8348" s="17" t="s">
        <v>170</v>
      </c>
      <c r="D8348" s="13" t="s">
        <v>118</v>
      </c>
      <c r="E8348" s="13" t="s">
        <v>15161</v>
      </c>
      <c r="F8348" s="43">
        <v>415.74</v>
      </c>
    </row>
    <row r="8349" spans="2:6" x14ac:dyDescent="0.25">
      <c r="B8349" s="13" t="s">
        <v>15162</v>
      </c>
      <c r="C8349" s="17" t="s">
        <v>170</v>
      </c>
      <c r="D8349" s="13" t="s">
        <v>118</v>
      </c>
      <c r="E8349" s="13" t="s">
        <v>15163</v>
      </c>
      <c r="F8349" s="43">
        <v>415.74</v>
      </c>
    </row>
    <row r="8350" spans="2:6" x14ac:dyDescent="0.25">
      <c r="B8350" s="13" t="s">
        <v>15164</v>
      </c>
      <c r="C8350" s="17" t="s">
        <v>170</v>
      </c>
      <c r="D8350" s="13" t="s">
        <v>118</v>
      </c>
      <c r="E8350" s="13" t="s">
        <v>15165</v>
      </c>
      <c r="F8350" s="43">
        <v>415.74</v>
      </c>
    </row>
    <row r="8351" spans="2:6" x14ac:dyDescent="0.25">
      <c r="B8351" s="13" t="s">
        <v>15166</v>
      </c>
      <c r="C8351" s="17" t="s">
        <v>170</v>
      </c>
      <c r="D8351" s="13" t="s">
        <v>118</v>
      </c>
      <c r="E8351" s="13" t="s">
        <v>15167</v>
      </c>
      <c r="F8351" s="43">
        <v>415.74</v>
      </c>
    </row>
    <row r="8352" spans="2:6" x14ac:dyDescent="0.25">
      <c r="B8352" s="13" t="s">
        <v>15168</v>
      </c>
      <c r="C8352" s="17" t="s">
        <v>170</v>
      </c>
      <c r="D8352" s="13" t="s">
        <v>118</v>
      </c>
      <c r="E8352" s="13" t="s">
        <v>15169</v>
      </c>
      <c r="F8352" s="43">
        <v>415.74</v>
      </c>
    </row>
    <row r="8353" spans="2:6" x14ac:dyDescent="0.25">
      <c r="B8353" s="13" t="s">
        <v>15170</v>
      </c>
      <c r="C8353" s="17" t="s">
        <v>170</v>
      </c>
      <c r="D8353" s="13" t="s">
        <v>118</v>
      </c>
      <c r="E8353" s="13" t="s">
        <v>15171</v>
      </c>
      <c r="F8353" s="43">
        <v>415.74</v>
      </c>
    </row>
    <row r="8354" spans="2:6" x14ac:dyDescent="0.25">
      <c r="B8354" s="13" t="s">
        <v>15172</v>
      </c>
      <c r="C8354" s="17" t="s">
        <v>170</v>
      </c>
      <c r="D8354" s="13" t="s">
        <v>118</v>
      </c>
      <c r="E8354" s="13" t="s">
        <v>15173</v>
      </c>
      <c r="F8354" s="43">
        <v>415.74</v>
      </c>
    </row>
    <row r="8355" spans="2:6" x14ac:dyDescent="0.25">
      <c r="B8355" s="13" t="s">
        <v>15174</v>
      </c>
      <c r="C8355" s="17" t="s">
        <v>170</v>
      </c>
      <c r="D8355" s="13" t="s">
        <v>118</v>
      </c>
      <c r="E8355" s="13" t="s">
        <v>15175</v>
      </c>
      <c r="F8355" s="43">
        <v>438.69</v>
      </c>
    </row>
    <row r="8356" spans="2:6" x14ac:dyDescent="0.25">
      <c r="B8356" s="13" t="s">
        <v>15176</v>
      </c>
      <c r="C8356" s="17" t="s">
        <v>170</v>
      </c>
      <c r="D8356" s="13" t="s">
        <v>118</v>
      </c>
      <c r="E8356" s="13" t="s">
        <v>15177</v>
      </c>
      <c r="F8356" s="43">
        <v>461.64</v>
      </c>
    </row>
    <row r="8357" spans="2:6" x14ac:dyDescent="0.25">
      <c r="B8357" s="13" t="s">
        <v>15178</v>
      </c>
      <c r="C8357" s="17" t="s">
        <v>170</v>
      </c>
      <c r="D8357" s="13" t="s">
        <v>118</v>
      </c>
      <c r="E8357" s="13" t="s">
        <v>15179</v>
      </c>
      <c r="F8357" s="43">
        <v>496.07</v>
      </c>
    </row>
    <row r="8358" spans="2:6" x14ac:dyDescent="0.25">
      <c r="B8358" s="13" t="s">
        <v>15180</v>
      </c>
      <c r="C8358" s="17" t="s">
        <v>170</v>
      </c>
      <c r="D8358" s="13" t="s">
        <v>118</v>
      </c>
      <c r="E8358" s="13" t="s">
        <v>15181</v>
      </c>
      <c r="F8358" s="43">
        <v>498.82</v>
      </c>
    </row>
    <row r="8359" spans="2:6" x14ac:dyDescent="0.25">
      <c r="B8359" s="13" t="s">
        <v>15182</v>
      </c>
      <c r="C8359" s="17" t="s">
        <v>170</v>
      </c>
      <c r="D8359" s="13" t="s">
        <v>118</v>
      </c>
      <c r="E8359" s="13" t="s">
        <v>15183</v>
      </c>
      <c r="F8359" s="43">
        <v>498.82</v>
      </c>
    </row>
    <row r="8360" spans="2:6" x14ac:dyDescent="0.25">
      <c r="B8360" s="13" t="s">
        <v>15184</v>
      </c>
      <c r="C8360" s="17" t="s">
        <v>170</v>
      </c>
      <c r="D8360" s="13" t="s">
        <v>118</v>
      </c>
      <c r="E8360" s="13" t="s">
        <v>15185</v>
      </c>
      <c r="F8360" s="43">
        <v>498.82</v>
      </c>
    </row>
    <row r="8361" spans="2:6" x14ac:dyDescent="0.25">
      <c r="B8361" s="13" t="s">
        <v>15186</v>
      </c>
      <c r="C8361" s="17" t="s">
        <v>170</v>
      </c>
      <c r="D8361" s="13" t="s">
        <v>118</v>
      </c>
      <c r="E8361" s="13" t="s">
        <v>15187</v>
      </c>
      <c r="F8361" s="43">
        <v>498.82</v>
      </c>
    </row>
    <row r="8362" spans="2:6" x14ac:dyDescent="0.25">
      <c r="B8362" s="13" t="s">
        <v>15188</v>
      </c>
      <c r="C8362" s="17" t="s">
        <v>170</v>
      </c>
      <c r="D8362" s="13" t="s">
        <v>118</v>
      </c>
      <c r="E8362" s="13" t="s">
        <v>15189</v>
      </c>
      <c r="F8362" s="43">
        <v>498.82</v>
      </c>
    </row>
    <row r="8363" spans="2:6" x14ac:dyDescent="0.25">
      <c r="B8363" s="13" t="s">
        <v>15190</v>
      </c>
      <c r="C8363" s="17" t="s">
        <v>170</v>
      </c>
      <c r="D8363" s="13" t="s">
        <v>118</v>
      </c>
      <c r="E8363" s="13" t="s">
        <v>15191</v>
      </c>
      <c r="F8363" s="43">
        <v>498.82</v>
      </c>
    </row>
    <row r="8364" spans="2:6" x14ac:dyDescent="0.25">
      <c r="B8364" s="13" t="s">
        <v>15192</v>
      </c>
      <c r="C8364" s="17" t="s">
        <v>170</v>
      </c>
      <c r="D8364" s="13" t="s">
        <v>118</v>
      </c>
      <c r="E8364" s="13" t="s">
        <v>15193</v>
      </c>
      <c r="F8364" s="43">
        <v>498.82</v>
      </c>
    </row>
    <row r="8365" spans="2:6" x14ac:dyDescent="0.25">
      <c r="B8365" s="13" t="s">
        <v>15194</v>
      </c>
      <c r="C8365" s="17" t="s">
        <v>170</v>
      </c>
      <c r="D8365" s="13" t="s">
        <v>118</v>
      </c>
      <c r="E8365" s="13" t="s">
        <v>15195</v>
      </c>
      <c r="F8365" s="43">
        <v>498.82</v>
      </c>
    </row>
    <row r="8366" spans="2:6" x14ac:dyDescent="0.25">
      <c r="B8366" s="13" t="s">
        <v>15196</v>
      </c>
      <c r="C8366" s="17" t="s">
        <v>170</v>
      </c>
      <c r="D8366" s="13" t="s">
        <v>118</v>
      </c>
      <c r="E8366" s="13" t="s">
        <v>15197</v>
      </c>
      <c r="F8366" s="43">
        <v>498.82</v>
      </c>
    </row>
    <row r="8367" spans="2:6" x14ac:dyDescent="0.25">
      <c r="B8367" s="13" t="s">
        <v>15198</v>
      </c>
      <c r="C8367" s="17" t="s">
        <v>170</v>
      </c>
      <c r="D8367" s="13" t="s">
        <v>118</v>
      </c>
      <c r="E8367" s="13" t="s">
        <v>15199</v>
      </c>
      <c r="F8367" s="43">
        <v>498.82</v>
      </c>
    </row>
    <row r="8368" spans="2:6" x14ac:dyDescent="0.25">
      <c r="B8368" s="13" t="s">
        <v>15200</v>
      </c>
      <c r="C8368" s="17" t="s">
        <v>170</v>
      </c>
      <c r="D8368" s="13" t="s">
        <v>118</v>
      </c>
      <c r="E8368" s="13" t="s">
        <v>15201</v>
      </c>
      <c r="F8368" s="43">
        <v>498.82</v>
      </c>
    </row>
    <row r="8369" spans="2:6" x14ac:dyDescent="0.25">
      <c r="B8369" s="13" t="s">
        <v>15202</v>
      </c>
      <c r="C8369" s="17" t="s">
        <v>170</v>
      </c>
      <c r="D8369" s="13" t="s">
        <v>118</v>
      </c>
      <c r="E8369" s="13" t="s">
        <v>15203</v>
      </c>
      <c r="F8369" s="43">
        <v>498.82</v>
      </c>
    </row>
    <row r="8370" spans="2:6" x14ac:dyDescent="0.25">
      <c r="B8370" s="13" t="s">
        <v>15204</v>
      </c>
      <c r="C8370" s="17" t="s">
        <v>170</v>
      </c>
      <c r="D8370" s="13" t="s">
        <v>118</v>
      </c>
      <c r="E8370" s="13" t="s">
        <v>15205</v>
      </c>
      <c r="F8370" s="43">
        <v>498.82</v>
      </c>
    </row>
    <row r="8371" spans="2:6" x14ac:dyDescent="0.25">
      <c r="B8371" s="13" t="s">
        <v>15206</v>
      </c>
      <c r="C8371" s="17" t="s">
        <v>170</v>
      </c>
      <c r="D8371" s="13" t="s">
        <v>118</v>
      </c>
      <c r="E8371" s="13" t="s">
        <v>15207</v>
      </c>
      <c r="F8371" s="43">
        <v>498.82</v>
      </c>
    </row>
    <row r="8372" spans="2:6" x14ac:dyDescent="0.25">
      <c r="B8372" s="13" t="s">
        <v>15208</v>
      </c>
      <c r="C8372" s="17" t="s">
        <v>170</v>
      </c>
      <c r="D8372" s="13" t="s">
        <v>118</v>
      </c>
      <c r="E8372" s="13" t="s">
        <v>15209</v>
      </c>
      <c r="F8372" s="43">
        <v>498.82</v>
      </c>
    </row>
    <row r="8373" spans="2:6" x14ac:dyDescent="0.25">
      <c r="B8373" s="13" t="s">
        <v>15210</v>
      </c>
      <c r="C8373" s="17" t="s">
        <v>170</v>
      </c>
      <c r="D8373" s="13" t="s">
        <v>118</v>
      </c>
      <c r="E8373" s="13" t="s">
        <v>15211</v>
      </c>
      <c r="F8373" s="43">
        <v>498.82</v>
      </c>
    </row>
    <row r="8374" spans="2:6" x14ac:dyDescent="0.25">
      <c r="B8374" s="13" t="s">
        <v>15212</v>
      </c>
      <c r="C8374" s="17" t="s">
        <v>170</v>
      </c>
      <c r="D8374" s="13" t="s">
        <v>118</v>
      </c>
      <c r="E8374" s="13" t="s">
        <v>15213</v>
      </c>
      <c r="F8374" s="43">
        <v>498.82</v>
      </c>
    </row>
    <row r="8375" spans="2:6" x14ac:dyDescent="0.25">
      <c r="B8375" s="13" t="s">
        <v>15214</v>
      </c>
      <c r="C8375" s="17" t="s">
        <v>170</v>
      </c>
      <c r="D8375" s="13" t="s">
        <v>118</v>
      </c>
      <c r="E8375" s="13" t="s">
        <v>15215</v>
      </c>
      <c r="F8375" s="43">
        <v>498.82</v>
      </c>
    </row>
    <row r="8376" spans="2:6" x14ac:dyDescent="0.25">
      <c r="B8376" s="13" t="s">
        <v>15216</v>
      </c>
      <c r="C8376" s="17" t="s">
        <v>170</v>
      </c>
      <c r="D8376" s="13" t="s">
        <v>118</v>
      </c>
      <c r="E8376" s="13" t="s">
        <v>15217</v>
      </c>
      <c r="F8376" s="43">
        <v>498.82</v>
      </c>
    </row>
    <row r="8377" spans="2:6" x14ac:dyDescent="0.25">
      <c r="B8377" s="13" t="s">
        <v>15218</v>
      </c>
      <c r="C8377" s="17" t="s">
        <v>170</v>
      </c>
      <c r="D8377" s="13" t="s">
        <v>118</v>
      </c>
      <c r="E8377" s="13" t="s">
        <v>15219</v>
      </c>
      <c r="F8377" s="43">
        <v>498.82</v>
      </c>
    </row>
    <row r="8378" spans="2:6" x14ac:dyDescent="0.25">
      <c r="B8378" s="13" t="s">
        <v>15220</v>
      </c>
      <c r="C8378" s="17" t="s">
        <v>170</v>
      </c>
      <c r="D8378" s="13" t="s">
        <v>118</v>
      </c>
      <c r="E8378" s="13" t="s">
        <v>15221</v>
      </c>
      <c r="F8378" s="43">
        <v>498.82</v>
      </c>
    </row>
    <row r="8379" spans="2:6" x14ac:dyDescent="0.25">
      <c r="B8379" s="13" t="s">
        <v>15222</v>
      </c>
      <c r="C8379" s="17" t="s">
        <v>170</v>
      </c>
      <c r="D8379" s="13" t="s">
        <v>118</v>
      </c>
      <c r="E8379" s="13" t="s">
        <v>15223</v>
      </c>
      <c r="F8379" s="43">
        <v>498.82</v>
      </c>
    </row>
    <row r="8380" spans="2:6" x14ac:dyDescent="0.25">
      <c r="B8380" s="13" t="s">
        <v>15224</v>
      </c>
      <c r="C8380" s="17" t="s">
        <v>170</v>
      </c>
      <c r="D8380" s="13" t="s">
        <v>118</v>
      </c>
      <c r="E8380" s="13" t="s">
        <v>15225</v>
      </c>
      <c r="F8380" s="43">
        <v>498.82</v>
      </c>
    </row>
    <row r="8381" spans="2:6" x14ac:dyDescent="0.25">
      <c r="B8381" s="13" t="s">
        <v>15226</v>
      </c>
      <c r="C8381" s="17" t="s">
        <v>170</v>
      </c>
      <c r="D8381" s="13" t="s">
        <v>118</v>
      </c>
      <c r="E8381" s="13" t="s">
        <v>15227</v>
      </c>
      <c r="F8381" s="43">
        <v>498.82</v>
      </c>
    </row>
    <row r="8382" spans="2:6" x14ac:dyDescent="0.25">
      <c r="B8382" s="13" t="s">
        <v>15228</v>
      </c>
      <c r="C8382" s="17" t="s">
        <v>170</v>
      </c>
      <c r="D8382" s="13" t="s">
        <v>118</v>
      </c>
      <c r="E8382" s="13" t="s">
        <v>15229</v>
      </c>
      <c r="F8382" s="43">
        <v>498.82</v>
      </c>
    </row>
    <row r="8383" spans="2:6" x14ac:dyDescent="0.25">
      <c r="B8383" s="13" t="s">
        <v>15230</v>
      </c>
      <c r="C8383" s="17" t="s">
        <v>170</v>
      </c>
      <c r="D8383" s="13" t="s">
        <v>118</v>
      </c>
      <c r="E8383" s="13" t="s">
        <v>15231</v>
      </c>
      <c r="F8383" s="43">
        <v>498.82</v>
      </c>
    </row>
    <row r="8384" spans="2:6" x14ac:dyDescent="0.25">
      <c r="B8384" s="13" t="s">
        <v>15232</v>
      </c>
      <c r="C8384" s="17" t="s">
        <v>170</v>
      </c>
      <c r="D8384" s="13" t="s">
        <v>118</v>
      </c>
      <c r="E8384" s="13" t="s">
        <v>15233</v>
      </c>
      <c r="F8384" s="43">
        <v>498.82</v>
      </c>
    </row>
    <row r="8385" spans="2:6" x14ac:dyDescent="0.25">
      <c r="B8385" s="13" t="s">
        <v>15234</v>
      </c>
      <c r="C8385" s="17" t="s">
        <v>170</v>
      </c>
      <c r="D8385" s="13" t="s">
        <v>118</v>
      </c>
      <c r="E8385" s="13" t="s">
        <v>15235</v>
      </c>
      <c r="F8385" s="43">
        <v>498.82</v>
      </c>
    </row>
    <row r="8386" spans="2:6" x14ac:dyDescent="0.25">
      <c r="B8386" s="13" t="s">
        <v>15236</v>
      </c>
      <c r="C8386" s="17" t="s">
        <v>170</v>
      </c>
      <c r="D8386" s="13" t="s">
        <v>118</v>
      </c>
      <c r="E8386" s="13" t="s">
        <v>15237</v>
      </c>
      <c r="F8386" s="43">
        <v>498.82</v>
      </c>
    </row>
    <row r="8387" spans="2:6" x14ac:dyDescent="0.25">
      <c r="B8387" s="13" t="s">
        <v>15238</v>
      </c>
      <c r="C8387" s="17" t="s">
        <v>170</v>
      </c>
      <c r="D8387" s="13" t="s">
        <v>118</v>
      </c>
      <c r="E8387" s="13" t="s">
        <v>15239</v>
      </c>
      <c r="F8387" s="43">
        <v>498.82</v>
      </c>
    </row>
    <row r="8388" spans="2:6" x14ac:dyDescent="0.25">
      <c r="B8388" s="13" t="s">
        <v>15240</v>
      </c>
      <c r="C8388" s="17" t="s">
        <v>170</v>
      </c>
      <c r="D8388" s="13" t="s">
        <v>118</v>
      </c>
      <c r="E8388" s="13" t="s">
        <v>15241</v>
      </c>
      <c r="F8388" s="43">
        <v>498.82</v>
      </c>
    </row>
    <row r="8389" spans="2:6" x14ac:dyDescent="0.25">
      <c r="B8389" s="13" t="s">
        <v>15242</v>
      </c>
      <c r="C8389" s="17" t="s">
        <v>170</v>
      </c>
      <c r="D8389" s="13" t="s">
        <v>118</v>
      </c>
      <c r="E8389" s="13" t="s">
        <v>15243</v>
      </c>
      <c r="F8389" s="43">
        <v>498.82</v>
      </c>
    </row>
    <row r="8390" spans="2:6" x14ac:dyDescent="0.25">
      <c r="B8390" s="13" t="s">
        <v>15244</v>
      </c>
      <c r="C8390" s="17" t="s">
        <v>170</v>
      </c>
      <c r="D8390" s="13" t="s">
        <v>118</v>
      </c>
      <c r="E8390" s="13" t="s">
        <v>15245</v>
      </c>
      <c r="F8390" s="43">
        <v>498.82</v>
      </c>
    </row>
    <row r="8391" spans="2:6" x14ac:dyDescent="0.25">
      <c r="B8391" s="13" t="s">
        <v>15246</v>
      </c>
      <c r="C8391" s="17" t="s">
        <v>170</v>
      </c>
      <c r="D8391" s="13" t="s">
        <v>118</v>
      </c>
      <c r="E8391" s="13" t="s">
        <v>15247</v>
      </c>
      <c r="F8391" s="43">
        <v>498.82</v>
      </c>
    </row>
    <row r="8392" spans="2:6" x14ac:dyDescent="0.25">
      <c r="B8392" s="13" t="s">
        <v>15248</v>
      </c>
      <c r="C8392" s="17" t="s">
        <v>170</v>
      </c>
      <c r="D8392" s="13" t="s">
        <v>118</v>
      </c>
      <c r="E8392" s="13" t="s">
        <v>15249</v>
      </c>
      <c r="F8392" s="43">
        <v>498.82</v>
      </c>
    </row>
    <row r="8393" spans="2:6" x14ac:dyDescent="0.25">
      <c r="B8393" s="13" t="s">
        <v>15250</v>
      </c>
      <c r="C8393" s="17" t="s">
        <v>170</v>
      </c>
      <c r="D8393" s="13" t="s">
        <v>118</v>
      </c>
      <c r="E8393" s="13" t="s">
        <v>15251</v>
      </c>
      <c r="F8393" s="43">
        <v>498.82</v>
      </c>
    </row>
    <row r="8394" spans="2:6" x14ac:dyDescent="0.25">
      <c r="B8394" s="13" t="s">
        <v>15252</v>
      </c>
      <c r="C8394" s="17" t="s">
        <v>170</v>
      </c>
      <c r="D8394" s="13" t="s">
        <v>118</v>
      </c>
      <c r="E8394" s="13" t="s">
        <v>15253</v>
      </c>
      <c r="F8394" s="43">
        <v>498.82</v>
      </c>
    </row>
    <row r="8395" spans="2:6" x14ac:dyDescent="0.25">
      <c r="B8395" s="13" t="s">
        <v>15254</v>
      </c>
      <c r="C8395" s="17" t="s">
        <v>170</v>
      </c>
      <c r="D8395" s="13" t="s">
        <v>118</v>
      </c>
      <c r="E8395" s="13" t="s">
        <v>15255</v>
      </c>
      <c r="F8395" s="43">
        <v>498.82</v>
      </c>
    </row>
    <row r="8396" spans="2:6" x14ac:dyDescent="0.25">
      <c r="B8396" s="13" t="s">
        <v>15256</v>
      </c>
      <c r="C8396" s="17" t="s">
        <v>170</v>
      </c>
      <c r="D8396" s="13" t="s">
        <v>118</v>
      </c>
      <c r="E8396" s="13" t="s">
        <v>15257</v>
      </c>
      <c r="F8396" s="43">
        <v>498.82</v>
      </c>
    </row>
    <row r="8397" spans="2:6" x14ac:dyDescent="0.25">
      <c r="B8397" s="13" t="s">
        <v>15258</v>
      </c>
      <c r="C8397" s="17" t="s">
        <v>170</v>
      </c>
      <c r="D8397" s="13" t="s">
        <v>118</v>
      </c>
      <c r="E8397" s="13" t="s">
        <v>15259</v>
      </c>
      <c r="F8397" s="43">
        <v>563.20000000000005</v>
      </c>
    </row>
    <row r="8398" spans="2:6" x14ac:dyDescent="0.25">
      <c r="B8398" s="13" t="s">
        <v>15260</v>
      </c>
      <c r="C8398" s="17" t="s">
        <v>170</v>
      </c>
      <c r="D8398" s="13" t="s">
        <v>118</v>
      </c>
      <c r="E8398" s="13" t="s">
        <v>15261</v>
      </c>
      <c r="F8398" s="43">
        <v>597.62</v>
      </c>
    </row>
    <row r="8399" spans="2:6" x14ac:dyDescent="0.25">
      <c r="B8399" s="13" t="s">
        <v>15262</v>
      </c>
      <c r="C8399" s="17" t="s">
        <v>170</v>
      </c>
      <c r="D8399" s="13" t="s">
        <v>118</v>
      </c>
      <c r="E8399" s="13" t="s">
        <v>15263</v>
      </c>
      <c r="F8399" s="43">
        <v>643.52</v>
      </c>
    </row>
    <row r="8400" spans="2:6" x14ac:dyDescent="0.25">
      <c r="B8400" s="13" t="s">
        <v>15264</v>
      </c>
      <c r="C8400" s="17" t="s">
        <v>170</v>
      </c>
      <c r="D8400" s="13" t="s">
        <v>118</v>
      </c>
      <c r="E8400" s="13" t="s">
        <v>15265</v>
      </c>
      <c r="F8400" s="43">
        <v>653.28</v>
      </c>
    </row>
    <row r="8401" spans="2:6" x14ac:dyDescent="0.25">
      <c r="B8401" s="13" t="s">
        <v>15266</v>
      </c>
      <c r="C8401" s="17" t="s">
        <v>170</v>
      </c>
      <c r="D8401" s="13" t="s">
        <v>118</v>
      </c>
      <c r="E8401" s="13" t="s">
        <v>15267</v>
      </c>
      <c r="F8401" s="43">
        <v>653.28</v>
      </c>
    </row>
    <row r="8402" spans="2:6" x14ac:dyDescent="0.25">
      <c r="B8402" s="13" t="s">
        <v>15268</v>
      </c>
      <c r="C8402" s="17" t="s">
        <v>170</v>
      </c>
      <c r="D8402" s="13" t="s">
        <v>118</v>
      </c>
      <c r="E8402" s="13" t="s">
        <v>15269</v>
      </c>
      <c r="F8402" s="43">
        <v>653.28</v>
      </c>
    </row>
    <row r="8403" spans="2:6" x14ac:dyDescent="0.25">
      <c r="B8403" s="13" t="s">
        <v>15270</v>
      </c>
      <c r="C8403" s="17" t="s">
        <v>170</v>
      </c>
      <c r="D8403" s="13" t="s">
        <v>118</v>
      </c>
      <c r="E8403" s="13" t="s">
        <v>15271</v>
      </c>
      <c r="F8403" s="43">
        <v>653.28</v>
      </c>
    </row>
    <row r="8404" spans="2:6" x14ac:dyDescent="0.25">
      <c r="B8404" s="13" t="s">
        <v>15272</v>
      </c>
      <c r="C8404" s="17" t="s">
        <v>170</v>
      </c>
      <c r="D8404" s="13" t="s">
        <v>118</v>
      </c>
      <c r="E8404" s="13" t="s">
        <v>15273</v>
      </c>
      <c r="F8404" s="43">
        <v>653.28</v>
      </c>
    </row>
    <row r="8405" spans="2:6" x14ac:dyDescent="0.25">
      <c r="B8405" s="13" t="s">
        <v>15274</v>
      </c>
      <c r="C8405" s="17" t="s">
        <v>170</v>
      </c>
      <c r="D8405" s="13" t="s">
        <v>118</v>
      </c>
      <c r="E8405" s="13" t="s">
        <v>15275</v>
      </c>
      <c r="F8405" s="43">
        <v>653.28</v>
      </c>
    </row>
    <row r="8406" spans="2:6" x14ac:dyDescent="0.25">
      <c r="B8406" s="13" t="s">
        <v>15276</v>
      </c>
      <c r="C8406" s="17" t="s">
        <v>170</v>
      </c>
      <c r="D8406" s="13" t="s">
        <v>118</v>
      </c>
      <c r="E8406" s="13" t="s">
        <v>15277</v>
      </c>
      <c r="F8406" s="43">
        <v>653.28</v>
      </c>
    </row>
    <row r="8407" spans="2:6" x14ac:dyDescent="0.25">
      <c r="B8407" s="13" t="s">
        <v>15278</v>
      </c>
      <c r="C8407" s="17" t="s">
        <v>170</v>
      </c>
      <c r="D8407" s="13" t="s">
        <v>118</v>
      </c>
      <c r="E8407" s="13" t="s">
        <v>15279</v>
      </c>
      <c r="F8407" s="43">
        <v>653.28</v>
      </c>
    </row>
    <row r="8408" spans="2:6" x14ac:dyDescent="0.25">
      <c r="B8408" s="13" t="s">
        <v>15280</v>
      </c>
      <c r="C8408" s="17" t="s">
        <v>170</v>
      </c>
      <c r="D8408" s="13" t="s">
        <v>118</v>
      </c>
      <c r="E8408" s="13" t="s">
        <v>15281</v>
      </c>
      <c r="F8408" s="43">
        <v>653.28</v>
      </c>
    </row>
    <row r="8409" spans="2:6" x14ac:dyDescent="0.25">
      <c r="B8409" s="13" t="s">
        <v>15282</v>
      </c>
      <c r="C8409" s="17" t="s">
        <v>170</v>
      </c>
      <c r="D8409" s="13" t="s">
        <v>118</v>
      </c>
      <c r="E8409" s="13" t="s">
        <v>15283</v>
      </c>
      <c r="F8409" s="43">
        <v>653.28</v>
      </c>
    </row>
    <row r="8410" spans="2:6" x14ac:dyDescent="0.25">
      <c r="B8410" s="13" t="s">
        <v>15284</v>
      </c>
      <c r="C8410" s="17" t="s">
        <v>170</v>
      </c>
      <c r="D8410" s="13" t="s">
        <v>118</v>
      </c>
      <c r="E8410" s="13" t="s">
        <v>15285</v>
      </c>
      <c r="F8410" s="43">
        <v>653.28</v>
      </c>
    </row>
    <row r="8411" spans="2:6" x14ac:dyDescent="0.25">
      <c r="B8411" s="13" t="s">
        <v>15286</v>
      </c>
      <c r="C8411" s="17" t="s">
        <v>170</v>
      </c>
      <c r="D8411" s="13" t="s">
        <v>118</v>
      </c>
      <c r="E8411" s="13" t="s">
        <v>15287</v>
      </c>
      <c r="F8411" s="43">
        <v>653.28</v>
      </c>
    </row>
    <row r="8412" spans="2:6" x14ac:dyDescent="0.25">
      <c r="B8412" s="13" t="s">
        <v>15288</v>
      </c>
      <c r="C8412" s="17" t="s">
        <v>170</v>
      </c>
      <c r="D8412" s="13" t="s">
        <v>118</v>
      </c>
      <c r="E8412" s="13" t="s">
        <v>15289</v>
      </c>
      <c r="F8412" s="43">
        <v>653.28</v>
      </c>
    </row>
    <row r="8413" spans="2:6" x14ac:dyDescent="0.25">
      <c r="B8413" s="13" t="s">
        <v>15290</v>
      </c>
      <c r="C8413" s="17" t="s">
        <v>170</v>
      </c>
      <c r="D8413" s="13" t="s">
        <v>118</v>
      </c>
      <c r="E8413" s="13" t="s">
        <v>15291</v>
      </c>
      <c r="F8413" s="43">
        <v>653.28</v>
      </c>
    </row>
    <row r="8414" spans="2:6" x14ac:dyDescent="0.25">
      <c r="B8414" s="13" t="s">
        <v>15292</v>
      </c>
      <c r="C8414" s="17" t="s">
        <v>170</v>
      </c>
      <c r="D8414" s="13" t="s">
        <v>118</v>
      </c>
      <c r="E8414" s="13" t="s">
        <v>15293</v>
      </c>
      <c r="F8414" s="43">
        <v>653.28</v>
      </c>
    </row>
    <row r="8415" spans="2:6" x14ac:dyDescent="0.25">
      <c r="B8415" s="13" t="s">
        <v>15294</v>
      </c>
      <c r="C8415" s="17" t="s">
        <v>170</v>
      </c>
      <c r="D8415" s="13" t="s">
        <v>118</v>
      </c>
      <c r="E8415" s="13" t="s">
        <v>15295</v>
      </c>
      <c r="F8415" s="43">
        <v>653.28</v>
      </c>
    </row>
    <row r="8416" spans="2:6" x14ac:dyDescent="0.25">
      <c r="B8416" s="13" t="s">
        <v>15296</v>
      </c>
      <c r="C8416" s="17" t="s">
        <v>170</v>
      </c>
      <c r="D8416" s="13" t="s">
        <v>118</v>
      </c>
      <c r="E8416" s="13" t="s">
        <v>15297</v>
      </c>
      <c r="F8416" s="43">
        <v>653.28</v>
      </c>
    </row>
    <row r="8417" spans="2:6" x14ac:dyDescent="0.25">
      <c r="B8417" s="13" t="s">
        <v>15298</v>
      </c>
      <c r="C8417" s="17" t="s">
        <v>170</v>
      </c>
      <c r="D8417" s="13" t="s">
        <v>118</v>
      </c>
      <c r="E8417" s="13" t="s">
        <v>15299</v>
      </c>
      <c r="F8417" s="43">
        <v>653.28</v>
      </c>
    </row>
    <row r="8418" spans="2:6" x14ac:dyDescent="0.25">
      <c r="B8418" s="13" t="s">
        <v>15300</v>
      </c>
      <c r="C8418" s="17" t="s">
        <v>170</v>
      </c>
      <c r="D8418" s="13" t="s">
        <v>118</v>
      </c>
      <c r="E8418" s="13" t="s">
        <v>15301</v>
      </c>
      <c r="F8418" s="43">
        <v>653.28</v>
      </c>
    </row>
    <row r="8419" spans="2:6" x14ac:dyDescent="0.25">
      <c r="B8419" s="13" t="s">
        <v>15302</v>
      </c>
      <c r="C8419" s="17" t="s">
        <v>170</v>
      </c>
      <c r="D8419" s="13" t="s">
        <v>118</v>
      </c>
      <c r="E8419" s="13" t="s">
        <v>15303</v>
      </c>
      <c r="F8419" s="43">
        <v>653.28</v>
      </c>
    </row>
    <row r="8420" spans="2:6" x14ac:dyDescent="0.25">
      <c r="B8420" s="13" t="s">
        <v>15304</v>
      </c>
      <c r="C8420" s="17" t="s">
        <v>170</v>
      </c>
      <c r="D8420" s="13" t="s">
        <v>118</v>
      </c>
      <c r="E8420" s="13" t="s">
        <v>15305</v>
      </c>
      <c r="F8420" s="43">
        <v>653.28</v>
      </c>
    </row>
    <row r="8421" spans="2:6" x14ac:dyDescent="0.25">
      <c r="B8421" s="13" t="s">
        <v>15306</v>
      </c>
      <c r="C8421" s="17" t="s">
        <v>170</v>
      </c>
      <c r="D8421" s="13" t="s">
        <v>118</v>
      </c>
      <c r="E8421" s="13" t="s">
        <v>15307</v>
      </c>
      <c r="F8421" s="43">
        <v>653.28</v>
      </c>
    </row>
    <row r="8422" spans="2:6" x14ac:dyDescent="0.25">
      <c r="B8422" s="13" t="s">
        <v>15308</v>
      </c>
      <c r="C8422" s="17" t="s">
        <v>170</v>
      </c>
      <c r="D8422" s="13" t="s">
        <v>118</v>
      </c>
      <c r="E8422" s="13" t="s">
        <v>15309</v>
      </c>
      <c r="F8422" s="43">
        <v>653.28</v>
      </c>
    </row>
    <row r="8423" spans="2:6" x14ac:dyDescent="0.25">
      <c r="B8423" s="13" t="s">
        <v>15310</v>
      </c>
      <c r="C8423" s="17" t="s">
        <v>170</v>
      </c>
      <c r="D8423" s="13" t="s">
        <v>118</v>
      </c>
      <c r="E8423" s="13" t="s">
        <v>15311</v>
      </c>
      <c r="F8423" s="43">
        <v>653.28</v>
      </c>
    </row>
    <row r="8424" spans="2:6" x14ac:dyDescent="0.25">
      <c r="B8424" s="13" t="s">
        <v>15312</v>
      </c>
      <c r="C8424" s="17" t="s">
        <v>170</v>
      </c>
      <c r="D8424" s="13" t="s">
        <v>118</v>
      </c>
      <c r="E8424" s="13" t="s">
        <v>15313</v>
      </c>
      <c r="F8424" s="43">
        <v>653.28</v>
      </c>
    </row>
    <row r="8425" spans="2:6" x14ac:dyDescent="0.25">
      <c r="B8425" s="13" t="s">
        <v>15314</v>
      </c>
      <c r="C8425" s="17" t="s">
        <v>170</v>
      </c>
      <c r="D8425" s="13" t="s">
        <v>118</v>
      </c>
      <c r="E8425" s="13" t="s">
        <v>15315</v>
      </c>
      <c r="F8425" s="43">
        <v>653.28</v>
      </c>
    </row>
    <row r="8426" spans="2:6" x14ac:dyDescent="0.25">
      <c r="B8426" s="13" t="s">
        <v>15316</v>
      </c>
      <c r="C8426" s="17" t="s">
        <v>170</v>
      </c>
      <c r="D8426" s="13" t="s">
        <v>118</v>
      </c>
      <c r="E8426" s="13" t="s">
        <v>15317</v>
      </c>
      <c r="F8426" s="43">
        <v>653.28</v>
      </c>
    </row>
    <row r="8427" spans="2:6" x14ac:dyDescent="0.25">
      <c r="B8427" s="13" t="s">
        <v>15318</v>
      </c>
      <c r="C8427" s="17" t="s">
        <v>170</v>
      </c>
      <c r="D8427" s="13" t="s">
        <v>118</v>
      </c>
      <c r="E8427" s="13" t="s">
        <v>15319</v>
      </c>
      <c r="F8427" s="43">
        <v>653.28</v>
      </c>
    </row>
    <row r="8428" spans="2:6" x14ac:dyDescent="0.25">
      <c r="B8428" s="13" t="s">
        <v>15320</v>
      </c>
      <c r="C8428" s="17" t="s">
        <v>170</v>
      </c>
      <c r="D8428" s="13" t="s">
        <v>118</v>
      </c>
      <c r="E8428" s="13" t="s">
        <v>15321</v>
      </c>
      <c r="F8428" s="43">
        <v>653.28</v>
      </c>
    </row>
    <row r="8429" spans="2:6" x14ac:dyDescent="0.25">
      <c r="B8429" s="13" t="s">
        <v>15322</v>
      </c>
      <c r="C8429" s="17" t="s">
        <v>170</v>
      </c>
      <c r="D8429" s="13" t="s">
        <v>118</v>
      </c>
      <c r="E8429" s="13" t="s">
        <v>15323</v>
      </c>
      <c r="F8429" s="43">
        <v>653.28</v>
      </c>
    </row>
    <row r="8430" spans="2:6" x14ac:dyDescent="0.25">
      <c r="B8430" s="13" t="s">
        <v>15324</v>
      </c>
      <c r="C8430" s="17" t="s">
        <v>170</v>
      </c>
      <c r="D8430" s="13" t="s">
        <v>118</v>
      </c>
      <c r="E8430" s="13" t="s">
        <v>15325</v>
      </c>
      <c r="F8430" s="43">
        <v>653.28</v>
      </c>
    </row>
    <row r="8431" spans="2:6" x14ac:dyDescent="0.25">
      <c r="B8431" s="13" t="s">
        <v>15326</v>
      </c>
      <c r="C8431" s="17" t="s">
        <v>170</v>
      </c>
      <c r="D8431" s="13" t="s">
        <v>118</v>
      </c>
      <c r="E8431" s="13" t="s">
        <v>15327</v>
      </c>
      <c r="F8431" s="43">
        <v>653.28</v>
      </c>
    </row>
    <row r="8432" spans="2:6" x14ac:dyDescent="0.25">
      <c r="B8432" s="13" t="s">
        <v>15328</v>
      </c>
      <c r="C8432" s="17" t="s">
        <v>170</v>
      </c>
      <c r="D8432" s="13" t="s">
        <v>118</v>
      </c>
      <c r="E8432" s="13" t="s">
        <v>15329</v>
      </c>
      <c r="F8432" s="43">
        <v>653.28</v>
      </c>
    </row>
    <row r="8433" spans="2:6" x14ac:dyDescent="0.25">
      <c r="B8433" s="13" t="s">
        <v>15330</v>
      </c>
      <c r="C8433" s="17" t="s">
        <v>170</v>
      </c>
      <c r="D8433" s="13" t="s">
        <v>118</v>
      </c>
      <c r="E8433" s="13" t="s">
        <v>15331</v>
      </c>
      <c r="F8433" s="43">
        <v>653.28</v>
      </c>
    </row>
    <row r="8434" spans="2:6" x14ac:dyDescent="0.25">
      <c r="B8434" s="13" t="s">
        <v>15332</v>
      </c>
      <c r="C8434" s="17" t="s">
        <v>170</v>
      </c>
      <c r="D8434" s="13" t="s">
        <v>118</v>
      </c>
      <c r="E8434" s="13" t="s">
        <v>15333</v>
      </c>
      <c r="F8434" s="43">
        <v>653.28</v>
      </c>
    </row>
    <row r="8435" spans="2:6" x14ac:dyDescent="0.25">
      <c r="B8435" s="13" t="s">
        <v>15334</v>
      </c>
      <c r="C8435" s="17" t="s">
        <v>170</v>
      </c>
      <c r="D8435" s="13" t="s">
        <v>118</v>
      </c>
      <c r="E8435" s="13" t="s">
        <v>15335</v>
      </c>
      <c r="F8435" s="43">
        <v>653.28</v>
      </c>
    </row>
    <row r="8436" spans="2:6" x14ac:dyDescent="0.25">
      <c r="B8436" s="13" t="s">
        <v>15336</v>
      </c>
      <c r="C8436" s="17" t="s">
        <v>170</v>
      </c>
      <c r="D8436" s="13" t="s">
        <v>118</v>
      </c>
      <c r="E8436" s="13" t="s">
        <v>15337</v>
      </c>
      <c r="F8436" s="43">
        <v>653.28</v>
      </c>
    </row>
    <row r="8437" spans="2:6" x14ac:dyDescent="0.25">
      <c r="B8437" s="13" t="s">
        <v>15338</v>
      </c>
      <c r="C8437" s="17" t="s">
        <v>170</v>
      </c>
      <c r="D8437" s="13" t="s">
        <v>118</v>
      </c>
      <c r="E8437" s="13" t="s">
        <v>15339</v>
      </c>
      <c r="F8437" s="43">
        <v>653.28</v>
      </c>
    </row>
    <row r="8438" spans="2:6" x14ac:dyDescent="0.25">
      <c r="B8438" s="13" t="s">
        <v>15340</v>
      </c>
      <c r="C8438" s="17" t="s">
        <v>170</v>
      </c>
      <c r="D8438" s="13" t="s">
        <v>118</v>
      </c>
      <c r="E8438" s="13" t="s">
        <v>15341</v>
      </c>
      <c r="F8438" s="43">
        <v>653.28</v>
      </c>
    </row>
    <row r="8439" spans="2:6" x14ac:dyDescent="0.25">
      <c r="B8439" s="13" t="s">
        <v>15342</v>
      </c>
      <c r="C8439" s="17" t="s">
        <v>170</v>
      </c>
      <c r="D8439" s="13" t="s">
        <v>118</v>
      </c>
      <c r="E8439" s="13" t="s">
        <v>15343</v>
      </c>
      <c r="F8439" s="43">
        <v>687.7</v>
      </c>
    </row>
    <row r="8440" spans="2:6" x14ac:dyDescent="0.25">
      <c r="B8440" s="13" t="s">
        <v>15344</v>
      </c>
      <c r="C8440" s="17" t="s">
        <v>170</v>
      </c>
      <c r="D8440" s="13" t="s">
        <v>118</v>
      </c>
      <c r="E8440" s="13" t="s">
        <v>15345</v>
      </c>
      <c r="F8440" s="43">
        <v>745.08</v>
      </c>
    </row>
    <row r="8441" spans="2:6" x14ac:dyDescent="0.25">
      <c r="B8441" s="13" t="s">
        <v>15346</v>
      </c>
      <c r="C8441" s="17" t="s">
        <v>170</v>
      </c>
      <c r="D8441" s="13" t="s">
        <v>118</v>
      </c>
      <c r="E8441" s="13" t="s">
        <v>15347</v>
      </c>
      <c r="F8441" s="43">
        <v>802.45</v>
      </c>
    </row>
    <row r="8442" spans="2:6" x14ac:dyDescent="0.25">
      <c r="B8442" s="13" t="s">
        <v>15348</v>
      </c>
      <c r="C8442" s="17" t="s">
        <v>170</v>
      </c>
      <c r="D8442" s="13" t="s">
        <v>118</v>
      </c>
      <c r="E8442" s="13" t="s">
        <v>15349</v>
      </c>
      <c r="F8442" s="43">
        <v>1698.88</v>
      </c>
    </row>
    <row r="8443" spans="2:6" x14ac:dyDescent="0.25">
      <c r="B8443" s="13" t="s">
        <v>15350</v>
      </c>
      <c r="C8443" s="17" t="s">
        <v>170</v>
      </c>
      <c r="D8443" s="13" t="s">
        <v>118</v>
      </c>
      <c r="E8443" s="13" t="s">
        <v>15351</v>
      </c>
      <c r="F8443" s="43">
        <v>1698.88</v>
      </c>
    </row>
    <row r="8444" spans="2:6" x14ac:dyDescent="0.25">
      <c r="B8444" s="13" t="s">
        <v>15352</v>
      </c>
      <c r="C8444" s="17" t="s">
        <v>170</v>
      </c>
      <c r="D8444" s="13" t="s">
        <v>118</v>
      </c>
      <c r="E8444" s="13" t="s">
        <v>15353</v>
      </c>
      <c r="F8444" s="43">
        <v>1698.88</v>
      </c>
    </row>
    <row r="8445" spans="2:6" x14ac:dyDescent="0.25">
      <c r="B8445" s="13" t="s">
        <v>15354</v>
      </c>
      <c r="C8445" s="17" t="s">
        <v>170</v>
      </c>
      <c r="D8445" s="13" t="s">
        <v>118</v>
      </c>
      <c r="E8445" s="13" t="s">
        <v>15355</v>
      </c>
      <c r="F8445" s="43">
        <v>1698.88</v>
      </c>
    </row>
    <row r="8446" spans="2:6" x14ac:dyDescent="0.25">
      <c r="B8446" s="13" t="s">
        <v>15356</v>
      </c>
      <c r="C8446" s="17" t="s">
        <v>170</v>
      </c>
      <c r="D8446" s="13" t="s">
        <v>118</v>
      </c>
      <c r="E8446" s="13" t="s">
        <v>15357</v>
      </c>
      <c r="F8446" s="43">
        <v>1698.88</v>
      </c>
    </row>
    <row r="8447" spans="2:6" x14ac:dyDescent="0.25">
      <c r="B8447" s="13" t="s">
        <v>15358</v>
      </c>
      <c r="C8447" s="17" t="s">
        <v>170</v>
      </c>
      <c r="D8447" s="13" t="s">
        <v>118</v>
      </c>
      <c r="E8447" s="13" t="s">
        <v>15359</v>
      </c>
      <c r="F8447" s="43">
        <v>1698.88</v>
      </c>
    </row>
    <row r="8448" spans="2:6" x14ac:dyDescent="0.25">
      <c r="B8448" s="13" t="s">
        <v>15360</v>
      </c>
      <c r="C8448" s="17" t="s">
        <v>170</v>
      </c>
      <c r="D8448" s="13" t="s">
        <v>118</v>
      </c>
      <c r="E8448" s="13" t="s">
        <v>15361</v>
      </c>
      <c r="F8448" s="43">
        <v>1698.88</v>
      </c>
    </row>
    <row r="8449" spans="2:6" x14ac:dyDescent="0.25">
      <c r="B8449" s="13" t="s">
        <v>15362</v>
      </c>
      <c r="C8449" s="17" t="s">
        <v>170</v>
      </c>
      <c r="D8449" s="13" t="s">
        <v>118</v>
      </c>
      <c r="E8449" s="13" t="s">
        <v>15363</v>
      </c>
      <c r="F8449" s="43">
        <v>1698.88</v>
      </c>
    </row>
    <row r="8450" spans="2:6" x14ac:dyDescent="0.25">
      <c r="B8450" s="13" t="s">
        <v>15364</v>
      </c>
      <c r="C8450" s="17" t="s">
        <v>170</v>
      </c>
      <c r="D8450" s="13" t="s">
        <v>118</v>
      </c>
      <c r="E8450" s="13" t="s">
        <v>15365</v>
      </c>
      <c r="F8450" s="43">
        <v>1698.88</v>
      </c>
    </row>
    <row r="8451" spans="2:6" x14ac:dyDescent="0.25">
      <c r="B8451" s="13" t="s">
        <v>15366</v>
      </c>
      <c r="C8451" s="17" t="s">
        <v>170</v>
      </c>
      <c r="D8451" s="13" t="s">
        <v>118</v>
      </c>
      <c r="E8451" s="13" t="s">
        <v>15367</v>
      </c>
      <c r="F8451" s="43">
        <v>1698.88</v>
      </c>
    </row>
    <row r="8452" spans="2:6" x14ac:dyDescent="0.25">
      <c r="B8452" s="13" t="s">
        <v>15368</v>
      </c>
      <c r="C8452" s="17" t="s">
        <v>170</v>
      </c>
      <c r="D8452" s="13" t="s">
        <v>118</v>
      </c>
      <c r="E8452" s="13" t="s">
        <v>15369</v>
      </c>
      <c r="F8452" s="43">
        <v>1698.88</v>
      </c>
    </row>
    <row r="8453" spans="2:6" x14ac:dyDescent="0.25">
      <c r="B8453" s="13" t="s">
        <v>15370</v>
      </c>
      <c r="C8453" s="17" t="s">
        <v>170</v>
      </c>
      <c r="D8453" s="13" t="s">
        <v>118</v>
      </c>
      <c r="E8453" s="13" t="s">
        <v>15371</v>
      </c>
      <c r="F8453" s="43">
        <v>1698.88</v>
      </c>
    </row>
    <row r="8454" spans="2:6" x14ac:dyDescent="0.25">
      <c r="B8454" s="13" t="s">
        <v>15372</v>
      </c>
      <c r="C8454" s="17" t="s">
        <v>170</v>
      </c>
      <c r="D8454" s="13" t="s">
        <v>118</v>
      </c>
      <c r="E8454" s="13" t="s">
        <v>15373</v>
      </c>
      <c r="F8454" s="43">
        <v>1698.88</v>
      </c>
    </row>
    <row r="8455" spans="2:6" x14ac:dyDescent="0.25">
      <c r="B8455" s="13" t="s">
        <v>15374</v>
      </c>
      <c r="C8455" s="17" t="s">
        <v>170</v>
      </c>
      <c r="D8455" s="13" t="s">
        <v>118</v>
      </c>
      <c r="E8455" s="13" t="s">
        <v>15375</v>
      </c>
      <c r="F8455" s="43">
        <v>1698.88</v>
      </c>
    </row>
    <row r="8456" spans="2:6" x14ac:dyDescent="0.25">
      <c r="B8456" s="13" t="s">
        <v>15376</v>
      </c>
      <c r="C8456" s="17" t="s">
        <v>170</v>
      </c>
      <c r="D8456" s="13" t="s">
        <v>118</v>
      </c>
      <c r="E8456" s="13" t="s">
        <v>15377</v>
      </c>
      <c r="F8456" s="43">
        <v>1698.88</v>
      </c>
    </row>
    <row r="8457" spans="2:6" x14ac:dyDescent="0.25">
      <c r="B8457" s="13" t="s">
        <v>15378</v>
      </c>
      <c r="C8457" s="17" t="s">
        <v>170</v>
      </c>
      <c r="D8457" s="13" t="s">
        <v>118</v>
      </c>
      <c r="E8457" s="13" t="s">
        <v>15379</v>
      </c>
      <c r="F8457" s="43">
        <v>1698.88</v>
      </c>
    </row>
    <row r="8458" spans="2:6" x14ac:dyDescent="0.25">
      <c r="B8458" s="13" t="s">
        <v>15380</v>
      </c>
      <c r="C8458" s="17" t="s">
        <v>170</v>
      </c>
      <c r="D8458" s="13" t="s">
        <v>118</v>
      </c>
      <c r="E8458" s="13" t="s">
        <v>15381</v>
      </c>
      <c r="F8458" s="43">
        <v>1790.1</v>
      </c>
    </row>
    <row r="8459" spans="2:6" x14ac:dyDescent="0.25">
      <c r="B8459" s="13" t="s">
        <v>15382</v>
      </c>
      <c r="C8459" s="17" t="s">
        <v>170</v>
      </c>
      <c r="D8459" s="13" t="s">
        <v>118</v>
      </c>
      <c r="E8459" s="13" t="s">
        <v>15383</v>
      </c>
      <c r="F8459" s="43">
        <v>1790.1</v>
      </c>
    </row>
    <row r="8460" spans="2:6" x14ac:dyDescent="0.25">
      <c r="B8460" s="13" t="s">
        <v>15384</v>
      </c>
      <c r="C8460" s="17" t="s">
        <v>170</v>
      </c>
      <c r="D8460" s="13" t="s">
        <v>118</v>
      </c>
      <c r="E8460" s="13" t="s">
        <v>15385</v>
      </c>
      <c r="F8460" s="43">
        <v>1790.1</v>
      </c>
    </row>
    <row r="8461" spans="2:6" x14ac:dyDescent="0.25">
      <c r="B8461" s="13" t="s">
        <v>15386</v>
      </c>
      <c r="C8461" s="17" t="s">
        <v>170</v>
      </c>
      <c r="D8461" s="13" t="s">
        <v>118</v>
      </c>
      <c r="E8461" s="13" t="s">
        <v>15387</v>
      </c>
      <c r="F8461" s="43">
        <v>1790.1</v>
      </c>
    </row>
    <row r="8462" spans="2:6" x14ac:dyDescent="0.25">
      <c r="B8462" s="13" t="s">
        <v>15388</v>
      </c>
      <c r="C8462" s="17" t="s">
        <v>170</v>
      </c>
      <c r="D8462" s="13" t="s">
        <v>118</v>
      </c>
      <c r="E8462" s="13" t="s">
        <v>15389</v>
      </c>
      <c r="F8462" s="43">
        <v>1790.1</v>
      </c>
    </row>
    <row r="8463" spans="2:6" x14ac:dyDescent="0.25">
      <c r="B8463" s="13" t="s">
        <v>15390</v>
      </c>
      <c r="C8463" s="17" t="s">
        <v>170</v>
      </c>
      <c r="D8463" s="13" t="s">
        <v>118</v>
      </c>
      <c r="E8463" s="13" t="s">
        <v>15391</v>
      </c>
      <c r="F8463" s="43">
        <v>1790.1</v>
      </c>
    </row>
    <row r="8464" spans="2:6" x14ac:dyDescent="0.25">
      <c r="B8464" s="13" t="s">
        <v>15392</v>
      </c>
      <c r="C8464" s="17" t="s">
        <v>170</v>
      </c>
      <c r="D8464" s="13" t="s">
        <v>118</v>
      </c>
      <c r="E8464" s="13" t="s">
        <v>15393</v>
      </c>
      <c r="F8464" s="43">
        <v>1790.1</v>
      </c>
    </row>
    <row r="8465" spans="2:6" x14ac:dyDescent="0.25">
      <c r="B8465" s="13" t="s">
        <v>15394</v>
      </c>
      <c r="C8465" s="17" t="s">
        <v>170</v>
      </c>
      <c r="D8465" s="13" t="s">
        <v>118</v>
      </c>
      <c r="E8465" s="13" t="s">
        <v>15395</v>
      </c>
      <c r="F8465" s="43">
        <v>1790.1</v>
      </c>
    </row>
    <row r="8466" spans="2:6" x14ac:dyDescent="0.25">
      <c r="B8466" s="13" t="s">
        <v>15396</v>
      </c>
      <c r="C8466" s="17" t="s">
        <v>170</v>
      </c>
      <c r="D8466" s="13" t="s">
        <v>118</v>
      </c>
      <c r="E8466" s="13" t="s">
        <v>15397</v>
      </c>
      <c r="F8466" s="43">
        <v>1790.1</v>
      </c>
    </row>
    <row r="8467" spans="2:6" x14ac:dyDescent="0.25">
      <c r="B8467" s="13" t="s">
        <v>15398</v>
      </c>
      <c r="C8467" s="17" t="s">
        <v>170</v>
      </c>
      <c r="D8467" s="13" t="s">
        <v>118</v>
      </c>
      <c r="E8467" s="13" t="s">
        <v>15399</v>
      </c>
      <c r="F8467" s="43">
        <v>1790.1</v>
      </c>
    </row>
    <row r="8468" spans="2:6" x14ac:dyDescent="0.25">
      <c r="B8468" s="13" t="s">
        <v>15400</v>
      </c>
      <c r="C8468" s="17" t="s">
        <v>170</v>
      </c>
      <c r="D8468" s="13" t="s">
        <v>118</v>
      </c>
      <c r="E8468" s="13" t="s">
        <v>15401</v>
      </c>
      <c r="F8468" s="43">
        <v>1790.1</v>
      </c>
    </row>
    <row r="8469" spans="2:6" x14ac:dyDescent="0.25">
      <c r="B8469" s="13" t="s">
        <v>15402</v>
      </c>
      <c r="C8469" s="17" t="s">
        <v>170</v>
      </c>
      <c r="D8469" s="13" t="s">
        <v>118</v>
      </c>
      <c r="E8469" s="13" t="s">
        <v>15403</v>
      </c>
      <c r="F8469" s="43">
        <v>1790.1</v>
      </c>
    </row>
    <row r="8470" spans="2:6" x14ac:dyDescent="0.25">
      <c r="B8470" s="13" t="s">
        <v>15404</v>
      </c>
      <c r="C8470" s="17" t="s">
        <v>170</v>
      </c>
      <c r="D8470" s="13" t="s">
        <v>118</v>
      </c>
      <c r="E8470" s="13" t="s">
        <v>15405</v>
      </c>
      <c r="F8470" s="43">
        <v>1790.1</v>
      </c>
    </row>
    <row r="8471" spans="2:6" x14ac:dyDescent="0.25">
      <c r="B8471" s="13" t="s">
        <v>15406</v>
      </c>
      <c r="C8471" s="17" t="s">
        <v>170</v>
      </c>
      <c r="D8471" s="13" t="s">
        <v>118</v>
      </c>
      <c r="E8471" s="13" t="s">
        <v>15407</v>
      </c>
      <c r="F8471" s="43">
        <v>1790.1</v>
      </c>
    </row>
    <row r="8472" spans="2:6" x14ac:dyDescent="0.25">
      <c r="B8472" s="13" t="s">
        <v>15408</v>
      </c>
      <c r="C8472" s="17" t="s">
        <v>170</v>
      </c>
      <c r="D8472" s="13" t="s">
        <v>118</v>
      </c>
      <c r="E8472" s="13" t="s">
        <v>15409</v>
      </c>
      <c r="F8472" s="43">
        <v>1790.1</v>
      </c>
    </row>
    <row r="8473" spans="2:6" x14ac:dyDescent="0.25">
      <c r="B8473" s="13" t="s">
        <v>13749</v>
      </c>
      <c r="C8473" s="17" t="s">
        <v>170</v>
      </c>
      <c r="D8473" s="13" t="s">
        <v>118</v>
      </c>
      <c r="E8473" s="13" t="s">
        <v>15410</v>
      </c>
      <c r="F8473" s="43">
        <v>24.1</v>
      </c>
    </row>
    <row r="8474" spans="2:6" x14ac:dyDescent="0.25">
      <c r="B8474" s="13" t="s">
        <v>15411</v>
      </c>
      <c r="C8474" s="17" t="s">
        <v>170</v>
      </c>
      <c r="D8474" s="13" t="s">
        <v>118</v>
      </c>
      <c r="E8474" s="13" t="s">
        <v>15412</v>
      </c>
      <c r="F8474" s="43">
        <v>18.940000000000001</v>
      </c>
    </row>
    <row r="8475" spans="2:6" x14ac:dyDescent="0.25">
      <c r="B8475" s="13" t="s">
        <v>15413</v>
      </c>
      <c r="C8475" s="17" t="s">
        <v>170</v>
      </c>
      <c r="D8475" s="13" t="s">
        <v>118</v>
      </c>
      <c r="E8475" s="13" t="s">
        <v>15414</v>
      </c>
      <c r="F8475" s="43">
        <v>19.739999999999998</v>
      </c>
    </row>
    <row r="8476" spans="2:6" x14ac:dyDescent="0.25">
      <c r="B8476" s="13" t="s">
        <v>15415</v>
      </c>
      <c r="C8476" s="17" t="s">
        <v>170</v>
      </c>
      <c r="D8476" s="13" t="s">
        <v>118</v>
      </c>
      <c r="E8476" s="13" t="s">
        <v>15416</v>
      </c>
      <c r="F8476" s="43">
        <v>18.940000000000001</v>
      </c>
    </row>
    <row r="8477" spans="2:6" x14ac:dyDescent="0.25">
      <c r="B8477" s="13" t="s">
        <v>15417</v>
      </c>
      <c r="C8477" s="17" t="s">
        <v>170</v>
      </c>
      <c r="D8477" s="13" t="s">
        <v>118</v>
      </c>
      <c r="E8477" s="13" t="s">
        <v>15418</v>
      </c>
      <c r="F8477" s="43">
        <v>18.940000000000001</v>
      </c>
    </row>
    <row r="8478" spans="2:6" x14ac:dyDescent="0.25">
      <c r="B8478" s="13" t="s">
        <v>15419</v>
      </c>
      <c r="C8478" s="17" t="s">
        <v>170</v>
      </c>
      <c r="D8478" s="13" t="s">
        <v>118</v>
      </c>
      <c r="E8478" s="13" t="s">
        <v>15420</v>
      </c>
      <c r="F8478" s="43">
        <v>19.739999999999998</v>
      </c>
    </row>
    <row r="8479" spans="2:6" x14ac:dyDescent="0.25">
      <c r="B8479" s="13" t="s">
        <v>15421</v>
      </c>
      <c r="C8479" s="17" t="s">
        <v>170</v>
      </c>
      <c r="D8479" s="13" t="s">
        <v>118</v>
      </c>
      <c r="E8479" s="13" t="s">
        <v>15422</v>
      </c>
      <c r="F8479" s="43">
        <v>74.59</v>
      </c>
    </row>
    <row r="8480" spans="2:6" x14ac:dyDescent="0.25">
      <c r="B8480" s="13" t="s">
        <v>15423</v>
      </c>
      <c r="C8480" s="17" t="s">
        <v>170</v>
      </c>
      <c r="D8480" s="13" t="s">
        <v>118</v>
      </c>
      <c r="E8480" s="13" t="s">
        <v>15424</v>
      </c>
      <c r="F8480" s="43">
        <v>74.59</v>
      </c>
    </row>
    <row r="8481" spans="2:6" x14ac:dyDescent="0.25">
      <c r="B8481" s="13" t="s">
        <v>15425</v>
      </c>
      <c r="C8481" s="17" t="s">
        <v>170</v>
      </c>
      <c r="D8481" s="13" t="s">
        <v>118</v>
      </c>
      <c r="E8481" s="13" t="s">
        <v>15426</v>
      </c>
      <c r="F8481" s="43">
        <v>74.59</v>
      </c>
    </row>
    <row r="8482" spans="2:6" x14ac:dyDescent="0.25">
      <c r="B8482" s="13" t="s">
        <v>15427</v>
      </c>
      <c r="C8482" s="17" t="s">
        <v>170</v>
      </c>
      <c r="D8482" s="13" t="s">
        <v>118</v>
      </c>
      <c r="E8482" s="13" t="s">
        <v>15426</v>
      </c>
      <c r="F8482" s="43">
        <v>74.59</v>
      </c>
    </row>
    <row r="8483" spans="2:6" x14ac:dyDescent="0.25">
      <c r="B8483" s="13" t="s">
        <v>15428</v>
      </c>
      <c r="C8483" s="17" t="s">
        <v>170</v>
      </c>
      <c r="D8483" s="13" t="s">
        <v>118</v>
      </c>
      <c r="E8483" s="13" t="s">
        <v>15429</v>
      </c>
      <c r="F8483" s="43">
        <v>49.35</v>
      </c>
    </row>
    <row r="8484" spans="2:6" x14ac:dyDescent="0.25">
      <c r="B8484" s="13" t="s">
        <v>15430</v>
      </c>
      <c r="C8484" s="17" t="s">
        <v>170</v>
      </c>
      <c r="D8484" s="13" t="s">
        <v>118</v>
      </c>
      <c r="E8484" s="13" t="s">
        <v>15431</v>
      </c>
      <c r="F8484" s="43">
        <v>49.35</v>
      </c>
    </row>
    <row r="8485" spans="2:6" x14ac:dyDescent="0.25">
      <c r="B8485" s="13" t="s">
        <v>15432</v>
      </c>
      <c r="C8485" s="17" t="s">
        <v>170</v>
      </c>
      <c r="D8485" s="13" t="s">
        <v>118</v>
      </c>
      <c r="E8485" s="13" t="s">
        <v>15433</v>
      </c>
      <c r="F8485" s="43">
        <v>49.35</v>
      </c>
    </row>
    <row r="8486" spans="2:6" x14ac:dyDescent="0.25">
      <c r="B8486" s="13" t="s">
        <v>15434</v>
      </c>
      <c r="C8486" s="17" t="s">
        <v>170</v>
      </c>
      <c r="D8486" s="13" t="s">
        <v>118</v>
      </c>
      <c r="E8486" s="13" t="s">
        <v>15435</v>
      </c>
      <c r="F8486" s="43">
        <v>193.93</v>
      </c>
    </row>
    <row r="8487" spans="2:6" x14ac:dyDescent="0.25">
      <c r="B8487" s="13" t="s">
        <v>15436</v>
      </c>
      <c r="C8487" s="17" t="s">
        <v>170</v>
      </c>
      <c r="D8487" s="13" t="s">
        <v>118</v>
      </c>
      <c r="E8487" s="13" t="s">
        <v>15437</v>
      </c>
      <c r="F8487" s="43">
        <v>193.93</v>
      </c>
    </row>
    <row r="8488" spans="2:6" x14ac:dyDescent="0.25">
      <c r="B8488" s="13" t="s">
        <v>15438</v>
      </c>
      <c r="C8488" s="17" t="s">
        <v>170</v>
      </c>
      <c r="D8488" s="13" t="s">
        <v>118</v>
      </c>
      <c r="E8488" s="13" t="s">
        <v>15439</v>
      </c>
      <c r="F8488" s="43">
        <v>193.93</v>
      </c>
    </row>
    <row r="8489" spans="2:6" x14ac:dyDescent="0.25">
      <c r="B8489" s="13" t="s">
        <v>15440</v>
      </c>
      <c r="C8489" s="17" t="s">
        <v>170</v>
      </c>
      <c r="D8489" s="13" t="s">
        <v>118</v>
      </c>
      <c r="E8489" s="13" t="s">
        <v>15441</v>
      </c>
      <c r="F8489" s="43">
        <v>193.93</v>
      </c>
    </row>
    <row r="8490" spans="2:6" x14ac:dyDescent="0.25">
      <c r="B8490" s="13" t="s">
        <v>15442</v>
      </c>
      <c r="C8490" s="17" t="s">
        <v>170</v>
      </c>
      <c r="D8490" s="13" t="s">
        <v>118</v>
      </c>
      <c r="E8490" s="13" t="s">
        <v>15443</v>
      </c>
      <c r="F8490" s="43">
        <v>298.35000000000002</v>
      </c>
    </row>
    <row r="8491" spans="2:6" x14ac:dyDescent="0.25">
      <c r="B8491" s="13" t="s">
        <v>15444</v>
      </c>
      <c r="C8491" s="17" t="s">
        <v>170</v>
      </c>
      <c r="D8491" s="13" t="s">
        <v>118</v>
      </c>
      <c r="E8491" s="13" t="s">
        <v>15445</v>
      </c>
      <c r="F8491" s="43">
        <v>298.35000000000002</v>
      </c>
    </row>
    <row r="8492" spans="2:6" x14ac:dyDescent="0.25">
      <c r="B8492" s="13" t="s">
        <v>15446</v>
      </c>
      <c r="C8492" s="17" t="s">
        <v>170</v>
      </c>
      <c r="D8492" s="13" t="s">
        <v>118</v>
      </c>
      <c r="E8492" s="13" t="s">
        <v>15447</v>
      </c>
      <c r="F8492" s="43">
        <v>298.35000000000002</v>
      </c>
    </row>
    <row r="8493" spans="2:6" x14ac:dyDescent="0.25">
      <c r="B8493" s="13" t="s">
        <v>15448</v>
      </c>
      <c r="C8493" s="17" t="s">
        <v>170</v>
      </c>
      <c r="D8493" s="13" t="s">
        <v>118</v>
      </c>
      <c r="E8493" s="13" t="s">
        <v>15449</v>
      </c>
      <c r="F8493" s="43">
        <v>34.479999999999997</v>
      </c>
    </row>
    <row r="8494" spans="2:6" x14ac:dyDescent="0.25">
      <c r="B8494" s="13" t="s">
        <v>15450</v>
      </c>
      <c r="C8494" s="17" t="s">
        <v>170</v>
      </c>
      <c r="D8494" s="13" t="s">
        <v>118</v>
      </c>
      <c r="E8494" s="13" t="s">
        <v>15451</v>
      </c>
      <c r="F8494" s="43">
        <v>34.479999999999997</v>
      </c>
    </row>
    <row r="8495" spans="2:6" x14ac:dyDescent="0.25">
      <c r="B8495" s="13" t="s">
        <v>15452</v>
      </c>
      <c r="C8495" s="17" t="s">
        <v>170</v>
      </c>
      <c r="D8495" s="13" t="s">
        <v>118</v>
      </c>
      <c r="E8495" s="13" t="s">
        <v>15453</v>
      </c>
      <c r="F8495" s="43">
        <v>34.479999999999997</v>
      </c>
    </row>
    <row r="8496" spans="2:6" x14ac:dyDescent="0.25">
      <c r="B8496" s="13" t="s">
        <v>15454</v>
      </c>
      <c r="C8496" s="17" t="s">
        <v>170</v>
      </c>
      <c r="D8496" s="13" t="s">
        <v>118</v>
      </c>
      <c r="E8496" s="13" t="s">
        <v>15455</v>
      </c>
      <c r="F8496" s="43">
        <v>34.479999999999997</v>
      </c>
    </row>
    <row r="8497" spans="2:6" x14ac:dyDescent="0.25">
      <c r="B8497" s="13" t="s">
        <v>15456</v>
      </c>
      <c r="C8497" s="17" t="s">
        <v>170</v>
      </c>
      <c r="D8497" s="13" t="s">
        <v>118</v>
      </c>
      <c r="E8497" s="13" t="s">
        <v>15457</v>
      </c>
      <c r="F8497" s="43">
        <v>34.479999999999997</v>
      </c>
    </row>
    <row r="8498" spans="2:6" x14ac:dyDescent="0.25">
      <c r="B8498" s="13" t="s">
        <v>15458</v>
      </c>
      <c r="C8498" s="17" t="s">
        <v>170</v>
      </c>
      <c r="D8498" s="13" t="s">
        <v>118</v>
      </c>
      <c r="E8498" s="13" t="s">
        <v>15459</v>
      </c>
      <c r="F8498" s="43">
        <v>49.25</v>
      </c>
    </row>
    <row r="8499" spans="2:6" x14ac:dyDescent="0.25">
      <c r="B8499" s="13" t="s">
        <v>15460</v>
      </c>
      <c r="C8499" s="17" t="s">
        <v>170</v>
      </c>
      <c r="D8499" s="13" t="s">
        <v>118</v>
      </c>
      <c r="E8499" s="13" t="s">
        <v>15461</v>
      </c>
      <c r="F8499" s="43">
        <v>24.11</v>
      </c>
    </row>
    <row r="8500" spans="2:6" x14ac:dyDescent="0.25">
      <c r="B8500" s="13" t="s">
        <v>15462</v>
      </c>
      <c r="C8500" s="17" t="s">
        <v>170</v>
      </c>
      <c r="D8500" s="13" t="s">
        <v>118</v>
      </c>
      <c r="E8500" s="13" t="s">
        <v>15463</v>
      </c>
      <c r="F8500" s="43">
        <v>24.11</v>
      </c>
    </row>
    <row r="8501" spans="2:6" x14ac:dyDescent="0.25">
      <c r="B8501" s="13" t="s">
        <v>15464</v>
      </c>
      <c r="C8501" s="17" t="s">
        <v>170</v>
      </c>
      <c r="D8501" s="13" t="s">
        <v>118</v>
      </c>
      <c r="E8501" s="13" t="s">
        <v>15465</v>
      </c>
      <c r="F8501" s="43">
        <v>24.11</v>
      </c>
    </row>
    <row r="8502" spans="2:6" x14ac:dyDescent="0.25">
      <c r="B8502" s="13" t="s">
        <v>15466</v>
      </c>
      <c r="C8502" s="17" t="s">
        <v>170</v>
      </c>
      <c r="D8502" s="13" t="s">
        <v>118</v>
      </c>
      <c r="E8502" s="13" t="s">
        <v>15467</v>
      </c>
      <c r="F8502" s="43">
        <v>24.11</v>
      </c>
    </row>
    <row r="8503" spans="2:6" x14ac:dyDescent="0.25">
      <c r="B8503" s="13" t="s">
        <v>15468</v>
      </c>
      <c r="C8503" s="17" t="s">
        <v>170</v>
      </c>
      <c r="D8503" s="13" t="s">
        <v>118</v>
      </c>
      <c r="E8503" s="13" t="s">
        <v>15469</v>
      </c>
      <c r="F8503" s="43">
        <v>24.11</v>
      </c>
    </row>
    <row r="8504" spans="2:6" x14ac:dyDescent="0.25">
      <c r="B8504" s="13" t="s">
        <v>15470</v>
      </c>
      <c r="C8504" s="17" t="s">
        <v>170</v>
      </c>
      <c r="D8504" s="13" t="s">
        <v>118</v>
      </c>
      <c r="E8504" s="13" t="s">
        <v>15471</v>
      </c>
      <c r="F8504" s="43">
        <v>24.11</v>
      </c>
    </row>
    <row r="8505" spans="2:6" x14ac:dyDescent="0.25">
      <c r="B8505" s="13" t="s">
        <v>15472</v>
      </c>
      <c r="C8505" s="17" t="s">
        <v>170</v>
      </c>
      <c r="D8505" s="13" t="s">
        <v>118</v>
      </c>
      <c r="E8505" s="13" t="s">
        <v>15473</v>
      </c>
      <c r="F8505" s="43">
        <v>24.11</v>
      </c>
    </row>
    <row r="8506" spans="2:6" x14ac:dyDescent="0.25">
      <c r="B8506" s="13" t="s">
        <v>15474</v>
      </c>
      <c r="C8506" s="17" t="s">
        <v>170</v>
      </c>
      <c r="D8506" s="13" t="s">
        <v>118</v>
      </c>
      <c r="E8506" s="13" t="s">
        <v>15475</v>
      </c>
      <c r="F8506" s="43">
        <v>25.54</v>
      </c>
    </row>
    <row r="8507" spans="2:6" x14ac:dyDescent="0.25">
      <c r="B8507" s="13" t="s">
        <v>15476</v>
      </c>
      <c r="C8507" s="17" t="s">
        <v>170</v>
      </c>
      <c r="D8507" s="13" t="s">
        <v>118</v>
      </c>
      <c r="E8507" s="13" t="s">
        <v>15477</v>
      </c>
      <c r="F8507" s="43">
        <v>25.54</v>
      </c>
    </row>
    <row r="8508" spans="2:6" x14ac:dyDescent="0.25">
      <c r="B8508" s="13" t="s">
        <v>15478</v>
      </c>
      <c r="C8508" s="17" t="s">
        <v>170</v>
      </c>
      <c r="D8508" s="13" t="s">
        <v>118</v>
      </c>
      <c r="E8508" s="13" t="s">
        <v>15479</v>
      </c>
      <c r="F8508" s="43">
        <v>25.54</v>
      </c>
    </row>
    <row r="8509" spans="2:6" x14ac:dyDescent="0.25">
      <c r="B8509" s="13" t="s">
        <v>15480</v>
      </c>
      <c r="C8509" s="17" t="s">
        <v>170</v>
      </c>
      <c r="D8509" s="13" t="s">
        <v>118</v>
      </c>
      <c r="E8509" s="13" t="s">
        <v>15481</v>
      </c>
      <c r="F8509" s="43">
        <v>25.54</v>
      </c>
    </row>
    <row r="8510" spans="2:6" x14ac:dyDescent="0.25">
      <c r="B8510" s="13" t="s">
        <v>15482</v>
      </c>
      <c r="C8510" s="17" t="s">
        <v>170</v>
      </c>
      <c r="D8510" s="13" t="s">
        <v>118</v>
      </c>
      <c r="E8510" s="13" t="s">
        <v>15483</v>
      </c>
      <c r="F8510" s="43">
        <v>25.54</v>
      </c>
    </row>
    <row r="8511" spans="2:6" x14ac:dyDescent="0.25">
      <c r="B8511" s="13" t="s">
        <v>15484</v>
      </c>
      <c r="C8511" s="17" t="s">
        <v>170</v>
      </c>
      <c r="D8511" s="13" t="s">
        <v>118</v>
      </c>
      <c r="E8511" s="13" t="s">
        <v>15485</v>
      </c>
      <c r="F8511" s="43">
        <v>25.54</v>
      </c>
    </row>
    <row r="8512" spans="2:6" x14ac:dyDescent="0.25">
      <c r="B8512" s="13" t="s">
        <v>15486</v>
      </c>
      <c r="C8512" s="17" t="s">
        <v>170</v>
      </c>
      <c r="D8512" s="13" t="s">
        <v>118</v>
      </c>
      <c r="E8512" s="13" t="s">
        <v>15487</v>
      </c>
      <c r="F8512" s="43">
        <v>25.54</v>
      </c>
    </row>
    <row r="8513" spans="2:6" x14ac:dyDescent="0.25">
      <c r="B8513" s="13" t="s">
        <v>15488</v>
      </c>
      <c r="C8513" s="17" t="s">
        <v>170</v>
      </c>
      <c r="D8513" s="13" t="s">
        <v>118</v>
      </c>
      <c r="E8513" s="13" t="s">
        <v>15489</v>
      </c>
      <c r="F8513" s="43">
        <v>27.1</v>
      </c>
    </row>
    <row r="8514" spans="2:6" x14ac:dyDescent="0.25">
      <c r="B8514" s="13" t="s">
        <v>15490</v>
      </c>
      <c r="C8514" s="17" t="s">
        <v>170</v>
      </c>
      <c r="D8514" s="13" t="s">
        <v>118</v>
      </c>
      <c r="E8514" s="13" t="s">
        <v>15491</v>
      </c>
      <c r="F8514" s="43">
        <v>20.81</v>
      </c>
    </row>
    <row r="8515" spans="2:6" x14ac:dyDescent="0.25">
      <c r="B8515" s="13" t="s">
        <v>15492</v>
      </c>
      <c r="C8515" s="17" t="s">
        <v>170</v>
      </c>
      <c r="D8515" s="13" t="s">
        <v>118</v>
      </c>
      <c r="E8515" s="13" t="s">
        <v>15493</v>
      </c>
      <c r="F8515" s="43">
        <v>20.81</v>
      </c>
    </row>
    <row r="8516" spans="2:6" x14ac:dyDescent="0.25">
      <c r="B8516" s="13" t="s">
        <v>15494</v>
      </c>
      <c r="C8516" s="17" t="s">
        <v>170</v>
      </c>
      <c r="D8516" s="13" t="s">
        <v>118</v>
      </c>
      <c r="E8516" s="13" t="s">
        <v>15495</v>
      </c>
      <c r="F8516" s="43">
        <v>20.81</v>
      </c>
    </row>
    <row r="8517" spans="2:6" x14ac:dyDescent="0.25">
      <c r="B8517" s="13" t="s">
        <v>15496</v>
      </c>
      <c r="C8517" s="17" t="s">
        <v>170</v>
      </c>
      <c r="D8517" s="13" t="s">
        <v>118</v>
      </c>
      <c r="E8517" s="13" t="s">
        <v>15497</v>
      </c>
      <c r="F8517" s="43">
        <v>20.81</v>
      </c>
    </row>
    <row r="8518" spans="2:6" x14ac:dyDescent="0.25">
      <c r="B8518" s="13" t="s">
        <v>15498</v>
      </c>
      <c r="C8518" s="17" t="s">
        <v>170</v>
      </c>
      <c r="D8518" s="13" t="s">
        <v>118</v>
      </c>
      <c r="E8518" s="13" t="s">
        <v>15499</v>
      </c>
      <c r="F8518" s="43">
        <v>20.81</v>
      </c>
    </row>
    <row r="8519" spans="2:6" x14ac:dyDescent="0.25">
      <c r="B8519" s="13" t="s">
        <v>15500</v>
      </c>
      <c r="C8519" s="17" t="s">
        <v>170</v>
      </c>
      <c r="D8519" s="13" t="s">
        <v>118</v>
      </c>
      <c r="E8519" s="13" t="s">
        <v>15501</v>
      </c>
      <c r="F8519" s="43">
        <v>20.81</v>
      </c>
    </row>
    <row r="8520" spans="2:6" x14ac:dyDescent="0.25">
      <c r="B8520" s="13" t="s">
        <v>15502</v>
      </c>
      <c r="C8520" s="17" t="s">
        <v>170</v>
      </c>
      <c r="D8520" s="13" t="s">
        <v>118</v>
      </c>
      <c r="E8520" s="13" t="s">
        <v>15503</v>
      </c>
      <c r="F8520" s="43">
        <v>20.81</v>
      </c>
    </row>
    <row r="8521" spans="2:6" x14ac:dyDescent="0.25">
      <c r="B8521" s="13" t="s">
        <v>15504</v>
      </c>
      <c r="C8521" s="17" t="s">
        <v>170</v>
      </c>
      <c r="D8521" s="13" t="s">
        <v>118</v>
      </c>
      <c r="E8521" s="13" t="s">
        <v>15505</v>
      </c>
      <c r="F8521" s="43">
        <v>20.81</v>
      </c>
    </row>
    <row r="8522" spans="2:6" x14ac:dyDescent="0.25">
      <c r="B8522" s="13" t="s">
        <v>15506</v>
      </c>
      <c r="C8522" s="17" t="s">
        <v>170</v>
      </c>
      <c r="D8522" s="13" t="s">
        <v>118</v>
      </c>
      <c r="E8522" s="13" t="s">
        <v>15507</v>
      </c>
      <c r="F8522" s="43">
        <v>22.46</v>
      </c>
    </row>
    <row r="8523" spans="2:6" x14ac:dyDescent="0.25">
      <c r="B8523" s="13" t="s">
        <v>15508</v>
      </c>
      <c r="C8523" s="17" t="s">
        <v>170</v>
      </c>
      <c r="D8523" s="13" t="s">
        <v>118</v>
      </c>
      <c r="E8523" s="13" t="s">
        <v>15509</v>
      </c>
      <c r="F8523" s="43">
        <v>22.46</v>
      </c>
    </row>
    <row r="8524" spans="2:6" x14ac:dyDescent="0.25">
      <c r="B8524" s="13" t="s">
        <v>15510</v>
      </c>
      <c r="C8524" s="17" t="s">
        <v>170</v>
      </c>
      <c r="D8524" s="13" t="s">
        <v>118</v>
      </c>
      <c r="E8524" s="13" t="s">
        <v>15511</v>
      </c>
      <c r="F8524" s="43">
        <v>22.46</v>
      </c>
    </row>
    <row r="8525" spans="2:6" x14ac:dyDescent="0.25">
      <c r="B8525" s="13" t="s">
        <v>15512</v>
      </c>
      <c r="C8525" s="17" t="s">
        <v>170</v>
      </c>
      <c r="D8525" s="13" t="s">
        <v>118</v>
      </c>
      <c r="E8525" s="13" t="s">
        <v>15513</v>
      </c>
      <c r="F8525" s="43">
        <v>22.46</v>
      </c>
    </row>
    <row r="8526" spans="2:6" x14ac:dyDescent="0.25">
      <c r="B8526" s="13" t="s">
        <v>15514</v>
      </c>
      <c r="C8526" s="17" t="s">
        <v>170</v>
      </c>
      <c r="D8526" s="13" t="s">
        <v>118</v>
      </c>
      <c r="E8526" s="13" t="s">
        <v>15515</v>
      </c>
      <c r="F8526" s="43">
        <v>22.46</v>
      </c>
    </row>
    <row r="8527" spans="2:6" x14ac:dyDescent="0.25">
      <c r="B8527" s="13" t="s">
        <v>15516</v>
      </c>
      <c r="C8527" s="17" t="s">
        <v>170</v>
      </c>
      <c r="D8527" s="13" t="s">
        <v>118</v>
      </c>
      <c r="E8527" s="13" t="s">
        <v>15517</v>
      </c>
      <c r="F8527" s="43">
        <v>22.46</v>
      </c>
    </row>
    <row r="8528" spans="2:6" x14ac:dyDescent="0.25">
      <c r="B8528" s="13" t="s">
        <v>15518</v>
      </c>
      <c r="C8528" s="17" t="s">
        <v>170</v>
      </c>
      <c r="D8528" s="13" t="s">
        <v>118</v>
      </c>
      <c r="E8528" s="13" t="s">
        <v>15519</v>
      </c>
      <c r="F8528" s="43">
        <v>22.46</v>
      </c>
    </row>
    <row r="8529" spans="2:6" x14ac:dyDescent="0.25">
      <c r="B8529" s="13" t="s">
        <v>15520</v>
      </c>
      <c r="C8529" s="17" t="s">
        <v>170</v>
      </c>
      <c r="D8529" s="13" t="s">
        <v>118</v>
      </c>
      <c r="E8529" s="13" t="s">
        <v>15521</v>
      </c>
      <c r="F8529" s="43">
        <v>22.46</v>
      </c>
    </row>
    <row r="8530" spans="2:6" x14ac:dyDescent="0.25">
      <c r="B8530" s="13" t="s">
        <v>15522</v>
      </c>
      <c r="C8530" s="17" t="s">
        <v>170</v>
      </c>
      <c r="D8530" s="13" t="s">
        <v>118</v>
      </c>
      <c r="E8530" s="13" t="s">
        <v>15523</v>
      </c>
      <c r="F8530" s="43">
        <v>22.46</v>
      </c>
    </row>
    <row r="8531" spans="2:6" x14ac:dyDescent="0.25">
      <c r="B8531" s="13" t="s">
        <v>15524</v>
      </c>
      <c r="C8531" s="17" t="s">
        <v>170</v>
      </c>
      <c r="D8531" s="13" t="s">
        <v>118</v>
      </c>
      <c r="E8531" s="13" t="s">
        <v>15525</v>
      </c>
      <c r="F8531" s="43">
        <v>22.46</v>
      </c>
    </row>
    <row r="8532" spans="2:6" x14ac:dyDescent="0.25">
      <c r="B8532" s="13" t="s">
        <v>15526</v>
      </c>
      <c r="C8532" s="17" t="s">
        <v>170</v>
      </c>
      <c r="D8532" s="13" t="s">
        <v>118</v>
      </c>
      <c r="E8532" s="13" t="s">
        <v>15527</v>
      </c>
      <c r="F8532" s="43">
        <v>22.46</v>
      </c>
    </row>
    <row r="8533" spans="2:6" x14ac:dyDescent="0.25">
      <c r="B8533" s="13" t="s">
        <v>15528</v>
      </c>
      <c r="C8533" s="17" t="s">
        <v>170</v>
      </c>
      <c r="D8533" s="13" t="s">
        <v>118</v>
      </c>
      <c r="E8533" s="13" t="s">
        <v>15529</v>
      </c>
      <c r="F8533" s="43">
        <v>22.46</v>
      </c>
    </row>
    <row r="8534" spans="2:6" x14ac:dyDescent="0.25">
      <c r="B8534" s="13" t="s">
        <v>15530</v>
      </c>
      <c r="C8534" s="17" t="s">
        <v>170</v>
      </c>
      <c r="D8534" s="13" t="s">
        <v>118</v>
      </c>
      <c r="E8534" s="13" t="s">
        <v>15531</v>
      </c>
      <c r="F8534" s="43">
        <v>22.46</v>
      </c>
    </row>
    <row r="8535" spans="2:6" x14ac:dyDescent="0.25">
      <c r="B8535" s="13" t="s">
        <v>15532</v>
      </c>
      <c r="C8535" s="17" t="s">
        <v>170</v>
      </c>
      <c r="D8535" s="13" t="s">
        <v>118</v>
      </c>
      <c r="E8535" s="13" t="s">
        <v>15533</v>
      </c>
      <c r="F8535" s="43">
        <v>22.46</v>
      </c>
    </row>
    <row r="8536" spans="2:6" x14ac:dyDescent="0.25">
      <c r="B8536" s="13" t="s">
        <v>15534</v>
      </c>
      <c r="C8536" s="17" t="s">
        <v>170</v>
      </c>
      <c r="D8536" s="13" t="s">
        <v>118</v>
      </c>
      <c r="E8536" s="13" t="s">
        <v>15535</v>
      </c>
      <c r="F8536" s="43">
        <v>22.46</v>
      </c>
    </row>
    <row r="8537" spans="2:6" x14ac:dyDescent="0.25">
      <c r="B8537" s="13" t="s">
        <v>15536</v>
      </c>
      <c r="C8537" s="17" t="s">
        <v>170</v>
      </c>
      <c r="D8537" s="13" t="s">
        <v>118</v>
      </c>
      <c r="E8537" s="13" t="s">
        <v>15537</v>
      </c>
      <c r="F8537" s="43">
        <v>22.46</v>
      </c>
    </row>
    <row r="8538" spans="2:6" x14ac:dyDescent="0.25">
      <c r="B8538" s="13" t="s">
        <v>15538</v>
      </c>
      <c r="C8538" s="17" t="s">
        <v>170</v>
      </c>
      <c r="D8538" s="13" t="s">
        <v>118</v>
      </c>
      <c r="E8538" s="13" t="s">
        <v>15539</v>
      </c>
      <c r="F8538" s="43">
        <v>22.46</v>
      </c>
    </row>
    <row r="8539" spans="2:6" x14ac:dyDescent="0.25">
      <c r="B8539" s="13" t="s">
        <v>15540</v>
      </c>
      <c r="C8539" s="17" t="s">
        <v>170</v>
      </c>
      <c r="D8539" s="13" t="s">
        <v>118</v>
      </c>
      <c r="E8539" s="13" t="s">
        <v>15541</v>
      </c>
      <c r="F8539" s="43">
        <v>22.46</v>
      </c>
    </row>
    <row r="8540" spans="2:6" x14ac:dyDescent="0.25">
      <c r="B8540" s="13" t="s">
        <v>15542</v>
      </c>
      <c r="C8540" s="17" t="s">
        <v>170</v>
      </c>
      <c r="D8540" s="13" t="s">
        <v>118</v>
      </c>
      <c r="E8540" s="13" t="s">
        <v>15543</v>
      </c>
      <c r="F8540" s="43">
        <v>22.46</v>
      </c>
    </row>
    <row r="8541" spans="2:6" x14ac:dyDescent="0.25">
      <c r="B8541" s="13" t="s">
        <v>15544</v>
      </c>
      <c r="C8541" s="17" t="s">
        <v>170</v>
      </c>
      <c r="D8541" s="13" t="s">
        <v>118</v>
      </c>
      <c r="E8541" s="13" t="s">
        <v>15545</v>
      </c>
      <c r="F8541" s="43">
        <v>22.46</v>
      </c>
    </row>
    <row r="8542" spans="2:6" x14ac:dyDescent="0.25">
      <c r="B8542" s="13" t="s">
        <v>15546</v>
      </c>
      <c r="C8542" s="17" t="s">
        <v>170</v>
      </c>
      <c r="D8542" s="13" t="s">
        <v>118</v>
      </c>
      <c r="E8542" s="13" t="s">
        <v>15547</v>
      </c>
      <c r="F8542" s="43">
        <v>22.46</v>
      </c>
    </row>
    <row r="8543" spans="2:6" x14ac:dyDescent="0.25">
      <c r="B8543" s="13" t="s">
        <v>15548</v>
      </c>
      <c r="C8543" s="17" t="s">
        <v>170</v>
      </c>
      <c r="D8543" s="13" t="s">
        <v>118</v>
      </c>
      <c r="E8543" s="13" t="s">
        <v>15549</v>
      </c>
      <c r="F8543" s="43">
        <v>27.07</v>
      </c>
    </row>
    <row r="8544" spans="2:6" x14ac:dyDescent="0.25">
      <c r="B8544" s="13" t="s">
        <v>15550</v>
      </c>
      <c r="C8544" s="17" t="s">
        <v>170</v>
      </c>
      <c r="D8544" s="13" t="s">
        <v>118</v>
      </c>
      <c r="E8544" s="13" t="s">
        <v>15551</v>
      </c>
      <c r="F8544" s="43">
        <v>27.07</v>
      </c>
    </row>
    <row r="8545" spans="2:6" x14ac:dyDescent="0.25">
      <c r="B8545" s="13" t="s">
        <v>15552</v>
      </c>
      <c r="C8545" s="17" t="s">
        <v>170</v>
      </c>
      <c r="D8545" s="13" t="s">
        <v>118</v>
      </c>
      <c r="E8545" s="13" t="s">
        <v>15553</v>
      </c>
      <c r="F8545" s="43">
        <v>27.07</v>
      </c>
    </row>
    <row r="8546" spans="2:6" x14ac:dyDescent="0.25">
      <c r="B8546" s="13" t="s">
        <v>15554</v>
      </c>
      <c r="C8546" s="17" t="s">
        <v>170</v>
      </c>
      <c r="D8546" s="13" t="s">
        <v>118</v>
      </c>
      <c r="E8546" s="13" t="s">
        <v>15555</v>
      </c>
      <c r="F8546" s="43">
        <v>27.07</v>
      </c>
    </row>
    <row r="8547" spans="2:6" x14ac:dyDescent="0.25">
      <c r="B8547" s="13" t="s">
        <v>15556</v>
      </c>
      <c r="C8547" s="17" t="s">
        <v>170</v>
      </c>
      <c r="D8547" s="13" t="s">
        <v>118</v>
      </c>
      <c r="E8547" s="13" t="s">
        <v>15557</v>
      </c>
      <c r="F8547" s="43">
        <v>27.07</v>
      </c>
    </row>
    <row r="8548" spans="2:6" x14ac:dyDescent="0.25">
      <c r="B8548" s="13" t="s">
        <v>15558</v>
      </c>
      <c r="C8548" s="17" t="s">
        <v>170</v>
      </c>
      <c r="D8548" s="13" t="s">
        <v>118</v>
      </c>
      <c r="E8548" s="13" t="s">
        <v>15559</v>
      </c>
      <c r="F8548" s="43">
        <v>27.07</v>
      </c>
    </row>
    <row r="8549" spans="2:6" x14ac:dyDescent="0.25">
      <c r="B8549" s="13" t="s">
        <v>15560</v>
      </c>
      <c r="C8549" s="17" t="s">
        <v>170</v>
      </c>
      <c r="D8549" s="13" t="s">
        <v>118</v>
      </c>
      <c r="E8549" s="13" t="s">
        <v>15561</v>
      </c>
      <c r="F8549" s="43">
        <v>27.07</v>
      </c>
    </row>
    <row r="8550" spans="2:6" x14ac:dyDescent="0.25">
      <c r="B8550" s="13" t="s">
        <v>15562</v>
      </c>
      <c r="C8550" s="17" t="s">
        <v>170</v>
      </c>
      <c r="D8550" s="13" t="s">
        <v>118</v>
      </c>
      <c r="E8550" s="13" t="s">
        <v>15563</v>
      </c>
      <c r="F8550" s="43">
        <v>27.07</v>
      </c>
    </row>
    <row r="8551" spans="2:6" x14ac:dyDescent="0.25">
      <c r="B8551" s="13" t="s">
        <v>15564</v>
      </c>
      <c r="C8551" s="17" t="s">
        <v>170</v>
      </c>
      <c r="D8551" s="13" t="s">
        <v>118</v>
      </c>
      <c r="E8551" s="13" t="s">
        <v>15565</v>
      </c>
      <c r="F8551" s="43">
        <v>27.07</v>
      </c>
    </row>
    <row r="8552" spans="2:6" x14ac:dyDescent="0.25">
      <c r="B8552" s="13" t="s">
        <v>15566</v>
      </c>
      <c r="C8552" s="17" t="s">
        <v>170</v>
      </c>
      <c r="D8552" s="13" t="s">
        <v>118</v>
      </c>
      <c r="E8552" s="13" t="s">
        <v>15567</v>
      </c>
      <c r="F8552" s="43">
        <v>27.07</v>
      </c>
    </row>
    <row r="8553" spans="2:6" x14ac:dyDescent="0.25">
      <c r="B8553" s="13" t="s">
        <v>15568</v>
      </c>
      <c r="C8553" s="17" t="s">
        <v>170</v>
      </c>
      <c r="D8553" s="13" t="s">
        <v>118</v>
      </c>
      <c r="E8553" s="13" t="s">
        <v>15569</v>
      </c>
      <c r="F8553" s="43">
        <v>27.07</v>
      </c>
    </row>
    <row r="8554" spans="2:6" x14ac:dyDescent="0.25">
      <c r="B8554" s="13" t="s">
        <v>15570</v>
      </c>
      <c r="C8554" s="17" t="s">
        <v>170</v>
      </c>
      <c r="D8554" s="13" t="s">
        <v>118</v>
      </c>
      <c r="E8554" s="13" t="s">
        <v>15571</v>
      </c>
      <c r="F8554" s="43">
        <v>27.07</v>
      </c>
    </row>
    <row r="8555" spans="2:6" x14ac:dyDescent="0.25">
      <c r="B8555" s="13" t="s">
        <v>15572</v>
      </c>
      <c r="C8555" s="17" t="s">
        <v>170</v>
      </c>
      <c r="D8555" s="13" t="s">
        <v>118</v>
      </c>
      <c r="E8555" s="13" t="s">
        <v>15573</v>
      </c>
      <c r="F8555" s="43">
        <v>27.07</v>
      </c>
    </row>
    <row r="8556" spans="2:6" x14ac:dyDescent="0.25">
      <c r="B8556" s="13" t="s">
        <v>15574</v>
      </c>
      <c r="C8556" s="17" t="s">
        <v>170</v>
      </c>
      <c r="D8556" s="13" t="s">
        <v>118</v>
      </c>
      <c r="E8556" s="13" t="s">
        <v>15575</v>
      </c>
      <c r="F8556" s="43">
        <v>27.07</v>
      </c>
    </row>
    <row r="8557" spans="2:6" x14ac:dyDescent="0.25">
      <c r="B8557" s="13" t="s">
        <v>15576</v>
      </c>
      <c r="C8557" s="17" t="s">
        <v>170</v>
      </c>
      <c r="D8557" s="13" t="s">
        <v>118</v>
      </c>
      <c r="E8557" s="13" t="s">
        <v>15577</v>
      </c>
      <c r="F8557" s="43">
        <v>27.07</v>
      </c>
    </row>
    <row r="8558" spans="2:6" x14ac:dyDescent="0.25">
      <c r="B8558" s="13" t="s">
        <v>15578</v>
      </c>
      <c r="C8558" s="17" t="s">
        <v>170</v>
      </c>
      <c r="D8558" s="13" t="s">
        <v>118</v>
      </c>
      <c r="E8558" s="13" t="s">
        <v>15579</v>
      </c>
      <c r="F8558" s="43">
        <v>27.07</v>
      </c>
    </row>
    <row r="8559" spans="2:6" x14ac:dyDescent="0.25">
      <c r="B8559" s="13" t="s">
        <v>15580</v>
      </c>
      <c r="C8559" s="17" t="s">
        <v>170</v>
      </c>
      <c r="D8559" s="13" t="s">
        <v>118</v>
      </c>
      <c r="E8559" s="13" t="s">
        <v>15581</v>
      </c>
      <c r="F8559" s="43">
        <v>27.07</v>
      </c>
    </row>
    <row r="8560" spans="2:6" x14ac:dyDescent="0.25">
      <c r="B8560" s="13" t="s">
        <v>15582</v>
      </c>
      <c r="C8560" s="17" t="s">
        <v>170</v>
      </c>
      <c r="D8560" s="13" t="s">
        <v>118</v>
      </c>
      <c r="E8560" s="13" t="s">
        <v>15583</v>
      </c>
      <c r="F8560" s="43">
        <v>27.07</v>
      </c>
    </row>
    <row r="8561" spans="2:6" x14ac:dyDescent="0.25">
      <c r="B8561" s="13" t="s">
        <v>15584</v>
      </c>
      <c r="C8561" s="17" t="s">
        <v>170</v>
      </c>
      <c r="D8561" s="13" t="s">
        <v>118</v>
      </c>
      <c r="E8561" s="13" t="s">
        <v>15585</v>
      </c>
      <c r="F8561" s="43">
        <v>27.07</v>
      </c>
    </row>
    <row r="8562" spans="2:6" x14ac:dyDescent="0.25">
      <c r="B8562" s="13" t="s">
        <v>15586</v>
      </c>
      <c r="C8562" s="17" t="s">
        <v>170</v>
      </c>
      <c r="D8562" s="13" t="s">
        <v>118</v>
      </c>
      <c r="E8562" s="13" t="s">
        <v>15587</v>
      </c>
      <c r="F8562" s="43">
        <v>27.07</v>
      </c>
    </row>
    <row r="8563" spans="2:6" x14ac:dyDescent="0.25">
      <c r="B8563" s="13" t="s">
        <v>15588</v>
      </c>
      <c r="C8563" s="17" t="s">
        <v>170</v>
      </c>
      <c r="D8563" s="13" t="s">
        <v>118</v>
      </c>
      <c r="E8563" s="13" t="s">
        <v>15589</v>
      </c>
      <c r="F8563" s="43">
        <v>27.07</v>
      </c>
    </row>
    <row r="8564" spans="2:6" x14ac:dyDescent="0.25">
      <c r="B8564" s="13" t="s">
        <v>15590</v>
      </c>
      <c r="C8564" s="17" t="s">
        <v>170</v>
      </c>
      <c r="D8564" s="13" t="s">
        <v>118</v>
      </c>
      <c r="E8564" s="13" t="s">
        <v>15591</v>
      </c>
      <c r="F8564" s="43">
        <v>27.07</v>
      </c>
    </row>
    <row r="8565" spans="2:6" x14ac:dyDescent="0.25">
      <c r="B8565" s="13" t="s">
        <v>15592</v>
      </c>
      <c r="C8565" s="17" t="s">
        <v>170</v>
      </c>
      <c r="D8565" s="13" t="s">
        <v>118</v>
      </c>
      <c r="E8565" s="13" t="s">
        <v>15593</v>
      </c>
      <c r="F8565" s="43">
        <v>27.07</v>
      </c>
    </row>
    <row r="8566" spans="2:6" x14ac:dyDescent="0.25">
      <c r="B8566" s="13" t="s">
        <v>15594</v>
      </c>
      <c r="C8566" s="17" t="s">
        <v>170</v>
      </c>
      <c r="D8566" s="13" t="s">
        <v>118</v>
      </c>
      <c r="E8566" s="13" t="s">
        <v>15595</v>
      </c>
      <c r="F8566" s="43">
        <v>27.07</v>
      </c>
    </row>
    <row r="8567" spans="2:6" x14ac:dyDescent="0.25">
      <c r="B8567" s="13" t="s">
        <v>15596</v>
      </c>
      <c r="C8567" s="17" t="s">
        <v>170</v>
      </c>
      <c r="D8567" s="13" t="s">
        <v>118</v>
      </c>
      <c r="E8567" s="13" t="s">
        <v>15597</v>
      </c>
      <c r="F8567" s="43">
        <v>41.2</v>
      </c>
    </row>
    <row r="8568" spans="2:6" x14ac:dyDescent="0.25">
      <c r="B8568" s="13" t="s">
        <v>15598</v>
      </c>
      <c r="C8568" s="17" t="s">
        <v>170</v>
      </c>
      <c r="D8568" s="13" t="s">
        <v>118</v>
      </c>
      <c r="E8568" s="13" t="s">
        <v>15599</v>
      </c>
      <c r="F8568" s="43">
        <v>41.2</v>
      </c>
    </row>
    <row r="8569" spans="2:6" x14ac:dyDescent="0.25">
      <c r="B8569" s="13" t="s">
        <v>15600</v>
      </c>
      <c r="C8569" s="17" t="s">
        <v>170</v>
      </c>
      <c r="D8569" s="13" t="s">
        <v>118</v>
      </c>
      <c r="E8569" s="13" t="s">
        <v>15601</v>
      </c>
      <c r="F8569" s="43">
        <v>41.2</v>
      </c>
    </row>
    <row r="8570" spans="2:6" x14ac:dyDescent="0.25">
      <c r="B8570" s="13" t="s">
        <v>15602</v>
      </c>
      <c r="C8570" s="17" t="s">
        <v>170</v>
      </c>
      <c r="D8570" s="13" t="s">
        <v>118</v>
      </c>
      <c r="E8570" s="13" t="s">
        <v>15603</v>
      </c>
      <c r="F8570" s="43">
        <v>41.2</v>
      </c>
    </row>
    <row r="8571" spans="2:6" x14ac:dyDescent="0.25">
      <c r="B8571" s="13" t="s">
        <v>15604</v>
      </c>
      <c r="C8571" s="17" t="s">
        <v>170</v>
      </c>
      <c r="D8571" s="13" t="s">
        <v>118</v>
      </c>
      <c r="E8571" s="13" t="s">
        <v>15605</v>
      </c>
      <c r="F8571" s="43">
        <v>41.2</v>
      </c>
    </row>
    <row r="8572" spans="2:6" x14ac:dyDescent="0.25">
      <c r="B8572" s="13" t="s">
        <v>15606</v>
      </c>
      <c r="C8572" s="17" t="s">
        <v>170</v>
      </c>
      <c r="D8572" s="13" t="s">
        <v>118</v>
      </c>
      <c r="E8572" s="13" t="s">
        <v>15607</v>
      </c>
      <c r="F8572" s="43">
        <v>41.2</v>
      </c>
    </row>
    <row r="8573" spans="2:6" x14ac:dyDescent="0.25">
      <c r="B8573" s="13" t="s">
        <v>15608</v>
      </c>
      <c r="C8573" s="17" t="s">
        <v>170</v>
      </c>
      <c r="D8573" s="13" t="s">
        <v>118</v>
      </c>
      <c r="E8573" s="13" t="s">
        <v>15609</v>
      </c>
      <c r="F8573" s="43">
        <v>41.2</v>
      </c>
    </row>
    <row r="8574" spans="2:6" x14ac:dyDescent="0.25">
      <c r="B8574" s="13" t="s">
        <v>15610</v>
      </c>
      <c r="C8574" s="17" t="s">
        <v>170</v>
      </c>
      <c r="D8574" s="13" t="s">
        <v>118</v>
      </c>
      <c r="E8574" s="13" t="s">
        <v>15611</v>
      </c>
      <c r="F8574" s="43">
        <v>41.2</v>
      </c>
    </row>
    <row r="8575" spans="2:6" x14ac:dyDescent="0.25">
      <c r="B8575" s="13" t="s">
        <v>15612</v>
      </c>
      <c r="C8575" s="17" t="s">
        <v>170</v>
      </c>
      <c r="D8575" s="13" t="s">
        <v>118</v>
      </c>
      <c r="E8575" s="13" t="s">
        <v>15613</v>
      </c>
      <c r="F8575" s="43">
        <v>41.2</v>
      </c>
    </row>
    <row r="8576" spans="2:6" x14ac:dyDescent="0.25">
      <c r="B8576" s="13" t="s">
        <v>15614</v>
      </c>
      <c r="C8576" s="17" t="s">
        <v>170</v>
      </c>
      <c r="D8576" s="13" t="s">
        <v>118</v>
      </c>
      <c r="E8576" s="13" t="s">
        <v>15615</v>
      </c>
      <c r="F8576" s="43">
        <v>41.2</v>
      </c>
    </row>
    <row r="8577" spans="2:6" x14ac:dyDescent="0.25">
      <c r="B8577" s="13" t="s">
        <v>15616</v>
      </c>
      <c r="C8577" s="17" t="s">
        <v>170</v>
      </c>
      <c r="D8577" s="13" t="s">
        <v>118</v>
      </c>
      <c r="E8577" s="13" t="s">
        <v>15617</v>
      </c>
      <c r="F8577" s="43">
        <v>41.2</v>
      </c>
    </row>
    <row r="8578" spans="2:6" x14ac:dyDescent="0.25">
      <c r="B8578" s="13" t="s">
        <v>15618</v>
      </c>
      <c r="C8578" s="17" t="s">
        <v>170</v>
      </c>
      <c r="D8578" s="13" t="s">
        <v>118</v>
      </c>
      <c r="E8578" s="13" t="s">
        <v>15619</v>
      </c>
      <c r="F8578" s="43">
        <v>41.2</v>
      </c>
    </row>
    <row r="8579" spans="2:6" x14ac:dyDescent="0.25">
      <c r="B8579" s="13" t="s">
        <v>15620</v>
      </c>
      <c r="C8579" s="17" t="s">
        <v>170</v>
      </c>
      <c r="D8579" s="13" t="s">
        <v>118</v>
      </c>
      <c r="E8579" s="13" t="s">
        <v>15621</v>
      </c>
      <c r="F8579" s="43">
        <v>41.2</v>
      </c>
    </row>
    <row r="8580" spans="2:6" x14ac:dyDescent="0.25">
      <c r="B8580" s="13" t="s">
        <v>15622</v>
      </c>
      <c r="C8580" s="17" t="s">
        <v>170</v>
      </c>
      <c r="D8580" s="13" t="s">
        <v>118</v>
      </c>
      <c r="E8580" s="13" t="s">
        <v>15623</v>
      </c>
      <c r="F8580" s="43">
        <v>41.2</v>
      </c>
    </row>
    <row r="8581" spans="2:6" x14ac:dyDescent="0.25">
      <c r="B8581" s="13" t="s">
        <v>15624</v>
      </c>
      <c r="C8581" s="17" t="s">
        <v>170</v>
      </c>
      <c r="D8581" s="13" t="s">
        <v>118</v>
      </c>
      <c r="E8581" s="13" t="s">
        <v>15625</v>
      </c>
      <c r="F8581" s="43">
        <v>65.94</v>
      </c>
    </row>
    <row r="8582" spans="2:6" x14ac:dyDescent="0.25">
      <c r="B8582" s="13" t="s">
        <v>15626</v>
      </c>
      <c r="C8582" s="17" t="s">
        <v>170</v>
      </c>
      <c r="D8582" s="13" t="s">
        <v>118</v>
      </c>
      <c r="E8582" s="13" t="s">
        <v>15627</v>
      </c>
      <c r="F8582" s="43">
        <v>65.94</v>
      </c>
    </row>
    <row r="8583" spans="2:6" x14ac:dyDescent="0.25">
      <c r="B8583" s="13" t="s">
        <v>15628</v>
      </c>
      <c r="C8583" s="17" t="s">
        <v>170</v>
      </c>
      <c r="D8583" s="13" t="s">
        <v>118</v>
      </c>
      <c r="E8583" s="13" t="s">
        <v>15629</v>
      </c>
      <c r="F8583" s="43">
        <v>65.94</v>
      </c>
    </row>
    <row r="8584" spans="2:6" x14ac:dyDescent="0.25">
      <c r="B8584" s="13" t="s">
        <v>15630</v>
      </c>
      <c r="C8584" s="17" t="s">
        <v>170</v>
      </c>
      <c r="D8584" s="13" t="s">
        <v>118</v>
      </c>
      <c r="E8584" s="13" t="s">
        <v>15631</v>
      </c>
      <c r="F8584" s="43">
        <v>65.94</v>
      </c>
    </row>
    <row r="8585" spans="2:6" x14ac:dyDescent="0.25">
      <c r="B8585" s="13" t="s">
        <v>15632</v>
      </c>
      <c r="C8585" s="17" t="s">
        <v>170</v>
      </c>
      <c r="D8585" s="13" t="s">
        <v>118</v>
      </c>
      <c r="E8585" s="13" t="s">
        <v>15633</v>
      </c>
      <c r="F8585" s="43">
        <v>65.94</v>
      </c>
    </row>
    <row r="8586" spans="2:6" x14ac:dyDescent="0.25">
      <c r="B8586" s="13" t="s">
        <v>15634</v>
      </c>
      <c r="C8586" s="17" t="s">
        <v>170</v>
      </c>
      <c r="D8586" s="13" t="s">
        <v>118</v>
      </c>
      <c r="E8586" s="13" t="s">
        <v>15635</v>
      </c>
      <c r="F8586" s="43">
        <v>65.94</v>
      </c>
    </row>
    <row r="8587" spans="2:6" x14ac:dyDescent="0.25">
      <c r="B8587" s="13" t="s">
        <v>15636</v>
      </c>
      <c r="C8587" s="17" t="s">
        <v>170</v>
      </c>
      <c r="D8587" s="13" t="s">
        <v>118</v>
      </c>
      <c r="E8587" s="13" t="s">
        <v>15637</v>
      </c>
      <c r="F8587" s="43">
        <v>65.94</v>
      </c>
    </row>
    <row r="8588" spans="2:6" x14ac:dyDescent="0.25">
      <c r="B8588" s="13" t="s">
        <v>15638</v>
      </c>
      <c r="C8588" s="17" t="s">
        <v>170</v>
      </c>
      <c r="D8588" s="13" t="s">
        <v>118</v>
      </c>
      <c r="E8588" s="13" t="s">
        <v>15639</v>
      </c>
      <c r="F8588" s="43">
        <v>65.94</v>
      </c>
    </row>
    <row r="8589" spans="2:6" x14ac:dyDescent="0.25">
      <c r="B8589" s="13" t="s">
        <v>15640</v>
      </c>
      <c r="C8589" s="17" t="s">
        <v>170</v>
      </c>
      <c r="D8589" s="13" t="s">
        <v>118</v>
      </c>
      <c r="E8589" s="13" t="s">
        <v>15641</v>
      </c>
      <c r="F8589" s="43">
        <v>65.94</v>
      </c>
    </row>
    <row r="8590" spans="2:6" x14ac:dyDescent="0.25">
      <c r="B8590" s="13" t="s">
        <v>15642</v>
      </c>
      <c r="C8590" s="17" t="s">
        <v>170</v>
      </c>
      <c r="D8590" s="13" t="s">
        <v>118</v>
      </c>
      <c r="E8590" s="13" t="s">
        <v>15643</v>
      </c>
      <c r="F8590" s="43">
        <v>65.94</v>
      </c>
    </row>
    <row r="8591" spans="2:6" x14ac:dyDescent="0.25">
      <c r="B8591" s="13" t="s">
        <v>15644</v>
      </c>
      <c r="C8591" s="17" t="s">
        <v>170</v>
      </c>
      <c r="D8591" s="13" t="s">
        <v>118</v>
      </c>
      <c r="E8591" s="13" t="s">
        <v>15645</v>
      </c>
      <c r="F8591" s="43">
        <v>65.94</v>
      </c>
    </row>
    <row r="8592" spans="2:6" x14ac:dyDescent="0.25">
      <c r="B8592" s="13" t="s">
        <v>15646</v>
      </c>
      <c r="C8592" s="17" t="s">
        <v>170</v>
      </c>
      <c r="D8592" s="13" t="s">
        <v>118</v>
      </c>
      <c r="E8592" s="13" t="s">
        <v>15647</v>
      </c>
      <c r="F8592" s="43">
        <v>65.94</v>
      </c>
    </row>
    <row r="8593" spans="2:6" x14ac:dyDescent="0.25">
      <c r="B8593" s="13" t="s">
        <v>15648</v>
      </c>
      <c r="C8593" s="17" t="s">
        <v>170</v>
      </c>
      <c r="D8593" s="13" t="s">
        <v>118</v>
      </c>
      <c r="E8593" s="13" t="s">
        <v>15649</v>
      </c>
      <c r="F8593" s="43">
        <v>65.94</v>
      </c>
    </row>
    <row r="8594" spans="2:6" x14ac:dyDescent="0.25">
      <c r="B8594" s="13" t="s">
        <v>15650</v>
      </c>
      <c r="C8594" s="17" t="s">
        <v>170</v>
      </c>
      <c r="D8594" s="13" t="s">
        <v>118</v>
      </c>
      <c r="E8594" s="13" t="s">
        <v>15651</v>
      </c>
      <c r="F8594" s="43">
        <v>65.94</v>
      </c>
    </row>
    <row r="8595" spans="2:6" x14ac:dyDescent="0.25">
      <c r="B8595" s="13" t="s">
        <v>15652</v>
      </c>
      <c r="C8595" s="17" t="s">
        <v>170</v>
      </c>
      <c r="D8595" s="13" t="s">
        <v>118</v>
      </c>
      <c r="E8595" s="13" t="s">
        <v>15653</v>
      </c>
      <c r="F8595" s="43">
        <v>65.94</v>
      </c>
    </row>
    <row r="8596" spans="2:6" x14ac:dyDescent="0.25">
      <c r="B8596" s="13" t="s">
        <v>15654</v>
      </c>
      <c r="C8596" s="17" t="s">
        <v>170</v>
      </c>
      <c r="D8596" s="13" t="s">
        <v>118</v>
      </c>
      <c r="E8596" s="13" t="s">
        <v>15655</v>
      </c>
      <c r="F8596" s="43">
        <v>45.22</v>
      </c>
    </row>
    <row r="8597" spans="2:6" x14ac:dyDescent="0.25">
      <c r="B8597" s="13" t="s">
        <v>15656</v>
      </c>
      <c r="C8597" s="17" t="s">
        <v>170</v>
      </c>
      <c r="D8597" s="13" t="s">
        <v>118</v>
      </c>
      <c r="E8597" s="13" t="s">
        <v>15657</v>
      </c>
      <c r="F8597" s="43">
        <v>45.22</v>
      </c>
    </row>
    <row r="8598" spans="2:6" x14ac:dyDescent="0.25">
      <c r="B8598" s="13" t="s">
        <v>15658</v>
      </c>
      <c r="C8598" s="17" t="s">
        <v>170</v>
      </c>
      <c r="D8598" s="13" t="s">
        <v>118</v>
      </c>
      <c r="E8598" s="13" t="s">
        <v>15659</v>
      </c>
      <c r="F8598" s="43">
        <v>45.22</v>
      </c>
    </row>
    <row r="8599" spans="2:6" x14ac:dyDescent="0.25">
      <c r="B8599" s="13" t="s">
        <v>15660</v>
      </c>
      <c r="C8599" s="17" t="s">
        <v>170</v>
      </c>
      <c r="D8599" s="13" t="s">
        <v>118</v>
      </c>
      <c r="E8599" s="13" t="s">
        <v>15661</v>
      </c>
      <c r="F8599" s="43">
        <v>45.22</v>
      </c>
    </row>
    <row r="8600" spans="2:6" x14ac:dyDescent="0.25">
      <c r="B8600" s="13" t="s">
        <v>15662</v>
      </c>
      <c r="C8600" s="17" t="s">
        <v>170</v>
      </c>
      <c r="D8600" s="13" t="s">
        <v>118</v>
      </c>
      <c r="E8600" s="13" t="s">
        <v>15663</v>
      </c>
      <c r="F8600" s="43">
        <v>45.22</v>
      </c>
    </row>
    <row r="8601" spans="2:6" x14ac:dyDescent="0.25">
      <c r="B8601" s="13" t="s">
        <v>15664</v>
      </c>
      <c r="C8601" s="17" t="s">
        <v>170</v>
      </c>
      <c r="D8601" s="13" t="s">
        <v>118</v>
      </c>
      <c r="E8601" s="13" t="s">
        <v>15665</v>
      </c>
      <c r="F8601" s="43">
        <v>45.22</v>
      </c>
    </row>
    <row r="8602" spans="2:6" x14ac:dyDescent="0.25">
      <c r="B8602" s="13" t="s">
        <v>15666</v>
      </c>
      <c r="C8602" s="17" t="s">
        <v>170</v>
      </c>
      <c r="D8602" s="13" t="s">
        <v>118</v>
      </c>
      <c r="E8602" s="13" t="s">
        <v>15667</v>
      </c>
      <c r="F8602" s="43">
        <v>45.22</v>
      </c>
    </row>
    <row r="8603" spans="2:6" x14ac:dyDescent="0.25">
      <c r="B8603" s="13" t="s">
        <v>15668</v>
      </c>
      <c r="C8603" s="17" t="s">
        <v>170</v>
      </c>
      <c r="D8603" s="13" t="s">
        <v>118</v>
      </c>
      <c r="E8603" s="13" t="s">
        <v>15669</v>
      </c>
      <c r="F8603" s="43">
        <v>45.22</v>
      </c>
    </row>
    <row r="8604" spans="2:6" x14ac:dyDescent="0.25">
      <c r="B8604" s="13" t="s">
        <v>15670</v>
      </c>
      <c r="C8604" s="17" t="s">
        <v>170</v>
      </c>
      <c r="D8604" s="13" t="s">
        <v>118</v>
      </c>
      <c r="E8604" s="13" t="s">
        <v>15671</v>
      </c>
      <c r="F8604" s="43">
        <v>45.22</v>
      </c>
    </row>
    <row r="8605" spans="2:6" x14ac:dyDescent="0.25">
      <c r="B8605" s="13" t="s">
        <v>15672</v>
      </c>
      <c r="C8605" s="17" t="s">
        <v>170</v>
      </c>
      <c r="D8605" s="13" t="s">
        <v>118</v>
      </c>
      <c r="E8605" s="13" t="s">
        <v>15673</v>
      </c>
      <c r="F8605" s="43">
        <v>45.22</v>
      </c>
    </row>
    <row r="8606" spans="2:6" x14ac:dyDescent="0.25">
      <c r="B8606" s="13" t="s">
        <v>15674</v>
      </c>
      <c r="C8606" s="17" t="s">
        <v>170</v>
      </c>
      <c r="D8606" s="13" t="s">
        <v>118</v>
      </c>
      <c r="E8606" s="13" t="s">
        <v>15675</v>
      </c>
      <c r="F8606" s="43">
        <v>45.22</v>
      </c>
    </row>
    <row r="8607" spans="2:6" x14ac:dyDescent="0.25">
      <c r="B8607" s="13" t="s">
        <v>15676</v>
      </c>
      <c r="C8607" s="17" t="s">
        <v>170</v>
      </c>
      <c r="D8607" s="13" t="s">
        <v>118</v>
      </c>
      <c r="E8607" s="13" t="s">
        <v>15677</v>
      </c>
      <c r="F8607" s="43">
        <v>45.22</v>
      </c>
    </row>
    <row r="8608" spans="2:6" x14ac:dyDescent="0.25">
      <c r="B8608" s="13" t="s">
        <v>15678</v>
      </c>
      <c r="C8608" s="17" t="s">
        <v>170</v>
      </c>
      <c r="D8608" s="13" t="s">
        <v>118</v>
      </c>
      <c r="E8608" s="13" t="s">
        <v>15679</v>
      </c>
      <c r="F8608" s="43">
        <v>45.22</v>
      </c>
    </row>
    <row r="8609" spans="2:6" x14ac:dyDescent="0.25">
      <c r="B8609" s="13" t="s">
        <v>15680</v>
      </c>
      <c r="C8609" s="17" t="s">
        <v>170</v>
      </c>
      <c r="D8609" s="13" t="s">
        <v>118</v>
      </c>
      <c r="E8609" s="13" t="s">
        <v>15681</v>
      </c>
      <c r="F8609" s="43">
        <v>45.22</v>
      </c>
    </row>
    <row r="8610" spans="2:6" x14ac:dyDescent="0.25">
      <c r="B8610" s="13" t="s">
        <v>15682</v>
      </c>
      <c r="C8610" s="17" t="s">
        <v>170</v>
      </c>
      <c r="D8610" s="13" t="s">
        <v>118</v>
      </c>
      <c r="E8610" s="13" t="s">
        <v>15683</v>
      </c>
      <c r="F8610" s="43">
        <v>78.72</v>
      </c>
    </row>
    <row r="8611" spans="2:6" x14ac:dyDescent="0.25">
      <c r="B8611" s="13" t="s">
        <v>15684</v>
      </c>
      <c r="C8611" s="17" t="s">
        <v>170</v>
      </c>
      <c r="D8611" s="13" t="s">
        <v>118</v>
      </c>
      <c r="E8611" s="13" t="s">
        <v>15685</v>
      </c>
      <c r="F8611" s="43">
        <v>78.72</v>
      </c>
    </row>
    <row r="8612" spans="2:6" x14ac:dyDescent="0.25">
      <c r="B8612" s="13" t="s">
        <v>15686</v>
      </c>
      <c r="C8612" s="17" t="s">
        <v>170</v>
      </c>
      <c r="D8612" s="13" t="s">
        <v>118</v>
      </c>
      <c r="E8612" s="13" t="s">
        <v>15687</v>
      </c>
      <c r="F8612" s="43">
        <v>78.72</v>
      </c>
    </row>
    <row r="8613" spans="2:6" x14ac:dyDescent="0.25">
      <c r="B8613" s="13" t="s">
        <v>15688</v>
      </c>
      <c r="C8613" s="17" t="s">
        <v>170</v>
      </c>
      <c r="D8613" s="13" t="s">
        <v>118</v>
      </c>
      <c r="E8613" s="13" t="s">
        <v>15689</v>
      </c>
      <c r="F8613" s="43">
        <v>78.72</v>
      </c>
    </row>
    <row r="8614" spans="2:6" x14ac:dyDescent="0.25">
      <c r="B8614" s="13" t="s">
        <v>15690</v>
      </c>
      <c r="C8614" s="17" t="s">
        <v>170</v>
      </c>
      <c r="D8614" s="13" t="s">
        <v>118</v>
      </c>
      <c r="E8614" s="13" t="s">
        <v>15691</v>
      </c>
      <c r="F8614" s="43">
        <v>78.72</v>
      </c>
    </row>
    <row r="8615" spans="2:6" x14ac:dyDescent="0.25">
      <c r="B8615" s="13" t="s">
        <v>15692</v>
      </c>
      <c r="C8615" s="17" t="s">
        <v>170</v>
      </c>
      <c r="D8615" s="13" t="s">
        <v>118</v>
      </c>
      <c r="E8615" s="13" t="s">
        <v>15693</v>
      </c>
      <c r="F8615" s="43">
        <v>78.72</v>
      </c>
    </row>
    <row r="8616" spans="2:6" x14ac:dyDescent="0.25">
      <c r="B8616" s="13" t="s">
        <v>15694</v>
      </c>
      <c r="C8616" s="17" t="s">
        <v>170</v>
      </c>
      <c r="D8616" s="13" t="s">
        <v>118</v>
      </c>
      <c r="E8616" s="13" t="s">
        <v>15695</v>
      </c>
      <c r="F8616" s="43">
        <v>78.72</v>
      </c>
    </row>
    <row r="8617" spans="2:6" x14ac:dyDescent="0.25">
      <c r="B8617" s="13" t="s">
        <v>15696</v>
      </c>
      <c r="C8617" s="17" t="s">
        <v>170</v>
      </c>
      <c r="D8617" s="13" t="s">
        <v>118</v>
      </c>
      <c r="E8617" s="13" t="s">
        <v>15697</v>
      </c>
      <c r="F8617" s="43">
        <v>78.72</v>
      </c>
    </row>
    <row r="8618" spans="2:6" x14ac:dyDescent="0.25">
      <c r="B8618" s="13" t="s">
        <v>15698</v>
      </c>
      <c r="C8618" s="17" t="s">
        <v>170</v>
      </c>
      <c r="D8618" s="13" t="s">
        <v>118</v>
      </c>
      <c r="E8618" s="13" t="s">
        <v>15699</v>
      </c>
      <c r="F8618" s="43">
        <v>78.72</v>
      </c>
    </row>
    <row r="8619" spans="2:6" x14ac:dyDescent="0.25">
      <c r="B8619" s="13" t="s">
        <v>15700</v>
      </c>
      <c r="C8619" s="17" t="s">
        <v>170</v>
      </c>
      <c r="D8619" s="13" t="s">
        <v>118</v>
      </c>
      <c r="E8619" s="13" t="s">
        <v>15701</v>
      </c>
      <c r="F8619" s="43">
        <v>78.72</v>
      </c>
    </row>
    <row r="8620" spans="2:6" x14ac:dyDescent="0.25">
      <c r="B8620" s="13" t="s">
        <v>15702</v>
      </c>
      <c r="C8620" s="17" t="s">
        <v>170</v>
      </c>
      <c r="D8620" s="13" t="s">
        <v>118</v>
      </c>
      <c r="E8620" s="13" t="s">
        <v>15703</v>
      </c>
      <c r="F8620" s="43">
        <v>78.72</v>
      </c>
    </row>
    <row r="8621" spans="2:6" x14ac:dyDescent="0.25">
      <c r="B8621" s="13" t="s">
        <v>15704</v>
      </c>
      <c r="C8621" s="17" t="s">
        <v>170</v>
      </c>
      <c r="D8621" s="13" t="s">
        <v>118</v>
      </c>
      <c r="E8621" s="13" t="s">
        <v>15705</v>
      </c>
      <c r="F8621" s="43">
        <v>78.72</v>
      </c>
    </row>
    <row r="8622" spans="2:6" x14ac:dyDescent="0.25">
      <c r="B8622" s="13" t="s">
        <v>15706</v>
      </c>
      <c r="C8622" s="17" t="s">
        <v>170</v>
      </c>
      <c r="D8622" s="13" t="s">
        <v>118</v>
      </c>
      <c r="E8622" s="13" t="s">
        <v>15707</v>
      </c>
      <c r="F8622" s="43">
        <v>78.72</v>
      </c>
    </row>
    <row r="8623" spans="2:6" x14ac:dyDescent="0.25">
      <c r="B8623" s="13" t="s">
        <v>15708</v>
      </c>
      <c r="C8623" s="17" t="s">
        <v>170</v>
      </c>
      <c r="D8623" s="13" t="s">
        <v>118</v>
      </c>
      <c r="E8623" s="13" t="s">
        <v>15709</v>
      </c>
      <c r="F8623" s="43">
        <v>78.72</v>
      </c>
    </row>
    <row r="8624" spans="2:6" x14ac:dyDescent="0.25">
      <c r="B8624" s="13" t="s">
        <v>15710</v>
      </c>
      <c r="C8624" s="17" t="s">
        <v>170</v>
      </c>
      <c r="D8624" s="13" t="s">
        <v>118</v>
      </c>
      <c r="E8624" s="13" t="s">
        <v>15711</v>
      </c>
      <c r="F8624" s="43">
        <v>78.72</v>
      </c>
    </row>
    <row r="8625" spans="2:6" x14ac:dyDescent="0.25">
      <c r="B8625" s="13" t="s">
        <v>15712</v>
      </c>
      <c r="C8625" s="17" t="s">
        <v>170</v>
      </c>
      <c r="D8625" s="13" t="s">
        <v>118</v>
      </c>
      <c r="E8625" s="13" t="s">
        <v>15713</v>
      </c>
      <c r="F8625" s="43">
        <v>78.72</v>
      </c>
    </row>
    <row r="8626" spans="2:6" x14ac:dyDescent="0.25">
      <c r="B8626" s="13" t="s">
        <v>15714</v>
      </c>
      <c r="C8626" s="17" t="s">
        <v>170</v>
      </c>
      <c r="D8626" s="13" t="s">
        <v>118</v>
      </c>
      <c r="E8626" s="13" t="s">
        <v>15715</v>
      </c>
      <c r="F8626" s="43">
        <v>78.72</v>
      </c>
    </row>
    <row r="8627" spans="2:6" x14ac:dyDescent="0.25">
      <c r="B8627" s="13" t="s">
        <v>15716</v>
      </c>
      <c r="C8627" s="17" t="s">
        <v>170</v>
      </c>
      <c r="D8627" s="13" t="s">
        <v>118</v>
      </c>
      <c r="E8627" s="13" t="s">
        <v>15717</v>
      </c>
      <c r="F8627" s="43">
        <v>78.72</v>
      </c>
    </row>
    <row r="8628" spans="2:6" x14ac:dyDescent="0.25">
      <c r="B8628" s="13" t="s">
        <v>15718</v>
      </c>
      <c r="C8628" s="17" t="s">
        <v>170</v>
      </c>
      <c r="D8628" s="13" t="s">
        <v>118</v>
      </c>
      <c r="E8628" s="13" t="s">
        <v>15719</v>
      </c>
      <c r="F8628" s="43">
        <v>78.72</v>
      </c>
    </row>
    <row r="8629" spans="2:6" x14ac:dyDescent="0.25">
      <c r="B8629" s="13" t="s">
        <v>15720</v>
      </c>
      <c r="C8629" s="17" t="s">
        <v>170</v>
      </c>
      <c r="D8629" s="13" t="s">
        <v>118</v>
      </c>
      <c r="E8629" s="13" t="s">
        <v>15721</v>
      </c>
      <c r="F8629" s="43">
        <v>94.71</v>
      </c>
    </row>
    <row r="8630" spans="2:6" x14ac:dyDescent="0.25">
      <c r="B8630" s="13" t="s">
        <v>15722</v>
      </c>
      <c r="C8630" s="17" t="s">
        <v>170</v>
      </c>
      <c r="D8630" s="13" t="s">
        <v>118</v>
      </c>
      <c r="E8630" s="13" t="s">
        <v>15723</v>
      </c>
      <c r="F8630" s="43">
        <v>94.71</v>
      </c>
    </row>
    <row r="8631" spans="2:6" x14ac:dyDescent="0.25">
      <c r="B8631" s="13" t="s">
        <v>15724</v>
      </c>
      <c r="C8631" s="17" t="s">
        <v>170</v>
      </c>
      <c r="D8631" s="13" t="s">
        <v>118</v>
      </c>
      <c r="E8631" s="13" t="s">
        <v>15725</v>
      </c>
      <c r="F8631" s="43">
        <v>94.71</v>
      </c>
    </row>
    <row r="8632" spans="2:6" x14ac:dyDescent="0.25">
      <c r="B8632" s="13" t="s">
        <v>15726</v>
      </c>
      <c r="C8632" s="17" t="s">
        <v>170</v>
      </c>
      <c r="D8632" s="13" t="s">
        <v>118</v>
      </c>
      <c r="E8632" s="13" t="s">
        <v>15727</v>
      </c>
      <c r="F8632" s="43">
        <v>94.71</v>
      </c>
    </row>
    <row r="8633" spans="2:6" x14ac:dyDescent="0.25">
      <c r="B8633" s="13" t="s">
        <v>15728</v>
      </c>
      <c r="C8633" s="17" t="s">
        <v>170</v>
      </c>
      <c r="D8633" s="13" t="s">
        <v>118</v>
      </c>
      <c r="E8633" s="13" t="s">
        <v>15729</v>
      </c>
      <c r="F8633" s="43">
        <v>94.71</v>
      </c>
    </row>
    <row r="8634" spans="2:6" x14ac:dyDescent="0.25">
      <c r="B8634" s="13" t="s">
        <v>15730</v>
      </c>
      <c r="C8634" s="17" t="s">
        <v>170</v>
      </c>
      <c r="D8634" s="13" t="s">
        <v>118</v>
      </c>
      <c r="E8634" s="13" t="s">
        <v>15731</v>
      </c>
      <c r="F8634" s="43">
        <v>94.71</v>
      </c>
    </row>
    <row r="8635" spans="2:6" x14ac:dyDescent="0.25">
      <c r="B8635" s="13" t="s">
        <v>15732</v>
      </c>
      <c r="C8635" s="17" t="s">
        <v>170</v>
      </c>
      <c r="D8635" s="13" t="s">
        <v>118</v>
      </c>
      <c r="E8635" s="13" t="s">
        <v>15733</v>
      </c>
      <c r="F8635" s="43">
        <v>94.71</v>
      </c>
    </row>
    <row r="8636" spans="2:6" x14ac:dyDescent="0.25">
      <c r="B8636" s="13" t="s">
        <v>15734</v>
      </c>
      <c r="C8636" s="17" t="s">
        <v>170</v>
      </c>
      <c r="D8636" s="13" t="s">
        <v>118</v>
      </c>
      <c r="E8636" s="13" t="s">
        <v>15735</v>
      </c>
      <c r="F8636" s="43">
        <v>94.71</v>
      </c>
    </row>
    <row r="8637" spans="2:6" x14ac:dyDescent="0.25">
      <c r="B8637" s="13" t="s">
        <v>15736</v>
      </c>
      <c r="C8637" s="17" t="s">
        <v>170</v>
      </c>
      <c r="D8637" s="13" t="s">
        <v>118</v>
      </c>
      <c r="E8637" s="13" t="s">
        <v>15737</v>
      </c>
      <c r="F8637" s="43">
        <v>94.71</v>
      </c>
    </row>
    <row r="8638" spans="2:6" x14ac:dyDescent="0.25">
      <c r="B8638" s="13" t="s">
        <v>15738</v>
      </c>
      <c r="C8638" s="17" t="s">
        <v>170</v>
      </c>
      <c r="D8638" s="13" t="s">
        <v>118</v>
      </c>
      <c r="E8638" s="13" t="s">
        <v>15739</v>
      </c>
      <c r="F8638" s="43">
        <v>94.71</v>
      </c>
    </row>
    <row r="8639" spans="2:6" x14ac:dyDescent="0.25">
      <c r="B8639" s="13" t="s">
        <v>15740</v>
      </c>
      <c r="C8639" s="17" t="s">
        <v>170</v>
      </c>
      <c r="D8639" s="13" t="s">
        <v>118</v>
      </c>
      <c r="E8639" s="13" t="s">
        <v>15741</v>
      </c>
      <c r="F8639" s="43">
        <v>94.71</v>
      </c>
    </row>
    <row r="8640" spans="2:6" x14ac:dyDescent="0.25">
      <c r="B8640" s="13" t="s">
        <v>15742</v>
      </c>
      <c r="C8640" s="17" t="s">
        <v>170</v>
      </c>
      <c r="D8640" s="13" t="s">
        <v>118</v>
      </c>
      <c r="E8640" s="13" t="s">
        <v>15743</v>
      </c>
      <c r="F8640" s="43">
        <v>94.71</v>
      </c>
    </row>
    <row r="8641" spans="2:6" x14ac:dyDescent="0.25">
      <c r="B8641" s="13" t="s">
        <v>15744</v>
      </c>
      <c r="C8641" s="17" t="s">
        <v>170</v>
      </c>
      <c r="D8641" s="13" t="s">
        <v>118</v>
      </c>
      <c r="E8641" s="13" t="s">
        <v>15745</v>
      </c>
      <c r="F8641" s="43">
        <v>94.71</v>
      </c>
    </row>
    <row r="8642" spans="2:6" x14ac:dyDescent="0.25">
      <c r="B8642" s="13" t="s">
        <v>15746</v>
      </c>
      <c r="C8642" s="17" t="s">
        <v>170</v>
      </c>
      <c r="D8642" s="13" t="s">
        <v>118</v>
      </c>
      <c r="E8642" s="13" t="s">
        <v>15747</v>
      </c>
      <c r="F8642" s="43">
        <v>94.71</v>
      </c>
    </row>
    <row r="8643" spans="2:6" x14ac:dyDescent="0.25">
      <c r="B8643" s="13" t="s">
        <v>15720</v>
      </c>
      <c r="C8643" s="17" t="s">
        <v>170</v>
      </c>
      <c r="D8643" s="13" t="s">
        <v>118</v>
      </c>
      <c r="E8643" s="13" t="s">
        <v>15748</v>
      </c>
      <c r="F8643" s="43">
        <v>94.71</v>
      </c>
    </row>
    <row r="8644" spans="2:6" x14ac:dyDescent="0.25">
      <c r="B8644" s="13" t="s">
        <v>15749</v>
      </c>
      <c r="C8644" s="17" t="s">
        <v>170</v>
      </c>
      <c r="D8644" s="13" t="s">
        <v>118</v>
      </c>
      <c r="E8644" s="13" t="s">
        <v>15750</v>
      </c>
      <c r="F8644" s="43">
        <v>104.58</v>
      </c>
    </row>
    <row r="8645" spans="2:6" x14ac:dyDescent="0.25">
      <c r="B8645" s="13" t="s">
        <v>15751</v>
      </c>
      <c r="C8645" s="17" t="s">
        <v>170</v>
      </c>
      <c r="D8645" s="13" t="s">
        <v>118</v>
      </c>
      <c r="E8645" s="13" t="s">
        <v>15752</v>
      </c>
      <c r="F8645" s="43">
        <v>104.58</v>
      </c>
    </row>
    <row r="8646" spans="2:6" x14ac:dyDescent="0.25">
      <c r="B8646" s="13" t="s">
        <v>15736</v>
      </c>
      <c r="C8646" s="17" t="s">
        <v>170</v>
      </c>
      <c r="D8646" s="13" t="s">
        <v>118</v>
      </c>
      <c r="E8646" s="13" t="s">
        <v>15753</v>
      </c>
      <c r="F8646" s="43">
        <v>94.71</v>
      </c>
    </row>
    <row r="8647" spans="2:6" x14ac:dyDescent="0.25">
      <c r="B8647" s="13" t="s">
        <v>15754</v>
      </c>
      <c r="C8647" s="17" t="s">
        <v>170</v>
      </c>
      <c r="D8647" s="13" t="s">
        <v>118</v>
      </c>
      <c r="E8647" s="13" t="s">
        <v>15755</v>
      </c>
      <c r="F8647" s="43">
        <v>104.58</v>
      </c>
    </row>
    <row r="8648" spans="2:6" x14ac:dyDescent="0.25">
      <c r="B8648" s="13" t="s">
        <v>15738</v>
      </c>
      <c r="C8648" s="17" t="s">
        <v>170</v>
      </c>
      <c r="D8648" s="13" t="s">
        <v>118</v>
      </c>
      <c r="E8648" s="13" t="s">
        <v>15756</v>
      </c>
      <c r="F8648" s="43">
        <v>94.71</v>
      </c>
    </row>
    <row r="8649" spans="2:6" x14ac:dyDescent="0.25">
      <c r="B8649" s="13" t="s">
        <v>15757</v>
      </c>
      <c r="C8649" s="17" t="s">
        <v>170</v>
      </c>
      <c r="D8649" s="13" t="s">
        <v>118</v>
      </c>
      <c r="E8649" s="13" t="s">
        <v>15758</v>
      </c>
      <c r="F8649" s="43">
        <v>104.58</v>
      </c>
    </row>
    <row r="8650" spans="2:6" x14ac:dyDescent="0.25">
      <c r="B8650" s="13" t="s">
        <v>15740</v>
      </c>
      <c r="C8650" s="17" t="s">
        <v>170</v>
      </c>
      <c r="D8650" s="13" t="s">
        <v>118</v>
      </c>
      <c r="E8650" s="13" t="s">
        <v>15759</v>
      </c>
      <c r="F8650" s="43">
        <v>94.71</v>
      </c>
    </row>
    <row r="8651" spans="2:6" x14ac:dyDescent="0.25">
      <c r="B8651" s="13" t="s">
        <v>15760</v>
      </c>
      <c r="C8651" s="17" t="s">
        <v>170</v>
      </c>
      <c r="D8651" s="13" t="s">
        <v>118</v>
      </c>
      <c r="E8651" s="13" t="s">
        <v>15761</v>
      </c>
      <c r="F8651" s="43">
        <v>104.58</v>
      </c>
    </row>
    <row r="8652" spans="2:6" x14ac:dyDescent="0.25">
      <c r="B8652" s="13" t="s">
        <v>15742</v>
      </c>
      <c r="C8652" s="17" t="s">
        <v>170</v>
      </c>
      <c r="D8652" s="13" t="s">
        <v>118</v>
      </c>
      <c r="E8652" s="13" t="s">
        <v>15762</v>
      </c>
      <c r="F8652" s="43">
        <v>94.71</v>
      </c>
    </row>
    <row r="8653" spans="2:6" x14ac:dyDescent="0.25">
      <c r="B8653" s="13" t="s">
        <v>15763</v>
      </c>
      <c r="C8653" s="17" t="s">
        <v>170</v>
      </c>
      <c r="D8653" s="13" t="s">
        <v>118</v>
      </c>
      <c r="E8653" s="13" t="s">
        <v>15764</v>
      </c>
      <c r="F8653" s="43">
        <v>104.58</v>
      </c>
    </row>
    <row r="8654" spans="2:6" x14ac:dyDescent="0.25">
      <c r="B8654" s="13" t="s">
        <v>15744</v>
      </c>
      <c r="C8654" s="17" t="s">
        <v>170</v>
      </c>
      <c r="D8654" s="13" t="s">
        <v>118</v>
      </c>
      <c r="E8654" s="13" t="s">
        <v>15765</v>
      </c>
      <c r="F8654" s="43">
        <v>94.71</v>
      </c>
    </row>
    <row r="8655" spans="2:6" x14ac:dyDescent="0.25">
      <c r="B8655" s="13" t="s">
        <v>15766</v>
      </c>
      <c r="C8655" s="17" t="s">
        <v>170</v>
      </c>
      <c r="D8655" s="13" t="s">
        <v>118</v>
      </c>
      <c r="E8655" s="13" t="s">
        <v>15767</v>
      </c>
      <c r="F8655" s="43">
        <v>104.58</v>
      </c>
    </row>
    <row r="8656" spans="2:6" x14ac:dyDescent="0.25">
      <c r="B8656" s="13" t="s">
        <v>15746</v>
      </c>
      <c r="C8656" s="17" t="s">
        <v>170</v>
      </c>
      <c r="D8656" s="13" t="s">
        <v>118</v>
      </c>
      <c r="E8656" s="13" t="s">
        <v>15768</v>
      </c>
      <c r="F8656" s="43">
        <v>94.71</v>
      </c>
    </row>
    <row r="8657" spans="2:6" x14ac:dyDescent="0.25">
      <c r="B8657" s="13" t="s">
        <v>15769</v>
      </c>
      <c r="C8657" s="17" t="s">
        <v>170</v>
      </c>
      <c r="D8657" s="13" t="s">
        <v>118</v>
      </c>
      <c r="E8657" s="13" t="s">
        <v>15770</v>
      </c>
      <c r="F8657" s="43">
        <v>104.58</v>
      </c>
    </row>
    <row r="8658" spans="2:6" x14ac:dyDescent="0.25">
      <c r="B8658" s="13" t="s">
        <v>15771</v>
      </c>
      <c r="C8658" s="17" t="s">
        <v>170</v>
      </c>
      <c r="D8658" s="13" t="s">
        <v>118</v>
      </c>
      <c r="E8658" s="13" t="s">
        <v>15772</v>
      </c>
      <c r="F8658" s="43">
        <v>104.58</v>
      </c>
    </row>
    <row r="8659" spans="2:6" x14ac:dyDescent="0.25">
      <c r="B8659" s="13" t="s">
        <v>15773</v>
      </c>
      <c r="C8659" s="17" t="s">
        <v>170</v>
      </c>
      <c r="D8659" s="13" t="s">
        <v>118</v>
      </c>
      <c r="E8659" s="13" t="s">
        <v>15774</v>
      </c>
      <c r="F8659" s="43">
        <v>104.58</v>
      </c>
    </row>
    <row r="8660" spans="2:6" x14ac:dyDescent="0.25">
      <c r="B8660" s="13" t="s">
        <v>15775</v>
      </c>
      <c r="C8660" s="17" t="s">
        <v>170</v>
      </c>
      <c r="D8660" s="13" t="s">
        <v>118</v>
      </c>
      <c r="E8660" s="13" t="s">
        <v>15776</v>
      </c>
      <c r="F8660" s="43">
        <v>104.58</v>
      </c>
    </row>
    <row r="8661" spans="2:6" x14ac:dyDescent="0.25">
      <c r="B8661" s="13" t="s">
        <v>15777</v>
      </c>
      <c r="C8661" s="17" t="s">
        <v>170</v>
      </c>
      <c r="D8661" s="13" t="s">
        <v>118</v>
      </c>
      <c r="E8661" s="13" t="s">
        <v>15778</v>
      </c>
      <c r="F8661" s="43">
        <v>104.58</v>
      </c>
    </row>
    <row r="8662" spans="2:6" x14ac:dyDescent="0.25">
      <c r="B8662" s="13" t="s">
        <v>15779</v>
      </c>
      <c r="C8662" s="17" t="s">
        <v>170</v>
      </c>
      <c r="D8662" s="13" t="s">
        <v>118</v>
      </c>
      <c r="E8662" s="13" t="s">
        <v>15780</v>
      </c>
      <c r="F8662" s="43">
        <v>104.58</v>
      </c>
    </row>
    <row r="8663" spans="2:6" x14ac:dyDescent="0.25">
      <c r="B8663" s="13" t="s">
        <v>15781</v>
      </c>
      <c r="C8663" s="17" t="s">
        <v>170</v>
      </c>
      <c r="D8663" s="13" t="s">
        <v>118</v>
      </c>
      <c r="E8663" s="13" t="s">
        <v>15782</v>
      </c>
      <c r="F8663" s="43">
        <v>104.58</v>
      </c>
    </row>
    <row r="8664" spans="2:6" x14ac:dyDescent="0.25">
      <c r="B8664" s="13" t="s">
        <v>15783</v>
      </c>
      <c r="C8664" s="17" t="s">
        <v>170</v>
      </c>
      <c r="D8664" s="13" t="s">
        <v>118</v>
      </c>
      <c r="E8664" s="13" t="s">
        <v>15784</v>
      </c>
      <c r="F8664" s="43">
        <v>104.58</v>
      </c>
    </row>
    <row r="8665" spans="2:6" x14ac:dyDescent="0.25">
      <c r="B8665" s="13" t="s">
        <v>15785</v>
      </c>
      <c r="C8665" s="17" t="s">
        <v>170</v>
      </c>
      <c r="D8665" s="13" t="s">
        <v>118</v>
      </c>
      <c r="E8665" s="13" t="s">
        <v>15786</v>
      </c>
      <c r="F8665" s="43">
        <v>14.54</v>
      </c>
    </row>
    <row r="8666" spans="2:6" x14ac:dyDescent="0.25">
      <c r="B8666" s="13" t="s">
        <v>15787</v>
      </c>
      <c r="C8666" s="17" t="s">
        <v>170</v>
      </c>
      <c r="D8666" s="13" t="s">
        <v>118</v>
      </c>
      <c r="E8666" s="13" t="s">
        <v>15788</v>
      </c>
      <c r="F8666" s="43">
        <v>14.54</v>
      </c>
    </row>
    <row r="8667" spans="2:6" x14ac:dyDescent="0.25">
      <c r="B8667" s="13" t="s">
        <v>15789</v>
      </c>
      <c r="C8667" s="17" t="s">
        <v>170</v>
      </c>
      <c r="D8667" s="13" t="s">
        <v>118</v>
      </c>
      <c r="E8667" s="13" t="s">
        <v>15790</v>
      </c>
      <c r="F8667" s="43">
        <v>14.54</v>
      </c>
    </row>
    <row r="8668" spans="2:6" x14ac:dyDescent="0.25">
      <c r="B8668" s="13" t="s">
        <v>15791</v>
      </c>
      <c r="C8668" s="17" t="s">
        <v>170</v>
      </c>
      <c r="D8668" s="13" t="s">
        <v>118</v>
      </c>
      <c r="E8668" s="13" t="s">
        <v>15792</v>
      </c>
      <c r="F8668" s="43">
        <v>14.54</v>
      </c>
    </row>
    <row r="8669" spans="2:6" x14ac:dyDescent="0.25">
      <c r="B8669" s="13" t="s">
        <v>15793</v>
      </c>
      <c r="C8669" s="17" t="s">
        <v>170</v>
      </c>
      <c r="D8669" s="13" t="s">
        <v>118</v>
      </c>
      <c r="E8669" s="13" t="s">
        <v>15794</v>
      </c>
      <c r="F8669" s="43">
        <v>14.54</v>
      </c>
    </row>
    <row r="8670" spans="2:6" x14ac:dyDescent="0.25">
      <c r="B8670" s="13" t="s">
        <v>15795</v>
      </c>
      <c r="C8670" s="17" t="s">
        <v>170</v>
      </c>
      <c r="D8670" s="13" t="s">
        <v>118</v>
      </c>
      <c r="E8670" s="13" t="s">
        <v>15796</v>
      </c>
      <c r="F8670" s="43">
        <v>14.54</v>
      </c>
    </row>
    <row r="8671" spans="2:6" x14ac:dyDescent="0.25">
      <c r="B8671" s="13" t="s">
        <v>15797</v>
      </c>
      <c r="C8671" s="17" t="s">
        <v>170</v>
      </c>
      <c r="D8671" s="13" t="s">
        <v>118</v>
      </c>
      <c r="E8671" s="13" t="s">
        <v>15798</v>
      </c>
      <c r="F8671" s="43">
        <v>14.54</v>
      </c>
    </row>
    <row r="8672" spans="2:6" x14ac:dyDescent="0.25">
      <c r="B8672" s="13" t="s">
        <v>15799</v>
      </c>
      <c r="C8672" s="17" t="s">
        <v>170</v>
      </c>
      <c r="D8672" s="13" t="s">
        <v>118</v>
      </c>
      <c r="E8672" s="13" t="s">
        <v>15800</v>
      </c>
      <c r="F8672" s="43">
        <v>14.54</v>
      </c>
    </row>
    <row r="8673" spans="2:6" x14ac:dyDescent="0.25">
      <c r="B8673" s="13" t="s">
        <v>15801</v>
      </c>
      <c r="C8673" s="17" t="s">
        <v>170</v>
      </c>
      <c r="D8673" s="13" t="s">
        <v>118</v>
      </c>
      <c r="E8673" s="13" t="s">
        <v>15802</v>
      </c>
      <c r="F8673" s="43">
        <v>14.54</v>
      </c>
    </row>
    <row r="8674" spans="2:6" x14ac:dyDescent="0.25">
      <c r="B8674" s="13" t="s">
        <v>15803</v>
      </c>
      <c r="C8674" s="17" t="s">
        <v>170</v>
      </c>
      <c r="D8674" s="13" t="s">
        <v>118</v>
      </c>
      <c r="E8674" s="13" t="s">
        <v>15804</v>
      </c>
      <c r="F8674" s="43">
        <v>14.54</v>
      </c>
    </row>
    <row r="8675" spans="2:6" x14ac:dyDescent="0.25">
      <c r="B8675" s="13" t="s">
        <v>15805</v>
      </c>
      <c r="C8675" s="17" t="s">
        <v>170</v>
      </c>
      <c r="D8675" s="13" t="s">
        <v>118</v>
      </c>
      <c r="E8675" s="13" t="s">
        <v>15806</v>
      </c>
      <c r="F8675" s="43">
        <v>15.96</v>
      </c>
    </row>
    <row r="8676" spans="2:6" x14ac:dyDescent="0.25">
      <c r="B8676" s="13" t="s">
        <v>15807</v>
      </c>
      <c r="C8676" s="17" t="s">
        <v>170</v>
      </c>
      <c r="D8676" s="13" t="s">
        <v>118</v>
      </c>
      <c r="E8676" s="13" t="s">
        <v>15808</v>
      </c>
      <c r="F8676" s="43">
        <v>15.96</v>
      </c>
    </row>
    <row r="8677" spans="2:6" x14ac:dyDescent="0.25">
      <c r="B8677" s="13" t="s">
        <v>15809</v>
      </c>
      <c r="C8677" s="17" t="s">
        <v>170</v>
      </c>
      <c r="D8677" s="13" t="s">
        <v>118</v>
      </c>
      <c r="E8677" s="13" t="s">
        <v>15810</v>
      </c>
      <c r="F8677" s="43">
        <v>15.96</v>
      </c>
    </row>
    <row r="8678" spans="2:6" x14ac:dyDescent="0.25">
      <c r="B8678" s="13" t="s">
        <v>15811</v>
      </c>
      <c r="C8678" s="17" t="s">
        <v>170</v>
      </c>
      <c r="D8678" s="13" t="s">
        <v>118</v>
      </c>
      <c r="E8678" s="13" t="s">
        <v>15812</v>
      </c>
      <c r="F8678" s="43">
        <v>15.96</v>
      </c>
    </row>
    <row r="8679" spans="2:6" x14ac:dyDescent="0.25">
      <c r="B8679" s="13" t="s">
        <v>15813</v>
      </c>
      <c r="C8679" s="17" t="s">
        <v>170</v>
      </c>
      <c r="D8679" s="13" t="s">
        <v>118</v>
      </c>
      <c r="E8679" s="13" t="s">
        <v>15814</v>
      </c>
      <c r="F8679" s="43">
        <v>15.96</v>
      </c>
    </row>
    <row r="8680" spans="2:6" x14ac:dyDescent="0.25">
      <c r="B8680" s="13" t="s">
        <v>15815</v>
      </c>
      <c r="C8680" s="17" t="s">
        <v>170</v>
      </c>
      <c r="D8680" s="13" t="s">
        <v>118</v>
      </c>
      <c r="E8680" s="13" t="s">
        <v>15816</v>
      </c>
      <c r="F8680" s="43">
        <v>15.96</v>
      </c>
    </row>
    <row r="8681" spans="2:6" x14ac:dyDescent="0.25">
      <c r="B8681" s="13" t="s">
        <v>15817</v>
      </c>
      <c r="C8681" s="17" t="s">
        <v>170</v>
      </c>
      <c r="D8681" s="13" t="s">
        <v>118</v>
      </c>
      <c r="E8681" s="13" t="s">
        <v>15818</v>
      </c>
      <c r="F8681" s="43">
        <v>15.96</v>
      </c>
    </row>
    <row r="8682" spans="2:6" x14ac:dyDescent="0.25">
      <c r="B8682" s="13" t="s">
        <v>15819</v>
      </c>
      <c r="C8682" s="17" t="s">
        <v>170</v>
      </c>
      <c r="D8682" s="13" t="s">
        <v>118</v>
      </c>
      <c r="E8682" s="13" t="s">
        <v>15820</v>
      </c>
      <c r="F8682" s="43">
        <v>15.96</v>
      </c>
    </row>
    <row r="8683" spans="2:6" x14ac:dyDescent="0.25">
      <c r="B8683" s="13" t="s">
        <v>15821</v>
      </c>
      <c r="C8683" s="17" t="s">
        <v>170</v>
      </c>
      <c r="D8683" s="13" t="s">
        <v>118</v>
      </c>
      <c r="E8683" s="13" t="s">
        <v>15822</v>
      </c>
      <c r="F8683" s="43">
        <v>15.96</v>
      </c>
    </row>
    <row r="8684" spans="2:6" x14ac:dyDescent="0.25">
      <c r="B8684" s="13" t="s">
        <v>15823</v>
      </c>
      <c r="C8684" s="17" t="s">
        <v>170</v>
      </c>
      <c r="D8684" s="13" t="s">
        <v>118</v>
      </c>
      <c r="E8684" s="13" t="s">
        <v>15824</v>
      </c>
      <c r="F8684" s="43">
        <v>15.96</v>
      </c>
    </row>
    <row r="8685" spans="2:6" x14ac:dyDescent="0.25">
      <c r="B8685" s="13" t="s">
        <v>15825</v>
      </c>
      <c r="C8685" s="17" t="s">
        <v>170</v>
      </c>
      <c r="D8685" s="13" t="s">
        <v>118</v>
      </c>
      <c r="E8685" s="13" t="s">
        <v>15826</v>
      </c>
      <c r="F8685" s="43">
        <v>17.260000000000002</v>
      </c>
    </row>
    <row r="8686" spans="2:6" x14ac:dyDescent="0.25">
      <c r="B8686" s="13" t="s">
        <v>15827</v>
      </c>
      <c r="C8686" s="17" t="s">
        <v>170</v>
      </c>
      <c r="D8686" s="13" t="s">
        <v>118</v>
      </c>
      <c r="E8686" s="13" t="s">
        <v>15828</v>
      </c>
      <c r="F8686" s="43">
        <v>17.260000000000002</v>
      </c>
    </row>
    <row r="8687" spans="2:6" x14ac:dyDescent="0.25">
      <c r="B8687" s="13" t="s">
        <v>15829</v>
      </c>
      <c r="C8687" s="17" t="s">
        <v>170</v>
      </c>
      <c r="D8687" s="13" t="s">
        <v>118</v>
      </c>
      <c r="E8687" s="13" t="s">
        <v>15830</v>
      </c>
      <c r="F8687" s="43">
        <v>17.260000000000002</v>
      </c>
    </row>
    <row r="8688" spans="2:6" x14ac:dyDescent="0.25">
      <c r="B8688" s="13" t="s">
        <v>15831</v>
      </c>
      <c r="C8688" s="17" t="s">
        <v>170</v>
      </c>
      <c r="D8688" s="13" t="s">
        <v>118</v>
      </c>
      <c r="E8688" s="13" t="s">
        <v>15832</v>
      </c>
      <c r="F8688" s="43">
        <v>17.260000000000002</v>
      </c>
    </row>
    <row r="8689" spans="2:6" x14ac:dyDescent="0.25">
      <c r="B8689" s="13" t="s">
        <v>15833</v>
      </c>
      <c r="C8689" s="17" t="s">
        <v>170</v>
      </c>
      <c r="D8689" s="13" t="s">
        <v>118</v>
      </c>
      <c r="E8689" s="13" t="s">
        <v>15834</v>
      </c>
      <c r="F8689" s="43">
        <v>17.260000000000002</v>
      </c>
    </row>
    <row r="8690" spans="2:6" x14ac:dyDescent="0.25">
      <c r="B8690" s="13" t="s">
        <v>15835</v>
      </c>
      <c r="C8690" s="17" t="s">
        <v>170</v>
      </c>
      <c r="D8690" s="13" t="s">
        <v>118</v>
      </c>
      <c r="E8690" s="13" t="s">
        <v>15836</v>
      </c>
      <c r="F8690" s="43">
        <v>17.260000000000002</v>
      </c>
    </row>
    <row r="8691" spans="2:6" x14ac:dyDescent="0.25">
      <c r="B8691" s="13" t="s">
        <v>15837</v>
      </c>
      <c r="C8691" s="17" t="s">
        <v>170</v>
      </c>
      <c r="D8691" s="13" t="s">
        <v>118</v>
      </c>
      <c r="E8691" s="13" t="s">
        <v>15838</v>
      </c>
      <c r="F8691" s="43">
        <v>17.260000000000002</v>
      </c>
    </row>
    <row r="8692" spans="2:6" x14ac:dyDescent="0.25">
      <c r="B8692" s="13" t="s">
        <v>15839</v>
      </c>
      <c r="C8692" s="17" t="s">
        <v>170</v>
      </c>
      <c r="D8692" s="13" t="s">
        <v>118</v>
      </c>
      <c r="E8692" s="13" t="s">
        <v>15840</v>
      </c>
      <c r="F8692" s="43">
        <v>17.260000000000002</v>
      </c>
    </row>
    <row r="8693" spans="2:6" x14ac:dyDescent="0.25">
      <c r="B8693" s="13" t="s">
        <v>15841</v>
      </c>
      <c r="C8693" s="17" t="s">
        <v>170</v>
      </c>
      <c r="D8693" s="13" t="s">
        <v>118</v>
      </c>
      <c r="E8693" s="13" t="s">
        <v>15842</v>
      </c>
      <c r="F8693" s="43">
        <v>17.260000000000002</v>
      </c>
    </row>
    <row r="8694" spans="2:6" x14ac:dyDescent="0.25">
      <c r="B8694" s="13" t="s">
        <v>15843</v>
      </c>
      <c r="C8694" s="17" t="s">
        <v>170</v>
      </c>
      <c r="D8694" s="13" t="s">
        <v>118</v>
      </c>
      <c r="E8694" s="13" t="s">
        <v>15844</v>
      </c>
      <c r="F8694" s="43">
        <v>17.260000000000002</v>
      </c>
    </row>
    <row r="8695" spans="2:6" x14ac:dyDescent="0.25">
      <c r="B8695" s="13" t="s">
        <v>15845</v>
      </c>
      <c r="C8695" s="17" t="s">
        <v>170</v>
      </c>
      <c r="D8695" s="13" t="s">
        <v>118</v>
      </c>
      <c r="E8695" s="13" t="s">
        <v>15846</v>
      </c>
      <c r="F8695" s="43">
        <v>18.21</v>
      </c>
    </row>
    <row r="8696" spans="2:6" x14ac:dyDescent="0.25">
      <c r="B8696" s="13" t="s">
        <v>15847</v>
      </c>
      <c r="C8696" s="17" t="s">
        <v>170</v>
      </c>
      <c r="D8696" s="13" t="s">
        <v>118</v>
      </c>
      <c r="E8696" s="13" t="s">
        <v>15848</v>
      </c>
      <c r="F8696" s="43">
        <v>18.21</v>
      </c>
    </row>
    <row r="8697" spans="2:6" x14ac:dyDescent="0.25">
      <c r="B8697" s="13" t="s">
        <v>15849</v>
      </c>
      <c r="C8697" s="17" t="s">
        <v>170</v>
      </c>
      <c r="D8697" s="13" t="s">
        <v>118</v>
      </c>
      <c r="E8697" s="13" t="s">
        <v>15850</v>
      </c>
      <c r="F8697" s="43">
        <v>18.21</v>
      </c>
    </row>
    <row r="8698" spans="2:6" x14ac:dyDescent="0.25">
      <c r="B8698" s="13" t="s">
        <v>15851</v>
      </c>
      <c r="C8698" s="17" t="s">
        <v>170</v>
      </c>
      <c r="D8698" s="13" t="s">
        <v>118</v>
      </c>
      <c r="E8698" s="13" t="s">
        <v>15852</v>
      </c>
      <c r="F8698" s="43">
        <v>18.21</v>
      </c>
    </row>
    <row r="8699" spans="2:6" x14ac:dyDescent="0.25">
      <c r="B8699" s="13" t="s">
        <v>15853</v>
      </c>
      <c r="C8699" s="17" t="s">
        <v>170</v>
      </c>
      <c r="D8699" s="13" t="s">
        <v>118</v>
      </c>
      <c r="E8699" s="13" t="s">
        <v>15854</v>
      </c>
      <c r="F8699" s="43">
        <v>18.21</v>
      </c>
    </row>
    <row r="8700" spans="2:6" x14ac:dyDescent="0.25">
      <c r="B8700" s="13" t="s">
        <v>15855</v>
      </c>
      <c r="C8700" s="17" t="s">
        <v>170</v>
      </c>
      <c r="D8700" s="13" t="s">
        <v>118</v>
      </c>
      <c r="E8700" s="13" t="s">
        <v>15856</v>
      </c>
      <c r="F8700" s="43">
        <v>18.21</v>
      </c>
    </row>
    <row r="8701" spans="2:6" x14ac:dyDescent="0.25">
      <c r="B8701" s="13" t="s">
        <v>15857</v>
      </c>
      <c r="C8701" s="17" t="s">
        <v>170</v>
      </c>
      <c r="D8701" s="13" t="s">
        <v>118</v>
      </c>
      <c r="E8701" s="13" t="s">
        <v>15858</v>
      </c>
      <c r="F8701" s="43">
        <v>18.21</v>
      </c>
    </row>
    <row r="8702" spans="2:6" x14ac:dyDescent="0.25">
      <c r="B8702" s="13" t="s">
        <v>15859</v>
      </c>
      <c r="C8702" s="17" t="s">
        <v>170</v>
      </c>
      <c r="D8702" s="13" t="s">
        <v>118</v>
      </c>
      <c r="E8702" s="13" t="s">
        <v>15860</v>
      </c>
      <c r="F8702" s="43">
        <v>18.21</v>
      </c>
    </row>
    <row r="8703" spans="2:6" x14ac:dyDescent="0.25">
      <c r="B8703" s="13" t="s">
        <v>15861</v>
      </c>
      <c r="C8703" s="17" t="s">
        <v>170</v>
      </c>
      <c r="D8703" s="13" t="s">
        <v>118</v>
      </c>
      <c r="E8703" s="13" t="s">
        <v>15862</v>
      </c>
      <c r="F8703" s="43">
        <v>18.21</v>
      </c>
    </row>
    <row r="8704" spans="2:6" x14ac:dyDescent="0.25">
      <c r="B8704" s="13" t="s">
        <v>15863</v>
      </c>
      <c r="C8704" s="17" t="s">
        <v>170</v>
      </c>
      <c r="D8704" s="13" t="s">
        <v>118</v>
      </c>
      <c r="E8704" s="13" t="s">
        <v>15864</v>
      </c>
      <c r="F8704" s="43">
        <v>18.21</v>
      </c>
    </row>
    <row r="8705" spans="2:6" x14ac:dyDescent="0.25">
      <c r="B8705" s="13" t="s">
        <v>15865</v>
      </c>
      <c r="C8705" s="17" t="s">
        <v>170</v>
      </c>
      <c r="D8705" s="13" t="s">
        <v>118</v>
      </c>
      <c r="E8705" s="13" t="s">
        <v>15866</v>
      </c>
      <c r="F8705" s="43">
        <v>17.260000000000002</v>
      </c>
    </row>
    <row r="8706" spans="2:6" x14ac:dyDescent="0.25">
      <c r="B8706" s="13" t="s">
        <v>15867</v>
      </c>
      <c r="C8706" s="17" t="s">
        <v>170</v>
      </c>
      <c r="D8706" s="13" t="s">
        <v>118</v>
      </c>
      <c r="E8706" s="13" t="s">
        <v>15868</v>
      </c>
      <c r="F8706" s="43">
        <v>17.260000000000002</v>
      </c>
    </row>
    <row r="8707" spans="2:6" x14ac:dyDescent="0.25">
      <c r="B8707" s="13" t="s">
        <v>15869</v>
      </c>
      <c r="C8707" s="17" t="s">
        <v>170</v>
      </c>
      <c r="D8707" s="13" t="s">
        <v>118</v>
      </c>
      <c r="E8707" s="13" t="s">
        <v>15870</v>
      </c>
      <c r="F8707" s="43">
        <v>17.260000000000002</v>
      </c>
    </row>
    <row r="8708" spans="2:6" x14ac:dyDescent="0.25">
      <c r="B8708" s="13" t="s">
        <v>15871</v>
      </c>
      <c r="C8708" s="17" t="s">
        <v>170</v>
      </c>
      <c r="D8708" s="13" t="s">
        <v>118</v>
      </c>
      <c r="E8708" s="13" t="s">
        <v>15872</v>
      </c>
      <c r="F8708" s="43">
        <v>17.260000000000002</v>
      </c>
    </row>
    <row r="8709" spans="2:6" x14ac:dyDescent="0.25">
      <c r="B8709" s="13" t="s">
        <v>15873</v>
      </c>
      <c r="C8709" s="17" t="s">
        <v>170</v>
      </c>
      <c r="D8709" s="13" t="s">
        <v>118</v>
      </c>
      <c r="E8709" s="13" t="s">
        <v>15874</v>
      </c>
      <c r="F8709" s="43">
        <v>17.260000000000002</v>
      </c>
    </row>
    <row r="8710" spans="2:6" x14ac:dyDescent="0.25">
      <c r="B8710" s="13" t="s">
        <v>15875</v>
      </c>
      <c r="C8710" s="17" t="s">
        <v>170</v>
      </c>
      <c r="D8710" s="13" t="s">
        <v>118</v>
      </c>
      <c r="E8710" s="13" t="s">
        <v>15876</v>
      </c>
      <c r="F8710" s="43">
        <v>17.260000000000002</v>
      </c>
    </row>
    <row r="8711" spans="2:6" x14ac:dyDescent="0.25">
      <c r="B8711" s="13" t="s">
        <v>15877</v>
      </c>
      <c r="C8711" s="17" t="s">
        <v>170</v>
      </c>
      <c r="D8711" s="13" t="s">
        <v>118</v>
      </c>
      <c r="E8711" s="13" t="s">
        <v>15878</v>
      </c>
      <c r="F8711" s="43">
        <v>17.260000000000002</v>
      </c>
    </row>
    <row r="8712" spans="2:6" x14ac:dyDescent="0.25">
      <c r="B8712" s="13" t="s">
        <v>15879</v>
      </c>
      <c r="C8712" s="17" t="s">
        <v>170</v>
      </c>
      <c r="D8712" s="13" t="s">
        <v>118</v>
      </c>
      <c r="E8712" s="13" t="s">
        <v>15880</v>
      </c>
      <c r="F8712" s="43">
        <v>17.260000000000002</v>
      </c>
    </row>
    <row r="8713" spans="2:6" x14ac:dyDescent="0.25">
      <c r="B8713" s="13" t="s">
        <v>15881</v>
      </c>
      <c r="C8713" s="17" t="s">
        <v>170</v>
      </c>
      <c r="D8713" s="13" t="s">
        <v>118</v>
      </c>
      <c r="E8713" s="13" t="s">
        <v>15882</v>
      </c>
      <c r="F8713" s="43">
        <v>17.260000000000002</v>
      </c>
    </row>
    <row r="8714" spans="2:6" x14ac:dyDescent="0.25">
      <c r="B8714" s="13" t="s">
        <v>15883</v>
      </c>
      <c r="C8714" s="17" t="s">
        <v>170</v>
      </c>
      <c r="D8714" s="13" t="s">
        <v>118</v>
      </c>
      <c r="E8714" s="13" t="s">
        <v>15884</v>
      </c>
      <c r="F8714" s="43">
        <v>17.260000000000002</v>
      </c>
    </row>
    <row r="8715" spans="2:6" x14ac:dyDescent="0.25">
      <c r="B8715" s="13" t="s">
        <v>15885</v>
      </c>
      <c r="C8715" s="17" t="s">
        <v>170</v>
      </c>
      <c r="D8715" s="13" t="s">
        <v>118</v>
      </c>
      <c r="E8715" s="13" t="s">
        <v>15886</v>
      </c>
      <c r="F8715" s="43">
        <v>18.21</v>
      </c>
    </row>
    <row r="8716" spans="2:6" x14ac:dyDescent="0.25">
      <c r="B8716" s="13" t="s">
        <v>15887</v>
      </c>
      <c r="C8716" s="17" t="s">
        <v>170</v>
      </c>
      <c r="D8716" s="13" t="s">
        <v>118</v>
      </c>
      <c r="E8716" s="13" t="s">
        <v>15888</v>
      </c>
      <c r="F8716" s="43">
        <v>18.21</v>
      </c>
    </row>
    <row r="8717" spans="2:6" x14ac:dyDescent="0.25">
      <c r="B8717" s="13" t="s">
        <v>15889</v>
      </c>
      <c r="C8717" s="17" t="s">
        <v>170</v>
      </c>
      <c r="D8717" s="13" t="s">
        <v>118</v>
      </c>
      <c r="E8717" s="13" t="s">
        <v>15890</v>
      </c>
      <c r="F8717" s="43">
        <v>18.21</v>
      </c>
    </row>
    <row r="8718" spans="2:6" x14ac:dyDescent="0.25">
      <c r="B8718" s="13" t="s">
        <v>15891</v>
      </c>
      <c r="C8718" s="17" t="s">
        <v>170</v>
      </c>
      <c r="D8718" s="13" t="s">
        <v>118</v>
      </c>
      <c r="E8718" s="13" t="s">
        <v>15892</v>
      </c>
      <c r="F8718" s="43">
        <v>18.21</v>
      </c>
    </row>
    <row r="8719" spans="2:6" x14ac:dyDescent="0.25">
      <c r="B8719" s="13" t="s">
        <v>15893</v>
      </c>
      <c r="C8719" s="17" t="s">
        <v>170</v>
      </c>
      <c r="D8719" s="13" t="s">
        <v>118</v>
      </c>
      <c r="E8719" s="13" t="s">
        <v>15894</v>
      </c>
      <c r="F8719" s="43">
        <v>18.21</v>
      </c>
    </row>
    <row r="8720" spans="2:6" x14ac:dyDescent="0.25">
      <c r="B8720" s="13" t="s">
        <v>15895</v>
      </c>
      <c r="C8720" s="17" t="s">
        <v>170</v>
      </c>
      <c r="D8720" s="13" t="s">
        <v>118</v>
      </c>
      <c r="E8720" s="13" t="s">
        <v>15896</v>
      </c>
      <c r="F8720" s="43">
        <v>18.21</v>
      </c>
    </row>
    <row r="8721" spans="2:6" x14ac:dyDescent="0.25">
      <c r="B8721" s="13" t="s">
        <v>15897</v>
      </c>
      <c r="C8721" s="17" t="s">
        <v>170</v>
      </c>
      <c r="D8721" s="13" t="s">
        <v>118</v>
      </c>
      <c r="E8721" s="13" t="s">
        <v>15898</v>
      </c>
      <c r="F8721" s="43">
        <v>18.21</v>
      </c>
    </row>
    <row r="8722" spans="2:6" x14ac:dyDescent="0.25">
      <c r="B8722" s="13" t="s">
        <v>15899</v>
      </c>
      <c r="C8722" s="17" t="s">
        <v>170</v>
      </c>
      <c r="D8722" s="13" t="s">
        <v>118</v>
      </c>
      <c r="E8722" s="13" t="s">
        <v>15900</v>
      </c>
      <c r="F8722" s="43">
        <v>18.21</v>
      </c>
    </row>
    <row r="8723" spans="2:6" x14ac:dyDescent="0.25">
      <c r="B8723" s="13" t="s">
        <v>15901</v>
      </c>
      <c r="C8723" s="17" t="s">
        <v>170</v>
      </c>
      <c r="D8723" s="13" t="s">
        <v>118</v>
      </c>
      <c r="E8723" s="13" t="s">
        <v>15902</v>
      </c>
      <c r="F8723" s="43">
        <v>18.21</v>
      </c>
    </row>
    <row r="8724" spans="2:6" x14ac:dyDescent="0.25">
      <c r="B8724" s="13" t="s">
        <v>15903</v>
      </c>
      <c r="C8724" s="17" t="s">
        <v>170</v>
      </c>
      <c r="D8724" s="13" t="s">
        <v>118</v>
      </c>
      <c r="E8724" s="13" t="s">
        <v>15904</v>
      </c>
      <c r="F8724" s="43">
        <v>18.21</v>
      </c>
    </row>
    <row r="8725" spans="2:6" x14ac:dyDescent="0.25">
      <c r="B8725" s="13" t="s">
        <v>15905</v>
      </c>
      <c r="C8725" s="17" t="s">
        <v>170</v>
      </c>
      <c r="D8725" s="13" t="s">
        <v>118</v>
      </c>
      <c r="E8725" s="13" t="s">
        <v>15906</v>
      </c>
      <c r="F8725" s="43">
        <v>19.98</v>
      </c>
    </row>
    <row r="8726" spans="2:6" x14ac:dyDescent="0.25">
      <c r="B8726" s="13" t="s">
        <v>15907</v>
      </c>
      <c r="C8726" s="17" t="s">
        <v>170</v>
      </c>
      <c r="D8726" s="13" t="s">
        <v>118</v>
      </c>
      <c r="E8726" s="13" t="s">
        <v>15908</v>
      </c>
      <c r="F8726" s="43">
        <v>19.98</v>
      </c>
    </row>
    <row r="8727" spans="2:6" x14ac:dyDescent="0.25">
      <c r="B8727" s="13" t="s">
        <v>15909</v>
      </c>
      <c r="C8727" s="17" t="s">
        <v>170</v>
      </c>
      <c r="D8727" s="13" t="s">
        <v>118</v>
      </c>
      <c r="E8727" s="13" t="s">
        <v>15910</v>
      </c>
      <c r="F8727" s="43">
        <v>19.98</v>
      </c>
    </row>
    <row r="8728" spans="2:6" x14ac:dyDescent="0.25">
      <c r="B8728" s="13" t="s">
        <v>15911</v>
      </c>
      <c r="C8728" s="17" t="s">
        <v>170</v>
      </c>
      <c r="D8728" s="13" t="s">
        <v>118</v>
      </c>
      <c r="E8728" s="13" t="s">
        <v>15912</v>
      </c>
      <c r="F8728" s="43">
        <v>19.98</v>
      </c>
    </row>
    <row r="8729" spans="2:6" x14ac:dyDescent="0.25">
      <c r="B8729" s="13" t="s">
        <v>15913</v>
      </c>
      <c r="C8729" s="17" t="s">
        <v>170</v>
      </c>
      <c r="D8729" s="13" t="s">
        <v>118</v>
      </c>
      <c r="E8729" s="13" t="s">
        <v>15914</v>
      </c>
      <c r="F8729" s="43">
        <v>19.98</v>
      </c>
    </row>
    <row r="8730" spans="2:6" x14ac:dyDescent="0.25">
      <c r="B8730" s="13" t="s">
        <v>15915</v>
      </c>
      <c r="C8730" s="17" t="s">
        <v>170</v>
      </c>
      <c r="D8730" s="13" t="s">
        <v>118</v>
      </c>
      <c r="E8730" s="13" t="s">
        <v>15916</v>
      </c>
      <c r="F8730" s="43">
        <v>19.98</v>
      </c>
    </row>
    <row r="8731" spans="2:6" x14ac:dyDescent="0.25">
      <c r="B8731" s="13" t="s">
        <v>15917</v>
      </c>
      <c r="C8731" s="17" t="s">
        <v>170</v>
      </c>
      <c r="D8731" s="13" t="s">
        <v>118</v>
      </c>
      <c r="E8731" s="13" t="s">
        <v>15918</v>
      </c>
      <c r="F8731" s="43">
        <v>19.98</v>
      </c>
    </row>
    <row r="8732" spans="2:6" x14ac:dyDescent="0.25">
      <c r="B8732" s="13" t="s">
        <v>15919</v>
      </c>
      <c r="C8732" s="17" t="s">
        <v>170</v>
      </c>
      <c r="D8732" s="13" t="s">
        <v>118</v>
      </c>
      <c r="E8732" s="13" t="s">
        <v>15920</v>
      </c>
      <c r="F8732" s="43">
        <v>19.98</v>
      </c>
    </row>
    <row r="8733" spans="2:6" x14ac:dyDescent="0.25">
      <c r="B8733" s="13" t="s">
        <v>15921</v>
      </c>
      <c r="C8733" s="17" t="s">
        <v>170</v>
      </c>
      <c r="D8733" s="13" t="s">
        <v>118</v>
      </c>
      <c r="E8733" s="13" t="s">
        <v>15922</v>
      </c>
      <c r="F8733" s="43">
        <v>19.98</v>
      </c>
    </row>
    <row r="8734" spans="2:6" x14ac:dyDescent="0.25">
      <c r="B8734" s="13" t="s">
        <v>15923</v>
      </c>
      <c r="C8734" s="17" t="s">
        <v>170</v>
      </c>
      <c r="D8734" s="13" t="s">
        <v>118</v>
      </c>
      <c r="E8734" s="13" t="s">
        <v>15924</v>
      </c>
      <c r="F8734" s="43">
        <v>19.98</v>
      </c>
    </row>
    <row r="8735" spans="2:6" x14ac:dyDescent="0.25">
      <c r="B8735" s="13" t="s">
        <v>15925</v>
      </c>
      <c r="C8735" s="17" t="s">
        <v>170</v>
      </c>
      <c r="D8735" s="13" t="s">
        <v>118</v>
      </c>
      <c r="E8735" s="13" t="s">
        <v>15926</v>
      </c>
      <c r="F8735" s="43">
        <v>19.98</v>
      </c>
    </row>
    <row r="8736" spans="2:6" x14ac:dyDescent="0.25">
      <c r="B8736" s="13" t="s">
        <v>15927</v>
      </c>
      <c r="C8736" s="17" t="s">
        <v>170</v>
      </c>
      <c r="D8736" s="13" t="s">
        <v>118</v>
      </c>
      <c r="E8736" s="13" t="s">
        <v>15928</v>
      </c>
      <c r="F8736" s="43">
        <v>19.98</v>
      </c>
    </row>
    <row r="8737" spans="2:6" x14ac:dyDescent="0.25">
      <c r="B8737" s="13" t="s">
        <v>15929</v>
      </c>
      <c r="C8737" s="17" t="s">
        <v>170</v>
      </c>
      <c r="D8737" s="13" t="s">
        <v>118</v>
      </c>
      <c r="E8737" s="13" t="s">
        <v>15930</v>
      </c>
      <c r="F8737" s="43">
        <v>19.98</v>
      </c>
    </row>
    <row r="8738" spans="2:6" x14ac:dyDescent="0.25">
      <c r="B8738" s="13" t="s">
        <v>15931</v>
      </c>
      <c r="C8738" s="17" t="s">
        <v>170</v>
      </c>
      <c r="D8738" s="13" t="s">
        <v>118</v>
      </c>
      <c r="E8738" s="13" t="s">
        <v>15932</v>
      </c>
      <c r="F8738" s="43">
        <v>19.98</v>
      </c>
    </row>
    <row r="8739" spans="2:6" x14ac:dyDescent="0.25">
      <c r="B8739" s="13" t="s">
        <v>15933</v>
      </c>
      <c r="C8739" s="17" t="s">
        <v>170</v>
      </c>
      <c r="D8739" s="13" t="s">
        <v>118</v>
      </c>
      <c r="E8739" s="13" t="s">
        <v>15934</v>
      </c>
      <c r="F8739" s="43">
        <v>20.22</v>
      </c>
    </row>
    <row r="8740" spans="2:6" x14ac:dyDescent="0.25">
      <c r="B8740" s="13" t="s">
        <v>15935</v>
      </c>
      <c r="C8740" s="17" t="s">
        <v>170</v>
      </c>
      <c r="D8740" s="13" t="s">
        <v>118</v>
      </c>
      <c r="E8740" s="13" t="s">
        <v>15936</v>
      </c>
      <c r="F8740" s="43">
        <v>20.22</v>
      </c>
    </row>
    <row r="8741" spans="2:6" x14ac:dyDescent="0.25">
      <c r="B8741" s="13" t="s">
        <v>15937</v>
      </c>
      <c r="C8741" s="17" t="s">
        <v>170</v>
      </c>
      <c r="D8741" s="13" t="s">
        <v>118</v>
      </c>
      <c r="E8741" s="13" t="s">
        <v>15938</v>
      </c>
      <c r="F8741" s="43">
        <v>20.22</v>
      </c>
    </row>
    <row r="8742" spans="2:6" x14ac:dyDescent="0.25">
      <c r="B8742" s="13" t="s">
        <v>15939</v>
      </c>
      <c r="C8742" s="17" t="s">
        <v>170</v>
      </c>
      <c r="D8742" s="13" t="s">
        <v>118</v>
      </c>
      <c r="E8742" s="13" t="s">
        <v>15940</v>
      </c>
      <c r="F8742" s="43">
        <v>20.22</v>
      </c>
    </row>
    <row r="8743" spans="2:6" x14ac:dyDescent="0.25">
      <c r="B8743" s="13" t="s">
        <v>15941</v>
      </c>
      <c r="C8743" s="17" t="s">
        <v>170</v>
      </c>
      <c r="D8743" s="13" t="s">
        <v>118</v>
      </c>
      <c r="E8743" s="13" t="s">
        <v>15942</v>
      </c>
      <c r="F8743" s="43">
        <v>20.22</v>
      </c>
    </row>
    <row r="8744" spans="2:6" x14ac:dyDescent="0.25">
      <c r="B8744" s="13" t="s">
        <v>15943</v>
      </c>
      <c r="C8744" s="17" t="s">
        <v>170</v>
      </c>
      <c r="D8744" s="13" t="s">
        <v>118</v>
      </c>
      <c r="E8744" s="13" t="s">
        <v>15944</v>
      </c>
      <c r="F8744" s="43">
        <v>20.22</v>
      </c>
    </row>
    <row r="8745" spans="2:6" x14ac:dyDescent="0.25">
      <c r="B8745" s="13" t="s">
        <v>15945</v>
      </c>
      <c r="C8745" s="17" t="s">
        <v>170</v>
      </c>
      <c r="D8745" s="13" t="s">
        <v>118</v>
      </c>
      <c r="E8745" s="13" t="s">
        <v>15946</v>
      </c>
      <c r="F8745" s="43">
        <v>20.22</v>
      </c>
    </row>
    <row r="8746" spans="2:6" x14ac:dyDescent="0.25">
      <c r="B8746" s="13" t="s">
        <v>15947</v>
      </c>
      <c r="C8746" s="17" t="s">
        <v>170</v>
      </c>
      <c r="D8746" s="13" t="s">
        <v>118</v>
      </c>
      <c r="E8746" s="13" t="s">
        <v>15948</v>
      </c>
      <c r="F8746" s="43">
        <v>20.22</v>
      </c>
    </row>
    <row r="8747" spans="2:6" x14ac:dyDescent="0.25">
      <c r="B8747" s="13" t="s">
        <v>15949</v>
      </c>
      <c r="C8747" s="17" t="s">
        <v>170</v>
      </c>
      <c r="D8747" s="13" t="s">
        <v>118</v>
      </c>
      <c r="E8747" s="13" t="s">
        <v>15950</v>
      </c>
      <c r="F8747" s="43">
        <v>20.22</v>
      </c>
    </row>
    <row r="8748" spans="2:6" x14ac:dyDescent="0.25">
      <c r="B8748" s="13" t="s">
        <v>15951</v>
      </c>
      <c r="C8748" s="17" t="s">
        <v>170</v>
      </c>
      <c r="D8748" s="13" t="s">
        <v>118</v>
      </c>
      <c r="E8748" s="13" t="s">
        <v>15952</v>
      </c>
      <c r="F8748" s="43">
        <v>20.22</v>
      </c>
    </row>
    <row r="8749" spans="2:6" x14ac:dyDescent="0.25">
      <c r="B8749" s="13" t="s">
        <v>15953</v>
      </c>
      <c r="C8749" s="17" t="s">
        <v>170</v>
      </c>
      <c r="D8749" s="13" t="s">
        <v>118</v>
      </c>
      <c r="E8749" s="13" t="s">
        <v>15954</v>
      </c>
      <c r="F8749" s="43">
        <v>29.32</v>
      </c>
    </row>
    <row r="8750" spans="2:6" x14ac:dyDescent="0.25">
      <c r="B8750" s="13" t="s">
        <v>15955</v>
      </c>
      <c r="C8750" s="17" t="s">
        <v>170</v>
      </c>
      <c r="D8750" s="13" t="s">
        <v>118</v>
      </c>
      <c r="E8750" s="13" t="s">
        <v>15956</v>
      </c>
      <c r="F8750" s="43">
        <v>29.32</v>
      </c>
    </row>
    <row r="8751" spans="2:6" x14ac:dyDescent="0.25">
      <c r="B8751" s="13" t="s">
        <v>15957</v>
      </c>
      <c r="C8751" s="17" t="s">
        <v>170</v>
      </c>
      <c r="D8751" s="13" t="s">
        <v>118</v>
      </c>
      <c r="E8751" s="13" t="s">
        <v>15958</v>
      </c>
      <c r="F8751" s="43">
        <v>29.32</v>
      </c>
    </row>
    <row r="8752" spans="2:6" x14ac:dyDescent="0.25">
      <c r="B8752" s="13" t="s">
        <v>15959</v>
      </c>
      <c r="C8752" s="17" t="s">
        <v>170</v>
      </c>
      <c r="D8752" s="13" t="s">
        <v>118</v>
      </c>
      <c r="E8752" s="13" t="s">
        <v>15960</v>
      </c>
      <c r="F8752" s="43">
        <v>29.32</v>
      </c>
    </row>
    <row r="8753" spans="2:6" x14ac:dyDescent="0.25">
      <c r="B8753" s="13" t="s">
        <v>15961</v>
      </c>
      <c r="C8753" s="17" t="s">
        <v>170</v>
      </c>
      <c r="D8753" s="13" t="s">
        <v>118</v>
      </c>
      <c r="E8753" s="13" t="s">
        <v>15962</v>
      </c>
      <c r="F8753" s="43">
        <v>29.32</v>
      </c>
    </row>
    <row r="8754" spans="2:6" x14ac:dyDescent="0.25">
      <c r="B8754" s="13" t="s">
        <v>15963</v>
      </c>
      <c r="C8754" s="17" t="s">
        <v>170</v>
      </c>
      <c r="D8754" s="13" t="s">
        <v>118</v>
      </c>
      <c r="E8754" s="13" t="s">
        <v>15964</v>
      </c>
      <c r="F8754" s="43">
        <v>29.32</v>
      </c>
    </row>
    <row r="8755" spans="2:6" x14ac:dyDescent="0.25">
      <c r="B8755" s="13" t="s">
        <v>15965</v>
      </c>
      <c r="C8755" s="17" t="s">
        <v>170</v>
      </c>
      <c r="D8755" s="13" t="s">
        <v>118</v>
      </c>
      <c r="E8755" s="13" t="s">
        <v>15966</v>
      </c>
      <c r="F8755" s="43">
        <v>29.32</v>
      </c>
    </row>
    <row r="8756" spans="2:6" x14ac:dyDescent="0.25">
      <c r="B8756" s="13" t="s">
        <v>15967</v>
      </c>
      <c r="C8756" s="17" t="s">
        <v>170</v>
      </c>
      <c r="D8756" s="13" t="s">
        <v>118</v>
      </c>
      <c r="E8756" s="13" t="s">
        <v>15968</v>
      </c>
      <c r="F8756" s="43">
        <v>29.32</v>
      </c>
    </row>
    <row r="8757" spans="2:6" x14ac:dyDescent="0.25">
      <c r="B8757" s="13" t="s">
        <v>15969</v>
      </c>
      <c r="C8757" s="17" t="s">
        <v>170</v>
      </c>
      <c r="D8757" s="13" t="s">
        <v>118</v>
      </c>
      <c r="E8757" s="13" t="s">
        <v>15970</v>
      </c>
      <c r="F8757" s="43">
        <v>29.32</v>
      </c>
    </row>
    <row r="8758" spans="2:6" x14ac:dyDescent="0.25">
      <c r="B8758" s="13" t="s">
        <v>15971</v>
      </c>
      <c r="C8758" s="17" t="s">
        <v>170</v>
      </c>
      <c r="D8758" s="13" t="s">
        <v>118</v>
      </c>
      <c r="E8758" s="13" t="s">
        <v>15972</v>
      </c>
      <c r="F8758" s="43">
        <v>29.32</v>
      </c>
    </row>
    <row r="8759" spans="2:6" x14ac:dyDescent="0.25">
      <c r="B8759" s="13" t="s">
        <v>15973</v>
      </c>
      <c r="C8759" s="17" t="s">
        <v>170</v>
      </c>
      <c r="D8759" s="13" t="s">
        <v>118</v>
      </c>
      <c r="E8759" s="13" t="s">
        <v>15974</v>
      </c>
      <c r="F8759" s="43">
        <v>29.32</v>
      </c>
    </row>
    <row r="8760" spans="2:6" x14ac:dyDescent="0.25">
      <c r="B8760" s="13" t="s">
        <v>15975</v>
      </c>
      <c r="C8760" s="17" t="s">
        <v>170</v>
      </c>
      <c r="D8760" s="13" t="s">
        <v>118</v>
      </c>
      <c r="E8760" s="13" t="s">
        <v>15976</v>
      </c>
      <c r="F8760" s="43">
        <v>29.32</v>
      </c>
    </row>
    <row r="8761" spans="2:6" x14ac:dyDescent="0.25">
      <c r="B8761" s="13" t="s">
        <v>15977</v>
      </c>
      <c r="C8761" s="17" t="s">
        <v>170</v>
      </c>
      <c r="D8761" s="13" t="s">
        <v>118</v>
      </c>
      <c r="E8761" s="13" t="s">
        <v>15978</v>
      </c>
      <c r="F8761" s="43">
        <v>29.32</v>
      </c>
    </row>
    <row r="8762" spans="2:6" x14ac:dyDescent="0.25">
      <c r="B8762" s="13" t="s">
        <v>15979</v>
      </c>
      <c r="C8762" s="17" t="s">
        <v>170</v>
      </c>
      <c r="D8762" s="13" t="s">
        <v>118</v>
      </c>
      <c r="E8762" s="13" t="s">
        <v>15980</v>
      </c>
      <c r="F8762" s="43">
        <v>29.32</v>
      </c>
    </row>
    <row r="8763" spans="2:6" x14ac:dyDescent="0.25">
      <c r="B8763" s="13" t="s">
        <v>15981</v>
      </c>
      <c r="C8763" s="17" t="s">
        <v>170</v>
      </c>
      <c r="D8763" s="13" t="s">
        <v>118</v>
      </c>
      <c r="E8763" s="13" t="s">
        <v>15982</v>
      </c>
      <c r="F8763" s="43">
        <v>29.32</v>
      </c>
    </row>
    <row r="8764" spans="2:6" x14ac:dyDescent="0.25">
      <c r="B8764" s="13" t="s">
        <v>15983</v>
      </c>
      <c r="C8764" s="17" t="s">
        <v>170</v>
      </c>
      <c r="D8764" s="13" t="s">
        <v>118</v>
      </c>
      <c r="E8764" s="13" t="s">
        <v>15984</v>
      </c>
      <c r="F8764" s="43">
        <v>29.32</v>
      </c>
    </row>
    <row r="8765" spans="2:6" x14ac:dyDescent="0.25">
      <c r="B8765" s="13" t="s">
        <v>15985</v>
      </c>
      <c r="C8765" s="17" t="s">
        <v>170</v>
      </c>
      <c r="D8765" s="13" t="s">
        <v>118</v>
      </c>
      <c r="E8765" s="13" t="s">
        <v>15986</v>
      </c>
      <c r="F8765" s="43">
        <v>29.32</v>
      </c>
    </row>
    <row r="8766" spans="2:6" x14ac:dyDescent="0.25">
      <c r="B8766" s="13" t="s">
        <v>15987</v>
      </c>
      <c r="C8766" s="17" t="s">
        <v>170</v>
      </c>
      <c r="D8766" s="13" t="s">
        <v>118</v>
      </c>
      <c r="E8766" s="13" t="s">
        <v>15988</v>
      </c>
      <c r="F8766" s="43">
        <v>29.32</v>
      </c>
    </row>
    <row r="8767" spans="2:6" x14ac:dyDescent="0.25">
      <c r="B8767" s="13" t="s">
        <v>15989</v>
      </c>
      <c r="C8767" s="17" t="s">
        <v>170</v>
      </c>
      <c r="D8767" s="13" t="s">
        <v>118</v>
      </c>
      <c r="E8767" s="13" t="s">
        <v>15990</v>
      </c>
      <c r="F8767" s="43">
        <v>29.32</v>
      </c>
    </row>
    <row r="8768" spans="2:6" x14ac:dyDescent="0.25">
      <c r="B8768" s="13" t="s">
        <v>15991</v>
      </c>
      <c r="C8768" s="17" t="s">
        <v>170</v>
      </c>
      <c r="D8768" s="13" t="s">
        <v>118</v>
      </c>
      <c r="E8768" s="13" t="s">
        <v>15992</v>
      </c>
      <c r="F8768" s="43">
        <v>29.32</v>
      </c>
    </row>
    <row r="8769" spans="2:6" x14ac:dyDescent="0.25">
      <c r="B8769" s="13" t="s">
        <v>15993</v>
      </c>
      <c r="C8769" s="17" t="s">
        <v>170</v>
      </c>
      <c r="D8769" s="13" t="s">
        <v>118</v>
      </c>
      <c r="E8769" s="13" t="s">
        <v>15994</v>
      </c>
      <c r="F8769" s="43">
        <v>19.149999999999999</v>
      </c>
    </row>
    <row r="8770" spans="2:6" x14ac:dyDescent="0.25">
      <c r="B8770" s="13" t="s">
        <v>15995</v>
      </c>
      <c r="C8770" s="17" t="s">
        <v>170</v>
      </c>
      <c r="D8770" s="13" t="s">
        <v>118</v>
      </c>
      <c r="E8770" s="13" t="s">
        <v>15996</v>
      </c>
      <c r="F8770" s="43">
        <v>19.149999999999999</v>
      </c>
    </row>
    <row r="8771" spans="2:6" x14ac:dyDescent="0.25">
      <c r="B8771" s="13" t="s">
        <v>15997</v>
      </c>
      <c r="C8771" s="17" t="s">
        <v>170</v>
      </c>
      <c r="D8771" s="13" t="s">
        <v>118</v>
      </c>
      <c r="E8771" s="13" t="s">
        <v>15998</v>
      </c>
      <c r="F8771" s="43">
        <v>19.149999999999999</v>
      </c>
    </row>
    <row r="8772" spans="2:6" x14ac:dyDescent="0.25">
      <c r="B8772" s="13" t="s">
        <v>15999</v>
      </c>
      <c r="C8772" s="17" t="s">
        <v>170</v>
      </c>
      <c r="D8772" s="13" t="s">
        <v>118</v>
      </c>
      <c r="E8772" s="13" t="s">
        <v>16000</v>
      </c>
      <c r="F8772" s="43">
        <v>19.149999999999999</v>
      </c>
    </row>
    <row r="8773" spans="2:6" x14ac:dyDescent="0.25">
      <c r="B8773" s="13" t="s">
        <v>16001</v>
      </c>
      <c r="C8773" s="17" t="s">
        <v>170</v>
      </c>
      <c r="D8773" s="13" t="s">
        <v>118</v>
      </c>
      <c r="E8773" s="13" t="s">
        <v>16002</v>
      </c>
      <c r="F8773" s="43">
        <v>19.149999999999999</v>
      </c>
    </row>
    <row r="8774" spans="2:6" x14ac:dyDescent="0.25">
      <c r="B8774" s="13" t="s">
        <v>16003</v>
      </c>
      <c r="C8774" s="17" t="s">
        <v>170</v>
      </c>
      <c r="D8774" s="13" t="s">
        <v>118</v>
      </c>
      <c r="E8774" s="13" t="s">
        <v>16004</v>
      </c>
      <c r="F8774" s="43">
        <v>19.149999999999999</v>
      </c>
    </row>
    <row r="8775" spans="2:6" x14ac:dyDescent="0.25">
      <c r="B8775" s="13" t="s">
        <v>16005</v>
      </c>
      <c r="C8775" s="17" t="s">
        <v>170</v>
      </c>
      <c r="D8775" s="13" t="s">
        <v>118</v>
      </c>
      <c r="E8775" s="13" t="s">
        <v>16006</v>
      </c>
      <c r="F8775" s="43">
        <v>19.149999999999999</v>
      </c>
    </row>
    <row r="8776" spans="2:6" x14ac:dyDescent="0.25">
      <c r="B8776" s="13" t="s">
        <v>16007</v>
      </c>
      <c r="C8776" s="17" t="s">
        <v>170</v>
      </c>
      <c r="D8776" s="13" t="s">
        <v>118</v>
      </c>
      <c r="E8776" s="13" t="s">
        <v>16008</v>
      </c>
      <c r="F8776" s="43">
        <v>19.149999999999999</v>
      </c>
    </row>
    <row r="8777" spans="2:6" x14ac:dyDescent="0.25">
      <c r="B8777" s="13" t="s">
        <v>16009</v>
      </c>
      <c r="C8777" s="17" t="s">
        <v>170</v>
      </c>
      <c r="D8777" s="13" t="s">
        <v>118</v>
      </c>
      <c r="E8777" s="13" t="s">
        <v>16010</v>
      </c>
      <c r="F8777" s="43">
        <v>19.149999999999999</v>
      </c>
    </row>
    <row r="8778" spans="2:6" x14ac:dyDescent="0.25">
      <c r="B8778" s="13" t="s">
        <v>16011</v>
      </c>
      <c r="C8778" s="17" t="s">
        <v>170</v>
      </c>
      <c r="D8778" s="13" t="s">
        <v>118</v>
      </c>
      <c r="E8778" s="13" t="s">
        <v>16012</v>
      </c>
      <c r="F8778" s="43">
        <v>19.149999999999999</v>
      </c>
    </row>
    <row r="8779" spans="2:6" x14ac:dyDescent="0.25">
      <c r="B8779" s="13" t="s">
        <v>16013</v>
      </c>
      <c r="C8779" s="17" t="s">
        <v>170</v>
      </c>
      <c r="D8779" s="13" t="s">
        <v>118</v>
      </c>
      <c r="E8779" s="13" t="s">
        <v>16014</v>
      </c>
      <c r="F8779" s="43">
        <v>21.28</v>
      </c>
    </row>
    <row r="8780" spans="2:6" x14ac:dyDescent="0.25">
      <c r="B8780" s="13" t="s">
        <v>16015</v>
      </c>
      <c r="C8780" s="17" t="s">
        <v>170</v>
      </c>
      <c r="D8780" s="13" t="s">
        <v>118</v>
      </c>
      <c r="E8780" s="13" t="s">
        <v>16016</v>
      </c>
      <c r="F8780" s="43">
        <v>21.28</v>
      </c>
    </row>
    <row r="8781" spans="2:6" x14ac:dyDescent="0.25">
      <c r="B8781" s="13" t="s">
        <v>16017</v>
      </c>
      <c r="C8781" s="17" t="s">
        <v>170</v>
      </c>
      <c r="D8781" s="13" t="s">
        <v>118</v>
      </c>
      <c r="E8781" s="13" t="s">
        <v>16018</v>
      </c>
      <c r="F8781" s="43">
        <v>21.28</v>
      </c>
    </row>
    <row r="8782" spans="2:6" x14ac:dyDescent="0.25">
      <c r="B8782" s="13" t="s">
        <v>16019</v>
      </c>
      <c r="C8782" s="17" t="s">
        <v>170</v>
      </c>
      <c r="D8782" s="13" t="s">
        <v>118</v>
      </c>
      <c r="E8782" s="13" t="s">
        <v>16020</v>
      </c>
      <c r="F8782" s="43">
        <v>21.28</v>
      </c>
    </row>
    <row r="8783" spans="2:6" x14ac:dyDescent="0.25">
      <c r="B8783" s="13" t="s">
        <v>16021</v>
      </c>
      <c r="C8783" s="17" t="s">
        <v>170</v>
      </c>
      <c r="D8783" s="13" t="s">
        <v>118</v>
      </c>
      <c r="E8783" s="13" t="s">
        <v>16022</v>
      </c>
      <c r="F8783" s="43">
        <v>21.28</v>
      </c>
    </row>
    <row r="8784" spans="2:6" x14ac:dyDescent="0.25">
      <c r="B8784" s="13" t="s">
        <v>16023</v>
      </c>
      <c r="C8784" s="17" t="s">
        <v>170</v>
      </c>
      <c r="D8784" s="13" t="s">
        <v>118</v>
      </c>
      <c r="E8784" s="13" t="s">
        <v>16024</v>
      </c>
      <c r="F8784" s="43">
        <v>21.28</v>
      </c>
    </row>
    <row r="8785" spans="2:6" x14ac:dyDescent="0.25">
      <c r="B8785" s="13" t="s">
        <v>16025</v>
      </c>
      <c r="C8785" s="17" t="s">
        <v>170</v>
      </c>
      <c r="D8785" s="13" t="s">
        <v>118</v>
      </c>
      <c r="E8785" s="13" t="s">
        <v>16026</v>
      </c>
      <c r="F8785" s="43">
        <v>21.28</v>
      </c>
    </row>
    <row r="8786" spans="2:6" x14ac:dyDescent="0.25">
      <c r="B8786" s="13" t="s">
        <v>16027</v>
      </c>
      <c r="C8786" s="17" t="s">
        <v>170</v>
      </c>
      <c r="D8786" s="13" t="s">
        <v>118</v>
      </c>
      <c r="E8786" s="13" t="s">
        <v>16028</v>
      </c>
      <c r="F8786" s="43">
        <v>21.28</v>
      </c>
    </row>
    <row r="8787" spans="2:6" x14ac:dyDescent="0.25">
      <c r="B8787" s="13" t="s">
        <v>16029</v>
      </c>
      <c r="C8787" s="17" t="s">
        <v>170</v>
      </c>
      <c r="D8787" s="13" t="s">
        <v>118</v>
      </c>
      <c r="E8787" s="13" t="s">
        <v>16030</v>
      </c>
      <c r="F8787" s="43">
        <v>21.28</v>
      </c>
    </row>
    <row r="8788" spans="2:6" x14ac:dyDescent="0.25">
      <c r="B8788" s="13" t="s">
        <v>16031</v>
      </c>
      <c r="C8788" s="17" t="s">
        <v>170</v>
      </c>
      <c r="D8788" s="13" t="s">
        <v>118</v>
      </c>
      <c r="E8788" s="13" t="s">
        <v>16032</v>
      </c>
      <c r="F8788" s="43">
        <v>21.28</v>
      </c>
    </row>
    <row r="8789" spans="2:6" x14ac:dyDescent="0.25">
      <c r="B8789" s="13" t="s">
        <v>16033</v>
      </c>
      <c r="C8789" s="17" t="s">
        <v>170</v>
      </c>
      <c r="D8789" s="13" t="s">
        <v>118</v>
      </c>
      <c r="E8789" s="13" t="s">
        <v>16034</v>
      </c>
      <c r="F8789" s="43">
        <v>21.28</v>
      </c>
    </row>
    <row r="8790" spans="2:6" x14ac:dyDescent="0.25">
      <c r="B8790" s="13" t="s">
        <v>16035</v>
      </c>
      <c r="C8790" s="17" t="s">
        <v>170</v>
      </c>
      <c r="D8790" s="13" t="s">
        <v>118</v>
      </c>
      <c r="E8790" s="13" t="s">
        <v>16036</v>
      </c>
      <c r="F8790" s="43">
        <v>21.28</v>
      </c>
    </row>
    <row r="8791" spans="2:6" x14ac:dyDescent="0.25">
      <c r="B8791" s="13" t="s">
        <v>16037</v>
      </c>
      <c r="C8791" s="17" t="s">
        <v>170</v>
      </c>
      <c r="D8791" s="13" t="s">
        <v>118</v>
      </c>
      <c r="E8791" s="13" t="s">
        <v>16038</v>
      </c>
      <c r="F8791" s="43">
        <v>21.28</v>
      </c>
    </row>
    <row r="8792" spans="2:6" x14ac:dyDescent="0.25">
      <c r="B8792" s="13" t="s">
        <v>16039</v>
      </c>
      <c r="C8792" s="17" t="s">
        <v>170</v>
      </c>
      <c r="D8792" s="13" t="s">
        <v>118</v>
      </c>
      <c r="E8792" s="13" t="s">
        <v>16040</v>
      </c>
      <c r="F8792" s="43">
        <v>21.28</v>
      </c>
    </row>
    <row r="8793" spans="2:6" x14ac:dyDescent="0.25">
      <c r="B8793" s="13" t="s">
        <v>16041</v>
      </c>
      <c r="C8793" s="17" t="s">
        <v>170</v>
      </c>
      <c r="D8793" s="13" t="s">
        <v>118</v>
      </c>
      <c r="E8793" s="13" t="s">
        <v>16042</v>
      </c>
      <c r="F8793" s="43">
        <v>21.28</v>
      </c>
    </row>
    <row r="8794" spans="2:6" x14ac:dyDescent="0.25">
      <c r="B8794" s="13" t="s">
        <v>16043</v>
      </c>
      <c r="C8794" s="17" t="s">
        <v>170</v>
      </c>
      <c r="D8794" s="13" t="s">
        <v>118</v>
      </c>
      <c r="E8794" s="13" t="s">
        <v>16044</v>
      </c>
      <c r="F8794" s="43">
        <v>21.28</v>
      </c>
    </row>
    <row r="8795" spans="2:6" x14ac:dyDescent="0.25">
      <c r="B8795" s="13" t="s">
        <v>16045</v>
      </c>
      <c r="C8795" s="17" t="s">
        <v>170</v>
      </c>
      <c r="D8795" s="13" t="s">
        <v>118</v>
      </c>
      <c r="E8795" s="13" t="s">
        <v>16046</v>
      </c>
      <c r="F8795" s="43">
        <v>21.28</v>
      </c>
    </row>
    <row r="8796" spans="2:6" x14ac:dyDescent="0.25">
      <c r="B8796" s="13" t="s">
        <v>16047</v>
      </c>
      <c r="C8796" s="17" t="s">
        <v>170</v>
      </c>
      <c r="D8796" s="13" t="s">
        <v>118</v>
      </c>
      <c r="E8796" s="13" t="s">
        <v>16048</v>
      </c>
      <c r="F8796" s="43">
        <v>21.28</v>
      </c>
    </row>
    <row r="8797" spans="2:6" x14ac:dyDescent="0.25">
      <c r="B8797" s="13" t="s">
        <v>16049</v>
      </c>
      <c r="C8797" s="17" t="s">
        <v>170</v>
      </c>
      <c r="D8797" s="13" t="s">
        <v>118</v>
      </c>
      <c r="E8797" s="13" t="s">
        <v>16050</v>
      </c>
      <c r="F8797" s="43">
        <v>21.28</v>
      </c>
    </row>
    <row r="8798" spans="2:6" x14ac:dyDescent="0.25">
      <c r="B8798" s="13" t="s">
        <v>16051</v>
      </c>
      <c r="C8798" s="17" t="s">
        <v>170</v>
      </c>
      <c r="D8798" s="13" t="s">
        <v>118</v>
      </c>
      <c r="E8798" s="13" t="s">
        <v>16052</v>
      </c>
      <c r="F8798" s="43">
        <v>21.28</v>
      </c>
    </row>
    <row r="8799" spans="2:6" x14ac:dyDescent="0.25">
      <c r="B8799" s="13" t="s">
        <v>16053</v>
      </c>
      <c r="C8799" s="17" t="s">
        <v>170</v>
      </c>
      <c r="D8799" s="13" t="s">
        <v>118</v>
      </c>
      <c r="E8799" s="13" t="s">
        <v>16054</v>
      </c>
      <c r="F8799" s="43">
        <v>22.93</v>
      </c>
    </row>
    <row r="8800" spans="2:6" x14ac:dyDescent="0.25">
      <c r="B8800" s="13" t="s">
        <v>16055</v>
      </c>
      <c r="C8800" s="17" t="s">
        <v>170</v>
      </c>
      <c r="D8800" s="13" t="s">
        <v>118</v>
      </c>
      <c r="E8800" s="13" t="s">
        <v>16056</v>
      </c>
      <c r="F8800" s="43">
        <v>22.93</v>
      </c>
    </row>
    <row r="8801" spans="2:6" x14ac:dyDescent="0.25">
      <c r="B8801" s="13" t="s">
        <v>16057</v>
      </c>
      <c r="C8801" s="17" t="s">
        <v>170</v>
      </c>
      <c r="D8801" s="13" t="s">
        <v>118</v>
      </c>
      <c r="E8801" s="13" t="s">
        <v>16058</v>
      </c>
      <c r="F8801" s="43">
        <v>22.93</v>
      </c>
    </row>
    <row r="8802" spans="2:6" x14ac:dyDescent="0.25">
      <c r="B8802" s="13" t="s">
        <v>16059</v>
      </c>
      <c r="C8802" s="17" t="s">
        <v>170</v>
      </c>
      <c r="D8802" s="13" t="s">
        <v>118</v>
      </c>
      <c r="E8802" s="13" t="s">
        <v>16060</v>
      </c>
      <c r="F8802" s="43">
        <v>22.93</v>
      </c>
    </row>
    <row r="8803" spans="2:6" x14ac:dyDescent="0.25">
      <c r="B8803" s="13" t="s">
        <v>16061</v>
      </c>
      <c r="C8803" s="17" t="s">
        <v>170</v>
      </c>
      <c r="D8803" s="13" t="s">
        <v>118</v>
      </c>
      <c r="E8803" s="13" t="s">
        <v>16062</v>
      </c>
      <c r="F8803" s="43">
        <v>22.93</v>
      </c>
    </row>
    <row r="8804" spans="2:6" x14ac:dyDescent="0.25">
      <c r="B8804" s="13" t="s">
        <v>16063</v>
      </c>
      <c r="C8804" s="17" t="s">
        <v>170</v>
      </c>
      <c r="D8804" s="13" t="s">
        <v>118</v>
      </c>
      <c r="E8804" s="13" t="s">
        <v>16064</v>
      </c>
      <c r="F8804" s="43">
        <v>22.93</v>
      </c>
    </row>
    <row r="8805" spans="2:6" x14ac:dyDescent="0.25">
      <c r="B8805" s="13" t="s">
        <v>16065</v>
      </c>
      <c r="C8805" s="17" t="s">
        <v>170</v>
      </c>
      <c r="D8805" s="13" t="s">
        <v>118</v>
      </c>
      <c r="E8805" s="13" t="s">
        <v>16066</v>
      </c>
      <c r="F8805" s="43">
        <v>22.93</v>
      </c>
    </row>
    <row r="8806" spans="2:6" x14ac:dyDescent="0.25">
      <c r="B8806" s="13" t="s">
        <v>16067</v>
      </c>
      <c r="C8806" s="17" t="s">
        <v>170</v>
      </c>
      <c r="D8806" s="13" t="s">
        <v>118</v>
      </c>
      <c r="E8806" s="13" t="s">
        <v>16068</v>
      </c>
      <c r="F8806" s="43">
        <v>22.93</v>
      </c>
    </row>
    <row r="8807" spans="2:6" x14ac:dyDescent="0.25">
      <c r="B8807" s="13" t="s">
        <v>16069</v>
      </c>
      <c r="C8807" s="17" t="s">
        <v>170</v>
      </c>
      <c r="D8807" s="13" t="s">
        <v>118</v>
      </c>
      <c r="E8807" s="13" t="s">
        <v>16070</v>
      </c>
      <c r="F8807" s="43">
        <v>22.93</v>
      </c>
    </row>
    <row r="8808" spans="2:6" x14ac:dyDescent="0.25">
      <c r="B8808" s="13" t="s">
        <v>16071</v>
      </c>
      <c r="C8808" s="17" t="s">
        <v>170</v>
      </c>
      <c r="D8808" s="13" t="s">
        <v>118</v>
      </c>
      <c r="E8808" s="13" t="s">
        <v>16072</v>
      </c>
      <c r="F8808" s="43">
        <v>22.93</v>
      </c>
    </row>
    <row r="8809" spans="2:6" x14ac:dyDescent="0.25">
      <c r="B8809" s="13" t="s">
        <v>16073</v>
      </c>
      <c r="C8809" s="17" t="s">
        <v>170</v>
      </c>
      <c r="D8809" s="13" t="s">
        <v>118</v>
      </c>
      <c r="E8809" s="13" t="s">
        <v>16074</v>
      </c>
      <c r="F8809" s="43">
        <v>31.21</v>
      </c>
    </row>
    <row r="8810" spans="2:6" x14ac:dyDescent="0.25">
      <c r="B8810" s="13" t="s">
        <v>16075</v>
      </c>
      <c r="C8810" s="17" t="s">
        <v>170</v>
      </c>
      <c r="D8810" s="13" t="s">
        <v>118</v>
      </c>
      <c r="E8810" s="13" t="s">
        <v>16076</v>
      </c>
      <c r="F8810" s="43">
        <v>31.21</v>
      </c>
    </row>
    <row r="8811" spans="2:6" x14ac:dyDescent="0.25">
      <c r="B8811" s="13" t="s">
        <v>16077</v>
      </c>
      <c r="C8811" s="17" t="s">
        <v>170</v>
      </c>
      <c r="D8811" s="13" t="s">
        <v>118</v>
      </c>
      <c r="E8811" s="13" t="s">
        <v>16078</v>
      </c>
      <c r="F8811" s="43">
        <v>31.21</v>
      </c>
    </row>
    <row r="8812" spans="2:6" x14ac:dyDescent="0.25">
      <c r="B8812" s="13" t="s">
        <v>16079</v>
      </c>
      <c r="C8812" s="17" t="s">
        <v>170</v>
      </c>
      <c r="D8812" s="13" t="s">
        <v>118</v>
      </c>
      <c r="E8812" s="13" t="s">
        <v>16080</v>
      </c>
      <c r="F8812" s="43">
        <v>31.21</v>
      </c>
    </row>
    <row r="8813" spans="2:6" x14ac:dyDescent="0.25">
      <c r="B8813" s="13" t="s">
        <v>16081</v>
      </c>
      <c r="C8813" s="17" t="s">
        <v>170</v>
      </c>
      <c r="D8813" s="13" t="s">
        <v>118</v>
      </c>
      <c r="E8813" s="13" t="s">
        <v>16082</v>
      </c>
      <c r="F8813" s="43">
        <v>31.21</v>
      </c>
    </row>
    <row r="8814" spans="2:6" x14ac:dyDescent="0.25">
      <c r="B8814" s="13" t="s">
        <v>16083</v>
      </c>
      <c r="C8814" s="17" t="s">
        <v>170</v>
      </c>
      <c r="D8814" s="13" t="s">
        <v>118</v>
      </c>
      <c r="E8814" s="13" t="s">
        <v>16084</v>
      </c>
      <c r="F8814" s="43">
        <v>31.21</v>
      </c>
    </row>
    <row r="8815" spans="2:6" x14ac:dyDescent="0.25">
      <c r="B8815" s="13" t="s">
        <v>16085</v>
      </c>
      <c r="C8815" s="17" t="s">
        <v>170</v>
      </c>
      <c r="D8815" s="13" t="s">
        <v>118</v>
      </c>
      <c r="E8815" s="13" t="s">
        <v>16086</v>
      </c>
      <c r="F8815" s="43">
        <v>31.21</v>
      </c>
    </row>
    <row r="8816" spans="2:6" x14ac:dyDescent="0.25">
      <c r="B8816" s="13" t="s">
        <v>16087</v>
      </c>
      <c r="C8816" s="17" t="s">
        <v>170</v>
      </c>
      <c r="D8816" s="13" t="s">
        <v>118</v>
      </c>
      <c r="E8816" s="13" t="s">
        <v>16088</v>
      </c>
      <c r="F8816" s="43">
        <v>31.21</v>
      </c>
    </row>
    <row r="8817" spans="2:6" x14ac:dyDescent="0.25">
      <c r="B8817" s="13" t="s">
        <v>16089</v>
      </c>
      <c r="C8817" s="17" t="s">
        <v>170</v>
      </c>
      <c r="D8817" s="13" t="s">
        <v>118</v>
      </c>
      <c r="E8817" s="13" t="s">
        <v>16090</v>
      </c>
      <c r="F8817" s="43">
        <v>31.21</v>
      </c>
    </row>
    <row r="8818" spans="2:6" x14ac:dyDescent="0.25">
      <c r="B8818" s="13" t="s">
        <v>16091</v>
      </c>
      <c r="C8818" s="17" t="s">
        <v>170</v>
      </c>
      <c r="D8818" s="13" t="s">
        <v>118</v>
      </c>
      <c r="E8818" s="13" t="s">
        <v>16092</v>
      </c>
      <c r="F8818" s="43">
        <v>31.21</v>
      </c>
    </row>
    <row r="8819" spans="2:6" x14ac:dyDescent="0.25">
      <c r="B8819" s="13" t="s">
        <v>16093</v>
      </c>
      <c r="C8819" s="17" t="s">
        <v>170</v>
      </c>
      <c r="D8819" s="13" t="s">
        <v>118</v>
      </c>
      <c r="E8819" s="13" t="s">
        <v>16094</v>
      </c>
      <c r="F8819" s="43">
        <v>49.35</v>
      </c>
    </row>
    <row r="8820" spans="2:6" x14ac:dyDescent="0.25">
      <c r="B8820" s="13" t="s">
        <v>16095</v>
      </c>
      <c r="C8820" s="17" t="s">
        <v>170</v>
      </c>
      <c r="D8820" s="13" t="s">
        <v>118</v>
      </c>
      <c r="E8820" s="13" t="s">
        <v>16096</v>
      </c>
      <c r="F8820" s="43">
        <v>49.35</v>
      </c>
    </row>
    <row r="8821" spans="2:6" x14ac:dyDescent="0.25">
      <c r="B8821" s="13" t="s">
        <v>16097</v>
      </c>
      <c r="C8821" s="17" t="s">
        <v>170</v>
      </c>
      <c r="D8821" s="13" t="s">
        <v>118</v>
      </c>
      <c r="E8821" s="13" t="s">
        <v>16098</v>
      </c>
      <c r="F8821" s="43">
        <v>49.35</v>
      </c>
    </row>
    <row r="8822" spans="2:6" x14ac:dyDescent="0.25">
      <c r="B8822" s="13" t="s">
        <v>16099</v>
      </c>
      <c r="C8822" s="17" t="s">
        <v>170</v>
      </c>
      <c r="D8822" s="13" t="s">
        <v>118</v>
      </c>
      <c r="E8822" s="13" t="s">
        <v>16100</v>
      </c>
      <c r="F8822" s="43">
        <v>49.35</v>
      </c>
    </row>
    <row r="8823" spans="2:6" x14ac:dyDescent="0.25">
      <c r="B8823" s="13" t="s">
        <v>16101</v>
      </c>
      <c r="C8823" s="17" t="s">
        <v>170</v>
      </c>
      <c r="D8823" s="13" t="s">
        <v>118</v>
      </c>
      <c r="E8823" s="13" t="s">
        <v>16102</v>
      </c>
      <c r="F8823" s="43">
        <v>49.35</v>
      </c>
    </row>
    <row r="8824" spans="2:6" x14ac:dyDescent="0.25">
      <c r="B8824" s="13" t="s">
        <v>16103</v>
      </c>
      <c r="C8824" s="17" t="s">
        <v>170</v>
      </c>
      <c r="D8824" s="13" t="s">
        <v>118</v>
      </c>
      <c r="E8824" s="13" t="s">
        <v>16104</v>
      </c>
      <c r="F8824" s="43">
        <v>49.35</v>
      </c>
    </row>
    <row r="8825" spans="2:6" x14ac:dyDescent="0.25">
      <c r="B8825" s="13" t="s">
        <v>16105</v>
      </c>
      <c r="C8825" s="17" t="s">
        <v>170</v>
      </c>
      <c r="D8825" s="13" t="s">
        <v>118</v>
      </c>
      <c r="E8825" s="13" t="s">
        <v>16106</v>
      </c>
      <c r="F8825" s="43">
        <v>49.35</v>
      </c>
    </row>
    <row r="8826" spans="2:6" x14ac:dyDescent="0.25">
      <c r="B8826" s="13" t="s">
        <v>16107</v>
      </c>
      <c r="C8826" s="17" t="s">
        <v>170</v>
      </c>
      <c r="D8826" s="13" t="s">
        <v>118</v>
      </c>
      <c r="E8826" s="13" t="s">
        <v>16108</v>
      </c>
      <c r="F8826" s="43">
        <v>49.35</v>
      </c>
    </row>
    <row r="8827" spans="2:6" x14ac:dyDescent="0.25">
      <c r="B8827" s="13" t="s">
        <v>16109</v>
      </c>
      <c r="C8827" s="17" t="s">
        <v>170</v>
      </c>
      <c r="D8827" s="13" t="s">
        <v>118</v>
      </c>
      <c r="E8827" s="13" t="s">
        <v>16110</v>
      </c>
      <c r="F8827" s="43">
        <v>49.35</v>
      </c>
    </row>
    <row r="8828" spans="2:6" x14ac:dyDescent="0.25">
      <c r="B8828" s="13" t="s">
        <v>16111</v>
      </c>
      <c r="C8828" s="17" t="s">
        <v>170</v>
      </c>
      <c r="D8828" s="13" t="s">
        <v>118</v>
      </c>
      <c r="E8828" s="13" t="s">
        <v>16112</v>
      </c>
      <c r="F8828" s="43">
        <v>49.35</v>
      </c>
    </row>
    <row r="8829" spans="2:6" x14ac:dyDescent="0.25">
      <c r="B8829" s="13" t="s">
        <v>16113</v>
      </c>
      <c r="C8829" s="17" t="s">
        <v>170</v>
      </c>
      <c r="D8829" s="13" t="s">
        <v>118</v>
      </c>
      <c r="E8829" s="13" t="s">
        <v>16114</v>
      </c>
      <c r="F8829" s="43">
        <v>49.35</v>
      </c>
    </row>
    <row r="8830" spans="2:6" x14ac:dyDescent="0.25">
      <c r="B8830" s="13" t="s">
        <v>16115</v>
      </c>
      <c r="C8830" s="17" t="s">
        <v>170</v>
      </c>
      <c r="D8830" s="13" t="s">
        <v>118</v>
      </c>
      <c r="E8830" s="13" t="s">
        <v>16116</v>
      </c>
      <c r="F8830" s="43">
        <v>49.35</v>
      </c>
    </row>
    <row r="8831" spans="2:6" x14ac:dyDescent="0.25">
      <c r="B8831" s="13" t="s">
        <v>16117</v>
      </c>
      <c r="C8831" s="17" t="s">
        <v>170</v>
      </c>
      <c r="D8831" s="13" t="s">
        <v>118</v>
      </c>
      <c r="E8831" s="13" t="s">
        <v>16118</v>
      </c>
      <c r="F8831" s="43">
        <v>49.35</v>
      </c>
    </row>
    <row r="8832" spans="2:6" x14ac:dyDescent="0.25">
      <c r="B8832" s="13" t="s">
        <v>16119</v>
      </c>
      <c r="C8832" s="17" t="s">
        <v>170</v>
      </c>
      <c r="D8832" s="13" t="s">
        <v>118</v>
      </c>
      <c r="E8832" s="13" t="s">
        <v>16120</v>
      </c>
      <c r="F8832" s="43">
        <v>49.35</v>
      </c>
    </row>
    <row r="8833" spans="2:6" x14ac:dyDescent="0.25">
      <c r="B8833" s="13" t="s">
        <v>16121</v>
      </c>
      <c r="C8833" s="17" t="s">
        <v>170</v>
      </c>
      <c r="D8833" s="13" t="s">
        <v>118</v>
      </c>
      <c r="E8833" s="13" t="s">
        <v>16122</v>
      </c>
      <c r="F8833" s="43">
        <v>49.35</v>
      </c>
    </row>
    <row r="8834" spans="2:6" x14ac:dyDescent="0.25">
      <c r="B8834" s="13" t="s">
        <v>16123</v>
      </c>
      <c r="C8834" s="17" t="s">
        <v>170</v>
      </c>
      <c r="D8834" s="13" t="s">
        <v>118</v>
      </c>
      <c r="E8834" s="13" t="s">
        <v>16124</v>
      </c>
      <c r="F8834" s="43">
        <v>49.35</v>
      </c>
    </row>
    <row r="8835" spans="2:6" x14ac:dyDescent="0.25">
      <c r="B8835" s="13" t="s">
        <v>16125</v>
      </c>
      <c r="C8835" s="17" t="s">
        <v>170</v>
      </c>
      <c r="D8835" s="13" t="s">
        <v>118</v>
      </c>
      <c r="E8835" s="13" t="s">
        <v>16126</v>
      </c>
      <c r="F8835" s="43">
        <v>49.35</v>
      </c>
    </row>
    <row r="8836" spans="2:6" x14ac:dyDescent="0.25">
      <c r="B8836" s="13" t="s">
        <v>16127</v>
      </c>
      <c r="C8836" s="17" t="s">
        <v>170</v>
      </c>
      <c r="D8836" s="13" t="s">
        <v>118</v>
      </c>
      <c r="E8836" s="13" t="s">
        <v>16128</v>
      </c>
      <c r="F8836" s="43">
        <v>49.35</v>
      </c>
    </row>
    <row r="8837" spans="2:6" x14ac:dyDescent="0.25">
      <c r="B8837" s="13" t="s">
        <v>16129</v>
      </c>
      <c r="C8837" s="17" t="s">
        <v>170</v>
      </c>
      <c r="D8837" s="13" t="s">
        <v>118</v>
      </c>
      <c r="E8837" s="13" t="s">
        <v>16130</v>
      </c>
      <c r="F8837" s="43">
        <v>49.35</v>
      </c>
    </row>
    <row r="8838" spans="2:6" x14ac:dyDescent="0.25">
      <c r="B8838" s="13" t="s">
        <v>16131</v>
      </c>
      <c r="C8838" s="17" t="s">
        <v>170</v>
      </c>
      <c r="D8838" s="13" t="s">
        <v>118</v>
      </c>
      <c r="E8838" s="13" t="s">
        <v>16132</v>
      </c>
      <c r="F8838" s="43">
        <v>57.84</v>
      </c>
    </row>
    <row r="8839" spans="2:6" x14ac:dyDescent="0.25">
      <c r="B8839" s="13" t="s">
        <v>16133</v>
      </c>
      <c r="C8839" s="17" t="s">
        <v>170</v>
      </c>
      <c r="D8839" s="13" t="s">
        <v>118</v>
      </c>
      <c r="E8839" s="13" t="s">
        <v>16134</v>
      </c>
      <c r="F8839" s="43">
        <v>57.84</v>
      </c>
    </row>
    <row r="8840" spans="2:6" x14ac:dyDescent="0.25">
      <c r="B8840" s="13" t="s">
        <v>16135</v>
      </c>
      <c r="C8840" s="17" t="s">
        <v>170</v>
      </c>
      <c r="D8840" s="13" t="s">
        <v>118</v>
      </c>
      <c r="E8840" s="13" t="s">
        <v>16136</v>
      </c>
      <c r="F8840" s="43">
        <v>57.84</v>
      </c>
    </row>
    <row r="8841" spans="2:6" x14ac:dyDescent="0.25">
      <c r="B8841" s="13" t="s">
        <v>16137</v>
      </c>
      <c r="C8841" s="17" t="s">
        <v>170</v>
      </c>
      <c r="D8841" s="13" t="s">
        <v>118</v>
      </c>
      <c r="E8841" s="13" t="s">
        <v>16138</v>
      </c>
      <c r="F8841" s="43">
        <v>57.84</v>
      </c>
    </row>
    <row r="8842" spans="2:6" x14ac:dyDescent="0.25">
      <c r="B8842" s="13" t="s">
        <v>16139</v>
      </c>
      <c r="C8842" s="17" t="s">
        <v>170</v>
      </c>
      <c r="D8842" s="13" t="s">
        <v>118</v>
      </c>
      <c r="E8842" s="13" t="s">
        <v>16140</v>
      </c>
      <c r="F8842" s="43">
        <v>57.84</v>
      </c>
    </row>
    <row r="8843" spans="2:6" x14ac:dyDescent="0.25">
      <c r="B8843" s="13" t="s">
        <v>16141</v>
      </c>
      <c r="C8843" s="17" t="s">
        <v>170</v>
      </c>
      <c r="D8843" s="13" t="s">
        <v>118</v>
      </c>
      <c r="E8843" s="13" t="s">
        <v>16142</v>
      </c>
      <c r="F8843" s="43">
        <v>57.84</v>
      </c>
    </row>
    <row r="8844" spans="2:6" x14ac:dyDescent="0.25">
      <c r="B8844" s="13" t="s">
        <v>16143</v>
      </c>
      <c r="C8844" s="17" t="s">
        <v>170</v>
      </c>
      <c r="D8844" s="13" t="s">
        <v>118</v>
      </c>
      <c r="E8844" s="13" t="s">
        <v>16144</v>
      </c>
      <c r="F8844" s="43">
        <v>57.84</v>
      </c>
    </row>
    <row r="8845" spans="2:6" x14ac:dyDescent="0.25">
      <c r="B8845" s="13" t="s">
        <v>16145</v>
      </c>
      <c r="C8845" s="17" t="s">
        <v>170</v>
      </c>
      <c r="D8845" s="13" t="s">
        <v>118</v>
      </c>
      <c r="E8845" s="13" t="s">
        <v>16146</v>
      </c>
      <c r="F8845" s="43">
        <v>57.84</v>
      </c>
    </row>
    <row r="8846" spans="2:6" x14ac:dyDescent="0.25">
      <c r="B8846" s="13" t="s">
        <v>16147</v>
      </c>
      <c r="C8846" s="17" t="s">
        <v>170</v>
      </c>
      <c r="D8846" s="13" t="s">
        <v>118</v>
      </c>
      <c r="E8846" s="13" t="s">
        <v>16148</v>
      </c>
      <c r="F8846" s="43">
        <v>57.84</v>
      </c>
    </row>
    <row r="8847" spans="2:6" x14ac:dyDescent="0.25">
      <c r="B8847" s="13" t="s">
        <v>16149</v>
      </c>
      <c r="C8847" s="17" t="s">
        <v>170</v>
      </c>
      <c r="D8847" s="13" t="s">
        <v>118</v>
      </c>
      <c r="E8847" s="13" t="s">
        <v>16150</v>
      </c>
      <c r="F8847" s="43">
        <v>57.84</v>
      </c>
    </row>
    <row r="8848" spans="2:6" x14ac:dyDescent="0.25">
      <c r="B8848" s="13" t="s">
        <v>16151</v>
      </c>
      <c r="C8848" s="17" t="s">
        <v>170</v>
      </c>
      <c r="D8848" s="13" t="s">
        <v>118</v>
      </c>
      <c r="E8848" s="13" t="s">
        <v>16152</v>
      </c>
      <c r="F8848" s="43">
        <v>57.84</v>
      </c>
    </row>
    <row r="8849" spans="2:6" x14ac:dyDescent="0.25">
      <c r="B8849" s="13" t="s">
        <v>16153</v>
      </c>
      <c r="C8849" s="17" t="s">
        <v>170</v>
      </c>
      <c r="D8849" s="13" t="s">
        <v>118</v>
      </c>
      <c r="E8849" s="13" t="s">
        <v>16154</v>
      </c>
      <c r="F8849" s="43">
        <v>57.84</v>
      </c>
    </row>
    <row r="8850" spans="2:6" x14ac:dyDescent="0.25">
      <c r="B8850" s="13" t="s">
        <v>16155</v>
      </c>
      <c r="C8850" s="17" t="s">
        <v>170</v>
      </c>
      <c r="D8850" s="13" t="s">
        <v>118</v>
      </c>
      <c r="E8850" s="13" t="s">
        <v>16156</v>
      </c>
      <c r="F8850" s="43">
        <v>57.84</v>
      </c>
    </row>
    <row r="8851" spans="2:6" x14ac:dyDescent="0.25">
      <c r="B8851" s="13" t="s">
        <v>16157</v>
      </c>
      <c r="C8851" s="17" t="s">
        <v>170</v>
      </c>
      <c r="D8851" s="13" t="s">
        <v>118</v>
      </c>
      <c r="E8851" s="13" t="s">
        <v>16158</v>
      </c>
      <c r="F8851" s="43">
        <v>57.84</v>
      </c>
    </row>
    <row r="8852" spans="2:6" x14ac:dyDescent="0.25">
      <c r="B8852" s="13" t="s">
        <v>16159</v>
      </c>
      <c r="C8852" s="17" t="s">
        <v>170</v>
      </c>
      <c r="D8852" s="13" t="s">
        <v>118</v>
      </c>
      <c r="E8852" s="13" t="s">
        <v>16160</v>
      </c>
      <c r="F8852" s="43">
        <v>57.84</v>
      </c>
    </row>
    <row r="8853" spans="2:6" x14ac:dyDescent="0.25">
      <c r="B8853" s="13" t="s">
        <v>16161</v>
      </c>
      <c r="C8853" s="17" t="s">
        <v>170</v>
      </c>
      <c r="D8853" s="13" t="s">
        <v>118</v>
      </c>
      <c r="E8853" s="13" t="s">
        <v>16162</v>
      </c>
      <c r="F8853" s="43">
        <v>57.84</v>
      </c>
    </row>
    <row r="8854" spans="2:6" x14ac:dyDescent="0.25">
      <c r="B8854" s="13" t="s">
        <v>16163</v>
      </c>
      <c r="C8854" s="17" t="s">
        <v>170</v>
      </c>
      <c r="D8854" s="13" t="s">
        <v>118</v>
      </c>
      <c r="E8854" s="13" t="s">
        <v>16164</v>
      </c>
      <c r="F8854" s="43">
        <v>57.84</v>
      </c>
    </row>
    <row r="8855" spans="2:6" x14ac:dyDescent="0.25">
      <c r="B8855" s="13" t="s">
        <v>16165</v>
      </c>
      <c r="C8855" s="17" t="s">
        <v>170</v>
      </c>
      <c r="D8855" s="13" t="s">
        <v>118</v>
      </c>
      <c r="E8855" s="13" t="s">
        <v>16166</v>
      </c>
      <c r="F8855" s="43">
        <v>57.84</v>
      </c>
    </row>
    <row r="8856" spans="2:6" x14ac:dyDescent="0.25">
      <c r="B8856" s="13" t="s">
        <v>16167</v>
      </c>
      <c r="C8856" s="17" t="s">
        <v>170</v>
      </c>
      <c r="D8856" s="13" t="s">
        <v>118</v>
      </c>
      <c r="E8856" s="13" t="s">
        <v>16168</v>
      </c>
      <c r="F8856" s="43">
        <v>57.84</v>
      </c>
    </row>
    <row r="8857" spans="2:6" x14ac:dyDescent="0.25">
      <c r="B8857" s="13" t="s">
        <v>16169</v>
      </c>
      <c r="C8857" s="17" t="s">
        <v>170</v>
      </c>
      <c r="D8857" s="13" t="s">
        <v>118</v>
      </c>
      <c r="E8857" s="13" t="s">
        <v>16170</v>
      </c>
      <c r="F8857" s="43">
        <v>158.93</v>
      </c>
    </row>
    <row r="8858" spans="2:6" x14ac:dyDescent="0.25">
      <c r="B8858" s="13" t="s">
        <v>16171</v>
      </c>
      <c r="C8858" s="17" t="s">
        <v>170</v>
      </c>
      <c r="D8858" s="13" t="s">
        <v>118</v>
      </c>
      <c r="E8858" s="13" t="s">
        <v>16172</v>
      </c>
      <c r="F8858" s="43">
        <v>158.93</v>
      </c>
    </row>
    <row r="8859" spans="2:6" x14ac:dyDescent="0.25">
      <c r="B8859" s="13" t="s">
        <v>16173</v>
      </c>
      <c r="C8859" s="17" t="s">
        <v>170</v>
      </c>
      <c r="D8859" s="13" t="s">
        <v>118</v>
      </c>
      <c r="E8859" s="13" t="s">
        <v>16174</v>
      </c>
      <c r="F8859" s="43">
        <v>158.93</v>
      </c>
    </row>
    <row r="8860" spans="2:6" x14ac:dyDescent="0.25">
      <c r="B8860" s="13" t="s">
        <v>16175</v>
      </c>
      <c r="C8860" s="17" t="s">
        <v>170</v>
      </c>
      <c r="D8860" s="13" t="s">
        <v>118</v>
      </c>
      <c r="E8860" s="13" t="s">
        <v>16176</v>
      </c>
      <c r="F8860" s="43">
        <v>158.93</v>
      </c>
    </row>
    <row r="8861" spans="2:6" x14ac:dyDescent="0.25">
      <c r="B8861" s="13" t="s">
        <v>16177</v>
      </c>
      <c r="C8861" s="17" t="s">
        <v>170</v>
      </c>
      <c r="D8861" s="13" t="s">
        <v>118</v>
      </c>
      <c r="E8861" s="13" t="s">
        <v>16178</v>
      </c>
      <c r="F8861" s="43">
        <v>158.93</v>
      </c>
    </row>
    <row r="8862" spans="2:6" x14ac:dyDescent="0.25">
      <c r="B8862" s="13" t="s">
        <v>16179</v>
      </c>
      <c r="C8862" s="17" t="s">
        <v>170</v>
      </c>
      <c r="D8862" s="13" t="s">
        <v>118</v>
      </c>
      <c r="E8862" s="13" t="s">
        <v>16180</v>
      </c>
      <c r="F8862" s="43">
        <v>158.93</v>
      </c>
    </row>
    <row r="8863" spans="2:6" x14ac:dyDescent="0.25">
      <c r="B8863" s="13" t="s">
        <v>16181</v>
      </c>
      <c r="C8863" s="17" t="s">
        <v>170</v>
      </c>
      <c r="D8863" s="13" t="s">
        <v>118</v>
      </c>
      <c r="E8863" s="13" t="s">
        <v>16182</v>
      </c>
      <c r="F8863" s="43">
        <v>158.93</v>
      </c>
    </row>
    <row r="8864" spans="2:6" x14ac:dyDescent="0.25">
      <c r="B8864" s="13" t="s">
        <v>16183</v>
      </c>
      <c r="C8864" s="17" t="s">
        <v>170</v>
      </c>
      <c r="D8864" s="13" t="s">
        <v>118</v>
      </c>
      <c r="E8864" s="13" t="s">
        <v>16184</v>
      </c>
      <c r="F8864" s="43">
        <v>158.93</v>
      </c>
    </row>
    <row r="8865" spans="2:6" x14ac:dyDescent="0.25">
      <c r="B8865" s="13" t="s">
        <v>16185</v>
      </c>
      <c r="C8865" s="17" t="s">
        <v>170</v>
      </c>
      <c r="D8865" s="13" t="s">
        <v>118</v>
      </c>
      <c r="E8865" s="13" t="s">
        <v>16186</v>
      </c>
      <c r="F8865" s="43">
        <v>158.93</v>
      </c>
    </row>
    <row r="8866" spans="2:6" x14ac:dyDescent="0.25">
      <c r="B8866" s="13" t="s">
        <v>16187</v>
      </c>
      <c r="C8866" s="17" t="s">
        <v>170</v>
      </c>
      <c r="D8866" s="13" t="s">
        <v>118</v>
      </c>
      <c r="E8866" s="13" t="s">
        <v>16188</v>
      </c>
      <c r="F8866" s="43">
        <v>158.93</v>
      </c>
    </row>
    <row r="8867" spans="2:6" x14ac:dyDescent="0.25">
      <c r="B8867" s="13" t="s">
        <v>16189</v>
      </c>
      <c r="C8867" s="17" t="s">
        <v>170</v>
      </c>
      <c r="D8867" s="13" t="s">
        <v>118</v>
      </c>
      <c r="E8867" s="13" t="s">
        <v>16190</v>
      </c>
      <c r="F8867" s="43">
        <v>158.93</v>
      </c>
    </row>
    <row r="8868" spans="2:6" x14ac:dyDescent="0.25">
      <c r="B8868" s="13" t="s">
        <v>16191</v>
      </c>
      <c r="C8868" s="17" t="s">
        <v>170</v>
      </c>
      <c r="D8868" s="13" t="s">
        <v>118</v>
      </c>
      <c r="E8868" s="13" t="s">
        <v>16192</v>
      </c>
      <c r="F8868" s="43">
        <v>158.93</v>
      </c>
    </row>
    <row r="8869" spans="2:6" x14ac:dyDescent="0.25">
      <c r="B8869" s="13" t="s">
        <v>16193</v>
      </c>
      <c r="C8869" s="17" t="s">
        <v>170</v>
      </c>
      <c r="D8869" s="13" t="s">
        <v>118</v>
      </c>
      <c r="E8869" s="13" t="s">
        <v>16194</v>
      </c>
      <c r="F8869" s="43">
        <v>158.93</v>
      </c>
    </row>
    <row r="8870" spans="2:6" x14ac:dyDescent="0.25">
      <c r="B8870" s="13" t="s">
        <v>16195</v>
      </c>
      <c r="C8870" s="17" t="s">
        <v>170</v>
      </c>
      <c r="D8870" s="13" t="s">
        <v>118</v>
      </c>
      <c r="E8870" s="13" t="s">
        <v>16196</v>
      </c>
      <c r="F8870" s="43">
        <v>158.93</v>
      </c>
    </row>
    <row r="8871" spans="2:6" x14ac:dyDescent="0.25">
      <c r="B8871" s="13" t="s">
        <v>16197</v>
      </c>
      <c r="C8871" s="17" t="s">
        <v>170</v>
      </c>
      <c r="D8871" s="13" t="s">
        <v>118</v>
      </c>
      <c r="E8871" s="13" t="s">
        <v>16198</v>
      </c>
      <c r="F8871" s="43">
        <v>158.93</v>
      </c>
    </row>
    <row r="8872" spans="2:6" x14ac:dyDescent="0.25">
      <c r="B8872" s="13" t="s">
        <v>16199</v>
      </c>
      <c r="C8872" s="17" t="s">
        <v>170</v>
      </c>
      <c r="D8872" s="13" t="s">
        <v>118</v>
      </c>
      <c r="E8872" s="13" t="s">
        <v>16200</v>
      </c>
      <c r="F8872" s="43">
        <v>158.93</v>
      </c>
    </row>
    <row r="8873" spans="2:6" x14ac:dyDescent="0.25">
      <c r="B8873" s="13" t="s">
        <v>16201</v>
      </c>
      <c r="C8873" s="17" t="s">
        <v>170</v>
      </c>
      <c r="D8873" s="13" t="s">
        <v>118</v>
      </c>
      <c r="E8873" s="13" t="s">
        <v>16202</v>
      </c>
      <c r="F8873" s="43">
        <v>158.93</v>
      </c>
    </row>
    <row r="8874" spans="2:6" x14ac:dyDescent="0.25">
      <c r="B8874" s="13" t="s">
        <v>16203</v>
      </c>
      <c r="C8874" s="17" t="s">
        <v>170</v>
      </c>
      <c r="D8874" s="13" t="s">
        <v>118</v>
      </c>
      <c r="E8874" s="13" t="s">
        <v>16204</v>
      </c>
      <c r="F8874" s="43">
        <v>158.93</v>
      </c>
    </row>
    <row r="8875" spans="2:6" x14ac:dyDescent="0.25">
      <c r="B8875" s="13" t="s">
        <v>16205</v>
      </c>
      <c r="C8875" s="17" t="s">
        <v>170</v>
      </c>
      <c r="D8875" s="13" t="s">
        <v>118</v>
      </c>
      <c r="E8875" s="13" t="s">
        <v>16206</v>
      </c>
      <c r="F8875" s="43">
        <v>158.93</v>
      </c>
    </row>
    <row r="8876" spans="2:6" x14ac:dyDescent="0.25">
      <c r="B8876" s="13" t="s">
        <v>16207</v>
      </c>
      <c r="C8876" s="17" t="s">
        <v>170</v>
      </c>
      <c r="D8876" s="13" t="s">
        <v>118</v>
      </c>
      <c r="E8876" s="13" t="s">
        <v>16208</v>
      </c>
      <c r="F8876" s="43">
        <v>158.93</v>
      </c>
    </row>
    <row r="8877" spans="2:6" x14ac:dyDescent="0.25">
      <c r="B8877" s="13" t="s">
        <v>16209</v>
      </c>
      <c r="C8877" s="17" t="s">
        <v>170</v>
      </c>
      <c r="D8877" s="13" t="s">
        <v>118</v>
      </c>
      <c r="E8877" s="13" t="s">
        <v>16210</v>
      </c>
      <c r="F8877" s="43">
        <v>158.93</v>
      </c>
    </row>
    <row r="8878" spans="2:6" x14ac:dyDescent="0.25">
      <c r="B8878" s="13" t="s">
        <v>16211</v>
      </c>
      <c r="C8878" s="17" t="s">
        <v>170</v>
      </c>
      <c r="D8878" s="13" t="s">
        <v>118</v>
      </c>
      <c r="E8878" s="13" t="s">
        <v>16212</v>
      </c>
      <c r="F8878" s="43">
        <v>158.93</v>
      </c>
    </row>
    <row r="8879" spans="2:6" x14ac:dyDescent="0.25">
      <c r="B8879" s="13" t="s">
        <v>16213</v>
      </c>
      <c r="C8879" s="17" t="s">
        <v>170</v>
      </c>
      <c r="D8879" s="13" t="s">
        <v>118</v>
      </c>
      <c r="E8879" s="13" t="s">
        <v>16214</v>
      </c>
      <c r="F8879" s="43">
        <v>158.93</v>
      </c>
    </row>
    <row r="8880" spans="2:6" x14ac:dyDescent="0.25">
      <c r="B8880" s="13" t="s">
        <v>16215</v>
      </c>
      <c r="C8880" s="17" t="s">
        <v>170</v>
      </c>
      <c r="D8880" s="13" t="s">
        <v>118</v>
      </c>
      <c r="E8880" s="13" t="s">
        <v>16216</v>
      </c>
      <c r="F8880" s="43">
        <v>158.93</v>
      </c>
    </row>
    <row r="8881" spans="2:6" x14ac:dyDescent="0.25">
      <c r="B8881" s="13" t="s">
        <v>16217</v>
      </c>
      <c r="C8881" s="17" t="s">
        <v>170</v>
      </c>
      <c r="D8881" s="13" t="s">
        <v>118</v>
      </c>
      <c r="E8881" s="13" t="s">
        <v>16218</v>
      </c>
      <c r="F8881" s="43">
        <v>158.93</v>
      </c>
    </row>
    <row r="8882" spans="2:6" x14ac:dyDescent="0.25">
      <c r="B8882" s="13" t="s">
        <v>16219</v>
      </c>
      <c r="C8882" s="17" t="s">
        <v>170</v>
      </c>
      <c r="D8882" s="13" t="s">
        <v>118</v>
      </c>
      <c r="E8882" s="13" t="s">
        <v>16220</v>
      </c>
      <c r="F8882" s="43">
        <v>158.93</v>
      </c>
    </row>
    <row r="8883" spans="2:6" x14ac:dyDescent="0.25">
      <c r="B8883" s="13" t="s">
        <v>16221</v>
      </c>
      <c r="C8883" s="17" t="s">
        <v>170</v>
      </c>
      <c r="D8883" s="13" t="s">
        <v>118</v>
      </c>
      <c r="E8883" s="13" t="s">
        <v>16222</v>
      </c>
      <c r="F8883" s="43">
        <v>161.80000000000001</v>
      </c>
    </row>
    <row r="8884" spans="2:6" x14ac:dyDescent="0.25">
      <c r="B8884" s="13" t="s">
        <v>16223</v>
      </c>
      <c r="C8884" s="17" t="s">
        <v>170</v>
      </c>
      <c r="D8884" s="13" t="s">
        <v>118</v>
      </c>
      <c r="E8884" s="13" t="s">
        <v>16224</v>
      </c>
      <c r="F8884" s="43">
        <v>161.80000000000001</v>
      </c>
    </row>
    <row r="8885" spans="2:6" x14ac:dyDescent="0.25">
      <c r="B8885" s="13" t="s">
        <v>16225</v>
      </c>
      <c r="C8885" s="17" t="s">
        <v>170</v>
      </c>
      <c r="D8885" s="13" t="s">
        <v>118</v>
      </c>
      <c r="E8885" s="13" t="s">
        <v>16226</v>
      </c>
      <c r="F8885" s="43">
        <v>161.80000000000001</v>
      </c>
    </row>
    <row r="8886" spans="2:6" x14ac:dyDescent="0.25">
      <c r="B8886" s="13" t="s">
        <v>16227</v>
      </c>
      <c r="C8886" s="17" t="s">
        <v>170</v>
      </c>
      <c r="D8886" s="13" t="s">
        <v>118</v>
      </c>
      <c r="E8886" s="13" t="s">
        <v>16228</v>
      </c>
      <c r="F8886" s="43">
        <v>161.80000000000001</v>
      </c>
    </row>
    <row r="8887" spans="2:6" x14ac:dyDescent="0.25">
      <c r="B8887" s="13" t="s">
        <v>16229</v>
      </c>
      <c r="C8887" s="17" t="s">
        <v>170</v>
      </c>
      <c r="D8887" s="13" t="s">
        <v>118</v>
      </c>
      <c r="E8887" s="13" t="s">
        <v>16230</v>
      </c>
      <c r="F8887" s="43">
        <v>161.80000000000001</v>
      </c>
    </row>
    <row r="8888" spans="2:6" x14ac:dyDescent="0.25">
      <c r="B8888" s="13" t="s">
        <v>16231</v>
      </c>
      <c r="C8888" s="17" t="s">
        <v>170</v>
      </c>
      <c r="D8888" s="13" t="s">
        <v>118</v>
      </c>
      <c r="E8888" s="13" t="s">
        <v>16232</v>
      </c>
      <c r="F8888" s="43">
        <v>161.80000000000001</v>
      </c>
    </row>
    <row r="8889" spans="2:6" x14ac:dyDescent="0.25">
      <c r="B8889" s="13" t="s">
        <v>16233</v>
      </c>
      <c r="C8889" s="17" t="s">
        <v>170</v>
      </c>
      <c r="D8889" s="13" t="s">
        <v>118</v>
      </c>
      <c r="E8889" s="13" t="s">
        <v>16234</v>
      </c>
      <c r="F8889" s="43">
        <v>161.80000000000001</v>
      </c>
    </row>
    <row r="8890" spans="2:6" x14ac:dyDescent="0.25">
      <c r="B8890" s="13" t="s">
        <v>16235</v>
      </c>
      <c r="C8890" s="17" t="s">
        <v>170</v>
      </c>
      <c r="D8890" s="13" t="s">
        <v>118</v>
      </c>
      <c r="E8890" s="13" t="s">
        <v>16236</v>
      </c>
      <c r="F8890" s="43">
        <v>161.80000000000001</v>
      </c>
    </row>
    <row r="8891" spans="2:6" x14ac:dyDescent="0.25">
      <c r="B8891" s="13" t="s">
        <v>16237</v>
      </c>
      <c r="C8891" s="17" t="s">
        <v>170</v>
      </c>
      <c r="D8891" s="13" t="s">
        <v>118</v>
      </c>
      <c r="E8891" s="13" t="s">
        <v>16238</v>
      </c>
      <c r="F8891" s="43">
        <v>161.80000000000001</v>
      </c>
    </row>
    <row r="8892" spans="2:6" x14ac:dyDescent="0.25">
      <c r="B8892" s="13" t="s">
        <v>16239</v>
      </c>
      <c r="C8892" s="17" t="s">
        <v>170</v>
      </c>
      <c r="D8892" s="13" t="s">
        <v>118</v>
      </c>
      <c r="E8892" s="13" t="s">
        <v>16240</v>
      </c>
      <c r="F8892" s="43">
        <v>161.80000000000001</v>
      </c>
    </row>
    <row r="8893" spans="2:6" x14ac:dyDescent="0.25">
      <c r="B8893" s="13" t="s">
        <v>16241</v>
      </c>
      <c r="C8893" s="17" t="s">
        <v>170</v>
      </c>
      <c r="D8893" s="13" t="s">
        <v>118</v>
      </c>
      <c r="E8893" s="13" t="s">
        <v>16242</v>
      </c>
      <c r="F8893" s="43">
        <v>161.80000000000001</v>
      </c>
    </row>
    <row r="8894" spans="2:6" x14ac:dyDescent="0.25">
      <c r="B8894" s="13" t="s">
        <v>16243</v>
      </c>
      <c r="C8894" s="17" t="s">
        <v>170</v>
      </c>
      <c r="D8894" s="13" t="s">
        <v>118</v>
      </c>
      <c r="E8894" s="13" t="s">
        <v>16244</v>
      </c>
      <c r="F8894" s="43">
        <v>161.80000000000001</v>
      </c>
    </row>
    <row r="8895" spans="2:6" x14ac:dyDescent="0.25">
      <c r="B8895" s="13" t="s">
        <v>16245</v>
      </c>
      <c r="C8895" s="17" t="s">
        <v>170</v>
      </c>
      <c r="D8895" s="13" t="s">
        <v>118</v>
      </c>
      <c r="E8895" s="13" t="s">
        <v>16246</v>
      </c>
      <c r="F8895" s="43">
        <v>161.80000000000001</v>
      </c>
    </row>
    <row r="8896" spans="2:6" x14ac:dyDescent="0.25">
      <c r="B8896" s="13" t="s">
        <v>16247</v>
      </c>
      <c r="C8896" s="17" t="s">
        <v>170</v>
      </c>
      <c r="D8896" s="13" t="s">
        <v>118</v>
      </c>
      <c r="E8896" s="13" t="s">
        <v>16248</v>
      </c>
      <c r="F8896" s="43">
        <v>161.80000000000001</v>
      </c>
    </row>
    <row r="8897" spans="2:6" x14ac:dyDescent="0.25">
      <c r="B8897" s="13" t="s">
        <v>16249</v>
      </c>
      <c r="C8897" s="17" t="s">
        <v>170</v>
      </c>
      <c r="D8897" s="13" t="s">
        <v>118</v>
      </c>
      <c r="E8897" s="13" t="s">
        <v>16250</v>
      </c>
      <c r="F8897" s="43">
        <v>161.80000000000001</v>
      </c>
    </row>
    <row r="8898" spans="2:6" x14ac:dyDescent="0.25">
      <c r="B8898" s="13" t="s">
        <v>16251</v>
      </c>
      <c r="C8898" s="17" t="s">
        <v>170</v>
      </c>
      <c r="D8898" s="13" t="s">
        <v>118</v>
      </c>
      <c r="E8898" s="13" t="s">
        <v>16252</v>
      </c>
      <c r="F8898" s="43">
        <v>161.80000000000001</v>
      </c>
    </row>
    <row r="8899" spans="2:6" x14ac:dyDescent="0.25">
      <c r="B8899" s="13" t="s">
        <v>16253</v>
      </c>
      <c r="C8899" s="17" t="s">
        <v>170</v>
      </c>
      <c r="D8899" s="13" t="s">
        <v>118</v>
      </c>
      <c r="E8899" s="13" t="s">
        <v>16254</v>
      </c>
      <c r="F8899" s="43">
        <v>161.80000000000001</v>
      </c>
    </row>
    <row r="8900" spans="2:6" x14ac:dyDescent="0.25">
      <c r="B8900" s="13" t="s">
        <v>16255</v>
      </c>
      <c r="C8900" s="17" t="s">
        <v>170</v>
      </c>
      <c r="D8900" s="13" t="s">
        <v>118</v>
      </c>
      <c r="E8900" s="13" t="s">
        <v>16256</v>
      </c>
      <c r="F8900" s="43">
        <v>161.80000000000001</v>
      </c>
    </row>
    <row r="8901" spans="2:6" x14ac:dyDescent="0.25">
      <c r="B8901" s="13" t="s">
        <v>16257</v>
      </c>
      <c r="C8901" s="17" t="s">
        <v>170</v>
      </c>
      <c r="D8901" s="13" t="s">
        <v>118</v>
      </c>
      <c r="E8901" s="13" t="s">
        <v>16222</v>
      </c>
      <c r="F8901" s="43">
        <v>161.80000000000001</v>
      </c>
    </row>
    <row r="8902" spans="2:6" x14ac:dyDescent="0.25">
      <c r="B8902" s="13" t="s">
        <v>16258</v>
      </c>
      <c r="C8902" s="17" t="s">
        <v>170</v>
      </c>
      <c r="D8902" s="13" t="s">
        <v>118</v>
      </c>
      <c r="E8902" s="13" t="s">
        <v>16224</v>
      </c>
      <c r="F8902" s="43">
        <v>161.80000000000001</v>
      </c>
    </row>
    <row r="8903" spans="2:6" x14ac:dyDescent="0.25">
      <c r="B8903" s="13" t="s">
        <v>16259</v>
      </c>
      <c r="C8903" s="17" t="s">
        <v>170</v>
      </c>
      <c r="D8903" s="13" t="s">
        <v>118</v>
      </c>
      <c r="E8903" s="13" t="s">
        <v>16226</v>
      </c>
      <c r="F8903" s="43">
        <v>161.80000000000001</v>
      </c>
    </row>
    <row r="8904" spans="2:6" x14ac:dyDescent="0.25">
      <c r="B8904" s="13" t="s">
        <v>16260</v>
      </c>
      <c r="C8904" s="17" t="s">
        <v>170</v>
      </c>
      <c r="D8904" s="13" t="s">
        <v>118</v>
      </c>
      <c r="E8904" s="13" t="s">
        <v>16228</v>
      </c>
      <c r="F8904" s="43">
        <v>161.80000000000001</v>
      </c>
    </row>
    <row r="8905" spans="2:6" x14ac:dyDescent="0.25">
      <c r="B8905" s="13" t="s">
        <v>16261</v>
      </c>
      <c r="C8905" s="17" t="s">
        <v>170</v>
      </c>
      <c r="D8905" s="13" t="s">
        <v>118</v>
      </c>
      <c r="E8905" s="13" t="s">
        <v>16230</v>
      </c>
      <c r="F8905" s="43">
        <v>161.80000000000001</v>
      </c>
    </row>
    <row r="8906" spans="2:6" x14ac:dyDescent="0.25">
      <c r="B8906" s="13" t="s">
        <v>16262</v>
      </c>
      <c r="C8906" s="17" t="s">
        <v>170</v>
      </c>
      <c r="D8906" s="13" t="s">
        <v>118</v>
      </c>
      <c r="E8906" s="13" t="s">
        <v>16232</v>
      </c>
      <c r="F8906" s="43">
        <v>161.80000000000001</v>
      </c>
    </row>
    <row r="8907" spans="2:6" x14ac:dyDescent="0.25">
      <c r="B8907" s="13" t="s">
        <v>16263</v>
      </c>
      <c r="C8907" s="17" t="s">
        <v>170</v>
      </c>
      <c r="D8907" s="13" t="s">
        <v>118</v>
      </c>
      <c r="E8907" s="13" t="s">
        <v>16234</v>
      </c>
      <c r="F8907" s="43">
        <v>161.80000000000001</v>
      </c>
    </row>
    <row r="8908" spans="2:6" x14ac:dyDescent="0.25">
      <c r="B8908" s="13" t="s">
        <v>16264</v>
      </c>
      <c r="C8908" s="17" t="s">
        <v>170</v>
      </c>
      <c r="D8908" s="13" t="s">
        <v>118</v>
      </c>
      <c r="E8908" s="13" t="s">
        <v>16236</v>
      </c>
      <c r="F8908" s="43">
        <v>161.80000000000001</v>
      </c>
    </row>
    <row r="8909" spans="2:6" x14ac:dyDescent="0.25">
      <c r="B8909" s="13" t="s">
        <v>16265</v>
      </c>
      <c r="C8909" s="17" t="s">
        <v>170</v>
      </c>
      <c r="D8909" s="13" t="s">
        <v>118</v>
      </c>
      <c r="E8909" s="13" t="s">
        <v>16238</v>
      </c>
      <c r="F8909" s="43">
        <v>161.80000000000001</v>
      </c>
    </row>
    <row r="8910" spans="2:6" x14ac:dyDescent="0.25">
      <c r="B8910" s="13" t="s">
        <v>16266</v>
      </c>
      <c r="C8910" s="17" t="s">
        <v>170</v>
      </c>
      <c r="D8910" s="13" t="s">
        <v>118</v>
      </c>
      <c r="E8910" s="13" t="s">
        <v>16240</v>
      </c>
      <c r="F8910" s="43">
        <v>161.80000000000001</v>
      </c>
    </row>
    <row r="8911" spans="2:6" x14ac:dyDescent="0.25">
      <c r="B8911" s="13" t="s">
        <v>16267</v>
      </c>
      <c r="C8911" s="17" t="s">
        <v>170</v>
      </c>
      <c r="D8911" s="13" t="s">
        <v>118</v>
      </c>
      <c r="E8911" s="13" t="s">
        <v>16242</v>
      </c>
      <c r="F8911" s="43">
        <v>161.80000000000001</v>
      </c>
    </row>
    <row r="8912" spans="2:6" x14ac:dyDescent="0.25">
      <c r="B8912" s="13" t="s">
        <v>16268</v>
      </c>
      <c r="C8912" s="17" t="s">
        <v>170</v>
      </c>
      <c r="D8912" s="13" t="s">
        <v>118</v>
      </c>
      <c r="E8912" s="13" t="s">
        <v>16244</v>
      </c>
      <c r="F8912" s="43">
        <v>161.80000000000001</v>
      </c>
    </row>
    <row r="8913" spans="2:6" x14ac:dyDescent="0.25">
      <c r="B8913" s="13" t="s">
        <v>16269</v>
      </c>
      <c r="C8913" s="17" t="s">
        <v>170</v>
      </c>
      <c r="D8913" s="13" t="s">
        <v>118</v>
      </c>
      <c r="E8913" s="13" t="s">
        <v>16246</v>
      </c>
      <c r="F8913" s="43">
        <v>161.80000000000001</v>
      </c>
    </row>
    <row r="8914" spans="2:6" x14ac:dyDescent="0.25">
      <c r="B8914" s="13" t="s">
        <v>16270</v>
      </c>
      <c r="C8914" s="17" t="s">
        <v>170</v>
      </c>
      <c r="D8914" s="13" t="s">
        <v>118</v>
      </c>
      <c r="E8914" s="13" t="s">
        <v>16248</v>
      </c>
      <c r="F8914" s="43">
        <v>161.80000000000001</v>
      </c>
    </row>
    <row r="8915" spans="2:6" x14ac:dyDescent="0.25">
      <c r="B8915" s="13" t="s">
        <v>16271</v>
      </c>
      <c r="C8915" s="17" t="s">
        <v>170</v>
      </c>
      <c r="D8915" s="13" t="s">
        <v>118</v>
      </c>
      <c r="E8915" s="13" t="s">
        <v>16250</v>
      </c>
      <c r="F8915" s="43">
        <v>161.80000000000001</v>
      </c>
    </row>
    <row r="8916" spans="2:6" x14ac:dyDescent="0.25">
      <c r="B8916" s="13" t="s">
        <v>16272</v>
      </c>
      <c r="C8916" s="17" t="s">
        <v>170</v>
      </c>
      <c r="D8916" s="13" t="s">
        <v>118</v>
      </c>
      <c r="E8916" s="13" t="s">
        <v>16252</v>
      </c>
      <c r="F8916" s="43">
        <v>161.80000000000001</v>
      </c>
    </row>
    <row r="8917" spans="2:6" x14ac:dyDescent="0.25">
      <c r="B8917" s="13" t="s">
        <v>16273</v>
      </c>
      <c r="C8917" s="17" t="s">
        <v>170</v>
      </c>
      <c r="D8917" s="13" t="s">
        <v>118</v>
      </c>
      <c r="E8917" s="13" t="s">
        <v>16254</v>
      </c>
      <c r="F8917" s="43">
        <v>161.80000000000001</v>
      </c>
    </row>
    <row r="8918" spans="2:6" x14ac:dyDescent="0.25">
      <c r="B8918" s="13" t="s">
        <v>16274</v>
      </c>
      <c r="C8918" s="17" t="s">
        <v>170</v>
      </c>
      <c r="D8918" s="13" t="s">
        <v>118</v>
      </c>
      <c r="E8918" s="13" t="s">
        <v>16256</v>
      </c>
      <c r="F8918" s="43">
        <v>161.80000000000001</v>
      </c>
    </row>
    <row r="8919" spans="2:6" x14ac:dyDescent="0.25">
      <c r="B8919" s="13" t="s">
        <v>16275</v>
      </c>
      <c r="C8919" s="17" t="s">
        <v>170</v>
      </c>
      <c r="D8919" s="13" t="s">
        <v>118</v>
      </c>
      <c r="E8919" s="13" t="s">
        <v>16276</v>
      </c>
      <c r="F8919" s="43">
        <v>161.80000000000001</v>
      </c>
    </row>
    <row r="8920" spans="2:6" x14ac:dyDescent="0.25">
      <c r="B8920" s="13" t="s">
        <v>16277</v>
      </c>
      <c r="C8920" s="17" t="s">
        <v>170</v>
      </c>
      <c r="D8920" s="13" t="s">
        <v>118</v>
      </c>
      <c r="E8920" s="13" t="s">
        <v>16278</v>
      </c>
      <c r="F8920" s="43">
        <v>161.80000000000001</v>
      </c>
    </row>
    <row r="8921" spans="2:6" x14ac:dyDescent="0.25">
      <c r="B8921" s="13" t="s">
        <v>16279</v>
      </c>
      <c r="C8921" s="17" t="s">
        <v>170</v>
      </c>
      <c r="D8921" s="13" t="s">
        <v>118</v>
      </c>
      <c r="E8921" s="13" t="s">
        <v>16280</v>
      </c>
      <c r="F8921" s="43">
        <v>161.80000000000001</v>
      </c>
    </row>
    <row r="8922" spans="2:6" x14ac:dyDescent="0.25">
      <c r="B8922" s="13" t="s">
        <v>16281</v>
      </c>
      <c r="C8922" s="17" t="s">
        <v>170</v>
      </c>
      <c r="D8922" s="13" t="s">
        <v>118</v>
      </c>
      <c r="E8922" s="13" t="s">
        <v>16282</v>
      </c>
      <c r="F8922" s="43">
        <v>161.80000000000001</v>
      </c>
    </row>
    <row r="8923" spans="2:6" x14ac:dyDescent="0.25">
      <c r="B8923" s="13" t="s">
        <v>16283</v>
      </c>
      <c r="C8923" s="17" t="s">
        <v>170</v>
      </c>
      <c r="D8923" s="13" t="s">
        <v>118</v>
      </c>
      <c r="E8923" s="13" t="s">
        <v>16284</v>
      </c>
      <c r="F8923" s="43">
        <v>161.80000000000001</v>
      </c>
    </row>
    <row r="8924" spans="2:6" x14ac:dyDescent="0.25">
      <c r="B8924" s="13" t="s">
        <v>16285</v>
      </c>
      <c r="C8924" s="17" t="s">
        <v>170</v>
      </c>
      <c r="D8924" s="13" t="s">
        <v>118</v>
      </c>
      <c r="E8924" s="13" t="s">
        <v>16286</v>
      </c>
      <c r="F8924" s="43">
        <v>161.80000000000001</v>
      </c>
    </row>
    <row r="8925" spans="2:6" x14ac:dyDescent="0.25">
      <c r="B8925" s="13" t="s">
        <v>16287</v>
      </c>
      <c r="C8925" s="17" t="s">
        <v>170</v>
      </c>
      <c r="D8925" s="13" t="s">
        <v>118</v>
      </c>
      <c r="E8925" s="13" t="s">
        <v>16288</v>
      </c>
      <c r="F8925" s="43">
        <v>161.80000000000001</v>
      </c>
    </row>
    <row r="8926" spans="2:6" x14ac:dyDescent="0.25">
      <c r="B8926" s="13" t="s">
        <v>16289</v>
      </c>
      <c r="C8926" s="17" t="s">
        <v>170</v>
      </c>
      <c r="D8926" s="13" t="s">
        <v>118</v>
      </c>
      <c r="E8926" s="13" t="s">
        <v>16290</v>
      </c>
      <c r="F8926" s="43">
        <v>302.94</v>
      </c>
    </row>
    <row r="8927" spans="2:6" x14ac:dyDescent="0.25">
      <c r="B8927" s="13" t="s">
        <v>16291</v>
      </c>
      <c r="C8927" s="17" t="s">
        <v>170</v>
      </c>
      <c r="D8927" s="13" t="s">
        <v>118</v>
      </c>
      <c r="E8927" s="13" t="s">
        <v>16292</v>
      </c>
      <c r="F8927" s="43">
        <v>302.94</v>
      </c>
    </row>
    <row r="8928" spans="2:6" x14ac:dyDescent="0.25">
      <c r="B8928" s="13" t="s">
        <v>16293</v>
      </c>
      <c r="C8928" s="17" t="s">
        <v>170</v>
      </c>
      <c r="D8928" s="13" t="s">
        <v>118</v>
      </c>
      <c r="E8928" s="13" t="s">
        <v>16294</v>
      </c>
      <c r="F8928" s="43">
        <v>302.94</v>
      </c>
    </row>
    <row r="8929" spans="2:6" x14ac:dyDescent="0.25">
      <c r="B8929" s="13" t="s">
        <v>16295</v>
      </c>
      <c r="C8929" s="17" t="s">
        <v>170</v>
      </c>
      <c r="D8929" s="13" t="s">
        <v>118</v>
      </c>
      <c r="E8929" s="13" t="s">
        <v>16296</v>
      </c>
      <c r="F8929" s="43">
        <v>302.94</v>
      </c>
    </row>
    <row r="8930" spans="2:6" x14ac:dyDescent="0.25">
      <c r="B8930" s="13" t="s">
        <v>16297</v>
      </c>
      <c r="C8930" s="17" t="s">
        <v>170</v>
      </c>
      <c r="D8930" s="13" t="s">
        <v>118</v>
      </c>
      <c r="E8930" s="13" t="s">
        <v>16298</v>
      </c>
      <c r="F8930" s="43">
        <v>302.94</v>
      </c>
    </row>
    <row r="8931" spans="2:6" x14ac:dyDescent="0.25">
      <c r="B8931" s="13" t="s">
        <v>16299</v>
      </c>
      <c r="C8931" s="17" t="s">
        <v>170</v>
      </c>
      <c r="D8931" s="13" t="s">
        <v>118</v>
      </c>
      <c r="E8931" s="13" t="s">
        <v>16300</v>
      </c>
      <c r="F8931" s="43">
        <v>302.94</v>
      </c>
    </row>
    <row r="8932" spans="2:6" x14ac:dyDescent="0.25">
      <c r="B8932" s="13" t="s">
        <v>16301</v>
      </c>
      <c r="C8932" s="17" t="s">
        <v>170</v>
      </c>
      <c r="D8932" s="13" t="s">
        <v>118</v>
      </c>
      <c r="E8932" s="13" t="s">
        <v>16302</v>
      </c>
      <c r="F8932" s="43">
        <v>302.94</v>
      </c>
    </row>
    <row r="8933" spans="2:6" x14ac:dyDescent="0.25">
      <c r="B8933" s="13" t="s">
        <v>16303</v>
      </c>
      <c r="C8933" s="17" t="s">
        <v>170</v>
      </c>
      <c r="D8933" s="13" t="s">
        <v>118</v>
      </c>
      <c r="E8933" s="13" t="s">
        <v>16304</v>
      </c>
      <c r="F8933" s="43">
        <v>302.94</v>
      </c>
    </row>
    <row r="8934" spans="2:6" x14ac:dyDescent="0.25">
      <c r="B8934" s="13" t="s">
        <v>16305</v>
      </c>
      <c r="C8934" s="17" t="s">
        <v>170</v>
      </c>
      <c r="D8934" s="13" t="s">
        <v>118</v>
      </c>
      <c r="E8934" s="13" t="s">
        <v>16306</v>
      </c>
      <c r="F8934" s="43">
        <v>302.94</v>
      </c>
    </row>
    <row r="8935" spans="2:6" x14ac:dyDescent="0.25">
      <c r="B8935" s="13" t="s">
        <v>16307</v>
      </c>
      <c r="C8935" s="17" t="s">
        <v>170</v>
      </c>
      <c r="D8935" s="13" t="s">
        <v>118</v>
      </c>
      <c r="E8935" s="13" t="s">
        <v>16308</v>
      </c>
      <c r="F8935" s="43">
        <v>302.94</v>
      </c>
    </row>
    <row r="8936" spans="2:6" x14ac:dyDescent="0.25">
      <c r="B8936" s="13" t="s">
        <v>16309</v>
      </c>
      <c r="C8936" s="17" t="s">
        <v>170</v>
      </c>
      <c r="D8936" s="13" t="s">
        <v>118</v>
      </c>
      <c r="E8936" s="13" t="s">
        <v>16310</v>
      </c>
      <c r="F8936" s="43">
        <v>302.94</v>
      </c>
    </row>
    <row r="8937" spans="2:6" x14ac:dyDescent="0.25">
      <c r="B8937" s="13" t="s">
        <v>16311</v>
      </c>
      <c r="C8937" s="17" t="s">
        <v>170</v>
      </c>
      <c r="D8937" s="13" t="s">
        <v>118</v>
      </c>
      <c r="E8937" s="13" t="s">
        <v>16312</v>
      </c>
      <c r="F8937" s="43">
        <v>87.44</v>
      </c>
    </row>
    <row r="8938" spans="2:6" x14ac:dyDescent="0.25">
      <c r="B8938" s="13" t="s">
        <v>16313</v>
      </c>
      <c r="C8938" s="17" t="s">
        <v>170</v>
      </c>
      <c r="D8938" s="13" t="s">
        <v>118</v>
      </c>
      <c r="E8938" s="13" t="s">
        <v>16314</v>
      </c>
      <c r="F8938" s="43">
        <v>93.64</v>
      </c>
    </row>
    <row r="8939" spans="2:6" x14ac:dyDescent="0.25">
      <c r="B8939" s="13" t="s">
        <v>16315</v>
      </c>
      <c r="C8939" s="17" t="s">
        <v>170</v>
      </c>
      <c r="D8939" s="13" t="s">
        <v>118</v>
      </c>
      <c r="E8939" s="13" t="s">
        <v>16316</v>
      </c>
      <c r="F8939" s="43">
        <v>278.99</v>
      </c>
    </row>
    <row r="8940" spans="2:6" x14ac:dyDescent="0.25">
      <c r="B8940" s="13" t="s">
        <v>16317</v>
      </c>
      <c r="C8940" s="17" t="s">
        <v>170</v>
      </c>
      <c r="D8940" s="13" t="s">
        <v>118</v>
      </c>
      <c r="E8940" s="13" t="s">
        <v>16318</v>
      </c>
      <c r="F8940" s="43">
        <v>278.99</v>
      </c>
    </row>
    <row r="8941" spans="2:6" x14ac:dyDescent="0.25">
      <c r="B8941" s="13" t="s">
        <v>16319</v>
      </c>
      <c r="C8941" s="17" t="s">
        <v>170</v>
      </c>
      <c r="D8941" s="13" t="s">
        <v>118</v>
      </c>
      <c r="E8941" s="13" t="s">
        <v>16320</v>
      </c>
      <c r="F8941" s="43">
        <v>275.39999999999998</v>
      </c>
    </row>
    <row r="8942" spans="2:6" x14ac:dyDescent="0.25">
      <c r="B8942" s="13" t="s">
        <v>16321</v>
      </c>
      <c r="C8942" s="17" t="s">
        <v>170</v>
      </c>
      <c r="D8942" s="13" t="s">
        <v>118</v>
      </c>
      <c r="E8942" s="13" t="s">
        <v>16322</v>
      </c>
      <c r="F8942" s="43">
        <v>278.99</v>
      </c>
    </row>
    <row r="8943" spans="2:6" x14ac:dyDescent="0.25">
      <c r="B8943" s="13" t="s">
        <v>16323</v>
      </c>
      <c r="C8943" s="17" t="s">
        <v>170</v>
      </c>
      <c r="D8943" s="13" t="s">
        <v>118</v>
      </c>
      <c r="E8943" s="13" t="s">
        <v>16324</v>
      </c>
      <c r="F8943" s="43">
        <v>278.99</v>
      </c>
    </row>
    <row r="8944" spans="2:6" x14ac:dyDescent="0.25">
      <c r="B8944" s="13" t="s">
        <v>16325</v>
      </c>
      <c r="C8944" s="17" t="s">
        <v>170</v>
      </c>
      <c r="D8944" s="13" t="s">
        <v>118</v>
      </c>
      <c r="E8944" s="13" t="s">
        <v>16326</v>
      </c>
      <c r="F8944" s="43">
        <v>278.99</v>
      </c>
    </row>
    <row r="8945" spans="2:6" x14ac:dyDescent="0.25">
      <c r="B8945" s="13" t="s">
        <v>16327</v>
      </c>
      <c r="C8945" s="17" t="s">
        <v>170</v>
      </c>
      <c r="D8945" s="13" t="s">
        <v>118</v>
      </c>
      <c r="E8945" s="13" t="s">
        <v>16328</v>
      </c>
      <c r="F8945" s="43">
        <v>278.99</v>
      </c>
    </row>
    <row r="8946" spans="2:6" x14ac:dyDescent="0.25">
      <c r="B8946" s="13" t="s">
        <v>16329</v>
      </c>
      <c r="C8946" s="17" t="s">
        <v>170</v>
      </c>
      <c r="D8946" s="13" t="s">
        <v>118</v>
      </c>
      <c r="E8946" s="13" t="s">
        <v>16330</v>
      </c>
      <c r="F8946" s="43">
        <v>278.99</v>
      </c>
    </row>
    <row r="8947" spans="2:6" x14ac:dyDescent="0.25">
      <c r="B8947" s="13" t="s">
        <v>16331</v>
      </c>
      <c r="C8947" s="17" t="s">
        <v>170</v>
      </c>
      <c r="D8947" s="13" t="s">
        <v>118</v>
      </c>
      <c r="E8947" s="13" t="s">
        <v>16332</v>
      </c>
      <c r="F8947" s="43">
        <v>278.99</v>
      </c>
    </row>
    <row r="8948" spans="2:6" x14ac:dyDescent="0.25">
      <c r="B8948" s="13" t="s">
        <v>16333</v>
      </c>
      <c r="C8948" s="17" t="s">
        <v>170</v>
      </c>
      <c r="D8948" s="13" t="s">
        <v>118</v>
      </c>
      <c r="E8948" s="13" t="s">
        <v>16334</v>
      </c>
      <c r="F8948" s="43">
        <v>278.99</v>
      </c>
    </row>
    <row r="8949" spans="2:6" x14ac:dyDescent="0.25">
      <c r="B8949" s="13" t="s">
        <v>16335</v>
      </c>
      <c r="C8949" s="17" t="s">
        <v>170</v>
      </c>
      <c r="D8949" s="13" t="s">
        <v>118</v>
      </c>
      <c r="E8949" s="13" t="s">
        <v>16336</v>
      </c>
      <c r="F8949" s="43">
        <v>278.99</v>
      </c>
    </row>
    <row r="8950" spans="2:6" x14ac:dyDescent="0.25">
      <c r="B8950" s="13" t="s">
        <v>16337</v>
      </c>
      <c r="C8950" s="17" t="s">
        <v>170</v>
      </c>
      <c r="D8950" s="13" t="s">
        <v>118</v>
      </c>
      <c r="E8950" s="13" t="s">
        <v>16338</v>
      </c>
      <c r="F8950" s="43">
        <v>278.99</v>
      </c>
    </row>
    <row r="8951" spans="2:6" x14ac:dyDescent="0.25">
      <c r="B8951" s="13" t="s">
        <v>16339</v>
      </c>
      <c r="C8951" s="17" t="s">
        <v>170</v>
      </c>
      <c r="D8951" s="13" t="s">
        <v>118</v>
      </c>
      <c r="E8951" s="13" t="s">
        <v>16340</v>
      </c>
      <c r="F8951" s="43">
        <v>278.99</v>
      </c>
    </row>
    <row r="8952" spans="2:6" x14ac:dyDescent="0.25">
      <c r="B8952" s="13" t="s">
        <v>16341</v>
      </c>
      <c r="C8952" s="17" t="s">
        <v>170</v>
      </c>
      <c r="D8952" s="13" t="s">
        <v>118</v>
      </c>
      <c r="E8952" s="13" t="s">
        <v>16342</v>
      </c>
      <c r="F8952" s="43">
        <v>278.99</v>
      </c>
    </row>
    <row r="8953" spans="2:6" x14ac:dyDescent="0.25">
      <c r="B8953" s="13" t="s">
        <v>16343</v>
      </c>
      <c r="C8953" s="17" t="s">
        <v>170</v>
      </c>
      <c r="D8953" s="13" t="s">
        <v>118</v>
      </c>
      <c r="E8953" s="13" t="s">
        <v>16344</v>
      </c>
      <c r="F8953" s="43">
        <v>278.99</v>
      </c>
    </row>
    <row r="8954" spans="2:6" x14ac:dyDescent="0.25">
      <c r="B8954" s="13" t="s">
        <v>16345</v>
      </c>
      <c r="C8954" s="17" t="s">
        <v>170</v>
      </c>
      <c r="D8954" s="13" t="s">
        <v>118</v>
      </c>
      <c r="E8954" s="13" t="s">
        <v>16346</v>
      </c>
      <c r="F8954" s="43">
        <v>278.99</v>
      </c>
    </row>
    <row r="8955" spans="2:6" x14ac:dyDescent="0.25">
      <c r="B8955" s="13" t="s">
        <v>16347</v>
      </c>
      <c r="C8955" s="17" t="s">
        <v>170</v>
      </c>
      <c r="D8955" s="13" t="s">
        <v>118</v>
      </c>
      <c r="E8955" s="13" t="s">
        <v>16348</v>
      </c>
      <c r="F8955" s="43">
        <v>278.99</v>
      </c>
    </row>
    <row r="8956" spans="2:6" x14ac:dyDescent="0.25">
      <c r="B8956" s="13" t="s">
        <v>16349</v>
      </c>
      <c r="C8956" s="17" t="s">
        <v>170</v>
      </c>
      <c r="D8956" s="13" t="s">
        <v>118</v>
      </c>
      <c r="E8956" s="13" t="s">
        <v>16350</v>
      </c>
      <c r="F8956" s="43">
        <v>278.99</v>
      </c>
    </row>
    <row r="8957" spans="2:6" x14ac:dyDescent="0.25">
      <c r="B8957" s="13" t="s">
        <v>16351</v>
      </c>
      <c r="C8957" s="17" t="s">
        <v>170</v>
      </c>
      <c r="D8957" s="13" t="s">
        <v>118</v>
      </c>
      <c r="E8957" s="13" t="s">
        <v>16352</v>
      </c>
      <c r="F8957" s="43">
        <v>278.99</v>
      </c>
    </row>
    <row r="8958" spans="2:6" x14ac:dyDescent="0.25">
      <c r="B8958" s="13" t="s">
        <v>16353</v>
      </c>
      <c r="C8958" s="17" t="s">
        <v>170</v>
      </c>
      <c r="D8958" s="13" t="s">
        <v>118</v>
      </c>
      <c r="E8958" s="13" t="s">
        <v>16354</v>
      </c>
      <c r="F8958" s="43">
        <v>278.99</v>
      </c>
    </row>
    <row r="8959" spans="2:6" x14ac:dyDescent="0.25">
      <c r="B8959" s="13" t="s">
        <v>16355</v>
      </c>
      <c r="C8959" s="17" t="s">
        <v>170</v>
      </c>
      <c r="D8959" s="13" t="s">
        <v>118</v>
      </c>
      <c r="E8959" s="13" t="s">
        <v>16356</v>
      </c>
      <c r="F8959" s="43">
        <v>275.39999999999998</v>
      </c>
    </row>
    <row r="8960" spans="2:6" x14ac:dyDescent="0.25">
      <c r="B8960" s="13" t="s">
        <v>16357</v>
      </c>
      <c r="C8960" s="17" t="s">
        <v>170</v>
      </c>
      <c r="D8960" s="13" t="s">
        <v>118</v>
      </c>
      <c r="E8960" s="13" t="s">
        <v>16358</v>
      </c>
      <c r="F8960" s="43">
        <v>278.99</v>
      </c>
    </row>
    <row r="8961" spans="2:6" x14ac:dyDescent="0.25">
      <c r="B8961" s="13" t="s">
        <v>16359</v>
      </c>
      <c r="C8961" s="17" t="s">
        <v>170</v>
      </c>
      <c r="D8961" s="13" t="s">
        <v>118</v>
      </c>
      <c r="E8961" s="13" t="s">
        <v>16360</v>
      </c>
      <c r="F8961" s="43">
        <v>278.99</v>
      </c>
    </row>
    <row r="8962" spans="2:6" x14ac:dyDescent="0.25">
      <c r="B8962" s="13" t="s">
        <v>16361</v>
      </c>
      <c r="C8962" s="17" t="s">
        <v>170</v>
      </c>
      <c r="D8962" s="13" t="s">
        <v>118</v>
      </c>
      <c r="E8962" s="13" t="s">
        <v>16362</v>
      </c>
      <c r="F8962" s="43">
        <v>278.99</v>
      </c>
    </row>
    <row r="8963" spans="2:6" x14ac:dyDescent="0.25">
      <c r="B8963" s="13" t="s">
        <v>16363</v>
      </c>
      <c r="C8963" s="17" t="s">
        <v>170</v>
      </c>
      <c r="D8963" s="13" t="s">
        <v>118</v>
      </c>
      <c r="E8963" s="13" t="s">
        <v>16364</v>
      </c>
      <c r="F8963" s="43">
        <v>278.99</v>
      </c>
    </row>
    <row r="8964" spans="2:6" x14ac:dyDescent="0.25">
      <c r="B8964" s="13" t="s">
        <v>16365</v>
      </c>
      <c r="C8964" s="17" t="s">
        <v>170</v>
      </c>
      <c r="D8964" s="13" t="s">
        <v>118</v>
      </c>
      <c r="E8964" s="13" t="s">
        <v>16366</v>
      </c>
      <c r="F8964" s="43">
        <v>278.99</v>
      </c>
    </row>
    <row r="8965" spans="2:6" x14ac:dyDescent="0.25">
      <c r="B8965" s="13" t="s">
        <v>16367</v>
      </c>
      <c r="C8965" s="17" t="s">
        <v>170</v>
      </c>
      <c r="D8965" s="13" t="s">
        <v>118</v>
      </c>
      <c r="E8965" s="13" t="s">
        <v>16368</v>
      </c>
      <c r="F8965" s="43">
        <v>278.99</v>
      </c>
    </row>
    <row r="8966" spans="2:6" x14ac:dyDescent="0.25">
      <c r="B8966" s="13" t="s">
        <v>16369</v>
      </c>
      <c r="C8966" s="17" t="s">
        <v>170</v>
      </c>
      <c r="D8966" s="13" t="s">
        <v>118</v>
      </c>
      <c r="E8966" s="13" t="s">
        <v>16370</v>
      </c>
      <c r="F8966" s="43">
        <v>278.99</v>
      </c>
    </row>
    <row r="8967" spans="2:6" x14ac:dyDescent="0.25">
      <c r="B8967" s="13" t="s">
        <v>16371</v>
      </c>
      <c r="C8967" s="17" t="s">
        <v>170</v>
      </c>
      <c r="D8967" s="13" t="s">
        <v>118</v>
      </c>
      <c r="E8967" s="13" t="s">
        <v>16372</v>
      </c>
      <c r="F8967" s="43">
        <v>278.99</v>
      </c>
    </row>
    <row r="8968" spans="2:6" x14ac:dyDescent="0.25">
      <c r="B8968" s="13" t="s">
        <v>16373</v>
      </c>
      <c r="C8968" s="17" t="s">
        <v>170</v>
      </c>
      <c r="D8968" s="13" t="s">
        <v>118</v>
      </c>
      <c r="E8968" s="13" t="s">
        <v>16374</v>
      </c>
      <c r="F8968" s="43">
        <v>278.99</v>
      </c>
    </row>
    <row r="8969" spans="2:6" x14ac:dyDescent="0.25">
      <c r="B8969" s="13" t="s">
        <v>16375</v>
      </c>
      <c r="C8969" s="17" t="s">
        <v>170</v>
      </c>
      <c r="D8969" s="13" t="s">
        <v>118</v>
      </c>
      <c r="E8969" s="13" t="s">
        <v>16376</v>
      </c>
      <c r="F8969" s="43">
        <v>278.99</v>
      </c>
    </row>
    <row r="8970" spans="2:6" x14ac:dyDescent="0.25">
      <c r="B8970" s="13" t="s">
        <v>16377</v>
      </c>
      <c r="C8970" s="17" t="s">
        <v>170</v>
      </c>
      <c r="D8970" s="13" t="s">
        <v>118</v>
      </c>
      <c r="E8970" s="13" t="s">
        <v>16378</v>
      </c>
      <c r="F8970" s="43">
        <v>278.99</v>
      </c>
    </row>
    <row r="8971" spans="2:6" x14ac:dyDescent="0.25">
      <c r="B8971" s="13" t="s">
        <v>16379</v>
      </c>
      <c r="C8971" s="17" t="s">
        <v>170</v>
      </c>
      <c r="D8971" s="13" t="s">
        <v>118</v>
      </c>
      <c r="E8971" s="13" t="s">
        <v>16380</v>
      </c>
      <c r="F8971" s="43">
        <v>278.99</v>
      </c>
    </row>
    <row r="8972" spans="2:6" x14ac:dyDescent="0.25">
      <c r="B8972" s="13" t="s">
        <v>16381</v>
      </c>
      <c r="C8972" s="17" t="s">
        <v>170</v>
      </c>
      <c r="D8972" s="13" t="s">
        <v>118</v>
      </c>
      <c r="E8972" s="13" t="s">
        <v>16382</v>
      </c>
      <c r="F8972" s="43">
        <v>278.99</v>
      </c>
    </row>
    <row r="8973" spans="2:6" x14ac:dyDescent="0.25">
      <c r="B8973" s="13" t="s">
        <v>16383</v>
      </c>
      <c r="C8973" s="17" t="s">
        <v>170</v>
      </c>
      <c r="D8973" s="13" t="s">
        <v>118</v>
      </c>
      <c r="E8973" s="13" t="s">
        <v>16384</v>
      </c>
      <c r="F8973" s="43">
        <v>278.99</v>
      </c>
    </row>
    <row r="8974" spans="2:6" x14ac:dyDescent="0.25">
      <c r="B8974" s="13" t="s">
        <v>16385</v>
      </c>
      <c r="C8974" s="17" t="s">
        <v>170</v>
      </c>
      <c r="D8974" s="13" t="s">
        <v>118</v>
      </c>
      <c r="E8974" s="13" t="s">
        <v>16386</v>
      </c>
      <c r="F8974" s="43">
        <v>278.99</v>
      </c>
    </row>
    <row r="8975" spans="2:6" x14ac:dyDescent="0.25">
      <c r="B8975" s="13" t="s">
        <v>16387</v>
      </c>
      <c r="C8975" s="17" t="s">
        <v>170</v>
      </c>
      <c r="D8975" s="13" t="s">
        <v>118</v>
      </c>
      <c r="E8975" s="13" t="s">
        <v>16388</v>
      </c>
      <c r="F8975" s="43">
        <v>278.99</v>
      </c>
    </row>
    <row r="8976" spans="2:6" x14ac:dyDescent="0.25">
      <c r="B8976" s="13" t="s">
        <v>16389</v>
      </c>
      <c r="C8976" s="17" t="s">
        <v>170</v>
      </c>
      <c r="D8976" s="13" t="s">
        <v>118</v>
      </c>
      <c r="E8976" s="13" t="s">
        <v>16390</v>
      </c>
      <c r="F8976" s="43">
        <v>278.99</v>
      </c>
    </row>
    <row r="8977" spans="2:6" x14ac:dyDescent="0.25">
      <c r="B8977" s="13" t="s">
        <v>16391</v>
      </c>
      <c r="C8977" s="17" t="s">
        <v>170</v>
      </c>
      <c r="D8977" s="13" t="s">
        <v>118</v>
      </c>
      <c r="E8977" s="13" t="s">
        <v>16392</v>
      </c>
      <c r="F8977" s="43">
        <v>278.99</v>
      </c>
    </row>
    <row r="8978" spans="2:6" x14ac:dyDescent="0.25">
      <c r="B8978" s="13" t="s">
        <v>16393</v>
      </c>
      <c r="C8978" s="17" t="s">
        <v>170</v>
      </c>
      <c r="D8978" s="13" t="s">
        <v>118</v>
      </c>
      <c r="E8978" s="13" t="s">
        <v>16394</v>
      </c>
      <c r="F8978" s="43">
        <v>278.99</v>
      </c>
    </row>
    <row r="8979" spans="2:6" x14ac:dyDescent="0.25">
      <c r="B8979" s="13" t="s">
        <v>16395</v>
      </c>
      <c r="C8979" s="17" t="s">
        <v>170</v>
      </c>
      <c r="D8979" s="13" t="s">
        <v>118</v>
      </c>
      <c r="E8979" s="13" t="s">
        <v>16396</v>
      </c>
      <c r="F8979" s="43">
        <v>278.99</v>
      </c>
    </row>
    <row r="8980" spans="2:6" x14ac:dyDescent="0.25">
      <c r="B8980" s="13" t="s">
        <v>16397</v>
      </c>
      <c r="C8980" s="17" t="s">
        <v>170</v>
      </c>
      <c r="D8980" s="13" t="s">
        <v>118</v>
      </c>
      <c r="E8980" s="13" t="s">
        <v>16398</v>
      </c>
      <c r="F8980" s="43">
        <v>278.99</v>
      </c>
    </row>
    <row r="8981" spans="2:6" x14ac:dyDescent="0.25">
      <c r="B8981" s="13" t="s">
        <v>16399</v>
      </c>
      <c r="C8981" s="17" t="s">
        <v>170</v>
      </c>
      <c r="D8981" s="13" t="s">
        <v>118</v>
      </c>
      <c r="E8981" s="13" t="s">
        <v>16400</v>
      </c>
      <c r="F8981" s="43">
        <v>278.99</v>
      </c>
    </row>
    <row r="8982" spans="2:6" x14ac:dyDescent="0.25">
      <c r="B8982" s="13" t="s">
        <v>16401</v>
      </c>
      <c r="C8982" s="17" t="s">
        <v>170</v>
      </c>
      <c r="D8982" s="13" t="s">
        <v>118</v>
      </c>
      <c r="E8982" s="13" t="s">
        <v>16402</v>
      </c>
      <c r="F8982" s="43">
        <v>278.99</v>
      </c>
    </row>
    <row r="8983" spans="2:6" x14ac:dyDescent="0.25">
      <c r="B8983" s="13" t="s">
        <v>16403</v>
      </c>
      <c r="C8983" s="17" t="s">
        <v>170</v>
      </c>
      <c r="D8983" s="13" t="s">
        <v>118</v>
      </c>
      <c r="E8983" s="13" t="s">
        <v>16404</v>
      </c>
      <c r="F8983" s="43">
        <v>278.99</v>
      </c>
    </row>
    <row r="8984" spans="2:6" x14ac:dyDescent="0.25">
      <c r="B8984" s="13" t="s">
        <v>16405</v>
      </c>
      <c r="C8984" s="17" t="s">
        <v>170</v>
      </c>
      <c r="D8984" s="13" t="s">
        <v>118</v>
      </c>
      <c r="E8984" s="13" t="s">
        <v>16406</v>
      </c>
      <c r="F8984" s="43">
        <v>278.99</v>
      </c>
    </row>
    <row r="8985" spans="2:6" x14ac:dyDescent="0.25">
      <c r="B8985" s="13" t="s">
        <v>16407</v>
      </c>
      <c r="C8985" s="17" t="s">
        <v>170</v>
      </c>
      <c r="D8985" s="13" t="s">
        <v>118</v>
      </c>
      <c r="E8985" s="13" t="s">
        <v>16408</v>
      </c>
      <c r="F8985" s="43">
        <v>554.39</v>
      </c>
    </row>
    <row r="8986" spans="2:6" x14ac:dyDescent="0.25">
      <c r="B8986" s="13" t="s">
        <v>16409</v>
      </c>
      <c r="C8986" s="17" t="s">
        <v>170</v>
      </c>
      <c r="D8986" s="13" t="s">
        <v>118</v>
      </c>
      <c r="E8986" s="13" t="s">
        <v>16410</v>
      </c>
      <c r="F8986" s="43">
        <v>550.79999999999995</v>
      </c>
    </row>
    <row r="8987" spans="2:6" x14ac:dyDescent="0.25">
      <c r="B8987" s="13" t="s">
        <v>16411</v>
      </c>
      <c r="C8987" s="17" t="s">
        <v>170</v>
      </c>
      <c r="D8987" s="13" t="s">
        <v>118</v>
      </c>
      <c r="E8987" s="13" t="s">
        <v>16412</v>
      </c>
      <c r="F8987" s="43">
        <v>554.39</v>
      </c>
    </row>
    <row r="8988" spans="2:6" x14ac:dyDescent="0.25">
      <c r="B8988" s="13" t="s">
        <v>16413</v>
      </c>
      <c r="C8988" s="17" t="s">
        <v>170</v>
      </c>
      <c r="D8988" s="13" t="s">
        <v>118</v>
      </c>
      <c r="E8988" s="13" t="s">
        <v>16414</v>
      </c>
      <c r="F8988" s="43">
        <v>550.79999999999995</v>
      </c>
    </row>
    <row r="8989" spans="2:6" x14ac:dyDescent="0.25">
      <c r="B8989" s="13" t="s">
        <v>16415</v>
      </c>
      <c r="C8989" s="17" t="s">
        <v>170</v>
      </c>
      <c r="D8989" s="13" t="s">
        <v>118</v>
      </c>
      <c r="E8989" s="13" t="s">
        <v>16416</v>
      </c>
      <c r="F8989" s="43">
        <v>554.39</v>
      </c>
    </row>
    <row r="8990" spans="2:6" x14ac:dyDescent="0.25">
      <c r="B8990" s="13" t="s">
        <v>16417</v>
      </c>
      <c r="C8990" s="17" t="s">
        <v>170</v>
      </c>
      <c r="D8990" s="13" t="s">
        <v>118</v>
      </c>
      <c r="E8990" s="13" t="s">
        <v>16418</v>
      </c>
      <c r="F8990" s="43">
        <v>554.39</v>
      </c>
    </row>
    <row r="8991" spans="2:6" x14ac:dyDescent="0.25">
      <c r="B8991" s="13" t="s">
        <v>16419</v>
      </c>
      <c r="C8991" s="17" t="s">
        <v>170</v>
      </c>
      <c r="D8991" s="13" t="s">
        <v>118</v>
      </c>
      <c r="E8991" s="13" t="s">
        <v>16420</v>
      </c>
      <c r="F8991" s="43">
        <v>554.39</v>
      </c>
    </row>
    <row r="8992" spans="2:6" x14ac:dyDescent="0.25">
      <c r="B8992" s="13" t="s">
        <v>16421</v>
      </c>
      <c r="C8992" s="17" t="s">
        <v>170</v>
      </c>
      <c r="D8992" s="13" t="s">
        <v>118</v>
      </c>
      <c r="E8992" s="13" t="s">
        <v>16422</v>
      </c>
      <c r="F8992" s="43">
        <v>550.79999999999995</v>
      </c>
    </row>
    <row r="8993" spans="2:6" x14ac:dyDescent="0.25">
      <c r="B8993" s="13" t="s">
        <v>16423</v>
      </c>
      <c r="C8993" s="17" t="s">
        <v>170</v>
      </c>
      <c r="D8993" s="13" t="s">
        <v>118</v>
      </c>
      <c r="E8993" s="13" t="s">
        <v>16424</v>
      </c>
      <c r="F8993" s="43">
        <v>554.39</v>
      </c>
    </row>
    <row r="8994" spans="2:6" x14ac:dyDescent="0.25">
      <c r="B8994" s="13" t="s">
        <v>16425</v>
      </c>
      <c r="C8994" s="17" t="s">
        <v>170</v>
      </c>
      <c r="D8994" s="13" t="s">
        <v>118</v>
      </c>
      <c r="E8994" s="13" t="s">
        <v>16426</v>
      </c>
      <c r="F8994" s="43">
        <v>275.39999999999998</v>
      </c>
    </row>
    <row r="8995" spans="2:6" x14ac:dyDescent="0.25">
      <c r="B8995" s="13" t="s">
        <v>16427</v>
      </c>
      <c r="C8995" s="17" t="s">
        <v>170</v>
      </c>
      <c r="D8995" s="13" t="s">
        <v>118</v>
      </c>
      <c r="E8995" s="13" t="s">
        <v>16428</v>
      </c>
      <c r="F8995" s="43">
        <v>278.99</v>
      </c>
    </row>
    <row r="8996" spans="2:6" x14ac:dyDescent="0.25">
      <c r="B8996" s="13" t="s">
        <v>16429</v>
      </c>
      <c r="C8996" s="17" t="s">
        <v>170</v>
      </c>
      <c r="D8996" s="13" t="s">
        <v>118</v>
      </c>
      <c r="E8996" s="13" t="s">
        <v>16430</v>
      </c>
      <c r="F8996" s="43">
        <v>278.99</v>
      </c>
    </row>
    <row r="8997" spans="2:6" x14ac:dyDescent="0.25">
      <c r="B8997" s="13" t="s">
        <v>16431</v>
      </c>
      <c r="C8997" s="17" t="s">
        <v>170</v>
      </c>
      <c r="D8997" s="13" t="s">
        <v>118</v>
      </c>
      <c r="E8997" s="13" t="s">
        <v>16432</v>
      </c>
      <c r="F8997" s="43">
        <v>275.39999999999998</v>
      </c>
    </row>
    <row r="8998" spans="2:6" x14ac:dyDescent="0.25">
      <c r="B8998" s="13" t="s">
        <v>16433</v>
      </c>
      <c r="C8998" s="17" t="s">
        <v>170</v>
      </c>
      <c r="D8998" s="13" t="s">
        <v>118</v>
      </c>
      <c r="E8998" s="13" t="s">
        <v>16434</v>
      </c>
      <c r="F8998" s="43">
        <v>278.99</v>
      </c>
    </row>
    <row r="8999" spans="2:6" x14ac:dyDescent="0.25">
      <c r="B8999" s="13" t="s">
        <v>16435</v>
      </c>
      <c r="C8999" s="17" t="s">
        <v>170</v>
      </c>
      <c r="D8999" s="13" t="s">
        <v>118</v>
      </c>
      <c r="E8999" s="13" t="s">
        <v>16436</v>
      </c>
      <c r="F8999" s="43">
        <v>275.39999999999998</v>
      </c>
    </row>
    <row r="9000" spans="2:6" x14ac:dyDescent="0.25">
      <c r="B9000" s="13" t="s">
        <v>16437</v>
      </c>
      <c r="C9000" s="17" t="s">
        <v>170</v>
      </c>
      <c r="D9000" s="13" t="s">
        <v>118</v>
      </c>
      <c r="E9000" s="13" t="s">
        <v>16438</v>
      </c>
      <c r="F9000" s="43">
        <v>278.99</v>
      </c>
    </row>
    <row r="9001" spans="2:6" x14ac:dyDescent="0.25">
      <c r="B9001" s="13" t="s">
        <v>16439</v>
      </c>
      <c r="C9001" s="17" t="s">
        <v>170</v>
      </c>
      <c r="D9001" s="13" t="s">
        <v>118</v>
      </c>
      <c r="E9001" s="13" t="s">
        <v>16440</v>
      </c>
      <c r="F9001" s="43">
        <v>278.99</v>
      </c>
    </row>
    <row r="9002" spans="2:6" x14ac:dyDescent="0.25">
      <c r="B9002" s="13" t="s">
        <v>16441</v>
      </c>
      <c r="C9002" s="17" t="s">
        <v>170</v>
      </c>
      <c r="D9002" s="13" t="s">
        <v>118</v>
      </c>
      <c r="E9002" s="13" t="s">
        <v>16442</v>
      </c>
      <c r="F9002" s="43">
        <v>278.99</v>
      </c>
    </row>
    <row r="9003" spans="2:6" x14ac:dyDescent="0.25">
      <c r="B9003" s="13" t="s">
        <v>16443</v>
      </c>
      <c r="C9003" s="17" t="s">
        <v>170</v>
      </c>
      <c r="D9003" s="13" t="s">
        <v>118</v>
      </c>
      <c r="E9003" s="13" t="s">
        <v>16444</v>
      </c>
      <c r="F9003" s="43">
        <v>275.39999999999998</v>
      </c>
    </row>
    <row r="9004" spans="2:6" x14ac:dyDescent="0.25">
      <c r="B9004" s="13" t="s">
        <v>16445</v>
      </c>
      <c r="C9004" s="17" t="s">
        <v>170</v>
      </c>
      <c r="D9004" s="13" t="s">
        <v>118</v>
      </c>
      <c r="E9004" s="13" t="s">
        <v>16446</v>
      </c>
      <c r="F9004" s="43">
        <v>278.99</v>
      </c>
    </row>
    <row r="9005" spans="2:6" x14ac:dyDescent="0.25">
      <c r="B9005" s="13" t="s">
        <v>16447</v>
      </c>
      <c r="C9005" s="17" t="s">
        <v>170</v>
      </c>
      <c r="D9005" s="13" t="s">
        <v>118</v>
      </c>
      <c r="E9005" s="13" t="s">
        <v>16448</v>
      </c>
      <c r="F9005" s="43">
        <v>275.39999999999998</v>
      </c>
    </row>
    <row r="9006" spans="2:6" x14ac:dyDescent="0.25">
      <c r="B9006" s="13" t="s">
        <v>16449</v>
      </c>
      <c r="C9006" s="17" t="s">
        <v>170</v>
      </c>
      <c r="D9006" s="13" t="s">
        <v>118</v>
      </c>
      <c r="E9006" s="13" t="s">
        <v>16450</v>
      </c>
      <c r="F9006" s="43">
        <v>278.99</v>
      </c>
    </row>
    <row r="9007" spans="2:6" x14ac:dyDescent="0.25">
      <c r="B9007" s="13" t="s">
        <v>16451</v>
      </c>
      <c r="C9007" s="17" t="s">
        <v>170</v>
      </c>
      <c r="D9007" s="13" t="s">
        <v>118</v>
      </c>
      <c r="E9007" s="13" t="s">
        <v>16452</v>
      </c>
      <c r="F9007" s="43">
        <v>554.39</v>
      </c>
    </row>
    <row r="9008" spans="2:6" x14ac:dyDescent="0.25">
      <c r="B9008" s="13" t="s">
        <v>16453</v>
      </c>
      <c r="C9008" s="17" t="s">
        <v>170</v>
      </c>
      <c r="D9008" s="13" t="s">
        <v>118</v>
      </c>
      <c r="E9008" s="13" t="s">
        <v>16454</v>
      </c>
      <c r="F9008" s="43">
        <v>554.39</v>
      </c>
    </row>
    <row r="9009" spans="2:6" x14ac:dyDescent="0.25">
      <c r="B9009" s="13" t="s">
        <v>16455</v>
      </c>
      <c r="C9009" s="17" t="s">
        <v>170</v>
      </c>
      <c r="D9009" s="13" t="s">
        <v>118</v>
      </c>
      <c r="E9009" s="13" t="s">
        <v>16456</v>
      </c>
      <c r="F9009" s="43">
        <v>554.39</v>
      </c>
    </row>
    <row r="9010" spans="2:6" x14ac:dyDescent="0.25">
      <c r="B9010" s="13" t="s">
        <v>16457</v>
      </c>
      <c r="C9010" s="17" t="s">
        <v>170</v>
      </c>
      <c r="D9010" s="13" t="s">
        <v>118</v>
      </c>
      <c r="E9010" s="13" t="s">
        <v>16458</v>
      </c>
      <c r="F9010" s="43">
        <v>554.39</v>
      </c>
    </row>
    <row r="9011" spans="2:6" x14ac:dyDescent="0.25">
      <c r="B9011" s="13" t="s">
        <v>16459</v>
      </c>
      <c r="C9011" s="17" t="s">
        <v>170</v>
      </c>
      <c r="D9011" s="13" t="s">
        <v>118</v>
      </c>
      <c r="E9011" s="13" t="s">
        <v>16460</v>
      </c>
      <c r="F9011" s="43">
        <v>554.39</v>
      </c>
    </row>
    <row r="9012" spans="2:6" x14ac:dyDescent="0.25">
      <c r="B9012" s="13" t="s">
        <v>16461</v>
      </c>
      <c r="C9012" s="17" t="s">
        <v>170</v>
      </c>
      <c r="D9012" s="13" t="s">
        <v>118</v>
      </c>
      <c r="E9012" s="13" t="s">
        <v>16462</v>
      </c>
      <c r="F9012" s="43">
        <v>554.39</v>
      </c>
    </row>
    <row r="9013" spans="2:6" x14ac:dyDescent="0.25">
      <c r="B9013" s="13" t="s">
        <v>16463</v>
      </c>
      <c r="C9013" s="17" t="s">
        <v>170</v>
      </c>
      <c r="D9013" s="13" t="s">
        <v>118</v>
      </c>
      <c r="E9013" s="13" t="s">
        <v>16464</v>
      </c>
      <c r="F9013" s="43">
        <v>554.39</v>
      </c>
    </row>
    <row r="9014" spans="2:6" x14ac:dyDescent="0.25">
      <c r="B9014" s="13" t="s">
        <v>16465</v>
      </c>
      <c r="C9014" s="17" t="s">
        <v>170</v>
      </c>
      <c r="D9014" s="13" t="s">
        <v>118</v>
      </c>
      <c r="E9014" s="13" t="s">
        <v>16466</v>
      </c>
      <c r="F9014" s="43">
        <v>554.39</v>
      </c>
    </row>
    <row r="9015" spans="2:6" x14ac:dyDescent="0.25">
      <c r="B9015" s="13" t="s">
        <v>16467</v>
      </c>
      <c r="C9015" s="17" t="s">
        <v>170</v>
      </c>
      <c r="D9015" s="13" t="s">
        <v>118</v>
      </c>
      <c r="E9015" s="13" t="s">
        <v>16468</v>
      </c>
      <c r="F9015" s="43">
        <v>554.39</v>
      </c>
    </row>
    <row r="9016" spans="2:6" x14ac:dyDescent="0.25">
      <c r="B9016" s="13" t="s">
        <v>16469</v>
      </c>
      <c r="C9016" s="17" t="s">
        <v>170</v>
      </c>
      <c r="D9016" s="13" t="s">
        <v>118</v>
      </c>
      <c r="E9016" s="13" t="s">
        <v>16470</v>
      </c>
      <c r="F9016" s="43">
        <v>554.39</v>
      </c>
    </row>
    <row r="9017" spans="2:6" x14ac:dyDescent="0.25">
      <c r="B9017" s="13" t="s">
        <v>16471</v>
      </c>
      <c r="C9017" s="17" t="s">
        <v>170</v>
      </c>
      <c r="D9017" s="13" t="s">
        <v>118</v>
      </c>
      <c r="E9017" s="13" t="s">
        <v>16472</v>
      </c>
      <c r="F9017" s="43">
        <v>554.39</v>
      </c>
    </row>
    <row r="9018" spans="2:6" x14ac:dyDescent="0.25">
      <c r="B9018" s="13" t="s">
        <v>16473</v>
      </c>
      <c r="C9018" s="17" t="s">
        <v>170</v>
      </c>
      <c r="D9018" s="13" t="s">
        <v>118</v>
      </c>
      <c r="E9018" s="13" t="s">
        <v>16474</v>
      </c>
      <c r="F9018" s="43">
        <v>278.99</v>
      </c>
    </row>
    <row r="9019" spans="2:6" x14ac:dyDescent="0.25">
      <c r="B9019" s="13" t="s">
        <v>16475</v>
      </c>
      <c r="C9019" s="17" t="s">
        <v>170</v>
      </c>
      <c r="D9019" s="13" t="s">
        <v>118</v>
      </c>
      <c r="E9019" s="13" t="s">
        <v>16476</v>
      </c>
      <c r="F9019" s="43">
        <v>278.99</v>
      </c>
    </row>
    <row r="9020" spans="2:6" x14ac:dyDescent="0.25">
      <c r="B9020" s="13" t="s">
        <v>16477</v>
      </c>
      <c r="C9020" s="17" t="s">
        <v>170</v>
      </c>
      <c r="D9020" s="13" t="s">
        <v>118</v>
      </c>
      <c r="E9020" s="13" t="s">
        <v>16478</v>
      </c>
      <c r="F9020" s="43">
        <v>278.99</v>
      </c>
    </row>
    <row r="9021" spans="2:6" x14ac:dyDescent="0.25">
      <c r="B9021" s="13" t="s">
        <v>16479</v>
      </c>
      <c r="C9021" s="17" t="s">
        <v>170</v>
      </c>
      <c r="D9021" s="13" t="s">
        <v>118</v>
      </c>
      <c r="E9021" s="13" t="s">
        <v>16480</v>
      </c>
      <c r="F9021" s="43">
        <v>278.99</v>
      </c>
    </row>
    <row r="9022" spans="2:6" x14ac:dyDescent="0.25">
      <c r="B9022" s="13" t="s">
        <v>16481</v>
      </c>
      <c r="C9022" s="17" t="s">
        <v>170</v>
      </c>
      <c r="D9022" s="13" t="s">
        <v>118</v>
      </c>
      <c r="E9022" s="13" t="s">
        <v>16482</v>
      </c>
      <c r="F9022" s="43">
        <v>278.99</v>
      </c>
    </row>
    <row r="9023" spans="2:6" x14ac:dyDescent="0.25">
      <c r="B9023" s="13" t="s">
        <v>16483</v>
      </c>
      <c r="C9023" s="17" t="s">
        <v>170</v>
      </c>
      <c r="D9023" s="13" t="s">
        <v>118</v>
      </c>
      <c r="E9023" s="13" t="s">
        <v>16484</v>
      </c>
      <c r="F9023" s="43">
        <v>278.99</v>
      </c>
    </row>
    <row r="9024" spans="2:6" x14ac:dyDescent="0.25">
      <c r="B9024" s="13" t="s">
        <v>16485</v>
      </c>
      <c r="C9024" s="17" t="s">
        <v>170</v>
      </c>
      <c r="D9024" s="13" t="s">
        <v>118</v>
      </c>
      <c r="E9024" s="13" t="s">
        <v>16486</v>
      </c>
      <c r="F9024" s="43">
        <v>278.99</v>
      </c>
    </row>
    <row r="9025" spans="2:6" x14ac:dyDescent="0.25">
      <c r="B9025" s="13" t="s">
        <v>16487</v>
      </c>
      <c r="C9025" s="17" t="s">
        <v>170</v>
      </c>
      <c r="D9025" s="13" t="s">
        <v>118</v>
      </c>
      <c r="E9025" s="13" t="s">
        <v>16488</v>
      </c>
      <c r="F9025" s="43">
        <v>278.99</v>
      </c>
    </row>
    <row r="9026" spans="2:6" x14ac:dyDescent="0.25">
      <c r="B9026" s="13" t="s">
        <v>16489</v>
      </c>
      <c r="C9026" s="17" t="s">
        <v>170</v>
      </c>
      <c r="D9026" s="13" t="s">
        <v>118</v>
      </c>
      <c r="E9026" s="13" t="s">
        <v>16490</v>
      </c>
      <c r="F9026" s="43">
        <v>278.99</v>
      </c>
    </row>
    <row r="9027" spans="2:6" x14ac:dyDescent="0.25">
      <c r="B9027" s="13" t="s">
        <v>16491</v>
      </c>
      <c r="C9027" s="17" t="s">
        <v>170</v>
      </c>
      <c r="D9027" s="13" t="s">
        <v>118</v>
      </c>
      <c r="E9027" s="13" t="s">
        <v>16492</v>
      </c>
      <c r="F9027" s="43">
        <v>278.99</v>
      </c>
    </row>
    <row r="9028" spans="2:6" x14ac:dyDescent="0.25">
      <c r="B9028" s="13" t="s">
        <v>16493</v>
      </c>
      <c r="C9028" s="17" t="s">
        <v>170</v>
      </c>
      <c r="D9028" s="13" t="s">
        <v>118</v>
      </c>
      <c r="E9028" s="13" t="s">
        <v>16494</v>
      </c>
      <c r="F9028" s="43">
        <v>278.99</v>
      </c>
    </row>
    <row r="9029" spans="2:6" x14ac:dyDescent="0.25">
      <c r="B9029" s="13" t="s">
        <v>16495</v>
      </c>
      <c r="C9029" s="17" t="s">
        <v>170</v>
      </c>
      <c r="D9029" s="13" t="s">
        <v>118</v>
      </c>
      <c r="E9029" s="13" t="s">
        <v>16496</v>
      </c>
      <c r="F9029" s="43">
        <v>278.99</v>
      </c>
    </row>
    <row r="9030" spans="2:6" x14ac:dyDescent="0.25">
      <c r="B9030" s="13" t="s">
        <v>16497</v>
      </c>
      <c r="C9030" s="17" t="s">
        <v>170</v>
      </c>
      <c r="D9030" s="13" t="s">
        <v>118</v>
      </c>
      <c r="E9030" s="13" t="s">
        <v>16498</v>
      </c>
      <c r="F9030" s="43">
        <v>278.99</v>
      </c>
    </row>
    <row r="9031" spans="2:6" x14ac:dyDescent="0.25">
      <c r="B9031" s="13" t="s">
        <v>16499</v>
      </c>
      <c r="C9031" s="17" t="s">
        <v>170</v>
      </c>
      <c r="D9031" s="13" t="s">
        <v>118</v>
      </c>
      <c r="E9031" s="13" t="s">
        <v>16500</v>
      </c>
      <c r="F9031" s="43">
        <v>278.99</v>
      </c>
    </row>
    <row r="9032" spans="2:6" x14ac:dyDescent="0.25">
      <c r="B9032" s="13" t="s">
        <v>16501</v>
      </c>
      <c r="C9032" s="17" t="s">
        <v>170</v>
      </c>
      <c r="D9032" s="13" t="s">
        <v>118</v>
      </c>
      <c r="E9032" s="13" t="s">
        <v>16502</v>
      </c>
      <c r="F9032" s="43">
        <v>68.849999999999994</v>
      </c>
    </row>
    <row r="9033" spans="2:6" x14ac:dyDescent="0.25">
      <c r="B9033" s="13" t="s">
        <v>16503</v>
      </c>
      <c r="C9033" s="17" t="s">
        <v>170</v>
      </c>
      <c r="D9033" s="13" t="s">
        <v>118</v>
      </c>
      <c r="E9033" s="13" t="s">
        <v>16504</v>
      </c>
      <c r="F9033" s="43">
        <v>3.59</v>
      </c>
    </row>
    <row r="9034" spans="2:6" x14ac:dyDescent="0.25">
      <c r="B9034" s="13" t="s">
        <v>16505</v>
      </c>
      <c r="C9034" s="17" t="s">
        <v>170</v>
      </c>
      <c r="D9034" s="13" t="s">
        <v>118</v>
      </c>
      <c r="E9034" s="13" t="s">
        <v>16506</v>
      </c>
      <c r="F9034" s="43">
        <v>110.16</v>
      </c>
    </row>
    <row r="9035" spans="2:6" x14ac:dyDescent="0.25">
      <c r="B9035" s="13" t="s">
        <v>16507</v>
      </c>
      <c r="C9035" s="17" t="s">
        <v>170</v>
      </c>
      <c r="D9035" s="13" t="s">
        <v>118</v>
      </c>
      <c r="E9035" s="13" t="s">
        <v>16508</v>
      </c>
      <c r="F9035" s="43">
        <v>121.18</v>
      </c>
    </row>
    <row r="9036" spans="2:6" x14ac:dyDescent="0.25">
      <c r="B9036" s="13" t="s">
        <v>16509</v>
      </c>
      <c r="C9036" s="17" t="s">
        <v>170</v>
      </c>
      <c r="D9036" s="13" t="s">
        <v>118</v>
      </c>
      <c r="E9036" s="13" t="s">
        <v>16510</v>
      </c>
      <c r="F9036" s="43">
        <v>68.17</v>
      </c>
    </row>
    <row r="9037" spans="2:6" x14ac:dyDescent="0.25">
      <c r="B9037" s="13" t="s">
        <v>16511</v>
      </c>
      <c r="C9037" s="17" t="s">
        <v>170</v>
      </c>
      <c r="D9037" s="13" t="s">
        <v>118</v>
      </c>
      <c r="E9037" s="13" t="s">
        <v>16512</v>
      </c>
      <c r="F9037" s="43">
        <v>98.46</v>
      </c>
    </row>
    <row r="9038" spans="2:6" x14ac:dyDescent="0.25">
      <c r="B9038" s="13" t="s">
        <v>16513</v>
      </c>
      <c r="C9038" s="17" t="s">
        <v>170</v>
      </c>
      <c r="D9038" s="13" t="s">
        <v>118</v>
      </c>
      <c r="E9038" s="13" t="s">
        <v>16514</v>
      </c>
      <c r="F9038" s="43">
        <v>83.92</v>
      </c>
    </row>
    <row r="9039" spans="2:6" x14ac:dyDescent="0.25">
      <c r="B9039" s="13" t="s">
        <v>16515</v>
      </c>
      <c r="C9039" s="17" t="s">
        <v>170</v>
      </c>
      <c r="D9039" s="13" t="s">
        <v>118</v>
      </c>
      <c r="E9039" s="13" t="s">
        <v>16516</v>
      </c>
      <c r="F9039" s="43">
        <v>378.68</v>
      </c>
    </row>
    <row r="9040" spans="2:6" x14ac:dyDescent="0.25">
      <c r="B9040" s="13" t="s">
        <v>16517</v>
      </c>
      <c r="C9040" s="17" t="s">
        <v>170</v>
      </c>
      <c r="D9040" s="13" t="s">
        <v>118</v>
      </c>
      <c r="E9040" s="13" t="s">
        <v>16518</v>
      </c>
      <c r="F9040" s="43">
        <v>166.62</v>
      </c>
    </row>
    <row r="9041" spans="2:6" x14ac:dyDescent="0.25">
      <c r="B9041" s="13" t="s">
        <v>16519</v>
      </c>
      <c r="C9041" s="17" t="s">
        <v>170</v>
      </c>
      <c r="D9041" s="13" t="s">
        <v>118</v>
      </c>
      <c r="E9041" s="13" t="s">
        <v>16520</v>
      </c>
      <c r="F9041" s="43">
        <v>17.420000000000002</v>
      </c>
    </row>
    <row r="9042" spans="2:6" x14ac:dyDescent="0.25">
      <c r="B9042" s="13" t="s">
        <v>16521</v>
      </c>
      <c r="C9042" s="17" t="s">
        <v>170</v>
      </c>
      <c r="D9042" s="13" t="s">
        <v>118</v>
      </c>
      <c r="E9042" s="13" t="s">
        <v>16522</v>
      </c>
      <c r="F9042" s="43">
        <v>60.59</v>
      </c>
    </row>
    <row r="9043" spans="2:6" x14ac:dyDescent="0.25">
      <c r="B9043" s="13" t="s">
        <v>16523</v>
      </c>
      <c r="C9043" s="17" t="s">
        <v>170</v>
      </c>
      <c r="D9043" s="13" t="s">
        <v>118</v>
      </c>
      <c r="E9043" s="13" t="s">
        <v>16524</v>
      </c>
      <c r="F9043" s="43">
        <v>72.709999999999994</v>
      </c>
    </row>
    <row r="9044" spans="2:6" x14ac:dyDescent="0.25">
      <c r="B9044" s="13" t="s">
        <v>16525</v>
      </c>
      <c r="C9044" s="17" t="s">
        <v>170</v>
      </c>
      <c r="D9044" s="13" t="s">
        <v>118</v>
      </c>
      <c r="E9044" s="13" t="s">
        <v>16526</v>
      </c>
      <c r="F9044" s="43">
        <v>122.9</v>
      </c>
    </row>
    <row r="9045" spans="2:6" x14ac:dyDescent="0.25">
      <c r="B9045" s="13" t="s">
        <v>16527</v>
      </c>
      <c r="C9045" s="17" t="s">
        <v>170</v>
      </c>
      <c r="D9045" s="13" t="s">
        <v>118</v>
      </c>
      <c r="E9045" s="13" t="s">
        <v>16528</v>
      </c>
      <c r="F9045" s="43">
        <v>245.8</v>
      </c>
    </row>
    <row r="9046" spans="2:6" x14ac:dyDescent="0.25">
      <c r="B9046" s="13" t="s">
        <v>16529</v>
      </c>
      <c r="C9046" s="17" t="s">
        <v>170</v>
      </c>
      <c r="D9046" s="13" t="s">
        <v>118</v>
      </c>
      <c r="E9046" s="13" t="s">
        <v>16530</v>
      </c>
      <c r="F9046" s="43">
        <v>491.59</v>
      </c>
    </row>
    <row r="9047" spans="2:6" x14ac:dyDescent="0.25">
      <c r="B9047" s="13" t="s">
        <v>16531</v>
      </c>
      <c r="C9047" s="17" t="s">
        <v>170</v>
      </c>
      <c r="D9047" s="13" t="s">
        <v>118</v>
      </c>
      <c r="E9047" s="13" t="s">
        <v>16532</v>
      </c>
      <c r="F9047" s="43">
        <v>983.18</v>
      </c>
    </row>
    <row r="9048" spans="2:6" x14ac:dyDescent="0.25">
      <c r="B9048" s="13" t="s">
        <v>16533</v>
      </c>
      <c r="C9048" s="17" t="s">
        <v>170</v>
      </c>
      <c r="D9048" s="13" t="s">
        <v>118</v>
      </c>
      <c r="E9048" s="13" t="s">
        <v>16534</v>
      </c>
      <c r="F9048" s="43">
        <v>778.01</v>
      </c>
    </row>
    <row r="9049" spans="2:6" x14ac:dyDescent="0.25">
      <c r="B9049" s="13" t="s">
        <v>16535</v>
      </c>
      <c r="C9049" s="17" t="s">
        <v>170</v>
      </c>
      <c r="D9049" s="13" t="s">
        <v>118</v>
      </c>
      <c r="E9049" s="13" t="s">
        <v>16536</v>
      </c>
      <c r="F9049" s="43">
        <v>778.01</v>
      </c>
    </row>
    <row r="9050" spans="2:6" x14ac:dyDescent="0.25">
      <c r="B9050" s="13" t="s">
        <v>16537</v>
      </c>
      <c r="C9050" s="17" t="s">
        <v>170</v>
      </c>
      <c r="D9050" s="13" t="s">
        <v>118</v>
      </c>
      <c r="E9050" s="13" t="s">
        <v>16538</v>
      </c>
      <c r="F9050" s="43">
        <v>254.75</v>
      </c>
    </row>
    <row r="9051" spans="2:6" x14ac:dyDescent="0.25">
      <c r="B9051" s="13" t="s">
        <v>16539</v>
      </c>
      <c r="C9051" s="17" t="s">
        <v>170</v>
      </c>
      <c r="D9051" s="13" t="s">
        <v>118</v>
      </c>
      <c r="E9051" s="13" t="s">
        <v>16540</v>
      </c>
      <c r="F9051" s="43">
        <v>254.75</v>
      </c>
    </row>
    <row r="9052" spans="2:6" x14ac:dyDescent="0.25">
      <c r="B9052" s="13" t="s">
        <v>16541</v>
      </c>
      <c r="C9052" s="17" t="s">
        <v>170</v>
      </c>
      <c r="D9052" s="13" t="s">
        <v>118</v>
      </c>
      <c r="E9052" s="13" t="s">
        <v>16542</v>
      </c>
      <c r="F9052" s="43">
        <v>254.75</v>
      </c>
    </row>
    <row r="9053" spans="2:6" x14ac:dyDescent="0.25">
      <c r="B9053" s="13" t="s">
        <v>16543</v>
      </c>
      <c r="C9053" s="17" t="s">
        <v>170</v>
      </c>
      <c r="D9053" s="13" t="s">
        <v>118</v>
      </c>
      <c r="E9053" s="13" t="s">
        <v>16544</v>
      </c>
      <c r="F9053" s="43">
        <v>254.75</v>
      </c>
    </row>
    <row r="9054" spans="2:6" x14ac:dyDescent="0.25">
      <c r="B9054" s="13" t="s">
        <v>16545</v>
      </c>
      <c r="C9054" s="17" t="s">
        <v>170</v>
      </c>
      <c r="D9054" s="13" t="s">
        <v>118</v>
      </c>
      <c r="E9054" s="13" t="s">
        <v>16546</v>
      </c>
      <c r="F9054" s="43">
        <v>254.75</v>
      </c>
    </row>
    <row r="9055" spans="2:6" x14ac:dyDescent="0.25">
      <c r="B9055" s="13" t="s">
        <v>16547</v>
      </c>
      <c r="C9055" s="17" t="s">
        <v>170</v>
      </c>
      <c r="D9055" s="13" t="s">
        <v>118</v>
      </c>
      <c r="E9055" s="13" t="s">
        <v>16548</v>
      </c>
      <c r="F9055" s="43">
        <v>254.75</v>
      </c>
    </row>
    <row r="9056" spans="2:6" x14ac:dyDescent="0.25">
      <c r="B9056" s="13" t="s">
        <v>16549</v>
      </c>
      <c r="C9056" s="17" t="s">
        <v>170</v>
      </c>
      <c r="D9056" s="13" t="s">
        <v>118</v>
      </c>
      <c r="E9056" s="13" t="s">
        <v>16550</v>
      </c>
      <c r="F9056" s="43">
        <v>254.75</v>
      </c>
    </row>
    <row r="9057" spans="2:6" x14ac:dyDescent="0.25">
      <c r="B9057" s="13" t="s">
        <v>16551</v>
      </c>
      <c r="C9057" s="17" t="s">
        <v>170</v>
      </c>
      <c r="D9057" s="13" t="s">
        <v>118</v>
      </c>
      <c r="E9057" s="13" t="s">
        <v>16552</v>
      </c>
      <c r="F9057" s="43">
        <v>254.75</v>
      </c>
    </row>
    <row r="9058" spans="2:6" x14ac:dyDescent="0.25">
      <c r="B9058" s="13" t="s">
        <v>16553</v>
      </c>
      <c r="C9058" s="17" t="s">
        <v>170</v>
      </c>
      <c r="D9058" s="13" t="s">
        <v>118</v>
      </c>
      <c r="E9058" s="13" t="s">
        <v>16554</v>
      </c>
      <c r="F9058" s="43">
        <v>254.75</v>
      </c>
    </row>
    <row r="9059" spans="2:6" x14ac:dyDescent="0.25">
      <c r="B9059" s="13" t="s">
        <v>16555</v>
      </c>
      <c r="C9059" s="17" t="s">
        <v>170</v>
      </c>
      <c r="D9059" s="13" t="s">
        <v>118</v>
      </c>
      <c r="E9059" s="13" t="s">
        <v>16556</v>
      </c>
      <c r="F9059" s="43">
        <v>254.75</v>
      </c>
    </row>
    <row r="9060" spans="2:6" x14ac:dyDescent="0.25">
      <c r="B9060" s="13" t="s">
        <v>16557</v>
      </c>
      <c r="C9060" s="17" t="s">
        <v>170</v>
      </c>
      <c r="D9060" s="13" t="s">
        <v>118</v>
      </c>
      <c r="E9060" s="13" t="s">
        <v>16558</v>
      </c>
      <c r="F9060" s="43">
        <v>254.75</v>
      </c>
    </row>
    <row r="9061" spans="2:6" x14ac:dyDescent="0.25">
      <c r="B9061" s="13" t="s">
        <v>16559</v>
      </c>
      <c r="C9061" s="17" t="s">
        <v>170</v>
      </c>
      <c r="D9061" s="13" t="s">
        <v>118</v>
      </c>
      <c r="E9061" s="13" t="s">
        <v>16560</v>
      </c>
      <c r="F9061" s="43">
        <v>254.75</v>
      </c>
    </row>
    <row r="9062" spans="2:6" x14ac:dyDescent="0.25">
      <c r="B9062" s="13" t="s">
        <v>16561</v>
      </c>
      <c r="C9062" s="17" t="s">
        <v>170</v>
      </c>
      <c r="D9062" s="13" t="s">
        <v>118</v>
      </c>
      <c r="E9062" s="13" t="s">
        <v>16562</v>
      </c>
      <c r="F9062" s="43">
        <v>254.75</v>
      </c>
    </row>
    <row r="9063" spans="2:6" x14ac:dyDescent="0.25">
      <c r="B9063" s="13" t="s">
        <v>16563</v>
      </c>
      <c r="C9063" s="17" t="s">
        <v>170</v>
      </c>
      <c r="D9063" s="13" t="s">
        <v>118</v>
      </c>
      <c r="E9063" s="13" t="s">
        <v>16564</v>
      </c>
      <c r="F9063" s="43">
        <v>254.75</v>
      </c>
    </row>
    <row r="9064" spans="2:6" x14ac:dyDescent="0.25">
      <c r="B9064" s="13" t="s">
        <v>16565</v>
      </c>
      <c r="C9064" s="17" t="s">
        <v>170</v>
      </c>
      <c r="D9064" s="13" t="s">
        <v>118</v>
      </c>
      <c r="E9064" s="13" t="s">
        <v>16566</v>
      </c>
      <c r="F9064" s="43">
        <v>254.75</v>
      </c>
    </row>
    <row r="9065" spans="2:6" x14ac:dyDescent="0.25">
      <c r="B9065" s="13" t="s">
        <v>16567</v>
      </c>
      <c r="C9065" s="17" t="s">
        <v>170</v>
      </c>
      <c r="D9065" s="13" t="s">
        <v>118</v>
      </c>
      <c r="E9065" s="13" t="s">
        <v>16568</v>
      </c>
      <c r="F9065" s="43">
        <v>254.75</v>
      </c>
    </row>
    <row r="9066" spans="2:6" x14ac:dyDescent="0.25">
      <c r="B9066" s="13" t="s">
        <v>16569</v>
      </c>
      <c r="C9066" s="17" t="s">
        <v>170</v>
      </c>
      <c r="D9066" s="13" t="s">
        <v>118</v>
      </c>
      <c r="E9066" s="13" t="s">
        <v>16570</v>
      </c>
      <c r="F9066" s="43">
        <v>778.01</v>
      </c>
    </row>
    <row r="9067" spans="2:6" x14ac:dyDescent="0.25">
      <c r="B9067" s="13" t="s">
        <v>16571</v>
      </c>
      <c r="C9067" s="17" t="s">
        <v>170</v>
      </c>
      <c r="D9067" s="13" t="s">
        <v>118</v>
      </c>
      <c r="E9067" s="13" t="s">
        <v>16572</v>
      </c>
      <c r="F9067" s="43">
        <v>778.01</v>
      </c>
    </row>
    <row r="9068" spans="2:6" x14ac:dyDescent="0.25">
      <c r="B9068" s="13" t="s">
        <v>16573</v>
      </c>
      <c r="C9068" s="17" t="s">
        <v>170</v>
      </c>
      <c r="D9068" s="13" t="s">
        <v>118</v>
      </c>
      <c r="E9068" s="13" t="s">
        <v>16574</v>
      </c>
      <c r="F9068" s="43">
        <v>778.01</v>
      </c>
    </row>
    <row r="9069" spans="2:6" x14ac:dyDescent="0.25">
      <c r="B9069" s="13" t="s">
        <v>16575</v>
      </c>
      <c r="C9069" s="17" t="s">
        <v>170</v>
      </c>
      <c r="D9069" s="13" t="s">
        <v>118</v>
      </c>
      <c r="E9069" s="13" t="s">
        <v>16576</v>
      </c>
      <c r="F9069" s="43">
        <v>254.75</v>
      </c>
    </row>
    <row r="9070" spans="2:6" x14ac:dyDescent="0.25">
      <c r="B9070" s="13" t="s">
        <v>16577</v>
      </c>
      <c r="C9070" s="17" t="s">
        <v>170</v>
      </c>
      <c r="D9070" s="13" t="s">
        <v>118</v>
      </c>
      <c r="E9070" s="13" t="s">
        <v>16578</v>
      </c>
      <c r="F9070" s="43">
        <v>254.75</v>
      </c>
    </row>
    <row r="9071" spans="2:6" x14ac:dyDescent="0.25">
      <c r="B9071" s="13" t="s">
        <v>16579</v>
      </c>
      <c r="C9071" s="17" t="s">
        <v>170</v>
      </c>
      <c r="D9071" s="13" t="s">
        <v>118</v>
      </c>
      <c r="E9071" s="13" t="s">
        <v>16580</v>
      </c>
      <c r="F9071" s="43">
        <v>254.75</v>
      </c>
    </row>
    <row r="9072" spans="2:6" x14ac:dyDescent="0.25">
      <c r="B9072" s="13" t="s">
        <v>16581</v>
      </c>
      <c r="C9072" s="17" t="s">
        <v>170</v>
      </c>
      <c r="D9072" s="13" t="s">
        <v>118</v>
      </c>
      <c r="E9072" s="13" t="s">
        <v>16582</v>
      </c>
      <c r="F9072" s="43">
        <v>254.75</v>
      </c>
    </row>
    <row r="9073" spans="2:6" x14ac:dyDescent="0.25">
      <c r="B9073" s="13" t="s">
        <v>16583</v>
      </c>
      <c r="C9073" s="17" t="s">
        <v>170</v>
      </c>
      <c r="D9073" s="13" t="s">
        <v>118</v>
      </c>
      <c r="E9073" s="13" t="s">
        <v>16584</v>
      </c>
      <c r="F9073" s="43">
        <v>778.01</v>
      </c>
    </row>
    <row r="9074" spans="2:6" x14ac:dyDescent="0.25">
      <c r="B9074" s="13" t="s">
        <v>16585</v>
      </c>
      <c r="C9074" s="17" t="s">
        <v>170</v>
      </c>
      <c r="D9074" s="13" t="s">
        <v>118</v>
      </c>
      <c r="E9074" s="13" t="s">
        <v>16586</v>
      </c>
      <c r="F9074" s="43">
        <v>778.01</v>
      </c>
    </row>
    <row r="9075" spans="2:6" x14ac:dyDescent="0.25">
      <c r="B9075" s="13" t="s">
        <v>16587</v>
      </c>
      <c r="C9075" s="17" t="s">
        <v>170</v>
      </c>
      <c r="D9075" s="13" t="s">
        <v>118</v>
      </c>
      <c r="E9075" s="13" t="s">
        <v>16588</v>
      </c>
      <c r="F9075" s="43">
        <v>778.01</v>
      </c>
    </row>
    <row r="9076" spans="2:6" x14ac:dyDescent="0.25">
      <c r="B9076" s="13" t="s">
        <v>16589</v>
      </c>
      <c r="C9076" s="17" t="s">
        <v>170</v>
      </c>
      <c r="D9076" s="13" t="s">
        <v>118</v>
      </c>
      <c r="E9076" s="13" t="s">
        <v>16590</v>
      </c>
      <c r="F9076" s="43">
        <v>254.75</v>
      </c>
    </row>
    <row r="9077" spans="2:6" x14ac:dyDescent="0.25">
      <c r="B9077" s="13" t="s">
        <v>16591</v>
      </c>
      <c r="C9077" s="17" t="s">
        <v>170</v>
      </c>
      <c r="D9077" s="13" t="s">
        <v>118</v>
      </c>
      <c r="E9077" s="13" t="s">
        <v>16592</v>
      </c>
      <c r="F9077" s="43">
        <v>254.75</v>
      </c>
    </row>
    <row r="9078" spans="2:6" x14ac:dyDescent="0.25">
      <c r="B9078" s="13" t="s">
        <v>16593</v>
      </c>
      <c r="C9078" s="17" t="s">
        <v>170</v>
      </c>
      <c r="D9078" s="13" t="s">
        <v>118</v>
      </c>
      <c r="E9078" s="13" t="s">
        <v>16594</v>
      </c>
      <c r="F9078" s="43">
        <v>254.75</v>
      </c>
    </row>
    <row r="9079" spans="2:6" x14ac:dyDescent="0.25">
      <c r="B9079" s="13" t="s">
        <v>16595</v>
      </c>
      <c r="C9079" s="17" t="s">
        <v>170</v>
      </c>
      <c r="D9079" s="13" t="s">
        <v>118</v>
      </c>
      <c r="E9079" s="13" t="s">
        <v>16596</v>
      </c>
      <c r="F9079" s="43">
        <v>254.75</v>
      </c>
    </row>
    <row r="9080" spans="2:6" x14ac:dyDescent="0.25">
      <c r="B9080" s="13" t="s">
        <v>16597</v>
      </c>
      <c r="C9080" s="17" t="s">
        <v>170</v>
      </c>
      <c r="D9080" s="13" t="s">
        <v>118</v>
      </c>
      <c r="E9080" s="13" t="s">
        <v>16598</v>
      </c>
      <c r="F9080" s="43">
        <v>254.75</v>
      </c>
    </row>
    <row r="9081" spans="2:6" x14ac:dyDescent="0.25">
      <c r="B9081" s="13" t="s">
        <v>16599</v>
      </c>
      <c r="C9081" s="17" t="s">
        <v>170</v>
      </c>
      <c r="D9081" s="13" t="s">
        <v>118</v>
      </c>
      <c r="E9081" s="13" t="s">
        <v>16600</v>
      </c>
      <c r="F9081" s="43">
        <v>254.75</v>
      </c>
    </row>
    <row r="9082" spans="2:6" x14ac:dyDescent="0.25">
      <c r="B9082" s="13" t="s">
        <v>16601</v>
      </c>
      <c r="C9082" s="17" t="s">
        <v>170</v>
      </c>
      <c r="D9082" s="13" t="s">
        <v>118</v>
      </c>
      <c r="E9082" s="13" t="s">
        <v>16602</v>
      </c>
      <c r="F9082" s="43">
        <v>254.75</v>
      </c>
    </row>
    <row r="9083" spans="2:6" x14ac:dyDescent="0.25">
      <c r="B9083" s="13" t="s">
        <v>16603</v>
      </c>
      <c r="C9083" s="17" t="s">
        <v>170</v>
      </c>
      <c r="D9083" s="13" t="s">
        <v>118</v>
      </c>
      <c r="E9083" s="13" t="s">
        <v>16604</v>
      </c>
      <c r="F9083" s="43">
        <v>254.75</v>
      </c>
    </row>
    <row r="9084" spans="2:6" x14ac:dyDescent="0.25">
      <c r="B9084" s="13" t="s">
        <v>16605</v>
      </c>
      <c r="C9084" s="17" t="s">
        <v>170</v>
      </c>
      <c r="D9084" s="13" t="s">
        <v>118</v>
      </c>
      <c r="E9084" s="13" t="s">
        <v>16606</v>
      </c>
      <c r="F9084" s="43">
        <v>778.01</v>
      </c>
    </row>
    <row r="9085" spans="2:6" x14ac:dyDescent="0.25">
      <c r="B9085" s="13" t="s">
        <v>16607</v>
      </c>
      <c r="C9085" s="17" t="s">
        <v>170</v>
      </c>
      <c r="D9085" s="13" t="s">
        <v>118</v>
      </c>
      <c r="E9085" s="13" t="s">
        <v>16608</v>
      </c>
      <c r="F9085" s="43">
        <v>778.01</v>
      </c>
    </row>
    <row r="9086" spans="2:6" x14ac:dyDescent="0.25">
      <c r="B9086" s="13" t="s">
        <v>16609</v>
      </c>
      <c r="C9086" s="17" t="s">
        <v>170</v>
      </c>
      <c r="D9086" s="13" t="s">
        <v>118</v>
      </c>
      <c r="E9086" s="13" t="s">
        <v>16610</v>
      </c>
      <c r="F9086" s="43">
        <v>778.01</v>
      </c>
    </row>
    <row r="9087" spans="2:6" x14ac:dyDescent="0.25">
      <c r="B9087" s="13" t="s">
        <v>16611</v>
      </c>
      <c r="C9087" s="17" t="s">
        <v>170</v>
      </c>
      <c r="D9087" s="13" t="s">
        <v>118</v>
      </c>
      <c r="E9087" s="13" t="s">
        <v>16612</v>
      </c>
      <c r="F9087" s="43">
        <v>778.01</v>
      </c>
    </row>
    <row r="9088" spans="2:6" x14ac:dyDescent="0.25">
      <c r="B9088" s="13" t="s">
        <v>16613</v>
      </c>
      <c r="C9088" s="17" t="s">
        <v>170</v>
      </c>
      <c r="D9088" s="13" t="s">
        <v>118</v>
      </c>
      <c r="E9088" s="13" t="s">
        <v>16614</v>
      </c>
      <c r="F9088" s="43">
        <v>778.01</v>
      </c>
    </row>
    <row r="9089" spans="2:6" x14ac:dyDescent="0.25">
      <c r="B9089" s="13" t="s">
        <v>16615</v>
      </c>
      <c r="C9089" s="17" t="s">
        <v>170</v>
      </c>
      <c r="D9089" s="13" t="s">
        <v>118</v>
      </c>
      <c r="E9089" s="13" t="s">
        <v>16616</v>
      </c>
      <c r="F9089" s="43">
        <v>778.01</v>
      </c>
    </row>
    <row r="9090" spans="2:6" x14ac:dyDescent="0.25">
      <c r="B9090" s="13" t="s">
        <v>16617</v>
      </c>
      <c r="C9090" s="17" t="s">
        <v>170</v>
      </c>
      <c r="D9090" s="13" t="s">
        <v>118</v>
      </c>
      <c r="E9090" s="13" t="s">
        <v>16618</v>
      </c>
      <c r="F9090" s="43">
        <v>0</v>
      </c>
    </row>
    <row r="9091" spans="2:6" x14ac:dyDescent="0.25">
      <c r="B9091" s="13" t="s">
        <v>16619</v>
      </c>
      <c r="C9091" s="17" t="s">
        <v>170</v>
      </c>
      <c r="D9091" s="13" t="s">
        <v>118</v>
      </c>
      <c r="E9091" s="13" t="s">
        <v>16620</v>
      </c>
      <c r="F9091" s="43">
        <v>0</v>
      </c>
    </row>
    <row r="9092" spans="2:6" x14ac:dyDescent="0.25">
      <c r="B9092" s="13" t="s">
        <v>16621</v>
      </c>
      <c r="C9092" s="17" t="s">
        <v>170</v>
      </c>
      <c r="D9092" s="13" t="s">
        <v>118</v>
      </c>
      <c r="E9092" s="13" t="s">
        <v>16622</v>
      </c>
      <c r="F9092" s="43">
        <v>0</v>
      </c>
    </row>
    <row r="9093" spans="2:6" x14ac:dyDescent="0.25">
      <c r="B9093" s="13" t="s">
        <v>16623</v>
      </c>
      <c r="C9093" s="17" t="s">
        <v>170</v>
      </c>
      <c r="D9093" s="13" t="s">
        <v>118</v>
      </c>
      <c r="E9093" s="13" t="s">
        <v>16624</v>
      </c>
      <c r="F9093" s="43">
        <v>0</v>
      </c>
    </row>
    <row r="9094" spans="2:6" x14ac:dyDescent="0.25">
      <c r="B9094" s="13" t="s">
        <v>16625</v>
      </c>
      <c r="C9094" s="17" t="s">
        <v>170</v>
      </c>
      <c r="D9094" s="13" t="s">
        <v>118</v>
      </c>
      <c r="E9094" s="13" t="s">
        <v>16626</v>
      </c>
      <c r="F9094" s="43">
        <v>0</v>
      </c>
    </row>
    <row r="9095" spans="2:6" x14ac:dyDescent="0.25">
      <c r="B9095" s="13" t="s">
        <v>16627</v>
      </c>
      <c r="C9095" s="17" t="s">
        <v>170</v>
      </c>
      <c r="D9095" s="13" t="s">
        <v>118</v>
      </c>
      <c r="E9095" s="13" t="s">
        <v>16628</v>
      </c>
      <c r="F9095" s="43">
        <v>0</v>
      </c>
    </row>
    <row r="9096" spans="2:6" x14ac:dyDescent="0.25">
      <c r="B9096" s="13" t="s">
        <v>16629</v>
      </c>
      <c r="C9096" s="17" t="s">
        <v>170</v>
      </c>
      <c r="D9096" s="13" t="s">
        <v>118</v>
      </c>
      <c r="E9096" s="13" t="s">
        <v>16630</v>
      </c>
      <c r="F9096" s="43">
        <v>0</v>
      </c>
    </row>
    <row r="9097" spans="2:6" x14ac:dyDescent="0.25">
      <c r="B9097" s="13" t="s">
        <v>16631</v>
      </c>
      <c r="C9097" s="17" t="s">
        <v>170</v>
      </c>
      <c r="D9097" s="13" t="s">
        <v>118</v>
      </c>
      <c r="E9097" s="13" t="s">
        <v>16632</v>
      </c>
      <c r="F9097" s="43">
        <v>0</v>
      </c>
    </row>
    <row r="9098" spans="2:6" x14ac:dyDescent="0.25">
      <c r="B9098" s="13" t="s">
        <v>16633</v>
      </c>
      <c r="C9098" s="17" t="s">
        <v>170</v>
      </c>
      <c r="D9098" s="13" t="s">
        <v>118</v>
      </c>
      <c r="E9098" s="13" t="s">
        <v>16634</v>
      </c>
      <c r="F9098" s="43">
        <v>0</v>
      </c>
    </row>
    <row r="9099" spans="2:6" x14ac:dyDescent="0.25">
      <c r="B9099" s="13" t="s">
        <v>16635</v>
      </c>
      <c r="C9099" s="17" t="s">
        <v>170</v>
      </c>
      <c r="D9099" s="13" t="s">
        <v>118</v>
      </c>
      <c r="E9099" s="13" t="s">
        <v>16636</v>
      </c>
      <c r="F9099" s="43">
        <v>0</v>
      </c>
    </row>
    <row r="9100" spans="2:6" x14ac:dyDescent="0.25">
      <c r="B9100" s="13" t="s">
        <v>16637</v>
      </c>
      <c r="C9100" s="17" t="s">
        <v>170</v>
      </c>
      <c r="D9100" s="13" t="s">
        <v>118</v>
      </c>
      <c r="E9100" s="13" t="s">
        <v>16638</v>
      </c>
      <c r="F9100" s="43">
        <v>0</v>
      </c>
    </row>
    <row r="9101" spans="2:6" x14ac:dyDescent="0.25">
      <c r="B9101" s="13" t="s">
        <v>16639</v>
      </c>
      <c r="C9101" s="17" t="s">
        <v>170</v>
      </c>
      <c r="D9101" s="13" t="s">
        <v>118</v>
      </c>
      <c r="E9101" s="13" t="s">
        <v>16640</v>
      </c>
      <c r="F9101" s="43">
        <v>0</v>
      </c>
    </row>
    <row r="9102" spans="2:6" x14ac:dyDescent="0.25">
      <c r="B9102" s="13" t="s">
        <v>16641</v>
      </c>
      <c r="C9102" s="17" t="s">
        <v>170</v>
      </c>
      <c r="D9102" s="13" t="s">
        <v>118</v>
      </c>
      <c r="E9102" s="13" t="s">
        <v>16642</v>
      </c>
      <c r="F9102" s="43">
        <v>0</v>
      </c>
    </row>
    <row r="9103" spans="2:6" x14ac:dyDescent="0.25">
      <c r="B9103" s="13" t="s">
        <v>16643</v>
      </c>
      <c r="C9103" s="17" t="s">
        <v>170</v>
      </c>
      <c r="D9103" s="13" t="s">
        <v>118</v>
      </c>
      <c r="E9103" s="13" t="s">
        <v>16644</v>
      </c>
      <c r="F9103" s="43">
        <v>0</v>
      </c>
    </row>
    <row r="9104" spans="2:6" x14ac:dyDescent="0.25">
      <c r="B9104" s="13" t="s">
        <v>16645</v>
      </c>
      <c r="C9104" s="17" t="s">
        <v>170</v>
      </c>
      <c r="D9104" s="13" t="s">
        <v>118</v>
      </c>
      <c r="E9104" s="13" t="s">
        <v>16646</v>
      </c>
      <c r="F9104" s="43">
        <v>0</v>
      </c>
    </row>
    <row r="9105" spans="2:6" x14ac:dyDescent="0.25">
      <c r="B9105" s="13" t="s">
        <v>16647</v>
      </c>
      <c r="C9105" s="17" t="s">
        <v>170</v>
      </c>
      <c r="D9105" s="13" t="s">
        <v>118</v>
      </c>
      <c r="E9105" s="13" t="s">
        <v>16648</v>
      </c>
      <c r="F9105" s="43">
        <v>0</v>
      </c>
    </row>
    <row r="9106" spans="2:6" x14ac:dyDescent="0.25">
      <c r="B9106" s="13" t="s">
        <v>16649</v>
      </c>
      <c r="C9106" s="17" t="s">
        <v>170</v>
      </c>
      <c r="D9106" s="13" t="s">
        <v>118</v>
      </c>
      <c r="E9106" s="13" t="s">
        <v>16650</v>
      </c>
      <c r="F9106" s="43">
        <v>0</v>
      </c>
    </row>
    <row r="9107" spans="2:6" x14ac:dyDescent="0.25">
      <c r="B9107" s="13" t="s">
        <v>16651</v>
      </c>
      <c r="C9107" s="17" t="s">
        <v>170</v>
      </c>
      <c r="D9107" s="13" t="s">
        <v>118</v>
      </c>
      <c r="E9107" s="13" t="s">
        <v>16652</v>
      </c>
      <c r="F9107" s="43">
        <v>0</v>
      </c>
    </row>
    <row r="9108" spans="2:6" x14ac:dyDescent="0.25">
      <c r="B9108" s="13" t="s">
        <v>16653</v>
      </c>
      <c r="C9108" s="17" t="s">
        <v>170</v>
      </c>
      <c r="D9108" s="13" t="s">
        <v>118</v>
      </c>
      <c r="E9108" s="13" t="s">
        <v>16654</v>
      </c>
      <c r="F9108" s="43">
        <v>0</v>
      </c>
    </row>
    <row r="9109" spans="2:6" x14ac:dyDescent="0.25">
      <c r="B9109" s="13" t="s">
        <v>16655</v>
      </c>
      <c r="C9109" s="17" t="s">
        <v>170</v>
      </c>
      <c r="D9109" s="13" t="s">
        <v>118</v>
      </c>
      <c r="E9109" s="13" t="s">
        <v>16656</v>
      </c>
      <c r="F9109" s="43">
        <v>0</v>
      </c>
    </row>
    <row r="9110" spans="2:6" x14ac:dyDescent="0.25">
      <c r="B9110" s="13" t="s">
        <v>16657</v>
      </c>
      <c r="C9110" s="17" t="s">
        <v>170</v>
      </c>
      <c r="D9110" s="13" t="s">
        <v>118</v>
      </c>
      <c r="E9110" s="13" t="s">
        <v>16658</v>
      </c>
      <c r="F9110" s="43">
        <v>0</v>
      </c>
    </row>
    <row r="9111" spans="2:6" x14ac:dyDescent="0.25">
      <c r="B9111" s="13" t="s">
        <v>16659</v>
      </c>
      <c r="C9111" s="17" t="s">
        <v>170</v>
      </c>
      <c r="D9111" s="13" t="s">
        <v>118</v>
      </c>
      <c r="E9111" s="13" t="s">
        <v>16660</v>
      </c>
      <c r="F9111" s="43">
        <v>0</v>
      </c>
    </row>
    <row r="9112" spans="2:6" x14ac:dyDescent="0.25">
      <c r="B9112" s="13" t="s">
        <v>16661</v>
      </c>
      <c r="C9112" s="17" t="s">
        <v>170</v>
      </c>
      <c r="D9112" s="13" t="s">
        <v>118</v>
      </c>
      <c r="E9112" s="13" t="s">
        <v>16662</v>
      </c>
      <c r="F9112" s="43">
        <v>0</v>
      </c>
    </row>
    <row r="9113" spans="2:6" x14ac:dyDescent="0.25">
      <c r="B9113" s="13" t="s">
        <v>16663</v>
      </c>
      <c r="C9113" s="17" t="s">
        <v>170</v>
      </c>
      <c r="D9113" s="13" t="s">
        <v>118</v>
      </c>
      <c r="E9113" s="13" t="s">
        <v>16664</v>
      </c>
      <c r="F9113" s="43">
        <v>0</v>
      </c>
    </row>
    <row r="9114" spans="2:6" x14ac:dyDescent="0.25">
      <c r="B9114" s="13" t="s">
        <v>16665</v>
      </c>
      <c r="C9114" s="17" t="s">
        <v>170</v>
      </c>
      <c r="D9114" s="13" t="s">
        <v>118</v>
      </c>
      <c r="E9114" s="13" t="s">
        <v>16666</v>
      </c>
      <c r="F9114" s="43">
        <v>0</v>
      </c>
    </row>
    <row r="9115" spans="2:6" x14ac:dyDescent="0.25">
      <c r="B9115" s="13" t="s">
        <v>16667</v>
      </c>
      <c r="C9115" s="17" t="s">
        <v>170</v>
      </c>
      <c r="D9115" s="13" t="s">
        <v>118</v>
      </c>
      <c r="E9115" s="13" t="s">
        <v>16668</v>
      </c>
      <c r="F9115" s="43">
        <v>0</v>
      </c>
    </row>
    <row r="9116" spans="2:6" x14ac:dyDescent="0.25">
      <c r="B9116" s="13" t="s">
        <v>16669</v>
      </c>
      <c r="C9116" s="17" t="s">
        <v>170</v>
      </c>
      <c r="D9116" s="13" t="s">
        <v>118</v>
      </c>
      <c r="E9116" s="13" t="s">
        <v>16670</v>
      </c>
      <c r="F9116" s="43">
        <v>0</v>
      </c>
    </row>
    <row r="9117" spans="2:6" x14ac:dyDescent="0.25">
      <c r="B9117" s="13" t="s">
        <v>16671</v>
      </c>
      <c r="C9117" s="17" t="s">
        <v>170</v>
      </c>
      <c r="D9117" s="13" t="s">
        <v>118</v>
      </c>
      <c r="E9117" s="13" t="s">
        <v>16672</v>
      </c>
      <c r="F9117" s="43">
        <v>0</v>
      </c>
    </row>
    <row r="9118" spans="2:6" x14ac:dyDescent="0.25">
      <c r="B9118" s="13" t="s">
        <v>16673</v>
      </c>
      <c r="C9118" s="17" t="s">
        <v>170</v>
      </c>
      <c r="D9118" s="13" t="s">
        <v>118</v>
      </c>
      <c r="E9118" s="13" t="s">
        <v>16674</v>
      </c>
      <c r="F9118" s="43">
        <v>0</v>
      </c>
    </row>
    <row r="9119" spans="2:6" x14ac:dyDescent="0.25">
      <c r="B9119" s="13" t="s">
        <v>16675</v>
      </c>
      <c r="C9119" s="17" t="s">
        <v>170</v>
      </c>
      <c r="D9119" s="13" t="s">
        <v>118</v>
      </c>
      <c r="E9119" s="13" t="s">
        <v>16676</v>
      </c>
      <c r="F9119" s="43">
        <v>0</v>
      </c>
    </row>
    <row r="9120" spans="2:6" x14ac:dyDescent="0.25">
      <c r="B9120" s="13" t="s">
        <v>16677</v>
      </c>
      <c r="C9120" s="17" t="s">
        <v>170</v>
      </c>
      <c r="D9120" s="13" t="s">
        <v>118</v>
      </c>
      <c r="E9120" s="13" t="s">
        <v>16678</v>
      </c>
      <c r="F9120" s="43">
        <v>0</v>
      </c>
    </row>
    <row r="9121" spans="2:6" x14ac:dyDescent="0.25">
      <c r="B9121" s="13" t="s">
        <v>16679</v>
      </c>
      <c r="C9121" s="17" t="s">
        <v>170</v>
      </c>
      <c r="D9121" s="13" t="s">
        <v>118</v>
      </c>
      <c r="E9121" s="13" t="s">
        <v>16680</v>
      </c>
      <c r="F9121" s="43">
        <v>0</v>
      </c>
    </row>
    <row r="9122" spans="2:6" x14ac:dyDescent="0.25">
      <c r="B9122" s="13" t="s">
        <v>16681</v>
      </c>
      <c r="C9122" s="17" t="s">
        <v>170</v>
      </c>
      <c r="D9122" s="13" t="s">
        <v>118</v>
      </c>
      <c r="E9122" s="13" t="s">
        <v>16682</v>
      </c>
      <c r="F9122" s="43">
        <v>0</v>
      </c>
    </row>
    <row r="9123" spans="2:6" x14ac:dyDescent="0.25">
      <c r="B9123" s="13" t="s">
        <v>16683</v>
      </c>
      <c r="C9123" s="17" t="s">
        <v>170</v>
      </c>
      <c r="D9123" s="13" t="s">
        <v>118</v>
      </c>
      <c r="E9123" s="13" t="s">
        <v>16684</v>
      </c>
      <c r="F9123" s="43">
        <v>0</v>
      </c>
    </row>
    <row r="9124" spans="2:6" x14ac:dyDescent="0.25">
      <c r="B9124" s="13" t="s">
        <v>16685</v>
      </c>
      <c r="C9124" s="17" t="s">
        <v>170</v>
      </c>
      <c r="D9124" s="13" t="s">
        <v>118</v>
      </c>
      <c r="E9124" s="13" t="s">
        <v>16686</v>
      </c>
      <c r="F9124" s="43">
        <v>0</v>
      </c>
    </row>
    <row r="9125" spans="2:6" x14ac:dyDescent="0.25">
      <c r="B9125" s="13" t="s">
        <v>16687</v>
      </c>
      <c r="C9125" s="17" t="s">
        <v>170</v>
      </c>
      <c r="D9125" s="13" t="s">
        <v>118</v>
      </c>
      <c r="E9125" s="13" t="s">
        <v>16688</v>
      </c>
      <c r="F9125" s="43">
        <v>0</v>
      </c>
    </row>
    <row r="9126" spans="2:6" x14ac:dyDescent="0.25">
      <c r="B9126" s="13" t="s">
        <v>16689</v>
      </c>
      <c r="C9126" s="17" t="s">
        <v>170</v>
      </c>
      <c r="D9126" s="13" t="s">
        <v>118</v>
      </c>
      <c r="E9126" s="13" t="s">
        <v>16690</v>
      </c>
      <c r="F9126" s="43">
        <v>0</v>
      </c>
    </row>
    <row r="9127" spans="2:6" x14ac:dyDescent="0.25">
      <c r="B9127" s="13" t="s">
        <v>16691</v>
      </c>
      <c r="C9127" s="17" t="s">
        <v>170</v>
      </c>
      <c r="D9127" s="13" t="s">
        <v>118</v>
      </c>
      <c r="E9127" s="13" t="s">
        <v>16692</v>
      </c>
      <c r="F9127" s="43">
        <v>0</v>
      </c>
    </row>
    <row r="9128" spans="2:6" x14ac:dyDescent="0.25">
      <c r="B9128" s="13" t="s">
        <v>16693</v>
      </c>
      <c r="C9128" s="17" t="s">
        <v>170</v>
      </c>
      <c r="D9128" s="13" t="s">
        <v>118</v>
      </c>
      <c r="E9128" s="13" t="s">
        <v>16694</v>
      </c>
      <c r="F9128" s="43">
        <v>0</v>
      </c>
    </row>
    <row r="9129" spans="2:6" x14ac:dyDescent="0.25">
      <c r="B9129" s="13" t="s">
        <v>16695</v>
      </c>
      <c r="C9129" s="17" t="s">
        <v>170</v>
      </c>
      <c r="D9129" s="13" t="s">
        <v>118</v>
      </c>
      <c r="E9129" s="13" t="s">
        <v>16696</v>
      </c>
      <c r="F9129" s="43">
        <v>0</v>
      </c>
    </row>
    <row r="9130" spans="2:6" x14ac:dyDescent="0.25">
      <c r="B9130" s="13" t="s">
        <v>16697</v>
      </c>
      <c r="C9130" s="17" t="s">
        <v>170</v>
      </c>
      <c r="D9130" s="13" t="s">
        <v>118</v>
      </c>
      <c r="E9130" s="13" t="s">
        <v>16698</v>
      </c>
      <c r="F9130" s="43">
        <v>0</v>
      </c>
    </row>
    <row r="9131" spans="2:6" x14ac:dyDescent="0.25">
      <c r="B9131" s="13" t="s">
        <v>16699</v>
      </c>
      <c r="C9131" s="17" t="s">
        <v>170</v>
      </c>
      <c r="D9131" s="13" t="s">
        <v>118</v>
      </c>
      <c r="E9131" s="13" t="s">
        <v>16700</v>
      </c>
      <c r="F9131" s="43">
        <v>0</v>
      </c>
    </row>
    <row r="9132" spans="2:6" x14ac:dyDescent="0.25">
      <c r="B9132" s="13" t="s">
        <v>16701</v>
      </c>
      <c r="C9132" s="17" t="s">
        <v>170</v>
      </c>
      <c r="D9132" s="13" t="s">
        <v>118</v>
      </c>
      <c r="E9132" s="13" t="s">
        <v>16702</v>
      </c>
      <c r="F9132" s="43">
        <v>0</v>
      </c>
    </row>
    <row r="9133" spans="2:6" x14ac:dyDescent="0.25">
      <c r="B9133" s="13" t="s">
        <v>16703</v>
      </c>
      <c r="C9133" s="17" t="s">
        <v>170</v>
      </c>
      <c r="D9133" s="13" t="s">
        <v>118</v>
      </c>
      <c r="E9133" s="13" t="s">
        <v>16704</v>
      </c>
      <c r="F9133" s="43">
        <v>0</v>
      </c>
    </row>
    <row r="9134" spans="2:6" x14ac:dyDescent="0.25">
      <c r="B9134" s="13" t="s">
        <v>16705</v>
      </c>
      <c r="C9134" s="17" t="s">
        <v>170</v>
      </c>
      <c r="D9134" s="13" t="s">
        <v>118</v>
      </c>
      <c r="E9134" s="13" t="s">
        <v>16706</v>
      </c>
      <c r="F9134" s="43">
        <v>0</v>
      </c>
    </row>
    <row r="9135" spans="2:6" x14ac:dyDescent="0.25">
      <c r="B9135" s="13" t="s">
        <v>16707</v>
      </c>
      <c r="C9135" s="17" t="s">
        <v>170</v>
      </c>
      <c r="D9135" s="13" t="s">
        <v>118</v>
      </c>
      <c r="E9135" s="13" t="s">
        <v>16708</v>
      </c>
      <c r="F9135" s="43">
        <v>0</v>
      </c>
    </row>
    <row r="9136" spans="2:6" x14ac:dyDescent="0.25">
      <c r="B9136" s="13" t="s">
        <v>16709</v>
      </c>
      <c r="C9136" s="17" t="s">
        <v>170</v>
      </c>
      <c r="D9136" s="13" t="s">
        <v>118</v>
      </c>
      <c r="E9136" s="13" t="s">
        <v>16710</v>
      </c>
      <c r="F9136" s="43">
        <v>0</v>
      </c>
    </row>
    <row r="9137" spans="2:6" x14ac:dyDescent="0.25">
      <c r="B9137" s="13" t="s">
        <v>16711</v>
      </c>
      <c r="C9137" s="17" t="s">
        <v>170</v>
      </c>
      <c r="D9137" s="13" t="s">
        <v>118</v>
      </c>
      <c r="E9137" s="13" t="s">
        <v>16712</v>
      </c>
      <c r="F9137" s="43">
        <v>0</v>
      </c>
    </row>
    <row r="9138" spans="2:6" x14ac:dyDescent="0.25">
      <c r="B9138" s="13" t="s">
        <v>16713</v>
      </c>
      <c r="C9138" s="17" t="s">
        <v>170</v>
      </c>
      <c r="D9138" s="13" t="s">
        <v>118</v>
      </c>
      <c r="E9138" s="13" t="s">
        <v>16714</v>
      </c>
      <c r="F9138" s="43">
        <v>0</v>
      </c>
    </row>
    <row r="9139" spans="2:6" x14ac:dyDescent="0.25">
      <c r="B9139" s="13" t="s">
        <v>16715</v>
      </c>
      <c r="C9139" s="17" t="s">
        <v>170</v>
      </c>
      <c r="D9139" s="13" t="s">
        <v>118</v>
      </c>
      <c r="E9139" s="13" t="s">
        <v>16716</v>
      </c>
      <c r="F9139" s="43">
        <v>0</v>
      </c>
    </row>
    <row r="9140" spans="2:6" x14ac:dyDescent="0.25">
      <c r="B9140" s="13" t="s">
        <v>16717</v>
      </c>
      <c r="C9140" s="17" t="s">
        <v>170</v>
      </c>
      <c r="D9140" s="13" t="s">
        <v>118</v>
      </c>
      <c r="E9140" s="13" t="s">
        <v>16718</v>
      </c>
      <c r="F9140" s="43">
        <v>0</v>
      </c>
    </row>
    <row r="9141" spans="2:6" x14ac:dyDescent="0.25">
      <c r="B9141" s="13" t="s">
        <v>16719</v>
      </c>
      <c r="C9141" s="17" t="s">
        <v>170</v>
      </c>
      <c r="D9141" s="13" t="s">
        <v>118</v>
      </c>
      <c r="E9141" s="13" t="s">
        <v>16720</v>
      </c>
      <c r="F9141" s="43">
        <v>0</v>
      </c>
    </row>
    <row r="9142" spans="2:6" x14ac:dyDescent="0.25">
      <c r="B9142" s="13" t="s">
        <v>16721</v>
      </c>
      <c r="C9142" s="17" t="s">
        <v>170</v>
      </c>
      <c r="D9142" s="13" t="s">
        <v>118</v>
      </c>
      <c r="E9142" s="13" t="s">
        <v>16722</v>
      </c>
      <c r="F9142" s="43">
        <v>0</v>
      </c>
    </row>
    <row r="9143" spans="2:6" x14ac:dyDescent="0.25">
      <c r="B9143" s="13" t="s">
        <v>16723</v>
      </c>
      <c r="C9143" s="17" t="s">
        <v>170</v>
      </c>
      <c r="D9143" s="13" t="s">
        <v>118</v>
      </c>
      <c r="E9143" s="13" t="s">
        <v>16724</v>
      </c>
      <c r="F9143" s="43">
        <v>0</v>
      </c>
    </row>
    <row r="9144" spans="2:6" x14ac:dyDescent="0.25">
      <c r="B9144" s="13" t="s">
        <v>16725</v>
      </c>
      <c r="C9144" s="17" t="s">
        <v>170</v>
      </c>
      <c r="D9144" s="13" t="s">
        <v>118</v>
      </c>
      <c r="E9144" s="13" t="s">
        <v>16726</v>
      </c>
      <c r="F9144" s="43">
        <v>0</v>
      </c>
    </row>
    <row r="9145" spans="2:6" x14ac:dyDescent="0.25">
      <c r="B9145" s="13" t="s">
        <v>16727</v>
      </c>
      <c r="C9145" s="17" t="s">
        <v>170</v>
      </c>
      <c r="D9145" s="13" t="s">
        <v>118</v>
      </c>
      <c r="E9145" s="13" t="s">
        <v>16728</v>
      </c>
      <c r="F9145" s="43">
        <v>0</v>
      </c>
    </row>
    <row r="9146" spans="2:6" x14ac:dyDescent="0.25">
      <c r="B9146" s="13" t="s">
        <v>16729</v>
      </c>
      <c r="C9146" s="17" t="s">
        <v>170</v>
      </c>
      <c r="D9146" s="13" t="s">
        <v>118</v>
      </c>
      <c r="E9146" s="13" t="s">
        <v>16730</v>
      </c>
      <c r="F9146" s="43">
        <v>0</v>
      </c>
    </row>
    <row r="9147" spans="2:6" x14ac:dyDescent="0.25">
      <c r="B9147" s="13" t="s">
        <v>16731</v>
      </c>
      <c r="C9147" s="17" t="s">
        <v>170</v>
      </c>
      <c r="D9147" s="13" t="s">
        <v>118</v>
      </c>
      <c r="E9147" s="13" t="s">
        <v>16732</v>
      </c>
      <c r="F9147" s="43">
        <v>0</v>
      </c>
    </row>
    <row r="9148" spans="2:6" x14ac:dyDescent="0.25">
      <c r="B9148" s="13" t="s">
        <v>16733</v>
      </c>
      <c r="C9148" s="17" t="s">
        <v>170</v>
      </c>
      <c r="D9148" s="13" t="s">
        <v>118</v>
      </c>
      <c r="E9148" s="13" t="s">
        <v>16734</v>
      </c>
      <c r="F9148" s="43">
        <v>0</v>
      </c>
    </row>
    <row r="9149" spans="2:6" x14ac:dyDescent="0.25">
      <c r="B9149" s="13" t="s">
        <v>16735</v>
      </c>
      <c r="C9149" s="17" t="s">
        <v>170</v>
      </c>
      <c r="D9149" s="13" t="s">
        <v>118</v>
      </c>
      <c r="E9149" s="13" t="s">
        <v>16736</v>
      </c>
      <c r="F9149" s="43">
        <v>0</v>
      </c>
    </row>
    <row r="9150" spans="2:6" x14ac:dyDescent="0.25">
      <c r="B9150" s="13" t="s">
        <v>16737</v>
      </c>
      <c r="C9150" s="17" t="s">
        <v>170</v>
      </c>
      <c r="D9150" s="13" t="s">
        <v>118</v>
      </c>
      <c r="E9150" s="13" t="s">
        <v>16738</v>
      </c>
      <c r="F9150" s="43">
        <v>257.04000000000002</v>
      </c>
    </row>
    <row r="9151" spans="2:6" x14ac:dyDescent="0.25">
      <c r="B9151" s="13" t="s">
        <v>16739</v>
      </c>
      <c r="C9151" s="17" t="s">
        <v>170</v>
      </c>
      <c r="D9151" s="13" t="s">
        <v>118</v>
      </c>
      <c r="E9151" s="13" t="s">
        <v>16740</v>
      </c>
      <c r="F9151" s="43">
        <v>981.71</v>
      </c>
    </row>
    <row r="9152" spans="2:6" x14ac:dyDescent="0.25">
      <c r="B9152" s="13" t="s">
        <v>16741</v>
      </c>
      <c r="C9152" s="17" t="s">
        <v>170</v>
      </c>
      <c r="D9152" s="13" t="s">
        <v>118</v>
      </c>
      <c r="E9152" s="13" t="s">
        <v>16742</v>
      </c>
      <c r="F9152" s="43">
        <v>981.71</v>
      </c>
    </row>
    <row r="9153" spans="2:6" x14ac:dyDescent="0.25">
      <c r="B9153" s="13" t="s">
        <v>16743</v>
      </c>
      <c r="C9153" s="17" t="s">
        <v>170</v>
      </c>
      <c r="D9153" s="13" t="s">
        <v>118</v>
      </c>
      <c r="E9153" s="13" t="s">
        <v>16744</v>
      </c>
      <c r="F9153" s="43">
        <v>981.71</v>
      </c>
    </row>
    <row r="9154" spans="2:6" x14ac:dyDescent="0.25">
      <c r="B9154" s="13" t="s">
        <v>16745</v>
      </c>
      <c r="C9154" s="17" t="s">
        <v>170</v>
      </c>
      <c r="D9154" s="13" t="s">
        <v>118</v>
      </c>
      <c r="E9154" s="13" t="s">
        <v>16746</v>
      </c>
      <c r="F9154" s="43">
        <v>981.71</v>
      </c>
    </row>
    <row r="9155" spans="2:6" x14ac:dyDescent="0.25">
      <c r="B9155" s="13" t="s">
        <v>16747</v>
      </c>
      <c r="C9155" s="17" t="s">
        <v>170</v>
      </c>
      <c r="D9155" s="13" t="s">
        <v>118</v>
      </c>
      <c r="E9155" s="13" t="s">
        <v>16748</v>
      </c>
      <c r="F9155" s="43">
        <v>981.71</v>
      </c>
    </row>
    <row r="9156" spans="2:6" x14ac:dyDescent="0.25">
      <c r="B9156" s="13" t="s">
        <v>16749</v>
      </c>
      <c r="C9156" s="17" t="s">
        <v>170</v>
      </c>
      <c r="D9156" s="13" t="s">
        <v>118</v>
      </c>
      <c r="E9156" s="13" t="s">
        <v>16750</v>
      </c>
      <c r="F9156" s="43">
        <v>981.71</v>
      </c>
    </row>
    <row r="9157" spans="2:6" x14ac:dyDescent="0.25">
      <c r="B9157" s="13" t="s">
        <v>16751</v>
      </c>
      <c r="C9157" s="17" t="s">
        <v>170</v>
      </c>
      <c r="D9157" s="13" t="s">
        <v>118</v>
      </c>
      <c r="E9157" s="13" t="s">
        <v>16752</v>
      </c>
      <c r="F9157" s="43">
        <v>981.71</v>
      </c>
    </row>
    <row r="9158" spans="2:6" x14ac:dyDescent="0.25">
      <c r="B9158" s="13" t="s">
        <v>16753</v>
      </c>
      <c r="C9158" s="17" t="s">
        <v>170</v>
      </c>
      <c r="D9158" s="13" t="s">
        <v>118</v>
      </c>
      <c r="E9158" s="13" t="s">
        <v>16754</v>
      </c>
      <c r="F9158" s="43">
        <v>981.71</v>
      </c>
    </row>
    <row r="9159" spans="2:6" x14ac:dyDescent="0.25">
      <c r="B9159" s="13" t="s">
        <v>16755</v>
      </c>
      <c r="C9159" s="17" t="s">
        <v>170</v>
      </c>
      <c r="D9159" s="13" t="s">
        <v>118</v>
      </c>
      <c r="E9159" s="13" t="s">
        <v>16756</v>
      </c>
      <c r="F9159" s="43">
        <v>981.71</v>
      </c>
    </row>
    <row r="9160" spans="2:6" x14ac:dyDescent="0.25">
      <c r="B9160" s="13" t="s">
        <v>16757</v>
      </c>
      <c r="C9160" s="17" t="s">
        <v>170</v>
      </c>
      <c r="D9160" s="13" t="s">
        <v>118</v>
      </c>
      <c r="E9160" s="13" t="s">
        <v>16758</v>
      </c>
      <c r="F9160" s="43">
        <v>981.71</v>
      </c>
    </row>
    <row r="9161" spans="2:6" x14ac:dyDescent="0.25">
      <c r="B9161" s="13" t="s">
        <v>16759</v>
      </c>
      <c r="C9161" s="17" t="s">
        <v>170</v>
      </c>
      <c r="D9161" s="13" t="s">
        <v>118</v>
      </c>
      <c r="E9161" s="13" t="s">
        <v>16760</v>
      </c>
      <c r="F9161" s="43">
        <v>981.71</v>
      </c>
    </row>
    <row r="9162" spans="2:6" x14ac:dyDescent="0.25">
      <c r="B9162" s="13" t="s">
        <v>16761</v>
      </c>
      <c r="C9162" s="17" t="s">
        <v>170</v>
      </c>
      <c r="D9162" s="13" t="s">
        <v>118</v>
      </c>
      <c r="E9162" s="13" t="s">
        <v>16762</v>
      </c>
      <c r="F9162" s="43">
        <v>981.71</v>
      </c>
    </row>
    <row r="9163" spans="2:6" x14ac:dyDescent="0.25">
      <c r="B9163" s="13" t="s">
        <v>16763</v>
      </c>
      <c r="C9163" s="17" t="s">
        <v>170</v>
      </c>
      <c r="D9163" s="13" t="s">
        <v>118</v>
      </c>
      <c r="E9163" s="13" t="s">
        <v>16764</v>
      </c>
      <c r="F9163" s="43">
        <v>981.71</v>
      </c>
    </row>
    <row r="9164" spans="2:6" x14ac:dyDescent="0.25">
      <c r="B9164" s="13" t="s">
        <v>16765</v>
      </c>
      <c r="C9164" s="17" t="s">
        <v>170</v>
      </c>
      <c r="D9164" s="13" t="s">
        <v>118</v>
      </c>
      <c r="E9164" s="13" t="s">
        <v>16766</v>
      </c>
      <c r="F9164" s="43">
        <v>981.71</v>
      </c>
    </row>
    <row r="9165" spans="2:6" x14ac:dyDescent="0.25">
      <c r="B9165" s="13" t="s">
        <v>16767</v>
      </c>
      <c r="C9165" s="17" t="s">
        <v>170</v>
      </c>
      <c r="D9165" s="13" t="s">
        <v>118</v>
      </c>
      <c r="E9165" s="13" t="s">
        <v>16768</v>
      </c>
      <c r="F9165" s="43">
        <v>981.71</v>
      </c>
    </row>
    <row r="9166" spans="2:6" x14ac:dyDescent="0.25">
      <c r="B9166" s="13" t="s">
        <v>16769</v>
      </c>
      <c r="C9166" s="17" t="s">
        <v>170</v>
      </c>
      <c r="D9166" s="13" t="s">
        <v>118</v>
      </c>
      <c r="E9166" s="13" t="s">
        <v>16770</v>
      </c>
      <c r="F9166" s="43">
        <v>981.71</v>
      </c>
    </row>
    <row r="9167" spans="2:6" x14ac:dyDescent="0.25">
      <c r="B9167" s="13" t="s">
        <v>16771</v>
      </c>
      <c r="C9167" s="17" t="s">
        <v>170</v>
      </c>
      <c r="D9167" s="13" t="s">
        <v>118</v>
      </c>
      <c r="E9167" s="13" t="s">
        <v>16772</v>
      </c>
      <c r="F9167" s="43">
        <v>1045.52</v>
      </c>
    </row>
    <row r="9168" spans="2:6" x14ac:dyDescent="0.25">
      <c r="B9168" s="13" t="s">
        <v>16773</v>
      </c>
      <c r="C9168" s="17" t="s">
        <v>170</v>
      </c>
      <c r="D9168" s="13" t="s">
        <v>118</v>
      </c>
      <c r="E9168" s="13" t="s">
        <v>16774</v>
      </c>
      <c r="F9168" s="43">
        <v>1045.52</v>
      </c>
    </row>
    <row r="9169" spans="2:6" x14ac:dyDescent="0.25">
      <c r="B9169" s="13" t="s">
        <v>16775</v>
      </c>
      <c r="C9169" s="17" t="s">
        <v>170</v>
      </c>
      <c r="D9169" s="13" t="s">
        <v>118</v>
      </c>
      <c r="E9169" s="13" t="s">
        <v>16776</v>
      </c>
      <c r="F9169" s="43">
        <v>1045.52</v>
      </c>
    </row>
    <row r="9170" spans="2:6" x14ac:dyDescent="0.25">
      <c r="B9170" s="13" t="s">
        <v>16777</v>
      </c>
      <c r="C9170" s="17" t="s">
        <v>170</v>
      </c>
      <c r="D9170" s="13" t="s">
        <v>118</v>
      </c>
      <c r="E9170" s="13" t="s">
        <v>16778</v>
      </c>
      <c r="F9170" s="43">
        <v>1045.52</v>
      </c>
    </row>
    <row r="9171" spans="2:6" x14ac:dyDescent="0.25">
      <c r="B9171" s="13" t="s">
        <v>16779</v>
      </c>
      <c r="C9171" s="17" t="s">
        <v>170</v>
      </c>
      <c r="D9171" s="13" t="s">
        <v>118</v>
      </c>
      <c r="E9171" s="13" t="s">
        <v>16780</v>
      </c>
      <c r="F9171" s="43">
        <v>1045.52</v>
      </c>
    </row>
    <row r="9172" spans="2:6" x14ac:dyDescent="0.25">
      <c r="B9172" s="13" t="s">
        <v>16781</v>
      </c>
      <c r="C9172" s="17" t="s">
        <v>170</v>
      </c>
      <c r="D9172" s="13" t="s">
        <v>118</v>
      </c>
      <c r="E9172" s="13" t="s">
        <v>16782</v>
      </c>
      <c r="F9172" s="43">
        <v>1045.52</v>
      </c>
    </row>
    <row r="9173" spans="2:6" x14ac:dyDescent="0.25">
      <c r="B9173" s="13" t="s">
        <v>16783</v>
      </c>
      <c r="C9173" s="17" t="s">
        <v>170</v>
      </c>
      <c r="D9173" s="13" t="s">
        <v>118</v>
      </c>
      <c r="E9173" s="13" t="s">
        <v>16784</v>
      </c>
      <c r="F9173" s="43">
        <v>1045.52</v>
      </c>
    </row>
    <row r="9174" spans="2:6" x14ac:dyDescent="0.25">
      <c r="B9174" s="13" t="s">
        <v>16785</v>
      </c>
      <c r="C9174" s="17" t="s">
        <v>170</v>
      </c>
      <c r="D9174" s="13" t="s">
        <v>118</v>
      </c>
      <c r="E9174" s="13" t="s">
        <v>16786</v>
      </c>
      <c r="F9174" s="43">
        <v>1045.52</v>
      </c>
    </row>
    <row r="9175" spans="2:6" x14ac:dyDescent="0.25">
      <c r="B9175" s="13" t="s">
        <v>16787</v>
      </c>
      <c r="C9175" s="17" t="s">
        <v>170</v>
      </c>
      <c r="D9175" s="13" t="s">
        <v>118</v>
      </c>
      <c r="E9175" s="13" t="s">
        <v>16788</v>
      </c>
      <c r="F9175" s="43">
        <v>1045.52</v>
      </c>
    </row>
    <row r="9176" spans="2:6" x14ac:dyDescent="0.25">
      <c r="B9176" s="13" t="s">
        <v>16789</v>
      </c>
      <c r="C9176" s="17" t="s">
        <v>170</v>
      </c>
      <c r="D9176" s="13" t="s">
        <v>118</v>
      </c>
      <c r="E9176" s="13" t="s">
        <v>16790</v>
      </c>
      <c r="F9176" s="43">
        <v>1045.52</v>
      </c>
    </row>
    <row r="9177" spans="2:6" x14ac:dyDescent="0.25">
      <c r="B9177" s="13" t="s">
        <v>16791</v>
      </c>
      <c r="C9177" s="17" t="s">
        <v>170</v>
      </c>
      <c r="D9177" s="13" t="s">
        <v>118</v>
      </c>
      <c r="E9177" s="13" t="s">
        <v>16792</v>
      </c>
      <c r="F9177" s="43">
        <v>1045.52</v>
      </c>
    </row>
    <row r="9178" spans="2:6" x14ac:dyDescent="0.25">
      <c r="B9178" s="13" t="s">
        <v>16793</v>
      </c>
      <c r="C9178" s="17" t="s">
        <v>170</v>
      </c>
      <c r="D9178" s="13" t="s">
        <v>118</v>
      </c>
      <c r="E9178" s="13" t="s">
        <v>16794</v>
      </c>
      <c r="F9178" s="43">
        <v>1045.52</v>
      </c>
    </row>
    <row r="9179" spans="2:6" x14ac:dyDescent="0.25">
      <c r="B9179" s="13" t="s">
        <v>16795</v>
      </c>
      <c r="C9179" s="17" t="s">
        <v>170</v>
      </c>
      <c r="D9179" s="13" t="s">
        <v>118</v>
      </c>
      <c r="E9179" s="13" t="s">
        <v>16796</v>
      </c>
      <c r="F9179" s="43">
        <v>1045.52</v>
      </c>
    </row>
    <row r="9180" spans="2:6" x14ac:dyDescent="0.25">
      <c r="B9180" s="13" t="s">
        <v>16797</v>
      </c>
      <c r="C9180" s="17" t="s">
        <v>170</v>
      </c>
      <c r="D9180" s="13" t="s">
        <v>118</v>
      </c>
      <c r="E9180" s="13" t="s">
        <v>16798</v>
      </c>
      <c r="F9180" s="43">
        <v>1045.52</v>
      </c>
    </row>
    <row r="9181" spans="2:6" x14ac:dyDescent="0.25">
      <c r="B9181" s="13" t="s">
        <v>16799</v>
      </c>
      <c r="C9181" s="17" t="s">
        <v>170</v>
      </c>
      <c r="D9181" s="13" t="s">
        <v>118</v>
      </c>
      <c r="E9181" s="13" t="s">
        <v>16800</v>
      </c>
      <c r="F9181" s="43">
        <v>1045.52</v>
      </c>
    </row>
    <row r="9182" spans="2:6" x14ac:dyDescent="0.25">
      <c r="B9182" s="13" t="s">
        <v>16801</v>
      </c>
      <c r="C9182" s="17" t="s">
        <v>170</v>
      </c>
      <c r="D9182" s="13" t="s">
        <v>118</v>
      </c>
      <c r="E9182" s="13" t="s">
        <v>16802</v>
      </c>
      <c r="F9182" s="43">
        <v>1045.52</v>
      </c>
    </row>
    <row r="9183" spans="2:6" x14ac:dyDescent="0.25">
      <c r="B9183" s="13" t="s">
        <v>16803</v>
      </c>
      <c r="C9183" s="17" t="s">
        <v>170</v>
      </c>
      <c r="D9183" s="13" t="s">
        <v>118</v>
      </c>
      <c r="E9183" s="13" t="s">
        <v>16804</v>
      </c>
      <c r="F9183" s="43">
        <v>981.71</v>
      </c>
    </row>
    <row r="9184" spans="2:6" x14ac:dyDescent="0.25">
      <c r="B9184" s="13" t="s">
        <v>16805</v>
      </c>
      <c r="C9184" s="17" t="s">
        <v>170</v>
      </c>
      <c r="D9184" s="13" t="s">
        <v>118</v>
      </c>
      <c r="E9184" s="13" t="s">
        <v>16806</v>
      </c>
      <c r="F9184" s="43">
        <v>981.71</v>
      </c>
    </row>
    <row r="9185" spans="2:6" x14ac:dyDescent="0.25">
      <c r="B9185" s="13" t="s">
        <v>16807</v>
      </c>
      <c r="C9185" s="17" t="s">
        <v>170</v>
      </c>
      <c r="D9185" s="13" t="s">
        <v>118</v>
      </c>
      <c r="E9185" s="13" t="s">
        <v>16808</v>
      </c>
      <c r="F9185" s="43">
        <v>981.71</v>
      </c>
    </row>
    <row r="9186" spans="2:6" x14ac:dyDescent="0.25">
      <c r="B9186" s="13" t="s">
        <v>16809</v>
      </c>
      <c r="C9186" s="17" t="s">
        <v>170</v>
      </c>
      <c r="D9186" s="13" t="s">
        <v>118</v>
      </c>
      <c r="E9186" s="13" t="s">
        <v>16810</v>
      </c>
      <c r="F9186" s="43">
        <v>981.71</v>
      </c>
    </row>
    <row r="9187" spans="2:6" x14ac:dyDescent="0.25">
      <c r="B9187" s="13" t="s">
        <v>16811</v>
      </c>
      <c r="C9187" s="17" t="s">
        <v>170</v>
      </c>
      <c r="D9187" s="13" t="s">
        <v>118</v>
      </c>
      <c r="E9187" s="13" t="s">
        <v>16812</v>
      </c>
      <c r="F9187" s="43">
        <v>981.71</v>
      </c>
    </row>
    <row r="9188" spans="2:6" x14ac:dyDescent="0.25">
      <c r="B9188" s="13" t="s">
        <v>16813</v>
      </c>
      <c r="C9188" s="17" t="s">
        <v>170</v>
      </c>
      <c r="D9188" s="13" t="s">
        <v>118</v>
      </c>
      <c r="E9188" s="13" t="s">
        <v>16814</v>
      </c>
      <c r="F9188" s="43">
        <v>981.71</v>
      </c>
    </row>
    <row r="9189" spans="2:6" x14ac:dyDescent="0.25">
      <c r="B9189" s="13" t="s">
        <v>16815</v>
      </c>
      <c r="C9189" s="17" t="s">
        <v>170</v>
      </c>
      <c r="D9189" s="13" t="s">
        <v>118</v>
      </c>
      <c r="E9189" s="13" t="s">
        <v>16816</v>
      </c>
      <c r="F9189" s="43">
        <v>981.71</v>
      </c>
    </row>
    <row r="9190" spans="2:6" x14ac:dyDescent="0.25">
      <c r="B9190" s="13" t="s">
        <v>16817</v>
      </c>
      <c r="C9190" s="17" t="s">
        <v>170</v>
      </c>
      <c r="D9190" s="13" t="s">
        <v>118</v>
      </c>
      <c r="E9190" s="13" t="s">
        <v>16818</v>
      </c>
      <c r="F9190" s="43">
        <v>981.71</v>
      </c>
    </row>
    <row r="9191" spans="2:6" x14ac:dyDescent="0.25">
      <c r="B9191" s="13" t="s">
        <v>16819</v>
      </c>
      <c r="C9191" s="17" t="s">
        <v>170</v>
      </c>
      <c r="D9191" s="13" t="s">
        <v>118</v>
      </c>
      <c r="E9191" s="13" t="s">
        <v>16820</v>
      </c>
      <c r="F9191" s="43">
        <v>981.71</v>
      </c>
    </row>
    <row r="9192" spans="2:6" x14ac:dyDescent="0.25">
      <c r="B9192" s="13" t="s">
        <v>16821</v>
      </c>
      <c r="C9192" s="17" t="s">
        <v>170</v>
      </c>
      <c r="D9192" s="13" t="s">
        <v>118</v>
      </c>
      <c r="E9192" s="13" t="s">
        <v>16822</v>
      </c>
      <c r="F9192" s="43">
        <v>981.71</v>
      </c>
    </row>
    <row r="9193" spans="2:6" x14ac:dyDescent="0.25">
      <c r="B9193" s="13" t="s">
        <v>16823</v>
      </c>
      <c r="C9193" s="17" t="s">
        <v>170</v>
      </c>
      <c r="D9193" s="13" t="s">
        <v>118</v>
      </c>
      <c r="E9193" s="13" t="s">
        <v>16824</v>
      </c>
      <c r="F9193" s="43">
        <v>981.71</v>
      </c>
    </row>
    <row r="9194" spans="2:6" x14ac:dyDescent="0.25">
      <c r="B9194" s="13" t="s">
        <v>16825</v>
      </c>
      <c r="C9194" s="17" t="s">
        <v>170</v>
      </c>
      <c r="D9194" s="13" t="s">
        <v>118</v>
      </c>
      <c r="E9194" s="13" t="s">
        <v>16826</v>
      </c>
      <c r="F9194" s="43">
        <v>981.71</v>
      </c>
    </row>
    <row r="9195" spans="2:6" x14ac:dyDescent="0.25">
      <c r="B9195" s="13" t="s">
        <v>16827</v>
      </c>
      <c r="C9195" s="17" t="s">
        <v>170</v>
      </c>
      <c r="D9195" s="13" t="s">
        <v>118</v>
      </c>
      <c r="E9195" s="13" t="s">
        <v>16828</v>
      </c>
      <c r="F9195" s="43">
        <v>981.71</v>
      </c>
    </row>
    <row r="9196" spans="2:6" x14ac:dyDescent="0.25">
      <c r="B9196" s="13" t="s">
        <v>16829</v>
      </c>
      <c r="C9196" s="17" t="s">
        <v>170</v>
      </c>
      <c r="D9196" s="13" t="s">
        <v>118</v>
      </c>
      <c r="E9196" s="13" t="s">
        <v>16830</v>
      </c>
      <c r="F9196" s="43">
        <v>981.71</v>
      </c>
    </row>
    <row r="9197" spans="2:6" x14ac:dyDescent="0.25">
      <c r="B9197" s="13" t="s">
        <v>16831</v>
      </c>
      <c r="C9197" s="17" t="s">
        <v>170</v>
      </c>
      <c r="D9197" s="13" t="s">
        <v>118</v>
      </c>
      <c r="E9197" s="13" t="s">
        <v>16832</v>
      </c>
      <c r="F9197" s="43">
        <v>981.71</v>
      </c>
    </row>
    <row r="9198" spans="2:6" x14ac:dyDescent="0.25">
      <c r="B9198" s="13" t="s">
        <v>16833</v>
      </c>
      <c r="C9198" s="17" t="s">
        <v>170</v>
      </c>
      <c r="D9198" s="13" t="s">
        <v>118</v>
      </c>
      <c r="E9198" s="13" t="s">
        <v>16834</v>
      </c>
      <c r="F9198" s="43">
        <v>981.71</v>
      </c>
    </row>
    <row r="9199" spans="2:6" x14ac:dyDescent="0.25">
      <c r="B9199" s="13" t="s">
        <v>16835</v>
      </c>
      <c r="C9199" s="17" t="s">
        <v>170</v>
      </c>
      <c r="D9199" s="13" t="s">
        <v>118</v>
      </c>
      <c r="E9199" s="13" t="s">
        <v>16836</v>
      </c>
      <c r="F9199" s="43">
        <v>981.71</v>
      </c>
    </row>
    <row r="9200" spans="2:6" x14ac:dyDescent="0.25">
      <c r="B9200" s="13" t="s">
        <v>16837</v>
      </c>
      <c r="C9200" s="17" t="s">
        <v>170</v>
      </c>
      <c r="D9200" s="13" t="s">
        <v>118</v>
      </c>
      <c r="E9200" s="13" t="s">
        <v>16838</v>
      </c>
      <c r="F9200" s="43">
        <v>981.71</v>
      </c>
    </row>
    <row r="9201" spans="2:6" x14ac:dyDescent="0.25">
      <c r="B9201" s="13" t="s">
        <v>16839</v>
      </c>
      <c r="C9201" s="17" t="s">
        <v>170</v>
      </c>
      <c r="D9201" s="13" t="s">
        <v>118</v>
      </c>
      <c r="E9201" s="13" t="s">
        <v>16840</v>
      </c>
      <c r="F9201" s="43">
        <v>981.71</v>
      </c>
    </row>
    <row r="9202" spans="2:6" x14ac:dyDescent="0.25">
      <c r="B9202" s="13" t="s">
        <v>16841</v>
      </c>
      <c r="C9202" s="17" t="s">
        <v>170</v>
      </c>
      <c r="D9202" s="13" t="s">
        <v>118</v>
      </c>
      <c r="E9202" s="13" t="s">
        <v>16842</v>
      </c>
      <c r="F9202" s="43">
        <v>981.71</v>
      </c>
    </row>
    <row r="9203" spans="2:6" x14ac:dyDescent="0.25">
      <c r="B9203" s="13" t="s">
        <v>16843</v>
      </c>
      <c r="C9203" s="17" t="s">
        <v>170</v>
      </c>
      <c r="D9203" s="13" t="s">
        <v>118</v>
      </c>
      <c r="E9203" s="13" t="s">
        <v>16844</v>
      </c>
      <c r="F9203" s="43">
        <v>981.71</v>
      </c>
    </row>
    <row r="9204" spans="2:6" x14ac:dyDescent="0.25">
      <c r="B9204" s="13" t="s">
        <v>16845</v>
      </c>
      <c r="C9204" s="17" t="s">
        <v>170</v>
      </c>
      <c r="D9204" s="13" t="s">
        <v>118</v>
      </c>
      <c r="E9204" s="13" t="s">
        <v>16846</v>
      </c>
      <c r="F9204" s="43">
        <v>981.71</v>
      </c>
    </row>
    <row r="9205" spans="2:6" x14ac:dyDescent="0.25">
      <c r="B9205" s="13" t="s">
        <v>16847</v>
      </c>
      <c r="C9205" s="17" t="s">
        <v>170</v>
      </c>
      <c r="D9205" s="13" t="s">
        <v>118</v>
      </c>
      <c r="E9205" s="13" t="s">
        <v>16848</v>
      </c>
      <c r="F9205" s="43">
        <v>981.71</v>
      </c>
    </row>
    <row r="9206" spans="2:6" x14ac:dyDescent="0.25">
      <c r="B9206" s="13" t="s">
        <v>16849</v>
      </c>
      <c r="C9206" s="17" t="s">
        <v>170</v>
      </c>
      <c r="D9206" s="13" t="s">
        <v>118</v>
      </c>
      <c r="E9206" s="13" t="s">
        <v>16850</v>
      </c>
      <c r="F9206" s="43">
        <v>981.71</v>
      </c>
    </row>
    <row r="9207" spans="2:6" x14ac:dyDescent="0.25">
      <c r="B9207" s="13" t="s">
        <v>16851</v>
      </c>
      <c r="C9207" s="17" t="s">
        <v>170</v>
      </c>
      <c r="D9207" s="13" t="s">
        <v>118</v>
      </c>
      <c r="E9207" s="13" t="s">
        <v>16852</v>
      </c>
      <c r="F9207" s="43">
        <v>981.71</v>
      </c>
    </row>
    <row r="9208" spans="2:6" x14ac:dyDescent="0.25">
      <c r="B9208" s="13" t="s">
        <v>16853</v>
      </c>
      <c r="C9208" s="17" t="s">
        <v>170</v>
      </c>
      <c r="D9208" s="13" t="s">
        <v>118</v>
      </c>
      <c r="E9208" s="13" t="s">
        <v>16854</v>
      </c>
      <c r="F9208" s="43">
        <v>981.71</v>
      </c>
    </row>
    <row r="9209" spans="2:6" x14ac:dyDescent="0.25">
      <c r="B9209" s="13" t="s">
        <v>16855</v>
      </c>
      <c r="C9209" s="17" t="s">
        <v>170</v>
      </c>
      <c r="D9209" s="13" t="s">
        <v>118</v>
      </c>
      <c r="E9209" s="13" t="s">
        <v>16856</v>
      </c>
      <c r="F9209" s="43">
        <v>981.71</v>
      </c>
    </row>
    <row r="9210" spans="2:6" x14ac:dyDescent="0.25">
      <c r="B9210" s="13" t="s">
        <v>16857</v>
      </c>
      <c r="C9210" s="17" t="s">
        <v>170</v>
      </c>
      <c r="D9210" s="13" t="s">
        <v>118</v>
      </c>
      <c r="E9210" s="13" t="s">
        <v>16858</v>
      </c>
      <c r="F9210" s="43">
        <v>981.71</v>
      </c>
    </row>
    <row r="9211" spans="2:6" x14ac:dyDescent="0.25">
      <c r="B9211" s="13" t="s">
        <v>16859</v>
      </c>
      <c r="C9211" s="17" t="s">
        <v>170</v>
      </c>
      <c r="D9211" s="13" t="s">
        <v>118</v>
      </c>
      <c r="E9211" s="13" t="s">
        <v>16860</v>
      </c>
      <c r="F9211" s="43">
        <v>981.71</v>
      </c>
    </row>
    <row r="9212" spans="2:6" x14ac:dyDescent="0.25">
      <c r="B9212" s="13" t="s">
        <v>16861</v>
      </c>
      <c r="C9212" s="17" t="s">
        <v>170</v>
      </c>
      <c r="D9212" s="13" t="s">
        <v>118</v>
      </c>
      <c r="E9212" s="13" t="s">
        <v>16862</v>
      </c>
      <c r="F9212" s="43">
        <v>981.71</v>
      </c>
    </row>
    <row r="9213" spans="2:6" x14ac:dyDescent="0.25">
      <c r="B9213" s="13" t="s">
        <v>16863</v>
      </c>
      <c r="C9213" s="17" t="s">
        <v>170</v>
      </c>
      <c r="D9213" s="13" t="s">
        <v>118</v>
      </c>
      <c r="E9213" s="13" t="s">
        <v>16864</v>
      </c>
      <c r="F9213" s="43">
        <v>981.71</v>
      </c>
    </row>
    <row r="9214" spans="2:6" x14ac:dyDescent="0.25">
      <c r="B9214" s="13" t="s">
        <v>16865</v>
      </c>
      <c r="C9214" s="17" t="s">
        <v>170</v>
      </c>
      <c r="D9214" s="13" t="s">
        <v>118</v>
      </c>
      <c r="E9214" s="13" t="s">
        <v>16866</v>
      </c>
      <c r="F9214" s="43">
        <v>981.71</v>
      </c>
    </row>
    <row r="9215" spans="2:6" x14ac:dyDescent="0.25">
      <c r="B9215" s="13" t="s">
        <v>16867</v>
      </c>
      <c r="C9215" s="17" t="s">
        <v>170</v>
      </c>
      <c r="D9215" s="13" t="s">
        <v>118</v>
      </c>
      <c r="E9215" s="13" t="s">
        <v>16868</v>
      </c>
      <c r="F9215" s="43">
        <v>981.71</v>
      </c>
    </row>
    <row r="9216" spans="2:6" x14ac:dyDescent="0.25">
      <c r="B9216" s="13" t="s">
        <v>16869</v>
      </c>
      <c r="C9216" s="17" t="s">
        <v>170</v>
      </c>
      <c r="D9216" s="13" t="s">
        <v>118</v>
      </c>
      <c r="E9216" s="13" t="s">
        <v>16870</v>
      </c>
      <c r="F9216" s="43">
        <v>981.71</v>
      </c>
    </row>
    <row r="9217" spans="2:6" x14ac:dyDescent="0.25">
      <c r="B9217" s="13" t="s">
        <v>16871</v>
      </c>
      <c r="C9217" s="17" t="s">
        <v>170</v>
      </c>
      <c r="D9217" s="13" t="s">
        <v>118</v>
      </c>
      <c r="E9217" s="13" t="s">
        <v>16872</v>
      </c>
      <c r="F9217" s="43">
        <v>981.71</v>
      </c>
    </row>
    <row r="9218" spans="2:6" x14ac:dyDescent="0.25">
      <c r="B9218" s="13" t="s">
        <v>16873</v>
      </c>
      <c r="C9218" s="17" t="s">
        <v>170</v>
      </c>
      <c r="D9218" s="13" t="s">
        <v>118</v>
      </c>
      <c r="E9218" s="13" t="s">
        <v>16874</v>
      </c>
      <c r="F9218" s="43">
        <v>981.71</v>
      </c>
    </row>
    <row r="9219" spans="2:6" x14ac:dyDescent="0.25">
      <c r="B9219" s="13" t="s">
        <v>16875</v>
      </c>
      <c r="C9219" s="17" t="s">
        <v>170</v>
      </c>
      <c r="D9219" s="13" t="s">
        <v>118</v>
      </c>
      <c r="E9219" s="13" t="s">
        <v>16876</v>
      </c>
      <c r="F9219" s="43">
        <v>981.71</v>
      </c>
    </row>
    <row r="9220" spans="2:6" x14ac:dyDescent="0.25">
      <c r="B9220" s="13" t="s">
        <v>16877</v>
      </c>
      <c r="C9220" s="17" t="s">
        <v>170</v>
      </c>
      <c r="D9220" s="13" t="s">
        <v>118</v>
      </c>
      <c r="E9220" s="13" t="s">
        <v>16878</v>
      </c>
      <c r="F9220" s="43">
        <v>981.71</v>
      </c>
    </row>
    <row r="9221" spans="2:6" x14ac:dyDescent="0.25">
      <c r="B9221" s="13" t="s">
        <v>16879</v>
      </c>
      <c r="C9221" s="17" t="s">
        <v>170</v>
      </c>
      <c r="D9221" s="13" t="s">
        <v>118</v>
      </c>
      <c r="E9221" s="13" t="s">
        <v>16880</v>
      </c>
      <c r="F9221" s="43">
        <v>981.71</v>
      </c>
    </row>
    <row r="9222" spans="2:6" x14ac:dyDescent="0.25">
      <c r="B9222" s="13" t="s">
        <v>16881</v>
      </c>
      <c r="C9222" s="17" t="s">
        <v>170</v>
      </c>
      <c r="D9222" s="13" t="s">
        <v>118</v>
      </c>
      <c r="E9222" s="13" t="s">
        <v>16882</v>
      </c>
      <c r="F9222" s="43">
        <v>981.71</v>
      </c>
    </row>
    <row r="9223" spans="2:6" x14ac:dyDescent="0.25">
      <c r="B9223" s="13" t="s">
        <v>16883</v>
      </c>
      <c r="C9223" s="17" t="s">
        <v>170</v>
      </c>
      <c r="D9223" s="13" t="s">
        <v>118</v>
      </c>
      <c r="E9223" s="13" t="s">
        <v>16884</v>
      </c>
      <c r="F9223" s="43">
        <v>459</v>
      </c>
    </row>
    <row r="9224" spans="2:6" x14ac:dyDescent="0.25">
      <c r="B9224" s="13" t="s">
        <v>16885</v>
      </c>
      <c r="C9224" s="17" t="s">
        <v>170</v>
      </c>
      <c r="D9224" s="13" t="s">
        <v>118</v>
      </c>
      <c r="E9224" s="13" t="s">
        <v>16886</v>
      </c>
      <c r="F9224" s="43">
        <v>459</v>
      </c>
    </row>
    <row r="9225" spans="2:6" x14ac:dyDescent="0.25">
      <c r="B9225" s="13" t="s">
        <v>16887</v>
      </c>
      <c r="C9225" s="17" t="s">
        <v>170</v>
      </c>
      <c r="D9225" s="13" t="s">
        <v>118</v>
      </c>
      <c r="E9225" s="13" t="s">
        <v>16888</v>
      </c>
      <c r="F9225" s="43">
        <v>459</v>
      </c>
    </row>
    <row r="9226" spans="2:6" x14ac:dyDescent="0.25">
      <c r="B9226" s="13" t="s">
        <v>16889</v>
      </c>
      <c r="C9226" s="17" t="s">
        <v>170</v>
      </c>
      <c r="D9226" s="13" t="s">
        <v>118</v>
      </c>
      <c r="E9226" s="13" t="s">
        <v>16890</v>
      </c>
      <c r="F9226" s="43">
        <v>459</v>
      </c>
    </row>
    <row r="9227" spans="2:6" x14ac:dyDescent="0.25">
      <c r="B9227" s="13" t="s">
        <v>16891</v>
      </c>
      <c r="C9227" s="17" t="s">
        <v>170</v>
      </c>
      <c r="D9227" s="13" t="s">
        <v>118</v>
      </c>
      <c r="E9227" s="13" t="s">
        <v>16892</v>
      </c>
      <c r="F9227" s="43">
        <v>459</v>
      </c>
    </row>
    <row r="9228" spans="2:6" x14ac:dyDescent="0.25">
      <c r="B9228" s="13" t="s">
        <v>16893</v>
      </c>
      <c r="C9228" s="17" t="s">
        <v>170</v>
      </c>
      <c r="D9228" s="13" t="s">
        <v>118</v>
      </c>
      <c r="E9228" s="13" t="s">
        <v>16894</v>
      </c>
      <c r="F9228" s="43">
        <v>459</v>
      </c>
    </row>
    <row r="9229" spans="2:6" x14ac:dyDescent="0.25">
      <c r="B9229" s="13" t="s">
        <v>16895</v>
      </c>
      <c r="C9229" s="17" t="s">
        <v>170</v>
      </c>
      <c r="D9229" s="13" t="s">
        <v>118</v>
      </c>
      <c r="E9229" s="13" t="s">
        <v>16896</v>
      </c>
      <c r="F9229" s="43">
        <v>459</v>
      </c>
    </row>
    <row r="9230" spans="2:6" x14ac:dyDescent="0.25">
      <c r="B9230" s="13" t="s">
        <v>16897</v>
      </c>
      <c r="C9230" s="17" t="s">
        <v>170</v>
      </c>
      <c r="D9230" s="13" t="s">
        <v>118</v>
      </c>
      <c r="E9230" s="13" t="s">
        <v>16898</v>
      </c>
      <c r="F9230" s="43">
        <v>459</v>
      </c>
    </row>
    <row r="9231" spans="2:6" x14ac:dyDescent="0.25">
      <c r="B9231" s="13" t="s">
        <v>16899</v>
      </c>
      <c r="C9231" s="17" t="s">
        <v>170</v>
      </c>
      <c r="D9231" s="13" t="s">
        <v>118</v>
      </c>
      <c r="E9231" s="13" t="s">
        <v>16900</v>
      </c>
      <c r="F9231" s="43">
        <v>459</v>
      </c>
    </row>
    <row r="9232" spans="2:6" x14ac:dyDescent="0.25">
      <c r="B9232" s="13" t="s">
        <v>16901</v>
      </c>
      <c r="C9232" s="17" t="s">
        <v>170</v>
      </c>
      <c r="D9232" s="13" t="s">
        <v>118</v>
      </c>
      <c r="E9232" s="13" t="s">
        <v>16902</v>
      </c>
      <c r="F9232" s="43">
        <v>459</v>
      </c>
    </row>
    <row r="9233" spans="2:6" x14ac:dyDescent="0.25">
      <c r="B9233" s="13" t="s">
        <v>16903</v>
      </c>
      <c r="C9233" s="17" t="s">
        <v>170</v>
      </c>
      <c r="D9233" s="13" t="s">
        <v>118</v>
      </c>
      <c r="E9233" s="13" t="s">
        <v>16904</v>
      </c>
      <c r="F9233" s="43">
        <v>459</v>
      </c>
    </row>
    <row r="9234" spans="2:6" x14ac:dyDescent="0.25">
      <c r="B9234" s="13" t="s">
        <v>16905</v>
      </c>
      <c r="C9234" s="17" t="s">
        <v>170</v>
      </c>
      <c r="D9234" s="13" t="s">
        <v>118</v>
      </c>
      <c r="E9234" s="13" t="s">
        <v>16906</v>
      </c>
      <c r="F9234" s="43">
        <v>459</v>
      </c>
    </row>
    <row r="9235" spans="2:6" x14ac:dyDescent="0.25">
      <c r="B9235" s="13" t="s">
        <v>16907</v>
      </c>
      <c r="C9235" s="17" t="s">
        <v>170</v>
      </c>
      <c r="D9235" s="13" t="s">
        <v>118</v>
      </c>
      <c r="E9235" s="13" t="s">
        <v>16908</v>
      </c>
      <c r="F9235" s="43">
        <v>459</v>
      </c>
    </row>
    <row r="9236" spans="2:6" x14ac:dyDescent="0.25">
      <c r="B9236" s="13" t="s">
        <v>16909</v>
      </c>
      <c r="C9236" s="17" t="s">
        <v>170</v>
      </c>
      <c r="D9236" s="13" t="s">
        <v>118</v>
      </c>
      <c r="E9236" s="13" t="s">
        <v>16910</v>
      </c>
      <c r="F9236" s="43">
        <v>459</v>
      </c>
    </row>
    <row r="9237" spans="2:6" x14ac:dyDescent="0.25">
      <c r="B9237" s="13" t="s">
        <v>16911</v>
      </c>
      <c r="C9237" s="17" t="s">
        <v>170</v>
      </c>
      <c r="D9237" s="13" t="s">
        <v>118</v>
      </c>
      <c r="E9237" s="13" t="s">
        <v>16912</v>
      </c>
      <c r="F9237" s="43">
        <v>459</v>
      </c>
    </row>
    <row r="9238" spans="2:6" x14ac:dyDescent="0.25">
      <c r="B9238" s="13" t="s">
        <v>16913</v>
      </c>
      <c r="C9238" s="17" t="s">
        <v>170</v>
      </c>
      <c r="D9238" s="13" t="s">
        <v>118</v>
      </c>
      <c r="E9238" s="13" t="s">
        <v>16914</v>
      </c>
      <c r="F9238" s="43">
        <v>459</v>
      </c>
    </row>
    <row r="9239" spans="2:6" x14ac:dyDescent="0.25">
      <c r="B9239" s="13" t="s">
        <v>16915</v>
      </c>
      <c r="C9239" s="17" t="s">
        <v>170</v>
      </c>
      <c r="D9239" s="13" t="s">
        <v>118</v>
      </c>
      <c r="E9239" s="13" t="s">
        <v>16916</v>
      </c>
      <c r="F9239" s="43">
        <v>459</v>
      </c>
    </row>
    <row r="9240" spans="2:6" x14ac:dyDescent="0.25">
      <c r="B9240" s="13" t="s">
        <v>16917</v>
      </c>
      <c r="C9240" s="17" t="s">
        <v>170</v>
      </c>
      <c r="D9240" s="13" t="s">
        <v>118</v>
      </c>
      <c r="E9240" s="13" t="s">
        <v>16918</v>
      </c>
      <c r="F9240" s="43">
        <v>459</v>
      </c>
    </row>
    <row r="9241" spans="2:6" x14ac:dyDescent="0.25">
      <c r="B9241" s="13" t="s">
        <v>16919</v>
      </c>
      <c r="C9241" s="17" t="s">
        <v>170</v>
      </c>
      <c r="D9241" s="13" t="s">
        <v>118</v>
      </c>
      <c r="E9241" s="13" t="s">
        <v>16920</v>
      </c>
      <c r="F9241" s="43">
        <v>459</v>
      </c>
    </row>
    <row r="9242" spans="2:6" x14ac:dyDescent="0.25">
      <c r="B9242" s="13" t="s">
        <v>16921</v>
      </c>
      <c r="C9242" s="17" t="s">
        <v>170</v>
      </c>
      <c r="D9242" s="13" t="s">
        <v>118</v>
      </c>
      <c r="E9242" s="13" t="s">
        <v>16922</v>
      </c>
      <c r="F9242" s="43">
        <v>459</v>
      </c>
    </row>
    <row r="9243" spans="2:6" x14ac:dyDescent="0.25">
      <c r="B9243" s="13" t="s">
        <v>16923</v>
      </c>
      <c r="C9243" s="17" t="s">
        <v>170</v>
      </c>
      <c r="D9243" s="13" t="s">
        <v>118</v>
      </c>
      <c r="E9243" s="13" t="s">
        <v>16924</v>
      </c>
      <c r="F9243" s="43">
        <v>459</v>
      </c>
    </row>
    <row r="9244" spans="2:6" x14ac:dyDescent="0.25">
      <c r="B9244" s="13" t="s">
        <v>16925</v>
      </c>
      <c r="C9244" s="17" t="s">
        <v>170</v>
      </c>
      <c r="D9244" s="13" t="s">
        <v>118</v>
      </c>
      <c r="E9244" s="13" t="s">
        <v>16926</v>
      </c>
      <c r="F9244" s="43">
        <v>459</v>
      </c>
    </row>
    <row r="9245" spans="2:6" x14ac:dyDescent="0.25">
      <c r="B9245" s="13" t="s">
        <v>16927</v>
      </c>
      <c r="C9245" s="17" t="s">
        <v>170</v>
      </c>
      <c r="D9245" s="13" t="s">
        <v>118</v>
      </c>
      <c r="E9245" s="13" t="s">
        <v>16928</v>
      </c>
      <c r="F9245" s="43">
        <v>459</v>
      </c>
    </row>
    <row r="9246" spans="2:6" x14ac:dyDescent="0.25">
      <c r="B9246" s="13" t="s">
        <v>16929</v>
      </c>
      <c r="C9246" s="17" t="s">
        <v>170</v>
      </c>
      <c r="D9246" s="13" t="s">
        <v>118</v>
      </c>
      <c r="E9246" s="13" t="s">
        <v>16930</v>
      </c>
      <c r="F9246" s="43">
        <v>459</v>
      </c>
    </row>
    <row r="9247" spans="2:6" x14ac:dyDescent="0.25">
      <c r="B9247" s="13" t="s">
        <v>16931</v>
      </c>
      <c r="C9247" s="17" t="s">
        <v>170</v>
      </c>
      <c r="D9247" s="13" t="s">
        <v>118</v>
      </c>
      <c r="E9247" s="13" t="s">
        <v>16932</v>
      </c>
      <c r="F9247" s="43">
        <v>459</v>
      </c>
    </row>
    <row r="9248" spans="2:6" x14ac:dyDescent="0.25">
      <c r="B9248" s="13" t="s">
        <v>16933</v>
      </c>
      <c r="C9248" s="17" t="s">
        <v>170</v>
      </c>
      <c r="D9248" s="13" t="s">
        <v>118</v>
      </c>
      <c r="E9248" s="13" t="s">
        <v>16934</v>
      </c>
      <c r="F9248" s="43">
        <v>459</v>
      </c>
    </row>
    <row r="9249" spans="2:6" x14ac:dyDescent="0.25">
      <c r="B9249" s="13" t="s">
        <v>16935</v>
      </c>
      <c r="C9249" s="17" t="s">
        <v>170</v>
      </c>
      <c r="D9249" s="13" t="s">
        <v>118</v>
      </c>
      <c r="E9249" s="13" t="s">
        <v>16936</v>
      </c>
      <c r="F9249" s="43">
        <v>459</v>
      </c>
    </row>
    <row r="9250" spans="2:6" x14ac:dyDescent="0.25">
      <c r="B9250" s="13" t="s">
        <v>16937</v>
      </c>
      <c r="C9250" s="17" t="s">
        <v>170</v>
      </c>
      <c r="D9250" s="13" t="s">
        <v>118</v>
      </c>
      <c r="E9250" s="13" t="s">
        <v>16938</v>
      </c>
      <c r="F9250" s="43">
        <v>459</v>
      </c>
    </row>
    <row r="9251" spans="2:6" x14ac:dyDescent="0.25">
      <c r="B9251" s="13" t="s">
        <v>16939</v>
      </c>
      <c r="C9251" s="17" t="s">
        <v>170</v>
      </c>
      <c r="D9251" s="13" t="s">
        <v>118</v>
      </c>
      <c r="E9251" s="13" t="s">
        <v>16940</v>
      </c>
      <c r="F9251" s="43">
        <v>459</v>
      </c>
    </row>
    <row r="9252" spans="2:6" x14ac:dyDescent="0.25">
      <c r="B9252" s="13" t="s">
        <v>16941</v>
      </c>
      <c r="C9252" s="17" t="s">
        <v>170</v>
      </c>
      <c r="D9252" s="13" t="s">
        <v>118</v>
      </c>
      <c r="E9252" s="13" t="s">
        <v>16942</v>
      </c>
      <c r="F9252" s="43">
        <v>459</v>
      </c>
    </row>
    <row r="9253" spans="2:6" x14ac:dyDescent="0.25">
      <c r="B9253" s="13" t="s">
        <v>16943</v>
      </c>
      <c r="C9253" s="17" t="s">
        <v>170</v>
      </c>
      <c r="D9253" s="13" t="s">
        <v>118</v>
      </c>
      <c r="E9253" s="13" t="s">
        <v>16944</v>
      </c>
      <c r="F9253" s="43">
        <v>459</v>
      </c>
    </row>
    <row r="9254" spans="2:6" x14ac:dyDescent="0.25">
      <c r="B9254" s="13" t="s">
        <v>16945</v>
      </c>
      <c r="C9254" s="17" t="s">
        <v>170</v>
      </c>
      <c r="D9254" s="13" t="s">
        <v>118</v>
      </c>
      <c r="E9254" s="13" t="s">
        <v>16946</v>
      </c>
      <c r="F9254" s="43">
        <v>459</v>
      </c>
    </row>
    <row r="9255" spans="2:6" x14ac:dyDescent="0.25">
      <c r="B9255" s="13" t="s">
        <v>16947</v>
      </c>
      <c r="C9255" s="17" t="s">
        <v>170</v>
      </c>
      <c r="D9255" s="13" t="s">
        <v>118</v>
      </c>
      <c r="E9255" s="13" t="s">
        <v>16948</v>
      </c>
      <c r="F9255" s="43">
        <v>459</v>
      </c>
    </row>
    <row r="9256" spans="2:6" x14ac:dyDescent="0.25">
      <c r="B9256" s="13" t="s">
        <v>16949</v>
      </c>
      <c r="C9256" s="17" t="s">
        <v>170</v>
      </c>
      <c r="D9256" s="13" t="s">
        <v>118</v>
      </c>
      <c r="E9256" s="13" t="s">
        <v>16950</v>
      </c>
      <c r="F9256" s="43">
        <v>459</v>
      </c>
    </row>
    <row r="9257" spans="2:6" x14ac:dyDescent="0.25">
      <c r="B9257" s="13" t="s">
        <v>16951</v>
      </c>
      <c r="C9257" s="17" t="s">
        <v>170</v>
      </c>
      <c r="D9257" s="13" t="s">
        <v>118</v>
      </c>
      <c r="E9257" s="13" t="s">
        <v>16952</v>
      </c>
      <c r="F9257" s="43">
        <v>459</v>
      </c>
    </row>
    <row r="9258" spans="2:6" x14ac:dyDescent="0.25">
      <c r="B9258" s="13" t="s">
        <v>16953</v>
      </c>
      <c r="C9258" s="17" t="s">
        <v>170</v>
      </c>
      <c r="D9258" s="13" t="s">
        <v>118</v>
      </c>
      <c r="E9258" s="13" t="s">
        <v>16954</v>
      </c>
      <c r="F9258" s="43">
        <v>459</v>
      </c>
    </row>
    <row r="9259" spans="2:6" x14ac:dyDescent="0.25">
      <c r="B9259" s="13" t="s">
        <v>16955</v>
      </c>
      <c r="C9259" s="17" t="s">
        <v>170</v>
      </c>
      <c r="D9259" s="13" t="s">
        <v>118</v>
      </c>
      <c r="E9259" s="13" t="s">
        <v>16956</v>
      </c>
      <c r="F9259" s="43">
        <v>459</v>
      </c>
    </row>
    <row r="9260" spans="2:6" x14ac:dyDescent="0.25">
      <c r="B9260" s="13" t="s">
        <v>16957</v>
      </c>
      <c r="C9260" s="17" t="s">
        <v>170</v>
      </c>
      <c r="D9260" s="13" t="s">
        <v>118</v>
      </c>
      <c r="E9260" s="13" t="s">
        <v>16958</v>
      </c>
      <c r="F9260" s="43">
        <v>459</v>
      </c>
    </row>
    <row r="9261" spans="2:6" x14ac:dyDescent="0.25">
      <c r="B9261" s="13" t="s">
        <v>16959</v>
      </c>
      <c r="C9261" s="17" t="s">
        <v>170</v>
      </c>
      <c r="D9261" s="13" t="s">
        <v>118</v>
      </c>
      <c r="E9261" s="13" t="s">
        <v>16960</v>
      </c>
      <c r="F9261" s="43">
        <v>459</v>
      </c>
    </row>
    <row r="9262" spans="2:6" x14ac:dyDescent="0.25">
      <c r="B9262" s="13" t="s">
        <v>16961</v>
      </c>
      <c r="C9262" s="17" t="s">
        <v>170</v>
      </c>
      <c r="D9262" s="13" t="s">
        <v>118</v>
      </c>
      <c r="E9262" s="13" t="s">
        <v>16962</v>
      </c>
      <c r="F9262" s="43">
        <v>459</v>
      </c>
    </row>
    <row r="9263" spans="2:6" x14ac:dyDescent="0.25">
      <c r="B9263" s="13" t="s">
        <v>16963</v>
      </c>
      <c r="C9263" s="17" t="s">
        <v>170</v>
      </c>
      <c r="D9263" s="13" t="s">
        <v>118</v>
      </c>
      <c r="E9263" s="13" t="s">
        <v>16964</v>
      </c>
      <c r="F9263" s="43">
        <v>459</v>
      </c>
    </row>
    <row r="9264" spans="2:6" x14ac:dyDescent="0.25">
      <c r="B9264" s="13" t="s">
        <v>16965</v>
      </c>
      <c r="C9264" s="17" t="s">
        <v>170</v>
      </c>
      <c r="D9264" s="13" t="s">
        <v>118</v>
      </c>
      <c r="E9264" s="13" t="s">
        <v>16966</v>
      </c>
      <c r="F9264" s="43">
        <v>459</v>
      </c>
    </row>
    <row r="9265" spans="2:6" x14ac:dyDescent="0.25">
      <c r="B9265" s="13" t="s">
        <v>16967</v>
      </c>
      <c r="C9265" s="17" t="s">
        <v>170</v>
      </c>
      <c r="D9265" s="13" t="s">
        <v>118</v>
      </c>
      <c r="E9265" s="13" t="s">
        <v>16968</v>
      </c>
      <c r="F9265" s="43">
        <v>459</v>
      </c>
    </row>
    <row r="9266" spans="2:6" x14ac:dyDescent="0.25">
      <c r="B9266" s="13" t="s">
        <v>16969</v>
      </c>
      <c r="C9266" s="17" t="s">
        <v>170</v>
      </c>
      <c r="D9266" s="13" t="s">
        <v>118</v>
      </c>
      <c r="E9266" s="13" t="s">
        <v>16970</v>
      </c>
      <c r="F9266" s="43">
        <v>459</v>
      </c>
    </row>
    <row r="9267" spans="2:6" x14ac:dyDescent="0.25">
      <c r="B9267" s="13" t="s">
        <v>16971</v>
      </c>
      <c r="C9267" s="17" t="s">
        <v>170</v>
      </c>
      <c r="D9267" s="13" t="s">
        <v>118</v>
      </c>
      <c r="E9267" s="13" t="s">
        <v>16972</v>
      </c>
      <c r="F9267" s="43">
        <v>1096.46</v>
      </c>
    </row>
    <row r="9268" spans="2:6" x14ac:dyDescent="0.25">
      <c r="B9268" s="13" t="s">
        <v>16973</v>
      </c>
      <c r="C9268" s="17" t="s">
        <v>170</v>
      </c>
      <c r="D9268" s="13" t="s">
        <v>118</v>
      </c>
      <c r="E9268" s="13" t="s">
        <v>16974</v>
      </c>
      <c r="F9268" s="43">
        <v>1096.46</v>
      </c>
    </row>
    <row r="9269" spans="2:6" x14ac:dyDescent="0.25">
      <c r="B9269" s="13" t="s">
        <v>16975</v>
      </c>
      <c r="C9269" s="17" t="s">
        <v>170</v>
      </c>
      <c r="D9269" s="13" t="s">
        <v>118</v>
      </c>
      <c r="E9269" s="13" t="s">
        <v>16976</v>
      </c>
      <c r="F9269" s="43">
        <v>1096.46</v>
      </c>
    </row>
    <row r="9270" spans="2:6" x14ac:dyDescent="0.25">
      <c r="B9270" s="13" t="s">
        <v>16977</v>
      </c>
      <c r="C9270" s="17" t="s">
        <v>170</v>
      </c>
      <c r="D9270" s="13" t="s">
        <v>118</v>
      </c>
      <c r="E9270" s="13" t="s">
        <v>16978</v>
      </c>
      <c r="F9270" s="43">
        <v>1096.46</v>
      </c>
    </row>
    <row r="9271" spans="2:6" x14ac:dyDescent="0.25">
      <c r="B9271" s="13" t="s">
        <v>16979</v>
      </c>
      <c r="C9271" s="17" t="s">
        <v>170</v>
      </c>
      <c r="D9271" s="13" t="s">
        <v>118</v>
      </c>
      <c r="E9271" s="13" t="s">
        <v>16980</v>
      </c>
      <c r="F9271" s="43">
        <v>1096.46</v>
      </c>
    </row>
    <row r="9272" spans="2:6" x14ac:dyDescent="0.25">
      <c r="B9272" s="13" t="s">
        <v>16981</v>
      </c>
      <c r="C9272" s="17" t="s">
        <v>170</v>
      </c>
      <c r="D9272" s="13" t="s">
        <v>118</v>
      </c>
      <c r="E9272" s="13" t="s">
        <v>16982</v>
      </c>
      <c r="F9272" s="43">
        <v>1096.46</v>
      </c>
    </row>
    <row r="9273" spans="2:6" x14ac:dyDescent="0.25">
      <c r="B9273" s="13" t="s">
        <v>16983</v>
      </c>
      <c r="C9273" s="17" t="s">
        <v>170</v>
      </c>
      <c r="D9273" s="13" t="s">
        <v>118</v>
      </c>
      <c r="E9273" s="13" t="s">
        <v>16984</v>
      </c>
      <c r="F9273" s="43">
        <v>1096.46</v>
      </c>
    </row>
    <row r="9274" spans="2:6" x14ac:dyDescent="0.25">
      <c r="B9274" s="13" t="s">
        <v>16985</v>
      </c>
      <c r="C9274" s="17" t="s">
        <v>170</v>
      </c>
      <c r="D9274" s="13" t="s">
        <v>118</v>
      </c>
      <c r="E9274" s="13" t="s">
        <v>16986</v>
      </c>
      <c r="F9274" s="43">
        <v>1096.46</v>
      </c>
    </row>
    <row r="9275" spans="2:6" x14ac:dyDescent="0.25">
      <c r="B9275" s="13" t="s">
        <v>16987</v>
      </c>
      <c r="C9275" s="17" t="s">
        <v>170</v>
      </c>
      <c r="D9275" s="13" t="s">
        <v>118</v>
      </c>
      <c r="E9275" s="13" t="s">
        <v>16988</v>
      </c>
      <c r="F9275" s="43">
        <v>1096.46</v>
      </c>
    </row>
    <row r="9276" spans="2:6" x14ac:dyDescent="0.25">
      <c r="B9276" s="13" t="s">
        <v>16989</v>
      </c>
      <c r="C9276" s="17" t="s">
        <v>170</v>
      </c>
      <c r="D9276" s="13" t="s">
        <v>118</v>
      </c>
      <c r="E9276" s="13" t="s">
        <v>16990</v>
      </c>
      <c r="F9276" s="43">
        <v>1096.46</v>
      </c>
    </row>
    <row r="9277" spans="2:6" x14ac:dyDescent="0.25">
      <c r="B9277" s="13" t="s">
        <v>16991</v>
      </c>
      <c r="C9277" s="17" t="s">
        <v>170</v>
      </c>
      <c r="D9277" s="13" t="s">
        <v>118</v>
      </c>
      <c r="E9277" s="13" t="s">
        <v>16992</v>
      </c>
      <c r="F9277" s="43">
        <v>1096.46</v>
      </c>
    </row>
    <row r="9278" spans="2:6" x14ac:dyDescent="0.25">
      <c r="B9278" s="13" t="s">
        <v>16993</v>
      </c>
      <c r="C9278" s="17" t="s">
        <v>170</v>
      </c>
      <c r="D9278" s="13" t="s">
        <v>118</v>
      </c>
      <c r="E9278" s="13" t="s">
        <v>16994</v>
      </c>
      <c r="F9278" s="43">
        <v>1096.46</v>
      </c>
    </row>
    <row r="9279" spans="2:6" x14ac:dyDescent="0.25">
      <c r="B9279" s="13" t="s">
        <v>16995</v>
      </c>
      <c r="C9279" s="17" t="s">
        <v>170</v>
      </c>
      <c r="D9279" s="13" t="s">
        <v>118</v>
      </c>
      <c r="E9279" s="13" t="s">
        <v>16996</v>
      </c>
      <c r="F9279" s="43">
        <v>1096.46</v>
      </c>
    </row>
    <row r="9280" spans="2:6" x14ac:dyDescent="0.25">
      <c r="B9280" s="13" t="s">
        <v>16997</v>
      </c>
      <c r="C9280" s="17" t="s">
        <v>170</v>
      </c>
      <c r="D9280" s="13" t="s">
        <v>118</v>
      </c>
      <c r="E9280" s="13" t="s">
        <v>16998</v>
      </c>
      <c r="F9280" s="43">
        <v>1096.46</v>
      </c>
    </row>
    <row r="9281" spans="2:6" x14ac:dyDescent="0.25">
      <c r="B9281" s="13" t="s">
        <v>16999</v>
      </c>
      <c r="C9281" s="17" t="s">
        <v>170</v>
      </c>
      <c r="D9281" s="13" t="s">
        <v>118</v>
      </c>
      <c r="E9281" s="13" t="s">
        <v>17000</v>
      </c>
      <c r="F9281" s="43">
        <v>1096.46</v>
      </c>
    </row>
    <row r="9282" spans="2:6" x14ac:dyDescent="0.25">
      <c r="B9282" s="13" t="s">
        <v>17001</v>
      </c>
      <c r="C9282" s="17" t="s">
        <v>170</v>
      </c>
      <c r="D9282" s="13" t="s">
        <v>118</v>
      </c>
      <c r="E9282" s="13" t="s">
        <v>17002</v>
      </c>
      <c r="F9282" s="43">
        <v>1096.46</v>
      </c>
    </row>
    <row r="9283" spans="2:6" x14ac:dyDescent="0.25">
      <c r="B9283" s="13" t="s">
        <v>17003</v>
      </c>
      <c r="C9283" s="17" t="s">
        <v>170</v>
      </c>
      <c r="D9283" s="13" t="s">
        <v>118</v>
      </c>
      <c r="E9283" s="13" t="s">
        <v>17004</v>
      </c>
      <c r="F9283" s="43">
        <v>861.92</v>
      </c>
    </row>
    <row r="9284" spans="2:6" x14ac:dyDescent="0.25">
      <c r="B9284" s="13" t="s">
        <v>17005</v>
      </c>
      <c r="C9284" s="17" t="s">
        <v>170</v>
      </c>
      <c r="D9284" s="13" t="s">
        <v>118</v>
      </c>
      <c r="E9284" s="13" t="s">
        <v>17006</v>
      </c>
      <c r="F9284" s="43">
        <v>861.92</v>
      </c>
    </row>
    <row r="9285" spans="2:6" x14ac:dyDescent="0.25">
      <c r="B9285" s="13" t="s">
        <v>17007</v>
      </c>
      <c r="C9285" s="17" t="s">
        <v>170</v>
      </c>
      <c r="D9285" s="13" t="s">
        <v>118</v>
      </c>
      <c r="E9285" s="13" t="s">
        <v>17008</v>
      </c>
      <c r="F9285" s="43">
        <v>861.92</v>
      </c>
    </row>
    <row r="9286" spans="2:6" x14ac:dyDescent="0.25">
      <c r="B9286" s="13" t="s">
        <v>17009</v>
      </c>
      <c r="C9286" s="17" t="s">
        <v>170</v>
      </c>
      <c r="D9286" s="13" t="s">
        <v>118</v>
      </c>
      <c r="E9286" s="13" t="s">
        <v>17010</v>
      </c>
      <c r="F9286" s="43">
        <v>861.92</v>
      </c>
    </row>
    <row r="9287" spans="2:6" x14ac:dyDescent="0.25">
      <c r="B9287" s="13" t="s">
        <v>17011</v>
      </c>
      <c r="C9287" s="17" t="s">
        <v>170</v>
      </c>
      <c r="D9287" s="13" t="s">
        <v>118</v>
      </c>
      <c r="E9287" s="13" t="s">
        <v>17012</v>
      </c>
      <c r="F9287" s="43">
        <v>861.92</v>
      </c>
    </row>
    <row r="9288" spans="2:6" x14ac:dyDescent="0.25">
      <c r="B9288" s="13" t="s">
        <v>17013</v>
      </c>
      <c r="C9288" s="17" t="s">
        <v>170</v>
      </c>
      <c r="D9288" s="13" t="s">
        <v>118</v>
      </c>
      <c r="E9288" s="13" t="s">
        <v>17014</v>
      </c>
      <c r="F9288" s="43">
        <v>861.92</v>
      </c>
    </row>
    <row r="9289" spans="2:6" x14ac:dyDescent="0.25">
      <c r="B9289" s="13" t="s">
        <v>17015</v>
      </c>
      <c r="C9289" s="17" t="s">
        <v>170</v>
      </c>
      <c r="D9289" s="13" t="s">
        <v>118</v>
      </c>
      <c r="E9289" s="13" t="s">
        <v>17016</v>
      </c>
      <c r="F9289" s="43">
        <v>861.92</v>
      </c>
    </row>
    <row r="9290" spans="2:6" x14ac:dyDescent="0.25">
      <c r="B9290" s="13" t="s">
        <v>17017</v>
      </c>
      <c r="C9290" s="17" t="s">
        <v>170</v>
      </c>
      <c r="D9290" s="13" t="s">
        <v>118</v>
      </c>
      <c r="E9290" s="13" t="s">
        <v>17018</v>
      </c>
      <c r="F9290" s="43">
        <v>861.92</v>
      </c>
    </row>
    <row r="9291" spans="2:6" x14ac:dyDescent="0.25">
      <c r="B9291" s="13" t="s">
        <v>17019</v>
      </c>
      <c r="C9291" s="17" t="s">
        <v>170</v>
      </c>
      <c r="D9291" s="13" t="s">
        <v>118</v>
      </c>
      <c r="E9291" s="13" t="s">
        <v>17020</v>
      </c>
      <c r="F9291" s="43">
        <v>861.92</v>
      </c>
    </row>
    <row r="9292" spans="2:6" x14ac:dyDescent="0.25">
      <c r="B9292" s="13" t="s">
        <v>17021</v>
      </c>
      <c r="C9292" s="17" t="s">
        <v>170</v>
      </c>
      <c r="D9292" s="13" t="s">
        <v>118</v>
      </c>
      <c r="E9292" s="13" t="s">
        <v>17022</v>
      </c>
      <c r="F9292" s="43">
        <v>861.92</v>
      </c>
    </row>
    <row r="9293" spans="2:6" x14ac:dyDescent="0.25">
      <c r="B9293" s="13" t="s">
        <v>17023</v>
      </c>
      <c r="C9293" s="17" t="s">
        <v>170</v>
      </c>
      <c r="D9293" s="13" t="s">
        <v>118</v>
      </c>
      <c r="E9293" s="13" t="s">
        <v>17024</v>
      </c>
      <c r="F9293" s="43">
        <v>861.92</v>
      </c>
    </row>
    <row r="9294" spans="2:6" x14ac:dyDescent="0.25">
      <c r="B9294" s="13" t="s">
        <v>17025</v>
      </c>
      <c r="C9294" s="17" t="s">
        <v>170</v>
      </c>
      <c r="D9294" s="13" t="s">
        <v>118</v>
      </c>
      <c r="E9294" s="13" t="s">
        <v>17026</v>
      </c>
      <c r="F9294" s="43">
        <v>861.92</v>
      </c>
    </row>
    <row r="9295" spans="2:6" x14ac:dyDescent="0.25">
      <c r="B9295" s="13" t="s">
        <v>17027</v>
      </c>
      <c r="C9295" s="17" t="s">
        <v>170</v>
      </c>
      <c r="D9295" s="13" t="s">
        <v>118</v>
      </c>
      <c r="E9295" s="13" t="s">
        <v>17028</v>
      </c>
      <c r="F9295" s="43">
        <v>861.92</v>
      </c>
    </row>
    <row r="9296" spans="2:6" x14ac:dyDescent="0.25">
      <c r="B9296" s="13" t="s">
        <v>17029</v>
      </c>
      <c r="C9296" s="17" t="s">
        <v>170</v>
      </c>
      <c r="D9296" s="13" t="s">
        <v>118</v>
      </c>
      <c r="E9296" s="13" t="s">
        <v>17030</v>
      </c>
      <c r="F9296" s="43">
        <v>861.92</v>
      </c>
    </row>
    <row r="9297" spans="2:6" x14ac:dyDescent="0.25">
      <c r="B9297" s="13" t="s">
        <v>17031</v>
      </c>
      <c r="C9297" s="17" t="s">
        <v>170</v>
      </c>
      <c r="D9297" s="13" t="s">
        <v>118</v>
      </c>
      <c r="E9297" s="13" t="s">
        <v>17032</v>
      </c>
      <c r="F9297" s="43">
        <v>861.92</v>
      </c>
    </row>
    <row r="9298" spans="2:6" x14ac:dyDescent="0.25">
      <c r="B9298" s="13" t="s">
        <v>17033</v>
      </c>
      <c r="C9298" s="17" t="s">
        <v>170</v>
      </c>
      <c r="D9298" s="13" t="s">
        <v>118</v>
      </c>
      <c r="E9298" s="13" t="s">
        <v>17034</v>
      </c>
      <c r="F9298" s="43">
        <v>861.92</v>
      </c>
    </row>
    <row r="9299" spans="2:6" x14ac:dyDescent="0.25">
      <c r="B9299" s="13" t="s">
        <v>17035</v>
      </c>
      <c r="C9299" s="17" t="s">
        <v>170</v>
      </c>
      <c r="D9299" s="13" t="s">
        <v>118</v>
      </c>
      <c r="E9299" s="13" t="s">
        <v>17036</v>
      </c>
      <c r="F9299" s="43">
        <v>861.92</v>
      </c>
    </row>
    <row r="9300" spans="2:6" x14ac:dyDescent="0.25">
      <c r="B9300" s="13" t="s">
        <v>17037</v>
      </c>
      <c r="C9300" s="17" t="s">
        <v>170</v>
      </c>
      <c r="D9300" s="13" t="s">
        <v>118</v>
      </c>
      <c r="E9300" s="13" t="s">
        <v>17038</v>
      </c>
      <c r="F9300" s="43">
        <v>984.28</v>
      </c>
    </row>
    <row r="9301" spans="2:6" x14ac:dyDescent="0.25">
      <c r="B9301" s="13" t="s">
        <v>17039</v>
      </c>
      <c r="C9301" s="17" t="s">
        <v>170</v>
      </c>
      <c r="D9301" s="13" t="s">
        <v>118</v>
      </c>
      <c r="E9301" s="13" t="s">
        <v>17040</v>
      </c>
      <c r="F9301" s="43">
        <v>984.28</v>
      </c>
    </row>
    <row r="9302" spans="2:6" x14ac:dyDescent="0.25">
      <c r="B9302" s="13" t="s">
        <v>17041</v>
      </c>
      <c r="C9302" s="17" t="s">
        <v>170</v>
      </c>
      <c r="D9302" s="13" t="s">
        <v>118</v>
      </c>
      <c r="E9302" s="13" t="s">
        <v>17042</v>
      </c>
      <c r="F9302" s="43">
        <v>984.28</v>
      </c>
    </row>
    <row r="9303" spans="2:6" x14ac:dyDescent="0.25">
      <c r="B9303" s="13" t="s">
        <v>17043</v>
      </c>
      <c r="C9303" s="17" t="s">
        <v>170</v>
      </c>
      <c r="D9303" s="13" t="s">
        <v>118</v>
      </c>
      <c r="E9303" s="13" t="s">
        <v>17044</v>
      </c>
      <c r="F9303" s="43">
        <v>984.28</v>
      </c>
    </row>
    <row r="9304" spans="2:6" x14ac:dyDescent="0.25">
      <c r="B9304" s="13" t="s">
        <v>17045</v>
      </c>
      <c r="C9304" s="17" t="s">
        <v>170</v>
      </c>
      <c r="D9304" s="13" t="s">
        <v>118</v>
      </c>
      <c r="E9304" s="13" t="s">
        <v>17046</v>
      </c>
      <c r="F9304" s="43">
        <v>984.28</v>
      </c>
    </row>
    <row r="9305" spans="2:6" x14ac:dyDescent="0.25">
      <c r="B9305" s="13" t="s">
        <v>17047</v>
      </c>
      <c r="C9305" s="17" t="s">
        <v>170</v>
      </c>
      <c r="D9305" s="13" t="s">
        <v>118</v>
      </c>
      <c r="E9305" s="13" t="s">
        <v>17048</v>
      </c>
      <c r="F9305" s="43">
        <v>984.28</v>
      </c>
    </row>
    <row r="9306" spans="2:6" x14ac:dyDescent="0.25">
      <c r="B9306" s="13" t="s">
        <v>17049</v>
      </c>
      <c r="C9306" s="17" t="s">
        <v>170</v>
      </c>
      <c r="D9306" s="13" t="s">
        <v>118</v>
      </c>
      <c r="E9306" s="13" t="s">
        <v>17050</v>
      </c>
      <c r="F9306" s="43">
        <v>984.28</v>
      </c>
    </row>
    <row r="9307" spans="2:6" x14ac:dyDescent="0.25">
      <c r="B9307" s="13" t="s">
        <v>17051</v>
      </c>
      <c r="C9307" s="17" t="s">
        <v>170</v>
      </c>
      <c r="D9307" s="13" t="s">
        <v>118</v>
      </c>
      <c r="E9307" s="13" t="s">
        <v>17052</v>
      </c>
      <c r="F9307" s="43">
        <v>984.28</v>
      </c>
    </row>
    <row r="9308" spans="2:6" x14ac:dyDescent="0.25">
      <c r="B9308" s="13" t="s">
        <v>17053</v>
      </c>
      <c r="C9308" s="17" t="s">
        <v>170</v>
      </c>
      <c r="D9308" s="13" t="s">
        <v>118</v>
      </c>
      <c r="E9308" s="13" t="s">
        <v>17054</v>
      </c>
      <c r="F9308" s="43">
        <v>984.28</v>
      </c>
    </row>
    <row r="9309" spans="2:6" x14ac:dyDescent="0.25">
      <c r="B9309" s="13" t="s">
        <v>17055</v>
      </c>
      <c r="C9309" s="17" t="s">
        <v>170</v>
      </c>
      <c r="D9309" s="13" t="s">
        <v>118</v>
      </c>
      <c r="E9309" s="13" t="s">
        <v>17056</v>
      </c>
      <c r="F9309" s="43">
        <v>984.28</v>
      </c>
    </row>
    <row r="9310" spans="2:6" x14ac:dyDescent="0.25">
      <c r="B9310" s="13" t="s">
        <v>17057</v>
      </c>
      <c r="C9310" s="17" t="s">
        <v>170</v>
      </c>
      <c r="D9310" s="13" t="s">
        <v>118</v>
      </c>
      <c r="E9310" s="13" t="s">
        <v>17058</v>
      </c>
      <c r="F9310" s="43">
        <v>984.28</v>
      </c>
    </row>
    <row r="9311" spans="2:6" x14ac:dyDescent="0.25">
      <c r="B9311" s="13" t="s">
        <v>17059</v>
      </c>
      <c r="C9311" s="17" t="s">
        <v>170</v>
      </c>
      <c r="D9311" s="13" t="s">
        <v>118</v>
      </c>
      <c r="E9311" s="13" t="s">
        <v>17060</v>
      </c>
      <c r="F9311" s="43">
        <v>984.28</v>
      </c>
    </row>
    <row r="9312" spans="2:6" x14ac:dyDescent="0.25">
      <c r="B9312" s="13" t="s">
        <v>17061</v>
      </c>
      <c r="C9312" s="17" t="s">
        <v>170</v>
      </c>
      <c r="D9312" s="13" t="s">
        <v>118</v>
      </c>
      <c r="E9312" s="13" t="s">
        <v>17062</v>
      </c>
      <c r="F9312" s="43">
        <v>984.28</v>
      </c>
    </row>
    <row r="9313" spans="2:6" x14ac:dyDescent="0.25">
      <c r="B9313" s="13" t="s">
        <v>17063</v>
      </c>
      <c r="C9313" s="17" t="s">
        <v>170</v>
      </c>
      <c r="D9313" s="13" t="s">
        <v>118</v>
      </c>
      <c r="E9313" s="13" t="s">
        <v>17064</v>
      </c>
      <c r="F9313" s="43">
        <v>984.28</v>
      </c>
    </row>
    <row r="9314" spans="2:6" x14ac:dyDescent="0.25">
      <c r="B9314" s="13" t="s">
        <v>17065</v>
      </c>
      <c r="C9314" s="17" t="s">
        <v>170</v>
      </c>
      <c r="D9314" s="13" t="s">
        <v>118</v>
      </c>
      <c r="E9314" s="13" t="s">
        <v>17066</v>
      </c>
      <c r="F9314" s="43">
        <v>984.28</v>
      </c>
    </row>
    <row r="9315" spans="2:6" x14ac:dyDescent="0.25">
      <c r="B9315" s="13" t="s">
        <v>17067</v>
      </c>
      <c r="C9315" s="17" t="s">
        <v>170</v>
      </c>
      <c r="D9315" s="13" t="s">
        <v>118</v>
      </c>
      <c r="E9315" s="13" t="s">
        <v>17068</v>
      </c>
      <c r="F9315" s="43">
        <v>984.28</v>
      </c>
    </row>
    <row r="9316" spans="2:6" x14ac:dyDescent="0.25">
      <c r="B9316" s="13" t="s">
        <v>17069</v>
      </c>
      <c r="C9316" s="17" t="s">
        <v>170</v>
      </c>
      <c r="D9316" s="13" t="s">
        <v>118</v>
      </c>
      <c r="E9316" s="13" t="s">
        <v>17070</v>
      </c>
      <c r="F9316" s="43">
        <v>984.28</v>
      </c>
    </row>
    <row r="9317" spans="2:6" x14ac:dyDescent="0.25">
      <c r="B9317" s="13" t="s">
        <v>17071</v>
      </c>
      <c r="C9317" s="17" t="s">
        <v>170</v>
      </c>
      <c r="D9317" s="13" t="s">
        <v>118</v>
      </c>
      <c r="E9317" s="13" t="s">
        <v>17072</v>
      </c>
      <c r="F9317" s="43">
        <v>984.28</v>
      </c>
    </row>
    <row r="9318" spans="2:6" x14ac:dyDescent="0.25">
      <c r="B9318" s="13" t="s">
        <v>17073</v>
      </c>
      <c r="C9318" s="17" t="s">
        <v>170</v>
      </c>
      <c r="D9318" s="13" t="s">
        <v>118</v>
      </c>
      <c r="E9318" s="13" t="s">
        <v>17074</v>
      </c>
      <c r="F9318" s="43">
        <v>984.28</v>
      </c>
    </row>
    <row r="9319" spans="2:6" x14ac:dyDescent="0.25">
      <c r="B9319" s="13" t="s">
        <v>17075</v>
      </c>
      <c r="C9319" s="17" t="s">
        <v>170</v>
      </c>
      <c r="D9319" s="13" t="s">
        <v>118</v>
      </c>
      <c r="E9319" s="13" t="s">
        <v>17076</v>
      </c>
      <c r="F9319" s="43">
        <v>984.28</v>
      </c>
    </row>
    <row r="9320" spans="2:6" x14ac:dyDescent="0.25">
      <c r="B9320" s="13" t="s">
        <v>17077</v>
      </c>
      <c r="C9320" s="17" t="s">
        <v>170</v>
      </c>
      <c r="D9320" s="13" t="s">
        <v>118</v>
      </c>
      <c r="E9320" s="13" t="s">
        <v>17078</v>
      </c>
      <c r="F9320" s="43">
        <v>984.28</v>
      </c>
    </row>
    <row r="9321" spans="2:6" x14ac:dyDescent="0.25">
      <c r="B9321" s="13" t="s">
        <v>17079</v>
      </c>
      <c r="C9321" s="17" t="s">
        <v>170</v>
      </c>
      <c r="D9321" s="13" t="s">
        <v>118</v>
      </c>
      <c r="E9321" s="13" t="s">
        <v>17080</v>
      </c>
      <c r="F9321" s="43">
        <v>984.28</v>
      </c>
    </row>
    <row r="9322" spans="2:6" x14ac:dyDescent="0.25">
      <c r="B9322" s="13" t="s">
        <v>17081</v>
      </c>
      <c r="C9322" s="17" t="s">
        <v>170</v>
      </c>
      <c r="D9322" s="13" t="s">
        <v>118</v>
      </c>
      <c r="E9322" s="13" t="s">
        <v>17082</v>
      </c>
      <c r="F9322" s="43">
        <v>984.28</v>
      </c>
    </row>
    <row r="9323" spans="2:6" x14ac:dyDescent="0.25">
      <c r="B9323" s="13" t="s">
        <v>17083</v>
      </c>
      <c r="C9323" s="17" t="s">
        <v>170</v>
      </c>
      <c r="D9323" s="13" t="s">
        <v>118</v>
      </c>
      <c r="E9323" s="13" t="s">
        <v>17084</v>
      </c>
      <c r="F9323" s="43">
        <v>984.28</v>
      </c>
    </row>
    <row r="9324" spans="2:6" x14ac:dyDescent="0.25">
      <c r="B9324" s="13" t="s">
        <v>17085</v>
      </c>
      <c r="C9324" s="17" t="s">
        <v>170</v>
      </c>
      <c r="D9324" s="13" t="s">
        <v>118</v>
      </c>
      <c r="E9324" s="13" t="s">
        <v>17086</v>
      </c>
      <c r="F9324" s="43">
        <v>984.28</v>
      </c>
    </row>
    <row r="9325" spans="2:6" x14ac:dyDescent="0.25">
      <c r="B9325" s="13" t="s">
        <v>17087</v>
      </c>
      <c r="C9325" s="17" t="s">
        <v>170</v>
      </c>
      <c r="D9325" s="13" t="s">
        <v>118</v>
      </c>
      <c r="E9325" s="13" t="s">
        <v>17088</v>
      </c>
      <c r="F9325" s="43">
        <v>984.28</v>
      </c>
    </row>
    <row r="9326" spans="2:6" x14ac:dyDescent="0.25">
      <c r="B9326" s="13" t="s">
        <v>17089</v>
      </c>
      <c r="C9326" s="17" t="s">
        <v>170</v>
      </c>
      <c r="D9326" s="13" t="s">
        <v>118</v>
      </c>
      <c r="E9326" s="13" t="s">
        <v>17090</v>
      </c>
      <c r="F9326" s="43">
        <v>984.28</v>
      </c>
    </row>
    <row r="9327" spans="2:6" x14ac:dyDescent="0.25">
      <c r="B9327" s="13" t="s">
        <v>17091</v>
      </c>
      <c r="C9327" s="17" t="s">
        <v>170</v>
      </c>
      <c r="D9327" s="13" t="s">
        <v>118</v>
      </c>
      <c r="E9327" s="13" t="s">
        <v>17092</v>
      </c>
      <c r="F9327" s="43">
        <v>984.28</v>
      </c>
    </row>
    <row r="9328" spans="2:6" x14ac:dyDescent="0.25">
      <c r="B9328" s="13" t="s">
        <v>17093</v>
      </c>
      <c r="C9328" s="17" t="s">
        <v>170</v>
      </c>
      <c r="D9328" s="13" t="s">
        <v>118</v>
      </c>
      <c r="E9328" s="13" t="s">
        <v>17094</v>
      </c>
      <c r="F9328" s="43">
        <v>984.28</v>
      </c>
    </row>
    <row r="9329" spans="2:6" x14ac:dyDescent="0.25">
      <c r="B9329" s="13" t="s">
        <v>17095</v>
      </c>
      <c r="C9329" s="17" t="s">
        <v>170</v>
      </c>
      <c r="D9329" s="13" t="s">
        <v>118</v>
      </c>
      <c r="E9329" s="13" t="s">
        <v>17096</v>
      </c>
      <c r="F9329" s="43">
        <v>984.28</v>
      </c>
    </row>
    <row r="9330" spans="2:6" x14ac:dyDescent="0.25">
      <c r="B9330" s="13" t="s">
        <v>17097</v>
      </c>
      <c r="C9330" s="17" t="s">
        <v>170</v>
      </c>
      <c r="D9330" s="13" t="s">
        <v>118</v>
      </c>
      <c r="E9330" s="13" t="s">
        <v>17098</v>
      </c>
      <c r="F9330" s="43">
        <v>984.28</v>
      </c>
    </row>
    <row r="9331" spans="2:6" x14ac:dyDescent="0.25">
      <c r="B9331" s="13" t="s">
        <v>17099</v>
      </c>
      <c r="C9331" s="17" t="s">
        <v>170</v>
      </c>
      <c r="D9331" s="13" t="s">
        <v>118</v>
      </c>
      <c r="E9331" s="13" t="s">
        <v>17100</v>
      </c>
      <c r="F9331" s="43">
        <v>984.28</v>
      </c>
    </row>
    <row r="9332" spans="2:6" x14ac:dyDescent="0.25">
      <c r="B9332" s="13" t="s">
        <v>17101</v>
      </c>
      <c r="C9332" s="17" t="s">
        <v>170</v>
      </c>
      <c r="D9332" s="13" t="s">
        <v>118</v>
      </c>
      <c r="E9332" s="13" t="s">
        <v>17102</v>
      </c>
      <c r="F9332" s="43">
        <v>984.28</v>
      </c>
    </row>
    <row r="9333" spans="2:6" x14ac:dyDescent="0.25">
      <c r="B9333" s="13" t="s">
        <v>17103</v>
      </c>
      <c r="C9333" s="17" t="s">
        <v>170</v>
      </c>
      <c r="D9333" s="13" t="s">
        <v>118</v>
      </c>
      <c r="E9333" s="13" t="s">
        <v>17104</v>
      </c>
      <c r="F9333" s="43">
        <v>984.28</v>
      </c>
    </row>
    <row r="9334" spans="2:6" x14ac:dyDescent="0.25">
      <c r="B9334" s="13" t="s">
        <v>17105</v>
      </c>
      <c r="C9334" s="17" t="s">
        <v>170</v>
      </c>
      <c r="D9334" s="13" t="s">
        <v>118</v>
      </c>
      <c r="E9334" s="13" t="s">
        <v>17106</v>
      </c>
      <c r="F9334" s="43">
        <v>984.28</v>
      </c>
    </row>
    <row r="9335" spans="2:6" x14ac:dyDescent="0.25">
      <c r="B9335" s="13" t="s">
        <v>17107</v>
      </c>
      <c r="C9335" s="17" t="s">
        <v>170</v>
      </c>
      <c r="D9335" s="13" t="s">
        <v>118</v>
      </c>
      <c r="E9335" s="13" t="s">
        <v>17108</v>
      </c>
      <c r="F9335" s="43">
        <v>984.28</v>
      </c>
    </row>
    <row r="9336" spans="2:6" x14ac:dyDescent="0.25">
      <c r="B9336" s="13" t="s">
        <v>17109</v>
      </c>
      <c r="C9336" s="17" t="s">
        <v>170</v>
      </c>
      <c r="D9336" s="13" t="s">
        <v>118</v>
      </c>
      <c r="E9336" s="13" t="s">
        <v>17110</v>
      </c>
      <c r="F9336" s="43">
        <v>984.28</v>
      </c>
    </row>
    <row r="9337" spans="2:6" x14ac:dyDescent="0.25">
      <c r="B9337" s="13" t="s">
        <v>17111</v>
      </c>
      <c r="C9337" s="17" t="s">
        <v>170</v>
      </c>
      <c r="D9337" s="13" t="s">
        <v>118</v>
      </c>
      <c r="E9337" s="13" t="s">
        <v>17112</v>
      </c>
      <c r="F9337" s="43">
        <v>1721.25</v>
      </c>
    </row>
    <row r="9338" spans="2:6" x14ac:dyDescent="0.25">
      <c r="B9338" s="13" t="s">
        <v>17113</v>
      </c>
      <c r="C9338" s="17" t="s">
        <v>170</v>
      </c>
      <c r="D9338" s="13" t="s">
        <v>118</v>
      </c>
      <c r="E9338" s="13" t="s">
        <v>17114</v>
      </c>
      <c r="F9338" s="43">
        <v>1721.25</v>
      </c>
    </row>
    <row r="9339" spans="2:6" x14ac:dyDescent="0.25">
      <c r="B9339" s="13" t="s">
        <v>17115</v>
      </c>
      <c r="C9339" s="17" t="s">
        <v>170</v>
      </c>
      <c r="D9339" s="13" t="s">
        <v>118</v>
      </c>
      <c r="E9339" s="13" t="s">
        <v>17116</v>
      </c>
      <c r="F9339" s="43">
        <v>1721.25</v>
      </c>
    </row>
    <row r="9340" spans="2:6" x14ac:dyDescent="0.25">
      <c r="B9340" s="13" t="s">
        <v>17117</v>
      </c>
      <c r="C9340" s="17" t="s">
        <v>170</v>
      </c>
      <c r="D9340" s="13" t="s">
        <v>118</v>
      </c>
      <c r="E9340" s="13" t="s">
        <v>17118</v>
      </c>
      <c r="F9340" s="43">
        <v>1721.25</v>
      </c>
    </row>
    <row r="9341" spans="2:6" x14ac:dyDescent="0.25">
      <c r="B9341" s="13" t="s">
        <v>17119</v>
      </c>
      <c r="C9341" s="17" t="s">
        <v>170</v>
      </c>
      <c r="D9341" s="13" t="s">
        <v>118</v>
      </c>
      <c r="E9341" s="13" t="s">
        <v>17120</v>
      </c>
      <c r="F9341" s="43">
        <v>1721.25</v>
      </c>
    </row>
    <row r="9342" spans="2:6" x14ac:dyDescent="0.25">
      <c r="B9342" s="13" t="s">
        <v>17121</v>
      </c>
      <c r="C9342" s="17" t="s">
        <v>170</v>
      </c>
      <c r="D9342" s="13" t="s">
        <v>118</v>
      </c>
      <c r="E9342" s="13" t="s">
        <v>17122</v>
      </c>
      <c r="F9342" s="43">
        <v>1721.25</v>
      </c>
    </row>
    <row r="9343" spans="2:6" x14ac:dyDescent="0.25">
      <c r="B9343" s="13" t="s">
        <v>17123</v>
      </c>
      <c r="C9343" s="17" t="s">
        <v>170</v>
      </c>
      <c r="D9343" s="13" t="s">
        <v>118</v>
      </c>
      <c r="E9343" s="13" t="s">
        <v>17124</v>
      </c>
      <c r="F9343" s="43">
        <v>1721.25</v>
      </c>
    </row>
    <row r="9344" spans="2:6" x14ac:dyDescent="0.25">
      <c r="B9344" s="13" t="s">
        <v>17125</v>
      </c>
      <c r="C9344" s="17" t="s">
        <v>170</v>
      </c>
      <c r="D9344" s="13" t="s">
        <v>118</v>
      </c>
      <c r="E9344" s="13" t="s">
        <v>17126</v>
      </c>
      <c r="F9344" s="43">
        <v>1721.25</v>
      </c>
    </row>
    <row r="9345" spans="2:6" x14ac:dyDescent="0.25">
      <c r="B9345" s="13" t="s">
        <v>17127</v>
      </c>
      <c r="C9345" s="17" t="s">
        <v>170</v>
      </c>
      <c r="D9345" s="13" t="s">
        <v>118</v>
      </c>
      <c r="E9345" s="13" t="s">
        <v>17128</v>
      </c>
      <c r="F9345" s="43">
        <v>1721.25</v>
      </c>
    </row>
    <row r="9346" spans="2:6" x14ac:dyDescent="0.25">
      <c r="B9346" s="13" t="s">
        <v>17129</v>
      </c>
      <c r="C9346" s="17" t="s">
        <v>170</v>
      </c>
      <c r="D9346" s="13" t="s">
        <v>118</v>
      </c>
      <c r="E9346" s="13" t="s">
        <v>17130</v>
      </c>
      <c r="F9346" s="43">
        <v>1721.25</v>
      </c>
    </row>
    <row r="9347" spans="2:6" x14ac:dyDescent="0.25">
      <c r="B9347" s="13" t="s">
        <v>17131</v>
      </c>
      <c r="C9347" s="17" t="s">
        <v>170</v>
      </c>
      <c r="D9347" s="13" t="s">
        <v>118</v>
      </c>
      <c r="E9347" s="13" t="s">
        <v>17132</v>
      </c>
      <c r="F9347" s="43">
        <v>1721.25</v>
      </c>
    </row>
    <row r="9348" spans="2:6" x14ac:dyDescent="0.25">
      <c r="B9348" s="13" t="s">
        <v>17133</v>
      </c>
      <c r="C9348" s="17" t="s">
        <v>170</v>
      </c>
      <c r="D9348" s="13" t="s">
        <v>118</v>
      </c>
      <c r="E9348" s="13" t="s">
        <v>17134</v>
      </c>
      <c r="F9348" s="43">
        <v>1721.25</v>
      </c>
    </row>
    <row r="9349" spans="2:6" x14ac:dyDescent="0.25">
      <c r="B9349" s="13" t="s">
        <v>17135</v>
      </c>
      <c r="C9349" s="17" t="s">
        <v>170</v>
      </c>
      <c r="D9349" s="13" t="s">
        <v>118</v>
      </c>
      <c r="E9349" s="13" t="s">
        <v>17136</v>
      </c>
      <c r="F9349" s="43">
        <v>1721.25</v>
      </c>
    </row>
    <row r="9350" spans="2:6" x14ac:dyDescent="0.25">
      <c r="B9350" s="13" t="s">
        <v>17137</v>
      </c>
      <c r="C9350" s="17" t="s">
        <v>170</v>
      </c>
      <c r="D9350" s="13" t="s">
        <v>118</v>
      </c>
      <c r="E9350" s="13" t="s">
        <v>17138</v>
      </c>
      <c r="F9350" s="43">
        <v>1927.8</v>
      </c>
    </row>
    <row r="9351" spans="2:6" x14ac:dyDescent="0.25">
      <c r="B9351" s="13" t="s">
        <v>17139</v>
      </c>
      <c r="C9351" s="17" t="s">
        <v>170</v>
      </c>
      <c r="D9351" s="13" t="s">
        <v>118</v>
      </c>
      <c r="E9351" s="13" t="s">
        <v>17140</v>
      </c>
      <c r="F9351" s="43">
        <v>1927.8</v>
      </c>
    </row>
    <row r="9352" spans="2:6" x14ac:dyDescent="0.25">
      <c r="B9352" s="13" t="s">
        <v>17141</v>
      </c>
      <c r="C9352" s="17" t="s">
        <v>170</v>
      </c>
      <c r="D9352" s="13" t="s">
        <v>118</v>
      </c>
      <c r="E9352" s="13" t="s">
        <v>17142</v>
      </c>
      <c r="F9352" s="43">
        <v>1927.8</v>
      </c>
    </row>
    <row r="9353" spans="2:6" x14ac:dyDescent="0.25">
      <c r="B9353" s="13" t="s">
        <v>17143</v>
      </c>
      <c r="C9353" s="17" t="s">
        <v>170</v>
      </c>
      <c r="D9353" s="13" t="s">
        <v>118</v>
      </c>
      <c r="E9353" s="13" t="s">
        <v>17144</v>
      </c>
      <c r="F9353" s="43">
        <v>1721.25</v>
      </c>
    </row>
    <row r="9354" spans="2:6" x14ac:dyDescent="0.25">
      <c r="B9354" s="13" t="s">
        <v>17145</v>
      </c>
      <c r="C9354" s="17" t="s">
        <v>170</v>
      </c>
      <c r="D9354" s="13" t="s">
        <v>118</v>
      </c>
      <c r="E9354" s="13" t="s">
        <v>17146</v>
      </c>
      <c r="F9354" s="43">
        <v>1721.25</v>
      </c>
    </row>
    <row r="9355" spans="2:6" x14ac:dyDescent="0.25">
      <c r="B9355" s="13" t="s">
        <v>17147</v>
      </c>
      <c r="C9355" s="17" t="s">
        <v>170</v>
      </c>
      <c r="D9355" s="13" t="s">
        <v>118</v>
      </c>
      <c r="E9355" s="13" t="s">
        <v>17148</v>
      </c>
      <c r="F9355" s="43">
        <v>1721.25</v>
      </c>
    </row>
    <row r="9356" spans="2:6" x14ac:dyDescent="0.25">
      <c r="B9356" s="13" t="s">
        <v>17149</v>
      </c>
      <c r="C9356" s="17" t="s">
        <v>170</v>
      </c>
      <c r="D9356" s="13" t="s">
        <v>118</v>
      </c>
      <c r="E9356" s="13" t="s">
        <v>17150</v>
      </c>
      <c r="F9356" s="43">
        <v>1721.25</v>
      </c>
    </row>
    <row r="9357" spans="2:6" x14ac:dyDescent="0.25">
      <c r="B9357" s="13" t="s">
        <v>17151</v>
      </c>
      <c r="C9357" s="17" t="s">
        <v>170</v>
      </c>
      <c r="D9357" s="13" t="s">
        <v>118</v>
      </c>
      <c r="E9357" s="13" t="s">
        <v>17152</v>
      </c>
      <c r="F9357" s="43">
        <v>1721.25</v>
      </c>
    </row>
    <row r="9358" spans="2:6" x14ac:dyDescent="0.25">
      <c r="B9358" s="13" t="s">
        <v>17153</v>
      </c>
      <c r="C9358" s="17" t="s">
        <v>170</v>
      </c>
      <c r="D9358" s="13" t="s">
        <v>118</v>
      </c>
      <c r="E9358" s="13" t="s">
        <v>17154</v>
      </c>
      <c r="F9358" s="43">
        <v>1721.25</v>
      </c>
    </row>
    <row r="9359" spans="2:6" x14ac:dyDescent="0.25">
      <c r="B9359" s="13" t="s">
        <v>17155</v>
      </c>
      <c r="C9359" s="17" t="s">
        <v>170</v>
      </c>
      <c r="D9359" s="13" t="s">
        <v>118</v>
      </c>
      <c r="E9359" s="13" t="s">
        <v>17156</v>
      </c>
      <c r="F9359" s="43">
        <v>1721.25</v>
      </c>
    </row>
    <row r="9360" spans="2:6" x14ac:dyDescent="0.25">
      <c r="B9360" s="13" t="s">
        <v>17157</v>
      </c>
      <c r="C9360" s="17" t="s">
        <v>170</v>
      </c>
      <c r="D9360" s="13" t="s">
        <v>118</v>
      </c>
      <c r="E9360" s="13" t="s">
        <v>17158</v>
      </c>
      <c r="F9360" s="43">
        <v>1721.25</v>
      </c>
    </row>
    <row r="9361" spans="2:6" x14ac:dyDescent="0.25">
      <c r="B9361" s="13" t="s">
        <v>17159</v>
      </c>
      <c r="C9361" s="17" t="s">
        <v>170</v>
      </c>
      <c r="D9361" s="13" t="s">
        <v>118</v>
      </c>
      <c r="E9361" s="13" t="s">
        <v>17160</v>
      </c>
      <c r="F9361" s="43">
        <v>1721.25</v>
      </c>
    </row>
    <row r="9362" spans="2:6" x14ac:dyDescent="0.25">
      <c r="B9362" s="13" t="s">
        <v>17161</v>
      </c>
      <c r="C9362" s="17" t="s">
        <v>170</v>
      </c>
      <c r="D9362" s="13" t="s">
        <v>118</v>
      </c>
      <c r="E9362" s="13" t="s">
        <v>17162</v>
      </c>
      <c r="F9362" s="43">
        <v>1721.25</v>
      </c>
    </row>
    <row r="9363" spans="2:6" x14ac:dyDescent="0.25">
      <c r="B9363" s="13" t="s">
        <v>17163</v>
      </c>
      <c r="C9363" s="17" t="s">
        <v>170</v>
      </c>
      <c r="D9363" s="13" t="s">
        <v>118</v>
      </c>
      <c r="E9363" s="13" t="s">
        <v>17164</v>
      </c>
      <c r="F9363" s="43">
        <v>1721.25</v>
      </c>
    </row>
    <row r="9364" spans="2:6" x14ac:dyDescent="0.25">
      <c r="B9364" s="13" t="s">
        <v>17165</v>
      </c>
      <c r="C9364" s="17" t="s">
        <v>170</v>
      </c>
      <c r="D9364" s="13" t="s">
        <v>118</v>
      </c>
      <c r="E9364" s="13" t="s">
        <v>17166</v>
      </c>
      <c r="F9364" s="43">
        <v>1721.25</v>
      </c>
    </row>
    <row r="9365" spans="2:6" x14ac:dyDescent="0.25">
      <c r="B9365" s="13" t="s">
        <v>17167</v>
      </c>
      <c r="C9365" s="17" t="s">
        <v>170</v>
      </c>
      <c r="D9365" s="13" t="s">
        <v>118</v>
      </c>
      <c r="E9365" s="13" t="s">
        <v>17168</v>
      </c>
      <c r="F9365" s="43">
        <v>1721.25</v>
      </c>
    </row>
    <row r="9366" spans="2:6" x14ac:dyDescent="0.25">
      <c r="B9366" s="13" t="s">
        <v>17169</v>
      </c>
      <c r="C9366" s="17" t="s">
        <v>170</v>
      </c>
      <c r="D9366" s="13" t="s">
        <v>118</v>
      </c>
      <c r="E9366" s="13" t="s">
        <v>17170</v>
      </c>
      <c r="F9366" s="43">
        <v>1927.8</v>
      </c>
    </row>
    <row r="9367" spans="2:6" x14ac:dyDescent="0.25">
      <c r="B9367" s="13" t="s">
        <v>17171</v>
      </c>
      <c r="C9367" s="17" t="s">
        <v>170</v>
      </c>
      <c r="D9367" s="13" t="s">
        <v>118</v>
      </c>
      <c r="E9367" s="13" t="s">
        <v>17172</v>
      </c>
      <c r="F9367" s="43">
        <v>1927.8</v>
      </c>
    </row>
    <row r="9368" spans="2:6" x14ac:dyDescent="0.25">
      <c r="B9368" s="13" t="s">
        <v>17173</v>
      </c>
      <c r="C9368" s="17" t="s">
        <v>170</v>
      </c>
      <c r="D9368" s="13" t="s">
        <v>118</v>
      </c>
      <c r="E9368" s="13" t="s">
        <v>17174</v>
      </c>
      <c r="F9368" s="43">
        <v>1927.8</v>
      </c>
    </row>
    <row r="9369" spans="2:6" x14ac:dyDescent="0.25">
      <c r="B9369" s="13" t="s">
        <v>17175</v>
      </c>
      <c r="C9369" s="17" t="s">
        <v>170</v>
      </c>
      <c r="D9369" s="13" t="s">
        <v>118</v>
      </c>
      <c r="E9369" s="13" t="s">
        <v>17176</v>
      </c>
      <c r="F9369" s="43">
        <v>1721.25</v>
      </c>
    </row>
    <row r="9370" spans="2:6" x14ac:dyDescent="0.25">
      <c r="B9370" s="13" t="s">
        <v>17177</v>
      </c>
      <c r="C9370" s="17" t="s">
        <v>170</v>
      </c>
      <c r="D9370" s="13" t="s">
        <v>118</v>
      </c>
      <c r="E9370" s="13" t="s">
        <v>17178</v>
      </c>
      <c r="F9370" s="43">
        <v>1721.25</v>
      </c>
    </row>
    <row r="9371" spans="2:6" x14ac:dyDescent="0.25">
      <c r="B9371" s="13" t="s">
        <v>17179</v>
      </c>
      <c r="C9371" s="17" t="s">
        <v>170</v>
      </c>
      <c r="D9371" s="13" t="s">
        <v>118</v>
      </c>
      <c r="E9371" s="13" t="s">
        <v>17180</v>
      </c>
      <c r="F9371" s="43">
        <v>1721.25</v>
      </c>
    </row>
    <row r="9372" spans="2:6" x14ac:dyDescent="0.25">
      <c r="B9372" s="13" t="s">
        <v>17181</v>
      </c>
      <c r="C9372" s="17" t="s">
        <v>170</v>
      </c>
      <c r="D9372" s="13" t="s">
        <v>118</v>
      </c>
      <c r="E9372" s="13" t="s">
        <v>17182</v>
      </c>
      <c r="F9372" s="43">
        <v>1721.25</v>
      </c>
    </row>
    <row r="9373" spans="2:6" x14ac:dyDescent="0.25">
      <c r="B9373" s="13" t="s">
        <v>17183</v>
      </c>
      <c r="C9373" s="17" t="s">
        <v>170</v>
      </c>
      <c r="D9373" s="13" t="s">
        <v>118</v>
      </c>
      <c r="E9373" s="13" t="s">
        <v>17184</v>
      </c>
      <c r="F9373" s="43">
        <v>1721.25</v>
      </c>
    </row>
    <row r="9374" spans="2:6" x14ac:dyDescent="0.25">
      <c r="B9374" s="13" t="s">
        <v>17185</v>
      </c>
      <c r="C9374" s="17" t="s">
        <v>170</v>
      </c>
      <c r="D9374" s="13" t="s">
        <v>118</v>
      </c>
      <c r="E9374" s="13" t="s">
        <v>17186</v>
      </c>
      <c r="F9374" s="43">
        <v>1721.25</v>
      </c>
    </row>
    <row r="9375" spans="2:6" x14ac:dyDescent="0.25">
      <c r="B9375" s="13" t="s">
        <v>17187</v>
      </c>
      <c r="C9375" s="17" t="s">
        <v>170</v>
      </c>
      <c r="D9375" s="13" t="s">
        <v>118</v>
      </c>
      <c r="E9375" s="13" t="s">
        <v>17188</v>
      </c>
      <c r="F9375" s="43">
        <v>1721.25</v>
      </c>
    </row>
    <row r="9376" spans="2:6" x14ac:dyDescent="0.25">
      <c r="B9376" s="13" t="s">
        <v>17189</v>
      </c>
      <c r="C9376" s="17" t="s">
        <v>170</v>
      </c>
      <c r="D9376" s="13" t="s">
        <v>118</v>
      </c>
      <c r="E9376" s="13" t="s">
        <v>17190</v>
      </c>
      <c r="F9376" s="43">
        <v>1721.25</v>
      </c>
    </row>
    <row r="9377" spans="2:6" x14ac:dyDescent="0.25">
      <c r="B9377" s="13" t="s">
        <v>17191</v>
      </c>
      <c r="C9377" s="17" t="s">
        <v>170</v>
      </c>
      <c r="D9377" s="13" t="s">
        <v>118</v>
      </c>
      <c r="E9377" s="13" t="s">
        <v>17192</v>
      </c>
      <c r="F9377" s="43">
        <v>1721.25</v>
      </c>
    </row>
    <row r="9378" spans="2:6" x14ac:dyDescent="0.25">
      <c r="B9378" s="13" t="s">
        <v>17193</v>
      </c>
      <c r="C9378" s="17" t="s">
        <v>170</v>
      </c>
      <c r="D9378" s="13" t="s">
        <v>118</v>
      </c>
      <c r="E9378" s="13" t="s">
        <v>17194</v>
      </c>
      <c r="F9378" s="43">
        <v>1721.25</v>
      </c>
    </row>
    <row r="9379" spans="2:6" x14ac:dyDescent="0.25">
      <c r="B9379" s="13" t="s">
        <v>17195</v>
      </c>
      <c r="C9379" s="17" t="s">
        <v>170</v>
      </c>
      <c r="D9379" s="13" t="s">
        <v>118</v>
      </c>
      <c r="E9379" s="13" t="s">
        <v>17196</v>
      </c>
      <c r="F9379" s="43">
        <v>1721.25</v>
      </c>
    </row>
    <row r="9380" spans="2:6" x14ac:dyDescent="0.25">
      <c r="B9380" s="13" t="s">
        <v>17197</v>
      </c>
      <c r="C9380" s="17" t="s">
        <v>170</v>
      </c>
      <c r="D9380" s="13" t="s">
        <v>118</v>
      </c>
      <c r="E9380" s="13" t="s">
        <v>17198</v>
      </c>
      <c r="F9380" s="43">
        <v>1721.25</v>
      </c>
    </row>
    <row r="9381" spans="2:6" x14ac:dyDescent="0.25">
      <c r="B9381" s="13" t="s">
        <v>17199</v>
      </c>
      <c r="C9381" s="17" t="s">
        <v>170</v>
      </c>
      <c r="D9381" s="13" t="s">
        <v>118</v>
      </c>
      <c r="E9381" s="13" t="s">
        <v>17200</v>
      </c>
      <c r="F9381" s="43">
        <v>1721.25</v>
      </c>
    </row>
    <row r="9382" spans="2:6" x14ac:dyDescent="0.25">
      <c r="B9382" s="13" t="s">
        <v>17201</v>
      </c>
      <c r="C9382" s="17" t="s">
        <v>170</v>
      </c>
      <c r="D9382" s="13" t="s">
        <v>118</v>
      </c>
      <c r="E9382" s="13" t="s">
        <v>17202</v>
      </c>
      <c r="F9382" s="43">
        <v>1927.8</v>
      </c>
    </row>
    <row r="9383" spans="2:6" x14ac:dyDescent="0.25">
      <c r="B9383" s="13" t="s">
        <v>17203</v>
      </c>
      <c r="C9383" s="17" t="s">
        <v>170</v>
      </c>
      <c r="D9383" s="13" t="s">
        <v>118</v>
      </c>
      <c r="E9383" s="13" t="s">
        <v>17204</v>
      </c>
      <c r="F9383" s="43">
        <v>1927.8</v>
      </c>
    </row>
    <row r="9384" spans="2:6" x14ac:dyDescent="0.25">
      <c r="B9384" s="13" t="s">
        <v>17205</v>
      </c>
      <c r="C9384" s="17" t="s">
        <v>170</v>
      </c>
      <c r="D9384" s="13" t="s">
        <v>118</v>
      </c>
      <c r="E9384" s="13" t="s">
        <v>17206</v>
      </c>
      <c r="F9384" s="43">
        <v>1927.8</v>
      </c>
    </row>
    <row r="9385" spans="2:6" x14ac:dyDescent="0.25">
      <c r="B9385" s="13" t="s">
        <v>17207</v>
      </c>
      <c r="C9385" s="17" t="s">
        <v>170</v>
      </c>
      <c r="D9385" s="13" t="s">
        <v>118</v>
      </c>
      <c r="E9385" s="13" t="s">
        <v>17208</v>
      </c>
      <c r="F9385" s="43">
        <v>1721.25</v>
      </c>
    </row>
    <row r="9386" spans="2:6" x14ac:dyDescent="0.25">
      <c r="B9386" s="13" t="s">
        <v>17209</v>
      </c>
      <c r="C9386" s="17" t="s">
        <v>170</v>
      </c>
      <c r="D9386" s="13" t="s">
        <v>118</v>
      </c>
      <c r="E9386" s="13" t="s">
        <v>17210</v>
      </c>
      <c r="F9386" s="43">
        <v>1721.25</v>
      </c>
    </row>
    <row r="9387" spans="2:6" x14ac:dyDescent="0.25">
      <c r="B9387" s="13" t="s">
        <v>17211</v>
      </c>
      <c r="C9387" s="17" t="s">
        <v>170</v>
      </c>
      <c r="D9387" s="13" t="s">
        <v>118</v>
      </c>
      <c r="E9387" s="13" t="s">
        <v>17212</v>
      </c>
      <c r="F9387" s="43">
        <v>1721.25</v>
      </c>
    </row>
    <row r="9388" spans="2:6" x14ac:dyDescent="0.25">
      <c r="B9388" s="13" t="s">
        <v>17213</v>
      </c>
      <c r="C9388" s="17" t="s">
        <v>170</v>
      </c>
      <c r="D9388" s="13" t="s">
        <v>118</v>
      </c>
      <c r="E9388" s="13" t="s">
        <v>17214</v>
      </c>
      <c r="F9388" s="43">
        <v>1721.25</v>
      </c>
    </row>
    <row r="9389" spans="2:6" x14ac:dyDescent="0.25">
      <c r="B9389" s="13" t="s">
        <v>17215</v>
      </c>
      <c r="C9389" s="17" t="s">
        <v>170</v>
      </c>
      <c r="D9389" s="13" t="s">
        <v>118</v>
      </c>
      <c r="E9389" s="13" t="s">
        <v>17216</v>
      </c>
      <c r="F9389" s="43">
        <v>1721.25</v>
      </c>
    </row>
    <row r="9390" spans="2:6" x14ac:dyDescent="0.25">
      <c r="B9390" s="13" t="s">
        <v>17217</v>
      </c>
      <c r="C9390" s="17" t="s">
        <v>170</v>
      </c>
      <c r="D9390" s="13" t="s">
        <v>118</v>
      </c>
      <c r="E9390" s="13" t="s">
        <v>17218</v>
      </c>
      <c r="F9390" s="43">
        <v>1721.25</v>
      </c>
    </row>
    <row r="9391" spans="2:6" x14ac:dyDescent="0.25">
      <c r="B9391" s="13" t="s">
        <v>17219</v>
      </c>
      <c r="C9391" s="17" t="s">
        <v>170</v>
      </c>
      <c r="D9391" s="13" t="s">
        <v>118</v>
      </c>
      <c r="E9391" s="13" t="s">
        <v>17220</v>
      </c>
      <c r="F9391" s="43">
        <v>1721.25</v>
      </c>
    </row>
    <row r="9392" spans="2:6" x14ac:dyDescent="0.25">
      <c r="B9392" s="13" t="s">
        <v>17221</v>
      </c>
      <c r="C9392" s="17" t="s">
        <v>170</v>
      </c>
      <c r="D9392" s="13" t="s">
        <v>118</v>
      </c>
      <c r="E9392" s="13" t="s">
        <v>17222</v>
      </c>
      <c r="F9392" s="43">
        <v>1721.25</v>
      </c>
    </row>
    <row r="9393" spans="2:6" x14ac:dyDescent="0.25">
      <c r="B9393" s="13" t="s">
        <v>17223</v>
      </c>
      <c r="C9393" s="17" t="s">
        <v>170</v>
      </c>
      <c r="D9393" s="13" t="s">
        <v>118</v>
      </c>
      <c r="E9393" s="13" t="s">
        <v>17224</v>
      </c>
      <c r="F9393" s="43">
        <v>1721.25</v>
      </c>
    </row>
    <row r="9394" spans="2:6" x14ac:dyDescent="0.25">
      <c r="B9394" s="13" t="s">
        <v>17225</v>
      </c>
      <c r="C9394" s="17" t="s">
        <v>170</v>
      </c>
      <c r="D9394" s="13" t="s">
        <v>118</v>
      </c>
      <c r="E9394" s="13" t="s">
        <v>17226</v>
      </c>
      <c r="F9394" s="43">
        <v>1721.25</v>
      </c>
    </row>
    <row r="9395" spans="2:6" x14ac:dyDescent="0.25">
      <c r="B9395" s="13" t="s">
        <v>17227</v>
      </c>
      <c r="C9395" s="17" t="s">
        <v>170</v>
      </c>
      <c r="D9395" s="13" t="s">
        <v>118</v>
      </c>
      <c r="E9395" s="13" t="s">
        <v>17228</v>
      </c>
      <c r="F9395" s="43">
        <v>1721.25</v>
      </c>
    </row>
    <row r="9396" spans="2:6" x14ac:dyDescent="0.25">
      <c r="B9396" s="13" t="s">
        <v>17229</v>
      </c>
      <c r="C9396" s="17" t="s">
        <v>170</v>
      </c>
      <c r="D9396" s="13" t="s">
        <v>118</v>
      </c>
      <c r="E9396" s="13" t="s">
        <v>17230</v>
      </c>
      <c r="F9396" s="43">
        <v>1721.25</v>
      </c>
    </row>
    <row r="9397" spans="2:6" x14ac:dyDescent="0.25">
      <c r="B9397" s="13" t="s">
        <v>17231</v>
      </c>
      <c r="C9397" s="17" t="s">
        <v>170</v>
      </c>
      <c r="D9397" s="13" t="s">
        <v>118</v>
      </c>
      <c r="E9397" s="13" t="s">
        <v>17232</v>
      </c>
      <c r="F9397" s="43">
        <v>1721.25</v>
      </c>
    </row>
    <row r="9398" spans="2:6" x14ac:dyDescent="0.25">
      <c r="B9398" s="13" t="s">
        <v>17233</v>
      </c>
      <c r="C9398" s="17" t="s">
        <v>170</v>
      </c>
      <c r="D9398" s="13" t="s">
        <v>118</v>
      </c>
      <c r="E9398" s="13" t="s">
        <v>17234</v>
      </c>
      <c r="F9398" s="43">
        <v>1927.8</v>
      </c>
    </row>
    <row r="9399" spans="2:6" x14ac:dyDescent="0.25">
      <c r="B9399" s="13" t="s">
        <v>17235</v>
      </c>
      <c r="C9399" s="17" t="s">
        <v>170</v>
      </c>
      <c r="D9399" s="13" t="s">
        <v>118</v>
      </c>
      <c r="E9399" s="13" t="s">
        <v>17236</v>
      </c>
      <c r="F9399" s="43">
        <v>1927.8</v>
      </c>
    </row>
    <row r="9400" spans="2:6" x14ac:dyDescent="0.25">
      <c r="B9400" s="13" t="s">
        <v>17237</v>
      </c>
      <c r="C9400" s="17" t="s">
        <v>170</v>
      </c>
      <c r="D9400" s="13" t="s">
        <v>118</v>
      </c>
      <c r="E9400" s="13" t="s">
        <v>17238</v>
      </c>
      <c r="F9400" s="43">
        <v>1927.8</v>
      </c>
    </row>
    <row r="9401" spans="2:6" x14ac:dyDescent="0.25">
      <c r="B9401" s="13" t="s">
        <v>17239</v>
      </c>
      <c r="C9401" s="17" t="s">
        <v>170</v>
      </c>
      <c r="D9401" s="13" t="s">
        <v>118</v>
      </c>
      <c r="E9401" s="13" t="s">
        <v>17240</v>
      </c>
      <c r="F9401" s="43">
        <v>2134.35</v>
      </c>
    </row>
    <row r="9402" spans="2:6" x14ac:dyDescent="0.25">
      <c r="B9402" s="13" t="s">
        <v>17241</v>
      </c>
      <c r="C9402" s="17" t="s">
        <v>170</v>
      </c>
      <c r="D9402" s="13" t="s">
        <v>118</v>
      </c>
      <c r="E9402" s="13" t="s">
        <v>17242</v>
      </c>
      <c r="F9402" s="43">
        <v>2134.35</v>
      </c>
    </row>
    <row r="9403" spans="2:6" x14ac:dyDescent="0.25">
      <c r="B9403" s="13" t="s">
        <v>17243</v>
      </c>
      <c r="C9403" s="17" t="s">
        <v>170</v>
      </c>
      <c r="D9403" s="13" t="s">
        <v>118</v>
      </c>
      <c r="E9403" s="13" t="s">
        <v>17244</v>
      </c>
      <c r="F9403" s="43">
        <v>2134.35</v>
      </c>
    </row>
    <row r="9404" spans="2:6" x14ac:dyDescent="0.25">
      <c r="B9404" s="13" t="s">
        <v>17245</v>
      </c>
      <c r="C9404" s="17" t="s">
        <v>170</v>
      </c>
      <c r="D9404" s="13" t="s">
        <v>118</v>
      </c>
      <c r="E9404" s="13" t="s">
        <v>17246</v>
      </c>
      <c r="F9404" s="43">
        <v>2134.35</v>
      </c>
    </row>
    <row r="9405" spans="2:6" x14ac:dyDescent="0.25">
      <c r="B9405" s="13" t="s">
        <v>17247</v>
      </c>
      <c r="C9405" s="17" t="s">
        <v>170</v>
      </c>
      <c r="D9405" s="13" t="s">
        <v>118</v>
      </c>
      <c r="E9405" s="13" t="s">
        <v>17248</v>
      </c>
      <c r="F9405" s="43">
        <v>2134.35</v>
      </c>
    </row>
    <row r="9406" spans="2:6" x14ac:dyDescent="0.25">
      <c r="B9406" s="13" t="s">
        <v>17249</v>
      </c>
      <c r="C9406" s="17" t="s">
        <v>170</v>
      </c>
      <c r="D9406" s="13" t="s">
        <v>118</v>
      </c>
      <c r="E9406" s="13" t="s">
        <v>17250</v>
      </c>
      <c r="F9406" s="43">
        <v>2134.35</v>
      </c>
    </row>
    <row r="9407" spans="2:6" x14ac:dyDescent="0.25">
      <c r="B9407" s="13" t="s">
        <v>17251</v>
      </c>
      <c r="C9407" s="17" t="s">
        <v>170</v>
      </c>
      <c r="D9407" s="13" t="s">
        <v>118</v>
      </c>
      <c r="E9407" s="13" t="s">
        <v>17252</v>
      </c>
      <c r="F9407" s="43">
        <v>2134.35</v>
      </c>
    </row>
    <row r="9408" spans="2:6" x14ac:dyDescent="0.25">
      <c r="B9408" s="13" t="s">
        <v>17253</v>
      </c>
      <c r="C9408" s="17" t="s">
        <v>170</v>
      </c>
      <c r="D9408" s="13" t="s">
        <v>118</v>
      </c>
      <c r="E9408" s="13" t="s">
        <v>17254</v>
      </c>
      <c r="F9408" s="43">
        <v>2134.35</v>
      </c>
    </row>
    <row r="9409" spans="2:6" x14ac:dyDescent="0.25">
      <c r="B9409" s="13" t="s">
        <v>17255</v>
      </c>
      <c r="C9409" s="17" t="s">
        <v>170</v>
      </c>
      <c r="D9409" s="13" t="s">
        <v>118</v>
      </c>
      <c r="E9409" s="13" t="s">
        <v>17256</v>
      </c>
      <c r="F9409" s="43">
        <v>2134.35</v>
      </c>
    </row>
    <row r="9410" spans="2:6" x14ac:dyDescent="0.25">
      <c r="B9410" s="13" t="s">
        <v>17257</v>
      </c>
      <c r="C9410" s="17" t="s">
        <v>170</v>
      </c>
      <c r="D9410" s="13" t="s">
        <v>118</v>
      </c>
      <c r="E9410" s="13" t="s">
        <v>17258</v>
      </c>
      <c r="F9410" s="43">
        <v>2134.35</v>
      </c>
    </row>
    <row r="9411" spans="2:6" x14ac:dyDescent="0.25">
      <c r="B9411" s="13" t="s">
        <v>17259</v>
      </c>
      <c r="C9411" s="17" t="s">
        <v>170</v>
      </c>
      <c r="D9411" s="13" t="s">
        <v>118</v>
      </c>
      <c r="E9411" s="13" t="s">
        <v>17260</v>
      </c>
      <c r="F9411" s="43">
        <v>2134.35</v>
      </c>
    </row>
    <row r="9412" spans="2:6" x14ac:dyDescent="0.25">
      <c r="B9412" s="13" t="s">
        <v>17261</v>
      </c>
      <c r="C9412" s="17" t="s">
        <v>170</v>
      </c>
      <c r="D9412" s="13" t="s">
        <v>118</v>
      </c>
      <c r="E9412" s="13" t="s">
        <v>17262</v>
      </c>
      <c r="F9412" s="43">
        <v>2134.35</v>
      </c>
    </row>
    <row r="9413" spans="2:6" x14ac:dyDescent="0.25">
      <c r="B9413" s="13" t="s">
        <v>17263</v>
      </c>
      <c r="C9413" s="17" t="s">
        <v>170</v>
      </c>
      <c r="D9413" s="13" t="s">
        <v>118</v>
      </c>
      <c r="E9413" s="13" t="s">
        <v>17264</v>
      </c>
      <c r="F9413" s="43">
        <v>2134.35</v>
      </c>
    </row>
    <row r="9414" spans="2:6" x14ac:dyDescent="0.25">
      <c r="B9414" s="13" t="s">
        <v>17265</v>
      </c>
      <c r="C9414" s="17" t="s">
        <v>170</v>
      </c>
      <c r="D9414" s="13" t="s">
        <v>118</v>
      </c>
      <c r="E9414" s="13" t="s">
        <v>17266</v>
      </c>
      <c r="F9414" s="43">
        <v>2340.9</v>
      </c>
    </row>
    <row r="9415" spans="2:6" x14ac:dyDescent="0.25">
      <c r="B9415" s="13" t="s">
        <v>17267</v>
      </c>
      <c r="C9415" s="17" t="s">
        <v>170</v>
      </c>
      <c r="D9415" s="13" t="s">
        <v>118</v>
      </c>
      <c r="E9415" s="13" t="s">
        <v>17268</v>
      </c>
      <c r="F9415" s="43">
        <v>2340.9</v>
      </c>
    </row>
    <row r="9416" spans="2:6" x14ac:dyDescent="0.25">
      <c r="B9416" s="13" t="s">
        <v>17269</v>
      </c>
      <c r="C9416" s="17" t="s">
        <v>170</v>
      </c>
      <c r="D9416" s="13" t="s">
        <v>118</v>
      </c>
      <c r="E9416" s="13" t="s">
        <v>17270</v>
      </c>
      <c r="F9416" s="43">
        <v>2340.9</v>
      </c>
    </row>
    <row r="9417" spans="2:6" x14ac:dyDescent="0.25">
      <c r="B9417" s="13" t="s">
        <v>17271</v>
      </c>
      <c r="C9417" s="17" t="s">
        <v>170</v>
      </c>
      <c r="D9417" s="13" t="s">
        <v>118</v>
      </c>
      <c r="E9417" s="13" t="s">
        <v>17272</v>
      </c>
      <c r="F9417" s="43">
        <v>2134.35</v>
      </c>
    </row>
    <row r="9418" spans="2:6" x14ac:dyDescent="0.25">
      <c r="B9418" s="13" t="s">
        <v>17273</v>
      </c>
      <c r="C9418" s="17" t="s">
        <v>170</v>
      </c>
      <c r="D9418" s="13" t="s">
        <v>118</v>
      </c>
      <c r="E9418" s="13" t="s">
        <v>17274</v>
      </c>
      <c r="F9418" s="43">
        <v>2134.35</v>
      </c>
    </row>
    <row r="9419" spans="2:6" x14ac:dyDescent="0.25">
      <c r="B9419" s="13" t="s">
        <v>17275</v>
      </c>
      <c r="C9419" s="17" t="s">
        <v>170</v>
      </c>
      <c r="D9419" s="13" t="s">
        <v>118</v>
      </c>
      <c r="E9419" s="13" t="s">
        <v>17276</v>
      </c>
      <c r="F9419" s="43">
        <v>2134.35</v>
      </c>
    </row>
    <row r="9420" spans="2:6" x14ac:dyDescent="0.25">
      <c r="B9420" s="13" t="s">
        <v>17277</v>
      </c>
      <c r="C9420" s="17" t="s">
        <v>170</v>
      </c>
      <c r="D9420" s="13" t="s">
        <v>118</v>
      </c>
      <c r="E9420" s="13" t="s">
        <v>17278</v>
      </c>
      <c r="F9420" s="43">
        <v>2134.35</v>
      </c>
    </row>
    <row r="9421" spans="2:6" x14ac:dyDescent="0.25">
      <c r="B9421" s="13" t="s">
        <v>17279</v>
      </c>
      <c r="C9421" s="17" t="s">
        <v>170</v>
      </c>
      <c r="D9421" s="13" t="s">
        <v>118</v>
      </c>
      <c r="E9421" s="13" t="s">
        <v>17280</v>
      </c>
      <c r="F9421" s="43">
        <v>2134.35</v>
      </c>
    </row>
    <row r="9422" spans="2:6" x14ac:dyDescent="0.25">
      <c r="B9422" s="13" t="s">
        <v>17281</v>
      </c>
      <c r="C9422" s="17" t="s">
        <v>170</v>
      </c>
      <c r="D9422" s="13" t="s">
        <v>118</v>
      </c>
      <c r="E9422" s="13" t="s">
        <v>17282</v>
      </c>
      <c r="F9422" s="43">
        <v>2134.35</v>
      </c>
    </row>
    <row r="9423" spans="2:6" x14ac:dyDescent="0.25">
      <c r="B9423" s="13" t="s">
        <v>17283</v>
      </c>
      <c r="C9423" s="17" t="s">
        <v>170</v>
      </c>
      <c r="D9423" s="13" t="s">
        <v>118</v>
      </c>
      <c r="E9423" s="13" t="s">
        <v>17284</v>
      </c>
      <c r="F9423" s="43">
        <v>2134.35</v>
      </c>
    </row>
    <row r="9424" spans="2:6" x14ac:dyDescent="0.25">
      <c r="B9424" s="13" t="s">
        <v>17285</v>
      </c>
      <c r="C9424" s="17" t="s">
        <v>170</v>
      </c>
      <c r="D9424" s="13" t="s">
        <v>118</v>
      </c>
      <c r="E9424" s="13" t="s">
        <v>17286</v>
      </c>
      <c r="F9424" s="43">
        <v>2134.35</v>
      </c>
    </row>
    <row r="9425" spans="2:6" x14ac:dyDescent="0.25">
      <c r="B9425" s="13" t="s">
        <v>17287</v>
      </c>
      <c r="C9425" s="17" t="s">
        <v>170</v>
      </c>
      <c r="D9425" s="13" t="s">
        <v>118</v>
      </c>
      <c r="E9425" s="13" t="s">
        <v>17288</v>
      </c>
      <c r="F9425" s="43">
        <v>2134.35</v>
      </c>
    </row>
    <row r="9426" spans="2:6" x14ac:dyDescent="0.25">
      <c r="B9426" s="13" t="s">
        <v>17289</v>
      </c>
      <c r="C9426" s="17" t="s">
        <v>170</v>
      </c>
      <c r="D9426" s="13" t="s">
        <v>118</v>
      </c>
      <c r="E9426" s="13" t="s">
        <v>17290</v>
      </c>
      <c r="F9426" s="43">
        <v>2134.35</v>
      </c>
    </row>
    <row r="9427" spans="2:6" x14ac:dyDescent="0.25">
      <c r="B9427" s="13" t="s">
        <v>17291</v>
      </c>
      <c r="C9427" s="17" t="s">
        <v>170</v>
      </c>
      <c r="D9427" s="13" t="s">
        <v>118</v>
      </c>
      <c r="E9427" s="13" t="s">
        <v>17292</v>
      </c>
      <c r="F9427" s="43">
        <v>2134.35</v>
      </c>
    </row>
    <row r="9428" spans="2:6" x14ac:dyDescent="0.25">
      <c r="B9428" s="13" t="s">
        <v>17293</v>
      </c>
      <c r="C9428" s="17" t="s">
        <v>170</v>
      </c>
      <c r="D9428" s="13" t="s">
        <v>118</v>
      </c>
      <c r="E9428" s="13" t="s">
        <v>17294</v>
      </c>
      <c r="F9428" s="43">
        <v>2134.35</v>
      </c>
    </row>
    <row r="9429" spans="2:6" x14ac:dyDescent="0.25">
      <c r="B9429" s="13" t="s">
        <v>17295</v>
      </c>
      <c r="C9429" s="17" t="s">
        <v>170</v>
      </c>
      <c r="D9429" s="13" t="s">
        <v>118</v>
      </c>
      <c r="E9429" s="13" t="s">
        <v>17296</v>
      </c>
      <c r="F9429" s="43">
        <v>2134.35</v>
      </c>
    </row>
    <row r="9430" spans="2:6" x14ac:dyDescent="0.25">
      <c r="B9430" s="13" t="s">
        <v>17297</v>
      </c>
      <c r="C9430" s="17" t="s">
        <v>170</v>
      </c>
      <c r="D9430" s="13" t="s">
        <v>118</v>
      </c>
      <c r="E9430" s="13" t="s">
        <v>17298</v>
      </c>
      <c r="F9430" s="43">
        <v>2340.9</v>
      </c>
    </row>
    <row r="9431" spans="2:6" x14ac:dyDescent="0.25">
      <c r="B9431" s="13" t="s">
        <v>17299</v>
      </c>
      <c r="C9431" s="17" t="s">
        <v>170</v>
      </c>
      <c r="D9431" s="13" t="s">
        <v>118</v>
      </c>
      <c r="E9431" s="13" t="s">
        <v>17300</v>
      </c>
      <c r="F9431" s="43">
        <v>2340.9</v>
      </c>
    </row>
    <row r="9432" spans="2:6" x14ac:dyDescent="0.25">
      <c r="B9432" s="13" t="s">
        <v>17301</v>
      </c>
      <c r="C9432" s="17" t="s">
        <v>170</v>
      </c>
      <c r="D9432" s="13" t="s">
        <v>118</v>
      </c>
      <c r="E9432" s="13" t="s">
        <v>17302</v>
      </c>
      <c r="F9432" s="43">
        <v>2340.9</v>
      </c>
    </row>
    <row r="9433" spans="2:6" x14ac:dyDescent="0.25">
      <c r="B9433" s="13" t="s">
        <v>17303</v>
      </c>
      <c r="C9433" s="17" t="s">
        <v>170</v>
      </c>
      <c r="D9433" s="13" t="s">
        <v>118</v>
      </c>
      <c r="E9433" s="13" t="s">
        <v>17304</v>
      </c>
      <c r="F9433" s="43">
        <v>2134.35</v>
      </c>
    </row>
    <row r="9434" spans="2:6" x14ac:dyDescent="0.25">
      <c r="B9434" s="13" t="s">
        <v>17305</v>
      </c>
      <c r="C9434" s="17" t="s">
        <v>170</v>
      </c>
      <c r="D9434" s="13" t="s">
        <v>118</v>
      </c>
      <c r="E9434" s="13" t="s">
        <v>17306</v>
      </c>
      <c r="F9434" s="43">
        <v>2134.35</v>
      </c>
    </row>
    <row r="9435" spans="2:6" x14ac:dyDescent="0.25">
      <c r="B9435" s="13" t="s">
        <v>17307</v>
      </c>
      <c r="C9435" s="17" t="s">
        <v>170</v>
      </c>
      <c r="D9435" s="13" t="s">
        <v>118</v>
      </c>
      <c r="E9435" s="13" t="s">
        <v>17308</v>
      </c>
      <c r="F9435" s="43">
        <v>2134.35</v>
      </c>
    </row>
    <row r="9436" spans="2:6" x14ac:dyDescent="0.25">
      <c r="B9436" s="13" t="s">
        <v>17309</v>
      </c>
      <c r="C9436" s="17" t="s">
        <v>170</v>
      </c>
      <c r="D9436" s="13" t="s">
        <v>118</v>
      </c>
      <c r="E9436" s="13" t="s">
        <v>17310</v>
      </c>
      <c r="F9436" s="43">
        <v>2134.35</v>
      </c>
    </row>
    <row r="9437" spans="2:6" x14ac:dyDescent="0.25">
      <c r="B9437" s="13" t="s">
        <v>17311</v>
      </c>
      <c r="C9437" s="17" t="s">
        <v>170</v>
      </c>
      <c r="D9437" s="13" t="s">
        <v>118</v>
      </c>
      <c r="E9437" s="13" t="s">
        <v>17312</v>
      </c>
      <c r="F9437" s="43">
        <v>2134.35</v>
      </c>
    </row>
    <row r="9438" spans="2:6" x14ac:dyDescent="0.25">
      <c r="B9438" s="13" t="s">
        <v>17313</v>
      </c>
      <c r="C9438" s="17" t="s">
        <v>170</v>
      </c>
      <c r="D9438" s="13" t="s">
        <v>118</v>
      </c>
      <c r="E9438" s="13" t="s">
        <v>17314</v>
      </c>
      <c r="F9438" s="43">
        <v>2134.35</v>
      </c>
    </row>
    <row r="9439" spans="2:6" x14ac:dyDescent="0.25">
      <c r="B9439" s="13" t="s">
        <v>17315</v>
      </c>
      <c r="C9439" s="17" t="s">
        <v>170</v>
      </c>
      <c r="D9439" s="13" t="s">
        <v>118</v>
      </c>
      <c r="E9439" s="13" t="s">
        <v>17316</v>
      </c>
      <c r="F9439" s="43">
        <v>2134.35</v>
      </c>
    </row>
    <row r="9440" spans="2:6" x14ac:dyDescent="0.25">
      <c r="B9440" s="13" t="s">
        <v>17317</v>
      </c>
      <c r="C9440" s="17" t="s">
        <v>170</v>
      </c>
      <c r="D9440" s="13" t="s">
        <v>118</v>
      </c>
      <c r="E9440" s="13" t="s">
        <v>17318</v>
      </c>
      <c r="F9440" s="43">
        <v>2134.35</v>
      </c>
    </row>
    <row r="9441" spans="2:6" x14ac:dyDescent="0.25">
      <c r="B9441" s="13" t="s">
        <v>17319</v>
      </c>
      <c r="C9441" s="17" t="s">
        <v>170</v>
      </c>
      <c r="D9441" s="13" t="s">
        <v>118</v>
      </c>
      <c r="E9441" s="13" t="s">
        <v>17320</v>
      </c>
      <c r="F9441" s="43">
        <v>2134.35</v>
      </c>
    </row>
    <row r="9442" spans="2:6" x14ac:dyDescent="0.25">
      <c r="B9442" s="13" t="s">
        <v>17321</v>
      </c>
      <c r="C9442" s="17" t="s">
        <v>170</v>
      </c>
      <c r="D9442" s="13" t="s">
        <v>118</v>
      </c>
      <c r="E9442" s="13" t="s">
        <v>17322</v>
      </c>
      <c r="F9442" s="43">
        <v>2134.35</v>
      </c>
    </row>
    <row r="9443" spans="2:6" x14ac:dyDescent="0.25">
      <c r="B9443" s="13" t="s">
        <v>17323</v>
      </c>
      <c r="C9443" s="17" t="s">
        <v>170</v>
      </c>
      <c r="D9443" s="13" t="s">
        <v>118</v>
      </c>
      <c r="E9443" s="13" t="s">
        <v>17324</v>
      </c>
      <c r="F9443" s="43">
        <v>2134.35</v>
      </c>
    </row>
    <row r="9444" spans="2:6" x14ac:dyDescent="0.25">
      <c r="B9444" s="13" t="s">
        <v>17325</v>
      </c>
      <c r="C9444" s="17" t="s">
        <v>170</v>
      </c>
      <c r="D9444" s="13" t="s">
        <v>118</v>
      </c>
      <c r="E9444" s="13" t="s">
        <v>17326</v>
      </c>
      <c r="F9444" s="43">
        <v>2134.35</v>
      </c>
    </row>
    <row r="9445" spans="2:6" x14ac:dyDescent="0.25">
      <c r="B9445" s="13" t="s">
        <v>17327</v>
      </c>
      <c r="C9445" s="17" t="s">
        <v>170</v>
      </c>
      <c r="D9445" s="13" t="s">
        <v>118</v>
      </c>
      <c r="E9445" s="13" t="s">
        <v>17328</v>
      </c>
      <c r="F9445" s="43">
        <v>2134.35</v>
      </c>
    </row>
    <row r="9446" spans="2:6" x14ac:dyDescent="0.25">
      <c r="B9446" s="13" t="s">
        <v>17329</v>
      </c>
      <c r="C9446" s="17" t="s">
        <v>170</v>
      </c>
      <c r="D9446" s="13" t="s">
        <v>118</v>
      </c>
      <c r="E9446" s="13" t="s">
        <v>17330</v>
      </c>
      <c r="F9446" s="43">
        <v>2340.9</v>
      </c>
    </row>
    <row r="9447" spans="2:6" x14ac:dyDescent="0.25">
      <c r="B9447" s="13" t="s">
        <v>17331</v>
      </c>
      <c r="C9447" s="17" t="s">
        <v>170</v>
      </c>
      <c r="D9447" s="13" t="s">
        <v>118</v>
      </c>
      <c r="E9447" s="13" t="s">
        <v>17332</v>
      </c>
      <c r="F9447" s="43">
        <v>2340.9</v>
      </c>
    </row>
    <row r="9448" spans="2:6" x14ac:dyDescent="0.25">
      <c r="B9448" s="13" t="s">
        <v>17333</v>
      </c>
      <c r="C9448" s="17" t="s">
        <v>170</v>
      </c>
      <c r="D9448" s="13" t="s">
        <v>118</v>
      </c>
      <c r="E9448" s="13" t="s">
        <v>17334</v>
      </c>
      <c r="F9448" s="43">
        <v>2340.9</v>
      </c>
    </row>
    <row r="9449" spans="2:6" x14ac:dyDescent="0.25">
      <c r="B9449" s="13" t="s">
        <v>17335</v>
      </c>
      <c r="C9449" s="17" t="s">
        <v>170</v>
      </c>
      <c r="D9449" s="13" t="s">
        <v>118</v>
      </c>
      <c r="E9449" s="13" t="s">
        <v>17336</v>
      </c>
      <c r="F9449" s="43">
        <v>2134.35</v>
      </c>
    </row>
    <row r="9450" spans="2:6" x14ac:dyDescent="0.25">
      <c r="B9450" s="13" t="s">
        <v>17337</v>
      </c>
      <c r="C9450" s="17" t="s">
        <v>170</v>
      </c>
      <c r="D9450" s="13" t="s">
        <v>118</v>
      </c>
      <c r="E9450" s="13" t="s">
        <v>17338</v>
      </c>
      <c r="F9450" s="43">
        <v>2134.35</v>
      </c>
    </row>
    <row r="9451" spans="2:6" x14ac:dyDescent="0.25">
      <c r="B9451" s="13" t="s">
        <v>17339</v>
      </c>
      <c r="C9451" s="17" t="s">
        <v>170</v>
      </c>
      <c r="D9451" s="13" t="s">
        <v>118</v>
      </c>
      <c r="E9451" s="13" t="s">
        <v>17340</v>
      </c>
      <c r="F9451" s="43">
        <v>2134.35</v>
      </c>
    </row>
    <row r="9452" spans="2:6" x14ac:dyDescent="0.25">
      <c r="B9452" s="13" t="s">
        <v>17341</v>
      </c>
      <c r="C9452" s="17" t="s">
        <v>170</v>
      </c>
      <c r="D9452" s="13" t="s">
        <v>118</v>
      </c>
      <c r="E9452" s="13" t="s">
        <v>17342</v>
      </c>
      <c r="F9452" s="43">
        <v>2134.35</v>
      </c>
    </row>
    <row r="9453" spans="2:6" x14ac:dyDescent="0.25">
      <c r="B9453" s="13" t="s">
        <v>17343</v>
      </c>
      <c r="C9453" s="17" t="s">
        <v>170</v>
      </c>
      <c r="D9453" s="13" t="s">
        <v>118</v>
      </c>
      <c r="E9453" s="13" t="s">
        <v>17344</v>
      </c>
      <c r="F9453" s="43">
        <v>2134.35</v>
      </c>
    </row>
    <row r="9454" spans="2:6" x14ac:dyDescent="0.25">
      <c r="B9454" s="13" t="s">
        <v>17345</v>
      </c>
      <c r="C9454" s="17" t="s">
        <v>170</v>
      </c>
      <c r="D9454" s="13" t="s">
        <v>118</v>
      </c>
      <c r="E9454" s="13" t="s">
        <v>17346</v>
      </c>
      <c r="F9454" s="43">
        <v>2134.35</v>
      </c>
    </row>
    <row r="9455" spans="2:6" x14ac:dyDescent="0.25">
      <c r="B9455" s="13" t="s">
        <v>17347</v>
      </c>
      <c r="C9455" s="17" t="s">
        <v>170</v>
      </c>
      <c r="D9455" s="13" t="s">
        <v>118</v>
      </c>
      <c r="E9455" s="13" t="s">
        <v>17348</v>
      </c>
      <c r="F9455" s="43">
        <v>2134.35</v>
      </c>
    </row>
    <row r="9456" spans="2:6" x14ac:dyDescent="0.25">
      <c r="B9456" s="13" t="s">
        <v>17349</v>
      </c>
      <c r="C9456" s="17" t="s">
        <v>170</v>
      </c>
      <c r="D9456" s="13" t="s">
        <v>118</v>
      </c>
      <c r="E9456" s="13" t="s">
        <v>17350</v>
      </c>
      <c r="F9456" s="43">
        <v>2134.35</v>
      </c>
    </row>
    <row r="9457" spans="2:6" x14ac:dyDescent="0.25">
      <c r="B9457" s="13" t="s">
        <v>17351</v>
      </c>
      <c r="C9457" s="17" t="s">
        <v>170</v>
      </c>
      <c r="D9457" s="13" t="s">
        <v>118</v>
      </c>
      <c r="E9457" s="13" t="s">
        <v>17352</v>
      </c>
      <c r="F9457" s="43">
        <v>2134.35</v>
      </c>
    </row>
    <row r="9458" spans="2:6" x14ac:dyDescent="0.25">
      <c r="B9458" s="13" t="s">
        <v>17353</v>
      </c>
      <c r="C9458" s="17" t="s">
        <v>170</v>
      </c>
      <c r="D9458" s="13" t="s">
        <v>118</v>
      </c>
      <c r="E9458" s="13" t="s">
        <v>17354</v>
      </c>
      <c r="F9458" s="43">
        <v>2134.35</v>
      </c>
    </row>
    <row r="9459" spans="2:6" x14ac:dyDescent="0.25">
      <c r="B9459" s="13" t="s">
        <v>17355</v>
      </c>
      <c r="C9459" s="17" t="s">
        <v>170</v>
      </c>
      <c r="D9459" s="13" t="s">
        <v>118</v>
      </c>
      <c r="E9459" s="13" t="s">
        <v>17356</v>
      </c>
      <c r="F9459" s="43">
        <v>2134.35</v>
      </c>
    </row>
    <row r="9460" spans="2:6" x14ac:dyDescent="0.25">
      <c r="B9460" s="13" t="s">
        <v>17357</v>
      </c>
      <c r="C9460" s="17" t="s">
        <v>170</v>
      </c>
      <c r="D9460" s="13" t="s">
        <v>118</v>
      </c>
      <c r="E9460" s="13" t="s">
        <v>17358</v>
      </c>
      <c r="F9460" s="43">
        <v>2134.35</v>
      </c>
    </row>
    <row r="9461" spans="2:6" x14ac:dyDescent="0.25">
      <c r="B9461" s="13" t="s">
        <v>17359</v>
      </c>
      <c r="C9461" s="17" t="s">
        <v>170</v>
      </c>
      <c r="D9461" s="13" t="s">
        <v>118</v>
      </c>
      <c r="E9461" s="13" t="s">
        <v>17360</v>
      </c>
      <c r="F9461" s="43">
        <v>2134.35</v>
      </c>
    </row>
    <row r="9462" spans="2:6" x14ac:dyDescent="0.25">
      <c r="B9462" s="13" t="s">
        <v>17361</v>
      </c>
      <c r="C9462" s="17" t="s">
        <v>170</v>
      </c>
      <c r="D9462" s="13" t="s">
        <v>118</v>
      </c>
      <c r="E9462" s="13" t="s">
        <v>17362</v>
      </c>
      <c r="F9462" s="43">
        <v>2340.9</v>
      </c>
    </row>
    <row r="9463" spans="2:6" x14ac:dyDescent="0.25">
      <c r="B9463" s="13" t="s">
        <v>17363</v>
      </c>
      <c r="C9463" s="17" t="s">
        <v>170</v>
      </c>
      <c r="D9463" s="13" t="s">
        <v>118</v>
      </c>
      <c r="E9463" s="13" t="s">
        <v>17364</v>
      </c>
      <c r="F9463" s="43">
        <v>2340.9</v>
      </c>
    </row>
    <row r="9464" spans="2:6" x14ac:dyDescent="0.25">
      <c r="B9464" s="13" t="s">
        <v>17365</v>
      </c>
      <c r="C9464" s="17" t="s">
        <v>170</v>
      </c>
      <c r="D9464" s="13" t="s">
        <v>118</v>
      </c>
      <c r="E9464" s="13" t="s">
        <v>17366</v>
      </c>
      <c r="F9464" s="43">
        <v>2340.9</v>
      </c>
    </row>
    <row r="9465" spans="2:6" x14ac:dyDescent="0.25">
      <c r="B9465" s="13" t="s">
        <v>17367</v>
      </c>
      <c r="C9465" s="17" t="s">
        <v>170</v>
      </c>
      <c r="D9465" s="13" t="s">
        <v>118</v>
      </c>
      <c r="E9465" s="13"/>
      <c r="F9465" s="43">
        <v>1721.25</v>
      </c>
    </row>
    <row r="9466" spans="2:6" x14ac:dyDescent="0.25">
      <c r="B9466" s="13" t="s">
        <v>17368</v>
      </c>
      <c r="C9466" s="17" t="s">
        <v>170</v>
      </c>
      <c r="D9466" s="13" t="s">
        <v>118</v>
      </c>
      <c r="E9466" s="13"/>
      <c r="F9466" s="43">
        <v>0</v>
      </c>
    </row>
    <row r="9467" spans="2:6" x14ac:dyDescent="0.25">
      <c r="B9467" s="13">
        <v>1</v>
      </c>
      <c r="C9467" s="17" t="s">
        <v>170</v>
      </c>
      <c r="D9467" s="13" t="s">
        <v>118</v>
      </c>
      <c r="E9467" s="13" t="s">
        <v>17369</v>
      </c>
      <c r="F9467" s="43">
        <v>0</v>
      </c>
    </row>
    <row r="9468" spans="2:6" x14ac:dyDescent="0.25">
      <c r="B9468" s="13" t="s">
        <v>17370</v>
      </c>
      <c r="C9468" s="17" t="s">
        <v>170</v>
      </c>
      <c r="D9468" s="13" t="s">
        <v>118</v>
      </c>
      <c r="E9468" s="13" t="s">
        <v>17371</v>
      </c>
      <c r="F9468" s="43">
        <v>413.1</v>
      </c>
    </row>
    <row r="9469" spans="2:6" x14ac:dyDescent="0.25">
      <c r="B9469" s="13" t="s">
        <v>17372</v>
      </c>
      <c r="C9469" s="17" t="s">
        <v>170</v>
      </c>
      <c r="D9469" s="13" t="s">
        <v>118</v>
      </c>
      <c r="E9469" s="13" t="s">
        <v>17373</v>
      </c>
      <c r="F9469" s="43">
        <v>413.1</v>
      </c>
    </row>
    <row r="9470" spans="2:6" x14ac:dyDescent="0.25">
      <c r="B9470" s="13">
        <v>3</v>
      </c>
      <c r="C9470" s="17" t="s">
        <v>170</v>
      </c>
      <c r="D9470" s="13" t="s">
        <v>118</v>
      </c>
      <c r="E9470" s="13" t="s">
        <v>17374</v>
      </c>
      <c r="F9470" s="43">
        <v>0</v>
      </c>
    </row>
    <row r="9471" spans="2:6" x14ac:dyDescent="0.25">
      <c r="B9471" s="13">
        <v>4</v>
      </c>
      <c r="C9471" s="17" t="s">
        <v>170</v>
      </c>
      <c r="D9471" s="13" t="s">
        <v>118</v>
      </c>
      <c r="E9471" s="13" t="s">
        <v>17375</v>
      </c>
      <c r="F9471" s="43">
        <v>0</v>
      </c>
    </row>
    <row r="9472" spans="2:6" x14ac:dyDescent="0.25">
      <c r="B9472" s="13" t="s">
        <v>17376</v>
      </c>
      <c r="C9472" s="17" t="s">
        <v>170</v>
      </c>
      <c r="D9472" s="13" t="s">
        <v>118</v>
      </c>
      <c r="E9472" s="13"/>
      <c r="F9472" s="43">
        <v>0</v>
      </c>
    </row>
    <row r="9473" spans="2:6" x14ac:dyDescent="0.25">
      <c r="B9473" s="13" t="s">
        <v>17377</v>
      </c>
      <c r="C9473" s="17" t="s">
        <v>170</v>
      </c>
      <c r="D9473" s="13" t="s">
        <v>118</v>
      </c>
      <c r="E9473" s="13" t="s">
        <v>17378</v>
      </c>
      <c r="F9473" s="43">
        <v>206.55</v>
      </c>
    </row>
    <row r="9474" spans="2:6" x14ac:dyDescent="0.25">
      <c r="B9474" s="13" t="s">
        <v>17379</v>
      </c>
      <c r="C9474" s="17" t="s">
        <v>170</v>
      </c>
      <c r="D9474" s="13" t="s">
        <v>118</v>
      </c>
      <c r="E9474" s="13" t="s">
        <v>17380</v>
      </c>
      <c r="F9474" s="43">
        <v>0</v>
      </c>
    </row>
    <row r="9475" spans="2:6" x14ac:dyDescent="0.25">
      <c r="B9475" s="13" t="s">
        <v>17381</v>
      </c>
      <c r="C9475" s="17" t="s">
        <v>170</v>
      </c>
      <c r="D9475" s="13" t="s">
        <v>118</v>
      </c>
      <c r="E9475" s="13" t="s">
        <v>17382</v>
      </c>
      <c r="F9475" s="43">
        <v>0</v>
      </c>
    </row>
    <row r="9476" spans="2:6" x14ac:dyDescent="0.25">
      <c r="B9476" s="13" t="s">
        <v>17383</v>
      </c>
      <c r="C9476" s="17" t="s">
        <v>170</v>
      </c>
      <c r="D9476" s="13" t="s">
        <v>118</v>
      </c>
      <c r="E9476" s="13" t="s">
        <v>17384</v>
      </c>
      <c r="F9476" s="43">
        <v>0</v>
      </c>
    </row>
    <row r="9477" spans="2:6" x14ac:dyDescent="0.25">
      <c r="B9477" s="13" t="s">
        <v>17385</v>
      </c>
      <c r="C9477" s="17" t="s">
        <v>170</v>
      </c>
      <c r="D9477" s="13" t="s">
        <v>118</v>
      </c>
      <c r="E9477" s="13" t="s">
        <v>17386</v>
      </c>
      <c r="F9477" s="43">
        <v>0</v>
      </c>
    </row>
    <row r="9478" spans="2:6" x14ac:dyDescent="0.25">
      <c r="B9478" s="13" t="s">
        <v>17387</v>
      </c>
      <c r="C9478" s="17" t="s">
        <v>170</v>
      </c>
      <c r="D9478" s="13" t="s">
        <v>118</v>
      </c>
      <c r="E9478" s="13" t="s">
        <v>17388</v>
      </c>
      <c r="F9478" s="43">
        <v>0</v>
      </c>
    </row>
    <row r="9479" spans="2:6" x14ac:dyDescent="0.25">
      <c r="B9479" s="13" t="s">
        <v>17389</v>
      </c>
      <c r="C9479" s="17" t="s">
        <v>170</v>
      </c>
      <c r="D9479" s="13" t="s">
        <v>118</v>
      </c>
      <c r="E9479" s="13" t="s">
        <v>17390</v>
      </c>
      <c r="F9479" s="43">
        <v>0</v>
      </c>
    </row>
    <row r="9480" spans="2:6" x14ac:dyDescent="0.25">
      <c r="B9480" s="13" t="s">
        <v>17391</v>
      </c>
      <c r="C9480" s="17" t="s">
        <v>170</v>
      </c>
      <c r="D9480" s="13" t="s">
        <v>118</v>
      </c>
      <c r="E9480" s="13" t="s">
        <v>17392</v>
      </c>
      <c r="F9480" s="43">
        <v>0</v>
      </c>
    </row>
    <row r="9481" spans="2:6" x14ac:dyDescent="0.25">
      <c r="B9481" s="13" t="s">
        <v>17393</v>
      </c>
      <c r="C9481" s="17" t="s">
        <v>170</v>
      </c>
      <c r="D9481" s="13" t="s">
        <v>118</v>
      </c>
      <c r="E9481" s="13" t="s">
        <v>17394</v>
      </c>
      <c r="F9481" s="43">
        <v>0</v>
      </c>
    </row>
    <row r="9482" spans="2:6" x14ac:dyDescent="0.25">
      <c r="B9482" s="13" t="s">
        <v>17395</v>
      </c>
      <c r="C9482" s="17" t="s">
        <v>170</v>
      </c>
      <c r="D9482" s="13" t="s">
        <v>118</v>
      </c>
      <c r="E9482" s="13" t="s">
        <v>17396</v>
      </c>
      <c r="F9482" s="43">
        <v>0</v>
      </c>
    </row>
    <row r="9483" spans="2:6" x14ac:dyDescent="0.25">
      <c r="B9483" s="13" t="s">
        <v>17397</v>
      </c>
      <c r="C9483" s="17" t="s">
        <v>170</v>
      </c>
      <c r="D9483" s="13" t="s">
        <v>118</v>
      </c>
      <c r="E9483" s="13" t="s">
        <v>17398</v>
      </c>
      <c r="F9483" s="43">
        <v>0</v>
      </c>
    </row>
    <row r="9484" spans="2:6" x14ac:dyDescent="0.25">
      <c r="B9484" s="13" t="s">
        <v>17399</v>
      </c>
      <c r="C9484" s="17" t="s">
        <v>170</v>
      </c>
      <c r="D9484" s="13" t="s">
        <v>118</v>
      </c>
      <c r="E9484" s="13" t="s">
        <v>17400</v>
      </c>
      <c r="F9484" s="43">
        <v>0</v>
      </c>
    </row>
    <row r="9485" spans="2:6" x14ac:dyDescent="0.25">
      <c r="B9485" s="13" t="s">
        <v>17401</v>
      </c>
      <c r="C9485" s="17" t="s">
        <v>170</v>
      </c>
      <c r="D9485" s="13" t="s">
        <v>118</v>
      </c>
      <c r="E9485" s="13" t="s">
        <v>17402</v>
      </c>
      <c r="F9485" s="43">
        <v>0</v>
      </c>
    </row>
    <row r="9486" spans="2:6" x14ac:dyDescent="0.25">
      <c r="B9486" s="13" t="s">
        <v>17403</v>
      </c>
      <c r="C9486" s="17" t="s">
        <v>170</v>
      </c>
      <c r="D9486" s="13" t="s">
        <v>118</v>
      </c>
      <c r="E9486" s="13" t="s">
        <v>17404</v>
      </c>
      <c r="F9486" s="43">
        <v>206.55</v>
      </c>
    </row>
    <row r="9487" spans="2:6" x14ac:dyDescent="0.25">
      <c r="B9487" s="13" t="s">
        <v>17405</v>
      </c>
      <c r="C9487" s="17" t="s">
        <v>170</v>
      </c>
      <c r="D9487" s="13" t="s">
        <v>118</v>
      </c>
      <c r="E9487" s="13" t="s">
        <v>17406</v>
      </c>
      <c r="F9487" s="43">
        <v>206.55</v>
      </c>
    </row>
    <row r="9488" spans="2:6" x14ac:dyDescent="0.25">
      <c r="B9488" s="13" t="s">
        <v>17407</v>
      </c>
      <c r="C9488" s="17" t="s">
        <v>170</v>
      </c>
      <c r="D9488" s="13" t="s">
        <v>118</v>
      </c>
      <c r="E9488" s="13" t="s">
        <v>17408</v>
      </c>
      <c r="F9488" s="43">
        <v>206.55</v>
      </c>
    </row>
    <row r="9489" spans="2:6" x14ac:dyDescent="0.25">
      <c r="B9489" s="13" t="s">
        <v>17409</v>
      </c>
      <c r="C9489" s="17" t="s">
        <v>170</v>
      </c>
      <c r="D9489" s="13" t="s">
        <v>118</v>
      </c>
      <c r="E9489" s="13" t="s">
        <v>17410</v>
      </c>
      <c r="F9489" s="43">
        <v>0</v>
      </c>
    </row>
    <row r="9490" spans="2:6" x14ac:dyDescent="0.25">
      <c r="B9490" s="13" t="s">
        <v>17411</v>
      </c>
      <c r="C9490" s="17" t="s">
        <v>170</v>
      </c>
      <c r="D9490" s="13" t="s">
        <v>118</v>
      </c>
      <c r="E9490" s="13"/>
      <c r="F9490" s="43">
        <v>0</v>
      </c>
    </row>
    <row r="9491" spans="2:6" x14ac:dyDescent="0.25">
      <c r="B9491" s="13" t="s">
        <v>17412</v>
      </c>
      <c r="C9491" s="17" t="s">
        <v>170</v>
      </c>
      <c r="D9491" s="13" t="s">
        <v>118</v>
      </c>
      <c r="E9491" s="13" t="s">
        <v>17413</v>
      </c>
      <c r="F9491" s="43">
        <v>0</v>
      </c>
    </row>
    <row r="9492" spans="2:6" x14ac:dyDescent="0.25">
      <c r="B9492" s="13" t="s">
        <v>17414</v>
      </c>
      <c r="C9492" s="17" t="s">
        <v>170</v>
      </c>
      <c r="D9492" s="13" t="s">
        <v>118</v>
      </c>
      <c r="E9492" s="13" t="s">
        <v>17415</v>
      </c>
      <c r="F9492" s="43">
        <v>2643.84</v>
      </c>
    </row>
    <row r="9493" spans="2:6" x14ac:dyDescent="0.25">
      <c r="B9493" s="13" t="s">
        <v>17416</v>
      </c>
      <c r="C9493" s="17" t="s">
        <v>170</v>
      </c>
      <c r="D9493" s="13" t="s">
        <v>118</v>
      </c>
      <c r="E9493" s="13"/>
      <c r="F9493" s="43">
        <v>0</v>
      </c>
    </row>
    <row r="9494" spans="2:6" x14ac:dyDescent="0.25">
      <c r="B9494" s="13">
        <v>2</v>
      </c>
      <c r="C9494" s="17" t="s">
        <v>170</v>
      </c>
      <c r="D9494" s="13" t="s">
        <v>118</v>
      </c>
      <c r="E9494" s="13" t="s">
        <v>17417</v>
      </c>
      <c r="F9494" s="43">
        <v>0</v>
      </c>
    </row>
    <row r="9495" spans="2:6" x14ac:dyDescent="0.25">
      <c r="B9495" s="13">
        <v>1</v>
      </c>
      <c r="C9495" s="17" t="s">
        <v>170</v>
      </c>
      <c r="D9495" s="13" t="s">
        <v>118</v>
      </c>
      <c r="E9495" s="13">
        <v>1E-3</v>
      </c>
      <c r="F9495" s="43">
        <v>0</v>
      </c>
    </row>
    <row r="9496" spans="2:6" x14ac:dyDescent="0.25">
      <c r="B9496" s="13">
        <v>5</v>
      </c>
      <c r="C9496" s="17" t="s">
        <v>170</v>
      </c>
      <c r="D9496" s="13" t="s">
        <v>118</v>
      </c>
      <c r="E9496" s="13">
        <v>5.0000000000000001E-3</v>
      </c>
      <c r="F9496" s="43">
        <v>0</v>
      </c>
    </row>
    <row r="9497" spans="2:6" x14ac:dyDescent="0.25">
      <c r="B9497" s="13" t="s">
        <v>17418</v>
      </c>
      <c r="C9497" s="17" t="s">
        <v>170</v>
      </c>
      <c r="D9497" s="13" t="s">
        <v>118</v>
      </c>
      <c r="E9497" s="13"/>
      <c r="F9497" s="43">
        <v>0</v>
      </c>
    </row>
    <row r="9498" spans="2:6" x14ac:dyDescent="0.25">
      <c r="B9498" s="13" t="s">
        <v>17419</v>
      </c>
      <c r="C9498" s="17" t="s">
        <v>170</v>
      </c>
      <c r="D9498" s="13" t="s">
        <v>118</v>
      </c>
      <c r="E9498" s="13" t="s">
        <v>17420</v>
      </c>
      <c r="F9498" s="43">
        <v>0</v>
      </c>
    </row>
    <row r="9499" spans="2:6" x14ac:dyDescent="0.25">
      <c r="B9499" s="13" t="s">
        <v>17421</v>
      </c>
      <c r="C9499" s="17" t="s">
        <v>170</v>
      </c>
      <c r="D9499" s="13" t="s">
        <v>118</v>
      </c>
      <c r="E9499" s="13" t="s">
        <v>17422</v>
      </c>
      <c r="F9499" s="43">
        <v>0</v>
      </c>
    </row>
    <row r="9500" spans="2:6" x14ac:dyDescent="0.25">
      <c r="B9500" s="13" t="s">
        <v>17423</v>
      </c>
      <c r="C9500" s="17" t="s">
        <v>170</v>
      </c>
      <c r="D9500" s="13" t="s">
        <v>118</v>
      </c>
      <c r="E9500" s="13" t="s">
        <v>17424</v>
      </c>
      <c r="F9500" s="43">
        <v>0</v>
      </c>
    </row>
    <row r="9501" spans="2:6" x14ac:dyDescent="0.25">
      <c r="B9501" s="13" t="s">
        <v>17425</v>
      </c>
      <c r="C9501" s="17" t="s">
        <v>170</v>
      </c>
      <c r="D9501" s="13" t="s">
        <v>118</v>
      </c>
      <c r="E9501" s="13" t="s">
        <v>17426</v>
      </c>
      <c r="F9501" s="43">
        <v>0</v>
      </c>
    </row>
    <row r="9502" spans="2:6" x14ac:dyDescent="0.25">
      <c r="B9502" s="13" t="s">
        <v>17427</v>
      </c>
      <c r="C9502" s="17" t="s">
        <v>170</v>
      </c>
      <c r="D9502" s="13" t="s">
        <v>118</v>
      </c>
      <c r="E9502" s="13" t="s">
        <v>17428</v>
      </c>
      <c r="F9502" s="43">
        <v>0</v>
      </c>
    </row>
    <row r="9503" spans="2:6" x14ac:dyDescent="0.25">
      <c r="B9503" s="13" t="s">
        <v>17429</v>
      </c>
      <c r="C9503" s="17" t="s">
        <v>170</v>
      </c>
      <c r="D9503" s="13" t="s">
        <v>118</v>
      </c>
      <c r="E9503" s="13"/>
      <c r="F9503" s="43">
        <v>0</v>
      </c>
    </row>
    <row r="9504" spans="2:6" x14ac:dyDescent="0.25">
      <c r="B9504" s="13" t="s">
        <v>17430</v>
      </c>
      <c r="C9504" s="17" t="s">
        <v>170</v>
      </c>
      <c r="D9504" s="13" t="s">
        <v>118</v>
      </c>
      <c r="E9504" s="13" t="s">
        <v>17431</v>
      </c>
      <c r="F9504" s="43">
        <v>0</v>
      </c>
    </row>
    <row r="9505" spans="2:6" x14ac:dyDescent="0.25">
      <c r="B9505" s="13" t="s">
        <v>17432</v>
      </c>
      <c r="C9505" s="17" t="s">
        <v>170</v>
      </c>
      <c r="D9505" s="13" t="s">
        <v>118</v>
      </c>
      <c r="E9505" s="13" t="s">
        <v>17433</v>
      </c>
      <c r="F9505" s="43">
        <v>0</v>
      </c>
    </row>
    <row r="9506" spans="2:6" x14ac:dyDescent="0.25">
      <c r="B9506" s="13" t="s">
        <v>17434</v>
      </c>
      <c r="C9506" s="17" t="s">
        <v>170</v>
      </c>
      <c r="D9506" s="13" t="s">
        <v>118</v>
      </c>
      <c r="E9506" s="13" t="s">
        <v>17435</v>
      </c>
      <c r="F9506" s="43">
        <v>0</v>
      </c>
    </row>
    <row r="9507" spans="2:6" x14ac:dyDescent="0.25">
      <c r="B9507" s="13" t="s">
        <v>17436</v>
      </c>
      <c r="C9507" s="17" t="s">
        <v>170</v>
      </c>
      <c r="D9507" s="13" t="s">
        <v>118</v>
      </c>
      <c r="E9507" s="13" t="s">
        <v>17437</v>
      </c>
      <c r="F9507" s="43">
        <v>0</v>
      </c>
    </row>
    <row r="9508" spans="2:6" x14ac:dyDescent="0.25">
      <c r="B9508" s="13" t="s">
        <v>17438</v>
      </c>
      <c r="C9508" s="17" t="s">
        <v>170</v>
      </c>
      <c r="D9508" s="13" t="s">
        <v>118</v>
      </c>
      <c r="E9508" s="13" t="s">
        <v>17439</v>
      </c>
      <c r="F9508" s="43">
        <v>0</v>
      </c>
    </row>
    <row r="9509" spans="2:6" x14ac:dyDescent="0.25">
      <c r="B9509" s="13" t="s">
        <v>17440</v>
      </c>
      <c r="C9509" s="17" t="s">
        <v>170</v>
      </c>
      <c r="D9509" s="13" t="s">
        <v>118</v>
      </c>
      <c r="E9509" s="13" t="s">
        <v>17441</v>
      </c>
      <c r="F9509" s="43">
        <v>0</v>
      </c>
    </row>
    <row r="9510" spans="2:6" x14ac:dyDescent="0.25">
      <c r="B9510" s="13" t="s">
        <v>17442</v>
      </c>
      <c r="C9510" s="17" t="s">
        <v>170</v>
      </c>
      <c r="D9510" s="13" t="s">
        <v>118</v>
      </c>
      <c r="E9510" s="13" t="s">
        <v>17443</v>
      </c>
      <c r="F9510" s="43">
        <v>0</v>
      </c>
    </row>
    <row r="9511" spans="2:6" x14ac:dyDescent="0.25">
      <c r="B9511" s="13" t="s">
        <v>17444</v>
      </c>
      <c r="C9511" s="17" t="s">
        <v>170</v>
      </c>
      <c r="D9511" s="13" t="s">
        <v>118</v>
      </c>
      <c r="E9511" s="13" t="s">
        <v>17445</v>
      </c>
      <c r="F9511" s="43">
        <v>0</v>
      </c>
    </row>
    <row r="9512" spans="2:6" x14ac:dyDescent="0.25">
      <c r="B9512" s="13" t="s">
        <v>17446</v>
      </c>
      <c r="C9512" s="17" t="s">
        <v>170</v>
      </c>
      <c r="D9512" s="13" t="s">
        <v>118</v>
      </c>
      <c r="E9512" s="13" t="s">
        <v>17447</v>
      </c>
      <c r="F9512" s="43">
        <v>0</v>
      </c>
    </row>
    <row r="9513" spans="2:6" x14ac:dyDescent="0.25">
      <c r="B9513" s="13" t="s">
        <v>17448</v>
      </c>
      <c r="C9513" s="17" t="s">
        <v>170</v>
      </c>
      <c r="D9513" s="13" t="s">
        <v>118</v>
      </c>
      <c r="E9513" s="13"/>
      <c r="F9513" s="43">
        <v>0</v>
      </c>
    </row>
    <row r="9514" spans="2:6" x14ac:dyDescent="0.25">
      <c r="B9514" s="13" t="s">
        <v>17449</v>
      </c>
      <c r="C9514" s="17" t="s">
        <v>170</v>
      </c>
      <c r="D9514" s="13" t="s">
        <v>118</v>
      </c>
      <c r="E9514" s="13" t="s">
        <v>17450</v>
      </c>
      <c r="F9514" s="43">
        <v>0</v>
      </c>
    </row>
    <row r="9515" spans="2:6" x14ac:dyDescent="0.25">
      <c r="B9515" s="13" t="s">
        <v>17451</v>
      </c>
      <c r="C9515" s="17" t="s">
        <v>170</v>
      </c>
      <c r="D9515" s="13" t="s">
        <v>118</v>
      </c>
      <c r="E9515" s="13"/>
      <c r="F9515" s="43">
        <v>0</v>
      </c>
    </row>
    <row r="9516" spans="2:6" x14ac:dyDescent="0.25">
      <c r="B9516" s="13">
        <v>4</v>
      </c>
      <c r="C9516" s="17" t="s">
        <v>170</v>
      </c>
      <c r="D9516" s="13" t="s">
        <v>118</v>
      </c>
      <c r="E9516" s="13" t="s">
        <v>17452</v>
      </c>
      <c r="F9516" s="43">
        <v>0</v>
      </c>
    </row>
    <row r="9517" spans="2:6" x14ac:dyDescent="0.25">
      <c r="B9517" s="13">
        <v>6</v>
      </c>
      <c r="C9517" s="17" t="s">
        <v>170</v>
      </c>
      <c r="D9517" s="13" t="s">
        <v>118</v>
      </c>
      <c r="E9517" s="13" t="s">
        <v>17453</v>
      </c>
      <c r="F9517" s="43">
        <v>0</v>
      </c>
    </row>
    <row r="9518" spans="2:6" x14ac:dyDescent="0.25">
      <c r="B9518" s="13" t="s">
        <v>17454</v>
      </c>
      <c r="C9518" s="17" t="s">
        <v>170</v>
      </c>
      <c r="D9518" s="13" t="s">
        <v>118</v>
      </c>
      <c r="E9518" s="13"/>
      <c r="F9518" s="43">
        <v>0</v>
      </c>
    </row>
    <row r="9519" spans="2:6" x14ac:dyDescent="0.25">
      <c r="B9519" s="13">
        <v>6</v>
      </c>
      <c r="C9519" s="17" t="s">
        <v>170</v>
      </c>
      <c r="D9519" s="13" t="s">
        <v>118</v>
      </c>
      <c r="E9519" s="13" t="s">
        <v>17453</v>
      </c>
      <c r="F9519" s="43">
        <v>0</v>
      </c>
    </row>
    <row r="9520" spans="2:6" x14ac:dyDescent="0.25">
      <c r="B9520" s="13" t="s">
        <v>17455</v>
      </c>
      <c r="C9520" s="17" t="s">
        <v>170</v>
      </c>
      <c r="D9520" s="13" t="s">
        <v>118</v>
      </c>
      <c r="E9520" s="13"/>
      <c r="F9520" s="43">
        <v>0</v>
      </c>
    </row>
    <row r="9521" spans="2:6" x14ac:dyDescent="0.25">
      <c r="B9521" s="13" t="s">
        <v>17456</v>
      </c>
      <c r="C9521" s="17" t="s">
        <v>170</v>
      </c>
      <c r="D9521" s="13" t="s">
        <v>118</v>
      </c>
      <c r="E9521" s="13" t="s">
        <v>17457</v>
      </c>
      <c r="F9521" s="43">
        <v>20.66</v>
      </c>
    </row>
    <row r="9522" spans="2:6" x14ac:dyDescent="0.25">
      <c r="B9522" s="13" t="s">
        <v>17458</v>
      </c>
      <c r="C9522" s="17" t="s">
        <v>170</v>
      </c>
      <c r="D9522" s="13" t="s">
        <v>118</v>
      </c>
      <c r="E9522" s="13" t="s">
        <v>17459</v>
      </c>
      <c r="F9522" s="43">
        <v>0</v>
      </c>
    </row>
    <row r="9523" spans="2:6" x14ac:dyDescent="0.25">
      <c r="B9523" s="13" t="s">
        <v>17460</v>
      </c>
      <c r="C9523" s="17" t="s">
        <v>170</v>
      </c>
      <c r="D9523" s="13" t="s">
        <v>118</v>
      </c>
      <c r="E9523" s="13" t="s">
        <v>17461</v>
      </c>
      <c r="F9523" s="43">
        <v>0</v>
      </c>
    </row>
    <row r="9524" spans="2:6" x14ac:dyDescent="0.25">
      <c r="B9524" s="13" t="s">
        <v>17462</v>
      </c>
      <c r="C9524" s="17" t="s">
        <v>170</v>
      </c>
      <c r="D9524" s="13" t="s">
        <v>118</v>
      </c>
      <c r="E9524" s="13" t="s">
        <v>17463</v>
      </c>
      <c r="F9524" s="43">
        <v>0</v>
      </c>
    </row>
    <row r="9525" spans="2:6" x14ac:dyDescent="0.25">
      <c r="B9525" s="13" t="s">
        <v>17464</v>
      </c>
      <c r="C9525" s="17" t="s">
        <v>170</v>
      </c>
      <c r="D9525" s="13" t="s">
        <v>118</v>
      </c>
      <c r="E9525" s="13" t="s">
        <v>17465</v>
      </c>
      <c r="F9525" s="43">
        <v>2932.46</v>
      </c>
    </row>
    <row r="9526" spans="2:6" x14ac:dyDescent="0.25">
      <c r="B9526" s="13" t="s">
        <v>17466</v>
      </c>
      <c r="C9526" s="17" t="s">
        <v>170</v>
      </c>
      <c r="D9526" s="13" t="s">
        <v>118</v>
      </c>
      <c r="E9526" s="13" t="s">
        <v>17467</v>
      </c>
      <c r="F9526" s="43">
        <v>2932.46</v>
      </c>
    </row>
    <row r="9527" spans="2:6" x14ac:dyDescent="0.25">
      <c r="B9527" s="13" t="s">
        <v>17468</v>
      </c>
      <c r="C9527" s="17" t="s">
        <v>170</v>
      </c>
      <c r="D9527" s="13" t="s">
        <v>118</v>
      </c>
      <c r="E9527" s="13" t="s">
        <v>17469</v>
      </c>
      <c r="F9527" s="43">
        <v>2932.46</v>
      </c>
    </row>
    <row r="9528" spans="2:6" x14ac:dyDescent="0.25">
      <c r="B9528" s="13" t="s">
        <v>17470</v>
      </c>
      <c r="C9528" s="17" t="s">
        <v>170</v>
      </c>
      <c r="D9528" s="13" t="s">
        <v>118</v>
      </c>
      <c r="E9528" s="13" t="s">
        <v>17471</v>
      </c>
      <c r="F9528" s="43">
        <v>2932.46</v>
      </c>
    </row>
    <row r="9529" spans="2:6" x14ac:dyDescent="0.25">
      <c r="B9529" s="13" t="s">
        <v>17472</v>
      </c>
      <c r="C9529" s="17" t="s">
        <v>170</v>
      </c>
      <c r="D9529" s="13" t="s">
        <v>118</v>
      </c>
      <c r="E9529" s="13" t="s">
        <v>17473</v>
      </c>
      <c r="F9529" s="43">
        <v>2932.46</v>
      </c>
    </row>
    <row r="9530" spans="2:6" x14ac:dyDescent="0.25">
      <c r="B9530" s="13" t="s">
        <v>17474</v>
      </c>
      <c r="C9530" s="17" t="s">
        <v>170</v>
      </c>
      <c r="D9530" s="13" t="s">
        <v>118</v>
      </c>
      <c r="E9530" s="13" t="s">
        <v>17475</v>
      </c>
      <c r="F9530" s="43">
        <v>2932.46</v>
      </c>
    </row>
    <row r="9531" spans="2:6" x14ac:dyDescent="0.25">
      <c r="B9531" s="13" t="s">
        <v>17476</v>
      </c>
      <c r="C9531" s="17" t="s">
        <v>170</v>
      </c>
      <c r="D9531" s="13" t="s">
        <v>118</v>
      </c>
      <c r="E9531" s="13" t="s">
        <v>17477</v>
      </c>
      <c r="F9531" s="43">
        <v>2932.46</v>
      </c>
    </row>
    <row r="9532" spans="2:6" x14ac:dyDescent="0.25">
      <c r="B9532" s="13" t="s">
        <v>17478</v>
      </c>
      <c r="C9532" s="17" t="s">
        <v>170</v>
      </c>
      <c r="D9532" s="13" t="s">
        <v>118</v>
      </c>
      <c r="E9532" s="13" t="s">
        <v>17479</v>
      </c>
      <c r="F9532" s="43">
        <v>2932.46</v>
      </c>
    </row>
    <row r="9533" spans="2:6" x14ac:dyDescent="0.25">
      <c r="B9533" s="13" t="s">
        <v>17480</v>
      </c>
      <c r="C9533" s="17" t="s">
        <v>170</v>
      </c>
      <c r="D9533" s="13" t="s">
        <v>118</v>
      </c>
      <c r="E9533" s="13" t="s">
        <v>17481</v>
      </c>
      <c r="F9533" s="43">
        <v>2932.46</v>
      </c>
    </row>
    <row r="9534" spans="2:6" x14ac:dyDescent="0.25">
      <c r="B9534" s="13" t="s">
        <v>17482</v>
      </c>
      <c r="C9534" s="17" t="s">
        <v>170</v>
      </c>
      <c r="D9534" s="13" t="s">
        <v>118</v>
      </c>
      <c r="E9534" s="13" t="s">
        <v>17483</v>
      </c>
      <c r="F9534" s="43">
        <v>2932.46</v>
      </c>
    </row>
    <row r="9535" spans="2:6" x14ac:dyDescent="0.25">
      <c r="B9535" s="13" t="s">
        <v>17484</v>
      </c>
      <c r="C9535" s="17" t="s">
        <v>170</v>
      </c>
      <c r="D9535" s="13" t="s">
        <v>118</v>
      </c>
      <c r="E9535" s="13" t="s">
        <v>17485</v>
      </c>
      <c r="F9535" s="43">
        <v>2932.46</v>
      </c>
    </row>
    <row r="9536" spans="2:6" x14ac:dyDescent="0.25">
      <c r="B9536" s="13" t="s">
        <v>17486</v>
      </c>
      <c r="C9536" s="17" t="s">
        <v>170</v>
      </c>
      <c r="D9536" s="13" t="s">
        <v>118</v>
      </c>
      <c r="E9536" s="13" t="s">
        <v>17487</v>
      </c>
      <c r="F9536" s="43">
        <v>2932.46</v>
      </c>
    </row>
    <row r="9537" spans="2:6" x14ac:dyDescent="0.25">
      <c r="B9537" s="13" t="s">
        <v>17488</v>
      </c>
      <c r="C9537" s="17" t="s">
        <v>170</v>
      </c>
      <c r="D9537" s="13" t="s">
        <v>118</v>
      </c>
      <c r="E9537" s="13" t="s">
        <v>17489</v>
      </c>
      <c r="F9537" s="43">
        <v>2932.46</v>
      </c>
    </row>
    <row r="9538" spans="2:6" x14ac:dyDescent="0.25">
      <c r="B9538" s="13" t="s">
        <v>17490</v>
      </c>
      <c r="C9538" s="17" t="s">
        <v>170</v>
      </c>
      <c r="D9538" s="13" t="s">
        <v>118</v>
      </c>
      <c r="E9538" s="13" t="s">
        <v>17491</v>
      </c>
      <c r="F9538" s="43">
        <v>2932.46</v>
      </c>
    </row>
    <row r="9539" spans="2:6" x14ac:dyDescent="0.25">
      <c r="B9539" s="13" t="s">
        <v>17492</v>
      </c>
      <c r="C9539" s="17" t="s">
        <v>170</v>
      </c>
      <c r="D9539" s="13" t="s">
        <v>118</v>
      </c>
      <c r="E9539" s="13" t="s">
        <v>17493</v>
      </c>
      <c r="F9539" s="43">
        <v>2932.46</v>
      </c>
    </row>
    <row r="9540" spans="2:6" x14ac:dyDescent="0.25">
      <c r="B9540" s="13" t="s">
        <v>17494</v>
      </c>
      <c r="C9540" s="17" t="s">
        <v>170</v>
      </c>
      <c r="D9540" s="13" t="s">
        <v>118</v>
      </c>
      <c r="E9540" s="13" t="s">
        <v>17495</v>
      </c>
      <c r="F9540" s="43">
        <v>2932.46</v>
      </c>
    </row>
    <row r="9541" spans="2:6" x14ac:dyDescent="0.25">
      <c r="B9541" s="13" t="s">
        <v>17496</v>
      </c>
      <c r="C9541" s="17" t="s">
        <v>170</v>
      </c>
      <c r="D9541" s="13" t="s">
        <v>118</v>
      </c>
      <c r="E9541" s="13" t="s">
        <v>17497</v>
      </c>
      <c r="F9541" s="43">
        <v>2932.46</v>
      </c>
    </row>
    <row r="9542" spans="2:6" x14ac:dyDescent="0.25">
      <c r="B9542" s="13" t="s">
        <v>17498</v>
      </c>
      <c r="C9542" s="17" t="s">
        <v>170</v>
      </c>
      <c r="D9542" s="13" t="s">
        <v>118</v>
      </c>
      <c r="E9542" s="13" t="s">
        <v>17499</v>
      </c>
      <c r="F9542" s="43">
        <v>2932.46</v>
      </c>
    </row>
    <row r="9543" spans="2:6" x14ac:dyDescent="0.25">
      <c r="B9543" s="13" t="s">
        <v>17500</v>
      </c>
      <c r="C9543" s="17" t="s">
        <v>170</v>
      </c>
      <c r="D9543" s="13" t="s">
        <v>118</v>
      </c>
      <c r="E9543" s="13" t="s">
        <v>17501</v>
      </c>
      <c r="F9543" s="43">
        <v>2932.46</v>
      </c>
    </row>
    <row r="9544" spans="2:6" x14ac:dyDescent="0.25">
      <c r="B9544" s="13" t="s">
        <v>17502</v>
      </c>
      <c r="C9544" s="17" t="s">
        <v>170</v>
      </c>
      <c r="D9544" s="13" t="s">
        <v>118</v>
      </c>
      <c r="E9544" s="13" t="s">
        <v>17503</v>
      </c>
      <c r="F9544" s="43">
        <v>2932.46</v>
      </c>
    </row>
    <row r="9545" spans="2:6" x14ac:dyDescent="0.25">
      <c r="B9545" s="13" t="s">
        <v>17504</v>
      </c>
      <c r="C9545" s="17" t="s">
        <v>170</v>
      </c>
      <c r="D9545" s="13" t="s">
        <v>118</v>
      </c>
      <c r="E9545" s="13" t="s">
        <v>17505</v>
      </c>
      <c r="F9545" s="43">
        <v>2932.46</v>
      </c>
    </row>
    <row r="9546" spans="2:6" x14ac:dyDescent="0.25">
      <c r="B9546" s="13" t="s">
        <v>17506</v>
      </c>
      <c r="C9546" s="17" t="s">
        <v>170</v>
      </c>
      <c r="D9546" s="13" t="s">
        <v>118</v>
      </c>
      <c r="E9546" s="13" t="s">
        <v>17507</v>
      </c>
      <c r="F9546" s="43">
        <v>2932.46</v>
      </c>
    </row>
    <row r="9547" spans="2:6" x14ac:dyDescent="0.25">
      <c r="B9547" s="13" t="s">
        <v>17508</v>
      </c>
      <c r="C9547" s="17" t="s">
        <v>170</v>
      </c>
      <c r="D9547" s="13" t="s">
        <v>118</v>
      </c>
      <c r="E9547" s="13" t="s">
        <v>17509</v>
      </c>
      <c r="F9547" s="43">
        <v>2932.46</v>
      </c>
    </row>
    <row r="9548" spans="2:6" x14ac:dyDescent="0.25">
      <c r="B9548" s="13" t="s">
        <v>17510</v>
      </c>
      <c r="C9548" s="17" t="s">
        <v>170</v>
      </c>
      <c r="D9548" s="13" t="s">
        <v>118</v>
      </c>
      <c r="E9548" s="13" t="s">
        <v>17511</v>
      </c>
      <c r="F9548" s="43">
        <v>2932.46</v>
      </c>
    </row>
    <row r="9549" spans="2:6" x14ac:dyDescent="0.25">
      <c r="B9549" s="13" t="s">
        <v>17512</v>
      </c>
      <c r="C9549" s="17" t="s">
        <v>170</v>
      </c>
      <c r="D9549" s="13" t="s">
        <v>118</v>
      </c>
      <c r="E9549" s="13" t="s">
        <v>17513</v>
      </c>
      <c r="F9549" s="43">
        <v>2932.46</v>
      </c>
    </row>
    <row r="9550" spans="2:6" x14ac:dyDescent="0.25">
      <c r="B9550" s="13" t="s">
        <v>17514</v>
      </c>
      <c r="C9550" s="17" t="s">
        <v>170</v>
      </c>
      <c r="D9550" s="13" t="s">
        <v>118</v>
      </c>
      <c r="E9550" s="13" t="s">
        <v>17515</v>
      </c>
      <c r="F9550" s="43">
        <v>2932.46</v>
      </c>
    </row>
    <row r="9551" spans="2:6" x14ac:dyDescent="0.25">
      <c r="B9551" s="13" t="s">
        <v>17516</v>
      </c>
      <c r="C9551" s="17" t="s">
        <v>170</v>
      </c>
      <c r="D9551" s="13" t="s">
        <v>118</v>
      </c>
      <c r="E9551" s="13" t="s">
        <v>17517</v>
      </c>
      <c r="F9551" s="43">
        <v>2932.46</v>
      </c>
    </row>
    <row r="9552" spans="2:6" x14ac:dyDescent="0.25">
      <c r="B9552" s="13" t="s">
        <v>17518</v>
      </c>
      <c r="C9552" s="17" t="s">
        <v>170</v>
      </c>
      <c r="D9552" s="13" t="s">
        <v>118</v>
      </c>
      <c r="E9552" s="13" t="s">
        <v>17519</v>
      </c>
      <c r="F9552" s="43">
        <v>2932.46</v>
      </c>
    </row>
    <row r="9553" spans="2:6" x14ac:dyDescent="0.25">
      <c r="B9553" s="13" t="s">
        <v>17520</v>
      </c>
      <c r="C9553" s="17" t="s">
        <v>170</v>
      </c>
      <c r="D9553" s="13" t="s">
        <v>118</v>
      </c>
      <c r="E9553" s="13" t="s">
        <v>17521</v>
      </c>
      <c r="F9553" s="43">
        <v>127.52</v>
      </c>
    </row>
    <row r="9554" spans="2:6" x14ac:dyDescent="0.25">
      <c r="B9554" s="13" t="s">
        <v>17522</v>
      </c>
      <c r="C9554" s="17" t="s">
        <v>170</v>
      </c>
      <c r="D9554" s="13" t="s">
        <v>118</v>
      </c>
      <c r="E9554" s="13"/>
      <c r="F9554" s="43">
        <v>0</v>
      </c>
    </row>
    <row r="9555" spans="2:6" x14ac:dyDescent="0.25">
      <c r="B9555" s="13" t="s">
        <v>17368</v>
      </c>
      <c r="C9555" s="17" t="s">
        <v>170</v>
      </c>
      <c r="D9555" s="13" t="s">
        <v>118</v>
      </c>
      <c r="E9555" s="13" t="s">
        <v>17368</v>
      </c>
      <c r="F9555" s="43">
        <v>0</v>
      </c>
    </row>
    <row r="9556" spans="2:6" x14ac:dyDescent="0.25">
      <c r="B9556" s="13" t="s">
        <v>17370</v>
      </c>
      <c r="C9556" s="17" t="s">
        <v>170</v>
      </c>
      <c r="D9556" s="13" t="s">
        <v>118</v>
      </c>
      <c r="E9556" s="13" t="s">
        <v>17523</v>
      </c>
      <c r="F9556" s="43">
        <v>413.1</v>
      </c>
    </row>
    <row r="9557" spans="2:6" x14ac:dyDescent="0.25">
      <c r="B9557" s="13" t="s">
        <v>17524</v>
      </c>
      <c r="C9557" s="17" t="s">
        <v>170</v>
      </c>
      <c r="D9557" s="13" t="s">
        <v>118</v>
      </c>
      <c r="E9557" s="13" t="s">
        <v>17524</v>
      </c>
      <c r="F9557" s="43">
        <v>0</v>
      </c>
    </row>
    <row r="9558" spans="2:6" x14ac:dyDescent="0.25">
      <c r="B9558" s="13" t="s">
        <v>17525</v>
      </c>
      <c r="C9558" s="17" t="s">
        <v>170</v>
      </c>
      <c r="D9558" s="13" t="s">
        <v>118</v>
      </c>
      <c r="E9558" s="13" t="s">
        <v>17526</v>
      </c>
      <c r="F9558" s="43">
        <v>0</v>
      </c>
    </row>
    <row r="9559" spans="2:6" x14ac:dyDescent="0.25">
      <c r="B9559" s="13" t="s">
        <v>17527</v>
      </c>
      <c r="C9559" s="17" t="s">
        <v>170</v>
      </c>
      <c r="D9559" s="13" t="s">
        <v>118</v>
      </c>
      <c r="E9559" s="13" t="s">
        <v>17528</v>
      </c>
      <c r="F9559" s="43">
        <v>0</v>
      </c>
    </row>
    <row r="9560" spans="2:6" x14ac:dyDescent="0.25">
      <c r="B9560" s="13" t="s">
        <v>17529</v>
      </c>
      <c r="C9560" s="17" t="s">
        <v>170</v>
      </c>
      <c r="D9560" s="13" t="s">
        <v>118</v>
      </c>
      <c r="E9560" s="13" t="s">
        <v>17529</v>
      </c>
      <c r="F9560" s="43">
        <v>0</v>
      </c>
    </row>
    <row r="9561" spans="2:6" x14ac:dyDescent="0.25">
      <c r="B9561" s="13">
        <v>1</v>
      </c>
      <c r="C9561" s="17" t="s">
        <v>170</v>
      </c>
      <c r="D9561" s="13" t="s">
        <v>118</v>
      </c>
      <c r="E9561" s="13" t="s">
        <v>17530</v>
      </c>
      <c r="F9561" s="43">
        <v>0</v>
      </c>
    </row>
    <row r="9562" spans="2:6" x14ac:dyDescent="0.25">
      <c r="B9562" s="13">
        <v>2</v>
      </c>
      <c r="C9562" s="17" t="s">
        <v>170</v>
      </c>
      <c r="D9562" s="13" t="s">
        <v>118</v>
      </c>
      <c r="E9562" s="13" t="s">
        <v>17531</v>
      </c>
      <c r="F9562" s="43">
        <v>0</v>
      </c>
    </row>
    <row r="9563" spans="2:6" x14ac:dyDescent="0.25">
      <c r="B9563" s="13">
        <v>3</v>
      </c>
      <c r="C9563" s="17" t="s">
        <v>170</v>
      </c>
      <c r="D9563" s="13" t="s">
        <v>118</v>
      </c>
      <c r="E9563" s="13" t="s">
        <v>17532</v>
      </c>
      <c r="F9563" s="43">
        <v>0</v>
      </c>
    </row>
    <row r="9564" spans="2:6" x14ac:dyDescent="0.25">
      <c r="B9564" s="13" t="s">
        <v>17533</v>
      </c>
      <c r="C9564" s="17" t="s">
        <v>170</v>
      </c>
      <c r="D9564" s="13" t="s">
        <v>118</v>
      </c>
      <c r="E9564" s="13" t="s">
        <v>17533</v>
      </c>
      <c r="F9564" s="43">
        <v>0</v>
      </c>
    </row>
    <row r="9565" spans="2:6" x14ac:dyDescent="0.25">
      <c r="B9565" s="13" t="s">
        <v>17534</v>
      </c>
      <c r="C9565" s="17" t="s">
        <v>170</v>
      </c>
      <c r="D9565" s="13" t="s">
        <v>118</v>
      </c>
      <c r="E9565" s="13" t="s">
        <v>17535</v>
      </c>
      <c r="F9565" s="43">
        <v>573.75</v>
      </c>
    </row>
    <row r="9566" spans="2:6" x14ac:dyDescent="0.25">
      <c r="B9566" s="13" t="s">
        <v>17536</v>
      </c>
      <c r="C9566" s="17" t="s">
        <v>170</v>
      </c>
      <c r="D9566" s="13" t="s">
        <v>118</v>
      </c>
      <c r="E9566" s="13" t="s">
        <v>17537</v>
      </c>
      <c r="F9566" s="43">
        <v>0</v>
      </c>
    </row>
    <row r="9567" spans="2:6" x14ac:dyDescent="0.25">
      <c r="B9567" s="13" t="s">
        <v>17538</v>
      </c>
      <c r="C9567" s="17" t="s">
        <v>170</v>
      </c>
      <c r="D9567" s="13" t="s">
        <v>118</v>
      </c>
      <c r="E9567" s="13" t="s">
        <v>17539</v>
      </c>
      <c r="F9567" s="43">
        <v>0</v>
      </c>
    </row>
    <row r="9568" spans="2:6" x14ac:dyDescent="0.25">
      <c r="B9568" s="13" t="s">
        <v>17540</v>
      </c>
      <c r="C9568" s="17" t="s">
        <v>170</v>
      </c>
      <c r="D9568" s="13" t="s">
        <v>118</v>
      </c>
      <c r="E9568" s="13" t="s">
        <v>17541</v>
      </c>
      <c r="F9568" s="43">
        <v>0</v>
      </c>
    </row>
    <row r="9569" spans="2:6" x14ac:dyDescent="0.25">
      <c r="B9569" s="13" t="s">
        <v>17542</v>
      </c>
      <c r="C9569" s="17" t="s">
        <v>170</v>
      </c>
      <c r="D9569" s="13" t="s">
        <v>118</v>
      </c>
      <c r="E9569" s="13" t="s">
        <v>17543</v>
      </c>
      <c r="F9569" s="43">
        <v>0</v>
      </c>
    </row>
    <row r="9570" spans="2:6" x14ac:dyDescent="0.25">
      <c r="B9570" s="13" t="s">
        <v>17544</v>
      </c>
      <c r="C9570" s="17" t="s">
        <v>170</v>
      </c>
      <c r="D9570" s="13" t="s">
        <v>118</v>
      </c>
      <c r="E9570" s="13" t="s">
        <v>17545</v>
      </c>
      <c r="F9570" s="43">
        <v>0</v>
      </c>
    </row>
    <row r="9571" spans="2:6" x14ac:dyDescent="0.25">
      <c r="B9571" s="13" t="s">
        <v>17546</v>
      </c>
      <c r="C9571" s="17" t="s">
        <v>170</v>
      </c>
      <c r="D9571" s="13" t="s">
        <v>118</v>
      </c>
      <c r="E9571" s="13" t="s">
        <v>17547</v>
      </c>
      <c r="F9571" s="43">
        <v>0</v>
      </c>
    </row>
    <row r="9572" spans="2:6" x14ac:dyDescent="0.25">
      <c r="B9572" s="13" t="s">
        <v>17548</v>
      </c>
      <c r="C9572" s="17" t="s">
        <v>170</v>
      </c>
      <c r="D9572" s="13" t="s">
        <v>118</v>
      </c>
      <c r="E9572" s="13" t="s">
        <v>17549</v>
      </c>
      <c r="F9572" s="43">
        <v>0</v>
      </c>
    </row>
    <row r="9573" spans="2:6" x14ac:dyDescent="0.25">
      <c r="B9573" s="13" t="s">
        <v>17411</v>
      </c>
      <c r="C9573" s="17" t="s">
        <v>170</v>
      </c>
      <c r="D9573" s="13" t="s">
        <v>118</v>
      </c>
      <c r="E9573" s="13" t="s">
        <v>17411</v>
      </c>
      <c r="F9573" s="43">
        <v>0</v>
      </c>
    </row>
    <row r="9574" spans="2:6" x14ac:dyDescent="0.25">
      <c r="B9574" s="13" t="s">
        <v>17412</v>
      </c>
      <c r="C9574" s="17" t="s">
        <v>170</v>
      </c>
      <c r="D9574" s="13" t="s">
        <v>118</v>
      </c>
      <c r="E9574" s="13" t="s">
        <v>17550</v>
      </c>
      <c r="F9574" s="43">
        <v>0</v>
      </c>
    </row>
    <row r="9575" spans="2:6" x14ac:dyDescent="0.25">
      <c r="B9575" s="13" t="s">
        <v>17414</v>
      </c>
      <c r="C9575" s="17" t="s">
        <v>170</v>
      </c>
      <c r="D9575" s="13" t="s">
        <v>118</v>
      </c>
      <c r="E9575" s="13" t="s">
        <v>17551</v>
      </c>
      <c r="F9575" s="43">
        <v>2643.84</v>
      </c>
    </row>
    <row r="9576" spans="2:6" x14ac:dyDescent="0.25">
      <c r="B9576" s="13" t="s">
        <v>17416</v>
      </c>
      <c r="C9576" s="17" t="s">
        <v>170</v>
      </c>
      <c r="D9576" s="13" t="s">
        <v>118</v>
      </c>
      <c r="E9576" s="13" t="s">
        <v>17416</v>
      </c>
      <c r="F9576" s="43">
        <v>0</v>
      </c>
    </row>
    <row r="9577" spans="2:6" x14ac:dyDescent="0.25">
      <c r="B9577" s="13">
        <v>1</v>
      </c>
      <c r="C9577" s="17" t="s">
        <v>170</v>
      </c>
      <c r="D9577" s="13" t="s">
        <v>118</v>
      </c>
      <c r="E9577" s="13" t="s">
        <v>17552</v>
      </c>
      <c r="F9577" s="43">
        <v>0</v>
      </c>
    </row>
    <row r="9578" spans="2:6" x14ac:dyDescent="0.25">
      <c r="B9578" s="13" t="s">
        <v>17418</v>
      </c>
      <c r="C9578" s="17" t="s">
        <v>170</v>
      </c>
      <c r="D9578" s="13" t="s">
        <v>118</v>
      </c>
      <c r="E9578" s="13" t="s">
        <v>17418</v>
      </c>
      <c r="F9578" s="43">
        <v>0</v>
      </c>
    </row>
    <row r="9579" spans="2:6" x14ac:dyDescent="0.25">
      <c r="B9579" s="13" t="s">
        <v>17553</v>
      </c>
      <c r="C9579" s="17" t="s">
        <v>170</v>
      </c>
      <c r="D9579" s="13" t="s">
        <v>118</v>
      </c>
      <c r="E9579" s="13" t="s">
        <v>17554</v>
      </c>
      <c r="F9579" s="43">
        <v>0</v>
      </c>
    </row>
    <row r="9580" spans="2:6" x14ac:dyDescent="0.25">
      <c r="B9580" s="13" t="s">
        <v>17555</v>
      </c>
      <c r="C9580" s="17" t="s">
        <v>170</v>
      </c>
      <c r="D9580" s="13" t="s">
        <v>118</v>
      </c>
      <c r="E9580" s="13" t="s">
        <v>17556</v>
      </c>
      <c r="F9580" s="43">
        <v>0</v>
      </c>
    </row>
    <row r="9581" spans="2:6" x14ac:dyDescent="0.25">
      <c r="B9581" s="13" t="s">
        <v>17429</v>
      </c>
      <c r="C9581" s="17" t="s">
        <v>170</v>
      </c>
      <c r="D9581" s="13" t="s">
        <v>118</v>
      </c>
      <c r="E9581" s="13" t="s">
        <v>17429</v>
      </c>
      <c r="F9581" s="43">
        <v>0</v>
      </c>
    </row>
    <row r="9582" spans="2:6" x14ac:dyDescent="0.25">
      <c r="B9582" s="13" t="s">
        <v>17557</v>
      </c>
      <c r="C9582" s="17" t="s">
        <v>170</v>
      </c>
      <c r="D9582" s="13" t="s">
        <v>118</v>
      </c>
      <c r="E9582" s="13" t="s">
        <v>17558</v>
      </c>
      <c r="F9582" s="43">
        <v>0</v>
      </c>
    </row>
    <row r="9583" spans="2:6" x14ac:dyDescent="0.25">
      <c r="B9583" s="13" t="s">
        <v>17559</v>
      </c>
      <c r="C9583" s="17" t="s">
        <v>170</v>
      </c>
      <c r="D9583" s="13" t="s">
        <v>118</v>
      </c>
      <c r="E9583" s="13" t="s">
        <v>17560</v>
      </c>
      <c r="F9583" s="43">
        <v>0</v>
      </c>
    </row>
    <row r="9584" spans="2:6" x14ac:dyDescent="0.25">
      <c r="B9584" s="13" t="s">
        <v>17561</v>
      </c>
      <c r="C9584" s="17" t="s">
        <v>170</v>
      </c>
      <c r="D9584" s="13" t="s">
        <v>118</v>
      </c>
      <c r="E9584" s="13" t="s">
        <v>17562</v>
      </c>
      <c r="F9584" s="43">
        <v>0</v>
      </c>
    </row>
    <row r="9585" spans="2:6" x14ac:dyDescent="0.25">
      <c r="B9585" s="13" t="s">
        <v>17440</v>
      </c>
      <c r="C9585" s="17" t="s">
        <v>170</v>
      </c>
      <c r="D9585" s="13" t="s">
        <v>118</v>
      </c>
      <c r="E9585" s="13" t="s">
        <v>17563</v>
      </c>
      <c r="F9585" s="43">
        <v>0</v>
      </c>
    </row>
    <row r="9586" spans="2:6" x14ac:dyDescent="0.25">
      <c r="B9586" s="13" t="s">
        <v>17444</v>
      </c>
      <c r="C9586" s="17" t="s">
        <v>170</v>
      </c>
      <c r="D9586" s="13" t="s">
        <v>118</v>
      </c>
      <c r="E9586" s="13" t="s">
        <v>17564</v>
      </c>
      <c r="F9586" s="43">
        <v>0</v>
      </c>
    </row>
    <row r="9587" spans="2:6" x14ac:dyDescent="0.25">
      <c r="B9587" s="13" t="s">
        <v>17448</v>
      </c>
      <c r="C9587" s="17" t="s">
        <v>170</v>
      </c>
      <c r="D9587" s="13" t="s">
        <v>118</v>
      </c>
      <c r="E9587" s="13" t="s">
        <v>17448</v>
      </c>
      <c r="F9587" s="43">
        <v>0</v>
      </c>
    </row>
    <row r="9588" spans="2:6" x14ac:dyDescent="0.25">
      <c r="B9588" s="13" t="s">
        <v>17449</v>
      </c>
      <c r="C9588" s="17" t="s">
        <v>170</v>
      </c>
      <c r="D9588" s="13" t="s">
        <v>118</v>
      </c>
      <c r="E9588" s="13" t="s">
        <v>17565</v>
      </c>
      <c r="F9588" s="43">
        <v>0</v>
      </c>
    </row>
    <row r="9589" spans="2:6" x14ac:dyDescent="0.25">
      <c r="B9589" s="13" t="s">
        <v>17451</v>
      </c>
      <c r="C9589" s="17" t="s">
        <v>170</v>
      </c>
      <c r="D9589" s="13" t="s">
        <v>118</v>
      </c>
      <c r="E9589" s="13" t="s">
        <v>17451</v>
      </c>
      <c r="F9589" s="43">
        <v>0</v>
      </c>
    </row>
    <row r="9590" spans="2:6" x14ac:dyDescent="0.25">
      <c r="B9590" s="13">
        <v>6</v>
      </c>
      <c r="C9590" s="17" t="s">
        <v>170</v>
      </c>
      <c r="D9590" s="13" t="s">
        <v>118</v>
      </c>
      <c r="E9590" s="13" t="s">
        <v>17566</v>
      </c>
      <c r="F9590" s="43">
        <v>0</v>
      </c>
    </row>
    <row r="9591" spans="2:6" x14ac:dyDescent="0.25">
      <c r="B9591" s="13" t="s">
        <v>17567</v>
      </c>
      <c r="C9591" s="17" t="s">
        <v>170</v>
      </c>
      <c r="D9591" s="13" t="s">
        <v>118</v>
      </c>
      <c r="E9591" s="13" t="s">
        <v>17567</v>
      </c>
      <c r="F9591" s="43">
        <v>0</v>
      </c>
    </row>
    <row r="9592" spans="2:6" x14ac:dyDescent="0.25">
      <c r="B9592" s="13" t="s">
        <v>17568</v>
      </c>
      <c r="C9592" s="17" t="s">
        <v>170</v>
      </c>
      <c r="D9592" s="13" t="s">
        <v>118</v>
      </c>
      <c r="E9592" s="13" t="s">
        <v>17569</v>
      </c>
      <c r="F9592" s="43">
        <v>0</v>
      </c>
    </row>
    <row r="9593" spans="2:6" x14ac:dyDescent="0.25">
      <c r="B9593" s="13" t="s">
        <v>17370</v>
      </c>
      <c r="C9593" s="17" t="s">
        <v>170</v>
      </c>
      <c r="D9593" s="13" t="s">
        <v>118</v>
      </c>
      <c r="E9593" s="13" t="s">
        <v>17570</v>
      </c>
      <c r="F9593" s="43">
        <v>413.1</v>
      </c>
    </row>
    <row r="9594" spans="2:6" x14ac:dyDescent="0.25">
      <c r="B9594" s="13" t="s">
        <v>17571</v>
      </c>
      <c r="C9594" s="17" t="s">
        <v>170</v>
      </c>
      <c r="D9594" s="13" t="s">
        <v>118</v>
      </c>
      <c r="E9594" s="13" t="s">
        <v>17572</v>
      </c>
      <c r="F9594" s="43">
        <v>573.75</v>
      </c>
    </row>
    <row r="9595" spans="2:6" x14ac:dyDescent="0.25">
      <c r="B9595" s="13" t="s">
        <v>17573</v>
      </c>
      <c r="C9595" s="17" t="s">
        <v>170</v>
      </c>
      <c r="D9595" s="13" t="s">
        <v>118</v>
      </c>
      <c r="E9595" s="13" t="s">
        <v>17573</v>
      </c>
      <c r="F9595" s="43">
        <v>0</v>
      </c>
    </row>
    <row r="9596" spans="2:6" x14ac:dyDescent="0.25">
      <c r="B9596" s="13" t="s">
        <v>17574</v>
      </c>
      <c r="C9596" s="17" t="s">
        <v>170</v>
      </c>
      <c r="D9596" s="13" t="s">
        <v>118</v>
      </c>
      <c r="E9596" s="13" t="s">
        <v>17575</v>
      </c>
      <c r="F9596" s="43">
        <v>0</v>
      </c>
    </row>
    <row r="9597" spans="2:6" x14ac:dyDescent="0.25">
      <c r="B9597" s="13" t="s">
        <v>17576</v>
      </c>
      <c r="C9597" s="17" t="s">
        <v>170</v>
      </c>
      <c r="D9597" s="13" t="s">
        <v>118</v>
      </c>
      <c r="E9597" s="13" t="s">
        <v>17577</v>
      </c>
      <c r="F9597" s="43">
        <v>0</v>
      </c>
    </row>
    <row r="9598" spans="2:6" x14ac:dyDescent="0.25">
      <c r="B9598" s="13" t="s">
        <v>17455</v>
      </c>
      <c r="C9598" s="17" t="s">
        <v>170</v>
      </c>
      <c r="D9598" s="13" t="s">
        <v>118</v>
      </c>
      <c r="E9598" s="13" t="s">
        <v>17455</v>
      </c>
      <c r="F9598" s="43">
        <v>0</v>
      </c>
    </row>
    <row r="9599" spans="2:6" x14ac:dyDescent="0.25">
      <c r="B9599" s="13" t="s">
        <v>17578</v>
      </c>
      <c r="C9599" s="17" t="s">
        <v>170</v>
      </c>
      <c r="D9599" s="13" t="s">
        <v>118</v>
      </c>
      <c r="E9599" s="13" t="s">
        <v>17579</v>
      </c>
      <c r="F9599" s="43">
        <v>127.5</v>
      </c>
    </row>
    <row r="9600" spans="2:6" x14ac:dyDescent="0.25">
      <c r="B9600" s="13" t="s">
        <v>17580</v>
      </c>
      <c r="C9600" s="17" t="s">
        <v>170</v>
      </c>
      <c r="D9600" s="13" t="s">
        <v>118</v>
      </c>
      <c r="E9600" s="13" t="s">
        <v>17581</v>
      </c>
      <c r="F9600" s="43">
        <v>0</v>
      </c>
    </row>
    <row r="9601" spans="2:6" x14ac:dyDescent="0.25">
      <c r="B9601" s="13" t="s">
        <v>17462</v>
      </c>
      <c r="C9601" s="17" t="s">
        <v>170</v>
      </c>
      <c r="D9601" s="13" t="s">
        <v>118</v>
      </c>
      <c r="E9601" s="13" t="s">
        <v>17582</v>
      </c>
      <c r="F9601" s="43">
        <v>0</v>
      </c>
    </row>
    <row r="9602" spans="2:6" x14ac:dyDescent="0.25">
      <c r="B9602" s="13" t="s">
        <v>17583</v>
      </c>
      <c r="C9602" s="17" t="s">
        <v>170</v>
      </c>
      <c r="D9602" s="13" t="s">
        <v>118</v>
      </c>
      <c r="E9602" s="13" t="s">
        <v>17584</v>
      </c>
      <c r="F9602" s="43">
        <v>2259.29</v>
      </c>
    </row>
    <row r="9603" spans="2:6" x14ac:dyDescent="0.25">
      <c r="B9603" s="13" t="s">
        <v>17585</v>
      </c>
      <c r="C9603" s="17" t="s">
        <v>170</v>
      </c>
      <c r="D9603" s="13" t="s">
        <v>118</v>
      </c>
      <c r="E9603" s="13" t="s">
        <v>17586</v>
      </c>
      <c r="F9603" s="43">
        <v>2259.29</v>
      </c>
    </row>
    <row r="9604" spans="2:6" x14ac:dyDescent="0.25">
      <c r="B9604" s="13" t="s">
        <v>17587</v>
      </c>
      <c r="C9604" s="17" t="s">
        <v>170</v>
      </c>
      <c r="D9604" s="13" t="s">
        <v>118</v>
      </c>
      <c r="E9604" s="13" t="s">
        <v>17588</v>
      </c>
      <c r="F9604" s="43">
        <v>2259.29</v>
      </c>
    </row>
    <row r="9605" spans="2:6" x14ac:dyDescent="0.25">
      <c r="B9605" s="13" t="s">
        <v>17589</v>
      </c>
      <c r="C9605" s="17" t="s">
        <v>170</v>
      </c>
      <c r="D9605" s="13" t="s">
        <v>118</v>
      </c>
      <c r="E9605" s="13" t="s">
        <v>17590</v>
      </c>
      <c r="F9605" s="43">
        <v>2259.29</v>
      </c>
    </row>
    <row r="9606" spans="2:6" x14ac:dyDescent="0.25">
      <c r="B9606" s="13" t="s">
        <v>17591</v>
      </c>
      <c r="C9606" s="17" t="s">
        <v>170</v>
      </c>
      <c r="D9606" s="13" t="s">
        <v>118</v>
      </c>
      <c r="E9606" s="13" t="s">
        <v>17592</v>
      </c>
      <c r="F9606" s="43">
        <v>2259.29</v>
      </c>
    </row>
    <row r="9607" spans="2:6" x14ac:dyDescent="0.25">
      <c r="B9607" s="13" t="s">
        <v>17593</v>
      </c>
      <c r="C9607" s="17" t="s">
        <v>170</v>
      </c>
      <c r="D9607" s="13" t="s">
        <v>118</v>
      </c>
      <c r="E9607" s="13" t="s">
        <v>17594</v>
      </c>
      <c r="F9607" s="43">
        <v>2259.29</v>
      </c>
    </row>
    <row r="9608" spans="2:6" x14ac:dyDescent="0.25">
      <c r="B9608" s="13" t="s">
        <v>17595</v>
      </c>
      <c r="C9608" s="17" t="s">
        <v>170</v>
      </c>
      <c r="D9608" s="13" t="s">
        <v>118</v>
      </c>
      <c r="E9608" s="13" t="s">
        <v>17596</v>
      </c>
      <c r="F9608" s="43">
        <v>2259.29</v>
      </c>
    </row>
    <row r="9609" spans="2:6" x14ac:dyDescent="0.25">
      <c r="B9609" s="13" t="s">
        <v>17597</v>
      </c>
      <c r="C9609" s="17" t="s">
        <v>170</v>
      </c>
      <c r="D9609" s="13" t="s">
        <v>118</v>
      </c>
      <c r="E9609" s="13" t="s">
        <v>17598</v>
      </c>
      <c r="F9609" s="43">
        <v>2259.29</v>
      </c>
    </row>
    <row r="9610" spans="2:6" x14ac:dyDescent="0.25">
      <c r="B9610" s="13" t="s">
        <v>17599</v>
      </c>
      <c r="C9610" s="17" t="s">
        <v>170</v>
      </c>
      <c r="D9610" s="13" t="s">
        <v>118</v>
      </c>
      <c r="E9610" s="13" t="s">
        <v>17600</v>
      </c>
      <c r="F9610" s="43">
        <v>2259.29</v>
      </c>
    </row>
    <row r="9611" spans="2:6" x14ac:dyDescent="0.25">
      <c r="B9611" s="13" t="s">
        <v>17601</v>
      </c>
      <c r="C9611" s="17" t="s">
        <v>170</v>
      </c>
      <c r="D9611" s="13" t="s">
        <v>118</v>
      </c>
      <c r="E9611" s="13" t="s">
        <v>17602</v>
      </c>
      <c r="F9611" s="43">
        <v>2259.29</v>
      </c>
    </row>
    <row r="9612" spans="2:6" x14ac:dyDescent="0.25">
      <c r="B9612" s="13" t="s">
        <v>17603</v>
      </c>
      <c r="C9612" s="17" t="s">
        <v>170</v>
      </c>
      <c r="D9612" s="13" t="s">
        <v>118</v>
      </c>
      <c r="E9612" s="13" t="s">
        <v>17604</v>
      </c>
      <c r="F9612" s="43">
        <v>2259.29</v>
      </c>
    </row>
    <row r="9613" spans="2:6" x14ac:dyDescent="0.25">
      <c r="B9613" s="13" t="s">
        <v>17605</v>
      </c>
      <c r="C9613" s="17" t="s">
        <v>170</v>
      </c>
      <c r="D9613" s="13" t="s">
        <v>118</v>
      </c>
      <c r="E9613" s="13" t="s">
        <v>17606</v>
      </c>
      <c r="F9613" s="43">
        <v>2259.29</v>
      </c>
    </row>
    <row r="9614" spans="2:6" x14ac:dyDescent="0.25">
      <c r="B9614" s="13" t="s">
        <v>17607</v>
      </c>
      <c r="C9614" s="17" t="s">
        <v>170</v>
      </c>
      <c r="D9614" s="13" t="s">
        <v>118</v>
      </c>
      <c r="E9614" s="13" t="s">
        <v>17608</v>
      </c>
      <c r="F9614" s="43">
        <v>2259.29</v>
      </c>
    </row>
    <row r="9615" spans="2:6" x14ac:dyDescent="0.25">
      <c r="B9615" s="13" t="s">
        <v>17609</v>
      </c>
      <c r="C9615" s="17" t="s">
        <v>170</v>
      </c>
      <c r="D9615" s="13" t="s">
        <v>118</v>
      </c>
      <c r="E9615" s="13" t="s">
        <v>17610</v>
      </c>
      <c r="F9615" s="43">
        <v>2259.29</v>
      </c>
    </row>
    <row r="9616" spans="2:6" x14ac:dyDescent="0.25">
      <c r="B9616" s="13" t="s">
        <v>17611</v>
      </c>
      <c r="C9616" s="17" t="s">
        <v>170</v>
      </c>
      <c r="D9616" s="13" t="s">
        <v>118</v>
      </c>
      <c r="E9616" s="13" t="s">
        <v>17612</v>
      </c>
      <c r="F9616" s="43">
        <v>2259.29</v>
      </c>
    </row>
    <row r="9617" spans="2:6" x14ac:dyDescent="0.25">
      <c r="B9617" s="13" t="s">
        <v>17613</v>
      </c>
      <c r="C9617" s="17" t="s">
        <v>170</v>
      </c>
      <c r="D9617" s="13" t="s">
        <v>118</v>
      </c>
      <c r="E9617" s="13" t="s">
        <v>17614</v>
      </c>
      <c r="F9617" s="43">
        <v>2259.29</v>
      </c>
    </row>
    <row r="9618" spans="2:6" x14ac:dyDescent="0.25">
      <c r="B9618" s="13" t="s">
        <v>17615</v>
      </c>
      <c r="C9618" s="17" t="s">
        <v>170</v>
      </c>
      <c r="D9618" s="13" t="s">
        <v>118</v>
      </c>
      <c r="E9618" s="13" t="s">
        <v>17616</v>
      </c>
      <c r="F9618" s="43">
        <v>2690.94</v>
      </c>
    </row>
    <row r="9619" spans="2:6" x14ac:dyDescent="0.25">
      <c r="B9619" s="13" t="s">
        <v>17617</v>
      </c>
      <c r="C9619" s="17" t="s">
        <v>170</v>
      </c>
      <c r="D9619" s="13" t="s">
        <v>118</v>
      </c>
      <c r="E9619" s="13" t="s">
        <v>17618</v>
      </c>
      <c r="F9619" s="43">
        <v>2690.94</v>
      </c>
    </row>
    <row r="9620" spans="2:6" x14ac:dyDescent="0.25">
      <c r="B9620" s="13" t="s">
        <v>17619</v>
      </c>
      <c r="C9620" s="17" t="s">
        <v>170</v>
      </c>
      <c r="D9620" s="13" t="s">
        <v>118</v>
      </c>
      <c r="E9620" s="13" t="s">
        <v>17620</v>
      </c>
      <c r="F9620" s="43">
        <v>2690.94</v>
      </c>
    </row>
    <row r="9621" spans="2:6" x14ac:dyDescent="0.25">
      <c r="B9621" s="13" t="s">
        <v>17621</v>
      </c>
      <c r="C9621" s="17" t="s">
        <v>170</v>
      </c>
      <c r="D9621" s="13" t="s">
        <v>118</v>
      </c>
      <c r="E9621" s="13" t="s">
        <v>17622</v>
      </c>
      <c r="F9621" s="43">
        <v>2690.94</v>
      </c>
    </row>
    <row r="9622" spans="2:6" x14ac:dyDescent="0.25">
      <c r="B9622" s="13" t="s">
        <v>17623</v>
      </c>
      <c r="C9622" s="17" t="s">
        <v>170</v>
      </c>
      <c r="D9622" s="13" t="s">
        <v>118</v>
      </c>
      <c r="E9622" s="13" t="s">
        <v>17624</v>
      </c>
      <c r="F9622" s="43">
        <v>2690.94</v>
      </c>
    </row>
    <row r="9623" spans="2:6" x14ac:dyDescent="0.25">
      <c r="B9623" s="13" t="s">
        <v>17625</v>
      </c>
      <c r="C9623" s="17" t="s">
        <v>170</v>
      </c>
      <c r="D9623" s="13" t="s">
        <v>118</v>
      </c>
      <c r="E9623" s="13" t="s">
        <v>17626</v>
      </c>
      <c r="F9623" s="43">
        <v>2690.94</v>
      </c>
    </row>
    <row r="9624" spans="2:6" x14ac:dyDescent="0.25">
      <c r="B9624" s="13" t="s">
        <v>17627</v>
      </c>
      <c r="C9624" s="17" t="s">
        <v>170</v>
      </c>
      <c r="D9624" s="13" t="s">
        <v>118</v>
      </c>
      <c r="E9624" s="13" t="s">
        <v>17628</v>
      </c>
      <c r="F9624" s="43">
        <v>2690.94</v>
      </c>
    </row>
    <row r="9625" spans="2:6" x14ac:dyDescent="0.25">
      <c r="B9625" s="13" t="s">
        <v>17629</v>
      </c>
      <c r="C9625" s="17" t="s">
        <v>170</v>
      </c>
      <c r="D9625" s="13" t="s">
        <v>118</v>
      </c>
      <c r="E9625" s="13" t="s">
        <v>17630</v>
      </c>
      <c r="F9625" s="43">
        <v>2690.94</v>
      </c>
    </row>
    <row r="9626" spans="2:6" x14ac:dyDescent="0.25">
      <c r="B9626" s="13" t="s">
        <v>17631</v>
      </c>
      <c r="C9626" s="17" t="s">
        <v>170</v>
      </c>
      <c r="D9626" s="13" t="s">
        <v>118</v>
      </c>
      <c r="E9626" s="13" t="s">
        <v>17632</v>
      </c>
      <c r="F9626" s="43">
        <v>2690.94</v>
      </c>
    </row>
    <row r="9627" spans="2:6" x14ac:dyDescent="0.25">
      <c r="B9627" s="13" t="s">
        <v>17633</v>
      </c>
      <c r="C9627" s="17" t="s">
        <v>170</v>
      </c>
      <c r="D9627" s="13" t="s">
        <v>118</v>
      </c>
      <c r="E9627" s="13" t="s">
        <v>17634</v>
      </c>
      <c r="F9627" s="43">
        <v>2690.94</v>
      </c>
    </row>
    <row r="9628" spans="2:6" x14ac:dyDescent="0.25">
      <c r="B9628" s="13" t="s">
        <v>17635</v>
      </c>
      <c r="C9628" s="17" t="s">
        <v>170</v>
      </c>
      <c r="D9628" s="13" t="s">
        <v>118</v>
      </c>
      <c r="E9628" s="13" t="s">
        <v>17636</v>
      </c>
      <c r="F9628" s="43">
        <v>2690.94</v>
      </c>
    </row>
    <row r="9629" spans="2:6" x14ac:dyDescent="0.25">
      <c r="B9629" s="13" t="s">
        <v>17637</v>
      </c>
      <c r="C9629" s="17" t="s">
        <v>170</v>
      </c>
      <c r="D9629" s="13" t="s">
        <v>118</v>
      </c>
      <c r="E9629" s="13" t="s">
        <v>17638</v>
      </c>
      <c r="F9629" s="43">
        <v>2690.94</v>
      </c>
    </row>
    <row r="9630" spans="2:6" x14ac:dyDescent="0.25">
      <c r="B9630" s="13" t="s">
        <v>17639</v>
      </c>
      <c r="C9630" s="17" t="s">
        <v>170</v>
      </c>
      <c r="D9630" s="13" t="s">
        <v>118</v>
      </c>
      <c r="E9630" s="13" t="s">
        <v>17640</v>
      </c>
      <c r="F9630" s="43">
        <v>2690.94</v>
      </c>
    </row>
    <row r="9631" spans="2:6" x14ac:dyDescent="0.25">
      <c r="B9631" s="13" t="s">
        <v>17641</v>
      </c>
      <c r="C9631" s="17" t="s">
        <v>170</v>
      </c>
      <c r="D9631" s="13" t="s">
        <v>118</v>
      </c>
      <c r="E9631" s="13" t="s">
        <v>17642</v>
      </c>
      <c r="F9631" s="43">
        <v>2690.94</v>
      </c>
    </row>
    <row r="9632" spans="2:6" x14ac:dyDescent="0.25">
      <c r="B9632" s="13" t="s">
        <v>17643</v>
      </c>
      <c r="C9632" s="17" t="s">
        <v>170</v>
      </c>
      <c r="D9632" s="13" t="s">
        <v>118</v>
      </c>
      <c r="E9632" s="13" t="s">
        <v>17644</v>
      </c>
      <c r="F9632" s="43">
        <v>2690.94</v>
      </c>
    </row>
    <row r="9633" spans="2:6" x14ac:dyDescent="0.25">
      <c r="B9633" s="13" t="s">
        <v>17645</v>
      </c>
      <c r="C9633" s="17" t="s">
        <v>170</v>
      </c>
      <c r="D9633" s="13" t="s">
        <v>118</v>
      </c>
      <c r="E9633" s="13" t="s">
        <v>17646</v>
      </c>
      <c r="F9633" s="43">
        <v>2690.94</v>
      </c>
    </row>
    <row r="9634" spans="2:6" x14ac:dyDescent="0.25">
      <c r="B9634" s="13" t="s">
        <v>17647</v>
      </c>
      <c r="C9634" s="17" t="s">
        <v>170</v>
      </c>
      <c r="D9634" s="13" t="s">
        <v>118</v>
      </c>
      <c r="E9634" s="13" t="s">
        <v>17648</v>
      </c>
      <c r="F9634" s="43">
        <v>2259.29</v>
      </c>
    </row>
    <row r="9635" spans="2:6" x14ac:dyDescent="0.25">
      <c r="B9635" s="13" t="s">
        <v>17649</v>
      </c>
      <c r="C9635" s="17" t="s">
        <v>170</v>
      </c>
      <c r="D9635" s="13" t="s">
        <v>118</v>
      </c>
      <c r="E9635" s="13" t="s">
        <v>17650</v>
      </c>
      <c r="F9635" s="43">
        <v>2259.29</v>
      </c>
    </row>
    <row r="9636" spans="2:6" x14ac:dyDescent="0.25">
      <c r="B9636" s="13" t="s">
        <v>17651</v>
      </c>
      <c r="C9636" s="17" t="s">
        <v>170</v>
      </c>
      <c r="D9636" s="13" t="s">
        <v>118</v>
      </c>
      <c r="E9636" s="13" t="s">
        <v>17652</v>
      </c>
      <c r="F9636" s="43">
        <v>2259.29</v>
      </c>
    </row>
    <row r="9637" spans="2:6" x14ac:dyDescent="0.25">
      <c r="B9637" s="13" t="s">
        <v>17653</v>
      </c>
      <c r="C9637" s="17" t="s">
        <v>170</v>
      </c>
      <c r="D9637" s="13" t="s">
        <v>118</v>
      </c>
      <c r="E9637" s="13" t="s">
        <v>17654</v>
      </c>
      <c r="F9637" s="43">
        <v>2259.29</v>
      </c>
    </row>
    <row r="9638" spans="2:6" x14ac:dyDescent="0.25">
      <c r="B9638" s="13" t="s">
        <v>17655</v>
      </c>
      <c r="C9638" s="17" t="s">
        <v>170</v>
      </c>
      <c r="D9638" s="13" t="s">
        <v>118</v>
      </c>
      <c r="E9638" s="13" t="s">
        <v>17656</v>
      </c>
      <c r="F9638" s="43">
        <v>2259.29</v>
      </c>
    </row>
    <row r="9639" spans="2:6" x14ac:dyDescent="0.25">
      <c r="B9639" s="13" t="s">
        <v>17657</v>
      </c>
      <c r="C9639" s="17" t="s">
        <v>170</v>
      </c>
      <c r="D9639" s="13" t="s">
        <v>118</v>
      </c>
      <c r="E9639" s="13" t="s">
        <v>17658</v>
      </c>
      <c r="F9639" s="43">
        <v>2259.29</v>
      </c>
    </row>
    <row r="9640" spans="2:6" x14ac:dyDescent="0.25">
      <c r="B9640" s="13" t="s">
        <v>17659</v>
      </c>
      <c r="C9640" s="17" t="s">
        <v>170</v>
      </c>
      <c r="D9640" s="13" t="s">
        <v>118</v>
      </c>
      <c r="E9640" s="13" t="s">
        <v>17660</v>
      </c>
      <c r="F9640" s="43">
        <v>2259.29</v>
      </c>
    </row>
    <row r="9641" spans="2:6" x14ac:dyDescent="0.25">
      <c r="B9641" s="13" t="s">
        <v>17661</v>
      </c>
      <c r="C9641" s="17" t="s">
        <v>170</v>
      </c>
      <c r="D9641" s="13" t="s">
        <v>118</v>
      </c>
      <c r="E9641" s="13" t="s">
        <v>17662</v>
      </c>
      <c r="F9641" s="43">
        <v>2259.29</v>
      </c>
    </row>
    <row r="9642" spans="2:6" x14ac:dyDescent="0.25">
      <c r="B9642" s="13" t="s">
        <v>17663</v>
      </c>
      <c r="C9642" s="17" t="s">
        <v>170</v>
      </c>
      <c r="D9642" s="13" t="s">
        <v>118</v>
      </c>
      <c r="E9642" s="13" t="s">
        <v>17664</v>
      </c>
      <c r="F9642" s="43">
        <v>2259.29</v>
      </c>
    </row>
    <row r="9643" spans="2:6" x14ac:dyDescent="0.25">
      <c r="B9643" s="13" t="s">
        <v>17665</v>
      </c>
      <c r="C9643" s="17" t="s">
        <v>170</v>
      </c>
      <c r="D9643" s="13" t="s">
        <v>118</v>
      </c>
      <c r="E9643" s="13" t="s">
        <v>17666</v>
      </c>
      <c r="F9643" s="43">
        <v>2259.29</v>
      </c>
    </row>
    <row r="9644" spans="2:6" x14ac:dyDescent="0.25">
      <c r="B9644" s="13" t="s">
        <v>17667</v>
      </c>
      <c r="C9644" s="17" t="s">
        <v>170</v>
      </c>
      <c r="D9644" s="13" t="s">
        <v>118</v>
      </c>
      <c r="E9644" s="13" t="s">
        <v>17668</v>
      </c>
      <c r="F9644" s="43">
        <v>2259.29</v>
      </c>
    </row>
    <row r="9645" spans="2:6" x14ac:dyDescent="0.25">
      <c r="B9645" s="13" t="s">
        <v>17669</v>
      </c>
      <c r="C9645" s="17" t="s">
        <v>170</v>
      </c>
      <c r="D9645" s="13" t="s">
        <v>118</v>
      </c>
      <c r="E9645" s="13" t="s">
        <v>17670</v>
      </c>
      <c r="F9645" s="43">
        <v>2259.29</v>
      </c>
    </row>
    <row r="9646" spans="2:6" x14ac:dyDescent="0.25">
      <c r="B9646" s="13" t="s">
        <v>17671</v>
      </c>
      <c r="C9646" s="17" t="s">
        <v>170</v>
      </c>
      <c r="D9646" s="13" t="s">
        <v>118</v>
      </c>
      <c r="E9646" s="13" t="s">
        <v>17672</v>
      </c>
      <c r="F9646" s="43">
        <v>2259.29</v>
      </c>
    </row>
    <row r="9647" spans="2:6" x14ac:dyDescent="0.25">
      <c r="B9647" s="13" t="s">
        <v>17673</v>
      </c>
      <c r="C9647" s="17" t="s">
        <v>170</v>
      </c>
      <c r="D9647" s="13" t="s">
        <v>118</v>
      </c>
      <c r="E9647" s="13" t="s">
        <v>17674</v>
      </c>
      <c r="F9647" s="43">
        <v>2259.29</v>
      </c>
    </row>
    <row r="9648" spans="2:6" x14ac:dyDescent="0.25">
      <c r="B9648" s="13" t="s">
        <v>17675</v>
      </c>
      <c r="C9648" s="17" t="s">
        <v>170</v>
      </c>
      <c r="D9648" s="13" t="s">
        <v>118</v>
      </c>
      <c r="E9648" s="13" t="s">
        <v>17676</v>
      </c>
      <c r="F9648" s="43">
        <v>2259.29</v>
      </c>
    </row>
    <row r="9649" spans="2:6" x14ac:dyDescent="0.25">
      <c r="B9649" s="13" t="s">
        <v>17677</v>
      </c>
      <c r="C9649" s="17" t="s">
        <v>170</v>
      </c>
      <c r="D9649" s="13" t="s">
        <v>118</v>
      </c>
      <c r="E9649" s="13" t="s">
        <v>17678</v>
      </c>
      <c r="F9649" s="43">
        <v>2259.29</v>
      </c>
    </row>
    <row r="9650" spans="2:6" x14ac:dyDescent="0.25">
      <c r="B9650" s="13" t="s">
        <v>17679</v>
      </c>
      <c r="C9650" s="17" t="s">
        <v>170</v>
      </c>
      <c r="D9650" s="13" t="s">
        <v>118</v>
      </c>
      <c r="E9650" s="13" t="s">
        <v>17680</v>
      </c>
      <c r="F9650" s="43">
        <v>2690.94</v>
      </c>
    </row>
    <row r="9651" spans="2:6" x14ac:dyDescent="0.25">
      <c r="B9651" s="13" t="s">
        <v>17681</v>
      </c>
      <c r="C9651" s="17" t="s">
        <v>170</v>
      </c>
      <c r="D9651" s="13" t="s">
        <v>118</v>
      </c>
      <c r="E9651" s="13" t="s">
        <v>17682</v>
      </c>
      <c r="F9651" s="43">
        <v>2690.94</v>
      </c>
    </row>
    <row r="9652" spans="2:6" x14ac:dyDescent="0.25">
      <c r="B9652" s="13" t="s">
        <v>17683</v>
      </c>
      <c r="C9652" s="17" t="s">
        <v>170</v>
      </c>
      <c r="D9652" s="13" t="s">
        <v>118</v>
      </c>
      <c r="E9652" s="13" t="s">
        <v>17684</v>
      </c>
      <c r="F9652" s="43">
        <v>2690.94</v>
      </c>
    </row>
    <row r="9653" spans="2:6" x14ac:dyDescent="0.25">
      <c r="B9653" s="13" t="s">
        <v>17685</v>
      </c>
      <c r="C9653" s="17" t="s">
        <v>170</v>
      </c>
      <c r="D9653" s="13" t="s">
        <v>118</v>
      </c>
      <c r="E9653" s="13" t="s">
        <v>17686</v>
      </c>
      <c r="F9653" s="43">
        <v>2690.94</v>
      </c>
    </row>
    <row r="9654" spans="2:6" x14ac:dyDescent="0.25">
      <c r="B9654" s="13" t="s">
        <v>17687</v>
      </c>
      <c r="C9654" s="17" t="s">
        <v>170</v>
      </c>
      <c r="D9654" s="13" t="s">
        <v>118</v>
      </c>
      <c r="E9654" s="13" t="s">
        <v>17688</v>
      </c>
      <c r="F9654" s="43">
        <v>2690.94</v>
      </c>
    </row>
    <row r="9655" spans="2:6" x14ac:dyDescent="0.25">
      <c r="B9655" s="13" t="s">
        <v>17689</v>
      </c>
      <c r="C9655" s="17" t="s">
        <v>170</v>
      </c>
      <c r="D9655" s="13" t="s">
        <v>118</v>
      </c>
      <c r="E9655" s="13" t="s">
        <v>17690</v>
      </c>
      <c r="F9655" s="43">
        <v>2690.94</v>
      </c>
    </row>
    <row r="9656" spans="2:6" x14ac:dyDescent="0.25">
      <c r="B9656" s="13" t="s">
        <v>17691</v>
      </c>
      <c r="C9656" s="17" t="s">
        <v>170</v>
      </c>
      <c r="D9656" s="13" t="s">
        <v>118</v>
      </c>
      <c r="E9656" s="13" t="s">
        <v>17692</v>
      </c>
      <c r="F9656" s="43">
        <v>2690.94</v>
      </c>
    </row>
    <row r="9657" spans="2:6" x14ac:dyDescent="0.25">
      <c r="B9657" s="13" t="s">
        <v>17693</v>
      </c>
      <c r="C9657" s="17" t="s">
        <v>170</v>
      </c>
      <c r="D9657" s="13" t="s">
        <v>118</v>
      </c>
      <c r="E9657" s="13" t="s">
        <v>17694</v>
      </c>
      <c r="F9657" s="43">
        <v>2690.94</v>
      </c>
    </row>
    <row r="9658" spans="2:6" x14ac:dyDescent="0.25">
      <c r="B9658" s="13" t="s">
        <v>17695</v>
      </c>
      <c r="C9658" s="17" t="s">
        <v>170</v>
      </c>
      <c r="D9658" s="13" t="s">
        <v>118</v>
      </c>
      <c r="E9658" s="13" t="s">
        <v>17696</v>
      </c>
      <c r="F9658" s="43">
        <v>2690.94</v>
      </c>
    </row>
    <row r="9659" spans="2:6" x14ac:dyDescent="0.25">
      <c r="B9659" s="13" t="s">
        <v>17697</v>
      </c>
      <c r="C9659" s="17" t="s">
        <v>170</v>
      </c>
      <c r="D9659" s="13" t="s">
        <v>118</v>
      </c>
      <c r="E9659" s="13" t="s">
        <v>17698</v>
      </c>
      <c r="F9659" s="43">
        <v>2690.94</v>
      </c>
    </row>
    <row r="9660" spans="2:6" x14ac:dyDescent="0.25">
      <c r="B9660" s="13" t="s">
        <v>17699</v>
      </c>
      <c r="C9660" s="17" t="s">
        <v>170</v>
      </c>
      <c r="D9660" s="13" t="s">
        <v>118</v>
      </c>
      <c r="E9660" s="13" t="s">
        <v>17700</v>
      </c>
      <c r="F9660" s="43">
        <v>2690.94</v>
      </c>
    </row>
    <row r="9661" spans="2:6" x14ac:dyDescent="0.25">
      <c r="B9661" s="13" t="s">
        <v>17701</v>
      </c>
      <c r="C9661" s="17" t="s">
        <v>170</v>
      </c>
      <c r="D9661" s="13" t="s">
        <v>118</v>
      </c>
      <c r="E9661" s="13" t="s">
        <v>17702</v>
      </c>
      <c r="F9661" s="43">
        <v>2690.94</v>
      </c>
    </row>
    <row r="9662" spans="2:6" x14ac:dyDescent="0.25">
      <c r="B9662" s="13" t="s">
        <v>17703</v>
      </c>
      <c r="C9662" s="17" t="s">
        <v>170</v>
      </c>
      <c r="D9662" s="13" t="s">
        <v>118</v>
      </c>
      <c r="E9662" s="13" t="s">
        <v>17704</v>
      </c>
      <c r="F9662" s="43">
        <v>2690.94</v>
      </c>
    </row>
    <row r="9663" spans="2:6" x14ac:dyDescent="0.25">
      <c r="B9663" s="13" t="s">
        <v>17705</v>
      </c>
      <c r="C9663" s="17" t="s">
        <v>170</v>
      </c>
      <c r="D9663" s="13" t="s">
        <v>118</v>
      </c>
      <c r="E9663" s="13" t="s">
        <v>17706</v>
      </c>
      <c r="F9663" s="43">
        <v>2690.94</v>
      </c>
    </row>
    <row r="9664" spans="2:6" x14ac:dyDescent="0.25">
      <c r="B9664" s="13" t="s">
        <v>17707</v>
      </c>
      <c r="C9664" s="17" t="s">
        <v>170</v>
      </c>
      <c r="D9664" s="13" t="s">
        <v>118</v>
      </c>
      <c r="E9664" s="13" t="s">
        <v>17708</v>
      </c>
      <c r="F9664" s="43">
        <v>2690.94</v>
      </c>
    </row>
    <row r="9665" spans="2:6" x14ac:dyDescent="0.25">
      <c r="B9665" s="13" t="s">
        <v>17709</v>
      </c>
      <c r="C9665" s="17" t="s">
        <v>170</v>
      </c>
      <c r="D9665" s="13" t="s">
        <v>118</v>
      </c>
      <c r="E9665" s="13" t="s">
        <v>17710</v>
      </c>
      <c r="F9665" s="43">
        <v>2690.94</v>
      </c>
    </row>
    <row r="9666" spans="2:6" x14ac:dyDescent="0.25">
      <c r="B9666" s="13" t="s">
        <v>17711</v>
      </c>
      <c r="C9666" s="17" t="s">
        <v>170</v>
      </c>
      <c r="D9666" s="13" t="s">
        <v>118</v>
      </c>
      <c r="E9666" s="13" t="s">
        <v>17712</v>
      </c>
      <c r="F9666" s="43">
        <v>86.39</v>
      </c>
    </row>
    <row r="9667" spans="2:6" x14ac:dyDescent="0.25">
      <c r="B9667" s="13" t="s">
        <v>17713</v>
      </c>
      <c r="C9667" s="17" t="s">
        <v>170</v>
      </c>
      <c r="D9667" s="13" t="s">
        <v>118</v>
      </c>
      <c r="E9667" s="13"/>
      <c r="F9667" s="43">
        <v>0</v>
      </c>
    </row>
    <row r="9668" spans="2:6" x14ac:dyDescent="0.25">
      <c r="B9668" s="13" t="s">
        <v>17368</v>
      </c>
      <c r="C9668" s="17" t="s">
        <v>170</v>
      </c>
      <c r="D9668" s="13" t="s">
        <v>118</v>
      </c>
      <c r="E9668" s="13" t="s">
        <v>17368</v>
      </c>
      <c r="F9668" s="43">
        <v>0</v>
      </c>
    </row>
    <row r="9669" spans="2:6" x14ac:dyDescent="0.25">
      <c r="B9669" s="13">
        <v>1</v>
      </c>
      <c r="C9669" s="17" t="s">
        <v>170</v>
      </c>
      <c r="D9669" s="13" t="s">
        <v>118</v>
      </c>
      <c r="E9669" s="13" t="s">
        <v>17714</v>
      </c>
      <c r="F9669" s="43">
        <v>0</v>
      </c>
    </row>
    <row r="9670" spans="2:6" x14ac:dyDescent="0.25">
      <c r="B9670" s="13" t="s">
        <v>17370</v>
      </c>
      <c r="C9670" s="17" t="s">
        <v>170</v>
      </c>
      <c r="D9670" s="13" t="s">
        <v>118</v>
      </c>
      <c r="E9670" s="13" t="s">
        <v>17715</v>
      </c>
      <c r="F9670" s="43">
        <v>413.1</v>
      </c>
    </row>
    <row r="9671" spans="2:6" x14ac:dyDescent="0.25">
      <c r="B9671" s="13">
        <v>2</v>
      </c>
      <c r="C9671" s="17" t="s">
        <v>170</v>
      </c>
      <c r="D9671" s="13" t="s">
        <v>118</v>
      </c>
      <c r="E9671" s="13" t="s">
        <v>17716</v>
      </c>
      <c r="F9671" s="43">
        <v>0</v>
      </c>
    </row>
    <row r="9672" spans="2:6" x14ac:dyDescent="0.25">
      <c r="B9672" s="13" t="s">
        <v>17372</v>
      </c>
      <c r="C9672" s="17" t="s">
        <v>170</v>
      </c>
      <c r="D9672" s="13" t="s">
        <v>118</v>
      </c>
      <c r="E9672" s="13" t="s">
        <v>17717</v>
      </c>
      <c r="F9672" s="43">
        <v>413.1</v>
      </c>
    </row>
    <row r="9673" spans="2:6" x14ac:dyDescent="0.25">
      <c r="B9673" s="13" t="s">
        <v>17524</v>
      </c>
      <c r="C9673" s="17" t="s">
        <v>170</v>
      </c>
      <c r="D9673" s="13" t="s">
        <v>118</v>
      </c>
      <c r="E9673" s="13" t="s">
        <v>17524</v>
      </c>
      <c r="F9673" s="43">
        <v>0</v>
      </c>
    </row>
    <row r="9674" spans="2:6" x14ac:dyDescent="0.25">
      <c r="B9674" s="13" t="s">
        <v>17574</v>
      </c>
      <c r="C9674" s="17" t="s">
        <v>170</v>
      </c>
      <c r="D9674" s="13" t="s">
        <v>118</v>
      </c>
      <c r="E9674" s="13" t="s">
        <v>17718</v>
      </c>
      <c r="F9674" s="43">
        <v>0</v>
      </c>
    </row>
    <row r="9675" spans="2:6" x14ac:dyDescent="0.25">
      <c r="B9675" s="13" t="s">
        <v>17719</v>
      </c>
      <c r="C9675" s="17" t="s">
        <v>170</v>
      </c>
      <c r="D9675" s="13" t="s">
        <v>118</v>
      </c>
      <c r="E9675" s="13" t="s">
        <v>17720</v>
      </c>
      <c r="F9675" s="43">
        <v>0</v>
      </c>
    </row>
    <row r="9676" spans="2:6" x14ac:dyDescent="0.25">
      <c r="B9676" s="13" t="s">
        <v>17721</v>
      </c>
      <c r="C9676" s="17" t="s">
        <v>170</v>
      </c>
      <c r="D9676" s="13" t="s">
        <v>118</v>
      </c>
      <c r="E9676" s="13" t="s">
        <v>17722</v>
      </c>
      <c r="F9676" s="43">
        <v>0</v>
      </c>
    </row>
    <row r="9677" spans="2:6" x14ac:dyDescent="0.25">
      <c r="B9677" s="13" t="s">
        <v>17376</v>
      </c>
      <c r="C9677" s="17" t="s">
        <v>170</v>
      </c>
      <c r="D9677" s="13" t="s">
        <v>118</v>
      </c>
      <c r="E9677" s="13" t="s">
        <v>17376</v>
      </c>
      <c r="F9677" s="43">
        <v>0</v>
      </c>
    </row>
    <row r="9678" spans="2:6" x14ac:dyDescent="0.25">
      <c r="B9678" s="13" t="s">
        <v>17723</v>
      </c>
      <c r="C9678" s="17" t="s">
        <v>170</v>
      </c>
      <c r="D9678" s="13" t="s">
        <v>118</v>
      </c>
      <c r="E9678" s="13" t="s">
        <v>17724</v>
      </c>
      <c r="F9678" s="43">
        <v>3139.56</v>
      </c>
    </row>
    <row r="9679" spans="2:6" x14ac:dyDescent="0.25">
      <c r="B9679" s="13" t="s">
        <v>17725</v>
      </c>
      <c r="C9679" s="17" t="s">
        <v>170</v>
      </c>
      <c r="D9679" s="13" t="s">
        <v>118</v>
      </c>
      <c r="E9679" s="13" t="s">
        <v>17726</v>
      </c>
      <c r="F9679" s="43">
        <v>3139.56</v>
      </c>
    </row>
    <row r="9680" spans="2:6" x14ac:dyDescent="0.25">
      <c r="B9680" s="13" t="s">
        <v>17727</v>
      </c>
      <c r="C9680" s="17" t="s">
        <v>170</v>
      </c>
      <c r="D9680" s="13" t="s">
        <v>118</v>
      </c>
      <c r="E9680" s="13" t="s">
        <v>17728</v>
      </c>
      <c r="F9680" s="43">
        <v>3139.56</v>
      </c>
    </row>
    <row r="9681" spans="2:6" x14ac:dyDescent="0.25">
      <c r="B9681" s="13" t="s">
        <v>17729</v>
      </c>
      <c r="C9681" s="17" t="s">
        <v>170</v>
      </c>
      <c r="D9681" s="13" t="s">
        <v>118</v>
      </c>
      <c r="E9681" s="13" t="s">
        <v>17730</v>
      </c>
      <c r="F9681" s="43">
        <v>3139.56</v>
      </c>
    </row>
    <row r="9682" spans="2:6" x14ac:dyDescent="0.25">
      <c r="B9682" s="13" t="s">
        <v>17731</v>
      </c>
      <c r="C9682" s="17" t="s">
        <v>170</v>
      </c>
      <c r="D9682" s="13" t="s">
        <v>118</v>
      </c>
      <c r="E9682" s="13" t="s">
        <v>17732</v>
      </c>
      <c r="F9682" s="43">
        <v>3139.56</v>
      </c>
    </row>
    <row r="9683" spans="2:6" x14ac:dyDescent="0.25">
      <c r="B9683" s="13" t="s">
        <v>17733</v>
      </c>
      <c r="C9683" s="17" t="s">
        <v>170</v>
      </c>
      <c r="D9683" s="13" t="s">
        <v>118</v>
      </c>
      <c r="E9683" s="13" t="s">
        <v>17734</v>
      </c>
      <c r="F9683" s="43">
        <v>3139.56</v>
      </c>
    </row>
    <row r="9684" spans="2:6" x14ac:dyDescent="0.25">
      <c r="B9684" s="13" t="s">
        <v>17735</v>
      </c>
      <c r="C9684" s="17" t="s">
        <v>170</v>
      </c>
      <c r="D9684" s="13" t="s">
        <v>118</v>
      </c>
      <c r="E9684" s="13" t="s">
        <v>17736</v>
      </c>
      <c r="F9684" s="43">
        <v>3139.56</v>
      </c>
    </row>
    <row r="9685" spans="2:6" x14ac:dyDescent="0.25">
      <c r="B9685" s="13" t="s">
        <v>17737</v>
      </c>
      <c r="C9685" s="17" t="s">
        <v>170</v>
      </c>
      <c r="D9685" s="13" t="s">
        <v>118</v>
      </c>
      <c r="E9685" s="13" t="s">
        <v>17738</v>
      </c>
      <c r="F9685" s="43">
        <v>2891.7</v>
      </c>
    </row>
    <row r="9686" spans="2:6" x14ac:dyDescent="0.25">
      <c r="B9686" s="13" t="s">
        <v>17739</v>
      </c>
      <c r="C9686" s="17" t="s">
        <v>170</v>
      </c>
      <c r="D9686" s="13" t="s">
        <v>118</v>
      </c>
      <c r="E9686" s="13" t="s">
        <v>17740</v>
      </c>
      <c r="F9686" s="43">
        <v>2891.7</v>
      </c>
    </row>
    <row r="9687" spans="2:6" x14ac:dyDescent="0.25">
      <c r="B9687" s="13" t="s">
        <v>17741</v>
      </c>
      <c r="C9687" s="17" t="s">
        <v>170</v>
      </c>
      <c r="D9687" s="13" t="s">
        <v>118</v>
      </c>
      <c r="E9687" s="13" t="s">
        <v>17742</v>
      </c>
      <c r="F9687" s="43">
        <v>2643.84</v>
      </c>
    </row>
    <row r="9688" spans="2:6" x14ac:dyDescent="0.25">
      <c r="B9688" s="13" t="s">
        <v>17743</v>
      </c>
      <c r="C9688" s="17" t="s">
        <v>170</v>
      </c>
      <c r="D9688" s="13" t="s">
        <v>118</v>
      </c>
      <c r="E9688" s="13" t="s">
        <v>17744</v>
      </c>
      <c r="F9688" s="43">
        <v>2643.84</v>
      </c>
    </row>
    <row r="9689" spans="2:6" x14ac:dyDescent="0.25">
      <c r="B9689" s="13" t="s">
        <v>17745</v>
      </c>
      <c r="C9689" s="17" t="s">
        <v>170</v>
      </c>
      <c r="D9689" s="13" t="s">
        <v>118</v>
      </c>
      <c r="E9689" s="13" t="s">
        <v>17746</v>
      </c>
      <c r="F9689" s="43">
        <v>2643.84</v>
      </c>
    </row>
    <row r="9690" spans="2:6" x14ac:dyDescent="0.25">
      <c r="B9690" s="13" t="s">
        <v>17747</v>
      </c>
      <c r="C9690" s="17" t="s">
        <v>170</v>
      </c>
      <c r="D9690" s="13" t="s">
        <v>118</v>
      </c>
      <c r="E9690" s="13" t="s">
        <v>17748</v>
      </c>
      <c r="F9690" s="43">
        <v>2643.84</v>
      </c>
    </row>
    <row r="9691" spans="2:6" x14ac:dyDescent="0.25">
      <c r="B9691" s="13" t="s">
        <v>17749</v>
      </c>
      <c r="C9691" s="17" t="s">
        <v>170</v>
      </c>
      <c r="D9691" s="13" t="s">
        <v>118</v>
      </c>
      <c r="E9691" s="13" t="s">
        <v>17750</v>
      </c>
      <c r="F9691" s="43">
        <v>2643.84</v>
      </c>
    </row>
    <row r="9692" spans="2:6" x14ac:dyDescent="0.25">
      <c r="B9692" s="13" t="s">
        <v>17751</v>
      </c>
      <c r="C9692" s="17" t="s">
        <v>170</v>
      </c>
      <c r="D9692" s="13" t="s">
        <v>118</v>
      </c>
      <c r="E9692" s="13" t="s">
        <v>17752</v>
      </c>
      <c r="F9692" s="43">
        <v>2643.84</v>
      </c>
    </row>
    <row r="9693" spans="2:6" x14ac:dyDescent="0.25">
      <c r="B9693" s="13" t="s">
        <v>17753</v>
      </c>
      <c r="C9693" s="17" t="s">
        <v>170</v>
      </c>
      <c r="D9693" s="13" t="s">
        <v>118</v>
      </c>
      <c r="E9693" s="13" t="s">
        <v>17754</v>
      </c>
      <c r="F9693" s="43">
        <v>2643.84</v>
      </c>
    </row>
    <row r="9694" spans="2:6" x14ac:dyDescent="0.25">
      <c r="B9694" s="13" t="s">
        <v>17411</v>
      </c>
      <c r="C9694" s="17" t="s">
        <v>170</v>
      </c>
      <c r="D9694" s="13" t="s">
        <v>118</v>
      </c>
      <c r="E9694" s="13" t="s">
        <v>17411</v>
      </c>
      <c r="F9694" s="43">
        <v>0</v>
      </c>
    </row>
    <row r="9695" spans="2:6" x14ac:dyDescent="0.25">
      <c r="B9695" s="13" t="s">
        <v>17412</v>
      </c>
      <c r="C9695" s="17" t="s">
        <v>170</v>
      </c>
      <c r="D9695" s="13" t="s">
        <v>118</v>
      </c>
      <c r="E9695" s="13" t="s">
        <v>17755</v>
      </c>
      <c r="F9695" s="43">
        <v>0</v>
      </c>
    </row>
    <row r="9696" spans="2:6" x14ac:dyDescent="0.25">
      <c r="B9696" s="13" t="s">
        <v>17414</v>
      </c>
      <c r="C9696" s="17" t="s">
        <v>170</v>
      </c>
      <c r="D9696" s="13" t="s">
        <v>118</v>
      </c>
      <c r="E9696" s="13" t="s">
        <v>17756</v>
      </c>
      <c r="F9696" s="43">
        <v>2643.84</v>
      </c>
    </row>
    <row r="9697" spans="2:6" x14ac:dyDescent="0.25">
      <c r="B9697" s="13" t="s">
        <v>17416</v>
      </c>
      <c r="C9697" s="17" t="s">
        <v>170</v>
      </c>
      <c r="D9697" s="13" t="s">
        <v>118</v>
      </c>
      <c r="E9697" s="13" t="s">
        <v>17416</v>
      </c>
      <c r="F9697" s="43">
        <v>0</v>
      </c>
    </row>
    <row r="9698" spans="2:6" x14ac:dyDescent="0.25">
      <c r="B9698" s="13">
        <v>2</v>
      </c>
      <c r="C9698" s="17" t="s">
        <v>170</v>
      </c>
      <c r="D9698" s="13" t="s">
        <v>118</v>
      </c>
      <c r="E9698" s="13" t="s">
        <v>17757</v>
      </c>
      <c r="F9698" s="43">
        <v>0</v>
      </c>
    </row>
    <row r="9699" spans="2:6" x14ac:dyDescent="0.25">
      <c r="B9699" s="13">
        <v>5</v>
      </c>
      <c r="C9699" s="17" t="s">
        <v>170</v>
      </c>
      <c r="D9699" s="13" t="s">
        <v>118</v>
      </c>
      <c r="E9699" s="13" t="s">
        <v>17758</v>
      </c>
      <c r="F9699" s="43">
        <v>0</v>
      </c>
    </row>
    <row r="9700" spans="2:6" x14ac:dyDescent="0.25">
      <c r="B9700" s="13">
        <v>1</v>
      </c>
      <c r="C9700" s="17" t="s">
        <v>170</v>
      </c>
      <c r="D9700" s="13" t="s">
        <v>118</v>
      </c>
      <c r="E9700" s="13" t="s">
        <v>17759</v>
      </c>
      <c r="F9700" s="43">
        <v>0</v>
      </c>
    </row>
    <row r="9701" spans="2:6" x14ac:dyDescent="0.25">
      <c r="B9701" s="13">
        <v>7</v>
      </c>
      <c r="C9701" s="17" t="s">
        <v>170</v>
      </c>
      <c r="D9701" s="13" t="s">
        <v>118</v>
      </c>
      <c r="E9701" s="13" t="s">
        <v>17760</v>
      </c>
      <c r="F9701" s="43">
        <v>287.8</v>
      </c>
    </row>
    <row r="9702" spans="2:6" x14ac:dyDescent="0.25">
      <c r="B9702" s="13">
        <v>4</v>
      </c>
      <c r="C9702" s="17" t="s">
        <v>170</v>
      </c>
      <c r="D9702" s="13" t="s">
        <v>118</v>
      </c>
      <c r="E9702" s="13" t="s">
        <v>17761</v>
      </c>
      <c r="F9702" s="43">
        <v>0</v>
      </c>
    </row>
    <row r="9703" spans="2:6" x14ac:dyDescent="0.25">
      <c r="B9703" s="13" t="s">
        <v>17418</v>
      </c>
      <c r="C9703" s="17" t="s">
        <v>170</v>
      </c>
      <c r="D9703" s="13" t="s">
        <v>118</v>
      </c>
      <c r="E9703" s="13" t="s">
        <v>17418</v>
      </c>
      <c r="F9703" s="43">
        <v>0</v>
      </c>
    </row>
    <row r="9704" spans="2:6" x14ac:dyDescent="0.25">
      <c r="B9704" s="13" t="s">
        <v>17762</v>
      </c>
      <c r="C9704" s="17" t="s">
        <v>170</v>
      </c>
      <c r="D9704" s="13" t="s">
        <v>118</v>
      </c>
      <c r="E9704" s="13" t="s">
        <v>17763</v>
      </c>
      <c r="F9704" s="43">
        <v>0</v>
      </c>
    </row>
    <row r="9705" spans="2:6" x14ac:dyDescent="0.25">
      <c r="B9705" s="13" t="s">
        <v>17764</v>
      </c>
      <c r="C9705" s="17" t="s">
        <v>170</v>
      </c>
      <c r="D9705" s="13" t="s">
        <v>118</v>
      </c>
      <c r="E9705" s="13" t="s">
        <v>17765</v>
      </c>
      <c r="F9705" s="43">
        <v>143.94999999999999</v>
      </c>
    </row>
    <row r="9706" spans="2:6" x14ac:dyDescent="0.25">
      <c r="B9706" s="13" t="s">
        <v>17766</v>
      </c>
      <c r="C9706" s="17" t="s">
        <v>170</v>
      </c>
      <c r="D9706" s="13" t="s">
        <v>118</v>
      </c>
      <c r="E9706" s="13" t="s">
        <v>17767</v>
      </c>
      <c r="F9706" s="43">
        <v>143.94999999999999</v>
      </c>
    </row>
    <row r="9707" spans="2:6" x14ac:dyDescent="0.25">
      <c r="B9707" s="13" t="s">
        <v>17429</v>
      </c>
      <c r="C9707" s="17" t="s">
        <v>170</v>
      </c>
      <c r="D9707" s="13" t="s">
        <v>118</v>
      </c>
      <c r="E9707" s="13" t="s">
        <v>17429</v>
      </c>
      <c r="F9707" s="43">
        <v>0</v>
      </c>
    </row>
    <row r="9708" spans="2:6" x14ac:dyDescent="0.25">
      <c r="B9708" s="13" t="s">
        <v>17561</v>
      </c>
      <c r="C9708" s="17" t="s">
        <v>170</v>
      </c>
      <c r="D9708" s="13" t="s">
        <v>118</v>
      </c>
      <c r="E9708" s="13" t="s">
        <v>17768</v>
      </c>
      <c r="F9708" s="43">
        <v>0</v>
      </c>
    </row>
    <row r="9709" spans="2:6" x14ac:dyDescent="0.25">
      <c r="B9709" s="13" t="s">
        <v>17557</v>
      </c>
      <c r="C9709" s="17" t="s">
        <v>170</v>
      </c>
      <c r="D9709" s="13" t="s">
        <v>118</v>
      </c>
      <c r="E9709" s="13" t="s">
        <v>17769</v>
      </c>
      <c r="F9709" s="43">
        <v>0</v>
      </c>
    </row>
    <row r="9710" spans="2:6" x14ac:dyDescent="0.25">
      <c r="B9710" s="13" t="s">
        <v>17770</v>
      </c>
      <c r="C9710" s="17" t="s">
        <v>170</v>
      </c>
      <c r="D9710" s="13" t="s">
        <v>118</v>
      </c>
      <c r="E9710" s="13" t="s">
        <v>17771</v>
      </c>
      <c r="F9710" s="43">
        <v>0</v>
      </c>
    </row>
    <row r="9711" spans="2:6" x14ac:dyDescent="0.25">
      <c r="B9711" s="13" t="s">
        <v>17559</v>
      </c>
      <c r="C9711" s="17" t="s">
        <v>170</v>
      </c>
      <c r="D9711" s="13" t="s">
        <v>118</v>
      </c>
      <c r="E9711" s="13" t="s">
        <v>17772</v>
      </c>
      <c r="F9711" s="43">
        <v>0</v>
      </c>
    </row>
    <row r="9712" spans="2:6" x14ac:dyDescent="0.25">
      <c r="B9712" s="13" t="s">
        <v>17773</v>
      </c>
      <c r="C9712" s="17" t="s">
        <v>170</v>
      </c>
      <c r="D9712" s="13" t="s">
        <v>118</v>
      </c>
      <c r="E9712" s="13" t="s">
        <v>17774</v>
      </c>
      <c r="F9712" s="43">
        <v>143.94999999999999</v>
      </c>
    </row>
    <row r="9713" spans="2:6" x14ac:dyDescent="0.25">
      <c r="B9713" s="13" t="s">
        <v>17775</v>
      </c>
      <c r="C9713" s="17" t="s">
        <v>170</v>
      </c>
      <c r="D9713" s="13" t="s">
        <v>118</v>
      </c>
      <c r="E9713" s="13" t="s">
        <v>17776</v>
      </c>
      <c r="F9713" s="43">
        <v>0</v>
      </c>
    </row>
    <row r="9714" spans="2:6" x14ac:dyDescent="0.25">
      <c r="B9714" s="13" t="s">
        <v>17440</v>
      </c>
      <c r="C9714" s="17" t="s">
        <v>170</v>
      </c>
      <c r="D9714" s="13" t="s">
        <v>118</v>
      </c>
      <c r="E9714" s="13" t="s">
        <v>17777</v>
      </c>
      <c r="F9714" s="43">
        <v>0</v>
      </c>
    </row>
    <row r="9715" spans="2:6" x14ac:dyDescent="0.25">
      <c r="B9715" s="13" t="s">
        <v>17778</v>
      </c>
      <c r="C9715" s="17" t="s">
        <v>170</v>
      </c>
      <c r="D9715" s="13" t="s">
        <v>118</v>
      </c>
      <c r="E9715" s="13" t="s">
        <v>17778</v>
      </c>
      <c r="F9715" s="43">
        <v>0</v>
      </c>
    </row>
    <row r="9716" spans="2:6" x14ac:dyDescent="0.25">
      <c r="B9716" s="13" t="s">
        <v>17449</v>
      </c>
      <c r="C9716" s="17" t="s">
        <v>170</v>
      </c>
      <c r="D9716" s="13" t="s">
        <v>118</v>
      </c>
      <c r="E9716" s="13" t="s">
        <v>17779</v>
      </c>
      <c r="F9716" s="43">
        <v>0</v>
      </c>
    </row>
    <row r="9717" spans="2:6" x14ac:dyDescent="0.25">
      <c r="B9717" s="13" t="s">
        <v>17576</v>
      </c>
      <c r="C9717" s="17" t="s">
        <v>170</v>
      </c>
      <c r="D9717" s="13" t="s">
        <v>118</v>
      </c>
      <c r="E9717" s="13" t="s">
        <v>17780</v>
      </c>
      <c r="F9717" s="43">
        <v>0</v>
      </c>
    </row>
    <row r="9718" spans="2:6" x14ac:dyDescent="0.25">
      <c r="B9718" s="13" t="s">
        <v>17781</v>
      </c>
      <c r="C9718" s="17" t="s">
        <v>170</v>
      </c>
      <c r="D9718" s="13" t="s">
        <v>118</v>
      </c>
      <c r="E9718" s="13" t="s">
        <v>17781</v>
      </c>
      <c r="F9718" s="43">
        <v>0</v>
      </c>
    </row>
    <row r="9719" spans="2:6" x14ac:dyDescent="0.25">
      <c r="B9719" s="13">
        <v>4</v>
      </c>
      <c r="C9719" s="17" t="s">
        <v>170</v>
      </c>
      <c r="D9719" s="13" t="s">
        <v>118</v>
      </c>
      <c r="E9719" s="13" t="s">
        <v>17782</v>
      </c>
      <c r="F9719" s="43">
        <v>0</v>
      </c>
    </row>
    <row r="9720" spans="2:6" x14ac:dyDescent="0.25">
      <c r="B9720" s="13">
        <v>6</v>
      </c>
      <c r="C9720" s="17" t="s">
        <v>170</v>
      </c>
      <c r="D9720" s="13" t="s">
        <v>118</v>
      </c>
      <c r="E9720" s="13" t="s">
        <v>17566</v>
      </c>
      <c r="F9720" s="43">
        <v>0</v>
      </c>
    </row>
    <row r="9721" spans="2:6" x14ac:dyDescent="0.25">
      <c r="B9721" s="13" t="s">
        <v>17567</v>
      </c>
      <c r="C9721" s="17" t="s">
        <v>170</v>
      </c>
      <c r="D9721" s="13" t="s">
        <v>118</v>
      </c>
      <c r="E9721" s="13" t="s">
        <v>17567</v>
      </c>
      <c r="F9721" s="43">
        <v>0</v>
      </c>
    </row>
    <row r="9722" spans="2:6" x14ac:dyDescent="0.25">
      <c r="B9722" s="13">
        <v>6</v>
      </c>
      <c r="C9722" s="17" t="s">
        <v>170</v>
      </c>
      <c r="D9722" s="13" t="s">
        <v>118</v>
      </c>
      <c r="E9722" s="13" t="s">
        <v>17566</v>
      </c>
      <c r="F9722" s="43">
        <v>0</v>
      </c>
    </row>
    <row r="9723" spans="2:6" x14ac:dyDescent="0.25">
      <c r="B9723" s="13" t="s">
        <v>17370</v>
      </c>
      <c r="C9723" s="17" t="s">
        <v>170</v>
      </c>
      <c r="D9723" s="13" t="s">
        <v>118</v>
      </c>
      <c r="E9723" s="13" t="s">
        <v>17570</v>
      </c>
      <c r="F9723" s="43">
        <v>413.1</v>
      </c>
    </row>
    <row r="9724" spans="2:6" x14ac:dyDescent="0.25">
      <c r="B9724" s="13" t="s">
        <v>17455</v>
      </c>
      <c r="C9724" s="17" t="s">
        <v>170</v>
      </c>
      <c r="D9724" s="13" t="s">
        <v>118</v>
      </c>
      <c r="E9724" s="13" t="s">
        <v>17455</v>
      </c>
      <c r="F9724" s="43">
        <v>0</v>
      </c>
    </row>
    <row r="9725" spans="2:6" x14ac:dyDescent="0.25">
      <c r="B9725" s="13" t="s">
        <v>17578</v>
      </c>
      <c r="C9725" s="17" t="s">
        <v>170</v>
      </c>
      <c r="D9725" s="13" t="s">
        <v>118</v>
      </c>
      <c r="E9725" s="13" t="s">
        <v>17783</v>
      </c>
      <c r="F9725" s="43">
        <v>127.5</v>
      </c>
    </row>
    <row r="9726" spans="2:6" x14ac:dyDescent="0.25">
      <c r="B9726" s="13" t="s">
        <v>17580</v>
      </c>
      <c r="C9726" s="17" t="s">
        <v>170</v>
      </c>
      <c r="D9726" s="13" t="s">
        <v>118</v>
      </c>
      <c r="E9726" s="13" t="s">
        <v>17784</v>
      </c>
      <c r="F9726" s="43">
        <v>0</v>
      </c>
    </row>
    <row r="9727" spans="2:6" x14ac:dyDescent="0.25">
      <c r="B9727" s="13" t="s">
        <v>17785</v>
      </c>
      <c r="C9727" s="17" t="s">
        <v>170</v>
      </c>
      <c r="D9727" s="13" t="s">
        <v>118</v>
      </c>
      <c r="E9727" s="13" t="s">
        <v>17786</v>
      </c>
      <c r="F9727" s="43">
        <v>0</v>
      </c>
    </row>
    <row r="9728" spans="2:6" x14ac:dyDescent="0.25">
      <c r="B9728" s="13" t="s">
        <v>17787</v>
      </c>
      <c r="C9728" s="17" t="s">
        <v>170</v>
      </c>
      <c r="D9728" s="13" t="s">
        <v>118</v>
      </c>
      <c r="E9728" s="13" t="s">
        <v>17788</v>
      </c>
      <c r="F9728" s="43">
        <v>3697.5</v>
      </c>
    </row>
    <row r="9729" spans="2:6" x14ac:dyDescent="0.25">
      <c r="B9729" s="13" t="s">
        <v>17789</v>
      </c>
      <c r="C9729" s="17" t="s">
        <v>170</v>
      </c>
      <c r="D9729" s="13" t="s">
        <v>118</v>
      </c>
      <c r="E9729" s="13" t="s">
        <v>17790</v>
      </c>
      <c r="F9729" s="43">
        <v>3506.25</v>
      </c>
    </row>
    <row r="9730" spans="2:6" x14ac:dyDescent="0.25">
      <c r="B9730" s="13" t="s">
        <v>17791</v>
      </c>
      <c r="C9730" s="17" t="s">
        <v>170</v>
      </c>
      <c r="D9730" s="13" t="s">
        <v>118</v>
      </c>
      <c r="E9730" s="13" t="s">
        <v>17792</v>
      </c>
      <c r="F9730" s="43">
        <v>3506.25</v>
      </c>
    </row>
    <row r="9731" spans="2:6" x14ac:dyDescent="0.25">
      <c r="B9731" s="13" t="s">
        <v>17793</v>
      </c>
      <c r="C9731" s="17" t="s">
        <v>170</v>
      </c>
      <c r="D9731" s="13" t="s">
        <v>118</v>
      </c>
      <c r="E9731" s="13" t="s">
        <v>17794</v>
      </c>
      <c r="F9731" s="43">
        <v>3506.25</v>
      </c>
    </row>
    <row r="9732" spans="2:6" x14ac:dyDescent="0.25">
      <c r="B9732" s="13" t="s">
        <v>17795</v>
      </c>
      <c r="C9732" s="17" t="s">
        <v>170</v>
      </c>
      <c r="D9732" s="13" t="s">
        <v>118</v>
      </c>
      <c r="E9732" s="13" t="s">
        <v>17796</v>
      </c>
      <c r="F9732" s="43">
        <v>3506.25</v>
      </c>
    </row>
    <row r="9733" spans="2:6" x14ac:dyDescent="0.25">
      <c r="B9733" s="13" t="s">
        <v>17797</v>
      </c>
      <c r="C9733" s="17" t="s">
        <v>170</v>
      </c>
      <c r="D9733" s="13" t="s">
        <v>118</v>
      </c>
      <c r="E9733" s="13" t="s">
        <v>17798</v>
      </c>
      <c r="F9733" s="43">
        <v>3506.25</v>
      </c>
    </row>
    <row r="9734" spans="2:6" x14ac:dyDescent="0.25">
      <c r="B9734" s="13" t="s">
        <v>17799</v>
      </c>
      <c r="C9734" s="17" t="s">
        <v>170</v>
      </c>
      <c r="D9734" s="13" t="s">
        <v>118</v>
      </c>
      <c r="E9734" s="13" t="s">
        <v>17800</v>
      </c>
      <c r="F9734" s="43">
        <v>3506.25</v>
      </c>
    </row>
    <row r="9735" spans="2:6" x14ac:dyDescent="0.25">
      <c r="B9735" s="13" t="s">
        <v>17801</v>
      </c>
      <c r="C9735" s="17" t="s">
        <v>170</v>
      </c>
      <c r="D9735" s="13" t="s">
        <v>118</v>
      </c>
      <c r="E9735" s="13" t="s">
        <v>17802</v>
      </c>
      <c r="F9735" s="43">
        <v>3697.5</v>
      </c>
    </row>
    <row r="9736" spans="2:6" x14ac:dyDescent="0.25">
      <c r="B9736" s="13" t="s">
        <v>17803</v>
      </c>
      <c r="C9736" s="17" t="s">
        <v>170</v>
      </c>
      <c r="D9736" s="13" t="s">
        <v>118</v>
      </c>
      <c r="E9736" s="13" t="s">
        <v>17804</v>
      </c>
      <c r="F9736" s="43">
        <v>3506.25</v>
      </c>
    </row>
    <row r="9737" spans="2:6" x14ac:dyDescent="0.25">
      <c r="B9737" s="13" t="s">
        <v>17805</v>
      </c>
      <c r="C9737" s="17" t="s">
        <v>170</v>
      </c>
      <c r="D9737" s="13" t="s">
        <v>118</v>
      </c>
      <c r="E9737" s="13" t="s">
        <v>17806</v>
      </c>
      <c r="F9737" s="43">
        <v>3506.25</v>
      </c>
    </row>
    <row r="9738" spans="2:6" x14ac:dyDescent="0.25">
      <c r="B9738" s="13" t="s">
        <v>17807</v>
      </c>
      <c r="C9738" s="17" t="s">
        <v>170</v>
      </c>
      <c r="D9738" s="13" t="s">
        <v>118</v>
      </c>
      <c r="E9738" s="13" t="s">
        <v>17808</v>
      </c>
      <c r="F9738" s="43">
        <v>3506.25</v>
      </c>
    </row>
    <row r="9739" spans="2:6" x14ac:dyDescent="0.25">
      <c r="B9739" s="13" t="s">
        <v>17809</v>
      </c>
      <c r="C9739" s="17" t="s">
        <v>170</v>
      </c>
      <c r="D9739" s="13" t="s">
        <v>118</v>
      </c>
      <c r="E9739" s="13" t="s">
        <v>17810</v>
      </c>
      <c r="F9739" s="43">
        <v>3506.25</v>
      </c>
    </row>
    <row r="9740" spans="2:6" x14ac:dyDescent="0.25">
      <c r="B9740" s="13" t="s">
        <v>17811</v>
      </c>
      <c r="C9740" s="17" t="s">
        <v>170</v>
      </c>
      <c r="D9740" s="13" t="s">
        <v>118</v>
      </c>
      <c r="E9740" s="13" t="s">
        <v>17812</v>
      </c>
      <c r="F9740" s="43">
        <v>3506.25</v>
      </c>
    </row>
    <row r="9741" spans="2:6" x14ac:dyDescent="0.25">
      <c r="B9741" s="13" t="s">
        <v>17813</v>
      </c>
      <c r="C9741" s="17" t="s">
        <v>170</v>
      </c>
      <c r="D9741" s="13" t="s">
        <v>118</v>
      </c>
      <c r="E9741" s="13" t="s">
        <v>17814</v>
      </c>
      <c r="F9741" s="43">
        <v>3506.25</v>
      </c>
    </row>
    <row r="9742" spans="2:6" x14ac:dyDescent="0.25">
      <c r="B9742" s="13" t="s">
        <v>17815</v>
      </c>
      <c r="C9742" s="17" t="s">
        <v>170</v>
      </c>
      <c r="D9742" s="13" t="s">
        <v>118</v>
      </c>
      <c r="E9742" s="13" t="s">
        <v>17816</v>
      </c>
      <c r="F9742" s="43">
        <v>3697.5</v>
      </c>
    </row>
    <row r="9743" spans="2:6" x14ac:dyDescent="0.25">
      <c r="B9743" s="13" t="s">
        <v>17817</v>
      </c>
      <c r="C9743" s="17" t="s">
        <v>170</v>
      </c>
      <c r="D9743" s="13" t="s">
        <v>118</v>
      </c>
      <c r="E9743" s="13" t="s">
        <v>17790</v>
      </c>
      <c r="F9743" s="43">
        <v>3506.25</v>
      </c>
    </row>
    <row r="9744" spans="2:6" x14ac:dyDescent="0.25">
      <c r="B9744" s="13" t="s">
        <v>17818</v>
      </c>
      <c r="C9744" s="17" t="s">
        <v>170</v>
      </c>
      <c r="D9744" s="13" t="s">
        <v>118</v>
      </c>
      <c r="E9744" s="13" t="s">
        <v>17792</v>
      </c>
      <c r="F9744" s="43">
        <v>3506.25</v>
      </c>
    </row>
    <row r="9745" spans="2:6" x14ac:dyDescent="0.25">
      <c r="B9745" s="13" t="s">
        <v>17819</v>
      </c>
      <c r="C9745" s="17" t="s">
        <v>170</v>
      </c>
      <c r="D9745" s="13" t="s">
        <v>118</v>
      </c>
      <c r="E9745" s="13" t="s">
        <v>17820</v>
      </c>
      <c r="F9745" s="43">
        <v>3506.25</v>
      </c>
    </row>
    <row r="9746" spans="2:6" x14ac:dyDescent="0.25">
      <c r="B9746" s="13" t="s">
        <v>17821</v>
      </c>
      <c r="C9746" s="17" t="s">
        <v>170</v>
      </c>
      <c r="D9746" s="13" t="s">
        <v>118</v>
      </c>
      <c r="E9746" s="13" t="s">
        <v>17796</v>
      </c>
      <c r="F9746" s="43">
        <v>3506.25</v>
      </c>
    </row>
    <row r="9747" spans="2:6" x14ac:dyDescent="0.25">
      <c r="B9747" s="13" t="s">
        <v>17822</v>
      </c>
      <c r="C9747" s="17" t="s">
        <v>170</v>
      </c>
      <c r="D9747" s="13" t="s">
        <v>118</v>
      </c>
      <c r="E9747" s="13" t="s">
        <v>17798</v>
      </c>
      <c r="F9747" s="43">
        <v>3506.25</v>
      </c>
    </row>
    <row r="9748" spans="2:6" x14ac:dyDescent="0.25">
      <c r="B9748" s="13" t="s">
        <v>17823</v>
      </c>
      <c r="C9748" s="17" t="s">
        <v>170</v>
      </c>
      <c r="D9748" s="13" t="s">
        <v>118</v>
      </c>
      <c r="E9748" s="13" t="s">
        <v>17800</v>
      </c>
      <c r="F9748" s="43">
        <v>3506.25</v>
      </c>
    </row>
    <row r="9749" spans="2:6" x14ac:dyDescent="0.25">
      <c r="B9749" s="13" t="s">
        <v>17824</v>
      </c>
      <c r="C9749" s="17" t="s">
        <v>170</v>
      </c>
      <c r="D9749" s="13" t="s">
        <v>118</v>
      </c>
      <c r="E9749" s="13" t="s">
        <v>17825</v>
      </c>
      <c r="F9749" s="43">
        <v>3697.5</v>
      </c>
    </row>
    <row r="9750" spans="2:6" x14ac:dyDescent="0.25">
      <c r="B9750" s="13" t="s">
        <v>17826</v>
      </c>
      <c r="C9750" s="17" t="s">
        <v>170</v>
      </c>
      <c r="D9750" s="13" t="s">
        <v>118</v>
      </c>
      <c r="E9750" s="13" t="s">
        <v>17827</v>
      </c>
      <c r="F9750" s="43">
        <v>3506.25</v>
      </c>
    </row>
    <row r="9751" spans="2:6" x14ac:dyDescent="0.25">
      <c r="B9751" s="13" t="s">
        <v>17828</v>
      </c>
      <c r="C9751" s="17" t="s">
        <v>170</v>
      </c>
      <c r="D9751" s="13" t="s">
        <v>118</v>
      </c>
      <c r="E9751" s="13" t="s">
        <v>17829</v>
      </c>
      <c r="F9751" s="43">
        <v>3506.25</v>
      </c>
    </row>
    <row r="9752" spans="2:6" x14ac:dyDescent="0.25">
      <c r="B9752" s="13" t="s">
        <v>17830</v>
      </c>
      <c r="C9752" s="17" t="s">
        <v>170</v>
      </c>
      <c r="D9752" s="13" t="s">
        <v>118</v>
      </c>
      <c r="E9752" s="13" t="s">
        <v>17831</v>
      </c>
      <c r="F9752" s="43">
        <v>3506.25</v>
      </c>
    </row>
    <row r="9753" spans="2:6" x14ac:dyDescent="0.25">
      <c r="B9753" s="13" t="s">
        <v>17832</v>
      </c>
      <c r="C9753" s="17" t="s">
        <v>170</v>
      </c>
      <c r="D9753" s="13" t="s">
        <v>118</v>
      </c>
      <c r="E9753" s="13" t="s">
        <v>17833</v>
      </c>
      <c r="F9753" s="43">
        <v>3506.25</v>
      </c>
    </row>
    <row r="9754" spans="2:6" x14ac:dyDescent="0.25">
      <c r="B9754" s="13" t="s">
        <v>17834</v>
      </c>
      <c r="C9754" s="17" t="s">
        <v>170</v>
      </c>
      <c r="D9754" s="13" t="s">
        <v>118</v>
      </c>
      <c r="E9754" s="13" t="s">
        <v>17835</v>
      </c>
      <c r="F9754" s="43">
        <v>3506.25</v>
      </c>
    </row>
    <row r="9755" spans="2:6" x14ac:dyDescent="0.25">
      <c r="B9755" s="13" t="s">
        <v>17836</v>
      </c>
      <c r="C9755" s="17" t="s">
        <v>170</v>
      </c>
      <c r="D9755" s="13" t="s">
        <v>118</v>
      </c>
      <c r="E9755" s="13" t="s">
        <v>17837</v>
      </c>
      <c r="F9755" s="43">
        <v>3506.25</v>
      </c>
    </row>
    <row r="9756" spans="2:6" x14ac:dyDescent="0.25">
      <c r="B9756" s="13" t="s">
        <v>17838</v>
      </c>
      <c r="C9756" s="17" t="s">
        <v>170</v>
      </c>
      <c r="D9756" s="13" t="s">
        <v>118</v>
      </c>
      <c r="E9756" s="13" t="s">
        <v>17839</v>
      </c>
      <c r="F9756" s="43">
        <v>127.5</v>
      </c>
    </row>
    <row r="9757" spans="2:6" x14ac:dyDescent="0.25">
      <c r="B9757" s="13" t="s">
        <v>17840</v>
      </c>
      <c r="C9757" s="17" t="s">
        <v>170</v>
      </c>
      <c r="D9757" s="13" t="s">
        <v>118</v>
      </c>
      <c r="E9757" s="13" t="s">
        <v>17841</v>
      </c>
      <c r="F9757" s="43">
        <v>127.5</v>
      </c>
    </row>
    <row r="9758" spans="2:6" x14ac:dyDescent="0.25">
      <c r="B9758" s="13" t="s">
        <v>17842</v>
      </c>
      <c r="C9758" s="17" t="s">
        <v>170</v>
      </c>
      <c r="D9758" s="13" t="s">
        <v>118</v>
      </c>
      <c r="E9758" s="13" t="s">
        <v>17843</v>
      </c>
      <c r="F9758" s="43">
        <v>127.5</v>
      </c>
    </row>
    <row r="9759" spans="2:6" x14ac:dyDescent="0.25">
      <c r="B9759" s="13" t="s">
        <v>17844</v>
      </c>
      <c r="C9759" s="17" t="s">
        <v>170</v>
      </c>
      <c r="D9759" s="13" t="s">
        <v>118</v>
      </c>
      <c r="E9759" s="13"/>
      <c r="F9759" s="43">
        <v>0</v>
      </c>
    </row>
    <row r="9760" spans="2:6" x14ac:dyDescent="0.25">
      <c r="B9760" s="13" t="s">
        <v>17845</v>
      </c>
      <c r="C9760" s="17" t="s">
        <v>170</v>
      </c>
      <c r="D9760" s="13" t="s">
        <v>118</v>
      </c>
      <c r="E9760" s="13" t="s">
        <v>17523</v>
      </c>
      <c r="F9760" s="43">
        <v>0</v>
      </c>
    </row>
    <row r="9761" spans="2:6" x14ac:dyDescent="0.25">
      <c r="B9761" s="13" t="s">
        <v>17846</v>
      </c>
      <c r="C9761" s="17" t="s">
        <v>170</v>
      </c>
      <c r="D9761" s="13" t="s">
        <v>118</v>
      </c>
      <c r="E9761" s="13" t="s">
        <v>17847</v>
      </c>
      <c r="F9761" s="43">
        <v>0</v>
      </c>
    </row>
    <row r="9762" spans="2:6" x14ac:dyDescent="0.25">
      <c r="B9762" s="13" t="s">
        <v>17525</v>
      </c>
      <c r="C9762" s="17" t="s">
        <v>170</v>
      </c>
      <c r="D9762" s="13" t="s">
        <v>118</v>
      </c>
      <c r="E9762" s="13" t="s">
        <v>17526</v>
      </c>
      <c r="F9762" s="43">
        <v>0</v>
      </c>
    </row>
    <row r="9763" spans="2:6" x14ac:dyDescent="0.25">
      <c r="B9763" s="13" t="s">
        <v>17527</v>
      </c>
      <c r="C9763" s="17" t="s">
        <v>170</v>
      </c>
      <c r="D9763" s="13" t="s">
        <v>118</v>
      </c>
      <c r="E9763" s="13" t="s">
        <v>17528</v>
      </c>
      <c r="F9763" s="43">
        <v>0</v>
      </c>
    </row>
    <row r="9764" spans="2:6" x14ac:dyDescent="0.25">
      <c r="B9764" s="13">
        <v>1</v>
      </c>
      <c r="C9764" s="17" t="s">
        <v>170</v>
      </c>
      <c r="D9764" s="13" t="s">
        <v>118</v>
      </c>
      <c r="E9764" s="13" t="s">
        <v>17530</v>
      </c>
      <c r="F9764" s="43">
        <v>0</v>
      </c>
    </row>
    <row r="9765" spans="2:6" x14ac:dyDescent="0.25">
      <c r="B9765" s="13">
        <v>2</v>
      </c>
      <c r="C9765" s="17" t="s">
        <v>170</v>
      </c>
      <c r="D9765" s="13" t="s">
        <v>118</v>
      </c>
      <c r="E9765" s="13" t="s">
        <v>17531</v>
      </c>
      <c r="F9765" s="43">
        <v>0</v>
      </c>
    </row>
    <row r="9766" spans="2:6" x14ac:dyDescent="0.25">
      <c r="B9766" s="13">
        <v>3</v>
      </c>
      <c r="C9766" s="17" t="s">
        <v>170</v>
      </c>
      <c r="D9766" s="13" t="s">
        <v>118</v>
      </c>
      <c r="E9766" s="13" t="s">
        <v>17532</v>
      </c>
      <c r="F9766" s="43">
        <v>0</v>
      </c>
    </row>
    <row r="9767" spans="2:6" x14ac:dyDescent="0.25">
      <c r="B9767" s="13" t="s">
        <v>17848</v>
      </c>
      <c r="C9767" s="17" t="s">
        <v>170</v>
      </c>
      <c r="D9767" s="13" t="s">
        <v>118</v>
      </c>
      <c r="E9767" s="13" t="s">
        <v>17849</v>
      </c>
      <c r="F9767" s="43">
        <v>0</v>
      </c>
    </row>
    <row r="9768" spans="2:6" x14ac:dyDescent="0.25">
      <c r="B9768" s="13" t="s">
        <v>17850</v>
      </c>
      <c r="C9768" s="17" t="s">
        <v>170</v>
      </c>
      <c r="D9768" s="13" t="s">
        <v>118</v>
      </c>
      <c r="E9768" s="13" t="s">
        <v>17535</v>
      </c>
      <c r="F9768" s="43">
        <v>0</v>
      </c>
    </row>
    <row r="9769" spans="2:6" x14ac:dyDescent="0.25">
      <c r="B9769" s="13" t="s">
        <v>17851</v>
      </c>
      <c r="C9769" s="17" t="s">
        <v>170</v>
      </c>
      <c r="D9769" s="13" t="s">
        <v>118</v>
      </c>
      <c r="E9769" s="13" t="s">
        <v>17537</v>
      </c>
      <c r="F9769" s="43">
        <v>0</v>
      </c>
    </row>
    <row r="9770" spans="2:6" x14ac:dyDescent="0.25">
      <c r="B9770" s="13" t="s">
        <v>17852</v>
      </c>
      <c r="C9770" s="17" t="s">
        <v>170</v>
      </c>
      <c r="D9770" s="13" t="s">
        <v>118</v>
      </c>
      <c r="E9770" s="13" t="s">
        <v>17539</v>
      </c>
      <c r="F9770" s="43">
        <v>0</v>
      </c>
    </row>
    <row r="9771" spans="2:6" x14ac:dyDescent="0.25">
      <c r="B9771" s="13" t="s">
        <v>17853</v>
      </c>
      <c r="C9771" s="17" t="s">
        <v>170</v>
      </c>
      <c r="D9771" s="13" t="s">
        <v>118</v>
      </c>
      <c r="E9771" s="13" t="s">
        <v>17541</v>
      </c>
      <c r="F9771" s="43">
        <v>0</v>
      </c>
    </row>
    <row r="9772" spans="2:6" x14ac:dyDescent="0.25">
      <c r="B9772" s="13" t="s">
        <v>17854</v>
      </c>
      <c r="C9772" s="17" t="s">
        <v>170</v>
      </c>
      <c r="D9772" s="13" t="s">
        <v>118</v>
      </c>
      <c r="E9772" s="13" t="s">
        <v>17543</v>
      </c>
      <c r="F9772" s="43">
        <v>0</v>
      </c>
    </row>
    <row r="9773" spans="2:6" x14ac:dyDescent="0.25">
      <c r="B9773" s="13" t="s">
        <v>17855</v>
      </c>
      <c r="C9773" s="17" t="s">
        <v>170</v>
      </c>
      <c r="D9773" s="13" t="s">
        <v>118</v>
      </c>
      <c r="E9773" s="13" t="s">
        <v>17545</v>
      </c>
      <c r="F9773" s="43">
        <v>0</v>
      </c>
    </row>
    <row r="9774" spans="2:6" x14ac:dyDescent="0.25">
      <c r="B9774" s="13" t="s">
        <v>17548</v>
      </c>
      <c r="C9774" s="17" t="s">
        <v>170</v>
      </c>
      <c r="D9774" s="13" t="s">
        <v>118</v>
      </c>
      <c r="E9774" s="13" t="s">
        <v>17549</v>
      </c>
      <c r="F9774" s="43">
        <v>0</v>
      </c>
    </row>
    <row r="9775" spans="2:6" x14ac:dyDescent="0.25">
      <c r="B9775" s="13" t="s">
        <v>17856</v>
      </c>
      <c r="C9775" s="17" t="s">
        <v>170</v>
      </c>
      <c r="D9775" s="13" t="s">
        <v>118</v>
      </c>
      <c r="E9775" s="13" t="s">
        <v>17857</v>
      </c>
      <c r="F9775" s="43">
        <v>0</v>
      </c>
    </row>
    <row r="9776" spans="2:6" x14ac:dyDescent="0.25">
      <c r="B9776" s="13" t="s">
        <v>17414</v>
      </c>
      <c r="C9776" s="17" t="s">
        <v>170</v>
      </c>
      <c r="D9776" s="13" t="s">
        <v>118</v>
      </c>
      <c r="E9776" s="13" t="s">
        <v>17551</v>
      </c>
      <c r="F9776" s="43">
        <v>2643.84</v>
      </c>
    </row>
    <row r="9777" spans="2:6" x14ac:dyDescent="0.25">
      <c r="B9777" s="13">
        <v>1</v>
      </c>
      <c r="C9777" s="17" t="s">
        <v>170</v>
      </c>
      <c r="D9777" s="13" t="s">
        <v>118</v>
      </c>
      <c r="E9777" s="13" t="s">
        <v>17552</v>
      </c>
      <c r="F9777" s="43">
        <v>0</v>
      </c>
    </row>
    <row r="9778" spans="2:6" x14ac:dyDescent="0.25">
      <c r="B9778" s="13" t="s">
        <v>17553</v>
      </c>
      <c r="C9778" s="17" t="s">
        <v>170</v>
      </c>
      <c r="D9778" s="13" t="s">
        <v>118</v>
      </c>
      <c r="E9778" s="13" t="s">
        <v>17554</v>
      </c>
      <c r="F9778" s="43">
        <v>0</v>
      </c>
    </row>
    <row r="9779" spans="2:6" x14ac:dyDescent="0.25">
      <c r="B9779" s="13" t="s">
        <v>17555</v>
      </c>
      <c r="C9779" s="17" t="s">
        <v>170</v>
      </c>
      <c r="D9779" s="13" t="s">
        <v>118</v>
      </c>
      <c r="E9779" s="13" t="s">
        <v>17556</v>
      </c>
      <c r="F9779" s="43">
        <v>0</v>
      </c>
    </row>
    <row r="9780" spans="2:6" x14ac:dyDescent="0.25">
      <c r="B9780" s="13" t="s">
        <v>17858</v>
      </c>
      <c r="C9780" s="17" t="s">
        <v>170</v>
      </c>
      <c r="D9780" s="13" t="s">
        <v>118</v>
      </c>
      <c r="E9780" s="13" t="s">
        <v>17859</v>
      </c>
      <c r="F9780" s="43">
        <v>0</v>
      </c>
    </row>
    <row r="9781" spans="2:6" x14ac:dyDescent="0.25">
      <c r="B9781" s="13" t="s">
        <v>17559</v>
      </c>
      <c r="C9781" s="17" t="s">
        <v>170</v>
      </c>
      <c r="D9781" s="13" t="s">
        <v>118</v>
      </c>
      <c r="E9781" s="13" t="s">
        <v>17860</v>
      </c>
      <c r="F9781" s="43">
        <v>0</v>
      </c>
    </row>
    <row r="9782" spans="2:6" x14ac:dyDescent="0.25">
      <c r="B9782" s="13" t="s">
        <v>17861</v>
      </c>
      <c r="C9782" s="17" t="s">
        <v>170</v>
      </c>
      <c r="D9782" s="13" t="s">
        <v>118</v>
      </c>
      <c r="E9782" s="13" t="s">
        <v>17862</v>
      </c>
      <c r="F9782" s="43">
        <v>0</v>
      </c>
    </row>
    <row r="9783" spans="2:6" x14ac:dyDescent="0.25">
      <c r="B9783" s="13" t="s">
        <v>17863</v>
      </c>
      <c r="C9783" s="17" t="s">
        <v>170</v>
      </c>
      <c r="D9783" s="13" t="s">
        <v>118</v>
      </c>
      <c r="E9783" s="13" t="s">
        <v>17864</v>
      </c>
      <c r="F9783" s="43">
        <v>0</v>
      </c>
    </row>
    <row r="9784" spans="2:6" x14ac:dyDescent="0.25">
      <c r="B9784" s="13" t="s">
        <v>17865</v>
      </c>
      <c r="C9784" s="17" t="s">
        <v>170</v>
      </c>
      <c r="D9784" s="13" t="s">
        <v>118</v>
      </c>
      <c r="E9784" s="13" t="s">
        <v>17866</v>
      </c>
      <c r="F9784" s="43">
        <v>25.5</v>
      </c>
    </row>
    <row r="9785" spans="2:6" x14ac:dyDescent="0.25">
      <c r="B9785" s="13" t="s">
        <v>17568</v>
      </c>
      <c r="C9785" s="17" t="s">
        <v>170</v>
      </c>
      <c r="D9785" s="13" t="s">
        <v>118</v>
      </c>
      <c r="E9785" s="13" t="s">
        <v>17867</v>
      </c>
      <c r="F9785" s="43">
        <v>0</v>
      </c>
    </row>
    <row r="9786" spans="2:6" x14ac:dyDescent="0.25">
      <c r="B9786" s="13">
        <v>6</v>
      </c>
      <c r="C9786" s="17" t="s">
        <v>170</v>
      </c>
      <c r="D9786" s="13" t="s">
        <v>118</v>
      </c>
      <c r="E9786" s="13" t="s">
        <v>17566</v>
      </c>
      <c r="F9786" s="43">
        <v>0</v>
      </c>
    </row>
    <row r="9787" spans="2:6" x14ac:dyDescent="0.25">
      <c r="B9787" s="13" t="s">
        <v>17868</v>
      </c>
      <c r="C9787" s="17" t="s">
        <v>170</v>
      </c>
      <c r="D9787" s="13" t="s">
        <v>118</v>
      </c>
      <c r="E9787" s="13" t="s">
        <v>17869</v>
      </c>
      <c r="F9787" s="43">
        <v>0</v>
      </c>
    </row>
    <row r="9788" spans="2:6" x14ac:dyDescent="0.25">
      <c r="B9788" s="13" t="s">
        <v>17870</v>
      </c>
      <c r="C9788" s="17" t="s">
        <v>170</v>
      </c>
      <c r="D9788" s="13" t="s">
        <v>118</v>
      </c>
      <c r="E9788" s="13" t="s">
        <v>17871</v>
      </c>
      <c r="F9788" s="43">
        <v>382.5</v>
      </c>
    </row>
    <row r="9789" spans="2:6" x14ac:dyDescent="0.25">
      <c r="B9789" s="13" t="s">
        <v>17872</v>
      </c>
      <c r="C9789" s="17" t="s">
        <v>170</v>
      </c>
      <c r="D9789" s="13" t="s">
        <v>118</v>
      </c>
      <c r="E9789" s="13" t="s">
        <v>17873</v>
      </c>
      <c r="F9789" s="43">
        <v>0</v>
      </c>
    </row>
    <row r="9790" spans="2:6" x14ac:dyDescent="0.25">
      <c r="B9790" s="13" t="s">
        <v>17874</v>
      </c>
      <c r="C9790" s="17" t="s">
        <v>170</v>
      </c>
      <c r="D9790" s="13" t="s">
        <v>118</v>
      </c>
      <c r="E9790" s="13" t="s">
        <v>17875</v>
      </c>
      <c r="F9790" s="43">
        <v>127.5</v>
      </c>
    </row>
    <row r="9791" spans="2:6" x14ac:dyDescent="0.25">
      <c r="B9791" s="13" t="s">
        <v>17876</v>
      </c>
      <c r="C9791" s="17" t="s">
        <v>170</v>
      </c>
      <c r="D9791" s="13" t="s">
        <v>118</v>
      </c>
      <c r="E9791" s="13" t="s">
        <v>17877</v>
      </c>
      <c r="F9791" s="43">
        <v>127.5</v>
      </c>
    </row>
    <row r="9792" spans="2:6" x14ac:dyDescent="0.25">
      <c r="B9792" s="13" t="s">
        <v>17878</v>
      </c>
      <c r="C9792" s="17" t="s">
        <v>170</v>
      </c>
      <c r="D9792" s="13" t="s">
        <v>118</v>
      </c>
      <c r="E9792" s="13" t="s">
        <v>17879</v>
      </c>
      <c r="F9792" s="43">
        <v>127.5</v>
      </c>
    </row>
    <row r="9793" spans="2:6" x14ac:dyDescent="0.25">
      <c r="B9793" s="13" t="s">
        <v>17580</v>
      </c>
      <c r="C9793" s="17" t="s">
        <v>170</v>
      </c>
      <c r="D9793" s="13" t="s">
        <v>118</v>
      </c>
      <c r="E9793" s="13" t="s">
        <v>17880</v>
      </c>
      <c r="F9793" s="43">
        <v>0</v>
      </c>
    </row>
    <row r="9794" spans="2:6" x14ac:dyDescent="0.25">
      <c r="B9794" s="13" t="s">
        <v>17881</v>
      </c>
      <c r="C9794" s="17" t="s">
        <v>170</v>
      </c>
      <c r="D9794" s="13" t="s">
        <v>118</v>
      </c>
      <c r="E9794" s="13" t="s">
        <v>17882</v>
      </c>
      <c r="F9794" s="43">
        <v>127.5</v>
      </c>
    </row>
    <row r="9795" spans="2:6" x14ac:dyDescent="0.25">
      <c r="B9795" s="13" t="s">
        <v>17462</v>
      </c>
      <c r="C9795" s="17" t="s">
        <v>170</v>
      </c>
      <c r="D9795" s="13" t="s">
        <v>118</v>
      </c>
      <c r="E9795" s="13" t="s">
        <v>17786</v>
      </c>
      <c r="F9795" s="43">
        <v>0</v>
      </c>
    </row>
    <row r="9796" spans="2:6" x14ac:dyDescent="0.25">
      <c r="B9796" s="13" t="s">
        <v>17883</v>
      </c>
      <c r="C9796" s="17" t="s">
        <v>170</v>
      </c>
      <c r="D9796" s="13" t="s">
        <v>118</v>
      </c>
      <c r="E9796" s="13" t="s">
        <v>17884</v>
      </c>
      <c r="F9796" s="43">
        <v>3554.32</v>
      </c>
    </row>
    <row r="9797" spans="2:6" x14ac:dyDescent="0.25">
      <c r="B9797" s="13" t="s">
        <v>17885</v>
      </c>
      <c r="C9797" s="17" t="s">
        <v>170</v>
      </c>
      <c r="D9797" s="13" t="s">
        <v>118</v>
      </c>
      <c r="E9797" s="13" t="s">
        <v>17886</v>
      </c>
      <c r="F9797" s="43">
        <v>3554.32</v>
      </c>
    </row>
    <row r="9798" spans="2:6" x14ac:dyDescent="0.25">
      <c r="B9798" s="13" t="s">
        <v>17887</v>
      </c>
      <c r="C9798" s="17" t="s">
        <v>170</v>
      </c>
      <c r="D9798" s="13" t="s">
        <v>118</v>
      </c>
      <c r="E9798" s="13" t="s">
        <v>17888</v>
      </c>
      <c r="F9798" s="43">
        <v>3554.32</v>
      </c>
    </row>
    <row r="9799" spans="2:6" x14ac:dyDescent="0.25">
      <c r="B9799" s="13" t="s">
        <v>17889</v>
      </c>
      <c r="C9799" s="17" t="s">
        <v>170</v>
      </c>
      <c r="D9799" s="13" t="s">
        <v>118</v>
      </c>
      <c r="E9799" s="13" t="s">
        <v>17890</v>
      </c>
      <c r="F9799" s="43">
        <v>3554.32</v>
      </c>
    </row>
    <row r="9800" spans="2:6" x14ac:dyDescent="0.25">
      <c r="B9800" s="13" t="s">
        <v>17891</v>
      </c>
      <c r="C9800" s="17" t="s">
        <v>170</v>
      </c>
      <c r="D9800" s="13" t="s">
        <v>118</v>
      </c>
      <c r="E9800" s="13" t="s">
        <v>17892</v>
      </c>
      <c r="F9800" s="43">
        <v>3554.32</v>
      </c>
    </row>
    <row r="9801" spans="2:6" x14ac:dyDescent="0.25">
      <c r="B9801" s="13" t="s">
        <v>17893</v>
      </c>
      <c r="C9801" s="17" t="s">
        <v>170</v>
      </c>
      <c r="D9801" s="13" t="s">
        <v>118</v>
      </c>
      <c r="E9801" s="13" t="s">
        <v>17894</v>
      </c>
      <c r="F9801" s="43">
        <v>3554.32</v>
      </c>
    </row>
    <row r="9802" spans="2:6" x14ac:dyDescent="0.25">
      <c r="B9802" s="13" t="s">
        <v>17895</v>
      </c>
      <c r="C9802" s="17" t="s">
        <v>170</v>
      </c>
      <c r="D9802" s="13" t="s">
        <v>118</v>
      </c>
      <c r="E9802" s="13" t="s">
        <v>17896</v>
      </c>
      <c r="F9802" s="43">
        <v>3986.05</v>
      </c>
    </row>
    <row r="9803" spans="2:6" x14ac:dyDescent="0.25">
      <c r="B9803" s="13" t="s">
        <v>17897</v>
      </c>
      <c r="C9803" s="17" t="s">
        <v>170</v>
      </c>
      <c r="D9803" s="13" t="s">
        <v>118</v>
      </c>
      <c r="E9803" s="13" t="s">
        <v>17898</v>
      </c>
      <c r="F9803" s="43">
        <v>3986.05</v>
      </c>
    </row>
    <row r="9804" spans="2:6" x14ac:dyDescent="0.25">
      <c r="B9804" s="13" t="s">
        <v>17899</v>
      </c>
      <c r="C9804" s="17" t="s">
        <v>170</v>
      </c>
      <c r="D9804" s="13" t="s">
        <v>118</v>
      </c>
      <c r="E9804" s="13" t="s">
        <v>17900</v>
      </c>
      <c r="F9804" s="43">
        <v>3986.05</v>
      </c>
    </row>
    <row r="9805" spans="2:6" x14ac:dyDescent="0.25">
      <c r="B9805" s="13" t="s">
        <v>17901</v>
      </c>
      <c r="C9805" s="17" t="s">
        <v>170</v>
      </c>
      <c r="D9805" s="13" t="s">
        <v>118</v>
      </c>
      <c r="E9805" s="13" t="s">
        <v>17902</v>
      </c>
      <c r="F9805" s="43">
        <v>3986.05</v>
      </c>
    </row>
    <row r="9806" spans="2:6" x14ac:dyDescent="0.25">
      <c r="B9806" s="13" t="s">
        <v>17903</v>
      </c>
      <c r="C9806" s="17" t="s">
        <v>170</v>
      </c>
      <c r="D9806" s="13" t="s">
        <v>118</v>
      </c>
      <c r="E9806" s="13" t="s">
        <v>17904</v>
      </c>
      <c r="F9806" s="43">
        <v>3986.05</v>
      </c>
    </row>
    <row r="9807" spans="2:6" x14ac:dyDescent="0.25">
      <c r="B9807" s="13" t="s">
        <v>17905</v>
      </c>
      <c r="C9807" s="17" t="s">
        <v>170</v>
      </c>
      <c r="D9807" s="13" t="s">
        <v>118</v>
      </c>
      <c r="E9807" s="13" t="s">
        <v>17906</v>
      </c>
      <c r="F9807" s="43">
        <v>3986.05</v>
      </c>
    </row>
    <row r="9808" spans="2:6" x14ac:dyDescent="0.25">
      <c r="B9808" s="13" t="s">
        <v>17907</v>
      </c>
      <c r="C9808" s="17" t="s">
        <v>170</v>
      </c>
      <c r="D9808" s="13" t="s">
        <v>118</v>
      </c>
      <c r="E9808" s="13" t="s">
        <v>17908</v>
      </c>
      <c r="F9808" s="43">
        <v>3554.32</v>
      </c>
    </row>
    <row r="9809" spans="2:6" x14ac:dyDescent="0.25">
      <c r="B9809" s="13" t="s">
        <v>17909</v>
      </c>
      <c r="C9809" s="17" t="s">
        <v>170</v>
      </c>
      <c r="D9809" s="13" t="s">
        <v>118</v>
      </c>
      <c r="E9809" s="13" t="s">
        <v>17910</v>
      </c>
      <c r="F9809" s="43">
        <v>3554.32</v>
      </c>
    </row>
    <row r="9810" spans="2:6" x14ac:dyDescent="0.25">
      <c r="B9810" s="13" t="s">
        <v>17911</v>
      </c>
      <c r="C9810" s="17" t="s">
        <v>170</v>
      </c>
      <c r="D9810" s="13" t="s">
        <v>118</v>
      </c>
      <c r="E9810" s="13" t="s">
        <v>17912</v>
      </c>
      <c r="F9810" s="43">
        <v>3554.32</v>
      </c>
    </row>
    <row r="9811" spans="2:6" x14ac:dyDescent="0.25">
      <c r="B9811" s="13" t="s">
        <v>17913</v>
      </c>
      <c r="C9811" s="17" t="s">
        <v>170</v>
      </c>
      <c r="D9811" s="13" t="s">
        <v>118</v>
      </c>
      <c r="E9811" s="13" t="s">
        <v>17914</v>
      </c>
      <c r="F9811" s="43">
        <v>3554.32</v>
      </c>
    </row>
    <row r="9812" spans="2:6" x14ac:dyDescent="0.25">
      <c r="B9812" s="13" t="s">
        <v>17915</v>
      </c>
      <c r="C9812" s="17" t="s">
        <v>170</v>
      </c>
      <c r="D9812" s="13" t="s">
        <v>118</v>
      </c>
      <c r="E9812" s="13" t="s">
        <v>17916</v>
      </c>
      <c r="F9812" s="43">
        <v>3554.32</v>
      </c>
    </row>
    <row r="9813" spans="2:6" x14ac:dyDescent="0.25">
      <c r="B9813" s="13" t="s">
        <v>17917</v>
      </c>
      <c r="C9813" s="17" t="s">
        <v>170</v>
      </c>
      <c r="D9813" s="13" t="s">
        <v>118</v>
      </c>
      <c r="E9813" s="13" t="s">
        <v>17918</v>
      </c>
      <c r="F9813" s="43">
        <v>3554.32</v>
      </c>
    </row>
    <row r="9814" spans="2:6" x14ac:dyDescent="0.25">
      <c r="B9814" s="13" t="s">
        <v>17919</v>
      </c>
      <c r="C9814" s="17" t="s">
        <v>170</v>
      </c>
      <c r="D9814" s="13" t="s">
        <v>118</v>
      </c>
      <c r="E9814" s="13" t="s">
        <v>17920</v>
      </c>
      <c r="F9814" s="43">
        <v>3986.05</v>
      </c>
    </row>
    <row r="9815" spans="2:6" x14ac:dyDescent="0.25">
      <c r="B9815" s="13" t="s">
        <v>17921</v>
      </c>
      <c r="C9815" s="17" t="s">
        <v>170</v>
      </c>
      <c r="D9815" s="13" t="s">
        <v>118</v>
      </c>
      <c r="E9815" s="13" t="s">
        <v>17922</v>
      </c>
      <c r="F9815" s="43">
        <v>3986.05</v>
      </c>
    </row>
    <row r="9816" spans="2:6" x14ac:dyDescent="0.25">
      <c r="B9816" s="13" t="s">
        <v>17923</v>
      </c>
      <c r="C9816" s="17" t="s">
        <v>170</v>
      </c>
      <c r="D9816" s="13" t="s">
        <v>118</v>
      </c>
      <c r="E9816" s="13" t="s">
        <v>17924</v>
      </c>
      <c r="F9816" s="43">
        <v>3986.05</v>
      </c>
    </row>
    <row r="9817" spans="2:6" x14ac:dyDescent="0.25">
      <c r="B9817" s="13" t="s">
        <v>17925</v>
      </c>
      <c r="C9817" s="17" t="s">
        <v>170</v>
      </c>
      <c r="D9817" s="13" t="s">
        <v>118</v>
      </c>
      <c r="E9817" s="13" t="s">
        <v>17926</v>
      </c>
      <c r="F9817" s="43">
        <v>3986.05</v>
      </c>
    </row>
    <row r="9818" spans="2:6" x14ac:dyDescent="0.25">
      <c r="B9818" s="13" t="s">
        <v>17927</v>
      </c>
      <c r="C9818" s="17" t="s">
        <v>170</v>
      </c>
      <c r="D9818" s="13" t="s">
        <v>118</v>
      </c>
      <c r="E9818" s="13" t="s">
        <v>17928</v>
      </c>
      <c r="F9818" s="43">
        <v>3986.05</v>
      </c>
    </row>
    <row r="9819" spans="2:6" x14ac:dyDescent="0.25">
      <c r="B9819" s="13" t="s">
        <v>17929</v>
      </c>
      <c r="C9819" s="17" t="s">
        <v>170</v>
      </c>
      <c r="D9819" s="13" t="s">
        <v>118</v>
      </c>
      <c r="E9819" s="13" t="s">
        <v>17930</v>
      </c>
      <c r="F9819" s="43">
        <v>3986.05</v>
      </c>
    </row>
    <row r="9820" spans="2:6" x14ac:dyDescent="0.25">
      <c r="B9820" s="13" t="s">
        <v>17931</v>
      </c>
      <c r="C9820" s="17" t="s">
        <v>170</v>
      </c>
      <c r="D9820" s="13" t="s">
        <v>118</v>
      </c>
      <c r="E9820" s="13" t="s">
        <v>17932</v>
      </c>
      <c r="F9820" s="43">
        <v>115.12</v>
      </c>
    </row>
    <row r="9821" spans="2:6" x14ac:dyDescent="0.25">
      <c r="B9821" s="13" t="s">
        <v>17933</v>
      </c>
      <c r="C9821" s="17" t="s">
        <v>170</v>
      </c>
      <c r="D9821" s="13" t="s">
        <v>118</v>
      </c>
      <c r="E9821" s="13" t="s">
        <v>17934</v>
      </c>
      <c r="F9821" s="43">
        <v>115.12</v>
      </c>
    </row>
    <row r="9822" spans="2:6" x14ac:dyDescent="0.25">
      <c r="B9822" s="13" t="s">
        <v>17935</v>
      </c>
      <c r="C9822" s="17" t="s">
        <v>170</v>
      </c>
      <c r="D9822" s="13" t="s">
        <v>118</v>
      </c>
      <c r="E9822" s="13" t="s">
        <v>17936</v>
      </c>
      <c r="F9822" s="43">
        <v>115.12</v>
      </c>
    </row>
    <row r="9823" spans="2:6" x14ac:dyDescent="0.25">
      <c r="B9823" s="13" t="s">
        <v>17937</v>
      </c>
      <c r="C9823" s="17" t="s">
        <v>170</v>
      </c>
      <c r="D9823" s="13" t="s">
        <v>118</v>
      </c>
      <c r="E9823" s="13" t="s">
        <v>17938</v>
      </c>
      <c r="F9823" s="43">
        <v>935.45</v>
      </c>
    </row>
    <row r="9824" spans="2:6" x14ac:dyDescent="0.25">
      <c r="B9824" s="13" t="s">
        <v>17939</v>
      </c>
      <c r="C9824" s="17" t="s">
        <v>170</v>
      </c>
      <c r="D9824" s="13" t="s">
        <v>118</v>
      </c>
      <c r="E9824" s="13" t="s">
        <v>17940</v>
      </c>
      <c r="F9824" s="43">
        <v>1367.09</v>
      </c>
    </row>
    <row r="9825" spans="2:6" x14ac:dyDescent="0.25">
      <c r="B9825" s="13" t="s">
        <v>17941</v>
      </c>
      <c r="C9825" s="17" t="s">
        <v>170</v>
      </c>
      <c r="D9825" s="13" t="s">
        <v>118</v>
      </c>
      <c r="E9825" s="13"/>
      <c r="F9825" s="43">
        <v>0</v>
      </c>
    </row>
    <row r="9826" spans="2:6" x14ac:dyDescent="0.25">
      <c r="B9826" s="13">
        <v>1</v>
      </c>
      <c r="C9826" s="17" t="s">
        <v>170</v>
      </c>
      <c r="D9826" s="13" t="s">
        <v>118</v>
      </c>
      <c r="E9826" s="13" t="s">
        <v>17714</v>
      </c>
      <c r="F9826" s="43">
        <v>0</v>
      </c>
    </row>
    <row r="9827" spans="2:6" x14ac:dyDescent="0.25">
      <c r="B9827" s="13" t="s">
        <v>17370</v>
      </c>
      <c r="C9827" s="17" t="s">
        <v>170</v>
      </c>
      <c r="D9827" s="13" t="s">
        <v>118</v>
      </c>
      <c r="E9827" s="13" t="s">
        <v>17715</v>
      </c>
      <c r="F9827" s="43">
        <v>413.1</v>
      </c>
    </row>
    <row r="9828" spans="2:6" x14ac:dyDescent="0.25">
      <c r="B9828" s="13">
        <v>2</v>
      </c>
      <c r="C9828" s="17" t="s">
        <v>170</v>
      </c>
      <c r="D9828" s="13" t="s">
        <v>118</v>
      </c>
      <c r="E9828" s="13" t="s">
        <v>17716</v>
      </c>
      <c r="F9828" s="43">
        <v>0</v>
      </c>
    </row>
    <row r="9829" spans="2:6" x14ac:dyDescent="0.25">
      <c r="B9829" s="13" t="s">
        <v>17372</v>
      </c>
      <c r="C9829" s="17" t="s">
        <v>170</v>
      </c>
      <c r="D9829" s="13" t="s">
        <v>118</v>
      </c>
      <c r="E9829" s="13" t="s">
        <v>17717</v>
      </c>
      <c r="F9829" s="43">
        <v>413.1</v>
      </c>
    </row>
    <row r="9830" spans="2:6" x14ac:dyDescent="0.25">
      <c r="B9830" s="13" t="s">
        <v>17574</v>
      </c>
      <c r="C9830" s="17" t="s">
        <v>170</v>
      </c>
      <c r="D9830" s="13" t="s">
        <v>118</v>
      </c>
      <c r="E9830" s="13" t="s">
        <v>17718</v>
      </c>
      <c r="F9830" s="43">
        <v>0</v>
      </c>
    </row>
    <row r="9831" spans="2:6" x14ac:dyDescent="0.25">
      <c r="B9831" s="13" t="s">
        <v>17719</v>
      </c>
      <c r="C9831" s="17" t="s">
        <v>170</v>
      </c>
      <c r="D9831" s="13" t="s">
        <v>118</v>
      </c>
      <c r="E9831" s="13" t="s">
        <v>17720</v>
      </c>
      <c r="F9831" s="43">
        <v>0</v>
      </c>
    </row>
    <row r="9832" spans="2:6" x14ac:dyDescent="0.25">
      <c r="B9832" s="13" t="s">
        <v>17721</v>
      </c>
      <c r="C9832" s="17" t="s">
        <v>170</v>
      </c>
      <c r="D9832" s="13" t="s">
        <v>118</v>
      </c>
      <c r="E9832" s="13" t="s">
        <v>17722</v>
      </c>
      <c r="F9832" s="43">
        <v>0</v>
      </c>
    </row>
    <row r="9833" spans="2:6" x14ac:dyDescent="0.25">
      <c r="B9833" s="13" t="s">
        <v>17942</v>
      </c>
      <c r="C9833" s="17" t="s">
        <v>170</v>
      </c>
      <c r="D9833" s="13" t="s">
        <v>118</v>
      </c>
      <c r="E9833" s="13" t="s">
        <v>17943</v>
      </c>
      <c r="F9833" s="43">
        <v>0</v>
      </c>
    </row>
    <row r="9834" spans="2:6" x14ac:dyDescent="0.25">
      <c r="B9834" s="13" t="s">
        <v>17944</v>
      </c>
      <c r="C9834" s="17" t="s">
        <v>170</v>
      </c>
      <c r="D9834" s="13" t="s">
        <v>118</v>
      </c>
      <c r="E9834" s="13" t="s">
        <v>17945</v>
      </c>
      <c r="F9834" s="43">
        <v>0</v>
      </c>
    </row>
    <row r="9835" spans="2:6" x14ac:dyDescent="0.25">
      <c r="B9835" s="13" t="s">
        <v>17946</v>
      </c>
      <c r="C9835" s="17" t="s">
        <v>170</v>
      </c>
      <c r="D9835" s="13" t="s">
        <v>118</v>
      </c>
      <c r="E9835" s="13" t="s">
        <v>17947</v>
      </c>
      <c r="F9835" s="43">
        <v>0</v>
      </c>
    </row>
    <row r="9836" spans="2:6" x14ac:dyDescent="0.25">
      <c r="B9836" s="13" t="s">
        <v>17848</v>
      </c>
      <c r="C9836" s="17" t="s">
        <v>170</v>
      </c>
      <c r="D9836" s="13" t="s">
        <v>118</v>
      </c>
      <c r="E9836" s="13" t="s">
        <v>17948</v>
      </c>
      <c r="F9836" s="43">
        <v>0</v>
      </c>
    </row>
    <row r="9837" spans="2:6" x14ac:dyDescent="0.25">
      <c r="B9837" s="13" t="s">
        <v>17949</v>
      </c>
      <c r="C9837" s="17" t="s">
        <v>170</v>
      </c>
      <c r="D9837" s="13" t="s">
        <v>118</v>
      </c>
      <c r="E9837" s="13" t="s">
        <v>17950</v>
      </c>
      <c r="F9837" s="43">
        <v>0</v>
      </c>
    </row>
    <row r="9838" spans="2:6" x14ac:dyDescent="0.25">
      <c r="B9838" s="13" t="s">
        <v>17951</v>
      </c>
      <c r="C9838" s="17" t="s">
        <v>170</v>
      </c>
      <c r="D9838" s="13" t="s">
        <v>118</v>
      </c>
      <c r="E9838" s="13" t="s">
        <v>17952</v>
      </c>
      <c r="F9838" s="43">
        <v>0</v>
      </c>
    </row>
    <row r="9839" spans="2:6" x14ac:dyDescent="0.25">
      <c r="B9839" s="13" t="s">
        <v>17856</v>
      </c>
      <c r="C9839" s="17" t="s">
        <v>170</v>
      </c>
      <c r="D9839" s="13" t="s">
        <v>118</v>
      </c>
      <c r="E9839" s="13" t="s">
        <v>17953</v>
      </c>
      <c r="F9839" s="43">
        <v>0</v>
      </c>
    </row>
    <row r="9840" spans="2:6" x14ac:dyDescent="0.25">
      <c r="B9840" s="13" t="s">
        <v>17414</v>
      </c>
      <c r="C9840" s="17" t="s">
        <v>170</v>
      </c>
      <c r="D9840" s="13" t="s">
        <v>118</v>
      </c>
      <c r="E9840" s="13" t="s">
        <v>17954</v>
      </c>
      <c r="F9840" s="43">
        <v>2643.84</v>
      </c>
    </row>
    <row r="9841" spans="2:6" x14ac:dyDescent="0.25">
      <c r="B9841" s="13">
        <v>2</v>
      </c>
      <c r="C9841" s="17" t="s">
        <v>170</v>
      </c>
      <c r="D9841" s="13" t="s">
        <v>118</v>
      </c>
      <c r="E9841" s="13" t="s">
        <v>17955</v>
      </c>
      <c r="F9841" s="43">
        <v>0</v>
      </c>
    </row>
    <row r="9842" spans="2:6" x14ac:dyDescent="0.25">
      <c r="B9842" s="13">
        <v>5</v>
      </c>
      <c r="C9842" s="17" t="s">
        <v>170</v>
      </c>
      <c r="D9842" s="13" t="s">
        <v>118</v>
      </c>
      <c r="E9842" s="13">
        <v>5.0000000000000001E-4</v>
      </c>
      <c r="F9842" s="43">
        <v>0</v>
      </c>
    </row>
    <row r="9843" spans="2:6" x14ac:dyDescent="0.25">
      <c r="B9843" s="13" t="s">
        <v>17762</v>
      </c>
      <c r="C9843" s="17" t="s">
        <v>170</v>
      </c>
      <c r="D9843" s="13" t="s">
        <v>118</v>
      </c>
      <c r="E9843" s="13" t="s">
        <v>17763</v>
      </c>
      <c r="F9843" s="43">
        <v>0</v>
      </c>
    </row>
    <row r="9844" spans="2:6" x14ac:dyDescent="0.25">
      <c r="B9844" s="13" t="s">
        <v>17764</v>
      </c>
      <c r="C9844" s="17" t="s">
        <v>170</v>
      </c>
      <c r="D9844" s="13" t="s">
        <v>118</v>
      </c>
      <c r="E9844" s="13" t="s">
        <v>17956</v>
      </c>
      <c r="F9844" s="43">
        <v>143.94999999999999</v>
      </c>
    </row>
    <row r="9845" spans="2:6" x14ac:dyDescent="0.25">
      <c r="B9845" s="13" t="s">
        <v>17766</v>
      </c>
      <c r="C9845" s="17" t="s">
        <v>170</v>
      </c>
      <c r="D9845" s="13" t="s">
        <v>118</v>
      </c>
      <c r="E9845" s="13" t="s">
        <v>17957</v>
      </c>
      <c r="F9845" s="43">
        <v>143.94999999999999</v>
      </c>
    </row>
    <row r="9846" spans="2:6" x14ac:dyDescent="0.25">
      <c r="B9846" s="13" t="s">
        <v>17858</v>
      </c>
      <c r="C9846" s="17" t="s">
        <v>170</v>
      </c>
      <c r="D9846" s="13" t="s">
        <v>118</v>
      </c>
      <c r="E9846" s="13" t="s">
        <v>17958</v>
      </c>
      <c r="F9846" s="43">
        <v>0</v>
      </c>
    </row>
    <row r="9847" spans="2:6" x14ac:dyDescent="0.25">
      <c r="B9847" s="13" t="s">
        <v>17559</v>
      </c>
      <c r="C9847" s="17" t="s">
        <v>170</v>
      </c>
      <c r="D9847" s="13" t="s">
        <v>118</v>
      </c>
      <c r="E9847" s="13" t="s">
        <v>17959</v>
      </c>
      <c r="F9847" s="43">
        <v>0</v>
      </c>
    </row>
    <row r="9848" spans="2:6" x14ac:dyDescent="0.25">
      <c r="B9848" s="13" t="s">
        <v>17861</v>
      </c>
      <c r="C9848" s="17" t="s">
        <v>170</v>
      </c>
      <c r="D9848" s="13" t="s">
        <v>118</v>
      </c>
      <c r="E9848" s="13" t="s">
        <v>17960</v>
      </c>
      <c r="F9848" s="43">
        <v>0</v>
      </c>
    </row>
    <row r="9849" spans="2:6" x14ac:dyDescent="0.25">
      <c r="B9849" s="13" t="s">
        <v>17770</v>
      </c>
      <c r="C9849" s="17" t="s">
        <v>170</v>
      </c>
      <c r="D9849" s="13" t="s">
        <v>118</v>
      </c>
      <c r="E9849" s="13" t="s">
        <v>17961</v>
      </c>
      <c r="F9849" s="43">
        <v>0</v>
      </c>
    </row>
    <row r="9850" spans="2:6" x14ac:dyDescent="0.25">
      <c r="B9850" s="13" t="s">
        <v>17962</v>
      </c>
      <c r="C9850" s="17" t="s">
        <v>170</v>
      </c>
      <c r="D9850" s="13" t="s">
        <v>118</v>
      </c>
      <c r="E9850" s="13" t="s">
        <v>17963</v>
      </c>
      <c r="F9850" s="43">
        <v>143.94999999999999</v>
      </c>
    </row>
    <row r="9851" spans="2:6" x14ac:dyDescent="0.25">
      <c r="B9851" s="13" t="s">
        <v>17964</v>
      </c>
      <c r="C9851" s="17" t="s">
        <v>170</v>
      </c>
      <c r="D9851" s="13" t="s">
        <v>118</v>
      </c>
      <c r="E9851" s="13" t="s">
        <v>17965</v>
      </c>
      <c r="F9851" s="43">
        <v>143.94999999999999</v>
      </c>
    </row>
    <row r="9852" spans="2:6" x14ac:dyDescent="0.25">
      <c r="B9852" s="13" t="s">
        <v>17576</v>
      </c>
      <c r="C9852" s="17" t="s">
        <v>170</v>
      </c>
      <c r="D9852" s="13" t="s">
        <v>118</v>
      </c>
      <c r="E9852" s="13" t="s">
        <v>17966</v>
      </c>
      <c r="F9852" s="43">
        <v>0</v>
      </c>
    </row>
    <row r="9853" spans="2:6" x14ac:dyDescent="0.25">
      <c r="B9853" s="13">
        <v>6</v>
      </c>
      <c r="C9853" s="17" t="s">
        <v>170</v>
      </c>
      <c r="D9853" s="13" t="s">
        <v>118</v>
      </c>
      <c r="E9853" s="13" t="s">
        <v>17566</v>
      </c>
      <c r="F9853" s="43">
        <v>0</v>
      </c>
    </row>
    <row r="9854" spans="2:6" x14ac:dyDescent="0.25">
      <c r="B9854" s="13">
        <v>6</v>
      </c>
      <c r="C9854" s="17" t="s">
        <v>170</v>
      </c>
      <c r="D9854" s="13" t="s">
        <v>118</v>
      </c>
      <c r="E9854" s="13" t="s">
        <v>17967</v>
      </c>
      <c r="F9854" s="43">
        <v>0</v>
      </c>
    </row>
    <row r="9855" spans="2:6" x14ac:dyDescent="0.25">
      <c r="B9855" s="13" t="s">
        <v>17370</v>
      </c>
      <c r="C9855" s="17" t="s">
        <v>170</v>
      </c>
      <c r="D9855" s="13" t="s">
        <v>118</v>
      </c>
      <c r="E9855" s="13" t="s">
        <v>17570</v>
      </c>
      <c r="F9855" s="43">
        <v>413.1</v>
      </c>
    </row>
    <row r="9856" spans="2:6" x14ac:dyDescent="0.25">
      <c r="B9856" s="13" t="s">
        <v>17580</v>
      </c>
      <c r="C9856" s="17" t="s">
        <v>170</v>
      </c>
      <c r="D9856" s="13" t="s">
        <v>118</v>
      </c>
      <c r="E9856" s="13" t="s">
        <v>17784</v>
      </c>
      <c r="F9856" s="43">
        <v>0</v>
      </c>
    </row>
    <row r="9857" spans="2:6" x14ac:dyDescent="0.25">
      <c r="B9857" s="13" t="s">
        <v>17968</v>
      </c>
      <c r="C9857" s="17" t="s">
        <v>170</v>
      </c>
      <c r="D9857" s="13" t="s">
        <v>118</v>
      </c>
      <c r="E9857" s="13" t="s">
        <v>17969</v>
      </c>
      <c r="F9857" s="43">
        <v>143.94999999999999</v>
      </c>
    </row>
    <row r="9858" spans="2:6" x14ac:dyDescent="0.25">
      <c r="B9858" s="13" t="s">
        <v>17881</v>
      </c>
      <c r="C9858" s="17" t="s">
        <v>170</v>
      </c>
      <c r="D9858" s="13" t="s">
        <v>118</v>
      </c>
      <c r="E9858" s="13" t="s">
        <v>17970</v>
      </c>
      <c r="F9858" s="43">
        <v>127.5</v>
      </c>
    </row>
    <row r="9859" spans="2:6" x14ac:dyDescent="0.25">
      <c r="B9859" s="13" t="s">
        <v>17971</v>
      </c>
      <c r="C9859" s="17" t="s">
        <v>170</v>
      </c>
      <c r="D9859" s="13" t="s">
        <v>118</v>
      </c>
      <c r="E9859" s="13" t="s">
        <v>17972</v>
      </c>
      <c r="F9859" s="43">
        <v>115.12</v>
      </c>
    </row>
    <row r="9860" spans="2:6" x14ac:dyDescent="0.25">
      <c r="B9860" s="13" t="s">
        <v>17973</v>
      </c>
      <c r="C9860" s="17" t="s">
        <v>170</v>
      </c>
      <c r="D9860" s="13" t="s">
        <v>118</v>
      </c>
      <c r="E9860" s="13" t="s">
        <v>17974</v>
      </c>
      <c r="F9860" s="43">
        <v>115.12</v>
      </c>
    </row>
    <row r="9861" spans="2:6" x14ac:dyDescent="0.25">
      <c r="B9861" s="13" t="s">
        <v>17975</v>
      </c>
      <c r="C9861" s="17" t="s">
        <v>170</v>
      </c>
      <c r="D9861" s="13" t="s">
        <v>118</v>
      </c>
      <c r="E9861" s="13" t="s">
        <v>17976</v>
      </c>
      <c r="F9861" s="43">
        <v>115.12</v>
      </c>
    </row>
    <row r="9862" spans="2:6" x14ac:dyDescent="0.25">
      <c r="B9862" s="13" t="s">
        <v>17977</v>
      </c>
      <c r="C9862" s="17" t="s">
        <v>170</v>
      </c>
      <c r="D9862" s="13" t="s">
        <v>118</v>
      </c>
      <c r="E9862" s="13" t="s">
        <v>17978</v>
      </c>
      <c r="F9862" s="43">
        <v>935.45</v>
      </c>
    </row>
    <row r="9863" spans="2:6" x14ac:dyDescent="0.25">
      <c r="B9863" s="13" t="s">
        <v>17979</v>
      </c>
      <c r="C9863" s="17" t="s">
        <v>170</v>
      </c>
      <c r="D9863" s="13" t="s">
        <v>118</v>
      </c>
      <c r="E9863" s="13" t="s">
        <v>17980</v>
      </c>
      <c r="F9863" s="43">
        <v>1367.09</v>
      </c>
    </row>
    <row r="9864" spans="2:6" x14ac:dyDescent="0.25">
      <c r="B9864" s="13" t="s">
        <v>17785</v>
      </c>
      <c r="C9864" s="17" t="s">
        <v>170</v>
      </c>
      <c r="D9864" s="13" t="s">
        <v>118</v>
      </c>
      <c r="E9864" s="13" t="s">
        <v>17786</v>
      </c>
      <c r="F9864" s="43">
        <v>0</v>
      </c>
    </row>
    <row r="9865" spans="2:6" x14ac:dyDescent="0.25">
      <c r="B9865" s="13" t="s">
        <v>17981</v>
      </c>
      <c r="C9865" s="17" t="s">
        <v>170</v>
      </c>
      <c r="D9865" s="13" t="s">
        <v>118</v>
      </c>
      <c r="E9865" s="13" t="s">
        <v>17982</v>
      </c>
      <c r="F9865" s="43">
        <v>3122.67</v>
      </c>
    </row>
    <row r="9866" spans="2:6" x14ac:dyDescent="0.25">
      <c r="B9866" s="13" t="s">
        <v>17983</v>
      </c>
      <c r="C9866" s="17" t="s">
        <v>170</v>
      </c>
      <c r="D9866" s="13" t="s">
        <v>118</v>
      </c>
      <c r="E9866" s="13" t="s">
        <v>17984</v>
      </c>
      <c r="F9866" s="43">
        <v>3122.67</v>
      </c>
    </row>
    <row r="9867" spans="2:6" x14ac:dyDescent="0.25">
      <c r="B9867" s="13" t="s">
        <v>17985</v>
      </c>
      <c r="C9867" s="17" t="s">
        <v>170</v>
      </c>
      <c r="D9867" s="13" t="s">
        <v>118</v>
      </c>
      <c r="E9867" s="13" t="s">
        <v>17986</v>
      </c>
      <c r="F9867" s="43">
        <v>3122.67</v>
      </c>
    </row>
    <row r="9868" spans="2:6" x14ac:dyDescent="0.25">
      <c r="B9868" s="13" t="s">
        <v>17987</v>
      </c>
      <c r="C9868" s="17" t="s">
        <v>170</v>
      </c>
      <c r="D9868" s="13" t="s">
        <v>118</v>
      </c>
      <c r="E9868" s="13" t="s">
        <v>17988</v>
      </c>
      <c r="F9868" s="43">
        <v>3122.67</v>
      </c>
    </row>
    <row r="9869" spans="2:6" x14ac:dyDescent="0.25">
      <c r="B9869" s="13" t="s">
        <v>17989</v>
      </c>
      <c r="C9869" s="17" t="s">
        <v>170</v>
      </c>
      <c r="D9869" s="13" t="s">
        <v>118</v>
      </c>
      <c r="E9869" s="13" t="s">
        <v>17990</v>
      </c>
      <c r="F9869" s="43">
        <v>3050.89</v>
      </c>
    </row>
    <row r="9870" spans="2:6" x14ac:dyDescent="0.25">
      <c r="B9870" s="13" t="s">
        <v>17991</v>
      </c>
      <c r="C9870" s="17" t="s">
        <v>170</v>
      </c>
      <c r="D9870" s="13" t="s">
        <v>118</v>
      </c>
      <c r="E9870" s="13" t="s">
        <v>17992</v>
      </c>
      <c r="F9870" s="43">
        <v>3050.89</v>
      </c>
    </row>
    <row r="9871" spans="2:6" x14ac:dyDescent="0.25">
      <c r="B9871" s="13" t="s">
        <v>17993</v>
      </c>
      <c r="C9871" s="17" t="s">
        <v>170</v>
      </c>
      <c r="D9871" s="13" t="s">
        <v>118</v>
      </c>
      <c r="E9871" s="13" t="s">
        <v>17994</v>
      </c>
      <c r="F9871" s="43">
        <v>3842.11</v>
      </c>
    </row>
    <row r="9872" spans="2:6" x14ac:dyDescent="0.25">
      <c r="B9872" s="13" t="s">
        <v>17995</v>
      </c>
      <c r="C9872" s="17" t="s">
        <v>170</v>
      </c>
      <c r="D9872" s="13" t="s">
        <v>118</v>
      </c>
      <c r="E9872" s="13" t="s">
        <v>17996</v>
      </c>
      <c r="F9872" s="43">
        <v>3698.35</v>
      </c>
    </row>
    <row r="9873" spans="2:6" x14ac:dyDescent="0.25">
      <c r="B9873" s="13" t="s">
        <v>17997</v>
      </c>
      <c r="C9873" s="17" t="s">
        <v>170</v>
      </c>
      <c r="D9873" s="13" t="s">
        <v>118</v>
      </c>
      <c r="E9873" s="13" t="s">
        <v>17998</v>
      </c>
      <c r="F9873" s="43">
        <v>3986.05</v>
      </c>
    </row>
    <row r="9874" spans="2:6" x14ac:dyDescent="0.25">
      <c r="B9874" s="13" t="s">
        <v>17999</v>
      </c>
      <c r="C9874" s="17" t="s">
        <v>170</v>
      </c>
      <c r="D9874" s="13" t="s">
        <v>118</v>
      </c>
      <c r="E9874" s="13" t="s">
        <v>18000</v>
      </c>
      <c r="F9874" s="43">
        <v>3986.05</v>
      </c>
    </row>
    <row r="9875" spans="2:6" x14ac:dyDescent="0.25">
      <c r="B9875" s="13" t="s">
        <v>18001</v>
      </c>
      <c r="C9875" s="17" t="s">
        <v>170</v>
      </c>
      <c r="D9875" s="13" t="s">
        <v>118</v>
      </c>
      <c r="E9875" s="13" t="s">
        <v>18002</v>
      </c>
      <c r="F9875" s="43">
        <v>3986.05</v>
      </c>
    </row>
    <row r="9876" spans="2:6" x14ac:dyDescent="0.25">
      <c r="B9876" s="13" t="s">
        <v>18003</v>
      </c>
      <c r="C9876" s="17" t="s">
        <v>170</v>
      </c>
      <c r="D9876" s="13" t="s">
        <v>118</v>
      </c>
      <c r="E9876" s="13" t="s">
        <v>18004</v>
      </c>
      <c r="F9876" s="43">
        <v>2547.09</v>
      </c>
    </row>
    <row r="9877" spans="2:6" x14ac:dyDescent="0.25">
      <c r="B9877" s="13" t="s">
        <v>18005</v>
      </c>
      <c r="C9877" s="17" t="s">
        <v>170</v>
      </c>
      <c r="D9877" s="13" t="s">
        <v>118</v>
      </c>
      <c r="E9877" s="13" t="s">
        <v>18006</v>
      </c>
      <c r="F9877" s="43">
        <v>71.150000000000006</v>
      </c>
    </row>
    <row r="9878" spans="2:6" x14ac:dyDescent="0.25">
      <c r="B9878" s="13" t="s">
        <v>18007</v>
      </c>
      <c r="C9878" s="17" t="s">
        <v>170</v>
      </c>
      <c r="D9878" s="13" t="s">
        <v>118</v>
      </c>
      <c r="E9878" s="13" t="s">
        <v>18008</v>
      </c>
      <c r="F9878" s="43">
        <v>71.150000000000006</v>
      </c>
    </row>
    <row r="9879" spans="2:6" x14ac:dyDescent="0.25">
      <c r="B9879" s="13" t="s">
        <v>18009</v>
      </c>
      <c r="C9879" s="17" t="s">
        <v>170</v>
      </c>
      <c r="D9879" s="13" t="s">
        <v>118</v>
      </c>
      <c r="E9879" s="13" t="s">
        <v>18010</v>
      </c>
      <c r="F9879" s="43">
        <v>71.150000000000006</v>
      </c>
    </row>
    <row r="9880" spans="2:6" x14ac:dyDescent="0.25">
      <c r="B9880" s="13" t="s">
        <v>18011</v>
      </c>
      <c r="C9880" s="17" t="s">
        <v>170</v>
      </c>
      <c r="D9880" s="13" t="s">
        <v>118</v>
      </c>
      <c r="E9880" s="13" t="s">
        <v>18012</v>
      </c>
      <c r="F9880" s="43">
        <v>71.150000000000006</v>
      </c>
    </row>
    <row r="9881" spans="2:6" x14ac:dyDescent="0.25">
      <c r="B9881" s="13" t="s">
        <v>18013</v>
      </c>
      <c r="C9881" s="17" t="s">
        <v>170</v>
      </c>
      <c r="D9881" s="13" t="s">
        <v>118</v>
      </c>
      <c r="E9881" s="13" t="s">
        <v>18014</v>
      </c>
      <c r="F9881" s="43">
        <v>71.150000000000006</v>
      </c>
    </row>
    <row r="9882" spans="2:6" x14ac:dyDescent="0.25">
      <c r="B9882" s="13" t="s">
        <v>18015</v>
      </c>
      <c r="C9882" s="17" t="s">
        <v>170</v>
      </c>
      <c r="D9882" s="13" t="s">
        <v>118</v>
      </c>
      <c r="E9882" s="13" t="s">
        <v>18016</v>
      </c>
      <c r="F9882" s="43">
        <v>71.150000000000006</v>
      </c>
    </row>
    <row r="9883" spans="2:6" x14ac:dyDescent="0.25">
      <c r="B9883" s="13" t="s">
        <v>18017</v>
      </c>
      <c r="C9883" s="17" t="s">
        <v>170</v>
      </c>
      <c r="D9883" s="13" t="s">
        <v>118</v>
      </c>
      <c r="E9883" s="13" t="s">
        <v>18018</v>
      </c>
      <c r="F9883" s="43">
        <v>71.150000000000006</v>
      </c>
    </row>
    <row r="9884" spans="2:6" x14ac:dyDescent="0.25">
      <c r="B9884" s="13" t="s">
        <v>18019</v>
      </c>
      <c r="C9884" s="17" t="s">
        <v>170</v>
      </c>
      <c r="D9884" s="13" t="s">
        <v>118</v>
      </c>
      <c r="E9884" s="13" t="s">
        <v>18020</v>
      </c>
      <c r="F9884" s="43">
        <v>71.150000000000006</v>
      </c>
    </row>
    <row r="9885" spans="2:6" x14ac:dyDescent="0.25">
      <c r="B9885" s="13" t="s">
        <v>18021</v>
      </c>
      <c r="C9885" s="17" t="s">
        <v>170</v>
      </c>
      <c r="D9885" s="13" t="s">
        <v>118</v>
      </c>
      <c r="E9885" s="13" t="s">
        <v>18022</v>
      </c>
      <c r="F9885" s="43">
        <v>71.150000000000006</v>
      </c>
    </row>
    <row r="9886" spans="2:6" x14ac:dyDescent="0.25">
      <c r="B9886" s="13" t="s">
        <v>18023</v>
      </c>
      <c r="C9886" s="17" t="s">
        <v>170</v>
      </c>
      <c r="D9886" s="13" t="s">
        <v>118</v>
      </c>
      <c r="E9886" s="13" t="s">
        <v>18024</v>
      </c>
      <c r="F9886" s="43">
        <v>71.150000000000006</v>
      </c>
    </row>
    <row r="9887" spans="2:6" x14ac:dyDescent="0.25">
      <c r="B9887" s="13" t="s">
        <v>18025</v>
      </c>
      <c r="C9887" s="17" t="s">
        <v>170</v>
      </c>
      <c r="D9887" s="13" t="s">
        <v>118</v>
      </c>
      <c r="E9887" s="13" t="s">
        <v>18026</v>
      </c>
      <c r="F9887" s="43">
        <v>71.150000000000006</v>
      </c>
    </row>
    <row r="9888" spans="2:6" x14ac:dyDescent="0.25">
      <c r="B9888" s="13" t="s">
        <v>18027</v>
      </c>
      <c r="C9888" s="17" t="s">
        <v>170</v>
      </c>
      <c r="D9888" s="13" t="s">
        <v>118</v>
      </c>
      <c r="E9888" s="13" t="s">
        <v>18028</v>
      </c>
      <c r="F9888" s="43">
        <v>71.150000000000006</v>
      </c>
    </row>
    <row r="9889" spans="2:6" x14ac:dyDescent="0.25">
      <c r="B9889" s="13" t="s">
        <v>16311</v>
      </c>
      <c r="C9889" s="17" t="s">
        <v>170</v>
      </c>
      <c r="D9889" s="13" t="s">
        <v>118</v>
      </c>
      <c r="E9889" s="13" t="s">
        <v>18029</v>
      </c>
      <c r="F9889" s="43">
        <v>87.44</v>
      </c>
    </row>
    <row r="9890" spans="2:6" x14ac:dyDescent="0.25">
      <c r="B9890" s="13" t="s">
        <v>16313</v>
      </c>
      <c r="C9890" s="17" t="s">
        <v>170</v>
      </c>
      <c r="D9890" s="13" t="s">
        <v>118</v>
      </c>
      <c r="E9890" s="13" t="s">
        <v>18030</v>
      </c>
      <c r="F9890" s="43">
        <v>93.64</v>
      </c>
    </row>
    <row r="9891" spans="2:6" x14ac:dyDescent="0.25">
      <c r="B9891" s="13" t="s">
        <v>18031</v>
      </c>
      <c r="C9891" s="17" t="s">
        <v>170</v>
      </c>
      <c r="D9891" s="13" t="s">
        <v>118</v>
      </c>
      <c r="E9891" s="13" t="s">
        <v>18032</v>
      </c>
      <c r="F9891" s="43">
        <v>206.55</v>
      </c>
    </row>
    <row r="9892" spans="2:6" x14ac:dyDescent="0.25">
      <c r="B9892" s="13" t="s">
        <v>18033</v>
      </c>
      <c r="C9892" s="17" t="s">
        <v>170</v>
      </c>
      <c r="D9892" s="13" t="s">
        <v>118</v>
      </c>
      <c r="E9892" s="13" t="s">
        <v>18034</v>
      </c>
      <c r="F9892" s="43">
        <v>206.55</v>
      </c>
    </row>
    <row r="9893" spans="2:6" x14ac:dyDescent="0.25">
      <c r="B9893" s="13" t="s">
        <v>18035</v>
      </c>
      <c r="C9893" s="17" t="s">
        <v>170</v>
      </c>
      <c r="D9893" s="13" t="s">
        <v>118</v>
      </c>
      <c r="E9893" s="13" t="s">
        <v>18036</v>
      </c>
      <c r="F9893" s="43">
        <v>206.55</v>
      </c>
    </row>
    <row r="9894" spans="2:6" x14ac:dyDescent="0.25">
      <c r="B9894" s="13" t="s">
        <v>18037</v>
      </c>
      <c r="C9894" s="17" t="s">
        <v>170</v>
      </c>
      <c r="D9894" s="13" t="s">
        <v>118</v>
      </c>
      <c r="E9894" s="13" t="s">
        <v>18038</v>
      </c>
      <c r="F9894" s="43">
        <v>206.55</v>
      </c>
    </row>
    <row r="9895" spans="2:6" x14ac:dyDescent="0.25">
      <c r="B9895" s="13" t="s">
        <v>18039</v>
      </c>
      <c r="C9895" s="17" t="s">
        <v>170</v>
      </c>
      <c r="D9895" s="13" t="s">
        <v>118</v>
      </c>
      <c r="E9895" s="13" t="s">
        <v>18040</v>
      </c>
      <c r="F9895" s="43">
        <v>206.55</v>
      </c>
    </row>
    <row r="9896" spans="2:6" x14ac:dyDescent="0.25">
      <c r="B9896" s="13" t="s">
        <v>18041</v>
      </c>
      <c r="C9896" s="17" t="s">
        <v>170</v>
      </c>
      <c r="D9896" s="13" t="s">
        <v>118</v>
      </c>
      <c r="E9896" s="13" t="s">
        <v>18042</v>
      </c>
      <c r="F9896" s="43">
        <v>206.55</v>
      </c>
    </row>
    <row r="9897" spans="2:6" x14ac:dyDescent="0.25">
      <c r="B9897" s="13" t="s">
        <v>18043</v>
      </c>
      <c r="C9897" s="17" t="s">
        <v>170</v>
      </c>
      <c r="D9897" s="13" t="s">
        <v>118</v>
      </c>
      <c r="E9897" s="13" t="s">
        <v>18044</v>
      </c>
      <c r="F9897" s="43">
        <v>206.55</v>
      </c>
    </row>
    <row r="9898" spans="2:6" x14ac:dyDescent="0.25">
      <c r="B9898" s="13" t="s">
        <v>18045</v>
      </c>
      <c r="C9898" s="17" t="s">
        <v>170</v>
      </c>
      <c r="D9898" s="13" t="s">
        <v>118</v>
      </c>
      <c r="E9898" s="13" t="s">
        <v>18046</v>
      </c>
      <c r="F9898" s="43">
        <v>2034.9</v>
      </c>
    </row>
    <row r="9899" spans="2:6" x14ac:dyDescent="0.25">
      <c r="B9899" s="13" t="s">
        <v>18047</v>
      </c>
      <c r="C9899" s="17" t="s">
        <v>170</v>
      </c>
      <c r="D9899" s="13" t="s">
        <v>118</v>
      </c>
      <c r="E9899" s="13" t="s">
        <v>18048</v>
      </c>
      <c r="F9899" s="43">
        <v>2034.9</v>
      </c>
    </row>
    <row r="9900" spans="2:6" x14ac:dyDescent="0.25">
      <c r="B9900" s="13" t="s">
        <v>18049</v>
      </c>
      <c r="C9900" s="17" t="s">
        <v>170</v>
      </c>
      <c r="D9900" s="13" t="s">
        <v>118</v>
      </c>
      <c r="E9900" s="13" t="s">
        <v>18050</v>
      </c>
      <c r="F9900" s="43">
        <v>2034.9</v>
      </c>
    </row>
    <row r="9901" spans="2:6" x14ac:dyDescent="0.25">
      <c r="B9901" s="13" t="s">
        <v>18051</v>
      </c>
      <c r="C9901" s="17" t="s">
        <v>170</v>
      </c>
      <c r="D9901" s="13" t="s">
        <v>118</v>
      </c>
      <c r="E9901" s="13" t="s">
        <v>18052</v>
      </c>
      <c r="F9901" s="43">
        <v>2034.9</v>
      </c>
    </row>
    <row r="9902" spans="2:6" x14ac:dyDescent="0.25">
      <c r="B9902" s="13" t="s">
        <v>18053</v>
      </c>
      <c r="C9902" s="17" t="s">
        <v>170</v>
      </c>
      <c r="D9902" s="13" t="s">
        <v>118</v>
      </c>
      <c r="E9902" s="13" t="s">
        <v>18054</v>
      </c>
      <c r="F9902" s="43">
        <v>2034.9</v>
      </c>
    </row>
    <row r="9903" spans="2:6" x14ac:dyDescent="0.25">
      <c r="B9903" s="13" t="s">
        <v>18055</v>
      </c>
      <c r="C9903" s="17" t="s">
        <v>170</v>
      </c>
      <c r="D9903" s="13" t="s">
        <v>118</v>
      </c>
      <c r="E9903" s="13" t="s">
        <v>18056</v>
      </c>
      <c r="F9903" s="43">
        <v>2034.9</v>
      </c>
    </row>
    <row r="9904" spans="2:6" x14ac:dyDescent="0.25">
      <c r="B9904" s="13" t="s">
        <v>18057</v>
      </c>
      <c r="C9904" s="17" t="s">
        <v>170</v>
      </c>
      <c r="D9904" s="13" t="s">
        <v>118</v>
      </c>
      <c r="E9904" s="13" t="s">
        <v>18058</v>
      </c>
      <c r="F9904" s="43">
        <v>2034.9</v>
      </c>
    </row>
    <row r="9905" spans="2:6" x14ac:dyDescent="0.25">
      <c r="B9905" s="13" t="s">
        <v>18059</v>
      </c>
      <c r="C9905" s="17" t="s">
        <v>170</v>
      </c>
      <c r="D9905" s="13" t="s">
        <v>118</v>
      </c>
      <c r="E9905" s="13" t="s">
        <v>18060</v>
      </c>
      <c r="F9905" s="43">
        <v>2034.9</v>
      </c>
    </row>
    <row r="9906" spans="2:6" x14ac:dyDescent="0.25">
      <c r="B9906" s="13" t="s">
        <v>18061</v>
      </c>
      <c r="C9906" s="17" t="s">
        <v>170</v>
      </c>
      <c r="D9906" s="13" t="s">
        <v>118</v>
      </c>
      <c r="E9906" s="13" t="s">
        <v>18062</v>
      </c>
      <c r="F9906" s="43">
        <v>2034.9</v>
      </c>
    </row>
    <row r="9907" spans="2:6" x14ac:dyDescent="0.25">
      <c r="B9907" s="13" t="s">
        <v>18063</v>
      </c>
      <c r="C9907" s="17" t="s">
        <v>170</v>
      </c>
      <c r="D9907" s="13" t="s">
        <v>118</v>
      </c>
      <c r="E9907" s="13" t="s">
        <v>18064</v>
      </c>
      <c r="F9907" s="43">
        <v>2034.9</v>
      </c>
    </row>
    <row r="9908" spans="2:6" x14ac:dyDescent="0.25">
      <c r="B9908" s="13" t="s">
        <v>18065</v>
      </c>
      <c r="C9908" s="17" t="s">
        <v>170</v>
      </c>
      <c r="D9908" s="13" t="s">
        <v>118</v>
      </c>
      <c r="E9908" s="13" t="s">
        <v>18066</v>
      </c>
      <c r="F9908" s="43">
        <v>2034.9</v>
      </c>
    </row>
    <row r="9909" spans="2:6" x14ac:dyDescent="0.25">
      <c r="B9909" s="13" t="s">
        <v>18067</v>
      </c>
      <c r="C9909" s="17" t="s">
        <v>170</v>
      </c>
      <c r="D9909" s="13" t="s">
        <v>118</v>
      </c>
      <c r="E9909" s="13" t="s">
        <v>18068</v>
      </c>
      <c r="F9909" s="43">
        <v>2034.9</v>
      </c>
    </row>
    <row r="9910" spans="2:6" x14ac:dyDescent="0.25">
      <c r="B9910" s="13" t="s">
        <v>18069</v>
      </c>
      <c r="C9910" s="17" t="s">
        <v>170</v>
      </c>
      <c r="D9910" s="13" t="s">
        <v>118</v>
      </c>
      <c r="E9910" s="13" t="s">
        <v>18070</v>
      </c>
      <c r="F9910" s="43">
        <v>2034.9</v>
      </c>
    </row>
    <row r="9911" spans="2:6" x14ac:dyDescent="0.25">
      <c r="B9911" s="13" t="s">
        <v>18071</v>
      </c>
      <c r="C9911" s="17" t="s">
        <v>170</v>
      </c>
      <c r="D9911" s="13" t="s">
        <v>118</v>
      </c>
      <c r="E9911" s="13" t="s">
        <v>18072</v>
      </c>
      <c r="F9911" s="43">
        <v>2034.9</v>
      </c>
    </row>
    <row r="9912" spans="2:6" x14ac:dyDescent="0.25">
      <c r="B9912" s="13" t="s">
        <v>18073</v>
      </c>
      <c r="C9912" s="17" t="s">
        <v>170</v>
      </c>
      <c r="D9912" s="13" t="s">
        <v>118</v>
      </c>
      <c r="E9912" s="13" t="s">
        <v>18074</v>
      </c>
      <c r="F9912" s="43">
        <v>2180.25</v>
      </c>
    </row>
    <row r="9913" spans="2:6" x14ac:dyDescent="0.25">
      <c r="B9913" s="13" t="s">
        <v>18075</v>
      </c>
      <c r="C9913" s="17" t="s">
        <v>170</v>
      </c>
      <c r="D9913" s="13" t="s">
        <v>118</v>
      </c>
      <c r="E9913" s="13" t="s">
        <v>18076</v>
      </c>
      <c r="F9913" s="43">
        <v>2180.25</v>
      </c>
    </row>
    <row r="9914" spans="2:6" x14ac:dyDescent="0.25">
      <c r="B9914" s="13" t="s">
        <v>18077</v>
      </c>
      <c r="C9914" s="17" t="s">
        <v>170</v>
      </c>
      <c r="D9914" s="13" t="s">
        <v>118</v>
      </c>
      <c r="E9914" s="13" t="s">
        <v>18078</v>
      </c>
      <c r="F9914" s="43">
        <v>2180.25</v>
      </c>
    </row>
    <row r="9915" spans="2:6" x14ac:dyDescent="0.25">
      <c r="B9915" s="13" t="s">
        <v>18079</v>
      </c>
      <c r="C9915" s="17" t="s">
        <v>170</v>
      </c>
      <c r="D9915" s="13" t="s">
        <v>118</v>
      </c>
      <c r="E9915" s="13" t="s">
        <v>18080</v>
      </c>
      <c r="F9915" s="43">
        <v>2180.25</v>
      </c>
    </row>
    <row r="9916" spans="2:6" x14ac:dyDescent="0.25">
      <c r="B9916" s="13" t="s">
        <v>18081</v>
      </c>
      <c r="C9916" s="17" t="s">
        <v>170</v>
      </c>
      <c r="D9916" s="13" t="s">
        <v>118</v>
      </c>
      <c r="E9916" s="13" t="s">
        <v>18082</v>
      </c>
      <c r="F9916" s="43">
        <v>2180.25</v>
      </c>
    </row>
    <row r="9917" spans="2:6" x14ac:dyDescent="0.25">
      <c r="B9917" s="13" t="s">
        <v>18083</v>
      </c>
      <c r="C9917" s="17" t="s">
        <v>170</v>
      </c>
      <c r="D9917" s="13" t="s">
        <v>118</v>
      </c>
      <c r="E9917" s="13" t="s">
        <v>18084</v>
      </c>
      <c r="F9917" s="43">
        <v>2180.25</v>
      </c>
    </row>
    <row r="9918" spans="2:6" x14ac:dyDescent="0.25">
      <c r="B9918" s="13" t="s">
        <v>18085</v>
      </c>
      <c r="C9918" s="17" t="s">
        <v>170</v>
      </c>
      <c r="D9918" s="13" t="s">
        <v>118</v>
      </c>
      <c r="E9918" s="13" t="s">
        <v>18086</v>
      </c>
      <c r="F9918" s="43">
        <v>2180.25</v>
      </c>
    </row>
    <row r="9919" spans="2:6" x14ac:dyDescent="0.25">
      <c r="B9919" s="13" t="s">
        <v>18087</v>
      </c>
      <c r="C9919" s="17" t="s">
        <v>170</v>
      </c>
      <c r="D9919" s="13" t="s">
        <v>118</v>
      </c>
      <c r="E9919" s="13" t="s">
        <v>18088</v>
      </c>
      <c r="F9919" s="43">
        <v>2180.25</v>
      </c>
    </row>
    <row r="9920" spans="2:6" x14ac:dyDescent="0.25">
      <c r="B9920" s="13" t="s">
        <v>18089</v>
      </c>
      <c r="C9920" s="17" t="s">
        <v>170</v>
      </c>
      <c r="D9920" s="13" t="s">
        <v>118</v>
      </c>
      <c r="E9920" s="13" t="s">
        <v>18090</v>
      </c>
      <c r="F9920" s="43">
        <v>2180.25</v>
      </c>
    </row>
    <row r="9921" spans="2:6" x14ac:dyDescent="0.25">
      <c r="B9921" s="13" t="s">
        <v>18091</v>
      </c>
      <c r="C9921" s="17" t="s">
        <v>170</v>
      </c>
      <c r="D9921" s="13" t="s">
        <v>118</v>
      </c>
      <c r="E9921" s="13" t="s">
        <v>18092</v>
      </c>
      <c r="F9921" s="43">
        <v>2180.25</v>
      </c>
    </row>
    <row r="9922" spans="2:6" x14ac:dyDescent="0.25">
      <c r="B9922" s="13" t="s">
        <v>18093</v>
      </c>
      <c r="C9922" s="17" t="s">
        <v>170</v>
      </c>
      <c r="D9922" s="13" t="s">
        <v>118</v>
      </c>
      <c r="E9922" s="13"/>
      <c r="F9922" s="43">
        <v>0</v>
      </c>
    </row>
    <row r="9923" spans="2:6" x14ac:dyDescent="0.25">
      <c r="B9923" s="13" t="s">
        <v>18094</v>
      </c>
      <c r="C9923" s="17" t="s">
        <v>170</v>
      </c>
      <c r="D9923" s="13" t="s">
        <v>118</v>
      </c>
      <c r="E9923" s="13"/>
      <c r="F9923" s="43">
        <v>0</v>
      </c>
    </row>
    <row r="9924" spans="2:6" x14ac:dyDescent="0.25">
      <c r="B9924" s="13" t="s">
        <v>18095</v>
      </c>
      <c r="C9924" s="17" t="s">
        <v>170</v>
      </c>
      <c r="D9924" s="13" t="s">
        <v>118</v>
      </c>
      <c r="E9924" s="13" t="s">
        <v>17376</v>
      </c>
      <c r="F9924" s="43">
        <v>0</v>
      </c>
    </row>
    <row r="9925" spans="2:6" x14ac:dyDescent="0.25">
      <c r="B9925" s="13" t="s">
        <v>18096</v>
      </c>
      <c r="C9925" s="17" t="s">
        <v>170</v>
      </c>
      <c r="D9925" s="13" t="s">
        <v>118</v>
      </c>
      <c r="E9925" s="13" t="s">
        <v>18097</v>
      </c>
      <c r="F9925" s="43">
        <v>2034.9</v>
      </c>
    </row>
    <row r="9926" spans="2:6" x14ac:dyDescent="0.25">
      <c r="B9926" s="13" t="s">
        <v>18098</v>
      </c>
      <c r="C9926" s="17" t="s">
        <v>170</v>
      </c>
      <c r="D9926" s="13" t="s">
        <v>118</v>
      </c>
      <c r="E9926" s="13" t="s">
        <v>18099</v>
      </c>
      <c r="F9926" s="43">
        <v>2034.9</v>
      </c>
    </row>
    <row r="9927" spans="2:6" x14ac:dyDescent="0.25">
      <c r="B9927" s="13" t="s">
        <v>18100</v>
      </c>
      <c r="C9927" s="17" t="s">
        <v>170</v>
      </c>
      <c r="D9927" s="13" t="s">
        <v>118</v>
      </c>
      <c r="E9927" s="13" t="s">
        <v>18101</v>
      </c>
      <c r="F9927" s="43">
        <v>2034.9</v>
      </c>
    </row>
    <row r="9928" spans="2:6" x14ac:dyDescent="0.25">
      <c r="B9928" s="13" t="s">
        <v>18102</v>
      </c>
      <c r="C9928" s="17" t="s">
        <v>170</v>
      </c>
      <c r="D9928" s="13" t="s">
        <v>118</v>
      </c>
      <c r="E9928" s="13" t="s">
        <v>18103</v>
      </c>
      <c r="F9928" s="43">
        <v>2034.9</v>
      </c>
    </row>
    <row r="9929" spans="2:6" x14ac:dyDescent="0.25">
      <c r="B9929" s="13" t="s">
        <v>18104</v>
      </c>
      <c r="C9929" s="17" t="s">
        <v>170</v>
      </c>
      <c r="D9929" s="13" t="s">
        <v>118</v>
      </c>
      <c r="E9929" s="13" t="s">
        <v>18105</v>
      </c>
      <c r="F9929" s="43">
        <v>2034.9</v>
      </c>
    </row>
    <row r="9930" spans="2:6" x14ac:dyDescent="0.25">
      <c r="B9930" s="13" t="s">
        <v>18106</v>
      </c>
      <c r="C9930" s="17" t="s">
        <v>170</v>
      </c>
      <c r="D9930" s="13" t="s">
        <v>118</v>
      </c>
      <c r="E9930" s="13" t="s">
        <v>18107</v>
      </c>
      <c r="F9930" s="43">
        <v>2034.9</v>
      </c>
    </row>
    <row r="9931" spans="2:6" x14ac:dyDescent="0.25">
      <c r="B9931" s="13" t="s">
        <v>18108</v>
      </c>
      <c r="C9931" s="17" t="s">
        <v>170</v>
      </c>
      <c r="D9931" s="13" t="s">
        <v>118</v>
      </c>
      <c r="E9931" s="13" t="s">
        <v>18109</v>
      </c>
      <c r="F9931" s="43">
        <v>2034.9</v>
      </c>
    </row>
    <row r="9932" spans="2:6" x14ac:dyDescent="0.25">
      <c r="B9932" s="13" t="s">
        <v>18110</v>
      </c>
      <c r="C9932" s="17" t="s">
        <v>170</v>
      </c>
      <c r="D9932" s="13" t="s">
        <v>118</v>
      </c>
      <c r="E9932" s="13"/>
      <c r="F9932" s="43">
        <v>0</v>
      </c>
    </row>
    <row r="9933" spans="2:6" x14ac:dyDescent="0.25">
      <c r="B9933" s="13" t="s">
        <v>18111</v>
      </c>
      <c r="C9933" s="17" t="s">
        <v>170</v>
      </c>
      <c r="D9933" s="13" t="s">
        <v>118</v>
      </c>
      <c r="E9933" s="13" t="s">
        <v>17376</v>
      </c>
      <c r="F9933" s="43">
        <v>0</v>
      </c>
    </row>
    <row r="9934" spans="2:6" x14ac:dyDescent="0.25">
      <c r="B9934" s="13" t="s">
        <v>18096</v>
      </c>
      <c r="C9934" s="17" t="s">
        <v>170</v>
      </c>
      <c r="D9934" s="13" t="s">
        <v>118</v>
      </c>
      <c r="E9934" s="13" t="s">
        <v>18112</v>
      </c>
      <c r="F9934" s="43">
        <v>2034.9</v>
      </c>
    </row>
    <row r="9935" spans="2:6" x14ac:dyDescent="0.25">
      <c r="B9935" s="13" t="s">
        <v>18096</v>
      </c>
      <c r="C9935" s="17" t="s">
        <v>170</v>
      </c>
      <c r="D9935" s="13" t="s">
        <v>118</v>
      </c>
      <c r="E9935" s="13" t="s">
        <v>18113</v>
      </c>
      <c r="F9935" s="43">
        <v>2034.9</v>
      </c>
    </row>
    <row r="9936" spans="2:6" x14ac:dyDescent="0.25">
      <c r="B9936" s="13" t="s">
        <v>18096</v>
      </c>
      <c r="C9936" s="17" t="s">
        <v>170</v>
      </c>
      <c r="D9936" s="13" t="s">
        <v>118</v>
      </c>
      <c r="E9936" s="13" t="s">
        <v>18114</v>
      </c>
      <c r="F9936" s="43">
        <v>2034.9</v>
      </c>
    </row>
    <row r="9937" spans="2:6" x14ac:dyDescent="0.25">
      <c r="B9937" s="13" t="s">
        <v>18096</v>
      </c>
      <c r="C9937" s="17" t="s">
        <v>170</v>
      </c>
      <c r="D9937" s="13" t="s">
        <v>118</v>
      </c>
      <c r="E9937" s="13" t="s">
        <v>18115</v>
      </c>
      <c r="F9937" s="43">
        <v>2034.9</v>
      </c>
    </row>
    <row r="9938" spans="2:6" x14ac:dyDescent="0.25">
      <c r="B9938" s="13" t="s">
        <v>18096</v>
      </c>
      <c r="C9938" s="17" t="s">
        <v>170</v>
      </c>
      <c r="D9938" s="13" t="s">
        <v>118</v>
      </c>
      <c r="E9938" s="13" t="s">
        <v>18116</v>
      </c>
      <c r="F9938" s="43">
        <v>2034.9</v>
      </c>
    </row>
    <row r="9939" spans="2:6" x14ac:dyDescent="0.25">
      <c r="B9939" s="13">
        <v>6</v>
      </c>
      <c r="C9939" s="17" t="s">
        <v>170</v>
      </c>
      <c r="D9939" s="13" t="s">
        <v>118</v>
      </c>
      <c r="E9939" s="13" t="s">
        <v>18117</v>
      </c>
      <c r="F9939" s="43">
        <v>0</v>
      </c>
    </row>
    <row r="9940" spans="2:6" x14ac:dyDescent="0.25">
      <c r="B9940" s="13" t="s">
        <v>17559</v>
      </c>
      <c r="C9940" s="17" t="s">
        <v>170</v>
      </c>
      <c r="D9940" s="13" t="s">
        <v>118</v>
      </c>
      <c r="E9940" s="13" t="s">
        <v>18118</v>
      </c>
      <c r="F9940" s="43">
        <v>0</v>
      </c>
    </row>
    <row r="9941" spans="2:6" x14ac:dyDescent="0.25">
      <c r="B9941" s="13" t="s">
        <v>17770</v>
      </c>
      <c r="C9941" s="17" t="s">
        <v>170</v>
      </c>
      <c r="D9941" s="13" t="s">
        <v>118</v>
      </c>
      <c r="E9941" s="13" t="s">
        <v>18119</v>
      </c>
      <c r="F9941" s="43">
        <v>0</v>
      </c>
    </row>
    <row r="9942" spans="2:6" x14ac:dyDescent="0.25">
      <c r="B9942" s="13" t="s">
        <v>17973</v>
      </c>
      <c r="C9942" s="17" t="s">
        <v>170</v>
      </c>
      <c r="D9942" s="13" t="s">
        <v>118</v>
      </c>
      <c r="E9942" s="13" t="s">
        <v>18120</v>
      </c>
      <c r="F9942" s="43">
        <v>115.12</v>
      </c>
    </row>
    <row r="9943" spans="2:6" x14ac:dyDescent="0.25">
      <c r="B9943" s="13" t="s">
        <v>17874</v>
      </c>
      <c r="C9943" s="17" t="s">
        <v>170</v>
      </c>
      <c r="D9943" s="13" t="s">
        <v>118</v>
      </c>
      <c r="E9943" s="13" t="s">
        <v>18121</v>
      </c>
      <c r="F9943" s="43">
        <v>127.5</v>
      </c>
    </row>
    <row r="9944" spans="2:6" x14ac:dyDescent="0.25">
      <c r="B9944" s="13" t="s">
        <v>18122</v>
      </c>
      <c r="C9944" s="17" t="s">
        <v>170</v>
      </c>
      <c r="D9944" s="13" t="s">
        <v>118</v>
      </c>
      <c r="E9944" s="13" t="s">
        <v>18123</v>
      </c>
      <c r="F9944" s="43">
        <v>0</v>
      </c>
    </row>
    <row r="9945" spans="2:6" x14ac:dyDescent="0.25">
      <c r="B9945" s="13" t="s">
        <v>18124</v>
      </c>
      <c r="C9945" s="17" t="s">
        <v>170</v>
      </c>
      <c r="D9945" s="13" t="s">
        <v>118</v>
      </c>
      <c r="E9945" s="13" t="s">
        <v>18125</v>
      </c>
      <c r="F9945" s="43">
        <v>0</v>
      </c>
    </row>
    <row r="9946" spans="2:6" x14ac:dyDescent="0.25">
      <c r="B9946" s="13" t="s">
        <v>17444</v>
      </c>
      <c r="C9946" s="17" t="s">
        <v>170</v>
      </c>
      <c r="D9946" s="13" t="s">
        <v>118</v>
      </c>
      <c r="E9946" s="13" t="s">
        <v>18126</v>
      </c>
      <c r="F9946" s="43">
        <v>0</v>
      </c>
    </row>
    <row r="9947" spans="2:6" x14ac:dyDescent="0.25">
      <c r="B9947" s="13" t="s">
        <v>17861</v>
      </c>
      <c r="C9947" s="17" t="s">
        <v>170</v>
      </c>
      <c r="D9947" s="13" t="s">
        <v>118</v>
      </c>
      <c r="E9947" s="13" t="s">
        <v>18127</v>
      </c>
      <c r="F9947" s="43">
        <v>0</v>
      </c>
    </row>
    <row r="9948" spans="2:6" x14ac:dyDescent="0.25">
      <c r="B9948" s="13" t="s">
        <v>17559</v>
      </c>
      <c r="C9948" s="17" t="s">
        <v>170</v>
      </c>
      <c r="D9948" s="13" t="s">
        <v>118</v>
      </c>
      <c r="E9948" s="13" t="s">
        <v>18128</v>
      </c>
      <c r="F9948" s="43">
        <v>0</v>
      </c>
    </row>
    <row r="9949" spans="2:6" x14ac:dyDescent="0.25">
      <c r="B9949" s="13" t="s">
        <v>17444</v>
      </c>
      <c r="C9949" s="17" t="s">
        <v>170</v>
      </c>
      <c r="D9949" s="13" t="s">
        <v>118</v>
      </c>
      <c r="E9949" s="13" t="s">
        <v>18126</v>
      </c>
      <c r="F9949" s="43">
        <v>0</v>
      </c>
    </row>
    <row r="9950" spans="2:6" x14ac:dyDescent="0.25">
      <c r="B9950" s="13" t="s">
        <v>18129</v>
      </c>
      <c r="C9950" s="17" t="s">
        <v>170</v>
      </c>
      <c r="D9950" s="13" t="s">
        <v>118</v>
      </c>
      <c r="E9950" s="13" t="s">
        <v>18130</v>
      </c>
      <c r="F9950" s="43">
        <v>0</v>
      </c>
    </row>
    <row r="9951" spans="2:6" x14ac:dyDescent="0.25">
      <c r="B9951" s="13" t="s">
        <v>18131</v>
      </c>
      <c r="C9951" s="17" t="s">
        <v>170</v>
      </c>
      <c r="D9951" s="13" t="s">
        <v>118</v>
      </c>
      <c r="E9951" s="13" t="s">
        <v>18132</v>
      </c>
      <c r="F9951" s="43">
        <v>612</v>
      </c>
    </row>
    <row r="9952" spans="2:6" x14ac:dyDescent="0.25">
      <c r="B9952" s="13" t="s">
        <v>18133</v>
      </c>
      <c r="C9952" s="17" t="s">
        <v>170</v>
      </c>
      <c r="D9952" s="13" t="s">
        <v>118</v>
      </c>
      <c r="E9952" s="13" t="s">
        <v>18134</v>
      </c>
      <c r="F9952" s="43">
        <v>76.5</v>
      </c>
    </row>
    <row r="9953" spans="2:6" x14ac:dyDescent="0.25">
      <c r="B9953" s="13" t="s">
        <v>18135</v>
      </c>
      <c r="C9953" s="17" t="s">
        <v>170</v>
      </c>
      <c r="D9953" s="13" t="s">
        <v>118</v>
      </c>
      <c r="E9953" s="13" t="s">
        <v>18136</v>
      </c>
      <c r="F9953" s="43">
        <v>688.5</v>
      </c>
    </row>
    <row r="9954" spans="2:6" x14ac:dyDescent="0.25">
      <c r="B9954" s="13" t="s">
        <v>18137</v>
      </c>
      <c r="C9954" s="17" t="s">
        <v>170</v>
      </c>
      <c r="D9954" s="13" t="s">
        <v>118</v>
      </c>
      <c r="E9954" s="13" t="s">
        <v>18138</v>
      </c>
      <c r="F9954" s="43">
        <v>0</v>
      </c>
    </row>
    <row r="9955" spans="2:6" x14ac:dyDescent="0.25">
      <c r="B9955" s="13" t="s">
        <v>18139</v>
      </c>
      <c r="C9955" s="17" t="s">
        <v>170</v>
      </c>
      <c r="D9955" s="13" t="s">
        <v>118</v>
      </c>
      <c r="E9955" s="13" t="s">
        <v>18140</v>
      </c>
      <c r="F9955" s="43">
        <v>0</v>
      </c>
    </row>
    <row r="9956" spans="2:6" x14ac:dyDescent="0.25">
      <c r="B9956" s="13" t="s">
        <v>18141</v>
      </c>
      <c r="C9956" s="17" t="s">
        <v>170</v>
      </c>
      <c r="D9956" s="13" t="s">
        <v>118</v>
      </c>
      <c r="E9956" s="13" t="s">
        <v>18142</v>
      </c>
      <c r="F9956" s="43">
        <v>2470.9499999999998</v>
      </c>
    </row>
    <row r="9957" spans="2:6" x14ac:dyDescent="0.25">
      <c r="B9957" s="13" t="s">
        <v>18143</v>
      </c>
      <c r="C9957" s="17" t="s">
        <v>170</v>
      </c>
      <c r="D9957" s="13" t="s">
        <v>118</v>
      </c>
      <c r="E9957" s="13" t="s">
        <v>18144</v>
      </c>
      <c r="F9957" s="43">
        <v>2616.3000000000002</v>
      </c>
    </row>
    <row r="9958" spans="2:6" x14ac:dyDescent="0.25">
      <c r="B9958" s="13" t="s">
        <v>18145</v>
      </c>
      <c r="C9958" s="17" t="s">
        <v>170</v>
      </c>
      <c r="D9958" s="13" t="s">
        <v>118</v>
      </c>
      <c r="E9958" s="13" t="s">
        <v>18146</v>
      </c>
      <c r="F9958" s="43">
        <v>2616.3000000000002</v>
      </c>
    </row>
    <row r="9959" spans="2:6" x14ac:dyDescent="0.25">
      <c r="B9959" s="13" t="s">
        <v>18147</v>
      </c>
      <c r="C9959" s="17" t="s">
        <v>170</v>
      </c>
      <c r="D9959" s="13" t="s">
        <v>118</v>
      </c>
      <c r="E9959" s="13" t="s">
        <v>18148</v>
      </c>
      <c r="F9959" s="43">
        <v>2616.3000000000002</v>
      </c>
    </row>
    <row r="9960" spans="2:6" x14ac:dyDescent="0.25">
      <c r="B9960" s="13" t="s">
        <v>18149</v>
      </c>
      <c r="C9960" s="17" t="s">
        <v>170</v>
      </c>
      <c r="D9960" s="13" t="s">
        <v>118</v>
      </c>
      <c r="E9960" s="13" t="s">
        <v>18150</v>
      </c>
      <c r="F9960" s="43">
        <v>2616.3000000000002</v>
      </c>
    </row>
    <row r="9961" spans="2:6" x14ac:dyDescent="0.25">
      <c r="B9961" s="13" t="s">
        <v>18151</v>
      </c>
      <c r="C9961" s="17" t="s">
        <v>170</v>
      </c>
      <c r="D9961" s="13" t="s">
        <v>118</v>
      </c>
      <c r="E9961" s="13" t="s">
        <v>18152</v>
      </c>
      <c r="F9961" s="43">
        <v>2470.9499999999998</v>
      </c>
    </row>
    <row r="9962" spans="2:6" x14ac:dyDescent="0.25">
      <c r="B9962" s="13" t="s">
        <v>18153</v>
      </c>
      <c r="C9962" s="17" t="s">
        <v>170</v>
      </c>
      <c r="D9962" s="13" t="s">
        <v>118</v>
      </c>
      <c r="E9962" s="13" t="s">
        <v>18154</v>
      </c>
      <c r="F9962" s="43">
        <v>2616.3000000000002</v>
      </c>
    </row>
    <row r="9963" spans="2:6" x14ac:dyDescent="0.25">
      <c r="B9963" s="13" t="s">
        <v>18155</v>
      </c>
      <c r="C9963" s="17" t="s">
        <v>170</v>
      </c>
      <c r="D9963" s="13" t="s">
        <v>118</v>
      </c>
      <c r="E9963" s="13" t="s">
        <v>18156</v>
      </c>
      <c r="F9963" s="43">
        <v>2616.3000000000002</v>
      </c>
    </row>
    <row r="9964" spans="2:6" x14ac:dyDescent="0.25">
      <c r="B9964" s="13" t="s">
        <v>18157</v>
      </c>
      <c r="C9964" s="17" t="s">
        <v>170</v>
      </c>
      <c r="D9964" s="13" t="s">
        <v>118</v>
      </c>
      <c r="E9964" s="13" t="s">
        <v>18158</v>
      </c>
      <c r="F9964" s="43">
        <v>2616.3000000000002</v>
      </c>
    </row>
    <row r="9965" spans="2:6" x14ac:dyDescent="0.25">
      <c r="B9965" s="13" t="s">
        <v>18159</v>
      </c>
      <c r="C9965" s="17" t="s">
        <v>170</v>
      </c>
      <c r="D9965" s="13" t="s">
        <v>118</v>
      </c>
      <c r="E9965" s="13" t="s">
        <v>18160</v>
      </c>
      <c r="F9965" s="43">
        <v>2616.3000000000002</v>
      </c>
    </row>
    <row r="9966" spans="2:6" x14ac:dyDescent="0.25">
      <c r="B9966" s="13" t="s">
        <v>18161</v>
      </c>
      <c r="C9966" s="17" t="s">
        <v>170</v>
      </c>
      <c r="D9966" s="13" t="s">
        <v>118</v>
      </c>
      <c r="E9966" s="13"/>
      <c r="F9966" s="43">
        <v>0</v>
      </c>
    </row>
    <row r="9967" spans="2:6" x14ac:dyDescent="0.25">
      <c r="B9967" s="13" t="s">
        <v>18162</v>
      </c>
      <c r="C9967" s="17" t="s">
        <v>170</v>
      </c>
      <c r="D9967" s="13" t="s">
        <v>118</v>
      </c>
      <c r="E9967" s="13"/>
      <c r="F9967" s="43">
        <v>0</v>
      </c>
    </row>
    <row r="9968" spans="2:6" x14ac:dyDescent="0.25">
      <c r="B9968" s="13" t="s">
        <v>18163</v>
      </c>
      <c r="C9968" s="17" t="s">
        <v>170</v>
      </c>
      <c r="D9968" s="13" t="s">
        <v>118</v>
      </c>
      <c r="E9968" s="13" t="s">
        <v>17376</v>
      </c>
      <c r="F9968" s="43">
        <v>0</v>
      </c>
    </row>
    <row r="9969" spans="2:6" x14ac:dyDescent="0.25">
      <c r="B9969" s="13" t="s">
        <v>18164</v>
      </c>
      <c r="C9969" s="17" t="s">
        <v>170</v>
      </c>
      <c r="D9969" s="13" t="s">
        <v>118</v>
      </c>
      <c r="E9969" s="13" t="s">
        <v>18165</v>
      </c>
      <c r="F9969" s="43">
        <v>2616.3000000000002</v>
      </c>
    </row>
    <row r="9970" spans="2:6" x14ac:dyDescent="0.25">
      <c r="B9970" s="13" t="s">
        <v>18096</v>
      </c>
      <c r="C9970" s="17" t="s">
        <v>170</v>
      </c>
      <c r="D9970" s="13" t="s">
        <v>118</v>
      </c>
      <c r="E9970" s="13" t="s">
        <v>18166</v>
      </c>
      <c r="F9970" s="43">
        <v>2034.9</v>
      </c>
    </row>
    <row r="9971" spans="2:6" x14ac:dyDescent="0.25">
      <c r="B9971" s="13" t="s">
        <v>18098</v>
      </c>
      <c r="C9971" s="17" t="s">
        <v>170</v>
      </c>
      <c r="D9971" s="13" t="s">
        <v>118</v>
      </c>
      <c r="E9971" s="13" t="s">
        <v>18167</v>
      </c>
      <c r="F9971" s="43">
        <v>2034.9</v>
      </c>
    </row>
    <row r="9972" spans="2:6" x14ac:dyDescent="0.25">
      <c r="B9972" s="13" t="s">
        <v>18100</v>
      </c>
      <c r="C9972" s="17" t="s">
        <v>170</v>
      </c>
      <c r="D9972" s="13" t="s">
        <v>118</v>
      </c>
      <c r="E9972" s="13" t="s">
        <v>18168</v>
      </c>
      <c r="F9972" s="43">
        <v>2034.9</v>
      </c>
    </row>
    <row r="9973" spans="2:6" x14ac:dyDescent="0.25">
      <c r="B9973" s="13" t="s">
        <v>18169</v>
      </c>
      <c r="C9973" s="17" t="s">
        <v>170</v>
      </c>
      <c r="D9973" s="13" t="s">
        <v>118</v>
      </c>
      <c r="E9973" s="13"/>
      <c r="F9973" s="43">
        <v>0</v>
      </c>
    </row>
    <row r="9974" spans="2:6" x14ac:dyDescent="0.25">
      <c r="B9974" s="13" t="s">
        <v>18170</v>
      </c>
      <c r="C9974" s="17" t="s">
        <v>170</v>
      </c>
      <c r="D9974" s="13" t="s">
        <v>118</v>
      </c>
      <c r="E9974" s="13" t="s">
        <v>18171</v>
      </c>
      <c r="F9974" s="43">
        <v>0</v>
      </c>
    </row>
    <row r="9975" spans="2:6" x14ac:dyDescent="0.25">
      <c r="B9975" s="13" t="s">
        <v>18104</v>
      </c>
      <c r="C9975" s="17" t="s">
        <v>170</v>
      </c>
      <c r="D9975" s="13" t="s">
        <v>118</v>
      </c>
      <c r="E9975" s="13" t="s">
        <v>18172</v>
      </c>
      <c r="F9975" s="43">
        <v>2034.9</v>
      </c>
    </row>
    <row r="9976" spans="2:6" x14ac:dyDescent="0.25">
      <c r="B9976" s="13">
        <v>6</v>
      </c>
      <c r="C9976" s="17" t="s">
        <v>170</v>
      </c>
      <c r="D9976" s="13" t="s">
        <v>118</v>
      </c>
      <c r="E9976" s="13" t="s">
        <v>18173</v>
      </c>
      <c r="F9976" s="43">
        <v>0</v>
      </c>
    </row>
    <row r="9977" spans="2:6" x14ac:dyDescent="0.25">
      <c r="B9977" s="13" t="s">
        <v>17559</v>
      </c>
      <c r="C9977" s="17" t="s">
        <v>170</v>
      </c>
      <c r="D9977" s="13" t="s">
        <v>118</v>
      </c>
      <c r="E9977" s="13" t="s">
        <v>18118</v>
      </c>
      <c r="F9977" s="43">
        <v>0</v>
      </c>
    </row>
    <row r="9978" spans="2:6" x14ac:dyDescent="0.25">
      <c r="B9978" s="13" t="s">
        <v>17770</v>
      </c>
      <c r="C9978" s="17" t="s">
        <v>170</v>
      </c>
      <c r="D9978" s="13" t="s">
        <v>118</v>
      </c>
      <c r="E9978" s="13" t="s">
        <v>18119</v>
      </c>
      <c r="F9978" s="43">
        <v>0</v>
      </c>
    </row>
    <row r="9979" spans="2:6" x14ac:dyDescent="0.25">
      <c r="B9979" s="13" t="s">
        <v>17973</v>
      </c>
      <c r="C9979" s="17" t="s">
        <v>170</v>
      </c>
      <c r="D9979" s="13" t="s">
        <v>118</v>
      </c>
      <c r="E9979" s="13" t="s">
        <v>18120</v>
      </c>
      <c r="F9979" s="43">
        <v>115.12</v>
      </c>
    </row>
    <row r="9980" spans="2:6" x14ac:dyDescent="0.25">
      <c r="B9980" s="13" t="s">
        <v>17874</v>
      </c>
      <c r="C9980" s="17" t="s">
        <v>170</v>
      </c>
      <c r="D9980" s="13" t="s">
        <v>118</v>
      </c>
      <c r="E9980" s="13" t="s">
        <v>18121</v>
      </c>
      <c r="F9980" s="43">
        <v>127.5</v>
      </c>
    </row>
    <row r="9981" spans="2:6" x14ac:dyDescent="0.25">
      <c r="B9981" s="13" t="s">
        <v>18122</v>
      </c>
      <c r="C9981" s="17" t="s">
        <v>170</v>
      </c>
      <c r="D9981" s="13" t="s">
        <v>118</v>
      </c>
      <c r="E9981" s="13" t="s">
        <v>18123</v>
      </c>
      <c r="F9981" s="43">
        <v>0</v>
      </c>
    </row>
    <row r="9982" spans="2:6" x14ac:dyDescent="0.25">
      <c r="B9982" s="13" t="s">
        <v>18124</v>
      </c>
      <c r="C9982" s="17" t="s">
        <v>170</v>
      </c>
      <c r="D9982" s="13" t="s">
        <v>118</v>
      </c>
      <c r="E9982" s="13" t="s">
        <v>18125</v>
      </c>
      <c r="F9982" s="43">
        <v>0</v>
      </c>
    </row>
    <row r="9983" spans="2:6" x14ac:dyDescent="0.25">
      <c r="B9983" s="13" t="s">
        <v>17444</v>
      </c>
      <c r="C9983" s="17" t="s">
        <v>170</v>
      </c>
      <c r="D9983" s="13" t="s">
        <v>118</v>
      </c>
      <c r="E9983" s="13" t="s">
        <v>18126</v>
      </c>
      <c r="F9983" s="43">
        <v>0</v>
      </c>
    </row>
    <row r="9984" spans="2:6" x14ac:dyDescent="0.25">
      <c r="B9984" s="13" t="s">
        <v>17861</v>
      </c>
      <c r="C9984" s="17" t="s">
        <v>170</v>
      </c>
      <c r="D9984" s="13" t="s">
        <v>118</v>
      </c>
      <c r="E9984" s="13" t="s">
        <v>18127</v>
      </c>
      <c r="F9984" s="43">
        <v>0</v>
      </c>
    </row>
    <row r="9985" spans="2:6" x14ac:dyDescent="0.25">
      <c r="B9985" s="13" t="s">
        <v>17559</v>
      </c>
      <c r="C9985" s="17" t="s">
        <v>170</v>
      </c>
      <c r="D9985" s="13" t="s">
        <v>118</v>
      </c>
      <c r="E9985" s="13" t="s">
        <v>18128</v>
      </c>
      <c r="F9985" s="43">
        <v>0</v>
      </c>
    </row>
    <row r="9986" spans="2:6" x14ac:dyDescent="0.25">
      <c r="B9986" s="13" t="s">
        <v>17444</v>
      </c>
      <c r="C9986" s="17" t="s">
        <v>170</v>
      </c>
      <c r="D9986" s="13" t="s">
        <v>118</v>
      </c>
      <c r="E9986" s="13" t="s">
        <v>18126</v>
      </c>
      <c r="F9986" s="43">
        <v>0</v>
      </c>
    </row>
    <row r="9987" spans="2:6" x14ac:dyDescent="0.25">
      <c r="B9987" s="13" t="s">
        <v>18129</v>
      </c>
      <c r="C9987" s="17" t="s">
        <v>170</v>
      </c>
      <c r="D9987" s="13" t="s">
        <v>118</v>
      </c>
      <c r="E9987" s="13" t="s">
        <v>18130</v>
      </c>
      <c r="F9987" s="43">
        <v>0</v>
      </c>
    </row>
    <row r="9988" spans="2:6" x14ac:dyDescent="0.25">
      <c r="B9988" s="13" t="s">
        <v>18131</v>
      </c>
      <c r="C9988" s="17" t="s">
        <v>170</v>
      </c>
      <c r="D9988" s="13" t="s">
        <v>118</v>
      </c>
      <c r="E9988" s="13" t="s">
        <v>18174</v>
      </c>
      <c r="F9988" s="43">
        <v>612</v>
      </c>
    </row>
    <row r="9989" spans="2:6" x14ac:dyDescent="0.25">
      <c r="B9989" s="13" t="s">
        <v>18133</v>
      </c>
      <c r="C9989" s="17" t="s">
        <v>170</v>
      </c>
      <c r="D9989" s="13" t="s">
        <v>118</v>
      </c>
      <c r="E9989" s="13" t="s">
        <v>18175</v>
      </c>
      <c r="F9989" s="43">
        <v>76.5</v>
      </c>
    </row>
    <row r="9990" spans="2:6" x14ac:dyDescent="0.25">
      <c r="B9990" s="13" t="s">
        <v>18135</v>
      </c>
      <c r="C9990" s="17" t="s">
        <v>170</v>
      </c>
      <c r="D9990" s="13" t="s">
        <v>118</v>
      </c>
      <c r="E9990" s="13" t="s">
        <v>18176</v>
      </c>
      <c r="F9990" s="43">
        <v>688.5</v>
      </c>
    </row>
    <row r="9991" spans="2:6" x14ac:dyDescent="0.25">
      <c r="B9991" s="13" t="s">
        <v>18137</v>
      </c>
      <c r="C9991" s="17" t="s">
        <v>170</v>
      </c>
      <c r="D9991" s="13" t="s">
        <v>118</v>
      </c>
      <c r="E9991" s="13" t="s">
        <v>18138</v>
      </c>
      <c r="F9991" s="43">
        <v>0</v>
      </c>
    </row>
    <row r="9992" spans="2:6" x14ac:dyDescent="0.25">
      <c r="B9992" s="13" t="s">
        <v>18139</v>
      </c>
      <c r="C9992" s="17" t="s">
        <v>170</v>
      </c>
      <c r="D9992" s="13" t="s">
        <v>118</v>
      </c>
      <c r="E9992" s="13" t="s">
        <v>18140</v>
      </c>
      <c r="F9992" s="43">
        <v>0</v>
      </c>
    </row>
    <row r="9993" spans="2:6" x14ac:dyDescent="0.25">
      <c r="B9993" s="13" t="s">
        <v>18177</v>
      </c>
      <c r="C9993" s="17" t="s">
        <v>170</v>
      </c>
      <c r="D9993" s="13" t="s">
        <v>118</v>
      </c>
      <c r="E9993" s="13" t="s">
        <v>18178</v>
      </c>
      <c r="F9993" s="43">
        <v>2180.25</v>
      </c>
    </row>
    <row r="9994" spans="2:6" x14ac:dyDescent="0.25">
      <c r="B9994" s="13" t="s">
        <v>18179</v>
      </c>
      <c r="C9994" s="17" t="s">
        <v>170</v>
      </c>
      <c r="D9994" s="13" t="s">
        <v>118</v>
      </c>
      <c r="E9994" s="13" t="s">
        <v>18180</v>
      </c>
      <c r="F9994" s="43">
        <v>2180.25</v>
      </c>
    </row>
    <row r="9995" spans="2:6" x14ac:dyDescent="0.25">
      <c r="B9995" s="13" t="s">
        <v>18181</v>
      </c>
      <c r="C9995" s="17" t="s">
        <v>170</v>
      </c>
      <c r="D9995" s="13" t="s">
        <v>118</v>
      </c>
      <c r="E9995" s="13" t="s">
        <v>18182</v>
      </c>
      <c r="F9995" s="43">
        <v>2180.25</v>
      </c>
    </row>
    <row r="9996" spans="2:6" x14ac:dyDescent="0.25">
      <c r="B9996" s="13" t="s">
        <v>18183</v>
      </c>
      <c r="C9996" s="17" t="s">
        <v>170</v>
      </c>
      <c r="D9996" s="13" t="s">
        <v>118</v>
      </c>
      <c r="E9996" s="13" t="s">
        <v>18184</v>
      </c>
      <c r="F9996" s="43">
        <v>2180.25</v>
      </c>
    </row>
    <row r="9997" spans="2:6" x14ac:dyDescent="0.25">
      <c r="B9997" s="13" t="s">
        <v>18185</v>
      </c>
      <c r="C9997" s="17" t="s">
        <v>170</v>
      </c>
      <c r="D9997" s="13" t="s">
        <v>118</v>
      </c>
      <c r="E9997" s="13" t="s">
        <v>18186</v>
      </c>
      <c r="F9997" s="43">
        <v>2180.25</v>
      </c>
    </row>
    <row r="9998" spans="2:6" x14ac:dyDescent="0.25">
      <c r="B9998" s="13" t="s">
        <v>18187</v>
      </c>
      <c r="C9998" s="17" t="s">
        <v>170</v>
      </c>
      <c r="D9998" s="13" t="s">
        <v>118</v>
      </c>
      <c r="E9998" s="13" t="s">
        <v>18188</v>
      </c>
      <c r="F9998" s="43">
        <v>2180.25</v>
      </c>
    </row>
    <row r="9999" spans="2:6" x14ac:dyDescent="0.25">
      <c r="B9999" s="13" t="s">
        <v>18189</v>
      </c>
      <c r="C9999" s="17" t="s">
        <v>170</v>
      </c>
      <c r="D9999" s="13" t="s">
        <v>118</v>
      </c>
      <c r="E9999" s="13" t="s">
        <v>18190</v>
      </c>
      <c r="F9999" s="43">
        <v>2180.25</v>
      </c>
    </row>
    <row r="10000" spans="2:6" x14ac:dyDescent="0.25">
      <c r="B10000" s="13" t="s">
        <v>18191</v>
      </c>
      <c r="C10000" s="17" t="s">
        <v>170</v>
      </c>
      <c r="D10000" s="13" t="s">
        <v>118</v>
      </c>
      <c r="E10000" s="13" t="s">
        <v>18192</v>
      </c>
      <c r="F10000" s="43">
        <v>2180.25</v>
      </c>
    </row>
    <row r="10001" spans="2:6" x14ac:dyDescent="0.25">
      <c r="B10001" s="13" t="s">
        <v>18193</v>
      </c>
      <c r="C10001" s="17" t="s">
        <v>170</v>
      </c>
      <c r="D10001" s="13" t="s">
        <v>118</v>
      </c>
      <c r="E10001" s="13" t="s">
        <v>18194</v>
      </c>
      <c r="F10001" s="43">
        <v>2180.25</v>
      </c>
    </row>
    <row r="10002" spans="2:6" x14ac:dyDescent="0.25">
      <c r="B10002" s="13" t="s">
        <v>18195</v>
      </c>
      <c r="C10002" s="17" t="s">
        <v>170</v>
      </c>
      <c r="D10002" s="13" t="s">
        <v>118</v>
      </c>
      <c r="E10002" s="13" t="s">
        <v>18196</v>
      </c>
      <c r="F10002" s="43">
        <v>2180.25</v>
      </c>
    </row>
    <row r="10003" spans="2:6" x14ac:dyDescent="0.25">
      <c r="B10003" s="13" t="s">
        <v>18197</v>
      </c>
      <c r="C10003" s="17" t="s">
        <v>170</v>
      </c>
      <c r="D10003" s="13" t="s">
        <v>118</v>
      </c>
      <c r="E10003" s="13" t="s">
        <v>18198</v>
      </c>
      <c r="F10003" s="43">
        <v>2325.6</v>
      </c>
    </row>
    <row r="10004" spans="2:6" x14ac:dyDescent="0.25">
      <c r="B10004" s="13" t="s">
        <v>18199</v>
      </c>
      <c r="C10004" s="17" t="s">
        <v>170</v>
      </c>
      <c r="D10004" s="13" t="s">
        <v>118</v>
      </c>
      <c r="E10004" s="13" t="s">
        <v>18200</v>
      </c>
      <c r="F10004" s="43">
        <v>2325.6</v>
      </c>
    </row>
    <row r="10005" spans="2:6" x14ac:dyDescent="0.25">
      <c r="B10005" s="13" t="s">
        <v>18201</v>
      </c>
      <c r="C10005" s="17" t="s">
        <v>170</v>
      </c>
      <c r="D10005" s="13" t="s">
        <v>118</v>
      </c>
      <c r="E10005" s="13" t="s">
        <v>18202</v>
      </c>
      <c r="F10005" s="43">
        <v>2325.6</v>
      </c>
    </row>
    <row r="10006" spans="2:6" x14ac:dyDescent="0.25">
      <c r="B10006" s="13" t="s">
        <v>18203</v>
      </c>
      <c r="C10006" s="17" t="s">
        <v>170</v>
      </c>
      <c r="D10006" s="13" t="s">
        <v>118</v>
      </c>
      <c r="E10006" s="13" t="s">
        <v>18204</v>
      </c>
      <c r="F10006" s="43">
        <v>2325.6</v>
      </c>
    </row>
    <row r="10007" spans="2:6" x14ac:dyDescent="0.25">
      <c r="B10007" s="13" t="s">
        <v>18205</v>
      </c>
      <c r="C10007" s="17" t="s">
        <v>170</v>
      </c>
      <c r="D10007" s="13" t="s">
        <v>118</v>
      </c>
      <c r="E10007" s="13" t="s">
        <v>18206</v>
      </c>
      <c r="F10007" s="43">
        <v>2325.6</v>
      </c>
    </row>
    <row r="10008" spans="2:6" x14ac:dyDescent="0.25">
      <c r="B10008" s="13" t="s">
        <v>18207</v>
      </c>
      <c r="C10008" s="17" t="s">
        <v>170</v>
      </c>
      <c r="D10008" s="13" t="s">
        <v>118</v>
      </c>
      <c r="E10008" s="13" t="s">
        <v>18208</v>
      </c>
      <c r="F10008" s="43">
        <v>2325.6</v>
      </c>
    </row>
    <row r="10009" spans="2:6" x14ac:dyDescent="0.25">
      <c r="B10009" s="13" t="s">
        <v>18209</v>
      </c>
      <c r="C10009" s="17" t="s">
        <v>170</v>
      </c>
      <c r="D10009" s="13" t="s">
        <v>118</v>
      </c>
      <c r="E10009" s="13" t="s">
        <v>18210</v>
      </c>
      <c r="F10009" s="43">
        <v>2325.6</v>
      </c>
    </row>
    <row r="10010" spans="2:6" x14ac:dyDescent="0.25">
      <c r="B10010" s="13" t="s">
        <v>18211</v>
      </c>
      <c r="C10010" s="17" t="s">
        <v>170</v>
      </c>
      <c r="D10010" s="13" t="s">
        <v>118</v>
      </c>
      <c r="E10010" s="13" t="s">
        <v>18212</v>
      </c>
      <c r="F10010" s="43">
        <v>2325.6</v>
      </c>
    </row>
    <row r="10011" spans="2:6" x14ac:dyDescent="0.25">
      <c r="B10011" s="13" t="s">
        <v>18213</v>
      </c>
      <c r="C10011" s="17" t="s">
        <v>170</v>
      </c>
      <c r="D10011" s="13" t="s">
        <v>118</v>
      </c>
      <c r="E10011" s="13" t="s">
        <v>18214</v>
      </c>
      <c r="F10011" s="43">
        <v>2325.6</v>
      </c>
    </row>
    <row r="10012" spans="2:6" x14ac:dyDescent="0.25">
      <c r="B10012" s="13" t="s">
        <v>18215</v>
      </c>
      <c r="C10012" s="17" t="s">
        <v>170</v>
      </c>
      <c r="D10012" s="13" t="s">
        <v>118</v>
      </c>
      <c r="E10012" s="13" t="s">
        <v>18216</v>
      </c>
      <c r="F10012" s="43">
        <v>2325.6</v>
      </c>
    </row>
    <row r="10013" spans="2:6" x14ac:dyDescent="0.25">
      <c r="B10013" s="13" t="s">
        <v>18217</v>
      </c>
      <c r="C10013" s="17" t="s">
        <v>170</v>
      </c>
      <c r="D10013" s="13" t="s">
        <v>118</v>
      </c>
      <c r="E10013" s="13"/>
      <c r="F10013" s="43">
        <v>0</v>
      </c>
    </row>
    <row r="10014" spans="2:6" x14ac:dyDescent="0.25">
      <c r="B10014" s="13" t="s">
        <v>18218</v>
      </c>
      <c r="C10014" s="17" t="s">
        <v>170</v>
      </c>
      <c r="D10014" s="13" t="s">
        <v>118</v>
      </c>
      <c r="E10014" s="13"/>
      <c r="F10014" s="43">
        <v>0</v>
      </c>
    </row>
    <row r="10015" spans="2:6" x14ac:dyDescent="0.25">
      <c r="B10015" s="13" t="s">
        <v>18219</v>
      </c>
      <c r="C10015" s="17" t="s">
        <v>170</v>
      </c>
      <c r="D10015" s="13" t="s">
        <v>118</v>
      </c>
      <c r="E10015" s="13" t="s">
        <v>17376</v>
      </c>
      <c r="F10015" s="43">
        <v>0</v>
      </c>
    </row>
    <row r="10016" spans="2:6" x14ac:dyDescent="0.25">
      <c r="B10016" s="13" t="s">
        <v>18164</v>
      </c>
      <c r="C10016" s="17" t="s">
        <v>170</v>
      </c>
      <c r="D10016" s="13" t="s">
        <v>118</v>
      </c>
      <c r="E10016" s="13" t="s">
        <v>18220</v>
      </c>
      <c r="F10016" s="43">
        <v>2616.3000000000002</v>
      </c>
    </row>
    <row r="10017" spans="2:6" x14ac:dyDescent="0.25">
      <c r="B10017" s="13" t="s">
        <v>18096</v>
      </c>
      <c r="C10017" s="17" t="s">
        <v>170</v>
      </c>
      <c r="D10017" s="13" t="s">
        <v>118</v>
      </c>
      <c r="E10017" s="13" t="s">
        <v>18221</v>
      </c>
      <c r="F10017" s="43">
        <v>2034.9</v>
      </c>
    </row>
    <row r="10018" spans="2:6" x14ac:dyDescent="0.25">
      <c r="B10018" s="13" t="s">
        <v>18098</v>
      </c>
      <c r="C10018" s="17" t="s">
        <v>170</v>
      </c>
      <c r="D10018" s="13" t="s">
        <v>118</v>
      </c>
      <c r="E10018" s="13" t="s">
        <v>18222</v>
      </c>
      <c r="F10018" s="43">
        <v>2034.9</v>
      </c>
    </row>
    <row r="10019" spans="2:6" x14ac:dyDescent="0.25">
      <c r="B10019" s="13" t="s">
        <v>18100</v>
      </c>
      <c r="C10019" s="17" t="s">
        <v>170</v>
      </c>
      <c r="D10019" s="13" t="s">
        <v>118</v>
      </c>
      <c r="E10019" s="13" t="s">
        <v>18223</v>
      </c>
      <c r="F10019" s="43">
        <v>2034.9</v>
      </c>
    </row>
    <row r="10020" spans="2:6" x14ac:dyDescent="0.25">
      <c r="B10020" s="13" t="s">
        <v>18224</v>
      </c>
      <c r="C10020" s="17" t="s">
        <v>170</v>
      </c>
      <c r="D10020" s="13" t="s">
        <v>118</v>
      </c>
      <c r="E10020" s="13" t="s">
        <v>18225</v>
      </c>
      <c r="F10020" s="43">
        <v>2180.25</v>
      </c>
    </row>
    <row r="10021" spans="2:6" x14ac:dyDescent="0.25">
      <c r="B10021" s="13" t="s">
        <v>18226</v>
      </c>
      <c r="C10021" s="17" t="s">
        <v>170</v>
      </c>
      <c r="D10021" s="13" t="s">
        <v>118</v>
      </c>
      <c r="E10021" s="13"/>
      <c r="F10021" s="43">
        <v>0</v>
      </c>
    </row>
    <row r="10022" spans="2:6" x14ac:dyDescent="0.25">
      <c r="B10022" s="13" t="s">
        <v>18227</v>
      </c>
      <c r="C10022" s="17" t="s">
        <v>170</v>
      </c>
      <c r="D10022" s="13" t="s">
        <v>118</v>
      </c>
      <c r="E10022" s="13" t="s">
        <v>17376</v>
      </c>
      <c r="F10022" s="43">
        <v>0</v>
      </c>
    </row>
    <row r="10023" spans="2:6" x14ac:dyDescent="0.25">
      <c r="B10023" s="13" t="s">
        <v>18164</v>
      </c>
      <c r="C10023" s="17" t="s">
        <v>170</v>
      </c>
      <c r="D10023" s="13" t="s">
        <v>118</v>
      </c>
      <c r="E10023" s="13" t="s">
        <v>18228</v>
      </c>
      <c r="F10023" s="43">
        <v>2616.3000000000002</v>
      </c>
    </row>
    <row r="10024" spans="2:6" x14ac:dyDescent="0.25">
      <c r="B10024" s="13" t="s">
        <v>18096</v>
      </c>
      <c r="C10024" s="17" t="s">
        <v>170</v>
      </c>
      <c r="D10024" s="13" t="s">
        <v>118</v>
      </c>
      <c r="E10024" s="13" t="s">
        <v>18229</v>
      </c>
      <c r="F10024" s="43">
        <v>2034.9</v>
      </c>
    </row>
    <row r="10025" spans="2:6" x14ac:dyDescent="0.25">
      <c r="B10025" s="13" t="s">
        <v>18098</v>
      </c>
      <c r="C10025" s="17" t="s">
        <v>170</v>
      </c>
      <c r="D10025" s="13" t="s">
        <v>118</v>
      </c>
      <c r="E10025" s="13" t="s">
        <v>18230</v>
      </c>
      <c r="F10025" s="43">
        <v>2034.9</v>
      </c>
    </row>
    <row r="10026" spans="2:6" x14ac:dyDescent="0.25">
      <c r="B10026" s="13" t="s">
        <v>18100</v>
      </c>
      <c r="C10026" s="17" t="s">
        <v>170</v>
      </c>
      <c r="D10026" s="13" t="s">
        <v>118</v>
      </c>
      <c r="E10026" s="13" t="s">
        <v>18231</v>
      </c>
      <c r="F10026" s="43">
        <v>2034.9</v>
      </c>
    </row>
    <row r="10027" spans="2:6" x14ac:dyDescent="0.25">
      <c r="B10027" s="13" t="s">
        <v>18224</v>
      </c>
      <c r="C10027" s="17" t="s">
        <v>170</v>
      </c>
      <c r="D10027" s="13" t="s">
        <v>118</v>
      </c>
      <c r="E10027" s="13" t="s">
        <v>18232</v>
      </c>
      <c r="F10027" s="43">
        <v>2180.25</v>
      </c>
    </row>
    <row r="10028" spans="2:6" x14ac:dyDescent="0.25">
      <c r="B10028" s="13">
        <v>6</v>
      </c>
      <c r="C10028" s="17" t="s">
        <v>170</v>
      </c>
      <c r="D10028" s="13" t="s">
        <v>118</v>
      </c>
      <c r="E10028" s="13" t="s">
        <v>18117</v>
      </c>
      <c r="F10028" s="43">
        <v>0</v>
      </c>
    </row>
    <row r="10029" spans="2:6" x14ac:dyDescent="0.25">
      <c r="B10029" s="13" t="s">
        <v>17559</v>
      </c>
      <c r="C10029" s="17" t="s">
        <v>170</v>
      </c>
      <c r="D10029" s="13" t="s">
        <v>118</v>
      </c>
      <c r="E10029" s="13" t="s">
        <v>18118</v>
      </c>
      <c r="F10029" s="43">
        <v>0</v>
      </c>
    </row>
    <row r="10030" spans="2:6" x14ac:dyDescent="0.25">
      <c r="B10030" s="13" t="s">
        <v>17770</v>
      </c>
      <c r="C10030" s="17" t="s">
        <v>170</v>
      </c>
      <c r="D10030" s="13" t="s">
        <v>118</v>
      </c>
      <c r="E10030" s="13" t="s">
        <v>18119</v>
      </c>
      <c r="F10030" s="43">
        <v>0</v>
      </c>
    </row>
    <row r="10031" spans="2:6" x14ac:dyDescent="0.25">
      <c r="B10031" s="13" t="s">
        <v>17973</v>
      </c>
      <c r="C10031" s="17" t="s">
        <v>170</v>
      </c>
      <c r="D10031" s="13" t="s">
        <v>118</v>
      </c>
      <c r="E10031" s="13" t="s">
        <v>18120</v>
      </c>
      <c r="F10031" s="43">
        <v>115.12</v>
      </c>
    </row>
    <row r="10032" spans="2:6" x14ac:dyDescent="0.25">
      <c r="B10032" s="13" t="s">
        <v>17874</v>
      </c>
      <c r="C10032" s="17" t="s">
        <v>170</v>
      </c>
      <c r="D10032" s="13" t="s">
        <v>118</v>
      </c>
      <c r="E10032" s="13" t="s">
        <v>18121</v>
      </c>
      <c r="F10032" s="43">
        <v>127.5</v>
      </c>
    </row>
    <row r="10033" spans="2:6" x14ac:dyDescent="0.25">
      <c r="B10033" s="13" t="s">
        <v>18122</v>
      </c>
      <c r="C10033" s="17" t="s">
        <v>170</v>
      </c>
      <c r="D10033" s="13" t="s">
        <v>118</v>
      </c>
      <c r="E10033" s="13" t="s">
        <v>18123</v>
      </c>
      <c r="F10033" s="43">
        <v>0</v>
      </c>
    </row>
    <row r="10034" spans="2:6" x14ac:dyDescent="0.25">
      <c r="B10034" s="13" t="s">
        <v>18124</v>
      </c>
      <c r="C10034" s="17" t="s">
        <v>170</v>
      </c>
      <c r="D10034" s="13" t="s">
        <v>118</v>
      </c>
      <c r="E10034" s="13" t="s">
        <v>18125</v>
      </c>
      <c r="F10034" s="43">
        <v>0</v>
      </c>
    </row>
    <row r="10035" spans="2:6" x14ac:dyDescent="0.25">
      <c r="B10035" s="13" t="s">
        <v>17444</v>
      </c>
      <c r="C10035" s="17" t="s">
        <v>170</v>
      </c>
      <c r="D10035" s="13" t="s">
        <v>118</v>
      </c>
      <c r="E10035" s="13" t="s">
        <v>18126</v>
      </c>
      <c r="F10035" s="43">
        <v>0</v>
      </c>
    </row>
    <row r="10036" spans="2:6" x14ac:dyDescent="0.25">
      <c r="B10036" s="13" t="s">
        <v>17861</v>
      </c>
      <c r="C10036" s="17" t="s">
        <v>170</v>
      </c>
      <c r="D10036" s="13" t="s">
        <v>118</v>
      </c>
      <c r="E10036" s="13" t="s">
        <v>18127</v>
      </c>
      <c r="F10036" s="43">
        <v>0</v>
      </c>
    </row>
    <row r="10037" spans="2:6" x14ac:dyDescent="0.25">
      <c r="B10037" s="13" t="s">
        <v>17559</v>
      </c>
      <c r="C10037" s="17" t="s">
        <v>170</v>
      </c>
      <c r="D10037" s="13" t="s">
        <v>118</v>
      </c>
      <c r="E10037" s="13" t="s">
        <v>18128</v>
      </c>
      <c r="F10037" s="43">
        <v>0</v>
      </c>
    </row>
    <row r="10038" spans="2:6" x14ac:dyDescent="0.25">
      <c r="B10038" s="13" t="s">
        <v>17444</v>
      </c>
      <c r="C10038" s="17" t="s">
        <v>170</v>
      </c>
      <c r="D10038" s="13" t="s">
        <v>118</v>
      </c>
      <c r="E10038" s="13" t="s">
        <v>18126</v>
      </c>
      <c r="F10038" s="43">
        <v>0</v>
      </c>
    </row>
    <row r="10039" spans="2:6" x14ac:dyDescent="0.25">
      <c r="B10039" s="13" t="s">
        <v>18129</v>
      </c>
      <c r="C10039" s="17" t="s">
        <v>170</v>
      </c>
      <c r="D10039" s="13" t="s">
        <v>118</v>
      </c>
      <c r="E10039" s="13" t="s">
        <v>18130</v>
      </c>
      <c r="F10039" s="43">
        <v>0</v>
      </c>
    </row>
    <row r="10040" spans="2:6" x14ac:dyDescent="0.25">
      <c r="B10040" s="13" t="s">
        <v>18131</v>
      </c>
      <c r="C10040" s="17" t="s">
        <v>170</v>
      </c>
      <c r="D10040" s="13" t="s">
        <v>118</v>
      </c>
      <c r="E10040" s="13" t="s">
        <v>18132</v>
      </c>
      <c r="F10040" s="43">
        <v>612</v>
      </c>
    </row>
    <row r="10041" spans="2:6" x14ac:dyDescent="0.25">
      <c r="B10041" s="13" t="s">
        <v>18133</v>
      </c>
      <c r="C10041" s="17" t="s">
        <v>170</v>
      </c>
      <c r="D10041" s="13" t="s">
        <v>118</v>
      </c>
      <c r="E10041" s="13" t="s">
        <v>18134</v>
      </c>
      <c r="F10041" s="43">
        <v>76.5</v>
      </c>
    </row>
    <row r="10042" spans="2:6" x14ac:dyDescent="0.25">
      <c r="B10042" s="13" t="s">
        <v>18135</v>
      </c>
      <c r="C10042" s="17" t="s">
        <v>170</v>
      </c>
      <c r="D10042" s="13" t="s">
        <v>118</v>
      </c>
      <c r="E10042" s="13" t="s">
        <v>18136</v>
      </c>
      <c r="F10042" s="43">
        <v>688.5</v>
      </c>
    </row>
    <row r="10043" spans="2:6" x14ac:dyDescent="0.25">
      <c r="B10043" s="13" t="s">
        <v>18137</v>
      </c>
      <c r="C10043" s="17" t="s">
        <v>170</v>
      </c>
      <c r="D10043" s="13" t="s">
        <v>118</v>
      </c>
      <c r="E10043" s="13" t="s">
        <v>18138</v>
      </c>
      <c r="F10043" s="43">
        <v>0</v>
      </c>
    </row>
    <row r="10044" spans="2:6" x14ac:dyDescent="0.25">
      <c r="B10044" s="13" t="s">
        <v>18139</v>
      </c>
      <c r="C10044" s="17" t="s">
        <v>170</v>
      </c>
      <c r="D10044" s="13" t="s">
        <v>118</v>
      </c>
      <c r="E10044" s="13" t="s">
        <v>18140</v>
      </c>
      <c r="F10044" s="43">
        <v>0</v>
      </c>
    </row>
    <row r="10045" spans="2:6" x14ac:dyDescent="0.25">
      <c r="B10045" s="13" t="s">
        <v>18233</v>
      </c>
      <c r="C10045" s="17" t="s">
        <v>170</v>
      </c>
      <c r="D10045" s="13" t="s">
        <v>118</v>
      </c>
      <c r="E10045" s="13" t="s">
        <v>18234</v>
      </c>
      <c r="F10045" s="43">
        <v>5377.95</v>
      </c>
    </row>
    <row r="10046" spans="2:6" x14ac:dyDescent="0.25">
      <c r="B10046" s="13" t="s">
        <v>18235</v>
      </c>
      <c r="C10046" s="17" t="s">
        <v>170</v>
      </c>
      <c r="D10046" s="13" t="s">
        <v>118</v>
      </c>
      <c r="E10046" s="13" t="s">
        <v>18236</v>
      </c>
      <c r="F10046" s="43">
        <v>5377.95</v>
      </c>
    </row>
    <row r="10047" spans="2:6" x14ac:dyDescent="0.25">
      <c r="B10047" s="13" t="s">
        <v>18237</v>
      </c>
      <c r="C10047" s="17" t="s">
        <v>170</v>
      </c>
      <c r="D10047" s="13" t="s">
        <v>118</v>
      </c>
      <c r="E10047" s="13" t="s">
        <v>18238</v>
      </c>
      <c r="F10047" s="43">
        <v>3924.45</v>
      </c>
    </row>
    <row r="10048" spans="2:6" x14ac:dyDescent="0.25">
      <c r="B10048" s="13" t="s">
        <v>18239</v>
      </c>
      <c r="C10048" s="17" t="s">
        <v>170</v>
      </c>
      <c r="D10048" s="13" t="s">
        <v>118</v>
      </c>
      <c r="E10048" s="13" t="s">
        <v>18240</v>
      </c>
      <c r="F10048" s="43">
        <v>3924.45</v>
      </c>
    </row>
    <row r="10049" spans="2:6" x14ac:dyDescent="0.25">
      <c r="B10049" s="13" t="s">
        <v>18241</v>
      </c>
      <c r="C10049" s="17" t="s">
        <v>170</v>
      </c>
      <c r="D10049" s="13" t="s">
        <v>118</v>
      </c>
      <c r="E10049" s="13" t="s">
        <v>18242</v>
      </c>
      <c r="F10049" s="43">
        <v>3924.45</v>
      </c>
    </row>
    <row r="10050" spans="2:6" x14ac:dyDescent="0.25">
      <c r="B10050" s="13" t="s">
        <v>18243</v>
      </c>
      <c r="C10050" s="17" t="s">
        <v>170</v>
      </c>
      <c r="D10050" s="13" t="s">
        <v>118</v>
      </c>
      <c r="E10050" s="13" t="s">
        <v>18244</v>
      </c>
      <c r="F10050" s="43">
        <v>3924.45</v>
      </c>
    </row>
    <row r="10051" spans="2:6" x14ac:dyDescent="0.25">
      <c r="B10051" s="13" t="s">
        <v>18245</v>
      </c>
      <c r="C10051" s="17" t="s">
        <v>170</v>
      </c>
      <c r="D10051" s="13" t="s">
        <v>118</v>
      </c>
      <c r="E10051" s="13"/>
      <c r="F10051" s="43">
        <v>0</v>
      </c>
    </row>
    <row r="10052" spans="2:6" x14ac:dyDescent="0.25">
      <c r="B10052" s="13" t="s">
        <v>18246</v>
      </c>
      <c r="C10052" s="17" t="s">
        <v>170</v>
      </c>
      <c r="D10052" s="13" t="s">
        <v>118</v>
      </c>
      <c r="E10052" s="13"/>
      <c r="F10052" s="43">
        <v>0</v>
      </c>
    </row>
    <row r="10053" spans="2:6" x14ac:dyDescent="0.25">
      <c r="B10053" s="13" t="s">
        <v>18096</v>
      </c>
      <c r="C10053" s="17" t="s">
        <v>170</v>
      </c>
      <c r="D10053" s="13" t="s">
        <v>118</v>
      </c>
      <c r="E10053" s="13" t="s">
        <v>18247</v>
      </c>
      <c r="F10053" s="43">
        <v>2034.9</v>
      </c>
    </row>
    <row r="10054" spans="2:6" x14ac:dyDescent="0.25">
      <c r="B10054" s="13" t="s">
        <v>18098</v>
      </c>
      <c r="C10054" s="17" t="s">
        <v>170</v>
      </c>
      <c r="D10054" s="13" t="s">
        <v>118</v>
      </c>
      <c r="E10054" s="13" t="s">
        <v>18248</v>
      </c>
      <c r="F10054" s="43">
        <v>2034.9</v>
      </c>
    </row>
    <row r="10055" spans="2:6" x14ac:dyDescent="0.25">
      <c r="B10055" s="13" t="s">
        <v>18100</v>
      </c>
      <c r="C10055" s="17" t="s">
        <v>170</v>
      </c>
      <c r="D10055" s="13" t="s">
        <v>118</v>
      </c>
      <c r="E10055" s="13" t="s">
        <v>18249</v>
      </c>
      <c r="F10055" s="43">
        <v>2034.9</v>
      </c>
    </row>
    <row r="10056" spans="2:6" x14ac:dyDescent="0.25">
      <c r="B10056" s="13" t="s">
        <v>18224</v>
      </c>
      <c r="C10056" s="17" t="s">
        <v>170</v>
      </c>
      <c r="D10056" s="13" t="s">
        <v>118</v>
      </c>
      <c r="E10056" s="13" t="s">
        <v>18250</v>
      </c>
      <c r="F10056" s="43">
        <v>2180.25</v>
      </c>
    </row>
    <row r="10057" spans="2:6" x14ac:dyDescent="0.25">
      <c r="B10057" s="13" t="s">
        <v>18251</v>
      </c>
      <c r="C10057" s="17" t="s">
        <v>170</v>
      </c>
      <c r="D10057" s="13" t="s">
        <v>118</v>
      </c>
      <c r="E10057" s="13"/>
      <c r="F10057" s="43">
        <v>0</v>
      </c>
    </row>
    <row r="10058" spans="2:6" x14ac:dyDescent="0.25">
      <c r="B10058" s="13" t="s">
        <v>18252</v>
      </c>
      <c r="C10058" s="17" t="s">
        <v>170</v>
      </c>
      <c r="D10058" s="13" t="s">
        <v>118</v>
      </c>
      <c r="E10058" s="13" t="s">
        <v>17376</v>
      </c>
      <c r="F10058" s="43">
        <v>0</v>
      </c>
    </row>
    <row r="10059" spans="2:6" x14ac:dyDescent="0.25">
      <c r="B10059" s="13" t="s">
        <v>18106</v>
      </c>
      <c r="C10059" s="17" t="s">
        <v>170</v>
      </c>
      <c r="D10059" s="13" t="s">
        <v>118</v>
      </c>
      <c r="E10059" s="13" t="s">
        <v>18253</v>
      </c>
      <c r="F10059" s="43">
        <v>2034.9</v>
      </c>
    </row>
    <row r="10060" spans="2:6" x14ac:dyDescent="0.25">
      <c r="B10060" s="13" t="s">
        <v>18108</v>
      </c>
      <c r="C10060" s="17" t="s">
        <v>170</v>
      </c>
      <c r="D10060" s="13" t="s">
        <v>118</v>
      </c>
      <c r="E10060" s="13" t="s">
        <v>18254</v>
      </c>
      <c r="F10060" s="43">
        <v>2034.9</v>
      </c>
    </row>
    <row r="10061" spans="2:6" x14ac:dyDescent="0.25">
      <c r="B10061" s="13">
        <v>6</v>
      </c>
      <c r="C10061" s="17" t="s">
        <v>170</v>
      </c>
      <c r="D10061" s="13" t="s">
        <v>118</v>
      </c>
      <c r="E10061" s="13" t="s">
        <v>18255</v>
      </c>
      <c r="F10061" s="43">
        <v>0</v>
      </c>
    </row>
    <row r="10062" spans="2:6" x14ac:dyDescent="0.25">
      <c r="B10062" s="13" t="s">
        <v>17559</v>
      </c>
      <c r="C10062" s="17" t="s">
        <v>170</v>
      </c>
      <c r="D10062" s="13" t="s">
        <v>118</v>
      </c>
      <c r="E10062" s="13" t="s">
        <v>18118</v>
      </c>
      <c r="F10062" s="43">
        <v>0</v>
      </c>
    </row>
    <row r="10063" spans="2:6" x14ac:dyDescent="0.25">
      <c r="B10063" s="13" t="s">
        <v>17770</v>
      </c>
      <c r="C10063" s="17" t="s">
        <v>170</v>
      </c>
      <c r="D10063" s="13" t="s">
        <v>118</v>
      </c>
      <c r="E10063" s="13" t="s">
        <v>18119</v>
      </c>
      <c r="F10063" s="43">
        <v>0</v>
      </c>
    </row>
    <row r="10064" spans="2:6" x14ac:dyDescent="0.25">
      <c r="B10064" s="13" t="s">
        <v>17973</v>
      </c>
      <c r="C10064" s="17" t="s">
        <v>170</v>
      </c>
      <c r="D10064" s="13" t="s">
        <v>118</v>
      </c>
      <c r="E10064" s="13" t="s">
        <v>18120</v>
      </c>
      <c r="F10064" s="43">
        <v>115.12</v>
      </c>
    </row>
    <row r="10065" spans="2:6" x14ac:dyDescent="0.25">
      <c r="B10065" s="13" t="s">
        <v>17874</v>
      </c>
      <c r="C10065" s="17" t="s">
        <v>170</v>
      </c>
      <c r="D10065" s="13" t="s">
        <v>118</v>
      </c>
      <c r="E10065" s="13" t="s">
        <v>18121</v>
      </c>
      <c r="F10065" s="43">
        <v>127.5</v>
      </c>
    </row>
    <row r="10066" spans="2:6" x14ac:dyDescent="0.25">
      <c r="B10066" s="13" t="s">
        <v>18122</v>
      </c>
      <c r="C10066" s="17" t="s">
        <v>170</v>
      </c>
      <c r="D10066" s="13" t="s">
        <v>118</v>
      </c>
      <c r="E10066" s="13" t="s">
        <v>18123</v>
      </c>
      <c r="F10066" s="43">
        <v>0</v>
      </c>
    </row>
    <row r="10067" spans="2:6" x14ac:dyDescent="0.25">
      <c r="B10067" s="13" t="s">
        <v>18124</v>
      </c>
      <c r="C10067" s="17" t="s">
        <v>170</v>
      </c>
      <c r="D10067" s="13" t="s">
        <v>118</v>
      </c>
      <c r="E10067" s="13" t="s">
        <v>18125</v>
      </c>
      <c r="F10067" s="43">
        <v>0</v>
      </c>
    </row>
    <row r="10068" spans="2:6" x14ac:dyDescent="0.25">
      <c r="B10068" s="13" t="s">
        <v>17444</v>
      </c>
      <c r="C10068" s="17" t="s">
        <v>170</v>
      </c>
      <c r="D10068" s="13" t="s">
        <v>118</v>
      </c>
      <c r="E10068" s="13" t="s">
        <v>18126</v>
      </c>
      <c r="F10068" s="43">
        <v>0</v>
      </c>
    </row>
    <row r="10069" spans="2:6" x14ac:dyDescent="0.25">
      <c r="B10069" s="13" t="s">
        <v>17861</v>
      </c>
      <c r="C10069" s="17" t="s">
        <v>170</v>
      </c>
      <c r="D10069" s="13" t="s">
        <v>118</v>
      </c>
      <c r="E10069" s="13" t="s">
        <v>18127</v>
      </c>
      <c r="F10069" s="43">
        <v>0</v>
      </c>
    </row>
    <row r="10070" spans="2:6" x14ac:dyDescent="0.25">
      <c r="B10070" s="13" t="s">
        <v>17559</v>
      </c>
      <c r="C10070" s="17" t="s">
        <v>170</v>
      </c>
      <c r="D10070" s="13" t="s">
        <v>118</v>
      </c>
      <c r="E10070" s="13" t="s">
        <v>18128</v>
      </c>
      <c r="F10070" s="43">
        <v>0</v>
      </c>
    </row>
    <row r="10071" spans="2:6" x14ac:dyDescent="0.25">
      <c r="B10071" s="13" t="s">
        <v>17444</v>
      </c>
      <c r="C10071" s="17" t="s">
        <v>170</v>
      </c>
      <c r="D10071" s="13" t="s">
        <v>118</v>
      </c>
      <c r="E10071" s="13" t="s">
        <v>18126</v>
      </c>
      <c r="F10071" s="43">
        <v>0</v>
      </c>
    </row>
    <row r="10072" spans="2:6" x14ac:dyDescent="0.25">
      <c r="B10072" s="13" t="s">
        <v>18129</v>
      </c>
      <c r="C10072" s="17" t="s">
        <v>170</v>
      </c>
      <c r="D10072" s="13" t="s">
        <v>118</v>
      </c>
      <c r="E10072" s="13" t="s">
        <v>18130</v>
      </c>
      <c r="F10072" s="43">
        <v>0</v>
      </c>
    </row>
    <row r="10073" spans="2:6" x14ac:dyDescent="0.25">
      <c r="B10073" s="13" t="s">
        <v>18131</v>
      </c>
      <c r="C10073" s="17" t="s">
        <v>170</v>
      </c>
      <c r="D10073" s="13" t="s">
        <v>118</v>
      </c>
      <c r="E10073" s="13" t="s">
        <v>18256</v>
      </c>
      <c r="F10073" s="43">
        <v>612</v>
      </c>
    </row>
    <row r="10074" spans="2:6" x14ac:dyDescent="0.25">
      <c r="B10074" s="13" t="s">
        <v>18133</v>
      </c>
      <c r="C10074" s="17" t="s">
        <v>170</v>
      </c>
      <c r="D10074" s="13" t="s">
        <v>118</v>
      </c>
      <c r="E10074" s="13" t="s">
        <v>18175</v>
      </c>
      <c r="F10074" s="43">
        <v>76.5</v>
      </c>
    </row>
    <row r="10075" spans="2:6" x14ac:dyDescent="0.25">
      <c r="B10075" s="13" t="s">
        <v>18135</v>
      </c>
      <c r="C10075" s="17" t="s">
        <v>170</v>
      </c>
      <c r="D10075" s="13" t="s">
        <v>118</v>
      </c>
      <c r="E10075" s="13" t="s">
        <v>18257</v>
      </c>
      <c r="F10075" s="43">
        <v>688.5</v>
      </c>
    </row>
    <row r="10076" spans="2:6" x14ac:dyDescent="0.25">
      <c r="B10076" s="13" t="s">
        <v>18137</v>
      </c>
      <c r="C10076" s="17" t="s">
        <v>170</v>
      </c>
      <c r="D10076" s="13" t="s">
        <v>118</v>
      </c>
      <c r="E10076" s="13" t="s">
        <v>18138</v>
      </c>
      <c r="F10076" s="43">
        <v>0</v>
      </c>
    </row>
    <row r="10077" spans="2:6" x14ac:dyDescent="0.25">
      <c r="B10077" s="13" t="s">
        <v>18139</v>
      </c>
      <c r="C10077" s="17" t="s">
        <v>170</v>
      </c>
      <c r="D10077" s="13" t="s">
        <v>118</v>
      </c>
      <c r="E10077" s="13" t="s">
        <v>18140</v>
      </c>
      <c r="F10077" s="43">
        <v>0</v>
      </c>
    </row>
    <row r="10078" spans="2:6" x14ac:dyDescent="0.25">
      <c r="B10078" s="13" t="s">
        <v>18258</v>
      </c>
      <c r="C10078" s="17" t="s">
        <v>170</v>
      </c>
      <c r="D10078" s="13" t="s">
        <v>118</v>
      </c>
      <c r="E10078" s="13" t="s">
        <v>18259</v>
      </c>
      <c r="F10078" s="43">
        <v>2616.3000000000002</v>
      </c>
    </row>
    <row r="10079" spans="2:6" x14ac:dyDescent="0.25">
      <c r="B10079" s="13" t="s">
        <v>18260</v>
      </c>
      <c r="C10079" s="17" t="s">
        <v>170</v>
      </c>
      <c r="D10079" s="13" t="s">
        <v>118</v>
      </c>
      <c r="E10079" s="13" t="s">
        <v>18261</v>
      </c>
      <c r="F10079" s="43">
        <v>2616.3000000000002</v>
      </c>
    </row>
    <row r="10080" spans="2:6" x14ac:dyDescent="0.25">
      <c r="B10080" s="13" t="s">
        <v>18262</v>
      </c>
      <c r="C10080" s="17" t="s">
        <v>170</v>
      </c>
      <c r="D10080" s="13" t="s">
        <v>118</v>
      </c>
      <c r="E10080" s="13" t="s">
        <v>18263</v>
      </c>
      <c r="F10080" s="43">
        <v>2616.3000000000002</v>
      </c>
    </row>
    <row r="10081" spans="2:6" x14ac:dyDescent="0.25">
      <c r="B10081" s="13" t="s">
        <v>18264</v>
      </c>
      <c r="C10081" s="17" t="s">
        <v>170</v>
      </c>
      <c r="D10081" s="13" t="s">
        <v>118</v>
      </c>
      <c r="E10081" s="13" t="s">
        <v>18265</v>
      </c>
      <c r="F10081" s="43">
        <v>2616.3000000000002</v>
      </c>
    </row>
    <row r="10082" spans="2:6" x14ac:dyDescent="0.25">
      <c r="B10082" s="13" t="s">
        <v>18266</v>
      </c>
      <c r="C10082" s="17" t="s">
        <v>170</v>
      </c>
      <c r="D10082" s="13" t="s">
        <v>118</v>
      </c>
      <c r="E10082" s="13" t="s">
        <v>18267</v>
      </c>
      <c r="F10082" s="43">
        <v>2616.3000000000002</v>
      </c>
    </row>
    <row r="10083" spans="2:6" x14ac:dyDescent="0.25">
      <c r="B10083" s="13" t="s">
        <v>18268</v>
      </c>
      <c r="C10083" s="17" t="s">
        <v>170</v>
      </c>
      <c r="D10083" s="13" t="s">
        <v>118</v>
      </c>
      <c r="E10083" s="13" t="s">
        <v>18269</v>
      </c>
      <c r="F10083" s="43">
        <v>2616.3000000000002</v>
      </c>
    </row>
    <row r="10084" spans="2:6" x14ac:dyDescent="0.25">
      <c r="B10084" s="13" t="s">
        <v>18270</v>
      </c>
      <c r="C10084" s="17" t="s">
        <v>170</v>
      </c>
      <c r="D10084" s="13" t="s">
        <v>118</v>
      </c>
      <c r="E10084" s="13" t="s">
        <v>18271</v>
      </c>
      <c r="F10084" s="43">
        <v>2616.3000000000002</v>
      </c>
    </row>
    <row r="10085" spans="2:6" x14ac:dyDescent="0.25">
      <c r="B10085" s="13" t="s">
        <v>18272</v>
      </c>
      <c r="C10085" s="17" t="s">
        <v>170</v>
      </c>
      <c r="D10085" s="13" t="s">
        <v>118</v>
      </c>
      <c r="E10085" s="13" t="s">
        <v>18273</v>
      </c>
      <c r="F10085" s="43">
        <v>2616.3000000000002</v>
      </c>
    </row>
    <row r="10086" spans="2:6" x14ac:dyDescent="0.25">
      <c r="B10086" s="13" t="s">
        <v>18274</v>
      </c>
      <c r="C10086" s="17" t="s">
        <v>170</v>
      </c>
      <c r="D10086" s="13" t="s">
        <v>118</v>
      </c>
      <c r="E10086" s="13" t="s">
        <v>18275</v>
      </c>
      <c r="F10086" s="43">
        <v>2616.3000000000002</v>
      </c>
    </row>
    <row r="10087" spans="2:6" x14ac:dyDescent="0.25">
      <c r="B10087" s="13" t="s">
        <v>18276</v>
      </c>
      <c r="C10087" s="17" t="s">
        <v>170</v>
      </c>
      <c r="D10087" s="13" t="s">
        <v>118</v>
      </c>
      <c r="E10087" s="13" t="s">
        <v>18277</v>
      </c>
      <c r="F10087" s="43">
        <v>2616.3000000000002</v>
      </c>
    </row>
    <row r="10088" spans="2:6" x14ac:dyDescent="0.25">
      <c r="B10088" s="13" t="s">
        <v>18278</v>
      </c>
      <c r="C10088" s="17" t="s">
        <v>170</v>
      </c>
      <c r="D10088" s="13" t="s">
        <v>118</v>
      </c>
      <c r="E10088" s="13" t="s">
        <v>18279</v>
      </c>
      <c r="F10088" s="43">
        <v>2616.3000000000002</v>
      </c>
    </row>
    <row r="10089" spans="2:6" x14ac:dyDescent="0.25">
      <c r="B10089" s="13" t="s">
        <v>18280</v>
      </c>
      <c r="C10089" s="17" t="s">
        <v>170</v>
      </c>
      <c r="D10089" s="13" t="s">
        <v>118</v>
      </c>
      <c r="E10089" s="13" t="s">
        <v>18281</v>
      </c>
      <c r="F10089" s="43">
        <v>2616.3000000000002</v>
      </c>
    </row>
    <row r="10090" spans="2:6" x14ac:dyDescent="0.25">
      <c r="B10090" s="13" t="s">
        <v>18282</v>
      </c>
      <c r="C10090" s="17" t="s">
        <v>170</v>
      </c>
      <c r="D10090" s="13" t="s">
        <v>118</v>
      </c>
      <c r="E10090" s="13" t="s">
        <v>18283</v>
      </c>
      <c r="F10090" s="43">
        <v>2616.3000000000002</v>
      </c>
    </row>
    <row r="10091" spans="2:6" x14ac:dyDescent="0.25">
      <c r="B10091" s="13" t="s">
        <v>18284</v>
      </c>
      <c r="C10091" s="17" t="s">
        <v>170</v>
      </c>
      <c r="D10091" s="13" t="s">
        <v>118</v>
      </c>
      <c r="E10091" s="13" t="s">
        <v>18285</v>
      </c>
      <c r="F10091" s="43">
        <v>2616.3000000000002</v>
      </c>
    </row>
    <row r="10092" spans="2:6" x14ac:dyDescent="0.25">
      <c r="B10092" s="13" t="s">
        <v>18286</v>
      </c>
      <c r="C10092" s="17" t="s">
        <v>170</v>
      </c>
      <c r="D10092" s="13" t="s">
        <v>118</v>
      </c>
      <c r="E10092" s="13" t="s">
        <v>18287</v>
      </c>
      <c r="F10092" s="43">
        <v>2761.65</v>
      </c>
    </row>
    <row r="10093" spans="2:6" x14ac:dyDescent="0.25">
      <c r="B10093" s="13" t="s">
        <v>18288</v>
      </c>
      <c r="C10093" s="17" t="s">
        <v>170</v>
      </c>
      <c r="D10093" s="13" t="s">
        <v>118</v>
      </c>
      <c r="E10093" s="13" t="s">
        <v>18289</v>
      </c>
      <c r="F10093" s="43">
        <v>2761.65</v>
      </c>
    </row>
    <row r="10094" spans="2:6" x14ac:dyDescent="0.25">
      <c r="B10094" s="13" t="s">
        <v>18290</v>
      </c>
      <c r="C10094" s="17" t="s">
        <v>170</v>
      </c>
      <c r="D10094" s="13" t="s">
        <v>118</v>
      </c>
      <c r="E10094" s="13" t="s">
        <v>18291</v>
      </c>
      <c r="F10094" s="43">
        <v>2761.65</v>
      </c>
    </row>
    <row r="10095" spans="2:6" x14ac:dyDescent="0.25">
      <c r="B10095" s="13" t="s">
        <v>18292</v>
      </c>
      <c r="C10095" s="17" t="s">
        <v>170</v>
      </c>
      <c r="D10095" s="13" t="s">
        <v>118</v>
      </c>
      <c r="E10095" s="13" t="s">
        <v>18293</v>
      </c>
      <c r="F10095" s="43">
        <v>2761.65</v>
      </c>
    </row>
    <row r="10096" spans="2:6" x14ac:dyDescent="0.25">
      <c r="B10096" s="13" t="s">
        <v>18294</v>
      </c>
      <c r="C10096" s="17" t="s">
        <v>170</v>
      </c>
      <c r="D10096" s="13" t="s">
        <v>118</v>
      </c>
      <c r="E10096" s="13" t="s">
        <v>18295</v>
      </c>
      <c r="F10096" s="43">
        <v>2761.65</v>
      </c>
    </row>
    <row r="10097" spans="2:6" x14ac:dyDescent="0.25">
      <c r="B10097" s="13" t="s">
        <v>18296</v>
      </c>
      <c r="C10097" s="17" t="s">
        <v>170</v>
      </c>
      <c r="D10097" s="13" t="s">
        <v>118</v>
      </c>
      <c r="E10097" s="13" t="s">
        <v>18297</v>
      </c>
      <c r="F10097" s="43">
        <v>2761.65</v>
      </c>
    </row>
    <row r="10098" spans="2:6" x14ac:dyDescent="0.25">
      <c r="B10098" s="13" t="s">
        <v>18298</v>
      </c>
      <c r="C10098" s="17" t="s">
        <v>170</v>
      </c>
      <c r="D10098" s="13" t="s">
        <v>118</v>
      </c>
      <c r="E10098" s="13" t="s">
        <v>18299</v>
      </c>
      <c r="F10098" s="43">
        <v>2761.65</v>
      </c>
    </row>
    <row r="10099" spans="2:6" x14ac:dyDescent="0.25">
      <c r="B10099" s="13" t="s">
        <v>18300</v>
      </c>
      <c r="C10099" s="17" t="s">
        <v>170</v>
      </c>
      <c r="D10099" s="13" t="s">
        <v>118</v>
      </c>
      <c r="E10099" s="13" t="s">
        <v>18301</v>
      </c>
      <c r="F10099" s="43">
        <v>2761.65</v>
      </c>
    </row>
    <row r="10100" spans="2:6" x14ac:dyDescent="0.25">
      <c r="B10100" s="13" t="s">
        <v>18302</v>
      </c>
      <c r="C10100" s="17" t="s">
        <v>170</v>
      </c>
      <c r="D10100" s="13" t="s">
        <v>118</v>
      </c>
      <c r="E10100" s="13" t="s">
        <v>18303</v>
      </c>
      <c r="F10100" s="43">
        <v>2761.65</v>
      </c>
    </row>
    <row r="10101" spans="2:6" x14ac:dyDescent="0.25">
      <c r="B10101" s="13" t="s">
        <v>18304</v>
      </c>
      <c r="C10101" s="17" t="s">
        <v>170</v>
      </c>
      <c r="D10101" s="13" t="s">
        <v>118</v>
      </c>
      <c r="E10101" s="13" t="s">
        <v>18305</v>
      </c>
      <c r="F10101" s="43">
        <v>2761.65</v>
      </c>
    </row>
    <row r="10102" spans="2:6" x14ac:dyDescent="0.25">
      <c r="B10102" s="13" t="s">
        <v>18306</v>
      </c>
      <c r="C10102" s="17" t="s">
        <v>170</v>
      </c>
      <c r="D10102" s="13" t="s">
        <v>118</v>
      </c>
      <c r="E10102" s="13"/>
      <c r="F10102" s="43">
        <v>0</v>
      </c>
    </row>
    <row r="10103" spans="2:6" x14ac:dyDescent="0.25">
      <c r="B10103" s="13" t="s">
        <v>18307</v>
      </c>
      <c r="C10103" s="17" t="s">
        <v>170</v>
      </c>
      <c r="D10103" s="13" t="s">
        <v>118</v>
      </c>
      <c r="E10103" s="13"/>
      <c r="F10103" s="43">
        <v>0</v>
      </c>
    </row>
    <row r="10104" spans="2:6" x14ac:dyDescent="0.25">
      <c r="B10104" s="13" t="s">
        <v>18219</v>
      </c>
      <c r="C10104" s="17" t="s">
        <v>170</v>
      </c>
      <c r="D10104" s="13" t="s">
        <v>118</v>
      </c>
      <c r="E10104" s="13" t="s">
        <v>17376</v>
      </c>
      <c r="F10104" s="43">
        <v>0</v>
      </c>
    </row>
    <row r="10105" spans="2:6" x14ac:dyDescent="0.25">
      <c r="B10105" s="13" t="s">
        <v>18096</v>
      </c>
      <c r="C10105" s="17" t="s">
        <v>170</v>
      </c>
      <c r="D10105" s="13" t="s">
        <v>118</v>
      </c>
      <c r="E10105" s="13" t="s">
        <v>18308</v>
      </c>
      <c r="F10105" s="43">
        <v>2034.9</v>
      </c>
    </row>
    <row r="10106" spans="2:6" x14ac:dyDescent="0.25">
      <c r="B10106" s="13" t="s">
        <v>18098</v>
      </c>
      <c r="C10106" s="17" t="s">
        <v>170</v>
      </c>
      <c r="D10106" s="13" t="s">
        <v>118</v>
      </c>
      <c r="E10106" s="13" t="s">
        <v>18099</v>
      </c>
      <c r="F10106" s="43">
        <v>2034.9</v>
      </c>
    </row>
    <row r="10107" spans="2:6" x14ac:dyDescent="0.25">
      <c r="B10107" s="13" t="s">
        <v>18100</v>
      </c>
      <c r="C10107" s="17" t="s">
        <v>170</v>
      </c>
      <c r="D10107" s="13" t="s">
        <v>118</v>
      </c>
      <c r="E10107" s="13" t="s">
        <v>18101</v>
      </c>
      <c r="F10107" s="43">
        <v>2034.9</v>
      </c>
    </row>
    <row r="10108" spans="2:6" x14ac:dyDescent="0.25">
      <c r="B10108" s="13" t="s">
        <v>18102</v>
      </c>
      <c r="C10108" s="17" t="s">
        <v>170</v>
      </c>
      <c r="D10108" s="13" t="s">
        <v>118</v>
      </c>
      <c r="E10108" s="13" t="s">
        <v>18103</v>
      </c>
      <c r="F10108" s="43">
        <v>2034.9</v>
      </c>
    </row>
    <row r="10109" spans="2:6" x14ac:dyDescent="0.25">
      <c r="B10109" s="13" t="s">
        <v>18104</v>
      </c>
      <c r="C10109" s="17" t="s">
        <v>170</v>
      </c>
      <c r="D10109" s="13" t="s">
        <v>118</v>
      </c>
      <c r="E10109" s="13" t="s">
        <v>18105</v>
      </c>
      <c r="F10109" s="43">
        <v>2034.9</v>
      </c>
    </row>
    <row r="10110" spans="2:6" x14ac:dyDescent="0.25">
      <c r="B10110" s="13" t="s">
        <v>18106</v>
      </c>
      <c r="C10110" s="17" t="s">
        <v>170</v>
      </c>
      <c r="D10110" s="13" t="s">
        <v>118</v>
      </c>
      <c r="E10110" s="13" t="s">
        <v>18107</v>
      </c>
      <c r="F10110" s="43">
        <v>2034.9</v>
      </c>
    </row>
    <row r="10111" spans="2:6" x14ac:dyDescent="0.25">
      <c r="B10111" s="13" t="s">
        <v>18108</v>
      </c>
      <c r="C10111" s="17" t="s">
        <v>170</v>
      </c>
      <c r="D10111" s="13" t="s">
        <v>118</v>
      </c>
      <c r="E10111" s="13" t="s">
        <v>18109</v>
      </c>
      <c r="F10111" s="43">
        <v>2034.9</v>
      </c>
    </row>
    <row r="10112" spans="2:6" x14ac:dyDescent="0.25">
      <c r="B10112" s="13" t="s">
        <v>18309</v>
      </c>
      <c r="C10112" s="17" t="s">
        <v>170</v>
      </c>
      <c r="D10112" s="13" t="s">
        <v>118</v>
      </c>
      <c r="E10112" s="13"/>
      <c r="F10112" s="43">
        <v>0</v>
      </c>
    </row>
    <row r="10113" spans="2:6" x14ac:dyDescent="0.25">
      <c r="B10113" s="13" t="s">
        <v>18227</v>
      </c>
      <c r="C10113" s="17" t="s">
        <v>170</v>
      </c>
      <c r="D10113" s="13" t="s">
        <v>118</v>
      </c>
      <c r="E10113" s="13" t="s">
        <v>17376</v>
      </c>
      <c r="F10113" s="43">
        <v>0</v>
      </c>
    </row>
    <row r="10114" spans="2:6" x14ac:dyDescent="0.25">
      <c r="B10114" s="13" t="s">
        <v>18096</v>
      </c>
      <c r="C10114" s="17" t="s">
        <v>170</v>
      </c>
      <c r="D10114" s="13" t="s">
        <v>118</v>
      </c>
      <c r="E10114" s="13" t="s">
        <v>18112</v>
      </c>
      <c r="F10114" s="43">
        <v>2034.9</v>
      </c>
    </row>
    <row r="10115" spans="2:6" x14ac:dyDescent="0.25">
      <c r="B10115" s="13" t="s">
        <v>18098</v>
      </c>
      <c r="C10115" s="17" t="s">
        <v>170</v>
      </c>
      <c r="D10115" s="13" t="s">
        <v>118</v>
      </c>
      <c r="E10115" s="13" t="s">
        <v>18113</v>
      </c>
      <c r="F10115" s="43">
        <v>2034.9</v>
      </c>
    </row>
    <row r="10116" spans="2:6" x14ac:dyDescent="0.25">
      <c r="B10116" s="13" t="s">
        <v>18100</v>
      </c>
      <c r="C10116" s="17" t="s">
        <v>170</v>
      </c>
      <c r="D10116" s="13" t="s">
        <v>118</v>
      </c>
      <c r="E10116" s="13" t="s">
        <v>18114</v>
      </c>
      <c r="F10116" s="43">
        <v>2034.9</v>
      </c>
    </row>
    <row r="10117" spans="2:6" x14ac:dyDescent="0.25">
      <c r="B10117" s="13" t="s">
        <v>18102</v>
      </c>
      <c r="C10117" s="17" t="s">
        <v>170</v>
      </c>
      <c r="D10117" s="13" t="s">
        <v>118</v>
      </c>
      <c r="E10117" s="13" t="s">
        <v>18310</v>
      </c>
      <c r="F10117" s="43">
        <v>2034.9</v>
      </c>
    </row>
    <row r="10118" spans="2:6" x14ac:dyDescent="0.25">
      <c r="B10118" s="13">
        <v>130</v>
      </c>
      <c r="C10118" s="17" t="s">
        <v>170</v>
      </c>
      <c r="D10118" s="13" t="s">
        <v>118</v>
      </c>
      <c r="E10118" s="13" t="s">
        <v>18116</v>
      </c>
      <c r="F10118" s="43">
        <v>2761.65</v>
      </c>
    </row>
    <row r="10119" spans="2:6" x14ac:dyDescent="0.25">
      <c r="B10119" s="13">
        <v>6</v>
      </c>
      <c r="C10119" s="17" t="s">
        <v>170</v>
      </c>
      <c r="D10119" s="13" t="s">
        <v>118</v>
      </c>
      <c r="E10119" s="13" t="s">
        <v>18117</v>
      </c>
      <c r="F10119" s="43">
        <v>0</v>
      </c>
    </row>
    <row r="10120" spans="2:6" x14ac:dyDescent="0.25">
      <c r="B10120" s="13" t="s">
        <v>17559</v>
      </c>
      <c r="C10120" s="17" t="s">
        <v>170</v>
      </c>
      <c r="D10120" s="13" t="s">
        <v>118</v>
      </c>
      <c r="E10120" s="13" t="s">
        <v>18118</v>
      </c>
      <c r="F10120" s="43">
        <v>0</v>
      </c>
    </row>
    <row r="10121" spans="2:6" x14ac:dyDescent="0.25">
      <c r="B10121" s="13" t="s">
        <v>17770</v>
      </c>
      <c r="C10121" s="17" t="s">
        <v>170</v>
      </c>
      <c r="D10121" s="13" t="s">
        <v>118</v>
      </c>
      <c r="E10121" s="13" t="s">
        <v>18119</v>
      </c>
      <c r="F10121" s="43">
        <v>0</v>
      </c>
    </row>
    <row r="10122" spans="2:6" x14ac:dyDescent="0.25">
      <c r="B10122" s="13" t="s">
        <v>17973</v>
      </c>
      <c r="C10122" s="17" t="s">
        <v>170</v>
      </c>
      <c r="D10122" s="13" t="s">
        <v>118</v>
      </c>
      <c r="E10122" s="13" t="s">
        <v>18120</v>
      </c>
      <c r="F10122" s="43">
        <v>115.12</v>
      </c>
    </row>
    <row r="10123" spans="2:6" x14ac:dyDescent="0.25">
      <c r="B10123" s="13" t="s">
        <v>17874</v>
      </c>
      <c r="C10123" s="17" t="s">
        <v>170</v>
      </c>
      <c r="D10123" s="13" t="s">
        <v>118</v>
      </c>
      <c r="E10123" s="13" t="s">
        <v>18121</v>
      </c>
      <c r="F10123" s="43">
        <v>127.5</v>
      </c>
    </row>
    <row r="10124" spans="2:6" x14ac:dyDescent="0.25">
      <c r="B10124" s="13" t="s">
        <v>18122</v>
      </c>
      <c r="C10124" s="17" t="s">
        <v>170</v>
      </c>
      <c r="D10124" s="13" t="s">
        <v>118</v>
      </c>
      <c r="E10124" s="13" t="s">
        <v>18123</v>
      </c>
      <c r="F10124" s="43">
        <v>0</v>
      </c>
    </row>
    <row r="10125" spans="2:6" x14ac:dyDescent="0.25">
      <c r="B10125" s="13" t="s">
        <v>18124</v>
      </c>
      <c r="C10125" s="17" t="s">
        <v>170</v>
      </c>
      <c r="D10125" s="13" t="s">
        <v>118</v>
      </c>
      <c r="E10125" s="13" t="s">
        <v>18125</v>
      </c>
      <c r="F10125" s="43">
        <v>0</v>
      </c>
    </row>
    <row r="10126" spans="2:6" x14ac:dyDescent="0.25">
      <c r="B10126" s="13" t="s">
        <v>17444</v>
      </c>
      <c r="C10126" s="17" t="s">
        <v>170</v>
      </c>
      <c r="D10126" s="13" t="s">
        <v>118</v>
      </c>
      <c r="E10126" s="13" t="s">
        <v>18126</v>
      </c>
      <c r="F10126" s="43">
        <v>0</v>
      </c>
    </row>
    <row r="10127" spans="2:6" x14ac:dyDescent="0.25">
      <c r="B10127" s="13" t="s">
        <v>17861</v>
      </c>
      <c r="C10127" s="17" t="s">
        <v>170</v>
      </c>
      <c r="D10127" s="13" t="s">
        <v>118</v>
      </c>
      <c r="E10127" s="13" t="s">
        <v>18311</v>
      </c>
      <c r="F10127" s="43">
        <v>0</v>
      </c>
    </row>
    <row r="10128" spans="2:6" x14ac:dyDescent="0.25">
      <c r="B10128" s="13" t="s">
        <v>17559</v>
      </c>
      <c r="C10128" s="17" t="s">
        <v>170</v>
      </c>
      <c r="D10128" s="13" t="s">
        <v>118</v>
      </c>
      <c r="E10128" s="13" t="s">
        <v>18118</v>
      </c>
      <c r="F10128" s="43">
        <v>0</v>
      </c>
    </row>
    <row r="10129" spans="2:6" x14ac:dyDescent="0.25">
      <c r="B10129" s="13" t="s">
        <v>17444</v>
      </c>
      <c r="C10129" s="17" t="s">
        <v>170</v>
      </c>
      <c r="D10129" s="13" t="s">
        <v>118</v>
      </c>
      <c r="E10129" s="13" t="s">
        <v>18126</v>
      </c>
      <c r="F10129" s="43">
        <v>0</v>
      </c>
    </row>
    <row r="10130" spans="2:6" x14ac:dyDescent="0.25">
      <c r="B10130" s="13" t="s">
        <v>18129</v>
      </c>
      <c r="C10130" s="17" t="s">
        <v>170</v>
      </c>
      <c r="D10130" s="13" t="s">
        <v>118</v>
      </c>
      <c r="E10130" s="13" t="s">
        <v>18130</v>
      </c>
      <c r="F10130" s="43">
        <v>0</v>
      </c>
    </row>
    <row r="10131" spans="2:6" x14ac:dyDescent="0.25">
      <c r="B10131" s="13" t="s">
        <v>18131</v>
      </c>
      <c r="C10131" s="17" t="s">
        <v>170</v>
      </c>
      <c r="D10131" s="13" t="s">
        <v>118</v>
      </c>
      <c r="E10131" s="13" t="s">
        <v>18132</v>
      </c>
      <c r="F10131" s="43">
        <v>612</v>
      </c>
    </row>
    <row r="10132" spans="2:6" x14ac:dyDescent="0.25">
      <c r="B10132" s="13" t="s">
        <v>18133</v>
      </c>
      <c r="C10132" s="17" t="s">
        <v>170</v>
      </c>
      <c r="D10132" s="13" t="s">
        <v>118</v>
      </c>
      <c r="E10132" s="13" t="s">
        <v>18134</v>
      </c>
      <c r="F10132" s="43">
        <v>76.5</v>
      </c>
    </row>
    <row r="10133" spans="2:6" x14ac:dyDescent="0.25">
      <c r="B10133" s="13" t="s">
        <v>18135</v>
      </c>
      <c r="C10133" s="17" t="s">
        <v>170</v>
      </c>
      <c r="D10133" s="13" t="s">
        <v>118</v>
      </c>
      <c r="E10133" s="13" t="s">
        <v>18136</v>
      </c>
      <c r="F10133" s="43">
        <v>688.5</v>
      </c>
    </row>
    <row r="10134" spans="2:6" x14ac:dyDescent="0.25">
      <c r="B10134" s="13" t="s">
        <v>18312</v>
      </c>
      <c r="C10134" s="17" t="s">
        <v>170</v>
      </c>
      <c r="D10134" s="13" t="s">
        <v>118</v>
      </c>
      <c r="E10134" s="13" t="s">
        <v>18313</v>
      </c>
      <c r="F10134" s="43">
        <v>2754</v>
      </c>
    </row>
    <row r="10135" spans="2:6" x14ac:dyDescent="0.25">
      <c r="B10135" s="13" t="s">
        <v>18314</v>
      </c>
      <c r="C10135" s="17" t="s">
        <v>170</v>
      </c>
      <c r="D10135" s="13" t="s">
        <v>118</v>
      </c>
      <c r="E10135" s="13" t="s">
        <v>18315</v>
      </c>
      <c r="F10135" s="43">
        <v>5508</v>
      </c>
    </row>
    <row r="10136" spans="2:6" x14ac:dyDescent="0.25">
      <c r="B10136" s="13" t="s">
        <v>18316</v>
      </c>
      <c r="C10136" s="17" t="s">
        <v>170</v>
      </c>
      <c r="D10136" s="13" t="s">
        <v>118</v>
      </c>
      <c r="E10136" s="13" t="s">
        <v>18317</v>
      </c>
      <c r="F10136" s="43">
        <v>0</v>
      </c>
    </row>
    <row r="10137" spans="2:6" x14ac:dyDescent="0.25">
      <c r="B10137" s="13" t="s">
        <v>18137</v>
      </c>
      <c r="C10137" s="17" t="s">
        <v>170</v>
      </c>
      <c r="D10137" s="13" t="s">
        <v>118</v>
      </c>
      <c r="E10137" s="13" t="s">
        <v>18138</v>
      </c>
      <c r="F10137" s="43">
        <v>0</v>
      </c>
    </row>
    <row r="10138" spans="2:6" x14ac:dyDescent="0.25">
      <c r="B10138" s="13" t="s">
        <v>18139</v>
      </c>
      <c r="C10138" s="17" t="s">
        <v>170</v>
      </c>
      <c r="D10138" s="13" t="s">
        <v>118</v>
      </c>
      <c r="E10138" s="13" t="s">
        <v>18140</v>
      </c>
      <c r="F10138" s="43">
        <v>0</v>
      </c>
    </row>
    <row r="10139" spans="2:6" x14ac:dyDescent="0.25">
      <c r="B10139" s="13" t="s">
        <v>18318</v>
      </c>
      <c r="C10139" s="17" t="s">
        <v>170</v>
      </c>
      <c r="D10139" s="13" t="s">
        <v>118</v>
      </c>
      <c r="E10139" s="13" t="s">
        <v>18319</v>
      </c>
      <c r="F10139" s="43">
        <v>2761.65</v>
      </c>
    </row>
    <row r="10140" spans="2:6" x14ac:dyDescent="0.25">
      <c r="B10140" s="13" t="s">
        <v>18320</v>
      </c>
      <c r="C10140" s="17" t="s">
        <v>170</v>
      </c>
      <c r="D10140" s="13" t="s">
        <v>118</v>
      </c>
      <c r="E10140" s="13" t="s">
        <v>18321</v>
      </c>
      <c r="F10140" s="43">
        <v>2761.65</v>
      </c>
    </row>
    <row r="10141" spans="2:6" x14ac:dyDescent="0.25">
      <c r="B10141" s="13" t="s">
        <v>18322</v>
      </c>
      <c r="C10141" s="17" t="s">
        <v>170</v>
      </c>
      <c r="D10141" s="13" t="s">
        <v>118</v>
      </c>
      <c r="E10141" s="13" t="s">
        <v>18323</v>
      </c>
      <c r="F10141" s="43">
        <v>2761.65</v>
      </c>
    </row>
    <row r="10142" spans="2:6" x14ac:dyDescent="0.25">
      <c r="B10142" s="13" t="s">
        <v>18324</v>
      </c>
      <c r="C10142" s="17" t="s">
        <v>170</v>
      </c>
      <c r="D10142" s="13" t="s">
        <v>118</v>
      </c>
      <c r="E10142" s="13" t="s">
        <v>18325</v>
      </c>
      <c r="F10142" s="43">
        <v>2761.65</v>
      </c>
    </row>
    <row r="10143" spans="2:6" x14ac:dyDescent="0.25">
      <c r="B10143" s="13" t="s">
        <v>18326</v>
      </c>
      <c r="C10143" s="17" t="s">
        <v>170</v>
      </c>
      <c r="D10143" s="13" t="s">
        <v>118</v>
      </c>
      <c r="E10143" s="13" t="s">
        <v>18327</v>
      </c>
      <c r="F10143" s="43">
        <v>2761.65</v>
      </c>
    </row>
    <row r="10144" spans="2:6" x14ac:dyDescent="0.25">
      <c r="B10144" s="13" t="s">
        <v>18328</v>
      </c>
      <c r="C10144" s="17" t="s">
        <v>170</v>
      </c>
      <c r="D10144" s="13" t="s">
        <v>118</v>
      </c>
      <c r="E10144" s="13" t="s">
        <v>18329</v>
      </c>
      <c r="F10144" s="43">
        <v>2761.65</v>
      </c>
    </row>
    <row r="10145" spans="2:6" x14ac:dyDescent="0.25">
      <c r="B10145" s="13" t="s">
        <v>18330</v>
      </c>
      <c r="C10145" s="17" t="s">
        <v>170</v>
      </c>
      <c r="D10145" s="13" t="s">
        <v>118</v>
      </c>
      <c r="E10145" s="13" t="s">
        <v>18331</v>
      </c>
      <c r="F10145" s="43">
        <v>2761.65</v>
      </c>
    </row>
    <row r="10146" spans="2:6" x14ac:dyDescent="0.25">
      <c r="B10146" s="13" t="s">
        <v>18332</v>
      </c>
      <c r="C10146" s="17" t="s">
        <v>170</v>
      </c>
      <c r="D10146" s="13" t="s">
        <v>118</v>
      </c>
      <c r="E10146" s="13" t="s">
        <v>18333</v>
      </c>
      <c r="F10146" s="43">
        <v>2761.65</v>
      </c>
    </row>
    <row r="10147" spans="2:6" x14ac:dyDescent="0.25">
      <c r="B10147" s="13" t="s">
        <v>18334</v>
      </c>
      <c r="C10147" s="17" t="s">
        <v>170</v>
      </c>
      <c r="D10147" s="13" t="s">
        <v>118</v>
      </c>
      <c r="E10147" s="13" t="s">
        <v>18335</v>
      </c>
      <c r="F10147" s="43">
        <v>2761.65</v>
      </c>
    </row>
    <row r="10148" spans="2:6" x14ac:dyDescent="0.25">
      <c r="B10148" s="13" t="s">
        <v>18336</v>
      </c>
      <c r="C10148" s="17" t="s">
        <v>170</v>
      </c>
      <c r="D10148" s="13" t="s">
        <v>118</v>
      </c>
      <c r="E10148" s="13" t="s">
        <v>18337</v>
      </c>
      <c r="F10148" s="43">
        <v>2761.65</v>
      </c>
    </row>
    <row r="10149" spans="2:6" x14ac:dyDescent="0.25">
      <c r="B10149" s="13" t="s">
        <v>18338</v>
      </c>
      <c r="C10149" s="17" t="s">
        <v>170</v>
      </c>
      <c r="D10149" s="13" t="s">
        <v>118</v>
      </c>
      <c r="E10149" s="13" t="s">
        <v>18339</v>
      </c>
      <c r="F10149" s="43">
        <v>2907</v>
      </c>
    </row>
    <row r="10150" spans="2:6" x14ac:dyDescent="0.25">
      <c r="B10150" s="13" t="s">
        <v>18340</v>
      </c>
      <c r="C10150" s="17" t="s">
        <v>170</v>
      </c>
      <c r="D10150" s="13" t="s">
        <v>118</v>
      </c>
      <c r="E10150" s="13" t="s">
        <v>18341</v>
      </c>
      <c r="F10150" s="43">
        <v>2907</v>
      </c>
    </row>
    <row r="10151" spans="2:6" x14ac:dyDescent="0.25">
      <c r="B10151" s="13" t="s">
        <v>18342</v>
      </c>
      <c r="C10151" s="17" t="s">
        <v>170</v>
      </c>
      <c r="D10151" s="13" t="s">
        <v>118</v>
      </c>
      <c r="E10151" s="13" t="s">
        <v>18343</v>
      </c>
      <c r="F10151" s="43">
        <v>2907</v>
      </c>
    </row>
    <row r="10152" spans="2:6" x14ac:dyDescent="0.25">
      <c r="B10152" s="13" t="s">
        <v>18344</v>
      </c>
      <c r="C10152" s="17" t="s">
        <v>170</v>
      </c>
      <c r="D10152" s="13" t="s">
        <v>118</v>
      </c>
      <c r="E10152" s="13" t="s">
        <v>18345</v>
      </c>
      <c r="F10152" s="43">
        <v>2907</v>
      </c>
    </row>
    <row r="10153" spans="2:6" x14ac:dyDescent="0.25">
      <c r="B10153" s="13" t="s">
        <v>18346</v>
      </c>
      <c r="C10153" s="17" t="s">
        <v>170</v>
      </c>
      <c r="D10153" s="13" t="s">
        <v>118</v>
      </c>
      <c r="E10153" s="13" t="s">
        <v>18347</v>
      </c>
      <c r="F10153" s="43">
        <v>2907</v>
      </c>
    </row>
    <row r="10154" spans="2:6" x14ac:dyDescent="0.25">
      <c r="B10154" s="13" t="s">
        <v>18348</v>
      </c>
      <c r="C10154" s="17" t="s">
        <v>170</v>
      </c>
      <c r="D10154" s="13" t="s">
        <v>118</v>
      </c>
      <c r="E10154" s="13" t="s">
        <v>18349</v>
      </c>
      <c r="F10154" s="43">
        <v>2907</v>
      </c>
    </row>
    <row r="10155" spans="2:6" x14ac:dyDescent="0.25">
      <c r="B10155" s="13" t="s">
        <v>18350</v>
      </c>
      <c r="C10155" s="17" t="s">
        <v>170</v>
      </c>
      <c r="D10155" s="13" t="s">
        <v>118</v>
      </c>
      <c r="E10155" s="13" t="s">
        <v>18351</v>
      </c>
      <c r="F10155" s="43">
        <v>2907</v>
      </c>
    </row>
    <row r="10156" spans="2:6" x14ac:dyDescent="0.25">
      <c r="B10156" s="13" t="s">
        <v>18352</v>
      </c>
      <c r="C10156" s="17" t="s">
        <v>170</v>
      </c>
      <c r="D10156" s="13" t="s">
        <v>118</v>
      </c>
      <c r="E10156" s="13" t="s">
        <v>18353</v>
      </c>
      <c r="F10156" s="43">
        <v>2907</v>
      </c>
    </row>
    <row r="10157" spans="2:6" x14ac:dyDescent="0.25">
      <c r="B10157" s="13" t="s">
        <v>18354</v>
      </c>
      <c r="C10157" s="17" t="s">
        <v>170</v>
      </c>
      <c r="D10157" s="13" t="s">
        <v>118</v>
      </c>
      <c r="E10157" s="13" t="s">
        <v>18355</v>
      </c>
      <c r="F10157" s="43">
        <v>2907</v>
      </c>
    </row>
    <row r="10158" spans="2:6" x14ac:dyDescent="0.25">
      <c r="B10158" s="13" t="s">
        <v>18356</v>
      </c>
      <c r="C10158" s="17" t="s">
        <v>170</v>
      </c>
      <c r="D10158" s="13" t="s">
        <v>118</v>
      </c>
      <c r="E10158" s="13" t="s">
        <v>18357</v>
      </c>
      <c r="F10158" s="43">
        <v>2907</v>
      </c>
    </row>
    <row r="10159" spans="2:6" x14ac:dyDescent="0.25">
      <c r="B10159" s="13" t="s">
        <v>18358</v>
      </c>
      <c r="C10159" s="17" t="s">
        <v>170</v>
      </c>
      <c r="D10159" s="13" t="s">
        <v>118</v>
      </c>
      <c r="E10159" s="13"/>
      <c r="F10159" s="43">
        <v>0</v>
      </c>
    </row>
    <row r="10160" spans="2:6" x14ac:dyDescent="0.25">
      <c r="B10160" s="13" t="s">
        <v>18359</v>
      </c>
      <c r="C10160" s="17" t="s">
        <v>170</v>
      </c>
      <c r="D10160" s="13" t="s">
        <v>118</v>
      </c>
      <c r="E10160" s="13"/>
      <c r="F10160" s="43">
        <v>0</v>
      </c>
    </row>
    <row r="10161" spans="2:6" x14ac:dyDescent="0.25">
      <c r="B10161" s="13" t="s">
        <v>18219</v>
      </c>
      <c r="C10161" s="17" t="s">
        <v>170</v>
      </c>
      <c r="D10161" s="13" t="s">
        <v>118</v>
      </c>
      <c r="E10161" s="13" t="s">
        <v>17376</v>
      </c>
      <c r="F10161" s="43">
        <v>0</v>
      </c>
    </row>
    <row r="10162" spans="2:6" x14ac:dyDescent="0.25">
      <c r="B10162" s="13" t="s">
        <v>18164</v>
      </c>
      <c r="C10162" s="17" t="s">
        <v>170</v>
      </c>
      <c r="D10162" s="13" t="s">
        <v>118</v>
      </c>
      <c r="E10162" s="13" t="s">
        <v>18220</v>
      </c>
      <c r="F10162" s="43">
        <v>2616.3000000000002</v>
      </c>
    </row>
    <row r="10163" spans="2:6" x14ac:dyDescent="0.25">
      <c r="B10163" s="13" t="s">
        <v>18096</v>
      </c>
      <c r="C10163" s="17" t="s">
        <v>170</v>
      </c>
      <c r="D10163" s="13" t="s">
        <v>118</v>
      </c>
      <c r="E10163" s="13" t="s">
        <v>18221</v>
      </c>
      <c r="F10163" s="43">
        <v>2034.9</v>
      </c>
    </row>
    <row r="10164" spans="2:6" x14ac:dyDescent="0.25">
      <c r="B10164" s="13" t="s">
        <v>18098</v>
      </c>
      <c r="C10164" s="17" t="s">
        <v>170</v>
      </c>
      <c r="D10164" s="13" t="s">
        <v>118</v>
      </c>
      <c r="E10164" s="13" t="s">
        <v>18222</v>
      </c>
      <c r="F10164" s="43">
        <v>2034.9</v>
      </c>
    </row>
    <row r="10165" spans="2:6" x14ac:dyDescent="0.25">
      <c r="B10165" s="13" t="s">
        <v>18100</v>
      </c>
      <c r="C10165" s="17" t="s">
        <v>170</v>
      </c>
      <c r="D10165" s="13" t="s">
        <v>118</v>
      </c>
      <c r="E10165" s="13" t="s">
        <v>18223</v>
      </c>
      <c r="F10165" s="43">
        <v>2034.9</v>
      </c>
    </row>
    <row r="10166" spans="2:6" x14ac:dyDescent="0.25">
      <c r="B10166" s="13" t="s">
        <v>18224</v>
      </c>
      <c r="C10166" s="17" t="s">
        <v>170</v>
      </c>
      <c r="D10166" s="13" t="s">
        <v>118</v>
      </c>
      <c r="E10166" s="13" t="s">
        <v>18360</v>
      </c>
      <c r="F10166" s="43">
        <v>2180.25</v>
      </c>
    </row>
    <row r="10167" spans="2:6" x14ac:dyDescent="0.25">
      <c r="B10167" s="13" t="s">
        <v>18361</v>
      </c>
      <c r="C10167" s="17" t="s">
        <v>170</v>
      </c>
      <c r="D10167" s="13" t="s">
        <v>118</v>
      </c>
      <c r="E10167" s="13"/>
      <c r="F10167" s="43">
        <v>0</v>
      </c>
    </row>
    <row r="10168" spans="2:6" x14ac:dyDescent="0.25">
      <c r="B10168" s="13" t="s">
        <v>18227</v>
      </c>
      <c r="C10168" s="17" t="s">
        <v>170</v>
      </c>
      <c r="D10168" s="13" t="s">
        <v>118</v>
      </c>
      <c r="E10168" s="13" t="s">
        <v>17376</v>
      </c>
      <c r="F10168" s="43">
        <v>0</v>
      </c>
    </row>
    <row r="10169" spans="2:6" x14ac:dyDescent="0.25">
      <c r="B10169" s="13" t="s">
        <v>18164</v>
      </c>
      <c r="C10169" s="17" t="s">
        <v>170</v>
      </c>
      <c r="D10169" s="13" t="s">
        <v>118</v>
      </c>
      <c r="E10169" s="13" t="s">
        <v>18228</v>
      </c>
      <c r="F10169" s="43">
        <v>2616.3000000000002</v>
      </c>
    </row>
    <row r="10170" spans="2:6" x14ac:dyDescent="0.25">
      <c r="B10170" s="13" t="s">
        <v>18096</v>
      </c>
      <c r="C10170" s="17" t="s">
        <v>170</v>
      </c>
      <c r="D10170" s="13" t="s">
        <v>118</v>
      </c>
      <c r="E10170" s="13" t="s">
        <v>18229</v>
      </c>
      <c r="F10170" s="43">
        <v>2034.9</v>
      </c>
    </row>
    <row r="10171" spans="2:6" x14ac:dyDescent="0.25">
      <c r="B10171" s="13" t="s">
        <v>18098</v>
      </c>
      <c r="C10171" s="17" t="s">
        <v>170</v>
      </c>
      <c r="D10171" s="13" t="s">
        <v>118</v>
      </c>
      <c r="E10171" s="13" t="s">
        <v>18230</v>
      </c>
      <c r="F10171" s="43">
        <v>2034.9</v>
      </c>
    </row>
    <row r="10172" spans="2:6" x14ac:dyDescent="0.25">
      <c r="B10172" s="13" t="s">
        <v>18100</v>
      </c>
      <c r="C10172" s="17" t="s">
        <v>170</v>
      </c>
      <c r="D10172" s="13" t="s">
        <v>118</v>
      </c>
      <c r="E10172" s="13" t="s">
        <v>18231</v>
      </c>
      <c r="F10172" s="43">
        <v>2034.9</v>
      </c>
    </row>
    <row r="10173" spans="2:6" x14ac:dyDescent="0.25">
      <c r="B10173" s="13" t="s">
        <v>18224</v>
      </c>
      <c r="C10173" s="17" t="s">
        <v>170</v>
      </c>
      <c r="D10173" s="13" t="s">
        <v>118</v>
      </c>
      <c r="E10173" s="13" t="s">
        <v>18232</v>
      </c>
      <c r="F10173" s="43">
        <v>2180.25</v>
      </c>
    </row>
    <row r="10174" spans="2:6" x14ac:dyDescent="0.25">
      <c r="B10174" s="13">
        <v>6</v>
      </c>
      <c r="C10174" s="17" t="s">
        <v>170</v>
      </c>
      <c r="D10174" s="13" t="s">
        <v>118</v>
      </c>
      <c r="E10174" s="13" t="s">
        <v>18117</v>
      </c>
      <c r="F10174" s="43">
        <v>0</v>
      </c>
    </row>
    <row r="10175" spans="2:6" x14ac:dyDescent="0.25">
      <c r="B10175" s="13" t="s">
        <v>17559</v>
      </c>
      <c r="C10175" s="17" t="s">
        <v>170</v>
      </c>
      <c r="D10175" s="13" t="s">
        <v>118</v>
      </c>
      <c r="E10175" s="13" t="s">
        <v>18118</v>
      </c>
      <c r="F10175" s="43">
        <v>0</v>
      </c>
    </row>
    <row r="10176" spans="2:6" x14ac:dyDescent="0.25">
      <c r="B10176" s="13" t="s">
        <v>17770</v>
      </c>
      <c r="C10176" s="17" t="s">
        <v>170</v>
      </c>
      <c r="D10176" s="13" t="s">
        <v>118</v>
      </c>
      <c r="E10176" s="13" t="s">
        <v>18119</v>
      </c>
      <c r="F10176" s="43">
        <v>0</v>
      </c>
    </row>
    <row r="10177" spans="2:6" x14ac:dyDescent="0.25">
      <c r="B10177" s="13" t="s">
        <v>17973</v>
      </c>
      <c r="C10177" s="17" t="s">
        <v>170</v>
      </c>
      <c r="D10177" s="13" t="s">
        <v>118</v>
      </c>
      <c r="E10177" s="13" t="s">
        <v>18120</v>
      </c>
      <c r="F10177" s="43">
        <v>115.12</v>
      </c>
    </row>
    <row r="10178" spans="2:6" x14ac:dyDescent="0.25">
      <c r="B10178" s="13" t="s">
        <v>17874</v>
      </c>
      <c r="C10178" s="17" t="s">
        <v>170</v>
      </c>
      <c r="D10178" s="13" t="s">
        <v>118</v>
      </c>
      <c r="E10178" s="13" t="s">
        <v>18121</v>
      </c>
      <c r="F10178" s="43">
        <v>127.5</v>
      </c>
    </row>
    <row r="10179" spans="2:6" x14ac:dyDescent="0.25">
      <c r="B10179" s="13" t="s">
        <v>18122</v>
      </c>
      <c r="C10179" s="17" t="s">
        <v>170</v>
      </c>
      <c r="D10179" s="13" t="s">
        <v>118</v>
      </c>
      <c r="E10179" s="13" t="s">
        <v>18123</v>
      </c>
      <c r="F10179" s="43">
        <v>0</v>
      </c>
    </row>
    <row r="10180" spans="2:6" x14ac:dyDescent="0.25">
      <c r="B10180" s="13" t="s">
        <v>18124</v>
      </c>
      <c r="C10180" s="17" t="s">
        <v>170</v>
      </c>
      <c r="D10180" s="13" t="s">
        <v>118</v>
      </c>
      <c r="E10180" s="13" t="s">
        <v>18125</v>
      </c>
      <c r="F10180" s="43">
        <v>0</v>
      </c>
    </row>
    <row r="10181" spans="2:6" x14ac:dyDescent="0.25">
      <c r="B10181" s="13" t="s">
        <v>17444</v>
      </c>
      <c r="C10181" s="17" t="s">
        <v>170</v>
      </c>
      <c r="D10181" s="13" t="s">
        <v>118</v>
      </c>
      <c r="E10181" s="13" t="s">
        <v>18126</v>
      </c>
      <c r="F10181" s="43">
        <v>0</v>
      </c>
    </row>
    <row r="10182" spans="2:6" x14ac:dyDescent="0.25">
      <c r="B10182" s="13" t="s">
        <v>17861</v>
      </c>
      <c r="C10182" s="17" t="s">
        <v>170</v>
      </c>
      <c r="D10182" s="13" t="s">
        <v>118</v>
      </c>
      <c r="E10182" s="13" t="s">
        <v>18311</v>
      </c>
      <c r="F10182" s="43">
        <v>0</v>
      </c>
    </row>
    <row r="10183" spans="2:6" x14ac:dyDescent="0.25">
      <c r="B10183" s="13" t="s">
        <v>17559</v>
      </c>
      <c r="C10183" s="17" t="s">
        <v>170</v>
      </c>
      <c r="D10183" s="13" t="s">
        <v>118</v>
      </c>
      <c r="E10183" s="13" t="s">
        <v>18118</v>
      </c>
      <c r="F10183" s="43">
        <v>0</v>
      </c>
    </row>
    <row r="10184" spans="2:6" x14ac:dyDescent="0.25">
      <c r="B10184" s="13" t="s">
        <v>17444</v>
      </c>
      <c r="C10184" s="17" t="s">
        <v>170</v>
      </c>
      <c r="D10184" s="13" t="s">
        <v>118</v>
      </c>
      <c r="E10184" s="13" t="s">
        <v>18126</v>
      </c>
      <c r="F10184" s="43">
        <v>0</v>
      </c>
    </row>
    <row r="10185" spans="2:6" x14ac:dyDescent="0.25">
      <c r="B10185" s="13" t="s">
        <v>18129</v>
      </c>
      <c r="C10185" s="17" t="s">
        <v>170</v>
      </c>
      <c r="D10185" s="13" t="s">
        <v>118</v>
      </c>
      <c r="E10185" s="13" t="s">
        <v>18130</v>
      </c>
      <c r="F10185" s="43">
        <v>0</v>
      </c>
    </row>
    <row r="10186" spans="2:6" x14ac:dyDescent="0.25">
      <c r="B10186" s="13" t="s">
        <v>18131</v>
      </c>
      <c r="C10186" s="17" t="s">
        <v>170</v>
      </c>
      <c r="D10186" s="13" t="s">
        <v>118</v>
      </c>
      <c r="E10186" s="13" t="s">
        <v>18132</v>
      </c>
      <c r="F10186" s="43">
        <v>612</v>
      </c>
    </row>
    <row r="10187" spans="2:6" x14ac:dyDescent="0.25">
      <c r="B10187" s="13" t="s">
        <v>18133</v>
      </c>
      <c r="C10187" s="17" t="s">
        <v>170</v>
      </c>
      <c r="D10187" s="13" t="s">
        <v>118</v>
      </c>
      <c r="E10187" s="13" t="s">
        <v>18134</v>
      </c>
      <c r="F10187" s="43">
        <v>76.5</v>
      </c>
    </row>
    <row r="10188" spans="2:6" x14ac:dyDescent="0.25">
      <c r="B10188" s="13" t="s">
        <v>18135</v>
      </c>
      <c r="C10188" s="17" t="s">
        <v>170</v>
      </c>
      <c r="D10188" s="13" t="s">
        <v>118</v>
      </c>
      <c r="E10188" s="13" t="s">
        <v>18136</v>
      </c>
      <c r="F10188" s="43">
        <v>688.5</v>
      </c>
    </row>
    <row r="10189" spans="2:6" x14ac:dyDescent="0.25">
      <c r="B10189" s="13" t="s">
        <v>18312</v>
      </c>
      <c r="C10189" s="17" t="s">
        <v>170</v>
      </c>
      <c r="D10189" s="13" t="s">
        <v>118</v>
      </c>
      <c r="E10189" s="13" t="s">
        <v>18313</v>
      </c>
      <c r="F10189" s="43">
        <v>2754</v>
      </c>
    </row>
    <row r="10190" spans="2:6" x14ac:dyDescent="0.25">
      <c r="B10190" s="13" t="s">
        <v>18314</v>
      </c>
      <c r="C10190" s="17" t="s">
        <v>170</v>
      </c>
      <c r="D10190" s="13" t="s">
        <v>118</v>
      </c>
      <c r="E10190" s="13" t="s">
        <v>18315</v>
      </c>
      <c r="F10190" s="43">
        <v>5508</v>
      </c>
    </row>
    <row r="10191" spans="2:6" x14ac:dyDescent="0.25">
      <c r="B10191" s="13" t="s">
        <v>18316</v>
      </c>
      <c r="C10191" s="17" t="s">
        <v>170</v>
      </c>
      <c r="D10191" s="13" t="s">
        <v>118</v>
      </c>
      <c r="E10191" s="13" t="s">
        <v>18317</v>
      </c>
      <c r="F10191" s="43">
        <v>0</v>
      </c>
    </row>
    <row r="10192" spans="2:6" x14ac:dyDescent="0.25">
      <c r="B10192" s="13" t="s">
        <v>18137</v>
      </c>
      <c r="C10192" s="17" t="s">
        <v>170</v>
      </c>
      <c r="D10192" s="13" t="s">
        <v>118</v>
      </c>
      <c r="E10192" s="13" t="s">
        <v>18138</v>
      </c>
      <c r="F10192" s="43">
        <v>0</v>
      </c>
    </row>
    <row r="10193" spans="2:6" x14ac:dyDescent="0.25">
      <c r="B10193" s="13" t="s">
        <v>18139</v>
      </c>
      <c r="C10193" s="17" t="s">
        <v>170</v>
      </c>
      <c r="D10193" s="13" t="s">
        <v>118</v>
      </c>
      <c r="E10193" s="13" t="s">
        <v>18140</v>
      </c>
      <c r="F10193" s="43">
        <v>0</v>
      </c>
    </row>
    <row r="10194" spans="2:6" x14ac:dyDescent="0.25">
      <c r="B10194" s="13" t="s">
        <v>18362</v>
      </c>
      <c r="C10194" s="17" t="s">
        <v>170</v>
      </c>
      <c r="D10194" s="13" t="s">
        <v>118</v>
      </c>
      <c r="E10194" s="13" t="s">
        <v>18363</v>
      </c>
      <c r="F10194" s="43">
        <v>3052.35</v>
      </c>
    </row>
    <row r="10195" spans="2:6" x14ac:dyDescent="0.25">
      <c r="B10195" s="13" t="s">
        <v>18364</v>
      </c>
      <c r="C10195" s="17" t="s">
        <v>170</v>
      </c>
      <c r="D10195" s="13" t="s">
        <v>118</v>
      </c>
      <c r="E10195" s="13" t="s">
        <v>18365</v>
      </c>
      <c r="F10195" s="43">
        <v>3197.7</v>
      </c>
    </row>
    <row r="10196" spans="2:6" x14ac:dyDescent="0.25">
      <c r="B10196" s="13" t="s">
        <v>18366</v>
      </c>
      <c r="C10196" s="17" t="s">
        <v>170</v>
      </c>
      <c r="D10196" s="13" t="s">
        <v>118</v>
      </c>
      <c r="E10196" s="13" t="s">
        <v>18367</v>
      </c>
      <c r="F10196" s="43">
        <v>3197.7</v>
      </c>
    </row>
    <row r="10197" spans="2:6" x14ac:dyDescent="0.25">
      <c r="B10197" s="13" t="s">
        <v>18368</v>
      </c>
      <c r="C10197" s="17" t="s">
        <v>170</v>
      </c>
      <c r="D10197" s="13" t="s">
        <v>118</v>
      </c>
      <c r="E10197" s="13" t="s">
        <v>18369</v>
      </c>
      <c r="F10197" s="43">
        <v>3197.7</v>
      </c>
    </row>
    <row r="10198" spans="2:6" x14ac:dyDescent="0.25">
      <c r="B10198" s="13" t="s">
        <v>18370</v>
      </c>
      <c r="C10198" s="17" t="s">
        <v>170</v>
      </c>
      <c r="D10198" s="13" t="s">
        <v>118</v>
      </c>
      <c r="E10198" s="13" t="s">
        <v>18371</v>
      </c>
      <c r="F10198" s="43">
        <v>3197.7</v>
      </c>
    </row>
    <row r="10199" spans="2:6" x14ac:dyDescent="0.25">
      <c r="B10199" s="13" t="s">
        <v>18372</v>
      </c>
      <c r="C10199" s="17" t="s">
        <v>170</v>
      </c>
      <c r="D10199" s="13" t="s">
        <v>118</v>
      </c>
      <c r="E10199" s="13" t="s">
        <v>18373</v>
      </c>
      <c r="F10199" s="43">
        <v>3052.35</v>
      </c>
    </row>
    <row r="10200" spans="2:6" x14ac:dyDescent="0.25">
      <c r="B10200" s="13" t="s">
        <v>18374</v>
      </c>
      <c r="C10200" s="17" t="s">
        <v>170</v>
      </c>
      <c r="D10200" s="13" t="s">
        <v>118</v>
      </c>
      <c r="E10200" s="13" t="s">
        <v>18375</v>
      </c>
      <c r="F10200" s="43">
        <v>3197.7</v>
      </c>
    </row>
    <row r="10201" spans="2:6" x14ac:dyDescent="0.25">
      <c r="B10201" s="13" t="s">
        <v>18376</v>
      </c>
      <c r="C10201" s="17" t="s">
        <v>170</v>
      </c>
      <c r="D10201" s="13" t="s">
        <v>118</v>
      </c>
      <c r="E10201" s="13" t="s">
        <v>18377</v>
      </c>
      <c r="F10201" s="43">
        <v>3197.7</v>
      </c>
    </row>
    <row r="10202" spans="2:6" x14ac:dyDescent="0.25">
      <c r="B10202" s="13" t="s">
        <v>18378</v>
      </c>
      <c r="C10202" s="17" t="s">
        <v>170</v>
      </c>
      <c r="D10202" s="13" t="s">
        <v>118</v>
      </c>
      <c r="E10202" s="13" t="s">
        <v>18379</v>
      </c>
      <c r="F10202" s="43">
        <v>3197.7</v>
      </c>
    </row>
    <row r="10203" spans="2:6" x14ac:dyDescent="0.25">
      <c r="B10203" s="13" t="s">
        <v>18380</v>
      </c>
      <c r="C10203" s="17" t="s">
        <v>170</v>
      </c>
      <c r="D10203" s="13" t="s">
        <v>118</v>
      </c>
      <c r="E10203" s="13" t="s">
        <v>18381</v>
      </c>
      <c r="F10203" s="43">
        <v>3197.7</v>
      </c>
    </row>
    <row r="10204" spans="2:6" x14ac:dyDescent="0.25">
      <c r="B10204" s="13" t="s">
        <v>18382</v>
      </c>
      <c r="C10204" s="17" t="s">
        <v>170</v>
      </c>
      <c r="D10204" s="13" t="s">
        <v>118</v>
      </c>
      <c r="E10204" s="13"/>
      <c r="F10204" s="43">
        <v>0</v>
      </c>
    </row>
    <row r="10205" spans="2:6" x14ac:dyDescent="0.25">
      <c r="B10205" s="13" t="s">
        <v>18383</v>
      </c>
      <c r="C10205" s="17" t="s">
        <v>170</v>
      </c>
      <c r="D10205" s="13" t="s">
        <v>118</v>
      </c>
      <c r="E10205" s="13"/>
      <c r="F10205" s="43">
        <v>0</v>
      </c>
    </row>
    <row r="10206" spans="2:6" x14ac:dyDescent="0.25">
      <c r="B10206" s="13" t="s">
        <v>18384</v>
      </c>
      <c r="C10206" s="17" t="s">
        <v>170</v>
      </c>
      <c r="D10206" s="13" t="s">
        <v>118</v>
      </c>
      <c r="E10206" s="13" t="s">
        <v>17376</v>
      </c>
      <c r="F10206" s="43">
        <v>0</v>
      </c>
    </row>
    <row r="10207" spans="2:6" x14ac:dyDescent="0.25">
      <c r="B10207" s="13" t="s">
        <v>18164</v>
      </c>
      <c r="C10207" s="17" t="s">
        <v>170</v>
      </c>
      <c r="D10207" s="13" t="s">
        <v>118</v>
      </c>
      <c r="E10207" s="13" t="s">
        <v>18385</v>
      </c>
      <c r="F10207" s="43">
        <v>2616.3000000000002</v>
      </c>
    </row>
    <row r="10208" spans="2:6" x14ac:dyDescent="0.25">
      <c r="B10208" s="13" t="s">
        <v>18096</v>
      </c>
      <c r="C10208" s="17" t="s">
        <v>170</v>
      </c>
      <c r="D10208" s="13" t="s">
        <v>118</v>
      </c>
      <c r="E10208" s="13" t="s">
        <v>18386</v>
      </c>
      <c r="F10208" s="43">
        <v>2034.9</v>
      </c>
    </row>
    <row r="10209" spans="2:6" x14ac:dyDescent="0.25">
      <c r="B10209" s="13" t="s">
        <v>18098</v>
      </c>
      <c r="C10209" s="17" t="s">
        <v>170</v>
      </c>
      <c r="D10209" s="13" t="s">
        <v>118</v>
      </c>
      <c r="E10209" s="13" t="s">
        <v>18387</v>
      </c>
      <c r="F10209" s="43">
        <v>2034.9</v>
      </c>
    </row>
    <row r="10210" spans="2:6" x14ac:dyDescent="0.25">
      <c r="B10210" s="13" t="s">
        <v>18100</v>
      </c>
      <c r="C10210" s="17" t="s">
        <v>170</v>
      </c>
      <c r="D10210" s="13" t="s">
        <v>118</v>
      </c>
      <c r="E10210" s="13" t="s">
        <v>18388</v>
      </c>
      <c r="F10210" s="43">
        <v>2034.9</v>
      </c>
    </row>
    <row r="10211" spans="2:6" x14ac:dyDescent="0.25">
      <c r="B10211" s="13" t="s">
        <v>18389</v>
      </c>
      <c r="C10211" s="17" t="s">
        <v>170</v>
      </c>
      <c r="D10211" s="13" t="s">
        <v>118</v>
      </c>
      <c r="E10211" s="13"/>
      <c r="F10211" s="43">
        <v>0</v>
      </c>
    </row>
    <row r="10212" spans="2:6" x14ac:dyDescent="0.25">
      <c r="B10212" s="13" t="s">
        <v>18390</v>
      </c>
      <c r="C10212" s="17" t="s">
        <v>170</v>
      </c>
      <c r="D10212" s="13" t="s">
        <v>118</v>
      </c>
      <c r="E10212" s="13" t="s">
        <v>18171</v>
      </c>
      <c r="F10212" s="43">
        <v>0</v>
      </c>
    </row>
    <row r="10213" spans="2:6" x14ac:dyDescent="0.25">
      <c r="B10213" s="13" t="s">
        <v>18104</v>
      </c>
      <c r="C10213" s="17" t="s">
        <v>170</v>
      </c>
      <c r="D10213" s="13" t="s">
        <v>118</v>
      </c>
      <c r="E10213" s="13" t="s">
        <v>18391</v>
      </c>
      <c r="F10213" s="43">
        <v>2034.9</v>
      </c>
    </row>
    <row r="10214" spans="2:6" x14ac:dyDescent="0.25">
      <c r="B10214" s="13">
        <v>6</v>
      </c>
      <c r="C10214" s="17" t="s">
        <v>170</v>
      </c>
      <c r="D10214" s="13" t="s">
        <v>118</v>
      </c>
      <c r="E10214" s="13" t="s">
        <v>18255</v>
      </c>
      <c r="F10214" s="43">
        <v>0</v>
      </c>
    </row>
    <row r="10215" spans="2:6" x14ac:dyDescent="0.25">
      <c r="B10215" s="13" t="s">
        <v>17559</v>
      </c>
      <c r="C10215" s="17" t="s">
        <v>170</v>
      </c>
      <c r="D10215" s="13" t="s">
        <v>118</v>
      </c>
      <c r="E10215" s="13" t="s">
        <v>18118</v>
      </c>
      <c r="F10215" s="43">
        <v>0</v>
      </c>
    </row>
    <row r="10216" spans="2:6" x14ac:dyDescent="0.25">
      <c r="B10216" s="13" t="s">
        <v>17770</v>
      </c>
      <c r="C10216" s="17" t="s">
        <v>170</v>
      </c>
      <c r="D10216" s="13" t="s">
        <v>118</v>
      </c>
      <c r="E10216" s="13" t="s">
        <v>18119</v>
      </c>
      <c r="F10216" s="43">
        <v>0</v>
      </c>
    </row>
    <row r="10217" spans="2:6" x14ac:dyDescent="0.25">
      <c r="B10217" s="13" t="s">
        <v>17973</v>
      </c>
      <c r="C10217" s="17" t="s">
        <v>170</v>
      </c>
      <c r="D10217" s="13" t="s">
        <v>118</v>
      </c>
      <c r="E10217" s="13" t="s">
        <v>18120</v>
      </c>
      <c r="F10217" s="43">
        <v>115.12</v>
      </c>
    </row>
    <row r="10218" spans="2:6" x14ac:dyDescent="0.25">
      <c r="B10218" s="13" t="s">
        <v>17874</v>
      </c>
      <c r="C10218" s="17" t="s">
        <v>170</v>
      </c>
      <c r="D10218" s="13" t="s">
        <v>118</v>
      </c>
      <c r="E10218" s="13" t="s">
        <v>18121</v>
      </c>
      <c r="F10218" s="43">
        <v>127.5</v>
      </c>
    </row>
    <row r="10219" spans="2:6" x14ac:dyDescent="0.25">
      <c r="B10219" s="13" t="s">
        <v>18122</v>
      </c>
      <c r="C10219" s="17" t="s">
        <v>170</v>
      </c>
      <c r="D10219" s="13" t="s">
        <v>118</v>
      </c>
      <c r="E10219" s="13" t="s">
        <v>18123</v>
      </c>
      <c r="F10219" s="43">
        <v>0</v>
      </c>
    </row>
    <row r="10220" spans="2:6" x14ac:dyDescent="0.25">
      <c r="B10220" s="13" t="s">
        <v>18124</v>
      </c>
      <c r="C10220" s="17" t="s">
        <v>170</v>
      </c>
      <c r="D10220" s="13" t="s">
        <v>118</v>
      </c>
      <c r="E10220" s="13" t="s">
        <v>18125</v>
      </c>
      <c r="F10220" s="43">
        <v>0</v>
      </c>
    </row>
    <row r="10221" spans="2:6" x14ac:dyDescent="0.25">
      <c r="B10221" s="13" t="s">
        <v>17444</v>
      </c>
      <c r="C10221" s="17" t="s">
        <v>170</v>
      </c>
      <c r="D10221" s="13" t="s">
        <v>118</v>
      </c>
      <c r="E10221" s="13" t="s">
        <v>18126</v>
      </c>
      <c r="F10221" s="43">
        <v>0</v>
      </c>
    </row>
    <row r="10222" spans="2:6" x14ac:dyDescent="0.25">
      <c r="B10222" s="13" t="s">
        <v>17861</v>
      </c>
      <c r="C10222" s="17" t="s">
        <v>170</v>
      </c>
      <c r="D10222" s="13" t="s">
        <v>118</v>
      </c>
      <c r="E10222" s="13" t="s">
        <v>18311</v>
      </c>
      <c r="F10222" s="43">
        <v>0</v>
      </c>
    </row>
    <row r="10223" spans="2:6" x14ac:dyDescent="0.25">
      <c r="B10223" s="13" t="s">
        <v>17559</v>
      </c>
      <c r="C10223" s="17" t="s">
        <v>170</v>
      </c>
      <c r="D10223" s="13" t="s">
        <v>118</v>
      </c>
      <c r="E10223" s="13" t="s">
        <v>18118</v>
      </c>
      <c r="F10223" s="43">
        <v>0</v>
      </c>
    </row>
    <row r="10224" spans="2:6" x14ac:dyDescent="0.25">
      <c r="B10224" s="13" t="s">
        <v>17444</v>
      </c>
      <c r="C10224" s="17" t="s">
        <v>170</v>
      </c>
      <c r="D10224" s="13" t="s">
        <v>118</v>
      </c>
      <c r="E10224" s="13" t="s">
        <v>18126</v>
      </c>
      <c r="F10224" s="43">
        <v>0</v>
      </c>
    </row>
    <row r="10225" spans="2:6" x14ac:dyDescent="0.25">
      <c r="B10225" s="13" t="s">
        <v>18129</v>
      </c>
      <c r="C10225" s="17" t="s">
        <v>170</v>
      </c>
      <c r="D10225" s="13" t="s">
        <v>118</v>
      </c>
      <c r="E10225" s="13" t="s">
        <v>18130</v>
      </c>
      <c r="F10225" s="43">
        <v>0</v>
      </c>
    </row>
    <row r="10226" spans="2:6" x14ac:dyDescent="0.25">
      <c r="B10226" s="13" t="s">
        <v>18131</v>
      </c>
      <c r="C10226" s="17" t="s">
        <v>170</v>
      </c>
      <c r="D10226" s="13" t="s">
        <v>118</v>
      </c>
      <c r="E10226" s="13" t="s">
        <v>18256</v>
      </c>
      <c r="F10226" s="43">
        <v>612</v>
      </c>
    </row>
    <row r="10227" spans="2:6" x14ac:dyDescent="0.25">
      <c r="B10227" s="13" t="s">
        <v>18133</v>
      </c>
      <c r="C10227" s="17" t="s">
        <v>170</v>
      </c>
      <c r="D10227" s="13" t="s">
        <v>118</v>
      </c>
      <c r="E10227" s="13" t="s">
        <v>18175</v>
      </c>
      <c r="F10227" s="43">
        <v>76.5</v>
      </c>
    </row>
    <row r="10228" spans="2:6" x14ac:dyDescent="0.25">
      <c r="B10228" s="13" t="s">
        <v>18135</v>
      </c>
      <c r="C10228" s="17" t="s">
        <v>170</v>
      </c>
      <c r="D10228" s="13" t="s">
        <v>118</v>
      </c>
      <c r="E10228" s="13" t="s">
        <v>18257</v>
      </c>
      <c r="F10228" s="43">
        <v>688.5</v>
      </c>
    </row>
    <row r="10229" spans="2:6" x14ac:dyDescent="0.25">
      <c r="B10229" s="13" t="s">
        <v>18312</v>
      </c>
      <c r="C10229" s="17" t="s">
        <v>170</v>
      </c>
      <c r="D10229" s="13" t="s">
        <v>118</v>
      </c>
      <c r="E10229" s="13" t="s">
        <v>18392</v>
      </c>
      <c r="F10229" s="43">
        <v>2754</v>
      </c>
    </row>
    <row r="10230" spans="2:6" x14ac:dyDescent="0.25">
      <c r="B10230" s="13" t="s">
        <v>18314</v>
      </c>
      <c r="C10230" s="17" t="s">
        <v>170</v>
      </c>
      <c r="D10230" s="13" t="s">
        <v>118</v>
      </c>
      <c r="E10230" s="13" t="s">
        <v>18393</v>
      </c>
      <c r="F10230" s="43">
        <v>5508</v>
      </c>
    </row>
    <row r="10231" spans="2:6" x14ac:dyDescent="0.25">
      <c r="B10231" s="13" t="s">
        <v>18316</v>
      </c>
      <c r="C10231" s="17" t="s">
        <v>170</v>
      </c>
      <c r="D10231" s="13" t="s">
        <v>118</v>
      </c>
      <c r="E10231" s="13" t="s">
        <v>18317</v>
      </c>
      <c r="F10231" s="43">
        <v>0</v>
      </c>
    </row>
    <row r="10232" spans="2:6" x14ac:dyDescent="0.25">
      <c r="B10232" s="13" t="s">
        <v>18137</v>
      </c>
      <c r="C10232" s="17" t="s">
        <v>170</v>
      </c>
      <c r="D10232" s="13" t="s">
        <v>118</v>
      </c>
      <c r="E10232" s="13" t="s">
        <v>18138</v>
      </c>
      <c r="F10232" s="43">
        <v>0</v>
      </c>
    </row>
    <row r="10233" spans="2:6" x14ac:dyDescent="0.25">
      <c r="B10233" s="13" t="s">
        <v>18139</v>
      </c>
      <c r="C10233" s="17" t="s">
        <v>170</v>
      </c>
      <c r="D10233" s="13" t="s">
        <v>118</v>
      </c>
      <c r="E10233" s="13" t="s">
        <v>18140</v>
      </c>
      <c r="F10233" s="43">
        <v>0</v>
      </c>
    </row>
    <row r="10234" spans="2:6" x14ac:dyDescent="0.25">
      <c r="B10234" s="13" t="s">
        <v>18394</v>
      </c>
      <c r="C10234" s="17" t="s">
        <v>170</v>
      </c>
      <c r="D10234" s="13" t="s">
        <v>118</v>
      </c>
      <c r="E10234" s="13" t="s">
        <v>18395</v>
      </c>
      <c r="F10234" s="43">
        <v>1301.27</v>
      </c>
    </row>
    <row r="10235" spans="2:6" x14ac:dyDescent="0.25">
      <c r="B10235" s="13" t="s">
        <v>18396</v>
      </c>
      <c r="C10235" s="17" t="s">
        <v>170</v>
      </c>
      <c r="D10235" s="13" t="s">
        <v>118</v>
      </c>
      <c r="E10235" s="13" t="s">
        <v>18397</v>
      </c>
      <c r="F10235" s="43">
        <v>1301.27</v>
      </c>
    </row>
    <row r="10236" spans="2:6" x14ac:dyDescent="0.25">
      <c r="B10236" s="13" t="s">
        <v>18398</v>
      </c>
      <c r="C10236" s="17" t="s">
        <v>170</v>
      </c>
      <c r="D10236" s="13" t="s">
        <v>118</v>
      </c>
      <c r="E10236" s="13" t="s">
        <v>18399</v>
      </c>
      <c r="F10236" s="43">
        <v>1301.27</v>
      </c>
    </row>
    <row r="10237" spans="2:6" x14ac:dyDescent="0.25">
      <c r="B10237" s="13" t="s">
        <v>18400</v>
      </c>
      <c r="C10237" s="17" t="s">
        <v>170</v>
      </c>
      <c r="D10237" s="13" t="s">
        <v>118</v>
      </c>
      <c r="E10237" s="13" t="s">
        <v>18401</v>
      </c>
      <c r="F10237" s="43">
        <v>1301.27</v>
      </c>
    </row>
    <row r="10238" spans="2:6" x14ac:dyDescent="0.25">
      <c r="B10238" s="13" t="s">
        <v>18402</v>
      </c>
      <c r="C10238" s="17" t="s">
        <v>170</v>
      </c>
      <c r="D10238" s="13" t="s">
        <v>118</v>
      </c>
      <c r="E10238" s="13" t="s">
        <v>18403</v>
      </c>
      <c r="F10238" s="43">
        <v>1301.27</v>
      </c>
    </row>
    <row r="10239" spans="2:6" x14ac:dyDescent="0.25">
      <c r="B10239" s="13" t="s">
        <v>18404</v>
      </c>
      <c r="C10239" s="17" t="s">
        <v>170</v>
      </c>
      <c r="D10239" s="13" t="s">
        <v>118</v>
      </c>
      <c r="E10239" s="13" t="s">
        <v>18405</v>
      </c>
      <c r="F10239" s="43">
        <v>1301.27</v>
      </c>
    </row>
    <row r="10240" spans="2:6" x14ac:dyDescent="0.25">
      <c r="B10240" s="13" t="s">
        <v>18406</v>
      </c>
      <c r="C10240" s="17" t="s">
        <v>170</v>
      </c>
      <c r="D10240" s="13" t="s">
        <v>118</v>
      </c>
      <c r="E10240" s="13" t="s">
        <v>18407</v>
      </c>
      <c r="F10240" s="43">
        <v>1518.15</v>
      </c>
    </row>
    <row r="10241" spans="2:6" x14ac:dyDescent="0.25">
      <c r="B10241" s="13" t="s">
        <v>18408</v>
      </c>
      <c r="C10241" s="17" t="s">
        <v>170</v>
      </c>
      <c r="D10241" s="13" t="s">
        <v>118</v>
      </c>
      <c r="E10241" s="13" t="s">
        <v>18409</v>
      </c>
      <c r="F10241" s="43">
        <v>1518.15</v>
      </c>
    </row>
    <row r="10242" spans="2:6" x14ac:dyDescent="0.25">
      <c r="B10242" s="13" t="s">
        <v>18410</v>
      </c>
      <c r="C10242" s="17" t="s">
        <v>170</v>
      </c>
      <c r="D10242" s="13" t="s">
        <v>118</v>
      </c>
      <c r="E10242" s="13" t="s">
        <v>18411</v>
      </c>
      <c r="F10242" s="43">
        <v>1518.15</v>
      </c>
    </row>
    <row r="10243" spans="2:6" x14ac:dyDescent="0.25">
      <c r="B10243" s="13" t="s">
        <v>18412</v>
      </c>
      <c r="C10243" s="17" t="s">
        <v>170</v>
      </c>
      <c r="D10243" s="13" t="s">
        <v>118</v>
      </c>
      <c r="E10243" s="13" t="s">
        <v>18413</v>
      </c>
      <c r="F10243" s="43">
        <v>1518.15</v>
      </c>
    </row>
    <row r="10244" spans="2:6" x14ac:dyDescent="0.25">
      <c r="B10244" s="13" t="s">
        <v>18414</v>
      </c>
      <c r="C10244" s="17" t="s">
        <v>170</v>
      </c>
      <c r="D10244" s="13" t="s">
        <v>118</v>
      </c>
      <c r="E10244" s="13" t="s">
        <v>18415</v>
      </c>
      <c r="F10244" s="43">
        <v>1518.15</v>
      </c>
    </row>
    <row r="10245" spans="2:6" x14ac:dyDescent="0.25">
      <c r="B10245" s="13" t="s">
        <v>18416</v>
      </c>
      <c r="C10245" s="17" t="s">
        <v>170</v>
      </c>
      <c r="D10245" s="13" t="s">
        <v>118</v>
      </c>
      <c r="E10245" s="13" t="s">
        <v>18417</v>
      </c>
      <c r="F10245" s="43">
        <v>1518.15</v>
      </c>
    </row>
    <row r="10246" spans="2:6" x14ac:dyDescent="0.25">
      <c r="B10246" s="13" t="s">
        <v>18418</v>
      </c>
      <c r="C10246" s="17" t="s">
        <v>170</v>
      </c>
      <c r="D10246" s="13" t="s">
        <v>118</v>
      </c>
      <c r="E10246" s="13" t="s">
        <v>18419</v>
      </c>
      <c r="F10246" s="43">
        <v>1518.15</v>
      </c>
    </row>
    <row r="10247" spans="2:6" x14ac:dyDescent="0.25">
      <c r="B10247" s="13" t="s">
        <v>18420</v>
      </c>
      <c r="C10247" s="17" t="s">
        <v>170</v>
      </c>
      <c r="D10247" s="13" t="s">
        <v>118</v>
      </c>
      <c r="E10247" s="13" t="s">
        <v>18421</v>
      </c>
      <c r="F10247" s="43">
        <v>1301.27</v>
      </c>
    </row>
    <row r="10248" spans="2:6" x14ac:dyDescent="0.25">
      <c r="B10248" s="13" t="s">
        <v>18422</v>
      </c>
      <c r="C10248" s="17" t="s">
        <v>170</v>
      </c>
      <c r="D10248" s="13" t="s">
        <v>118</v>
      </c>
      <c r="E10248" s="13" t="s">
        <v>18423</v>
      </c>
      <c r="F10248" s="43">
        <v>1301.27</v>
      </c>
    </row>
    <row r="10249" spans="2:6" x14ac:dyDescent="0.25">
      <c r="B10249" s="13" t="s">
        <v>18424</v>
      </c>
      <c r="C10249" s="17" t="s">
        <v>170</v>
      </c>
      <c r="D10249" s="13" t="s">
        <v>118</v>
      </c>
      <c r="E10249" s="13" t="s">
        <v>18425</v>
      </c>
      <c r="F10249" s="43">
        <v>1301.27</v>
      </c>
    </row>
    <row r="10250" spans="2:6" x14ac:dyDescent="0.25">
      <c r="B10250" s="13" t="s">
        <v>18426</v>
      </c>
      <c r="C10250" s="17" t="s">
        <v>170</v>
      </c>
      <c r="D10250" s="13" t="s">
        <v>118</v>
      </c>
      <c r="E10250" s="13" t="s">
        <v>18427</v>
      </c>
      <c r="F10250" s="43">
        <v>1301.27</v>
      </c>
    </row>
    <row r="10251" spans="2:6" x14ac:dyDescent="0.25">
      <c r="B10251" s="13" t="s">
        <v>18428</v>
      </c>
      <c r="C10251" s="17" t="s">
        <v>170</v>
      </c>
      <c r="D10251" s="13" t="s">
        <v>118</v>
      </c>
      <c r="E10251" s="13" t="s">
        <v>18429</v>
      </c>
      <c r="F10251" s="43">
        <v>1301.27</v>
      </c>
    </row>
    <row r="10252" spans="2:6" x14ac:dyDescent="0.25">
      <c r="B10252" s="13" t="s">
        <v>18430</v>
      </c>
      <c r="C10252" s="17" t="s">
        <v>170</v>
      </c>
      <c r="D10252" s="13" t="s">
        <v>118</v>
      </c>
      <c r="E10252" s="13" t="s">
        <v>18431</v>
      </c>
      <c r="F10252" s="43">
        <v>1301.27</v>
      </c>
    </row>
    <row r="10253" spans="2:6" x14ac:dyDescent="0.25">
      <c r="B10253" s="13" t="s">
        <v>18432</v>
      </c>
      <c r="C10253" s="17" t="s">
        <v>170</v>
      </c>
      <c r="D10253" s="13" t="s">
        <v>118</v>
      </c>
      <c r="E10253" s="13" t="s">
        <v>18433</v>
      </c>
      <c r="F10253" s="43">
        <v>1518.15</v>
      </c>
    </row>
    <row r="10254" spans="2:6" x14ac:dyDescent="0.25">
      <c r="B10254" s="13" t="s">
        <v>18434</v>
      </c>
      <c r="C10254" s="17" t="s">
        <v>170</v>
      </c>
      <c r="D10254" s="13" t="s">
        <v>118</v>
      </c>
      <c r="E10254" s="13" t="s">
        <v>18435</v>
      </c>
      <c r="F10254" s="43">
        <v>1518.15</v>
      </c>
    </row>
    <row r="10255" spans="2:6" x14ac:dyDescent="0.25">
      <c r="B10255" s="13" t="s">
        <v>18436</v>
      </c>
      <c r="C10255" s="17" t="s">
        <v>170</v>
      </c>
      <c r="D10255" s="13" t="s">
        <v>118</v>
      </c>
      <c r="E10255" s="13" t="s">
        <v>18437</v>
      </c>
      <c r="F10255" s="43">
        <v>1518.15</v>
      </c>
    </row>
    <row r="10256" spans="2:6" x14ac:dyDescent="0.25">
      <c r="B10256" s="13" t="s">
        <v>18438</v>
      </c>
      <c r="C10256" s="17" t="s">
        <v>170</v>
      </c>
      <c r="D10256" s="13" t="s">
        <v>118</v>
      </c>
      <c r="E10256" s="13" t="s">
        <v>18439</v>
      </c>
      <c r="F10256" s="43">
        <v>1518.15</v>
      </c>
    </row>
    <row r="10257" spans="2:6" x14ac:dyDescent="0.25">
      <c r="B10257" s="13" t="s">
        <v>18440</v>
      </c>
      <c r="C10257" s="17" t="s">
        <v>170</v>
      </c>
      <c r="D10257" s="13" t="s">
        <v>118</v>
      </c>
      <c r="E10257" s="13" t="s">
        <v>18441</v>
      </c>
      <c r="F10257" s="43">
        <v>1518.15</v>
      </c>
    </row>
    <row r="10258" spans="2:6" x14ac:dyDescent="0.25">
      <c r="B10258" s="13" t="s">
        <v>18442</v>
      </c>
      <c r="C10258" s="17" t="s">
        <v>170</v>
      </c>
      <c r="D10258" s="13" t="s">
        <v>118</v>
      </c>
      <c r="E10258" s="13" t="s">
        <v>18443</v>
      </c>
      <c r="F10258" s="43">
        <v>1518.15</v>
      </c>
    </row>
    <row r="10259" spans="2:6" x14ac:dyDescent="0.25">
      <c r="B10259" s="13" t="s">
        <v>18444</v>
      </c>
      <c r="C10259" s="17" t="s">
        <v>170</v>
      </c>
      <c r="D10259" s="13" t="s">
        <v>118</v>
      </c>
      <c r="E10259" s="13" t="s">
        <v>18445</v>
      </c>
      <c r="F10259" s="43">
        <v>1518.15</v>
      </c>
    </row>
    <row r="10260" spans="2:6" x14ac:dyDescent="0.25">
      <c r="B10260" s="13" t="s">
        <v>18446</v>
      </c>
      <c r="C10260" s="17" t="s">
        <v>170</v>
      </c>
      <c r="D10260" s="13" t="s">
        <v>118</v>
      </c>
      <c r="E10260" s="13" t="s">
        <v>18447</v>
      </c>
      <c r="F10260" s="43">
        <v>1714.37</v>
      </c>
    </row>
    <row r="10261" spans="2:6" x14ac:dyDescent="0.25">
      <c r="B10261" s="13" t="s">
        <v>18448</v>
      </c>
      <c r="C10261" s="17" t="s">
        <v>170</v>
      </c>
      <c r="D10261" s="13" t="s">
        <v>118</v>
      </c>
      <c r="E10261" s="13" t="s">
        <v>18449</v>
      </c>
      <c r="F10261" s="43">
        <v>1714.37</v>
      </c>
    </row>
    <row r="10262" spans="2:6" x14ac:dyDescent="0.25">
      <c r="B10262" s="13" t="s">
        <v>18450</v>
      </c>
      <c r="C10262" s="17" t="s">
        <v>170</v>
      </c>
      <c r="D10262" s="13" t="s">
        <v>118</v>
      </c>
      <c r="E10262" s="13" t="s">
        <v>18451</v>
      </c>
      <c r="F10262" s="43">
        <v>1714.37</v>
      </c>
    </row>
    <row r="10263" spans="2:6" x14ac:dyDescent="0.25">
      <c r="B10263" s="13" t="s">
        <v>18452</v>
      </c>
      <c r="C10263" s="17" t="s">
        <v>170</v>
      </c>
      <c r="D10263" s="13" t="s">
        <v>118</v>
      </c>
      <c r="E10263" s="13" t="s">
        <v>18453</v>
      </c>
      <c r="F10263" s="43">
        <v>1714.37</v>
      </c>
    </row>
    <row r="10264" spans="2:6" x14ac:dyDescent="0.25">
      <c r="B10264" s="13" t="s">
        <v>18454</v>
      </c>
      <c r="C10264" s="17" t="s">
        <v>170</v>
      </c>
      <c r="D10264" s="13" t="s">
        <v>118</v>
      </c>
      <c r="E10264" s="13" t="s">
        <v>18455</v>
      </c>
      <c r="F10264" s="43">
        <v>1714.37</v>
      </c>
    </row>
    <row r="10265" spans="2:6" x14ac:dyDescent="0.25">
      <c r="B10265" s="13" t="s">
        <v>18456</v>
      </c>
      <c r="C10265" s="17" t="s">
        <v>170</v>
      </c>
      <c r="D10265" s="13" t="s">
        <v>118</v>
      </c>
      <c r="E10265" s="13" t="s">
        <v>18457</v>
      </c>
      <c r="F10265" s="43">
        <v>1714.37</v>
      </c>
    </row>
    <row r="10266" spans="2:6" x14ac:dyDescent="0.25">
      <c r="B10266" s="13" t="s">
        <v>18458</v>
      </c>
      <c r="C10266" s="17" t="s">
        <v>170</v>
      </c>
      <c r="D10266" s="13" t="s">
        <v>118</v>
      </c>
      <c r="E10266" s="13" t="s">
        <v>18459</v>
      </c>
      <c r="F10266" s="43">
        <v>1931.25</v>
      </c>
    </row>
    <row r="10267" spans="2:6" x14ac:dyDescent="0.25">
      <c r="B10267" s="13" t="s">
        <v>18460</v>
      </c>
      <c r="C10267" s="17" t="s">
        <v>170</v>
      </c>
      <c r="D10267" s="13" t="s">
        <v>118</v>
      </c>
      <c r="E10267" s="13" t="s">
        <v>18461</v>
      </c>
      <c r="F10267" s="43">
        <v>1931.25</v>
      </c>
    </row>
    <row r="10268" spans="2:6" x14ac:dyDescent="0.25">
      <c r="B10268" s="13" t="s">
        <v>18462</v>
      </c>
      <c r="C10268" s="17" t="s">
        <v>170</v>
      </c>
      <c r="D10268" s="13" t="s">
        <v>118</v>
      </c>
      <c r="E10268" s="13" t="s">
        <v>18463</v>
      </c>
      <c r="F10268" s="43">
        <v>1931.25</v>
      </c>
    </row>
    <row r="10269" spans="2:6" x14ac:dyDescent="0.25">
      <c r="B10269" s="13" t="s">
        <v>18464</v>
      </c>
      <c r="C10269" s="17" t="s">
        <v>170</v>
      </c>
      <c r="D10269" s="13" t="s">
        <v>118</v>
      </c>
      <c r="E10269" s="13" t="s">
        <v>18465</v>
      </c>
      <c r="F10269" s="43">
        <v>1931.25</v>
      </c>
    </row>
    <row r="10270" spans="2:6" x14ac:dyDescent="0.25">
      <c r="B10270" s="13" t="s">
        <v>18466</v>
      </c>
      <c r="C10270" s="17" t="s">
        <v>170</v>
      </c>
      <c r="D10270" s="13" t="s">
        <v>118</v>
      </c>
      <c r="E10270" s="13" t="s">
        <v>18467</v>
      </c>
      <c r="F10270" s="43">
        <v>1931.25</v>
      </c>
    </row>
    <row r="10271" spans="2:6" x14ac:dyDescent="0.25">
      <c r="B10271" s="13" t="s">
        <v>18468</v>
      </c>
      <c r="C10271" s="17" t="s">
        <v>170</v>
      </c>
      <c r="D10271" s="13" t="s">
        <v>118</v>
      </c>
      <c r="E10271" s="13" t="s">
        <v>18469</v>
      </c>
      <c r="F10271" s="43">
        <v>1931.25</v>
      </c>
    </row>
    <row r="10272" spans="2:6" x14ac:dyDescent="0.25">
      <c r="B10272" s="13" t="s">
        <v>18470</v>
      </c>
      <c r="C10272" s="17" t="s">
        <v>170</v>
      </c>
      <c r="D10272" s="13" t="s">
        <v>118</v>
      </c>
      <c r="E10272" s="13" t="s">
        <v>18471</v>
      </c>
      <c r="F10272" s="43">
        <v>1931.25</v>
      </c>
    </row>
    <row r="10273" spans="2:6" x14ac:dyDescent="0.25">
      <c r="B10273" s="13" t="s">
        <v>18472</v>
      </c>
      <c r="C10273" s="17" t="s">
        <v>170</v>
      </c>
      <c r="D10273" s="13" t="s">
        <v>118</v>
      </c>
      <c r="E10273" s="13" t="s">
        <v>18473</v>
      </c>
      <c r="F10273" s="43">
        <v>1714.37</v>
      </c>
    </row>
    <row r="10274" spans="2:6" x14ac:dyDescent="0.25">
      <c r="B10274" s="13" t="s">
        <v>18474</v>
      </c>
      <c r="C10274" s="17" t="s">
        <v>170</v>
      </c>
      <c r="D10274" s="13" t="s">
        <v>118</v>
      </c>
      <c r="E10274" s="13" t="s">
        <v>18475</v>
      </c>
      <c r="F10274" s="43">
        <v>1714.37</v>
      </c>
    </row>
    <row r="10275" spans="2:6" x14ac:dyDescent="0.25">
      <c r="B10275" s="13" t="s">
        <v>18476</v>
      </c>
      <c r="C10275" s="17" t="s">
        <v>170</v>
      </c>
      <c r="D10275" s="13" t="s">
        <v>118</v>
      </c>
      <c r="E10275" s="13" t="s">
        <v>18477</v>
      </c>
      <c r="F10275" s="43">
        <v>1714.37</v>
      </c>
    </row>
    <row r="10276" spans="2:6" x14ac:dyDescent="0.25">
      <c r="B10276" s="13" t="s">
        <v>18478</v>
      </c>
      <c r="C10276" s="17" t="s">
        <v>170</v>
      </c>
      <c r="D10276" s="13" t="s">
        <v>118</v>
      </c>
      <c r="E10276" s="13" t="s">
        <v>18479</v>
      </c>
      <c r="F10276" s="43">
        <v>1714.37</v>
      </c>
    </row>
    <row r="10277" spans="2:6" x14ac:dyDescent="0.25">
      <c r="B10277" s="13" t="s">
        <v>18480</v>
      </c>
      <c r="C10277" s="17" t="s">
        <v>170</v>
      </c>
      <c r="D10277" s="13" t="s">
        <v>118</v>
      </c>
      <c r="E10277" s="13" t="s">
        <v>18481</v>
      </c>
      <c r="F10277" s="43">
        <v>1714.37</v>
      </c>
    </row>
    <row r="10278" spans="2:6" x14ac:dyDescent="0.25">
      <c r="B10278" s="13" t="s">
        <v>18482</v>
      </c>
      <c r="C10278" s="17" t="s">
        <v>170</v>
      </c>
      <c r="D10278" s="13" t="s">
        <v>118</v>
      </c>
      <c r="E10278" s="13" t="s">
        <v>18483</v>
      </c>
      <c r="F10278" s="43">
        <v>1714.37</v>
      </c>
    </row>
    <row r="10279" spans="2:6" x14ac:dyDescent="0.25">
      <c r="B10279" s="13" t="s">
        <v>18484</v>
      </c>
      <c r="C10279" s="17" t="s">
        <v>170</v>
      </c>
      <c r="D10279" s="13" t="s">
        <v>118</v>
      </c>
      <c r="E10279" s="13" t="s">
        <v>18485</v>
      </c>
      <c r="F10279" s="43">
        <v>1931.25</v>
      </c>
    </row>
    <row r="10280" spans="2:6" x14ac:dyDescent="0.25">
      <c r="B10280" s="13" t="s">
        <v>18486</v>
      </c>
      <c r="C10280" s="17" t="s">
        <v>170</v>
      </c>
      <c r="D10280" s="13" t="s">
        <v>118</v>
      </c>
      <c r="E10280" s="13" t="s">
        <v>18487</v>
      </c>
      <c r="F10280" s="43">
        <v>1931.25</v>
      </c>
    </row>
    <row r="10281" spans="2:6" x14ac:dyDescent="0.25">
      <c r="B10281" s="13" t="s">
        <v>18488</v>
      </c>
      <c r="C10281" s="17" t="s">
        <v>170</v>
      </c>
      <c r="D10281" s="13" t="s">
        <v>118</v>
      </c>
      <c r="E10281" s="13" t="s">
        <v>18489</v>
      </c>
      <c r="F10281" s="43">
        <v>1931.25</v>
      </c>
    </row>
    <row r="10282" spans="2:6" x14ac:dyDescent="0.25">
      <c r="B10282" s="13" t="s">
        <v>18490</v>
      </c>
      <c r="C10282" s="17" t="s">
        <v>170</v>
      </c>
      <c r="D10282" s="13" t="s">
        <v>118</v>
      </c>
      <c r="E10282" s="13" t="s">
        <v>18491</v>
      </c>
      <c r="F10282" s="43">
        <v>1931.25</v>
      </c>
    </row>
    <row r="10283" spans="2:6" x14ac:dyDescent="0.25">
      <c r="B10283" s="13" t="s">
        <v>18492</v>
      </c>
      <c r="C10283" s="17" t="s">
        <v>170</v>
      </c>
      <c r="D10283" s="13" t="s">
        <v>118</v>
      </c>
      <c r="E10283" s="13" t="s">
        <v>18493</v>
      </c>
      <c r="F10283" s="43">
        <v>1931.25</v>
      </c>
    </row>
    <row r="10284" spans="2:6" x14ac:dyDescent="0.25">
      <c r="B10284" s="13" t="s">
        <v>18494</v>
      </c>
      <c r="C10284" s="17" t="s">
        <v>170</v>
      </c>
      <c r="D10284" s="13" t="s">
        <v>118</v>
      </c>
      <c r="E10284" s="13" t="s">
        <v>18495</v>
      </c>
      <c r="F10284" s="43">
        <v>1931.25</v>
      </c>
    </row>
    <row r="10285" spans="2:6" x14ac:dyDescent="0.25">
      <c r="B10285" s="13" t="s">
        <v>18496</v>
      </c>
      <c r="C10285" s="17" t="s">
        <v>170</v>
      </c>
      <c r="D10285" s="13" t="s">
        <v>118</v>
      </c>
      <c r="E10285" s="13" t="s">
        <v>18497</v>
      </c>
      <c r="F10285" s="43">
        <v>1931.25</v>
      </c>
    </row>
    <row r="10286" spans="2:6" x14ac:dyDescent="0.25">
      <c r="B10286" s="13" t="s">
        <v>18498</v>
      </c>
      <c r="C10286" s="17" t="s">
        <v>170</v>
      </c>
      <c r="D10286" s="13" t="s">
        <v>118</v>
      </c>
      <c r="E10286" s="13" t="s">
        <v>18499</v>
      </c>
      <c r="F10286" s="43">
        <v>5959.35</v>
      </c>
    </row>
    <row r="10287" spans="2:6" x14ac:dyDescent="0.25">
      <c r="B10287" s="13" t="s">
        <v>18500</v>
      </c>
      <c r="C10287" s="17" t="s">
        <v>170</v>
      </c>
      <c r="D10287" s="13" t="s">
        <v>118</v>
      </c>
      <c r="E10287" s="13" t="s">
        <v>18501</v>
      </c>
      <c r="F10287" s="43">
        <v>5959.35</v>
      </c>
    </row>
    <row r="10288" spans="2:6" x14ac:dyDescent="0.25">
      <c r="B10288" s="13" t="s">
        <v>18502</v>
      </c>
      <c r="C10288" s="17" t="s">
        <v>170</v>
      </c>
      <c r="D10288" s="13" t="s">
        <v>118</v>
      </c>
      <c r="E10288" s="13" t="s">
        <v>18503</v>
      </c>
      <c r="F10288" s="43">
        <v>4505.8500000000004</v>
      </c>
    </row>
    <row r="10289" spans="2:6" x14ac:dyDescent="0.25">
      <c r="B10289" s="13" t="s">
        <v>18504</v>
      </c>
      <c r="C10289" s="17" t="s">
        <v>170</v>
      </c>
      <c r="D10289" s="13" t="s">
        <v>118</v>
      </c>
      <c r="E10289" s="13" t="s">
        <v>18505</v>
      </c>
      <c r="F10289" s="43">
        <v>4505.8500000000004</v>
      </c>
    </row>
    <row r="10290" spans="2:6" x14ac:dyDescent="0.25">
      <c r="B10290" s="13" t="s">
        <v>18506</v>
      </c>
      <c r="C10290" s="17" t="s">
        <v>170</v>
      </c>
      <c r="D10290" s="13" t="s">
        <v>118</v>
      </c>
      <c r="E10290" s="13" t="s">
        <v>18507</v>
      </c>
      <c r="F10290" s="43">
        <v>4505.8500000000004</v>
      </c>
    </row>
    <row r="10291" spans="2:6" x14ac:dyDescent="0.25">
      <c r="B10291" s="13" t="s">
        <v>18508</v>
      </c>
      <c r="C10291" s="17" t="s">
        <v>170</v>
      </c>
      <c r="D10291" s="13" t="s">
        <v>118</v>
      </c>
      <c r="E10291" s="13" t="s">
        <v>18509</v>
      </c>
      <c r="F10291" s="43">
        <v>4505.8500000000004</v>
      </c>
    </row>
    <row r="10292" spans="2:6" x14ac:dyDescent="0.25">
      <c r="B10292" s="13" t="s">
        <v>18510</v>
      </c>
      <c r="C10292" s="17" t="s">
        <v>170</v>
      </c>
      <c r="D10292" s="13" t="s">
        <v>118</v>
      </c>
      <c r="E10292" s="13"/>
      <c r="F10292" s="43">
        <v>0</v>
      </c>
    </row>
    <row r="10293" spans="2:6" x14ac:dyDescent="0.25">
      <c r="B10293" s="13" t="s">
        <v>18511</v>
      </c>
      <c r="C10293" s="17" t="s">
        <v>170</v>
      </c>
      <c r="D10293" s="13" t="s">
        <v>118</v>
      </c>
      <c r="E10293" s="13"/>
      <c r="F10293" s="43">
        <v>0</v>
      </c>
    </row>
    <row r="10294" spans="2:6" x14ac:dyDescent="0.25">
      <c r="B10294" s="13" t="s">
        <v>18384</v>
      </c>
      <c r="C10294" s="17" t="s">
        <v>170</v>
      </c>
      <c r="D10294" s="13" t="s">
        <v>118</v>
      </c>
      <c r="E10294" s="13" t="s">
        <v>17376</v>
      </c>
      <c r="F10294" s="43">
        <v>0</v>
      </c>
    </row>
    <row r="10295" spans="2:6" x14ac:dyDescent="0.25">
      <c r="B10295" s="13" t="s">
        <v>18096</v>
      </c>
      <c r="C10295" s="17" t="s">
        <v>170</v>
      </c>
      <c r="D10295" s="13" t="s">
        <v>118</v>
      </c>
      <c r="E10295" s="13" t="s">
        <v>18512</v>
      </c>
      <c r="F10295" s="43">
        <v>2034.9</v>
      </c>
    </row>
    <row r="10296" spans="2:6" x14ac:dyDescent="0.25">
      <c r="B10296" s="13" t="s">
        <v>18098</v>
      </c>
      <c r="C10296" s="17" t="s">
        <v>170</v>
      </c>
      <c r="D10296" s="13" t="s">
        <v>118</v>
      </c>
      <c r="E10296" s="13" t="s">
        <v>18248</v>
      </c>
      <c r="F10296" s="43">
        <v>2034.9</v>
      </c>
    </row>
    <row r="10297" spans="2:6" x14ac:dyDescent="0.25">
      <c r="B10297" s="13" t="s">
        <v>18100</v>
      </c>
      <c r="C10297" s="17" t="s">
        <v>170</v>
      </c>
      <c r="D10297" s="13" t="s">
        <v>118</v>
      </c>
      <c r="E10297" s="13" t="s">
        <v>18249</v>
      </c>
      <c r="F10297" s="43">
        <v>2034.9</v>
      </c>
    </row>
    <row r="10298" spans="2:6" x14ac:dyDescent="0.25">
      <c r="B10298" s="13" t="s">
        <v>18224</v>
      </c>
      <c r="C10298" s="17" t="s">
        <v>170</v>
      </c>
      <c r="D10298" s="13" t="s">
        <v>118</v>
      </c>
      <c r="E10298" s="13" t="s">
        <v>18250</v>
      </c>
      <c r="F10298" s="43">
        <v>2180.25</v>
      </c>
    </row>
    <row r="10299" spans="2:6" x14ac:dyDescent="0.25">
      <c r="B10299" s="13" t="s">
        <v>18513</v>
      </c>
      <c r="C10299" s="17" t="s">
        <v>170</v>
      </c>
      <c r="D10299" s="13" t="s">
        <v>118</v>
      </c>
      <c r="E10299" s="13"/>
      <c r="F10299" s="43">
        <v>0</v>
      </c>
    </row>
    <row r="10300" spans="2:6" x14ac:dyDescent="0.25">
      <c r="B10300" s="13" t="s">
        <v>18514</v>
      </c>
      <c r="C10300" s="17" t="s">
        <v>170</v>
      </c>
      <c r="D10300" s="13" t="s">
        <v>118</v>
      </c>
      <c r="E10300" s="13" t="s">
        <v>18171</v>
      </c>
      <c r="F10300" s="43">
        <v>0</v>
      </c>
    </row>
    <row r="10301" spans="2:6" x14ac:dyDescent="0.25">
      <c r="B10301" s="13" t="s">
        <v>18106</v>
      </c>
      <c r="C10301" s="17" t="s">
        <v>170</v>
      </c>
      <c r="D10301" s="13" t="s">
        <v>118</v>
      </c>
      <c r="E10301" s="13" t="s">
        <v>18253</v>
      </c>
      <c r="F10301" s="43">
        <v>2034.9</v>
      </c>
    </row>
    <row r="10302" spans="2:6" x14ac:dyDescent="0.25">
      <c r="B10302" s="13" t="s">
        <v>18108</v>
      </c>
      <c r="C10302" s="17" t="s">
        <v>170</v>
      </c>
      <c r="D10302" s="13" t="s">
        <v>118</v>
      </c>
      <c r="E10302" s="13" t="s">
        <v>18254</v>
      </c>
      <c r="F10302" s="43">
        <v>2034.9</v>
      </c>
    </row>
    <row r="10303" spans="2:6" x14ac:dyDescent="0.25">
      <c r="B10303" s="13">
        <v>6</v>
      </c>
      <c r="C10303" s="17" t="s">
        <v>170</v>
      </c>
      <c r="D10303" s="13" t="s">
        <v>118</v>
      </c>
      <c r="E10303" s="13" t="s">
        <v>18255</v>
      </c>
      <c r="F10303" s="43">
        <v>0</v>
      </c>
    </row>
    <row r="10304" spans="2:6" x14ac:dyDescent="0.25">
      <c r="B10304" s="13" t="s">
        <v>17559</v>
      </c>
      <c r="C10304" s="17" t="s">
        <v>170</v>
      </c>
      <c r="D10304" s="13" t="s">
        <v>118</v>
      </c>
      <c r="E10304" s="13" t="s">
        <v>18118</v>
      </c>
      <c r="F10304" s="43">
        <v>0</v>
      </c>
    </row>
    <row r="10305" spans="2:6" x14ac:dyDescent="0.25">
      <c r="B10305" s="13" t="s">
        <v>17770</v>
      </c>
      <c r="C10305" s="17" t="s">
        <v>170</v>
      </c>
      <c r="D10305" s="13" t="s">
        <v>118</v>
      </c>
      <c r="E10305" s="13" t="s">
        <v>18119</v>
      </c>
      <c r="F10305" s="43">
        <v>0</v>
      </c>
    </row>
    <row r="10306" spans="2:6" x14ac:dyDescent="0.25">
      <c r="B10306" s="13" t="s">
        <v>17973</v>
      </c>
      <c r="C10306" s="17" t="s">
        <v>170</v>
      </c>
      <c r="D10306" s="13" t="s">
        <v>118</v>
      </c>
      <c r="E10306" s="13" t="s">
        <v>18120</v>
      </c>
      <c r="F10306" s="43">
        <v>115.12</v>
      </c>
    </row>
    <row r="10307" spans="2:6" x14ac:dyDescent="0.25">
      <c r="B10307" s="13" t="s">
        <v>17874</v>
      </c>
      <c r="C10307" s="17" t="s">
        <v>170</v>
      </c>
      <c r="D10307" s="13" t="s">
        <v>118</v>
      </c>
      <c r="E10307" s="13" t="s">
        <v>18121</v>
      </c>
      <c r="F10307" s="43">
        <v>127.5</v>
      </c>
    </row>
    <row r="10308" spans="2:6" x14ac:dyDescent="0.25">
      <c r="B10308" s="13" t="s">
        <v>18122</v>
      </c>
      <c r="C10308" s="17" t="s">
        <v>170</v>
      </c>
      <c r="D10308" s="13" t="s">
        <v>118</v>
      </c>
      <c r="E10308" s="13" t="s">
        <v>18123</v>
      </c>
      <c r="F10308" s="43">
        <v>0</v>
      </c>
    </row>
    <row r="10309" spans="2:6" x14ac:dyDescent="0.25">
      <c r="B10309" s="13" t="s">
        <v>18124</v>
      </c>
      <c r="C10309" s="17" t="s">
        <v>170</v>
      </c>
      <c r="D10309" s="13" t="s">
        <v>118</v>
      </c>
      <c r="E10309" s="13" t="s">
        <v>18125</v>
      </c>
      <c r="F10309" s="43">
        <v>0</v>
      </c>
    </row>
    <row r="10310" spans="2:6" x14ac:dyDescent="0.25">
      <c r="B10310" s="13" t="s">
        <v>17444</v>
      </c>
      <c r="C10310" s="17" t="s">
        <v>170</v>
      </c>
      <c r="D10310" s="13" t="s">
        <v>118</v>
      </c>
      <c r="E10310" s="13" t="s">
        <v>18126</v>
      </c>
      <c r="F10310" s="43">
        <v>0</v>
      </c>
    </row>
    <row r="10311" spans="2:6" x14ac:dyDescent="0.25">
      <c r="B10311" s="13" t="s">
        <v>17861</v>
      </c>
      <c r="C10311" s="17" t="s">
        <v>170</v>
      </c>
      <c r="D10311" s="13" t="s">
        <v>118</v>
      </c>
      <c r="E10311" s="13" t="s">
        <v>18311</v>
      </c>
      <c r="F10311" s="43">
        <v>0</v>
      </c>
    </row>
    <row r="10312" spans="2:6" x14ac:dyDescent="0.25">
      <c r="B10312" s="13" t="s">
        <v>17559</v>
      </c>
      <c r="C10312" s="17" t="s">
        <v>170</v>
      </c>
      <c r="D10312" s="13" t="s">
        <v>118</v>
      </c>
      <c r="E10312" s="13" t="s">
        <v>18118</v>
      </c>
      <c r="F10312" s="43">
        <v>0</v>
      </c>
    </row>
    <row r="10313" spans="2:6" x14ac:dyDescent="0.25">
      <c r="B10313" s="13" t="s">
        <v>17444</v>
      </c>
      <c r="C10313" s="17" t="s">
        <v>170</v>
      </c>
      <c r="D10313" s="13" t="s">
        <v>118</v>
      </c>
      <c r="E10313" s="13" t="s">
        <v>18126</v>
      </c>
      <c r="F10313" s="43">
        <v>0</v>
      </c>
    </row>
    <row r="10314" spans="2:6" x14ac:dyDescent="0.25">
      <c r="B10314" s="13" t="s">
        <v>18129</v>
      </c>
      <c r="C10314" s="17" t="s">
        <v>170</v>
      </c>
      <c r="D10314" s="13" t="s">
        <v>118</v>
      </c>
      <c r="E10314" s="13" t="s">
        <v>18130</v>
      </c>
      <c r="F10314" s="43">
        <v>0</v>
      </c>
    </row>
    <row r="10315" spans="2:6" x14ac:dyDescent="0.25">
      <c r="B10315" s="13" t="s">
        <v>18131</v>
      </c>
      <c r="C10315" s="17" t="s">
        <v>170</v>
      </c>
      <c r="D10315" s="13" t="s">
        <v>118</v>
      </c>
      <c r="E10315" s="13" t="s">
        <v>18256</v>
      </c>
      <c r="F10315" s="43">
        <v>612</v>
      </c>
    </row>
    <row r="10316" spans="2:6" x14ac:dyDescent="0.25">
      <c r="B10316" s="13" t="s">
        <v>18133</v>
      </c>
      <c r="C10316" s="17" t="s">
        <v>170</v>
      </c>
      <c r="D10316" s="13" t="s">
        <v>118</v>
      </c>
      <c r="E10316" s="13" t="s">
        <v>18175</v>
      </c>
      <c r="F10316" s="43">
        <v>76.5</v>
      </c>
    </row>
    <row r="10317" spans="2:6" x14ac:dyDescent="0.25">
      <c r="B10317" s="13" t="s">
        <v>18135</v>
      </c>
      <c r="C10317" s="17" t="s">
        <v>170</v>
      </c>
      <c r="D10317" s="13" t="s">
        <v>118</v>
      </c>
      <c r="E10317" s="13" t="s">
        <v>18257</v>
      </c>
      <c r="F10317" s="43">
        <v>688.5</v>
      </c>
    </row>
    <row r="10318" spans="2:6" x14ac:dyDescent="0.25">
      <c r="B10318" s="13" t="s">
        <v>18312</v>
      </c>
      <c r="C10318" s="17" t="s">
        <v>170</v>
      </c>
      <c r="D10318" s="13" t="s">
        <v>118</v>
      </c>
      <c r="E10318" s="13" t="s">
        <v>18392</v>
      </c>
      <c r="F10318" s="43">
        <v>2754</v>
      </c>
    </row>
    <row r="10319" spans="2:6" x14ac:dyDescent="0.25">
      <c r="B10319" s="13" t="s">
        <v>18314</v>
      </c>
      <c r="C10319" s="17" t="s">
        <v>170</v>
      </c>
      <c r="D10319" s="13" t="s">
        <v>118</v>
      </c>
      <c r="E10319" s="13" t="s">
        <v>18393</v>
      </c>
      <c r="F10319" s="43">
        <v>5508</v>
      </c>
    </row>
    <row r="10320" spans="2:6" x14ac:dyDescent="0.25">
      <c r="B10320" s="13" t="s">
        <v>18316</v>
      </c>
      <c r="C10320" s="17" t="s">
        <v>170</v>
      </c>
      <c r="D10320" s="13" t="s">
        <v>118</v>
      </c>
      <c r="E10320" s="13" t="s">
        <v>18317</v>
      </c>
      <c r="F10320" s="43">
        <v>0</v>
      </c>
    </row>
    <row r="10321" spans="2:6" x14ac:dyDescent="0.25">
      <c r="B10321" s="13" t="s">
        <v>18137</v>
      </c>
      <c r="C10321" s="17" t="s">
        <v>170</v>
      </c>
      <c r="D10321" s="13" t="s">
        <v>118</v>
      </c>
      <c r="E10321" s="13" t="s">
        <v>18138</v>
      </c>
      <c r="F10321" s="43">
        <v>0</v>
      </c>
    </row>
    <row r="10322" spans="2:6" x14ac:dyDescent="0.25">
      <c r="B10322" s="13" t="s">
        <v>18139</v>
      </c>
      <c r="C10322" s="17" t="s">
        <v>170</v>
      </c>
      <c r="D10322" s="13" t="s">
        <v>118</v>
      </c>
      <c r="E10322" s="13" t="s">
        <v>18140</v>
      </c>
      <c r="F10322" s="43">
        <v>0</v>
      </c>
    </row>
    <row r="10323" spans="2:6" x14ac:dyDescent="0.25">
      <c r="B10323" s="13" t="s">
        <v>18515</v>
      </c>
      <c r="C10323" s="17" t="s">
        <v>170</v>
      </c>
      <c r="D10323" s="13" t="s">
        <v>118</v>
      </c>
      <c r="E10323" s="13" t="s">
        <v>18516</v>
      </c>
      <c r="F10323" s="43">
        <v>1999.87</v>
      </c>
    </row>
    <row r="10324" spans="2:6" x14ac:dyDescent="0.25">
      <c r="B10324" s="13" t="s">
        <v>18517</v>
      </c>
      <c r="C10324" s="17" t="s">
        <v>170</v>
      </c>
      <c r="D10324" s="13" t="s">
        <v>118</v>
      </c>
      <c r="E10324" s="13" t="s">
        <v>18518</v>
      </c>
      <c r="F10324" s="43">
        <v>860.63</v>
      </c>
    </row>
    <row r="10325" spans="2:6" x14ac:dyDescent="0.25">
      <c r="B10325" s="13" t="s">
        <v>18519</v>
      </c>
      <c r="C10325" s="17" t="s">
        <v>170</v>
      </c>
      <c r="D10325" s="13" t="s">
        <v>118</v>
      </c>
      <c r="E10325" s="13" t="s">
        <v>18520</v>
      </c>
      <c r="F10325" s="43">
        <v>1999.87</v>
      </c>
    </row>
    <row r="10326" spans="2:6" x14ac:dyDescent="0.25">
      <c r="B10326" s="13" t="s">
        <v>18521</v>
      </c>
      <c r="C10326" s="17" t="s">
        <v>170</v>
      </c>
      <c r="D10326" s="13" t="s">
        <v>118</v>
      </c>
      <c r="E10326" s="13" t="s">
        <v>18522</v>
      </c>
      <c r="F10326" s="43">
        <v>919.38</v>
      </c>
    </row>
    <row r="10327" spans="2:6" x14ac:dyDescent="0.25">
      <c r="B10327" s="13" t="s">
        <v>18523</v>
      </c>
      <c r="C10327" s="17" t="s">
        <v>170</v>
      </c>
      <c r="D10327" s="13" t="s">
        <v>118</v>
      </c>
      <c r="E10327" s="13" t="s">
        <v>18524</v>
      </c>
      <c r="F10327" s="43">
        <v>919.38</v>
      </c>
    </row>
    <row r="10328" spans="2:6" x14ac:dyDescent="0.25">
      <c r="B10328" s="13" t="s">
        <v>18525</v>
      </c>
      <c r="C10328" s="17" t="s">
        <v>170</v>
      </c>
      <c r="D10328" s="13" t="s">
        <v>118</v>
      </c>
      <c r="E10328" s="13" t="s">
        <v>18526</v>
      </c>
      <c r="F10328" s="43">
        <v>919.38</v>
      </c>
    </row>
    <row r="10329" spans="2:6" x14ac:dyDescent="0.25">
      <c r="B10329" s="13" t="s">
        <v>18527</v>
      </c>
      <c r="C10329" s="17" t="s">
        <v>170</v>
      </c>
      <c r="D10329" s="13" t="s">
        <v>118</v>
      </c>
      <c r="E10329" s="13" t="s">
        <v>18528</v>
      </c>
      <c r="F10329" s="43">
        <v>919.38</v>
      </c>
    </row>
    <row r="10330" spans="2:6" x14ac:dyDescent="0.25">
      <c r="B10330" s="13" t="s">
        <v>18529</v>
      </c>
      <c r="C10330" s="17" t="s">
        <v>170</v>
      </c>
      <c r="D10330" s="13" t="s">
        <v>118</v>
      </c>
      <c r="E10330" s="13" t="s">
        <v>18530</v>
      </c>
      <c r="F10330" s="43">
        <v>919.38</v>
      </c>
    </row>
    <row r="10331" spans="2:6" x14ac:dyDescent="0.25">
      <c r="B10331" s="13" t="s">
        <v>18531</v>
      </c>
      <c r="C10331" s="17" t="s">
        <v>170</v>
      </c>
      <c r="D10331" s="13" t="s">
        <v>118</v>
      </c>
      <c r="E10331" s="13" t="s">
        <v>18532</v>
      </c>
      <c r="F10331" s="43">
        <v>919.38</v>
      </c>
    </row>
    <row r="10332" spans="2:6" x14ac:dyDescent="0.25">
      <c r="B10332" s="13" t="s">
        <v>18533</v>
      </c>
      <c r="C10332" s="17" t="s">
        <v>170</v>
      </c>
      <c r="D10332" s="13" t="s">
        <v>118</v>
      </c>
      <c r="E10332" s="13" t="s">
        <v>18534</v>
      </c>
      <c r="F10332" s="43">
        <v>126.57</v>
      </c>
    </row>
    <row r="10333" spans="2:6" x14ac:dyDescent="0.25">
      <c r="B10333" s="13" t="s">
        <v>18535</v>
      </c>
      <c r="C10333" s="17" t="s">
        <v>170</v>
      </c>
      <c r="D10333" s="13" t="s">
        <v>118</v>
      </c>
      <c r="E10333" s="13" t="s">
        <v>18536</v>
      </c>
      <c r="F10333" s="43">
        <v>222.96</v>
      </c>
    </row>
    <row r="10334" spans="2:6" x14ac:dyDescent="0.25">
      <c r="B10334" s="13" t="s">
        <v>18537</v>
      </c>
      <c r="C10334" s="17" t="s">
        <v>170</v>
      </c>
      <c r="D10334" s="13" t="s">
        <v>118</v>
      </c>
      <c r="E10334" s="13" t="s">
        <v>18538</v>
      </c>
      <c r="F10334" s="43">
        <v>237.15</v>
      </c>
    </row>
    <row r="10335" spans="2:6" x14ac:dyDescent="0.25">
      <c r="B10335" s="13" t="s">
        <v>18539</v>
      </c>
      <c r="C10335" s="17" t="s">
        <v>170</v>
      </c>
      <c r="D10335" s="13" t="s">
        <v>118</v>
      </c>
      <c r="E10335" s="13" t="s">
        <v>18540</v>
      </c>
      <c r="F10335" s="43">
        <v>125.89</v>
      </c>
    </row>
    <row r="10336" spans="2:6" x14ac:dyDescent="0.25">
      <c r="B10336" s="13" t="s">
        <v>18541</v>
      </c>
      <c r="C10336" s="17" t="s">
        <v>170</v>
      </c>
      <c r="D10336" s="13" t="s">
        <v>118</v>
      </c>
      <c r="E10336" s="13" t="s">
        <v>18542</v>
      </c>
      <c r="F10336" s="43">
        <v>125.89</v>
      </c>
    </row>
    <row r="10337" spans="2:6" x14ac:dyDescent="0.25">
      <c r="B10337" s="13" t="s">
        <v>18543</v>
      </c>
      <c r="C10337" s="17" t="s">
        <v>170</v>
      </c>
      <c r="D10337" s="13" t="s">
        <v>118</v>
      </c>
      <c r="E10337" s="13" t="s">
        <v>18544</v>
      </c>
      <c r="F10337" s="43">
        <v>125.89</v>
      </c>
    </row>
    <row r="10338" spans="2:6" x14ac:dyDescent="0.25">
      <c r="B10338" s="13" t="s">
        <v>18545</v>
      </c>
      <c r="C10338" s="17" t="s">
        <v>170</v>
      </c>
      <c r="D10338" s="13" t="s">
        <v>118</v>
      </c>
      <c r="E10338" s="13" t="s">
        <v>18546</v>
      </c>
      <c r="F10338" s="43">
        <v>125.89</v>
      </c>
    </row>
    <row r="10339" spans="2:6" x14ac:dyDescent="0.25">
      <c r="B10339" s="13" t="s">
        <v>18547</v>
      </c>
      <c r="C10339" s="17" t="s">
        <v>170</v>
      </c>
      <c r="D10339" s="13" t="s">
        <v>118</v>
      </c>
      <c r="E10339" s="13" t="s">
        <v>18548</v>
      </c>
      <c r="F10339" s="43">
        <v>216.88</v>
      </c>
    </row>
    <row r="10340" spans="2:6" x14ac:dyDescent="0.25">
      <c r="B10340" s="13" t="s">
        <v>18549</v>
      </c>
      <c r="C10340" s="17" t="s">
        <v>170</v>
      </c>
      <c r="D10340" s="13" t="s">
        <v>118</v>
      </c>
      <c r="E10340" s="13" t="s">
        <v>18550</v>
      </c>
      <c r="F10340" s="43">
        <v>277.13</v>
      </c>
    </row>
    <row r="10341" spans="2:6" x14ac:dyDescent="0.25">
      <c r="B10341" s="13" t="s">
        <v>18551</v>
      </c>
      <c r="C10341" s="17" t="s">
        <v>170</v>
      </c>
      <c r="D10341" s="13" t="s">
        <v>118</v>
      </c>
      <c r="E10341" s="13" t="s">
        <v>18550</v>
      </c>
      <c r="F10341" s="43">
        <v>277.13</v>
      </c>
    </row>
    <row r="10342" spans="2:6" x14ac:dyDescent="0.25">
      <c r="B10342" s="13" t="s">
        <v>18552</v>
      </c>
      <c r="C10342" s="17" t="s">
        <v>170</v>
      </c>
      <c r="D10342" s="13" t="s">
        <v>118</v>
      </c>
      <c r="E10342" s="13" t="s">
        <v>18553</v>
      </c>
      <c r="F10342" s="43">
        <v>313.27</v>
      </c>
    </row>
    <row r="10343" spans="2:6" x14ac:dyDescent="0.25">
      <c r="B10343" s="13" t="s">
        <v>18554</v>
      </c>
      <c r="C10343" s="17" t="s">
        <v>170</v>
      </c>
      <c r="D10343" s="13" t="s">
        <v>118</v>
      </c>
      <c r="E10343" s="13" t="s">
        <v>18553</v>
      </c>
      <c r="F10343" s="43">
        <v>313.27</v>
      </c>
    </row>
    <row r="10344" spans="2:6" x14ac:dyDescent="0.25">
      <c r="B10344" s="13" t="s">
        <v>18555</v>
      </c>
      <c r="C10344" s="17" t="s">
        <v>170</v>
      </c>
      <c r="D10344" s="13" t="s">
        <v>118</v>
      </c>
      <c r="E10344" s="13" t="s">
        <v>18556</v>
      </c>
      <c r="F10344" s="43">
        <v>337.37</v>
      </c>
    </row>
    <row r="10345" spans="2:6" x14ac:dyDescent="0.25">
      <c r="B10345" s="13" t="s">
        <v>18557</v>
      </c>
      <c r="C10345" s="17" t="s">
        <v>170</v>
      </c>
      <c r="D10345" s="13" t="s">
        <v>118</v>
      </c>
      <c r="E10345" s="13" t="s">
        <v>18556</v>
      </c>
      <c r="F10345" s="43">
        <v>337.37</v>
      </c>
    </row>
    <row r="10346" spans="2:6" x14ac:dyDescent="0.25">
      <c r="B10346" s="13" t="s">
        <v>18558</v>
      </c>
      <c r="C10346" s="17" t="s">
        <v>170</v>
      </c>
      <c r="D10346" s="13" t="s">
        <v>118</v>
      </c>
      <c r="E10346" s="13" t="s">
        <v>18559</v>
      </c>
      <c r="F10346" s="43">
        <v>445.81</v>
      </c>
    </row>
    <row r="10347" spans="2:6" x14ac:dyDescent="0.25">
      <c r="B10347" s="13" t="s">
        <v>18560</v>
      </c>
      <c r="C10347" s="17" t="s">
        <v>170</v>
      </c>
      <c r="D10347" s="13" t="s">
        <v>118</v>
      </c>
      <c r="E10347" s="13" t="s">
        <v>18561</v>
      </c>
      <c r="F10347" s="43">
        <v>445.81</v>
      </c>
    </row>
    <row r="10348" spans="2:6" x14ac:dyDescent="0.25">
      <c r="B10348" s="13" t="s">
        <v>18562</v>
      </c>
      <c r="C10348" s="17" t="s">
        <v>170</v>
      </c>
      <c r="D10348" s="13" t="s">
        <v>118</v>
      </c>
      <c r="E10348" s="13" t="s">
        <v>18563</v>
      </c>
      <c r="F10348" s="43">
        <v>349.42</v>
      </c>
    </row>
    <row r="10349" spans="2:6" x14ac:dyDescent="0.25">
      <c r="B10349" s="13" t="s">
        <v>18564</v>
      </c>
      <c r="C10349" s="17" t="s">
        <v>170</v>
      </c>
      <c r="D10349" s="13" t="s">
        <v>118</v>
      </c>
      <c r="E10349" s="13" t="s">
        <v>18563</v>
      </c>
      <c r="F10349" s="43">
        <v>349.42</v>
      </c>
    </row>
    <row r="10350" spans="2:6" x14ac:dyDescent="0.25">
      <c r="B10350" s="13" t="s">
        <v>18565</v>
      </c>
      <c r="C10350" s="17" t="s">
        <v>170</v>
      </c>
      <c r="D10350" s="13" t="s">
        <v>118</v>
      </c>
      <c r="E10350" s="13" t="s">
        <v>18566</v>
      </c>
      <c r="F10350" s="43">
        <v>433.76</v>
      </c>
    </row>
    <row r="10351" spans="2:6" x14ac:dyDescent="0.25">
      <c r="B10351" s="13" t="s">
        <v>18567</v>
      </c>
      <c r="C10351" s="17" t="s">
        <v>170</v>
      </c>
      <c r="D10351" s="13" t="s">
        <v>118</v>
      </c>
      <c r="E10351" s="13" t="s">
        <v>18566</v>
      </c>
      <c r="F10351" s="43">
        <v>433.76</v>
      </c>
    </row>
    <row r="10352" spans="2:6" x14ac:dyDescent="0.25">
      <c r="B10352" s="13" t="s">
        <v>18568</v>
      </c>
      <c r="C10352" s="17" t="s">
        <v>170</v>
      </c>
      <c r="D10352" s="13" t="s">
        <v>118</v>
      </c>
      <c r="E10352" s="13" t="s">
        <v>18569</v>
      </c>
      <c r="F10352" s="43">
        <v>216.88</v>
      </c>
    </row>
    <row r="10353" spans="2:6" x14ac:dyDescent="0.25">
      <c r="B10353" s="13" t="s">
        <v>18570</v>
      </c>
      <c r="C10353" s="17" t="s">
        <v>170</v>
      </c>
      <c r="D10353" s="13" t="s">
        <v>118</v>
      </c>
      <c r="E10353" s="13" t="s">
        <v>18569</v>
      </c>
      <c r="F10353" s="43">
        <v>216.88</v>
      </c>
    </row>
    <row r="10354" spans="2:6" x14ac:dyDescent="0.25">
      <c r="B10354" s="13" t="s">
        <v>18571</v>
      </c>
      <c r="C10354" s="17" t="s">
        <v>170</v>
      </c>
      <c r="D10354" s="13" t="s">
        <v>118</v>
      </c>
      <c r="E10354" s="13" t="s">
        <v>18572</v>
      </c>
      <c r="F10354" s="43">
        <v>265.08</v>
      </c>
    </row>
    <row r="10355" spans="2:6" x14ac:dyDescent="0.25">
      <c r="B10355" s="13" t="s">
        <v>18573</v>
      </c>
      <c r="C10355" s="17" t="s">
        <v>170</v>
      </c>
      <c r="D10355" s="13" t="s">
        <v>118</v>
      </c>
      <c r="E10355" s="13" t="s">
        <v>18572</v>
      </c>
      <c r="F10355" s="43">
        <v>265.08</v>
      </c>
    </row>
    <row r="10356" spans="2:6" x14ac:dyDescent="0.25">
      <c r="B10356" s="13" t="s">
        <v>18574</v>
      </c>
      <c r="C10356" s="17" t="s">
        <v>170</v>
      </c>
      <c r="D10356" s="13" t="s">
        <v>118</v>
      </c>
      <c r="E10356" s="13" t="s">
        <v>18575</v>
      </c>
      <c r="F10356" s="43">
        <v>289.17</v>
      </c>
    </row>
    <row r="10357" spans="2:6" x14ac:dyDescent="0.25">
      <c r="B10357" s="13" t="s">
        <v>18576</v>
      </c>
      <c r="C10357" s="17" t="s">
        <v>170</v>
      </c>
      <c r="D10357" s="13" t="s">
        <v>118</v>
      </c>
      <c r="E10357" s="13" t="s">
        <v>18575</v>
      </c>
      <c r="F10357" s="43">
        <v>289.17</v>
      </c>
    </row>
    <row r="10358" spans="2:6" x14ac:dyDescent="0.25">
      <c r="B10358" s="13" t="s">
        <v>18577</v>
      </c>
      <c r="C10358" s="17" t="s">
        <v>170</v>
      </c>
      <c r="D10358" s="13" t="s">
        <v>118</v>
      </c>
      <c r="E10358" s="13" t="s">
        <v>18578</v>
      </c>
      <c r="F10358" s="43">
        <v>325.32</v>
      </c>
    </row>
    <row r="10359" spans="2:6" x14ac:dyDescent="0.25">
      <c r="B10359" s="13" t="s">
        <v>18579</v>
      </c>
      <c r="C10359" s="17" t="s">
        <v>170</v>
      </c>
      <c r="D10359" s="13" t="s">
        <v>118</v>
      </c>
      <c r="E10359" s="13" t="s">
        <v>18578</v>
      </c>
      <c r="F10359" s="43">
        <v>325.32</v>
      </c>
    </row>
    <row r="10360" spans="2:6" x14ac:dyDescent="0.25">
      <c r="B10360" s="13" t="s">
        <v>18580</v>
      </c>
      <c r="C10360" s="17" t="s">
        <v>170</v>
      </c>
      <c r="D10360" s="13" t="s">
        <v>118</v>
      </c>
      <c r="E10360" s="13" t="s">
        <v>18581</v>
      </c>
      <c r="F10360" s="43">
        <v>265.08</v>
      </c>
    </row>
    <row r="10361" spans="2:6" x14ac:dyDescent="0.25">
      <c r="B10361" s="13" t="s">
        <v>18582</v>
      </c>
      <c r="C10361" s="17" t="s">
        <v>170</v>
      </c>
      <c r="D10361" s="13" t="s">
        <v>118</v>
      </c>
      <c r="E10361" s="13" t="s">
        <v>18581</v>
      </c>
      <c r="F10361" s="43">
        <v>265.08</v>
      </c>
    </row>
    <row r="10362" spans="2:6" x14ac:dyDescent="0.25">
      <c r="B10362" s="13" t="s">
        <v>18583</v>
      </c>
      <c r="C10362" s="17" t="s">
        <v>170</v>
      </c>
      <c r="D10362" s="13" t="s">
        <v>118</v>
      </c>
      <c r="E10362" s="13" t="s">
        <v>18584</v>
      </c>
      <c r="F10362" s="43">
        <v>301.22000000000003</v>
      </c>
    </row>
    <row r="10363" spans="2:6" x14ac:dyDescent="0.25">
      <c r="B10363" s="13" t="s">
        <v>18585</v>
      </c>
      <c r="C10363" s="17" t="s">
        <v>170</v>
      </c>
      <c r="D10363" s="13" t="s">
        <v>118</v>
      </c>
      <c r="E10363" s="13" t="s">
        <v>18584</v>
      </c>
      <c r="F10363" s="43">
        <v>301.22000000000003</v>
      </c>
    </row>
    <row r="10364" spans="2:6" x14ac:dyDescent="0.25">
      <c r="B10364" s="13" t="s">
        <v>18586</v>
      </c>
      <c r="C10364" s="17" t="s">
        <v>170</v>
      </c>
      <c r="D10364" s="13" t="s">
        <v>118</v>
      </c>
      <c r="E10364" s="13" t="s">
        <v>18587</v>
      </c>
      <c r="F10364" s="43">
        <v>166.05</v>
      </c>
    </row>
    <row r="10365" spans="2:6" x14ac:dyDescent="0.25">
      <c r="B10365" s="13" t="s">
        <v>18588</v>
      </c>
      <c r="C10365" s="17" t="s">
        <v>170</v>
      </c>
      <c r="D10365" s="13" t="s">
        <v>118</v>
      </c>
      <c r="E10365" s="13" t="s">
        <v>18589</v>
      </c>
      <c r="F10365" s="43">
        <v>166.05</v>
      </c>
    </row>
    <row r="10366" spans="2:6" x14ac:dyDescent="0.25">
      <c r="B10366" s="13" t="s">
        <v>18590</v>
      </c>
      <c r="C10366" s="17" t="s">
        <v>170</v>
      </c>
      <c r="D10366" s="13" t="s">
        <v>118</v>
      </c>
      <c r="E10366" s="13" t="s">
        <v>18591</v>
      </c>
      <c r="F10366" s="43">
        <v>396.47</v>
      </c>
    </row>
    <row r="10367" spans="2:6" x14ac:dyDescent="0.25">
      <c r="B10367" s="13" t="s">
        <v>18592</v>
      </c>
      <c r="C10367" s="17" t="s">
        <v>170</v>
      </c>
      <c r="D10367" s="13" t="s">
        <v>118</v>
      </c>
      <c r="E10367" s="13" t="s">
        <v>18593</v>
      </c>
      <c r="F10367" s="43">
        <v>396.47</v>
      </c>
    </row>
    <row r="10368" spans="2:6" x14ac:dyDescent="0.25">
      <c r="B10368" s="13" t="s">
        <v>18594</v>
      </c>
      <c r="C10368" s="17" t="s">
        <v>170</v>
      </c>
      <c r="D10368" s="13" t="s">
        <v>118</v>
      </c>
      <c r="E10368" s="13" t="s">
        <v>18595</v>
      </c>
      <c r="F10368" s="43">
        <v>206.1</v>
      </c>
    </row>
    <row r="10369" spans="2:6" x14ac:dyDescent="0.25">
      <c r="B10369" s="13" t="s">
        <v>18596</v>
      </c>
      <c r="C10369" s="17" t="s">
        <v>170</v>
      </c>
      <c r="D10369" s="13" t="s">
        <v>118</v>
      </c>
      <c r="E10369" s="13" t="s">
        <v>18597</v>
      </c>
      <c r="F10369" s="43">
        <v>206.1</v>
      </c>
    </row>
    <row r="10370" spans="2:6" x14ac:dyDescent="0.25">
      <c r="B10370" s="13" t="s">
        <v>18598</v>
      </c>
      <c r="C10370" s="17" t="s">
        <v>170</v>
      </c>
      <c r="D10370" s="13" t="s">
        <v>118</v>
      </c>
      <c r="E10370" s="13" t="s">
        <v>18599</v>
      </c>
      <c r="F10370" s="43">
        <v>206.1</v>
      </c>
    </row>
    <row r="10371" spans="2:6" x14ac:dyDescent="0.25">
      <c r="B10371" s="13" t="s">
        <v>18600</v>
      </c>
      <c r="C10371" s="17" t="s">
        <v>170</v>
      </c>
      <c r="D10371" s="13" t="s">
        <v>118</v>
      </c>
      <c r="E10371" s="13" t="s">
        <v>18601</v>
      </c>
      <c r="F10371" s="43">
        <v>206.1</v>
      </c>
    </row>
    <row r="10372" spans="2:6" x14ac:dyDescent="0.25">
      <c r="B10372" s="13" t="s">
        <v>18602</v>
      </c>
      <c r="C10372" s="17" t="s">
        <v>170</v>
      </c>
      <c r="D10372" s="13" t="s">
        <v>118</v>
      </c>
      <c r="E10372" s="13" t="s">
        <v>18603</v>
      </c>
      <c r="F10372" s="43">
        <v>206.1</v>
      </c>
    </row>
    <row r="10373" spans="2:6" x14ac:dyDescent="0.25">
      <c r="B10373" s="13" t="s">
        <v>18604</v>
      </c>
      <c r="C10373" s="17" t="s">
        <v>170</v>
      </c>
      <c r="D10373" s="13" t="s">
        <v>118</v>
      </c>
      <c r="E10373" s="13" t="s">
        <v>18605</v>
      </c>
      <c r="F10373" s="43">
        <v>206.1</v>
      </c>
    </row>
    <row r="10374" spans="2:6" x14ac:dyDescent="0.25">
      <c r="B10374" s="13" t="s">
        <v>18606</v>
      </c>
      <c r="C10374" s="17" t="s">
        <v>170</v>
      </c>
      <c r="D10374" s="13" t="s">
        <v>118</v>
      </c>
      <c r="E10374" s="13" t="s">
        <v>18607</v>
      </c>
      <c r="F10374" s="43">
        <v>1105.74</v>
      </c>
    </row>
    <row r="10375" spans="2:6" x14ac:dyDescent="0.25">
      <c r="B10375" s="13" t="s">
        <v>18608</v>
      </c>
      <c r="C10375" s="17" t="s">
        <v>170</v>
      </c>
      <c r="D10375" s="13" t="s">
        <v>118</v>
      </c>
      <c r="E10375" s="13" t="s">
        <v>18609</v>
      </c>
      <c r="F10375" s="43">
        <v>1105.74</v>
      </c>
    </row>
    <row r="10376" spans="2:6" x14ac:dyDescent="0.25">
      <c r="B10376" s="13" t="s">
        <v>18610</v>
      </c>
      <c r="C10376" s="17" t="s">
        <v>170</v>
      </c>
      <c r="D10376" s="13" t="s">
        <v>118</v>
      </c>
      <c r="E10376" s="13" t="s">
        <v>18611</v>
      </c>
      <c r="F10376" s="43">
        <v>1379.76</v>
      </c>
    </row>
    <row r="10377" spans="2:6" x14ac:dyDescent="0.25">
      <c r="B10377" s="13" t="s">
        <v>18612</v>
      </c>
      <c r="C10377" s="17" t="s">
        <v>170</v>
      </c>
      <c r="D10377" s="13" t="s">
        <v>118</v>
      </c>
      <c r="E10377" s="13" t="s">
        <v>18613</v>
      </c>
      <c r="F10377" s="43">
        <v>1379.76</v>
      </c>
    </row>
    <row r="10378" spans="2:6" x14ac:dyDescent="0.25">
      <c r="B10378" s="13" t="s">
        <v>18614</v>
      </c>
      <c r="C10378" s="17" t="s">
        <v>170</v>
      </c>
      <c r="D10378" s="13" t="s">
        <v>118</v>
      </c>
      <c r="E10378" s="13" t="s">
        <v>18615</v>
      </c>
      <c r="F10378" s="43">
        <v>1439.54</v>
      </c>
    </row>
    <row r="10379" spans="2:6" x14ac:dyDescent="0.25">
      <c r="B10379" s="13" t="s">
        <v>18616</v>
      </c>
      <c r="C10379" s="17" t="s">
        <v>170</v>
      </c>
      <c r="D10379" s="13" t="s">
        <v>118</v>
      </c>
      <c r="E10379" s="13" t="s">
        <v>18617</v>
      </c>
      <c r="F10379" s="43">
        <v>1439.54</v>
      </c>
    </row>
    <row r="10380" spans="2:6" x14ac:dyDescent="0.25">
      <c r="B10380" s="13" t="s">
        <v>18618</v>
      </c>
      <c r="C10380" s="17" t="s">
        <v>170</v>
      </c>
      <c r="D10380" s="13" t="s">
        <v>118</v>
      </c>
      <c r="E10380" s="13" t="s">
        <v>18619</v>
      </c>
      <c r="F10380" s="43">
        <v>1485.79</v>
      </c>
    </row>
    <row r="10381" spans="2:6" x14ac:dyDescent="0.25">
      <c r="B10381" s="13" t="s">
        <v>18620</v>
      </c>
      <c r="C10381" s="17" t="s">
        <v>170</v>
      </c>
      <c r="D10381" s="13" t="s">
        <v>118</v>
      </c>
      <c r="E10381" s="13" t="s">
        <v>18621</v>
      </c>
      <c r="F10381" s="43">
        <v>1485.79</v>
      </c>
    </row>
    <row r="10382" spans="2:6" x14ac:dyDescent="0.25">
      <c r="B10382" s="13" t="s">
        <v>18622</v>
      </c>
      <c r="C10382" s="17" t="s">
        <v>170</v>
      </c>
      <c r="D10382" s="13" t="s">
        <v>118</v>
      </c>
      <c r="E10382" s="13" t="s">
        <v>18623</v>
      </c>
      <c r="F10382" s="43">
        <v>1241.3699999999999</v>
      </c>
    </row>
    <row r="10383" spans="2:6" x14ac:dyDescent="0.25">
      <c r="B10383" s="13" t="s">
        <v>18624</v>
      </c>
      <c r="C10383" s="17" t="s">
        <v>170</v>
      </c>
      <c r="D10383" s="13" t="s">
        <v>118</v>
      </c>
      <c r="E10383" s="13" t="s">
        <v>18625</v>
      </c>
      <c r="F10383" s="43">
        <v>1241.3699999999999</v>
      </c>
    </row>
    <row r="10384" spans="2:6" x14ac:dyDescent="0.25">
      <c r="B10384" s="13" t="s">
        <v>18626</v>
      </c>
      <c r="C10384" s="17" t="s">
        <v>170</v>
      </c>
      <c r="D10384" s="13" t="s">
        <v>118</v>
      </c>
      <c r="E10384" s="13" t="s">
        <v>18627</v>
      </c>
      <c r="F10384" s="43">
        <v>1470.64</v>
      </c>
    </row>
    <row r="10385" spans="2:6" x14ac:dyDescent="0.25">
      <c r="B10385" s="13" t="s">
        <v>18628</v>
      </c>
      <c r="C10385" s="17" t="s">
        <v>170</v>
      </c>
      <c r="D10385" s="13" t="s">
        <v>118</v>
      </c>
      <c r="E10385" s="13" t="s">
        <v>18629</v>
      </c>
      <c r="F10385" s="43">
        <v>1470.64</v>
      </c>
    </row>
    <row r="10386" spans="2:6" x14ac:dyDescent="0.25">
      <c r="B10386" s="13" t="s">
        <v>18630</v>
      </c>
      <c r="C10386" s="17" t="s">
        <v>170</v>
      </c>
      <c r="D10386" s="13" t="s">
        <v>118</v>
      </c>
      <c r="E10386" s="13" t="s">
        <v>18631</v>
      </c>
      <c r="F10386" s="43">
        <v>1502.2</v>
      </c>
    </row>
    <row r="10387" spans="2:6" x14ac:dyDescent="0.25">
      <c r="B10387" s="13" t="s">
        <v>18632</v>
      </c>
      <c r="C10387" s="17" t="s">
        <v>170</v>
      </c>
      <c r="D10387" s="13" t="s">
        <v>118</v>
      </c>
      <c r="E10387" s="13" t="s">
        <v>18633</v>
      </c>
      <c r="F10387" s="43">
        <v>1502.2</v>
      </c>
    </row>
    <row r="10388" spans="2:6" x14ac:dyDescent="0.25">
      <c r="B10388" s="13" t="s">
        <v>18634</v>
      </c>
      <c r="C10388" s="17" t="s">
        <v>170</v>
      </c>
      <c r="D10388" s="13" t="s">
        <v>118</v>
      </c>
      <c r="E10388" s="13" t="s">
        <v>18635</v>
      </c>
      <c r="F10388" s="43">
        <v>1524.34</v>
      </c>
    </row>
    <row r="10389" spans="2:6" x14ac:dyDescent="0.25">
      <c r="B10389" s="13" t="s">
        <v>18636</v>
      </c>
      <c r="C10389" s="17" t="s">
        <v>170</v>
      </c>
      <c r="D10389" s="13" t="s">
        <v>118</v>
      </c>
      <c r="E10389" s="13" t="s">
        <v>18637</v>
      </c>
      <c r="F10389" s="43">
        <v>1524.34</v>
      </c>
    </row>
    <row r="10390" spans="2:6" x14ac:dyDescent="0.25">
      <c r="B10390" s="13" t="s">
        <v>18638</v>
      </c>
      <c r="C10390" s="17" t="s">
        <v>170</v>
      </c>
      <c r="D10390" s="13" t="s">
        <v>118</v>
      </c>
      <c r="E10390" s="13" t="s">
        <v>18639</v>
      </c>
      <c r="F10390" s="43">
        <v>1324.79</v>
      </c>
    </row>
    <row r="10391" spans="2:6" x14ac:dyDescent="0.25">
      <c r="B10391" s="13" t="s">
        <v>18640</v>
      </c>
      <c r="C10391" s="17" t="s">
        <v>170</v>
      </c>
      <c r="D10391" s="13" t="s">
        <v>118</v>
      </c>
      <c r="E10391" s="13" t="s">
        <v>18641</v>
      </c>
      <c r="F10391" s="43">
        <v>1324.79</v>
      </c>
    </row>
    <row r="10392" spans="2:6" x14ac:dyDescent="0.25">
      <c r="B10392" s="13" t="s">
        <v>18642</v>
      </c>
      <c r="C10392" s="17" t="s">
        <v>170</v>
      </c>
      <c r="D10392" s="13" t="s">
        <v>118</v>
      </c>
      <c r="E10392" s="13" t="s">
        <v>18643</v>
      </c>
      <c r="F10392" s="43">
        <v>1502.31</v>
      </c>
    </row>
    <row r="10393" spans="2:6" x14ac:dyDescent="0.25">
      <c r="B10393" s="13" t="s">
        <v>18644</v>
      </c>
      <c r="C10393" s="17" t="s">
        <v>170</v>
      </c>
      <c r="D10393" s="13" t="s">
        <v>118</v>
      </c>
      <c r="E10393" s="13" t="s">
        <v>18645</v>
      </c>
      <c r="F10393" s="43">
        <v>1502.31</v>
      </c>
    </row>
    <row r="10394" spans="2:6" x14ac:dyDescent="0.25">
      <c r="B10394" s="13" t="s">
        <v>18646</v>
      </c>
      <c r="C10394" s="17" t="s">
        <v>170</v>
      </c>
      <c r="D10394" s="13" t="s">
        <v>118</v>
      </c>
      <c r="E10394" s="13" t="s">
        <v>18647</v>
      </c>
      <c r="F10394" s="43">
        <v>1564.74</v>
      </c>
    </row>
    <row r="10395" spans="2:6" x14ac:dyDescent="0.25">
      <c r="B10395" s="13" t="s">
        <v>18648</v>
      </c>
      <c r="C10395" s="17" t="s">
        <v>170</v>
      </c>
      <c r="D10395" s="13" t="s">
        <v>118</v>
      </c>
      <c r="E10395" s="13" t="s">
        <v>18649</v>
      </c>
      <c r="F10395" s="43">
        <v>1564.74</v>
      </c>
    </row>
    <row r="10396" spans="2:6" x14ac:dyDescent="0.25">
      <c r="B10396" s="13" t="s">
        <v>18650</v>
      </c>
      <c r="C10396" s="17" t="s">
        <v>170</v>
      </c>
      <c r="D10396" s="13" t="s">
        <v>118</v>
      </c>
      <c r="E10396" s="13" t="s">
        <v>18651</v>
      </c>
      <c r="F10396" s="43">
        <v>1547.75</v>
      </c>
    </row>
    <row r="10397" spans="2:6" x14ac:dyDescent="0.25">
      <c r="B10397" s="13" t="s">
        <v>18652</v>
      </c>
      <c r="C10397" s="17" t="s">
        <v>170</v>
      </c>
      <c r="D10397" s="13" t="s">
        <v>118</v>
      </c>
      <c r="E10397" s="13" t="s">
        <v>18653</v>
      </c>
      <c r="F10397" s="43">
        <v>1547.75</v>
      </c>
    </row>
    <row r="10398" spans="2:6" x14ac:dyDescent="0.25">
      <c r="B10398" s="13" t="s">
        <v>18654</v>
      </c>
      <c r="C10398" s="17" t="s">
        <v>170</v>
      </c>
      <c r="D10398" s="13" t="s">
        <v>118</v>
      </c>
      <c r="E10398" s="13" t="s">
        <v>18655</v>
      </c>
      <c r="F10398" s="43">
        <v>688.5</v>
      </c>
    </row>
    <row r="10399" spans="2:6" x14ac:dyDescent="0.25">
      <c r="B10399" s="13" t="s">
        <v>18656</v>
      </c>
      <c r="C10399" s="17" t="s">
        <v>170</v>
      </c>
      <c r="D10399" s="13" t="s">
        <v>118</v>
      </c>
      <c r="E10399" s="13" t="s">
        <v>18657</v>
      </c>
      <c r="F10399" s="43">
        <v>688.5</v>
      </c>
    </row>
    <row r="10400" spans="2:6" x14ac:dyDescent="0.25">
      <c r="B10400" s="13" t="s">
        <v>18658</v>
      </c>
      <c r="C10400" s="17" t="s">
        <v>170</v>
      </c>
      <c r="D10400" s="13" t="s">
        <v>118</v>
      </c>
      <c r="E10400" s="13" t="s">
        <v>18659</v>
      </c>
      <c r="F10400" s="43">
        <v>1230.93</v>
      </c>
    </row>
    <row r="10401" spans="2:6" x14ac:dyDescent="0.25">
      <c r="B10401" s="13" t="s">
        <v>18660</v>
      </c>
      <c r="C10401" s="17" t="s">
        <v>170</v>
      </c>
      <c r="D10401" s="13" t="s">
        <v>118</v>
      </c>
      <c r="E10401" s="13" t="s">
        <v>18661</v>
      </c>
      <c r="F10401" s="43">
        <v>1230.93</v>
      </c>
    </row>
    <row r="10402" spans="2:6" x14ac:dyDescent="0.25">
      <c r="B10402" s="13" t="s">
        <v>18662</v>
      </c>
      <c r="C10402" s="17" t="s">
        <v>170</v>
      </c>
      <c r="D10402" s="13" t="s">
        <v>118</v>
      </c>
      <c r="E10402" s="13" t="s">
        <v>18663</v>
      </c>
      <c r="F10402" s="43">
        <v>1700.37</v>
      </c>
    </row>
    <row r="10403" spans="2:6" x14ac:dyDescent="0.25">
      <c r="B10403" s="13" t="s">
        <v>18664</v>
      </c>
      <c r="C10403" s="17" t="s">
        <v>170</v>
      </c>
      <c r="D10403" s="13" t="s">
        <v>118</v>
      </c>
      <c r="E10403" s="13" t="s">
        <v>18665</v>
      </c>
      <c r="F10403" s="43">
        <v>1700.37</v>
      </c>
    </row>
    <row r="10404" spans="2:6" x14ac:dyDescent="0.25">
      <c r="B10404" s="13" t="s">
        <v>18666</v>
      </c>
      <c r="C10404" s="17" t="s">
        <v>170</v>
      </c>
      <c r="D10404" s="13" t="s">
        <v>118</v>
      </c>
      <c r="E10404" s="13" t="s">
        <v>18667</v>
      </c>
      <c r="F10404" s="43">
        <v>1856.89</v>
      </c>
    </row>
    <row r="10405" spans="2:6" x14ac:dyDescent="0.25">
      <c r="B10405" s="13" t="s">
        <v>18668</v>
      </c>
      <c r="C10405" s="17" t="s">
        <v>170</v>
      </c>
      <c r="D10405" s="13" t="s">
        <v>118</v>
      </c>
      <c r="E10405" s="13" t="s">
        <v>18669</v>
      </c>
      <c r="F10405" s="43">
        <v>1856.89</v>
      </c>
    </row>
    <row r="10406" spans="2:6" x14ac:dyDescent="0.25">
      <c r="B10406" s="13" t="s">
        <v>18670</v>
      </c>
      <c r="C10406" s="17" t="s">
        <v>170</v>
      </c>
      <c r="D10406" s="13" t="s">
        <v>118</v>
      </c>
      <c r="E10406" s="13" t="s">
        <v>18671</v>
      </c>
      <c r="F10406" s="43">
        <v>806.93</v>
      </c>
    </row>
    <row r="10407" spans="2:6" x14ac:dyDescent="0.25">
      <c r="B10407" s="13" t="s">
        <v>18672</v>
      </c>
      <c r="C10407" s="17" t="s">
        <v>170</v>
      </c>
      <c r="D10407" s="13" t="s">
        <v>118</v>
      </c>
      <c r="E10407" s="13" t="s">
        <v>18673</v>
      </c>
      <c r="F10407" s="43">
        <v>806.93</v>
      </c>
    </row>
    <row r="10408" spans="2:6" x14ac:dyDescent="0.25">
      <c r="B10408" s="13" t="s">
        <v>18674</v>
      </c>
      <c r="C10408" s="17" t="s">
        <v>170</v>
      </c>
      <c r="D10408" s="13" t="s">
        <v>118</v>
      </c>
      <c r="E10408" s="13" t="s">
        <v>18675</v>
      </c>
      <c r="F10408" s="43">
        <v>1414.18</v>
      </c>
    </row>
    <row r="10409" spans="2:6" x14ac:dyDescent="0.25">
      <c r="B10409" s="13" t="s">
        <v>18676</v>
      </c>
      <c r="C10409" s="17" t="s">
        <v>170</v>
      </c>
      <c r="D10409" s="13" t="s">
        <v>118</v>
      </c>
      <c r="E10409" s="13" t="s">
        <v>18677</v>
      </c>
      <c r="F10409" s="43">
        <v>1414.18</v>
      </c>
    </row>
    <row r="10410" spans="2:6" x14ac:dyDescent="0.25">
      <c r="B10410" s="13" t="s">
        <v>18678</v>
      </c>
      <c r="C10410" s="17" t="s">
        <v>170</v>
      </c>
      <c r="D10410" s="13" t="s">
        <v>118</v>
      </c>
      <c r="E10410" s="13" t="s">
        <v>18679</v>
      </c>
      <c r="F10410" s="43">
        <v>1717.12</v>
      </c>
    </row>
    <row r="10411" spans="2:6" x14ac:dyDescent="0.25">
      <c r="B10411" s="13" t="s">
        <v>18680</v>
      </c>
      <c r="C10411" s="17" t="s">
        <v>170</v>
      </c>
      <c r="D10411" s="13" t="s">
        <v>118</v>
      </c>
      <c r="E10411" s="13" t="s">
        <v>18681</v>
      </c>
      <c r="F10411" s="43">
        <v>1717.12</v>
      </c>
    </row>
    <row r="10412" spans="2:6" x14ac:dyDescent="0.25">
      <c r="B10412" s="13" t="s">
        <v>18682</v>
      </c>
      <c r="C10412" s="17" t="s">
        <v>170</v>
      </c>
      <c r="D10412" s="13" t="s">
        <v>118</v>
      </c>
      <c r="E10412" s="13" t="s">
        <v>18683</v>
      </c>
      <c r="F10412" s="43">
        <v>2782.46</v>
      </c>
    </row>
    <row r="10413" spans="2:6" x14ac:dyDescent="0.25">
      <c r="B10413" s="13" t="s">
        <v>18684</v>
      </c>
      <c r="C10413" s="17" t="s">
        <v>170</v>
      </c>
      <c r="D10413" s="13" t="s">
        <v>118</v>
      </c>
      <c r="E10413" s="13" t="s">
        <v>18685</v>
      </c>
      <c r="F10413" s="43">
        <v>2782.46</v>
      </c>
    </row>
    <row r="10414" spans="2:6" x14ac:dyDescent="0.25">
      <c r="B10414" s="13" t="s">
        <v>18686</v>
      </c>
      <c r="C10414" s="17" t="s">
        <v>170</v>
      </c>
      <c r="D10414" s="13" t="s">
        <v>118</v>
      </c>
      <c r="E10414" s="13" t="s">
        <v>18687</v>
      </c>
      <c r="F10414" s="43">
        <v>813.7</v>
      </c>
    </row>
    <row r="10415" spans="2:6" x14ac:dyDescent="0.25">
      <c r="B10415" s="13" t="s">
        <v>18688</v>
      </c>
      <c r="C10415" s="17" t="s">
        <v>170</v>
      </c>
      <c r="D10415" s="13" t="s">
        <v>118</v>
      </c>
      <c r="E10415" s="13" t="s">
        <v>18689</v>
      </c>
      <c r="F10415" s="43">
        <v>813.7</v>
      </c>
    </row>
    <row r="10416" spans="2:6" x14ac:dyDescent="0.25">
      <c r="B10416" s="13" t="s">
        <v>18690</v>
      </c>
      <c r="C10416" s="17" t="s">
        <v>170</v>
      </c>
      <c r="D10416" s="13" t="s">
        <v>118</v>
      </c>
      <c r="E10416" s="13" t="s">
        <v>18691</v>
      </c>
      <c r="F10416" s="43">
        <v>1564.74</v>
      </c>
    </row>
    <row r="10417" spans="2:6" x14ac:dyDescent="0.25">
      <c r="B10417" s="13" t="s">
        <v>18692</v>
      </c>
      <c r="C10417" s="17" t="s">
        <v>170</v>
      </c>
      <c r="D10417" s="13" t="s">
        <v>118</v>
      </c>
      <c r="E10417" s="13" t="s">
        <v>18693</v>
      </c>
      <c r="F10417" s="43">
        <v>1564.74</v>
      </c>
    </row>
    <row r="10418" spans="2:6" x14ac:dyDescent="0.25">
      <c r="B10418" s="13" t="s">
        <v>18694</v>
      </c>
      <c r="C10418" s="17" t="s">
        <v>170</v>
      </c>
      <c r="D10418" s="13" t="s">
        <v>118</v>
      </c>
      <c r="E10418" s="13" t="s">
        <v>18695</v>
      </c>
      <c r="F10418" s="43">
        <v>1856.89</v>
      </c>
    </row>
    <row r="10419" spans="2:6" x14ac:dyDescent="0.25">
      <c r="B10419" s="13" t="s">
        <v>18696</v>
      </c>
      <c r="C10419" s="17" t="s">
        <v>170</v>
      </c>
      <c r="D10419" s="13" t="s">
        <v>118</v>
      </c>
      <c r="E10419" s="13" t="s">
        <v>18697</v>
      </c>
      <c r="F10419" s="43">
        <v>1856.89</v>
      </c>
    </row>
    <row r="10420" spans="2:6" x14ac:dyDescent="0.25">
      <c r="B10420" s="13" t="s">
        <v>18698</v>
      </c>
      <c r="C10420" s="17" t="s">
        <v>170</v>
      </c>
      <c r="D10420" s="13" t="s">
        <v>118</v>
      </c>
      <c r="E10420" s="13" t="s">
        <v>18699</v>
      </c>
      <c r="F10420" s="43">
        <v>1961.2</v>
      </c>
    </row>
    <row r="10421" spans="2:6" x14ac:dyDescent="0.25">
      <c r="B10421" s="13" t="s">
        <v>18700</v>
      </c>
      <c r="C10421" s="17" t="s">
        <v>170</v>
      </c>
      <c r="D10421" s="13" t="s">
        <v>118</v>
      </c>
      <c r="E10421" s="13" t="s">
        <v>18701</v>
      </c>
      <c r="F10421" s="43">
        <v>1961.2</v>
      </c>
    </row>
    <row r="10422" spans="2:6" x14ac:dyDescent="0.25">
      <c r="B10422" s="13" t="s">
        <v>18702</v>
      </c>
      <c r="C10422" s="17" t="s">
        <v>170</v>
      </c>
      <c r="D10422" s="13" t="s">
        <v>118</v>
      </c>
      <c r="E10422" s="13" t="s">
        <v>18703</v>
      </c>
      <c r="F10422" s="43">
        <v>912.96</v>
      </c>
    </row>
    <row r="10423" spans="2:6" x14ac:dyDescent="0.25">
      <c r="B10423" s="13" t="s">
        <v>18704</v>
      </c>
      <c r="C10423" s="17" t="s">
        <v>170</v>
      </c>
      <c r="D10423" s="13" t="s">
        <v>118</v>
      </c>
      <c r="E10423" s="13" t="s">
        <v>18705</v>
      </c>
      <c r="F10423" s="43">
        <v>912.96</v>
      </c>
    </row>
    <row r="10424" spans="2:6" x14ac:dyDescent="0.25">
      <c r="B10424" s="13" t="s">
        <v>18706</v>
      </c>
      <c r="C10424" s="17" t="s">
        <v>170</v>
      </c>
      <c r="D10424" s="13" t="s">
        <v>118</v>
      </c>
      <c r="E10424" s="13" t="s">
        <v>18707</v>
      </c>
      <c r="F10424" s="43">
        <v>1524.34</v>
      </c>
    </row>
    <row r="10425" spans="2:6" x14ac:dyDescent="0.25">
      <c r="B10425" s="13" t="s">
        <v>18708</v>
      </c>
      <c r="C10425" s="17" t="s">
        <v>170</v>
      </c>
      <c r="D10425" s="13" t="s">
        <v>118</v>
      </c>
      <c r="E10425" s="13" t="s">
        <v>18709</v>
      </c>
      <c r="F10425" s="43">
        <v>1524.34</v>
      </c>
    </row>
    <row r="10426" spans="2:6" x14ac:dyDescent="0.25">
      <c r="B10426" s="13" t="s">
        <v>18710</v>
      </c>
      <c r="C10426" s="17" t="s">
        <v>170</v>
      </c>
      <c r="D10426" s="13" t="s">
        <v>118</v>
      </c>
      <c r="E10426" s="13" t="s">
        <v>18711</v>
      </c>
      <c r="F10426" s="43">
        <v>1960.85</v>
      </c>
    </row>
    <row r="10427" spans="2:6" x14ac:dyDescent="0.25">
      <c r="B10427" s="13" t="s">
        <v>18712</v>
      </c>
      <c r="C10427" s="17" t="s">
        <v>170</v>
      </c>
      <c r="D10427" s="13" t="s">
        <v>118</v>
      </c>
      <c r="E10427" s="13" t="s">
        <v>18713</v>
      </c>
      <c r="F10427" s="43">
        <v>1960.85</v>
      </c>
    </row>
    <row r="10428" spans="2:6" x14ac:dyDescent="0.25">
      <c r="B10428" s="13" t="s">
        <v>18714</v>
      </c>
      <c r="C10428" s="17" t="s">
        <v>170</v>
      </c>
      <c r="D10428" s="13" t="s">
        <v>118</v>
      </c>
      <c r="E10428" s="13" t="s">
        <v>18715</v>
      </c>
      <c r="F10428" s="43">
        <v>2188.06</v>
      </c>
    </row>
    <row r="10429" spans="2:6" x14ac:dyDescent="0.25">
      <c r="B10429" s="13" t="s">
        <v>18716</v>
      </c>
      <c r="C10429" s="17" t="s">
        <v>170</v>
      </c>
      <c r="D10429" s="13" t="s">
        <v>118</v>
      </c>
      <c r="E10429" s="13" t="s">
        <v>18717</v>
      </c>
      <c r="F10429" s="43">
        <v>2188.06</v>
      </c>
    </row>
    <row r="10430" spans="2:6" x14ac:dyDescent="0.25">
      <c r="B10430" s="13" t="s">
        <v>18718</v>
      </c>
      <c r="C10430" s="17" t="s">
        <v>170</v>
      </c>
      <c r="D10430" s="13" t="s">
        <v>118</v>
      </c>
      <c r="E10430" s="13" t="s">
        <v>18719</v>
      </c>
      <c r="F10430" s="43">
        <v>824.14</v>
      </c>
    </row>
    <row r="10431" spans="2:6" x14ac:dyDescent="0.25">
      <c r="B10431" s="13" t="s">
        <v>18720</v>
      </c>
      <c r="C10431" s="17" t="s">
        <v>170</v>
      </c>
      <c r="D10431" s="13" t="s">
        <v>118</v>
      </c>
      <c r="E10431" s="13" t="s">
        <v>18721</v>
      </c>
      <c r="F10431" s="43">
        <v>824.14</v>
      </c>
    </row>
    <row r="10432" spans="2:6" x14ac:dyDescent="0.25">
      <c r="B10432" s="13" t="s">
        <v>18722</v>
      </c>
      <c r="C10432" s="17" t="s">
        <v>170</v>
      </c>
      <c r="D10432" s="13" t="s">
        <v>118</v>
      </c>
      <c r="E10432" s="13" t="s">
        <v>18723</v>
      </c>
      <c r="F10432" s="43">
        <v>1366.56</v>
      </c>
    </row>
    <row r="10433" spans="2:6" x14ac:dyDescent="0.25">
      <c r="B10433" s="13" t="s">
        <v>18724</v>
      </c>
      <c r="C10433" s="17" t="s">
        <v>170</v>
      </c>
      <c r="D10433" s="13" t="s">
        <v>118</v>
      </c>
      <c r="E10433" s="13" t="s">
        <v>18725</v>
      </c>
      <c r="F10433" s="43">
        <v>1366.56</v>
      </c>
    </row>
    <row r="10434" spans="2:6" x14ac:dyDescent="0.25">
      <c r="B10434" s="13" t="s">
        <v>18726</v>
      </c>
      <c r="C10434" s="17" t="s">
        <v>170</v>
      </c>
      <c r="D10434" s="13" t="s">
        <v>118</v>
      </c>
      <c r="E10434" s="13" t="s">
        <v>18727</v>
      </c>
      <c r="F10434" s="43">
        <v>2295</v>
      </c>
    </row>
    <row r="10435" spans="2:6" x14ac:dyDescent="0.25">
      <c r="B10435" s="13" t="s">
        <v>18728</v>
      </c>
      <c r="C10435" s="17" t="s">
        <v>170</v>
      </c>
      <c r="D10435" s="13" t="s">
        <v>118</v>
      </c>
      <c r="E10435" s="13" t="s">
        <v>18729</v>
      </c>
      <c r="F10435" s="43">
        <v>2295</v>
      </c>
    </row>
    <row r="10436" spans="2:6" x14ac:dyDescent="0.25">
      <c r="B10436" s="13" t="s">
        <v>18730</v>
      </c>
      <c r="C10436" s="17" t="s">
        <v>170</v>
      </c>
      <c r="D10436" s="13" t="s">
        <v>118</v>
      </c>
      <c r="E10436" s="13" t="s">
        <v>18731</v>
      </c>
      <c r="F10436" s="43">
        <v>2503.62</v>
      </c>
    </row>
    <row r="10437" spans="2:6" x14ac:dyDescent="0.25">
      <c r="B10437" s="13" t="s">
        <v>18732</v>
      </c>
      <c r="C10437" s="17" t="s">
        <v>170</v>
      </c>
      <c r="D10437" s="13" t="s">
        <v>118</v>
      </c>
      <c r="E10437" s="13" t="s">
        <v>18733</v>
      </c>
      <c r="F10437" s="43">
        <v>2503.62</v>
      </c>
    </row>
    <row r="10438" spans="2:6" x14ac:dyDescent="0.25">
      <c r="B10438" s="13" t="s">
        <v>18734</v>
      </c>
      <c r="C10438" s="17" t="s">
        <v>170</v>
      </c>
      <c r="D10438" s="13" t="s">
        <v>118</v>
      </c>
      <c r="E10438" s="13" t="s">
        <v>18735</v>
      </c>
      <c r="F10438" s="43">
        <v>897.81</v>
      </c>
    </row>
    <row r="10439" spans="2:6" x14ac:dyDescent="0.25">
      <c r="B10439" s="13" t="s">
        <v>18736</v>
      </c>
      <c r="C10439" s="17" t="s">
        <v>170</v>
      </c>
      <c r="D10439" s="13" t="s">
        <v>118</v>
      </c>
      <c r="E10439" s="13" t="s">
        <v>18737</v>
      </c>
      <c r="F10439" s="43">
        <v>897.81</v>
      </c>
    </row>
    <row r="10440" spans="2:6" x14ac:dyDescent="0.25">
      <c r="B10440" s="13" t="s">
        <v>18738</v>
      </c>
      <c r="C10440" s="17" t="s">
        <v>170</v>
      </c>
      <c r="D10440" s="13" t="s">
        <v>118</v>
      </c>
      <c r="E10440" s="13" t="s">
        <v>18739</v>
      </c>
      <c r="F10440" s="43">
        <v>1509.2</v>
      </c>
    </row>
    <row r="10441" spans="2:6" x14ac:dyDescent="0.25">
      <c r="B10441" s="13" t="s">
        <v>18740</v>
      </c>
      <c r="C10441" s="17" t="s">
        <v>170</v>
      </c>
      <c r="D10441" s="13" t="s">
        <v>118</v>
      </c>
      <c r="E10441" s="13" t="s">
        <v>18741</v>
      </c>
      <c r="F10441" s="43">
        <v>1509.2</v>
      </c>
    </row>
    <row r="10442" spans="2:6" x14ac:dyDescent="0.25">
      <c r="B10442" s="13" t="s">
        <v>18742</v>
      </c>
      <c r="C10442" s="17" t="s">
        <v>170</v>
      </c>
      <c r="D10442" s="13" t="s">
        <v>118</v>
      </c>
      <c r="E10442" s="13" t="s">
        <v>18743</v>
      </c>
      <c r="F10442" s="43">
        <v>2020.06</v>
      </c>
    </row>
    <row r="10443" spans="2:6" x14ac:dyDescent="0.25">
      <c r="B10443" s="13" t="s">
        <v>18744</v>
      </c>
      <c r="C10443" s="17" t="s">
        <v>170</v>
      </c>
      <c r="D10443" s="13" t="s">
        <v>118</v>
      </c>
      <c r="E10443" s="13" t="s">
        <v>18745</v>
      </c>
      <c r="F10443" s="43">
        <v>2020.06</v>
      </c>
    </row>
    <row r="10444" spans="2:6" x14ac:dyDescent="0.25">
      <c r="B10444" s="13" t="s">
        <v>18746</v>
      </c>
      <c r="C10444" s="17" t="s">
        <v>170</v>
      </c>
      <c r="D10444" s="13" t="s">
        <v>118</v>
      </c>
      <c r="E10444" s="13" t="s">
        <v>18747</v>
      </c>
      <c r="F10444" s="43">
        <v>2266.5500000000002</v>
      </c>
    </row>
    <row r="10445" spans="2:6" x14ac:dyDescent="0.25">
      <c r="B10445" s="13" t="s">
        <v>18748</v>
      </c>
      <c r="C10445" s="17" t="s">
        <v>170</v>
      </c>
      <c r="D10445" s="13" t="s">
        <v>118</v>
      </c>
      <c r="E10445" s="13" t="s">
        <v>18749</v>
      </c>
      <c r="F10445" s="43">
        <v>2266.5500000000002</v>
      </c>
    </row>
    <row r="10446" spans="2:6" x14ac:dyDescent="0.25">
      <c r="B10446" s="13" t="s">
        <v>18750</v>
      </c>
      <c r="C10446" s="17" t="s">
        <v>170</v>
      </c>
      <c r="D10446" s="13" t="s">
        <v>118</v>
      </c>
      <c r="E10446" s="13" t="s">
        <v>18751</v>
      </c>
      <c r="F10446" s="43">
        <v>1084.97</v>
      </c>
    </row>
    <row r="10447" spans="2:6" x14ac:dyDescent="0.25">
      <c r="B10447" s="13" t="s">
        <v>18752</v>
      </c>
      <c r="C10447" s="17" t="s">
        <v>170</v>
      </c>
      <c r="D10447" s="13" t="s">
        <v>118</v>
      </c>
      <c r="E10447" s="13" t="s">
        <v>18753</v>
      </c>
      <c r="F10447" s="43">
        <v>1084.97</v>
      </c>
    </row>
    <row r="10448" spans="2:6" x14ac:dyDescent="0.25">
      <c r="B10448" s="13" t="s">
        <v>18754</v>
      </c>
      <c r="C10448" s="17" t="s">
        <v>170</v>
      </c>
      <c r="D10448" s="13" t="s">
        <v>118</v>
      </c>
      <c r="E10448" s="13" t="s">
        <v>18755</v>
      </c>
      <c r="F10448" s="43">
        <v>1627.39</v>
      </c>
    </row>
    <row r="10449" spans="2:6" x14ac:dyDescent="0.25">
      <c r="B10449" s="13" t="s">
        <v>18756</v>
      </c>
      <c r="C10449" s="17" t="s">
        <v>170</v>
      </c>
      <c r="D10449" s="13" t="s">
        <v>118</v>
      </c>
      <c r="E10449" s="13" t="s">
        <v>18757</v>
      </c>
      <c r="F10449" s="43">
        <v>1627.39</v>
      </c>
    </row>
    <row r="10450" spans="2:6" x14ac:dyDescent="0.25">
      <c r="B10450" s="13" t="s">
        <v>18758</v>
      </c>
      <c r="C10450" s="17" t="s">
        <v>170</v>
      </c>
      <c r="D10450" s="13" t="s">
        <v>118</v>
      </c>
      <c r="E10450" s="13" t="s">
        <v>18759</v>
      </c>
      <c r="F10450" s="43">
        <v>2566.27</v>
      </c>
    </row>
    <row r="10451" spans="2:6" x14ac:dyDescent="0.25">
      <c r="B10451" s="13" t="s">
        <v>18760</v>
      </c>
      <c r="C10451" s="17" t="s">
        <v>170</v>
      </c>
      <c r="D10451" s="13" t="s">
        <v>118</v>
      </c>
      <c r="E10451" s="13" t="s">
        <v>18761</v>
      </c>
      <c r="F10451" s="43">
        <v>2566.27</v>
      </c>
    </row>
    <row r="10452" spans="2:6" x14ac:dyDescent="0.25">
      <c r="B10452" s="13" t="s">
        <v>18762</v>
      </c>
      <c r="C10452" s="17" t="s">
        <v>170</v>
      </c>
      <c r="D10452" s="13" t="s">
        <v>118</v>
      </c>
      <c r="E10452" s="13" t="s">
        <v>18763</v>
      </c>
      <c r="F10452" s="43">
        <v>2816.54</v>
      </c>
    </row>
    <row r="10453" spans="2:6" x14ac:dyDescent="0.25">
      <c r="B10453" s="13" t="s">
        <v>18764</v>
      </c>
      <c r="C10453" s="17" t="s">
        <v>170</v>
      </c>
      <c r="D10453" s="13" t="s">
        <v>118</v>
      </c>
      <c r="E10453" s="13" t="s">
        <v>18765</v>
      </c>
      <c r="F10453" s="43">
        <v>2816.54</v>
      </c>
    </row>
    <row r="10454" spans="2:6" x14ac:dyDescent="0.25">
      <c r="B10454" s="13" t="s">
        <v>18766</v>
      </c>
      <c r="C10454" s="17" t="s">
        <v>170</v>
      </c>
      <c r="D10454" s="13" t="s">
        <v>118</v>
      </c>
      <c r="E10454" s="13" t="s">
        <v>18767</v>
      </c>
      <c r="F10454" s="43">
        <v>951.51</v>
      </c>
    </row>
    <row r="10455" spans="2:6" x14ac:dyDescent="0.25">
      <c r="B10455" s="13" t="s">
        <v>18768</v>
      </c>
      <c r="C10455" s="17" t="s">
        <v>170</v>
      </c>
      <c r="D10455" s="13" t="s">
        <v>118</v>
      </c>
      <c r="E10455" s="13" t="s">
        <v>18769</v>
      </c>
      <c r="F10455" s="43">
        <v>951.51</v>
      </c>
    </row>
    <row r="10456" spans="2:6" x14ac:dyDescent="0.25">
      <c r="B10456" s="13" t="s">
        <v>18770</v>
      </c>
      <c r="C10456" s="17" t="s">
        <v>170</v>
      </c>
      <c r="D10456" s="13" t="s">
        <v>118</v>
      </c>
      <c r="E10456" s="13" t="s">
        <v>18771</v>
      </c>
      <c r="F10456" s="43">
        <v>1093.1099999999999</v>
      </c>
    </row>
    <row r="10457" spans="2:6" x14ac:dyDescent="0.25">
      <c r="B10457" s="13" t="s">
        <v>18772</v>
      </c>
      <c r="C10457" s="17" t="s">
        <v>170</v>
      </c>
      <c r="D10457" s="13" t="s">
        <v>118</v>
      </c>
      <c r="E10457" s="13" t="s">
        <v>18773</v>
      </c>
      <c r="F10457" s="43">
        <v>1562.9</v>
      </c>
    </row>
    <row r="10458" spans="2:6" x14ac:dyDescent="0.25">
      <c r="B10458" s="13" t="s">
        <v>18774</v>
      </c>
      <c r="C10458" s="17" t="s">
        <v>170</v>
      </c>
      <c r="D10458" s="13" t="s">
        <v>118</v>
      </c>
      <c r="E10458" s="13" t="s">
        <v>18775</v>
      </c>
      <c r="F10458" s="43">
        <v>1562.9</v>
      </c>
    </row>
    <row r="10459" spans="2:6" x14ac:dyDescent="0.25">
      <c r="B10459" s="13" t="s">
        <v>18776</v>
      </c>
      <c r="C10459" s="17" t="s">
        <v>170</v>
      </c>
      <c r="D10459" s="13" t="s">
        <v>118</v>
      </c>
      <c r="E10459" s="13" t="s">
        <v>18777</v>
      </c>
      <c r="F10459" s="43">
        <v>2073.77</v>
      </c>
    </row>
    <row r="10460" spans="2:6" x14ac:dyDescent="0.25">
      <c r="B10460" s="13" t="s">
        <v>18778</v>
      </c>
      <c r="C10460" s="17" t="s">
        <v>170</v>
      </c>
      <c r="D10460" s="13" t="s">
        <v>118</v>
      </c>
      <c r="E10460" s="13" t="s">
        <v>18779</v>
      </c>
      <c r="F10460" s="43">
        <v>2073.77</v>
      </c>
    </row>
    <row r="10461" spans="2:6" x14ac:dyDescent="0.25">
      <c r="B10461" s="13" t="s">
        <v>18780</v>
      </c>
      <c r="C10461" s="17" t="s">
        <v>170</v>
      </c>
      <c r="D10461" s="13" t="s">
        <v>118</v>
      </c>
      <c r="E10461" s="13" t="s">
        <v>18781</v>
      </c>
      <c r="F10461" s="43">
        <v>2320.25</v>
      </c>
    </row>
    <row r="10462" spans="2:6" x14ac:dyDescent="0.25">
      <c r="B10462" s="13" t="s">
        <v>18782</v>
      </c>
      <c r="C10462" s="17" t="s">
        <v>170</v>
      </c>
      <c r="D10462" s="13" t="s">
        <v>118</v>
      </c>
      <c r="E10462" s="13" t="s">
        <v>18783</v>
      </c>
      <c r="F10462" s="43">
        <v>2320.25</v>
      </c>
    </row>
    <row r="10463" spans="2:6" x14ac:dyDescent="0.25">
      <c r="B10463" s="13" t="s">
        <v>18784</v>
      </c>
      <c r="C10463" s="17" t="s">
        <v>170</v>
      </c>
      <c r="D10463" s="13" t="s">
        <v>118</v>
      </c>
      <c r="E10463" s="13" t="s">
        <v>18785</v>
      </c>
      <c r="F10463" s="43">
        <v>907.68</v>
      </c>
    </row>
    <row r="10464" spans="2:6" x14ac:dyDescent="0.25">
      <c r="B10464" s="13" t="s">
        <v>18786</v>
      </c>
      <c r="C10464" s="17" t="s">
        <v>170</v>
      </c>
      <c r="D10464" s="13" t="s">
        <v>118</v>
      </c>
      <c r="E10464" s="13" t="s">
        <v>18787</v>
      </c>
      <c r="F10464" s="43">
        <v>907.68</v>
      </c>
    </row>
    <row r="10465" spans="2:6" x14ac:dyDescent="0.25">
      <c r="B10465" s="13" t="s">
        <v>18788</v>
      </c>
      <c r="C10465" s="17" t="s">
        <v>170</v>
      </c>
      <c r="D10465" s="13" t="s">
        <v>118</v>
      </c>
      <c r="E10465" s="13" t="s">
        <v>18789</v>
      </c>
      <c r="F10465" s="43">
        <v>1449.99</v>
      </c>
    </row>
    <row r="10466" spans="2:6" x14ac:dyDescent="0.25">
      <c r="B10466" s="13" t="s">
        <v>18790</v>
      </c>
      <c r="C10466" s="17" t="s">
        <v>170</v>
      </c>
      <c r="D10466" s="13" t="s">
        <v>118</v>
      </c>
      <c r="E10466" s="13" t="s">
        <v>18791</v>
      </c>
      <c r="F10466" s="43">
        <v>1449.99</v>
      </c>
    </row>
    <row r="10467" spans="2:6" x14ac:dyDescent="0.25">
      <c r="B10467" s="13" t="s">
        <v>18792</v>
      </c>
      <c r="C10467" s="17" t="s">
        <v>170</v>
      </c>
      <c r="D10467" s="13" t="s">
        <v>118</v>
      </c>
      <c r="E10467" s="13" t="s">
        <v>18793</v>
      </c>
      <c r="F10467" s="43">
        <v>3025.27</v>
      </c>
    </row>
    <row r="10468" spans="2:6" x14ac:dyDescent="0.25">
      <c r="B10468" s="13" t="s">
        <v>18794</v>
      </c>
      <c r="C10468" s="17" t="s">
        <v>170</v>
      </c>
      <c r="D10468" s="13" t="s">
        <v>118</v>
      </c>
      <c r="E10468" s="13" t="s">
        <v>18795</v>
      </c>
      <c r="F10468" s="43">
        <v>3025.27</v>
      </c>
    </row>
    <row r="10469" spans="2:6" x14ac:dyDescent="0.25">
      <c r="B10469" s="13" t="s">
        <v>18796</v>
      </c>
      <c r="C10469" s="17" t="s">
        <v>170</v>
      </c>
      <c r="D10469" s="13" t="s">
        <v>118</v>
      </c>
      <c r="E10469" s="13" t="s">
        <v>18797</v>
      </c>
      <c r="F10469" s="43">
        <v>3338.08</v>
      </c>
    </row>
    <row r="10470" spans="2:6" x14ac:dyDescent="0.25">
      <c r="B10470" s="13" t="s">
        <v>18798</v>
      </c>
      <c r="C10470" s="17" t="s">
        <v>170</v>
      </c>
      <c r="D10470" s="13" t="s">
        <v>118</v>
      </c>
      <c r="E10470" s="13" t="s">
        <v>18799</v>
      </c>
      <c r="F10470" s="43">
        <v>3338.08</v>
      </c>
    </row>
    <row r="10471" spans="2:6" x14ac:dyDescent="0.25">
      <c r="B10471" s="13" t="s">
        <v>18800</v>
      </c>
      <c r="C10471" s="17" t="s">
        <v>170</v>
      </c>
      <c r="D10471" s="13" t="s">
        <v>118</v>
      </c>
      <c r="E10471" s="13" t="s">
        <v>18801</v>
      </c>
      <c r="F10471" s="43">
        <v>929.48</v>
      </c>
    </row>
    <row r="10472" spans="2:6" x14ac:dyDescent="0.25">
      <c r="B10472" s="13" t="s">
        <v>18802</v>
      </c>
      <c r="C10472" s="17" t="s">
        <v>170</v>
      </c>
      <c r="D10472" s="13" t="s">
        <v>118</v>
      </c>
      <c r="E10472" s="13" t="s">
        <v>18803</v>
      </c>
      <c r="F10472" s="43">
        <v>929.48</v>
      </c>
    </row>
    <row r="10473" spans="2:6" x14ac:dyDescent="0.25">
      <c r="B10473" s="13" t="s">
        <v>18804</v>
      </c>
      <c r="C10473" s="17" t="s">
        <v>170</v>
      </c>
      <c r="D10473" s="13" t="s">
        <v>118</v>
      </c>
      <c r="E10473" s="13" t="s">
        <v>18805</v>
      </c>
      <c r="F10473" s="43">
        <v>1540.87</v>
      </c>
    </row>
    <row r="10474" spans="2:6" x14ac:dyDescent="0.25">
      <c r="B10474" s="13" t="s">
        <v>18806</v>
      </c>
      <c r="C10474" s="17" t="s">
        <v>170</v>
      </c>
      <c r="D10474" s="13" t="s">
        <v>118</v>
      </c>
      <c r="E10474" s="13" t="s">
        <v>18807</v>
      </c>
      <c r="F10474" s="43">
        <v>1540.87</v>
      </c>
    </row>
    <row r="10475" spans="2:6" x14ac:dyDescent="0.25">
      <c r="B10475" s="13" t="s">
        <v>18808</v>
      </c>
      <c r="C10475" s="17" t="s">
        <v>170</v>
      </c>
      <c r="D10475" s="13" t="s">
        <v>118</v>
      </c>
      <c r="E10475" s="13" t="s">
        <v>18809</v>
      </c>
      <c r="F10475" s="43">
        <v>2591.52</v>
      </c>
    </row>
    <row r="10476" spans="2:6" x14ac:dyDescent="0.25">
      <c r="B10476" s="13" t="s">
        <v>18810</v>
      </c>
      <c r="C10476" s="17" t="s">
        <v>170</v>
      </c>
      <c r="D10476" s="13" t="s">
        <v>118</v>
      </c>
      <c r="E10476" s="13" t="s">
        <v>18811</v>
      </c>
      <c r="F10476" s="43">
        <v>2591.52</v>
      </c>
    </row>
    <row r="10477" spans="2:6" x14ac:dyDescent="0.25">
      <c r="B10477" s="13" t="s">
        <v>18812</v>
      </c>
      <c r="C10477" s="17" t="s">
        <v>170</v>
      </c>
      <c r="D10477" s="13" t="s">
        <v>118</v>
      </c>
      <c r="E10477" s="13" t="s">
        <v>18813</v>
      </c>
      <c r="F10477" s="43">
        <v>2979.83</v>
      </c>
    </row>
    <row r="10478" spans="2:6" x14ac:dyDescent="0.25">
      <c r="B10478" s="13" t="s">
        <v>18814</v>
      </c>
      <c r="C10478" s="17" t="s">
        <v>170</v>
      </c>
      <c r="D10478" s="13" t="s">
        <v>118</v>
      </c>
      <c r="E10478" s="13" t="s">
        <v>18815</v>
      </c>
      <c r="F10478" s="43">
        <v>2979.83</v>
      </c>
    </row>
    <row r="10479" spans="2:6" x14ac:dyDescent="0.25">
      <c r="B10479" s="13" t="s">
        <v>18816</v>
      </c>
      <c r="C10479" s="17" t="s">
        <v>170</v>
      </c>
      <c r="D10479" s="13" t="s">
        <v>118</v>
      </c>
      <c r="E10479" s="13" t="s">
        <v>18817</v>
      </c>
      <c r="F10479" s="43">
        <v>1147.5</v>
      </c>
    </row>
    <row r="10480" spans="2:6" x14ac:dyDescent="0.25">
      <c r="B10480" s="13" t="s">
        <v>18818</v>
      </c>
      <c r="C10480" s="17" t="s">
        <v>170</v>
      </c>
      <c r="D10480" s="13" t="s">
        <v>118</v>
      </c>
      <c r="E10480" s="13" t="s">
        <v>18819</v>
      </c>
      <c r="F10480" s="43">
        <v>1147.5</v>
      </c>
    </row>
    <row r="10481" spans="2:6" x14ac:dyDescent="0.25">
      <c r="B10481" s="13" t="s">
        <v>18820</v>
      </c>
      <c r="C10481" s="17" t="s">
        <v>170</v>
      </c>
      <c r="D10481" s="13" t="s">
        <v>118</v>
      </c>
      <c r="E10481" s="13" t="s">
        <v>18821</v>
      </c>
      <c r="F10481" s="43">
        <v>1689.93</v>
      </c>
    </row>
    <row r="10482" spans="2:6" x14ac:dyDescent="0.25">
      <c r="B10482" s="13" t="s">
        <v>18822</v>
      </c>
      <c r="C10482" s="17" t="s">
        <v>170</v>
      </c>
      <c r="D10482" s="13" t="s">
        <v>118</v>
      </c>
      <c r="E10482" s="13" t="s">
        <v>18823</v>
      </c>
      <c r="F10482" s="43">
        <v>1689.93</v>
      </c>
    </row>
    <row r="10483" spans="2:6" x14ac:dyDescent="0.25">
      <c r="B10483" s="13" t="s">
        <v>18824</v>
      </c>
      <c r="C10483" s="17" t="s">
        <v>170</v>
      </c>
      <c r="D10483" s="13" t="s">
        <v>118</v>
      </c>
      <c r="E10483" s="13" t="s">
        <v>18825</v>
      </c>
      <c r="F10483" s="43">
        <v>3254.77</v>
      </c>
    </row>
    <row r="10484" spans="2:6" x14ac:dyDescent="0.25">
      <c r="B10484" s="13" t="s">
        <v>18826</v>
      </c>
      <c r="C10484" s="17" t="s">
        <v>170</v>
      </c>
      <c r="D10484" s="13" t="s">
        <v>118</v>
      </c>
      <c r="E10484" s="13" t="s">
        <v>18827</v>
      </c>
      <c r="F10484" s="43">
        <v>3254.77</v>
      </c>
    </row>
    <row r="10485" spans="2:6" x14ac:dyDescent="0.25">
      <c r="B10485" s="13" t="s">
        <v>18828</v>
      </c>
      <c r="C10485" s="17" t="s">
        <v>170</v>
      </c>
      <c r="D10485" s="13" t="s">
        <v>118</v>
      </c>
      <c r="E10485" s="13" t="s">
        <v>18829</v>
      </c>
      <c r="F10485" s="43">
        <v>3546.93</v>
      </c>
    </row>
    <row r="10486" spans="2:6" x14ac:dyDescent="0.25">
      <c r="B10486" s="13" t="s">
        <v>18830</v>
      </c>
      <c r="C10486" s="17" t="s">
        <v>170</v>
      </c>
      <c r="D10486" s="13" t="s">
        <v>118</v>
      </c>
      <c r="E10486" s="13" t="s">
        <v>18831</v>
      </c>
      <c r="F10486" s="43">
        <v>3546.93</v>
      </c>
    </row>
    <row r="10487" spans="2:6" x14ac:dyDescent="0.25">
      <c r="B10487" s="13" t="s">
        <v>18832</v>
      </c>
      <c r="C10487" s="17" t="s">
        <v>170</v>
      </c>
      <c r="D10487" s="13" t="s">
        <v>118</v>
      </c>
      <c r="E10487" s="13" t="s">
        <v>18833</v>
      </c>
      <c r="F10487" s="43">
        <v>974.92</v>
      </c>
    </row>
    <row r="10488" spans="2:6" x14ac:dyDescent="0.25">
      <c r="B10488" s="13" t="s">
        <v>18834</v>
      </c>
      <c r="C10488" s="17" t="s">
        <v>170</v>
      </c>
      <c r="D10488" s="13" t="s">
        <v>118</v>
      </c>
      <c r="E10488" s="13" t="s">
        <v>18835</v>
      </c>
      <c r="F10488" s="43">
        <v>974.92</v>
      </c>
    </row>
    <row r="10489" spans="2:6" x14ac:dyDescent="0.25">
      <c r="B10489" s="13" t="s">
        <v>18836</v>
      </c>
      <c r="C10489" s="17" t="s">
        <v>170</v>
      </c>
      <c r="D10489" s="13" t="s">
        <v>118</v>
      </c>
      <c r="E10489" s="13" t="s">
        <v>18837</v>
      </c>
      <c r="F10489" s="43">
        <v>1586.31</v>
      </c>
    </row>
    <row r="10490" spans="2:6" x14ac:dyDescent="0.25">
      <c r="B10490" s="13" t="s">
        <v>18838</v>
      </c>
      <c r="C10490" s="17" t="s">
        <v>170</v>
      </c>
      <c r="D10490" s="13" t="s">
        <v>118</v>
      </c>
      <c r="E10490" s="13" t="s">
        <v>18839</v>
      </c>
      <c r="F10490" s="43">
        <v>1586.31</v>
      </c>
    </row>
    <row r="10491" spans="2:6" x14ac:dyDescent="0.25">
      <c r="B10491" s="13" t="s">
        <v>18840</v>
      </c>
      <c r="C10491" s="17" t="s">
        <v>170</v>
      </c>
      <c r="D10491" s="13" t="s">
        <v>118</v>
      </c>
      <c r="E10491" s="13" t="s">
        <v>18841</v>
      </c>
      <c r="F10491" s="43">
        <v>2636.96</v>
      </c>
    </row>
    <row r="10492" spans="2:6" x14ac:dyDescent="0.25">
      <c r="B10492" s="13" t="s">
        <v>18842</v>
      </c>
      <c r="C10492" s="17" t="s">
        <v>170</v>
      </c>
      <c r="D10492" s="13" t="s">
        <v>118</v>
      </c>
      <c r="E10492" s="13" t="s">
        <v>18843</v>
      </c>
      <c r="F10492" s="43">
        <v>2636.96</v>
      </c>
    </row>
    <row r="10493" spans="2:6" x14ac:dyDescent="0.25">
      <c r="B10493" s="13" t="s">
        <v>18844</v>
      </c>
      <c r="C10493" s="17" t="s">
        <v>170</v>
      </c>
      <c r="D10493" s="13" t="s">
        <v>118</v>
      </c>
      <c r="E10493" s="13" t="s">
        <v>18845</v>
      </c>
      <c r="F10493" s="43">
        <v>3025.27</v>
      </c>
    </row>
    <row r="10494" spans="2:6" x14ac:dyDescent="0.25">
      <c r="B10494" s="13" t="s">
        <v>18846</v>
      </c>
      <c r="C10494" s="17" t="s">
        <v>170</v>
      </c>
      <c r="D10494" s="13" t="s">
        <v>118</v>
      </c>
      <c r="E10494" s="13" t="s">
        <v>18847</v>
      </c>
      <c r="F10494" s="43">
        <v>3025.27</v>
      </c>
    </row>
    <row r="10495" spans="2:6" x14ac:dyDescent="0.25">
      <c r="B10495" s="13" t="s">
        <v>18848</v>
      </c>
      <c r="C10495" s="17" t="s">
        <v>170</v>
      </c>
      <c r="D10495" s="13" t="s">
        <v>118</v>
      </c>
      <c r="E10495" s="13" t="s">
        <v>18849</v>
      </c>
      <c r="F10495" s="43">
        <v>542.42999999999995</v>
      </c>
    </row>
    <row r="10496" spans="2:6" x14ac:dyDescent="0.25">
      <c r="B10496" s="13" t="s">
        <v>18850</v>
      </c>
      <c r="C10496" s="17" t="s">
        <v>170</v>
      </c>
      <c r="D10496" s="13" t="s">
        <v>118</v>
      </c>
      <c r="E10496" s="13" t="s">
        <v>18851</v>
      </c>
      <c r="F10496" s="43">
        <v>542.42999999999995</v>
      </c>
    </row>
    <row r="10497" spans="2:6" x14ac:dyDescent="0.25">
      <c r="B10497" s="13" t="s">
        <v>18852</v>
      </c>
      <c r="C10497" s="17" t="s">
        <v>170</v>
      </c>
      <c r="D10497" s="13" t="s">
        <v>118</v>
      </c>
      <c r="E10497" s="13" t="s">
        <v>18853</v>
      </c>
      <c r="F10497" s="43">
        <v>667.62</v>
      </c>
    </row>
    <row r="10498" spans="2:6" x14ac:dyDescent="0.25">
      <c r="B10498" s="13" t="s">
        <v>18854</v>
      </c>
      <c r="C10498" s="17" t="s">
        <v>170</v>
      </c>
      <c r="D10498" s="13" t="s">
        <v>118</v>
      </c>
      <c r="E10498" s="13" t="s">
        <v>18855</v>
      </c>
      <c r="F10498" s="43">
        <v>667.62</v>
      </c>
    </row>
    <row r="10499" spans="2:6" x14ac:dyDescent="0.25">
      <c r="B10499" s="13" t="s">
        <v>18856</v>
      </c>
      <c r="C10499" s="17" t="s">
        <v>170</v>
      </c>
      <c r="D10499" s="13" t="s">
        <v>118</v>
      </c>
      <c r="E10499" s="13" t="s">
        <v>18857</v>
      </c>
      <c r="F10499" s="43">
        <v>896.66</v>
      </c>
    </row>
    <row r="10500" spans="2:6" x14ac:dyDescent="0.25">
      <c r="B10500" s="13" t="s">
        <v>18858</v>
      </c>
      <c r="C10500" s="17" t="s">
        <v>170</v>
      </c>
      <c r="D10500" s="13" t="s">
        <v>118</v>
      </c>
      <c r="E10500" s="13" t="s">
        <v>18859</v>
      </c>
      <c r="F10500" s="43">
        <v>896.66</v>
      </c>
    </row>
    <row r="10501" spans="2:6" x14ac:dyDescent="0.25">
      <c r="B10501" s="13" t="s">
        <v>18860</v>
      </c>
      <c r="C10501" s="17" t="s">
        <v>170</v>
      </c>
      <c r="D10501" s="13" t="s">
        <v>118</v>
      </c>
      <c r="E10501" s="13" t="s">
        <v>18861</v>
      </c>
      <c r="F10501" s="43">
        <v>959.77</v>
      </c>
    </row>
    <row r="10502" spans="2:6" x14ac:dyDescent="0.25">
      <c r="B10502" s="13" t="s">
        <v>18862</v>
      </c>
      <c r="C10502" s="17" t="s">
        <v>170</v>
      </c>
      <c r="D10502" s="13" t="s">
        <v>118</v>
      </c>
      <c r="E10502" s="13" t="s">
        <v>18863</v>
      </c>
      <c r="F10502" s="43">
        <v>959.77</v>
      </c>
    </row>
    <row r="10503" spans="2:6" x14ac:dyDescent="0.25">
      <c r="B10503" s="13" t="s">
        <v>18864</v>
      </c>
      <c r="C10503" s="17" t="s">
        <v>170</v>
      </c>
      <c r="D10503" s="13" t="s">
        <v>118</v>
      </c>
      <c r="E10503" s="13" t="s">
        <v>18865</v>
      </c>
      <c r="F10503" s="43">
        <v>1099.31</v>
      </c>
    </row>
    <row r="10504" spans="2:6" x14ac:dyDescent="0.25">
      <c r="B10504" s="13" t="s">
        <v>18866</v>
      </c>
      <c r="C10504" s="17" t="s">
        <v>170</v>
      </c>
      <c r="D10504" s="13" t="s">
        <v>118</v>
      </c>
      <c r="E10504" s="13" t="s">
        <v>18867</v>
      </c>
      <c r="F10504" s="43">
        <v>1099.31</v>
      </c>
    </row>
    <row r="10505" spans="2:6" x14ac:dyDescent="0.25">
      <c r="B10505" s="13" t="s">
        <v>18868</v>
      </c>
      <c r="C10505" s="17" t="s">
        <v>170</v>
      </c>
      <c r="D10505" s="13" t="s">
        <v>118</v>
      </c>
      <c r="E10505" s="13" t="s">
        <v>18869</v>
      </c>
      <c r="F10505" s="43">
        <v>1222.0899999999999</v>
      </c>
    </row>
    <row r="10506" spans="2:6" x14ac:dyDescent="0.25">
      <c r="B10506" s="13" t="s">
        <v>18870</v>
      </c>
      <c r="C10506" s="17" t="s">
        <v>170</v>
      </c>
      <c r="D10506" s="13" t="s">
        <v>118</v>
      </c>
      <c r="E10506" s="13" t="s">
        <v>18871</v>
      </c>
      <c r="F10506" s="43">
        <v>1222.0899999999999</v>
      </c>
    </row>
    <row r="10507" spans="2:6" x14ac:dyDescent="0.25">
      <c r="B10507" s="13" t="s">
        <v>18872</v>
      </c>
      <c r="C10507" s="17" t="s">
        <v>170</v>
      </c>
      <c r="D10507" s="13" t="s">
        <v>118</v>
      </c>
      <c r="E10507" s="13" t="s">
        <v>18873</v>
      </c>
      <c r="F10507" s="43">
        <v>1140.51</v>
      </c>
    </row>
    <row r="10508" spans="2:6" x14ac:dyDescent="0.25">
      <c r="B10508" s="13" t="s">
        <v>18874</v>
      </c>
      <c r="C10508" s="17" t="s">
        <v>170</v>
      </c>
      <c r="D10508" s="13" t="s">
        <v>118</v>
      </c>
      <c r="E10508" s="13" t="s">
        <v>18875</v>
      </c>
      <c r="F10508" s="43">
        <v>343.45</v>
      </c>
    </row>
    <row r="10509" spans="2:6" x14ac:dyDescent="0.25">
      <c r="B10509" s="13" t="s">
        <v>18876</v>
      </c>
      <c r="C10509" s="17" t="s">
        <v>170</v>
      </c>
      <c r="D10509" s="13" t="s">
        <v>118</v>
      </c>
      <c r="E10509" s="13" t="s">
        <v>18877</v>
      </c>
      <c r="F10509" s="43">
        <v>343.45</v>
      </c>
    </row>
    <row r="10510" spans="2:6" x14ac:dyDescent="0.25">
      <c r="B10510" s="13" t="s">
        <v>18878</v>
      </c>
      <c r="C10510" s="17" t="s">
        <v>170</v>
      </c>
      <c r="D10510" s="13" t="s">
        <v>118</v>
      </c>
      <c r="E10510" s="13" t="s">
        <v>18879</v>
      </c>
      <c r="F10510" s="43">
        <v>343.45</v>
      </c>
    </row>
    <row r="10511" spans="2:6" x14ac:dyDescent="0.25">
      <c r="B10511" s="13" t="s">
        <v>18880</v>
      </c>
      <c r="C10511" s="17" t="s">
        <v>170</v>
      </c>
      <c r="D10511" s="13" t="s">
        <v>118</v>
      </c>
      <c r="E10511" s="13" t="s">
        <v>18881</v>
      </c>
      <c r="F10511" s="43">
        <v>544.03</v>
      </c>
    </row>
    <row r="10512" spans="2:6" x14ac:dyDescent="0.25">
      <c r="B10512" s="13" t="s">
        <v>18882</v>
      </c>
      <c r="C10512" s="17" t="s">
        <v>170</v>
      </c>
      <c r="D10512" s="13" t="s">
        <v>118</v>
      </c>
      <c r="E10512" s="13" t="s">
        <v>18883</v>
      </c>
      <c r="F10512" s="43">
        <v>686.78</v>
      </c>
    </row>
    <row r="10513" spans="2:6" x14ac:dyDescent="0.25">
      <c r="B10513" s="13" t="s">
        <v>18884</v>
      </c>
      <c r="C10513" s="17" t="s">
        <v>170</v>
      </c>
      <c r="D10513" s="13" t="s">
        <v>118</v>
      </c>
      <c r="E10513" s="13" t="s">
        <v>18885</v>
      </c>
      <c r="F10513" s="43">
        <v>171.67</v>
      </c>
    </row>
    <row r="10514" spans="2:6" x14ac:dyDescent="0.25">
      <c r="B10514" s="13" t="s">
        <v>18886</v>
      </c>
      <c r="C10514" s="17" t="s">
        <v>170</v>
      </c>
      <c r="D10514" s="13" t="s">
        <v>118</v>
      </c>
      <c r="E10514" s="13" t="s">
        <v>18887</v>
      </c>
      <c r="F10514" s="43">
        <v>651.33000000000004</v>
      </c>
    </row>
    <row r="10515" spans="2:6" x14ac:dyDescent="0.25">
      <c r="B10515" s="13" t="s">
        <v>18888</v>
      </c>
      <c r="C10515" s="17" t="s">
        <v>170</v>
      </c>
      <c r="D10515" s="13" t="s">
        <v>118</v>
      </c>
      <c r="E10515" s="13" t="s">
        <v>18889</v>
      </c>
      <c r="F10515" s="43">
        <v>651.33000000000004</v>
      </c>
    </row>
    <row r="10516" spans="2:6" x14ac:dyDescent="0.25">
      <c r="B10516" s="13" t="s">
        <v>18890</v>
      </c>
      <c r="C10516" s="17" t="s">
        <v>170</v>
      </c>
      <c r="D10516" s="13" t="s">
        <v>118</v>
      </c>
      <c r="E10516" s="13" t="s">
        <v>18891</v>
      </c>
      <c r="F10516" s="43">
        <v>651.33000000000004</v>
      </c>
    </row>
    <row r="10517" spans="2:6" x14ac:dyDescent="0.25">
      <c r="B10517" s="13" t="s">
        <v>18892</v>
      </c>
      <c r="C10517" s="17" t="s">
        <v>170</v>
      </c>
      <c r="D10517" s="13" t="s">
        <v>118</v>
      </c>
      <c r="E10517" s="13" t="s">
        <v>18893</v>
      </c>
      <c r="F10517" s="43">
        <v>171.67</v>
      </c>
    </row>
    <row r="10518" spans="2:6" x14ac:dyDescent="0.25">
      <c r="B10518" s="13" t="s">
        <v>18894</v>
      </c>
      <c r="C10518" s="17" t="s">
        <v>170</v>
      </c>
      <c r="D10518" s="13" t="s">
        <v>118</v>
      </c>
      <c r="E10518" s="13" t="s">
        <v>18895</v>
      </c>
      <c r="F10518" s="43">
        <v>651.33000000000004</v>
      </c>
    </row>
    <row r="10519" spans="2:6" x14ac:dyDescent="0.25">
      <c r="B10519" s="13" t="s">
        <v>18896</v>
      </c>
      <c r="C10519" s="17" t="s">
        <v>170</v>
      </c>
      <c r="D10519" s="13" t="s">
        <v>118</v>
      </c>
      <c r="E10519" s="13" t="s">
        <v>18897</v>
      </c>
      <c r="F10519" s="43">
        <v>651.33000000000004</v>
      </c>
    </row>
    <row r="10520" spans="2:6" x14ac:dyDescent="0.25">
      <c r="B10520" s="13" t="s">
        <v>18898</v>
      </c>
      <c r="C10520" s="17" t="s">
        <v>170</v>
      </c>
      <c r="D10520" s="13" t="s">
        <v>118</v>
      </c>
      <c r="E10520" s="13" t="s">
        <v>18899</v>
      </c>
      <c r="F10520" s="43">
        <v>651.33000000000004</v>
      </c>
    </row>
    <row r="10521" spans="2:6" x14ac:dyDescent="0.25">
      <c r="B10521" s="13" t="s">
        <v>18900</v>
      </c>
      <c r="C10521" s="17" t="s">
        <v>170</v>
      </c>
      <c r="D10521" s="13" t="s">
        <v>118</v>
      </c>
      <c r="E10521" s="13" t="s">
        <v>18901</v>
      </c>
      <c r="F10521" s="43">
        <v>171.67</v>
      </c>
    </row>
    <row r="10522" spans="2:6" x14ac:dyDescent="0.25">
      <c r="B10522" s="13" t="s">
        <v>18902</v>
      </c>
      <c r="C10522" s="17" t="s">
        <v>170</v>
      </c>
      <c r="D10522" s="13" t="s">
        <v>118</v>
      </c>
      <c r="E10522" s="13" t="s">
        <v>18903</v>
      </c>
      <c r="F10522" s="43">
        <v>194.62</v>
      </c>
    </row>
    <row r="10523" spans="2:6" x14ac:dyDescent="0.25">
      <c r="B10523" s="13" t="s">
        <v>18904</v>
      </c>
      <c r="C10523" s="17" t="s">
        <v>170</v>
      </c>
      <c r="D10523" s="13" t="s">
        <v>118</v>
      </c>
      <c r="E10523" s="13" t="s">
        <v>18905</v>
      </c>
      <c r="F10523" s="43">
        <v>171.67</v>
      </c>
    </row>
    <row r="10524" spans="2:6" x14ac:dyDescent="0.25">
      <c r="B10524" s="13" t="s">
        <v>18906</v>
      </c>
      <c r="C10524" s="17" t="s">
        <v>170</v>
      </c>
      <c r="D10524" s="13" t="s">
        <v>118</v>
      </c>
      <c r="E10524" s="13" t="s">
        <v>18907</v>
      </c>
      <c r="F10524" s="43">
        <v>194.62</v>
      </c>
    </row>
    <row r="10525" spans="2:6" x14ac:dyDescent="0.25">
      <c r="B10525" s="13" t="s">
        <v>18908</v>
      </c>
      <c r="C10525" s="17" t="s">
        <v>170</v>
      </c>
      <c r="D10525" s="13" t="s">
        <v>118</v>
      </c>
      <c r="E10525" s="13" t="s">
        <v>18909</v>
      </c>
      <c r="F10525" s="43">
        <v>171.67</v>
      </c>
    </row>
    <row r="10526" spans="2:6" x14ac:dyDescent="0.25">
      <c r="B10526" s="13" t="s">
        <v>18910</v>
      </c>
      <c r="C10526" s="17" t="s">
        <v>170</v>
      </c>
      <c r="D10526" s="13" t="s">
        <v>118</v>
      </c>
      <c r="E10526" s="13" t="s">
        <v>18911</v>
      </c>
      <c r="F10526" s="43">
        <v>194.62</v>
      </c>
    </row>
    <row r="10527" spans="2:6" x14ac:dyDescent="0.25">
      <c r="B10527" s="13" t="s">
        <v>18912</v>
      </c>
      <c r="C10527" s="17" t="s">
        <v>170</v>
      </c>
      <c r="D10527" s="13" t="s">
        <v>118</v>
      </c>
      <c r="E10527" s="13" t="s">
        <v>18913</v>
      </c>
      <c r="F10527" s="43">
        <v>171.67</v>
      </c>
    </row>
    <row r="10528" spans="2:6" x14ac:dyDescent="0.25">
      <c r="B10528" s="13" t="s">
        <v>18914</v>
      </c>
      <c r="C10528" s="17" t="s">
        <v>170</v>
      </c>
      <c r="D10528" s="13" t="s">
        <v>118</v>
      </c>
      <c r="E10528" s="13" t="s">
        <v>18915</v>
      </c>
      <c r="F10528" s="43">
        <v>194.62</v>
      </c>
    </row>
    <row r="10529" spans="2:6" x14ac:dyDescent="0.25">
      <c r="B10529" s="13" t="s">
        <v>18916</v>
      </c>
      <c r="C10529" s="17" t="s">
        <v>170</v>
      </c>
      <c r="D10529" s="13" t="s">
        <v>118</v>
      </c>
      <c r="E10529" s="13" t="s">
        <v>18917</v>
      </c>
      <c r="F10529" s="43">
        <v>171.67</v>
      </c>
    </row>
    <row r="10530" spans="2:6" x14ac:dyDescent="0.25">
      <c r="B10530" s="13" t="s">
        <v>18918</v>
      </c>
      <c r="C10530" s="17" t="s">
        <v>170</v>
      </c>
      <c r="D10530" s="13" t="s">
        <v>118</v>
      </c>
      <c r="E10530" s="13" t="s">
        <v>18919</v>
      </c>
      <c r="F10530" s="43">
        <v>194.62</v>
      </c>
    </row>
    <row r="10531" spans="2:6" x14ac:dyDescent="0.25">
      <c r="B10531" s="13" t="s">
        <v>18920</v>
      </c>
      <c r="C10531" s="17" t="s">
        <v>170</v>
      </c>
      <c r="D10531" s="13" t="s">
        <v>118</v>
      </c>
      <c r="E10531" s="13" t="s">
        <v>18921</v>
      </c>
      <c r="F10531" s="43">
        <v>171.67</v>
      </c>
    </row>
    <row r="10532" spans="2:6" x14ac:dyDescent="0.25">
      <c r="B10532" s="13" t="s">
        <v>18922</v>
      </c>
      <c r="C10532" s="17" t="s">
        <v>170</v>
      </c>
      <c r="D10532" s="13" t="s">
        <v>118</v>
      </c>
      <c r="E10532" s="13" t="s">
        <v>18923</v>
      </c>
      <c r="F10532" s="43">
        <v>194.62</v>
      </c>
    </row>
    <row r="10533" spans="2:6" x14ac:dyDescent="0.25">
      <c r="B10533" s="13" t="s">
        <v>18924</v>
      </c>
      <c r="C10533" s="17" t="s">
        <v>170</v>
      </c>
      <c r="D10533" s="13" t="s">
        <v>118</v>
      </c>
      <c r="E10533" s="13" t="s">
        <v>18925</v>
      </c>
      <c r="F10533" s="43">
        <v>171.67</v>
      </c>
    </row>
    <row r="10534" spans="2:6" x14ac:dyDescent="0.25">
      <c r="B10534" s="13" t="s">
        <v>18926</v>
      </c>
      <c r="C10534" s="17" t="s">
        <v>170</v>
      </c>
      <c r="D10534" s="13" t="s">
        <v>118</v>
      </c>
      <c r="E10534" s="13" t="s">
        <v>18927</v>
      </c>
      <c r="F10534" s="43">
        <v>194.62</v>
      </c>
    </row>
    <row r="10535" spans="2:6" x14ac:dyDescent="0.25">
      <c r="B10535" s="13" t="s">
        <v>18928</v>
      </c>
      <c r="C10535" s="17" t="s">
        <v>170</v>
      </c>
      <c r="D10535" s="13" t="s">
        <v>118</v>
      </c>
      <c r="E10535" s="13" t="s">
        <v>18929</v>
      </c>
      <c r="F10535" s="43">
        <v>1399.04</v>
      </c>
    </row>
    <row r="10536" spans="2:6" x14ac:dyDescent="0.25">
      <c r="B10536" s="13" t="s">
        <v>18930</v>
      </c>
      <c r="C10536" s="17" t="s">
        <v>170</v>
      </c>
      <c r="D10536" s="13" t="s">
        <v>118</v>
      </c>
      <c r="E10536" s="13" t="s">
        <v>18931</v>
      </c>
      <c r="F10536" s="43">
        <v>1498.18</v>
      </c>
    </row>
    <row r="10537" spans="2:6" x14ac:dyDescent="0.25">
      <c r="B10537" s="13" t="s">
        <v>18932</v>
      </c>
      <c r="C10537" s="17" t="s">
        <v>170</v>
      </c>
      <c r="D10537" s="13" t="s">
        <v>118</v>
      </c>
      <c r="E10537" s="13" t="s">
        <v>18933</v>
      </c>
      <c r="F10537" s="43">
        <v>1498.18</v>
      </c>
    </row>
    <row r="10538" spans="2:6" x14ac:dyDescent="0.25">
      <c r="B10538" s="13" t="s">
        <v>18934</v>
      </c>
      <c r="C10538" s="17" t="s">
        <v>170</v>
      </c>
      <c r="D10538" s="13" t="s">
        <v>118</v>
      </c>
      <c r="E10538" s="13" t="s">
        <v>18935</v>
      </c>
      <c r="F10538" s="43">
        <v>1670.31</v>
      </c>
    </row>
    <row r="10539" spans="2:6" x14ac:dyDescent="0.25">
      <c r="B10539" s="13" t="s">
        <v>18936</v>
      </c>
      <c r="C10539" s="17" t="s">
        <v>170</v>
      </c>
      <c r="D10539" s="13" t="s">
        <v>118</v>
      </c>
      <c r="E10539" s="13" t="s">
        <v>18937</v>
      </c>
      <c r="F10539" s="43">
        <v>1670.31</v>
      </c>
    </row>
    <row r="10540" spans="2:6" x14ac:dyDescent="0.25">
      <c r="B10540" s="13" t="s">
        <v>18938</v>
      </c>
      <c r="C10540" s="17" t="s">
        <v>170</v>
      </c>
      <c r="D10540" s="13" t="s">
        <v>118</v>
      </c>
      <c r="E10540" s="13" t="s">
        <v>18939</v>
      </c>
      <c r="F10540" s="43">
        <v>1783.22</v>
      </c>
    </row>
    <row r="10541" spans="2:6" x14ac:dyDescent="0.25">
      <c r="B10541" s="13" t="s">
        <v>18940</v>
      </c>
      <c r="C10541" s="17" t="s">
        <v>170</v>
      </c>
      <c r="D10541" s="13" t="s">
        <v>118</v>
      </c>
      <c r="E10541" s="13" t="s">
        <v>18941</v>
      </c>
      <c r="F10541" s="43">
        <v>1952.59</v>
      </c>
    </row>
    <row r="10542" spans="2:6" x14ac:dyDescent="0.25">
      <c r="B10542" s="13" t="s">
        <v>18942</v>
      </c>
      <c r="C10542" s="17" t="s">
        <v>170</v>
      </c>
      <c r="D10542" s="13" t="s">
        <v>118</v>
      </c>
      <c r="E10542" s="13" t="s">
        <v>18943</v>
      </c>
      <c r="F10542" s="43">
        <v>1472.02</v>
      </c>
    </row>
    <row r="10543" spans="2:6" x14ac:dyDescent="0.25">
      <c r="B10543" s="13" t="s">
        <v>18944</v>
      </c>
      <c r="C10543" s="17" t="s">
        <v>170</v>
      </c>
      <c r="D10543" s="13" t="s">
        <v>118</v>
      </c>
      <c r="E10543" s="13" t="s">
        <v>18945</v>
      </c>
      <c r="F10543" s="43">
        <v>1576.67</v>
      </c>
    </row>
    <row r="10544" spans="2:6" x14ac:dyDescent="0.25">
      <c r="B10544" s="13" t="s">
        <v>18946</v>
      </c>
      <c r="C10544" s="17" t="s">
        <v>170</v>
      </c>
      <c r="D10544" s="13" t="s">
        <v>118</v>
      </c>
      <c r="E10544" s="13" t="s">
        <v>18947</v>
      </c>
      <c r="F10544" s="43">
        <v>1757.06</v>
      </c>
    </row>
    <row r="10545" spans="2:6" x14ac:dyDescent="0.25">
      <c r="B10545" s="13" t="s">
        <v>18948</v>
      </c>
      <c r="C10545" s="17" t="s">
        <v>170</v>
      </c>
      <c r="D10545" s="13" t="s">
        <v>118</v>
      </c>
      <c r="E10545" s="13" t="s">
        <v>18949</v>
      </c>
      <c r="F10545" s="43">
        <v>1806.63</v>
      </c>
    </row>
    <row r="10546" spans="2:6" x14ac:dyDescent="0.25">
      <c r="B10546" s="13" t="s">
        <v>18950</v>
      </c>
      <c r="C10546" s="17" t="s">
        <v>170</v>
      </c>
      <c r="D10546" s="13" t="s">
        <v>118</v>
      </c>
      <c r="E10546" s="13" t="s">
        <v>18951</v>
      </c>
      <c r="F10546" s="43">
        <v>1987.02</v>
      </c>
    </row>
    <row r="10547" spans="2:6" x14ac:dyDescent="0.25">
      <c r="B10547" s="13" t="s">
        <v>18952</v>
      </c>
      <c r="C10547" s="17" t="s">
        <v>170</v>
      </c>
      <c r="D10547" s="13" t="s">
        <v>118</v>
      </c>
      <c r="E10547" s="13" t="s">
        <v>18953</v>
      </c>
      <c r="F10547" s="43">
        <v>1875.48</v>
      </c>
    </row>
    <row r="10548" spans="2:6" x14ac:dyDescent="0.25">
      <c r="B10548" s="13" t="s">
        <v>18954</v>
      </c>
      <c r="C10548" s="17" t="s">
        <v>170</v>
      </c>
      <c r="D10548" s="13" t="s">
        <v>118</v>
      </c>
      <c r="E10548" s="13" t="s">
        <v>18955</v>
      </c>
      <c r="F10548" s="43">
        <v>2055.87</v>
      </c>
    </row>
    <row r="10549" spans="2:6" x14ac:dyDescent="0.25">
      <c r="B10549" s="13" t="s">
        <v>18956</v>
      </c>
      <c r="C10549" s="17" t="s">
        <v>170</v>
      </c>
      <c r="D10549" s="13" t="s">
        <v>118</v>
      </c>
      <c r="E10549" s="13" t="s">
        <v>18957</v>
      </c>
      <c r="F10549" s="43">
        <v>1681.32</v>
      </c>
    </row>
    <row r="10550" spans="2:6" x14ac:dyDescent="0.25">
      <c r="B10550" s="13" t="s">
        <v>18958</v>
      </c>
      <c r="C10550" s="17" t="s">
        <v>170</v>
      </c>
      <c r="D10550" s="13" t="s">
        <v>118</v>
      </c>
      <c r="E10550" s="13" t="s">
        <v>18959</v>
      </c>
      <c r="F10550" s="43">
        <v>1681.32</v>
      </c>
    </row>
    <row r="10551" spans="2:6" x14ac:dyDescent="0.25">
      <c r="B10551" s="13" t="s">
        <v>18960</v>
      </c>
      <c r="C10551" s="17" t="s">
        <v>170</v>
      </c>
      <c r="D10551" s="13" t="s">
        <v>118</v>
      </c>
      <c r="E10551" s="13" t="s">
        <v>18961</v>
      </c>
      <c r="F10551" s="43">
        <v>1472.02</v>
      </c>
    </row>
    <row r="10552" spans="2:6" x14ac:dyDescent="0.25">
      <c r="B10552" s="13" t="s">
        <v>18962</v>
      </c>
      <c r="C10552" s="17" t="s">
        <v>170</v>
      </c>
      <c r="D10552" s="13" t="s">
        <v>118</v>
      </c>
      <c r="E10552" s="13" t="s">
        <v>18963</v>
      </c>
      <c r="F10552" s="43">
        <v>1576.67</v>
      </c>
    </row>
    <row r="10553" spans="2:6" x14ac:dyDescent="0.25">
      <c r="B10553" s="13" t="s">
        <v>18964</v>
      </c>
      <c r="C10553" s="17" t="s">
        <v>170</v>
      </c>
      <c r="D10553" s="13" t="s">
        <v>118</v>
      </c>
      <c r="E10553" s="13" t="s">
        <v>18965</v>
      </c>
      <c r="F10553" s="43">
        <v>1757.06</v>
      </c>
    </row>
    <row r="10554" spans="2:6" x14ac:dyDescent="0.25">
      <c r="B10554" s="13" t="s">
        <v>18966</v>
      </c>
      <c r="C10554" s="17" t="s">
        <v>170</v>
      </c>
      <c r="D10554" s="13" t="s">
        <v>118</v>
      </c>
      <c r="E10554" s="13" t="s">
        <v>18967</v>
      </c>
      <c r="F10554" s="43">
        <v>1806.63</v>
      </c>
    </row>
    <row r="10555" spans="2:6" x14ac:dyDescent="0.25">
      <c r="B10555" s="13" t="s">
        <v>18968</v>
      </c>
      <c r="C10555" s="17" t="s">
        <v>170</v>
      </c>
      <c r="D10555" s="13" t="s">
        <v>118</v>
      </c>
      <c r="E10555" s="13" t="s">
        <v>18969</v>
      </c>
      <c r="F10555" s="43">
        <v>1987.02</v>
      </c>
    </row>
    <row r="10556" spans="2:6" x14ac:dyDescent="0.25">
      <c r="B10556" s="13" t="s">
        <v>18970</v>
      </c>
      <c r="C10556" s="17" t="s">
        <v>170</v>
      </c>
      <c r="D10556" s="13" t="s">
        <v>118</v>
      </c>
      <c r="E10556" s="13" t="s">
        <v>18971</v>
      </c>
      <c r="F10556" s="43">
        <v>1875.48</v>
      </c>
    </row>
    <row r="10557" spans="2:6" x14ac:dyDescent="0.25">
      <c r="B10557" s="13" t="s">
        <v>18972</v>
      </c>
      <c r="C10557" s="17" t="s">
        <v>170</v>
      </c>
      <c r="D10557" s="13" t="s">
        <v>118</v>
      </c>
      <c r="E10557" s="13" t="s">
        <v>18973</v>
      </c>
      <c r="F10557" s="43">
        <v>2055.87</v>
      </c>
    </row>
    <row r="10558" spans="2:6" x14ac:dyDescent="0.25">
      <c r="B10558" s="13" t="s">
        <v>18974</v>
      </c>
      <c r="C10558" s="17" t="s">
        <v>170</v>
      </c>
      <c r="D10558" s="13" t="s">
        <v>118</v>
      </c>
      <c r="E10558" s="13" t="s">
        <v>18975</v>
      </c>
      <c r="F10558" s="43">
        <v>651.33000000000004</v>
      </c>
    </row>
    <row r="10559" spans="2:6" x14ac:dyDescent="0.25">
      <c r="B10559" s="13" t="s">
        <v>18976</v>
      </c>
      <c r="C10559" s="17" t="s">
        <v>170</v>
      </c>
      <c r="D10559" s="13" t="s">
        <v>118</v>
      </c>
      <c r="E10559" s="13" t="s">
        <v>18977</v>
      </c>
      <c r="F10559" s="43">
        <v>651.33000000000004</v>
      </c>
    </row>
    <row r="10560" spans="2:6" x14ac:dyDescent="0.25">
      <c r="B10560" s="13" t="s">
        <v>18978</v>
      </c>
      <c r="C10560" s="17" t="s">
        <v>170</v>
      </c>
      <c r="D10560" s="13" t="s">
        <v>118</v>
      </c>
      <c r="E10560" s="13" t="s">
        <v>18979</v>
      </c>
      <c r="F10560" s="43">
        <v>337.37</v>
      </c>
    </row>
    <row r="10561" spans="2:6" x14ac:dyDescent="0.25">
      <c r="B10561" s="13" t="s">
        <v>18980</v>
      </c>
      <c r="C10561" s="17" t="s">
        <v>170</v>
      </c>
      <c r="D10561" s="13" t="s">
        <v>118</v>
      </c>
      <c r="E10561" s="13" t="s">
        <v>18981</v>
      </c>
      <c r="F10561" s="43">
        <v>344.25</v>
      </c>
    </row>
    <row r="10562" spans="2:6" x14ac:dyDescent="0.25">
      <c r="B10562" s="13" t="s">
        <v>18982</v>
      </c>
      <c r="C10562" s="17" t="s">
        <v>170</v>
      </c>
      <c r="D10562" s="13" t="s">
        <v>118</v>
      </c>
      <c r="E10562" s="13" t="s">
        <v>18983</v>
      </c>
      <c r="F10562" s="43">
        <v>385.56</v>
      </c>
    </row>
    <row r="10563" spans="2:6" x14ac:dyDescent="0.25">
      <c r="B10563" s="13" t="s">
        <v>18984</v>
      </c>
      <c r="C10563" s="17" t="s">
        <v>170</v>
      </c>
      <c r="D10563" s="13" t="s">
        <v>118</v>
      </c>
      <c r="E10563" s="13" t="s">
        <v>18985</v>
      </c>
      <c r="F10563" s="43">
        <v>385.56</v>
      </c>
    </row>
    <row r="10564" spans="2:6" x14ac:dyDescent="0.25">
      <c r="B10564" s="13" t="s">
        <v>18986</v>
      </c>
      <c r="C10564" s="17" t="s">
        <v>170</v>
      </c>
      <c r="D10564" s="13" t="s">
        <v>118</v>
      </c>
      <c r="E10564" s="13" t="s">
        <v>18987</v>
      </c>
      <c r="F10564" s="43">
        <v>440.64</v>
      </c>
    </row>
    <row r="10565" spans="2:6" x14ac:dyDescent="0.25">
      <c r="B10565" s="13" t="s">
        <v>18988</v>
      </c>
      <c r="C10565" s="17" t="s">
        <v>170</v>
      </c>
      <c r="D10565" s="13" t="s">
        <v>118</v>
      </c>
      <c r="E10565" s="13" t="s">
        <v>18989</v>
      </c>
      <c r="F10565" s="43">
        <v>413.1</v>
      </c>
    </row>
    <row r="10566" spans="2:6" x14ac:dyDescent="0.25">
      <c r="B10566" s="13" t="s">
        <v>18990</v>
      </c>
      <c r="C10566" s="17" t="s">
        <v>170</v>
      </c>
      <c r="D10566" s="13" t="s">
        <v>118</v>
      </c>
      <c r="E10566" s="13" t="s">
        <v>18991</v>
      </c>
      <c r="F10566" s="43">
        <v>481.95</v>
      </c>
    </row>
    <row r="10567" spans="2:6" x14ac:dyDescent="0.25">
      <c r="B10567" s="13" t="s">
        <v>18992</v>
      </c>
      <c r="C10567" s="17" t="s">
        <v>170</v>
      </c>
      <c r="D10567" s="13" t="s">
        <v>118</v>
      </c>
      <c r="E10567" s="13" t="s">
        <v>18993</v>
      </c>
      <c r="F10567" s="43">
        <v>609.14</v>
      </c>
    </row>
    <row r="10568" spans="2:6" x14ac:dyDescent="0.25">
      <c r="B10568" s="13" t="s">
        <v>18994</v>
      </c>
      <c r="C10568" s="17" t="s">
        <v>170</v>
      </c>
      <c r="D10568" s="13" t="s">
        <v>118</v>
      </c>
      <c r="E10568" s="13" t="s">
        <v>18995</v>
      </c>
      <c r="F10568" s="43">
        <v>481.95</v>
      </c>
    </row>
    <row r="10569" spans="2:6" x14ac:dyDescent="0.25">
      <c r="B10569" s="13" t="s">
        <v>18996</v>
      </c>
      <c r="C10569" s="17" t="s">
        <v>170</v>
      </c>
      <c r="D10569" s="13" t="s">
        <v>118</v>
      </c>
      <c r="E10569" s="13" t="s">
        <v>18997</v>
      </c>
      <c r="F10569" s="43">
        <v>674.73</v>
      </c>
    </row>
    <row r="10570" spans="2:6" x14ac:dyDescent="0.25">
      <c r="B10570" s="13" t="s">
        <v>18998</v>
      </c>
      <c r="C10570" s="17" t="s">
        <v>170</v>
      </c>
      <c r="D10570" s="13" t="s">
        <v>118</v>
      </c>
      <c r="E10570" s="13" t="s">
        <v>18999</v>
      </c>
      <c r="F10570" s="43">
        <v>674.73</v>
      </c>
    </row>
    <row r="10571" spans="2:6" x14ac:dyDescent="0.25">
      <c r="B10571" s="13" t="s">
        <v>19000</v>
      </c>
      <c r="C10571" s="17" t="s">
        <v>170</v>
      </c>
      <c r="D10571" s="13" t="s">
        <v>118</v>
      </c>
      <c r="E10571" s="13" t="s">
        <v>19001</v>
      </c>
      <c r="F10571" s="43">
        <v>481.95</v>
      </c>
    </row>
    <row r="10572" spans="2:6" x14ac:dyDescent="0.25">
      <c r="B10572" s="13" t="s">
        <v>19002</v>
      </c>
      <c r="C10572" s="17" t="s">
        <v>170</v>
      </c>
      <c r="D10572" s="13" t="s">
        <v>118</v>
      </c>
      <c r="E10572" s="13" t="s">
        <v>19003</v>
      </c>
      <c r="F10572" s="43">
        <v>674.73</v>
      </c>
    </row>
    <row r="10573" spans="2:6" x14ac:dyDescent="0.25">
      <c r="B10573" s="13" t="s">
        <v>19004</v>
      </c>
      <c r="C10573" s="17" t="s">
        <v>170</v>
      </c>
      <c r="D10573" s="13" t="s">
        <v>118</v>
      </c>
      <c r="E10573" s="13" t="s">
        <v>19005</v>
      </c>
      <c r="F10573" s="43">
        <v>674.73</v>
      </c>
    </row>
    <row r="10574" spans="2:6" x14ac:dyDescent="0.25">
      <c r="B10574" s="13" t="s">
        <v>19006</v>
      </c>
      <c r="C10574" s="17" t="s">
        <v>170</v>
      </c>
      <c r="D10574" s="13" t="s">
        <v>118</v>
      </c>
      <c r="E10574" s="13" t="s">
        <v>19007</v>
      </c>
      <c r="F10574" s="43">
        <v>344.25</v>
      </c>
    </row>
    <row r="10575" spans="2:6" x14ac:dyDescent="0.25">
      <c r="B10575" s="13" t="s">
        <v>19008</v>
      </c>
      <c r="C10575" s="17" t="s">
        <v>170</v>
      </c>
      <c r="D10575" s="13" t="s">
        <v>118</v>
      </c>
      <c r="E10575" s="13" t="s">
        <v>19009</v>
      </c>
      <c r="F10575" s="43">
        <v>358.02</v>
      </c>
    </row>
    <row r="10576" spans="2:6" x14ac:dyDescent="0.25">
      <c r="B10576" s="13" t="s">
        <v>19010</v>
      </c>
      <c r="C10576" s="17" t="s">
        <v>170</v>
      </c>
      <c r="D10576" s="13" t="s">
        <v>118</v>
      </c>
      <c r="E10576" s="13" t="s">
        <v>19011</v>
      </c>
      <c r="F10576" s="43">
        <v>399.33</v>
      </c>
    </row>
    <row r="10577" spans="2:6" x14ac:dyDescent="0.25">
      <c r="B10577" s="13" t="s">
        <v>19012</v>
      </c>
      <c r="C10577" s="17" t="s">
        <v>170</v>
      </c>
      <c r="D10577" s="13" t="s">
        <v>118</v>
      </c>
      <c r="E10577" s="13" t="s">
        <v>19013</v>
      </c>
      <c r="F10577" s="43">
        <v>399.33</v>
      </c>
    </row>
    <row r="10578" spans="2:6" x14ac:dyDescent="0.25">
      <c r="B10578" s="13" t="s">
        <v>19014</v>
      </c>
      <c r="C10578" s="17" t="s">
        <v>170</v>
      </c>
      <c r="D10578" s="13" t="s">
        <v>118</v>
      </c>
      <c r="E10578" s="13" t="s">
        <v>19015</v>
      </c>
      <c r="F10578" s="43">
        <v>454.41</v>
      </c>
    </row>
    <row r="10579" spans="2:6" x14ac:dyDescent="0.25">
      <c r="B10579" s="13" t="s">
        <v>19016</v>
      </c>
      <c r="C10579" s="17" t="s">
        <v>170</v>
      </c>
      <c r="D10579" s="13" t="s">
        <v>118</v>
      </c>
      <c r="E10579" s="13" t="s">
        <v>19017</v>
      </c>
      <c r="F10579" s="43">
        <v>426.87</v>
      </c>
    </row>
    <row r="10580" spans="2:6" x14ac:dyDescent="0.25">
      <c r="B10580" s="13" t="s">
        <v>19018</v>
      </c>
      <c r="C10580" s="17" t="s">
        <v>170</v>
      </c>
      <c r="D10580" s="13" t="s">
        <v>118</v>
      </c>
      <c r="E10580" s="13" t="s">
        <v>19019</v>
      </c>
      <c r="F10580" s="43">
        <v>495.72</v>
      </c>
    </row>
    <row r="10581" spans="2:6" x14ac:dyDescent="0.25">
      <c r="B10581" s="13" t="s">
        <v>19020</v>
      </c>
      <c r="C10581" s="17" t="s">
        <v>170</v>
      </c>
      <c r="D10581" s="13" t="s">
        <v>118</v>
      </c>
      <c r="E10581" s="13" t="s">
        <v>19021</v>
      </c>
      <c r="F10581" s="43">
        <v>1473.39</v>
      </c>
    </row>
    <row r="10582" spans="2:6" x14ac:dyDescent="0.25">
      <c r="B10582" s="13" t="s">
        <v>19022</v>
      </c>
      <c r="C10582" s="17" t="s">
        <v>170</v>
      </c>
      <c r="D10582" s="13" t="s">
        <v>118</v>
      </c>
      <c r="E10582" s="13" t="s">
        <v>19023</v>
      </c>
      <c r="F10582" s="43">
        <v>1569.78</v>
      </c>
    </row>
    <row r="10583" spans="2:6" x14ac:dyDescent="0.25">
      <c r="B10583" s="13" t="s">
        <v>19024</v>
      </c>
      <c r="C10583" s="17" t="s">
        <v>170</v>
      </c>
      <c r="D10583" s="13" t="s">
        <v>118</v>
      </c>
      <c r="E10583" s="13" t="s">
        <v>19025</v>
      </c>
      <c r="F10583" s="43">
        <v>1748.79</v>
      </c>
    </row>
    <row r="10584" spans="2:6" x14ac:dyDescent="0.25">
      <c r="B10584" s="13" t="s">
        <v>19026</v>
      </c>
      <c r="C10584" s="17" t="s">
        <v>170</v>
      </c>
      <c r="D10584" s="13" t="s">
        <v>118</v>
      </c>
      <c r="E10584" s="13" t="s">
        <v>19027</v>
      </c>
      <c r="F10584" s="43">
        <v>1872.72</v>
      </c>
    </row>
    <row r="10585" spans="2:6" x14ac:dyDescent="0.25">
      <c r="B10585" s="13" t="s">
        <v>19028</v>
      </c>
      <c r="C10585" s="17" t="s">
        <v>170</v>
      </c>
      <c r="D10585" s="13" t="s">
        <v>118</v>
      </c>
      <c r="E10585" s="13" t="s">
        <v>19029</v>
      </c>
      <c r="F10585" s="43">
        <v>2037.96</v>
      </c>
    </row>
    <row r="10586" spans="2:6" x14ac:dyDescent="0.25">
      <c r="B10586" s="13" t="s">
        <v>19030</v>
      </c>
      <c r="C10586" s="17" t="s">
        <v>170</v>
      </c>
      <c r="D10586" s="13" t="s">
        <v>118</v>
      </c>
      <c r="E10586" s="13" t="s">
        <v>19031</v>
      </c>
      <c r="F10586" s="43">
        <v>1542.24</v>
      </c>
    </row>
    <row r="10587" spans="2:6" x14ac:dyDescent="0.25">
      <c r="B10587" s="13" t="s">
        <v>19032</v>
      </c>
      <c r="C10587" s="17" t="s">
        <v>170</v>
      </c>
      <c r="D10587" s="13" t="s">
        <v>118</v>
      </c>
      <c r="E10587" s="13" t="s">
        <v>19033</v>
      </c>
      <c r="F10587" s="43">
        <v>1652.4</v>
      </c>
    </row>
    <row r="10588" spans="2:6" x14ac:dyDescent="0.25">
      <c r="B10588" s="13" t="s">
        <v>19034</v>
      </c>
      <c r="C10588" s="17" t="s">
        <v>170</v>
      </c>
      <c r="D10588" s="13" t="s">
        <v>118</v>
      </c>
      <c r="E10588" s="13" t="s">
        <v>19035</v>
      </c>
      <c r="F10588" s="43">
        <v>1845.18</v>
      </c>
    </row>
    <row r="10589" spans="2:6" x14ac:dyDescent="0.25">
      <c r="B10589" s="13" t="s">
        <v>19036</v>
      </c>
      <c r="C10589" s="17" t="s">
        <v>170</v>
      </c>
      <c r="D10589" s="13" t="s">
        <v>118</v>
      </c>
      <c r="E10589" s="13" t="s">
        <v>19037</v>
      </c>
      <c r="F10589" s="43">
        <v>2079.27</v>
      </c>
    </row>
    <row r="10590" spans="2:6" x14ac:dyDescent="0.25">
      <c r="B10590" s="13" t="s">
        <v>19038</v>
      </c>
      <c r="C10590" s="17" t="s">
        <v>170</v>
      </c>
      <c r="D10590" s="13" t="s">
        <v>118</v>
      </c>
      <c r="E10590" s="13" t="s">
        <v>19039</v>
      </c>
      <c r="F10590" s="43">
        <v>1900.26</v>
      </c>
    </row>
    <row r="10591" spans="2:6" x14ac:dyDescent="0.25">
      <c r="B10591" s="13" t="s">
        <v>19040</v>
      </c>
      <c r="C10591" s="17" t="s">
        <v>170</v>
      </c>
      <c r="D10591" s="13" t="s">
        <v>118</v>
      </c>
      <c r="E10591" s="13" t="s">
        <v>19041</v>
      </c>
      <c r="F10591" s="43">
        <v>1969.11</v>
      </c>
    </row>
    <row r="10592" spans="2:6" x14ac:dyDescent="0.25">
      <c r="B10592" s="13" t="s">
        <v>19042</v>
      </c>
      <c r="C10592" s="17" t="s">
        <v>170</v>
      </c>
      <c r="D10592" s="13" t="s">
        <v>118</v>
      </c>
      <c r="E10592" s="13" t="s">
        <v>19043</v>
      </c>
      <c r="F10592" s="43">
        <v>2161.89</v>
      </c>
    </row>
    <row r="10593" spans="2:6" x14ac:dyDescent="0.25">
      <c r="B10593" s="13" t="s">
        <v>19044</v>
      </c>
      <c r="C10593" s="17" t="s">
        <v>170</v>
      </c>
      <c r="D10593" s="13" t="s">
        <v>118</v>
      </c>
      <c r="E10593" s="13" t="s">
        <v>19045</v>
      </c>
      <c r="F10593" s="43">
        <v>358.02</v>
      </c>
    </row>
    <row r="10594" spans="2:6" x14ac:dyDescent="0.25">
      <c r="B10594" s="13" t="s">
        <v>19046</v>
      </c>
      <c r="C10594" s="17" t="s">
        <v>170</v>
      </c>
      <c r="D10594" s="13" t="s">
        <v>118</v>
      </c>
      <c r="E10594" s="13" t="s">
        <v>19047</v>
      </c>
      <c r="F10594" s="43">
        <v>371.79</v>
      </c>
    </row>
    <row r="10595" spans="2:6" x14ac:dyDescent="0.25">
      <c r="B10595" s="13" t="s">
        <v>19048</v>
      </c>
      <c r="C10595" s="17" t="s">
        <v>170</v>
      </c>
      <c r="D10595" s="13" t="s">
        <v>118</v>
      </c>
      <c r="E10595" s="13" t="s">
        <v>19049</v>
      </c>
      <c r="F10595" s="43">
        <v>413.1</v>
      </c>
    </row>
    <row r="10596" spans="2:6" x14ac:dyDescent="0.25">
      <c r="B10596" s="13" t="s">
        <v>19050</v>
      </c>
      <c r="C10596" s="17" t="s">
        <v>170</v>
      </c>
      <c r="D10596" s="13" t="s">
        <v>118</v>
      </c>
      <c r="E10596" s="13" t="s">
        <v>19051</v>
      </c>
      <c r="F10596" s="43">
        <v>413.1</v>
      </c>
    </row>
    <row r="10597" spans="2:6" x14ac:dyDescent="0.25">
      <c r="B10597" s="13" t="s">
        <v>19052</v>
      </c>
      <c r="C10597" s="17" t="s">
        <v>170</v>
      </c>
      <c r="D10597" s="13" t="s">
        <v>118</v>
      </c>
      <c r="E10597" s="13" t="s">
        <v>19053</v>
      </c>
      <c r="F10597" s="43">
        <v>468.18</v>
      </c>
    </row>
    <row r="10598" spans="2:6" x14ac:dyDescent="0.25">
      <c r="B10598" s="13" t="s">
        <v>19054</v>
      </c>
      <c r="C10598" s="17" t="s">
        <v>170</v>
      </c>
      <c r="D10598" s="13" t="s">
        <v>118</v>
      </c>
      <c r="E10598" s="13" t="s">
        <v>19055</v>
      </c>
      <c r="F10598" s="43">
        <v>440.64</v>
      </c>
    </row>
    <row r="10599" spans="2:6" x14ac:dyDescent="0.25">
      <c r="B10599" s="13" t="s">
        <v>19056</v>
      </c>
      <c r="C10599" s="17" t="s">
        <v>170</v>
      </c>
      <c r="D10599" s="13" t="s">
        <v>118</v>
      </c>
      <c r="E10599" s="13" t="s">
        <v>19057</v>
      </c>
      <c r="F10599" s="43">
        <v>509.49</v>
      </c>
    </row>
    <row r="10600" spans="2:6" x14ac:dyDescent="0.25">
      <c r="B10600" s="13" t="s">
        <v>19058</v>
      </c>
      <c r="C10600" s="17" t="s">
        <v>170</v>
      </c>
      <c r="D10600" s="13" t="s">
        <v>118</v>
      </c>
      <c r="E10600" s="13" t="s">
        <v>19059</v>
      </c>
      <c r="F10600" s="43">
        <v>1487.16</v>
      </c>
    </row>
    <row r="10601" spans="2:6" x14ac:dyDescent="0.25">
      <c r="B10601" s="13" t="s">
        <v>19060</v>
      </c>
      <c r="C10601" s="17" t="s">
        <v>170</v>
      </c>
      <c r="D10601" s="13" t="s">
        <v>118</v>
      </c>
      <c r="E10601" s="13" t="s">
        <v>19061</v>
      </c>
      <c r="F10601" s="43">
        <v>1583.55</v>
      </c>
    </row>
    <row r="10602" spans="2:6" x14ac:dyDescent="0.25">
      <c r="B10602" s="13" t="s">
        <v>19062</v>
      </c>
      <c r="C10602" s="17" t="s">
        <v>170</v>
      </c>
      <c r="D10602" s="13" t="s">
        <v>118</v>
      </c>
      <c r="E10602" s="13" t="s">
        <v>19063</v>
      </c>
      <c r="F10602" s="43">
        <v>1762.56</v>
      </c>
    </row>
    <row r="10603" spans="2:6" x14ac:dyDescent="0.25">
      <c r="B10603" s="13" t="s">
        <v>19064</v>
      </c>
      <c r="C10603" s="17" t="s">
        <v>170</v>
      </c>
      <c r="D10603" s="13" t="s">
        <v>118</v>
      </c>
      <c r="E10603" s="13" t="s">
        <v>19065</v>
      </c>
      <c r="F10603" s="43">
        <v>1886.49</v>
      </c>
    </row>
    <row r="10604" spans="2:6" x14ac:dyDescent="0.25">
      <c r="B10604" s="13" t="s">
        <v>19066</v>
      </c>
      <c r="C10604" s="17" t="s">
        <v>170</v>
      </c>
      <c r="D10604" s="13" t="s">
        <v>118</v>
      </c>
      <c r="E10604" s="13" t="s">
        <v>19067</v>
      </c>
      <c r="F10604" s="43">
        <v>2051.73</v>
      </c>
    </row>
    <row r="10605" spans="2:6" x14ac:dyDescent="0.25">
      <c r="B10605" s="13" t="s">
        <v>19068</v>
      </c>
      <c r="C10605" s="17" t="s">
        <v>170</v>
      </c>
      <c r="D10605" s="13" t="s">
        <v>118</v>
      </c>
      <c r="E10605" s="13" t="s">
        <v>19069</v>
      </c>
      <c r="F10605" s="43">
        <v>1556.01</v>
      </c>
    </row>
    <row r="10606" spans="2:6" x14ac:dyDescent="0.25">
      <c r="B10606" s="13" t="s">
        <v>19070</v>
      </c>
      <c r="C10606" s="17" t="s">
        <v>170</v>
      </c>
      <c r="D10606" s="13" t="s">
        <v>118</v>
      </c>
      <c r="E10606" s="13" t="s">
        <v>19071</v>
      </c>
      <c r="F10606" s="43">
        <v>1666.17</v>
      </c>
    </row>
    <row r="10607" spans="2:6" x14ac:dyDescent="0.25">
      <c r="B10607" s="13" t="s">
        <v>19072</v>
      </c>
      <c r="C10607" s="17" t="s">
        <v>170</v>
      </c>
      <c r="D10607" s="13" t="s">
        <v>118</v>
      </c>
      <c r="E10607" s="13" t="s">
        <v>19073</v>
      </c>
      <c r="F10607" s="43">
        <v>1858.95</v>
      </c>
    </row>
    <row r="10608" spans="2:6" x14ac:dyDescent="0.25">
      <c r="B10608" s="13" t="s">
        <v>19074</v>
      </c>
      <c r="C10608" s="17" t="s">
        <v>170</v>
      </c>
      <c r="D10608" s="13" t="s">
        <v>118</v>
      </c>
      <c r="E10608" s="13" t="s">
        <v>19075</v>
      </c>
      <c r="F10608" s="43">
        <v>2093.04</v>
      </c>
    </row>
    <row r="10609" spans="2:6" x14ac:dyDescent="0.25">
      <c r="B10609" s="13" t="s">
        <v>19076</v>
      </c>
      <c r="C10609" s="17" t="s">
        <v>170</v>
      </c>
      <c r="D10609" s="13" t="s">
        <v>118</v>
      </c>
      <c r="E10609" s="13" t="s">
        <v>19077</v>
      </c>
      <c r="F10609" s="43">
        <v>1914.03</v>
      </c>
    </row>
    <row r="10610" spans="2:6" x14ac:dyDescent="0.25">
      <c r="B10610" s="13" t="s">
        <v>19078</v>
      </c>
      <c r="C10610" s="17" t="s">
        <v>170</v>
      </c>
      <c r="D10610" s="13" t="s">
        <v>118</v>
      </c>
      <c r="E10610" s="13" t="s">
        <v>19079</v>
      </c>
      <c r="F10610" s="43">
        <v>1982.88</v>
      </c>
    </row>
    <row r="10611" spans="2:6" x14ac:dyDescent="0.25">
      <c r="B10611" s="13" t="s">
        <v>19080</v>
      </c>
      <c r="C10611" s="17" t="s">
        <v>170</v>
      </c>
      <c r="D10611" s="13" t="s">
        <v>118</v>
      </c>
      <c r="E10611" s="13" t="s">
        <v>19081</v>
      </c>
      <c r="F10611" s="43">
        <v>2175.66</v>
      </c>
    </row>
    <row r="10612" spans="2:6" x14ac:dyDescent="0.25">
      <c r="B10612" s="13" t="s">
        <v>19082</v>
      </c>
      <c r="C10612" s="17" t="s">
        <v>170</v>
      </c>
      <c r="D10612" s="13" t="s">
        <v>118</v>
      </c>
      <c r="E10612" s="13" t="s">
        <v>19083</v>
      </c>
      <c r="F10612" s="43">
        <v>710.08</v>
      </c>
    </row>
    <row r="10613" spans="2:6" x14ac:dyDescent="0.25">
      <c r="B10613" s="13" t="s">
        <v>19084</v>
      </c>
      <c r="C10613" s="17" t="s">
        <v>170</v>
      </c>
      <c r="D10613" s="13" t="s">
        <v>118</v>
      </c>
      <c r="E10613" s="13" t="s">
        <v>19085</v>
      </c>
      <c r="F10613" s="43">
        <v>769.4</v>
      </c>
    </row>
    <row r="10614" spans="2:6" x14ac:dyDescent="0.25">
      <c r="B10614" s="13" t="s">
        <v>19086</v>
      </c>
      <c r="C10614" s="17" t="s">
        <v>170</v>
      </c>
      <c r="D10614" s="13" t="s">
        <v>118</v>
      </c>
      <c r="E10614" s="13" t="s">
        <v>19087</v>
      </c>
      <c r="F10614" s="43">
        <v>871.99</v>
      </c>
    </row>
    <row r="10615" spans="2:6" x14ac:dyDescent="0.25">
      <c r="B10615" s="13" t="s">
        <v>19088</v>
      </c>
      <c r="C10615" s="17" t="s">
        <v>170</v>
      </c>
      <c r="D10615" s="13" t="s">
        <v>118</v>
      </c>
      <c r="E10615" s="13" t="s">
        <v>19089</v>
      </c>
      <c r="F10615" s="43">
        <v>1102.29</v>
      </c>
    </row>
    <row r="10616" spans="2:6" x14ac:dyDescent="0.25">
      <c r="B10616" s="13" t="s">
        <v>19090</v>
      </c>
      <c r="C10616" s="17" t="s">
        <v>170</v>
      </c>
      <c r="D10616" s="13" t="s">
        <v>118</v>
      </c>
      <c r="E10616" s="13" t="s">
        <v>19091</v>
      </c>
      <c r="F10616" s="43">
        <v>1498.87</v>
      </c>
    </row>
    <row r="10617" spans="2:6" x14ac:dyDescent="0.25">
      <c r="B10617" s="13" t="s">
        <v>19092</v>
      </c>
      <c r="C10617" s="17" t="s">
        <v>170</v>
      </c>
      <c r="D10617" s="13" t="s">
        <v>118</v>
      </c>
      <c r="E10617" s="13" t="s">
        <v>19093</v>
      </c>
      <c r="F10617" s="43">
        <v>1922.53</v>
      </c>
    </row>
    <row r="10618" spans="2:6" x14ac:dyDescent="0.25">
      <c r="B10618" s="13" t="s">
        <v>19094</v>
      </c>
      <c r="C10618" s="17" t="s">
        <v>170</v>
      </c>
      <c r="D10618" s="13" t="s">
        <v>118</v>
      </c>
      <c r="E10618" s="13" t="s">
        <v>19095</v>
      </c>
      <c r="F10618" s="43">
        <v>3014.03</v>
      </c>
    </row>
    <row r="10619" spans="2:6" x14ac:dyDescent="0.25">
      <c r="B10619" s="13" t="s">
        <v>19096</v>
      </c>
      <c r="C10619" s="17" t="s">
        <v>170</v>
      </c>
      <c r="D10619" s="13" t="s">
        <v>118</v>
      </c>
      <c r="E10619" s="13" t="s">
        <v>19097</v>
      </c>
      <c r="F10619" s="43">
        <v>4128.9399999999996</v>
      </c>
    </row>
    <row r="10620" spans="2:6" x14ac:dyDescent="0.25">
      <c r="B10620" s="13" t="s">
        <v>19098</v>
      </c>
      <c r="C10620" s="17" t="s">
        <v>170</v>
      </c>
      <c r="D10620" s="13" t="s">
        <v>118</v>
      </c>
      <c r="E10620" s="13" t="s">
        <v>19099</v>
      </c>
      <c r="F10620" s="43">
        <v>7281.7</v>
      </c>
    </row>
    <row r="10621" spans="2:6" x14ac:dyDescent="0.25">
      <c r="B10621" s="13" t="s">
        <v>19100</v>
      </c>
      <c r="C10621" s="17" t="s">
        <v>170</v>
      </c>
      <c r="D10621" s="13" t="s">
        <v>118</v>
      </c>
      <c r="E10621" s="13" t="s">
        <v>19101</v>
      </c>
      <c r="F10621" s="43">
        <v>8578.7099999999991</v>
      </c>
    </row>
    <row r="10622" spans="2:6" x14ac:dyDescent="0.25">
      <c r="B10622" s="13" t="s">
        <v>19102</v>
      </c>
      <c r="C10622" s="17" t="s">
        <v>170</v>
      </c>
      <c r="D10622" s="13" t="s">
        <v>118</v>
      </c>
      <c r="E10622" s="13" t="s">
        <v>19103</v>
      </c>
      <c r="F10622" s="43">
        <v>11195.47</v>
      </c>
    </row>
    <row r="10623" spans="2:6" x14ac:dyDescent="0.25">
      <c r="B10623" s="13" t="s">
        <v>19104</v>
      </c>
      <c r="C10623" s="17" t="s">
        <v>170</v>
      </c>
      <c r="D10623" s="13" t="s">
        <v>118</v>
      </c>
      <c r="E10623" s="13" t="s">
        <v>19105</v>
      </c>
      <c r="F10623" s="43">
        <v>12288.93</v>
      </c>
    </row>
    <row r="10624" spans="2:6" x14ac:dyDescent="0.25">
      <c r="B10624" s="13" t="s">
        <v>19106</v>
      </c>
      <c r="C10624" s="17" t="s">
        <v>170</v>
      </c>
      <c r="D10624" s="13" t="s">
        <v>118</v>
      </c>
      <c r="E10624" s="13" t="s">
        <v>19107</v>
      </c>
      <c r="F10624" s="43">
        <v>761.6</v>
      </c>
    </row>
    <row r="10625" spans="2:6" x14ac:dyDescent="0.25">
      <c r="B10625" s="13" t="s">
        <v>19108</v>
      </c>
      <c r="C10625" s="17" t="s">
        <v>170</v>
      </c>
      <c r="D10625" s="13" t="s">
        <v>118</v>
      </c>
      <c r="E10625" s="13" t="s">
        <v>19109</v>
      </c>
      <c r="F10625" s="43">
        <v>891.61</v>
      </c>
    </row>
    <row r="10626" spans="2:6" x14ac:dyDescent="0.25">
      <c r="B10626" s="13" t="s">
        <v>19110</v>
      </c>
      <c r="C10626" s="17" t="s">
        <v>170</v>
      </c>
      <c r="D10626" s="13" t="s">
        <v>118</v>
      </c>
      <c r="E10626" s="13" t="s">
        <v>19111</v>
      </c>
      <c r="F10626" s="43">
        <v>930.17</v>
      </c>
    </row>
    <row r="10627" spans="2:6" x14ac:dyDescent="0.25">
      <c r="B10627" s="13" t="s">
        <v>19112</v>
      </c>
      <c r="C10627" s="17" t="s">
        <v>170</v>
      </c>
      <c r="D10627" s="13" t="s">
        <v>118</v>
      </c>
      <c r="E10627" s="13" t="s">
        <v>19113</v>
      </c>
      <c r="F10627" s="43">
        <v>1221.4000000000001</v>
      </c>
    </row>
    <row r="10628" spans="2:6" x14ac:dyDescent="0.25">
      <c r="B10628" s="13" t="s">
        <v>19114</v>
      </c>
      <c r="C10628" s="17" t="s">
        <v>170</v>
      </c>
      <c r="D10628" s="13" t="s">
        <v>118</v>
      </c>
      <c r="E10628" s="13" t="s">
        <v>19115</v>
      </c>
      <c r="F10628" s="43">
        <v>1672.72</v>
      </c>
    </row>
    <row r="10629" spans="2:6" x14ac:dyDescent="0.25">
      <c r="B10629" s="13" t="s">
        <v>19116</v>
      </c>
      <c r="C10629" s="17" t="s">
        <v>170</v>
      </c>
      <c r="D10629" s="13" t="s">
        <v>118</v>
      </c>
      <c r="E10629" s="13" t="s">
        <v>19117</v>
      </c>
      <c r="F10629" s="43">
        <v>2261.73</v>
      </c>
    </row>
    <row r="10630" spans="2:6" x14ac:dyDescent="0.25">
      <c r="B10630" s="13" t="s">
        <v>19118</v>
      </c>
      <c r="C10630" s="17" t="s">
        <v>170</v>
      </c>
      <c r="D10630" s="13" t="s">
        <v>118</v>
      </c>
      <c r="E10630" s="13" t="s">
        <v>19119</v>
      </c>
      <c r="F10630" s="43">
        <v>3463.85</v>
      </c>
    </row>
    <row r="10631" spans="2:6" x14ac:dyDescent="0.25">
      <c r="B10631" s="13" t="s">
        <v>19120</v>
      </c>
      <c r="C10631" s="17" t="s">
        <v>170</v>
      </c>
      <c r="D10631" s="13" t="s">
        <v>118</v>
      </c>
      <c r="E10631" s="13" t="s">
        <v>19121</v>
      </c>
      <c r="F10631" s="43">
        <v>4706.25</v>
      </c>
    </row>
    <row r="10632" spans="2:6" x14ac:dyDescent="0.25">
      <c r="B10632" s="13" t="s">
        <v>19122</v>
      </c>
      <c r="C10632" s="17" t="s">
        <v>170</v>
      </c>
      <c r="D10632" s="13" t="s">
        <v>118</v>
      </c>
      <c r="E10632" s="13" t="s">
        <v>19123</v>
      </c>
      <c r="F10632" s="43">
        <v>8766.1</v>
      </c>
    </row>
    <row r="10633" spans="2:6" x14ac:dyDescent="0.25">
      <c r="B10633" s="13" t="s">
        <v>19124</v>
      </c>
      <c r="C10633" s="17" t="s">
        <v>170</v>
      </c>
      <c r="D10633" s="13" t="s">
        <v>118</v>
      </c>
      <c r="E10633" s="13" t="s">
        <v>19125</v>
      </c>
      <c r="F10633" s="43">
        <v>10435.48</v>
      </c>
    </row>
    <row r="10634" spans="2:6" x14ac:dyDescent="0.25">
      <c r="B10634" s="13" t="s">
        <v>19126</v>
      </c>
      <c r="C10634" s="17" t="s">
        <v>170</v>
      </c>
      <c r="D10634" s="13" t="s">
        <v>118</v>
      </c>
      <c r="E10634" s="13" t="s">
        <v>19127</v>
      </c>
      <c r="F10634" s="43">
        <v>12180.03</v>
      </c>
    </row>
    <row r="10635" spans="2:6" x14ac:dyDescent="0.25">
      <c r="B10635" s="13" t="s">
        <v>19128</v>
      </c>
      <c r="C10635" s="17" t="s">
        <v>170</v>
      </c>
      <c r="D10635" s="13" t="s">
        <v>118</v>
      </c>
      <c r="E10635" s="13" t="s">
        <v>19129</v>
      </c>
      <c r="F10635" s="43">
        <v>15019.63</v>
      </c>
    </row>
    <row r="10636" spans="2:6" x14ac:dyDescent="0.25">
      <c r="B10636" s="13" t="s">
        <v>19130</v>
      </c>
      <c r="C10636" s="17" t="s">
        <v>170</v>
      </c>
      <c r="D10636" s="13" t="s">
        <v>118</v>
      </c>
      <c r="E10636" s="13" t="s">
        <v>19131</v>
      </c>
      <c r="F10636" s="43">
        <v>1814.09</v>
      </c>
    </row>
    <row r="10637" spans="2:6" x14ac:dyDescent="0.25">
      <c r="B10637" s="13" t="s">
        <v>19132</v>
      </c>
      <c r="C10637" s="17" t="s">
        <v>170</v>
      </c>
      <c r="D10637" s="13" t="s">
        <v>118</v>
      </c>
      <c r="E10637" s="13" t="s">
        <v>19133</v>
      </c>
      <c r="F10637" s="43">
        <v>2001.36</v>
      </c>
    </row>
    <row r="10638" spans="2:6" x14ac:dyDescent="0.25">
      <c r="B10638" s="13" t="s">
        <v>19134</v>
      </c>
      <c r="C10638" s="17" t="s">
        <v>170</v>
      </c>
      <c r="D10638" s="13" t="s">
        <v>118</v>
      </c>
      <c r="E10638" s="13" t="s">
        <v>19135</v>
      </c>
      <c r="F10638" s="43">
        <v>2324.27</v>
      </c>
    </row>
    <row r="10639" spans="2:6" x14ac:dyDescent="0.25">
      <c r="B10639" s="13" t="s">
        <v>19136</v>
      </c>
      <c r="C10639" s="17" t="s">
        <v>170</v>
      </c>
      <c r="D10639" s="13" t="s">
        <v>118</v>
      </c>
      <c r="E10639" s="13" t="s">
        <v>19137</v>
      </c>
      <c r="F10639" s="43">
        <v>3082.08</v>
      </c>
    </row>
    <row r="10640" spans="2:6" x14ac:dyDescent="0.25">
      <c r="B10640" s="13" t="s">
        <v>19138</v>
      </c>
      <c r="C10640" s="17" t="s">
        <v>170</v>
      </c>
      <c r="D10640" s="13" t="s">
        <v>118</v>
      </c>
      <c r="E10640" s="13" t="s">
        <v>19139</v>
      </c>
      <c r="F10640" s="43">
        <v>4299</v>
      </c>
    </row>
    <row r="10641" spans="2:6" x14ac:dyDescent="0.25">
      <c r="B10641" s="13" t="s">
        <v>19140</v>
      </c>
      <c r="C10641" s="17" t="s">
        <v>170</v>
      </c>
      <c r="D10641" s="13" t="s">
        <v>118</v>
      </c>
      <c r="E10641" s="13" t="s">
        <v>19141</v>
      </c>
      <c r="F10641" s="43">
        <v>5633.31</v>
      </c>
    </row>
    <row r="10642" spans="2:6" x14ac:dyDescent="0.25">
      <c r="B10642" s="13" t="s">
        <v>19142</v>
      </c>
      <c r="C10642" s="17" t="s">
        <v>170</v>
      </c>
      <c r="D10642" s="13" t="s">
        <v>118</v>
      </c>
      <c r="E10642" s="13" t="s">
        <v>19143</v>
      </c>
      <c r="F10642" s="43">
        <v>9071.57</v>
      </c>
    </row>
    <row r="10643" spans="2:6" x14ac:dyDescent="0.25">
      <c r="B10643" s="13" t="s">
        <v>19144</v>
      </c>
      <c r="C10643" s="17" t="s">
        <v>170</v>
      </c>
      <c r="D10643" s="13" t="s">
        <v>118</v>
      </c>
      <c r="E10643" s="13" t="s">
        <v>19145</v>
      </c>
      <c r="F10643" s="43">
        <v>12583.72</v>
      </c>
    </row>
    <row r="10644" spans="2:6" x14ac:dyDescent="0.25">
      <c r="B10644" s="13" t="s">
        <v>19146</v>
      </c>
      <c r="C10644" s="17" t="s">
        <v>170</v>
      </c>
      <c r="D10644" s="13" t="s">
        <v>118</v>
      </c>
      <c r="E10644" s="13" t="s">
        <v>19147</v>
      </c>
      <c r="F10644" s="43">
        <v>22514.639999999999</v>
      </c>
    </row>
    <row r="10645" spans="2:6" x14ac:dyDescent="0.25">
      <c r="B10645" s="13" t="s">
        <v>19148</v>
      </c>
      <c r="C10645" s="17" t="s">
        <v>170</v>
      </c>
      <c r="D10645" s="13" t="s">
        <v>118</v>
      </c>
      <c r="E10645" s="13" t="s">
        <v>19149</v>
      </c>
      <c r="F10645" s="43">
        <v>26600.43</v>
      </c>
    </row>
    <row r="10646" spans="2:6" x14ac:dyDescent="0.25">
      <c r="B10646" s="13" t="s">
        <v>19150</v>
      </c>
      <c r="C10646" s="17" t="s">
        <v>170</v>
      </c>
      <c r="D10646" s="13" t="s">
        <v>118</v>
      </c>
      <c r="E10646" s="13" t="s">
        <v>19151</v>
      </c>
      <c r="F10646" s="43">
        <v>34843.15</v>
      </c>
    </row>
    <row r="10647" spans="2:6" x14ac:dyDescent="0.25">
      <c r="B10647" s="13" t="s">
        <v>19152</v>
      </c>
      <c r="C10647" s="17" t="s">
        <v>170</v>
      </c>
      <c r="D10647" s="13" t="s">
        <v>118</v>
      </c>
      <c r="E10647" s="13" t="s">
        <v>19153</v>
      </c>
      <c r="F10647" s="43">
        <v>38287.49</v>
      </c>
    </row>
    <row r="10648" spans="2:6" x14ac:dyDescent="0.25">
      <c r="B10648" s="13" t="s">
        <v>19154</v>
      </c>
      <c r="C10648" s="17" t="s">
        <v>170</v>
      </c>
      <c r="D10648" s="13" t="s">
        <v>118</v>
      </c>
      <c r="E10648" s="13" t="s">
        <v>19155</v>
      </c>
      <c r="F10648" s="43">
        <v>1882.36</v>
      </c>
    </row>
    <row r="10649" spans="2:6" x14ac:dyDescent="0.25">
      <c r="B10649" s="13" t="s">
        <v>19156</v>
      </c>
      <c r="C10649" s="17" t="s">
        <v>170</v>
      </c>
      <c r="D10649" s="13" t="s">
        <v>118</v>
      </c>
      <c r="E10649" s="13" t="s">
        <v>19157</v>
      </c>
      <c r="F10649" s="43">
        <v>2386</v>
      </c>
    </row>
    <row r="10650" spans="2:6" x14ac:dyDescent="0.25">
      <c r="B10650" s="13" t="s">
        <v>19158</v>
      </c>
      <c r="C10650" s="17" t="s">
        <v>170</v>
      </c>
      <c r="D10650" s="13" t="s">
        <v>118</v>
      </c>
      <c r="E10650" s="13" t="s">
        <v>19159</v>
      </c>
      <c r="F10650" s="43">
        <v>2507.52</v>
      </c>
    </row>
    <row r="10651" spans="2:6" x14ac:dyDescent="0.25">
      <c r="B10651" s="13" t="s">
        <v>19160</v>
      </c>
      <c r="C10651" s="17" t="s">
        <v>170</v>
      </c>
      <c r="D10651" s="13" t="s">
        <v>118</v>
      </c>
      <c r="E10651" s="13" t="s">
        <v>19161</v>
      </c>
      <c r="F10651" s="43">
        <v>3424.95</v>
      </c>
    </row>
    <row r="10652" spans="2:6" x14ac:dyDescent="0.25">
      <c r="B10652" s="13" t="s">
        <v>19162</v>
      </c>
      <c r="C10652" s="17" t="s">
        <v>170</v>
      </c>
      <c r="D10652" s="13" t="s">
        <v>118</v>
      </c>
      <c r="E10652" s="13" t="s">
        <v>19163</v>
      </c>
      <c r="F10652" s="43">
        <v>4846.47</v>
      </c>
    </row>
    <row r="10653" spans="2:6" x14ac:dyDescent="0.25">
      <c r="B10653" s="13" t="s">
        <v>19164</v>
      </c>
      <c r="C10653" s="17" t="s">
        <v>170</v>
      </c>
      <c r="D10653" s="13" t="s">
        <v>118</v>
      </c>
      <c r="E10653" s="13" t="s">
        <v>19165</v>
      </c>
      <c r="F10653" s="43">
        <v>6701.63</v>
      </c>
    </row>
    <row r="10654" spans="2:6" x14ac:dyDescent="0.25">
      <c r="B10654" s="13" t="s">
        <v>19166</v>
      </c>
      <c r="C10654" s="17" t="s">
        <v>170</v>
      </c>
      <c r="D10654" s="13" t="s">
        <v>118</v>
      </c>
      <c r="E10654" s="13" t="s">
        <v>19167</v>
      </c>
      <c r="F10654" s="43">
        <v>10488.73</v>
      </c>
    </row>
    <row r="10655" spans="2:6" x14ac:dyDescent="0.25">
      <c r="B10655" s="13" t="s">
        <v>19168</v>
      </c>
      <c r="C10655" s="17" t="s">
        <v>170</v>
      </c>
      <c r="D10655" s="13" t="s">
        <v>118</v>
      </c>
      <c r="E10655" s="13" t="s">
        <v>19169</v>
      </c>
      <c r="F10655" s="43">
        <v>14402.16</v>
      </c>
    </row>
    <row r="10656" spans="2:6" x14ac:dyDescent="0.25">
      <c r="B10656" s="13" t="s">
        <v>19170</v>
      </c>
      <c r="C10656" s="17" t="s">
        <v>170</v>
      </c>
      <c r="D10656" s="13" t="s">
        <v>118</v>
      </c>
      <c r="E10656" s="13" t="s">
        <v>19171</v>
      </c>
      <c r="F10656" s="43">
        <v>27190.59</v>
      </c>
    </row>
    <row r="10657" spans="2:6" x14ac:dyDescent="0.25">
      <c r="B10657" s="13" t="s">
        <v>19172</v>
      </c>
      <c r="C10657" s="17" t="s">
        <v>170</v>
      </c>
      <c r="D10657" s="13" t="s">
        <v>118</v>
      </c>
      <c r="E10657" s="13" t="s">
        <v>19173</v>
      </c>
      <c r="F10657" s="43">
        <v>32449.119999999999</v>
      </c>
    </row>
    <row r="10658" spans="2:6" x14ac:dyDescent="0.25">
      <c r="B10658" s="13" t="s">
        <v>19174</v>
      </c>
      <c r="C10658" s="17" t="s">
        <v>170</v>
      </c>
      <c r="D10658" s="13" t="s">
        <v>118</v>
      </c>
      <c r="E10658" s="13" t="s">
        <v>19175</v>
      </c>
      <c r="F10658" s="43">
        <v>41559.01</v>
      </c>
    </row>
    <row r="10659" spans="2:6" x14ac:dyDescent="0.25">
      <c r="B10659" s="13" t="s">
        <v>19176</v>
      </c>
      <c r="C10659" s="17" t="s">
        <v>170</v>
      </c>
      <c r="D10659" s="13" t="s">
        <v>118</v>
      </c>
      <c r="E10659" s="13" t="s">
        <v>19177</v>
      </c>
      <c r="F10659" s="43">
        <v>38287.49</v>
      </c>
    </row>
    <row r="10660" spans="2:6" x14ac:dyDescent="0.25">
      <c r="B10660" s="13" t="s">
        <v>19178</v>
      </c>
      <c r="C10660" s="17" t="s">
        <v>170</v>
      </c>
      <c r="D10660" s="13" t="s">
        <v>118</v>
      </c>
      <c r="E10660" s="13" t="s">
        <v>19179</v>
      </c>
      <c r="F10660" s="43">
        <v>1814.09</v>
      </c>
    </row>
    <row r="10661" spans="2:6" x14ac:dyDescent="0.25">
      <c r="B10661" s="13" t="s">
        <v>19180</v>
      </c>
      <c r="C10661" s="17" t="s">
        <v>170</v>
      </c>
      <c r="D10661" s="13" t="s">
        <v>118</v>
      </c>
      <c r="E10661" s="13" t="s">
        <v>19181</v>
      </c>
      <c r="F10661" s="43">
        <v>2001.36</v>
      </c>
    </row>
    <row r="10662" spans="2:6" x14ac:dyDescent="0.25">
      <c r="B10662" s="13" t="s">
        <v>19182</v>
      </c>
      <c r="C10662" s="17" t="s">
        <v>170</v>
      </c>
      <c r="D10662" s="13" t="s">
        <v>118</v>
      </c>
      <c r="E10662" s="13" t="s">
        <v>19183</v>
      </c>
      <c r="F10662" s="43">
        <v>2324.27</v>
      </c>
    </row>
    <row r="10663" spans="2:6" x14ac:dyDescent="0.25">
      <c r="B10663" s="13" t="s">
        <v>19184</v>
      </c>
      <c r="C10663" s="17" t="s">
        <v>170</v>
      </c>
      <c r="D10663" s="13" t="s">
        <v>118</v>
      </c>
      <c r="E10663" s="13" t="s">
        <v>19185</v>
      </c>
      <c r="F10663" s="43">
        <v>3082.08</v>
      </c>
    </row>
    <row r="10664" spans="2:6" x14ac:dyDescent="0.25">
      <c r="B10664" s="13" t="s">
        <v>19186</v>
      </c>
      <c r="C10664" s="17" t="s">
        <v>170</v>
      </c>
      <c r="D10664" s="13" t="s">
        <v>118</v>
      </c>
      <c r="E10664" s="13" t="s">
        <v>19187</v>
      </c>
      <c r="F10664" s="43">
        <v>4299</v>
      </c>
    </row>
    <row r="10665" spans="2:6" x14ac:dyDescent="0.25">
      <c r="B10665" s="13" t="s">
        <v>19188</v>
      </c>
      <c r="C10665" s="17" t="s">
        <v>170</v>
      </c>
      <c r="D10665" s="13" t="s">
        <v>118</v>
      </c>
      <c r="E10665" s="13" t="s">
        <v>19189</v>
      </c>
      <c r="F10665" s="43">
        <v>5633.31</v>
      </c>
    </row>
    <row r="10666" spans="2:6" x14ac:dyDescent="0.25">
      <c r="B10666" s="13" t="s">
        <v>19190</v>
      </c>
      <c r="C10666" s="17" t="s">
        <v>170</v>
      </c>
      <c r="D10666" s="13" t="s">
        <v>118</v>
      </c>
      <c r="E10666" s="13" t="s">
        <v>19191</v>
      </c>
      <c r="F10666" s="43">
        <v>9071.57</v>
      </c>
    </row>
    <row r="10667" spans="2:6" x14ac:dyDescent="0.25">
      <c r="B10667" s="13" t="s">
        <v>19192</v>
      </c>
      <c r="C10667" s="17" t="s">
        <v>170</v>
      </c>
      <c r="D10667" s="13" t="s">
        <v>118</v>
      </c>
      <c r="E10667" s="13" t="s">
        <v>19193</v>
      </c>
      <c r="F10667" s="43">
        <v>12583.72</v>
      </c>
    </row>
    <row r="10668" spans="2:6" x14ac:dyDescent="0.25">
      <c r="B10668" s="13" t="s">
        <v>19194</v>
      </c>
      <c r="C10668" s="17" t="s">
        <v>170</v>
      </c>
      <c r="D10668" s="13" t="s">
        <v>118</v>
      </c>
      <c r="E10668" s="13" t="s">
        <v>19195</v>
      </c>
      <c r="F10668" s="43">
        <v>22514.639999999999</v>
      </c>
    </row>
    <row r="10669" spans="2:6" x14ac:dyDescent="0.25">
      <c r="B10669" s="13" t="s">
        <v>19196</v>
      </c>
      <c r="C10669" s="17" t="s">
        <v>170</v>
      </c>
      <c r="D10669" s="13" t="s">
        <v>118</v>
      </c>
      <c r="E10669" s="13" t="s">
        <v>19197</v>
      </c>
      <c r="F10669" s="43">
        <v>26600.43</v>
      </c>
    </row>
    <row r="10670" spans="2:6" x14ac:dyDescent="0.25">
      <c r="B10670" s="13" t="s">
        <v>19198</v>
      </c>
      <c r="C10670" s="17" t="s">
        <v>170</v>
      </c>
      <c r="D10670" s="13" t="s">
        <v>118</v>
      </c>
      <c r="E10670" s="13" t="s">
        <v>19199</v>
      </c>
      <c r="F10670" s="43">
        <v>34843.15</v>
      </c>
    </row>
    <row r="10671" spans="2:6" x14ac:dyDescent="0.25">
      <c r="B10671" s="13" t="s">
        <v>19200</v>
      </c>
      <c r="C10671" s="17" t="s">
        <v>170</v>
      </c>
      <c r="D10671" s="13" t="s">
        <v>118</v>
      </c>
      <c r="E10671" s="13" t="s">
        <v>19201</v>
      </c>
      <c r="F10671" s="43">
        <v>38287.49</v>
      </c>
    </row>
    <row r="10672" spans="2:6" x14ac:dyDescent="0.25">
      <c r="B10672" s="13" t="s">
        <v>19202</v>
      </c>
      <c r="C10672" s="17" t="s">
        <v>170</v>
      </c>
      <c r="D10672" s="13" t="s">
        <v>118</v>
      </c>
      <c r="E10672" s="13" t="s">
        <v>19203</v>
      </c>
      <c r="F10672" s="43">
        <v>1882.36</v>
      </c>
    </row>
    <row r="10673" spans="2:6" x14ac:dyDescent="0.25">
      <c r="B10673" s="13" t="s">
        <v>19204</v>
      </c>
      <c r="C10673" s="17" t="s">
        <v>170</v>
      </c>
      <c r="D10673" s="13" t="s">
        <v>118</v>
      </c>
      <c r="E10673" s="13" t="s">
        <v>19205</v>
      </c>
      <c r="F10673" s="43">
        <v>2386</v>
      </c>
    </row>
    <row r="10674" spans="2:6" x14ac:dyDescent="0.25">
      <c r="B10674" s="13" t="s">
        <v>19206</v>
      </c>
      <c r="C10674" s="17" t="s">
        <v>170</v>
      </c>
      <c r="D10674" s="13" t="s">
        <v>118</v>
      </c>
      <c r="E10674" s="13" t="s">
        <v>19207</v>
      </c>
      <c r="F10674" s="43">
        <v>2507.52</v>
      </c>
    </row>
    <row r="10675" spans="2:6" x14ac:dyDescent="0.25">
      <c r="B10675" s="13" t="s">
        <v>19208</v>
      </c>
      <c r="C10675" s="17" t="s">
        <v>170</v>
      </c>
      <c r="D10675" s="13" t="s">
        <v>118</v>
      </c>
      <c r="E10675" s="13" t="s">
        <v>19209</v>
      </c>
      <c r="F10675" s="43">
        <v>3424.95</v>
      </c>
    </row>
    <row r="10676" spans="2:6" x14ac:dyDescent="0.25">
      <c r="B10676" s="13" t="s">
        <v>19210</v>
      </c>
      <c r="C10676" s="17" t="s">
        <v>170</v>
      </c>
      <c r="D10676" s="13" t="s">
        <v>118</v>
      </c>
      <c r="E10676" s="13" t="s">
        <v>19211</v>
      </c>
      <c r="F10676" s="43">
        <v>4846.47</v>
      </c>
    </row>
    <row r="10677" spans="2:6" x14ac:dyDescent="0.25">
      <c r="B10677" s="13" t="s">
        <v>19212</v>
      </c>
      <c r="C10677" s="17" t="s">
        <v>170</v>
      </c>
      <c r="D10677" s="13" t="s">
        <v>118</v>
      </c>
      <c r="E10677" s="13" t="s">
        <v>19213</v>
      </c>
      <c r="F10677" s="43">
        <v>6701.63</v>
      </c>
    </row>
    <row r="10678" spans="2:6" x14ac:dyDescent="0.25">
      <c r="B10678" s="13" t="s">
        <v>19214</v>
      </c>
      <c r="C10678" s="17" t="s">
        <v>170</v>
      </c>
      <c r="D10678" s="13" t="s">
        <v>118</v>
      </c>
      <c r="E10678" s="13" t="s">
        <v>19215</v>
      </c>
      <c r="F10678" s="43">
        <v>10488.73</v>
      </c>
    </row>
    <row r="10679" spans="2:6" x14ac:dyDescent="0.25">
      <c r="B10679" s="13" t="s">
        <v>19216</v>
      </c>
      <c r="C10679" s="17" t="s">
        <v>170</v>
      </c>
      <c r="D10679" s="13" t="s">
        <v>118</v>
      </c>
      <c r="E10679" s="13" t="s">
        <v>19217</v>
      </c>
      <c r="F10679" s="43">
        <v>14402.16</v>
      </c>
    </row>
    <row r="10680" spans="2:6" x14ac:dyDescent="0.25">
      <c r="B10680" s="13" t="s">
        <v>19218</v>
      </c>
      <c r="C10680" s="17" t="s">
        <v>170</v>
      </c>
      <c r="D10680" s="13" t="s">
        <v>118</v>
      </c>
      <c r="E10680" s="13" t="s">
        <v>19219</v>
      </c>
      <c r="F10680" s="43">
        <v>27190.59</v>
      </c>
    </row>
    <row r="10681" spans="2:6" x14ac:dyDescent="0.25">
      <c r="B10681" s="13" t="s">
        <v>19220</v>
      </c>
      <c r="C10681" s="17" t="s">
        <v>170</v>
      </c>
      <c r="D10681" s="13" t="s">
        <v>118</v>
      </c>
      <c r="E10681" s="13" t="s">
        <v>19221</v>
      </c>
      <c r="F10681" s="43">
        <v>32449.119999999999</v>
      </c>
    </row>
    <row r="10682" spans="2:6" x14ac:dyDescent="0.25">
      <c r="B10682" s="13" t="s">
        <v>19222</v>
      </c>
      <c r="C10682" s="17" t="s">
        <v>170</v>
      </c>
      <c r="D10682" s="13" t="s">
        <v>118</v>
      </c>
      <c r="E10682" s="13" t="s">
        <v>19223</v>
      </c>
      <c r="F10682" s="43">
        <v>41559.01</v>
      </c>
    </row>
    <row r="10683" spans="2:6" x14ac:dyDescent="0.25">
      <c r="B10683" s="13" t="s">
        <v>19224</v>
      </c>
      <c r="C10683" s="17" t="s">
        <v>170</v>
      </c>
      <c r="D10683" s="13" t="s">
        <v>118</v>
      </c>
      <c r="E10683" s="13" t="s">
        <v>19225</v>
      </c>
      <c r="F10683" s="43">
        <v>38287.49</v>
      </c>
    </row>
    <row r="10684" spans="2:6" x14ac:dyDescent="0.25">
      <c r="B10684" s="13" t="s">
        <v>19226</v>
      </c>
      <c r="C10684" s="17" t="s">
        <v>170</v>
      </c>
      <c r="D10684" s="13" t="s">
        <v>118</v>
      </c>
      <c r="E10684" s="13" t="s">
        <v>19227</v>
      </c>
      <c r="F10684" s="43">
        <v>669.92</v>
      </c>
    </row>
    <row r="10685" spans="2:6" x14ac:dyDescent="0.25">
      <c r="B10685" s="13" t="s">
        <v>19228</v>
      </c>
      <c r="C10685" s="17" t="s">
        <v>170</v>
      </c>
      <c r="D10685" s="13" t="s">
        <v>118</v>
      </c>
      <c r="E10685" s="13" t="s">
        <v>19229</v>
      </c>
      <c r="F10685" s="43">
        <v>718.68</v>
      </c>
    </row>
    <row r="10686" spans="2:6" x14ac:dyDescent="0.25">
      <c r="B10686" s="13" t="s">
        <v>19230</v>
      </c>
      <c r="C10686" s="17" t="s">
        <v>170</v>
      </c>
      <c r="D10686" s="13" t="s">
        <v>118</v>
      </c>
      <c r="E10686" s="13" t="s">
        <v>19231</v>
      </c>
      <c r="F10686" s="43">
        <v>677.37</v>
      </c>
    </row>
    <row r="10687" spans="2:6" x14ac:dyDescent="0.25">
      <c r="B10687" s="13" t="s">
        <v>19232</v>
      </c>
      <c r="C10687" s="17" t="s">
        <v>170</v>
      </c>
      <c r="D10687" s="13" t="s">
        <v>118</v>
      </c>
      <c r="E10687" s="13" t="s">
        <v>19233</v>
      </c>
      <c r="F10687" s="43">
        <v>999.02</v>
      </c>
    </row>
    <row r="10688" spans="2:6" x14ac:dyDescent="0.25">
      <c r="B10688" s="13" t="s">
        <v>19234</v>
      </c>
      <c r="C10688" s="17" t="s">
        <v>170</v>
      </c>
      <c r="D10688" s="13" t="s">
        <v>118</v>
      </c>
      <c r="E10688" s="13" t="s">
        <v>19235</v>
      </c>
      <c r="F10688" s="43">
        <v>1337.42</v>
      </c>
    </row>
    <row r="10689" spans="2:6" x14ac:dyDescent="0.25">
      <c r="B10689" s="13" t="s">
        <v>19236</v>
      </c>
      <c r="C10689" s="17" t="s">
        <v>170</v>
      </c>
      <c r="D10689" s="13" t="s">
        <v>118</v>
      </c>
      <c r="E10689" s="13" t="s">
        <v>19237</v>
      </c>
      <c r="F10689" s="43">
        <v>1662.73</v>
      </c>
    </row>
    <row r="10690" spans="2:6" x14ac:dyDescent="0.25">
      <c r="B10690" s="13" t="s">
        <v>19238</v>
      </c>
      <c r="C10690" s="17" t="s">
        <v>170</v>
      </c>
      <c r="D10690" s="13" t="s">
        <v>118</v>
      </c>
      <c r="E10690" s="13" t="s">
        <v>19239</v>
      </c>
      <c r="F10690" s="43">
        <v>2554.34</v>
      </c>
    </row>
    <row r="10691" spans="2:6" x14ac:dyDescent="0.25">
      <c r="B10691" s="13" t="s">
        <v>19240</v>
      </c>
      <c r="C10691" s="17" t="s">
        <v>170</v>
      </c>
      <c r="D10691" s="13" t="s">
        <v>118</v>
      </c>
      <c r="E10691" s="13" t="s">
        <v>19241</v>
      </c>
      <c r="F10691" s="43">
        <v>3390.64</v>
      </c>
    </row>
    <row r="10692" spans="2:6" x14ac:dyDescent="0.25">
      <c r="B10692" s="13" t="s">
        <v>19242</v>
      </c>
      <c r="C10692" s="17" t="s">
        <v>170</v>
      </c>
      <c r="D10692" s="13" t="s">
        <v>118</v>
      </c>
      <c r="E10692" s="13" t="s">
        <v>19243</v>
      </c>
      <c r="F10692" s="43">
        <v>6097.36</v>
      </c>
    </row>
    <row r="10693" spans="2:6" x14ac:dyDescent="0.25">
      <c r="B10693" s="13" t="s">
        <v>19244</v>
      </c>
      <c r="C10693" s="17" t="s">
        <v>170</v>
      </c>
      <c r="D10693" s="13" t="s">
        <v>118</v>
      </c>
      <c r="E10693" s="13" t="s">
        <v>19245</v>
      </c>
      <c r="F10693" s="43">
        <v>7143.31</v>
      </c>
    </row>
    <row r="10694" spans="2:6" x14ac:dyDescent="0.25">
      <c r="B10694" s="13" t="s">
        <v>19246</v>
      </c>
      <c r="C10694" s="17" t="s">
        <v>170</v>
      </c>
      <c r="D10694" s="13" t="s">
        <v>118</v>
      </c>
      <c r="E10694" s="13" t="s">
        <v>19247</v>
      </c>
      <c r="F10694" s="43">
        <v>9428.5499999999993</v>
      </c>
    </row>
    <row r="10695" spans="2:6" x14ac:dyDescent="0.25">
      <c r="B10695" s="13" t="s">
        <v>19248</v>
      </c>
      <c r="C10695" s="17" t="s">
        <v>170</v>
      </c>
      <c r="D10695" s="13" t="s">
        <v>118</v>
      </c>
      <c r="E10695" s="13" t="s">
        <v>19249</v>
      </c>
      <c r="F10695" s="43">
        <v>10275.41</v>
      </c>
    </row>
    <row r="10696" spans="2:6" x14ac:dyDescent="0.25">
      <c r="B10696" s="13" t="s">
        <v>19250</v>
      </c>
      <c r="C10696" s="17" t="s">
        <v>170</v>
      </c>
      <c r="D10696" s="13" t="s">
        <v>118</v>
      </c>
      <c r="E10696" s="13" t="s">
        <v>19251</v>
      </c>
      <c r="F10696" s="43">
        <v>0</v>
      </c>
    </row>
    <row r="10697" spans="2:6" x14ac:dyDescent="0.25">
      <c r="B10697" s="13" t="s">
        <v>19252</v>
      </c>
      <c r="C10697" s="17" t="s">
        <v>170</v>
      </c>
      <c r="D10697" s="13" t="s">
        <v>118</v>
      </c>
      <c r="E10697" s="13" t="s">
        <v>19253</v>
      </c>
      <c r="F10697" s="43">
        <v>0</v>
      </c>
    </row>
    <row r="10698" spans="2:6" x14ac:dyDescent="0.25">
      <c r="B10698" s="13" t="s">
        <v>19254</v>
      </c>
      <c r="C10698" s="17" t="s">
        <v>170</v>
      </c>
      <c r="D10698" s="13" t="s">
        <v>118</v>
      </c>
      <c r="E10698" s="13" t="s">
        <v>19255</v>
      </c>
      <c r="F10698" s="43">
        <v>710.65</v>
      </c>
    </row>
    <row r="10699" spans="2:6" x14ac:dyDescent="0.25">
      <c r="B10699" s="13" t="s">
        <v>19256</v>
      </c>
      <c r="C10699" s="17" t="s">
        <v>170</v>
      </c>
      <c r="D10699" s="13" t="s">
        <v>118</v>
      </c>
      <c r="E10699" s="13" t="s">
        <v>19257</v>
      </c>
      <c r="F10699" s="43">
        <v>814.62</v>
      </c>
    </row>
    <row r="10700" spans="2:6" x14ac:dyDescent="0.25">
      <c r="B10700" s="13" t="s">
        <v>19258</v>
      </c>
      <c r="C10700" s="17" t="s">
        <v>170</v>
      </c>
      <c r="D10700" s="13" t="s">
        <v>118</v>
      </c>
      <c r="E10700" s="13" t="s">
        <v>19259</v>
      </c>
      <c r="F10700" s="43">
        <v>843.76</v>
      </c>
    </row>
    <row r="10701" spans="2:6" x14ac:dyDescent="0.25">
      <c r="B10701" s="13" t="s">
        <v>19260</v>
      </c>
      <c r="C10701" s="17" t="s">
        <v>170</v>
      </c>
      <c r="D10701" s="13" t="s">
        <v>118</v>
      </c>
      <c r="E10701" s="13" t="s">
        <v>19261</v>
      </c>
      <c r="F10701" s="43">
        <v>1084.8499999999999</v>
      </c>
    </row>
    <row r="10702" spans="2:6" x14ac:dyDescent="0.25">
      <c r="B10702" s="13" t="s">
        <v>19262</v>
      </c>
      <c r="C10702" s="17" t="s">
        <v>170</v>
      </c>
      <c r="D10702" s="13" t="s">
        <v>118</v>
      </c>
      <c r="E10702" s="13" t="s">
        <v>19263</v>
      </c>
      <c r="F10702" s="43">
        <v>1474.77</v>
      </c>
    </row>
    <row r="10703" spans="2:6" x14ac:dyDescent="0.25">
      <c r="B10703" s="13" t="s">
        <v>19264</v>
      </c>
      <c r="C10703" s="17" t="s">
        <v>170</v>
      </c>
      <c r="D10703" s="13" t="s">
        <v>118</v>
      </c>
      <c r="E10703" s="13" t="s">
        <v>19265</v>
      </c>
      <c r="F10703" s="43">
        <v>1927.8</v>
      </c>
    </row>
    <row r="10704" spans="2:6" x14ac:dyDescent="0.25">
      <c r="B10704" s="13" t="s">
        <v>19266</v>
      </c>
      <c r="C10704" s="17" t="s">
        <v>170</v>
      </c>
      <c r="D10704" s="13" t="s">
        <v>118</v>
      </c>
      <c r="E10704" s="13" t="s">
        <v>19267</v>
      </c>
      <c r="F10704" s="43">
        <v>2899.74</v>
      </c>
    </row>
    <row r="10705" spans="2:6" x14ac:dyDescent="0.25">
      <c r="B10705" s="13" t="s">
        <v>19268</v>
      </c>
      <c r="C10705" s="17" t="s">
        <v>170</v>
      </c>
      <c r="D10705" s="13" t="s">
        <v>118</v>
      </c>
      <c r="E10705" s="13" t="s">
        <v>19269</v>
      </c>
      <c r="F10705" s="43">
        <v>3825.88</v>
      </c>
    </row>
    <row r="10706" spans="2:6" x14ac:dyDescent="0.25">
      <c r="B10706" s="13" t="s">
        <v>19270</v>
      </c>
      <c r="C10706" s="17" t="s">
        <v>170</v>
      </c>
      <c r="D10706" s="13" t="s">
        <v>118</v>
      </c>
      <c r="E10706" s="13" t="s">
        <v>19271</v>
      </c>
      <c r="F10706" s="43">
        <v>7405.28</v>
      </c>
    </row>
    <row r="10707" spans="2:6" x14ac:dyDescent="0.25">
      <c r="B10707" s="13" t="s">
        <v>19272</v>
      </c>
      <c r="C10707" s="17" t="s">
        <v>170</v>
      </c>
      <c r="D10707" s="13" t="s">
        <v>118</v>
      </c>
      <c r="E10707" s="13" t="s">
        <v>19273</v>
      </c>
      <c r="F10707" s="43">
        <v>8727.5499999999993</v>
      </c>
    </row>
    <row r="10708" spans="2:6" x14ac:dyDescent="0.25">
      <c r="B10708" s="13" t="s">
        <v>19274</v>
      </c>
      <c r="C10708" s="17" t="s">
        <v>170</v>
      </c>
      <c r="D10708" s="13" t="s">
        <v>118</v>
      </c>
      <c r="E10708" s="13" t="s">
        <v>19275</v>
      </c>
      <c r="F10708" s="43">
        <v>11217.39</v>
      </c>
    </row>
    <row r="10709" spans="2:6" x14ac:dyDescent="0.25">
      <c r="B10709" s="13" t="s">
        <v>19276</v>
      </c>
      <c r="C10709" s="17" t="s">
        <v>170</v>
      </c>
      <c r="D10709" s="13" t="s">
        <v>118</v>
      </c>
      <c r="E10709" s="13" t="s">
        <v>19277</v>
      </c>
      <c r="F10709" s="43">
        <v>12509.59</v>
      </c>
    </row>
    <row r="10710" spans="2:6" x14ac:dyDescent="0.25">
      <c r="B10710" s="13" t="s">
        <v>19278</v>
      </c>
      <c r="C10710" s="17" t="s">
        <v>170</v>
      </c>
      <c r="D10710" s="13" t="s">
        <v>118</v>
      </c>
      <c r="E10710" s="13" t="s">
        <v>19279</v>
      </c>
      <c r="F10710" s="43">
        <v>0</v>
      </c>
    </row>
    <row r="10711" spans="2:6" x14ac:dyDescent="0.25">
      <c r="B10711" s="13" t="s">
        <v>19280</v>
      </c>
      <c r="C10711" s="17" t="s">
        <v>170</v>
      </c>
      <c r="D10711" s="13" t="s">
        <v>118</v>
      </c>
      <c r="E10711" s="13" t="s">
        <v>19281</v>
      </c>
      <c r="F10711" s="43">
        <v>0</v>
      </c>
    </row>
    <row r="10712" spans="2:6" x14ac:dyDescent="0.25">
      <c r="B10712" s="13" t="s">
        <v>19282</v>
      </c>
      <c r="C10712" s="17" t="s">
        <v>170</v>
      </c>
      <c r="D10712" s="13" t="s">
        <v>118</v>
      </c>
      <c r="E10712" s="13" t="s">
        <v>19283</v>
      </c>
      <c r="F10712" s="43">
        <v>740.03</v>
      </c>
    </row>
    <row r="10713" spans="2:6" x14ac:dyDescent="0.25">
      <c r="B10713" s="13" t="s">
        <v>19284</v>
      </c>
      <c r="C10713" s="17" t="s">
        <v>170</v>
      </c>
      <c r="D10713" s="13" t="s">
        <v>118</v>
      </c>
      <c r="E10713" s="13" t="s">
        <v>19285</v>
      </c>
      <c r="F10713" s="43">
        <v>785.58</v>
      </c>
    </row>
    <row r="10714" spans="2:6" x14ac:dyDescent="0.25">
      <c r="B10714" s="13" t="s">
        <v>19286</v>
      </c>
      <c r="C10714" s="17" t="s">
        <v>170</v>
      </c>
      <c r="D10714" s="13" t="s">
        <v>118</v>
      </c>
      <c r="E10714" s="13" t="s">
        <v>19287</v>
      </c>
      <c r="F10714" s="43">
        <v>864.53</v>
      </c>
    </row>
    <row r="10715" spans="2:6" x14ac:dyDescent="0.25">
      <c r="B10715" s="13" t="s">
        <v>19288</v>
      </c>
      <c r="C10715" s="17" t="s">
        <v>170</v>
      </c>
      <c r="D10715" s="13" t="s">
        <v>118</v>
      </c>
      <c r="E10715" s="13" t="s">
        <v>19289</v>
      </c>
      <c r="F10715" s="43">
        <v>1163.1099999999999</v>
      </c>
    </row>
    <row r="10716" spans="2:6" x14ac:dyDescent="0.25">
      <c r="B10716" s="13" t="s">
        <v>19290</v>
      </c>
      <c r="C10716" s="17" t="s">
        <v>170</v>
      </c>
      <c r="D10716" s="13" t="s">
        <v>118</v>
      </c>
      <c r="E10716" s="13" t="s">
        <v>19291</v>
      </c>
      <c r="F10716" s="43">
        <v>1569.33</v>
      </c>
    </row>
    <row r="10717" spans="2:6" x14ac:dyDescent="0.25">
      <c r="B10717" s="13" t="s">
        <v>19292</v>
      </c>
      <c r="C10717" s="17" t="s">
        <v>170</v>
      </c>
      <c r="D10717" s="13" t="s">
        <v>118</v>
      </c>
      <c r="E10717" s="13" t="s">
        <v>19293</v>
      </c>
      <c r="F10717" s="43">
        <v>1886.27</v>
      </c>
    </row>
    <row r="10718" spans="2:6" x14ac:dyDescent="0.25">
      <c r="B10718" s="13" t="s">
        <v>19294</v>
      </c>
      <c r="C10718" s="17" t="s">
        <v>170</v>
      </c>
      <c r="D10718" s="13" t="s">
        <v>118</v>
      </c>
      <c r="E10718" s="13" t="s">
        <v>19295</v>
      </c>
      <c r="F10718" s="43">
        <v>2830.31</v>
      </c>
    </row>
    <row r="10719" spans="2:6" x14ac:dyDescent="0.25">
      <c r="B10719" s="13" t="s">
        <v>19296</v>
      </c>
      <c r="C10719" s="17" t="s">
        <v>170</v>
      </c>
      <c r="D10719" s="13" t="s">
        <v>118</v>
      </c>
      <c r="E10719" s="13" t="s">
        <v>19297</v>
      </c>
      <c r="F10719" s="43">
        <v>3745.67</v>
      </c>
    </row>
    <row r="10720" spans="2:6" x14ac:dyDescent="0.25">
      <c r="B10720" s="13" t="s">
        <v>19298</v>
      </c>
      <c r="C10720" s="17" t="s">
        <v>170</v>
      </c>
      <c r="D10720" s="13" t="s">
        <v>118</v>
      </c>
      <c r="E10720" s="13" t="s">
        <v>19299</v>
      </c>
      <c r="F10720" s="43">
        <v>6892.23</v>
      </c>
    </row>
    <row r="10721" spans="2:6" x14ac:dyDescent="0.25">
      <c r="B10721" s="13" t="s">
        <v>19300</v>
      </c>
      <c r="C10721" s="17" t="s">
        <v>170</v>
      </c>
      <c r="D10721" s="13" t="s">
        <v>118</v>
      </c>
      <c r="E10721" s="13" t="s">
        <v>19301</v>
      </c>
      <c r="F10721" s="43">
        <v>8115.12</v>
      </c>
    </row>
    <row r="10722" spans="2:6" x14ac:dyDescent="0.25">
      <c r="B10722" s="13" t="s">
        <v>19302</v>
      </c>
      <c r="C10722" s="17" t="s">
        <v>170</v>
      </c>
      <c r="D10722" s="13" t="s">
        <v>118</v>
      </c>
      <c r="E10722" s="13" t="s">
        <v>19303</v>
      </c>
      <c r="F10722" s="43">
        <v>10851.57</v>
      </c>
    </row>
    <row r="10723" spans="2:6" x14ac:dyDescent="0.25">
      <c r="B10723" s="13" t="s">
        <v>19304</v>
      </c>
      <c r="C10723" s="17" t="s">
        <v>170</v>
      </c>
      <c r="D10723" s="13" t="s">
        <v>118</v>
      </c>
      <c r="E10723" s="13" t="s">
        <v>19305</v>
      </c>
      <c r="F10723" s="43">
        <v>10851.57</v>
      </c>
    </row>
    <row r="10724" spans="2:6" x14ac:dyDescent="0.25">
      <c r="B10724" s="13" t="s">
        <v>19306</v>
      </c>
      <c r="C10724" s="17" t="s">
        <v>170</v>
      </c>
      <c r="D10724" s="13" t="s">
        <v>118</v>
      </c>
      <c r="E10724" s="13" t="s">
        <v>19307</v>
      </c>
      <c r="F10724" s="43">
        <v>11154.16</v>
      </c>
    </row>
    <row r="10725" spans="2:6" x14ac:dyDescent="0.25">
      <c r="B10725" s="13" t="s">
        <v>19308</v>
      </c>
      <c r="C10725" s="17" t="s">
        <v>170</v>
      </c>
      <c r="D10725" s="13" t="s">
        <v>118</v>
      </c>
      <c r="E10725" s="13" t="s">
        <v>19309</v>
      </c>
      <c r="F10725" s="43">
        <v>781.11</v>
      </c>
    </row>
    <row r="10726" spans="2:6" x14ac:dyDescent="0.25">
      <c r="B10726" s="13" t="s">
        <v>19310</v>
      </c>
      <c r="C10726" s="17" t="s">
        <v>170</v>
      </c>
      <c r="D10726" s="13" t="s">
        <v>118</v>
      </c>
      <c r="E10726" s="13" t="s">
        <v>19311</v>
      </c>
      <c r="F10726" s="43">
        <v>878.42</v>
      </c>
    </row>
    <row r="10727" spans="2:6" x14ac:dyDescent="0.25">
      <c r="B10727" s="13" t="s">
        <v>19312</v>
      </c>
      <c r="C10727" s="17" t="s">
        <v>170</v>
      </c>
      <c r="D10727" s="13" t="s">
        <v>118</v>
      </c>
      <c r="E10727" s="13" t="s">
        <v>19313</v>
      </c>
      <c r="F10727" s="43">
        <v>909.05</v>
      </c>
    </row>
    <row r="10728" spans="2:6" x14ac:dyDescent="0.25">
      <c r="B10728" s="13" t="s">
        <v>19314</v>
      </c>
      <c r="C10728" s="17" t="s">
        <v>170</v>
      </c>
      <c r="D10728" s="13" t="s">
        <v>118</v>
      </c>
      <c r="E10728" s="13" t="s">
        <v>19315</v>
      </c>
      <c r="F10728" s="43">
        <v>1246.42</v>
      </c>
    </row>
    <row r="10729" spans="2:6" x14ac:dyDescent="0.25">
      <c r="B10729" s="13" t="s">
        <v>19316</v>
      </c>
      <c r="C10729" s="17" t="s">
        <v>170</v>
      </c>
      <c r="D10729" s="13" t="s">
        <v>118</v>
      </c>
      <c r="E10729" s="13" t="s">
        <v>19317</v>
      </c>
      <c r="F10729" s="43">
        <v>1445.51</v>
      </c>
    </row>
    <row r="10730" spans="2:6" x14ac:dyDescent="0.25">
      <c r="B10730" s="13" t="s">
        <v>19318</v>
      </c>
      <c r="C10730" s="17" t="s">
        <v>170</v>
      </c>
      <c r="D10730" s="13" t="s">
        <v>118</v>
      </c>
      <c r="E10730" s="13" t="s">
        <v>19319</v>
      </c>
      <c r="F10730" s="43">
        <v>2142.5</v>
      </c>
    </row>
    <row r="10731" spans="2:6" x14ac:dyDescent="0.25">
      <c r="B10731" s="13" t="s">
        <v>19320</v>
      </c>
      <c r="C10731" s="17" t="s">
        <v>170</v>
      </c>
      <c r="D10731" s="13" t="s">
        <v>118</v>
      </c>
      <c r="E10731" s="13" t="s">
        <v>19321</v>
      </c>
      <c r="F10731" s="43">
        <v>3165.27</v>
      </c>
    </row>
    <row r="10732" spans="2:6" x14ac:dyDescent="0.25">
      <c r="B10732" s="13" t="s">
        <v>19322</v>
      </c>
      <c r="C10732" s="17" t="s">
        <v>170</v>
      </c>
      <c r="D10732" s="13" t="s">
        <v>118</v>
      </c>
      <c r="E10732" s="13" t="s">
        <v>19323</v>
      </c>
      <c r="F10732" s="43">
        <v>4168.87</v>
      </c>
    </row>
    <row r="10733" spans="2:6" x14ac:dyDescent="0.25">
      <c r="B10733" s="13" t="s">
        <v>19324</v>
      </c>
      <c r="C10733" s="17" t="s">
        <v>170</v>
      </c>
      <c r="D10733" s="13" t="s">
        <v>118</v>
      </c>
      <c r="E10733" s="13" t="s">
        <v>19325</v>
      </c>
      <c r="F10733" s="43">
        <v>8163.43</v>
      </c>
    </row>
    <row r="10734" spans="2:6" x14ac:dyDescent="0.25">
      <c r="B10734" s="13" t="s">
        <v>19326</v>
      </c>
      <c r="C10734" s="17" t="s">
        <v>170</v>
      </c>
      <c r="D10734" s="13" t="s">
        <v>118</v>
      </c>
      <c r="E10734" s="13" t="s">
        <v>19327</v>
      </c>
      <c r="F10734" s="43">
        <v>9655.18</v>
      </c>
    </row>
    <row r="10735" spans="2:6" x14ac:dyDescent="0.25">
      <c r="B10735" s="13" t="s">
        <v>19328</v>
      </c>
      <c r="C10735" s="17" t="s">
        <v>170</v>
      </c>
      <c r="D10735" s="13" t="s">
        <v>118</v>
      </c>
      <c r="E10735" s="13" t="s">
        <v>19329</v>
      </c>
      <c r="F10735" s="43">
        <v>12590.95</v>
      </c>
    </row>
    <row r="10736" spans="2:6" x14ac:dyDescent="0.25">
      <c r="B10736" s="13" t="s">
        <v>19330</v>
      </c>
      <c r="C10736" s="17" t="s">
        <v>170</v>
      </c>
      <c r="D10736" s="13" t="s">
        <v>118</v>
      </c>
      <c r="E10736" s="13" t="s">
        <v>19331</v>
      </c>
      <c r="F10736" s="43">
        <v>14490.75</v>
      </c>
    </row>
    <row r="10737" spans="2:6" x14ac:dyDescent="0.25">
      <c r="B10737" s="13" t="s">
        <v>19332</v>
      </c>
      <c r="C10737" s="17" t="s">
        <v>170</v>
      </c>
      <c r="D10737" s="13" t="s">
        <v>118</v>
      </c>
      <c r="E10737" s="13" t="s">
        <v>19333</v>
      </c>
      <c r="F10737" s="43">
        <v>1687.75</v>
      </c>
    </row>
    <row r="10738" spans="2:6" x14ac:dyDescent="0.25">
      <c r="B10738" s="13" t="s">
        <v>19334</v>
      </c>
      <c r="C10738" s="17" t="s">
        <v>170</v>
      </c>
      <c r="D10738" s="13" t="s">
        <v>118</v>
      </c>
      <c r="E10738" s="13" t="s">
        <v>19335</v>
      </c>
      <c r="F10738" s="43">
        <v>1841.4</v>
      </c>
    </row>
    <row r="10739" spans="2:6" x14ac:dyDescent="0.25">
      <c r="B10739" s="13" t="s">
        <v>19336</v>
      </c>
      <c r="C10739" s="17" t="s">
        <v>170</v>
      </c>
      <c r="D10739" s="13" t="s">
        <v>118</v>
      </c>
      <c r="E10739" s="13" t="s">
        <v>19337</v>
      </c>
      <c r="F10739" s="43">
        <v>1711.16</v>
      </c>
    </row>
    <row r="10740" spans="2:6" x14ac:dyDescent="0.25">
      <c r="B10740" s="13" t="s">
        <v>19338</v>
      </c>
      <c r="C10740" s="17" t="s">
        <v>170</v>
      </c>
      <c r="D10740" s="13" t="s">
        <v>118</v>
      </c>
      <c r="E10740" s="13" t="s">
        <v>19339</v>
      </c>
      <c r="F10740" s="43">
        <v>2724.28</v>
      </c>
    </row>
    <row r="10741" spans="2:6" x14ac:dyDescent="0.25">
      <c r="B10741" s="13" t="s">
        <v>19340</v>
      </c>
      <c r="C10741" s="17" t="s">
        <v>170</v>
      </c>
      <c r="D10741" s="13" t="s">
        <v>118</v>
      </c>
      <c r="E10741" s="13" t="s">
        <v>19341</v>
      </c>
      <c r="F10741" s="43">
        <v>3790.31</v>
      </c>
    </row>
    <row r="10742" spans="2:6" x14ac:dyDescent="0.25">
      <c r="B10742" s="13" t="s">
        <v>19342</v>
      </c>
      <c r="C10742" s="17" t="s">
        <v>170</v>
      </c>
      <c r="D10742" s="13" t="s">
        <v>118</v>
      </c>
      <c r="E10742" s="13" t="s">
        <v>19343</v>
      </c>
      <c r="F10742" s="43">
        <v>4815.03</v>
      </c>
    </row>
    <row r="10743" spans="2:6" x14ac:dyDescent="0.25">
      <c r="B10743" s="13" t="s">
        <v>19344</v>
      </c>
      <c r="C10743" s="17" t="s">
        <v>170</v>
      </c>
      <c r="D10743" s="13" t="s">
        <v>118</v>
      </c>
      <c r="E10743" s="13" t="s">
        <v>19345</v>
      </c>
      <c r="F10743" s="43">
        <v>7623.65</v>
      </c>
    </row>
    <row r="10744" spans="2:6" x14ac:dyDescent="0.25">
      <c r="B10744" s="13" t="s">
        <v>19346</v>
      </c>
      <c r="C10744" s="17" t="s">
        <v>170</v>
      </c>
      <c r="D10744" s="13" t="s">
        <v>118</v>
      </c>
      <c r="E10744" s="13" t="s">
        <v>19347</v>
      </c>
      <c r="F10744" s="43">
        <v>10257.969999999999</v>
      </c>
    </row>
    <row r="10745" spans="2:6" x14ac:dyDescent="0.25">
      <c r="B10745" s="13" t="s">
        <v>19348</v>
      </c>
      <c r="C10745" s="17" t="s">
        <v>170</v>
      </c>
      <c r="D10745" s="13" t="s">
        <v>118</v>
      </c>
      <c r="E10745" s="13" t="s">
        <v>19349</v>
      </c>
      <c r="F10745" s="43">
        <v>18784.240000000002</v>
      </c>
    </row>
    <row r="10746" spans="2:6" x14ac:dyDescent="0.25">
      <c r="B10746" s="13" t="s">
        <v>19350</v>
      </c>
      <c r="C10746" s="17" t="s">
        <v>170</v>
      </c>
      <c r="D10746" s="13" t="s">
        <v>118</v>
      </c>
      <c r="E10746" s="13" t="s">
        <v>19351</v>
      </c>
      <c r="F10746" s="43">
        <v>22078.94</v>
      </c>
    </row>
    <row r="10747" spans="2:6" x14ac:dyDescent="0.25">
      <c r="B10747" s="13" t="s">
        <v>19352</v>
      </c>
      <c r="C10747" s="17" t="s">
        <v>170</v>
      </c>
      <c r="D10747" s="13" t="s">
        <v>118</v>
      </c>
      <c r="E10747" s="13" t="s">
        <v>19353</v>
      </c>
      <c r="F10747" s="43">
        <v>29277.32</v>
      </c>
    </row>
    <row r="10748" spans="2:6" x14ac:dyDescent="0.25">
      <c r="B10748" s="13" t="s">
        <v>19354</v>
      </c>
      <c r="C10748" s="17" t="s">
        <v>170</v>
      </c>
      <c r="D10748" s="13" t="s">
        <v>118</v>
      </c>
      <c r="E10748" s="13" t="s">
        <v>19355</v>
      </c>
      <c r="F10748" s="43">
        <v>31945.03</v>
      </c>
    </row>
    <row r="10749" spans="2:6" x14ac:dyDescent="0.25">
      <c r="B10749" s="13" t="s">
        <v>19356</v>
      </c>
      <c r="C10749" s="17" t="s">
        <v>170</v>
      </c>
      <c r="D10749" s="13" t="s">
        <v>118</v>
      </c>
      <c r="E10749" s="13" t="s">
        <v>19357</v>
      </c>
      <c r="F10749" s="43">
        <v>11831.88</v>
      </c>
    </row>
    <row r="10750" spans="2:6" x14ac:dyDescent="0.25">
      <c r="B10750" s="13" t="s">
        <v>19358</v>
      </c>
      <c r="C10750" s="17" t="s">
        <v>170</v>
      </c>
      <c r="D10750" s="13" t="s">
        <v>118</v>
      </c>
      <c r="E10750" s="13" t="s">
        <v>19359</v>
      </c>
      <c r="F10750" s="43">
        <v>16265.82</v>
      </c>
    </row>
    <row r="10751" spans="2:6" x14ac:dyDescent="0.25">
      <c r="B10751" s="13" t="s">
        <v>19360</v>
      </c>
      <c r="C10751" s="17" t="s">
        <v>170</v>
      </c>
      <c r="D10751" s="13" t="s">
        <v>118</v>
      </c>
      <c r="E10751" s="13" t="s">
        <v>19361</v>
      </c>
      <c r="F10751" s="43">
        <v>1816.04</v>
      </c>
    </row>
    <row r="10752" spans="2:6" x14ac:dyDescent="0.25">
      <c r="B10752" s="13" t="s">
        <v>19362</v>
      </c>
      <c r="C10752" s="17" t="s">
        <v>170</v>
      </c>
      <c r="D10752" s="13" t="s">
        <v>118</v>
      </c>
      <c r="E10752" s="13" t="s">
        <v>19363</v>
      </c>
      <c r="F10752" s="43">
        <v>2144.6799999999998</v>
      </c>
    </row>
    <row r="10753" spans="2:6" x14ac:dyDescent="0.25">
      <c r="B10753" s="13" t="s">
        <v>19364</v>
      </c>
      <c r="C10753" s="17" t="s">
        <v>170</v>
      </c>
      <c r="D10753" s="13" t="s">
        <v>118</v>
      </c>
      <c r="E10753" s="13" t="s">
        <v>19365</v>
      </c>
      <c r="F10753" s="43">
        <v>2235.33</v>
      </c>
    </row>
    <row r="10754" spans="2:6" x14ac:dyDescent="0.25">
      <c r="B10754" s="13" t="s">
        <v>19366</v>
      </c>
      <c r="C10754" s="17" t="s">
        <v>170</v>
      </c>
      <c r="D10754" s="13" t="s">
        <v>118</v>
      </c>
      <c r="E10754" s="13" t="s">
        <v>19367</v>
      </c>
      <c r="F10754" s="43">
        <v>2994.87</v>
      </c>
    </row>
    <row r="10755" spans="2:6" x14ac:dyDescent="0.25">
      <c r="B10755" s="13" t="s">
        <v>19368</v>
      </c>
      <c r="C10755" s="17" t="s">
        <v>170</v>
      </c>
      <c r="D10755" s="13" t="s">
        <v>118</v>
      </c>
      <c r="E10755" s="13" t="s">
        <v>19369</v>
      </c>
      <c r="F10755" s="43">
        <v>4222.92</v>
      </c>
    </row>
    <row r="10756" spans="2:6" x14ac:dyDescent="0.25">
      <c r="B10756" s="13" t="s">
        <v>19370</v>
      </c>
      <c r="C10756" s="17" t="s">
        <v>170</v>
      </c>
      <c r="D10756" s="13" t="s">
        <v>118</v>
      </c>
      <c r="E10756" s="13" t="s">
        <v>19371</v>
      </c>
      <c r="F10756" s="43">
        <v>5650.07</v>
      </c>
    </row>
    <row r="10757" spans="2:6" x14ac:dyDescent="0.25">
      <c r="B10757" s="13" t="s">
        <v>19372</v>
      </c>
      <c r="C10757" s="17" t="s">
        <v>170</v>
      </c>
      <c r="D10757" s="13" t="s">
        <v>118</v>
      </c>
      <c r="E10757" s="13" t="s">
        <v>19373</v>
      </c>
      <c r="F10757" s="43">
        <v>8711.7099999999991</v>
      </c>
    </row>
    <row r="10758" spans="2:6" x14ac:dyDescent="0.25">
      <c r="B10758" s="13" t="s">
        <v>19374</v>
      </c>
      <c r="C10758" s="17" t="s">
        <v>170</v>
      </c>
      <c r="D10758" s="13" t="s">
        <v>118</v>
      </c>
      <c r="E10758" s="13" t="s">
        <v>19375</v>
      </c>
      <c r="F10758" s="43">
        <v>11628.88</v>
      </c>
    </row>
    <row r="10759" spans="2:6" x14ac:dyDescent="0.25">
      <c r="B10759" s="13" t="s">
        <v>19376</v>
      </c>
      <c r="C10759" s="17" t="s">
        <v>170</v>
      </c>
      <c r="D10759" s="13" t="s">
        <v>118</v>
      </c>
      <c r="E10759" s="13" t="s">
        <v>19377</v>
      </c>
      <c r="F10759" s="43">
        <v>22692.85</v>
      </c>
    </row>
    <row r="10760" spans="2:6" x14ac:dyDescent="0.25">
      <c r="B10760" s="13" t="s">
        <v>19378</v>
      </c>
      <c r="C10760" s="17" t="s">
        <v>170</v>
      </c>
      <c r="D10760" s="13" t="s">
        <v>118</v>
      </c>
      <c r="E10760" s="13" t="s">
        <v>19379</v>
      </c>
      <c r="F10760" s="43">
        <v>27069.07</v>
      </c>
    </row>
    <row r="10761" spans="2:6" x14ac:dyDescent="0.25">
      <c r="B10761" s="13" t="s">
        <v>19380</v>
      </c>
      <c r="C10761" s="17" t="s">
        <v>170</v>
      </c>
      <c r="D10761" s="13" t="s">
        <v>118</v>
      </c>
      <c r="E10761" s="13" t="s">
        <v>19381</v>
      </c>
      <c r="F10761" s="43">
        <v>34912.230000000003</v>
      </c>
    </row>
    <row r="10762" spans="2:6" x14ac:dyDescent="0.25">
      <c r="B10762" s="13" t="s">
        <v>19382</v>
      </c>
      <c r="C10762" s="17" t="s">
        <v>170</v>
      </c>
      <c r="D10762" s="13" t="s">
        <v>118</v>
      </c>
      <c r="E10762" s="13" t="s">
        <v>19383</v>
      </c>
      <c r="F10762" s="43">
        <v>38982.76</v>
      </c>
    </row>
    <row r="10763" spans="2:6" x14ac:dyDescent="0.25">
      <c r="B10763" s="13" t="s">
        <v>19384</v>
      </c>
      <c r="C10763" s="17" t="s">
        <v>170</v>
      </c>
      <c r="D10763" s="13" t="s">
        <v>118</v>
      </c>
      <c r="E10763" s="13" t="s">
        <v>19385</v>
      </c>
      <c r="F10763" s="43">
        <v>14072.94</v>
      </c>
    </row>
    <row r="10764" spans="2:6" x14ac:dyDescent="0.25">
      <c r="B10764" s="13" t="s">
        <v>19386</v>
      </c>
      <c r="C10764" s="17" t="s">
        <v>170</v>
      </c>
      <c r="D10764" s="13" t="s">
        <v>118</v>
      </c>
      <c r="E10764" s="13" t="s">
        <v>19387</v>
      </c>
      <c r="F10764" s="43">
        <v>18497.82</v>
      </c>
    </row>
    <row r="10765" spans="2:6" x14ac:dyDescent="0.25">
      <c r="B10765" s="13" t="s">
        <v>19388</v>
      </c>
      <c r="C10765" s="17" t="s">
        <v>170</v>
      </c>
      <c r="D10765" s="13" t="s">
        <v>118</v>
      </c>
      <c r="E10765" s="13" t="s">
        <v>19389</v>
      </c>
      <c r="F10765" s="43">
        <v>2146.75</v>
      </c>
    </row>
    <row r="10766" spans="2:6" x14ac:dyDescent="0.25">
      <c r="B10766" s="13" t="s">
        <v>19390</v>
      </c>
      <c r="C10766" s="17" t="s">
        <v>170</v>
      </c>
      <c r="D10766" s="13" t="s">
        <v>118</v>
      </c>
      <c r="E10766" s="13" t="s">
        <v>19391</v>
      </c>
      <c r="F10766" s="43">
        <v>2300.4</v>
      </c>
    </row>
    <row r="10767" spans="2:6" x14ac:dyDescent="0.25">
      <c r="B10767" s="13" t="s">
        <v>19392</v>
      </c>
      <c r="C10767" s="17" t="s">
        <v>170</v>
      </c>
      <c r="D10767" s="13" t="s">
        <v>118</v>
      </c>
      <c r="E10767" s="13" t="s">
        <v>19393</v>
      </c>
      <c r="F10767" s="43">
        <v>2170.16</v>
      </c>
    </row>
    <row r="10768" spans="2:6" x14ac:dyDescent="0.25">
      <c r="B10768" s="13" t="s">
        <v>19394</v>
      </c>
      <c r="C10768" s="17" t="s">
        <v>170</v>
      </c>
      <c r="D10768" s="13" t="s">
        <v>118</v>
      </c>
      <c r="E10768" s="13" t="s">
        <v>19395</v>
      </c>
      <c r="F10768" s="43">
        <v>2411.13</v>
      </c>
    </row>
    <row r="10769" spans="2:6" x14ac:dyDescent="0.25">
      <c r="B10769" s="13" t="s">
        <v>19396</v>
      </c>
      <c r="C10769" s="17" t="s">
        <v>170</v>
      </c>
      <c r="D10769" s="13" t="s">
        <v>118</v>
      </c>
      <c r="E10769" s="13" t="s">
        <v>19397</v>
      </c>
      <c r="F10769" s="43">
        <v>3183.28</v>
      </c>
    </row>
    <row r="10770" spans="2:6" x14ac:dyDescent="0.25">
      <c r="B10770" s="13" t="s">
        <v>19398</v>
      </c>
      <c r="C10770" s="17" t="s">
        <v>170</v>
      </c>
      <c r="D10770" s="13" t="s">
        <v>118</v>
      </c>
      <c r="E10770" s="13" t="s">
        <v>19399</v>
      </c>
      <c r="F10770" s="43">
        <v>4249.3100000000004</v>
      </c>
    </row>
    <row r="10771" spans="2:6" x14ac:dyDescent="0.25">
      <c r="B10771" s="13" t="s">
        <v>19400</v>
      </c>
      <c r="C10771" s="17" t="s">
        <v>170</v>
      </c>
      <c r="D10771" s="13" t="s">
        <v>118</v>
      </c>
      <c r="E10771" s="13" t="s">
        <v>19401</v>
      </c>
      <c r="F10771" s="43">
        <v>5274.03</v>
      </c>
    </row>
    <row r="10772" spans="2:6" x14ac:dyDescent="0.25">
      <c r="B10772" s="13" t="s">
        <v>19402</v>
      </c>
      <c r="C10772" s="17" t="s">
        <v>170</v>
      </c>
      <c r="D10772" s="13" t="s">
        <v>118</v>
      </c>
      <c r="E10772" s="13" t="s">
        <v>19403</v>
      </c>
      <c r="F10772" s="43">
        <v>8082.65</v>
      </c>
    </row>
    <row r="10773" spans="2:6" x14ac:dyDescent="0.25">
      <c r="B10773" s="13" t="s">
        <v>19404</v>
      </c>
      <c r="C10773" s="17" t="s">
        <v>170</v>
      </c>
      <c r="D10773" s="13" t="s">
        <v>118</v>
      </c>
      <c r="E10773" s="13" t="s">
        <v>19405</v>
      </c>
      <c r="F10773" s="43">
        <v>10716.97</v>
      </c>
    </row>
    <row r="10774" spans="2:6" x14ac:dyDescent="0.25">
      <c r="B10774" s="13" t="s">
        <v>19406</v>
      </c>
      <c r="C10774" s="17" t="s">
        <v>170</v>
      </c>
      <c r="D10774" s="13" t="s">
        <v>118</v>
      </c>
      <c r="E10774" s="13" t="s">
        <v>19407</v>
      </c>
      <c r="F10774" s="43">
        <v>19243.240000000002</v>
      </c>
    </row>
    <row r="10775" spans="2:6" x14ac:dyDescent="0.25">
      <c r="B10775" s="13" t="s">
        <v>19408</v>
      </c>
      <c r="C10775" s="17" t="s">
        <v>170</v>
      </c>
      <c r="D10775" s="13" t="s">
        <v>118</v>
      </c>
      <c r="E10775" s="13" t="s">
        <v>19409</v>
      </c>
      <c r="F10775" s="43">
        <v>22537.94</v>
      </c>
    </row>
    <row r="10776" spans="2:6" x14ac:dyDescent="0.25">
      <c r="B10776" s="13" t="s">
        <v>19410</v>
      </c>
      <c r="C10776" s="17" t="s">
        <v>170</v>
      </c>
      <c r="D10776" s="13" t="s">
        <v>118</v>
      </c>
      <c r="E10776" s="13" t="s">
        <v>19411</v>
      </c>
      <c r="F10776" s="43">
        <v>29736.32</v>
      </c>
    </row>
    <row r="10777" spans="2:6" x14ac:dyDescent="0.25">
      <c r="B10777" s="13" t="s">
        <v>19412</v>
      </c>
      <c r="C10777" s="17" t="s">
        <v>170</v>
      </c>
      <c r="D10777" s="13" t="s">
        <v>118</v>
      </c>
      <c r="E10777" s="13" t="s">
        <v>19413</v>
      </c>
      <c r="F10777" s="43">
        <v>32404.03</v>
      </c>
    </row>
    <row r="10778" spans="2:6" x14ac:dyDescent="0.25">
      <c r="B10778" s="13" t="s">
        <v>19414</v>
      </c>
      <c r="C10778" s="17" t="s">
        <v>170</v>
      </c>
      <c r="D10778" s="13" t="s">
        <v>118</v>
      </c>
      <c r="E10778" s="13" t="s">
        <v>19415</v>
      </c>
      <c r="F10778" s="43">
        <v>12290.88</v>
      </c>
    </row>
    <row r="10779" spans="2:6" x14ac:dyDescent="0.25">
      <c r="B10779" s="13" t="s">
        <v>19416</v>
      </c>
      <c r="C10779" s="17" t="s">
        <v>170</v>
      </c>
      <c r="D10779" s="13" t="s">
        <v>118</v>
      </c>
      <c r="E10779" s="13" t="s">
        <v>19417</v>
      </c>
      <c r="F10779" s="43">
        <v>14429.82</v>
      </c>
    </row>
    <row r="10780" spans="2:6" x14ac:dyDescent="0.25">
      <c r="B10780" s="13" t="s">
        <v>19418</v>
      </c>
      <c r="C10780" s="17" t="s">
        <v>170</v>
      </c>
      <c r="D10780" s="13" t="s">
        <v>118</v>
      </c>
      <c r="E10780" s="13" t="s">
        <v>19419</v>
      </c>
      <c r="F10780" s="43">
        <v>16724.82</v>
      </c>
    </row>
    <row r="10781" spans="2:6" x14ac:dyDescent="0.25">
      <c r="B10781" s="13" t="s">
        <v>19420</v>
      </c>
      <c r="C10781" s="17" t="s">
        <v>170</v>
      </c>
      <c r="D10781" s="13" t="s">
        <v>118</v>
      </c>
      <c r="E10781" s="13" t="s">
        <v>19421</v>
      </c>
      <c r="F10781" s="43">
        <v>2275.04</v>
      </c>
    </row>
    <row r="10782" spans="2:6" x14ac:dyDescent="0.25">
      <c r="B10782" s="13" t="s">
        <v>19422</v>
      </c>
      <c r="C10782" s="17" t="s">
        <v>170</v>
      </c>
      <c r="D10782" s="13" t="s">
        <v>118</v>
      </c>
      <c r="E10782" s="13" t="s">
        <v>19423</v>
      </c>
      <c r="F10782" s="43">
        <v>2603.6799999999998</v>
      </c>
    </row>
    <row r="10783" spans="2:6" x14ac:dyDescent="0.25">
      <c r="B10783" s="13" t="s">
        <v>19424</v>
      </c>
      <c r="C10783" s="17" t="s">
        <v>170</v>
      </c>
      <c r="D10783" s="13" t="s">
        <v>118</v>
      </c>
      <c r="E10783" s="13" t="s">
        <v>19425</v>
      </c>
      <c r="F10783" s="43">
        <v>2694.33</v>
      </c>
    </row>
    <row r="10784" spans="2:6" x14ac:dyDescent="0.25">
      <c r="B10784" s="13" t="s">
        <v>19426</v>
      </c>
      <c r="C10784" s="17" t="s">
        <v>170</v>
      </c>
      <c r="D10784" s="13" t="s">
        <v>118</v>
      </c>
      <c r="E10784" s="13" t="s">
        <v>19427</v>
      </c>
      <c r="F10784" s="43">
        <v>3453.87</v>
      </c>
    </row>
    <row r="10785" spans="2:6" x14ac:dyDescent="0.25">
      <c r="B10785" s="13" t="s">
        <v>19428</v>
      </c>
      <c r="C10785" s="17" t="s">
        <v>170</v>
      </c>
      <c r="D10785" s="13" t="s">
        <v>118</v>
      </c>
      <c r="E10785" s="13" t="s">
        <v>19429</v>
      </c>
      <c r="F10785" s="43">
        <v>4681.92</v>
      </c>
    </row>
    <row r="10786" spans="2:6" x14ac:dyDescent="0.25">
      <c r="B10786" s="13" t="s">
        <v>19430</v>
      </c>
      <c r="C10786" s="17" t="s">
        <v>170</v>
      </c>
      <c r="D10786" s="13" t="s">
        <v>118</v>
      </c>
      <c r="E10786" s="13" t="s">
        <v>19431</v>
      </c>
      <c r="F10786" s="43">
        <v>6109.07</v>
      </c>
    </row>
    <row r="10787" spans="2:6" x14ac:dyDescent="0.25">
      <c r="B10787" s="13" t="s">
        <v>19432</v>
      </c>
      <c r="C10787" s="17" t="s">
        <v>170</v>
      </c>
      <c r="D10787" s="13" t="s">
        <v>118</v>
      </c>
      <c r="E10787" s="13" t="s">
        <v>19433</v>
      </c>
      <c r="F10787" s="43">
        <v>9170.7099999999991</v>
      </c>
    </row>
    <row r="10788" spans="2:6" x14ac:dyDescent="0.25">
      <c r="B10788" s="13" t="s">
        <v>19434</v>
      </c>
      <c r="C10788" s="17" t="s">
        <v>170</v>
      </c>
      <c r="D10788" s="13" t="s">
        <v>118</v>
      </c>
      <c r="E10788" s="13" t="s">
        <v>19435</v>
      </c>
      <c r="F10788" s="43">
        <v>12087.88</v>
      </c>
    </row>
    <row r="10789" spans="2:6" x14ac:dyDescent="0.25">
      <c r="B10789" s="13" t="s">
        <v>19436</v>
      </c>
      <c r="C10789" s="17" t="s">
        <v>170</v>
      </c>
      <c r="D10789" s="13" t="s">
        <v>118</v>
      </c>
      <c r="E10789" s="13" t="s">
        <v>19437</v>
      </c>
      <c r="F10789" s="43">
        <v>23151.85</v>
      </c>
    </row>
    <row r="10790" spans="2:6" x14ac:dyDescent="0.25">
      <c r="B10790" s="13" t="s">
        <v>19438</v>
      </c>
      <c r="C10790" s="17" t="s">
        <v>170</v>
      </c>
      <c r="D10790" s="13" t="s">
        <v>118</v>
      </c>
      <c r="E10790" s="13" t="s">
        <v>19439</v>
      </c>
      <c r="F10790" s="43">
        <v>27528.07</v>
      </c>
    </row>
    <row r="10791" spans="2:6" x14ac:dyDescent="0.25">
      <c r="B10791" s="13" t="s">
        <v>19440</v>
      </c>
      <c r="C10791" s="17" t="s">
        <v>170</v>
      </c>
      <c r="D10791" s="13" t="s">
        <v>118</v>
      </c>
      <c r="E10791" s="13" t="s">
        <v>19441</v>
      </c>
      <c r="F10791" s="43">
        <v>35371.230000000003</v>
      </c>
    </row>
    <row r="10792" spans="2:6" x14ac:dyDescent="0.25">
      <c r="B10792" s="13" t="s">
        <v>19442</v>
      </c>
      <c r="C10792" s="17" t="s">
        <v>170</v>
      </c>
      <c r="D10792" s="13" t="s">
        <v>118</v>
      </c>
      <c r="E10792" s="13" t="s">
        <v>19443</v>
      </c>
      <c r="F10792" s="43">
        <v>39441.760000000002</v>
      </c>
    </row>
    <row r="10793" spans="2:6" x14ac:dyDescent="0.25">
      <c r="B10793" s="13" t="s">
        <v>19444</v>
      </c>
      <c r="C10793" s="17" t="s">
        <v>170</v>
      </c>
      <c r="D10793" s="13" t="s">
        <v>118</v>
      </c>
      <c r="E10793" s="13" t="s">
        <v>19445</v>
      </c>
      <c r="F10793" s="43">
        <v>14531.94</v>
      </c>
    </row>
    <row r="10794" spans="2:6" x14ac:dyDescent="0.25">
      <c r="B10794" s="13" t="s">
        <v>19446</v>
      </c>
      <c r="C10794" s="17" t="s">
        <v>170</v>
      </c>
      <c r="D10794" s="13" t="s">
        <v>118</v>
      </c>
      <c r="E10794" s="13" t="s">
        <v>19447</v>
      </c>
      <c r="F10794" s="43">
        <v>16826.939999999999</v>
      </c>
    </row>
    <row r="10795" spans="2:6" x14ac:dyDescent="0.25">
      <c r="B10795" s="13" t="s">
        <v>19448</v>
      </c>
      <c r="C10795" s="17" t="s">
        <v>170</v>
      </c>
      <c r="D10795" s="13" t="s">
        <v>118</v>
      </c>
      <c r="E10795" s="13" t="s">
        <v>19449</v>
      </c>
      <c r="F10795" s="43">
        <v>18956.82</v>
      </c>
    </row>
    <row r="10796" spans="2:6" x14ac:dyDescent="0.25">
      <c r="B10796" s="13" t="s">
        <v>19450</v>
      </c>
      <c r="C10796" s="17" t="s">
        <v>170</v>
      </c>
      <c r="D10796" s="13" t="s">
        <v>118</v>
      </c>
      <c r="E10796" s="13" t="s">
        <v>19451</v>
      </c>
      <c r="F10796" s="43">
        <v>669.92</v>
      </c>
    </row>
    <row r="10797" spans="2:6" x14ac:dyDescent="0.25">
      <c r="B10797" s="13" t="s">
        <v>19452</v>
      </c>
      <c r="C10797" s="17" t="s">
        <v>170</v>
      </c>
      <c r="D10797" s="13" t="s">
        <v>118</v>
      </c>
      <c r="E10797" s="13" t="s">
        <v>19453</v>
      </c>
      <c r="F10797" s="43">
        <v>718.68</v>
      </c>
    </row>
    <row r="10798" spans="2:6" x14ac:dyDescent="0.25">
      <c r="B10798" s="13" t="s">
        <v>19454</v>
      </c>
      <c r="C10798" s="17" t="s">
        <v>170</v>
      </c>
      <c r="D10798" s="13" t="s">
        <v>118</v>
      </c>
      <c r="E10798" s="13" t="s">
        <v>19455</v>
      </c>
      <c r="F10798" s="43">
        <v>677.37</v>
      </c>
    </row>
    <row r="10799" spans="2:6" x14ac:dyDescent="0.25">
      <c r="B10799" s="13" t="s">
        <v>19456</v>
      </c>
      <c r="C10799" s="17" t="s">
        <v>170</v>
      </c>
      <c r="D10799" s="13" t="s">
        <v>118</v>
      </c>
      <c r="E10799" s="13" t="s">
        <v>19457</v>
      </c>
      <c r="F10799" s="43">
        <v>999.02</v>
      </c>
    </row>
    <row r="10800" spans="2:6" x14ac:dyDescent="0.25">
      <c r="B10800" s="13" t="s">
        <v>19458</v>
      </c>
      <c r="C10800" s="17" t="s">
        <v>170</v>
      </c>
      <c r="D10800" s="13" t="s">
        <v>118</v>
      </c>
      <c r="E10800" s="13" t="s">
        <v>19459</v>
      </c>
      <c r="F10800" s="43">
        <v>1337.42</v>
      </c>
    </row>
    <row r="10801" spans="2:6" x14ac:dyDescent="0.25">
      <c r="B10801" s="13" t="s">
        <v>19460</v>
      </c>
      <c r="C10801" s="17" t="s">
        <v>170</v>
      </c>
      <c r="D10801" s="13" t="s">
        <v>118</v>
      </c>
      <c r="E10801" s="13" t="s">
        <v>19461</v>
      </c>
      <c r="F10801" s="43">
        <v>1662.73</v>
      </c>
    </row>
    <row r="10802" spans="2:6" x14ac:dyDescent="0.25">
      <c r="B10802" s="13" t="s">
        <v>19462</v>
      </c>
      <c r="C10802" s="17" t="s">
        <v>170</v>
      </c>
      <c r="D10802" s="13" t="s">
        <v>118</v>
      </c>
      <c r="E10802" s="13" t="s">
        <v>19463</v>
      </c>
      <c r="F10802" s="43">
        <v>2554.34</v>
      </c>
    </row>
    <row r="10803" spans="2:6" x14ac:dyDescent="0.25">
      <c r="B10803" s="13" t="s">
        <v>19464</v>
      </c>
      <c r="C10803" s="17" t="s">
        <v>170</v>
      </c>
      <c r="D10803" s="13" t="s">
        <v>118</v>
      </c>
      <c r="E10803" s="13" t="s">
        <v>19465</v>
      </c>
      <c r="F10803" s="43">
        <v>3390.64</v>
      </c>
    </row>
    <row r="10804" spans="2:6" x14ac:dyDescent="0.25">
      <c r="B10804" s="13" t="s">
        <v>19466</v>
      </c>
      <c r="C10804" s="17" t="s">
        <v>170</v>
      </c>
      <c r="D10804" s="13" t="s">
        <v>118</v>
      </c>
      <c r="E10804" s="13" t="s">
        <v>19467</v>
      </c>
      <c r="F10804" s="43">
        <v>6097.36</v>
      </c>
    </row>
    <row r="10805" spans="2:6" x14ac:dyDescent="0.25">
      <c r="B10805" s="13" t="s">
        <v>19468</v>
      </c>
      <c r="C10805" s="17" t="s">
        <v>170</v>
      </c>
      <c r="D10805" s="13" t="s">
        <v>118</v>
      </c>
      <c r="E10805" s="13" t="s">
        <v>19469</v>
      </c>
      <c r="F10805" s="43">
        <v>7143.31</v>
      </c>
    </row>
    <row r="10806" spans="2:6" x14ac:dyDescent="0.25">
      <c r="B10806" s="13" t="s">
        <v>19470</v>
      </c>
      <c r="C10806" s="17" t="s">
        <v>170</v>
      </c>
      <c r="D10806" s="13" t="s">
        <v>118</v>
      </c>
      <c r="E10806" s="13" t="s">
        <v>19471</v>
      </c>
      <c r="F10806" s="43">
        <v>9428.5499999999993</v>
      </c>
    </row>
    <row r="10807" spans="2:6" x14ac:dyDescent="0.25">
      <c r="B10807" s="13" t="s">
        <v>19472</v>
      </c>
      <c r="C10807" s="17" t="s">
        <v>170</v>
      </c>
      <c r="D10807" s="13" t="s">
        <v>118</v>
      </c>
      <c r="E10807" s="13" t="s">
        <v>19473</v>
      </c>
      <c r="F10807" s="43">
        <v>10275.41</v>
      </c>
    </row>
    <row r="10808" spans="2:6" x14ac:dyDescent="0.25">
      <c r="B10808" s="13" t="s">
        <v>19474</v>
      </c>
      <c r="C10808" s="17" t="s">
        <v>170</v>
      </c>
      <c r="D10808" s="13" t="s">
        <v>118</v>
      </c>
      <c r="E10808" s="13" t="s">
        <v>19475</v>
      </c>
      <c r="F10808" s="43">
        <v>710.65</v>
      </c>
    </row>
    <row r="10809" spans="2:6" x14ac:dyDescent="0.25">
      <c r="B10809" s="13" t="s">
        <v>19476</v>
      </c>
      <c r="C10809" s="17" t="s">
        <v>170</v>
      </c>
      <c r="D10809" s="13" t="s">
        <v>118</v>
      </c>
      <c r="E10809" s="13" t="s">
        <v>19477</v>
      </c>
      <c r="F10809" s="43">
        <v>814.62</v>
      </c>
    </row>
    <row r="10810" spans="2:6" x14ac:dyDescent="0.25">
      <c r="B10810" s="13" t="s">
        <v>19478</v>
      </c>
      <c r="C10810" s="17" t="s">
        <v>170</v>
      </c>
      <c r="D10810" s="13" t="s">
        <v>118</v>
      </c>
      <c r="E10810" s="13" t="s">
        <v>19479</v>
      </c>
      <c r="F10810" s="43">
        <v>843.76</v>
      </c>
    </row>
    <row r="10811" spans="2:6" x14ac:dyDescent="0.25">
      <c r="B10811" s="13" t="s">
        <v>19480</v>
      </c>
      <c r="C10811" s="17" t="s">
        <v>170</v>
      </c>
      <c r="D10811" s="13" t="s">
        <v>118</v>
      </c>
      <c r="E10811" s="13" t="s">
        <v>19481</v>
      </c>
      <c r="F10811" s="43">
        <v>1084.8499999999999</v>
      </c>
    </row>
    <row r="10812" spans="2:6" x14ac:dyDescent="0.25">
      <c r="B10812" s="13" t="s">
        <v>19482</v>
      </c>
      <c r="C10812" s="17" t="s">
        <v>170</v>
      </c>
      <c r="D10812" s="13" t="s">
        <v>118</v>
      </c>
      <c r="E10812" s="13" t="s">
        <v>19483</v>
      </c>
      <c r="F10812" s="43">
        <v>1474.77</v>
      </c>
    </row>
    <row r="10813" spans="2:6" x14ac:dyDescent="0.25">
      <c r="B10813" s="13" t="s">
        <v>19484</v>
      </c>
      <c r="C10813" s="17" t="s">
        <v>170</v>
      </c>
      <c r="D10813" s="13" t="s">
        <v>118</v>
      </c>
      <c r="E10813" s="13" t="s">
        <v>19485</v>
      </c>
      <c r="F10813" s="43">
        <v>1927.8</v>
      </c>
    </row>
    <row r="10814" spans="2:6" x14ac:dyDescent="0.25">
      <c r="B10814" s="13" t="s">
        <v>19486</v>
      </c>
      <c r="C10814" s="17" t="s">
        <v>170</v>
      </c>
      <c r="D10814" s="13" t="s">
        <v>118</v>
      </c>
      <c r="E10814" s="13" t="s">
        <v>19487</v>
      </c>
      <c r="F10814" s="43">
        <v>2899.74</v>
      </c>
    </row>
    <row r="10815" spans="2:6" x14ac:dyDescent="0.25">
      <c r="B10815" s="13" t="s">
        <v>19488</v>
      </c>
      <c r="C10815" s="17" t="s">
        <v>170</v>
      </c>
      <c r="D10815" s="13" t="s">
        <v>118</v>
      </c>
      <c r="E10815" s="13" t="s">
        <v>19489</v>
      </c>
      <c r="F10815" s="43">
        <v>3825.88</v>
      </c>
    </row>
    <row r="10816" spans="2:6" x14ac:dyDescent="0.25">
      <c r="B10816" s="13" t="s">
        <v>19490</v>
      </c>
      <c r="C10816" s="17" t="s">
        <v>170</v>
      </c>
      <c r="D10816" s="13" t="s">
        <v>118</v>
      </c>
      <c r="E10816" s="13" t="s">
        <v>19491</v>
      </c>
      <c r="F10816" s="43">
        <v>7405.28</v>
      </c>
    </row>
    <row r="10817" spans="2:6" x14ac:dyDescent="0.25">
      <c r="B10817" s="13" t="s">
        <v>19492</v>
      </c>
      <c r="C10817" s="17" t="s">
        <v>170</v>
      </c>
      <c r="D10817" s="13" t="s">
        <v>118</v>
      </c>
      <c r="E10817" s="13" t="s">
        <v>19493</v>
      </c>
      <c r="F10817" s="43">
        <v>8727.5499999999993</v>
      </c>
    </row>
    <row r="10818" spans="2:6" x14ac:dyDescent="0.25">
      <c r="B10818" s="13" t="s">
        <v>19494</v>
      </c>
      <c r="C10818" s="17" t="s">
        <v>170</v>
      </c>
      <c r="D10818" s="13" t="s">
        <v>118</v>
      </c>
      <c r="E10818" s="13" t="s">
        <v>19495</v>
      </c>
      <c r="F10818" s="43">
        <v>11217.39</v>
      </c>
    </row>
    <row r="10819" spans="2:6" x14ac:dyDescent="0.25">
      <c r="B10819" s="13" t="s">
        <v>19496</v>
      </c>
      <c r="C10819" s="17" t="s">
        <v>170</v>
      </c>
      <c r="D10819" s="13" t="s">
        <v>118</v>
      </c>
      <c r="E10819" s="13" t="s">
        <v>19497</v>
      </c>
      <c r="F10819" s="43">
        <v>12509.59</v>
      </c>
    </row>
    <row r="10820" spans="2:6" x14ac:dyDescent="0.25">
      <c r="B10820" s="13" t="s">
        <v>19498</v>
      </c>
      <c r="C10820" s="17" t="s">
        <v>170</v>
      </c>
      <c r="D10820" s="13" t="s">
        <v>118</v>
      </c>
      <c r="E10820" s="13" t="s">
        <v>19499</v>
      </c>
      <c r="F10820" s="43">
        <v>1607.31</v>
      </c>
    </row>
    <row r="10821" spans="2:6" x14ac:dyDescent="0.25">
      <c r="B10821" s="13" t="s">
        <v>19500</v>
      </c>
      <c r="C10821" s="17" t="s">
        <v>170</v>
      </c>
      <c r="D10821" s="13" t="s">
        <v>118</v>
      </c>
      <c r="E10821" s="13" t="s">
        <v>19501</v>
      </c>
      <c r="F10821" s="43">
        <v>1753.73</v>
      </c>
    </row>
    <row r="10822" spans="2:6" x14ac:dyDescent="0.25">
      <c r="B10822" s="13" t="s">
        <v>19502</v>
      </c>
      <c r="C10822" s="17" t="s">
        <v>170</v>
      </c>
      <c r="D10822" s="13" t="s">
        <v>118</v>
      </c>
      <c r="E10822" s="13" t="s">
        <v>19503</v>
      </c>
      <c r="F10822" s="43">
        <v>1629.68</v>
      </c>
    </row>
    <row r="10823" spans="2:6" x14ac:dyDescent="0.25">
      <c r="B10823" s="13" t="s">
        <v>19504</v>
      </c>
      <c r="C10823" s="17" t="s">
        <v>170</v>
      </c>
      <c r="D10823" s="13" t="s">
        <v>118</v>
      </c>
      <c r="E10823" s="13" t="s">
        <v>19505</v>
      </c>
      <c r="F10823" s="43">
        <v>2594.5</v>
      </c>
    </row>
    <row r="10824" spans="2:6" x14ac:dyDescent="0.25">
      <c r="B10824" s="13" t="s">
        <v>19506</v>
      </c>
      <c r="C10824" s="17" t="s">
        <v>170</v>
      </c>
      <c r="D10824" s="13" t="s">
        <v>118</v>
      </c>
      <c r="E10824" s="13" t="s">
        <v>19507</v>
      </c>
      <c r="F10824" s="43">
        <v>3609.81</v>
      </c>
    </row>
    <row r="10825" spans="2:6" x14ac:dyDescent="0.25">
      <c r="B10825" s="13" t="s">
        <v>19508</v>
      </c>
      <c r="C10825" s="17" t="s">
        <v>170</v>
      </c>
      <c r="D10825" s="13" t="s">
        <v>118</v>
      </c>
      <c r="E10825" s="13" t="s">
        <v>19509</v>
      </c>
      <c r="F10825" s="43">
        <v>4585.76</v>
      </c>
    </row>
    <row r="10826" spans="2:6" x14ac:dyDescent="0.25">
      <c r="B10826" s="13" t="s">
        <v>19510</v>
      </c>
      <c r="C10826" s="17" t="s">
        <v>170</v>
      </c>
      <c r="D10826" s="13" t="s">
        <v>118</v>
      </c>
      <c r="E10826" s="13" t="s">
        <v>19511</v>
      </c>
      <c r="F10826" s="43">
        <v>7260.58</v>
      </c>
    </row>
    <row r="10827" spans="2:6" x14ac:dyDescent="0.25">
      <c r="B10827" s="13" t="s">
        <v>19512</v>
      </c>
      <c r="C10827" s="17" t="s">
        <v>170</v>
      </c>
      <c r="D10827" s="13" t="s">
        <v>118</v>
      </c>
      <c r="E10827" s="13" t="s">
        <v>19513</v>
      </c>
      <c r="F10827" s="43">
        <v>9769.48</v>
      </c>
    </row>
    <row r="10828" spans="2:6" x14ac:dyDescent="0.25">
      <c r="B10828" s="13" t="s">
        <v>19514</v>
      </c>
      <c r="C10828" s="17" t="s">
        <v>170</v>
      </c>
      <c r="D10828" s="13" t="s">
        <v>118</v>
      </c>
      <c r="E10828" s="13" t="s">
        <v>19515</v>
      </c>
      <c r="F10828" s="43">
        <v>17889.759999999998</v>
      </c>
    </row>
    <row r="10829" spans="2:6" x14ac:dyDescent="0.25">
      <c r="B10829" s="13" t="s">
        <v>19516</v>
      </c>
      <c r="C10829" s="17" t="s">
        <v>170</v>
      </c>
      <c r="D10829" s="13" t="s">
        <v>118</v>
      </c>
      <c r="E10829" s="13" t="s">
        <v>19517</v>
      </c>
      <c r="F10829" s="43">
        <v>21027.599999999999</v>
      </c>
    </row>
    <row r="10830" spans="2:6" x14ac:dyDescent="0.25">
      <c r="B10830" s="13" t="s">
        <v>19518</v>
      </c>
      <c r="C10830" s="17" t="s">
        <v>170</v>
      </c>
      <c r="D10830" s="13" t="s">
        <v>118</v>
      </c>
      <c r="E10830" s="13" t="s">
        <v>19519</v>
      </c>
      <c r="F10830" s="43">
        <v>27883.11</v>
      </c>
    </row>
    <row r="10831" spans="2:6" x14ac:dyDescent="0.25">
      <c r="B10831" s="13" t="s">
        <v>19520</v>
      </c>
      <c r="C10831" s="17" t="s">
        <v>170</v>
      </c>
      <c r="D10831" s="13" t="s">
        <v>118</v>
      </c>
      <c r="E10831" s="13" t="s">
        <v>19521</v>
      </c>
      <c r="F10831" s="43">
        <v>30423.79</v>
      </c>
    </row>
    <row r="10832" spans="2:6" x14ac:dyDescent="0.25">
      <c r="B10832" s="13" t="s">
        <v>19522</v>
      </c>
      <c r="C10832" s="17" t="s">
        <v>170</v>
      </c>
      <c r="D10832" s="13" t="s">
        <v>118</v>
      </c>
      <c r="E10832" s="13" t="s">
        <v>19523</v>
      </c>
      <c r="F10832" s="43">
        <v>1729.52</v>
      </c>
    </row>
    <row r="10833" spans="2:6" x14ac:dyDescent="0.25">
      <c r="B10833" s="13" t="s">
        <v>19524</v>
      </c>
      <c r="C10833" s="17" t="s">
        <v>170</v>
      </c>
      <c r="D10833" s="13" t="s">
        <v>118</v>
      </c>
      <c r="E10833" s="13" t="s">
        <v>19525</v>
      </c>
      <c r="F10833" s="43">
        <v>2041.41</v>
      </c>
    </row>
    <row r="10834" spans="2:6" x14ac:dyDescent="0.25">
      <c r="B10834" s="13" t="s">
        <v>19526</v>
      </c>
      <c r="C10834" s="17" t="s">
        <v>170</v>
      </c>
      <c r="D10834" s="13" t="s">
        <v>118</v>
      </c>
      <c r="E10834" s="13" t="s">
        <v>19527</v>
      </c>
      <c r="F10834" s="43">
        <v>2128.85</v>
      </c>
    </row>
    <row r="10835" spans="2:6" x14ac:dyDescent="0.25">
      <c r="B10835" s="13" t="s">
        <v>19528</v>
      </c>
      <c r="C10835" s="17" t="s">
        <v>170</v>
      </c>
      <c r="D10835" s="13" t="s">
        <v>118</v>
      </c>
      <c r="E10835" s="13" t="s">
        <v>19529</v>
      </c>
      <c r="F10835" s="43">
        <v>2852.23</v>
      </c>
    </row>
    <row r="10836" spans="2:6" x14ac:dyDescent="0.25">
      <c r="B10836" s="13" t="s">
        <v>19530</v>
      </c>
      <c r="C10836" s="17" t="s">
        <v>170</v>
      </c>
      <c r="D10836" s="13" t="s">
        <v>118</v>
      </c>
      <c r="E10836" s="13" t="s">
        <v>19531</v>
      </c>
      <c r="F10836" s="43">
        <v>4021.88</v>
      </c>
    </row>
    <row r="10837" spans="2:6" x14ac:dyDescent="0.25">
      <c r="B10837" s="13" t="s">
        <v>19532</v>
      </c>
      <c r="C10837" s="17" t="s">
        <v>170</v>
      </c>
      <c r="D10837" s="13" t="s">
        <v>118</v>
      </c>
      <c r="E10837" s="13" t="s">
        <v>19533</v>
      </c>
      <c r="F10837" s="43">
        <v>5380.98</v>
      </c>
    </row>
    <row r="10838" spans="2:6" x14ac:dyDescent="0.25">
      <c r="B10838" s="13" t="s">
        <v>19534</v>
      </c>
      <c r="C10838" s="17" t="s">
        <v>170</v>
      </c>
      <c r="D10838" s="13" t="s">
        <v>118</v>
      </c>
      <c r="E10838" s="13" t="s">
        <v>19535</v>
      </c>
      <c r="F10838" s="43">
        <v>8296.89</v>
      </c>
    </row>
    <row r="10839" spans="2:6" x14ac:dyDescent="0.25">
      <c r="B10839" s="13" t="s">
        <v>19536</v>
      </c>
      <c r="C10839" s="17" t="s">
        <v>170</v>
      </c>
      <c r="D10839" s="13" t="s">
        <v>118</v>
      </c>
      <c r="E10839" s="13" t="s">
        <v>19537</v>
      </c>
      <c r="F10839" s="43">
        <v>11075.1</v>
      </c>
    </row>
    <row r="10840" spans="2:6" x14ac:dyDescent="0.25">
      <c r="B10840" s="13" t="s">
        <v>19538</v>
      </c>
      <c r="C10840" s="17" t="s">
        <v>170</v>
      </c>
      <c r="D10840" s="13" t="s">
        <v>118</v>
      </c>
      <c r="E10840" s="13" t="s">
        <v>19539</v>
      </c>
      <c r="F10840" s="43">
        <v>21612.25</v>
      </c>
    </row>
    <row r="10841" spans="2:6" x14ac:dyDescent="0.25">
      <c r="B10841" s="13" t="s">
        <v>19540</v>
      </c>
      <c r="C10841" s="17" t="s">
        <v>170</v>
      </c>
      <c r="D10841" s="13" t="s">
        <v>118</v>
      </c>
      <c r="E10841" s="13" t="s">
        <v>19541</v>
      </c>
      <c r="F10841" s="43">
        <v>25780.080000000002</v>
      </c>
    </row>
    <row r="10842" spans="2:6" x14ac:dyDescent="0.25">
      <c r="B10842" s="13" t="s">
        <v>19542</v>
      </c>
      <c r="C10842" s="17" t="s">
        <v>170</v>
      </c>
      <c r="D10842" s="13" t="s">
        <v>118</v>
      </c>
      <c r="E10842" s="13" t="s">
        <v>19543</v>
      </c>
      <c r="F10842" s="43">
        <v>33249.74</v>
      </c>
    </row>
    <row r="10843" spans="2:6" x14ac:dyDescent="0.25">
      <c r="B10843" s="13" t="s">
        <v>19544</v>
      </c>
      <c r="C10843" s="17" t="s">
        <v>170</v>
      </c>
      <c r="D10843" s="13" t="s">
        <v>118</v>
      </c>
      <c r="E10843" s="13" t="s">
        <v>19545</v>
      </c>
      <c r="F10843" s="43">
        <v>37126.449999999997</v>
      </c>
    </row>
    <row r="10844" spans="2:6" x14ac:dyDescent="0.25">
      <c r="B10844" s="13" t="s">
        <v>19546</v>
      </c>
      <c r="C10844" s="17" t="s">
        <v>170</v>
      </c>
      <c r="D10844" s="13" t="s">
        <v>118</v>
      </c>
      <c r="E10844" s="13" t="s">
        <v>19547</v>
      </c>
      <c r="F10844" s="43">
        <v>881.74</v>
      </c>
    </row>
    <row r="10845" spans="2:6" x14ac:dyDescent="0.25">
      <c r="B10845" s="13" t="s">
        <v>19548</v>
      </c>
      <c r="C10845" s="17" t="s">
        <v>170</v>
      </c>
      <c r="D10845" s="13" t="s">
        <v>118</v>
      </c>
      <c r="E10845" s="13" t="s">
        <v>19549</v>
      </c>
      <c r="F10845" s="43">
        <v>980.89</v>
      </c>
    </row>
    <row r="10846" spans="2:6" x14ac:dyDescent="0.25">
      <c r="B10846" s="13" t="s">
        <v>19550</v>
      </c>
      <c r="C10846" s="17" t="s">
        <v>170</v>
      </c>
      <c r="D10846" s="13" t="s">
        <v>118</v>
      </c>
      <c r="E10846" s="13" t="s">
        <v>19551</v>
      </c>
      <c r="F10846" s="43">
        <v>1123.6400000000001</v>
      </c>
    </row>
    <row r="10847" spans="2:6" x14ac:dyDescent="0.25">
      <c r="B10847" s="13" t="s">
        <v>19552</v>
      </c>
      <c r="C10847" s="17" t="s">
        <v>170</v>
      </c>
      <c r="D10847" s="13" t="s">
        <v>118</v>
      </c>
      <c r="E10847" s="13" t="s">
        <v>19553</v>
      </c>
      <c r="F10847" s="43">
        <v>1458.25</v>
      </c>
    </row>
    <row r="10848" spans="2:6" x14ac:dyDescent="0.25">
      <c r="B10848" s="13" t="s">
        <v>19554</v>
      </c>
      <c r="C10848" s="17" t="s">
        <v>170</v>
      </c>
      <c r="D10848" s="13" t="s">
        <v>118</v>
      </c>
      <c r="E10848" s="13" t="s">
        <v>19555</v>
      </c>
      <c r="F10848" s="43">
        <v>1944.79</v>
      </c>
    </row>
    <row r="10849" spans="2:6" x14ac:dyDescent="0.25">
      <c r="B10849" s="13" t="s">
        <v>19556</v>
      </c>
      <c r="C10849" s="17" t="s">
        <v>170</v>
      </c>
      <c r="D10849" s="13" t="s">
        <v>118</v>
      </c>
      <c r="E10849" s="13" t="s">
        <v>19557</v>
      </c>
      <c r="F10849" s="43">
        <v>2482.16</v>
      </c>
    </row>
    <row r="10850" spans="2:6" x14ac:dyDescent="0.25">
      <c r="B10850" s="13" t="s">
        <v>19558</v>
      </c>
      <c r="C10850" s="17" t="s">
        <v>170</v>
      </c>
      <c r="D10850" s="13" t="s">
        <v>118</v>
      </c>
      <c r="E10850" s="13" t="s">
        <v>19559</v>
      </c>
      <c r="F10850" s="43">
        <v>3627.6</v>
      </c>
    </row>
    <row r="10851" spans="2:6" x14ac:dyDescent="0.25">
      <c r="B10851" s="13" t="s">
        <v>19560</v>
      </c>
      <c r="C10851" s="17" t="s">
        <v>170</v>
      </c>
      <c r="D10851" s="13" t="s">
        <v>118</v>
      </c>
      <c r="E10851" s="13" t="s">
        <v>19561</v>
      </c>
      <c r="F10851" s="43">
        <v>4690.53</v>
      </c>
    </row>
    <row r="10852" spans="2:6" x14ac:dyDescent="0.25">
      <c r="B10852" s="13" t="s">
        <v>19562</v>
      </c>
      <c r="C10852" s="17" t="s">
        <v>170</v>
      </c>
      <c r="D10852" s="13" t="s">
        <v>118</v>
      </c>
      <c r="E10852" s="13" t="s">
        <v>19563</v>
      </c>
      <c r="F10852" s="43">
        <v>7891.13</v>
      </c>
    </row>
    <row r="10853" spans="2:6" x14ac:dyDescent="0.25">
      <c r="B10853" s="13" t="s">
        <v>19564</v>
      </c>
      <c r="C10853" s="17" t="s">
        <v>170</v>
      </c>
      <c r="D10853" s="13" t="s">
        <v>118</v>
      </c>
      <c r="E10853" s="13" t="s">
        <v>19565</v>
      </c>
      <c r="F10853" s="43">
        <v>9503.6</v>
      </c>
    </row>
    <row r="10854" spans="2:6" x14ac:dyDescent="0.25">
      <c r="B10854" s="13" t="s">
        <v>19566</v>
      </c>
      <c r="C10854" s="17" t="s">
        <v>170</v>
      </c>
      <c r="D10854" s="13" t="s">
        <v>118</v>
      </c>
      <c r="E10854" s="13" t="s">
        <v>19567</v>
      </c>
      <c r="F10854" s="43">
        <v>12604.37</v>
      </c>
    </row>
    <row r="10855" spans="2:6" x14ac:dyDescent="0.25">
      <c r="B10855" s="13" t="s">
        <v>19568</v>
      </c>
      <c r="C10855" s="17" t="s">
        <v>170</v>
      </c>
      <c r="D10855" s="13" t="s">
        <v>118</v>
      </c>
      <c r="E10855" s="13" t="s">
        <v>19569</v>
      </c>
      <c r="F10855" s="43">
        <v>13844.71</v>
      </c>
    </row>
    <row r="10856" spans="2:6" x14ac:dyDescent="0.25">
      <c r="B10856" s="13" t="s">
        <v>19570</v>
      </c>
      <c r="C10856" s="17" t="s">
        <v>170</v>
      </c>
      <c r="D10856" s="13" t="s">
        <v>118</v>
      </c>
      <c r="E10856" s="13" t="s">
        <v>19571</v>
      </c>
      <c r="F10856" s="43">
        <v>67532.45</v>
      </c>
    </row>
    <row r="10857" spans="2:6" x14ac:dyDescent="0.25">
      <c r="B10857" s="13" t="s">
        <v>19572</v>
      </c>
      <c r="C10857" s="17" t="s">
        <v>170</v>
      </c>
      <c r="D10857" s="13" t="s">
        <v>118</v>
      </c>
      <c r="E10857" s="13" t="s">
        <v>19573</v>
      </c>
      <c r="F10857" s="43">
        <v>881.74</v>
      </c>
    </row>
    <row r="10858" spans="2:6" x14ac:dyDescent="0.25">
      <c r="B10858" s="13" t="s">
        <v>19574</v>
      </c>
      <c r="C10858" s="17" t="s">
        <v>170</v>
      </c>
      <c r="D10858" s="13" t="s">
        <v>118</v>
      </c>
      <c r="E10858" s="13" t="s">
        <v>19575</v>
      </c>
      <c r="F10858" s="43">
        <v>1175.73</v>
      </c>
    </row>
    <row r="10859" spans="2:6" x14ac:dyDescent="0.25">
      <c r="B10859" s="13" t="s">
        <v>19576</v>
      </c>
      <c r="C10859" s="17" t="s">
        <v>170</v>
      </c>
      <c r="D10859" s="13" t="s">
        <v>118</v>
      </c>
      <c r="E10859" s="13" t="s">
        <v>19577</v>
      </c>
      <c r="F10859" s="43">
        <v>1210.3900000000001</v>
      </c>
    </row>
    <row r="10860" spans="2:6" x14ac:dyDescent="0.25">
      <c r="B10860" s="13" t="s">
        <v>19578</v>
      </c>
      <c r="C10860" s="17" t="s">
        <v>170</v>
      </c>
      <c r="D10860" s="13" t="s">
        <v>118</v>
      </c>
      <c r="E10860" s="13" t="s">
        <v>19579</v>
      </c>
      <c r="F10860" s="43">
        <v>1620.62</v>
      </c>
    </row>
    <row r="10861" spans="2:6" x14ac:dyDescent="0.25">
      <c r="B10861" s="13" t="s">
        <v>19580</v>
      </c>
      <c r="C10861" s="17" t="s">
        <v>170</v>
      </c>
      <c r="D10861" s="13" t="s">
        <v>118</v>
      </c>
      <c r="E10861" s="13" t="s">
        <v>19581</v>
      </c>
      <c r="F10861" s="43">
        <v>2200.4499999999998</v>
      </c>
    </row>
    <row r="10862" spans="2:6" x14ac:dyDescent="0.25">
      <c r="B10862" s="13" t="s">
        <v>19582</v>
      </c>
      <c r="C10862" s="17" t="s">
        <v>170</v>
      </c>
      <c r="D10862" s="13" t="s">
        <v>118</v>
      </c>
      <c r="E10862" s="13" t="s">
        <v>19583</v>
      </c>
      <c r="F10862" s="43">
        <v>2244.86</v>
      </c>
    </row>
    <row r="10863" spans="2:6" x14ac:dyDescent="0.25">
      <c r="B10863" s="13" t="s">
        <v>19584</v>
      </c>
      <c r="C10863" s="17" t="s">
        <v>170</v>
      </c>
      <c r="D10863" s="13" t="s">
        <v>118</v>
      </c>
      <c r="E10863" s="13" t="s">
        <v>19585</v>
      </c>
      <c r="F10863" s="43">
        <v>4196.76</v>
      </c>
    </row>
    <row r="10864" spans="2:6" x14ac:dyDescent="0.25">
      <c r="B10864" s="13" t="s">
        <v>19586</v>
      </c>
      <c r="C10864" s="17" t="s">
        <v>170</v>
      </c>
      <c r="D10864" s="13" t="s">
        <v>118</v>
      </c>
      <c r="E10864" s="13" t="s">
        <v>19587</v>
      </c>
      <c r="F10864" s="43">
        <v>5357.34</v>
      </c>
    </row>
    <row r="10865" spans="2:6" x14ac:dyDescent="0.25">
      <c r="B10865" s="13" t="s">
        <v>19588</v>
      </c>
      <c r="C10865" s="17" t="s">
        <v>170</v>
      </c>
      <c r="D10865" s="13" t="s">
        <v>118</v>
      </c>
      <c r="E10865" s="13" t="s">
        <v>19589</v>
      </c>
      <c r="F10865" s="43">
        <v>9415.01</v>
      </c>
    </row>
    <row r="10866" spans="2:6" x14ac:dyDescent="0.25">
      <c r="B10866" s="13" t="s">
        <v>19590</v>
      </c>
      <c r="C10866" s="17" t="s">
        <v>170</v>
      </c>
      <c r="D10866" s="13" t="s">
        <v>118</v>
      </c>
      <c r="E10866" s="13" t="s">
        <v>19591</v>
      </c>
      <c r="F10866" s="43">
        <v>11541.22</v>
      </c>
    </row>
    <row r="10867" spans="2:6" x14ac:dyDescent="0.25">
      <c r="B10867" s="13" t="s">
        <v>19592</v>
      </c>
      <c r="C10867" s="17" t="s">
        <v>170</v>
      </c>
      <c r="D10867" s="13" t="s">
        <v>118</v>
      </c>
      <c r="E10867" s="13" t="s">
        <v>19593</v>
      </c>
      <c r="F10867" s="43">
        <v>14978.67</v>
      </c>
    </row>
    <row r="10868" spans="2:6" x14ac:dyDescent="0.25">
      <c r="B10868" s="13" t="s">
        <v>19594</v>
      </c>
      <c r="C10868" s="17" t="s">
        <v>170</v>
      </c>
      <c r="D10868" s="13" t="s">
        <v>118</v>
      </c>
      <c r="E10868" s="13" t="s">
        <v>19595</v>
      </c>
      <c r="F10868" s="43">
        <v>16963.150000000001</v>
      </c>
    </row>
    <row r="10869" spans="2:6" x14ac:dyDescent="0.25">
      <c r="B10869" s="13" t="s">
        <v>19596</v>
      </c>
      <c r="C10869" s="17" t="s">
        <v>170</v>
      </c>
      <c r="D10869" s="13" t="s">
        <v>118</v>
      </c>
      <c r="E10869" s="13" t="s">
        <v>19597</v>
      </c>
      <c r="F10869" s="43">
        <v>0</v>
      </c>
    </row>
    <row r="10870" spans="2:6" x14ac:dyDescent="0.25">
      <c r="B10870" s="13" t="s">
        <v>19598</v>
      </c>
      <c r="C10870" s="17" t="s">
        <v>170</v>
      </c>
      <c r="D10870" s="13" t="s">
        <v>118</v>
      </c>
      <c r="E10870" s="13" t="s">
        <v>19599</v>
      </c>
      <c r="F10870" s="43">
        <v>1562.21</v>
      </c>
    </row>
    <row r="10871" spans="2:6" x14ac:dyDescent="0.25">
      <c r="B10871" s="13" t="s">
        <v>19600</v>
      </c>
      <c r="C10871" s="17" t="s">
        <v>170</v>
      </c>
      <c r="D10871" s="13" t="s">
        <v>118</v>
      </c>
      <c r="E10871" s="13" t="s">
        <v>19601</v>
      </c>
      <c r="F10871" s="43">
        <v>1760.61</v>
      </c>
    </row>
    <row r="10872" spans="2:6" x14ac:dyDescent="0.25">
      <c r="B10872" s="13" t="s">
        <v>19602</v>
      </c>
      <c r="C10872" s="17" t="s">
        <v>170</v>
      </c>
      <c r="D10872" s="13" t="s">
        <v>118</v>
      </c>
      <c r="E10872" s="13" t="s">
        <v>19603</v>
      </c>
      <c r="F10872" s="43">
        <v>2045.88</v>
      </c>
    </row>
    <row r="10873" spans="2:6" x14ac:dyDescent="0.25">
      <c r="B10873" s="13" t="s">
        <v>19604</v>
      </c>
      <c r="C10873" s="17" t="s">
        <v>170</v>
      </c>
      <c r="D10873" s="13" t="s">
        <v>118</v>
      </c>
      <c r="E10873" s="13" t="s">
        <v>19605</v>
      </c>
      <c r="F10873" s="43">
        <v>2715.33</v>
      </c>
    </row>
    <row r="10874" spans="2:6" x14ac:dyDescent="0.25">
      <c r="B10874" s="13" t="s">
        <v>19606</v>
      </c>
      <c r="C10874" s="17" t="s">
        <v>170</v>
      </c>
      <c r="D10874" s="13" t="s">
        <v>118</v>
      </c>
      <c r="E10874" s="13" t="s">
        <v>19607</v>
      </c>
      <c r="F10874" s="43">
        <v>3688.41</v>
      </c>
    </row>
    <row r="10875" spans="2:6" x14ac:dyDescent="0.25">
      <c r="B10875" s="13" t="s">
        <v>19608</v>
      </c>
      <c r="C10875" s="17" t="s">
        <v>170</v>
      </c>
      <c r="D10875" s="13" t="s">
        <v>118</v>
      </c>
      <c r="E10875" s="13" t="s">
        <v>19609</v>
      </c>
      <c r="F10875" s="43">
        <v>4763.16</v>
      </c>
    </row>
    <row r="10876" spans="2:6" x14ac:dyDescent="0.25">
      <c r="B10876" s="13" t="s">
        <v>19610</v>
      </c>
      <c r="C10876" s="17" t="s">
        <v>170</v>
      </c>
      <c r="D10876" s="13" t="s">
        <v>118</v>
      </c>
      <c r="E10876" s="13" t="s">
        <v>19611</v>
      </c>
      <c r="F10876" s="43">
        <v>7054.03</v>
      </c>
    </row>
    <row r="10877" spans="2:6" x14ac:dyDescent="0.25">
      <c r="B10877" s="13" t="s">
        <v>19612</v>
      </c>
      <c r="C10877" s="17" t="s">
        <v>170</v>
      </c>
      <c r="D10877" s="13" t="s">
        <v>118</v>
      </c>
      <c r="E10877" s="13" t="s">
        <v>19613</v>
      </c>
      <c r="F10877" s="43">
        <v>9179.66</v>
      </c>
    </row>
    <row r="10878" spans="2:6" x14ac:dyDescent="0.25">
      <c r="B10878" s="13" t="s">
        <v>19614</v>
      </c>
      <c r="C10878" s="17" t="s">
        <v>170</v>
      </c>
      <c r="D10878" s="13" t="s">
        <v>118</v>
      </c>
      <c r="E10878" s="13" t="s">
        <v>19615</v>
      </c>
      <c r="F10878" s="43">
        <v>15581.22</v>
      </c>
    </row>
    <row r="10879" spans="2:6" x14ac:dyDescent="0.25">
      <c r="B10879" s="13" t="s">
        <v>19616</v>
      </c>
      <c r="C10879" s="17" t="s">
        <v>170</v>
      </c>
      <c r="D10879" s="13" t="s">
        <v>118</v>
      </c>
      <c r="E10879" s="13" t="s">
        <v>19617</v>
      </c>
      <c r="F10879" s="43">
        <v>18805.919999999998</v>
      </c>
    </row>
    <row r="10880" spans="2:6" x14ac:dyDescent="0.25">
      <c r="B10880" s="13" t="s">
        <v>19618</v>
      </c>
      <c r="C10880" s="17" t="s">
        <v>170</v>
      </c>
      <c r="D10880" s="13" t="s">
        <v>118</v>
      </c>
      <c r="E10880" s="13" t="s">
        <v>19619</v>
      </c>
      <c r="F10880" s="43">
        <v>25007.47</v>
      </c>
    </row>
    <row r="10881" spans="2:6" x14ac:dyDescent="0.25">
      <c r="B10881" s="13" t="s">
        <v>19620</v>
      </c>
      <c r="C10881" s="17" t="s">
        <v>170</v>
      </c>
      <c r="D10881" s="13" t="s">
        <v>118</v>
      </c>
      <c r="E10881" s="13" t="s">
        <v>19621</v>
      </c>
      <c r="F10881" s="43">
        <v>27488.02</v>
      </c>
    </row>
    <row r="10882" spans="2:6" x14ac:dyDescent="0.25">
      <c r="B10882" s="13" t="s">
        <v>19622</v>
      </c>
      <c r="C10882" s="17" t="s">
        <v>170</v>
      </c>
      <c r="D10882" s="13" t="s">
        <v>118</v>
      </c>
      <c r="E10882" s="13" t="s">
        <v>19623</v>
      </c>
      <c r="F10882" s="43">
        <v>33225.870000000003</v>
      </c>
    </row>
    <row r="10883" spans="2:6" x14ac:dyDescent="0.25">
      <c r="B10883" s="13" t="s">
        <v>19624</v>
      </c>
      <c r="C10883" s="17" t="s">
        <v>170</v>
      </c>
      <c r="D10883" s="13" t="s">
        <v>118</v>
      </c>
      <c r="E10883" s="13" t="s">
        <v>19625</v>
      </c>
      <c r="F10883" s="43">
        <v>40168.239999999998</v>
      </c>
    </row>
    <row r="10884" spans="2:6" x14ac:dyDescent="0.25">
      <c r="B10884" s="13" t="s">
        <v>19626</v>
      </c>
      <c r="C10884" s="17" t="s">
        <v>170</v>
      </c>
      <c r="D10884" s="13" t="s">
        <v>118</v>
      </c>
      <c r="E10884" s="13" t="s">
        <v>19627</v>
      </c>
      <c r="F10884" s="43">
        <v>1562.21</v>
      </c>
    </row>
    <row r="10885" spans="2:6" x14ac:dyDescent="0.25">
      <c r="B10885" s="13" t="s">
        <v>19628</v>
      </c>
      <c r="C10885" s="17" t="s">
        <v>170</v>
      </c>
      <c r="D10885" s="13" t="s">
        <v>118</v>
      </c>
      <c r="E10885" s="13" t="s">
        <v>19629</v>
      </c>
      <c r="F10885" s="43">
        <v>2150.19</v>
      </c>
    </row>
    <row r="10886" spans="2:6" x14ac:dyDescent="0.25">
      <c r="B10886" s="13" t="s">
        <v>19630</v>
      </c>
      <c r="C10886" s="17" t="s">
        <v>170</v>
      </c>
      <c r="D10886" s="13" t="s">
        <v>118</v>
      </c>
      <c r="E10886" s="13" t="s">
        <v>19631</v>
      </c>
      <c r="F10886" s="43">
        <v>2219.61</v>
      </c>
    </row>
    <row r="10887" spans="2:6" x14ac:dyDescent="0.25">
      <c r="B10887" s="13" t="s">
        <v>19632</v>
      </c>
      <c r="C10887" s="17" t="s">
        <v>170</v>
      </c>
      <c r="D10887" s="13" t="s">
        <v>118</v>
      </c>
      <c r="E10887" s="13" t="s">
        <v>19633</v>
      </c>
      <c r="F10887" s="43">
        <v>3040.19</v>
      </c>
    </row>
    <row r="10888" spans="2:6" x14ac:dyDescent="0.25">
      <c r="B10888" s="13" t="s">
        <v>19634</v>
      </c>
      <c r="C10888" s="17" t="s">
        <v>170</v>
      </c>
      <c r="D10888" s="13" t="s">
        <v>118</v>
      </c>
      <c r="E10888" s="13" t="s">
        <v>19635</v>
      </c>
      <c r="F10888" s="43">
        <v>4199.74</v>
      </c>
    </row>
    <row r="10889" spans="2:6" x14ac:dyDescent="0.25">
      <c r="B10889" s="13" t="s">
        <v>19636</v>
      </c>
      <c r="C10889" s="17" t="s">
        <v>170</v>
      </c>
      <c r="D10889" s="13" t="s">
        <v>118</v>
      </c>
      <c r="E10889" s="13" t="s">
        <v>19637</v>
      </c>
      <c r="F10889" s="43">
        <v>5493.32</v>
      </c>
    </row>
    <row r="10890" spans="2:6" x14ac:dyDescent="0.25">
      <c r="B10890" s="13" t="s">
        <v>19638</v>
      </c>
      <c r="C10890" s="17" t="s">
        <v>170</v>
      </c>
      <c r="D10890" s="13" t="s">
        <v>118</v>
      </c>
      <c r="E10890" s="13" t="s">
        <v>19639</v>
      </c>
      <c r="F10890" s="43">
        <v>8192.24</v>
      </c>
    </row>
    <row r="10891" spans="2:6" x14ac:dyDescent="0.25">
      <c r="B10891" s="13" t="s">
        <v>19640</v>
      </c>
      <c r="C10891" s="17" t="s">
        <v>170</v>
      </c>
      <c r="D10891" s="13" t="s">
        <v>118</v>
      </c>
      <c r="E10891" s="13" t="s">
        <v>19641</v>
      </c>
      <c r="F10891" s="43">
        <v>10513.29</v>
      </c>
    </row>
    <row r="10892" spans="2:6" x14ac:dyDescent="0.25">
      <c r="B10892" s="13" t="s">
        <v>19642</v>
      </c>
      <c r="C10892" s="17" t="s">
        <v>170</v>
      </c>
      <c r="D10892" s="13" t="s">
        <v>118</v>
      </c>
      <c r="E10892" s="13" t="s">
        <v>19643</v>
      </c>
      <c r="F10892" s="43">
        <v>18628.86</v>
      </c>
    </row>
    <row r="10893" spans="2:6" x14ac:dyDescent="0.25">
      <c r="B10893" s="13" t="s">
        <v>19644</v>
      </c>
      <c r="C10893" s="17" t="s">
        <v>170</v>
      </c>
      <c r="D10893" s="13" t="s">
        <v>118</v>
      </c>
      <c r="E10893" s="13" t="s">
        <v>19645</v>
      </c>
      <c r="F10893" s="43">
        <v>22881.27</v>
      </c>
    </row>
    <row r="10894" spans="2:6" x14ac:dyDescent="0.25">
      <c r="B10894" s="13" t="s">
        <v>19646</v>
      </c>
      <c r="C10894" s="17" t="s">
        <v>170</v>
      </c>
      <c r="D10894" s="13" t="s">
        <v>118</v>
      </c>
      <c r="E10894" s="13" t="s">
        <v>19647</v>
      </c>
      <c r="F10894" s="43">
        <v>29756.06</v>
      </c>
    </row>
    <row r="10895" spans="2:6" x14ac:dyDescent="0.25">
      <c r="B10895" s="13" t="s">
        <v>19648</v>
      </c>
      <c r="C10895" s="17" t="s">
        <v>170</v>
      </c>
      <c r="D10895" s="13" t="s">
        <v>118</v>
      </c>
      <c r="E10895" s="13" t="s">
        <v>19649</v>
      </c>
      <c r="F10895" s="43">
        <v>33725.14</v>
      </c>
    </row>
    <row r="10896" spans="2:6" x14ac:dyDescent="0.25">
      <c r="B10896" s="13" t="s">
        <v>19650</v>
      </c>
      <c r="C10896" s="17" t="s">
        <v>170</v>
      </c>
      <c r="D10896" s="13" t="s">
        <v>118</v>
      </c>
      <c r="E10896" s="13" t="s">
        <v>19651</v>
      </c>
      <c r="F10896" s="43">
        <v>40171.68</v>
      </c>
    </row>
    <row r="10897" spans="2:6" x14ac:dyDescent="0.25">
      <c r="B10897" s="13" t="s">
        <v>19652</v>
      </c>
      <c r="C10897" s="17" t="s">
        <v>170</v>
      </c>
      <c r="D10897" s="13" t="s">
        <v>118</v>
      </c>
      <c r="E10897" s="13" t="s">
        <v>19653</v>
      </c>
      <c r="F10897" s="43">
        <v>44643.49</v>
      </c>
    </row>
    <row r="10898" spans="2:6" x14ac:dyDescent="0.25">
      <c r="B10898" s="13" t="s">
        <v>19654</v>
      </c>
      <c r="C10898" s="17" t="s">
        <v>170</v>
      </c>
      <c r="D10898" s="13" t="s">
        <v>118</v>
      </c>
      <c r="E10898" s="13" t="s">
        <v>19655</v>
      </c>
      <c r="F10898" s="43">
        <v>2777.53</v>
      </c>
    </row>
    <row r="10899" spans="2:6" x14ac:dyDescent="0.25">
      <c r="B10899" s="13" t="s">
        <v>19656</v>
      </c>
      <c r="C10899" s="17" t="s">
        <v>170</v>
      </c>
      <c r="D10899" s="13" t="s">
        <v>118</v>
      </c>
      <c r="E10899" s="13" t="s">
        <v>19657</v>
      </c>
      <c r="F10899" s="43">
        <v>3089.76</v>
      </c>
    </row>
    <row r="10900" spans="2:6" x14ac:dyDescent="0.25">
      <c r="B10900" s="13" t="s">
        <v>19658</v>
      </c>
      <c r="C10900" s="17" t="s">
        <v>170</v>
      </c>
      <c r="D10900" s="13" t="s">
        <v>118</v>
      </c>
      <c r="E10900" s="13" t="s">
        <v>19659</v>
      </c>
      <c r="F10900" s="43">
        <v>3539.24</v>
      </c>
    </row>
    <row r="10901" spans="2:6" x14ac:dyDescent="0.25">
      <c r="B10901" s="13" t="s">
        <v>19660</v>
      </c>
      <c r="C10901" s="17" t="s">
        <v>170</v>
      </c>
      <c r="D10901" s="13" t="s">
        <v>118</v>
      </c>
      <c r="E10901" s="13" t="s">
        <v>19661</v>
      </c>
      <c r="F10901" s="43">
        <v>4593.5600000000004</v>
      </c>
    </row>
    <row r="10902" spans="2:6" x14ac:dyDescent="0.25">
      <c r="B10902" s="13" t="s">
        <v>19662</v>
      </c>
      <c r="C10902" s="17" t="s">
        <v>170</v>
      </c>
      <c r="D10902" s="13" t="s">
        <v>118</v>
      </c>
      <c r="E10902" s="13" t="s">
        <v>19663</v>
      </c>
      <c r="F10902" s="43">
        <v>6126.05</v>
      </c>
    </row>
    <row r="10903" spans="2:6" x14ac:dyDescent="0.25">
      <c r="B10903" s="13" t="s">
        <v>19664</v>
      </c>
      <c r="C10903" s="17" t="s">
        <v>170</v>
      </c>
      <c r="D10903" s="13" t="s">
        <v>118</v>
      </c>
      <c r="E10903" s="13" t="s">
        <v>19665</v>
      </c>
      <c r="F10903" s="43">
        <v>7818.84</v>
      </c>
    </row>
    <row r="10904" spans="2:6" x14ac:dyDescent="0.25">
      <c r="B10904" s="13" t="s">
        <v>19666</v>
      </c>
      <c r="C10904" s="17" t="s">
        <v>170</v>
      </c>
      <c r="D10904" s="13" t="s">
        <v>118</v>
      </c>
      <c r="E10904" s="13" t="s">
        <v>19667</v>
      </c>
      <c r="F10904" s="43">
        <v>11427.04</v>
      </c>
    </row>
    <row r="10905" spans="2:6" x14ac:dyDescent="0.25">
      <c r="B10905" s="13" t="s">
        <v>19668</v>
      </c>
      <c r="C10905" s="17" t="s">
        <v>170</v>
      </c>
      <c r="D10905" s="13" t="s">
        <v>118</v>
      </c>
      <c r="E10905" s="13" t="s">
        <v>19669</v>
      </c>
      <c r="F10905" s="43">
        <v>14774.87</v>
      </c>
    </row>
    <row r="10906" spans="2:6" x14ac:dyDescent="0.25">
      <c r="B10906" s="13" t="s">
        <v>19670</v>
      </c>
      <c r="C10906" s="17" t="s">
        <v>170</v>
      </c>
      <c r="D10906" s="13" t="s">
        <v>118</v>
      </c>
      <c r="E10906" s="13" t="s">
        <v>19671</v>
      </c>
      <c r="F10906" s="43">
        <v>24857.26</v>
      </c>
    </row>
    <row r="10907" spans="2:6" x14ac:dyDescent="0.25">
      <c r="B10907" s="13" t="s">
        <v>19672</v>
      </c>
      <c r="C10907" s="17" t="s">
        <v>170</v>
      </c>
      <c r="D10907" s="13" t="s">
        <v>118</v>
      </c>
      <c r="E10907" s="13" t="s">
        <v>19673</v>
      </c>
      <c r="F10907" s="43">
        <v>29936.21</v>
      </c>
    </row>
    <row r="10908" spans="2:6" x14ac:dyDescent="0.25">
      <c r="B10908" s="13" t="s">
        <v>19674</v>
      </c>
      <c r="C10908" s="17" t="s">
        <v>170</v>
      </c>
      <c r="D10908" s="13" t="s">
        <v>118</v>
      </c>
      <c r="E10908" s="13" t="s">
        <v>19675</v>
      </c>
      <c r="F10908" s="43">
        <v>39703.620000000003</v>
      </c>
    </row>
    <row r="10909" spans="2:6" x14ac:dyDescent="0.25">
      <c r="B10909" s="13" t="s">
        <v>19676</v>
      </c>
      <c r="C10909" s="17" t="s">
        <v>170</v>
      </c>
      <c r="D10909" s="13" t="s">
        <v>118</v>
      </c>
      <c r="E10909" s="13" t="s">
        <v>19677</v>
      </c>
      <c r="F10909" s="43">
        <v>43610.63</v>
      </c>
    </row>
    <row r="10910" spans="2:6" x14ac:dyDescent="0.25">
      <c r="B10910" s="13" t="s">
        <v>19678</v>
      </c>
      <c r="C10910" s="17" t="s">
        <v>170</v>
      </c>
      <c r="D10910" s="13" t="s">
        <v>118</v>
      </c>
      <c r="E10910" s="13" t="s">
        <v>19679</v>
      </c>
      <c r="F10910" s="43">
        <v>109046.93</v>
      </c>
    </row>
    <row r="10911" spans="2:6" x14ac:dyDescent="0.25">
      <c r="B10911" s="13" t="s">
        <v>19680</v>
      </c>
      <c r="C10911" s="17" t="s">
        <v>170</v>
      </c>
      <c r="D10911" s="13" t="s">
        <v>118</v>
      </c>
      <c r="E10911" s="13" t="s">
        <v>19681</v>
      </c>
      <c r="F10911" s="43">
        <v>137705.74</v>
      </c>
    </row>
    <row r="10912" spans="2:6" x14ac:dyDescent="0.25">
      <c r="B10912" s="13" t="s">
        <v>19682</v>
      </c>
      <c r="C10912" s="17" t="s">
        <v>170</v>
      </c>
      <c r="D10912" s="13" t="s">
        <v>118</v>
      </c>
      <c r="E10912" s="13" t="s">
        <v>19683</v>
      </c>
      <c r="F10912" s="43">
        <v>2777.53</v>
      </c>
    </row>
    <row r="10913" spans="2:6" x14ac:dyDescent="0.25">
      <c r="B10913" s="13" t="s">
        <v>19684</v>
      </c>
      <c r="C10913" s="17" t="s">
        <v>170</v>
      </c>
      <c r="D10913" s="13" t="s">
        <v>118</v>
      </c>
      <c r="E10913" s="13" t="s">
        <v>19685</v>
      </c>
      <c r="F10913" s="43">
        <v>3703.56</v>
      </c>
    </row>
    <row r="10914" spans="2:6" x14ac:dyDescent="0.25">
      <c r="B10914" s="13" t="s">
        <v>19686</v>
      </c>
      <c r="C10914" s="17" t="s">
        <v>170</v>
      </c>
      <c r="D10914" s="13" t="s">
        <v>118</v>
      </c>
      <c r="E10914" s="13" t="s">
        <v>19687</v>
      </c>
      <c r="F10914" s="43">
        <v>3812.8</v>
      </c>
    </row>
    <row r="10915" spans="2:6" x14ac:dyDescent="0.25">
      <c r="B10915" s="13" t="s">
        <v>19688</v>
      </c>
      <c r="C10915" s="17" t="s">
        <v>170</v>
      </c>
      <c r="D10915" s="13" t="s">
        <v>118</v>
      </c>
      <c r="E10915" s="13" t="s">
        <v>19689</v>
      </c>
      <c r="F10915" s="43">
        <v>5105.2299999999996</v>
      </c>
    </row>
    <row r="10916" spans="2:6" x14ac:dyDescent="0.25">
      <c r="B10916" s="13" t="s">
        <v>19690</v>
      </c>
      <c r="C10916" s="17" t="s">
        <v>170</v>
      </c>
      <c r="D10916" s="13" t="s">
        <v>118</v>
      </c>
      <c r="E10916" s="13" t="s">
        <v>19691</v>
      </c>
      <c r="F10916" s="43">
        <v>6931.36</v>
      </c>
    </row>
    <row r="10917" spans="2:6" x14ac:dyDescent="0.25">
      <c r="B10917" s="13" t="s">
        <v>19692</v>
      </c>
      <c r="C10917" s="17" t="s">
        <v>170</v>
      </c>
      <c r="D10917" s="13" t="s">
        <v>118</v>
      </c>
      <c r="E10917" s="13" t="s">
        <v>19693</v>
      </c>
      <c r="F10917" s="43">
        <v>7071.13</v>
      </c>
    </row>
    <row r="10918" spans="2:6" x14ac:dyDescent="0.25">
      <c r="B10918" s="13" t="s">
        <v>19694</v>
      </c>
      <c r="C10918" s="17" t="s">
        <v>170</v>
      </c>
      <c r="D10918" s="13" t="s">
        <v>118</v>
      </c>
      <c r="E10918" s="13" t="s">
        <v>19695</v>
      </c>
      <c r="F10918" s="43">
        <v>13219.66</v>
      </c>
    </row>
    <row r="10919" spans="2:6" x14ac:dyDescent="0.25">
      <c r="B10919" s="13" t="s">
        <v>19696</v>
      </c>
      <c r="C10919" s="17" t="s">
        <v>170</v>
      </c>
      <c r="D10919" s="13" t="s">
        <v>118</v>
      </c>
      <c r="E10919" s="13" t="s">
        <v>19697</v>
      </c>
      <c r="F10919" s="43">
        <v>16875.25</v>
      </c>
    </row>
    <row r="10920" spans="2:6" x14ac:dyDescent="0.25">
      <c r="B10920" s="13" t="s">
        <v>19698</v>
      </c>
      <c r="C10920" s="17" t="s">
        <v>170</v>
      </c>
      <c r="D10920" s="13" t="s">
        <v>118</v>
      </c>
      <c r="E10920" s="13" t="s">
        <v>19699</v>
      </c>
      <c r="F10920" s="43">
        <v>29657.26</v>
      </c>
    </row>
    <row r="10921" spans="2:6" x14ac:dyDescent="0.25">
      <c r="B10921" s="13" t="s">
        <v>19700</v>
      </c>
      <c r="C10921" s="17" t="s">
        <v>170</v>
      </c>
      <c r="D10921" s="13" t="s">
        <v>118</v>
      </c>
      <c r="E10921" s="13" t="s">
        <v>19701</v>
      </c>
      <c r="F10921" s="43">
        <v>36354.99</v>
      </c>
    </row>
    <row r="10922" spans="2:6" x14ac:dyDescent="0.25">
      <c r="B10922" s="13" t="s">
        <v>19702</v>
      </c>
      <c r="C10922" s="17" t="s">
        <v>170</v>
      </c>
      <c r="D10922" s="13" t="s">
        <v>118</v>
      </c>
      <c r="E10922" s="13" t="s">
        <v>19703</v>
      </c>
      <c r="F10922" s="43">
        <v>47182.8</v>
      </c>
    </row>
    <row r="10923" spans="2:6" x14ac:dyDescent="0.25">
      <c r="B10923" s="13" t="s">
        <v>19704</v>
      </c>
      <c r="C10923" s="17" t="s">
        <v>170</v>
      </c>
      <c r="D10923" s="13" t="s">
        <v>118</v>
      </c>
      <c r="E10923" s="13" t="s">
        <v>19705</v>
      </c>
      <c r="F10923" s="43">
        <v>53434.03</v>
      </c>
    </row>
    <row r="10924" spans="2:6" x14ac:dyDescent="0.25">
      <c r="B10924" s="13" t="s">
        <v>19706</v>
      </c>
      <c r="C10924" s="17" t="s">
        <v>170</v>
      </c>
      <c r="D10924" s="13" t="s">
        <v>118</v>
      </c>
      <c r="E10924" s="13" t="s">
        <v>19707</v>
      </c>
      <c r="F10924" s="43">
        <v>63120.54</v>
      </c>
    </row>
    <row r="10925" spans="2:6" x14ac:dyDescent="0.25">
      <c r="B10925" s="13" t="s">
        <v>19708</v>
      </c>
      <c r="C10925" s="17" t="s">
        <v>170</v>
      </c>
      <c r="D10925" s="13" t="s">
        <v>118</v>
      </c>
      <c r="E10925" s="13" t="s">
        <v>19709</v>
      </c>
      <c r="F10925" s="43">
        <v>78034.59</v>
      </c>
    </row>
    <row r="10926" spans="2:6" x14ac:dyDescent="0.25">
      <c r="B10926" s="13" t="s">
        <v>19710</v>
      </c>
      <c r="C10926" s="17" t="s">
        <v>170</v>
      </c>
      <c r="D10926" s="13" t="s">
        <v>118</v>
      </c>
      <c r="E10926" s="13" t="s">
        <v>19711</v>
      </c>
      <c r="F10926" s="43">
        <v>3236.53</v>
      </c>
    </row>
    <row r="10927" spans="2:6" x14ac:dyDescent="0.25">
      <c r="B10927" s="13" t="s">
        <v>19712</v>
      </c>
      <c r="C10927" s="17" t="s">
        <v>170</v>
      </c>
      <c r="D10927" s="13" t="s">
        <v>118</v>
      </c>
      <c r="E10927" s="13" t="s">
        <v>19713</v>
      </c>
      <c r="F10927" s="43">
        <v>3548.76</v>
      </c>
    </row>
    <row r="10928" spans="2:6" x14ac:dyDescent="0.25">
      <c r="B10928" s="13" t="s">
        <v>19714</v>
      </c>
      <c r="C10928" s="17" t="s">
        <v>170</v>
      </c>
      <c r="D10928" s="13" t="s">
        <v>118</v>
      </c>
      <c r="E10928" s="13" t="s">
        <v>19715</v>
      </c>
      <c r="F10928" s="43">
        <v>3998.24</v>
      </c>
    </row>
    <row r="10929" spans="2:6" x14ac:dyDescent="0.25">
      <c r="B10929" s="13" t="s">
        <v>19716</v>
      </c>
      <c r="C10929" s="17" t="s">
        <v>170</v>
      </c>
      <c r="D10929" s="13" t="s">
        <v>118</v>
      </c>
      <c r="E10929" s="13" t="s">
        <v>19717</v>
      </c>
      <c r="F10929" s="43">
        <v>4462.63</v>
      </c>
    </row>
    <row r="10930" spans="2:6" x14ac:dyDescent="0.25">
      <c r="B10930" s="13" t="s">
        <v>19718</v>
      </c>
      <c r="C10930" s="17" t="s">
        <v>170</v>
      </c>
      <c r="D10930" s="13" t="s">
        <v>118</v>
      </c>
      <c r="E10930" s="13" t="s">
        <v>19719</v>
      </c>
      <c r="F10930" s="43">
        <v>5052.5600000000004</v>
      </c>
    </row>
    <row r="10931" spans="2:6" x14ac:dyDescent="0.25">
      <c r="B10931" s="13" t="s">
        <v>19720</v>
      </c>
      <c r="C10931" s="17" t="s">
        <v>170</v>
      </c>
      <c r="D10931" s="13" t="s">
        <v>118</v>
      </c>
      <c r="E10931" s="13" t="s">
        <v>19721</v>
      </c>
      <c r="F10931" s="43">
        <v>6585.05</v>
      </c>
    </row>
    <row r="10932" spans="2:6" x14ac:dyDescent="0.25">
      <c r="B10932" s="13" t="s">
        <v>19722</v>
      </c>
      <c r="C10932" s="17" t="s">
        <v>170</v>
      </c>
      <c r="D10932" s="13" t="s">
        <v>118</v>
      </c>
      <c r="E10932" s="13" t="s">
        <v>19723</v>
      </c>
      <c r="F10932" s="43">
        <v>8277.84</v>
      </c>
    </row>
    <row r="10933" spans="2:6" x14ac:dyDescent="0.25">
      <c r="B10933" s="13" t="s">
        <v>19724</v>
      </c>
      <c r="C10933" s="17" t="s">
        <v>170</v>
      </c>
      <c r="D10933" s="13" t="s">
        <v>118</v>
      </c>
      <c r="E10933" s="13" t="s">
        <v>19725</v>
      </c>
      <c r="F10933" s="43">
        <v>11886.04</v>
      </c>
    </row>
    <row r="10934" spans="2:6" x14ac:dyDescent="0.25">
      <c r="B10934" s="13" t="s">
        <v>19726</v>
      </c>
      <c r="C10934" s="17" t="s">
        <v>170</v>
      </c>
      <c r="D10934" s="13" t="s">
        <v>118</v>
      </c>
      <c r="E10934" s="13" t="s">
        <v>19727</v>
      </c>
      <c r="F10934" s="43">
        <v>15233.87</v>
      </c>
    </row>
    <row r="10935" spans="2:6" x14ac:dyDescent="0.25">
      <c r="B10935" s="13" t="s">
        <v>19728</v>
      </c>
      <c r="C10935" s="17" t="s">
        <v>170</v>
      </c>
      <c r="D10935" s="13" t="s">
        <v>118</v>
      </c>
      <c r="E10935" s="13" t="s">
        <v>19729</v>
      </c>
      <c r="F10935" s="43">
        <v>25316.26</v>
      </c>
    </row>
    <row r="10936" spans="2:6" x14ac:dyDescent="0.25">
      <c r="B10936" s="13" t="s">
        <v>19730</v>
      </c>
      <c r="C10936" s="17" t="s">
        <v>170</v>
      </c>
      <c r="D10936" s="13" t="s">
        <v>118</v>
      </c>
      <c r="E10936" s="13" t="s">
        <v>19731</v>
      </c>
      <c r="F10936" s="43">
        <v>30395.21</v>
      </c>
    </row>
    <row r="10937" spans="2:6" x14ac:dyDescent="0.25">
      <c r="B10937" s="13" t="s">
        <v>19732</v>
      </c>
      <c r="C10937" s="17" t="s">
        <v>170</v>
      </c>
      <c r="D10937" s="13" t="s">
        <v>118</v>
      </c>
      <c r="E10937" s="13" t="s">
        <v>19733</v>
      </c>
      <c r="F10937" s="43">
        <v>40162.620000000003</v>
      </c>
    </row>
    <row r="10938" spans="2:6" x14ac:dyDescent="0.25">
      <c r="B10938" s="13" t="s">
        <v>19734</v>
      </c>
      <c r="C10938" s="17" t="s">
        <v>170</v>
      </c>
      <c r="D10938" s="13" t="s">
        <v>118</v>
      </c>
      <c r="E10938" s="13" t="s">
        <v>19735</v>
      </c>
      <c r="F10938" s="43">
        <v>44069.63</v>
      </c>
    </row>
    <row r="10939" spans="2:6" x14ac:dyDescent="0.25">
      <c r="B10939" s="13" t="s">
        <v>19736</v>
      </c>
      <c r="C10939" s="17" t="s">
        <v>170</v>
      </c>
      <c r="D10939" s="13" t="s">
        <v>118</v>
      </c>
      <c r="E10939" s="13" t="s">
        <v>19737</v>
      </c>
      <c r="F10939" s="43">
        <v>109505.93</v>
      </c>
    </row>
    <row r="10940" spans="2:6" x14ac:dyDescent="0.25">
      <c r="B10940" s="13" t="s">
        <v>19738</v>
      </c>
      <c r="C10940" s="17" t="s">
        <v>170</v>
      </c>
      <c r="D10940" s="13" t="s">
        <v>118</v>
      </c>
      <c r="E10940" s="13" t="s">
        <v>19739</v>
      </c>
      <c r="F10940" s="43">
        <v>112455</v>
      </c>
    </row>
    <row r="10941" spans="2:6" x14ac:dyDescent="0.25">
      <c r="B10941" s="13" t="s">
        <v>19740</v>
      </c>
      <c r="C10941" s="17" t="s">
        <v>170</v>
      </c>
      <c r="D10941" s="13" t="s">
        <v>118</v>
      </c>
      <c r="E10941" s="13" t="s">
        <v>19741</v>
      </c>
      <c r="F10941" s="43">
        <v>135405</v>
      </c>
    </row>
    <row r="10942" spans="2:6" x14ac:dyDescent="0.25">
      <c r="B10942" s="13" t="s">
        <v>19742</v>
      </c>
      <c r="C10942" s="17" t="s">
        <v>170</v>
      </c>
      <c r="D10942" s="13" t="s">
        <v>118</v>
      </c>
      <c r="E10942" s="13" t="s">
        <v>19743</v>
      </c>
      <c r="F10942" s="43">
        <v>3810.28</v>
      </c>
    </row>
    <row r="10943" spans="2:6" x14ac:dyDescent="0.25">
      <c r="B10943" s="13" t="s">
        <v>19744</v>
      </c>
      <c r="C10943" s="17" t="s">
        <v>170</v>
      </c>
      <c r="D10943" s="13" t="s">
        <v>118</v>
      </c>
      <c r="E10943" s="13" t="s">
        <v>19745</v>
      </c>
      <c r="F10943" s="43">
        <v>4122.51</v>
      </c>
    </row>
    <row r="10944" spans="2:6" x14ac:dyDescent="0.25">
      <c r="B10944" s="13" t="s">
        <v>19746</v>
      </c>
      <c r="C10944" s="17" t="s">
        <v>170</v>
      </c>
      <c r="D10944" s="13" t="s">
        <v>118</v>
      </c>
      <c r="E10944" s="13" t="s">
        <v>19747</v>
      </c>
      <c r="F10944" s="43">
        <v>4571.99</v>
      </c>
    </row>
    <row r="10945" spans="2:6" x14ac:dyDescent="0.25">
      <c r="B10945" s="13" t="s">
        <v>19748</v>
      </c>
      <c r="C10945" s="17" t="s">
        <v>170</v>
      </c>
      <c r="D10945" s="13" t="s">
        <v>118</v>
      </c>
      <c r="E10945" s="13" t="s">
        <v>19749</v>
      </c>
      <c r="F10945" s="43">
        <v>5036.38</v>
      </c>
    </row>
    <row r="10946" spans="2:6" x14ac:dyDescent="0.25">
      <c r="B10946" s="13" t="s">
        <v>19750</v>
      </c>
      <c r="C10946" s="17" t="s">
        <v>170</v>
      </c>
      <c r="D10946" s="13" t="s">
        <v>118</v>
      </c>
      <c r="E10946" s="13" t="s">
        <v>19751</v>
      </c>
      <c r="F10946" s="43">
        <v>5626.31</v>
      </c>
    </row>
    <row r="10947" spans="2:6" x14ac:dyDescent="0.25">
      <c r="B10947" s="13" t="s">
        <v>19752</v>
      </c>
      <c r="C10947" s="17" t="s">
        <v>170</v>
      </c>
      <c r="D10947" s="13" t="s">
        <v>118</v>
      </c>
      <c r="E10947" s="13" t="s">
        <v>19753</v>
      </c>
      <c r="F10947" s="43">
        <v>7158.8</v>
      </c>
    </row>
    <row r="10948" spans="2:6" x14ac:dyDescent="0.25">
      <c r="B10948" s="13" t="s">
        <v>19754</v>
      </c>
      <c r="C10948" s="17" t="s">
        <v>170</v>
      </c>
      <c r="D10948" s="13" t="s">
        <v>118</v>
      </c>
      <c r="E10948" s="13" t="s">
        <v>19755</v>
      </c>
      <c r="F10948" s="43">
        <v>8851.59</v>
      </c>
    </row>
    <row r="10949" spans="2:6" x14ac:dyDescent="0.25">
      <c r="B10949" s="13" t="s">
        <v>19756</v>
      </c>
      <c r="C10949" s="17" t="s">
        <v>170</v>
      </c>
      <c r="D10949" s="13" t="s">
        <v>118</v>
      </c>
      <c r="E10949" s="13" t="s">
        <v>19757</v>
      </c>
      <c r="F10949" s="43">
        <v>12459.79</v>
      </c>
    </row>
    <row r="10950" spans="2:6" x14ac:dyDescent="0.25">
      <c r="B10950" s="13" t="s">
        <v>19758</v>
      </c>
      <c r="C10950" s="17" t="s">
        <v>170</v>
      </c>
      <c r="D10950" s="13" t="s">
        <v>118</v>
      </c>
      <c r="E10950" s="13" t="s">
        <v>19759</v>
      </c>
      <c r="F10950" s="43">
        <v>15807.62</v>
      </c>
    </row>
    <row r="10951" spans="2:6" x14ac:dyDescent="0.25">
      <c r="B10951" s="13" t="s">
        <v>19760</v>
      </c>
      <c r="C10951" s="17" t="s">
        <v>170</v>
      </c>
      <c r="D10951" s="13" t="s">
        <v>118</v>
      </c>
      <c r="E10951" s="13" t="s">
        <v>19761</v>
      </c>
      <c r="F10951" s="43">
        <v>25890.01</v>
      </c>
    </row>
    <row r="10952" spans="2:6" x14ac:dyDescent="0.25">
      <c r="B10952" s="13" t="s">
        <v>19762</v>
      </c>
      <c r="C10952" s="17" t="s">
        <v>170</v>
      </c>
      <c r="D10952" s="13" t="s">
        <v>118</v>
      </c>
      <c r="E10952" s="13" t="s">
        <v>19763</v>
      </c>
      <c r="F10952" s="43">
        <v>30968.959999999999</v>
      </c>
    </row>
    <row r="10953" spans="2:6" x14ac:dyDescent="0.25">
      <c r="B10953" s="13" t="s">
        <v>19764</v>
      </c>
      <c r="C10953" s="17" t="s">
        <v>170</v>
      </c>
      <c r="D10953" s="13" t="s">
        <v>118</v>
      </c>
      <c r="E10953" s="13" t="s">
        <v>19765</v>
      </c>
      <c r="F10953" s="43">
        <v>40736.370000000003</v>
      </c>
    </row>
    <row r="10954" spans="2:6" x14ac:dyDescent="0.25">
      <c r="B10954" s="13" t="s">
        <v>19766</v>
      </c>
      <c r="C10954" s="17" t="s">
        <v>170</v>
      </c>
      <c r="D10954" s="13" t="s">
        <v>118</v>
      </c>
      <c r="E10954" s="13" t="s">
        <v>19767</v>
      </c>
      <c r="F10954" s="43">
        <v>44643.38</v>
      </c>
    </row>
    <row r="10955" spans="2:6" x14ac:dyDescent="0.25">
      <c r="B10955" s="13" t="s">
        <v>19768</v>
      </c>
      <c r="C10955" s="17" t="s">
        <v>170</v>
      </c>
      <c r="D10955" s="13" t="s">
        <v>118</v>
      </c>
      <c r="E10955" s="13" t="s">
        <v>19769</v>
      </c>
      <c r="F10955" s="43">
        <v>113028.75</v>
      </c>
    </row>
    <row r="10956" spans="2:6" x14ac:dyDescent="0.25">
      <c r="B10956" s="13" t="s">
        <v>19770</v>
      </c>
      <c r="C10956" s="17" t="s">
        <v>170</v>
      </c>
      <c r="D10956" s="13" t="s">
        <v>118</v>
      </c>
      <c r="E10956" s="13" t="s">
        <v>19771</v>
      </c>
      <c r="F10956" s="43">
        <v>135978.75</v>
      </c>
    </row>
    <row r="10957" spans="2:6" x14ac:dyDescent="0.25">
      <c r="B10957" s="13" t="s">
        <v>19772</v>
      </c>
      <c r="C10957" s="17" t="s">
        <v>170</v>
      </c>
      <c r="D10957" s="13" t="s">
        <v>118</v>
      </c>
      <c r="E10957" s="13" t="s">
        <v>19773</v>
      </c>
      <c r="F10957" s="43">
        <v>881.74</v>
      </c>
    </row>
    <row r="10958" spans="2:6" x14ac:dyDescent="0.25">
      <c r="B10958" s="13" t="s">
        <v>19774</v>
      </c>
      <c r="C10958" s="17" t="s">
        <v>170</v>
      </c>
      <c r="D10958" s="13" t="s">
        <v>118</v>
      </c>
      <c r="E10958" s="13" t="s">
        <v>19775</v>
      </c>
      <c r="F10958" s="43">
        <v>980.89</v>
      </c>
    </row>
    <row r="10959" spans="2:6" x14ac:dyDescent="0.25">
      <c r="B10959" s="13" t="s">
        <v>19776</v>
      </c>
      <c r="C10959" s="17" t="s">
        <v>170</v>
      </c>
      <c r="D10959" s="13" t="s">
        <v>118</v>
      </c>
      <c r="E10959" s="13" t="s">
        <v>19777</v>
      </c>
      <c r="F10959" s="43">
        <v>1123.6400000000001</v>
      </c>
    </row>
    <row r="10960" spans="2:6" x14ac:dyDescent="0.25">
      <c r="B10960" s="13" t="s">
        <v>19778</v>
      </c>
      <c r="C10960" s="17" t="s">
        <v>170</v>
      </c>
      <c r="D10960" s="13" t="s">
        <v>118</v>
      </c>
      <c r="E10960" s="13" t="s">
        <v>19779</v>
      </c>
      <c r="F10960" s="43">
        <v>1458.25</v>
      </c>
    </row>
    <row r="10961" spans="2:6" x14ac:dyDescent="0.25">
      <c r="B10961" s="13" t="s">
        <v>19780</v>
      </c>
      <c r="C10961" s="17" t="s">
        <v>170</v>
      </c>
      <c r="D10961" s="13" t="s">
        <v>118</v>
      </c>
      <c r="E10961" s="13" t="s">
        <v>19781</v>
      </c>
      <c r="F10961" s="43">
        <v>1944.79</v>
      </c>
    </row>
    <row r="10962" spans="2:6" x14ac:dyDescent="0.25">
      <c r="B10962" s="13" t="s">
        <v>19782</v>
      </c>
      <c r="C10962" s="17" t="s">
        <v>170</v>
      </c>
      <c r="D10962" s="13" t="s">
        <v>118</v>
      </c>
      <c r="E10962" s="13" t="s">
        <v>19783</v>
      </c>
      <c r="F10962" s="43">
        <v>2482.16</v>
      </c>
    </row>
    <row r="10963" spans="2:6" x14ac:dyDescent="0.25">
      <c r="B10963" s="13" t="s">
        <v>19784</v>
      </c>
      <c r="C10963" s="17" t="s">
        <v>170</v>
      </c>
      <c r="D10963" s="13" t="s">
        <v>118</v>
      </c>
      <c r="E10963" s="13" t="s">
        <v>19785</v>
      </c>
      <c r="F10963" s="43">
        <v>3627.6</v>
      </c>
    </row>
    <row r="10964" spans="2:6" x14ac:dyDescent="0.25">
      <c r="B10964" s="13" t="s">
        <v>19786</v>
      </c>
      <c r="C10964" s="17" t="s">
        <v>170</v>
      </c>
      <c r="D10964" s="13" t="s">
        <v>118</v>
      </c>
      <c r="E10964" s="13" t="s">
        <v>19787</v>
      </c>
      <c r="F10964" s="43">
        <v>4690.53</v>
      </c>
    </row>
    <row r="10965" spans="2:6" x14ac:dyDescent="0.25">
      <c r="B10965" s="13" t="s">
        <v>19788</v>
      </c>
      <c r="C10965" s="17" t="s">
        <v>170</v>
      </c>
      <c r="D10965" s="13" t="s">
        <v>118</v>
      </c>
      <c r="E10965" s="13" t="s">
        <v>19789</v>
      </c>
      <c r="F10965" s="43">
        <v>7891.13</v>
      </c>
    </row>
    <row r="10966" spans="2:6" x14ac:dyDescent="0.25">
      <c r="B10966" s="13" t="s">
        <v>19790</v>
      </c>
      <c r="C10966" s="17" t="s">
        <v>170</v>
      </c>
      <c r="D10966" s="13" t="s">
        <v>118</v>
      </c>
      <c r="E10966" s="13" t="s">
        <v>19791</v>
      </c>
      <c r="F10966" s="43">
        <v>9503.6</v>
      </c>
    </row>
    <row r="10967" spans="2:6" x14ac:dyDescent="0.25">
      <c r="B10967" s="13" t="s">
        <v>19792</v>
      </c>
      <c r="C10967" s="17" t="s">
        <v>170</v>
      </c>
      <c r="D10967" s="13" t="s">
        <v>118</v>
      </c>
      <c r="E10967" s="13" t="s">
        <v>19793</v>
      </c>
      <c r="F10967" s="43">
        <v>12604.37</v>
      </c>
    </row>
    <row r="10968" spans="2:6" x14ac:dyDescent="0.25">
      <c r="B10968" s="13" t="s">
        <v>19794</v>
      </c>
      <c r="C10968" s="17" t="s">
        <v>170</v>
      </c>
      <c r="D10968" s="13" t="s">
        <v>118</v>
      </c>
      <c r="E10968" s="13" t="s">
        <v>19795</v>
      </c>
      <c r="F10968" s="43">
        <v>13844.71</v>
      </c>
    </row>
    <row r="10969" spans="2:6" x14ac:dyDescent="0.25">
      <c r="B10969" s="13" t="s">
        <v>19796</v>
      </c>
      <c r="C10969" s="17" t="s">
        <v>170</v>
      </c>
      <c r="D10969" s="13" t="s">
        <v>118</v>
      </c>
      <c r="E10969" s="13" t="s">
        <v>19797</v>
      </c>
      <c r="F10969" s="43">
        <v>67532.45</v>
      </c>
    </row>
    <row r="10970" spans="2:6" x14ac:dyDescent="0.25">
      <c r="B10970" s="13" t="s">
        <v>19798</v>
      </c>
      <c r="C10970" s="17" t="s">
        <v>170</v>
      </c>
      <c r="D10970" s="13" t="s">
        <v>118</v>
      </c>
      <c r="E10970" s="13" t="s">
        <v>19799</v>
      </c>
      <c r="F10970" s="43">
        <v>881.74</v>
      </c>
    </row>
    <row r="10971" spans="2:6" x14ac:dyDescent="0.25">
      <c r="B10971" s="13" t="s">
        <v>19800</v>
      </c>
      <c r="C10971" s="17" t="s">
        <v>170</v>
      </c>
      <c r="D10971" s="13" t="s">
        <v>118</v>
      </c>
      <c r="E10971" s="13" t="s">
        <v>19801</v>
      </c>
      <c r="F10971" s="43">
        <v>1175.73</v>
      </c>
    </row>
    <row r="10972" spans="2:6" x14ac:dyDescent="0.25">
      <c r="B10972" s="13" t="s">
        <v>19802</v>
      </c>
      <c r="C10972" s="17" t="s">
        <v>170</v>
      </c>
      <c r="D10972" s="13" t="s">
        <v>118</v>
      </c>
      <c r="E10972" s="13" t="s">
        <v>19803</v>
      </c>
      <c r="F10972" s="43">
        <v>1210.3900000000001</v>
      </c>
    </row>
    <row r="10973" spans="2:6" x14ac:dyDescent="0.25">
      <c r="B10973" s="13" t="s">
        <v>19804</v>
      </c>
      <c r="C10973" s="17" t="s">
        <v>170</v>
      </c>
      <c r="D10973" s="13" t="s">
        <v>118</v>
      </c>
      <c r="E10973" s="13" t="s">
        <v>19805</v>
      </c>
      <c r="F10973" s="43">
        <v>1620.62</v>
      </c>
    </row>
    <row r="10974" spans="2:6" x14ac:dyDescent="0.25">
      <c r="B10974" s="13" t="s">
        <v>19806</v>
      </c>
      <c r="C10974" s="17" t="s">
        <v>170</v>
      </c>
      <c r="D10974" s="13" t="s">
        <v>118</v>
      </c>
      <c r="E10974" s="13" t="s">
        <v>19807</v>
      </c>
      <c r="F10974" s="43">
        <v>2200.4499999999998</v>
      </c>
    </row>
    <row r="10975" spans="2:6" x14ac:dyDescent="0.25">
      <c r="B10975" s="13" t="s">
        <v>19808</v>
      </c>
      <c r="C10975" s="17" t="s">
        <v>170</v>
      </c>
      <c r="D10975" s="13" t="s">
        <v>118</v>
      </c>
      <c r="E10975" s="13" t="s">
        <v>19809</v>
      </c>
      <c r="F10975" s="43">
        <v>2244.86</v>
      </c>
    </row>
    <row r="10976" spans="2:6" x14ac:dyDescent="0.25">
      <c r="B10976" s="13" t="s">
        <v>19810</v>
      </c>
      <c r="C10976" s="17" t="s">
        <v>170</v>
      </c>
      <c r="D10976" s="13" t="s">
        <v>118</v>
      </c>
      <c r="E10976" s="13" t="s">
        <v>19811</v>
      </c>
      <c r="F10976" s="43">
        <v>4196.76</v>
      </c>
    </row>
    <row r="10977" spans="2:6" x14ac:dyDescent="0.25">
      <c r="B10977" s="13" t="s">
        <v>19812</v>
      </c>
      <c r="C10977" s="17" t="s">
        <v>170</v>
      </c>
      <c r="D10977" s="13" t="s">
        <v>118</v>
      </c>
      <c r="E10977" s="13" t="s">
        <v>19813</v>
      </c>
      <c r="F10977" s="43">
        <v>5357.34</v>
      </c>
    </row>
    <row r="10978" spans="2:6" x14ac:dyDescent="0.25">
      <c r="B10978" s="13" t="s">
        <v>19814</v>
      </c>
      <c r="C10978" s="17" t="s">
        <v>170</v>
      </c>
      <c r="D10978" s="13" t="s">
        <v>118</v>
      </c>
      <c r="E10978" s="13" t="s">
        <v>19815</v>
      </c>
      <c r="F10978" s="43">
        <v>9415.01</v>
      </c>
    </row>
    <row r="10979" spans="2:6" x14ac:dyDescent="0.25">
      <c r="B10979" s="13" t="s">
        <v>19816</v>
      </c>
      <c r="C10979" s="17" t="s">
        <v>170</v>
      </c>
      <c r="D10979" s="13" t="s">
        <v>118</v>
      </c>
      <c r="E10979" s="13" t="s">
        <v>19817</v>
      </c>
      <c r="F10979" s="43">
        <v>11541.22</v>
      </c>
    </row>
    <row r="10980" spans="2:6" x14ac:dyDescent="0.25">
      <c r="B10980" s="13" t="s">
        <v>19818</v>
      </c>
      <c r="C10980" s="17" t="s">
        <v>170</v>
      </c>
      <c r="D10980" s="13" t="s">
        <v>118</v>
      </c>
      <c r="E10980" s="13" t="s">
        <v>19819</v>
      </c>
      <c r="F10980" s="43">
        <v>14978.67</v>
      </c>
    </row>
    <row r="10981" spans="2:6" x14ac:dyDescent="0.25">
      <c r="B10981" s="13" t="s">
        <v>19820</v>
      </c>
      <c r="C10981" s="17" t="s">
        <v>170</v>
      </c>
      <c r="D10981" s="13" t="s">
        <v>118</v>
      </c>
      <c r="E10981" s="13" t="s">
        <v>19821</v>
      </c>
      <c r="F10981" s="43">
        <v>16963.150000000001</v>
      </c>
    </row>
    <row r="10982" spans="2:6" x14ac:dyDescent="0.25">
      <c r="B10982" s="13" t="s">
        <v>19822</v>
      </c>
      <c r="C10982" s="17" t="s">
        <v>170</v>
      </c>
      <c r="D10982" s="13" t="s">
        <v>118</v>
      </c>
      <c r="E10982" s="13" t="s">
        <v>19823</v>
      </c>
      <c r="F10982" s="43">
        <v>2645.22</v>
      </c>
    </row>
    <row r="10983" spans="2:6" x14ac:dyDescent="0.25">
      <c r="B10983" s="13" t="s">
        <v>19824</v>
      </c>
      <c r="C10983" s="17" t="s">
        <v>170</v>
      </c>
      <c r="D10983" s="13" t="s">
        <v>118</v>
      </c>
      <c r="E10983" s="13" t="s">
        <v>19825</v>
      </c>
      <c r="F10983" s="43">
        <v>2942.65</v>
      </c>
    </row>
    <row r="10984" spans="2:6" x14ac:dyDescent="0.25">
      <c r="B10984" s="13" t="s">
        <v>19826</v>
      </c>
      <c r="C10984" s="17" t="s">
        <v>170</v>
      </c>
      <c r="D10984" s="13" t="s">
        <v>118</v>
      </c>
      <c r="E10984" s="13" t="s">
        <v>19827</v>
      </c>
      <c r="F10984" s="43">
        <v>3370.67</v>
      </c>
    </row>
    <row r="10985" spans="2:6" x14ac:dyDescent="0.25">
      <c r="B10985" s="13" t="s">
        <v>19828</v>
      </c>
      <c r="C10985" s="17" t="s">
        <v>170</v>
      </c>
      <c r="D10985" s="13" t="s">
        <v>118</v>
      </c>
      <c r="E10985" s="13" t="s">
        <v>19829</v>
      </c>
      <c r="F10985" s="43">
        <v>4374.7299999999996</v>
      </c>
    </row>
    <row r="10986" spans="2:6" x14ac:dyDescent="0.25">
      <c r="B10986" s="13" t="s">
        <v>19830</v>
      </c>
      <c r="C10986" s="17" t="s">
        <v>170</v>
      </c>
      <c r="D10986" s="13" t="s">
        <v>118</v>
      </c>
      <c r="E10986" s="13" t="s">
        <v>19831</v>
      </c>
      <c r="F10986" s="43">
        <v>5834.35</v>
      </c>
    </row>
    <row r="10987" spans="2:6" x14ac:dyDescent="0.25">
      <c r="B10987" s="13" t="s">
        <v>19832</v>
      </c>
      <c r="C10987" s="17" t="s">
        <v>170</v>
      </c>
      <c r="D10987" s="13" t="s">
        <v>118</v>
      </c>
      <c r="E10987" s="13" t="s">
        <v>19833</v>
      </c>
      <c r="F10987" s="43">
        <v>7446.48</v>
      </c>
    </row>
    <row r="10988" spans="2:6" x14ac:dyDescent="0.25">
      <c r="B10988" s="13" t="s">
        <v>19834</v>
      </c>
      <c r="C10988" s="17" t="s">
        <v>170</v>
      </c>
      <c r="D10988" s="13" t="s">
        <v>118</v>
      </c>
      <c r="E10988" s="13" t="s">
        <v>19835</v>
      </c>
      <c r="F10988" s="43">
        <v>10882.89</v>
      </c>
    </row>
    <row r="10989" spans="2:6" x14ac:dyDescent="0.25">
      <c r="B10989" s="13" t="s">
        <v>19836</v>
      </c>
      <c r="C10989" s="17" t="s">
        <v>170</v>
      </c>
      <c r="D10989" s="13" t="s">
        <v>118</v>
      </c>
      <c r="E10989" s="13" t="s">
        <v>19837</v>
      </c>
      <c r="F10989" s="43">
        <v>14071.34</v>
      </c>
    </row>
    <row r="10990" spans="2:6" x14ac:dyDescent="0.25">
      <c r="B10990" s="13" t="s">
        <v>19838</v>
      </c>
      <c r="C10990" s="17" t="s">
        <v>170</v>
      </c>
      <c r="D10990" s="13" t="s">
        <v>118</v>
      </c>
      <c r="E10990" s="13" t="s">
        <v>19839</v>
      </c>
      <c r="F10990" s="43">
        <v>23673.62</v>
      </c>
    </row>
    <row r="10991" spans="2:6" x14ac:dyDescent="0.25">
      <c r="B10991" s="13" t="s">
        <v>19840</v>
      </c>
      <c r="C10991" s="17" t="s">
        <v>170</v>
      </c>
      <c r="D10991" s="13" t="s">
        <v>118</v>
      </c>
      <c r="E10991" s="13" t="s">
        <v>19841</v>
      </c>
      <c r="F10991" s="43">
        <v>28510.68</v>
      </c>
    </row>
    <row r="10992" spans="2:6" x14ac:dyDescent="0.25">
      <c r="B10992" s="13" t="s">
        <v>19842</v>
      </c>
      <c r="C10992" s="17" t="s">
        <v>170</v>
      </c>
      <c r="D10992" s="13" t="s">
        <v>118</v>
      </c>
      <c r="E10992" s="13" t="s">
        <v>19843</v>
      </c>
      <c r="F10992" s="43">
        <v>37813</v>
      </c>
    </row>
    <row r="10993" spans="2:6" x14ac:dyDescent="0.25">
      <c r="B10993" s="13" t="s">
        <v>19844</v>
      </c>
      <c r="C10993" s="17" t="s">
        <v>170</v>
      </c>
      <c r="D10993" s="13" t="s">
        <v>118</v>
      </c>
      <c r="E10993" s="13" t="s">
        <v>19845</v>
      </c>
      <c r="F10993" s="43">
        <v>41533.879999999997</v>
      </c>
    </row>
    <row r="10994" spans="2:6" x14ac:dyDescent="0.25">
      <c r="B10994" s="13" t="s">
        <v>19846</v>
      </c>
      <c r="C10994" s="17" t="s">
        <v>170</v>
      </c>
      <c r="D10994" s="13" t="s">
        <v>118</v>
      </c>
      <c r="E10994" s="13" t="s">
        <v>19847</v>
      </c>
      <c r="F10994" s="43">
        <v>47054.39</v>
      </c>
    </row>
    <row r="10995" spans="2:6" x14ac:dyDescent="0.25">
      <c r="B10995" s="13" t="s">
        <v>19848</v>
      </c>
      <c r="C10995" s="17" t="s">
        <v>170</v>
      </c>
      <c r="D10995" s="13" t="s">
        <v>118</v>
      </c>
      <c r="E10995" s="13" t="s">
        <v>19849</v>
      </c>
      <c r="F10995" s="43">
        <v>2645.22</v>
      </c>
    </row>
    <row r="10996" spans="2:6" x14ac:dyDescent="0.25">
      <c r="B10996" s="13" t="s">
        <v>19850</v>
      </c>
      <c r="C10996" s="17" t="s">
        <v>170</v>
      </c>
      <c r="D10996" s="13" t="s">
        <v>118</v>
      </c>
      <c r="E10996" s="13" t="s">
        <v>19851</v>
      </c>
      <c r="F10996" s="43">
        <v>3527.19</v>
      </c>
    </row>
    <row r="10997" spans="2:6" x14ac:dyDescent="0.25">
      <c r="B10997" s="13" t="s">
        <v>19852</v>
      </c>
      <c r="C10997" s="17" t="s">
        <v>170</v>
      </c>
      <c r="D10997" s="13" t="s">
        <v>118</v>
      </c>
      <c r="E10997" s="13" t="s">
        <v>19853</v>
      </c>
      <c r="F10997" s="43">
        <v>3631.27</v>
      </c>
    </row>
    <row r="10998" spans="2:6" x14ac:dyDescent="0.25">
      <c r="B10998" s="13" t="s">
        <v>19854</v>
      </c>
      <c r="C10998" s="17" t="s">
        <v>170</v>
      </c>
      <c r="D10998" s="13" t="s">
        <v>118</v>
      </c>
      <c r="E10998" s="13" t="s">
        <v>19855</v>
      </c>
      <c r="F10998" s="43">
        <v>4862.08</v>
      </c>
    </row>
    <row r="10999" spans="2:6" x14ac:dyDescent="0.25">
      <c r="B10999" s="13" t="s">
        <v>19856</v>
      </c>
      <c r="C10999" s="17" t="s">
        <v>170</v>
      </c>
      <c r="D10999" s="13" t="s">
        <v>118</v>
      </c>
      <c r="E10999" s="13" t="s">
        <v>19857</v>
      </c>
      <c r="F10999" s="43">
        <v>6601.34</v>
      </c>
    </row>
    <row r="11000" spans="2:6" x14ac:dyDescent="0.25">
      <c r="B11000" s="13" t="s">
        <v>19858</v>
      </c>
      <c r="C11000" s="17" t="s">
        <v>170</v>
      </c>
      <c r="D11000" s="13" t="s">
        <v>118</v>
      </c>
      <c r="E11000" s="13" t="s">
        <v>19859</v>
      </c>
      <c r="F11000" s="43">
        <v>6734.45</v>
      </c>
    </row>
    <row r="11001" spans="2:6" x14ac:dyDescent="0.25">
      <c r="B11001" s="13" t="s">
        <v>19860</v>
      </c>
      <c r="C11001" s="17" t="s">
        <v>170</v>
      </c>
      <c r="D11001" s="13" t="s">
        <v>118</v>
      </c>
      <c r="E11001" s="13" t="s">
        <v>19861</v>
      </c>
      <c r="F11001" s="43">
        <v>12590.15</v>
      </c>
    </row>
    <row r="11002" spans="2:6" x14ac:dyDescent="0.25">
      <c r="B11002" s="13" t="s">
        <v>19862</v>
      </c>
      <c r="C11002" s="17" t="s">
        <v>170</v>
      </c>
      <c r="D11002" s="13" t="s">
        <v>118</v>
      </c>
      <c r="E11002" s="13" t="s">
        <v>19863</v>
      </c>
      <c r="F11002" s="43">
        <v>16071.66</v>
      </c>
    </row>
    <row r="11003" spans="2:6" x14ac:dyDescent="0.25">
      <c r="B11003" s="13" t="s">
        <v>19864</v>
      </c>
      <c r="C11003" s="17" t="s">
        <v>170</v>
      </c>
      <c r="D11003" s="13" t="s">
        <v>118</v>
      </c>
      <c r="E11003" s="13" t="s">
        <v>19865</v>
      </c>
      <c r="F11003" s="43">
        <v>28245.03</v>
      </c>
    </row>
    <row r="11004" spans="2:6" x14ac:dyDescent="0.25">
      <c r="B11004" s="13" t="s">
        <v>19866</v>
      </c>
      <c r="C11004" s="17" t="s">
        <v>170</v>
      </c>
      <c r="D11004" s="13" t="s">
        <v>118</v>
      </c>
      <c r="E11004" s="13" t="s">
        <v>19867</v>
      </c>
      <c r="F11004" s="43">
        <v>34623.75</v>
      </c>
    </row>
    <row r="11005" spans="2:6" x14ac:dyDescent="0.25">
      <c r="B11005" s="13" t="s">
        <v>19868</v>
      </c>
      <c r="C11005" s="17" t="s">
        <v>170</v>
      </c>
      <c r="D11005" s="13" t="s">
        <v>118</v>
      </c>
      <c r="E11005" s="13" t="s">
        <v>19869</v>
      </c>
      <c r="F11005" s="43">
        <v>44935.99</v>
      </c>
    </row>
    <row r="11006" spans="2:6" x14ac:dyDescent="0.25">
      <c r="B11006" s="13" t="s">
        <v>19870</v>
      </c>
      <c r="C11006" s="17" t="s">
        <v>170</v>
      </c>
      <c r="D11006" s="13" t="s">
        <v>118</v>
      </c>
      <c r="E11006" s="13" t="s">
        <v>19871</v>
      </c>
      <c r="F11006" s="43">
        <v>50889.56</v>
      </c>
    </row>
    <row r="11007" spans="2:6" x14ac:dyDescent="0.25">
      <c r="B11007" s="13" t="s">
        <v>19872</v>
      </c>
      <c r="C11007" s="17" t="s">
        <v>170</v>
      </c>
      <c r="D11007" s="13" t="s">
        <v>118</v>
      </c>
      <c r="E11007" s="13" t="s">
        <v>19873</v>
      </c>
      <c r="F11007" s="43">
        <v>1072.3399999999999</v>
      </c>
    </row>
    <row r="11008" spans="2:6" x14ac:dyDescent="0.25">
      <c r="B11008" s="13" t="s">
        <v>19874</v>
      </c>
      <c r="C11008" s="17" t="s">
        <v>170</v>
      </c>
      <c r="D11008" s="13" t="s">
        <v>118</v>
      </c>
      <c r="E11008" s="13" t="s">
        <v>19875</v>
      </c>
      <c r="F11008" s="43">
        <v>1204.08</v>
      </c>
    </row>
    <row r="11009" spans="2:6" x14ac:dyDescent="0.25">
      <c r="B11009" s="13" t="s">
        <v>19876</v>
      </c>
      <c r="C11009" s="17" t="s">
        <v>170</v>
      </c>
      <c r="D11009" s="13" t="s">
        <v>118</v>
      </c>
      <c r="E11009" s="13" t="s">
        <v>19877</v>
      </c>
      <c r="F11009" s="43">
        <v>1487.28</v>
      </c>
    </row>
    <row r="11010" spans="2:6" x14ac:dyDescent="0.25">
      <c r="B11010" s="13" t="s">
        <v>19878</v>
      </c>
      <c r="C11010" s="17" t="s">
        <v>170</v>
      </c>
      <c r="D11010" s="13" t="s">
        <v>118</v>
      </c>
      <c r="E11010" s="13" t="s">
        <v>19879</v>
      </c>
      <c r="F11010" s="43">
        <v>2158.8000000000002</v>
      </c>
    </row>
    <row r="11011" spans="2:6" x14ac:dyDescent="0.25">
      <c r="B11011" s="13" t="s">
        <v>19880</v>
      </c>
      <c r="C11011" s="17" t="s">
        <v>170</v>
      </c>
      <c r="D11011" s="13" t="s">
        <v>118</v>
      </c>
      <c r="E11011" s="13" t="s">
        <v>19881</v>
      </c>
      <c r="F11011" s="43">
        <v>2623.53</v>
      </c>
    </row>
    <row r="11012" spans="2:6" x14ac:dyDescent="0.25">
      <c r="B11012" s="13" t="s">
        <v>19882</v>
      </c>
      <c r="C11012" s="17" t="s">
        <v>170</v>
      </c>
      <c r="D11012" s="13" t="s">
        <v>118</v>
      </c>
      <c r="E11012" s="13" t="s">
        <v>19883</v>
      </c>
      <c r="F11012" s="43">
        <v>3438.49</v>
      </c>
    </row>
    <row r="11013" spans="2:6" x14ac:dyDescent="0.25">
      <c r="B11013" s="13" t="s">
        <v>19884</v>
      </c>
      <c r="C11013" s="17" t="s">
        <v>170</v>
      </c>
      <c r="D11013" s="13" t="s">
        <v>118</v>
      </c>
      <c r="E11013" s="13" t="s">
        <v>19885</v>
      </c>
      <c r="F11013" s="43">
        <v>4979.01</v>
      </c>
    </row>
    <row r="11014" spans="2:6" x14ac:dyDescent="0.25">
      <c r="B11014" s="13" t="s">
        <v>19886</v>
      </c>
      <c r="C11014" s="17" t="s">
        <v>170</v>
      </c>
      <c r="D11014" s="13" t="s">
        <v>118</v>
      </c>
      <c r="E11014" s="13" t="s">
        <v>19887</v>
      </c>
      <c r="F11014" s="43">
        <v>6630.15</v>
      </c>
    </row>
    <row r="11015" spans="2:6" x14ac:dyDescent="0.25">
      <c r="B11015" s="13" t="s">
        <v>19888</v>
      </c>
      <c r="C11015" s="17" t="s">
        <v>170</v>
      </c>
      <c r="D11015" s="13" t="s">
        <v>118</v>
      </c>
      <c r="E11015" s="13" t="s">
        <v>19889</v>
      </c>
      <c r="F11015" s="43">
        <v>9202.3799999999992</v>
      </c>
    </row>
    <row r="11016" spans="2:6" x14ac:dyDescent="0.25">
      <c r="B11016" s="13" t="s">
        <v>19890</v>
      </c>
      <c r="C11016" s="17" t="s">
        <v>170</v>
      </c>
      <c r="D11016" s="13" t="s">
        <v>118</v>
      </c>
      <c r="E11016" s="13" t="s">
        <v>19891</v>
      </c>
      <c r="F11016" s="43">
        <v>10956.45</v>
      </c>
    </row>
    <row r="11017" spans="2:6" x14ac:dyDescent="0.25">
      <c r="B11017" s="13" t="s">
        <v>19892</v>
      </c>
      <c r="C11017" s="17" t="s">
        <v>170</v>
      </c>
      <c r="D11017" s="13" t="s">
        <v>118</v>
      </c>
      <c r="E11017" s="13" t="s">
        <v>19893</v>
      </c>
      <c r="F11017" s="43">
        <v>13809.25</v>
      </c>
    </row>
    <row r="11018" spans="2:6" x14ac:dyDescent="0.25">
      <c r="B11018" s="13" t="s">
        <v>19894</v>
      </c>
      <c r="C11018" s="17" t="s">
        <v>170</v>
      </c>
      <c r="D11018" s="13" t="s">
        <v>118</v>
      </c>
      <c r="E11018" s="13" t="s">
        <v>19895</v>
      </c>
      <c r="F11018" s="43">
        <v>16413.84</v>
      </c>
    </row>
    <row r="11019" spans="2:6" x14ac:dyDescent="0.25">
      <c r="B11019" s="13" t="s">
        <v>19896</v>
      </c>
      <c r="C11019" s="17" t="s">
        <v>170</v>
      </c>
      <c r="D11019" s="13" t="s">
        <v>118</v>
      </c>
      <c r="E11019" s="13" t="s">
        <v>19897</v>
      </c>
      <c r="F11019" s="43">
        <v>105273.38</v>
      </c>
    </row>
    <row r="11020" spans="2:6" x14ac:dyDescent="0.25">
      <c r="B11020" s="13" t="s">
        <v>19898</v>
      </c>
      <c r="C11020" s="17" t="s">
        <v>170</v>
      </c>
      <c r="D11020" s="13" t="s">
        <v>118</v>
      </c>
      <c r="E11020" s="13" t="s">
        <v>19873</v>
      </c>
      <c r="F11020" s="43">
        <v>1072.3399999999999</v>
      </c>
    </row>
    <row r="11021" spans="2:6" x14ac:dyDescent="0.25">
      <c r="B11021" s="13" t="s">
        <v>19899</v>
      </c>
      <c r="C11021" s="17" t="s">
        <v>170</v>
      </c>
      <c r="D11021" s="13" t="s">
        <v>118</v>
      </c>
      <c r="E11021" s="13" t="s">
        <v>19875</v>
      </c>
      <c r="F11021" s="43">
        <v>1521.25</v>
      </c>
    </row>
    <row r="11022" spans="2:6" x14ac:dyDescent="0.25">
      <c r="B11022" s="13" t="s">
        <v>19900</v>
      </c>
      <c r="C11022" s="17" t="s">
        <v>170</v>
      </c>
      <c r="D11022" s="13" t="s">
        <v>118</v>
      </c>
      <c r="E11022" s="13" t="s">
        <v>19877</v>
      </c>
      <c r="F11022" s="43">
        <v>1636.23</v>
      </c>
    </row>
    <row r="11023" spans="2:6" x14ac:dyDescent="0.25">
      <c r="B11023" s="13" t="s">
        <v>19901</v>
      </c>
      <c r="C11023" s="17" t="s">
        <v>170</v>
      </c>
      <c r="D11023" s="13" t="s">
        <v>118</v>
      </c>
      <c r="E11023" s="13" t="s">
        <v>19879</v>
      </c>
      <c r="F11023" s="43">
        <v>2437.41</v>
      </c>
    </row>
    <row r="11024" spans="2:6" x14ac:dyDescent="0.25">
      <c r="B11024" s="13" t="s">
        <v>19902</v>
      </c>
      <c r="C11024" s="17" t="s">
        <v>170</v>
      </c>
      <c r="D11024" s="13" t="s">
        <v>118</v>
      </c>
      <c r="E11024" s="13" t="s">
        <v>19881</v>
      </c>
      <c r="F11024" s="43">
        <v>3011.27</v>
      </c>
    </row>
    <row r="11025" spans="2:6" x14ac:dyDescent="0.25">
      <c r="B11025" s="13" t="s">
        <v>19903</v>
      </c>
      <c r="C11025" s="17" t="s">
        <v>170</v>
      </c>
      <c r="D11025" s="13" t="s">
        <v>118</v>
      </c>
      <c r="E11025" s="13" t="s">
        <v>19883</v>
      </c>
      <c r="F11025" s="43">
        <v>4153.2700000000004</v>
      </c>
    </row>
    <row r="11026" spans="2:6" x14ac:dyDescent="0.25">
      <c r="B11026" s="13" t="s">
        <v>19904</v>
      </c>
      <c r="C11026" s="17" t="s">
        <v>170</v>
      </c>
      <c r="D11026" s="13" t="s">
        <v>118</v>
      </c>
      <c r="E11026" s="13" t="s">
        <v>19885</v>
      </c>
      <c r="F11026" s="43">
        <v>5841.93</v>
      </c>
    </row>
    <row r="11027" spans="2:6" x14ac:dyDescent="0.25">
      <c r="B11027" s="13" t="s">
        <v>19905</v>
      </c>
      <c r="C11027" s="17" t="s">
        <v>170</v>
      </c>
      <c r="D11027" s="13" t="s">
        <v>118</v>
      </c>
      <c r="E11027" s="13" t="s">
        <v>19887</v>
      </c>
      <c r="F11027" s="43">
        <v>7641.21</v>
      </c>
    </row>
    <row r="11028" spans="2:6" x14ac:dyDescent="0.25">
      <c r="B11028" s="13" t="s">
        <v>19906</v>
      </c>
      <c r="C11028" s="17" t="s">
        <v>170</v>
      </c>
      <c r="D11028" s="13" t="s">
        <v>118</v>
      </c>
      <c r="E11028" s="13" t="s">
        <v>19889</v>
      </c>
      <c r="F11028" s="43">
        <v>12214.57</v>
      </c>
    </row>
    <row r="11029" spans="2:6" x14ac:dyDescent="0.25">
      <c r="B11029" s="13" t="s">
        <v>19907</v>
      </c>
      <c r="C11029" s="17" t="s">
        <v>170</v>
      </c>
      <c r="D11029" s="13" t="s">
        <v>118</v>
      </c>
      <c r="E11029" s="13" t="s">
        <v>19891</v>
      </c>
      <c r="F11029" s="43">
        <v>14943.21</v>
      </c>
    </row>
    <row r="11030" spans="2:6" x14ac:dyDescent="0.25">
      <c r="B11030" s="13" t="s">
        <v>19908</v>
      </c>
      <c r="C11030" s="17" t="s">
        <v>170</v>
      </c>
      <c r="D11030" s="13" t="s">
        <v>118</v>
      </c>
      <c r="E11030" s="13" t="s">
        <v>19893</v>
      </c>
      <c r="F11030" s="43">
        <v>18983.099999999999</v>
      </c>
    </row>
    <row r="11031" spans="2:6" x14ac:dyDescent="0.25">
      <c r="B11031" s="13" t="s">
        <v>19909</v>
      </c>
      <c r="C11031" s="17" t="s">
        <v>170</v>
      </c>
      <c r="D11031" s="13" t="s">
        <v>118</v>
      </c>
      <c r="E11031" s="13" t="s">
        <v>19895</v>
      </c>
      <c r="F11031" s="43">
        <v>21818.11</v>
      </c>
    </row>
    <row r="11032" spans="2:6" x14ac:dyDescent="0.25">
      <c r="B11032" s="13" t="s">
        <v>19910</v>
      </c>
      <c r="C11032" s="17" t="s">
        <v>170</v>
      </c>
      <c r="D11032" s="13" t="s">
        <v>118</v>
      </c>
      <c r="E11032" s="13" t="s">
        <v>19897</v>
      </c>
      <c r="F11032" s="43">
        <v>26399.39</v>
      </c>
    </row>
    <row r="11033" spans="2:6" x14ac:dyDescent="0.25">
      <c r="B11033" s="13" t="s">
        <v>19911</v>
      </c>
      <c r="C11033" s="17" t="s">
        <v>170</v>
      </c>
      <c r="D11033" s="13" t="s">
        <v>118</v>
      </c>
      <c r="E11033" s="13" t="s">
        <v>19912</v>
      </c>
      <c r="F11033" s="43">
        <v>1943.53</v>
      </c>
    </row>
    <row r="11034" spans="2:6" x14ac:dyDescent="0.25">
      <c r="B11034" s="13" t="s">
        <v>19913</v>
      </c>
      <c r="C11034" s="17" t="s">
        <v>170</v>
      </c>
      <c r="D11034" s="13" t="s">
        <v>118</v>
      </c>
      <c r="E11034" s="13" t="s">
        <v>19914</v>
      </c>
      <c r="F11034" s="43">
        <v>2207.11</v>
      </c>
    </row>
    <row r="11035" spans="2:6" x14ac:dyDescent="0.25">
      <c r="B11035" s="13" t="s">
        <v>19915</v>
      </c>
      <c r="C11035" s="17" t="s">
        <v>170</v>
      </c>
      <c r="D11035" s="13" t="s">
        <v>118</v>
      </c>
      <c r="E11035" s="13" t="s">
        <v>19916</v>
      </c>
      <c r="F11035" s="43">
        <v>2773.4</v>
      </c>
    </row>
    <row r="11036" spans="2:6" x14ac:dyDescent="0.25">
      <c r="B11036" s="13" t="s">
        <v>19917</v>
      </c>
      <c r="C11036" s="17" t="s">
        <v>170</v>
      </c>
      <c r="D11036" s="13" t="s">
        <v>118</v>
      </c>
      <c r="E11036" s="13" t="s">
        <v>19918</v>
      </c>
      <c r="F11036" s="43">
        <v>4116.32</v>
      </c>
    </row>
    <row r="11037" spans="2:6" x14ac:dyDescent="0.25">
      <c r="B11037" s="13" t="s">
        <v>19919</v>
      </c>
      <c r="C11037" s="17" t="s">
        <v>170</v>
      </c>
      <c r="D11037" s="13" t="s">
        <v>118</v>
      </c>
      <c r="E11037" s="13" t="s">
        <v>19920</v>
      </c>
      <c r="F11037" s="43">
        <v>5046.0200000000004</v>
      </c>
    </row>
    <row r="11038" spans="2:6" x14ac:dyDescent="0.25">
      <c r="B11038" s="13" t="s">
        <v>19921</v>
      </c>
      <c r="C11038" s="17" t="s">
        <v>170</v>
      </c>
      <c r="D11038" s="13" t="s">
        <v>118</v>
      </c>
      <c r="E11038" s="13" t="s">
        <v>19922</v>
      </c>
      <c r="F11038" s="43">
        <v>6675.7</v>
      </c>
    </row>
    <row r="11039" spans="2:6" x14ac:dyDescent="0.25">
      <c r="B11039" s="13" t="s">
        <v>19923</v>
      </c>
      <c r="C11039" s="17" t="s">
        <v>170</v>
      </c>
      <c r="D11039" s="13" t="s">
        <v>118</v>
      </c>
      <c r="E11039" s="13" t="s">
        <v>19924</v>
      </c>
      <c r="F11039" s="43">
        <v>9756.85</v>
      </c>
    </row>
    <row r="11040" spans="2:6" x14ac:dyDescent="0.25">
      <c r="B11040" s="13" t="s">
        <v>19925</v>
      </c>
      <c r="C11040" s="17" t="s">
        <v>170</v>
      </c>
      <c r="D11040" s="13" t="s">
        <v>118</v>
      </c>
      <c r="E11040" s="13" t="s">
        <v>19926</v>
      </c>
      <c r="F11040" s="43">
        <v>13059.13</v>
      </c>
    </row>
    <row r="11041" spans="2:6" x14ac:dyDescent="0.25">
      <c r="B11041" s="13" t="s">
        <v>19927</v>
      </c>
      <c r="C11041" s="17" t="s">
        <v>170</v>
      </c>
      <c r="D11041" s="13" t="s">
        <v>118</v>
      </c>
      <c r="E11041" s="13" t="s">
        <v>19928</v>
      </c>
      <c r="F11041" s="43">
        <v>18203.490000000002</v>
      </c>
    </row>
    <row r="11042" spans="2:6" x14ac:dyDescent="0.25">
      <c r="B11042" s="13" t="s">
        <v>19929</v>
      </c>
      <c r="C11042" s="17" t="s">
        <v>170</v>
      </c>
      <c r="D11042" s="13" t="s">
        <v>118</v>
      </c>
      <c r="E11042" s="13" t="s">
        <v>19930</v>
      </c>
      <c r="F11042" s="43">
        <v>21711.85</v>
      </c>
    </row>
    <row r="11043" spans="2:6" x14ac:dyDescent="0.25">
      <c r="B11043" s="13" t="s">
        <v>19931</v>
      </c>
      <c r="C11043" s="17" t="s">
        <v>170</v>
      </c>
      <c r="D11043" s="13" t="s">
        <v>118</v>
      </c>
      <c r="E11043" s="13" t="s">
        <v>19932</v>
      </c>
      <c r="F11043" s="43">
        <v>27417.22</v>
      </c>
    </row>
    <row r="11044" spans="2:6" x14ac:dyDescent="0.25">
      <c r="B11044" s="13" t="s">
        <v>19933</v>
      </c>
      <c r="C11044" s="17" t="s">
        <v>170</v>
      </c>
      <c r="D11044" s="13" t="s">
        <v>118</v>
      </c>
      <c r="E11044" s="13" t="s">
        <v>19934</v>
      </c>
      <c r="F11044" s="43">
        <v>32626.53</v>
      </c>
    </row>
    <row r="11045" spans="2:6" x14ac:dyDescent="0.25">
      <c r="B11045" s="13" t="s">
        <v>19935</v>
      </c>
      <c r="C11045" s="17" t="s">
        <v>170</v>
      </c>
      <c r="D11045" s="13" t="s">
        <v>118</v>
      </c>
      <c r="E11045" s="13" t="s">
        <v>19936</v>
      </c>
      <c r="F11045" s="43">
        <v>37874.39</v>
      </c>
    </row>
    <row r="11046" spans="2:6" x14ac:dyDescent="0.25">
      <c r="B11046" s="13" t="s">
        <v>19937</v>
      </c>
      <c r="C11046" s="17" t="s">
        <v>170</v>
      </c>
      <c r="D11046" s="13" t="s">
        <v>118</v>
      </c>
      <c r="E11046" s="13" t="s">
        <v>19938</v>
      </c>
      <c r="F11046" s="43">
        <v>76892.83</v>
      </c>
    </row>
    <row r="11047" spans="2:6" x14ac:dyDescent="0.25">
      <c r="B11047" s="13" t="s">
        <v>19939</v>
      </c>
      <c r="C11047" s="17" t="s">
        <v>170</v>
      </c>
      <c r="D11047" s="13" t="s">
        <v>118</v>
      </c>
      <c r="E11047" s="13" t="s">
        <v>19940</v>
      </c>
      <c r="F11047" s="43">
        <v>1943.53</v>
      </c>
    </row>
    <row r="11048" spans="2:6" x14ac:dyDescent="0.25">
      <c r="B11048" s="13" t="s">
        <v>19941</v>
      </c>
      <c r="C11048" s="17" t="s">
        <v>170</v>
      </c>
      <c r="D11048" s="13" t="s">
        <v>118</v>
      </c>
      <c r="E11048" s="13" t="s">
        <v>19942</v>
      </c>
      <c r="F11048" s="43">
        <v>2841.33</v>
      </c>
    </row>
    <row r="11049" spans="2:6" x14ac:dyDescent="0.25">
      <c r="B11049" s="13" t="s">
        <v>19943</v>
      </c>
      <c r="C11049" s="17" t="s">
        <v>170</v>
      </c>
      <c r="D11049" s="13" t="s">
        <v>118</v>
      </c>
      <c r="E11049" s="13" t="s">
        <v>19944</v>
      </c>
      <c r="F11049" s="43">
        <v>3071.29</v>
      </c>
    </row>
    <row r="11050" spans="2:6" x14ac:dyDescent="0.25">
      <c r="B11050" s="13" t="s">
        <v>19945</v>
      </c>
      <c r="C11050" s="17" t="s">
        <v>170</v>
      </c>
      <c r="D11050" s="13" t="s">
        <v>118</v>
      </c>
      <c r="E11050" s="13" t="s">
        <v>19946</v>
      </c>
      <c r="F11050" s="43">
        <v>4673.7700000000004</v>
      </c>
    </row>
    <row r="11051" spans="2:6" x14ac:dyDescent="0.25">
      <c r="B11051" s="13" t="s">
        <v>19947</v>
      </c>
      <c r="C11051" s="17" t="s">
        <v>170</v>
      </c>
      <c r="D11051" s="13" t="s">
        <v>118</v>
      </c>
      <c r="E11051" s="13" t="s">
        <v>19948</v>
      </c>
      <c r="F11051" s="43">
        <v>5821.27</v>
      </c>
    </row>
    <row r="11052" spans="2:6" x14ac:dyDescent="0.25">
      <c r="B11052" s="13" t="s">
        <v>19949</v>
      </c>
      <c r="C11052" s="17" t="s">
        <v>170</v>
      </c>
      <c r="D11052" s="13" t="s">
        <v>118</v>
      </c>
      <c r="E11052" s="13" t="s">
        <v>19950</v>
      </c>
      <c r="F11052" s="43">
        <v>8105.26</v>
      </c>
    </row>
    <row r="11053" spans="2:6" x14ac:dyDescent="0.25">
      <c r="B11053" s="13" t="s">
        <v>19951</v>
      </c>
      <c r="C11053" s="17" t="s">
        <v>170</v>
      </c>
      <c r="D11053" s="13" t="s">
        <v>118</v>
      </c>
      <c r="E11053" s="13" t="s">
        <v>19952</v>
      </c>
      <c r="F11053" s="43">
        <v>11482.69</v>
      </c>
    </row>
    <row r="11054" spans="2:6" x14ac:dyDescent="0.25">
      <c r="B11054" s="13" t="s">
        <v>19953</v>
      </c>
      <c r="C11054" s="17" t="s">
        <v>170</v>
      </c>
      <c r="D11054" s="13" t="s">
        <v>118</v>
      </c>
      <c r="E11054" s="13" t="s">
        <v>19954</v>
      </c>
      <c r="F11054" s="43">
        <v>15081.14</v>
      </c>
    </row>
    <row r="11055" spans="2:6" x14ac:dyDescent="0.25">
      <c r="B11055" s="13" t="s">
        <v>19955</v>
      </c>
      <c r="C11055" s="17" t="s">
        <v>170</v>
      </c>
      <c r="D11055" s="13" t="s">
        <v>118</v>
      </c>
      <c r="E11055" s="13" t="s">
        <v>19956</v>
      </c>
      <c r="F11055" s="43">
        <v>24227.86</v>
      </c>
    </row>
    <row r="11056" spans="2:6" x14ac:dyDescent="0.25">
      <c r="B11056" s="13" t="s">
        <v>19957</v>
      </c>
      <c r="C11056" s="17" t="s">
        <v>170</v>
      </c>
      <c r="D11056" s="13" t="s">
        <v>118</v>
      </c>
      <c r="E11056" s="13" t="s">
        <v>19958</v>
      </c>
      <c r="F11056" s="43">
        <v>29685.26</v>
      </c>
    </row>
    <row r="11057" spans="2:6" x14ac:dyDescent="0.25">
      <c r="B11057" s="13" t="s">
        <v>19959</v>
      </c>
      <c r="C11057" s="17" t="s">
        <v>170</v>
      </c>
      <c r="D11057" s="13" t="s">
        <v>118</v>
      </c>
      <c r="E11057" s="13" t="s">
        <v>19960</v>
      </c>
      <c r="F11057" s="43">
        <v>37764.92</v>
      </c>
    </row>
    <row r="11058" spans="2:6" x14ac:dyDescent="0.25">
      <c r="B11058" s="13" t="s">
        <v>19961</v>
      </c>
      <c r="C11058" s="17" t="s">
        <v>170</v>
      </c>
      <c r="D11058" s="13" t="s">
        <v>118</v>
      </c>
      <c r="E11058" s="13" t="s">
        <v>19962</v>
      </c>
      <c r="F11058" s="43">
        <v>43435.06</v>
      </c>
    </row>
    <row r="11059" spans="2:6" x14ac:dyDescent="0.25">
      <c r="B11059" s="13" t="s">
        <v>19963</v>
      </c>
      <c r="C11059" s="17" t="s">
        <v>170</v>
      </c>
      <c r="D11059" s="13" t="s">
        <v>118</v>
      </c>
      <c r="E11059" s="13" t="s">
        <v>19964</v>
      </c>
      <c r="F11059" s="43">
        <v>48195</v>
      </c>
    </row>
    <row r="11060" spans="2:6" x14ac:dyDescent="0.25">
      <c r="B11060" s="13" t="s">
        <v>19965</v>
      </c>
      <c r="C11060" s="17" t="s">
        <v>170</v>
      </c>
      <c r="D11060" s="13" t="s">
        <v>118</v>
      </c>
      <c r="E11060" s="13" t="s">
        <v>19966</v>
      </c>
      <c r="F11060" s="43">
        <v>112460.74</v>
      </c>
    </row>
    <row r="11061" spans="2:6" x14ac:dyDescent="0.25">
      <c r="B11061" s="13" t="s">
        <v>19967</v>
      </c>
      <c r="C11061" s="17" t="s">
        <v>170</v>
      </c>
      <c r="D11061" s="13" t="s">
        <v>118</v>
      </c>
      <c r="E11061" s="13" t="s">
        <v>19968</v>
      </c>
      <c r="F11061" s="43">
        <v>3377.9</v>
      </c>
    </row>
    <row r="11062" spans="2:6" x14ac:dyDescent="0.25">
      <c r="B11062" s="13" t="s">
        <v>19969</v>
      </c>
      <c r="C11062" s="17" t="s">
        <v>170</v>
      </c>
      <c r="D11062" s="13" t="s">
        <v>118</v>
      </c>
      <c r="E11062" s="13" t="s">
        <v>19970</v>
      </c>
      <c r="F11062" s="43">
        <v>3793.07</v>
      </c>
    </row>
    <row r="11063" spans="2:6" x14ac:dyDescent="0.25">
      <c r="B11063" s="13" t="s">
        <v>19971</v>
      </c>
      <c r="C11063" s="17" t="s">
        <v>170</v>
      </c>
      <c r="D11063" s="13" t="s">
        <v>118</v>
      </c>
      <c r="E11063" s="13" t="s">
        <v>19972</v>
      </c>
      <c r="F11063" s="43">
        <v>4685.0200000000004</v>
      </c>
    </row>
    <row r="11064" spans="2:6" x14ac:dyDescent="0.25">
      <c r="B11064" s="13" t="s">
        <v>19973</v>
      </c>
      <c r="C11064" s="17" t="s">
        <v>170</v>
      </c>
      <c r="D11064" s="13" t="s">
        <v>118</v>
      </c>
      <c r="E11064" s="13" t="s">
        <v>19974</v>
      </c>
      <c r="F11064" s="43">
        <v>6800.2</v>
      </c>
    </row>
    <row r="11065" spans="2:6" x14ac:dyDescent="0.25">
      <c r="B11065" s="13" t="s">
        <v>19975</v>
      </c>
      <c r="C11065" s="17" t="s">
        <v>170</v>
      </c>
      <c r="D11065" s="13" t="s">
        <v>118</v>
      </c>
      <c r="E11065" s="13" t="s">
        <v>19976</v>
      </c>
      <c r="F11065" s="43">
        <v>8264.41</v>
      </c>
    </row>
    <row r="11066" spans="2:6" x14ac:dyDescent="0.25">
      <c r="B11066" s="13" t="s">
        <v>19977</v>
      </c>
      <c r="C11066" s="17" t="s">
        <v>170</v>
      </c>
      <c r="D11066" s="13" t="s">
        <v>118</v>
      </c>
      <c r="E11066" s="13" t="s">
        <v>19978</v>
      </c>
      <c r="F11066" s="43">
        <v>10831.26</v>
      </c>
    </row>
    <row r="11067" spans="2:6" x14ac:dyDescent="0.25">
      <c r="B11067" s="13" t="s">
        <v>19979</v>
      </c>
      <c r="C11067" s="17" t="s">
        <v>170</v>
      </c>
      <c r="D11067" s="13" t="s">
        <v>118</v>
      </c>
      <c r="E11067" s="13" t="s">
        <v>19980</v>
      </c>
      <c r="F11067" s="43">
        <v>15684.03</v>
      </c>
    </row>
    <row r="11068" spans="2:6" x14ac:dyDescent="0.25">
      <c r="B11068" s="13" t="s">
        <v>19981</v>
      </c>
      <c r="C11068" s="17" t="s">
        <v>170</v>
      </c>
      <c r="D11068" s="13" t="s">
        <v>118</v>
      </c>
      <c r="E11068" s="13" t="s">
        <v>19982</v>
      </c>
      <c r="F11068" s="43">
        <v>20885.080000000002</v>
      </c>
    </row>
    <row r="11069" spans="2:6" x14ac:dyDescent="0.25">
      <c r="B11069" s="13" t="s">
        <v>19983</v>
      </c>
      <c r="C11069" s="17" t="s">
        <v>170</v>
      </c>
      <c r="D11069" s="13" t="s">
        <v>118</v>
      </c>
      <c r="E11069" s="13" t="s">
        <v>19984</v>
      </c>
      <c r="F11069" s="43">
        <v>28435.05</v>
      </c>
    </row>
    <row r="11070" spans="2:6" x14ac:dyDescent="0.25">
      <c r="B11070" s="13" t="s">
        <v>19985</v>
      </c>
      <c r="C11070" s="17" t="s">
        <v>170</v>
      </c>
      <c r="D11070" s="13" t="s">
        <v>118</v>
      </c>
      <c r="E11070" s="13" t="s">
        <v>19986</v>
      </c>
      <c r="F11070" s="43">
        <v>34513.019999999997</v>
      </c>
    </row>
    <row r="11071" spans="2:6" x14ac:dyDescent="0.25">
      <c r="B11071" s="13" t="s">
        <v>19987</v>
      </c>
      <c r="C11071" s="17" t="s">
        <v>170</v>
      </c>
      <c r="D11071" s="13" t="s">
        <v>118</v>
      </c>
      <c r="E11071" s="13" t="s">
        <v>19988</v>
      </c>
      <c r="F11071" s="43">
        <v>43498.98</v>
      </c>
    </row>
    <row r="11072" spans="2:6" x14ac:dyDescent="0.25">
      <c r="B11072" s="13" t="s">
        <v>19989</v>
      </c>
      <c r="C11072" s="17" t="s">
        <v>170</v>
      </c>
      <c r="D11072" s="13" t="s">
        <v>118</v>
      </c>
      <c r="E11072" s="13" t="s">
        <v>19990</v>
      </c>
      <c r="F11072" s="43">
        <v>51703.72</v>
      </c>
    </row>
    <row r="11073" spans="2:6" x14ac:dyDescent="0.25">
      <c r="B11073" s="13" t="s">
        <v>19991</v>
      </c>
      <c r="C11073" s="17" t="s">
        <v>170</v>
      </c>
      <c r="D11073" s="13" t="s">
        <v>118</v>
      </c>
      <c r="E11073" s="13" t="s">
        <v>19992</v>
      </c>
      <c r="F11073" s="43">
        <v>55088.04</v>
      </c>
    </row>
    <row r="11074" spans="2:6" x14ac:dyDescent="0.25">
      <c r="B11074" s="13" t="s">
        <v>19993</v>
      </c>
      <c r="C11074" s="17" t="s">
        <v>170</v>
      </c>
      <c r="D11074" s="13" t="s">
        <v>118</v>
      </c>
      <c r="E11074" s="13" t="s">
        <v>19994</v>
      </c>
      <c r="F11074" s="43">
        <v>126225</v>
      </c>
    </row>
    <row r="11075" spans="2:6" x14ac:dyDescent="0.25">
      <c r="B11075" s="13" t="s">
        <v>19995</v>
      </c>
      <c r="C11075" s="17" t="s">
        <v>170</v>
      </c>
      <c r="D11075" s="13" t="s">
        <v>118</v>
      </c>
      <c r="E11075" s="13" t="s">
        <v>19996</v>
      </c>
      <c r="F11075" s="43">
        <v>3377.9</v>
      </c>
    </row>
    <row r="11076" spans="2:6" x14ac:dyDescent="0.25">
      <c r="B11076" s="13" t="s">
        <v>19997</v>
      </c>
      <c r="C11076" s="17" t="s">
        <v>170</v>
      </c>
      <c r="D11076" s="13" t="s">
        <v>118</v>
      </c>
      <c r="E11076" s="13" t="s">
        <v>19998</v>
      </c>
      <c r="F11076" s="43">
        <v>4792.08</v>
      </c>
    </row>
    <row r="11077" spans="2:6" x14ac:dyDescent="0.25">
      <c r="B11077" s="13" t="s">
        <v>19999</v>
      </c>
      <c r="C11077" s="17" t="s">
        <v>170</v>
      </c>
      <c r="D11077" s="13" t="s">
        <v>118</v>
      </c>
      <c r="E11077" s="13" t="s">
        <v>20000</v>
      </c>
      <c r="F11077" s="43">
        <v>5154.12</v>
      </c>
    </row>
    <row r="11078" spans="2:6" x14ac:dyDescent="0.25">
      <c r="B11078" s="13" t="s">
        <v>20001</v>
      </c>
      <c r="C11078" s="17" t="s">
        <v>170</v>
      </c>
      <c r="D11078" s="13" t="s">
        <v>118</v>
      </c>
      <c r="E11078" s="13" t="s">
        <v>20002</v>
      </c>
      <c r="F11078" s="43">
        <v>7677.93</v>
      </c>
    </row>
    <row r="11079" spans="2:6" x14ac:dyDescent="0.25">
      <c r="B11079" s="13" t="s">
        <v>20003</v>
      </c>
      <c r="C11079" s="17" t="s">
        <v>170</v>
      </c>
      <c r="D11079" s="13" t="s">
        <v>118</v>
      </c>
      <c r="E11079" s="13" t="s">
        <v>20004</v>
      </c>
      <c r="F11079" s="43">
        <v>9485.35</v>
      </c>
    </row>
    <row r="11080" spans="2:6" x14ac:dyDescent="0.25">
      <c r="B11080" s="13" t="s">
        <v>20005</v>
      </c>
      <c r="C11080" s="17" t="s">
        <v>170</v>
      </c>
      <c r="D11080" s="13" t="s">
        <v>118</v>
      </c>
      <c r="E11080" s="13" t="s">
        <v>20006</v>
      </c>
      <c r="F11080" s="43">
        <v>13082.65</v>
      </c>
    </row>
    <row r="11081" spans="2:6" x14ac:dyDescent="0.25">
      <c r="B11081" s="13" t="s">
        <v>20007</v>
      </c>
      <c r="C11081" s="17" t="s">
        <v>170</v>
      </c>
      <c r="D11081" s="13" t="s">
        <v>118</v>
      </c>
      <c r="E11081" s="13" t="s">
        <v>20008</v>
      </c>
      <c r="F11081" s="43">
        <v>18402.23</v>
      </c>
    </row>
    <row r="11082" spans="2:6" x14ac:dyDescent="0.25">
      <c r="B11082" s="13" t="s">
        <v>20009</v>
      </c>
      <c r="C11082" s="17" t="s">
        <v>170</v>
      </c>
      <c r="D11082" s="13" t="s">
        <v>118</v>
      </c>
      <c r="E11082" s="13" t="s">
        <v>20010</v>
      </c>
      <c r="F11082" s="43">
        <v>24069.85</v>
      </c>
    </row>
    <row r="11083" spans="2:6" x14ac:dyDescent="0.25">
      <c r="B11083" s="13" t="s">
        <v>20011</v>
      </c>
      <c r="C11083" s="17" t="s">
        <v>170</v>
      </c>
      <c r="D11083" s="13" t="s">
        <v>118</v>
      </c>
      <c r="E11083" s="13" t="s">
        <v>20012</v>
      </c>
      <c r="F11083" s="43">
        <v>38475.79</v>
      </c>
    </row>
    <row r="11084" spans="2:6" x14ac:dyDescent="0.25">
      <c r="B11084" s="13" t="s">
        <v>20013</v>
      </c>
      <c r="C11084" s="17" t="s">
        <v>170</v>
      </c>
      <c r="D11084" s="13" t="s">
        <v>118</v>
      </c>
      <c r="E11084" s="13" t="s">
        <v>20014</v>
      </c>
      <c r="F11084" s="43">
        <v>47071.26</v>
      </c>
    </row>
    <row r="11085" spans="2:6" x14ac:dyDescent="0.25">
      <c r="B11085" s="13" t="s">
        <v>20015</v>
      </c>
      <c r="C11085" s="17" t="s">
        <v>170</v>
      </c>
      <c r="D11085" s="13" t="s">
        <v>118</v>
      </c>
      <c r="E11085" s="13" t="s">
        <v>20016</v>
      </c>
      <c r="F11085" s="43">
        <v>59796.46</v>
      </c>
    </row>
    <row r="11086" spans="2:6" x14ac:dyDescent="0.25">
      <c r="B11086" s="13" t="s">
        <v>20017</v>
      </c>
      <c r="C11086" s="17" t="s">
        <v>170</v>
      </c>
      <c r="D11086" s="13" t="s">
        <v>118</v>
      </c>
      <c r="E11086" s="13" t="s">
        <v>20018</v>
      </c>
      <c r="F11086" s="43">
        <v>68726.990000000005</v>
      </c>
    </row>
    <row r="11087" spans="2:6" x14ac:dyDescent="0.25">
      <c r="B11087" s="13" t="s">
        <v>20019</v>
      </c>
      <c r="C11087" s="17" t="s">
        <v>170</v>
      </c>
      <c r="D11087" s="13" t="s">
        <v>118</v>
      </c>
      <c r="E11087" s="13" t="s">
        <v>20020</v>
      </c>
      <c r="F11087" s="43">
        <v>74595.539999999994</v>
      </c>
    </row>
    <row r="11088" spans="2:6" x14ac:dyDescent="0.25">
      <c r="B11088" s="13" t="s">
        <v>20021</v>
      </c>
      <c r="C11088" s="17" t="s">
        <v>170</v>
      </c>
      <c r="D11088" s="13" t="s">
        <v>118</v>
      </c>
      <c r="E11088" s="13" t="s">
        <v>20022</v>
      </c>
      <c r="F11088" s="43">
        <v>137700</v>
      </c>
    </row>
    <row r="11089" spans="2:6" x14ac:dyDescent="0.25">
      <c r="B11089" s="13" t="s">
        <v>20023</v>
      </c>
      <c r="C11089" s="17" t="s">
        <v>170</v>
      </c>
      <c r="D11089" s="13" t="s">
        <v>118</v>
      </c>
      <c r="E11089" s="13" t="s">
        <v>20024</v>
      </c>
      <c r="F11089" s="43">
        <v>3836.9</v>
      </c>
    </row>
    <row r="11090" spans="2:6" x14ac:dyDescent="0.25">
      <c r="B11090" s="13" t="s">
        <v>20025</v>
      </c>
      <c r="C11090" s="17" t="s">
        <v>170</v>
      </c>
      <c r="D11090" s="13" t="s">
        <v>118</v>
      </c>
      <c r="E11090" s="13" t="s">
        <v>20026</v>
      </c>
      <c r="F11090" s="43">
        <v>4252.07</v>
      </c>
    </row>
    <row r="11091" spans="2:6" x14ac:dyDescent="0.25">
      <c r="B11091" s="13" t="s">
        <v>20027</v>
      </c>
      <c r="C11091" s="17" t="s">
        <v>170</v>
      </c>
      <c r="D11091" s="13" t="s">
        <v>118</v>
      </c>
      <c r="E11091" s="13" t="s">
        <v>20028</v>
      </c>
      <c r="F11091" s="43">
        <v>5144.0200000000004</v>
      </c>
    </row>
    <row r="11092" spans="2:6" x14ac:dyDescent="0.25">
      <c r="B11092" s="13" t="s">
        <v>20029</v>
      </c>
      <c r="C11092" s="17" t="s">
        <v>170</v>
      </c>
      <c r="D11092" s="13" t="s">
        <v>118</v>
      </c>
      <c r="E11092" s="13" t="s">
        <v>20030</v>
      </c>
      <c r="F11092" s="43">
        <v>6870.09</v>
      </c>
    </row>
    <row r="11093" spans="2:6" x14ac:dyDescent="0.25">
      <c r="B11093" s="13" t="s">
        <v>20031</v>
      </c>
      <c r="C11093" s="17" t="s">
        <v>170</v>
      </c>
      <c r="D11093" s="13" t="s">
        <v>118</v>
      </c>
      <c r="E11093" s="13" t="s">
        <v>20032</v>
      </c>
      <c r="F11093" s="43">
        <v>7259.2</v>
      </c>
    </row>
    <row r="11094" spans="2:6" x14ac:dyDescent="0.25">
      <c r="B11094" s="13" t="s">
        <v>20033</v>
      </c>
      <c r="C11094" s="17" t="s">
        <v>170</v>
      </c>
      <c r="D11094" s="13" t="s">
        <v>118</v>
      </c>
      <c r="E11094" s="13" t="s">
        <v>20034</v>
      </c>
      <c r="F11094" s="43">
        <v>8723.41</v>
      </c>
    </row>
    <row r="11095" spans="2:6" x14ac:dyDescent="0.25">
      <c r="B11095" s="13" t="s">
        <v>20035</v>
      </c>
      <c r="C11095" s="17" t="s">
        <v>170</v>
      </c>
      <c r="D11095" s="13" t="s">
        <v>118</v>
      </c>
      <c r="E11095" s="13" t="s">
        <v>20036</v>
      </c>
      <c r="F11095" s="43">
        <v>11290.26</v>
      </c>
    </row>
    <row r="11096" spans="2:6" x14ac:dyDescent="0.25">
      <c r="B11096" s="13" t="s">
        <v>20037</v>
      </c>
      <c r="C11096" s="17" t="s">
        <v>170</v>
      </c>
      <c r="D11096" s="13" t="s">
        <v>118</v>
      </c>
      <c r="E11096" s="13" t="s">
        <v>20038</v>
      </c>
      <c r="F11096" s="43">
        <v>16143.03</v>
      </c>
    </row>
    <row r="11097" spans="2:6" x14ac:dyDescent="0.25">
      <c r="B11097" s="13" t="s">
        <v>20039</v>
      </c>
      <c r="C11097" s="17" t="s">
        <v>170</v>
      </c>
      <c r="D11097" s="13" t="s">
        <v>118</v>
      </c>
      <c r="E11097" s="13" t="s">
        <v>20040</v>
      </c>
      <c r="F11097" s="43">
        <v>21344.080000000002</v>
      </c>
    </row>
    <row r="11098" spans="2:6" x14ac:dyDescent="0.25">
      <c r="B11098" s="13" t="s">
        <v>20041</v>
      </c>
      <c r="C11098" s="17" t="s">
        <v>170</v>
      </c>
      <c r="D11098" s="13" t="s">
        <v>118</v>
      </c>
      <c r="E11098" s="13" t="s">
        <v>20042</v>
      </c>
      <c r="F11098" s="43">
        <v>28894.05</v>
      </c>
    </row>
    <row r="11099" spans="2:6" x14ac:dyDescent="0.25">
      <c r="B11099" s="13" t="s">
        <v>20043</v>
      </c>
      <c r="C11099" s="17" t="s">
        <v>170</v>
      </c>
      <c r="D11099" s="13" t="s">
        <v>118</v>
      </c>
      <c r="E11099" s="13" t="s">
        <v>20044</v>
      </c>
      <c r="F11099" s="43">
        <v>34972.019999999997</v>
      </c>
    </row>
    <row r="11100" spans="2:6" x14ac:dyDescent="0.25">
      <c r="B11100" s="13" t="s">
        <v>20045</v>
      </c>
      <c r="C11100" s="17" t="s">
        <v>170</v>
      </c>
      <c r="D11100" s="13" t="s">
        <v>118</v>
      </c>
      <c r="E11100" s="13" t="s">
        <v>20046</v>
      </c>
      <c r="F11100" s="43">
        <v>43957.98</v>
      </c>
    </row>
    <row r="11101" spans="2:6" x14ac:dyDescent="0.25">
      <c r="B11101" s="13" t="s">
        <v>20047</v>
      </c>
      <c r="C11101" s="17" t="s">
        <v>170</v>
      </c>
      <c r="D11101" s="13" t="s">
        <v>118</v>
      </c>
      <c r="E11101" s="13" t="s">
        <v>20048</v>
      </c>
      <c r="F11101" s="43">
        <v>52162.720000000001</v>
      </c>
    </row>
    <row r="11102" spans="2:6" x14ac:dyDescent="0.25">
      <c r="B11102" s="13" t="s">
        <v>20049</v>
      </c>
      <c r="C11102" s="17" t="s">
        <v>170</v>
      </c>
      <c r="D11102" s="13" t="s">
        <v>118</v>
      </c>
      <c r="E11102" s="13" t="s">
        <v>20050</v>
      </c>
      <c r="F11102" s="43">
        <v>55547.040000000001</v>
      </c>
    </row>
    <row r="11103" spans="2:6" x14ac:dyDescent="0.25">
      <c r="B11103" s="13" t="s">
        <v>20051</v>
      </c>
      <c r="C11103" s="17" t="s">
        <v>170</v>
      </c>
      <c r="D11103" s="13" t="s">
        <v>118</v>
      </c>
      <c r="E11103" s="13" t="s">
        <v>20052</v>
      </c>
      <c r="F11103" s="43">
        <v>60817.5</v>
      </c>
    </row>
    <row r="11104" spans="2:6" x14ac:dyDescent="0.25">
      <c r="B11104" s="13" t="s">
        <v>20053</v>
      </c>
      <c r="C11104" s="17" t="s">
        <v>170</v>
      </c>
      <c r="D11104" s="13" t="s">
        <v>118</v>
      </c>
      <c r="E11104" s="13" t="s">
        <v>20054</v>
      </c>
      <c r="F11104" s="43">
        <v>67708.240000000005</v>
      </c>
    </row>
    <row r="11105" spans="2:6" x14ac:dyDescent="0.25">
      <c r="B11105" s="13" t="s">
        <v>20055</v>
      </c>
      <c r="C11105" s="17" t="s">
        <v>170</v>
      </c>
      <c r="D11105" s="13" t="s">
        <v>118</v>
      </c>
      <c r="E11105" s="13" t="s">
        <v>20056</v>
      </c>
      <c r="F11105" s="43">
        <v>3836.9</v>
      </c>
    </row>
    <row r="11106" spans="2:6" x14ac:dyDescent="0.25">
      <c r="B11106" s="13" t="s">
        <v>20057</v>
      </c>
      <c r="C11106" s="17" t="s">
        <v>170</v>
      </c>
      <c r="D11106" s="13" t="s">
        <v>118</v>
      </c>
      <c r="E11106" s="13" t="s">
        <v>20058</v>
      </c>
      <c r="F11106" s="43">
        <v>5251.08</v>
      </c>
    </row>
    <row r="11107" spans="2:6" x14ac:dyDescent="0.25">
      <c r="B11107" s="13" t="s">
        <v>20059</v>
      </c>
      <c r="C11107" s="17" t="s">
        <v>170</v>
      </c>
      <c r="D11107" s="13" t="s">
        <v>118</v>
      </c>
      <c r="E11107" s="13" t="s">
        <v>20060</v>
      </c>
      <c r="F11107" s="43">
        <v>5613.12</v>
      </c>
    </row>
    <row r="11108" spans="2:6" x14ac:dyDescent="0.25">
      <c r="B11108" s="13" t="s">
        <v>20061</v>
      </c>
      <c r="C11108" s="17" t="s">
        <v>170</v>
      </c>
      <c r="D11108" s="13" t="s">
        <v>118</v>
      </c>
      <c r="E11108" s="13" t="s">
        <v>20062</v>
      </c>
      <c r="F11108" s="43">
        <v>8136.93</v>
      </c>
    </row>
    <row r="11109" spans="2:6" x14ac:dyDescent="0.25">
      <c r="B11109" s="13" t="s">
        <v>20063</v>
      </c>
      <c r="C11109" s="17" t="s">
        <v>170</v>
      </c>
      <c r="D11109" s="13" t="s">
        <v>118</v>
      </c>
      <c r="E11109" s="13" t="s">
        <v>20064</v>
      </c>
      <c r="F11109" s="43">
        <v>9944.35</v>
      </c>
    </row>
    <row r="11110" spans="2:6" x14ac:dyDescent="0.25">
      <c r="B11110" s="13" t="s">
        <v>20065</v>
      </c>
      <c r="C11110" s="17" t="s">
        <v>170</v>
      </c>
      <c r="D11110" s="13" t="s">
        <v>118</v>
      </c>
      <c r="E11110" s="13" t="s">
        <v>20066</v>
      </c>
      <c r="F11110" s="43">
        <v>13541.65</v>
      </c>
    </row>
    <row r="11111" spans="2:6" x14ac:dyDescent="0.25">
      <c r="B11111" s="13" t="s">
        <v>20067</v>
      </c>
      <c r="C11111" s="17" t="s">
        <v>170</v>
      </c>
      <c r="D11111" s="13" t="s">
        <v>118</v>
      </c>
      <c r="E11111" s="13" t="s">
        <v>20068</v>
      </c>
      <c r="F11111" s="43">
        <v>18861.23</v>
      </c>
    </row>
    <row r="11112" spans="2:6" x14ac:dyDescent="0.25">
      <c r="B11112" s="13" t="s">
        <v>20069</v>
      </c>
      <c r="C11112" s="17" t="s">
        <v>170</v>
      </c>
      <c r="D11112" s="13" t="s">
        <v>118</v>
      </c>
      <c r="E11112" s="13" t="s">
        <v>20070</v>
      </c>
      <c r="F11112" s="43">
        <v>24528.85</v>
      </c>
    </row>
    <row r="11113" spans="2:6" x14ac:dyDescent="0.25">
      <c r="B11113" s="13" t="s">
        <v>20071</v>
      </c>
      <c r="C11113" s="17" t="s">
        <v>170</v>
      </c>
      <c r="D11113" s="13" t="s">
        <v>118</v>
      </c>
      <c r="E11113" s="13" t="s">
        <v>20072</v>
      </c>
      <c r="F11113" s="43">
        <v>38934.79</v>
      </c>
    </row>
    <row r="11114" spans="2:6" x14ac:dyDescent="0.25">
      <c r="B11114" s="13" t="s">
        <v>20073</v>
      </c>
      <c r="C11114" s="17" t="s">
        <v>170</v>
      </c>
      <c r="D11114" s="13" t="s">
        <v>118</v>
      </c>
      <c r="E11114" s="13" t="s">
        <v>20074</v>
      </c>
      <c r="F11114" s="43">
        <v>47530.26</v>
      </c>
    </row>
    <row r="11115" spans="2:6" x14ac:dyDescent="0.25">
      <c r="B11115" s="13" t="s">
        <v>20075</v>
      </c>
      <c r="C11115" s="17" t="s">
        <v>170</v>
      </c>
      <c r="D11115" s="13" t="s">
        <v>118</v>
      </c>
      <c r="E11115" s="13" t="s">
        <v>20076</v>
      </c>
      <c r="F11115" s="43">
        <v>60255.46</v>
      </c>
    </row>
    <row r="11116" spans="2:6" x14ac:dyDescent="0.25">
      <c r="B11116" s="13" t="s">
        <v>20077</v>
      </c>
      <c r="C11116" s="17" t="s">
        <v>170</v>
      </c>
      <c r="D11116" s="13" t="s">
        <v>118</v>
      </c>
      <c r="E11116" s="13" t="s">
        <v>20078</v>
      </c>
      <c r="F11116" s="43">
        <v>69185.990000000005</v>
      </c>
    </row>
    <row r="11117" spans="2:6" x14ac:dyDescent="0.25">
      <c r="B11117" s="13" t="s">
        <v>20079</v>
      </c>
      <c r="C11117" s="17" t="s">
        <v>170</v>
      </c>
      <c r="D11117" s="13" t="s">
        <v>118</v>
      </c>
      <c r="E11117" s="13" t="s">
        <v>20080</v>
      </c>
      <c r="F11117" s="43">
        <v>75054.539999999994</v>
      </c>
    </row>
    <row r="11118" spans="2:6" x14ac:dyDescent="0.25">
      <c r="B11118" s="13" t="s">
        <v>20081</v>
      </c>
      <c r="C11118" s="17" t="s">
        <v>170</v>
      </c>
      <c r="D11118" s="13" t="s">
        <v>118</v>
      </c>
      <c r="E11118" s="13" t="s">
        <v>20082</v>
      </c>
      <c r="F11118" s="43">
        <v>79069.64</v>
      </c>
    </row>
    <row r="11119" spans="2:6" x14ac:dyDescent="0.25">
      <c r="B11119" s="13" t="s">
        <v>20083</v>
      </c>
      <c r="C11119" s="17" t="s">
        <v>170</v>
      </c>
      <c r="D11119" s="13" t="s">
        <v>118</v>
      </c>
      <c r="E11119" s="13" t="s">
        <v>20084</v>
      </c>
      <c r="F11119" s="43">
        <v>84921.89</v>
      </c>
    </row>
    <row r="11120" spans="2:6" x14ac:dyDescent="0.25">
      <c r="B11120" s="13" t="s">
        <v>20085</v>
      </c>
      <c r="C11120" s="17" t="s">
        <v>170</v>
      </c>
      <c r="D11120" s="13" t="s">
        <v>118</v>
      </c>
      <c r="E11120" s="13" t="s">
        <v>20086</v>
      </c>
      <c r="F11120" s="43">
        <v>1072.3399999999999</v>
      </c>
    </row>
    <row r="11121" spans="2:6" x14ac:dyDescent="0.25">
      <c r="B11121" s="13" t="s">
        <v>20087</v>
      </c>
      <c r="C11121" s="17" t="s">
        <v>170</v>
      </c>
      <c r="D11121" s="13" t="s">
        <v>118</v>
      </c>
      <c r="E11121" s="13" t="s">
        <v>20088</v>
      </c>
      <c r="F11121" s="43">
        <v>1204.08</v>
      </c>
    </row>
    <row r="11122" spans="2:6" x14ac:dyDescent="0.25">
      <c r="B11122" s="13" t="s">
        <v>20089</v>
      </c>
      <c r="C11122" s="17" t="s">
        <v>170</v>
      </c>
      <c r="D11122" s="13" t="s">
        <v>118</v>
      </c>
      <c r="E11122" s="13" t="s">
        <v>20090</v>
      </c>
      <c r="F11122" s="43">
        <v>1487.28</v>
      </c>
    </row>
    <row r="11123" spans="2:6" x14ac:dyDescent="0.25">
      <c r="B11123" s="13" t="s">
        <v>20091</v>
      </c>
      <c r="C11123" s="17" t="s">
        <v>170</v>
      </c>
      <c r="D11123" s="13" t="s">
        <v>118</v>
      </c>
      <c r="E11123" s="13" t="s">
        <v>20092</v>
      </c>
      <c r="F11123" s="43">
        <v>2158.8000000000002</v>
      </c>
    </row>
    <row r="11124" spans="2:6" x14ac:dyDescent="0.25">
      <c r="B11124" s="13" t="s">
        <v>20093</v>
      </c>
      <c r="C11124" s="17" t="s">
        <v>170</v>
      </c>
      <c r="D11124" s="13" t="s">
        <v>118</v>
      </c>
      <c r="E11124" s="13" t="s">
        <v>20094</v>
      </c>
      <c r="F11124" s="43">
        <v>2623.53</v>
      </c>
    </row>
    <row r="11125" spans="2:6" x14ac:dyDescent="0.25">
      <c r="B11125" s="13" t="s">
        <v>20095</v>
      </c>
      <c r="C11125" s="17" t="s">
        <v>170</v>
      </c>
      <c r="D11125" s="13" t="s">
        <v>118</v>
      </c>
      <c r="E11125" s="13" t="s">
        <v>20096</v>
      </c>
      <c r="F11125" s="43">
        <v>3438.49</v>
      </c>
    </row>
    <row r="11126" spans="2:6" x14ac:dyDescent="0.25">
      <c r="B11126" s="13" t="s">
        <v>20097</v>
      </c>
      <c r="C11126" s="17" t="s">
        <v>170</v>
      </c>
      <c r="D11126" s="13" t="s">
        <v>118</v>
      </c>
      <c r="E11126" s="13" t="s">
        <v>20098</v>
      </c>
      <c r="F11126" s="43">
        <v>4979.01</v>
      </c>
    </row>
    <row r="11127" spans="2:6" x14ac:dyDescent="0.25">
      <c r="B11127" s="13" t="s">
        <v>20099</v>
      </c>
      <c r="C11127" s="17" t="s">
        <v>170</v>
      </c>
      <c r="D11127" s="13" t="s">
        <v>118</v>
      </c>
      <c r="E11127" s="13" t="s">
        <v>20100</v>
      </c>
      <c r="F11127" s="43">
        <v>6630.15</v>
      </c>
    </row>
    <row r="11128" spans="2:6" x14ac:dyDescent="0.25">
      <c r="B11128" s="13" t="s">
        <v>20101</v>
      </c>
      <c r="C11128" s="17" t="s">
        <v>170</v>
      </c>
      <c r="D11128" s="13" t="s">
        <v>118</v>
      </c>
      <c r="E11128" s="13" t="s">
        <v>20102</v>
      </c>
      <c r="F11128" s="43">
        <v>9202.3799999999992</v>
      </c>
    </row>
    <row r="11129" spans="2:6" x14ac:dyDescent="0.25">
      <c r="B11129" s="13" t="s">
        <v>20103</v>
      </c>
      <c r="C11129" s="17" t="s">
        <v>170</v>
      </c>
      <c r="D11129" s="13" t="s">
        <v>118</v>
      </c>
      <c r="E11129" s="13" t="s">
        <v>20104</v>
      </c>
      <c r="F11129" s="43">
        <v>10956.45</v>
      </c>
    </row>
    <row r="11130" spans="2:6" x14ac:dyDescent="0.25">
      <c r="B11130" s="13" t="s">
        <v>20105</v>
      </c>
      <c r="C11130" s="17" t="s">
        <v>170</v>
      </c>
      <c r="D11130" s="13" t="s">
        <v>118</v>
      </c>
      <c r="E11130" s="13" t="s">
        <v>20106</v>
      </c>
      <c r="F11130" s="43">
        <v>13809.25</v>
      </c>
    </row>
    <row r="11131" spans="2:6" x14ac:dyDescent="0.25">
      <c r="B11131" s="13" t="s">
        <v>20107</v>
      </c>
      <c r="C11131" s="17" t="s">
        <v>170</v>
      </c>
      <c r="D11131" s="13" t="s">
        <v>118</v>
      </c>
      <c r="E11131" s="13" t="s">
        <v>20108</v>
      </c>
      <c r="F11131" s="43">
        <v>16413.84</v>
      </c>
    </row>
    <row r="11132" spans="2:6" x14ac:dyDescent="0.25">
      <c r="B11132" s="13" t="s">
        <v>20109</v>
      </c>
      <c r="C11132" s="17" t="s">
        <v>170</v>
      </c>
      <c r="D11132" s="13" t="s">
        <v>118</v>
      </c>
      <c r="E11132" s="13" t="s">
        <v>20110</v>
      </c>
      <c r="F11132" s="43">
        <v>105273.38</v>
      </c>
    </row>
    <row r="11133" spans="2:6" x14ac:dyDescent="0.25">
      <c r="B11133" s="13" t="s">
        <v>20111</v>
      </c>
      <c r="C11133" s="17" t="s">
        <v>170</v>
      </c>
      <c r="D11133" s="13" t="s">
        <v>118</v>
      </c>
      <c r="E11133" s="13" t="s">
        <v>20112</v>
      </c>
      <c r="F11133" s="43">
        <v>1072.3399999999999</v>
      </c>
    </row>
    <row r="11134" spans="2:6" x14ac:dyDescent="0.25">
      <c r="B11134" s="13" t="s">
        <v>20113</v>
      </c>
      <c r="C11134" s="17" t="s">
        <v>170</v>
      </c>
      <c r="D11134" s="13" t="s">
        <v>118</v>
      </c>
      <c r="E11134" s="13" t="s">
        <v>20114</v>
      </c>
      <c r="F11134" s="43">
        <v>1521.25</v>
      </c>
    </row>
    <row r="11135" spans="2:6" x14ac:dyDescent="0.25">
      <c r="B11135" s="13" t="s">
        <v>20115</v>
      </c>
      <c r="C11135" s="17" t="s">
        <v>170</v>
      </c>
      <c r="D11135" s="13" t="s">
        <v>118</v>
      </c>
      <c r="E11135" s="13" t="s">
        <v>20116</v>
      </c>
      <c r="F11135" s="43">
        <v>1636.23</v>
      </c>
    </row>
    <row r="11136" spans="2:6" x14ac:dyDescent="0.25">
      <c r="B11136" s="13" t="s">
        <v>20117</v>
      </c>
      <c r="C11136" s="17" t="s">
        <v>170</v>
      </c>
      <c r="D11136" s="13" t="s">
        <v>118</v>
      </c>
      <c r="E11136" s="13" t="s">
        <v>20118</v>
      </c>
      <c r="F11136" s="43">
        <v>2437.41</v>
      </c>
    </row>
    <row r="11137" spans="2:6" x14ac:dyDescent="0.25">
      <c r="B11137" s="13" t="s">
        <v>20119</v>
      </c>
      <c r="C11137" s="17" t="s">
        <v>170</v>
      </c>
      <c r="D11137" s="13" t="s">
        <v>118</v>
      </c>
      <c r="E11137" s="13" t="s">
        <v>20120</v>
      </c>
      <c r="F11137" s="43">
        <v>3011.27</v>
      </c>
    </row>
    <row r="11138" spans="2:6" x14ac:dyDescent="0.25">
      <c r="B11138" s="13" t="s">
        <v>20121</v>
      </c>
      <c r="C11138" s="17" t="s">
        <v>170</v>
      </c>
      <c r="D11138" s="13" t="s">
        <v>118</v>
      </c>
      <c r="E11138" s="13" t="s">
        <v>20122</v>
      </c>
      <c r="F11138" s="43">
        <v>4153.2700000000004</v>
      </c>
    </row>
    <row r="11139" spans="2:6" x14ac:dyDescent="0.25">
      <c r="B11139" s="13" t="s">
        <v>20123</v>
      </c>
      <c r="C11139" s="17" t="s">
        <v>170</v>
      </c>
      <c r="D11139" s="13" t="s">
        <v>118</v>
      </c>
      <c r="E11139" s="13" t="s">
        <v>20124</v>
      </c>
      <c r="F11139" s="43">
        <v>5841.93</v>
      </c>
    </row>
    <row r="11140" spans="2:6" x14ac:dyDescent="0.25">
      <c r="B11140" s="13" t="s">
        <v>20125</v>
      </c>
      <c r="C11140" s="17" t="s">
        <v>170</v>
      </c>
      <c r="D11140" s="13" t="s">
        <v>118</v>
      </c>
      <c r="E11140" s="13" t="s">
        <v>20126</v>
      </c>
      <c r="F11140" s="43">
        <v>7641.21</v>
      </c>
    </row>
    <row r="11141" spans="2:6" x14ac:dyDescent="0.25">
      <c r="B11141" s="13" t="s">
        <v>20127</v>
      </c>
      <c r="C11141" s="17" t="s">
        <v>170</v>
      </c>
      <c r="D11141" s="13" t="s">
        <v>118</v>
      </c>
      <c r="E11141" s="13" t="s">
        <v>20128</v>
      </c>
      <c r="F11141" s="43">
        <v>12214.57</v>
      </c>
    </row>
    <row r="11142" spans="2:6" x14ac:dyDescent="0.25">
      <c r="B11142" s="13" t="s">
        <v>20129</v>
      </c>
      <c r="C11142" s="17" t="s">
        <v>170</v>
      </c>
      <c r="D11142" s="13" t="s">
        <v>118</v>
      </c>
      <c r="E11142" s="13" t="s">
        <v>20130</v>
      </c>
      <c r="F11142" s="43">
        <v>14943.21</v>
      </c>
    </row>
    <row r="11143" spans="2:6" x14ac:dyDescent="0.25">
      <c r="B11143" s="13" t="s">
        <v>20131</v>
      </c>
      <c r="C11143" s="17" t="s">
        <v>170</v>
      </c>
      <c r="D11143" s="13" t="s">
        <v>118</v>
      </c>
      <c r="E11143" s="13" t="s">
        <v>20132</v>
      </c>
      <c r="F11143" s="43">
        <v>18983.099999999999</v>
      </c>
    </row>
    <row r="11144" spans="2:6" x14ac:dyDescent="0.25">
      <c r="B11144" s="13" t="s">
        <v>20133</v>
      </c>
      <c r="C11144" s="17" t="s">
        <v>170</v>
      </c>
      <c r="D11144" s="13" t="s">
        <v>118</v>
      </c>
      <c r="E11144" s="13" t="s">
        <v>20134</v>
      </c>
      <c r="F11144" s="43">
        <v>21818.11</v>
      </c>
    </row>
    <row r="11145" spans="2:6" x14ac:dyDescent="0.25">
      <c r="B11145" s="13" t="s">
        <v>20135</v>
      </c>
      <c r="C11145" s="17" t="s">
        <v>170</v>
      </c>
      <c r="D11145" s="13" t="s">
        <v>118</v>
      </c>
      <c r="E11145" s="13" t="s">
        <v>20136</v>
      </c>
      <c r="F11145" s="43">
        <v>3217.02</v>
      </c>
    </row>
    <row r="11146" spans="2:6" x14ac:dyDescent="0.25">
      <c r="B11146" s="13" t="s">
        <v>20137</v>
      </c>
      <c r="C11146" s="17" t="s">
        <v>170</v>
      </c>
      <c r="D11146" s="13" t="s">
        <v>118</v>
      </c>
      <c r="E11146" s="13" t="s">
        <v>20138</v>
      </c>
      <c r="F11146" s="43">
        <v>3612.45</v>
      </c>
    </row>
    <row r="11147" spans="2:6" x14ac:dyDescent="0.25">
      <c r="B11147" s="13" t="s">
        <v>20139</v>
      </c>
      <c r="C11147" s="17" t="s">
        <v>170</v>
      </c>
      <c r="D11147" s="13" t="s">
        <v>118</v>
      </c>
      <c r="E11147" s="13" t="s">
        <v>20140</v>
      </c>
      <c r="F11147" s="43">
        <v>4461.9399999999996</v>
      </c>
    </row>
    <row r="11148" spans="2:6" x14ac:dyDescent="0.25">
      <c r="B11148" s="13" t="s">
        <v>20141</v>
      </c>
      <c r="C11148" s="17" t="s">
        <v>170</v>
      </c>
      <c r="D11148" s="13" t="s">
        <v>118</v>
      </c>
      <c r="E11148" s="13" t="s">
        <v>20142</v>
      </c>
      <c r="F11148" s="43">
        <v>6476.38</v>
      </c>
    </row>
    <row r="11149" spans="2:6" x14ac:dyDescent="0.25">
      <c r="B11149" s="13" t="s">
        <v>20143</v>
      </c>
      <c r="C11149" s="17" t="s">
        <v>170</v>
      </c>
      <c r="D11149" s="13" t="s">
        <v>118</v>
      </c>
      <c r="E11149" s="13" t="s">
        <v>20144</v>
      </c>
      <c r="F11149" s="43">
        <v>7870.82</v>
      </c>
    </row>
    <row r="11150" spans="2:6" x14ac:dyDescent="0.25">
      <c r="B11150" s="13" t="s">
        <v>20145</v>
      </c>
      <c r="C11150" s="17" t="s">
        <v>170</v>
      </c>
      <c r="D11150" s="13" t="s">
        <v>118</v>
      </c>
      <c r="E11150" s="13" t="s">
        <v>20146</v>
      </c>
      <c r="F11150" s="43">
        <v>10315.459999999999</v>
      </c>
    </row>
    <row r="11151" spans="2:6" x14ac:dyDescent="0.25">
      <c r="B11151" s="13" t="s">
        <v>20147</v>
      </c>
      <c r="C11151" s="17" t="s">
        <v>170</v>
      </c>
      <c r="D11151" s="13" t="s">
        <v>118</v>
      </c>
      <c r="E11151" s="13" t="s">
        <v>20148</v>
      </c>
      <c r="F11151" s="43">
        <v>14937.13</v>
      </c>
    </row>
    <row r="11152" spans="2:6" x14ac:dyDescent="0.25">
      <c r="B11152" s="13" t="s">
        <v>20149</v>
      </c>
      <c r="C11152" s="17" t="s">
        <v>170</v>
      </c>
      <c r="D11152" s="13" t="s">
        <v>118</v>
      </c>
      <c r="E11152" s="13" t="s">
        <v>20150</v>
      </c>
      <c r="F11152" s="43">
        <v>19890.54</v>
      </c>
    </row>
    <row r="11153" spans="2:6" x14ac:dyDescent="0.25">
      <c r="B11153" s="13" t="s">
        <v>20151</v>
      </c>
      <c r="C11153" s="17" t="s">
        <v>170</v>
      </c>
      <c r="D11153" s="13" t="s">
        <v>118</v>
      </c>
      <c r="E11153" s="13" t="s">
        <v>20152</v>
      </c>
      <c r="F11153" s="43">
        <v>27607.02</v>
      </c>
    </row>
    <row r="11154" spans="2:6" x14ac:dyDescent="0.25">
      <c r="B11154" s="13" t="s">
        <v>20153</v>
      </c>
      <c r="C11154" s="17" t="s">
        <v>170</v>
      </c>
      <c r="D11154" s="13" t="s">
        <v>118</v>
      </c>
      <c r="E11154" s="13" t="s">
        <v>20154</v>
      </c>
      <c r="F11154" s="43">
        <v>32869.57</v>
      </c>
    </row>
    <row r="11155" spans="2:6" x14ac:dyDescent="0.25">
      <c r="B11155" s="13" t="s">
        <v>20155</v>
      </c>
      <c r="C11155" s="17" t="s">
        <v>170</v>
      </c>
      <c r="D11155" s="13" t="s">
        <v>118</v>
      </c>
      <c r="E11155" s="13" t="s">
        <v>20156</v>
      </c>
      <c r="F11155" s="43">
        <v>41427.620000000003</v>
      </c>
    </row>
    <row r="11156" spans="2:6" x14ac:dyDescent="0.25">
      <c r="B11156" s="13" t="s">
        <v>20157</v>
      </c>
      <c r="C11156" s="17" t="s">
        <v>170</v>
      </c>
      <c r="D11156" s="13" t="s">
        <v>118</v>
      </c>
      <c r="E11156" s="13" t="s">
        <v>20158</v>
      </c>
      <c r="F11156" s="43">
        <v>49241.64</v>
      </c>
    </row>
    <row r="11157" spans="2:6" x14ac:dyDescent="0.25">
      <c r="B11157" s="13" t="s">
        <v>20159</v>
      </c>
      <c r="C11157" s="17" t="s">
        <v>170</v>
      </c>
      <c r="D11157" s="13" t="s">
        <v>118</v>
      </c>
      <c r="E11157" s="13" t="s">
        <v>20160</v>
      </c>
      <c r="F11157" s="43">
        <v>58528.24</v>
      </c>
    </row>
    <row r="11158" spans="2:6" x14ac:dyDescent="0.25">
      <c r="B11158" s="13" t="s">
        <v>20161</v>
      </c>
      <c r="C11158" s="17" t="s">
        <v>170</v>
      </c>
      <c r="D11158" s="13" t="s">
        <v>118</v>
      </c>
      <c r="E11158" s="13" t="s">
        <v>20162</v>
      </c>
      <c r="F11158" s="43">
        <v>3217.02</v>
      </c>
    </row>
    <row r="11159" spans="2:6" x14ac:dyDescent="0.25">
      <c r="B11159" s="13" t="s">
        <v>20163</v>
      </c>
      <c r="C11159" s="17" t="s">
        <v>170</v>
      </c>
      <c r="D11159" s="13" t="s">
        <v>118</v>
      </c>
      <c r="E11159" s="13" t="s">
        <v>20164</v>
      </c>
      <c r="F11159" s="43">
        <v>4563.84</v>
      </c>
    </row>
    <row r="11160" spans="2:6" x14ac:dyDescent="0.25">
      <c r="B11160" s="13" t="s">
        <v>20165</v>
      </c>
      <c r="C11160" s="17" t="s">
        <v>170</v>
      </c>
      <c r="D11160" s="13" t="s">
        <v>118</v>
      </c>
      <c r="E11160" s="13" t="s">
        <v>20166</v>
      </c>
      <c r="F11160" s="43">
        <v>4908.67</v>
      </c>
    </row>
    <row r="11161" spans="2:6" x14ac:dyDescent="0.25">
      <c r="B11161" s="13" t="s">
        <v>20167</v>
      </c>
      <c r="C11161" s="17" t="s">
        <v>170</v>
      </c>
      <c r="D11161" s="13" t="s">
        <v>118</v>
      </c>
      <c r="E11161" s="13" t="s">
        <v>20168</v>
      </c>
      <c r="F11161" s="43">
        <v>7312.45</v>
      </c>
    </row>
    <row r="11162" spans="2:6" x14ac:dyDescent="0.25">
      <c r="B11162" s="13" t="s">
        <v>20169</v>
      </c>
      <c r="C11162" s="17" t="s">
        <v>170</v>
      </c>
      <c r="D11162" s="13" t="s">
        <v>118</v>
      </c>
      <c r="E11162" s="13" t="s">
        <v>20170</v>
      </c>
      <c r="F11162" s="43">
        <v>9033.7000000000007</v>
      </c>
    </row>
    <row r="11163" spans="2:6" x14ac:dyDescent="0.25">
      <c r="B11163" s="13" t="s">
        <v>20171</v>
      </c>
      <c r="C11163" s="17" t="s">
        <v>170</v>
      </c>
      <c r="D11163" s="13" t="s">
        <v>118</v>
      </c>
      <c r="E11163" s="13" t="s">
        <v>20172</v>
      </c>
      <c r="F11163" s="43">
        <v>12459.67</v>
      </c>
    </row>
    <row r="11164" spans="2:6" x14ac:dyDescent="0.25">
      <c r="B11164" s="13" t="s">
        <v>20173</v>
      </c>
      <c r="C11164" s="17" t="s">
        <v>170</v>
      </c>
      <c r="D11164" s="13" t="s">
        <v>118</v>
      </c>
      <c r="E11164" s="13" t="s">
        <v>20174</v>
      </c>
      <c r="F11164" s="43">
        <v>17525.89</v>
      </c>
    </row>
    <row r="11165" spans="2:6" x14ac:dyDescent="0.25">
      <c r="B11165" s="13" t="s">
        <v>20175</v>
      </c>
      <c r="C11165" s="17" t="s">
        <v>170</v>
      </c>
      <c r="D11165" s="13" t="s">
        <v>118</v>
      </c>
      <c r="E11165" s="13" t="s">
        <v>20176</v>
      </c>
      <c r="F11165" s="43">
        <v>22923.61</v>
      </c>
    </row>
    <row r="11166" spans="2:6" x14ac:dyDescent="0.25">
      <c r="B11166" s="13" t="s">
        <v>20177</v>
      </c>
      <c r="C11166" s="17" t="s">
        <v>170</v>
      </c>
      <c r="D11166" s="13" t="s">
        <v>118</v>
      </c>
      <c r="E11166" s="13" t="s">
        <v>20178</v>
      </c>
      <c r="F11166" s="43">
        <v>36643.58</v>
      </c>
    </row>
    <row r="11167" spans="2:6" x14ac:dyDescent="0.25">
      <c r="B11167" s="13" t="s">
        <v>20179</v>
      </c>
      <c r="C11167" s="17" t="s">
        <v>170</v>
      </c>
      <c r="D11167" s="13" t="s">
        <v>118</v>
      </c>
      <c r="E11167" s="13" t="s">
        <v>20180</v>
      </c>
      <c r="F11167" s="43">
        <v>44829.62</v>
      </c>
    </row>
    <row r="11168" spans="2:6" x14ac:dyDescent="0.25">
      <c r="B11168" s="13" t="s">
        <v>20181</v>
      </c>
      <c r="C11168" s="17" t="s">
        <v>170</v>
      </c>
      <c r="D11168" s="13" t="s">
        <v>118</v>
      </c>
      <c r="E11168" s="13" t="s">
        <v>20182</v>
      </c>
      <c r="F11168" s="43">
        <v>56949.17</v>
      </c>
    </row>
    <row r="11169" spans="2:6" x14ac:dyDescent="0.25">
      <c r="B11169" s="13" t="s">
        <v>20183</v>
      </c>
      <c r="C11169" s="17" t="s">
        <v>170</v>
      </c>
      <c r="D11169" s="13" t="s">
        <v>118</v>
      </c>
      <c r="E11169" s="13" t="s">
        <v>20184</v>
      </c>
      <c r="F11169" s="43">
        <v>65454.32</v>
      </c>
    </row>
    <row r="11170" spans="2:6" x14ac:dyDescent="0.25">
      <c r="B11170" s="13" t="s">
        <v>20185</v>
      </c>
      <c r="C11170" s="17" t="s">
        <v>170</v>
      </c>
      <c r="D11170" s="13" t="s">
        <v>118</v>
      </c>
      <c r="E11170" s="13" t="s">
        <v>20186</v>
      </c>
      <c r="F11170" s="43">
        <v>971.13</v>
      </c>
    </row>
    <row r="11171" spans="2:6" x14ac:dyDescent="0.25">
      <c r="B11171" s="13" t="s">
        <v>20187</v>
      </c>
      <c r="C11171" s="17" t="s">
        <v>170</v>
      </c>
      <c r="D11171" s="13" t="s">
        <v>118</v>
      </c>
      <c r="E11171" s="13" t="s">
        <v>20188</v>
      </c>
      <c r="F11171" s="43">
        <v>979.63</v>
      </c>
    </row>
    <row r="11172" spans="2:6" x14ac:dyDescent="0.25">
      <c r="B11172" s="13" t="s">
        <v>20189</v>
      </c>
      <c r="C11172" s="17" t="s">
        <v>170</v>
      </c>
      <c r="D11172" s="13" t="s">
        <v>118</v>
      </c>
      <c r="E11172" s="13" t="s">
        <v>20190</v>
      </c>
      <c r="F11172" s="43">
        <v>1002.35</v>
      </c>
    </row>
    <row r="11173" spans="2:6" x14ac:dyDescent="0.25">
      <c r="B11173" s="13" t="s">
        <v>20191</v>
      </c>
      <c r="C11173" s="17" t="s">
        <v>170</v>
      </c>
      <c r="D11173" s="13" t="s">
        <v>118</v>
      </c>
      <c r="E11173" s="13" t="s">
        <v>20192</v>
      </c>
      <c r="F11173" s="43">
        <v>1095.6400000000001</v>
      </c>
    </row>
    <row r="11174" spans="2:6" x14ac:dyDescent="0.25">
      <c r="B11174" s="13" t="s">
        <v>20193</v>
      </c>
      <c r="C11174" s="17" t="s">
        <v>170</v>
      </c>
      <c r="D11174" s="13" t="s">
        <v>118</v>
      </c>
      <c r="E11174" s="13" t="s">
        <v>20194</v>
      </c>
      <c r="F11174" s="43">
        <v>1325.37</v>
      </c>
    </row>
    <row r="11175" spans="2:6" x14ac:dyDescent="0.25">
      <c r="B11175" s="13" t="s">
        <v>20195</v>
      </c>
      <c r="C11175" s="17" t="s">
        <v>170</v>
      </c>
      <c r="D11175" s="13" t="s">
        <v>118</v>
      </c>
      <c r="E11175" s="13" t="s">
        <v>20196</v>
      </c>
      <c r="F11175" s="43">
        <v>1509.66</v>
      </c>
    </row>
    <row r="11176" spans="2:6" x14ac:dyDescent="0.25">
      <c r="B11176" s="13" t="s">
        <v>20197</v>
      </c>
      <c r="C11176" s="17" t="s">
        <v>170</v>
      </c>
      <c r="D11176" s="13" t="s">
        <v>118</v>
      </c>
      <c r="E11176" s="13" t="s">
        <v>20198</v>
      </c>
      <c r="F11176" s="43">
        <v>2033.6</v>
      </c>
    </row>
    <row r="11177" spans="2:6" x14ac:dyDescent="0.25">
      <c r="B11177" s="13" t="s">
        <v>20199</v>
      </c>
      <c r="C11177" s="17" t="s">
        <v>170</v>
      </c>
      <c r="D11177" s="13" t="s">
        <v>118</v>
      </c>
      <c r="E11177" s="13" t="s">
        <v>20200</v>
      </c>
      <c r="F11177" s="43">
        <v>971.13</v>
      </c>
    </row>
    <row r="11178" spans="2:6" x14ac:dyDescent="0.25">
      <c r="B11178" s="13" t="s">
        <v>20201</v>
      </c>
      <c r="C11178" s="17" t="s">
        <v>170</v>
      </c>
      <c r="D11178" s="13" t="s">
        <v>118</v>
      </c>
      <c r="E11178" s="13" t="s">
        <v>20202</v>
      </c>
      <c r="F11178" s="43">
        <v>979.63</v>
      </c>
    </row>
    <row r="11179" spans="2:6" x14ac:dyDescent="0.25">
      <c r="B11179" s="13" t="s">
        <v>20203</v>
      </c>
      <c r="C11179" s="17" t="s">
        <v>170</v>
      </c>
      <c r="D11179" s="13" t="s">
        <v>118</v>
      </c>
      <c r="E11179" s="13" t="s">
        <v>20204</v>
      </c>
      <c r="F11179" s="43">
        <v>1002.35</v>
      </c>
    </row>
    <row r="11180" spans="2:6" x14ac:dyDescent="0.25">
      <c r="B11180" s="13" t="s">
        <v>20205</v>
      </c>
      <c r="C11180" s="17" t="s">
        <v>170</v>
      </c>
      <c r="D11180" s="13" t="s">
        <v>118</v>
      </c>
      <c r="E11180" s="13" t="s">
        <v>20206</v>
      </c>
      <c r="F11180" s="43">
        <v>1095.6400000000001</v>
      </c>
    </row>
    <row r="11181" spans="2:6" x14ac:dyDescent="0.25">
      <c r="B11181" s="13" t="s">
        <v>20207</v>
      </c>
      <c r="C11181" s="17" t="s">
        <v>170</v>
      </c>
      <c r="D11181" s="13" t="s">
        <v>118</v>
      </c>
      <c r="E11181" s="13" t="s">
        <v>20208</v>
      </c>
      <c r="F11181" s="43">
        <v>1325.37</v>
      </c>
    </row>
    <row r="11182" spans="2:6" x14ac:dyDescent="0.25">
      <c r="B11182" s="13" t="s">
        <v>20209</v>
      </c>
      <c r="C11182" s="17" t="s">
        <v>170</v>
      </c>
      <c r="D11182" s="13" t="s">
        <v>118</v>
      </c>
      <c r="E11182" s="13" t="s">
        <v>20210</v>
      </c>
      <c r="F11182" s="43">
        <v>1509.66</v>
      </c>
    </row>
    <row r="11183" spans="2:6" x14ac:dyDescent="0.25">
      <c r="B11183" s="13" t="s">
        <v>20211</v>
      </c>
      <c r="C11183" s="17" t="s">
        <v>170</v>
      </c>
      <c r="D11183" s="13" t="s">
        <v>118</v>
      </c>
      <c r="E11183" s="13" t="s">
        <v>20212</v>
      </c>
      <c r="F11183" s="43">
        <v>2033.6</v>
      </c>
    </row>
    <row r="11184" spans="2:6" x14ac:dyDescent="0.25">
      <c r="B11184" s="13" t="s">
        <v>20213</v>
      </c>
      <c r="C11184" s="17" t="s">
        <v>170</v>
      </c>
      <c r="D11184" s="13" t="s">
        <v>118</v>
      </c>
      <c r="E11184" s="13" t="s">
        <v>20214</v>
      </c>
      <c r="F11184" s="43">
        <v>1200.6300000000001</v>
      </c>
    </row>
    <row r="11185" spans="2:6" x14ac:dyDescent="0.25">
      <c r="B11185" s="13" t="s">
        <v>20215</v>
      </c>
      <c r="C11185" s="17" t="s">
        <v>170</v>
      </c>
      <c r="D11185" s="13" t="s">
        <v>118</v>
      </c>
      <c r="E11185" s="13" t="s">
        <v>20216</v>
      </c>
      <c r="F11185" s="43">
        <v>1200.6300000000001</v>
      </c>
    </row>
    <row r="11186" spans="2:6" x14ac:dyDescent="0.25">
      <c r="B11186" s="13" t="s">
        <v>20217</v>
      </c>
      <c r="C11186" s="17" t="s">
        <v>170</v>
      </c>
      <c r="D11186" s="13" t="s">
        <v>118</v>
      </c>
      <c r="E11186" s="13" t="s">
        <v>20218</v>
      </c>
      <c r="F11186" s="43">
        <v>1209.1300000000001</v>
      </c>
    </row>
    <row r="11187" spans="2:6" x14ac:dyDescent="0.25">
      <c r="B11187" s="13" t="s">
        <v>20219</v>
      </c>
      <c r="C11187" s="17" t="s">
        <v>170</v>
      </c>
      <c r="D11187" s="13" t="s">
        <v>118</v>
      </c>
      <c r="E11187" s="13" t="s">
        <v>20220</v>
      </c>
      <c r="F11187" s="43">
        <v>1231.8499999999999</v>
      </c>
    </row>
    <row r="11188" spans="2:6" x14ac:dyDescent="0.25">
      <c r="B11188" s="13" t="s">
        <v>20221</v>
      </c>
      <c r="C11188" s="17" t="s">
        <v>170</v>
      </c>
      <c r="D11188" s="13" t="s">
        <v>118</v>
      </c>
      <c r="E11188" s="13" t="s">
        <v>20222</v>
      </c>
      <c r="F11188" s="43">
        <v>1325.14</v>
      </c>
    </row>
    <row r="11189" spans="2:6" x14ac:dyDescent="0.25">
      <c r="B11189" s="13" t="s">
        <v>20223</v>
      </c>
      <c r="C11189" s="17" t="s">
        <v>170</v>
      </c>
      <c r="D11189" s="13" t="s">
        <v>118</v>
      </c>
      <c r="E11189" s="13" t="s">
        <v>20224</v>
      </c>
      <c r="F11189" s="43">
        <v>1437.82</v>
      </c>
    </row>
    <row r="11190" spans="2:6" x14ac:dyDescent="0.25">
      <c r="B11190" s="13" t="s">
        <v>20225</v>
      </c>
      <c r="C11190" s="17" t="s">
        <v>170</v>
      </c>
      <c r="D11190" s="13" t="s">
        <v>118</v>
      </c>
      <c r="E11190" s="13" t="s">
        <v>20226</v>
      </c>
      <c r="F11190" s="43">
        <v>1739.16</v>
      </c>
    </row>
    <row r="11191" spans="2:6" x14ac:dyDescent="0.25">
      <c r="B11191" s="13" t="s">
        <v>20227</v>
      </c>
      <c r="C11191" s="17" t="s">
        <v>170</v>
      </c>
      <c r="D11191" s="13" t="s">
        <v>118</v>
      </c>
      <c r="E11191" s="13" t="s">
        <v>20228</v>
      </c>
      <c r="F11191" s="43">
        <v>2263.1</v>
      </c>
    </row>
    <row r="11192" spans="2:6" x14ac:dyDescent="0.25">
      <c r="B11192" s="13" t="s">
        <v>20229</v>
      </c>
      <c r="C11192" s="17" t="s">
        <v>170</v>
      </c>
      <c r="D11192" s="13" t="s">
        <v>118</v>
      </c>
      <c r="E11192" s="13" t="s">
        <v>20230</v>
      </c>
      <c r="F11192" s="43">
        <v>741.63</v>
      </c>
    </row>
    <row r="11193" spans="2:6" x14ac:dyDescent="0.25">
      <c r="B11193" s="13" t="s">
        <v>20231</v>
      </c>
      <c r="C11193" s="17" t="s">
        <v>170</v>
      </c>
      <c r="D11193" s="13" t="s">
        <v>118</v>
      </c>
      <c r="E11193" s="13" t="s">
        <v>20232</v>
      </c>
      <c r="F11193" s="43">
        <v>741.63</v>
      </c>
    </row>
    <row r="11194" spans="2:6" x14ac:dyDescent="0.25">
      <c r="B11194" s="13" t="s">
        <v>20233</v>
      </c>
      <c r="C11194" s="17" t="s">
        <v>170</v>
      </c>
      <c r="D11194" s="13" t="s">
        <v>118</v>
      </c>
      <c r="E11194" s="13" t="s">
        <v>20234</v>
      </c>
      <c r="F11194" s="43">
        <v>750.13</v>
      </c>
    </row>
    <row r="11195" spans="2:6" x14ac:dyDescent="0.25">
      <c r="B11195" s="13" t="s">
        <v>20235</v>
      </c>
      <c r="C11195" s="17" t="s">
        <v>170</v>
      </c>
      <c r="D11195" s="13" t="s">
        <v>118</v>
      </c>
      <c r="E11195" s="13" t="s">
        <v>20236</v>
      </c>
      <c r="F11195" s="43">
        <v>772.85</v>
      </c>
    </row>
    <row r="11196" spans="2:6" x14ac:dyDescent="0.25">
      <c r="B11196" s="13" t="s">
        <v>20237</v>
      </c>
      <c r="C11196" s="17" t="s">
        <v>170</v>
      </c>
      <c r="D11196" s="13" t="s">
        <v>118</v>
      </c>
      <c r="E11196" s="13" t="s">
        <v>20238</v>
      </c>
      <c r="F11196" s="43">
        <v>866.14</v>
      </c>
    </row>
    <row r="11197" spans="2:6" x14ac:dyDescent="0.25">
      <c r="B11197" s="13" t="s">
        <v>20239</v>
      </c>
      <c r="C11197" s="17" t="s">
        <v>170</v>
      </c>
      <c r="D11197" s="13" t="s">
        <v>118</v>
      </c>
      <c r="E11197" s="13" t="s">
        <v>20240</v>
      </c>
      <c r="F11197" s="43">
        <v>1280.1600000000001</v>
      </c>
    </row>
    <row r="11198" spans="2:6" x14ac:dyDescent="0.25">
      <c r="B11198" s="13" t="s">
        <v>20241</v>
      </c>
      <c r="C11198" s="17" t="s">
        <v>170</v>
      </c>
      <c r="D11198" s="13" t="s">
        <v>118</v>
      </c>
      <c r="E11198" s="13" t="s">
        <v>20242</v>
      </c>
      <c r="F11198" s="43">
        <v>1804.1</v>
      </c>
    </row>
    <row r="11199" spans="2:6" x14ac:dyDescent="0.25">
      <c r="B11199" s="13" t="s">
        <v>20243</v>
      </c>
      <c r="C11199" s="17" t="s">
        <v>170</v>
      </c>
      <c r="D11199" s="13" t="s">
        <v>118</v>
      </c>
      <c r="E11199" s="13" t="s">
        <v>20244</v>
      </c>
      <c r="F11199" s="43">
        <v>1702.21</v>
      </c>
    </row>
    <row r="11200" spans="2:6" x14ac:dyDescent="0.25">
      <c r="B11200" s="13" t="s">
        <v>20245</v>
      </c>
      <c r="C11200" s="17" t="s">
        <v>170</v>
      </c>
      <c r="D11200" s="13" t="s">
        <v>118</v>
      </c>
      <c r="E11200" s="13" t="s">
        <v>20246</v>
      </c>
      <c r="F11200" s="43">
        <v>1913.58</v>
      </c>
    </row>
    <row r="11201" spans="2:6" x14ac:dyDescent="0.25">
      <c r="B11201" s="13" t="s">
        <v>20247</v>
      </c>
      <c r="C11201" s="17" t="s">
        <v>170</v>
      </c>
      <c r="D11201" s="13" t="s">
        <v>118</v>
      </c>
      <c r="E11201" s="13" t="s">
        <v>20248</v>
      </c>
      <c r="F11201" s="43">
        <v>1940.43</v>
      </c>
    </row>
    <row r="11202" spans="2:6" x14ac:dyDescent="0.25">
      <c r="B11202" s="13" t="s">
        <v>20249</v>
      </c>
      <c r="C11202" s="17" t="s">
        <v>170</v>
      </c>
      <c r="D11202" s="13" t="s">
        <v>118</v>
      </c>
      <c r="E11202" s="13" t="s">
        <v>20250</v>
      </c>
      <c r="F11202" s="43">
        <v>2011.8</v>
      </c>
    </row>
    <row r="11203" spans="2:6" x14ac:dyDescent="0.25">
      <c r="B11203" s="13" t="s">
        <v>20251</v>
      </c>
      <c r="C11203" s="17" t="s">
        <v>170</v>
      </c>
      <c r="D11203" s="13" t="s">
        <v>118</v>
      </c>
      <c r="E11203" s="13" t="s">
        <v>20252</v>
      </c>
      <c r="F11203" s="43">
        <v>2305.91</v>
      </c>
    </row>
    <row r="11204" spans="2:6" x14ac:dyDescent="0.25">
      <c r="B11204" s="13" t="s">
        <v>20253</v>
      </c>
      <c r="C11204" s="17" t="s">
        <v>170</v>
      </c>
      <c r="D11204" s="13" t="s">
        <v>118</v>
      </c>
      <c r="E11204" s="13" t="s">
        <v>20254</v>
      </c>
      <c r="F11204" s="43">
        <v>3610.04</v>
      </c>
    </row>
    <row r="11205" spans="2:6" x14ac:dyDescent="0.25">
      <c r="B11205" s="13" t="s">
        <v>20255</v>
      </c>
      <c r="C11205" s="17" t="s">
        <v>170</v>
      </c>
      <c r="D11205" s="13" t="s">
        <v>118</v>
      </c>
      <c r="E11205" s="13" t="s">
        <v>20256</v>
      </c>
      <c r="F11205" s="43">
        <v>5260.26</v>
      </c>
    </row>
    <row r="11206" spans="2:6" x14ac:dyDescent="0.25">
      <c r="B11206" s="13" t="s">
        <v>20257</v>
      </c>
      <c r="C11206" s="17" t="s">
        <v>170</v>
      </c>
      <c r="D11206" s="13" t="s">
        <v>118</v>
      </c>
      <c r="E11206" s="13" t="s">
        <v>20258</v>
      </c>
      <c r="F11206" s="43">
        <v>1621.19</v>
      </c>
    </row>
    <row r="11207" spans="2:6" x14ac:dyDescent="0.25">
      <c r="B11207" s="13" t="s">
        <v>20259</v>
      </c>
      <c r="C11207" s="17" t="s">
        <v>170</v>
      </c>
      <c r="D11207" s="13" t="s">
        <v>118</v>
      </c>
      <c r="E11207" s="13" t="s">
        <v>20260</v>
      </c>
      <c r="F11207" s="43">
        <v>1822.35</v>
      </c>
    </row>
    <row r="11208" spans="2:6" x14ac:dyDescent="0.25">
      <c r="B11208" s="13" t="s">
        <v>20261</v>
      </c>
      <c r="C11208" s="17" t="s">
        <v>170</v>
      </c>
      <c r="D11208" s="13" t="s">
        <v>118</v>
      </c>
      <c r="E11208" s="13" t="s">
        <v>20262</v>
      </c>
      <c r="F11208" s="43">
        <v>1848.05</v>
      </c>
    </row>
    <row r="11209" spans="2:6" x14ac:dyDescent="0.25">
      <c r="B11209" s="13" t="s">
        <v>20263</v>
      </c>
      <c r="C11209" s="17" t="s">
        <v>170</v>
      </c>
      <c r="D11209" s="13" t="s">
        <v>118</v>
      </c>
      <c r="E11209" s="13" t="s">
        <v>20264</v>
      </c>
      <c r="F11209" s="43">
        <v>1915.99</v>
      </c>
    </row>
    <row r="11210" spans="2:6" x14ac:dyDescent="0.25">
      <c r="B11210" s="13" t="s">
        <v>20265</v>
      </c>
      <c r="C11210" s="17" t="s">
        <v>170</v>
      </c>
      <c r="D11210" s="13" t="s">
        <v>118</v>
      </c>
      <c r="E11210" s="13" t="s">
        <v>20266</v>
      </c>
      <c r="F11210" s="43">
        <v>2196.09</v>
      </c>
    </row>
    <row r="11211" spans="2:6" x14ac:dyDescent="0.25">
      <c r="B11211" s="13" t="s">
        <v>20267</v>
      </c>
      <c r="C11211" s="17" t="s">
        <v>170</v>
      </c>
      <c r="D11211" s="13" t="s">
        <v>118</v>
      </c>
      <c r="E11211" s="13" t="s">
        <v>20268</v>
      </c>
      <c r="F11211" s="43">
        <v>3438.14</v>
      </c>
    </row>
    <row r="11212" spans="2:6" x14ac:dyDescent="0.25">
      <c r="B11212" s="13" t="s">
        <v>20269</v>
      </c>
      <c r="C11212" s="17" t="s">
        <v>170</v>
      </c>
      <c r="D11212" s="13" t="s">
        <v>118</v>
      </c>
      <c r="E11212" s="13" t="s">
        <v>20270</v>
      </c>
      <c r="F11212" s="43">
        <v>5009.76</v>
      </c>
    </row>
    <row r="11213" spans="2:6" x14ac:dyDescent="0.25">
      <c r="B11213" s="13" t="s">
        <v>20271</v>
      </c>
      <c r="C11213" s="17" t="s">
        <v>170</v>
      </c>
      <c r="D11213" s="13" t="s">
        <v>118</v>
      </c>
      <c r="E11213" s="13" t="s">
        <v>20272</v>
      </c>
      <c r="F11213" s="43">
        <v>855.01</v>
      </c>
    </row>
    <row r="11214" spans="2:6" x14ac:dyDescent="0.25">
      <c r="B11214" s="13" t="s">
        <v>20273</v>
      </c>
      <c r="C11214" s="17" t="s">
        <v>170</v>
      </c>
      <c r="D11214" s="13" t="s">
        <v>118</v>
      </c>
      <c r="E11214" s="13" t="s">
        <v>20274</v>
      </c>
      <c r="F11214" s="43">
        <v>855.01</v>
      </c>
    </row>
    <row r="11215" spans="2:6" x14ac:dyDescent="0.25">
      <c r="B11215" s="13" t="s">
        <v>20275</v>
      </c>
      <c r="C11215" s="17" t="s">
        <v>170</v>
      </c>
      <c r="D11215" s="13" t="s">
        <v>118</v>
      </c>
      <c r="E11215" s="13" t="s">
        <v>20276</v>
      </c>
      <c r="F11215" s="43">
        <v>865.68</v>
      </c>
    </row>
    <row r="11216" spans="2:6" x14ac:dyDescent="0.25">
      <c r="B11216" s="13" t="s">
        <v>20277</v>
      </c>
      <c r="C11216" s="17" t="s">
        <v>170</v>
      </c>
      <c r="D11216" s="13" t="s">
        <v>118</v>
      </c>
      <c r="E11216" s="13" t="s">
        <v>20278</v>
      </c>
      <c r="F11216" s="43">
        <v>892.3</v>
      </c>
    </row>
    <row r="11217" spans="2:6" x14ac:dyDescent="0.25">
      <c r="B11217" s="13" t="s">
        <v>20279</v>
      </c>
      <c r="C11217" s="17" t="s">
        <v>170</v>
      </c>
      <c r="D11217" s="13" t="s">
        <v>118</v>
      </c>
      <c r="E11217" s="13" t="s">
        <v>20280</v>
      </c>
      <c r="F11217" s="43">
        <v>1007.4</v>
      </c>
    </row>
    <row r="11218" spans="2:6" x14ac:dyDescent="0.25">
      <c r="B11218" s="13" t="s">
        <v>20281</v>
      </c>
      <c r="C11218" s="17" t="s">
        <v>170</v>
      </c>
      <c r="D11218" s="13" t="s">
        <v>118</v>
      </c>
      <c r="E11218" s="13" t="s">
        <v>20282</v>
      </c>
      <c r="F11218" s="43">
        <v>1512.41</v>
      </c>
    </row>
    <row r="11219" spans="2:6" x14ac:dyDescent="0.25">
      <c r="B11219" s="13" t="s">
        <v>20283</v>
      </c>
      <c r="C11219" s="17" t="s">
        <v>170</v>
      </c>
      <c r="D11219" s="13" t="s">
        <v>118</v>
      </c>
      <c r="E11219" s="13" t="s">
        <v>20284</v>
      </c>
      <c r="F11219" s="43">
        <v>2150.31</v>
      </c>
    </row>
    <row r="11220" spans="2:6" x14ac:dyDescent="0.25">
      <c r="B11220" s="13" t="s">
        <v>20285</v>
      </c>
      <c r="C11220" s="17" t="s">
        <v>170</v>
      </c>
      <c r="D11220" s="13" t="s">
        <v>118</v>
      </c>
      <c r="E11220" s="13" t="s">
        <v>20286</v>
      </c>
      <c r="F11220" s="43">
        <v>1508.74</v>
      </c>
    </row>
    <row r="11221" spans="2:6" x14ac:dyDescent="0.25">
      <c r="B11221" s="13" t="s">
        <v>20287</v>
      </c>
      <c r="C11221" s="17" t="s">
        <v>170</v>
      </c>
      <c r="D11221" s="13" t="s">
        <v>118</v>
      </c>
      <c r="E11221" s="13" t="s">
        <v>20288</v>
      </c>
      <c r="F11221" s="43">
        <v>1508.74</v>
      </c>
    </row>
    <row r="11222" spans="2:6" x14ac:dyDescent="0.25">
      <c r="B11222" s="13" t="s">
        <v>20289</v>
      </c>
      <c r="C11222" s="17" t="s">
        <v>170</v>
      </c>
      <c r="D11222" s="13" t="s">
        <v>118</v>
      </c>
      <c r="E11222" s="13" t="s">
        <v>20290</v>
      </c>
      <c r="F11222" s="43">
        <v>1530.2</v>
      </c>
    </row>
    <row r="11223" spans="2:6" x14ac:dyDescent="0.25">
      <c r="B11223" s="13" t="s">
        <v>20291</v>
      </c>
      <c r="C11223" s="17" t="s">
        <v>170</v>
      </c>
      <c r="D11223" s="13" t="s">
        <v>118</v>
      </c>
      <c r="E11223" s="13" t="s">
        <v>20292</v>
      </c>
      <c r="F11223" s="43">
        <v>1583.21</v>
      </c>
    </row>
    <row r="11224" spans="2:6" x14ac:dyDescent="0.25">
      <c r="B11224" s="13" t="s">
        <v>20293</v>
      </c>
      <c r="C11224" s="17" t="s">
        <v>170</v>
      </c>
      <c r="D11224" s="13" t="s">
        <v>118</v>
      </c>
      <c r="E11224" s="13" t="s">
        <v>20294</v>
      </c>
      <c r="F11224" s="43">
        <v>1813.63</v>
      </c>
    </row>
    <row r="11225" spans="2:6" x14ac:dyDescent="0.25">
      <c r="B11225" s="13" t="s">
        <v>20295</v>
      </c>
      <c r="C11225" s="17" t="s">
        <v>170</v>
      </c>
      <c r="D11225" s="13" t="s">
        <v>118</v>
      </c>
      <c r="E11225" s="13" t="s">
        <v>20296</v>
      </c>
      <c r="F11225" s="43">
        <v>2823.54</v>
      </c>
    </row>
    <row r="11226" spans="2:6" x14ac:dyDescent="0.25">
      <c r="B11226" s="13" t="s">
        <v>20297</v>
      </c>
      <c r="C11226" s="17" t="s">
        <v>170</v>
      </c>
      <c r="D11226" s="13" t="s">
        <v>118</v>
      </c>
      <c r="E11226" s="13" t="s">
        <v>20298</v>
      </c>
      <c r="F11226" s="43">
        <v>4099.22</v>
      </c>
    </row>
    <row r="11227" spans="2:6" x14ac:dyDescent="0.25">
      <c r="B11227" s="13" t="s">
        <v>20299</v>
      </c>
      <c r="C11227" s="17" t="s">
        <v>170</v>
      </c>
      <c r="D11227" s="13" t="s">
        <v>118</v>
      </c>
      <c r="E11227" s="13" t="s">
        <v>20300</v>
      </c>
      <c r="F11227" s="43">
        <v>1508.74</v>
      </c>
    </row>
    <row r="11228" spans="2:6" x14ac:dyDescent="0.25">
      <c r="B11228" s="13" t="s">
        <v>20301</v>
      </c>
      <c r="C11228" s="17" t="s">
        <v>170</v>
      </c>
      <c r="D11228" s="13" t="s">
        <v>118</v>
      </c>
      <c r="E11228" s="13" t="s">
        <v>20302</v>
      </c>
      <c r="F11228" s="43">
        <v>1508.74</v>
      </c>
    </row>
    <row r="11229" spans="2:6" x14ac:dyDescent="0.25">
      <c r="B11229" s="13" t="s">
        <v>20303</v>
      </c>
      <c r="C11229" s="17" t="s">
        <v>170</v>
      </c>
      <c r="D11229" s="13" t="s">
        <v>118</v>
      </c>
      <c r="E11229" s="13" t="s">
        <v>20304</v>
      </c>
      <c r="F11229" s="43">
        <v>1530.2</v>
      </c>
    </row>
    <row r="11230" spans="2:6" x14ac:dyDescent="0.25">
      <c r="B11230" s="13" t="s">
        <v>20305</v>
      </c>
      <c r="C11230" s="17" t="s">
        <v>170</v>
      </c>
      <c r="D11230" s="13" t="s">
        <v>118</v>
      </c>
      <c r="E11230" s="13" t="s">
        <v>20306</v>
      </c>
      <c r="F11230" s="43">
        <v>1583.21</v>
      </c>
    </row>
    <row r="11231" spans="2:6" x14ac:dyDescent="0.25">
      <c r="B11231" s="13" t="s">
        <v>20307</v>
      </c>
      <c r="C11231" s="17" t="s">
        <v>170</v>
      </c>
      <c r="D11231" s="13" t="s">
        <v>118</v>
      </c>
      <c r="E11231" s="13" t="s">
        <v>20308</v>
      </c>
      <c r="F11231" s="43">
        <v>1813.63</v>
      </c>
    </row>
    <row r="11232" spans="2:6" x14ac:dyDescent="0.25">
      <c r="B11232" s="13" t="s">
        <v>20309</v>
      </c>
      <c r="C11232" s="17" t="s">
        <v>170</v>
      </c>
      <c r="D11232" s="13" t="s">
        <v>118</v>
      </c>
      <c r="E11232" s="13" t="s">
        <v>20310</v>
      </c>
      <c r="F11232" s="43">
        <v>2823.54</v>
      </c>
    </row>
    <row r="11233" spans="2:6" x14ac:dyDescent="0.25">
      <c r="B11233" s="13" t="s">
        <v>20311</v>
      </c>
      <c r="C11233" s="17" t="s">
        <v>170</v>
      </c>
      <c r="D11233" s="13" t="s">
        <v>118</v>
      </c>
      <c r="E11233" s="13" t="s">
        <v>20312</v>
      </c>
      <c r="F11233" s="43">
        <v>4099.22</v>
      </c>
    </row>
    <row r="11234" spans="2:6" x14ac:dyDescent="0.25">
      <c r="B11234" s="13" t="s">
        <v>20313</v>
      </c>
      <c r="C11234" s="17" t="s">
        <v>170</v>
      </c>
      <c r="D11234" s="13" t="s">
        <v>118</v>
      </c>
      <c r="E11234" s="13" t="s">
        <v>20314</v>
      </c>
      <c r="F11234" s="43">
        <v>1967.74</v>
      </c>
    </row>
    <row r="11235" spans="2:6" x14ac:dyDescent="0.25">
      <c r="B11235" s="13" t="s">
        <v>20315</v>
      </c>
      <c r="C11235" s="17" t="s">
        <v>170</v>
      </c>
      <c r="D11235" s="13" t="s">
        <v>118</v>
      </c>
      <c r="E11235" s="13" t="s">
        <v>20316</v>
      </c>
      <c r="F11235" s="43">
        <v>1967.74</v>
      </c>
    </row>
    <row r="11236" spans="2:6" x14ac:dyDescent="0.25">
      <c r="B11236" s="13" t="s">
        <v>20317</v>
      </c>
      <c r="C11236" s="17" t="s">
        <v>170</v>
      </c>
      <c r="D11236" s="13" t="s">
        <v>118</v>
      </c>
      <c r="E11236" s="13" t="s">
        <v>20318</v>
      </c>
      <c r="F11236" s="43">
        <v>1989.2</v>
      </c>
    </row>
    <row r="11237" spans="2:6" x14ac:dyDescent="0.25">
      <c r="B11237" s="13" t="s">
        <v>20319</v>
      </c>
      <c r="C11237" s="17" t="s">
        <v>170</v>
      </c>
      <c r="D11237" s="13" t="s">
        <v>118</v>
      </c>
      <c r="E11237" s="13" t="s">
        <v>20320</v>
      </c>
      <c r="F11237" s="43">
        <v>2042.21</v>
      </c>
    </row>
    <row r="11238" spans="2:6" x14ac:dyDescent="0.25">
      <c r="B11238" s="13" t="s">
        <v>20321</v>
      </c>
      <c r="C11238" s="17" t="s">
        <v>170</v>
      </c>
      <c r="D11238" s="13" t="s">
        <v>118</v>
      </c>
      <c r="E11238" s="13" t="s">
        <v>20322</v>
      </c>
      <c r="F11238" s="43">
        <v>2272.63</v>
      </c>
    </row>
    <row r="11239" spans="2:6" x14ac:dyDescent="0.25">
      <c r="B11239" s="13" t="s">
        <v>20323</v>
      </c>
      <c r="C11239" s="17" t="s">
        <v>170</v>
      </c>
      <c r="D11239" s="13" t="s">
        <v>118</v>
      </c>
      <c r="E11239" s="13" t="s">
        <v>20324</v>
      </c>
      <c r="F11239" s="43">
        <v>3282.54</v>
      </c>
    </row>
    <row r="11240" spans="2:6" x14ac:dyDescent="0.25">
      <c r="B11240" s="13" t="s">
        <v>20325</v>
      </c>
      <c r="C11240" s="17" t="s">
        <v>170</v>
      </c>
      <c r="D11240" s="13" t="s">
        <v>118</v>
      </c>
      <c r="E11240" s="13" t="s">
        <v>20326</v>
      </c>
      <c r="F11240" s="43">
        <v>4558.22</v>
      </c>
    </row>
    <row r="11241" spans="2:6" x14ac:dyDescent="0.25">
      <c r="B11241" s="13" t="s">
        <v>20327</v>
      </c>
      <c r="C11241" s="17" t="s">
        <v>170</v>
      </c>
      <c r="D11241" s="13" t="s">
        <v>118</v>
      </c>
      <c r="E11241" s="13" t="s">
        <v>20328</v>
      </c>
      <c r="F11241" s="43">
        <v>934.18</v>
      </c>
    </row>
    <row r="11242" spans="2:6" x14ac:dyDescent="0.25">
      <c r="B11242" s="13" t="s">
        <v>20329</v>
      </c>
      <c r="C11242" s="17" t="s">
        <v>170</v>
      </c>
      <c r="D11242" s="13" t="s">
        <v>118</v>
      </c>
      <c r="E11242" s="13" t="s">
        <v>20330</v>
      </c>
      <c r="F11242" s="43">
        <v>934.18</v>
      </c>
    </row>
    <row r="11243" spans="2:6" x14ac:dyDescent="0.25">
      <c r="B11243" s="13" t="s">
        <v>20331</v>
      </c>
      <c r="C11243" s="17" t="s">
        <v>170</v>
      </c>
      <c r="D11243" s="13" t="s">
        <v>118</v>
      </c>
      <c r="E11243" s="13" t="s">
        <v>20332</v>
      </c>
      <c r="F11243" s="43">
        <v>967.92</v>
      </c>
    </row>
    <row r="11244" spans="2:6" x14ac:dyDescent="0.25">
      <c r="B11244" s="13" t="s">
        <v>20333</v>
      </c>
      <c r="C11244" s="17" t="s">
        <v>170</v>
      </c>
      <c r="D11244" s="13" t="s">
        <v>118</v>
      </c>
      <c r="E11244" s="13" t="s">
        <v>20334</v>
      </c>
      <c r="F11244" s="43">
        <v>1086</v>
      </c>
    </row>
    <row r="11245" spans="2:6" x14ac:dyDescent="0.25">
      <c r="B11245" s="13" t="s">
        <v>20335</v>
      </c>
      <c r="C11245" s="17" t="s">
        <v>170</v>
      </c>
      <c r="D11245" s="13" t="s">
        <v>118</v>
      </c>
      <c r="E11245" s="13" t="s">
        <v>20336</v>
      </c>
      <c r="F11245" s="43">
        <v>1288.53</v>
      </c>
    </row>
    <row r="11246" spans="2:6" x14ac:dyDescent="0.25">
      <c r="B11246" s="13" t="s">
        <v>20337</v>
      </c>
      <c r="C11246" s="17" t="s">
        <v>170</v>
      </c>
      <c r="D11246" s="13" t="s">
        <v>118</v>
      </c>
      <c r="E11246" s="13" t="s">
        <v>20338</v>
      </c>
      <c r="F11246" s="43">
        <v>2132.29</v>
      </c>
    </row>
    <row r="11247" spans="2:6" x14ac:dyDescent="0.25">
      <c r="B11247" s="13" t="s">
        <v>20339</v>
      </c>
      <c r="C11247" s="17" t="s">
        <v>170</v>
      </c>
      <c r="D11247" s="13" t="s">
        <v>118</v>
      </c>
      <c r="E11247" s="13" t="s">
        <v>20340</v>
      </c>
      <c r="F11247" s="43">
        <v>3109.27</v>
      </c>
    </row>
    <row r="11248" spans="2:6" x14ac:dyDescent="0.25">
      <c r="B11248" s="13" t="s">
        <v>20341</v>
      </c>
      <c r="C11248" s="17" t="s">
        <v>170</v>
      </c>
      <c r="D11248" s="13" t="s">
        <v>118</v>
      </c>
      <c r="E11248" s="13" t="s">
        <v>20342</v>
      </c>
      <c r="F11248" s="43">
        <v>1676.73</v>
      </c>
    </row>
    <row r="11249" spans="2:6" x14ac:dyDescent="0.25">
      <c r="B11249" s="13" t="s">
        <v>20343</v>
      </c>
      <c r="C11249" s="17" t="s">
        <v>170</v>
      </c>
      <c r="D11249" s="13" t="s">
        <v>118</v>
      </c>
      <c r="E11249" s="13" t="s">
        <v>20344</v>
      </c>
      <c r="F11249" s="43">
        <v>1676.73</v>
      </c>
    </row>
    <row r="11250" spans="2:6" x14ac:dyDescent="0.25">
      <c r="B11250" s="13" t="s">
        <v>20345</v>
      </c>
      <c r="C11250" s="17" t="s">
        <v>170</v>
      </c>
      <c r="D11250" s="13" t="s">
        <v>118</v>
      </c>
      <c r="E11250" s="13" t="s">
        <v>20346</v>
      </c>
      <c r="F11250" s="43">
        <v>1744.2</v>
      </c>
    </row>
    <row r="11251" spans="2:6" x14ac:dyDescent="0.25">
      <c r="B11251" s="13" t="s">
        <v>20347</v>
      </c>
      <c r="C11251" s="17" t="s">
        <v>170</v>
      </c>
      <c r="D11251" s="13" t="s">
        <v>118</v>
      </c>
      <c r="E11251" s="13" t="s">
        <v>20348</v>
      </c>
      <c r="F11251" s="43">
        <v>1980.36</v>
      </c>
    </row>
    <row r="11252" spans="2:6" x14ac:dyDescent="0.25">
      <c r="B11252" s="13" t="s">
        <v>20349</v>
      </c>
      <c r="C11252" s="17" t="s">
        <v>170</v>
      </c>
      <c r="D11252" s="13" t="s">
        <v>118</v>
      </c>
      <c r="E11252" s="13" t="s">
        <v>20350</v>
      </c>
      <c r="F11252" s="43">
        <v>2385.4299999999998</v>
      </c>
    </row>
    <row r="11253" spans="2:6" x14ac:dyDescent="0.25">
      <c r="B11253" s="13" t="s">
        <v>20351</v>
      </c>
      <c r="C11253" s="17" t="s">
        <v>170</v>
      </c>
      <c r="D11253" s="13" t="s">
        <v>118</v>
      </c>
      <c r="E11253" s="13" t="s">
        <v>20352</v>
      </c>
      <c r="F11253" s="43">
        <v>4072.94</v>
      </c>
    </row>
    <row r="11254" spans="2:6" x14ac:dyDescent="0.25">
      <c r="B11254" s="13" t="s">
        <v>20353</v>
      </c>
      <c r="C11254" s="17" t="s">
        <v>170</v>
      </c>
      <c r="D11254" s="13" t="s">
        <v>118</v>
      </c>
      <c r="E11254" s="13" t="s">
        <v>20354</v>
      </c>
      <c r="F11254" s="43">
        <v>6026.9</v>
      </c>
    </row>
    <row r="11255" spans="2:6" x14ac:dyDescent="0.25">
      <c r="B11255" s="13" t="s">
        <v>20355</v>
      </c>
      <c r="C11255" s="17" t="s">
        <v>170</v>
      </c>
      <c r="D11255" s="13" t="s">
        <v>118</v>
      </c>
      <c r="E11255" s="13" t="s">
        <v>20356</v>
      </c>
      <c r="F11255" s="43">
        <v>1447.23</v>
      </c>
    </row>
    <row r="11256" spans="2:6" x14ac:dyDescent="0.25">
      <c r="B11256" s="13" t="s">
        <v>20357</v>
      </c>
      <c r="C11256" s="17" t="s">
        <v>170</v>
      </c>
      <c r="D11256" s="13" t="s">
        <v>118</v>
      </c>
      <c r="E11256" s="13" t="s">
        <v>20358</v>
      </c>
      <c r="F11256" s="43">
        <v>1447.23</v>
      </c>
    </row>
    <row r="11257" spans="2:6" x14ac:dyDescent="0.25">
      <c r="B11257" s="13" t="s">
        <v>20359</v>
      </c>
      <c r="C11257" s="17" t="s">
        <v>170</v>
      </c>
      <c r="D11257" s="13" t="s">
        <v>118</v>
      </c>
      <c r="E11257" s="13" t="s">
        <v>20360</v>
      </c>
      <c r="F11257" s="43">
        <v>1514.7</v>
      </c>
    </row>
    <row r="11258" spans="2:6" x14ac:dyDescent="0.25">
      <c r="B11258" s="13" t="s">
        <v>20361</v>
      </c>
      <c r="C11258" s="17" t="s">
        <v>170</v>
      </c>
      <c r="D11258" s="13" t="s">
        <v>118</v>
      </c>
      <c r="E11258" s="13" t="s">
        <v>20362</v>
      </c>
      <c r="F11258" s="43">
        <v>1750.86</v>
      </c>
    </row>
    <row r="11259" spans="2:6" x14ac:dyDescent="0.25">
      <c r="B11259" s="13" t="s">
        <v>20363</v>
      </c>
      <c r="C11259" s="17" t="s">
        <v>170</v>
      </c>
      <c r="D11259" s="13" t="s">
        <v>118</v>
      </c>
      <c r="E11259" s="13" t="s">
        <v>20364</v>
      </c>
      <c r="F11259" s="43">
        <v>2155.9299999999998</v>
      </c>
    </row>
    <row r="11260" spans="2:6" x14ac:dyDescent="0.25">
      <c r="B11260" s="13" t="s">
        <v>20365</v>
      </c>
      <c r="C11260" s="17" t="s">
        <v>170</v>
      </c>
      <c r="D11260" s="13" t="s">
        <v>118</v>
      </c>
      <c r="E11260" s="13" t="s">
        <v>20366</v>
      </c>
      <c r="F11260" s="43">
        <v>3843.44</v>
      </c>
    </row>
    <row r="11261" spans="2:6" x14ac:dyDescent="0.25">
      <c r="B11261" s="13" t="s">
        <v>20367</v>
      </c>
      <c r="C11261" s="17" t="s">
        <v>170</v>
      </c>
      <c r="D11261" s="13" t="s">
        <v>118</v>
      </c>
      <c r="E11261" s="13" t="s">
        <v>20368</v>
      </c>
      <c r="F11261" s="43">
        <v>5797.4</v>
      </c>
    </row>
    <row r="11262" spans="2:6" x14ac:dyDescent="0.25">
      <c r="B11262" s="13" t="s">
        <v>20369</v>
      </c>
      <c r="C11262" s="17" t="s">
        <v>170</v>
      </c>
      <c r="D11262" s="13" t="s">
        <v>118</v>
      </c>
      <c r="E11262" s="13" t="s">
        <v>20370</v>
      </c>
      <c r="F11262" s="43">
        <v>2135.73</v>
      </c>
    </row>
    <row r="11263" spans="2:6" x14ac:dyDescent="0.25">
      <c r="B11263" s="13" t="s">
        <v>20371</v>
      </c>
      <c r="C11263" s="17" t="s">
        <v>170</v>
      </c>
      <c r="D11263" s="13" t="s">
        <v>118</v>
      </c>
      <c r="E11263" s="13" t="s">
        <v>20372</v>
      </c>
      <c r="F11263" s="43">
        <v>2135.73</v>
      </c>
    </row>
    <row r="11264" spans="2:6" x14ac:dyDescent="0.25">
      <c r="B11264" s="13" t="s">
        <v>20373</v>
      </c>
      <c r="C11264" s="17" t="s">
        <v>170</v>
      </c>
      <c r="D11264" s="13" t="s">
        <v>118</v>
      </c>
      <c r="E11264" s="13" t="s">
        <v>20374</v>
      </c>
      <c r="F11264" s="43">
        <v>2203.1999999999998</v>
      </c>
    </row>
    <row r="11265" spans="2:6" x14ac:dyDescent="0.25">
      <c r="B11265" s="13" t="s">
        <v>20375</v>
      </c>
      <c r="C11265" s="17" t="s">
        <v>170</v>
      </c>
      <c r="D11265" s="13" t="s">
        <v>118</v>
      </c>
      <c r="E11265" s="13" t="s">
        <v>20376</v>
      </c>
      <c r="F11265" s="43">
        <v>2439.36</v>
      </c>
    </row>
    <row r="11266" spans="2:6" x14ac:dyDescent="0.25">
      <c r="B11266" s="13" t="s">
        <v>20377</v>
      </c>
      <c r="C11266" s="17" t="s">
        <v>170</v>
      </c>
      <c r="D11266" s="13" t="s">
        <v>118</v>
      </c>
      <c r="E11266" s="13" t="s">
        <v>20378</v>
      </c>
      <c r="F11266" s="43">
        <v>2844.43</v>
      </c>
    </row>
    <row r="11267" spans="2:6" x14ac:dyDescent="0.25">
      <c r="B11267" s="13" t="s">
        <v>20379</v>
      </c>
      <c r="C11267" s="17" t="s">
        <v>170</v>
      </c>
      <c r="D11267" s="13" t="s">
        <v>118</v>
      </c>
      <c r="E11267" s="13" t="s">
        <v>20380</v>
      </c>
      <c r="F11267" s="43">
        <v>4531.9399999999996</v>
      </c>
    </row>
    <row r="11268" spans="2:6" x14ac:dyDescent="0.25">
      <c r="B11268" s="13" t="s">
        <v>20381</v>
      </c>
      <c r="C11268" s="17" t="s">
        <v>170</v>
      </c>
      <c r="D11268" s="13" t="s">
        <v>118</v>
      </c>
      <c r="E11268" s="13" t="s">
        <v>20382</v>
      </c>
      <c r="F11268" s="43">
        <v>6485.9</v>
      </c>
    </row>
    <row r="11269" spans="2:6" x14ac:dyDescent="0.25">
      <c r="B11269" s="13" t="s">
        <v>20383</v>
      </c>
      <c r="C11269" s="17" t="s">
        <v>170</v>
      </c>
      <c r="D11269" s="13" t="s">
        <v>118</v>
      </c>
      <c r="E11269" s="13" t="s">
        <v>20384</v>
      </c>
      <c r="F11269" s="43">
        <v>0</v>
      </c>
    </row>
    <row r="11270" spans="2:6" x14ac:dyDescent="0.25">
      <c r="B11270" s="13" t="s">
        <v>20385</v>
      </c>
      <c r="C11270" s="17" t="s">
        <v>170</v>
      </c>
      <c r="D11270" s="13" t="s">
        <v>118</v>
      </c>
      <c r="E11270" s="13" t="s">
        <v>20386</v>
      </c>
      <c r="F11270" s="43">
        <v>2802.54</v>
      </c>
    </row>
    <row r="11271" spans="2:6" x14ac:dyDescent="0.25">
      <c r="B11271" s="13" t="s">
        <v>20387</v>
      </c>
      <c r="C11271" s="17" t="s">
        <v>170</v>
      </c>
      <c r="D11271" s="13" t="s">
        <v>118</v>
      </c>
      <c r="E11271" s="13" t="s">
        <v>20388</v>
      </c>
      <c r="F11271" s="43">
        <v>2802.54</v>
      </c>
    </row>
    <row r="11272" spans="2:6" x14ac:dyDescent="0.25">
      <c r="B11272" s="13" t="s">
        <v>20389</v>
      </c>
      <c r="C11272" s="17" t="s">
        <v>170</v>
      </c>
      <c r="D11272" s="13" t="s">
        <v>118</v>
      </c>
      <c r="E11272" s="13" t="s">
        <v>20390</v>
      </c>
      <c r="F11272" s="43">
        <v>2903.75</v>
      </c>
    </row>
    <row r="11273" spans="2:6" x14ac:dyDescent="0.25">
      <c r="B11273" s="13" t="s">
        <v>20391</v>
      </c>
      <c r="C11273" s="17" t="s">
        <v>170</v>
      </c>
      <c r="D11273" s="13" t="s">
        <v>118</v>
      </c>
      <c r="E11273" s="13" t="s">
        <v>20392</v>
      </c>
      <c r="F11273" s="43">
        <v>3257.99</v>
      </c>
    </row>
    <row r="11274" spans="2:6" x14ac:dyDescent="0.25">
      <c r="B11274" s="13" t="s">
        <v>20393</v>
      </c>
      <c r="C11274" s="17" t="s">
        <v>170</v>
      </c>
      <c r="D11274" s="13" t="s">
        <v>118</v>
      </c>
      <c r="E11274" s="13" t="s">
        <v>20394</v>
      </c>
      <c r="F11274" s="43">
        <v>3865.59</v>
      </c>
    </row>
    <row r="11275" spans="2:6" x14ac:dyDescent="0.25">
      <c r="B11275" s="13" t="s">
        <v>20395</v>
      </c>
      <c r="C11275" s="17" t="s">
        <v>170</v>
      </c>
      <c r="D11275" s="13" t="s">
        <v>118</v>
      </c>
      <c r="E11275" s="13" t="s">
        <v>20396</v>
      </c>
      <c r="F11275" s="43">
        <v>6396.86</v>
      </c>
    </row>
    <row r="11276" spans="2:6" x14ac:dyDescent="0.25">
      <c r="B11276" s="13" t="s">
        <v>20397</v>
      </c>
      <c r="C11276" s="17" t="s">
        <v>170</v>
      </c>
      <c r="D11276" s="13" t="s">
        <v>118</v>
      </c>
      <c r="E11276" s="13" t="s">
        <v>20398</v>
      </c>
      <c r="F11276" s="43">
        <v>9327.7999999999993</v>
      </c>
    </row>
    <row r="11277" spans="2:6" x14ac:dyDescent="0.25">
      <c r="B11277" s="13" t="s">
        <v>20399</v>
      </c>
      <c r="C11277" s="17" t="s">
        <v>170</v>
      </c>
      <c r="D11277" s="13" t="s">
        <v>118</v>
      </c>
      <c r="E11277" s="13" t="s">
        <v>20400</v>
      </c>
      <c r="F11277" s="43">
        <v>2942.65</v>
      </c>
    </row>
    <row r="11278" spans="2:6" x14ac:dyDescent="0.25">
      <c r="B11278" s="13" t="s">
        <v>20401</v>
      </c>
      <c r="C11278" s="17" t="s">
        <v>170</v>
      </c>
      <c r="D11278" s="13" t="s">
        <v>118</v>
      </c>
      <c r="E11278" s="13" t="s">
        <v>20402</v>
      </c>
      <c r="F11278" s="43">
        <v>2942.65</v>
      </c>
    </row>
    <row r="11279" spans="2:6" x14ac:dyDescent="0.25">
      <c r="B11279" s="13" t="s">
        <v>20403</v>
      </c>
      <c r="C11279" s="17" t="s">
        <v>170</v>
      </c>
      <c r="D11279" s="13" t="s">
        <v>118</v>
      </c>
      <c r="E11279" s="13" t="s">
        <v>20404</v>
      </c>
      <c r="F11279" s="43">
        <v>3048.91</v>
      </c>
    </row>
    <row r="11280" spans="2:6" x14ac:dyDescent="0.25">
      <c r="B11280" s="13" t="s">
        <v>20405</v>
      </c>
      <c r="C11280" s="17" t="s">
        <v>170</v>
      </c>
      <c r="D11280" s="13" t="s">
        <v>118</v>
      </c>
      <c r="E11280" s="13" t="s">
        <v>20406</v>
      </c>
      <c r="F11280" s="43">
        <v>3421.51</v>
      </c>
    </row>
    <row r="11281" spans="2:6" x14ac:dyDescent="0.25">
      <c r="B11281" s="13" t="s">
        <v>20407</v>
      </c>
      <c r="C11281" s="17" t="s">
        <v>170</v>
      </c>
      <c r="D11281" s="13" t="s">
        <v>118</v>
      </c>
      <c r="E11281" s="13" t="s">
        <v>20408</v>
      </c>
      <c r="F11281" s="43">
        <v>4058.83</v>
      </c>
    </row>
    <row r="11282" spans="2:6" x14ac:dyDescent="0.25">
      <c r="B11282" s="13" t="s">
        <v>20409</v>
      </c>
      <c r="C11282" s="17" t="s">
        <v>170</v>
      </c>
      <c r="D11282" s="13" t="s">
        <v>118</v>
      </c>
      <c r="E11282" s="13" t="s">
        <v>20410</v>
      </c>
      <c r="F11282" s="43">
        <v>6716.67</v>
      </c>
    </row>
    <row r="11283" spans="2:6" x14ac:dyDescent="0.25">
      <c r="B11283" s="13" t="s">
        <v>20411</v>
      </c>
      <c r="C11283" s="17" t="s">
        <v>170</v>
      </c>
      <c r="D11283" s="13" t="s">
        <v>118</v>
      </c>
      <c r="E11283" s="13" t="s">
        <v>20412</v>
      </c>
      <c r="F11283" s="43">
        <v>9794.15</v>
      </c>
    </row>
    <row r="11284" spans="2:6" x14ac:dyDescent="0.25">
      <c r="B11284" s="13" t="s">
        <v>20413</v>
      </c>
      <c r="C11284" s="17" t="s">
        <v>170</v>
      </c>
      <c r="D11284" s="13" t="s">
        <v>118</v>
      </c>
      <c r="E11284" s="13" t="s">
        <v>20414</v>
      </c>
      <c r="F11284" s="43">
        <v>649.49</v>
      </c>
    </row>
    <row r="11285" spans="2:6" x14ac:dyDescent="0.25">
      <c r="B11285" s="13" t="s">
        <v>20415</v>
      </c>
      <c r="C11285" s="17" t="s">
        <v>170</v>
      </c>
      <c r="D11285" s="13" t="s">
        <v>118</v>
      </c>
      <c r="E11285" s="13" t="s">
        <v>20416</v>
      </c>
      <c r="F11285" s="43">
        <v>651.9</v>
      </c>
    </row>
    <row r="11286" spans="2:6" x14ac:dyDescent="0.25">
      <c r="B11286" s="13" t="s">
        <v>20417</v>
      </c>
      <c r="C11286" s="17" t="s">
        <v>170</v>
      </c>
      <c r="D11286" s="13" t="s">
        <v>118</v>
      </c>
      <c r="E11286" s="13" t="s">
        <v>20418</v>
      </c>
      <c r="F11286" s="43">
        <v>691.6</v>
      </c>
    </row>
    <row r="11287" spans="2:6" x14ac:dyDescent="0.25">
      <c r="B11287" s="13" t="s">
        <v>20419</v>
      </c>
      <c r="C11287" s="17" t="s">
        <v>170</v>
      </c>
      <c r="D11287" s="13" t="s">
        <v>118</v>
      </c>
      <c r="E11287" s="13" t="s">
        <v>20420</v>
      </c>
      <c r="F11287" s="43">
        <v>766.31</v>
      </c>
    </row>
    <row r="11288" spans="2:6" x14ac:dyDescent="0.25">
      <c r="B11288" s="13" t="s">
        <v>20421</v>
      </c>
      <c r="C11288" s="17" t="s">
        <v>170</v>
      </c>
      <c r="D11288" s="13" t="s">
        <v>118</v>
      </c>
      <c r="E11288" s="13" t="s">
        <v>20422</v>
      </c>
      <c r="F11288" s="43">
        <v>1044.23</v>
      </c>
    </row>
    <row r="11289" spans="2:6" x14ac:dyDescent="0.25">
      <c r="B11289" s="13" t="s">
        <v>20423</v>
      </c>
      <c r="C11289" s="17" t="s">
        <v>170</v>
      </c>
      <c r="D11289" s="13" t="s">
        <v>118</v>
      </c>
      <c r="E11289" s="13" t="s">
        <v>20424</v>
      </c>
      <c r="F11289" s="43">
        <v>1248.48</v>
      </c>
    </row>
    <row r="11290" spans="2:6" x14ac:dyDescent="0.25">
      <c r="B11290" s="13" t="s">
        <v>20425</v>
      </c>
      <c r="C11290" s="17" t="s">
        <v>170</v>
      </c>
      <c r="D11290" s="13" t="s">
        <v>118</v>
      </c>
      <c r="E11290" s="13" t="s">
        <v>20426</v>
      </c>
      <c r="F11290" s="43">
        <v>1910.02</v>
      </c>
    </row>
    <row r="11291" spans="2:6" x14ac:dyDescent="0.25">
      <c r="B11291" s="13" t="s">
        <v>20427</v>
      </c>
      <c r="C11291" s="17" t="s">
        <v>170</v>
      </c>
      <c r="D11291" s="13" t="s">
        <v>118</v>
      </c>
      <c r="E11291" s="13" t="s">
        <v>20428</v>
      </c>
      <c r="F11291" s="43">
        <v>2652.57</v>
      </c>
    </row>
    <row r="11292" spans="2:6" x14ac:dyDescent="0.25">
      <c r="B11292" s="13" t="s">
        <v>20429</v>
      </c>
      <c r="C11292" s="17" t="s">
        <v>170</v>
      </c>
      <c r="D11292" s="13" t="s">
        <v>118</v>
      </c>
      <c r="E11292" s="13" t="s">
        <v>20430</v>
      </c>
      <c r="F11292" s="43">
        <v>4390.8</v>
      </c>
    </row>
    <row r="11293" spans="2:6" x14ac:dyDescent="0.25">
      <c r="B11293" s="13" t="s">
        <v>20431</v>
      </c>
      <c r="C11293" s="17" t="s">
        <v>170</v>
      </c>
      <c r="D11293" s="13" t="s">
        <v>118</v>
      </c>
      <c r="E11293" s="13" t="s">
        <v>20432</v>
      </c>
      <c r="F11293" s="43">
        <v>4952.04</v>
      </c>
    </row>
    <row r="11294" spans="2:6" x14ac:dyDescent="0.25">
      <c r="B11294" s="13" t="s">
        <v>20433</v>
      </c>
      <c r="C11294" s="17" t="s">
        <v>170</v>
      </c>
      <c r="D11294" s="13" t="s">
        <v>118</v>
      </c>
      <c r="E11294" s="13" t="s">
        <v>20434</v>
      </c>
      <c r="F11294" s="43">
        <v>7222.26</v>
      </c>
    </row>
    <row r="11295" spans="2:6" x14ac:dyDescent="0.25">
      <c r="B11295" s="13" t="s">
        <v>20435</v>
      </c>
      <c r="C11295" s="17" t="s">
        <v>170</v>
      </c>
      <c r="D11295" s="13" t="s">
        <v>118</v>
      </c>
      <c r="E11295" s="13" t="s">
        <v>20436</v>
      </c>
      <c r="F11295" s="43">
        <v>8222.07</v>
      </c>
    </row>
    <row r="11296" spans="2:6" x14ac:dyDescent="0.25">
      <c r="B11296" s="13" t="s">
        <v>20437</v>
      </c>
      <c r="C11296" s="17" t="s">
        <v>170</v>
      </c>
      <c r="D11296" s="13" t="s">
        <v>118</v>
      </c>
      <c r="E11296" s="13" t="s">
        <v>20438</v>
      </c>
      <c r="F11296" s="43">
        <v>9568.5499999999993</v>
      </c>
    </row>
    <row r="11297" spans="2:6" x14ac:dyDescent="0.25">
      <c r="B11297" s="13" t="s">
        <v>20439</v>
      </c>
      <c r="C11297" s="17" t="s">
        <v>170</v>
      </c>
      <c r="D11297" s="13" t="s">
        <v>118</v>
      </c>
      <c r="E11297" s="13" t="s">
        <v>20440</v>
      </c>
      <c r="F11297" s="43">
        <v>1551.08</v>
      </c>
    </row>
    <row r="11298" spans="2:6" x14ac:dyDescent="0.25">
      <c r="B11298" s="13" t="s">
        <v>20441</v>
      </c>
      <c r="C11298" s="17" t="s">
        <v>170</v>
      </c>
      <c r="D11298" s="13" t="s">
        <v>118</v>
      </c>
      <c r="E11298" s="13" t="s">
        <v>20442</v>
      </c>
      <c r="F11298" s="43">
        <v>1630.83</v>
      </c>
    </row>
    <row r="11299" spans="2:6" x14ac:dyDescent="0.25">
      <c r="B11299" s="13" t="s">
        <v>20443</v>
      </c>
      <c r="C11299" s="17" t="s">
        <v>170</v>
      </c>
      <c r="D11299" s="13" t="s">
        <v>118</v>
      </c>
      <c r="E11299" s="13" t="s">
        <v>20444</v>
      </c>
      <c r="F11299" s="43">
        <v>1756.02</v>
      </c>
    </row>
    <row r="11300" spans="2:6" x14ac:dyDescent="0.25">
      <c r="B11300" s="13" t="s">
        <v>20445</v>
      </c>
      <c r="C11300" s="17" t="s">
        <v>170</v>
      </c>
      <c r="D11300" s="13" t="s">
        <v>118</v>
      </c>
      <c r="E11300" s="13" t="s">
        <v>20446</v>
      </c>
      <c r="F11300" s="43">
        <v>1991.26</v>
      </c>
    </row>
    <row r="11301" spans="2:6" x14ac:dyDescent="0.25">
      <c r="B11301" s="13" t="s">
        <v>20447</v>
      </c>
      <c r="C11301" s="17" t="s">
        <v>170</v>
      </c>
      <c r="D11301" s="13" t="s">
        <v>118</v>
      </c>
      <c r="E11301" s="13" t="s">
        <v>20448</v>
      </c>
      <c r="F11301" s="43">
        <v>2655.66</v>
      </c>
    </row>
    <row r="11302" spans="2:6" x14ac:dyDescent="0.25">
      <c r="B11302" s="13" t="s">
        <v>20449</v>
      </c>
      <c r="C11302" s="17" t="s">
        <v>170</v>
      </c>
      <c r="D11302" s="13" t="s">
        <v>118</v>
      </c>
      <c r="E11302" s="13" t="s">
        <v>20450</v>
      </c>
      <c r="F11302" s="43">
        <v>3298.95</v>
      </c>
    </row>
    <row r="11303" spans="2:6" x14ac:dyDescent="0.25">
      <c r="B11303" s="13" t="s">
        <v>20451</v>
      </c>
      <c r="C11303" s="17" t="s">
        <v>170</v>
      </c>
      <c r="D11303" s="13" t="s">
        <v>118</v>
      </c>
      <c r="E11303" s="13" t="s">
        <v>20452</v>
      </c>
      <c r="F11303" s="43">
        <v>5382.58</v>
      </c>
    </row>
    <row r="11304" spans="2:6" x14ac:dyDescent="0.25">
      <c r="B11304" s="13" t="s">
        <v>20453</v>
      </c>
      <c r="C11304" s="17" t="s">
        <v>170</v>
      </c>
      <c r="D11304" s="13" t="s">
        <v>118</v>
      </c>
      <c r="E11304" s="13" t="s">
        <v>20454</v>
      </c>
      <c r="F11304" s="43">
        <v>7721.65</v>
      </c>
    </row>
    <row r="11305" spans="2:6" x14ac:dyDescent="0.25">
      <c r="B11305" s="13" t="s">
        <v>20455</v>
      </c>
      <c r="C11305" s="17" t="s">
        <v>170</v>
      </c>
      <c r="D11305" s="13" t="s">
        <v>118</v>
      </c>
      <c r="E11305" s="13" t="s">
        <v>20456</v>
      </c>
      <c r="F11305" s="43">
        <v>13408.43</v>
      </c>
    </row>
    <row r="11306" spans="2:6" x14ac:dyDescent="0.25">
      <c r="B11306" s="13" t="s">
        <v>20457</v>
      </c>
      <c r="C11306" s="17" t="s">
        <v>170</v>
      </c>
      <c r="D11306" s="13" t="s">
        <v>118</v>
      </c>
      <c r="E11306" s="13" t="s">
        <v>20458</v>
      </c>
      <c r="F11306" s="43">
        <v>14965.13</v>
      </c>
    </row>
    <row r="11307" spans="2:6" x14ac:dyDescent="0.25">
      <c r="B11307" s="13" t="s">
        <v>20459</v>
      </c>
      <c r="C11307" s="17" t="s">
        <v>170</v>
      </c>
      <c r="D11307" s="13" t="s">
        <v>118</v>
      </c>
      <c r="E11307" s="13" t="s">
        <v>20460</v>
      </c>
      <c r="F11307" s="43">
        <v>21264.33</v>
      </c>
    </row>
    <row r="11308" spans="2:6" x14ac:dyDescent="0.25">
      <c r="B11308" s="13" t="s">
        <v>20461</v>
      </c>
      <c r="C11308" s="17" t="s">
        <v>170</v>
      </c>
      <c r="D11308" s="13" t="s">
        <v>118</v>
      </c>
      <c r="E11308" s="13" t="s">
        <v>20462</v>
      </c>
      <c r="F11308" s="43">
        <v>25476.91</v>
      </c>
    </row>
    <row r="11309" spans="2:6" x14ac:dyDescent="0.25">
      <c r="B11309" s="13" t="s">
        <v>20463</v>
      </c>
      <c r="C11309" s="17" t="s">
        <v>170</v>
      </c>
      <c r="D11309" s="13" t="s">
        <v>118</v>
      </c>
      <c r="E11309" s="13" t="s">
        <v>20464</v>
      </c>
      <c r="F11309" s="43">
        <v>29718.3</v>
      </c>
    </row>
    <row r="11310" spans="2:6" x14ac:dyDescent="0.25">
      <c r="B11310" s="13" t="s">
        <v>20465</v>
      </c>
      <c r="C11310" s="17" t="s">
        <v>170</v>
      </c>
      <c r="D11310" s="13" t="s">
        <v>118</v>
      </c>
      <c r="E11310" s="13" t="s">
        <v>20466</v>
      </c>
      <c r="F11310" s="43">
        <v>1477.18</v>
      </c>
    </row>
    <row r="11311" spans="2:6" x14ac:dyDescent="0.25">
      <c r="B11311" s="13" t="s">
        <v>20467</v>
      </c>
      <c r="C11311" s="17" t="s">
        <v>170</v>
      </c>
      <c r="D11311" s="13" t="s">
        <v>118</v>
      </c>
      <c r="E11311" s="13" t="s">
        <v>20468</v>
      </c>
      <c r="F11311" s="43">
        <v>1553.15</v>
      </c>
    </row>
    <row r="11312" spans="2:6" x14ac:dyDescent="0.25">
      <c r="B11312" s="13" t="s">
        <v>20469</v>
      </c>
      <c r="C11312" s="17" t="s">
        <v>170</v>
      </c>
      <c r="D11312" s="13" t="s">
        <v>118</v>
      </c>
      <c r="E11312" s="13" t="s">
        <v>20470</v>
      </c>
      <c r="F11312" s="43">
        <v>1672.37</v>
      </c>
    </row>
    <row r="11313" spans="2:6" x14ac:dyDescent="0.25">
      <c r="B11313" s="13" t="s">
        <v>20471</v>
      </c>
      <c r="C11313" s="17" t="s">
        <v>170</v>
      </c>
      <c r="D11313" s="13" t="s">
        <v>118</v>
      </c>
      <c r="E11313" s="13" t="s">
        <v>20472</v>
      </c>
      <c r="F11313" s="43">
        <v>1896.48</v>
      </c>
    </row>
    <row r="11314" spans="2:6" x14ac:dyDescent="0.25">
      <c r="B11314" s="13" t="s">
        <v>20473</v>
      </c>
      <c r="C11314" s="17" t="s">
        <v>170</v>
      </c>
      <c r="D11314" s="13" t="s">
        <v>118</v>
      </c>
      <c r="E11314" s="13" t="s">
        <v>20474</v>
      </c>
      <c r="F11314" s="43">
        <v>2529.21</v>
      </c>
    </row>
    <row r="11315" spans="2:6" x14ac:dyDescent="0.25">
      <c r="B11315" s="13" t="s">
        <v>20475</v>
      </c>
      <c r="C11315" s="17" t="s">
        <v>170</v>
      </c>
      <c r="D11315" s="13" t="s">
        <v>118</v>
      </c>
      <c r="E11315" s="13" t="s">
        <v>20476</v>
      </c>
      <c r="F11315" s="43">
        <v>3141.86</v>
      </c>
    </row>
    <row r="11316" spans="2:6" x14ac:dyDescent="0.25">
      <c r="B11316" s="13" t="s">
        <v>20477</v>
      </c>
      <c r="C11316" s="17" t="s">
        <v>170</v>
      </c>
      <c r="D11316" s="13" t="s">
        <v>118</v>
      </c>
      <c r="E11316" s="13" t="s">
        <v>20478</v>
      </c>
      <c r="F11316" s="43">
        <v>5126.2299999999996</v>
      </c>
    </row>
    <row r="11317" spans="2:6" x14ac:dyDescent="0.25">
      <c r="B11317" s="13" t="s">
        <v>20479</v>
      </c>
      <c r="C11317" s="17" t="s">
        <v>170</v>
      </c>
      <c r="D11317" s="13" t="s">
        <v>118</v>
      </c>
      <c r="E11317" s="13" t="s">
        <v>20480</v>
      </c>
      <c r="F11317" s="43">
        <v>7353.99</v>
      </c>
    </row>
    <row r="11318" spans="2:6" x14ac:dyDescent="0.25">
      <c r="B11318" s="13" t="s">
        <v>20481</v>
      </c>
      <c r="C11318" s="17" t="s">
        <v>170</v>
      </c>
      <c r="D11318" s="13" t="s">
        <v>118</v>
      </c>
      <c r="E11318" s="13" t="s">
        <v>20482</v>
      </c>
      <c r="F11318" s="43">
        <v>12769.96</v>
      </c>
    </row>
    <row r="11319" spans="2:6" x14ac:dyDescent="0.25">
      <c r="B11319" s="13" t="s">
        <v>20483</v>
      </c>
      <c r="C11319" s="17" t="s">
        <v>170</v>
      </c>
      <c r="D11319" s="13" t="s">
        <v>118</v>
      </c>
      <c r="E11319" s="13" t="s">
        <v>20484</v>
      </c>
      <c r="F11319" s="43">
        <v>14252.53</v>
      </c>
    </row>
    <row r="11320" spans="2:6" x14ac:dyDescent="0.25">
      <c r="B11320" s="13" t="s">
        <v>20485</v>
      </c>
      <c r="C11320" s="17" t="s">
        <v>170</v>
      </c>
      <c r="D11320" s="13" t="s">
        <v>118</v>
      </c>
      <c r="E11320" s="13" t="s">
        <v>20486</v>
      </c>
      <c r="F11320" s="43">
        <v>21264.33</v>
      </c>
    </row>
    <row r="11321" spans="2:6" x14ac:dyDescent="0.25">
      <c r="B11321" s="13" t="s">
        <v>20487</v>
      </c>
      <c r="C11321" s="17" t="s">
        <v>170</v>
      </c>
      <c r="D11321" s="13" t="s">
        <v>118</v>
      </c>
      <c r="E11321" s="13" t="s">
        <v>20488</v>
      </c>
      <c r="F11321" s="43">
        <v>24263.78</v>
      </c>
    </row>
    <row r="11322" spans="2:6" x14ac:dyDescent="0.25">
      <c r="B11322" s="13" t="s">
        <v>20489</v>
      </c>
      <c r="C11322" s="17" t="s">
        <v>170</v>
      </c>
      <c r="D11322" s="13" t="s">
        <v>118</v>
      </c>
      <c r="E11322" s="13" t="s">
        <v>20490</v>
      </c>
      <c r="F11322" s="43">
        <v>28303.09</v>
      </c>
    </row>
    <row r="11323" spans="2:6" x14ac:dyDescent="0.25">
      <c r="B11323" s="13" t="s">
        <v>20491</v>
      </c>
      <c r="C11323" s="17" t="s">
        <v>170</v>
      </c>
      <c r="D11323" s="13" t="s">
        <v>118</v>
      </c>
      <c r="E11323" s="13" t="s">
        <v>20492</v>
      </c>
      <c r="F11323" s="43">
        <v>626.54</v>
      </c>
    </row>
    <row r="11324" spans="2:6" x14ac:dyDescent="0.25">
      <c r="B11324" s="13" t="s">
        <v>20493</v>
      </c>
      <c r="C11324" s="17" t="s">
        <v>170</v>
      </c>
      <c r="D11324" s="13" t="s">
        <v>118</v>
      </c>
      <c r="E11324" s="13" t="s">
        <v>20494</v>
      </c>
      <c r="F11324" s="43">
        <v>660.85</v>
      </c>
    </row>
    <row r="11325" spans="2:6" x14ac:dyDescent="0.25">
      <c r="B11325" s="13" t="s">
        <v>20495</v>
      </c>
      <c r="C11325" s="17" t="s">
        <v>170</v>
      </c>
      <c r="D11325" s="13" t="s">
        <v>118</v>
      </c>
      <c r="E11325" s="13" t="s">
        <v>20496</v>
      </c>
      <c r="F11325" s="43">
        <v>703.88</v>
      </c>
    </row>
    <row r="11326" spans="2:6" x14ac:dyDescent="0.25">
      <c r="B11326" s="13" t="s">
        <v>20497</v>
      </c>
      <c r="C11326" s="17" t="s">
        <v>170</v>
      </c>
      <c r="D11326" s="13" t="s">
        <v>118</v>
      </c>
      <c r="E11326" s="13" t="s">
        <v>20498</v>
      </c>
      <c r="F11326" s="43">
        <v>788.45</v>
      </c>
    </row>
    <row r="11327" spans="2:6" x14ac:dyDescent="0.25">
      <c r="B11327" s="13" t="s">
        <v>20499</v>
      </c>
      <c r="C11327" s="17" t="s">
        <v>170</v>
      </c>
      <c r="D11327" s="13" t="s">
        <v>118</v>
      </c>
      <c r="E11327" s="13" t="s">
        <v>20500</v>
      </c>
      <c r="F11327" s="43">
        <v>1079.8</v>
      </c>
    </row>
    <row r="11328" spans="2:6" x14ac:dyDescent="0.25">
      <c r="B11328" s="13" t="s">
        <v>20501</v>
      </c>
      <c r="C11328" s="17" t="s">
        <v>170</v>
      </c>
      <c r="D11328" s="13" t="s">
        <v>118</v>
      </c>
      <c r="E11328" s="13" t="s">
        <v>20502</v>
      </c>
      <c r="F11328" s="43">
        <v>1313.66</v>
      </c>
    </row>
    <row r="11329" spans="2:6" x14ac:dyDescent="0.25">
      <c r="B11329" s="13" t="s">
        <v>20503</v>
      </c>
      <c r="C11329" s="17" t="s">
        <v>170</v>
      </c>
      <c r="D11329" s="13" t="s">
        <v>118</v>
      </c>
      <c r="E11329" s="13" t="s">
        <v>20504</v>
      </c>
      <c r="F11329" s="43">
        <v>2037.74</v>
      </c>
    </row>
    <row r="11330" spans="2:6" x14ac:dyDescent="0.25">
      <c r="B11330" s="13" t="s">
        <v>20505</v>
      </c>
      <c r="C11330" s="17" t="s">
        <v>170</v>
      </c>
      <c r="D11330" s="13" t="s">
        <v>118</v>
      </c>
      <c r="E11330" s="13" t="s">
        <v>20506</v>
      </c>
      <c r="F11330" s="43">
        <v>2692.27</v>
      </c>
    </row>
    <row r="11331" spans="2:6" x14ac:dyDescent="0.25">
      <c r="B11331" s="13" t="s">
        <v>20507</v>
      </c>
      <c r="C11331" s="17" t="s">
        <v>170</v>
      </c>
      <c r="D11331" s="13" t="s">
        <v>118</v>
      </c>
      <c r="E11331" s="13" t="s">
        <v>20508</v>
      </c>
      <c r="F11331" s="43">
        <v>3790.89</v>
      </c>
    </row>
    <row r="11332" spans="2:6" x14ac:dyDescent="0.25">
      <c r="B11332" s="13" t="s">
        <v>20509</v>
      </c>
      <c r="C11332" s="17" t="s">
        <v>170</v>
      </c>
      <c r="D11332" s="13" t="s">
        <v>118</v>
      </c>
      <c r="E11332" s="13" t="s">
        <v>20510</v>
      </c>
      <c r="F11332" s="43">
        <v>4484.8900000000003</v>
      </c>
    </row>
    <row r="11333" spans="2:6" x14ac:dyDescent="0.25">
      <c r="B11333" s="13" t="s">
        <v>20511</v>
      </c>
      <c r="C11333" s="17" t="s">
        <v>170</v>
      </c>
      <c r="D11333" s="13" t="s">
        <v>118</v>
      </c>
      <c r="E11333" s="13" t="s">
        <v>20512</v>
      </c>
      <c r="F11333" s="43">
        <v>5571</v>
      </c>
    </row>
    <row r="11334" spans="2:6" x14ac:dyDescent="0.25">
      <c r="B11334" s="13" t="s">
        <v>20513</v>
      </c>
      <c r="C11334" s="17" t="s">
        <v>170</v>
      </c>
      <c r="D11334" s="13" t="s">
        <v>118</v>
      </c>
      <c r="E11334" s="13" t="s">
        <v>20514</v>
      </c>
      <c r="F11334" s="43">
        <v>6786.78</v>
      </c>
    </row>
    <row r="11335" spans="2:6" x14ac:dyDescent="0.25">
      <c r="B11335" s="13" t="s">
        <v>20515</v>
      </c>
      <c r="C11335" s="17" t="s">
        <v>170</v>
      </c>
      <c r="D11335" s="13" t="s">
        <v>118</v>
      </c>
      <c r="E11335" s="13" t="s">
        <v>20516</v>
      </c>
      <c r="F11335" s="43">
        <v>8283.1200000000008</v>
      </c>
    </row>
    <row r="11336" spans="2:6" x14ac:dyDescent="0.25">
      <c r="B11336" s="13" t="s">
        <v>20517</v>
      </c>
      <c r="C11336" s="17" t="s">
        <v>170</v>
      </c>
      <c r="D11336" s="13" t="s">
        <v>118</v>
      </c>
      <c r="E11336" s="13" t="s">
        <v>20518</v>
      </c>
      <c r="F11336" s="43">
        <v>698.83</v>
      </c>
    </row>
    <row r="11337" spans="2:6" x14ac:dyDescent="0.25">
      <c r="B11337" s="13" t="s">
        <v>20519</v>
      </c>
      <c r="C11337" s="17" t="s">
        <v>170</v>
      </c>
      <c r="D11337" s="13" t="s">
        <v>118</v>
      </c>
      <c r="E11337" s="13" t="s">
        <v>20520</v>
      </c>
      <c r="F11337" s="43">
        <v>731.42</v>
      </c>
    </row>
    <row r="11338" spans="2:6" x14ac:dyDescent="0.25">
      <c r="B11338" s="13" t="s">
        <v>20521</v>
      </c>
      <c r="C11338" s="17" t="s">
        <v>170</v>
      </c>
      <c r="D11338" s="13" t="s">
        <v>118</v>
      </c>
      <c r="E11338" s="13" t="s">
        <v>20522</v>
      </c>
      <c r="F11338" s="43">
        <v>771.47</v>
      </c>
    </row>
    <row r="11339" spans="2:6" x14ac:dyDescent="0.25">
      <c r="B11339" s="13" t="s">
        <v>20523</v>
      </c>
      <c r="C11339" s="17" t="s">
        <v>170</v>
      </c>
      <c r="D11339" s="13" t="s">
        <v>118</v>
      </c>
      <c r="E11339" s="13" t="s">
        <v>20524</v>
      </c>
      <c r="F11339" s="43">
        <v>970.45</v>
      </c>
    </row>
    <row r="11340" spans="2:6" x14ac:dyDescent="0.25">
      <c r="B11340" s="13" t="s">
        <v>20525</v>
      </c>
      <c r="C11340" s="17" t="s">
        <v>170</v>
      </c>
      <c r="D11340" s="13" t="s">
        <v>118</v>
      </c>
      <c r="E11340" s="13" t="s">
        <v>20526</v>
      </c>
      <c r="F11340" s="43">
        <v>1318.83</v>
      </c>
    </row>
    <row r="11341" spans="2:6" x14ac:dyDescent="0.25">
      <c r="B11341" s="13" t="s">
        <v>20527</v>
      </c>
      <c r="C11341" s="17" t="s">
        <v>170</v>
      </c>
      <c r="D11341" s="13" t="s">
        <v>118</v>
      </c>
      <c r="E11341" s="13" t="s">
        <v>20528</v>
      </c>
      <c r="F11341" s="43">
        <v>1545.92</v>
      </c>
    </row>
    <row r="11342" spans="2:6" x14ac:dyDescent="0.25">
      <c r="B11342" s="13" t="s">
        <v>20529</v>
      </c>
      <c r="C11342" s="17" t="s">
        <v>170</v>
      </c>
      <c r="D11342" s="13" t="s">
        <v>118</v>
      </c>
      <c r="E11342" s="13" t="s">
        <v>20530</v>
      </c>
      <c r="F11342" s="43">
        <v>2327.36</v>
      </c>
    </row>
    <row r="11343" spans="2:6" x14ac:dyDescent="0.25">
      <c r="B11343" s="13" t="s">
        <v>20531</v>
      </c>
      <c r="C11343" s="17" t="s">
        <v>170</v>
      </c>
      <c r="D11343" s="13" t="s">
        <v>118</v>
      </c>
      <c r="E11343" s="13" t="s">
        <v>20532</v>
      </c>
      <c r="F11343" s="43">
        <v>3066.7</v>
      </c>
    </row>
    <row r="11344" spans="2:6" x14ac:dyDescent="0.25">
      <c r="B11344" s="13" t="s">
        <v>20533</v>
      </c>
      <c r="C11344" s="17" t="s">
        <v>170</v>
      </c>
      <c r="D11344" s="13" t="s">
        <v>118</v>
      </c>
      <c r="E11344" s="13" t="s">
        <v>20534</v>
      </c>
      <c r="F11344" s="43">
        <v>4649.8999999999996</v>
      </c>
    </row>
    <row r="11345" spans="2:6" x14ac:dyDescent="0.25">
      <c r="B11345" s="13" t="s">
        <v>20535</v>
      </c>
      <c r="C11345" s="17" t="s">
        <v>170</v>
      </c>
      <c r="D11345" s="13" t="s">
        <v>118</v>
      </c>
      <c r="E11345" s="13" t="s">
        <v>20536</v>
      </c>
      <c r="F11345" s="43">
        <v>5530.5</v>
      </c>
    </row>
    <row r="11346" spans="2:6" x14ac:dyDescent="0.25">
      <c r="B11346" s="13" t="s">
        <v>20537</v>
      </c>
      <c r="C11346" s="17" t="s">
        <v>170</v>
      </c>
      <c r="D11346" s="13" t="s">
        <v>118</v>
      </c>
      <c r="E11346" s="13" t="s">
        <v>20538</v>
      </c>
      <c r="F11346" s="43">
        <v>7101.31</v>
      </c>
    </row>
    <row r="11347" spans="2:6" x14ac:dyDescent="0.25">
      <c r="B11347" s="13" t="s">
        <v>20539</v>
      </c>
      <c r="C11347" s="17" t="s">
        <v>170</v>
      </c>
      <c r="D11347" s="13" t="s">
        <v>118</v>
      </c>
      <c r="E11347" s="13" t="s">
        <v>20540</v>
      </c>
      <c r="F11347" s="43">
        <v>8927.1</v>
      </c>
    </row>
    <row r="11348" spans="2:6" x14ac:dyDescent="0.25">
      <c r="B11348" s="13" t="s">
        <v>20541</v>
      </c>
      <c r="C11348" s="17" t="s">
        <v>170</v>
      </c>
      <c r="D11348" s="13" t="s">
        <v>118</v>
      </c>
      <c r="E11348" s="13" t="s">
        <v>20542</v>
      </c>
      <c r="F11348" s="43">
        <v>11154.16</v>
      </c>
    </row>
    <row r="11349" spans="2:6" x14ac:dyDescent="0.25">
      <c r="B11349" s="13" t="s">
        <v>20543</v>
      </c>
      <c r="C11349" s="17" t="s">
        <v>170</v>
      </c>
      <c r="D11349" s="13" t="s">
        <v>118</v>
      </c>
      <c r="E11349" s="13" t="s">
        <v>20544</v>
      </c>
      <c r="F11349" s="43">
        <v>1551.08</v>
      </c>
    </row>
    <row r="11350" spans="2:6" x14ac:dyDescent="0.25">
      <c r="B11350" s="13" t="s">
        <v>20545</v>
      </c>
      <c r="C11350" s="17" t="s">
        <v>170</v>
      </c>
      <c r="D11350" s="13" t="s">
        <v>118</v>
      </c>
      <c r="E11350" s="13" t="s">
        <v>20546</v>
      </c>
      <c r="F11350" s="43">
        <v>1659.29</v>
      </c>
    </row>
    <row r="11351" spans="2:6" x14ac:dyDescent="0.25">
      <c r="B11351" s="13" t="s">
        <v>20547</v>
      </c>
      <c r="C11351" s="17" t="s">
        <v>170</v>
      </c>
      <c r="D11351" s="13" t="s">
        <v>118</v>
      </c>
      <c r="E11351" s="13" t="s">
        <v>20548</v>
      </c>
      <c r="F11351" s="43">
        <v>1794.69</v>
      </c>
    </row>
    <row r="11352" spans="2:6" x14ac:dyDescent="0.25">
      <c r="B11352" s="13" t="s">
        <v>20549</v>
      </c>
      <c r="C11352" s="17" t="s">
        <v>170</v>
      </c>
      <c r="D11352" s="13" t="s">
        <v>118</v>
      </c>
      <c r="E11352" s="13" t="s">
        <v>20550</v>
      </c>
      <c r="F11352" s="43">
        <v>2061.14</v>
      </c>
    </row>
    <row r="11353" spans="2:6" x14ac:dyDescent="0.25">
      <c r="B11353" s="13" t="s">
        <v>20551</v>
      </c>
      <c r="C11353" s="17" t="s">
        <v>170</v>
      </c>
      <c r="D11353" s="13" t="s">
        <v>118</v>
      </c>
      <c r="E11353" s="13" t="s">
        <v>20552</v>
      </c>
      <c r="F11353" s="43">
        <v>2978.8</v>
      </c>
    </row>
    <row r="11354" spans="2:6" x14ac:dyDescent="0.25">
      <c r="B11354" s="13" t="s">
        <v>20553</v>
      </c>
      <c r="C11354" s="17" t="s">
        <v>170</v>
      </c>
      <c r="D11354" s="13" t="s">
        <v>118</v>
      </c>
      <c r="E11354" s="13" t="s">
        <v>20554</v>
      </c>
      <c r="F11354" s="43">
        <v>3715.5</v>
      </c>
    </row>
    <row r="11355" spans="2:6" x14ac:dyDescent="0.25">
      <c r="B11355" s="13" t="s">
        <v>20555</v>
      </c>
      <c r="C11355" s="17" t="s">
        <v>170</v>
      </c>
      <c r="D11355" s="13" t="s">
        <v>118</v>
      </c>
      <c r="E11355" s="13" t="s">
        <v>20556</v>
      </c>
      <c r="F11355" s="43">
        <v>1717.12</v>
      </c>
    </row>
    <row r="11356" spans="2:6" x14ac:dyDescent="0.25">
      <c r="B11356" s="13" t="s">
        <v>20557</v>
      </c>
      <c r="C11356" s="17" t="s">
        <v>170</v>
      </c>
      <c r="D11356" s="13" t="s">
        <v>118</v>
      </c>
      <c r="E11356" s="13" t="s">
        <v>20558</v>
      </c>
      <c r="F11356" s="43">
        <v>8058.21</v>
      </c>
    </row>
    <row r="11357" spans="2:6" x14ac:dyDescent="0.25">
      <c r="B11357" s="13" t="s">
        <v>20559</v>
      </c>
      <c r="C11357" s="17" t="s">
        <v>170</v>
      </c>
      <c r="D11357" s="13" t="s">
        <v>118</v>
      </c>
      <c r="E11357" s="13" t="s">
        <v>20560</v>
      </c>
      <c r="F11357" s="43">
        <v>11517.69</v>
      </c>
    </row>
    <row r="11358" spans="2:6" x14ac:dyDescent="0.25">
      <c r="B11358" s="13" t="s">
        <v>20561</v>
      </c>
      <c r="C11358" s="17" t="s">
        <v>170</v>
      </c>
      <c r="D11358" s="13" t="s">
        <v>118</v>
      </c>
      <c r="E11358" s="13" t="s">
        <v>20562</v>
      </c>
      <c r="F11358" s="43">
        <v>13704.83</v>
      </c>
    </row>
    <row r="11359" spans="2:6" x14ac:dyDescent="0.25">
      <c r="B11359" s="13" t="s">
        <v>20563</v>
      </c>
      <c r="C11359" s="17" t="s">
        <v>170</v>
      </c>
      <c r="D11359" s="13" t="s">
        <v>118</v>
      </c>
      <c r="E11359" s="13" t="s">
        <v>20564</v>
      </c>
      <c r="F11359" s="43">
        <v>17126.099999999999</v>
      </c>
    </row>
    <row r="11360" spans="2:6" x14ac:dyDescent="0.25">
      <c r="B11360" s="13" t="s">
        <v>20565</v>
      </c>
      <c r="C11360" s="17" t="s">
        <v>170</v>
      </c>
      <c r="D11360" s="13" t="s">
        <v>118</v>
      </c>
      <c r="E11360" s="13" t="s">
        <v>20566</v>
      </c>
      <c r="F11360" s="43">
        <v>20955.88</v>
      </c>
    </row>
    <row r="11361" spans="2:6" x14ac:dyDescent="0.25">
      <c r="B11361" s="13" t="s">
        <v>20567</v>
      </c>
      <c r="C11361" s="17" t="s">
        <v>170</v>
      </c>
      <c r="D11361" s="13" t="s">
        <v>118</v>
      </c>
      <c r="E11361" s="13" t="s">
        <v>20568</v>
      </c>
      <c r="F11361" s="43">
        <v>25669.35</v>
      </c>
    </row>
    <row r="11362" spans="2:6" x14ac:dyDescent="0.25">
      <c r="B11362" s="13" t="s">
        <v>20569</v>
      </c>
      <c r="C11362" s="17" t="s">
        <v>170</v>
      </c>
      <c r="D11362" s="13" t="s">
        <v>118</v>
      </c>
      <c r="E11362" s="13" t="s">
        <v>20570</v>
      </c>
      <c r="F11362" s="43">
        <v>2010.08</v>
      </c>
    </row>
    <row r="11363" spans="2:6" x14ac:dyDescent="0.25">
      <c r="B11363" s="13" t="s">
        <v>20571</v>
      </c>
      <c r="C11363" s="17" t="s">
        <v>170</v>
      </c>
      <c r="D11363" s="13" t="s">
        <v>118</v>
      </c>
      <c r="E11363" s="13" t="s">
        <v>20572</v>
      </c>
      <c r="F11363" s="43">
        <v>2118.29</v>
      </c>
    </row>
    <row r="11364" spans="2:6" x14ac:dyDescent="0.25">
      <c r="B11364" s="13" t="s">
        <v>20573</v>
      </c>
      <c r="C11364" s="17" t="s">
        <v>170</v>
      </c>
      <c r="D11364" s="13" t="s">
        <v>118</v>
      </c>
      <c r="E11364" s="13" t="s">
        <v>20574</v>
      </c>
      <c r="F11364" s="43">
        <v>2253.69</v>
      </c>
    </row>
    <row r="11365" spans="2:6" x14ac:dyDescent="0.25">
      <c r="B11365" s="13" t="s">
        <v>20575</v>
      </c>
      <c r="C11365" s="17" t="s">
        <v>170</v>
      </c>
      <c r="D11365" s="13" t="s">
        <v>118</v>
      </c>
      <c r="E11365" s="13" t="s">
        <v>20576</v>
      </c>
      <c r="F11365" s="43">
        <v>2520.14</v>
      </c>
    </row>
    <row r="11366" spans="2:6" x14ac:dyDescent="0.25">
      <c r="B11366" s="13" t="s">
        <v>20577</v>
      </c>
      <c r="C11366" s="17" t="s">
        <v>170</v>
      </c>
      <c r="D11366" s="13" t="s">
        <v>118</v>
      </c>
      <c r="E11366" s="13" t="s">
        <v>20578</v>
      </c>
      <c r="F11366" s="43">
        <v>3437.8</v>
      </c>
    </row>
    <row r="11367" spans="2:6" x14ac:dyDescent="0.25">
      <c r="B11367" s="13" t="s">
        <v>20579</v>
      </c>
      <c r="C11367" s="17" t="s">
        <v>170</v>
      </c>
      <c r="D11367" s="13" t="s">
        <v>118</v>
      </c>
      <c r="E11367" s="13" t="s">
        <v>20580</v>
      </c>
      <c r="F11367" s="43">
        <v>4174.5</v>
      </c>
    </row>
    <row r="11368" spans="2:6" x14ac:dyDescent="0.25">
      <c r="B11368" s="13" t="s">
        <v>20581</v>
      </c>
      <c r="C11368" s="17" t="s">
        <v>170</v>
      </c>
      <c r="D11368" s="13" t="s">
        <v>118</v>
      </c>
      <c r="E11368" s="13" t="s">
        <v>20582</v>
      </c>
      <c r="F11368" s="43">
        <v>2176.12</v>
      </c>
    </row>
    <row r="11369" spans="2:6" x14ac:dyDescent="0.25">
      <c r="B11369" s="13" t="s">
        <v>20583</v>
      </c>
      <c r="C11369" s="17" t="s">
        <v>170</v>
      </c>
      <c r="D11369" s="13" t="s">
        <v>118</v>
      </c>
      <c r="E11369" s="13" t="s">
        <v>20584</v>
      </c>
      <c r="F11369" s="43">
        <v>8517.2099999999991</v>
      </c>
    </row>
    <row r="11370" spans="2:6" x14ac:dyDescent="0.25">
      <c r="B11370" s="13" t="s">
        <v>20585</v>
      </c>
      <c r="C11370" s="17" t="s">
        <v>170</v>
      </c>
      <c r="D11370" s="13" t="s">
        <v>118</v>
      </c>
      <c r="E11370" s="13" t="s">
        <v>20586</v>
      </c>
      <c r="F11370" s="43">
        <v>11976.69</v>
      </c>
    </row>
    <row r="11371" spans="2:6" x14ac:dyDescent="0.25">
      <c r="B11371" s="13" t="s">
        <v>20587</v>
      </c>
      <c r="C11371" s="17" t="s">
        <v>170</v>
      </c>
      <c r="D11371" s="13" t="s">
        <v>118</v>
      </c>
      <c r="E11371" s="13" t="s">
        <v>20588</v>
      </c>
      <c r="F11371" s="43">
        <v>14163.83</v>
      </c>
    </row>
    <row r="11372" spans="2:6" x14ac:dyDescent="0.25">
      <c r="B11372" s="13" t="s">
        <v>20589</v>
      </c>
      <c r="C11372" s="17" t="s">
        <v>170</v>
      </c>
      <c r="D11372" s="13" t="s">
        <v>118</v>
      </c>
      <c r="E11372" s="13" t="s">
        <v>20590</v>
      </c>
      <c r="F11372" s="43">
        <v>17585.099999999999</v>
      </c>
    </row>
    <row r="11373" spans="2:6" x14ac:dyDescent="0.25">
      <c r="B11373" s="13" t="s">
        <v>20591</v>
      </c>
      <c r="C11373" s="17" t="s">
        <v>170</v>
      </c>
      <c r="D11373" s="13" t="s">
        <v>118</v>
      </c>
      <c r="E11373" s="13" t="s">
        <v>20592</v>
      </c>
      <c r="F11373" s="43">
        <v>21414.880000000001</v>
      </c>
    </row>
    <row r="11374" spans="2:6" x14ac:dyDescent="0.25">
      <c r="B11374" s="13" t="s">
        <v>20593</v>
      </c>
      <c r="C11374" s="17" t="s">
        <v>170</v>
      </c>
      <c r="D11374" s="13" t="s">
        <v>118</v>
      </c>
      <c r="E11374" s="13" t="s">
        <v>20594</v>
      </c>
      <c r="F11374" s="43">
        <v>26128.35</v>
      </c>
    </row>
    <row r="11375" spans="2:6" x14ac:dyDescent="0.25">
      <c r="B11375" s="13" t="s">
        <v>20595</v>
      </c>
      <c r="C11375" s="17" t="s">
        <v>170</v>
      </c>
      <c r="D11375" s="13" t="s">
        <v>118</v>
      </c>
      <c r="E11375" s="13" t="s">
        <v>20596</v>
      </c>
      <c r="F11375" s="43">
        <v>28779.3</v>
      </c>
    </row>
    <row r="11376" spans="2:6" x14ac:dyDescent="0.25">
      <c r="B11376" s="13" t="s">
        <v>20597</v>
      </c>
      <c r="C11376" s="17" t="s">
        <v>170</v>
      </c>
      <c r="D11376" s="13" t="s">
        <v>118</v>
      </c>
      <c r="E11376" s="13" t="s">
        <v>20598</v>
      </c>
      <c r="F11376" s="43">
        <v>33243.08</v>
      </c>
    </row>
    <row r="11377" spans="2:6" x14ac:dyDescent="0.25">
      <c r="B11377" s="13" t="s">
        <v>20599</v>
      </c>
      <c r="C11377" s="17" t="s">
        <v>170</v>
      </c>
      <c r="D11377" s="13" t="s">
        <v>118</v>
      </c>
      <c r="E11377" s="13" t="s">
        <v>20600</v>
      </c>
      <c r="F11377" s="43">
        <v>626.54</v>
      </c>
    </row>
    <row r="11378" spans="2:6" x14ac:dyDescent="0.25">
      <c r="B11378" s="13" t="s">
        <v>20601</v>
      </c>
      <c r="C11378" s="17" t="s">
        <v>170</v>
      </c>
      <c r="D11378" s="13" t="s">
        <v>118</v>
      </c>
      <c r="E11378" s="13" t="s">
        <v>20602</v>
      </c>
      <c r="F11378" s="43">
        <v>660.85</v>
      </c>
    </row>
    <row r="11379" spans="2:6" x14ac:dyDescent="0.25">
      <c r="B11379" s="13" t="s">
        <v>20603</v>
      </c>
      <c r="C11379" s="17" t="s">
        <v>170</v>
      </c>
      <c r="D11379" s="13" t="s">
        <v>118</v>
      </c>
      <c r="E11379" s="13" t="s">
        <v>20604</v>
      </c>
      <c r="F11379" s="43">
        <v>703.88</v>
      </c>
    </row>
    <row r="11380" spans="2:6" x14ac:dyDescent="0.25">
      <c r="B11380" s="13" t="s">
        <v>20605</v>
      </c>
      <c r="C11380" s="17" t="s">
        <v>170</v>
      </c>
      <c r="D11380" s="13" t="s">
        <v>118</v>
      </c>
      <c r="E11380" s="13" t="s">
        <v>20606</v>
      </c>
      <c r="F11380" s="43">
        <v>788.45</v>
      </c>
    </row>
    <row r="11381" spans="2:6" x14ac:dyDescent="0.25">
      <c r="B11381" s="13" t="s">
        <v>20607</v>
      </c>
      <c r="C11381" s="17" t="s">
        <v>170</v>
      </c>
      <c r="D11381" s="13" t="s">
        <v>118</v>
      </c>
      <c r="E11381" s="13" t="s">
        <v>20608</v>
      </c>
      <c r="F11381" s="43">
        <v>1079.8</v>
      </c>
    </row>
    <row r="11382" spans="2:6" x14ac:dyDescent="0.25">
      <c r="B11382" s="13" t="s">
        <v>20609</v>
      </c>
      <c r="C11382" s="17" t="s">
        <v>170</v>
      </c>
      <c r="D11382" s="13" t="s">
        <v>118</v>
      </c>
      <c r="E11382" s="13" t="s">
        <v>20610</v>
      </c>
      <c r="F11382" s="43">
        <v>1313.66</v>
      </c>
    </row>
    <row r="11383" spans="2:6" x14ac:dyDescent="0.25">
      <c r="B11383" s="13" t="s">
        <v>20611</v>
      </c>
      <c r="C11383" s="17" t="s">
        <v>170</v>
      </c>
      <c r="D11383" s="13" t="s">
        <v>118</v>
      </c>
      <c r="E11383" s="13" t="s">
        <v>20612</v>
      </c>
      <c r="F11383" s="43">
        <v>2037.74</v>
      </c>
    </row>
    <row r="11384" spans="2:6" x14ac:dyDescent="0.25">
      <c r="B11384" s="13" t="s">
        <v>20613</v>
      </c>
      <c r="C11384" s="17" t="s">
        <v>170</v>
      </c>
      <c r="D11384" s="13" t="s">
        <v>118</v>
      </c>
      <c r="E11384" s="13" t="s">
        <v>20614</v>
      </c>
      <c r="F11384" s="43">
        <v>2692.27</v>
      </c>
    </row>
    <row r="11385" spans="2:6" x14ac:dyDescent="0.25">
      <c r="B11385" s="13" t="s">
        <v>20615</v>
      </c>
      <c r="C11385" s="17" t="s">
        <v>170</v>
      </c>
      <c r="D11385" s="13" t="s">
        <v>118</v>
      </c>
      <c r="E11385" s="13" t="s">
        <v>20616</v>
      </c>
      <c r="F11385" s="43">
        <v>3790.89</v>
      </c>
    </row>
    <row r="11386" spans="2:6" x14ac:dyDescent="0.25">
      <c r="B11386" s="13" t="s">
        <v>20617</v>
      </c>
      <c r="C11386" s="17" t="s">
        <v>170</v>
      </c>
      <c r="D11386" s="13" t="s">
        <v>118</v>
      </c>
      <c r="E11386" s="13" t="s">
        <v>20618</v>
      </c>
      <c r="F11386" s="43">
        <v>4484.8900000000003</v>
      </c>
    </row>
    <row r="11387" spans="2:6" x14ac:dyDescent="0.25">
      <c r="B11387" s="13" t="s">
        <v>20619</v>
      </c>
      <c r="C11387" s="17" t="s">
        <v>170</v>
      </c>
      <c r="D11387" s="13" t="s">
        <v>118</v>
      </c>
      <c r="E11387" s="13" t="s">
        <v>20620</v>
      </c>
      <c r="F11387" s="43">
        <v>5571</v>
      </c>
    </row>
    <row r="11388" spans="2:6" x14ac:dyDescent="0.25">
      <c r="B11388" s="13" t="s">
        <v>20621</v>
      </c>
      <c r="C11388" s="17" t="s">
        <v>170</v>
      </c>
      <c r="D11388" s="13" t="s">
        <v>118</v>
      </c>
      <c r="E11388" s="13" t="s">
        <v>20622</v>
      </c>
      <c r="F11388" s="43">
        <v>6786.78</v>
      </c>
    </row>
    <row r="11389" spans="2:6" x14ac:dyDescent="0.25">
      <c r="B11389" s="13" t="s">
        <v>20623</v>
      </c>
      <c r="C11389" s="17" t="s">
        <v>170</v>
      </c>
      <c r="D11389" s="13" t="s">
        <v>118</v>
      </c>
      <c r="E11389" s="13" t="s">
        <v>20624</v>
      </c>
      <c r="F11389" s="43">
        <v>8283.1200000000008</v>
      </c>
    </row>
    <row r="11390" spans="2:6" x14ac:dyDescent="0.25">
      <c r="B11390" s="13" t="s">
        <v>20625</v>
      </c>
      <c r="C11390" s="17" t="s">
        <v>170</v>
      </c>
      <c r="D11390" s="13" t="s">
        <v>118</v>
      </c>
      <c r="E11390" s="13" t="s">
        <v>20626</v>
      </c>
      <c r="F11390" s="43">
        <v>1477.18</v>
      </c>
    </row>
    <row r="11391" spans="2:6" x14ac:dyDescent="0.25">
      <c r="B11391" s="13" t="s">
        <v>20627</v>
      </c>
      <c r="C11391" s="17" t="s">
        <v>170</v>
      </c>
      <c r="D11391" s="13" t="s">
        <v>118</v>
      </c>
      <c r="E11391" s="13" t="s">
        <v>20628</v>
      </c>
      <c r="F11391" s="43">
        <v>1580.23</v>
      </c>
    </row>
    <row r="11392" spans="2:6" x14ac:dyDescent="0.25">
      <c r="B11392" s="13" t="s">
        <v>20629</v>
      </c>
      <c r="C11392" s="17" t="s">
        <v>170</v>
      </c>
      <c r="D11392" s="13" t="s">
        <v>118</v>
      </c>
      <c r="E11392" s="13" t="s">
        <v>20630</v>
      </c>
      <c r="F11392" s="43">
        <v>1709.21</v>
      </c>
    </row>
    <row r="11393" spans="2:6" x14ac:dyDescent="0.25">
      <c r="B11393" s="13" t="s">
        <v>20631</v>
      </c>
      <c r="C11393" s="17" t="s">
        <v>170</v>
      </c>
      <c r="D11393" s="13" t="s">
        <v>118</v>
      </c>
      <c r="E11393" s="13" t="s">
        <v>20632</v>
      </c>
      <c r="F11393" s="43">
        <v>1963.61</v>
      </c>
    </row>
    <row r="11394" spans="2:6" x14ac:dyDescent="0.25">
      <c r="B11394" s="13" t="s">
        <v>20633</v>
      </c>
      <c r="C11394" s="17" t="s">
        <v>170</v>
      </c>
      <c r="D11394" s="13" t="s">
        <v>118</v>
      </c>
      <c r="E11394" s="13" t="s">
        <v>20634</v>
      </c>
      <c r="F11394" s="43">
        <v>2836.97</v>
      </c>
    </row>
    <row r="11395" spans="2:6" x14ac:dyDescent="0.25">
      <c r="B11395" s="13" t="s">
        <v>20635</v>
      </c>
      <c r="C11395" s="17" t="s">
        <v>170</v>
      </c>
      <c r="D11395" s="13" t="s">
        <v>118</v>
      </c>
      <c r="E11395" s="13" t="s">
        <v>20636</v>
      </c>
      <c r="F11395" s="43">
        <v>3538.55</v>
      </c>
    </row>
    <row r="11396" spans="2:6" x14ac:dyDescent="0.25">
      <c r="B11396" s="13" t="s">
        <v>20637</v>
      </c>
      <c r="C11396" s="17" t="s">
        <v>170</v>
      </c>
      <c r="D11396" s="13" t="s">
        <v>118</v>
      </c>
      <c r="E11396" s="13" t="s">
        <v>20638</v>
      </c>
      <c r="F11396" s="43">
        <v>1635.31</v>
      </c>
    </row>
    <row r="11397" spans="2:6" x14ac:dyDescent="0.25">
      <c r="B11397" s="13" t="s">
        <v>20639</v>
      </c>
      <c r="C11397" s="17" t="s">
        <v>170</v>
      </c>
      <c r="D11397" s="13" t="s">
        <v>118</v>
      </c>
      <c r="E11397" s="13" t="s">
        <v>20640</v>
      </c>
      <c r="F11397" s="43">
        <v>7674.48</v>
      </c>
    </row>
    <row r="11398" spans="2:6" x14ac:dyDescent="0.25">
      <c r="B11398" s="13" t="s">
        <v>20641</v>
      </c>
      <c r="C11398" s="17" t="s">
        <v>170</v>
      </c>
      <c r="D11398" s="13" t="s">
        <v>118</v>
      </c>
      <c r="E11398" s="13" t="s">
        <v>20642</v>
      </c>
      <c r="F11398" s="43">
        <v>10969.19</v>
      </c>
    </row>
    <row r="11399" spans="2:6" x14ac:dyDescent="0.25">
      <c r="B11399" s="13" t="s">
        <v>20643</v>
      </c>
      <c r="C11399" s="17" t="s">
        <v>170</v>
      </c>
      <c r="D11399" s="13" t="s">
        <v>118</v>
      </c>
      <c r="E11399" s="13" t="s">
        <v>20644</v>
      </c>
      <c r="F11399" s="43">
        <v>13052.24</v>
      </c>
    </row>
    <row r="11400" spans="2:6" x14ac:dyDescent="0.25">
      <c r="B11400" s="13" t="s">
        <v>20645</v>
      </c>
      <c r="C11400" s="17" t="s">
        <v>170</v>
      </c>
      <c r="D11400" s="13" t="s">
        <v>118</v>
      </c>
      <c r="E11400" s="13" t="s">
        <v>20646</v>
      </c>
      <c r="F11400" s="43">
        <v>16310.57</v>
      </c>
    </row>
    <row r="11401" spans="2:6" x14ac:dyDescent="0.25">
      <c r="B11401" s="13" t="s">
        <v>20647</v>
      </c>
      <c r="C11401" s="17" t="s">
        <v>170</v>
      </c>
      <c r="D11401" s="13" t="s">
        <v>118</v>
      </c>
      <c r="E11401" s="13" t="s">
        <v>20648</v>
      </c>
      <c r="F11401" s="43">
        <v>19958.009999999998</v>
      </c>
    </row>
    <row r="11402" spans="2:6" x14ac:dyDescent="0.25">
      <c r="B11402" s="13" t="s">
        <v>20649</v>
      </c>
      <c r="C11402" s="17" t="s">
        <v>170</v>
      </c>
      <c r="D11402" s="13" t="s">
        <v>118</v>
      </c>
      <c r="E11402" s="13" t="s">
        <v>20650</v>
      </c>
      <c r="F11402" s="43">
        <v>24447.03</v>
      </c>
    </row>
    <row r="11403" spans="2:6" x14ac:dyDescent="0.25">
      <c r="B11403" s="13" t="s">
        <v>20651</v>
      </c>
      <c r="C11403" s="17" t="s">
        <v>170</v>
      </c>
      <c r="D11403" s="13" t="s">
        <v>118</v>
      </c>
      <c r="E11403" s="13" t="s">
        <v>20652</v>
      </c>
      <c r="F11403" s="43">
        <v>670.26</v>
      </c>
    </row>
    <row r="11404" spans="2:6" x14ac:dyDescent="0.25">
      <c r="B11404" s="13" t="s">
        <v>20653</v>
      </c>
      <c r="C11404" s="17" t="s">
        <v>170</v>
      </c>
      <c r="D11404" s="13" t="s">
        <v>118</v>
      </c>
      <c r="E11404" s="13" t="s">
        <v>20654</v>
      </c>
      <c r="F11404" s="43">
        <v>750.47</v>
      </c>
    </row>
    <row r="11405" spans="2:6" x14ac:dyDescent="0.25">
      <c r="B11405" s="13" t="s">
        <v>20655</v>
      </c>
      <c r="C11405" s="17" t="s">
        <v>170</v>
      </c>
      <c r="D11405" s="13" t="s">
        <v>118</v>
      </c>
      <c r="E11405" s="13" t="s">
        <v>20656</v>
      </c>
      <c r="F11405" s="43">
        <v>842.61</v>
      </c>
    </row>
    <row r="11406" spans="2:6" x14ac:dyDescent="0.25">
      <c r="B11406" s="13" t="s">
        <v>20657</v>
      </c>
      <c r="C11406" s="17" t="s">
        <v>170</v>
      </c>
      <c r="D11406" s="13" t="s">
        <v>118</v>
      </c>
      <c r="E11406" s="13" t="s">
        <v>20658</v>
      </c>
      <c r="F11406" s="43">
        <v>1060.29</v>
      </c>
    </row>
    <row r="11407" spans="2:6" x14ac:dyDescent="0.25">
      <c r="B11407" s="13" t="s">
        <v>20659</v>
      </c>
      <c r="C11407" s="17" t="s">
        <v>170</v>
      </c>
      <c r="D11407" s="13" t="s">
        <v>118</v>
      </c>
      <c r="E11407" s="13" t="s">
        <v>20660</v>
      </c>
      <c r="F11407" s="43">
        <v>1464.67</v>
      </c>
    </row>
    <row r="11408" spans="2:6" x14ac:dyDescent="0.25">
      <c r="B11408" s="13" t="s">
        <v>20661</v>
      </c>
      <c r="C11408" s="17" t="s">
        <v>170</v>
      </c>
      <c r="D11408" s="13" t="s">
        <v>118</v>
      </c>
      <c r="E11408" s="13" t="s">
        <v>20662</v>
      </c>
      <c r="F11408" s="43">
        <v>1856.77</v>
      </c>
    </row>
    <row r="11409" spans="2:6" x14ac:dyDescent="0.25">
      <c r="B11409" s="13" t="s">
        <v>20663</v>
      </c>
      <c r="C11409" s="17" t="s">
        <v>170</v>
      </c>
      <c r="D11409" s="13" t="s">
        <v>118</v>
      </c>
      <c r="E11409" s="13" t="s">
        <v>20664</v>
      </c>
      <c r="F11409" s="43">
        <v>2774.09</v>
      </c>
    </row>
    <row r="11410" spans="2:6" x14ac:dyDescent="0.25">
      <c r="B11410" s="13" t="s">
        <v>20665</v>
      </c>
      <c r="C11410" s="17" t="s">
        <v>170</v>
      </c>
      <c r="D11410" s="13" t="s">
        <v>118</v>
      </c>
      <c r="E11410" s="13" t="s">
        <v>20666</v>
      </c>
      <c r="F11410" s="43">
        <v>3620.14</v>
      </c>
    </row>
    <row r="11411" spans="2:6" x14ac:dyDescent="0.25">
      <c r="B11411" s="13" t="s">
        <v>20667</v>
      </c>
      <c r="C11411" s="17" t="s">
        <v>170</v>
      </c>
      <c r="D11411" s="13" t="s">
        <v>118</v>
      </c>
      <c r="E11411" s="13" t="s">
        <v>20668</v>
      </c>
      <c r="F11411" s="43">
        <v>5328.88</v>
      </c>
    </row>
    <row r="11412" spans="2:6" x14ac:dyDescent="0.25">
      <c r="B11412" s="13" t="s">
        <v>20669</v>
      </c>
      <c r="C11412" s="17" t="s">
        <v>170</v>
      </c>
      <c r="D11412" s="13" t="s">
        <v>118</v>
      </c>
      <c r="E11412" s="13" t="s">
        <v>20670</v>
      </c>
      <c r="F11412" s="43">
        <v>6329.61</v>
      </c>
    </row>
    <row r="11413" spans="2:6" x14ac:dyDescent="0.25">
      <c r="B11413" s="13" t="s">
        <v>20671</v>
      </c>
      <c r="C11413" s="17" t="s">
        <v>170</v>
      </c>
      <c r="D11413" s="13" t="s">
        <v>118</v>
      </c>
      <c r="E11413" s="13" t="s">
        <v>20672</v>
      </c>
      <c r="F11413" s="43">
        <v>7939.56</v>
      </c>
    </row>
    <row r="11414" spans="2:6" x14ac:dyDescent="0.25">
      <c r="B11414" s="13" t="s">
        <v>20673</v>
      </c>
      <c r="C11414" s="17" t="s">
        <v>170</v>
      </c>
      <c r="D11414" s="13" t="s">
        <v>118</v>
      </c>
      <c r="E11414" s="13" t="s">
        <v>20674</v>
      </c>
      <c r="F11414" s="43">
        <v>9487.8799999999992</v>
      </c>
    </row>
    <row r="11415" spans="2:6" x14ac:dyDescent="0.25">
      <c r="B11415" s="13" t="s">
        <v>20675</v>
      </c>
      <c r="C11415" s="17" t="s">
        <v>170</v>
      </c>
      <c r="D11415" s="13" t="s">
        <v>118</v>
      </c>
      <c r="E11415" s="13" t="s">
        <v>20676</v>
      </c>
      <c r="F11415" s="43">
        <v>11557.4</v>
      </c>
    </row>
    <row r="11416" spans="2:6" x14ac:dyDescent="0.25">
      <c r="B11416" s="13" t="s">
        <v>20677</v>
      </c>
      <c r="C11416" s="17" t="s">
        <v>170</v>
      </c>
      <c r="D11416" s="13" t="s">
        <v>118</v>
      </c>
      <c r="E11416" s="13" t="s">
        <v>20678</v>
      </c>
      <c r="F11416" s="43">
        <v>23064.75</v>
      </c>
    </row>
    <row r="11417" spans="2:6" x14ac:dyDescent="0.25">
      <c r="B11417" s="13" t="s">
        <v>20679</v>
      </c>
      <c r="C11417" s="17" t="s">
        <v>170</v>
      </c>
      <c r="D11417" s="13" t="s">
        <v>118</v>
      </c>
      <c r="E11417" s="13" t="s">
        <v>20680</v>
      </c>
      <c r="F11417" s="43">
        <v>1139.3599999999999</v>
      </c>
    </row>
    <row r="11418" spans="2:6" x14ac:dyDescent="0.25">
      <c r="B11418" s="13" t="s">
        <v>20681</v>
      </c>
      <c r="C11418" s="17" t="s">
        <v>170</v>
      </c>
      <c r="D11418" s="13" t="s">
        <v>118</v>
      </c>
      <c r="E11418" s="13" t="s">
        <v>20682</v>
      </c>
      <c r="F11418" s="43">
        <v>1299.78</v>
      </c>
    </row>
    <row r="11419" spans="2:6" x14ac:dyDescent="0.25">
      <c r="B11419" s="13" t="s">
        <v>20683</v>
      </c>
      <c r="C11419" s="17" t="s">
        <v>170</v>
      </c>
      <c r="D11419" s="13" t="s">
        <v>118</v>
      </c>
      <c r="E11419" s="13" t="s">
        <v>20684</v>
      </c>
      <c r="F11419" s="43">
        <v>2113.0100000000002</v>
      </c>
    </row>
    <row r="11420" spans="2:6" x14ac:dyDescent="0.25">
      <c r="B11420" s="13" t="s">
        <v>20685</v>
      </c>
      <c r="C11420" s="17" t="s">
        <v>170</v>
      </c>
      <c r="D11420" s="13" t="s">
        <v>118</v>
      </c>
      <c r="E11420" s="13" t="s">
        <v>20686</v>
      </c>
      <c r="F11420" s="43">
        <v>1919.43</v>
      </c>
    </row>
    <row r="11421" spans="2:6" x14ac:dyDescent="0.25">
      <c r="B11421" s="13" t="s">
        <v>20687</v>
      </c>
      <c r="C11421" s="17" t="s">
        <v>170</v>
      </c>
      <c r="D11421" s="13" t="s">
        <v>118</v>
      </c>
      <c r="E11421" s="13" t="s">
        <v>20688</v>
      </c>
      <c r="F11421" s="43">
        <v>2728.07</v>
      </c>
    </row>
    <row r="11422" spans="2:6" x14ac:dyDescent="0.25">
      <c r="B11422" s="13" t="s">
        <v>20689</v>
      </c>
      <c r="C11422" s="17" t="s">
        <v>170</v>
      </c>
      <c r="D11422" s="13" t="s">
        <v>118</v>
      </c>
      <c r="E11422" s="13" t="s">
        <v>20690</v>
      </c>
      <c r="F11422" s="43">
        <v>3512.27</v>
      </c>
    </row>
    <row r="11423" spans="2:6" x14ac:dyDescent="0.25">
      <c r="B11423" s="13" t="s">
        <v>20691</v>
      </c>
      <c r="C11423" s="17" t="s">
        <v>170</v>
      </c>
      <c r="D11423" s="13" t="s">
        <v>118</v>
      </c>
      <c r="E11423" s="13" t="s">
        <v>20692</v>
      </c>
      <c r="F11423" s="43">
        <v>5347.01</v>
      </c>
    </row>
    <row r="11424" spans="2:6" x14ac:dyDescent="0.25">
      <c r="B11424" s="13" t="s">
        <v>20693</v>
      </c>
      <c r="C11424" s="17" t="s">
        <v>170</v>
      </c>
      <c r="D11424" s="13" t="s">
        <v>118</v>
      </c>
      <c r="E11424" s="13" t="s">
        <v>20694</v>
      </c>
      <c r="F11424" s="43">
        <v>7039.11</v>
      </c>
    </row>
    <row r="11425" spans="2:6" x14ac:dyDescent="0.25">
      <c r="B11425" s="13" t="s">
        <v>20695</v>
      </c>
      <c r="C11425" s="17" t="s">
        <v>170</v>
      </c>
      <c r="D11425" s="13" t="s">
        <v>118</v>
      </c>
      <c r="E11425" s="13" t="s">
        <v>20696</v>
      </c>
      <c r="F11425" s="43">
        <v>10456.6</v>
      </c>
    </row>
    <row r="11426" spans="2:6" x14ac:dyDescent="0.25">
      <c r="B11426" s="13" t="s">
        <v>20697</v>
      </c>
      <c r="C11426" s="17" t="s">
        <v>170</v>
      </c>
      <c r="D11426" s="13" t="s">
        <v>118</v>
      </c>
      <c r="E11426" s="13" t="s">
        <v>20698</v>
      </c>
      <c r="F11426" s="43">
        <v>12457.95</v>
      </c>
    </row>
    <row r="11427" spans="2:6" x14ac:dyDescent="0.25">
      <c r="B11427" s="13" t="s">
        <v>20699</v>
      </c>
      <c r="C11427" s="17" t="s">
        <v>170</v>
      </c>
      <c r="D11427" s="13" t="s">
        <v>118</v>
      </c>
      <c r="E11427" s="13" t="s">
        <v>20700</v>
      </c>
      <c r="F11427" s="43">
        <v>15677.84</v>
      </c>
    </row>
    <row r="11428" spans="2:6" x14ac:dyDescent="0.25">
      <c r="B11428" s="13" t="s">
        <v>20701</v>
      </c>
      <c r="C11428" s="17" t="s">
        <v>170</v>
      </c>
      <c r="D11428" s="13" t="s">
        <v>118</v>
      </c>
      <c r="E11428" s="13" t="s">
        <v>20702</v>
      </c>
      <c r="F11428" s="43">
        <v>18774.599999999999</v>
      </c>
    </row>
    <row r="11429" spans="2:6" x14ac:dyDescent="0.25">
      <c r="B11429" s="13" t="s">
        <v>20703</v>
      </c>
      <c r="C11429" s="17" t="s">
        <v>170</v>
      </c>
      <c r="D11429" s="13" t="s">
        <v>118</v>
      </c>
      <c r="E11429" s="13" t="s">
        <v>20704</v>
      </c>
      <c r="F11429" s="43">
        <v>22913.63</v>
      </c>
    </row>
    <row r="11430" spans="2:6" x14ac:dyDescent="0.25">
      <c r="B11430" s="13" t="s">
        <v>20705</v>
      </c>
      <c r="C11430" s="17" t="s">
        <v>170</v>
      </c>
      <c r="D11430" s="13" t="s">
        <v>118</v>
      </c>
      <c r="E11430" s="13" t="s">
        <v>20706</v>
      </c>
      <c r="F11430" s="43">
        <v>39015</v>
      </c>
    </row>
    <row r="11431" spans="2:6" x14ac:dyDescent="0.25">
      <c r="B11431" s="13" t="s">
        <v>20707</v>
      </c>
      <c r="C11431" s="17" t="s">
        <v>170</v>
      </c>
      <c r="D11431" s="13" t="s">
        <v>118</v>
      </c>
      <c r="E11431" s="13" t="s">
        <v>20708</v>
      </c>
      <c r="F11431" s="43">
        <v>2111.29</v>
      </c>
    </row>
    <row r="11432" spans="2:6" x14ac:dyDescent="0.25">
      <c r="B11432" s="13" t="s">
        <v>20709</v>
      </c>
      <c r="C11432" s="17" t="s">
        <v>170</v>
      </c>
      <c r="D11432" s="13" t="s">
        <v>118</v>
      </c>
      <c r="E11432" s="13" t="s">
        <v>20710</v>
      </c>
      <c r="F11432" s="43">
        <v>2364.08</v>
      </c>
    </row>
    <row r="11433" spans="2:6" x14ac:dyDescent="0.25">
      <c r="B11433" s="13" t="s">
        <v>20711</v>
      </c>
      <c r="C11433" s="17" t="s">
        <v>170</v>
      </c>
      <c r="D11433" s="13" t="s">
        <v>118</v>
      </c>
      <c r="E11433" s="13" t="s">
        <v>20712</v>
      </c>
      <c r="F11433" s="43">
        <v>2654.4</v>
      </c>
    </row>
    <row r="11434" spans="2:6" x14ac:dyDescent="0.25">
      <c r="B11434" s="13" t="s">
        <v>20713</v>
      </c>
      <c r="C11434" s="17" t="s">
        <v>170</v>
      </c>
      <c r="D11434" s="13" t="s">
        <v>118</v>
      </c>
      <c r="E11434" s="13" t="s">
        <v>20714</v>
      </c>
      <c r="F11434" s="43">
        <v>3339.92</v>
      </c>
    </row>
    <row r="11435" spans="2:6" x14ac:dyDescent="0.25">
      <c r="B11435" s="13" t="s">
        <v>20715</v>
      </c>
      <c r="C11435" s="17" t="s">
        <v>170</v>
      </c>
      <c r="D11435" s="13" t="s">
        <v>118</v>
      </c>
      <c r="E11435" s="13" t="s">
        <v>20716</v>
      </c>
      <c r="F11435" s="43">
        <v>4613.6400000000003</v>
      </c>
    </row>
    <row r="11436" spans="2:6" x14ac:dyDescent="0.25">
      <c r="B11436" s="13" t="s">
        <v>20717</v>
      </c>
      <c r="C11436" s="17" t="s">
        <v>170</v>
      </c>
      <c r="D11436" s="13" t="s">
        <v>118</v>
      </c>
      <c r="E11436" s="13" t="s">
        <v>20718</v>
      </c>
      <c r="F11436" s="43">
        <v>5848.7</v>
      </c>
    </row>
    <row r="11437" spans="2:6" x14ac:dyDescent="0.25">
      <c r="B11437" s="13" t="s">
        <v>20719</v>
      </c>
      <c r="C11437" s="17" t="s">
        <v>170</v>
      </c>
      <c r="D11437" s="13" t="s">
        <v>118</v>
      </c>
      <c r="E11437" s="13" t="s">
        <v>20720</v>
      </c>
      <c r="F11437" s="43">
        <v>8738.4500000000007</v>
      </c>
    </row>
    <row r="11438" spans="2:6" x14ac:dyDescent="0.25">
      <c r="B11438" s="13" t="s">
        <v>20721</v>
      </c>
      <c r="C11438" s="17" t="s">
        <v>170</v>
      </c>
      <c r="D11438" s="13" t="s">
        <v>118</v>
      </c>
      <c r="E11438" s="13" t="s">
        <v>20722</v>
      </c>
      <c r="F11438" s="43">
        <v>11403.52</v>
      </c>
    </row>
    <row r="11439" spans="2:6" x14ac:dyDescent="0.25">
      <c r="B11439" s="13" t="s">
        <v>20723</v>
      </c>
      <c r="C11439" s="17" t="s">
        <v>170</v>
      </c>
      <c r="D11439" s="13" t="s">
        <v>118</v>
      </c>
      <c r="E11439" s="13" t="s">
        <v>20724</v>
      </c>
      <c r="F11439" s="43">
        <v>16786.09</v>
      </c>
    </row>
    <row r="11440" spans="2:6" x14ac:dyDescent="0.25">
      <c r="B11440" s="13" t="s">
        <v>20725</v>
      </c>
      <c r="C11440" s="17" t="s">
        <v>170</v>
      </c>
      <c r="D11440" s="13" t="s">
        <v>118</v>
      </c>
      <c r="E11440" s="13" t="s">
        <v>20726</v>
      </c>
      <c r="F11440" s="43">
        <v>19938.16</v>
      </c>
    </row>
    <row r="11441" spans="2:6" x14ac:dyDescent="0.25">
      <c r="B11441" s="13" t="s">
        <v>20727</v>
      </c>
      <c r="C11441" s="17" t="s">
        <v>170</v>
      </c>
      <c r="D11441" s="13" t="s">
        <v>118</v>
      </c>
      <c r="E11441" s="13" t="s">
        <v>20728</v>
      </c>
      <c r="F11441" s="43">
        <v>25009.42</v>
      </c>
    </row>
    <row r="11442" spans="2:6" x14ac:dyDescent="0.25">
      <c r="B11442" s="13" t="s">
        <v>20729</v>
      </c>
      <c r="C11442" s="17" t="s">
        <v>170</v>
      </c>
      <c r="D11442" s="13" t="s">
        <v>118</v>
      </c>
      <c r="E11442" s="13" t="s">
        <v>20730</v>
      </c>
      <c r="F11442" s="43">
        <v>29886.99</v>
      </c>
    </row>
    <row r="11443" spans="2:6" x14ac:dyDescent="0.25">
      <c r="B11443" s="13" t="s">
        <v>20731</v>
      </c>
      <c r="C11443" s="17" t="s">
        <v>170</v>
      </c>
      <c r="D11443" s="13" t="s">
        <v>118</v>
      </c>
      <c r="E11443" s="13" t="s">
        <v>20732</v>
      </c>
      <c r="F11443" s="43">
        <v>36405.82</v>
      </c>
    </row>
    <row r="11444" spans="2:6" x14ac:dyDescent="0.25">
      <c r="B11444" s="13" t="s">
        <v>20733</v>
      </c>
      <c r="C11444" s="17" t="s">
        <v>170</v>
      </c>
      <c r="D11444" s="13" t="s">
        <v>118</v>
      </c>
      <c r="E11444" s="13" t="s">
        <v>20734</v>
      </c>
      <c r="F11444" s="43">
        <v>47116.35</v>
      </c>
    </row>
    <row r="11445" spans="2:6" x14ac:dyDescent="0.25">
      <c r="B11445" s="13" t="s">
        <v>20735</v>
      </c>
      <c r="C11445" s="17" t="s">
        <v>170</v>
      </c>
      <c r="D11445" s="13" t="s">
        <v>118</v>
      </c>
      <c r="E11445" s="13" t="s">
        <v>20736</v>
      </c>
      <c r="F11445" s="43">
        <v>2570.29</v>
      </c>
    </row>
    <row r="11446" spans="2:6" x14ac:dyDescent="0.25">
      <c r="B11446" s="13" t="s">
        <v>20737</v>
      </c>
      <c r="C11446" s="17" t="s">
        <v>170</v>
      </c>
      <c r="D11446" s="13" t="s">
        <v>118</v>
      </c>
      <c r="E11446" s="13" t="s">
        <v>20738</v>
      </c>
      <c r="F11446" s="43">
        <v>2823.08</v>
      </c>
    </row>
    <row r="11447" spans="2:6" x14ac:dyDescent="0.25">
      <c r="B11447" s="13" t="s">
        <v>20739</v>
      </c>
      <c r="C11447" s="17" t="s">
        <v>170</v>
      </c>
      <c r="D11447" s="13" t="s">
        <v>118</v>
      </c>
      <c r="E11447" s="13" t="s">
        <v>20740</v>
      </c>
      <c r="F11447" s="43">
        <v>3113.4</v>
      </c>
    </row>
    <row r="11448" spans="2:6" x14ac:dyDescent="0.25">
      <c r="B11448" s="13" t="s">
        <v>20741</v>
      </c>
      <c r="C11448" s="17" t="s">
        <v>170</v>
      </c>
      <c r="D11448" s="13" t="s">
        <v>118</v>
      </c>
      <c r="E11448" s="13" t="s">
        <v>20742</v>
      </c>
      <c r="F11448" s="43">
        <v>3798.92</v>
      </c>
    </row>
    <row r="11449" spans="2:6" x14ac:dyDescent="0.25">
      <c r="B11449" s="13" t="s">
        <v>20743</v>
      </c>
      <c r="C11449" s="17" t="s">
        <v>170</v>
      </c>
      <c r="D11449" s="13" t="s">
        <v>118</v>
      </c>
      <c r="E11449" s="13" t="s">
        <v>20744</v>
      </c>
      <c r="F11449" s="43">
        <v>5072.6400000000003</v>
      </c>
    </row>
    <row r="11450" spans="2:6" x14ac:dyDescent="0.25">
      <c r="B11450" s="13" t="s">
        <v>20745</v>
      </c>
      <c r="C11450" s="17" t="s">
        <v>170</v>
      </c>
      <c r="D11450" s="13" t="s">
        <v>118</v>
      </c>
      <c r="E11450" s="13" t="s">
        <v>20746</v>
      </c>
      <c r="F11450" s="43">
        <v>6307.7</v>
      </c>
    </row>
    <row r="11451" spans="2:6" x14ac:dyDescent="0.25">
      <c r="B11451" s="13" t="s">
        <v>20747</v>
      </c>
      <c r="C11451" s="17" t="s">
        <v>170</v>
      </c>
      <c r="D11451" s="13" t="s">
        <v>118</v>
      </c>
      <c r="E11451" s="13" t="s">
        <v>20748</v>
      </c>
      <c r="F11451" s="43">
        <v>9197.4500000000007</v>
      </c>
    </row>
    <row r="11452" spans="2:6" x14ac:dyDescent="0.25">
      <c r="B11452" s="13" t="s">
        <v>20749</v>
      </c>
      <c r="C11452" s="17" t="s">
        <v>170</v>
      </c>
      <c r="D11452" s="13" t="s">
        <v>118</v>
      </c>
      <c r="E11452" s="13" t="s">
        <v>20750</v>
      </c>
      <c r="F11452" s="43">
        <v>11862.52</v>
      </c>
    </row>
    <row r="11453" spans="2:6" x14ac:dyDescent="0.25">
      <c r="B11453" s="13" t="s">
        <v>20751</v>
      </c>
      <c r="C11453" s="17" t="s">
        <v>170</v>
      </c>
      <c r="D11453" s="13" t="s">
        <v>118</v>
      </c>
      <c r="E11453" s="13" t="s">
        <v>20752</v>
      </c>
      <c r="F11453" s="43">
        <v>17245.09</v>
      </c>
    </row>
    <row r="11454" spans="2:6" x14ac:dyDescent="0.25">
      <c r="B11454" s="13" t="s">
        <v>20753</v>
      </c>
      <c r="C11454" s="17" t="s">
        <v>170</v>
      </c>
      <c r="D11454" s="13" t="s">
        <v>118</v>
      </c>
      <c r="E11454" s="13" t="s">
        <v>20754</v>
      </c>
      <c r="F11454" s="43">
        <v>20397.16</v>
      </c>
    </row>
    <row r="11455" spans="2:6" x14ac:dyDescent="0.25">
      <c r="B11455" s="13" t="s">
        <v>20755</v>
      </c>
      <c r="C11455" s="17" t="s">
        <v>170</v>
      </c>
      <c r="D11455" s="13" t="s">
        <v>118</v>
      </c>
      <c r="E11455" s="13" t="s">
        <v>20756</v>
      </c>
      <c r="F11455" s="43">
        <v>25468.42</v>
      </c>
    </row>
    <row r="11456" spans="2:6" x14ac:dyDescent="0.25">
      <c r="B11456" s="13" t="s">
        <v>20757</v>
      </c>
      <c r="C11456" s="17" t="s">
        <v>170</v>
      </c>
      <c r="D11456" s="13" t="s">
        <v>118</v>
      </c>
      <c r="E11456" s="13" t="s">
        <v>20758</v>
      </c>
      <c r="F11456" s="43">
        <v>30345.99</v>
      </c>
    </row>
    <row r="11457" spans="2:6" x14ac:dyDescent="0.25">
      <c r="B11457" s="13" t="s">
        <v>20759</v>
      </c>
      <c r="C11457" s="17" t="s">
        <v>170</v>
      </c>
      <c r="D11457" s="13" t="s">
        <v>118</v>
      </c>
      <c r="E11457" s="13" t="s">
        <v>20760</v>
      </c>
      <c r="F11457" s="43">
        <v>36864.82</v>
      </c>
    </row>
    <row r="11458" spans="2:6" x14ac:dyDescent="0.25">
      <c r="B11458" s="13" t="s">
        <v>20761</v>
      </c>
      <c r="C11458" s="17" t="s">
        <v>170</v>
      </c>
      <c r="D11458" s="13" t="s">
        <v>118</v>
      </c>
      <c r="E11458" s="13" t="s">
        <v>20762</v>
      </c>
      <c r="F11458" s="43">
        <v>39106.800000000003</v>
      </c>
    </row>
    <row r="11459" spans="2:6" x14ac:dyDescent="0.25">
      <c r="B11459" s="13" t="s">
        <v>20763</v>
      </c>
      <c r="C11459" s="17" t="s">
        <v>170</v>
      </c>
      <c r="D11459" s="13" t="s">
        <v>118</v>
      </c>
      <c r="E11459" s="13" t="s">
        <v>20764</v>
      </c>
      <c r="F11459" s="43">
        <v>43432.88</v>
      </c>
    </row>
    <row r="11460" spans="2:6" x14ac:dyDescent="0.25">
      <c r="B11460" s="13" t="s">
        <v>20765</v>
      </c>
      <c r="C11460" s="17" t="s">
        <v>170</v>
      </c>
      <c r="D11460" s="13" t="s">
        <v>118</v>
      </c>
      <c r="E11460" s="13" t="s">
        <v>20766</v>
      </c>
      <c r="F11460" s="43">
        <v>670.26</v>
      </c>
    </row>
    <row r="11461" spans="2:6" x14ac:dyDescent="0.25">
      <c r="B11461" s="13" t="s">
        <v>20767</v>
      </c>
      <c r="C11461" s="17" t="s">
        <v>170</v>
      </c>
      <c r="D11461" s="13" t="s">
        <v>118</v>
      </c>
      <c r="E11461" s="13" t="s">
        <v>20768</v>
      </c>
      <c r="F11461" s="43">
        <v>750.47</v>
      </c>
    </row>
    <row r="11462" spans="2:6" x14ac:dyDescent="0.25">
      <c r="B11462" s="13" t="s">
        <v>20769</v>
      </c>
      <c r="C11462" s="17" t="s">
        <v>170</v>
      </c>
      <c r="D11462" s="13" t="s">
        <v>118</v>
      </c>
      <c r="E11462" s="13" t="s">
        <v>20770</v>
      </c>
      <c r="F11462" s="43">
        <v>842.61</v>
      </c>
    </row>
    <row r="11463" spans="2:6" x14ac:dyDescent="0.25">
      <c r="B11463" s="13" t="s">
        <v>20771</v>
      </c>
      <c r="C11463" s="17" t="s">
        <v>170</v>
      </c>
      <c r="D11463" s="13" t="s">
        <v>118</v>
      </c>
      <c r="E11463" s="13" t="s">
        <v>20772</v>
      </c>
      <c r="F11463" s="43">
        <v>1060.29</v>
      </c>
    </row>
    <row r="11464" spans="2:6" x14ac:dyDescent="0.25">
      <c r="B11464" s="13" t="s">
        <v>20773</v>
      </c>
      <c r="C11464" s="17" t="s">
        <v>170</v>
      </c>
      <c r="D11464" s="13" t="s">
        <v>118</v>
      </c>
      <c r="E11464" s="13" t="s">
        <v>20774</v>
      </c>
      <c r="F11464" s="43">
        <v>1464.67</v>
      </c>
    </row>
    <row r="11465" spans="2:6" x14ac:dyDescent="0.25">
      <c r="B11465" s="13" t="s">
        <v>20775</v>
      </c>
      <c r="C11465" s="17" t="s">
        <v>170</v>
      </c>
      <c r="D11465" s="13" t="s">
        <v>118</v>
      </c>
      <c r="E11465" s="13" t="s">
        <v>20776</v>
      </c>
      <c r="F11465" s="43">
        <v>1856.77</v>
      </c>
    </row>
    <row r="11466" spans="2:6" x14ac:dyDescent="0.25">
      <c r="B11466" s="13" t="s">
        <v>20777</v>
      </c>
      <c r="C11466" s="17" t="s">
        <v>170</v>
      </c>
      <c r="D11466" s="13" t="s">
        <v>118</v>
      </c>
      <c r="E11466" s="13" t="s">
        <v>20778</v>
      </c>
      <c r="F11466" s="43">
        <v>2774.09</v>
      </c>
    </row>
    <row r="11467" spans="2:6" x14ac:dyDescent="0.25">
      <c r="B11467" s="13" t="s">
        <v>20779</v>
      </c>
      <c r="C11467" s="17" t="s">
        <v>170</v>
      </c>
      <c r="D11467" s="13" t="s">
        <v>118</v>
      </c>
      <c r="E11467" s="13" t="s">
        <v>20780</v>
      </c>
      <c r="F11467" s="43">
        <v>3620.14</v>
      </c>
    </row>
    <row r="11468" spans="2:6" x14ac:dyDescent="0.25">
      <c r="B11468" s="13" t="s">
        <v>20781</v>
      </c>
      <c r="C11468" s="17" t="s">
        <v>170</v>
      </c>
      <c r="D11468" s="13" t="s">
        <v>118</v>
      </c>
      <c r="E11468" s="13" t="s">
        <v>20782</v>
      </c>
      <c r="F11468" s="43">
        <v>5328.88</v>
      </c>
    </row>
    <row r="11469" spans="2:6" x14ac:dyDescent="0.25">
      <c r="B11469" s="13" t="s">
        <v>20783</v>
      </c>
      <c r="C11469" s="17" t="s">
        <v>170</v>
      </c>
      <c r="D11469" s="13" t="s">
        <v>118</v>
      </c>
      <c r="E11469" s="13" t="s">
        <v>20784</v>
      </c>
      <c r="F11469" s="43">
        <v>6329.61</v>
      </c>
    </row>
    <row r="11470" spans="2:6" x14ac:dyDescent="0.25">
      <c r="B11470" s="13" t="s">
        <v>20785</v>
      </c>
      <c r="C11470" s="17" t="s">
        <v>170</v>
      </c>
      <c r="D11470" s="13" t="s">
        <v>118</v>
      </c>
      <c r="E11470" s="13" t="s">
        <v>20786</v>
      </c>
      <c r="F11470" s="43">
        <v>7939.56</v>
      </c>
    </row>
    <row r="11471" spans="2:6" x14ac:dyDescent="0.25">
      <c r="B11471" s="13" t="s">
        <v>20787</v>
      </c>
      <c r="C11471" s="17" t="s">
        <v>170</v>
      </c>
      <c r="D11471" s="13" t="s">
        <v>118</v>
      </c>
      <c r="E11471" s="13" t="s">
        <v>20788</v>
      </c>
      <c r="F11471" s="43">
        <v>9487.8799999999992</v>
      </c>
    </row>
    <row r="11472" spans="2:6" x14ac:dyDescent="0.25">
      <c r="B11472" s="13" t="s">
        <v>20789</v>
      </c>
      <c r="C11472" s="17" t="s">
        <v>170</v>
      </c>
      <c r="D11472" s="13" t="s">
        <v>118</v>
      </c>
      <c r="E11472" s="13" t="s">
        <v>20790</v>
      </c>
      <c r="F11472" s="43">
        <v>11557.4</v>
      </c>
    </row>
    <row r="11473" spans="2:6" x14ac:dyDescent="0.25">
      <c r="B11473" s="13" t="s">
        <v>20791</v>
      </c>
      <c r="C11473" s="17" t="s">
        <v>170</v>
      </c>
      <c r="D11473" s="13" t="s">
        <v>118</v>
      </c>
      <c r="E11473" s="13" t="s">
        <v>20792</v>
      </c>
      <c r="F11473" s="43">
        <v>2010.77</v>
      </c>
    </row>
    <row r="11474" spans="2:6" x14ac:dyDescent="0.25">
      <c r="B11474" s="13" t="s">
        <v>20793</v>
      </c>
      <c r="C11474" s="17" t="s">
        <v>170</v>
      </c>
      <c r="D11474" s="13" t="s">
        <v>118</v>
      </c>
      <c r="E11474" s="13" t="s">
        <v>20794</v>
      </c>
      <c r="F11474" s="43">
        <v>2251.5100000000002</v>
      </c>
    </row>
    <row r="11475" spans="2:6" x14ac:dyDescent="0.25">
      <c r="B11475" s="13" t="s">
        <v>20795</v>
      </c>
      <c r="C11475" s="17" t="s">
        <v>170</v>
      </c>
      <c r="D11475" s="13" t="s">
        <v>118</v>
      </c>
      <c r="E11475" s="13" t="s">
        <v>20796</v>
      </c>
      <c r="F11475" s="43">
        <v>3180.87</v>
      </c>
    </row>
    <row r="11476" spans="2:6" x14ac:dyDescent="0.25">
      <c r="B11476" s="13" t="s">
        <v>20797</v>
      </c>
      <c r="C11476" s="17" t="s">
        <v>170</v>
      </c>
      <c r="D11476" s="13" t="s">
        <v>118</v>
      </c>
      <c r="E11476" s="13" t="s">
        <v>20798</v>
      </c>
      <c r="F11476" s="43">
        <v>4393.8999999999996</v>
      </c>
    </row>
    <row r="11477" spans="2:6" x14ac:dyDescent="0.25">
      <c r="B11477" s="13" t="s">
        <v>20799</v>
      </c>
      <c r="C11477" s="17" t="s">
        <v>170</v>
      </c>
      <c r="D11477" s="13" t="s">
        <v>118</v>
      </c>
      <c r="E11477" s="13" t="s">
        <v>20800</v>
      </c>
      <c r="F11477" s="43">
        <v>5570.2</v>
      </c>
    </row>
    <row r="11478" spans="2:6" x14ac:dyDescent="0.25">
      <c r="B11478" s="13" t="s">
        <v>20801</v>
      </c>
      <c r="C11478" s="17" t="s">
        <v>170</v>
      </c>
      <c r="D11478" s="13" t="s">
        <v>118</v>
      </c>
      <c r="E11478" s="13" t="s">
        <v>20802</v>
      </c>
      <c r="F11478" s="43">
        <v>8322.36</v>
      </c>
    </row>
    <row r="11479" spans="2:6" x14ac:dyDescent="0.25">
      <c r="B11479" s="13" t="s">
        <v>20803</v>
      </c>
      <c r="C11479" s="17" t="s">
        <v>170</v>
      </c>
      <c r="D11479" s="13" t="s">
        <v>118</v>
      </c>
      <c r="E11479" s="13" t="s">
        <v>20804</v>
      </c>
      <c r="F11479" s="43">
        <v>10860.52</v>
      </c>
    </row>
    <row r="11480" spans="2:6" x14ac:dyDescent="0.25">
      <c r="B11480" s="13" t="s">
        <v>20805</v>
      </c>
      <c r="C11480" s="17" t="s">
        <v>170</v>
      </c>
      <c r="D11480" s="13" t="s">
        <v>118</v>
      </c>
      <c r="E11480" s="13" t="s">
        <v>20806</v>
      </c>
      <c r="F11480" s="43">
        <v>15986.75</v>
      </c>
    </row>
    <row r="11481" spans="2:6" x14ac:dyDescent="0.25">
      <c r="B11481" s="13" t="s">
        <v>20807</v>
      </c>
      <c r="C11481" s="17" t="s">
        <v>170</v>
      </c>
      <c r="D11481" s="13" t="s">
        <v>118</v>
      </c>
      <c r="E11481" s="13" t="s">
        <v>20808</v>
      </c>
      <c r="F11481" s="43">
        <v>18988.72</v>
      </c>
    </row>
    <row r="11482" spans="2:6" x14ac:dyDescent="0.25">
      <c r="B11482" s="13" t="s">
        <v>20809</v>
      </c>
      <c r="C11482" s="17" t="s">
        <v>170</v>
      </c>
      <c r="D11482" s="13" t="s">
        <v>118</v>
      </c>
      <c r="E11482" s="13" t="s">
        <v>20810</v>
      </c>
      <c r="F11482" s="43">
        <v>23818.55</v>
      </c>
    </row>
    <row r="11483" spans="2:6" x14ac:dyDescent="0.25">
      <c r="B11483" s="13" t="s">
        <v>20811</v>
      </c>
      <c r="C11483" s="17" t="s">
        <v>170</v>
      </c>
      <c r="D11483" s="13" t="s">
        <v>118</v>
      </c>
      <c r="E11483" s="13" t="s">
        <v>20812</v>
      </c>
      <c r="F11483" s="43">
        <v>28463.74</v>
      </c>
    </row>
    <row r="11484" spans="2:6" x14ac:dyDescent="0.25">
      <c r="B11484" s="13" t="s">
        <v>20813</v>
      </c>
      <c r="C11484" s="17" t="s">
        <v>170</v>
      </c>
      <c r="D11484" s="13" t="s">
        <v>118</v>
      </c>
      <c r="E11484" s="13" t="s">
        <v>20814</v>
      </c>
      <c r="F11484" s="43">
        <v>34672.18</v>
      </c>
    </row>
    <row r="11485" spans="2:6" x14ac:dyDescent="0.25">
      <c r="B11485" s="13" t="s">
        <v>20815</v>
      </c>
      <c r="C11485" s="17" t="s">
        <v>170</v>
      </c>
      <c r="D11485" s="13" t="s">
        <v>118</v>
      </c>
      <c r="E11485" s="13" t="s">
        <v>20816</v>
      </c>
      <c r="F11485" s="43">
        <v>709.39</v>
      </c>
    </row>
    <row r="11486" spans="2:6" x14ac:dyDescent="0.25">
      <c r="B11486" s="13" t="s">
        <v>20817</v>
      </c>
      <c r="C11486" s="17" t="s">
        <v>170</v>
      </c>
      <c r="D11486" s="13" t="s">
        <v>118</v>
      </c>
      <c r="E11486" s="13" t="s">
        <v>20818</v>
      </c>
      <c r="F11486" s="43">
        <v>870.96</v>
      </c>
    </row>
    <row r="11487" spans="2:6" x14ac:dyDescent="0.25">
      <c r="B11487" s="13" t="s">
        <v>20819</v>
      </c>
      <c r="C11487" s="17" t="s">
        <v>170</v>
      </c>
      <c r="D11487" s="13" t="s">
        <v>118</v>
      </c>
      <c r="E11487" s="13" t="s">
        <v>20820</v>
      </c>
      <c r="F11487" s="43">
        <v>1005.1</v>
      </c>
    </row>
    <row r="11488" spans="2:6" x14ac:dyDescent="0.25">
      <c r="B11488" s="13" t="s">
        <v>20821</v>
      </c>
      <c r="C11488" s="17" t="s">
        <v>170</v>
      </c>
      <c r="D11488" s="13" t="s">
        <v>118</v>
      </c>
      <c r="E11488" s="13" t="s">
        <v>20822</v>
      </c>
      <c r="F11488" s="43">
        <v>1476.03</v>
      </c>
    </row>
    <row r="11489" spans="2:6" x14ac:dyDescent="0.25">
      <c r="B11489" s="13" t="s">
        <v>20823</v>
      </c>
      <c r="C11489" s="17" t="s">
        <v>170</v>
      </c>
      <c r="D11489" s="13" t="s">
        <v>118</v>
      </c>
      <c r="E11489" s="13" t="s">
        <v>20824</v>
      </c>
      <c r="F11489" s="43">
        <v>1895.79</v>
      </c>
    </row>
    <row r="11490" spans="2:6" x14ac:dyDescent="0.25">
      <c r="B11490" s="13" t="s">
        <v>20825</v>
      </c>
      <c r="C11490" s="17" t="s">
        <v>170</v>
      </c>
      <c r="D11490" s="13" t="s">
        <v>118</v>
      </c>
      <c r="E11490" s="13" t="s">
        <v>20826</v>
      </c>
      <c r="F11490" s="43">
        <v>2490.19</v>
      </c>
    </row>
    <row r="11491" spans="2:6" x14ac:dyDescent="0.25">
      <c r="B11491" s="13" t="s">
        <v>20827</v>
      </c>
      <c r="C11491" s="17" t="s">
        <v>170</v>
      </c>
      <c r="D11491" s="13" t="s">
        <v>118</v>
      </c>
      <c r="E11491" s="13" t="s">
        <v>20828</v>
      </c>
      <c r="F11491" s="43">
        <v>3684.97</v>
      </c>
    </row>
    <row r="11492" spans="2:6" x14ac:dyDescent="0.25">
      <c r="B11492" s="13" t="s">
        <v>20829</v>
      </c>
      <c r="C11492" s="17" t="s">
        <v>170</v>
      </c>
      <c r="D11492" s="13" t="s">
        <v>118</v>
      </c>
      <c r="E11492" s="13" t="s">
        <v>20830</v>
      </c>
      <c r="F11492" s="43">
        <v>5007.47</v>
      </c>
    </row>
    <row r="11493" spans="2:6" x14ac:dyDescent="0.25">
      <c r="B11493" s="13" t="s">
        <v>20831</v>
      </c>
      <c r="C11493" s="17" t="s">
        <v>170</v>
      </c>
      <c r="D11493" s="13" t="s">
        <v>118</v>
      </c>
      <c r="E11493" s="13" t="s">
        <v>20832</v>
      </c>
      <c r="F11493" s="43">
        <v>7402.53</v>
      </c>
    </row>
    <row r="11494" spans="2:6" x14ac:dyDescent="0.25">
      <c r="B11494" s="13" t="s">
        <v>20833</v>
      </c>
      <c r="C11494" s="17" t="s">
        <v>170</v>
      </c>
      <c r="D11494" s="13" t="s">
        <v>118</v>
      </c>
      <c r="E11494" s="13" t="s">
        <v>20834</v>
      </c>
      <c r="F11494" s="43">
        <v>8823.94</v>
      </c>
    </row>
    <row r="11495" spans="2:6" x14ac:dyDescent="0.25">
      <c r="B11495" s="13" t="s">
        <v>20835</v>
      </c>
      <c r="C11495" s="17" t="s">
        <v>170</v>
      </c>
      <c r="D11495" s="13" t="s">
        <v>118</v>
      </c>
      <c r="E11495" s="13" t="s">
        <v>20836</v>
      </c>
      <c r="F11495" s="43">
        <v>11293.24</v>
      </c>
    </row>
    <row r="11496" spans="2:6" x14ac:dyDescent="0.25">
      <c r="B11496" s="13" t="s">
        <v>20837</v>
      </c>
      <c r="C11496" s="17" t="s">
        <v>170</v>
      </c>
      <c r="D11496" s="13" t="s">
        <v>118</v>
      </c>
      <c r="E11496" s="13" t="s">
        <v>20838</v>
      </c>
      <c r="F11496" s="43">
        <v>13277.84</v>
      </c>
    </row>
    <row r="11497" spans="2:6" x14ac:dyDescent="0.25">
      <c r="B11497" s="13" t="s">
        <v>20839</v>
      </c>
      <c r="C11497" s="17" t="s">
        <v>170</v>
      </c>
      <c r="D11497" s="13" t="s">
        <v>118</v>
      </c>
      <c r="E11497" s="13" t="s">
        <v>20840</v>
      </c>
      <c r="F11497" s="43">
        <v>16397.669999999998</v>
      </c>
    </row>
    <row r="11498" spans="2:6" x14ac:dyDescent="0.25">
      <c r="B11498" s="13" t="s">
        <v>20841</v>
      </c>
      <c r="C11498" s="17" t="s">
        <v>170</v>
      </c>
      <c r="D11498" s="13" t="s">
        <v>118</v>
      </c>
      <c r="E11498" s="13" t="s">
        <v>20842</v>
      </c>
      <c r="F11498" s="43">
        <v>0</v>
      </c>
    </row>
    <row r="11499" spans="2:6" x14ac:dyDescent="0.25">
      <c r="B11499" s="13" t="s">
        <v>20843</v>
      </c>
      <c r="C11499" s="17" t="s">
        <v>170</v>
      </c>
      <c r="D11499" s="13" t="s">
        <v>118</v>
      </c>
      <c r="E11499" s="13" t="s">
        <v>20844</v>
      </c>
      <c r="F11499" s="43">
        <v>1217.6199999999999</v>
      </c>
    </row>
    <row r="11500" spans="2:6" x14ac:dyDescent="0.25">
      <c r="B11500" s="13" t="s">
        <v>20845</v>
      </c>
      <c r="C11500" s="17" t="s">
        <v>170</v>
      </c>
      <c r="D11500" s="13" t="s">
        <v>118</v>
      </c>
      <c r="E11500" s="13" t="s">
        <v>20846</v>
      </c>
      <c r="F11500" s="43">
        <v>1540.75</v>
      </c>
    </row>
    <row r="11501" spans="2:6" x14ac:dyDescent="0.25">
      <c r="B11501" s="13" t="s">
        <v>20847</v>
      </c>
      <c r="C11501" s="17" t="s">
        <v>170</v>
      </c>
      <c r="D11501" s="13" t="s">
        <v>118</v>
      </c>
      <c r="E11501" s="13" t="s">
        <v>20848</v>
      </c>
      <c r="F11501" s="43">
        <v>1809.04</v>
      </c>
    </row>
    <row r="11502" spans="2:6" x14ac:dyDescent="0.25">
      <c r="B11502" s="13" t="s">
        <v>20849</v>
      </c>
      <c r="C11502" s="17" t="s">
        <v>170</v>
      </c>
      <c r="D11502" s="13" t="s">
        <v>118</v>
      </c>
      <c r="E11502" s="13" t="s">
        <v>20850</v>
      </c>
      <c r="F11502" s="43">
        <v>2751.02</v>
      </c>
    </row>
    <row r="11503" spans="2:6" x14ac:dyDescent="0.25">
      <c r="B11503" s="13" t="s">
        <v>20851</v>
      </c>
      <c r="C11503" s="17" t="s">
        <v>170</v>
      </c>
      <c r="D11503" s="13" t="s">
        <v>118</v>
      </c>
      <c r="E11503" s="13" t="s">
        <v>20852</v>
      </c>
      <c r="F11503" s="43">
        <v>3590.99</v>
      </c>
    </row>
    <row r="11504" spans="2:6" x14ac:dyDescent="0.25">
      <c r="B11504" s="13" t="s">
        <v>20853</v>
      </c>
      <c r="C11504" s="17" t="s">
        <v>170</v>
      </c>
      <c r="D11504" s="13" t="s">
        <v>118</v>
      </c>
      <c r="E11504" s="13" t="s">
        <v>20854</v>
      </c>
      <c r="F11504" s="43">
        <v>4779</v>
      </c>
    </row>
    <row r="11505" spans="2:6" x14ac:dyDescent="0.25">
      <c r="B11505" s="13" t="s">
        <v>20855</v>
      </c>
      <c r="C11505" s="17" t="s">
        <v>170</v>
      </c>
      <c r="D11505" s="13" t="s">
        <v>118</v>
      </c>
      <c r="E11505" s="13" t="s">
        <v>20856</v>
      </c>
      <c r="F11505" s="43">
        <v>7168.78</v>
      </c>
    </row>
    <row r="11506" spans="2:6" x14ac:dyDescent="0.25">
      <c r="B11506" s="13" t="s">
        <v>20857</v>
      </c>
      <c r="C11506" s="17" t="s">
        <v>170</v>
      </c>
      <c r="D11506" s="13" t="s">
        <v>118</v>
      </c>
      <c r="E11506" s="13" t="s">
        <v>20858</v>
      </c>
      <c r="F11506" s="43">
        <v>9813.77</v>
      </c>
    </row>
    <row r="11507" spans="2:6" x14ac:dyDescent="0.25">
      <c r="B11507" s="13" t="s">
        <v>20859</v>
      </c>
      <c r="C11507" s="17" t="s">
        <v>170</v>
      </c>
      <c r="D11507" s="13" t="s">
        <v>118</v>
      </c>
      <c r="E11507" s="13" t="s">
        <v>20860</v>
      </c>
      <c r="F11507" s="43">
        <v>14603.78</v>
      </c>
    </row>
    <row r="11508" spans="2:6" x14ac:dyDescent="0.25">
      <c r="B11508" s="13" t="s">
        <v>20861</v>
      </c>
      <c r="C11508" s="17" t="s">
        <v>170</v>
      </c>
      <c r="D11508" s="13" t="s">
        <v>118</v>
      </c>
      <c r="E11508" s="13" t="s">
        <v>20862</v>
      </c>
      <c r="F11508" s="43">
        <v>17446.59</v>
      </c>
    </row>
    <row r="11509" spans="2:6" x14ac:dyDescent="0.25">
      <c r="B11509" s="13" t="s">
        <v>20863</v>
      </c>
      <c r="C11509" s="17" t="s">
        <v>170</v>
      </c>
      <c r="D11509" s="13" t="s">
        <v>118</v>
      </c>
      <c r="E11509" s="13" t="s">
        <v>20864</v>
      </c>
      <c r="F11509" s="43">
        <v>22385.43</v>
      </c>
    </row>
    <row r="11510" spans="2:6" x14ac:dyDescent="0.25">
      <c r="B11510" s="13" t="s">
        <v>20865</v>
      </c>
      <c r="C11510" s="17" t="s">
        <v>170</v>
      </c>
      <c r="D11510" s="13" t="s">
        <v>118</v>
      </c>
      <c r="E11510" s="13" t="s">
        <v>20866</v>
      </c>
      <c r="F11510" s="43">
        <v>26354.52</v>
      </c>
    </row>
    <row r="11511" spans="2:6" x14ac:dyDescent="0.25">
      <c r="B11511" s="13" t="s">
        <v>20867</v>
      </c>
      <c r="C11511" s="17" t="s">
        <v>170</v>
      </c>
      <c r="D11511" s="13" t="s">
        <v>118</v>
      </c>
      <c r="E11511" s="13" t="s">
        <v>20868</v>
      </c>
      <c r="F11511" s="43">
        <v>32594.28</v>
      </c>
    </row>
    <row r="11512" spans="2:6" x14ac:dyDescent="0.25">
      <c r="B11512" s="13" t="s">
        <v>20869</v>
      </c>
      <c r="C11512" s="17" t="s">
        <v>170</v>
      </c>
      <c r="D11512" s="13" t="s">
        <v>118</v>
      </c>
      <c r="E11512" s="13" t="s">
        <v>20870</v>
      </c>
      <c r="F11512" s="43">
        <v>0</v>
      </c>
    </row>
    <row r="11513" spans="2:6" x14ac:dyDescent="0.25">
      <c r="B11513" s="13" t="s">
        <v>20871</v>
      </c>
      <c r="C11513" s="17" t="s">
        <v>170</v>
      </c>
      <c r="D11513" s="13" t="s">
        <v>118</v>
      </c>
      <c r="E11513" s="13" t="s">
        <v>20872</v>
      </c>
      <c r="F11513" s="43">
        <v>2234.65</v>
      </c>
    </row>
    <row r="11514" spans="2:6" x14ac:dyDescent="0.25">
      <c r="B11514" s="13" t="s">
        <v>20873</v>
      </c>
      <c r="C11514" s="17" t="s">
        <v>170</v>
      </c>
      <c r="D11514" s="13" t="s">
        <v>118</v>
      </c>
      <c r="E11514" s="13" t="s">
        <v>20874</v>
      </c>
      <c r="F11514" s="43">
        <v>2743.79</v>
      </c>
    </row>
    <row r="11515" spans="2:6" x14ac:dyDescent="0.25">
      <c r="B11515" s="13" t="s">
        <v>20875</v>
      </c>
      <c r="C11515" s="17" t="s">
        <v>170</v>
      </c>
      <c r="D11515" s="13" t="s">
        <v>118</v>
      </c>
      <c r="E11515" s="13" t="s">
        <v>20876</v>
      </c>
      <c r="F11515" s="43">
        <v>3170.66</v>
      </c>
    </row>
    <row r="11516" spans="2:6" x14ac:dyDescent="0.25">
      <c r="B11516" s="13" t="s">
        <v>20877</v>
      </c>
      <c r="C11516" s="17" t="s">
        <v>170</v>
      </c>
      <c r="D11516" s="13" t="s">
        <v>118</v>
      </c>
      <c r="E11516" s="13" t="s">
        <v>20878</v>
      </c>
      <c r="F11516" s="43">
        <v>4649.67</v>
      </c>
    </row>
    <row r="11517" spans="2:6" x14ac:dyDescent="0.25">
      <c r="B11517" s="13" t="s">
        <v>20879</v>
      </c>
      <c r="C11517" s="17" t="s">
        <v>170</v>
      </c>
      <c r="D11517" s="13" t="s">
        <v>118</v>
      </c>
      <c r="E11517" s="13" t="s">
        <v>20880</v>
      </c>
      <c r="F11517" s="43">
        <v>5971.59</v>
      </c>
    </row>
    <row r="11518" spans="2:6" x14ac:dyDescent="0.25">
      <c r="B11518" s="13" t="s">
        <v>20881</v>
      </c>
      <c r="C11518" s="17" t="s">
        <v>170</v>
      </c>
      <c r="D11518" s="13" t="s">
        <v>118</v>
      </c>
      <c r="E11518" s="13" t="s">
        <v>20882</v>
      </c>
      <c r="F11518" s="43">
        <v>7843.86</v>
      </c>
    </row>
    <row r="11519" spans="2:6" x14ac:dyDescent="0.25">
      <c r="B11519" s="13" t="s">
        <v>20883</v>
      </c>
      <c r="C11519" s="17" t="s">
        <v>170</v>
      </c>
      <c r="D11519" s="13" t="s">
        <v>118</v>
      </c>
      <c r="E11519" s="13" t="s">
        <v>20884</v>
      </c>
      <c r="F11519" s="43">
        <v>11607.77</v>
      </c>
    </row>
    <row r="11520" spans="2:6" x14ac:dyDescent="0.25">
      <c r="B11520" s="13" t="s">
        <v>20885</v>
      </c>
      <c r="C11520" s="17" t="s">
        <v>170</v>
      </c>
      <c r="D11520" s="13" t="s">
        <v>118</v>
      </c>
      <c r="E11520" s="13" t="s">
        <v>20886</v>
      </c>
      <c r="F11520" s="43">
        <v>15773.54</v>
      </c>
    </row>
    <row r="11521" spans="2:6" x14ac:dyDescent="0.25">
      <c r="B11521" s="13" t="s">
        <v>20887</v>
      </c>
      <c r="C11521" s="17" t="s">
        <v>170</v>
      </c>
      <c r="D11521" s="13" t="s">
        <v>118</v>
      </c>
      <c r="E11521" s="13" t="s">
        <v>20888</v>
      </c>
      <c r="F11521" s="43">
        <v>23318.01</v>
      </c>
    </row>
    <row r="11522" spans="2:6" x14ac:dyDescent="0.25">
      <c r="B11522" s="13" t="s">
        <v>20889</v>
      </c>
      <c r="C11522" s="17" t="s">
        <v>170</v>
      </c>
      <c r="D11522" s="13" t="s">
        <v>118</v>
      </c>
      <c r="E11522" s="13" t="s">
        <v>20890</v>
      </c>
      <c r="F11522" s="43">
        <v>27795.32</v>
      </c>
    </row>
    <row r="11523" spans="2:6" x14ac:dyDescent="0.25">
      <c r="B11523" s="13" t="s">
        <v>20891</v>
      </c>
      <c r="C11523" s="17" t="s">
        <v>170</v>
      </c>
      <c r="D11523" s="13" t="s">
        <v>118</v>
      </c>
      <c r="E11523" s="13" t="s">
        <v>20892</v>
      </c>
      <c r="F11523" s="43">
        <v>35574</v>
      </c>
    </row>
    <row r="11524" spans="2:6" x14ac:dyDescent="0.25">
      <c r="B11524" s="13" t="s">
        <v>20893</v>
      </c>
      <c r="C11524" s="17" t="s">
        <v>170</v>
      </c>
      <c r="D11524" s="13" t="s">
        <v>118</v>
      </c>
      <c r="E11524" s="13" t="s">
        <v>20894</v>
      </c>
      <c r="F11524" s="43">
        <v>41825.230000000003</v>
      </c>
    </row>
    <row r="11525" spans="2:6" x14ac:dyDescent="0.25">
      <c r="B11525" s="13" t="s">
        <v>20895</v>
      </c>
      <c r="C11525" s="17" t="s">
        <v>170</v>
      </c>
      <c r="D11525" s="13" t="s">
        <v>118</v>
      </c>
      <c r="E11525" s="13" t="s">
        <v>20896</v>
      </c>
      <c r="F11525" s="43">
        <v>51653</v>
      </c>
    </row>
    <row r="11526" spans="2:6" x14ac:dyDescent="0.25">
      <c r="B11526" s="13" t="s">
        <v>20897</v>
      </c>
      <c r="C11526" s="17" t="s">
        <v>170</v>
      </c>
      <c r="D11526" s="13" t="s">
        <v>118</v>
      </c>
      <c r="E11526" s="13" t="s">
        <v>20898</v>
      </c>
      <c r="F11526" s="43">
        <v>64260</v>
      </c>
    </row>
    <row r="11527" spans="2:6" x14ac:dyDescent="0.25">
      <c r="B11527" s="13" t="s">
        <v>20899</v>
      </c>
      <c r="C11527" s="17" t="s">
        <v>170</v>
      </c>
      <c r="D11527" s="13" t="s">
        <v>118</v>
      </c>
      <c r="E11527" s="13" t="s">
        <v>20900</v>
      </c>
      <c r="F11527" s="43">
        <v>2693.65</v>
      </c>
    </row>
    <row r="11528" spans="2:6" x14ac:dyDescent="0.25">
      <c r="B11528" s="13" t="s">
        <v>20901</v>
      </c>
      <c r="C11528" s="17" t="s">
        <v>170</v>
      </c>
      <c r="D11528" s="13" t="s">
        <v>118</v>
      </c>
      <c r="E11528" s="13" t="s">
        <v>20902</v>
      </c>
      <c r="F11528" s="43">
        <v>3202.79</v>
      </c>
    </row>
    <row r="11529" spans="2:6" x14ac:dyDescent="0.25">
      <c r="B11529" s="13" t="s">
        <v>20903</v>
      </c>
      <c r="C11529" s="17" t="s">
        <v>170</v>
      </c>
      <c r="D11529" s="13" t="s">
        <v>118</v>
      </c>
      <c r="E11529" s="13" t="s">
        <v>20904</v>
      </c>
      <c r="F11529" s="43">
        <v>3629.66</v>
      </c>
    </row>
    <row r="11530" spans="2:6" x14ac:dyDescent="0.25">
      <c r="B11530" s="13" t="s">
        <v>20905</v>
      </c>
      <c r="C11530" s="17" t="s">
        <v>170</v>
      </c>
      <c r="D11530" s="13" t="s">
        <v>118</v>
      </c>
      <c r="E11530" s="13" t="s">
        <v>20906</v>
      </c>
      <c r="F11530" s="43">
        <v>5108.67</v>
      </c>
    </row>
    <row r="11531" spans="2:6" x14ac:dyDescent="0.25">
      <c r="B11531" s="13" t="s">
        <v>20907</v>
      </c>
      <c r="C11531" s="17" t="s">
        <v>170</v>
      </c>
      <c r="D11531" s="13" t="s">
        <v>118</v>
      </c>
      <c r="E11531" s="13" t="s">
        <v>20908</v>
      </c>
      <c r="F11531" s="43">
        <v>6430.59</v>
      </c>
    </row>
    <row r="11532" spans="2:6" x14ac:dyDescent="0.25">
      <c r="B11532" s="13" t="s">
        <v>20909</v>
      </c>
      <c r="C11532" s="17" t="s">
        <v>170</v>
      </c>
      <c r="D11532" s="13" t="s">
        <v>118</v>
      </c>
      <c r="E11532" s="13" t="s">
        <v>20910</v>
      </c>
      <c r="F11532" s="43">
        <v>8302.86</v>
      </c>
    </row>
    <row r="11533" spans="2:6" x14ac:dyDescent="0.25">
      <c r="B11533" s="13" t="s">
        <v>20911</v>
      </c>
      <c r="C11533" s="17" t="s">
        <v>170</v>
      </c>
      <c r="D11533" s="13" t="s">
        <v>118</v>
      </c>
      <c r="E11533" s="13" t="s">
        <v>20912</v>
      </c>
      <c r="F11533" s="43">
        <v>12066.77</v>
      </c>
    </row>
    <row r="11534" spans="2:6" x14ac:dyDescent="0.25">
      <c r="B11534" s="13" t="s">
        <v>20913</v>
      </c>
      <c r="C11534" s="17" t="s">
        <v>170</v>
      </c>
      <c r="D11534" s="13" t="s">
        <v>118</v>
      </c>
      <c r="E11534" s="13" t="s">
        <v>20914</v>
      </c>
      <c r="F11534" s="43">
        <v>16232.54</v>
      </c>
    </row>
    <row r="11535" spans="2:6" x14ac:dyDescent="0.25">
      <c r="B11535" s="13" t="s">
        <v>20915</v>
      </c>
      <c r="C11535" s="17" t="s">
        <v>170</v>
      </c>
      <c r="D11535" s="13" t="s">
        <v>118</v>
      </c>
      <c r="E11535" s="13" t="s">
        <v>20916</v>
      </c>
      <c r="F11535" s="43">
        <v>23777.01</v>
      </c>
    </row>
    <row r="11536" spans="2:6" x14ac:dyDescent="0.25">
      <c r="B11536" s="13" t="s">
        <v>20917</v>
      </c>
      <c r="C11536" s="17" t="s">
        <v>170</v>
      </c>
      <c r="D11536" s="13" t="s">
        <v>118</v>
      </c>
      <c r="E11536" s="13" t="s">
        <v>20918</v>
      </c>
      <c r="F11536" s="43">
        <v>28254.32</v>
      </c>
    </row>
    <row r="11537" spans="2:6" x14ac:dyDescent="0.25">
      <c r="B11537" s="13" t="s">
        <v>20919</v>
      </c>
      <c r="C11537" s="17" t="s">
        <v>170</v>
      </c>
      <c r="D11537" s="13" t="s">
        <v>118</v>
      </c>
      <c r="E11537" s="13" t="s">
        <v>20920</v>
      </c>
      <c r="F11537" s="43">
        <v>36033</v>
      </c>
    </row>
    <row r="11538" spans="2:6" x14ac:dyDescent="0.25">
      <c r="B11538" s="13" t="s">
        <v>20921</v>
      </c>
      <c r="C11538" s="17" t="s">
        <v>170</v>
      </c>
      <c r="D11538" s="13" t="s">
        <v>118</v>
      </c>
      <c r="E11538" s="13" t="s">
        <v>20922</v>
      </c>
      <c r="F11538" s="43">
        <v>42284.23</v>
      </c>
    </row>
    <row r="11539" spans="2:6" x14ac:dyDescent="0.25">
      <c r="B11539" s="13" t="s">
        <v>20923</v>
      </c>
      <c r="C11539" s="17" t="s">
        <v>170</v>
      </c>
      <c r="D11539" s="13" t="s">
        <v>118</v>
      </c>
      <c r="E11539" s="13" t="s">
        <v>20924</v>
      </c>
      <c r="F11539" s="43">
        <v>52112</v>
      </c>
    </row>
    <row r="11540" spans="2:6" x14ac:dyDescent="0.25">
      <c r="B11540" s="13" t="s">
        <v>20925</v>
      </c>
      <c r="C11540" s="17" t="s">
        <v>170</v>
      </c>
      <c r="D11540" s="13" t="s">
        <v>118</v>
      </c>
      <c r="E11540" s="13" t="s">
        <v>20926</v>
      </c>
      <c r="F11540" s="43">
        <v>55779.98</v>
      </c>
    </row>
    <row r="11541" spans="2:6" x14ac:dyDescent="0.25">
      <c r="B11541" s="13" t="s">
        <v>20927</v>
      </c>
      <c r="C11541" s="17" t="s">
        <v>170</v>
      </c>
      <c r="D11541" s="13" t="s">
        <v>118</v>
      </c>
      <c r="E11541" s="13" t="s">
        <v>20928</v>
      </c>
      <c r="F11541" s="43">
        <v>60565.05</v>
      </c>
    </row>
    <row r="11542" spans="2:6" x14ac:dyDescent="0.25">
      <c r="B11542" s="13" t="s">
        <v>20929</v>
      </c>
      <c r="C11542" s="17" t="s">
        <v>170</v>
      </c>
      <c r="D11542" s="13" t="s">
        <v>118</v>
      </c>
      <c r="E11542" s="13" t="s">
        <v>20930</v>
      </c>
      <c r="F11542" s="43">
        <v>709.39</v>
      </c>
    </row>
    <row r="11543" spans="2:6" x14ac:dyDescent="0.25">
      <c r="B11543" s="13" t="s">
        <v>20931</v>
      </c>
      <c r="C11543" s="17" t="s">
        <v>170</v>
      </c>
      <c r="D11543" s="13" t="s">
        <v>118</v>
      </c>
      <c r="E11543" s="13" t="s">
        <v>20932</v>
      </c>
      <c r="F11543" s="43">
        <v>870.96</v>
      </c>
    </row>
    <row r="11544" spans="2:6" x14ac:dyDescent="0.25">
      <c r="B11544" s="13" t="s">
        <v>20933</v>
      </c>
      <c r="C11544" s="17" t="s">
        <v>170</v>
      </c>
      <c r="D11544" s="13" t="s">
        <v>118</v>
      </c>
      <c r="E11544" s="13" t="s">
        <v>20934</v>
      </c>
      <c r="F11544" s="43">
        <v>1005.1</v>
      </c>
    </row>
    <row r="11545" spans="2:6" x14ac:dyDescent="0.25">
      <c r="B11545" s="13" t="s">
        <v>20935</v>
      </c>
      <c r="C11545" s="17" t="s">
        <v>170</v>
      </c>
      <c r="D11545" s="13" t="s">
        <v>118</v>
      </c>
      <c r="E11545" s="13" t="s">
        <v>20936</v>
      </c>
      <c r="F11545" s="43">
        <v>1476.03</v>
      </c>
    </row>
    <row r="11546" spans="2:6" x14ac:dyDescent="0.25">
      <c r="B11546" s="13" t="s">
        <v>20937</v>
      </c>
      <c r="C11546" s="17" t="s">
        <v>170</v>
      </c>
      <c r="D11546" s="13" t="s">
        <v>118</v>
      </c>
      <c r="E11546" s="13" t="s">
        <v>20938</v>
      </c>
      <c r="F11546" s="43">
        <v>1895.79</v>
      </c>
    </row>
    <row r="11547" spans="2:6" x14ac:dyDescent="0.25">
      <c r="B11547" s="13" t="s">
        <v>20939</v>
      </c>
      <c r="C11547" s="17" t="s">
        <v>170</v>
      </c>
      <c r="D11547" s="13" t="s">
        <v>118</v>
      </c>
      <c r="E11547" s="13" t="s">
        <v>20940</v>
      </c>
      <c r="F11547" s="43">
        <v>2490.19</v>
      </c>
    </row>
    <row r="11548" spans="2:6" x14ac:dyDescent="0.25">
      <c r="B11548" s="13" t="s">
        <v>20941</v>
      </c>
      <c r="C11548" s="17" t="s">
        <v>170</v>
      </c>
      <c r="D11548" s="13" t="s">
        <v>118</v>
      </c>
      <c r="E11548" s="13" t="s">
        <v>20942</v>
      </c>
      <c r="F11548" s="43">
        <v>3684.97</v>
      </c>
    </row>
    <row r="11549" spans="2:6" x14ac:dyDescent="0.25">
      <c r="B11549" s="13" t="s">
        <v>20943</v>
      </c>
      <c r="C11549" s="17" t="s">
        <v>170</v>
      </c>
      <c r="D11549" s="13" t="s">
        <v>118</v>
      </c>
      <c r="E11549" s="13" t="s">
        <v>20944</v>
      </c>
      <c r="F11549" s="43">
        <v>5007.47</v>
      </c>
    </row>
    <row r="11550" spans="2:6" x14ac:dyDescent="0.25">
      <c r="B11550" s="13" t="s">
        <v>20945</v>
      </c>
      <c r="C11550" s="17" t="s">
        <v>170</v>
      </c>
      <c r="D11550" s="13" t="s">
        <v>118</v>
      </c>
      <c r="E11550" s="13" t="s">
        <v>20946</v>
      </c>
      <c r="F11550" s="43">
        <v>7402.53</v>
      </c>
    </row>
    <row r="11551" spans="2:6" x14ac:dyDescent="0.25">
      <c r="B11551" s="13" t="s">
        <v>20947</v>
      </c>
      <c r="C11551" s="17" t="s">
        <v>170</v>
      </c>
      <c r="D11551" s="13" t="s">
        <v>118</v>
      </c>
      <c r="E11551" s="13" t="s">
        <v>20948</v>
      </c>
      <c r="F11551" s="43">
        <v>8823.94</v>
      </c>
    </row>
    <row r="11552" spans="2:6" x14ac:dyDescent="0.25">
      <c r="B11552" s="13" t="s">
        <v>20949</v>
      </c>
      <c r="C11552" s="17" t="s">
        <v>170</v>
      </c>
      <c r="D11552" s="13" t="s">
        <v>118</v>
      </c>
      <c r="E11552" s="13" t="s">
        <v>20950</v>
      </c>
      <c r="F11552" s="43">
        <v>11293.24</v>
      </c>
    </row>
    <row r="11553" spans="2:6" x14ac:dyDescent="0.25">
      <c r="B11553" s="13" t="s">
        <v>20951</v>
      </c>
      <c r="C11553" s="17" t="s">
        <v>170</v>
      </c>
      <c r="D11553" s="13" t="s">
        <v>118</v>
      </c>
      <c r="E11553" s="13" t="s">
        <v>20952</v>
      </c>
      <c r="F11553" s="43">
        <v>13277.84</v>
      </c>
    </row>
    <row r="11554" spans="2:6" x14ac:dyDescent="0.25">
      <c r="B11554" s="13" t="s">
        <v>20953</v>
      </c>
      <c r="C11554" s="17" t="s">
        <v>170</v>
      </c>
      <c r="D11554" s="13" t="s">
        <v>118</v>
      </c>
      <c r="E11554" s="13" t="s">
        <v>20954</v>
      </c>
      <c r="F11554" s="43">
        <v>16397.669999999998</v>
      </c>
    </row>
    <row r="11555" spans="2:6" x14ac:dyDescent="0.25">
      <c r="B11555" s="13" t="s">
        <v>20955</v>
      </c>
      <c r="C11555" s="17" t="s">
        <v>170</v>
      </c>
      <c r="D11555" s="13" t="s">
        <v>118</v>
      </c>
      <c r="E11555" s="13" t="s">
        <v>20956</v>
      </c>
      <c r="F11555" s="43">
        <v>2128.27</v>
      </c>
    </row>
    <row r="11556" spans="2:6" x14ac:dyDescent="0.25">
      <c r="B11556" s="13" t="s">
        <v>20957</v>
      </c>
      <c r="C11556" s="17" t="s">
        <v>170</v>
      </c>
      <c r="D11556" s="13" t="s">
        <v>118</v>
      </c>
      <c r="E11556" s="13" t="s">
        <v>20958</v>
      </c>
      <c r="F11556" s="43">
        <v>2612.98</v>
      </c>
    </row>
    <row r="11557" spans="2:6" x14ac:dyDescent="0.25">
      <c r="B11557" s="13" t="s">
        <v>20959</v>
      </c>
      <c r="C11557" s="17" t="s">
        <v>170</v>
      </c>
      <c r="D11557" s="13" t="s">
        <v>118</v>
      </c>
      <c r="E11557" s="13" t="s">
        <v>20960</v>
      </c>
      <c r="F11557" s="43">
        <v>3015.29</v>
      </c>
    </row>
    <row r="11558" spans="2:6" x14ac:dyDescent="0.25">
      <c r="B11558" s="13" t="s">
        <v>20961</v>
      </c>
      <c r="C11558" s="17" t="s">
        <v>170</v>
      </c>
      <c r="D11558" s="13" t="s">
        <v>118</v>
      </c>
      <c r="E11558" s="13" t="s">
        <v>20962</v>
      </c>
      <c r="F11558" s="43">
        <v>4428.32</v>
      </c>
    </row>
    <row r="11559" spans="2:6" x14ac:dyDescent="0.25">
      <c r="B11559" s="13" t="s">
        <v>20963</v>
      </c>
      <c r="C11559" s="17" t="s">
        <v>170</v>
      </c>
      <c r="D11559" s="13" t="s">
        <v>118</v>
      </c>
      <c r="E11559" s="13" t="s">
        <v>20964</v>
      </c>
      <c r="F11559" s="43">
        <v>5687.24</v>
      </c>
    </row>
    <row r="11560" spans="2:6" x14ac:dyDescent="0.25">
      <c r="B11560" s="13" t="s">
        <v>20965</v>
      </c>
      <c r="C11560" s="17" t="s">
        <v>170</v>
      </c>
      <c r="D11560" s="13" t="s">
        <v>118</v>
      </c>
      <c r="E11560" s="13" t="s">
        <v>20966</v>
      </c>
      <c r="F11560" s="43">
        <v>7470.34</v>
      </c>
    </row>
    <row r="11561" spans="2:6" x14ac:dyDescent="0.25">
      <c r="B11561" s="13" t="s">
        <v>20967</v>
      </c>
      <c r="C11561" s="17" t="s">
        <v>170</v>
      </c>
      <c r="D11561" s="13" t="s">
        <v>118</v>
      </c>
      <c r="E11561" s="13" t="s">
        <v>20968</v>
      </c>
      <c r="F11561" s="43">
        <v>11055.02</v>
      </c>
    </row>
    <row r="11562" spans="2:6" x14ac:dyDescent="0.25">
      <c r="B11562" s="13" t="s">
        <v>20969</v>
      </c>
      <c r="C11562" s="17" t="s">
        <v>170</v>
      </c>
      <c r="D11562" s="13" t="s">
        <v>118</v>
      </c>
      <c r="E11562" s="13" t="s">
        <v>20970</v>
      </c>
      <c r="F11562" s="43">
        <v>15022.39</v>
      </c>
    </row>
    <row r="11563" spans="2:6" x14ac:dyDescent="0.25">
      <c r="B11563" s="13" t="s">
        <v>20971</v>
      </c>
      <c r="C11563" s="17" t="s">
        <v>170</v>
      </c>
      <c r="D11563" s="13" t="s">
        <v>118</v>
      </c>
      <c r="E11563" s="13" t="s">
        <v>20972</v>
      </c>
      <c r="F11563" s="43">
        <v>22207.57</v>
      </c>
    </row>
    <row r="11564" spans="2:6" x14ac:dyDescent="0.25">
      <c r="B11564" s="13" t="s">
        <v>20973</v>
      </c>
      <c r="C11564" s="17" t="s">
        <v>170</v>
      </c>
      <c r="D11564" s="13" t="s">
        <v>118</v>
      </c>
      <c r="E11564" s="13" t="s">
        <v>20974</v>
      </c>
      <c r="F11564" s="43">
        <v>26471.68</v>
      </c>
    </row>
    <row r="11565" spans="2:6" x14ac:dyDescent="0.25">
      <c r="B11565" s="13" t="s">
        <v>20975</v>
      </c>
      <c r="C11565" s="17" t="s">
        <v>170</v>
      </c>
      <c r="D11565" s="13" t="s">
        <v>118</v>
      </c>
      <c r="E11565" s="13" t="s">
        <v>20976</v>
      </c>
      <c r="F11565" s="43">
        <v>33879.94</v>
      </c>
    </row>
    <row r="11566" spans="2:6" x14ac:dyDescent="0.25">
      <c r="B11566" s="13" t="s">
        <v>20977</v>
      </c>
      <c r="C11566" s="17" t="s">
        <v>170</v>
      </c>
      <c r="D11566" s="13" t="s">
        <v>118</v>
      </c>
      <c r="E11566" s="13" t="s">
        <v>20978</v>
      </c>
      <c r="F11566" s="43">
        <v>39833.519999999997</v>
      </c>
    </row>
    <row r="11567" spans="2:6" x14ac:dyDescent="0.25">
      <c r="B11567" s="13" t="s">
        <v>20979</v>
      </c>
      <c r="C11567" s="17" t="s">
        <v>170</v>
      </c>
      <c r="D11567" s="13" t="s">
        <v>118</v>
      </c>
      <c r="E11567" s="13" t="s">
        <v>20980</v>
      </c>
      <c r="F11567" s="43">
        <v>0</v>
      </c>
    </row>
    <row r="11568" spans="2:6" x14ac:dyDescent="0.25">
      <c r="B11568" s="13" t="s">
        <v>20981</v>
      </c>
      <c r="C11568" s="17" t="s">
        <v>170</v>
      </c>
      <c r="D11568" s="13" t="s">
        <v>118</v>
      </c>
      <c r="E11568" s="13" t="s">
        <v>20982</v>
      </c>
      <c r="F11568" s="43">
        <v>83.24</v>
      </c>
    </row>
    <row r="11569" spans="2:6" x14ac:dyDescent="0.25">
      <c r="B11569" s="13" t="s">
        <v>20983</v>
      </c>
      <c r="C11569" s="17" t="s">
        <v>170</v>
      </c>
      <c r="D11569" s="13" t="s">
        <v>118</v>
      </c>
      <c r="E11569" s="13" t="s">
        <v>20984</v>
      </c>
      <c r="F11569" s="43">
        <v>83.24</v>
      </c>
    </row>
    <row r="11570" spans="2:6" x14ac:dyDescent="0.25">
      <c r="B11570" s="13" t="s">
        <v>20985</v>
      </c>
      <c r="C11570" s="17" t="s">
        <v>170</v>
      </c>
      <c r="D11570" s="13" t="s">
        <v>118</v>
      </c>
      <c r="E11570" s="13" t="s">
        <v>20986</v>
      </c>
      <c r="F11570" s="43">
        <v>83.24</v>
      </c>
    </row>
    <row r="11571" spans="2:6" x14ac:dyDescent="0.25">
      <c r="B11571" s="13" t="s">
        <v>20987</v>
      </c>
      <c r="C11571" s="17" t="s">
        <v>170</v>
      </c>
      <c r="D11571" s="13" t="s">
        <v>118</v>
      </c>
      <c r="E11571" s="13" t="s">
        <v>20988</v>
      </c>
      <c r="F11571" s="43">
        <v>83.24</v>
      </c>
    </row>
    <row r="11572" spans="2:6" x14ac:dyDescent="0.25">
      <c r="B11572" s="13" t="s">
        <v>20989</v>
      </c>
      <c r="C11572" s="17" t="s">
        <v>170</v>
      </c>
      <c r="D11572" s="13" t="s">
        <v>118</v>
      </c>
      <c r="E11572" s="13" t="s">
        <v>20990</v>
      </c>
      <c r="F11572" s="43">
        <v>83.24</v>
      </c>
    </row>
    <row r="11573" spans="2:6" x14ac:dyDescent="0.25">
      <c r="B11573" s="13" t="s">
        <v>20991</v>
      </c>
      <c r="C11573" s="17" t="s">
        <v>170</v>
      </c>
      <c r="D11573" s="13" t="s">
        <v>118</v>
      </c>
      <c r="E11573" s="13" t="s">
        <v>20992</v>
      </c>
      <c r="F11573" s="43">
        <v>81.48</v>
      </c>
    </row>
    <row r="11574" spans="2:6" x14ac:dyDescent="0.25">
      <c r="B11574" s="13" t="s">
        <v>20993</v>
      </c>
      <c r="C11574" s="17" t="s">
        <v>170</v>
      </c>
      <c r="D11574" s="13" t="s">
        <v>118</v>
      </c>
      <c r="E11574" s="13" t="s">
        <v>20994</v>
      </c>
      <c r="F11574" s="43">
        <v>81.48</v>
      </c>
    </row>
    <row r="11575" spans="2:6" x14ac:dyDescent="0.25">
      <c r="B11575" s="13" t="s">
        <v>20995</v>
      </c>
      <c r="C11575" s="17" t="s">
        <v>170</v>
      </c>
      <c r="D11575" s="13" t="s">
        <v>118</v>
      </c>
      <c r="E11575" s="13" t="s">
        <v>20996</v>
      </c>
      <c r="F11575" s="43">
        <v>81.48</v>
      </c>
    </row>
    <row r="11576" spans="2:6" x14ac:dyDescent="0.25">
      <c r="B11576" s="13" t="s">
        <v>20997</v>
      </c>
      <c r="C11576" s="17" t="s">
        <v>170</v>
      </c>
      <c r="D11576" s="13" t="s">
        <v>118</v>
      </c>
      <c r="E11576" s="13" t="s">
        <v>20998</v>
      </c>
      <c r="F11576" s="43">
        <v>81.48</v>
      </c>
    </row>
    <row r="11577" spans="2:6" x14ac:dyDescent="0.25">
      <c r="B11577" s="13" t="s">
        <v>20999</v>
      </c>
      <c r="C11577" s="17" t="s">
        <v>170</v>
      </c>
      <c r="D11577" s="13" t="s">
        <v>118</v>
      </c>
      <c r="E11577" s="13" t="s">
        <v>21000</v>
      </c>
      <c r="F11577" s="43">
        <v>81.48</v>
      </c>
    </row>
    <row r="11578" spans="2:6" x14ac:dyDescent="0.25">
      <c r="B11578" s="13" t="s">
        <v>21001</v>
      </c>
      <c r="C11578" s="17" t="s">
        <v>170</v>
      </c>
      <c r="D11578" s="13" t="s">
        <v>118</v>
      </c>
      <c r="E11578" s="13" t="s">
        <v>21002</v>
      </c>
      <c r="F11578" s="43">
        <v>89.89</v>
      </c>
    </row>
    <row r="11579" spans="2:6" x14ac:dyDescent="0.25">
      <c r="B11579" s="13" t="s">
        <v>21003</v>
      </c>
      <c r="C11579" s="17" t="s">
        <v>170</v>
      </c>
      <c r="D11579" s="13" t="s">
        <v>118</v>
      </c>
      <c r="E11579" s="13" t="s">
        <v>21004</v>
      </c>
      <c r="F11579" s="43">
        <v>89.89</v>
      </c>
    </row>
    <row r="11580" spans="2:6" x14ac:dyDescent="0.25">
      <c r="B11580" s="13" t="s">
        <v>21005</v>
      </c>
      <c r="C11580" s="17" t="s">
        <v>170</v>
      </c>
      <c r="D11580" s="13" t="s">
        <v>118</v>
      </c>
      <c r="E11580" s="13" t="s">
        <v>21006</v>
      </c>
      <c r="F11580" s="43">
        <v>89.89</v>
      </c>
    </row>
    <row r="11581" spans="2:6" x14ac:dyDescent="0.25">
      <c r="B11581" s="13" t="s">
        <v>21007</v>
      </c>
      <c r="C11581" s="17" t="s">
        <v>170</v>
      </c>
      <c r="D11581" s="13" t="s">
        <v>118</v>
      </c>
      <c r="E11581" s="13" t="s">
        <v>21008</v>
      </c>
      <c r="F11581" s="43">
        <v>89.89</v>
      </c>
    </row>
    <row r="11582" spans="2:6" x14ac:dyDescent="0.25">
      <c r="B11582" s="13" t="s">
        <v>21009</v>
      </c>
      <c r="C11582" s="17" t="s">
        <v>170</v>
      </c>
      <c r="D11582" s="13" t="s">
        <v>118</v>
      </c>
      <c r="E11582" s="13" t="s">
        <v>21010</v>
      </c>
      <c r="F11582" s="43">
        <v>89.89</v>
      </c>
    </row>
    <row r="11583" spans="2:6" x14ac:dyDescent="0.25">
      <c r="B11583" s="13" t="s">
        <v>21011</v>
      </c>
      <c r="C11583" s="17" t="s">
        <v>170</v>
      </c>
      <c r="D11583" s="13" t="s">
        <v>118</v>
      </c>
      <c r="E11583" s="13" t="s">
        <v>21012</v>
      </c>
      <c r="F11583" s="43">
        <v>86.3</v>
      </c>
    </row>
    <row r="11584" spans="2:6" x14ac:dyDescent="0.25">
      <c r="B11584" s="13" t="s">
        <v>21013</v>
      </c>
      <c r="C11584" s="17" t="s">
        <v>170</v>
      </c>
      <c r="D11584" s="13" t="s">
        <v>118</v>
      </c>
      <c r="E11584" s="13" t="s">
        <v>21014</v>
      </c>
      <c r="F11584" s="43">
        <v>86.3</v>
      </c>
    </row>
    <row r="11585" spans="2:6" x14ac:dyDescent="0.25">
      <c r="B11585" s="13" t="s">
        <v>21015</v>
      </c>
      <c r="C11585" s="17" t="s">
        <v>170</v>
      </c>
      <c r="D11585" s="13" t="s">
        <v>118</v>
      </c>
      <c r="E11585" s="13" t="s">
        <v>21016</v>
      </c>
      <c r="F11585" s="43">
        <v>86.3</v>
      </c>
    </row>
    <row r="11586" spans="2:6" x14ac:dyDescent="0.25">
      <c r="B11586" s="13" t="s">
        <v>21017</v>
      </c>
      <c r="C11586" s="17" t="s">
        <v>170</v>
      </c>
      <c r="D11586" s="13" t="s">
        <v>118</v>
      </c>
      <c r="E11586" s="13" t="s">
        <v>21018</v>
      </c>
      <c r="F11586" s="43">
        <v>86.3</v>
      </c>
    </row>
    <row r="11587" spans="2:6" x14ac:dyDescent="0.25">
      <c r="B11587" s="13" t="s">
        <v>21019</v>
      </c>
      <c r="C11587" s="17" t="s">
        <v>170</v>
      </c>
      <c r="D11587" s="13" t="s">
        <v>118</v>
      </c>
      <c r="E11587" s="13" t="s">
        <v>21020</v>
      </c>
      <c r="F11587" s="43">
        <v>86.3</v>
      </c>
    </row>
    <row r="11588" spans="2:6" x14ac:dyDescent="0.25">
      <c r="B11588" s="13" t="s">
        <v>21021</v>
      </c>
      <c r="C11588" s="17" t="s">
        <v>170</v>
      </c>
      <c r="D11588" s="13" t="s">
        <v>118</v>
      </c>
      <c r="E11588" s="13" t="s">
        <v>21022</v>
      </c>
      <c r="F11588" s="43">
        <v>11.94</v>
      </c>
    </row>
    <row r="11589" spans="2:6" x14ac:dyDescent="0.25">
      <c r="B11589" s="13" t="s">
        <v>21023</v>
      </c>
      <c r="C11589" s="17" t="s">
        <v>170</v>
      </c>
      <c r="D11589" s="13" t="s">
        <v>118</v>
      </c>
      <c r="E11589" s="13" t="s">
        <v>21024</v>
      </c>
      <c r="F11589" s="43">
        <v>11.94</v>
      </c>
    </row>
    <row r="11590" spans="2:6" x14ac:dyDescent="0.25">
      <c r="B11590" s="13" t="s">
        <v>21025</v>
      </c>
      <c r="C11590" s="17" t="s">
        <v>170</v>
      </c>
      <c r="D11590" s="13" t="s">
        <v>118</v>
      </c>
      <c r="E11590" s="13" t="s">
        <v>21026</v>
      </c>
      <c r="F11590" s="43">
        <v>11.94</v>
      </c>
    </row>
    <row r="11591" spans="2:6" x14ac:dyDescent="0.25">
      <c r="B11591" s="13" t="s">
        <v>21027</v>
      </c>
      <c r="C11591" s="17" t="s">
        <v>170</v>
      </c>
      <c r="D11591" s="13" t="s">
        <v>118</v>
      </c>
      <c r="E11591" s="13" t="s">
        <v>21028</v>
      </c>
      <c r="F11591" s="43">
        <v>11.94</v>
      </c>
    </row>
    <row r="11592" spans="2:6" x14ac:dyDescent="0.25">
      <c r="B11592" s="13" t="s">
        <v>21029</v>
      </c>
      <c r="C11592" s="17" t="s">
        <v>170</v>
      </c>
      <c r="D11592" s="13" t="s">
        <v>118</v>
      </c>
      <c r="E11592" s="13" t="s">
        <v>21030</v>
      </c>
      <c r="F11592" s="43">
        <v>11.94</v>
      </c>
    </row>
    <row r="11593" spans="2:6" x14ac:dyDescent="0.25">
      <c r="B11593" s="13" t="s">
        <v>21031</v>
      </c>
      <c r="C11593" s="17" t="s">
        <v>170</v>
      </c>
      <c r="D11593" s="13" t="s">
        <v>118</v>
      </c>
      <c r="E11593" s="13" t="s">
        <v>21032</v>
      </c>
      <c r="F11593" s="43">
        <v>11.94</v>
      </c>
    </row>
    <row r="11594" spans="2:6" x14ac:dyDescent="0.25">
      <c r="B11594" s="13" t="s">
        <v>21033</v>
      </c>
      <c r="C11594" s="17" t="s">
        <v>170</v>
      </c>
      <c r="D11594" s="13" t="s">
        <v>118</v>
      </c>
      <c r="E11594" s="13" t="s">
        <v>21034</v>
      </c>
      <c r="F11594" s="43">
        <v>32.130000000000003</v>
      </c>
    </row>
    <row r="11595" spans="2:6" x14ac:dyDescent="0.25">
      <c r="B11595" s="13" t="s">
        <v>21035</v>
      </c>
      <c r="C11595" s="17" t="s">
        <v>170</v>
      </c>
      <c r="D11595" s="13" t="s">
        <v>118</v>
      </c>
      <c r="E11595" s="13" t="s">
        <v>21036</v>
      </c>
      <c r="F11595" s="43">
        <v>32.130000000000003</v>
      </c>
    </row>
    <row r="11596" spans="2:6" x14ac:dyDescent="0.25">
      <c r="B11596" s="13" t="s">
        <v>21037</v>
      </c>
      <c r="C11596" s="17" t="s">
        <v>170</v>
      </c>
      <c r="D11596" s="13" t="s">
        <v>118</v>
      </c>
      <c r="E11596" s="13" t="s">
        <v>21038</v>
      </c>
      <c r="F11596" s="43">
        <v>32.130000000000003</v>
      </c>
    </row>
    <row r="11597" spans="2:6" x14ac:dyDescent="0.25">
      <c r="B11597" s="13" t="s">
        <v>21039</v>
      </c>
      <c r="C11597" s="17" t="s">
        <v>170</v>
      </c>
      <c r="D11597" s="13" t="s">
        <v>118</v>
      </c>
      <c r="E11597" s="13" t="s">
        <v>21040</v>
      </c>
      <c r="F11597" s="43">
        <v>32.130000000000003</v>
      </c>
    </row>
    <row r="11598" spans="2:6" x14ac:dyDescent="0.25">
      <c r="B11598" s="13" t="s">
        <v>21041</v>
      </c>
      <c r="C11598" s="17" t="s">
        <v>170</v>
      </c>
      <c r="D11598" s="13" t="s">
        <v>118</v>
      </c>
      <c r="E11598" s="13" t="s">
        <v>21042</v>
      </c>
      <c r="F11598" s="43">
        <v>32.130000000000003</v>
      </c>
    </row>
    <row r="11599" spans="2:6" x14ac:dyDescent="0.25">
      <c r="B11599" s="13" t="s">
        <v>21043</v>
      </c>
      <c r="C11599" s="17" t="s">
        <v>170</v>
      </c>
      <c r="D11599" s="13" t="s">
        <v>118</v>
      </c>
      <c r="E11599" s="13" t="s">
        <v>21044</v>
      </c>
      <c r="F11599" s="43">
        <v>32.130000000000003</v>
      </c>
    </row>
    <row r="11600" spans="2:6" x14ac:dyDescent="0.25">
      <c r="B11600" s="13" t="s">
        <v>21045</v>
      </c>
      <c r="C11600" s="17" t="s">
        <v>170</v>
      </c>
      <c r="D11600" s="13" t="s">
        <v>118</v>
      </c>
      <c r="E11600" s="13" t="s">
        <v>21046</v>
      </c>
      <c r="F11600" s="43">
        <v>32.130000000000003</v>
      </c>
    </row>
    <row r="11601" spans="2:6" x14ac:dyDescent="0.25">
      <c r="B11601" s="13" t="s">
        <v>21047</v>
      </c>
      <c r="C11601" s="17" t="s">
        <v>170</v>
      </c>
      <c r="D11601" s="13" t="s">
        <v>118</v>
      </c>
      <c r="E11601" s="13" t="s">
        <v>21048</v>
      </c>
      <c r="F11601" s="43">
        <v>32.130000000000003</v>
      </c>
    </row>
    <row r="11602" spans="2:6" x14ac:dyDescent="0.25">
      <c r="B11602" s="13" t="s">
        <v>21049</v>
      </c>
      <c r="C11602" s="17" t="s">
        <v>170</v>
      </c>
      <c r="D11602" s="13" t="s">
        <v>118</v>
      </c>
      <c r="E11602" s="13" t="s">
        <v>21050</v>
      </c>
      <c r="F11602" s="43">
        <v>32.130000000000003</v>
      </c>
    </row>
    <row r="11603" spans="2:6" x14ac:dyDescent="0.25">
      <c r="B11603" s="13" t="s">
        <v>21051</v>
      </c>
      <c r="C11603" s="17" t="s">
        <v>170</v>
      </c>
      <c r="D11603" s="13" t="s">
        <v>118</v>
      </c>
      <c r="E11603" s="13" t="s">
        <v>21052</v>
      </c>
      <c r="F11603" s="43">
        <v>32.130000000000003</v>
      </c>
    </row>
    <row r="11604" spans="2:6" x14ac:dyDescent="0.25">
      <c r="B11604" s="13" t="s">
        <v>21053</v>
      </c>
      <c r="C11604" s="17" t="s">
        <v>170</v>
      </c>
      <c r="D11604" s="13" t="s">
        <v>118</v>
      </c>
      <c r="E11604" s="13" t="s">
        <v>21054</v>
      </c>
      <c r="F11604" s="43">
        <v>32.130000000000003</v>
      </c>
    </row>
    <row r="11605" spans="2:6" x14ac:dyDescent="0.25">
      <c r="B11605" s="13" t="s">
        <v>21055</v>
      </c>
      <c r="C11605" s="17" t="s">
        <v>170</v>
      </c>
      <c r="D11605" s="13" t="s">
        <v>118</v>
      </c>
      <c r="E11605" s="13" t="s">
        <v>21056</v>
      </c>
      <c r="F11605" s="43">
        <v>32.130000000000003</v>
      </c>
    </row>
    <row r="11606" spans="2:6" x14ac:dyDescent="0.25">
      <c r="B11606" s="13" t="s">
        <v>21057</v>
      </c>
      <c r="C11606" s="17" t="s">
        <v>170</v>
      </c>
      <c r="D11606" s="13" t="s">
        <v>118</v>
      </c>
      <c r="E11606" s="13" t="s">
        <v>21058</v>
      </c>
      <c r="F11606" s="43">
        <v>32.130000000000003</v>
      </c>
    </row>
    <row r="11607" spans="2:6" x14ac:dyDescent="0.25">
      <c r="B11607" s="13" t="s">
        <v>21059</v>
      </c>
      <c r="C11607" s="17" t="s">
        <v>170</v>
      </c>
      <c r="D11607" s="13" t="s">
        <v>118</v>
      </c>
      <c r="E11607" s="13" t="s">
        <v>21060</v>
      </c>
      <c r="F11607" s="43">
        <v>32.130000000000003</v>
      </c>
    </row>
    <row r="11608" spans="2:6" x14ac:dyDescent="0.25">
      <c r="B11608" s="13" t="s">
        <v>21061</v>
      </c>
      <c r="C11608" s="17" t="s">
        <v>170</v>
      </c>
      <c r="D11608" s="13" t="s">
        <v>118</v>
      </c>
      <c r="E11608" s="13" t="s">
        <v>21062</v>
      </c>
      <c r="F11608" s="43">
        <v>32.130000000000003</v>
      </c>
    </row>
    <row r="11609" spans="2:6" x14ac:dyDescent="0.25">
      <c r="B11609" s="13" t="s">
        <v>21063</v>
      </c>
      <c r="C11609" s="17" t="s">
        <v>170</v>
      </c>
      <c r="D11609" s="13" t="s">
        <v>118</v>
      </c>
      <c r="E11609" s="13" t="s">
        <v>21064</v>
      </c>
      <c r="F11609" s="43">
        <v>35.119999999999997</v>
      </c>
    </row>
    <row r="11610" spans="2:6" x14ac:dyDescent="0.25">
      <c r="B11610" s="13" t="s">
        <v>21065</v>
      </c>
      <c r="C11610" s="17" t="s">
        <v>170</v>
      </c>
      <c r="D11610" s="13" t="s">
        <v>118</v>
      </c>
      <c r="E11610" s="13" t="s">
        <v>21066</v>
      </c>
      <c r="F11610" s="43">
        <v>37.18</v>
      </c>
    </row>
    <row r="11611" spans="2:6" x14ac:dyDescent="0.25">
      <c r="B11611" s="13" t="s">
        <v>21067</v>
      </c>
      <c r="C11611" s="17" t="s">
        <v>170</v>
      </c>
      <c r="D11611" s="13" t="s">
        <v>118</v>
      </c>
      <c r="E11611" s="13" t="s">
        <v>21068</v>
      </c>
      <c r="F11611" s="43">
        <v>40.049999999999997</v>
      </c>
    </row>
    <row r="11612" spans="2:6" x14ac:dyDescent="0.25">
      <c r="B11612" s="13" t="s">
        <v>21069</v>
      </c>
      <c r="C11612" s="17" t="s">
        <v>170</v>
      </c>
      <c r="D11612" s="13" t="s">
        <v>118</v>
      </c>
      <c r="E11612" s="13" t="s">
        <v>21070</v>
      </c>
      <c r="F11612" s="43">
        <v>42.46</v>
      </c>
    </row>
    <row r="11613" spans="2:6" x14ac:dyDescent="0.25">
      <c r="B11613" s="13" t="s">
        <v>21071</v>
      </c>
      <c r="C11613" s="17" t="s">
        <v>170</v>
      </c>
      <c r="D11613" s="13" t="s">
        <v>118</v>
      </c>
      <c r="E11613" s="13" t="s">
        <v>21072</v>
      </c>
      <c r="F11613" s="43">
        <v>47.97</v>
      </c>
    </row>
    <row r="11614" spans="2:6" x14ac:dyDescent="0.25">
      <c r="B11614" s="13" t="s">
        <v>21073</v>
      </c>
      <c r="C11614" s="17" t="s">
        <v>170</v>
      </c>
      <c r="D11614" s="13" t="s">
        <v>118</v>
      </c>
      <c r="E11614" s="13" t="s">
        <v>21074</v>
      </c>
      <c r="F11614" s="43">
        <v>55.54</v>
      </c>
    </row>
    <row r="11615" spans="2:6" x14ac:dyDescent="0.25">
      <c r="B11615" s="13" t="s">
        <v>21075</v>
      </c>
      <c r="C11615" s="17" t="s">
        <v>170</v>
      </c>
      <c r="D11615" s="13" t="s">
        <v>118</v>
      </c>
      <c r="E11615" s="13" t="s">
        <v>21076</v>
      </c>
      <c r="F11615" s="43">
        <v>63.81</v>
      </c>
    </row>
    <row r="11616" spans="2:6" x14ac:dyDescent="0.25">
      <c r="B11616" s="13" t="s">
        <v>21077</v>
      </c>
      <c r="C11616" s="17" t="s">
        <v>170</v>
      </c>
      <c r="D11616" s="13" t="s">
        <v>118</v>
      </c>
      <c r="E11616" s="13" t="s">
        <v>21078</v>
      </c>
      <c r="F11616" s="43">
        <v>34.01</v>
      </c>
    </row>
    <row r="11617" spans="2:6" x14ac:dyDescent="0.25">
      <c r="B11617" s="13" t="s">
        <v>21079</v>
      </c>
      <c r="C11617" s="17" t="s">
        <v>170</v>
      </c>
      <c r="D11617" s="13" t="s">
        <v>118</v>
      </c>
      <c r="E11617" s="13" t="s">
        <v>21080</v>
      </c>
      <c r="F11617" s="43">
        <v>33.97</v>
      </c>
    </row>
    <row r="11618" spans="2:6" x14ac:dyDescent="0.25">
      <c r="B11618" s="13" t="s">
        <v>21081</v>
      </c>
      <c r="C11618" s="17" t="s">
        <v>170</v>
      </c>
      <c r="D11618" s="13" t="s">
        <v>118</v>
      </c>
      <c r="E11618" s="13" t="s">
        <v>21082</v>
      </c>
      <c r="F11618" s="43">
        <v>33.97</v>
      </c>
    </row>
    <row r="11619" spans="2:6" x14ac:dyDescent="0.25">
      <c r="B11619" s="13" t="s">
        <v>21083</v>
      </c>
      <c r="C11619" s="17" t="s">
        <v>170</v>
      </c>
      <c r="D11619" s="13" t="s">
        <v>118</v>
      </c>
      <c r="E11619" s="13" t="s">
        <v>21084</v>
      </c>
      <c r="F11619" s="43">
        <v>33.97</v>
      </c>
    </row>
    <row r="11620" spans="2:6" x14ac:dyDescent="0.25">
      <c r="B11620" s="13" t="s">
        <v>21085</v>
      </c>
      <c r="C11620" s="17" t="s">
        <v>170</v>
      </c>
      <c r="D11620" s="13" t="s">
        <v>118</v>
      </c>
      <c r="E11620" s="13" t="s">
        <v>21086</v>
      </c>
      <c r="F11620" s="43">
        <v>33.97</v>
      </c>
    </row>
    <row r="11621" spans="2:6" x14ac:dyDescent="0.25">
      <c r="B11621" s="13" t="s">
        <v>21087</v>
      </c>
      <c r="C11621" s="17" t="s">
        <v>170</v>
      </c>
      <c r="D11621" s="13" t="s">
        <v>118</v>
      </c>
      <c r="E11621" s="13" t="s">
        <v>21088</v>
      </c>
      <c r="F11621" s="43">
        <v>33.97</v>
      </c>
    </row>
    <row r="11622" spans="2:6" x14ac:dyDescent="0.25">
      <c r="B11622" s="13" t="s">
        <v>21089</v>
      </c>
      <c r="C11622" s="17" t="s">
        <v>170</v>
      </c>
      <c r="D11622" s="13" t="s">
        <v>118</v>
      </c>
      <c r="E11622" s="13" t="s">
        <v>21090</v>
      </c>
      <c r="F11622" s="43">
        <v>33.97</v>
      </c>
    </row>
    <row r="11623" spans="2:6" x14ac:dyDescent="0.25">
      <c r="B11623" s="13" t="s">
        <v>21091</v>
      </c>
      <c r="C11623" s="17" t="s">
        <v>170</v>
      </c>
      <c r="D11623" s="13" t="s">
        <v>118</v>
      </c>
      <c r="E11623" s="13" t="s">
        <v>21092</v>
      </c>
      <c r="F11623" s="43">
        <v>33.97</v>
      </c>
    </row>
    <row r="11624" spans="2:6" x14ac:dyDescent="0.25">
      <c r="B11624" s="13" t="s">
        <v>21093</v>
      </c>
      <c r="C11624" s="17" t="s">
        <v>170</v>
      </c>
      <c r="D11624" s="13" t="s">
        <v>118</v>
      </c>
      <c r="E11624" s="13" t="s">
        <v>21094</v>
      </c>
      <c r="F11624" s="43">
        <v>33.97</v>
      </c>
    </row>
    <row r="11625" spans="2:6" x14ac:dyDescent="0.25">
      <c r="B11625" s="13" t="s">
        <v>21095</v>
      </c>
      <c r="C11625" s="17" t="s">
        <v>170</v>
      </c>
      <c r="D11625" s="13" t="s">
        <v>118</v>
      </c>
      <c r="E11625" s="13" t="s">
        <v>21096</v>
      </c>
      <c r="F11625" s="43">
        <v>33.97</v>
      </c>
    </row>
    <row r="11626" spans="2:6" x14ac:dyDescent="0.25">
      <c r="B11626" s="13" t="s">
        <v>21097</v>
      </c>
      <c r="C11626" s="17" t="s">
        <v>170</v>
      </c>
      <c r="D11626" s="13" t="s">
        <v>118</v>
      </c>
      <c r="E11626" s="13" t="s">
        <v>21098</v>
      </c>
      <c r="F11626" s="43">
        <v>33.97</v>
      </c>
    </row>
    <row r="11627" spans="2:6" x14ac:dyDescent="0.25">
      <c r="B11627" s="13" t="s">
        <v>21099</v>
      </c>
      <c r="C11627" s="17" t="s">
        <v>170</v>
      </c>
      <c r="D11627" s="13" t="s">
        <v>118</v>
      </c>
      <c r="E11627" s="13" t="s">
        <v>21100</v>
      </c>
      <c r="F11627" s="43">
        <v>33.97</v>
      </c>
    </row>
    <row r="11628" spans="2:6" x14ac:dyDescent="0.25">
      <c r="B11628" s="13" t="s">
        <v>21101</v>
      </c>
      <c r="C11628" s="17" t="s">
        <v>170</v>
      </c>
      <c r="D11628" s="13" t="s">
        <v>118</v>
      </c>
      <c r="E11628" s="13" t="s">
        <v>21102</v>
      </c>
      <c r="F11628" s="43">
        <v>33.97</v>
      </c>
    </row>
    <row r="11629" spans="2:6" x14ac:dyDescent="0.25">
      <c r="B11629" s="13" t="s">
        <v>21103</v>
      </c>
      <c r="C11629" s="17" t="s">
        <v>170</v>
      </c>
      <c r="D11629" s="13" t="s">
        <v>118</v>
      </c>
      <c r="E11629" s="13" t="s">
        <v>21104</v>
      </c>
      <c r="F11629" s="43">
        <v>33.97</v>
      </c>
    </row>
    <row r="11630" spans="2:6" x14ac:dyDescent="0.25">
      <c r="B11630" s="13" t="s">
        <v>21105</v>
      </c>
      <c r="C11630" s="17" t="s">
        <v>170</v>
      </c>
      <c r="D11630" s="13" t="s">
        <v>118</v>
      </c>
      <c r="E11630" s="13" t="s">
        <v>21106</v>
      </c>
      <c r="F11630" s="43">
        <v>33.97</v>
      </c>
    </row>
    <row r="11631" spans="2:6" x14ac:dyDescent="0.25">
      <c r="B11631" s="13" t="s">
        <v>21107</v>
      </c>
      <c r="C11631" s="17" t="s">
        <v>170</v>
      </c>
      <c r="D11631" s="13" t="s">
        <v>118</v>
      </c>
      <c r="E11631" s="13" t="s">
        <v>21108</v>
      </c>
      <c r="F11631" s="43">
        <v>33.97</v>
      </c>
    </row>
    <row r="11632" spans="2:6" x14ac:dyDescent="0.25">
      <c r="B11632" s="13" t="s">
        <v>21109</v>
      </c>
      <c r="C11632" s="17" t="s">
        <v>170</v>
      </c>
      <c r="D11632" s="13" t="s">
        <v>118</v>
      </c>
      <c r="E11632" s="13" t="s">
        <v>21110</v>
      </c>
      <c r="F11632" s="43">
        <v>33.97</v>
      </c>
    </row>
    <row r="11633" spans="2:6" x14ac:dyDescent="0.25">
      <c r="B11633" s="13" t="s">
        <v>21111</v>
      </c>
      <c r="C11633" s="17" t="s">
        <v>170</v>
      </c>
      <c r="D11633" s="13" t="s">
        <v>118</v>
      </c>
      <c r="E11633" s="13" t="s">
        <v>21112</v>
      </c>
      <c r="F11633" s="43">
        <v>33.97</v>
      </c>
    </row>
    <row r="11634" spans="2:6" x14ac:dyDescent="0.25">
      <c r="B11634" s="13" t="s">
        <v>21113</v>
      </c>
      <c r="C11634" s="17" t="s">
        <v>170</v>
      </c>
      <c r="D11634" s="13" t="s">
        <v>118</v>
      </c>
      <c r="E11634" s="13" t="s">
        <v>21114</v>
      </c>
      <c r="F11634" s="43">
        <v>33.97</v>
      </c>
    </row>
    <row r="11635" spans="2:6" x14ac:dyDescent="0.25">
      <c r="B11635" s="13" t="s">
        <v>21115</v>
      </c>
      <c r="C11635" s="17" t="s">
        <v>170</v>
      </c>
      <c r="D11635" s="13" t="s">
        <v>118</v>
      </c>
      <c r="E11635" s="13" t="s">
        <v>21116</v>
      </c>
      <c r="F11635" s="43">
        <v>33.97</v>
      </c>
    </row>
    <row r="11636" spans="2:6" x14ac:dyDescent="0.25">
      <c r="B11636" s="13" t="s">
        <v>21117</v>
      </c>
      <c r="C11636" s="17" t="s">
        <v>170</v>
      </c>
      <c r="D11636" s="13" t="s">
        <v>118</v>
      </c>
      <c r="E11636" s="13" t="s">
        <v>21118</v>
      </c>
      <c r="F11636" s="43">
        <v>33.97</v>
      </c>
    </row>
    <row r="11637" spans="2:6" x14ac:dyDescent="0.25">
      <c r="B11637" s="13" t="s">
        <v>21119</v>
      </c>
      <c r="C11637" s="17" t="s">
        <v>170</v>
      </c>
      <c r="D11637" s="13" t="s">
        <v>118</v>
      </c>
      <c r="E11637" s="13" t="s">
        <v>21120</v>
      </c>
      <c r="F11637" s="43">
        <v>33.97</v>
      </c>
    </row>
    <row r="11638" spans="2:6" x14ac:dyDescent="0.25">
      <c r="B11638" s="13" t="s">
        <v>21121</v>
      </c>
      <c r="C11638" s="17" t="s">
        <v>170</v>
      </c>
      <c r="D11638" s="13" t="s">
        <v>118</v>
      </c>
      <c r="E11638" s="13" t="s">
        <v>21122</v>
      </c>
      <c r="F11638" s="43">
        <v>33.97</v>
      </c>
    </row>
    <row r="11639" spans="2:6" x14ac:dyDescent="0.25">
      <c r="B11639" s="13" t="s">
        <v>21123</v>
      </c>
      <c r="C11639" s="17" t="s">
        <v>170</v>
      </c>
      <c r="D11639" s="13" t="s">
        <v>118</v>
      </c>
      <c r="E11639" s="13" t="s">
        <v>21124</v>
      </c>
      <c r="F11639" s="43">
        <v>33.97</v>
      </c>
    </row>
    <row r="11640" spans="2:6" x14ac:dyDescent="0.25">
      <c r="B11640" s="13" t="s">
        <v>21125</v>
      </c>
      <c r="C11640" s="17" t="s">
        <v>170</v>
      </c>
      <c r="D11640" s="13" t="s">
        <v>118</v>
      </c>
      <c r="E11640" s="13" t="s">
        <v>21126</v>
      </c>
      <c r="F11640" s="43">
        <v>33.97</v>
      </c>
    </row>
    <row r="11641" spans="2:6" x14ac:dyDescent="0.25">
      <c r="B11641" s="13" t="s">
        <v>21127</v>
      </c>
      <c r="C11641" s="17" t="s">
        <v>170</v>
      </c>
      <c r="D11641" s="13" t="s">
        <v>118</v>
      </c>
      <c r="E11641" s="13" t="s">
        <v>21128</v>
      </c>
      <c r="F11641" s="43">
        <v>33.97</v>
      </c>
    </row>
    <row r="11642" spans="2:6" x14ac:dyDescent="0.25">
      <c r="B11642" s="13" t="s">
        <v>21129</v>
      </c>
      <c r="C11642" s="17" t="s">
        <v>170</v>
      </c>
      <c r="D11642" s="13" t="s">
        <v>118</v>
      </c>
      <c r="E11642" s="13" t="s">
        <v>21130</v>
      </c>
      <c r="F11642" s="43">
        <v>33.97</v>
      </c>
    </row>
    <row r="11643" spans="2:6" x14ac:dyDescent="0.25">
      <c r="B11643" s="13" t="s">
        <v>21131</v>
      </c>
      <c r="C11643" s="17" t="s">
        <v>170</v>
      </c>
      <c r="D11643" s="13" t="s">
        <v>118</v>
      </c>
      <c r="E11643" s="13" t="s">
        <v>21132</v>
      </c>
      <c r="F11643" s="43">
        <v>33.97</v>
      </c>
    </row>
    <row r="11644" spans="2:6" x14ac:dyDescent="0.25">
      <c r="B11644" s="13" t="s">
        <v>21133</v>
      </c>
      <c r="C11644" s="17" t="s">
        <v>170</v>
      </c>
      <c r="D11644" s="13" t="s">
        <v>118</v>
      </c>
      <c r="E11644" s="13" t="s">
        <v>21134</v>
      </c>
      <c r="F11644" s="43">
        <v>33.97</v>
      </c>
    </row>
    <row r="11645" spans="2:6" x14ac:dyDescent="0.25">
      <c r="B11645" s="13" t="s">
        <v>21135</v>
      </c>
      <c r="C11645" s="17" t="s">
        <v>170</v>
      </c>
      <c r="D11645" s="13" t="s">
        <v>118</v>
      </c>
      <c r="E11645" s="13" t="s">
        <v>21136</v>
      </c>
      <c r="F11645" s="43">
        <v>36.5</v>
      </c>
    </row>
    <row r="11646" spans="2:6" x14ac:dyDescent="0.25">
      <c r="B11646" s="13" t="s">
        <v>21137</v>
      </c>
      <c r="C11646" s="17" t="s">
        <v>170</v>
      </c>
      <c r="D11646" s="13" t="s">
        <v>118</v>
      </c>
      <c r="E11646" s="13" t="s">
        <v>21138</v>
      </c>
      <c r="F11646" s="43">
        <v>39.130000000000003</v>
      </c>
    </row>
    <row r="11647" spans="2:6" x14ac:dyDescent="0.25">
      <c r="B11647" s="13" t="s">
        <v>21139</v>
      </c>
      <c r="C11647" s="17" t="s">
        <v>170</v>
      </c>
      <c r="D11647" s="13" t="s">
        <v>118</v>
      </c>
      <c r="E11647" s="13" t="s">
        <v>21140</v>
      </c>
      <c r="F11647" s="43">
        <v>41.77</v>
      </c>
    </row>
    <row r="11648" spans="2:6" x14ac:dyDescent="0.25">
      <c r="B11648" s="13" t="s">
        <v>21141</v>
      </c>
      <c r="C11648" s="17" t="s">
        <v>170</v>
      </c>
      <c r="D11648" s="13" t="s">
        <v>118</v>
      </c>
      <c r="E11648" s="13" t="s">
        <v>21142</v>
      </c>
      <c r="F11648" s="43">
        <v>44.41</v>
      </c>
    </row>
    <row r="11649" spans="2:6" x14ac:dyDescent="0.25">
      <c r="B11649" s="13" t="s">
        <v>21143</v>
      </c>
      <c r="C11649" s="17" t="s">
        <v>170</v>
      </c>
      <c r="D11649" s="13" t="s">
        <v>118</v>
      </c>
      <c r="E11649" s="13" t="s">
        <v>21144</v>
      </c>
      <c r="F11649" s="43">
        <v>49.81</v>
      </c>
    </row>
    <row r="11650" spans="2:6" x14ac:dyDescent="0.25">
      <c r="B11650" s="13" t="s">
        <v>21145</v>
      </c>
      <c r="C11650" s="17" t="s">
        <v>170</v>
      </c>
      <c r="D11650" s="13" t="s">
        <v>118</v>
      </c>
      <c r="E11650" s="13" t="s">
        <v>21146</v>
      </c>
      <c r="F11650" s="43">
        <v>57.49</v>
      </c>
    </row>
    <row r="11651" spans="2:6" x14ac:dyDescent="0.25">
      <c r="B11651" s="13" t="s">
        <v>21147</v>
      </c>
      <c r="C11651" s="17" t="s">
        <v>170</v>
      </c>
      <c r="D11651" s="13" t="s">
        <v>118</v>
      </c>
      <c r="E11651" s="13" t="s">
        <v>21148</v>
      </c>
      <c r="F11651" s="43">
        <v>65.760000000000005</v>
      </c>
    </row>
    <row r="11652" spans="2:6" x14ac:dyDescent="0.25">
      <c r="B11652" s="13" t="s">
        <v>21149</v>
      </c>
      <c r="C11652" s="17" t="s">
        <v>170</v>
      </c>
      <c r="D11652" s="13" t="s">
        <v>118</v>
      </c>
      <c r="E11652" s="13" t="s">
        <v>21150</v>
      </c>
      <c r="F11652" s="43">
        <v>71.040000000000006</v>
      </c>
    </row>
    <row r="11653" spans="2:6" x14ac:dyDescent="0.25">
      <c r="B11653" s="13" t="s">
        <v>21151</v>
      </c>
      <c r="C11653" s="17" t="s">
        <v>170</v>
      </c>
      <c r="D11653" s="13" t="s">
        <v>118</v>
      </c>
      <c r="E11653" s="13" t="s">
        <v>21152</v>
      </c>
      <c r="F11653" s="43">
        <v>71.040000000000006</v>
      </c>
    </row>
    <row r="11654" spans="2:6" x14ac:dyDescent="0.25">
      <c r="B11654" s="13" t="s">
        <v>21153</v>
      </c>
      <c r="C11654" s="17" t="s">
        <v>170</v>
      </c>
      <c r="D11654" s="13" t="s">
        <v>118</v>
      </c>
      <c r="E11654" s="13" t="s">
        <v>21154</v>
      </c>
      <c r="F11654" s="43">
        <v>71.040000000000006</v>
      </c>
    </row>
    <row r="11655" spans="2:6" x14ac:dyDescent="0.25">
      <c r="B11655" s="13" t="s">
        <v>21155</v>
      </c>
      <c r="C11655" s="17" t="s">
        <v>170</v>
      </c>
      <c r="D11655" s="13" t="s">
        <v>118</v>
      </c>
      <c r="E11655" s="13" t="s">
        <v>21156</v>
      </c>
      <c r="F11655" s="43">
        <v>73.56</v>
      </c>
    </row>
    <row r="11656" spans="2:6" x14ac:dyDescent="0.25">
      <c r="B11656" s="13" t="s">
        <v>21157</v>
      </c>
      <c r="C11656" s="17" t="s">
        <v>170</v>
      </c>
      <c r="D11656" s="13" t="s">
        <v>118</v>
      </c>
      <c r="E11656" s="13" t="s">
        <v>21158</v>
      </c>
      <c r="F11656" s="43">
        <v>75.97</v>
      </c>
    </row>
    <row r="11657" spans="2:6" x14ac:dyDescent="0.25">
      <c r="B11657" s="13" t="s">
        <v>21159</v>
      </c>
      <c r="C11657" s="17" t="s">
        <v>170</v>
      </c>
      <c r="D11657" s="13" t="s">
        <v>118</v>
      </c>
      <c r="E11657" s="13" t="s">
        <v>21160</v>
      </c>
      <c r="F11657" s="43">
        <v>78.61</v>
      </c>
    </row>
    <row r="11658" spans="2:6" x14ac:dyDescent="0.25">
      <c r="B11658" s="13" t="s">
        <v>21161</v>
      </c>
      <c r="C11658" s="17" t="s">
        <v>170</v>
      </c>
      <c r="D11658" s="13" t="s">
        <v>118</v>
      </c>
      <c r="E11658" s="13" t="s">
        <v>21162</v>
      </c>
      <c r="F11658" s="43">
        <v>81.02</v>
      </c>
    </row>
    <row r="11659" spans="2:6" x14ac:dyDescent="0.25">
      <c r="B11659" s="13" t="s">
        <v>21163</v>
      </c>
      <c r="C11659" s="17" t="s">
        <v>170</v>
      </c>
      <c r="D11659" s="13" t="s">
        <v>118</v>
      </c>
      <c r="E11659" s="13" t="s">
        <v>21164</v>
      </c>
      <c r="F11659" s="43">
        <v>84.92</v>
      </c>
    </row>
    <row r="11660" spans="2:6" x14ac:dyDescent="0.25">
      <c r="B11660" s="13" t="s">
        <v>21165</v>
      </c>
      <c r="C11660" s="17" t="s">
        <v>170</v>
      </c>
      <c r="D11660" s="13" t="s">
        <v>118</v>
      </c>
      <c r="E11660" s="13" t="s">
        <v>21166</v>
      </c>
      <c r="F11660" s="43">
        <v>93.3</v>
      </c>
    </row>
    <row r="11661" spans="2:6" x14ac:dyDescent="0.25">
      <c r="B11661" s="13" t="s">
        <v>21167</v>
      </c>
      <c r="C11661" s="17" t="s">
        <v>170</v>
      </c>
      <c r="D11661" s="13" t="s">
        <v>118</v>
      </c>
      <c r="E11661" s="13" t="s">
        <v>21168</v>
      </c>
      <c r="F11661" s="43">
        <v>101.1</v>
      </c>
    </row>
    <row r="11662" spans="2:6" x14ac:dyDescent="0.25">
      <c r="B11662" s="13" t="s">
        <v>21169</v>
      </c>
      <c r="C11662" s="17" t="s">
        <v>170</v>
      </c>
      <c r="D11662" s="13" t="s">
        <v>118</v>
      </c>
      <c r="E11662" s="13" t="s">
        <v>21170</v>
      </c>
      <c r="F11662" s="43">
        <v>87.44</v>
      </c>
    </row>
    <row r="11663" spans="2:6" x14ac:dyDescent="0.25">
      <c r="B11663" s="13" t="s">
        <v>21171</v>
      </c>
      <c r="C11663" s="17" t="s">
        <v>170</v>
      </c>
      <c r="D11663" s="13" t="s">
        <v>118</v>
      </c>
      <c r="E11663" s="13" t="s">
        <v>21172</v>
      </c>
      <c r="F11663" s="43">
        <v>87.44</v>
      </c>
    </row>
    <row r="11664" spans="2:6" x14ac:dyDescent="0.25">
      <c r="B11664" s="13" t="s">
        <v>21173</v>
      </c>
      <c r="C11664" s="17" t="s">
        <v>170</v>
      </c>
      <c r="D11664" s="13" t="s">
        <v>118</v>
      </c>
      <c r="E11664" s="13" t="s">
        <v>21174</v>
      </c>
      <c r="F11664" s="43">
        <v>87.44</v>
      </c>
    </row>
    <row r="11665" spans="2:6" x14ac:dyDescent="0.25">
      <c r="B11665" s="13" t="s">
        <v>21175</v>
      </c>
      <c r="C11665" s="17" t="s">
        <v>170</v>
      </c>
      <c r="D11665" s="13" t="s">
        <v>118</v>
      </c>
      <c r="E11665" s="13" t="s">
        <v>21176</v>
      </c>
      <c r="F11665" s="43">
        <v>89.85</v>
      </c>
    </row>
    <row r="11666" spans="2:6" x14ac:dyDescent="0.25">
      <c r="B11666" s="13" t="s">
        <v>21177</v>
      </c>
      <c r="C11666" s="17" t="s">
        <v>170</v>
      </c>
      <c r="D11666" s="13" t="s">
        <v>118</v>
      </c>
      <c r="E11666" s="13" t="s">
        <v>21178</v>
      </c>
      <c r="F11666" s="43">
        <v>91.92</v>
      </c>
    </row>
    <row r="11667" spans="2:6" x14ac:dyDescent="0.25">
      <c r="B11667" s="13" t="s">
        <v>21179</v>
      </c>
      <c r="C11667" s="17" t="s">
        <v>170</v>
      </c>
      <c r="D11667" s="13" t="s">
        <v>118</v>
      </c>
      <c r="E11667" s="13" t="s">
        <v>21180</v>
      </c>
      <c r="F11667" s="43">
        <v>94.9</v>
      </c>
    </row>
    <row r="11668" spans="2:6" x14ac:dyDescent="0.25">
      <c r="B11668" s="13" t="s">
        <v>21181</v>
      </c>
      <c r="C11668" s="17" t="s">
        <v>170</v>
      </c>
      <c r="D11668" s="13" t="s">
        <v>118</v>
      </c>
      <c r="E11668" s="13" t="s">
        <v>21182</v>
      </c>
      <c r="F11668" s="43">
        <v>101.67</v>
      </c>
    </row>
    <row r="11669" spans="2:6" x14ac:dyDescent="0.25">
      <c r="B11669" s="13" t="s">
        <v>21183</v>
      </c>
      <c r="C11669" s="17" t="s">
        <v>170</v>
      </c>
      <c r="D11669" s="13" t="s">
        <v>118</v>
      </c>
      <c r="E11669" s="13" t="s">
        <v>21184</v>
      </c>
      <c r="F11669" s="43">
        <v>102.59</v>
      </c>
    </row>
    <row r="11670" spans="2:6" x14ac:dyDescent="0.25">
      <c r="B11670" s="13" t="s">
        <v>21185</v>
      </c>
      <c r="C11670" s="17" t="s">
        <v>170</v>
      </c>
      <c r="D11670" s="13" t="s">
        <v>118</v>
      </c>
      <c r="E11670" s="13" t="s">
        <v>21186</v>
      </c>
      <c r="F11670" s="43">
        <v>109.94</v>
      </c>
    </row>
    <row r="11671" spans="2:6" x14ac:dyDescent="0.25">
      <c r="B11671" s="13" t="s">
        <v>21187</v>
      </c>
      <c r="C11671" s="17" t="s">
        <v>170</v>
      </c>
      <c r="D11671" s="13" t="s">
        <v>118</v>
      </c>
      <c r="E11671" s="13" t="s">
        <v>21188</v>
      </c>
      <c r="F11671" s="43">
        <v>116.94</v>
      </c>
    </row>
    <row r="11672" spans="2:6" x14ac:dyDescent="0.25">
      <c r="B11672" s="13" t="s">
        <v>21189</v>
      </c>
      <c r="C11672" s="17" t="s">
        <v>170</v>
      </c>
      <c r="D11672" s="13" t="s">
        <v>118</v>
      </c>
      <c r="E11672" s="13" t="s">
        <v>21190</v>
      </c>
      <c r="F11672" s="43">
        <v>41.89</v>
      </c>
    </row>
    <row r="11673" spans="2:6" x14ac:dyDescent="0.25">
      <c r="B11673" s="13" t="s">
        <v>21191</v>
      </c>
      <c r="C11673" s="17" t="s">
        <v>170</v>
      </c>
      <c r="D11673" s="13" t="s">
        <v>118</v>
      </c>
      <c r="E11673" s="13" t="s">
        <v>21192</v>
      </c>
      <c r="F11673" s="43">
        <v>41.89</v>
      </c>
    </row>
    <row r="11674" spans="2:6" x14ac:dyDescent="0.25">
      <c r="B11674" s="13" t="s">
        <v>21193</v>
      </c>
      <c r="C11674" s="17" t="s">
        <v>170</v>
      </c>
      <c r="D11674" s="13" t="s">
        <v>118</v>
      </c>
      <c r="E11674" s="13" t="s">
        <v>21194</v>
      </c>
      <c r="F11674" s="43">
        <v>41.89</v>
      </c>
    </row>
    <row r="11675" spans="2:6" x14ac:dyDescent="0.25">
      <c r="B11675" s="13" t="s">
        <v>21195</v>
      </c>
      <c r="C11675" s="17" t="s">
        <v>170</v>
      </c>
      <c r="D11675" s="13" t="s">
        <v>118</v>
      </c>
      <c r="E11675" s="13" t="s">
        <v>21196</v>
      </c>
      <c r="F11675" s="43">
        <v>41.89</v>
      </c>
    </row>
    <row r="11676" spans="2:6" x14ac:dyDescent="0.25">
      <c r="B11676" s="13" t="s">
        <v>21197</v>
      </c>
      <c r="C11676" s="17" t="s">
        <v>170</v>
      </c>
      <c r="D11676" s="13" t="s">
        <v>118</v>
      </c>
      <c r="E11676" s="13" t="s">
        <v>21198</v>
      </c>
      <c r="F11676" s="43">
        <v>84.35</v>
      </c>
    </row>
    <row r="11677" spans="2:6" x14ac:dyDescent="0.25">
      <c r="B11677" s="13" t="s">
        <v>21199</v>
      </c>
      <c r="C11677" s="17" t="s">
        <v>170</v>
      </c>
      <c r="D11677" s="13" t="s">
        <v>118</v>
      </c>
      <c r="E11677" s="13" t="s">
        <v>21200</v>
      </c>
      <c r="F11677" s="43">
        <v>41.89</v>
      </c>
    </row>
    <row r="11678" spans="2:6" x14ac:dyDescent="0.25">
      <c r="B11678" s="13" t="s">
        <v>21201</v>
      </c>
      <c r="C11678" s="17" t="s">
        <v>170</v>
      </c>
      <c r="D11678" s="13" t="s">
        <v>118</v>
      </c>
      <c r="E11678" s="13" t="s">
        <v>21202</v>
      </c>
      <c r="F11678" s="43">
        <v>41.89</v>
      </c>
    </row>
    <row r="11679" spans="2:6" x14ac:dyDescent="0.25">
      <c r="B11679" s="13" t="s">
        <v>21203</v>
      </c>
      <c r="C11679" s="17" t="s">
        <v>170</v>
      </c>
      <c r="D11679" s="13" t="s">
        <v>118</v>
      </c>
      <c r="E11679" s="13" t="s">
        <v>21204</v>
      </c>
      <c r="F11679" s="43">
        <v>41.89</v>
      </c>
    </row>
    <row r="11680" spans="2:6" x14ac:dyDescent="0.25">
      <c r="B11680" s="13" t="s">
        <v>21205</v>
      </c>
      <c r="C11680" s="17" t="s">
        <v>170</v>
      </c>
      <c r="D11680" s="13" t="s">
        <v>118</v>
      </c>
      <c r="E11680" s="13" t="s">
        <v>21206</v>
      </c>
      <c r="F11680" s="43">
        <v>41.89</v>
      </c>
    </row>
    <row r="11681" spans="2:6" x14ac:dyDescent="0.25">
      <c r="B11681" s="13" t="s">
        <v>21207</v>
      </c>
      <c r="C11681" s="17" t="s">
        <v>170</v>
      </c>
      <c r="D11681" s="13" t="s">
        <v>118</v>
      </c>
      <c r="E11681" s="13" t="s">
        <v>21208</v>
      </c>
      <c r="F11681" s="43">
        <v>41.89</v>
      </c>
    </row>
    <row r="11682" spans="2:6" x14ac:dyDescent="0.25">
      <c r="B11682" s="13" t="s">
        <v>21209</v>
      </c>
      <c r="C11682" s="17" t="s">
        <v>170</v>
      </c>
      <c r="D11682" s="13" t="s">
        <v>118</v>
      </c>
      <c r="E11682" s="13" t="s">
        <v>21210</v>
      </c>
      <c r="F11682" s="43">
        <v>41.89</v>
      </c>
    </row>
    <row r="11683" spans="2:6" x14ac:dyDescent="0.25">
      <c r="B11683" s="13" t="s">
        <v>21211</v>
      </c>
      <c r="C11683" s="17" t="s">
        <v>170</v>
      </c>
      <c r="D11683" s="13" t="s">
        <v>118</v>
      </c>
      <c r="E11683" s="13" t="s">
        <v>21212</v>
      </c>
      <c r="F11683" s="43">
        <v>41.89</v>
      </c>
    </row>
    <row r="11684" spans="2:6" x14ac:dyDescent="0.25">
      <c r="B11684" s="13" t="s">
        <v>21213</v>
      </c>
      <c r="C11684" s="17" t="s">
        <v>170</v>
      </c>
      <c r="D11684" s="13" t="s">
        <v>118</v>
      </c>
      <c r="E11684" s="13" t="s">
        <v>21214</v>
      </c>
      <c r="F11684" s="43">
        <v>41.89</v>
      </c>
    </row>
    <row r="11685" spans="2:6" x14ac:dyDescent="0.25">
      <c r="B11685" s="13" t="s">
        <v>21215</v>
      </c>
      <c r="C11685" s="17" t="s">
        <v>170</v>
      </c>
      <c r="D11685" s="13" t="s">
        <v>118</v>
      </c>
      <c r="E11685" s="13" t="s">
        <v>21216</v>
      </c>
      <c r="F11685" s="43">
        <v>84.35</v>
      </c>
    </row>
    <row r="11686" spans="2:6" x14ac:dyDescent="0.25">
      <c r="B11686" s="13" t="s">
        <v>21217</v>
      </c>
      <c r="C11686" s="17" t="s">
        <v>170</v>
      </c>
      <c r="D11686" s="13" t="s">
        <v>118</v>
      </c>
      <c r="E11686" s="13" t="s">
        <v>21218</v>
      </c>
      <c r="F11686" s="43">
        <v>41.89</v>
      </c>
    </row>
    <row r="11687" spans="2:6" x14ac:dyDescent="0.25">
      <c r="B11687" s="13" t="s">
        <v>21219</v>
      </c>
      <c r="C11687" s="17" t="s">
        <v>170</v>
      </c>
      <c r="D11687" s="13" t="s">
        <v>118</v>
      </c>
      <c r="E11687" s="13" t="s">
        <v>21220</v>
      </c>
      <c r="F11687" s="43">
        <v>41.89</v>
      </c>
    </row>
    <row r="11688" spans="2:6" x14ac:dyDescent="0.25">
      <c r="B11688" s="13" t="s">
        <v>21221</v>
      </c>
      <c r="C11688" s="17" t="s">
        <v>170</v>
      </c>
      <c r="D11688" s="13" t="s">
        <v>118</v>
      </c>
      <c r="E11688" s="13" t="s">
        <v>21222</v>
      </c>
      <c r="F11688" s="43">
        <v>41.89</v>
      </c>
    </row>
    <row r="11689" spans="2:6" x14ac:dyDescent="0.25">
      <c r="B11689" s="13" t="s">
        <v>21223</v>
      </c>
      <c r="C11689" s="17" t="s">
        <v>170</v>
      </c>
      <c r="D11689" s="13" t="s">
        <v>118</v>
      </c>
      <c r="E11689" s="13" t="s">
        <v>21224</v>
      </c>
      <c r="F11689" s="43">
        <v>41.89</v>
      </c>
    </row>
    <row r="11690" spans="2:6" x14ac:dyDescent="0.25">
      <c r="B11690" s="13" t="s">
        <v>21225</v>
      </c>
      <c r="C11690" s="17" t="s">
        <v>170</v>
      </c>
      <c r="D11690" s="13" t="s">
        <v>118</v>
      </c>
      <c r="E11690" s="13" t="s">
        <v>21226</v>
      </c>
      <c r="F11690" s="43">
        <v>41.89</v>
      </c>
    </row>
    <row r="11691" spans="2:6" x14ac:dyDescent="0.25">
      <c r="B11691" s="13" t="s">
        <v>21227</v>
      </c>
      <c r="C11691" s="17" t="s">
        <v>170</v>
      </c>
      <c r="D11691" s="13" t="s">
        <v>118</v>
      </c>
      <c r="E11691" s="13" t="s">
        <v>21228</v>
      </c>
      <c r="F11691" s="43">
        <v>41.89</v>
      </c>
    </row>
    <row r="11692" spans="2:6" x14ac:dyDescent="0.25">
      <c r="B11692" s="13" t="s">
        <v>21229</v>
      </c>
      <c r="C11692" s="17" t="s">
        <v>170</v>
      </c>
      <c r="D11692" s="13" t="s">
        <v>118</v>
      </c>
      <c r="E11692" s="13" t="s">
        <v>21230</v>
      </c>
      <c r="F11692" s="43">
        <v>41.89</v>
      </c>
    </row>
    <row r="11693" spans="2:6" x14ac:dyDescent="0.25">
      <c r="B11693" s="13" t="s">
        <v>21231</v>
      </c>
      <c r="C11693" s="17" t="s">
        <v>170</v>
      </c>
      <c r="D11693" s="13" t="s">
        <v>118</v>
      </c>
      <c r="E11693" s="13" t="s">
        <v>21232</v>
      </c>
      <c r="F11693" s="43">
        <v>41.89</v>
      </c>
    </row>
    <row r="11694" spans="2:6" x14ac:dyDescent="0.25">
      <c r="B11694" s="13" t="s">
        <v>21233</v>
      </c>
      <c r="C11694" s="17" t="s">
        <v>170</v>
      </c>
      <c r="D11694" s="13" t="s">
        <v>118</v>
      </c>
      <c r="E11694" s="13" t="s">
        <v>21232</v>
      </c>
      <c r="F11694" s="43">
        <v>84.35</v>
      </c>
    </row>
    <row r="11695" spans="2:6" x14ac:dyDescent="0.25">
      <c r="B11695" s="13" t="s">
        <v>21234</v>
      </c>
      <c r="C11695" s="17" t="s">
        <v>170</v>
      </c>
      <c r="D11695" s="13" t="s">
        <v>118</v>
      </c>
      <c r="E11695" s="13" t="s">
        <v>21235</v>
      </c>
      <c r="F11695" s="43">
        <v>41.89</v>
      </c>
    </row>
    <row r="11696" spans="2:6" x14ac:dyDescent="0.25">
      <c r="B11696" s="13" t="s">
        <v>21236</v>
      </c>
      <c r="C11696" s="17" t="s">
        <v>170</v>
      </c>
      <c r="D11696" s="13" t="s">
        <v>118</v>
      </c>
      <c r="E11696" s="13" t="s">
        <v>21237</v>
      </c>
      <c r="F11696" s="43">
        <v>41.89</v>
      </c>
    </row>
    <row r="11697" spans="2:6" x14ac:dyDescent="0.25">
      <c r="B11697" s="13" t="s">
        <v>21238</v>
      </c>
      <c r="C11697" s="17" t="s">
        <v>170</v>
      </c>
      <c r="D11697" s="13" t="s">
        <v>118</v>
      </c>
      <c r="E11697" s="13" t="s">
        <v>21239</v>
      </c>
      <c r="F11697" s="43">
        <v>41.89</v>
      </c>
    </row>
    <row r="11698" spans="2:6" x14ac:dyDescent="0.25">
      <c r="B11698" s="13" t="s">
        <v>21240</v>
      </c>
      <c r="C11698" s="17" t="s">
        <v>170</v>
      </c>
      <c r="D11698" s="13" t="s">
        <v>118</v>
      </c>
      <c r="E11698" s="13" t="s">
        <v>21241</v>
      </c>
      <c r="F11698" s="43">
        <v>41.89</v>
      </c>
    </row>
    <row r="11699" spans="2:6" x14ac:dyDescent="0.25">
      <c r="B11699" s="13" t="s">
        <v>21242</v>
      </c>
      <c r="C11699" s="17" t="s">
        <v>170</v>
      </c>
      <c r="D11699" s="13" t="s">
        <v>118</v>
      </c>
      <c r="E11699" s="13" t="s">
        <v>21243</v>
      </c>
      <c r="F11699" s="43">
        <v>41.89</v>
      </c>
    </row>
    <row r="11700" spans="2:6" x14ac:dyDescent="0.25">
      <c r="B11700" s="13" t="s">
        <v>21244</v>
      </c>
      <c r="C11700" s="17" t="s">
        <v>170</v>
      </c>
      <c r="D11700" s="13" t="s">
        <v>118</v>
      </c>
      <c r="E11700" s="13" t="s">
        <v>21245</v>
      </c>
      <c r="F11700" s="43">
        <v>44.3</v>
      </c>
    </row>
    <row r="11701" spans="2:6" x14ac:dyDescent="0.25">
      <c r="B11701" s="13" t="s">
        <v>21246</v>
      </c>
      <c r="C11701" s="17" t="s">
        <v>170</v>
      </c>
      <c r="D11701" s="13" t="s">
        <v>118</v>
      </c>
      <c r="E11701" s="13" t="s">
        <v>21247</v>
      </c>
      <c r="F11701" s="43">
        <v>44.3</v>
      </c>
    </row>
    <row r="11702" spans="2:6" x14ac:dyDescent="0.25">
      <c r="B11702" s="13" t="s">
        <v>21248</v>
      </c>
      <c r="C11702" s="17" t="s">
        <v>170</v>
      </c>
      <c r="D11702" s="13" t="s">
        <v>118</v>
      </c>
      <c r="E11702" s="13" t="s">
        <v>21249</v>
      </c>
      <c r="F11702" s="43">
        <v>44.3</v>
      </c>
    </row>
    <row r="11703" spans="2:6" x14ac:dyDescent="0.25">
      <c r="B11703" s="13" t="s">
        <v>21250</v>
      </c>
      <c r="C11703" s="17" t="s">
        <v>170</v>
      </c>
      <c r="D11703" s="13" t="s">
        <v>118</v>
      </c>
      <c r="E11703" s="13" t="s">
        <v>21251</v>
      </c>
      <c r="F11703" s="43">
        <v>44.3</v>
      </c>
    </row>
    <row r="11704" spans="2:6" x14ac:dyDescent="0.25">
      <c r="B11704" s="13" t="s">
        <v>21252</v>
      </c>
      <c r="C11704" s="17" t="s">
        <v>170</v>
      </c>
      <c r="D11704" s="13" t="s">
        <v>118</v>
      </c>
      <c r="E11704" s="13" t="s">
        <v>21253</v>
      </c>
      <c r="F11704" s="43">
        <v>46.82</v>
      </c>
    </row>
    <row r="11705" spans="2:6" x14ac:dyDescent="0.25">
      <c r="B11705" s="13" t="s">
        <v>21254</v>
      </c>
      <c r="C11705" s="17" t="s">
        <v>170</v>
      </c>
      <c r="D11705" s="13" t="s">
        <v>118</v>
      </c>
      <c r="E11705" s="13" t="s">
        <v>21255</v>
      </c>
      <c r="F11705" s="43">
        <v>46.82</v>
      </c>
    </row>
    <row r="11706" spans="2:6" x14ac:dyDescent="0.25">
      <c r="B11706" s="13" t="s">
        <v>21256</v>
      </c>
      <c r="C11706" s="17" t="s">
        <v>170</v>
      </c>
      <c r="D11706" s="13" t="s">
        <v>118</v>
      </c>
      <c r="E11706" s="13" t="s">
        <v>21257</v>
      </c>
      <c r="F11706" s="43">
        <v>46.82</v>
      </c>
    </row>
    <row r="11707" spans="2:6" x14ac:dyDescent="0.25">
      <c r="B11707" s="13" t="s">
        <v>21258</v>
      </c>
      <c r="C11707" s="17" t="s">
        <v>170</v>
      </c>
      <c r="D11707" s="13" t="s">
        <v>118</v>
      </c>
      <c r="E11707" s="13" t="s">
        <v>21259</v>
      </c>
      <c r="F11707" s="43">
        <v>46.82</v>
      </c>
    </row>
    <row r="11708" spans="2:6" x14ac:dyDescent="0.25">
      <c r="B11708" s="13" t="s">
        <v>21260</v>
      </c>
      <c r="C11708" s="17" t="s">
        <v>170</v>
      </c>
      <c r="D11708" s="13" t="s">
        <v>118</v>
      </c>
      <c r="E11708" s="13" t="s">
        <v>21261</v>
      </c>
      <c r="F11708" s="43">
        <v>46.82</v>
      </c>
    </row>
    <row r="11709" spans="2:6" x14ac:dyDescent="0.25">
      <c r="B11709" s="13" t="s">
        <v>21262</v>
      </c>
      <c r="C11709" s="17" t="s">
        <v>170</v>
      </c>
      <c r="D11709" s="13" t="s">
        <v>118</v>
      </c>
      <c r="E11709" s="13" t="s">
        <v>21263</v>
      </c>
      <c r="F11709" s="43">
        <v>49.23</v>
      </c>
    </row>
    <row r="11710" spans="2:6" x14ac:dyDescent="0.25">
      <c r="B11710" s="13" t="s">
        <v>21264</v>
      </c>
      <c r="C11710" s="17" t="s">
        <v>170</v>
      </c>
      <c r="D11710" s="13" t="s">
        <v>118</v>
      </c>
      <c r="E11710" s="13" t="s">
        <v>21265</v>
      </c>
      <c r="F11710" s="43">
        <v>51.76</v>
      </c>
    </row>
    <row r="11711" spans="2:6" x14ac:dyDescent="0.25">
      <c r="B11711" s="13" t="s">
        <v>21266</v>
      </c>
      <c r="C11711" s="17" t="s">
        <v>170</v>
      </c>
      <c r="D11711" s="13" t="s">
        <v>118</v>
      </c>
      <c r="E11711" s="13" t="s">
        <v>21267</v>
      </c>
      <c r="F11711" s="43">
        <v>56.81</v>
      </c>
    </row>
    <row r="11712" spans="2:6" x14ac:dyDescent="0.25">
      <c r="B11712" s="13" t="s">
        <v>21268</v>
      </c>
      <c r="C11712" s="17" t="s">
        <v>170</v>
      </c>
      <c r="D11712" s="13" t="s">
        <v>118</v>
      </c>
      <c r="E11712" s="13" t="s">
        <v>21269</v>
      </c>
      <c r="F11712" s="43">
        <v>64.260000000000005</v>
      </c>
    </row>
    <row r="11713" spans="2:6" x14ac:dyDescent="0.25">
      <c r="B11713" s="13" t="s">
        <v>21270</v>
      </c>
      <c r="C11713" s="17" t="s">
        <v>170</v>
      </c>
      <c r="D11713" s="13" t="s">
        <v>118</v>
      </c>
      <c r="E11713" s="13" t="s">
        <v>21271</v>
      </c>
      <c r="F11713" s="43">
        <v>64.260000000000005</v>
      </c>
    </row>
    <row r="11714" spans="2:6" x14ac:dyDescent="0.25">
      <c r="B11714" s="13" t="s">
        <v>21272</v>
      </c>
      <c r="C11714" s="17" t="s">
        <v>170</v>
      </c>
      <c r="D11714" s="13" t="s">
        <v>118</v>
      </c>
      <c r="E11714" s="13" t="s">
        <v>21273</v>
      </c>
      <c r="F11714" s="43">
        <v>64.260000000000005</v>
      </c>
    </row>
    <row r="11715" spans="2:6" x14ac:dyDescent="0.25">
      <c r="B11715" s="13" t="s">
        <v>21274</v>
      </c>
      <c r="C11715" s="17" t="s">
        <v>170</v>
      </c>
      <c r="D11715" s="13" t="s">
        <v>118</v>
      </c>
      <c r="E11715" s="13" t="s">
        <v>21275</v>
      </c>
      <c r="F11715" s="43">
        <v>71.61</v>
      </c>
    </row>
    <row r="11716" spans="2:6" x14ac:dyDescent="0.25">
      <c r="B11716" s="13" t="s">
        <v>21276</v>
      </c>
      <c r="C11716" s="17" t="s">
        <v>170</v>
      </c>
      <c r="D11716" s="13" t="s">
        <v>118</v>
      </c>
      <c r="E11716" s="13" t="s">
        <v>21277</v>
      </c>
      <c r="F11716" s="43">
        <v>82.62</v>
      </c>
    </row>
    <row r="11717" spans="2:6" x14ac:dyDescent="0.25">
      <c r="B11717" s="13" t="s">
        <v>21278</v>
      </c>
      <c r="C11717" s="17" t="s">
        <v>170</v>
      </c>
      <c r="D11717" s="13" t="s">
        <v>118</v>
      </c>
      <c r="E11717" s="13" t="s">
        <v>21279</v>
      </c>
      <c r="F11717" s="43">
        <v>82.62</v>
      </c>
    </row>
    <row r="11718" spans="2:6" x14ac:dyDescent="0.25">
      <c r="B11718" s="13" t="s">
        <v>21280</v>
      </c>
      <c r="C11718" s="17" t="s">
        <v>170</v>
      </c>
      <c r="D11718" s="13" t="s">
        <v>118</v>
      </c>
      <c r="E11718" s="13" t="s">
        <v>21281</v>
      </c>
      <c r="F11718" s="43">
        <v>82.62</v>
      </c>
    </row>
    <row r="11719" spans="2:6" x14ac:dyDescent="0.25">
      <c r="B11719" s="13" t="s">
        <v>21282</v>
      </c>
      <c r="C11719" s="17" t="s">
        <v>170</v>
      </c>
      <c r="D11719" s="13" t="s">
        <v>118</v>
      </c>
      <c r="E11719" s="13" t="s">
        <v>21283</v>
      </c>
      <c r="F11719" s="43">
        <v>82.62</v>
      </c>
    </row>
    <row r="11720" spans="2:6" x14ac:dyDescent="0.25">
      <c r="B11720" s="13" t="s">
        <v>21284</v>
      </c>
      <c r="C11720" s="17" t="s">
        <v>170</v>
      </c>
      <c r="D11720" s="13" t="s">
        <v>118</v>
      </c>
      <c r="E11720" s="13" t="s">
        <v>21285</v>
      </c>
      <c r="F11720" s="43">
        <v>82.62</v>
      </c>
    </row>
    <row r="11721" spans="2:6" x14ac:dyDescent="0.25">
      <c r="B11721" s="13" t="s">
        <v>21286</v>
      </c>
      <c r="C11721" s="17" t="s">
        <v>170</v>
      </c>
      <c r="D11721" s="13" t="s">
        <v>118</v>
      </c>
      <c r="E11721" s="13" t="s">
        <v>21287</v>
      </c>
      <c r="F11721" s="43">
        <v>82.62</v>
      </c>
    </row>
    <row r="11722" spans="2:6" x14ac:dyDescent="0.25">
      <c r="B11722" s="13" t="s">
        <v>21288</v>
      </c>
      <c r="C11722" s="17" t="s">
        <v>170</v>
      </c>
      <c r="D11722" s="13" t="s">
        <v>118</v>
      </c>
      <c r="E11722" s="13" t="s">
        <v>21289</v>
      </c>
      <c r="F11722" s="43">
        <v>125.08</v>
      </c>
    </row>
    <row r="11723" spans="2:6" x14ac:dyDescent="0.25">
      <c r="B11723" s="13" t="s">
        <v>21290</v>
      </c>
      <c r="C11723" s="17" t="s">
        <v>170</v>
      </c>
      <c r="D11723" s="13" t="s">
        <v>118</v>
      </c>
      <c r="E11723" s="13" t="s">
        <v>21291</v>
      </c>
      <c r="F11723" s="43">
        <v>154.91999999999999</v>
      </c>
    </row>
    <row r="11724" spans="2:6" x14ac:dyDescent="0.25">
      <c r="B11724" s="13" t="s">
        <v>21292</v>
      </c>
      <c r="C11724" s="17" t="s">
        <v>170</v>
      </c>
      <c r="D11724" s="13" t="s">
        <v>118</v>
      </c>
      <c r="E11724" s="13" t="s">
        <v>21293</v>
      </c>
      <c r="F11724" s="43">
        <v>82.62</v>
      </c>
    </row>
    <row r="11725" spans="2:6" x14ac:dyDescent="0.25">
      <c r="B11725" s="13" t="s">
        <v>21294</v>
      </c>
      <c r="C11725" s="17" t="s">
        <v>170</v>
      </c>
      <c r="D11725" s="13" t="s">
        <v>118</v>
      </c>
      <c r="E11725" s="13" t="s">
        <v>21295</v>
      </c>
      <c r="F11725" s="43">
        <v>82.62</v>
      </c>
    </row>
    <row r="11726" spans="2:6" x14ac:dyDescent="0.25">
      <c r="B11726" s="13" t="s">
        <v>21296</v>
      </c>
      <c r="C11726" s="17" t="s">
        <v>170</v>
      </c>
      <c r="D11726" s="13" t="s">
        <v>118</v>
      </c>
      <c r="E11726" s="13" t="s">
        <v>21297</v>
      </c>
      <c r="F11726" s="43">
        <v>82.62</v>
      </c>
    </row>
    <row r="11727" spans="2:6" x14ac:dyDescent="0.25">
      <c r="B11727" s="13" t="s">
        <v>21298</v>
      </c>
      <c r="C11727" s="17" t="s">
        <v>170</v>
      </c>
      <c r="D11727" s="13" t="s">
        <v>118</v>
      </c>
      <c r="E11727" s="13" t="s">
        <v>21299</v>
      </c>
      <c r="F11727" s="43">
        <v>82.62</v>
      </c>
    </row>
    <row r="11728" spans="2:6" x14ac:dyDescent="0.25">
      <c r="B11728" s="13" t="s">
        <v>21300</v>
      </c>
      <c r="C11728" s="17" t="s">
        <v>170</v>
      </c>
      <c r="D11728" s="13" t="s">
        <v>118</v>
      </c>
      <c r="E11728" s="13" t="s">
        <v>21301</v>
      </c>
      <c r="F11728" s="43">
        <v>82.62</v>
      </c>
    </row>
    <row r="11729" spans="2:6" x14ac:dyDescent="0.25">
      <c r="B11729" s="13" t="s">
        <v>21302</v>
      </c>
      <c r="C11729" s="17" t="s">
        <v>170</v>
      </c>
      <c r="D11729" s="13" t="s">
        <v>118</v>
      </c>
      <c r="E11729" s="13" t="s">
        <v>21303</v>
      </c>
      <c r="F11729" s="43">
        <v>82.62</v>
      </c>
    </row>
    <row r="11730" spans="2:6" x14ac:dyDescent="0.25">
      <c r="B11730" s="13" t="s">
        <v>21304</v>
      </c>
      <c r="C11730" s="17" t="s">
        <v>170</v>
      </c>
      <c r="D11730" s="13" t="s">
        <v>118</v>
      </c>
      <c r="E11730" s="13" t="s">
        <v>21305</v>
      </c>
      <c r="F11730" s="43">
        <v>82.62</v>
      </c>
    </row>
    <row r="11731" spans="2:6" x14ac:dyDescent="0.25">
      <c r="B11731" s="13" t="s">
        <v>21306</v>
      </c>
      <c r="C11731" s="17" t="s">
        <v>170</v>
      </c>
      <c r="D11731" s="13" t="s">
        <v>118</v>
      </c>
      <c r="E11731" s="13" t="s">
        <v>21307</v>
      </c>
      <c r="F11731" s="43">
        <v>82.62</v>
      </c>
    </row>
    <row r="11732" spans="2:6" x14ac:dyDescent="0.25">
      <c r="B11732" s="13" t="s">
        <v>21308</v>
      </c>
      <c r="C11732" s="17" t="s">
        <v>170</v>
      </c>
      <c r="D11732" s="13" t="s">
        <v>118</v>
      </c>
      <c r="E11732" s="13" t="s">
        <v>21309</v>
      </c>
      <c r="F11732" s="43">
        <v>82.62</v>
      </c>
    </row>
    <row r="11733" spans="2:6" x14ac:dyDescent="0.25">
      <c r="B11733" s="13" t="s">
        <v>21310</v>
      </c>
      <c r="C11733" s="17" t="s">
        <v>170</v>
      </c>
      <c r="D11733" s="13" t="s">
        <v>118</v>
      </c>
      <c r="E11733" s="13" t="s">
        <v>21311</v>
      </c>
      <c r="F11733" s="43">
        <v>82.62</v>
      </c>
    </row>
    <row r="11734" spans="2:6" x14ac:dyDescent="0.25">
      <c r="B11734" s="13" t="s">
        <v>21312</v>
      </c>
      <c r="C11734" s="17" t="s">
        <v>170</v>
      </c>
      <c r="D11734" s="13" t="s">
        <v>118</v>
      </c>
      <c r="E11734" s="13" t="s">
        <v>21313</v>
      </c>
      <c r="F11734" s="43">
        <v>82.62</v>
      </c>
    </row>
    <row r="11735" spans="2:6" x14ac:dyDescent="0.25">
      <c r="B11735" s="13" t="s">
        <v>21314</v>
      </c>
      <c r="C11735" s="17" t="s">
        <v>170</v>
      </c>
      <c r="D11735" s="13" t="s">
        <v>118</v>
      </c>
      <c r="E11735" s="13" t="s">
        <v>21315</v>
      </c>
      <c r="F11735" s="43">
        <v>125.08</v>
      </c>
    </row>
    <row r="11736" spans="2:6" x14ac:dyDescent="0.25">
      <c r="B11736" s="13" t="s">
        <v>21316</v>
      </c>
      <c r="C11736" s="17" t="s">
        <v>170</v>
      </c>
      <c r="D11736" s="13" t="s">
        <v>118</v>
      </c>
      <c r="E11736" s="13" t="s">
        <v>21317</v>
      </c>
      <c r="F11736" s="43">
        <v>82.62</v>
      </c>
    </row>
    <row r="11737" spans="2:6" x14ac:dyDescent="0.25">
      <c r="B11737" s="13" t="s">
        <v>21318</v>
      </c>
      <c r="C11737" s="17" t="s">
        <v>170</v>
      </c>
      <c r="D11737" s="13" t="s">
        <v>118</v>
      </c>
      <c r="E11737" s="13" t="s">
        <v>21319</v>
      </c>
      <c r="F11737" s="43">
        <v>82.62</v>
      </c>
    </row>
    <row r="11738" spans="2:6" x14ac:dyDescent="0.25">
      <c r="B11738" s="13" t="s">
        <v>21320</v>
      </c>
      <c r="C11738" s="17" t="s">
        <v>170</v>
      </c>
      <c r="D11738" s="13" t="s">
        <v>118</v>
      </c>
      <c r="E11738" s="13" t="s">
        <v>21321</v>
      </c>
      <c r="F11738" s="43">
        <v>82.62</v>
      </c>
    </row>
    <row r="11739" spans="2:6" x14ac:dyDescent="0.25">
      <c r="B11739" s="13" t="s">
        <v>21322</v>
      </c>
      <c r="C11739" s="17" t="s">
        <v>170</v>
      </c>
      <c r="D11739" s="13" t="s">
        <v>118</v>
      </c>
      <c r="E11739" s="13" t="s">
        <v>21323</v>
      </c>
      <c r="F11739" s="43">
        <v>82.62</v>
      </c>
    </row>
    <row r="11740" spans="2:6" x14ac:dyDescent="0.25">
      <c r="B11740" s="13" t="s">
        <v>21324</v>
      </c>
      <c r="C11740" s="17" t="s">
        <v>170</v>
      </c>
      <c r="D11740" s="13" t="s">
        <v>118</v>
      </c>
      <c r="E11740" s="13" t="s">
        <v>21325</v>
      </c>
      <c r="F11740" s="43">
        <v>86.18</v>
      </c>
    </row>
    <row r="11741" spans="2:6" x14ac:dyDescent="0.25">
      <c r="B11741" s="13" t="s">
        <v>21326</v>
      </c>
      <c r="C11741" s="17" t="s">
        <v>170</v>
      </c>
      <c r="D11741" s="13" t="s">
        <v>118</v>
      </c>
      <c r="E11741" s="13" t="s">
        <v>21327</v>
      </c>
      <c r="F11741" s="43">
        <v>88.71</v>
      </c>
    </row>
    <row r="11742" spans="2:6" x14ac:dyDescent="0.25">
      <c r="B11742" s="13" t="s">
        <v>21328</v>
      </c>
      <c r="C11742" s="17" t="s">
        <v>170</v>
      </c>
      <c r="D11742" s="13" t="s">
        <v>118</v>
      </c>
      <c r="E11742" s="13" t="s">
        <v>21329</v>
      </c>
      <c r="F11742" s="43">
        <v>88.71</v>
      </c>
    </row>
    <row r="11743" spans="2:6" x14ac:dyDescent="0.25">
      <c r="B11743" s="13" t="s">
        <v>21330</v>
      </c>
      <c r="C11743" s="17" t="s">
        <v>170</v>
      </c>
      <c r="D11743" s="13" t="s">
        <v>118</v>
      </c>
      <c r="E11743" s="13" t="s">
        <v>21331</v>
      </c>
      <c r="F11743" s="43">
        <v>88.71</v>
      </c>
    </row>
    <row r="11744" spans="2:6" x14ac:dyDescent="0.25">
      <c r="B11744" s="13" t="s">
        <v>21332</v>
      </c>
      <c r="C11744" s="17" t="s">
        <v>170</v>
      </c>
      <c r="D11744" s="13" t="s">
        <v>118</v>
      </c>
      <c r="E11744" s="13" t="s">
        <v>21333</v>
      </c>
      <c r="F11744" s="43">
        <v>88.71</v>
      </c>
    </row>
    <row r="11745" spans="2:6" x14ac:dyDescent="0.25">
      <c r="B11745" s="13" t="s">
        <v>21334</v>
      </c>
      <c r="C11745" s="17" t="s">
        <v>170</v>
      </c>
      <c r="D11745" s="13" t="s">
        <v>118</v>
      </c>
      <c r="E11745" s="13" t="s">
        <v>21335</v>
      </c>
      <c r="F11745" s="43">
        <v>88.71</v>
      </c>
    </row>
    <row r="11746" spans="2:6" x14ac:dyDescent="0.25">
      <c r="B11746" s="13" t="s">
        <v>21336</v>
      </c>
      <c r="C11746" s="17" t="s">
        <v>170</v>
      </c>
      <c r="D11746" s="13" t="s">
        <v>118</v>
      </c>
      <c r="E11746" s="13" t="s">
        <v>21337</v>
      </c>
      <c r="F11746" s="43">
        <v>88.71</v>
      </c>
    </row>
    <row r="11747" spans="2:6" x14ac:dyDescent="0.25">
      <c r="B11747" s="13" t="s">
        <v>21338</v>
      </c>
      <c r="C11747" s="17" t="s">
        <v>170</v>
      </c>
      <c r="D11747" s="13" t="s">
        <v>118</v>
      </c>
      <c r="E11747" s="13" t="s">
        <v>21339</v>
      </c>
      <c r="F11747" s="43">
        <v>88.71</v>
      </c>
    </row>
    <row r="11748" spans="2:6" x14ac:dyDescent="0.25">
      <c r="B11748" s="13" t="s">
        <v>21340</v>
      </c>
      <c r="C11748" s="17" t="s">
        <v>170</v>
      </c>
      <c r="D11748" s="13" t="s">
        <v>118</v>
      </c>
      <c r="E11748" s="13" t="s">
        <v>21341</v>
      </c>
      <c r="F11748" s="43">
        <v>91.35</v>
      </c>
    </row>
    <row r="11749" spans="2:6" x14ac:dyDescent="0.25">
      <c r="B11749" s="13" t="s">
        <v>21342</v>
      </c>
      <c r="C11749" s="17" t="s">
        <v>170</v>
      </c>
      <c r="D11749" s="13" t="s">
        <v>118</v>
      </c>
      <c r="E11749" s="13" t="s">
        <v>21343</v>
      </c>
      <c r="F11749" s="43">
        <v>93.76</v>
      </c>
    </row>
    <row r="11750" spans="2:6" x14ac:dyDescent="0.25">
      <c r="B11750" s="13" t="s">
        <v>21344</v>
      </c>
      <c r="C11750" s="17" t="s">
        <v>170</v>
      </c>
      <c r="D11750" s="13" t="s">
        <v>118</v>
      </c>
      <c r="E11750" s="13" t="s">
        <v>21345</v>
      </c>
      <c r="F11750" s="43">
        <v>98.58</v>
      </c>
    </row>
    <row r="11751" spans="2:6" x14ac:dyDescent="0.25">
      <c r="B11751" s="13" t="s">
        <v>21346</v>
      </c>
      <c r="C11751" s="17" t="s">
        <v>170</v>
      </c>
      <c r="D11751" s="13" t="s">
        <v>118</v>
      </c>
      <c r="E11751" s="13" t="s">
        <v>21347</v>
      </c>
      <c r="F11751" s="43">
        <v>105.8</v>
      </c>
    </row>
    <row r="11752" spans="2:6" x14ac:dyDescent="0.25">
      <c r="B11752" s="13" t="s">
        <v>21348</v>
      </c>
      <c r="C11752" s="17" t="s">
        <v>170</v>
      </c>
      <c r="D11752" s="13" t="s">
        <v>118</v>
      </c>
      <c r="E11752" s="13" t="s">
        <v>21349</v>
      </c>
      <c r="F11752" s="43">
        <v>113.26</v>
      </c>
    </row>
    <row r="11753" spans="2:6" x14ac:dyDescent="0.25">
      <c r="B11753" s="13" t="s">
        <v>21350</v>
      </c>
      <c r="C11753" s="17" t="s">
        <v>170</v>
      </c>
      <c r="D11753" s="13" t="s">
        <v>118</v>
      </c>
      <c r="E11753" s="13" t="s">
        <v>21351</v>
      </c>
      <c r="F11753" s="43">
        <v>100.3</v>
      </c>
    </row>
    <row r="11754" spans="2:6" x14ac:dyDescent="0.25">
      <c r="B11754" s="13" t="s">
        <v>21352</v>
      </c>
      <c r="C11754" s="17" t="s">
        <v>170</v>
      </c>
      <c r="D11754" s="13" t="s">
        <v>118</v>
      </c>
      <c r="E11754" s="13" t="s">
        <v>21353</v>
      </c>
      <c r="F11754" s="43">
        <v>100.3</v>
      </c>
    </row>
    <row r="11755" spans="2:6" x14ac:dyDescent="0.25">
      <c r="B11755" s="13" t="s">
        <v>21354</v>
      </c>
      <c r="C11755" s="17" t="s">
        <v>170</v>
      </c>
      <c r="D11755" s="13" t="s">
        <v>118</v>
      </c>
      <c r="E11755" s="13" t="s">
        <v>21355</v>
      </c>
      <c r="F11755" s="43">
        <v>100.3</v>
      </c>
    </row>
    <row r="11756" spans="2:6" x14ac:dyDescent="0.25">
      <c r="B11756" s="13" t="s">
        <v>21356</v>
      </c>
      <c r="C11756" s="17" t="s">
        <v>170</v>
      </c>
      <c r="D11756" s="13" t="s">
        <v>118</v>
      </c>
      <c r="E11756" s="13" t="s">
        <v>21357</v>
      </c>
      <c r="F11756" s="43">
        <v>100.3</v>
      </c>
    </row>
    <row r="11757" spans="2:6" x14ac:dyDescent="0.25">
      <c r="B11757" s="13" t="s">
        <v>21358</v>
      </c>
      <c r="C11757" s="17" t="s">
        <v>170</v>
      </c>
      <c r="D11757" s="13" t="s">
        <v>118</v>
      </c>
      <c r="E11757" s="13" t="s">
        <v>21359</v>
      </c>
      <c r="F11757" s="43">
        <v>100.3</v>
      </c>
    </row>
    <row r="11758" spans="2:6" x14ac:dyDescent="0.25">
      <c r="B11758" s="13" t="s">
        <v>21360</v>
      </c>
      <c r="C11758" s="17" t="s">
        <v>170</v>
      </c>
      <c r="D11758" s="13" t="s">
        <v>118</v>
      </c>
      <c r="E11758" s="13" t="s">
        <v>21361</v>
      </c>
      <c r="F11758" s="43">
        <v>100.3</v>
      </c>
    </row>
    <row r="11759" spans="2:6" x14ac:dyDescent="0.25">
      <c r="B11759" s="13" t="s">
        <v>21362</v>
      </c>
      <c r="C11759" s="17" t="s">
        <v>170</v>
      </c>
      <c r="D11759" s="13" t="s">
        <v>118</v>
      </c>
      <c r="E11759" s="13" t="s">
        <v>21363</v>
      </c>
      <c r="F11759" s="43">
        <v>100.3</v>
      </c>
    </row>
    <row r="11760" spans="2:6" x14ac:dyDescent="0.25">
      <c r="B11760" s="13" t="s">
        <v>21364</v>
      </c>
      <c r="C11760" s="17" t="s">
        <v>170</v>
      </c>
      <c r="D11760" s="13" t="s">
        <v>118</v>
      </c>
      <c r="E11760" s="13" t="s">
        <v>21365</v>
      </c>
      <c r="F11760" s="43">
        <v>100.3</v>
      </c>
    </row>
    <row r="11761" spans="2:6" x14ac:dyDescent="0.25">
      <c r="B11761" s="13" t="s">
        <v>21366</v>
      </c>
      <c r="C11761" s="17" t="s">
        <v>170</v>
      </c>
      <c r="D11761" s="13" t="s">
        <v>118</v>
      </c>
      <c r="E11761" s="13" t="s">
        <v>21367</v>
      </c>
      <c r="F11761" s="43">
        <v>100.3</v>
      </c>
    </row>
    <row r="11762" spans="2:6" x14ac:dyDescent="0.25">
      <c r="B11762" s="13" t="s">
        <v>21368</v>
      </c>
      <c r="C11762" s="17" t="s">
        <v>170</v>
      </c>
      <c r="D11762" s="13" t="s">
        <v>118</v>
      </c>
      <c r="E11762" s="13" t="s">
        <v>21369</v>
      </c>
      <c r="F11762" s="43">
        <v>100.3</v>
      </c>
    </row>
    <row r="11763" spans="2:6" x14ac:dyDescent="0.25">
      <c r="B11763" s="13" t="s">
        <v>21370</v>
      </c>
      <c r="C11763" s="17" t="s">
        <v>170</v>
      </c>
      <c r="D11763" s="13" t="s">
        <v>118</v>
      </c>
      <c r="E11763" s="13" t="s">
        <v>21371</v>
      </c>
      <c r="F11763" s="43">
        <v>100.3</v>
      </c>
    </row>
    <row r="11764" spans="2:6" x14ac:dyDescent="0.25">
      <c r="B11764" s="13" t="s">
        <v>21372</v>
      </c>
      <c r="C11764" s="17" t="s">
        <v>170</v>
      </c>
      <c r="D11764" s="13" t="s">
        <v>118</v>
      </c>
      <c r="E11764" s="13" t="s">
        <v>21373</v>
      </c>
      <c r="F11764" s="43">
        <v>100.3</v>
      </c>
    </row>
    <row r="11765" spans="2:6" x14ac:dyDescent="0.25">
      <c r="B11765" s="13" t="s">
        <v>21374</v>
      </c>
      <c r="C11765" s="17" t="s">
        <v>170</v>
      </c>
      <c r="D11765" s="13" t="s">
        <v>118</v>
      </c>
      <c r="E11765" s="13" t="s">
        <v>21375</v>
      </c>
      <c r="F11765" s="43">
        <v>100.3</v>
      </c>
    </row>
    <row r="11766" spans="2:6" x14ac:dyDescent="0.25">
      <c r="B11766" s="13" t="s">
        <v>21376</v>
      </c>
      <c r="C11766" s="17" t="s">
        <v>170</v>
      </c>
      <c r="D11766" s="13" t="s">
        <v>118</v>
      </c>
      <c r="E11766" s="13" t="s">
        <v>21377</v>
      </c>
      <c r="F11766" s="43">
        <v>100.3</v>
      </c>
    </row>
    <row r="11767" spans="2:6" x14ac:dyDescent="0.25">
      <c r="B11767" s="13" t="s">
        <v>21378</v>
      </c>
      <c r="C11767" s="17" t="s">
        <v>170</v>
      </c>
      <c r="D11767" s="13" t="s">
        <v>118</v>
      </c>
      <c r="E11767" s="13" t="s">
        <v>21379</v>
      </c>
      <c r="F11767" s="43">
        <v>103.39</v>
      </c>
    </row>
    <row r="11768" spans="2:6" x14ac:dyDescent="0.25">
      <c r="B11768" s="13" t="s">
        <v>21380</v>
      </c>
      <c r="C11768" s="17" t="s">
        <v>170</v>
      </c>
      <c r="D11768" s="13" t="s">
        <v>118</v>
      </c>
      <c r="E11768" s="13" t="s">
        <v>21381</v>
      </c>
      <c r="F11768" s="43">
        <v>103.39</v>
      </c>
    </row>
    <row r="11769" spans="2:6" x14ac:dyDescent="0.25">
      <c r="B11769" s="13" t="s">
        <v>21382</v>
      </c>
      <c r="C11769" s="17" t="s">
        <v>170</v>
      </c>
      <c r="D11769" s="13" t="s">
        <v>118</v>
      </c>
      <c r="E11769" s="13" t="s">
        <v>21383</v>
      </c>
      <c r="F11769" s="43">
        <v>105.8</v>
      </c>
    </row>
    <row r="11770" spans="2:6" x14ac:dyDescent="0.25">
      <c r="B11770" s="13" t="s">
        <v>21384</v>
      </c>
      <c r="C11770" s="17" t="s">
        <v>170</v>
      </c>
      <c r="D11770" s="13" t="s">
        <v>118</v>
      </c>
      <c r="E11770" s="13" t="s">
        <v>21385</v>
      </c>
      <c r="F11770" s="43">
        <v>105.8</v>
      </c>
    </row>
    <row r="11771" spans="2:6" x14ac:dyDescent="0.25">
      <c r="B11771" s="13" t="s">
        <v>21386</v>
      </c>
      <c r="C11771" s="17" t="s">
        <v>170</v>
      </c>
      <c r="D11771" s="13" t="s">
        <v>118</v>
      </c>
      <c r="E11771" s="13" t="s">
        <v>21387</v>
      </c>
      <c r="F11771" s="43">
        <v>108.56</v>
      </c>
    </row>
    <row r="11772" spans="2:6" x14ac:dyDescent="0.25">
      <c r="B11772" s="13" t="s">
        <v>21388</v>
      </c>
      <c r="C11772" s="17" t="s">
        <v>170</v>
      </c>
      <c r="D11772" s="13" t="s">
        <v>118</v>
      </c>
      <c r="E11772" s="13" t="s">
        <v>21389</v>
      </c>
      <c r="F11772" s="43">
        <v>110.97</v>
      </c>
    </row>
    <row r="11773" spans="2:6" x14ac:dyDescent="0.25">
      <c r="B11773" s="13" t="s">
        <v>21390</v>
      </c>
      <c r="C11773" s="17" t="s">
        <v>170</v>
      </c>
      <c r="D11773" s="13" t="s">
        <v>118</v>
      </c>
      <c r="E11773" s="13" t="s">
        <v>21391</v>
      </c>
      <c r="F11773" s="43">
        <v>115.9</v>
      </c>
    </row>
    <row r="11774" spans="2:6" x14ac:dyDescent="0.25">
      <c r="B11774" s="13" t="s">
        <v>21392</v>
      </c>
      <c r="C11774" s="17" t="s">
        <v>170</v>
      </c>
      <c r="D11774" s="13" t="s">
        <v>118</v>
      </c>
      <c r="E11774" s="13" t="s">
        <v>21393</v>
      </c>
      <c r="F11774" s="43">
        <v>123.13</v>
      </c>
    </row>
    <row r="11775" spans="2:6" x14ac:dyDescent="0.25">
      <c r="B11775" s="13" t="s">
        <v>21394</v>
      </c>
      <c r="C11775" s="17" t="s">
        <v>170</v>
      </c>
      <c r="D11775" s="13" t="s">
        <v>118</v>
      </c>
      <c r="E11775" s="13" t="s">
        <v>21395</v>
      </c>
      <c r="F11775" s="43">
        <v>130.36000000000001</v>
      </c>
    </row>
    <row r="11776" spans="2:6" x14ac:dyDescent="0.25">
      <c r="B11776" s="13" t="s">
        <v>21396</v>
      </c>
      <c r="C11776" s="17" t="s">
        <v>170</v>
      </c>
      <c r="D11776" s="13" t="s">
        <v>118</v>
      </c>
      <c r="E11776" s="13" t="s">
        <v>21397</v>
      </c>
      <c r="F11776" s="43">
        <v>51.64</v>
      </c>
    </row>
    <row r="11777" spans="2:6" x14ac:dyDescent="0.25">
      <c r="B11777" s="13" t="s">
        <v>21398</v>
      </c>
      <c r="C11777" s="17" t="s">
        <v>170</v>
      </c>
      <c r="D11777" s="13" t="s">
        <v>118</v>
      </c>
      <c r="E11777" s="13" t="s">
        <v>21399</v>
      </c>
      <c r="F11777" s="43">
        <v>51.64</v>
      </c>
    </row>
    <row r="11778" spans="2:6" x14ac:dyDescent="0.25">
      <c r="B11778" s="13" t="s">
        <v>21400</v>
      </c>
      <c r="C11778" s="17" t="s">
        <v>170</v>
      </c>
      <c r="D11778" s="13" t="s">
        <v>118</v>
      </c>
      <c r="E11778" s="13" t="s">
        <v>21401</v>
      </c>
      <c r="F11778" s="43">
        <v>51.64</v>
      </c>
    </row>
    <row r="11779" spans="2:6" x14ac:dyDescent="0.25">
      <c r="B11779" s="13" t="s">
        <v>21402</v>
      </c>
      <c r="C11779" s="17" t="s">
        <v>170</v>
      </c>
      <c r="D11779" s="13" t="s">
        <v>118</v>
      </c>
      <c r="E11779" s="13" t="s">
        <v>21403</v>
      </c>
      <c r="F11779" s="43">
        <v>51.64</v>
      </c>
    </row>
    <row r="11780" spans="2:6" x14ac:dyDescent="0.25">
      <c r="B11780" s="13" t="s">
        <v>21404</v>
      </c>
      <c r="C11780" s="17" t="s">
        <v>170</v>
      </c>
      <c r="D11780" s="13" t="s">
        <v>118</v>
      </c>
      <c r="E11780" s="13" t="s">
        <v>21405</v>
      </c>
      <c r="F11780" s="43">
        <v>51.64</v>
      </c>
    </row>
    <row r="11781" spans="2:6" x14ac:dyDescent="0.25">
      <c r="B11781" s="13" t="s">
        <v>21406</v>
      </c>
      <c r="C11781" s="17" t="s">
        <v>170</v>
      </c>
      <c r="D11781" s="13" t="s">
        <v>118</v>
      </c>
      <c r="E11781" s="13" t="s">
        <v>21407</v>
      </c>
      <c r="F11781" s="43">
        <v>51.64</v>
      </c>
    </row>
    <row r="11782" spans="2:6" x14ac:dyDescent="0.25">
      <c r="B11782" s="13" t="s">
        <v>21408</v>
      </c>
      <c r="C11782" s="17" t="s">
        <v>170</v>
      </c>
      <c r="D11782" s="13" t="s">
        <v>118</v>
      </c>
      <c r="E11782" s="13" t="s">
        <v>21409</v>
      </c>
      <c r="F11782" s="43">
        <v>51.64</v>
      </c>
    </row>
    <row r="11783" spans="2:6" x14ac:dyDescent="0.25">
      <c r="B11783" s="13" t="s">
        <v>21410</v>
      </c>
      <c r="C11783" s="17" t="s">
        <v>170</v>
      </c>
      <c r="D11783" s="13" t="s">
        <v>118</v>
      </c>
      <c r="E11783" s="13" t="s">
        <v>21411</v>
      </c>
      <c r="F11783" s="43">
        <v>51.64</v>
      </c>
    </row>
    <row r="11784" spans="2:6" x14ac:dyDescent="0.25">
      <c r="B11784" s="13" t="s">
        <v>21412</v>
      </c>
      <c r="C11784" s="17" t="s">
        <v>170</v>
      </c>
      <c r="D11784" s="13" t="s">
        <v>118</v>
      </c>
      <c r="E11784" s="13" t="s">
        <v>21413</v>
      </c>
      <c r="F11784" s="43">
        <v>51.64</v>
      </c>
    </row>
    <row r="11785" spans="2:6" x14ac:dyDescent="0.25">
      <c r="B11785" s="13" t="s">
        <v>21414</v>
      </c>
      <c r="C11785" s="17" t="s">
        <v>170</v>
      </c>
      <c r="D11785" s="13" t="s">
        <v>118</v>
      </c>
      <c r="E11785" s="13" t="s">
        <v>21415</v>
      </c>
      <c r="F11785" s="43">
        <v>51.64</v>
      </c>
    </row>
    <row r="11786" spans="2:6" x14ac:dyDescent="0.25">
      <c r="B11786" s="13" t="s">
        <v>21416</v>
      </c>
      <c r="C11786" s="17" t="s">
        <v>170</v>
      </c>
      <c r="D11786" s="13" t="s">
        <v>118</v>
      </c>
      <c r="E11786" s="13" t="s">
        <v>21417</v>
      </c>
      <c r="F11786" s="43">
        <v>51.64</v>
      </c>
    </row>
    <row r="11787" spans="2:6" x14ac:dyDescent="0.25">
      <c r="B11787" s="13" t="s">
        <v>21418</v>
      </c>
      <c r="C11787" s="17" t="s">
        <v>170</v>
      </c>
      <c r="D11787" s="13" t="s">
        <v>118</v>
      </c>
      <c r="E11787" s="13" t="s">
        <v>21419</v>
      </c>
      <c r="F11787" s="43">
        <v>54.17</v>
      </c>
    </row>
    <row r="11788" spans="2:6" x14ac:dyDescent="0.25">
      <c r="B11788" s="13" t="s">
        <v>21420</v>
      </c>
      <c r="C11788" s="17" t="s">
        <v>170</v>
      </c>
      <c r="D11788" s="13" t="s">
        <v>118</v>
      </c>
      <c r="E11788" s="13" t="s">
        <v>21421</v>
      </c>
      <c r="F11788" s="43">
        <v>56.69</v>
      </c>
    </row>
    <row r="11789" spans="2:6" x14ac:dyDescent="0.25">
      <c r="B11789" s="13" t="s">
        <v>21422</v>
      </c>
      <c r="C11789" s="17" t="s">
        <v>170</v>
      </c>
      <c r="D11789" s="13" t="s">
        <v>118</v>
      </c>
      <c r="E11789" s="13" t="s">
        <v>21423</v>
      </c>
      <c r="F11789" s="43">
        <v>59.22</v>
      </c>
    </row>
    <row r="11790" spans="2:6" x14ac:dyDescent="0.25">
      <c r="B11790" s="13" t="s">
        <v>21424</v>
      </c>
      <c r="C11790" s="17" t="s">
        <v>170</v>
      </c>
      <c r="D11790" s="13" t="s">
        <v>118</v>
      </c>
      <c r="E11790" s="13" t="s">
        <v>21425</v>
      </c>
      <c r="F11790" s="43">
        <v>61.63</v>
      </c>
    </row>
    <row r="11791" spans="2:6" x14ac:dyDescent="0.25">
      <c r="B11791" s="13" t="s">
        <v>21426</v>
      </c>
      <c r="C11791" s="17" t="s">
        <v>170</v>
      </c>
      <c r="D11791" s="13" t="s">
        <v>118</v>
      </c>
      <c r="E11791" s="13" t="s">
        <v>21427</v>
      </c>
      <c r="F11791" s="43">
        <v>66.45</v>
      </c>
    </row>
    <row r="11792" spans="2:6" x14ac:dyDescent="0.25">
      <c r="B11792" s="13" t="s">
        <v>21428</v>
      </c>
      <c r="C11792" s="17" t="s">
        <v>170</v>
      </c>
      <c r="D11792" s="13" t="s">
        <v>118</v>
      </c>
      <c r="E11792" s="13" t="s">
        <v>21429</v>
      </c>
      <c r="F11792" s="43">
        <v>75.739999999999995</v>
      </c>
    </row>
    <row r="11793" spans="2:6" x14ac:dyDescent="0.25">
      <c r="B11793" s="13" t="s">
        <v>21430</v>
      </c>
      <c r="C11793" s="17" t="s">
        <v>170</v>
      </c>
      <c r="D11793" s="13" t="s">
        <v>118</v>
      </c>
      <c r="E11793" s="13" t="s">
        <v>21431</v>
      </c>
      <c r="F11793" s="43">
        <v>80.900000000000006</v>
      </c>
    </row>
    <row r="11794" spans="2:6" x14ac:dyDescent="0.25">
      <c r="B11794" s="13" t="s">
        <v>21432</v>
      </c>
      <c r="C11794" s="17" t="s">
        <v>170</v>
      </c>
      <c r="D11794" s="13" t="s">
        <v>118</v>
      </c>
      <c r="E11794" s="13" t="s">
        <v>21433</v>
      </c>
      <c r="F11794" s="43">
        <v>92.03</v>
      </c>
    </row>
    <row r="11795" spans="2:6" x14ac:dyDescent="0.25">
      <c r="B11795" s="13" t="s">
        <v>21434</v>
      </c>
      <c r="C11795" s="17" t="s">
        <v>170</v>
      </c>
      <c r="D11795" s="13" t="s">
        <v>118</v>
      </c>
      <c r="E11795" s="13" t="s">
        <v>21435</v>
      </c>
      <c r="F11795" s="43">
        <v>92.03</v>
      </c>
    </row>
    <row r="11796" spans="2:6" x14ac:dyDescent="0.25">
      <c r="B11796" s="13" t="s">
        <v>21436</v>
      </c>
      <c r="C11796" s="17" t="s">
        <v>170</v>
      </c>
      <c r="D11796" s="13" t="s">
        <v>118</v>
      </c>
      <c r="E11796" s="13" t="s">
        <v>21437</v>
      </c>
      <c r="F11796" s="43">
        <v>92.03</v>
      </c>
    </row>
    <row r="11797" spans="2:6" x14ac:dyDescent="0.25">
      <c r="B11797" s="13" t="s">
        <v>21438</v>
      </c>
      <c r="C11797" s="17" t="s">
        <v>170</v>
      </c>
      <c r="D11797" s="13" t="s">
        <v>118</v>
      </c>
      <c r="E11797" s="13" t="s">
        <v>21439</v>
      </c>
      <c r="F11797" s="43">
        <v>94.56</v>
      </c>
    </row>
    <row r="11798" spans="2:6" x14ac:dyDescent="0.25">
      <c r="B11798" s="13" t="s">
        <v>21440</v>
      </c>
      <c r="C11798" s="17" t="s">
        <v>170</v>
      </c>
      <c r="D11798" s="13" t="s">
        <v>118</v>
      </c>
      <c r="E11798" s="13" t="s">
        <v>21441</v>
      </c>
      <c r="F11798" s="43">
        <v>97.2</v>
      </c>
    </row>
    <row r="11799" spans="2:6" x14ac:dyDescent="0.25">
      <c r="B11799" s="13" t="s">
        <v>21442</v>
      </c>
      <c r="C11799" s="17" t="s">
        <v>170</v>
      </c>
      <c r="D11799" s="13" t="s">
        <v>118</v>
      </c>
      <c r="E11799" s="13" t="s">
        <v>21443</v>
      </c>
      <c r="F11799" s="43">
        <v>99.61</v>
      </c>
    </row>
    <row r="11800" spans="2:6" x14ac:dyDescent="0.25">
      <c r="B11800" s="13" t="s">
        <v>21444</v>
      </c>
      <c r="C11800" s="17" t="s">
        <v>170</v>
      </c>
      <c r="D11800" s="13" t="s">
        <v>118</v>
      </c>
      <c r="E11800" s="13" t="s">
        <v>21445</v>
      </c>
      <c r="F11800" s="43">
        <v>102.02</v>
      </c>
    </row>
    <row r="11801" spans="2:6" x14ac:dyDescent="0.25">
      <c r="B11801" s="13" t="s">
        <v>21446</v>
      </c>
      <c r="C11801" s="17" t="s">
        <v>170</v>
      </c>
      <c r="D11801" s="13" t="s">
        <v>118</v>
      </c>
      <c r="E11801" s="13" t="s">
        <v>21447</v>
      </c>
      <c r="F11801" s="43">
        <v>106.95</v>
      </c>
    </row>
    <row r="11802" spans="2:6" x14ac:dyDescent="0.25">
      <c r="B11802" s="13" t="s">
        <v>21448</v>
      </c>
      <c r="C11802" s="17" t="s">
        <v>170</v>
      </c>
      <c r="D11802" s="13" t="s">
        <v>118</v>
      </c>
      <c r="E11802" s="13" t="s">
        <v>21449</v>
      </c>
      <c r="F11802" s="43">
        <v>114.3</v>
      </c>
    </row>
    <row r="11803" spans="2:6" x14ac:dyDescent="0.25">
      <c r="B11803" s="13" t="s">
        <v>21450</v>
      </c>
      <c r="C11803" s="17" t="s">
        <v>170</v>
      </c>
      <c r="D11803" s="13" t="s">
        <v>118</v>
      </c>
      <c r="E11803" s="13" t="s">
        <v>21451</v>
      </c>
      <c r="F11803" s="43">
        <v>121.75</v>
      </c>
    </row>
    <row r="11804" spans="2:6" x14ac:dyDescent="0.25">
      <c r="B11804" s="13" t="s">
        <v>21452</v>
      </c>
      <c r="C11804" s="17" t="s">
        <v>170</v>
      </c>
      <c r="D11804" s="13" t="s">
        <v>118</v>
      </c>
      <c r="E11804" s="13" t="s">
        <v>21453</v>
      </c>
      <c r="F11804" s="43">
        <v>110.85</v>
      </c>
    </row>
    <row r="11805" spans="2:6" x14ac:dyDescent="0.25">
      <c r="B11805" s="13" t="s">
        <v>21454</v>
      </c>
      <c r="C11805" s="17" t="s">
        <v>170</v>
      </c>
      <c r="D11805" s="13" t="s">
        <v>118</v>
      </c>
      <c r="E11805" s="13" t="s">
        <v>21455</v>
      </c>
      <c r="F11805" s="43">
        <v>110.85</v>
      </c>
    </row>
    <row r="11806" spans="2:6" x14ac:dyDescent="0.25">
      <c r="B11806" s="13" t="s">
        <v>21456</v>
      </c>
      <c r="C11806" s="17" t="s">
        <v>170</v>
      </c>
      <c r="D11806" s="13" t="s">
        <v>118</v>
      </c>
      <c r="E11806" s="13" t="s">
        <v>21457</v>
      </c>
      <c r="F11806" s="43">
        <v>110.85</v>
      </c>
    </row>
    <row r="11807" spans="2:6" x14ac:dyDescent="0.25">
      <c r="B11807" s="13" t="s">
        <v>21458</v>
      </c>
      <c r="C11807" s="17" t="s">
        <v>170</v>
      </c>
      <c r="D11807" s="13" t="s">
        <v>118</v>
      </c>
      <c r="E11807" s="13" t="s">
        <v>21459</v>
      </c>
      <c r="F11807" s="43">
        <v>113.26</v>
      </c>
    </row>
    <row r="11808" spans="2:6" x14ac:dyDescent="0.25">
      <c r="B11808" s="13" t="s">
        <v>21460</v>
      </c>
      <c r="C11808" s="17" t="s">
        <v>170</v>
      </c>
      <c r="D11808" s="13" t="s">
        <v>118</v>
      </c>
      <c r="E11808" s="13" t="s">
        <v>21461</v>
      </c>
      <c r="F11808" s="43">
        <v>115.9</v>
      </c>
    </row>
    <row r="11809" spans="2:6" x14ac:dyDescent="0.25">
      <c r="B11809" s="13" t="s">
        <v>21462</v>
      </c>
      <c r="C11809" s="17" t="s">
        <v>170</v>
      </c>
      <c r="D11809" s="13" t="s">
        <v>118</v>
      </c>
      <c r="E11809" s="13" t="s">
        <v>21463</v>
      </c>
      <c r="F11809" s="43">
        <v>118.31</v>
      </c>
    </row>
    <row r="11810" spans="2:6" x14ac:dyDescent="0.25">
      <c r="B11810" s="13" t="s">
        <v>21464</v>
      </c>
      <c r="C11810" s="17" t="s">
        <v>170</v>
      </c>
      <c r="D11810" s="13" t="s">
        <v>118</v>
      </c>
      <c r="E11810" s="13" t="s">
        <v>21465</v>
      </c>
      <c r="F11810" s="43">
        <v>118.31</v>
      </c>
    </row>
    <row r="11811" spans="2:6" x14ac:dyDescent="0.25">
      <c r="B11811" s="13" t="s">
        <v>21466</v>
      </c>
      <c r="C11811" s="17" t="s">
        <v>170</v>
      </c>
      <c r="D11811" s="13" t="s">
        <v>118</v>
      </c>
      <c r="E11811" s="13" t="s">
        <v>21467</v>
      </c>
      <c r="F11811" s="43">
        <v>121.87</v>
      </c>
    </row>
    <row r="11812" spans="2:6" x14ac:dyDescent="0.25">
      <c r="B11812" s="13" t="s">
        <v>21468</v>
      </c>
      <c r="C11812" s="17" t="s">
        <v>170</v>
      </c>
      <c r="D11812" s="13" t="s">
        <v>118</v>
      </c>
      <c r="E11812" s="13" t="s">
        <v>21469</v>
      </c>
      <c r="F11812" s="43">
        <v>125.77</v>
      </c>
    </row>
    <row r="11813" spans="2:6" x14ac:dyDescent="0.25">
      <c r="B11813" s="13" t="s">
        <v>21470</v>
      </c>
      <c r="C11813" s="17" t="s">
        <v>170</v>
      </c>
      <c r="D11813" s="13" t="s">
        <v>118</v>
      </c>
      <c r="E11813" s="13" t="s">
        <v>21471</v>
      </c>
      <c r="F11813" s="43">
        <v>127.72</v>
      </c>
    </row>
    <row r="11814" spans="2:6" x14ac:dyDescent="0.25">
      <c r="B11814" s="13" t="s">
        <v>21472</v>
      </c>
      <c r="C11814" s="17" t="s">
        <v>170</v>
      </c>
      <c r="D11814" s="13" t="s">
        <v>118</v>
      </c>
      <c r="E11814" s="13" t="s">
        <v>21473</v>
      </c>
      <c r="F11814" s="43">
        <v>140.57</v>
      </c>
    </row>
    <row r="11815" spans="2:6" x14ac:dyDescent="0.25">
      <c r="B11815" s="13" t="s">
        <v>21474</v>
      </c>
      <c r="C11815" s="17" t="s">
        <v>170</v>
      </c>
      <c r="D11815" s="13" t="s">
        <v>118</v>
      </c>
      <c r="E11815" s="13" t="s">
        <v>21475</v>
      </c>
      <c r="F11815" s="43">
        <v>66.45</v>
      </c>
    </row>
    <row r="11816" spans="2:6" x14ac:dyDescent="0.25">
      <c r="B11816" s="13" t="s">
        <v>21476</v>
      </c>
      <c r="C11816" s="17" t="s">
        <v>170</v>
      </c>
      <c r="D11816" s="13" t="s">
        <v>118</v>
      </c>
      <c r="E11816" s="13" t="s">
        <v>21477</v>
      </c>
      <c r="F11816" s="43">
        <v>66.45</v>
      </c>
    </row>
    <row r="11817" spans="2:6" x14ac:dyDescent="0.25">
      <c r="B11817" s="13" t="s">
        <v>21478</v>
      </c>
      <c r="C11817" s="17" t="s">
        <v>170</v>
      </c>
      <c r="D11817" s="13" t="s">
        <v>118</v>
      </c>
      <c r="E11817" s="13" t="s">
        <v>21479</v>
      </c>
      <c r="F11817" s="43">
        <v>66.45</v>
      </c>
    </row>
    <row r="11818" spans="2:6" x14ac:dyDescent="0.25">
      <c r="B11818" s="13" t="s">
        <v>21480</v>
      </c>
      <c r="C11818" s="17" t="s">
        <v>170</v>
      </c>
      <c r="D11818" s="13" t="s">
        <v>118</v>
      </c>
      <c r="E11818" s="13" t="s">
        <v>21481</v>
      </c>
      <c r="F11818" s="43">
        <v>69.77</v>
      </c>
    </row>
    <row r="11819" spans="2:6" x14ac:dyDescent="0.25">
      <c r="B11819" s="13" t="s">
        <v>21482</v>
      </c>
      <c r="C11819" s="17" t="s">
        <v>170</v>
      </c>
      <c r="D11819" s="13" t="s">
        <v>118</v>
      </c>
      <c r="E11819" s="13" t="s">
        <v>21483</v>
      </c>
      <c r="F11819" s="43">
        <v>77</v>
      </c>
    </row>
    <row r="11820" spans="2:6" x14ac:dyDescent="0.25">
      <c r="B11820" s="13" t="s">
        <v>21484</v>
      </c>
      <c r="C11820" s="17" t="s">
        <v>170</v>
      </c>
      <c r="D11820" s="13" t="s">
        <v>118</v>
      </c>
      <c r="E11820" s="13" t="s">
        <v>21485</v>
      </c>
      <c r="F11820" s="43">
        <v>77.459999999999994</v>
      </c>
    </row>
    <row r="11821" spans="2:6" x14ac:dyDescent="0.25">
      <c r="B11821" s="13" t="s">
        <v>21486</v>
      </c>
      <c r="C11821" s="17" t="s">
        <v>170</v>
      </c>
      <c r="D11821" s="13" t="s">
        <v>118</v>
      </c>
      <c r="E11821" s="13" t="s">
        <v>21487</v>
      </c>
      <c r="F11821" s="43">
        <v>80.900000000000006</v>
      </c>
    </row>
    <row r="11822" spans="2:6" x14ac:dyDescent="0.25">
      <c r="B11822" s="13" t="s">
        <v>21488</v>
      </c>
      <c r="C11822" s="17" t="s">
        <v>170</v>
      </c>
      <c r="D11822" s="13" t="s">
        <v>118</v>
      </c>
      <c r="E11822" s="13" t="s">
        <v>21489</v>
      </c>
      <c r="F11822" s="43">
        <v>84.58</v>
      </c>
    </row>
    <row r="11823" spans="2:6" x14ac:dyDescent="0.25">
      <c r="B11823" s="13" t="s">
        <v>21490</v>
      </c>
      <c r="C11823" s="17" t="s">
        <v>170</v>
      </c>
      <c r="D11823" s="13" t="s">
        <v>118</v>
      </c>
      <c r="E11823" s="13" t="s">
        <v>21491</v>
      </c>
      <c r="F11823" s="43">
        <v>91.92</v>
      </c>
    </row>
    <row r="11824" spans="2:6" x14ac:dyDescent="0.25">
      <c r="B11824" s="13" t="s">
        <v>21492</v>
      </c>
      <c r="C11824" s="17" t="s">
        <v>170</v>
      </c>
      <c r="D11824" s="13" t="s">
        <v>118</v>
      </c>
      <c r="E11824" s="13" t="s">
        <v>21493</v>
      </c>
      <c r="F11824" s="43">
        <v>98.92</v>
      </c>
    </row>
    <row r="11825" spans="2:6" x14ac:dyDescent="0.25">
      <c r="B11825" s="13" t="s">
        <v>21494</v>
      </c>
      <c r="C11825" s="17" t="s">
        <v>170</v>
      </c>
      <c r="D11825" s="13" t="s">
        <v>118</v>
      </c>
      <c r="E11825" s="13" t="s">
        <v>21495</v>
      </c>
      <c r="F11825" s="43">
        <v>108.67</v>
      </c>
    </row>
    <row r="11826" spans="2:6" x14ac:dyDescent="0.25">
      <c r="B11826" s="13" t="s">
        <v>21496</v>
      </c>
      <c r="C11826" s="17" t="s">
        <v>170</v>
      </c>
      <c r="D11826" s="13" t="s">
        <v>118</v>
      </c>
      <c r="E11826" s="13" t="s">
        <v>21497</v>
      </c>
      <c r="F11826" s="43">
        <v>108.67</v>
      </c>
    </row>
    <row r="11827" spans="2:6" x14ac:dyDescent="0.25">
      <c r="B11827" s="13" t="s">
        <v>21498</v>
      </c>
      <c r="C11827" s="17" t="s">
        <v>170</v>
      </c>
      <c r="D11827" s="13" t="s">
        <v>118</v>
      </c>
      <c r="E11827" s="13" t="s">
        <v>21499</v>
      </c>
      <c r="F11827" s="43">
        <v>108.67</v>
      </c>
    </row>
    <row r="11828" spans="2:6" x14ac:dyDescent="0.25">
      <c r="B11828" s="13" t="s">
        <v>21500</v>
      </c>
      <c r="C11828" s="17" t="s">
        <v>170</v>
      </c>
      <c r="D11828" s="13" t="s">
        <v>118</v>
      </c>
      <c r="E11828" s="13" t="s">
        <v>21501</v>
      </c>
      <c r="F11828" s="43">
        <v>111.43</v>
      </c>
    </row>
    <row r="11829" spans="2:6" x14ac:dyDescent="0.25">
      <c r="B11829" s="13" t="s">
        <v>21502</v>
      </c>
      <c r="C11829" s="17" t="s">
        <v>170</v>
      </c>
      <c r="D11829" s="13" t="s">
        <v>118</v>
      </c>
      <c r="E11829" s="13" t="s">
        <v>21503</v>
      </c>
      <c r="F11829" s="43">
        <v>116.82</v>
      </c>
    </row>
    <row r="11830" spans="2:6" x14ac:dyDescent="0.25">
      <c r="B11830" s="13" t="s">
        <v>21504</v>
      </c>
      <c r="C11830" s="17" t="s">
        <v>170</v>
      </c>
      <c r="D11830" s="13" t="s">
        <v>118</v>
      </c>
      <c r="E11830" s="13" t="s">
        <v>21505</v>
      </c>
      <c r="F11830" s="43">
        <v>120.49</v>
      </c>
    </row>
    <row r="11831" spans="2:6" x14ac:dyDescent="0.25">
      <c r="B11831" s="13" t="s">
        <v>21506</v>
      </c>
      <c r="C11831" s="17" t="s">
        <v>170</v>
      </c>
      <c r="D11831" s="13" t="s">
        <v>118</v>
      </c>
      <c r="E11831" s="13" t="s">
        <v>21507</v>
      </c>
      <c r="F11831" s="43">
        <v>123.93</v>
      </c>
    </row>
    <row r="11832" spans="2:6" x14ac:dyDescent="0.25">
      <c r="B11832" s="13" t="s">
        <v>21508</v>
      </c>
      <c r="C11832" s="17" t="s">
        <v>170</v>
      </c>
      <c r="D11832" s="13" t="s">
        <v>118</v>
      </c>
      <c r="E11832" s="13" t="s">
        <v>21509</v>
      </c>
      <c r="F11832" s="43">
        <v>127.72</v>
      </c>
    </row>
    <row r="11833" spans="2:6" x14ac:dyDescent="0.25">
      <c r="B11833" s="13" t="s">
        <v>21510</v>
      </c>
      <c r="C11833" s="17" t="s">
        <v>170</v>
      </c>
      <c r="D11833" s="13" t="s">
        <v>118</v>
      </c>
      <c r="E11833" s="13" t="s">
        <v>21511</v>
      </c>
      <c r="F11833" s="43">
        <v>134.72</v>
      </c>
    </row>
    <row r="11834" spans="2:6" x14ac:dyDescent="0.25">
      <c r="B11834" s="13" t="s">
        <v>21512</v>
      </c>
      <c r="C11834" s="17" t="s">
        <v>170</v>
      </c>
      <c r="D11834" s="13" t="s">
        <v>118</v>
      </c>
      <c r="E11834" s="13" t="s">
        <v>21513</v>
      </c>
      <c r="F11834" s="43">
        <v>141.94999999999999</v>
      </c>
    </row>
    <row r="11835" spans="2:6" x14ac:dyDescent="0.25">
      <c r="B11835" s="13" t="s">
        <v>21514</v>
      </c>
      <c r="C11835" s="17" t="s">
        <v>170</v>
      </c>
      <c r="D11835" s="13" t="s">
        <v>118</v>
      </c>
      <c r="E11835" s="13" t="s">
        <v>21515</v>
      </c>
      <c r="F11835" s="43">
        <v>143.1</v>
      </c>
    </row>
    <row r="11836" spans="2:6" x14ac:dyDescent="0.25">
      <c r="B11836" s="13" t="s">
        <v>21516</v>
      </c>
      <c r="C11836" s="17" t="s">
        <v>170</v>
      </c>
      <c r="D11836" s="13" t="s">
        <v>118</v>
      </c>
      <c r="E11836" s="13" t="s">
        <v>21517</v>
      </c>
      <c r="F11836" s="43">
        <v>143.1</v>
      </c>
    </row>
    <row r="11837" spans="2:6" x14ac:dyDescent="0.25">
      <c r="B11837" s="13" t="s">
        <v>21518</v>
      </c>
      <c r="C11837" s="17" t="s">
        <v>170</v>
      </c>
      <c r="D11837" s="13" t="s">
        <v>118</v>
      </c>
      <c r="E11837" s="13" t="s">
        <v>21519</v>
      </c>
      <c r="F11837" s="43">
        <v>143.1</v>
      </c>
    </row>
    <row r="11838" spans="2:6" x14ac:dyDescent="0.25">
      <c r="B11838" s="13" t="s">
        <v>21520</v>
      </c>
      <c r="C11838" s="17" t="s">
        <v>170</v>
      </c>
      <c r="D11838" s="13" t="s">
        <v>118</v>
      </c>
      <c r="E11838" s="13" t="s">
        <v>21521</v>
      </c>
      <c r="F11838" s="43">
        <v>147.91999999999999</v>
      </c>
    </row>
    <row r="11839" spans="2:6" x14ac:dyDescent="0.25">
      <c r="B11839" s="13" t="s">
        <v>21522</v>
      </c>
      <c r="C11839" s="17" t="s">
        <v>170</v>
      </c>
      <c r="D11839" s="13" t="s">
        <v>118</v>
      </c>
      <c r="E11839" s="13" t="s">
        <v>21523</v>
      </c>
      <c r="F11839" s="43">
        <v>149.07</v>
      </c>
    </row>
    <row r="11840" spans="2:6" x14ac:dyDescent="0.25">
      <c r="B11840" s="13" t="s">
        <v>21524</v>
      </c>
      <c r="C11840" s="17" t="s">
        <v>170</v>
      </c>
      <c r="D11840" s="13" t="s">
        <v>118</v>
      </c>
      <c r="E11840" s="13" t="s">
        <v>21525</v>
      </c>
      <c r="F11840" s="43">
        <v>152.62</v>
      </c>
    </row>
    <row r="11841" spans="2:6" x14ac:dyDescent="0.25">
      <c r="B11841" s="13" t="s">
        <v>21526</v>
      </c>
      <c r="C11841" s="17" t="s">
        <v>170</v>
      </c>
      <c r="D11841" s="13" t="s">
        <v>118</v>
      </c>
      <c r="E11841" s="13" t="s">
        <v>21527</v>
      </c>
      <c r="F11841" s="43">
        <v>156.29</v>
      </c>
    </row>
    <row r="11842" spans="2:6" x14ac:dyDescent="0.25">
      <c r="B11842" s="13" t="s">
        <v>21528</v>
      </c>
      <c r="C11842" s="17" t="s">
        <v>170</v>
      </c>
      <c r="D11842" s="13" t="s">
        <v>118</v>
      </c>
      <c r="E11842" s="13" t="s">
        <v>21529</v>
      </c>
      <c r="F11842" s="43">
        <v>159.85</v>
      </c>
    </row>
    <row r="11843" spans="2:6" x14ac:dyDescent="0.25">
      <c r="B11843" s="13" t="s">
        <v>21530</v>
      </c>
      <c r="C11843" s="17" t="s">
        <v>170</v>
      </c>
      <c r="D11843" s="13" t="s">
        <v>118</v>
      </c>
      <c r="E11843" s="13" t="s">
        <v>21531</v>
      </c>
      <c r="F11843" s="43">
        <v>167.08</v>
      </c>
    </row>
    <row r="11844" spans="2:6" x14ac:dyDescent="0.25">
      <c r="B11844" s="13" t="s">
        <v>21532</v>
      </c>
      <c r="C11844" s="17" t="s">
        <v>170</v>
      </c>
      <c r="D11844" s="13" t="s">
        <v>118</v>
      </c>
      <c r="E11844" s="13" t="s">
        <v>21533</v>
      </c>
      <c r="F11844" s="43">
        <v>174.2</v>
      </c>
    </row>
    <row r="11845" spans="2:6" x14ac:dyDescent="0.25">
      <c r="B11845" s="13" t="s">
        <v>21534</v>
      </c>
      <c r="C11845" s="17" t="s">
        <v>170</v>
      </c>
      <c r="D11845" s="13" t="s">
        <v>118</v>
      </c>
      <c r="E11845" s="13" t="s">
        <v>21535</v>
      </c>
      <c r="F11845" s="43">
        <v>37.869999999999997</v>
      </c>
    </row>
    <row r="11846" spans="2:6" x14ac:dyDescent="0.25">
      <c r="B11846" s="13" t="s">
        <v>21536</v>
      </c>
      <c r="C11846" s="17" t="s">
        <v>170</v>
      </c>
      <c r="D11846" s="13" t="s">
        <v>118</v>
      </c>
      <c r="E11846" s="13" t="s">
        <v>21537</v>
      </c>
      <c r="F11846" s="43">
        <v>44.76</v>
      </c>
    </row>
    <row r="11847" spans="2:6" x14ac:dyDescent="0.25">
      <c r="B11847" s="13" t="s">
        <v>21538</v>
      </c>
      <c r="C11847" s="17" t="s">
        <v>170</v>
      </c>
      <c r="D11847" s="13" t="s">
        <v>118</v>
      </c>
      <c r="E11847" s="13" t="s">
        <v>21539</v>
      </c>
      <c r="F11847" s="43">
        <v>47.74</v>
      </c>
    </row>
    <row r="11848" spans="2:6" x14ac:dyDescent="0.25">
      <c r="B11848" s="13" t="s">
        <v>21540</v>
      </c>
      <c r="C11848" s="17" t="s">
        <v>170</v>
      </c>
      <c r="D11848" s="13" t="s">
        <v>118</v>
      </c>
      <c r="E11848" s="13" t="s">
        <v>21541</v>
      </c>
      <c r="F11848" s="43">
        <v>47.74</v>
      </c>
    </row>
    <row r="11849" spans="2:6" x14ac:dyDescent="0.25">
      <c r="B11849" s="13" t="s">
        <v>21542</v>
      </c>
      <c r="C11849" s="17" t="s">
        <v>170</v>
      </c>
      <c r="D11849" s="13" t="s">
        <v>118</v>
      </c>
      <c r="E11849" s="13" t="s">
        <v>21543</v>
      </c>
      <c r="F11849" s="43">
        <v>47.74</v>
      </c>
    </row>
    <row r="11850" spans="2:6" x14ac:dyDescent="0.25">
      <c r="B11850" s="13" t="s">
        <v>21544</v>
      </c>
      <c r="C11850" s="17" t="s">
        <v>170</v>
      </c>
      <c r="D11850" s="13" t="s">
        <v>118</v>
      </c>
      <c r="E11850" s="13" t="s">
        <v>21545</v>
      </c>
      <c r="F11850" s="43">
        <v>53.59</v>
      </c>
    </row>
    <row r="11851" spans="2:6" x14ac:dyDescent="0.25">
      <c r="B11851" s="13" t="s">
        <v>21546</v>
      </c>
      <c r="C11851" s="17" t="s">
        <v>170</v>
      </c>
      <c r="D11851" s="13" t="s">
        <v>118</v>
      </c>
      <c r="E11851" s="13" t="s">
        <v>21547</v>
      </c>
      <c r="F11851" s="43">
        <v>75.63</v>
      </c>
    </row>
    <row r="11852" spans="2:6" x14ac:dyDescent="0.25">
      <c r="B11852" s="13" t="s">
        <v>21548</v>
      </c>
      <c r="C11852" s="17" t="s">
        <v>170</v>
      </c>
      <c r="D11852" s="13" t="s">
        <v>118</v>
      </c>
      <c r="E11852" s="13" t="s">
        <v>21549</v>
      </c>
      <c r="F11852" s="43">
        <v>46.48</v>
      </c>
    </row>
    <row r="11853" spans="2:6" x14ac:dyDescent="0.25">
      <c r="B11853" s="13" t="s">
        <v>21550</v>
      </c>
      <c r="C11853" s="17" t="s">
        <v>170</v>
      </c>
      <c r="D11853" s="13" t="s">
        <v>118</v>
      </c>
      <c r="E11853" s="13" t="s">
        <v>21551</v>
      </c>
      <c r="F11853" s="43">
        <v>46.48</v>
      </c>
    </row>
    <row r="11854" spans="2:6" x14ac:dyDescent="0.25">
      <c r="B11854" s="13" t="s">
        <v>21552</v>
      </c>
      <c r="C11854" s="17" t="s">
        <v>170</v>
      </c>
      <c r="D11854" s="13" t="s">
        <v>118</v>
      </c>
      <c r="E11854" s="13" t="s">
        <v>21553</v>
      </c>
      <c r="F11854" s="43">
        <v>46.48</v>
      </c>
    </row>
    <row r="11855" spans="2:6" x14ac:dyDescent="0.25">
      <c r="B11855" s="13" t="s">
        <v>21554</v>
      </c>
      <c r="C11855" s="17" t="s">
        <v>170</v>
      </c>
      <c r="D11855" s="13" t="s">
        <v>118</v>
      </c>
      <c r="E11855" s="13" t="s">
        <v>21555</v>
      </c>
      <c r="F11855" s="43">
        <v>85.61</v>
      </c>
    </row>
    <row r="11856" spans="2:6" x14ac:dyDescent="0.25">
      <c r="B11856" s="13" t="s">
        <v>21556</v>
      </c>
      <c r="C11856" s="17" t="s">
        <v>170</v>
      </c>
      <c r="D11856" s="13" t="s">
        <v>118</v>
      </c>
      <c r="E11856" s="13" t="s">
        <v>21557</v>
      </c>
      <c r="F11856" s="43">
        <v>85.61</v>
      </c>
    </row>
    <row r="11857" spans="2:6" x14ac:dyDescent="0.25">
      <c r="B11857" s="13" t="s">
        <v>21558</v>
      </c>
      <c r="C11857" s="17" t="s">
        <v>170</v>
      </c>
      <c r="D11857" s="13" t="s">
        <v>118</v>
      </c>
      <c r="E11857" s="13" t="s">
        <v>21559</v>
      </c>
      <c r="F11857" s="43">
        <v>85.61</v>
      </c>
    </row>
    <row r="11858" spans="2:6" x14ac:dyDescent="0.25">
      <c r="B11858" s="13" t="s">
        <v>21560</v>
      </c>
      <c r="C11858" s="17" t="s">
        <v>170</v>
      </c>
      <c r="D11858" s="13" t="s">
        <v>118</v>
      </c>
      <c r="E11858" s="13" t="s">
        <v>21561</v>
      </c>
      <c r="F11858" s="43">
        <v>6.89</v>
      </c>
    </row>
    <row r="11859" spans="2:6" x14ac:dyDescent="0.25">
      <c r="B11859" s="13" t="s">
        <v>21562</v>
      </c>
      <c r="C11859" s="17" t="s">
        <v>170</v>
      </c>
      <c r="D11859" s="13" t="s">
        <v>118</v>
      </c>
      <c r="E11859" s="13" t="s">
        <v>21563</v>
      </c>
      <c r="F11859" s="43">
        <v>9.18</v>
      </c>
    </row>
    <row r="11860" spans="2:6" x14ac:dyDescent="0.25">
      <c r="B11860" s="13" t="s">
        <v>21564</v>
      </c>
      <c r="C11860" s="17" t="s">
        <v>170</v>
      </c>
      <c r="D11860" s="13" t="s">
        <v>118</v>
      </c>
      <c r="E11860" s="13" t="s">
        <v>21565</v>
      </c>
      <c r="F11860" s="43">
        <v>11.48</v>
      </c>
    </row>
    <row r="11861" spans="2:6" x14ac:dyDescent="0.25">
      <c r="B11861" s="13" t="s">
        <v>21566</v>
      </c>
      <c r="C11861" s="17" t="s">
        <v>170</v>
      </c>
      <c r="D11861" s="13" t="s">
        <v>118</v>
      </c>
      <c r="E11861" s="13" t="s">
        <v>21567</v>
      </c>
      <c r="F11861" s="43">
        <v>16.07</v>
      </c>
    </row>
    <row r="11862" spans="2:6" x14ac:dyDescent="0.25">
      <c r="B11862" s="13" t="s">
        <v>21568</v>
      </c>
      <c r="C11862" s="17" t="s">
        <v>170</v>
      </c>
      <c r="D11862" s="13" t="s">
        <v>118</v>
      </c>
      <c r="E11862" s="13" t="s">
        <v>21569</v>
      </c>
      <c r="F11862" s="43">
        <v>30.99</v>
      </c>
    </row>
    <row r="11863" spans="2:6" x14ac:dyDescent="0.25">
      <c r="B11863" s="13" t="s">
        <v>21570</v>
      </c>
      <c r="C11863" s="17" t="s">
        <v>170</v>
      </c>
      <c r="D11863" s="13" t="s">
        <v>118</v>
      </c>
      <c r="E11863" s="13" t="s">
        <v>21571</v>
      </c>
      <c r="F11863" s="43">
        <v>42.46</v>
      </c>
    </row>
    <row r="11864" spans="2:6" x14ac:dyDescent="0.25">
      <c r="B11864" s="13" t="s">
        <v>21572</v>
      </c>
      <c r="C11864" s="17" t="s">
        <v>170</v>
      </c>
      <c r="D11864" s="13" t="s">
        <v>118</v>
      </c>
      <c r="E11864" s="13" t="s">
        <v>21573</v>
      </c>
      <c r="F11864" s="43">
        <v>53.94</v>
      </c>
    </row>
    <row r="11865" spans="2:6" x14ac:dyDescent="0.25">
      <c r="B11865" s="13" t="s">
        <v>21574</v>
      </c>
      <c r="C11865" s="17" t="s">
        <v>170</v>
      </c>
      <c r="D11865" s="13" t="s">
        <v>118</v>
      </c>
      <c r="E11865" s="13" t="s">
        <v>21575</v>
      </c>
      <c r="F11865" s="43">
        <v>70</v>
      </c>
    </row>
    <row r="11866" spans="2:6" x14ac:dyDescent="0.25">
      <c r="B11866" s="13" t="s">
        <v>21576</v>
      </c>
      <c r="C11866" s="17" t="s">
        <v>170</v>
      </c>
      <c r="D11866" s="13" t="s">
        <v>118</v>
      </c>
      <c r="E11866" s="13" t="s">
        <v>21577</v>
      </c>
      <c r="F11866" s="43">
        <v>40.17</v>
      </c>
    </row>
    <row r="11867" spans="2:6" x14ac:dyDescent="0.25">
      <c r="B11867" s="13" t="s">
        <v>21578</v>
      </c>
      <c r="C11867" s="17" t="s">
        <v>170</v>
      </c>
      <c r="D11867" s="13" t="s">
        <v>118</v>
      </c>
      <c r="E11867" s="13" t="s">
        <v>21579</v>
      </c>
      <c r="F11867" s="43">
        <v>52.79</v>
      </c>
    </row>
    <row r="11868" spans="2:6" x14ac:dyDescent="0.25">
      <c r="B11868" s="13" t="s">
        <v>21580</v>
      </c>
      <c r="C11868" s="17" t="s">
        <v>170</v>
      </c>
      <c r="D11868" s="13" t="s">
        <v>118</v>
      </c>
      <c r="E11868" s="13" t="s">
        <v>21581</v>
      </c>
      <c r="F11868" s="43">
        <v>66.56</v>
      </c>
    </row>
    <row r="11869" spans="2:6" x14ac:dyDescent="0.25">
      <c r="B11869" s="13" t="s">
        <v>21582</v>
      </c>
      <c r="C11869" s="17" t="s">
        <v>170</v>
      </c>
      <c r="D11869" s="13" t="s">
        <v>118</v>
      </c>
      <c r="E11869" s="13" t="s">
        <v>21583</v>
      </c>
      <c r="F11869" s="43">
        <v>16.07</v>
      </c>
    </row>
    <row r="11870" spans="2:6" x14ac:dyDescent="0.25">
      <c r="B11870" s="13" t="s">
        <v>21584</v>
      </c>
      <c r="C11870" s="17" t="s">
        <v>170</v>
      </c>
      <c r="D11870" s="13" t="s">
        <v>118</v>
      </c>
      <c r="E11870" s="13" t="s">
        <v>21585</v>
      </c>
      <c r="F11870" s="43">
        <v>18.36</v>
      </c>
    </row>
    <row r="11871" spans="2:6" x14ac:dyDescent="0.25">
      <c r="B11871" s="13" t="s">
        <v>21586</v>
      </c>
      <c r="C11871" s="17" t="s">
        <v>170</v>
      </c>
      <c r="D11871" s="13" t="s">
        <v>118</v>
      </c>
      <c r="E11871" s="13" t="s">
        <v>21587</v>
      </c>
      <c r="F11871" s="43">
        <v>21.81</v>
      </c>
    </row>
    <row r="11872" spans="2:6" x14ac:dyDescent="0.25">
      <c r="B11872" s="13" t="s">
        <v>21588</v>
      </c>
      <c r="C11872" s="17" t="s">
        <v>170</v>
      </c>
      <c r="D11872" s="13" t="s">
        <v>118</v>
      </c>
      <c r="E11872" s="13" t="s">
        <v>21589</v>
      </c>
      <c r="F11872" s="43">
        <v>29.84</v>
      </c>
    </row>
    <row r="11873" spans="2:6" x14ac:dyDescent="0.25">
      <c r="B11873" s="13" t="s">
        <v>21590</v>
      </c>
      <c r="C11873" s="17" t="s">
        <v>170</v>
      </c>
      <c r="D11873" s="13" t="s">
        <v>118</v>
      </c>
      <c r="E11873" s="13" t="s">
        <v>21591</v>
      </c>
      <c r="F11873" s="43">
        <v>44.87</v>
      </c>
    </row>
    <row r="11874" spans="2:6" x14ac:dyDescent="0.25">
      <c r="B11874" s="13" t="s">
        <v>21592</v>
      </c>
      <c r="C11874" s="17" t="s">
        <v>170</v>
      </c>
      <c r="D11874" s="13" t="s">
        <v>118</v>
      </c>
      <c r="E11874" s="13" t="s">
        <v>21593</v>
      </c>
      <c r="F11874" s="43">
        <v>44.87</v>
      </c>
    </row>
    <row r="11875" spans="2:6" x14ac:dyDescent="0.25">
      <c r="B11875" s="13" t="s">
        <v>21594</v>
      </c>
      <c r="C11875" s="17" t="s">
        <v>170</v>
      </c>
      <c r="D11875" s="13" t="s">
        <v>118</v>
      </c>
      <c r="E11875" s="13" t="s">
        <v>21595</v>
      </c>
      <c r="F11875" s="43">
        <v>32.71</v>
      </c>
    </row>
    <row r="11876" spans="2:6" x14ac:dyDescent="0.25">
      <c r="B11876" s="13" t="s">
        <v>21596</v>
      </c>
      <c r="C11876" s="17" t="s">
        <v>170</v>
      </c>
      <c r="D11876" s="13" t="s">
        <v>118</v>
      </c>
      <c r="E11876" s="13" t="s">
        <v>21597</v>
      </c>
      <c r="F11876" s="43">
        <v>32.71</v>
      </c>
    </row>
    <row r="11877" spans="2:6" x14ac:dyDescent="0.25">
      <c r="B11877" s="13" t="s">
        <v>21598</v>
      </c>
      <c r="C11877" s="17" t="s">
        <v>170</v>
      </c>
      <c r="D11877" s="13" t="s">
        <v>118</v>
      </c>
      <c r="E11877" s="13" t="s">
        <v>21595</v>
      </c>
      <c r="F11877" s="43">
        <v>32.71</v>
      </c>
    </row>
    <row r="11878" spans="2:6" x14ac:dyDescent="0.25">
      <c r="B11878" s="13" t="s">
        <v>21599</v>
      </c>
      <c r="C11878" s="17" t="s">
        <v>170</v>
      </c>
      <c r="D11878" s="13" t="s">
        <v>118</v>
      </c>
      <c r="E11878" s="13" t="s">
        <v>21600</v>
      </c>
      <c r="F11878" s="43">
        <v>16.87</v>
      </c>
    </row>
    <row r="11879" spans="2:6" x14ac:dyDescent="0.25">
      <c r="B11879" s="13" t="s">
        <v>21601</v>
      </c>
      <c r="C11879" s="17" t="s">
        <v>170</v>
      </c>
      <c r="D11879" s="13" t="s">
        <v>118</v>
      </c>
      <c r="E11879" s="13" t="s">
        <v>21602</v>
      </c>
      <c r="F11879" s="43">
        <v>16.87</v>
      </c>
    </row>
    <row r="11880" spans="2:6" x14ac:dyDescent="0.25">
      <c r="B11880" s="13" t="s">
        <v>21603</v>
      </c>
      <c r="C11880" s="17" t="s">
        <v>170</v>
      </c>
      <c r="D11880" s="13" t="s">
        <v>118</v>
      </c>
      <c r="E11880" s="13" t="s">
        <v>21604</v>
      </c>
      <c r="F11880" s="43">
        <v>16.87</v>
      </c>
    </row>
    <row r="11881" spans="2:6" x14ac:dyDescent="0.25">
      <c r="B11881" s="13" t="s">
        <v>21605</v>
      </c>
      <c r="C11881" s="17" t="s">
        <v>170</v>
      </c>
      <c r="D11881" s="13" t="s">
        <v>118</v>
      </c>
      <c r="E11881" s="13" t="s">
        <v>21606</v>
      </c>
      <c r="F11881" s="43">
        <v>203.46</v>
      </c>
    </row>
    <row r="11882" spans="2:6" x14ac:dyDescent="0.25">
      <c r="B11882" s="13" t="s">
        <v>21607</v>
      </c>
      <c r="C11882" s="17" t="s">
        <v>170</v>
      </c>
      <c r="D11882" s="13" t="s">
        <v>118</v>
      </c>
      <c r="E11882" s="13" t="s">
        <v>21608</v>
      </c>
      <c r="F11882" s="43">
        <v>213.78</v>
      </c>
    </row>
    <row r="11883" spans="2:6" x14ac:dyDescent="0.25">
      <c r="B11883" s="13" t="s">
        <v>21609</v>
      </c>
      <c r="C11883" s="17" t="s">
        <v>170</v>
      </c>
      <c r="D11883" s="13" t="s">
        <v>118</v>
      </c>
      <c r="E11883" s="13" t="s">
        <v>21610</v>
      </c>
      <c r="F11883" s="43">
        <v>260.60000000000002</v>
      </c>
    </row>
    <row r="11884" spans="2:6" x14ac:dyDescent="0.25">
      <c r="B11884" s="13" t="s">
        <v>21611</v>
      </c>
      <c r="C11884" s="17" t="s">
        <v>170</v>
      </c>
      <c r="D11884" s="13" t="s">
        <v>118</v>
      </c>
      <c r="E11884" s="13" t="s">
        <v>21612</v>
      </c>
      <c r="F11884" s="43">
        <v>296.75</v>
      </c>
    </row>
    <row r="11885" spans="2:6" x14ac:dyDescent="0.25">
      <c r="B11885" s="13" t="s">
        <v>21613</v>
      </c>
      <c r="C11885" s="17" t="s">
        <v>170</v>
      </c>
      <c r="D11885" s="13" t="s">
        <v>118</v>
      </c>
      <c r="E11885" s="13" t="s">
        <v>21614</v>
      </c>
      <c r="F11885" s="43">
        <v>312.24</v>
      </c>
    </row>
    <row r="11886" spans="2:6" x14ac:dyDescent="0.25">
      <c r="B11886" s="13" t="s">
        <v>21615</v>
      </c>
      <c r="C11886" s="17" t="s">
        <v>170</v>
      </c>
      <c r="D11886" s="13" t="s">
        <v>118</v>
      </c>
      <c r="E11886" s="13" t="s">
        <v>21616</v>
      </c>
      <c r="F11886" s="43">
        <v>333.93</v>
      </c>
    </row>
    <row r="11887" spans="2:6" x14ac:dyDescent="0.25">
      <c r="B11887" s="13" t="s">
        <v>21617</v>
      </c>
      <c r="C11887" s="17" t="s">
        <v>170</v>
      </c>
      <c r="D11887" s="13" t="s">
        <v>118</v>
      </c>
      <c r="E11887" s="13" t="s">
        <v>21618</v>
      </c>
      <c r="F11887" s="43">
        <v>348.84</v>
      </c>
    </row>
    <row r="11888" spans="2:6" x14ac:dyDescent="0.25">
      <c r="B11888" s="13" t="s">
        <v>21619</v>
      </c>
      <c r="C11888" s="17" t="s">
        <v>170</v>
      </c>
      <c r="D11888" s="13" t="s">
        <v>118</v>
      </c>
      <c r="E11888" s="13" t="s">
        <v>21620</v>
      </c>
      <c r="F11888" s="43">
        <v>370.99</v>
      </c>
    </row>
    <row r="11889" spans="2:6" x14ac:dyDescent="0.25">
      <c r="B11889" s="13" t="s">
        <v>21621</v>
      </c>
      <c r="C11889" s="17" t="s">
        <v>170</v>
      </c>
      <c r="D11889" s="13" t="s">
        <v>118</v>
      </c>
      <c r="E11889" s="13" t="s">
        <v>21622</v>
      </c>
      <c r="F11889" s="43">
        <v>203.46</v>
      </c>
    </row>
    <row r="11890" spans="2:6" x14ac:dyDescent="0.25">
      <c r="B11890" s="13" t="s">
        <v>21623</v>
      </c>
      <c r="C11890" s="17" t="s">
        <v>170</v>
      </c>
      <c r="D11890" s="13" t="s">
        <v>118</v>
      </c>
      <c r="E11890" s="13" t="s">
        <v>21624</v>
      </c>
      <c r="F11890" s="43">
        <v>213.78</v>
      </c>
    </row>
    <row r="11891" spans="2:6" x14ac:dyDescent="0.25">
      <c r="B11891" s="13" t="s">
        <v>21625</v>
      </c>
      <c r="C11891" s="17" t="s">
        <v>170</v>
      </c>
      <c r="D11891" s="13" t="s">
        <v>118</v>
      </c>
      <c r="E11891" s="13" t="s">
        <v>21626</v>
      </c>
      <c r="F11891" s="43">
        <v>260.60000000000002</v>
      </c>
    </row>
    <row r="11892" spans="2:6" x14ac:dyDescent="0.25">
      <c r="B11892" s="13" t="s">
        <v>21627</v>
      </c>
      <c r="C11892" s="17" t="s">
        <v>170</v>
      </c>
      <c r="D11892" s="13" t="s">
        <v>118</v>
      </c>
      <c r="E11892" s="13" t="s">
        <v>21628</v>
      </c>
      <c r="F11892" s="43">
        <v>296.75</v>
      </c>
    </row>
    <row r="11893" spans="2:6" x14ac:dyDescent="0.25">
      <c r="B11893" s="13" t="s">
        <v>21629</v>
      </c>
      <c r="C11893" s="17" t="s">
        <v>170</v>
      </c>
      <c r="D11893" s="13" t="s">
        <v>118</v>
      </c>
      <c r="E11893" s="13" t="s">
        <v>21630</v>
      </c>
      <c r="F11893" s="43">
        <v>312.24</v>
      </c>
    </row>
    <row r="11894" spans="2:6" x14ac:dyDescent="0.25">
      <c r="B11894" s="13" t="s">
        <v>21631</v>
      </c>
      <c r="C11894" s="17" t="s">
        <v>170</v>
      </c>
      <c r="D11894" s="13" t="s">
        <v>118</v>
      </c>
      <c r="E11894" s="13" t="s">
        <v>21632</v>
      </c>
      <c r="F11894" s="43">
        <v>333.93</v>
      </c>
    </row>
    <row r="11895" spans="2:6" x14ac:dyDescent="0.25">
      <c r="B11895" s="13" t="s">
        <v>21633</v>
      </c>
      <c r="C11895" s="17" t="s">
        <v>170</v>
      </c>
      <c r="D11895" s="13" t="s">
        <v>118</v>
      </c>
      <c r="E11895" s="13" t="s">
        <v>21634</v>
      </c>
      <c r="F11895" s="43">
        <v>348.84</v>
      </c>
    </row>
    <row r="11896" spans="2:6" x14ac:dyDescent="0.25">
      <c r="B11896" s="13" t="s">
        <v>21635</v>
      </c>
      <c r="C11896" s="17" t="s">
        <v>170</v>
      </c>
      <c r="D11896" s="13" t="s">
        <v>118</v>
      </c>
      <c r="E11896" s="13" t="s">
        <v>21636</v>
      </c>
      <c r="F11896" s="43">
        <v>370.99</v>
      </c>
    </row>
    <row r="11897" spans="2:6" x14ac:dyDescent="0.25">
      <c r="B11897" s="13" t="s">
        <v>21637</v>
      </c>
      <c r="C11897" s="17" t="s">
        <v>170</v>
      </c>
      <c r="D11897" s="13" t="s">
        <v>118</v>
      </c>
      <c r="E11897" s="13" t="s">
        <v>21638</v>
      </c>
      <c r="F11897" s="43">
        <v>27.32</v>
      </c>
    </row>
    <row r="11898" spans="2:6" x14ac:dyDescent="0.25">
      <c r="B11898" s="13" t="s">
        <v>21639</v>
      </c>
      <c r="C11898" s="17" t="s">
        <v>170</v>
      </c>
      <c r="D11898" s="13" t="s">
        <v>118</v>
      </c>
      <c r="E11898" s="13" t="s">
        <v>21640</v>
      </c>
      <c r="F11898" s="43">
        <v>27.32</v>
      </c>
    </row>
    <row r="11899" spans="2:6" x14ac:dyDescent="0.25">
      <c r="B11899" s="13" t="s">
        <v>21641</v>
      </c>
      <c r="C11899" s="17" t="s">
        <v>170</v>
      </c>
      <c r="D11899" s="13" t="s">
        <v>118</v>
      </c>
      <c r="E11899" s="13" t="s">
        <v>21642</v>
      </c>
      <c r="F11899" s="43">
        <v>27.32</v>
      </c>
    </row>
    <row r="11900" spans="2:6" x14ac:dyDescent="0.25">
      <c r="B11900" s="13" t="s">
        <v>21643</v>
      </c>
      <c r="C11900" s="17" t="s">
        <v>170</v>
      </c>
      <c r="D11900" s="13" t="s">
        <v>118</v>
      </c>
      <c r="E11900" s="13" t="s">
        <v>21644</v>
      </c>
      <c r="F11900" s="43">
        <v>516.38</v>
      </c>
    </row>
    <row r="11901" spans="2:6" x14ac:dyDescent="0.25">
      <c r="B11901" s="13" t="s">
        <v>21645</v>
      </c>
      <c r="C11901" s="17" t="s">
        <v>170</v>
      </c>
      <c r="D11901" s="13" t="s">
        <v>118</v>
      </c>
      <c r="E11901" s="13" t="s">
        <v>21646</v>
      </c>
      <c r="F11901" s="43">
        <v>516.38</v>
      </c>
    </row>
    <row r="11902" spans="2:6" x14ac:dyDescent="0.25">
      <c r="B11902" s="13" t="s">
        <v>21647</v>
      </c>
      <c r="C11902" s="17" t="s">
        <v>170</v>
      </c>
      <c r="D11902" s="13" t="s">
        <v>118</v>
      </c>
      <c r="E11902" s="13" t="s">
        <v>21648</v>
      </c>
      <c r="F11902" s="43">
        <v>516.38</v>
      </c>
    </row>
    <row r="11903" spans="2:6" x14ac:dyDescent="0.25">
      <c r="B11903" s="13" t="s">
        <v>21649</v>
      </c>
      <c r="C11903" s="17" t="s">
        <v>170</v>
      </c>
      <c r="D11903" s="13" t="s">
        <v>118</v>
      </c>
      <c r="E11903" s="13" t="s">
        <v>21650</v>
      </c>
      <c r="F11903" s="43">
        <v>516.38</v>
      </c>
    </row>
    <row r="11904" spans="2:6" x14ac:dyDescent="0.25">
      <c r="B11904" s="13" t="s">
        <v>21651</v>
      </c>
      <c r="C11904" s="17" t="s">
        <v>170</v>
      </c>
      <c r="D11904" s="13" t="s">
        <v>118</v>
      </c>
      <c r="E11904" s="13" t="s">
        <v>21652</v>
      </c>
      <c r="F11904" s="43">
        <v>516.38</v>
      </c>
    </row>
    <row r="11905" spans="2:6" x14ac:dyDescent="0.25">
      <c r="B11905" s="13" t="s">
        <v>21653</v>
      </c>
      <c r="C11905" s="17" t="s">
        <v>170</v>
      </c>
      <c r="D11905" s="13" t="s">
        <v>118</v>
      </c>
      <c r="E11905" s="13" t="s">
        <v>21654</v>
      </c>
      <c r="F11905" s="43">
        <v>602.44000000000005</v>
      </c>
    </row>
    <row r="11906" spans="2:6" x14ac:dyDescent="0.25">
      <c r="B11906" s="13" t="s">
        <v>21655</v>
      </c>
      <c r="C11906" s="17" t="s">
        <v>170</v>
      </c>
      <c r="D11906" s="13" t="s">
        <v>118</v>
      </c>
      <c r="E11906" s="13" t="s">
        <v>21656</v>
      </c>
      <c r="F11906" s="43">
        <v>602.44000000000005</v>
      </c>
    </row>
    <row r="11907" spans="2:6" x14ac:dyDescent="0.25">
      <c r="B11907" s="13" t="s">
        <v>21657</v>
      </c>
      <c r="C11907" s="17" t="s">
        <v>170</v>
      </c>
      <c r="D11907" s="13" t="s">
        <v>118</v>
      </c>
      <c r="E11907" s="13" t="s">
        <v>21658</v>
      </c>
      <c r="F11907" s="43">
        <v>602.44000000000005</v>
      </c>
    </row>
    <row r="11908" spans="2:6" x14ac:dyDescent="0.25">
      <c r="B11908" s="13" t="s">
        <v>21659</v>
      </c>
      <c r="C11908" s="17" t="s">
        <v>170</v>
      </c>
      <c r="D11908" s="13" t="s">
        <v>118</v>
      </c>
      <c r="E11908" s="13" t="s">
        <v>21660</v>
      </c>
      <c r="F11908" s="43">
        <v>516.38</v>
      </c>
    </row>
    <row r="11909" spans="2:6" x14ac:dyDescent="0.25">
      <c r="B11909" s="13" t="s">
        <v>21661</v>
      </c>
      <c r="C11909" s="17" t="s">
        <v>170</v>
      </c>
      <c r="D11909" s="13" t="s">
        <v>118</v>
      </c>
      <c r="E11909" s="13" t="s">
        <v>21662</v>
      </c>
      <c r="F11909" s="43">
        <v>516.38</v>
      </c>
    </row>
    <row r="11910" spans="2:6" x14ac:dyDescent="0.25">
      <c r="B11910" s="13" t="s">
        <v>21663</v>
      </c>
      <c r="C11910" s="17" t="s">
        <v>170</v>
      </c>
      <c r="D11910" s="13" t="s">
        <v>118</v>
      </c>
      <c r="E11910" s="13" t="s">
        <v>21664</v>
      </c>
      <c r="F11910" s="43">
        <v>516.38</v>
      </c>
    </row>
    <row r="11911" spans="2:6" x14ac:dyDescent="0.25">
      <c r="B11911" s="13" t="s">
        <v>21665</v>
      </c>
      <c r="C11911" s="17" t="s">
        <v>170</v>
      </c>
      <c r="D11911" s="13" t="s">
        <v>118</v>
      </c>
      <c r="E11911" s="13" t="s">
        <v>21666</v>
      </c>
      <c r="F11911" s="43">
        <v>516.38</v>
      </c>
    </row>
    <row r="11912" spans="2:6" x14ac:dyDescent="0.25">
      <c r="B11912" s="13" t="s">
        <v>21667</v>
      </c>
      <c r="C11912" s="17" t="s">
        <v>170</v>
      </c>
      <c r="D11912" s="13" t="s">
        <v>118</v>
      </c>
      <c r="E11912" s="13" t="s">
        <v>21668</v>
      </c>
      <c r="F11912" s="43">
        <v>516.38</v>
      </c>
    </row>
    <row r="11913" spans="2:6" x14ac:dyDescent="0.25">
      <c r="B11913" s="13" t="s">
        <v>21669</v>
      </c>
      <c r="C11913" s="17" t="s">
        <v>170</v>
      </c>
      <c r="D11913" s="13" t="s">
        <v>118</v>
      </c>
      <c r="E11913" s="13" t="s">
        <v>21670</v>
      </c>
      <c r="F11913" s="43">
        <v>516.38</v>
      </c>
    </row>
    <row r="11914" spans="2:6" x14ac:dyDescent="0.25">
      <c r="B11914" s="13" t="s">
        <v>21671</v>
      </c>
      <c r="C11914" s="17" t="s">
        <v>170</v>
      </c>
      <c r="D11914" s="13" t="s">
        <v>118</v>
      </c>
      <c r="E11914" s="13" t="s">
        <v>21672</v>
      </c>
      <c r="F11914" s="43">
        <v>602.44000000000005</v>
      </c>
    </row>
    <row r="11915" spans="2:6" x14ac:dyDescent="0.25">
      <c r="B11915" s="13" t="s">
        <v>21673</v>
      </c>
      <c r="C11915" s="17" t="s">
        <v>170</v>
      </c>
      <c r="D11915" s="13" t="s">
        <v>118</v>
      </c>
      <c r="E11915" s="13" t="s">
        <v>21674</v>
      </c>
      <c r="F11915" s="43">
        <v>602.44000000000005</v>
      </c>
    </row>
    <row r="11916" spans="2:6" x14ac:dyDescent="0.25">
      <c r="B11916" s="13" t="s">
        <v>21675</v>
      </c>
      <c r="C11916" s="17" t="s">
        <v>170</v>
      </c>
      <c r="D11916" s="13" t="s">
        <v>118</v>
      </c>
      <c r="E11916" s="13" t="s">
        <v>21676</v>
      </c>
      <c r="F11916" s="43">
        <v>602.44000000000005</v>
      </c>
    </row>
    <row r="11917" spans="2:6" x14ac:dyDescent="0.25">
      <c r="B11917" s="13" t="s">
        <v>21677</v>
      </c>
      <c r="C11917" s="17" t="s">
        <v>170</v>
      </c>
      <c r="D11917" s="13" t="s">
        <v>118</v>
      </c>
      <c r="E11917" s="13" t="s">
        <v>21678</v>
      </c>
      <c r="F11917" s="43">
        <v>516.38</v>
      </c>
    </row>
    <row r="11918" spans="2:6" x14ac:dyDescent="0.25">
      <c r="B11918" s="13" t="s">
        <v>21679</v>
      </c>
      <c r="C11918" s="17" t="s">
        <v>170</v>
      </c>
      <c r="D11918" s="13" t="s">
        <v>118</v>
      </c>
      <c r="E11918" s="13" t="s">
        <v>21680</v>
      </c>
      <c r="F11918" s="43">
        <v>516.38</v>
      </c>
    </row>
    <row r="11919" spans="2:6" x14ac:dyDescent="0.25">
      <c r="B11919" s="13" t="s">
        <v>21681</v>
      </c>
      <c r="C11919" s="17" t="s">
        <v>170</v>
      </c>
      <c r="D11919" s="13" t="s">
        <v>118</v>
      </c>
      <c r="E11919" s="13" t="s">
        <v>21682</v>
      </c>
      <c r="F11919" s="43">
        <v>602.44000000000005</v>
      </c>
    </row>
    <row r="11920" spans="2:6" x14ac:dyDescent="0.25">
      <c r="B11920" s="13" t="s">
        <v>21683</v>
      </c>
      <c r="C11920" s="17" t="s">
        <v>170</v>
      </c>
      <c r="D11920" s="13" t="s">
        <v>118</v>
      </c>
      <c r="E11920" s="13" t="s">
        <v>21684</v>
      </c>
      <c r="F11920" s="43">
        <v>688.5</v>
      </c>
    </row>
    <row r="11921" spans="2:6" x14ac:dyDescent="0.25">
      <c r="B11921" s="13" t="s">
        <v>21685</v>
      </c>
      <c r="C11921" s="17" t="s">
        <v>170</v>
      </c>
      <c r="D11921" s="13" t="s">
        <v>118</v>
      </c>
      <c r="E11921" s="13" t="s">
        <v>21686</v>
      </c>
      <c r="F11921" s="43">
        <v>40.74</v>
      </c>
    </row>
    <row r="11922" spans="2:6" x14ac:dyDescent="0.25">
      <c r="B11922" s="13" t="s">
        <v>21687</v>
      </c>
      <c r="C11922" s="17" t="s">
        <v>170</v>
      </c>
      <c r="D11922" s="13" t="s">
        <v>118</v>
      </c>
      <c r="E11922" s="13" t="s">
        <v>21688</v>
      </c>
      <c r="F11922" s="43">
        <v>40.74</v>
      </c>
    </row>
    <row r="11923" spans="2:6" x14ac:dyDescent="0.25">
      <c r="B11923" s="13" t="s">
        <v>21689</v>
      </c>
      <c r="C11923" s="17" t="s">
        <v>170</v>
      </c>
      <c r="D11923" s="13" t="s">
        <v>118</v>
      </c>
      <c r="E11923" s="13" t="s">
        <v>21690</v>
      </c>
      <c r="F11923" s="43">
        <v>40.74</v>
      </c>
    </row>
    <row r="11924" spans="2:6" x14ac:dyDescent="0.25">
      <c r="B11924" s="13" t="s">
        <v>21691</v>
      </c>
      <c r="C11924" s="17" t="s">
        <v>170</v>
      </c>
      <c r="D11924" s="13" t="s">
        <v>118</v>
      </c>
      <c r="E11924" s="13" t="s">
        <v>21692</v>
      </c>
      <c r="F11924" s="43">
        <v>40.74</v>
      </c>
    </row>
    <row r="11925" spans="2:6" x14ac:dyDescent="0.25">
      <c r="B11925" s="13" t="s">
        <v>21693</v>
      </c>
      <c r="C11925" s="17" t="s">
        <v>170</v>
      </c>
      <c r="D11925" s="13" t="s">
        <v>118</v>
      </c>
      <c r="E11925" s="13" t="s">
        <v>21694</v>
      </c>
      <c r="F11925" s="43">
        <v>40.74</v>
      </c>
    </row>
    <row r="11926" spans="2:6" x14ac:dyDescent="0.25">
      <c r="B11926" s="13" t="s">
        <v>21695</v>
      </c>
      <c r="C11926" s="17" t="s">
        <v>170</v>
      </c>
      <c r="D11926" s="13" t="s">
        <v>118</v>
      </c>
      <c r="E11926" s="13" t="s">
        <v>21696</v>
      </c>
      <c r="F11926" s="43">
        <v>40.74</v>
      </c>
    </row>
    <row r="11927" spans="2:6" x14ac:dyDescent="0.25">
      <c r="B11927" s="13" t="s">
        <v>21697</v>
      </c>
      <c r="C11927" s="17" t="s">
        <v>170</v>
      </c>
      <c r="D11927" s="13" t="s">
        <v>118</v>
      </c>
      <c r="E11927" s="13" t="s">
        <v>21698</v>
      </c>
      <c r="F11927" s="43">
        <v>40.74</v>
      </c>
    </row>
    <row r="11928" spans="2:6" x14ac:dyDescent="0.25">
      <c r="B11928" s="13" t="s">
        <v>21699</v>
      </c>
      <c r="C11928" s="17" t="s">
        <v>170</v>
      </c>
      <c r="D11928" s="13" t="s">
        <v>118</v>
      </c>
      <c r="E11928" s="13" t="s">
        <v>21700</v>
      </c>
      <c r="F11928" s="43">
        <v>40.74</v>
      </c>
    </row>
    <row r="11929" spans="2:6" x14ac:dyDescent="0.25">
      <c r="B11929" s="13" t="s">
        <v>21701</v>
      </c>
      <c r="C11929" s="17" t="s">
        <v>170</v>
      </c>
      <c r="D11929" s="13" t="s">
        <v>118</v>
      </c>
      <c r="E11929" s="13" t="s">
        <v>21702</v>
      </c>
      <c r="F11929" s="43">
        <v>40.74</v>
      </c>
    </row>
    <row r="11930" spans="2:6" x14ac:dyDescent="0.25">
      <c r="B11930" s="13" t="s">
        <v>21703</v>
      </c>
      <c r="C11930" s="17" t="s">
        <v>170</v>
      </c>
      <c r="D11930" s="13" t="s">
        <v>118</v>
      </c>
      <c r="E11930" s="13" t="s">
        <v>21704</v>
      </c>
      <c r="F11930" s="43">
        <v>40.74</v>
      </c>
    </row>
    <row r="11931" spans="2:6" x14ac:dyDescent="0.25">
      <c r="B11931" s="13" t="s">
        <v>21705</v>
      </c>
      <c r="C11931" s="17" t="s">
        <v>170</v>
      </c>
      <c r="D11931" s="13" t="s">
        <v>118</v>
      </c>
      <c r="E11931" s="13" t="s">
        <v>21706</v>
      </c>
      <c r="F11931" s="43">
        <v>23.8</v>
      </c>
    </row>
    <row r="11932" spans="2:6" x14ac:dyDescent="0.25">
      <c r="B11932" s="13" t="s">
        <v>21707</v>
      </c>
      <c r="C11932" s="17" t="s">
        <v>170</v>
      </c>
      <c r="D11932" s="13" t="s">
        <v>118</v>
      </c>
      <c r="E11932" s="13" t="s">
        <v>21708</v>
      </c>
      <c r="F11932" s="43">
        <v>42.39</v>
      </c>
    </row>
    <row r="11933" spans="2:6" x14ac:dyDescent="0.25">
      <c r="B11933" s="13" t="s">
        <v>21709</v>
      </c>
      <c r="C11933" s="17" t="s">
        <v>170</v>
      </c>
      <c r="D11933" s="13" t="s">
        <v>118</v>
      </c>
      <c r="E11933" s="13" t="s">
        <v>21710</v>
      </c>
      <c r="F11933" s="43">
        <v>33.51</v>
      </c>
    </row>
    <row r="11934" spans="2:6" x14ac:dyDescent="0.25">
      <c r="B11934" s="13" t="s">
        <v>21711</v>
      </c>
      <c r="C11934" s="17" t="s">
        <v>170</v>
      </c>
      <c r="D11934" s="13" t="s">
        <v>118</v>
      </c>
      <c r="E11934" s="13" t="s">
        <v>21712</v>
      </c>
      <c r="F11934" s="43">
        <v>68.319999999999993</v>
      </c>
    </row>
    <row r="11935" spans="2:6" x14ac:dyDescent="0.25">
      <c r="B11935" s="13" t="s">
        <v>21713</v>
      </c>
      <c r="C11935" s="17" t="s">
        <v>170</v>
      </c>
      <c r="D11935" s="13" t="s">
        <v>118</v>
      </c>
      <c r="E11935" s="13" t="s">
        <v>21714</v>
      </c>
      <c r="F11935" s="43">
        <v>117.39</v>
      </c>
    </row>
    <row r="11936" spans="2:6" x14ac:dyDescent="0.25">
      <c r="B11936" s="13" t="s">
        <v>21715</v>
      </c>
      <c r="C11936" s="17" t="s">
        <v>170</v>
      </c>
      <c r="D11936" s="13" t="s">
        <v>118</v>
      </c>
      <c r="E11936" s="13" t="s">
        <v>21716</v>
      </c>
      <c r="F11936" s="43">
        <v>117.39</v>
      </c>
    </row>
    <row r="11937" spans="2:6" x14ac:dyDescent="0.25">
      <c r="B11937" s="13" t="s">
        <v>21717</v>
      </c>
      <c r="C11937" s="17" t="s">
        <v>170</v>
      </c>
      <c r="D11937" s="13" t="s">
        <v>118</v>
      </c>
      <c r="E11937" s="13" t="s">
        <v>21718</v>
      </c>
      <c r="F11937" s="43">
        <v>118.08</v>
      </c>
    </row>
    <row r="11938" spans="2:6" x14ac:dyDescent="0.25">
      <c r="B11938" s="13" t="s">
        <v>21719</v>
      </c>
      <c r="C11938" s="17" t="s">
        <v>170</v>
      </c>
      <c r="D11938" s="13" t="s">
        <v>118</v>
      </c>
      <c r="E11938" s="13" t="s">
        <v>21720</v>
      </c>
      <c r="F11938" s="43">
        <v>118.08</v>
      </c>
    </row>
    <row r="11939" spans="2:6" x14ac:dyDescent="0.25">
      <c r="B11939" s="13" t="s">
        <v>21721</v>
      </c>
      <c r="C11939" s="17" t="s">
        <v>170</v>
      </c>
      <c r="D11939" s="13" t="s">
        <v>118</v>
      </c>
      <c r="E11939" s="13" t="s">
        <v>21722</v>
      </c>
      <c r="F11939" s="43">
        <v>122.44</v>
      </c>
    </row>
    <row r="11940" spans="2:6" x14ac:dyDescent="0.25">
      <c r="B11940" s="13" t="s">
        <v>21723</v>
      </c>
      <c r="C11940" s="17" t="s">
        <v>170</v>
      </c>
      <c r="D11940" s="13" t="s">
        <v>118</v>
      </c>
      <c r="E11940" s="13" t="s">
        <v>21724</v>
      </c>
      <c r="F11940" s="43">
        <v>122.44</v>
      </c>
    </row>
    <row r="11941" spans="2:6" x14ac:dyDescent="0.25">
      <c r="B11941" s="13" t="s">
        <v>21725</v>
      </c>
      <c r="C11941" s="17" t="s">
        <v>170</v>
      </c>
      <c r="D11941" s="13" t="s">
        <v>118</v>
      </c>
      <c r="E11941" s="13" t="s">
        <v>21726</v>
      </c>
      <c r="F11941" s="43">
        <v>123.13</v>
      </c>
    </row>
    <row r="11942" spans="2:6" x14ac:dyDescent="0.25">
      <c r="B11942" s="13" t="s">
        <v>21727</v>
      </c>
      <c r="C11942" s="17" t="s">
        <v>170</v>
      </c>
      <c r="D11942" s="13" t="s">
        <v>118</v>
      </c>
      <c r="E11942" s="13" t="s">
        <v>21728</v>
      </c>
      <c r="F11942" s="43">
        <v>123.13</v>
      </c>
    </row>
    <row r="11943" spans="2:6" x14ac:dyDescent="0.25">
      <c r="B11943" s="13" t="s">
        <v>21729</v>
      </c>
      <c r="C11943" s="17" t="s">
        <v>170</v>
      </c>
      <c r="D11943" s="13" t="s">
        <v>118</v>
      </c>
      <c r="E11943" s="13" t="s">
        <v>21730</v>
      </c>
      <c r="F11943" s="43">
        <v>108.48</v>
      </c>
    </row>
    <row r="11944" spans="2:6" x14ac:dyDescent="0.25">
      <c r="B11944" s="13" t="s">
        <v>21731</v>
      </c>
      <c r="C11944" s="17" t="s">
        <v>170</v>
      </c>
      <c r="D11944" s="13" t="s">
        <v>118</v>
      </c>
      <c r="E11944" s="13" t="s">
        <v>21732</v>
      </c>
      <c r="F11944" s="43">
        <v>108.48</v>
      </c>
    </row>
    <row r="11945" spans="2:6" x14ac:dyDescent="0.25">
      <c r="B11945" s="13" t="s">
        <v>21733</v>
      </c>
      <c r="C11945" s="17" t="s">
        <v>170</v>
      </c>
      <c r="D11945" s="13" t="s">
        <v>118</v>
      </c>
      <c r="E11945" s="13" t="s">
        <v>21734</v>
      </c>
      <c r="F11945" s="43">
        <v>108.48</v>
      </c>
    </row>
    <row r="11946" spans="2:6" x14ac:dyDescent="0.25">
      <c r="B11946" s="13" t="s">
        <v>21735</v>
      </c>
      <c r="C11946" s="17" t="s">
        <v>170</v>
      </c>
      <c r="D11946" s="13" t="s">
        <v>118</v>
      </c>
      <c r="E11946" s="13" t="s">
        <v>21736</v>
      </c>
      <c r="F11946" s="43">
        <v>108.48</v>
      </c>
    </row>
    <row r="11947" spans="2:6" x14ac:dyDescent="0.25">
      <c r="B11947" s="13" t="s">
        <v>21737</v>
      </c>
      <c r="C11947" s="17" t="s">
        <v>170</v>
      </c>
      <c r="D11947" s="13" t="s">
        <v>118</v>
      </c>
      <c r="E11947" s="13" t="s">
        <v>21738</v>
      </c>
      <c r="F11947" s="43">
        <v>108.48</v>
      </c>
    </row>
    <row r="11948" spans="2:6" x14ac:dyDescent="0.25">
      <c r="B11948" s="13" t="s">
        <v>21739</v>
      </c>
      <c r="C11948" s="17" t="s">
        <v>170</v>
      </c>
      <c r="D11948" s="13" t="s">
        <v>118</v>
      </c>
      <c r="E11948" s="13" t="s">
        <v>21740</v>
      </c>
      <c r="F11948" s="43">
        <v>108.48</v>
      </c>
    </row>
    <row r="11949" spans="2:6" x14ac:dyDescent="0.25">
      <c r="B11949" s="13" t="s">
        <v>21741</v>
      </c>
      <c r="C11949" s="17" t="s">
        <v>170</v>
      </c>
      <c r="D11949" s="13" t="s">
        <v>118</v>
      </c>
      <c r="E11949" s="13" t="s">
        <v>21742</v>
      </c>
      <c r="F11949" s="43">
        <v>141.38</v>
      </c>
    </row>
    <row r="11950" spans="2:6" x14ac:dyDescent="0.25">
      <c r="B11950" s="13" t="s">
        <v>21743</v>
      </c>
      <c r="C11950" s="17" t="s">
        <v>170</v>
      </c>
      <c r="D11950" s="13" t="s">
        <v>118</v>
      </c>
      <c r="E11950" s="13" t="s">
        <v>21744</v>
      </c>
      <c r="F11950" s="43">
        <v>141.38</v>
      </c>
    </row>
    <row r="11951" spans="2:6" x14ac:dyDescent="0.25">
      <c r="B11951" s="13" t="s">
        <v>21745</v>
      </c>
      <c r="C11951" s="17" t="s">
        <v>170</v>
      </c>
      <c r="D11951" s="13" t="s">
        <v>118</v>
      </c>
      <c r="E11951" s="13" t="s">
        <v>21746</v>
      </c>
      <c r="F11951" s="43">
        <v>141.38</v>
      </c>
    </row>
    <row r="11952" spans="2:6" x14ac:dyDescent="0.25">
      <c r="B11952" s="13" t="s">
        <v>21747</v>
      </c>
      <c r="C11952" s="17" t="s">
        <v>170</v>
      </c>
      <c r="D11952" s="13" t="s">
        <v>118</v>
      </c>
      <c r="E11952" s="13" t="s">
        <v>21748</v>
      </c>
      <c r="F11952" s="43">
        <v>141.38</v>
      </c>
    </row>
    <row r="11953" spans="2:6" x14ac:dyDescent="0.25">
      <c r="B11953" s="13" t="s">
        <v>21749</v>
      </c>
      <c r="C11953" s="17" t="s">
        <v>170</v>
      </c>
      <c r="D11953" s="13" t="s">
        <v>118</v>
      </c>
      <c r="E11953" s="13" t="s">
        <v>21750</v>
      </c>
      <c r="F11953" s="43">
        <v>141.38</v>
      </c>
    </row>
    <row r="11954" spans="2:6" x14ac:dyDescent="0.25">
      <c r="B11954" s="13" t="s">
        <v>21751</v>
      </c>
      <c r="C11954" s="17" t="s">
        <v>170</v>
      </c>
      <c r="D11954" s="13" t="s">
        <v>118</v>
      </c>
      <c r="E11954" s="13" t="s">
        <v>21752</v>
      </c>
      <c r="F11954" s="43">
        <v>141.38</v>
      </c>
    </row>
    <row r="11955" spans="2:6" x14ac:dyDescent="0.25">
      <c r="B11955" s="13" t="s">
        <v>21753</v>
      </c>
      <c r="C11955" s="17" t="s">
        <v>170</v>
      </c>
      <c r="D11955" s="13" t="s">
        <v>118</v>
      </c>
      <c r="E11955" s="13" t="s">
        <v>21754</v>
      </c>
      <c r="F11955" s="43">
        <v>97.31</v>
      </c>
    </row>
    <row r="11956" spans="2:6" x14ac:dyDescent="0.25">
      <c r="B11956" s="13" t="s">
        <v>21755</v>
      </c>
      <c r="C11956" s="17" t="s">
        <v>170</v>
      </c>
      <c r="D11956" s="13" t="s">
        <v>118</v>
      </c>
      <c r="E11956" s="13" t="s">
        <v>21756</v>
      </c>
      <c r="F11956" s="43">
        <v>97.31</v>
      </c>
    </row>
    <row r="11957" spans="2:6" x14ac:dyDescent="0.25">
      <c r="B11957" s="13" t="s">
        <v>21757</v>
      </c>
      <c r="C11957" s="17" t="s">
        <v>170</v>
      </c>
      <c r="D11957" s="13" t="s">
        <v>118</v>
      </c>
      <c r="E11957" s="13" t="s">
        <v>21758</v>
      </c>
      <c r="F11957" s="43">
        <v>97.31</v>
      </c>
    </row>
    <row r="11958" spans="2:6" x14ac:dyDescent="0.25">
      <c r="B11958" s="13" t="s">
        <v>21759</v>
      </c>
      <c r="C11958" s="17" t="s">
        <v>170</v>
      </c>
      <c r="D11958" s="13" t="s">
        <v>118</v>
      </c>
      <c r="E11958" s="13" t="s">
        <v>21760</v>
      </c>
      <c r="F11958" s="43">
        <v>97.31</v>
      </c>
    </row>
    <row r="11959" spans="2:6" x14ac:dyDescent="0.25">
      <c r="B11959" s="13" t="s">
        <v>21761</v>
      </c>
      <c r="C11959" s="17" t="s">
        <v>170</v>
      </c>
      <c r="D11959" s="13" t="s">
        <v>118</v>
      </c>
      <c r="E11959" s="13" t="s">
        <v>21762</v>
      </c>
      <c r="F11959" s="43">
        <v>97.31</v>
      </c>
    </row>
    <row r="11960" spans="2:6" x14ac:dyDescent="0.25">
      <c r="B11960" s="13" t="s">
        <v>21763</v>
      </c>
      <c r="C11960" s="17" t="s">
        <v>170</v>
      </c>
      <c r="D11960" s="13" t="s">
        <v>118</v>
      </c>
      <c r="E11960" s="13" t="s">
        <v>21764</v>
      </c>
      <c r="F11960" s="43">
        <v>97.31</v>
      </c>
    </row>
    <row r="11961" spans="2:6" x14ac:dyDescent="0.25">
      <c r="B11961" s="13" t="s">
        <v>21765</v>
      </c>
      <c r="C11961" s="17" t="s">
        <v>170</v>
      </c>
      <c r="D11961" s="13" t="s">
        <v>118</v>
      </c>
      <c r="E11961" s="13" t="s">
        <v>21766</v>
      </c>
      <c r="F11961" s="43">
        <v>129.21</v>
      </c>
    </row>
    <row r="11962" spans="2:6" x14ac:dyDescent="0.25">
      <c r="B11962" s="13" t="s">
        <v>21767</v>
      </c>
      <c r="C11962" s="17" t="s">
        <v>170</v>
      </c>
      <c r="D11962" s="13" t="s">
        <v>118</v>
      </c>
      <c r="E11962" s="13" t="s">
        <v>21768</v>
      </c>
      <c r="F11962" s="43">
        <v>129.21</v>
      </c>
    </row>
    <row r="11963" spans="2:6" x14ac:dyDescent="0.25">
      <c r="B11963" s="13" t="s">
        <v>21769</v>
      </c>
      <c r="C11963" s="17" t="s">
        <v>170</v>
      </c>
      <c r="D11963" s="13" t="s">
        <v>118</v>
      </c>
      <c r="E11963" s="13" t="s">
        <v>21770</v>
      </c>
      <c r="F11963" s="43">
        <v>129.21</v>
      </c>
    </row>
    <row r="11964" spans="2:6" x14ac:dyDescent="0.25">
      <c r="B11964" s="13" t="s">
        <v>21771</v>
      </c>
      <c r="C11964" s="17" t="s">
        <v>170</v>
      </c>
      <c r="D11964" s="13" t="s">
        <v>118</v>
      </c>
      <c r="E11964" s="13" t="s">
        <v>21772</v>
      </c>
      <c r="F11964" s="43">
        <v>129.21</v>
      </c>
    </row>
    <row r="11965" spans="2:6" x14ac:dyDescent="0.25">
      <c r="B11965" s="13" t="s">
        <v>21773</v>
      </c>
      <c r="C11965" s="17" t="s">
        <v>170</v>
      </c>
      <c r="D11965" s="13" t="s">
        <v>118</v>
      </c>
      <c r="E11965" s="13" t="s">
        <v>21774</v>
      </c>
      <c r="F11965" s="43">
        <v>129.21</v>
      </c>
    </row>
    <row r="11966" spans="2:6" x14ac:dyDescent="0.25">
      <c r="B11966" s="13" t="s">
        <v>21775</v>
      </c>
      <c r="C11966" s="17" t="s">
        <v>170</v>
      </c>
      <c r="D11966" s="13" t="s">
        <v>118</v>
      </c>
      <c r="E11966" s="13" t="s">
        <v>21776</v>
      </c>
      <c r="F11966" s="43">
        <v>129.21</v>
      </c>
    </row>
    <row r="11967" spans="2:6" x14ac:dyDescent="0.25">
      <c r="B11967" s="13" t="s">
        <v>17863</v>
      </c>
      <c r="C11967" s="17" t="s">
        <v>170</v>
      </c>
      <c r="D11967" s="13" t="s">
        <v>118</v>
      </c>
      <c r="E11967" s="13" t="s">
        <v>21777</v>
      </c>
      <c r="F11967" s="43">
        <v>0</v>
      </c>
    </row>
    <row r="11968" spans="2:6" x14ac:dyDescent="0.25">
      <c r="B11968" s="13" t="s">
        <v>17372</v>
      </c>
      <c r="C11968" s="17" t="s">
        <v>170</v>
      </c>
      <c r="D11968" s="13" t="s">
        <v>118</v>
      </c>
      <c r="E11968" s="13" t="s">
        <v>21778</v>
      </c>
      <c r="F11968" s="43">
        <v>413.1</v>
      </c>
    </row>
    <row r="11969" spans="2:6" x14ac:dyDescent="0.25">
      <c r="B11969" s="13" t="s">
        <v>21779</v>
      </c>
      <c r="C11969" s="17" t="s">
        <v>170</v>
      </c>
      <c r="D11969" s="13" t="s">
        <v>118</v>
      </c>
      <c r="E11969" s="13" t="s">
        <v>21780</v>
      </c>
      <c r="F11969" s="43">
        <v>21.58</v>
      </c>
    </row>
    <row r="11970" spans="2:6" x14ac:dyDescent="0.25">
      <c r="B11970" s="13" t="s">
        <v>21781</v>
      </c>
      <c r="C11970" s="17" t="s">
        <v>170</v>
      </c>
      <c r="D11970" s="13" t="s">
        <v>118</v>
      </c>
      <c r="E11970" s="13" t="s">
        <v>21782</v>
      </c>
      <c r="F11970" s="43">
        <v>21.58</v>
      </c>
    </row>
    <row r="11971" spans="2:6" x14ac:dyDescent="0.25">
      <c r="B11971" s="13" t="s">
        <v>21783</v>
      </c>
      <c r="C11971" s="17" t="s">
        <v>170</v>
      </c>
      <c r="D11971" s="13" t="s">
        <v>118</v>
      </c>
      <c r="E11971" s="13" t="s">
        <v>21784</v>
      </c>
      <c r="F11971" s="43">
        <v>21.58</v>
      </c>
    </row>
    <row r="11972" spans="2:6" x14ac:dyDescent="0.25">
      <c r="B11972" s="13" t="s">
        <v>21785</v>
      </c>
      <c r="C11972" s="17" t="s">
        <v>170</v>
      </c>
      <c r="D11972" s="13" t="s">
        <v>118</v>
      </c>
      <c r="E11972" s="13" t="s">
        <v>21786</v>
      </c>
      <c r="F11972" s="43">
        <v>23.41</v>
      </c>
    </row>
    <row r="11973" spans="2:6" x14ac:dyDescent="0.25">
      <c r="B11973" s="13" t="s">
        <v>21787</v>
      </c>
      <c r="C11973" s="17" t="s">
        <v>170</v>
      </c>
      <c r="D11973" s="13" t="s">
        <v>118</v>
      </c>
      <c r="E11973" s="13" t="s">
        <v>21788</v>
      </c>
      <c r="F11973" s="43">
        <v>199.67</v>
      </c>
    </row>
    <row r="11974" spans="2:6" x14ac:dyDescent="0.25">
      <c r="B11974" s="13" t="s">
        <v>21789</v>
      </c>
      <c r="C11974" s="17" t="s">
        <v>170</v>
      </c>
      <c r="D11974" s="13" t="s">
        <v>118</v>
      </c>
      <c r="E11974" s="13" t="s">
        <v>21790</v>
      </c>
      <c r="F11974" s="43">
        <v>244.31</v>
      </c>
    </row>
    <row r="11975" spans="2:6" x14ac:dyDescent="0.25">
      <c r="B11975" s="13" t="s">
        <v>21791</v>
      </c>
      <c r="C11975" s="17" t="s">
        <v>170</v>
      </c>
      <c r="D11975" s="13" t="s">
        <v>118</v>
      </c>
      <c r="E11975" s="13" t="s">
        <v>21792</v>
      </c>
      <c r="F11975" s="43">
        <v>29.73</v>
      </c>
    </row>
    <row r="11976" spans="2:6" x14ac:dyDescent="0.25">
      <c r="B11976" s="13" t="s">
        <v>21793</v>
      </c>
      <c r="C11976" s="17" t="s">
        <v>170</v>
      </c>
      <c r="D11976" s="13" t="s">
        <v>118</v>
      </c>
      <c r="E11976" s="13" t="s">
        <v>21794</v>
      </c>
      <c r="F11976" s="43">
        <v>26.17</v>
      </c>
    </row>
    <row r="11977" spans="2:6" x14ac:dyDescent="0.25">
      <c r="B11977" s="13" t="s">
        <v>21795</v>
      </c>
      <c r="C11977" s="17" t="s">
        <v>170</v>
      </c>
      <c r="D11977" s="13" t="s">
        <v>118</v>
      </c>
      <c r="E11977" s="13" t="s">
        <v>21796</v>
      </c>
      <c r="F11977" s="43">
        <v>26.17</v>
      </c>
    </row>
    <row r="11978" spans="2:6" x14ac:dyDescent="0.25">
      <c r="B11978" s="13" t="s">
        <v>21797</v>
      </c>
      <c r="C11978" s="17" t="s">
        <v>170</v>
      </c>
      <c r="D11978" s="13" t="s">
        <v>118</v>
      </c>
      <c r="E11978" s="13" t="s">
        <v>21798</v>
      </c>
      <c r="F11978" s="43">
        <v>26.17</v>
      </c>
    </row>
    <row r="11979" spans="2:6" x14ac:dyDescent="0.25">
      <c r="B11979" s="13" t="s">
        <v>21799</v>
      </c>
      <c r="C11979" s="17" t="s">
        <v>170</v>
      </c>
      <c r="D11979" s="13" t="s">
        <v>118</v>
      </c>
      <c r="E11979" s="13" t="s">
        <v>21800</v>
      </c>
      <c r="F11979" s="43">
        <v>37.07</v>
      </c>
    </row>
    <row r="11980" spans="2:6" x14ac:dyDescent="0.25">
      <c r="B11980" s="13" t="s">
        <v>21801</v>
      </c>
      <c r="C11980" s="17" t="s">
        <v>170</v>
      </c>
      <c r="D11980" s="13" t="s">
        <v>118</v>
      </c>
      <c r="E11980" s="13" t="s">
        <v>21802</v>
      </c>
      <c r="F11980" s="43">
        <v>41.31</v>
      </c>
    </row>
    <row r="11981" spans="2:6" x14ac:dyDescent="0.25">
      <c r="B11981" s="13" t="s">
        <v>21803</v>
      </c>
      <c r="C11981" s="17" t="s">
        <v>170</v>
      </c>
      <c r="D11981" s="13" t="s">
        <v>118</v>
      </c>
      <c r="E11981" s="13" t="s">
        <v>21804</v>
      </c>
      <c r="F11981" s="43">
        <v>28.51</v>
      </c>
    </row>
    <row r="11982" spans="2:6" x14ac:dyDescent="0.25">
      <c r="B11982" s="13" t="s">
        <v>21805</v>
      </c>
      <c r="C11982" s="17" t="s">
        <v>170</v>
      </c>
      <c r="D11982" s="13" t="s">
        <v>118</v>
      </c>
      <c r="E11982" s="13" t="s">
        <v>21806</v>
      </c>
      <c r="F11982" s="43">
        <v>31.24</v>
      </c>
    </row>
    <row r="11983" spans="2:6" x14ac:dyDescent="0.25">
      <c r="B11983" s="13" t="s">
        <v>21807</v>
      </c>
      <c r="C11983" s="17" t="s">
        <v>170</v>
      </c>
      <c r="D11983" s="13" t="s">
        <v>118</v>
      </c>
      <c r="E11983" s="13" t="s">
        <v>21808</v>
      </c>
      <c r="F11983" s="43">
        <v>31.24</v>
      </c>
    </row>
    <row r="11984" spans="2:6" x14ac:dyDescent="0.25">
      <c r="B11984" s="13" t="s">
        <v>21809</v>
      </c>
      <c r="C11984" s="17" t="s">
        <v>170</v>
      </c>
      <c r="D11984" s="13" t="s">
        <v>118</v>
      </c>
      <c r="E11984" s="13" t="s">
        <v>21810</v>
      </c>
      <c r="F11984" s="43">
        <v>53.69</v>
      </c>
    </row>
    <row r="11985" spans="2:6" x14ac:dyDescent="0.25">
      <c r="B11985" s="13" t="s">
        <v>21811</v>
      </c>
      <c r="C11985" s="17" t="s">
        <v>170</v>
      </c>
      <c r="D11985" s="13" t="s">
        <v>118</v>
      </c>
      <c r="E11985" s="13" t="s">
        <v>21812</v>
      </c>
      <c r="F11985" s="43">
        <v>53.69</v>
      </c>
    </row>
    <row r="11986" spans="2:6" x14ac:dyDescent="0.25">
      <c r="B11986" s="13" t="s">
        <v>21813</v>
      </c>
      <c r="C11986" s="17" t="s">
        <v>170</v>
      </c>
      <c r="D11986" s="13" t="s">
        <v>118</v>
      </c>
      <c r="E11986" s="13" t="s">
        <v>21814</v>
      </c>
      <c r="F11986" s="43">
        <v>53.69</v>
      </c>
    </row>
    <row r="11987" spans="2:6" x14ac:dyDescent="0.25">
      <c r="B11987" s="13" t="s">
        <v>21815</v>
      </c>
      <c r="C11987" s="17" t="s">
        <v>170</v>
      </c>
      <c r="D11987" s="13" t="s">
        <v>118</v>
      </c>
      <c r="E11987" s="13" t="s">
        <v>21816</v>
      </c>
      <c r="F11987" s="43">
        <v>53.69</v>
      </c>
    </row>
    <row r="11988" spans="2:6" x14ac:dyDescent="0.25">
      <c r="B11988" s="13" t="s">
        <v>21817</v>
      </c>
      <c r="C11988" s="17" t="s">
        <v>170</v>
      </c>
      <c r="D11988" s="13" t="s">
        <v>118</v>
      </c>
      <c r="E11988" s="13" t="s">
        <v>21818</v>
      </c>
      <c r="F11988" s="43">
        <v>47.39</v>
      </c>
    </row>
    <row r="11989" spans="2:6" x14ac:dyDescent="0.25">
      <c r="B11989" s="13" t="s">
        <v>21819</v>
      </c>
      <c r="C11989" s="17" t="s">
        <v>170</v>
      </c>
      <c r="D11989" s="13" t="s">
        <v>118</v>
      </c>
      <c r="E11989" s="13" t="s">
        <v>21820</v>
      </c>
      <c r="F11989" s="43">
        <v>47.39</v>
      </c>
    </row>
    <row r="11990" spans="2:6" x14ac:dyDescent="0.25">
      <c r="B11990" s="13" t="s">
        <v>21821</v>
      </c>
      <c r="C11990" s="17" t="s">
        <v>170</v>
      </c>
      <c r="D11990" s="13" t="s">
        <v>118</v>
      </c>
      <c r="E11990" s="13" t="s">
        <v>21822</v>
      </c>
      <c r="F11990" s="43">
        <v>47.39</v>
      </c>
    </row>
    <row r="11991" spans="2:6" x14ac:dyDescent="0.25">
      <c r="B11991" s="13" t="s">
        <v>21823</v>
      </c>
      <c r="C11991" s="17" t="s">
        <v>170</v>
      </c>
      <c r="D11991" s="13" t="s">
        <v>118</v>
      </c>
      <c r="E11991" s="13" t="s">
        <v>21824</v>
      </c>
      <c r="F11991" s="43">
        <v>47.39</v>
      </c>
    </row>
    <row r="11992" spans="2:6" x14ac:dyDescent="0.25">
      <c r="B11992" s="13" t="s">
        <v>21825</v>
      </c>
      <c r="C11992" s="17" t="s">
        <v>170</v>
      </c>
      <c r="D11992" s="13" t="s">
        <v>118</v>
      </c>
      <c r="E11992" s="13" t="s">
        <v>21826</v>
      </c>
      <c r="F11992" s="43">
        <v>2043.38</v>
      </c>
    </row>
    <row r="11993" spans="2:6" x14ac:dyDescent="0.25">
      <c r="B11993" s="13" t="s">
        <v>21827</v>
      </c>
      <c r="C11993" s="17" t="s">
        <v>170</v>
      </c>
      <c r="D11993" s="13" t="s">
        <v>118</v>
      </c>
      <c r="E11993" s="13" t="s">
        <v>21828</v>
      </c>
      <c r="F11993" s="43">
        <v>2043.38</v>
      </c>
    </row>
    <row r="11994" spans="2:6" x14ac:dyDescent="0.25">
      <c r="B11994" s="13" t="s">
        <v>21829</v>
      </c>
      <c r="C11994" s="17" t="s">
        <v>170</v>
      </c>
      <c r="D11994" s="13" t="s">
        <v>118</v>
      </c>
      <c r="E11994" s="13" t="s">
        <v>21830</v>
      </c>
      <c r="F11994" s="43">
        <v>2043.38</v>
      </c>
    </row>
    <row r="11995" spans="2:6" x14ac:dyDescent="0.25">
      <c r="B11995" s="13" t="s">
        <v>21831</v>
      </c>
      <c r="C11995" s="17" t="s">
        <v>170</v>
      </c>
      <c r="D11995" s="13" t="s">
        <v>118</v>
      </c>
      <c r="E11995" s="13" t="s">
        <v>21832</v>
      </c>
      <c r="F11995" s="43">
        <v>2043.38</v>
      </c>
    </row>
    <row r="11996" spans="2:6" x14ac:dyDescent="0.25">
      <c r="B11996" s="13" t="s">
        <v>21833</v>
      </c>
      <c r="C11996" s="17" t="s">
        <v>170</v>
      </c>
      <c r="D11996" s="13" t="s">
        <v>118</v>
      </c>
      <c r="E11996" s="13" t="s">
        <v>21834</v>
      </c>
      <c r="F11996" s="43">
        <v>2043.38</v>
      </c>
    </row>
    <row r="11997" spans="2:6" x14ac:dyDescent="0.25">
      <c r="B11997" s="13" t="s">
        <v>21835</v>
      </c>
      <c r="C11997" s="17" t="s">
        <v>170</v>
      </c>
      <c r="D11997" s="13" t="s">
        <v>118</v>
      </c>
      <c r="E11997" s="13" t="s">
        <v>21836</v>
      </c>
      <c r="F11997" s="43">
        <v>2475.02</v>
      </c>
    </row>
    <row r="11998" spans="2:6" x14ac:dyDescent="0.25">
      <c r="B11998" s="13" t="s">
        <v>21837</v>
      </c>
      <c r="C11998" s="17" t="s">
        <v>170</v>
      </c>
      <c r="D11998" s="13" t="s">
        <v>118</v>
      </c>
      <c r="E11998" s="13" t="s">
        <v>21838</v>
      </c>
      <c r="F11998" s="43">
        <v>2475.02</v>
      </c>
    </row>
    <row r="11999" spans="2:6" x14ac:dyDescent="0.25">
      <c r="B11999" s="13" t="s">
        <v>21839</v>
      </c>
      <c r="C11999" s="17" t="s">
        <v>170</v>
      </c>
      <c r="D11999" s="13" t="s">
        <v>118</v>
      </c>
      <c r="E11999" s="13" t="s">
        <v>21840</v>
      </c>
      <c r="F11999" s="43">
        <v>2475.02</v>
      </c>
    </row>
    <row r="12000" spans="2:6" x14ac:dyDescent="0.25">
      <c r="B12000" s="13" t="s">
        <v>21841</v>
      </c>
      <c r="C12000" s="17" t="s">
        <v>170</v>
      </c>
      <c r="D12000" s="13" t="s">
        <v>118</v>
      </c>
      <c r="E12000" s="13" t="s">
        <v>21842</v>
      </c>
      <c r="F12000" s="43">
        <v>2475.02</v>
      </c>
    </row>
    <row r="12001" spans="2:6" x14ac:dyDescent="0.25">
      <c r="B12001" s="13" t="s">
        <v>21843</v>
      </c>
      <c r="C12001" s="17" t="s">
        <v>170</v>
      </c>
      <c r="D12001" s="13" t="s">
        <v>118</v>
      </c>
      <c r="E12001" s="13" t="s">
        <v>21844</v>
      </c>
      <c r="F12001" s="43">
        <v>2475.02</v>
      </c>
    </row>
    <row r="12002" spans="2:6" x14ac:dyDescent="0.25">
      <c r="B12002" s="13" t="s">
        <v>21845</v>
      </c>
      <c r="C12002" s="17" t="s">
        <v>170</v>
      </c>
      <c r="D12002" s="13" t="s">
        <v>118</v>
      </c>
      <c r="E12002" s="13" t="s">
        <v>21846</v>
      </c>
      <c r="F12002" s="43">
        <v>2475.02</v>
      </c>
    </row>
    <row r="12003" spans="2:6" x14ac:dyDescent="0.25">
      <c r="B12003" s="13" t="s">
        <v>21847</v>
      </c>
      <c r="C12003" s="17" t="s">
        <v>170</v>
      </c>
      <c r="D12003" s="13" t="s">
        <v>118</v>
      </c>
      <c r="E12003" s="13" t="s">
        <v>21848</v>
      </c>
      <c r="F12003" s="43">
        <v>2043.38</v>
      </c>
    </row>
    <row r="12004" spans="2:6" x14ac:dyDescent="0.25">
      <c r="B12004" s="13" t="s">
        <v>21849</v>
      </c>
      <c r="C12004" s="17" t="s">
        <v>170</v>
      </c>
      <c r="D12004" s="13" t="s">
        <v>118</v>
      </c>
      <c r="E12004" s="13" t="s">
        <v>21850</v>
      </c>
      <c r="F12004" s="43">
        <v>2043.38</v>
      </c>
    </row>
    <row r="12005" spans="2:6" x14ac:dyDescent="0.25">
      <c r="B12005" s="13" t="s">
        <v>21851</v>
      </c>
      <c r="C12005" s="17" t="s">
        <v>170</v>
      </c>
      <c r="D12005" s="13" t="s">
        <v>118</v>
      </c>
      <c r="E12005" s="13" t="s">
        <v>21852</v>
      </c>
      <c r="F12005" s="43">
        <v>2043.38</v>
      </c>
    </row>
    <row r="12006" spans="2:6" x14ac:dyDescent="0.25">
      <c r="B12006" s="13" t="s">
        <v>21853</v>
      </c>
      <c r="C12006" s="17" t="s">
        <v>170</v>
      </c>
      <c r="D12006" s="13" t="s">
        <v>118</v>
      </c>
      <c r="E12006" s="13" t="s">
        <v>21854</v>
      </c>
      <c r="F12006" s="43">
        <v>2043.38</v>
      </c>
    </row>
    <row r="12007" spans="2:6" x14ac:dyDescent="0.25">
      <c r="B12007" s="13" t="s">
        <v>21855</v>
      </c>
      <c r="C12007" s="17" t="s">
        <v>170</v>
      </c>
      <c r="D12007" s="13" t="s">
        <v>118</v>
      </c>
      <c r="E12007" s="13" t="s">
        <v>21856</v>
      </c>
      <c r="F12007" s="43">
        <v>2043.38</v>
      </c>
    </row>
    <row r="12008" spans="2:6" x14ac:dyDescent="0.25">
      <c r="B12008" s="13" t="s">
        <v>21857</v>
      </c>
      <c r="C12008" s="17" t="s">
        <v>170</v>
      </c>
      <c r="D12008" s="13" t="s">
        <v>118</v>
      </c>
      <c r="E12008" s="13" t="s">
        <v>21858</v>
      </c>
      <c r="F12008" s="43">
        <v>2475.02</v>
      </c>
    </row>
    <row r="12009" spans="2:6" x14ac:dyDescent="0.25">
      <c r="B12009" s="13" t="s">
        <v>21859</v>
      </c>
      <c r="C12009" s="17" t="s">
        <v>170</v>
      </c>
      <c r="D12009" s="13" t="s">
        <v>118</v>
      </c>
      <c r="E12009" s="13" t="s">
        <v>21860</v>
      </c>
      <c r="F12009" s="43">
        <v>2475.02</v>
      </c>
    </row>
    <row r="12010" spans="2:6" x14ac:dyDescent="0.25">
      <c r="B12010" s="13" t="s">
        <v>21861</v>
      </c>
      <c r="C12010" s="17" t="s">
        <v>170</v>
      </c>
      <c r="D12010" s="13" t="s">
        <v>118</v>
      </c>
      <c r="E12010" s="13" t="s">
        <v>21862</v>
      </c>
      <c r="F12010" s="43">
        <v>2475.02</v>
      </c>
    </row>
    <row r="12011" spans="2:6" x14ac:dyDescent="0.25">
      <c r="B12011" s="13" t="s">
        <v>21863</v>
      </c>
      <c r="C12011" s="17" t="s">
        <v>170</v>
      </c>
      <c r="D12011" s="13" t="s">
        <v>118</v>
      </c>
      <c r="E12011" s="13" t="s">
        <v>21864</v>
      </c>
      <c r="F12011" s="43">
        <v>2475.02</v>
      </c>
    </row>
    <row r="12012" spans="2:6" x14ac:dyDescent="0.25">
      <c r="B12012" s="13" t="s">
        <v>21865</v>
      </c>
      <c r="C12012" s="17" t="s">
        <v>170</v>
      </c>
      <c r="D12012" s="13" t="s">
        <v>118</v>
      </c>
      <c r="E12012" s="13" t="s">
        <v>21866</v>
      </c>
      <c r="F12012" s="43">
        <v>2475.02</v>
      </c>
    </row>
    <row r="12013" spans="2:6" x14ac:dyDescent="0.25">
      <c r="B12013" s="13" t="s">
        <v>21867</v>
      </c>
      <c r="C12013" s="17" t="s">
        <v>170</v>
      </c>
      <c r="D12013" s="13" t="s">
        <v>118</v>
      </c>
      <c r="E12013" s="13" t="s">
        <v>21868</v>
      </c>
      <c r="F12013" s="43">
        <v>1266.1600000000001</v>
      </c>
    </row>
    <row r="12014" spans="2:6" x14ac:dyDescent="0.25">
      <c r="B12014" s="13" t="s">
        <v>21869</v>
      </c>
      <c r="C12014" s="17" t="s">
        <v>170</v>
      </c>
      <c r="D12014" s="13" t="s">
        <v>118</v>
      </c>
      <c r="E12014" s="13"/>
      <c r="F12014" s="43">
        <v>0</v>
      </c>
    </row>
    <row r="12015" spans="2:6" x14ac:dyDescent="0.25">
      <c r="B12015" s="13">
        <v>1</v>
      </c>
      <c r="C12015" s="17" t="s">
        <v>170</v>
      </c>
      <c r="D12015" s="13" t="s">
        <v>118</v>
      </c>
      <c r="E12015" s="13" t="s">
        <v>21870</v>
      </c>
      <c r="F12015" s="43">
        <v>0</v>
      </c>
    </row>
    <row r="12016" spans="2:6" x14ac:dyDescent="0.25">
      <c r="B12016" s="13" t="s">
        <v>17370</v>
      </c>
      <c r="C12016" s="17" t="s">
        <v>170</v>
      </c>
      <c r="D12016" s="13" t="s">
        <v>118</v>
      </c>
      <c r="E12016" s="13" t="s">
        <v>17715</v>
      </c>
      <c r="F12016" s="43">
        <v>413.1</v>
      </c>
    </row>
    <row r="12017" spans="2:6" x14ac:dyDescent="0.25">
      <c r="B12017" s="13">
        <v>2</v>
      </c>
      <c r="C12017" s="17" t="s">
        <v>170</v>
      </c>
      <c r="D12017" s="13" t="s">
        <v>118</v>
      </c>
      <c r="E12017" s="13" t="s">
        <v>17716</v>
      </c>
      <c r="F12017" s="43">
        <v>0</v>
      </c>
    </row>
    <row r="12018" spans="2:6" x14ac:dyDescent="0.25">
      <c r="B12018" s="13" t="s">
        <v>17372</v>
      </c>
      <c r="C12018" s="17" t="s">
        <v>170</v>
      </c>
      <c r="D12018" s="13" t="s">
        <v>118</v>
      </c>
      <c r="E12018" s="13" t="s">
        <v>17717</v>
      </c>
      <c r="F12018" s="43">
        <v>413.1</v>
      </c>
    </row>
    <row r="12019" spans="2:6" x14ac:dyDescent="0.25">
      <c r="B12019" s="13">
        <v>2</v>
      </c>
      <c r="C12019" s="17" t="s">
        <v>170</v>
      </c>
      <c r="D12019" s="13" t="s">
        <v>118</v>
      </c>
      <c r="E12019" s="13" t="s">
        <v>21871</v>
      </c>
      <c r="F12019" s="43">
        <v>0</v>
      </c>
    </row>
    <row r="12020" spans="2:6" x14ac:dyDescent="0.25">
      <c r="B12020" s="13" t="s">
        <v>17762</v>
      </c>
      <c r="C12020" s="17" t="s">
        <v>170</v>
      </c>
      <c r="D12020" s="13" t="s">
        <v>118</v>
      </c>
      <c r="E12020" s="13" t="s">
        <v>21872</v>
      </c>
      <c r="F12020" s="43">
        <v>0</v>
      </c>
    </row>
    <row r="12021" spans="2:6" x14ac:dyDescent="0.25">
      <c r="B12021" s="13" t="s">
        <v>17764</v>
      </c>
      <c r="C12021" s="17" t="s">
        <v>170</v>
      </c>
      <c r="D12021" s="13" t="s">
        <v>118</v>
      </c>
      <c r="E12021" s="13" t="s">
        <v>21873</v>
      </c>
      <c r="F12021" s="43">
        <v>143.94999999999999</v>
      </c>
    </row>
    <row r="12022" spans="2:6" x14ac:dyDescent="0.25">
      <c r="B12022" s="13" t="s">
        <v>17766</v>
      </c>
      <c r="C12022" s="17" t="s">
        <v>170</v>
      </c>
      <c r="D12022" s="13" t="s">
        <v>118</v>
      </c>
      <c r="E12022" s="13" t="s">
        <v>21874</v>
      </c>
      <c r="F12022" s="43">
        <v>143.94999999999999</v>
      </c>
    </row>
    <row r="12023" spans="2:6" x14ac:dyDescent="0.25">
      <c r="B12023" s="13" t="s">
        <v>17419</v>
      </c>
      <c r="C12023" s="17" t="s">
        <v>170</v>
      </c>
      <c r="D12023" s="13" t="s">
        <v>118</v>
      </c>
      <c r="E12023" s="13" t="s">
        <v>21875</v>
      </c>
      <c r="F12023" s="43">
        <v>0</v>
      </c>
    </row>
    <row r="12024" spans="2:6" x14ac:dyDescent="0.25">
      <c r="B12024" s="13" t="s">
        <v>17421</v>
      </c>
      <c r="C12024" s="17" t="s">
        <v>170</v>
      </c>
      <c r="D12024" s="13" t="s">
        <v>118</v>
      </c>
      <c r="E12024" s="13" t="s">
        <v>21876</v>
      </c>
      <c r="F12024" s="43">
        <v>0</v>
      </c>
    </row>
    <row r="12025" spans="2:6" x14ac:dyDescent="0.25">
      <c r="B12025" s="13" t="s">
        <v>17423</v>
      </c>
      <c r="C12025" s="17" t="s">
        <v>170</v>
      </c>
      <c r="D12025" s="13" t="s">
        <v>118</v>
      </c>
      <c r="E12025" s="13" t="s">
        <v>21877</v>
      </c>
      <c r="F12025" s="43">
        <v>0</v>
      </c>
    </row>
    <row r="12026" spans="2:6" x14ac:dyDescent="0.25">
      <c r="B12026" s="13" t="s">
        <v>17425</v>
      </c>
      <c r="C12026" s="17" t="s">
        <v>170</v>
      </c>
      <c r="D12026" s="13" t="s">
        <v>118</v>
      </c>
      <c r="E12026" s="13" t="s">
        <v>21878</v>
      </c>
      <c r="F12026" s="43">
        <v>0</v>
      </c>
    </row>
    <row r="12027" spans="2:6" x14ac:dyDescent="0.25">
      <c r="B12027" s="13" t="s">
        <v>17427</v>
      </c>
      <c r="C12027" s="17" t="s">
        <v>170</v>
      </c>
      <c r="D12027" s="13" t="s">
        <v>118</v>
      </c>
      <c r="E12027" s="13" t="s">
        <v>21879</v>
      </c>
      <c r="F12027" s="43">
        <v>0</v>
      </c>
    </row>
    <row r="12028" spans="2:6" x14ac:dyDescent="0.25">
      <c r="B12028" s="13" t="s">
        <v>17785</v>
      </c>
      <c r="C12028" s="17" t="s">
        <v>170</v>
      </c>
      <c r="D12028" s="13" t="s">
        <v>118</v>
      </c>
      <c r="E12028" s="13" t="s">
        <v>21880</v>
      </c>
      <c r="F12028" s="43">
        <v>0</v>
      </c>
    </row>
    <row r="12029" spans="2:6" x14ac:dyDescent="0.25">
      <c r="B12029" s="13" t="s">
        <v>17557</v>
      </c>
      <c r="C12029" s="17" t="s">
        <v>170</v>
      </c>
      <c r="D12029" s="13" t="s">
        <v>118</v>
      </c>
      <c r="E12029" s="13" t="s">
        <v>21881</v>
      </c>
      <c r="F12029" s="43">
        <v>0</v>
      </c>
    </row>
    <row r="12030" spans="2:6" x14ac:dyDescent="0.25">
      <c r="B12030" s="13" t="s">
        <v>17440</v>
      </c>
      <c r="C12030" s="17" t="s">
        <v>170</v>
      </c>
      <c r="D12030" s="13" t="s">
        <v>118</v>
      </c>
      <c r="E12030" s="13" t="s">
        <v>21882</v>
      </c>
      <c r="F12030" s="43">
        <v>0</v>
      </c>
    </row>
    <row r="12031" spans="2:6" x14ac:dyDescent="0.25">
      <c r="B12031" s="13" t="s">
        <v>17559</v>
      </c>
      <c r="C12031" s="17" t="s">
        <v>170</v>
      </c>
      <c r="D12031" s="13" t="s">
        <v>118</v>
      </c>
      <c r="E12031" s="13" t="s">
        <v>21883</v>
      </c>
      <c r="F12031" s="43">
        <v>0</v>
      </c>
    </row>
    <row r="12032" spans="2:6" x14ac:dyDescent="0.25">
      <c r="B12032" s="13" t="s">
        <v>17962</v>
      </c>
      <c r="C12032" s="17" t="s">
        <v>170</v>
      </c>
      <c r="D12032" s="13" t="s">
        <v>118</v>
      </c>
      <c r="E12032" s="13" t="s">
        <v>21884</v>
      </c>
      <c r="F12032" s="43">
        <v>143.94999999999999</v>
      </c>
    </row>
    <row r="12033" spans="2:6" x14ac:dyDescent="0.25">
      <c r="B12033" s="13">
        <v>4</v>
      </c>
      <c r="C12033" s="17" t="s">
        <v>170</v>
      </c>
      <c r="D12033" s="13" t="s">
        <v>118</v>
      </c>
      <c r="E12033" s="13" t="s">
        <v>21885</v>
      </c>
      <c r="F12033" s="43">
        <v>0</v>
      </c>
    </row>
    <row r="12034" spans="2:6" x14ac:dyDescent="0.25">
      <c r="B12034" s="13">
        <v>6</v>
      </c>
      <c r="C12034" s="17" t="s">
        <v>170</v>
      </c>
      <c r="D12034" s="13" t="s">
        <v>118</v>
      </c>
      <c r="E12034" s="13" t="s">
        <v>17566</v>
      </c>
      <c r="F12034" s="43">
        <v>0</v>
      </c>
    </row>
    <row r="12035" spans="2:6" x14ac:dyDescent="0.25">
      <c r="B12035" s="13" t="s">
        <v>21886</v>
      </c>
      <c r="C12035" s="17" t="s">
        <v>170</v>
      </c>
      <c r="D12035" s="13" t="s">
        <v>118</v>
      </c>
      <c r="E12035" s="13" t="s">
        <v>21887</v>
      </c>
      <c r="F12035" s="43">
        <v>0</v>
      </c>
    </row>
    <row r="12036" spans="2:6" x14ac:dyDescent="0.25">
      <c r="B12036" s="13" t="s">
        <v>21888</v>
      </c>
      <c r="C12036" s="17" t="s">
        <v>170</v>
      </c>
      <c r="D12036" s="13" t="s">
        <v>118</v>
      </c>
      <c r="E12036" s="13" t="s">
        <v>21889</v>
      </c>
      <c r="F12036" s="43">
        <v>0</v>
      </c>
    </row>
    <row r="12037" spans="2:6" x14ac:dyDescent="0.25">
      <c r="B12037" s="13" t="s">
        <v>21890</v>
      </c>
      <c r="C12037" s="17" t="s">
        <v>170</v>
      </c>
      <c r="D12037" s="13" t="s">
        <v>118</v>
      </c>
      <c r="E12037" s="13" t="s">
        <v>21891</v>
      </c>
      <c r="F12037" s="43">
        <v>71.98</v>
      </c>
    </row>
    <row r="12038" spans="2:6" x14ac:dyDescent="0.25">
      <c r="B12038" s="13" t="s">
        <v>17442</v>
      </c>
      <c r="C12038" s="17" t="s">
        <v>170</v>
      </c>
      <c r="D12038" s="13" t="s">
        <v>118</v>
      </c>
      <c r="E12038" s="13" t="s">
        <v>21892</v>
      </c>
      <c r="F12038" s="43">
        <v>0</v>
      </c>
    </row>
    <row r="12039" spans="2:6" x14ac:dyDescent="0.25">
      <c r="B12039" s="13" t="s">
        <v>21893</v>
      </c>
      <c r="C12039" s="17" t="s">
        <v>170</v>
      </c>
      <c r="D12039" s="13" t="s">
        <v>118</v>
      </c>
      <c r="E12039" s="13" t="s">
        <v>21894</v>
      </c>
      <c r="F12039" s="43">
        <v>172.68</v>
      </c>
    </row>
    <row r="12040" spans="2:6" x14ac:dyDescent="0.25">
      <c r="B12040" s="13" t="s">
        <v>17785</v>
      </c>
      <c r="C12040" s="17" t="s">
        <v>170</v>
      </c>
      <c r="D12040" s="13" t="s">
        <v>118</v>
      </c>
      <c r="E12040" s="13" t="s">
        <v>21880</v>
      </c>
      <c r="F12040" s="43">
        <v>0</v>
      </c>
    </row>
    <row r="12041" spans="2:6" x14ac:dyDescent="0.25">
      <c r="B12041" s="13" t="s">
        <v>21895</v>
      </c>
      <c r="C12041" s="17" t="s">
        <v>170</v>
      </c>
      <c r="D12041" s="13" t="s">
        <v>118</v>
      </c>
      <c r="E12041" s="13" t="s">
        <v>21896</v>
      </c>
      <c r="F12041" s="43">
        <v>0</v>
      </c>
    </row>
    <row r="12042" spans="2:6" x14ac:dyDescent="0.25">
      <c r="B12042" s="13" t="s">
        <v>21897</v>
      </c>
      <c r="C12042" s="17" t="s">
        <v>170</v>
      </c>
      <c r="D12042" s="13" t="s">
        <v>118</v>
      </c>
      <c r="E12042" s="13" t="s">
        <v>21898</v>
      </c>
      <c r="F12042" s="43">
        <v>0</v>
      </c>
    </row>
    <row r="12043" spans="2:6" x14ac:dyDescent="0.25">
      <c r="B12043" s="13" t="s">
        <v>21899</v>
      </c>
      <c r="C12043" s="17" t="s">
        <v>170</v>
      </c>
      <c r="D12043" s="13" t="s">
        <v>118</v>
      </c>
      <c r="E12043" s="13" t="s">
        <v>21900</v>
      </c>
      <c r="F12043" s="43">
        <v>0</v>
      </c>
    </row>
    <row r="12044" spans="2:6" x14ac:dyDescent="0.25">
      <c r="B12044" s="13" t="s">
        <v>21901</v>
      </c>
      <c r="C12044" s="17" t="s">
        <v>170</v>
      </c>
      <c r="D12044" s="13" t="s">
        <v>118</v>
      </c>
      <c r="E12044" s="13" t="s">
        <v>21902</v>
      </c>
      <c r="F12044" s="43">
        <v>0</v>
      </c>
    </row>
    <row r="12045" spans="2:6" x14ac:dyDescent="0.25">
      <c r="B12045" s="13" t="s">
        <v>21903</v>
      </c>
      <c r="C12045" s="17" t="s">
        <v>170</v>
      </c>
      <c r="D12045" s="13" t="s">
        <v>118</v>
      </c>
      <c r="E12045" s="13" t="s">
        <v>21904</v>
      </c>
      <c r="F12045" s="43">
        <v>0</v>
      </c>
    </row>
    <row r="12046" spans="2:6" x14ac:dyDescent="0.25">
      <c r="B12046" s="13" t="s">
        <v>21905</v>
      </c>
      <c r="C12046" s="17" t="s">
        <v>170</v>
      </c>
      <c r="D12046" s="13" t="s">
        <v>118</v>
      </c>
      <c r="E12046" s="13" t="s">
        <v>21906</v>
      </c>
      <c r="F12046" s="43">
        <v>0</v>
      </c>
    </row>
    <row r="12047" spans="2:6" x14ac:dyDescent="0.25">
      <c r="B12047" s="13" t="s">
        <v>21907</v>
      </c>
      <c r="C12047" s="17" t="s">
        <v>170</v>
      </c>
      <c r="D12047" s="13" t="s">
        <v>118</v>
      </c>
      <c r="E12047" s="13" t="s">
        <v>17582</v>
      </c>
      <c r="F12047" s="43">
        <v>0</v>
      </c>
    </row>
    <row r="12048" spans="2:6" x14ac:dyDescent="0.25">
      <c r="B12048" s="13" t="s">
        <v>17580</v>
      </c>
      <c r="C12048" s="17" t="s">
        <v>170</v>
      </c>
      <c r="D12048" s="13" t="s">
        <v>118</v>
      </c>
      <c r="E12048" s="13" t="s">
        <v>17784</v>
      </c>
      <c r="F12048" s="43">
        <v>0</v>
      </c>
    </row>
    <row r="12049" spans="2:6" x14ac:dyDescent="0.25">
      <c r="B12049" s="13" t="s">
        <v>21908</v>
      </c>
      <c r="C12049" s="17" t="s">
        <v>170</v>
      </c>
      <c r="D12049" s="13" t="s">
        <v>118</v>
      </c>
      <c r="E12049" s="13" t="s">
        <v>21909</v>
      </c>
      <c r="F12049" s="43">
        <v>215.92</v>
      </c>
    </row>
    <row r="12050" spans="2:6" x14ac:dyDescent="0.25">
      <c r="B12050" s="13" t="s">
        <v>17785</v>
      </c>
      <c r="C12050" s="17" t="s">
        <v>170</v>
      </c>
      <c r="D12050" s="13" t="s">
        <v>118</v>
      </c>
      <c r="E12050" s="13" t="s">
        <v>17786</v>
      </c>
      <c r="F12050" s="43">
        <v>0</v>
      </c>
    </row>
    <row r="12051" spans="2:6" x14ac:dyDescent="0.25">
      <c r="B12051" s="13" t="s">
        <v>21910</v>
      </c>
      <c r="C12051" s="17" t="s">
        <v>170</v>
      </c>
      <c r="D12051" s="13" t="s">
        <v>118</v>
      </c>
      <c r="E12051" s="13" t="s">
        <v>21911</v>
      </c>
      <c r="F12051" s="43">
        <v>1282.9100000000001</v>
      </c>
    </row>
    <row r="12052" spans="2:6" x14ac:dyDescent="0.25">
      <c r="B12052" s="13" t="s">
        <v>21912</v>
      </c>
      <c r="C12052" s="17" t="s">
        <v>170</v>
      </c>
      <c r="D12052" s="13" t="s">
        <v>118</v>
      </c>
      <c r="E12052" s="13" t="s">
        <v>21913</v>
      </c>
      <c r="F12052" s="43">
        <v>1342.58</v>
      </c>
    </row>
    <row r="12053" spans="2:6" x14ac:dyDescent="0.25">
      <c r="B12053" s="13" t="s">
        <v>21914</v>
      </c>
      <c r="C12053" s="17" t="s">
        <v>170</v>
      </c>
      <c r="D12053" s="13" t="s">
        <v>118</v>
      </c>
      <c r="E12053" s="13" t="s">
        <v>21915</v>
      </c>
      <c r="F12053" s="43">
        <v>1402.25</v>
      </c>
    </row>
    <row r="12054" spans="2:6" x14ac:dyDescent="0.25">
      <c r="B12054" s="13" t="s">
        <v>21916</v>
      </c>
      <c r="C12054" s="17" t="s">
        <v>170</v>
      </c>
      <c r="D12054" s="13" t="s">
        <v>118</v>
      </c>
      <c r="E12054" s="13" t="s">
        <v>21917</v>
      </c>
      <c r="F12054" s="43">
        <v>1461.92</v>
      </c>
    </row>
    <row r="12055" spans="2:6" x14ac:dyDescent="0.25">
      <c r="B12055" s="13" t="s">
        <v>21918</v>
      </c>
      <c r="C12055" s="17" t="s">
        <v>170</v>
      </c>
      <c r="D12055" s="13" t="s">
        <v>118</v>
      </c>
      <c r="E12055" s="13" t="s">
        <v>21919</v>
      </c>
      <c r="F12055" s="43">
        <v>1282.9100000000001</v>
      </c>
    </row>
    <row r="12056" spans="2:6" x14ac:dyDescent="0.25">
      <c r="B12056" s="13" t="s">
        <v>21920</v>
      </c>
      <c r="C12056" s="17" t="s">
        <v>170</v>
      </c>
      <c r="D12056" s="13" t="s">
        <v>118</v>
      </c>
      <c r="E12056" s="13" t="s">
        <v>21921</v>
      </c>
      <c r="F12056" s="43">
        <v>1342.58</v>
      </c>
    </row>
    <row r="12057" spans="2:6" x14ac:dyDescent="0.25">
      <c r="B12057" s="13" t="s">
        <v>21922</v>
      </c>
      <c r="C12057" s="17" t="s">
        <v>170</v>
      </c>
      <c r="D12057" s="13" t="s">
        <v>118</v>
      </c>
      <c r="E12057" s="13" t="s">
        <v>21923</v>
      </c>
      <c r="F12057" s="43">
        <v>1402.25</v>
      </c>
    </row>
    <row r="12058" spans="2:6" x14ac:dyDescent="0.25">
      <c r="B12058" s="13" t="s">
        <v>21924</v>
      </c>
      <c r="C12058" s="17" t="s">
        <v>170</v>
      </c>
      <c r="D12058" s="13" t="s">
        <v>118</v>
      </c>
      <c r="E12058" s="13" t="s">
        <v>21925</v>
      </c>
      <c r="F12058" s="43">
        <v>1461.92</v>
      </c>
    </row>
    <row r="12059" spans="2:6" x14ac:dyDescent="0.25">
      <c r="B12059" s="13" t="s">
        <v>21926</v>
      </c>
      <c r="C12059" s="17" t="s">
        <v>170</v>
      </c>
      <c r="D12059" s="13" t="s">
        <v>118</v>
      </c>
      <c r="E12059" s="13" t="s">
        <v>21927</v>
      </c>
      <c r="F12059" s="43">
        <v>1372.41</v>
      </c>
    </row>
    <row r="12060" spans="2:6" x14ac:dyDescent="0.25">
      <c r="B12060" s="13" t="s">
        <v>21928</v>
      </c>
      <c r="C12060" s="17" t="s">
        <v>170</v>
      </c>
      <c r="D12060" s="13" t="s">
        <v>118</v>
      </c>
      <c r="E12060" s="13" t="s">
        <v>21929</v>
      </c>
      <c r="F12060" s="43">
        <v>1432.08</v>
      </c>
    </row>
    <row r="12061" spans="2:6" x14ac:dyDescent="0.25">
      <c r="B12061" s="13" t="s">
        <v>21930</v>
      </c>
      <c r="C12061" s="17" t="s">
        <v>170</v>
      </c>
      <c r="D12061" s="13" t="s">
        <v>118</v>
      </c>
      <c r="E12061" s="13" t="s">
        <v>21931</v>
      </c>
      <c r="F12061" s="43">
        <v>1491.75</v>
      </c>
    </row>
    <row r="12062" spans="2:6" x14ac:dyDescent="0.25">
      <c r="B12062" s="13" t="s">
        <v>21932</v>
      </c>
      <c r="C12062" s="17" t="s">
        <v>170</v>
      </c>
      <c r="D12062" s="13" t="s">
        <v>118</v>
      </c>
      <c r="E12062" s="13" t="s">
        <v>21933</v>
      </c>
      <c r="F12062" s="43">
        <v>1551.42</v>
      </c>
    </row>
    <row r="12063" spans="2:6" x14ac:dyDescent="0.25">
      <c r="B12063" s="13" t="s">
        <v>21934</v>
      </c>
      <c r="C12063" s="17" t="s">
        <v>170</v>
      </c>
      <c r="D12063" s="13" t="s">
        <v>118</v>
      </c>
      <c r="E12063" s="13" t="s">
        <v>21927</v>
      </c>
      <c r="F12063" s="43">
        <v>1372.41</v>
      </c>
    </row>
    <row r="12064" spans="2:6" x14ac:dyDescent="0.25">
      <c r="B12064" s="13" t="s">
        <v>21935</v>
      </c>
      <c r="C12064" s="17" t="s">
        <v>170</v>
      </c>
      <c r="D12064" s="13" t="s">
        <v>118</v>
      </c>
      <c r="E12064" s="13" t="s">
        <v>21929</v>
      </c>
      <c r="F12064" s="43">
        <v>1432.08</v>
      </c>
    </row>
    <row r="12065" spans="2:6" x14ac:dyDescent="0.25">
      <c r="B12065" s="13" t="s">
        <v>21936</v>
      </c>
      <c r="C12065" s="17" t="s">
        <v>170</v>
      </c>
      <c r="D12065" s="13" t="s">
        <v>118</v>
      </c>
      <c r="E12065" s="13" t="s">
        <v>21931</v>
      </c>
      <c r="F12065" s="43">
        <v>1491.75</v>
      </c>
    </row>
    <row r="12066" spans="2:6" x14ac:dyDescent="0.25">
      <c r="B12066" s="13" t="s">
        <v>21937</v>
      </c>
      <c r="C12066" s="17" t="s">
        <v>170</v>
      </c>
      <c r="D12066" s="13" t="s">
        <v>118</v>
      </c>
      <c r="E12066" s="13" t="s">
        <v>21933</v>
      </c>
      <c r="F12066" s="43">
        <v>1551.42</v>
      </c>
    </row>
    <row r="12067" spans="2:6" x14ac:dyDescent="0.25">
      <c r="B12067" s="13" t="s">
        <v>21938</v>
      </c>
      <c r="C12067" s="17" t="s">
        <v>170</v>
      </c>
      <c r="D12067" s="13" t="s">
        <v>118</v>
      </c>
      <c r="E12067" s="13" t="s">
        <v>21939</v>
      </c>
      <c r="F12067" s="43">
        <v>1282.9100000000001</v>
      </c>
    </row>
    <row r="12068" spans="2:6" x14ac:dyDescent="0.25">
      <c r="B12068" s="13" t="s">
        <v>21940</v>
      </c>
      <c r="C12068" s="17" t="s">
        <v>170</v>
      </c>
      <c r="D12068" s="13" t="s">
        <v>118</v>
      </c>
      <c r="E12068" s="13" t="s">
        <v>21941</v>
      </c>
      <c r="F12068" s="43">
        <v>1342.58</v>
      </c>
    </row>
    <row r="12069" spans="2:6" x14ac:dyDescent="0.25">
      <c r="B12069" s="13" t="s">
        <v>21942</v>
      </c>
      <c r="C12069" s="17" t="s">
        <v>170</v>
      </c>
      <c r="D12069" s="13" t="s">
        <v>118</v>
      </c>
      <c r="E12069" s="13" t="s">
        <v>21943</v>
      </c>
      <c r="F12069" s="43">
        <v>1402.25</v>
      </c>
    </row>
    <row r="12070" spans="2:6" x14ac:dyDescent="0.25">
      <c r="B12070" s="13" t="s">
        <v>21944</v>
      </c>
      <c r="C12070" s="17" t="s">
        <v>170</v>
      </c>
      <c r="D12070" s="13" t="s">
        <v>118</v>
      </c>
      <c r="E12070" s="13" t="s">
        <v>21945</v>
      </c>
      <c r="F12070" s="43">
        <v>1461.92</v>
      </c>
    </row>
    <row r="12071" spans="2:6" x14ac:dyDescent="0.25">
      <c r="B12071" s="13" t="s">
        <v>21946</v>
      </c>
      <c r="C12071" s="17" t="s">
        <v>170</v>
      </c>
      <c r="D12071" s="13" t="s">
        <v>118</v>
      </c>
      <c r="E12071" s="13" t="s">
        <v>21947</v>
      </c>
      <c r="F12071" s="43">
        <v>1282.9100000000001</v>
      </c>
    </row>
    <row r="12072" spans="2:6" x14ac:dyDescent="0.25">
      <c r="B12072" s="13" t="s">
        <v>21948</v>
      </c>
      <c r="C12072" s="17" t="s">
        <v>170</v>
      </c>
      <c r="D12072" s="13" t="s">
        <v>118</v>
      </c>
      <c r="E12072" s="13" t="s">
        <v>21949</v>
      </c>
      <c r="F12072" s="43">
        <v>1342.58</v>
      </c>
    </row>
    <row r="12073" spans="2:6" x14ac:dyDescent="0.25">
      <c r="B12073" s="13" t="s">
        <v>21950</v>
      </c>
      <c r="C12073" s="17" t="s">
        <v>170</v>
      </c>
      <c r="D12073" s="13" t="s">
        <v>118</v>
      </c>
      <c r="E12073" s="13" t="s">
        <v>21951</v>
      </c>
      <c r="F12073" s="43">
        <v>1402.25</v>
      </c>
    </row>
    <row r="12074" spans="2:6" x14ac:dyDescent="0.25">
      <c r="B12074" s="13" t="s">
        <v>21952</v>
      </c>
      <c r="C12074" s="17" t="s">
        <v>170</v>
      </c>
      <c r="D12074" s="13" t="s">
        <v>118</v>
      </c>
      <c r="E12074" s="13" t="s">
        <v>21953</v>
      </c>
      <c r="F12074" s="43">
        <v>1461.92</v>
      </c>
    </row>
    <row r="12075" spans="2:6" x14ac:dyDescent="0.25">
      <c r="B12075" s="13" t="s">
        <v>21954</v>
      </c>
      <c r="C12075" s="17" t="s">
        <v>170</v>
      </c>
      <c r="D12075" s="13" t="s">
        <v>118</v>
      </c>
      <c r="E12075" s="13" t="s">
        <v>21955</v>
      </c>
      <c r="F12075" s="43">
        <v>1372.41</v>
      </c>
    </row>
    <row r="12076" spans="2:6" x14ac:dyDescent="0.25">
      <c r="B12076" s="13" t="s">
        <v>21956</v>
      </c>
      <c r="C12076" s="17" t="s">
        <v>170</v>
      </c>
      <c r="D12076" s="13" t="s">
        <v>118</v>
      </c>
      <c r="E12076" s="13" t="s">
        <v>21957</v>
      </c>
      <c r="F12076" s="43">
        <v>1432.08</v>
      </c>
    </row>
    <row r="12077" spans="2:6" x14ac:dyDescent="0.25">
      <c r="B12077" s="13" t="s">
        <v>21958</v>
      </c>
      <c r="C12077" s="17" t="s">
        <v>170</v>
      </c>
      <c r="D12077" s="13" t="s">
        <v>118</v>
      </c>
      <c r="E12077" s="13" t="s">
        <v>21959</v>
      </c>
      <c r="F12077" s="43">
        <v>1491.75</v>
      </c>
    </row>
    <row r="12078" spans="2:6" x14ac:dyDescent="0.25">
      <c r="B12078" s="13" t="s">
        <v>21960</v>
      </c>
      <c r="C12078" s="17" t="s">
        <v>170</v>
      </c>
      <c r="D12078" s="13" t="s">
        <v>118</v>
      </c>
      <c r="E12078" s="13" t="s">
        <v>21961</v>
      </c>
      <c r="F12078" s="43">
        <v>1551.42</v>
      </c>
    </row>
    <row r="12079" spans="2:6" x14ac:dyDescent="0.25">
      <c r="B12079" s="13" t="s">
        <v>21962</v>
      </c>
      <c r="C12079" s="17" t="s">
        <v>170</v>
      </c>
      <c r="D12079" s="13" t="s">
        <v>118</v>
      </c>
      <c r="E12079" s="13" t="s">
        <v>21963</v>
      </c>
      <c r="F12079" s="43">
        <v>1372.41</v>
      </c>
    </row>
    <row r="12080" spans="2:6" x14ac:dyDescent="0.25">
      <c r="B12080" s="13" t="s">
        <v>21964</v>
      </c>
      <c r="C12080" s="17" t="s">
        <v>170</v>
      </c>
      <c r="D12080" s="13" t="s">
        <v>118</v>
      </c>
      <c r="E12080" s="13" t="s">
        <v>21965</v>
      </c>
      <c r="F12080" s="43">
        <v>1432.08</v>
      </c>
    </row>
    <row r="12081" spans="2:6" x14ac:dyDescent="0.25">
      <c r="B12081" s="13" t="s">
        <v>21966</v>
      </c>
      <c r="C12081" s="17" t="s">
        <v>170</v>
      </c>
      <c r="D12081" s="13" t="s">
        <v>118</v>
      </c>
      <c r="E12081" s="13" t="s">
        <v>21967</v>
      </c>
      <c r="F12081" s="43">
        <v>1491.75</v>
      </c>
    </row>
    <row r="12082" spans="2:6" x14ac:dyDescent="0.25">
      <c r="B12082" s="13" t="s">
        <v>21968</v>
      </c>
      <c r="C12082" s="17" t="s">
        <v>170</v>
      </c>
      <c r="D12082" s="13" t="s">
        <v>118</v>
      </c>
      <c r="E12082" s="13" t="s">
        <v>21969</v>
      </c>
      <c r="F12082" s="43">
        <v>1551.42</v>
      </c>
    </row>
    <row r="12083" spans="2:6" x14ac:dyDescent="0.25">
      <c r="B12083" s="13" t="s">
        <v>21970</v>
      </c>
      <c r="C12083" s="17" t="s">
        <v>170</v>
      </c>
      <c r="D12083" s="13" t="s">
        <v>118</v>
      </c>
      <c r="E12083" s="13" t="s">
        <v>21971</v>
      </c>
      <c r="F12083" s="43">
        <v>1342.58</v>
      </c>
    </row>
    <row r="12084" spans="2:6" x14ac:dyDescent="0.25">
      <c r="B12084" s="13" t="s">
        <v>21972</v>
      </c>
      <c r="C12084" s="17" t="s">
        <v>170</v>
      </c>
      <c r="D12084" s="13" t="s">
        <v>118</v>
      </c>
      <c r="E12084" s="13" t="s">
        <v>21973</v>
      </c>
      <c r="F12084" s="43">
        <v>1402.25</v>
      </c>
    </row>
    <row r="12085" spans="2:6" x14ac:dyDescent="0.25">
      <c r="B12085" s="13" t="s">
        <v>21974</v>
      </c>
      <c r="C12085" s="17" t="s">
        <v>170</v>
      </c>
      <c r="D12085" s="13" t="s">
        <v>118</v>
      </c>
      <c r="E12085" s="13" t="s">
        <v>21975</v>
      </c>
      <c r="F12085" s="43">
        <v>1461.92</v>
      </c>
    </row>
    <row r="12086" spans="2:6" x14ac:dyDescent="0.25">
      <c r="B12086" s="13" t="s">
        <v>21976</v>
      </c>
      <c r="C12086" s="17" t="s">
        <v>170</v>
      </c>
      <c r="D12086" s="13" t="s">
        <v>118</v>
      </c>
      <c r="E12086" s="13" t="s">
        <v>21977</v>
      </c>
      <c r="F12086" s="43">
        <v>1521.59</v>
      </c>
    </row>
    <row r="12087" spans="2:6" x14ac:dyDescent="0.25">
      <c r="B12087" s="13" t="s">
        <v>21978</v>
      </c>
      <c r="C12087" s="17" t="s">
        <v>170</v>
      </c>
      <c r="D12087" s="13" t="s">
        <v>118</v>
      </c>
      <c r="E12087" s="13" t="s">
        <v>21979</v>
      </c>
      <c r="F12087" s="43">
        <v>1342.58</v>
      </c>
    </row>
    <row r="12088" spans="2:6" x14ac:dyDescent="0.25">
      <c r="B12088" s="13" t="s">
        <v>21980</v>
      </c>
      <c r="C12088" s="17" t="s">
        <v>170</v>
      </c>
      <c r="D12088" s="13" t="s">
        <v>118</v>
      </c>
      <c r="E12088" s="13" t="s">
        <v>21981</v>
      </c>
      <c r="F12088" s="43">
        <v>1402.25</v>
      </c>
    </row>
    <row r="12089" spans="2:6" x14ac:dyDescent="0.25">
      <c r="B12089" s="13" t="s">
        <v>21982</v>
      </c>
      <c r="C12089" s="17" t="s">
        <v>170</v>
      </c>
      <c r="D12089" s="13" t="s">
        <v>118</v>
      </c>
      <c r="E12089" s="13" t="s">
        <v>21983</v>
      </c>
      <c r="F12089" s="43">
        <v>1461.92</v>
      </c>
    </row>
    <row r="12090" spans="2:6" x14ac:dyDescent="0.25">
      <c r="B12090" s="13" t="s">
        <v>21984</v>
      </c>
      <c r="C12090" s="17" t="s">
        <v>170</v>
      </c>
      <c r="D12090" s="13" t="s">
        <v>118</v>
      </c>
      <c r="E12090" s="13" t="s">
        <v>21985</v>
      </c>
      <c r="F12090" s="43">
        <v>1521.59</v>
      </c>
    </row>
    <row r="12091" spans="2:6" x14ac:dyDescent="0.25">
      <c r="B12091" s="13" t="s">
        <v>21986</v>
      </c>
      <c r="C12091" s="17" t="s">
        <v>170</v>
      </c>
      <c r="D12091" s="13" t="s">
        <v>118</v>
      </c>
      <c r="E12091" s="13" t="s">
        <v>21987</v>
      </c>
      <c r="F12091" s="43">
        <v>1342.58</v>
      </c>
    </row>
    <row r="12092" spans="2:6" x14ac:dyDescent="0.25">
      <c r="B12092" s="13" t="s">
        <v>21988</v>
      </c>
      <c r="C12092" s="17" t="s">
        <v>170</v>
      </c>
      <c r="D12092" s="13" t="s">
        <v>118</v>
      </c>
      <c r="E12092" s="13" t="s">
        <v>21989</v>
      </c>
      <c r="F12092" s="43">
        <v>1402.25</v>
      </c>
    </row>
    <row r="12093" spans="2:6" x14ac:dyDescent="0.25">
      <c r="B12093" s="13" t="s">
        <v>21990</v>
      </c>
      <c r="C12093" s="17" t="s">
        <v>170</v>
      </c>
      <c r="D12093" s="13" t="s">
        <v>118</v>
      </c>
      <c r="E12093" s="13" t="s">
        <v>21991</v>
      </c>
      <c r="F12093" s="43">
        <v>1461.92</v>
      </c>
    </row>
    <row r="12094" spans="2:6" x14ac:dyDescent="0.25">
      <c r="B12094" s="13" t="s">
        <v>21992</v>
      </c>
      <c r="C12094" s="17" t="s">
        <v>170</v>
      </c>
      <c r="D12094" s="13" t="s">
        <v>118</v>
      </c>
      <c r="E12094" s="13" t="s">
        <v>21993</v>
      </c>
      <c r="F12094" s="43">
        <v>1521.59</v>
      </c>
    </row>
    <row r="12095" spans="2:6" x14ac:dyDescent="0.25">
      <c r="B12095" s="13" t="s">
        <v>21994</v>
      </c>
      <c r="C12095" s="17" t="s">
        <v>170</v>
      </c>
      <c r="D12095" s="13" t="s">
        <v>118</v>
      </c>
      <c r="E12095" s="13" t="s">
        <v>21995</v>
      </c>
      <c r="F12095" s="43">
        <v>1342.58</v>
      </c>
    </row>
    <row r="12096" spans="2:6" x14ac:dyDescent="0.25">
      <c r="B12096" s="13" t="s">
        <v>21996</v>
      </c>
      <c r="C12096" s="17" t="s">
        <v>170</v>
      </c>
      <c r="D12096" s="13" t="s">
        <v>118</v>
      </c>
      <c r="E12096" s="13" t="s">
        <v>21997</v>
      </c>
      <c r="F12096" s="43">
        <v>1402.25</v>
      </c>
    </row>
    <row r="12097" spans="2:6" x14ac:dyDescent="0.25">
      <c r="B12097" s="13" t="s">
        <v>21998</v>
      </c>
      <c r="C12097" s="17" t="s">
        <v>170</v>
      </c>
      <c r="D12097" s="13" t="s">
        <v>118</v>
      </c>
      <c r="E12097" s="13" t="s">
        <v>21999</v>
      </c>
      <c r="F12097" s="43">
        <v>1461.92</v>
      </c>
    </row>
    <row r="12098" spans="2:6" x14ac:dyDescent="0.25">
      <c r="B12098" s="13" t="s">
        <v>22000</v>
      </c>
      <c r="C12098" s="17" t="s">
        <v>170</v>
      </c>
      <c r="D12098" s="13" t="s">
        <v>118</v>
      </c>
      <c r="E12098" s="13" t="s">
        <v>22001</v>
      </c>
      <c r="F12098" s="43">
        <v>1521.59</v>
      </c>
    </row>
    <row r="12099" spans="2:6" x14ac:dyDescent="0.25">
      <c r="B12099" s="13" t="s">
        <v>22002</v>
      </c>
      <c r="C12099" s="17" t="s">
        <v>170</v>
      </c>
      <c r="D12099" s="13" t="s">
        <v>118</v>
      </c>
      <c r="E12099" s="13" t="s">
        <v>22003</v>
      </c>
      <c r="F12099" s="43">
        <v>1432.08</v>
      </c>
    </row>
    <row r="12100" spans="2:6" x14ac:dyDescent="0.25">
      <c r="B12100" s="13" t="s">
        <v>22004</v>
      </c>
      <c r="C12100" s="17" t="s">
        <v>170</v>
      </c>
      <c r="D12100" s="13" t="s">
        <v>118</v>
      </c>
      <c r="E12100" s="13" t="s">
        <v>22005</v>
      </c>
      <c r="F12100" s="43">
        <v>1491.75</v>
      </c>
    </row>
    <row r="12101" spans="2:6" x14ac:dyDescent="0.25">
      <c r="B12101" s="13" t="s">
        <v>22006</v>
      </c>
      <c r="C12101" s="17" t="s">
        <v>170</v>
      </c>
      <c r="D12101" s="13" t="s">
        <v>118</v>
      </c>
      <c r="E12101" s="13" t="s">
        <v>22007</v>
      </c>
      <c r="F12101" s="43">
        <v>1581.26</v>
      </c>
    </row>
    <row r="12102" spans="2:6" x14ac:dyDescent="0.25">
      <c r="B12102" s="13" t="s">
        <v>22008</v>
      </c>
      <c r="C12102" s="17" t="s">
        <v>170</v>
      </c>
      <c r="D12102" s="13" t="s">
        <v>118</v>
      </c>
      <c r="E12102" s="13" t="s">
        <v>22009</v>
      </c>
      <c r="F12102" s="43">
        <v>1611.09</v>
      </c>
    </row>
    <row r="12103" spans="2:6" x14ac:dyDescent="0.25">
      <c r="B12103" s="13" t="s">
        <v>22010</v>
      </c>
      <c r="C12103" s="17" t="s">
        <v>170</v>
      </c>
      <c r="D12103" s="13" t="s">
        <v>118</v>
      </c>
      <c r="E12103" s="13" t="s">
        <v>22011</v>
      </c>
      <c r="F12103" s="43">
        <v>1432.08</v>
      </c>
    </row>
    <row r="12104" spans="2:6" x14ac:dyDescent="0.25">
      <c r="B12104" s="13" t="s">
        <v>22012</v>
      </c>
      <c r="C12104" s="17" t="s">
        <v>170</v>
      </c>
      <c r="D12104" s="13" t="s">
        <v>118</v>
      </c>
      <c r="E12104" s="13" t="s">
        <v>22013</v>
      </c>
      <c r="F12104" s="43">
        <v>1491.75</v>
      </c>
    </row>
    <row r="12105" spans="2:6" x14ac:dyDescent="0.25">
      <c r="B12105" s="13" t="s">
        <v>22014</v>
      </c>
      <c r="C12105" s="17" t="s">
        <v>170</v>
      </c>
      <c r="D12105" s="13" t="s">
        <v>118</v>
      </c>
      <c r="E12105" s="13" t="s">
        <v>22015</v>
      </c>
      <c r="F12105" s="43">
        <v>1581.26</v>
      </c>
    </row>
    <row r="12106" spans="2:6" x14ac:dyDescent="0.25">
      <c r="B12106" s="13" t="s">
        <v>22016</v>
      </c>
      <c r="C12106" s="17" t="s">
        <v>170</v>
      </c>
      <c r="D12106" s="13" t="s">
        <v>118</v>
      </c>
      <c r="E12106" s="13" t="s">
        <v>22017</v>
      </c>
      <c r="F12106" s="43">
        <v>1611.09</v>
      </c>
    </row>
    <row r="12107" spans="2:6" x14ac:dyDescent="0.25">
      <c r="B12107" s="13" t="s">
        <v>22018</v>
      </c>
      <c r="C12107" s="17" t="s">
        <v>170</v>
      </c>
      <c r="D12107" s="13" t="s">
        <v>118</v>
      </c>
      <c r="E12107" s="13" t="s">
        <v>22019</v>
      </c>
      <c r="F12107" s="43">
        <v>1432.08</v>
      </c>
    </row>
    <row r="12108" spans="2:6" x14ac:dyDescent="0.25">
      <c r="B12108" s="13" t="s">
        <v>22020</v>
      </c>
      <c r="C12108" s="17" t="s">
        <v>170</v>
      </c>
      <c r="D12108" s="13" t="s">
        <v>118</v>
      </c>
      <c r="E12108" s="13" t="s">
        <v>22021</v>
      </c>
      <c r="F12108" s="43">
        <v>1491.75</v>
      </c>
    </row>
    <row r="12109" spans="2:6" x14ac:dyDescent="0.25">
      <c r="B12109" s="13" t="s">
        <v>22022</v>
      </c>
      <c r="C12109" s="17" t="s">
        <v>170</v>
      </c>
      <c r="D12109" s="13" t="s">
        <v>118</v>
      </c>
      <c r="E12109" s="13" t="s">
        <v>22023</v>
      </c>
      <c r="F12109" s="43">
        <v>1581.26</v>
      </c>
    </row>
    <row r="12110" spans="2:6" x14ac:dyDescent="0.25">
      <c r="B12110" s="13" t="s">
        <v>22024</v>
      </c>
      <c r="C12110" s="17" t="s">
        <v>170</v>
      </c>
      <c r="D12110" s="13" t="s">
        <v>118</v>
      </c>
      <c r="E12110" s="13" t="s">
        <v>22025</v>
      </c>
      <c r="F12110" s="43">
        <v>1611.09</v>
      </c>
    </row>
    <row r="12111" spans="2:6" x14ac:dyDescent="0.25">
      <c r="B12111" s="13" t="s">
        <v>22026</v>
      </c>
      <c r="C12111" s="17" t="s">
        <v>170</v>
      </c>
      <c r="D12111" s="13" t="s">
        <v>118</v>
      </c>
      <c r="E12111" s="13" t="s">
        <v>22027</v>
      </c>
      <c r="F12111" s="43">
        <v>1432.08</v>
      </c>
    </row>
    <row r="12112" spans="2:6" x14ac:dyDescent="0.25">
      <c r="B12112" s="13" t="s">
        <v>22028</v>
      </c>
      <c r="C12112" s="17" t="s">
        <v>170</v>
      </c>
      <c r="D12112" s="13" t="s">
        <v>118</v>
      </c>
      <c r="E12112" s="13" t="s">
        <v>22029</v>
      </c>
      <c r="F12112" s="43">
        <v>1491.75</v>
      </c>
    </row>
    <row r="12113" spans="2:6" x14ac:dyDescent="0.25">
      <c r="B12113" s="13" t="s">
        <v>22030</v>
      </c>
      <c r="C12113" s="17" t="s">
        <v>170</v>
      </c>
      <c r="D12113" s="13" t="s">
        <v>118</v>
      </c>
      <c r="E12113" s="13" t="s">
        <v>22031</v>
      </c>
      <c r="F12113" s="43">
        <v>1581.26</v>
      </c>
    </row>
    <row r="12114" spans="2:6" x14ac:dyDescent="0.25">
      <c r="B12114" s="13" t="s">
        <v>22032</v>
      </c>
      <c r="C12114" s="17" t="s">
        <v>170</v>
      </c>
      <c r="D12114" s="13" t="s">
        <v>118</v>
      </c>
      <c r="E12114" s="13" t="s">
        <v>22033</v>
      </c>
      <c r="F12114" s="43">
        <v>1611.09</v>
      </c>
    </row>
    <row r="12115" spans="2:6" x14ac:dyDescent="0.25">
      <c r="B12115" s="13" t="s">
        <v>22034</v>
      </c>
      <c r="C12115" s="17" t="s">
        <v>170</v>
      </c>
      <c r="D12115" s="13" t="s">
        <v>118</v>
      </c>
      <c r="E12115" s="13" t="s">
        <v>22035</v>
      </c>
      <c r="F12115" s="43">
        <v>1342.58</v>
      </c>
    </row>
    <row r="12116" spans="2:6" x14ac:dyDescent="0.25">
      <c r="B12116" s="13" t="s">
        <v>22036</v>
      </c>
      <c r="C12116" s="17" t="s">
        <v>170</v>
      </c>
      <c r="D12116" s="13" t="s">
        <v>118</v>
      </c>
      <c r="E12116" s="13" t="s">
        <v>22037</v>
      </c>
      <c r="F12116" s="43">
        <v>1402.25</v>
      </c>
    </row>
    <row r="12117" spans="2:6" x14ac:dyDescent="0.25">
      <c r="B12117" s="13" t="s">
        <v>22038</v>
      </c>
      <c r="C12117" s="17" t="s">
        <v>170</v>
      </c>
      <c r="D12117" s="13" t="s">
        <v>118</v>
      </c>
      <c r="E12117" s="13" t="s">
        <v>22039</v>
      </c>
      <c r="F12117" s="43">
        <v>1461.92</v>
      </c>
    </row>
    <row r="12118" spans="2:6" x14ac:dyDescent="0.25">
      <c r="B12118" s="13" t="s">
        <v>22040</v>
      </c>
      <c r="C12118" s="17" t="s">
        <v>170</v>
      </c>
      <c r="D12118" s="13" t="s">
        <v>118</v>
      </c>
      <c r="E12118" s="13" t="s">
        <v>22041</v>
      </c>
      <c r="F12118" s="43">
        <v>1521.59</v>
      </c>
    </row>
    <row r="12119" spans="2:6" x14ac:dyDescent="0.25">
      <c r="B12119" s="13" t="s">
        <v>22042</v>
      </c>
      <c r="C12119" s="17" t="s">
        <v>170</v>
      </c>
      <c r="D12119" s="13" t="s">
        <v>118</v>
      </c>
      <c r="E12119" s="13" t="s">
        <v>22043</v>
      </c>
      <c r="F12119" s="43">
        <v>1342.58</v>
      </c>
    </row>
    <row r="12120" spans="2:6" x14ac:dyDescent="0.25">
      <c r="B12120" s="13" t="s">
        <v>22044</v>
      </c>
      <c r="C12120" s="17" t="s">
        <v>170</v>
      </c>
      <c r="D12120" s="13" t="s">
        <v>118</v>
      </c>
      <c r="E12120" s="13" t="s">
        <v>22045</v>
      </c>
      <c r="F12120" s="43">
        <v>1402.25</v>
      </c>
    </row>
    <row r="12121" spans="2:6" x14ac:dyDescent="0.25">
      <c r="B12121" s="13" t="s">
        <v>22046</v>
      </c>
      <c r="C12121" s="17" t="s">
        <v>170</v>
      </c>
      <c r="D12121" s="13" t="s">
        <v>118</v>
      </c>
      <c r="E12121" s="13" t="s">
        <v>22047</v>
      </c>
      <c r="F12121" s="43">
        <v>1461.92</v>
      </c>
    </row>
    <row r="12122" spans="2:6" x14ac:dyDescent="0.25">
      <c r="B12122" s="13" t="s">
        <v>22048</v>
      </c>
      <c r="C12122" s="17" t="s">
        <v>170</v>
      </c>
      <c r="D12122" s="13" t="s">
        <v>118</v>
      </c>
      <c r="E12122" s="13" t="s">
        <v>22049</v>
      </c>
      <c r="F12122" s="43">
        <v>1521.59</v>
      </c>
    </row>
    <row r="12123" spans="2:6" x14ac:dyDescent="0.25">
      <c r="B12123" s="13" t="s">
        <v>22050</v>
      </c>
      <c r="C12123" s="17" t="s">
        <v>170</v>
      </c>
      <c r="D12123" s="13" t="s">
        <v>118</v>
      </c>
      <c r="E12123" s="13" t="s">
        <v>22051</v>
      </c>
      <c r="F12123" s="43">
        <v>1342.58</v>
      </c>
    </row>
    <row r="12124" spans="2:6" x14ac:dyDescent="0.25">
      <c r="B12124" s="13" t="s">
        <v>22052</v>
      </c>
      <c r="C12124" s="17" t="s">
        <v>170</v>
      </c>
      <c r="D12124" s="13" t="s">
        <v>118</v>
      </c>
      <c r="E12124" s="13" t="s">
        <v>22053</v>
      </c>
      <c r="F12124" s="43">
        <v>1402.25</v>
      </c>
    </row>
    <row r="12125" spans="2:6" x14ac:dyDescent="0.25">
      <c r="B12125" s="13" t="s">
        <v>22054</v>
      </c>
      <c r="C12125" s="17" t="s">
        <v>170</v>
      </c>
      <c r="D12125" s="13" t="s">
        <v>118</v>
      </c>
      <c r="E12125" s="13" t="s">
        <v>22055</v>
      </c>
      <c r="F12125" s="43">
        <v>1461.92</v>
      </c>
    </row>
    <row r="12126" spans="2:6" x14ac:dyDescent="0.25">
      <c r="B12126" s="13" t="s">
        <v>22056</v>
      </c>
      <c r="C12126" s="17" t="s">
        <v>170</v>
      </c>
      <c r="D12126" s="13" t="s">
        <v>118</v>
      </c>
      <c r="E12126" s="13" t="s">
        <v>22057</v>
      </c>
      <c r="F12126" s="43">
        <v>1521.59</v>
      </c>
    </row>
    <row r="12127" spans="2:6" x14ac:dyDescent="0.25">
      <c r="B12127" s="13" t="s">
        <v>22058</v>
      </c>
      <c r="C12127" s="17" t="s">
        <v>170</v>
      </c>
      <c r="D12127" s="13" t="s">
        <v>118</v>
      </c>
      <c r="E12127" s="13" t="s">
        <v>22059</v>
      </c>
      <c r="F12127" s="43">
        <v>1342.58</v>
      </c>
    </row>
    <row r="12128" spans="2:6" x14ac:dyDescent="0.25">
      <c r="B12128" s="13" t="s">
        <v>22060</v>
      </c>
      <c r="C12128" s="17" t="s">
        <v>170</v>
      </c>
      <c r="D12128" s="13" t="s">
        <v>118</v>
      </c>
      <c r="E12128" s="13" t="s">
        <v>22061</v>
      </c>
      <c r="F12128" s="43">
        <v>1402.25</v>
      </c>
    </row>
    <row r="12129" spans="2:6" x14ac:dyDescent="0.25">
      <c r="B12129" s="13" t="s">
        <v>22062</v>
      </c>
      <c r="C12129" s="17" t="s">
        <v>170</v>
      </c>
      <c r="D12129" s="13" t="s">
        <v>118</v>
      </c>
      <c r="E12129" s="13" t="s">
        <v>22063</v>
      </c>
      <c r="F12129" s="43">
        <v>1461.92</v>
      </c>
    </row>
    <row r="12130" spans="2:6" x14ac:dyDescent="0.25">
      <c r="B12130" s="13" t="s">
        <v>22064</v>
      </c>
      <c r="C12130" s="17" t="s">
        <v>170</v>
      </c>
      <c r="D12130" s="13" t="s">
        <v>118</v>
      </c>
      <c r="E12130" s="13" t="s">
        <v>22065</v>
      </c>
      <c r="F12130" s="43">
        <v>1521.59</v>
      </c>
    </row>
    <row r="12131" spans="2:6" x14ac:dyDescent="0.25">
      <c r="B12131" s="13" t="s">
        <v>22066</v>
      </c>
      <c r="C12131" s="17" t="s">
        <v>170</v>
      </c>
      <c r="D12131" s="13" t="s">
        <v>118</v>
      </c>
      <c r="E12131" s="13" t="s">
        <v>22067</v>
      </c>
      <c r="F12131" s="43">
        <v>1432.08</v>
      </c>
    </row>
    <row r="12132" spans="2:6" x14ac:dyDescent="0.25">
      <c r="B12132" s="13" t="s">
        <v>22068</v>
      </c>
      <c r="C12132" s="17" t="s">
        <v>170</v>
      </c>
      <c r="D12132" s="13" t="s">
        <v>118</v>
      </c>
      <c r="E12132" s="13" t="s">
        <v>22069</v>
      </c>
      <c r="F12132" s="43">
        <v>1491.75</v>
      </c>
    </row>
    <row r="12133" spans="2:6" x14ac:dyDescent="0.25">
      <c r="B12133" s="13" t="s">
        <v>22070</v>
      </c>
      <c r="C12133" s="17" t="s">
        <v>170</v>
      </c>
      <c r="D12133" s="13" t="s">
        <v>118</v>
      </c>
      <c r="E12133" s="13" t="s">
        <v>22071</v>
      </c>
      <c r="F12133" s="43">
        <v>1581.26</v>
      </c>
    </row>
    <row r="12134" spans="2:6" x14ac:dyDescent="0.25">
      <c r="B12134" s="13" t="s">
        <v>22072</v>
      </c>
      <c r="C12134" s="17" t="s">
        <v>170</v>
      </c>
      <c r="D12134" s="13" t="s">
        <v>118</v>
      </c>
      <c r="E12134" s="13" t="s">
        <v>22073</v>
      </c>
      <c r="F12134" s="43">
        <v>1611.09</v>
      </c>
    </row>
    <row r="12135" spans="2:6" x14ac:dyDescent="0.25">
      <c r="B12135" s="13" t="s">
        <v>22074</v>
      </c>
      <c r="C12135" s="17" t="s">
        <v>170</v>
      </c>
      <c r="D12135" s="13" t="s">
        <v>118</v>
      </c>
      <c r="E12135" s="13" t="s">
        <v>22075</v>
      </c>
      <c r="F12135" s="43">
        <v>1432.08</v>
      </c>
    </row>
    <row r="12136" spans="2:6" x14ac:dyDescent="0.25">
      <c r="B12136" s="13" t="s">
        <v>22076</v>
      </c>
      <c r="C12136" s="17" t="s">
        <v>170</v>
      </c>
      <c r="D12136" s="13" t="s">
        <v>118</v>
      </c>
      <c r="E12136" s="13" t="s">
        <v>22077</v>
      </c>
      <c r="F12136" s="43">
        <v>1491.75</v>
      </c>
    </row>
    <row r="12137" spans="2:6" x14ac:dyDescent="0.25">
      <c r="B12137" s="13" t="s">
        <v>22078</v>
      </c>
      <c r="C12137" s="17" t="s">
        <v>170</v>
      </c>
      <c r="D12137" s="13" t="s">
        <v>118</v>
      </c>
      <c r="E12137" s="13" t="s">
        <v>22079</v>
      </c>
      <c r="F12137" s="43">
        <v>1581.26</v>
      </c>
    </row>
    <row r="12138" spans="2:6" x14ac:dyDescent="0.25">
      <c r="B12138" s="13" t="s">
        <v>22080</v>
      </c>
      <c r="C12138" s="17" t="s">
        <v>170</v>
      </c>
      <c r="D12138" s="13" t="s">
        <v>118</v>
      </c>
      <c r="E12138" s="13" t="s">
        <v>22081</v>
      </c>
      <c r="F12138" s="43">
        <v>1611.09</v>
      </c>
    </row>
    <row r="12139" spans="2:6" x14ac:dyDescent="0.25">
      <c r="B12139" s="13" t="s">
        <v>22082</v>
      </c>
      <c r="C12139" s="17" t="s">
        <v>170</v>
      </c>
      <c r="D12139" s="13" t="s">
        <v>118</v>
      </c>
      <c r="E12139" s="13" t="s">
        <v>22083</v>
      </c>
      <c r="F12139" s="43">
        <v>1432.08</v>
      </c>
    </row>
    <row r="12140" spans="2:6" x14ac:dyDescent="0.25">
      <c r="B12140" s="13" t="s">
        <v>22084</v>
      </c>
      <c r="C12140" s="17" t="s">
        <v>170</v>
      </c>
      <c r="D12140" s="13" t="s">
        <v>118</v>
      </c>
      <c r="E12140" s="13" t="s">
        <v>22085</v>
      </c>
      <c r="F12140" s="43">
        <v>1491.75</v>
      </c>
    </row>
    <row r="12141" spans="2:6" x14ac:dyDescent="0.25">
      <c r="B12141" s="13" t="s">
        <v>22086</v>
      </c>
      <c r="C12141" s="17" t="s">
        <v>170</v>
      </c>
      <c r="D12141" s="13" t="s">
        <v>118</v>
      </c>
      <c r="E12141" s="13" t="s">
        <v>22087</v>
      </c>
      <c r="F12141" s="43">
        <v>1581.26</v>
      </c>
    </row>
    <row r="12142" spans="2:6" x14ac:dyDescent="0.25">
      <c r="B12142" s="13" t="s">
        <v>22088</v>
      </c>
      <c r="C12142" s="17" t="s">
        <v>170</v>
      </c>
      <c r="D12142" s="13" t="s">
        <v>118</v>
      </c>
      <c r="E12142" s="13" t="s">
        <v>22089</v>
      </c>
      <c r="F12142" s="43">
        <v>1611.09</v>
      </c>
    </row>
    <row r="12143" spans="2:6" x14ac:dyDescent="0.25">
      <c r="B12143" s="13" t="s">
        <v>22090</v>
      </c>
      <c r="C12143" s="17" t="s">
        <v>170</v>
      </c>
      <c r="D12143" s="13" t="s">
        <v>118</v>
      </c>
      <c r="E12143" s="13" t="s">
        <v>22091</v>
      </c>
      <c r="F12143" s="43">
        <v>1432.08</v>
      </c>
    </row>
    <row r="12144" spans="2:6" x14ac:dyDescent="0.25">
      <c r="B12144" s="13" t="s">
        <v>22092</v>
      </c>
      <c r="C12144" s="17" t="s">
        <v>170</v>
      </c>
      <c r="D12144" s="13" t="s">
        <v>118</v>
      </c>
      <c r="E12144" s="13" t="s">
        <v>22093</v>
      </c>
      <c r="F12144" s="43">
        <v>1491.75</v>
      </c>
    </row>
    <row r="12145" spans="2:6" x14ac:dyDescent="0.25">
      <c r="B12145" s="13" t="s">
        <v>22094</v>
      </c>
      <c r="C12145" s="17" t="s">
        <v>170</v>
      </c>
      <c r="D12145" s="13" t="s">
        <v>118</v>
      </c>
      <c r="E12145" s="13" t="s">
        <v>22095</v>
      </c>
      <c r="F12145" s="43">
        <v>1581.26</v>
      </c>
    </row>
    <row r="12146" spans="2:6" x14ac:dyDescent="0.25">
      <c r="B12146" s="13" t="s">
        <v>22096</v>
      </c>
      <c r="C12146" s="17" t="s">
        <v>170</v>
      </c>
      <c r="D12146" s="13" t="s">
        <v>118</v>
      </c>
      <c r="E12146" s="13" t="s">
        <v>22097</v>
      </c>
      <c r="F12146" s="43">
        <v>1611.09</v>
      </c>
    </row>
    <row r="12147" spans="2:6" x14ac:dyDescent="0.25">
      <c r="B12147" s="13" t="s">
        <v>22098</v>
      </c>
      <c r="C12147" s="17" t="s">
        <v>170</v>
      </c>
      <c r="D12147" s="13" t="s">
        <v>118</v>
      </c>
      <c r="E12147" s="13" t="s">
        <v>22099</v>
      </c>
      <c r="F12147" s="43">
        <v>30.45</v>
      </c>
    </row>
    <row r="12148" spans="2:6" x14ac:dyDescent="0.25">
      <c r="B12148" s="13" t="s">
        <v>22100</v>
      </c>
      <c r="C12148" s="17" t="s">
        <v>170</v>
      </c>
      <c r="D12148" s="13" t="s">
        <v>118</v>
      </c>
      <c r="E12148" s="13" t="s">
        <v>22101</v>
      </c>
      <c r="F12148" s="43">
        <v>34.299999999999997</v>
      </c>
    </row>
    <row r="12149" spans="2:6" x14ac:dyDescent="0.25">
      <c r="B12149" s="13" t="s">
        <v>22102</v>
      </c>
      <c r="C12149" s="17" t="s">
        <v>170</v>
      </c>
      <c r="D12149" s="13" t="s">
        <v>118</v>
      </c>
      <c r="E12149" s="13" t="s">
        <v>22103</v>
      </c>
      <c r="F12149" s="43">
        <v>42.93</v>
      </c>
    </row>
    <row r="12150" spans="2:6" x14ac:dyDescent="0.25">
      <c r="B12150" s="13" t="s">
        <v>22104</v>
      </c>
      <c r="C12150" s="17" t="s">
        <v>170</v>
      </c>
      <c r="D12150" s="13" t="s">
        <v>118</v>
      </c>
      <c r="E12150" s="13" t="s">
        <v>22105</v>
      </c>
      <c r="F12150" s="43">
        <v>30.45</v>
      </c>
    </row>
    <row r="12151" spans="2:6" x14ac:dyDescent="0.25">
      <c r="B12151" s="13" t="s">
        <v>22106</v>
      </c>
      <c r="C12151" s="17" t="s">
        <v>170</v>
      </c>
      <c r="D12151" s="13" t="s">
        <v>118</v>
      </c>
      <c r="E12151" s="13" t="s">
        <v>22107</v>
      </c>
      <c r="F12151" s="43">
        <v>32.549999999999997</v>
      </c>
    </row>
    <row r="12152" spans="2:6" x14ac:dyDescent="0.25">
      <c r="B12152" s="13" t="s">
        <v>22108</v>
      </c>
      <c r="C12152" s="17" t="s">
        <v>170</v>
      </c>
      <c r="D12152" s="13" t="s">
        <v>118</v>
      </c>
      <c r="E12152" s="13" t="s">
        <v>22109</v>
      </c>
      <c r="F12152" s="43">
        <v>40.83</v>
      </c>
    </row>
    <row r="12153" spans="2:6" x14ac:dyDescent="0.25">
      <c r="B12153" s="13" t="s">
        <v>22110</v>
      </c>
      <c r="C12153" s="17" t="s">
        <v>170</v>
      </c>
      <c r="D12153" s="13" t="s">
        <v>118</v>
      </c>
      <c r="E12153" s="13" t="s">
        <v>22111</v>
      </c>
      <c r="F12153" s="43">
        <v>44.8</v>
      </c>
    </row>
    <row r="12154" spans="2:6" x14ac:dyDescent="0.25">
      <c r="B12154" s="13" t="s">
        <v>22112</v>
      </c>
      <c r="C12154" s="17" t="s">
        <v>170</v>
      </c>
      <c r="D12154" s="13" t="s">
        <v>118</v>
      </c>
      <c r="E12154" s="13" t="s">
        <v>22113</v>
      </c>
      <c r="F12154" s="43">
        <v>49</v>
      </c>
    </row>
    <row r="12155" spans="2:6" x14ac:dyDescent="0.25">
      <c r="B12155" s="13" t="s">
        <v>22114</v>
      </c>
      <c r="C12155" s="17" t="s">
        <v>170</v>
      </c>
      <c r="D12155" s="13" t="s">
        <v>118</v>
      </c>
      <c r="E12155" s="13" t="s">
        <v>22115</v>
      </c>
      <c r="F12155" s="43">
        <v>58.79</v>
      </c>
    </row>
    <row r="12156" spans="2:6" x14ac:dyDescent="0.25">
      <c r="B12156" s="13" t="s">
        <v>22116</v>
      </c>
      <c r="C12156" s="17" t="s">
        <v>170</v>
      </c>
      <c r="D12156" s="13" t="s">
        <v>118</v>
      </c>
      <c r="E12156" s="13" t="s">
        <v>22117</v>
      </c>
      <c r="F12156" s="43">
        <v>44.8</v>
      </c>
    </row>
    <row r="12157" spans="2:6" x14ac:dyDescent="0.25">
      <c r="B12157" s="13" t="s">
        <v>22118</v>
      </c>
      <c r="C12157" s="17" t="s">
        <v>170</v>
      </c>
      <c r="D12157" s="13" t="s">
        <v>118</v>
      </c>
      <c r="E12157" s="13" t="s">
        <v>22119</v>
      </c>
      <c r="F12157" s="43">
        <v>46.55</v>
      </c>
    </row>
    <row r="12158" spans="2:6" x14ac:dyDescent="0.25">
      <c r="B12158" s="13" t="s">
        <v>22120</v>
      </c>
      <c r="C12158" s="17" t="s">
        <v>170</v>
      </c>
      <c r="D12158" s="13" t="s">
        <v>118</v>
      </c>
      <c r="E12158" s="13" t="s">
        <v>22121</v>
      </c>
      <c r="F12158" s="43">
        <v>55.64</v>
      </c>
    </row>
    <row r="12159" spans="2:6" x14ac:dyDescent="0.25">
      <c r="B12159" s="13" t="s">
        <v>22122</v>
      </c>
      <c r="C12159" s="17" t="s">
        <v>170</v>
      </c>
      <c r="D12159" s="13" t="s">
        <v>118</v>
      </c>
      <c r="E12159" s="13" t="s">
        <v>22123</v>
      </c>
      <c r="F12159" s="43">
        <v>46.66</v>
      </c>
    </row>
    <row r="12160" spans="2:6" x14ac:dyDescent="0.25">
      <c r="B12160" s="13" t="s">
        <v>22124</v>
      </c>
      <c r="C12160" s="17" t="s">
        <v>170</v>
      </c>
      <c r="D12160" s="13" t="s">
        <v>118</v>
      </c>
      <c r="E12160" s="13" t="s">
        <v>22125</v>
      </c>
      <c r="F12160" s="43">
        <v>85.74</v>
      </c>
    </row>
    <row r="12161" spans="2:6" x14ac:dyDescent="0.25">
      <c r="B12161" s="13" t="s">
        <v>22126</v>
      </c>
      <c r="C12161" s="17" t="s">
        <v>170</v>
      </c>
      <c r="D12161" s="13" t="s">
        <v>118</v>
      </c>
      <c r="E12161" s="13" t="s">
        <v>22127</v>
      </c>
      <c r="F12161" s="43">
        <v>107.08</v>
      </c>
    </row>
    <row r="12162" spans="2:6" x14ac:dyDescent="0.25">
      <c r="B12162" s="13" t="s">
        <v>22128</v>
      </c>
      <c r="C12162" s="17" t="s">
        <v>170</v>
      </c>
      <c r="D12162" s="13" t="s">
        <v>118</v>
      </c>
      <c r="E12162" s="13" t="s">
        <v>22129</v>
      </c>
      <c r="F12162" s="43">
        <v>64.98</v>
      </c>
    </row>
    <row r="12163" spans="2:6" x14ac:dyDescent="0.25">
      <c r="B12163" s="13" t="s">
        <v>22130</v>
      </c>
      <c r="C12163" s="17" t="s">
        <v>170</v>
      </c>
      <c r="D12163" s="13" t="s">
        <v>118</v>
      </c>
      <c r="E12163" s="13" t="s">
        <v>22131</v>
      </c>
      <c r="F12163" s="43">
        <v>72.09</v>
      </c>
    </row>
    <row r="12164" spans="2:6" x14ac:dyDescent="0.25">
      <c r="B12164" s="13" t="s">
        <v>22132</v>
      </c>
      <c r="C12164" s="17" t="s">
        <v>170</v>
      </c>
      <c r="D12164" s="13" t="s">
        <v>118</v>
      </c>
      <c r="E12164" s="13" t="s">
        <v>22133</v>
      </c>
      <c r="F12164" s="43">
        <v>84.57</v>
      </c>
    </row>
    <row r="12165" spans="2:6" x14ac:dyDescent="0.25">
      <c r="B12165" s="13" t="s">
        <v>22134</v>
      </c>
      <c r="C12165" s="17" t="s">
        <v>170</v>
      </c>
      <c r="D12165" s="13" t="s">
        <v>118</v>
      </c>
      <c r="E12165" s="13" t="s">
        <v>22135</v>
      </c>
      <c r="F12165" s="43">
        <v>67.42</v>
      </c>
    </row>
    <row r="12166" spans="2:6" x14ac:dyDescent="0.25">
      <c r="B12166" s="13" t="s">
        <v>22136</v>
      </c>
      <c r="C12166" s="17" t="s">
        <v>170</v>
      </c>
      <c r="D12166" s="13" t="s">
        <v>118</v>
      </c>
      <c r="E12166" s="13" t="s">
        <v>22137</v>
      </c>
      <c r="F12166" s="43">
        <v>66.260000000000005</v>
      </c>
    </row>
    <row r="12167" spans="2:6" x14ac:dyDescent="0.25">
      <c r="B12167" s="13" t="s">
        <v>22138</v>
      </c>
      <c r="C12167" s="17" t="s">
        <v>170</v>
      </c>
      <c r="D12167" s="13" t="s">
        <v>118</v>
      </c>
      <c r="E12167" s="13" t="s">
        <v>22139</v>
      </c>
      <c r="F12167" s="43">
        <v>80.02</v>
      </c>
    </row>
    <row r="12168" spans="2:6" x14ac:dyDescent="0.25">
      <c r="B12168" s="13" t="s">
        <v>22140</v>
      </c>
      <c r="C12168" s="17" t="s">
        <v>170</v>
      </c>
      <c r="D12168" s="13" t="s">
        <v>118</v>
      </c>
      <c r="E12168" s="13" t="s">
        <v>22141</v>
      </c>
      <c r="F12168" s="43">
        <v>110.82</v>
      </c>
    </row>
    <row r="12169" spans="2:6" x14ac:dyDescent="0.25">
      <c r="B12169" s="13" t="s">
        <v>22142</v>
      </c>
      <c r="C12169" s="17" t="s">
        <v>170</v>
      </c>
      <c r="D12169" s="13" t="s">
        <v>118</v>
      </c>
      <c r="E12169" s="13" t="s">
        <v>22143</v>
      </c>
      <c r="F12169" s="43">
        <v>130.65</v>
      </c>
    </row>
    <row r="12170" spans="2:6" x14ac:dyDescent="0.25">
      <c r="B12170" s="13" t="s">
        <v>22144</v>
      </c>
      <c r="C12170" s="17" t="s">
        <v>170</v>
      </c>
      <c r="D12170" s="13" t="s">
        <v>118</v>
      </c>
      <c r="E12170" s="13" t="s">
        <v>22145</v>
      </c>
      <c r="F12170" s="43">
        <v>140.91</v>
      </c>
    </row>
    <row r="12171" spans="2:6" x14ac:dyDescent="0.25">
      <c r="B12171" s="13" t="s">
        <v>22146</v>
      </c>
      <c r="C12171" s="17" t="s">
        <v>170</v>
      </c>
      <c r="D12171" s="13" t="s">
        <v>118</v>
      </c>
      <c r="E12171" s="13" t="s">
        <v>22147</v>
      </c>
      <c r="F12171" s="43">
        <v>93.2</v>
      </c>
    </row>
    <row r="12172" spans="2:6" x14ac:dyDescent="0.25">
      <c r="B12172" s="13" t="s">
        <v>22148</v>
      </c>
      <c r="C12172" s="17" t="s">
        <v>170</v>
      </c>
      <c r="D12172" s="13" t="s">
        <v>118</v>
      </c>
      <c r="E12172" s="13" t="s">
        <v>22149</v>
      </c>
      <c r="F12172" s="43">
        <v>99.27</v>
      </c>
    </row>
    <row r="12173" spans="2:6" x14ac:dyDescent="0.25">
      <c r="B12173" s="13" t="s">
        <v>22150</v>
      </c>
      <c r="C12173" s="17" t="s">
        <v>170</v>
      </c>
      <c r="D12173" s="13" t="s">
        <v>118</v>
      </c>
      <c r="E12173" s="13" t="s">
        <v>22151</v>
      </c>
      <c r="F12173" s="43">
        <v>118.16</v>
      </c>
    </row>
    <row r="12174" spans="2:6" x14ac:dyDescent="0.25">
      <c r="B12174" s="13" t="s">
        <v>22152</v>
      </c>
      <c r="C12174" s="17" t="s">
        <v>170</v>
      </c>
      <c r="D12174" s="13" t="s">
        <v>118</v>
      </c>
      <c r="E12174" s="13" t="s">
        <v>22153</v>
      </c>
      <c r="F12174" s="43">
        <v>93.2</v>
      </c>
    </row>
    <row r="12175" spans="2:6" x14ac:dyDescent="0.25">
      <c r="B12175" s="13" t="s">
        <v>22154</v>
      </c>
      <c r="C12175" s="17" t="s">
        <v>170</v>
      </c>
      <c r="D12175" s="13" t="s">
        <v>118</v>
      </c>
      <c r="E12175" s="13" t="s">
        <v>22155</v>
      </c>
      <c r="F12175" s="43">
        <v>94.25</v>
      </c>
    </row>
    <row r="12176" spans="2:6" x14ac:dyDescent="0.25">
      <c r="B12176" s="13" t="s">
        <v>22156</v>
      </c>
      <c r="C12176" s="17" t="s">
        <v>170</v>
      </c>
      <c r="D12176" s="13" t="s">
        <v>118</v>
      </c>
      <c r="E12176" s="13" t="s">
        <v>22157</v>
      </c>
      <c r="F12176" s="43">
        <v>112.22</v>
      </c>
    </row>
    <row r="12177" spans="2:6" x14ac:dyDescent="0.25">
      <c r="B12177" s="13" t="s">
        <v>22158</v>
      </c>
      <c r="C12177" s="17" t="s">
        <v>170</v>
      </c>
      <c r="D12177" s="13" t="s">
        <v>118</v>
      </c>
      <c r="E12177" s="13" t="s">
        <v>22159</v>
      </c>
      <c r="F12177" s="43">
        <v>232.01</v>
      </c>
    </row>
    <row r="12178" spans="2:6" x14ac:dyDescent="0.25">
      <c r="B12178" s="13" t="s">
        <v>22160</v>
      </c>
      <c r="C12178" s="17" t="s">
        <v>170</v>
      </c>
      <c r="D12178" s="13" t="s">
        <v>118</v>
      </c>
      <c r="E12178" s="13" t="s">
        <v>22161</v>
      </c>
      <c r="F12178" s="43">
        <v>221.63</v>
      </c>
    </row>
    <row r="12179" spans="2:6" x14ac:dyDescent="0.25">
      <c r="B12179" s="13" t="s">
        <v>22162</v>
      </c>
      <c r="C12179" s="17" t="s">
        <v>170</v>
      </c>
      <c r="D12179" s="13" t="s">
        <v>118</v>
      </c>
      <c r="E12179" s="13" t="s">
        <v>22163</v>
      </c>
      <c r="F12179" s="43">
        <v>273.52999999999997</v>
      </c>
    </row>
    <row r="12180" spans="2:6" x14ac:dyDescent="0.25">
      <c r="B12180" s="13" t="s">
        <v>22164</v>
      </c>
      <c r="C12180" s="17" t="s">
        <v>170</v>
      </c>
      <c r="D12180" s="13" t="s">
        <v>118</v>
      </c>
      <c r="E12180" s="13" t="s">
        <v>22165</v>
      </c>
      <c r="F12180" s="43">
        <v>133.56</v>
      </c>
    </row>
    <row r="12181" spans="2:6" x14ac:dyDescent="0.25">
      <c r="B12181" s="13" t="s">
        <v>22166</v>
      </c>
      <c r="C12181" s="17" t="s">
        <v>170</v>
      </c>
      <c r="D12181" s="13" t="s">
        <v>118</v>
      </c>
      <c r="E12181" s="13" t="s">
        <v>22167</v>
      </c>
      <c r="F12181" s="43">
        <v>131.35</v>
      </c>
    </row>
    <row r="12182" spans="2:6" x14ac:dyDescent="0.25">
      <c r="B12182" s="13" t="s">
        <v>22168</v>
      </c>
      <c r="C12182" s="17" t="s">
        <v>170</v>
      </c>
      <c r="D12182" s="13" t="s">
        <v>118</v>
      </c>
      <c r="E12182" s="13" t="s">
        <v>22169</v>
      </c>
      <c r="F12182" s="43">
        <v>164.12</v>
      </c>
    </row>
    <row r="12183" spans="2:6" x14ac:dyDescent="0.25">
      <c r="B12183" s="13" t="s">
        <v>22170</v>
      </c>
      <c r="C12183" s="17" t="s">
        <v>170</v>
      </c>
      <c r="D12183" s="13" t="s">
        <v>118</v>
      </c>
      <c r="E12183" s="13" t="s">
        <v>22171</v>
      </c>
      <c r="F12183" s="43">
        <v>133.56</v>
      </c>
    </row>
    <row r="12184" spans="2:6" x14ac:dyDescent="0.25">
      <c r="B12184" s="13" t="s">
        <v>22172</v>
      </c>
      <c r="C12184" s="17" t="s">
        <v>170</v>
      </c>
      <c r="D12184" s="13" t="s">
        <v>118</v>
      </c>
      <c r="E12184" s="13" t="s">
        <v>22173</v>
      </c>
      <c r="F12184" s="43">
        <v>130.30000000000001</v>
      </c>
    </row>
    <row r="12185" spans="2:6" x14ac:dyDescent="0.25">
      <c r="B12185" s="13" t="s">
        <v>22174</v>
      </c>
      <c r="C12185" s="17" t="s">
        <v>170</v>
      </c>
      <c r="D12185" s="13" t="s">
        <v>118</v>
      </c>
      <c r="E12185" s="13" t="s">
        <v>22175</v>
      </c>
      <c r="F12185" s="43">
        <v>153.62</v>
      </c>
    </row>
    <row r="12186" spans="2:6" x14ac:dyDescent="0.25">
      <c r="B12186" s="13" t="s">
        <v>22176</v>
      </c>
      <c r="C12186" s="17" t="s">
        <v>170</v>
      </c>
      <c r="D12186" s="13" t="s">
        <v>118</v>
      </c>
      <c r="E12186" s="13" t="s">
        <v>22177</v>
      </c>
      <c r="F12186" s="43">
        <v>268.27999999999997</v>
      </c>
    </row>
    <row r="12187" spans="2:6" x14ac:dyDescent="0.25">
      <c r="B12187" s="13" t="s">
        <v>22178</v>
      </c>
      <c r="C12187" s="17" t="s">
        <v>170</v>
      </c>
      <c r="D12187" s="13" t="s">
        <v>118</v>
      </c>
      <c r="E12187" s="13" t="s">
        <v>22179</v>
      </c>
      <c r="F12187" s="43">
        <v>262.45</v>
      </c>
    </row>
    <row r="12188" spans="2:6" x14ac:dyDescent="0.25">
      <c r="B12188" s="13" t="s">
        <v>22180</v>
      </c>
      <c r="C12188" s="17" t="s">
        <v>170</v>
      </c>
      <c r="D12188" s="13" t="s">
        <v>118</v>
      </c>
      <c r="E12188" s="13" t="s">
        <v>22181</v>
      </c>
      <c r="F12188" s="43">
        <v>314.36</v>
      </c>
    </row>
    <row r="12189" spans="2:6" x14ac:dyDescent="0.25">
      <c r="B12189" s="13" t="s">
        <v>22182</v>
      </c>
      <c r="C12189" s="17" t="s">
        <v>170</v>
      </c>
      <c r="D12189" s="13" t="s">
        <v>118</v>
      </c>
      <c r="E12189" s="13" t="s">
        <v>22183</v>
      </c>
      <c r="F12189" s="43">
        <v>269.68</v>
      </c>
    </row>
    <row r="12190" spans="2:6" x14ac:dyDescent="0.25">
      <c r="B12190" s="13" t="s">
        <v>22184</v>
      </c>
      <c r="C12190" s="17" t="s">
        <v>170</v>
      </c>
      <c r="D12190" s="13" t="s">
        <v>118</v>
      </c>
      <c r="E12190" s="13" t="s">
        <v>22185</v>
      </c>
      <c r="F12190" s="43">
        <v>286.95</v>
      </c>
    </row>
    <row r="12191" spans="2:6" x14ac:dyDescent="0.25">
      <c r="B12191" s="13" t="s">
        <v>22186</v>
      </c>
      <c r="C12191" s="17" t="s">
        <v>170</v>
      </c>
      <c r="D12191" s="13" t="s">
        <v>118</v>
      </c>
      <c r="E12191" s="13" t="s">
        <v>22187</v>
      </c>
      <c r="F12191" s="43">
        <v>297.45</v>
      </c>
    </row>
    <row r="12192" spans="2:6" x14ac:dyDescent="0.25">
      <c r="B12192" s="13" t="s">
        <v>22188</v>
      </c>
      <c r="C12192" s="17" t="s">
        <v>170</v>
      </c>
      <c r="D12192" s="13" t="s">
        <v>118</v>
      </c>
      <c r="E12192" s="13" t="s">
        <v>22189</v>
      </c>
      <c r="F12192" s="43">
        <v>82.4</v>
      </c>
    </row>
    <row r="12193" spans="2:6" x14ac:dyDescent="0.25">
      <c r="B12193" s="13" t="s">
        <v>22190</v>
      </c>
      <c r="C12193" s="17" t="s">
        <v>170</v>
      </c>
      <c r="D12193" s="13" t="s">
        <v>118</v>
      </c>
      <c r="E12193" s="13" t="s">
        <v>22191</v>
      </c>
      <c r="F12193" s="43">
        <v>86.87</v>
      </c>
    </row>
    <row r="12194" spans="2:6" x14ac:dyDescent="0.25">
      <c r="B12194" s="13" t="s">
        <v>22192</v>
      </c>
      <c r="C12194" s="17" t="s">
        <v>170</v>
      </c>
      <c r="D12194" s="13" t="s">
        <v>118</v>
      </c>
      <c r="E12194" s="13" t="s">
        <v>22193</v>
      </c>
      <c r="F12194" s="43">
        <v>101.67</v>
      </c>
    </row>
    <row r="12195" spans="2:6" x14ac:dyDescent="0.25">
      <c r="B12195" s="13" t="s">
        <v>22194</v>
      </c>
      <c r="C12195" s="17" t="s">
        <v>170</v>
      </c>
      <c r="D12195" s="13" t="s">
        <v>118</v>
      </c>
      <c r="E12195" s="13" t="s">
        <v>22195</v>
      </c>
      <c r="F12195" s="43">
        <v>82.4</v>
      </c>
    </row>
    <row r="12196" spans="2:6" x14ac:dyDescent="0.25">
      <c r="B12196" s="13" t="s">
        <v>22196</v>
      </c>
      <c r="C12196" s="17" t="s">
        <v>170</v>
      </c>
      <c r="D12196" s="13" t="s">
        <v>118</v>
      </c>
      <c r="E12196" s="13" t="s">
        <v>22197</v>
      </c>
      <c r="F12196" s="43">
        <v>86.87</v>
      </c>
    </row>
    <row r="12197" spans="2:6" x14ac:dyDescent="0.25">
      <c r="B12197" s="13" t="s">
        <v>22198</v>
      </c>
      <c r="C12197" s="17" t="s">
        <v>170</v>
      </c>
      <c r="D12197" s="13" t="s">
        <v>118</v>
      </c>
      <c r="E12197" s="13" t="s">
        <v>22199</v>
      </c>
      <c r="F12197" s="43">
        <v>101.67</v>
      </c>
    </row>
    <row r="12198" spans="2:6" x14ac:dyDescent="0.25">
      <c r="B12198" s="13" t="s">
        <v>22200</v>
      </c>
      <c r="C12198" s="17" t="s">
        <v>170</v>
      </c>
      <c r="D12198" s="13" t="s">
        <v>118</v>
      </c>
      <c r="E12198" s="13" t="s">
        <v>22201</v>
      </c>
      <c r="F12198" s="43">
        <v>158.82</v>
      </c>
    </row>
    <row r="12199" spans="2:6" x14ac:dyDescent="0.25">
      <c r="B12199" s="13" t="s">
        <v>22202</v>
      </c>
      <c r="C12199" s="17" t="s">
        <v>170</v>
      </c>
      <c r="D12199" s="13" t="s">
        <v>118</v>
      </c>
      <c r="E12199" s="13" t="s">
        <v>22203</v>
      </c>
      <c r="F12199" s="43">
        <v>166.97</v>
      </c>
    </row>
    <row r="12200" spans="2:6" x14ac:dyDescent="0.25">
      <c r="B12200" s="13" t="s">
        <v>22204</v>
      </c>
      <c r="C12200" s="17" t="s">
        <v>170</v>
      </c>
      <c r="D12200" s="13" t="s">
        <v>118</v>
      </c>
      <c r="E12200" s="13" t="s">
        <v>22205</v>
      </c>
      <c r="F12200" s="43">
        <v>171.24</v>
      </c>
    </row>
    <row r="12201" spans="2:6" x14ac:dyDescent="0.25">
      <c r="B12201" s="13" t="s">
        <v>22206</v>
      </c>
      <c r="C12201" s="17" t="s">
        <v>170</v>
      </c>
      <c r="D12201" s="13" t="s">
        <v>118</v>
      </c>
      <c r="E12201" s="13" t="s">
        <v>22207</v>
      </c>
      <c r="F12201" s="43">
        <v>158.82</v>
      </c>
    </row>
    <row r="12202" spans="2:6" x14ac:dyDescent="0.25">
      <c r="B12202" s="13" t="s">
        <v>22208</v>
      </c>
      <c r="C12202" s="17" t="s">
        <v>170</v>
      </c>
      <c r="D12202" s="13" t="s">
        <v>118</v>
      </c>
      <c r="E12202" s="13" t="s">
        <v>22209</v>
      </c>
      <c r="F12202" s="43">
        <v>178.44</v>
      </c>
    </row>
    <row r="12203" spans="2:6" x14ac:dyDescent="0.25">
      <c r="B12203" s="13" t="s">
        <v>22210</v>
      </c>
      <c r="C12203" s="17" t="s">
        <v>170</v>
      </c>
      <c r="D12203" s="13" t="s">
        <v>118</v>
      </c>
      <c r="E12203" s="13" t="s">
        <v>22211</v>
      </c>
      <c r="F12203" s="43">
        <v>191.75</v>
      </c>
    </row>
    <row r="12204" spans="2:6" x14ac:dyDescent="0.25">
      <c r="B12204" s="13" t="s">
        <v>22212</v>
      </c>
      <c r="C12204" s="17" t="s">
        <v>170</v>
      </c>
      <c r="D12204" s="13" t="s">
        <v>118</v>
      </c>
      <c r="E12204" s="13" t="s">
        <v>22213</v>
      </c>
      <c r="F12204" s="43">
        <v>130.02000000000001</v>
      </c>
    </row>
    <row r="12205" spans="2:6" x14ac:dyDescent="0.25">
      <c r="B12205" s="13" t="s">
        <v>22214</v>
      </c>
      <c r="C12205" s="17" t="s">
        <v>170</v>
      </c>
      <c r="D12205" s="13" t="s">
        <v>118</v>
      </c>
      <c r="E12205" s="13" t="s">
        <v>22215</v>
      </c>
      <c r="F12205" s="43">
        <v>144.13</v>
      </c>
    </row>
    <row r="12206" spans="2:6" x14ac:dyDescent="0.25">
      <c r="B12206" s="13" t="s">
        <v>22216</v>
      </c>
      <c r="C12206" s="17" t="s">
        <v>170</v>
      </c>
      <c r="D12206" s="13" t="s">
        <v>118</v>
      </c>
      <c r="E12206" s="13" t="s">
        <v>22217</v>
      </c>
      <c r="F12206" s="43">
        <v>169.83</v>
      </c>
    </row>
    <row r="12207" spans="2:6" x14ac:dyDescent="0.25">
      <c r="B12207" s="13" t="s">
        <v>22218</v>
      </c>
      <c r="C12207" s="17" t="s">
        <v>170</v>
      </c>
      <c r="D12207" s="13" t="s">
        <v>118</v>
      </c>
      <c r="E12207" s="13" t="s">
        <v>22219</v>
      </c>
      <c r="F12207" s="43">
        <v>298.7</v>
      </c>
    </row>
    <row r="12208" spans="2:6" x14ac:dyDescent="0.25">
      <c r="B12208" s="13" t="s">
        <v>22220</v>
      </c>
      <c r="C12208" s="17" t="s">
        <v>170</v>
      </c>
      <c r="D12208" s="13" t="s">
        <v>118</v>
      </c>
      <c r="E12208" s="13" t="s">
        <v>22221</v>
      </c>
      <c r="F12208" s="43">
        <v>316.70999999999998</v>
      </c>
    </row>
    <row r="12209" spans="2:6" x14ac:dyDescent="0.25">
      <c r="B12209" s="13" t="s">
        <v>22222</v>
      </c>
      <c r="C12209" s="17" t="s">
        <v>170</v>
      </c>
      <c r="D12209" s="13" t="s">
        <v>118</v>
      </c>
      <c r="E12209" s="13" t="s">
        <v>22223</v>
      </c>
      <c r="F12209" s="43">
        <v>345.4</v>
      </c>
    </row>
    <row r="12210" spans="2:6" x14ac:dyDescent="0.25">
      <c r="B12210" s="13" t="s">
        <v>22224</v>
      </c>
      <c r="C12210" s="17" t="s">
        <v>170</v>
      </c>
      <c r="D12210" s="13" t="s">
        <v>118</v>
      </c>
      <c r="E12210" s="13" t="s">
        <v>22225</v>
      </c>
      <c r="F12210" s="43">
        <v>222.62</v>
      </c>
    </row>
    <row r="12211" spans="2:6" x14ac:dyDescent="0.25">
      <c r="B12211" s="13" t="s">
        <v>22226</v>
      </c>
      <c r="C12211" s="17" t="s">
        <v>170</v>
      </c>
      <c r="D12211" s="13" t="s">
        <v>118</v>
      </c>
      <c r="E12211" s="13" t="s">
        <v>22227</v>
      </c>
      <c r="F12211" s="43">
        <v>239.83</v>
      </c>
    </row>
    <row r="12212" spans="2:6" x14ac:dyDescent="0.25">
      <c r="B12212" s="13" t="s">
        <v>22228</v>
      </c>
      <c r="C12212" s="17" t="s">
        <v>170</v>
      </c>
      <c r="D12212" s="13" t="s">
        <v>118</v>
      </c>
      <c r="E12212" s="13" t="s">
        <v>22229</v>
      </c>
      <c r="F12212" s="43">
        <v>251.31</v>
      </c>
    </row>
    <row r="12213" spans="2:6" x14ac:dyDescent="0.25">
      <c r="B12213" s="13" t="s">
        <v>22230</v>
      </c>
      <c r="C12213" s="17" t="s">
        <v>170</v>
      </c>
      <c r="D12213" s="13" t="s">
        <v>118</v>
      </c>
      <c r="E12213" s="13" t="s">
        <v>22231</v>
      </c>
      <c r="F12213" s="43">
        <v>222.62</v>
      </c>
    </row>
    <row r="12214" spans="2:6" x14ac:dyDescent="0.25">
      <c r="B12214" s="13" t="s">
        <v>22232</v>
      </c>
      <c r="C12214" s="17" t="s">
        <v>170</v>
      </c>
      <c r="D12214" s="13" t="s">
        <v>118</v>
      </c>
      <c r="E12214" s="13" t="s">
        <v>22233</v>
      </c>
      <c r="F12214" s="43">
        <v>239.83</v>
      </c>
    </row>
    <row r="12215" spans="2:6" x14ac:dyDescent="0.25">
      <c r="B12215" s="13" t="s">
        <v>22234</v>
      </c>
      <c r="C12215" s="17" t="s">
        <v>170</v>
      </c>
      <c r="D12215" s="13" t="s">
        <v>118</v>
      </c>
      <c r="E12215" s="13" t="s">
        <v>22235</v>
      </c>
      <c r="F12215" s="43">
        <v>251.31</v>
      </c>
    </row>
    <row r="12216" spans="2:6" x14ac:dyDescent="0.25">
      <c r="B12216" s="13" t="s">
        <v>22236</v>
      </c>
      <c r="C12216" s="17" t="s">
        <v>170</v>
      </c>
      <c r="D12216" s="13" t="s">
        <v>118</v>
      </c>
      <c r="E12216" s="13" t="s">
        <v>22237</v>
      </c>
      <c r="F12216" s="43">
        <v>349.99</v>
      </c>
    </row>
    <row r="12217" spans="2:6" x14ac:dyDescent="0.25">
      <c r="B12217" s="13" t="s">
        <v>22238</v>
      </c>
      <c r="C12217" s="17" t="s">
        <v>170</v>
      </c>
      <c r="D12217" s="13" t="s">
        <v>118</v>
      </c>
      <c r="E12217" s="13" t="s">
        <v>22239</v>
      </c>
      <c r="F12217" s="43">
        <v>373.06</v>
      </c>
    </row>
    <row r="12218" spans="2:6" x14ac:dyDescent="0.25">
      <c r="B12218" s="13" t="s">
        <v>22240</v>
      </c>
      <c r="C12218" s="17" t="s">
        <v>170</v>
      </c>
      <c r="D12218" s="13" t="s">
        <v>118</v>
      </c>
      <c r="E12218" s="13" t="s">
        <v>22241</v>
      </c>
      <c r="F12218" s="43">
        <v>410.58</v>
      </c>
    </row>
    <row r="12219" spans="2:6" x14ac:dyDescent="0.25">
      <c r="B12219" s="13" t="s">
        <v>22242</v>
      </c>
      <c r="C12219" s="17" t="s">
        <v>170</v>
      </c>
      <c r="D12219" s="13" t="s">
        <v>118</v>
      </c>
      <c r="E12219" s="13" t="s">
        <v>22243</v>
      </c>
      <c r="F12219" s="43">
        <v>240.98</v>
      </c>
    </row>
    <row r="12220" spans="2:6" x14ac:dyDescent="0.25">
      <c r="B12220" s="13" t="s">
        <v>22244</v>
      </c>
      <c r="C12220" s="17" t="s">
        <v>170</v>
      </c>
      <c r="D12220" s="13" t="s">
        <v>118</v>
      </c>
      <c r="E12220" s="13" t="s">
        <v>22245</v>
      </c>
      <c r="F12220" s="43">
        <v>349.42</v>
      </c>
    </row>
    <row r="12221" spans="2:6" x14ac:dyDescent="0.25">
      <c r="B12221" s="13" t="s">
        <v>22246</v>
      </c>
      <c r="C12221" s="17" t="s">
        <v>170</v>
      </c>
      <c r="D12221" s="13" t="s">
        <v>118</v>
      </c>
      <c r="E12221" s="13" t="s">
        <v>22247</v>
      </c>
      <c r="F12221" s="43">
        <v>542.20000000000005</v>
      </c>
    </row>
    <row r="12222" spans="2:6" x14ac:dyDescent="0.25">
      <c r="B12222" s="13" t="s">
        <v>22248</v>
      </c>
      <c r="C12222" s="17" t="s">
        <v>170</v>
      </c>
      <c r="D12222" s="13" t="s">
        <v>118</v>
      </c>
      <c r="E12222" s="13" t="s">
        <v>22249</v>
      </c>
      <c r="F12222" s="43">
        <v>807.27</v>
      </c>
    </row>
    <row r="12223" spans="2:6" x14ac:dyDescent="0.25">
      <c r="B12223" s="13" t="s">
        <v>22250</v>
      </c>
      <c r="C12223" s="17" t="s">
        <v>170</v>
      </c>
      <c r="D12223" s="13" t="s">
        <v>118</v>
      </c>
      <c r="E12223" s="13" t="s">
        <v>22251</v>
      </c>
      <c r="F12223" s="43">
        <v>265.08</v>
      </c>
    </row>
    <row r="12224" spans="2:6" x14ac:dyDescent="0.25">
      <c r="B12224" s="13" t="s">
        <v>22252</v>
      </c>
      <c r="C12224" s="17" t="s">
        <v>170</v>
      </c>
      <c r="D12224" s="13" t="s">
        <v>118</v>
      </c>
      <c r="E12224" s="13" t="s">
        <v>22253</v>
      </c>
      <c r="F12224" s="43">
        <v>385.56</v>
      </c>
    </row>
    <row r="12225" spans="2:6" x14ac:dyDescent="0.25">
      <c r="B12225" s="13" t="s">
        <v>22254</v>
      </c>
      <c r="C12225" s="17" t="s">
        <v>170</v>
      </c>
      <c r="D12225" s="13" t="s">
        <v>118</v>
      </c>
      <c r="E12225" s="13" t="s">
        <v>22255</v>
      </c>
      <c r="F12225" s="43">
        <v>566.29999999999995</v>
      </c>
    </row>
    <row r="12226" spans="2:6" x14ac:dyDescent="0.25">
      <c r="B12226" s="13" t="s">
        <v>22256</v>
      </c>
      <c r="C12226" s="17" t="s">
        <v>170</v>
      </c>
      <c r="D12226" s="13" t="s">
        <v>118</v>
      </c>
      <c r="E12226" s="13" t="s">
        <v>22257</v>
      </c>
      <c r="F12226" s="43">
        <v>1036.2</v>
      </c>
    </row>
    <row r="12227" spans="2:6" x14ac:dyDescent="0.25">
      <c r="B12227" s="13" t="s">
        <v>22258</v>
      </c>
      <c r="C12227" s="17" t="s">
        <v>170</v>
      </c>
      <c r="D12227" s="13" t="s">
        <v>118</v>
      </c>
      <c r="E12227" s="13" t="s">
        <v>22259</v>
      </c>
      <c r="F12227" s="43">
        <v>871.65</v>
      </c>
    </row>
    <row r="12228" spans="2:6" x14ac:dyDescent="0.25">
      <c r="B12228" s="13" t="s">
        <v>22260</v>
      </c>
      <c r="C12228" s="17" t="s">
        <v>170</v>
      </c>
      <c r="D12228" s="13" t="s">
        <v>118</v>
      </c>
      <c r="E12228" s="13" t="s">
        <v>22261</v>
      </c>
      <c r="F12228" s="43">
        <v>925.49</v>
      </c>
    </row>
    <row r="12229" spans="2:6" x14ac:dyDescent="0.25">
      <c r="B12229" s="13" t="s">
        <v>22262</v>
      </c>
      <c r="C12229" s="17" t="s">
        <v>170</v>
      </c>
      <c r="D12229" s="13" t="s">
        <v>118</v>
      </c>
      <c r="E12229" s="13" t="s">
        <v>22263</v>
      </c>
      <c r="F12229" s="43">
        <v>1021.05</v>
      </c>
    </row>
    <row r="12230" spans="2:6" x14ac:dyDescent="0.25">
      <c r="B12230" s="13" t="s">
        <v>22264</v>
      </c>
      <c r="C12230" s="17" t="s">
        <v>170</v>
      </c>
      <c r="D12230" s="13" t="s">
        <v>118</v>
      </c>
      <c r="E12230" s="13" t="s">
        <v>22265</v>
      </c>
      <c r="F12230" s="43">
        <v>1175.96</v>
      </c>
    </row>
    <row r="12231" spans="2:6" x14ac:dyDescent="0.25">
      <c r="B12231" s="13" t="s">
        <v>22266</v>
      </c>
      <c r="C12231" s="17" t="s">
        <v>170</v>
      </c>
      <c r="D12231" s="13" t="s">
        <v>118</v>
      </c>
      <c r="E12231" s="13" t="s">
        <v>22267</v>
      </c>
      <c r="F12231" s="43">
        <v>1393.53</v>
      </c>
    </row>
    <row r="12232" spans="2:6" x14ac:dyDescent="0.25">
      <c r="B12232" s="13" t="s">
        <v>22268</v>
      </c>
      <c r="C12232" s="17" t="s">
        <v>170</v>
      </c>
      <c r="D12232" s="13" t="s">
        <v>118</v>
      </c>
      <c r="E12232" s="13" t="s">
        <v>22269</v>
      </c>
      <c r="F12232" s="43">
        <v>1034.1300000000001</v>
      </c>
    </row>
    <row r="12233" spans="2:6" x14ac:dyDescent="0.25">
      <c r="B12233" s="13" t="s">
        <v>22270</v>
      </c>
      <c r="C12233" s="17" t="s">
        <v>170</v>
      </c>
      <c r="D12233" s="13" t="s">
        <v>118</v>
      </c>
      <c r="E12233" s="13" t="s">
        <v>22271</v>
      </c>
      <c r="F12233" s="43">
        <v>1121.71</v>
      </c>
    </row>
    <row r="12234" spans="2:6" x14ac:dyDescent="0.25">
      <c r="B12234" s="13" t="s">
        <v>22272</v>
      </c>
      <c r="C12234" s="17" t="s">
        <v>170</v>
      </c>
      <c r="D12234" s="13" t="s">
        <v>118</v>
      </c>
      <c r="E12234" s="13" t="s">
        <v>22273</v>
      </c>
      <c r="F12234" s="43">
        <v>1229.3900000000001</v>
      </c>
    </row>
    <row r="12235" spans="2:6" x14ac:dyDescent="0.25">
      <c r="B12235" s="13" t="s">
        <v>22274</v>
      </c>
      <c r="C12235" s="17" t="s">
        <v>170</v>
      </c>
      <c r="D12235" s="13" t="s">
        <v>118</v>
      </c>
      <c r="E12235" s="13" t="s">
        <v>22275</v>
      </c>
      <c r="F12235" s="43">
        <v>1353.6</v>
      </c>
    </row>
    <row r="12236" spans="2:6" x14ac:dyDescent="0.25">
      <c r="B12236" s="13" t="s">
        <v>22276</v>
      </c>
      <c r="C12236" s="17" t="s">
        <v>170</v>
      </c>
      <c r="D12236" s="13" t="s">
        <v>118</v>
      </c>
      <c r="E12236" s="13" t="s">
        <v>22277</v>
      </c>
      <c r="F12236" s="43">
        <v>1637.26</v>
      </c>
    </row>
    <row r="12237" spans="2:6" x14ac:dyDescent="0.25">
      <c r="B12237" s="13" t="s">
        <v>22278</v>
      </c>
      <c r="C12237" s="17" t="s">
        <v>170</v>
      </c>
      <c r="D12237" s="13" t="s">
        <v>118</v>
      </c>
      <c r="E12237" s="13" t="s">
        <v>22279</v>
      </c>
      <c r="F12237" s="43">
        <v>911.58</v>
      </c>
    </row>
    <row r="12238" spans="2:6" x14ac:dyDescent="0.25">
      <c r="B12238" s="13" t="s">
        <v>22280</v>
      </c>
      <c r="C12238" s="17" t="s">
        <v>170</v>
      </c>
      <c r="D12238" s="13" t="s">
        <v>118</v>
      </c>
      <c r="E12238" s="13" t="s">
        <v>22281</v>
      </c>
      <c r="F12238" s="43">
        <v>975.06</v>
      </c>
    </row>
    <row r="12239" spans="2:6" x14ac:dyDescent="0.25">
      <c r="B12239" s="13" t="s">
        <v>22282</v>
      </c>
      <c r="C12239" s="17" t="s">
        <v>170</v>
      </c>
      <c r="D12239" s="13" t="s">
        <v>118</v>
      </c>
      <c r="E12239" s="13" t="s">
        <v>22283</v>
      </c>
      <c r="F12239" s="43">
        <v>1075.72</v>
      </c>
    </row>
    <row r="12240" spans="2:6" x14ac:dyDescent="0.25">
      <c r="B12240" s="13" t="s">
        <v>22284</v>
      </c>
      <c r="C12240" s="17" t="s">
        <v>170</v>
      </c>
      <c r="D12240" s="13" t="s">
        <v>118</v>
      </c>
      <c r="E12240" s="13" t="s">
        <v>22285</v>
      </c>
      <c r="F12240" s="43">
        <v>1218.51</v>
      </c>
    </row>
    <row r="12241" spans="2:6" x14ac:dyDescent="0.25">
      <c r="B12241" s="13" t="s">
        <v>22286</v>
      </c>
      <c r="C12241" s="17" t="s">
        <v>170</v>
      </c>
      <c r="D12241" s="13" t="s">
        <v>118</v>
      </c>
      <c r="E12241" s="13" t="s">
        <v>22287</v>
      </c>
      <c r="F12241" s="43">
        <v>1457.56</v>
      </c>
    </row>
    <row r="12242" spans="2:6" x14ac:dyDescent="0.25">
      <c r="B12242" s="13" t="s">
        <v>22288</v>
      </c>
      <c r="C12242" s="17" t="s">
        <v>170</v>
      </c>
      <c r="D12242" s="13" t="s">
        <v>118</v>
      </c>
      <c r="E12242" s="13" t="s">
        <v>22289</v>
      </c>
      <c r="F12242" s="43">
        <v>1061.67</v>
      </c>
    </row>
    <row r="12243" spans="2:6" x14ac:dyDescent="0.25">
      <c r="B12243" s="13" t="s">
        <v>22290</v>
      </c>
      <c r="C12243" s="17" t="s">
        <v>170</v>
      </c>
      <c r="D12243" s="13" t="s">
        <v>118</v>
      </c>
      <c r="E12243" s="13" t="s">
        <v>22291</v>
      </c>
      <c r="F12243" s="43">
        <v>1136.72</v>
      </c>
    </row>
    <row r="12244" spans="2:6" x14ac:dyDescent="0.25">
      <c r="B12244" s="13" t="s">
        <v>22292</v>
      </c>
      <c r="C12244" s="17" t="s">
        <v>170</v>
      </c>
      <c r="D12244" s="13" t="s">
        <v>118</v>
      </c>
      <c r="E12244" s="13" t="s">
        <v>22293</v>
      </c>
      <c r="F12244" s="43">
        <v>1258.03</v>
      </c>
    </row>
    <row r="12245" spans="2:6" x14ac:dyDescent="0.25">
      <c r="B12245" s="13" t="s">
        <v>22294</v>
      </c>
      <c r="C12245" s="17" t="s">
        <v>170</v>
      </c>
      <c r="D12245" s="13" t="s">
        <v>118</v>
      </c>
      <c r="E12245" s="13" t="s">
        <v>22295</v>
      </c>
      <c r="F12245" s="43">
        <v>1400.69</v>
      </c>
    </row>
    <row r="12246" spans="2:6" x14ac:dyDescent="0.25">
      <c r="B12246" s="13" t="s">
        <v>22296</v>
      </c>
      <c r="C12246" s="17" t="s">
        <v>170</v>
      </c>
      <c r="D12246" s="13" t="s">
        <v>118</v>
      </c>
      <c r="E12246" s="13" t="s">
        <v>22297</v>
      </c>
      <c r="F12246" s="43">
        <v>1692.2</v>
      </c>
    </row>
    <row r="12247" spans="2:6" x14ac:dyDescent="0.25">
      <c r="B12247" s="13" t="s">
        <v>22298</v>
      </c>
      <c r="C12247" s="17" t="s">
        <v>170</v>
      </c>
      <c r="D12247" s="13" t="s">
        <v>118</v>
      </c>
      <c r="E12247" s="13" t="s">
        <v>22299</v>
      </c>
      <c r="F12247" s="43">
        <v>902.22</v>
      </c>
    </row>
    <row r="12248" spans="2:6" x14ac:dyDescent="0.25">
      <c r="B12248" s="13" t="s">
        <v>22300</v>
      </c>
      <c r="C12248" s="17" t="s">
        <v>170</v>
      </c>
      <c r="D12248" s="13" t="s">
        <v>118</v>
      </c>
      <c r="E12248" s="13" t="s">
        <v>22301</v>
      </c>
      <c r="F12248" s="43">
        <v>961.98</v>
      </c>
    </row>
    <row r="12249" spans="2:6" x14ac:dyDescent="0.25">
      <c r="B12249" s="13" t="s">
        <v>22302</v>
      </c>
      <c r="C12249" s="17" t="s">
        <v>170</v>
      </c>
      <c r="D12249" s="13" t="s">
        <v>118</v>
      </c>
      <c r="E12249" s="13" t="s">
        <v>22303</v>
      </c>
      <c r="F12249" s="43">
        <v>1056.44</v>
      </c>
    </row>
    <row r="12250" spans="2:6" x14ac:dyDescent="0.25">
      <c r="B12250" s="13" t="s">
        <v>22304</v>
      </c>
      <c r="C12250" s="17" t="s">
        <v>170</v>
      </c>
      <c r="D12250" s="13" t="s">
        <v>118</v>
      </c>
      <c r="E12250" s="13" t="s">
        <v>22305</v>
      </c>
      <c r="F12250" s="43">
        <v>1193.73</v>
      </c>
    </row>
    <row r="12251" spans="2:6" x14ac:dyDescent="0.25">
      <c r="B12251" s="13" t="s">
        <v>22306</v>
      </c>
      <c r="C12251" s="17" t="s">
        <v>170</v>
      </c>
      <c r="D12251" s="13" t="s">
        <v>118</v>
      </c>
      <c r="E12251" s="13" t="s">
        <v>22307</v>
      </c>
      <c r="F12251" s="43">
        <v>1415.84</v>
      </c>
    </row>
    <row r="12252" spans="2:6" x14ac:dyDescent="0.25">
      <c r="B12252" s="13" t="s">
        <v>22308</v>
      </c>
      <c r="C12252" s="17" t="s">
        <v>170</v>
      </c>
      <c r="D12252" s="13" t="s">
        <v>118</v>
      </c>
      <c r="E12252" s="13" t="s">
        <v>22309</v>
      </c>
      <c r="F12252" s="43">
        <v>1127.77</v>
      </c>
    </row>
    <row r="12253" spans="2:6" x14ac:dyDescent="0.25">
      <c r="B12253" s="13" t="s">
        <v>22310</v>
      </c>
      <c r="C12253" s="17" t="s">
        <v>170</v>
      </c>
      <c r="D12253" s="13" t="s">
        <v>118</v>
      </c>
      <c r="E12253" s="13" t="s">
        <v>22311</v>
      </c>
      <c r="F12253" s="43">
        <v>1202.54</v>
      </c>
    </row>
    <row r="12254" spans="2:6" x14ac:dyDescent="0.25">
      <c r="B12254" s="13" t="s">
        <v>22312</v>
      </c>
      <c r="C12254" s="17" t="s">
        <v>170</v>
      </c>
      <c r="D12254" s="13" t="s">
        <v>118</v>
      </c>
      <c r="E12254" s="13" t="s">
        <v>22313</v>
      </c>
      <c r="F12254" s="43">
        <v>1320.55</v>
      </c>
    </row>
    <row r="12255" spans="2:6" x14ac:dyDescent="0.25">
      <c r="B12255" s="13" t="s">
        <v>22314</v>
      </c>
      <c r="C12255" s="17" t="s">
        <v>170</v>
      </c>
      <c r="D12255" s="13" t="s">
        <v>118</v>
      </c>
      <c r="E12255" s="13" t="s">
        <v>22315</v>
      </c>
      <c r="F12255" s="43">
        <v>1455.77</v>
      </c>
    </row>
    <row r="12256" spans="2:6" x14ac:dyDescent="0.25">
      <c r="B12256" s="13" t="s">
        <v>22316</v>
      </c>
      <c r="C12256" s="17" t="s">
        <v>170</v>
      </c>
      <c r="D12256" s="13" t="s">
        <v>118</v>
      </c>
      <c r="E12256" s="13" t="s">
        <v>22317</v>
      </c>
      <c r="F12256" s="43">
        <v>1769.86</v>
      </c>
    </row>
    <row r="12257" spans="2:6" x14ac:dyDescent="0.25">
      <c r="B12257" s="13" t="s">
        <v>22318</v>
      </c>
      <c r="C12257" s="17" t="s">
        <v>170</v>
      </c>
      <c r="D12257" s="13" t="s">
        <v>118</v>
      </c>
      <c r="E12257" s="13" t="s">
        <v>22319</v>
      </c>
      <c r="F12257" s="43">
        <v>995.71</v>
      </c>
    </row>
    <row r="12258" spans="2:6" x14ac:dyDescent="0.25">
      <c r="B12258" s="13" t="s">
        <v>22320</v>
      </c>
      <c r="C12258" s="17" t="s">
        <v>170</v>
      </c>
      <c r="D12258" s="13" t="s">
        <v>118</v>
      </c>
      <c r="E12258" s="13" t="s">
        <v>22321</v>
      </c>
      <c r="F12258" s="43">
        <v>1089.21</v>
      </c>
    </row>
    <row r="12259" spans="2:6" x14ac:dyDescent="0.25">
      <c r="B12259" s="13" t="s">
        <v>22322</v>
      </c>
      <c r="C12259" s="17" t="s">
        <v>170</v>
      </c>
      <c r="D12259" s="13" t="s">
        <v>118</v>
      </c>
      <c r="E12259" s="13" t="s">
        <v>22323</v>
      </c>
      <c r="F12259" s="43">
        <v>1180.0899999999999</v>
      </c>
    </row>
    <row r="12260" spans="2:6" x14ac:dyDescent="0.25">
      <c r="B12260" s="13" t="s">
        <v>22324</v>
      </c>
      <c r="C12260" s="17" t="s">
        <v>170</v>
      </c>
      <c r="D12260" s="13" t="s">
        <v>118</v>
      </c>
      <c r="E12260" s="13" t="s">
        <v>22325</v>
      </c>
      <c r="F12260" s="43">
        <v>1296.8599999999999</v>
      </c>
    </row>
    <row r="12261" spans="2:6" x14ac:dyDescent="0.25">
      <c r="B12261" s="13" t="s">
        <v>22326</v>
      </c>
      <c r="C12261" s="17" t="s">
        <v>170</v>
      </c>
      <c r="D12261" s="13" t="s">
        <v>118</v>
      </c>
      <c r="E12261" s="13" t="s">
        <v>22327</v>
      </c>
      <c r="F12261" s="43">
        <v>1509.89</v>
      </c>
    </row>
    <row r="12262" spans="2:6" x14ac:dyDescent="0.25">
      <c r="B12262" s="13" t="s">
        <v>22328</v>
      </c>
      <c r="C12262" s="17" t="s">
        <v>170</v>
      </c>
      <c r="D12262" s="13" t="s">
        <v>118</v>
      </c>
      <c r="E12262" s="13" t="s">
        <v>22329</v>
      </c>
      <c r="F12262" s="43">
        <v>1254.45</v>
      </c>
    </row>
    <row r="12263" spans="2:6" x14ac:dyDescent="0.25">
      <c r="B12263" s="13" t="s">
        <v>22330</v>
      </c>
      <c r="C12263" s="17" t="s">
        <v>170</v>
      </c>
      <c r="D12263" s="13" t="s">
        <v>118</v>
      </c>
      <c r="E12263" s="13" t="s">
        <v>22331</v>
      </c>
      <c r="F12263" s="43">
        <v>1325.92</v>
      </c>
    </row>
    <row r="12264" spans="2:6" x14ac:dyDescent="0.25">
      <c r="B12264" s="13" t="s">
        <v>22332</v>
      </c>
      <c r="C12264" s="17" t="s">
        <v>170</v>
      </c>
      <c r="D12264" s="13" t="s">
        <v>118</v>
      </c>
      <c r="E12264" s="13" t="s">
        <v>22333</v>
      </c>
      <c r="F12264" s="43">
        <v>1452.74</v>
      </c>
    </row>
    <row r="12265" spans="2:6" x14ac:dyDescent="0.25">
      <c r="B12265" s="13" t="s">
        <v>22334</v>
      </c>
      <c r="C12265" s="17" t="s">
        <v>170</v>
      </c>
      <c r="D12265" s="13" t="s">
        <v>118</v>
      </c>
      <c r="E12265" s="13" t="s">
        <v>22335</v>
      </c>
      <c r="F12265" s="43">
        <v>1584.38</v>
      </c>
    </row>
    <row r="12266" spans="2:6" x14ac:dyDescent="0.25">
      <c r="B12266" s="13" t="s">
        <v>22336</v>
      </c>
      <c r="C12266" s="17" t="s">
        <v>170</v>
      </c>
      <c r="D12266" s="13" t="s">
        <v>118</v>
      </c>
      <c r="E12266" s="13" t="s">
        <v>22337</v>
      </c>
      <c r="F12266" s="43">
        <v>1899.16</v>
      </c>
    </row>
    <row r="12267" spans="2:6" x14ac:dyDescent="0.25">
      <c r="B12267" s="13" t="s">
        <v>22338</v>
      </c>
      <c r="C12267" s="17" t="s">
        <v>170</v>
      </c>
      <c r="D12267" s="13" t="s">
        <v>118</v>
      </c>
      <c r="E12267" s="13" t="s">
        <v>22339</v>
      </c>
      <c r="F12267" s="43">
        <v>2152.2600000000002</v>
      </c>
    </row>
    <row r="12268" spans="2:6" x14ac:dyDescent="0.25">
      <c r="B12268" s="13" t="s">
        <v>22340</v>
      </c>
      <c r="C12268" s="17" t="s">
        <v>170</v>
      </c>
      <c r="D12268" s="13" t="s">
        <v>118</v>
      </c>
      <c r="E12268" s="13" t="s">
        <v>22341</v>
      </c>
      <c r="F12268" s="43">
        <v>918.74</v>
      </c>
    </row>
    <row r="12269" spans="2:6" x14ac:dyDescent="0.25">
      <c r="B12269" s="13" t="s">
        <v>22342</v>
      </c>
      <c r="C12269" s="17" t="s">
        <v>170</v>
      </c>
      <c r="D12269" s="13" t="s">
        <v>118</v>
      </c>
      <c r="E12269" s="13" t="s">
        <v>22343</v>
      </c>
      <c r="F12269" s="43">
        <v>1005.77</v>
      </c>
    </row>
    <row r="12270" spans="2:6" x14ac:dyDescent="0.25">
      <c r="B12270" s="13" t="s">
        <v>22344</v>
      </c>
      <c r="C12270" s="17" t="s">
        <v>170</v>
      </c>
      <c r="D12270" s="13" t="s">
        <v>118</v>
      </c>
      <c r="E12270" s="13" t="s">
        <v>22345</v>
      </c>
      <c r="F12270" s="43">
        <v>1100.5</v>
      </c>
    </row>
    <row r="12271" spans="2:6" x14ac:dyDescent="0.25">
      <c r="B12271" s="13" t="s">
        <v>22346</v>
      </c>
      <c r="C12271" s="17" t="s">
        <v>170</v>
      </c>
      <c r="D12271" s="13" t="s">
        <v>118</v>
      </c>
      <c r="E12271" s="13" t="s">
        <v>22347</v>
      </c>
      <c r="F12271" s="43">
        <v>1222.92</v>
      </c>
    </row>
    <row r="12272" spans="2:6" x14ac:dyDescent="0.25">
      <c r="B12272" s="13" t="s">
        <v>22348</v>
      </c>
      <c r="C12272" s="17" t="s">
        <v>170</v>
      </c>
      <c r="D12272" s="13" t="s">
        <v>118</v>
      </c>
      <c r="E12272" s="13" t="s">
        <v>22349</v>
      </c>
      <c r="F12272" s="43">
        <v>1435.53</v>
      </c>
    </row>
    <row r="12273" spans="2:6" x14ac:dyDescent="0.25">
      <c r="B12273" s="13" t="s">
        <v>22350</v>
      </c>
      <c r="C12273" s="17" t="s">
        <v>170</v>
      </c>
      <c r="D12273" s="13" t="s">
        <v>118</v>
      </c>
      <c r="E12273" s="13" t="s">
        <v>22351</v>
      </c>
      <c r="F12273" s="43">
        <v>1148.56</v>
      </c>
    </row>
    <row r="12274" spans="2:6" x14ac:dyDescent="0.25">
      <c r="B12274" s="13" t="s">
        <v>22352</v>
      </c>
      <c r="C12274" s="17" t="s">
        <v>170</v>
      </c>
      <c r="D12274" s="13" t="s">
        <v>118</v>
      </c>
      <c r="E12274" s="13" t="s">
        <v>22353</v>
      </c>
      <c r="F12274" s="43">
        <v>1223.19</v>
      </c>
    </row>
    <row r="12275" spans="2:6" x14ac:dyDescent="0.25">
      <c r="B12275" s="13" t="s">
        <v>22354</v>
      </c>
      <c r="C12275" s="17" t="s">
        <v>170</v>
      </c>
      <c r="D12275" s="13" t="s">
        <v>118</v>
      </c>
      <c r="E12275" s="13" t="s">
        <v>22355</v>
      </c>
      <c r="F12275" s="43">
        <v>1341.2</v>
      </c>
    </row>
    <row r="12276" spans="2:6" x14ac:dyDescent="0.25">
      <c r="B12276" s="13" t="s">
        <v>22356</v>
      </c>
      <c r="C12276" s="17" t="s">
        <v>170</v>
      </c>
      <c r="D12276" s="13" t="s">
        <v>118</v>
      </c>
      <c r="E12276" s="13" t="s">
        <v>22357</v>
      </c>
      <c r="F12276" s="43">
        <v>1476.42</v>
      </c>
    </row>
    <row r="12277" spans="2:6" x14ac:dyDescent="0.25">
      <c r="B12277" s="13" t="s">
        <v>22358</v>
      </c>
      <c r="C12277" s="17" t="s">
        <v>170</v>
      </c>
      <c r="D12277" s="13" t="s">
        <v>118</v>
      </c>
      <c r="E12277" s="13" t="s">
        <v>22359</v>
      </c>
      <c r="F12277" s="43">
        <v>1790.52</v>
      </c>
    </row>
    <row r="12278" spans="2:6" x14ac:dyDescent="0.25">
      <c r="B12278" s="13" t="s">
        <v>22360</v>
      </c>
      <c r="C12278" s="17" t="s">
        <v>170</v>
      </c>
      <c r="D12278" s="13" t="s">
        <v>118</v>
      </c>
      <c r="E12278" s="13" t="s">
        <v>22361</v>
      </c>
      <c r="F12278" s="43">
        <v>1113.31</v>
      </c>
    </row>
    <row r="12279" spans="2:6" x14ac:dyDescent="0.25">
      <c r="B12279" s="13" t="s">
        <v>22362</v>
      </c>
      <c r="C12279" s="17" t="s">
        <v>170</v>
      </c>
      <c r="D12279" s="13" t="s">
        <v>118</v>
      </c>
      <c r="E12279" s="13" t="s">
        <v>22363</v>
      </c>
      <c r="F12279" s="43">
        <v>1174.04</v>
      </c>
    </row>
    <row r="12280" spans="2:6" x14ac:dyDescent="0.25">
      <c r="B12280" s="13" t="s">
        <v>22364</v>
      </c>
      <c r="C12280" s="17" t="s">
        <v>170</v>
      </c>
      <c r="D12280" s="13" t="s">
        <v>118</v>
      </c>
      <c r="E12280" s="13" t="s">
        <v>22365</v>
      </c>
      <c r="F12280" s="43">
        <v>1271.3900000000001</v>
      </c>
    </row>
    <row r="12281" spans="2:6" x14ac:dyDescent="0.25">
      <c r="B12281" s="13" t="s">
        <v>22366</v>
      </c>
      <c r="C12281" s="17" t="s">
        <v>170</v>
      </c>
      <c r="D12281" s="13" t="s">
        <v>118</v>
      </c>
      <c r="E12281" s="13" t="s">
        <v>22367</v>
      </c>
      <c r="F12281" s="43">
        <v>1410.33</v>
      </c>
    </row>
    <row r="12282" spans="2:6" x14ac:dyDescent="0.25">
      <c r="B12282" s="13" t="s">
        <v>22368</v>
      </c>
      <c r="C12282" s="17" t="s">
        <v>170</v>
      </c>
      <c r="D12282" s="13" t="s">
        <v>118</v>
      </c>
      <c r="E12282" s="13" t="s">
        <v>22369</v>
      </c>
      <c r="F12282" s="43">
        <v>1496.53</v>
      </c>
    </row>
    <row r="12283" spans="2:6" x14ac:dyDescent="0.25">
      <c r="B12283" s="13" t="s">
        <v>22370</v>
      </c>
      <c r="C12283" s="17" t="s">
        <v>170</v>
      </c>
      <c r="D12283" s="13" t="s">
        <v>118</v>
      </c>
      <c r="E12283" s="13" t="s">
        <v>22371</v>
      </c>
      <c r="F12283" s="43">
        <v>1391.46</v>
      </c>
    </row>
    <row r="12284" spans="2:6" x14ac:dyDescent="0.25">
      <c r="B12284" s="13" t="s">
        <v>22372</v>
      </c>
      <c r="C12284" s="17" t="s">
        <v>170</v>
      </c>
      <c r="D12284" s="13" t="s">
        <v>118</v>
      </c>
      <c r="E12284" s="13" t="s">
        <v>22373</v>
      </c>
      <c r="F12284" s="43">
        <v>1466.1</v>
      </c>
    </row>
    <row r="12285" spans="2:6" x14ac:dyDescent="0.25">
      <c r="B12285" s="13" t="s">
        <v>22374</v>
      </c>
      <c r="C12285" s="17" t="s">
        <v>170</v>
      </c>
      <c r="D12285" s="13" t="s">
        <v>118</v>
      </c>
      <c r="E12285" s="13" t="s">
        <v>22375</v>
      </c>
      <c r="F12285" s="43">
        <v>1584.11</v>
      </c>
    </row>
    <row r="12286" spans="2:6" x14ac:dyDescent="0.25">
      <c r="B12286" s="13" t="s">
        <v>22376</v>
      </c>
      <c r="C12286" s="17" t="s">
        <v>170</v>
      </c>
      <c r="D12286" s="13" t="s">
        <v>118</v>
      </c>
      <c r="E12286" s="13" t="s">
        <v>22377</v>
      </c>
      <c r="F12286" s="43">
        <v>1719.46</v>
      </c>
    </row>
    <row r="12287" spans="2:6" x14ac:dyDescent="0.25">
      <c r="B12287" s="13" t="s">
        <v>22378</v>
      </c>
      <c r="C12287" s="17" t="s">
        <v>170</v>
      </c>
      <c r="D12287" s="13" t="s">
        <v>118</v>
      </c>
      <c r="E12287" s="13" t="s">
        <v>22379</v>
      </c>
      <c r="F12287" s="43">
        <v>1847.8</v>
      </c>
    </row>
    <row r="12288" spans="2:6" x14ac:dyDescent="0.25">
      <c r="B12288" s="13" t="s">
        <v>22380</v>
      </c>
      <c r="C12288" s="17" t="s">
        <v>170</v>
      </c>
      <c r="D12288" s="13" t="s">
        <v>118</v>
      </c>
      <c r="E12288" s="13" t="s">
        <v>22381</v>
      </c>
      <c r="F12288" s="43">
        <v>25.71</v>
      </c>
    </row>
    <row r="12289" spans="2:6" x14ac:dyDescent="0.25">
      <c r="B12289" s="13" t="s">
        <v>22382</v>
      </c>
      <c r="C12289" s="17" t="s">
        <v>170</v>
      </c>
      <c r="D12289" s="13" t="s">
        <v>118</v>
      </c>
      <c r="E12289" s="13" t="s">
        <v>22383</v>
      </c>
      <c r="F12289" s="43">
        <v>80.099999999999994</v>
      </c>
    </row>
    <row r="12290" spans="2:6" x14ac:dyDescent="0.25">
      <c r="B12290" s="13" t="s">
        <v>22384</v>
      </c>
      <c r="C12290" s="17" t="s">
        <v>170</v>
      </c>
      <c r="D12290" s="13" t="s">
        <v>118</v>
      </c>
      <c r="E12290" s="13" t="s">
        <v>22385</v>
      </c>
      <c r="F12290" s="43">
        <v>104.77</v>
      </c>
    </row>
    <row r="12291" spans="2:6" x14ac:dyDescent="0.25">
      <c r="B12291" s="13" t="s">
        <v>22386</v>
      </c>
      <c r="C12291" s="17" t="s">
        <v>170</v>
      </c>
      <c r="D12291" s="13" t="s">
        <v>118</v>
      </c>
      <c r="E12291" s="13" t="s">
        <v>22387</v>
      </c>
      <c r="F12291" s="43">
        <v>29.76</v>
      </c>
    </row>
    <row r="12292" spans="2:6" x14ac:dyDescent="0.25">
      <c r="B12292" s="13" t="s">
        <v>22388</v>
      </c>
      <c r="C12292" s="17" t="s">
        <v>170</v>
      </c>
      <c r="D12292" s="13" t="s">
        <v>118</v>
      </c>
      <c r="E12292" s="13" t="s">
        <v>22389</v>
      </c>
      <c r="F12292" s="43">
        <v>85.72</v>
      </c>
    </row>
    <row r="12293" spans="2:6" x14ac:dyDescent="0.25">
      <c r="B12293" s="13" t="s">
        <v>22390</v>
      </c>
      <c r="C12293" s="17" t="s">
        <v>170</v>
      </c>
      <c r="D12293" s="13" t="s">
        <v>118</v>
      </c>
      <c r="E12293" s="13" t="s">
        <v>22391</v>
      </c>
      <c r="F12293" s="43">
        <v>108.67</v>
      </c>
    </row>
    <row r="12294" spans="2:6" x14ac:dyDescent="0.25">
      <c r="B12294" s="13" t="s">
        <v>22392</v>
      </c>
      <c r="C12294" s="17" t="s">
        <v>170</v>
      </c>
      <c r="D12294" s="13" t="s">
        <v>118</v>
      </c>
      <c r="E12294" s="13" t="s">
        <v>22393</v>
      </c>
      <c r="F12294" s="43">
        <v>35.5</v>
      </c>
    </row>
    <row r="12295" spans="2:6" x14ac:dyDescent="0.25">
      <c r="B12295" s="13" t="s">
        <v>22394</v>
      </c>
      <c r="C12295" s="17" t="s">
        <v>170</v>
      </c>
      <c r="D12295" s="13" t="s">
        <v>118</v>
      </c>
      <c r="E12295" s="13" t="s">
        <v>22395</v>
      </c>
      <c r="F12295" s="43">
        <v>112.12</v>
      </c>
    </row>
    <row r="12296" spans="2:6" x14ac:dyDescent="0.25">
      <c r="B12296" s="13" t="s">
        <v>22396</v>
      </c>
      <c r="C12296" s="17" t="s">
        <v>170</v>
      </c>
      <c r="D12296" s="13" t="s">
        <v>118</v>
      </c>
      <c r="E12296" s="13" t="s">
        <v>22397</v>
      </c>
      <c r="F12296" s="43">
        <v>137.02000000000001</v>
      </c>
    </row>
    <row r="12297" spans="2:6" x14ac:dyDescent="0.25">
      <c r="B12297" s="13" t="s">
        <v>22398</v>
      </c>
      <c r="C12297" s="17" t="s">
        <v>170</v>
      </c>
      <c r="D12297" s="13" t="s">
        <v>118</v>
      </c>
      <c r="E12297" s="13" t="s">
        <v>22399</v>
      </c>
      <c r="F12297" s="43">
        <v>52.94</v>
      </c>
    </row>
    <row r="12298" spans="2:6" x14ac:dyDescent="0.25">
      <c r="B12298" s="13" t="s">
        <v>22400</v>
      </c>
      <c r="C12298" s="17" t="s">
        <v>170</v>
      </c>
      <c r="D12298" s="13" t="s">
        <v>118</v>
      </c>
      <c r="E12298" s="13" t="s">
        <v>22401</v>
      </c>
      <c r="F12298" s="43">
        <v>119.8</v>
      </c>
    </row>
    <row r="12299" spans="2:6" x14ac:dyDescent="0.25">
      <c r="B12299" s="13" t="s">
        <v>22402</v>
      </c>
      <c r="C12299" s="17" t="s">
        <v>170</v>
      </c>
      <c r="D12299" s="13" t="s">
        <v>118</v>
      </c>
      <c r="E12299" s="13" t="s">
        <v>22403</v>
      </c>
      <c r="F12299" s="43">
        <v>185.56</v>
      </c>
    </row>
    <row r="12300" spans="2:6" x14ac:dyDescent="0.25">
      <c r="B12300" s="13" t="s">
        <v>22404</v>
      </c>
      <c r="C12300" s="17" t="s">
        <v>170</v>
      </c>
      <c r="D12300" s="13" t="s">
        <v>118</v>
      </c>
      <c r="E12300" s="13" t="s">
        <v>22405</v>
      </c>
      <c r="F12300" s="43">
        <v>103.66</v>
      </c>
    </row>
    <row r="12301" spans="2:6" x14ac:dyDescent="0.25">
      <c r="B12301" s="13" t="s">
        <v>22406</v>
      </c>
      <c r="C12301" s="17" t="s">
        <v>170</v>
      </c>
      <c r="D12301" s="13" t="s">
        <v>118</v>
      </c>
      <c r="E12301" s="13" t="s">
        <v>22407</v>
      </c>
      <c r="F12301" s="43">
        <v>119.8</v>
      </c>
    </row>
    <row r="12302" spans="2:6" x14ac:dyDescent="0.25">
      <c r="B12302" s="13" t="s">
        <v>22408</v>
      </c>
      <c r="C12302" s="17" t="s">
        <v>170</v>
      </c>
      <c r="D12302" s="13" t="s">
        <v>118</v>
      </c>
      <c r="E12302" s="13" t="s">
        <v>22409</v>
      </c>
      <c r="F12302" s="43">
        <v>200.82</v>
      </c>
    </row>
    <row r="12303" spans="2:6" x14ac:dyDescent="0.25">
      <c r="B12303" s="13" t="s">
        <v>22410</v>
      </c>
      <c r="C12303" s="17" t="s">
        <v>170</v>
      </c>
      <c r="D12303" s="13" t="s">
        <v>118</v>
      </c>
      <c r="E12303" s="13" t="s">
        <v>22411</v>
      </c>
      <c r="F12303" s="43">
        <v>14.58</v>
      </c>
    </row>
    <row r="12304" spans="2:6" x14ac:dyDescent="0.25">
      <c r="B12304" s="13" t="s">
        <v>22412</v>
      </c>
      <c r="C12304" s="17" t="s">
        <v>170</v>
      </c>
      <c r="D12304" s="13" t="s">
        <v>118</v>
      </c>
      <c r="E12304" s="13" t="s">
        <v>22413</v>
      </c>
      <c r="F12304" s="43">
        <v>54.01</v>
      </c>
    </row>
    <row r="12305" spans="2:6" x14ac:dyDescent="0.25">
      <c r="B12305" s="13" t="s">
        <v>22414</v>
      </c>
      <c r="C12305" s="17" t="s">
        <v>170</v>
      </c>
      <c r="D12305" s="13" t="s">
        <v>118</v>
      </c>
      <c r="E12305" s="13" t="s">
        <v>22415</v>
      </c>
      <c r="F12305" s="43">
        <v>16.3</v>
      </c>
    </row>
    <row r="12306" spans="2:6" x14ac:dyDescent="0.25">
      <c r="B12306" s="13" t="s">
        <v>22416</v>
      </c>
      <c r="C12306" s="17" t="s">
        <v>170</v>
      </c>
      <c r="D12306" s="13" t="s">
        <v>118</v>
      </c>
      <c r="E12306" s="13" t="s">
        <v>22417</v>
      </c>
      <c r="F12306" s="43">
        <v>19.510000000000002</v>
      </c>
    </row>
    <row r="12307" spans="2:6" x14ac:dyDescent="0.25">
      <c r="B12307" s="13" t="s">
        <v>22418</v>
      </c>
      <c r="C12307" s="17" t="s">
        <v>170</v>
      </c>
      <c r="D12307" s="13" t="s">
        <v>118</v>
      </c>
      <c r="E12307" s="13" t="s">
        <v>22419</v>
      </c>
      <c r="F12307" s="43">
        <v>16.3</v>
      </c>
    </row>
    <row r="12308" spans="2:6" x14ac:dyDescent="0.25">
      <c r="B12308" s="13" t="s">
        <v>22420</v>
      </c>
      <c r="C12308" s="17" t="s">
        <v>170</v>
      </c>
      <c r="D12308" s="13" t="s">
        <v>118</v>
      </c>
      <c r="E12308" s="13" t="s">
        <v>22421</v>
      </c>
      <c r="F12308" s="43">
        <v>16.3</v>
      </c>
    </row>
    <row r="12309" spans="2:6" x14ac:dyDescent="0.25">
      <c r="B12309" s="13" t="s">
        <v>22422</v>
      </c>
      <c r="C12309" s="17" t="s">
        <v>170</v>
      </c>
      <c r="D12309" s="13" t="s">
        <v>118</v>
      </c>
      <c r="E12309" s="13" t="s">
        <v>22423</v>
      </c>
      <c r="F12309" s="43">
        <v>19.28</v>
      </c>
    </row>
    <row r="12310" spans="2:6" x14ac:dyDescent="0.25">
      <c r="B12310" s="13" t="s">
        <v>22424</v>
      </c>
      <c r="C12310" s="17" t="s">
        <v>170</v>
      </c>
      <c r="D12310" s="13" t="s">
        <v>118</v>
      </c>
      <c r="E12310" s="13" t="s">
        <v>22425</v>
      </c>
      <c r="F12310" s="43">
        <v>22.73</v>
      </c>
    </row>
    <row r="12311" spans="2:6" x14ac:dyDescent="0.25">
      <c r="B12311" s="13" t="s">
        <v>22426</v>
      </c>
      <c r="C12311" s="17" t="s">
        <v>170</v>
      </c>
      <c r="D12311" s="13" t="s">
        <v>118</v>
      </c>
      <c r="E12311" s="13" t="s">
        <v>22427</v>
      </c>
      <c r="F12311" s="43">
        <v>22.73</v>
      </c>
    </row>
    <row r="12312" spans="2:6" x14ac:dyDescent="0.25">
      <c r="B12312" s="13" t="s">
        <v>22428</v>
      </c>
      <c r="C12312" s="17" t="s">
        <v>170</v>
      </c>
      <c r="D12312" s="13" t="s">
        <v>118</v>
      </c>
      <c r="E12312" s="13" t="s">
        <v>22429</v>
      </c>
      <c r="F12312" s="43">
        <v>20.09</v>
      </c>
    </row>
    <row r="12313" spans="2:6" x14ac:dyDescent="0.25">
      <c r="B12313" s="13" t="s">
        <v>22430</v>
      </c>
      <c r="C12313" s="17" t="s">
        <v>170</v>
      </c>
      <c r="D12313" s="13" t="s">
        <v>118</v>
      </c>
      <c r="E12313" s="13" t="s">
        <v>22431</v>
      </c>
      <c r="F12313" s="43">
        <v>27.77</v>
      </c>
    </row>
    <row r="12314" spans="2:6" x14ac:dyDescent="0.25">
      <c r="B12314" s="13" t="s">
        <v>22432</v>
      </c>
      <c r="C12314" s="17" t="s">
        <v>170</v>
      </c>
      <c r="D12314" s="13" t="s">
        <v>118</v>
      </c>
      <c r="E12314" s="13" t="s">
        <v>22433</v>
      </c>
      <c r="F12314" s="43">
        <v>154.08000000000001</v>
      </c>
    </row>
    <row r="12315" spans="2:6" x14ac:dyDescent="0.25">
      <c r="B12315" s="13" t="s">
        <v>22434</v>
      </c>
      <c r="C12315" s="17" t="s">
        <v>170</v>
      </c>
      <c r="D12315" s="13" t="s">
        <v>118</v>
      </c>
      <c r="E12315" s="13" t="s">
        <v>22435</v>
      </c>
      <c r="F12315" s="43">
        <v>154.08000000000001</v>
      </c>
    </row>
    <row r="12316" spans="2:6" x14ac:dyDescent="0.25">
      <c r="B12316" s="13" t="s">
        <v>22436</v>
      </c>
      <c r="C12316" s="17" t="s">
        <v>170</v>
      </c>
      <c r="D12316" s="13" t="s">
        <v>118</v>
      </c>
      <c r="E12316" s="13" t="s">
        <v>22437</v>
      </c>
      <c r="F12316" s="43">
        <v>182.15</v>
      </c>
    </row>
    <row r="12317" spans="2:6" x14ac:dyDescent="0.25">
      <c r="B12317" s="13" t="s">
        <v>22438</v>
      </c>
      <c r="C12317" s="17" t="s">
        <v>170</v>
      </c>
      <c r="D12317" s="13" t="s">
        <v>118</v>
      </c>
      <c r="E12317" s="13" t="s">
        <v>22439</v>
      </c>
      <c r="F12317" s="43">
        <v>182.15</v>
      </c>
    </row>
    <row r="12318" spans="2:6" x14ac:dyDescent="0.25">
      <c r="B12318" s="13" t="s">
        <v>22440</v>
      </c>
      <c r="C12318" s="17" t="s">
        <v>170</v>
      </c>
      <c r="D12318" s="13" t="s">
        <v>118</v>
      </c>
      <c r="E12318" s="13" t="s">
        <v>22441</v>
      </c>
      <c r="F12318" s="43">
        <v>164.17</v>
      </c>
    </row>
    <row r="12319" spans="2:6" x14ac:dyDescent="0.25">
      <c r="B12319" s="13" t="s">
        <v>22442</v>
      </c>
      <c r="C12319" s="17" t="s">
        <v>170</v>
      </c>
      <c r="D12319" s="13" t="s">
        <v>118</v>
      </c>
      <c r="E12319" s="13" t="s">
        <v>22443</v>
      </c>
      <c r="F12319" s="43">
        <v>164.17</v>
      </c>
    </row>
    <row r="12320" spans="2:6" x14ac:dyDescent="0.25">
      <c r="B12320" s="13" t="s">
        <v>22444</v>
      </c>
      <c r="C12320" s="17" t="s">
        <v>170</v>
      </c>
      <c r="D12320" s="13" t="s">
        <v>118</v>
      </c>
      <c r="E12320" s="13" t="s">
        <v>22445</v>
      </c>
      <c r="F12320" s="43">
        <v>210.15</v>
      </c>
    </row>
    <row r="12321" spans="2:6" x14ac:dyDescent="0.25">
      <c r="B12321" s="13" t="s">
        <v>22446</v>
      </c>
      <c r="C12321" s="17" t="s">
        <v>170</v>
      </c>
      <c r="D12321" s="13" t="s">
        <v>118</v>
      </c>
      <c r="E12321" s="13" t="s">
        <v>22447</v>
      </c>
      <c r="F12321" s="43">
        <v>210.15</v>
      </c>
    </row>
    <row r="12322" spans="2:6" x14ac:dyDescent="0.25">
      <c r="B12322" s="13" t="s">
        <v>22448</v>
      </c>
      <c r="C12322" s="17" t="s">
        <v>170</v>
      </c>
      <c r="D12322" s="13" t="s">
        <v>118</v>
      </c>
      <c r="E12322" s="13" t="s">
        <v>22449</v>
      </c>
      <c r="F12322" s="43">
        <v>233.33</v>
      </c>
    </row>
    <row r="12323" spans="2:6" x14ac:dyDescent="0.25">
      <c r="B12323" s="13" t="s">
        <v>22450</v>
      </c>
      <c r="C12323" s="17" t="s">
        <v>170</v>
      </c>
      <c r="D12323" s="13" t="s">
        <v>118</v>
      </c>
      <c r="E12323" s="13" t="s">
        <v>22451</v>
      </c>
      <c r="F12323" s="43">
        <v>233.33</v>
      </c>
    </row>
    <row r="12324" spans="2:6" x14ac:dyDescent="0.25">
      <c r="B12324" s="13" t="s">
        <v>22452</v>
      </c>
      <c r="C12324" s="17" t="s">
        <v>170</v>
      </c>
      <c r="D12324" s="13" t="s">
        <v>118</v>
      </c>
      <c r="E12324" s="13" t="s">
        <v>22453</v>
      </c>
      <c r="F12324" s="43">
        <v>306.31</v>
      </c>
    </row>
    <row r="12325" spans="2:6" x14ac:dyDescent="0.25">
      <c r="B12325" s="13" t="s">
        <v>22454</v>
      </c>
      <c r="C12325" s="17" t="s">
        <v>170</v>
      </c>
      <c r="D12325" s="13" t="s">
        <v>118</v>
      </c>
      <c r="E12325" s="13" t="s">
        <v>22455</v>
      </c>
      <c r="F12325" s="43">
        <v>306.31</v>
      </c>
    </row>
    <row r="12326" spans="2:6" x14ac:dyDescent="0.25">
      <c r="B12326" s="13" t="s">
        <v>22456</v>
      </c>
      <c r="C12326" s="17" t="s">
        <v>170</v>
      </c>
      <c r="D12326" s="13" t="s">
        <v>118</v>
      </c>
      <c r="E12326" s="13" t="s">
        <v>22457</v>
      </c>
      <c r="F12326" s="43">
        <v>159.51</v>
      </c>
    </row>
    <row r="12327" spans="2:6" x14ac:dyDescent="0.25">
      <c r="B12327" s="13" t="s">
        <v>22458</v>
      </c>
      <c r="C12327" s="17" t="s">
        <v>170</v>
      </c>
      <c r="D12327" s="13" t="s">
        <v>118</v>
      </c>
      <c r="E12327" s="13" t="s">
        <v>22459</v>
      </c>
      <c r="F12327" s="43">
        <v>159.51</v>
      </c>
    </row>
    <row r="12328" spans="2:6" x14ac:dyDescent="0.25">
      <c r="B12328" s="13" t="s">
        <v>22460</v>
      </c>
      <c r="C12328" s="17" t="s">
        <v>170</v>
      </c>
      <c r="D12328" s="13" t="s">
        <v>118</v>
      </c>
      <c r="E12328" s="13" t="s">
        <v>22461</v>
      </c>
      <c r="F12328" s="43">
        <v>188.27</v>
      </c>
    </row>
    <row r="12329" spans="2:6" x14ac:dyDescent="0.25">
      <c r="B12329" s="13" t="s">
        <v>22462</v>
      </c>
      <c r="C12329" s="17" t="s">
        <v>170</v>
      </c>
      <c r="D12329" s="13" t="s">
        <v>118</v>
      </c>
      <c r="E12329" s="13" t="s">
        <v>22463</v>
      </c>
      <c r="F12329" s="43">
        <v>188.27</v>
      </c>
    </row>
    <row r="12330" spans="2:6" x14ac:dyDescent="0.25">
      <c r="B12330" s="13" t="s">
        <v>22464</v>
      </c>
      <c r="C12330" s="17" t="s">
        <v>170</v>
      </c>
      <c r="D12330" s="13" t="s">
        <v>118</v>
      </c>
      <c r="E12330" s="13" t="s">
        <v>22465</v>
      </c>
      <c r="F12330" s="43">
        <v>169.61</v>
      </c>
    </row>
    <row r="12331" spans="2:6" x14ac:dyDescent="0.25">
      <c r="B12331" s="13" t="s">
        <v>22466</v>
      </c>
      <c r="C12331" s="17" t="s">
        <v>170</v>
      </c>
      <c r="D12331" s="13" t="s">
        <v>118</v>
      </c>
      <c r="E12331" s="13" t="s">
        <v>22467</v>
      </c>
      <c r="F12331" s="43">
        <v>169.61</v>
      </c>
    </row>
    <row r="12332" spans="2:6" x14ac:dyDescent="0.25">
      <c r="B12332" s="13" t="s">
        <v>22468</v>
      </c>
      <c r="C12332" s="17" t="s">
        <v>170</v>
      </c>
      <c r="D12332" s="13" t="s">
        <v>118</v>
      </c>
      <c r="E12332" s="13" t="s">
        <v>22469</v>
      </c>
      <c r="F12332" s="43">
        <v>215.66</v>
      </c>
    </row>
    <row r="12333" spans="2:6" x14ac:dyDescent="0.25">
      <c r="B12333" s="13" t="s">
        <v>22470</v>
      </c>
      <c r="C12333" s="17" t="s">
        <v>170</v>
      </c>
      <c r="D12333" s="13" t="s">
        <v>118</v>
      </c>
      <c r="E12333" s="13" t="s">
        <v>22471</v>
      </c>
      <c r="F12333" s="43">
        <v>215.66</v>
      </c>
    </row>
    <row r="12334" spans="2:6" x14ac:dyDescent="0.25">
      <c r="B12334" s="13" t="s">
        <v>22472</v>
      </c>
      <c r="C12334" s="17" t="s">
        <v>170</v>
      </c>
      <c r="D12334" s="13" t="s">
        <v>118</v>
      </c>
      <c r="E12334" s="13" t="s">
        <v>22473</v>
      </c>
      <c r="F12334" s="43">
        <v>239.3</v>
      </c>
    </row>
    <row r="12335" spans="2:6" x14ac:dyDescent="0.25">
      <c r="B12335" s="13" t="s">
        <v>22474</v>
      </c>
      <c r="C12335" s="17" t="s">
        <v>170</v>
      </c>
      <c r="D12335" s="13" t="s">
        <v>118</v>
      </c>
      <c r="E12335" s="13" t="s">
        <v>22475</v>
      </c>
      <c r="F12335" s="43">
        <v>239.3</v>
      </c>
    </row>
    <row r="12336" spans="2:6" x14ac:dyDescent="0.25">
      <c r="B12336" s="13" t="s">
        <v>22476</v>
      </c>
      <c r="C12336" s="17" t="s">
        <v>170</v>
      </c>
      <c r="D12336" s="13" t="s">
        <v>118</v>
      </c>
      <c r="E12336" s="13" t="s">
        <v>22477</v>
      </c>
      <c r="F12336" s="43">
        <v>311.82</v>
      </c>
    </row>
    <row r="12337" spans="2:6" x14ac:dyDescent="0.25">
      <c r="B12337" s="13" t="s">
        <v>22478</v>
      </c>
      <c r="C12337" s="17" t="s">
        <v>170</v>
      </c>
      <c r="D12337" s="13" t="s">
        <v>118</v>
      </c>
      <c r="E12337" s="13" t="s">
        <v>22479</v>
      </c>
      <c r="F12337" s="43">
        <v>311.82</v>
      </c>
    </row>
    <row r="12338" spans="2:6" x14ac:dyDescent="0.25">
      <c r="B12338" s="13" t="s">
        <v>22480</v>
      </c>
      <c r="C12338" s="17" t="s">
        <v>170</v>
      </c>
      <c r="D12338" s="13" t="s">
        <v>118</v>
      </c>
      <c r="E12338" s="13" t="s">
        <v>22481</v>
      </c>
      <c r="F12338" s="43">
        <v>169.3</v>
      </c>
    </row>
    <row r="12339" spans="2:6" x14ac:dyDescent="0.25">
      <c r="B12339" s="13" t="s">
        <v>22482</v>
      </c>
      <c r="C12339" s="17" t="s">
        <v>170</v>
      </c>
      <c r="D12339" s="13" t="s">
        <v>118</v>
      </c>
      <c r="E12339" s="13" t="s">
        <v>22483</v>
      </c>
      <c r="F12339" s="43">
        <v>169.3</v>
      </c>
    </row>
    <row r="12340" spans="2:6" x14ac:dyDescent="0.25">
      <c r="B12340" s="13" t="s">
        <v>22484</v>
      </c>
      <c r="C12340" s="17" t="s">
        <v>170</v>
      </c>
      <c r="D12340" s="13" t="s">
        <v>118</v>
      </c>
      <c r="E12340" s="13" t="s">
        <v>22485</v>
      </c>
      <c r="F12340" s="43">
        <v>198.75</v>
      </c>
    </row>
    <row r="12341" spans="2:6" x14ac:dyDescent="0.25">
      <c r="B12341" s="13" t="s">
        <v>22486</v>
      </c>
      <c r="C12341" s="17" t="s">
        <v>170</v>
      </c>
      <c r="D12341" s="13" t="s">
        <v>118</v>
      </c>
      <c r="E12341" s="13" t="s">
        <v>22487</v>
      </c>
      <c r="F12341" s="43">
        <v>198.75</v>
      </c>
    </row>
    <row r="12342" spans="2:6" x14ac:dyDescent="0.25">
      <c r="B12342" s="13" t="s">
        <v>22488</v>
      </c>
      <c r="C12342" s="17" t="s">
        <v>170</v>
      </c>
      <c r="D12342" s="13" t="s">
        <v>118</v>
      </c>
      <c r="E12342" s="13" t="s">
        <v>22489</v>
      </c>
      <c r="F12342" s="43">
        <v>179.09</v>
      </c>
    </row>
    <row r="12343" spans="2:6" x14ac:dyDescent="0.25">
      <c r="B12343" s="13" t="s">
        <v>22490</v>
      </c>
      <c r="C12343" s="17" t="s">
        <v>170</v>
      </c>
      <c r="D12343" s="13" t="s">
        <v>118</v>
      </c>
      <c r="E12343" s="13" t="s">
        <v>22491</v>
      </c>
      <c r="F12343" s="43">
        <v>179.09</v>
      </c>
    </row>
    <row r="12344" spans="2:6" x14ac:dyDescent="0.25">
      <c r="B12344" s="13" t="s">
        <v>22492</v>
      </c>
      <c r="C12344" s="17" t="s">
        <v>170</v>
      </c>
      <c r="D12344" s="13" t="s">
        <v>118</v>
      </c>
      <c r="E12344" s="13" t="s">
        <v>22493</v>
      </c>
      <c r="F12344" s="43">
        <v>230.27</v>
      </c>
    </row>
    <row r="12345" spans="2:6" x14ac:dyDescent="0.25">
      <c r="B12345" s="13" t="s">
        <v>22494</v>
      </c>
      <c r="C12345" s="17" t="s">
        <v>170</v>
      </c>
      <c r="D12345" s="13" t="s">
        <v>118</v>
      </c>
      <c r="E12345" s="13" t="s">
        <v>22495</v>
      </c>
      <c r="F12345" s="43">
        <v>230.27</v>
      </c>
    </row>
    <row r="12346" spans="2:6" x14ac:dyDescent="0.25">
      <c r="B12346" s="13" t="s">
        <v>22496</v>
      </c>
      <c r="C12346" s="17" t="s">
        <v>170</v>
      </c>
      <c r="D12346" s="13" t="s">
        <v>118</v>
      </c>
      <c r="E12346" s="13" t="s">
        <v>22497</v>
      </c>
      <c r="F12346" s="43">
        <v>255.51</v>
      </c>
    </row>
    <row r="12347" spans="2:6" x14ac:dyDescent="0.25">
      <c r="B12347" s="13" t="s">
        <v>22498</v>
      </c>
      <c r="C12347" s="17" t="s">
        <v>170</v>
      </c>
      <c r="D12347" s="13" t="s">
        <v>118</v>
      </c>
      <c r="E12347" s="13" t="s">
        <v>22499</v>
      </c>
      <c r="F12347" s="43">
        <v>255.51</v>
      </c>
    </row>
    <row r="12348" spans="2:6" x14ac:dyDescent="0.25">
      <c r="B12348" s="13" t="s">
        <v>22500</v>
      </c>
      <c r="C12348" s="17" t="s">
        <v>170</v>
      </c>
      <c r="D12348" s="13" t="s">
        <v>118</v>
      </c>
      <c r="E12348" s="13" t="s">
        <v>22501</v>
      </c>
      <c r="F12348" s="43">
        <v>336.76</v>
      </c>
    </row>
    <row r="12349" spans="2:6" x14ac:dyDescent="0.25">
      <c r="B12349" s="13" t="s">
        <v>22502</v>
      </c>
      <c r="C12349" s="17" t="s">
        <v>170</v>
      </c>
      <c r="D12349" s="13" t="s">
        <v>118</v>
      </c>
      <c r="E12349" s="13" t="s">
        <v>22503</v>
      </c>
      <c r="F12349" s="43">
        <v>336.76</v>
      </c>
    </row>
    <row r="12350" spans="2:6" x14ac:dyDescent="0.25">
      <c r="B12350" s="13" t="s">
        <v>22504</v>
      </c>
      <c r="C12350" s="17" t="s">
        <v>170</v>
      </c>
      <c r="D12350" s="13" t="s">
        <v>118</v>
      </c>
      <c r="E12350" s="13" t="s">
        <v>22481</v>
      </c>
      <c r="F12350" s="43">
        <v>174.73</v>
      </c>
    </row>
    <row r="12351" spans="2:6" x14ac:dyDescent="0.25">
      <c r="B12351" s="13" t="s">
        <v>22505</v>
      </c>
      <c r="C12351" s="17" t="s">
        <v>170</v>
      </c>
      <c r="D12351" s="13" t="s">
        <v>118</v>
      </c>
      <c r="E12351" s="13" t="s">
        <v>22483</v>
      </c>
      <c r="F12351" s="43">
        <v>174.73</v>
      </c>
    </row>
    <row r="12352" spans="2:6" x14ac:dyDescent="0.25">
      <c r="B12352" s="13" t="s">
        <v>22506</v>
      </c>
      <c r="C12352" s="17" t="s">
        <v>170</v>
      </c>
      <c r="D12352" s="13" t="s">
        <v>118</v>
      </c>
      <c r="E12352" s="13" t="s">
        <v>22485</v>
      </c>
      <c r="F12352" s="43">
        <v>204.72</v>
      </c>
    </row>
    <row r="12353" spans="2:6" x14ac:dyDescent="0.25">
      <c r="B12353" s="13" t="s">
        <v>22507</v>
      </c>
      <c r="C12353" s="17" t="s">
        <v>170</v>
      </c>
      <c r="D12353" s="13" t="s">
        <v>118</v>
      </c>
      <c r="E12353" s="13" t="s">
        <v>22487</v>
      </c>
      <c r="F12353" s="43">
        <v>204.72</v>
      </c>
    </row>
    <row r="12354" spans="2:6" x14ac:dyDescent="0.25">
      <c r="B12354" s="13" t="s">
        <v>22508</v>
      </c>
      <c r="C12354" s="17" t="s">
        <v>170</v>
      </c>
      <c r="D12354" s="13" t="s">
        <v>118</v>
      </c>
      <c r="E12354" s="13" t="s">
        <v>22489</v>
      </c>
      <c r="F12354" s="43">
        <v>184.6</v>
      </c>
    </row>
    <row r="12355" spans="2:6" x14ac:dyDescent="0.25">
      <c r="B12355" s="13" t="s">
        <v>22509</v>
      </c>
      <c r="C12355" s="17" t="s">
        <v>170</v>
      </c>
      <c r="D12355" s="13" t="s">
        <v>118</v>
      </c>
      <c r="E12355" s="13" t="s">
        <v>22491</v>
      </c>
      <c r="F12355" s="43">
        <v>184.6</v>
      </c>
    </row>
    <row r="12356" spans="2:6" x14ac:dyDescent="0.25">
      <c r="B12356" s="13" t="s">
        <v>22510</v>
      </c>
      <c r="C12356" s="17" t="s">
        <v>170</v>
      </c>
      <c r="D12356" s="13" t="s">
        <v>118</v>
      </c>
      <c r="E12356" s="13" t="s">
        <v>22493</v>
      </c>
      <c r="F12356" s="43">
        <v>235.7</v>
      </c>
    </row>
    <row r="12357" spans="2:6" x14ac:dyDescent="0.25">
      <c r="B12357" s="13" t="s">
        <v>22511</v>
      </c>
      <c r="C12357" s="17" t="s">
        <v>170</v>
      </c>
      <c r="D12357" s="13" t="s">
        <v>118</v>
      </c>
      <c r="E12357" s="13" t="s">
        <v>22495</v>
      </c>
      <c r="F12357" s="43">
        <v>235.7</v>
      </c>
    </row>
    <row r="12358" spans="2:6" x14ac:dyDescent="0.25">
      <c r="B12358" s="13" t="s">
        <v>22512</v>
      </c>
      <c r="C12358" s="17" t="s">
        <v>170</v>
      </c>
      <c r="D12358" s="13" t="s">
        <v>118</v>
      </c>
      <c r="E12358" s="13" t="s">
        <v>22497</v>
      </c>
      <c r="F12358" s="43">
        <v>261.56</v>
      </c>
    </row>
    <row r="12359" spans="2:6" x14ac:dyDescent="0.25">
      <c r="B12359" s="13" t="s">
        <v>22513</v>
      </c>
      <c r="C12359" s="17" t="s">
        <v>170</v>
      </c>
      <c r="D12359" s="13" t="s">
        <v>118</v>
      </c>
      <c r="E12359" s="13" t="s">
        <v>22499</v>
      </c>
      <c r="F12359" s="43">
        <v>261.56</v>
      </c>
    </row>
    <row r="12360" spans="2:6" x14ac:dyDescent="0.25">
      <c r="B12360" s="13" t="s">
        <v>22514</v>
      </c>
      <c r="C12360" s="17" t="s">
        <v>170</v>
      </c>
      <c r="D12360" s="13" t="s">
        <v>118</v>
      </c>
      <c r="E12360" s="13" t="s">
        <v>22501</v>
      </c>
      <c r="F12360" s="43">
        <v>342.19</v>
      </c>
    </row>
    <row r="12361" spans="2:6" x14ac:dyDescent="0.25">
      <c r="B12361" s="13" t="s">
        <v>22515</v>
      </c>
      <c r="C12361" s="17" t="s">
        <v>170</v>
      </c>
      <c r="D12361" s="13" t="s">
        <v>118</v>
      </c>
      <c r="E12361" s="13" t="s">
        <v>22503</v>
      </c>
      <c r="F12361" s="43">
        <v>342.19</v>
      </c>
    </row>
    <row r="12362" spans="2:6" x14ac:dyDescent="0.25">
      <c r="B12362" s="13" t="s">
        <v>22516</v>
      </c>
      <c r="C12362" s="17" t="s">
        <v>170</v>
      </c>
      <c r="D12362" s="13" t="s">
        <v>118</v>
      </c>
      <c r="E12362" s="13" t="s">
        <v>22517</v>
      </c>
      <c r="F12362" s="43">
        <v>162.15</v>
      </c>
    </row>
    <row r="12363" spans="2:6" x14ac:dyDescent="0.25">
      <c r="B12363" s="13" t="s">
        <v>22518</v>
      </c>
      <c r="C12363" s="17" t="s">
        <v>170</v>
      </c>
      <c r="D12363" s="13" t="s">
        <v>118</v>
      </c>
      <c r="E12363" s="13" t="s">
        <v>22519</v>
      </c>
      <c r="F12363" s="43">
        <v>162.15</v>
      </c>
    </row>
    <row r="12364" spans="2:6" x14ac:dyDescent="0.25">
      <c r="B12364" s="13" t="s">
        <v>22520</v>
      </c>
      <c r="C12364" s="17" t="s">
        <v>170</v>
      </c>
      <c r="D12364" s="13" t="s">
        <v>118</v>
      </c>
      <c r="E12364" s="13" t="s">
        <v>22521</v>
      </c>
      <c r="F12364" s="43">
        <v>191.75</v>
      </c>
    </row>
    <row r="12365" spans="2:6" x14ac:dyDescent="0.25">
      <c r="B12365" s="13" t="s">
        <v>22522</v>
      </c>
      <c r="C12365" s="17" t="s">
        <v>170</v>
      </c>
      <c r="D12365" s="13" t="s">
        <v>118</v>
      </c>
      <c r="E12365" s="13" t="s">
        <v>22523</v>
      </c>
      <c r="F12365" s="43">
        <v>191.75</v>
      </c>
    </row>
    <row r="12366" spans="2:6" x14ac:dyDescent="0.25">
      <c r="B12366" s="13" t="s">
        <v>22524</v>
      </c>
      <c r="C12366" s="17" t="s">
        <v>170</v>
      </c>
      <c r="D12366" s="13" t="s">
        <v>118</v>
      </c>
      <c r="E12366" s="13" t="s">
        <v>22525</v>
      </c>
      <c r="F12366" s="43">
        <v>172.82</v>
      </c>
    </row>
    <row r="12367" spans="2:6" x14ac:dyDescent="0.25">
      <c r="B12367" s="13" t="s">
        <v>22526</v>
      </c>
      <c r="C12367" s="17" t="s">
        <v>170</v>
      </c>
      <c r="D12367" s="13" t="s">
        <v>118</v>
      </c>
      <c r="E12367" s="13" t="s">
        <v>22527</v>
      </c>
      <c r="F12367" s="43">
        <v>172.82</v>
      </c>
    </row>
    <row r="12368" spans="2:6" x14ac:dyDescent="0.25">
      <c r="B12368" s="13" t="s">
        <v>22528</v>
      </c>
      <c r="C12368" s="17" t="s">
        <v>170</v>
      </c>
      <c r="D12368" s="13" t="s">
        <v>118</v>
      </c>
      <c r="E12368" s="13" t="s">
        <v>22529</v>
      </c>
      <c r="F12368" s="43">
        <v>221.24</v>
      </c>
    </row>
    <row r="12369" spans="2:6" x14ac:dyDescent="0.25">
      <c r="B12369" s="13" t="s">
        <v>22530</v>
      </c>
      <c r="C12369" s="17" t="s">
        <v>170</v>
      </c>
      <c r="D12369" s="13" t="s">
        <v>118</v>
      </c>
      <c r="E12369" s="13" t="s">
        <v>22531</v>
      </c>
      <c r="F12369" s="43">
        <v>221.24</v>
      </c>
    </row>
    <row r="12370" spans="2:6" x14ac:dyDescent="0.25">
      <c r="B12370" s="13" t="s">
        <v>22532</v>
      </c>
      <c r="C12370" s="17" t="s">
        <v>170</v>
      </c>
      <c r="D12370" s="13" t="s">
        <v>118</v>
      </c>
      <c r="E12370" s="13" t="s">
        <v>22533</v>
      </c>
      <c r="F12370" s="43">
        <v>245.57</v>
      </c>
    </row>
    <row r="12371" spans="2:6" x14ac:dyDescent="0.25">
      <c r="B12371" s="13" t="s">
        <v>22534</v>
      </c>
      <c r="C12371" s="17" t="s">
        <v>170</v>
      </c>
      <c r="D12371" s="13" t="s">
        <v>118</v>
      </c>
      <c r="E12371" s="13" t="s">
        <v>22535</v>
      </c>
      <c r="F12371" s="43">
        <v>245.57</v>
      </c>
    </row>
    <row r="12372" spans="2:6" x14ac:dyDescent="0.25">
      <c r="B12372" s="13" t="s">
        <v>22536</v>
      </c>
      <c r="C12372" s="17" t="s">
        <v>170</v>
      </c>
      <c r="D12372" s="13" t="s">
        <v>118</v>
      </c>
      <c r="E12372" s="13" t="s">
        <v>22537</v>
      </c>
      <c r="F12372" s="43">
        <v>322.45</v>
      </c>
    </row>
    <row r="12373" spans="2:6" x14ac:dyDescent="0.25">
      <c r="B12373" s="13" t="s">
        <v>22538</v>
      </c>
      <c r="C12373" s="17" t="s">
        <v>170</v>
      </c>
      <c r="D12373" s="13" t="s">
        <v>118</v>
      </c>
      <c r="E12373" s="13" t="s">
        <v>22539</v>
      </c>
      <c r="F12373" s="43">
        <v>322.45</v>
      </c>
    </row>
    <row r="12374" spans="2:6" x14ac:dyDescent="0.25">
      <c r="B12374" s="13" t="s">
        <v>22540</v>
      </c>
      <c r="C12374" s="17" t="s">
        <v>170</v>
      </c>
      <c r="D12374" s="13" t="s">
        <v>118</v>
      </c>
      <c r="E12374" s="13" t="s">
        <v>22541</v>
      </c>
      <c r="F12374" s="43">
        <v>167.88</v>
      </c>
    </row>
    <row r="12375" spans="2:6" x14ac:dyDescent="0.25">
      <c r="B12375" s="13" t="s">
        <v>22542</v>
      </c>
      <c r="C12375" s="17" t="s">
        <v>170</v>
      </c>
      <c r="D12375" s="13" t="s">
        <v>118</v>
      </c>
      <c r="E12375" s="13" t="s">
        <v>22543</v>
      </c>
      <c r="F12375" s="43">
        <v>167.88</v>
      </c>
    </row>
    <row r="12376" spans="2:6" x14ac:dyDescent="0.25">
      <c r="B12376" s="13" t="s">
        <v>22544</v>
      </c>
      <c r="C12376" s="17" t="s">
        <v>170</v>
      </c>
      <c r="D12376" s="13" t="s">
        <v>118</v>
      </c>
      <c r="E12376" s="13" t="s">
        <v>22545</v>
      </c>
      <c r="F12376" s="43">
        <v>198.18</v>
      </c>
    </row>
    <row r="12377" spans="2:6" x14ac:dyDescent="0.25">
      <c r="B12377" s="13" t="s">
        <v>22546</v>
      </c>
      <c r="C12377" s="17" t="s">
        <v>170</v>
      </c>
      <c r="D12377" s="13" t="s">
        <v>118</v>
      </c>
      <c r="E12377" s="13" t="s">
        <v>22547</v>
      </c>
      <c r="F12377" s="43">
        <v>198.18</v>
      </c>
    </row>
    <row r="12378" spans="2:6" x14ac:dyDescent="0.25">
      <c r="B12378" s="13" t="s">
        <v>22440</v>
      </c>
      <c r="C12378" s="17" t="s">
        <v>170</v>
      </c>
      <c r="D12378" s="13" t="s">
        <v>118</v>
      </c>
      <c r="E12378" s="13" t="s">
        <v>22548</v>
      </c>
      <c r="F12378" s="43">
        <v>164.17</v>
      </c>
    </row>
    <row r="12379" spans="2:6" x14ac:dyDescent="0.25">
      <c r="B12379" s="13" t="s">
        <v>22549</v>
      </c>
      <c r="C12379" s="17" t="s">
        <v>170</v>
      </c>
      <c r="D12379" s="13" t="s">
        <v>118</v>
      </c>
      <c r="E12379" s="13" t="s">
        <v>22550</v>
      </c>
      <c r="F12379" s="43">
        <v>178.56</v>
      </c>
    </row>
    <row r="12380" spans="2:6" x14ac:dyDescent="0.25">
      <c r="B12380" s="13" t="s">
        <v>22551</v>
      </c>
      <c r="C12380" s="17" t="s">
        <v>170</v>
      </c>
      <c r="D12380" s="13" t="s">
        <v>118</v>
      </c>
      <c r="E12380" s="13" t="s">
        <v>22552</v>
      </c>
      <c r="F12380" s="43">
        <v>226.98</v>
      </c>
    </row>
    <row r="12381" spans="2:6" x14ac:dyDescent="0.25">
      <c r="B12381" s="13" t="s">
        <v>22553</v>
      </c>
      <c r="C12381" s="17" t="s">
        <v>170</v>
      </c>
      <c r="D12381" s="13" t="s">
        <v>118</v>
      </c>
      <c r="E12381" s="13" t="s">
        <v>22554</v>
      </c>
      <c r="F12381" s="43">
        <v>226.98</v>
      </c>
    </row>
    <row r="12382" spans="2:6" x14ac:dyDescent="0.25">
      <c r="B12382" s="13" t="s">
        <v>22555</v>
      </c>
      <c r="C12382" s="17" t="s">
        <v>170</v>
      </c>
      <c r="D12382" s="13" t="s">
        <v>118</v>
      </c>
      <c r="E12382" s="13" t="s">
        <v>22556</v>
      </c>
      <c r="F12382" s="43">
        <v>251.88</v>
      </c>
    </row>
    <row r="12383" spans="2:6" x14ac:dyDescent="0.25">
      <c r="B12383" s="13" t="s">
        <v>22557</v>
      </c>
      <c r="C12383" s="17" t="s">
        <v>170</v>
      </c>
      <c r="D12383" s="13" t="s">
        <v>118</v>
      </c>
      <c r="E12383" s="13" t="s">
        <v>22558</v>
      </c>
      <c r="F12383" s="43">
        <v>251.88</v>
      </c>
    </row>
    <row r="12384" spans="2:6" x14ac:dyDescent="0.25">
      <c r="B12384" s="13" t="s">
        <v>22559</v>
      </c>
      <c r="C12384" s="17" t="s">
        <v>170</v>
      </c>
      <c r="D12384" s="13" t="s">
        <v>118</v>
      </c>
      <c r="E12384" s="13" t="s">
        <v>22560</v>
      </c>
      <c r="F12384" s="43">
        <v>328.19</v>
      </c>
    </row>
    <row r="12385" spans="2:6" x14ac:dyDescent="0.25">
      <c r="B12385" s="13" t="s">
        <v>22561</v>
      </c>
      <c r="C12385" s="17" t="s">
        <v>170</v>
      </c>
      <c r="D12385" s="13" t="s">
        <v>118</v>
      </c>
      <c r="E12385" s="13" t="s">
        <v>22562</v>
      </c>
      <c r="F12385" s="43">
        <v>328.19</v>
      </c>
    </row>
    <row r="12386" spans="2:6" x14ac:dyDescent="0.25">
      <c r="B12386" s="13" t="s">
        <v>22563</v>
      </c>
      <c r="C12386" s="17" t="s">
        <v>170</v>
      </c>
      <c r="D12386" s="13" t="s">
        <v>118</v>
      </c>
      <c r="E12386" s="13" t="s">
        <v>22564</v>
      </c>
      <c r="F12386" s="43">
        <v>194.28</v>
      </c>
    </row>
    <row r="12387" spans="2:6" x14ac:dyDescent="0.25">
      <c r="B12387" s="13" t="s">
        <v>22565</v>
      </c>
      <c r="C12387" s="17" t="s">
        <v>170</v>
      </c>
      <c r="D12387" s="13" t="s">
        <v>118</v>
      </c>
      <c r="E12387" s="13" t="s">
        <v>22566</v>
      </c>
      <c r="F12387" s="43">
        <v>194.28</v>
      </c>
    </row>
    <row r="12388" spans="2:6" x14ac:dyDescent="0.25">
      <c r="B12388" s="13" t="s">
        <v>22567</v>
      </c>
      <c r="C12388" s="17" t="s">
        <v>170</v>
      </c>
      <c r="D12388" s="13" t="s">
        <v>118</v>
      </c>
      <c r="E12388" s="13" t="s">
        <v>22568</v>
      </c>
      <c r="F12388" s="43">
        <v>178.21</v>
      </c>
    </row>
    <row r="12389" spans="2:6" x14ac:dyDescent="0.25">
      <c r="B12389" s="13" t="s">
        <v>22569</v>
      </c>
      <c r="C12389" s="17" t="s">
        <v>170</v>
      </c>
      <c r="D12389" s="13" t="s">
        <v>118</v>
      </c>
      <c r="E12389" s="13" t="s">
        <v>22570</v>
      </c>
      <c r="F12389" s="43">
        <v>178.21</v>
      </c>
    </row>
    <row r="12390" spans="2:6" x14ac:dyDescent="0.25">
      <c r="B12390" s="13" t="s">
        <v>22571</v>
      </c>
      <c r="C12390" s="17" t="s">
        <v>170</v>
      </c>
      <c r="D12390" s="13" t="s">
        <v>118</v>
      </c>
      <c r="E12390" s="13" t="s">
        <v>22572</v>
      </c>
      <c r="F12390" s="43">
        <v>209.19</v>
      </c>
    </row>
    <row r="12391" spans="2:6" x14ac:dyDescent="0.25">
      <c r="B12391" s="13" t="s">
        <v>22573</v>
      </c>
      <c r="C12391" s="17" t="s">
        <v>170</v>
      </c>
      <c r="D12391" s="13" t="s">
        <v>118</v>
      </c>
      <c r="E12391" s="13" t="s">
        <v>22574</v>
      </c>
      <c r="F12391" s="43">
        <v>209.19</v>
      </c>
    </row>
    <row r="12392" spans="2:6" x14ac:dyDescent="0.25">
      <c r="B12392" s="13" t="s">
        <v>22575</v>
      </c>
      <c r="C12392" s="17" t="s">
        <v>170</v>
      </c>
      <c r="D12392" s="13" t="s">
        <v>118</v>
      </c>
      <c r="E12392" s="13" t="s">
        <v>22576</v>
      </c>
      <c r="F12392" s="43">
        <v>188.54</v>
      </c>
    </row>
    <row r="12393" spans="2:6" x14ac:dyDescent="0.25">
      <c r="B12393" s="13" t="s">
        <v>22577</v>
      </c>
      <c r="C12393" s="17" t="s">
        <v>170</v>
      </c>
      <c r="D12393" s="13" t="s">
        <v>118</v>
      </c>
      <c r="E12393" s="13" t="s">
        <v>22578</v>
      </c>
      <c r="F12393" s="43">
        <v>188.54</v>
      </c>
    </row>
    <row r="12394" spans="2:6" x14ac:dyDescent="0.25">
      <c r="B12394" s="13" t="s">
        <v>22579</v>
      </c>
      <c r="C12394" s="17" t="s">
        <v>170</v>
      </c>
      <c r="D12394" s="13" t="s">
        <v>118</v>
      </c>
      <c r="E12394" s="13" t="s">
        <v>22580</v>
      </c>
      <c r="F12394" s="43">
        <v>242.36</v>
      </c>
    </row>
    <row r="12395" spans="2:6" x14ac:dyDescent="0.25">
      <c r="B12395" s="13" t="s">
        <v>22581</v>
      </c>
      <c r="C12395" s="17" t="s">
        <v>170</v>
      </c>
      <c r="D12395" s="13" t="s">
        <v>118</v>
      </c>
      <c r="E12395" s="13" t="s">
        <v>22582</v>
      </c>
      <c r="F12395" s="43">
        <v>242.36</v>
      </c>
    </row>
    <row r="12396" spans="2:6" x14ac:dyDescent="0.25">
      <c r="B12396" s="13" t="s">
        <v>22583</v>
      </c>
      <c r="C12396" s="17" t="s">
        <v>170</v>
      </c>
      <c r="D12396" s="13" t="s">
        <v>118</v>
      </c>
      <c r="E12396" s="13" t="s">
        <v>22584</v>
      </c>
      <c r="F12396" s="43">
        <v>268.98</v>
      </c>
    </row>
    <row r="12397" spans="2:6" x14ac:dyDescent="0.25">
      <c r="B12397" s="13" t="s">
        <v>22585</v>
      </c>
      <c r="C12397" s="17" t="s">
        <v>170</v>
      </c>
      <c r="D12397" s="13" t="s">
        <v>118</v>
      </c>
      <c r="E12397" s="13" t="s">
        <v>22586</v>
      </c>
      <c r="F12397" s="43">
        <v>268.98</v>
      </c>
    </row>
    <row r="12398" spans="2:6" x14ac:dyDescent="0.25">
      <c r="B12398" s="13" t="s">
        <v>22587</v>
      </c>
      <c r="C12398" s="17" t="s">
        <v>170</v>
      </c>
      <c r="D12398" s="13" t="s">
        <v>118</v>
      </c>
      <c r="E12398" s="13" t="s">
        <v>22588</v>
      </c>
      <c r="F12398" s="43">
        <v>354.47</v>
      </c>
    </row>
    <row r="12399" spans="2:6" x14ac:dyDescent="0.25">
      <c r="B12399" s="13" t="s">
        <v>22589</v>
      </c>
      <c r="C12399" s="17" t="s">
        <v>170</v>
      </c>
      <c r="D12399" s="13" t="s">
        <v>118</v>
      </c>
      <c r="E12399" s="13" t="s">
        <v>22590</v>
      </c>
      <c r="F12399" s="43">
        <v>354.47</v>
      </c>
    </row>
    <row r="12400" spans="2:6" x14ac:dyDescent="0.25">
      <c r="B12400" s="13" t="s">
        <v>22591</v>
      </c>
      <c r="C12400" s="17" t="s">
        <v>170</v>
      </c>
      <c r="D12400" s="13" t="s">
        <v>118</v>
      </c>
      <c r="E12400" s="13" t="s">
        <v>22568</v>
      </c>
      <c r="F12400" s="43">
        <v>183.95</v>
      </c>
    </row>
    <row r="12401" spans="2:6" x14ac:dyDescent="0.25">
      <c r="B12401" s="13" t="s">
        <v>22592</v>
      </c>
      <c r="C12401" s="17" t="s">
        <v>170</v>
      </c>
      <c r="D12401" s="13" t="s">
        <v>118</v>
      </c>
      <c r="E12401" s="13" t="s">
        <v>22570</v>
      </c>
      <c r="F12401" s="43">
        <v>183.95</v>
      </c>
    </row>
    <row r="12402" spans="2:6" x14ac:dyDescent="0.25">
      <c r="B12402" s="13" t="s">
        <v>22593</v>
      </c>
      <c r="C12402" s="17" t="s">
        <v>170</v>
      </c>
      <c r="D12402" s="13" t="s">
        <v>118</v>
      </c>
      <c r="E12402" s="13" t="s">
        <v>22572</v>
      </c>
      <c r="F12402" s="43">
        <v>215.51</v>
      </c>
    </row>
    <row r="12403" spans="2:6" x14ac:dyDescent="0.25">
      <c r="B12403" s="13" t="s">
        <v>22594</v>
      </c>
      <c r="C12403" s="17" t="s">
        <v>170</v>
      </c>
      <c r="D12403" s="13" t="s">
        <v>118</v>
      </c>
      <c r="E12403" s="13" t="s">
        <v>22574</v>
      </c>
      <c r="F12403" s="43">
        <v>215.51</v>
      </c>
    </row>
    <row r="12404" spans="2:6" x14ac:dyDescent="0.25">
      <c r="B12404" s="13" t="s">
        <v>22488</v>
      </c>
      <c r="C12404" s="17" t="s">
        <v>170</v>
      </c>
      <c r="D12404" s="13" t="s">
        <v>118</v>
      </c>
      <c r="E12404" s="13" t="s">
        <v>22576</v>
      </c>
      <c r="F12404" s="43">
        <v>179.09</v>
      </c>
    </row>
    <row r="12405" spans="2:6" x14ac:dyDescent="0.25">
      <c r="B12405" s="13" t="s">
        <v>22595</v>
      </c>
      <c r="C12405" s="17" t="s">
        <v>170</v>
      </c>
      <c r="D12405" s="13" t="s">
        <v>118</v>
      </c>
      <c r="E12405" s="13" t="s">
        <v>22578</v>
      </c>
      <c r="F12405" s="43">
        <v>194.28</v>
      </c>
    </row>
    <row r="12406" spans="2:6" x14ac:dyDescent="0.25">
      <c r="B12406" s="13" t="s">
        <v>22596</v>
      </c>
      <c r="C12406" s="17" t="s">
        <v>170</v>
      </c>
      <c r="D12406" s="13" t="s">
        <v>118</v>
      </c>
      <c r="E12406" s="13" t="s">
        <v>22578</v>
      </c>
      <c r="F12406" s="43">
        <v>194.28</v>
      </c>
    </row>
    <row r="12407" spans="2:6" x14ac:dyDescent="0.25">
      <c r="B12407" s="13" t="s">
        <v>22597</v>
      </c>
      <c r="C12407" s="17" t="s">
        <v>170</v>
      </c>
      <c r="D12407" s="13" t="s">
        <v>118</v>
      </c>
      <c r="E12407" s="13" t="s">
        <v>22580</v>
      </c>
      <c r="F12407" s="43">
        <v>241.21</v>
      </c>
    </row>
    <row r="12408" spans="2:6" x14ac:dyDescent="0.25">
      <c r="B12408" s="13" t="s">
        <v>22598</v>
      </c>
      <c r="C12408" s="17" t="s">
        <v>170</v>
      </c>
      <c r="D12408" s="13" t="s">
        <v>118</v>
      </c>
      <c r="E12408" s="13" t="s">
        <v>22582</v>
      </c>
      <c r="F12408" s="43">
        <v>241.21</v>
      </c>
    </row>
    <row r="12409" spans="2:6" x14ac:dyDescent="0.25">
      <c r="B12409" s="13" t="s">
        <v>22599</v>
      </c>
      <c r="C12409" s="17" t="s">
        <v>170</v>
      </c>
      <c r="D12409" s="13" t="s">
        <v>118</v>
      </c>
      <c r="E12409" s="13" t="s">
        <v>22584</v>
      </c>
      <c r="F12409" s="43">
        <v>275.29000000000002</v>
      </c>
    </row>
    <row r="12410" spans="2:6" x14ac:dyDescent="0.25">
      <c r="B12410" s="13" t="s">
        <v>22600</v>
      </c>
      <c r="C12410" s="17" t="s">
        <v>170</v>
      </c>
      <c r="D12410" s="13" t="s">
        <v>118</v>
      </c>
      <c r="E12410" s="13" t="s">
        <v>22586</v>
      </c>
      <c r="F12410" s="43">
        <v>275.29000000000002</v>
      </c>
    </row>
    <row r="12411" spans="2:6" x14ac:dyDescent="0.25">
      <c r="B12411" s="13" t="s">
        <v>22601</v>
      </c>
      <c r="C12411" s="17" t="s">
        <v>170</v>
      </c>
      <c r="D12411" s="13" t="s">
        <v>118</v>
      </c>
      <c r="E12411" s="13" t="s">
        <v>22588</v>
      </c>
      <c r="F12411" s="43">
        <v>360.21</v>
      </c>
    </row>
    <row r="12412" spans="2:6" x14ac:dyDescent="0.25">
      <c r="B12412" s="13" t="s">
        <v>22602</v>
      </c>
      <c r="C12412" s="17" t="s">
        <v>170</v>
      </c>
      <c r="D12412" s="13" t="s">
        <v>118</v>
      </c>
      <c r="E12412" s="13" t="s">
        <v>22590</v>
      </c>
      <c r="F12412" s="43">
        <v>360.21</v>
      </c>
    </row>
    <row r="12413" spans="2:6" x14ac:dyDescent="0.25">
      <c r="B12413" s="13" t="s">
        <v>22603</v>
      </c>
      <c r="C12413" s="17" t="s">
        <v>170</v>
      </c>
      <c r="D12413" s="13" t="s">
        <v>118</v>
      </c>
      <c r="E12413" s="13" t="s">
        <v>22604</v>
      </c>
      <c r="F12413" s="43">
        <v>70.58</v>
      </c>
    </row>
    <row r="12414" spans="2:6" x14ac:dyDescent="0.25">
      <c r="B12414" s="13" t="s">
        <v>22605</v>
      </c>
      <c r="C12414" s="17" t="s">
        <v>170</v>
      </c>
      <c r="D12414" s="13" t="s">
        <v>118</v>
      </c>
      <c r="E12414" s="13" t="s">
        <v>22606</v>
      </c>
      <c r="F12414" s="43">
        <v>70.58</v>
      </c>
    </row>
    <row r="12415" spans="2:6" x14ac:dyDescent="0.25">
      <c r="B12415" s="13" t="s">
        <v>22607</v>
      </c>
      <c r="C12415" s="17" t="s">
        <v>170</v>
      </c>
      <c r="D12415" s="13" t="s">
        <v>118</v>
      </c>
      <c r="E12415" s="13" t="s">
        <v>22608</v>
      </c>
      <c r="F12415" s="43">
        <v>84.35</v>
      </c>
    </row>
    <row r="12416" spans="2:6" x14ac:dyDescent="0.25">
      <c r="B12416" s="13" t="s">
        <v>22609</v>
      </c>
      <c r="C12416" s="17" t="s">
        <v>170</v>
      </c>
      <c r="D12416" s="13" t="s">
        <v>118</v>
      </c>
      <c r="E12416" s="13" t="s">
        <v>22610</v>
      </c>
      <c r="F12416" s="43">
        <v>84.35</v>
      </c>
    </row>
    <row r="12417" spans="2:6" x14ac:dyDescent="0.25">
      <c r="B12417" s="13" t="s">
        <v>22611</v>
      </c>
      <c r="C12417" s="17" t="s">
        <v>170</v>
      </c>
      <c r="D12417" s="13" t="s">
        <v>118</v>
      </c>
      <c r="E12417" s="13" t="s">
        <v>22612</v>
      </c>
      <c r="F12417" s="43">
        <v>76.08</v>
      </c>
    </row>
    <row r="12418" spans="2:6" x14ac:dyDescent="0.25">
      <c r="B12418" s="13" t="s">
        <v>22613</v>
      </c>
      <c r="C12418" s="17" t="s">
        <v>170</v>
      </c>
      <c r="D12418" s="13" t="s">
        <v>118</v>
      </c>
      <c r="E12418" s="13" t="s">
        <v>22614</v>
      </c>
      <c r="F12418" s="43">
        <v>76.08</v>
      </c>
    </row>
    <row r="12419" spans="2:6" x14ac:dyDescent="0.25">
      <c r="B12419" s="13" t="s">
        <v>22615</v>
      </c>
      <c r="C12419" s="17" t="s">
        <v>170</v>
      </c>
      <c r="D12419" s="13" t="s">
        <v>118</v>
      </c>
      <c r="E12419" s="13" t="s">
        <v>22616</v>
      </c>
      <c r="F12419" s="43">
        <v>110.39</v>
      </c>
    </row>
    <row r="12420" spans="2:6" x14ac:dyDescent="0.25">
      <c r="B12420" s="13" t="s">
        <v>22617</v>
      </c>
      <c r="C12420" s="17" t="s">
        <v>170</v>
      </c>
      <c r="D12420" s="13" t="s">
        <v>118</v>
      </c>
      <c r="E12420" s="13" t="s">
        <v>22618</v>
      </c>
      <c r="F12420" s="43">
        <v>110.39</v>
      </c>
    </row>
    <row r="12421" spans="2:6" x14ac:dyDescent="0.25">
      <c r="B12421" s="13" t="s">
        <v>22619</v>
      </c>
      <c r="C12421" s="17" t="s">
        <v>170</v>
      </c>
      <c r="D12421" s="13" t="s">
        <v>118</v>
      </c>
      <c r="E12421" s="13" t="s">
        <v>22620</v>
      </c>
      <c r="F12421" s="43">
        <v>121.98</v>
      </c>
    </row>
    <row r="12422" spans="2:6" x14ac:dyDescent="0.25">
      <c r="B12422" s="13" t="s">
        <v>22621</v>
      </c>
      <c r="C12422" s="17" t="s">
        <v>170</v>
      </c>
      <c r="D12422" s="13" t="s">
        <v>118</v>
      </c>
      <c r="E12422" s="13" t="s">
        <v>22622</v>
      </c>
      <c r="F12422" s="43">
        <v>121.98</v>
      </c>
    </row>
    <row r="12423" spans="2:6" x14ac:dyDescent="0.25">
      <c r="B12423" s="13" t="s">
        <v>22623</v>
      </c>
      <c r="C12423" s="17" t="s">
        <v>170</v>
      </c>
      <c r="D12423" s="13" t="s">
        <v>118</v>
      </c>
      <c r="E12423" s="13" t="s">
        <v>22624</v>
      </c>
      <c r="F12423" s="43">
        <v>116.94</v>
      </c>
    </row>
    <row r="12424" spans="2:6" x14ac:dyDescent="0.25">
      <c r="B12424" s="13" t="s">
        <v>22625</v>
      </c>
      <c r="C12424" s="17" t="s">
        <v>170</v>
      </c>
      <c r="D12424" s="13" t="s">
        <v>118</v>
      </c>
      <c r="E12424" s="13" t="s">
        <v>22626</v>
      </c>
      <c r="F12424" s="43">
        <v>116.94</v>
      </c>
    </row>
    <row r="12425" spans="2:6" x14ac:dyDescent="0.25">
      <c r="B12425" s="13" t="s">
        <v>22627</v>
      </c>
      <c r="C12425" s="17" t="s">
        <v>170</v>
      </c>
      <c r="D12425" s="13" t="s">
        <v>118</v>
      </c>
      <c r="E12425" s="13" t="s">
        <v>22628</v>
      </c>
      <c r="F12425" s="43">
        <v>70.58</v>
      </c>
    </row>
    <row r="12426" spans="2:6" x14ac:dyDescent="0.25">
      <c r="B12426" s="13" t="s">
        <v>22629</v>
      </c>
      <c r="C12426" s="17" t="s">
        <v>170</v>
      </c>
      <c r="D12426" s="13" t="s">
        <v>118</v>
      </c>
      <c r="E12426" s="13" t="s">
        <v>22630</v>
      </c>
      <c r="F12426" s="43">
        <v>70.58</v>
      </c>
    </row>
    <row r="12427" spans="2:6" x14ac:dyDescent="0.25">
      <c r="B12427" s="13" t="s">
        <v>22631</v>
      </c>
      <c r="C12427" s="17" t="s">
        <v>170</v>
      </c>
      <c r="D12427" s="13" t="s">
        <v>118</v>
      </c>
      <c r="E12427" s="13" t="s">
        <v>22632</v>
      </c>
      <c r="F12427" s="43">
        <v>97.31</v>
      </c>
    </row>
    <row r="12428" spans="2:6" x14ac:dyDescent="0.25">
      <c r="B12428" s="13" t="s">
        <v>22633</v>
      </c>
      <c r="C12428" s="17" t="s">
        <v>170</v>
      </c>
      <c r="D12428" s="13" t="s">
        <v>118</v>
      </c>
      <c r="E12428" s="13" t="s">
        <v>22634</v>
      </c>
      <c r="F12428" s="43">
        <v>97.31</v>
      </c>
    </row>
    <row r="12429" spans="2:6" x14ac:dyDescent="0.25">
      <c r="B12429" s="13" t="s">
        <v>22635</v>
      </c>
      <c r="C12429" s="17" t="s">
        <v>170</v>
      </c>
      <c r="D12429" s="13" t="s">
        <v>118</v>
      </c>
      <c r="E12429" s="13" t="s">
        <v>22636</v>
      </c>
      <c r="F12429" s="43">
        <v>87.79</v>
      </c>
    </row>
    <row r="12430" spans="2:6" x14ac:dyDescent="0.25">
      <c r="B12430" s="13" t="s">
        <v>22637</v>
      </c>
      <c r="C12430" s="17" t="s">
        <v>170</v>
      </c>
      <c r="D12430" s="13" t="s">
        <v>118</v>
      </c>
      <c r="E12430" s="13" t="s">
        <v>22638</v>
      </c>
      <c r="F12430" s="43">
        <v>87.79</v>
      </c>
    </row>
    <row r="12431" spans="2:6" x14ac:dyDescent="0.25">
      <c r="B12431" s="13" t="s">
        <v>22639</v>
      </c>
      <c r="C12431" s="17" t="s">
        <v>170</v>
      </c>
      <c r="D12431" s="13" t="s">
        <v>118</v>
      </c>
      <c r="E12431" s="13" t="s">
        <v>22640</v>
      </c>
      <c r="F12431" s="43">
        <v>116.02</v>
      </c>
    </row>
    <row r="12432" spans="2:6" x14ac:dyDescent="0.25">
      <c r="B12432" s="13" t="s">
        <v>22641</v>
      </c>
      <c r="C12432" s="17" t="s">
        <v>170</v>
      </c>
      <c r="D12432" s="13" t="s">
        <v>118</v>
      </c>
      <c r="E12432" s="13" t="s">
        <v>22642</v>
      </c>
      <c r="F12432" s="43">
        <v>116.02</v>
      </c>
    </row>
    <row r="12433" spans="2:6" x14ac:dyDescent="0.25">
      <c r="B12433" s="13" t="s">
        <v>22643</v>
      </c>
      <c r="C12433" s="17" t="s">
        <v>170</v>
      </c>
      <c r="D12433" s="13" t="s">
        <v>118</v>
      </c>
      <c r="E12433" s="13" t="s">
        <v>22644</v>
      </c>
      <c r="F12433" s="43">
        <v>128.63999999999999</v>
      </c>
    </row>
    <row r="12434" spans="2:6" x14ac:dyDescent="0.25">
      <c r="B12434" s="13" t="s">
        <v>22645</v>
      </c>
      <c r="C12434" s="17" t="s">
        <v>170</v>
      </c>
      <c r="D12434" s="13" t="s">
        <v>118</v>
      </c>
      <c r="E12434" s="13" t="s">
        <v>22646</v>
      </c>
      <c r="F12434" s="43">
        <v>128.63999999999999</v>
      </c>
    </row>
    <row r="12435" spans="2:6" x14ac:dyDescent="0.25">
      <c r="B12435" s="13" t="s">
        <v>22647</v>
      </c>
      <c r="C12435" s="17" t="s">
        <v>170</v>
      </c>
      <c r="D12435" s="13" t="s">
        <v>118</v>
      </c>
      <c r="E12435" s="13" t="s">
        <v>22648</v>
      </c>
      <c r="F12435" s="43">
        <v>122.67</v>
      </c>
    </row>
    <row r="12436" spans="2:6" x14ac:dyDescent="0.25">
      <c r="B12436" s="13" t="s">
        <v>22649</v>
      </c>
      <c r="C12436" s="17" t="s">
        <v>170</v>
      </c>
      <c r="D12436" s="13" t="s">
        <v>118</v>
      </c>
      <c r="E12436" s="13" t="s">
        <v>22650</v>
      </c>
      <c r="F12436" s="43">
        <v>122.67</v>
      </c>
    </row>
    <row r="12437" spans="2:6" x14ac:dyDescent="0.25">
      <c r="B12437" s="13" t="s">
        <v>22651</v>
      </c>
      <c r="C12437" s="17" t="s">
        <v>170</v>
      </c>
      <c r="D12437" s="13" t="s">
        <v>118</v>
      </c>
      <c r="E12437" s="13" t="s">
        <v>22652</v>
      </c>
      <c r="F12437" s="43">
        <v>117.28</v>
      </c>
    </row>
    <row r="12438" spans="2:6" x14ac:dyDescent="0.25">
      <c r="B12438" s="13" t="s">
        <v>22653</v>
      </c>
      <c r="C12438" s="17" t="s">
        <v>170</v>
      </c>
      <c r="D12438" s="13" t="s">
        <v>118</v>
      </c>
      <c r="E12438" s="13" t="s">
        <v>22654</v>
      </c>
      <c r="F12438" s="43">
        <v>117.28</v>
      </c>
    </row>
    <row r="12439" spans="2:6" x14ac:dyDescent="0.25">
      <c r="B12439" s="13" t="s">
        <v>22655</v>
      </c>
      <c r="C12439" s="17" t="s">
        <v>170</v>
      </c>
      <c r="D12439" s="13" t="s">
        <v>118</v>
      </c>
      <c r="E12439" s="13" t="s">
        <v>22656</v>
      </c>
      <c r="F12439" s="43">
        <v>148.49</v>
      </c>
    </row>
    <row r="12440" spans="2:6" x14ac:dyDescent="0.25">
      <c r="B12440" s="13" t="s">
        <v>22657</v>
      </c>
      <c r="C12440" s="17" t="s">
        <v>170</v>
      </c>
      <c r="D12440" s="13" t="s">
        <v>118</v>
      </c>
      <c r="E12440" s="13" t="s">
        <v>22658</v>
      </c>
      <c r="F12440" s="43">
        <v>148.49</v>
      </c>
    </row>
    <row r="12441" spans="2:6" x14ac:dyDescent="0.25">
      <c r="B12441" s="13" t="s">
        <v>22659</v>
      </c>
      <c r="C12441" s="17" t="s">
        <v>170</v>
      </c>
      <c r="D12441" s="13" t="s">
        <v>118</v>
      </c>
      <c r="E12441" s="13" t="s">
        <v>22660</v>
      </c>
      <c r="F12441" s="43">
        <v>133.80000000000001</v>
      </c>
    </row>
    <row r="12442" spans="2:6" x14ac:dyDescent="0.25">
      <c r="B12442" s="13" t="s">
        <v>22661</v>
      </c>
      <c r="C12442" s="17" t="s">
        <v>170</v>
      </c>
      <c r="D12442" s="13" t="s">
        <v>118</v>
      </c>
      <c r="E12442" s="13" t="s">
        <v>22662</v>
      </c>
      <c r="F12442" s="43">
        <v>133.80000000000001</v>
      </c>
    </row>
    <row r="12443" spans="2:6" x14ac:dyDescent="0.25">
      <c r="B12443" s="13" t="s">
        <v>22663</v>
      </c>
      <c r="C12443" s="17" t="s">
        <v>170</v>
      </c>
      <c r="D12443" s="13" t="s">
        <v>118</v>
      </c>
      <c r="E12443" s="13" t="s">
        <v>22664</v>
      </c>
      <c r="F12443" s="43">
        <v>190.49</v>
      </c>
    </row>
    <row r="12444" spans="2:6" x14ac:dyDescent="0.25">
      <c r="B12444" s="13" t="s">
        <v>22665</v>
      </c>
      <c r="C12444" s="17" t="s">
        <v>170</v>
      </c>
      <c r="D12444" s="13" t="s">
        <v>118</v>
      </c>
      <c r="E12444" s="13" t="s">
        <v>22666</v>
      </c>
      <c r="F12444" s="43">
        <v>190.49</v>
      </c>
    </row>
    <row r="12445" spans="2:6" x14ac:dyDescent="0.25">
      <c r="B12445" s="13" t="s">
        <v>22667</v>
      </c>
      <c r="C12445" s="17" t="s">
        <v>170</v>
      </c>
      <c r="D12445" s="13" t="s">
        <v>118</v>
      </c>
      <c r="E12445" s="13" t="s">
        <v>22668</v>
      </c>
      <c r="F12445" s="43">
        <v>211.37</v>
      </c>
    </row>
    <row r="12446" spans="2:6" x14ac:dyDescent="0.25">
      <c r="B12446" s="13" t="s">
        <v>22669</v>
      </c>
      <c r="C12446" s="17" t="s">
        <v>170</v>
      </c>
      <c r="D12446" s="13" t="s">
        <v>118</v>
      </c>
      <c r="E12446" s="13" t="s">
        <v>22670</v>
      </c>
      <c r="F12446" s="43">
        <v>211.37</v>
      </c>
    </row>
    <row r="12447" spans="2:6" x14ac:dyDescent="0.25">
      <c r="B12447" s="13" t="s">
        <v>22671</v>
      </c>
      <c r="C12447" s="17" t="s">
        <v>170</v>
      </c>
      <c r="D12447" s="13" t="s">
        <v>118</v>
      </c>
      <c r="E12447" s="13" t="s">
        <v>22672</v>
      </c>
      <c r="F12447" s="43">
        <v>230.54</v>
      </c>
    </row>
    <row r="12448" spans="2:6" x14ac:dyDescent="0.25">
      <c r="B12448" s="13" t="s">
        <v>22673</v>
      </c>
      <c r="C12448" s="17" t="s">
        <v>170</v>
      </c>
      <c r="D12448" s="13" t="s">
        <v>118</v>
      </c>
      <c r="E12448" s="13" t="s">
        <v>22674</v>
      </c>
      <c r="F12448" s="43">
        <v>230.54</v>
      </c>
    </row>
    <row r="12449" spans="2:6" x14ac:dyDescent="0.25">
      <c r="B12449" s="13" t="s">
        <v>22675</v>
      </c>
      <c r="C12449" s="17" t="s">
        <v>170</v>
      </c>
      <c r="D12449" s="13" t="s">
        <v>118</v>
      </c>
      <c r="E12449" s="13" t="s">
        <v>22676</v>
      </c>
      <c r="F12449" s="43">
        <v>133.57</v>
      </c>
    </row>
    <row r="12450" spans="2:6" x14ac:dyDescent="0.25">
      <c r="B12450" s="13" t="s">
        <v>22677</v>
      </c>
      <c r="C12450" s="17" t="s">
        <v>170</v>
      </c>
      <c r="D12450" s="13" t="s">
        <v>118</v>
      </c>
      <c r="E12450" s="13" t="s">
        <v>22678</v>
      </c>
      <c r="F12450" s="43">
        <v>133.57</v>
      </c>
    </row>
    <row r="12451" spans="2:6" x14ac:dyDescent="0.25">
      <c r="B12451" s="13" t="s">
        <v>22679</v>
      </c>
      <c r="C12451" s="17" t="s">
        <v>170</v>
      </c>
      <c r="D12451" s="13" t="s">
        <v>118</v>
      </c>
      <c r="E12451" s="13" t="s">
        <v>22680</v>
      </c>
      <c r="F12451" s="43">
        <v>186.36</v>
      </c>
    </row>
    <row r="12452" spans="2:6" x14ac:dyDescent="0.25">
      <c r="B12452" s="13" t="s">
        <v>22681</v>
      </c>
      <c r="C12452" s="17" t="s">
        <v>170</v>
      </c>
      <c r="D12452" s="13" t="s">
        <v>118</v>
      </c>
      <c r="E12452" s="13" t="s">
        <v>22682</v>
      </c>
      <c r="F12452" s="43">
        <v>186.36</v>
      </c>
    </row>
    <row r="12453" spans="2:6" x14ac:dyDescent="0.25">
      <c r="B12453" s="13" t="s">
        <v>22683</v>
      </c>
      <c r="C12453" s="17" t="s">
        <v>170</v>
      </c>
      <c r="D12453" s="13" t="s">
        <v>118</v>
      </c>
      <c r="E12453" s="13" t="s">
        <v>22684</v>
      </c>
      <c r="F12453" s="43">
        <v>167.88</v>
      </c>
    </row>
    <row r="12454" spans="2:6" x14ac:dyDescent="0.25">
      <c r="B12454" s="13" t="s">
        <v>22685</v>
      </c>
      <c r="C12454" s="17" t="s">
        <v>170</v>
      </c>
      <c r="D12454" s="13" t="s">
        <v>118</v>
      </c>
      <c r="E12454" s="13" t="s">
        <v>22686</v>
      </c>
      <c r="F12454" s="43">
        <v>167.88</v>
      </c>
    </row>
    <row r="12455" spans="2:6" x14ac:dyDescent="0.25">
      <c r="B12455" s="13" t="s">
        <v>22687</v>
      </c>
      <c r="C12455" s="17" t="s">
        <v>170</v>
      </c>
      <c r="D12455" s="13" t="s">
        <v>118</v>
      </c>
      <c r="E12455" s="13" t="s">
        <v>22688</v>
      </c>
      <c r="F12455" s="43">
        <v>196.23</v>
      </c>
    </row>
    <row r="12456" spans="2:6" x14ac:dyDescent="0.25">
      <c r="B12456" s="13" t="s">
        <v>22689</v>
      </c>
      <c r="C12456" s="17" t="s">
        <v>170</v>
      </c>
      <c r="D12456" s="13" t="s">
        <v>118</v>
      </c>
      <c r="E12456" s="13" t="s">
        <v>22690</v>
      </c>
      <c r="F12456" s="43">
        <v>196.23</v>
      </c>
    </row>
    <row r="12457" spans="2:6" x14ac:dyDescent="0.25">
      <c r="B12457" s="13" t="s">
        <v>22691</v>
      </c>
      <c r="C12457" s="17" t="s">
        <v>170</v>
      </c>
      <c r="D12457" s="13" t="s">
        <v>118</v>
      </c>
      <c r="E12457" s="13" t="s">
        <v>22692</v>
      </c>
      <c r="F12457" s="43">
        <v>217.69</v>
      </c>
    </row>
    <row r="12458" spans="2:6" x14ac:dyDescent="0.25">
      <c r="B12458" s="13" t="s">
        <v>22693</v>
      </c>
      <c r="C12458" s="17" t="s">
        <v>170</v>
      </c>
      <c r="D12458" s="13" t="s">
        <v>118</v>
      </c>
      <c r="E12458" s="13" t="s">
        <v>22694</v>
      </c>
      <c r="F12458" s="43">
        <v>217.69</v>
      </c>
    </row>
    <row r="12459" spans="2:6" x14ac:dyDescent="0.25">
      <c r="B12459" s="13" t="s">
        <v>22695</v>
      </c>
      <c r="C12459" s="17" t="s">
        <v>170</v>
      </c>
      <c r="D12459" s="13" t="s">
        <v>118</v>
      </c>
      <c r="E12459" s="13" t="s">
        <v>22696</v>
      </c>
      <c r="F12459" s="43">
        <v>236.28</v>
      </c>
    </row>
    <row r="12460" spans="2:6" x14ac:dyDescent="0.25">
      <c r="B12460" s="13" t="s">
        <v>22697</v>
      </c>
      <c r="C12460" s="17" t="s">
        <v>170</v>
      </c>
      <c r="D12460" s="13" t="s">
        <v>118</v>
      </c>
      <c r="E12460" s="13" t="s">
        <v>22698</v>
      </c>
      <c r="F12460" s="43">
        <v>236.28</v>
      </c>
    </row>
    <row r="12461" spans="2:6" x14ac:dyDescent="0.25">
      <c r="B12461" s="13" t="s">
        <v>22699</v>
      </c>
      <c r="C12461" s="17" t="s">
        <v>170</v>
      </c>
      <c r="D12461" s="13" t="s">
        <v>118</v>
      </c>
      <c r="E12461" s="13" t="s">
        <v>22700</v>
      </c>
      <c r="F12461" s="43">
        <v>68.739999999999995</v>
      </c>
    </row>
    <row r="12462" spans="2:6" x14ac:dyDescent="0.25">
      <c r="B12462" s="13" t="s">
        <v>22701</v>
      </c>
      <c r="C12462" s="17" t="s">
        <v>170</v>
      </c>
      <c r="D12462" s="13" t="s">
        <v>118</v>
      </c>
      <c r="E12462" s="13" t="s">
        <v>22702</v>
      </c>
      <c r="F12462" s="43">
        <v>68.739999999999995</v>
      </c>
    </row>
    <row r="12463" spans="2:6" x14ac:dyDescent="0.25">
      <c r="B12463" s="13" t="s">
        <v>22703</v>
      </c>
      <c r="C12463" s="17" t="s">
        <v>170</v>
      </c>
      <c r="D12463" s="13" t="s">
        <v>118</v>
      </c>
      <c r="E12463" s="13" t="s">
        <v>22704</v>
      </c>
      <c r="F12463" s="43">
        <v>84.35</v>
      </c>
    </row>
    <row r="12464" spans="2:6" x14ac:dyDescent="0.25">
      <c r="B12464" s="13" t="s">
        <v>22705</v>
      </c>
      <c r="C12464" s="17" t="s">
        <v>170</v>
      </c>
      <c r="D12464" s="13" t="s">
        <v>118</v>
      </c>
      <c r="E12464" s="13" t="s">
        <v>22706</v>
      </c>
      <c r="F12464" s="43">
        <v>84.35</v>
      </c>
    </row>
    <row r="12465" spans="2:6" x14ac:dyDescent="0.25">
      <c r="B12465" s="13" t="s">
        <v>22707</v>
      </c>
      <c r="C12465" s="17" t="s">
        <v>170</v>
      </c>
      <c r="D12465" s="13" t="s">
        <v>118</v>
      </c>
      <c r="E12465" s="13" t="s">
        <v>22708</v>
      </c>
      <c r="F12465" s="43">
        <v>74.13</v>
      </c>
    </row>
    <row r="12466" spans="2:6" x14ac:dyDescent="0.25">
      <c r="B12466" s="13" t="s">
        <v>22709</v>
      </c>
      <c r="C12466" s="17" t="s">
        <v>170</v>
      </c>
      <c r="D12466" s="13" t="s">
        <v>118</v>
      </c>
      <c r="E12466" s="13" t="s">
        <v>22710</v>
      </c>
      <c r="F12466" s="43">
        <v>74.13</v>
      </c>
    </row>
    <row r="12467" spans="2:6" x14ac:dyDescent="0.25">
      <c r="B12467" s="13" t="s">
        <v>22711</v>
      </c>
      <c r="C12467" s="17" t="s">
        <v>170</v>
      </c>
      <c r="D12467" s="13" t="s">
        <v>118</v>
      </c>
      <c r="E12467" s="13" t="s">
        <v>22712</v>
      </c>
      <c r="F12467" s="43">
        <v>108.44</v>
      </c>
    </row>
    <row r="12468" spans="2:6" x14ac:dyDescent="0.25">
      <c r="B12468" s="13" t="s">
        <v>22713</v>
      </c>
      <c r="C12468" s="17" t="s">
        <v>170</v>
      </c>
      <c r="D12468" s="13" t="s">
        <v>118</v>
      </c>
      <c r="E12468" s="13" t="s">
        <v>22714</v>
      </c>
      <c r="F12468" s="43">
        <v>108.44</v>
      </c>
    </row>
    <row r="12469" spans="2:6" x14ac:dyDescent="0.25">
      <c r="B12469" s="13" t="s">
        <v>22715</v>
      </c>
      <c r="C12469" s="17" t="s">
        <v>170</v>
      </c>
      <c r="D12469" s="13" t="s">
        <v>118</v>
      </c>
      <c r="E12469" s="13" t="s">
        <v>22716</v>
      </c>
      <c r="F12469" s="43">
        <v>122.33</v>
      </c>
    </row>
    <row r="12470" spans="2:6" x14ac:dyDescent="0.25">
      <c r="B12470" s="13" t="s">
        <v>22717</v>
      </c>
      <c r="C12470" s="17" t="s">
        <v>170</v>
      </c>
      <c r="D12470" s="13" t="s">
        <v>118</v>
      </c>
      <c r="E12470" s="13" t="s">
        <v>22718</v>
      </c>
      <c r="F12470" s="43">
        <v>122.33</v>
      </c>
    </row>
    <row r="12471" spans="2:6" x14ac:dyDescent="0.25">
      <c r="B12471" s="13" t="s">
        <v>22719</v>
      </c>
      <c r="C12471" s="17" t="s">
        <v>170</v>
      </c>
      <c r="D12471" s="13" t="s">
        <v>118</v>
      </c>
      <c r="E12471" s="13" t="s">
        <v>22720</v>
      </c>
      <c r="F12471" s="43">
        <v>114.98</v>
      </c>
    </row>
    <row r="12472" spans="2:6" x14ac:dyDescent="0.25">
      <c r="B12472" s="13" t="s">
        <v>22721</v>
      </c>
      <c r="C12472" s="17" t="s">
        <v>170</v>
      </c>
      <c r="D12472" s="13" t="s">
        <v>118</v>
      </c>
      <c r="E12472" s="13" t="s">
        <v>22722</v>
      </c>
      <c r="F12472" s="43">
        <v>114.98</v>
      </c>
    </row>
    <row r="12473" spans="2:6" x14ac:dyDescent="0.25">
      <c r="B12473" s="13" t="s">
        <v>22723</v>
      </c>
      <c r="C12473" s="17" t="s">
        <v>170</v>
      </c>
      <c r="D12473" s="13" t="s">
        <v>118</v>
      </c>
      <c r="E12473" s="13" t="s">
        <v>22724</v>
      </c>
      <c r="F12473" s="43">
        <v>68.739999999999995</v>
      </c>
    </row>
    <row r="12474" spans="2:6" x14ac:dyDescent="0.25">
      <c r="B12474" s="13" t="s">
        <v>22725</v>
      </c>
      <c r="C12474" s="17" t="s">
        <v>170</v>
      </c>
      <c r="D12474" s="13" t="s">
        <v>118</v>
      </c>
      <c r="E12474" s="13" t="s">
        <v>22726</v>
      </c>
      <c r="F12474" s="43">
        <v>68.739999999999995</v>
      </c>
    </row>
    <row r="12475" spans="2:6" x14ac:dyDescent="0.25">
      <c r="B12475" s="13" t="s">
        <v>22727</v>
      </c>
      <c r="C12475" s="17" t="s">
        <v>170</v>
      </c>
      <c r="D12475" s="13" t="s">
        <v>118</v>
      </c>
      <c r="E12475" s="13" t="s">
        <v>22728</v>
      </c>
      <c r="F12475" s="43">
        <v>97.31</v>
      </c>
    </row>
    <row r="12476" spans="2:6" x14ac:dyDescent="0.25">
      <c r="B12476" s="13" t="s">
        <v>22729</v>
      </c>
      <c r="C12476" s="17" t="s">
        <v>170</v>
      </c>
      <c r="D12476" s="13" t="s">
        <v>118</v>
      </c>
      <c r="E12476" s="13" t="s">
        <v>22730</v>
      </c>
      <c r="F12476" s="43">
        <v>97.31</v>
      </c>
    </row>
    <row r="12477" spans="2:6" x14ac:dyDescent="0.25">
      <c r="B12477" s="13" t="s">
        <v>22731</v>
      </c>
      <c r="C12477" s="17" t="s">
        <v>170</v>
      </c>
      <c r="D12477" s="13" t="s">
        <v>118</v>
      </c>
      <c r="E12477" s="13" t="s">
        <v>22732</v>
      </c>
      <c r="F12477" s="43">
        <v>85.84</v>
      </c>
    </row>
    <row r="12478" spans="2:6" x14ac:dyDescent="0.25">
      <c r="B12478" s="13" t="s">
        <v>22733</v>
      </c>
      <c r="C12478" s="17" t="s">
        <v>170</v>
      </c>
      <c r="D12478" s="13" t="s">
        <v>118</v>
      </c>
      <c r="E12478" s="13" t="s">
        <v>22734</v>
      </c>
      <c r="F12478" s="43">
        <v>85.84</v>
      </c>
    </row>
    <row r="12479" spans="2:6" x14ac:dyDescent="0.25">
      <c r="B12479" s="13" t="s">
        <v>22735</v>
      </c>
      <c r="C12479" s="17" t="s">
        <v>170</v>
      </c>
      <c r="D12479" s="13" t="s">
        <v>118</v>
      </c>
      <c r="E12479" s="13" t="s">
        <v>22736</v>
      </c>
      <c r="F12479" s="43">
        <v>114.18</v>
      </c>
    </row>
    <row r="12480" spans="2:6" x14ac:dyDescent="0.25">
      <c r="B12480" s="13" t="s">
        <v>22737</v>
      </c>
      <c r="C12480" s="17" t="s">
        <v>170</v>
      </c>
      <c r="D12480" s="13" t="s">
        <v>118</v>
      </c>
      <c r="E12480" s="13" t="s">
        <v>22738</v>
      </c>
      <c r="F12480" s="43">
        <v>114.18</v>
      </c>
    </row>
    <row r="12481" spans="2:6" x14ac:dyDescent="0.25">
      <c r="B12481" s="13" t="s">
        <v>22739</v>
      </c>
      <c r="C12481" s="17" t="s">
        <v>170</v>
      </c>
      <c r="D12481" s="13" t="s">
        <v>118</v>
      </c>
      <c r="E12481" s="13" t="s">
        <v>22740</v>
      </c>
      <c r="F12481" s="43">
        <v>128.63999999999999</v>
      </c>
    </row>
    <row r="12482" spans="2:6" x14ac:dyDescent="0.25">
      <c r="B12482" s="13" t="s">
        <v>22741</v>
      </c>
      <c r="C12482" s="17" t="s">
        <v>170</v>
      </c>
      <c r="D12482" s="13" t="s">
        <v>118</v>
      </c>
      <c r="E12482" s="13" t="s">
        <v>22742</v>
      </c>
      <c r="F12482" s="43">
        <v>128.63999999999999</v>
      </c>
    </row>
    <row r="12483" spans="2:6" x14ac:dyDescent="0.25">
      <c r="B12483" s="13" t="s">
        <v>22743</v>
      </c>
      <c r="C12483" s="17" t="s">
        <v>170</v>
      </c>
      <c r="D12483" s="13" t="s">
        <v>118</v>
      </c>
      <c r="E12483" s="13" t="s">
        <v>22744</v>
      </c>
      <c r="F12483" s="43">
        <v>120.72</v>
      </c>
    </row>
    <row r="12484" spans="2:6" x14ac:dyDescent="0.25">
      <c r="B12484" s="13" t="s">
        <v>22745</v>
      </c>
      <c r="C12484" s="17" t="s">
        <v>170</v>
      </c>
      <c r="D12484" s="13" t="s">
        <v>118</v>
      </c>
      <c r="E12484" s="13" t="s">
        <v>22746</v>
      </c>
      <c r="F12484" s="43">
        <v>120.72</v>
      </c>
    </row>
    <row r="12485" spans="2:6" x14ac:dyDescent="0.25">
      <c r="B12485" s="13" t="s">
        <v>22747</v>
      </c>
      <c r="C12485" s="17" t="s">
        <v>170</v>
      </c>
      <c r="D12485" s="13" t="s">
        <v>118</v>
      </c>
      <c r="E12485" s="13" t="s">
        <v>22748</v>
      </c>
      <c r="F12485" s="43">
        <v>123.93</v>
      </c>
    </row>
    <row r="12486" spans="2:6" x14ac:dyDescent="0.25">
      <c r="B12486" s="13" t="s">
        <v>22749</v>
      </c>
      <c r="C12486" s="17" t="s">
        <v>170</v>
      </c>
      <c r="D12486" s="13" t="s">
        <v>118</v>
      </c>
      <c r="E12486" s="13" t="s">
        <v>22750</v>
      </c>
      <c r="F12486" s="43">
        <v>126.92</v>
      </c>
    </row>
    <row r="12487" spans="2:6" x14ac:dyDescent="0.25">
      <c r="B12487" s="13" t="s">
        <v>22751</v>
      </c>
      <c r="C12487" s="17" t="s">
        <v>170</v>
      </c>
      <c r="D12487" s="13" t="s">
        <v>118</v>
      </c>
      <c r="E12487" s="13" t="s">
        <v>22752</v>
      </c>
      <c r="F12487" s="43">
        <v>151.59</v>
      </c>
    </row>
    <row r="12488" spans="2:6" x14ac:dyDescent="0.25">
      <c r="B12488" s="13" t="s">
        <v>22753</v>
      </c>
      <c r="C12488" s="17" t="s">
        <v>170</v>
      </c>
      <c r="D12488" s="13" t="s">
        <v>118</v>
      </c>
      <c r="E12488" s="13" t="s">
        <v>22754</v>
      </c>
      <c r="F12488" s="43">
        <v>160.54</v>
      </c>
    </row>
    <row r="12489" spans="2:6" x14ac:dyDescent="0.25">
      <c r="B12489" s="13" t="s">
        <v>22755</v>
      </c>
      <c r="C12489" s="17" t="s">
        <v>170</v>
      </c>
      <c r="D12489" s="13" t="s">
        <v>118</v>
      </c>
      <c r="E12489" s="13" t="s">
        <v>22756</v>
      </c>
      <c r="F12489" s="43">
        <v>136.66999999999999</v>
      </c>
    </row>
    <row r="12490" spans="2:6" x14ac:dyDescent="0.25">
      <c r="B12490" s="13" t="s">
        <v>22757</v>
      </c>
      <c r="C12490" s="17" t="s">
        <v>170</v>
      </c>
      <c r="D12490" s="13" t="s">
        <v>118</v>
      </c>
      <c r="E12490" s="13" t="s">
        <v>22758</v>
      </c>
      <c r="F12490" s="43">
        <v>144.82</v>
      </c>
    </row>
    <row r="12491" spans="2:6" x14ac:dyDescent="0.25">
      <c r="B12491" s="13" t="s">
        <v>22759</v>
      </c>
      <c r="C12491" s="17" t="s">
        <v>170</v>
      </c>
      <c r="D12491" s="13" t="s">
        <v>118</v>
      </c>
      <c r="E12491" s="13" t="s">
        <v>22760</v>
      </c>
      <c r="F12491" s="43">
        <v>202.31</v>
      </c>
    </row>
    <row r="12492" spans="2:6" x14ac:dyDescent="0.25">
      <c r="B12492" s="13" t="s">
        <v>22761</v>
      </c>
      <c r="C12492" s="17" t="s">
        <v>170</v>
      </c>
      <c r="D12492" s="13" t="s">
        <v>118</v>
      </c>
      <c r="E12492" s="13" t="s">
        <v>22762</v>
      </c>
      <c r="F12492" s="43">
        <v>202.31</v>
      </c>
    </row>
    <row r="12493" spans="2:6" x14ac:dyDescent="0.25">
      <c r="B12493" s="13" t="s">
        <v>22763</v>
      </c>
      <c r="C12493" s="17" t="s">
        <v>170</v>
      </c>
      <c r="D12493" s="13" t="s">
        <v>118</v>
      </c>
      <c r="E12493" s="13" t="s">
        <v>22764</v>
      </c>
      <c r="F12493" s="43">
        <v>224.46</v>
      </c>
    </row>
    <row r="12494" spans="2:6" x14ac:dyDescent="0.25">
      <c r="B12494" s="13" t="s">
        <v>22765</v>
      </c>
      <c r="C12494" s="17" t="s">
        <v>170</v>
      </c>
      <c r="D12494" s="13" t="s">
        <v>118</v>
      </c>
      <c r="E12494" s="13" t="s">
        <v>22766</v>
      </c>
      <c r="F12494" s="43">
        <v>224.46</v>
      </c>
    </row>
    <row r="12495" spans="2:6" x14ac:dyDescent="0.25">
      <c r="B12495" s="13" t="s">
        <v>22767</v>
      </c>
      <c r="C12495" s="17" t="s">
        <v>170</v>
      </c>
      <c r="D12495" s="13" t="s">
        <v>118</v>
      </c>
      <c r="E12495" s="13" t="s">
        <v>22768</v>
      </c>
      <c r="F12495" s="43">
        <v>237.77</v>
      </c>
    </row>
    <row r="12496" spans="2:6" x14ac:dyDescent="0.25">
      <c r="B12496" s="13" t="s">
        <v>22769</v>
      </c>
      <c r="C12496" s="17" t="s">
        <v>170</v>
      </c>
      <c r="D12496" s="13" t="s">
        <v>118</v>
      </c>
      <c r="E12496" s="13" t="s">
        <v>22770</v>
      </c>
      <c r="F12496" s="43">
        <v>237.77</v>
      </c>
    </row>
    <row r="12497" spans="2:6" x14ac:dyDescent="0.25">
      <c r="B12497" s="13" t="s">
        <v>22771</v>
      </c>
      <c r="C12497" s="17" t="s">
        <v>170</v>
      </c>
      <c r="D12497" s="13" t="s">
        <v>118</v>
      </c>
      <c r="E12497" s="13" t="s">
        <v>22772</v>
      </c>
      <c r="F12497" s="43">
        <v>179.36</v>
      </c>
    </row>
    <row r="12498" spans="2:6" x14ac:dyDescent="0.25">
      <c r="B12498" s="13" t="s">
        <v>22773</v>
      </c>
      <c r="C12498" s="17" t="s">
        <v>170</v>
      </c>
      <c r="D12498" s="13" t="s">
        <v>118</v>
      </c>
      <c r="E12498" s="13" t="s">
        <v>22774</v>
      </c>
      <c r="F12498" s="43">
        <v>179.36</v>
      </c>
    </row>
    <row r="12499" spans="2:6" x14ac:dyDescent="0.25">
      <c r="B12499" s="13" t="s">
        <v>22775</v>
      </c>
      <c r="C12499" s="17" t="s">
        <v>170</v>
      </c>
      <c r="D12499" s="13" t="s">
        <v>118</v>
      </c>
      <c r="E12499" s="13" t="s">
        <v>22776</v>
      </c>
      <c r="F12499" s="43">
        <v>210.23</v>
      </c>
    </row>
    <row r="12500" spans="2:6" x14ac:dyDescent="0.25">
      <c r="B12500" s="13" t="s">
        <v>22777</v>
      </c>
      <c r="C12500" s="17" t="s">
        <v>170</v>
      </c>
      <c r="D12500" s="13" t="s">
        <v>118</v>
      </c>
      <c r="E12500" s="13" t="s">
        <v>22778</v>
      </c>
      <c r="F12500" s="43">
        <v>210.23</v>
      </c>
    </row>
    <row r="12501" spans="2:6" x14ac:dyDescent="0.25">
      <c r="B12501" s="13" t="s">
        <v>22779</v>
      </c>
      <c r="C12501" s="17" t="s">
        <v>170</v>
      </c>
      <c r="D12501" s="13" t="s">
        <v>118</v>
      </c>
      <c r="E12501" s="13" t="s">
        <v>22780</v>
      </c>
      <c r="F12501" s="43">
        <v>189.46</v>
      </c>
    </row>
    <row r="12502" spans="2:6" x14ac:dyDescent="0.25">
      <c r="B12502" s="13" t="s">
        <v>22781</v>
      </c>
      <c r="C12502" s="17" t="s">
        <v>170</v>
      </c>
      <c r="D12502" s="13" t="s">
        <v>118</v>
      </c>
      <c r="E12502" s="13" t="s">
        <v>22782</v>
      </c>
      <c r="F12502" s="43">
        <v>189.46</v>
      </c>
    </row>
    <row r="12503" spans="2:6" x14ac:dyDescent="0.25">
      <c r="B12503" s="13" t="s">
        <v>22783</v>
      </c>
      <c r="C12503" s="17" t="s">
        <v>170</v>
      </c>
      <c r="D12503" s="13" t="s">
        <v>118</v>
      </c>
      <c r="E12503" s="13" t="s">
        <v>22784</v>
      </c>
      <c r="F12503" s="43">
        <v>207.93</v>
      </c>
    </row>
    <row r="12504" spans="2:6" x14ac:dyDescent="0.25">
      <c r="B12504" s="13" t="s">
        <v>22785</v>
      </c>
      <c r="C12504" s="17" t="s">
        <v>170</v>
      </c>
      <c r="D12504" s="13" t="s">
        <v>118</v>
      </c>
      <c r="E12504" s="13" t="s">
        <v>22786</v>
      </c>
      <c r="F12504" s="43">
        <v>207.93</v>
      </c>
    </row>
    <row r="12505" spans="2:6" x14ac:dyDescent="0.25">
      <c r="B12505" s="13" t="s">
        <v>22787</v>
      </c>
      <c r="C12505" s="17" t="s">
        <v>170</v>
      </c>
      <c r="D12505" s="13" t="s">
        <v>118</v>
      </c>
      <c r="E12505" s="13" t="s">
        <v>22788</v>
      </c>
      <c r="F12505" s="43">
        <v>230.88</v>
      </c>
    </row>
    <row r="12506" spans="2:6" x14ac:dyDescent="0.25">
      <c r="B12506" s="13" t="s">
        <v>22789</v>
      </c>
      <c r="C12506" s="17" t="s">
        <v>170</v>
      </c>
      <c r="D12506" s="13" t="s">
        <v>118</v>
      </c>
      <c r="E12506" s="13" t="s">
        <v>22790</v>
      </c>
      <c r="F12506" s="43">
        <v>230.88</v>
      </c>
    </row>
    <row r="12507" spans="2:6" x14ac:dyDescent="0.25">
      <c r="B12507" s="13" t="s">
        <v>22791</v>
      </c>
      <c r="C12507" s="17" t="s">
        <v>170</v>
      </c>
      <c r="D12507" s="13" t="s">
        <v>118</v>
      </c>
      <c r="E12507" s="13" t="s">
        <v>22792</v>
      </c>
      <c r="F12507" s="43">
        <v>243.5</v>
      </c>
    </row>
    <row r="12508" spans="2:6" x14ac:dyDescent="0.25">
      <c r="B12508" s="13" t="s">
        <v>22793</v>
      </c>
      <c r="C12508" s="17" t="s">
        <v>170</v>
      </c>
      <c r="D12508" s="13" t="s">
        <v>118</v>
      </c>
      <c r="E12508" s="13" t="s">
        <v>22794</v>
      </c>
      <c r="F12508" s="43">
        <v>243.5</v>
      </c>
    </row>
    <row r="12509" spans="2:6" x14ac:dyDescent="0.25">
      <c r="B12509" s="13" t="s">
        <v>22795</v>
      </c>
      <c r="C12509" s="17" t="s">
        <v>170</v>
      </c>
      <c r="D12509" s="13" t="s">
        <v>118</v>
      </c>
      <c r="E12509" s="13" t="s">
        <v>22796</v>
      </c>
      <c r="F12509" s="43">
        <v>57.38</v>
      </c>
    </row>
    <row r="12510" spans="2:6" x14ac:dyDescent="0.25">
      <c r="B12510" s="13" t="s">
        <v>22797</v>
      </c>
      <c r="C12510" s="17" t="s">
        <v>170</v>
      </c>
      <c r="D12510" s="13" t="s">
        <v>118</v>
      </c>
      <c r="E12510" s="13" t="s">
        <v>22798</v>
      </c>
      <c r="F12510" s="43">
        <v>57.38</v>
      </c>
    </row>
    <row r="12511" spans="2:6" x14ac:dyDescent="0.25">
      <c r="B12511" s="13" t="s">
        <v>22799</v>
      </c>
      <c r="C12511" s="17" t="s">
        <v>170</v>
      </c>
      <c r="D12511" s="13" t="s">
        <v>118</v>
      </c>
      <c r="E12511" s="13" t="s">
        <v>22800</v>
      </c>
      <c r="F12511" s="43">
        <v>79.180000000000007</v>
      </c>
    </row>
    <row r="12512" spans="2:6" x14ac:dyDescent="0.25">
      <c r="B12512" s="13" t="s">
        <v>22801</v>
      </c>
      <c r="C12512" s="17" t="s">
        <v>170</v>
      </c>
      <c r="D12512" s="13" t="s">
        <v>118</v>
      </c>
      <c r="E12512" s="13" t="s">
        <v>22802</v>
      </c>
      <c r="F12512" s="43">
        <v>79.180000000000007</v>
      </c>
    </row>
    <row r="12513" spans="2:6" x14ac:dyDescent="0.25">
      <c r="B12513" s="13" t="s">
        <v>22803</v>
      </c>
      <c r="C12513" s="17" t="s">
        <v>170</v>
      </c>
      <c r="D12513" s="13" t="s">
        <v>118</v>
      </c>
      <c r="E12513" s="13" t="s">
        <v>22804</v>
      </c>
      <c r="F12513" s="43">
        <v>71.260000000000005</v>
      </c>
    </row>
    <row r="12514" spans="2:6" x14ac:dyDescent="0.25">
      <c r="B12514" s="13" t="s">
        <v>22805</v>
      </c>
      <c r="C12514" s="17" t="s">
        <v>170</v>
      </c>
      <c r="D12514" s="13" t="s">
        <v>118</v>
      </c>
      <c r="E12514" s="13" t="s">
        <v>22806</v>
      </c>
      <c r="F12514" s="43">
        <v>71.260000000000005</v>
      </c>
    </row>
    <row r="12515" spans="2:6" x14ac:dyDescent="0.25">
      <c r="B12515" s="13" t="s">
        <v>22807</v>
      </c>
      <c r="C12515" s="17" t="s">
        <v>170</v>
      </c>
      <c r="D12515" s="13" t="s">
        <v>118</v>
      </c>
      <c r="E12515" s="13" t="s">
        <v>22808</v>
      </c>
      <c r="F12515" s="43">
        <v>89.97</v>
      </c>
    </row>
    <row r="12516" spans="2:6" x14ac:dyDescent="0.25">
      <c r="B12516" s="13" t="s">
        <v>22809</v>
      </c>
      <c r="C12516" s="17" t="s">
        <v>170</v>
      </c>
      <c r="D12516" s="13" t="s">
        <v>118</v>
      </c>
      <c r="E12516" s="13" t="s">
        <v>22810</v>
      </c>
      <c r="F12516" s="43">
        <v>89.97</v>
      </c>
    </row>
    <row r="12517" spans="2:6" x14ac:dyDescent="0.25">
      <c r="B12517" s="13" t="s">
        <v>22811</v>
      </c>
      <c r="C12517" s="17" t="s">
        <v>170</v>
      </c>
      <c r="D12517" s="13" t="s">
        <v>118</v>
      </c>
      <c r="E12517" s="13" t="s">
        <v>22812</v>
      </c>
      <c r="F12517" s="43">
        <v>99.95</v>
      </c>
    </row>
    <row r="12518" spans="2:6" x14ac:dyDescent="0.25">
      <c r="B12518" s="13" t="s">
        <v>22813</v>
      </c>
      <c r="C12518" s="17" t="s">
        <v>170</v>
      </c>
      <c r="D12518" s="13" t="s">
        <v>118</v>
      </c>
      <c r="E12518" s="13" t="s">
        <v>22814</v>
      </c>
      <c r="F12518" s="43">
        <v>99.95</v>
      </c>
    </row>
    <row r="12519" spans="2:6" x14ac:dyDescent="0.25">
      <c r="B12519" s="13" t="s">
        <v>22815</v>
      </c>
      <c r="C12519" s="17" t="s">
        <v>170</v>
      </c>
      <c r="D12519" s="13" t="s">
        <v>118</v>
      </c>
      <c r="E12519" s="13" t="s">
        <v>22816</v>
      </c>
      <c r="F12519" s="43">
        <v>95.48</v>
      </c>
    </row>
    <row r="12520" spans="2:6" x14ac:dyDescent="0.25">
      <c r="B12520" s="13" t="s">
        <v>22817</v>
      </c>
      <c r="C12520" s="17" t="s">
        <v>170</v>
      </c>
      <c r="D12520" s="13" t="s">
        <v>118</v>
      </c>
      <c r="E12520" s="13" t="s">
        <v>22818</v>
      </c>
      <c r="F12520" s="43">
        <v>95.48</v>
      </c>
    </row>
    <row r="12521" spans="2:6" x14ac:dyDescent="0.25">
      <c r="B12521" s="13" t="s">
        <v>22819</v>
      </c>
      <c r="C12521" s="17" t="s">
        <v>170</v>
      </c>
      <c r="D12521" s="13" t="s">
        <v>118</v>
      </c>
      <c r="E12521" s="13" t="s">
        <v>22820</v>
      </c>
      <c r="F12521" s="43">
        <v>108.56</v>
      </c>
    </row>
    <row r="12522" spans="2:6" x14ac:dyDescent="0.25">
      <c r="B12522" s="13" t="s">
        <v>22821</v>
      </c>
      <c r="C12522" s="17" t="s">
        <v>170</v>
      </c>
      <c r="D12522" s="13" t="s">
        <v>118</v>
      </c>
      <c r="E12522" s="13" t="s">
        <v>22822</v>
      </c>
      <c r="F12522" s="43">
        <v>108.56</v>
      </c>
    </row>
    <row r="12523" spans="2:6" x14ac:dyDescent="0.25">
      <c r="B12523" s="13" t="s">
        <v>22823</v>
      </c>
      <c r="C12523" s="17" t="s">
        <v>170</v>
      </c>
      <c r="D12523" s="13" t="s">
        <v>118</v>
      </c>
      <c r="E12523" s="13" t="s">
        <v>22824</v>
      </c>
      <c r="F12523" s="43">
        <v>122.9</v>
      </c>
    </row>
    <row r="12524" spans="2:6" x14ac:dyDescent="0.25">
      <c r="B12524" s="13" t="s">
        <v>22825</v>
      </c>
      <c r="C12524" s="17" t="s">
        <v>170</v>
      </c>
      <c r="D12524" s="13" t="s">
        <v>118</v>
      </c>
      <c r="E12524" s="13" t="s">
        <v>22826</v>
      </c>
      <c r="F12524" s="43">
        <v>122.9</v>
      </c>
    </row>
    <row r="12525" spans="2:6" x14ac:dyDescent="0.25">
      <c r="B12525" s="13" t="s">
        <v>22827</v>
      </c>
      <c r="C12525" s="17" t="s">
        <v>170</v>
      </c>
      <c r="D12525" s="13" t="s">
        <v>118</v>
      </c>
      <c r="E12525" s="13" t="s">
        <v>22828</v>
      </c>
      <c r="F12525" s="43">
        <v>110.74</v>
      </c>
    </row>
    <row r="12526" spans="2:6" x14ac:dyDescent="0.25">
      <c r="B12526" s="13" t="s">
        <v>22829</v>
      </c>
      <c r="C12526" s="17" t="s">
        <v>170</v>
      </c>
      <c r="D12526" s="13" t="s">
        <v>118</v>
      </c>
      <c r="E12526" s="13" t="s">
        <v>22830</v>
      </c>
      <c r="F12526" s="43">
        <v>110.74</v>
      </c>
    </row>
    <row r="12527" spans="2:6" x14ac:dyDescent="0.25">
      <c r="B12527" s="13" t="s">
        <v>22831</v>
      </c>
      <c r="C12527" s="17" t="s">
        <v>170</v>
      </c>
      <c r="D12527" s="13" t="s">
        <v>118</v>
      </c>
      <c r="E12527" s="13" t="s">
        <v>22832</v>
      </c>
      <c r="F12527" s="43">
        <v>154.22999999999999</v>
      </c>
    </row>
    <row r="12528" spans="2:6" x14ac:dyDescent="0.25">
      <c r="B12528" s="13" t="s">
        <v>22833</v>
      </c>
      <c r="C12528" s="17" t="s">
        <v>170</v>
      </c>
      <c r="D12528" s="13" t="s">
        <v>118</v>
      </c>
      <c r="E12528" s="13" t="s">
        <v>22834</v>
      </c>
      <c r="F12528" s="43">
        <v>154.22999999999999</v>
      </c>
    </row>
    <row r="12529" spans="2:6" x14ac:dyDescent="0.25">
      <c r="B12529" s="13" t="s">
        <v>22835</v>
      </c>
      <c r="C12529" s="17" t="s">
        <v>170</v>
      </c>
      <c r="D12529" s="13" t="s">
        <v>118</v>
      </c>
      <c r="E12529" s="13" t="s">
        <v>22836</v>
      </c>
      <c r="F12529" s="43">
        <v>171.21</v>
      </c>
    </row>
    <row r="12530" spans="2:6" x14ac:dyDescent="0.25">
      <c r="B12530" s="13" t="s">
        <v>22837</v>
      </c>
      <c r="C12530" s="17" t="s">
        <v>170</v>
      </c>
      <c r="D12530" s="13" t="s">
        <v>118</v>
      </c>
      <c r="E12530" s="13" t="s">
        <v>22838</v>
      </c>
      <c r="F12530" s="43">
        <v>171.21</v>
      </c>
    </row>
    <row r="12531" spans="2:6" x14ac:dyDescent="0.25">
      <c r="B12531" s="13" t="s">
        <v>22839</v>
      </c>
      <c r="C12531" s="17" t="s">
        <v>170</v>
      </c>
      <c r="D12531" s="13" t="s">
        <v>118</v>
      </c>
      <c r="E12531" s="13" t="s">
        <v>22840</v>
      </c>
      <c r="F12531" s="43">
        <v>186.82</v>
      </c>
    </row>
    <row r="12532" spans="2:6" x14ac:dyDescent="0.25">
      <c r="B12532" s="13" t="s">
        <v>22841</v>
      </c>
      <c r="C12532" s="17" t="s">
        <v>170</v>
      </c>
      <c r="D12532" s="13" t="s">
        <v>118</v>
      </c>
      <c r="E12532" s="13" t="s">
        <v>22842</v>
      </c>
      <c r="F12532" s="43">
        <v>186.82</v>
      </c>
    </row>
    <row r="12533" spans="2:6" x14ac:dyDescent="0.25">
      <c r="B12533" s="13" t="s">
        <v>22843</v>
      </c>
      <c r="C12533" s="17" t="s">
        <v>170</v>
      </c>
      <c r="D12533" s="13" t="s">
        <v>118</v>
      </c>
      <c r="E12533" s="13" t="s">
        <v>22844</v>
      </c>
      <c r="F12533" s="43">
        <v>151.47</v>
      </c>
    </row>
    <row r="12534" spans="2:6" x14ac:dyDescent="0.25">
      <c r="B12534" s="13" t="s">
        <v>22845</v>
      </c>
      <c r="C12534" s="17" t="s">
        <v>170</v>
      </c>
      <c r="D12534" s="13" t="s">
        <v>118</v>
      </c>
      <c r="E12534" s="13" t="s">
        <v>22846</v>
      </c>
      <c r="F12534" s="43">
        <v>151.47</v>
      </c>
    </row>
    <row r="12535" spans="2:6" x14ac:dyDescent="0.25">
      <c r="B12535" s="13" t="s">
        <v>22847</v>
      </c>
      <c r="C12535" s="17" t="s">
        <v>170</v>
      </c>
      <c r="D12535" s="13" t="s">
        <v>118</v>
      </c>
      <c r="E12535" s="13" t="s">
        <v>22848</v>
      </c>
      <c r="F12535" s="43">
        <v>151.47</v>
      </c>
    </row>
    <row r="12536" spans="2:6" x14ac:dyDescent="0.25">
      <c r="B12536" s="13" t="s">
        <v>22849</v>
      </c>
      <c r="C12536" s="17" t="s">
        <v>170</v>
      </c>
      <c r="D12536" s="13" t="s">
        <v>118</v>
      </c>
      <c r="E12536" s="13" t="s">
        <v>22850</v>
      </c>
      <c r="F12536" s="43">
        <v>151.47</v>
      </c>
    </row>
    <row r="12537" spans="2:6" x14ac:dyDescent="0.25">
      <c r="B12537" s="13" t="s">
        <v>22851</v>
      </c>
      <c r="C12537" s="17" t="s">
        <v>170</v>
      </c>
      <c r="D12537" s="13" t="s">
        <v>118</v>
      </c>
      <c r="E12537" s="13" t="s">
        <v>22852</v>
      </c>
      <c r="F12537" s="43">
        <v>206.1</v>
      </c>
    </row>
    <row r="12538" spans="2:6" x14ac:dyDescent="0.25">
      <c r="B12538" s="13" t="s">
        <v>22853</v>
      </c>
      <c r="C12538" s="17" t="s">
        <v>170</v>
      </c>
      <c r="D12538" s="13" t="s">
        <v>118</v>
      </c>
      <c r="E12538" s="13" t="s">
        <v>22854</v>
      </c>
      <c r="F12538" s="43">
        <v>206.1</v>
      </c>
    </row>
    <row r="12539" spans="2:6" x14ac:dyDescent="0.25">
      <c r="B12539" s="13" t="s">
        <v>22855</v>
      </c>
      <c r="C12539" s="17" t="s">
        <v>170</v>
      </c>
      <c r="D12539" s="13" t="s">
        <v>118</v>
      </c>
      <c r="E12539" s="13" t="s">
        <v>22856</v>
      </c>
      <c r="F12539" s="43">
        <v>206.1</v>
      </c>
    </row>
    <row r="12540" spans="2:6" x14ac:dyDescent="0.25">
      <c r="B12540" s="13" t="s">
        <v>22857</v>
      </c>
      <c r="C12540" s="17" t="s">
        <v>170</v>
      </c>
      <c r="D12540" s="13" t="s">
        <v>118</v>
      </c>
      <c r="E12540" s="13" t="s">
        <v>22858</v>
      </c>
      <c r="F12540" s="43">
        <v>206.1</v>
      </c>
    </row>
    <row r="12541" spans="2:6" x14ac:dyDescent="0.25">
      <c r="B12541" s="13" t="s">
        <v>22859</v>
      </c>
      <c r="C12541" s="17" t="s">
        <v>170</v>
      </c>
      <c r="D12541" s="13" t="s">
        <v>118</v>
      </c>
      <c r="E12541" s="13" t="s">
        <v>22860</v>
      </c>
      <c r="F12541" s="43">
        <v>261.63</v>
      </c>
    </row>
    <row r="12542" spans="2:6" x14ac:dyDescent="0.25">
      <c r="B12542" s="13" t="s">
        <v>22861</v>
      </c>
      <c r="C12542" s="17" t="s">
        <v>170</v>
      </c>
      <c r="D12542" s="13" t="s">
        <v>118</v>
      </c>
      <c r="E12542" s="13" t="s">
        <v>22862</v>
      </c>
      <c r="F12542" s="43">
        <v>261.63</v>
      </c>
    </row>
    <row r="12543" spans="2:6" x14ac:dyDescent="0.25">
      <c r="B12543" s="13" t="s">
        <v>22863</v>
      </c>
      <c r="C12543" s="17" t="s">
        <v>170</v>
      </c>
      <c r="D12543" s="13" t="s">
        <v>118</v>
      </c>
      <c r="E12543" s="13" t="s">
        <v>22864</v>
      </c>
      <c r="F12543" s="43">
        <v>293.76</v>
      </c>
    </row>
    <row r="12544" spans="2:6" x14ac:dyDescent="0.25">
      <c r="B12544" s="13" t="s">
        <v>22865</v>
      </c>
      <c r="C12544" s="17" t="s">
        <v>170</v>
      </c>
      <c r="D12544" s="13" t="s">
        <v>118</v>
      </c>
      <c r="E12544" s="13" t="s">
        <v>22866</v>
      </c>
      <c r="F12544" s="43">
        <v>293.76</v>
      </c>
    </row>
    <row r="12545" spans="2:6" x14ac:dyDescent="0.25">
      <c r="B12545" s="13" t="s">
        <v>22867</v>
      </c>
      <c r="C12545" s="17" t="s">
        <v>170</v>
      </c>
      <c r="D12545" s="13" t="s">
        <v>118</v>
      </c>
      <c r="E12545" s="13" t="s">
        <v>22868</v>
      </c>
      <c r="F12545" s="43">
        <v>293.76</v>
      </c>
    </row>
    <row r="12546" spans="2:6" x14ac:dyDescent="0.25">
      <c r="B12546" s="13" t="s">
        <v>22869</v>
      </c>
      <c r="C12546" s="17" t="s">
        <v>170</v>
      </c>
      <c r="D12546" s="13" t="s">
        <v>118</v>
      </c>
      <c r="E12546" s="13" t="s">
        <v>22870</v>
      </c>
      <c r="F12546" s="43">
        <v>293.76</v>
      </c>
    </row>
    <row r="12547" spans="2:6" x14ac:dyDescent="0.25">
      <c r="B12547" s="13" t="s">
        <v>22871</v>
      </c>
      <c r="C12547" s="17" t="s">
        <v>170</v>
      </c>
      <c r="D12547" s="13" t="s">
        <v>118</v>
      </c>
      <c r="E12547" s="13" t="s">
        <v>22872</v>
      </c>
      <c r="F12547" s="43">
        <v>293.76</v>
      </c>
    </row>
    <row r="12548" spans="2:6" x14ac:dyDescent="0.25">
      <c r="B12548" s="13" t="s">
        <v>22873</v>
      </c>
      <c r="C12548" s="17" t="s">
        <v>170</v>
      </c>
      <c r="D12548" s="13" t="s">
        <v>118</v>
      </c>
      <c r="E12548" s="13" t="s">
        <v>22874</v>
      </c>
      <c r="F12548" s="43">
        <v>293.76</v>
      </c>
    </row>
    <row r="12549" spans="2:6" x14ac:dyDescent="0.25">
      <c r="B12549" s="13" t="s">
        <v>22875</v>
      </c>
      <c r="C12549" s="17" t="s">
        <v>170</v>
      </c>
      <c r="D12549" s="13" t="s">
        <v>118</v>
      </c>
      <c r="E12549" s="13" t="s">
        <v>22876</v>
      </c>
      <c r="F12549" s="43">
        <v>332.78</v>
      </c>
    </row>
    <row r="12550" spans="2:6" x14ac:dyDescent="0.25">
      <c r="B12550" s="13" t="s">
        <v>22877</v>
      </c>
      <c r="C12550" s="17" t="s">
        <v>170</v>
      </c>
      <c r="D12550" s="13" t="s">
        <v>118</v>
      </c>
      <c r="E12550" s="13" t="s">
        <v>22878</v>
      </c>
      <c r="F12550" s="43">
        <v>293.76</v>
      </c>
    </row>
    <row r="12551" spans="2:6" x14ac:dyDescent="0.25">
      <c r="B12551" s="13" t="s">
        <v>22879</v>
      </c>
      <c r="C12551" s="17" t="s">
        <v>170</v>
      </c>
      <c r="D12551" s="13" t="s">
        <v>118</v>
      </c>
      <c r="E12551" s="13" t="s">
        <v>22880</v>
      </c>
      <c r="F12551" s="43">
        <v>332.78</v>
      </c>
    </row>
    <row r="12552" spans="2:6" x14ac:dyDescent="0.25">
      <c r="B12552" s="13" t="s">
        <v>22881</v>
      </c>
      <c r="C12552" s="17" t="s">
        <v>170</v>
      </c>
      <c r="D12552" s="13" t="s">
        <v>118</v>
      </c>
      <c r="E12552" s="13" t="s">
        <v>22882</v>
      </c>
      <c r="F12552" s="43">
        <v>332.78</v>
      </c>
    </row>
    <row r="12553" spans="2:6" x14ac:dyDescent="0.25">
      <c r="B12553" s="13" t="s">
        <v>22883</v>
      </c>
      <c r="C12553" s="17" t="s">
        <v>170</v>
      </c>
      <c r="D12553" s="13" t="s">
        <v>118</v>
      </c>
      <c r="E12553" s="13" t="s">
        <v>22884</v>
      </c>
      <c r="F12553" s="43">
        <v>378.68</v>
      </c>
    </row>
    <row r="12554" spans="2:6" x14ac:dyDescent="0.25">
      <c r="B12554" s="13" t="s">
        <v>22885</v>
      </c>
      <c r="C12554" s="17" t="s">
        <v>170</v>
      </c>
      <c r="D12554" s="13" t="s">
        <v>118</v>
      </c>
      <c r="E12554" s="13" t="s">
        <v>22886</v>
      </c>
      <c r="F12554" s="43">
        <v>378.68</v>
      </c>
    </row>
    <row r="12555" spans="2:6" x14ac:dyDescent="0.25">
      <c r="B12555" s="13" t="s">
        <v>22887</v>
      </c>
      <c r="C12555" s="17" t="s">
        <v>170</v>
      </c>
      <c r="D12555" s="13" t="s">
        <v>118</v>
      </c>
      <c r="E12555" s="13" t="s">
        <v>22888</v>
      </c>
      <c r="F12555" s="43">
        <v>293.76</v>
      </c>
    </row>
    <row r="12556" spans="2:6" x14ac:dyDescent="0.25">
      <c r="B12556" s="13" t="s">
        <v>22889</v>
      </c>
      <c r="C12556" s="17" t="s">
        <v>170</v>
      </c>
      <c r="D12556" s="13" t="s">
        <v>118</v>
      </c>
      <c r="E12556" s="13" t="s">
        <v>22890</v>
      </c>
      <c r="F12556" s="43">
        <v>293.76</v>
      </c>
    </row>
    <row r="12557" spans="2:6" x14ac:dyDescent="0.25">
      <c r="B12557" s="13" t="s">
        <v>22891</v>
      </c>
      <c r="C12557" s="17" t="s">
        <v>170</v>
      </c>
      <c r="D12557" s="13" t="s">
        <v>118</v>
      </c>
      <c r="E12557" s="13" t="s">
        <v>22892</v>
      </c>
      <c r="F12557" s="43">
        <v>293.76</v>
      </c>
    </row>
    <row r="12558" spans="2:6" x14ac:dyDescent="0.25">
      <c r="B12558" s="13" t="s">
        <v>22893</v>
      </c>
      <c r="C12558" s="17" t="s">
        <v>170</v>
      </c>
      <c r="D12558" s="13" t="s">
        <v>118</v>
      </c>
      <c r="E12558" s="13" t="s">
        <v>22894</v>
      </c>
      <c r="F12558" s="43">
        <v>293.76</v>
      </c>
    </row>
    <row r="12559" spans="2:6" x14ac:dyDescent="0.25">
      <c r="B12559" s="13" t="s">
        <v>22895</v>
      </c>
      <c r="C12559" s="17" t="s">
        <v>170</v>
      </c>
      <c r="D12559" s="13" t="s">
        <v>118</v>
      </c>
      <c r="E12559" s="13" t="s">
        <v>22896</v>
      </c>
      <c r="F12559" s="43">
        <v>293.76</v>
      </c>
    </row>
    <row r="12560" spans="2:6" x14ac:dyDescent="0.25">
      <c r="B12560" s="13" t="s">
        <v>22897</v>
      </c>
      <c r="C12560" s="17" t="s">
        <v>170</v>
      </c>
      <c r="D12560" s="13" t="s">
        <v>118</v>
      </c>
      <c r="E12560" s="13" t="s">
        <v>22898</v>
      </c>
      <c r="F12560" s="43">
        <v>293.76</v>
      </c>
    </row>
    <row r="12561" spans="2:6" x14ac:dyDescent="0.25">
      <c r="B12561" s="13" t="s">
        <v>22899</v>
      </c>
      <c r="C12561" s="17" t="s">
        <v>170</v>
      </c>
      <c r="D12561" s="13" t="s">
        <v>118</v>
      </c>
      <c r="E12561" s="13" t="s">
        <v>22900</v>
      </c>
      <c r="F12561" s="43">
        <v>332.78</v>
      </c>
    </row>
    <row r="12562" spans="2:6" x14ac:dyDescent="0.25">
      <c r="B12562" s="13" t="s">
        <v>22901</v>
      </c>
      <c r="C12562" s="17" t="s">
        <v>170</v>
      </c>
      <c r="D12562" s="13" t="s">
        <v>118</v>
      </c>
      <c r="E12562" s="13" t="s">
        <v>22902</v>
      </c>
      <c r="F12562" s="43">
        <v>293.76</v>
      </c>
    </row>
    <row r="12563" spans="2:6" x14ac:dyDescent="0.25">
      <c r="B12563" s="13" t="s">
        <v>22903</v>
      </c>
      <c r="C12563" s="17" t="s">
        <v>170</v>
      </c>
      <c r="D12563" s="13" t="s">
        <v>118</v>
      </c>
      <c r="E12563" s="13" t="s">
        <v>22904</v>
      </c>
      <c r="F12563" s="43">
        <v>332.78</v>
      </c>
    </row>
    <row r="12564" spans="2:6" x14ac:dyDescent="0.25">
      <c r="B12564" s="13" t="s">
        <v>22905</v>
      </c>
      <c r="C12564" s="17" t="s">
        <v>170</v>
      </c>
      <c r="D12564" s="13" t="s">
        <v>118</v>
      </c>
      <c r="E12564" s="13" t="s">
        <v>22906</v>
      </c>
      <c r="F12564" s="43">
        <v>332.78</v>
      </c>
    </row>
    <row r="12565" spans="2:6" x14ac:dyDescent="0.25">
      <c r="B12565" s="13" t="s">
        <v>22907</v>
      </c>
      <c r="C12565" s="17" t="s">
        <v>170</v>
      </c>
      <c r="D12565" s="13" t="s">
        <v>118</v>
      </c>
      <c r="E12565" s="13" t="s">
        <v>22908</v>
      </c>
      <c r="F12565" s="43">
        <v>378.68</v>
      </c>
    </row>
    <row r="12566" spans="2:6" x14ac:dyDescent="0.25">
      <c r="B12566" s="13" t="s">
        <v>22909</v>
      </c>
      <c r="C12566" s="17" t="s">
        <v>170</v>
      </c>
      <c r="D12566" s="13" t="s">
        <v>118</v>
      </c>
      <c r="E12566" s="13" t="s">
        <v>22910</v>
      </c>
      <c r="F12566" s="43">
        <v>378.68</v>
      </c>
    </row>
    <row r="12567" spans="2:6" x14ac:dyDescent="0.25">
      <c r="B12567" s="13" t="s">
        <v>22911</v>
      </c>
      <c r="C12567" s="17" t="s">
        <v>170</v>
      </c>
      <c r="D12567" s="13" t="s">
        <v>118</v>
      </c>
      <c r="E12567" s="13" t="s">
        <v>22912</v>
      </c>
      <c r="F12567" s="43">
        <v>24.1</v>
      </c>
    </row>
    <row r="12568" spans="2:6" x14ac:dyDescent="0.25">
      <c r="B12568" s="13" t="s">
        <v>22913</v>
      </c>
      <c r="C12568" s="17" t="s">
        <v>170</v>
      </c>
      <c r="D12568" s="13" t="s">
        <v>118</v>
      </c>
      <c r="E12568" s="13" t="s">
        <v>22914</v>
      </c>
      <c r="F12568" s="43">
        <v>24.1</v>
      </c>
    </row>
    <row r="12569" spans="2:6" x14ac:dyDescent="0.25">
      <c r="B12569" s="13" t="s">
        <v>22915</v>
      </c>
      <c r="C12569" s="17" t="s">
        <v>170</v>
      </c>
      <c r="D12569" s="13" t="s">
        <v>118</v>
      </c>
      <c r="E12569" s="13" t="s">
        <v>22916</v>
      </c>
      <c r="F12569" s="43">
        <v>24.1</v>
      </c>
    </row>
    <row r="12570" spans="2:6" x14ac:dyDescent="0.25">
      <c r="B12570" s="13" t="s">
        <v>22917</v>
      </c>
      <c r="C12570" s="17" t="s">
        <v>170</v>
      </c>
      <c r="D12570" s="13" t="s">
        <v>118</v>
      </c>
      <c r="E12570" s="13" t="s">
        <v>22918</v>
      </c>
      <c r="F12570" s="43">
        <v>24.1</v>
      </c>
    </row>
    <row r="12571" spans="2:6" x14ac:dyDescent="0.25">
      <c r="B12571" s="13" t="s">
        <v>22919</v>
      </c>
      <c r="C12571" s="17" t="s">
        <v>170</v>
      </c>
      <c r="D12571" s="13" t="s">
        <v>118</v>
      </c>
      <c r="E12571" s="13" t="s">
        <v>22920</v>
      </c>
      <c r="F12571" s="43">
        <v>24.1</v>
      </c>
    </row>
    <row r="12572" spans="2:6" x14ac:dyDescent="0.25">
      <c r="B12572" s="13" t="s">
        <v>22921</v>
      </c>
      <c r="C12572" s="17" t="s">
        <v>170</v>
      </c>
      <c r="D12572" s="13" t="s">
        <v>118</v>
      </c>
      <c r="E12572" s="13" t="s">
        <v>22922</v>
      </c>
      <c r="F12572" s="43">
        <v>27.54</v>
      </c>
    </row>
    <row r="12573" spans="2:6" x14ac:dyDescent="0.25">
      <c r="B12573" s="13" t="s">
        <v>22923</v>
      </c>
      <c r="C12573" s="17" t="s">
        <v>170</v>
      </c>
      <c r="D12573" s="13" t="s">
        <v>118</v>
      </c>
      <c r="E12573" s="13" t="s">
        <v>22924</v>
      </c>
      <c r="F12573" s="43">
        <v>27.54</v>
      </c>
    </row>
    <row r="12574" spans="2:6" x14ac:dyDescent="0.25">
      <c r="B12574" s="13" t="s">
        <v>22925</v>
      </c>
      <c r="C12574" s="17" t="s">
        <v>170</v>
      </c>
      <c r="D12574" s="13" t="s">
        <v>118</v>
      </c>
      <c r="E12574" s="13" t="s">
        <v>22926</v>
      </c>
      <c r="F12574" s="43">
        <v>11.82</v>
      </c>
    </row>
    <row r="12575" spans="2:6" x14ac:dyDescent="0.25">
      <c r="B12575" s="13" t="s">
        <v>22927</v>
      </c>
      <c r="C12575" s="17" t="s">
        <v>170</v>
      </c>
      <c r="D12575" s="13" t="s">
        <v>118</v>
      </c>
      <c r="E12575" s="13" t="s">
        <v>22928</v>
      </c>
      <c r="F12575" s="43">
        <v>16.07</v>
      </c>
    </row>
    <row r="12576" spans="2:6" x14ac:dyDescent="0.25">
      <c r="B12576" s="13" t="s">
        <v>22929</v>
      </c>
      <c r="C12576" s="17" t="s">
        <v>170</v>
      </c>
      <c r="D12576" s="13" t="s">
        <v>118</v>
      </c>
      <c r="E12576" s="13" t="s">
        <v>22930</v>
      </c>
      <c r="F12576" s="43">
        <v>121.75</v>
      </c>
    </row>
    <row r="12577" spans="2:6" x14ac:dyDescent="0.25">
      <c r="B12577" s="13" t="s">
        <v>22931</v>
      </c>
      <c r="C12577" s="17" t="s">
        <v>170</v>
      </c>
      <c r="D12577" s="13" t="s">
        <v>118</v>
      </c>
      <c r="E12577" s="13" t="s">
        <v>22932</v>
      </c>
      <c r="F12577" s="43">
        <v>121.75</v>
      </c>
    </row>
    <row r="12578" spans="2:6" x14ac:dyDescent="0.25">
      <c r="B12578" s="13" t="s">
        <v>22933</v>
      </c>
      <c r="C12578" s="17" t="s">
        <v>170</v>
      </c>
      <c r="D12578" s="13" t="s">
        <v>118</v>
      </c>
      <c r="E12578" s="13" t="s">
        <v>22934</v>
      </c>
      <c r="F12578" s="43">
        <v>121.75</v>
      </c>
    </row>
    <row r="12579" spans="2:6" x14ac:dyDescent="0.25">
      <c r="B12579" s="13" t="s">
        <v>22935</v>
      </c>
      <c r="C12579" s="17" t="s">
        <v>170</v>
      </c>
      <c r="D12579" s="13" t="s">
        <v>118</v>
      </c>
      <c r="E12579" s="13" t="s">
        <v>22936</v>
      </c>
      <c r="F12579" s="43">
        <v>121.75</v>
      </c>
    </row>
    <row r="12580" spans="2:6" x14ac:dyDescent="0.25">
      <c r="B12580" s="13" t="s">
        <v>22937</v>
      </c>
      <c r="C12580" s="17" t="s">
        <v>170</v>
      </c>
      <c r="D12580" s="13" t="s">
        <v>118</v>
      </c>
      <c r="E12580" s="13" t="s">
        <v>22938</v>
      </c>
      <c r="F12580" s="43">
        <v>121.75</v>
      </c>
    </row>
    <row r="12581" spans="2:6" x14ac:dyDescent="0.25">
      <c r="B12581" s="13" t="s">
        <v>22939</v>
      </c>
      <c r="C12581" s="17" t="s">
        <v>170</v>
      </c>
      <c r="D12581" s="13" t="s">
        <v>118</v>
      </c>
      <c r="E12581" s="13" t="s">
        <v>22940</v>
      </c>
      <c r="F12581" s="43">
        <v>121.75</v>
      </c>
    </row>
    <row r="12582" spans="2:6" x14ac:dyDescent="0.25">
      <c r="B12582" s="13" t="s">
        <v>22941</v>
      </c>
      <c r="C12582" s="17" t="s">
        <v>170</v>
      </c>
      <c r="D12582" s="13" t="s">
        <v>118</v>
      </c>
      <c r="E12582" s="13" t="s">
        <v>22942</v>
      </c>
      <c r="F12582" s="43">
        <v>121.75</v>
      </c>
    </row>
    <row r="12583" spans="2:6" x14ac:dyDescent="0.25">
      <c r="B12583" s="13" t="s">
        <v>22943</v>
      </c>
      <c r="C12583" s="17" t="s">
        <v>170</v>
      </c>
      <c r="D12583" s="13" t="s">
        <v>118</v>
      </c>
      <c r="E12583" s="13" t="s">
        <v>22944</v>
      </c>
      <c r="F12583" s="43">
        <v>121.75</v>
      </c>
    </row>
    <row r="12584" spans="2:6" x14ac:dyDescent="0.25">
      <c r="B12584" s="13" t="s">
        <v>22945</v>
      </c>
      <c r="C12584" s="17" t="s">
        <v>170</v>
      </c>
      <c r="D12584" s="13" t="s">
        <v>118</v>
      </c>
      <c r="E12584" s="13" t="s">
        <v>22946</v>
      </c>
      <c r="F12584" s="43">
        <v>178.9</v>
      </c>
    </row>
    <row r="12585" spans="2:6" x14ac:dyDescent="0.25">
      <c r="B12585" s="13" t="s">
        <v>22947</v>
      </c>
      <c r="C12585" s="17" t="s">
        <v>170</v>
      </c>
      <c r="D12585" s="13" t="s">
        <v>118</v>
      </c>
      <c r="E12585" s="13" t="s">
        <v>22948</v>
      </c>
      <c r="F12585" s="43">
        <v>178.9</v>
      </c>
    </row>
    <row r="12586" spans="2:6" x14ac:dyDescent="0.25">
      <c r="B12586" s="13" t="s">
        <v>22949</v>
      </c>
      <c r="C12586" s="17" t="s">
        <v>170</v>
      </c>
      <c r="D12586" s="13" t="s">
        <v>118</v>
      </c>
      <c r="E12586" s="13" t="s">
        <v>22950</v>
      </c>
      <c r="F12586" s="43">
        <v>178.9</v>
      </c>
    </row>
    <row r="12587" spans="2:6" x14ac:dyDescent="0.25">
      <c r="B12587" s="13" t="s">
        <v>22951</v>
      </c>
      <c r="C12587" s="17" t="s">
        <v>170</v>
      </c>
      <c r="D12587" s="13" t="s">
        <v>118</v>
      </c>
      <c r="E12587" s="13" t="s">
        <v>22952</v>
      </c>
      <c r="F12587" s="43">
        <v>178.9</v>
      </c>
    </row>
    <row r="12588" spans="2:6" x14ac:dyDescent="0.25">
      <c r="B12588" s="13" t="s">
        <v>22953</v>
      </c>
      <c r="C12588" s="17" t="s">
        <v>170</v>
      </c>
      <c r="D12588" s="13" t="s">
        <v>118</v>
      </c>
      <c r="E12588" s="13" t="s">
        <v>22954</v>
      </c>
      <c r="F12588" s="43">
        <v>178.9</v>
      </c>
    </row>
    <row r="12589" spans="2:6" x14ac:dyDescent="0.25">
      <c r="B12589" s="13" t="s">
        <v>22955</v>
      </c>
      <c r="C12589" s="17" t="s">
        <v>170</v>
      </c>
      <c r="D12589" s="13" t="s">
        <v>118</v>
      </c>
      <c r="E12589" s="13" t="s">
        <v>22956</v>
      </c>
      <c r="F12589" s="43">
        <v>178.9</v>
      </c>
    </row>
    <row r="12590" spans="2:6" x14ac:dyDescent="0.25">
      <c r="B12590" s="13" t="s">
        <v>22957</v>
      </c>
      <c r="C12590" s="17" t="s">
        <v>170</v>
      </c>
      <c r="D12590" s="13" t="s">
        <v>118</v>
      </c>
      <c r="E12590" s="13" t="s">
        <v>22958</v>
      </c>
      <c r="F12590" s="43">
        <v>178.9</v>
      </c>
    </row>
    <row r="12591" spans="2:6" x14ac:dyDescent="0.25">
      <c r="B12591" s="13" t="s">
        <v>22959</v>
      </c>
      <c r="C12591" s="17" t="s">
        <v>170</v>
      </c>
      <c r="D12591" s="13" t="s">
        <v>118</v>
      </c>
      <c r="E12591" s="13" t="s">
        <v>22960</v>
      </c>
      <c r="F12591" s="43">
        <v>178.9</v>
      </c>
    </row>
    <row r="12592" spans="2:6" x14ac:dyDescent="0.25">
      <c r="B12592" s="13" t="s">
        <v>22961</v>
      </c>
      <c r="C12592" s="17" t="s">
        <v>170</v>
      </c>
      <c r="D12592" s="13" t="s">
        <v>118</v>
      </c>
      <c r="E12592" s="13" t="s">
        <v>22962</v>
      </c>
      <c r="F12592" s="43">
        <v>178.9</v>
      </c>
    </row>
    <row r="12593" spans="2:6" x14ac:dyDescent="0.25">
      <c r="B12593" s="13" t="s">
        <v>22963</v>
      </c>
      <c r="C12593" s="17" t="s">
        <v>170</v>
      </c>
      <c r="D12593" s="13" t="s">
        <v>118</v>
      </c>
      <c r="E12593" s="13" t="s">
        <v>22964</v>
      </c>
      <c r="F12593" s="43">
        <v>178.9</v>
      </c>
    </row>
    <row r="12594" spans="2:6" x14ac:dyDescent="0.25">
      <c r="B12594" s="13" t="s">
        <v>22965</v>
      </c>
      <c r="C12594" s="17" t="s">
        <v>170</v>
      </c>
      <c r="D12594" s="13" t="s">
        <v>118</v>
      </c>
      <c r="E12594" s="13" t="s">
        <v>22966</v>
      </c>
      <c r="F12594" s="43">
        <v>178.9</v>
      </c>
    </row>
    <row r="12595" spans="2:6" x14ac:dyDescent="0.25">
      <c r="B12595" s="13" t="s">
        <v>22967</v>
      </c>
      <c r="C12595" s="17" t="s">
        <v>170</v>
      </c>
      <c r="D12595" s="13" t="s">
        <v>118</v>
      </c>
      <c r="E12595" s="13" t="s">
        <v>22968</v>
      </c>
      <c r="F12595" s="43">
        <v>178.9</v>
      </c>
    </row>
    <row r="12596" spans="2:6" x14ac:dyDescent="0.25">
      <c r="B12596" s="13" t="s">
        <v>22969</v>
      </c>
      <c r="C12596" s="17" t="s">
        <v>170</v>
      </c>
      <c r="D12596" s="13" t="s">
        <v>118</v>
      </c>
      <c r="E12596" s="13" t="s">
        <v>22970</v>
      </c>
      <c r="F12596" s="43">
        <v>197.83</v>
      </c>
    </row>
    <row r="12597" spans="2:6" x14ac:dyDescent="0.25">
      <c r="B12597" s="13" t="s">
        <v>22971</v>
      </c>
      <c r="C12597" s="17" t="s">
        <v>170</v>
      </c>
      <c r="D12597" s="13" t="s">
        <v>118</v>
      </c>
      <c r="E12597" s="13" t="s">
        <v>22972</v>
      </c>
      <c r="F12597" s="43">
        <v>197.83</v>
      </c>
    </row>
    <row r="12598" spans="2:6" x14ac:dyDescent="0.25">
      <c r="B12598" s="13" t="s">
        <v>22973</v>
      </c>
      <c r="C12598" s="17" t="s">
        <v>170</v>
      </c>
      <c r="D12598" s="13" t="s">
        <v>118</v>
      </c>
      <c r="E12598" s="13" t="s">
        <v>22974</v>
      </c>
      <c r="F12598" s="43">
        <v>197.83</v>
      </c>
    </row>
    <row r="12599" spans="2:6" x14ac:dyDescent="0.25">
      <c r="B12599" s="13" t="s">
        <v>22975</v>
      </c>
      <c r="C12599" s="17" t="s">
        <v>170</v>
      </c>
      <c r="D12599" s="13" t="s">
        <v>118</v>
      </c>
      <c r="E12599" s="13" t="s">
        <v>22976</v>
      </c>
      <c r="F12599" s="43">
        <v>197.83</v>
      </c>
    </row>
    <row r="12600" spans="2:6" x14ac:dyDescent="0.25">
      <c r="B12600" s="13" t="s">
        <v>22977</v>
      </c>
      <c r="C12600" s="17" t="s">
        <v>170</v>
      </c>
      <c r="D12600" s="13" t="s">
        <v>118</v>
      </c>
      <c r="E12600" s="13" t="s">
        <v>22978</v>
      </c>
      <c r="F12600" s="43">
        <v>326.47000000000003</v>
      </c>
    </row>
    <row r="12601" spans="2:6" x14ac:dyDescent="0.25">
      <c r="B12601" s="13" t="s">
        <v>22979</v>
      </c>
      <c r="C12601" s="17" t="s">
        <v>170</v>
      </c>
      <c r="D12601" s="13" t="s">
        <v>118</v>
      </c>
      <c r="E12601" s="13" t="s">
        <v>22980</v>
      </c>
      <c r="F12601" s="43">
        <v>326.47000000000003</v>
      </c>
    </row>
    <row r="12602" spans="2:6" x14ac:dyDescent="0.25">
      <c r="B12602" s="13" t="s">
        <v>22981</v>
      </c>
      <c r="C12602" s="17" t="s">
        <v>170</v>
      </c>
      <c r="D12602" s="13" t="s">
        <v>118</v>
      </c>
      <c r="E12602" s="13" t="s">
        <v>22982</v>
      </c>
      <c r="F12602" s="43">
        <v>197.83</v>
      </c>
    </row>
    <row r="12603" spans="2:6" x14ac:dyDescent="0.25">
      <c r="B12603" s="13" t="s">
        <v>22983</v>
      </c>
      <c r="C12603" s="17" t="s">
        <v>170</v>
      </c>
      <c r="D12603" s="13" t="s">
        <v>118</v>
      </c>
      <c r="E12603" s="13" t="s">
        <v>22984</v>
      </c>
      <c r="F12603" s="43">
        <v>197.83</v>
      </c>
    </row>
    <row r="12604" spans="2:6" x14ac:dyDescent="0.25">
      <c r="B12604" s="13" t="s">
        <v>22985</v>
      </c>
      <c r="C12604" s="17" t="s">
        <v>170</v>
      </c>
      <c r="D12604" s="13" t="s">
        <v>118</v>
      </c>
      <c r="E12604" s="13" t="s">
        <v>22986</v>
      </c>
      <c r="F12604" s="43">
        <v>197.83</v>
      </c>
    </row>
    <row r="12605" spans="2:6" x14ac:dyDescent="0.25">
      <c r="B12605" s="13" t="s">
        <v>22987</v>
      </c>
      <c r="C12605" s="17" t="s">
        <v>170</v>
      </c>
      <c r="D12605" s="13" t="s">
        <v>118</v>
      </c>
      <c r="E12605" s="13" t="s">
        <v>22988</v>
      </c>
      <c r="F12605" s="43">
        <v>197.83</v>
      </c>
    </row>
    <row r="12606" spans="2:6" x14ac:dyDescent="0.25">
      <c r="B12606" s="13" t="s">
        <v>22989</v>
      </c>
      <c r="C12606" s="17" t="s">
        <v>170</v>
      </c>
      <c r="D12606" s="13" t="s">
        <v>118</v>
      </c>
      <c r="E12606" s="13" t="s">
        <v>22990</v>
      </c>
      <c r="F12606" s="43">
        <v>407.37</v>
      </c>
    </row>
    <row r="12607" spans="2:6" x14ac:dyDescent="0.25">
      <c r="B12607" s="13" t="s">
        <v>22991</v>
      </c>
      <c r="C12607" s="17" t="s">
        <v>170</v>
      </c>
      <c r="D12607" s="13" t="s">
        <v>118</v>
      </c>
      <c r="E12607" s="13" t="s">
        <v>22990</v>
      </c>
      <c r="F12607" s="43">
        <v>407.37</v>
      </c>
    </row>
    <row r="12608" spans="2:6" x14ac:dyDescent="0.25">
      <c r="B12608" s="13" t="s">
        <v>22992</v>
      </c>
      <c r="C12608" s="17" t="s">
        <v>170</v>
      </c>
      <c r="D12608" s="13" t="s">
        <v>118</v>
      </c>
      <c r="E12608" s="13" t="s">
        <v>22993</v>
      </c>
      <c r="F12608" s="43">
        <v>407.37</v>
      </c>
    </row>
    <row r="12609" spans="2:6" x14ac:dyDescent="0.25">
      <c r="B12609" s="13" t="s">
        <v>22994</v>
      </c>
      <c r="C12609" s="17" t="s">
        <v>170</v>
      </c>
      <c r="D12609" s="13" t="s">
        <v>118</v>
      </c>
      <c r="E12609" s="13" t="s">
        <v>22995</v>
      </c>
      <c r="F12609" s="43">
        <v>407.37</v>
      </c>
    </row>
    <row r="12610" spans="2:6" x14ac:dyDescent="0.25">
      <c r="B12610" s="13" t="s">
        <v>22996</v>
      </c>
      <c r="C12610" s="17" t="s">
        <v>170</v>
      </c>
      <c r="D12610" s="13" t="s">
        <v>118</v>
      </c>
      <c r="E12610" s="13" t="s">
        <v>22997</v>
      </c>
      <c r="F12610" s="43">
        <v>276.08999999999997</v>
      </c>
    </row>
    <row r="12611" spans="2:6" x14ac:dyDescent="0.25">
      <c r="B12611" s="13" t="s">
        <v>22998</v>
      </c>
      <c r="C12611" s="17" t="s">
        <v>170</v>
      </c>
      <c r="D12611" s="13" t="s">
        <v>118</v>
      </c>
      <c r="E12611" s="13" t="s">
        <v>22999</v>
      </c>
      <c r="F12611" s="43">
        <v>276.08999999999997</v>
      </c>
    </row>
    <row r="12612" spans="2:6" x14ac:dyDescent="0.25">
      <c r="B12612" s="13" t="s">
        <v>23000</v>
      </c>
      <c r="C12612" s="17" t="s">
        <v>170</v>
      </c>
      <c r="D12612" s="13" t="s">
        <v>118</v>
      </c>
      <c r="E12612" s="13" t="s">
        <v>23001</v>
      </c>
      <c r="F12612" s="43">
        <v>276.08999999999997</v>
      </c>
    </row>
    <row r="12613" spans="2:6" x14ac:dyDescent="0.25">
      <c r="B12613" s="13" t="s">
        <v>23002</v>
      </c>
      <c r="C12613" s="17" t="s">
        <v>170</v>
      </c>
      <c r="D12613" s="13" t="s">
        <v>118</v>
      </c>
      <c r="E12613" s="13" t="s">
        <v>23003</v>
      </c>
      <c r="F12613" s="43">
        <v>276.08999999999997</v>
      </c>
    </row>
    <row r="12614" spans="2:6" x14ac:dyDescent="0.25">
      <c r="B12614" s="13" t="s">
        <v>23004</v>
      </c>
      <c r="C12614" s="17" t="s">
        <v>170</v>
      </c>
      <c r="D12614" s="13" t="s">
        <v>118</v>
      </c>
      <c r="E12614" s="13" t="s">
        <v>23005</v>
      </c>
      <c r="F12614" s="43">
        <v>522.12</v>
      </c>
    </row>
    <row r="12615" spans="2:6" x14ac:dyDescent="0.25">
      <c r="B12615" s="13" t="s">
        <v>23006</v>
      </c>
      <c r="C12615" s="17" t="s">
        <v>170</v>
      </c>
      <c r="D12615" s="13" t="s">
        <v>118</v>
      </c>
      <c r="E12615" s="13" t="s">
        <v>23007</v>
      </c>
      <c r="F12615" s="43">
        <v>522.12</v>
      </c>
    </row>
    <row r="12616" spans="2:6" x14ac:dyDescent="0.25">
      <c r="B12616" s="13" t="s">
        <v>23008</v>
      </c>
      <c r="C12616" s="17" t="s">
        <v>170</v>
      </c>
      <c r="D12616" s="13" t="s">
        <v>118</v>
      </c>
      <c r="E12616" s="13" t="s">
        <v>23009</v>
      </c>
      <c r="F12616" s="43">
        <v>276.08999999999997</v>
      </c>
    </row>
    <row r="12617" spans="2:6" x14ac:dyDescent="0.25">
      <c r="B12617" s="13" t="s">
        <v>23010</v>
      </c>
      <c r="C12617" s="17" t="s">
        <v>170</v>
      </c>
      <c r="D12617" s="13" t="s">
        <v>118</v>
      </c>
      <c r="E12617" s="13" t="s">
        <v>23011</v>
      </c>
      <c r="F12617" s="43">
        <v>276.08999999999997</v>
      </c>
    </row>
    <row r="12618" spans="2:6" x14ac:dyDescent="0.25">
      <c r="B12618" s="13" t="s">
        <v>23012</v>
      </c>
      <c r="C12618" s="17" t="s">
        <v>170</v>
      </c>
      <c r="D12618" s="13" t="s">
        <v>118</v>
      </c>
      <c r="E12618" s="13" t="s">
        <v>23013</v>
      </c>
      <c r="F12618" s="43">
        <v>276.08999999999997</v>
      </c>
    </row>
    <row r="12619" spans="2:6" x14ac:dyDescent="0.25">
      <c r="B12619" s="13" t="s">
        <v>23014</v>
      </c>
      <c r="C12619" s="17" t="s">
        <v>170</v>
      </c>
      <c r="D12619" s="13" t="s">
        <v>118</v>
      </c>
      <c r="E12619" s="13" t="s">
        <v>23015</v>
      </c>
      <c r="F12619" s="43">
        <v>276.08999999999997</v>
      </c>
    </row>
    <row r="12620" spans="2:6" x14ac:dyDescent="0.25">
      <c r="B12620" s="13" t="s">
        <v>23016</v>
      </c>
      <c r="C12620" s="17" t="s">
        <v>170</v>
      </c>
      <c r="D12620" s="13" t="s">
        <v>118</v>
      </c>
      <c r="E12620" s="13" t="s">
        <v>23017</v>
      </c>
      <c r="F12620" s="43">
        <v>442.94</v>
      </c>
    </row>
    <row r="12621" spans="2:6" x14ac:dyDescent="0.25">
      <c r="B12621" s="13" t="s">
        <v>23018</v>
      </c>
      <c r="C12621" s="17" t="s">
        <v>170</v>
      </c>
      <c r="D12621" s="13" t="s">
        <v>118</v>
      </c>
      <c r="E12621" s="13" t="s">
        <v>23019</v>
      </c>
      <c r="F12621" s="43">
        <v>442.94</v>
      </c>
    </row>
    <row r="12622" spans="2:6" x14ac:dyDescent="0.25">
      <c r="B12622" s="13" t="s">
        <v>23020</v>
      </c>
      <c r="C12622" s="17" t="s">
        <v>170</v>
      </c>
      <c r="D12622" s="13" t="s">
        <v>118</v>
      </c>
      <c r="E12622" s="13" t="s">
        <v>23021</v>
      </c>
      <c r="F12622" s="43">
        <v>442.94</v>
      </c>
    </row>
    <row r="12623" spans="2:6" x14ac:dyDescent="0.25">
      <c r="B12623" s="13" t="s">
        <v>23022</v>
      </c>
      <c r="C12623" s="17" t="s">
        <v>170</v>
      </c>
      <c r="D12623" s="13" t="s">
        <v>118</v>
      </c>
      <c r="E12623" s="13" t="s">
        <v>23023</v>
      </c>
      <c r="F12623" s="43">
        <v>442.94</v>
      </c>
    </row>
    <row r="12624" spans="2:6" x14ac:dyDescent="0.25">
      <c r="B12624" s="13" t="s">
        <v>23024</v>
      </c>
      <c r="C12624" s="17" t="s">
        <v>170</v>
      </c>
      <c r="D12624" s="13" t="s">
        <v>118</v>
      </c>
      <c r="E12624" s="13" t="s">
        <v>23025</v>
      </c>
      <c r="F12624" s="43">
        <v>358.83</v>
      </c>
    </row>
    <row r="12625" spans="2:6" x14ac:dyDescent="0.25">
      <c r="B12625" s="13" t="s">
        <v>23026</v>
      </c>
      <c r="C12625" s="17" t="s">
        <v>170</v>
      </c>
      <c r="D12625" s="13" t="s">
        <v>118</v>
      </c>
      <c r="E12625" s="13" t="s">
        <v>23027</v>
      </c>
      <c r="F12625" s="43">
        <v>358.83</v>
      </c>
    </row>
    <row r="12626" spans="2:6" x14ac:dyDescent="0.25">
      <c r="B12626" s="13" t="s">
        <v>23028</v>
      </c>
      <c r="C12626" s="17" t="s">
        <v>170</v>
      </c>
      <c r="D12626" s="13" t="s">
        <v>118</v>
      </c>
      <c r="E12626" s="13" t="s">
        <v>23029</v>
      </c>
      <c r="F12626" s="43">
        <v>358.83</v>
      </c>
    </row>
    <row r="12627" spans="2:6" x14ac:dyDescent="0.25">
      <c r="B12627" s="13" t="s">
        <v>23030</v>
      </c>
      <c r="C12627" s="17" t="s">
        <v>170</v>
      </c>
      <c r="D12627" s="13" t="s">
        <v>118</v>
      </c>
      <c r="E12627" s="13" t="s">
        <v>23031</v>
      </c>
      <c r="F12627" s="43">
        <v>358.83</v>
      </c>
    </row>
    <row r="12628" spans="2:6" x14ac:dyDescent="0.25">
      <c r="B12628" s="13" t="s">
        <v>23032</v>
      </c>
      <c r="C12628" s="17" t="s">
        <v>170</v>
      </c>
      <c r="D12628" s="13" t="s">
        <v>118</v>
      </c>
      <c r="E12628" s="13" t="s">
        <v>23033</v>
      </c>
      <c r="F12628" s="43">
        <v>487.69</v>
      </c>
    </row>
    <row r="12629" spans="2:6" x14ac:dyDescent="0.25">
      <c r="B12629" s="13" t="s">
        <v>23034</v>
      </c>
      <c r="C12629" s="17" t="s">
        <v>170</v>
      </c>
      <c r="D12629" s="13" t="s">
        <v>118</v>
      </c>
      <c r="E12629" s="13" t="s">
        <v>23035</v>
      </c>
      <c r="F12629" s="43">
        <v>487.69</v>
      </c>
    </row>
    <row r="12630" spans="2:6" x14ac:dyDescent="0.25">
      <c r="B12630" s="13" t="s">
        <v>23036</v>
      </c>
      <c r="C12630" s="17" t="s">
        <v>170</v>
      </c>
      <c r="D12630" s="13" t="s">
        <v>118</v>
      </c>
      <c r="E12630" s="13" t="s">
        <v>23037</v>
      </c>
      <c r="F12630" s="43">
        <v>725.34</v>
      </c>
    </row>
    <row r="12631" spans="2:6" x14ac:dyDescent="0.25">
      <c r="B12631" s="13" t="s">
        <v>23038</v>
      </c>
      <c r="C12631" s="17" t="s">
        <v>170</v>
      </c>
      <c r="D12631" s="13" t="s">
        <v>118</v>
      </c>
      <c r="E12631" s="13" t="s">
        <v>23039</v>
      </c>
      <c r="F12631" s="43">
        <v>725.34</v>
      </c>
    </row>
    <row r="12632" spans="2:6" x14ac:dyDescent="0.25">
      <c r="B12632" s="13" t="s">
        <v>23040</v>
      </c>
      <c r="C12632" s="17" t="s">
        <v>170</v>
      </c>
      <c r="D12632" s="13" t="s">
        <v>118</v>
      </c>
      <c r="E12632" s="13" t="s">
        <v>23041</v>
      </c>
      <c r="F12632" s="43">
        <v>725.34</v>
      </c>
    </row>
    <row r="12633" spans="2:6" x14ac:dyDescent="0.25">
      <c r="B12633" s="13" t="s">
        <v>23042</v>
      </c>
      <c r="C12633" s="17" t="s">
        <v>170</v>
      </c>
      <c r="D12633" s="13" t="s">
        <v>118</v>
      </c>
      <c r="E12633" s="13" t="s">
        <v>23043</v>
      </c>
      <c r="F12633" s="43">
        <v>725.34</v>
      </c>
    </row>
    <row r="12634" spans="2:6" x14ac:dyDescent="0.25">
      <c r="B12634" s="13" t="s">
        <v>23044</v>
      </c>
      <c r="C12634" s="17" t="s">
        <v>170</v>
      </c>
      <c r="D12634" s="13" t="s">
        <v>118</v>
      </c>
      <c r="E12634" s="13" t="s">
        <v>23045</v>
      </c>
      <c r="F12634" s="43">
        <v>843.42</v>
      </c>
    </row>
    <row r="12635" spans="2:6" x14ac:dyDescent="0.25">
      <c r="B12635" s="13" t="s">
        <v>23046</v>
      </c>
      <c r="C12635" s="17" t="s">
        <v>170</v>
      </c>
      <c r="D12635" s="13" t="s">
        <v>118</v>
      </c>
      <c r="E12635" s="13" t="s">
        <v>23047</v>
      </c>
      <c r="F12635" s="43">
        <v>843.42</v>
      </c>
    </row>
    <row r="12636" spans="2:6" x14ac:dyDescent="0.25">
      <c r="B12636" s="13" t="s">
        <v>23048</v>
      </c>
      <c r="C12636" s="17" t="s">
        <v>170</v>
      </c>
      <c r="D12636" s="13" t="s">
        <v>118</v>
      </c>
      <c r="E12636" s="13" t="s">
        <v>23049</v>
      </c>
      <c r="F12636" s="43">
        <v>870.38</v>
      </c>
    </row>
    <row r="12637" spans="2:6" x14ac:dyDescent="0.25">
      <c r="B12637" s="13" t="s">
        <v>23050</v>
      </c>
      <c r="C12637" s="17" t="s">
        <v>170</v>
      </c>
      <c r="D12637" s="13" t="s">
        <v>118</v>
      </c>
      <c r="E12637" s="13" t="s">
        <v>23051</v>
      </c>
      <c r="F12637" s="43">
        <v>870.38</v>
      </c>
    </row>
    <row r="12638" spans="2:6" x14ac:dyDescent="0.25">
      <c r="B12638" s="13" t="s">
        <v>23052</v>
      </c>
      <c r="C12638" s="17" t="s">
        <v>170</v>
      </c>
      <c r="D12638" s="13" t="s">
        <v>118</v>
      </c>
      <c r="E12638" s="13" t="s">
        <v>23053</v>
      </c>
      <c r="F12638" s="43">
        <v>870.38</v>
      </c>
    </row>
    <row r="12639" spans="2:6" x14ac:dyDescent="0.25">
      <c r="B12639" s="13" t="s">
        <v>23054</v>
      </c>
      <c r="C12639" s="17" t="s">
        <v>170</v>
      </c>
      <c r="D12639" s="13" t="s">
        <v>118</v>
      </c>
      <c r="E12639" s="13" t="s">
        <v>23055</v>
      </c>
      <c r="F12639" s="43">
        <v>870.38</v>
      </c>
    </row>
    <row r="12640" spans="2:6" x14ac:dyDescent="0.25">
      <c r="B12640" s="13" t="s">
        <v>23056</v>
      </c>
      <c r="C12640" s="17" t="s">
        <v>170</v>
      </c>
      <c r="D12640" s="13" t="s">
        <v>118</v>
      </c>
      <c r="E12640" s="13" t="s">
        <v>23057</v>
      </c>
      <c r="F12640" s="43">
        <v>991.44</v>
      </c>
    </row>
    <row r="12641" spans="2:6" x14ac:dyDescent="0.25">
      <c r="B12641" s="13" t="s">
        <v>23058</v>
      </c>
      <c r="C12641" s="17" t="s">
        <v>170</v>
      </c>
      <c r="D12641" s="13" t="s">
        <v>118</v>
      </c>
      <c r="E12641" s="13" t="s">
        <v>23059</v>
      </c>
      <c r="F12641" s="43">
        <v>991.44</v>
      </c>
    </row>
    <row r="12642" spans="2:6" x14ac:dyDescent="0.25">
      <c r="B12642" s="13" t="s">
        <v>23060</v>
      </c>
      <c r="C12642" s="17" t="s">
        <v>170</v>
      </c>
      <c r="D12642" s="13" t="s">
        <v>118</v>
      </c>
      <c r="E12642" s="13" t="s">
        <v>23061</v>
      </c>
      <c r="F12642" s="43">
        <v>720.23</v>
      </c>
    </row>
    <row r="12643" spans="2:6" x14ac:dyDescent="0.25">
      <c r="B12643" s="13" t="s">
        <v>23062</v>
      </c>
      <c r="C12643" s="17" t="s">
        <v>170</v>
      </c>
      <c r="D12643" s="13" t="s">
        <v>118</v>
      </c>
      <c r="E12643" s="13" t="s">
        <v>23063</v>
      </c>
      <c r="F12643" s="43">
        <v>995.26</v>
      </c>
    </row>
    <row r="12644" spans="2:6" x14ac:dyDescent="0.25">
      <c r="B12644" s="13" t="s">
        <v>23064</v>
      </c>
      <c r="C12644" s="17" t="s">
        <v>170</v>
      </c>
      <c r="D12644" s="13" t="s">
        <v>118</v>
      </c>
      <c r="E12644" s="13" t="s">
        <v>23065</v>
      </c>
      <c r="F12644" s="43">
        <v>1126.1500000000001</v>
      </c>
    </row>
    <row r="12645" spans="2:6" x14ac:dyDescent="0.25">
      <c r="B12645" s="13" t="s">
        <v>23066</v>
      </c>
      <c r="C12645" s="17" t="s">
        <v>170</v>
      </c>
      <c r="D12645" s="13" t="s">
        <v>118</v>
      </c>
      <c r="E12645" s="13" t="s">
        <v>23067</v>
      </c>
      <c r="F12645" s="43">
        <v>624.49</v>
      </c>
    </row>
    <row r="12646" spans="2:6" x14ac:dyDescent="0.25">
      <c r="B12646" s="13" t="s">
        <v>23068</v>
      </c>
      <c r="C12646" s="17" t="s">
        <v>170</v>
      </c>
      <c r="D12646" s="13" t="s">
        <v>118</v>
      </c>
      <c r="E12646" s="13" t="s">
        <v>23069</v>
      </c>
      <c r="F12646" s="43">
        <v>855.63</v>
      </c>
    </row>
    <row r="12647" spans="2:6" x14ac:dyDescent="0.25">
      <c r="B12647" s="13" t="s">
        <v>23070</v>
      </c>
      <c r="C12647" s="17" t="s">
        <v>170</v>
      </c>
      <c r="D12647" s="13" t="s">
        <v>118</v>
      </c>
      <c r="E12647" s="13" t="s">
        <v>23071</v>
      </c>
      <c r="F12647" s="43">
        <v>1096.19</v>
      </c>
    </row>
    <row r="12648" spans="2:6" x14ac:dyDescent="0.25">
      <c r="B12648" s="13" t="s">
        <v>23072</v>
      </c>
      <c r="C12648" s="17" t="s">
        <v>170</v>
      </c>
      <c r="D12648" s="13" t="s">
        <v>118</v>
      </c>
      <c r="E12648" s="13" t="s">
        <v>23073</v>
      </c>
      <c r="F12648" s="43">
        <v>1235.05</v>
      </c>
    </row>
    <row r="12649" spans="2:6" x14ac:dyDescent="0.25">
      <c r="B12649" s="13" t="s">
        <v>23074</v>
      </c>
      <c r="C12649" s="17" t="s">
        <v>170</v>
      </c>
      <c r="D12649" s="13" t="s">
        <v>118</v>
      </c>
      <c r="E12649" s="13" t="s">
        <v>23075</v>
      </c>
      <c r="F12649" s="43">
        <v>1152.3599999999999</v>
      </c>
    </row>
    <row r="12650" spans="2:6" x14ac:dyDescent="0.25">
      <c r="B12650" s="13" t="s">
        <v>23076</v>
      </c>
      <c r="C12650" s="17" t="s">
        <v>170</v>
      </c>
      <c r="D12650" s="13" t="s">
        <v>118</v>
      </c>
      <c r="E12650" s="13" t="s">
        <v>23077</v>
      </c>
      <c r="F12650" s="43">
        <v>1627.71</v>
      </c>
    </row>
    <row r="12651" spans="2:6" x14ac:dyDescent="0.25">
      <c r="B12651" s="13" t="s">
        <v>23078</v>
      </c>
      <c r="C12651" s="17" t="s">
        <v>170</v>
      </c>
      <c r="D12651" s="13" t="s">
        <v>118</v>
      </c>
      <c r="E12651" s="13" t="s">
        <v>23079</v>
      </c>
      <c r="F12651" s="43">
        <v>950.03</v>
      </c>
    </row>
    <row r="12652" spans="2:6" x14ac:dyDescent="0.25">
      <c r="B12652" s="13" t="s">
        <v>23080</v>
      </c>
      <c r="C12652" s="17" t="s">
        <v>170</v>
      </c>
      <c r="D12652" s="13" t="s">
        <v>118</v>
      </c>
      <c r="E12652" s="13" t="s">
        <v>23081</v>
      </c>
      <c r="F12652" s="43">
        <v>1224.3900000000001</v>
      </c>
    </row>
    <row r="12653" spans="2:6" x14ac:dyDescent="0.25">
      <c r="B12653" s="13" t="s">
        <v>23082</v>
      </c>
      <c r="C12653" s="17" t="s">
        <v>170</v>
      </c>
      <c r="D12653" s="13" t="s">
        <v>118</v>
      </c>
      <c r="E12653" s="13" t="s">
        <v>23083</v>
      </c>
      <c r="F12653" s="43">
        <v>1555.69</v>
      </c>
    </row>
    <row r="12654" spans="2:6" x14ac:dyDescent="0.25">
      <c r="B12654" s="13" t="s">
        <v>23084</v>
      </c>
      <c r="C12654" s="17" t="s">
        <v>170</v>
      </c>
      <c r="D12654" s="13" t="s">
        <v>118</v>
      </c>
      <c r="E12654" s="13" t="s">
        <v>23085</v>
      </c>
      <c r="F12654" s="43">
        <v>1742.95</v>
      </c>
    </row>
    <row r="12655" spans="2:6" x14ac:dyDescent="0.25">
      <c r="B12655" s="13" t="s">
        <v>23086</v>
      </c>
      <c r="C12655" s="17" t="s">
        <v>170</v>
      </c>
      <c r="D12655" s="13" t="s">
        <v>118</v>
      </c>
      <c r="E12655" s="13" t="s">
        <v>23087</v>
      </c>
      <c r="F12655" s="43">
        <v>2045.44</v>
      </c>
    </row>
    <row r="12656" spans="2:6" x14ac:dyDescent="0.25">
      <c r="B12656" s="13" t="s">
        <v>23088</v>
      </c>
      <c r="C12656" s="17" t="s">
        <v>170</v>
      </c>
      <c r="D12656" s="13" t="s">
        <v>118</v>
      </c>
      <c r="E12656" s="13" t="s">
        <v>23089</v>
      </c>
      <c r="F12656" s="43">
        <v>2347.94</v>
      </c>
    </row>
    <row r="12657" spans="2:6" x14ac:dyDescent="0.25">
      <c r="B12657" s="13" t="s">
        <v>23090</v>
      </c>
      <c r="C12657" s="17" t="s">
        <v>170</v>
      </c>
      <c r="D12657" s="13" t="s">
        <v>118</v>
      </c>
      <c r="E12657" s="13" t="s">
        <v>23091</v>
      </c>
      <c r="F12657" s="43">
        <v>1581.62</v>
      </c>
    </row>
    <row r="12658" spans="2:6" x14ac:dyDescent="0.25">
      <c r="B12658" s="13" t="s">
        <v>23092</v>
      </c>
      <c r="C12658" s="17" t="s">
        <v>170</v>
      </c>
      <c r="D12658" s="13" t="s">
        <v>118</v>
      </c>
      <c r="E12658" s="13" t="s">
        <v>23093</v>
      </c>
      <c r="F12658" s="43">
        <v>1894.2</v>
      </c>
    </row>
    <row r="12659" spans="2:6" x14ac:dyDescent="0.25">
      <c r="B12659" s="13" t="s">
        <v>23094</v>
      </c>
      <c r="C12659" s="17" t="s">
        <v>170</v>
      </c>
      <c r="D12659" s="13" t="s">
        <v>118</v>
      </c>
      <c r="E12659" s="13" t="s">
        <v>23095</v>
      </c>
      <c r="F12659" s="43">
        <v>2376.75</v>
      </c>
    </row>
    <row r="12660" spans="2:6" x14ac:dyDescent="0.25">
      <c r="B12660" s="13" t="s">
        <v>23096</v>
      </c>
      <c r="C12660" s="17" t="s">
        <v>170</v>
      </c>
      <c r="D12660" s="13" t="s">
        <v>118</v>
      </c>
      <c r="E12660" s="13" t="s">
        <v>23097</v>
      </c>
      <c r="F12660" s="43">
        <v>1152.3599999999999</v>
      </c>
    </row>
    <row r="12661" spans="2:6" x14ac:dyDescent="0.25">
      <c r="B12661" s="13" t="s">
        <v>23098</v>
      </c>
      <c r="C12661" s="17" t="s">
        <v>170</v>
      </c>
      <c r="D12661" s="13" t="s">
        <v>118</v>
      </c>
      <c r="E12661" s="13" t="s">
        <v>23099</v>
      </c>
      <c r="F12661" s="43">
        <v>936.3</v>
      </c>
    </row>
    <row r="12662" spans="2:6" x14ac:dyDescent="0.25">
      <c r="B12662" s="13" t="s">
        <v>23100</v>
      </c>
      <c r="C12662" s="17" t="s">
        <v>170</v>
      </c>
      <c r="D12662" s="13" t="s">
        <v>118</v>
      </c>
      <c r="E12662" s="13" t="s">
        <v>23101</v>
      </c>
      <c r="F12662" s="43">
        <v>1267.5999999999999</v>
      </c>
    </row>
    <row r="12663" spans="2:6" x14ac:dyDescent="0.25">
      <c r="B12663" s="13" t="s">
        <v>23102</v>
      </c>
      <c r="C12663" s="17" t="s">
        <v>170</v>
      </c>
      <c r="D12663" s="13" t="s">
        <v>118</v>
      </c>
      <c r="E12663" s="13" t="s">
        <v>23103</v>
      </c>
      <c r="F12663" s="43">
        <v>1330.98</v>
      </c>
    </row>
    <row r="12664" spans="2:6" x14ac:dyDescent="0.25">
      <c r="B12664" s="13" t="s">
        <v>23104</v>
      </c>
      <c r="C12664" s="17" t="s">
        <v>170</v>
      </c>
      <c r="D12664" s="13" t="s">
        <v>118</v>
      </c>
      <c r="E12664" s="13" t="s">
        <v>23105</v>
      </c>
      <c r="F12664" s="43">
        <v>1267.5999999999999</v>
      </c>
    </row>
    <row r="12665" spans="2:6" x14ac:dyDescent="0.25">
      <c r="B12665" s="13" t="s">
        <v>23106</v>
      </c>
      <c r="C12665" s="17" t="s">
        <v>170</v>
      </c>
      <c r="D12665" s="13" t="s">
        <v>118</v>
      </c>
      <c r="E12665" s="13" t="s">
        <v>23107</v>
      </c>
      <c r="F12665" s="43">
        <v>1029.93</v>
      </c>
    </row>
    <row r="12666" spans="2:6" x14ac:dyDescent="0.25">
      <c r="B12666" s="13" t="s">
        <v>23108</v>
      </c>
      <c r="C12666" s="17" t="s">
        <v>170</v>
      </c>
      <c r="D12666" s="13" t="s">
        <v>118</v>
      </c>
      <c r="E12666" s="13" t="s">
        <v>23109</v>
      </c>
      <c r="F12666" s="43">
        <v>1394.36</v>
      </c>
    </row>
    <row r="12667" spans="2:6" x14ac:dyDescent="0.25">
      <c r="B12667" s="13" t="s">
        <v>23110</v>
      </c>
      <c r="C12667" s="17" t="s">
        <v>170</v>
      </c>
      <c r="D12667" s="13" t="s">
        <v>118</v>
      </c>
      <c r="E12667" s="13" t="s">
        <v>23111</v>
      </c>
      <c r="F12667" s="43">
        <v>1464.08</v>
      </c>
    </row>
    <row r="12668" spans="2:6" x14ac:dyDescent="0.25">
      <c r="B12668" s="13" t="s">
        <v>23112</v>
      </c>
      <c r="C12668" s="17" t="s">
        <v>170</v>
      </c>
      <c r="D12668" s="13" t="s">
        <v>118</v>
      </c>
      <c r="E12668" s="13" t="s">
        <v>23113</v>
      </c>
      <c r="F12668" s="43">
        <v>1440.45</v>
      </c>
    </row>
    <row r="12669" spans="2:6" x14ac:dyDescent="0.25">
      <c r="B12669" s="13" t="s">
        <v>23114</v>
      </c>
      <c r="C12669" s="17" t="s">
        <v>170</v>
      </c>
      <c r="D12669" s="13" t="s">
        <v>118</v>
      </c>
      <c r="E12669" s="13" t="s">
        <v>23115</v>
      </c>
      <c r="F12669" s="43">
        <v>1702.33</v>
      </c>
    </row>
    <row r="12670" spans="2:6" x14ac:dyDescent="0.25">
      <c r="B12670" s="13" t="s">
        <v>23116</v>
      </c>
      <c r="C12670" s="17" t="s">
        <v>170</v>
      </c>
      <c r="D12670" s="13" t="s">
        <v>118</v>
      </c>
      <c r="E12670" s="13" t="s">
        <v>23117</v>
      </c>
      <c r="F12670" s="43">
        <v>1368.43</v>
      </c>
    </row>
    <row r="12671" spans="2:6" x14ac:dyDescent="0.25">
      <c r="B12671" s="13" t="s">
        <v>23118</v>
      </c>
      <c r="C12671" s="17" t="s">
        <v>170</v>
      </c>
      <c r="D12671" s="13" t="s">
        <v>118</v>
      </c>
      <c r="E12671" s="13" t="s">
        <v>23119</v>
      </c>
      <c r="F12671" s="43">
        <v>2056.9699999999998</v>
      </c>
    </row>
    <row r="12672" spans="2:6" x14ac:dyDescent="0.25">
      <c r="B12672" s="13" t="s">
        <v>23120</v>
      </c>
      <c r="C12672" s="17" t="s">
        <v>170</v>
      </c>
      <c r="D12672" s="13" t="s">
        <v>118</v>
      </c>
      <c r="E12672" s="13" t="s">
        <v>23121</v>
      </c>
      <c r="F12672" s="43">
        <v>1584.5</v>
      </c>
    </row>
    <row r="12673" spans="2:6" x14ac:dyDescent="0.25">
      <c r="B12673" s="13" t="s">
        <v>23122</v>
      </c>
      <c r="C12673" s="17" t="s">
        <v>170</v>
      </c>
      <c r="D12673" s="13" t="s">
        <v>118</v>
      </c>
      <c r="E12673" s="13" t="s">
        <v>23123</v>
      </c>
      <c r="F12673" s="43">
        <v>1505.28</v>
      </c>
    </row>
    <row r="12674" spans="2:6" x14ac:dyDescent="0.25">
      <c r="B12674" s="13" t="s">
        <v>23124</v>
      </c>
      <c r="C12674" s="17" t="s">
        <v>170</v>
      </c>
      <c r="D12674" s="13" t="s">
        <v>118</v>
      </c>
      <c r="E12674" s="13" t="s">
        <v>23125</v>
      </c>
      <c r="F12674" s="43">
        <v>1872.59</v>
      </c>
    </row>
    <row r="12675" spans="2:6" x14ac:dyDescent="0.25">
      <c r="B12675" s="13" t="s">
        <v>23126</v>
      </c>
      <c r="C12675" s="17" t="s">
        <v>170</v>
      </c>
      <c r="D12675" s="13" t="s">
        <v>118</v>
      </c>
      <c r="E12675" s="13" t="s">
        <v>23127</v>
      </c>
      <c r="F12675" s="43">
        <v>2262.66</v>
      </c>
    </row>
    <row r="12676" spans="2:6" x14ac:dyDescent="0.25">
      <c r="B12676" s="13" t="s">
        <v>23128</v>
      </c>
      <c r="C12676" s="17" t="s">
        <v>170</v>
      </c>
      <c r="D12676" s="13" t="s">
        <v>118</v>
      </c>
      <c r="E12676" s="13" t="s">
        <v>23129</v>
      </c>
      <c r="F12676" s="43">
        <v>1181.17</v>
      </c>
    </row>
    <row r="12677" spans="2:6" x14ac:dyDescent="0.25">
      <c r="B12677" s="13" t="s">
        <v>23130</v>
      </c>
      <c r="C12677" s="17" t="s">
        <v>170</v>
      </c>
      <c r="D12677" s="13" t="s">
        <v>118</v>
      </c>
      <c r="E12677" s="13" t="s">
        <v>23131</v>
      </c>
      <c r="F12677" s="43">
        <v>1570.1</v>
      </c>
    </row>
    <row r="12678" spans="2:6" x14ac:dyDescent="0.25">
      <c r="B12678" s="13" t="s">
        <v>23132</v>
      </c>
      <c r="C12678" s="17" t="s">
        <v>170</v>
      </c>
      <c r="D12678" s="13" t="s">
        <v>118</v>
      </c>
      <c r="E12678" s="13" t="s">
        <v>23133</v>
      </c>
      <c r="F12678" s="43">
        <v>1670.93</v>
      </c>
    </row>
    <row r="12679" spans="2:6" x14ac:dyDescent="0.25">
      <c r="B12679" s="13" t="s">
        <v>23134</v>
      </c>
      <c r="C12679" s="17" t="s">
        <v>170</v>
      </c>
      <c r="D12679" s="13" t="s">
        <v>118</v>
      </c>
      <c r="E12679" s="13" t="s">
        <v>23135</v>
      </c>
      <c r="F12679" s="43">
        <v>1238.79</v>
      </c>
    </row>
    <row r="12680" spans="2:6" x14ac:dyDescent="0.25">
      <c r="B12680" s="13" t="s">
        <v>23136</v>
      </c>
      <c r="C12680" s="17" t="s">
        <v>170</v>
      </c>
      <c r="D12680" s="13" t="s">
        <v>118</v>
      </c>
      <c r="E12680" s="13" t="s">
        <v>23137</v>
      </c>
      <c r="F12680" s="43">
        <v>1728.54</v>
      </c>
    </row>
    <row r="12681" spans="2:6" x14ac:dyDescent="0.25">
      <c r="B12681" s="13" t="s">
        <v>23138</v>
      </c>
      <c r="C12681" s="17" t="s">
        <v>170</v>
      </c>
      <c r="D12681" s="13" t="s">
        <v>118</v>
      </c>
      <c r="E12681" s="13" t="s">
        <v>23139</v>
      </c>
      <c r="F12681" s="43">
        <v>1843.78</v>
      </c>
    </row>
    <row r="12682" spans="2:6" x14ac:dyDescent="0.25">
      <c r="B12682" s="13" t="s">
        <v>23140</v>
      </c>
      <c r="C12682" s="17" t="s">
        <v>170</v>
      </c>
      <c r="D12682" s="13" t="s">
        <v>118</v>
      </c>
      <c r="E12682" s="13" t="s">
        <v>23141</v>
      </c>
      <c r="F12682" s="43">
        <v>1959.02</v>
      </c>
    </row>
    <row r="12683" spans="2:6" x14ac:dyDescent="0.25">
      <c r="B12683" s="13" t="s">
        <v>23142</v>
      </c>
      <c r="C12683" s="17" t="s">
        <v>170</v>
      </c>
      <c r="D12683" s="13" t="s">
        <v>118</v>
      </c>
      <c r="E12683" s="13" t="s">
        <v>23143</v>
      </c>
      <c r="F12683" s="43">
        <v>2477.58</v>
      </c>
    </row>
    <row r="12684" spans="2:6" x14ac:dyDescent="0.25">
      <c r="B12684" s="13" t="s">
        <v>23144</v>
      </c>
      <c r="C12684" s="17" t="s">
        <v>170</v>
      </c>
      <c r="D12684" s="13" t="s">
        <v>118</v>
      </c>
      <c r="E12684" s="13" t="s">
        <v>23145</v>
      </c>
      <c r="F12684" s="43">
        <v>2823.29</v>
      </c>
    </row>
    <row r="12685" spans="2:6" x14ac:dyDescent="0.25">
      <c r="B12685" s="13" t="s">
        <v>23146</v>
      </c>
      <c r="C12685" s="17" t="s">
        <v>170</v>
      </c>
      <c r="D12685" s="13" t="s">
        <v>118</v>
      </c>
      <c r="E12685" s="13" t="s">
        <v>23147</v>
      </c>
      <c r="F12685" s="43">
        <v>2304.7199999999998</v>
      </c>
    </row>
    <row r="12686" spans="2:6" x14ac:dyDescent="0.25">
      <c r="B12686" s="13" t="s">
        <v>23148</v>
      </c>
      <c r="C12686" s="17" t="s">
        <v>170</v>
      </c>
      <c r="D12686" s="13" t="s">
        <v>118</v>
      </c>
      <c r="E12686" s="13" t="s">
        <v>23149</v>
      </c>
      <c r="F12686" s="43">
        <v>2650.43</v>
      </c>
    </row>
    <row r="12687" spans="2:6" x14ac:dyDescent="0.25">
      <c r="B12687" s="13" t="s">
        <v>23150</v>
      </c>
      <c r="C12687" s="17" t="s">
        <v>170</v>
      </c>
      <c r="D12687" s="13" t="s">
        <v>118</v>
      </c>
      <c r="E12687" s="13" t="s">
        <v>23151</v>
      </c>
      <c r="F12687" s="43">
        <v>3168.99</v>
      </c>
    </row>
    <row r="12688" spans="2:6" x14ac:dyDescent="0.25">
      <c r="B12688" s="13" t="s">
        <v>23152</v>
      </c>
      <c r="C12688" s="17" t="s">
        <v>170</v>
      </c>
      <c r="D12688" s="13" t="s">
        <v>118</v>
      </c>
      <c r="E12688" s="13" t="s">
        <v>23153</v>
      </c>
      <c r="F12688" s="43">
        <v>164.1</v>
      </c>
    </row>
    <row r="12689" spans="2:6" x14ac:dyDescent="0.25">
      <c r="B12689" s="13" t="s">
        <v>23154</v>
      </c>
      <c r="C12689" s="17" t="s">
        <v>170</v>
      </c>
      <c r="D12689" s="13" t="s">
        <v>118</v>
      </c>
      <c r="E12689" s="13" t="s">
        <v>23155</v>
      </c>
      <c r="F12689" s="43">
        <v>230.42</v>
      </c>
    </row>
    <row r="12690" spans="2:6" x14ac:dyDescent="0.25">
      <c r="B12690" s="13" t="s">
        <v>23156</v>
      </c>
      <c r="C12690" s="17" t="s">
        <v>170</v>
      </c>
      <c r="D12690" s="13" t="s">
        <v>118</v>
      </c>
      <c r="E12690" s="13" t="s">
        <v>23157</v>
      </c>
      <c r="F12690" s="43">
        <v>328.19</v>
      </c>
    </row>
    <row r="12691" spans="2:6" x14ac:dyDescent="0.25">
      <c r="B12691" s="13" t="s">
        <v>23158</v>
      </c>
      <c r="C12691" s="17" t="s">
        <v>170</v>
      </c>
      <c r="D12691" s="13" t="s">
        <v>118</v>
      </c>
      <c r="E12691" s="13" t="s">
        <v>23159</v>
      </c>
      <c r="F12691" s="43">
        <v>353.43</v>
      </c>
    </row>
    <row r="12692" spans="2:6" x14ac:dyDescent="0.25">
      <c r="B12692" s="13" t="s">
        <v>23160</v>
      </c>
      <c r="C12692" s="17" t="s">
        <v>170</v>
      </c>
      <c r="D12692" s="13" t="s">
        <v>118</v>
      </c>
      <c r="E12692" s="13" t="s">
        <v>23161</v>
      </c>
      <c r="F12692" s="43">
        <v>378.68</v>
      </c>
    </row>
    <row r="12693" spans="2:6" x14ac:dyDescent="0.25">
      <c r="B12693" s="13" t="s">
        <v>23162</v>
      </c>
      <c r="C12693" s="17" t="s">
        <v>170</v>
      </c>
      <c r="D12693" s="13" t="s">
        <v>118</v>
      </c>
      <c r="E12693" s="13" t="s">
        <v>23163</v>
      </c>
      <c r="F12693" s="43">
        <v>442.94</v>
      </c>
    </row>
    <row r="12694" spans="2:6" x14ac:dyDescent="0.25">
      <c r="B12694" s="13" t="s">
        <v>23164</v>
      </c>
      <c r="C12694" s="17" t="s">
        <v>170</v>
      </c>
      <c r="D12694" s="13" t="s">
        <v>118</v>
      </c>
      <c r="E12694" s="13" t="s">
        <v>23165</v>
      </c>
      <c r="F12694" s="43">
        <v>200.47</v>
      </c>
    </row>
    <row r="12695" spans="2:6" x14ac:dyDescent="0.25">
      <c r="B12695" s="13" t="s">
        <v>23166</v>
      </c>
      <c r="C12695" s="17" t="s">
        <v>170</v>
      </c>
      <c r="D12695" s="13" t="s">
        <v>118</v>
      </c>
      <c r="E12695" s="13" t="s">
        <v>23167</v>
      </c>
      <c r="F12695" s="43">
        <v>200.47</v>
      </c>
    </row>
    <row r="12696" spans="2:6" x14ac:dyDescent="0.25">
      <c r="B12696" s="13" t="s">
        <v>23168</v>
      </c>
      <c r="C12696" s="17" t="s">
        <v>170</v>
      </c>
      <c r="D12696" s="13" t="s">
        <v>118</v>
      </c>
      <c r="E12696" s="13" t="s">
        <v>23169</v>
      </c>
      <c r="F12696" s="43">
        <v>26.97</v>
      </c>
    </row>
    <row r="12697" spans="2:6" x14ac:dyDescent="0.25">
      <c r="B12697" s="13" t="s">
        <v>23170</v>
      </c>
      <c r="C12697" s="17" t="s">
        <v>170</v>
      </c>
      <c r="D12697" s="13" t="s">
        <v>118</v>
      </c>
      <c r="E12697" s="13" t="s">
        <v>23171</v>
      </c>
      <c r="F12697" s="43">
        <v>39.36</v>
      </c>
    </row>
    <row r="12698" spans="2:6" x14ac:dyDescent="0.25">
      <c r="B12698" s="13" t="s">
        <v>23172</v>
      </c>
      <c r="C12698" s="17" t="s">
        <v>170</v>
      </c>
      <c r="D12698" s="13" t="s">
        <v>118</v>
      </c>
      <c r="E12698" s="13" t="s">
        <v>23173</v>
      </c>
      <c r="F12698" s="43">
        <v>35.81</v>
      </c>
    </row>
    <row r="12699" spans="2:6" x14ac:dyDescent="0.25">
      <c r="B12699" s="13" t="s">
        <v>23174</v>
      </c>
      <c r="C12699" s="17" t="s">
        <v>170</v>
      </c>
      <c r="D12699" s="13" t="s">
        <v>118</v>
      </c>
      <c r="E12699" s="13" t="s">
        <v>23175</v>
      </c>
      <c r="F12699" s="43">
        <v>51.99</v>
      </c>
    </row>
    <row r="12700" spans="2:6" x14ac:dyDescent="0.25">
      <c r="B12700" s="13" t="s">
        <v>23176</v>
      </c>
      <c r="C12700" s="17" t="s">
        <v>170</v>
      </c>
      <c r="D12700" s="13" t="s">
        <v>118</v>
      </c>
      <c r="E12700" s="13" t="s">
        <v>23177</v>
      </c>
      <c r="F12700" s="43">
        <v>26.17</v>
      </c>
    </row>
    <row r="12701" spans="2:6" x14ac:dyDescent="0.25">
      <c r="B12701" s="13" t="s">
        <v>23178</v>
      </c>
      <c r="C12701" s="17" t="s">
        <v>170</v>
      </c>
      <c r="D12701" s="13" t="s">
        <v>118</v>
      </c>
      <c r="E12701" s="13" t="s">
        <v>23179</v>
      </c>
      <c r="F12701" s="43">
        <v>42.92</v>
      </c>
    </row>
    <row r="12702" spans="2:6" x14ac:dyDescent="0.25">
      <c r="B12702" s="13" t="s">
        <v>23180</v>
      </c>
      <c r="C12702" s="17" t="s">
        <v>170</v>
      </c>
      <c r="D12702" s="13" t="s">
        <v>118</v>
      </c>
      <c r="E12702" s="13" t="s">
        <v>23181</v>
      </c>
      <c r="F12702" s="43">
        <v>34.32</v>
      </c>
    </row>
    <row r="12703" spans="2:6" x14ac:dyDescent="0.25">
      <c r="B12703" s="13" t="s">
        <v>23182</v>
      </c>
      <c r="C12703" s="17" t="s">
        <v>170</v>
      </c>
      <c r="D12703" s="13" t="s">
        <v>118</v>
      </c>
      <c r="E12703" s="13" t="s">
        <v>23183</v>
      </c>
      <c r="F12703" s="43">
        <v>52.22</v>
      </c>
    </row>
    <row r="12704" spans="2:6" x14ac:dyDescent="0.25">
      <c r="B12704" s="13" t="s">
        <v>23184</v>
      </c>
      <c r="C12704" s="17" t="s">
        <v>170</v>
      </c>
      <c r="D12704" s="13" t="s">
        <v>118</v>
      </c>
      <c r="E12704" s="13" t="s">
        <v>23185</v>
      </c>
      <c r="F12704" s="43">
        <v>26.17</v>
      </c>
    </row>
    <row r="12705" spans="2:6" x14ac:dyDescent="0.25">
      <c r="B12705" s="13" t="s">
        <v>23186</v>
      </c>
      <c r="C12705" s="17" t="s">
        <v>170</v>
      </c>
      <c r="D12705" s="13" t="s">
        <v>118</v>
      </c>
      <c r="E12705" s="13" t="s">
        <v>23187</v>
      </c>
      <c r="F12705" s="43">
        <v>39.25</v>
      </c>
    </row>
    <row r="12706" spans="2:6" x14ac:dyDescent="0.25">
      <c r="B12706" s="13" t="s">
        <v>23188</v>
      </c>
      <c r="C12706" s="17" t="s">
        <v>170</v>
      </c>
      <c r="D12706" s="13" t="s">
        <v>118</v>
      </c>
      <c r="E12706" s="13" t="s">
        <v>23189</v>
      </c>
      <c r="F12706" s="43">
        <v>35</v>
      </c>
    </row>
    <row r="12707" spans="2:6" x14ac:dyDescent="0.25">
      <c r="B12707" s="13" t="s">
        <v>23190</v>
      </c>
      <c r="C12707" s="17" t="s">
        <v>170</v>
      </c>
      <c r="D12707" s="13" t="s">
        <v>118</v>
      </c>
      <c r="E12707" s="13" t="s">
        <v>23191</v>
      </c>
      <c r="F12707" s="43">
        <v>53.94</v>
      </c>
    </row>
    <row r="12708" spans="2:6" x14ac:dyDescent="0.25">
      <c r="B12708" s="13" t="s">
        <v>23192</v>
      </c>
      <c r="C12708" s="17" t="s">
        <v>170</v>
      </c>
      <c r="D12708" s="13" t="s">
        <v>118</v>
      </c>
      <c r="E12708" s="13" t="s">
        <v>23193</v>
      </c>
      <c r="F12708" s="43">
        <v>33.130000000000003</v>
      </c>
    </row>
    <row r="12709" spans="2:6" x14ac:dyDescent="0.25">
      <c r="B12709" s="13" t="s">
        <v>23194</v>
      </c>
      <c r="C12709" s="17" t="s">
        <v>170</v>
      </c>
      <c r="D12709" s="13" t="s">
        <v>118</v>
      </c>
      <c r="E12709" s="13" t="s">
        <v>23195</v>
      </c>
      <c r="F12709" s="43">
        <v>53.66</v>
      </c>
    </row>
    <row r="12710" spans="2:6" x14ac:dyDescent="0.25">
      <c r="B12710" s="13" t="s">
        <v>23196</v>
      </c>
      <c r="C12710" s="17" t="s">
        <v>170</v>
      </c>
      <c r="D12710" s="13" t="s">
        <v>118</v>
      </c>
      <c r="E12710" s="13" t="s">
        <v>23197</v>
      </c>
      <c r="F12710" s="43">
        <v>64.95</v>
      </c>
    </row>
    <row r="12711" spans="2:6" x14ac:dyDescent="0.25">
      <c r="B12711" s="13" t="s">
        <v>23198</v>
      </c>
      <c r="C12711" s="17" t="s">
        <v>170</v>
      </c>
      <c r="D12711" s="13" t="s">
        <v>118</v>
      </c>
      <c r="E12711" s="13" t="s">
        <v>23199</v>
      </c>
      <c r="F12711" s="43">
        <v>64.95</v>
      </c>
    </row>
    <row r="12712" spans="2:6" x14ac:dyDescent="0.25">
      <c r="B12712" s="13" t="s">
        <v>23200</v>
      </c>
      <c r="C12712" s="17" t="s">
        <v>170</v>
      </c>
      <c r="D12712" s="13" t="s">
        <v>118</v>
      </c>
      <c r="E12712" s="13" t="s">
        <v>23201</v>
      </c>
      <c r="F12712" s="43">
        <v>105.33</v>
      </c>
    </row>
    <row r="12713" spans="2:6" x14ac:dyDescent="0.25">
      <c r="B12713" s="13" t="s">
        <v>23202</v>
      </c>
      <c r="C12713" s="17" t="s">
        <v>170</v>
      </c>
      <c r="D12713" s="13" t="s">
        <v>118</v>
      </c>
      <c r="E12713" s="13" t="s">
        <v>23203</v>
      </c>
      <c r="F12713" s="43">
        <v>105.33</v>
      </c>
    </row>
    <row r="12714" spans="2:6" x14ac:dyDescent="0.25">
      <c r="B12714" s="13" t="s">
        <v>23204</v>
      </c>
      <c r="C12714" s="17" t="s">
        <v>170</v>
      </c>
      <c r="D12714" s="13" t="s">
        <v>118</v>
      </c>
      <c r="E12714" s="13" t="s">
        <v>23205</v>
      </c>
      <c r="F12714" s="43">
        <v>108.93</v>
      </c>
    </row>
    <row r="12715" spans="2:6" x14ac:dyDescent="0.25">
      <c r="B12715" s="13" t="s">
        <v>23206</v>
      </c>
      <c r="C12715" s="17" t="s">
        <v>170</v>
      </c>
      <c r="D12715" s="13" t="s">
        <v>118</v>
      </c>
      <c r="E12715" s="13" t="s">
        <v>23207</v>
      </c>
      <c r="F12715" s="43">
        <v>136.16</v>
      </c>
    </row>
    <row r="12716" spans="2:6" x14ac:dyDescent="0.25">
      <c r="B12716" s="13" t="s">
        <v>23208</v>
      </c>
      <c r="C12716" s="17" t="s">
        <v>170</v>
      </c>
      <c r="D12716" s="13" t="s">
        <v>118</v>
      </c>
      <c r="E12716" s="13" t="s">
        <v>23209</v>
      </c>
      <c r="F12716" s="43">
        <v>209.53</v>
      </c>
    </row>
    <row r="12717" spans="2:6" x14ac:dyDescent="0.25">
      <c r="B12717" s="13" t="s">
        <v>23210</v>
      </c>
      <c r="C12717" s="17" t="s">
        <v>170</v>
      </c>
      <c r="D12717" s="13" t="s">
        <v>118</v>
      </c>
      <c r="E12717" s="13" t="s">
        <v>23211</v>
      </c>
      <c r="F12717" s="43">
        <v>209.53</v>
      </c>
    </row>
    <row r="12718" spans="2:6" x14ac:dyDescent="0.25">
      <c r="B12718" s="13" t="s">
        <v>23212</v>
      </c>
      <c r="C12718" s="17" t="s">
        <v>170</v>
      </c>
      <c r="D12718" s="13" t="s">
        <v>118</v>
      </c>
      <c r="E12718" s="13" t="s">
        <v>23213</v>
      </c>
      <c r="F12718" s="43">
        <v>385.56</v>
      </c>
    </row>
    <row r="12719" spans="2:6" x14ac:dyDescent="0.25">
      <c r="B12719" s="13" t="s">
        <v>23214</v>
      </c>
      <c r="C12719" s="17" t="s">
        <v>170</v>
      </c>
      <c r="D12719" s="13" t="s">
        <v>118</v>
      </c>
      <c r="E12719" s="13" t="s">
        <v>23215</v>
      </c>
      <c r="F12719" s="43">
        <v>385.56</v>
      </c>
    </row>
    <row r="12720" spans="2:6" x14ac:dyDescent="0.25">
      <c r="B12720" s="13" t="s">
        <v>23216</v>
      </c>
      <c r="C12720" s="17" t="s">
        <v>170</v>
      </c>
      <c r="D12720" s="13" t="s">
        <v>118</v>
      </c>
      <c r="E12720" s="13" t="s">
        <v>23217</v>
      </c>
      <c r="F12720" s="43">
        <v>385.56</v>
      </c>
    </row>
    <row r="12721" spans="2:6" x14ac:dyDescent="0.25">
      <c r="B12721" s="13" t="s">
        <v>23218</v>
      </c>
      <c r="C12721" s="17" t="s">
        <v>170</v>
      </c>
      <c r="D12721" s="13" t="s">
        <v>118</v>
      </c>
      <c r="E12721" s="13" t="s">
        <v>23219</v>
      </c>
      <c r="F12721" s="43">
        <v>385.56</v>
      </c>
    </row>
    <row r="12722" spans="2:6" x14ac:dyDescent="0.25">
      <c r="B12722" s="13" t="s">
        <v>23220</v>
      </c>
      <c r="C12722" s="17" t="s">
        <v>170</v>
      </c>
      <c r="D12722" s="13" t="s">
        <v>118</v>
      </c>
      <c r="E12722" s="13" t="s">
        <v>23221</v>
      </c>
      <c r="F12722" s="43">
        <v>385.56</v>
      </c>
    </row>
    <row r="12723" spans="2:6" x14ac:dyDescent="0.25">
      <c r="B12723" s="13" t="s">
        <v>23222</v>
      </c>
      <c r="C12723" s="17" t="s">
        <v>170</v>
      </c>
      <c r="D12723" s="13" t="s">
        <v>118</v>
      </c>
      <c r="E12723" s="13" t="s">
        <v>23223</v>
      </c>
      <c r="F12723" s="43">
        <v>385.56</v>
      </c>
    </row>
    <row r="12724" spans="2:6" x14ac:dyDescent="0.25">
      <c r="B12724" s="13" t="s">
        <v>23224</v>
      </c>
      <c r="C12724" s="17" t="s">
        <v>170</v>
      </c>
      <c r="D12724" s="13" t="s">
        <v>118</v>
      </c>
      <c r="E12724" s="13" t="s">
        <v>23225</v>
      </c>
      <c r="F12724" s="43">
        <v>568.82000000000005</v>
      </c>
    </row>
    <row r="12725" spans="2:6" x14ac:dyDescent="0.25">
      <c r="B12725" s="13" t="s">
        <v>23226</v>
      </c>
      <c r="C12725" s="17" t="s">
        <v>170</v>
      </c>
      <c r="D12725" s="13" t="s">
        <v>118</v>
      </c>
      <c r="E12725" s="13" t="s">
        <v>23227</v>
      </c>
      <c r="F12725" s="43">
        <v>568.82000000000005</v>
      </c>
    </row>
    <row r="12726" spans="2:6" x14ac:dyDescent="0.25">
      <c r="B12726" s="13" t="s">
        <v>23228</v>
      </c>
      <c r="C12726" s="17" t="s">
        <v>170</v>
      </c>
      <c r="D12726" s="13" t="s">
        <v>118</v>
      </c>
      <c r="E12726" s="13" t="s">
        <v>23229</v>
      </c>
      <c r="F12726" s="43">
        <v>568.82000000000005</v>
      </c>
    </row>
    <row r="12727" spans="2:6" x14ac:dyDescent="0.25">
      <c r="B12727" s="13" t="s">
        <v>23230</v>
      </c>
      <c r="C12727" s="17" t="s">
        <v>170</v>
      </c>
      <c r="D12727" s="13" t="s">
        <v>118</v>
      </c>
      <c r="E12727" s="13"/>
      <c r="F12727" s="43">
        <v>0</v>
      </c>
    </row>
    <row r="12728" spans="2:6" x14ac:dyDescent="0.25">
      <c r="B12728" s="13" t="s">
        <v>23231</v>
      </c>
      <c r="C12728" s="17" t="s">
        <v>170</v>
      </c>
      <c r="D12728" s="13" t="s">
        <v>118</v>
      </c>
      <c r="E12728" s="13" t="s">
        <v>23232</v>
      </c>
      <c r="F12728" s="43">
        <v>568.82000000000005</v>
      </c>
    </row>
    <row r="12729" spans="2:6" x14ac:dyDescent="0.25">
      <c r="B12729" s="13" t="s">
        <v>23233</v>
      </c>
      <c r="C12729" s="17" t="s">
        <v>170</v>
      </c>
      <c r="D12729" s="13" t="s">
        <v>118</v>
      </c>
      <c r="E12729" s="13" t="s">
        <v>23234</v>
      </c>
      <c r="F12729" s="43">
        <v>568.82000000000005</v>
      </c>
    </row>
    <row r="12730" spans="2:6" x14ac:dyDescent="0.25">
      <c r="B12730" s="13" t="s">
        <v>23235</v>
      </c>
      <c r="C12730" s="17" t="s">
        <v>170</v>
      </c>
      <c r="D12730" s="13" t="s">
        <v>118</v>
      </c>
      <c r="E12730" s="13" t="s">
        <v>23236</v>
      </c>
      <c r="F12730" s="43">
        <v>568.82000000000005</v>
      </c>
    </row>
    <row r="12731" spans="2:6" x14ac:dyDescent="0.25">
      <c r="B12731" s="13" t="s">
        <v>23237</v>
      </c>
      <c r="C12731" s="17" t="s">
        <v>170</v>
      </c>
      <c r="D12731" s="13" t="s">
        <v>118</v>
      </c>
      <c r="E12731" s="13" t="s">
        <v>23238</v>
      </c>
      <c r="F12731" s="43">
        <v>457.86</v>
      </c>
    </row>
    <row r="12732" spans="2:6" x14ac:dyDescent="0.25">
      <c r="B12732" s="13" t="s">
        <v>23239</v>
      </c>
      <c r="C12732" s="17" t="s">
        <v>170</v>
      </c>
      <c r="D12732" s="13" t="s">
        <v>118</v>
      </c>
      <c r="E12732" s="13" t="s">
        <v>23240</v>
      </c>
      <c r="F12732" s="43">
        <v>457.86</v>
      </c>
    </row>
    <row r="12733" spans="2:6" x14ac:dyDescent="0.25">
      <c r="B12733" s="13" t="s">
        <v>23241</v>
      </c>
      <c r="C12733" s="17" t="s">
        <v>170</v>
      </c>
      <c r="D12733" s="13" t="s">
        <v>118</v>
      </c>
      <c r="E12733" s="13" t="s">
        <v>23242</v>
      </c>
      <c r="F12733" s="43">
        <v>457.86</v>
      </c>
    </row>
    <row r="12734" spans="2:6" x14ac:dyDescent="0.25">
      <c r="B12734" s="13" t="s">
        <v>23243</v>
      </c>
      <c r="C12734" s="17" t="s">
        <v>170</v>
      </c>
      <c r="D12734" s="13" t="s">
        <v>118</v>
      </c>
      <c r="E12734" s="13" t="s">
        <v>23244</v>
      </c>
      <c r="F12734" s="43">
        <v>457.86</v>
      </c>
    </row>
    <row r="12735" spans="2:6" x14ac:dyDescent="0.25">
      <c r="B12735" s="13" t="s">
        <v>23245</v>
      </c>
      <c r="C12735" s="17" t="s">
        <v>170</v>
      </c>
      <c r="D12735" s="13" t="s">
        <v>118</v>
      </c>
      <c r="E12735" s="13" t="s">
        <v>23246</v>
      </c>
      <c r="F12735" s="43">
        <v>457.86</v>
      </c>
    </row>
    <row r="12736" spans="2:6" x14ac:dyDescent="0.25">
      <c r="B12736" s="13" t="s">
        <v>23247</v>
      </c>
      <c r="C12736" s="17" t="s">
        <v>170</v>
      </c>
      <c r="D12736" s="13" t="s">
        <v>118</v>
      </c>
      <c r="E12736" s="13" t="s">
        <v>23248</v>
      </c>
      <c r="F12736" s="43">
        <v>457.86</v>
      </c>
    </row>
    <row r="12737" spans="2:6" x14ac:dyDescent="0.25">
      <c r="B12737" s="13" t="s">
        <v>23249</v>
      </c>
      <c r="C12737" s="17" t="s">
        <v>170</v>
      </c>
      <c r="D12737" s="13" t="s">
        <v>118</v>
      </c>
      <c r="E12737" s="13" t="s">
        <v>23250</v>
      </c>
      <c r="F12737" s="43">
        <v>638.59</v>
      </c>
    </row>
    <row r="12738" spans="2:6" x14ac:dyDescent="0.25">
      <c r="B12738" s="13" t="s">
        <v>23251</v>
      </c>
      <c r="C12738" s="17" t="s">
        <v>170</v>
      </c>
      <c r="D12738" s="13" t="s">
        <v>118</v>
      </c>
      <c r="E12738" s="13" t="s">
        <v>23252</v>
      </c>
      <c r="F12738" s="43">
        <v>638.59</v>
      </c>
    </row>
    <row r="12739" spans="2:6" x14ac:dyDescent="0.25">
      <c r="B12739" s="13" t="s">
        <v>23253</v>
      </c>
      <c r="C12739" s="17" t="s">
        <v>170</v>
      </c>
      <c r="D12739" s="13" t="s">
        <v>118</v>
      </c>
      <c r="E12739" s="13" t="s">
        <v>23254</v>
      </c>
      <c r="F12739" s="43">
        <v>638.59</v>
      </c>
    </row>
    <row r="12740" spans="2:6" x14ac:dyDescent="0.25">
      <c r="B12740" s="13" t="s">
        <v>23255</v>
      </c>
      <c r="C12740" s="17" t="s">
        <v>170</v>
      </c>
      <c r="D12740" s="13" t="s">
        <v>118</v>
      </c>
      <c r="E12740" s="13" t="s">
        <v>23256</v>
      </c>
      <c r="F12740" s="43">
        <v>638.59</v>
      </c>
    </row>
    <row r="12741" spans="2:6" x14ac:dyDescent="0.25">
      <c r="B12741" s="13" t="s">
        <v>23257</v>
      </c>
      <c r="C12741" s="17" t="s">
        <v>170</v>
      </c>
      <c r="D12741" s="13" t="s">
        <v>118</v>
      </c>
      <c r="E12741" s="13" t="s">
        <v>23258</v>
      </c>
      <c r="F12741" s="43">
        <v>638.59</v>
      </c>
    </row>
    <row r="12742" spans="2:6" x14ac:dyDescent="0.25">
      <c r="B12742" s="13" t="s">
        <v>23259</v>
      </c>
      <c r="C12742" s="17" t="s">
        <v>170</v>
      </c>
      <c r="D12742" s="13" t="s">
        <v>118</v>
      </c>
      <c r="E12742" s="13" t="s">
        <v>23260</v>
      </c>
      <c r="F12742" s="43">
        <v>638.59</v>
      </c>
    </row>
    <row r="12743" spans="2:6" x14ac:dyDescent="0.25">
      <c r="B12743" s="13" t="s">
        <v>23261</v>
      </c>
      <c r="C12743" s="17" t="s">
        <v>170</v>
      </c>
      <c r="D12743" s="13" t="s">
        <v>118</v>
      </c>
      <c r="E12743" s="13" t="s">
        <v>23262</v>
      </c>
      <c r="F12743" s="43">
        <v>28.81</v>
      </c>
    </row>
    <row r="12744" spans="2:6" x14ac:dyDescent="0.25">
      <c r="B12744" s="13" t="s">
        <v>23263</v>
      </c>
      <c r="C12744" s="17" t="s">
        <v>170</v>
      </c>
      <c r="D12744" s="13" t="s">
        <v>118</v>
      </c>
      <c r="E12744" s="13" t="s">
        <v>23264</v>
      </c>
      <c r="F12744" s="43">
        <v>14.81</v>
      </c>
    </row>
    <row r="12745" spans="2:6" x14ac:dyDescent="0.25">
      <c r="B12745" s="13" t="s">
        <v>23265</v>
      </c>
      <c r="C12745" s="17" t="s">
        <v>170</v>
      </c>
      <c r="D12745" s="13" t="s">
        <v>118</v>
      </c>
      <c r="E12745" s="13" t="s">
        <v>23266</v>
      </c>
      <c r="F12745" s="43">
        <v>28.92</v>
      </c>
    </row>
    <row r="12746" spans="2:6" x14ac:dyDescent="0.25">
      <c r="B12746" s="13" t="s">
        <v>23267</v>
      </c>
      <c r="C12746" s="17" t="s">
        <v>170</v>
      </c>
      <c r="D12746" s="13" t="s">
        <v>118</v>
      </c>
      <c r="E12746" s="13" t="s">
        <v>23268</v>
      </c>
      <c r="F12746" s="43">
        <v>42</v>
      </c>
    </row>
    <row r="12747" spans="2:6" x14ac:dyDescent="0.25">
      <c r="B12747" s="13" t="s">
        <v>23269</v>
      </c>
      <c r="C12747" s="17" t="s">
        <v>170</v>
      </c>
      <c r="D12747" s="13" t="s">
        <v>118</v>
      </c>
      <c r="E12747" s="13" t="s">
        <v>23270</v>
      </c>
      <c r="F12747" s="43">
        <v>16.690000000000001</v>
      </c>
    </row>
    <row r="12748" spans="2:6" x14ac:dyDescent="0.25">
      <c r="B12748" s="13" t="s">
        <v>23271</v>
      </c>
      <c r="C12748" s="17" t="s">
        <v>170</v>
      </c>
      <c r="D12748" s="13" t="s">
        <v>118</v>
      </c>
      <c r="E12748" s="13" t="s">
        <v>23272</v>
      </c>
      <c r="F12748" s="43">
        <v>38.61</v>
      </c>
    </row>
    <row r="12749" spans="2:6" x14ac:dyDescent="0.25">
      <c r="B12749" s="13" t="s">
        <v>23273</v>
      </c>
      <c r="C12749" s="17" t="s">
        <v>170</v>
      </c>
      <c r="D12749" s="13" t="s">
        <v>118</v>
      </c>
      <c r="E12749" s="13" t="s">
        <v>23262</v>
      </c>
      <c r="F12749" s="43">
        <v>91.45</v>
      </c>
    </row>
    <row r="12750" spans="2:6" x14ac:dyDescent="0.25">
      <c r="B12750" s="13" t="s">
        <v>23274</v>
      </c>
      <c r="C12750" s="17" t="s">
        <v>170</v>
      </c>
      <c r="D12750" s="13" t="s">
        <v>118</v>
      </c>
      <c r="E12750" s="13" t="s">
        <v>23275</v>
      </c>
      <c r="F12750" s="43">
        <v>17.97</v>
      </c>
    </row>
    <row r="12751" spans="2:6" x14ac:dyDescent="0.25">
      <c r="B12751" s="13" t="s">
        <v>23276</v>
      </c>
      <c r="C12751" s="17" t="s">
        <v>170</v>
      </c>
      <c r="D12751" s="13" t="s">
        <v>118</v>
      </c>
      <c r="E12751" s="13" t="s">
        <v>23277</v>
      </c>
      <c r="F12751" s="43">
        <v>87.6</v>
      </c>
    </row>
    <row r="12752" spans="2:6" x14ac:dyDescent="0.25">
      <c r="B12752" s="13" t="s">
        <v>23278</v>
      </c>
      <c r="C12752" s="17" t="s">
        <v>170</v>
      </c>
      <c r="D12752" s="13" t="s">
        <v>118</v>
      </c>
      <c r="E12752" s="13" t="s">
        <v>23268</v>
      </c>
      <c r="F12752" s="43">
        <v>115.48</v>
      </c>
    </row>
    <row r="12753" spans="2:6" x14ac:dyDescent="0.25">
      <c r="B12753" s="13" t="s">
        <v>23279</v>
      </c>
      <c r="C12753" s="17" t="s">
        <v>170</v>
      </c>
      <c r="D12753" s="13" t="s">
        <v>118</v>
      </c>
      <c r="E12753" s="13" t="s">
        <v>23270</v>
      </c>
      <c r="F12753" s="43">
        <v>39.299999999999997</v>
      </c>
    </row>
    <row r="12754" spans="2:6" x14ac:dyDescent="0.25">
      <c r="B12754" s="13" t="s">
        <v>23280</v>
      </c>
      <c r="C12754" s="17" t="s">
        <v>170</v>
      </c>
      <c r="D12754" s="13" t="s">
        <v>118</v>
      </c>
      <c r="E12754" s="13" t="s">
        <v>23272</v>
      </c>
      <c r="F12754" s="43">
        <v>142.41</v>
      </c>
    </row>
    <row r="12755" spans="2:6" x14ac:dyDescent="0.25">
      <c r="B12755" s="13" t="s">
        <v>23281</v>
      </c>
      <c r="C12755" s="17" t="s">
        <v>170</v>
      </c>
      <c r="D12755" s="13" t="s">
        <v>118</v>
      </c>
      <c r="E12755" s="13" t="s">
        <v>23282</v>
      </c>
      <c r="F12755" s="43">
        <v>182.34</v>
      </c>
    </row>
    <row r="12756" spans="2:6" x14ac:dyDescent="0.25">
      <c r="B12756" s="13" t="s">
        <v>23283</v>
      </c>
      <c r="C12756" s="17" t="s">
        <v>170</v>
      </c>
      <c r="D12756" s="13" t="s">
        <v>118</v>
      </c>
      <c r="E12756" s="13" t="s">
        <v>23284</v>
      </c>
      <c r="F12756" s="43">
        <v>9.34</v>
      </c>
    </row>
    <row r="12757" spans="2:6" x14ac:dyDescent="0.25">
      <c r="B12757" s="13" t="s">
        <v>23285</v>
      </c>
      <c r="C12757" s="17" t="s">
        <v>170</v>
      </c>
      <c r="D12757" s="13" t="s">
        <v>118</v>
      </c>
      <c r="E12757" s="13" t="s">
        <v>23286</v>
      </c>
      <c r="F12757" s="43">
        <v>16.07</v>
      </c>
    </row>
    <row r="12758" spans="2:6" x14ac:dyDescent="0.25">
      <c r="B12758" s="13" t="s">
        <v>23287</v>
      </c>
      <c r="C12758" s="17" t="s">
        <v>170</v>
      </c>
      <c r="D12758" s="13" t="s">
        <v>118</v>
      </c>
      <c r="E12758" s="13" t="s">
        <v>23288</v>
      </c>
      <c r="F12758" s="43">
        <v>44.99</v>
      </c>
    </row>
    <row r="12759" spans="2:6" x14ac:dyDescent="0.25">
      <c r="B12759" s="13" t="s">
        <v>23289</v>
      </c>
      <c r="C12759" s="17" t="s">
        <v>170</v>
      </c>
      <c r="D12759" s="13" t="s">
        <v>118</v>
      </c>
      <c r="E12759" s="13" t="s">
        <v>23290</v>
      </c>
      <c r="F12759" s="43">
        <v>44.22</v>
      </c>
    </row>
    <row r="12760" spans="2:6" x14ac:dyDescent="0.25">
      <c r="B12760" s="13" t="s">
        <v>23291</v>
      </c>
      <c r="C12760" s="17" t="s">
        <v>170</v>
      </c>
      <c r="D12760" s="13" t="s">
        <v>118</v>
      </c>
      <c r="E12760" s="13" t="s">
        <v>23292</v>
      </c>
      <c r="F12760" s="43">
        <v>12.32</v>
      </c>
    </row>
    <row r="12761" spans="2:6" x14ac:dyDescent="0.25">
      <c r="B12761" s="13" t="s">
        <v>23293</v>
      </c>
      <c r="C12761" s="17" t="s">
        <v>170</v>
      </c>
      <c r="D12761" s="13" t="s">
        <v>118</v>
      </c>
      <c r="E12761" s="13" t="s">
        <v>23294</v>
      </c>
      <c r="F12761" s="43">
        <v>18.75</v>
      </c>
    </row>
    <row r="12762" spans="2:6" x14ac:dyDescent="0.25">
      <c r="B12762" s="13" t="s">
        <v>23295</v>
      </c>
      <c r="C12762" s="17" t="s">
        <v>170</v>
      </c>
      <c r="D12762" s="13" t="s">
        <v>118</v>
      </c>
      <c r="E12762" s="13" t="s">
        <v>23296</v>
      </c>
      <c r="F12762" s="43">
        <v>192.78</v>
      </c>
    </row>
    <row r="12763" spans="2:6" x14ac:dyDescent="0.25">
      <c r="B12763" s="13" t="s">
        <v>23297</v>
      </c>
      <c r="C12763" s="17" t="s">
        <v>170</v>
      </c>
      <c r="D12763" s="13" t="s">
        <v>118</v>
      </c>
      <c r="E12763" s="13" t="s">
        <v>23298</v>
      </c>
      <c r="F12763" s="43">
        <v>210.86</v>
      </c>
    </row>
    <row r="12764" spans="2:6" x14ac:dyDescent="0.25">
      <c r="B12764" s="13" t="s">
        <v>23299</v>
      </c>
      <c r="C12764" s="17" t="s">
        <v>170</v>
      </c>
      <c r="D12764" s="13" t="s">
        <v>118</v>
      </c>
      <c r="E12764" s="13" t="s">
        <v>23300</v>
      </c>
      <c r="F12764" s="43">
        <v>230.94</v>
      </c>
    </row>
    <row r="12765" spans="2:6" x14ac:dyDescent="0.25">
      <c r="B12765" s="13" t="s">
        <v>23301</v>
      </c>
      <c r="C12765" s="17" t="s">
        <v>170</v>
      </c>
      <c r="D12765" s="13" t="s">
        <v>118</v>
      </c>
      <c r="E12765" s="13" t="s">
        <v>23302</v>
      </c>
      <c r="F12765" s="43">
        <v>261.06</v>
      </c>
    </row>
    <row r="12766" spans="2:6" x14ac:dyDescent="0.25">
      <c r="B12766" s="13" t="s">
        <v>23303</v>
      </c>
      <c r="C12766" s="17" t="s">
        <v>170</v>
      </c>
      <c r="D12766" s="13" t="s">
        <v>118</v>
      </c>
      <c r="E12766" s="13" t="s">
        <v>23304</v>
      </c>
      <c r="F12766" s="43">
        <v>49.07</v>
      </c>
    </row>
    <row r="12767" spans="2:6" x14ac:dyDescent="0.25">
      <c r="B12767" s="13" t="s">
        <v>23305</v>
      </c>
      <c r="C12767" s="17" t="s">
        <v>170</v>
      </c>
      <c r="D12767" s="13" t="s">
        <v>118</v>
      </c>
      <c r="E12767" s="13" t="s">
        <v>23306</v>
      </c>
      <c r="F12767" s="43">
        <v>9.65</v>
      </c>
    </row>
    <row r="12768" spans="2:6" x14ac:dyDescent="0.25">
      <c r="B12768" s="13" t="s">
        <v>23307</v>
      </c>
      <c r="C12768" s="17" t="s">
        <v>170</v>
      </c>
      <c r="D12768" s="13" t="s">
        <v>118</v>
      </c>
      <c r="E12768" s="13" t="s">
        <v>23308</v>
      </c>
      <c r="F12768" s="43">
        <v>13.9</v>
      </c>
    </row>
    <row r="12769" spans="2:6" x14ac:dyDescent="0.25">
      <c r="B12769" s="13" t="s">
        <v>23309</v>
      </c>
      <c r="C12769" s="17" t="s">
        <v>170</v>
      </c>
      <c r="D12769" s="13" t="s">
        <v>118</v>
      </c>
      <c r="E12769" s="13" t="s">
        <v>23310</v>
      </c>
      <c r="F12769" s="43">
        <v>26.54</v>
      </c>
    </row>
    <row r="12770" spans="2:6" x14ac:dyDescent="0.25">
      <c r="B12770" s="13" t="s">
        <v>23311</v>
      </c>
      <c r="C12770" s="17" t="s">
        <v>170</v>
      </c>
      <c r="D12770" s="13" t="s">
        <v>118</v>
      </c>
      <c r="E12770" s="13" t="s">
        <v>23312</v>
      </c>
      <c r="F12770" s="43">
        <v>26.03</v>
      </c>
    </row>
    <row r="12771" spans="2:6" x14ac:dyDescent="0.25">
      <c r="B12771" s="13" t="s">
        <v>23313</v>
      </c>
      <c r="C12771" s="17" t="s">
        <v>170</v>
      </c>
      <c r="D12771" s="13" t="s">
        <v>118</v>
      </c>
      <c r="E12771" s="13" t="s">
        <v>23314</v>
      </c>
      <c r="F12771" s="43">
        <v>26.25</v>
      </c>
    </row>
    <row r="12772" spans="2:6" x14ac:dyDescent="0.25">
      <c r="B12772" s="13" t="s">
        <v>23315</v>
      </c>
      <c r="C12772" s="17" t="s">
        <v>170</v>
      </c>
      <c r="D12772" s="13" t="s">
        <v>118</v>
      </c>
      <c r="E12772" s="13" t="s">
        <v>23316</v>
      </c>
      <c r="F12772" s="43">
        <v>51.16</v>
      </c>
    </row>
    <row r="12773" spans="2:6" x14ac:dyDescent="0.25">
      <c r="B12773" s="13" t="s">
        <v>23317</v>
      </c>
      <c r="C12773" s="17" t="s">
        <v>170</v>
      </c>
      <c r="D12773" s="13" t="s">
        <v>118</v>
      </c>
      <c r="E12773" s="13" t="s">
        <v>23318</v>
      </c>
      <c r="F12773" s="43">
        <v>51.16</v>
      </c>
    </row>
    <row r="12774" spans="2:6" x14ac:dyDescent="0.25">
      <c r="B12774" s="13" t="s">
        <v>23319</v>
      </c>
      <c r="C12774" s="17" t="s">
        <v>170</v>
      </c>
      <c r="D12774" s="13" t="s">
        <v>118</v>
      </c>
      <c r="E12774" s="13" t="s">
        <v>23320</v>
      </c>
      <c r="F12774" s="43">
        <v>29.41</v>
      </c>
    </row>
    <row r="12775" spans="2:6" x14ac:dyDescent="0.25">
      <c r="B12775" s="13" t="s">
        <v>23321</v>
      </c>
      <c r="C12775" s="17" t="s">
        <v>170</v>
      </c>
      <c r="D12775" s="13" t="s">
        <v>118</v>
      </c>
      <c r="E12775" s="13" t="s">
        <v>23322</v>
      </c>
      <c r="F12775" s="43">
        <v>47.6</v>
      </c>
    </row>
    <row r="12776" spans="2:6" x14ac:dyDescent="0.25">
      <c r="B12776" s="13" t="s">
        <v>23323</v>
      </c>
      <c r="C12776" s="17" t="s">
        <v>170</v>
      </c>
      <c r="D12776" s="13" t="s">
        <v>118</v>
      </c>
      <c r="E12776" s="13" t="s">
        <v>23324</v>
      </c>
      <c r="F12776" s="43">
        <v>14.38</v>
      </c>
    </row>
    <row r="12777" spans="2:6" x14ac:dyDescent="0.25">
      <c r="B12777" s="13" t="s">
        <v>23325</v>
      </c>
      <c r="C12777" s="17" t="s">
        <v>170</v>
      </c>
      <c r="D12777" s="13" t="s">
        <v>118</v>
      </c>
      <c r="E12777" s="13" t="s">
        <v>23326</v>
      </c>
      <c r="F12777" s="43">
        <v>16.079999999999998</v>
      </c>
    </row>
    <row r="12778" spans="2:6" x14ac:dyDescent="0.25">
      <c r="B12778" s="13" t="s">
        <v>23327</v>
      </c>
      <c r="C12778" s="17" t="s">
        <v>170</v>
      </c>
      <c r="D12778" s="13" t="s">
        <v>118</v>
      </c>
      <c r="E12778" s="13" t="s">
        <v>23328</v>
      </c>
      <c r="F12778" s="43">
        <v>16.88</v>
      </c>
    </row>
    <row r="12779" spans="2:6" x14ac:dyDescent="0.25">
      <c r="B12779" s="13" t="s">
        <v>23329</v>
      </c>
      <c r="C12779" s="17" t="s">
        <v>170</v>
      </c>
      <c r="D12779" s="13" t="s">
        <v>118</v>
      </c>
      <c r="E12779" s="13" t="s">
        <v>23330</v>
      </c>
      <c r="F12779" s="43">
        <v>16.82</v>
      </c>
    </row>
    <row r="12780" spans="2:6" x14ac:dyDescent="0.25">
      <c r="B12780" s="13" t="s">
        <v>23331</v>
      </c>
      <c r="C12780" s="17" t="s">
        <v>170</v>
      </c>
      <c r="D12780" s="13" t="s">
        <v>118</v>
      </c>
      <c r="E12780" s="13" t="s">
        <v>23332</v>
      </c>
      <c r="F12780" s="43">
        <v>18.34</v>
      </c>
    </row>
    <row r="12781" spans="2:6" x14ac:dyDescent="0.25">
      <c r="B12781" s="13" t="s">
        <v>23333</v>
      </c>
      <c r="C12781" s="17" t="s">
        <v>170</v>
      </c>
      <c r="D12781" s="13" t="s">
        <v>118</v>
      </c>
      <c r="E12781" s="13" t="s">
        <v>23334</v>
      </c>
      <c r="F12781" s="43">
        <v>29.78</v>
      </c>
    </row>
    <row r="12782" spans="2:6" x14ac:dyDescent="0.25">
      <c r="B12782" s="13" t="s">
        <v>23335</v>
      </c>
      <c r="C12782" s="17" t="s">
        <v>170</v>
      </c>
      <c r="D12782" s="13" t="s">
        <v>118</v>
      </c>
      <c r="E12782" s="13" t="s">
        <v>23336</v>
      </c>
      <c r="F12782" s="43">
        <v>29.78</v>
      </c>
    </row>
    <row r="12783" spans="2:6" x14ac:dyDescent="0.25">
      <c r="B12783" s="13" t="s">
        <v>23337</v>
      </c>
      <c r="C12783" s="17" t="s">
        <v>170</v>
      </c>
      <c r="D12783" s="13" t="s">
        <v>118</v>
      </c>
      <c r="E12783" s="13" t="s">
        <v>23338</v>
      </c>
      <c r="F12783" s="43">
        <v>29.78</v>
      </c>
    </row>
    <row r="12784" spans="2:6" x14ac:dyDescent="0.25">
      <c r="B12784" s="13" t="s">
        <v>23339</v>
      </c>
      <c r="C12784" s="17" t="s">
        <v>170</v>
      </c>
      <c r="D12784" s="13" t="s">
        <v>118</v>
      </c>
      <c r="E12784" s="13" t="s">
        <v>23340</v>
      </c>
      <c r="F12784" s="43">
        <v>33.049999999999997</v>
      </c>
    </row>
    <row r="12785" spans="2:6" x14ac:dyDescent="0.25">
      <c r="B12785" s="13" t="s">
        <v>23341</v>
      </c>
      <c r="C12785" s="17" t="s">
        <v>170</v>
      </c>
      <c r="D12785" s="13" t="s">
        <v>118</v>
      </c>
      <c r="E12785" s="13" t="s">
        <v>23342</v>
      </c>
      <c r="F12785" s="43">
        <v>6.16</v>
      </c>
    </row>
    <row r="12786" spans="2:6" x14ac:dyDescent="0.25">
      <c r="B12786" s="13" t="s">
        <v>23343</v>
      </c>
      <c r="C12786" s="17" t="s">
        <v>170</v>
      </c>
      <c r="D12786" s="13" t="s">
        <v>118</v>
      </c>
      <c r="E12786" s="13" t="s">
        <v>23344</v>
      </c>
      <c r="F12786" s="43">
        <v>23.42</v>
      </c>
    </row>
    <row r="12787" spans="2:6" x14ac:dyDescent="0.25">
      <c r="B12787" s="13" t="s">
        <v>23345</v>
      </c>
      <c r="C12787" s="17" t="s">
        <v>170</v>
      </c>
      <c r="D12787" s="13" t="s">
        <v>118</v>
      </c>
      <c r="E12787" s="13" t="s">
        <v>23346</v>
      </c>
      <c r="F12787" s="43">
        <v>54.36</v>
      </c>
    </row>
    <row r="12788" spans="2:6" x14ac:dyDescent="0.25">
      <c r="B12788" s="13" t="s">
        <v>23347</v>
      </c>
      <c r="C12788" s="17" t="s">
        <v>170</v>
      </c>
      <c r="D12788" s="13" t="s">
        <v>118</v>
      </c>
      <c r="E12788" s="13" t="s">
        <v>23348</v>
      </c>
      <c r="F12788" s="43">
        <v>17.43</v>
      </c>
    </row>
    <row r="12789" spans="2:6" x14ac:dyDescent="0.25">
      <c r="B12789" s="13" t="s">
        <v>23349</v>
      </c>
      <c r="C12789" s="17" t="s">
        <v>170</v>
      </c>
      <c r="D12789" s="13" t="s">
        <v>118</v>
      </c>
      <c r="E12789" s="13" t="s">
        <v>23350</v>
      </c>
      <c r="F12789" s="43">
        <v>42.12</v>
      </c>
    </row>
    <row r="12790" spans="2:6" x14ac:dyDescent="0.25">
      <c r="B12790" s="13" t="s">
        <v>23351</v>
      </c>
      <c r="C12790" s="17" t="s">
        <v>170</v>
      </c>
      <c r="D12790" s="13" t="s">
        <v>118</v>
      </c>
      <c r="E12790" s="13" t="s">
        <v>23352</v>
      </c>
      <c r="F12790" s="43">
        <v>42.12</v>
      </c>
    </row>
    <row r="12791" spans="2:6" x14ac:dyDescent="0.25">
      <c r="B12791" s="13" t="s">
        <v>23353</v>
      </c>
      <c r="C12791" s="17" t="s">
        <v>170</v>
      </c>
      <c r="D12791" s="13" t="s">
        <v>118</v>
      </c>
      <c r="E12791" s="13" t="s">
        <v>23354</v>
      </c>
      <c r="F12791" s="43">
        <v>44.28</v>
      </c>
    </row>
    <row r="12792" spans="2:6" x14ac:dyDescent="0.25">
      <c r="B12792" s="13" t="s">
        <v>23355</v>
      </c>
      <c r="C12792" s="17" t="s">
        <v>170</v>
      </c>
      <c r="D12792" s="13" t="s">
        <v>118</v>
      </c>
      <c r="E12792" s="13" t="s">
        <v>23356</v>
      </c>
      <c r="F12792" s="43">
        <v>39.21</v>
      </c>
    </row>
    <row r="12793" spans="2:6" x14ac:dyDescent="0.25">
      <c r="B12793" s="13" t="s">
        <v>23357</v>
      </c>
      <c r="C12793" s="17" t="s">
        <v>170</v>
      </c>
      <c r="D12793" s="13" t="s">
        <v>118</v>
      </c>
      <c r="E12793" s="13" t="s">
        <v>23358</v>
      </c>
      <c r="F12793" s="43">
        <v>53.57</v>
      </c>
    </row>
    <row r="12794" spans="2:6" x14ac:dyDescent="0.25">
      <c r="B12794" s="13" t="s">
        <v>23359</v>
      </c>
      <c r="C12794" s="17" t="s">
        <v>170</v>
      </c>
      <c r="D12794" s="13" t="s">
        <v>118</v>
      </c>
      <c r="E12794" s="13" t="s">
        <v>23360</v>
      </c>
      <c r="F12794" s="43">
        <v>38.659999999999997</v>
      </c>
    </row>
    <row r="12795" spans="2:6" x14ac:dyDescent="0.25">
      <c r="B12795" s="13" t="s">
        <v>23361</v>
      </c>
      <c r="C12795" s="17" t="s">
        <v>170</v>
      </c>
      <c r="D12795" s="13" t="s">
        <v>118</v>
      </c>
      <c r="E12795" s="13" t="s">
        <v>23362</v>
      </c>
      <c r="F12795" s="43">
        <v>38.659999999999997</v>
      </c>
    </row>
    <row r="12796" spans="2:6" x14ac:dyDescent="0.25">
      <c r="B12796" s="13" t="s">
        <v>23363</v>
      </c>
      <c r="C12796" s="17" t="s">
        <v>170</v>
      </c>
      <c r="D12796" s="13" t="s">
        <v>118</v>
      </c>
      <c r="E12796" s="13" t="s">
        <v>23364</v>
      </c>
      <c r="F12796" s="43">
        <v>71.430000000000007</v>
      </c>
    </row>
    <row r="12797" spans="2:6" x14ac:dyDescent="0.25">
      <c r="B12797" s="13" t="s">
        <v>23365</v>
      </c>
      <c r="C12797" s="17" t="s">
        <v>170</v>
      </c>
      <c r="D12797" s="13" t="s">
        <v>118</v>
      </c>
      <c r="E12797" s="13" t="s">
        <v>23366</v>
      </c>
      <c r="F12797" s="43">
        <v>64.44</v>
      </c>
    </row>
    <row r="12798" spans="2:6" x14ac:dyDescent="0.25">
      <c r="B12798" s="13" t="s">
        <v>23367</v>
      </c>
      <c r="C12798" s="17" t="s">
        <v>170</v>
      </c>
      <c r="D12798" s="13" t="s">
        <v>118</v>
      </c>
      <c r="E12798" s="13" t="s">
        <v>23368</v>
      </c>
      <c r="F12798" s="43">
        <v>70.569999999999993</v>
      </c>
    </row>
    <row r="12799" spans="2:6" x14ac:dyDescent="0.25">
      <c r="B12799" s="13" t="s">
        <v>23369</v>
      </c>
      <c r="C12799" s="17" t="s">
        <v>170</v>
      </c>
      <c r="D12799" s="13" t="s">
        <v>118</v>
      </c>
      <c r="E12799" s="13" t="s">
        <v>23370</v>
      </c>
      <c r="F12799" s="43">
        <v>92.7</v>
      </c>
    </row>
    <row r="12800" spans="2:6" x14ac:dyDescent="0.25">
      <c r="B12800" s="13" t="s">
        <v>23371</v>
      </c>
      <c r="C12800" s="17" t="s">
        <v>170</v>
      </c>
      <c r="D12800" s="13" t="s">
        <v>118</v>
      </c>
      <c r="E12800" s="13" t="s">
        <v>23372</v>
      </c>
      <c r="F12800" s="43">
        <v>178.6</v>
      </c>
    </row>
    <row r="12801" spans="2:6" x14ac:dyDescent="0.25">
      <c r="B12801" s="13" t="s">
        <v>23373</v>
      </c>
      <c r="C12801" s="17" t="s">
        <v>170</v>
      </c>
      <c r="D12801" s="13" t="s">
        <v>118</v>
      </c>
      <c r="E12801" s="13" t="s">
        <v>23374</v>
      </c>
      <c r="F12801" s="43">
        <v>39.35</v>
      </c>
    </row>
    <row r="12802" spans="2:6" x14ac:dyDescent="0.25">
      <c r="B12802" s="13" t="s">
        <v>23375</v>
      </c>
      <c r="C12802" s="17" t="s">
        <v>170</v>
      </c>
      <c r="D12802" s="13" t="s">
        <v>118</v>
      </c>
      <c r="E12802" s="13" t="s">
        <v>23376</v>
      </c>
      <c r="F12802" s="43">
        <v>51.48</v>
      </c>
    </row>
    <row r="12803" spans="2:6" x14ac:dyDescent="0.25">
      <c r="B12803" s="13" t="s">
        <v>23377</v>
      </c>
      <c r="C12803" s="17" t="s">
        <v>170</v>
      </c>
      <c r="D12803" s="13" t="s">
        <v>118</v>
      </c>
      <c r="E12803" s="13" t="s">
        <v>23378</v>
      </c>
      <c r="F12803" s="43">
        <v>36</v>
      </c>
    </row>
    <row r="12804" spans="2:6" x14ac:dyDescent="0.25">
      <c r="B12804" s="13" t="s">
        <v>23379</v>
      </c>
      <c r="C12804" s="17" t="s">
        <v>170</v>
      </c>
      <c r="D12804" s="13" t="s">
        <v>118</v>
      </c>
      <c r="E12804" s="13" t="s">
        <v>23380</v>
      </c>
      <c r="F12804" s="43">
        <v>36</v>
      </c>
    </row>
    <row r="12805" spans="2:6" x14ac:dyDescent="0.25">
      <c r="B12805" s="13" t="s">
        <v>23381</v>
      </c>
      <c r="C12805" s="17" t="s">
        <v>170</v>
      </c>
      <c r="D12805" s="13" t="s">
        <v>118</v>
      </c>
      <c r="E12805" s="13" t="s">
        <v>23382</v>
      </c>
      <c r="F12805" s="43">
        <v>36</v>
      </c>
    </row>
    <row r="12806" spans="2:6" x14ac:dyDescent="0.25">
      <c r="B12806" s="13" t="s">
        <v>23383</v>
      </c>
      <c r="C12806" s="17" t="s">
        <v>170</v>
      </c>
      <c r="D12806" s="13" t="s">
        <v>118</v>
      </c>
      <c r="E12806" s="13" t="s">
        <v>23384</v>
      </c>
      <c r="F12806" s="43">
        <v>36</v>
      </c>
    </row>
    <row r="12807" spans="2:6" x14ac:dyDescent="0.25">
      <c r="B12807" s="13" t="s">
        <v>23385</v>
      </c>
      <c r="C12807" s="17" t="s">
        <v>170</v>
      </c>
      <c r="D12807" s="13" t="s">
        <v>118</v>
      </c>
      <c r="E12807" s="13" t="s">
        <v>23386</v>
      </c>
      <c r="F12807" s="43">
        <v>36</v>
      </c>
    </row>
    <row r="12808" spans="2:6" x14ac:dyDescent="0.25">
      <c r="B12808" s="13" t="s">
        <v>23387</v>
      </c>
      <c r="C12808" s="17" t="s">
        <v>170</v>
      </c>
      <c r="D12808" s="13" t="s">
        <v>118</v>
      </c>
      <c r="E12808" s="13" t="s">
        <v>23388</v>
      </c>
      <c r="F12808" s="43">
        <v>52.65</v>
      </c>
    </row>
    <row r="12809" spans="2:6" x14ac:dyDescent="0.25">
      <c r="B12809" s="13" t="s">
        <v>23389</v>
      </c>
      <c r="C12809" s="17" t="s">
        <v>170</v>
      </c>
      <c r="D12809" s="13" t="s">
        <v>118</v>
      </c>
      <c r="E12809" s="13" t="s">
        <v>23390</v>
      </c>
      <c r="F12809" s="43">
        <v>52.65</v>
      </c>
    </row>
    <row r="12810" spans="2:6" x14ac:dyDescent="0.25">
      <c r="B12810" s="13" t="s">
        <v>23391</v>
      </c>
      <c r="C12810" s="17" t="s">
        <v>170</v>
      </c>
      <c r="D12810" s="13" t="s">
        <v>118</v>
      </c>
      <c r="E12810" s="13" t="s">
        <v>23392</v>
      </c>
      <c r="F12810" s="43">
        <v>106.92</v>
      </c>
    </row>
    <row r="12811" spans="2:6" x14ac:dyDescent="0.25">
      <c r="B12811" s="13" t="s">
        <v>23393</v>
      </c>
      <c r="C12811" s="17" t="s">
        <v>170</v>
      </c>
      <c r="D12811" s="13" t="s">
        <v>118</v>
      </c>
      <c r="E12811" s="13" t="s">
        <v>23394</v>
      </c>
      <c r="F12811" s="43">
        <v>106.92</v>
      </c>
    </row>
    <row r="12812" spans="2:6" x14ac:dyDescent="0.25">
      <c r="B12812" s="13" t="s">
        <v>23395</v>
      </c>
      <c r="C12812" s="17" t="s">
        <v>170</v>
      </c>
      <c r="D12812" s="13" t="s">
        <v>118</v>
      </c>
      <c r="E12812" s="13" t="s">
        <v>23396</v>
      </c>
      <c r="F12812" s="43">
        <v>130</v>
      </c>
    </row>
    <row r="12813" spans="2:6" x14ac:dyDescent="0.25">
      <c r="B12813" s="13" t="s">
        <v>23397</v>
      </c>
      <c r="C12813" s="17" t="s">
        <v>170</v>
      </c>
      <c r="D12813" s="13" t="s">
        <v>118</v>
      </c>
      <c r="E12813" s="13" t="s">
        <v>23398</v>
      </c>
      <c r="F12813" s="43">
        <v>35</v>
      </c>
    </row>
    <row r="12814" spans="2:6" x14ac:dyDescent="0.25">
      <c r="B12814" s="13" t="s">
        <v>23399</v>
      </c>
      <c r="C12814" s="17" t="s">
        <v>170</v>
      </c>
      <c r="D12814" s="13" t="s">
        <v>118</v>
      </c>
      <c r="E12814" s="13" t="s">
        <v>23400</v>
      </c>
      <c r="F12814" s="43">
        <v>15</v>
      </c>
    </row>
    <row r="12815" spans="2:6" x14ac:dyDescent="0.25">
      <c r="B12815" s="13" t="s">
        <v>23401</v>
      </c>
      <c r="C12815" s="17" t="s">
        <v>170</v>
      </c>
      <c r="D12815" s="13" t="s">
        <v>118</v>
      </c>
      <c r="E12815" s="13" t="s">
        <v>23402</v>
      </c>
      <c r="F12815" s="43">
        <v>15</v>
      </c>
    </row>
    <row r="12816" spans="2:6" x14ac:dyDescent="0.25">
      <c r="B12816" s="13" t="s">
        <v>23403</v>
      </c>
      <c r="C12816" s="17" t="s">
        <v>170</v>
      </c>
      <c r="D12816" s="13" t="s">
        <v>118</v>
      </c>
      <c r="E12816" s="13" t="s">
        <v>23404</v>
      </c>
      <c r="F12816" s="43">
        <v>6.92</v>
      </c>
    </row>
    <row r="12817" spans="2:6" x14ac:dyDescent="0.25">
      <c r="B12817" s="13" t="s">
        <v>23405</v>
      </c>
      <c r="C12817" s="17" t="s">
        <v>170</v>
      </c>
      <c r="D12817" s="13" t="s">
        <v>118</v>
      </c>
      <c r="E12817" s="13" t="s">
        <v>23406</v>
      </c>
      <c r="F12817" s="43">
        <v>12.15</v>
      </c>
    </row>
    <row r="12818" spans="2:6" x14ac:dyDescent="0.25">
      <c r="B12818" s="13" t="s">
        <v>23407</v>
      </c>
      <c r="C12818" s="17" t="s">
        <v>170</v>
      </c>
      <c r="D12818" s="13" t="s">
        <v>118</v>
      </c>
      <c r="E12818" s="13" t="s">
        <v>23408</v>
      </c>
      <c r="F12818" s="43">
        <v>16.2</v>
      </c>
    </row>
    <row r="12819" spans="2:6" x14ac:dyDescent="0.25">
      <c r="B12819" s="13" t="s">
        <v>23409</v>
      </c>
      <c r="C12819" s="17" t="s">
        <v>170</v>
      </c>
      <c r="D12819" s="13" t="s">
        <v>118</v>
      </c>
      <c r="E12819" s="13" t="s">
        <v>23410</v>
      </c>
      <c r="F12819" s="43">
        <v>12.15</v>
      </c>
    </row>
    <row r="12820" spans="2:6" x14ac:dyDescent="0.25">
      <c r="B12820" s="13" t="s">
        <v>23411</v>
      </c>
      <c r="C12820" s="17" t="s">
        <v>170</v>
      </c>
      <c r="D12820" s="13" t="s">
        <v>118</v>
      </c>
      <c r="E12820" s="13" t="s">
        <v>23412</v>
      </c>
      <c r="F12820" s="43">
        <v>0</v>
      </c>
    </row>
    <row r="12821" spans="2:6" x14ac:dyDescent="0.25">
      <c r="B12821" s="13" t="s">
        <v>23413</v>
      </c>
      <c r="C12821" s="17" t="s">
        <v>170</v>
      </c>
      <c r="D12821" s="13" t="s">
        <v>118</v>
      </c>
      <c r="E12821" s="13" t="s">
        <v>23414</v>
      </c>
      <c r="F12821" s="43">
        <v>22</v>
      </c>
    </row>
    <row r="12822" spans="2:6" x14ac:dyDescent="0.25">
      <c r="B12822" s="13" t="s">
        <v>23415</v>
      </c>
      <c r="C12822" s="17" t="s">
        <v>170</v>
      </c>
      <c r="D12822" s="13" t="s">
        <v>118</v>
      </c>
      <c r="E12822" s="13" t="s">
        <v>23416</v>
      </c>
      <c r="F12822" s="43">
        <v>22</v>
      </c>
    </row>
    <row r="12823" spans="2:6" x14ac:dyDescent="0.25">
      <c r="B12823" s="13" t="s">
        <v>23417</v>
      </c>
      <c r="C12823" s="17" t="s">
        <v>170</v>
      </c>
      <c r="D12823" s="13" t="s">
        <v>118</v>
      </c>
      <c r="E12823" s="13" t="s">
        <v>23418</v>
      </c>
      <c r="F12823" s="43">
        <v>1291.52</v>
      </c>
    </row>
    <row r="12824" spans="2:6" x14ac:dyDescent="0.25">
      <c r="B12824" s="13" t="s">
        <v>23419</v>
      </c>
      <c r="C12824" s="17" t="s">
        <v>170</v>
      </c>
      <c r="D12824" s="13" t="s">
        <v>118</v>
      </c>
      <c r="E12824" s="13" t="s">
        <v>23420</v>
      </c>
      <c r="F12824" s="43">
        <v>1291.52</v>
      </c>
    </row>
    <row r="12825" spans="2:6" x14ac:dyDescent="0.25">
      <c r="B12825" s="13" t="s">
        <v>23421</v>
      </c>
      <c r="C12825" s="17" t="s">
        <v>170</v>
      </c>
      <c r="D12825" s="13" t="s">
        <v>118</v>
      </c>
      <c r="E12825" s="13" t="s">
        <v>23422</v>
      </c>
      <c r="F12825" s="43">
        <v>1182.3900000000001</v>
      </c>
    </row>
    <row r="12826" spans="2:6" x14ac:dyDescent="0.25">
      <c r="B12826" s="13" t="s">
        <v>23423</v>
      </c>
      <c r="C12826" s="17" t="s">
        <v>170</v>
      </c>
      <c r="D12826" s="13" t="s">
        <v>118</v>
      </c>
      <c r="E12826" s="13" t="s">
        <v>23424</v>
      </c>
      <c r="F12826" s="43">
        <v>1182.3900000000001</v>
      </c>
    </row>
    <row r="12827" spans="2:6" x14ac:dyDescent="0.25">
      <c r="B12827" s="13" t="s">
        <v>23425</v>
      </c>
      <c r="C12827" s="17" t="s">
        <v>170</v>
      </c>
      <c r="D12827" s="13" t="s">
        <v>118</v>
      </c>
      <c r="E12827" s="13" t="s">
        <v>23426</v>
      </c>
      <c r="F12827" s="43">
        <v>715.59</v>
      </c>
    </row>
    <row r="12828" spans="2:6" x14ac:dyDescent="0.25">
      <c r="B12828" s="13" t="s">
        <v>23427</v>
      </c>
      <c r="C12828" s="17" t="s">
        <v>170</v>
      </c>
      <c r="D12828" s="13" t="s">
        <v>118</v>
      </c>
      <c r="E12828" s="13" t="s">
        <v>23428</v>
      </c>
      <c r="F12828" s="43">
        <v>715.59</v>
      </c>
    </row>
    <row r="12829" spans="2:6" x14ac:dyDescent="0.25">
      <c r="B12829" s="13" t="s">
        <v>23429</v>
      </c>
      <c r="C12829" s="17" t="s">
        <v>170</v>
      </c>
      <c r="D12829" s="13" t="s">
        <v>118</v>
      </c>
      <c r="E12829" s="13" t="s">
        <v>23430</v>
      </c>
      <c r="F12829" s="43">
        <v>715.59</v>
      </c>
    </row>
    <row r="12830" spans="2:6" x14ac:dyDescent="0.25">
      <c r="B12830" s="13" t="s">
        <v>23431</v>
      </c>
      <c r="C12830" s="17" t="s">
        <v>170</v>
      </c>
      <c r="D12830" s="13" t="s">
        <v>118</v>
      </c>
      <c r="E12830" s="13" t="s">
        <v>23432</v>
      </c>
      <c r="F12830" s="43">
        <v>715.59</v>
      </c>
    </row>
    <row r="12831" spans="2:6" x14ac:dyDescent="0.25">
      <c r="B12831" s="13" t="s">
        <v>23423</v>
      </c>
      <c r="C12831" s="17" t="s">
        <v>170</v>
      </c>
      <c r="D12831" s="13" t="s">
        <v>118</v>
      </c>
      <c r="E12831" s="13" t="s">
        <v>23433</v>
      </c>
      <c r="F12831" s="43">
        <v>1182.3900000000001</v>
      </c>
    </row>
    <row r="12832" spans="2:6" x14ac:dyDescent="0.25">
      <c r="B12832" s="13" t="s">
        <v>23434</v>
      </c>
      <c r="C12832" s="17" t="s">
        <v>170</v>
      </c>
      <c r="D12832" s="13" t="s">
        <v>118</v>
      </c>
      <c r="E12832" s="13" t="s">
        <v>23435</v>
      </c>
      <c r="F12832" s="43">
        <v>606.46</v>
      </c>
    </row>
    <row r="12833" spans="2:6" x14ac:dyDescent="0.25">
      <c r="B12833" s="13" t="s">
        <v>23436</v>
      </c>
      <c r="C12833" s="17" t="s">
        <v>170</v>
      </c>
      <c r="D12833" s="13" t="s">
        <v>118</v>
      </c>
      <c r="E12833" s="13" t="s">
        <v>23437</v>
      </c>
      <c r="F12833" s="43">
        <v>520.04999999999995</v>
      </c>
    </row>
    <row r="12834" spans="2:6" x14ac:dyDescent="0.25">
      <c r="B12834" s="13" t="s">
        <v>23438</v>
      </c>
      <c r="C12834" s="17" t="s">
        <v>170</v>
      </c>
      <c r="D12834" s="13" t="s">
        <v>118</v>
      </c>
      <c r="E12834" s="13" t="s">
        <v>23439</v>
      </c>
      <c r="F12834" s="43">
        <v>520.04999999999995</v>
      </c>
    </row>
    <row r="12835" spans="2:6" x14ac:dyDescent="0.25">
      <c r="B12835" s="13" t="s">
        <v>23440</v>
      </c>
      <c r="C12835" s="17" t="s">
        <v>170</v>
      </c>
      <c r="D12835" s="13" t="s">
        <v>118</v>
      </c>
      <c r="E12835" s="13" t="s">
        <v>23441</v>
      </c>
      <c r="F12835" s="43">
        <v>520.04999999999995</v>
      </c>
    </row>
    <row r="12836" spans="2:6" x14ac:dyDescent="0.25">
      <c r="B12836" s="13" t="s">
        <v>23442</v>
      </c>
      <c r="C12836" s="17" t="s">
        <v>170</v>
      </c>
      <c r="D12836" s="13" t="s">
        <v>118</v>
      </c>
      <c r="E12836" s="13" t="s">
        <v>23443</v>
      </c>
      <c r="F12836" s="43">
        <v>520.04999999999995</v>
      </c>
    </row>
    <row r="12837" spans="2:6" x14ac:dyDescent="0.25">
      <c r="B12837" s="13" t="s">
        <v>23444</v>
      </c>
      <c r="C12837" s="17" t="s">
        <v>170</v>
      </c>
      <c r="D12837" s="13" t="s">
        <v>118</v>
      </c>
      <c r="E12837" s="13" t="s">
        <v>23445</v>
      </c>
      <c r="F12837" s="43">
        <v>606.23</v>
      </c>
    </row>
    <row r="12838" spans="2:6" x14ac:dyDescent="0.25">
      <c r="B12838" s="13" t="s">
        <v>23446</v>
      </c>
      <c r="C12838" s="17" t="s">
        <v>170</v>
      </c>
      <c r="D12838" s="13" t="s">
        <v>118</v>
      </c>
      <c r="E12838" s="13" t="s">
        <v>23447</v>
      </c>
      <c r="F12838" s="43">
        <v>606.23</v>
      </c>
    </row>
    <row r="12839" spans="2:6" x14ac:dyDescent="0.25">
      <c r="B12839" s="13" t="s">
        <v>23448</v>
      </c>
      <c r="C12839" s="17" t="s">
        <v>170</v>
      </c>
      <c r="D12839" s="13" t="s">
        <v>118</v>
      </c>
      <c r="E12839" s="13" t="s">
        <v>23449</v>
      </c>
      <c r="F12839" s="43">
        <v>576.04999999999995</v>
      </c>
    </row>
    <row r="12840" spans="2:6" x14ac:dyDescent="0.25">
      <c r="B12840" s="13" t="s">
        <v>23450</v>
      </c>
      <c r="C12840" s="17" t="s">
        <v>170</v>
      </c>
      <c r="D12840" s="13" t="s">
        <v>118</v>
      </c>
      <c r="E12840" s="13" t="s">
        <v>23451</v>
      </c>
      <c r="F12840" s="43">
        <v>364.57</v>
      </c>
    </row>
    <row r="12841" spans="2:6" x14ac:dyDescent="0.25">
      <c r="B12841" s="13" t="s">
        <v>23452</v>
      </c>
      <c r="C12841" s="17" t="s">
        <v>170</v>
      </c>
      <c r="D12841" s="13" t="s">
        <v>118</v>
      </c>
      <c r="E12841" s="13" t="s">
        <v>23453</v>
      </c>
      <c r="F12841" s="43">
        <v>1216.28</v>
      </c>
    </row>
    <row r="12842" spans="2:6" x14ac:dyDescent="0.25">
      <c r="B12842" s="13" t="s">
        <v>23454</v>
      </c>
      <c r="C12842" s="17" t="s">
        <v>170</v>
      </c>
      <c r="D12842" s="13" t="s">
        <v>118</v>
      </c>
      <c r="E12842" s="13" t="s">
        <v>23455</v>
      </c>
      <c r="F12842" s="43">
        <v>1216.28</v>
      </c>
    </row>
    <row r="12843" spans="2:6" x14ac:dyDescent="0.25">
      <c r="B12843" s="13" t="s">
        <v>23456</v>
      </c>
      <c r="C12843" s="17" t="s">
        <v>170</v>
      </c>
      <c r="D12843" s="13" t="s">
        <v>118</v>
      </c>
      <c r="E12843" s="13" t="s">
        <v>23457</v>
      </c>
      <c r="F12843" s="43">
        <v>1216.28</v>
      </c>
    </row>
    <row r="12844" spans="2:6" x14ac:dyDescent="0.25">
      <c r="B12844" s="13" t="s">
        <v>23458</v>
      </c>
      <c r="C12844" s="17" t="s">
        <v>170</v>
      </c>
      <c r="D12844" s="13" t="s">
        <v>118</v>
      </c>
      <c r="E12844" s="13" t="s">
        <v>23459</v>
      </c>
      <c r="F12844" s="43">
        <v>260.60000000000002</v>
      </c>
    </row>
    <row r="12845" spans="2:6" x14ac:dyDescent="0.25">
      <c r="B12845" s="13" t="s">
        <v>23460</v>
      </c>
      <c r="C12845" s="17" t="s">
        <v>170</v>
      </c>
      <c r="D12845" s="13" t="s">
        <v>118</v>
      </c>
      <c r="E12845" s="13" t="s">
        <v>23461</v>
      </c>
      <c r="F12845" s="43">
        <v>296.86</v>
      </c>
    </row>
    <row r="12846" spans="2:6" x14ac:dyDescent="0.25">
      <c r="B12846" s="13" t="s">
        <v>23462</v>
      </c>
      <c r="C12846" s="17" t="s">
        <v>170</v>
      </c>
      <c r="D12846" s="13" t="s">
        <v>118</v>
      </c>
      <c r="E12846" s="13" t="s">
        <v>23463</v>
      </c>
      <c r="F12846" s="43">
        <v>1249.29</v>
      </c>
    </row>
    <row r="12847" spans="2:6" x14ac:dyDescent="0.25">
      <c r="B12847" s="13" t="s">
        <v>23464</v>
      </c>
      <c r="C12847" s="17" t="s">
        <v>170</v>
      </c>
      <c r="D12847" s="13" t="s">
        <v>118</v>
      </c>
      <c r="E12847" s="13" t="s">
        <v>23465</v>
      </c>
      <c r="F12847" s="43">
        <v>1249.29</v>
      </c>
    </row>
    <row r="12848" spans="2:6" x14ac:dyDescent="0.25">
      <c r="B12848" s="13" t="s">
        <v>23466</v>
      </c>
      <c r="C12848" s="17" t="s">
        <v>170</v>
      </c>
      <c r="D12848" s="13" t="s">
        <v>118</v>
      </c>
      <c r="E12848" s="13" t="s">
        <v>23467</v>
      </c>
      <c r="F12848" s="43">
        <v>246.76</v>
      </c>
    </row>
    <row r="12849" spans="2:6" x14ac:dyDescent="0.25">
      <c r="B12849" s="13" t="s">
        <v>23468</v>
      </c>
      <c r="C12849" s="17" t="s">
        <v>170</v>
      </c>
      <c r="D12849" s="13" t="s">
        <v>118</v>
      </c>
      <c r="E12849" s="13" t="s">
        <v>23469</v>
      </c>
      <c r="F12849" s="43">
        <v>979.45</v>
      </c>
    </row>
    <row r="12850" spans="2:6" x14ac:dyDescent="0.25">
      <c r="B12850" s="13" t="s">
        <v>23470</v>
      </c>
      <c r="C12850" s="17" t="s">
        <v>170</v>
      </c>
      <c r="D12850" s="13" t="s">
        <v>118</v>
      </c>
      <c r="E12850" s="13" t="s">
        <v>23471</v>
      </c>
      <c r="F12850" s="43">
        <v>24.1</v>
      </c>
    </row>
    <row r="12851" spans="2:6" x14ac:dyDescent="0.25">
      <c r="B12851" s="13" t="s">
        <v>23472</v>
      </c>
      <c r="C12851" s="17" t="s">
        <v>170</v>
      </c>
      <c r="D12851" s="13" t="s">
        <v>118</v>
      </c>
      <c r="E12851" s="13" t="s">
        <v>23473</v>
      </c>
      <c r="F12851" s="43">
        <v>28.69</v>
      </c>
    </row>
    <row r="12852" spans="2:6" x14ac:dyDescent="0.25">
      <c r="B12852" s="13" t="s">
        <v>23474</v>
      </c>
      <c r="C12852" s="17" t="s">
        <v>170</v>
      </c>
      <c r="D12852" s="13" t="s">
        <v>118</v>
      </c>
      <c r="E12852" s="13" t="s">
        <v>23475</v>
      </c>
      <c r="F12852" s="43">
        <v>28.69</v>
      </c>
    </row>
    <row r="12853" spans="2:6" x14ac:dyDescent="0.25">
      <c r="B12853" s="13" t="s">
        <v>23476</v>
      </c>
      <c r="C12853" s="17" t="s">
        <v>170</v>
      </c>
      <c r="D12853" s="13" t="s">
        <v>118</v>
      </c>
      <c r="E12853" s="13" t="s">
        <v>23477</v>
      </c>
      <c r="F12853" s="43">
        <v>11.88</v>
      </c>
    </row>
    <row r="12854" spans="2:6" x14ac:dyDescent="0.25">
      <c r="B12854" s="13" t="s">
        <v>23478</v>
      </c>
      <c r="C12854" s="17" t="s">
        <v>170</v>
      </c>
      <c r="D12854" s="13" t="s">
        <v>118</v>
      </c>
      <c r="E12854" s="13" t="s">
        <v>23479</v>
      </c>
      <c r="F12854" s="43">
        <v>11.88</v>
      </c>
    </row>
    <row r="12855" spans="2:6" x14ac:dyDescent="0.25">
      <c r="B12855" s="13" t="s">
        <v>23480</v>
      </c>
      <c r="C12855" s="17" t="s">
        <v>170</v>
      </c>
      <c r="D12855" s="13" t="s">
        <v>118</v>
      </c>
      <c r="E12855" s="13" t="s">
        <v>23481</v>
      </c>
      <c r="F12855" s="43">
        <v>11.88</v>
      </c>
    </row>
    <row r="12856" spans="2:6" x14ac:dyDescent="0.25">
      <c r="B12856" s="13" t="s">
        <v>23482</v>
      </c>
      <c r="C12856" s="17" t="s">
        <v>170</v>
      </c>
      <c r="D12856" s="13" t="s">
        <v>118</v>
      </c>
      <c r="E12856" s="13" t="s">
        <v>23483</v>
      </c>
      <c r="F12856" s="43">
        <v>11.88</v>
      </c>
    </row>
    <row r="12857" spans="2:6" x14ac:dyDescent="0.25">
      <c r="B12857" s="13" t="s">
        <v>23484</v>
      </c>
      <c r="C12857" s="17" t="s">
        <v>170</v>
      </c>
      <c r="D12857" s="13" t="s">
        <v>118</v>
      </c>
      <c r="E12857" s="13" t="s">
        <v>23485</v>
      </c>
      <c r="F12857" s="43">
        <v>11.88</v>
      </c>
    </row>
    <row r="12858" spans="2:6" x14ac:dyDescent="0.25">
      <c r="B12858" s="13" t="s">
        <v>23486</v>
      </c>
      <c r="C12858" s="17" t="s">
        <v>170</v>
      </c>
      <c r="D12858" s="13" t="s">
        <v>118</v>
      </c>
      <c r="E12858" s="13" t="s">
        <v>23487</v>
      </c>
      <c r="F12858" s="43">
        <v>11.88</v>
      </c>
    </row>
    <row r="12859" spans="2:6" x14ac:dyDescent="0.25">
      <c r="B12859" s="13" t="s">
        <v>23488</v>
      </c>
      <c r="C12859" s="17" t="s">
        <v>170</v>
      </c>
      <c r="D12859" s="13" t="s">
        <v>118</v>
      </c>
      <c r="E12859" s="13" t="s">
        <v>23489</v>
      </c>
      <c r="F12859" s="43">
        <v>11.88</v>
      </c>
    </row>
    <row r="12860" spans="2:6" x14ac:dyDescent="0.25">
      <c r="B12860" s="13" t="s">
        <v>23490</v>
      </c>
      <c r="C12860" s="17" t="s">
        <v>170</v>
      </c>
      <c r="D12860" s="13" t="s">
        <v>118</v>
      </c>
      <c r="E12860" s="13" t="s">
        <v>23491</v>
      </c>
      <c r="F12860" s="43">
        <v>11.88</v>
      </c>
    </row>
    <row r="12861" spans="2:6" x14ac:dyDescent="0.25">
      <c r="B12861" s="13" t="s">
        <v>23492</v>
      </c>
      <c r="C12861" s="17" t="s">
        <v>170</v>
      </c>
      <c r="D12861" s="13" t="s">
        <v>118</v>
      </c>
      <c r="E12861" s="13" t="s">
        <v>23493</v>
      </c>
      <c r="F12861" s="43">
        <v>11.88</v>
      </c>
    </row>
    <row r="12862" spans="2:6" x14ac:dyDescent="0.25">
      <c r="B12862" s="13" t="s">
        <v>23494</v>
      </c>
      <c r="C12862" s="17" t="s">
        <v>170</v>
      </c>
      <c r="D12862" s="13" t="s">
        <v>118</v>
      </c>
      <c r="E12862" s="13" t="s">
        <v>23495</v>
      </c>
      <c r="F12862" s="43">
        <v>1987.2</v>
      </c>
    </row>
    <row r="12863" spans="2:6" x14ac:dyDescent="0.25">
      <c r="B12863" s="13" t="s">
        <v>23496</v>
      </c>
      <c r="C12863" s="17" t="s">
        <v>170</v>
      </c>
      <c r="D12863" s="13" t="s">
        <v>118</v>
      </c>
      <c r="E12863" s="13" t="s">
        <v>23497</v>
      </c>
      <c r="F12863" s="43">
        <v>64.8</v>
      </c>
    </row>
    <row r="12864" spans="2:6" x14ac:dyDescent="0.25">
      <c r="B12864" s="13" t="s">
        <v>23498</v>
      </c>
      <c r="C12864" s="17" t="s">
        <v>170</v>
      </c>
      <c r="D12864" s="13" t="s">
        <v>118</v>
      </c>
      <c r="E12864" s="13" t="s">
        <v>23499</v>
      </c>
      <c r="F12864" s="43">
        <v>0</v>
      </c>
    </row>
    <row r="12865" spans="2:6" x14ac:dyDescent="0.25">
      <c r="B12865" s="13" t="s">
        <v>23500</v>
      </c>
      <c r="C12865" s="17" t="s">
        <v>170</v>
      </c>
      <c r="D12865" s="13" t="s">
        <v>118</v>
      </c>
      <c r="E12865" s="13" t="s">
        <v>23501</v>
      </c>
      <c r="F12865" s="43">
        <v>93.99</v>
      </c>
    </row>
    <row r="12866" spans="2:6" x14ac:dyDescent="0.25">
      <c r="B12866" s="13" t="s">
        <v>23502</v>
      </c>
      <c r="C12866" s="17" t="s">
        <v>170</v>
      </c>
      <c r="D12866" s="13" t="s">
        <v>118</v>
      </c>
      <c r="E12866" s="13" t="s">
        <v>23503</v>
      </c>
      <c r="F12866" s="43">
        <v>49.83</v>
      </c>
    </row>
    <row r="12867" spans="2:6" x14ac:dyDescent="0.25">
      <c r="B12867" s="13" t="s">
        <v>23504</v>
      </c>
      <c r="C12867" s="17" t="s">
        <v>170</v>
      </c>
      <c r="D12867" s="13" t="s">
        <v>118</v>
      </c>
      <c r="E12867" s="13" t="s">
        <v>23505</v>
      </c>
      <c r="F12867" s="43">
        <v>45.79</v>
      </c>
    </row>
    <row r="12868" spans="2:6" x14ac:dyDescent="0.25">
      <c r="B12868" s="13" t="s">
        <v>23506</v>
      </c>
      <c r="C12868" s="17" t="s">
        <v>170</v>
      </c>
      <c r="D12868" s="13" t="s">
        <v>118</v>
      </c>
      <c r="E12868" s="13" t="s">
        <v>23507</v>
      </c>
      <c r="F12868" s="43">
        <v>143.22</v>
      </c>
    </row>
    <row r="12869" spans="2:6" x14ac:dyDescent="0.25">
      <c r="B12869" s="13" t="s">
        <v>23508</v>
      </c>
      <c r="C12869" s="17" t="s">
        <v>170</v>
      </c>
      <c r="D12869" s="13" t="s">
        <v>118</v>
      </c>
      <c r="E12869" s="13" t="s">
        <v>23509</v>
      </c>
      <c r="F12869" s="43">
        <v>0</v>
      </c>
    </row>
    <row r="12870" spans="2:6" x14ac:dyDescent="0.25">
      <c r="B12870" s="13" t="s">
        <v>23510</v>
      </c>
      <c r="C12870" s="17" t="s">
        <v>170</v>
      </c>
      <c r="D12870" s="13" t="s">
        <v>118</v>
      </c>
      <c r="E12870" s="13" t="s">
        <v>23511</v>
      </c>
      <c r="F12870" s="43">
        <v>0</v>
      </c>
    </row>
    <row r="12871" spans="2:6" x14ac:dyDescent="0.25">
      <c r="B12871" s="13" t="s">
        <v>23512</v>
      </c>
      <c r="C12871" s="17" t="s">
        <v>170</v>
      </c>
      <c r="D12871" s="13" t="s">
        <v>118</v>
      </c>
      <c r="E12871" s="13" t="s">
        <v>23513</v>
      </c>
      <c r="F12871" s="43">
        <v>0</v>
      </c>
    </row>
    <row r="12872" spans="2:6" x14ac:dyDescent="0.25">
      <c r="B12872" s="13" t="s">
        <v>23514</v>
      </c>
      <c r="C12872" s="17" t="s">
        <v>170</v>
      </c>
      <c r="D12872" s="13" t="s">
        <v>118</v>
      </c>
      <c r="E12872" s="13" t="s">
        <v>23515</v>
      </c>
      <c r="F12872" s="43">
        <v>0</v>
      </c>
    </row>
    <row r="12873" spans="2:6" x14ac:dyDescent="0.25">
      <c r="B12873" s="13" t="s">
        <v>23516</v>
      </c>
      <c r="C12873" s="17" t="s">
        <v>170</v>
      </c>
      <c r="D12873" s="13" t="s">
        <v>118</v>
      </c>
      <c r="E12873" s="13" t="s">
        <v>23517</v>
      </c>
      <c r="F12873" s="43">
        <v>0</v>
      </c>
    </row>
    <row r="12874" spans="2:6" x14ac:dyDescent="0.25">
      <c r="B12874" s="13" t="s">
        <v>23518</v>
      </c>
      <c r="C12874" s="17" t="s">
        <v>170</v>
      </c>
      <c r="D12874" s="13" t="s">
        <v>118</v>
      </c>
      <c r="E12874" s="13" t="s">
        <v>23519</v>
      </c>
      <c r="F12874" s="43">
        <v>0</v>
      </c>
    </row>
    <row r="12875" spans="2:6" x14ac:dyDescent="0.25">
      <c r="B12875" s="13" t="s">
        <v>23520</v>
      </c>
      <c r="C12875" s="17" t="s">
        <v>170</v>
      </c>
      <c r="D12875" s="13" t="s">
        <v>118</v>
      </c>
      <c r="E12875" s="13" t="s">
        <v>23521</v>
      </c>
      <c r="F12875" s="43">
        <v>961.43</v>
      </c>
    </row>
    <row r="12876" spans="2:6" x14ac:dyDescent="0.25">
      <c r="B12876" s="13" t="s">
        <v>23522</v>
      </c>
      <c r="C12876" s="17" t="s">
        <v>170</v>
      </c>
      <c r="D12876" s="13" t="s">
        <v>118</v>
      </c>
      <c r="E12876" s="13" t="s">
        <v>23523</v>
      </c>
      <c r="F12876" s="43">
        <v>961.43</v>
      </c>
    </row>
    <row r="12877" spans="2:6" x14ac:dyDescent="0.25">
      <c r="B12877" s="13" t="s">
        <v>23524</v>
      </c>
      <c r="C12877" s="17" t="s">
        <v>170</v>
      </c>
      <c r="D12877" s="13" t="s">
        <v>118</v>
      </c>
      <c r="E12877" s="13" t="s">
        <v>23525</v>
      </c>
      <c r="F12877" s="43">
        <v>534.01</v>
      </c>
    </row>
    <row r="12878" spans="2:6" x14ac:dyDescent="0.25">
      <c r="B12878" s="13" t="s">
        <v>23526</v>
      </c>
      <c r="C12878" s="17" t="s">
        <v>170</v>
      </c>
      <c r="D12878" s="13" t="s">
        <v>118</v>
      </c>
      <c r="E12878" s="13" t="s">
        <v>23527</v>
      </c>
      <c r="F12878" s="43">
        <v>534.01</v>
      </c>
    </row>
    <row r="12879" spans="2:6" x14ac:dyDescent="0.25">
      <c r="B12879" s="13" t="s">
        <v>23528</v>
      </c>
      <c r="C12879" s="17" t="s">
        <v>170</v>
      </c>
      <c r="D12879" s="13" t="s">
        <v>118</v>
      </c>
      <c r="E12879" s="13" t="s">
        <v>23529</v>
      </c>
      <c r="F12879" s="43">
        <v>1187.67</v>
      </c>
    </row>
    <row r="12880" spans="2:6" x14ac:dyDescent="0.25">
      <c r="B12880" s="13" t="s">
        <v>23530</v>
      </c>
      <c r="C12880" s="17" t="s">
        <v>170</v>
      </c>
      <c r="D12880" s="13" t="s">
        <v>118</v>
      </c>
      <c r="E12880" s="13" t="s">
        <v>23531</v>
      </c>
      <c r="F12880" s="43">
        <v>1187.67</v>
      </c>
    </row>
    <row r="12881" spans="2:6" x14ac:dyDescent="0.25">
      <c r="B12881" s="13" t="s">
        <v>23532</v>
      </c>
      <c r="C12881" s="17" t="s">
        <v>170</v>
      </c>
      <c r="D12881" s="13" t="s">
        <v>118</v>
      </c>
      <c r="E12881" s="13" t="s">
        <v>23533</v>
      </c>
      <c r="F12881" s="43">
        <v>1187.67</v>
      </c>
    </row>
    <row r="12882" spans="2:6" x14ac:dyDescent="0.25">
      <c r="B12882" s="13" t="s">
        <v>23534</v>
      </c>
      <c r="C12882" s="17" t="s">
        <v>170</v>
      </c>
      <c r="D12882" s="13" t="s">
        <v>118</v>
      </c>
      <c r="E12882" s="13" t="s">
        <v>23535</v>
      </c>
      <c r="F12882" s="43">
        <v>1187.67</v>
      </c>
    </row>
    <row r="12883" spans="2:6" x14ac:dyDescent="0.25">
      <c r="B12883" s="13" t="s">
        <v>23536</v>
      </c>
      <c r="C12883" s="17" t="s">
        <v>170</v>
      </c>
      <c r="D12883" s="13" t="s">
        <v>118</v>
      </c>
      <c r="E12883" s="13" t="s">
        <v>23537</v>
      </c>
      <c r="F12883" s="43">
        <v>1187.67</v>
      </c>
    </row>
    <row r="12884" spans="2:6" x14ac:dyDescent="0.25">
      <c r="B12884" s="13" t="s">
        <v>23538</v>
      </c>
      <c r="C12884" s="17" t="s">
        <v>170</v>
      </c>
      <c r="D12884" s="13" t="s">
        <v>118</v>
      </c>
      <c r="E12884" s="13" t="s">
        <v>23539</v>
      </c>
      <c r="F12884" s="43">
        <v>1187.67</v>
      </c>
    </row>
    <row r="12885" spans="2:6" x14ac:dyDescent="0.25">
      <c r="B12885" s="13" t="s">
        <v>23540</v>
      </c>
      <c r="C12885" s="17" t="s">
        <v>170</v>
      </c>
      <c r="D12885" s="13" t="s">
        <v>118</v>
      </c>
      <c r="E12885" s="13" t="s">
        <v>23541</v>
      </c>
      <c r="F12885" s="43">
        <v>1063.05</v>
      </c>
    </row>
    <row r="12886" spans="2:6" x14ac:dyDescent="0.25">
      <c r="B12886" s="13" t="s">
        <v>23542</v>
      </c>
      <c r="C12886" s="17" t="s">
        <v>170</v>
      </c>
      <c r="D12886" s="13" t="s">
        <v>118</v>
      </c>
      <c r="E12886" s="13" t="s">
        <v>23543</v>
      </c>
      <c r="F12886" s="43">
        <v>0</v>
      </c>
    </row>
    <row r="12887" spans="2:6" x14ac:dyDescent="0.25">
      <c r="B12887" s="13" t="s">
        <v>23544</v>
      </c>
      <c r="C12887" s="17" t="s">
        <v>170</v>
      </c>
      <c r="D12887" s="13" t="s">
        <v>118</v>
      </c>
      <c r="E12887" s="13" t="s">
        <v>23545</v>
      </c>
      <c r="F12887" s="43">
        <v>330.48</v>
      </c>
    </row>
    <row r="12888" spans="2:6" x14ac:dyDescent="0.25">
      <c r="B12888" s="13" t="s">
        <v>23546</v>
      </c>
      <c r="C12888" s="17" t="s">
        <v>170</v>
      </c>
      <c r="D12888" s="13" t="s">
        <v>118</v>
      </c>
      <c r="E12888" s="13" t="s">
        <v>23547</v>
      </c>
      <c r="F12888" s="43">
        <v>322.04000000000002</v>
      </c>
    </row>
    <row r="12889" spans="2:6" x14ac:dyDescent="0.25">
      <c r="B12889" s="13" t="s">
        <v>23548</v>
      </c>
      <c r="C12889" s="17" t="s">
        <v>170</v>
      </c>
      <c r="D12889" s="13" t="s">
        <v>118</v>
      </c>
      <c r="E12889" s="13" t="s">
        <v>23549</v>
      </c>
      <c r="F12889" s="43">
        <v>322.04000000000002</v>
      </c>
    </row>
    <row r="12890" spans="2:6" x14ac:dyDescent="0.25">
      <c r="B12890" s="13" t="s">
        <v>23550</v>
      </c>
      <c r="C12890" s="17" t="s">
        <v>170</v>
      </c>
      <c r="D12890" s="13" t="s">
        <v>118</v>
      </c>
      <c r="E12890" s="13" t="s">
        <v>23551</v>
      </c>
      <c r="F12890" s="43">
        <v>322.04000000000002</v>
      </c>
    </row>
    <row r="12891" spans="2:6" x14ac:dyDescent="0.25">
      <c r="B12891" s="13" t="s">
        <v>23552</v>
      </c>
      <c r="C12891" s="17" t="s">
        <v>170</v>
      </c>
      <c r="D12891" s="13" t="s">
        <v>118</v>
      </c>
      <c r="E12891" s="13" t="s">
        <v>23553</v>
      </c>
      <c r="F12891" s="43">
        <v>322.04000000000002</v>
      </c>
    </row>
    <row r="12892" spans="2:6" x14ac:dyDescent="0.25">
      <c r="B12892" s="13" t="s">
        <v>23554</v>
      </c>
      <c r="C12892" s="17" t="s">
        <v>170</v>
      </c>
      <c r="D12892" s="13" t="s">
        <v>118</v>
      </c>
      <c r="E12892" s="13" t="s">
        <v>23555</v>
      </c>
      <c r="F12892" s="43">
        <v>322.04000000000002</v>
      </c>
    </row>
    <row r="12893" spans="2:6" x14ac:dyDescent="0.25">
      <c r="B12893" s="13" t="s">
        <v>23556</v>
      </c>
      <c r="C12893" s="17" t="s">
        <v>170</v>
      </c>
      <c r="D12893" s="13" t="s">
        <v>118</v>
      </c>
      <c r="E12893" s="13" t="s">
        <v>23557</v>
      </c>
      <c r="F12893" s="43">
        <v>322.04000000000002</v>
      </c>
    </row>
    <row r="12894" spans="2:6" x14ac:dyDescent="0.25">
      <c r="B12894" s="13" t="s">
        <v>23558</v>
      </c>
      <c r="C12894" s="17" t="s">
        <v>170</v>
      </c>
      <c r="D12894" s="13" t="s">
        <v>118</v>
      </c>
      <c r="E12894" s="13" t="s">
        <v>23559</v>
      </c>
      <c r="F12894" s="43">
        <v>322.04000000000002</v>
      </c>
    </row>
    <row r="12895" spans="2:6" x14ac:dyDescent="0.25">
      <c r="B12895" s="13" t="s">
        <v>23560</v>
      </c>
      <c r="C12895" s="17" t="s">
        <v>170</v>
      </c>
      <c r="D12895" s="13" t="s">
        <v>118</v>
      </c>
      <c r="E12895" s="13" t="s">
        <v>23561</v>
      </c>
      <c r="F12895" s="43">
        <v>322.04000000000002</v>
      </c>
    </row>
    <row r="12896" spans="2:6" x14ac:dyDescent="0.25">
      <c r="B12896" s="13" t="s">
        <v>23562</v>
      </c>
      <c r="C12896" s="17" t="s">
        <v>170</v>
      </c>
      <c r="D12896" s="13" t="s">
        <v>118</v>
      </c>
      <c r="E12896" s="13" t="s">
        <v>23563</v>
      </c>
      <c r="F12896" s="43">
        <v>322.04000000000002</v>
      </c>
    </row>
    <row r="12897" spans="2:6" x14ac:dyDescent="0.25">
      <c r="B12897" s="13" t="s">
        <v>23564</v>
      </c>
      <c r="C12897" s="17" t="s">
        <v>170</v>
      </c>
      <c r="D12897" s="13" t="s">
        <v>118</v>
      </c>
      <c r="E12897" s="13" t="s">
        <v>23565</v>
      </c>
      <c r="F12897" s="43">
        <v>330.48</v>
      </c>
    </row>
    <row r="12898" spans="2:6" x14ac:dyDescent="0.25">
      <c r="B12898" s="13" t="s">
        <v>23566</v>
      </c>
      <c r="C12898" s="17" t="s">
        <v>170</v>
      </c>
      <c r="D12898" s="13" t="s">
        <v>118</v>
      </c>
      <c r="E12898" s="13" t="s">
        <v>23567</v>
      </c>
      <c r="F12898" s="43">
        <v>330.48</v>
      </c>
    </row>
    <row r="12899" spans="2:6" x14ac:dyDescent="0.25">
      <c r="B12899" s="13" t="s">
        <v>23568</v>
      </c>
      <c r="C12899" s="17" t="s">
        <v>170</v>
      </c>
      <c r="D12899" s="13" t="s">
        <v>118</v>
      </c>
      <c r="E12899" s="13" t="s">
        <v>23569</v>
      </c>
      <c r="F12899" s="43">
        <v>330.48</v>
      </c>
    </row>
    <row r="12900" spans="2:6" x14ac:dyDescent="0.25">
      <c r="B12900" s="13" t="s">
        <v>23570</v>
      </c>
      <c r="C12900" s="17" t="s">
        <v>170</v>
      </c>
      <c r="D12900" s="13" t="s">
        <v>118</v>
      </c>
      <c r="E12900" s="13" t="s">
        <v>23571</v>
      </c>
      <c r="F12900" s="43">
        <v>322.04000000000002</v>
      </c>
    </row>
    <row r="12901" spans="2:6" x14ac:dyDescent="0.25">
      <c r="B12901" s="13" t="s">
        <v>23572</v>
      </c>
      <c r="C12901" s="17" t="s">
        <v>170</v>
      </c>
      <c r="D12901" s="13" t="s">
        <v>118</v>
      </c>
      <c r="E12901" s="13" t="s">
        <v>23573</v>
      </c>
      <c r="F12901" s="43">
        <v>322.04000000000002</v>
      </c>
    </row>
    <row r="12902" spans="2:6" x14ac:dyDescent="0.25">
      <c r="B12902" s="13" t="s">
        <v>23574</v>
      </c>
      <c r="C12902" s="17" t="s">
        <v>170</v>
      </c>
      <c r="D12902" s="13" t="s">
        <v>118</v>
      </c>
      <c r="E12902" s="13" t="s">
        <v>23575</v>
      </c>
      <c r="F12902" s="43">
        <v>322.04000000000002</v>
      </c>
    </row>
    <row r="12903" spans="2:6" x14ac:dyDescent="0.25">
      <c r="B12903" s="13" t="s">
        <v>23576</v>
      </c>
      <c r="C12903" s="17" t="s">
        <v>170</v>
      </c>
      <c r="D12903" s="13" t="s">
        <v>118</v>
      </c>
      <c r="E12903" s="13" t="s">
        <v>23577</v>
      </c>
      <c r="F12903" s="43">
        <v>322.04000000000002</v>
      </c>
    </row>
    <row r="12904" spans="2:6" x14ac:dyDescent="0.25">
      <c r="B12904" s="13" t="s">
        <v>23578</v>
      </c>
      <c r="C12904" s="17" t="s">
        <v>170</v>
      </c>
      <c r="D12904" s="13" t="s">
        <v>118</v>
      </c>
      <c r="E12904" s="13" t="s">
        <v>23579</v>
      </c>
      <c r="F12904" s="43">
        <v>322.04000000000002</v>
      </c>
    </row>
    <row r="12905" spans="2:6" x14ac:dyDescent="0.25">
      <c r="B12905" s="13" t="s">
        <v>23580</v>
      </c>
      <c r="C12905" s="17" t="s">
        <v>170</v>
      </c>
      <c r="D12905" s="13" t="s">
        <v>118</v>
      </c>
      <c r="E12905" s="13" t="s">
        <v>23581</v>
      </c>
      <c r="F12905" s="43">
        <v>322.04000000000002</v>
      </c>
    </row>
    <row r="12906" spans="2:6" x14ac:dyDescent="0.25">
      <c r="B12906" s="13" t="s">
        <v>23582</v>
      </c>
      <c r="C12906" s="17" t="s">
        <v>170</v>
      </c>
      <c r="D12906" s="13" t="s">
        <v>118</v>
      </c>
      <c r="E12906" s="13" t="s">
        <v>23583</v>
      </c>
      <c r="F12906" s="43">
        <v>322.04000000000002</v>
      </c>
    </row>
    <row r="12907" spans="2:6" x14ac:dyDescent="0.25">
      <c r="B12907" s="13" t="s">
        <v>23584</v>
      </c>
      <c r="C12907" s="17" t="s">
        <v>170</v>
      </c>
      <c r="D12907" s="13" t="s">
        <v>118</v>
      </c>
      <c r="E12907" s="13" t="s">
        <v>23585</v>
      </c>
      <c r="F12907" s="43">
        <v>322.04000000000002</v>
      </c>
    </row>
    <row r="12908" spans="2:6" x14ac:dyDescent="0.25">
      <c r="B12908" s="13" t="s">
        <v>23586</v>
      </c>
      <c r="C12908" s="17" t="s">
        <v>170</v>
      </c>
      <c r="D12908" s="13" t="s">
        <v>118</v>
      </c>
      <c r="E12908" s="13" t="s">
        <v>23587</v>
      </c>
      <c r="F12908" s="43">
        <v>322.04000000000002</v>
      </c>
    </row>
    <row r="12909" spans="2:6" x14ac:dyDescent="0.25">
      <c r="B12909" s="13" t="s">
        <v>23588</v>
      </c>
      <c r="C12909" s="17" t="s">
        <v>170</v>
      </c>
      <c r="D12909" s="13" t="s">
        <v>118</v>
      </c>
      <c r="E12909" s="13" t="s">
        <v>23589</v>
      </c>
      <c r="F12909" s="43">
        <v>330.48</v>
      </c>
    </row>
    <row r="12910" spans="2:6" x14ac:dyDescent="0.25">
      <c r="B12910" s="13" t="s">
        <v>23590</v>
      </c>
      <c r="C12910" s="17" t="s">
        <v>170</v>
      </c>
      <c r="D12910" s="13" t="s">
        <v>118</v>
      </c>
      <c r="E12910" s="13" t="s">
        <v>23591</v>
      </c>
      <c r="F12910" s="43">
        <v>330.48</v>
      </c>
    </row>
    <row r="12911" spans="2:6" x14ac:dyDescent="0.25">
      <c r="B12911" s="13" t="s">
        <v>23592</v>
      </c>
      <c r="C12911" s="17" t="s">
        <v>170</v>
      </c>
      <c r="D12911" s="13" t="s">
        <v>118</v>
      </c>
      <c r="E12911" s="13" t="s">
        <v>23593</v>
      </c>
      <c r="F12911" s="43">
        <v>422.28</v>
      </c>
    </row>
    <row r="12912" spans="2:6" x14ac:dyDescent="0.25">
      <c r="B12912" s="13" t="s">
        <v>23594</v>
      </c>
      <c r="C12912" s="17" t="s">
        <v>170</v>
      </c>
      <c r="D12912" s="13" t="s">
        <v>118</v>
      </c>
      <c r="E12912" s="13" t="s">
        <v>23595</v>
      </c>
      <c r="F12912" s="43">
        <v>422.28</v>
      </c>
    </row>
    <row r="12913" spans="2:6" x14ac:dyDescent="0.25">
      <c r="B12913" s="13" t="s">
        <v>23596</v>
      </c>
      <c r="C12913" s="17" t="s">
        <v>170</v>
      </c>
      <c r="D12913" s="13" t="s">
        <v>118</v>
      </c>
      <c r="E12913" s="13" t="s">
        <v>23597</v>
      </c>
      <c r="F12913" s="43">
        <v>422.28</v>
      </c>
    </row>
    <row r="12914" spans="2:6" x14ac:dyDescent="0.25">
      <c r="B12914" s="13" t="s">
        <v>23598</v>
      </c>
      <c r="C12914" s="17" t="s">
        <v>170</v>
      </c>
      <c r="D12914" s="13" t="s">
        <v>118</v>
      </c>
      <c r="E12914" s="13" t="s">
        <v>23599</v>
      </c>
      <c r="F12914" s="43">
        <v>422.28</v>
      </c>
    </row>
    <row r="12915" spans="2:6" x14ac:dyDescent="0.25">
      <c r="B12915" s="13" t="s">
        <v>23600</v>
      </c>
      <c r="C12915" s="17" t="s">
        <v>170</v>
      </c>
      <c r="D12915" s="13" t="s">
        <v>118</v>
      </c>
      <c r="E12915" s="13" t="s">
        <v>23601</v>
      </c>
      <c r="F12915" s="43">
        <v>422.28</v>
      </c>
    </row>
    <row r="12916" spans="2:6" x14ac:dyDescent="0.25">
      <c r="B12916" s="13" t="s">
        <v>23602</v>
      </c>
      <c r="C12916" s="17" t="s">
        <v>170</v>
      </c>
      <c r="D12916" s="13" t="s">
        <v>118</v>
      </c>
      <c r="E12916" s="13" t="s">
        <v>23603</v>
      </c>
      <c r="F12916" s="43">
        <v>422.28</v>
      </c>
    </row>
    <row r="12917" spans="2:6" x14ac:dyDescent="0.25">
      <c r="B12917" s="13" t="s">
        <v>23604</v>
      </c>
      <c r="C12917" s="17" t="s">
        <v>170</v>
      </c>
      <c r="D12917" s="13" t="s">
        <v>118</v>
      </c>
      <c r="E12917" s="13" t="s">
        <v>23605</v>
      </c>
      <c r="F12917" s="43">
        <v>439.18</v>
      </c>
    </row>
    <row r="12918" spans="2:6" x14ac:dyDescent="0.25">
      <c r="B12918" s="13" t="s">
        <v>23606</v>
      </c>
      <c r="C12918" s="17" t="s">
        <v>170</v>
      </c>
      <c r="D12918" s="13" t="s">
        <v>118</v>
      </c>
      <c r="E12918" s="13" t="s">
        <v>23607</v>
      </c>
      <c r="F12918" s="43">
        <v>439.18</v>
      </c>
    </row>
    <row r="12919" spans="2:6" x14ac:dyDescent="0.25">
      <c r="B12919" s="13" t="s">
        <v>23608</v>
      </c>
      <c r="C12919" s="17" t="s">
        <v>170</v>
      </c>
      <c r="D12919" s="13" t="s">
        <v>118</v>
      </c>
      <c r="E12919" s="13" t="s">
        <v>23609</v>
      </c>
      <c r="F12919" s="43">
        <v>439.18</v>
      </c>
    </row>
    <row r="12920" spans="2:6" x14ac:dyDescent="0.25">
      <c r="B12920" s="13">
        <v>106633</v>
      </c>
      <c r="C12920" s="17" t="s">
        <v>170</v>
      </c>
      <c r="D12920" s="13" t="s">
        <v>118</v>
      </c>
      <c r="E12920" s="13" t="s">
        <v>23610</v>
      </c>
      <c r="F12920" s="43">
        <v>18.170000000000002</v>
      </c>
    </row>
    <row r="12921" spans="2:6" x14ac:dyDescent="0.25">
      <c r="B12921" s="13" t="s">
        <v>23611</v>
      </c>
      <c r="C12921" s="17" t="s">
        <v>170</v>
      </c>
      <c r="D12921" s="13" t="s">
        <v>118</v>
      </c>
      <c r="E12921" s="13" t="s">
        <v>23612</v>
      </c>
      <c r="F12921" s="43">
        <v>92.8</v>
      </c>
    </row>
    <row r="12922" spans="2:6" x14ac:dyDescent="0.25">
      <c r="B12922" s="13" t="s">
        <v>23613</v>
      </c>
      <c r="C12922" s="17" t="s">
        <v>170</v>
      </c>
      <c r="D12922" s="13" t="s">
        <v>118</v>
      </c>
      <c r="E12922" s="13" t="s">
        <v>23614</v>
      </c>
      <c r="F12922" s="43">
        <v>1013.94</v>
      </c>
    </row>
    <row r="12923" spans="2:6" x14ac:dyDescent="0.25">
      <c r="B12923" s="13" t="s">
        <v>23615</v>
      </c>
      <c r="C12923" s="17" t="s">
        <v>170</v>
      </c>
      <c r="D12923" s="13" t="s">
        <v>179</v>
      </c>
      <c r="E12923" s="13" t="s">
        <v>23616</v>
      </c>
      <c r="F12923" s="43">
        <v>22</v>
      </c>
    </row>
    <row r="12924" spans="2:6" x14ac:dyDescent="0.25">
      <c r="B12924" s="13" t="s">
        <v>23617</v>
      </c>
      <c r="C12924" s="17" t="s">
        <v>170</v>
      </c>
      <c r="D12924" s="13" t="s">
        <v>179</v>
      </c>
      <c r="E12924" s="13" t="s">
        <v>23618</v>
      </c>
      <c r="F12924" s="43">
        <v>80</v>
      </c>
    </row>
    <row r="12925" spans="2:6" x14ac:dyDescent="0.25">
      <c r="B12925" s="13" t="s">
        <v>23619</v>
      </c>
      <c r="C12925" s="17" t="s">
        <v>170</v>
      </c>
      <c r="D12925" s="13" t="s">
        <v>179</v>
      </c>
      <c r="E12925" s="13" t="s">
        <v>23620</v>
      </c>
      <c r="F12925" s="43">
        <v>22</v>
      </c>
    </row>
    <row r="12926" spans="2:6" x14ac:dyDescent="0.25">
      <c r="B12926" s="13" t="s">
        <v>23621</v>
      </c>
      <c r="C12926" s="17" t="s">
        <v>170</v>
      </c>
      <c r="D12926" s="13" t="s">
        <v>179</v>
      </c>
      <c r="E12926" s="13" t="s">
        <v>23622</v>
      </c>
      <c r="F12926" s="43">
        <v>65</v>
      </c>
    </row>
  </sheetData>
  <phoneticPr fontId="16" type="noConversion"/>
  <pageMargins left="0.7" right="0.7" top="0.75" bottom="0.75" header="0.3" footer="0.3"/>
  <pageSetup paperSize="9" scale="84" fitToHeight="0"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0EF8B-7166-484A-AC22-8F46FCF2F81A}">
  <dimension ref="A1:I5563"/>
  <sheetViews>
    <sheetView zoomScaleNormal="100" workbookViewId="0"/>
  </sheetViews>
  <sheetFormatPr baseColWidth="10" defaultColWidth="11.42578125" defaultRowHeight="15" x14ac:dyDescent="0.25"/>
  <cols>
    <col min="1" max="1" width="8.7109375" customWidth="1"/>
    <col min="2" max="2" width="105.5703125" bestFit="1" customWidth="1"/>
    <col min="3" max="3" width="14.5703125" customWidth="1"/>
    <col min="4" max="5" width="61" bestFit="1" customWidth="1"/>
  </cols>
  <sheetData>
    <row r="1" spans="1:5" ht="30" x14ac:dyDescent="0.25">
      <c r="A1" s="141"/>
      <c r="B1" s="142" t="s">
        <v>23623</v>
      </c>
      <c r="C1" s="143" t="s">
        <v>23624</v>
      </c>
      <c r="D1" s="144" t="s">
        <v>23625</v>
      </c>
      <c r="E1" s="144" t="s">
        <v>23626</v>
      </c>
    </row>
    <row r="2" spans="1:5" x14ac:dyDescent="0.25">
      <c r="A2" s="130" t="s">
        <v>23627</v>
      </c>
      <c r="B2" t="s">
        <v>23628</v>
      </c>
      <c r="C2">
        <v>1</v>
      </c>
      <c r="D2" t="s">
        <v>23629</v>
      </c>
      <c r="E2" t="s">
        <v>23630</v>
      </c>
    </row>
    <row r="3" spans="1:5" x14ac:dyDescent="0.25">
      <c r="A3" s="131" t="s">
        <v>23627</v>
      </c>
      <c r="B3" t="s">
        <v>23631</v>
      </c>
      <c r="C3">
        <v>1</v>
      </c>
      <c r="D3" t="s">
        <v>23629</v>
      </c>
      <c r="E3" t="s">
        <v>23632</v>
      </c>
    </row>
    <row r="4" spans="1:5" x14ac:dyDescent="0.25">
      <c r="A4" s="130" t="s">
        <v>23627</v>
      </c>
      <c r="B4" t="s">
        <v>23633</v>
      </c>
      <c r="C4">
        <v>1</v>
      </c>
      <c r="D4" t="s">
        <v>23629</v>
      </c>
      <c r="E4" t="s">
        <v>23632</v>
      </c>
    </row>
    <row r="5" spans="1:5" x14ac:dyDescent="0.25">
      <c r="A5" s="130" t="s">
        <v>23627</v>
      </c>
      <c r="B5" t="s">
        <v>28672</v>
      </c>
      <c r="C5">
        <v>1</v>
      </c>
      <c r="D5" t="s">
        <v>23629</v>
      </c>
      <c r="E5" t="s">
        <v>23632</v>
      </c>
    </row>
    <row r="6" spans="1:5" x14ac:dyDescent="0.25">
      <c r="A6" s="131" t="s">
        <v>23627</v>
      </c>
      <c r="B6" t="s">
        <v>23636</v>
      </c>
      <c r="C6">
        <v>1</v>
      </c>
      <c r="D6" t="s">
        <v>23629</v>
      </c>
      <c r="E6" t="s">
        <v>23632</v>
      </c>
    </row>
    <row r="7" spans="1:5" x14ac:dyDescent="0.25">
      <c r="A7" s="130" t="s">
        <v>23627</v>
      </c>
      <c r="B7" t="s">
        <v>23637</v>
      </c>
      <c r="C7">
        <v>1</v>
      </c>
      <c r="D7" t="s">
        <v>23629</v>
      </c>
      <c r="E7" t="s">
        <v>23632</v>
      </c>
    </row>
    <row r="8" spans="1:5" x14ac:dyDescent="0.25">
      <c r="A8" s="131" t="s">
        <v>23627</v>
      </c>
      <c r="B8" t="s">
        <v>23634</v>
      </c>
      <c r="C8">
        <v>1</v>
      </c>
      <c r="D8" t="s">
        <v>23629</v>
      </c>
      <c r="E8" t="s">
        <v>23632</v>
      </c>
    </row>
    <row r="9" spans="1:5" x14ac:dyDescent="0.25">
      <c r="A9" s="130" t="s">
        <v>23627</v>
      </c>
      <c r="B9" t="s">
        <v>23635</v>
      </c>
      <c r="C9">
        <v>1</v>
      </c>
      <c r="D9" t="s">
        <v>23629</v>
      </c>
      <c r="E9" t="s">
        <v>23632</v>
      </c>
    </row>
    <row r="10" spans="1:5" x14ac:dyDescent="0.25">
      <c r="A10" s="130" t="s">
        <v>23627</v>
      </c>
      <c r="B10" t="s">
        <v>28673</v>
      </c>
      <c r="C10">
        <v>1</v>
      </c>
      <c r="D10" t="s">
        <v>23629</v>
      </c>
      <c r="E10" t="s">
        <v>23632</v>
      </c>
    </row>
    <row r="11" spans="1:5" x14ac:dyDescent="0.25">
      <c r="A11" s="130" t="s">
        <v>23627</v>
      </c>
      <c r="B11" t="s">
        <v>28674</v>
      </c>
      <c r="C11">
        <v>1</v>
      </c>
      <c r="D11" t="s">
        <v>23629</v>
      </c>
      <c r="E11" t="s">
        <v>23632</v>
      </c>
    </row>
    <row r="12" spans="1:5" x14ac:dyDescent="0.25">
      <c r="A12" s="130" t="s">
        <v>17414</v>
      </c>
      <c r="B12" t="s">
        <v>23638</v>
      </c>
      <c r="C12">
        <v>1</v>
      </c>
      <c r="D12" t="s">
        <v>23629</v>
      </c>
      <c r="E12" t="s">
        <v>23632</v>
      </c>
    </row>
    <row r="13" spans="1:5" x14ac:dyDescent="0.25">
      <c r="A13" s="131" t="s">
        <v>17414</v>
      </c>
      <c r="B13" t="s">
        <v>23639</v>
      </c>
      <c r="C13">
        <v>1</v>
      </c>
      <c r="D13" t="s">
        <v>23629</v>
      </c>
      <c r="E13" t="s">
        <v>23632</v>
      </c>
    </row>
    <row r="14" spans="1:5" x14ac:dyDescent="0.25">
      <c r="A14" s="131" t="s">
        <v>17414</v>
      </c>
      <c r="B14" t="s">
        <v>23640</v>
      </c>
      <c r="C14">
        <v>1</v>
      </c>
      <c r="D14" t="s">
        <v>23629</v>
      </c>
      <c r="E14" t="s">
        <v>23632</v>
      </c>
    </row>
    <row r="15" spans="1:5" x14ac:dyDescent="0.25">
      <c r="A15" s="130" t="s">
        <v>17414</v>
      </c>
      <c r="B15" t="s">
        <v>23641</v>
      </c>
      <c r="C15">
        <v>1</v>
      </c>
      <c r="D15" t="s">
        <v>23629</v>
      </c>
      <c r="E15" t="s">
        <v>23632</v>
      </c>
    </row>
    <row r="16" spans="1:5" x14ac:dyDescent="0.25">
      <c r="A16" s="130" t="str">
        <f>LEFT(B16,1)</f>
        <v>A</v>
      </c>
      <c r="B16" t="s">
        <v>24017</v>
      </c>
      <c r="C16">
        <v>1.3</v>
      </c>
      <c r="D16" t="s">
        <v>23629</v>
      </c>
      <c r="E16" t="s">
        <v>23881</v>
      </c>
    </row>
    <row r="17" spans="1:5" x14ac:dyDescent="0.25">
      <c r="A17" s="131" t="s">
        <v>17414</v>
      </c>
      <c r="B17" t="s">
        <v>23642</v>
      </c>
      <c r="C17">
        <v>1</v>
      </c>
      <c r="D17" t="s">
        <v>23629</v>
      </c>
      <c r="E17" t="s">
        <v>23632</v>
      </c>
    </row>
    <row r="18" spans="1:5" x14ac:dyDescent="0.25">
      <c r="A18" s="131" t="s">
        <v>17414</v>
      </c>
      <c r="B18" t="s">
        <v>23643</v>
      </c>
      <c r="C18">
        <v>1</v>
      </c>
      <c r="D18" t="s">
        <v>23629</v>
      </c>
      <c r="E18" t="s">
        <v>23632</v>
      </c>
    </row>
    <row r="19" spans="1:5" x14ac:dyDescent="0.25">
      <c r="A19" s="130" t="s">
        <v>17414</v>
      </c>
      <c r="B19" t="s">
        <v>23644</v>
      </c>
      <c r="C19">
        <v>1</v>
      </c>
      <c r="D19" t="s">
        <v>23629</v>
      </c>
      <c r="E19" t="s">
        <v>23632</v>
      </c>
    </row>
    <row r="20" spans="1:5" x14ac:dyDescent="0.25">
      <c r="A20" s="131" t="s">
        <v>17414</v>
      </c>
      <c r="B20" t="s">
        <v>23645</v>
      </c>
      <c r="C20">
        <v>1</v>
      </c>
      <c r="D20" t="s">
        <v>23629</v>
      </c>
      <c r="E20" t="s">
        <v>23632</v>
      </c>
    </row>
    <row r="21" spans="1:5" x14ac:dyDescent="0.25">
      <c r="A21" s="130" t="s">
        <v>17414</v>
      </c>
      <c r="B21" t="s">
        <v>23646</v>
      </c>
      <c r="C21">
        <v>1</v>
      </c>
      <c r="D21" t="s">
        <v>23629</v>
      </c>
      <c r="E21" t="s">
        <v>23632</v>
      </c>
    </row>
    <row r="22" spans="1:5" x14ac:dyDescent="0.25">
      <c r="A22" s="131" t="s">
        <v>17414</v>
      </c>
      <c r="B22" t="s">
        <v>23647</v>
      </c>
      <c r="C22">
        <v>1</v>
      </c>
      <c r="D22" t="s">
        <v>23629</v>
      </c>
      <c r="E22" t="s">
        <v>23632</v>
      </c>
    </row>
    <row r="23" spans="1:5" x14ac:dyDescent="0.25">
      <c r="A23" s="130" t="s">
        <v>17414</v>
      </c>
      <c r="B23" t="s">
        <v>23648</v>
      </c>
      <c r="C23">
        <v>1</v>
      </c>
      <c r="D23" t="s">
        <v>23629</v>
      </c>
      <c r="E23" t="s">
        <v>23632</v>
      </c>
    </row>
    <row r="24" spans="1:5" x14ac:dyDescent="0.25">
      <c r="A24" s="131" t="s">
        <v>17414</v>
      </c>
      <c r="B24" t="s">
        <v>23649</v>
      </c>
      <c r="C24">
        <v>1</v>
      </c>
      <c r="D24" t="s">
        <v>23629</v>
      </c>
      <c r="E24" t="s">
        <v>23632</v>
      </c>
    </row>
    <row r="25" spans="1:5" x14ac:dyDescent="0.25">
      <c r="A25" s="131" t="str">
        <f>LEFT((B25),1)</f>
        <v>A</v>
      </c>
      <c r="B25" t="s">
        <v>23650</v>
      </c>
      <c r="C25">
        <v>1</v>
      </c>
      <c r="D25" t="s">
        <v>23629</v>
      </c>
      <c r="E25" t="s">
        <v>23632</v>
      </c>
    </row>
    <row r="26" spans="1:5" x14ac:dyDescent="0.25">
      <c r="A26" s="130" t="s">
        <v>17414</v>
      </c>
      <c r="B26" t="s">
        <v>23651</v>
      </c>
      <c r="C26">
        <v>1</v>
      </c>
      <c r="D26" t="s">
        <v>23629</v>
      </c>
      <c r="E26" t="s">
        <v>23632</v>
      </c>
    </row>
    <row r="27" spans="1:5" x14ac:dyDescent="0.25">
      <c r="A27" s="130" t="s">
        <v>17414</v>
      </c>
      <c r="B27" t="s">
        <v>23652</v>
      </c>
      <c r="C27">
        <v>1</v>
      </c>
      <c r="D27" t="s">
        <v>23629</v>
      </c>
      <c r="E27" t="s">
        <v>23632</v>
      </c>
    </row>
    <row r="28" spans="1:5" x14ac:dyDescent="0.25">
      <c r="A28" s="130" t="s">
        <v>17414</v>
      </c>
      <c r="B28" t="s">
        <v>23653</v>
      </c>
      <c r="C28">
        <v>1</v>
      </c>
      <c r="D28" t="s">
        <v>23629</v>
      </c>
      <c r="E28" t="s">
        <v>23632</v>
      </c>
    </row>
    <row r="29" spans="1:5" x14ac:dyDescent="0.25">
      <c r="A29" s="130" t="s">
        <v>17414</v>
      </c>
      <c r="B29" t="s">
        <v>23654</v>
      </c>
      <c r="C29">
        <v>1</v>
      </c>
      <c r="D29" t="s">
        <v>23629</v>
      </c>
      <c r="E29" t="s">
        <v>23632</v>
      </c>
    </row>
    <row r="30" spans="1:5" x14ac:dyDescent="0.25">
      <c r="A30" s="130" t="str">
        <f>LEFT(B30,1)</f>
        <v>A</v>
      </c>
      <c r="B30" t="s">
        <v>24033</v>
      </c>
      <c r="C30">
        <v>1</v>
      </c>
      <c r="D30" t="s">
        <v>23629</v>
      </c>
      <c r="E30" t="s">
        <v>23632</v>
      </c>
    </row>
    <row r="31" spans="1:5" x14ac:dyDescent="0.25">
      <c r="A31" s="130" t="s">
        <v>17414</v>
      </c>
      <c r="B31" t="s">
        <v>23655</v>
      </c>
      <c r="C31">
        <v>1</v>
      </c>
      <c r="D31" t="s">
        <v>23629</v>
      </c>
      <c r="E31" t="s">
        <v>23632</v>
      </c>
    </row>
    <row r="32" spans="1:5" x14ac:dyDescent="0.25">
      <c r="A32" s="131" t="s">
        <v>17414</v>
      </c>
      <c r="B32" t="s">
        <v>23656</v>
      </c>
      <c r="C32">
        <v>1</v>
      </c>
      <c r="D32" t="s">
        <v>23629</v>
      </c>
      <c r="E32" t="s">
        <v>23632</v>
      </c>
    </row>
    <row r="33" spans="1:5" x14ac:dyDescent="0.25">
      <c r="A33" s="130" t="str">
        <f>LEFT((B33),1)</f>
        <v>A</v>
      </c>
      <c r="B33" t="s">
        <v>23657</v>
      </c>
      <c r="C33">
        <v>1</v>
      </c>
      <c r="D33" t="s">
        <v>23629</v>
      </c>
      <c r="E33" t="s">
        <v>23632</v>
      </c>
    </row>
    <row r="34" spans="1:5" x14ac:dyDescent="0.25">
      <c r="A34" s="130" t="s">
        <v>17414</v>
      </c>
      <c r="B34" t="s">
        <v>23658</v>
      </c>
      <c r="C34">
        <v>1</v>
      </c>
      <c r="D34" t="s">
        <v>23629</v>
      </c>
      <c r="E34" t="s">
        <v>23632</v>
      </c>
    </row>
    <row r="35" spans="1:5" x14ac:dyDescent="0.25">
      <c r="A35" s="131" t="s">
        <v>17414</v>
      </c>
      <c r="B35" t="s">
        <v>23659</v>
      </c>
      <c r="C35">
        <v>1</v>
      </c>
      <c r="D35" t="s">
        <v>23629</v>
      </c>
      <c r="E35" t="s">
        <v>23632</v>
      </c>
    </row>
    <row r="36" spans="1:5" x14ac:dyDescent="0.25">
      <c r="A36" s="130" t="s">
        <v>17414</v>
      </c>
      <c r="B36" t="s">
        <v>23660</v>
      </c>
      <c r="C36">
        <v>1</v>
      </c>
      <c r="D36" t="s">
        <v>23629</v>
      </c>
      <c r="E36" t="s">
        <v>23632</v>
      </c>
    </row>
    <row r="37" spans="1:5" x14ac:dyDescent="0.25">
      <c r="A37" s="131" t="s">
        <v>17414</v>
      </c>
      <c r="B37" t="s">
        <v>23661</v>
      </c>
      <c r="C37">
        <v>1</v>
      </c>
      <c r="D37" t="s">
        <v>23629</v>
      </c>
      <c r="E37" t="s">
        <v>23632</v>
      </c>
    </row>
    <row r="38" spans="1:5" x14ac:dyDescent="0.25">
      <c r="A38" s="130" t="str">
        <f>LEFT(B38,1)</f>
        <v>A</v>
      </c>
      <c r="B38" t="s">
        <v>28940</v>
      </c>
      <c r="C38">
        <v>1</v>
      </c>
      <c r="D38" t="s">
        <v>23629</v>
      </c>
      <c r="E38" t="s">
        <v>23632</v>
      </c>
    </row>
    <row r="39" spans="1:5" x14ac:dyDescent="0.25">
      <c r="A39" s="130" t="s">
        <v>17414</v>
      </c>
      <c r="B39" t="s">
        <v>23662</v>
      </c>
      <c r="C39">
        <v>1</v>
      </c>
      <c r="D39" t="s">
        <v>23629</v>
      </c>
      <c r="E39" t="s">
        <v>23632</v>
      </c>
    </row>
    <row r="40" spans="1:5" x14ac:dyDescent="0.25">
      <c r="A40" s="131" t="s">
        <v>17414</v>
      </c>
      <c r="B40" t="s">
        <v>23663</v>
      </c>
      <c r="C40">
        <v>1</v>
      </c>
      <c r="D40" t="s">
        <v>23629</v>
      </c>
      <c r="E40" t="s">
        <v>23632</v>
      </c>
    </row>
    <row r="41" spans="1:5" x14ac:dyDescent="0.25">
      <c r="A41" s="130" t="s">
        <v>17414</v>
      </c>
      <c r="B41" t="s">
        <v>23664</v>
      </c>
      <c r="C41">
        <v>1</v>
      </c>
      <c r="D41" t="s">
        <v>23629</v>
      </c>
      <c r="E41" t="s">
        <v>23632</v>
      </c>
    </row>
    <row r="42" spans="1:5" x14ac:dyDescent="0.25">
      <c r="A42" s="131" t="s">
        <v>17414</v>
      </c>
      <c r="B42" t="s">
        <v>23665</v>
      </c>
      <c r="C42">
        <v>1</v>
      </c>
      <c r="D42" t="s">
        <v>23629</v>
      </c>
      <c r="E42" t="s">
        <v>23632</v>
      </c>
    </row>
    <row r="43" spans="1:5" x14ac:dyDescent="0.25">
      <c r="A43" s="130" t="s">
        <v>17414</v>
      </c>
      <c r="B43" t="s">
        <v>23666</v>
      </c>
      <c r="C43">
        <v>1</v>
      </c>
      <c r="D43" t="s">
        <v>23629</v>
      </c>
      <c r="E43" t="s">
        <v>23632</v>
      </c>
    </row>
    <row r="44" spans="1:5" x14ac:dyDescent="0.25">
      <c r="A44" s="130" t="s">
        <v>17414</v>
      </c>
      <c r="B44" t="s">
        <v>23667</v>
      </c>
      <c r="C44">
        <v>1</v>
      </c>
      <c r="D44" t="s">
        <v>23629</v>
      </c>
      <c r="E44" t="s">
        <v>23632</v>
      </c>
    </row>
    <row r="45" spans="1:5" x14ac:dyDescent="0.25">
      <c r="A45" s="131" t="s">
        <v>17414</v>
      </c>
      <c r="B45" t="s">
        <v>23668</v>
      </c>
      <c r="C45">
        <v>1</v>
      </c>
      <c r="D45" t="s">
        <v>23629</v>
      </c>
      <c r="E45" t="s">
        <v>23632</v>
      </c>
    </row>
    <row r="46" spans="1:5" x14ac:dyDescent="0.25">
      <c r="A46" s="130" t="s">
        <v>17414</v>
      </c>
      <c r="B46" t="s">
        <v>23669</v>
      </c>
      <c r="C46">
        <v>1</v>
      </c>
      <c r="D46" t="s">
        <v>23629</v>
      </c>
      <c r="E46" t="s">
        <v>23632</v>
      </c>
    </row>
    <row r="47" spans="1:5" x14ac:dyDescent="0.25">
      <c r="A47" s="131" t="str">
        <f>LEFT(B47,1)</f>
        <v>A</v>
      </c>
      <c r="B47" t="s">
        <v>24034</v>
      </c>
      <c r="C47">
        <v>1</v>
      </c>
      <c r="D47" t="s">
        <v>23629</v>
      </c>
      <c r="E47" t="s">
        <v>23632</v>
      </c>
    </row>
    <row r="48" spans="1:5" x14ac:dyDescent="0.25">
      <c r="A48" s="130" t="s">
        <v>17414</v>
      </c>
      <c r="B48" t="s">
        <v>23670</v>
      </c>
      <c r="C48">
        <v>1</v>
      </c>
      <c r="D48" t="s">
        <v>23629</v>
      </c>
      <c r="E48" t="s">
        <v>23632</v>
      </c>
    </row>
    <row r="49" spans="1:5" x14ac:dyDescent="0.25">
      <c r="A49" s="131" t="s">
        <v>17414</v>
      </c>
      <c r="B49" t="s">
        <v>23671</v>
      </c>
      <c r="C49">
        <v>1</v>
      </c>
      <c r="D49" t="s">
        <v>23629</v>
      </c>
      <c r="E49" t="s">
        <v>23632</v>
      </c>
    </row>
    <row r="50" spans="1:5" x14ac:dyDescent="0.25">
      <c r="A50" s="131" t="s">
        <v>17414</v>
      </c>
      <c r="B50" t="s">
        <v>23672</v>
      </c>
      <c r="C50">
        <v>1</v>
      </c>
      <c r="D50" t="s">
        <v>23629</v>
      </c>
      <c r="E50" t="s">
        <v>23632</v>
      </c>
    </row>
    <row r="51" spans="1:5" x14ac:dyDescent="0.25">
      <c r="A51" s="130" t="s">
        <v>17414</v>
      </c>
      <c r="B51" t="s">
        <v>23673</v>
      </c>
      <c r="C51">
        <v>1</v>
      </c>
      <c r="D51" t="s">
        <v>23629</v>
      </c>
      <c r="E51" t="s">
        <v>23632</v>
      </c>
    </row>
    <row r="52" spans="1:5" x14ac:dyDescent="0.25">
      <c r="A52" s="131" t="s">
        <v>17414</v>
      </c>
      <c r="B52" t="s">
        <v>23674</v>
      </c>
      <c r="C52">
        <v>1</v>
      </c>
      <c r="D52" t="s">
        <v>23629</v>
      </c>
      <c r="E52" t="s">
        <v>23632</v>
      </c>
    </row>
    <row r="53" spans="1:5" x14ac:dyDescent="0.25">
      <c r="A53" s="130" t="str">
        <f>LEFT(B53,1)</f>
        <v>A</v>
      </c>
      <c r="B53" t="s">
        <v>23997</v>
      </c>
      <c r="C53">
        <v>1.1100000000000001</v>
      </c>
      <c r="D53" t="s">
        <v>23629</v>
      </c>
      <c r="E53" t="s">
        <v>23881</v>
      </c>
    </row>
    <row r="54" spans="1:5" x14ac:dyDescent="0.25">
      <c r="A54" s="131" t="s">
        <v>17414</v>
      </c>
      <c r="B54" t="s">
        <v>23675</v>
      </c>
      <c r="C54">
        <v>1</v>
      </c>
      <c r="D54" t="s">
        <v>23629</v>
      </c>
      <c r="E54" t="s">
        <v>23632</v>
      </c>
    </row>
    <row r="55" spans="1:5" x14ac:dyDescent="0.25">
      <c r="A55" s="130" t="str">
        <f>LEFT(B55,1)</f>
        <v>A</v>
      </c>
      <c r="B55" t="s">
        <v>28675</v>
      </c>
      <c r="C55">
        <v>1</v>
      </c>
      <c r="D55" t="s">
        <v>23629</v>
      </c>
      <c r="E55" t="s">
        <v>23632</v>
      </c>
    </row>
    <row r="56" spans="1:5" x14ac:dyDescent="0.25">
      <c r="A56" s="130" t="str">
        <f>LEFT(B56,1)</f>
        <v>A</v>
      </c>
      <c r="B56" t="s">
        <v>24035</v>
      </c>
      <c r="C56">
        <v>1</v>
      </c>
      <c r="D56" t="s">
        <v>23629</v>
      </c>
      <c r="E56" t="s">
        <v>23632</v>
      </c>
    </row>
    <row r="57" spans="1:5" x14ac:dyDescent="0.25">
      <c r="A57" s="130" t="str">
        <f>LEFT(B57,1)</f>
        <v>A</v>
      </c>
      <c r="B57" t="s">
        <v>28335</v>
      </c>
      <c r="C57">
        <v>1</v>
      </c>
      <c r="D57" t="s">
        <v>23629</v>
      </c>
      <c r="E57" t="s">
        <v>23632</v>
      </c>
    </row>
    <row r="58" spans="1:5" x14ac:dyDescent="0.25">
      <c r="A58" s="131" t="s">
        <v>17414</v>
      </c>
      <c r="B58" t="s">
        <v>23676</v>
      </c>
      <c r="C58">
        <v>1</v>
      </c>
      <c r="D58" t="s">
        <v>23629</v>
      </c>
      <c r="E58" t="s">
        <v>23632</v>
      </c>
    </row>
    <row r="59" spans="1:5" x14ac:dyDescent="0.25">
      <c r="A59" s="130" t="str">
        <f>LEFT(B59,1)</f>
        <v>A</v>
      </c>
      <c r="B59" t="s">
        <v>28336</v>
      </c>
      <c r="C59">
        <v>1</v>
      </c>
      <c r="D59" t="s">
        <v>23629</v>
      </c>
      <c r="E59" t="s">
        <v>23632</v>
      </c>
    </row>
    <row r="60" spans="1:5" x14ac:dyDescent="0.25">
      <c r="A60" s="130" t="s">
        <v>17414</v>
      </c>
      <c r="B60" t="s">
        <v>23677</v>
      </c>
      <c r="C60">
        <v>1</v>
      </c>
      <c r="D60" t="s">
        <v>23629</v>
      </c>
      <c r="E60" t="s">
        <v>23632</v>
      </c>
    </row>
    <row r="61" spans="1:5" x14ac:dyDescent="0.25">
      <c r="A61" s="131" t="s">
        <v>17414</v>
      </c>
      <c r="B61" t="s">
        <v>23678</v>
      </c>
      <c r="C61">
        <v>1</v>
      </c>
      <c r="D61" t="s">
        <v>23629</v>
      </c>
      <c r="E61" t="s">
        <v>23632</v>
      </c>
    </row>
    <row r="62" spans="1:5" x14ac:dyDescent="0.25">
      <c r="A62" s="130" t="s">
        <v>17414</v>
      </c>
      <c r="B62" t="s">
        <v>23679</v>
      </c>
      <c r="C62">
        <v>1</v>
      </c>
      <c r="D62" t="s">
        <v>23629</v>
      </c>
      <c r="E62" t="s">
        <v>23632</v>
      </c>
    </row>
    <row r="63" spans="1:5" x14ac:dyDescent="0.25">
      <c r="A63" s="131" t="s">
        <v>17414</v>
      </c>
      <c r="B63" t="s">
        <v>23680</v>
      </c>
      <c r="C63">
        <v>1</v>
      </c>
      <c r="D63" t="s">
        <v>23629</v>
      </c>
      <c r="E63" t="s">
        <v>23632</v>
      </c>
    </row>
    <row r="64" spans="1:5" x14ac:dyDescent="0.25">
      <c r="A64" s="130" t="s">
        <v>17414</v>
      </c>
      <c r="B64" t="s">
        <v>23681</v>
      </c>
      <c r="C64">
        <v>1</v>
      </c>
      <c r="D64" t="s">
        <v>23629</v>
      </c>
      <c r="E64" t="s">
        <v>23632</v>
      </c>
    </row>
    <row r="65" spans="1:5" x14ac:dyDescent="0.25">
      <c r="A65" s="130" t="s">
        <v>17414</v>
      </c>
      <c r="B65" t="s">
        <v>23682</v>
      </c>
      <c r="C65">
        <v>1</v>
      </c>
      <c r="D65" t="s">
        <v>23629</v>
      </c>
      <c r="E65" t="s">
        <v>23632</v>
      </c>
    </row>
    <row r="66" spans="1:5" x14ac:dyDescent="0.25">
      <c r="A66" s="131" t="str">
        <f>LEFT((B66),1)</f>
        <v>A</v>
      </c>
      <c r="B66" t="s">
        <v>23683</v>
      </c>
      <c r="C66">
        <v>1</v>
      </c>
      <c r="D66" t="s">
        <v>23629</v>
      </c>
      <c r="E66" t="s">
        <v>23632</v>
      </c>
    </row>
    <row r="67" spans="1:5" x14ac:dyDescent="0.25">
      <c r="A67" s="131" t="s">
        <v>17414</v>
      </c>
      <c r="B67" t="s">
        <v>23684</v>
      </c>
      <c r="C67">
        <v>1</v>
      </c>
      <c r="D67" t="s">
        <v>23629</v>
      </c>
      <c r="E67" t="s">
        <v>23632</v>
      </c>
    </row>
    <row r="68" spans="1:5" x14ac:dyDescent="0.25">
      <c r="A68" s="131" t="str">
        <f>LEFT(B68,1)</f>
        <v>A</v>
      </c>
      <c r="B68" t="s">
        <v>24036</v>
      </c>
      <c r="C68">
        <v>1</v>
      </c>
      <c r="D68" t="s">
        <v>23629</v>
      </c>
      <c r="E68" t="s">
        <v>23632</v>
      </c>
    </row>
    <row r="69" spans="1:5" x14ac:dyDescent="0.25">
      <c r="A69" s="130" t="s">
        <v>17414</v>
      </c>
      <c r="B69" t="s">
        <v>23685</v>
      </c>
      <c r="C69">
        <v>1</v>
      </c>
      <c r="D69" t="s">
        <v>23629</v>
      </c>
      <c r="E69" t="s">
        <v>23632</v>
      </c>
    </row>
    <row r="70" spans="1:5" x14ac:dyDescent="0.25">
      <c r="A70" s="130" t="str">
        <f>LEFT(B70,1)</f>
        <v>A</v>
      </c>
      <c r="B70" t="s">
        <v>28941</v>
      </c>
      <c r="C70">
        <v>1</v>
      </c>
      <c r="D70" t="s">
        <v>23629</v>
      </c>
      <c r="E70" t="s">
        <v>23632</v>
      </c>
    </row>
    <row r="71" spans="1:5" x14ac:dyDescent="0.25">
      <c r="A71" s="130" t="str">
        <f>LEFT(B71,1)</f>
        <v>A</v>
      </c>
      <c r="B71" t="s">
        <v>28676</v>
      </c>
      <c r="C71">
        <v>1</v>
      </c>
      <c r="D71" t="s">
        <v>23629</v>
      </c>
      <c r="E71" t="s">
        <v>23632</v>
      </c>
    </row>
    <row r="72" spans="1:5" x14ac:dyDescent="0.25">
      <c r="A72" s="130" t="s">
        <v>17414</v>
      </c>
      <c r="B72" t="s">
        <v>23686</v>
      </c>
      <c r="C72">
        <v>1</v>
      </c>
      <c r="D72" t="s">
        <v>23629</v>
      </c>
      <c r="E72" t="s">
        <v>23632</v>
      </c>
    </row>
    <row r="73" spans="1:5" x14ac:dyDescent="0.25">
      <c r="A73" s="130" t="str">
        <f>LEFT(B73,1)</f>
        <v>A</v>
      </c>
      <c r="B73" t="s">
        <v>24018</v>
      </c>
      <c r="C73">
        <v>1</v>
      </c>
      <c r="D73" t="s">
        <v>23629</v>
      </c>
      <c r="E73" t="s">
        <v>23632</v>
      </c>
    </row>
    <row r="74" spans="1:5" x14ac:dyDescent="0.25">
      <c r="A74" s="131" t="s">
        <v>17414</v>
      </c>
      <c r="B74" t="s">
        <v>23687</v>
      </c>
      <c r="C74">
        <v>1</v>
      </c>
      <c r="D74" t="s">
        <v>23629</v>
      </c>
      <c r="E74" t="s">
        <v>23632</v>
      </c>
    </row>
    <row r="75" spans="1:5" x14ac:dyDescent="0.25">
      <c r="A75" s="130" t="str">
        <f>LEFT(B75,1)</f>
        <v>A</v>
      </c>
      <c r="B75" t="s">
        <v>28942</v>
      </c>
      <c r="C75">
        <v>1</v>
      </c>
      <c r="D75" t="s">
        <v>23629</v>
      </c>
      <c r="E75" t="s">
        <v>23632</v>
      </c>
    </row>
    <row r="76" spans="1:5" x14ac:dyDescent="0.25">
      <c r="A76" s="130" t="s">
        <v>17414</v>
      </c>
      <c r="B76" t="s">
        <v>23688</v>
      </c>
      <c r="C76">
        <v>1</v>
      </c>
      <c r="D76" t="s">
        <v>23629</v>
      </c>
      <c r="E76" t="s">
        <v>23632</v>
      </c>
    </row>
    <row r="77" spans="1:5" x14ac:dyDescent="0.25">
      <c r="A77" s="130" t="str">
        <f>LEFT((B77),1)</f>
        <v>A</v>
      </c>
      <c r="B77" t="s">
        <v>23689</v>
      </c>
      <c r="C77">
        <v>1</v>
      </c>
      <c r="D77" t="s">
        <v>23629</v>
      </c>
      <c r="E77" t="s">
        <v>23632</v>
      </c>
    </row>
    <row r="78" spans="1:5" x14ac:dyDescent="0.25">
      <c r="A78" s="130" t="s">
        <v>17414</v>
      </c>
      <c r="B78" t="s">
        <v>23690</v>
      </c>
      <c r="C78">
        <v>1</v>
      </c>
      <c r="D78" t="s">
        <v>23629</v>
      </c>
      <c r="E78" t="s">
        <v>23632</v>
      </c>
    </row>
    <row r="79" spans="1:5" x14ac:dyDescent="0.25">
      <c r="A79" s="131" t="s">
        <v>17414</v>
      </c>
      <c r="B79" t="s">
        <v>23691</v>
      </c>
      <c r="C79">
        <v>1.1000000000000001</v>
      </c>
      <c r="D79" t="s">
        <v>23629</v>
      </c>
      <c r="E79" t="s">
        <v>23632</v>
      </c>
    </row>
    <row r="80" spans="1:5" x14ac:dyDescent="0.25">
      <c r="A80" s="130" t="s">
        <v>17414</v>
      </c>
      <c r="B80" t="s">
        <v>23692</v>
      </c>
      <c r="C80">
        <v>1</v>
      </c>
      <c r="D80" t="s">
        <v>23629</v>
      </c>
      <c r="E80" t="s">
        <v>23632</v>
      </c>
    </row>
    <row r="81" spans="1:5" x14ac:dyDescent="0.25">
      <c r="A81" s="130" t="s">
        <v>17414</v>
      </c>
      <c r="B81" t="s">
        <v>23693</v>
      </c>
      <c r="C81">
        <v>1</v>
      </c>
      <c r="D81" t="s">
        <v>23629</v>
      </c>
      <c r="E81" t="s">
        <v>23632</v>
      </c>
    </row>
    <row r="82" spans="1:5" x14ac:dyDescent="0.25">
      <c r="A82" s="130" t="str">
        <f>LEFT(B82,1)</f>
        <v>A</v>
      </c>
      <c r="B82" t="s">
        <v>24037</v>
      </c>
      <c r="C82">
        <v>1</v>
      </c>
      <c r="D82" t="s">
        <v>23629</v>
      </c>
      <c r="E82" t="s">
        <v>23632</v>
      </c>
    </row>
    <row r="83" spans="1:5" x14ac:dyDescent="0.25">
      <c r="A83" s="131" t="str">
        <f>LEFT(B83,1)</f>
        <v>A</v>
      </c>
      <c r="B83" t="s">
        <v>24038</v>
      </c>
      <c r="C83">
        <v>1</v>
      </c>
      <c r="D83" t="s">
        <v>23629</v>
      </c>
      <c r="E83" t="s">
        <v>23632</v>
      </c>
    </row>
    <row r="84" spans="1:5" x14ac:dyDescent="0.25">
      <c r="A84" s="131" t="s">
        <v>17414</v>
      </c>
      <c r="B84" t="s">
        <v>23694</v>
      </c>
      <c r="C84">
        <v>1</v>
      </c>
      <c r="D84" t="s">
        <v>23629</v>
      </c>
      <c r="E84" t="s">
        <v>23632</v>
      </c>
    </row>
    <row r="85" spans="1:5" x14ac:dyDescent="0.25">
      <c r="A85" s="131" t="s">
        <v>17414</v>
      </c>
      <c r="B85" t="s">
        <v>23695</v>
      </c>
      <c r="C85">
        <v>1</v>
      </c>
      <c r="D85" t="s">
        <v>23629</v>
      </c>
      <c r="E85" t="s">
        <v>23632</v>
      </c>
    </row>
    <row r="86" spans="1:5" x14ac:dyDescent="0.25">
      <c r="A86" s="130" t="s">
        <v>17414</v>
      </c>
      <c r="B86" t="s">
        <v>23696</v>
      </c>
      <c r="C86">
        <v>1</v>
      </c>
      <c r="D86" t="s">
        <v>23629</v>
      </c>
      <c r="E86" t="s">
        <v>23632</v>
      </c>
    </row>
    <row r="87" spans="1:5" x14ac:dyDescent="0.25">
      <c r="A87" s="131" t="s">
        <v>17414</v>
      </c>
      <c r="B87" t="s">
        <v>23697</v>
      </c>
      <c r="C87">
        <v>1</v>
      </c>
      <c r="D87" t="s">
        <v>23629</v>
      </c>
      <c r="E87" t="s">
        <v>23632</v>
      </c>
    </row>
    <row r="88" spans="1:5" x14ac:dyDescent="0.25">
      <c r="A88" s="131" t="s">
        <v>17414</v>
      </c>
      <c r="B88" t="s">
        <v>23698</v>
      </c>
      <c r="C88">
        <v>1</v>
      </c>
      <c r="D88" t="s">
        <v>23629</v>
      </c>
      <c r="E88" t="s">
        <v>23632</v>
      </c>
    </row>
    <row r="89" spans="1:5" x14ac:dyDescent="0.25">
      <c r="A89" s="130" t="s">
        <v>17414</v>
      </c>
      <c r="B89" t="s">
        <v>23699</v>
      </c>
      <c r="C89">
        <v>1</v>
      </c>
      <c r="D89" t="s">
        <v>23629</v>
      </c>
      <c r="E89" t="s">
        <v>23632</v>
      </c>
    </row>
    <row r="90" spans="1:5" x14ac:dyDescent="0.25">
      <c r="A90" s="130" t="str">
        <f>LEFT(B90,1)</f>
        <v>A</v>
      </c>
      <c r="B90" t="s">
        <v>28943</v>
      </c>
      <c r="C90">
        <v>1</v>
      </c>
      <c r="D90" t="s">
        <v>23629</v>
      </c>
      <c r="E90" t="s">
        <v>23632</v>
      </c>
    </row>
    <row r="91" spans="1:5" x14ac:dyDescent="0.25">
      <c r="A91" s="130" t="s">
        <v>17414</v>
      </c>
      <c r="B91" t="s">
        <v>23700</v>
      </c>
      <c r="C91">
        <v>1</v>
      </c>
      <c r="D91" t="s">
        <v>23629</v>
      </c>
      <c r="E91" t="s">
        <v>23632</v>
      </c>
    </row>
    <row r="92" spans="1:5" x14ac:dyDescent="0.25">
      <c r="A92" s="130" t="str">
        <f>LEFT(B92,1)</f>
        <v>A</v>
      </c>
      <c r="B92" t="s">
        <v>24039</v>
      </c>
      <c r="C92">
        <v>1</v>
      </c>
      <c r="D92" t="s">
        <v>23629</v>
      </c>
      <c r="E92" t="s">
        <v>23632</v>
      </c>
    </row>
    <row r="93" spans="1:5" x14ac:dyDescent="0.25">
      <c r="A93" s="131" t="s">
        <v>17414</v>
      </c>
      <c r="B93" t="s">
        <v>23701</v>
      </c>
      <c r="C93">
        <v>1</v>
      </c>
      <c r="D93" t="s">
        <v>23629</v>
      </c>
      <c r="E93" t="s">
        <v>23632</v>
      </c>
    </row>
    <row r="94" spans="1:5" x14ac:dyDescent="0.25">
      <c r="A94" s="130" t="str">
        <f>LEFT(B94,1)</f>
        <v>A</v>
      </c>
      <c r="B94" t="s">
        <v>28944</v>
      </c>
      <c r="C94">
        <v>1</v>
      </c>
      <c r="D94" t="s">
        <v>23629</v>
      </c>
      <c r="E94" t="s">
        <v>23632</v>
      </c>
    </row>
    <row r="95" spans="1:5" x14ac:dyDescent="0.25">
      <c r="A95" s="131" t="s">
        <v>17414</v>
      </c>
      <c r="B95" t="s">
        <v>23702</v>
      </c>
      <c r="C95">
        <v>1</v>
      </c>
      <c r="D95" t="s">
        <v>23629</v>
      </c>
      <c r="E95" t="s">
        <v>23632</v>
      </c>
    </row>
    <row r="96" spans="1:5" x14ac:dyDescent="0.25">
      <c r="A96" s="131" t="s">
        <v>17414</v>
      </c>
      <c r="B96" t="s">
        <v>23703</v>
      </c>
      <c r="C96">
        <v>1</v>
      </c>
      <c r="D96" t="s">
        <v>23629</v>
      </c>
      <c r="E96" t="s">
        <v>23632</v>
      </c>
    </row>
    <row r="97" spans="1:5" x14ac:dyDescent="0.25">
      <c r="A97" s="130" t="str">
        <f>LEFT(B97,1)</f>
        <v>A</v>
      </c>
      <c r="B97" t="s">
        <v>28337</v>
      </c>
      <c r="C97">
        <v>1</v>
      </c>
      <c r="D97" t="s">
        <v>23629</v>
      </c>
      <c r="E97" t="s">
        <v>23632</v>
      </c>
    </row>
    <row r="98" spans="1:5" x14ac:dyDescent="0.25">
      <c r="A98" s="130" t="s">
        <v>17414</v>
      </c>
      <c r="B98" t="s">
        <v>23704</v>
      </c>
      <c r="C98">
        <v>1</v>
      </c>
      <c r="D98" t="s">
        <v>23629</v>
      </c>
      <c r="E98" t="s">
        <v>23632</v>
      </c>
    </row>
    <row r="99" spans="1:5" x14ac:dyDescent="0.25">
      <c r="A99" s="131" t="str">
        <f>LEFT((B99),1)</f>
        <v>A</v>
      </c>
      <c r="B99" t="s">
        <v>23705</v>
      </c>
      <c r="C99">
        <v>1</v>
      </c>
      <c r="D99" t="s">
        <v>23629</v>
      </c>
      <c r="E99" t="s">
        <v>23632</v>
      </c>
    </row>
    <row r="100" spans="1:5" x14ac:dyDescent="0.25">
      <c r="A100" s="130" t="str">
        <f>LEFT(B100,1)</f>
        <v>A</v>
      </c>
      <c r="B100" t="s">
        <v>28338</v>
      </c>
      <c r="C100">
        <v>1</v>
      </c>
      <c r="D100" t="s">
        <v>23629</v>
      </c>
      <c r="E100" t="s">
        <v>23632</v>
      </c>
    </row>
    <row r="101" spans="1:5" x14ac:dyDescent="0.25">
      <c r="A101" s="130" t="s">
        <v>17414</v>
      </c>
      <c r="B101" t="s">
        <v>23706</v>
      </c>
      <c r="C101">
        <v>1</v>
      </c>
      <c r="D101" t="s">
        <v>23629</v>
      </c>
      <c r="E101" t="s">
        <v>23632</v>
      </c>
    </row>
    <row r="102" spans="1:5" x14ac:dyDescent="0.25">
      <c r="A102" s="130" t="s">
        <v>17414</v>
      </c>
      <c r="B102" t="s">
        <v>23707</v>
      </c>
      <c r="C102">
        <v>1</v>
      </c>
      <c r="D102" t="s">
        <v>23629</v>
      </c>
      <c r="E102" t="s">
        <v>23632</v>
      </c>
    </row>
    <row r="103" spans="1:5" x14ac:dyDescent="0.25">
      <c r="A103" s="130" t="str">
        <f>LEFT((B103),1)</f>
        <v>A</v>
      </c>
      <c r="B103" t="s">
        <v>23708</v>
      </c>
      <c r="C103">
        <v>1</v>
      </c>
      <c r="D103" t="s">
        <v>23629</v>
      </c>
      <c r="E103" t="s">
        <v>23632</v>
      </c>
    </row>
    <row r="104" spans="1:5" x14ac:dyDescent="0.25">
      <c r="A104" s="131" t="s">
        <v>17414</v>
      </c>
      <c r="B104" t="s">
        <v>23709</v>
      </c>
      <c r="C104">
        <v>1</v>
      </c>
      <c r="D104" t="s">
        <v>23629</v>
      </c>
      <c r="E104" t="s">
        <v>23632</v>
      </c>
    </row>
    <row r="105" spans="1:5" x14ac:dyDescent="0.25">
      <c r="A105" s="131" t="s">
        <v>17414</v>
      </c>
      <c r="B105" t="s">
        <v>23710</v>
      </c>
      <c r="C105">
        <v>1</v>
      </c>
      <c r="D105" t="s">
        <v>23629</v>
      </c>
      <c r="E105" t="s">
        <v>23632</v>
      </c>
    </row>
    <row r="106" spans="1:5" x14ac:dyDescent="0.25">
      <c r="A106" s="130" t="s">
        <v>17414</v>
      </c>
      <c r="B106" t="s">
        <v>23711</v>
      </c>
      <c r="C106">
        <v>1</v>
      </c>
      <c r="D106" t="s">
        <v>23629</v>
      </c>
      <c r="E106" t="s">
        <v>23632</v>
      </c>
    </row>
    <row r="107" spans="1:5" x14ac:dyDescent="0.25">
      <c r="A107" s="131" t="s">
        <v>17414</v>
      </c>
      <c r="B107" t="s">
        <v>23712</v>
      </c>
      <c r="C107">
        <v>1</v>
      </c>
      <c r="D107" t="s">
        <v>23629</v>
      </c>
      <c r="E107" t="s">
        <v>23632</v>
      </c>
    </row>
    <row r="108" spans="1:5" x14ac:dyDescent="0.25">
      <c r="A108" s="130" t="s">
        <v>17414</v>
      </c>
      <c r="B108" t="s">
        <v>23713</v>
      </c>
      <c r="C108">
        <v>1</v>
      </c>
      <c r="D108" t="s">
        <v>23629</v>
      </c>
      <c r="E108" t="s">
        <v>23632</v>
      </c>
    </row>
    <row r="109" spans="1:5" x14ac:dyDescent="0.25">
      <c r="A109" s="131" t="s">
        <v>17414</v>
      </c>
      <c r="B109" t="s">
        <v>23714</v>
      </c>
      <c r="C109">
        <v>1</v>
      </c>
      <c r="D109" t="s">
        <v>23629</v>
      </c>
      <c r="E109" t="s">
        <v>23632</v>
      </c>
    </row>
    <row r="110" spans="1:5" x14ac:dyDescent="0.25">
      <c r="A110" s="130" t="str">
        <f>LEFT(B110,1)</f>
        <v>A</v>
      </c>
      <c r="B110" t="s">
        <v>28339</v>
      </c>
      <c r="C110">
        <v>1</v>
      </c>
      <c r="D110" t="s">
        <v>23629</v>
      </c>
      <c r="E110" t="s">
        <v>23632</v>
      </c>
    </row>
    <row r="111" spans="1:5" x14ac:dyDescent="0.25">
      <c r="A111" s="130" t="str">
        <f>LEFT(B111,1)</f>
        <v>A</v>
      </c>
      <c r="B111" t="s">
        <v>28340</v>
      </c>
      <c r="C111">
        <v>1</v>
      </c>
      <c r="D111" t="s">
        <v>23629</v>
      </c>
      <c r="E111" t="s">
        <v>23881</v>
      </c>
    </row>
    <row r="112" spans="1:5" x14ac:dyDescent="0.25">
      <c r="A112" s="130" t="s">
        <v>17414</v>
      </c>
      <c r="B112" t="s">
        <v>23715</v>
      </c>
      <c r="C112">
        <v>1</v>
      </c>
      <c r="D112" t="s">
        <v>23629</v>
      </c>
      <c r="E112" t="s">
        <v>23632</v>
      </c>
    </row>
    <row r="113" spans="1:5" x14ac:dyDescent="0.25">
      <c r="A113" s="131" t="str">
        <f>LEFT((B113),1)</f>
        <v>A</v>
      </c>
      <c r="B113" t="s">
        <v>23716</v>
      </c>
      <c r="C113">
        <v>1</v>
      </c>
      <c r="D113" t="s">
        <v>23629</v>
      </c>
      <c r="E113" t="s">
        <v>23632</v>
      </c>
    </row>
    <row r="114" spans="1:5" x14ac:dyDescent="0.25">
      <c r="A114" s="130" t="str">
        <f>LEFT(B114,1)</f>
        <v>A</v>
      </c>
      <c r="B114" t="s">
        <v>28677</v>
      </c>
      <c r="C114">
        <v>1</v>
      </c>
      <c r="D114" t="s">
        <v>23629</v>
      </c>
      <c r="E114" t="s">
        <v>23632</v>
      </c>
    </row>
    <row r="115" spans="1:5" x14ac:dyDescent="0.25">
      <c r="A115" s="131" t="s">
        <v>17414</v>
      </c>
      <c r="B115" t="s">
        <v>23717</v>
      </c>
      <c r="C115">
        <v>1</v>
      </c>
      <c r="D115" t="s">
        <v>23629</v>
      </c>
      <c r="E115" t="s">
        <v>23632</v>
      </c>
    </row>
    <row r="116" spans="1:5" x14ac:dyDescent="0.25">
      <c r="A116" s="131" t="s">
        <v>17414</v>
      </c>
      <c r="B116" t="s">
        <v>23719</v>
      </c>
      <c r="C116">
        <v>1.21</v>
      </c>
      <c r="D116" t="s">
        <v>23629</v>
      </c>
      <c r="E116" t="s">
        <v>23632</v>
      </c>
    </row>
    <row r="117" spans="1:5" x14ac:dyDescent="0.25">
      <c r="A117" s="131" t="s">
        <v>17414</v>
      </c>
      <c r="B117" t="s">
        <v>23718</v>
      </c>
      <c r="C117">
        <v>1</v>
      </c>
      <c r="D117" t="s">
        <v>23629</v>
      </c>
      <c r="E117" t="s">
        <v>23632</v>
      </c>
    </row>
    <row r="118" spans="1:5" x14ac:dyDescent="0.25">
      <c r="A118" s="130" t="str">
        <f>LEFT(B118,1)</f>
        <v>A</v>
      </c>
      <c r="B118" t="s">
        <v>28341</v>
      </c>
      <c r="C118">
        <v>1</v>
      </c>
      <c r="D118" t="s">
        <v>23629</v>
      </c>
      <c r="E118" t="s">
        <v>23632</v>
      </c>
    </row>
    <row r="119" spans="1:5" x14ac:dyDescent="0.25">
      <c r="A119" s="130" t="s">
        <v>17414</v>
      </c>
      <c r="B119" t="s">
        <v>23720</v>
      </c>
      <c r="C119">
        <v>1</v>
      </c>
      <c r="D119" t="s">
        <v>23629</v>
      </c>
      <c r="E119" t="s">
        <v>23632</v>
      </c>
    </row>
    <row r="120" spans="1:5" x14ac:dyDescent="0.25">
      <c r="A120" s="131" t="s">
        <v>17414</v>
      </c>
      <c r="B120" t="s">
        <v>23721</v>
      </c>
      <c r="C120">
        <v>1</v>
      </c>
      <c r="D120" t="s">
        <v>23629</v>
      </c>
      <c r="E120" t="s">
        <v>23632</v>
      </c>
    </row>
    <row r="121" spans="1:5" x14ac:dyDescent="0.25">
      <c r="A121" s="130" t="s">
        <v>17414</v>
      </c>
      <c r="B121" t="s">
        <v>23722</v>
      </c>
      <c r="C121">
        <v>1</v>
      </c>
      <c r="D121" t="s">
        <v>23629</v>
      </c>
      <c r="E121" t="s">
        <v>23632</v>
      </c>
    </row>
    <row r="122" spans="1:5" x14ac:dyDescent="0.25">
      <c r="A122" s="131" t="str">
        <f>LEFT(B122,1)</f>
        <v>A</v>
      </c>
      <c r="B122" t="s">
        <v>24040</v>
      </c>
      <c r="C122">
        <v>1</v>
      </c>
      <c r="D122" t="s">
        <v>23629</v>
      </c>
      <c r="E122" t="s">
        <v>23632</v>
      </c>
    </row>
    <row r="123" spans="1:5" x14ac:dyDescent="0.25">
      <c r="A123" s="131" t="s">
        <v>17414</v>
      </c>
      <c r="B123" t="s">
        <v>23723</v>
      </c>
      <c r="C123">
        <v>1</v>
      </c>
      <c r="D123" t="s">
        <v>23629</v>
      </c>
      <c r="E123" t="s">
        <v>23632</v>
      </c>
    </row>
    <row r="124" spans="1:5" x14ac:dyDescent="0.25">
      <c r="A124" s="130" t="s">
        <v>17414</v>
      </c>
      <c r="B124" t="s">
        <v>23724</v>
      </c>
      <c r="C124">
        <v>1.1000000000000001</v>
      </c>
      <c r="D124" t="s">
        <v>23629</v>
      </c>
      <c r="E124" t="s">
        <v>23632</v>
      </c>
    </row>
    <row r="125" spans="1:5" x14ac:dyDescent="0.25">
      <c r="A125" s="130" t="s">
        <v>17414</v>
      </c>
      <c r="B125" t="s">
        <v>23725</v>
      </c>
      <c r="C125">
        <v>1</v>
      </c>
      <c r="D125" t="s">
        <v>23629</v>
      </c>
      <c r="E125" t="s">
        <v>23632</v>
      </c>
    </row>
    <row r="126" spans="1:5" x14ac:dyDescent="0.25">
      <c r="A126" s="131" t="str">
        <f>LEFT(B126,1)</f>
        <v>A</v>
      </c>
      <c r="B126" t="s">
        <v>23998</v>
      </c>
      <c r="C126">
        <v>1</v>
      </c>
      <c r="D126" t="s">
        <v>23629</v>
      </c>
      <c r="E126" t="s">
        <v>23632</v>
      </c>
    </row>
    <row r="127" spans="1:5" x14ac:dyDescent="0.25">
      <c r="A127" s="130" t="s">
        <v>17414</v>
      </c>
      <c r="B127" t="s">
        <v>23726</v>
      </c>
      <c r="C127">
        <v>1</v>
      </c>
      <c r="D127" t="s">
        <v>23629</v>
      </c>
      <c r="E127" t="s">
        <v>23632</v>
      </c>
    </row>
    <row r="128" spans="1:5" x14ac:dyDescent="0.25">
      <c r="A128" s="130" t="str">
        <f>LEFT(B128,1)</f>
        <v>A</v>
      </c>
      <c r="B128" t="s">
        <v>24041</v>
      </c>
      <c r="C128">
        <v>1</v>
      </c>
      <c r="D128" t="s">
        <v>23629</v>
      </c>
      <c r="E128" t="s">
        <v>23632</v>
      </c>
    </row>
    <row r="129" spans="1:9" x14ac:dyDescent="0.25">
      <c r="A129" s="131" t="s">
        <v>17414</v>
      </c>
      <c r="B129" t="s">
        <v>23727</v>
      </c>
      <c r="C129">
        <v>1</v>
      </c>
      <c r="D129" t="s">
        <v>23629</v>
      </c>
      <c r="E129" t="s">
        <v>23632</v>
      </c>
    </row>
    <row r="130" spans="1:9" s="139" customFormat="1" x14ac:dyDescent="0.25">
      <c r="A130" s="151" t="s">
        <v>17414</v>
      </c>
      <c r="B130" t="s">
        <v>23728</v>
      </c>
      <c r="C130">
        <v>1</v>
      </c>
      <c r="D130" t="s">
        <v>23629</v>
      </c>
      <c r="E130" t="s">
        <v>23632</v>
      </c>
      <c r="F130"/>
      <c r="G130"/>
      <c r="H130"/>
      <c r="I130"/>
    </row>
    <row r="131" spans="1:9" x14ac:dyDescent="0.25">
      <c r="A131" s="131" t="s">
        <v>17414</v>
      </c>
      <c r="B131" t="s">
        <v>23729</v>
      </c>
      <c r="C131">
        <v>1</v>
      </c>
      <c r="D131" t="s">
        <v>23629</v>
      </c>
      <c r="E131" t="s">
        <v>23632</v>
      </c>
    </row>
    <row r="132" spans="1:9" x14ac:dyDescent="0.25">
      <c r="A132" s="130" t="str">
        <f>LEFT(B132,1)</f>
        <v>A</v>
      </c>
      <c r="B132" t="s">
        <v>28678</v>
      </c>
      <c r="C132">
        <v>1</v>
      </c>
      <c r="D132" t="s">
        <v>23629</v>
      </c>
      <c r="E132" t="s">
        <v>23632</v>
      </c>
    </row>
    <row r="133" spans="1:9" x14ac:dyDescent="0.25">
      <c r="A133" s="130" t="str">
        <f>LEFT(B133,1)</f>
        <v>A</v>
      </c>
      <c r="B133" t="s">
        <v>23999</v>
      </c>
      <c r="C133">
        <v>1</v>
      </c>
      <c r="D133" t="s">
        <v>23629</v>
      </c>
      <c r="E133" t="s">
        <v>23632</v>
      </c>
    </row>
    <row r="134" spans="1:9" x14ac:dyDescent="0.25">
      <c r="A134" s="131" t="str">
        <f>LEFT(B134,1)</f>
        <v>A</v>
      </c>
      <c r="B134" t="s">
        <v>24042</v>
      </c>
      <c r="C134">
        <v>1</v>
      </c>
      <c r="D134" t="s">
        <v>23629</v>
      </c>
      <c r="E134" t="s">
        <v>23632</v>
      </c>
    </row>
    <row r="135" spans="1:9" x14ac:dyDescent="0.25">
      <c r="A135" s="130" t="s">
        <v>17414</v>
      </c>
      <c r="B135" t="s">
        <v>23730</v>
      </c>
      <c r="C135">
        <v>1</v>
      </c>
      <c r="D135" t="s">
        <v>23629</v>
      </c>
      <c r="E135" t="s">
        <v>23632</v>
      </c>
    </row>
    <row r="136" spans="1:9" x14ac:dyDescent="0.25">
      <c r="A136" s="131" t="s">
        <v>17414</v>
      </c>
      <c r="B136" t="s">
        <v>23731</v>
      </c>
      <c r="C136">
        <v>1</v>
      </c>
      <c r="D136" t="s">
        <v>23629</v>
      </c>
      <c r="E136" t="s">
        <v>23632</v>
      </c>
    </row>
    <row r="137" spans="1:9" x14ac:dyDescent="0.25">
      <c r="A137" s="131" t="s">
        <v>17414</v>
      </c>
      <c r="B137" t="s">
        <v>23732</v>
      </c>
      <c r="C137">
        <v>1</v>
      </c>
      <c r="D137" t="s">
        <v>23629</v>
      </c>
      <c r="E137" t="s">
        <v>23632</v>
      </c>
    </row>
    <row r="138" spans="1:9" x14ac:dyDescent="0.25">
      <c r="A138" s="130" t="s">
        <v>17414</v>
      </c>
      <c r="B138" t="s">
        <v>23733</v>
      </c>
      <c r="C138">
        <v>1</v>
      </c>
      <c r="D138" t="s">
        <v>23629</v>
      </c>
      <c r="E138" t="s">
        <v>23632</v>
      </c>
    </row>
    <row r="139" spans="1:9" x14ac:dyDescent="0.25">
      <c r="A139" s="131" t="s">
        <v>17414</v>
      </c>
      <c r="B139" t="s">
        <v>23734</v>
      </c>
      <c r="C139">
        <v>1</v>
      </c>
      <c r="D139" t="s">
        <v>23629</v>
      </c>
      <c r="E139" t="s">
        <v>23632</v>
      </c>
    </row>
    <row r="140" spans="1:9" x14ac:dyDescent="0.25">
      <c r="A140" s="131" t="s">
        <v>17414</v>
      </c>
      <c r="B140" t="s">
        <v>23735</v>
      </c>
      <c r="C140">
        <v>1</v>
      </c>
      <c r="D140" t="s">
        <v>23629</v>
      </c>
      <c r="E140" t="s">
        <v>23632</v>
      </c>
    </row>
    <row r="141" spans="1:9" x14ac:dyDescent="0.25">
      <c r="A141" s="130" t="str">
        <f>LEFT(B141,1)</f>
        <v>A</v>
      </c>
      <c r="B141" t="s">
        <v>24043</v>
      </c>
      <c r="C141">
        <v>1</v>
      </c>
      <c r="D141" t="s">
        <v>23629</v>
      </c>
      <c r="E141" t="s">
        <v>23632</v>
      </c>
    </row>
    <row r="142" spans="1:9" x14ac:dyDescent="0.25">
      <c r="A142" s="130" t="str">
        <f>LEFT((B142),1)</f>
        <v>A</v>
      </c>
      <c r="B142" t="s">
        <v>23736</v>
      </c>
      <c r="C142">
        <v>1</v>
      </c>
      <c r="D142" t="s">
        <v>23629</v>
      </c>
      <c r="E142" t="s">
        <v>23632</v>
      </c>
    </row>
    <row r="143" spans="1:9" x14ac:dyDescent="0.25">
      <c r="A143" s="130" t="str">
        <f>LEFT(B143,1)</f>
        <v>A</v>
      </c>
      <c r="B143" t="s">
        <v>28342</v>
      </c>
      <c r="C143">
        <v>1</v>
      </c>
      <c r="D143" t="s">
        <v>23629</v>
      </c>
      <c r="E143" t="s">
        <v>23632</v>
      </c>
    </row>
    <row r="144" spans="1:9" x14ac:dyDescent="0.25">
      <c r="A144" s="130" t="str">
        <f>LEFT(B144,1)</f>
        <v>A</v>
      </c>
      <c r="B144" t="s">
        <v>28343</v>
      </c>
      <c r="C144">
        <v>1.45</v>
      </c>
      <c r="D144" t="s">
        <v>23629</v>
      </c>
      <c r="E144" t="s">
        <v>23632</v>
      </c>
    </row>
    <row r="145" spans="1:5" x14ac:dyDescent="0.25">
      <c r="A145" s="131" t="s">
        <v>17414</v>
      </c>
      <c r="B145" t="s">
        <v>23737</v>
      </c>
      <c r="C145">
        <v>1.45</v>
      </c>
      <c r="D145" t="s">
        <v>23629</v>
      </c>
      <c r="E145" t="s">
        <v>23632</v>
      </c>
    </row>
    <row r="146" spans="1:5" x14ac:dyDescent="0.25">
      <c r="A146" s="131" t="s">
        <v>17414</v>
      </c>
      <c r="B146" t="s">
        <v>23738</v>
      </c>
      <c r="C146">
        <v>1</v>
      </c>
      <c r="D146" t="s">
        <v>23629</v>
      </c>
      <c r="E146" t="s">
        <v>23632</v>
      </c>
    </row>
    <row r="147" spans="1:5" x14ac:dyDescent="0.25">
      <c r="A147" s="131" t="s">
        <v>17414</v>
      </c>
      <c r="B147" t="s">
        <v>23739</v>
      </c>
      <c r="C147">
        <v>1</v>
      </c>
      <c r="D147" t="s">
        <v>23629</v>
      </c>
      <c r="E147" t="s">
        <v>23632</v>
      </c>
    </row>
    <row r="148" spans="1:5" x14ac:dyDescent="0.25">
      <c r="A148" s="130" t="s">
        <v>17414</v>
      </c>
      <c r="B148" t="s">
        <v>23740</v>
      </c>
      <c r="C148">
        <v>1</v>
      </c>
      <c r="D148" t="s">
        <v>23629</v>
      </c>
      <c r="E148" t="s">
        <v>23632</v>
      </c>
    </row>
    <row r="149" spans="1:5" x14ac:dyDescent="0.25">
      <c r="A149" s="131" t="s">
        <v>17414</v>
      </c>
      <c r="B149" t="s">
        <v>23741</v>
      </c>
      <c r="C149">
        <v>1</v>
      </c>
      <c r="D149" t="s">
        <v>23629</v>
      </c>
      <c r="E149" t="s">
        <v>23632</v>
      </c>
    </row>
    <row r="150" spans="1:5" x14ac:dyDescent="0.25">
      <c r="A150" s="130" t="str">
        <f>LEFT(B150,1)</f>
        <v>A</v>
      </c>
      <c r="B150" t="s">
        <v>28945</v>
      </c>
      <c r="C150">
        <v>1</v>
      </c>
      <c r="D150" t="s">
        <v>23629</v>
      </c>
      <c r="E150" t="s">
        <v>23632</v>
      </c>
    </row>
    <row r="151" spans="1:5" x14ac:dyDescent="0.25">
      <c r="A151" s="130" t="s">
        <v>17414</v>
      </c>
      <c r="B151" t="s">
        <v>23742</v>
      </c>
      <c r="C151">
        <v>1</v>
      </c>
      <c r="D151" t="s">
        <v>23629</v>
      </c>
      <c r="E151" t="s">
        <v>23632</v>
      </c>
    </row>
    <row r="152" spans="1:5" x14ac:dyDescent="0.25">
      <c r="A152" s="130" t="str">
        <f>LEFT(B152,1)</f>
        <v>A</v>
      </c>
      <c r="B152" t="s">
        <v>28344</v>
      </c>
      <c r="C152">
        <v>1</v>
      </c>
      <c r="D152" t="s">
        <v>23629</v>
      </c>
      <c r="E152" t="s">
        <v>23632</v>
      </c>
    </row>
    <row r="153" spans="1:5" x14ac:dyDescent="0.25">
      <c r="A153" s="130" t="str">
        <f>LEFT(B153,1)</f>
        <v>A</v>
      </c>
      <c r="B153" t="s">
        <v>28345</v>
      </c>
      <c r="C153">
        <v>1</v>
      </c>
      <c r="D153" t="s">
        <v>23629</v>
      </c>
      <c r="E153" t="s">
        <v>23632</v>
      </c>
    </row>
    <row r="154" spans="1:5" x14ac:dyDescent="0.25">
      <c r="A154" s="130" t="s">
        <v>17414</v>
      </c>
      <c r="B154" t="s">
        <v>23743</v>
      </c>
      <c r="C154">
        <v>1</v>
      </c>
      <c r="D154" t="s">
        <v>23629</v>
      </c>
      <c r="E154" t="s">
        <v>23632</v>
      </c>
    </row>
    <row r="155" spans="1:5" x14ac:dyDescent="0.25">
      <c r="A155" s="131" t="s">
        <v>17414</v>
      </c>
      <c r="B155" t="s">
        <v>23744</v>
      </c>
      <c r="C155">
        <v>1</v>
      </c>
      <c r="D155" t="s">
        <v>23629</v>
      </c>
      <c r="E155" t="s">
        <v>23632</v>
      </c>
    </row>
    <row r="156" spans="1:5" x14ac:dyDescent="0.25">
      <c r="A156" s="131" t="str">
        <f>LEFT(B156,1)</f>
        <v>A</v>
      </c>
      <c r="B156" t="s">
        <v>24044</v>
      </c>
      <c r="C156">
        <v>1</v>
      </c>
      <c r="D156" t="s">
        <v>23629</v>
      </c>
      <c r="E156" t="s">
        <v>23632</v>
      </c>
    </row>
    <row r="157" spans="1:5" x14ac:dyDescent="0.25">
      <c r="A157" s="130" t="s">
        <v>17414</v>
      </c>
      <c r="B157" t="s">
        <v>23745</v>
      </c>
      <c r="C157">
        <v>1</v>
      </c>
      <c r="D157" t="s">
        <v>23629</v>
      </c>
      <c r="E157" t="s">
        <v>23632</v>
      </c>
    </row>
    <row r="158" spans="1:5" x14ac:dyDescent="0.25">
      <c r="A158" s="130" t="str">
        <f>LEFT(B158,1)</f>
        <v>A</v>
      </c>
      <c r="B158" t="s">
        <v>28679</v>
      </c>
      <c r="C158">
        <v>1</v>
      </c>
      <c r="D158" t="s">
        <v>23629</v>
      </c>
      <c r="E158" t="s">
        <v>23632</v>
      </c>
    </row>
    <row r="159" spans="1:5" x14ac:dyDescent="0.25">
      <c r="A159" s="131" t="s">
        <v>17414</v>
      </c>
      <c r="B159" t="s">
        <v>23746</v>
      </c>
      <c r="C159">
        <v>1</v>
      </c>
      <c r="D159" t="s">
        <v>23629</v>
      </c>
      <c r="E159" t="s">
        <v>23632</v>
      </c>
    </row>
    <row r="160" spans="1:5" x14ac:dyDescent="0.25">
      <c r="A160" s="130" t="s">
        <v>17414</v>
      </c>
      <c r="B160" t="s">
        <v>23747</v>
      </c>
      <c r="C160">
        <v>1</v>
      </c>
      <c r="D160" t="s">
        <v>23629</v>
      </c>
      <c r="E160" t="s">
        <v>23632</v>
      </c>
    </row>
    <row r="161" spans="1:5" x14ac:dyDescent="0.25">
      <c r="A161" s="131" t="str">
        <f>LEFT((B161),1)</f>
        <v>A</v>
      </c>
      <c r="B161" t="s">
        <v>23748</v>
      </c>
      <c r="C161">
        <v>1</v>
      </c>
      <c r="D161" t="s">
        <v>23629</v>
      </c>
      <c r="E161" t="s">
        <v>23632</v>
      </c>
    </row>
    <row r="162" spans="1:5" x14ac:dyDescent="0.25">
      <c r="A162" s="131" t="s">
        <v>17414</v>
      </c>
      <c r="B162" t="s">
        <v>23749</v>
      </c>
      <c r="C162">
        <v>1</v>
      </c>
      <c r="D162" t="s">
        <v>23629</v>
      </c>
      <c r="E162" t="s">
        <v>23632</v>
      </c>
    </row>
    <row r="163" spans="1:5" x14ac:dyDescent="0.25">
      <c r="A163" s="130" t="str">
        <f>LEFT(B163,1)</f>
        <v>A</v>
      </c>
      <c r="B163" t="s">
        <v>24019</v>
      </c>
      <c r="C163">
        <v>1</v>
      </c>
      <c r="D163" t="s">
        <v>23629</v>
      </c>
      <c r="E163" t="s">
        <v>23632</v>
      </c>
    </row>
    <row r="164" spans="1:5" x14ac:dyDescent="0.25">
      <c r="A164" s="130" t="s">
        <v>17414</v>
      </c>
      <c r="B164" t="s">
        <v>23750</v>
      </c>
      <c r="C164">
        <v>1</v>
      </c>
      <c r="D164" t="s">
        <v>23629</v>
      </c>
      <c r="E164" t="s">
        <v>23632</v>
      </c>
    </row>
    <row r="165" spans="1:5" x14ac:dyDescent="0.25">
      <c r="A165" s="130" t="str">
        <f>LEFT(B165,1)</f>
        <v>A</v>
      </c>
      <c r="B165" t="s">
        <v>24045</v>
      </c>
      <c r="C165">
        <v>1</v>
      </c>
      <c r="D165" t="s">
        <v>23629</v>
      </c>
      <c r="E165" t="s">
        <v>23632</v>
      </c>
    </row>
    <row r="166" spans="1:5" x14ac:dyDescent="0.25">
      <c r="A166" s="130" t="str">
        <f>LEFT(B166,1)</f>
        <v>A</v>
      </c>
      <c r="B166" t="s">
        <v>28346</v>
      </c>
      <c r="C166">
        <v>1</v>
      </c>
      <c r="D166" t="s">
        <v>23629</v>
      </c>
      <c r="E166" t="s">
        <v>23632</v>
      </c>
    </row>
    <row r="167" spans="1:5" x14ac:dyDescent="0.25">
      <c r="A167" s="131" t="str">
        <f>LEFT(B167,1)</f>
        <v>A</v>
      </c>
      <c r="B167" t="s">
        <v>24046</v>
      </c>
      <c r="C167">
        <v>1</v>
      </c>
      <c r="D167" t="s">
        <v>23629</v>
      </c>
      <c r="E167" t="s">
        <v>23632</v>
      </c>
    </row>
    <row r="168" spans="1:5" x14ac:dyDescent="0.25">
      <c r="A168" s="130" t="str">
        <f>LEFT(B168,1)</f>
        <v>A</v>
      </c>
      <c r="B168" t="s">
        <v>28347</v>
      </c>
      <c r="C168">
        <v>1</v>
      </c>
      <c r="D168" t="s">
        <v>23629</v>
      </c>
      <c r="E168" t="s">
        <v>23632</v>
      </c>
    </row>
    <row r="169" spans="1:5" x14ac:dyDescent="0.25">
      <c r="A169" s="131" t="s">
        <v>17414</v>
      </c>
      <c r="B169" t="s">
        <v>23751</v>
      </c>
      <c r="C169">
        <v>1</v>
      </c>
      <c r="D169" t="s">
        <v>23629</v>
      </c>
      <c r="E169" t="s">
        <v>23632</v>
      </c>
    </row>
    <row r="170" spans="1:5" x14ac:dyDescent="0.25">
      <c r="A170" s="131" t="s">
        <v>17414</v>
      </c>
      <c r="B170" t="s">
        <v>23752</v>
      </c>
      <c r="C170">
        <v>1</v>
      </c>
      <c r="D170" t="s">
        <v>23629</v>
      </c>
      <c r="E170" t="s">
        <v>23632</v>
      </c>
    </row>
    <row r="171" spans="1:5" x14ac:dyDescent="0.25">
      <c r="A171" s="131" t="s">
        <v>17414</v>
      </c>
      <c r="B171" t="s">
        <v>23753</v>
      </c>
      <c r="C171">
        <v>1</v>
      </c>
      <c r="D171" t="s">
        <v>23629</v>
      </c>
      <c r="E171" t="s">
        <v>23632</v>
      </c>
    </row>
    <row r="172" spans="1:5" x14ac:dyDescent="0.25">
      <c r="A172" s="130" t="str">
        <f>LEFT(B172,1)</f>
        <v>A</v>
      </c>
      <c r="B172" t="s">
        <v>28348</v>
      </c>
      <c r="C172">
        <v>1</v>
      </c>
      <c r="D172" t="s">
        <v>23629</v>
      </c>
      <c r="E172" t="s">
        <v>23632</v>
      </c>
    </row>
    <row r="173" spans="1:5" x14ac:dyDescent="0.25">
      <c r="A173" s="131" t="s">
        <v>17414</v>
      </c>
      <c r="B173" t="s">
        <v>23754</v>
      </c>
      <c r="C173">
        <v>1</v>
      </c>
      <c r="D173" t="s">
        <v>23629</v>
      </c>
      <c r="E173" t="s">
        <v>23632</v>
      </c>
    </row>
    <row r="174" spans="1:5" x14ac:dyDescent="0.25">
      <c r="A174" s="130" t="s">
        <v>17414</v>
      </c>
      <c r="B174" t="s">
        <v>23755</v>
      </c>
      <c r="C174">
        <v>1</v>
      </c>
      <c r="D174" t="s">
        <v>23629</v>
      </c>
      <c r="E174" t="s">
        <v>23632</v>
      </c>
    </row>
    <row r="175" spans="1:5" x14ac:dyDescent="0.25">
      <c r="A175" s="130" t="s">
        <v>17414</v>
      </c>
      <c r="B175" t="s">
        <v>23756</v>
      </c>
      <c r="C175">
        <v>1</v>
      </c>
      <c r="D175" t="s">
        <v>23629</v>
      </c>
      <c r="E175" t="s">
        <v>23632</v>
      </c>
    </row>
    <row r="176" spans="1:5" x14ac:dyDescent="0.25">
      <c r="A176" s="131" t="s">
        <v>17414</v>
      </c>
      <c r="B176" t="s">
        <v>23757</v>
      </c>
      <c r="C176">
        <v>1</v>
      </c>
      <c r="D176" t="s">
        <v>23629</v>
      </c>
      <c r="E176" t="s">
        <v>23632</v>
      </c>
    </row>
    <row r="177" spans="1:5" x14ac:dyDescent="0.25">
      <c r="A177" s="131" t="s">
        <v>17414</v>
      </c>
      <c r="B177" t="s">
        <v>23758</v>
      </c>
      <c r="C177">
        <v>1</v>
      </c>
      <c r="D177" t="s">
        <v>23629</v>
      </c>
      <c r="E177" t="s">
        <v>23632</v>
      </c>
    </row>
    <row r="178" spans="1:5" x14ac:dyDescent="0.25">
      <c r="A178" s="130" t="s">
        <v>17414</v>
      </c>
      <c r="B178" t="s">
        <v>23759</v>
      </c>
      <c r="C178">
        <v>1</v>
      </c>
      <c r="D178" t="s">
        <v>23629</v>
      </c>
      <c r="E178" t="s">
        <v>23632</v>
      </c>
    </row>
    <row r="179" spans="1:5" x14ac:dyDescent="0.25">
      <c r="A179" s="131" t="s">
        <v>17414</v>
      </c>
      <c r="B179" t="s">
        <v>23760</v>
      </c>
      <c r="C179">
        <v>1</v>
      </c>
      <c r="D179" t="s">
        <v>23629</v>
      </c>
      <c r="E179" t="s">
        <v>23632</v>
      </c>
    </row>
    <row r="180" spans="1:5" x14ac:dyDescent="0.25">
      <c r="A180" s="130" t="str">
        <f>LEFT((B180),1)</f>
        <v>A</v>
      </c>
      <c r="B180" t="s">
        <v>23761</v>
      </c>
      <c r="C180">
        <v>1</v>
      </c>
      <c r="D180" t="s">
        <v>23629</v>
      </c>
      <c r="E180" t="s">
        <v>23632</v>
      </c>
    </row>
    <row r="181" spans="1:5" x14ac:dyDescent="0.25">
      <c r="A181" s="130" t="s">
        <v>17414</v>
      </c>
      <c r="B181" t="s">
        <v>23762</v>
      </c>
      <c r="C181">
        <v>1</v>
      </c>
      <c r="D181" t="s">
        <v>23629</v>
      </c>
      <c r="E181" t="s">
        <v>23632</v>
      </c>
    </row>
    <row r="182" spans="1:5" x14ac:dyDescent="0.25">
      <c r="A182" s="131" t="str">
        <f>LEFT((B182),1)</f>
        <v>A</v>
      </c>
      <c r="B182" t="s">
        <v>23763</v>
      </c>
      <c r="C182">
        <v>1</v>
      </c>
      <c r="D182" t="s">
        <v>23629</v>
      </c>
      <c r="E182" t="s">
        <v>23632</v>
      </c>
    </row>
    <row r="183" spans="1:5" x14ac:dyDescent="0.25">
      <c r="A183" s="131" t="str">
        <f>LEFT(B183,1)</f>
        <v>A</v>
      </c>
      <c r="B183" t="s">
        <v>24000</v>
      </c>
      <c r="C183">
        <v>1</v>
      </c>
      <c r="D183" t="s">
        <v>23629</v>
      </c>
      <c r="E183" t="s">
        <v>23632</v>
      </c>
    </row>
    <row r="184" spans="1:5" x14ac:dyDescent="0.25">
      <c r="A184" s="130" t="str">
        <f>LEFT(B184,1)</f>
        <v>A</v>
      </c>
      <c r="B184" t="s">
        <v>24047</v>
      </c>
      <c r="C184">
        <v>1</v>
      </c>
      <c r="D184" t="s">
        <v>23629</v>
      </c>
      <c r="E184" t="s">
        <v>23632</v>
      </c>
    </row>
    <row r="185" spans="1:5" x14ac:dyDescent="0.25">
      <c r="A185" s="130" t="s">
        <v>17414</v>
      </c>
      <c r="B185" t="s">
        <v>23764</v>
      </c>
      <c r="C185">
        <v>1</v>
      </c>
      <c r="D185" t="s">
        <v>23629</v>
      </c>
      <c r="E185" t="s">
        <v>23632</v>
      </c>
    </row>
    <row r="186" spans="1:5" x14ac:dyDescent="0.25">
      <c r="A186" s="130" t="str">
        <f>LEFT(B186,1)</f>
        <v>A</v>
      </c>
      <c r="B186" t="s">
        <v>28349</v>
      </c>
      <c r="C186">
        <v>1</v>
      </c>
      <c r="D186" t="s">
        <v>23629</v>
      </c>
      <c r="E186" t="s">
        <v>23632</v>
      </c>
    </row>
    <row r="187" spans="1:5" x14ac:dyDescent="0.25">
      <c r="A187" s="130" t="s">
        <v>17414</v>
      </c>
      <c r="B187" t="s">
        <v>23765</v>
      </c>
      <c r="C187">
        <v>1</v>
      </c>
      <c r="D187" t="s">
        <v>23629</v>
      </c>
      <c r="E187" t="s">
        <v>23632</v>
      </c>
    </row>
    <row r="188" spans="1:5" x14ac:dyDescent="0.25">
      <c r="A188" s="130" t="s">
        <v>17414</v>
      </c>
      <c r="B188" t="s">
        <v>23766</v>
      </c>
      <c r="C188">
        <v>1</v>
      </c>
      <c r="D188" t="s">
        <v>23629</v>
      </c>
      <c r="E188" t="s">
        <v>23632</v>
      </c>
    </row>
    <row r="189" spans="1:5" x14ac:dyDescent="0.25">
      <c r="A189" s="130" t="s">
        <v>17414</v>
      </c>
      <c r="B189" t="s">
        <v>23767</v>
      </c>
      <c r="C189">
        <v>1</v>
      </c>
      <c r="D189" t="s">
        <v>23629</v>
      </c>
      <c r="E189" t="s">
        <v>23632</v>
      </c>
    </row>
    <row r="190" spans="1:5" x14ac:dyDescent="0.25">
      <c r="A190" s="131" t="str">
        <f>LEFT(B190,1)</f>
        <v>A</v>
      </c>
      <c r="B190" t="s">
        <v>24048</v>
      </c>
      <c r="C190">
        <v>1</v>
      </c>
      <c r="D190" t="s">
        <v>23629</v>
      </c>
      <c r="E190" t="s">
        <v>23632</v>
      </c>
    </row>
    <row r="191" spans="1:5" x14ac:dyDescent="0.25">
      <c r="A191" s="130" t="s">
        <v>17414</v>
      </c>
      <c r="B191" t="s">
        <v>23768</v>
      </c>
      <c r="C191">
        <v>1</v>
      </c>
      <c r="D191" t="s">
        <v>23629</v>
      </c>
      <c r="E191" t="s">
        <v>23632</v>
      </c>
    </row>
    <row r="192" spans="1:5" x14ac:dyDescent="0.25">
      <c r="A192" s="131" t="s">
        <v>17414</v>
      </c>
      <c r="B192" t="s">
        <v>23769</v>
      </c>
      <c r="C192">
        <v>1</v>
      </c>
      <c r="D192" t="s">
        <v>23629</v>
      </c>
      <c r="E192" t="s">
        <v>23632</v>
      </c>
    </row>
    <row r="193" spans="1:5" x14ac:dyDescent="0.25">
      <c r="A193" s="131" t="s">
        <v>17414</v>
      </c>
      <c r="B193" t="s">
        <v>23770</v>
      </c>
      <c r="C193">
        <v>1</v>
      </c>
      <c r="D193" t="s">
        <v>23629</v>
      </c>
      <c r="E193" t="s">
        <v>23632</v>
      </c>
    </row>
    <row r="194" spans="1:5" x14ac:dyDescent="0.25">
      <c r="A194" s="131" t="s">
        <v>17414</v>
      </c>
      <c r="B194" t="s">
        <v>23771</v>
      </c>
      <c r="C194">
        <v>1</v>
      </c>
      <c r="D194" t="s">
        <v>23629</v>
      </c>
      <c r="E194" t="s">
        <v>23632</v>
      </c>
    </row>
    <row r="195" spans="1:5" x14ac:dyDescent="0.25">
      <c r="A195" s="130" t="s">
        <v>17414</v>
      </c>
      <c r="B195" t="s">
        <v>23772</v>
      </c>
      <c r="C195">
        <v>1</v>
      </c>
      <c r="D195" t="s">
        <v>23629</v>
      </c>
      <c r="E195" t="s">
        <v>23632</v>
      </c>
    </row>
    <row r="196" spans="1:5" x14ac:dyDescent="0.25">
      <c r="A196" s="130" t="s">
        <v>17414</v>
      </c>
      <c r="B196" t="s">
        <v>23773</v>
      </c>
      <c r="C196">
        <v>1</v>
      </c>
      <c r="D196" t="s">
        <v>23629</v>
      </c>
      <c r="E196" t="s">
        <v>23632</v>
      </c>
    </row>
    <row r="197" spans="1:5" x14ac:dyDescent="0.25">
      <c r="A197" s="131" t="s">
        <v>17414</v>
      </c>
      <c r="B197" t="s">
        <v>23774</v>
      </c>
      <c r="C197">
        <v>1</v>
      </c>
      <c r="D197" t="s">
        <v>23629</v>
      </c>
      <c r="E197" t="s">
        <v>23632</v>
      </c>
    </row>
    <row r="198" spans="1:5" x14ac:dyDescent="0.25">
      <c r="A198" s="130" t="s">
        <v>17414</v>
      </c>
      <c r="B198" t="s">
        <v>23775</v>
      </c>
      <c r="C198">
        <v>1</v>
      </c>
      <c r="D198" t="s">
        <v>23629</v>
      </c>
      <c r="E198" t="s">
        <v>23632</v>
      </c>
    </row>
    <row r="199" spans="1:5" x14ac:dyDescent="0.25">
      <c r="A199" s="131" t="s">
        <v>17414</v>
      </c>
      <c r="B199" t="s">
        <v>23776</v>
      </c>
      <c r="C199">
        <v>1</v>
      </c>
      <c r="D199" t="s">
        <v>23629</v>
      </c>
      <c r="E199" t="s">
        <v>23632</v>
      </c>
    </row>
    <row r="200" spans="1:5" x14ac:dyDescent="0.25">
      <c r="A200" s="130" t="str">
        <f>LEFT(B200,1)</f>
        <v>A</v>
      </c>
      <c r="B200" t="s">
        <v>24049</v>
      </c>
      <c r="C200">
        <v>1</v>
      </c>
      <c r="D200" t="s">
        <v>23629</v>
      </c>
      <c r="E200" t="s">
        <v>23632</v>
      </c>
    </row>
    <row r="201" spans="1:5" x14ac:dyDescent="0.25">
      <c r="A201" s="130" t="s">
        <v>17414</v>
      </c>
      <c r="B201" t="s">
        <v>23777</v>
      </c>
      <c r="C201">
        <v>1</v>
      </c>
      <c r="D201" t="s">
        <v>23629</v>
      </c>
      <c r="E201" t="s">
        <v>23632</v>
      </c>
    </row>
    <row r="202" spans="1:5" x14ac:dyDescent="0.25">
      <c r="A202" s="131" t="s">
        <v>17414</v>
      </c>
      <c r="B202" t="s">
        <v>23778</v>
      </c>
      <c r="C202">
        <v>1</v>
      </c>
      <c r="D202" t="s">
        <v>23629</v>
      </c>
      <c r="E202" t="s">
        <v>23632</v>
      </c>
    </row>
    <row r="203" spans="1:5" x14ac:dyDescent="0.25">
      <c r="A203" s="130" t="str">
        <f>LEFT((B203),1)</f>
        <v>A</v>
      </c>
      <c r="B203" t="s">
        <v>23779</v>
      </c>
      <c r="C203">
        <v>1</v>
      </c>
      <c r="D203" t="s">
        <v>23629</v>
      </c>
      <c r="E203" t="s">
        <v>23632</v>
      </c>
    </row>
    <row r="204" spans="1:5" x14ac:dyDescent="0.25">
      <c r="A204" s="131" t="s">
        <v>17414</v>
      </c>
      <c r="B204" t="s">
        <v>23780</v>
      </c>
      <c r="C204">
        <v>1</v>
      </c>
      <c r="D204" t="s">
        <v>23629</v>
      </c>
      <c r="E204" t="s">
        <v>23632</v>
      </c>
    </row>
    <row r="205" spans="1:5" x14ac:dyDescent="0.25">
      <c r="A205" s="130" t="s">
        <v>17414</v>
      </c>
      <c r="B205" t="s">
        <v>23781</v>
      </c>
      <c r="C205">
        <v>1</v>
      </c>
      <c r="D205" t="s">
        <v>23629</v>
      </c>
      <c r="E205" t="s">
        <v>23632</v>
      </c>
    </row>
    <row r="206" spans="1:5" x14ac:dyDescent="0.25">
      <c r="A206" s="130" t="str">
        <f>LEFT(B206,1)</f>
        <v>A</v>
      </c>
      <c r="B206" t="s">
        <v>29191</v>
      </c>
      <c r="C206">
        <v>1</v>
      </c>
      <c r="D206" t="s">
        <v>23629</v>
      </c>
      <c r="E206" t="s">
        <v>23632</v>
      </c>
    </row>
    <row r="207" spans="1:5" x14ac:dyDescent="0.25">
      <c r="A207" s="130" t="s">
        <v>17414</v>
      </c>
      <c r="B207" t="s">
        <v>23782</v>
      </c>
      <c r="C207">
        <v>1</v>
      </c>
      <c r="D207" t="s">
        <v>23629</v>
      </c>
      <c r="E207" t="s">
        <v>23632</v>
      </c>
    </row>
    <row r="208" spans="1:5" x14ac:dyDescent="0.25">
      <c r="A208" s="131" t="str">
        <f>LEFT((B208),1)</f>
        <v>A</v>
      </c>
      <c r="B208" t="s">
        <v>23783</v>
      </c>
      <c r="C208">
        <v>1</v>
      </c>
      <c r="D208" t="s">
        <v>23629</v>
      </c>
      <c r="E208" t="s">
        <v>23632</v>
      </c>
    </row>
    <row r="209" spans="1:5" x14ac:dyDescent="0.25">
      <c r="A209" s="131" t="s">
        <v>17414</v>
      </c>
      <c r="B209" t="s">
        <v>23784</v>
      </c>
      <c r="C209">
        <v>1</v>
      </c>
      <c r="D209" t="s">
        <v>23629</v>
      </c>
      <c r="E209" t="s">
        <v>23632</v>
      </c>
    </row>
    <row r="210" spans="1:5" x14ac:dyDescent="0.25">
      <c r="A210" s="130" t="str">
        <f>LEFT(B210,1)</f>
        <v>A</v>
      </c>
      <c r="B210" t="s">
        <v>24020</v>
      </c>
      <c r="C210">
        <v>1</v>
      </c>
      <c r="D210" t="s">
        <v>23629</v>
      </c>
      <c r="E210" t="s">
        <v>23632</v>
      </c>
    </row>
    <row r="211" spans="1:5" x14ac:dyDescent="0.25">
      <c r="A211" s="131" t="s">
        <v>17414</v>
      </c>
      <c r="B211" t="s">
        <v>23785</v>
      </c>
      <c r="C211">
        <v>1</v>
      </c>
      <c r="D211" t="s">
        <v>23629</v>
      </c>
      <c r="E211" t="s">
        <v>23632</v>
      </c>
    </row>
    <row r="212" spans="1:5" x14ac:dyDescent="0.25">
      <c r="A212" s="130" t="str">
        <f>LEFT(B212,1)</f>
        <v>A</v>
      </c>
      <c r="B212" t="s">
        <v>28946</v>
      </c>
      <c r="C212">
        <v>1</v>
      </c>
      <c r="D212" t="s">
        <v>23629</v>
      </c>
      <c r="E212" t="s">
        <v>23632</v>
      </c>
    </row>
    <row r="213" spans="1:5" x14ac:dyDescent="0.25">
      <c r="A213" s="131" t="s">
        <v>17414</v>
      </c>
      <c r="B213" t="s">
        <v>23786</v>
      </c>
      <c r="C213">
        <v>1</v>
      </c>
      <c r="D213" t="s">
        <v>23629</v>
      </c>
      <c r="E213" t="s">
        <v>23632</v>
      </c>
    </row>
    <row r="214" spans="1:5" x14ac:dyDescent="0.25">
      <c r="A214" s="130" t="s">
        <v>17414</v>
      </c>
      <c r="B214" t="s">
        <v>23787</v>
      </c>
      <c r="C214">
        <v>1</v>
      </c>
      <c r="D214" t="s">
        <v>23629</v>
      </c>
      <c r="E214" t="s">
        <v>23632</v>
      </c>
    </row>
    <row r="215" spans="1:5" x14ac:dyDescent="0.25">
      <c r="A215" s="130" t="s">
        <v>17414</v>
      </c>
      <c r="B215" t="s">
        <v>23788</v>
      </c>
      <c r="C215">
        <v>1</v>
      </c>
      <c r="D215" t="s">
        <v>23629</v>
      </c>
      <c r="E215" t="s">
        <v>23632</v>
      </c>
    </row>
    <row r="216" spans="1:5" x14ac:dyDescent="0.25">
      <c r="A216" s="131" t="s">
        <v>17414</v>
      </c>
      <c r="B216" t="s">
        <v>23789</v>
      </c>
      <c r="C216">
        <v>1</v>
      </c>
      <c r="D216" t="s">
        <v>23629</v>
      </c>
      <c r="E216" t="s">
        <v>23632</v>
      </c>
    </row>
    <row r="217" spans="1:5" x14ac:dyDescent="0.25">
      <c r="A217" s="130" t="str">
        <f>LEFT(B217,1)</f>
        <v>A</v>
      </c>
      <c r="B217" t="s">
        <v>24001</v>
      </c>
      <c r="C217">
        <v>1</v>
      </c>
      <c r="D217" t="s">
        <v>23629</v>
      </c>
      <c r="E217" t="s">
        <v>23632</v>
      </c>
    </row>
    <row r="218" spans="1:5" x14ac:dyDescent="0.25">
      <c r="A218" s="131" t="str">
        <f>LEFT(B218,1)</f>
        <v>A</v>
      </c>
      <c r="B218" t="s">
        <v>24002</v>
      </c>
      <c r="C218">
        <v>1</v>
      </c>
      <c r="D218" t="s">
        <v>23629</v>
      </c>
      <c r="E218" t="s">
        <v>23632</v>
      </c>
    </row>
    <row r="219" spans="1:5" x14ac:dyDescent="0.25">
      <c r="A219" s="130" t="s">
        <v>17414</v>
      </c>
      <c r="B219" t="s">
        <v>23790</v>
      </c>
      <c r="C219">
        <v>1</v>
      </c>
      <c r="D219" t="s">
        <v>23629</v>
      </c>
      <c r="E219" t="s">
        <v>23632</v>
      </c>
    </row>
    <row r="220" spans="1:5" x14ac:dyDescent="0.25">
      <c r="A220" s="130" t="s">
        <v>17414</v>
      </c>
      <c r="B220" t="s">
        <v>23791</v>
      </c>
      <c r="C220">
        <v>1</v>
      </c>
      <c r="D220" t="s">
        <v>23629</v>
      </c>
      <c r="E220" t="s">
        <v>23632</v>
      </c>
    </row>
    <row r="221" spans="1:5" x14ac:dyDescent="0.25">
      <c r="A221" s="131" t="s">
        <v>17414</v>
      </c>
      <c r="B221" t="s">
        <v>23792</v>
      </c>
      <c r="C221">
        <v>1</v>
      </c>
      <c r="D221" t="s">
        <v>23629</v>
      </c>
      <c r="E221" t="s">
        <v>23632</v>
      </c>
    </row>
    <row r="222" spans="1:5" x14ac:dyDescent="0.25">
      <c r="A222" s="130" t="str">
        <f>LEFT(B222,1)</f>
        <v>A</v>
      </c>
      <c r="B222" t="s">
        <v>28680</v>
      </c>
      <c r="C222">
        <v>1</v>
      </c>
      <c r="D222" t="s">
        <v>23629</v>
      </c>
      <c r="E222" t="s">
        <v>23632</v>
      </c>
    </row>
    <row r="223" spans="1:5" x14ac:dyDescent="0.25">
      <c r="A223" s="130" t="s">
        <v>17414</v>
      </c>
      <c r="B223" t="s">
        <v>23793</v>
      </c>
      <c r="C223">
        <v>1</v>
      </c>
      <c r="D223" t="s">
        <v>23629</v>
      </c>
      <c r="E223" t="s">
        <v>23632</v>
      </c>
    </row>
    <row r="224" spans="1:5" x14ac:dyDescent="0.25">
      <c r="A224" s="131" t="s">
        <v>17414</v>
      </c>
      <c r="B224" t="s">
        <v>23794</v>
      </c>
      <c r="C224">
        <v>1</v>
      </c>
      <c r="D224" t="s">
        <v>23629</v>
      </c>
      <c r="E224" t="s">
        <v>23632</v>
      </c>
    </row>
    <row r="225" spans="1:5" x14ac:dyDescent="0.25">
      <c r="A225" s="130" t="str">
        <f>LEFT(B225,1)</f>
        <v>A</v>
      </c>
      <c r="B225" t="s">
        <v>24003</v>
      </c>
      <c r="C225">
        <v>1</v>
      </c>
      <c r="D225" t="s">
        <v>23629</v>
      </c>
      <c r="E225" t="s">
        <v>23632</v>
      </c>
    </row>
    <row r="226" spans="1:5" x14ac:dyDescent="0.25">
      <c r="A226" s="130" t="str">
        <f>LEFT(B226,1)</f>
        <v>A</v>
      </c>
      <c r="B226" t="s">
        <v>28350</v>
      </c>
      <c r="C226">
        <v>1</v>
      </c>
      <c r="D226" t="s">
        <v>23629</v>
      </c>
      <c r="E226" t="s">
        <v>23632</v>
      </c>
    </row>
    <row r="227" spans="1:5" x14ac:dyDescent="0.25">
      <c r="A227" s="131" t="s">
        <v>17414</v>
      </c>
      <c r="B227" t="s">
        <v>23795</v>
      </c>
      <c r="C227">
        <v>1</v>
      </c>
      <c r="D227" t="s">
        <v>23629</v>
      </c>
      <c r="E227" t="s">
        <v>23632</v>
      </c>
    </row>
    <row r="228" spans="1:5" x14ac:dyDescent="0.25">
      <c r="A228" s="130" t="s">
        <v>17414</v>
      </c>
      <c r="B228" t="s">
        <v>23796</v>
      </c>
      <c r="C228">
        <v>1</v>
      </c>
      <c r="D228" t="s">
        <v>23629</v>
      </c>
      <c r="E228" t="s">
        <v>23632</v>
      </c>
    </row>
    <row r="229" spans="1:5" x14ac:dyDescent="0.25">
      <c r="A229" s="131" t="s">
        <v>17414</v>
      </c>
      <c r="B229" t="s">
        <v>23797</v>
      </c>
      <c r="C229">
        <v>1</v>
      </c>
      <c r="D229" t="s">
        <v>23629</v>
      </c>
      <c r="E229" t="s">
        <v>23632</v>
      </c>
    </row>
    <row r="230" spans="1:5" x14ac:dyDescent="0.25">
      <c r="A230" s="131" t="str">
        <f>LEFT(B230,1)</f>
        <v>A</v>
      </c>
      <c r="B230" t="s">
        <v>24004</v>
      </c>
      <c r="C230">
        <v>1</v>
      </c>
      <c r="D230" t="s">
        <v>23629</v>
      </c>
      <c r="E230" t="s">
        <v>23632</v>
      </c>
    </row>
    <row r="231" spans="1:5" x14ac:dyDescent="0.25">
      <c r="A231" s="131" t="s">
        <v>17414</v>
      </c>
      <c r="B231" t="s">
        <v>23798</v>
      </c>
      <c r="C231">
        <v>1</v>
      </c>
      <c r="D231" t="s">
        <v>23629</v>
      </c>
      <c r="E231" t="s">
        <v>23632</v>
      </c>
    </row>
    <row r="232" spans="1:5" x14ac:dyDescent="0.25">
      <c r="A232" s="130" t="str">
        <f>LEFT(B232,1)</f>
        <v>A</v>
      </c>
      <c r="B232" t="s">
        <v>28351</v>
      </c>
      <c r="C232">
        <v>1</v>
      </c>
      <c r="D232" t="s">
        <v>23629</v>
      </c>
      <c r="E232" t="s">
        <v>23632</v>
      </c>
    </row>
    <row r="233" spans="1:5" x14ac:dyDescent="0.25">
      <c r="A233" s="131" t="s">
        <v>17414</v>
      </c>
      <c r="B233" t="s">
        <v>23799</v>
      </c>
      <c r="C233">
        <v>1</v>
      </c>
      <c r="D233" t="s">
        <v>23629</v>
      </c>
      <c r="E233" t="s">
        <v>23632</v>
      </c>
    </row>
    <row r="234" spans="1:5" x14ac:dyDescent="0.25">
      <c r="A234" s="131" t="s">
        <v>17414</v>
      </c>
      <c r="B234" t="s">
        <v>23800</v>
      </c>
      <c r="C234">
        <v>1</v>
      </c>
      <c r="D234" t="s">
        <v>23629</v>
      </c>
      <c r="E234" t="s">
        <v>23632</v>
      </c>
    </row>
    <row r="235" spans="1:5" x14ac:dyDescent="0.25">
      <c r="A235" s="130" t="s">
        <v>17414</v>
      </c>
      <c r="B235" t="s">
        <v>23801</v>
      </c>
      <c r="C235">
        <v>1</v>
      </c>
      <c r="D235" t="s">
        <v>23629</v>
      </c>
      <c r="E235" t="s">
        <v>23632</v>
      </c>
    </row>
    <row r="236" spans="1:5" x14ac:dyDescent="0.25">
      <c r="A236" s="131" t="str">
        <f>LEFT(B236,1)</f>
        <v>A</v>
      </c>
      <c r="B236" t="s">
        <v>24050</v>
      </c>
      <c r="C236">
        <v>1</v>
      </c>
      <c r="D236" t="s">
        <v>23629</v>
      </c>
      <c r="E236" t="s">
        <v>23632</v>
      </c>
    </row>
    <row r="237" spans="1:5" x14ac:dyDescent="0.25">
      <c r="A237" s="131" t="s">
        <v>17414</v>
      </c>
      <c r="B237" t="s">
        <v>23802</v>
      </c>
      <c r="C237">
        <v>1</v>
      </c>
      <c r="D237" t="s">
        <v>23629</v>
      </c>
      <c r="E237" t="s">
        <v>23632</v>
      </c>
    </row>
    <row r="238" spans="1:5" x14ac:dyDescent="0.25">
      <c r="A238" s="130" t="str">
        <f>LEFT(B238,1)</f>
        <v>A</v>
      </c>
      <c r="B238" t="s">
        <v>28352</v>
      </c>
      <c r="C238">
        <v>1</v>
      </c>
      <c r="D238" t="s">
        <v>23629</v>
      </c>
      <c r="E238" t="s">
        <v>23632</v>
      </c>
    </row>
    <row r="239" spans="1:5" x14ac:dyDescent="0.25">
      <c r="A239" s="130" t="str">
        <f>LEFT(B239,1)</f>
        <v>A</v>
      </c>
      <c r="B239" t="s">
        <v>28353</v>
      </c>
      <c r="C239">
        <v>1</v>
      </c>
      <c r="D239" t="s">
        <v>23629</v>
      </c>
      <c r="E239" t="s">
        <v>23632</v>
      </c>
    </row>
    <row r="240" spans="1:5" x14ac:dyDescent="0.25">
      <c r="A240" s="130" t="s">
        <v>17414</v>
      </c>
      <c r="B240" t="s">
        <v>23803</v>
      </c>
      <c r="C240">
        <v>1</v>
      </c>
      <c r="D240" t="s">
        <v>23629</v>
      </c>
      <c r="E240" t="s">
        <v>23632</v>
      </c>
    </row>
    <row r="241" spans="1:5" x14ac:dyDescent="0.25">
      <c r="A241" s="130" t="str">
        <f>LEFT(B241,1)</f>
        <v>A</v>
      </c>
      <c r="B241" t="s">
        <v>24021</v>
      </c>
      <c r="C241">
        <v>1</v>
      </c>
      <c r="D241" t="s">
        <v>23629</v>
      </c>
      <c r="E241" t="s">
        <v>23632</v>
      </c>
    </row>
    <row r="242" spans="1:5" x14ac:dyDescent="0.25">
      <c r="A242" s="130" t="s">
        <v>17414</v>
      </c>
      <c r="B242" t="s">
        <v>23804</v>
      </c>
      <c r="C242">
        <v>1</v>
      </c>
      <c r="D242" t="s">
        <v>23629</v>
      </c>
      <c r="E242" t="s">
        <v>23632</v>
      </c>
    </row>
    <row r="243" spans="1:5" x14ac:dyDescent="0.25">
      <c r="A243" s="130" t="s">
        <v>17414</v>
      </c>
      <c r="B243" t="s">
        <v>23805</v>
      </c>
      <c r="C243">
        <v>1</v>
      </c>
      <c r="D243" t="s">
        <v>23629</v>
      </c>
      <c r="E243" t="s">
        <v>23632</v>
      </c>
    </row>
    <row r="244" spans="1:5" x14ac:dyDescent="0.25">
      <c r="A244" s="130" t="str">
        <f>LEFT(B244,1)</f>
        <v>A</v>
      </c>
      <c r="B244" t="s">
        <v>24005</v>
      </c>
      <c r="C244">
        <v>1</v>
      </c>
      <c r="D244" t="s">
        <v>23629</v>
      </c>
      <c r="E244" t="s">
        <v>23632</v>
      </c>
    </row>
    <row r="245" spans="1:5" x14ac:dyDescent="0.25">
      <c r="A245" s="131" t="s">
        <v>17414</v>
      </c>
      <c r="B245" t="s">
        <v>23806</v>
      </c>
      <c r="C245">
        <v>1</v>
      </c>
      <c r="D245" t="s">
        <v>23629</v>
      </c>
      <c r="E245" t="s">
        <v>23632</v>
      </c>
    </row>
    <row r="246" spans="1:5" x14ac:dyDescent="0.25">
      <c r="A246" s="130" t="str">
        <f>LEFT(B246,1)</f>
        <v>A</v>
      </c>
      <c r="B246" t="s">
        <v>24051</v>
      </c>
      <c r="C246">
        <v>1</v>
      </c>
      <c r="D246" t="s">
        <v>23629</v>
      </c>
      <c r="E246" t="s">
        <v>23632</v>
      </c>
    </row>
    <row r="247" spans="1:5" x14ac:dyDescent="0.25">
      <c r="A247" s="130" t="s">
        <v>17414</v>
      </c>
      <c r="B247" t="s">
        <v>23807</v>
      </c>
      <c r="C247">
        <v>1</v>
      </c>
      <c r="D247" t="s">
        <v>23629</v>
      </c>
      <c r="E247" t="s">
        <v>23632</v>
      </c>
    </row>
    <row r="248" spans="1:5" x14ac:dyDescent="0.25">
      <c r="A248" s="130" t="str">
        <f>LEFT(B248,1)</f>
        <v>A</v>
      </c>
      <c r="B248" t="s">
        <v>28354</v>
      </c>
      <c r="C248">
        <v>1</v>
      </c>
      <c r="D248" t="s">
        <v>23629</v>
      </c>
      <c r="E248" t="s">
        <v>23632</v>
      </c>
    </row>
    <row r="249" spans="1:5" x14ac:dyDescent="0.25">
      <c r="A249" s="131" t="s">
        <v>17414</v>
      </c>
      <c r="B249" t="s">
        <v>23808</v>
      </c>
      <c r="C249">
        <v>1</v>
      </c>
      <c r="D249" t="s">
        <v>23629</v>
      </c>
      <c r="E249" t="s">
        <v>23632</v>
      </c>
    </row>
    <row r="250" spans="1:5" x14ac:dyDescent="0.25">
      <c r="A250" s="130" t="s">
        <v>17414</v>
      </c>
      <c r="B250" t="s">
        <v>23809</v>
      </c>
      <c r="C250">
        <v>1</v>
      </c>
      <c r="D250" t="s">
        <v>23629</v>
      </c>
      <c r="E250" t="s">
        <v>23632</v>
      </c>
    </row>
    <row r="251" spans="1:5" x14ac:dyDescent="0.25">
      <c r="A251" s="130" t="s">
        <v>17414</v>
      </c>
      <c r="B251" t="s">
        <v>23810</v>
      </c>
      <c r="C251">
        <v>1</v>
      </c>
      <c r="D251" t="s">
        <v>23629</v>
      </c>
      <c r="E251" t="s">
        <v>23632</v>
      </c>
    </row>
    <row r="252" spans="1:5" x14ac:dyDescent="0.25">
      <c r="A252" s="130" t="str">
        <f>LEFT(B252,1)</f>
        <v>A</v>
      </c>
      <c r="B252" t="s">
        <v>24022</v>
      </c>
      <c r="C252">
        <v>1</v>
      </c>
      <c r="D252" t="s">
        <v>23629</v>
      </c>
      <c r="E252" t="s">
        <v>23632</v>
      </c>
    </row>
    <row r="253" spans="1:5" x14ac:dyDescent="0.25">
      <c r="A253" s="130" t="str">
        <f>LEFT((B253),1)</f>
        <v>A</v>
      </c>
      <c r="B253" t="s">
        <v>23811</v>
      </c>
      <c r="C253">
        <v>1</v>
      </c>
      <c r="D253" t="s">
        <v>23629</v>
      </c>
      <c r="E253" t="s">
        <v>23632</v>
      </c>
    </row>
    <row r="254" spans="1:5" x14ac:dyDescent="0.25">
      <c r="A254" s="131" t="str">
        <f>LEFT((B254),1)</f>
        <v>A</v>
      </c>
      <c r="B254" t="s">
        <v>23812</v>
      </c>
      <c r="C254">
        <v>1</v>
      </c>
      <c r="D254" t="s">
        <v>23629</v>
      </c>
      <c r="E254" t="s">
        <v>23632</v>
      </c>
    </row>
    <row r="255" spans="1:5" x14ac:dyDescent="0.25">
      <c r="A255" s="130" t="s">
        <v>17414</v>
      </c>
      <c r="B255" t="s">
        <v>23813</v>
      </c>
      <c r="C255">
        <v>1</v>
      </c>
      <c r="D255" t="s">
        <v>23629</v>
      </c>
      <c r="E255" t="s">
        <v>23632</v>
      </c>
    </row>
    <row r="256" spans="1:5" x14ac:dyDescent="0.25">
      <c r="A256" s="131" t="s">
        <v>17414</v>
      </c>
      <c r="B256" t="s">
        <v>23814</v>
      </c>
      <c r="C256">
        <v>1</v>
      </c>
      <c r="D256" t="s">
        <v>23629</v>
      </c>
      <c r="E256" t="s">
        <v>23632</v>
      </c>
    </row>
    <row r="257" spans="1:5" x14ac:dyDescent="0.25">
      <c r="A257" s="130" t="s">
        <v>17414</v>
      </c>
      <c r="B257" t="s">
        <v>23815</v>
      </c>
      <c r="C257">
        <v>1</v>
      </c>
      <c r="D257" t="s">
        <v>23629</v>
      </c>
      <c r="E257" t="s">
        <v>23632</v>
      </c>
    </row>
    <row r="258" spans="1:5" x14ac:dyDescent="0.25">
      <c r="A258" s="131" t="s">
        <v>17414</v>
      </c>
      <c r="B258" t="s">
        <v>23816</v>
      </c>
      <c r="C258">
        <v>1</v>
      </c>
      <c r="D258" t="s">
        <v>23629</v>
      </c>
      <c r="E258" t="s">
        <v>23632</v>
      </c>
    </row>
    <row r="259" spans="1:5" x14ac:dyDescent="0.25">
      <c r="A259" s="130" t="s">
        <v>17414</v>
      </c>
      <c r="B259" t="s">
        <v>23817</v>
      </c>
      <c r="C259">
        <v>1</v>
      </c>
      <c r="D259" t="s">
        <v>23629</v>
      </c>
      <c r="E259" t="s">
        <v>23632</v>
      </c>
    </row>
    <row r="260" spans="1:5" x14ac:dyDescent="0.25">
      <c r="A260" s="130" t="str">
        <f>LEFT((B260),1)</f>
        <v>A</v>
      </c>
      <c r="B260" t="s">
        <v>23818</v>
      </c>
      <c r="C260">
        <v>1</v>
      </c>
      <c r="D260" t="s">
        <v>23629</v>
      </c>
      <c r="E260" t="s">
        <v>23632</v>
      </c>
    </row>
    <row r="261" spans="1:5" x14ac:dyDescent="0.25">
      <c r="A261" s="130" t="s">
        <v>17414</v>
      </c>
      <c r="B261" t="s">
        <v>23819</v>
      </c>
      <c r="C261">
        <v>1</v>
      </c>
      <c r="D261" t="s">
        <v>23629</v>
      </c>
      <c r="E261" t="s">
        <v>23632</v>
      </c>
    </row>
    <row r="262" spans="1:5" x14ac:dyDescent="0.25">
      <c r="A262" s="131" t="s">
        <v>17414</v>
      </c>
      <c r="B262" t="s">
        <v>23820</v>
      </c>
      <c r="C262">
        <v>1</v>
      </c>
      <c r="D262" t="s">
        <v>23629</v>
      </c>
      <c r="E262" t="s">
        <v>23632</v>
      </c>
    </row>
    <row r="263" spans="1:5" x14ac:dyDescent="0.25">
      <c r="A263" s="130" t="s">
        <v>17414</v>
      </c>
      <c r="B263" t="s">
        <v>23821</v>
      </c>
      <c r="C263">
        <v>1</v>
      </c>
      <c r="D263" t="s">
        <v>23629</v>
      </c>
      <c r="E263" t="s">
        <v>23632</v>
      </c>
    </row>
    <row r="264" spans="1:5" x14ac:dyDescent="0.25">
      <c r="A264" s="131" t="s">
        <v>17414</v>
      </c>
      <c r="B264" t="s">
        <v>23822</v>
      </c>
      <c r="C264">
        <v>1</v>
      </c>
      <c r="D264" t="s">
        <v>23629</v>
      </c>
      <c r="E264" t="s">
        <v>23632</v>
      </c>
    </row>
    <row r="265" spans="1:5" x14ac:dyDescent="0.25">
      <c r="A265" s="130" t="str">
        <f>LEFT(B265,1)</f>
        <v>A</v>
      </c>
      <c r="B265" t="s">
        <v>28947</v>
      </c>
      <c r="C265">
        <v>1</v>
      </c>
      <c r="D265" t="s">
        <v>23629</v>
      </c>
      <c r="E265" t="s">
        <v>23632</v>
      </c>
    </row>
    <row r="266" spans="1:5" x14ac:dyDescent="0.25">
      <c r="A266" s="130" t="str">
        <f>LEFT(B266,1)</f>
        <v>A</v>
      </c>
      <c r="B266" t="s">
        <v>28681</v>
      </c>
      <c r="C266">
        <v>1</v>
      </c>
      <c r="D266" t="s">
        <v>23629</v>
      </c>
      <c r="E266" t="s">
        <v>23632</v>
      </c>
    </row>
    <row r="267" spans="1:5" x14ac:dyDescent="0.25">
      <c r="A267" s="130" t="s">
        <v>17414</v>
      </c>
      <c r="B267" t="s">
        <v>23823</v>
      </c>
      <c r="C267">
        <v>1</v>
      </c>
      <c r="D267" t="s">
        <v>23629</v>
      </c>
      <c r="E267" t="s">
        <v>23632</v>
      </c>
    </row>
    <row r="268" spans="1:5" x14ac:dyDescent="0.25">
      <c r="A268" s="131" t="s">
        <v>17414</v>
      </c>
      <c r="B268" t="s">
        <v>23824</v>
      </c>
      <c r="C268">
        <v>1</v>
      </c>
      <c r="D268" t="s">
        <v>24432</v>
      </c>
      <c r="E268" t="s">
        <v>23632</v>
      </c>
    </row>
    <row r="269" spans="1:5" x14ac:dyDescent="0.25">
      <c r="A269" s="130" t="s">
        <v>17414</v>
      </c>
      <c r="B269" t="s">
        <v>23826</v>
      </c>
      <c r="C269">
        <v>1</v>
      </c>
      <c r="D269" t="s">
        <v>23629</v>
      </c>
      <c r="E269" t="s">
        <v>23632</v>
      </c>
    </row>
    <row r="270" spans="1:5" x14ac:dyDescent="0.25">
      <c r="A270" s="131" t="str">
        <f>LEFT((B270),1)</f>
        <v>A</v>
      </c>
      <c r="B270" t="s">
        <v>23827</v>
      </c>
      <c r="C270">
        <v>1</v>
      </c>
      <c r="D270" t="s">
        <v>23629</v>
      </c>
      <c r="E270" t="s">
        <v>23632</v>
      </c>
    </row>
    <row r="271" spans="1:5" x14ac:dyDescent="0.25">
      <c r="A271" s="130" t="s">
        <v>17414</v>
      </c>
      <c r="B271" t="s">
        <v>23828</v>
      </c>
      <c r="C271">
        <v>1</v>
      </c>
      <c r="D271" t="s">
        <v>23629</v>
      </c>
      <c r="E271" t="s">
        <v>23632</v>
      </c>
    </row>
    <row r="272" spans="1:5" x14ac:dyDescent="0.25">
      <c r="A272" s="130" t="str">
        <f>LEFT((B272),1)</f>
        <v>A</v>
      </c>
      <c r="B272" t="s">
        <v>23829</v>
      </c>
      <c r="C272">
        <v>1</v>
      </c>
      <c r="D272" t="s">
        <v>23629</v>
      </c>
      <c r="E272" t="s">
        <v>23632</v>
      </c>
    </row>
    <row r="273" spans="1:5" x14ac:dyDescent="0.25">
      <c r="A273" s="131" t="s">
        <v>17414</v>
      </c>
      <c r="B273" t="s">
        <v>23830</v>
      </c>
      <c r="C273">
        <v>1</v>
      </c>
      <c r="D273" t="s">
        <v>23629</v>
      </c>
      <c r="E273" t="s">
        <v>23632</v>
      </c>
    </row>
    <row r="274" spans="1:5" x14ac:dyDescent="0.25">
      <c r="A274" s="130" t="str">
        <f>LEFT(B274,1)</f>
        <v>A</v>
      </c>
      <c r="B274" t="s">
        <v>28682</v>
      </c>
      <c r="C274">
        <v>1</v>
      </c>
      <c r="D274" t="s">
        <v>23629</v>
      </c>
      <c r="E274" t="s">
        <v>23632</v>
      </c>
    </row>
    <row r="275" spans="1:5" x14ac:dyDescent="0.25">
      <c r="A275" s="130" t="s">
        <v>17414</v>
      </c>
      <c r="B275" t="s">
        <v>23831</v>
      </c>
      <c r="C275">
        <v>1</v>
      </c>
      <c r="D275" t="s">
        <v>23629</v>
      </c>
      <c r="E275" t="s">
        <v>23632</v>
      </c>
    </row>
    <row r="276" spans="1:5" x14ac:dyDescent="0.25">
      <c r="A276" s="131" t="s">
        <v>17414</v>
      </c>
      <c r="B276" t="s">
        <v>23832</v>
      </c>
      <c r="C276">
        <v>1</v>
      </c>
      <c r="D276" t="s">
        <v>23629</v>
      </c>
      <c r="E276" t="s">
        <v>23632</v>
      </c>
    </row>
    <row r="277" spans="1:5" x14ac:dyDescent="0.25">
      <c r="A277" s="131" t="s">
        <v>17414</v>
      </c>
      <c r="B277" t="s">
        <v>23833</v>
      </c>
      <c r="C277">
        <v>1</v>
      </c>
      <c r="D277" t="s">
        <v>23629</v>
      </c>
      <c r="E277" t="s">
        <v>23632</v>
      </c>
    </row>
    <row r="278" spans="1:5" x14ac:dyDescent="0.25">
      <c r="A278" s="130" t="s">
        <v>17414</v>
      </c>
      <c r="B278" t="s">
        <v>23834</v>
      </c>
      <c r="C278">
        <v>1</v>
      </c>
      <c r="D278" t="s">
        <v>23629</v>
      </c>
      <c r="E278" t="s">
        <v>23632</v>
      </c>
    </row>
    <row r="279" spans="1:5" x14ac:dyDescent="0.25">
      <c r="A279" s="130" t="s">
        <v>17414</v>
      </c>
      <c r="B279" t="s">
        <v>23835</v>
      </c>
      <c r="C279">
        <v>1</v>
      </c>
      <c r="D279" t="s">
        <v>23629</v>
      </c>
      <c r="E279" t="s">
        <v>23632</v>
      </c>
    </row>
    <row r="280" spans="1:5" x14ac:dyDescent="0.25">
      <c r="A280" s="130" t="str">
        <f>LEFT(B280,1)</f>
        <v>A</v>
      </c>
      <c r="B280" t="s">
        <v>24023</v>
      </c>
      <c r="C280">
        <v>1</v>
      </c>
      <c r="D280" t="s">
        <v>23629</v>
      </c>
      <c r="E280" t="s">
        <v>23632</v>
      </c>
    </row>
    <row r="281" spans="1:5" x14ac:dyDescent="0.25">
      <c r="A281" s="130" t="str">
        <f>LEFT(B281,1)</f>
        <v>A</v>
      </c>
      <c r="B281" t="s">
        <v>28948</v>
      </c>
      <c r="C281">
        <v>1</v>
      </c>
      <c r="D281" t="s">
        <v>23629</v>
      </c>
      <c r="E281" t="s">
        <v>23632</v>
      </c>
    </row>
    <row r="282" spans="1:5" x14ac:dyDescent="0.25">
      <c r="A282" s="130" t="str">
        <f>LEFT(B282,1)</f>
        <v>A</v>
      </c>
      <c r="B282" t="s">
        <v>28355</v>
      </c>
      <c r="C282">
        <v>1</v>
      </c>
      <c r="D282" t="s">
        <v>23629</v>
      </c>
      <c r="E282" t="s">
        <v>23632</v>
      </c>
    </row>
    <row r="283" spans="1:5" x14ac:dyDescent="0.25">
      <c r="A283" s="131" t="s">
        <v>17414</v>
      </c>
      <c r="B283" t="s">
        <v>23836</v>
      </c>
      <c r="C283">
        <v>1</v>
      </c>
      <c r="D283" t="s">
        <v>23629</v>
      </c>
      <c r="E283" t="s">
        <v>23632</v>
      </c>
    </row>
    <row r="284" spans="1:5" x14ac:dyDescent="0.25">
      <c r="A284" s="131" t="str">
        <f>LEFT((B284),1)</f>
        <v>A</v>
      </c>
      <c r="B284" t="s">
        <v>23837</v>
      </c>
      <c r="C284">
        <v>1</v>
      </c>
      <c r="D284" t="s">
        <v>23629</v>
      </c>
      <c r="E284" t="s">
        <v>23632</v>
      </c>
    </row>
    <row r="285" spans="1:5" x14ac:dyDescent="0.25">
      <c r="A285" s="130" t="s">
        <v>17414</v>
      </c>
      <c r="B285" t="s">
        <v>23838</v>
      </c>
      <c r="C285">
        <v>1</v>
      </c>
      <c r="D285" t="s">
        <v>23629</v>
      </c>
      <c r="E285" t="s">
        <v>23632</v>
      </c>
    </row>
    <row r="286" spans="1:5" x14ac:dyDescent="0.25">
      <c r="A286" s="130" t="str">
        <f>LEFT(B286,1)</f>
        <v>A</v>
      </c>
      <c r="B286" t="s">
        <v>28683</v>
      </c>
      <c r="C286">
        <v>1</v>
      </c>
      <c r="D286" t="s">
        <v>23629</v>
      </c>
      <c r="E286" t="s">
        <v>23632</v>
      </c>
    </row>
    <row r="287" spans="1:5" x14ac:dyDescent="0.25">
      <c r="A287" s="131" t="s">
        <v>17414</v>
      </c>
      <c r="B287" t="s">
        <v>23839</v>
      </c>
      <c r="C287">
        <v>1.3</v>
      </c>
      <c r="D287" t="s">
        <v>23825</v>
      </c>
      <c r="E287" t="s">
        <v>23632</v>
      </c>
    </row>
    <row r="288" spans="1:5" x14ac:dyDescent="0.25">
      <c r="A288" s="131" t="s">
        <v>17414</v>
      </c>
      <c r="B288" t="s">
        <v>23840</v>
      </c>
      <c r="C288">
        <v>1</v>
      </c>
      <c r="D288" t="s">
        <v>23629</v>
      </c>
      <c r="E288" t="s">
        <v>23632</v>
      </c>
    </row>
    <row r="289" spans="1:5" x14ac:dyDescent="0.25">
      <c r="A289" s="130" t="s">
        <v>17414</v>
      </c>
      <c r="B289" t="s">
        <v>23841</v>
      </c>
      <c r="C289">
        <v>1</v>
      </c>
      <c r="D289" t="s">
        <v>23629</v>
      </c>
      <c r="E289" t="s">
        <v>23632</v>
      </c>
    </row>
    <row r="290" spans="1:5" x14ac:dyDescent="0.25">
      <c r="A290" s="130" t="s">
        <v>17414</v>
      </c>
      <c r="B290" t="s">
        <v>23842</v>
      </c>
      <c r="C290">
        <v>1</v>
      </c>
      <c r="D290" t="s">
        <v>23629</v>
      </c>
      <c r="E290" t="s">
        <v>23632</v>
      </c>
    </row>
    <row r="291" spans="1:5" x14ac:dyDescent="0.25">
      <c r="A291" s="131" t="s">
        <v>17414</v>
      </c>
      <c r="B291" t="s">
        <v>23843</v>
      </c>
      <c r="C291">
        <v>1</v>
      </c>
      <c r="D291" t="s">
        <v>23629</v>
      </c>
      <c r="E291" t="s">
        <v>23632</v>
      </c>
    </row>
    <row r="292" spans="1:5" x14ac:dyDescent="0.25">
      <c r="A292" s="131" t="s">
        <v>17414</v>
      </c>
      <c r="B292" t="s">
        <v>23844</v>
      </c>
      <c r="C292">
        <v>1</v>
      </c>
      <c r="D292" t="s">
        <v>23629</v>
      </c>
      <c r="E292" t="s">
        <v>23632</v>
      </c>
    </row>
    <row r="293" spans="1:5" x14ac:dyDescent="0.25">
      <c r="A293" s="130" t="s">
        <v>17414</v>
      </c>
      <c r="B293" t="s">
        <v>23845</v>
      </c>
      <c r="C293">
        <v>1</v>
      </c>
      <c r="D293" t="s">
        <v>23629</v>
      </c>
      <c r="E293" t="s">
        <v>23632</v>
      </c>
    </row>
    <row r="294" spans="1:5" x14ac:dyDescent="0.25">
      <c r="A294" s="130" t="str">
        <f>LEFT(B294,1)</f>
        <v>A</v>
      </c>
      <c r="B294" t="s">
        <v>24024</v>
      </c>
      <c r="C294">
        <v>1</v>
      </c>
      <c r="D294" t="s">
        <v>23629</v>
      </c>
      <c r="E294" t="s">
        <v>23632</v>
      </c>
    </row>
    <row r="295" spans="1:5" x14ac:dyDescent="0.25">
      <c r="A295" s="130" t="s">
        <v>17414</v>
      </c>
      <c r="B295" t="s">
        <v>23846</v>
      </c>
      <c r="C295">
        <v>1</v>
      </c>
      <c r="D295" t="s">
        <v>23629</v>
      </c>
      <c r="E295" t="s">
        <v>23632</v>
      </c>
    </row>
    <row r="296" spans="1:5" x14ac:dyDescent="0.25">
      <c r="A296" s="131" t="s">
        <v>17414</v>
      </c>
      <c r="B296" t="s">
        <v>23847</v>
      </c>
      <c r="C296">
        <v>1</v>
      </c>
      <c r="D296" t="s">
        <v>23629</v>
      </c>
      <c r="E296" t="s">
        <v>23632</v>
      </c>
    </row>
    <row r="297" spans="1:5" x14ac:dyDescent="0.25">
      <c r="A297" s="130" t="s">
        <v>17414</v>
      </c>
      <c r="B297" t="s">
        <v>23848</v>
      </c>
      <c r="C297">
        <v>1</v>
      </c>
      <c r="D297" t="s">
        <v>23629</v>
      </c>
      <c r="E297" t="s">
        <v>23632</v>
      </c>
    </row>
    <row r="298" spans="1:5" x14ac:dyDescent="0.25">
      <c r="A298" s="131" t="s">
        <v>17414</v>
      </c>
      <c r="B298" t="s">
        <v>23849</v>
      </c>
      <c r="C298">
        <v>1</v>
      </c>
      <c r="D298" t="s">
        <v>23629</v>
      </c>
      <c r="E298" t="s">
        <v>23632</v>
      </c>
    </row>
    <row r="299" spans="1:5" x14ac:dyDescent="0.25">
      <c r="A299" s="131" t="str">
        <f>LEFT(B299,1)</f>
        <v>A</v>
      </c>
      <c r="B299" t="s">
        <v>24006</v>
      </c>
      <c r="C299">
        <v>1</v>
      </c>
      <c r="D299" t="s">
        <v>23629</v>
      </c>
      <c r="E299" t="s">
        <v>23632</v>
      </c>
    </row>
    <row r="300" spans="1:5" x14ac:dyDescent="0.25">
      <c r="A300" s="130" t="s">
        <v>17414</v>
      </c>
      <c r="B300" t="s">
        <v>23850</v>
      </c>
      <c r="C300">
        <v>1</v>
      </c>
      <c r="D300" t="s">
        <v>23629</v>
      </c>
      <c r="E300" t="s">
        <v>23632</v>
      </c>
    </row>
    <row r="301" spans="1:5" x14ac:dyDescent="0.25">
      <c r="A301" s="130" t="str">
        <f>LEFT(B301,1)</f>
        <v>A</v>
      </c>
      <c r="B301" t="s">
        <v>29192</v>
      </c>
      <c r="C301">
        <v>1</v>
      </c>
      <c r="D301" t="s">
        <v>23629</v>
      </c>
      <c r="E301" t="s">
        <v>23632</v>
      </c>
    </row>
    <row r="302" spans="1:5" x14ac:dyDescent="0.25">
      <c r="A302" s="130" t="s">
        <v>17414</v>
      </c>
      <c r="B302" t="s">
        <v>23851</v>
      </c>
      <c r="C302">
        <v>1</v>
      </c>
      <c r="D302" t="s">
        <v>23629</v>
      </c>
      <c r="E302" t="s">
        <v>23632</v>
      </c>
    </row>
    <row r="303" spans="1:5" x14ac:dyDescent="0.25">
      <c r="A303" s="131" t="s">
        <v>17414</v>
      </c>
      <c r="B303" t="s">
        <v>23852</v>
      </c>
      <c r="C303">
        <v>1</v>
      </c>
      <c r="D303" t="s">
        <v>23629</v>
      </c>
      <c r="E303" t="s">
        <v>23632</v>
      </c>
    </row>
    <row r="304" spans="1:5" x14ac:dyDescent="0.25">
      <c r="A304" s="130" t="str">
        <f>LEFT(B304,1)</f>
        <v>A</v>
      </c>
      <c r="B304" t="s">
        <v>24025</v>
      </c>
      <c r="C304">
        <v>1</v>
      </c>
      <c r="D304" t="s">
        <v>23629</v>
      </c>
      <c r="E304" t="s">
        <v>23632</v>
      </c>
    </row>
    <row r="305" spans="1:5" x14ac:dyDescent="0.25">
      <c r="A305" s="130" t="s">
        <v>17414</v>
      </c>
      <c r="B305" t="s">
        <v>23853</v>
      </c>
      <c r="C305">
        <v>1</v>
      </c>
      <c r="D305" t="s">
        <v>23629</v>
      </c>
      <c r="E305" t="s">
        <v>23632</v>
      </c>
    </row>
    <row r="306" spans="1:5" x14ac:dyDescent="0.25">
      <c r="A306" s="131" t="s">
        <v>17414</v>
      </c>
      <c r="B306" t="s">
        <v>23854</v>
      </c>
      <c r="C306">
        <v>1</v>
      </c>
      <c r="D306" t="s">
        <v>23629</v>
      </c>
      <c r="E306" t="s">
        <v>23632</v>
      </c>
    </row>
    <row r="307" spans="1:5" x14ac:dyDescent="0.25">
      <c r="A307" s="131" t="s">
        <v>17414</v>
      </c>
      <c r="B307" t="s">
        <v>23855</v>
      </c>
      <c r="C307">
        <v>1</v>
      </c>
      <c r="D307" t="s">
        <v>23629</v>
      </c>
      <c r="E307" t="s">
        <v>23632</v>
      </c>
    </row>
    <row r="308" spans="1:5" x14ac:dyDescent="0.25">
      <c r="A308" s="130" t="s">
        <v>17414</v>
      </c>
      <c r="B308" t="s">
        <v>23856</v>
      </c>
      <c r="C308">
        <v>1</v>
      </c>
      <c r="D308" t="s">
        <v>23629</v>
      </c>
      <c r="E308" t="s">
        <v>23632</v>
      </c>
    </row>
    <row r="309" spans="1:5" x14ac:dyDescent="0.25">
      <c r="A309" s="130" t="str">
        <f>LEFT(B309,1)</f>
        <v>A</v>
      </c>
      <c r="B309" t="s">
        <v>28684</v>
      </c>
      <c r="C309">
        <v>1</v>
      </c>
      <c r="D309" t="s">
        <v>23629</v>
      </c>
      <c r="E309" t="s">
        <v>23632</v>
      </c>
    </row>
    <row r="310" spans="1:5" x14ac:dyDescent="0.25">
      <c r="A310" s="130" t="s">
        <v>17414</v>
      </c>
      <c r="B310" t="s">
        <v>23857</v>
      </c>
      <c r="C310">
        <v>1</v>
      </c>
      <c r="D310" t="s">
        <v>23629</v>
      </c>
      <c r="E310" t="s">
        <v>23632</v>
      </c>
    </row>
    <row r="311" spans="1:5" x14ac:dyDescent="0.25">
      <c r="A311" s="130" t="str">
        <f>LEFT(B311,1)</f>
        <v>A</v>
      </c>
      <c r="B311" t="s">
        <v>28356</v>
      </c>
      <c r="C311">
        <v>1</v>
      </c>
      <c r="D311" t="s">
        <v>23629</v>
      </c>
      <c r="E311" t="s">
        <v>23632</v>
      </c>
    </row>
    <row r="312" spans="1:5" x14ac:dyDescent="0.25">
      <c r="A312" s="131" t="s">
        <v>17414</v>
      </c>
      <c r="B312" t="s">
        <v>23858</v>
      </c>
      <c r="C312">
        <v>1</v>
      </c>
      <c r="D312" t="s">
        <v>23629</v>
      </c>
      <c r="E312" t="s">
        <v>23632</v>
      </c>
    </row>
    <row r="313" spans="1:5" x14ac:dyDescent="0.25">
      <c r="A313" s="130" t="s">
        <v>17414</v>
      </c>
      <c r="B313" t="s">
        <v>23859</v>
      </c>
      <c r="C313">
        <v>1</v>
      </c>
      <c r="D313" t="s">
        <v>23629</v>
      </c>
      <c r="E313" t="s">
        <v>23632</v>
      </c>
    </row>
    <row r="314" spans="1:5" x14ac:dyDescent="0.25">
      <c r="A314" s="131" t="s">
        <v>17414</v>
      </c>
      <c r="B314" t="s">
        <v>23860</v>
      </c>
      <c r="C314">
        <v>1</v>
      </c>
      <c r="D314" t="s">
        <v>23629</v>
      </c>
      <c r="E314" t="s">
        <v>23632</v>
      </c>
    </row>
    <row r="315" spans="1:5" x14ac:dyDescent="0.25">
      <c r="A315" s="130" t="str">
        <f>LEFT(B315,1)</f>
        <v>A</v>
      </c>
      <c r="B315" t="s">
        <v>28949</v>
      </c>
      <c r="C315">
        <v>1</v>
      </c>
      <c r="D315" t="s">
        <v>23629</v>
      </c>
      <c r="E315" t="s">
        <v>23632</v>
      </c>
    </row>
    <row r="316" spans="1:5" x14ac:dyDescent="0.25">
      <c r="A316" s="130" t="s">
        <v>17414</v>
      </c>
      <c r="B316" t="s">
        <v>23861</v>
      </c>
      <c r="C316">
        <v>1</v>
      </c>
      <c r="D316" t="s">
        <v>23629</v>
      </c>
      <c r="E316" t="s">
        <v>23632</v>
      </c>
    </row>
    <row r="317" spans="1:5" x14ac:dyDescent="0.25">
      <c r="A317" s="131" t="s">
        <v>17414</v>
      </c>
      <c r="B317" t="s">
        <v>23862</v>
      </c>
      <c r="C317">
        <v>1</v>
      </c>
      <c r="D317" t="s">
        <v>23629</v>
      </c>
      <c r="E317" t="s">
        <v>23632</v>
      </c>
    </row>
    <row r="318" spans="1:5" x14ac:dyDescent="0.25">
      <c r="A318" s="130" t="s">
        <v>17414</v>
      </c>
      <c r="B318" t="s">
        <v>23863</v>
      </c>
      <c r="C318">
        <v>1</v>
      </c>
      <c r="D318" t="s">
        <v>23629</v>
      </c>
      <c r="E318" t="s">
        <v>23632</v>
      </c>
    </row>
    <row r="319" spans="1:5" x14ac:dyDescent="0.25">
      <c r="A319" s="131" t="s">
        <v>17414</v>
      </c>
      <c r="B319" t="s">
        <v>23864</v>
      </c>
      <c r="C319">
        <v>1</v>
      </c>
      <c r="D319" t="s">
        <v>23629</v>
      </c>
      <c r="E319" t="s">
        <v>23632</v>
      </c>
    </row>
    <row r="320" spans="1:5" x14ac:dyDescent="0.25">
      <c r="A320" s="131" t="s">
        <v>17414</v>
      </c>
      <c r="B320" t="s">
        <v>23865</v>
      </c>
      <c r="C320">
        <v>1</v>
      </c>
      <c r="D320" t="s">
        <v>23629</v>
      </c>
      <c r="E320" t="s">
        <v>23632</v>
      </c>
    </row>
    <row r="321" spans="1:5" x14ac:dyDescent="0.25">
      <c r="A321" s="130" t="str">
        <f>LEFT(B321,1)</f>
        <v>A</v>
      </c>
      <c r="B321" t="s">
        <v>28685</v>
      </c>
      <c r="C321">
        <v>1</v>
      </c>
      <c r="D321" t="s">
        <v>23629</v>
      </c>
      <c r="E321" t="s">
        <v>23632</v>
      </c>
    </row>
    <row r="322" spans="1:5" x14ac:dyDescent="0.25">
      <c r="A322" s="130" t="s">
        <v>17414</v>
      </c>
      <c r="B322" t="s">
        <v>23866</v>
      </c>
      <c r="C322">
        <v>1</v>
      </c>
      <c r="D322" t="s">
        <v>23629</v>
      </c>
      <c r="E322" t="s">
        <v>23632</v>
      </c>
    </row>
    <row r="323" spans="1:5" x14ac:dyDescent="0.25">
      <c r="A323" s="130" t="s">
        <v>17414</v>
      </c>
      <c r="B323" t="s">
        <v>23867</v>
      </c>
      <c r="C323">
        <v>1</v>
      </c>
      <c r="D323" t="s">
        <v>23629</v>
      </c>
      <c r="E323" t="s">
        <v>23632</v>
      </c>
    </row>
    <row r="324" spans="1:5" x14ac:dyDescent="0.25">
      <c r="A324" s="130" t="str">
        <f>LEFT((B324),1)</f>
        <v>A</v>
      </c>
      <c r="B324" t="s">
        <v>23868</v>
      </c>
      <c r="C324">
        <v>1</v>
      </c>
      <c r="D324" t="s">
        <v>23629</v>
      </c>
      <c r="E324" t="s">
        <v>23632</v>
      </c>
    </row>
    <row r="325" spans="1:5" x14ac:dyDescent="0.25">
      <c r="A325" s="130" t="str">
        <f>LEFT(B325,1)</f>
        <v>A</v>
      </c>
      <c r="B325" t="s">
        <v>28686</v>
      </c>
      <c r="C325">
        <v>1</v>
      </c>
      <c r="D325" t="s">
        <v>23629</v>
      </c>
      <c r="E325" t="s">
        <v>23632</v>
      </c>
    </row>
    <row r="326" spans="1:5" x14ac:dyDescent="0.25">
      <c r="A326" s="131" t="str">
        <f>LEFT(B326,1)</f>
        <v>A</v>
      </c>
      <c r="B326" t="s">
        <v>24052</v>
      </c>
      <c r="C326">
        <v>1</v>
      </c>
      <c r="D326" t="s">
        <v>23629</v>
      </c>
      <c r="E326" t="s">
        <v>23632</v>
      </c>
    </row>
    <row r="327" spans="1:5" x14ac:dyDescent="0.25">
      <c r="A327" s="131" t="s">
        <v>17414</v>
      </c>
      <c r="B327" t="s">
        <v>23869</v>
      </c>
      <c r="C327">
        <v>1</v>
      </c>
      <c r="D327" t="s">
        <v>23629</v>
      </c>
      <c r="E327" t="s">
        <v>23632</v>
      </c>
    </row>
    <row r="328" spans="1:5" x14ac:dyDescent="0.25">
      <c r="A328" s="130" t="str">
        <f>LEFT(B328,1)</f>
        <v>A</v>
      </c>
      <c r="B328" t="s">
        <v>24053</v>
      </c>
      <c r="C328">
        <v>1</v>
      </c>
      <c r="D328" t="s">
        <v>23629</v>
      </c>
      <c r="E328" t="s">
        <v>23632</v>
      </c>
    </row>
    <row r="329" spans="1:5" x14ac:dyDescent="0.25">
      <c r="A329" s="130" t="s">
        <v>17414</v>
      </c>
      <c r="B329" t="s">
        <v>23870</v>
      </c>
      <c r="C329">
        <v>1</v>
      </c>
      <c r="D329" t="s">
        <v>23629</v>
      </c>
      <c r="E329" t="s">
        <v>23632</v>
      </c>
    </row>
    <row r="330" spans="1:5" x14ac:dyDescent="0.25">
      <c r="A330" s="130" t="str">
        <f>LEFT(B330,1)</f>
        <v>A</v>
      </c>
      <c r="B330" t="s">
        <v>28687</v>
      </c>
      <c r="C330">
        <v>1</v>
      </c>
      <c r="D330" t="s">
        <v>23629</v>
      </c>
      <c r="E330" t="s">
        <v>23632</v>
      </c>
    </row>
    <row r="331" spans="1:5" x14ac:dyDescent="0.25">
      <c r="A331" s="131" t="s">
        <v>17414</v>
      </c>
      <c r="B331" t="s">
        <v>23871</v>
      </c>
      <c r="C331">
        <v>1</v>
      </c>
      <c r="D331" t="s">
        <v>23629</v>
      </c>
      <c r="E331" t="s">
        <v>23632</v>
      </c>
    </row>
    <row r="332" spans="1:5" x14ac:dyDescent="0.25">
      <c r="A332" s="130" t="str">
        <f>LEFT(B332,1)</f>
        <v>A</v>
      </c>
      <c r="B332" t="s">
        <v>24026</v>
      </c>
      <c r="C332">
        <v>1</v>
      </c>
      <c r="D332" t="s">
        <v>23629</v>
      </c>
      <c r="E332" t="s">
        <v>23632</v>
      </c>
    </row>
    <row r="333" spans="1:5" x14ac:dyDescent="0.25">
      <c r="A333" s="130" t="str">
        <f>LEFT(B333,1)</f>
        <v>A</v>
      </c>
      <c r="B333" t="s">
        <v>24007</v>
      </c>
      <c r="C333">
        <v>1</v>
      </c>
      <c r="D333" t="s">
        <v>23629</v>
      </c>
      <c r="E333" t="s">
        <v>23632</v>
      </c>
    </row>
    <row r="334" spans="1:5" x14ac:dyDescent="0.25">
      <c r="A334" s="130" t="s">
        <v>17414</v>
      </c>
      <c r="B334" t="s">
        <v>23872</v>
      </c>
      <c r="C334">
        <v>1</v>
      </c>
      <c r="D334" t="s">
        <v>23629</v>
      </c>
      <c r="E334" t="s">
        <v>23632</v>
      </c>
    </row>
    <row r="335" spans="1:5" x14ac:dyDescent="0.25">
      <c r="A335" s="130" t="str">
        <f>LEFT(B335,1)</f>
        <v>A</v>
      </c>
      <c r="B335" t="s">
        <v>28357</v>
      </c>
      <c r="C335">
        <v>1</v>
      </c>
      <c r="D335" t="s">
        <v>23629</v>
      </c>
      <c r="E335" t="s">
        <v>23632</v>
      </c>
    </row>
    <row r="336" spans="1:5" x14ac:dyDescent="0.25">
      <c r="A336" s="131" t="s">
        <v>17414</v>
      </c>
      <c r="B336" t="s">
        <v>23873</v>
      </c>
      <c r="C336">
        <v>1</v>
      </c>
      <c r="D336" t="s">
        <v>23629</v>
      </c>
      <c r="E336" t="s">
        <v>23632</v>
      </c>
    </row>
    <row r="337" spans="1:5" x14ac:dyDescent="0.25">
      <c r="A337" s="130" t="s">
        <v>17414</v>
      </c>
      <c r="B337" t="s">
        <v>23874</v>
      </c>
      <c r="C337">
        <v>1</v>
      </c>
      <c r="D337" t="s">
        <v>23629</v>
      </c>
      <c r="E337" t="s">
        <v>23632</v>
      </c>
    </row>
    <row r="338" spans="1:5" x14ac:dyDescent="0.25">
      <c r="A338" s="130" t="str">
        <f>LEFT(B338,1)</f>
        <v>A</v>
      </c>
      <c r="B338" t="s">
        <v>28688</v>
      </c>
      <c r="C338">
        <v>1</v>
      </c>
      <c r="D338" t="s">
        <v>23629</v>
      </c>
      <c r="E338" t="s">
        <v>23632</v>
      </c>
    </row>
    <row r="339" spans="1:5" x14ac:dyDescent="0.25">
      <c r="A339" s="130" t="str">
        <f>LEFT(B339,1)</f>
        <v>A</v>
      </c>
      <c r="B339" t="s">
        <v>28950</v>
      </c>
      <c r="C339">
        <v>1</v>
      </c>
      <c r="D339" t="s">
        <v>23629</v>
      </c>
      <c r="E339" t="s">
        <v>23632</v>
      </c>
    </row>
    <row r="340" spans="1:5" x14ac:dyDescent="0.25">
      <c r="A340" s="130" t="s">
        <v>17414</v>
      </c>
      <c r="B340" t="s">
        <v>23875</v>
      </c>
      <c r="C340">
        <v>1</v>
      </c>
      <c r="D340" t="s">
        <v>23629</v>
      </c>
      <c r="E340" t="s">
        <v>23632</v>
      </c>
    </row>
    <row r="341" spans="1:5" x14ac:dyDescent="0.25">
      <c r="A341" s="131" t="s">
        <v>17414</v>
      </c>
      <c r="B341" t="s">
        <v>23876</v>
      </c>
      <c r="C341">
        <v>1</v>
      </c>
      <c r="D341" t="s">
        <v>23629</v>
      </c>
      <c r="E341" t="s">
        <v>23632</v>
      </c>
    </row>
    <row r="342" spans="1:5" x14ac:dyDescent="0.25">
      <c r="A342" s="131" t="s">
        <v>17414</v>
      </c>
      <c r="B342" t="s">
        <v>23877</v>
      </c>
      <c r="C342">
        <v>1</v>
      </c>
      <c r="D342" t="s">
        <v>23629</v>
      </c>
      <c r="E342" t="s">
        <v>23632</v>
      </c>
    </row>
    <row r="343" spans="1:5" x14ac:dyDescent="0.25">
      <c r="A343" s="130" t="s">
        <v>17414</v>
      </c>
      <c r="B343" t="s">
        <v>23878</v>
      </c>
      <c r="C343">
        <v>1</v>
      </c>
      <c r="D343" t="s">
        <v>23629</v>
      </c>
      <c r="E343" t="s">
        <v>23632</v>
      </c>
    </row>
    <row r="344" spans="1:5" x14ac:dyDescent="0.25">
      <c r="A344" s="131" t="str">
        <f>LEFT(B344,1)</f>
        <v>A</v>
      </c>
      <c r="B344" t="s">
        <v>24054</v>
      </c>
      <c r="C344">
        <v>1</v>
      </c>
      <c r="D344" t="s">
        <v>23629</v>
      </c>
      <c r="E344" t="s">
        <v>23632</v>
      </c>
    </row>
    <row r="345" spans="1:5" x14ac:dyDescent="0.25">
      <c r="A345" s="130" t="s">
        <v>17414</v>
      </c>
      <c r="B345" t="s">
        <v>23879</v>
      </c>
      <c r="C345">
        <v>1</v>
      </c>
      <c r="D345" t="s">
        <v>23629</v>
      </c>
      <c r="E345" t="s">
        <v>23632</v>
      </c>
    </row>
    <row r="346" spans="1:5" x14ac:dyDescent="0.25">
      <c r="A346" s="131" t="str">
        <f>LEFT((B346),1)</f>
        <v>A</v>
      </c>
      <c r="B346" t="s">
        <v>23880</v>
      </c>
      <c r="C346">
        <v>1</v>
      </c>
      <c r="D346" t="s">
        <v>23629</v>
      </c>
      <c r="E346" t="s">
        <v>23881</v>
      </c>
    </row>
    <row r="347" spans="1:5" x14ac:dyDescent="0.25">
      <c r="A347" s="130" t="str">
        <f>LEFT(B347,1)</f>
        <v>A</v>
      </c>
      <c r="B347" t="s">
        <v>28358</v>
      </c>
      <c r="C347">
        <v>1</v>
      </c>
      <c r="D347" t="s">
        <v>23629</v>
      </c>
      <c r="E347" t="s">
        <v>23632</v>
      </c>
    </row>
    <row r="348" spans="1:5" x14ac:dyDescent="0.25">
      <c r="A348" s="130" t="str">
        <f>LEFT(B348,1)</f>
        <v>A</v>
      </c>
      <c r="B348" t="s">
        <v>28951</v>
      </c>
      <c r="C348">
        <v>1</v>
      </c>
      <c r="D348" t="s">
        <v>23629</v>
      </c>
      <c r="E348" t="s">
        <v>23632</v>
      </c>
    </row>
    <row r="349" spans="1:5" x14ac:dyDescent="0.25">
      <c r="A349" s="131" t="s">
        <v>17414</v>
      </c>
      <c r="B349" t="s">
        <v>23882</v>
      </c>
      <c r="C349">
        <v>1.1100000000000001</v>
      </c>
      <c r="D349" t="s">
        <v>24432</v>
      </c>
      <c r="E349" t="s">
        <v>23632</v>
      </c>
    </row>
    <row r="350" spans="1:5" x14ac:dyDescent="0.25">
      <c r="A350" s="130" t="str">
        <f>LEFT(B350,1)</f>
        <v>A</v>
      </c>
      <c r="B350" t="s">
        <v>29193</v>
      </c>
      <c r="C350">
        <v>1</v>
      </c>
      <c r="D350" t="s">
        <v>23629</v>
      </c>
      <c r="E350" t="s">
        <v>23632</v>
      </c>
    </row>
    <row r="351" spans="1:5" x14ac:dyDescent="0.25">
      <c r="A351" s="131" t="s">
        <v>17414</v>
      </c>
      <c r="B351" t="s">
        <v>23883</v>
      </c>
      <c r="C351">
        <v>1</v>
      </c>
      <c r="D351" t="s">
        <v>23629</v>
      </c>
      <c r="E351" t="s">
        <v>23632</v>
      </c>
    </row>
    <row r="352" spans="1:5" x14ac:dyDescent="0.25">
      <c r="A352" s="130" t="str">
        <f>LEFT(B352,1)</f>
        <v>A</v>
      </c>
      <c r="B352" t="s">
        <v>28952</v>
      </c>
      <c r="C352">
        <v>1</v>
      </c>
      <c r="D352" t="s">
        <v>23629</v>
      </c>
      <c r="E352" t="s">
        <v>23632</v>
      </c>
    </row>
    <row r="353" spans="1:5" x14ac:dyDescent="0.25">
      <c r="A353" s="130" t="str">
        <f>LEFT(B353,1)</f>
        <v>A</v>
      </c>
      <c r="B353" t="s">
        <v>28689</v>
      </c>
      <c r="C353">
        <v>1</v>
      </c>
      <c r="D353" t="s">
        <v>23629</v>
      </c>
      <c r="E353" t="s">
        <v>23632</v>
      </c>
    </row>
    <row r="354" spans="1:5" x14ac:dyDescent="0.25">
      <c r="A354" s="130" t="str">
        <f>LEFT(B354,1)</f>
        <v>A</v>
      </c>
      <c r="B354" t="s">
        <v>28359</v>
      </c>
      <c r="C354">
        <v>1</v>
      </c>
      <c r="D354" t="s">
        <v>23629</v>
      </c>
      <c r="E354" t="s">
        <v>23632</v>
      </c>
    </row>
    <row r="355" spans="1:5" x14ac:dyDescent="0.25">
      <c r="A355" s="130" t="str">
        <f>LEFT(B355,1)</f>
        <v>A</v>
      </c>
      <c r="B355" t="s">
        <v>29194</v>
      </c>
      <c r="C355">
        <v>1</v>
      </c>
      <c r="D355" t="s">
        <v>23629</v>
      </c>
      <c r="E355" t="s">
        <v>23632</v>
      </c>
    </row>
    <row r="356" spans="1:5" x14ac:dyDescent="0.25">
      <c r="A356" s="130" t="s">
        <v>17414</v>
      </c>
      <c r="B356" t="s">
        <v>23884</v>
      </c>
      <c r="C356">
        <v>1</v>
      </c>
      <c r="D356" t="s">
        <v>23629</v>
      </c>
      <c r="E356" t="s">
        <v>23632</v>
      </c>
    </row>
    <row r="357" spans="1:5" x14ac:dyDescent="0.25">
      <c r="A357" s="130" t="s">
        <v>17414</v>
      </c>
      <c r="B357" t="s">
        <v>23885</v>
      </c>
      <c r="C357">
        <v>1</v>
      </c>
      <c r="D357" t="s">
        <v>23629</v>
      </c>
      <c r="E357" t="s">
        <v>23632</v>
      </c>
    </row>
    <row r="358" spans="1:5" x14ac:dyDescent="0.25">
      <c r="A358" s="130" t="str">
        <f>LEFT(B358,1)</f>
        <v>A</v>
      </c>
      <c r="B358" t="s">
        <v>28360</v>
      </c>
      <c r="C358">
        <v>1</v>
      </c>
      <c r="D358" t="s">
        <v>23629</v>
      </c>
      <c r="E358" t="s">
        <v>23632</v>
      </c>
    </row>
    <row r="359" spans="1:5" x14ac:dyDescent="0.25">
      <c r="A359" s="131" t="s">
        <v>17414</v>
      </c>
      <c r="B359" t="s">
        <v>23886</v>
      </c>
      <c r="C359">
        <v>1</v>
      </c>
      <c r="D359" t="s">
        <v>23629</v>
      </c>
      <c r="E359" t="s">
        <v>23632</v>
      </c>
    </row>
    <row r="360" spans="1:5" x14ac:dyDescent="0.25">
      <c r="A360" s="130" t="s">
        <v>17414</v>
      </c>
      <c r="B360" t="s">
        <v>23887</v>
      </c>
      <c r="C360">
        <v>1</v>
      </c>
      <c r="D360" t="s">
        <v>23629</v>
      </c>
      <c r="E360" t="s">
        <v>23632</v>
      </c>
    </row>
    <row r="361" spans="1:5" x14ac:dyDescent="0.25">
      <c r="A361" s="130" t="str">
        <f>LEFT(B361,1)</f>
        <v>A</v>
      </c>
      <c r="B361" t="s">
        <v>24055</v>
      </c>
      <c r="C361">
        <v>1</v>
      </c>
      <c r="D361" t="s">
        <v>23629</v>
      </c>
      <c r="E361" t="s">
        <v>23632</v>
      </c>
    </row>
    <row r="362" spans="1:5" x14ac:dyDescent="0.25">
      <c r="A362" s="131" t="str">
        <f>LEFT(B362,1)</f>
        <v>A</v>
      </c>
      <c r="B362" t="s">
        <v>24056</v>
      </c>
      <c r="C362">
        <v>1</v>
      </c>
      <c r="D362" t="s">
        <v>23629</v>
      </c>
      <c r="E362" t="s">
        <v>23632</v>
      </c>
    </row>
    <row r="363" spans="1:5" x14ac:dyDescent="0.25">
      <c r="A363" s="131" t="s">
        <v>17414</v>
      </c>
      <c r="B363" t="s">
        <v>23888</v>
      </c>
      <c r="C363">
        <v>1</v>
      </c>
      <c r="D363" t="s">
        <v>23629</v>
      </c>
      <c r="E363" t="s">
        <v>23632</v>
      </c>
    </row>
    <row r="364" spans="1:5" x14ac:dyDescent="0.25">
      <c r="A364" s="130" t="s">
        <v>17414</v>
      </c>
      <c r="B364" t="s">
        <v>23889</v>
      </c>
      <c r="C364">
        <v>1</v>
      </c>
      <c r="D364" t="s">
        <v>23629</v>
      </c>
      <c r="E364" t="s">
        <v>23632</v>
      </c>
    </row>
    <row r="365" spans="1:5" x14ac:dyDescent="0.25">
      <c r="A365" s="130" t="s">
        <v>17414</v>
      </c>
      <c r="B365" t="s">
        <v>23890</v>
      </c>
      <c r="C365">
        <v>1</v>
      </c>
      <c r="D365" t="s">
        <v>23629</v>
      </c>
      <c r="E365" t="s">
        <v>23632</v>
      </c>
    </row>
    <row r="366" spans="1:5" x14ac:dyDescent="0.25">
      <c r="A366" s="130" t="str">
        <f>LEFT((B366),1)</f>
        <v>A</v>
      </c>
      <c r="B366" t="s">
        <v>23891</v>
      </c>
      <c r="C366">
        <v>1</v>
      </c>
      <c r="D366" t="s">
        <v>23629</v>
      </c>
      <c r="E366" t="s">
        <v>23632</v>
      </c>
    </row>
    <row r="367" spans="1:5" x14ac:dyDescent="0.25">
      <c r="A367" s="131" t="str">
        <f>LEFT((B367),1)</f>
        <v>A</v>
      </c>
      <c r="B367" t="s">
        <v>23892</v>
      </c>
      <c r="C367">
        <v>1</v>
      </c>
      <c r="D367" t="s">
        <v>23629</v>
      </c>
      <c r="E367" t="s">
        <v>23632</v>
      </c>
    </row>
    <row r="368" spans="1:5" x14ac:dyDescent="0.25">
      <c r="A368" s="131" t="str">
        <f>LEFT(B368,1)</f>
        <v>A</v>
      </c>
      <c r="B368" t="s">
        <v>24032</v>
      </c>
      <c r="C368">
        <v>1</v>
      </c>
      <c r="D368" t="s">
        <v>23629</v>
      </c>
      <c r="E368" t="s">
        <v>23632</v>
      </c>
    </row>
    <row r="369" spans="1:5" x14ac:dyDescent="0.25">
      <c r="A369" s="131" t="str">
        <f>LEFT(B369,1)</f>
        <v>A</v>
      </c>
      <c r="B369" t="s">
        <v>24008</v>
      </c>
      <c r="C369">
        <v>1</v>
      </c>
      <c r="D369" t="s">
        <v>23629</v>
      </c>
      <c r="E369" t="s">
        <v>23632</v>
      </c>
    </row>
    <row r="370" spans="1:5" x14ac:dyDescent="0.25">
      <c r="A370" s="130" t="str">
        <f>LEFT((B370),1)</f>
        <v>A</v>
      </c>
      <c r="B370" t="s">
        <v>23893</v>
      </c>
      <c r="C370">
        <v>1</v>
      </c>
      <c r="D370" t="s">
        <v>23629</v>
      </c>
      <c r="E370" t="s">
        <v>23632</v>
      </c>
    </row>
    <row r="371" spans="1:5" x14ac:dyDescent="0.25">
      <c r="A371" s="130" t="str">
        <f>LEFT(B371,1)</f>
        <v>A</v>
      </c>
      <c r="B371" t="s">
        <v>29195</v>
      </c>
      <c r="C371">
        <v>1</v>
      </c>
      <c r="D371" t="s">
        <v>23629</v>
      </c>
      <c r="E371" t="s">
        <v>23632</v>
      </c>
    </row>
    <row r="372" spans="1:5" x14ac:dyDescent="0.25">
      <c r="A372" s="130" t="s">
        <v>17414</v>
      </c>
      <c r="B372" t="s">
        <v>23894</v>
      </c>
      <c r="C372">
        <v>1</v>
      </c>
      <c r="D372" t="s">
        <v>23629</v>
      </c>
      <c r="E372" t="s">
        <v>23632</v>
      </c>
    </row>
    <row r="373" spans="1:5" x14ac:dyDescent="0.25">
      <c r="A373" s="131" t="s">
        <v>17414</v>
      </c>
      <c r="B373" t="s">
        <v>23895</v>
      </c>
      <c r="C373">
        <v>1</v>
      </c>
      <c r="D373" t="s">
        <v>23629</v>
      </c>
      <c r="E373" t="s">
        <v>23632</v>
      </c>
    </row>
    <row r="374" spans="1:5" x14ac:dyDescent="0.25">
      <c r="A374" s="131" t="s">
        <v>17414</v>
      </c>
      <c r="B374" t="s">
        <v>23896</v>
      </c>
      <c r="C374">
        <v>1</v>
      </c>
      <c r="D374" t="s">
        <v>23629</v>
      </c>
      <c r="E374" t="s">
        <v>23632</v>
      </c>
    </row>
    <row r="375" spans="1:5" x14ac:dyDescent="0.25">
      <c r="A375" s="130" t="str">
        <f>LEFT(B375,1)</f>
        <v>A</v>
      </c>
      <c r="B375" t="s">
        <v>28690</v>
      </c>
      <c r="C375">
        <v>1</v>
      </c>
      <c r="D375" t="s">
        <v>23629</v>
      </c>
      <c r="E375" t="s">
        <v>23632</v>
      </c>
    </row>
    <row r="376" spans="1:5" x14ac:dyDescent="0.25">
      <c r="A376" s="131" t="s">
        <v>17414</v>
      </c>
      <c r="B376" t="s">
        <v>23897</v>
      </c>
      <c r="C376">
        <v>1</v>
      </c>
      <c r="D376" t="s">
        <v>23629</v>
      </c>
      <c r="E376" t="s">
        <v>23632</v>
      </c>
    </row>
    <row r="377" spans="1:5" x14ac:dyDescent="0.25">
      <c r="A377" s="130" t="str">
        <f>LEFT(B377,1)</f>
        <v>A</v>
      </c>
      <c r="B377" t="s">
        <v>24009</v>
      </c>
      <c r="C377">
        <v>1</v>
      </c>
      <c r="D377" t="s">
        <v>23629</v>
      </c>
      <c r="E377" t="s">
        <v>23632</v>
      </c>
    </row>
    <row r="378" spans="1:5" x14ac:dyDescent="0.25">
      <c r="A378" s="130" t="s">
        <v>17414</v>
      </c>
      <c r="B378" t="s">
        <v>23898</v>
      </c>
      <c r="C378">
        <v>1</v>
      </c>
      <c r="D378" t="s">
        <v>23629</v>
      </c>
      <c r="E378" t="s">
        <v>23632</v>
      </c>
    </row>
    <row r="379" spans="1:5" x14ac:dyDescent="0.25">
      <c r="A379" s="130" t="s">
        <v>17414</v>
      </c>
      <c r="B379" t="s">
        <v>23899</v>
      </c>
      <c r="C379">
        <v>1</v>
      </c>
      <c r="D379" t="s">
        <v>23629</v>
      </c>
      <c r="E379" t="s">
        <v>23632</v>
      </c>
    </row>
    <row r="380" spans="1:5" x14ac:dyDescent="0.25">
      <c r="A380" s="130" t="str">
        <f>LEFT(B380,1)</f>
        <v>A</v>
      </c>
      <c r="B380" t="s">
        <v>24027</v>
      </c>
      <c r="C380">
        <v>1</v>
      </c>
      <c r="D380" t="s">
        <v>23629</v>
      </c>
      <c r="E380" t="s">
        <v>23632</v>
      </c>
    </row>
    <row r="381" spans="1:5" x14ac:dyDescent="0.25">
      <c r="A381" s="131" t="str">
        <f>LEFT(B381,1)</f>
        <v>A</v>
      </c>
      <c r="B381" t="s">
        <v>24010</v>
      </c>
      <c r="C381">
        <v>1</v>
      </c>
      <c r="D381" t="s">
        <v>23629</v>
      </c>
      <c r="E381" t="s">
        <v>23632</v>
      </c>
    </row>
    <row r="382" spans="1:5" x14ac:dyDescent="0.25">
      <c r="A382" s="130" t="str">
        <f>LEFT(B382,1)</f>
        <v>A</v>
      </c>
      <c r="B382" t="s">
        <v>28361</v>
      </c>
      <c r="C382">
        <v>1</v>
      </c>
      <c r="D382" t="s">
        <v>23629</v>
      </c>
      <c r="E382" t="s">
        <v>23632</v>
      </c>
    </row>
    <row r="383" spans="1:5" x14ac:dyDescent="0.25">
      <c r="A383" s="131" t="s">
        <v>17414</v>
      </c>
      <c r="B383" t="s">
        <v>23900</v>
      </c>
      <c r="C383">
        <v>1</v>
      </c>
      <c r="D383" t="s">
        <v>23629</v>
      </c>
      <c r="E383" t="s">
        <v>23632</v>
      </c>
    </row>
    <row r="384" spans="1:5" x14ac:dyDescent="0.25">
      <c r="A384" s="130" t="s">
        <v>17414</v>
      </c>
      <c r="B384" t="s">
        <v>23901</v>
      </c>
      <c r="C384">
        <v>1</v>
      </c>
      <c r="D384" t="s">
        <v>23629</v>
      </c>
      <c r="E384" t="s">
        <v>23632</v>
      </c>
    </row>
    <row r="385" spans="1:5" x14ac:dyDescent="0.25">
      <c r="A385" s="130" t="s">
        <v>17414</v>
      </c>
      <c r="B385" t="s">
        <v>23902</v>
      </c>
      <c r="C385">
        <v>1</v>
      </c>
      <c r="D385" t="s">
        <v>23629</v>
      </c>
      <c r="E385" t="s">
        <v>23632</v>
      </c>
    </row>
    <row r="386" spans="1:5" x14ac:dyDescent="0.25">
      <c r="A386" s="131" t="s">
        <v>17414</v>
      </c>
      <c r="B386" t="s">
        <v>23903</v>
      </c>
      <c r="C386">
        <v>1</v>
      </c>
      <c r="D386" t="s">
        <v>23629</v>
      </c>
      <c r="E386" t="s">
        <v>23632</v>
      </c>
    </row>
    <row r="387" spans="1:5" x14ac:dyDescent="0.25">
      <c r="A387" s="131" t="s">
        <v>17414</v>
      </c>
      <c r="B387" t="s">
        <v>23904</v>
      </c>
      <c r="C387">
        <v>1</v>
      </c>
      <c r="D387" t="s">
        <v>23629</v>
      </c>
      <c r="E387" t="s">
        <v>23632</v>
      </c>
    </row>
    <row r="388" spans="1:5" x14ac:dyDescent="0.25">
      <c r="A388" s="130" t="s">
        <v>17414</v>
      </c>
      <c r="B388" s="136" t="s">
        <v>23905</v>
      </c>
      <c r="C388">
        <v>1</v>
      </c>
      <c r="D388" t="s">
        <v>23629</v>
      </c>
      <c r="E388" t="s">
        <v>23632</v>
      </c>
    </row>
    <row r="389" spans="1:5" x14ac:dyDescent="0.25">
      <c r="A389" s="131" t="s">
        <v>17414</v>
      </c>
      <c r="B389" t="s">
        <v>23906</v>
      </c>
      <c r="C389">
        <v>1</v>
      </c>
      <c r="D389" t="s">
        <v>23629</v>
      </c>
      <c r="E389" t="s">
        <v>23632</v>
      </c>
    </row>
    <row r="390" spans="1:5" x14ac:dyDescent="0.25">
      <c r="A390" s="130" t="str">
        <f>LEFT(B390,1)</f>
        <v>A</v>
      </c>
      <c r="B390" t="s">
        <v>28362</v>
      </c>
      <c r="C390">
        <v>1</v>
      </c>
      <c r="D390" t="s">
        <v>23629</v>
      </c>
      <c r="E390" t="s">
        <v>23632</v>
      </c>
    </row>
    <row r="391" spans="1:5" x14ac:dyDescent="0.25">
      <c r="A391" s="130" t="s">
        <v>17414</v>
      </c>
      <c r="B391" t="s">
        <v>23907</v>
      </c>
      <c r="C391">
        <v>1</v>
      </c>
      <c r="D391" t="s">
        <v>23629</v>
      </c>
      <c r="E391" t="s">
        <v>23632</v>
      </c>
    </row>
    <row r="392" spans="1:5" x14ac:dyDescent="0.25">
      <c r="A392" s="131" t="s">
        <v>17414</v>
      </c>
      <c r="B392" t="s">
        <v>23908</v>
      </c>
      <c r="C392">
        <v>1</v>
      </c>
      <c r="D392" t="s">
        <v>23629</v>
      </c>
      <c r="E392" t="s">
        <v>23632</v>
      </c>
    </row>
    <row r="393" spans="1:5" x14ac:dyDescent="0.25">
      <c r="A393" s="131" t="s">
        <v>17414</v>
      </c>
      <c r="B393" t="s">
        <v>23909</v>
      </c>
      <c r="C393">
        <v>1</v>
      </c>
      <c r="D393" t="s">
        <v>23629</v>
      </c>
      <c r="E393" t="s">
        <v>23632</v>
      </c>
    </row>
    <row r="394" spans="1:5" x14ac:dyDescent="0.25">
      <c r="A394" s="131" t="str">
        <f>LEFT((B394),1)</f>
        <v>A</v>
      </c>
      <c r="B394" t="s">
        <v>23910</v>
      </c>
      <c r="C394">
        <v>1</v>
      </c>
      <c r="D394" t="s">
        <v>23629</v>
      </c>
      <c r="E394" t="s">
        <v>23632</v>
      </c>
    </row>
    <row r="395" spans="1:5" x14ac:dyDescent="0.25">
      <c r="A395" s="130" t="str">
        <f>LEFT(B395,1)</f>
        <v>A</v>
      </c>
      <c r="B395" t="s">
        <v>24011</v>
      </c>
      <c r="C395">
        <v>1</v>
      </c>
      <c r="D395" t="s">
        <v>23629</v>
      </c>
      <c r="E395" t="s">
        <v>23632</v>
      </c>
    </row>
    <row r="396" spans="1:5" x14ac:dyDescent="0.25">
      <c r="A396" s="130" t="s">
        <v>17414</v>
      </c>
      <c r="B396" t="s">
        <v>23911</v>
      </c>
      <c r="C396">
        <v>1</v>
      </c>
      <c r="D396" t="s">
        <v>23629</v>
      </c>
      <c r="E396" t="s">
        <v>23632</v>
      </c>
    </row>
    <row r="397" spans="1:5" x14ac:dyDescent="0.25">
      <c r="A397" s="130" t="s">
        <v>17414</v>
      </c>
      <c r="B397" t="s">
        <v>23912</v>
      </c>
      <c r="C397">
        <v>1</v>
      </c>
      <c r="D397" t="s">
        <v>23629</v>
      </c>
      <c r="E397" t="s">
        <v>23632</v>
      </c>
    </row>
    <row r="398" spans="1:5" x14ac:dyDescent="0.25">
      <c r="A398" s="130" t="s">
        <v>17414</v>
      </c>
      <c r="B398" t="s">
        <v>23913</v>
      </c>
      <c r="C398">
        <v>1</v>
      </c>
      <c r="D398" t="s">
        <v>23629</v>
      </c>
      <c r="E398" t="s">
        <v>23632</v>
      </c>
    </row>
    <row r="399" spans="1:5" x14ac:dyDescent="0.25">
      <c r="A399" s="131" t="str">
        <f t="shared" ref="A399:A404" si="0">LEFT(B399,1)</f>
        <v>A</v>
      </c>
      <c r="B399" t="s">
        <v>24012</v>
      </c>
      <c r="C399">
        <v>1</v>
      </c>
      <c r="D399" t="s">
        <v>23629</v>
      </c>
      <c r="E399" t="s">
        <v>23632</v>
      </c>
    </row>
    <row r="400" spans="1:5" x14ac:dyDescent="0.25">
      <c r="A400" s="130" t="str">
        <f t="shared" si="0"/>
        <v>A</v>
      </c>
      <c r="B400" t="s">
        <v>24013</v>
      </c>
      <c r="C400">
        <v>1</v>
      </c>
      <c r="D400" t="s">
        <v>23629</v>
      </c>
      <c r="E400" t="s">
        <v>23632</v>
      </c>
    </row>
    <row r="401" spans="1:5" x14ac:dyDescent="0.25">
      <c r="A401" s="130" t="str">
        <f t="shared" si="0"/>
        <v>A</v>
      </c>
      <c r="B401" t="s">
        <v>28363</v>
      </c>
      <c r="C401">
        <v>1</v>
      </c>
      <c r="D401" t="s">
        <v>23629</v>
      </c>
      <c r="E401" t="s">
        <v>23632</v>
      </c>
    </row>
    <row r="402" spans="1:5" x14ac:dyDescent="0.25">
      <c r="A402" s="130" t="str">
        <f t="shared" si="0"/>
        <v>A</v>
      </c>
      <c r="B402" t="s">
        <v>28691</v>
      </c>
      <c r="C402">
        <v>1</v>
      </c>
      <c r="D402" t="s">
        <v>23629</v>
      </c>
      <c r="E402" t="s">
        <v>23632</v>
      </c>
    </row>
    <row r="403" spans="1:5" x14ac:dyDescent="0.25">
      <c r="A403" s="130" t="str">
        <f t="shared" si="0"/>
        <v>A</v>
      </c>
      <c r="B403" t="s">
        <v>28364</v>
      </c>
      <c r="C403">
        <v>1</v>
      </c>
      <c r="D403" t="s">
        <v>23629</v>
      </c>
      <c r="E403" t="s">
        <v>23632</v>
      </c>
    </row>
    <row r="404" spans="1:5" x14ac:dyDescent="0.25">
      <c r="A404" s="130" t="str">
        <f t="shared" si="0"/>
        <v>A</v>
      </c>
      <c r="B404" t="s">
        <v>28365</v>
      </c>
      <c r="C404">
        <v>1</v>
      </c>
      <c r="D404" t="s">
        <v>23629</v>
      </c>
      <c r="E404" t="s">
        <v>23632</v>
      </c>
    </row>
    <row r="405" spans="1:5" x14ac:dyDescent="0.25">
      <c r="A405" s="130" t="s">
        <v>17414</v>
      </c>
      <c r="B405" t="s">
        <v>23914</v>
      </c>
      <c r="C405">
        <v>1</v>
      </c>
      <c r="D405" t="s">
        <v>23629</v>
      </c>
      <c r="E405" t="s">
        <v>23632</v>
      </c>
    </row>
    <row r="406" spans="1:5" x14ac:dyDescent="0.25">
      <c r="A406" s="130" t="str">
        <f>LEFT(B406,1)</f>
        <v>A</v>
      </c>
      <c r="B406" t="s">
        <v>28366</v>
      </c>
      <c r="C406">
        <v>1</v>
      </c>
      <c r="D406" t="s">
        <v>23629</v>
      </c>
      <c r="E406" t="s">
        <v>23632</v>
      </c>
    </row>
    <row r="407" spans="1:5" x14ac:dyDescent="0.25">
      <c r="A407" s="130" t="str">
        <f>LEFT(B407,1)</f>
        <v>A</v>
      </c>
      <c r="B407" t="s">
        <v>28953</v>
      </c>
      <c r="C407">
        <v>1</v>
      </c>
      <c r="D407" t="s">
        <v>23629</v>
      </c>
      <c r="E407" t="s">
        <v>23632</v>
      </c>
    </row>
    <row r="408" spans="1:5" x14ac:dyDescent="0.25">
      <c r="A408" s="130" t="str">
        <f>LEFT(B408,1)</f>
        <v>A</v>
      </c>
      <c r="B408" t="s">
        <v>28692</v>
      </c>
      <c r="C408">
        <v>1</v>
      </c>
      <c r="D408" t="s">
        <v>23629</v>
      </c>
      <c r="E408" t="s">
        <v>23632</v>
      </c>
    </row>
    <row r="409" spans="1:5" x14ac:dyDescent="0.25">
      <c r="A409" s="131" t="str">
        <f>LEFT(B409,1)</f>
        <v>A</v>
      </c>
      <c r="B409" t="s">
        <v>24014</v>
      </c>
      <c r="C409">
        <v>1</v>
      </c>
      <c r="D409" t="s">
        <v>23629</v>
      </c>
      <c r="E409" t="s">
        <v>23632</v>
      </c>
    </row>
    <row r="410" spans="1:5" x14ac:dyDescent="0.25">
      <c r="A410" s="130" t="str">
        <f>LEFT(B410,1)</f>
        <v>A</v>
      </c>
      <c r="B410" t="s">
        <v>28693</v>
      </c>
      <c r="C410">
        <v>1</v>
      </c>
      <c r="D410" t="s">
        <v>23629</v>
      </c>
      <c r="E410" t="s">
        <v>23632</v>
      </c>
    </row>
    <row r="411" spans="1:5" x14ac:dyDescent="0.25">
      <c r="A411" s="130" t="str">
        <f>LEFT((B411),1)</f>
        <v>A</v>
      </c>
      <c r="B411" t="s">
        <v>23915</v>
      </c>
      <c r="C411">
        <v>1</v>
      </c>
      <c r="D411" t="s">
        <v>23629</v>
      </c>
      <c r="E411" t="s">
        <v>23632</v>
      </c>
    </row>
    <row r="412" spans="1:5" x14ac:dyDescent="0.25">
      <c r="A412" s="131" t="s">
        <v>17414</v>
      </c>
      <c r="B412" t="s">
        <v>23916</v>
      </c>
      <c r="C412">
        <v>1</v>
      </c>
      <c r="D412" t="s">
        <v>23629</v>
      </c>
      <c r="E412" t="s">
        <v>23632</v>
      </c>
    </row>
    <row r="413" spans="1:5" x14ac:dyDescent="0.25">
      <c r="A413" s="130" t="str">
        <f>LEFT(B413,1)</f>
        <v>A</v>
      </c>
      <c r="B413" t="s">
        <v>24015</v>
      </c>
      <c r="C413">
        <v>1</v>
      </c>
      <c r="D413" t="s">
        <v>23629</v>
      </c>
      <c r="E413" t="s">
        <v>23632</v>
      </c>
    </row>
    <row r="414" spans="1:5" x14ac:dyDescent="0.25">
      <c r="A414" s="130" t="s">
        <v>17414</v>
      </c>
      <c r="B414" t="s">
        <v>23917</v>
      </c>
      <c r="C414">
        <v>1</v>
      </c>
      <c r="D414" t="s">
        <v>23629</v>
      </c>
      <c r="E414" t="s">
        <v>23632</v>
      </c>
    </row>
    <row r="415" spans="1:5" x14ac:dyDescent="0.25">
      <c r="A415" s="130" t="str">
        <f>LEFT(B415,1)</f>
        <v>A</v>
      </c>
      <c r="B415" t="s">
        <v>24028</v>
      </c>
      <c r="C415">
        <v>1</v>
      </c>
      <c r="D415" t="s">
        <v>23629</v>
      </c>
      <c r="E415" t="s">
        <v>23632</v>
      </c>
    </row>
    <row r="416" spans="1:5" x14ac:dyDescent="0.25">
      <c r="A416" s="130" t="s">
        <v>17414</v>
      </c>
      <c r="B416" t="s">
        <v>23918</v>
      </c>
      <c r="C416">
        <v>1</v>
      </c>
      <c r="D416" t="s">
        <v>23629</v>
      </c>
      <c r="E416" t="s">
        <v>23632</v>
      </c>
    </row>
    <row r="417" spans="1:5" x14ac:dyDescent="0.25">
      <c r="A417" s="131" t="s">
        <v>17414</v>
      </c>
      <c r="B417" t="s">
        <v>23919</v>
      </c>
      <c r="C417">
        <v>1</v>
      </c>
      <c r="D417" t="s">
        <v>23629</v>
      </c>
      <c r="E417" t="s">
        <v>23632</v>
      </c>
    </row>
    <row r="418" spans="1:5" x14ac:dyDescent="0.25">
      <c r="A418" s="130" t="s">
        <v>17414</v>
      </c>
      <c r="B418" t="s">
        <v>23920</v>
      </c>
      <c r="C418">
        <v>1</v>
      </c>
      <c r="D418" t="s">
        <v>23629</v>
      </c>
      <c r="E418" t="s">
        <v>23632</v>
      </c>
    </row>
    <row r="419" spans="1:5" x14ac:dyDescent="0.25">
      <c r="A419" s="130" t="str">
        <f>LEFT(B419,1)</f>
        <v>A</v>
      </c>
      <c r="B419" t="s">
        <v>28367</v>
      </c>
      <c r="C419">
        <v>1</v>
      </c>
      <c r="D419" t="s">
        <v>23629</v>
      </c>
      <c r="E419" t="s">
        <v>23632</v>
      </c>
    </row>
    <row r="420" spans="1:5" x14ac:dyDescent="0.25">
      <c r="A420" s="131" t="str">
        <f>LEFT((B420),1)</f>
        <v>A</v>
      </c>
      <c r="B420" t="s">
        <v>23921</v>
      </c>
      <c r="C420">
        <v>1</v>
      </c>
      <c r="D420" t="s">
        <v>23629</v>
      </c>
      <c r="E420" t="s">
        <v>23632</v>
      </c>
    </row>
    <row r="421" spans="1:5" x14ac:dyDescent="0.25">
      <c r="A421" s="130" t="s">
        <v>17414</v>
      </c>
      <c r="B421" t="s">
        <v>23922</v>
      </c>
      <c r="C421">
        <v>1</v>
      </c>
      <c r="D421" t="s">
        <v>23629</v>
      </c>
      <c r="E421" t="s">
        <v>23632</v>
      </c>
    </row>
    <row r="422" spans="1:5" x14ac:dyDescent="0.25">
      <c r="A422" s="131" t="s">
        <v>17414</v>
      </c>
      <c r="B422" t="s">
        <v>23923</v>
      </c>
      <c r="C422">
        <v>1</v>
      </c>
      <c r="D422" t="s">
        <v>23629</v>
      </c>
      <c r="E422" t="s">
        <v>23632</v>
      </c>
    </row>
    <row r="423" spans="1:5" x14ac:dyDescent="0.25">
      <c r="A423" s="131" t="s">
        <v>17414</v>
      </c>
      <c r="B423" t="s">
        <v>23924</v>
      </c>
      <c r="C423">
        <v>1</v>
      </c>
      <c r="D423" t="s">
        <v>23629</v>
      </c>
      <c r="E423" t="s">
        <v>23632</v>
      </c>
    </row>
    <row r="424" spans="1:5" x14ac:dyDescent="0.25">
      <c r="A424" s="130" t="s">
        <v>17414</v>
      </c>
      <c r="B424" t="s">
        <v>23925</v>
      </c>
      <c r="C424">
        <v>1.1000000000000001</v>
      </c>
      <c r="D424" t="s">
        <v>23629</v>
      </c>
      <c r="E424" t="s">
        <v>23632</v>
      </c>
    </row>
    <row r="425" spans="1:5" x14ac:dyDescent="0.25">
      <c r="A425" s="131" t="s">
        <v>17414</v>
      </c>
      <c r="B425" t="s">
        <v>23926</v>
      </c>
      <c r="C425">
        <v>1</v>
      </c>
      <c r="D425" t="s">
        <v>23629</v>
      </c>
      <c r="E425" t="s">
        <v>23632</v>
      </c>
    </row>
    <row r="426" spans="1:5" x14ac:dyDescent="0.25">
      <c r="A426" s="130" t="str">
        <f>LEFT(B426,1)</f>
        <v>A</v>
      </c>
      <c r="B426" t="s">
        <v>24057</v>
      </c>
      <c r="C426">
        <v>1</v>
      </c>
      <c r="D426" t="s">
        <v>23629</v>
      </c>
      <c r="E426" t="s">
        <v>23632</v>
      </c>
    </row>
    <row r="427" spans="1:5" x14ac:dyDescent="0.25">
      <c r="A427" s="130" t="str">
        <f>LEFT(B427,1)</f>
        <v>A</v>
      </c>
      <c r="B427" t="s">
        <v>24029</v>
      </c>
      <c r="C427">
        <v>1</v>
      </c>
      <c r="D427" t="s">
        <v>23629</v>
      </c>
      <c r="E427" t="s">
        <v>23632</v>
      </c>
    </row>
    <row r="428" spans="1:5" x14ac:dyDescent="0.25">
      <c r="A428" s="130" t="s">
        <v>17414</v>
      </c>
      <c r="B428" t="s">
        <v>23927</v>
      </c>
      <c r="C428">
        <v>1</v>
      </c>
      <c r="D428" t="s">
        <v>23629</v>
      </c>
      <c r="E428" t="s">
        <v>23632</v>
      </c>
    </row>
    <row r="429" spans="1:5" x14ac:dyDescent="0.25">
      <c r="A429" s="131" t="s">
        <v>17414</v>
      </c>
      <c r="B429" t="s">
        <v>23928</v>
      </c>
      <c r="C429">
        <v>1</v>
      </c>
      <c r="D429" t="s">
        <v>23629</v>
      </c>
      <c r="E429" t="s">
        <v>23632</v>
      </c>
    </row>
    <row r="430" spans="1:5" x14ac:dyDescent="0.25">
      <c r="A430" s="130" t="str">
        <f>LEFT((B430),1)</f>
        <v>A</v>
      </c>
      <c r="B430" t="s">
        <v>23929</v>
      </c>
      <c r="C430">
        <v>1</v>
      </c>
      <c r="D430" t="s">
        <v>23629</v>
      </c>
      <c r="E430" t="s">
        <v>23632</v>
      </c>
    </row>
    <row r="431" spans="1:5" x14ac:dyDescent="0.25">
      <c r="A431" s="131" t="s">
        <v>17414</v>
      </c>
      <c r="B431" t="s">
        <v>23930</v>
      </c>
      <c r="C431">
        <v>1</v>
      </c>
      <c r="D431" t="s">
        <v>23629</v>
      </c>
      <c r="E431" t="s">
        <v>23632</v>
      </c>
    </row>
    <row r="432" spans="1:5" x14ac:dyDescent="0.25">
      <c r="A432" s="130" t="s">
        <v>17414</v>
      </c>
      <c r="B432" t="s">
        <v>23931</v>
      </c>
      <c r="C432">
        <v>1</v>
      </c>
      <c r="D432" t="s">
        <v>23629</v>
      </c>
      <c r="E432" t="s">
        <v>23632</v>
      </c>
    </row>
    <row r="433" spans="1:5" x14ac:dyDescent="0.25">
      <c r="A433" s="130" t="str">
        <f>LEFT(B433,1)</f>
        <v>A</v>
      </c>
      <c r="B433" t="s">
        <v>24030</v>
      </c>
      <c r="C433">
        <v>1</v>
      </c>
      <c r="D433" t="s">
        <v>23629</v>
      </c>
      <c r="E433" t="s">
        <v>23632</v>
      </c>
    </row>
    <row r="434" spans="1:5" x14ac:dyDescent="0.25">
      <c r="A434" s="131" t="str">
        <f>LEFT(B434,1)</f>
        <v>A</v>
      </c>
      <c r="B434" t="s">
        <v>24058</v>
      </c>
      <c r="C434">
        <v>1</v>
      </c>
      <c r="D434" t="s">
        <v>23629</v>
      </c>
      <c r="E434" t="s">
        <v>23632</v>
      </c>
    </row>
    <row r="435" spans="1:5" x14ac:dyDescent="0.25">
      <c r="A435" s="131" t="str">
        <f>LEFT(B435,1)</f>
        <v>A</v>
      </c>
      <c r="B435" t="s">
        <v>24016</v>
      </c>
      <c r="C435">
        <v>1</v>
      </c>
      <c r="D435" t="s">
        <v>23629</v>
      </c>
      <c r="E435" t="s">
        <v>23632</v>
      </c>
    </row>
    <row r="436" spans="1:5" x14ac:dyDescent="0.25">
      <c r="A436" s="131" t="s">
        <v>17414</v>
      </c>
      <c r="B436" t="s">
        <v>23932</v>
      </c>
      <c r="C436">
        <v>1</v>
      </c>
      <c r="D436" t="s">
        <v>23629</v>
      </c>
      <c r="E436" t="s">
        <v>23632</v>
      </c>
    </row>
    <row r="437" spans="1:5" x14ac:dyDescent="0.25">
      <c r="A437" s="131" t="s">
        <v>17414</v>
      </c>
      <c r="B437" t="s">
        <v>23933</v>
      </c>
      <c r="C437">
        <v>1</v>
      </c>
      <c r="D437" t="s">
        <v>23629</v>
      </c>
      <c r="E437" t="s">
        <v>23632</v>
      </c>
    </row>
    <row r="438" spans="1:5" x14ac:dyDescent="0.25">
      <c r="A438" s="130" t="s">
        <v>17414</v>
      </c>
      <c r="B438" t="s">
        <v>23934</v>
      </c>
      <c r="C438">
        <v>1</v>
      </c>
      <c r="D438" t="s">
        <v>23629</v>
      </c>
      <c r="E438" t="s">
        <v>23632</v>
      </c>
    </row>
    <row r="439" spans="1:5" x14ac:dyDescent="0.25">
      <c r="A439" s="131" t="str">
        <f>LEFT((B439),1)</f>
        <v>A</v>
      </c>
      <c r="B439" t="s">
        <v>23935</v>
      </c>
      <c r="C439">
        <v>1</v>
      </c>
      <c r="D439" t="s">
        <v>23629</v>
      </c>
      <c r="E439" t="s">
        <v>23632</v>
      </c>
    </row>
    <row r="440" spans="1:5" x14ac:dyDescent="0.25">
      <c r="A440" s="131" t="s">
        <v>17414</v>
      </c>
      <c r="B440" t="s">
        <v>23936</v>
      </c>
      <c r="C440">
        <v>1</v>
      </c>
      <c r="D440" t="s">
        <v>23629</v>
      </c>
      <c r="E440" t="s">
        <v>23632</v>
      </c>
    </row>
    <row r="441" spans="1:5" x14ac:dyDescent="0.25">
      <c r="A441" s="130" t="s">
        <v>17414</v>
      </c>
      <c r="B441" t="s">
        <v>23937</v>
      </c>
      <c r="C441">
        <v>1</v>
      </c>
      <c r="D441" t="s">
        <v>23629</v>
      </c>
      <c r="E441" t="s">
        <v>23632</v>
      </c>
    </row>
    <row r="442" spans="1:5" x14ac:dyDescent="0.25">
      <c r="A442" s="131" t="s">
        <v>17414</v>
      </c>
      <c r="B442" t="s">
        <v>23938</v>
      </c>
      <c r="C442">
        <v>1</v>
      </c>
      <c r="D442" t="s">
        <v>23629</v>
      </c>
      <c r="E442" t="s">
        <v>23632</v>
      </c>
    </row>
    <row r="443" spans="1:5" x14ac:dyDescent="0.25">
      <c r="A443" s="130" t="s">
        <v>17414</v>
      </c>
      <c r="B443" t="s">
        <v>23939</v>
      </c>
      <c r="C443">
        <v>1</v>
      </c>
      <c r="D443" t="s">
        <v>23629</v>
      </c>
      <c r="E443" t="s">
        <v>23632</v>
      </c>
    </row>
    <row r="444" spans="1:5" x14ac:dyDescent="0.25">
      <c r="A444" s="130" t="str">
        <f>LEFT((B444),1)</f>
        <v>A</v>
      </c>
      <c r="B444" t="s">
        <v>23940</v>
      </c>
      <c r="C444">
        <v>1</v>
      </c>
      <c r="D444" t="s">
        <v>23629</v>
      </c>
      <c r="E444" t="s">
        <v>23632</v>
      </c>
    </row>
    <row r="445" spans="1:5" x14ac:dyDescent="0.25">
      <c r="A445" s="130" t="s">
        <v>17414</v>
      </c>
      <c r="B445" t="s">
        <v>23941</v>
      </c>
      <c r="C445">
        <v>1</v>
      </c>
      <c r="D445" t="s">
        <v>23629</v>
      </c>
      <c r="E445" t="s">
        <v>23632</v>
      </c>
    </row>
    <row r="446" spans="1:5" x14ac:dyDescent="0.25">
      <c r="A446" s="130" t="str">
        <f>LEFT(B446,1)</f>
        <v>A</v>
      </c>
      <c r="B446" t="s">
        <v>28368</v>
      </c>
      <c r="C446">
        <v>1</v>
      </c>
      <c r="D446" t="s">
        <v>23629</v>
      </c>
      <c r="E446" t="s">
        <v>23632</v>
      </c>
    </row>
    <row r="447" spans="1:5" x14ac:dyDescent="0.25">
      <c r="A447" s="130" t="str">
        <f>LEFT(B447,1)</f>
        <v>A</v>
      </c>
      <c r="B447" t="s">
        <v>28694</v>
      </c>
      <c r="C447">
        <v>1</v>
      </c>
      <c r="D447" t="s">
        <v>23629</v>
      </c>
      <c r="E447" t="s">
        <v>23632</v>
      </c>
    </row>
    <row r="448" spans="1:5" x14ac:dyDescent="0.25">
      <c r="A448" s="131" t="s">
        <v>17414</v>
      </c>
      <c r="B448" t="s">
        <v>23942</v>
      </c>
      <c r="C448">
        <v>1</v>
      </c>
      <c r="D448" t="s">
        <v>23629</v>
      </c>
      <c r="E448" t="s">
        <v>23632</v>
      </c>
    </row>
    <row r="449" spans="1:5" x14ac:dyDescent="0.25">
      <c r="A449" s="130" t="str">
        <f>LEFT(B449,1)</f>
        <v>A</v>
      </c>
      <c r="B449" t="s">
        <v>28695</v>
      </c>
      <c r="C449">
        <v>1</v>
      </c>
      <c r="D449" t="s">
        <v>23629</v>
      </c>
      <c r="E449" t="s">
        <v>23632</v>
      </c>
    </row>
    <row r="450" spans="1:5" x14ac:dyDescent="0.25">
      <c r="A450" s="130" t="str">
        <f>LEFT(B450,1)</f>
        <v>A</v>
      </c>
      <c r="B450" t="s">
        <v>28369</v>
      </c>
      <c r="C450">
        <v>1</v>
      </c>
      <c r="D450" t="s">
        <v>23629</v>
      </c>
      <c r="E450" t="s">
        <v>23632</v>
      </c>
    </row>
    <row r="451" spans="1:5" x14ac:dyDescent="0.25">
      <c r="A451" s="130" t="s">
        <v>17414</v>
      </c>
      <c r="B451" t="s">
        <v>23943</v>
      </c>
      <c r="C451">
        <v>1</v>
      </c>
      <c r="D451" t="s">
        <v>23629</v>
      </c>
      <c r="E451" t="s">
        <v>23632</v>
      </c>
    </row>
    <row r="452" spans="1:5" x14ac:dyDescent="0.25">
      <c r="A452" s="130" t="s">
        <v>17414</v>
      </c>
      <c r="B452" t="s">
        <v>23944</v>
      </c>
      <c r="C452">
        <v>1</v>
      </c>
      <c r="D452" t="s">
        <v>23629</v>
      </c>
      <c r="E452" t="s">
        <v>23632</v>
      </c>
    </row>
    <row r="453" spans="1:5" x14ac:dyDescent="0.25">
      <c r="A453" s="131" t="s">
        <v>17414</v>
      </c>
      <c r="B453" t="s">
        <v>23945</v>
      </c>
      <c r="C453">
        <v>1</v>
      </c>
      <c r="D453" t="s">
        <v>23629</v>
      </c>
      <c r="E453" t="s">
        <v>23632</v>
      </c>
    </row>
    <row r="454" spans="1:5" x14ac:dyDescent="0.25">
      <c r="A454" s="131" t="s">
        <v>17414</v>
      </c>
      <c r="B454" t="s">
        <v>23946</v>
      </c>
      <c r="C454">
        <v>1.1000000000000001</v>
      </c>
      <c r="D454" t="s">
        <v>23629</v>
      </c>
      <c r="E454" t="s">
        <v>23632</v>
      </c>
    </row>
    <row r="455" spans="1:5" x14ac:dyDescent="0.25">
      <c r="A455" s="130" t="s">
        <v>17414</v>
      </c>
      <c r="B455" t="s">
        <v>23947</v>
      </c>
      <c r="C455">
        <v>1</v>
      </c>
      <c r="D455" t="s">
        <v>23629</v>
      </c>
      <c r="E455" t="s">
        <v>23632</v>
      </c>
    </row>
    <row r="456" spans="1:5" x14ac:dyDescent="0.25">
      <c r="A456" s="131" t="s">
        <v>17414</v>
      </c>
      <c r="B456" t="s">
        <v>23948</v>
      </c>
      <c r="C456">
        <v>1</v>
      </c>
      <c r="D456" t="s">
        <v>23629</v>
      </c>
      <c r="E456" t="s">
        <v>23632</v>
      </c>
    </row>
    <row r="457" spans="1:5" x14ac:dyDescent="0.25">
      <c r="A457" s="130" t="str">
        <f>LEFT(B457,1)</f>
        <v>A</v>
      </c>
      <c r="B457" t="s">
        <v>29196</v>
      </c>
      <c r="C457">
        <v>1</v>
      </c>
      <c r="D457" t="s">
        <v>23629</v>
      </c>
      <c r="E457" t="s">
        <v>23632</v>
      </c>
    </row>
    <row r="458" spans="1:5" x14ac:dyDescent="0.25">
      <c r="A458" s="130" t="s">
        <v>17414</v>
      </c>
      <c r="B458" t="s">
        <v>23949</v>
      </c>
      <c r="C458">
        <v>1</v>
      </c>
      <c r="D458" t="s">
        <v>23629</v>
      </c>
      <c r="E458" t="s">
        <v>23632</v>
      </c>
    </row>
    <row r="459" spans="1:5" x14ac:dyDescent="0.25">
      <c r="A459" s="130" t="s">
        <v>17414</v>
      </c>
      <c r="B459" t="s">
        <v>23950</v>
      </c>
      <c r="C459">
        <v>1</v>
      </c>
      <c r="D459" t="s">
        <v>23629</v>
      </c>
      <c r="E459" t="s">
        <v>23632</v>
      </c>
    </row>
    <row r="460" spans="1:5" x14ac:dyDescent="0.25">
      <c r="A460" s="130" t="s">
        <v>17414</v>
      </c>
      <c r="B460" t="s">
        <v>23951</v>
      </c>
      <c r="C460">
        <v>1</v>
      </c>
      <c r="D460" t="s">
        <v>23629</v>
      </c>
      <c r="E460" t="s">
        <v>23632</v>
      </c>
    </row>
    <row r="461" spans="1:5" x14ac:dyDescent="0.25">
      <c r="A461" s="131" t="s">
        <v>17414</v>
      </c>
      <c r="B461" t="s">
        <v>23952</v>
      </c>
      <c r="C461">
        <v>1</v>
      </c>
      <c r="D461" t="s">
        <v>23629</v>
      </c>
      <c r="E461" t="s">
        <v>23632</v>
      </c>
    </row>
    <row r="462" spans="1:5" x14ac:dyDescent="0.25">
      <c r="A462" s="131" t="s">
        <v>17414</v>
      </c>
      <c r="B462" t="s">
        <v>23953</v>
      </c>
      <c r="C462">
        <v>1</v>
      </c>
      <c r="D462" t="s">
        <v>23629</v>
      </c>
      <c r="E462" t="s">
        <v>23632</v>
      </c>
    </row>
    <row r="463" spans="1:5" x14ac:dyDescent="0.25">
      <c r="A463" s="130" t="s">
        <v>17414</v>
      </c>
      <c r="B463" t="s">
        <v>23954</v>
      </c>
      <c r="C463">
        <v>1</v>
      </c>
      <c r="D463" t="s">
        <v>23629</v>
      </c>
      <c r="E463" t="s">
        <v>23632</v>
      </c>
    </row>
    <row r="464" spans="1:5" x14ac:dyDescent="0.25">
      <c r="A464" s="131" t="s">
        <v>17414</v>
      </c>
      <c r="B464" t="s">
        <v>23955</v>
      </c>
      <c r="C464">
        <v>1</v>
      </c>
      <c r="D464" t="s">
        <v>23629</v>
      </c>
      <c r="E464" t="s">
        <v>23632</v>
      </c>
    </row>
    <row r="465" spans="1:5" x14ac:dyDescent="0.25">
      <c r="A465" s="130" t="s">
        <v>17414</v>
      </c>
      <c r="B465" t="s">
        <v>23956</v>
      </c>
      <c r="C465">
        <v>1</v>
      </c>
      <c r="D465" t="s">
        <v>23629</v>
      </c>
      <c r="E465" t="s">
        <v>23632</v>
      </c>
    </row>
    <row r="466" spans="1:5" x14ac:dyDescent="0.25">
      <c r="A466" s="131" t="s">
        <v>17414</v>
      </c>
      <c r="B466" t="s">
        <v>23957</v>
      </c>
      <c r="C466">
        <v>1</v>
      </c>
      <c r="D466" t="s">
        <v>23629</v>
      </c>
      <c r="E466" t="s">
        <v>23632</v>
      </c>
    </row>
    <row r="467" spans="1:5" x14ac:dyDescent="0.25">
      <c r="A467" s="130" t="s">
        <v>17414</v>
      </c>
      <c r="B467" t="s">
        <v>23958</v>
      </c>
      <c r="C467">
        <v>1</v>
      </c>
      <c r="D467" t="s">
        <v>23629</v>
      </c>
      <c r="E467" t="s">
        <v>23632</v>
      </c>
    </row>
    <row r="468" spans="1:5" x14ac:dyDescent="0.25">
      <c r="A468" s="131" t="s">
        <v>17414</v>
      </c>
      <c r="B468" t="s">
        <v>23959</v>
      </c>
      <c r="C468">
        <v>1</v>
      </c>
      <c r="D468" t="s">
        <v>23629</v>
      </c>
      <c r="E468" t="s">
        <v>23632</v>
      </c>
    </row>
    <row r="469" spans="1:5" x14ac:dyDescent="0.25">
      <c r="A469" s="130" t="str">
        <f>LEFT(B469,1)</f>
        <v>A</v>
      </c>
      <c r="B469" t="s">
        <v>28954</v>
      </c>
      <c r="C469">
        <v>1</v>
      </c>
      <c r="D469" t="s">
        <v>23629</v>
      </c>
      <c r="E469" t="s">
        <v>23632</v>
      </c>
    </row>
    <row r="470" spans="1:5" x14ac:dyDescent="0.25">
      <c r="A470" s="131" t="s">
        <v>17414</v>
      </c>
      <c r="B470" t="s">
        <v>23960</v>
      </c>
      <c r="C470">
        <v>1</v>
      </c>
      <c r="D470" t="s">
        <v>23629</v>
      </c>
      <c r="E470" t="s">
        <v>23632</v>
      </c>
    </row>
    <row r="471" spans="1:5" x14ac:dyDescent="0.25">
      <c r="A471" s="130" t="s">
        <v>17414</v>
      </c>
      <c r="B471" t="s">
        <v>23961</v>
      </c>
      <c r="C471">
        <v>1.1000000000000001</v>
      </c>
      <c r="D471" t="s">
        <v>23629</v>
      </c>
      <c r="E471" t="s">
        <v>23632</v>
      </c>
    </row>
    <row r="472" spans="1:5" x14ac:dyDescent="0.25">
      <c r="A472" s="130" t="s">
        <v>17414</v>
      </c>
      <c r="B472" t="s">
        <v>23962</v>
      </c>
      <c r="C472">
        <v>1</v>
      </c>
      <c r="D472" t="s">
        <v>23629</v>
      </c>
      <c r="E472" t="s">
        <v>23632</v>
      </c>
    </row>
    <row r="473" spans="1:5" x14ac:dyDescent="0.25">
      <c r="A473" s="131" t="str">
        <f>LEFT((B473),1)</f>
        <v>A</v>
      </c>
      <c r="B473" t="s">
        <v>23963</v>
      </c>
      <c r="C473">
        <v>1</v>
      </c>
      <c r="D473" t="s">
        <v>23629</v>
      </c>
      <c r="E473" t="s">
        <v>23632</v>
      </c>
    </row>
    <row r="474" spans="1:5" x14ac:dyDescent="0.25">
      <c r="A474" s="131" t="s">
        <v>17414</v>
      </c>
      <c r="B474" t="s">
        <v>23964</v>
      </c>
      <c r="C474">
        <v>1</v>
      </c>
      <c r="D474" t="s">
        <v>23629</v>
      </c>
      <c r="E474" t="s">
        <v>23632</v>
      </c>
    </row>
    <row r="475" spans="1:5" x14ac:dyDescent="0.25">
      <c r="A475" s="130" t="s">
        <v>17414</v>
      </c>
      <c r="B475" t="s">
        <v>23965</v>
      </c>
      <c r="C475">
        <v>1</v>
      </c>
      <c r="D475" t="s">
        <v>23629</v>
      </c>
      <c r="E475" t="s">
        <v>23632</v>
      </c>
    </row>
    <row r="476" spans="1:5" x14ac:dyDescent="0.25">
      <c r="A476" s="131" t="s">
        <v>17414</v>
      </c>
      <c r="B476" t="s">
        <v>23966</v>
      </c>
      <c r="C476">
        <v>1</v>
      </c>
      <c r="D476" t="s">
        <v>23629</v>
      </c>
      <c r="E476" t="s">
        <v>23632</v>
      </c>
    </row>
    <row r="477" spans="1:5" x14ac:dyDescent="0.25">
      <c r="A477" s="131" t="s">
        <v>17414</v>
      </c>
      <c r="B477" t="s">
        <v>23967</v>
      </c>
      <c r="C477">
        <v>1</v>
      </c>
      <c r="D477" t="s">
        <v>23629</v>
      </c>
      <c r="E477" t="s">
        <v>23632</v>
      </c>
    </row>
    <row r="478" spans="1:5" x14ac:dyDescent="0.25">
      <c r="A478" s="130" t="str">
        <f>LEFT(B478,1)</f>
        <v>A</v>
      </c>
      <c r="B478" t="s">
        <v>28696</v>
      </c>
      <c r="C478">
        <v>1</v>
      </c>
      <c r="D478" t="s">
        <v>23629</v>
      </c>
      <c r="E478" t="s">
        <v>23632</v>
      </c>
    </row>
    <row r="479" spans="1:5" x14ac:dyDescent="0.25">
      <c r="A479" s="131" t="s">
        <v>17414</v>
      </c>
      <c r="B479" t="s">
        <v>23968</v>
      </c>
      <c r="C479">
        <v>1</v>
      </c>
      <c r="D479" t="s">
        <v>23629</v>
      </c>
      <c r="E479" t="s">
        <v>23632</v>
      </c>
    </row>
    <row r="480" spans="1:5" x14ac:dyDescent="0.25">
      <c r="A480" s="130" t="str">
        <f>LEFT((B480),1)</f>
        <v>A</v>
      </c>
      <c r="B480" t="s">
        <v>23969</v>
      </c>
      <c r="C480">
        <v>1</v>
      </c>
      <c r="D480" t="s">
        <v>23629</v>
      </c>
      <c r="E480" t="s">
        <v>23632</v>
      </c>
    </row>
    <row r="481" spans="1:5" x14ac:dyDescent="0.25">
      <c r="A481" s="131" t="str">
        <f>LEFT((B481),1)</f>
        <v>A</v>
      </c>
      <c r="B481" t="s">
        <v>23970</v>
      </c>
      <c r="C481">
        <v>1</v>
      </c>
      <c r="D481" t="s">
        <v>23629</v>
      </c>
      <c r="E481" t="s">
        <v>23632</v>
      </c>
    </row>
    <row r="482" spans="1:5" x14ac:dyDescent="0.25">
      <c r="A482" s="130" t="str">
        <f>LEFT(B482,1)</f>
        <v>A</v>
      </c>
      <c r="B482" t="s">
        <v>28955</v>
      </c>
      <c r="C482">
        <v>1</v>
      </c>
      <c r="D482" t="s">
        <v>23629</v>
      </c>
      <c r="E482" t="s">
        <v>23632</v>
      </c>
    </row>
    <row r="483" spans="1:5" x14ac:dyDescent="0.25">
      <c r="A483" s="130" t="str">
        <f>LEFT(B483,1)</f>
        <v>A</v>
      </c>
      <c r="B483" t="s">
        <v>24031</v>
      </c>
      <c r="C483">
        <v>1</v>
      </c>
      <c r="D483" t="s">
        <v>23629</v>
      </c>
      <c r="E483" t="s">
        <v>23632</v>
      </c>
    </row>
    <row r="484" spans="1:5" x14ac:dyDescent="0.25">
      <c r="A484" s="130" t="s">
        <v>17414</v>
      </c>
      <c r="B484" t="s">
        <v>23971</v>
      </c>
      <c r="C484">
        <v>1.1000000000000001</v>
      </c>
      <c r="D484" t="s">
        <v>23825</v>
      </c>
      <c r="E484" t="s">
        <v>23632</v>
      </c>
    </row>
    <row r="485" spans="1:5" x14ac:dyDescent="0.25">
      <c r="A485" s="131" t="s">
        <v>17414</v>
      </c>
      <c r="B485" t="s">
        <v>23972</v>
      </c>
      <c r="C485">
        <v>1</v>
      </c>
      <c r="D485" t="s">
        <v>23629</v>
      </c>
      <c r="E485" t="s">
        <v>23632</v>
      </c>
    </row>
    <row r="486" spans="1:5" x14ac:dyDescent="0.25">
      <c r="A486" s="131" t="s">
        <v>17414</v>
      </c>
      <c r="B486" t="s">
        <v>23973</v>
      </c>
      <c r="C486">
        <v>1</v>
      </c>
      <c r="D486" t="s">
        <v>23629</v>
      </c>
      <c r="E486" t="s">
        <v>23632</v>
      </c>
    </row>
    <row r="487" spans="1:5" x14ac:dyDescent="0.25">
      <c r="A487" s="131" t="s">
        <v>17414</v>
      </c>
      <c r="B487" t="s">
        <v>23974</v>
      </c>
      <c r="C487">
        <v>1</v>
      </c>
      <c r="D487" t="s">
        <v>23629</v>
      </c>
      <c r="E487" t="s">
        <v>23632</v>
      </c>
    </row>
    <row r="488" spans="1:5" x14ac:dyDescent="0.25">
      <c r="A488" s="131" t="s">
        <v>17414</v>
      </c>
      <c r="B488" t="s">
        <v>23975</v>
      </c>
      <c r="C488">
        <v>1</v>
      </c>
      <c r="D488" t="s">
        <v>23629</v>
      </c>
      <c r="E488" t="s">
        <v>23632</v>
      </c>
    </row>
    <row r="489" spans="1:5" x14ac:dyDescent="0.25">
      <c r="A489" s="130" t="str">
        <f>LEFT(B489,1)</f>
        <v>A</v>
      </c>
      <c r="B489" t="s">
        <v>28956</v>
      </c>
      <c r="C489">
        <v>1</v>
      </c>
      <c r="D489" t="s">
        <v>23629</v>
      </c>
      <c r="E489" t="s">
        <v>23632</v>
      </c>
    </row>
    <row r="490" spans="1:5" x14ac:dyDescent="0.25">
      <c r="A490" s="130" t="s">
        <v>17414</v>
      </c>
      <c r="B490" t="s">
        <v>23976</v>
      </c>
      <c r="C490">
        <v>1</v>
      </c>
      <c r="D490" t="s">
        <v>23629</v>
      </c>
      <c r="E490" t="s">
        <v>23632</v>
      </c>
    </row>
    <row r="491" spans="1:5" x14ac:dyDescent="0.25">
      <c r="A491" s="130" t="s">
        <v>17414</v>
      </c>
      <c r="B491" t="s">
        <v>23977</v>
      </c>
      <c r="C491">
        <v>1</v>
      </c>
      <c r="D491" t="s">
        <v>23629</v>
      </c>
      <c r="E491" t="s">
        <v>23632</v>
      </c>
    </row>
    <row r="492" spans="1:5" x14ac:dyDescent="0.25">
      <c r="A492" s="131" t="s">
        <v>17414</v>
      </c>
      <c r="B492" t="s">
        <v>23978</v>
      </c>
      <c r="C492">
        <v>1</v>
      </c>
      <c r="D492" t="s">
        <v>23629</v>
      </c>
      <c r="E492" t="s">
        <v>23632</v>
      </c>
    </row>
    <row r="493" spans="1:5" x14ac:dyDescent="0.25">
      <c r="A493" s="130" t="s">
        <v>17414</v>
      </c>
      <c r="B493" t="s">
        <v>23979</v>
      </c>
      <c r="C493">
        <v>1</v>
      </c>
      <c r="D493" t="s">
        <v>23629</v>
      </c>
      <c r="E493" t="s">
        <v>23632</v>
      </c>
    </row>
    <row r="494" spans="1:5" x14ac:dyDescent="0.25">
      <c r="A494" s="130" t="str">
        <f>LEFT(B494,1)</f>
        <v>A</v>
      </c>
      <c r="B494" t="s">
        <v>28697</v>
      </c>
      <c r="C494">
        <v>1</v>
      </c>
      <c r="D494" t="s">
        <v>23629</v>
      </c>
      <c r="E494" t="s">
        <v>23632</v>
      </c>
    </row>
    <row r="495" spans="1:5" x14ac:dyDescent="0.25">
      <c r="A495" s="131" t="s">
        <v>17414</v>
      </c>
      <c r="B495" t="s">
        <v>23980</v>
      </c>
      <c r="C495">
        <v>1</v>
      </c>
      <c r="D495" t="s">
        <v>23629</v>
      </c>
      <c r="E495" t="s">
        <v>23632</v>
      </c>
    </row>
    <row r="496" spans="1:5" x14ac:dyDescent="0.25">
      <c r="A496" s="131" t="s">
        <v>17414</v>
      </c>
      <c r="B496" t="s">
        <v>23981</v>
      </c>
      <c r="C496">
        <v>1</v>
      </c>
      <c r="D496" t="s">
        <v>23629</v>
      </c>
      <c r="E496" t="s">
        <v>23632</v>
      </c>
    </row>
    <row r="497" spans="1:5" x14ac:dyDescent="0.25">
      <c r="A497" s="130" t="s">
        <v>17414</v>
      </c>
      <c r="B497" t="s">
        <v>23982</v>
      </c>
      <c r="C497">
        <v>1</v>
      </c>
      <c r="D497" t="s">
        <v>23629</v>
      </c>
      <c r="E497" t="s">
        <v>23632</v>
      </c>
    </row>
    <row r="498" spans="1:5" x14ac:dyDescent="0.25">
      <c r="A498" s="131" t="s">
        <v>17414</v>
      </c>
      <c r="B498" t="s">
        <v>23983</v>
      </c>
      <c r="C498">
        <v>1</v>
      </c>
      <c r="D498" t="s">
        <v>23629</v>
      </c>
      <c r="E498" t="s">
        <v>23632</v>
      </c>
    </row>
    <row r="499" spans="1:5" x14ac:dyDescent="0.25">
      <c r="A499" s="131" t="s">
        <v>17414</v>
      </c>
      <c r="B499" t="s">
        <v>23984</v>
      </c>
      <c r="C499">
        <v>1</v>
      </c>
      <c r="D499" t="s">
        <v>23629</v>
      </c>
      <c r="E499" t="s">
        <v>23632</v>
      </c>
    </row>
    <row r="500" spans="1:5" x14ac:dyDescent="0.25">
      <c r="A500" s="130" t="s">
        <v>17414</v>
      </c>
      <c r="B500" t="s">
        <v>23985</v>
      </c>
      <c r="C500">
        <v>1</v>
      </c>
      <c r="D500" t="s">
        <v>23629</v>
      </c>
      <c r="E500" t="s">
        <v>23632</v>
      </c>
    </row>
    <row r="501" spans="1:5" x14ac:dyDescent="0.25">
      <c r="A501" s="130" t="s">
        <v>17414</v>
      </c>
      <c r="B501" t="s">
        <v>23986</v>
      </c>
      <c r="C501">
        <v>1</v>
      </c>
      <c r="D501" t="s">
        <v>23629</v>
      </c>
      <c r="E501" t="s">
        <v>23632</v>
      </c>
    </row>
    <row r="502" spans="1:5" x14ac:dyDescent="0.25">
      <c r="A502" s="130" t="str">
        <f>LEFT(B502,1)</f>
        <v>A</v>
      </c>
      <c r="B502" t="s">
        <v>28370</v>
      </c>
      <c r="C502">
        <v>1</v>
      </c>
      <c r="D502" t="s">
        <v>23629</v>
      </c>
      <c r="E502" t="s">
        <v>23632</v>
      </c>
    </row>
    <row r="503" spans="1:5" x14ac:dyDescent="0.25">
      <c r="A503" s="130" t="s">
        <v>17414</v>
      </c>
      <c r="B503" t="s">
        <v>23987</v>
      </c>
      <c r="C503">
        <v>1</v>
      </c>
      <c r="D503" t="s">
        <v>23629</v>
      </c>
      <c r="E503" t="s">
        <v>23632</v>
      </c>
    </row>
    <row r="504" spans="1:5" x14ac:dyDescent="0.25">
      <c r="A504" s="131" t="s">
        <v>17414</v>
      </c>
      <c r="B504" t="s">
        <v>23988</v>
      </c>
      <c r="C504">
        <v>1</v>
      </c>
      <c r="D504" t="s">
        <v>23629</v>
      </c>
      <c r="E504" t="s">
        <v>23632</v>
      </c>
    </row>
    <row r="505" spans="1:5" x14ac:dyDescent="0.25">
      <c r="A505" s="130" t="str">
        <f>LEFT(B505,1)</f>
        <v>A</v>
      </c>
      <c r="B505" t="s">
        <v>28957</v>
      </c>
      <c r="C505">
        <v>1</v>
      </c>
      <c r="D505" t="s">
        <v>23629</v>
      </c>
      <c r="E505" t="s">
        <v>23632</v>
      </c>
    </row>
    <row r="506" spans="1:5" x14ac:dyDescent="0.25">
      <c r="A506" s="130" t="str">
        <f>LEFT(B506,1)</f>
        <v>A</v>
      </c>
      <c r="B506" t="s">
        <v>28371</v>
      </c>
      <c r="C506">
        <v>1</v>
      </c>
      <c r="D506" t="s">
        <v>23629</v>
      </c>
      <c r="E506" t="s">
        <v>23632</v>
      </c>
    </row>
    <row r="507" spans="1:5" x14ac:dyDescent="0.25">
      <c r="A507" s="130" t="s">
        <v>17414</v>
      </c>
      <c r="B507" t="s">
        <v>23989</v>
      </c>
      <c r="C507">
        <v>1</v>
      </c>
      <c r="D507" t="s">
        <v>23629</v>
      </c>
      <c r="E507" t="s">
        <v>23632</v>
      </c>
    </row>
    <row r="508" spans="1:5" x14ac:dyDescent="0.25">
      <c r="A508" s="130" t="str">
        <f>LEFT((B508),1)</f>
        <v>A</v>
      </c>
      <c r="B508" t="s">
        <v>23990</v>
      </c>
      <c r="C508">
        <v>1</v>
      </c>
      <c r="D508" t="s">
        <v>23629</v>
      </c>
      <c r="E508" t="s">
        <v>23632</v>
      </c>
    </row>
    <row r="509" spans="1:5" x14ac:dyDescent="0.25">
      <c r="A509" s="131" t="s">
        <v>17414</v>
      </c>
      <c r="B509" t="s">
        <v>23991</v>
      </c>
      <c r="C509">
        <v>1</v>
      </c>
      <c r="D509" t="s">
        <v>23629</v>
      </c>
      <c r="E509" t="s">
        <v>23632</v>
      </c>
    </row>
    <row r="510" spans="1:5" x14ac:dyDescent="0.25">
      <c r="A510" s="130" t="str">
        <f>LEFT(B510,1)</f>
        <v>A</v>
      </c>
      <c r="B510" t="s">
        <v>28958</v>
      </c>
      <c r="C510">
        <v>1</v>
      </c>
      <c r="D510" t="s">
        <v>23629</v>
      </c>
      <c r="E510" t="s">
        <v>23632</v>
      </c>
    </row>
    <row r="511" spans="1:5" x14ac:dyDescent="0.25">
      <c r="A511" s="130" t="s">
        <v>17414</v>
      </c>
      <c r="B511" t="s">
        <v>23992</v>
      </c>
      <c r="C511">
        <v>1</v>
      </c>
      <c r="D511" t="s">
        <v>23629</v>
      </c>
      <c r="E511" t="s">
        <v>23632</v>
      </c>
    </row>
    <row r="512" spans="1:5" x14ac:dyDescent="0.25">
      <c r="A512" s="131" t="s">
        <v>17414</v>
      </c>
      <c r="B512" t="s">
        <v>23993</v>
      </c>
      <c r="C512">
        <v>1.1100000000000001</v>
      </c>
      <c r="D512" t="s">
        <v>23825</v>
      </c>
      <c r="E512" t="s">
        <v>23632</v>
      </c>
    </row>
    <row r="513" spans="1:5" x14ac:dyDescent="0.25">
      <c r="A513" s="130" t="s">
        <v>17414</v>
      </c>
      <c r="B513" t="s">
        <v>23994</v>
      </c>
      <c r="C513">
        <v>1</v>
      </c>
      <c r="D513" t="s">
        <v>23629</v>
      </c>
      <c r="E513" t="s">
        <v>23632</v>
      </c>
    </row>
    <row r="514" spans="1:5" x14ac:dyDescent="0.25">
      <c r="A514" s="131" t="s">
        <v>17414</v>
      </c>
      <c r="B514" t="s">
        <v>23995</v>
      </c>
      <c r="C514">
        <v>1</v>
      </c>
      <c r="D514" t="s">
        <v>23629</v>
      </c>
      <c r="E514" t="s">
        <v>23632</v>
      </c>
    </row>
    <row r="515" spans="1:5" x14ac:dyDescent="0.25">
      <c r="A515" s="130" t="s">
        <v>17414</v>
      </c>
      <c r="B515" t="s">
        <v>23996</v>
      </c>
      <c r="C515">
        <v>1</v>
      </c>
      <c r="D515" t="s">
        <v>23629</v>
      </c>
      <c r="E515" t="s">
        <v>23632</v>
      </c>
    </row>
    <row r="516" spans="1:5" x14ac:dyDescent="0.25">
      <c r="A516" s="130" t="s">
        <v>17863</v>
      </c>
      <c r="B516" t="s">
        <v>24059</v>
      </c>
      <c r="C516">
        <v>1</v>
      </c>
      <c r="D516" t="s">
        <v>23629</v>
      </c>
      <c r="E516" t="s">
        <v>23632</v>
      </c>
    </row>
    <row r="517" spans="1:5" x14ac:dyDescent="0.25">
      <c r="A517" s="130" t="str">
        <f>LEFT(B517,1)</f>
        <v>B</v>
      </c>
      <c r="B517" t="s">
        <v>28372</v>
      </c>
      <c r="C517">
        <v>1</v>
      </c>
      <c r="D517" t="s">
        <v>23629</v>
      </c>
      <c r="E517" t="s">
        <v>23632</v>
      </c>
    </row>
    <row r="518" spans="1:5" x14ac:dyDescent="0.25">
      <c r="A518" s="130" t="str">
        <f>LEFT(B518,1)</f>
        <v>B</v>
      </c>
      <c r="B518" t="s">
        <v>28373</v>
      </c>
      <c r="C518">
        <v>1</v>
      </c>
      <c r="D518" t="s">
        <v>23629</v>
      </c>
      <c r="E518" t="s">
        <v>23632</v>
      </c>
    </row>
    <row r="519" spans="1:5" x14ac:dyDescent="0.25">
      <c r="A519" s="131" t="s">
        <v>17863</v>
      </c>
      <c r="B519" t="s">
        <v>24060</v>
      </c>
      <c r="C519">
        <v>1</v>
      </c>
      <c r="D519" t="s">
        <v>23629</v>
      </c>
      <c r="E519" t="s">
        <v>23632</v>
      </c>
    </row>
    <row r="520" spans="1:5" x14ac:dyDescent="0.25">
      <c r="A520" s="131" t="s">
        <v>17863</v>
      </c>
      <c r="B520" t="s">
        <v>24061</v>
      </c>
      <c r="C520">
        <v>1</v>
      </c>
      <c r="D520" t="s">
        <v>23629</v>
      </c>
      <c r="E520" t="s">
        <v>23632</v>
      </c>
    </row>
    <row r="521" spans="1:5" x14ac:dyDescent="0.25">
      <c r="A521" s="131" t="s">
        <v>17863</v>
      </c>
      <c r="B521" t="s">
        <v>24062</v>
      </c>
      <c r="C521">
        <v>1</v>
      </c>
      <c r="D521" t="s">
        <v>23629</v>
      </c>
      <c r="E521" t="s">
        <v>23632</v>
      </c>
    </row>
    <row r="522" spans="1:5" x14ac:dyDescent="0.25">
      <c r="A522" s="130" t="str">
        <f>LEFT(B522,1)</f>
        <v>B</v>
      </c>
      <c r="B522" t="s">
        <v>28374</v>
      </c>
      <c r="C522">
        <v>1</v>
      </c>
      <c r="D522" t="s">
        <v>23629</v>
      </c>
      <c r="E522" t="s">
        <v>23632</v>
      </c>
    </row>
    <row r="523" spans="1:5" x14ac:dyDescent="0.25">
      <c r="A523" s="130" t="s">
        <v>17863</v>
      </c>
      <c r="B523" t="s">
        <v>24063</v>
      </c>
      <c r="C523">
        <v>1.1000000000000001</v>
      </c>
      <c r="D523" t="s">
        <v>23629</v>
      </c>
      <c r="E523" t="s">
        <v>23632</v>
      </c>
    </row>
    <row r="524" spans="1:5" x14ac:dyDescent="0.25">
      <c r="A524" s="130" t="s">
        <v>17863</v>
      </c>
      <c r="B524" t="s">
        <v>24064</v>
      </c>
      <c r="C524">
        <v>1</v>
      </c>
      <c r="D524" t="s">
        <v>23629</v>
      </c>
      <c r="E524" t="s">
        <v>23632</v>
      </c>
    </row>
    <row r="525" spans="1:5" x14ac:dyDescent="0.25">
      <c r="A525" s="131" t="s">
        <v>17863</v>
      </c>
      <c r="B525" t="s">
        <v>24065</v>
      </c>
      <c r="C525">
        <v>1</v>
      </c>
      <c r="D525" t="s">
        <v>23629</v>
      </c>
      <c r="E525" t="s">
        <v>23632</v>
      </c>
    </row>
    <row r="526" spans="1:5" x14ac:dyDescent="0.25">
      <c r="A526" s="130" t="str">
        <f>LEFT(B526,1)</f>
        <v>B</v>
      </c>
      <c r="B526" t="s">
        <v>24183</v>
      </c>
      <c r="C526">
        <v>1</v>
      </c>
      <c r="D526" t="s">
        <v>24184</v>
      </c>
      <c r="E526" t="s">
        <v>23632</v>
      </c>
    </row>
    <row r="527" spans="1:5" x14ac:dyDescent="0.25">
      <c r="A527" s="130" t="s">
        <v>17863</v>
      </c>
      <c r="B527" t="s">
        <v>24066</v>
      </c>
      <c r="C527">
        <v>1</v>
      </c>
      <c r="D527" t="s">
        <v>23629</v>
      </c>
      <c r="E527" t="s">
        <v>23632</v>
      </c>
    </row>
    <row r="528" spans="1:5" x14ac:dyDescent="0.25">
      <c r="A528" s="130" t="str">
        <f>LEFT(B528,1)</f>
        <v>B</v>
      </c>
      <c r="B528" t="s">
        <v>28698</v>
      </c>
      <c r="C528">
        <v>1</v>
      </c>
      <c r="D528" t="s">
        <v>23629</v>
      </c>
      <c r="E528" t="s">
        <v>23632</v>
      </c>
    </row>
    <row r="529" spans="1:5" x14ac:dyDescent="0.25">
      <c r="A529" s="130" t="str">
        <f>LEFT(B529,1)</f>
        <v>B</v>
      </c>
      <c r="B529" t="s">
        <v>28375</v>
      </c>
      <c r="C529">
        <v>1</v>
      </c>
      <c r="D529" t="s">
        <v>23629</v>
      </c>
      <c r="E529" t="s">
        <v>23632</v>
      </c>
    </row>
    <row r="530" spans="1:5" x14ac:dyDescent="0.25">
      <c r="A530" s="130" t="str">
        <f>LEFT(B530,1)</f>
        <v>B</v>
      </c>
      <c r="B530" t="s">
        <v>29197</v>
      </c>
      <c r="C530">
        <v>1</v>
      </c>
      <c r="D530" t="s">
        <v>23629</v>
      </c>
      <c r="E530" t="s">
        <v>23632</v>
      </c>
    </row>
    <row r="531" spans="1:5" x14ac:dyDescent="0.25">
      <c r="A531" s="130" t="str">
        <f>LEFT(B531,1)</f>
        <v>B</v>
      </c>
      <c r="B531" t="s">
        <v>28959</v>
      </c>
      <c r="C531">
        <v>1</v>
      </c>
      <c r="D531" t="s">
        <v>23629</v>
      </c>
      <c r="E531" t="s">
        <v>23632</v>
      </c>
    </row>
    <row r="532" spans="1:5" x14ac:dyDescent="0.25">
      <c r="A532" s="131" t="s">
        <v>17863</v>
      </c>
      <c r="B532" t="s">
        <v>24067</v>
      </c>
      <c r="C532">
        <v>1</v>
      </c>
      <c r="D532" t="s">
        <v>23629</v>
      </c>
      <c r="E532" t="s">
        <v>23632</v>
      </c>
    </row>
    <row r="533" spans="1:5" x14ac:dyDescent="0.25">
      <c r="A533" s="131" t="s">
        <v>17863</v>
      </c>
      <c r="B533" t="s">
        <v>24068</v>
      </c>
      <c r="C533">
        <v>1</v>
      </c>
      <c r="D533" t="s">
        <v>23629</v>
      </c>
      <c r="E533" t="s">
        <v>23632</v>
      </c>
    </row>
    <row r="534" spans="1:5" x14ac:dyDescent="0.25">
      <c r="A534" s="131" t="s">
        <v>17863</v>
      </c>
      <c r="B534" t="s">
        <v>24069</v>
      </c>
      <c r="C534">
        <v>1</v>
      </c>
      <c r="D534" t="s">
        <v>23629</v>
      </c>
      <c r="E534" t="s">
        <v>23632</v>
      </c>
    </row>
    <row r="535" spans="1:5" x14ac:dyDescent="0.25">
      <c r="A535" s="130" t="str">
        <f>LEFT(B535,1)</f>
        <v>B</v>
      </c>
      <c r="B535" t="s">
        <v>24197</v>
      </c>
      <c r="C535">
        <v>1</v>
      </c>
      <c r="D535" t="s">
        <v>23629</v>
      </c>
      <c r="E535" t="s">
        <v>23632</v>
      </c>
    </row>
    <row r="536" spans="1:5" x14ac:dyDescent="0.25">
      <c r="A536" s="130" t="s">
        <v>17863</v>
      </c>
      <c r="B536" t="s">
        <v>24070</v>
      </c>
      <c r="C536">
        <v>1</v>
      </c>
      <c r="D536" t="s">
        <v>23629</v>
      </c>
      <c r="E536" t="s">
        <v>23632</v>
      </c>
    </row>
    <row r="537" spans="1:5" x14ac:dyDescent="0.25">
      <c r="A537" s="131" t="str">
        <f>LEFT(B537,1)</f>
        <v>B</v>
      </c>
      <c r="B537" t="s">
        <v>24185</v>
      </c>
      <c r="C537">
        <v>1</v>
      </c>
      <c r="D537" t="s">
        <v>23629</v>
      </c>
      <c r="E537" t="s">
        <v>23632</v>
      </c>
    </row>
    <row r="538" spans="1:5" x14ac:dyDescent="0.25">
      <c r="A538" s="130" t="str">
        <f>LEFT(B538,1)</f>
        <v>B</v>
      </c>
      <c r="B538" t="s">
        <v>29198</v>
      </c>
      <c r="C538">
        <v>1</v>
      </c>
      <c r="D538" t="s">
        <v>23629</v>
      </c>
      <c r="E538" t="s">
        <v>23632</v>
      </c>
    </row>
    <row r="539" spans="1:5" x14ac:dyDescent="0.25">
      <c r="A539" s="130" t="str">
        <f>LEFT(B539,1)</f>
        <v>B</v>
      </c>
      <c r="B539" t="s">
        <v>28960</v>
      </c>
      <c r="C539">
        <v>1</v>
      </c>
      <c r="D539" t="s">
        <v>23629</v>
      </c>
      <c r="E539" t="s">
        <v>23632</v>
      </c>
    </row>
    <row r="540" spans="1:5" x14ac:dyDescent="0.25">
      <c r="A540" s="131" t="str">
        <f>LEFT((B540),1)</f>
        <v>B</v>
      </c>
      <c r="B540" t="s">
        <v>24071</v>
      </c>
      <c r="C540">
        <v>1</v>
      </c>
      <c r="D540" t="s">
        <v>23629</v>
      </c>
      <c r="E540" t="s">
        <v>23632</v>
      </c>
    </row>
    <row r="541" spans="1:5" x14ac:dyDescent="0.25">
      <c r="A541" s="131" t="s">
        <v>17863</v>
      </c>
      <c r="B541" t="s">
        <v>24072</v>
      </c>
      <c r="C541">
        <v>1</v>
      </c>
      <c r="D541" t="s">
        <v>23629</v>
      </c>
      <c r="E541" t="s">
        <v>23632</v>
      </c>
    </row>
    <row r="542" spans="1:5" x14ac:dyDescent="0.25">
      <c r="A542" s="130" t="s">
        <v>17863</v>
      </c>
      <c r="B542" t="s">
        <v>24073</v>
      </c>
      <c r="C542">
        <v>1</v>
      </c>
      <c r="D542" t="s">
        <v>23629</v>
      </c>
      <c r="E542" t="s">
        <v>23632</v>
      </c>
    </row>
    <row r="543" spans="1:5" x14ac:dyDescent="0.25">
      <c r="A543" s="130" t="s">
        <v>17863</v>
      </c>
      <c r="B543" t="s">
        <v>24074</v>
      </c>
      <c r="C543">
        <v>1</v>
      </c>
      <c r="D543" t="s">
        <v>23629</v>
      </c>
      <c r="E543" t="s">
        <v>23632</v>
      </c>
    </row>
    <row r="544" spans="1:5" x14ac:dyDescent="0.25">
      <c r="A544" s="131" t="s">
        <v>17863</v>
      </c>
      <c r="B544" t="s">
        <v>24075</v>
      </c>
      <c r="C544">
        <v>1</v>
      </c>
      <c r="D544" t="s">
        <v>23629</v>
      </c>
      <c r="E544" t="s">
        <v>23632</v>
      </c>
    </row>
    <row r="545" spans="1:5" x14ac:dyDescent="0.25">
      <c r="A545" s="131" t="s">
        <v>17863</v>
      </c>
      <c r="B545" t="s">
        <v>24076</v>
      </c>
      <c r="C545">
        <v>1</v>
      </c>
      <c r="D545" t="s">
        <v>23629</v>
      </c>
      <c r="E545" t="s">
        <v>23632</v>
      </c>
    </row>
    <row r="546" spans="1:5" x14ac:dyDescent="0.25">
      <c r="A546" s="130" t="s">
        <v>17863</v>
      </c>
      <c r="B546" t="s">
        <v>24077</v>
      </c>
      <c r="C546">
        <v>1</v>
      </c>
      <c r="D546" t="s">
        <v>23629</v>
      </c>
      <c r="E546" t="s">
        <v>23632</v>
      </c>
    </row>
    <row r="547" spans="1:5" x14ac:dyDescent="0.25">
      <c r="A547" s="130" t="s">
        <v>17863</v>
      </c>
      <c r="B547" t="s">
        <v>24078</v>
      </c>
      <c r="C547">
        <v>1</v>
      </c>
      <c r="D547" t="s">
        <v>23629</v>
      </c>
      <c r="E547" t="s">
        <v>23632</v>
      </c>
    </row>
    <row r="548" spans="1:5" x14ac:dyDescent="0.25">
      <c r="A548" s="131" t="s">
        <v>17863</v>
      </c>
      <c r="B548" t="s">
        <v>24079</v>
      </c>
      <c r="C548">
        <v>1</v>
      </c>
      <c r="D548" t="s">
        <v>23629</v>
      </c>
      <c r="E548" t="s">
        <v>23632</v>
      </c>
    </row>
    <row r="549" spans="1:5" x14ac:dyDescent="0.25">
      <c r="A549" s="131" t="s">
        <v>17863</v>
      </c>
      <c r="B549" t="s">
        <v>24080</v>
      </c>
      <c r="C549">
        <v>1</v>
      </c>
      <c r="D549" t="s">
        <v>23629</v>
      </c>
      <c r="E549" t="s">
        <v>23632</v>
      </c>
    </row>
    <row r="550" spans="1:5" x14ac:dyDescent="0.25">
      <c r="A550" s="130" t="s">
        <v>17863</v>
      </c>
      <c r="B550" t="s">
        <v>24081</v>
      </c>
      <c r="C550">
        <v>1</v>
      </c>
      <c r="D550" t="s">
        <v>23629</v>
      </c>
      <c r="E550" t="s">
        <v>23632</v>
      </c>
    </row>
    <row r="551" spans="1:5" x14ac:dyDescent="0.25">
      <c r="A551" s="130" t="s">
        <v>17863</v>
      </c>
      <c r="B551" t="s">
        <v>24082</v>
      </c>
      <c r="C551">
        <v>1</v>
      </c>
      <c r="D551" t="s">
        <v>23629</v>
      </c>
      <c r="E551" t="s">
        <v>23632</v>
      </c>
    </row>
    <row r="552" spans="1:5" x14ac:dyDescent="0.25">
      <c r="A552" s="131" t="s">
        <v>17863</v>
      </c>
      <c r="B552" t="s">
        <v>24083</v>
      </c>
      <c r="C552">
        <v>1</v>
      </c>
      <c r="D552" t="s">
        <v>23629</v>
      </c>
      <c r="E552" t="s">
        <v>23632</v>
      </c>
    </row>
    <row r="553" spans="1:5" x14ac:dyDescent="0.25">
      <c r="A553" s="130" t="s">
        <v>17863</v>
      </c>
      <c r="B553" t="s">
        <v>24084</v>
      </c>
      <c r="C553">
        <v>1</v>
      </c>
      <c r="D553" t="s">
        <v>23629</v>
      </c>
      <c r="E553" t="s">
        <v>23632</v>
      </c>
    </row>
    <row r="554" spans="1:5" x14ac:dyDescent="0.25">
      <c r="A554" s="130" t="str">
        <f>LEFT(B554,1)</f>
        <v>B</v>
      </c>
      <c r="B554" t="s">
        <v>28699</v>
      </c>
      <c r="C554">
        <v>1</v>
      </c>
      <c r="D554" t="s">
        <v>23629</v>
      </c>
      <c r="E554" t="s">
        <v>23632</v>
      </c>
    </row>
    <row r="555" spans="1:5" x14ac:dyDescent="0.25">
      <c r="A555" s="131" t="s">
        <v>17863</v>
      </c>
      <c r="B555" t="s">
        <v>24085</v>
      </c>
      <c r="C555">
        <v>1</v>
      </c>
      <c r="D555" t="s">
        <v>23629</v>
      </c>
      <c r="E555" t="s">
        <v>23632</v>
      </c>
    </row>
    <row r="556" spans="1:5" x14ac:dyDescent="0.25">
      <c r="A556" s="130" t="s">
        <v>17863</v>
      </c>
      <c r="B556" t="s">
        <v>24086</v>
      </c>
      <c r="C556">
        <v>1</v>
      </c>
      <c r="D556" t="s">
        <v>23629</v>
      </c>
      <c r="E556" t="s">
        <v>23632</v>
      </c>
    </row>
    <row r="557" spans="1:5" x14ac:dyDescent="0.25">
      <c r="A557" s="131" t="s">
        <v>17863</v>
      </c>
      <c r="B557" t="s">
        <v>24087</v>
      </c>
      <c r="C557">
        <v>1</v>
      </c>
      <c r="D557" t="s">
        <v>23629</v>
      </c>
      <c r="E557" t="s">
        <v>23632</v>
      </c>
    </row>
    <row r="558" spans="1:5" x14ac:dyDescent="0.25">
      <c r="A558" s="131" t="str">
        <f>LEFT(B558,1)</f>
        <v>B</v>
      </c>
      <c r="B558" t="s">
        <v>24198</v>
      </c>
      <c r="C558">
        <v>1</v>
      </c>
      <c r="D558" t="s">
        <v>23629</v>
      </c>
      <c r="E558" t="s">
        <v>23632</v>
      </c>
    </row>
    <row r="559" spans="1:5" x14ac:dyDescent="0.25">
      <c r="A559" s="130" t="str">
        <f>LEFT(B559,1)</f>
        <v>B</v>
      </c>
      <c r="B559" t="s">
        <v>28376</v>
      </c>
      <c r="C559">
        <v>1</v>
      </c>
      <c r="D559" t="s">
        <v>23629</v>
      </c>
      <c r="E559" t="s">
        <v>23632</v>
      </c>
    </row>
    <row r="560" spans="1:5" x14ac:dyDescent="0.25">
      <c r="A560" s="130" t="str">
        <f>LEFT((B560),1)</f>
        <v>B</v>
      </c>
      <c r="B560" t="s">
        <v>24088</v>
      </c>
      <c r="C560">
        <v>1</v>
      </c>
      <c r="D560" t="s">
        <v>23629</v>
      </c>
      <c r="E560" t="s">
        <v>23632</v>
      </c>
    </row>
    <row r="561" spans="1:5" x14ac:dyDescent="0.25">
      <c r="A561" s="130" t="str">
        <f>LEFT(B561,1)</f>
        <v>B</v>
      </c>
      <c r="B561" t="s">
        <v>24186</v>
      </c>
      <c r="C561">
        <v>1.1000000000000001</v>
      </c>
      <c r="D561" t="s">
        <v>24432</v>
      </c>
      <c r="E561" t="s">
        <v>23632</v>
      </c>
    </row>
    <row r="562" spans="1:5" x14ac:dyDescent="0.25">
      <c r="A562" s="131" t="str">
        <f>LEFT(B562,1)</f>
        <v>B</v>
      </c>
      <c r="B562" t="s">
        <v>24187</v>
      </c>
      <c r="C562">
        <v>1</v>
      </c>
      <c r="D562" t="s">
        <v>23629</v>
      </c>
      <c r="E562" t="s">
        <v>23632</v>
      </c>
    </row>
    <row r="563" spans="1:5" x14ac:dyDescent="0.25">
      <c r="A563" s="130" t="s">
        <v>17863</v>
      </c>
      <c r="B563" t="s">
        <v>24089</v>
      </c>
      <c r="C563">
        <v>1</v>
      </c>
      <c r="D563" t="s">
        <v>23629</v>
      </c>
      <c r="E563" t="s">
        <v>23632</v>
      </c>
    </row>
    <row r="564" spans="1:5" x14ac:dyDescent="0.25">
      <c r="A564" s="131" t="s">
        <v>17863</v>
      </c>
      <c r="B564" t="s">
        <v>24090</v>
      </c>
      <c r="C564">
        <v>1</v>
      </c>
      <c r="D564" t="s">
        <v>23629</v>
      </c>
      <c r="E564" t="s">
        <v>23632</v>
      </c>
    </row>
    <row r="565" spans="1:5" x14ac:dyDescent="0.25">
      <c r="A565" s="130" t="str">
        <f>LEFT(B565,1)</f>
        <v>B</v>
      </c>
      <c r="B565" t="s">
        <v>28961</v>
      </c>
      <c r="C565">
        <v>1</v>
      </c>
      <c r="D565" t="s">
        <v>23629</v>
      </c>
      <c r="E565" t="s">
        <v>23632</v>
      </c>
    </row>
    <row r="566" spans="1:5" x14ac:dyDescent="0.25">
      <c r="A566" s="130" t="str">
        <f>LEFT(B566,1)</f>
        <v>B</v>
      </c>
      <c r="B566" t="s">
        <v>28377</v>
      </c>
      <c r="C566">
        <v>1</v>
      </c>
      <c r="D566" t="s">
        <v>23629</v>
      </c>
      <c r="E566" t="s">
        <v>23632</v>
      </c>
    </row>
    <row r="567" spans="1:5" x14ac:dyDescent="0.25">
      <c r="A567" s="130" t="s">
        <v>17863</v>
      </c>
      <c r="B567" t="s">
        <v>24091</v>
      </c>
      <c r="C567">
        <v>1.1100000000000001</v>
      </c>
      <c r="D567" t="s">
        <v>23629</v>
      </c>
      <c r="E567" t="s">
        <v>23632</v>
      </c>
    </row>
    <row r="568" spans="1:5" x14ac:dyDescent="0.25">
      <c r="A568" s="130" t="str">
        <f>LEFT(B568,1)</f>
        <v>B</v>
      </c>
      <c r="B568" t="s">
        <v>24188</v>
      </c>
      <c r="C568">
        <v>1</v>
      </c>
      <c r="D568" t="s">
        <v>23629</v>
      </c>
      <c r="E568" t="s">
        <v>23632</v>
      </c>
    </row>
    <row r="569" spans="1:5" x14ac:dyDescent="0.25">
      <c r="A569" s="130" t="str">
        <f>LEFT(B569,1)</f>
        <v>B</v>
      </c>
      <c r="B569" t="s">
        <v>28962</v>
      </c>
      <c r="C569">
        <v>1</v>
      </c>
      <c r="D569" t="s">
        <v>23629</v>
      </c>
      <c r="E569" t="s">
        <v>23632</v>
      </c>
    </row>
    <row r="570" spans="1:5" x14ac:dyDescent="0.25">
      <c r="A570" s="130" t="str">
        <f>LEFT(B570,1)</f>
        <v>B</v>
      </c>
      <c r="B570" t="s">
        <v>24195</v>
      </c>
      <c r="C570">
        <v>1</v>
      </c>
      <c r="D570" t="s">
        <v>23629</v>
      </c>
      <c r="E570" t="s">
        <v>23632</v>
      </c>
    </row>
    <row r="571" spans="1:5" x14ac:dyDescent="0.25">
      <c r="A571" s="130" t="s">
        <v>17863</v>
      </c>
      <c r="B571" t="s">
        <v>24092</v>
      </c>
      <c r="C571">
        <v>1</v>
      </c>
      <c r="D571" t="s">
        <v>23629</v>
      </c>
      <c r="E571" t="s">
        <v>23632</v>
      </c>
    </row>
    <row r="572" spans="1:5" x14ac:dyDescent="0.25">
      <c r="A572" s="130" t="str">
        <f>LEFT(B572,1)</f>
        <v>B</v>
      </c>
      <c r="B572" t="s">
        <v>28700</v>
      </c>
      <c r="C572">
        <v>1</v>
      </c>
      <c r="D572" t="s">
        <v>23629</v>
      </c>
      <c r="E572" t="s">
        <v>23632</v>
      </c>
    </row>
    <row r="573" spans="1:5" x14ac:dyDescent="0.25">
      <c r="A573" s="131" t="str">
        <f>LEFT(B573,1)</f>
        <v>B</v>
      </c>
      <c r="B573" t="s">
        <v>24189</v>
      </c>
      <c r="C573">
        <v>1</v>
      </c>
      <c r="D573" t="s">
        <v>23629</v>
      </c>
      <c r="E573" t="s">
        <v>23632</v>
      </c>
    </row>
    <row r="574" spans="1:5" x14ac:dyDescent="0.25">
      <c r="A574" s="131" t="s">
        <v>17863</v>
      </c>
      <c r="B574" t="s">
        <v>24093</v>
      </c>
      <c r="C574">
        <v>1</v>
      </c>
      <c r="D574" t="s">
        <v>23629</v>
      </c>
      <c r="E574" t="s">
        <v>23632</v>
      </c>
    </row>
    <row r="575" spans="1:5" x14ac:dyDescent="0.25">
      <c r="A575" s="131" t="s">
        <v>17863</v>
      </c>
      <c r="B575" t="s">
        <v>24094</v>
      </c>
      <c r="C575">
        <v>1</v>
      </c>
      <c r="D575" t="s">
        <v>23629</v>
      </c>
      <c r="E575" t="s">
        <v>23632</v>
      </c>
    </row>
    <row r="576" spans="1:5" x14ac:dyDescent="0.25">
      <c r="A576" s="130" t="str">
        <f>LEFT(B576,1)</f>
        <v>B</v>
      </c>
      <c r="B576" t="s">
        <v>28701</v>
      </c>
      <c r="C576">
        <v>1</v>
      </c>
      <c r="D576" t="s">
        <v>23629</v>
      </c>
      <c r="E576" t="s">
        <v>23632</v>
      </c>
    </row>
    <row r="577" spans="1:5" x14ac:dyDescent="0.25">
      <c r="A577" s="130" t="str">
        <f>LEFT(B577,1)</f>
        <v>B</v>
      </c>
      <c r="B577" t="s">
        <v>28963</v>
      </c>
      <c r="C577">
        <v>1</v>
      </c>
      <c r="D577" t="s">
        <v>23629</v>
      </c>
      <c r="E577" t="s">
        <v>23632</v>
      </c>
    </row>
    <row r="578" spans="1:5" x14ac:dyDescent="0.25">
      <c r="A578" s="130" t="s">
        <v>17863</v>
      </c>
      <c r="B578" t="s">
        <v>24095</v>
      </c>
      <c r="C578">
        <v>1</v>
      </c>
      <c r="D578" t="s">
        <v>23629</v>
      </c>
      <c r="E578" t="s">
        <v>23632</v>
      </c>
    </row>
    <row r="579" spans="1:5" x14ac:dyDescent="0.25">
      <c r="A579" s="130" t="s">
        <v>17863</v>
      </c>
      <c r="B579" t="s">
        <v>24096</v>
      </c>
      <c r="C579">
        <v>1</v>
      </c>
      <c r="D579" t="s">
        <v>23629</v>
      </c>
      <c r="E579" t="s">
        <v>23632</v>
      </c>
    </row>
    <row r="580" spans="1:5" x14ac:dyDescent="0.25">
      <c r="A580" s="131" t="s">
        <v>17863</v>
      </c>
      <c r="B580" t="s">
        <v>24097</v>
      </c>
      <c r="C580">
        <v>1</v>
      </c>
      <c r="D580" t="s">
        <v>23629</v>
      </c>
      <c r="E580" t="s">
        <v>23632</v>
      </c>
    </row>
    <row r="581" spans="1:5" x14ac:dyDescent="0.25">
      <c r="A581" s="130" t="str">
        <f>LEFT(B581,1)</f>
        <v>B</v>
      </c>
      <c r="B581" t="s">
        <v>28378</v>
      </c>
      <c r="C581">
        <v>1</v>
      </c>
      <c r="D581" t="s">
        <v>23629</v>
      </c>
      <c r="E581" t="s">
        <v>23632</v>
      </c>
    </row>
    <row r="582" spans="1:5" x14ac:dyDescent="0.25">
      <c r="A582" s="131" t="s">
        <v>17863</v>
      </c>
      <c r="B582" t="s">
        <v>24098</v>
      </c>
      <c r="C582">
        <v>1</v>
      </c>
      <c r="D582" t="s">
        <v>23629</v>
      </c>
      <c r="E582" t="s">
        <v>23632</v>
      </c>
    </row>
    <row r="583" spans="1:5" x14ac:dyDescent="0.25">
      <c r="A583" s="130" t="s">
        <v>17863</v>
      </c>
      <c r="B583" t="s">
        <v>24099</v>
      </c>
      <c r="C583">
        <v>1</v>
      </c>
      <c r="D583" t="s">
        <v>23629</v>
      </c>
      <c r="E583" t="s">
        <v>23632</v>
      </c>
    </row>
    <row r="584" spans="1:5" x14ac:dyDescent="0.25">
      <c r="A584" s="130" t="s">
        <v>17863</v>
      </c>
      <c r="B584" t="s">
        <v>24100</v>
      </c>
      <c r="C584">
        <v>1</v>
      </c>
      <c r="D584" t="s">
        <v>23629</v>
      </c>
      <c r="E584" t="s">
        <v>23632</v>
      </c>
    </row>
    <row r="585" spans="1:5" x14ac:dyDescent="0.25">
      <c r="A585" s="131" t="s">
        <v>17863</v>
      </c>
      <c r="B585" t="s">
        <v>24101</v>
      </c>
      <c r="C585">
        <v>1</v>
      </c>
      <c r="D585" t="s">
        <v>23629</v>
      </c>
      <c r="E585" t="s">
        <v>23632</v>
      </c>
    </row>
    <row r="586" spans="1:5" x14ac:dyDescent="0.25">
      <c r="A586" s="130" t="str">
        <f>LEFT(B586,1)</f>
        <v>B</v>
      </c>
      <c r="B586" t="s">
        <v>24199</v>
      </c>
      <c r="C586">
        <v>1</v>
      </c>
      <c r="D586" t="s">
        <v>23629</v>
      </c>
      <c r="E586" t="s">
        <v>23632</v>
      </c>
    </row>
    <row r="587" spans="1:5" x14ac:dyDescent="0.25">
      <c r="A587" s="131" t="str">
        <f>LEFT(B587,1)</f>
        <v>B</v>
      </c>
      <c r="B587" t="s">
        <v>24200</v>
      </c>
      <c r="C587">
        <v>1</v>
      </c>
      <c r="D587" t="s">
        <v>23629</v>
      </c>
      <c r="E587" t="s">
        <v>23632</v>
      </c>
    </row>
    <row r="588" spans="1:5" x14ac:dyDescent="0.25">
      <c r="A588" s="130" t="str">
        <f>LEFT(B588,1)</f>
        <v>B</v>
      </c>
      <c r="B588" t="s">
        <v>28964</v>
      </c>
      <c r="C588">
        <v>1</v>
      </c>
      <c r="D588" t="s">
        <v>23629</v>
      </c>
      <c r="E588" t="s">
        <v>23632</v>
      </c>
    </row>
    <row r="589" spans="1:5" x14ac:dyDescent="0.25">
      <c r="A589" s="131" t="s">
        <v>17863</v>
      </c>
      <c r="B589" t="s">
        <v>24102</v>
      </c>
      <c r="C589">
        <v>1</v>
      </c>
      <c r="D589" t="s">
        <v>23629</v>
      </c>
      <c r="E589" t="s">
        <v>23632</v>
      </c>
    </row>
    <row r="590" spans="1:5" x14ac:dyDescent="0.25">
      <c r="A590" s="130" t="str">
        <f>LEFT(B590,1)</f>
        <v>B</v>
      </c>
      <c r="B590" t="s">
        <v>28965</v>
      </c>
      <c r="C590">
        <v>1</v>
      </c>
      <c r="D590" t="s">
        <v>23629</v>
      </c>
      <c r="E590" t="s">
        <v>23632</v>
      </c>
    </row>
    <row r="591" spans="1:5" x14ac:dyDescent="0.25">
      <c r="A591" s="131" t="s">
        <v>17863</v>
      </c>
      <c r="B591" t="s">
        <v>24103</v>
      </c>
      <c r="C591">
        <v>1</v>
      </c>
      <c r="D591" t="s">
        <v>23629</v>
      </c>
      <c r="E591" t="s">
        <v>23632</v>
      </c>
    </row>
    <row r="592" spans="1:5" x14ac:dyDescent="0.25">
      <c r="A592" s="131" t="s">
        <v>17863</v>
      </c>
      <c r="B592" t="s">
        <v>24104</v>
      </c>
      <c r="C592">
        <v>1</v>
      </c>
      <c r="D592" t="s">
        <v>23629</v>
      </c>
      <c r="E592" t="s">
        <v>23632</v>
      </c>
    </row>
    <row r="593" spans="1:5" x14ac:dyDescent="0.25">
      <c r="A593" s="130" t="str">
        <f>LEFT(B593,1)</f>
        <v>B</v>
      </c>
      <c r="B593" t="s">
        <v>28379</v>
      </c>
      <c r="C593">
        <v>1</v>
      </c>
      <c r="D593" t="s">
        <v>23629</v>
      </c>
      <c r="E593" t="s">
        <v>23632</v>
      </c>
    </row>
    <row r="594" spans="1:5" x14ac:dyDescent="0.25">
      <c r="A594" s="130" t="str">
        <f>LEFT(B594,1)</f>
        <v>B</v>
      </c>
      <c r="B594" t="s">
        <v>24190</v>
      </c>
      <c r="C594">
        <v>1</v>
      </c>
      <c r="D594" t="s">
        <v>23629</v>
      </c>
      <c r="E594" t="s">
        <v>23632</v>
      </c>
    </row>
    <row r="595" spans="1:5" x14ac:dyDescent="0.25">
      <c r="A595" s="130" t="str">
        <f>LEFT(B595,1)</f>
        <v>B</v>
      </c>
      <c r="B595" t="s">
        <v>29199</v>
      </c>
      <c r="C595">
        <v>1</v>
      </c>
      <c r="D595" t="s">
        <v>23629</v>
      </c>
      <c r="E595" t="s">
        <v>23632</v>
      </c>
    </row>
    <row r="596" spans="1:5" x14ac:dyDescent="0.25">
      <c r="A596" s="130" t="str">
        <f>LEFT(B596,1)</f>
        <v>B</v>
      </c>
      <c r="B596" t="s">
        <v>28380</v>
      </c>
      <c r="C596">
        <v>1</v>
      </c>
      <c r="D596" t="s">
        <v>23629</v>
      </c>
      <c r="E596" t="s">
        <v>23632</v>
      </c>
    </row>
    <row r="597" spans="1:5" x14ac:dyDescent="0.25">
      <c r="A597" s="130" t="s">
        <v>17863</v>
      </c>
      <c r="B597" t="s">
        <v>24105</v>
      </c>
      <c r="C597">
        <v>1</v>
      </c>
      <c r="D597" t="s">
        <v>23629</v>
      </c>
      <c r="E597" t="s">
        <v>23632</v>
      </c>
    </row>
    <row r="598" spans="1:5" x14ac:dyDescent="0.25">
      <c r="A598" s="130" t="s">
        <v>17863</v>
      </c>
      <c r="B598" t="s">
        <v>24106</v>
      </c>
      <c r="C598">
        <v>1</v>
      </c>
      <c r="D598" t="s">
        <v>23629</v>
      </c>
      <c r="E598" t="s">
        <v>23632</v>
      </c>
    </row>
    <row r="599" spans="1:5" x14ac:dyDescent="0.25">
      <c r="A599" s="130" t="s">
        <v>17863</v>
      </c>
      <c r="B599" t="s">
        <v>24107</v>
      </c>
      <c r="C599">
        <v>1</v>
      </c>
      <c r="D599" t="s">
        <v>23629</v>
      </c>
      <c r="E599" t="s">
        <v>23632</v>
      </c>
    </row>
    <row r="600" spans="1:5" x14ac:dyDescent="0.25">
      <c r="A600" s="131" t="str">
        <f>LEFT(B600,1)</f>
        <v>B</v>
      </c>
      <c r="B600" t="s">
        <v>24191</v>
      </c>
      <c r="C600">
        <v>1.04</v>
      </c>
      <c r="D600" t="s">
        <v>28332</v>
      </c>
      <c r="E600" t="s">
        <v>23632</v>
      </c>
    </row>
    <row r="601" spans="1:5" x14ac:dyDescent="0.25">
      <c r="A601" s="131" t="s">
        <v>17863</v>
      </c>
      <c r="B601" t="s">
        <v>24108</v>
      </c>
      <c r="C601">
        <v>1</v>
      </c>
      <c r="D601" t="s">
        <v>23629</v>
      </c>
      <c r="E601" t="s">
        <v>23632</v>
      </c>
    </row>
    <row r="602" spans="1:5" x14ac:dyDescent="0.25">
      <c r="A602" s="130" t="str">
        <f>LEFT(B602,1)</f>
        <v>B</v>
      </c>
      <c r="B602" t="s">
        <v>24201</v>
      </c>
      <c r="C602">
        <v>1.1000000000000001</v>
      </c>
      <c r="D602" t="s">
        <v>24432</v>
      </c>
      <c r="E602" t="s">
        <v>23632</v>
      </c>
    </row>
    <row r="603" spans="1:5" x14ac:dyDescent="0.25">
      <c r="A603" s="131" t="str">
        <f>LEFT(B603,1)</f>
        <v>B</v>
      </c>
      <c r="B603" t="s">
        <v>24202</v>
      </c>
      <c r="C603">
        <v>1</v>
      </c>
      <c r="D603" t="s">
        <v>23629</v>
      </c>
      <c r="E603" t="s">
        <v>23632</v>
      </c>
    </row>
    <row r="604" spans="1:5" x14ac:dyDescent="0.25">
      <c r="A604" s="130" t="str">
        <f>LEFT(B604,1)</f>
        <v>B</v>
      </c>
      <c r="B604" t="s">
        <v>24192</v>
      </c>
      <c r="C604">
        <v>1</v>
      </c>
      <c r="D604" t="s">
        <v>23629</v>
      </c>
      <c r="E604" t="s">
        <v>23632</v>
      </c>
    </row>
    <row r="605" spans="1:5" x14ac:dyDescent="0.25">
      <c r="A605" s="131" t="s">
        <v>17863</v>
      </c>
      <c r="B605" t="s">
        <v>24109</v>
      </c>
      <c r="C605">
        <v>1</v>
      </c>
      <c r="D605" t="s">
        <v>23629</v>
      </c>
      <c r="E605" t="s">
        <v>23632</v>
      </c>
    </row>
    <row r="606" spans="1:5" x14ac:dyDescent="0.25">
      <c r="A606" s="131" t="s">
        <v>17863</v>
      </c>
      <c r="B606" t="s">
        <v>24110</v>
      </c>
      <c r="C606">
        <v>1</v>
      </c>
      <c r="D606" t="s">
        <v>23629</v>
      </c>
      <c r="E606" t="s">
        <v>23632</v>
      </c>
    </row>
    <row r="607" spans="1:5" x14ac:dyDescent="0.25">
      <c r="A607" s="130" t="s">
        <v>17863</v>
      </c>
      <c r="B607" t="s">
        <v>24111</v>
      </c>
      <c r="C607">
        <v>1</v>
      </c>
      <c r="D607" t="s">
        <v>23629</v>
      </c>
      <c r="E607" t="s">
        <v>23632</v>
      </c>
    </row>
    <row r="608" spans="1:5" x14ac:dyDescent="0.25">
      <c r="A608" s="130" t="s">
        <v>17863</v>
      </c>
      <c r="B608" t="s">
        <v>24112</v>
      </c>
      <c r="C608">
        <v>1.21</v>
      </c>
      <c r="D608" t="s">
        <v>23629</v>
      </c>
      <c r="E608" t="s">
        <v>23632</v>
      </c>
    </row>
    <row r="609" spans="1:5" x14ac:dyDescent="0.25">
      <c r="A609" s="130" t="s">
        <v>17863</v>
      </c>
      <c r="B609" t="s">
        <v>24113</v>
      </c>
      <c r="C609">
        <v>1</v>
      </c>
      <c r="D609" t="s">
        <v>23629</v>
      </c>
      <c r="E609" t="s">
        <v>23632</v>
      </c>
    </row>
    <row r="610" spans="1:5" x14ac:dyDescent="0.25">
      <c r="A610" s="130" t="s">
        <v>17863</v>
      </c>
      <c r="B610" t="s">
        <v>24114</v>
      </c>
      <c r="C610">
        <v>1</v>
      </c>
      <c r="D610" t="s">
        <v>23629</v>
      </c>
      <c r="E610" t="s">
        <v>23632</v>
      </c>
    </row>
    <row r="611" spans="1:5" x14ac:dyDescent="0.25">
      <c r="A611" s="131" t="s">
        <v>17863</v>
      </c>
      <c r="B611" t="s">
        <v>24115</v>
      </c>
      <c r="C611">
        <v>1</v>
      </c>
      <c r="D611" t="s">
        <v>23629</v>
      </c>
      <c r="E611" t="s">
        <v>23632</v>
      </c>
    </row>
    <row r="612" spans="1:5" x14ac:dyDescent="0.25">
      <c r="A612" s="130" t="s">
        <v>17863</v>
      </c>
      <c r="B612" t="s">
        <v>24116</v>
      </c>
      <c r="C612">
        <v>1</v>
      </c>
      <c r="D612" t="s">
        <v>23629</v>
      </c>
      <c r="E612" t="s">
        <v>23632</v>
      </c>
    </row>
    <row r="613" spans="1:5" x14ac:dyDescent="0.25">
      <c r="A613" s="130" t="str">
        <f>LEFT(B613,1)</f>
        <v>B</v>
      </c>
      <c r="B613" t="s">
        <v>28702</v>
      </c>
      <c r="C613">
        <v>1</v>
      </c>
      <c r="D613" t="s">
        <v>23629</v>
      </c>
      <c r="E613" t="s">
        <v>23632</v>
      </c>
    </row>
    <row r="614" spans="1:5" x14ac:dyDescent="0.25">
      <c r="A614" s="130" t="s">
        <v>17863</v>
      </c>
      <c r="B614" t="s">
        <v>24117</v>
      </c>
      <c r="C614">
        <v>1</v>
      </c>
      <c r="D614" t="s">
        <v>23629</v>
      </c>
      <c r="E614" t="s">
        <v>23632</v>
      </c>
    </row>
    <row r="615" spans="1:5" x14ac:dyDescent="0.25">
      <c r="A615" s="131" t="s">
        <v>17863</v>
      </c>
      <c r="B615" t="s">
        <v>24118</v>
      </c>
      <c r="C615">
        <v>1</v>
      </c>
      <c r="D615" t="s">
        <v>23629</v>
      </c>
      <c r="E615" t="s">
        <v>23632</v>
      </c>
    </row>
    <row r="616" spans="1:5" x14ac:dyDescent="0.25">
      <c r="A616" s="131" t="s">
        <v>17863</v>
      </c>
      <c r="B616" t="s">
        <v>24119</v>
      </c>
      <c r="C616">
        <v>1</v>
      </c>
      <c r="D616" t="s">
        <v>23629</v>
      </c>
      <c r="E616" t="s">
        <v>23632</v>
      </c>
    </row>
    <row r="617" spans="1:5" x14ac:dyDescent="0.25">
      <c r="A617" s="131" t="s">
        <v>17863</v>
      </c>
      <c r="B617" t="s">
        <v>24120</v>
      </c>
      <c r="C617">
        <v>1</v>
      </c>
      <c r="D617" t="s">
        <v>23629</v>
      </c>
      <c r="E617" t="s">
        <v>23632</v>
      </c>
    </row>
    <row r="618" spans="1:5" x14ac:dyDescent="0.25">
      <c r="A618" s="130" t="s">
        <v>17863</v>
      </c>
      <c r="B618" t="s">
        <v>24121</v>
      </c>
      <c r="C618">
        <v>1</v>
      </c>
      <c r="D618" t="s">
        <v>23629</v>
      </c>
      <c r="E618" t="s">
        <v>23632</v>
      </c>
    </row>
    <row r="619" spans="1:5" x14ac:dyDescent="0.25">
      <c r="A619" s="130" t="str">
        <f>LEFT(B619,1)</f>
        <v>B</v>
      </c>
      <c r="B619" t="s">
        <v>28703</v>
      </c>
      <c r="C619">
        <v>1</v>
      </c>
      <c r="D619" t="s">
        <v>23629</v>
      </c>
      <c r="E619" t="s">
        <v>23632</v>
      </c>
    </row>
    <row r="620" spans="1:5" x14ac:dyDescent="0.25">
      <c r="A620" s="130" t="s">
        <v>17863</v>
      </c>
      <c r="B620" t="s">
        <v>24122</v>
      </c>
      <c r="C620">
        <v>1</v>
      </c>
      <c r="D620" t="s">
        <v>24123</v>
      </c>
      <c r="E620" t="s">
        <v>23632</v>
      </c>
    </row>
    <row r="621" spans="1:5" x14ac:dyDescent="0.25">
      <c r="A621" s="130" t="str">
        <f>LEFT(B621,1)</f>
        <v>B</v>
      </c>
      <c r="B621" t="s">
        <v>28704</v>
      </c>
      <c r="C621">
        <v>1</v>
      </c>
      <c r="D621" t="s">
        <v>23629</v>
      </c>
      <c r="E621" t="s">
        <v>23632</v>
      </c>
    </row>
    <row r="622" spans="1:5" x14ac:dyDescent="0.25">
      <c r="A622" s="130" t="s">
        <v>17863</v>
      </c>
      <c r="B622" t="s">
        <v>24124</v>
      </c>
      <c r="C622">
        <v>1</v>
      </c>
      <c r="D622" t="s">
        <v>23629</v>
      </c>
      <c r="E622" t="s">
        <v>23632</v>
      </c>
    </row>
    <row r="623" spans="1:5" x14ac:dyDescent="0.25">
      <c r="A623" s="130" t="s">
        <v>17863</v>
      </c>
      <c r="B623" t="s">
        <v>24125</v>
      </c>
      <c r="C623">
        <v>1</v>
      </c>
      <c r="D623" t="s">
        <v>23629</v>
      </c>
      <c r="E623" t="s">
        <v>23632</v>
      </c>
    </row>
    <row r="624" spans="1:5" x14ac:dyDescent="0.25">
      <c r="A624" s="130" t="s">
        <v>17863</v>
      </c>
      <c r="B624" t="s">
        <v>24126</v>
      </c>
      <c r="C624">
        <v>1</v>
      </c>
      <c r="D624" t="s">
        <v>23629</v>
      </c>
      <c r="E624" t="s">
        <v>23632</v>
      </c>
    </row>
    <row r="625" spans="1:5" x14ac:dyDescent="0.25">
      <c r="A625" s="130" t="str">
        <f>LEFT(B625,1)</f>
        <v>B</v>
      </c>
      <c r="B625" t="s">
        <v>29200</v>
      </c>
      <c r="C625">
        <v>1</v>
      </c>
      <c r="D625" t="s">
        <v>23629</v>
      </c>
      <c r="E625" t="s">
        <v>23632</v>
      </c>
    </row>
    <row r="626" spans="1:5" x14ac:dyDescent="0.25">
      <c r="A626" s="131" t="s">
        <v>17863</v>
      </c>
      <c r="B626" t="s">
        <v>24127</v>
      </c>
      <c r="C626">
        <v>1</v>
      </c>
      <c r="D626" t="s">
        <v>23629</v>
      </c>
      <c r="E626" t="s">
        <v>23632</v>
      </c>
    </row>
    <row r="627" spans="1:5" x14ac:dyDescent="0.25">
      <c r="A627" s="130" t="str">
        <f>LEFT(B627,1)</f>
        <v>B</v>
      </c>
      <c r="B627" t="s">
        <v>28381</v>
      </c>
      <c r="C627">
        <v>1</v>
      </c>
      <c r="D627" t="s">
        <v>23629</v>
      </c>
      <c r="E627" t="s">
        <v>23632</v>
      </c>
    </row>
    <row r="628" spans="1:5" x14ac:dyDescent="0.25">
      <c r="A628" s="130" t="str">
        <f>LEFT(B628,1)</f>
        <v>B</v>
      </c>
      <c r="B628" t="s">
        <v>24203</v>
      </c>
      <c r="C628">
        <v>1</v>
      </c>
      <c r="D628" t="s">
        <v>23629</v>
      </c>
      <c r="E628" t="s">
        <v>23632</v>
      </c>
    </row>
    <row r="629" spans="1:5" x14ac:dyDescent="0.25">
      <c r="A629" s="130" t="str">
        <f>LEFT(B629,1)</f>
        <v>B</v>
      </c>
      <c r="B629" t="s">
        <v>28966</v>
      </c>
      <c r="C629">
        <v>1</v>
      </c>
      <c r="D629" t="s">
        <v>23629</v>
      </c>
      <c r="E629" t="s">
        <v>23632</v>
      </c>
    </row>
    <row r="630" spans="1:5" x14ac:dyDescent="0.25">
      <c r="A630" s="131" t="str">
        <f>LEFT((B630),1)</f>
        <v>B</v>
      </c>
      <c r="B630" t="s">
        <v>24128</v>
      </c>
      <c r="C630">
        <v>1</v>
      </c>
      <c r="D630" t="s">
        <v>23629</v>
      </c>
      <c r="E630" t="s">
        <v>23632</v>
      </c>
    </row>
    <row r="631" spans="1:5" x14ac:dyDescent="0.25">
      <c r="A631" s="131" t="s">
        <v>17863</v>
      </c>
      <c r="B631" t="s">
        <v>24129</v>
      </c>
      <c r="C631">
        <v>1</v>
      </c>
      <c r="D631" t="s">
        <v>23629</v>
      </c>
      <c r="E631" t="s">
        <v>23632</v>
      </c>
    </row>
    <row r="632" spans="1:5" x14ac:dyDescent="0.25">
      <c r="A632" s="131" t="s">
        <v>17863</v>
      </c>
      <c r="B632" t="s">
        <v>24130</v>
      </c>
      <c r="C632">
        <v>1</v>
      </c>
      <c r="D632" t="s">
        <v>23629</v>
      </c>
      <c r="E632" t="s">
        <v>23632</v>
      </c>
    </row>
    <row r="633" spans="1:5" x14ac:dyDescent="0.25">
      <c r="A633" s="130" t="str">
        <f>LEFT(B633,1)</f>
        <v>B</v>
      </c>
      <c r="B633" t="s">
        <v>28967</v>
      </c>
      <c r="C633">
        <v>1</v>
      </c>
      <c r="D633" t="s">
        <v>23629</v>
      </c>
      <c r="E633" t="s">
        <v>23632</v>
      </c>
    </row>
    <row r="634" spans="1:5" x14ac:dyDescent="0.25">
      <c r="A634" s="131" t="s">
        <v>17863</v>
      </c>
      <c r="B634" t="s">
        <v>24131</v>
      </c>
      <c r="C634">
        <v>1</v>
      </c>
      <c r="D634" t="s">
        <v>23629</v>
      </c>
      <c r="E634" t="s">
        <v>23632</v>
      </c>
    </row>
    <row r="635" spans="1:5" x14ac:dyDescent="0.25">
      <c r="A635" s="131" t="s">
        <v>17863</v>
      </c>
      <c r="B635" t="s">
        <v>24132</v>
      </c>
      <c r="C635">
        <v>1</v>
      </c>
      <c r="D635" t="s">
        <v>23629</v>
      </c>
      <c r="E635" t="s">
        <v>23632</v>
      </c>
    </row>
    <row r="636" spans="1:5" x14ac:dyDescent="0.25">
      <c r="A636" s="131" t="s">
        <v>17863</v>
      </c>
      <c r="B636" t="s">
        <v>24133</v>
      </c>
      <c r="C636">
        <v>1</v>
      </c>
      <c r="D636" t="s">
        <v>23629</v>
      </c>
      <c r="E636" t="s">
        <v>23632</v>
      </c>
    </row>
    <row r="637" spans="1:5" x14ac:dyDescent="0.25">
      <c r="A637" s="130" t="s">
        <v>17863</v>
      </c>
      <c r="B637" t="s">
        <v>24134</v>
      </c>
      <c r="C637">
        <v>1</v>
      </c>
      <c r="D637" t="s">
        <v>23629</v>
      </c>
      <c r="E637" t="s">
        <v>23632</v>
      </c>
    </row>
    <row r="638" spans="1:5" x14ac:dyDescent="0.25">
      <c r="A638" s="131" t="s">
        <v>17863</v>
      </c>
      <c r="B638" t="s">
        <v>24135</v>
      </c>
      <c r="C638">
        <v>1</v>
      </c>
      <c r="D638" t="s">
        <v>23629</v>
      </c>
      <c r="E638" t="s">
        <v>23632</v>
      </c>
    </row>
    <row r="639" spans="1:5" x14ac:dyDescent="0.25">
      <c r="A639" s="130" t="s">
        <v>17863</v>
      </c>
      <c r="B639" t="s">
        <v>24136</v>
      </c>
      <c r="C639">
        <v>1</v>
      </c>
      <c r="D639" t="s">
        <v>23629</v>
      </c>
      <c r="E639" t="s">
        <v>23632</v>
      </c>
    </row>
    <row r="640" spans="1:5" x14ac:dyDescent="0.25">
      <c r="A640" s="131" t="s">
        <v>17863</v>
      </c>
      <c r="B640" t="s">
        <v>24137</v>
      </c>
      <c r="C640">
        <v>1</v>
      </c>
      <c r="D640" t="s">
        <v>23629</v>
      </c>
      <c r="E640" t="s">
        <v>23632</v>
      </c>
    </row>
    <row r="641" spans="1:5" x14ac:dyDescent="0.25">
      <c r="A641" s="131" t="s">
        <v>17863</v>
      </c>
      <c r="B641" t="s">
        <v>24138</v>
      </c>
      <c r="C641">
        <v>1</v>
      </c>
      <c r="D641" t="s">
        <v>23629</v>
      </c>
      <c r="E641" t="s">
        <v>23632</v>
      </c>
    </row>
    <row r="642" spans="1:5" x14ac:dyDescent="0.25">
      <c r="A642" s="131" t="str">
        <f>LEFT(B642,1)</f>
        <v>B</v>
      </c>
      <c r="B642" t="s">
        <v>24193</v>
      </c>
      <c r="C642">
        <v>1</v>
      </c>
      <c r="D642" t="s">
        <v>23629</v>
      </c>
      <c r="E642" t="s">
        <v>23632</v>
      </c>
    </row>
    <row r="643" spans="1:5" x14ac:dyDescent="0.25">
      <c r="A643" s="130" t="s">
        <v>17863</v>
      </c>
      <c r="B643" t="s">
        <v>24139</v>
      </c>
      <c r="C643">
        <v>1.1000000000000001</v>
      </c>
      <c r="D643" t="s">
        <v>23629</v>
      </c>
      <c r="E643" t="s">
        <v>23632</v>
      </c>
    </row>
    <row r="644" spans="1:5" x14ac:dyDescent="0.25">
      <c r="A644" s="130" t="str">
        <f>LEFT((B644),1)</f>
        <v>B</v>
      </c>
      <c r="B644" t="s">
        <v>24140</v>
      </c>
      <c r="C644">
        <v>1</v>
      </c>
      <c r="D644" t="s">
        <v>23629</v>
      </c>
      <c r="E644" t="s">
        <v>23632</v>
      </c>
    </row>
    <row r="645" spans="1:5" x14ac:dyDescent="0.25">
      <c r="A645" s="130" t="str">
        <f>LEFT(B645,1)</f>
        <v>B</v>
      </c>
      <c r="B645" t="s">
        <v>24194</v>
      </c>
      <c r="C645">
        <v>1</v>
      </c>
      <c r="D645" t="s">
        <v>23629</v>
      </c>
      <c r="E645" t="s">
        <v>23632</v>
      </c>
    </row>
    <row r="646" spans="1:5" x14ac:dyDescent="0.25">
      <c r="A646" s="130" t="str">
        <f>LEFT(B646,1)</f>
        <v>B</v>
      </c>
      <c r="B646" t="s">
        <v>28968</v>
      </c>
      <c r="C646">
        <v>1</v>
      </c>
      <c r="D646" t="s">
        <v>23629</v>
      </c>
      <c r="E646" t="s">
        <v>23632</v>
      </c>
    </row>
    <row r="647" spans="1:5" x14ac:dyDescent="0.25">
      <c r="A647" s="131" t="s">
        <v>17863</v>
      </c>
      <c r="B647" t="s">
        <v>24141</v>
      </c>
      <c r="C647">
        <v>1</v>
      </c>
      <c r="D647" t="s">
        <v>23629</v>
      </c>
      <c r="E647" t="s">
        <v>23632</v>
      </c>
    </row>
    <row r="648" spans="1:5" x14ac:dyDescent="0.25">
      <c r="A648" s="130" t="s">
        <v>17863</v>
      </c>
      <c r="B648" t="s">
        <v>24142</v>
      </c>
      <c r="C648">
        <v>1</v>
      </c>
      <c r="D648" t="s">
        <v>23629</v>
      </c>
      <c r="E648" t="s">
        <v>23632</v>
      </c>
    </row>
    <row r="649" spans="1:5" x14ac:dyDescent="0.25">
      <c r="A649" s="131" t="s">
        <v>17863</v>
      </c>
      <c r="B649" t="s">
        <v>24143</v>
      </c>
      <c r="C649">
        <v>1</v>
      </c>
      <c r="D649" t="s">
        <v>23629</v>
      </c>
      <c r="E649" t="s">
        <v>23632</v>
      </c>
    </row>
    <row r="650" spans="1:5" x14ac:dyDescent="0.25">
      <c r="A650" s="131" t="s">
        <v>17863</v>
      </c>
      <c r="B650" t="s">
        <v>24144</v>
      </c>
      <c r="C650">
        <v>1</v>
      </c>
      <c r="D650" t="s">
        <v>23629</v>
      </c>
      <c r="E650" t="s">
        <v>23632</v>
      </c>
    </row>
    <row r="651" spans="1:5" x14ac:dyDescent="0.25">
      <c r="A651" s="130" t="s">
        <v>17863</v>
      </c>
      <c r="B651" t="s">
        <v>24145</v>
      </c>
      <c r="C651">
        <v>1</v>
      </c>
      <c r="D651" t="s">
        <v>23629</v>
      </c>
      <c r="E651" t="s">
        <v>23632</v>
      </c>
    </row>
    <row r="652" spans="1:5" x14ac:dyDescent="0.25">
      <c r="A652" s="131" t="s">
        <v>17863</v>
      </c>
      <c r="B652" t="s">
        <v>24146</v>
      </c>
      <c r="C652">
        <v>1</v>
      </c>
      <c r="D652" t="s">
        <v>23629</v>
      </c>
      <c r="E652" t="s">
        <v>23632</v>
      </c>
    </row>
    <row r="653" spans="1:5" x14ac:dyDescent="0.25">
      <c r="A653" s="130" t="str">
        <f>LEFT(B653,1)</f>
        <v>B</v>
      </c>
      <c r="B653" t="s">
        <v>28382</v>
      </c>
      <c r="C653">
        <v>1</v>
      </c>
      <c r="D653" t="s">
        <v>23629</v>
      </c>
      <c r="E653" t="s">
        <v>23632</v>
      </c>
    </row>
    <row r="654" spans="1:5" x14ac:dyDescent="0.25">
      <c r="A654" s="130" t="s">
        <v>17863</v>
      </c>
      <c r="B654" t="s">
        <v>24147</v>
      </c>
      <c r="C654">
        <v>1</v>
      </c>
      <c r="D654" t="s">
        <v>23629</v>
      </c>
      <c r="E654" t="s">
        <v>23632</v>
      </c>
    </row>
    <row r="655" spans="1:5" x14ac:dyDescent="0.25">
      <c r="A655" s="130" t="s">
        <v>17863</v>
      </c>
      <c r="B655" t="s">
        <v>24148</v>
      </c>
      <c r="C655">
        <v>1</v>
      </c>
      <c r="D655" t="s">
        <v>23629</v>
      </c>
      <c r="E655" t="s">
        <v>23632</v>
      </c>
    </row>
    <row r="656" spans="1:5" x14ac:dyDescent="0.25">
      <c r="A656" s="131" t="s">
        <v>17863</v>
      </c>
      <c r="B656" t="s">
        <v>24149</v>
      </c>
      <c r="C656">
        <v>1</v>
      </c>
      <c r="D656" t="s">
        <v>23629</v>
      </c>
      <c r="E656" t="s">
        <v>23632</v>
      </c>
    </row>
    <row r="657" spans="1:5" x14ac:dyDescent="0.25">
      <c r="A657" s="130" t="s">
        <v>17863</v>
      </c>
      <c r="B657" t="s">
        <v>24150</v>
      </c>
      <c r="C657">
        <v>1</v>
      </c>
      <c r="D657" t="s">
        <v>23629</v>
      </c>
      <c r="E657" t="s">
        <v>23632</v>
      </c>
    </row>
    <row r="658" spans="1:5" x14ac:dyDescent="0.25">
      <c r="A658" s="130" t="s">
        <v>17863</v>
      </c>
      <c r="B658" t="s">
        <v>24151</v>
      </c>
      <c r="C658">
        <v>1</v>
      </c>
      <c r="D658" t="s">
        <v>23629</v>
      </c>
      <c r="E658" t="s">
        <v>23632</v>
      </c>
    </row>
    <row r="659" spans="1:5" x14ac:dyDescent="0.25">
      <c r="A659" s="131" t="s">
        <v>17863</v>
      </c>
      <c r="B659" t="s">
        <v>24152</v>
      </c>
      <c r="C659">
        <v>1</v>
      </c>
      <c r="D659" t="s">
        <v>23629</v>
      </c>
      <c r="E659" t="s">
        <v>23632</v>
      </c>
    </row>
    <row r="660" spans="1:5" x14ac:dyDescent="0.25">
      <c r="A660" s="131" t="s">
        <v>17863</v>
      </c>
      <c r="B660" t="s">
        <v>24153</v>
      </c>
      <c r="C660">
        <v>1</v>
      </c>
      <c r="D660" t="s">
        <v>23629</v>
      </c>
      <c r="E660" t="s">
        <v>23632</v>
      </c>
    </row>
    <row r="661" spans="1:5" x14ac:dyDescent="0.25">
      <c r="A661" s="130" t="s">
        <v>17863</v>
      </c>
      <c r="B661" t="s">
        <v>24154</v>
      </c>
      <c r="C661">
        <v>1</v>
      </c>
      <c r="D661" t="s">
        <v>23629</v>
      </c>
      <c r="E661" t="s">
        <v>23632</v>
      </c>
    </row>
    <row r="662" spans="1:5" x14ac:dyDescent="0.25">
      <c r="A662" s="130" t="str">
        <f>LEFT(B662,1)</f>
        <v>B</v>
      </c>
      <c r="B662" t="s">
        <v>24196</v>
      </c>
      <c r="C662">
        <v>1</v>
      </c>
      <c r="D662" t="s">
        <v>23629</v>
      </c>
      <c r="E662" t="s">
        <v>23632</v>
      </c>
    </row>
    <row r="663" spans="1:5" x14ac:dyDescent="0.25">
      <c r="A663" s="130" t="str">
        <f>LEFT(B663,1)</f>
        <v>B</v>
      </c>
      <c r="B663" t="s">
        <v>28383</v>
      </c>
      <c r="C663">
        <v>1</v>
      </c>
      <c r="D663" t="s">
        <v>23629</v>
      </c>
      <c r="E663" t="s">
        <v>23632</v>
      </c>
    </row>
    <row r="664" spans="1:5" x14ac:dyDescent="0.25">
      <c r="A664" s="130" t="str">
        <f>LEFT(B664,1)</f>
        <v>B</v>
      </c>
      <c r="B664" t="s">
        <v>28384</v>
      </c>
      <c r="C664">
        <v>1</v>
      </c>
      <c r="D664" t="s">
        <v>23629</v>
      </c>
      <c r="E664" t="s">
        <v>23632</v>
      </c>
    </row>
    <row r="665" spans="1:5" x14ac:dyDescent="0.25">
      <c r="A665" s="131" t="s">
        <v>17863</v>
      </c>
      <c r="B665" t="s">
        <v>24155</v>
      </c>
      <c r="C665">
        <v>1</v>
      </c>
      <c r="D665" t="s">
        <v>23629</v>
      </c>
      <c r="E665" t="s">
        <v>23632</v>
      </c>
    </row>
    <row r="666" spans="1:5" x14ac:dyDescent="0.25">
      <c r="A666" s="131" t="s">
        <v>17863</v>
      </c>
      <c r="B666" t="s">
        <v>24156</v>
      </c>
      <c r="C666">
        <v>1</v>
      </c>
      <c r="D666" t="s">
        <v>23629</v>
      </c>
      <c r="E666" t="s">
        <v>23632</v>
      </c>
    </row>
    <row r="667" spans="1:5" x14ac:dyDescent="0.25">
      <c r="A667" s="130" t="s">
        <v>17863</v>
      </c>
      <c r="B667" t="s">
        <v>24157</v>
      </c>
      <c r="C667">
        <v>1</v>
      </c>
      <c r="D667" t="s">
        <v>23629</v>
      </c>
      <c r="E667" t="s">
        <v>23632</v>
      </c>
    </row>
    <row r="668" spans="1:5" x14ac:dyDescent="0.25">
      <c r="A668" s="131" t="s">
        <v>17863</v>
      </c>
      <c r="B668" t="s">
        <v>24158</v>
      </c>
      <c r="C668">
        <v>1</v>
      </c>
      <c r="D668" t="s">
        <v>23629</v>
      </c>
      <c r="E668" t="s">
        <v>23632</v>
      </c>
    </row>
    <row r="669" spans="1:5" x14ac:dyDescent="0.25">
      <c r="A669" s="130" t="s">
        <v>17863</v>
      </c>
      <c r="B669" t="s">
        <v>24159</v>
      </c>
      <c r="C669">
        <v>1</v>
      </c>
      <c r="D669" t="s">
        <v>23629</v>
      </c>
      <c r="E669" t="s">
        <v>23632</v>
      </c>
    </row>
    <row r="670" spans="1:5" x14ac:dyDescent="0.25">
      <c r="A670" s="130" t="s">
        <v>17863</v>
      </c>
      <c r="B670" t="s">
        <v>24160</v>
      </c>
      <c r="C670">
        <v>1</v>
      </c>
      <c r="D670" t="s">
        <v>23629</v>
      </c>
      <c r="E670" t="s">
        <v>23632</v>
      </c>
    </row>
    <row r="671" spans="1:5" x14ac:dyDescent="0.25">
      <c r="A671" s="131" t="s">
        <v>17863</v>
      </c>
      <c r="B671" t="s">
        <v>24161</v>
      </c>
      <c r="C671">
        <v>1</v>
      </c>
      <c r="D671" t="s">
        <v>23629</v>
      </c>
      <c r="E671" t="s">
        <v>23632</v>
      </c>
    </row>
    <row r="672" spans="1:5" x14ac:dyDescent="0.25">
      <c r="A672" s="130" t="s">
        <v>17863</v>
      </c>
      <c r="B672" t="s">
        <v>24162</v>
      </c>
      <c r="C672">
        <v>1</v>
      </c>
      <c r="D672" t="s">
        <v>23629</v>
      </c>
      <c r="E672" t="s">
        <v>23632</v>
      </c>
    </row>
    <row r="673" spans="1:5" x14ac:dyDescent="0.25">
      <c r="A673" s="130" t="str">
        <f>LEFT(B673,1)</f>
        <v>B</v>
      </c>
      <c r="B673" t="s">
        <v>28385</v>
      </c>
      <c r="C673">
        <v>1</v>
      </c>
      <c r="D673" t="s">
        <v>23629</v>
      </c>
      <c r="E673" t="s">
        <v>23632</v>
      </c>
    </row>
    <row r="674" spans="1:5" x14ac:dyDescent="0.25">
      <c r="A674" s="130" t="str">
        <f>LEFT(B674,1)</f>
        <v>B</v>
      </c>
      <c r="B674" t="s">
        <v>28969</v>
      </c>
      <c r="C674">
        <v>1</v>
      </c>
      <c r="D674" t="s">
        <v>23629</v>
      </c>
      <c r="E674" t="s">
        <v>23632</v>
      </c>
    </row>
    <row r="675" spans="1:5" x14ac:dyDescent="0.25">
      <c r="A675" s="131" t="s">
        <v>17863</v>
      </c>
      <c r="B675" t="s">
        <v>24163</v>
      </c>
      <c r="C675">
        <v>1</v>
      </c>
      <c r="D675" t="s">
        <v>23629</v>
      </c>
      <c r="E675" t="s">
        <v>23632</v>
      </c>
    </row>
    <row r="676" spans="1:5" x14ac:dyDescent="0.25">
      <c r="A676" s="130" t="s">
        <v>17863</v>
      </c>
      <c r="B676" t="s">
        <v>24164</v>
      </c>
      <c r="C676">
        <v>1</v>
      </c>
      <c r="D676" t="s">
        <v>23629</v>
      </c>
      <c r="E676" t="s">
        <v>23632</v>
      </c>
    </row>
    <row r="677" spans="1:5" x14ac:dyDescent="0.25">
      <c r="A677" s="131" t="str">
        <f>LEFT((B677),1)</f>
        <v>B</v>
      </c>
      <c r="B677" t="s">
        <v>24165</v>
      </c>
      <c r="C677">
        <v>1</v>
      </c>
      <c r="D677" t="s">
        <v>23629</v>
      </c>
      <c r="E677" t="s">
        <v>23632</v>
      </c>
    </row>
    <row r="678" spans="1:5" x14ac:dyDescent="0.25">
      <c r="A678" s="130" t="str">
        <f>LEFT((B678),1)</f>
        <v>B</v>
      </c>
      <c r="B678" t="s">
        <v>24166</v>
      </c>
      <c r="C678">
        <v>1</v>
      </c>
      <c r="D678" t="s">
        <v>23629</v>
      </c>
      <c r="E678" t="s">
        <v>23632</v>
      </c>
    </row>
    <row r="679" spans="1:5" x14ac:dyDescent="0.25">
      <c r="A679" s="131" t="s">
        <v>17863</v>
      </c>
      <c r="B679" t="s">
        <v>24167</v>
      </c>
      <c r="C679">
        <v>1</v>
      </c>
      <c r="D679" t="s">
        <v>23629</v>
      </c>
      <c r="E679" t="s">
        <v>23632</v>
      </c>
    </row>
    <row r="680" spans="1:5" x14ac:dyDescent="0.25">
      <c r="A680" s="130" t="s">
        <v>17863</v>
      </c>
      <c r="B680" t="s">
        <v>24168</v>
      </c>
      <c r="C680">
        <v>1</v>
      </c>
      <c r="D680" t="s">
        <v>23629</v>
      </c>
      <c r="E680" t="s">
        <v>23632</v>
      </c>
    </row>
    <row r="681" spans="1:5" x14ac:dyDescent="0.25">
      <c r="A681" s="131" t="s">
        <v>17863</v>
      </c>
      <c r="B681" t="s">
        <v>24169</v>
      </c>
      <c r="C681">
        <v>1</v>
      </c>
      <c r="D681" t="s">
        <v>23629</v>
      </c>
      <c r="E681" t="s">
        <v>23632</v>
      </c>
    </row>
    <row r="682" spans="1:5" x14ac:dyDescent="0.25">
      <c r="A682" s="130" t="s">
        <v>17863</v>
      </c>
      <c r="B682" t="s">
        <v>24170</v>
      </c>
      <c r="C682">
        <v>1</v>
      </c>
      <c r="D682" t="s">
        <v>23629</v>
      </c>
      <c r="E682" t="s">
        <v>23632</v>
      </c>
    </row>
    <row r="683" spans="1:5" x14ac:dyDescent="0.25">
      <c r="A683" s="130" t="s">
        <v>17863</v>
      </c>
      <c r="B683" t="s">
        <v>24171</v>
      </c>
      <c r="C683">
        <v>1</v>
      </c>
      <c r="D683" t="s">
        <v>23629</v>
      </c>
      <c r="E683" t="s">
        <v>23632</v>
      </c>
    </row>
    <row r="684" spans="1:5" x14ac:dyDescent="0.25">
      <c r="A684" s="130" t="s">
        <v>17863</v>
      </c>
      <c r="B684" t="s">
        <v>24172</v>
      </c>
      <c r="C684">
        <v>1</v>
      </c>
      <c r="D684" t="s">
        <v>23629</v>
      </c>
      <c r="E684" t="s">
        <v>23632</v>
      </c>
    </row>
    <row r="685" spans="1:5" x14ac:dyDescent="0.25">
      <c r="A685" s="130" t="s">
        <v>17863</v>
      </c>
      <c r="B685" t="s">
        <v>24173</v>
      </c>
      <c r="C685">
        <v>1</v>
      </c>
      <c r="D685" t="s">
        <v>23629</v>
      </c>
      <c r="E685" t="s">
        <v>23632</v>
      </c>
    </row>
    <row r="686" spans="1:5" x14ac:dyDescent="0.25">
      <c r="A686" s="131" t="s">
        <v>17863</v>
      </c>
      <c r="B686" t="s">
        <v>24174</v>
      </c>
      <c r="C686">
        <v>1</v>
      </c>
      <c r="D686" t="s">
        <v>23629</v>
      </c>
      <c r="E686" t="s">
        <v>23632</v>
      </c>
    </row>
    <row r="687" spans="1:5" x14ac:dyDescent="0.25">
      <c r="A687" s="131" t="s">
        <v>17863</v>
      </c>
      <c r="B687" t="s">
        <v>24175</v>
      </c>
      <c r="C687">
        <v>1</v>
      </c>
      <c r="D687" t="s">
        <v>23629</v>
      </c>
      <c r="E687" t="s">
        <v>23632</v>
      </c>
    </row>
    <row r="688" spans="1:5" x14ac:dyDescent="0.25">
      <c r="A688" s="131" t="s">
        <v>17863</v>
      </c>
      <c r="B688" t="s">
        <v>24176</v>
      </c>
      <c r="C688">
        <v>1</v>
      </c>
      <c r="D688" t="s">
        <v>23629</v>
      </c>
      <c r="E688" t="s">
        <v>23632</v>
      </c>
    </row>
    <row r="689" spans="1:5" x14ac:dyDescent="0.25">
      <c r="A689" s="130" t="s">
        <v>17863</v>
      </c>
      <c r="B689" t="s">
        <v>24177</v>
      </c>
      <c r="C689">
        <v>1</v>
      </c>
      <c r="D689" t="s">
        <v>23629</v>
      </c>
      <c r="E689" t="s">
        <v>23632</v>
      </c>
    </row>
    <row r="690" spans="1:5" x14ac:dyDescent="0.25">
      <c r="A690" s="131" t="s">
        <v>17863</v>
      </c>
      <c r="B690" t="s">
        <v>24178</v>
      </c>
      <c r="C690">
        <v>1</v>
      </c>
      <c r="D690" t="s">
        <v>23629</v>
      </c>
      <c r="E690" t="s">
        <v>23632</v>
      </c>
    </row>
    <row r="691" spans="1:5" x14ac:dyDescent="0.25">
      <c r="A691" s="131" t="str">
        <f>LEFT((B691),1)</f>
        <v>B</v>
      </c>
      <c r="B691" t="s">
        <v>24179</v>
      </c>
      <c r="C691">
        <v>1</v>
      </c>
      <c r="D691" t="s">
        <v>23629</v>
      </c>
      <c r="E691" t="s">
        <v>23632</v>
      </c>
    </row>
    <row r="692" spans="1:5" x14ac:dyDescent="0.25">
      <c r="A692" s="130" t="s">
        <v>17863</v>
      </c>
      <c r="B692" t="s">
        <v>24180</v>
      </c>
      <c r="C692">
        <v>1</v>
      </c>
      <c r="D692" t="s">
        <v>23629</v>
      </c>
      <c r="E692" t="s">
        <v>23632</v>
      </c>
    </row>
    <row r="693" spans="1:5" x14ac:dyDescent="0.25">
      <c r="A693" s="130" t="s">
        <v>17863</v>
      </c>
      <c r="B693" t="s">
        <v>24181</v>
      </c>
      <c r="C693">
        <v>1</v>
      </c>
      <c r="D693" t="s">
        <v>23629</v>
      </c>
      <c r="E693" t="s">
        <v>23632</v>
      </c>
    </row>
    <row r="694" spans="1:5" x14ac:dyDescent="0.25">
      <c r="A694" s="130" t="s">
        <v>17863</v>
      </c>
      <c r="B694" t="s">
        <v>24182</v>
      </c>
      <c r="C694">
        <v>1</v>
      </c>
      <c r="D694" t="s">
        <v>23629</v>
      </c>
      <c r="E694" t="s">
        <v>23632</v>
      </c>
    </row>
    <row r="695" spans="1:5" x14ac:dyDescent="0.25">
      <c r="A695" s="131" t="str">
        <f>LEFT(B695,1)</f>
        <v>B</v>
      </c>
      <c r="B695" t="s">
        <v>24204</v>
      </c>
      <c r="C695">
        <v>1</v>
      </c>
      <c r="D695" t="s">
        <v>23629</v>
      </c>
      <c r="E695" t="s">
        <v>23632</v>
      </c>
    </row>
    <row r="696" spans="1:5" x14ac:dyDescent="0.25">
      <c r="A696" s="131" t="s">
        <v>24205</v>
      </c>
      <c r="B696" t="s">
        <v>24206</v>
      </c>
      <c r="C696">
        <v>1</v>
      </c>
      <c r="D696" t="s">
        <v>23629</v>
      </c>
      <c r="E696" t="s">
        <v>23632</v>
      </c>
    </row>
    <row r="697" spans="1:5" x14ac:dyDescent="0.25">
      <c r="A697" s="130" t="str">
        <f>LEFT(B697,1)</f>
        <v>C</v>
      </c>
      <c r="B697" t="s">
        <v>28705</v>
      </c>
      <c r="C697">
        <v>1</v>
      </c>
      <c r="D697" t="s">
        <v>23629</v>
      </c>
      <c r="E697" t="s">
        <v>23632</v>
      </c>
    </row>
    <row r="698" spans="1:5" x14ac:dyDescent="0.25">
      <c r="A698" s="130" t="s">
        <v>24205</v>
      </c>
      <c r="B698" t="s">
        <v>24207</v>
      </c>
      <c r="C698">
        <v>1</v>
      </c>
      <c r="D698" t="s">
        <v>23629</v>
      </c>
      <c r="E698" t="s">
        <v>23632</v>
      </c>
    </row>
    <row r="699" spans="1:5" x14ac:dyDescent="0.25">
      <c r="A699" s="131" t="s">
        <v>24205</v>
      </c>
      <c r="B699" t="s">
        <v>24208</v>
      </c>
      <c r="C699">
        <v>1</v>
      </c>
      <c r="D699" t="s">
        <v>23629</v>
      </c>
      <c r="E699" t="s">
        <v>23632</v>
      </c>
    </row>
    <row r="700" spans="1:5" x14ac:dyDescent="0.25">
      <c r="A700" s="131" t="s">
        <v>24205</v>
      </c>
      <c r="B700" t="s">
        <v>24209</v>
      </c>
      <c r="C700">
        <v>1</v>
      </c>
      <c r="D700" t="s">
        <v>23629</v>
      </c>
      <c r="E700" t="s">
        <v>23632</v>
      </c>
    </row>
    <row r="701" spans="1:5" x14ac:dyDescent="0.25">
      <c r="A701" s="130" t="str">
        <f>LEFT((B701),1)</f>
        <v>C</v>
      </c>
      <c r="B701" t="s">
        <v>24210</v>
      </c>
      <c r="C701">
        <v>1</v>
      </c>
      <c r="D701" t="s">
        <v>23629</v>
      </c>
      <c r="E701" t="s">
        <v>23632</v>
      </c>
    </row>
    <row r="702" spans="1:5" x14ac:dyDescent="0.25">
      <c r="A702" s="130" t="s">
        <v>24205</v>
      </c>
      <c r="B702" t="s">
        <v>24211</v>
      </c>
      <c r="C702">
        <v>1</v>
      </c>
      <c r="D702" t="s">
        <v>23629</v>
      </c>
      <c r="E702" t="s">
        <v>23632</v>
      </c>
    </row>
    <row r="703" spans="1:5" x14ac:dyDescent="0.25">
      <c r="A703" s="130" t="str">
        <f>LEFT(B703,1)</f>
        <v>C</v>
      </c>
      <c r="B703" t="s">
        <v>28706</v>
      </c>
      <c r="C703">
        <v>1</v>
      </c>
      <c r="D703" t="s">
        <v>23629</v>
      </c>
      <c r="E703" t="s">
        <v>23632</v>
      </c>
    </row>
    <row r="704" spans="1:5" x14ac:dyDescent="0.25">
      <c r="A704" s="131" t="str">
        <f>LEFT((B704),1)</f>
        <v>C</v>
      </c>
      <c r="B704" t="s">
        <v>24212</v>
      </c>
      <c r="C704">
        <v>1</v>
      </c>
      <c r="D704" t="s">
        <v>23629</v>
      </c>
      <c r="E704" t="s">
        <v>23632</v>
      </c>
    </row>
    <row r="705" spans="1:5" x14ac:dyDescent="0.25">
      <c r="A705" s="131" t="s">
        <v>24205</v>
      </c>
      <c r="B705" t="s">
        <v>24213</v>
      </c>
      <c r="C705">
        <v>1</v>
      </c>
      <c r="D705" t="s">
        <v>23629</v>
      </c>
      <c r="E705" t="s">
        <v>23632</v>
      </c>
    </row>
    <row r="706" spans="1:5" x14ac:dyDescent="0.25">
      <c r="A706" s="130" t="s">
        <v>24205</v>
      </c>
      <c r="B706" t="s">
        <v>24214</v>
      </c>
      <c r="C706">
        <v>1</v>
      </c>
      <c r="D706" t="s">
        <v>23629</v>
      </c>
      <c r="E706" t="s">
        <v>23632</v>
      </c>
    </row>
    <row r="707" spans="1:5" x14ac:dyDescent="0.25">
      <c r="A707" s="131" t="s">
        <v>24205</v>
      </c>
      <c r="B707" t="s">
        <v>24215</v>
      </c>
      <c r="C707">
        <v>1</v>
      </c>
      <c r="D707" t="s">
        <v>23629</v>
      </c>
      <c r="E707" t="s">
        <v>23632</v>
      </c>
    </row>
    <row r="708" spans="1:5" x14ac:dyDescent="0.25">
      <c r="A708" s="130" t="str">
        <f>LEFT((B708),1)</f>
        <v>C</v>
      </c>
      <c r="B708" t="s">
        <v>24216</v>
      </c>
      <c r="C708">
        <v>1</v>
      </c>
      <c r="D708" t="s">
        <v>23629</v>
      </c>
      <c r="E708" t="s">
        <v>23632</v>
      </c>
    </row>
    <row r="709" spans="1:5" x14ac:dyDescent="0.25">
      <c r="A709" s="131" t="s">
        <v>24205</v>
      </c>
      <c r="B709" t="s">
        <v>24217</v>
      </c>
      <c r="C709">
        <v>1</v>
      </c>
      <c r="D709" t="s">
        <v>23629</v>
      </c>
      <c r="E709" t="s">
        <v>23632</v>
      </c>
    </row>
    <row r="710" spans="1:5" x14ac:dyDescent="0.25">
      <c r="A710" s="130" t="str">
        <f>LEFT(B710,1)</f>
        <v>C</v>
      </c>
      <c r="B710" t="s">
        <v>28707</v>
      </c>
      <c r="C710">
        <v>1</v>
      </c>
      <c r="D710" t="s">
        <v>23629</v>
      </c>
      <c r="E710" t="s">
        <v>23632</v>
      </c>
    </row>
    <row r="711" spans="1:5" x14ac:dyDescent="0.25">
      <c r="A711" s="130" t="s">
        <v>24205</v>
      </c>
      <c r="B711" t="s">
        <v>24218</v>
      </c>
      <c r="C711">
        <v>1</v>
      </c>
      <c r="D711" t="s">
        <v>23629</v>
      </c>
      <c r="E711" t="s">
        <v>23632</v>
      </c>
    </row>
    <row r="712" spans="1:5" x14ac:dyDescent="0.25">
      <c r="A712" s="131" t="s">
        <v>24205</v>
      </c>
      <c r="B712" t="s">
        <v>24219</v>
      </c>
      <c r="C712">
        <v>1</v>
      </c>
      <c r="D712" t="s">
        <v>23629</v>
      </c>
      <c r="E712" t="s">
        <v>23632</v>
      </c>
    </row>
    <row r="713" spans="1:5" x14ac:dyDescent="0.25">
      <c r="A713" s="131" t="s">
        <v>24205</v>
      </c>
      <c r="B713" t="s">
        <v>24220</v>
      </c>
      <c r="C713">
        <v>1</v>
      </c>
      <c r="D713" t="s">
        <v>23629</v>
      </c>
      <c r="E713" t="s">
        <v>23632</v>
      </c>
    </row>
    <row r="714" spans="1:5" x14ac:dyDescent="0.25">
      <c r="A714" s="130" t="str">
        <f>LEFT(B714,1)</f>
        <v>C</v>
      </c>
      <c r="B714" t="s">
        <v>28386</v>
      </c>
      <c r="C714">
        <v>1</v>
      </c>
      <c r="D714" t="s">
        <v>23629</v>
      </c>
      <c r="E714" t="s">
        <v>23632</v>
      </c>
    </row>
    <row r="715" spans="1:5" x14ac:dyDescent="0.25">
      <c r="A715" s="130" t="s">
        <v>24205</v>
      </c>
      <c r="B715" t="s">
        <v>24221</v>
      </c>
      <c r="C715">
        <v>1</v>
      </c>
      <c r="D715" t="s">
        <v>23629</v>
      </c>
      <c r="E715" t="s">
        <v>23632</v>
      </c>
    </row>
    <row r="716" spans="1:5" x14ac:dyDescent="0.25">
      <c r="A716" s="130" t="str">
        <f>LEFT(B716,1)</f>
        <v>C</v>
      </c>
      <c r="B716" t="s">
        <v>24647</v>
      </c>
      <c r="C716">
        <v>1</v>
      </c>
      <c r="D716" t="s">
        <v>23629</v>
      </c>
      <c r="E716" t="s">
        <v>23632</v>
      </c>
    </row>
    <row r="717" spans="1:5" x14ac:dyDescent="0.25">
      <c r="A717" s="131" t="s">
        <v>24205</v>
      </c>
      <c r="B717" t="s">
        <v>24222</v>
      </c>
      <c r="C717">
        <v>1</v>
      </c>
      <c r="D717" t="s">
        <v>23629</v>
      </c>
      <c r="E717" t="s">
        <v>23632</v>
      </c>
    </row>
    <row r="718" spans="1:5" x14ac:dyDescent="0.25">
      <c r="A718" s="130" t="s">
        <v>24205</v>
      </c>
      <c r="B718" t="s">
        <v>24223</v>
      </c>
      <c r="C718">
        <v>1</v>
      </c>
      <c r="D718" t="s">
        <v>23629</v>
      </c>
      <c r="E718" t="s">
        <v>23632</v>
      </c>
    </row>
    <row r="719" spans="1:5" x14ac:dyDescent="0.25">
      <c r="A719" s="130" t="str">
        <f>LEFT(B719,1)</f>
        <v>C</v>
      </c>
      <c r="B719" t="s">
        <v>29201</v>
      </c>
      <c r="C719">
        <v>1</v>
      </c>
      <c r="D719" t="s">
        <v>23629</v>
      </c>
      <c r="E719" t="s">
        <v>23632</v>
      </c>
    </row>
    <row r="720" spans="1:5" x14ac:dyDescent="0.25">
      <c r="A720" s="131" t="s">
        <v>24205</v>
      </c>
      <c r="B720" t="s">
        <v>24224</v>
      </c>
      <c r="C720">
        <v>1</v>
      </c>
      <c r="D720" t="s">
        <v>23629</v>
      </c>
      <c r="E720" t="s">
        <v>23632</v>
      </c>
    </row>
    <row r="721" spans="1:5" x14ac:dyDescent="0.25">
      <c r="A721" s="130" t="str">
        <f>LEFT(B721,1)</f>
        <v>C</v>
      </c>
      <c r="B721" t="s">
        <v>24631</v>
      </c>
      <c r="C721">
        <v>1</v>
      </c>
      <c r="D721" t="s">
        <v>23629</v>
      </c>
      <c r="E721" t="s">
        <v>23632</v>
      </c>
    </row>
    <row r="722" spans="1:5" x14ac:dyDescent="0.25">
      <c r="A722" s="130" t="s">
        <v>24205</v>
      </c>
      <c r="B722" t="s">
        <v>24225</v>
      </c>
      <c r="C722">
        <v>1</v>
      </c>
      <c r="D722" t="s">
        <v>23629</v>
      </c>
      <c r="E722" t="s">
        <v>23632</v>
      </c>
    </row>
    <row r="723" spans="1:5" x14ac:dyDescent="0.25">
      <c r="A723" s="130" t="str">
        <f>LEFT(B723,1)</f>
        <v>C</v>
      </c>
      <c r="B723" t="s">
        <v>28387</v>
      </c>
      <c r="C723">
        <v>1</v>
      </c>
      <c r="D723" t="s">
        <v>23629</v>
      </c>
      <c r="E723" t="s">
        <v>23632</v>
      </c>
    </row>
    <row r="724" spans="1:5" x14ac:dyDescent="0.25">
      <c r="A724" s="130" t="str">
        <f>LEFT(B724,1)</f>
        <v>C</v>
      </c>
      <c r="B724" t="s">
        <v>24632</v>
      </c>
      <c r="C724">
        <v>1</v>
      </c>
      <c r="D724" t="s">
        <v>23629</v>
      </c>
      <c r="E724" t="s">
        <v>23632</v>
      </c>
    </row>
    <row r="725" spans="1:5" x14ac:dyDescent="0.25">
      <c r="A725" s="130" t="str">
        <f>LEFT(B725,1)</f>
        <v>C</v>
      </c>
      <c r="B725" t="s">
        <v>28970</v>
      </c>
      <c r="C725">
        <v>1</v>
      </c>
      <c r="D725" t="s">
        <v>23629</v>
      </c>
      <c r="E725" t="s">
        <v>23632</v>
      </c>
    </row>
    <row r="726" spans="1:5" x14ac:dyDescent="0.25">
      <c r="A726" s="131" t="s">
        <v>24205</v>
      </c>
      <c r="B726" t="s">
        <v>24226</v>
      </c>
      <c r="C726">
        <v>1</v>
      </c>
      <c r="D726" t="s">
        <v>23629</v>
      </c>
      <c r="E726" t="s">
        <v>23632</v>
      </c>
    </row>
    <row r="727" spans="1:5" x14ac:dyDescent="0.25">
      <c r="A727" s="130" t="s">
        <v>24205</v>
      </c>
      <c r="B727" t="s">
        <v>24227</v>
      </c>
      <c r="C727">
        <v>1</v>
      </c>
      <c r="D727" t="s">
        <v>23629</v>
      </c>
      <c r="E727" t="s">
        <v>23632</v>
      </c>
    </row>
    <row r="728" spans="1:5" x14ac:dyDescent="0.25">
      <c r="A728" s="131" t="s">
        <v>24205</v>
      </c>
      <c r="B728" t="s">
        <v>24228</v>
      </c>
      <c r="C728">
        <v>1</v>
      </c>
      <c r="D728" t="s">
        <v>23629</v>
      </c>
      <c r="E728" t="s">
        <v>23632</v>
      </c>
    </row>
    <row r="729" spans="1:5" x14ac:dyDescent="0.25">
      <c r="A729" s="131" t="s">
        <v>24205</v>
      </c>
      <c r="B729" t="s">
        <v>24229</v>
      </c>
      <c r="C729">
        <v>1</v>
      </c>
      <c r="D729" t="s">
        <v>23629</v>
      </c>
      <c r="E729" t="s">
        <v>23632</v>
      </c>
    </row>
    <row r="730" spans="1:5" x14ac:dyDescent="0.25">
      <c r="A730" s="131" t="s">
        <v>24205</v>
      </c>
      <c r="B730" t="s">
        <v>24230</v>
      </c>
      <c r="C730">
        <v>1</v>
      </c>
      <c r="D730" t="s">
        <v>23629</v>
      </c>
      <c r="E730" t="s">
        <v>23632</v>
      </c>
    </row>
    <row r="731" spans="1:5" x14ac:dyDescent="0.25">
      <c r="A731" s="131" t="s">
        <v>24205</v>
      </c>
      <c r="B731" t="s">
        <v>24231</v>
      </c>
      <c r="C731">
        <v>1</v>
      </c>
      <c r="D731" t="s">
        <v>23629</v>
      </c>
      <c r="E731" t="s">
        <v>23632</v>
      </c>
    </row>
    <row r="732" spans="1:5" x14ac:dyDescent="0.25">
      <c r="A732" s="130" t="s">
        <v>24205</v>
      </c>
      <c r="B732" t="s">
        <v>24232</v>
      </c>
      <c r="C732">
        <v>1</v>
      </c>
      <c r="D732" t="s">
        <v>23629</v>
      </c>
      <c r="E732" t="s">
        <v>23632</v>
      </c>
    </row>
    <row r="733" spans="1:5" x14ac:dyDescent="0.25">
      <c r="A733" s="130" t="s">
        <v>24205</v>
      </c>
      <c r="B733" t="s">
        <v>24233</v>
      </c>
      <c r="C733">
        <v>1</v>
      </c>
      <c r="D733" t="s">
        <v>23629</v>
      </c>
      <c r="E733" t="s">
        <v>23632</v>
      </c>
    </row>
    <row r="734" spans="1:5" x14ac:dyDescent="0.25">
      <c r="A734" s="130" t="s">
        <v>24205</v>
      </c>
      <c r="B734" t="s">
        <v>24234</v>
      </c>
      <c r="C734">
        <v>1</v>
      </c>
      <c r="D734" t="s">
        <v>23629</v>
      </c>
      <c r="E734" t="s">
        <v>23632</v>
      </c>
    </row>
    <row r="735" spans="1:5" x14ac:dyDescent="0.25">
      <c r="A735" s="130" t="s">
        <v>24205</v>
      </c>
      <c r="B735" t="s">
        <v>24235</v>
      </c>
      <c r="C735">
        <v>1</v>
      </c>
      <c r="D735" t="s">
        <v>23629</v>
      </c>
      <c r="E735" t="s">
        <v>23632</v>
      </c>
    </row>
    <row r="736" spans="1:5" x14ac:dyDescent="0.25">
      <c r="A736" s="131" t="s">
        <v>24205</v>
      </c>
      <c r="B736" t="s">
        <v>24236</v>
      </c>
      <c r="C736">
        <v>1</v>
      </c>
      <c r="D736" t="s">
        <v>23629</v>
      </c>
      <c r="E736" t="s">
        <v>23632</v>
      </c>
    </row>
    <row r="737" spans="1:5" x14ac:dyDescent="0.25">
      <c r="A737" s="130" t="str">
        <f>LEFT(B737,1)</f>
        <v>C</v>
      </c>
      <c r="B737" t="s">
        <v>28388</v>
      </c>
      <c r="C737">
        <v>1</v>
      </c>
      <c r="D737" t="s">
        <v>23629</v>
      </c>
      <c r="E737" t="s">
        <v>23632</v>
      </c>
    </row>
    <row r="738" spans="1:5" x14ac:dyDescent="0.25">
      <c r="A738" s="131" t="s">
        <v>24205</v>
      </c>
      <c r="B738" t="s">
        <v>24237</v>
      </c>
      <c r="C738">
        <v>1</v>
      </c>
      <c r="D738" t="s">
        <v>23629</v>
      </c>
      <c r="E738" t="s">
        <v>23632</v>
      </c>
    </row>
    <row r="739" spans="1:5" x14ac:dyDescent="0.25">
      <c r="A739" s="130" t="s">
        <v>24205</v>
      </c>
      <c r="B739" t="s">
        <v>24238</v>
      </c>
      <c r="C739">
        <v>1</v>
      </c>
      <c r="D739" t="s">
        <v>23629</v>
      </c>
      <c r="E739" t="s">
        <v>23632</v>
      </c>
    </row>
    <row r="740" spans="1:5" x14ac:dyDescent="0.25">
      <c r="A740" s="130" t="s">
        <v>24205</v>
      </c>
      <c r="B740" t="s">
        <v>24239</v>
      </c>
      <c r="C740">
        <v>1</v>
      </c>
      <c r="D740" t="s">
        <v>23629</v>
      </c>
      <c r="E740" t="s">
        <v>23632</v>
      </c>
    </row>
    <row r="741" spans="1:5" x14ac:dyDescent="0.25">
      <c r="A741" s="131" t="s">
        <v>24205</v>
      </c>
      <c r="B741" t="s">
        <v>24240</v>
      </c>
      <c r="C741">
        <v>1</v>
      </c>
      <c r="D741" t="s">
        <v>23629</v>
      </c>
      <c r="E741" t="s">
        <v>23632</v>
      </c>
    </row>
    <row r="742" spans="1:5" x14ac:dyDescent="0.25">
      <c r="A742" s="130" t="s">
        <v>24205</v>
      </c>
      <c r="B742" t="s">
        <v>24241</v>
      </c>
      <c r="C742">
        <v>1</v>
      </c>
      <c r="D742" t="s">
        <v>23629</v>
      </c>
      <c r="E742" t="s">
        <v>23632</v>
      </c>
    </row>
    <row r="743" spans="1:5" x14ac:dyDescent="0.25">
      <c r="A743" s="130" t="s">
        <v>24205</v>
      </c>
      <c r="B743" t="s">
        <v>24242</v>
      </c>
      <c r="C743">
        <v>1</v>
      </c>
      <c r="D743" t="s">
        <v>23629</v>
      </c>
      <c r="E743" t="s">
        <v>23632</v>
      </c>
    </row>
    <row r="744" spans="1:5" x14ac:dyDescent="0.25">
      <c r="A744" s="130" t="str">
        <f>LEFT(B744,1)</f>
        <v>C</v>
      </c>
      <c r="B744" t="s">
        <v>28708</v>
      </c>
      <c r="C744">
        <v>1</v>
      </c>
      <c r="D744" t="s">
        <v>23629</v>
      </c>
      <c r="E744" t="s">
        <v>23632</v>
      </c>
    </row>
    <row r="745" spans="1:5" x14ac:dyDescent="0.25">
      <c r="A745" s="131" t="s">
        <v>24205</v>
      </c>
      <c r="B745" t="s">
        <v>24243</v>
      </c>
      <c r="C745">
        <v>1</v>
      </c>
      <c r="D745" t="s">
        <v>23629</v>
      </c>
      <c r="E745" t="s">
        <v>23632</v>
      </c>
    </row>
    <row r="746" spans="1:5" x14ac:dyDescent="0.25">
      <c r="A746" s="130" t="s">
        <v>24205</v>
      </c>
      <c r="B746" t="s">
        <v>24244</v>
      </c>
      <c r="C746">
        <v>1</v>
      </c>
      <c r="D746" t="s">
        <v>23629</v>
      </c>
      <c r="E746" t="s">
        <v>23632</v>
      </c>
    </row>
    <row r="747" spans="1:5" x14ac:dyDescent="0.25">
      <c r="A747" s="131" t="s">
        <v>24205</v>
      </c>
      <c r="B747" t="s">
        <v>24245</v>
      </c>
      <c r="C747">
        <v>1</v>
      </c>
      <c r="D747" t="s">
        <v>23629</v>
      </c>
      <c r="E747" t="s">
        <v>23632</v>
      </c>
    </row>
    <row r="748" spans="1:5" x14ac:dyDescent="0.25">
      <c r="A748" s="130" t="str">
        <f>LEFT(B748,1)</f>
        <v>C</v>
      </c>
      <c r="B748" t="s">
        <v>24633</v>
      </c>
      <c r="C748">
        <v>1</v>
      </c>
      <c r="D748" t="s">
        <v>23629</v>
      </c>
      <c r="E748" t="s">
        <v>23632</v>
      </c>
    </row>
    <row r="749" spans="1:5" x14ac:dyDescent="0.25">
      <c r="A749" s="130" t="s">
        <v>24205</v>
      </c>
      <c r="B749" t="s">
        <v>24246</v>
      </c>
      <c r="C749">
        <v>1</v>
      </c>
      <c r="D749" t="s">
        <v>23629</v>
      </c>
      <c r="E749" t="s">
        <v>23632</v>
      </c>
    </row>
    <row r="750" spans="1:5" x14ac:dyDescent="0.25">
      <c r="A750" s="131" t="s">
        <v>24205</v>
      </c>
      <c r="B750" t="s">
        <v>24247</v>
      </c>
      <c r="C750">
        <v>1</v>
      </c>
      <c r="D750" t="s">
        <v>23629</v>
      </c>
      <c r="E750" t="s">
        <v>23632</v>
      </c>
    </row>
    <row r="751" spans="1:5" x14ac:dyDescent="0.25">
      <c r="A751" s="131" t="str">
        <f>LEFT((B751),1)</f>
        <v>C</v>
      </c>
      <c r="B751" t="s">
        <v>24248</v>
      </c>
      <c r="C751">
        <v>1</v>
      </c>
      <c r="D751" t="s">
        <v>23629</v>
      </c>
      <c r="E751" t="s">
        <v>23632</v>
      </c>
    </row>
    <row r="752" spans="1:5" x14ac:dyDescent="0.25">
      <c r="A752" s="130" t="s">
        <v>24205</v>
      </c>
      <c r="B752" t="s">
        <v>24249</v>
      </c>
      <c r="C752">
        <v>1</v>
      </c>
      <c r="D752" t="s">
        <v>23629</v>
      </c>
      <c r="E752" t="s">
        <v>23632</v>
      </c>
    </row>
    <row r="753" spans="1:5" x14ac:dyDescent="0.25">
      <c r="A753" s="131" t="s">
        <v>24205</v>
      </c>
      <c r="B753" t="s">
        <v>24250</v>
      </c>
      <c r="C753">
        <v>1</v>
      </c>
      <c r="D753" t="s">
        <v>23629</v>
      </c>
      <c r="E753" t="s">
        <v>23632</v>
      </c>
    </row>
    <row r="754" spans="1:5" x14ac:dyDescent="0.25">
      <c r="A754" s="130" t="s">
        <v>24205</v>
      </c>
      <c r="B754" t="s">
        <v>24251</v>
      </c>
      <c r="C754">
        <v>1</v>
      </c>
      <c r="D754" t="s">
        <v>23629</v>
      </c>
      <c r="E754" t="s">
        <v>23632</v>
      </c>
    </row>
    <row r="755" spans="1:5" x14ac:dyDescent="0.25">
      <c r="A755" s="130" t="s">
        <v>24205</v>
      </c>
      <c r="B755" t="s">
        <v>24252</v>
      </c>
      <c r="C755">
        <v>1</v>
      </c>
      <c r="D755" t="s">
        <v>23629</v>
      </c>
      <c r="E755" t="s">
        <v>23632</v>
      </c>
    </row>
    <row r="756" spans="1:5" x14ac:dyDescent="0.25">
      <c r="A756" s="130" t="s">
        <v>24205</v>
      </c>
      <c r="B756" t="s">
        <v>24253</v>
      </c>
      <c r="C756">
        <v>1</v>
      </c>
      <c r="D756" t="s">
        <v>23629</v>
      </c>
      <c r="E756" t="s">
        <v>23632</v>
      </c>
    </row>
    <row r="757" spans="1:5" x14ac:dyDescent="0.25">
      <c r="A757" s="131" t="s">
        <v>24205</v>
      </c>
      <c r="B757" t="s">
        <v>24254</v>
      </c>
      <c r="C757">
        <v>1</v>
      </c>
      <c r="D757" t="s">
        <v>23629</v>
      </c>
      <c r="E757" t="s">
        <v>23632</v>
      </c>
    </row>
    <row r="758" spans="1:5" x14ac:dyDescent="0.25">
      <c r="A758" s="130" t="s">
        <v>24205</v>
      </c>
      <c r="B758" t="s">
        <v>24255</v>
      </c>
      <c r="C758">
        <v>1</v>
      </c>
      <c r="D758" t="s">
        <v>23629</v>
      </c>
      <c r="E758" t="s">
        <v>23632</v>
      </c>
    </row>
    <row r="759" spans="1:5" x14ac:dyDescent="0.25">
      <c r="A759" s="130" t="str">
        <f>LEFT(B759,1)</f>
        <v>C</v>
      </c>
      <c r="B759" t="s">
        <v>28709</v>
      </c>
      <c r="C759">
        <v>1</v>
      </c>
      <c r="D759" t="s">
        <v>23629</v>
      </c>
      <c r="E759" t="s">
        <v>23632</v>
      </c>
    </row>
    <row r="760" spans="1:5" x14ac:dyDescent="0.25">
      <c r="A760" s="131" t="s">
        <v>24205</v>
      </c>
      <c r="B760" t="s">
        <v>24256</v>
      </c>
      <c r="C760">
        <v>1</v>
      </c>
      <c r="D760" t="s">
        <v>23629</v>
      </c>
      <c r="E760" t="s">
        <v>23632</v>
      </c>
    </row>
    <row r="761" spans="1:5" x14ac:dyDescent="0.25">
      <c r="A761" s="130" t="str">
        <f>LEFT((B761),1)</f>
        <v>C</v>
      </c>
      <c r="B761" t="s">
        <v>24257</v>
      </c>
      <c r="C761">
        <v>1</v>
      </c>
      <c r="D761" t="s">
        <v>23629</v>
      </c>
      <c r="E761" t="s">
        <v>23632</v>
      </c>
    </row>
    <row r="762" spans="1:5" x14ac:dyDescent="0.25">
      <c r="A762" s="130" t="str">
        <f>LEFT(B762,1)</f>
        <v>C</v>
      </c>
      <c r="B762" t="s">
        <v>28389</v>
      </c>
      <c r="C762">
        <v>1</v>
      </c>
      <c r="D762" t="s">
        <v>23629</v>
      </c>
      <c r="E762" t="s">
        <v>23632</v>
      </c>
    </row>
    <row r="763" spans="1:5" x14ac:dyDescent="0.25">
      <c r="A763" s="131" t="s">
        <v>24205</v>
      </c>
      <c r="B763" t="s">
        <v>24258</v>
      </c>
      <c r="C763">
        <v>1</v>
      </c>
      <c r="D763" t="s">
        <v>23629</v>
      </c>
      <c r="E763" t="s">
        <v>23881</v>
      </c>
    </row>
    <row r="764" spans="1:5" x14ac:dyDescent="0.25">
      <c r="A764" s="130" t="s">
        <v>24205</v>
      </c>
      <c r="B764" t="s">
        <v>24259</v>
      </c>
      <c r="C764">
        <v>1</v>
      </c>
      <c r="D764" t="s">
        <v>23629</v>
      </c>
      <c r="E764" t="s">
        <v>23632</v>
      </c>
    </row>
    <row r="765" spans="1:5" x14ac:dyDescent="0.25">
      <c r="A765" s="130" t="str">
        <f>LEFT(B765,1)</f>
        <v>C</v>
      </c>
      <c r="B765" t="s">
        <v>24613</v>
      </c>
      <c r="C765">
        <v>1</v>
      </c>
      <c r="D765" t="s">
        <v>23629</v>
      </c>
      <c r="E765" t="s">
        <v>23632</v>
      </c>
    </row>
    <row r="766" spans="1:5" x14ac:dyDescent="0.25">
      <c r="A766" s="131" t="str">
        <f>LEFT(B766,1)</f>
        <v>C</v>
      </c>
      <c r="B766" t="s">
        <v>24648</v>
      </c>
      <c r="C766">
        <v>1</v>
      </c>
      <c r="D766" t="s">
        <v>23629</v>
      </c>
      <c r="E766" t="s">
        <v>23632</v>
      </c>
    </row>
    <row r="767" spans="1:5" x14ac:dyDescent="0.25">
      <c r="A767" s="131" t="str">
        <f>LEFT(B767,1)</f>
        <v>C</v>
      </c>
      <c r="B767" t="s">
        <v>24614</v>
      </c>
      <c r="C767">
        <v>1</v>
      </c>
      <c r="D767" t="s">
        <v>23629</v>
      </c>
      <c r="E767" t="s">
        <v>23632</v>
      </c>
    </row>
    <row r="768" spans="1:5" x14ac:dyDescent="0.25">
      <c r="A768" s="130" t="str">
        <f>LEFT(B768,1)</f>
        <v>C</v>
      </c>
      <c r="B768" t="s">
        <v>28390</v>
      </c>
      <c r="C768">
        <v>1</v>
      </c>
      <c r="D768" t="s">
        <v>23629</v>
      </c>
      <c r="E768" t="s">
        <v>23632</v>
      </c>
    </row>
    <row r="769" spans="1:5" x14ac:dyDescent="0.25">
      <c r="A769" s="131" t="s">
        <v>24205</v>
      </c>
      <c r="B769" t="s">
        <v>24260</v>
      </c>
      <c r="C769">
        <v>1</v>
      </c>
      <c r="D769" t="s">
        <v>23629</v>
      </c>
      <c r="E769" t="s">
        <v>23632</v>
      </c>
    </row>
    <row r="770" spans="1:5" x14ac:dyDescent="0.25">
      <c r="A770" s="130" t="s">
        <v>24205</v>
      </c>
      <c r="B770" t="s">
        <v>24261</v>
      </c>
      <c r="C770">
        <v>1</v>
      </c>
      <c r="D770" t="s">
        <v>23629</v>
      </c>
      <c r="E770" t="s">
        <v>23632</v>
      </c>
    </row>
    <row r="771" spans="1:5" x14ac:dyDescent="0.25">
      <c r="A771" s="130" t="str">
        <f>LEFT(B771,1)</f>
        <v>C</v>
      </c>
      <c r="B771" t="s">
        <v>28971</v>
      </c>
      <c r="C771">
        <v>1</v>
      </c>
      <c r="D771" t="s">
        <v>23629</v>
      </c>
      <c r="E771" t="s">
        <v>23632</v>
      </c>
    </row>
    <row r="772" spans="1:5" x14ac:dyDescent="0.25">
      <c r="A772" s="131" t="s">
        <v>24205</v>
      </c>
      <c r="B772" t="s">
        <v>24262</v>
      </c>
      <c r="C772">
        <v>1</v>
      </c>
      <c r="D772" t="s">
        <v>23629</v>
      </c>
      <c r="E772" t="s">
        <v>23632</v>
      </c>
    </row>
    <row r="773" spans="1:5" x14ac:dyDescent="0.25">
      <c r="A773" s="130" t="str">
        <f>LEFT(B773,1)</f>
        <v>C</v>
      </c>
      <c r="B773" t="s">
        <v>24615</v>
      </c>
      <c r="C773">
        <v>1</v>
      </c>
      <c r="D773" t="s">
        <v>23629</v>
      </c>
      <c r="E773" t="s">
        <v>23632</v>
      </c>
    </row>
    <row r="774" spans="1:5" x14ac:dyDescent="0.25">
      <c r="A774" s="130" t="str">
        <f>LEFT(B774,1)</f>
        <v>C</v>
      </c>
      <c r="B774" t="s">
        <v>24649</v>
      </c>
      <c r="C774">
        <v>1</v>
      </c>
      <c r="D774" t="s">
        <v>23629</v>
      </c>
      <c r="E774" t="s">
        <v>23632</v>
      </c>
    </row>
    <row r="775" spans="1:5" x14ac:dyDescent="0.25">
      <c r="A775" s="131" t="s">
        <v>24205</v>
      </c>
      <c r="B775" t="s">
        <v>24263</v>
      </c>
      <c r="C775">
        <v>1</v>
      </c>
      <c r="D775" t="s">
        <v>23629</v>
      </c>
      <c r="E775" t="s">
        <v>23632</v>
      </c>
    </row>
    <row r="776" spans="1:5" x14ac:dyDescent="0.25">
      <c r="A776" s="130" t="s">
        <v>24205</v>
      </c>
      <c r="B776" t="s">
        <v>24264</v>
      </c>
      <c r="C776">
        <v>1</v>
      </c>
      <c r="D776" t="s">
        <v>23629</v>
      </c>
      <c r="E776" t="s">
        <v>23632</v>
      </c>
    </row>
    <row r="777" spans="1:5" x14ac:dyDescent="0.25">
      <c r="A777" s="130" t="s">
        <v>24205</v>
      </c>
      <c r="B777" t="s">
        <v>24265</v>
      </c>
      <c r="C777">
        <v>1</v>
      </c>
      <c r="D777" t="s">
        <v>23629</v>
      </c>
      <c r="E777" t="s">
        <v>23632</v>
      </c>
    </row>
    <row r="778" spans="1:5" x14ac:dyDescent="0.25">
      <c r="A778" s="130" t="str">
        <f>LEFT(B778,1)</f>
        <v>C</v>
      </c>
      <c r="B778" t="s">
        <v>24634</v>
      </c>
      <c r="C778">
        <v>1</v>
      </c>
      <c r="D778" t="s">
        <v>23629</v>
      </c>
      <c r="E778" t="s">
        <v>23632</v>
      </c>
    </row>
    <row r="779" spans="1:5" x14ac:dyDescent="0.25">
      <c r="A779" s="131" t="s">
        <v>24205</v>
      </c>
      <c r="B779" t="s">
        <v>24266</v>
      </c>
      <c r="C779">
        <v>1</v>
      </c>
      <c r="D779" t="s">
        <v>23629</v>
      </c>
      <c r="E779" t="s">
        <v>23632</v>
      </c>
    </row>
    <row r="780" spans="1:5" x14ac:dyDescent="0.25">
      <c r="A780" s="130" t="s">
        <v>24205</v>
      </c>
      <c r="B780" t="s">
        <v>24267</v>
      </c>
      <c r="C780">
        <v>1</v>
      </c>
      <c r="D780" t="s">
        <v>23629</v>
      </c>
      <c r="E780" t="s">
        <v>23632</v>
      </c>
    </row>
    <row r="781" spans="1:5" x14ac:dyDescent="0.25">
      <c r="A781" s="130" t="s">
        <v>24205</v>
      </c>
      <c r="B781" t="s">
        <v>24268</v>
      </c>
      <c r="C781">
        <v>1</v>
      </c>
      <c r="D781" t="s">
        <v>23629</v>
      </c>
      <c r="E781" t="s">
        <v>23632</v>
      </c>
    </row>
    <row r="782" spans="1:5" x14ac:dyDescent="0.25">
      <c r="A782" s="131" t="str">
        <f>LEFT((B782),1)</f>
        <v>C</v>
      </c>
      <c r="B782" t="s">
        <v>24269</v>
      </c>
      <c r="C782">
        <v>1</v>
      </c>
      <c r="D782" t="s">
        <v>23629</v>
      </c>
      <c r="E782" t="s">
        <v>23632</v>
      </c>
    </row>
    <row r="783" spans="1:5" x14ac:dyDescent="0.25">
      <c r="A783" s="130" t="str">
        <f t="shared" ref="A783:A789" si="1">LEFT(B783,1)</f>
        <v>C</v>
      </c>
      <c r="B783" t="s">
        <v>28391</v>
      </c>
      <c r="C783">
        <v>1</v>
      </c>
      <c r="D783" t="s">
        <v>23629</v>
      </c>
      <c r="E783" t="s">
        <v>23632</v>
      </c>
    </row>
    <row r="784" spans="1:5" x14ac:dyDescent="0.25">
      <c r="A784" s="131" t="str">
        <f t="shared" si="1"/>
        <v>C</v>
      </c>
      <c r="B784" t="s">
        <v>24650</v>
      </c>
      <c r="C784">
        <v>1</v>
      </c>
      <c r="D784" t="s">
        <v>23629</v>
      </c>
      <c r="E784" t="s">
        <v>23632</v>
      </c>
    </row>
    <row r="785" spans="1:5" x14ac:dyDescent="0.25">
      <c r="A785" s="130" t="str">
        <f t="shared" si="1"/>
        <v>C</v>
      </c>
      <c r="B785" t="s">
        <v>28972</v>
      </c>
      <c r="C785">
        <v>1</v>
      </c>
      <c r="D785" t="s">
        <v>23629</v>
      </c>
      <c r="E785" t="s">
        <v>23632</v>
      </c>
    </row>
    <row r="786" spans="1:5" x14ac:dyDescent="0.25">
      <c r="A786" s="131" t="str">
        <f t="shared" si="1"/>
        <v>C</v>
      </c>
      <c r="B786" t="s">
        <v>24616</v>
      </c>
      <c r="C786">
        <v>1</v>
      </c>
      <c r="D786" t="s">
        <v>23629</v>
      </c>
      <c r="E786" t="s">
        <v>23632</v>
      </c>
    </row>
    <row r="787" spans="1:5" x14ac:dyDescent="0.25">
      <c r="A787" s="130" t="str">
        <f t="shared" si="1"/>
        <v>C</v>
      </c>
      <c r="B787" t="s">
        <v>28392</v>
      </c>
      <c r="C787">
        <v>1</v>
      </c>
      <c r="D787" t="s">
        <v>23629</v>
      </c>
      <c r="E787" t="s">
        <v>23632</v>
      </c>
    </row>
    <row r="788" spans="1:5" x14ac:dyDescent="0.25">
      <c r="A788" s="130" t="str">
        <f t="shared" si="1"/>
        <v>C</v>
      </c>
      <c r="B788" t="s">
        <v>29202</v>
      </c>
      <c r="C788">
        <v>1</v>
      </c>
      <c r="D788" t="s">
        <v>23629</v>
      </c>
      <c r="E788" t="s">
        <v>23632</v>
      </c>
    </row>
    <row r="789" spans="1:5" x14ac:dyDescent="0.25">
      <c r="A789" s="130" t="str">
        <f t="shared" si="1"/>
        <v>C</v>
      </c>
      <c r="B789" t="s">
        <v>24651</v>
      </c>
      <c r="C789">
        <v>1</v>
      </c>
      <c r="D789" t="s">
        <v>23629</v>
      </c>
      <c r="E789" t="s">
        <v>23632</v>
      </c>
    </row>
    <row r="790" spans="1:5" x14ac:dyDescent="0.25">
      <c r="A790" s="130" t="s">
        <v>24205</v>
      </c>
      <c r="B790" t="s">
        <v>24270</v>
      </c>
      <c r="C790">
        <v>1</v>
      </c>
      <c r="D790" t="s">
        <v>23629</v>
      </c>
      <c r="E790" t="s">
        <v>23632</v>
      </c>
    </row>
    <row r="791" spans="1:5" x14ac:dyDescent="0.25">
      <c r="A791" s="130" t="str">
        <f>LEFT(B791,1)</f>
        <v>C</v>
      </c>
      <c r="B791" t="s">
        <v>24635</v>
      </c>
      <c r="C791">
        <v>1</v>
      </c>
      <c r="D791" t="s">
        <v>23629</v>
      </c>
      <c r="E791" t="s">
        <v>23632</v>
      </c>
    </row>
    <row r="792" spans="1:5" x14ac:dyDescent="0.25">
      <c r="A792" s="131" t="s">
        <v>24205</v>
      </c>
      <c r="B792" t="s">
        <v>24271</v>
      </c>
      <c r="C792">
        <v>1</v>
      </c>
      <c r="D792" t="s">
        <v>23629</v>
      </c>
      <c r="E792" t="s">
        <v>23632</v>
      </c>
    </row>
    <row r="793" spans="1:5" x14ac:dyDescent="0.25">
      <c r="A793" s="131" t="s">
        <v>24205</v>
      </c>
      <c r="B793" t="s">
        <v>24272</v>
      </c>
      <c r="C793">
        <v>1</v>
      </c>
      <c r="D793" t="s">
        <v>23629</v>
      </c>
      <c r="E793" t="s">
        <v>23632</v>
      </c>
    </row>
    <row r="794" spans="1:5" x14ac:dyDescent="0.25">
      <c r="A794" s="130" t="s">
        <v>24205</v>
      </c>
      <c r="B794" t="s">
        <v>24273</v>
      </c>
      <c r="C794">
        <v>1</v>
      </c>
      <c r="D794" t="s">
        <v>23629</v>
      </c>
      <c r="E794" t="s">
        <v>23632</v>
      </c>
    </row>
    <row r="795" spans="1:5" x14ac:dyDescent="0.25">
      <c r="A795" s="131" t="s">
        <v>24205</v>
      </c>
      <c r="B795" t="s">
        <v>24274</v>
      </c>
      <c r="C795">
        <v>1</v>
      </c>
      <c r="D795" t="s">
        <v>23629</v>
      </c>
      <c r="E795" t="s">
        <v>23632</v>
      </c>
    </row>
    <row r="796" spans="1:5" x14ac:dyDescent="0.25">
      <c r="A796" s="130" t="s">
        <v>24205</v>
      </c>
      <c r="B796" t="s">
        <v>24275</v>
      </c>
      <c r="C796">
        <v>1</v>
      </c>
      <c r="D796" t="s">
        <v>23629</v>
      </c>
      <c r="E796" t="s">
        <v>23632</v>
      </c>
    </row>
    <row r="797" spans="1:5" x14ac:dyDescent="0.25">
      <c r="A797" s="130" t="str">
        <f>LEFT(B797,1)</f>
        <v>C</v>
      </c>
      <c r="B797" t="s">
        <v>28710</v>
      </c>
      <c r="C797">
        <v>1</v>
      </c>
      <c r="D797" t="s">
        <v>23629</v>
      </c>
      <c r="E797" t="s">
        <v>23632</v>
      </c>
    </row>
    <row r="798" spans="1:5" x14ac:dyDescent="0.25">
      <c r="A798" s="131" t="s">
        <v>24205</v>
      </c>
      <c r="B798" t="s">
        <v>24276</v>
      </c>
      <c r="C798">
        <v>1</v>
      </c>
      <c r="D798" t="s">
        <v>23629</v>
      </c>
      <c r="E798" t="s">
        <v>23632</v>
      </c>
    </row>
    <row r="799" spans="1:5" x14ac:dyDescent="0.25">
      <c r="A799" s="131" t="s">
        <v>24205</v>
      </c>
      <c r="B799" t="s">
        <v>24277</v>
      </c>
      <c r="C799">
        <v>1</v>
      </c>
      <c r="D799" t="s">
        <v>23629</v>
      </c>
      <c r="E799" t="s">
        <v>23632</v>
      </c>
    </row>
    <row r="800" spans="1:5" x14ac:dyDescent="0.25">
      <c r="A800" s="130" t="s">
        <v>24205</v>
      </c>
      <c r="B800" t="s">
        <v>24278</v>
      </c>
      <c r="C800">
        <v>1</v>
      </c>
      <c r="D800" t="s">
        <v>23629</v>
      </c>
      <c r="E800" t="s">
        <v>23632</v>
      </c>
    </row>
    <row r="801" spans="1:5" x14ac:dyDescent="0.25">
      <c r="A801" s="130" t="s">
        <v>24205</v>
      </c>
      <c r="B801" t="s">
        <v>24279</v>
      </c>
      <c r="C801">
        <v>1</v>
      </c>
      <c r="D801" t="s">
        <v>23629</v>
      </c>
      <c r="E801" t="s">
        <v>23632</v>
      </c>
    </row>
    <row r="802" spans="1:5" x14ac:dyDescent="0.25">
      <c r="A802" s="131" t="s">
        <v>24205</v>
      </c>
      <c r="B802" t="s">
        <v>24280</v>
      </c>
      <c r="C802">
        <v>1</v>
      </c>
      <c r="D802" t="s">
        <v>23629</v>
      </c>
      <c r="E802" t="s">
        <v>23632</v>
      </c>
    </row>
    <row r="803" spans="1:5" x14ac:dyDescent="0.25">
      <c r="A803" s="130" t="str">
        <f>LEFT(B803,1)</f>
        <v>C</v>
      </c>
      <c r="B803" t="s">
        <v>28393</v>
      </c>
      <c r="C803">
        <v>1</v>
      </c>
      <c r="D803" t="s">
        <v>23629</v>
      </c>
      <c r="E803" t="s">
        <v>23632</v>
      </c>
    </row>
    <row r="804" spans="1:5" x14ac:dyDescent="0.25">
      <c r="A804" s="130" t="s">
        <v>24205</v>
      </c>
      <c r="B804" t="s">
        <v>24281</v>
      </c>
      <c r="C804">
        <v>1</v>
      </c>
      <c r="D804" t="s">
        <v>23629</v>
      </c>
      <c r="E804" t="s">
        <v>23632</v>
      </c>
    </row>
    <row r="805" spans="1:5" x14ac:dyDescent="0.25">
      <c r="A805" s="131" t="s">
        <v>24205</v>
      </c>
      <c r="B805" t="s">
        <v>24282</v>
      </c>
      <c r="C805">
        <v>1</v>
      </c>
      <c r="D805" t="s">
        <v>23629</v>
      </c>
      <c r="E805" t="s">
        <v>23632</v>
      </c>
    </row>
    <row r="806" spans="1:5" x14ac:dyDescent="0.25">
      <c r="A806" s="130" t="s">
        <v>24205</v>
      </c>
      <c r="B806" t="s">
        <v>24283</v>
      </c>
      <c r="C806">
        <v>1.2</v>
      </c>
      <c r="D806" t="s">
        <v>23629</v>
      </c>
      <c r="E806" t="s">
        <v>23632</v>
      </c>
    </row>
    <row r="807" spans="1:5" x14ac:dyDescent="0.25">
      <c r="A807" s="130" t="str">
        <f>LEFT((B807),1)</f>
        <v>C</v>
      </c>
      <c r="B807" t="s">
        <v>24284</v>
      </c>
      <c r="C807">
        <v>1</v>
      </c>
      <c r="D807" t="s">
        <v>23629</v>
      </c>
      <c r="E807" t="s">
        <v>23632</v>
      </c>
    </row>
    <row r="808" spans="1:5" x14ac:dyDescent="0.25">
      <c r="A808" s="131" t="str">
        <f>LEFT(B808,1)</f>
        <v>C</v>
      </c>
      <c r="B808" t="s">
        <v>24612</v>
      </c>
      <c r="C808">
        <v>1</v>
      </c>
      <c r="D808" t="s">
        <v>23629</v>
      </c>
      <c r="E808" t="s">
        <v>23632</v>
      </c>
    </row>
    <row r="809" spans="1:5" x14ac:dyDescent="0.25">
      <c r="A809" s="130" t="s">
        <v>24205</v>
      </c>
      <c r="B809" t="s">
        <v>24285</v>
      </c>
      <c r="C809">
        <v>1</v>
      </c>
      <c r="D809" t="s">
        <v>23629</v>
      </c>
      <c r="E809" t="s">
        <v>23632</v>
      </c>
    </row>
    <row r="810" spans="1:5" x14ac:dyDescent="0.25">
      <c r="A810" s="130" t="s">
        <v>24205</v>
      </c>
      <c r="B810" t="s">
        <v>24286</v>
      </c>
      <c r="C810">
        <v>1</v>
      </c>
      <c r="D810" t="s">
        <v>23629</v>
      </c>
      <c r="E810" t="s">
        <v>23632</v>
      </c>
    </row>
    <row r="811" spans="1:5" x14ac:dyDescent="0.25">
      <c r="A811" s="130" t="s">
        <v>24205</v>
      </c>
      <c r="B811" t="s">
        <v>24287</v>
      </c>
      <c r="C811">
        <v>1</v>
      </c>
      <c r="D811" t="s">
        <v>23629</v>
      </c>
      <c r="E811" t="s">
        <v>23632</v>
      </c>
    </row>
    <row r="812" spans="1:5" x14ac:dyDescent="0.25">
      <c r="A812" s="131" t="s">
        <v>24205</v>
      </c>
      <c r="B812" t="s">
        <v>24288</v>
      </c>
      <c r="C812">
        <v>1</v>
      </c>
      <c r="D812" t="s">
        <v>23629</v>
      </c>
      <c r="E812" t="s">
        <v>23632</v>
      </c>
    </row>
    <row r="813" spans="1:5" x14ac:dyDescent="0.25">
      <c r="A813" s="130" t="s">
        <v>24205</v>
      </c>
      <c r="B813" t="s">
        <v>24289</v>
      </c>
      <c r="C813">
        <v>1</v>
      </c>
      <c r="D813" t="s">
        <v>23629</v>
      </c>
      <c r="E813" t="s">
        <v>23632</v>
      </c>
    </row>
    <row r="814" spans="1:5" x14ac:dyDescent="0.25">
      <c r="A814" s="130" t="s">
        <v>24205</v>
      </c>
      <c r="B814" t="s">
        <v>24290</v>
      </c>
      <c r="C814">
        <v>1</v>
      </c>
      <c r="D814" t="s">
        <v>23629</v>
      </c>
      <c r="E814" t="s">
        <v>23632</v>
      </c>
    </row>
    <row r="815" spans="1:5" x14ac:dyDescent="0.25">
      <c r="A815" s="131" t="s">
        <v>24205</v>
      </c>
      <c r="B815" t="s">
        <v>24291</v>
      </c>
      <c r="C815">
        <v>1</v>
      </c>
      <c r="D815" t="s">
        <v>23629</v>
      </c>
      <c r="E815" t="s">
        <v>23632</v>
      </c>
    </row>
    <row r="816" spans="1:5" x14ac:dyDescent="0.25">
      <c r="A816" s="130" t="s">
        <v>24205</v>
      </c>
      <c r="B816" t="s">
        <v>24292</v>
      </c>
      <c r="C816">
        <v>1</v>
      </c>
      <c r="D816" t="s">
        <v>23629</v>
      </c>
      <c r="E816" t="s">
        <v>23632</v>
      </c>
    </row>
    <row r="817" spans="1:5" x14ac:dyDescent="0.25">
      <c r="A817" s="130" t="str">
        <f>LEFT(B817,1)</f>
        <v>C</v>
      </c>
      <c r="B817" t="s">
        <v>24636</v>
      </c>
      <c r="C817">
        <v>1</v>
      </c>
      <c r="D817" t="s">
        <v>23629</v>
      </c>
      <c r="E817" t="s">
        <v>23632</v>
      </c>
    </row>
    <row r="818" spans="1:5" x14ac:dyDescent="0.25">
      <c r="A818" s="131" t="s">
        <v>24205</v>
      </c>
      <c r="B818" t="s">
        <v>24293</v>
      </c>
      <c r="C818">
        <v>1</v>
      </c>
      <c r="D818" t="s">
        <v>23629</v>
      </c>
      <c r="E818" t="s">
        <v>23632</v>
      </c>
    </row>
    <row r="819" spans="1:5" x14ac:dyDescent="0.25">
      <c r="A819" s="131" t="str">
        <f>LEFT((B819),1)</f>
        <v>C</v>
      </c>
      <c r="B819" t="s">
        <v>24294</v>
      </c>
      <c r="C819">
        <v>1</v>
      </c>
      <c r="D819" t="s">
        <v>23629</v>
      </c>
      <c r="E819" t="s">
        <v>23632</v>
      </c>
    </row>
    <row r="820" spans="1:5" x14ac:dyDescent="0.25">
      <c r="A820" s="130" t="str">
        <f>LEFT((B820),1)</f>
        <v>C</v>
      </c>
      <c r="B820" t="s">
        <v>24295</v>
      </c>
      <c r="C820">
        <v>1</v>
      </c>
      <c r="D820" t="s">
        <v>23629</v>
      </c>
      <c r="E820" t="s">
        <v>23632</v>
      </c>
    </row>
    <row r="821" spans="1:5" x14ac:dyDescent="0.25">
      <c r="A821" s="130" t="s">
        <v>24205</v>
      </c>
      <c r="B821" t="s">
        <v>24296</v>
      </c>
      <c r="C821">
        <v>1</v>
      </c>
      <c r="D821" t="s">
        <v>23629</v>
      </c>
      <c r="E821" t="s">
        <v>23632</v>
      </c>
    </row>
    <row r="822" spans="1:5" x14ac:dyDescent="0.25">
      <c r="A822" s="130" t="str">
        <f>LEFT(B822,1)</f>
        <v>C</v>
      </c>
      <c r="B822" t="s">
        <v>24617</v>
      </c>
      <c r="C822">
        <v>1</v>
      </c>
      <c r="D822" t="s">
        <v>23629</v>
      </c>
      <c r="E822" t="s">
        <v>23632</v>
      </c>
    </row>
    <row r="823" spans="1:5" x14ac:dyDescent="0.25">
      <c r="A823" s="130" t="str">
        <f>LEFT(B823,1)</f>
        <v>C</v>
      </c>
      <c r="B823" t="s">
        <v>28711</v>
      </c>
      <c r="C823">
        <v>1</v>
      </c>
      <c r="D823" t="s">
        <v>23629</v>
      </c>
      <c r="E823" t="s">
        <v>23632</v>
      </c>
    </row>
    <row r="824" spans="1:5" x14ac:dyDescent="0.25">
      <c r="A824" s="131" t="s">
        <v>24205</v>
      </c>
      <c r="B824" t="s">
        <v>24297</v>
      </c>
      <c r="C824">
        <v>1</v>
      </c>
      <c r="D824" t="s">
        <v>23629</v>
      </c>
      <c r="E824" t="s">
        <v>23632</v>
      </c>
    </row>
    <row r="825" spans="1:5" x14ac:dyDescent="0.25">
      <c r="A825" s="130" t="s">
        <v>24205</v>
      </c>
      <c r="B825" t="s">
        <v>24298</v>
      </c>
      <c r="C825">
        <v>1</v>
      </c>
      <c r="D825" t="s">
        <v>23629</v>
      </c>
      <c r="E825" t="s">
        <v>23632</v>
      </c>
    </row>
    <row r="826" spans="1:5" x14ac:dyDescent="0.25">
      <c r="A826" s="131" t="s">
        <v>24205</v>
      </c>
      <c r="B826" t="s">
        <v>24299</v>
      </c>
      <c r="C826">
        <v>1</v>
      </c>
      <c r="D826" t="s">
        <v>23629</v>
      </c>
      <c r="E826" t="s">
        <v>23632</v>
      </c>
    </row>
    <row r="827" spans="1:5" x14ac:dyDescent="0.25">
      <c r="A827" s="131" t="s">
        <v>24205</v>
      </c>
      <c r="B827" t="s">
        <v>24300</v>
      </c>
      <c r="C827">
        <v>1</v>
      </c>
      <c r="D827" t="s">
        <v>23629</v>
      </c>
      <c r="E827" t="s">
        <v>23632</v>
      </c>
    </row>
    <row r="828" spans="1:5" x14ac:dyDescent="0.25">
      <c r="A828" s="130" t="s">
        <v>24205</v>
      </c>
      <c r="B828" t="s">
        <v>24301</v>
      </c>
      <c r="C828">
        <v>1</v>
      </c>
      <c r="D828" t="s">
        <v>23629</v>
      </c>
      <c r="E828" t="s">
        <v>23632</v>
      </c>
    </row>
    <row r="829" spans="1:5" x14ac:dyDescent="0.25">
      <c r="A829" s="131" t="s">
        <v>24205</v>
      </c>
      <c r="B829" t="s">
        <v>24302</v>
      </c>
      <c r="C829">
        <v>1</v>
      </c>
      <c r="D829" t="s">
        <v>23629</v>
      </c>
      <c r="E829" t="s">
        <v>23632</v>
      </c>
    </row>
    <row r="830" spans="1:5" x14ac:dyDescent="0.25">
      <c r="A830" s="130" t="str">
        <f>LEFT(B830,1)</f>
        <v>C</v>
      </c>
      <c r="B830" t="s">
        <v>24637</v>
      </c>
      <c r="C830">
        <v>1</v>
      </c>
      <c r="D830" t="s">
        <v>23629</v>
      </c>
      <c r="E830" t="s">
        <v>23632</v>
      </c>
    </row>
    <row r="831" spans="1:5" x14ac:dyDescent="0.25">
      <c r="A831" s="131" t="s">
        <v>24205</v>
      </c>
      <c r="B831" t="s">
        <v>24303</v>
      </c>
      <c r="C831">
        <v>1</v>
      </c>
      <c r="D831" t="s">
        <v>23629</v>
      </c>
      <c r="E831" t="s">
        <v>23632</v>
      </c>
    </row>
    <row r="832" spans="1:5" x14ac:dyDescent="0.25">
      <c r="A832" s="130" t="str">
        <f>LEFT(B832,1)</f>
        <v>C</v>
      </c>
      <c r="B832" t="s">
        <v>24638</v>
      </c>
      <c r="C832">
        <v>1</v>
      </c>
      <c r="D832" t="s">
        <v>23629</v>
      </c>
      <c r="E832" t="s">
        <v>23632</v>
      </c>
    </row>
    <row r="833" spans="1:5" x14ac:dyDescent="0.25">
      <c r="A833" s="131" t="s">
        <v>24205</v>
      </c>
      <c r="B833" t="s">
        <v>24304</v>
      </c>
      <c r="C833">
        <v>1</v>
      </c>
      <c r="D833" t="s">
        <v>23629</v>
      </c>
      <c r="E833" t="s">
        <v>23632</v>
      </c>
    </row>
    <row r="834" spans="1:5" x14ac:dyDescent="0.25">
      <c r="A834" s="131" t="str">
        <f>LEFT(B834,1)</f>
        <v>C</v>
      </c>
      <c r="B834" t="s">
        <v>24652</v>
      </c>
      <c r="C834">
        <v>1</v>
      </c>
      <c r="D834" t="s">
        <v>23629</v>
      </c>
      <c r="E834" t="s">
        <v>23632</v>
      </c>
    </row>
    <row r="835" spans="1:5" x14ac:dyDescent="0.25">
      <c r="A835" s="130" t="s">
        <v>24205</v>
      </c>
      <c r="B835" t="s">
        <v>24305</v>
      </c>
      <c r="C835">
        <v>1</v>
      </c>
      <c r="D835" t="s">
        <v>23629</v>
      </c>
      <c r="E835" t="s">
        <v>23632</v>
      </c>
    </row>
    <row r="836" spans="1:5" x14ac:dyDescent="0.25">
      <c r="A836" s="130" t="s">
        <v>24205</v>
      </c>
      <c r="B836" t="s">
        <v>24306</v>
      </c>
      <c r="C836">
        <v>1</v>
      </c>
      <c r="D836" t="s">
        <v>23629</v>
      </c>
      <c r="E836" t="s">
        <v>23632</v>
      </c>
    </row>
    <row r="837" spans="1:5" x14ac:dyDescent="0.25">
      <c r="A837" s="130" t="s">
        <v>24205</v>
      </c>
      <c r="B837" t="s">
        <v>24307</v>
      </c>
      <c r="C837">
        <v>1</v>
      </c>
      <c r="D837" t="s">
        <v>23629</v>
      </c>
      <c r="E837" t="s">
        <v>23632</v>
      </c>
    </row>
    <row r="838" spans="1:5" x14ac:dyDescent="0.25">
      <c r="A838" s="130" t="str">
        <f>LEFT(B838,1)</f>
        <v>C</v>
      </c>
      <c r="B838" t="s">
        <v>28394</v>
      </c>
      <c r="C838">
        <v>1</v>
      </c>
      <c r="D838" t="s">
        <v>23629</v>
      </c>
      <c r="E838" t="s">
        <v>23632</v>
      </c>
    </row>
    <row r="839" spans="1:5" x14ac:dyDescent="0.25">
      <c r="A839" s="130" t="str">
        <f>LEFT(B839,1)</f>
        <v>C</v>
      </c>
      <c r="B839" t="s">
        <v>28395</v>
      </c>
      <c r="C839">
        <v>1</v>
      </c>
      <c r="D839" t="s">
        <v>23629</v>
      </c>
      <c r="E839" t="s">
        <v>23632</v>
      </c>
    </row>
    <row r="840" spans="1:5" x14ac:dyDescent="0.25">
      <c r="A840" s="131" t="s">
        <v>24205</v>
      </c>
      <c r="B840" t="s">
        <v>24308</v>
      </c>
      <c r="C840">
        <v>1</v>
      </c>
      <c r="D840" t="s">
        <v>23629</v>
      </c>
      <c r="E840" t="s">
        <v>23632</v>
      </c>
    </row>
    <row r="841" spans="1:5" x14ac:dyDescent="0.25">
      <c r="A841" s="131" t="str">
        <f>LEFT((B841),1)</f>
        <v>C</v>
      </c>
      <c r="B841" t="s">
        <v>24309</v>
      </c>
      <c r="C841">
        <v>1</v>
      </c>
      <c r="D841" t="s">
        <v>23629</v>
      </c>
      <c r="E841" t="s">
        <v>23632</v>
      </c>
    </row>
    <row r="842" spans="1:5" x14ac:dyDescent="0.25">
      <c r="A842" s="130" t="str">
        <f>LEFT((B842),1)</f>
        <v>C</v>
      </c>
      <c r="B842" t="s">
        <v>24310</v>
      </c>
      <c r="C842">
        <v>1</v>
      </c>
      <c r="D842" t="s">
        <v>23629</v>
      </c>
      <c r="E842" t="s">
        <v>23632</v>
      </c>
    </row>
    <row r="843" spans="1:5" x14ac:dyDescent="0.25">
      <c r="A843" s="130" t="s">
        <v>24205</v>
      </c>
      <c r="B843" t="s">
        <v>24311</v>
      </c>
      <c r="C843">
        <v>1</v>
      </c>
      <c r="D843" t="s">
        <v>23629</v>
      </c>
      <c r="E843" t="s">
        <v>23632</v>
      </c>
    </row>
    <row r="844" spans="1:5" x14ac:dyDescent="0.25">
      <c r="A844" s="131" t="s">
        <v>24205</v>
      </c>
      <c r="B844" t="s">
        <v>24312</v>
      </c>
      <c r="C844">
        <v>1</v>
      </c>
      <c r="D844" t="s">
        <v>23629</v>
      </c>
      <c r="E844" t="s">
        <v>23632</v>
      </c>
    </row>
    <row r="845" spans="1:5" x14ac:dyDescent="0.25">
      <c r="A845" s="130" t="s">
        <v>24205</v>
      </c>
      <c r="B845" t="s">
        <v>24313</v>
      </c>
      <c r="C845">
        <v>1</v>
      </c>
      <c r="D845" t="s">
        <v>23629</v>
      </c>
      <c r="E845" t="s">
        <v>23632</v>
      </c>
    </row>
    <row r="846" spans="1:5" x14ac:dyDescent="0.25">
      <c r="A846" s="130" t="str">
        <f>LEFT(B846,1)</f>
        <v>C</v>
      </c>
      <c r="B846" t="s">
        <v>29203</v>
      </c>
      <c r="C846">
        <v>1</v>
      </c>
      <c r="D846" t="s">
        <v>23629</v>
      </c>
      <c r="E846" t="s">
        <v>23632</v>
      </c>
    </row>
    <row r="847" spans="1:5" x14ac:dyDescent="0.25">
      <c r="A847" s="131" t="s">
        <v>24205</v>
      </c>
      <c r="B847" t="s">
        <v>24314</v>
      </c>
      <c r="C847">
        <v>1</v>
      </c>
      <c r="D847" t="s">
        <v>23629</v>
      </c>
      <c r="E847" t="s">
        <v>23632</v>
      </c>
    </row>
    <row r="848" spans="1:5" x14ac:dyDescent="0.25">
      <c r="A848" s="130" t="s">
        <v>24205</v>
      </c>
      <c r="B848" t="s">
        <v>24315</v>
      </c>
      <c r="C848">
        <v>1</v>
      </c>
      <c r="D848" t="s">
        <v>23629</v>
      </c>
      <c r="E848" t="s">
        <v>23632</v>
      </c>
    </row>
    <row r="849" spans="1:5" x14ac:dyDescent="0.25">
      <c r="A849" s="131" t="str">
        <f>LEFT((B849),1)</f>
        <v>C</v>
      </c>
      <c r="B849" t="s">
        <v>24316</v>
      </c>
      <c r="C849">
        <v>1</v>
      </c>
      <c r="D849" t="s">
        <v>23629</v>
      </c>
      <c r="E849" t="s">
        <v>23632</v>
      </c>
    </row>
    <row r="850" spans="1:5" x14ac:dyDescent="0.25">
      <c r="A850" s="131" t="str">
        <f>LEFT(B850,1)</f>
        <v>C</v>
      </c>
      <c r="B850" t="s">
        <v>24618</v>
      </c>
      <c r="C850">
        <v>1.2</v>
      </c>
      <c r="D850" t="s">
        <v>23629</v>
      </c>
      <c r="E850" t="s">
        <v>23632</v>
      </c>
    </row>
    <row r="851" spans="1:5" x14ac:dyDescent="0.25">
      <c r="A851" s="130" t="str">
        <f>LEFT((B851),1)</f>
        <v>C</v>
      </c>
      <c r="B851" t="s">
        <v>24317</v>
      </c>
      <c r="C851">
        <v>1</v>
      </c>
      <c r="D851" t="s">
        <v>23629</v>
      </c>
      <c r="E851" t="s">
        <v>23632</v>
      </c>
    </row>
    <row r="852" spans="1:5" x14ac:dyDescent="0.25">
      <c r="A852" s="130" t="s">
        <v>24205</v>
      </c>
      <c r="B852" t="s">
        <v>24318</v>
      </c>
      <c r="C852">
        <v>1.1000000000000001</v>
      </c>
      <c r="D852" t="s">
        <v>23825</v>
      </c>
      <c r="E852" t="s">
        <v>23881</v>
      </c>
    </row>
    <row r="853" spans="1:5" x14ac:dyDescent="0.25">
      <c r="A853" s="131" t="s">
        <v>24205</v>
      </c>
      <c r="B853" t="s">
        <v>24319</v>
      </c>
      <c r="C853">
        <v>1.2</v>
      </c>
      <c r="D853" t="s">
        <v>24320</v>
      </c>
      <c r="E853" t="s">
        <v>23632</v>
      </c>
    </row>
    <row r="854" spans="1:5" x14ac:dyDescent="0.25">
      <c r="A854" s="130" t="s">
        <v>24205</v>
      </c>
      <c r="B854" t="s">
        <v>24321</v>
      </c>
      <c r="C854">
        <v>1</v>
      </c>
      <c r="D854" t="s">
        <v>23629</v>
      </c>
      <c r="E854" t="s">
        <v>23632</v>
      </c>
    </row>
    <row r="855" spans="1:5" x14ac:dyDescent="0.25">
      <c r="A855" s="130" t="str">
        <f>LEFT(B855,1)</f>
        <v>C</v>
      </c>
      <c r="B855" t="s">
        <v>24639</v>
      </c>
      <c r="C855">
        <v>1</v>
      </c>
      <c r="D855" t="s">
        <v>23629</v>
      </c>
      <c r="E855" t="s">
        <v>23632</v>
      </c>
    </row>
    <row r="856" spans="1:5" x14ac:dyDescent="0.25">
      <c r="A856" s="131" t="s">
        <v>24205</v>
      </c>
      <c r="B856" t="s">
        <v>24322</v>
      </c>
      <c r="C856">
        <v>1.2</v>
      </c>
      <c r="D856" t="s">
        <v>23629</v>
      </c>
      <c r="E856" t="s">
        <v>23632</v>
      </c>
    </row>
    <row r="857" spans="1:5" x14ac:dyDescent="0.25">
      <c r="A857" s="130" t="str">
        <f>LEFT(B857,1)</f>
        <v>C</v>
      </c>
      <c r="B857" t="s">
        <v>28396</v>
      </c>
      <c r="C857">
        <v>1</v>
      </c>
      <c r="D857" t="s">
        <v>23629</v>
      </c>
      <c r="E857" t="s">
        <v>23632</v>
      </c>
    </row>
    <row r="858" spans="1:5" x14ac:dyDescent="0.25">
      <c r="A858" s="130" t="s">
        <v>24205</v>
      </c>
      <c r="B858" t="s">
        <v>24323</v>
      </c>
      <c r="C858">
        <v>1.21</v>
      </c>
      <c r="D858" t="s">
        <v>23629</v>
      </c>
      <c r="E858" t="s">
        <v>23632</v>
      </c>
    </row>
    <row r="859" spans="1:5" x14ac:dyDescent="0.25">
      <c r="A859" s="131" t="s">
        <v>24205</v>
      </c>
      <c r="B859" t="s">
        <v>24324</v>
      </c>
      <c r="C859">
        <v>1</v>
      </c>
      <c r="D859" t="s">
        <v>23629</v>
      </c>
      <c r="E859" t="s">
        <v>23632</v>
      </c>
    </row>
    <row r="860" spans="1:5" x14ac:dyDescent="0.25">
      <c r="A860" s="130" t="str">
        <f>LEFT(B860,1)</f>
        <v>C</v>
      </c>
      <c r="B860" t="s">
        <v>24653</v>
      </c>
      <c r="C860">
        <v>1</v>
      </c>
      <c r="D860" t="s">
        <v>23629</v>
      </c>
      <c r="E860" t="s">
        <v>23632</v>
      </c>
    </row>
    <row r="861" spans="1:5" x14ac:dyDescent="0.25">
      <c r="A861" s="130" t="str">
        <f>LEFT(B861,1)</f>
        <v>C</v>
      </c>
      <c r="B861" t="s">
        <v>28397</v>
      </c>
      <c r="C861">
        <v>1</v>
      </c>
      <c r="D861" t="s">
        <v>23629</v>
      </c>
      <c r="E861" t="s">
        <v>23632</v>
      </c>
    </row>
    <row r="862" spans="1:5" x14ac:dyDescent="0.25">
      <c r="A862" s="130" t="str">
        <f>LEFT(B862,1)</f>
        <v>C</v>
      </c>
      <c r="B862" t="s">
        <v>24640</v>
      </c>
      <c r="C862">
        <v>1</v>
      </c>
      <c r="D862" t="s">
        <v>23629</v>
      </c>
      <c r="E862" t="s">
        <v>23632</v>
      </c>
    </row>
    <row r="863" spans="1:5" x14ac:dyDescent="0.25">
      <c r="A863" s="130" t="str">
        <f>LEFT(B863,1)</f>
        <v>C</v>
      </c>
      <c r="B863" t="s">
        <v>28398</v>
      </c>
      <c r="C863">
        <v>1</v>
      </c>
      <c r="D863" t="s">
        <v>23629</v>
      </c>
      <c r="E863" t="s">
        <v>23632</v>
      </c>
    </row>
    <row r="864" spans="1:5" x14ac:dyDescent="0.25">
      <c r="A864" s="131" t="s">
        <v>24205</v>
      </c>
      <c r="B864" t="s">
        <v>24325</v>
      </c>
      <c r="C864">
        <v>1</v>
      </c>
      <c r="D864" t="s">
        <v>23629</v>
      </c>
      <c r="E864" t="s">
        <v>23632</v>
      </c>
    </row>
    <row r="865" spans="1:5" x14ac:dyDescent="0.25">
      <c r="A865" s="131" t="s">
        <v>24205</v>
      </c>
      <c r="B865" t="s">
        <v>24326</v>
      </c>
      <c r="C865">
        <v>1</v>
      </c>
      <c r="D865" t="s">
        <v>23629</v>
      </c>
      <c r="E865" t="s">
        <v>23632</v>
      </c>
    </row>
    <row r="866" spans="1:5" x14ac:dyDescent="0.25">
      <c r="A866" s="130" t="s">
        <v>24205</v>
      </c>
      <c r="B866" t="s">
        <v>24327</v>
      </c>
      <c r="C866">
        <v>1</v>
      </c>
      <c r="D866" t="s">
        <v>23629</v>
      </c>
      <c r="E866" t="s">
        <v>23632</v>
      </c>
    </row>
    <row r="867" spans="1:5" x14ac:dyDescent="0.25">
      <c r="A867" s="130" t="str">
        <f>LEFT(B867,1)</f>
        <v>C</v>
      </c>
      <c r="B867" t="s">
        <v>28973</v>
      </c>
      <c r="C867">
        <v>1</v>
      </c>
      <c r="D867" t="s">
        <v>23629</v>
      </c>
      <c r="E867" t="s">
        <v>23632</v>
      </c>
    </row>
    <row r="868" spans="1:5" x14ac:dyDescent="0.25">
      <c r="A868" s="131" t="s">
        <v>24205</v>
      </c>
      <c r="B868" t="s">
        <v>24328</v>
      </c>
      <c r="C868">
        <v>1</v>
      </c>
      <c r="D868" t="s">
        <v>23629</v>
      </c>
      <c r="E868" t="s">
        <v>23632</v>
      </c>
    </row>
    <row r="869" spans="1:5" x14ac:dyDescent="0.25">
      <c r="A869" s="131" t="s">
        <v>24205</v>
      </c>
      <c r="B869" t="s">
        <v>24329</v>
      </c>
      <c r="C869">
        <v>1</v>
      </c>
      <c r="D869" t="s">
        <v>23629</v>
      </c>
      <c r="E869" t="s">
        <v>23632</v>
      </c>
    </row>
    <row r="870" spans="1:5" x14ac:dyDescent="0.25">
      <c r="A870" s="130" t="str">
        <f>LEFT(B870,1)</f>
        <v>C</v>
      </c>
      <c r="B870" t="s">
        <v>28974</v>
      </c>
      <c r="C870">
        <v>1</v>
      </c>
      <c r="D870" t="s">
        <v>23629</v>
      </c>
      <c r="E870" t="s">
        <v>23632</v>
      </c>
    </row>
    <row r="871" spans="1:5" x14ac:dyDescent="0.25">
      <c r="A871" s="130" t="s">
        <v>24205</v>
      </c>
      <c r="B871" t="s">
        <v>24330</v>
      </c>
      <c r="C871">
        <v>1</v>
      </c>
      <c r="D871" t="s">
        <v>23629</v>
      </c>
      <c r="E871" t="s">
        <v>23632</v>
      </c>
    </row>
    <row r="872" spans="1:5" x14ac:dyDescent="0.25">
      <c r="A872" s="131" t="str">
        <f>LEFT(B872,1)</f>
        <v>C</v>
      </c>
      <c r="B872" t="s">
        <v>24654</v>
      </c>
      <c r="C872">
        <v>1</v>
      </c>
      <c r="D872" t="s">
        <v>23629</v>
      </c>
      <c r="E872" t="s">
        <v>23632</v>
      </c>
    </row>
    <row r="873" spans="1:5" x14ac:dyDescent="0.25">
      <c r="A873" s="131" t="s">
        <v>24205</v>
      </c>
      <c r="B873" t="s">
        <v>24331</v>
      </c>
      <c r="C873">
        <v>1</v>
      </c>
      <c r="D873" t="s">
        <v>23629</v>
      </c>
      <c r="E873" t="s">
        <v>23632</v>
      </c>
    </row>
    <row r="874" spans="1:5" x14ac:dyDescent="0.25">
      <c r="A874" s="131" t="s">
        <v>24205</v>
      </c>
      <c r="B874" t="s">
        <v>24332</v>
      </c>
      <c r="C874">
        <v>1.21</v>
      </c>
      <c r="D874" t="s">
        <v>23629</v>
      </c>
      <c r="E874" t="s">
        <v>23632</v>
      </c>
    </row>
    <row r="875" spans="1:5" x14ac:dyDescent="0.25">
      <c r="A875" s="130" t="s">
        <v>24205</v>
      </c>
      <c r="B875" t="s">
        <v>24333</v>
      </c>
      <c r="C875">
        <v>1</v>
      </c>
      <c r="D875" t="s">
        <v>23629</v>
      </c>
      <c r="E875" t="s">
        <v>23632</v>
      </c>
    </row>
    <row r="876" spans="1:5" x14ac:dyDescent="0.25">
      <c r="A876" s="131" t="s">
        <v>24205</v>
      </c>
      <c r="B876" t="s">
        <v>24334</v>
      </c>
      <c r="C876">
        <v>1</v>
      </c>
      <c r="D876" t="s">
        <v>23629</v>
      </c>
      <c r="E876" t="s">
        <v>23632</v>
      </c>
    </row>
    <row r="877" spans="1:5" x14ac:dyDescent="0.25">
      <c r="A877" s="131" t="s">
        <v>24205</v>
      </c>
      <c r="B877" t="s">
        <v>24335</v>
      </c>
      <c r="C877">
        <v>1</v>
      </c>
      <c r="D877" t="s">
        <v>23629</v>
      </c>
      <c r="E877" t="s">
        <v>23632</v>
      </c>
    </row>
    <row r="878" spans="1:5" x14ac:dyDescent="0.25">
      <c r="A878" s="131" t="s">
        <v>24205</v>
      </c>
      <c r="B878" t="s">
        <v>24336</v>
      </c>
      <c r="C878">
        <v>1</v>
      </c>
      <c r="D878" t="s">
        <v>23629</v>
      </c>
      <c r="E878" t="s">
        <v>23632</v>
      </c>
    </row>
    <row r="879" spans="1:5" x14ac:dyDescent="0.25">
      <c r="A879" s="131" t="s">
        <v>24205</v>
      </c>
      <c r="B879" t="s">
        <v>24337</v>
      </c>
      <c r="C879">
        <v>1</v>
      </c>
      <c r="D879" t="s">
        <v>23629</v>
      </c>
      <c r="E879" t="s">
        <v>23632</v>
      </c>
    </row>
    <row r="880" spans="1:5" x14ac:dyDescent="0.25">
      <c r="A880" s="130" t="s">
        <v>24205</v>
      </c>
      <c r="B880" t="s">
        <v>24338</v>
      </c>
      <c r="C880">
        <v>1</v>
      </c>
      <c r="D880" t="s">
        <v>23629</v>
      </c>
      <c r="E880" t="s">
        <v>23632</v>
      </c>
    </row>
    <row r="881" spans="1:5" x14ac:dyDescent="0.25">
      <c r="A881" s="131" t="str">
        <f>LEFT((B881),1)</f>
        <v>C</v>
      </c>
      <c r="B881" t="s">
        <v>24339</v>
      </c>
      <c r="C881">
        <v>1</v>
      </c>
      <c r="D881" t="s">
        <v>23629</v>
      </c>
      <c r="E881" t="s">
        <v>23632</v>
      </c>
    </row>
    <row r="882" spans="1:5" x14ac:dyDescent="0.25">
      <c r="A882" s="130" t="s">
        <v>24205</v>
      </c>
      <c r="B882" t="s">
        <v>24340</v>
      </c>
      <c r="C882">
        <v>1</v>
      </c>
      <c r="D882" t="s">
        <v>23629</v>
      </c>
      <c r="E882" t="s">
        <v>23632</v>
      </c>
    </row>
    <row r="883" spans="1:5" x14ac:dyDescent="0.25">
      <c r="A883" s="130" t="str">
        <f>LEFT(B883,1)</f>
        <v>C</v>
      </c>
      <c r="B883" t="s">
        <v>29204</v>
      </c>
      <c r="C883">
        <v>1</v>
      </c>
      <c r="D883" t="s">
        <v>23629</v>
      </c>
      <c r="E883" t="s">
        <v>23632</v>
      </c>
    </row>
    <row r="884" spans="1:5" x14ac:dyDescent="0.25">
      <c r="A884" s="131" t="s">
        <v>24205</v>
      </c>
      <c r="B884" t="s">
        <v>24341</v>
      </c>
      <c r="C884">
        <v>1</v>
      </c>
      <c r="D884" t="s">
        <v>23629</v>
      </c>
      <c r="E884" t="s">
        <v>23632</v>
      </c>
    </row>
    <row r="885" spans="1:5" x14ac:dyDescent="0.25">
      <c r="A885" s="130" t="str">
        <f>LEFT(B885,1)</f>
        <v>C</v>
      </c>
      <c r="B885" t="s">
        <v>24655</v>
      </c>
      <c r="C885">
        <v>1</v>
      </c>
      <c r="D885" t="s">
        <v>23629</v>
      </c>
      <c r="E885" t="s">
        <v>23632</v>
      </c>
    </row>
    <row r="886" spans="1:5" x14ac:dyDescent="0.25">
      <c r="A886" s="130" t="str">
        <f>LEFT(B886,1)</f>
        <v>C</v>
      </c>
      <c r="B886" t="s">
        <v>28975</v>
      </c>
      <c r="C886">
        <v>1</v>
      </c>
      <c r="D886" t="s">
        <v>23629</v>
      </c>
      <c r="E886" t="s">
        <v>23632</v>
      </c>
    </row>
    <row r="887" spans="1:5" x14ac:dyDescent="0.25">
      <c r="A887" s="130" t="s">
        <v>24205</v>
      </c>
      <c r="B887" t="s">
        <v>24342</v>
      </c>
      <c r="C887">
        <v>1</v>
      </c>
      <c r="D887" t="s">
        <v>23629</v>
      </c>
      <c r="E887" t="s">
        <v>23632</v>
      </c>
    </row>
    <row r="888" spans="1:5" x14ac:dyDescent="0.25">
      <c r="A888" s="130" t="s">
        <v>24205</v>
      </c>
      <c r="B888" t="s">
        <v>24343</v>
      </c>
      <c r="C888">
        <v>1</v>
      </c>
      <c r="D888" t="s">
        <v>23629</v>
      </c>
      <c r="E888" t="s">
        <v>23632</v>
      </c>
    </row>
    <row r="889" spans="1:5" x14ac:dyDescent="0.25">
      <c r="A889" s="130" t="str">
        <f>LEFT(B889,1)</f>
        <v>C</v>
      </c>
      <c r="B889" t="s">
        <v>28712</v>
      </c>
      <c r="C889">
        <v>1</v>
      </c>
      <c r="D889" t="s">
        <v>23629</v>
      </c>
      <c r="E889" t="s">
        <v>23632</v>
      </c>
    </row>
    <row r="890" spans="1:5" x14ac:dyDescent="0.25">
      <c r="A890" s="131" t="s">
        <v>24205</v>
      </c>
      <c r="B890" t="s">
        <v>24344</v>
      </c>
      <c r="C890">
        <v>1</v>
      </c>
      <c r="D890" t="s">
        <v>23629</v>
      </c>
      <c r="E890" t="s">
        <v>23632</v>
      </c>
    </row>
    <row r="891" spans="1:5" x14ac:dyDescent="0.25">
      <c r="A891" s="130" t="s">
        <v>24205</v>
      </c>
      <c r="B891" t="s">
        <v>24345</v>
      </c>
      <c r="C891">
        <v>1</v>
      </c>
      <c r="D891" t="s">
        <v>23629</v>
      </c>
      <c r="E891" t="s">
        <v>23632</v>
      </c>
    </row>
    <row r="892" spans="1:5" x14ac:dyDescent="0.25">
      <c r="A892" s="130" t="str">
        <f>LEFT(B892,1)</f>
        <v>C</v>
      </c>
      <c r="B892" t="s">
        <v>29205</v>
      </c>
      <c r="C892">
        <v>1</v>
      </c>
      <c r="D892" t="s">
        <v>23629</v>
      </c>
      <c r="E892" t="s">
        <v>23632</v>
      </c>
    </row>
    <row r="893" spans="1:5" x14ac:dyDescent="0.25">
      <c r="A893" s="130" t="s">
        <v>24205</v>
      </c>
      <c r="B893" t="s">
        <v>24346</v>
      </c>
      <c r="C893">
        <v>1</v>
      </c>
      <c r="D893" t="s">
        <v>23629</v>
      </c>
      <c r="E893" t="s">
        <v>23632</v>
      </c>
    </row>
    <row r="894" spans="1:5" x14ac:dyDescent="0.25">
      <c r="A894" s="131" t="s">
        <v>24205</v>
      </c>
      <c r="B894" t="s">
        <v>24347</v>
      </c>
      <c r="C894">
        <v>1</v>
      </c>
      <c r="D894" t="s">
        <v>23629</v>
      </c>
      <c r="E894" t="s">
        <v>23632</v>
      </c>
    </row>
    <row r="895" spans="1:5" x14ac:dyDescent="0.25">
      <c r="A895" s="130" t="str">
        <f>LEFT(B895,1)</f>
        <v>C</v>
      </c>
      <c r="B895" t="s">
        <v>28976</v>
      </c>
      <c r="C895">
        <v>1</v>
      </c>
      <c r="D895" t="s">
        <v>23629</v>
      </c>
      <c r="E895" t="s">
        <v>23632</v>
      </c>
    </row>
    <row r="896" spans="1:5" x14ac:dyDescent="0.25">
      <c r="A896" s="130" t="s">
        <v>24205</v>
      </c>
      <c r="B896" t="s">
        <v>24348</v>
      </c>
      <c r="C896">
        <v>1</v>
      </c>
      <c r="D896" t="s">
        <v>23629</v>
      </c>
      <c r="E896" t="s">
        <v>23632</v>
      </c>
    </row>
    <row r="897" spans="1:5" x14ac:dyDescent="0.25">
      <c r="A897" s="130" t="str">
        <f>LEFT(B897,1)</f>
        <v>C</v>
      </c>
      <c r="B897" t="s">
        <v>24641</v>
      </c>
      <c r="C897">
        <v>1</v>
      </c>
      <c r="D897" t="s">
        <v>23629</v>
      </c>
      <c r="E897" t="s">
        <v>23632</v>
      </c>
    </row>
    <row r="898" spans="1:5" x14ac:dyDescent="0.25">
      <c r="A898" s="130" t="str">
        <f>LEFT(B898,1)</f>
        <v>C</v>
      </c>
      <c r="B898" t="s">
        <v>24619</v>
      </c>
      <c r="C898">
        <v>1</v>
      </c>
      <c r="D898" t="s">
        <v>23629</v>
      </c>
      <c r="E898" t="s">
        <v>23632</v>
      </c>
    </row>
    <row r="899" spans="1:5" x14ac:dyDescent="0.25">
      <c r="A899" s="131" t="s">
        <v>24205</v>
      </c>
      <c r="B899" t="s">
        <v>24349</v>
      </c>
      <c r="C899">
        <v>1</v>
      </c>
      <c r="D899" t="s">
        <v>23629</v>
      </c>
      <c r="E899" t="s">
        <v>23632</v>
      </c>
    </row>
    <row r="900" spans="1:5" x14ac:dyDescent="0.25">
      <c r="A900" s="130" t="s">
        <v>24205</v>
      </c>
      <c r="B900" t="s">
        <v>24350</v>
      </c>
      <c r="C900">
        <v>1</v>
      </c>
      <c r="D900" t="s">
        <v>23629</v>
      </c>
      <c r="E900" t="s">
        <v>23632</v>
      </c>
    </row>
    <row r="901" spans="1:5" x14ac:dyDescent="0.25">
      <c r="A901" s="131" t="s">
        <v>24205</v>
      </c>
      <c r="B901" t="s">
        <v>24351</v>
      </c>
      <c r="C901">
        <v>1</v>
      </c>
      <c r="D901" t="s">
        <v>23629</v>
      </c>
      <c r="E901" t="s">
        <v>23632</v>
      </c>
    </row>
    <row r="902" spans="1:5" x14ac:dyDescent="0.25">
      <c r="A902" s="130" t="s">
        <v>24205</v>
      </c>
      <c r="B902" t="s">
        <v>24352</v>
      </c>
      <c r="C902">
        <v>1</v>
      </c>
      <c r="D902" t="s">
        <v>23629</v>
      </c>
      <c r="E902" t="s">
        <v>23632</v>
      </c>
    </row>
    <row r="903" spans="1:5" x14ac:dyDescent="0.25">
      <c r="A903" s="131" t="s">
        <v>24205</v>
      </c>
      <c r="B903" t="s">
        <v>24353</v>
      </c>
      <c r="C903">
        <v>1</v>
      </c>
      <c r="D903" t="s">
        <v>23629</v>
      </c>
      <c r="E903" t="s">
        <v>23632</v>
      </c>
    </row>
    <row r="904" spans="1:5" x14ac:dyDescent="0.25">
      <c r="A904" s="130" t="s">
        <v>24205</v>
      </c>
      <c r="B904" t="s">
        <v>24354</v>
      </c>
      <c r="C904">
        <v>1</v>
      </c>
      <c r="D904" t="s">
        <v>23629</v>
      </c>
      <c r="E904" t="s">
        <v>23632</v>
      </c>
    </row>
    <row r="905" spans="1:5" x14ac:dyDescent="0.25">
      <c r="A905" s="131" t="s">
        <v>24205</v>
      </c>
      <c r="B905" t="s">
        <v>24355</v>
      </c>
      <c r="C905">
        <v>1</v>
      </c>
      <c r="D905" t="s">
        <v>23629</v>
      </c>
      <c r="E905" t="s">
        <v>23632</v>
      </c>
    </row>
    <row r="906" spans="1:5" x14ac:dyDescent="0.25">
      <c r="A906" s="131" t="str">
        <f>LEFT(B906,1)</f>
        <v>C</v>
      </c>
      <c r="B906" t="s">
        <v>24620</v>
      </c>
      <c r="C906">
        <v>1</v>
      </c>
      <c r="D906" t="s">
        <v>23629</v>
      </c>
      <c r="E906" t="s">
        <v>23632</v>
      </c>
    </row>
    <row r="907" spans="1:5" x14ac:dyDescent="0.25">
      <c r="A907" s="130" t="str">
        <f>LEFT(B907,1)</f>
        <v>C</v>
      </c>
      <c r="B907" t="s">
        <v>24621</v>
      </c>
      <c r="C907">
        <v>1</v>
      </c>
      <c r="D907" t="s">
        <v>23629</v>
      </c>
      <c r="E907" t="s">
        <v>23632</v>
      </c>
    </row>
    <row r="908" spans="1:5" x14ac:dyDescent="0.25">
      <c r="A908" s="131" t="s">
        <v>24205</v>
      </c>
      <c r="B908" t="s">
        <v>24356</v>
      </c>
      <c r="C908">
        <v>1</v>
      </c>
      <c r="D908" t="s">
        <v>23629</v>
      </c>
      <c r="E908" t="s">
        <v>23632</v>
      </c>
    </row>
    <row r="909" spans="1:5" x14ac:dyDescent="0.25">
      <c r="A909" s="131" t="s">
        <v>24205</v>
      </c>
      <c r="B909" t="s">
        <v>24357</v>
      </c>
      <c r="C909">
        <v>1</v>
      </c>
      <c r="D909" t="s">
        <v>23629</v>
      </c>
      <c r="E909" t="s">
        <v>23632</v>
      </c>
    </row>
    <row r="910" spans="1:5" x14ac:dyDescent="0.25">
      <c r="A910" s="130" t="s">
        <v>24205</v>
      </c>
      <c r="B910" t="s">
        <v>24358</v>
      </c>
      <c r="C910">
        <v>1</v>
      </c>
      <c r="D910" t="s">
        <v>23629</v>
      </c>
      <c r="E910" t="s">
        <v>23632</v>
      </c>
    </row>
    <row r="911" spans="1:5" x14ac:dyDescent="0.25">
      <c r="A911" s="130" t="str">
        <f>LEFT(B911,1)</f>
        <v>C</v>
      </c>
      <c r="B911" t="s">
        <v>24642</v>
      </c>
      <c r="C911">
        <v>1</v>
      </c>
      <c r="D911" t="s">
        <v>23629</v>
      </c>
      <c r="E911" t="s">
        <v>23632</v>
      </c>
    </row>
    <row r="912" spans="1:5" x14ac:dyDescent="0.25">
      <c r="A912" s="131" t="s">
        <v>24205</v>
      </c>
      <c r="B912" t="s">
        <v>24359</v>
      </c>
      <c r="C912">
        <v>1</v>
      </c>
      <c r="D912" t="s">
        <v>23629</v>
      </c>
      <c r="E912" t="s">
        <v>23632</v>
      </c>
    </row>
    <row r="913" spans="1:5" x14ac:dyDescent="0.25">
      <c r="A913" s="130" t="s">
        <v>24205</v>
      </c>
      <c r="B913" t="s">
        <v>24360</v>
      </c>
      <c r="C913">
        <v>1</v>
      </c>
      <c r="D913" t="s">
        <v>23629</v>
      </c>
      <c r="E913" t="s">
        <v>23632</v>
      </c>
    </row>
    <row r="914" spans="1:5" x14ac:dyDescent="0.25">
      <c r="A914" s="130" t="str">
        <f>LEFT(B914,1)</f>
        <v>C</v>
      </c>
      <c r="B914" t="s">
        <v>28977</v>
      </c>
      <c r="C914">
        <v>1</v>
      </c>
      <c r="D914" t="s">
        <v>23629</v>
      </c>
      <c r="E914" t="s">
        <v>23632</v>
      </c>
    </row>
    <row r="915" spans="1:5" x14ac:dyDescent="0.25">
      <c r="A915" s="130" t="s">
        <v>24205</v>
      </c>
      <c r="B915" t="s">
        <v>24361</v>
      </c>
      <c r="C915">
        <v>1</v>
      </c>
      <c r="D915" t="s">
        <v>23629</v>
      </c>
      <c r="E915" t="s">
        <v>23632</v>
      </c>
    </row>
    <row r="916" spans="1:5" x14ac:dyDescent="0.25">
      <c r="A916" s="131" t="s">
        <v>24205</v>
      </c>
      <c r="B916" t="s">
        <v>24362</v>
      </c>
      <c r="C916">
        <v>1</v>
      </c>
      <c r="D916" t="s">
        <v>23629</v>
      </c>
      <c r="E916" t="s">
        <v>23632</v>
      </c>
    </row>
    <row r="917" spans="1:5" x14ac:dyDescent="0.25">
      <c r="A917" s="131" t="s">
        <v>24205</v>
      </c>
      <c r="B917" t="s">
        <v>24363</v>
      </c>
      <c r="C917">
        <v>1</v>
      </c>
      <c r="D917" t="s">
        <v>23629</v>
      </c>
      <c r="E917" t="s">
        <v>23632</v>
      </c>
    </row>
    <row r="918" spans="1:5" x14ac:dyDescent="0.25">
      <c r="A918" s="130" t="s">
        <v>24205</v>
      </c>
      <c r="B918" t="s">
        <v>24364</v>
      </c>
      <c r="C918">
        <v>1</v>
      </c>
      <c r="D918" t="s">
        <v>23629</v>
      </c>
      <c r="E918" t="s">
        <v>23632</v>
      </c>
    </row>
    <row r="919" spans="1:5" x14ac:dyDescent="0.25">
      <c r="A919" s="130" t="s">
        <v>24205</v>
      </c>
      <c r="B919" t="s">
        <v>24365</v>
      </c>
      <c r="C919">
        <v>1</v>
      </c>
      <c r="D919" t="s">
        <v>23629</v>
      </c>
      <c r="E919" t="s">
        <v>23632</v>
      </c>
    </row>
    <row r="920" spans="1:5" x14ac:dyDescent="0.25">
      <c r="A920" s="131" t="s">
        <v>24205</v>
      </c>
      <c r="B920" t="s">
        <v>24366</v>
      </c>
      <c r="C920">
        <v>1</v>
      </c>
      <c r="D920" t="s">
        <v>23629</v>
      </c>
      <c r="E920" t="s">
        <v>23632</v>
      </c>
    </row>
    <row r="921" spans="1:5" x14ac:dyDescent="0.25">
      <c r="A921" s="130" t="str">
        <f>LEFT((B921),1)</f>
        <v>C</v>
      </c>
      <c r="B921" t="s">
        <v>24367</v>
      </c>
      <c r="C921">
        <v>1</v>
      </c>
      <c r="D921" t="s">
        <v>23629</v>
      </c>
      <c r="E921" t="s">
        <v>23632</v>
      </c>
    </row>
    <row r="922" spans="1:5" x14ac:dyDescent="0.25">
      <c r="A922" s="130" t="str">
        <f>LEFT(B922,1)</f>
        <v>C</v>
      </c>
      <c r="B922" t="s">
        <v>28713</v>
      </c>
      <c r="C922">
        <v>1</v>
      </c>
      <c r="D922" t="s">
        <v>23629</v>
      </c>
      <c r="E922" t="s">
        <v>23632</v>
      </c>
    </row>
    <row r="923" spans="1:5" x14ac:dyDescent="0.25">
      <c r="A923" s="131" t="s">
        <v>24205</v>
      </c>
      <c r="B923" t="s">
        <v>24368</v>
      </c>
      <c r="C923">
        <v>1</v>
      </c>
      <c r="D923" t="s">
        <v>23629</v>
      </c>
      <c r="E923" t="s">
        <v>23632</v>
      </c>
    </row>
    <row r="924" spans="1:5" x14ac:dyDescent="0.25">
      <c r="A924" s="130" t="s">
        <v>24205</v>
      </c>
      <c r="B924" t="s">
        <v>24369</v>
      </c>
      <c r="C924">
        <v>1</v>
      </c>
      <c r="D924" t="s">
        <v>23629</v>
      </c>
      <c r="E924" t="s">
        <v>23632</v>
      </c>
    </row>
    <row r="925" spans="1:5" x14ac:dyDescent="0.25">
      <c r="A925" s="130" t="s">
        <v>24205</v>
      </c>
      <c r="B925" t="s">
        <v>24370</v>
      </c>
      <c r="C925">
        <v>1</v>
      </c>
      <c r="D925" t="s">
        <v>23629</v>
      </c>
      <c r="E925" t="s">
        <v>23632</v>
      </c>
    </row>
    <row r="926" spans="1:5" x14ac:dyDescent="0.25">
      <c r="A926" s="131" t="s">
        <v>24205</v>
      </c>
      <c r="B926" t="s">
        <v>24371</v>
      </c>
      <c r="C926">
        <v>1</v>
      </c>
      <c r="D926" t="s">
        <v>23629</v>
      </c>
      <c r="E926" t="s">
        <v>23632</v>
      </c>
    </row>
    <row r="927" spans="1:5" x14ac:dyDescent="0.25">
      <c r="A927" s="130" t="str">
        <f>LEFT(B927,1)</f>
        <v>C</v>
      </c>
      <c r="B927" t="s">
        <v>28399</v>
      </c>
      <c r="C927">
        <v>1</v>
      </c>
      <c r="D927" t="s">
        <v>23629</v>
      </c>
      <c r="E927" t="s">
        <v>23632</v>
      </c>
    </row>
    <row r="928" spans="1:5" x14ac:dyDescent="0.25">
      <c r="A928" s="131" t="s">
        <v>24205</v>
      </c>
      <c r="B928" t="s">
        <v>24372</v>
      </c>
      <c r="C928">
        <v>1</v>
      </c>
      <c r="D928" t="s">
        <v>23629</v>
      </c>
      <c r="E928" t="s">
        <v>23632</v>
      </c>
    </row>
    <row r="929" spans="1:5" x14ac:dyDescent="0.25">
      <c r="A929" s="130" t="str">
        <f>LEFT(B929,1)</f>
        <v>C</v>
      </c>
      <c r="B929" t="s">
        <v>28714</v>
      </c>
      <c r="C929">
        <v>1</v>
      </c>
      <c r="D929" t="s">
        <v>23629</v>
      </c>
      <c r="E929" t="s">
        <v>23632</v>
      </c>
    </row>
    <row r="930" spans="1:5" x14ac:dyDescent="0.25">
      <c r="A930" s="130" t="str">
        <f>LEFT(B930,1)</f>
        <v>C</v>
      </c>
      <c r="B930" t="s">
        <v>28978</v>
      </c>
      <c r="C930">
        <v>1</v>
      </c>
      <c r="D930" t="s">
        <v>23629</v>
      </c>
      <c r="E930" t="s">
        <v>23632</v>
      </c>
    </row>
    <row r="931" spans="1:5" x14ac:dyDescent="0.25">
      <c r="A931" s="130" t="s">
        <v>24205</v>
      </c>
      <c r="B931" t="s">
        <v>24373</v>
      </c>
      <c r="C931">
        <v>1</v>
      </c>
      <c r="D931" t="s">
        <v>23629</v>
      </c>
      <c r="E931" t="s">
        <v>23632</v>
      </c>
    </row>
    <row r="932" spans="1:5" x14ac:dyDescent="0.25">
      <c r="A932" s="131" t="s">
        <v>24205</v>
      </c>
      <c r="B932" t="s">
        <v>24374</v>
      </c>
      <c r="C932">
        <v>1</v>
      </c>
      <c r="D932" t="s">
        <v>23629</v>
      </c>
      <c r="E932" t="s">
        <v>23632</v>
      </c>
    </row>
    <row r="933" spans="1:5" x14ac:dyDescent="0.25">
      <c r="A933" s="130" t="str">
        <f>LEFT(B933,1)</f>
        <v>C</v>
      </c>
      <c r="B933" t="s">
        <v>28979</v>
      </c>
      <c r="C933">
        <v>1</v>
      </c>
      <c r="D933" t="s">
        <v>23629</v>
      </c>
      <c r="E933" t="s">
        <v>23632</v>
      </c>
    </row>
    <row r="934" spans="1:5" x14ac:dyDescent="0.25">
      <c r="A934" s="131" t="s">
        <v>24205</v>
      </c>
      <c r="B934" t="s">
        <v>24375</v>
      </c>
      <c r="C934">
        <v>1</v>
      </c>
      <c r="D934" t="s">
        <v>23629</v>
      </c>
      <c r="E934" t="s">
        <v>23632</v>
      </c>
    </row>
    <row r="935" spans="1:5" x14ac:dyDescent="0.25">
      <c r="A935" s="130" t="str">
        <f>LEFT(B935,1)</f>
        <v>C</v>
      </c>
      <c r="B935" t="s">
        <v>28400</v>
      </c>
      <c r="C935">
        <v>1.1000000000000001</v>
      </c>
      <c r="D935" t="s">
        <v>23629</v>
      </c>
      <c r="E935" t="s">
        <v>23632</v>
      </c>
    </row>
    <row r="936" spans="1:5" x14ac:dyDescent="0.25">
      <c r="A936" s="131" t="s">
        <v>24205</v>
      </c>
      <c r="B936" t="s">
        <v>24376</v>
      </c>
      <c r="C936">
        <v>1.1000000000000001</v>
      </c>
      <c r="D936" t="s">
        <v>23629</v>
      </c>
      <c r="E936" t="s">
        <v>23632</v>
      </c>
    </row>
    <row r="937" spans="1:5" x14ac:dyDescent="0.25">
      <c r="A937" s="131" t="s">
        <v>24205</v>
      </c>
      <c r="B937" t="s">
        <v>24377</v>
      </c>
      <c r="C937">
        <v>1</v>
      </c>
      <c r="D937" t="s">
        <v>23629</v>
      </c>
      <c r="E937" t="s">
        <v>23632</v>
      </c>
    </row>
    <row r="938" spans="1:5" x14ac:dyDescent="0.25">
      <c r="A938" s="130" t="s">
        <v>24205</v>
      </c>
      <c r="B938" t="s">
        <v>24378</v>
      </c>
      <c r="C938">
        <v>1</v>
      </c>
      <c r="D938" t="s">
        <v>23629</v>
      </c>
      <c r="E938" t="s">
        <v>23632</v>
      </c>
    </row>
    <row r="939" spans="1:5" x14ac:dyDescent="0.25">
      <c r="A939" s="131" t="s">
        <v>24205</v>
      </c>
      <c r="B939" t="s">
        <v>24379</v>
      </c>
      <c r="C939">
        <v>1</v>
      </c>
      <c r="D939" t="s">
        <v>24380</v>
      </c>
      <c r="E939" t="s">
        <v>23632</v>
      </c>
    </row>
    <row r="940" spans="1:5" x14ac:dyDescent="0.25">
      <c r="A940" s="130" t="str">
        <f>LEFT(B940,1)</f>
        <v>C</v>
      </c>
      <c r="B940" t="s">
        <v>28980</v>
      </c>
      <c r="C940">
        <v>1</v>
      </c>
      <c r="D940" t="s">
        <v>23629</v>
      </c>
      <c r="E940" t="s">
        <v>23632</v>
      </c>
    </row>
    <row r="941" spans="1:5" x14ac:dyDescent="0.25">
      <c r="A941" s="131" t="str">
        <f>LEFT(B941,1)</f>
        <v>C</v>
      </c>
      <c r="B941" t="s">
        <v>24622</v>
      </c>
      <c r="C941">
        <v>1</v>
      </c>
      <c r="D941" t="s">
        <v>23629</v>
      </c>
      <c r="E941" t="s">
        <v>23632</v>
      </c>
    </row>
    <row r="942" spans="1:5" x14ac:dyDescent="0.25">
      <c r="A942" s="131" t="s">
        <v>24205</v>
      </c>
      <c r="B942" t="s">
        <v>24381</v>
      </c>
      <c r="C942">
        <v>1</v>
      </c>
      <c r="D942" t="s">
        <v>23629</v>
      </c>
      <c r="E942" t="s">
        <v>23632</v>
      </c>
    </row>
    <row r="943" spans="1:5" x14ac:dyDescent="0.25">
      <c r="A943" s="131" t="str">
        <f>LEFT(B943,1)</f>
        <v>C</v>
      </c>
      <c r="B943" t="s">
        <v>24656</v>
      </c>
      <c r="C943">
        <v>1</v>
      </c>
      <c r="D943" t="s">
        <v>23629</v>
      </c>
      <c r="E943" t="s">
        <v>23632</v>
      </c>
    </row>
    <row r="944" spans="1:5" x14ac:dyDescent="0.25">
      <c r="A944" s="130" t="str">
        <f>LEFT(B944,1)</f>
        <v>C</v>
      </c>
      <c r="B944" t="s">
        <v>24623</v>
      </c>
      <c r="C944">
        <v>1</v>
      </c>
      <c r="D944" t="s">
        <v>23629</v>
      </c>
      <c r="E944" t="s">
        <v>23632</v>
      </c>
    </row>
    <row r="945" spans="1:5" x14ac:dyDescent="0.25">
      <c r="A945" s="131" t="str">
        <f>LEFT((B945),1)</f>
        <v>C</v>
      </c>
      <c r="B945" t="s">
        <v>24382</v>
      </c>
      <c r="C945">
        <v>1</v>
      </c>
      <c r="D945" t="s">
        <v>23629</v>
      </c>
      <c r="E945" t="s">
        <v>23632</v>
      </c>
    </row>
    <row r="946" spans="1:5" x14ac:dyDescent="0.25">
      <c r="A946" s="130" t="s">
        <v>24205</v>
      </c>
      <c r="B946" t="s">
        <v>24383</v>
      </c>
      <c r="C946">
        <v>1</v>
      </c>
      <c r="D946" t="s">
        <v>23629</v>
      </c>
      <c r="E946" t="s">
        <v>23632</v>
      </c>
    </row>
    <row r="947" spans="1:5" x14ac:dyDescent="0.25">
      <c r="A947" s="131" t="s">
        <v>24205</v>
      </c>
      <c r="B947" t="s">
        <v>24384</v>
      </c>
      <c r="C947">
        <v>1</v>
      </c>
      <c r="D947" t="s">
        <v>23629</v>
      </c>
      <c r="E947" t="s">
        <v>23632</v>
      </c>
    </row>
    <row r="948" spans="1:5" x14ac:dyDescent="0.25">
      <c r="A948" s="130" t="str">
        <f>LEFT(B948,1)</f>
        <v>C</v>
      </c>
      <c r="B948" t="s">
        <v>28401</v>
      </c>
      <c r="C948">
        <v>1</v>
      </c>
      <c r="D948" t="s">
        <v>23629</v>
      </c>
      <c r="E948" t="s">
        <v>23632</v>
      </c>
    </row>
    <row r="949" spans="1:5" x14ac:dyDescent="0.25">
      <c r="A949" s="130" t="s">
        <v>24205</v>
      </c>
      <c r="B949" t="s">
        <v>24385</v>
      </c>
      <c r="C949">
        <v>1</v>
      </c>
      <c r="D949" t="s">
        <v>23629</v>
      </c>
      <c r="E949" t="s">
        <v>23632</v>
      </c>
    </row>
    <row r="950" spans="1:5" x14ac:dyDescent="0.25">
      <c r="A950" s="131" t="s">
        <v>24205</v>
      </c>
      <c r="B950" t="s">
        <v>24386</v>
      </c>
      <c r="C950">
        <v>1</v>
      </c>
      <c r="D950" t="s">
        <v>23629</v>
      </c>
      <c r="E950" t="s">
        <v>23632</v>
      </c>
    </row>
    <row r="951" spans="1:5" x14ac:dyDescent="0.25">
      <c r="A951" s="131" t="s">
        <v>24205</v>
      </c>
      <c r="B951" t="s">
        <v>24387</v>
      </c>
      <c r="C951">
        <v>1</v>
      </c>
      <c r="D951" t="s">
        <v>23629</v>
      </c>
      <c r="E951" t="s">
        <v>23632</v>
      </c>
    </row>
    <row r="952" spans="1:5" x14ac:dyDescent="0.25">
      <c r="A952" s="131" t="s">
        <v>24205</v>
      </c>
      <c r="B952" t="s">
        <v>24388</v>
      </c>
      <c r="C952">
        <v>1</v>
      </c>
      <c r="D952" t="s">
        <v>23629</v>
      </c>
      <c r="E952" t="s">
        <v>23632</v>
      </c>
    </row>
    <row r="953" spans="1:5" x14ac:dyDescent="0.25">
      <c r="A953" s="130" t="str">
        <f>LEFT(B953,1)</f>
        <v>C</v>
      </c>
      <c r="B953" t="s">
        <v>28981</v>
      </c>
      <c r="C953">
        <v>1</v>
      </c>
      <c r="D953" t="s">
        <v>23629</v>
      </c>
      <c r="E953" t="s">
        <v>23632</v>
      </c>
    </row>
    <row r="954" spans="1:5" x14ac:dyDescent="0.25">
      <c r="A954" s="130" t="s">
        <v>24205</v>
      </c>
      <c r="B954" t="s">
        <v>24389</v>
      </c>
      <c r="C954">
        <v>1</v>
      </c>
      <c r="D954" t="s">
        <v>23629</v>
      </c>
      <c r="E954" t="s">
        <v>23632</v>
      </c>
    </row>
    <row r="955" spans="1:5" x14ac:dyDescent="0.25">
      <c r="A955" s="130" t="str">
        <f>LEFT(B955,1)</f>
        <v>C</v>
      </c>
      <c r="B955" t="s">
        <v>24657</v>
      </c>
      <c r="C955">
        <v>1</v>
      </c>
      <c r="D955" t="s">
        <v>23629</v>
      </c>
      <c r="E955" t="s">
        <v>23632</v>
      </c>
    </row>
    <row r="956" spans="1:5" x14ac:dyDescent="0.25">
      <c r="A956" s="131" t="s">
        <v>24205</v>
      </c>
      <c r="B956" t="s">
        <v>24390</v>
      </c>
      <c r="C956">
        <v>1</v>
      </c>
      <c r="D956" t="s">
        <v>23629</v>
      </c>
      <c r="E956" t="s">
        <v>23632</v>
      </c>
    </row>
    <row r="957" spans="1:5" x14ac:dyDescent="0.25">
      <c r="A957" s="131" t="s">
        <v>24205</v>
      </c>
      <c r="B957" t="s">
        <v>24391</v>
      </c>
      <c r="C957">
        <v>1</v>
      </c>
      <c r="D957" t="s">
        <v>23629</v>
      </c>
      <c r="E957" t="s">
        <v>23632</v>
      </c>
    </row>
    <row r="958" spans="1:5" x14ac:dyDescent="0.25">
      <c r="A958" s="131" t="str">
        <f>LEFT(B958,1)</f>
        <v>C</v>
      </c>
      <c r="B958" t="s">
        <v>24658</v>
      </c>
      <c r="C958">
        <v>1</v>
      </c>
      <c r="D958" t="s">
        <v>23629</v>
      </c>
      <c r="E958" t="s">
        <v>23632</v>
      </c>
    </row>
    <row r="959" spans="1:5" x14ac:dyDescent="0.25">
      <c r="A959" s="130" t="s">
        <v>24205</v>
      </c>
      <c r="B959" t="s">
        <v>24392</v>
      </c>
      <c r="C959">
        <v>1</v>
      </c>
      <c r="D959" t="s">
        <v>23629</v>
      </c>
      <c r="E959" t="s">
        <v>23632</v>
      </c>
    </row>
    <row r="960" spans="1:5" x14ac:dyDescent="0.25">
      <c r="A960" s="131" t="s">
        <v>24205</v>
      </c>
      <c r="B960" t="s">
        <v>24393</v>
      </c>
      <c r="C960">
        <v>1</v>
      </c>
      <c r="D960" t="s">
        <v>23629</v>
      </c>
      <c r="E960" t="s">
        <v>23632</v>
      </c>
    </row>
    <row r="961" spans="1:5" x14ac:dyDescent="0.25">
      <c r="A961" s="130" t="s">
        <v>24205</v>
      </c>
      <c r="B961" t="s">
        <v>24394</v>
      </c>
      <c r="C961">
        <v>1</v>
      </c>
      <c r="D961" t="s">
        <v>23629</v>
      </c>
      <c r="E961" t="s">
        <v>23632</v>
      </c>
    </row>
    <row r="962" spans="1:5" x14ac:dyDescent="0.25">
      <c r="A962" s="130" t="str">
        <f>LEFT(B962,1)</f>
        <v>C</v>
      </c>
      <c r="B962" t="s">
        <v>24659</v>
      </c>
      <c r="C962">
        <v>1</v>
      </c>
      <c r="D962" t="s">
        <v>23629</v>
      </c>
      <c r="E962" t="s">
        <v>23632</v>
      </c>
    </row>
    <row r="963" spans="1:5" x14ac:dyDescent="0.25">
      <c r="A963" s="130" t="str">
        <f>LEFT(B963,1)</f>
        <v>C</v>
      </c>
      <c r="B963" t="s">
        <v>28982</v>
      </c>
      <c r="C963">
        <v>1</v>
      </c>
      <c r="D963" t="s">
        <v>23629</v>
      </c>
      <c r="E963" t="s">
        <v>23632</v>
      </c>
    </row>
    <row r="964" spans="1:5" x14ac:dyDescent="0.25">
      <c r="A964" s="131" t="s">
        <v>24205</v>
      </c>
      <c r="B964" t="s">
        <v>24395</v>
      </c>
      <c r="C964">
        <v>1</v>
      </c>
      <c r="D964" t="s">
        <v>23629</v>
      </c>
      <c r="E964" t="s">
        <v>23632</v>
      </c>
    </row>
    <row r="965" spans="1:5" x14ac:dyDescent="0.25">
      <c r="A965" s="130" t="s">
        <v>24205</v>
      </c>
      <c r="B965" t="s">
        <v>24396</v>
      </c>
      <c r="C965">
        <v>1.1000000000000001</v>
      </c>
      <c r="D965" t="s">
        <v>23629</v>
      </c>
      <c r="E965" t="s">
        <v>23632</v>
      </c>
    </row>
    <row r="966" spans="1:5" x14ac:dyDescent="0.25">
      <c r="A966" s="130" t="str">
        <f>LEFT(B966,1)</f>
        <v>C</v>
      </c>
      <c r="B966" t="s">
        <v>28715</v>
      </c>
      <c r="C966">
        <v>1</v>
      </c>
      <c r="D966" t="s">
        <v>23629</v>
      </c>
      <c r="E966" t="s">
        <v>23632</v>
      </c>
    </row>
    <row r="967" spans="1:5" x14ac:dyDescent="0.25">
      <c r="A967" s="130" t="s">
        <v>24205</v>
      </c>
      <c r="B967" t="s">
        <v>24397</v>
      </c>
      <c r="C967">
        <v>1</v>
      </c>
      <c r="D967" t="s">
        <v>23629</v>
      </c>
      <c r="E967" t="s">
        <v>23632</v>
      </c>
    </row>
    <row r="968" spans="1:5" x14ac:dyDescent="0.25">
      <c r="A968" s="131" t="s">
        <v>24205</v>
      </c>
      <c r="B968" t="s">
        <v>24398</v>
      </c>
      <c r="C968">
        <v>1</v>
      </c>
      <c r="D968" t="s">
        <v>23629</v>
      </c>
      <c r="E968" t="s">
        <v>23632</v>
      </c>
    </row>
    <row r="969" spans="1:5" x14ac:dyDescent="0.25">
      <c r="A969" s="130" t="s">
        <v>24205</v>
      </c>
      <c r="B969" t="s">
        <v>24399</v>
      </c>
      <c r="C969">
        <v>1</v>
      </c>
      <c r="D969" t="s">
        <v>23629</v>
      </c>
      <c r="E969" t="s">
        <v>23632</v>
      </c>
    </row>
    <row r="970" spans="1:5" x14ac:dyDescent="0.25">
      <c r="A970" s="130" t="str">
        <f>LEFT((B970),1)</f>
        <v>C</v>
      </c>
      <c r="B970" t="s">
        <v>24400</v>
      </c>
      <c r="C970">
        <v>1</v>
      </c>
      <c r="D970" t="s">
        <v>23629</v>
      </c>
      <c r="E970" t="s">
        <v>23632</v>
      </c>
    </row>
    <row r="971" spans="1:5" x14ac:dyDescent="0.25">
      <c r="A971" s="130" t="s">
        <v>24205</v>
      </c>
      <c r="B971" t="s">
        <v>24401</v>
      </c>
      <c r="C971">
        <v>1</v>
      </c>
      <c r="D971" t="s">
        <v>23629</v>
      </c>
      <c r="E971" t="s">
        <v>23632</v>
      </c>
    </row>
    <row r="972" spans="1:5" x14ac:dyDescent="0.25">
      <c r="A972" s="130" t="str">
        <f>LEFT(B972,1)</f>
        <v>C</v>
      </c>
      <c r="B972" t="s">
        <v>28716</v>
      </c>
      <c r="C972">
        <v>1</v>
      </c>
      <c r="D972" t="s">
        <v>23629</v>
      </c>
      <c r="E972" t="s">
        <v>23632</v>
      </c>
    </row>
    <row r="973" spans="1:5" x14ac:dyDescent="0.25">
      <c r="A973" s="131" t="s">
        <v>24205</v>
      </c>
      <c r="B973" t="s">
        <v>24402</v>
      </c>
      <c r="C973">
        <v>1</v>
      </c>
      <c r="D973" t="s">
        <v>23629</v>
      </c>
      <c r="E973" t="s">
        <v>23632</v>
      </c>
    </row>
    <row r="974" spans="1:5" x14ac:dyDescent="0.25">
      <c r="A974" s="130" t="s">
        <v>24205</v>
      </c>
      <c r="B974" t="s">
        <v>24403</v>
      </c>
      <c r="C974">
        <v>1</v>
      </c>
      <c r="D974" t="s">
        <v>23629</v>
      </c>
      <c r="E974" t="s">
        <v>23632</v>
      </c>
    </row>
    <row r="975" spans="1:5" x14ac:dyDescent="0.25">
      <c r="A975" s="130" t="s">
        <v>24205</v>
      </c>
      <c r="B975" t="s">
        <v>24404</v>
      </c>
      <c r="C975">
        <v>1</v>
      </c>
      <c r="D975" t="s">
        <v>23629</v>
      </c>
      <c r="E975" t="s">
        <v>23632</v>
      </c>
    </row>
    <row r="976" spans="1:5" x14ac:dyDescent="0.25">
      <c r="A976" s="130" t="str">
        <f>LEFT(B976,1)</f>
        <v>C</v>
      </c>
      <c r="B976" t="s">
        <v>28983</v>
      </c>
      <c r="C976">
        <v>1</v>
      </c>
      <c r="D976" t="s">
        <v>23629</v>
      </c>
      <c r="E976" t="s">
        <v>23632</v>
      </c>
    </row>
    <row r="977" spans="1:5" x14ac:dyDescent="0.25">
      <c r="A977" s="131" t="s">
        <v>24205</v>
      </c>
      <c r="B977" t="s">
        <v>24405</v>
      </c>
      <c r="C977">
        <v>1</v>
      </c>
      <c r="D977" t="s">
        <v>23629</v>
      </c>
      <c r="E977" t="s">
        <v>23632</v>
      </c>
    </row>
    <row r="978" spans="1:5" x14ac:dyDescent="0.25">
      <c r="A978" s="130" t="s">
        <v>24205</v>
      </c>
      <c r="B978" t="s">
        <v>24406</v>
      </c>
      <c r="C978">
        <v>1</v>
      </c>
      <c r="D978" t="s">
        <v>23629</v>
      </c>
      <c r="E978" t="s">
        <v>23632</v>
      </c>
    </row>
    <row r="979" spans="1:5" x14ac:dyDescent="0.25">
      <c r="A979" s="131" t="s">
        <v>24205</v>
      </c>
      <c r="B979" t="s">
        <v>24407</v>
      </c>
      <c r="C979">
        <v>1</v>
      </c>
      <c r="D979" t="s">
        <v>23629</v>
      </c>
      <c r="E979" t="s">
        <v>23632</v>
      </c>
    </row>
    <row r="980" spans="1:5" x14ac:dyDescent="0.25">
      <c r="A980" s="131" t="s">
        <v>24205</v>
      </c>
      <c r="B980" t="s">
        <v>24408</v>
      </c>
      <c r="C980">
        <v>1</v>
      </c>
      <c r="D980" t="s">
        <v>23629</v>
      </c>
      <c r="E980" t="s">
        <v>23632</v>
      </c>
    </row>
    <row r="981" spans="1:5" x14ac:dyDescent="0.25">
      <c r="A981" s="131" t="s">
        <v>24205</v>
      </c>
      <c r="B981" t="s">
        <v>24409</v>
      </c>
      <c r="C981">
        <v>1</v>
      </c>
      <c r="D981" t="s">
        <v>23629</v>
      </c>
      <c r="E981" t="s">
        <v>23632</v>
      </c>
    </row>
    <row r="982" spans="1:5" x14ac:dyDescent="0.25">
      <c r="A982" s="130" t="s">
        <v>24205</v>
      </c>
      <c r="B982" t="s">
        <v>24410</v>
      </c>
      <c r="C982">
        <v>1</v>
      </c>
      <c r="D982" t="s">
        <v>23629</v>
      </c>
      <c r="E982" t="s">
        <v>23632</v>
      </c>
    </row>
    <row r="983" spans="1:5" x14ac:dyDescent="0.25">
      <c r="A983" s="131" t="s">
        <v>24205</v>
      </c>
      <c r="B983" t="s">
        <v>24411</v>
      </c>
      <c r="C983">
        <v>1</v>
      </c>
      <c r="D983" t="s">
        <v>23629</v>
      </c>
      <c r="E983" t="s">
        <v>23632</v>
      </c>
    </row>
    <row r="984" spans="1:5" x14ac:dyDescent="0.25">
      <c r="A984" s="130" t="s">
        <v>24205</v>
      </c>
      <c r="B984" t="s">
        <v>24412</v>
      </c>
      <c r="C984">
        <v>1</v>
      </c>
      <c r="D984" t="s">
        <v>23629</v>
      </c>
      <c r="E984" t="s">
        <v>23632</v>
      </c>
    </row>
    <row r="985" spans="1:5" x14ac:dyDescent="0.25">
      <c r="A985" s="130" t="s">
        <v>24205</v>
      </c>
      <c r="B985" t="s">
        <v>24413</v>
      </c>
      <c r="C985">
        <v>1</v>
      </c>
      <c r="D985" t="s">
        <v>23629</v>
      </c>
      <c r="E985" t="s">
        <v>23632</v>
      </c>
    </row>
    <row r="986" spans="1:5" x14ac:dyDescent="0.25">
      <c r="A986" s="131" t="s">
        <v>24205</v>
      </c>
      <c r="B986" t="s">
        <v>24414</v>
      </c>
      <c r="C986">
        <v>1</v>
      </c>
      <c r="D986" t="s">
        <v>23629</v>
      </c>
      <c r="E986" t="s">
        <v>23632</v>
      </c>
    </row>
    <row r="987" spans="1:5" x14ac:dyDescent="0.25">
      <c r="A987" s="130" t="str">
        <f>LEFT(B987,1)</f>
        <v>C</v>
      </c>
      <c r="B987" t="s">
        <v>28717</v>
      </c>
      <c r="C987">
        <v>1</v>
      </c>
      <c r="D987" t="s">
        <v>23629</v>
      </c>
      <c r="E987" t="s">
        <v>23632</v>
      </c>
    </row>
    <row r="988" spans="1:5" x14ac:dyDescent="0.25">
      <c r="A988" s="130" t="s">
        <v>24205</v>
      </c>
      <c r="B988" t="s">
        <v>24415</v>
      </c>
      <c r="C988">
        <v>1</v>
      </c>
      <c r="D988" t="s">
        <v>23629</v>
      </c>
      <c r="E988" t="s">
        <v>23632</v>
      </c>
    </row>
    <row r="989" spans="1:5" x14ac:dyDescent="0.25">
      <c r="A989" s="131" t="s">
        <v>24205</v>
      </c>
      <c r="B989" t="s">
        <v>24416</v>
      </c>
      <c r="C989">
        <v>1</v>
      </c>
      <c r="D989" t="s">
        <v>23629</v>
      </c>
      <c r="E989" t="s">
        <v>23632</v>
      </c>
    </row>
    <row r="990" spans="1:5" x14ac:dyDescent="0.25">
      <c r="A990" s="131" t="s">
        <v>24205</v>
      </c>
      <c r="B990" t="s">
        <v>24417</v>
      </c>
      <c r="C990">
        <v>1</v>
      </c>
      <c r="D990" t="s">
        <v>23629</v>
      </c>
      <c r="E990" t="s">
        <v>23632</v>
      </c>
    </row>
    <row r="991" spans="1:5" x14ac:dyDescent="0.25">
      <c r="A991" s="130" t="s">
        <v>24205</v>
      </c>
      <c r="B991" t="s">
        <v>24418</v>
      </c>
      <c r="C991">
        <v>1</v>
      </c>
      <c r="D991" t="s">
        <v>23629</v>
      </c>
      <c r="E991" t="s">
        <v>23632</v>
      </c>
    </row>
    <row r="992" spans="1:5" x14ac:dyDescent="0.25">
      <c r="A992" s="130" t="s">
        <v>24205</v>
      </c>
      <c r="B992" t="s">
        <v>24419</v>
      </c>
      <c r="C992">
        <v>1</v>
      </c>
      <c r="D992" t="s">
        <v>23629</v>
      </c>
      <c r="E992" t="s">
        <v>23632</v>
      </c>
    </row>
    <row r="993" spans="1:5" x14ac:dyDescent="0.25">
      <c r="A993" s="130" t="s">
        <v>24205</v>
      </c>
      <c r="B993" t="s">
        <v>24420</v>
      </c>
      <c r="C993">
        <v>1</v>
      </c>
      <c r="D993" t="s">
        <v>23629</v>
      </c>
      <c r="E993" t="s">
        <v>23632</v>
      </c>
    </row>
    <row r="994" spans="1:5" x14ac:dyDescent="0.25">
      <c r="A994" s="131" t="s">
        <v>24205</v>
      </c>
      <c r="B994" t="s">
        <v>24421</v>
      </c>
      <c r="C994">
        <v>1.05</v>
      </c>
      <c r="D994" t="s">
        <v>23629</v>
      </c>
      <c r="E994" t="s">
        <v>23632</v>
      </c>
    </row>
    <row r="995" spans="1:5" x14ac:dyDescent="0.25">
      <c r="A995" s="130" t="s">
        <v>24205</v>
      </c>
      <c r="B995" t="s">
        <v>24422</v>
      </c>
      <c r="C995">
        <v>1</v>
      </c>
      <c r="D995" t="s">
        <v>23629</v>
      </c>
      <c r="E995" t="s">
        <v>23632</v>
      </c>
    </row>
    <row r="996" spans="1:5" x14ac:dyDescent="0.25">
      <c r="A996" s="131" t="s">
        <v>24205</v>
      </c>
      <c r="B996" t="s">
        <v>24423</v>
      </c>
      <c r="C996">
        <v>1</v>
      </c>
      <c r="D996" t="s">
        <v>23629</v>
      </c>
      <c r="E996" t="s">
        <v>23632</v>
      </c>
    </row>
    <row r="997" spans="1:5" x14ac:dyDescent="0.25">
      <c r="A997" s="130" t="str">
        <f>LEFT(B997,1)</f>
        <v>C</v>
      </c>
      <c r="B997" t="s">
        <v>28402</v>
      </c>
      <c r="C997">
        <v>1</v>
      </c>
      <c r="D997" t="s">
        <v>23629</v>
      </c>
      <c r="E997" t="s">
        <v>23632</v>
      </c>
    </row>
    <row r="998" spans="1:5" x14ac:dyDescent="0.25">
      <c r="A998" s="131" t="s">
        <v>24205</v>
      </c>
      <c r="B998" t="s">
        <v>24424</v>
      </c>
      <c r="C998">
        <v>1</v>
      </c>
      <c r="D998" t="s">
        <v>23629</v>
      </c>
      <c r="E998" t="s">
        <v>23632</v>
      </c>
    </row>
    <row r="999" spans="1:5" x14ac:dyDescent="0.25">
      <c r="A999" s="130" t="s">
        <v>24205</v>
      </c>
      <c r="B999" t="s">
        <v>24425</v>
      </c>
      <c r="C999">
        <v>1</v>
      </c>
      <c r="D999" t="s">
        <v>23629</v>
      </c>
      <c r="E999" t="s">
        <v>23632</v>
      </c>
    </row>
    <row r="1000" spans="1:5" x14ac:dyDescent="0.25">
      <c r="A1000" s="131" t="s">
        <v>24205</v>
      </c>
      <c r="B1000" t="s">
        <v>24426</v>
      </c>
      <c r="C1000">
        <v>1</v>
      </c>
      <c r="D1000" t="s">
        <v>23629</v>
      </c>
      <c r="E1000" t="s">
        <v>23632</v>
      </c>
    </row>
    <row r="1001" spans="1:5" x14ac:dyDescent="0.25">
      <c r="A1001" s="130" t="s">
        <v>24205</v>
      </c>
      <c r="B1001" t="s">
        <v>24427</v>
      </c>
      <c r="C1001">
        <v>1</v>
      </c>
      <c r="D1001" t="s">
        <v>23629</v>
      </c>
      <c r="E1001" t="s">
        <v>23632</v>
      </c>
    </row>
    <row r="1002" spans="1:5" x14ac:dyDescent="0.25">
      <c r="A1002" s="130" t="s">
        <v>24205</v>
      </c>
      <c r="B1002" t="s">
        <v>24428</v>
      </c>
      <c r="C1002">
        <v>1</v>
      </c>
      <c r="D1002" t="s">
        <v>23629</v>
      </c>
      <c r="E1002" t="s">
        <v>23632</v>
      </c>
    </row>
    <row r="1003" spans="1:5" x14ac:dyDescent="0.25">
      <c r="A1003" s="131" t="str">
        <f>LEFT(B1003,1)</f>
        <v>C</v>
      </c>
      <c r="B1003" t="s">
        <v>24660</v>
      </c>
      <c r="C1003">
        <v>1</v>
      </c>
      <c r="D1003" t="s">
        <v>23629</v>
      </c>
      <c r="E1003" t="s">
        <v>23632</v>
      </c>
    </row>
    <row r="1004" spans="1:5" x14ac:dyDescent="0.25">
      <c r="A1004" s="131" t="s">
        <v>24205</v>
      </c>
      <c r="B1004" t="s">
        <v>24429</v>
      </c>
      <c r="C1004">
        <v>1</v>
      </c>
      <c r="D1004" t="s">
        <v>23629</v>
      </c>
      <c r="E1004" t="s">
        <v>23632</v>
      </c>
    </row>
    <row r="1005" spans="1:5" x14ac:dyDescent="0.25">
      <c r="A1005" s="131" t="s">
        <v>24205</v>
      </c>
      <c r="B1005" t="s">
        <v>24440</v>
      </c>
      <c r="C1005">
        <v>1.1499999999999999</v>
      </c>
      <c r="D1005" t="s">
        <v>24432</v>
      </c>
      <c r="E1005" t="s">
        <v>23632</v>
      </c>
    </row>
    <row r="1006" spans="1:5" x14ac:dyDescent="0.25">
      <c r="A1006" s="131" t="s">
        <v>24205</v>
      </c>
      <c r="B1006" t="s">
        <v>24430</v>
      </c>
      <c r="C1006">
        <v>1</v>
      </c>
      <c r="D1006" t="s">
        <v>23629</v>
      </c>
      <c r="E1006" t="s">
        <v>23632</v>
      </c>
    </row>
    <row r="1007" spans="1:5" x14ac:dyDescent="0.25">
      <c r="A1007" s="131" t="s">
        <v>24205</v>
      </c>
      <c r="B1007" t="s">
        <v>24433</v>
      </c>
      <c r="C1007">
        <v>1</v>
      </c>
      <c r="D1007" t="s">
        <v>23629</v>
      </c>
      <c r="E1007" t="s">
        <v>23632</v>
      </c>
    </row>
    <row r="1008" spans="1:5" x14ac:dyDescent="0.25">
      <c r="A1008" s="131" t="s">
        <v>24205</v>
      </c>
      <c r="B1008" t="s">
        <v>24434</v>
      </c>
      <c r="C1008">
        <v>1.1499999999999999</v>
      </c>
      <c r="D1008" t="s">
        <v>23629</v>
      </c>
      <c r="E1008" t="s">
        <v>23632</v>
      </c>
    </row>
    <row r="1009" spans="1:5" x14ac:dyDescent="0.25">
      <c r="A1009" s="130" t="str">
        <f>LEFT(B1009,1)</f>
        <v>C</v>
      </c>
      <c r="B1009" t="s">
        <v>28403</v>
      </c>
      <c r="C1009">
        <v>1</v>
      </c>
      <c r="D1009" t="s">
        <v>23629</v>
      </c>
      <c r="E1009" t="s">
        <v>23632</v>
      </c>
    </row>
    <row r="1010" spans="1:5" x14ac:dyDescent="0.25">
      <c r="A1010" s="130" t="str">
        <f>LEFT(B1010,1)</f>
        <v>C</v>
      </c>
      <c r="B1010" t="s">
        <v>24643</v>
      </c>
      <c r="C1010">
        <v>1</v>
      </c>
      <c r="D1010" t="s">
        <v>23629</v>
      </c>
      <c r="E1010" t="s">
        <v>23632</v>
      </c>
    </row>
    <row r="1011" spans="1:5" x14ac:dyDescent="0.25">
      <c r="A1011" s="130" t="str">
        <f>LEFT(B1011,1)</f>
        <v>C</v>
      </c>
      <c r="B1011" t="s">
        <v>24661</v>
      </c>
      <c r="C1011">
        <v>1</v>
      </c>
      <c r="D1011" t="s">
        <v>23629</v>
      </c>
      <c r="E1011" t="s">
        <v>23632</v>
      </c>
    </row>
    <row r="1012" spans="1:5" x14ac:dyDescent="0.25">
      <c r="A1012" s="130" t="s">
        <v>24205</v>
      </c>
      <c r="B1012" t="s">
        <v>24435</v>
      </c>
      <c r="C1012">
        <v>1</v>
      </c>
      <c r="D1012" t="s">
        <v>23629</v>
      </c>
      <c r="E1012" t="s">
        <v>23632</v>
      </c>
    </row>
    <row r="1013" spans="1:5" x14ac:dyDescent="0.25">
      <c r="A1013" s="130" t="str">
        <f>LEFT(B1013,1)</f>
        <v>C</v>
      </c>
      <c r="B1013" t="s">
        <v>28404</v>
      </c>
      <c r="C1013">
        <v>1</v>
      </c>
      <c r="D1013" t="s">
        <v>23629</v>
      </c>
      <c r="E1013" t="s">
        <v>23632</v>
      </c>
    </row>
    <row r="1014" spans="1:5" x14ac:dyDescent="0.25">
      <c r="A1014" s="130" t="s">
        <v>24205</v>
      </c>
      <c r="B1014" t="s">
        <v>24436</v>
      </c>
      <c r="C1014">
        <v>1</v>
      </c>
      <c r="D1014" t="s">
        <v>23629</v>
      </c>
      <c r="E1014" t="s">
        <v>23632</v>
      </c>
    </row>
    <row r="1015" spans="1:5" x14ac:dyDescent="0.25">
      <c r="A1015" s="130" t="s">
        <v>24205</v>
      </c>
      <c r="B1015" t="s">
        <v>24437</v>
      </c>
      <c r="C1015">
        <v>1</v>
      </c>
      <c r="D1015" t="s">
        <v>23629</v>
      </c>
      <c r="E1015" t="s">
        <v>23632</v>
      </c>
    </row>
    <row r="1016" spans="1:5" x14ac:dyDescent="0.25">
      <c r="A1016" s="131" t="str">
        <f>LEFT((B1016),1)</f>
        <v>C</v>
      </c>
      <c r="B1016" t="s">
        <v>24438</v>
      </c>
      <c r="C1016">
        <v>1</v>
      </c>
      <c r="D1016" t="s">
        <v>23629</v>
      </c>
      <c r="E1016" t="s">
        <v>23632</v>
      </c>
    </row>
    <row r="1017" spans="1:5" x14ac:dyDescent="0.25">
      <c r="A1017" s="130" t="str">
        <f>LEFT(B1017,1)</f>
        <v>C</v>
      </c>
      <c r="B1017" t="s">
        <v>28405</v>
      </c>
      <c r="C1017">
        <v>1</v>
      </c>
      <c r="D1017" t="s">
        <v>23629</v>
      </c>
      <c r="E1017" t="s">
        <v>23632</v>
      </c>
    </row>
    <row r="1018" spans="1:5" x14ac:dyDescent="0.25">
      <c r="A1018" s="131" t="s">
        <v>24205</v>
      </c>
      <c r="B1018" t="s">
        <v>24439</v>
      </c>
      <c r="C1018">
        <v>1</v>
      </c>
      <c r="D1018" t="s">
        <v>23629</v>
      </c>
      <c r="E1018" t="s">
        <v>23632</v>
      </c>
    </row>
    <row r="1019" spans="1:5" x14ac:dyDescent="0.25">
      <c r="A1019" s="131" t="str">
        <f>LEFT(B1019,1)</f>
        <v>C</v>
      </c>
      <c r="B1019" t="s">
        <v>24624</v>
      </c>
      <c r="C1019">
        <v>1</v>
      </c>
      <c r="D1019" t="s">
        <v>23629</v>
      </c>
      <c r="E1019" t="s">
        <v>23632</v>
      </c>
    </row>
    <row r="1020" spans="1:5" x14ac:dyDescent="0.25">
      <c r="A1020" s="130" t="s">
        <v>24205</v>
      </c>
      <c r="B1020" t="s">
        <v>24431</v>
      </c>
      <c r="C1020">
        <v>1.1000000000000001</v>
      </c>
      <c r="D1020" t="s">
        <v>24432</v>
      </c>
      <c r="E1020" t="s">
        <v>23632</v>
      </c>
    </row>
    <row r="1021" spans="1:5" x14ac:dyDescent="0.25">
      <c r="A1021" s="131" t="s">
        <v>24205</v>
      </c>
      <c r="B1021" t="s">
        <v>24441</v>
      </c>
      <c r="C1021">
        <v>1</v>
      </c>
      <c r="D1021" t="s">
        <v>23629</v>
      </c>
      <c r="E1021" t="s">
        <v>23632</v>
      </c>
    </row>
    <row r="1022" spans="1:5" x14ac:dyDescent="0.25">
      <c r="A1022" s="130" t="s">
        <v>24205</v>
      </c>
      <c r="B1022" t="s">
        <v>24442</v>
      </c>
      <c r="C1022">
        <v>1</v>
      </c>
      <c r="D1022" t="s">
        <v>23629</v>
      </c>
      <c r="E1022" t="s">
        <v>23632</v>
      </c>
    </row>
    <row r="1023" spans="1:5" x14ac:dyDescent="0.25">
      <c r="A1023" s="131" t="s">
        <v>24205</v>
      </c>
      <c r="B1023" t="s">
        <v>24443</v>
      </c>
      <c r="C1023">
        <v>1</v>
      </c>
      <c r="D1023" t="s">
        <v>23629</v>
      </c>
      <c r="E1023" t="s">
        <v>23632</v>
      </c>
    </row>
    <row r="1024" spans="1:5" x14ac:dyDescent="0.25">
      <c r="A1024" s="130" t="str">
        <f>LEFT(B1024,1)</f>
        <v>C</v>
      </c>
      <c r="B1024" t="s">
        <v>28406</v>
      </c>
      <c r="C1024">
        <v>1</v>
      </c>
      <c r="D1024" t="s">
        <v>23629</v>
      </c>
      <c r="E1024" t="s">
        <v>23632</v>
      </c>
    </row>
    <row r="1025" spans="1:5" x14ac:dyDescent="0.25">
      <c r="A1025" s="130" t="s">
        <v>24205</v>
      </c>
      <c r="B1025" t="s">
        <v>24444</v>
      </c>
      <c r="C1025">
        <v>1</v>
      </c>
      <c r="D1025" t="s">
        <v>25606</v>
      </c>
      <c r="E1025" t="s">
        <v>23632</v>
      </c>
    </row>
    <row r="1026" spans="1:5" x14ac:dyDescent="0.25">
      <c r="A1026" s="130" t="str">
        <f>LEFT(B1026,1)</f>
        <v>C</v>
      </c>
      <c r="B1026" t="s">
        <v>28984</v>
      </c>
      <c r="C1026">
        <v>1</v>
      </c>
      <c r="D1026" t="s">
        <v>23629</v>
      </c>
      <c r="E1026" t="s">
        <v>23632</v>
      </c>
    </row>
    <row r="1027" spans="1:5" x14ac:dyDescent="0.25">
      <c r="A1027" s="130" t="str">
        <f>LEFT((B1027),1)</f>
        <v>C</v>
      </c>
      <c r="B1027" t="s">
        <v>24445</v>
      </c>
      <c r="C1027">
        <v>1</v>
      </c>
      <c r="D1027" t="s">
        <v>23629</v>
      </c>
      <c r="E1027" t="s">
        <v>23632</v>
      </c>
    </row>
    <row r="1028" spans="1:5" x14ac:dyDescent="0.25">
      <c r="A1028" s="130" t="str">
        <f>LEFT(B1028,1)</f>
        <v>C</v>
      </c>
      <c r="B1028" t="s">
        <v>28985</v>
      </c>
      <c r="C1028">
        <v>1</v>
      </c>
      <c r="D1028" t="s">
        <v>23629</v>
      </c>
      <c r="E1028" t="s">
        <v>23632</v>
      </c>
    </row>
    <row r="1029" spans="1:5" x14ac:dyDescent="0.25">
      <c r="A1029" s="131" t="s">
        <v>24205</v>
      </c>
      <c r="B1029" t="s">
        <v>24446</v>
      </c>
      <c r="C1029">
        <v>1</v>
      </c>
      <c r="D1029" t="s">
        <v>23629</v>
      </c>
      <c r="E1029" t="s">
        <v>23632</v>
      </c>
    </row>
    <row r="1030" spans="1:5" x14ac:dyDescent="0.25">
      <c r="A1030" s="130" t="str">
        <f>LEFT(B1030,1)</f>
        <v>C</v>
      </c>
      <c r="B1030" t="s">
        <v>28718</v>
      </c>
      <c r="C1030">
        <v>1</v>
      </c>
      <c r="D1030" t="s">
        <v>23629</v>
      </c>
      <c r="E1030" t="s">
        <v>23632</v>
      </c>
    </row>
    <row r="1031" spans="1:5" x14ac:dyDescent="0.25">
      <c r="A1031" s="130" t="s">
        <v>24205</v>
      </c>
      <c r="B1031" t="s">
        <v>24447</v>
      </c>
      <c r="C1031">
        <v>1</v>
      </c>
      <c r="D1031" t="s">
        <v>23629</v>
      </c>
      <c r="E1031" t="s">
        <v>23632</v>
      </c>
    </row>
    <row r="1032" spans="1:5" x14ac:dyDescent="0.25">
      <c r="A1032" s="130" t="s">
        <v>24205</v>
      </c>
      <c r="B1032" t="s">
        <v>24448</v>
      </c>
      <c r="C1032">
        <v>1</v>
      </c>
      <c r="D1032" t="s">
        <v>23629</v>
      </c>
      <c r="E1032" t="s">
        <v>23632</v>
      </c>
    </row>
    <row r="1033" spans="1:5" x14ac:dyDescent="0.25">
      <c r="A1033" s="130" t="str">
        <f>LEFT(B1033,1)</f>
        <v>C</v>
      </c>
      <c r="B1033" t="s">
        <v>29206</v>
      </c>
      <c r="C1033">
        <v>1</v>
      </c>
      <c r="D1033" t="s">
        <v>23629</v>
      </c>
      <c r="E1033" t="s">
        <v>23632</v>
      </c>
    </row>
    <row r="1034" spans="1:5" x14ac:dyDescent="0.25">
      <c r="A1034" s="131" t="s">
        <v>24205</v>
      </c>
      <c r="B1034" t="s">
        <v>24449</v>
      </c>
      <c r="C1034">
        <v>1</v>
      </c>
      <c r="D1034" t="s">
        <v>23629</v>
      </c>
      <c r="E1034" t="s">
        <v>23632</v>
      </c>
    </row>
    <row r="1035" spans="1:5" x14ac:dyDescent="0.25">
      <c r="A1035" s="130" t="s">
        <v>24205</v>
      </c>
      <c r="B1035" t="s">
        <v>24450</v>
      </c>
      <c r="C1035">
        <v>1</v>
      </c>
      <c r="D1035" t="s">
        <v>23629</v>
      </c>
      <c r="E1035" t="s">
        <v>23632</v>
      </c>
    </row>
    <row r="1036" spans="1:5" x14ac:dyDescent="0.25">
      <c r="A1036" s="130" t="str">
        <f>LEFT(B1036,1)</f>
        <v>C</v>
      </c>
      <c r="B1036" t="s">
        <v>29207</v>
      </c>
      <c r="C1036">
        <v>1</v>
      </c>
      <c r="D1036" t="s">
        <v>23629</v>
      </c>
      <c r="E1036" t="s">
        <v>23632</v>
      </c>
    </row>
    <row r="1037" spans="1:5" x14ac:dyDescent="0.25">
      <c r="A1037" s="131" t="str">
        <f>LEFT((B1037),1)</f>
        <v>C</v>
      </c>
      <c r="B1037" t="s">
        <v>24451</v>
      </c>
      <c r="C1037">
        <v>1</v>
      </c>
      <c r="D1037" t="s">
        <v>23629</v>
      </c>
      <c r="E1037" t="s">
        <v>23632</v>
      </c>
    </row>
    <row r="1038" spans="1:5" x14ac:dyDescent="0.25">
      <c r="A1038" s="130" t="str">
        <f>LEFT(B1038,1)</f>
        <v>C</v>
      </c>
      <c r="B1038" t="s">
        <v>28719</v>
      </c>
      <c r="C1038">
        <v>1</v>
      </c>
      <c r="D1038" t="s">
        <v>23629</v>
      </c>
      <c r="E1038" t="s">
        <v>23632</v>
      </c>
    </row>
    <row r="1039" spans="1:5" x14ac:dyDescent="0.25">
      <c r="A1039" s="131" t="s">
        <v>24205</v>
      </c>
      <c r="B1039" t="s">
        <v>24452</v>
      </c>
      <c r="C1039">
        <v>1</v>
      </c>
      <c r="D1039" t="s">
        <v>23629</v>
      </c>
      <c r="E1039" t="s">
        <v>23632</v>
      </c>
    </row>
    <row r="1040" spans="1:5" x14ac:dyDescent="0.25">
      <c r="A1040" s="130" t="str">
        <f>LEFT(B1040,1)</f>
        <v>C</v>
      </c>
      <c r="B1040" t="s">
        <v>29208</v>
      </c>
      <c r="C1040">
        <v>1</v>
      </c>
      <c r="D1040" t="s">
        <v>23629</v>
      </c>
      <c r="E1040" t="s">
        <v>23632</v>
      </c>
    </row>
    <row r="1041" spans="1:5" x14ac:dyDescent="0.25">
      <c r="A1041" s="130" t="str">
        <f>LEFT(B1041,1)</f>
        <v>C</v>
      </c>
      <c r="B1041" t="s">
        <v>29209</v>
      </c>
      <c r="C1041">
        <v>1</v>
      </c>
      <c r="D1041" t="s">
        <v>23629</v>
      </c>
      <c r="E1041" t="s">
        <v>23632</v>
      </c>
    </row>
    <row r="1042" spans="1:5" x14ac:dyDescent="0.25">
      <c r="A1042" s="131" t="s">
        <v>24205</v>
      </c>
      <c r="B1042" t="s">
        <v>24453</v>
      </c>
      <c r="C1042">
        <v>1</v>
      </c>
      <c r="D1042" t="s">
        <v>23629</v>
      </c>
      <c r="E1042" t="s">
        <v>23632</v>
      </c>
    </row>
    <row r="1043" spans="1:5" x14ac:dyDescent="0.25">
      <c r="A1043" s="130" t="str">
        <f>LEFT(B1043,1)</f>
        <v>C</v>
      </c>
      <c r="B1043" t="s">
        <v>28720</v>
      </c>
      <c r="C1043">
        <v>1</v>
      </c>
      <c r="D1043" t="s">
        <v>23629</v>
      </c>
      <c r="E1043" t="s">
        <v>23632</v>
      </c>
    </row>
    <row r="1044" spans="1:5" x14ac:dyDescent="0.25">
      <c r="A1044" s="131" t="s">
        <v>24205</v>
      </c>
      <c r="B1044" t="s">
        <v>24454</v>
      </c>
      <c r="C1044">
        <v>1</v>
      </c>
      <c r="D1044" t="s">
        <v>23629</v>
      </c>
      <c r="E1044" t="s">
        <v>23632</v>
      </c>
    </row>
    <row r="1045" spans="1:5" x14ac:dyDescent="0.25">
      <c r="A1045" s="131" t="s">
        <v>24205</v>
      </c>
      <c r="B1045" t="s">
        <v>24455</v>
      </c>
      <c r="C1045">
        <v>1</v>
      </c>
      <c r="D1045" t="s">
        <v>23629</v>
      </c>
      <c r="E1045" t="s">
        <v>23632</v>
      </c>
    </row>
    <row r="1046" spans="1:5" x14ac:dyDescent="0.25">
      <c r="A1046" s="130" t="s">
        <v>24205</v>
      </c>
      <c r="B1046" t="s">
        <v>24456</v>
      </c>
      <c r="C1046">
        <v>1</v>
      </c>
      <c r="D1046" t="s">
        <v>23629</v>
      </c>
      <c r="E1046" t="s">
        <v>23632</v>
      </c>
    </row>
    <row r="1047" spans="1:5" x14ac:dyDescent="0.25">
      <c r="A1047" s="130" t="str">
        <f>LEFT(B1047,1)</f>
        <v>C</v>
      </c>
      <c r="B1047" t="s">
        <v>24644</v>
      </c>
      <c r="C1047">
        <v>1</v>
      </c>
      <c r="D1047" t="s">
        <v>23629</v>
      </c>
      <c r="E1047" t="s">
        <v>23632</v>
      </c>
    </row>
    <row r="1048" spans="1:5" x14ac:dyDescent="0.25">
      <c r="A1048" s="130" t="s">
        <v>24205</v>
      </c>
      <c r="B1048" t="s">
        <v>24457</v>
      </c>
      <c r="C1048">
        <v>1</v>
      </c>
      <c r="D1048" t="s">
        <v>23629</v>
      </c>
      <c r="E1048" t="s">
        <v>23632</v>
      </c>
    </row>
    <row r="1049" spans="1:5" x14ac:dyDescent="0.25">
      <c r="A1049" s="130" t="str">
        <f>LEFT(B1049,1)</f>
        <v>C</v>
      </c>
      <c r="B1049" t="s">
        <v>29210</v>
      </c>
      <c r="C1049">
        <v>1</v>
      </c>
      <c r="D1049" t="s">
        <v>23629</v>
      </c>
      <c r="E1049" t="s">
        <v>23632</v>
      </c>
    </row>
    <row r="1050" spans="1:5" x14ac:dyDescent="0.25">
      <c r="A1050" s="131" t="s">
        <v>24205</v>
      </c>
      <c r="B1050" t="s">
        <v>24458</v>
      </c>
      <c r="C1050">
        <v>1</v>
      </c>
      <c r="D1050" t="s">
        <v>23629</v>
      </c>
      <c r="E1050" t="s">
        <v>23632</v>
      </c>
    </row>
    <row r="1051" spans="1:5" x14ac:dyDescent="0.25">
      <c r="A1051" s="130" t="s">
        <v>24205</v>
      </c>
      <c r="B1051" t="s">
        <v>24459</v>
      </c>
      <c r="C1051">
        <v>1</v>
      </c>
      <c r="D1051" t="s">
        <v>23629</v>
      </c>
      <c r="E1051" t="s">
        <v>23632</v>
      </c>
    </row>
    <row r="1052" spans="1:5" x14ac:dyDescent="0.25">
      <c r="A1052" s="130" t="str">
        <f>LEFT(B1052,1)</f>
        <v>C</v>
      </c>
      <c r="B1052" t="s">
        <v>28407</v>
      </c>
      <c r="C1052">
        <v>1</v>
      </c>
      <c r="D1052" t="s">
        <v>23629</v>
      </c>
      <c r="E1052" t="s">
        <v>23632</v>
      </c>
    </row>
    <row r="1053" spans="1:5" x14ac:dyDescent="0.25">
      <c r="A1053" s="131" t="s">
        <v>24205</v>
      </c>
      <c r="B1053" t="s">
        <v>24460</v>
      </c>
      <c r="C1053">
        <v>1</v>
      </c>
      <c r="D1053" t="s">
        <v>23629</v>
      </c>
      <c r="E1053" t="s">
        <v>23632</v>
      </c>
    </row>
    <row r="1054" spans="1:5" x14ac:dyDescent="0.25">
      <c r="A1054" s="130" t="str">
        <f>LEFT(B1054,1)</f>
        <v>C</v>
      </c>
      <c r="B1054" t="s">
        <v>28408</v>
      </c>
      <c r="C1054">
        <v>1</v>
      </c>
      <c r="D1054" t="s">
        <v>23629</v>
      </c>
      <c r="E1054" t="s">
        <v>23632</v>
      </c>
    </row>
    <row r="1055" spans="1:5" x14ac:dyDescent="0.25">
      <c r="A1055" s="130" t="str">
        <f>LEFT(B1055,1)</f>
        <v>C</v>
      </c>
      <c r="B1055" t="s">
        <v>28409</v>
      </c>
      <c r="C1055">
        <v>1</v>
      </c>
      <c r="D1055" t="s">
        <v>23629</v>
      </c>
      <c r="E1055" t="s">
        <v>23632</v>
      </c>
    </row>
    <row r="1056" spans="1:5" x14ac:dyDescent="0.25">
      <c r="A1056" s="130" t="str">
        <f>LEFT(B1056,1)</f>
        <v>C</v>
      </c>
      <c r="B1056" t="s">
        <v>28986</v>
      </c>
      <c r="C1056">
        <v>1</v>
      </c>
      <c r="D1056" t="s">
        <v>23629</v>
      </c>
      <c r="E1056" t="s">
        <v>23632</v>
      </c>
    </row>
    <row r="1057" spans="1:5" x14ac:dyDescent="0.25">
      <c r="A1057" s="130" t="s">
        <v>24205</v>
      </c>
      <c r="B1057" t="s">
        <v>24461</v>
      </c>
      <c r="C1057">
        <v>1</v>
      </c>
      <c r="D1057" t="s">
        <v>23629</v>
      </c>
      <c r="E1057" t="s">
        <v>23632</v>
      </c>
    </row>
    <row r="1058" spans="1:5" x14ac:dyDescent="0.25">
      <c r="A1058" s="131" t="str">
        <f>LEFT(B1058,1)</f>
        <v>C</v>
      </c>
      <c r="B1058" t="s">
        <v>24662</v>
      </c>
      <c r="C1058">
        <v>1</v>
      </c>
      <c r="D1058" t="s">
        <v>23629</v>
      </c>
      <c r="E1058" t="s">
        <v>23632</v>
      </c>
    </row>
    <row r="1059" spans="1:5" x14ac:dyDescent="0.25">
      <c r="A1059" s="131" t="s">
        <v>24205</v>
      </c>
      <c r="B1059" t="s">
        <v>24462</v>
      </c>
      <c r="C1059">
        <v>1</v>
      </c>
      <c r="D1059" t="s">
        <v>23629</v>
      </c>
      <c r="E1059" t="s">
        <v>23632</v>
      </c>
    </row>
    <row r="1060" spans="1:5" x14ac:dyDescent="0.25">
      <c r="A1060" s="130" t="s">
        <v>24205</v>
      </c>
      <c r="B1060" t="s">
        <v>24463</v>
      </c>
      <c r="C1060">
        <v>1</v>
      </c>
      <c r="D1060" t="s">
        <v>23629</v>
      </c>
      <c r="E1060" t="s">
        <v>23632</v>
      </c>
    </row>
    <row r="1061" spans="1:5" x14ac:dyDescent="0.25">
      <c r="A1061" s="131" t="s">
        <v>24205</v>
      </c>
      <c r="B1061" t="s">
        <v>24464</v>
      </c>
      <c r="C1061">
        <v>1</v>
      </c>
      <c r="D1061" t="s">
        <v>23629</v>
      </c>
      <c r="E1061" t="s">
        <v>23632</v>
      </c>
    </row>
    <row r="1062" spans="1:5" x14ac:dyDescent="0.25">
      <c r="A1062" s="130" t="s">
        <v>24205</v>
      </c>
      <c r="B1062" t="s">
        <v>24465</v>
      </c>
      <c r="C1062">
        <v>1</v>
      </c>
      <c r="D1062" t="s">
        <v>23629</v>
      </c>
      <c r="E1062" t="s">
        <v>23632</v>
      </c>
    </row>
    <row r="1063" spans="1:5" x14ac:dyDescent="0.25">
      <c r="A1063" s="131" t="s">
        <v>24205</v>
      </c>
      <c r="B1063" t="s">
        <v>24466</v>
      </c>
      <c r="C1063">
        <v>1</v>
      </c>
      <c r="D1063" t="s">
        <v>23629</v>
      </c>
      <c r="E1063" t="s">
        <v>23632</v>
      </c>
    </row>
    <row r="1064" spans="1:5" x14ac:dyDescent="0.25">
      <c r="A1064" s="130" t="str">
        <f>LEFT(B1064,1)</f>
        <v>C</v>
      </c>
      <c r="B1064" t="s">
        <v>28721</v>
      </c>
      <c r="C1064">
        <v>1</v>
      </c>
      <c r="D1064" t="s">
        <v>23629</v>
      </c>
      <c r="E1064" t="s">
        <v>23632</v>
      </c>
    </row>
    <row r="1065" spans="1:5" x14ac:dyDescent="0.25">
      <c r="A1065" s="130" t="str">
        <f>LEFT(B1065,1)</f>
        <v>C</v>
      </c>
      <c r="B1065" t="s">
        <v>28410</v>
      </c>
      <c r="C1065">
        <v>1</v>
      </c>
      <c r="D1065" t="s">
        <v>23629</v>
      </c>
      <c r="E1065" t="s">
        <v>23632</v>
      </c>
    </row>
    <row r="1066" spans="1:5" x14ac:dyDescent="0.25">
      <c r="A1066" s="130" t="s">
        <v>24205</v>
      </c>
      <c r="B1066" t="s">
        <v>24467</v>
      </c>
      <c r="C1066">
        <v>1</v>
      </c>
      <c r="D1066" t="s">
        <v>23629</v>
      </c>
      <c r="E1066" t="s">
        <v>23632</v>
      </c>
    </row>
    <row r="1067" spans="1:5" x14ac:dyDescent="0.25">
      <c r="A1067" s="130" t="str">
        <f>LEFT(B1067,1)</f>
        <v>C</v>
      </c>
      <c r="B1067" t="s">
        <v>24663</v>
      </c>
      <c r="C1067">
        <v>1</v>
      </c>
      <c r="D1067" t="s">
        <v>23629</v>
      </c>
      <c r="E1067" t="s">
        <v>23632</v>
      </c>
    </row>
    <row r="1068" spans="1:5" x14ac:dyDescent="0.25">
      <c r="A1068" s="131" t="s">
        <v>24205</v>
      </c>
      <c r="B1068" t="s">
        <v>24468</v>
      </c>
      <c r="C1068">
        <v>1</v>
      </c>
      <c r="D1068" t="s">
        <v>23629</v>
      </c>
      <c r="E1068" t="s">
        <v>23632</v>
      </c>
    </row>
    <row r="1069" spans="1:5" x14ac:dyDescent="0.25">
      <c r="A1069" s="130" t="s">
        <v>24205</v>
      </c>
      <c r="B1069" t="s">
        <v>24469</v>
      </c>
      <c r="C1069">
        <v>1</v>
      </c>
      <c r="D1069" t="s">
        <v>23629</v>
      </c>
      <c r="E1069" t="s">
        <v>23632</v>
      </c>
    </row>
    <row r="1070" spans="1:5" x14ac:dyDescent="0.25">
      <c r="A1070" s="131" t="str">
        <f>LEFT(B1070,1)</f>
        <v>C</v>
      </c>
      <c r="B1070" t="s">
        <v>24664</v>
      </c>
      <c r="C1070">
        <v>1</v>
      </c>
      <c r="D1070" t="s">
        <v>23629</v>
      </c>
      <c r="E1070" t="s">
        <v>23632</v>
      </c>
    </row>
    <row r="1071" spans="1:5" x14ac:dyDescent="0.25">
      <c r="A1071" s="130" t="str">
        <f>LEFT(B1071,1)</f>
        <v>C</v>
      </c>
      <c r="B1071" t="s">
        <v>28411</v>
      </c>
      <c r="C1071">
        <v>1</v>
      </c>
      <c r="D1071" t="s">
        <v>23629</v>
      </c>
      <c r="E1071" t="s">
        <v>23632</v>
      </c>
    </row>
    <row r="1072" spans="1:5" x14ac:dyDescent="0.25">
      <c r="A1072" s="130" t="str">
        <f>LEFT(B1072,1)</f>
        <v>C</v>
      </c>
      <c r="B1072" t="s">
        <v>24645</v>
      </c>
      <c r="C1072">
        <v>1</v>
      </c>
      <c r="D1072" t="s">
        <v>23629</v>
      </c>
      <c r="E1072" t="s">
        <v>23632</v>
      </c>
    </row>
    <row r="1073" spans="1:5" x14ac:dyDescent="0.25">
      <c r="A1073" s="131" t="s">
        <v>24205</v>
      </c>
      <c r="B1073" t="s">
        <v>24470</v>
      </c>
      <c r="C1073">
        <v>1</v>
      </c>
      <c r="D1073" t="s">
        <v>23629</v>
      </c>
      <c r="E1073" t="s">
        <v>23632</v>
      </c>
    </row>
    <row r="1074" spans="1:5" x14ac:dyDescent="0.25">
      <c r="A1074" s="131" t="s">
        <v>24205</v>
      </c>
      <c r="B1074" t="s">
        <v>24471</v>
      </c>
      <c r="C1074">
        <v>1</v>
      </c>
      <c r="D1074" t="s">
        <v>23629</v>
      </c>
      <c r="E1074" t="s">
        <v>23632</v>
      </c>
    </row>
    <row r="1075" spans="1:5" x14ac:dyDescent="0.25">
      <c r="A1075" s="130" t="s">
        <v>24205</v>
      </c>
      <c r="B1075" t="s">
        <v>24472</v>
      </c>
      <c r="C1075">
        <v>1</v>
      </c>
      <c r="D1075" t="s">
        <v>23629</v>
      </c>
      <c r="E1075" t="s">
        <v>23632</v>
      </c>
    </row>
    <row r="1076" spans="1:5" x14ac:dyDescent="0.25">
      <c r="A1076" s="130" t="s">
        <v>24205</v>
      </c>
      <c r="B1076" t="s">
        <v>24473</v>
      </c>
      <c r="C1076">
        <v>1</v>
      </c>
      <c r="D1076" t="s">
        <v>23629</v>
      </c>
      <c r="E1076" t="s">
        <v>23632</v>
      </c>
    </row>
    <row r="1077" spans="1:5" x14ac:dyDescent="0.25">
      <c r="A1077" s="130" t="str">
        <f>LEFT(B1077,1)</f>
        <v>C</v>
      </c>
      <c r="B1077" t="s">
        <v>29211</v>
      </c>
      <c r="C1077">
        <v>1</v>
      </c>
      <c r="D1077" t="s">
        <v>23629</v>
      </c>
      <c r="E1077" t="s">
        <v>23632</v>
      </c>
    </row>
    <row r="1078" spans="1:5" x14ac:dyDescent="0.25">
      <c r="A1078" s="130" t="str">
        <f>LEFT(B1078,1)</f>
        <v>C</v>
      </c>
      <c r="B1078" t="s">
        <v>28987</v>
      </c>
      <c r="C1078">
        <v>1</v>
      </c>
      <c r="D1078" t="s">
        <v>23629</v>
      </c>
      <c r="E1078" t="s">
        <v>23632</v>
      </c>
    </row>
    <row r="1079" spans="1:5" x14ac:dyDescent="0.25">
      <c r="A1079" s="130" t="str">
        <f>LEFT(B1079,1)</f>
        <v>C</v>
      </c>
      <c r="B1079" t="s">
        <v>28722</v>
      </c>
      <c r="C1079">
        <v>1</v>
      </c>
      <c r="D1079" t="s">
        <v>23629</v>
      </c>
      <c r="E1079" t="s">
        <v>23632</v>
      </c>
    </row>
    <row r="1080" spans="1:5" x14ac:dyDescent="0.25">
      <c r="A1080" s="131" t="s">
        <v>24205</v>
      </c>
      <c r="B1080" t="s">
        <v>24474</v>
      </c>
      <c r="C1080">
        <v>1</v>
      </c>
      <c r="D1080" t="s">
        <v>23629</v>
      </c>
      <c r="E1080" t="s">
        <v>23632</v>
      </c>
    </row>
    <row r="1081" spans="1:5" x14ac:dyDescent="0.25">
      <c r="A1081" s="131" t="s">
        <v>24205</v>
      </c>
      <c r="B1081" t="s">
        <v>24475</v>
      </c>
      <c r="C1081">
        <v>1</v>
      </c>
      <c r="D1081" t="s">
        <v>23629</v>
      </c>
      <c r="E1081" t="s">
        <v>23632</v>
      </c>
    </row>
    <row r="1082" spans="1:5" x14ac:dyDescent="0.25">
      <c r="A1082" s="130" t="s">
        <v>24205</v>
      </c>
      <c r="B1082" t="s">
        <v>24476</v>
      </c>
      <c r="C1082">
        <v>1</v>
      </c>
      <c r="D1082" t="s">
        <v>23629</v>
      </c>
      <c r="E1082" t="s">
        <v>23632</v>
      </c>
    </row>
    <row r="1083" spans="1:5" x14ac:dyDescent="0.25">
      <c r="A1083" s="131" t="s">
        <v>24205</v>
      </c>
      <c r="B1083" t="s">
        <v>24477</v>
      </c>
      <c r="C1083">
        <v>1</v>
      </c>
      <c r="D1083" t="s">
        <v>23629</v>
      </c>
      <c r="E1083" t="s">
        <v>23632</v>
      </c>
    </row>
    <row r="1084" spans="1:5" x14ac:dyDescent="0.25">
      <c r="A1084" s="131" t="s">
        <v>24205</v>
      </c>
      <c r="B1084" t="s">
        <v>24478</v>
      </c>
      <c r="C1084">
        <v>1</v>
      </c>
      <c r="D1084" t="s">
        <v>23629</v>
      </c>
      <c r="E1084" t="s">
        <v>23632</v>
      </c>
    </row>
    <row r="1085" spans="1:5" x14ac:dyDescent="0.25">
      <c r="A1085" s="130" t="str">
        <f>LEFT((B1085),1)</f>
        <v>C</v>
      </c>
      <c r="B1085" t="s">
        <v>24479</v>
      </c>
      <c r="C1085">
        <v>1</v>
      </c>
      <c r="D1085" t="s">
        <v>23629</v>
      </c>
      <c r="E1085" t="s">
        <v>23632</v>
      </c>
    </row>
    <row r="1086" spans="1:5" x14ac:dyDescent="0.25">
      <c r="A1086" s="130" t="s">
        <v>24205</v>
      </c>
      <c r="B1086" t="s">
        <v>24480</v>
      </c>
      <c r="C1086">
        <v>1</v>
      </c>
      <c r="D1086" t="s">
        <v>23629</v>
      </c>
      <c r="E1086" t="s">
        <v>23632</v>
      </c>
    </row>
    <row r="1087" spans="1:5" x14ac:dyDescent="0.25">
      <c r="A1087" s="131" t="s">
        <v>24205</v>
      </c>
      <c r="B1087" t="s">
        <v>24481</v>
      </c>
      <c r="C1087">
        <v>1</v>
      </c>
      <c r="D1087" t="s">
        <v>23629</v>
      </c>
      <c r="E1087" t="s">
        <v>23632</v>
      </c>
    </row>
    <row r="1088" spans="1:5" x14ac:dyDescent="0.25">
      <c r="A1088" s="130" t="s">
        <v>24205</v>
      </c>
      <c r="B1088" t="s">
        <v>24482</v>
      </c>
      <c r="C1088">
        <v>1</v>
      </c>
      <c r="D1088" t="s">
        <v>23629</v>
      </c>
      <c r="E1088" t="s">
        <v>23632</v>
      </c>
    </row>
    <row r="1089" spans="1:5" x14ac:dyDescent="0.25">
      <c r="A1089" s="130" t="str">
        <f>LEFT(B1089,1)</f>
        <v>C</v>
      </c>
      <c r="B1089" t="s">
        <v>29212</v>
      </c>
      <c r="C1089">
        <v>1</v>
      </c>
      <c r="D1089" t="s">
        <v>23629</v>
      </c>
      <c r="E1089" t="s">
        <v>23632</v>
      </c>
    </row>
    <row r="1090" spans="1:5" x14ac:dyDescent="0.25">
      <c r="A1090" s="131" t="s">
        <v>24205</v>
      </c>
      <c r="B1090" t="s">
        <v>24483</v>
      </c>
      <c r="C1090">
        <v>1</v>
      </c>
      <c r="D1090" t="s">
        <v>23629</v>
      </c>
      <c r="E1090" t="s">
        <v>23632</v>
      </c>
    </row>
    <row r="1091" spans="1:5" x14ac:dyDescent="0.25">
      <c r="A1091" s="130" t="s">
        <v>24205</v>
      </c>
      <c r="B1091" t="s">
        <v>24484</v>
      </c>
      <c r="C1091">
        <v>1</v>
      </c>
      <c r="D1091" t="s">
        <v>23629</v>
      </c>
      <c r="E1091" t="s">
        <v>23632</v>
      </c>
    </row>
    <row r="1092" spans="1:5" x14ac:dyDescent="0.25">
      <c r="A1092" s="130" t="str">
        <f>LEFT(B1092,1)</f>
        <v>C</v>
      </c>
      <c r="B1092" t="s">
        <v>28412</v>
      </c>
      <c r="C1092">
        <v>1</v>
      </c>
      <c r="D1092" t="s">
        <v>23629</v>
      </c>
      <c r="E1092" t="s">
        <v>23632</v>
      </c>
    </row>
    <row r="1093" spans="1:5" x14ac:dyDescent="0.25">
      <c r="A1093" s="131" t="s">
        <v>24205</v>
      </c>
      <c r="B1093" t="s">
        <v>24485</v>
      </c>
      <c r="C1093">
        <v>1</v>
      </c>
      <c r="D1093" t="s">
        <v>23629</v>
      </c>
      <c r="E1093" t="s">
        <v>23632</v>
      </c>
    </row>
    <row r="1094" spans="1:5" x14ac:dyDescent="0.25">
      <c r="A1094" s="130" t="s">
        <v>24205</v>
      </c>
      <c r="B1094" t="s">
        <v>24486</v>
      </c>
      <c r="C1094">
        <v>1</v>
      </c>
      <c r="D1094" t="s">
        <v>23629</v>
      </c>
      <c r="E1094" t="s">
        <v>23632</v>
      </c>
    </row>
    <row r="1095" spans="1:5" x14ac:dyDescent="0.25">
      <c r="A1095" s="130" t="str">
        <f>LEFT(B1095,1)</f>
        <v>C</v>
      </c>
      <c r="B1095" t="s">
        <v>28413</v>
      </c>
      <c r="C1095">
        <v>1</v>
      </c>
      <c r="D1095" t="s">
        <v>23629</v>
      </c>
      <c r="E1095" t="s">
        <v>23632</v>
      </c>
    </row>
    <row r="1096" spans="1:5" x14ac:dyDescent="0.25">
      <c r="A1096" s="131" t="s">
        <v>24205</v>
      </c>
      <c r="B1096" t="s">
        <v>24487</v>
      </c>
      <c r="C1096">
        <v>1</v>
      </c>
      <c r="D1096" t="s">
        <v>23629</v>
      </c>
      <c r="E1096" t="s">
        <v>23632</v>
      </c>
    </row>
    <row r="1097" spans="1:5" x14ac:dyDescent="0.25">
      <c r="A1097" s="130" t="str">
        <f>LEFT(B1097,1)</f>
        <v>C</v>
      </c>
      <c r="B1097" t="s">
        <v>28723</v>
      </c>
      <c r="C1097">
        <v>1</v>
      </c>
      <c r="D1097" t="s">
        <v>23629</v>
      </c>
      <c r="E1097" t="s">
        <v>23632</v>
      </c>
    </row>
    <row r="1098" spans="1:5" x14ac:dyDescent="0.25">
      <c r="A1098" s="131" t="s">
        <v>24205</v>
      </c>
      <c r="B1098" t="s">
        <v>24488</v>
      </c>
      <c r="C1098">
        <v>1</v>
      </c>
      <c r="D1098" t="s">
        <v>23629</v>
      </c>
      <c r="E1098" t="s">
        <v>23632</v>
      </c>
    </row>
    <row r="1099" spans="1:5" x14ac:dyDescent="0.25">
      <c r="A1099" s="130" t="str">
        <f>LEFT(B1099,1)</f>
        <v>C</v>
      </c>
      <c r="B1099" t="s">
        <v>28988</v>
      </c>
      <c r="C1099">
        <v>1</v>
      </c>
      <c r="D1099" t="s">
        <v>23629</v>
      </c>
      <c r="E1099" t="s">
        <v>23632</v>
      </c>
    </row>
    <row r="1100" spans="1:5" x14ac:dyDescent="0.25">
      <c r="A1100" s="130" t="str">
        <f>LEFT(B1100,1)</f>
        <v>C</v>
      </c>
      <c r="B1100" t="s">
        <v>28414</v>
      </c>
      <c r="C1100">
        <v>1</v>
      </c>
      <c r="D1100" t="s">
        <v>23629</v>
      </c>
      <c r="E1100" t="s">
        <v>23632</v>
      </c>
    </row>
    <row r="1101" spans="1:5" x14ac:dyDescent="0.25">
      <c r="A1101" s="130" t="str">
        <f>LEFT(B1101,1)</f>
        <v>C</v>
      </c>
      <c r="B1101" t="s">
        <v>28415</v>
      </c>
      <c r="C1101">
        <v>1</v>
      </c>
      <c r="D1101" t="s">
        <v>23629</v>
      </c>
      <c r="E1101" t="s">
        <v>23632</v>
      </c>
    </row>
    <row r="1102" spans="1:5" x14ac:dyDescent="0.25">
      <c r="A1102" s="130" t="str">
        <f>LEFT(B1102,1)</f>
        <v>C</v>
      </c>
      <c r="B1102" t="s">
        <v>28989</v>
      </c>
      <c r="C1102">
        <v>1</v>
      </c>
      <c r="D1102" t="s">
        <v>23629</v>
      </c>
      <c r="E1102" t="s">
        <v>23632</v>
      </c>
    </row>
    <row r="1103" spans="1:5" x14ac:dyDescent="0.25">
      <c r="A1103" s="130" t="str">
        <f>LEFT(B1103,1)</f>
        <v>C</v>
      </c>
      <c r="B1103" t="s">
        <v>28724</v>
      </c>
      <c r="C1103">
        <v>1</v>
      </c>
      <c r="D1103" t="s">
        <v>23629</v>
      </c>
      <c r="E1103" t="s">
        <v>23632</v>
      </c>
    </row>
    <row r="1104" spans="1:5" x14ac:dyDescent="0.25">
      <c r="A1104" s="130" t="s">
        <v>24205</v>
      </c>
      <c r="B1104" t="s">
        <v>24489</v>
      </c>
      <c r="C1104">
        <v>1</v>
      </c>
      <c r="D1104" t="s">
        <v>23629</v>
      </c>
      <c r="E1104" t="s">
        <v>23632</v>
      </c>
    </row>
    <row r="1105" spans="1:5" x14ac:dyDescent="0.25">
      <c r="A1105" s="130" t="str">
        <f>LEFT(B1105,1)</f>
        <v>C</v>
      </c>
      <c r="B1105" t="s">
        <v>29213</v>
      </c>
      <c r="C1105">
        <v>1</v>
      </c>
      <c r="D1105" t="s">
        <v>23629</v>
      </c>
      <c r="E1105" t="s">
        <v>23632</v>
      </c>
    </row>
    <row r="1106" spans="1:5" x14ac:dyDescent="0.25">
      <c r="A1106" s="131" t="s">
        <v>24205</v>
      </c>
      <c r="B1106" t="s">
        <v>24490</v>
      </c>
      <c r="C1106">
        <v>1</v>
      </c>
      <c r="D1106" t="s">
        <v>23629</v>
      </c>
      <c r="E1106" t="s">
        <v>23632</v>
      </c>
    </row>
    <row r="1107" spans="1:5" x14ac:dyDescent="0.25">
      <c r="A1107" s="130" t="str">
        <f>LEFT(B1107,1)</f>
        <v>C</v>
      </c>
      <c r="B1107" t="s">
        <v>24625</v>
      </c>
      <c r="C1107">
        <v>1</v>
      </c>
      <c r="D1107" t="s">
        <v>23629</v>
      </c>
      <c r="E1107" t="s">
        <v>23632</v>
      </c>
    </row>
    <row r="1108" spans="1:5" x14ac:dyDescent="0.25">
      <c r="A1108" s="130" t="str">
        <f>LEFT(B1108,1)</f>
        <v>C</v>
      </c>
      <c r="B1108" t="s">
        <v>28416</v>
      </c>
      <c r="C1108">
        <v>1</v>
      </c>
      <c r="D1108" t="s">
        <v>23629</v>
      </c>
      <c r="E1108" t="s">
        <v>23632</v>
      </c>
    </row>
    <row r="1109" spans="1:5" x14ac:dyDescent="0.25">
      <c r="A1109" s="130" t="str">
        <f>LEFT(B1109,1)</f>
        <v>C</v>
      </c>
      <c r="B1109" t="s">
        <v>28990</v>
      </c>
      <c r="C1109">
        <v>1</v>
      </c>
      <c r="D1109" t="s">
        <v>23629</v>
      </c>
      <c r="E1109" t="s">
        <v>23632</v>
      </c>
    </row>
    <row r="1110" spans="1:5" x14ac:dyDescent="0.25">
      <c r="A1110" s="130" t="str">
        <f>LEFT(B1110,1)</f>
        <v>C</v>
      </c>
      <c r="B1110" t="s">
        <v>28725</v>
      </c>
      <c r="C1110">
        <v>1</v>
      </c>
      <c r="D1110" t="s">
        <v>23629</v>
      </c>
      <c r="E1110" t="s">
        <v>23632</v>
      </c>
    </row>
    <row r="1111" spans="1:5" x14ac:dyDescent="0.25">
      <c r="A1111" s="131" t="s">
        <v>24205</v>
      </c>
      <c r="B1111" t="s">
        <v>24491</v>
      </c>
      <c r="C1111">
        <v>1</v>
      </c>
      <c r="D1111" t="s">
        <v>23629</v>
      </c>
      <c r="E1111" t="s">
        <v>23632</v>
      </c>
    </row>
    <row r="1112" spans="1:5" x14ac:dyDescent="0.25">
      <c r="A1112" s="131" t="s">
        <v>24205</v>
      </c>
      <c r="B1112" t="s">
        <v>24492</v>
      </c>
      <c r="C1112">
        <v>1</v>
      </c>
      <c r="D1112" t="s">
        <v>23629</v>
      </c>
      <c r="E1112" t="s">
        <v>23632</v>
      </c>
    </row>
    <row r="1113" spans="1:5" x14ac:dyDescent="0.25">
      <c r="A1113" s="130" t="s">
        <v>24205</v>
      </c>
      <c r="B1113" t="s">
        <v>24493</v>
      </c>
      <c r="C1113">
        <v>1</v>
      </c>
      <c r="D1113" t="s">
        <v>23629</v>
      </c>
      <c r="E1113" t="s">
        <v>23632</v>
      </c>
    </row>
    <row r="1114" spans="1:5" x14ac:dyDescent="0.25">
      <c r="A1114" s="131" t="s">
        <v>24205</v>
      </c>
      <c r="B1114" t="s">
        <v>24494</v>
      </c>
      <c r="C1114">
        <v>1</v>
      </c>
      <c r="D1114" t="s">
        <v>23629</v>
      </c>
      <c r="E1114" t="s">
        <v>23632</v>
      </c>
    </row>
    <row r="1115" spans="1:5" x14ac:dyDescent="0.25">
      <c r="A1115" s="130" t="s">
        <v>24205</v>
      </c>
      <c r="B1115" t="s">
        <v>24495</v>
      </c>
      <c r="C1115">
        <v>1</v>
      </c>
      <c r="D1115" t="s">
        <v>23629</v>
      </c>
      <c r="E1115" t="s">
        <v>23632</v>
      </c>
    </row>
    <row r="1116" spans="1:5" x14ac:dyDescent="0.25">
      <c r="A1116" s="131" t="s">
        <v>24205</v>
      </c>
      <c r="B1116" t="s">
        <v>24496</v>
      </c>
      <c r="C1116">
        <v>1</v>
      </c>
      <c r="D1116" t="s">
        <v>23629</v>
      </c>
      <c r="E1116" t="s">
        <v>23632</v>
      </c>
    </row>
    <row r="1117" spans="1:5" x14ac:dyDescent="0.25">
      <c r="A1117" s="130" t="s">
        <v>24205</v>
      </c>
      <c r="B1117" t="s">
        <v>24497</v>
      </c>
      <c r="C1117">
        <v>1</v>
      </c>
      <c r="D1117" t="s">
        <v>23629</v>
      </c>
      <c r="E1117" t="s">
        <v>23632</v>
      </c>
    </row>
    <row r="1118" spans="1:5" x14ac:dyDescent="0.25">
      <c r="A1118" s="130" t="s">
        <v>24205</v>
      </c>
      <c r="B1118" t="s">
        <v>24498</v>
      </c>
      <c r="C1118">
        <v>1</v>
      </c>
      <c r="D1118" t="s">
        <v>23629</v>
      </c>
      <c r="E1118" t="s">
        <v>23632</v>
      </c>
    </row>
    <row r="1119" spans="1:5" x14ac:dyDescent="0.25">
      <c r="A1119" s="130" t="str">
        <f>LEFT(B1119,1)</f>
        <v>C</v>
      </c>
      <c r="B1119" t="s">
        <v>28726</v>
      </c>
      <c r="C1119">
        <v>1</v>
      </c>
      <c r="D1119" t="s">
        <v>23629</v>
      </c>
      <c r="E1119" t="s">
        <v>23632</v>
      </c>
    </row>
    <row r="1120" spans="1:5" x14ac:dyDescent="0.25">
      <c r="A1120" s="131" t="s">
        <v>24205</v>
      </c>
      <c r="B1120" t="s">
        <v>24499</v>
      </c>
      <c r="C1120">
        <v>1</v>
      </c>
      <c r="D1120" t="s">
        <v>23629</v>
      </c>
      <c r="E1120" t="s">
        <v>23632</v>
      </c>
    </row>
    <row r="1121" spans="1:5" x14ac:dyDescent="0.25">
      <c r="A1121" s="131" t="str">
        <f>LEFT((B1121),1)</f>
        <v>C</v>
      </c>
      <c r="B1121" t="s">
        <v>24500</v>
      </c>
      <c r="C1121">
        <v>1</v>
      </c>
      <c r="D1121" t="s">
        <v>23629</v>
      </c>
      <c r="E1121" t="s">
        <v>23632</v>
      </c>
    </row>
    <row r="1122" spans="1:5" x14ac:dyDescent="0.25">
      <c r="A1122" s="131" t="str">
        <f>LEFT(B1122,1)</f>
        <v>C</v>
      </c>
      <c r="B1122" t="s">
        <v>24626</v>
      </c>
      <c r="C1122">
        <v>1</v>
      </c>
      <c r="D1122" t="s">
        <v>23629</v>
      </c>
      <c r="E1122" t="s">
        <v>23632</v>
      </c>
    </row>
    <row r="1123" spans="1:5" x14ac:dyDescent="0.25">
      <c r="A1123" s="130" t="str">
        <f>LEFT(B1123,1)</f>
        <v>C</v>
      </c>
      <c r="B1123" t="s">
        <v>28991</v>
      </c>
      <c r="C1123">
        <v>1</v>
      </c>
      <c r="D1123" t="s">
        <v>23629</v>
      </c>
      <c r="E1123" t="s">
        <v>23632</v>
      </c>
    </row>
    <row r="1124" spans="1:5" x14ac:dyDescent="0.25">
      <c r="A1124" s="130" t="s">
        <v>24205</v>
      </c>
      <c r="B1124" t="s">
        <v>24501</v>
      </c>
      <c r="C1124">
        <v>1.1000000000000001</v>
      </c>
      <c r="D1124" t="s">
        <v>23629</v>
      </c>
      <c r="E1124" t="s">
        <v>23632</v>
      </c>
    </row>
    <row r="1125" spans="1:5" x14ac:dyDescent="0.25">
      <c r="A1125" s="130" t="s">
        <v>24205</v>
      </c>
      <c r="B1125" t="s">
        <v>24502</v>
      </c>
      <c r="C1125">
        <v>1</v>
      </c>
      <c r="D1125" t="s">
        <v>23629</v>
      </c>
      <c r="E1125" t="s">
        <v>23632</v>
      </c>
    </row>
    <row r="1126" spans="1:5" x14ac:dyDescent="0.25">
      <c r="A1126" s="130" t="str">
        <f>LEFT(B1126,1)</f>
        <v>C</v>
      </c>
      <c r="B1126" t="s">
        <v>28417</v>
      </c>
      <c r="C1126">
        <v>1</v>
      </c>
      <c r="D1126" t="s">
        <v>23629</v>
      </c>
      <c r="E1126" t="s">
        <v>23632</v>
      </c>
    </row>
    <row r="1127" spans="1:5" x14ac:dyDescent="0.25">
      <c r="A1127" s="131" t="s">
        <v>24205</v>
      </c>
      <c r="B1127" t="s">
        <v>24503</v>
      </c>
      <c r="C1127">
        <v>1</v>
      </c>
      <c r="D1127" t="s">
        <v>23629</v>
      </c>
      <c r="E1127" t="s">
        <v>23632</v>
      </c>
    </row>
    <row r="1128" spans="1:5" x14ac:dyDescent="0.25">
      <c r="A1128" s="130" t="s">
        <v>24205</v>
      </c>
      <c r="B1128" t="s">
        <v>24504</v>
      </c>
      <c r="C1128">
        <v>1</v>
      </c>
      <c r="D1128" t="s">
        <v>23629</v>
      </c>
      <c r="E1128" t="s">
        <v>23632</v>
      </c>
    </row>
    <row r="1129" spans="1:5" x14ac:dyDescent="0.25">
      <c r="A1129" s="131" t="s">
        <v>24205</v>
      </c>
      <c r="B1129" t="s">
        <v>24505</v>
      </c>
      <c r="C1129">
        <v>1</v>
      </c>
      <c r="D1129" t="s">
        <v>23629</v>
      </c>
      <c r="E1129" t="s">
        <v>23632</v>
      </c>
    </row>
    <row r="1130" spans="1:5" x14ac:dyDescent="0.25">
      <c r="A1130" s="130" t="str">
        <f>LEFT((B1130),1)</f>
        <v>C</v>
      </c>
      <c r="B1130" t="s">
        <v>24506</v>
      </c>
      <c r="C1130">
        <v>1</v>
      </c>
      <c r="D1130" t="s">
        <v>23629</v>
      </c>
      <c r="E1130" t="s">
        <v>23632</v>
      </c>
    </row>
    <row r="1131" spans="1:5" x14ac:dyDescent="0.25">
      <c r="A1131" s="131" t="s">
        <v>24205</v>
      </c>
      <c r="B1131" t="s">
        <v>24507</v>
      </c>
      <c r="C1131">
        <v>1</v>
      </c>
      <c r="D1131" t="s">
        <v>23629</v>
      </c>
      <c r="E1131" t="s">
        <v>23632</v>
      </c>
    </row>
    <row r="1132" spans="1:5" x14ac:dyDescent="0.25">
      <c r="A1132" s="130" t="s">
        <v>24205</v>
      </c>
      <c r="B1132" t="s">
        <v>24508</v>
      </c>
      <c r="C1132">
        <v>1</v>
      </c>
      <c r="D1132" t="s">
        <v>23629</v>
      </c>
      <c r="E1132" t="s">
        <v>23632</v>
      </c>
    </row>
    <row r="1133" spans="1:5" x14ac:dyDescent="0.25">
      <c r="A1133" s="131" t="s">
        <v>24205</v>
      </c>
      <c r="B1133" t="s">
        <v>24509</v>
      </c>
      <c r="C1133">
        <v>1</v>
      </c>
      <c r="D1133" t="s">
        <v>23629</v>
      </c>
      <c r="E1133" t="s">
        <v>23632</v>
      </c>
    </row>
    <row r="1134" spans="1:5" x14ac:dyDescent="0.25">
      <c r="A1134" s="131" t="str">
        <f>LEFT((B1134),1)</f>
        <v>C</v>
      </c>
      <c r="B1134" t="s">
        <v>24510</v>
      </c>
      <c r="C1134">
        <v>1</v>
      </c>
      <c r="D1134" t="s">
        <v>23629</v>
      </c>
      <c r="E1134" t="s">
        <v>23632</v>
      </c>
    </row>
    <row r="1135" spans="1:5" x14ac:dyDescent="0.25">
      <c r="A1135" s="131" t="s">
        <v>24205</v>
      </c>
      <c r="B1135" t="s">
        <v>24511</v>
      </c>
      <c r="C1135">
        <v>1</v>
      </c>
      <c r="D1135" t="s">
        <v>23629</v>
      </c>
      <c r="E1135" t="s">
        <v>23632</v>
      </c>
    </row>
    <row r="1136" spans="1:5" x14ac:dyDescent="0.25">
      <c r="A1136" s="130" t="str">
        <f>LEFT(B1136,1)</f>
        <v>C</v>
      </c>
      <c r="B1136" t="s">
        <v>28992</v>
      </c>
      <c r="C1136">
        <v>1</v>
      </c>
      <c r="D1136" t="s">
        <v>23629</v>
      </c>
      <c r="E1136" t="s">
        <v>23632</v>
      </c>
    </row>
    <row r="1137" spans="1:5" x14ac:dyDescent="0.25">
      <c r="A1137" s="131" t="s">
        <v>24205</v>
      </c>
      <c r="B1137" t="s">
        <v>24512</v>
      </c>
      <c r="C1137">
        <v>1</v>
      </c>
      <c r="D1137" t="s">
        <v>23629</v>
      </c>
      <c r="E1137" t="s">
        <v>23632</v>
      </c>
    </row>
    <row r="1138" spans="1:5" x14ac:dyDescent="0.25">
      <c r="A1138" s="130" t="str">
        <f>LEFT((B1138),1)</f>
        <v>C</v>
      </c>
      <c r="B1138" t="s">
        <v>24513</v>
      </c>
      <c r="C1138">
        <v>1</v>
      </c>
      <c r="D1138" t="s">
        <v>23629</v>
      </c>
      <c r="E1138" t="s">
        <v>23632</v>
      </c>
    </row>
    <row r="1139" spans="1:5" x14ac:dyDescent="0.25">
      <c r="A1139" s="130" t="str">
        <f>LEFT(B1139,1)</f>
        <v>C</v>
      </c>
      <c r="B1139" t="s">
        <v>24627</v>
      </c>
      <c r="C1139">
        <v>1</v>
      </c>
      <c r="D1139" t="s">
        <v>23629</v>
      </c>
      <c r="E1139" t="s">
        <v>23632</v>
      </c>
    </row>
    <row r="1140" spans="1:5" x14ac:dyDescent="0.25">
      <c r="A1140" s="131" t="s">
        <v>24205</v>
      </c>
      <c r="B1140" t="s">
        <v>24514</v>
      </c>
      <c r="C1140">
        <v>1</v>
      </c>
      <c r="D1140" t="s">
        <v>23629</v>
      </c>
      <c r="E1140" t="s">
        <v>23632</v>
      </c>
    </row>
    <row r="1141" spans="1:5" x14ac:dyDescent="0.25">
      <c r="A1141" s="130" t="s">
        <v>24205</v>
      </c>
      <c r="B1141" t="s">
        <v>24515</v>
      </c>
      <c r="C1141">
        <v>1</v>
      </c>
      <c r="D1141" t="s">
        <v>23629</v>
      </c>
      <c r="E1141" t="s">
        <v>23632</v>
      </c>
    </row>
    <row r="1142" spans="1:5" x14ac:dyDescent="0.25">
      <c r="A1142" s="131" t="s">
        <v>24205</v>
      </c>
      <c r="B1142" t="s">
        <v>24516</v>
      </c>
      <c r="C1142">
        <v>1</v>
      </c>
      <c r="D1142" t="s">
        <v>23629</v>
      </c>
      <c r="E1142" t="s">
        <v>23632</v>
      </c>
    </row>
    <row r="1143" spans="1:5" x14ac:dyDescent="0.25">
      <c r="A1143" s="131" t="str">
        <f>LEFT(B1143,1)</f>
        <v>C</v>
      </c>
      <c r="B1143" t="s">
        <v>24628</v>
      </c>
      <c r="C1143">
        <v>1</v>
      </c>
      <c r="D1143" t="s">
        <v>23629</v>
      </c>
      <c r="E1143" t="s">
        <v>23632</v>
      </c>
    </row>
    <row r="1144" spans="1:5" x14ac:dyDescent="0.25">
      <c r="A1144" s="131" t="s">
        <v>24205</v>
      </c>
      <c r="B1144" t="s">
        <v>24517</v>
      </c>
      <c r="C1144">
        <v>1</v>
      </c>
      <c r="D1144" t="s">
        <v>23629</v>
      </c>
      <c r="E1144" t="s">
        <v>23632</v>
      </c>
    </row>
    <row r="1145" spans="1:5" x14ac:dyDescent="0.25">
      <c r="A1145" s="130" t="s">
        <v>24205</v>
      </c>
      <c r="B1145" t="s">
        <v>24518</v>
      </c>
      <c r="C1145">
        <v>1</v>
      </c>
      <c r="D1145" t="s">
        <v>23629</v>
      </c>
      <c r="E1145" t="s">
        <v>23632</v>
      </c>
    </row>
    <row r="1146" spans="1:5" x14ac:dyDescent="0.25">
      <c r="A1146" s="130" t="str">
        <f>LEFT(B1146,1)</f>
        <v>C</v>
      </c>
      <c r="B1146" t="s">
        <v>28993</v>
      </c>
      <c r="C1146">
        <v>1</v>
      </c>
      <c r="D1146" t="s">
        <v>23629</v>
      </c>
      <c r="E1146" t="s">
        <v>23632</v>
      </c>
    </row>
    <row r="1147" spans="1:5" x14ac:dyDescent="0.25">
      <c r="A1147" s="131" t="s">
        <v>24205</v>
      </c>
      <c r="B1147" t="s">
        <v>24519</v>
      </c>
      <c r="C1147">
        <v>1</v>
      </c>
      <c r="D1147" t="s">
        <v>23629</v>
      </c>
      <c r="E1147" t="s">
        <v>23632</v>
      </c>
    </row>
    <row r="1148" spans="1:5" x14ac:dyDescent="0.25">
      <c r="A1148" s="130" t="s">
        <v>24205</v>
      </c>
      <c r="B1148" t="s">
        <v>24520</v>
      </c>
      <c r="C1148">
        <v>1</v>
      </c>
      <c r="D1148" t="s">
        <v>23629</v>
      </c>
      <c r="E1148" t="s">
        <v>23632</v>
      </c>
    </row>
    <row r="1149" spans="1:5" x14ac:dyDescent="0.25">
      <c r="A1149" s="131" t="s">
        <v>24205</v>
      </c>
      <c r="B1149" t="s">
        <v>24521</v>
      </c>
      <c r="C1149">
        <v>1</v>
      </c>
      <c r="D1149" t="s">
        <v>23629</v>
      </c>
      <c r="E1149" t="s">
        <v>23632</v>
      </c>
    </row>
    <row r="1150" spans="1:5" x14ac:dyDescent="0.25">
      <c r="A1150" s="130" t="str">
        <f>LEFT(B1150,1)</f>
        <v>C</v>
      </c>
      <c r="B1150" t="s">
        <v>28727</v>
      </c>
      <c r="C1150">
        <v>1</v>
      </c>
      <c r="D1150" t="s">
        <v>23629</v>
      </c>
      <c r="E1150" t="s">
        <v>23632</v>
      </c>
    </row>
    <row r="1151" spans="1:5" x14ac:dyDescent="0.25">
      <c r="A1151" s="130" t="str">
        <f>LEFT(B1151,1)</f>
        <v>C</v>
      </c>
      <c r="B1151" t="s">
        <v>28418</v>
      </c>
      <c r="C1151">
        <v>1</v>
      </c>
      <c r="D1151" t="s">
        <v>23629</v>
      </c>
      <c r="E1151" t="s">
        <v>23632</v>
      </c>
    </row>
    <row r="1152" spans="1:5" x14ac:dyDescent="0.25">
      <c r="A1152" s="130" t="s">
        <v>24205</v>
      </c>
      <c r="B1152" t="s">
        <v>24522</v>
      </c>
      <c r="C1152">
        <v>1</v>
      </c>
      <c r="D1152" t="s">
        <v>23629</v>
      </c>
      <c r="E1152" t="s">
        <v>23632</v>
      </c>
    </row>
    <row r="1153" spans="1:5" x14ac:dyDescent="0.25">
      <c r="A1153" s="130" t="str">
        <f>LEFT(B1153,1)</f>
        <v>C</v>
      </c>
      <c r="B1153" t="s">
        <v>28419</v>
      </c>
      <c r="C1153">
        <v>1</v>
      </c>
      <c r="D1153" t="s">
        <v>23629</v>
      </c>
      <c r="E1153" t="s">
        <v>23632</v>
      </c>
    </row>
    <row r="1154" spans="1:5" x14ac:dyDescent="0.25">
      <c r="A1154" s="130" t="str">
        <f>LEFT(B1154,1)</f>
        <v>C</v>
      </c>
      <c r="B1154" t="s">
        <v>28420</v>
      </c>
      <c r="C1154">
        <v>1</v>
      </c>
      <c r="D1154" t="s">
        <v>23629</v>
      </c>
      <c r="E1154" t="s">
        <v>23632</v>
      </c>
    </row>
    <row r="1155" spans="1:5" x14ac:dyDescent="0.25">
      <c r="A1155" s="130" t="str">
        <f>LEFT(B1155,1)</f>
        <v>C</v>
      </c>
      <c r="B1155" t="s">
        <v>28421</v>
      </c>
      <c r="C1155">
        <v>1</v>
      </c>
      <c r="D1155" t="s">
        <v>23629</v>
      </c>
      <c r="E1155" t="s">
        <v>23632</v>
      </c>
    </row>
    <row r="1156" spans="1:5" x14ac:dyDescent="0.25">
      <c r="A1156" s="130" t="s">
        <v>24205</v>
      </c>
      <c r="B1156" t="s">
        <v>24523</v>
      </c>
      <c r="C1156">
        <v>1</v>
      </c>
      <c r="D1156" t="s">
        <v>23629</v>
      </c>
      <c r="E1156" t="s">
        <v>23632</v>
      </c>
    </row>
    <row r="1157" spans="1:5" x14ac:dyDescent="0.25">
      <c r="A1157" s="131" t="s">
        <v>24205</v>
      </c>
      <c r="B1157" t="s">
        <v>24524</v>
      </c>
      <c r="C1157">
        <v>1</v>
      </c>
      <c r="D1157" t="s">
        <v>23629</v>
      </c>
      <c r="E1157" t="s">
        <v>23632</v>
      </c>
    </row>
    <row r="1158" spans="1:5" x14ac:dyDescent="0.25">
      <c r="A1158" s="130" t="s">
        <v>24205</v>
      </c>
      <c r="B1158" t="s">
        <v>24525</v>
      </c>
      <c r="C1158">
        <v>1</v>
      </c>
      <c r="D1158" t="s">
        <v>23629</v>
      </c>
      <c r="E1158" t="s">
        <v>23632</v>
      </c>
    </row>
    <row r="1159" spans="1:5" x14ac:dyDescent="0.25">
      <c r="A1159" s="130" t="s">
        <v>24205</v>
      </c>
      <c r="B1159" t="s">
        <v>24526</v>
      </c>
      <c r="C1159">
        <v>1</v>
      </c>
      <c r="D1159" t="s">
        <v>23629</v>
      </c>
      <c r="E1159" t="s">
        <v>23632</v>
      </c>
    </row>
    <row r="1160" spans="1:5" x14ac:dyDescent="0.25">
      <c r="A1160" s="130" t="str">
        <f>LEFT(B1160,1)</f>
        <v>C</v>
      </c>
      <c r="B1160" t="s">
        <v>28994</v>
      </c>
      <c r="C1160">
        <v>1</v>
      </c>
      <c r="D1160" t="s">
        <v>23629</v>
      </c>
      <c r="E1160" t="s">
        <v>23632</v>
      </c>
    </row>
    <row r="1161" spans="1:5" x14ac:dyDescent="0.25">
      <c r="A1161" s="130" t="s">
        <v>24205</v>
      </c>
      <c r="B1161" t="s">
        <v>24527</v>
      </c>
      <c r="C1161">
        <v>1</v>
      </c>
      <c r="D1161" t="s">
        <v>23629</v>
      </c>
      <c r="E1161" t="s">
        <v>23632</v>
      </c>
    </row>
    <row r="1162" spans="1:5" x14ac:dyDescent="0.25">
      <c r="A1162" s="131" t="s">
        <v>24205</v>
      </c>
      <c r="B1162" t="s">
        <v>24528</v>
      </c>
      <c r="C1162">
        <v>1</v>
      </c>
      <c r="D1162" t="s">
        <v>23629</v>
      </c>
      <c r="E1162" t="s">
        <v>23632</v>
      </c>
    </row>
    <row r="1163" spans="1:5" x14ac:dyDescent="0.25">
      <c r="A1163" s="130" t="s">
        <v>24205</v>
      </c>
      <c r="B1163" t="s">
        <v>24529</v>
      </c>
      <c r="C1163">
        <v>1</v>
      </c>
      <c r="D1163" t="s">
        <v>23629</v>
      </c>
      <c r="E1163" t="s">
        <v>23632</v>
      </c>
    </row>
    <row r="1164" spans="1:5" x14ac:dyDescent="0.25">
      <c r="A1164" s="131" t="s">
        <v>24205</v>
      </c>
      <c r="B1164" t="s">
        <v>24530</v>
      </c>
      <c r="C1164">
        <v>1</v>
      </c>
      <c r="D1164" t="s">
        <v>23629</v>
      </c>
      <c r="E1164" t="s">
        <v>23632</v>
      </c>
    </row>
    <row r="1165" spans="1:5" x14ac:dyDescent="0.25">
      <c r="A1165" s="131" t="s">
        <v>24205</v>
      </c>
      <c r="B1165" t="s">
        <v>24531</v>
      </c>
      <c r="C1165">
        <v>1</v>
      </c>
      <c r="D1165" t="s">
        <v>23629</v>
      </c>
      <c r="E1165" t="s">
        <v>23632</v>
      </c>
    </row>
    <row r="1166" spans="1:5" x14ac:dyDescent="0.25">
      <c r="A1166" s="130" t="s">
        <v>24205</v>
      </c>
      <c r="B1166" t="s">
        <v>24532</v>
      </c>
      <c r="C1166">
        <v>1</v>
      </c>
      <c r="D1166" t="s">
        <v>23629</v>
      </c>
      <c r="E1166" t="s">
        <v>23632</v>
      </c>
    </row>
    <row r="1167" spans="1:5" x14ac:dyDescent="0.25">
      <c r="A1167" s="131" t="s">
        <v>24205</v>
      </c>
      <c r="B1167" t="s">
        <v>24533</v>
      </c>
      <c r="C1167">
        <v>1</v>
      </c>
      <c r="D1167" t="s">
        <v>23629</v>
      </c>
      <c r="E1167" t="s">
        <v>23632</v>
      </c>
    </row>
    <row r="1168" spans="1:5" x14ac:dyDescent="0.25">
      <c r="A1168" s="130" t="s">
        <v>24205</v>
      </c>
      <c r="B1168" t="s">
        <v>24534</v>
      </c>
      <c r="C1168">
        <v>1</v>
      </c>
      <c r="D1168" t="s">
        <v>23629</v>
      </c>
      <c r="E1168" t="s">
        <v>23632</v>
      </c>
    </row>
    <row r="1169" spans="1:5" x14ac:dyDescent="0.25">
      <c r="A1169" s="130" t="str">
        <f>LEFT(B1169,1)</f>
        <v>C</v>
      </c>
      <c r="B1169" t="s">
        <v>24629</v>
      </c>
      <c r="C1169">
        <v>1</v>
      </c>
      <c r="D1169" t="s">
        <v>23629</v>
      </c>
      <c r="E1169" t="s">
        <v>23632</v>
      </c>
    </row>
    <row r="1170" spans="1:5" x14ac:dyDescent="0.25">
      <c r="A1170" s="131" t="s">
        <v>24205</v>
      </c>
      <c r="B1170" t="s">
        <v>24535</v>
      </c>
      <c r="C1170">
        <v>1</v>
      </c>
      <c r="D1170" t="s">
        <v>23629</v>
      </c>
      <c r="E1170" t="s">
        <v>23632</v>
      </c>
    </row>
    <row r="1171" spans="1:5" x14ac:dyDescent="0.25">
      <c r="A1171" s="131" t="s">
        <v>24205</v>
      </c>
      <c r="B1171" t="s">
        <v>24536</v>
      </c>
      <c r="C1171">
        <v>1</v>
      </c>
      <c r="D1171" t="s">
        <v>23629</v>
      </c>
      <c r="E1171" t="s">
        <v>23632</v>
      </c>
    </row>
    <row r="1172" spans="1:5" x14ac:dyDescent="0.25">
      <c r="A1172" s="130" t="s">
        <v>24205</v>
      </c>
      <c r="B1172" t="s">
        <v>24537</v>
      </c>
      <c r="C1172">
        <v>1</v>
      </c>
      <c r="D1172" t="s">
        <v>23629</v>
      </c>
      <c r="E1172" t="s">
        <v>23632</v>
      </c>
    </row>
    <row r="1173" spans="1:5" x14ac:dyDescent="0.25">
      <c r="A1173" s="131" t="str">
        <f>LEFT((B1173),1)</f>
        <v>C</v>
      </c>
      <c r="B1173" t="s">
        <v>24538</v>
      </c>
      <c r="C1173">
        <v>1</v>
      </c>
      <c r="D1173" t="s">
        <v>23629</v>
      </c>
      <c r="E1173" t="s">
        <v>23632</v>
      </c>
    </row>
    <row r="1174" spans="1:5" x14ac:dyDescent="0.25">
      <c r="A1174" s="130" t="str">
        <f>LEFT(B1174,1)</f>
        <v>C</v>
      </c>
      <c r="B1174" t="s">
        <v>28422</v>
      </c>
      <c r="C1174">
        <v>1</v>
      </c>
      <c r="D1174" t="s">
        <v>23629</v>
      </c>
      <c r="E1174" t="s">
        <v>23632</v>
      </c>
    </row>
    <row r="1175" spans="1:5" x14ac:dyDescent="0.25">
      <c r="A1175" s="130" t="str">
        <f>LEFT(B1175,1)</f>
        <v>C</v>
      </c>
      <c r="B1175" t="s">
        <v>28423</v>
      </c>
      <c r="C1175">
        <v>1</v>
      </c>
      <c r="D1175" t="s">
        <v>23629</v>
      </c>
      <c r="E1175" t="s">
        <v>23632</v>
      </c>
    </row>
    <row r="1176" spans="1:5" x14ac:dyDescent="0.25">
      <c r="A1176" s="130" t="s">
        <v>24205</v>
      </c>
      <c r="B1176" t="s">
        <v>24539</v>
      </c>
      <c r="C1176">
        <v>1</v>
      </c>
      <c r="D1176" t="s">
        <v>23629</v>
      </c>
      <c r="E1176" t="s">
        <v>23632</v>
      </c>
    </row>
    <row r="1177" spans="1:5" x14ac:dyDescent="0.25">
      <c r="A1177" s="130" t="str">
        <f>LEFT(B1177,1)</f>
        <v>C</v>
      </c>
      <c r="B1177" t="s">
        <v>24646</v>
      </c>
      <c r="C1177">
        <v>1</v>
      </c>
      <c r="D1177" t="s">
        <v>23629</v>
      </c>
      <c r="E1177" t="s">
        <v>23632</v>
      </c>
    </row>
    <row r="1178" spans="1:5" x14ac:dyDescent="0.25">
      <c r="A1178" s="130" t="str">
        <f>LEFT(B1178,1)</f>
        <v>C</v>
      </c>
      <c r="B1178" t="s">
        <v>28995</v>
      </c>
      <c r="C1178">
        <v>1</v>
      </c>
      <c r="D1178" t="s">
        <v>23629</v>
      </c>
      <c r="E1178" t="s">
        <v>23632</v>
      </c>
    </row>
    <row r="1179" spans="1:5" x14ac:dyDescent="0.25">
      <c r="A1179" s="131" t="s">
        <v>24205</v>
      </c>
      <c r="B1179" t="s">
        <v>24540</v>
      </c>
      <c r="C1179">
        <v>1</v>
      </c>
      <c r="D1179" t="s">
        <v>23629</v>
      </c>
      <c r="E1179" t="s">
        <v>23632</v>
      </c>
    </row>
    <row r="1180" spans="1:5" x14ac:dyDescent="0.25">
      <c r="A1180" s="130" t="str">
        <f>LEFT((B1180),1)</f>
        <v>C</v>
      </c>
      <c r="B1180" t="s">
        <v>24541</v>
      </c>
      <c r="C1180">
        <v>1</v>
      </c>
      <c r="D1180" t="s">
        <v>23629</v>
      </c>
      <c r="E1180" t="s">
        <v>23632</v>
      </c>
    </row>
    <row r="1181" spans="1:5" x14ac:dyDescent="0.25">
      <c r="A1181" s="130" t="s">
        <v>24205</v>
      </c>
      <c r="B1181" t="s">
        <v>24542</v>
      </c>
      <c r="C1181">
        <v>1</v>
      </c>
      <c r="D1181" t="s">
        <v>23629</v>
      </c>
      <c r="E1181" t="s">
        <v>23632</v>
      </c>
    </row>
    <row r="1182" spans="1:5" x14ac:dyDescent="0.25">
      <c r="A1182" s="131" t="s">
        <v>24205</v>
      </c>
      <c r="B1182" t="s">
        <v>24543</v>
      </c>
      <c r="C1182">
        <v>1</v>
      </c>
      <c r="D1182" t="s">
        <v>23629</v>
      </c>
      <c r="E1182" t="s">
        <v>23632</v>
      </c>
    </row>
    <row r="1183" spans="1:5" x14ac:dyDescent="0.25">
      <c r="A1183" s="131" t="s">
        <v>24205</v>
      </c>
      <c r="B1183" t="s">
        <v>24544</v>
      </c>
      <c r="C1183">
        <v>1</v>
      </c>
      <c r="D1183" t="s">
        <v>23629</v>
      </c>
      <c r="E1183" t="s">
        <v>23632</v>
      </c>
    </row>
    <row r="1184" spans="1:5" x14ac:dyDescent="0.25">
      <c r="A1184" s="130" t="str">
        <f>LEFT(B1184,1)</f>
        <v>C</v>
      </c>
      <c r="B1184" t="s">
        <v>24665</v>
      </c>
      <c r="C1184">
        <v>1</v>
      </c>
      <c r="D1184" t="s">
        <v>23629</v>
      </c>
      <c r="E1184" t="s">
        <v>23632</v>
      </c>
    </row>
    <row r="1185" spans="1:5" x14ac:dyDescent="0.25">
      <c r="A1185" s="130" t="s">
        <v>24205</v>
      </c>
      <c r="B1185" t="s">
        <v>24545</v>
      </c>
      <c r="C1185">
        <v>1</v>
      </c>
      <c r="D1185" t="s">
        <v>23629</v>
      </c>
      <c r="E1185" t="s">
        <v>23632</v>
      </c>
    </row>
    <row r="1186" spans="1:5" x14ac:dyDescent="0.25">
      <c r="A1186" s="131" t="s">
        <v>24205</v>
      </c>
      <c r="B1186" t="s">
        <v>24546</v>
      </c>
      <c r="C1186">
        <v>1</v>
      </c>
      <c r="D1186" t="s">
        <v>23629</v>
      </c>
      <c r="E1186" t="s">
        <v>23632</v>
      </c>
    </row>
    <row r="1187" spans="1:5" x14ac:dyDescent="0.25">
      <c r="A1187" s="130" t="s">
        <v>24205</v>
      </c>
      <c r="B1187" t="s">
        <v>24547</v>
      </c>
      <c r="C1187">
        <v>1</v>
      </c>
      <c r="D1187" t="s">
        <v>23629</v>
      </c>
      <c r="E1187" t="s">
        <v>23632</v>
      </c>
    </row>
    <row r="1188" spans="1:5" x14ac:dyDescent="0.25">
      <c r="A1188" s="131" t="s">
        <v>24205</v>
      </c>
      <c r="B1188" t="s">
        <v>24548</v>
      </c>
      <c r="C1188">
        <v>1</v>
      </c>
      <c r="D1188" t="s">
        <v>23629</v>
      </c>
      <c r="E1188" t="s">
        <v>23632</v>
      </c>
    </row>
    <row r="1189" spans="1:5" x14ac:dyDescent="0.25">
      <c r="A1189" s="131" t="str">
        <f>LEFT(B1189,1)</f>
        <v>C</v>
      </c>
      <c r="B1189" t="s">
        <v>24666</v>
      </c>
      <c r="C1189">
        <v>1</v>
      </c>
      <c r="D1189" t="s">
        <v>23629</v>
      </c>
      <c r="E1189" t="s">
        <v>23632</v>
      </c>
    </row>
    <row r="1190" spans="1:5" x14ac:dyDescent="0.25">
      <c r="A1190" s="130" t="str">
        <f>LEFT(B1190,1)</f>
        <v>C</v>
      </c>
      <c r="B1190" t="s">
        <v>28424</v>
      </c>
      <c r="C1190">
        <v>1.1100000000000001</v>
      </c>
      <c r="D1190" t="s">
        <v>23629</v>
      </c>
      <c r="E1190" t="s">
        <v>23881</v>
      </c>
    </row>
    <row r="1191" spans="1:5" x14ac:dyDescent="0.25">
      <c r="A1191" s="130" t="s">
        <v>24205</v>
      </c>
      <c r="B1191" t="s">
        <v>24549</v>
      </c>
      <c r="C1191">
        <v>1</v>
      </c>
      <c r="D1191" t="s">
        <v>23629</v>
      </c>
      <c r="E1191" t="s">
        <v>23632</v>
      </c>
    </row>
    <row r="1192" spans="1:5" x14ac:dyDescent="0.25">
      <c r="A1192" s="130" t="str">
        <f>LEFT(B1192,1)</f>
        <v>C</v>
      </c>
      <c r="B1192" t="s">
        <v>28425</v>
      </c>
      <c r="C1192">
        <v>1</v>
      </c>
      <c r="D1192" t="s">
        <v>27142</v>
      </c>
      <c r="E1192" t="s">
        <v>23632</v>
      </c>
    </row>
    <row r="1193" spans="1:5" x14ac:dyDescent="0.25">
      <c r="A1193" s="131" t="s">
        <v>24205</v>
      </c>
      <c r="B1193" t="s">
        <v>24550</v>
      </c>
      <c r="C1193">
        <v>1</v>
      </c>
      <c r="D1193" t="s">
        <v>23629</v>
      </c>
      <c r="E1193" t="s">
        <v>23632</v>
      </c>
    </row>
    <row r="1194" spans="1:5" x14ac:dyDescent="0.25">
      <c r="A1194" s="130" t="s">
        <v>24205</v>
      </c>
      <c r="B1194" t="s">
        <v>24551</v>
      </c>
      <c r="C1194">
        <v>1</v>
      </c>
      <c r="D1194" t="s">
        <v>23629</v>
      </c>
      <c r="E1194" t="s">
        <v>23632</v>
      </c>
    </row>
    <row r="1195" spans="1:5" x14ac:dyDescent="0.25">
      <c r="A1195" s="130" t="str">
        <f>LEFT(B1195,1)</f>
        <v>C</v>
      </c>
      <c r="B1195" t="s">
        <v>28426</v>
      </c>
      <c r="C1195">
        <v>1</v>
      </c>
      <c r="D1195" t="s">
        <v>23629</v>
      </c>
      <c r="E1195" t="s">
        <v>23632</v>
      </c>
    </row>
    <row r="1196" spans="1:5" x14ac:dyDescent="0.25">
      <c r="A1196" s="131" t="s">
        <v>24205</v>
      </c>
      <c r="B1196" t="s">
        <v>24552</v>
      </c>
      <c r="C1196">
        <v>1</v>
      </c>
      <c r="D1196" t="s">
        <v>23629</v>
      </c>
      <c r="E1196" t="s">
        <v>23632</v>
      </c>
    </row>
    <row r="1197" spans="1:5" x14ac:dyDescent="0.25">
      <c r="A1197" s="130" t="s">
        <v>24205</v>
      </c>
      <c r="B1197" t="s">
        <v>24553</v>
      </c>
      <c r="C1197">
        <v>1</v>
      </c>
      <c r="D1197" t="s">
        <v>23629</v>
      </c>
      <c r="E1197" t="s">
        <v>23632</v>
      </c>
    </row>
    <row r="1198" spans="1:5" x14ac:dyDescent="0.25">
      <c r="A1198" s="131" t="s">
        <v>24205</v>
      </c>
      <c r="B1198" t="s">
        <v>24554</v>
      </c>
      <c r="C1198">
        <v>1</v>
      </c>
      <c r="D1198" t="s">
        <v>23629</v>
      </c>
      <c r="E1198" t="s">
        <v>23632</v>
      </c>
    </row>
    <row r="1199" spans="1:5" x14ac:dyDescent="0.25">
      <c r="A1199" s="130" t="str">
        <f>LEFT(B1199,1)</f>
        <v>C</v>
      </c>
      <c r="B1199" t="s">
        <v>28728</v>
      </c>
      <c r="C1199">
        <v>1</v>
      </c>
      <c r="D1199" t="s">
        <v>23629</v>
      </c>
      <c r="E1199" t="s">
        <v>23632</v>
      </c>
    </row>
    <row r="1200" spans="1:5" x14ac:dyDescent="0.25">
      <c r="A1200" s="131" t="str">
        <f>LEFT((B1200),1)</f>
        <v>C</v>
      </c>
      <c r="B1200" t="s">
        <v>24555</v>
      </c>
      <c r="C1200">
        <v>1</v>
      </c>
      <c r="D1200" t="s">
        <v>23629</v>
      </c>
      <c r="E1200" t="s">
        <v>23632</v>
      </c>
    </row>
    <row r="1201" spans="1:5" x14ac:dyDescent="0.25">
      <c r="A1201" s="130" t="s">
        <v>24205</v>
      </c>
      <c r="B1201" t="s">
        <v>24556</v>
      </c>
      <c r="C1201">
        <v>1</v>
      </c>
      <c r="D1201" t="s">
        <v>23629</v>
      </c>
      <c r="E1201" t="s">
        <v>23632</v>
      </c>
    </row>
    <row r="1202" spans="1:5" x14ac:dyDescent="0.25">
      <c r="A1202" s="130" t="s">
        <v>24205</v>
      </c>
      <c r="B1202" t="s">
        <v>24557</v>
      </c>
      <c r="C1202">
        <v>1</v>
      </c>
      <c r="D1202" t="s">
        <v>23629</v>
      </c>
      <c r="E1202" t="s">
        <v>23632</v>
      </c>
    </row>
    <row r="1203" spans="1:5" x14ac:dyDescent="0.25">
      <c r="A1203" s="130" t="str">
        <f>LEFT((B1203),1)</f>
        <v>C</v>
      </c>
      <c r="B1203" t="s">
        <v>24558</v>
      </c>
      <c r="C1203">
        <v>1</v>
      </c>
      <c r="D1203" t="s">
        <v>23629</v>
      </c>
      <c r="E1203" t="s">
        <v>23632</v>
      </c>
    </row>
    <row r="1204" spans="1:5" x14ac:dyDescent="0.25">
      <c r="A1204" s="131" t="s">
        <v>24205</v>
      </c>
      <c r="B1204" t="s">
        <v>24559</v>
      </c>
      <c r="C1204">
        <v>1</v>
      </c>
      <c r="D1204" t="s">
        <v>23629</v>
      </c>
      <c r="E1204" t="s">
        <v>23632</v>
      </c>
    </row>
    <row r="1205" spans="1:5" x14ac:dyDescent="0.25">
      <c r="A1205" s="131" t="s">
        <v>24205</v>
      </c>
      <c r="B1205" t="s">
        <v>24560</v>
      </c>
      <c r="C1205">
        <v>1</v>
      </c>
      <c r="D1205" t="s">
        <v>23629</v>
      </c>
      <c r="E1205" t="s">
        <v>23632</v>
      </c>
    </row>
    <row r="1206" spans="1:5" x14ac:dyDescent="0.25">
      <c r="A1206" s="131" t="s">
        <v>24205</v>
      </c>
      <c r="B1206" t="s">
        <v>24561</v>
      </c>
      <c r="C1206">
        <v>1</v>
      </c>
      <c r="D1206" t="s">
        <v>23629</v>
      </c>
      <c r="E1206" t="s">
        <v>23632</v>
      </c>
    </row>
    <row r="1207" spans="1:5" x14ac:dyDescent="0.25">
      <c r="A1207" s="131" t="s">
        <v>24205</v>
      </c>
      <c r="B1207" t="s">
        <v>24562</v>
      </c>
      <c r="C1207">
        <v>1.06</v>
      </c>
      <c r="D1207" t="s">
        <v>23629</v>
      </c>
      <c r="E1207" t="s">
        <v>23632</v>
      </c>
    </row>
    <row r="1208" spans="1:5" x14ac:dyDescent="0.25">
      <c r="A1208" s="131" t="s">
        <v>24205</v>
      </c>
      <c r="B1208" t="s">
        <v>24563</v>
      </c>
      <c r="C1208">
        <v>1.2</v>
      </c>
      <c r="D1208" t="s">
        <v>23629</v>
      </c>
      <c r="E1208" t="s">
        <v>23632</v>
      </c>
    </row>
    <row r="1209" spans="1:5" x14ac:dyDescent="0.25">
      <c r="A1209" s="130" t="s">
        <v>24205</v>
      </c>
      <c r="B1209" t="s">
        <v>24564</v>
      </c>
      <c r="C1209">
        <v>1</v>
      </c>
      <c r="D1209" t="s">
        <v>23629</v>
      </c>
      <c r="E1209" t="s">
        <v>23632</v>
      </c>
    </row>
    <row r="1210" spans="1:5" x14ac:dyDescent="0.25">
      <c r="A1210" s="130" t="s">
        <v>24205</v>
      </c>
      <c r="B1210" t="s">
        <v>24565</v>
      </c>
      <c r="C1210">
        <v>1</v>
      </c>
      <c r="D1210" t="s">
        <v>23629</v>
      </c>
      <c r="E1210" t="s">
        <v>23632</v>
      </c>
    </row>
    <row r="1211" spans="1:5" x14ac:dyDescent="0.25">
      <c r="A1211" s="131" t="s">
        <v>24205</v>
      </c>
      <c r="B1211" t="s">
        <v>24566</v>
      </c>
      <c r="C1211">
        <v>1</v>
      </c>
      <c r="D1211" t="s">
        <v>23629</v>
      </c>
      <c r="E1211" t="s">
        <v>23632</v>
      </c>
    </row>
    <row r="1212" spans="1:5" x14ac:dyDescent="0.25">
      <c r="A1212" s="130" t="s">
        <v>24205</v>
      </c>
      <c r="B1212" t="s">
        <v>24567</v>
      </c>
      <c r="C1212">
        <v>1</v>
      </c>
      <c r="D1212" t="s">
        <v>23629</v>
      </c>
      <c r="E1212" t="s">
        <v>23632</v>
      </c>
    </row>
    <row r="1213" spans="1:5" x14ac:dyDescent="0.25">
      <c r="A1213" s="131" t="s">
        <v>24205</v>
      </c>
      <c r="B1213" t="s">
        <v>24568</v>
      </c>
      <c r="C1213">
        <v>1.1000000000000001</v>
      </c>
      <c r="D1213" t="s">
        <v>23629</v>
      </c>
      <c r="E1213" t="s">
        <v>23632</v>
      </c>
    </row>
    <row r="1214" spans="1:5" x14ac:dyDescent="0.25">
      <c r="A1214" s="130" t="str">
        <f>LEFT(B1214,1)</f>
        <v>C</v>
      </c>
      <c r="B1214" t="s">
        <v>28729</v>
      </c>
      <c r="C1214">
        <v>1</v>
      </c>
      <c r="D1214" t="s">
        <v>23629</v>
      </c>
      <c r="E1214" t="s">
        <v>23632</v>
      </c>
    </row>
    <row r="1215" spans="1:5" x14ac:dyDescent="0.25">
      <c r="A1215" s="130" t="str">
        <f>LEFT(B1215,1)</f>
        <v>C</v>
      </c>
      <c r="B1215" t="s">
        <v>28730</v>
      </c>
      <c r="C1215">
        <v>1</v>
      </c>
      <c r="D1215" t="s">
        <v>23629</v>
      </c>
      <c r="E1215" t="s">
        <v>23632</v>
      </c>
    </row>
    <row r="1216" spans="1:5" x14ac:dyDescent="0.25">
      <c r="A1216" s="130" t="str">
        <f>LEFT(B1216,1)</f>
        <v>C</v>
      </c>
      <c r="B1216" t="s">
        <v>28731</v>
      </c>
      <c r="C1216">
        <v>1</v>
      </c>
      <c r="D1216" t="s">
        <v>23629</v>
      </c>
      <c r="E1216" t="s">
        <v>23632</v>
      </c>
    </row>
    <row r="1217" spans="1:5" x14ac:dyDescent="0.25">
      <c r="A1217" s="130" t="str">
        <f>LEFT(B1217,1)</f>
        <v>C</v>
      </c>
      <c r="B1217" t="s">
        <v>28996</v>
      </c>
      <c r="C1217">
        <v>1</v>
      </c>
      <c r="D1217" t="s">
        <v>23629</v>
      </c>
      <c r="E1217" t="s">
        <v>23632</v>
      </c>
    </row>
    <row r="1218" spans="1:5" x14ac:dyDescent="0.25">
      <c r="A1218" s="130" t="s">
        <v>24205</v>
      </c>
      <c r="B1218" t="s">
        <v>24569</v>
      </c>
      <c r="C1218">
        <v>1</v>
      </c>
      <c r="D1218" t="s">
        <v>23629</v>
      </c>
      <c r="E1218" t="s">
        <v>23632</v>
      </c>
    </row>
    <row r="1219" spans="1:5" x14ac:dyDescent="0.25">
      <c r="A1219" s="131" t="s">
        <v>24205</v>
      </c>
      <c r="B1219" t="s">
        <v>24570</v>
      </c>
      <c r="C1219">
        <v>1</v>
      </c>
      <c r="D1219" t="s">
        <v>23629</v>
      </c>
      <c r="E1219" t="s">
        <v>23632</v>
      </c>
    </row>
    <row r="1220" spans="1:5" x14ac:dyDescent="0.25">
      <c r="A1220" s="130" t="s">
        <v>24205</v>
      </c>
      <c r="B1220" t="s">
        <v>24571</v>
      </c>
      <c r="C1220">
        <v>1</v>
      </c>
      <c r="D1220" t="s">
        <v>23629</v>
      </c>
      <c r="E1220" t="s">
        <v>23632</v>
      </c>
    </row>
    <row r="1221" spans="1:5" x14ac:dyDescent="0.25">
      <c r="A1221" s="131" t="s">
        <v>24205</v>
      </c>
      <c r="B1221" t="s">
        <v>24572</v>
      </c>
      <c r="C1221">
        <v>1</v>
      </c>
      <c r="D1221" t="s">
        <v>23629</v>
      </c>
      <c r="E1221" t="s">
        <v>23632</v>
      </c>
    </row>
    <row r="1222" spans="1:5" x14ac:dyDescent="0.25">
      <c r="A1222" s="130" t="s">
        <v>24205</v>
      </c>
      <c r="B1222" t="s">
        <v>24573</v>
      </c>
      <c r="C1222">
        <v>1</v>
      </c>
      <c r="D1222" t="s">
        <v>23629</v>
      </c>
      <c r="E1222" t="s">
        <v>23632</v>
      </c>
    </row>
    <row r="1223" spans="1:5" x14ac:dyDescent="0.25">
      <c r="A1223" s="130" t="str">
        <f>LEFT(B1223,1)</f>
        <v>C</v>
      </c>
      <c r="B1223" t="s">
        <v>28997</v>
      </c>
      <c r="C1223">
        <v>1</v>
      </c>
      <c r="D1223" t="s">
        <v>23629</v>
      </c>
      <c r="E1223" t="s">
        <v>23632</v>
      </c>
    </row>
    <row r="1224" spans="1:5" x14ac:dyDescent="0.25">
      <c r="A1224" s="131" t="s">
        <v>24205</v>
      </c>
      <c r="B1224" t="s">
        <v>24574</v>
      </c>
      <c r="C1224">
        <v>1</v>
      </c>
      <c r="D1224" t="s">
        <v>23629</v>
      </c>
      <c r="E1224" t="s">
        <v>23632</v>
      </c>
    </row>
    <row r="1225" spans="1:5" x14ac:dyDescent="0.25">
      <c r="A1225" s="130" t="str">
        <f>LEFT(B1225,1)</f>
        <v>C</v>
      </c>
      <c r="B1225" t="s">
        <v>24667</v>
      </c>
      <c r="C1225">
        <v>1</v>
      </c>
      <c r="D1225" t="s">
        <v>23629</v>
      </c>
      <c r="E1225" t="s">
        <v>23632</v>
      </c>
    </row>
    <row r="1226" spans="1:5" x14ac:dyDescent="0.25">
      <c r="A1226" s="131" t="s">
        <v>24205</v>
      </c>
      <c r="B1226" t="s">
        <v>24575</v>
      </c>
      <c r="C1226">
        <v>1</v>
      </c>
      <c r="D1226" t="s">
        <v>23629</v>
      </c>
      <c r="E1226" t="s">
        <v>23632</v>
      </c>
    </row>
    <row r="1227" spans="1:5" x14ac:dyDescent="0.25">
      <c r="A1227" s="131" t="s">
        <v>24205</v>
      </c>
      <c r="B1227" t="s">
        <v>24576</v>
      </c>
      <c r="C1227">
        <v>1</v>
      </c>
      <c r="D1227" t="s">
        <v>23629</v>
      </c>
      <c r="E1227" t="s">
        <v>23632</v>
      </c>
    </row>
    <row r="1228" spans="1:5" x14ac:dyDescent="0.25">
      <c r="A1228" s="130" t="str">
        <f>LEFT(B1228,1)</f>
        <v>C</v>
      </c>
      <c r="B1228" t="s">
        <v>28732</v>
      </c>
      <c r="C1228">
        <v>1</v>
      </c>
      <c r="D1228" t="s">
        <v>23629</v>
      </c>
      <c r="E1228" t="s">
        <v>23632</v>
      </c>
    </row>
    <row r="1229" spans="1:5" x14ac:dyDescent="0.25">
      <c r="A1229" s="130" t="s">
        <v>24205</v>
      </c>
      <c r="B1229" t="s">
        <v>24577</v>
      </c>
      <c r="C1229">
        <v>1</v>
      </c>
      <c r="D1229" t="s">
        <v>23629</v>
      </c>
      <c r="E1229" t="s">
        <v>23632</v>
      </c>
    </row>
    <row r="1230" spans="1:5" x14ac:dyDescent="0.25">
      <c r="A1230" s="130" t="s">
        <v>24205</v>
      </c>
      <c r="B1230" t="s">
        <v>24578</v>
      </c>
      <c r="C1230">
        <v>1</v>
      </c>
      <c r="D1230" t="s">
        <v>23629</v>
      </c>
      <c r="E1230" t="s">
        <v>23632</v>
      </c>
    </row>
    <row r="1231" spans="1:5" x14ac:dyDescent="0.25">
      <c r="A1231" s="130" t="str">
        <f>LEFT(B1231,1)</f>
        <v>C</v>
      </c>
      <c r="B1231" t="s">
        <v>29214</v>
      </c>
      <c r="C1231">
        <v>1</v>
      </c>
      <c r="D1231" t="s">
        <v>23629</v>
      </c>
      <c r="E1231" t="s">
        <v>23632</v>
      </c>
    </row>
    <row r="1232" spans="1:5" x14ac:dyDescent="0.25">
      <c r="A1232" s="131" t="s">
        <v>24205</v>
      </c>
      <c r="B1232" t="s">
        <v>24579</v>
      </c>
      <c r="C1232">
        <v>1</v>
      </c>
      <c r="D1232" t="s">
        <v>23629</v>
      </c>
      <c r="E1232" t="s">
        <v>23632</v>
      </c>
    </row>
    <row r="1233" spans="1:5" x14ac:dyDescent="0.25">
      <c r="A1233" s="131" t="s">
        <v>24205</v>
      </c>
      <c r="B1233" t="s">
        <v>24580</v>
      </c>
      <c r="C1233">
        <v>1</v>
      </c>
      <c r="D1233" t="s">
        <v>23629</v>
      </c>
      <c r="E1233" t="s">
        <v>23632</v>
      </c>
    </row>
    <row r="1234" spans="1:5" x14ac:dyDescent="0.25">
      <c r="A1234" s="130" t="s">
        <v>24205</v>
      </c>
      <c r="B1234" t="s">
        <v>24581</v>
      </c>
      <c r="C1234">
        <v>1</v>
      </c>
      <c r="D1234" t="s">
        <v>23629</v>
      </c>
      <c r="E1234" t="s">
        <v>23632</v>
      </c>
    </row>
    <row r="1235" spans="1:5" x14ac:dyDescent="0.25">
      <c r="A1235" s="131" t="s">
        <v>24205</v>
      </c>
      <c r="B1235" t="s">
        <v>24582</v>
      </c>
      <c r="C1235">
        <v>1</v>
      </c>
      <c r="D1235" t="s">
        <v>23629</v>
      </c>
      <c r="E1235" t="s">
        <v>23632</v>
      </c>
    </row>
    <row r="1236" spans="1:5" x14ac:dyDescent="0.25">
      <c r="A1236" s="130" t="str">
        <f>LEFT(B1236,1)</f>
        <v>C</v>
      </c>
      <c r="B1236" t="s">
        <v>28998</v>
      </c>
      <c r="C1236">
        <v>1</v>
      </c>
      <c r="D1236" t="s">
        <v>23629</v>
      </c>
      <c r="E1236" t="s">
        <v>23632</v>
      </c>
    </row>
    <row r="1237" spans="1:5" x14ac:dyDescent="0.25">
      <c r="A1237" s="131" t="s">
        <v>24205</v>
      </c>
      <c r="B1237" t="s">
        <v>24583</v>
      </c>
      <c r="C1237">
        <v>1</v>
      </c>
      <c r="D1237" t="s">
        <v>23629</v>
      </c>
      <c r="E1237" t="s">
        <v>23632</v>
      </c>
    </row>
    <row r="1238" spans="1:5" x14ac:dyDescent="0.25">
      <c r="A1238" s="130" t="s">
        <v>24205</v>
      </c>
      <c r="B1238" t="s">
        <v>24584</v>
      </c>
      <c r="C1238">
        <v>1</v>
      </c>
      <c r="D1238" t="s">
        <v>23629</v>
      </c>
      <c r="E1238" t="s">
        <v>23632</v>
      </c>
    </row>
    <row r="1239" spans="1:5" x14ac:dyDescent="0.25">
      <c r="A1239" s="130" t="s">
        <v>24205</v>
      </c>
      <c r="B1239" t="s">
        <v>24585</v>
      </c>
      <c r="C1239">
        <v>1</v>
      </c>
      <c r="D1239" t="s">
        <v>23629</v>
      </c>
      <c r="E1239" t="s">
        <v>23632</v>
      </c>
    </row>
    <row r="1240" spans="1:5" x14ac:dyDescent="0.25">
      <c r="A1240" s="131" t="str">
        <f>LEFT((B1240),1)</f>
        <v>C</v>
      </c>
      <c r="B1240" t="s">
        <v>24586</v>
      </c>
      <c r="C1240">
        <v>1</v>
      </c>
      <c r="D1240" t="s">
        <v>23629</v>
      </c>
      <c r="E1240" t="s">
        <v>23632</v>
      </c>
    </row>
    <row r="1241" spans="1:5" x14ac:dyDescent="0.25">
      <c r="A1241" s="130" t="s">
        <v>24205</v>
      </c>
      <c r="B1241" t="s">
        <v>24587</v>
      </c>
      <c r="C1241">
        <v>1</v>
      </c>
      <c r="D1241" t="s">
        <v>23629</v>
      </c>
      <c r="E1241" t="s">
        <v>23632</v>
      </c>
    </row>
    <row r="1242" spans="1:5" x14ac:dyDescent="0.25">
      <c r="A1242" s="131" t="s">
        <v>24205</v>
      </c>
      <c r="B1242" t="s">
        <v>24588</v>
      </c>
      <c r="C1242">
        <v>1</v>
      </c>
      <c r="D1242" t="s">
        <v>23629</v>
      </c>
      <c r="E1242" t="s">
        <v>23632</v>
      </c>
    </row>
    <row r="1243" spans="1:5" x14ac:dyDescent="0.25">
      <c r="A1243" s="130" t="str">
        <f>LEFT((B1243),1)</f>
        <v>C</v>
      </c>
      <c r="B1243" t="s">
        <v>24589</v>
      </c>
      <c r="C1243">
        <v>1</v>
      </c>
      <c r="D1243" t="s">
        <v>23629</v>
      </c>
      <c r="E1243" t="s">
        <v>23881</v>
      </c>
    </row>
    <row r="1244" spans="1:5" x14ac:dyDescent="0.25">
      <c r="A1244" s="131" t="s">
        <v>24205</v>
      </c>
      <c r="B1244" t="s">
        <v>24590</v>
      </c>
      <c r="C1244">
        <v>1</v>
      </c>
      <c r="D1244" t="s">
        <v>23629</v>
      </c>
      <c r="E1244" t="s">
        <v>23632</v>
      </c>
    </row>
    <row r="1245" spans="1:5" x14ac:dyDescent="0.25">
      <c r="A1245" s="130" t="s">
        <v>24205</v>
      </c>
      <c r="B1245" t="s">
        <v>24591</v>
      </c>
      <c r="C1245">
        <v>1</v>
      </c>
      <c r="D1245" t="s">
        <v>23629</v>
      </c>
      <c r="E1245" t="s">
        <v>23632</v>
      </c>
    </row>
    <row r="1246" spans="1:5" x14ac:dyDescent="0.25">
      <c r="A1246" s="130" t="str">
        <f>LEFT(B1246,1)</f>
        <v>C</v>
      </c>
      <c r="B1246" t="s">
        <v>28999</v>
      </c>
      <c r="C1246">
        <v>1</v>
      </c>
      <c r="D1246" t="s">
        <v>23629</v>
      </c>
      <c r="E1246" t="s">
        <v>23632</v>
      </c>
    </row>
    <row r="1247" spans="1:5" x14ac:dyDescent="0.25">
      <c r="A1247" s="130" t="str">
        <f>LEFT(B1247,1)</f>
        <v>C</v>
      </c>
      <c r="B1247" t="s">
        <v>28733</v>
      </c>
      <c r="C1247">
        <v>1</v>
      </c>
      <c r="D1247" t="s">
        <v>23629</v>
      </c>
      <c r="E1247" t="s">
        <v>23632</v>
      </c>
    </row>
    <row r="1248" spans="1:5" x14ac:dyDescent="0.25">
      <c r="A1248" s="130" t="str">
        <f>LEFT(B1248,1)</f>
        <v>C</v>
      </c>
      <c r="B1248" t="s">
        <v>29000</v>
      </c>
      <c r="C1248">
        <v>1</v>
      </c>
      <c r="D1248" t="s">
        <v>23629</v>
      </c>
      <c r="E1248" t="s">
        <v>23632</v>
      </c>
    </row>
    <row r="1249" spans="1:5" x14ac:dyDescent="0.25">
      <c r="A1249" s="130" t="str">
        <f>LEFT(B1249,1)</f>
        <v>C</v>
      </c>
      <c r="B1249" t="s">
        <v>29001</v>
      </c>
      <c r="C1249">
        <v>1</v>
      </c>
      <c r="D1249" t="s">
        <v>23629</v>
      </c>
      <c r="E1249" t="s">
        <v>23632</v>
      </c>
    </row>
    <row r="1250" spans="1:5" x14ac:dyDescent="0.25">
      <c r="A1250" s="130" t="s">
        <v>24205</v>
      </c>
      <c r="B1250" t="s">
        <v>24592</v>
      </c>
      <c r="C1250">
        <v>1</v>
      </c>
      <c r="D1250" t="s">
        <v>23629</v>
      </c>
      <c r="E1250" t="s">
        <v>23632</v>
      </c>
    </row>
    <row r="1251" spans="1:5" x14ac:dyDescent="0.25">
      <c r="A1251" s="131" t="s">
        <v>24205</v>
      </c>
      <c r="B1251" t="s">
        <v>24593</v>
      </c>
      <c r="C1251">
        <v>1</v>
      </c>
      <c r="D1251" t="s">
        <v>23629</v>
      </c>
      <c r="E1251" t="s">
        <v>23632</v>
      </c>
    </row>
    <row r="1252" spans="1:5" x14ac:dyDescent="0.25">
      <c r="A1252" s="130" t="s">
        <v>24205</v>
      </c>
      <c r="B1252" t="s">
        <v>24594</v>
      </c>
      <c r="C1252">
        <v>1</v>
      </c>
      <c r="D1252" t="s">
        <v>23629</v>
      </c>
      <c r="E1252" t="s">
        <v>23632</v>
      </c>
    </row>
    <row r="1253" spans="1:5" x14ac:dyDescent="0.25">
      <c r="A1253" s="131" t="s">
        <v>24205</v>
      </c>
      <c r="B1253" t="s">
        <v>24595</v>
      </c>
      <c r="C1253">
        <v>1</v>
      </c>
      <c r="D1253" t="s">
        <v>23629</v>
      </c>
      <c r="E1253" t="s">
        <v>23632</v>
      </c>
    </row>
    <row r="1254" spans="1:5" x14ac:dyDescent="0.25">
      <c r="A1254" s="131" t="s">
        <v>24205</v>
      </c>
      <c r="B1254" t="s">
        <v>24596</v>
      </c>
      <c r="C1254">
        <v>1.1100000000000001</v>
      </c>
      <c r="D1254" t="s">
        <v>23629</v>
      </c>
      <c r="E1254" t="s">
        <v>23632</v>
      </c>
    </row>
    <row r="1255" spans="1:5" x14ac:dyDescent="0.25">
      <c r="A1255" s="130" t="s">
        <v>24205</v>
      </c>
      <c r="B1255" t="s">
        <v>24597</v>
      </c>
      <c r="C1255">
        <v>1</v>
      </c>
      <c r="D1255" t="s">
        <v>23629</v>
      </c>
      <c r="E1255" t="s">
        <v>23632</v>
      </c>
    </row>
    <row r="1256" spans="1:5" x14ac:dyDescent="0.25">
      <c r="A1256" s="131" t="s">
        <v>24205</v>
      </c>
      <c r="B1256" t="s">
        <v>24598</v>
      </c>
      <c r="C1256">
        <v>1</v>
      </c>
      <c r="D1256" t="s">
        <v>23629</v>
      </c>
      <c r="E1256" t="s">
        <v>23632</v>
      </c>
    </row>
    <row r="1257" spans="1:5" x14ac:dyDescent="0.25">
      <c r="A1257" s="131" t="str">
        <f>LEFT((B1257),1)</f>
        <v>C</v>
      </c>
      <c r="B1257" t="s">
        <v>24599</v>
      </c>
      <c r="C1257">
        <v>1</v>
      </c>
      <c r="D1257" t="s">
        <v>23629</v>
      </c>
      <c r="E1257" t="s">
        <v>23632</v>
      </c>
    </row>
    <row r="1258" spans="1:5" x14ac:dyDescent="0.25">
      <c r="A1258" s="130" t="s">
        <v>24205</v>
      </c>
      <c r="B1258" t="s">
        <v>24600</v>
      </c>
      <c r="C1258">
        <v>1</v>
      </c>
      <c r="D1258" t="s">
        <v>23629</v>
      </c>
      <c r="E1258" t="s">
        <v>23632</v>
      </c>
    </row>
    <row r="1259" spans="1:5" x14ac:dyDescent="0.25">
      <c r="A1259" s="130" t="s">
        <v>24205</v>
      </c>
      <c r="B1259" t="s">
        <v>24601</v>
      </c>
      <c r="C1259">
        <v>1</v>
      </c>
      <c r="D1259" t="s">
        <v>23629</v>
      </c>
      <c r="E1259" t="s">
        <v>23632</v>
      </c>
    </row>
    <row r="1260" spans="1:5" x14ac:dyDescent="0.25">
      <c r="A1260" s="130" t="s">
        <v>24205</v>
      </c>
      <c r="B1260" t="s">
        <v>24602</v>
      </c>
      <c r="C1260">
        <v>1.1000000000000001</v>
      </c>
      <c r="D1260" t="s">
        <v>23629</v>
      </c>
      <c r="E1260" t="s">
        <v>23632</v>
      </c>
    </row>
    <row r="1261" spans="1:5" x14ac:dyDescent="0.25">
      <c r="A1261" s="131" t="s">
        <v>24205</v>
      </c>
      <c r="B1261" t="s">
        <v>24603</v>
      </c>
      <c r="C1261">
        <v>1</v>
      </c>
      <c r="D1261" t="s">
        <v>23629</v>
      </c>
      <c r="E1261" t="s">
        <v>23632</v>
      </c>
    </row>
    <row r="1262" spans="1:5" x14ac:dyDescent="0.25">
      <c r="A1262" s="131" t="str">
        <f>LEFT(B1262,1)</f>
        <v>C</v>
      </c>
      <c r="B1262" t="s">
        <v>24668</v>
      </c>
      <c r="C1262">
        <v>1</v>
      </c>
      <c r="D1262" t="s">
        <v>23629</v>
      </c>
      <c r="E1262" t="s">
        <v>23632</v>
      </c>
    </row>
    <row r="1263" spans="1:5" x14ac:dyDescent="0.25">
      <c r="A1263" s="130" t="s">
        <v>24205</v>
      </c>
      <c r="B1263" t="s">
        <v>24604</v>
      </c>
      <c r="C1263">
        <v>1</v>
      </c>
      <c r="D1263" t="s">
        <v>23629</v>
      </c>
      <c r="E1263" t="s">
        <v>23632</v>
      </c>
    </row>
    <row r="1264" spans="1:5" x14ac:dyDescent="0.25">
      <c r="A1264" s="131" t="str">
        <f>LEFT(B1264,1)</f>
        <v>C</v>
      </c>
      <c r="B1264" t="s">
        <v>24630</v>
      </c>
      <c r="C1264">
        <v>1</v>
      </c>
      <c r="D1264" t="s">
        <v>23629</v>
      </c>
      <c r="E1264" t="s">
        <v>23632</v>
      </c>
    </row>
    <row r="1265" spans="1:5" x14ac:dyDescent="0.25">
      <c r="A1265" s="131" t="s">
        <v>24205</v>
      </c>
      <c r="B1265" t="s">
        <v>24605</v>
      </c>
      <c r="C1265">
        <v>1</v>
      </c>
      <c r="D1265" t="s">
        <v>23629</v>
      </c>
      <c r="E1265" t="s">
        <v>23881</v>
      </c>
    </row>
    <row r="1266" spans="1:5" x14ac:dyDescent="0.25">
      <c r="A1266" s="130" t="str">
        <f>LEFT((B1266),1)</f>
        <v>C</v>
      </c>
      <c r="B1266" t="s">
        <v>24606</v>
      </c>
      <c r="C1266">
        <v>1</v>
      </c>
      <c r="D1266" t="s">
        <v>23629</v>
      </c>
      <c r="E1266" t="s">
        <v>23632</v>
      </c>
    </row>
    <row r="1267" spans="1:5" x14ac:dyDescent="0.25">
      <c r="A1267" s="130" t="s">
        <v>24205</v>
      </c>
      <c r="B1267" t="s">
        <v>24607</v>
      </c>
      <c r="C1267">
        <v>1</v>
      </c>
      <c r="D1267" t="s">
        <v>23629</v>
      </c>
      <c r="E1267" t="s">
        <v>23632</v>
      </c>
    </row>
    <row r="1268" spans="1:5" x14ac:dyDescent="0.25">
      <c r="A1268" s="131" t="s">
        <v>24205</v>
      </c>
      <c r="B1268" t="s">
        <v>24608</v>
      </c>
      <c r="C1268">
        <v>1</v>
      </c>
      <c r="D1268" t="s">
        <v>23629</v>
      </c>
      <c r="E1268" t="s">
        <v>23632</v>
      </c>
    </row>
    <row r="1269" spans="1:5" x14ac:dyDescent="0.25">
      <c r="A1269" s="130" t="s">
        <v>24205</v>
      </c>
      <c r="B1269" t="s">
        <v>24609</v>
      </c>
      <c r="C1269">
        <v>1</v>
      </c>
      <c r="D1269" t="s">
        <v>23629</v>
      </c>
      <c r="E1269" t="s">
        <v>23632</v>
      </c>
    </row>
    <row r="1270" spans="1:5" x14ac:dyDescent="0.25">
      <c r="A1270" s="131" t="str">
        <f>LEFT((B1270),1)</f>
        <v>C</v>
      </c>
      <c r="B1270" t="s">
        <v>24610</v>
      </c>
      <c r="C1270">
        <v>1</v>
      </c>
      <c r="D1270" t="s">
        <v>23629</v>
      </c>
      <c r="E1270" t="s">
        <v>23632</v>
      </c>
    </row>
    <row r="1271" spans="1:5" x14ac:dyDescent="0.25">
      <c r="A1271" s="131" t="s">
        <v>24205</v>
      </c>
      <c r="B1271" t="s">
        <v>24611</v>
      </c>
      <c r="C1271">
        <v>1</v>
      </c>
      <c r="D1271" t="s">
        <v>23629</v>
      </c>
      <c r="E1271" t="s">
        <v>23632</v>
      </c>
    </row>
    <row r="1272" spans="1:5" x14ac:dyDescent="0.25">
      <c r="A1272" s="130" t="s">
        <v>17856</v>
      </c>
      <c r="B1272" t="s">
        <v>24669</v>
      </c>
      <c r="C1272">
        <v>1</v>
      </c>
      <c r="D1272" t="s">
        <v>23629</v>
      </c>
      <c r="E1272" t="s">
        <v>23632</v>
      </c>
    </row>
    <row r="1273" spans="1:5" x14ac:dyDescent="0.25">
      <c r="A1273" s="130" t="str">
        <f>LEFT(B1273,1)</f>
        <v>D</v>
      </c>
      <c r="B1273" t="s">
        <v>24878</v>
      </c>
      <c r="C1273">
        <v>1</v>
      </c>
      <c r="D1273" t="s">
        <v>23629</v>
      </c>
      <c r="E1273" t="s">
        <v>23632</v>
      </c>
    </row>
    <row r="1274" spans="1:5" x14ac:dyDescent="0.25">
      <c r="A1274" s="130" t="s">
        <v>17856</v>
      </c>
      <c r="B1274" t="s">
        <v>24670</v>
      </c>
      <c r="C1274">
        <v>1</v>
      </c>
      <c r="D1274" t="s">
        <v>23629</v>
      </c>
      <c r="E1274" t="s">
        <v>23632</v>
      </c>
    </row>
    <row r="1275" spans="1:5" x14ac:dyDescent="0.25">
      <c r="A1275" s="130" t="s">
        <v>17856</v>
      </c>
      <c r="B1275" t="s">
        <v>24671</v>
      </c>
      <c r="C1275">
        <v>1</v>
      </c>
      <c r="D1275" t="s">
        <v>23629</v>
      </c>
      <c r="E1275" t="s">
        <v>23632</v>
      </c>
    </row>
    <row r="1276" spans="1:5" x14ac:dyDescent="0.25">
      <c r="A1276" s="130" t="str">
        <f>LEFT((B1276),1)</f>
        <v>D</v>
      </c>
      <c r="B1276" t="s">
        <v>24672</v>
      </c>
      <c r="C1276">
        <v>1</v>
      </c>
      <c r="D1276" t="s">
        <v>23629</v>
      </c>
      <c r="E1276" t="s">
        <v>23632</v>
      </c>
    </row>
    <row r="1277" spans="1:5" x14ac:dyDescent="0.25">
      <c r="A1277" s="131" t="str">
        <f>LEFT((B1277),1)</f>
        <v>D</v>
      </c>
      <c r="B1277" t="s">
        <v>24673</v>
      </c>
      <c r="C1277">
        <v>1</v>
      </c>
      <c r="D1277" t="s">
        <v>23629</v>
      </c>
      <c r="E1277" t="s">
        <v>23632</v>
      </c>
    </row>
    <row r="1278" spans="1:5" x14ac:dyDescent="0.25">
      <c r="A1278" s="130" t="s">
        <v>17856</v>
      </c>
      <c r="B1278" t="s">
        <v>24674</v>
      </c>
      <c r="C1278">
        <v>1</v>
      </c>
      <c r="D1278" t="s">
        <v>23629</v>
      </c>
      <c r="E1278" t="s">
        <v>23632</v>
      </c>
    </row>
    <row r="1279" spans="1:5" x14ac:dyDescent="0.25">
      <c r="A1279" s="131" t="s">
        <v>17856</v>
      </c>
      <c r="B1279" t="s">
        <v>24675</v>
      </c>
      <c r="C1279">
        <v>1</v>
      </c>
      <c r="D1279" t="s">
        <v>23629</v>
      </c>
      <c r="E1279" t="s">
        <v>23632</v>
      </c>
    </row>
    <row r="1280" spans="1:5" x14ac:dyDescent="0.25">
      <c r="A1280" s="130" t="str">
        <f>LEFT(B1280,1)</f>
        <v>D</v>
      </c>
      <c r="B1280" t="s">
        <v>28427</v>
      </c>
      <c r="C1280">
        <v>1</v>
      </c>
      <c r="D1280" t="s">
        <v>23629</v>
      </c>
      <c r="E1280" t="s">
        <v>23632</v>
      </c>
    </row>
    <row r="1281" spans="1:5" x14ac:dyDescent="0.25">
      <c r="A1281" s="130" t="str">
        <f>LEFT(B1281,1)</f>
        <v>D</v>
      </c>
      <c r="B1281" t="s">
        <v>29002</v>
      </c>
      <c r="C1281">
        <v>1</v>
      </c>
      <c r="D1281" t="s">
        <v>23629</v>
      </c>
      <c r="E1281" t="s">
        <v>23632</v>
      </c>
    </row>
    <row r="1282" spans="1:5" x14ac:dyDescent="0.25">
      <c r="A1282" s="130" t="str">
        <f>LEFT(B1282,1)</f>
        <v>D</v>
      </c>
      <c r="B1282" t="s">
        <v>28734</v>
      </c>
      <c r="C1282">
        <v>1</v>
      </c>
      <c r="D1282" t="s">
        <v>23629</v>
      </c>
      <c r="E1282" t="s">
        <v>23632</v>
      </c>
    </row>
    <row r="1283" spans="1:5" x14ac:dyDescent="0.25">
      <c r="A1283" s="130" t="s">
        <v>17856</v>
      </c>
      <c r="B1283" t="s">
        <v>24676</v>
      </c>
      <c r="C1283">
        <v>1</v>
      </c>
      <c r="D1283" t="s">
        <v>23629</v>
      </c>
      <c r="E1283" t="s">
        <v>23632</v>
      </c>
    </row>
    <row r="1284" spans="1:5" x14ac:dyDescent="0.25">
      <c r="A1284" s="131" t="s">
        <v>17856</v>
      </c>
      <c r="B1284" t="s">
        <v>24677</v>
      </c>
      <c r="C1284">
        <v>1</v>
      </c>
      <c r="D1284" t="s">
        <v>23629</v>
      </c>
      <c r="E1284" t="s">
        <v>23632</v>
      </c>
    </row>
    <row r="1285" spans="1:5" x14ac:dyDescent="0.25">
      <c r="A1285" s="131" t="s">
        <v>17856</v>
      </c>
      <c r="B1285" t="s">
        <v>24678</v>
      </c>
      <c r="C1285">
        <v>1</v>
      </c>
      <c r="D1285" t="s">
        <v>23629</v>
      </c>
      <c r="E1285" t="s">
        <v>23632</v>
      </c>
    </row>
    <row r="1286" spans="1:5" x14ac:dyDescent="0.25">
      <c r="A1286" s="130" t="s">
        <v>17856</v>
      </c>
      <c r="B1286" t="s">
        <v>24679</v>
      </c>
      <c r="C1286">
        <v>1</v>
      </c>
      <c r="D1286" t="s">
        <v>23629</v>
      </c>
      <c r="E1286" t="s">
        <v>23632</v>
      </c>
    </row>
    <row r="1287" spans="1:5" x14ac:dyDescent="0.25">
      <c r="A1287" s="131" t="s">
        <v>17856</v>
      </c>
      <c r="B1287" t="s">
        <v>24680</v>
      </c>
      <c r="C1287">
        <v>1</v>
      </c>
      <c r="D1287" t="s">
        <v>23629</v>
      </c>
      <c r="E1287" t="s">
        <v>23632</v>
      </c>
    </row>
    <row r="1288" spans="1:5" x14ac:dyDescent="0.25">
      <c r="A1288" s="130" t="s">
        <v>17856</v>
      </c>
      <c r="B1288" t="s">
        <v>24681</v>
      </c>
      <c r="C1288">
        <v>1</v>
      </c>
      <c r="D1288" t="s">
        <v>23629</v>
      </c>
      <c r="E1288" t="s">
        <v>23632</v>
      </c>
    </row>
    <row r="1289" spans="1:5" x14ac:dyDescent="0.25">
      <c r="A1289" s="130" t="str">
        <f>LEFT(B1289,1)</f>
        <v>D</v>
      </c>
      <c r="B1289" t="s">
        <v>24863</v>
      </c>
      <c r="C1289">
        <v>1</v>
      </c>
      <c r="D1289" t="s">
        <v>23629</v>
      </c>
      <c r="E1289" t="s">
        <v>23632</v>
      </c>
    </row>
    <row r="1290" spans="1:5" x14ac:dyDescent="0.25">
      <c r="A1290" s="131" t="s">
        <v>17856</v>
      </c>
      <c r="B1290" t="s">
        <v>24682</v>
      </c>
      <c r="C1290">
        <v>1</v>
      </c>
      <c r="D1290" t="s">
        <v>24683</v>
      </c>
      <c r="E1290" t="s">
        <v>23632</v>
      </c>
    </row>
    <row r="1291" spans="1:5" x14ac:dyDescent="0.25">
      <c r="A1291" s="131" t="s">
        <v>17856</v>
      </c>
      <c r="B1291" t="s">
        <v>24684</v>
      </c>
      <c r="C1291">
        <v>1</v>
      </c>
      <c r="D1291" t="s">
        <v>23629</v>
      </c>
      <c r="E1291" t="s">
        <v>23632</v>
      </c>
    </row>
    <row r="1292" spans="1:5" x14ac:dyDescent="0.25">
      <c r="A1292" s="131" t="s">
        <v>17856</v>
      </c>
      <c r="B1292" t="s">
        <v>24685</v>
      </c>
      <c r="C1292">
        <v>1</v>
      </c>
      <c r="D1292" t="s">
        <v>23629</v>
      </c>
      <c r="E1292" t="s">
        <v>23632</v>
      </c>
    </row>
    <row r="1293" spans="1:5" x14ac:dyDescent="0.25">
      <c r="A1293" s="131" t="s">
        <v>17856</v>
      </c>
      <c r="B1293" t="s">
        <v>24686</v>
      </c>
      <c r="C1293">
        <v>1</v>
      </c>
      <c r="D1293" t="s">
        <v>23629</v>
      </c>
      <c r="E1293" t="s">
        <v>23632</v>
      </c>
    </row>
    <row r="1294" spans="1:5" x14ac:dyDescent="0.25">
      <c r="A1294" s="130" t="str">
        <f>LEFT(B1294,1)</f>
        <v>D</v>
      </c>
      <c r="B1294" t="s">
        <v>28428</v>
      </c>
      <c r="C1294">
        <v>1</v>
      </c>
      <c r="D1294" t="s">
        <v>23629</v>
      </c>
      <c r="E1294" t="s">
        <v>23632</v>
      </c>
    </row>
    <row r="1295" spans="1:5" x14ac:dyDescent="0.25">
      <c r="A1295" s="130" t="s">
        <v>17856</v>
      </c>
      <c r="B1295" t="s">
        <v>24687</v>
      </c>
      <c r="C1295">
        <v>1</v>
      </c>
      <c r="D1295" t="s">
        <v>23629</v>
      </c>
      <c r="E1295" t="s">
        <v>23632</v>
      </c>
    </row>
    <row r="1296" spans="1:5" x14ac:dyDescent="0.25">
      <c r="A1296" s="130" t="str">
        <f>LEFT(B1296,1)</f>
        <v>D</v>
      </c>
      <c r="B1296" t="s">
        <v>24883</v>
      </c>
      <c r="C1296">
        <v>1</v>
      </c>
      <c r="D1296" t="s">
        <v>23629</v>
      </c>
      <c r="E1296" t="s">
        <v>23632</v>
      </c>
    </row>
    <row r="1297" spans="1:5" x14ac:dyDescent="0.25">
      <c r="A1297" s="130" t="s">
        <v>17856</v>
      </c>
      <c r="B1297" t="s">
        <v>24688</v>
      </c>
      <c r="C1297">
        <v>1</v>
      </c>
      <c r="D1297" t="s">
        <v>23629</v>
      </c>
      <c r="E1297" t="s">
        <v>23632</v>
      </c>
    </row>
    <row r="1298" spans="1:5" x14ac:dyDescent="0.25">
      <c r="A1298" s="130" t="str">
        <f>LEFT(B1298,1)</f>
        <v>D</v>
      </c>
      <c r="B1298" t="s">
        <v>28429</v>
      </c>
      <c r="C1298">
        <v>1</v>
      </c>
      <c r="D1298" t="s">
        <v>23629</v>
      </c>
      <c r="E1298" t="s">
        <v>23632</v>
      </c>
    </row>
    <row r="1299" spans="1:5" x14ac:dyDescent="0.25">
      <c r="A1299" s="131" t="str">
        <f>LEFT(B1299,1)</f>
        <v>D</v>
      </c>
      <c r="B1299" t="s">
        <v>24864</v>
      </c>
      <c r="C1299">
        <v>1</v>
      </c>
      <c r="D1299" t="s">
        <v>23629</v>
      </c>
      <c r="E1299" t="s">
        <v>23632</v>
      </c>
    </row>
    <row r="1300" spans="1:5" x14ac:dyDescent="0.25">
      <c r="A1300" s="130" t="str">
        <f>LEFT(B1300,1)</f>
        <v>D</v>
      </c>
      <c r="B1300" t="s">
        <v>28735</v>
      </c>
      <c r="C1300">
        <v>1</v>
      </c>
      <c r="D1300" t="s">
        <v>23629</v>
      </c>
      <c r="E1300" t="s">
        <v>23632</v>
      </c>
    </row>
    <row r="1301" spans="1:5" x14ac:dyDescent="0.25">
      <c r="A1301" s="131" t="s">
        <v>17856</v>
      </c>
      <c r="B1301" t="s">
        <v>24689</v>
      </c>
      <c r="C1301">
        <v>1</v>
      </c>
      <c r="D1301" t="s">
        <v>23629</v>
      </c>
      <c r="E1301" t="s">
        <v>23632</v>
      </c>
    </row>
    <row r="1302" spans="1:5" x14ac:dyDescent="0.25">
      <c r="A1302" s="130" t="s">
        <v>17856</v>
      </c>
      <c r="B1302" t="s">
        <v>24690</v>
      </c>
      <c r="C1302">
        <v>1</v>
      </c>
      <c r="D1302" t="s">
        <v>23629</v>
      </c>
      <c r="E1302" t="s">
        <v>23632</v>
      </c>
    </row>
    <row r="1303" spans="1:5" x14ac:dyDescent="0.25">
      <c r="A1303" s="130" t="str">
        <f>LEFT(B1303,1)</f>
        <v>D</v>
      </c>
      <c r="B1303" t="s">
        <v>29003</v>
      </c>
      <c r="C1303">
        <v>1</v>
      </c>
      <c r="D1303" t="s">
        <v>23629</v>
      </c>
      <c r="E1303" t="s">
        <v>23632</v>
      </c>
    </row>
    <row r="1304" spans="1:5" x14ac:dyDescent="0.25">
      <c r="A1304" s="131" t="s">
        <v>17856</v>
      </c>
      <c r="B1304" t="s">
        <v>24691</v>
      </c>
      <c r="C1304">
        <v>1</v>
      </c>
      <c r="D1304" t="s">
        <v>23629</v>
      </c>
      <c r="E1304" t="s">
        <v>23632</v>
      </c>
    </row>
    <row r="1305" spans="1:5" x14ac:dyDescent="0.25">
      <c r="A1305" s="131" t="s">
        <v>17856</v>
      </c>
      <c r="B1305" t="s">
        <v>24692</v>
      </c>
      <c r="C1305">
        <v>1</v>
      </c>
      <c r="D1305" t="s">
        <v>23629</v>
      </c>
      <c r="E1305" t="s">
        <v>23632</v>
      </c>
    </row>
    <row r="1306" spans="1:5" x14ac:dyDescent="0.25">
      <c r="A1306" s="130" t="s">
        <v>17856</v>
      </c>
      <c r="B1306" t="s">
        <v>24693</v>
      </c>
      <c r="C1306">
        <v>1</v>
      </c>
      <c r="D1306" t="s">
        <v>23629</v>
      </c>
      <c r="E1306" t="s">
        <v>23632</v>
      </c>
    </row>
    <row r="1307" spans="1:5" x14ac:dyDescent="0.25">
      <c r="A1307" s="131" t="s">
        <v>17856</v>
      </c>
      <c r="B1307" t="s">
        <v>24694</v>
      </c>
      <c r="C1307">
        <v>1</v>
      </c>
      <c r="D1307" t="s">
        <v>23629</v>
      </c>
      <c r="E1307" t="s">
        <v>23632</v>
      </c>
    </row>
    <row r="1308" spans="1:5" x14ac:dyDescent="0.25">
      <c r="A1308" s="130" t="s">
        <v>17856</v>
      </c>
      <c r="B1308" t="s">
        <v>24695</v>
      </c>
      <c r="C1308">
        <v>1</v>
      </c>
      <c r="D1308" t="s">
        <v>23629</v>
      </c>
      <c r="E1308" t="s">
        <v>23632</v>
      </c>
    </row>
    <row r="1309" spans="1:5" x14ac:dyDescent="0.25">
      <c r="A1309" s="130" t="str">
        <f>LEFT(B1309,1)</f>
        <v>D</v>
      </c>
      <c r="B1309" t="s">
        <v>28430</v>
      </c>
      <c r="C1309">
        <v>1</v>
      </c>
      <c r="D1309" t="s">
        <v>23629</v>
      </c>
      <c r="E1309" t="s">
        <v>23632</v>
      </c>
    </row>
    <row r="1310" spans="1:5" x14ac:dyDescent="0.25">
      <c r="A1310" s="130" t="str">
        <f>LEFT(B1310,1)</f>
        <v>D</v>
      </c>
      <c r="B1310" t="s">
        <v>29215</v>
      </c>
      <c r="C1310">
        <v>1</v>
      </c>
      <c r="D1310" t="s">
        <v>23629</v>
      </c>
      <c r="E1310" t="s">
        <v>23632</v>
      </c>
    </row>
    <row r="1311" spans="1:5" x14ac:dyDescent="0.25">
      <c r="A1311" s="131" t="s">
        <v>17856</v>
      </c>
      <c r="B1311" t="s">
        <v>24696</v>
      </c>
      <c r="C1311">
        <v>1</v>
      </c>
      <c r="D1311" t="s">
        <v>23629</v>
      </c>
      <c r="E1311" t="s">
        <v>23632</v>
      </c>
    </row>
    <row r="1312" spans="1:5" x14ac:dyDescent="0.25">
      <c r="A1312" s="130" t="s">
        <v>17856</v>
      </c>
      <c r="B1312" t="s">
        <v>24697</v>
      </c>
      <c r="C1312">
        <v>1</v>
      </c>
      <c r="D1312" t="s">
        <v>23629</v>
      </c>
      <c r="E1312" t="s">
        <v>23632</v>
      </c>
    </row>
    <row r="1313" spans="1:5" x14ac:dyDescent="0.25">
      <c r="A1313" s="131" t="s">
        <v>17856</v>
      </c>
      <c r="B1313" t="s">
        <v>24698</v>
      </c>
      <c r="C1313">
        <v>1</v>
      </c>
      <c r="D1313" t="s">
        <v>23629</v>
      </c>
      <c r="E1313" t="s">
        <v>23632</v>
      </c>
    </row>
    <row r="1314" spans="1:5" x14ac:dyDescent="0.25">
      <c r="A1314" s="131" t="s">
        <v>17856</v>
      </c>
      <c r="B1314" t="s">
        <v>24699</v>
      </c>
      <c r="C1314">
        <v>1</v>
      </c>
      <c r="D1314" t="s">
        <v>23629</v>
      </c>
      <c r="E1314" t="s">
        <v>23632</v>
      </c>
    </row>
    <row r="1315" spans="1:5" x14ac:dyDescent="0.25">
      <c r="A1315" s="131" t="s">
        <v>17856</v>
      </c>
      <c r="B1315" t="s">
        <v>24700</v>
      </c>
      <c r="C1315">
        <v>1</v>
      </c>
      <c r="D1315" t="s">
        <v>23629</v>
      </c>
      <c r="E1315" t="s">
        <v>23632</v>
      </c>
    </row>
    <row r="1316" spans="1:5" x14ac:dyDescent="0.25">
      <c r="A1316" s="130" t="str">
        <f>LEFT(B1316,1)</f>
        <v>D</v>
      </c>
      <c r="B1316" t="s">
        <v>29004</v>
      </c>
      <c r="C1316">
        <v>1</v>
      </c>
      <c r="D1316" t="s">
        <v>23629</v>
      </c>
      <c r="E1316" t="s">
        <v>23632</v>
      </c>
    </row>
    <row r="1317" spans="1:5" x14ac:dyDescent="0.25">
      <c r="A1317" s="130" t="str">
        <f>LEFT(B1317,1)</f>
        <v>D</v>
      </c>
      <c r="B1317" t="s">
        <v>29005</v>
      </c>
      <c r="C1317">
        <v>1</v>
      </c>
      <c r="D1317" t="s">
        <v>23629</v>
      </c>
      <c r="E1317" t="s">
        <v>23632</v>
      </c>
    </row>
    <row r="1318" spans="1:5" x14ac:dyDescent="0.25">
      <c r="A1318" s="130" t="s">
        <v>17856</v>
      </c>
      <c r="B1318" t="s">
        <v>24701</v>
      </c>
      <c r="C1318">
        <v>1</v>
      </c>
      <c r="D1318" t="s">
        <v>23629</v>
      </c>
      <c r="E1318" t="s">
        <v>23632</v>
      </c>
    </row>
    <row r="1319" spans="1:5" x14ac:dyDescent="0.25">
      <c r="A1319" s="131" t="s">
        <v>17856</v>
      </c>
      <c r="B1319" t="s">
        <v>24702</v>
      </c>
      <c r="C1319">
        <v>1</v>
      </c>
      <c r="D1319" t="s">
        <v>23629</v>
      </c>
      <c r="E1319" t="s">
        <v>23632</v>
      </c>
    </row>
    <row r="1320" spans="1:5" x14ac:dyDescent="0.25">
      <c r="A1320" s="130" t="s">
        <v>17856</v>
      </c>
      <c r="B1320" t="s">
        <v>24703</v>
      </c>
      <c r="C1320">
        <v>1</v>
      </c>
      <c r="D1320" t="s">
        <v>23629</v>
      </c>
      <c r="E1320" t="s">
        <v>23632</v>
      </c>
    </row>
    <row r="1321" spans="1:5" x14ac:dyDescent="0.25">
      <c r="A1321" s="130" t="str">
        <f>LEFT(B1321,1)</f>
        <v>D</v>
      </c>
      <c r="B1321" t="s">
        <v>24879</v>
      </c>
      <c r="C1321">
        <v>1</v>
      </c>
      <c r="D1321" t="s">
        <v>23629</v>
      </c>
      <c r="E1321" t="s">
        <v>23632</v>
      </c>
    </row>
    <row r="1322" spans="1:5" x14ac:dyDescent="0.25">
      <c r="A1322" s="130" t="str">
        <f>LEFT(B1322,1)</f>
        <v>D</v>
      </c>
      <c r="B1322" t="s">
        <v>24865</v>
      </c>
      <c r="C1322">
        <v>1</v>
      </c>
      <c r="D1322" t="s">
        <v>23629</v>
      </c>
      <c r="E1322" t="s">
        <v>23632</v>
      </c>
    </row>
    <row r="1323" spans="1:5" x14ac:dyDescent="0.25">
      <c r="A1323" s="130" t="s">
        <v>17856</v>
      </c>
      <c r="B1323" t="s">
        <v>24704</v>
      </c>
      <c r="C1323">
        <v>1</v>
      </c>
      <c r="D1323" t="s">
        <v>23629</v>
      </c>
      <c r="E1323" t="s">
        <v>23632</v>
      </c>
    </row>
    <row r="1324" spans="1:5" x14ac:dyDescent="0.25">
      <c r="A1324" s="130" t="str">
        <f>LEFT((B1324),1)</f>
        <v>D</v>
      </c>
      <c r="B1324" t="s">
        <v>24705</v>
      </c>
      <c r="C1324">
        <v>1</v>
      </c>
      <c r="D1324" t="s">
        <v>23629</v>
      </c>
      <c r="E1324" t="s">
        <v>23632</v>
      </c>
    </row>
    <row r="1325" spans="1:5" x14ac:dyDescent="0.25">
      <c r="A1325" s="131" t="s">
        <v>17856</v>
      </c>
      <c r="B1325" t="s">
        <v>24706</v>
      </c>
      <c r="C1325">
        <v>1</v>
      </c>
      <c r="D1325" t="s">
        <v>23629</v>
      </c>
      <c r="E1325" t="s">
        <v>23632</v>
      </c>
    </row>
    <row r="1326" spans="1:5" x14ac:dyDescent="0.25">
      <c r="A1326" s="131" t="s">
        <v>17856</v>
      </c>
      <c r="B1326" t="s">
        <v>24707</v>
      </c>
      <c r="C1326">
        <v>1</v>
      </c>
      <c r="D1326" t="s">
        <v>23629</v>
      </c>
      <c r="E1326" t="s">
        <v>23632</v>
      </c>
    </row>
    <row r="1327" spans="1:5" x14ac:dyDescent="0.25">
      <c r="A1327" s="131" t="s">
        <v>17856</v>
      </c>
      <c r="B1327" t="s">
        <v>24708</v>
      </c>
      <c r="C1327">
        <v>1</v>
      </c>
      <c r="D1327" t="s">
        <v>23629</v>
      </c>
      <c r="E1327" t="s">
        <v>23632</v>
      </c>
    </row>
    <row r="1328" spans="1:5" x14ac:dyDescent="0.25">
      <c r="A1328" s="131" t="str">
        <f>LEFT(B1328,1)</f>
        <v>D</v>
      </c>
      <c r="B1328" t="s">
        <v>24884</v>
      </c>
      <c r="C1328">
        <v>1</v>
      </c>
      <c r="D1328" t="s">
        <v>23629</v>
      </c>
      <c r="E1328" t="s">
        <v>23632</v>
      </c>
    </row>
    <row r="1329" spans="1:5" x14ac:dyDescent="0.25">
      <c r="A1329" s="131" t="s">
        <v>17856</v>
      </c>
      <c r="B1329" t="s">
        <v>24709</v>
      </c>
      <c r="C1329">
        <v>1.1000000000000001</v>
      </c>
      <c r="D1329" t="s">
        <v>23629</v>
      </c>
      <c r="E1329" t="s">
        <v>23632</v>
      </c>
    </row>
    <row r="1330" spans="1:5" x14ac:dyDescent="0.25">
      <c r="A1330" s="130" t="str">
        <f>LEFT(B1330,1)</f>
        <v>D</v>
      </c>
      <c r="B1330" t="s">
        <v>28431</v>
      </c>
      <c r="C1330">
        <v>1</v>
      </c>
      <c r="D1330" t="s">
        <v>23629</v>
      </c>
      <c r="E1330" t="s">
        <v>23632</v>
      </c>
    </row>
    <row r="1331" spans="1:5" x14ac:dyDescent="0.25">
      <c r="A1331" s="130" t="s">
        <v>17856</v>
      </c>
      <c r="B1331" t="s">
        <v>24710</v>
      </c>
      <c r="C1331">
        <v>1</v>
      </c>
      <c r="D1331" t="s">
        <v>23629</v>
      </c>
      <c r="E1331" t="s">
        <v>23632</v>
      </c>
    </row>
    <row r="1332" spans="1:5" x14ac:dyDescent="0.25">
      <c r="A1332" s="130" t="str">
        <f>LEFT(B1332,1)</f>
        <v>D</v>
      </c>
      <c r="B1332" t="s">
        <v>24885</v>
      </c>
      <c r="C1332">
        <v>1</v>
      </c>
      <c r="D1332" t="s">
        <v>23629</v>
      </c>
      <c r="E1332" t="s">
        <v>23632</v>
      </c>
    </row>
    <row r="1333" spans="1:5" x14ac:dyDescent="0.25">
      <c r="A1333" s="130" t="s">
        <v>17856</v>
      </c>
      <c r="B1333" t="s">
        <v>24711</v>
      </c>
      <c r="C1333">
        <v>1</v>
      </c>
      <c r="D1333" t="s">
        <v>23629</v>
      </c>
      <c r="E1333" t="s">
        <v>23632</v>
      </c>
    </row>
    <row r="1334" spans="1:5" x14ac:dyDescent="0.25">
      <c r="A1334" s="131" t="s">
        <v>17856</v>
      </c>
      <c r="B1334" t="s">
        <v>24712</v>
      </c>
      <c r="C1334">
        <v>1</v>
      </c>
      <c r="D1334" t="s">
        <v>23629</v>
      </c>
      <c r="E1334" t="s">
        <v>23632</v>
      </c>
    </row>
    <row r="1335" spans="1:5" x14ac:dyDescent="0.25">
      <c r="A1335" s="130" t="s">
        <v>17856</v>
      </c>
      <c r="B1335" t="s">
        <v>24713</v>
      </c>
      <c r="C1335">
        <v>1</v>
      </c>
      <c r="D1335" t="s">
        <v>23629</v>
      </c>
      <c r="E1335" t="s">
        <v>23632</v>
      </c>
    </row>
    <row r="1336" spans="1:5" x14ac:dyDescent="0.25">
      <c r="A1336" s="131" t="s">
        <v>17856</v>
      </c>
      <c r="B1336" t="s">
        <v>24714</v>
      </c>
      <c r="C1336">
        <v>1</v>
      </c>
      <c r="D1336" t="s">
        <v>23629</v>
      </c>
      <c r="E1336" t="s">
        <v>23632</v>
      </c>
    </row>
    <row r="1337" spans="1:5" x14ac:dyDescent="0.25">
      <c r="A1337" s="130" t="s">
        <v>17856</v>
      </c>
      <c r="B1337" t="s">
        <v>24715</v>
      </c>
      <c r="C1337">
        <v>1</v>
      </c>
      <c r="D1337" t="s">
        <v>23629</v>
      </c>
      <c r="E1337" t="s">
        <v>23632</v>
      </c>
    </row>
    <row r="1338" spans="1:5" x14ac:dyDescent="0.25">
      <c r="A1338" s="130" t="s">
        <v>17856</v>
      </c>
      <c r="B1338" t="s">
        <v>24716</v>
      </c>
      <c r="C1338">
        <v>1</v>
      </c>
      <c r="D1338" t="s">
        <v>23629</v>
      </c>
      <c r="E1338" t="s">
        <v>23632</v>
      </c>
    </row>
    <row r="1339" spans="1:5" x14ac:dyDescent="0.25">
      <c r="A1339" s="130" t="str">
        <f>LEFT(B1339,1)</f>
        <v>D</v>
      </c>
      <c r="B1339" t="s">
        <v>24880</v>
      </c>
      <c r="C1339">
        <v>1</v>
      </c>
      <c r="D1339" t="s">
        <v>23629</v>
      </c>
      <c r="E1339" t="s">
        <v>23632</v>
      </c>
    </row>
    <row r="1340" spans="1:5" x14ac:dyDescent="0.25">
      <c r="A1340" s="130" t="s">
        <v>17856</v>
      </c>
      <c r="B1340" t="s">
        <v>24717</v>
      </c>
      <c r="C1340">
        <v>1</v>
      </c>
      <c r="D1340" t="s">
        <v>23629</v>
      </c>
      <c r="E1340" t="s">
        <v>23632</v>
      </c>
    </row>
    <row r="1341" spans="1:5" x14ac:dyDescent="0.25">
      <c r="A1341" s="131" t="str">
        <f>LEFT(B1341,1)</f>
        <v>D</v>
      </c>
      <c r="B1341" t="s">
        <v>24886</v>
      </c>
      <c r="C1341">
        <v>1</v>
      </c>
      <c r="D1341" t="s">
        <v>23629</v>
      </c>
      <c r="E1341" t="s">
        <v>23632</v>
      </c>
    </row>
    <row r="1342" spans="1:5" x14ac:dyDescent="0.25">
      <c r="A1342" s="131" t="s">
        <v>17856</v>
      </c>
      <c r="B1342" t="s">
        <v>24718</v>
      </c>
      <c r="C1342">
        <v>1</v>
      </c>
      <c r="D1342" t="s">
        <v>23629</v>
      </c>
      <c r="E1342" t="s">
        <v>23632</v>
      </c>
    </row>
    <row r="1343" spans="1:5" x14ac:dyDescent="0.25">
      <c r="A1343" s="130" t="str">
        <f>LEFT(B1343,1)</f>
        <v>D</v>
      </c>
      <c r="B1343" t="s">
        <v>28432</v>
      </c>
      <c r="C1343">
        <v>1</v>
      </c>
      <c r="D1343" t="s">
        <v>23629</v>
      </c>
      <c r="E1343" t="s">
        <v>23632</v>
      </c>
    </row>
    <row r="1344" spans="1:5" x14ac:dyDescent="0.25">
      <c r="A1344" s="131" t="s">
        <v>17856</v>
      </c>
      <c r="B1344" t="s">
        <v>24719</v>
      </c>
      <c r="C1344">
        <v>1</v>
      </c>
      <c r="D1344" t="s">
        <v>23629</v>
      </c>
      <c r="E1344" t="s">
        <v>23632</v>
      </c>
    </row>
    <row r="1345" spans="1:5" x14ac:dyDescent="0.25">
      <c r="A1345" s="130" t="s">
        <v>17856</v>
      </c>
      <c r="B1345" t="s">
        <v>24720</v>
      </c>
      <c r="C1345">
        <v>1</v>
      </c>
      <c r="D1345" t="s">
        <v>23629</v>
      </c>
      <c r="E1345" t="s">
        <v>23632</v>
      </c>
    </row>
    <row r="1346" spans="1:5" x14ac:dyDescent="0.25">
      <c r="A1346" s="131" t="s">
        <v>17856</v>
      </c>
      <c r="B1346" t="s">
        <v>24721</v>
      </c>
      <c r="C1346">
        <v>1</v>
      </c>
      <c r="D1346" t="s">
        <v>23629</v>
      </c>
      <c r="E1346" t="s">
        <v>23632</v>
      </c>
    </row>
    <row r="1347" spans="1:5" x14ac:dyDescent="0.25">
      <c r="A1347" s="130" t="s">
        <v>17856</v>
      </c>
      <c r="B1347" t="s">
        <v>24722</v>
      </c>
      <c r="C1347">
        <v>1</v>
      </c>
      <c r="D1347" t="s">
        <v>23629</v>
      </c>
      <c r="E1347" t="s">
        <v>23632</v>
      </c>
    </row>
    <row r="1348" spans="1:5" x14ac:dyDescent="0.25">
      <c r="A1348" s="130" t="s">
        <v>17856</v>
      </c>
      <c r="B1348" t="s">
        <v>24723</v>
      </c>
      <c r="C1348">
        <v>1</v>
      </c>
      <c r="D1348" t="s">
        <v>23629</v>
      </c>
      <c r="E1348" t="s">
        <v>23632</v>
      </c>
    </row>
    <row r="1349" spans="1:5" x14ac:dyDescent="0.25">
      <c r="A1349" s="130" t="s">
        <v>17856</v>
      </c>
      <c r="B1349" t="s">
        <v>24724</v>
      </c>
      <c r="C1349">
        <v>1</v>
      </c>
      <c r="D1349" t="s">
        <v>23629</v>
      </c>
      <c r="E1349" t="s">
        <v>23632</v>
      </c>
    </row>
    <row r="1350" spans="1:5" x14ac:dyDescent="0.25">
      <c r="A1350" s="131" t="str">
        <f>LEFT((B1350),1)</f>
        <v>D</v>
      </c>
      <c r="B1350" t="s">
        <v>24725</v>
      </c>
      <c r="C1350">
        <v>1</v>
      </c>
      <c r="D1350" t="s">
        <v>23629</v>
      </c>
      <c r="E1350" t="s">
        <v>23632</v>
      </c>
    </row>
    <row r="1351" spans="1:5" x14ac:dyDescent="0.25">
      <c r="A1351" s="130" t="str">
        <f>LEFT(B1351,1)</f>
        <v>D</v>
      </c>
      <c r="B1351" t="s">
        <v>28433</v>
      </c>
      <c r="C1351">
        <v>1</v>
      </c>
      <c r="D1351" t="s">
        <v>23629</v>
      </c>
      <c r="E1351" t="s">
        <v>23632</v>
      </c>
    </row>
    <row r="1352" spans="1:5" x14ac:dyDescent="0.25">
      <c r="A1352" s="130" t="str">
        <f>LEFT(B1352,1)</f>
        <v>D</v>
      </c>
      <c r="B1352" t="s">
        <v>28736</v>
      </c>
      <c r="C1352">
        <v>1</v>
      </c>
      <c r="D1352" t="s">
        <v>23629</v>
      </c>
      <c r="E1352" t="s">
        <v>23632</v>
      </c>
    </row>
    <row r="1353" spans="1:5" x14ac:dyDescent="0.25">
      <c r="A1353" s="130" t="s">
        <v>17856</v>
      </c>
      <c r="B1353" t="s">
        <v>24726</v>
      </c>
      <c r="C1353">
        <v>1</v>
      </c>
      <c r="D1353" t="s">
        <v>23629</v>
      </c>
      <c r="E1353" t="s">
        <v>23632</v>
      </c>
    </row>
    <row r="1354" spans="1:5" x14ac:dyDescent="0.25">
      <c r="A1354" s="130" t="str">
        <f>LEFT((B1354),1)</f>
        <v>D</v>
      </c>
      <c r="B1354" t="s">
        <v>24727</v>
      </c>
      <c r="C1354">
        <v>1</v>
      </c>
      <c r="D1354" t="s">
        <v>23629</v>
      </c>
      <c r="E1354" t="s">
        <v>23632</v>
      </c>
    </row>
    <row r="1355" spans="1:5" x14ac:dyDescent="0.25">
      <c r="A1355" s="130" t="str">
        <f>LEFT(B1355,1)</f>
        <v>D</v>
      </c>
      <c r="B1355" t="s">
        <v>28737</v>
      </c>
      <c r="C1355">
        <v>1</v>
      </c>
      <c r="D1355" t="s">
        <v>23629</v>
      </c>
      <c r="E1355" t="s">
        <v>23632</v>
      </c>
    </row>
    <row r="1356" spans="1:5" x14ac:dyDescent="0.25">
      <c r="A1356" s="131" t="str">
        <f>LEFT((B1356),1)</f>
        <v>D</v>
      </c>
      <c r="B1356" t="s">
        <v>24728</v>
      </c>
      <c r="C1356">
        <v>1</v>
      </c>
      <c r="D1356" t="s">
        <v>23629</v>
      </c>
      <c r="E1356" t="s">
        <v>23632</v>
      </c>
    </row>
    <row r="1357" spans="1:5" x14ac:dyDescent="0.25">
      <c r="A1357" s="131" t="s">
        <v>17856</v>
      </c>
      <c r="B1357" t="s">
        <v>24729</v>
      </c>
      <c r="C1357">
        <v>1</v>
      </c>
      <c r="D1357" t="s">
        <v>23629</v>
      </c>
      <c r="E1357" t="s">
        <v>23632</v>
      </c>
    </row>
    <row r="1358" spans="1:5" x14ac:dyDescent="0.25">
      <c r="A1358" s="130" t="s">
        <v>17856</v>
      </c>
      <c r="B1358" t="s">
        <v>24730</v>
      </c>
      <c r="C1358">
        <v>1</v>
      </c>
      <c r="D1358" t="s">
        <v>23629</v>
      </c>
      <c r="E1358" t="s">
        <v>23632</v>
      </c>
    </row>
    <row r="1359" spans="1:5" x14ac:dyDescent="0.25">
      <c r="A1359" s="131" t="s">
        <v>17856</v>
      </c>
      <c r="B1359" t="s">
        <v>24731</v>
      </c>
      <c r="C1359">
        <v>1</v>
      </c>
      <c r="D1359" t="s">
        <v>23629</v>
      </c>
      <c r="E1359" t="s">
        <v>23632</v>
      </c>
    </row>
    <row r="1360" spans="1:5" x14ac:dyDescent="0.25">
      <c r="A1360" s="131" t="s">
        <v>17856</v>
      </c>
      <c r="B1360" t="s">
        <v>24732</v>
      </c>
      <c r="C1360">
        <v>1</v>
      </c>
      <c r="D1360" t="s">
        <v>23629</v>
      </c>
      <c r="E1360" t="s">
        <v>23632</v>
      </c>
    </row>
    <row r="1361" spans="1:5" x14ac:dyDescent="0.25">
      <c r="A1361" s="130" t="s">
        <v>17856</v>
      </c>
      <c r="B1361" t="s">
        <v>24733</v>
      </c>
      <c r="C1361">
        <v>1</v>
      </c>
      <c r="D1361" t="s">
        <v>23629</v>
      </c>
      <c r="E1361" t="s">
        <v>23632</v>
      </c>
    </row>
    <row r="1362" spans="1:5" x14ac:dyDescent="0.25">
      <c r="A1362" s="130" t="s">
        <v>17856</v>
      </c>
      <c r="B1362" t="s">
        <v>24734</v>
      </c>
      <c r="C1362">
        <v>1</v>
      </c>
      <c r="D1362" t="s">
        <v>23629</v>
      </c>
      <c r="E1362" t="s">
        <v>23632</v>
      </c>
    </row>
    <row r="1363" spans="1:5" x14ac:dyDescent="0.25">
      <c r="A1363" s="130" t="s">
        <v>17856</v>
      </c>
      <c r="B1363" t="s">
        <v>24735</v>
      </c>
      <c r="C1363">
        <v>1</v>
      </c>
      <c r="D1363" t="s">
        <v>23629</v>
      </c>
      <c r="E1363" t="s">
        <v>23632</v>
      </c>
    </row>
    <row r="1364" spans="1:5" x14ac:dyDescent="0.25">
      <c r="A1364" s="131" t="s">
        <v>17856</v>
      </c>
      <c r="B1364" t="s">
        <v>24736</v>
      </c>
      <c r="C1364">
        <v>1</v>
      </c>
      <c r="D1364" t="s">
        <v>23629</v>
      </c>
      <c r="E1364" t="s">
        <v>23632</v>
      </c>
    </row>
    <row r="1365" spans="1:5" x14ac:dyDescent="0.25">
      <c r="A1365" s="130" t="s">
        <v>17856</v>
      </c>
      <c r="B1365" t="s">
        <v>24737</v>
      </c>
      <c r="C1365">
        <v>1</v>
      </c>
      <c r="D1365" t="s">
        <v>23629</v>
      </c>
      <c r="E1365" t="s">
        <v>23632</v>
      </c>
    </row>
    <row r="1366" spans="1:5" x14ac:dyDescent="0.25">
      <c r="A1366" s="130" t="s">
        <v>17856</v>
      </c>
      <c r="B1366" t="s">
        <v>24738</v>
      </c>
      <c r="C1366">
        <v>1</v>
      </c>
      <c r="D1366" t="s">
        <v>23629</v>
      </c>
      <c r="E1366" t="s">
        <v>23632</v>
      </c>
    </row>
    <row r="1367" spans="1:5" x14ac:dyDescent="0.25">
      <c r="A1367" s="130" t="s">
        <v>17856</v>
      </c>
      <c r="B1367" t="s">
        <v>24739</v>
      </c>
      <c r="C1367">
        <v>1</v>
      </c>
      <c r="D1367" t="s">
        <v>23629</v>
      </c>
      <c r="E1367" t="s">
        <v>23632</v>
      </c>
    </row>
    <row r="1368" spans="1:5" x14ac:dyDescent="0.25">
      <c r="A1368" s="130" t="str">
        <f>LEFT(B1368,1)</f>
        <v>D</v>
      </c>
      <c r="B1368" t="s">
        <v>28434</v>
      </c>
      <c r="C1368">
        <v>1</v>
      </c>
      <c r="D1368" t="s">
        <v>23629</v>
      </c>
      <c r="E1368" t="s">
        <v>23632</v>
      </c>
    </row>
    <row r="1369" spans="1:5" x14ac:dyDescent="0.25">
      <c r="A1369" s="131" t="s">
        <v>17856</v>
      </c>
      <c r="B1369" t="s">
        <v>24740</v>
      </c>
      <c r="C1369">
        <v>1</v>
      </c>
      <c r="D1369" t="s">
        <v>23629</v>
      </c>
      <c r="E1369" t="s">
        <v>23632</v>
      </c>
    </row>
    <row r="1370" spans="1:5" x14ac:dyDescent="0.25">
      <c r="A1370" s="131" t="str">
        <f>LEFT(B1370,1)</f>
        <v>D</v>
      </c>
      <c r="B1370" t="s">
        <v>24866</v>
      </c>
      <c r="C1370">
        <v>1</v>
      </c>
      <c r="D1370" t="s">
        <v>23629</v>
      </c>
      <c r="E1370" t="s">
        <v>23632</v>
      </c>
    </row>
    <row r="1371" spans="1:5" x14ac:dyDescent="0.25">
      <c r="A1371" s="130" t="s">
        <v>17856</v>
      </c>
      <c r="B1371" t="s">
        <v>24741</v>
      </c>
      <c r="C1371">
        <v>1.1000000000000001</v>
      </c>
      <c r="D1371" t="s">
        <v>23629</v>
      </c>
      <c r="E1371" t="s">
        <v>23632</v>
      </c>
    </row>
    <row r="1372" spans="1:5" x14ac:dyDescent="0.25">
      <c r="A1372" s="131" t="s">
        <v>17856</v>
      </c>
      <c r="B1372" t="s">
        <v>24742</v>
      </c>
      <c r="C1372">
        <v>1.1000000000000001</v>
      </c>
      <c r="D1372" t="s">
        <v>23629</v>
      </c>
      <c r="E1372" t="s">
        <v>23632</v>
      </c>
    </row>
    <row r="1373" spans="1:5" x14ac:dyDescent="0.25">
      <c r="A1373" s="131" t="s">
        <v>17856</v>
      </c>
      <c r="B1373" t="s">
        <v>24743</v>
      </c>
      <c r="C1373">
        <v>1.1000000000000001</v>
      </c>
      <c r="D1373" t="s">
        <v>23629</v>
      </c>
      <c r="E1373" t="s">
        <v>23632</v>
      </c>
    </row>
    <row r="1374" spans="1:5" x14ac:dyDescent="0.25">
      <c r="A1374" s="130" t="s">
        <v>17856</v>
      </c>
      <c r="B1374" t="s">
        <v>24744</v>
      </c>
      <c r="C1374">
        <v>1.1000000000000001</v>
      </c>
      <c r="D1374" t="s">
        <v>23629</v>
      </c>
      <c r="E1374" t="s">
        <v>23632</v>
      </c>
    </row>
    <row r="1375" spans="1:5" x14ac:dyDescent="0.25">
      <c r="A1375" s="131" t="s">
        <v>17856</v>
      </c>
      <c r="B1375" t="s">
        <v>24745</v>
      </c>
      <c r="C1375">
        <v>1</v>
      </c>
      <c r="D1375" t="s">
        <v>23629</v>
      </c>
      <c r="E1375" t="s">
        <v>23632</v>
      </c>
    </row>
    <row r="1376" spans="1:5" x14ac:dyDescent="0.25">
      <c r="A1376" s="130" t="s">
        <v>17856</v>
      </c>
      <c r="B1376" t="s">
        <v>24746</v>
      </c>
      <c r="C1376">
        <v>1</v>
      </c>
      <c r="D1376" t="s">
        <v>23629</v>
      </c>
      <c r="E1376" t="s">
        <v>23632</v>
      </c>
    </row>
    <row r="1377" spans="1:5" x14ac:dyDescent="0.25">
      <c r="A1377" s="131" t="s">
        <v>17856</v>
      </c>
      <c r="B1377" t="s">
        <v>24747</v>
      </c>
      <c r="C1377">
        <v>1</v>
      </c>
      <c r="D1377" t="s">
        <v>23629</v>
      </c>
      <c r="E1377" t="s">
        <v>23632</v>
      </c>
    </row>
    <row r="1378" spans="1:5" x14ac:dyDescent="0.25">
      <c r="A1378" s="130" t="s">
        <v>17856</v>
      </c>
      <c r="B1378" t="s">
        <v>24748</v>
      </c>
      <c r="C1378">
        <v>1</v>
      </c>
      <c r="D1378" t="s">
        <v>23629</v>
      </c>
      <c r="E1378" t="s">
        <v>23632</v>
      </c>
    </row>
    <row r="1379" spans="1:5" x14ac:dyDescent="0.25">
      <c r="A1379" s="131" t="s">
        <v>17856</v>
      </c>
      <c r="B1379" t="s">
        <v>24749</v>
      </c>
      <c r="C1379">
        <v>1.1000000000000001</v>
      </c>
      <c r="D1379" t="s">
        <v>23629</v>
      </c>
      <c r="E1379" t="s">
        <v>23632</v>
      </c>
    </row>
    <row r="1380" spans="1:5" x14ac:dyDescent="0.25">
      <c r="A1380" s="130" t="str">
        <f>LEFT(B1380,1)</f>
        <v>D</v>
      </c>
      <c r="B1380" t="s">
        <v>29006</v>
      </c>
      <c r="C1380">
        <v>1</v>
      </c>
      <c r="D1380" t="s">
        <v>23629</v>
      </c>
      <c r="E1380" t="s">
        <v>23632</v>
      </c>
    </row>
    <row r="1381" spans="1:5" x14ac:dyDescent="0.25">
      <c r="A1381" s="130" t="s">
        <v>17856</v>
      </c>
      <c r="B1381" t="s">
        <v>24750</v>
      </c>
      <c r="C1381">
        <v>1</v>
      </c>
      <c r="D1381" t="s">
        <v>23629</v>
      </c>
      <c r="E1381" t="s">
        <v>23632</v>
      </c>
    </row>
    <row r="1382" spans="1:5" x14ac:dyDescent="0.25">
      <c r="A1382" s="131" t="s">
        <v>17856</v>
      </c>
      <c r="B1382" t="s">
        <v>24751</v>
      </c>
      <c r="C1382">
        <v>1</v>
      </c>
      <c r="D1382" t="s">
        <v>23629</v>
      </c>
      <c r="E1382" t="s">
        <v>23632</v>
      </c>
    </row>
    <row r="1383" spans="1:5" x14ac:dyDescent="0.25">
      <c r="A1383" s="131" t="s">
        <v>17856</v>
      </c>
      <c r="B1383" t="s">
        <v>24752</v>
      </c>
      <c r="C1383">
        <v>1</v>
      </c>
      <c r="D1383" t="s">
        <v>23629</v>
      </c>
      <c r="E1383" t="s">
        <v>23632</v>
      </c>
    </row>
    <row r="1384" spans="1:5" x14ac:dyDescent="0.25">
      <c r="A1384" s="130" t="s">
        <v>17856</v>
      </c>
      <c r="B1384" t="s">
        <v>24753</v>
      </c>
      <c r="C1384">
        <v>1</v>
      </c>
      <c r="D1384" t="s">
        <v>23629</v>
      </c>
      <c r="E1384" t="s">
        <v>23632</v>
      </c>
    </row>
    <row r="1385" spans="1:5" x14ac:dyDescent="0.25">
      <c r="A1385" s="130" t="str">
        <f>LEFT(B1385,1)</f>
        <v>D</v>
      </c>
      <c r="B1385" t="s">
        <v>29007</v>
      </c>
      <c r="C1385">
        <v>1</v>
      </c>
      <c r="D1385" t="s">
        <v>23629</v>
      </c>
      <c r="E1385" t="s">
        <v>23632</v>
      </c>
    </row>
    <row r="1386" spans="1:5" x14ac:dyDescent="0.25">
      <c r="A1386" s="130" t="str">
        <f>LEFT(B1386,1)</f>
        <v>D</v>
      </c>
      <c r="B1386" t="s">
        <v>24867</v>
      </c>
      <c r="C1386">
        <v>1</v>
      </c>
      <c r="D1386" t="s">
        <v>23629</v>
      </c>
      <c r="E1386" t="s">
        <v>23632</v>
      </c>
    </row>
    <row r="1387" spans="1:5" x14ac:dyDescent="0.25">
      <c r="A1387" s="131" t="s">
        <v>17856</v>
      </c>
      <c r="B1387" t="s">
        <v>24754</v>
      </c>
      <c r="C1387">
        <v>1</v>
      </c>
      <c r="D1387" t="s">
        <v>23629</v>
      </c>
      <c r="E1387" t="s">
        <v>23632</v>
      </c>
    </row>
    <row r="1388" spans="1:5" x14ac:dyDescent="0.25">
      <c r="A1388" s="131" t="s">
        <v>17856</v>
      </c>
      <c r="B1388" t="s">
        <v>24755</v>
      </c>
      <c r="C1388">
        <v>1</v>
      </c>
      <c r="D1388" t="s">
        <v>23629</v>
      </c>
      <c r="E1388" t="s">
        <v>23632</v>
      </c>
    </row>
    <row r="1389" spans="1:5" x14ac:dyDescent="0.25">
      <c r="A1389" s="130" t="s">
        <v>17856</v>
      </c>
      <c r="B1389" t="s">
        <v>24756</v>
      </c>
      <c r="C1389">
        <v>1</v>
      </c>
      <c r="D1389" t="s">
        <v>23629</v>
      </c>
      <c r="E1389" t="s">
        <v>23632</v>
      </c>
    </row>
    <row r="1390" spans="1:5" x14ac:dyDescent="0.25">
      <c r="A1390" s="131" t="s">
        <v>17856</v>
      </c>
      <c r="B1390" t="s">
        <v>24757</v>
      </c>
      <c r="C1390">
        <v>1</v>
      </c>
      <c r="D1390" t="s">
        <v>23629</v>
      </c>
      <c r="E1390" t="s">
        <v>23632</v>
      </c>
    </row>
    <row r="1391" spans="1:5" x14ac:dyDescent="0.25">
      <c r="A1391" s="130" t="s">
        <v>17856</v>
      </c>
      <c r="B1391" t="s">
        <v>24758</v>
      </c>
      <c r="C1391">
        <v>1</v>
      </c>
      <c r="D1391" t="s">
        <v>23629</v>
      </c>
      <c r="E1391" t="s">
        <v>23632</v>
      </c>
    </row>
    <row r="1392" spans="1:5" x14ac:dyDescent="0.25">
      <c r="A1392" s="130" t="str">
        <f>LEFT(B1392,1)</f>
        <v>D</v>
      </c>
      <c r="B1392" t="s">
        <v>28738</v>
      </c>
      <c r="C1392">
        <v>1</v>
      </c>
      <c r="D1392" t="s">
        <v>23629</v>
      </c>
      <c r="E1392" t="s">
        <v>23632</v>
      </c>
    </row>
    <row r="1393" spans="1:5" x14ac:dyDescent="0.25">
      <c r="A1393" s="130" t="s">
        <v>17856</v>
      </c>
      <c r="B1393" t="s">
        <v>24759</v>
      </c>
      <c r="C1393">
        <v>1</v>
      </c>
      <c r="D1393" t="s">
        <v>23629</v>
      </c>
      <c r="E1393" t="s">
        <v>23632</v>
      </c>
    </row>
    <row r="1394" spans="1:5" x14ac:dyDescent="0.25">
      <c r="A1394" s="130" t="str">
        <f>LEFT((B1394),1)</f>
        <v>D</v>
      </c>
      <c r="B1394" t="s">
        <v>24760</v>
      </c>
      <c r="C1394">
        <v>1</v>
      </c>
      <c r="D1394" t="s">
        <v>23629</v>
      </c>
      <c r="E1394" t="s">
        <v>23632</v>
      </c>
    </row>
    <row r="1395" spans="1:5" x14ac:dyDescent="0.25">
      <c r="A1395" s="131" t="s">
        <v>17856</v>
      </c>
      <c r="B1395" t="s">
        <v>24761</v>
      </c>
      <c r="C1395">
        <v>1</v>
      </c>
      <c r="D1395" t="s">
        <v>23629</v>
      </c>
      <c r="E1395" t="s">
        <v>23632</v>
      </c>
    </row>
    <row r="1396" spans="1:5" x14ac:dyDescent="0.25">
      <c r="A1396" s="130" t="s">
        <v>17856</v>
      </c>
      <c r="B1396" t="s">
        <v>24762</v>
      </c>
      <c r="C1396">
        <v>1</v>
      </c>
      <c r="D1396" t="s">
        <v>23629</v>
      </c>
      <c r="E1396" t="s">
        <v>23632</v>
      </c>
    </row>
    <row r="1397" spans="1:5" x14ac:dyDescent="0.25">
      <c r="A1397" s="131" t="s">
        <v>17856</v>
      </c>
      <c r="B1397" t="s">
        <v>24763</v>
      </c>
      <c r="C1397">
        <v>1</v>
      </c>
      <c r="D1397" t="s">
        <v>23629</v>
      </c>
      <c r="E1397" t="s">
        <v>23632</v>
      </c>
    </row>
    <row r="1398" spans="1:5" x14ac:dyDescent="0.25">
      <c r="A1398" s="131" t="str">
        <f>LEFT(B1398,1)</f>
        <v>D</v>
      </c>
      <c r="B1398" t="s">
        <v>24868</v>
      </c>
      <c r="C1398">
        <v>1</v>
      </c>
      <c r="D1398" t="s">
        <v>23629</v>
      </c>
      <c r="E1398" t="s">
        <v>23632</v>
      </c>
    </row>
    <row r="1399" spans="1:5" x14ac:dyDescent="0.25">
      <c r="A1399" s="130" t="s">
        <v>17856</v>
      </c>
      <c r="B1399" t="s">
        <v>24764</v>
      </c>
      <c r="C1399">
        <v>1</v>
      </c>
      <c r="D1399" t="s">
        <v>23629</v>
      </c>
      <c r="E1399" t="s">
        <v>23632</v>
      </c>
    </row>
    <row r="1400" spans="1:5" x14ac:dyDescent="0.25">
      <c r="A1400" s="131" t="str">
        <f>LEFT((B1400),1)</f>
        <v>D</v>
      </c>
      <c r="B1400" t="s">
        <v>24765</v>
      </c>
      <c r="C1400">
        <v>1</v>
      </c>
      <c r="D1400" t="s">
        <v>23629</v>
      </c>
      <c r="E1400" t="s">
        <v>23632</v>
      </c>
    </row>
    <row r="1401" spans="1:5" x14ac:dyDescent="0.25">
      <c r="A1401" s="131" t="s">
        <v>17856</v>
      </c>
      <c r="B1401" t="s">
        <v>24766</v>
      </c>
      <c r="C1401">
        <v>1</v>
      </c>
      <c r="D1401" t="s">
        <v>23629</v>
      </c>
      <c r="E1401" t="s">
        <v>23632</v>
      </c>
    </row>
    <row r="1402" spans="1:5" x14ac:dyDescent="0.25">
      <c r="A1402" s="130" t="s">
        <v>17856</v>
      </c>
      <c r="B1402" t="s">
        <v>24767</v>
      </c>
      <c r="C1402">
        <v>1.1000000000000001</v>
      </c>
      <c r="D1402" t="s">
        <v>23629</v>
      </c>
      <c r="E1402" t="s">
        <v>23632</v>
      </c>
    </row>
    <row r="1403" spans="1:5" x14ac:dyDescent="0.25">
      <c r="A1403" s="131" t="s">
        <v>17856</v>
      </c>
      <c r="B1403" t="s">
        <v>24768</v>
      </c>
      <c r="C1403">
        <v>1</v>
      </c>
      <c r="D1403" t="s">
        <v>23629</v>
      </c>
      <c r="E1403" t="s">
        <v>23632</v>
      </c>
    </row>
    <row r="1404" spans="1:5" x14ac:dyDescent="0.25">
      <c r="A1404" s="130" t="s">
        <v>17856</v>
      </c>
      <c r="B1404" t="s">
        <v>24769</v>
      </c>
      <c r="C1404">
        <v>1</v>
      </c>
      <c r="D1404" t="s">
        <v>23629</v>
      </c>
      <c r="E1404" t="s">
        <v>23632</v>
      </c>
    </row>
    <row r="1405" spans="1:5" x14ac:dyDescent="0.25">
      <c r="A1405" s="130" t="s">
        <v>17856</v>
      </c>
      <c r="B1405" t="s">
        <v>24770</v>
      </c>
      <c r="C1405">
        <v>1</v>
      </c>
      <c r="D1405" t="s">
        <v>23629</v>
      </c>
      <c r="E1405" t="s">
        <v>23632</v>
      </c>
    </row>
    <row r="1406" spans="1:5" x14ac:dyDescent="0.25">
      <c r="A1406" s="130" t="str">
        <f>LEFT(B1406,1)</f>
        <v>D</v>
      </c>
      <c r="B1406" t="s">
        <v>29216</v>
      </c>
      <c r="C1406">
        <v>1</v>
      </c>
      <c r="D1406" t="s">
        <v>23629</v>
      </c>
      <c r="E1406" t="s">
        <v>23632</v>
      </c>
    </row>
    <row r="1407" spans="1:5" x14ac:dyDescent="0.25">
      <c r="A1407" s="131" t="s">
        <v>17856</v>
      </c>
      <c r="B1407" t="s">
        <v>24771</v>
      </c>
      <c r="C1407">
        <v>1</v>
      </c>
      <c r="D1407" t="s">
        <v>23629</v>
      </c>
      <c r="E1407" t="s">
        <v>23632</v>
      </c>
    </row>
    <row r="1408" spans="1:5" x14ac:dyDescent="0.25">
      <c r="A1408" s="130" t="s">
        <v>17856</v>
      </c>
      <c r="B1408" t="s">
        <v>24772</v>
      </c>
      <c r="C1408">
        <v>1</v>
      </c>
      <c r="D1408" t="s">
        <v>23629</v>
      </c>
      <c r="E1408" t="s">
        <v>23632</v>
      </c>
    </row>
    <row r="1409" spans="1:5" x14ac:dyDescent="0.25">
      <c r="A1409" s="131" t="s">
        <v>17856</v>
      </c>
      <c r="B1409" t="s">
        <v>24773</v>
      </c>
      <c r="C1409">
        <v>1</v>
      </c>
      <c r="D1409" t="s">
        <v>23629</v>
      </c>
      <c r="E1409" t="s">
        <v>23632</v>
      </c>
    </row>
    <row r="1410" spans="1:5" x14ac:dyDescent="0.25">
      <c r="A1410" s="130" t="s">
        <v>17856</v>
      </c>
      <c r="B1410" t="s">
        <v>24774</v>
      </c>
      <c r="C1410">
        <v>1</v>
      </c>
      <c r="D1410" t="s">
        <v>23629</v>
      </c>
      <c r="E1410" t="s">
        <v>23632</v>
      </c>
    </row>
    <row r="1411" spans="1:5" x14ac:dyDescent="0.25">
      <c r="A1411" s="130" t="str">
        <f>LEFT(B1411,1)</f>
        <v>D</v>
      </c>
      <c r="B1411" t="s">
        <v>28739</v>
      </c>
      <c r="C1411">
        <v>1</v>
      </c>
      <c r="D1411" t="s">
        <v>23629</v>
      </c>
      <c r="E1411" t="s">
        <v>23632</v>
      </c>
    </row>
    <row r="1412" spans="1:5" x14ac:dyDescent="0.25">
      <c r="A1412" s="131" t="s">
        <v>17856</v>
      </c>
      <c r="B1412" t="s">
        <v>24775</v>
      </c>
      <c r="C1412">
        <v>1</v>
      </c>
      <c r="D1412" t="s">
        <v>23629</v>
      </c>
      <c r="E1412" t="s">
        <v>23632</v>
      </c>
    </row>
    <row r="1413" spans="1:5" x14ac:dyDescent="0.25">
      <c r="A1413" s="130" t="s">
        <v>17856</v>
      </c>
      <c r="B1413" t="s">
        <v>24776</v>
      </c>
      <c r="C1413">
        <v>1</v>
      </c>
      <c r="D1413" t="s">
        <v>23629</v>
      </c>
      <c r="E1413" t="s">
        <v>23632</v>
      </c>
    </row>
    <row r="1414" spans="1:5" x14ac:dyDescent="0.25">
      <c r="A1414" s="131" t="s">
        <v>17856</v>
      </c>
      <c r="B1414" t="s">
        <v>24777</v>
      </c>
      <c r="C1414">
        <v>1</v>
      </c>
      <c r="D1414" t="s">
        <v>23629</v>
      </c>
      <c r="E1414" t="s">
        <v>23632</v>
      </c>
    </row>
    <row r="1415" spans="1:5" x14ac:dyDescent="0.25">
      <c r="A1415" s="130" t="s">
        <v>17856</v>
      </c>
      <c r="B1415" t="s">
        <v>24778</v>
      </c>
      <c r="C1415">
        <v>1</v>
      </c>
      <c r="D1415" t="s">
        <v>23629</v>
      </c>
      <c r="E1415" t="s">
        <v>23632</v>
      </c>
    </row>
    <row r="1416" spans="1:5" x14ac:dyDescent="0.25">
      <c r="A1416" s="130" t="str">
        <f>LEFT(B1416,1)</f>
        <v>D</v>
      </c>
      <c r="B1416" t="s">
        <v>28435</v>
      </c>
      <c r="C1416">
        <v>1</v>
      </c>
      <c r="D1416" t="s">
        <v>23629</v>
      </c>
      <c r="E1416" t="s">
        <v>23632</v>
      </c>
    </row>
    <row r="1417" spans="1:5" x14ac:dyDescent="0.25">
      <c r="A1417" s="130" t="s">
        <v>17856</v>
      </c>
      <c r="B1417" t="s">
        <v>24779</v>
      </c>
      <c r="C1417">
        <v>1</v>
      </c>
      <c r="D1417" t="s">
        <v>23629</v>
      </c>
      <c r="E1417" t="s">
        <v>23632</v>
      </c>
    </row>
    <row r="1418" spans="1:5" x14ac:dyDescent="0.25">
      <c r="A1418" s="131" t="s">
        <v>17856</v>
      </c>
      <c r="B1418" t="s">
        <v>24780</v>
      </c>
      <c r="C1418">
        <v>1</v>
      </c>
      <c r="D1418" t="s">
        <v>23629</v>
      </c>
      <c r="E1418" t="s">
        <v>23632</v>
      </c>
    </row>
    <row r="1419" spans="1:5" x14ac:dyDescent="0.25">
      <c r="A1419" s="130" t="str">
        <f>LEFT(B1419,1)</f>
        <v>D</v>
      </c>
      <c r="B1419" t="s">
        <v>29008</v>
      </c>
      <c r="C1419">
        <v>1</v>
      </c>
      <c r="D1419" t="s">
        <v>23629</v>
      </c>
      <c r="E1419" t="s">
        <v>23632</v>
      </c>
    </row>
    <row r="1420" spans="1:5" x14ac:dyDescent="0.25">
      <c r="A1420" s="130" t="str">
        <f>LEFT((B1420),1)</f>
        <v>D</v>
      </c>
      <c r="B1420" t="s">
        <v>24781</v>
      </c>
      <c r="C1420">
        <v>1</v>
      </c>
      <c r="D1420" t="s">
        <v>23629</v>
      </c>
      <c r="E1420" t="s">
        <v>23632</v>
      </c>
    </row>
    <row r="1421" spans="1:5" x14ac:dyDescent="0.25">
      <c r="A1421" s="131" t="s">
        <v>17856</v>
      </c>
      <c r="B1421" t="s">
        <v>24782</v>
      </c>
      <c r="C1421">
        <v>1</v>
      </c>
      <c r="D1421" t="s">
        <v>23629</v>
      </c>
      <c r="E1421" t="s">
        <v>23632</v>
      </c>
    </row>
    <row r="1422" spans="1:5" x14ac:dyDescent="0.25">
      <c r="A1422" s="130" t="str">
        <f>LEFT(B1422,1)</f>
        <v>D</v>
      </c>
      <c r="B1422" t="s">
        <v>24869</v>
      </c>
      <c r="C1422">
        <v>1</v>
      </c>
      <c r="D1422" t="s">
        <v>23629</v>
      </c>
      <c r="E1422" t="s">
        <v>23632</v>
      </c>
    </row>
    <row r="1423" spans="1:5" x14ac:dyDescent="0.25">
      <c r="A1423" s="130" t="str">
        <f>LEFT(B1423,1)</f>
        <v>D</v>
      </c>
      <c r="B1423" t="s">
        <v>29217</v>
      </c>
      <c r="C1423">
        <v>1</v>
      </c>
      <c r="D1423" t="s">
        <v>23629</v>
      </c>
      <c r="E1423" t="s">
        <v>23632</v>
      </c>
    </row>
    <row r="1424" spans="1:5" x14ac:dyDescent="0.25">
      <c r="A1424" s="131" t="str">
        <f>LEFT(B1424,1)</f>
        <v>D</v>
      </c>
      <c r="B1424" t="s">
        <v>24870</v>
      </c>
      <c r="C1424">
        <v>1</v>
      </c>
      <c r="D1424" t="s">
        <v>23629</v>
      </c>
      <c r="E1424" t="s">
        <v>23632</v>
      </c>
    </row>
    <row r="1425" spans="1:5" x14ac:dyDescent="0.25">
      <c r="A1425" s="131" t="s">
        <v>17856</v>
      </c>
      <c r="B1425" t="s">
        <v>24783</v>
      </c>
      <c r="C1425">
        <v>1</v>
      </c>
      <c r="D1425" t="s">
        <v>23629</v>
      </c>
      <c r="E1425" t="s">
        <v>23632</v>
      </c>
    </row>
    <row r="1426" spans="1:5" x14ac:dyDescent="0.25">
      <c r="A1426" s="130" t="s">
        <v>17856</v>
      </c>
      <c r="B1426" t="s">
        <v>24784</v>
      </c>
      <c r="C1426">
        <v>1</v>
      </c>
      <c r="D1426" t="s">
        <v>23629</v>
      </c>
      <c r="E1426" t="s">
        <v>23632</v>
      </c>
    </row>
    <row r="1427" spans="1:5" x14ac:dyDescent="0.25">
      <c r="A1427" s="130" t="str">
        <f>LEFT(B1427,1)</f>
        <v>D</v>
      </c>
      <c r="B1427" t="s">
        <v>29009</v>
      </c>
      <c r="C1427">
        <v>1</v>
      </c>
      <c r="D1427" t="s">
        <v>23629</v>
      </c>
      <c r="E1427" t="s">
        <v>23632</v>
      </c>
    </row>
    <row r="1428" spans="1:5" x14ac:dyDescent="0.25">
      <c r="A1428" s="130" t="str">
        <f>LEFT(B1428,1)</f>
        <v>D</v>
      </c>
      <c r="B1428" t="s">
        <v>29010</v>
      </c>
      <c r="C1428">
        <v>1</v>
      </c>
      <c r="D1428" t="s">
        <v>23629</v>
      </c>
      <c r="E1428" t="s">
        <v>23632</v>
      </c>
    </row>
    <row r="1429" spans="1:5" x14ac:dyDescent="0.25">
      <c r="A1429" s="131" t="s">
        <v>17856</v>
      </c>
      <c r="B1429" t="s">
        <v>24785</v>
      </c>
      <c r="C1429">
        <v>1</v>
      </c>
      <c r="D1429" t="s">
        <v>23629</v>
      </c>
      <c r="E1429" t="s">
        <v>23632</v>
      </c>
    </row>
    <row r="1430" spans="1:5" x14ac:dyDescent="0.25">
      <c r="A1430" s="130" t="str">
        <f>LEFT(B1430,1)</f>
        <v>D</v>
      </c>
      <c r="B1430" t="s">
        <v>24887</v>
      </c>
      <c r="C1430">
        <v>1</v>
      </c>
      <c r="D1430" t="s">
        <v>23629</v>
      </c>
      <c r="E1430" t="s">
        <v>23632</v>
      </c>
    </row>
    <row r="1431" spans="1:5" x14ac:dyDescent="0.25">
      <c r="A1431" s="131" t="str">
        <f>LEFT((B1431),1)</f>
        <v>D</v>
      </c>
      <c r="B1431" t="s">
        <v>24786</v>
      </c>
      <c r="C1431">
        <v>1</v>
      </c>
      <c r="D1431" t="s">
        <v>23629</v>
      </c>
      <c r="E1431" t="s">
        <v>23632</v>
      </c>
    </row>
    <row r="1432" spans="1:5" x14ac:dyDescent="0.25">
      <c r="A1432" s="130" t="s">
        <v>17856</v>
      </c>
      <c r="B1432" t="s">
        <v>24787</v>
      </c>
      <c r="C1432">
        <v>1</v>
      </c>
      <c r="D1432" t="s">
        <v>23629</v>
      </c>
      <c r="E1432" t="s">
        <v>23632</v>
      </c>
    </row>
    <row r="1433" spans="1:5" x14ac:dyDescent="0.25">
      <c r="A1433" s="130" t="str">
        <f>LEFT(B1433,1)</f>
        <v>D</v>
      </c>
      <c r="B1433" t="s">
        <v>28740</v>
      </c>
      <c r="C1433">
        <v>1</v>
      </c>
      <c r="D1433" t="s">
        <v>23629</v>
      </c>
      <c r="E1433" t="s">
        <v>23632</v>
      </c>
    </row>
    <row r="1434" spans="1:5" x14ac:dyDescent="0.25">
      <c r="A1434" s="130" t="str">
        <f>LEFT(B1434,1)</f>
        <v>D</v>
      </c>
      <c r="B1434" t="s">
        <v>24871</v>
      </c>
      <c r="C1434">
        <v>1</v>
      </c>
      <c r="D1434" t="s">
        <v>23629</v>
      </c>
      <c r="E1434" t="s">
        <v>23632</v>
      </c>
    </row>
    <row r="1435" spans="1:5" x14ac:dyDescent="0.25">
      <c r="A1435" s="131" t="s">
        <v>17856</v>
      </c>
      <c r="B1435" t="s">
        <v>24788</v>
      </c>
      <c r="C1435">
        <v>1</v>
      </c>
      <c r="D1435" t="s">
        <v>23629</v>
      </c>
      <c r="E1435" t="s">
        <v>23632</v>
      </c>
    </row>
    <row r="1436" spans="1:5" x14ac:dyDescent="0.25">
      <c r="A1436" s="131" t="str">
        <f>LEFT(B1436,1)</f>
        <v>D</v>
      </c>
      <c r="B1436" t="s">
        <v>24888</v>
      </c>
      <c r="C1436">
        <v>1</v>
      </c>
      <c r="D1436" t="s">
        <v>23629</v>
      </c>
      <c r="E1436" t="s">
        <v>23632</v>
      </c>
    </row>
    <row r="1437" spans="1:5" x14ac:dyDescent="0.25">
      <c r="A1437" s="130" t="s">
        <v>17856</v>
      </c>
      <c r="B1437" t="s">
        <v>24789</v>
      </c>
      <c r="C1437">
        <v>1</v>
      </c>
      <c r="D1437" t="s">
        <v>23629</v>
      </c>
      <c r="E1437" t="s">
        <v>23632</v>
      </c>
    </row>
    <row r="1438" spans="1:5" x14ac:dyDescent="0.25">
      <c r="A1438" s="130" t="s">
        <v>17856</v>
      </c>
      <c r="B1438" t="s">
        <v>24790</v>
      </c>
      <c r="C1438">
        <v>1</v>
      </c>
      <c r="D1438" t="s">
        <v>23629</v>
      </c>
      <c r="E1438" t="s">
        <v>23632</v>
      </c>
    </row>
    <row r="1439" spans="1:5" x14ac:dyDescent="0.25">
      <c r="A1439" s="131" t="s">
        <v>17856</v>
      </c>
      <c r="B1439" t="s">
        <v>24791</v>
      </c>
      <c r="C1439">
        <v>1</v>
      </c>
      <c r="D1439" t="s">
        <v>23629</v>
      </c>
      <c r="E1439" t="s">
        <v>23632</v>
      </c>
    </row>
    <row r="1440" spans="1:5" x14ac:dyDescent="0.25">
      <c r="A1440" s="131" t="s">
        <v>17856</v>
      </c>
      <c r="B1440" t="s">
        <v>24792</v>
      </c>
      <c r="C1440">
        <v>1</v>
      </c>
      <c r="D1440" t="s">
        <v>23629</v>
      </c>
      <c r="E1440" t="s">
        <v>23632</v>
      </c>
    </row>
    <row r="1441" spans="1:5" x14ac:dyDescent="0.25">
      <c r="A1441" s="130" t="str">
        <f>LEFT(B1441,1)</f>
        <v>D</v>
      </c>
      <c r="B1441" t="s">
        <v>24881</v>
      </c>
      <c r="C1441">
        <v>1</v>
      </c>
      <c r="D1441" t="s">
        <v>23629</v>
      </c>
      <c r="E1441" t="s">
        <v>23632</v>
      </c>
    </row>
    <row r="1442" spans="1:5" x14ac:dyDescent="0.25">
      <c r="A1442" s="130" t="s">
        <v>17856</v>
      </c>
      <c r="B1442" t="s">
        <v>24793</v>
      </c>
      <c r="C1442">
        <v>1</v>
      </c>
      <c r="D1442" t="s">
        <v>23629</v>
      </c>
      <c r="E1442" t="s">
        <v>23632</v>
      </c>
    </row>
    <row r="1443" spans="1:5" x14ac:dyDescent="0.25">
      <c r="A1443" s="131" t="s">
        <v>17856</v>
      </c>
      <c r="B1443" t="s">
        <v>24794</v>
      </c>
      <c r="C1443">
        <v>1</v>
      </c>
      <c r="D1443" t="s">
        <v>23629</v>
      </c>
      <c r="E1443" t="s">
        <v>23632</v>
      </c>
    </row>
    <row r="1444" spans="1:5" x14ac:dyDescent="0.25">
      <c r="A1444" s="130" t="str">
        <f>LEFT(B1444,1)</f>
        <v>D</v>
      </c>
      <c r="B1444" t="s">
        <v>24889</v>
      </c>
      <c r="C1444">
        <v>1</v>
      </c>
      <c r="D1444" t="s">
        <v>23629</v>
      </c>
      <c r="E1444" t="s">
        <v>23632</v>
      </c>
    </row>
    <row r="1445" spans="1:5" x14ac:dyDescent="0.25">
      <c r="A1445" s="131" t="str">
        <f>LEFT(B1445,1)</f>
        <v>D</v>
      </c>
      <c r="B1445" t="s">
        <v>24890</v>
      </c>
      <c r="C1445">
        <v>1</v>
      </c>
      <c r="D1445" t="s">
        <v>23629</v>
      </c>
      <c r="E1445" t="s">
        <v>23632</v>
      </c>
    </row>
    <row r="1446" spans="1:5" x14ac:dyDescent="0.25">
      <c r="A1446" s="130" t="s">
        <v>17856</v>
      </c>
      <c r="B1446" t="s">
        <v>24795</v>
      </c>
      <c r="C1446">
        <v>1</v>
      </c>
      <c r="D1446" t="s">
        <v>23629</v>
      </c>
      <c r="E1446" t="s">
        <v>23632</v>
      </c>
    </row>
    <row r="1447" spans="1:5" x14ac:dyDescent="0.25">
      <c r="A1447" s="130" t="s">
        <v>17856</v>
      </c>
      <c r="B1447" t="s">
        <v>24796</v>
      </c>
      <c r="C1447">
        <v>1</v>
      </c>
      <c r="D1447" t="s">
        <v>23629</v>
      </c>
      <c r="E1447" t="s">
        <v>23632</v>
      </c>
    </row>
    <row r="1448" spans="1:5" x14ac:dyDescent="0.25">
      <c r="A1448" s="130" t="str">
        <f>LEFT((B1448),1)</f>
        <v>D</v>
      </c>
      <c r="B1448" t="s">
        <v>24797</v>
      </c>
      <c r="C1448">
        <v>1</v>
      </c>
      <c r="D1448" t="s">
        <v>23629</v>
      </c>
      <c r="E1448" t="s">
        <v>23632</v>
      </c>
    </row>
    <row r="1449" spans="1:5" x14ac:dyDescent="0.25">
      <c r="A1449" s="130" t="s">
        <v>17856</v>
      </c>
      <c r="B1449" t="s">
        <v>24798</v>
      </c>
      <c r="C1449">
        <v>1</v>
      </c>
      <c r="D1449" t="s">
        <v>23629</v>
      </c>
      <c r="E1449" t="s">
        <v>23632</v>
      </c>
    </row>
    <row r="1450" spans="1:5" x14ac:dyDescent="0.25">
      <c r="A1450" s="131" t="s">
        <v>17856</v>
      </c>
      <c r="B1450" t="s">
        <v>24799</v>
      </c>
      <c r="C1450">
        <v>1</v>
      </c>
      <c r="D1450" t="s">
        <v>23629</v>
      </c>
      <c r="E1450" t="s">
        <v>23632</v>
      </c>
    </row>
    <row r="1451" spans="1:5" x14ac:dyDescent="0.25">
      <c r="A1451" s="130" t="s">
        <v>17856</v>
      </c>
      <c r="B1451" t="s">
        <v>24800</v>
      </c>
      <c r="C1451">
        <v>1</v>
      </c>
      <c r="D1451" t="s">
        <v>23629</v>
      </c>
      <c r="E1451" t="s">
        <v>23632</v>
      </c>
    </row>
    <row r="1452" spans="1:5" x14ac:dyDescent="0.25">
      <c r="A1452" s="131" t="s">
        <v>17856</v>
      </c>
      <c r="B1452" t="s">
        <v>24801</v>
      </c>
      <c r="C1452">
        <v>1</v>
      </c>
      <c r="D1452" t="s">
        <v>23629</v>
      </c>
      <c r="E1452" t="s">
        <v>23632</v>
      </c>
    </row>
    <row r="1453" spans="1:5" x14ac:dyDescent="0.25">
      <c r="A1453" s="131" t="s">
        <v>17856</v>
      </c>
      <c r="B1453" t="s">
        <v>24802</v>
      </c>
      <c r="C1453">
        <v>1</v>
      </c>
      <c r="D1453" t="s">
        <v>23629</v>
      </c>
      <c r="E1453" t="s">
        <v>23632</v>
      </c>
    </row>
    <row r="1454" spans="1:5" x14ac:dyDescent="0.25">
      <c r="A1454" s="130" t="s">
        <v>17856</v>
      </c>
      <c r="B1454" t="s">
        <v>24803</v>
      </c>
      <c r="C1454">
        <v>1</v>
      </c>
      <c r="D1454" t="s">
        <v>23629</v>
      </c>
      <c r="E1454" t="s">
        <v>23632</v>
      </c>
    </row>
    <row r="1455" spans="1:5" x14ac:dyDescent="0.25">
      <c r="A1455" s="131" t="s">
        <v>17856</v>
      </c>
      <c r="B1455" t="s">
        <v>24804</v>
      </c>
      <c r="C1455">
        <v>1</v>
      </c>
      <c r="D1455" t="s">
        <v>23629</v>
      </c>
      <c r="E1455" t="s">
        <v>23632</v>
      </c>
    </row>
    <row r="1456" spans="1:5" x14ac:dyDescent="0.25">
      <c r="A1456" s="130" t="str">
        <f>LEFT(B1456,1)</f>
        <v>D</v>
      </c>
      <c r="B1456" t="s">
        <v>29011</v>
      </c>
      <c r="C1456">
        <v>1</v>
      </c>
      <c r="D1456" t="s">
        <v>23629</v>
      </c>
      <c r="E1456" t="s">
        <v>23632</v>
      </c>
    </row>
    <row r="1457" spans="1:5" x14ac:dyDescent="0.25">
      <c r="A1457" s="130" t="s">
        <v>17856</v>
      </c>
      <c r="B1457" t="s">
        <v>24805</v>
      </c>
      <c r="C1457">
        <v>1</v>
      </c>
      <c r="D1457" t="s">
        <v>23629</v>
      </c>
      <c r="E1457" t="s">
        <v>23632</v>
      </c>
    </row>
    <row r="1458" spans="1:5" x14ac:dyDescent="0.25">
      <c r="A1458" s="130" t="str">
        <f>LEFT(B1458,1)</f>
        <v>D</v>
      </c>
      <c r="B1458" t="s">
        <v>24891</v>
      </c>
      <c r="C1458">
        <v>1</v>
      </c>
      <c r="D1458" t="s">
        <v>23629</v>
      </c>
      <c r="E1458" t="s">
        <v>23632</v>
      </c>
    </row>
    <row r="1459" spans="1:5" x14ac:dyDescent="0.25">
      <c r="A1459" s="130" t="str">
        <f>LEFT(B1459,1)</f>
        <v>D</v>
      </c>
      <c r="B1459" t="s">
        <v>28741</v>
      </c>
      <c r="C1459">
        <v>1</v>
      </c>
      <c r="D1459" t="s">
        <v>23629</v>
      </c>
      <c r="E1459" t="s">
        <v>23632</v>
      </c>
    </row>
    <row r="1460" spans="1:5" x14ac:dyDescent="0.25">
      <c r="A1460" s="130" t="str">
        <f>LEFT(B1460,1)</f>
        <v>D</v>
      </c>
      <c r="B1460" t="s">
        <v>29218</v>
      </c>
      <c r="C1460">
        <v>1</v>
      </c>
      <c r="D1460" t="s">
        <v>23629</v>
      </c>
      <c r="E1460" t="s">
        <v>23632</v>
      </c>
    </row>
    <row r="1461" spans="1:5" x14ac:dyDescent="0.25">
      <c r="A1461" s="131" t="s">
        <v>17856</v>
      </c>
      <c r="B1461" t="s">
        <v>24806</v>
      </c>
      <c r="C1461">
        <v>1</v>
      </c>
      <c r="D1461" t="s">
        <v>23629</v>
      </c>
      <c r="E1461" t="s">
        <v>23632</v>
      </c>
    </row>
    <row r="1462" spans="1:5" x14ac:dyDescent="0.25">
      <c r="A1462" s="130" t="str">
        <f>LEFT(B1462,1)</f>
        <v>D</v>
      </c>
      <c r="B1462" t="s">
        <v>29012</v>
      </c>
      <c r="C1462">
        <v>1</v>
      </c>
      <c r="D1462" t="s">
        <v>23629</v>
      </c>
      <c r="E1462" t="s">
        <v>23632</v>
      </c>
    </row>
    <row r="1463" spans="1:5" x14ac:dyDescent="0.25">
      <c r="A1463" s="131" t="str">
        <f>LEFT((B1463),1)</f>
        <v>D</v>
      </c>
      <c r="B1463" t="s">
        <v>24807</v>
      </c>
      <c r="C1463">
        <v>1</v>
      </c>
      <c r="D1463" t="s">
        <v>23629</v>
      </c>
      <c r="E1463" t="s">
        <v>23632</v>
      </c>
    </row>
    <row r="1464" spans="1:5" x14ac:dyDescent="0.25">
      <c r="A1464" s="130" t="str">
        <f>LEFT(B1464,1)</f>
        <v>D</v>
      </c>
      <c r="B1464" t="s">
        <v>28436</v>
      </c>
      <c r="C1464">
        <v>1</v>
      </c>
      <c r="D1464" t="s">
        <v>23629</v>
      </c>
      <c r="E1464" t="s">
        <v>23632</v>
      </c>
    </row>
    <row r="1465" spans="1:5" x14ac:dyDescent="0.25">
      <c r="A1465" s="130" t="str">
        <f>LEFT(B1465,1)</f>
        <v>D</v>
      </c>
      <c r="B1465" t="s">
        <v>29013</v>
      </c>
      <c r="C1465">
        <v>1</v>
      </c>
      <c r="D1465" t="s">
        <v>23629</v>
      </c>
      <c r="E1465" t="s">
        <v>23632</v>
      </c>
    </row>
    <row r="1466" spans="1:5" x14ac:dyDescent="0.25">
      <c r="A1466" s="131" t="str">
        <f>LEFT(B1466,1)</f>
        <v>D</v>
      </c>
      <c r="B1466" t="s">
        <v>24872</v>
      </c>
      <c r="C1466">
        <v>1</v>
      </c>
      <c r="D1466" t="s">
        <v>23629</v>
      </c>
      <c r="E1466" t="s">
        <v>23632</v>
      </c>
    </row>
    <row r="1467" spans="1:5" x14ac:dyDescent="0.25">
      <c r="A1467" s="130" t="s">
        <v>17856</v>
      </c>
      <c r="B1467" t="s">
        <v>24808</v>
      </c>
      <c r="C1467">
        <v>1</v>
      </c>
      <c r="D1467" t="s">
        <v>23629</v>
      </c>
      <c r="E1467" t="s">
        <v>23632</v>
      </c>
    </row>
    <row r="1468" spans="1:5" x14ac:dyDescent="0.25">
      <c r="A1468" s="130" t="str">
        <f>LEFT(B1468,1)</f>
        <v>D</v>
      </c>
      <c r="B1468" t="s">
        <v>28437</v>
      </c>
      <c r="C1468">
        <v>1</v>
      </c>
      <c r="D1468" t="s">
        <v>23629</v>
      </c>
      <c r="E1468" t="s">
        <v>23632</v>
      </c>
    </row>
    <row r="1469" spans="1:5" x14ac:dyDescent="0.25">
      <c r="A1469" s="131" t="s">
        <v>17856</v>
      </c>
      <c r="B1469" t="s">
        <v>24809</v>
      </c>
      <c r="C1469">
        <v>1</v>
      </c>
      <c r="D1469" t="s">
        <v>23629</v>
      </c>
      <c r="E1469" t="s">
        <v>23632</v>
      </c>
    </row>
    <row r="1470" spans="1:5" x14ac:dyDescent="0.25">
      <c r="A1470" s="130" t="s">
        <v>17856</v>
      </c>
      <c r="B1470" t="s">
        <v>24810</v>
      </c>
      <c r="C1470">
        <v>1</v>
      </c>
      <c r="D1470" t="s">
        <v>23629</v>
      </c>
      <c r="E1470" t="s">
        <v>23632</v>
      </c>
    </row>
    <row r="1471" spans="1:5" x14ac:dyDescent="0.25">
      <c r="A1471" s="130" t="str">
        <f>LEFT(B1471,1)</f>
        <v>D</v>
      </c>
      <c r="B1471" t="s">
        <v>28438</v>
      </c>
      <c r="C1471">
        <v>1</v>
      </c>
      <c r="D1471" t="s">
        <v>23629</v>
      </c>
      <c r="E1471" t="s">
        <v>23632</v>
      </c>
    </row>
    <row r="1472" spans="1:5" x14ac:dyDescent="0.25">
      <c r="A1472" s="131" t="s">
        <v>17856</v>
      </c>
      <c r="B1472" t="s">
        <v>24811</v>
      </c>
      <c r="C1472">
        <v>1</v>
      </c>
      <c r="D1472" t="s">
        <v>23629</v>
      </c>
      <c r="E1472" t="s">
        <v>23632</v>
      </c>
    </row>
    <row r="1473" spans="1:5" x14ac:dyDescent="0.25">
      <c r="A1473" s="130" t="s">
        <v>17856</v>
      </c>
      <c r="B1473" t="s">
        <v>24812</v>
      </c>
      <c r="C1473">
        <v>1</v>
      </c>
      <c r="D1473" t="s">
        <v>23629</v>
      </c>
      <c r="E1473" t="s">
        <v>23632</v>
      </c>
    </row>
    <row r="1474" spans="1:5" x14ac:dyDescent="0.25">
      <c r="A1474" s="131" t="s">
        <v>17856</v>
      </c>
      <c r="B1474" t="s">
        <v>24813</v>
      </c>
      <c r="C1474">
        <v>1</v>
      </c>
      <c r="D1474" t="s">
        <v>23629</v>
      </c>
      <c r="E1474" t="s">
        <v>23632</v>
      </c>
    </row>
    <row r="1475" spans="1:5" x14ac:dyDescent="0.25">
      <c r="A1475" s="131" t="s">
        <v>17856</v>
      </c>
      <c r="B1475" t="s">
        <v>24814</v>
      </c>
      <c r="C1475">
        <v>1</v>
      </c>
      <c r="D1475" t="s">
        <v>23629</v>
      </c>
      <c r="E1475" t="s">
        <v>23632</v>
      </c>
    </row>
    <row r="1476" spans="1:5" x14ac:dyDescent="0.25">
      <c r="A1476" s="130" t="s">
        <v>17856</v>
      </c>
      <c r="B1476" t="s">
        <v>24815</v>
      </c>
      <c r="C1476">
        <v>1</v>
      </c>
      <c r="D1476" t="s">
        <v>23629</v>
      </c>
      <c r="E1476" t="s">
        <v>23632</v>
      </c>
    </row>
    <row r="1477" spans="1:5" x14ac:dyDescent="0.25">
      <c r="A1477" s="130" t="str">
        <f>LEFT(B1477,1)</f>
        <v>D</v>
      </c>
      <c r="B1477" t="s">
        <v>29219</v>
      </c>
      <c r="C1477">
        <v>1</v>
      </c>
      <c r="D1477" t="s">
        <v>23629</v>
      </c>
      <c r="E1477" t="s">
        <v>23632</v>
      </c>
    </row>
    <row r="1478" spans="1:5" x14ac:dyDescent="0.25">
      <c r="A1478" s="131" t="s">
        <v>17856</v>
      </c>
      <c r="B1478" t="s">
        <v>24816</v>
      </c>
      <c r="C1478">
        <v>1</v>
      </c>
      <c r="D1478" t="s">
        <v>23629</v>
      </c>
      <c r="E1478" t="s">
        <v>23632</v>
      </c>
    </row>
    <row r="1479" spans="1:5" x14ac:dyDescent="0.25">
      <c r="A1479" s="130" t="s">
        <v>17856</v>
      </c>
      <c r="B1479" t="s">
        <v>24817</v>
      </c>
      <c r="C1479">
        <v>1</v>
      </c>
      <c r="D1479" t="s">
        <v>23629</v>
      </c>
      <c r="E1479" t="s">
        <v>23632</v>
      </c>
    </row>
    <row r="1480" spans="1:5" x14ac:dyDescent="0.25">
      <c r="A1480" s="131" t="s">
        <v>17856</v>
      </c>
      <c r="B1480" t="s">
        <v>24818</v>
      </c>
      <c r="C1480">
        <v>1</v>
      </c>
      <c r="D1480" t="s">
        <v>23629</v>
      </c>
      <c r="E1480" t="s">
        <v>23632</v>
      </c>
    </row>
    <row r="1481" spans="1:5" x14ac:dyDescent="0.25">
      <c r="A1481" s="130" t="s">
        <v>17856</v>
      </c>
      <c r="B1481" t="s">
        <v>24819</v>
      </c>
      <c r="C1481">
        <v>1</v>
      </c>
      <c r="D1481" t="s">
        <v>23629</v>
      </c>
      <c r="E1481" t="s">
        <v>23632</v>
      </c>
    </row>
    <row r="1482" spans="1:5" x14ac:dyDescent="0.25">
      <c r="A1482" s="131" t="s">
        <v>17856</v>
      </c>
      <c r="B1482" t="s">
        <v>24820</v>
      </c>
      <c r="C1482">
        <v>1</v>
      </c>
      <c r="D1482" t="s">
        <v>23629</v>
      </c>
      <c r="E1482" t="s">
        <v>23632</v>
      </c>
    </row>
    <row r="1483" spans="1:5" x14ac:dyDescent="0.25">
      <c r="A1483" s="131" t="s">
        <v>17856</v>
      </c>
      <c r="B1483" t="s">
        <v>24821</v>
      </c>
      <c r="C1483">
        <v>1</v>
      </c>
      <c r="D1483" t="s">
        <v>23629</v>
      </c>
      <c r="E1483" t="s">
        <v>23632</v>
      </c>
    </row>
    <row r="1484" spans="1:5" x14ac:dyDescent="0.25">
      <c r="A1484" s="130" t="s">
        <v>17856</v>
      </c>
      <c r="B1484" t="s">
        <v>24822</v>
      </c>
      <c r="C1484">
        <v>1</v>
      </c>
      <c r="D1484" t="s">
        <v>23629</v>
      </c>
      <c r="E1484" t="s">
        <v>23632</v>
      </c>
    </row>
    <row r="1485" spans="1:5" x14ac:dyDescent="0.25">
      <c r="A1485" s="130" t="str">
        <f>LEFT(B1485,1)</f>
        <v>D</v>
      </c>
      <c r="B1485" t="s">
        <v>24873</v>
      </c>
      <c r="C1485">
        <v>1</v>
      </c>
      <c r="D1485" t="s">
        <v>23629</v>
      </c>
      <c r="E1485" t="s">
        <v>23632</v>
      </c>
    </row>
    <row r="1486" spans="1:5" x14ac:dyDescent="0.25">
      <c r="A1486" s="130" t="str">
        <f>LEFT((B1486),1)</f>
        <v>D</v>
      </c>
      <c r="B1486" t="s">
        <v>24823</v>
      </c>
      <c r="C1486">
        <v>1</v>
      </c>
      <c r="D1486" t="s">
        <v>23629</v>
      </c>
      <c r="E1486" t="s">
        <v>23632</v>
      </c>
    </row>
    <row r="1487" spans="1:5" x14ac:dyDescent="0.25">
      <c r="A1487" s="130" t="s">
        <v>17856</v>
      </c>
      <c r="B1487" t="s">
        <v>24824</v>
      </c>
      <c r="C1487">
        <v>1</v>
      </c>
      <c r="D1487" t="s">
        <v>23629</v>
      </c>
      <c r="E1487" t="s">
        <v>23632</v>
      </c>
    </row>
    <row r="1488" spans="1:5" x14ac:dyDescent="0.25">
      <c r="A1488" s="131" t="s">
        <v>17856</v>
      </c>
      <c r="B1488" t="s">
        <v>24825</v>
      </c>
      <c r="C1488">
        <v>1</v>
      </c>
      <c r="D1488" t="s">
        <v>23629</v>
      </c>
      <c r="E1488" t="s">
        <v>23632</v>
      </c>
    </row>
    <row r="1489" spans="1:5" x14ac:dyDescent="0.25">
      <c r="A1489" s="131" t="str">
        <f>LEFT(B1489,1)</f>
        <v>D</v>
      </c>
      <c r="B1489" t="s">
        <v>24892</v>
      </c>
      <c r="C1489">
        <v>1</v>
      </c>
      <c r="D1489" t="s">
        <v>23629</v>
      </c>
      <c r="E1489" t="s">
        <v>23632</v>
      </c>
    </row>
    <row r="1490" spans="1:5" x14ac:dyDescent="0.25">
      <c r="A1490" s="130" t="str">
        <f>LEFT(B1490,1)</f>
        <v>D</v>
      </c>
      <c r="B1490" t="s">
        <v>24882</v>
      </c>
      <c r="C1490">
        <v>1</v>
      </c>
      <c r="D1490" t="s">
        <v>23629</v>
      </c>
      <c r="E1490" t="s">
        <v>23632</v>
      </c>
    </row>
    <row r="1491" spans="1:5" x14ac:dyDescent="0.25">
      <c r="A1491" s="130" t="s">
        <v>17856</v>
      </c>
      <c r="B1491" t="s">
        <v>24826</v>
      </c>
      <c r="C1491">
        <v>1</v>
      </c>
      <c r="D1491" t="s">
        <v>23629</v>
      </c>
      <c r="E1491" t="s">
        <v>23632</v>
      </c>
    </row>
    <row r="1492" spans="1:5" x14ac:dyDescent="0.25">
      <c r="A1492" s="131" t="s">
        <v>17856</v>
      </c>
      <c r="B1492" t="s">
        <v>24827</v>
      </c>
      <c r="C1492">
        <v>1</v>
      </c>
      <c r="D1492" t="s">
        <v>23629</v>
      </c>
      <c r="E1492" t="s">
        <v>23632</v>
      </c>
    </row>
    <row r="1493" spans="1:5" x14ac:dyDescent="0.25">
      <c r="A1493" s="130" t="str">
        <f>LEFT(B1493,1)</f>
        <v>D</v>
      </c>
      <c r="B1493" t="s">
        <v>28439</v>
      </c>
      <c r="C1493">
        <v>1</v>
      </c>
      <c r="D1493" t="s">
        <v>23629</v>
      </c>
      <c r="E1493" t="s">
        <v>23632</v>
      </c>
    </row>
    <row r="1494" spans="1:5" x14ac:dyDescent="0.25">
      <c r="A1494" s="130" t="s">
        <v>17856</v>
      </c>
      <c r="B1494" t="s">
        <v>24828</v>
      </c>
      <c r="C1494">
        <v>1</v>
      </c>
      <c r="D1494" t="s">
        <v>23629</v>
      </c>
      <c r="E1494" t="s">
        <v>23632</v>
      </c>
    </row>
    <row r="1495" spans="1:5" x14ac:dyDescent="0.25">
      <c r="A1495" s="131" t="s">
        <v>17856</v>
      </c>
      <c r="B1495" t="s">
        <v>24829</v>
      </c>
      <c r="C1495">
        <v>1</v>
      </c>
      <c r="D1495" t="s">
        <v>23629</v>
      </c>
      <c r="E1495" t="s">
        <v>23632</v>
      </c>
    </row>
    <row r="1496" spans="1:5" x14ac:dyDescent="0.25">
      <c r="A1496" s="130" t="s">
        <v>17856</v>
      </c>
      <c r="B1496" t="s">
        <v>24830</v>
      </c>
      <c r="C1496">
        <v>1</v>
      </c>
      <c r="D1496" t="s">
        <v>23629</v>
      </c>
      <c r="E1496" t="s">
        <v>23632</v>
      </c>
    </row>
    <row r="1497" spans="1:5" x14ac:dyDescent="0.25">
      <c r="A1497" s="130" t="str">
        <f>LEFT(B1497,1)</f>
        <v>D</v>
      </c>
      <c r="B1497" t="s">
        <v>28440</v>
      </c>
      <c r="C1497">
        <v>1</v>
      </c>
      <c r="D1497" t="s">
        <v>23629</v>
      </c>
      <c r="E1497" t="s">
        <v>23632</v>
      </c>
    </row>
    <row r="1498" spans="1:5" x14ac:dyDescent="0.25">
      <c r="A1498" s="131" t="s">
        <v>17856</v>
      </c>
      <c r="B1498" t="s">
        <v>24831</v>
      </c>
      <c r="C1498">
        <v>1</v>
      </c>
      <c r="D1498" t="s">
        <v>23629</v>
      </c>
      <c r="E1498" t="s">
        <v>23632</v>
      </c>
    </row>
    <row r="1499" spans="1:5" x14ac:dyDescent="0.25">
      <c r="A1499" s="131" t="s">
        <v>17856</v>
      </c>
      <c r="B1499" t="s">
        <v>24832</v>
      </c>
      <c r="C1499">
        <v>1</v>
      </c>
      <c r="D1499" t="s">
        <v>23629</v>
      </c>
      <c r="E1499" t="s">
        <v>23632</v>
      </c>
    </row>
    <row r="1500" spans="1:5" x14ac:dyDescent="0.25">
      <c r="A1500" s="131" t="str">
        <f>LEFT((B1500),1)</f>
        <v>D</v>
      </c>
      <c r="B1500" t="s">
        <v>24833</v>
      </c>
      <c r="C1500">
        <v>1</v>
      </c>
      <c r="D1500" t="s">
        <v>23629</v>
      </c>
      <c r="E1500" t="s">
        <v>23632</v>
      </c>
    </row>
    <row r="1501" spans="1:5" x14ac:dyDescent="0.25">
      <c r="A1501" s="131" t="str">
        <f>LEFT(B1501,1)</f>
        <v>D</v>
      </c>
      <c r="B1501" t="s">
        <v>24874</v>
      </c>
      <c r="C1501">
        <v>1</v>
      </c>
      <c r="D1501" t="s">
        <v>23629</v>
      </c>
      <c r="E1501" t="s">
        <v>23632</v>
      </c>
    </row>
    <row r="1502" spans="1:5" x14ac:dyDescent="0.25">
      <c r="A1502" s="130" t="str">
        <f>LEFT((B1502),1)</f>
        <v>D</v>
      </c>
      <c r="B1502" t="s">
        <v>24834</v>
      </c>
      <c r="C1502">
        <v>1</v>
      </c>
      <c r="D1502" t="s">
        <v>23629</v>
      </c>
      <c r="E1502" t="s">
        <v>23632</v>
      </c>
    </row>
    <row r="1503" spans="1:5" x14ac:dyDescent="0.25">
      <c r="A1503" s="130" t="str">
        <f>LEFT(B1503,1)</f>
        <v>D</v>
      </c>
      <c r="B1503" t="s">
        <v>28441</v>
      </c>
      <c r="C1503">
        <v>1</v>
      </c>
      <c r="D1503" t="s">
        <v>23629</v>
      </c>
      <c r="E1503" t="s">
        <v>23632</v>
      </c>
    </row>
    <row r="1504" spans="1:5" x14ac:dyDescent="0.25">
      <c r="A1504" s="130" t="str">
        <f>LEFT(B1504,1)</f>
        <v>D</v>
      </c>
      <c r="B1504" t="s">
        <v>24893</v>
      </c>
      <c r="C1504">
        <v>1</v>
      </c>
      <c r="D1504" t="s">
        <v>23629</v>
      </c>
      <c r="E1504" t="s">
        <v>23632</v>
      </c>
    </row>
    <row r="1505" spans="1:5" x14ac:dyDescent="0.25">
      <c r="A1505" s="131" t="s">
        <v>17856</v>
      </c>
      <c r="B1505" t="s">
        <v>24835</v>
      </c>
      <c r="C1505">
        <v>1</v>
      </c>
      <c r="D1505" t="s">
        <v>23629</v>
      </c>
      <c r="E1505" t="s">
        <v>23632</v>
      </c>
    </row>
    <row r="1506" spans="1:5" x14ac:dyDescent="0.25">
      <c r="A1506" s="131" t="s">
        <v>17856</v>
      </c>
      <c r="B1506" t="s">
        <v>24836</v>
      </c>
      <c r="C1506">
        <v>1</v>
      </c>
      <c r="D1506" t="s">
        <v>23629</v>
      </c>
      <c r="E1506" t="s">
        <v>23632</v>
      </c>
    </row>
    <row r="1507" spans="1:5" x14ac:dyDescent="0.25">
      <c r="A1507" s="131" t="s">
        <v>17856</v>
      </c>
      <c r="B1507" t="s">
        <v>24837</v>
      </c>
      <c r="C1507">
        <v>1</v>
      </c>
      <c r="D1507" t="s">
        <v>23629</v>
      </c>
      <c r="E1507" t="s">
        <v>23632</v>
      </c>
    </row>
    <row r="1508" spans="1:5" x14ac:dyDescent="0.25">
      <c r="A1508" s="130" t="s">
        <v>17856</v>
      </c>
      <c r="B1508" t="s">
        <v>24838</v>
      </c>
      <c r="C1508">
        <v>1</v>
      </c>
      <c r="D1508" t="s">
        <v>23629</v>
      </c>
      <c r="E1508" t="s">
        <v>23632</v>
      </c>
    </row>
    <row r="1509" spans="1:5" x14ac:dyDescent="0.25">
      <c r="A1509" s="131" t="str">
        <f>LEFT((B1509),1)</f>
        <v>D</v>
      </c>
      <c r="B1509" t="s">
        <v>24839</v>
      </c>
      <c r="C1509">
        <v>1</v>
      </c>
      <c r="D1509" t="s">
        <v>23629</v>
      </c>
      <c r="E1509" t="s">
        <v>23632</v>
      </c>
    </row>
    <row r="1510" spans="1:5" x14ac:dyDescent="0.25">
      <c r="A1510" s="130" t="s">
        <v>17856</v>
      </c>
      <c r="B1510" t="s">
        <v>24840</v>
      </c>
      <c r="C1510">
        <v>1</v>
      </c>
      <c r="D1510" t="s">
        <v>23629</v>
      </c>
      <c r="E1510" t="s">
        <v>23632</v>
      </c>
    </row>
    <row r="1511" spans="1:5" x14ac:dyDescent="0.25">
      <c r="A1511" s="130" t="str">
        <f>LEFT(B1511,1)</f>
        <v>D</v>
      </c>
      <c r="B1511" t="s">
        <v>24875</v>
      </c>
      <c r="C1511">
        <v>1</v>
      </c>
      <c r="D1511" t="s">
        <v>23629</v>
      </c>
      <c r="E1511" t="s">
        <v>23632</v>
      </c>
    </row>
    <row r="1512" spans="1:5" x14ac:dyDescent="0.25">
      <c r="A1512" s="131" t="s">
        <v>17856</v>
      </c>
      <c r="B1512" t="s">
        <v>24841</v>
      </c>
      <c r="C1512">
        <v>1</v>
      </c>
      <c r="D1512" t="s">
        <v>23629</v>
      </c>
      <c r="E1512" t="s">
        <v>23632</v>
      </c>
    </row>
    <row r="1513" spans="1:5" x14ac:dyDescent="0.25">
      <c r="A1513" s="130" t="s">
        <v>17856</v>
      </c>
      <c r="B1513" t="s">
        <v>24842</v>
      </c>
      <c r="C1513">
        <v>1</v>
      </c>
      <c r="D1513" t="s">
        <v>23629</v>
      </c>
      <c r="E1513" t="s">
        <v>23632</v>
      </c>
    </row>
    <row r="1514" spans="1:5" x14ac:dyDescent="0.25">
      <c r="A1514" s="130" t="s">
        <v>17856</v>
      </c>
      <c r="B1514" t="s">
        <v>24843</v>
      </c>
      <c r="C1514">
        <v>1</v>
      </c>
      <c r="D1514" t="s">
        <v>23629</v>
      </c>
      <c r="E1514" t="s">
        <v>23632</v>
      </c>
    </row>
    <row r="1515" spans="1:5" x14ac:dyDescent="0.25">
      <c r="A1515" s="131" t="str">
        <f>LEFT(B1515,1)</f>
        <v>D</v>
      </c>
      <c r="B1515" t="s">
        <v>24894</v>
      </c>
      <c r="C1515">
        <v>1</v>
      </c>
      <c r="D1515" t="s">
        <v>23629</v>
      </c>
      <c r="E1515" t="s">
        <v>23632</v>
      </c>
    </row>
    <row r="1516" spans="1:5" x14ac:dyDescent="0.25">
      <c r="A1516" s="131" t="s">
        <v>17856</v>
      </c>
      <c r="B1516" t="s">
        <v>24844</v>
      </c>
      <c r="C1516">
        <v>1</v>
      </c>
      <c r="D1516" t="s">
        <v>23629</v>
      </c>
      <c r="E1516" t="s">
        <v>23632</v>
      </c>
    </row>
    <row r="1517" spans="1:5" x14ac:dyDescent="0.25">
      <c r="A1517" s="130" t="s">
        <v>17856</v>
      </c>
      <c r="B1517" t="s">
        <v>24845</v>
      </c>
      <c r="C1517">
        <v>1</v>
      </c>
      <c r="D1517" t="s">
        <v>23629</v>
      </c>
      <c r="E1517" t="s">
        <v>23632</v>
      </c>
    </row>
    <row r="1518" spans="1:5" x14ac:dyDescent="0.25">
      <c r="A1518" s="130" t="str">
        <f>LEFT((B1518),1)</f>
        <v>D</v>
      </c>
      <c r="B1518" t="s">
        <v>24846</v>
      </c>
      <c r="C1518">
        <v>1</v>
      </c>
      <c r="D1518" t="s">
        <v>23629</v>
      </c>
      <c r="E1518" t="s">
        <v>23632</v>
      </c>
    </row>
    <row r="1519" spans="1:5" x14ac:dyDescent="0.25">
      <c r="A1519" s="131" t="s">
        <v>17856</v>
      </c>
      <c r="B1519" t="s">
        <v>24847</v>
      </c>
      <c r="C1519">
        <v>1</v>
      </c>
      <c r="D1519" t="s">
        <v>23629</v>
      </c>
      <c r="E1519" t="s">
        <v>23632</v>
      </c>
    </row>
    <row r="1520" spans="1:5" x14ac:dyDescent="0.25">
      <c r="A1520" s="130" t="s">
        <v>17856</v>
      </c>
      <c r="B1520" t="s">
        <v>24848</v>
      </c>
      <c r="C1520">
        <v>1</v>
      </c>
      <c r="D1520" t="s">
        <v>23629</v>
      </c>
      <c r="E1520" t="s">
        <v>23632</v>
      </c>
    </row>
    <row r="1521" spans="1:5" x14ac:dyDescent="0.25">
      <c r="A1521" s="130" t="s">
        <v>17856</v>
      </c>
      <c r="B1521" t="s">
        <v>24849</v>
      </c>
      <c r="C1521">
        <v>1</v>
      </c>
      <c r="D1521" t="s">
        <v>23629</v>
      </c>
      <c r="E1521" t="s">
        <v>23632</v>
      </c>
    </row>
    <row r="1522" spans="1:5" x14ac:dyDescent="0.25">
      <c r="A1522" s="131" t="s">
        <v>17856</v>
      </c>
      <c r="B1522" t="s">
        <v>24850</v>
      </c>
      <c r="C1522">
        <v>1</v>
      </c>
      <c r="D1522" t="s">
        <v>23629</v>
      </c>
      <c r="E1522" t="s">
        <v>23632</v>
      </c>
    </row>
    <row r="1523" spans="1:5" x14ac:dyDescent="0.25">
      <c r="A1523" s="131" t="str">
        <f>LEFT((B1523),1)</f>
        <v>D</v>
      </c>
      <c r="B1523" t="s">
        <v>24851</v>
      </c>
      <c r="C1523">
        <v>1</v>
      </c>
      <c r="D1523" t="s">
        <v>23629</v>
      </c>
      <c r="E1523" t="s">
        <v>23632</v>
      </c>
    </row>
    <row r="1524" spans="1:5" x14ac:dyDescent="0.25">
      <c r="A1524" s="130" t="s">
        <v>17856</v>
      </c>
      <c r="B1524" t="s">
        <v>24852</v>
      </c>
      <c r="C1524">
        <v>1</v>
      </c>
      <c r="D1524" t="s">
        <v>23629</v>
      </c>
      <c r="E1524" t="s">
        <v>23632</v>
      </c>
    </row>
    <row r="1525" spans="1:5" x14ac:dyDescent="0.25">
      <c r="A1525" s="130" t="s">
        <v>17856</v>
      </c>
      <c r="B1525" t="s">
        <v>24853</v>
      </c>
      <c r="C1525">
        <v>1</v>
      </c>
      <c r="D1525" t="s">
        <v>23629</v>
      </c>
      <c r="E1525" t="s">
        <v>23632</v>
      </c>
    </row>
    <row r="1526" spans="1:5" x14ac:dyDescent="0.25">
      <c r="A1526" s="131" t="s">
        <v>17856</v>
      </c>
      <c r="B1526" t="s">
        <v>24854</v>
      </c>
      <c r="C1526">
        <v>1</v>
      </c>
      <c r="D1526" t="s">
        <v>23629</v>
      </c>
      <c r="E1526" t="s">
        <v>23632</v>
      </c>
    </row>
    <row r="1527" spans="1:5" x14ac:dyDescent="0.25">
      <c r="A1527" s="131" t="s">
        <v>17856</v>
      </c>
      <c r="B1527" t="s">
        <v>24855</v>
      </c>
      <c r="C1527">
        <v>1</v>
      </c>
      <c r="D1527" t="s">
        <v>23629</v>
      </c>
      <c r="E1527" t="s">
        <v>23632</v>
      </c>
    </row>
    <row r="1528" spans="1:5" x14ac:dyDescent="0.25">
      <c r="A1528" s="130" t="s">
        <v>17856</v>
      </c>
      <c r="B1528" t="s">
        <v>24856</v>
      </c>
      <c r="C1528">
        <v>1</v>
      </c>
      <c r="D1528" t="s">
        <v>23629</v>
      </c>
      <c r="E1528" t="s">
        <v>23632</v>
      </c>
    </row>
    <row r="1529" spans="1:5" x14ac:dyDescent="0.25">
      <c r="A1529" s="131" t="s">
        <v>17856</v>
      </c>
      <c r="B1529" t="s">
        <v>24857</v>
      </c>
      <c r="C1529">
        <v>1</v>
      </c>
      <c r="D1529" t="s">
        <v>23629</v>
      </c>
      <c r="E1529" t="s">
        <v>23632</v>
      </c>
    </row>
    <row r="1530" spans="1:5" x14ac:dyDescent="0.25">
      <c r="A1530" s="131" t="s">
        <v>17856</v>
      </c>
      <c r="B1530" t="s">
        <v>24858</v>
      </c>
      <c r="C1530">
        <v>1</v>
      </c>
      <c r="D1530" t="s">
        <v>23629</v>
      </c>
      <c r="E1530" t="s">
        <v>23632</v>
      </c>
    </row>
    <row r="1531" spans="1:5" x14ac:dyDescent="0.25">
      <c r="A1531" s="130" t="str">
        <f>LEFT(B1531,1)</f>
        <v>D</v>
      </c>
      <c r="B1531" t="s">
        <v>28742</v>
      </c>
      <c r="C1531">
        <v>1</v>
      </c>
      <c r="D1531" t="s">
        <v>23629</v>
      </c>
      <c r="E1531" t="s">
        <v>23632</v>
      </c>
    </row>
    <row r="1532" spans="1:5" x14ac:dyDescent="0.25">
      <c r="A1532" s="130" t="s">
        <v>17856</v>
      </c>
      <c r="B1532" t="s">
        <v>24859</v>
      </c>
      <c r="C1532">
        <v>1</v>
      </c>
      <c r="D1532" t="s">
        <v>23629</v>
      </c>
      <c r="E1532" t="s">
        <v>23632</v>
      </c>
    </row>
    <row r="1533" spans="1:5" x14ac:dyDescent="0.25">
      <c r="A1533" s="131" t="s">
        <v>17856</v>
      </c>
      <c r="B1533" t="s">
        <v>24860</v>
      </c>
      <c r="C1533">
        <v>1</v>
      </c>
      <c r="D1533" t="s">
        <v>23629</v>
      </c>
      <c r="E1533" t="s">
        <v>23632</v>
      </c>
    </row>
    <row r="1534" spans="1:5" x14ac:dyDescent="0.25">
      <c r="A1534" s="131" t="str">
        <f>LEFT(B1534,1)</f>
        <v>D</v>
      </c>
      <c r="B1534" t="s">
        <v>24876</v>
      </c>
      <c r="C1534">
        <v>1</v>
      </c>
      <c r="D1534" t="s">
        <v>23629</v>
      </c>
      <c r="E1534" t="s">
        <v>23632</v>
      </c>
    </row>
    <row r="1535" spans="1:5" x14ac:dyDescent="0.25">
      <c r="A1535" s="130" t="s">
        <v>17856</v>
      </c>
      <c r="B1535" t="s">
        <v>24861</v>
      </c>
      <c r="C1535">
        <v>1</v>
      </c>
      <c r="D1535" t="s">
        <v>23629</v>
      </c>
      <c r="E1535" t="s">
        <v>23632</v>
      </c>
    </row>
    <row r="1536" spans="1:5" x14ac:dyDescent="0.25">
      <c r="A1536" s="131" t="s">
        <v>17856</v>
      </c>
      <c r="B1536" t="s">
        <v>24862</v>
      </c>
      <c r="C1536">
        <v>1</v>
      </c>
      <c r="D1536" t="s">
        <v>23629</v>
      </c>
      <c r="E1536" t="s">
        <v>23632</v>
      </c>
    </row>
    <row r="1537" spans="1:5" x14ac:dyDescent="0.25">
      <c r="A1537" s="130" t="str">
        <f>LEFT(B1537,1)</f>
        <v>D</v>
      </c>
      <c r="B1537" t="s">
        <v>24877</v>
      </c>
      <c r="C1537">
        <v>1</v>
      </c>
      <c r="D1537" t="s">
        <v>23629</v>
      </c>
      <c r="E1537" t="s">
        <v>23632</v>
      </c>
    </row>
    <row r="1538" spans="1:5" x14ac:dyDescent="0.25">
      <c r="A1538" s="130" t="str">
        <f>LEFT(B1538,1)</f>
        <v>D</v>
      </c>
      <c r="B1538" t="s">
        <v>24895</v>
      </c>
      <c r="C1538">
        <v>1</v>
      </c>
      <c r="D1538" t="s">
        <v>23629</v>
      </c>
      <c r="E1538" t="s">
        <v>23632</v>
      </c>
    </row>
    <row r="1539" spans="1:5" x14ac:dyDescent="0.25">
      <c r="A1539" s="130" t="s">
        <v>24896</v>
      </c>
      <c r="B1539" t="s">
        <v>24897</v>
      </c>
      <c r="C1539">
        <v>1</v>
      </c>
      <c r="D1539" t="s">
        <v>23629</v>
      </c>
      <c r="E1539" t="s">
        <v>23632</v>
      </c>
    </row>
    <row r="1540" spans="1:5" x14ac:dyDescent="0.25">
      <c r="A1540" s="131" t="s">
        <v>24896</v>
      </c>
      <c r="B1540" t="s">
        <v>24898</v>
      </c>
      <c r="C1540">
        <v>1</v>
      </c>
      <c r="D1540" t="s">
        <v>23629</v>
      </c>
      <c r="E1540" t="s">
        <v>23632</v>
      </c>
    </row>
    <row r="1541" spans="1:5" x14ac:dyDescent="0.25">
      <c r="A1541" s="130" t="s">
        <v>24896</v>
      </c>
      <c r="B1541" t="s">
        <v>24899</v>
      </c>
      <c r="C1541">
        <v>1</v>
      </c>
      <c r="D1541" t="s">
        <v>23629</v>
      </c>
      <c r="E1541" t="s">
        <v>23632</v>
      </c>
    </row>
    <row r="1542" spans="1:5" x14ac:dyDescent="0.25">
      <c r="A1542" s="130" t="s">
        <v>24896</v>
      </c>
      <c r="B1542" t="s">
        <v>24900</v>
      </c>
      <c r="C1542">
        <v>1</v>
      </c>
      <c r="D1542" t="s">
        <v>23629</v>
      </c>
      <c r="E1542" t="s">
        <v>23632</v>
      </c>
    </row>
    <row r="1543" spans="1:5" x14ac:dyDescent="0.25">
      <c r="A1543" s="130" t="str">
        <f>LEFT((B1543),1)</f>
        <v>E</v>
      </c>
      <c r="B1543" t="s">
        <v>24901</v>
      </c>
      <c r="C1543">
        <v>1</v>
      </c>
      <c r="D1543" t="s">
        <v>23629</v>
      </c>
      <c r="E1543" t="s">
        <v>23632</v>
      </c>
    </row>
    <row r="1544" spans="1:5" x14ac:dyDescent="0.25">
      <c r="A1544" s="130" t="str">
        <f>LEFT(B1544,1)</f>
        <v>E</v>
      </c>
      <c r="B1544" t="s">
        <v>29220</v>
      </c>
      <c r="C1544">
        <v>1</v>
      </c>
      <c r="D1544" t="s">
        <v>23629</v>
      </c>
      <c r="E1544" t="s">
        <v>23632</v>
      </c>
    </row>
    <row r="1545" spans="1:5" x14ac:dyDescent="0.25">
      <c r="A1545" s="131" t="s">
        <v>24896</v>
      </c>
      <c r="B1545" t="s">
        <v>24902</v>
      </c>
      <c r="C1545">
        <v>1</v>
      </c>
      <c r="D1545" t="s">
        <v>23629</v>
      </c>
      <c r="E1545" t="s">
        <v>23632</v>
      </c>
    </row>
    <row r="1546" spans="1:5" x14ac:dyDescent="0.25">
      <c r="A1546" s="130" t="s">
        <v>24896</v>
      </c>
      <c r="B1546" t="s">
        <v>24903</v>
      </c>
      <c r="C1546">
        <v>1</v>
      </c>
      <c r="D1546" t="s">
        <v>23629</v>
      </c>
      <c r="E1546" t="s">
        <v>23632</v>
      </c>
    </row>
    <row r="1547" spans="1:5" x14ac:dyDescent="0.25">
      <c r="A1547" s="131" t="s">
        <v>24896</v>
      </c>
      <c r="B1547" t="s">
        <v>24904</v>
      </c>
      <c r="C1547">
        <v>1</v>
      </c>
      <c r="D1547" t="s">
        <v>23629</v>
      </c>
      <c r="E1547" t="s">
        <v>23632</v>
      </c>
    </row>
    <row r="1548" spans="1:5" x14ac:dyDescent="0.25">
      <c r="A1548" s="130" t="str">
        <f>LEFT(B1548,1)</f>
        <v>E</v>
      </c>
      <c r="B1548" t="s">
        <v>28443</v>
      </c>
      <c r="C1548">
        <v>1</v>
      </c>
      <c r="D1548" t="s">
        <v>23629</v>
      </c>
      <c r="E1548" t="s">
        <v>23632</v>
      </c>
    </row>
    <row r="1549" spans="1:5" x14ac:dyDescent="0.25">
      <c r="A1549" s="130" t="s">
        <v>24896</v>
      </c>
      <c r="B1549" t="s">
        <v>24905</v>
      </c>
      <c r="C1549">
        <v>1.21</v>
      </c>
      <c r="D1549" t="s">
        <v>23629</v>
      </c>
      <c r="E1549" t="s">
        <v>23632</v>
      </c>
    </row>
    <row r="1550" spans="1:5" x14ac:dyDescent="0.25">
      <c r="A1550" s="131" t="s">
        <v>24896</v>
      </c>
      <c r="B1550" t="s">
        <v>24906</v>
      </c>
      <c r="C1550">
        <v>1</v>
      </c>
      <c r="D1550" t="s">
        <v>23629</v>
      </c>
      <c r="E1550" t="s">
        <v>23632</v>
      </c>
    </row>
    <row r="1551" spans="1:5" x14ac:dyDescent="0.25">
      <c r="A1551" s="130" t="s">
        <v>24896</v>
      </c>
      <c r="B1551" t="s">
        <v>24907</v>
      </c>
      <c r="C1551">
        <v>1</v>
      </c>
      <c r="D1551" t="s">
        <v>23629</v>
      </c>
      <c r="E1551" t="s">
        <v>23632</v>
      </c>
    </row>
    <row r="1552" spans="1:5" x14ac:dyDescent="0.25">
      <c r="A1552" s="130" t="s">
        <v>24896</v>
      </c>
      <c r="B1552" t="s">
        <v>24908</v>
      </c>
      <c r="C1552">
        <v>1</v>
      </c>
      <c r="D1552" t="s">
        <v>23629</v>
      </c>
      <c r="E1552" t="s">
        <v>23632</v>
      </c>
    </row>
    <row r="1553" spans="1:5" x14ac:dyDescent="0.25">
      <c r="A1553" s="130" t="s">
        <v>24896</v>
      </c>
      <c r="B1553" t="s">
        <v>24909</v>
      </c>
      <c r="C1553">
        <v>1</v>
      </c>
      <c r="D1553" t="s">
        <v>23629</v>
      </c>
      <c r="E1553" t="s">
        <v>23632</v>
      </c>
    </row>
    <row r="1554" spans="1:5" x14ac:dyDescent="0.25">
      <c r="A1554" s="130" t="str">
        <f>LEFT(B1554,1)</f>
        <v>E</v>
      </c>
      <c r="B1554" t="s">
        <v>25145</v>
      </c>
      <c r="C1554">
        <v>1</v>
      </c>
      <c r="D1554" t="s">
        <v>23629</v>
      </c>
      <c r="E1554" t="s">
        <v>23632</v>
      </c>
    </row>
    <row r="1555" spans="1:5" x14ac:dyDescent="0.25">
      <c r="A1555" s="130" t="str">
        <f>LEFT(B1555,1)</f>
        <v>E</v>
      </c>
      <c r="B1555" t="s">
        <v>28743</v>
      </c>
      <c r="C1555">
        <v>1</v>
      </c>
      <c r="D1555" t="s">
        <v>23629</v>
      </c>
      <c r="E1555" t="s">
        <v>23632</v>
      </c>
    </row>
    <row r="1556" spans="1:5" x14ac:dyDescent="0.25">
      <c r="A1556" s="130" t="str">
        <f>LEFT(B1556,1)</f>
        <v>E</v>
      </c>
      <c r="B1556" t="s">
        <v>29221</v>
      </c>
      <c r="C1556">
        <v>1</v>
      </c>
      <c r="D1556" t="s">
        <v>23629</v>
      </c>
      <c r="E1556" t="s">
        <v>23632</v>
      </c>
    </row>
    <row r="1557" spans="1:5" x14ac:dyDescent="0.25">
      <c r="A1557" s="130" t="str">
        <f>LEFT(B1557,1)</f>
        <v>E</v>
      </c>
      <c r="B1557" t="s">
        <v>28744</v>
      </c>
      <c r="C1557">
        <v>1</v>
      </c>
      <c r="D1557" t="s">
        <v>23629</v>
      </c>
      <c r="E1557" t="s">
        <v>23632</v>
      </c>
    </row>
    <row r="1558" spans="1:5" x14ac:dyDescent="0.25">
      <c r="A1558" s="131" t="s">
        <v>24896</v>
      </c>
      <c r="B1558" t="s">
        <v>24910</v>
      </c>
      <c r="C1558">
        <v>1</v>
      </c>
      <c r="D1558" t="s">
        <v>23629</v>
      </c>
      <c r="E1558" t="s">
        <v>23632</v>
      </c>
    </row>
    <row r="1559" spans="1:5" x14ac:dyDescent="0.25">
      <c r="A1559" s="130" t="str">
        <f>LEFT(B1559,1)</f>
        <v>E</v>
      </c>
      <c r="B1559" t="s">
        <v>29014</v>
      </c>
      <c r="C1559">
        <v>1</v>
      </c>
      <c r="D1559" t="s">
        <v>23629</v>
      </c>
      <c r="E1559" t="s">
        <v>23632</v>
      </c>
    </row>
    <row r="1560" spans="1:5" x14ac:dyDescent="0.25">
      <c r="A1560" s="131" t="s">
        <v>24896</v>
      </c>
      <c r="B1560" t="s">
        <v>24911</v>
      </c>
      <c r="C1560">
        <v>1</v>
      </c>
      <c r="D1560" t="s">
        <v>23629</v>
      </c>
      <c r="E1560" t="s">
        <v>23632</v>
      </c>
    </row>
    <row r="1561" spans="1:5" x14ac:dyDescent="0.25">
      <c r="A1561" s="130" t="s">
        <v>24896</v>
      </c>
      <c r="B1561" t="s">
        <v>24912</v>
      </c>
      <c r="C1561">
        <v>1</v>
      </c>
      <c r="D1561" t="s">
        <v>23629</v>
      </c>
      <c r="E1561" t="s">
        <v>23632</v>
      </c>
    </row>
    <row r="1562" spans="1:5" x14ac:dyDescent="0.25">
      <c r="A1562" s="131" t="s">
        <v>24896</v>
      </c>
      <c r="B1562" t="s">
        <v>24913</v>
      </c>
      <c r="C1562">
        <v>1</v>
      </c>
      <c r="D1562" t="s">
        <v>23629</v>
      </c>
      <c r="E1562" t="s">
        <v>23632</v>
      </c>
    </row>
    <row r="1563" spans="1:5" x14ac:dyDescent="0.25">
      <c r="A1563" s="131" t="str">
        <f>LEFT(B1563,1)</f>
        <v>E</v>
      </c>
      <c r="B1563" t="s">
        <v>25130</v>
      </c>
      <c r="C1563">
        <v>1</v>
      </c>
      <c r="D1563" t="s">
        <v>23629</v>
      </c>
      <c r="E1563" t="s">
        <v>23632</v>
      </c>
    </row>
    <row r="1564" spans="1:5" x14ac:dyDescent="0.25">
      <c r="A1564" s="130" t="str">
        <f>LEFT(B1564,1)</f>
        <v>E</v>
      </c>
      <c r="B1564" t="s">
        <v>29015</v>
      </c>
      <c r="C1564">
        <v>1</v>
      </c>
      <c r="D1564" t="s">
        <v>23629</v>
      </c>
      <c r="E1564" t="s">
        <v>23632</v>
      </c>
    </row>
    <row r="1565" spans="1:5" x14ac:dyDescent="0.25">
      <c r="A1565" s="131" t="s">
        <v>24896</v>
      </c>
      <c r="B1565" t="s">
        <v>24914</v>
      </c>
      <c r="C1565">
        <v>1</v>
      </c>
      <c r="D1565" t="s">
        <v>23629</v>
      </c>
      <c r="E1565" t="s">
        <v>23632</v>
      </c>
    </row>
    <row r="1566" spans="1:5" x14ac:dyDescent="0.25">
      <c r="A1566" s="130" t="s">
        <v>24896</v>
      </c>
      <c r="B1566" t="s">
        <v>24915</v>
      </c>
      <c r="C1566">
        <v>1</v>
      </c>
      <c r="D1566" t="s">
        <v>23629</v>
      </c>
      <c r="E1566" t="s">
        <v>23632</v>
      </c>
    </row>
    <row r="1567" spans="1:5" x14ac:dyDescent="0.25">
      <c r="A1567" s="130" t="str">
        <f>LEFT(B1567,1)</f>
        <v>E</v>
      </c>
      <c r="B1567" t="s">
        <v>28444</v>
      </c>
      <c r="C1567">
        <v>1</v>
      </c>
      <c r="D1567" t="s">
        <v>23629</v>
      </c>
      <c r="E1567" t="s">
        <v>23632</v>
      </c>
    </row>
    <row r="1568" spans="1:5" x14ac:dyDescent="0.25">
      <c r="A1568" s="131" t="s">
        <v>24896</v>
      </c>
      <c r="B1568" t="s">
        <v>24916</v>
      </c>
      <c r="C1568">
        <v>1</v>
      </c>
      <c r="D1568" t="s">
        <v>23629</v>
      </c>
      <c r="E1568" t="s">
        <v>23632</v>
      </c>
    </row>
    <row r="1569" spans="1:5" x14ac:dyDescent="0.25">
      <c r="A1569" s="131" t="s">
        <v>24896</v>
      </c>
      <c r="B1569" t="s">
        <v>24917</v>
      </c>
      <c r="C1569">
        <v>1</v>
      </c>
      <c r="D1569" t="s">
        <v>23629</v>
      </c>
      <c r="E1569" t="s">
        <v>23632</v>
      </c>
    </row>
    <row r="1570" spans="1:5" x14ac:dyDescent="0.25">
      <c r="A1570" s="130" t="str">
        <f>LEFT(B1570,1)</f>
        <v>E</v>
      </c>
      <c r="B1570" t="s">
        <v>29222</v>
      </c>
      <c r="C1570">
        <v>1</v>
      </c>
      <c r="D1570" t="s">
        <v>23629</v>
      </c>
      <c r="E1570" t="s">
        <v>23632</v>
      </c>
    </row>
    <row r="1571" spans="1:5" x14ac:dyDescent="0.25">
      <c r="A1571" s="131" t="str">
        <f>LEFT((B1571),1)</f>
        <v>E</v>
      </c>
      <c r="B1571" t="s">
        <v>24918</v>
      </c>
      <c r="C1571">
        <v>1</v>
      </c>
      <c r="D1571" t="s">
        <v>23629</v>
      </c>
      <c r="E1571" t="s">
        <v>23632</v>
      </c>
    </row>
    <row r="1572" spans="1:5" x14ac:dyDescent="0.25">
      <c r="A1572" s="130" t="str">
        <f>LEFT((B1572),1)</f>
        <v>E</v>
      </c>
      <c r="B1572" t="s">
        <v>24919</v>
      </c>
      <c r="C1572">
        <v>1</v>
      </c>
      <c r="D1572" t="s">
        <v>23629</v>
      </c>
      <c r="E1572" t="s">
        <v>23632</v>
      </c>
    </row>
    <row r="1573" spans="1:5" x14ac:dyDescent="0.25">
      <c r="A1573" s="131" t="s">
        <v>24896</v>
      </c>
      <c r="B1573" t="s">
        <v>24920</v>
      </c>
      <c r="C1573">
        <v>1</v>
      </c>
      <c r="D1573" t="s">
        <v>23629</v>
      </c>
      <c r="E1573" t="s">
        <v>23632</v>
      </c>
    </row>
    <row r="1574" spans="1:5" x14ac:dyDescent="0.25">
      <c r="A1574" s="130" t="str">
        <f>LEFT(B1574,1)</f>
        <v>E</v>
      </c>
      <c r="B1574" t="s">
        <v>29016</v>
      </c>
      <c r="C1574">
        <v>1</v>
      </c>
      <c r="D1574" t="s">
        <v>23629</v>
      </c>
      <c r="E1574" t="s">
        <v>23632</v>
      </c>
    </row>
    <row r="1575" spans="1:5" x14ac:dyDescent="0.25">
      <c r="A1575" s="130" t="str">
        <f>LEFT(B1575,1)</f>
        <v>E</v>
      </c>
      <c r="B1575" t="s">
        <v>25131</v>
      </c>
      <c r="C1575">
        <v>1</v>
      </c>
      <c r="D1575" t="s">
        <v>23629</v>
      </c>
      <c r="E1575" t="s">
        <v>23632</v>
      </c>
    </row>
    <row r="1576" spans="1:5" x14ac:dyDescent="0.25">
      <c r="A1576" s="130" t="str">
        <f>LEFT(B1576,1)</f>
        <v>E</v>
      </c>
      <c r="B1576" t="s">
        <v>29017</v>
      </c>
      <c r="C1576">
        <v>1</v>
      </c>
      <c r="D1576" t="s">
        <v>23629</v>
      </c>
      <c r="E1576" t="s">
        <v>23632</v>
      </c>
    </row>
    <row r="1577" spans="1:5" x14ac:dyDescent="0.25">
      <c r="A1577" s="130" t="s">
        <v>24896</v>
      </c>
      <c r="B1577" t="s">
        <v>24921</v>
      </c>
      <c r="C1577">
        <v>1</v>
      </c>
      <c r="D1577" t="s">
        <v>23629</v>
      </c>
      <c r="E1577" t="s">
        <v>23632</v>
      </c>
    </row>
    <row r="1578" spans="1:5" x14ac:dyDescent="0.25">
      <c r="A1578" s="130" t="s">
        <v>24896</v>
      </c>
      <c r="B1578" t="s">
        <v>24922</v>
      </c>
      <c r="C1578">
        <v>1</v>
      </c>
      <c r="D1578" t="s">
        <v>23629</v>
      </c>
      <c r="E1578" t="s">
        <v>23632</v>
      </c>
    </row>
    <row r="1579" spans="1:5" x14ac:dyDescent="0.25">
      <c r="A1579" s="130" t="s">
        <v>24896</v>
      </c>
      <c r="B1579" t="s">
        <v>24923</v>
      </c>
      <c r="C1579">
        <v>1</v>
      </c>
      <c r="D1579" t="s">
        <v>23629</v>
      </c>
      <c r="E1579" t="s">
        <v>23632</v>
      </c>
    </row>
    <row r="1580" spans="1:5" x14ac:dyDescent="0.25">
      <c r="A1580" s="130" t="s">
        <v>24896</v>
      </c>
      <c r="B1580" t="s">
        <v>24924</v>
      </c>
      <c r="C1580">
        <v>1</v>
      </c>
      <c r="D1580" t="s">
        <v>23629</v>
      </c>
      <c r="E1580" t="s">
        <v>23632</v>
      </c>
    </row>
    <row r="1581" spans="1:5" x14ac:dyDescent="0.25">
      <c r="A1581" s="131" t="s">
        <v>24896</v>
      </c>
      <c r="B1581" t="s">
        <v>24925</v>
      </c>
      <c r="C1581">
        <v>1</v>
      </c>
      <c r="D1581" t="s">
        <v>23629</v>
      </c>
      <c r="E1581" t="s">
        <v>23632</v>
      </c>
    </row>
    <row r="1582" spans="1:5" x14ac:dyDescent="0.25">
      <c r="A1582" s="131" t="s">
        <v>24896</v>
      </c>
      <c r="B1582" t="s">
        <v>24926</v>
      </c>
      <c r="C1582">
        <v>1</v>
      </c>
      <c r="D1582" t="s">
        <v>23629</v>
      </c>
      <c r="E1582" t="s">
        <v>23632</v>
      </c>
    </row>
    <row r="1583" spans="1:5" x14ac:dyDescent="0.25">
      <c r="A1583" s="130" t="s">
        <v>24896</v>
      </c>
      <c r="B1583" t="s">
        <v>24927</v>
      </c>
      <c r="C1583">
        <v>1</v>
      </c>
      <c r="D1583" t="s">
        <v>23629</v>
      </c>
      <c r="E1583" t="s">
        <v>23632</v>
      </c>
    </row>
    <row r="1584" spans="1:5" x14ac:dyDescent="0.25">
      <c r="A1584" s="130" t="str">
        <f>LEFT(B1584,1)</f>
        <v>E</v>
      </c>
      <c r="B1584" t="s">
        <v>29223</v>
      </c>
      <c r="C1584">
        <v>1</v>
      </c>
      <c r="D1584" t="s">
        <v>23629</v>
      </c>
      <c r="E1584" t="s">
        <v>23632</v>
      </c>
    </row>
    <row r="1585" spans="1:5" x14ac:dyDescent="0.25">
      <c r="A1585" s="131" t="str">
        <f>LEFT(B1585,1)</f>
        <v>E</v>
      </c>
      <c r="B1585" t="s">
        <v>25132</v>
      </c>
      <c r="C1585">
        <v>1</v>
      </c>
      <c r="D1585" t="s">
        <v>23629</v>
      </c>
      <c r="E1585" t="s">
        <v>23632</v>
      </c>
    </row>
    <row r="1586" spans="1:5" x14ac:dyDescent="0.25">
      <c r="A1586" s="131" t="s">
        <v>24896</v>
      </c>
      <c r="B1586" t="s">
        <v>24928</v>
      </c>
      <c r="C1586">
        <v>1</v>
      </c>
      <c r="D1586" t="s">
        <v>23629</v>
      </c>
      <c r="E1586" t="s">
        <v>23632</v>
      </c>
    </row>
    <row r="1587" spans="1:5" x14ac:dyDescent="0.25">
      <c r="A1587" s="131" t="s">
        <v>24896</v>
      </c>
      <c r="B1587" t="s">
        <v>24929</v>
      </c>
      <c r="C1587">
        <v>1</v>
      </c>
      <c r="D1587" t="s">
        <v>23629</v>
      </c>
      <c r="E1587" t="s">
        <v>23632</v>
      </c>
    </row>
    <row r="1588" spans="1:5" x14ac:dyDescent="0.25">
      <c r="A1588" s="131" t="s">
        <v>24896</v>
      </c>
      <c r="B1588" t="s">
        <v>24930</v>
      </c>
      <c r="C1588">
        <v>1</v>
      </c>
      <c r="D1588" t="s">
        <v>23629</v>
      </c>
      <c r="E1588" t="s">
        <v>23632</v>
      </c>
    </row>
    <row r="1589" spans="1:5" x14ac:dyDescent="0.25">
      <c r="A1589" s="130" t="s">
        <v>24896</v>
      </c>
      <c r="B1589" t="s">
        <v>24931</v>
      </c>
      <c r="C1589">
        <v>1</v>
      </c>
      <c r="D1589" t="s">
        <v>23629</v>
      </c>
      <c r="E1589" t="s">
        <v>23632</v>
      </c>
    </row>
    <row r="1590" spans="1:5" x14ac:dyDescent="0.25">
      <c r="A1590" s="130" t="str">
        <f>LEFT(B1590,1)</f>
        <v>E</v>
      </c>
      <c r="B1590" t="s">
        <v>28445</v>
      </c>
      <c r="C1590">
        <v>1</v>
      </c>
      <c r="D1590" t="s">
        <v>23629</v>
      </c>
      <c r="E1590" t="s">
        <v>23632</v>
      </c>
    </row>
    <row r="1591" spans="1:5" x14ac:dyDescent="0.25">
      <c r="A1591" s="131" t="s">
        <v>24896</v>
      </c>
      <c r="B1591" t="s">
        <v>24932</v>
      </c>
      <c r="C1591">
        <v>1</v>
      </c>
      <c r="D1591" t="s">
        <v>23629</v>
      </c>
      <c r="E1591" t="s">
        <v>23632</v>
      </c>
    </row>
    <row r="1592" spans="1:5" x14ac:dyDescent="0.25">
      <c r="A1592" s="130" t="s">
        <v>24896</v>
      </c>
      <c r="B1592" t="s">
        <v>24933</v>
      </c>
      <c r="C1592">
        <v>1</v>
      </c>
      <c r="D1592" t="s">
        <v>23629</v>
      </c>
      <c r="E1592" t="s">
        <v>23632</v>
      </c>
    </row>
    <row r="1593" spans="1:5" x14ac:dyDescent="0.25">
      <c r="A1593" s="131" t="s">
        <v>24896</v>
      </c>
      <c r="B1593" t="s">
        <v>24934</v>
      </c>
      <c r="C1593">
        <v>1</v>
      </c>
      <c r="D1593" t="s">
        <v>23629</v>
      </c>
      <c r="E1593" t="s">
        <v>23632</v>
      </c>
    </row>
    <row r="1594" spans="1:5" x14ac:dyDescent="0.25">
      <c r="A1594" s="131" t="s">
        <v>24896</v>
      </c>
      <c r="B1594" t="s">
        <v>24935</v>
      </c>
      <c r="C1594">
        <v>1</v>
      </c>
      <c r="D1594" t="s">
        <v>23629</v>
      </c>
      <c r="E1594" t="s">
        <v>23632</v>
      </c>
    </row>
    <row r="1595" spans="1:5" x14ac:dyDescent="0.25">
      <c r="A1595" s="131" t="str">
        <f>LEFT((B1595),1)</f>
        <v>E</v>
      </c>
      <c r="B1595" t="s">
        <v>24936</v>
      </c>
      <c r="C1595">
        <v>1</v>
      </c>
      <c r="D1595" t="s">
        <v>23629</v>
      </c>
      <c r="E1595" t="s">
        <v>23632</v>
      </c>
    </row>
    <row r="1596" spans="1:5" x14ac:dyDescent="0.25">
      <c r="A1596" s="131" t="str">
        <f>LEFT(B1596,1)</f>
        <v>E</v>
      </c>
      <c r="B1596" t="s">
        <v>25146</v>
      </c>
      <c r="C1596">
        <v>1</v>
      </c>
      <c r="D1596" t="s">
        <v>23629</v>
      </c>
      <c r="E1596" t="s">
        <v>23632</v>
      </c>
    </row>
    <row r="1597" spans="1:5" x14ac:dyDescent="0.25">
      <c r="A1597" s="130" t="s">
        <v>24896</v>
      </c>
      <c r="B1597" t="s">
        <v>24937</v>
      </c>
      <c r="C1597">
        <v>1</v>
      </c>
      <c r="D1597" t="s">
        <v>23629</v>
      </c>
      <c r="E1597" t="s">
        <v>23632</v>
      </c>
    </row>
    <row r="1598" spans="1:5" x14ac:dyDescent="0.25">
      <c r="A1598" s="130" t="str">
        <f>LEFT(B1598,1)</f>
        <v>E</v>
      </c>
      <c r="B1598" t="s">
        <v>28446</v>
      </c>
      <c r="C1598">
        <v>1</v>
      </c>
      <c r="D1598" t="s">
        <v>23629</v>
      </c>
      <c r="E1598" t="s">
        <v>23632</v>
      </c>
    </row>
    <row r="1599" spans="1:5" x14ac:dyDescent="0.25">
      <c r="A1599" s="130" t="str">
        <f>LEFT(B1599,1)</f>
        <v>E</v>
      </c>
      <c r="B1599" t="s">
        <v>29224</v>
      </c>
      <c r="C1599">
        <v>1</v>
      </c>
      <c r="D1599" t="s">
        <v>23629</v>
      </c>
      <c r="E1599" t="s">
        <v>23632</v>
      </c>
    </row>
    <row r="1600" spans="1:5" x14ac:dyDescent="0.25">
      <c r="A1600" s="131" t="s">
        <v>24896</v>
      </c>
      <c r="B1600" t="s">
        <v>24938</v>
      </c>
      <c r="C1600">
        <v>1</v>
      </c>
      <c r="D1600" t="s">
        <v>23629</v>
      </c>
      <c r="E1600" t="s">
        <v>23632</v>
      </c>
    </row>
    <row r="1601" spans="1:5" x14ac:dyDescent="0.25">
      <c r="A1601" s="130" t="s">
        <v>24896</v>
      </c>
      <c r="B1601" t="s">
        <v>24939</v>
      </c>
      <c r="C1601">
        <v>1</v>
      </c>
      <c r="D1601" t="s">
        <v>23629</v>
      </c>
      <c r="E1601" t="s">
        <v>23632</v>
      </c>
    </row>
    <row r="1602" spans="1:5" x14ac:dyDescent="0.25">
      <c r="A1602" s="130" t="str">
        <f>LEFT((B1602),1)</f>
        <v>E</v>
      </c>
      <c r="B1602" t="s">
        <v>24940</v>
      </c>
      <c r="C1602">
        <v>1</v>
      </c>
      <c r="D1602" t="s">
        <v>23629</v>
      </c>
      <c r="E1602" t="s">
        <v>23632</v>
      </c>
    </row>
    <row r="1603" spans="1:5" x14ac:dyDescent="0.25">
      <c r="A1603" s="131" t="str">
        <f>LEFT((B1603),1)</f>
        <v>E</v>
      </c>
      <c r="B1603" t="s">
        <v>24941</v>
      </c>
      <c r="C1603">
        <v>1</v>
      </c>
      <c r="D1603" t="s">
        <v>23629</v>
      </c>
      <c r="E1603" t="s">
        <v>23632</v>
      </c>
    </row>
    <row r="1604" spans="1:5" x14ac:dyDescent="0.25">
      <c r="A1604" s="131" t="s">
        <v>24896</v>
      </c>
      <c r="B1604" t="s">
        <v>24942</v>
      </c>
      <c r="C1604">
        <v>1</v>
      </c>
      <c r="D1604" t="s">
        <v>23629</v>
      </c>
      <c r="E1604" t="s">
        <v>23632</v>
      </c>
    </row>
    <row r="1605" spans="1:5" x14ac:dyDescent="0.25">
      <c r="A1605" s="130" t="s">
        <v>24896</v>
      </c>
      <c r="B1605" t="s">
        <v>24943</v>
      </c>
      <c r="C1605">
        <v>1</v>
      </c>
      <c r="D1605" t="s">
        <v>23629</v>
      </c>
      <c r="E1605" t="s">
        <v>23632</v>
      </c>
    </row>
    <row r="1606" spans="1:5" x14ac:dyDescent="0.25">
      <c r="A1606" s="131" t="s">
        <v>24896</v>
      </c>
      <c r="B1606" t="s">
        <v>24944</v>
      </c>
      <c r="C1606">
        <v>1</v>
      </c>
      <c r="D1606" t="s">
        <v>23629</v>
      </c>
      <c r="E1606" t="s">
        <v>23632</v>
      </c>
    </row>
    <row r="1607" spans="1:5" x14ac:dyDescent="0.25">
      <c r="A1607" s="130" t="s">
        <v>24896</v>
      </c>
      <c r="B1607" t="s">
        <v>24945</v>
      </c>
      <c r="C1607">
        <v>1</v>
      </c>
      <c r="D1607" t="s">
        <v>23629</v>
      </c>
      <c r="E1607" t="s">
        <v>23632</v>
      </c>
    </row>
    <row r="1608" spans="1:5" x14ac:dyDescent="0.25">
      <c r="A1608" s="130" t="s">
        <v>24896</v>
      </c>
      <c r="B1608" t="s">
        <v>24946</v>
      </c>
      <c r="C1608">
        <v>1</v>
      </c>
      <c r="D1608" t="s">
        <v>23629</v>
      </c>
      <c r="E1608" t="s">
        <v>23632</v>
      </c>
    </row>
    <row r="1609" spans="1:5" x14ac:dyDescent="0.25">
      <c r="A1609" s="131" t="s">
        <v>24896</v>
      </c>
      <c r="B1609" t="s">
        <v>24947</v>
      </c>
      <c r="C1609">
        <v>1</v>
      </c>
      <c r="D1609" t="s">
        <v>23629</v>
      </c>
      <c r="E1609" t="s">
        <v>23632</v>
      </c>
    </row>
    <row r="1610" spans="1:5" x14ac:dyDescent="0.25">
      <c r="A1610" s="131" t="s">
        <v>24896</v>
      </c>
      <c r="B1610" t="s">
        <v>24948</v>
      </c>
      <c r="C1610">
        <v>1</v>
      </c>
      <c r="D1610" t="s">
        <v>23629</v>
      </c>
      <c r="E1610" t="s">
        <v>23632</v>
      </c>
    </row>
    <row r="1611" spans="1:5" x14ac:dyDescent="0.25">
      <c r="A1611" s="130" t="str">
        <f>LEFT(B1611,1)</f>
        <v>E</v>
      </c>
      <c r="B1611" t="s">
        <v>28745</v>
      </c>
      <c r="C1611">
        <v>1</v>
      </c>
      <c r="D1611" t="s">
        <v>23629</v>
      </c>
      <c r="E1611" t="s">
        <v>23632</v>
      </c>
    </row>
    <row r="1612" spans="1:5" x14ac:dyDescent="0.25">
      <c r="A1612" s="130" t="s">
        <v>24896</v>
      </c>
      <c r="B1612" t="s">
        <v>24949</v>
      </c>
      <c r="C1612">
        <v>1</v>
      </c>
      <c r="D1612" t="s">
        <v>23629</v>
      </c>
      <c r="E1612" t="s">
        <v>23632</v>
      </c>
    </row>
    <row r="1613" spans="1:5" x14ac:dyDescent="0.25">
      <c r="A1613" s="130" t="str">
        <f>LEFT((B1613),1)</f>
        <v>E</v>
      </c>
      <c r="B1613" t="s">
        <v>24950</v>
      </c>
      <c r="C1613">
        <v>1</v>
      </c>
      <c r="D1613" t="s">
        <v>23629</v>
      </c>
      <c r="E1613" t="s">
        <v>23632</v>
      </c>
    </row>
    <row r="1614" spans="1:5" x14ac:dyDescent="0.25">
      <c r="A1614" s="130" t="str">
        <f>LEFT(B1614,1)</f>
        <v>E</v>
      </c>
      <c r="B1614" t="s">
        <v>25133</v>
      </c>
      <c r="C1614">
        <v>1</v>
      </c>
      <c r="D1614" t="s">
        <v>23629</v>
      </c>
      <c r="E1614" t="s">
        <v>23632</v>
      </c>
    </row>
    <row r="1615" spans="1:5" x14ac:dyDescent="0.25">
      <c r="A1615" s="130" t="str">
        <f>LEFT(B1615,1)</f>
        <v>E</v>
      </c>
      <c r="B1615" t="s">
        <v>28442</v>
      </c>
      <c r="C1615">
        <v>1</v>
      </c>
      <c r="D1615" t="s">
        <v>23629</v>
      </c>
      <c r="E1615" t="s">
        <v>23632</v>
      </c>
    </row>
    <row r="1616" spans="1:5" x14ac:dyDescent="0.25">
      <c r="A1616" s="131" t="str">
        <f>LEFT(B1616,1)</f>
        <v>E</v>
      </c>
      <c r="B1616" t="s">
        <v>25134</v>
      </c>
      <c r="C1616">
        <v>1</v>
      </c>
      <c r="D1616" t="s">
        <v>23629</v>
      </c>
      <c r="E1616" t="s">
        <v>23632</v>
      </c>
    </row>
    <row r="1617" spans="1:5" x14ac:dyDescent="0.25">
      <c r="A1617" s="130" t="s">
        <v>24896</v>
      </c>
      <c r="B1617" t="s">
        <v>24951</v>
      </c>
      <c r="C1617">
        <v>1</v>
      </c>
      <c r="D1617" t="s">
        <v>23629</v>
      </c>
      <c r="E1617" t="s">
        <v>23632</v>
      </c>
    </row>
    <row r="1618" spans="1:5" x14ac:dyDescent="0.25">
      <c r="A1618" s="130" t="s">
        <v>24896</v>
      </c>
      <c r="B1618" t="s">
        <v>24952</v>
      </c>
      <c r="C1618">
        <v>1</v>
      </c>
      <c r="D1618" t="s">
        <v>24953</v>
      </c>
      <c r="E1618" t="s">
        <v>23632</v>
      </c>
    </row>
    <row r="1619" spans="1:5" x14ac:dyDescent="0.25">
      <c r="A1619" s="131" t="s">
        <v>24896</v>
      </c>
      <c r="B1619" t="s">
        <v>24954</v>
      </c>
      <c r="C1619">
        <v>1</v>
      </c>
      <c r="D1619" t="s">
        <v>23629</v>
      </c>
      <c r="E1619" t="s">
        <v>23632</v>
      </c>
    </row>
    <row r="1620" spans="1:5" x14ac:dyDescent="0.25">
      <c r="A1620" s="130" t="s">
        <v>24896</v>
      </c>
      <c r="B1620" t="s">
        <v>24955</v>
      </c>
      <c r="C1620">
        <v>1</v>
      </c>
      <c r="D1620" t="s">
        <v>23629</v>
      </c>
      <c r="E1620" t="s">
        <v>23632</v>
      </c>
    </row>
    <row r="1621" spans="1:5" x14ac:dyDescent="0.25">
      <c r="A1621" s="131" t="s">
        <v>24896</v>
      </c>
      <c r="B1621" t="s">
        <v>24956</v>
      </c>
      <c r="C1621">
        <v>1</v>
      </c>
      <c r="D1621" t="s">
        <v>23629</v>
      </c>
      <c r="E1621" t="s">
        <v>23632</v>
      </c>
    </row>
    <row r="1622" spans="1:5" x14ac:dyDescent="0.25">
      <c r="A1622" s="130" t="s">
        <v>24896</v>
      </c>
      <c r="B1622" t="s">
        <v>24957</v>
      </c>
      <c r="C1622">
        <v>1</v>
      </c>
      <c r="D1622" t="s">
        <v>23629</v>
      </c>
      <c r="E1622" t="s">
        <v>23632</v>
      </c>
    </row>
    <row r="1623" spans="1:5" x14ac:dyDescent="0.25">
      <c r="A1623" s="130" t="s">
        <v>24896</v>
      </c>
      <c r="B1623" t="s">
        <v>24958</v>
      </c>
      <c r="C1623">
        <v>1</v>
      </c>
      <c r="D1623" t="s">
        <v>23629</v>
      </c>
      <c r="E1623" t="s">
        <v>23632</v>
      </c>
    </row>
    <row r="1624" spans="1:5" x14ac:dyDescent="0.25">
      <c r="A1624" s="130" t="str">
        <f>LEFT(B1624,1)</f>
        <v>E</v>
      </c>
      <c r="B1624" t="s">
        <v>29018</v>
      </c>
      <c r="C1624">
        <v>1</v>
      </c>
      <c r="D1624" t="s">
        <v>23629</v>
      </c>
      <c r="E1624" t="s">
        <v>23632</v>
      </c>
    </row>
    <row r="1625" spans="1:5" x14ac:dyDescent="0.25">
      <c r="A1625" s="131" t="s">
        <v>24896</v>
      </c>
      <c r="B1625" t="s">
        <v>24959</v>
      </c>
      <c r="C1625">
        <v>1</v>
      </c>
      <c r="D1625" t="s">
        <v>23629</v>
      </c>
      <c r="E1625" t="s">
        <v>23632</v>
      </c>
    </row>
    <row r="1626" spans="1:5" x14ac:dyDescent="0.25">
      <c r="A1626" s="131" t="s">
        <v>24896</v>
      </c>
      <c r="B1626" t="s">
        <v>24960</v>
      </c>
      <c r="C1626">
        <v>1</v>
      </c>
      <c r="D1626" t="s">
        <v>23629</v>
      </c>
      <c r="E1626" t="s">
        <v>23632</v>
      </c>
    </row>
    <row r="1627" spans="1:5" x14ac:dyDescent="0.25">
      <c r="A1627" s="130" t="s">
        <v>24896</v>
      </c>
      <c r="B1627" t="s">
        <v>24961</v>
      </c>
      <c r="C1627">
        <v>1</v>
      </c>
      <c r="D1627" t="s">
        <v>23629</v>
      </c>
      <c r="E1627" t="s">
        <v>23632</v>
      </c>
    </row>
    <row r="1628" spans="1:5" x14ac:dyDescent="0.25">
      <c r="A1628" s="131" t="s">
        <v>24896</v>
      </c>
      <c r="B1628" t="s">
        <v>24962</v>
      </c>
      <c r="C1628">
        <v>1</v>
      </c>
      <c r="D1628" t="s">
        <v>23629</v>
      </c>
      <c r="E1628" t="s">
        <v>23632</v>
      </c>
    </row>
    <row r="1629" spans="1:5" x14ac:dyDescent="0.25">
      <c r="A1629" s="130" t="s">
        <v>24896</v>
      </c>
      <c r="B1629" t="s">
        <v>24963</v>
      </c>
      <c r="C1629">
        <v>1</v>
      </c>
      <c r="D1629" t="s">
        <v>23629</v>
      </c>
      <c r="E1629" t="s">
        <v>23632</v>
      </c>
    </row>
    <row r="1630" spans="1:5" x14ac:dyDescent="0.25">
      <c r="A1630" s="130" t="str">
        <f>LEFT(B1630,1)</f>
        <v>E</v>
      </c>
      <c r="B1630" t="s">
        <v>28447</v>
      </c>
      <c r="C1630">
        <v>1</v>
      </c>
      <c r="D1630" t="s">
        <v>23629</v>
      </c>
      <c r="E1630" t="s">
        <v>23632</v>
      </c>
    </row>
    <row r="1631" spans="1:5" x14ac:dyDescent="0.25">
      <c r="A1631" s="130" t="s">
        <v>24896</v>
      </c>
      <c r="B1631" t="s">
        <v>24964</v>
      </c>
      <c r="C1631">
        <v>1</v>
      </c>
      <c r="D1631" t="s">
        <v>23629</v>
      </c>
      <c r="E1631" t="s">
        <v>23632</v>
      </c>
    </row>
    <row r="1632" spans="1:5" x14ac:dyDescent="0.25">
      <c r="A1632" s="130" t="s">
        <v>24896</v>
      </c>
      <c r="B1632" t="s">
        <v>24965</v>
      </c>
      <c r="C1632">
        <v>1</v>
      </c>
      <c r="D1632" t="s">
        <v>23629</v>
      </c>
      <c r="E1632" t="s">
        <v>23632</v>
      </c>
    </row>
    <row r="1633" spans="1:5" x14ac:dyDescent="0.25">
      <c r="A1633" s="130" t="str">
        <f>LEFT(B1633,1)</f>
        <v>E</v>
      </c>
      <c r="B1633" t="s">
        <v>25141</v>
      </c>
      <c r="C1633">
        <v>1</v>
      </c>
      <c r="D1633" t="s">
        <v>23629</v>
      </c>
      <c r="E1633" t="s">
        <v>23632</v>
      </c>
    </row>
    <row r="1634" spans="1:5" x14ac:dyDescent="0.25">
      <c r="A1634" s="130" t="str">
        <f>LEFT(B1634,1)</f>
        <v>E</v>
      </c>
      <c r="B1634" t="s">
        <v>28746</v>
      </c>
      <c r="C1634">
        <v>1</v>
      </c>
      <c r="D1634" t="s">
        <v>23629</v>
      </c>
      <c r="E1634" t="s">
        <v>23632</v>
      </c>
    </row>
    <row r="1635" spans="1:5" x14ac:dyDescent="0.25">
      <c r="A1635" s="131" t="s">
        <v>24896</v>
      </c>
      <c r="B1635" t="s">
        <v>24966</v>
      </c>
      <c r="C1635">
        <v>1</v>
      </c>
      <c r="D1635" t="s">
        <v>23629</v>
      </c>
      <c r="E1635" t="s">
        <v>23632</v>
      </c>
    </row>
    <row r="1636" spans="1:5" x14ac:dyDescent="0.25">
      <c r="A1636" s="130" t="str">
        <f>LEFT(B1636,1)</f>
        <v>E</v>
      </c>
      <c r="B1636" t="s">
        <v>28448</v>
      </c>
      <c r="C1636">
        <v>1</v>
      </c>
      <c r="D1636" t="s">
        <v>23629</v>
      </c>
      <c r="E1636" t="s">
        <v>23632</v>
      </c>
    </row>
    <row r="1637" spans="1:5" x14ac:dyDescent="0.25">
      <c r="A1637" s="130" t="s">
        <v>24896</v>
      </c>
      <c r="B1637" t="s">
        <v>24967</v>
      </c>
      <c r="C1637">
        <v>1</v>
      </c>
      <c r="D1637" t="s">
        <v>23629</v>
      </c>
      <c r="E1637" t="s">
        <v>23632</v>
      </c>
    </row>
    <row r="1638" spans="1:5" x14ac:dyDescent="0.25">
      <c r="A1638" s="130" t="str">
        <f>LEFT(B1638,1)</f>
        <v>E</v>
      </c>
      <c r="B1638" t="s">
        <v>28747</v>
      </c>
      <c r="C1638">
        <v>1</v>
      </c>
      <c r="D1638" t="s">
        <v>23629</v>
      </c>
      <c r="E1638" t="s">
        <v>23632</v>
      </c>
    </row>
    <row r="1639" spans="1:5" x14ac:dyDescent="0.25">
      <c r="A1639" s="131" t="s">
        <v>24896</v>
      </c>
      <c r="B1639" t="s">
        <v>24968</v>
      </c>
      <c r="C1639">
        <v>1</v>
      </c>
      <c r="D1639" t="s">
        <v>23629</v>
      </c>
      <c r="E1639" t="s">
        <v>23632</v>
      </c>
    </row>
    <row r="1640" spans="1:5" x14ac:dyDescent="0.25">
      <c r="A1640" s="131" t="s">
        <v>24896</v>
      </c>
      <c r="B1640" t="s">
        <v>24969</v>
      </c>
      <c r="C1640">
        <v>1</v>
      </c>
      <c r="D1640" t="s">
        <v>23629</v>
      </c>
      <c r="E1640" t="s">
        <v>23632</v>
      </c>
    </row>
    <row r="1641" spans="1:5" x14ac:dyDescent="0.25">
      <c r="A1641" s="130" t="s">
        <v>24896</v>
      </c>
      <c r="B1641" t="s">
        <v>24970</v>
      </c>
      <c r="C1641">
        <v>1</v>
      </c>
      <c r="D1641" t="s">
        <v>23629</v>
      </c>
      <c r="E1641" t="s">
        <v>23632</v>
      </c>
    </row>
    <row r="1642" spans="1:5" x14ac:dyDescent="0.25">
      <c r="A1642" s="131" t="s">
        <v>24896</v>
      </c>
      <c r="B1642" t="s">
        <v>24971</v>
      </c>
      <c r="C1642">
        <v>1</v>
      </c>
      <c r="D1642" t="s">
        <v>23629</v>
      </c>
      <c r="E1642" t="s">
        <v>23632</v>
      </c>
    </row>
    <row r="1643" spans="1:5" x14ac:dyDescent="0.25">
      <c r="A1643" s="130" t="str">
        <f>LEFT(B1643,1)</f>
        <v>E</v>
      </c>
      <c r="B1643" t="s">
        <v>28748</v>
      </c>
      <c r="C1643">
        <v>1</v>
      </c>
      <c r="D1643" t="s">
        <v>23629</v>
      </c>
      <c r="E1643" t="s">
        <v>23632</v>
      </c>
    </row>
    <row r="1644" spans="1:5" x14ac:dyDescent="0.25">
      <c r="A1644" s="130" t="str">
        <f>LEFT(B1644,1)</f>
        <v>E</v>
      </c>
      <c r="B1644" t="s">
        <v>25147</v>
      </c>
      <c r="C1644">
        <v>1</v>
      </c>
      <c r="D1644" t="s">
        <v>23629</v>
      </c>
      <c r="E1644" t="s">
        <v>23632</v>
      </c>
    </row>
    <row r="1645" spans="1:5" x14ac:dyDescent="0.25">
      <c r="A1645" s="130" t="s">
        <v>24896</v>
      </c>
      <c r="B1645" t="s">
        <v>24972</v>
      </c>
      <c r="C1645">
        <v>1</v>
      </c>
      <c r="D1645" t="s">
        <v>23629</v>
      </c>
      <c r="E1645" t="s">
        <v>23632</v>
      </c>
    </row>
    <row r="1646" spans="1:5" x14ac:dyDescent="0.25">
      <c r="A1646" s="130" t="s">
        <v>24896</v>
      </c>
      <c r="B1646" t="s">
        <v>24973</v>
      </c>
      <c r="C1646">
        <v>1</v>
      </c>
      <c r="D1646" t="s">
        <v>23629</v>
      </c>
      <c r="E1646" t="s">
        <v>23632</v>
      </c>
    </row>
    <row r="1647" spans="1:5" x14ac:dyDescent="0.25">
      <c r="A1647" s="131" t="s">
        <v>24896</v>
      </c>
      <c r="B1647" t="s">
        <v>24974</v>
      </c>
      <c r="C1647">
        <v>1</v>
      </c>
      <c r="D1647" t="s">
        <v>23629</v>
      </c>
      <c r="E1647" t="s">
        <v>23632</v>
      </c>
    </row>
    <row r="1648" spans="1:5" x14ac:dyDescent="0.25">
      <c r="A1648" s="130" t="s">
        <v>24896</v>
      </c>
      <c r="B1648" t="s">
        <v>24975</v>
      </c>
      <c r="C1648">
        <v>1</v>
      </c>
      <c r="D1648" t="s">
        <v>23629</v>
      </c>
      <c r="E1648" t="s">
        <v>23632</v>
      </c>
    </row>
    <row r="1649" spans="1:5" x14ac:dyDescent="0.25">
      <c r="A1649" s="130" t="s">
        <v>24896</v>
      </c>
      <c r="B1649" t="s">
        <v>24976</v>
      </c>
      <c r="C1649">
        <v>1</v>
      </c>
      <c r="D1649" t="s">
        <v>23629</v>
      </c>
      <c r="E1649" t="s">
        <v>23632</v>
      </c>
    </row>
    <row r="1650" spans="1:5" x14ac:dyDescent="0.25">
      <c r="A1650" s="130" t="s">
        <v>24896</v>
      </c>
      <c r="B1650" t="s">
        <v>24977</v>
      </c>
      <c r="C1650">
        <v>1</v>
      </c>
      <c r="D1650" t="s">
        <v>23629</v>
      </c>
      <c r="E1650" t="s">
        <v>23632</v>
      </c>
    </row>
    <row r="1651" spans="1:5" x14ac:dyDescent="0.25">
      <c r="A1651" s="131" t="s">
        <v>24896</v>
      </c>
      <c r="B1651" t="s">
        <v>24978</v>
      </c>
      <c r="C1651">
        <v>1</v>
      </c>
      <c r="D1651" t="s">
        <v>23629</v>
      </c>
      <c r="E1651" t="s">
        <v>23632</v>
      </c>
    </row>
    <row r="1652" spans="1:5" x14ac:dyDescent="0.25">
      <c r="A1652" s="130" t="s">
        <v>24896</v>
      </c>
      <c r="B1652" t="s">
        <v>24979</v>
      </c>
      <c r="C1652">
        <v>1</v>
      </c>
      <c r="D1652" t="s">
        <v>23629</v>
      </c>
      <c r="E1652" t="s">
        <v>23632</v>
      </c>
    </row>
    <row r="1653" spans="1:5" x14ac:dyDescent="0.25">
      <c r="A1653" s="131" t="s">
        <v>24896</v>
      </c>
      <c r="B1653" t="s">
        <v>24980</v>
      </c>
      <c r="C1653">
        <v>1</v>
      </c>
      <c r="D1653" t="s">
        <v>23629</v>
      </c>
      <c r="E1653" t="s">
        <v>23632</v>
      </c>
    </row>
    <row r="1654" spans="1:5" ht="14.25" customHeight="1" x14ac:dyDescent="0.25">
      <c r="A1654" s="130" t="s">
        <v>24896</v>
      </c>
      <c r="B1654" t="s">
        <v>24981</v>
      </c>
      <c r="C1654">
        <v>1</v>
      </c>
      <c r="D1654" t="s">
        <v>23629</v>
      </c>
      <c r="E1654" t="s">
        <v>23632</v>
      </c>
    </row>
    <row r="1655" spans="1:5" x14ac:dyDescent="0.25">
      <c r="A1655" s="131" t="s">
        <v>24896</v>
      </c>
      <c r="B1655" t="s">
        <v>24982</v>
      </c>
      <c r="C1655">
        <v>1</v>
      </c>
      <c r="D1655" t="s">
        <v>23629</v>
      </c>
      <c r="E1655" t="s">
        <v>23632</v>
      </c>
    </row>
    <row r="1656" spans="1:5" x14ac:dyDescent="0.25">
      <c r="A1656" s="131" t="s">
        <v>24896</v>
      </c>
      <c r="B1656" t="s">
        <v>24983</v>
      </c>
      <c r="C1656">
        <v>1</v>
      </c>
      <c r="D1656" t="s">
        <v>23629</v>
      </c>
      <c r="E1656" t="s">
        <v>23632</v>
      </c>
    </row>
    <row r="1657" spans="1:5" x14ac:dyDescent="0.25">
      <c r="A1657" s="131" t="s">
        <v>24896</v>
      </c>
      <c r="B1657" t="s">
        <v>24984</v>
      </c>
      <c r="C1657">
        <v>1</v>
      </c>
      <c r="D1657" t="s">
        <v>23629</v>
      </c>
      <c r="E1657" t="s">
        <v>23632</v>
      </c>
    </row>
    <row r="1658" spans="1:5" x14ac:dyDescent="0.25">
      <c r="A1658" s="130" t="s">
        <v>24896</v>
      </c>
      <c r="B1658" t="s">
        <v>24985</v>
      </c>
      <c r="C1658">
        <v>1</v>
      </c>
      <c r="D1658" t="s">
        <v>23629</v>
      </c>
      <c r="E1658" t="s">
        <v>23632</v>
      </c>
    </row>
    <row r="1659" spans="1:5" x14ac:dyDescent="0.25">
      <c r="A1659" s="130" t="s">
        <v>24896</v>
      </c>
      <c r="B1659" t="s">
        <v>24986</v>
      </c>
      <c r="C1659">
        <v>1</v>
      </c>
      <c r="D1659" t="s">
        <v>23629</v>
      </c>
      <c r="E1659" t="s">
        <v>23632</v>
      </c>
    </row>
    <row r="1660" spans="1:5" x14ac:dyDescent="0.25">
      <c r="A1660" s="130" t="str">
        <f>LEFT(B1660,1)</f>
        <v>E</v>
      </c>
      <c r="B1660" t="s">
        <v>28749</v>
      </c>
      <c r="C1660">
        <v>1</v>
      </c>
      <c r="D1660" t="s">
        <v>23629</v>
      </c>
      <c r="E1660" t="s">
        <v>23632</v>
      </c>
    </row>
    <row r="1661" spans="1:5" x14ac:dyDescent="0.25">
      <c r="A1661" s="130" t="s">
        <v>24896</v>
      </c>
      <c r="B1661" t="s">
        <v>24987</v>
      </c>
      <c r="C1661">
        <v>1</v>
      </c>
      <c r="D1661" t="s">
        <v>23629</v>
      </c>
      <c r="E1661" t="s">
        <v>23632</v>
      </c>
    </row>
    <row r="1662" spans="1:5" x14ac:dyDescent="0.25">
      <c r="A1662" s="131" t="s">
        <v>24896</v>
      </c>
      <c r="B1662" t="s">
        <v>24988</v>
      </c>
      <c r="C1662">
        <v>1</v>
      </c>
      <c r="D1662" t="s">
        <v>23629</v>
      </c>
      <c r="E1662" t="s">
        <v>23632</v>
      </c>
    </row>
    <row r="1663" spans="1:5" x14ac:dyDescent="0.25">
      <c r="A1663" s="130" t="s">
        <v>24896</v>
      </c>
      <c r="B1663" t="s">
        <v>24989</v>
      </c>
      <c r="C1663">
        <v>1</v>
      </c>
      <c r="D1663" t="s">
        <v>23629</v>
      </c>
      <c r="E1663" t="s">
        <v>23632</v>
      </c>
    </row>
    <row r="1664" spans="1:5" x14ac:dyDescent="0.25">
      <c r="A1664" s="131" t="str">
        <f>LEFT((B1664),1)</f>
        <v>E</v>
      </c>
      <c r="B1664" t="s">
        <v>24990</v>
      </c>
      <c r="C1664">
        <v>1</v>
      </c>
      <c r="D1664" t="s">
        <v>23629</v>
      </c>
      <c r="E1664" t="s">
        <v>23632</v>
      </c>
    </row>
    <row r="1665" spans="1:5" x14ac:dyDescent="0.25">
      <c r="A1665" s="131" t="str">
        <f>LEFT(B1665,1)</f>
        <v>E</v>
      </c>
      <c r="B1665" t="s">
        <v>25148</v>
      </c>
      <c r="C1665">
        <v>1</v>
      </c>
      <c r="D1665" t="s">
        <v>23629</v>
      </c>
      <c r="E1665" t="s">
        <v>23632</v>
      </c>
    </row>
    <row r="1666" spans="1:5" x14ac:dyDescent="0.25">
      <c r="A1666" s="130" t="str">
        <f>LEFT((B1666),1)</f>
        <v>E</v>
      </c>
      <c r="B1666" t="s">
        <v>24991</v>
      </c>
      <c r="C1666">
        <v>1</v>
      </c>
      <c r="D1666" t="s">
        <v>23629</v>
      </c>
      <c r="E1666" t="s">
        <v>23632</v>
      </c>
    </row>
    <row r="1667" spans="1:5" x14ac:dyDescent="0.25">
      <c r="A1667" s="131" t="s">
        <v>24896</v>
      </c>
      <c r="B1667" t="s">
        <v>24992</v>
      </c>
      <c r="C1667">
        <v>1</v>
      </c>
      <c r="D1667" t="s">
        <v>23629</v>
      </c>
      <c r="E1667" t="s">
        <v>23632</v>
      </c>
    </row>
    <row r="1668" spans="1:5" x14ac:dyDescent="0.25">
      <c r="A1668" s="130" t="s">
        <v>24896</v>
      </c>
      <c r="B1668" t="s">
        <v>24993</v>
      </c>
      <c r="C1668">
        <v>1</v>
      </c>
      <c r="D1668" t="s">
        <v>23629</v>
      </c>
      <c r="E1668" t="s">
        <v>23632</v>
      </c>
    </row>
    <row r="1669" spans="1:5" x14ac:dyDescent="0.25">
      <c r="A1669" s="130" t="s">
        <v>24896</v>
      </c>
      <c r="B1669" t="s">
        <v>24994</v>
      </c>
      <c r="C1669">
        <v>1</v>
      </c>
      <c r="D1669" t="s">
        <v>23629</v>
      </c>
      <c r="E1669" t="s">
        <v>23632</v>
      </c>
    </row>
    <row r="1670" spans="1:5" x14ac:dyDescent="0.25">
      <c r="A1670" s="130" t="str">
        <f>LEFT(B1670,1)</f>
        <v>E</v>
      </c>
      <c r="B1670" t="s">
        <v>28449</v>
      </c>
      <c r="C1670">
        <v>1</v>
      </c>
      <c r="D1670" t="s">
        <v>23629</v>
      </c>
      <c r="E1670" t="s">
        <v>23632</v>
      </c>
    </row>
    <row r="1671" spans="1:5" x14ac:dyDescent="0.25">
      <c r="A1671" s="130" t="s">
        <v>24896</v>
      </c>
      <c r="B1671" t="s">
        <v>24995</v>
      </c>
      <c r="C1671">
        <v>1</v>
      </c>
      <c r="D1671" t="s">
        <v>23629</v>
      </c>
      <c r="E1671" t="s">
        <v>23632</v>
      </c>
    </row>
    <row r="1672" spans="1:5" x14ac:dyDescent="0.25">
      <c r="A1672" s="131" t="s">
        <v>24896</v>
      </c>
      <c r="B1672" t="s">
        <v>24996</v>
      </c>
      <c r="C1672">
        <v>1</v>
      </c>
      <c r="D1672" t="s">
        <v>23629</v>
      </c>
      <c r="E1672" t="s">
        <v>23632</v>
      </c>
    </row>
    <row r="1673" spans="1:5" x14ac:dyDescent="0.25">
      <c r="A1673" s="130" t="str">
        <f>LEFT(B1673,1)</f>
        <v>E</v>
      </c>
      <c r="B1673" t="s">
        <v>25149</v>
      </c>
      <c r="C1673">
        <v>1</v>
      </c>
      <c r="D1673" t="s">
        <v>23629</v>
      </c>
      <c r="E1673" t="s">
        <v>23632</v>
      </c>
    </row>
    <row r="1674" spans="1:5" x14ac:dyDescent="0.25">
      <c r="A1674" s="131" t="s">
        <v>24896</v>
      </c>
      <c r="B1674" t="s">
        <v>24997</v>
      </c>
      <c r="C1674">
        <v>1</v>
      </c>
      <c r="D1674" t="s">
        <v>23629</v>
      </c>
      <c r="E1674" t="s">
        <v>23632</v>
      </c>
    </row>
    <row r="1675" spans="1:5" x14ac:dyDescent="0.25">
      <c r="A1675" s="130" t="s">
        <v>24896</v>
      </c>
      <c r="B1675" t="s">
        <v>24998</v>
      </c>
      <c r="C1675">
        <v>1</v>
      </c>
      <c r="D1675" t="s">
        <v>23629</v>
      </c>
      <c r="E1675" t="s">
        <v>23632</v>
      </c>
    </row>
    <row r="1676" spans="1:5" x14ac:dyDescent="0.25">
      <c r="A1676" s="130" t="s">
        <v>24896</v>
      </c>
      <c r="B1676" t="s">
        <v>24999</v>
      </c>
      <c r="C1676">
        <v>1</v>
      </c>
      <c r="D1676" t="s">
        <v>23629</v>
      </c>
      <c r="E1676" t="s">
        <v>23632</v>
      </c>
    </row>
    <row r="1677" spans="1:5" x14ac:dyDescent="0.25">
      <c r="A1677" s="130" t="str">
        <f>LEFT(B1677,1)</f>
        <v>E</v>
      </c>
      <c r="B1677" t="s">
        <v>29019</v>
      </c>
      <c r="C1677">
        <v>1</v>
      </c>
      <c r="D1677" t="s">
        <v>23629</v>
      </c>
      <c r="E1677" t="s">
        <v>23632</v>
      </c>
    </row>
    <row r="1678" spans="1:5" x14ac:dyDescent="0.25">
      <c r="A1678" s="131" t="s">
        <v>24896</v>
      </c>
      <c r="B1678" t="s">
        <v>25000</v>
      </c>
      <c r="C1678">
        <v>1</v>
      </c>
      <c r="D1678" t="s">
        <v>23629</v>
      </c>
      <c r="E1678" t="s">
        <v>23632</v>
      </c>
    </row>
    <row r="1679" spans="1:5" x14ac:dyDescent="0.25">
      <c r="A1679" s="130" t="s">
        <v>24896</v>
      </c>
      <c r="B1679" t="s">
        <v>25001</v>
      </c>
      <c r="C1679">
        <v>1</v>
      </c>
      <c r="D1679" t="s">
        <v>23629</v>
      </c>
      <c r="E1679" t="s">
        <v>23632</v>
      </c>
    </row>
    <row r="1680" spans="1:5" x14ac:dyDescent="0.25">
      <c r="A1680" s="131" t="s">
        <v>24896</v>
      </c>
      <c r="B1680" t="s">
        <v>25002</v>
      </c>
      <c r="C1680">
        <v>1</v>
      </c>
      <c r="D1680" t="s">
        <v>23629</v>
      </c>
      <c r="E1680" t="s">
        <v>23632</v>
      </c>
    </row>
    <row r="1681" spans="1:5" x14ac:dyDescent="0.25">
      <c r="A1681" s="130" t="s">
        <v>24896</v>
      </c>
      <c r="B1681" t="s">
        <v>25003</v>
      </c>
      <c r="C1681">
        <v>1</v>
      </c>
      <c r="D1681" t="s">
        <v>23629</v>
      </c>
      <c r="E1681" t="s">
        <v>23632</v>
      </c>
    </row>
    <row r="1682" spans="1:5" x14ac:dyDescent="0.25">
      <c r="A1682" s="130" t="str">
        <f>LEFT(B1682,1)</f>
        <v>E</v>
      </c>
      <c r="B1682" t="s">
        <v>28750</v>
      </c>
      <c r="C1682">
        <v>1</v>
      </c>
      <c r="D1682" t="s">
        <v>23629</v>
      </c>
      <c r="E1682" t="s">
        <v>23632</v>
      </c>
    </row>
    <row r="1683" spans="1:5" x14ac:dyDescent="0.25">
      <c r="A1683" s="131" t="str">
        <f>LEFT((B1683),1)</f>
        <v>E</v>
      </c>
      <c r="B1683" t="s">
        <v>25004</v>
      </c>
      <c r="C1683">
        <v>1</v>
      </c>
      <c r="D1683" t="s">
        <v>23629</v>
      </c>
      <c r="E1683" t="s">
        <v>23632</v>
      </c>
    </row>
    <row r="1684" spans="1:5" x14ac:dyDescent="0.25">
      <c r="A1684" s="130" t="str">
        <f>LEFT(B1684,1)</f>
        <v>E</v>
      </c>
      <c r="B1684" t="s">
        <v>29020</v>
      </c>
      <c r="C1684">
        <v>1</v>
      </c>
      <c r="D1684" t="s">
        <v>23629</v>
      </c>
      <c r="E1684" t="s">
        <v>23632</v>
      </c>
    </row>
    <row r="1685" spans="1:5" x14ac:dyDescent="0.25">
      <c r="A1685" s="130" t="s">
        <v>24896</v>
      </c>
      <c r="B1685" t="s">
        <v>25005</v>
      </c>
      <c r="C1685">
        <v>1</v>
      </c>
      <c r="D1685" t="s">
        <v>23629</v>
      </c>
      <c r="E1685" t="s">
        <v>23632</v>
      </c>
    </row>
    <row r="1686" spans="1:5" x14ac:dyDescent="0.25">
      <c r="A1686" s="131" t="s">
        <v>24896</v>
      </c>
      <c r="B1686" t="s">
        <v>25006</v>
      </c>
      <c r="C1686">
        <v>1</v>
      </c>
      <c r="D1686" t="s">
        <v>23629</v>
      </c>
      <c r="E1686" t="s">
        <v>23632</v>
      </c>
    </row>
    <row r="1687" spans="1:5" x14ac:dyDescent="0.25">
      <c r="A1687" s="131" t="str">
        <f>LEFT(B1687,1)</f>
        <v>E</v>
      </c>
      <c r="B1687" t="s">
        <v>25150</v>
      </c>
      <c r="C1687">
        <v>1</v>
      </c>
      <c r="D1687" t="s">
        <v>23629</v>
      </c>
      <c r="E1687" t="s">
        <v>23632</v>
      </c>
    </row>
    <row r="1688" spans="1:5" x14ac:dyDescent="0.25">
      <c r="A1688" s="130" t="s">
        <v>24896</v>
      </c>
      <c r="B1688" t="s">
        <v>25007</v>
      </c>
      <c r="C1688">
        <v>1</v>
      </c>
      <c r="D1688" t="s">
        <v>23629</v>
      </c>
      <c r="E1688" t="s">
        <v>23632</v>
      </c>
    </row>
    <row r="1689" spans="1:5" x14ac:dyDescent="0.25">
      <c r="A1689" s="131" t="s">
        <v>24896</v>
      </c>
      <c r="B1689" t="s">
        <v>25008</v>
      </c>
      <c r="C1689">
        <v>1</v>
      </c>
      <c r="D1689" t="s">
        <v>23629</v>
      </c>
      <c r="E1689" t="s">
        <v>23632</v>
      </c>
    </row>
    <row r="1690" spans="1:5" x14ac:dyDescent="0.25">
      <c r="A1690" s="131" t="s">
        <v>24896</v>
      </c>
      <c r="B1690" t="s">
        <v>25009</v>
      </c>
      <c r="C1690">
        <v>1</v>
      </c>
      <c r="D1690" t="s">
        <v>23629</v>
      </c>
      <c r="E1690" t="s">
        <v>23632</v>
      </c>
    </row>
    <row r="1691" spans="1:5" x14ac:dyDescent="0.25">
      <c r="A1691" s="130" t="str">
        <f>LEFT(B1691,1)</f>
        <v>E</v>
      </c>
      <c r="B1691" t="s">
        <v>25135</v>
      </c>
      <c r="C1691">
        <v>1</v>
      </c>
      <c r="D1691" t="s">
        <v>23629</v>
      </c>
      <c r="E1691" t="s">
        <v>23632</v>
      </c>
    </row>
    <row r="1692" spans="1:5" x14ac:dyDescent="0.25">
      <c r="A1692" s="130" t="str">
        <f>LEFT((B1692),1)</f>
        <v>E</v>
      </c>
      <c r="B1692" t="s">
        <v>25010</v>
      </c>
      <c r="C1692">
        <v>1</v>
      </c>
      <c r="D1692" t="s">
        <v>23629</v>
      </c>
      <c r="E1692" t="s">
        <v>23632</v>
      </c>
    </row>
    <row r="1693" spans="1:5" x14ac:dyDescent="0.25">
      <c r="A1693" s="130" t="str">
        <f>LEFT(B1693,1)</f>
        <v>E</v>
      </c>
      <c r="B1693" t="s">
        <v>29021</v>
      </c>
      <c r="C1693">
        <v>1</v>
      </c>
      <c r="D1693" t="s">
        <v>23629</v>
      </c>
      <c r="E1693" t="s">
        <v>23632</v>
      </c>
    </row>
    <row r="1694" spans="1:5" x14ac:dyDescent="0.25">
      <c r="A1694" s="131" t="s">
        <v>24896</v>
      </c>
      <c r="B1694" t="s">
        <v>25011</v>
      </c>
      <c r="C1694">
        <v>1</v>
      </c>
      <c r="D1694" t="s">
        <v>23629</v>
      </c>
      <c r="E1694" t="s">
        <v>23632</v>
      </c>
    </row>
    <row r="1695" spans="1:5" x14ac:dyDescent="0.25">
      <c r="A1695" s="131" t="s">
        <v>24896</v>
      </c>
      <c r="B1695" t="s">
        <v>25012</v>
      </c>
      <c r="C1695">
        <v>1</v>
      </c>
      <c r="D1695" t="s">
        <v>23629</v>
      </c>
      <c r="E1695" t="s">
        <v>23632</v>
      </c>
    </row>
    <row r="1696" spans="1:5" x14ac:dyDescent="0.25">
      <c r="A1696" s="130" t="str">
        <f>LEFT(B1696,1)</f>
        <v>E</v>
      </c>
      <c r="B1696" t="s">
        <v>28450</v>
      </c>
      <c r="C1696">
        <v>1</v>
      </c>
      <c r="D1696" t="s">
        <v>23629</v>
      </c>
      <c r="E1696" t="s">
        <v>23632</v>
      </c>
    </row>
    <row r="1697" spans="1:5" x14ac:dyDescent="0.25">
      <c r="A1697" s="130" t="s">
        <v>24896</v>
      </c>
      <c r="B1697" t="s">
        <v>28334</v>
      </c>
      <c r="C1697">
        <v>1</v>
      </c>
      <c r="D1697" t="s">
        <v>23629</v>
      </c>
      <c r="E1697" t="s">
        <v>23632</v>
      </c>
    </row>
    <row r="1698" spans="1:5" x14ac:dyDescent="0.25">
      <c r="A1698" s="131" t="str">
        <f>LEFT(B1698,1)</f>
        <v>E</v>
      </c>
      <c r="B1698" t="s">
        <v>25136</v>
      </c>
      <c r="C1698">
        <v>1</v>
      </c>
      <c r="D1698" t="s">
        <v>23629</v>
      </c>
      <c r="E1698" t="s">
        <v>23632</v>
      </c>
    </row>
    <row r="1699" spans="1:5" x14ac:dyDescent="0.25">
      <c r="A1699" s="131" t="s">
        <v>24896</v>
      </c>
      <c r="B1699" t="s">
        <v>25013</v>
      </c>
      <c r="C1699">
        <v>1</v>
      </c>
      <c r="D1699" t="s">
        <v>23629</v>
      </c>
      <c r="E1699" t="s">
        <v>23632</v>
      </c>
    </row>
    <row r="1700" spans="1:5" x14ac:dyDescent="0.25">
      <c r="A1700" s="130" t="s">
        <v>24896</v>
      </c>
      <c r="B1700" t="s">
        <v>25014</v>
      </c>
      <c r="C1700">
        <v>1</v>
      </c>
      <c r="D1700" t="s">
        <v>23629</v>
      </c>
      <c r="E1700" t="s">
        <v>23632</v>
      </c>
    </row>
    <row r="1701" spans="1:5" x14ac:dyDescent="0.25">
      <c r="A1701" s="130" t="str">
        <f>LEFT(B1701,1)</f>
        <v>E</v>
      </c>
      <c r="B1701" t="s">
        <v>28451</v>
      </c>
      <c r="C1701">
        <v>1</v>
      </c>
      <c r="D1701" t="s">
        <v>23629</v>
      </c>
      <c r="E1701" t="s">
        <v>23632</v>
      </c>
    </row>
    <row r="1702" spans="1:5" x14ac:dyDescent="0.25">
      <c r="A1702" s="130" t="str">
        <f>LEFT(B1702,1)</f>
        <v>E</v>
      </c>
      <c r="B1702" t="s">
        <v>28751</v>
      </c>
      <c r="C1702">
        <v>1</v>
      </c>
      <c r="D1702" t="s">
        <v>23629</v>
      </c>
      <c r="E1702" t="s">
        <v>23632</v>
      </c>
    </row>
    <row r="1703" spans="1:5" x14ac:dyDescent="0.25">
      <c r="A1703" s="130" t="str">
        <f>LEFT(B1703,1)</f>
        <v>E</v>
      </c>
      <c r="B1703" t="s">
        <v>25142</v>
      </c>
      <c r="C1703">
        <v>1</v>
      </c>
      <c r="D1703" t="s">
        <v>23629</v>
      </c>
      <c r="E1703" t="s">
        <v>23632</v>
      </c>
    </row>
    <row r="1704" spans="1:5" x14ac:dyDescent="0.25">
      <c r="A1704" s="131" t="s">
        <v>24896</v>
      </c>
      <c r="B1704" t="s">
        <v>25015</v>
      </c>
      <c r="C1704">
        <v>1</v>
      </c>
      <c r="D1704" t="s">
        <v>23629</v>
      </c>
      <c r="E1704" t="s">
        <v>23632</v>
      </c>
    </row>
    <row r="1705" spans="1:5" x14ac:dyDescent="0.25">
      <c r="A1705" s="130" t="s">
        <v>24896</v>
      </c>
      <c r="B1705" t="s">
        <v>25016</v>
      </c>
      <c r="C1705">
        <v>1</v>
      </c>
      <c r="D1705" t="s">
        <v>23629</v>
      </c>
      <c r="E1705" t="s">
        <v>23632</v>
      </c>
    </row>
    <row r="1706" spans="1:5" x14ac:dyDescent="0.25">
      <c r="A1706" s="130" t="s">
        <v>24896</v>
      </c>
      <c r="B1706" t="s">
        <v>25017</v>
      </c>
      <c r="C1706">
        <v>1</v>
      </c>
      <c r="D1706" t="s">
        <v>23629</v>
      </c>
      <c r="E1706" t="s">
        <v>23632</v>
      </c>
    </row>
    <row r="1707" spans="1:5" x14ac:dyDescent="0.25">
      <c r="A1707" s="131" t="str">
        <f>LEFT((B1707),1)</f>
        <v>E</v>
      </c>
      <c r="B1707" t="s">
        <v>25018</v>
      </c>
      <c r="C1707">
        <v>1</v>
      </c>
      <c r="D1707" t="s">
        <v>23629</v>
      </c>
      <c r="E1707" t="s">
        <v>23632</v>
      </c>
    </row>
    <row r="1708" spans="1:5" x14ac:dyDescent="0.25">
      <c r="A1708" s="131" t="s">
        <v>24896</v>
      </c>
      <c r="B1708" t="s">
        <v>25019</v>
      </c>
      <c r="C1708">
        <v>1</v>
      </c>
      <c r="D1708" t="s">
        <v>23629</v>
      </c>
      <c r="E1708" t="s">
        <v>23632</v>
      </c>
    </row>
    <row r="1709" spans="1:5" x14ac:dyDescent="0.25">
      <c r="A1709" s="131" t="s">
        <v>24896</v>
      </c>
      <c r="B1709" t="s">
        <v>25020</v>
      </c>
      <c r="C1709">
        <v>1.1499999999999999</v>
      </c>
      <c r="D1709" t="s">
        <v>23629</v>
      </c>
      <c r="E1709" t="s">
        <v>23632</v>
      </c>
    </row>
    <row r="1710" spans="1:5" x14ac:dyDescent="0.25">
      <c r="A1710" s="130" t="str">
        <f>LEFT(B1710,1)</f>
        <v>E</v>
      </c>
      <c r="B1710" t="s">
        <v>28452</v>
      </c>
      <c r="C1710">
        <v>1</v>
      </c>
      <c r="D1710" t="s">
        <v>23629</v>
      </c>
      <c r="E1710" t="s">
        <v>23632</v>
      </c>
    </row>
    <row r="1711" spans="1:5" x14ac:dyDescent="0.25">
      <c r="A1711" s="130" t="str">
        <f>LEFT((B1711),1)</f>
        <v>E</v>
      </c>
      <c r="B1711" t="s">
        <v>25021</v>
      </c>
      <c r="C1711">
        <v>1</v>
      </c>
      <c r="D1711" t="s">
        <v>23629</v>
      </c>
      <c r="E1711" t="s">
        <v>23632</v>
      </c>
    </row>
    <row r="1712" spans="1:5" x14ac:dyDescent="0.25">
      <c r="A1712" s="130" t="str">
        <f>LEFT(B1712,1)</f>
        <v>E</v>
      </c>
      <c r="B1712" t="s">
        <v>25151</v>
      </c>
      <c r="C1712">
        <v>1</v>
      </c>
      <c r="D1712" t="s">
        <v>23629</v>
      </c>
      <c r="E1712" t="s">
        <v>23632</v>
      </c>
    </row>
    <row r="1713" spans="1:5" x14ac:dyDescent="0.25">
      <c r="A1713" s="130" t="s">
        <v>24896</v>
      </c>
      <c r="B1713" t="s">
        <v>25022</v>
      </c>
      <c r="C1713">
        <v>1</v>
      </c>
      <c r="D1713" t="s">
        <v>23629</v>
      </c>
      <c r="E1713" t="s">
        <v>23632</v>
      </c>
    </row>
    <row r="1714" spans="1:5" x14ac:dyDescent="0.25">
      <c r="A1714" s="131" t="s">
        <v>24896</v>
      </c>
      <c r="B1714" t="s">
        <v>25023</v>
      </c>
      <c r="C1714">
        <v>1</v>
      </c>
      <c r="D1714" t="s">
        <v>23629</v>
      </c>
      <c r="E1714" t="s">
        <v>23632</v>
      </c>
    </row>
    <row r="1715" spans="1:5" x14ac:dyDescent="0.25">
      <c r="A1715" s="130" t="str">
        <f>LEFT(B1715,1)</f>
        <v>E</v>
      </c>
      <c r="B1715" t="s">
        <v>25137</v>
      </c>
      <c r="C1715">
        <v>1</v>
      </c>
      <c r="D1715" t="s">
        <v>23629</v>
      </c>
      <c r="E1715" t="s">
        <v>23632</v>
      </c>
    </row>
    <row r="1716" spans="1:5" x14ac:dyDescent="0.25">
      <c r="A1716" s="130" t="s">
        <v>24896</v>
      </c>
      <c r="B1716" t="s">
        <v>25024</v>
      </c>
      <c r="C1716">
        <v>1.18</v>
      </c>
      <c r="D1716" t="s">
        <v>23629</v>
      </c>
      <c r="E1716" t="s">
        <v>23632</v>
      </c>
    </row>
    <row r="1717" spans="1:5" x14ac:dyDescent="0.25">
      <c r="A1717" s="131" t="s">
        <v>24896</v>
      </c>
      <c r="B1717" t="s">
        <v>25025</v>
      </c>
      <c r="C1717">
        <v>1</v>
      </c>
      <c r="D1717" t="s">
        <v>23629</v>
      </c>
      <c r="E1717" t="s">
        <v>23632</v>
      </c>
    </row>
    <row r="1718" spans="1:5" x14ac:dyDescent="0.25">
      <c r="A1718" s="130" t="s">
        <v>24896</v>
      </c>
      <c r="B1718" t="s">
        <v>25026</v>
      </c>
      <c r="C1718">
        <v>1</v>
      </c>
      <c r="D1718" t="s">
        <v>23629</v>
      </c>
      <c r="E1718" t="s">
        <v>23632</v>
      </c>
    </row>
    <row r="1719" spans="1:5" x14ac:dyDescent="0.25">
      <c r="A1719" s="131" t="s">
        <v>24896</v>
      </c>
      <c r="B1719" t="s">
        <v>25027</v>
      </c>
      <c r="C1719">
        <v>1</v>
      </c>
      <c r="D1719" t="s">
        <v>23629</v>
      </c>
      <c r="E1719" t="s">
        <v>23632</v>
      </c>
    </row>
    <row r="1720" spans="1:5" x14ac:dyDescent="0.25">
      <c r="A1720" s="130" t="str">
        <f>LEFT(B1720,1)</f>
        <v>E</v>
      </c>
      <c r="B1720" t="s">
        <v>29225</v>
      </c>
      <c r="C1720">
        <v>1</v>
      </c>
      <c r="D1720" t="s">
        <v>23629</v>
      </c>
      <c r="E1720" t="s">
        <v>23632</v>
      </c>
    </row>
    <row r="1721" spans="1:5" x14ac:dyDescent="0.25">
      <c r="A1721" s="131" t="str">
        <f>LEFT(B1721,1)</f>
        <v>E</v>
      </c>
      <c r="B1721" t="s">
        <v>25152</v>
      </c>
      <c r="C1721">
        <v>1</v>
      </c>
      <c r="D1721" t="s">
        <v>23629</v>
      </c>
      <c r="E1721" t="s">
        <v>23632</v>
      </c>
    </row>
    <row r="1722" spans="1:5" x14ac:dyDescent="0.25">
      <c r="A1722" s="130" t="s">
        <v>24896</v>
      </c>
      <c r="B1722" t="s">
        <v>25028</v>
      </c>
      <c r="C1722">
        <v>1</v>
      </c>
      <c r="D1722" t="s">
        <v>23629</v>
      </c>
      <c r="E1722" t="s">
        <v>23632</v>
      </c>
    </row>
    <row r="1723" spans="1:5" x14ac:dyDescent="0.25">
      <c r="A1723" s="131" t="s">
        <v>24896</v>
      </c>
      <c r="B1723" t="s">
        <v>25029</v>
      </c>
      <c r="C1723">
        <v>1</v>
      </c>
      <c r="D1723" t="s">
        <v>23629</v>
      </c>
      <c r="E1723" t="s">
        <v>23632</v>
      </c>
    </row>
    <row r="1724" spans="1:5" x14ac:dyDescent="0.25">
      <c r="A1724" s="131" t="s">
        <v>24896</v>
      </c>
      <c r="B1724" t="s">
        <v>25030</v>
      </c>
      <c r="C1724">
        <v>1</v>
      </c>
      <c r="D1724" t="s">
        <v>23629</v>
      </c>
      <c r="E1724" t="s">
        <v>23632</v>
      </c>
    </row>
    <row r="1725" spans="1:5" x14ac:dyDescent="0.25">
      <c r="A1725" s="131" t="s">
        <v>24896</v>
      </c>
      <c r="B1725" t="s">
        <v>25031</v>
      </c>
      <c r="C1725">
        <v>1</v>
      </c>
      <c r="D1725" t="s">
        <v>23629</v>
      </c>
      <c r="E1725" t="s">
        <v>23632</v>
      </c>
    </row>
    <row r="1726" spans="1:5" x14ac:dyDescent="0.25">
      <c r="A1726" s="130" t="s">
        <v>24896</v>
      </c>
      <c r="B1726" t="s">
        <v>25032</v>
      </c>
      <c r="C1726">
        <v>1</v>
      </c>
      <c r="D1726" t="s">
        <v>23629</v>
      </c>
      <c r="E1726" t="s">
        <v>23632</v>
      </c>
    </row>
    <row r="1727" spans="1:5" x14ac:dyDescent="0.25">
      <c r="A1727" s="131" t="s">
        <v>24896</v>
      </c>
      <c r="B1727" t="s">
        <v>25033</v>
      </c>
      <c r="C1727">
        <v>1</v>
      </c>
      <c r="D1727" t="s">
        <v>23629</v>
      </c>
      <c r="E1727" t="s">
        <v>23632</v>
      </c>
    </row>
    <row r="1728" spans="1:5" x14ac:dyDescent="0.25">
      <c r="A1728" s="131" t="str">
        <f>LEFT((B1728),1)</f>
        <v>E</v>
      </c>
      <c r="B1728" t="s">
        <v>25034</v>
      </c>
      <c r="C1728">
        <v>1</v>
      </c>
      <c r="D1728" t="s">
        <v>23629</v>
      </c>
      <c r="E1728" t="s">
        <v>23632</v>
      </c>
    </row>
    <row r="1729" spans="1:5" x14ac:dyDescent="0.25">
      <c r="A1729" s="130" t="s">
        <v>24896</v>
      </c>
      <c r="B1729" t="s">
        <v>25035</v>
      </c>
      <c r="C1729">
        <v>1</v>
      </c>
      <c r="D1729" t="s">
        <v>23629</v>
      </c>
      <c r="E1729" t="s">
        <v>23632</v>
      </c>
    </row>
    <row r="1730" spans="1:5" x14ac:dyDescent="0.25">
      <c r="A1730" s="131" t="s">
        <v>24896</v>
      </c>
      <c r="B1730" t="s">
        <v>25036</v>
      </c>
      <c r="C1730">
        <v>1</v>
      </c>
      <c r="D1730" t="s">
        <v>23629</v>
      </c>
      <c r="E1730" t="s">
        <v>23632</v>
      </c>
    </row>
    <row r="1731" spans="1:5" x14ac:dyDescent="0.25">
      <c r="A1731" s="130" t="s">
        <v>24896</v>
      </c>
      <c r="B1731" t="s">
        <v>25037</v>
      </c>
      <c r="C1731">
        <v>1</v>
      </c>
      <c r="D1731" t="s">
        <v>23629</v>
      </c>
      <c r="E1731" t="s">
        <v>23632</v>
      </c>
    </row>
    <row r="1732" spans="1:5" x14ac:dyDescent="0.25">
      <c r="A1732" s="130" t="s">
        <v>24896</v>
      </c>
      <c r="B1732" t="s">
        <v>25038</v>
      </c>
      <c r="C1732">
        <v>1</v>
      </c>
      <c r="D1732" t="s">
        <v>23629</v>
      </c>
      <c r="E1732" t="s">
        <v>23632</v>
      </c>
    </row>
    <row r="1733" spans="1:5" x14ac:dyDescent="0.25">
      <c r="A1733" s="131" t="s">
        <v>24896</v>
      </c>
      <c r="B1733" t="s">
        <v>25039</v>
      </c>
      <c r="C1733">
        <v>1</v>
      </c>
      <c r="D1733" t="s">
        <v>23629</v>
      </c>
      <c r="E1733" t="s">
        <v>23632</v>
      </c>
    </row>
    <row r="1734" spans="1:5" x14ac:dyDescent="0.25">
      <c r="A1734" s="130" t="s">
        <v>24896</v>
      </c>
      <c r="B1734" t="s">
        <v>25040</v>
      </c>
      <c r="C1734">
        <v>1</v>
      </c>
      <c r="D1734" t="s">
        <v>23629</v>
      </c>
      <c r="E1734" t="s">
        <v>23632</v>
      </c>
    </row>
    <row r="1735" spans="1:5" x14ac:dyDescent="0.25">
      <c r="A1735" s="131" t="s">
        <v>24896</v>
      </c>
      <c r="B1735" t="s">
        <v>25041</v>
      </c>
      <c r="C1735">
        <v>1</v>
      </c>
      <c r="D1735" t="s">
        <v>23629</v>
      </c>
      <c r="E1735" t="s">
        <v>23632</v>
      </c>
    </row>
    <row r="1736" spans="1:5" x14ac:dyDescent="0.25">
      <c r="A1736" s="130" t="s">
        <v>24896</v>
      </c>
      <c r="B1736" t="s">
        <v>25042</v>
      </c>
      <c r="C1736">
        <v>1</v>
      </c>
      <c r="D1736" t="s">
        <v>23629</v>
      </c>
      <c r="E1736" t="s">
        <v>23632</v>
      </c>
    </row>
    <row r="1737" spans="1:5" x14ac:dyDescent="0.25">
      <c r="A1737" s="131" t="s">
        <v>24896</v>
      </c>
      <c r="B1737" t="s">
        <v>25043</v>
      </c>
      <c r="C1737">
        <v>1</v>
      </c>
      <c r="D1737" t="s">
        <v>23629</v>
      </c>
      <c r="E1737" t="s">
        <v>23632</v>
      </c>
    </row>
    <row r="1738" spans="1:5" x14ac:dyDescent="0.25">
      <c r="A1738" s="130" t="s">
        <v>24896</v>
      </c>
      <c r="B1738" t="s">
        <v>25044</v>
      </c>
      <c r="C1738">
        <v>1</v>
      </c>
      <c r="D1738" t="s">
        <v>23629</v>
      </c>
      <c r="E1738" t="s">
        <v>23632</v>
      </c>
    </row>
    <row r="1739" spans="1:5" x14ac:dyDescent="0.25">
      <c r="A1739" s="131" t="s">
        <v>24896</v>
      </c>
      <c r="B1739" t="s">
        <v>25045</v>
      </c>
      <c r="C1739">
        <v>1</v>
      </c>
      <c r="D1739" t="s">
        <v>23629</v>
      </c>
      <c r="E1739" t="s">
        <v>23632</v>
      </c>
    </row>
    <row r="1740" spans="1:5" x14ac:dyDescent="0.25">
      <c r="A1740" s="131" t="str">
        <f>LEFT(B1740,1)</f>
        <v>E</v>
      </c>
      <c r="B1740" t="s">
        <v>25138</v>
      </c>
      <c r="C1740">
        <v>1</v>
      </c>
      <c r="D1740" t="s">
        <v>23629</v>
      </c>
      <c r="E1740" t="s">
        <v>23632</v>
      </c>
    </row>
    <row r="1741" spans="1:5" x14ac:dyDescent="0.25">
      <c r="A1741" s="130" t="s">
        <v>24896</v>
      </c>
      <c r="B1741" t="s">
        <v>25046</v>
      </c>
      <c r="C1741">
        <v>1</v>
      </c>
      <c r="D1741" t="s">
        <v>23629</v>
      </c>
      <c r="E1741" t="s">
        <v>23632</v>
      </c>
    </row>
    <row r="1742" spans="1:5" x14ac:dyDescent="0.25">
      <c r="A1742" s="131" t="s">
        <v>24896</v>
      </c>
      <c r="B1742" t="s">
        <v>25047</v>
      </c>
      <c r="C1742">
        <v>1</v>
      </c>
      <c r="D1742" t="s">
        <v>23629</v>
      </c>
      <c r="E1742" t="s">
        <v>23632</v>
      </c>
    </row>
    <row r="1743" spans="1:5" x14ac:dyDescent="0.25">
      <c r="A1743" s="130" t="s">
        <v>24896</v>
      </c>
      <c r="B1743" t="s">
        <v>25048</v>
      </c>
      <c r="C1743">
        <v>1</v>
      </c>
      <c r="D1743" t="s">
        <v>23629</v>
      </c>
      <c r="E1743" t="s">
        <v>23632</v>
      </c>
    </row>
    <row r="1744" spans="1:5" x14ac:dyDescent="0.25">
      <c r="A1744" s="130" t="str">
        <f>LEFT(B1744,1)</f>
        <v>E</v>
      </c>
      <c r="B1744" t="s">
        <v>28453</v>
      </c>
      <c r="C1744">
        <v>1</v>
      </c>
      <c r="D1744" t="s">
        <v>23629</v>
      </c>
      <c r="E1744" t="s">
        <v>23632</v>
      </c>
    </row>
    <row r="1745" spans="1:5" x14ac:dyDescent="0.25">
      <c r="A1745" s="131" t="s">
        <v>24896</v>
      </c>
      <c r="B1745" t="s">
        <v>25049</v>
      </c>
      <c r="C1745">
        <v>1</v>
      </c>
      <c r="D1745" t="s">
        <v>23629</v>
      </c>
      <c r="E1745" t="s">
        <v>23632</v>
      </c>
    </row>
    <row r="1746" spans="1:5" x14ac:dyDescent="0.25">
      <c r="A1746" s="131" t="s">
        <v>24896</v>
      </c>
      <c r="B1746" t="s">
        <v>25050</v>
      </c>
      <c r="C1746">
        <v>1</v>
      </c>
      <c r="D1746" t="s">
        <v>23629</v>
      </c>
      <c r="E1746" t="s">
        <v>23632</v>
      </c>
    </row>
    <row r="1747" spans="1:5" x14ac:dyDescent="0.25">
      <c r="A1747" s="130" t="str">
        <f>LEFT(B1747,1)</f>
        <v>E</v>
      </c>
      <c r="B1747" t="s">
        <v>28454</v>
      </c>
      <c r="C1747">
        <v>1</v>
      </c>
      <c r="D1747" t="s">
        <v>23629</v>
      </c>
      <c r="E1747" t="s">
        <v>23632</v>
      </c>
    </row>
    <row r="1748" spans="1:5" x14ac:dyDescent="0.25">
      <c r="A1748" s="131" t="s">
        <v>24896</v>
      </c>
      <c r="B1748" t="s">
        <v>25051</v>
      </c>
      <c r="C1748">
        <v>1</v>
      </c>
      <c r="D1748" t="s">
        <v>23629</v>
      </c>
      <c r="E1748" t="s">
        <v>23632</v>
      </c>
    </row>
    <row r="1749" spans="1:5" x14ac:dyDescent="0.25">
      <c r="A1749" s="130" t="s">
        <v>24896</v>
      </c>
      <c r="B1749" t="s">
        <v>25052</v>
      </c>
      <c r="C1749">
        <v>1</v>
      </c>
      <c r="D1749" t="s">
        <v>23629</v>
      </c>
      <c r="E1749" t="s">
        <v>23632</v>
      </c>
    </row>
    <row r="1750" spans="1:5" x14ac:dyDescent="0.25">
      <c r="A1750" s="131" t="s">
        <v>24896</v>
      </c>
      <c r="B1750" t="s">
        <v>25053</v>
      </c>
      <c r="C1750">
        <v>1</v>
      </c>
      <c r="D1750" t="s">
        <v>23629</v>
      </c>
      <c r="E1750" t="s">
        <v>23632</v>
      </c>
    </row>
    <row r="1751" spans="1:5" x14ac:dyDescent="0.25">
      <c r="A1751" s="130" t="str">
        <f>LEFT((B1751),1)</f>
        <v>E</v>
      </c>
      <c r="B1751" t="s">
        <v>25054</v>
      </c>
      <c r="C1751">
        <v>1</v>
      </c>
      <c r="D1751" t="s">
        <v>23629</v>
      </c>
      <c r="E1751" t="s">
        <v>23632</v>
      </c>
    </row>
    <row r="1752" spans="1:5" x14ac:dyDescent="0.25">
      <c r="A1752" s="131" t="s">
        <v>24896</v>
      </c>
      <c r="B1752" t="s">
        <v>25055</v>
      </c>
      <c r="C1752">
        <v>1</v>
      </c>
      <c r="D1752" t="s">
        <v>23629</v>
      </c>
      <c r="E1752" t="s">
        <v>23632</v>
      </c>
    </row>
    <row r="1753" spans="1:5" x14ac:dyDescent="0.25">
      <c r="A1753" s="130" t="str">
        <f>LEFT(B1753,1)</f>
        <v>E</v>
      </c>
      <c r="B1753" t="s">
        <v>25153</v>
      </c>
      <c r="C1753">
        <v>1</v>
      </c>
      <c r="D1753" t="s">
        <v>23629</v>
      </c>
      <c r="E1753" t="s">
        <v>23632</v>
      </c>
    </row>
    <row r="1754" spans="1:5" x14ac:dyDescent="0.25">
      <c r="A1754" s="130" t="s">
        <v>24896</v>
      </c>
      <c r="B1754" t="s">
        <v>25056</v>
      </c>
      <c r="C1754">
        <v>1</v>
      </c>
      <c r="D1754" t="s">
        <v>23629</v>
      </c>
      <c r="E1754" t="s">
        <v>23632</v>
      </c>
    </row>
    <row r="1755" spans="1:5" x14ac:dyDescent="0.25">
      <c r="A1755" s="130" t="s">
        <v>24896</v>
      </c>
      <c r="B1755" t="s">
        <v>25057</v>
      </c>
      <c r="C1755">
        <v>1</v>
      </c>
      <c r="D1755" t="s">
        <v>23629</v>
      </c>
      <c r="E1755" t="s">
        <v>23632</v>
      </c>
    </row>
    <row r="1756" spans="1:5" x14ac:dyDescent="0.25">
      <c r="A1756" s="131" t="s">
        <v>24896</v>
      </c>
      <c r="B1756" t="s">
        <v>25058</v>
      </c>
      <c r="C1756">
        <v>1</v>
      </c>
      <c r="D1756" t="s">
        <v>23629</v>
      </c>
      <c r="E1756" t="s">
        <v>23632</v>
      </c>
    </row>
    <row r="1757" spans="1:5" x14ac:dyDescent="0.25">
      <c r="A1757" s="131" t="s">
        <v>24896</v>
      </c>
      <c r="B1757" t="s">
        <v>25059</v>
      </c>
      <c r="C1757">
        <v>1</v>
      </c>
      <c r="D1757" t="s">
        <v>23629</v>
      </c>
      <c r="E1757" t="s">
        <v>23632</v>
      </c>
    </row>
    <row r="1758" spans="1:5" x14ac:dyDescent="0.25">
      <c r="A1758" s="130" t="s">
        <v>24896</v>
      </c>
      <c r="B1758" t="s">
        <v>25060</v>
      </c>
      <c r="C1758">
        <v>1</v>
      </c>
      <c r="D1758" t="s">
        <v>23629</v>
      </c>
      <c r="E1758" t="s">
        <v>23632</v>
      </c>
    </row>
    <row r="1759" spans="1:5" x14ac:dyDescent="0.25">
      <c r="A1759" s="131" t="s">
        <v>24896</v>
      </c>
      <c r="B1759" t="s">
        <v>25061</v>
      </c>
      <c r="C1759">
        <v>1</v>
      </c>
      <c r="D1759" t="s">
        <v>23629</v>
      </c>
      <c r="E1759" t="s">
        <v>23632</v>
      </c>
    </row>
    <row r="1760" spans="1:5" x14ac:dyDescent="0.25">
      <c r="A1760" s="130" t="str">
        <f>LEFT(B1760,1)</f>
        <v>E</v>
      </c>
      <c r="B1760" t="s">
        <v>25139</v>
      </c>
      <c r="C1760">
        <v>1</v>
      </c>
      <c r="D1760" t="s">
        <v>23629</v>
      </c>
      <c r="E1760" t="s">
        <v>23632</v>
      </c>
    </row>
    <row r="1761" spans="1:5" x14ac:dyDescent="0.25">
      <c r="A1761" s="130" t="s">
        <v>24896</v>
      </c>
      <c r="B1761" t="s">
        <v>25062</v>
      </c>
      <c r="C1761">
        <v>1</v>
      </c>
      <c r="D1761" t="s">
        <v>23629</v>
      </c>
      <c r="E1761" t="s">
        <v>23632</v>
      </c>
    </row>
    <row r="1762" spans="1:5" x14ac:dyDescent="0.25">
      <c r="A1762" s="131" t="s">
        <v>24896</v>
      </c>
      <c r="B1762" t="s">
        <v>25063</v>
      </c>
      <c r="C1762">
        <v>1</v>
      </c>
      <c r="D1762" t="s">
        <v>23629</v>
      </c>
      <c r="E1762" t="s">
        <v>23632</v>
      </c>
    </row>
    <row r="1763" spans="1:5" x14ac:dyDescent="0.25">
      <c r="A1763" s="130" t="s">
        <v>24896</v>
      </c>
      <c r="B1763" t="s">
        <v>25064</v>
      </c>
      <c r="C1763">
        <v>1</v>
      </c>
      <c r="D1763" t="s">
        <v>23629</v>
      </c>
      <c r="E1763" t="s">
        <v>23632</v>
      </c>
    </row>
    <row r="1764" spans="1:5" x14ac:dyDescent="0.25">
      <c r="A1764" s="131" t="s">
        <v>24896</v>
      </c>
      <c r="B1764" t="s">
        <v>25065</v>
      </c>
      <c r="C1764">
        <v>1</v>
      </c>
      <c r="D1764" t="s">
        <v>23629</v>
      </c>
      <c r="E1764" t="s">
        <v>23632</v>
      </c>
    </row>
    <row r="1765" spans="1:5" x14ac:dyDescent="0.25">
      <c r="A1765" s="131" t="s">
        <v>24896</v>
      </c>
      <c r="B1765" t="s">
        <v>25066</v>
      </c>
      <c r="C1765">
        <v>1</v>
      </c>
      <c r="D1765" t="s">
        <v>23629</v>
      </c>
      <c r="E1765" t="s">
        <v>23632</v>
      </c>
    </row>
    <row r="1766" spans="1:5" x14ac:dyDescent="0.25">
      <c r="A1766" s="131" t="str">
        <f>LEFT(B1766,1)</f>
        <v>E</v>
      </c>
      <c r="B1766" t="s">
        <v>25154</v>
      </c>
      <c r="C1766">
        <v>1</v>
      </c>
      <c r="D1766" t="s">
        <v>23629</v>
      </c>
      <c r="E1766" t="s">
        <v>23632</v>
      </c>
    </row>
    <row r="1767" spans="1:5" x14ac:dyDescent="0.25">
      <c r="A1767" s="130" t="s">
        <v>24896</v>
      </c>
      <c r="B1767" t="s">
        <v>25067</v>
      </c>
      <c r="C1767">
        <v>1</v>
      </c>
      <c r="D1767" t="s">
        <v>23629</v>
      </c>
      <c r="E1767" t="s">
        <v>23632</v>
      </c>
    </row>
    <row r="1768" spans="1:5" x14ac:dyDescent="0.25">
      <c r="A1768" s="131" t="s">
        <v>24896</v>
      </c>
      <c r="B1768" t="s">
        <v>25068</v>
      </c>
      <c r="C1768">
        <v>1</v>
      </c>
      <c r="D1768" t="s">
        <v>23629</v>
      </c>
      <c r="E1768" t="s">
        <v>23632</v>
      </c>
    </row>
    <row r="1769" spans="1:5" x14ac:dyDescent="0.25">
      <c r="A1769" s="130" t="s">
        <v>24896</v>
      </c>
      <c r="B1769" t="s">
        <v>25069</v>
      </c>
      <c r="C1769">
        <v>1</v>
      </c>
      <c r="D1769" t="s">
        <v>23629</v>
      </c>
      <c r="E1769" t="s">
        <v>23632</v>
      </c>
    </row>
    <row r="1770" spans="1:5" x14ac:dyDescent="0.25">
      <c r="A1770" s="131" t="s">
        <v>24896</v>
      </c>
      <c r="B1770" t="s">
        <v>25070</v>
      </c>
      <c r="C1770">
        <v>1</v>
      </c>
      <c r="D1770" t="s">
        <v>23629</v>
      </c>
      <c r="E1770" t="s">
        <v>23632</v>
      </c>
    </row>
    <row r="1771" spans="1:5" x14ac:dyDescent="0.25">
      <c r="A1771" s="130" t="s">
        <v>24896</v>
      </c>
      <c r="B1771" t="s">
        <v>25071</v>
      </c>
      <c r="C1771">
        <v>1</v>
      </c>
      <c r="D1771" t="s">
        <v>23629</v>
      </c>
      <c r="E1771" t="s">
        <v>23632</v>
      </c>
    </row>
    <row r="1772" spans="1:5" x14ac:dyDescent="0.25">
      <c r="A1772" s="130" t="s">
        <v>24896</v>
      </c>
      <c r="B1772" t="s">
        <v>25072</v>
      </c>
      <c r="C1772">
        <v>1</v>
      </c>
      <c r="D1772" t="s">
        <v>23629</v>
      </c>
      <c r="E1772" t="s">
        <v>23632</v>
      </c>
    </row>
    <row r="1773" spans="1:5" x14ac:dyDescent="0.25">
      <c r="A1773" s="131" t="s">
        <v>24896</v>
      </c>
      <c r="B1773" t="s">
        <v>25073</v>
      </c>
      <c r="C1773">
        <v>1</v>
      </c>
      <c r="D1773" t="s">
        <v>23629</v>
      </c>
      <c r="E1773" t="s">
        <v>23632</v>
      </c>
    </row>
    <row r="1774" spans="1:5" x14ac:dyDescent="0.25">
      <c r="A1774" s="131" t="s">
        <v>24896</v>
      </c>
      <c r="B1774" t="s">
        <v>25074</v>
      </c>
      <c r="C1774">
        <v>1</v>
      </c>
      <c r="D1774" t="s">
        <v>23629</v>
      </c>
      <c r="E1774" t="s">
        <v>23632</v>
      </c>
    </row>
    <row r="1775" spans="1:5" x14ac:dyDescent="0.25">
      <c r="A1775" s="131" t="s">
        <v>24896</v>
      </c>
      <c r="B1775" t="s">
        <v>25075</v>
      </c>
      <c r="C1775">
        <v>1</v>
      </c>
      <c r="D1775" t="s">
        <v>23629</v>
      </c>
      <c r="E1775" t="s">
        <v>23632</v>
      </c>
    </row>
    <row r="1776" spans="1:5" x14ac:dyDescent="0.25">
      <c r="A1776" s="130" t="s">
        <v>24896</v>
      </c>
      <c r="B1776" t="s">
        <v>25076</v>
      </c>
      <c r="C1776">
        <v>1</v>
      </c>
      <c r="D1776" t="s">
        <v>23629</v>
      </c>
      <c r="E1776" t="s">
        <v>23632</v>
      </c>
    </row>
    <row r="1777" spans="1:5" x14ac:dyDescent="0.25">
      <c r="A1777" s="130" t="str">
        <f>LEFT(B1777,1)</f>
        <v>E</v>
      </c>
      <c r="B1777" t="s">
        <v>28455</v>
      </c>
      <c r="C1777">
        <v>1</v>
      </c>
      <c r="D1777" t="s">
        <v>23629</v>
      </c>
      <c r="E1777" t="s">
        <v>23632</v>
      </c>
    </row>
    <row r="1778" spans="1:5" x14ac:dyDescent="0.25">
      <c r="A1778" s="131" t="s">
        <v>24896</v>
      </c>
      <c r="B1778" t="s">
        <v>25077</v>
      </c>
      <c r="C1778">
        <v>1</v>
      </c>
      <c r="D1778" t="s">
        <v>23629</v>
      </c>
      <c r="E1778" t="s">
        <v>23632</v>
      </c>
    </row>
    <row r="1779" spans="1:5" x14ac:dyDescent="0.25">
      <c r="A1779" s="130" t="str">
        <f>LEFT(B1779,1)</f>
        <v>E</v>
      </c>
      <c r="B1779" t="s">
        <v>29226</v>
      </c>
      <c r="C1779">
        <v>1</v>
      </c>
      <c r="D1779" t="s">
        <v>23629</v>
      </c>
      <c r="E1779" t="s">
        <v>23632</v>
      </c>
    </row>
    <row r="1780" spans="1:5" x14ac:dyDescent="0.25">
      <c r="A1780" s="131" t="s">
        <v>24896</v>
      </c>
      <c r="B1780" t="s">
        <v>25078</v>
      </c>
      <c r="C1780">
        <v>1</v>
      </c>
      <c r="D1780" t="s">
        <v>23629</v>
      </c>
      <c r="E1780" t="s">
        <v>23632</v>
      </c>
    </row>
    <row r="1781" spans="1:5" x14ac:dyDescent="0.25">
      <c r="A1781" s="130" t="str">
        <f>LEFT(B1781,1)</f>
        <v>E</v>
      </c>
      <c r="B1781" t="s">
        <v>28752</v>
      </c>
      <c r="C1781">
        <v>1</v>
      </c>
      <c r="D1781" t="s">
        <v>23629</v>
      </c>
      <c r="E1781" t="s">
        <v>23632</v>
      </c>
    </row>
    <row r="1782" spans="1:5" x14ac:dyDescent="0.25">
      <c r="A1782" s="130" t="str">
        <f>LEFT(B1782,1)</f>
        <v>E</v>
      </c>
      <c r="B1782" t="s">
        <v>28456</v>
      </c>
      <c r="C1782">
        <v>1</v>
      </c>
      <c r="D1782" t="s">
        <v>23629</v>
      </c>
      <c r="E1782" t="s">
        <v>23632</v>
      </c>
    </row>
    <row r="1783" spans="1:5" x14ac:dyDescent="0.25">
      <c r="A1783" s="130" t="s">
        <v>24896</v>
      </c>
      <c r="B1783" t="s">
        <v>25079</v>
      </c>
      <c r="C1783">
        <v>1</v>
      </c>
      <c r="D1783" t="s">
        <v>23629</v>
      </c>
      <c r="E1783" t="s">
        <v>23632</v>
      </c>
    </row>
    <row r="1784" spans="1:5" x14ac:dyDescent="0.25">
      <c r="A1784" s="131" t="s">
        <v>24896</v>
      </c>
      <c r="B1784" t="s">
        <v>25080</v>
      </c>
      <c r="C1784">
        <v>1.1100000000000001</v>
      </c>
      <c r="D1784" t="s">
        <v>23629</v>
      </c>
      <c r="E1784" t="s">
        <v>23632</v>
      </c>
    </row>
    <row r="1785" spans="1:5" x14ac:dyDescent="0.25">
      <c r="A1785" s="130" t="s">
        <v>24896</v>
      </c>
      <c r="B1785" t="s">
        <v>25081</v>
      </c>
      <c r="C1785">
        <v>1</v>
      </c>
      <c r="D1785" t="s">
        <v>23629</v>
      </c>
      <c r="E1785" t="s">
        <v>23632</v>
      </c>
    </row>
    <row r="1786" spans="1:5" x14ac:dyDescent="0.25">
      <c r="A1786" s="130" t="s">
        <v>24896</v>
      </c>
      <c r="B1786" t="s">
        <v>25082</v>
      </c>
      <c r="C1786">
        <v>1</v>
      </c>
      <c r="D1786" t="s">
        <v>23629</v>
      </c>
      <c r="E1786" t="s">
        <v>23632</v>
      </c>
    </row>
    <row r="1787" spans="1:5" x14ac:dyDescent="0.25">
      <c r="A1787" s="130" t="str">
        <f>LEFT(B1787,1)</f>
        <v>E</v>
      </c>
      <c r="B1787" t="s">
        <v>28457</v>
      </c>
      <c r="C1787">
        <v>1</v>
      </c>
      <c r="D1787" t="s">
        <v>23629</v>
      </c>
      <c r="E1787" t="s">
        <v>23632</v>
      </c>
    </row>
    <row r="1788" spans="1:5" x14ac:dyDescent="0.25">
      <c r="A1788" s="130" t="str">
        <f>LEFT(B1788,1)</f>
        <v>E</v>
      </c>
      <c r="B1788" t="s">
        <v>25143</v>
      </c>
      <c r="C1788">
        <v>1</v>
      </c>
      <c r="D1788" t="s">
        <v>23629</v>
      </c>
      <c r="E1788" t="s">
        <v>23632</v>
      </c>
    </row>
    <row r="1789" spans="1:5" x14ac:dyDescent="0.25">
      <c r="A1789" s="131" t="s">
        <v>24896</v>
      </c>
      <c r="B1789" t="s">
        <v>25083</v>
      </c>
      <c r="C1789">
        <v>1</v>
      </c>
      <c r="D1789" t="s">
        <v>23629</v>
      </c>
      <c r="E1789" t="s">
        <v>23632</v>
      </c>
    </row>
    <row r="1790" spans="1:5" x14ac:dyDescent="0.25">
      <c r="A1790" s="130" t="s">
        <v>24896</v>
      </c>
      <c r="B1790" t="s">
        <v>25084</v>
      </c>
      <c r="C1790">
        <v>1</v>
      </c>
      <c r="D1790" t="s">
        <v>23629</v>
      </c>
      <c r="E1790" t="s">
        <v>23632</v>
      </c>
    </row>
    <row r="1791" spans="1:5" x14ac:dyDescent="0.25">
      <c r="A1791" s="131" t="str">
        <f>LEFT(B1791,1)</f>
        <v>E</v>
      </c>
      <c r="B1791" t="s">
        <v>25140</v>
      </c>
      <c r="C1791">
        <v>1</v>
      </c>
      <c r="D1791" t="s">
        <v>23629</v>
      </c>
      <c r="E1791" t="s">
        <v>23632</v>
      </c>
    </row>
    <row r="1792" spans="1:5" x14ac:dyDescent="0.25">
      <c r="A1792" s="130" t="s">
        <v>24896</v>
      </c>
      <c r="B1792" t="s">
        <v>25085</v>
      </c>
      <c r="C1792">
        <v>1</v>
      </c>
      <c r="D1792" t="s">
        <v>23629</v>
      </c>
      <c r="E1792" t="s">
        <v>23632</v>
      </c>
    </row>
    <row r="1793" spans="1:5" x14ac:dyDescent="0.25">
      <c r="A1793" s="130" t="str">
        <f>LEFT(B1793,1)</f>
        <v>E</v>
      </c>
      <c r="B1793" t="s">
        <v>25155</v>
      </c>
      <c r="C1793">
        <v>1</v>
      </c>
      <c r="D1793" t="s">
        <v>23629</v>
      </c>
      <c r="E1793" t="s">
        <v>23632</v>
      </c>
    </row>
    <row r="1794" spans="1:5" x14ac:dyDescent="0.25">
      <c r="A1794" s="131" t="s">
        <v>24896</v>
      </c>
      <c r="B1794" t="s">
        <v>25086</v>
      </c>
      <c r="C1794">
        <v>1</v>
      </c>
      <c r="D1794" t="s">
        <v>25087</v>
      </c>
      <c r="E1794" t="s">
        <v>23632</v>
      </c>
    </row>
    <row r="1795" spans="1:5" x14ac:dyDescent="0.25">
      <c r="A1795" s="131" t="s">
        <v>24896</v>
      </c>
      <c r="B1795" t="s">
        <v>25088</v>
      </c>
      <c r="C1795">
        <v>1</v>
      </c>
      <c r="D1795" t="s">
        <v>23629</v>
      </c>
      <c r="E1795" t="s">
        <v>23632</v>
      </c>
    </row>
    <row r="1796" spans="1:5" x14ac:dyDescent="0.25">
      <c r="A1796" s="130" t="s">
        <v>24896</v>
      </c>
      <c r="B1796" t="s">
        <v>25089</v>
      </c>
      <c r="C1796">
        <v>1</v>
      </c>
      <c r="D1796" t="s">
        <v>23629</v>
      </c>
      <c r="E1796" t="s">
        <v>23632</v>
      </c>
    </row>
    <row r="1797" spans="1:5" x14ac:dyDescent="0.25">
      <c r="A1797" s="131" t="s">
        <v>24896</v>
      </c>
      <c r="B1797" t="s">
        <v>25090</v>
      </c>
      <c r="C1797">
        <v>1</v>
      </c>
      <c r="D1797" t="s">
        <v>23629</v>
      </c>
      <c r="E1797" t="s">
        <v>23632</v>
      </c>
    </row>
    <row r="1798" spans="1:5" x14ac:dyDescent="0.25">
      <c r="A1798" s="131" t="str">
        <f>LEFT(B1798,1)</f>
        <v>E</v>
      </c>
      <c r="B1798" t="s">
        <v>25156</v>
      </c>
      <c r="C1798">
        <v>1</v>
      </c>
      <c r="D1798" t="s">
        <v>23629</v>
      </c>
      <c r="E1798" t="s">
        <v>23632</v>
      </c>
    </row>
    <row r="1799" spans="1:5" x14ac:dyDescent="0.25">
      <c r="A1799" s="130" t="s">
        <v>24896</v>
      </c>
      <c r="B1799" t="s">
        <v>25091</v>
      </c>
      <c r="C1799">
        <v>1</v>
      </c>
      <c r="D1799" t="s">
        <v>23629</v>
      </c>
      <c r="E1799" t="s">
        <v>23632</v>
      </c>
    </row>
    <row r="1800" spans="1:5" x14ac:dyDescent="0.25">
      <c r="A1800" s="130" t="s">
        <v>24896</v>
      </c>
      <c r="B1800" t="s">
        <v>25092</v>
      </c>
      <c r="C1800">
        <v>1</v>
      </c>
      <c r="D1800" t="s">
        <v>23629</v>
      </c>
      <c r="E1800" t="s">
        <v>23632</v>
      </c>
    </row>
    <row r="1801" spans="1:5" x14ac:dyDescent="0.25">
      <c r="A1801" s="130" t="str">
        <f>LEFT(B1801,1)</f>
        <v>E</v>
      </c>
      <c r="B1801" t="s">
        <v>28753</v>
      </c>
      <c r="C1801">
        <v>1</v>
      </c>
      <c r="D1801" t="s">
        <v>23629</v>
      </c>
      <c r="E1801" t="s">
        <v>23632</v>
      </c>
    </row>
    <row r="1802" spans="1:5" x14ac:dyDescent="0.25">
      <c r="A1802" s="130" t="s">
        <v>24896</v>
      </c>
      <c r="B1802" t="s">
        <v>25093</v>
      </c>
      <c r="C1802">
        <v>1</v>
      </c>
      <c r="D1802" t="s">
        <v>23629</v>
      </c>
      <c r="E1802" t="s">
        <v>23632</v>
      </c>
    </row>
    <row r="1803" spans="1:5" x14ac:dyDescent="0.25">
      <c r="A1803" s="130" t="s">
        <v>24896</v>
      </c>
      <c r="B1803" t="s">
        <v>25094</v>
      </c>
      <c r="C1803">
        <v>1</v>
      </c>
      <c r="D1803" t="s">
        <v>23629</v>
      </c>
      <c r="E1803" t="s">
        <v>23632</v>
      </c>
    </row>
    <row r="1804" spans="1:5" x14ac:dyDescent="0.25">
      <c r="A1804" s="131" t="s">
        <v>24896</v>
      </c>
      <c r="B1804" t="s">
        <v>25095</v>
      </c>
      <c r="C1804">
        <v>1</v>
      </c>
      <c r="D1804" t="s">
        <v>23629</v>
      </c>
      <c r="E1804" t="s">
        <v>23632</v>
      </c>
    </row>
    <row r="1805" spans="1:5" x14ac:dyDescent="0.25">
      <c r="A1805" s="130" t="str">
        <f>LEFT(B1805,1)</f>
        <v>E</v>
      </c>
      <c r="B1805" t="s">
        <v>28458</v>
      </c>
      <c r="C1805">
        <v>1</v>
      </c>
      <c r="D1805" t="s">
        <v>23629</v>
      </c>
      <c r="E1805" t="s">
        <v>23632</v>
      </c>
    </row>
    <row r="1806" spans="1:5" x14ac:dyDescent="0.25">
      <c r="A1806" s="130" t="s">
        <v>24896</v>
      </c>
      <c r="B1806" t="s">
        <v>25096</v>
      </c>
      <c r="C1806">
        <v>1</v>
      </c>
      <c r="D1806" t="s">
        <v>23629</v>
      </c>
      <c r="E1806" t="s">
        <v>23632</v>
      </c>
    </row>
    <row r="1807" spans="1:5" x14ac:dyDescent="0.25">
      <c r="A1807" s="130" t="str">
        <f>LEFT(B1807,1)</f>
        <v>E</v>
      </c>
      <c r="B1807" t="s">
        <v>28754</v>
      </c>
      <c r="C1807">
        <v>1</v>
      </c>
      <c r="D1807" t="s">
        <v>23629</v>
      </c>
      <c r="E1807" t="s">
        <v>23632</v>
      </c>
    </row>
    <row r="1808" spans="1:5" x14ac:dyDescent="0.25">
      <c r="A1808" s="131" t="s">
        <v>24896</v>
      </c>
      <c r="B1808" t="s">
        <v>25097</v>
      </c>
      <c r="C1808">
        <v>1.1100000000000001</v>
      </c>
      <c r="D1808" t="s">
        <v>23629</v>
      </c>
      <c r="E1808" t="s">
        <v>23632</v>
      </c>
    </row>
    <row r="1809" spans="1:5" x14ac:dyDescent="0.25">
      <c r="A1809" s="130" t="s">
        <v>24896</v>
      </c>
      <c r="B1809" t="s">
        <v>25098</v>
      </c>
      <c r="C1809">
        <v>1</v>
      </c>
      <c r="D1809" t="s">
        <v>23629</v>
      </c>
      <c r="E1809" t="s">
        <v>23632</v>
      </c>
    </row>
    <row r="1810" spans="1:5" x14ac:dyDescent="0.25">
      <c r="A1810" s="130" t="s">
        <v>24896</v>
      </c>
      <c r="B1810" t="s">
        <v>25099</v>
      </c>
      <c r="C1810">
        <v>1</v>
      </c>
      <c r="D1810" t="s">
        <v>23629</v>
      </c>
      <c r="E1810" t="s">
        <v>23632</v>
      </c>
    </row>
    <row r="1811" spans="1:5" x14ac:dyDescent="0.25">
      <c r="A1811" s="131" t="s">
        <v>24896</v>
      </c>
      <c r="B1811" t="s">
        <v>25100</v>
      </c>
      <c r="C1811">
        <v>1</v>
      </c>
      <c r="D1811" t="s">
        <v>23629</v>
      </c>
      <c r="E1811" t="s">
        <v>23632</v>
      </c>
    </row>
    <row r="1812" spans="1:5" x14ac:dyDescent="0.25">
      <c r="A1812" s="130" t="s">
        <v>24896</v>
      </c>
      <c r="B1812" t="s">
        <v>25101</v>
      </c>
      <c r="C1812">
        <v>1</v>
      </c>
      <c r="D1812" t="s">
        <v>23629</v>
      </c>
      <c r="E1812" t="s">
        <v>23632</v>
      </c>
    </row>
    <row r="1813" spans="1:5" x14ac:dyDescent="0.25">
      <c r="A1813" s="131" t="s">
        <v>24896</v>
      </c>
      <c r="B1813" t="s">
        <v>25102</v>
      </c>
      <c r="C1813">
        <v>1</v>
      </c>
      <c r="D1813" t="s">
        <v>23629</v>
      </c>
      <c r="E1813" t="s">
        <v>23632</v>
      </c>
    </row>
    <row r="1814" spans="1:5" x14ac:dyDescent="0.25">
      <c r="A1814" s="130" t="s">
        <v>24896</v>
      </c>
      <c r="B1814" t="s">
        <v>25103</v>
      </c>
      <c r="C1814">
        <v>1</v>
      </c>
      <c r="D1814" t="s">
        <v>23629</v>
      </c>
      <c r="E1814" t="s">
        <v>23632</v>
      </c>
    </row>
    <row r="1815" spans="1:5" x14ac:dyDescent="0.25">
      <c r="A1815" s="130" t="s">
        <v>24896</v>
      </c>
      <c r="B1815" t="s">
        <v>25104</v>
      </c>
      <c r="C1815">
        <v>1</v>
      </c>
      <c r="D1815" t="s">
        <v>23629</v>
      </c>
      <c r="E1815" t="s">
        <v>23632</v>
      </c>
    </row>
    <row r="1816" spans="1:5" x14ac:dyDescent="0.25">
      <c r="A1816" s="131" t="s">
        <v>24896</v>
      </c>
      <c r="B1816" t="s">
        <v>25105</v>
      </c>
      <c r="C1816">
        <v>1</v>
      </c>
      <c r="D1816" t="s">
        <v>23629</v>
      </c>
      <c r="E1816" t="s">
        <v>23632</v>
      </c>
    </row>
    <row r="1817" spans="1:5" x14ac:dyDescent="0.25">
      <c r="A1817" s="131" t="s">
        <v>24896</v>
      </c>
      <c r="B1817" t="s">
        <v>25106</v>
      </c>
      <c r="C1817">
        <v>1</v>
      </c>
      <c r="D1817" t="s">
        <v>23629</v>
      </c>
      <c r="E1817" t="s">
        <v>23632</v>
      </c>
    </row>
    <row r="1818" spans="1:5" x14ac:dyDescent="0.25">
      <c r="A1818" s="131" t="str">
        <f>LEFT(B1818,1)</f>
        <v>E</v>
      </c>
      <c r="B1818" t="s">
        <v>25144</v>
      </c>
      <c r="C1818">
        <v>1</v>
      </c>
      <c r="D1818" t="s">
        <v>23629</v>
      </c>
      <c r="E1818" t="s">
        <v>23632</v>
      </c>
    </row>
    <row r="1819" spans="1:5" x14ac:dyDescent="0.25">
      <c r="A1819" s="130" t="s">
        <v>24896</v>
      </c>
      <c r="B1819" t="s">
        <v>25107</v>
      </c>
      <c r="C1819">
        <v>1</v>
      </c>
      <c r="D1819" t="s">
        <v>23629</v>
      </c>
      <c r="E1819" t="s">
        <v>23632</v>
      </c>
    </row>
    <row r="1820" spans="1:5" x14ac:dyDescent="0.25">
      <c r="A1820" s="131" t="s">
        <v>24896</v>
      </c>
      <c r="B1820" t="s">
        <v>25108</v>
      </c>
      <c r="C1820">
        <v>1.1499999999999999</v>
      </c>
      <c r="D1820" t="s">
        <v>25109</v>
      </c>
      <c r="E1820" t="s">
        <v>23881</v>
      </c>
    </row>
    <row r="1821" spans="1:5" x14ac:dyDescent="0.25">
      <c r="A1821" s="130" t="s">
        <v>24896</v>
      </c>
      <c r="B1821" t="s">
        <v>25110</v>
      </c>
      <c r="C1821">
        <v>1</v>
      </c>
      <c r="D1821" t="s">
        <v>23629</v>
      </c>
      <c r="E1821" t="s">
        <v>23632</v>
      </c>
    </row>
    <row r="1822" spans="1:5" x14ac:dyDescent="0.25">
      <c r="A1822" s="130" t="s">
        <v>24896</v>
      </c>
      <c r="B1822" t="s">
        <v>25111</v>
      </c>
      <c r="C1822">
        <v>1</v>
      </c>
      <c r="D1822" t="s">
        <v>23629</v>
      </c>
      <c r="E1822" t="s">
        <v>23632</v>
      </c>
    </row>
    <row r="1823" spans="1:5" x14ac:dyDescent="0.25">
      <c r="A1823" s="130" t="str">
        <f>LEFT(B1823,1)</f>
        <v>E</v>
      </c>
      <c r="B1823" t="s">
        <v>25157</v>
      </c>
      <c r="C1823">
        <v>1</v>
      </c>
      <c r="D1823" t="s">
        <v>23629</v>
      </c>
      <c r="E1823" t="s">
        <v>23632</v>
      </c>
    </row>
    <row r="1824" spans="1:5" x14ac:dyDescent="0.25">
      <c r="A1824" s="130" t="s">
        <v>24896</v>
      </c>
      <c r="B1824" t="s">
        <v>25112</v>
      </c>
      <c r="C1824">
        <v>1</v>
      </c>
      <c r="D1824" t="s">
        <v>23629</v>
      </c>
      <c r="E1824" t="s">
        <v>23632</v>
      </c>
    </row>
    <row r="1825" spans="1:5" x14ac:dyDescent="0.25">
      <c r="A1825" s="130" t="s">
        <v>24896</v>
      </c>
      <c r="B1825" t="s">
        <v>25113</v>
      </c>
      <c r="C1825">
        <v>1</v>
      </c>
      <c r="D1825" t="s">
        <v>23629</v>
      </c>
      <c r="E1825" t="s">
        <v>23632</v>
      </c>
    </row>
    <row r="1826" spans="1:5" x14ac:dyDescent="0.25">
      <c r="A1826" s="130" t="str">
        <f>LEFT(B1826,1)</f>
        <v>E</v>
      </c>
      <c r="B1826" t="s">
        <v>28459</v>
      </c>
      <c r="C1826">
        <v>1</v>
      </c>
      <c r="D1826" t="s">
        <v>23629</v>
      </c>
      <c r="E1826" t="s">
        <v>23632</v>
      </c>
    </row>
    <row r="1827" spans="1:5" x14ac:dyDescent="0.25">
      <c r="A1827" s="130" t="s">
        <v>24896</v>
      </c>
      <c r="B1827" t="s">
        <v>25114</v>
      </c>
      <c r="C1827">
        <v>1</v>
      </c>
      <c r="D1827" t="s">
        <v>23629</v>
      </c>
      <c r="E1827" t="s">
        <v>23632</v>
      </c>
    </row>
    <row r="1828" spans="1:5" x14ac:dyDescent="0.25">
      <c r="A1828" s="131" t="str">
        <f>LEFT((B1828),1)</f>
        <v>E</v>
      </c>
      <c r="B1828" t="s">
        <v>25115</v>
      </c>
      <c r="C1828">
        <v>1</v>
      </c>
      <c r="D1828" t="s">
        <v>23629</v>
      </c>
      <c r="E1828" t="s">
        <v>23632</v>
      </c>
    </row>
    <row r="1829" spans="1:5" x14ac:dyDescent="0.25">
      <c r="A1829" s="131" t="s">
        <v>24896</v>
      </c>
      <c r="B1829" t="s">
        <v>25116</v>
      </c>
      <c r="C1829">
        <v>1</v>
      </c>
      <c r="D1829" t="s">
        <v>23629</v>
      </c>
      <c r="E1829" t="s">
        <v>23632</v>
      </c>
    </row>
    <row r="1830" spans="1:5" x14ac:dyDescent="0.25">
      <c r="A1830" s="130" t="s">
        <v>24896</v>
      </c>
      <c r="B1830" t="s">
        <v>25117</v>
      </c>
      <c r="C1830">
        <v>1</v>
      </c>
      <c r="D1830" t="s">
        <v>23629</v>
      </c>
      <c r="E1830" t="s">
        <v>23632</v>
      </c>
    </row>
    <row r="1831" spans="1:5" x14ac:dyDescent="0.25">
      <c r="A1831" s="130" t="s">
        <v>24896</v>
      </c>
      <c r="B1831" t="s">
        <v>25118</v>
      </c>
      <c r="C1831">
        <v>1</v>
      </c>
      <c r="D1831" t="s">
        <v>23629</v>
      </c>
      <c r="E1831" t="s">
        <v>23632</v>
      </c>
    </row>
    <row r="1832" spans="1:5" x14ac:dyDescent="0.25">
      <c r="A1832" s="130" t="str">
        <f>LEFT(B1832,1)</f>
        <v>E</v>
      </c>
      <c r="B1832" t="s">
        <v>28755</v>
      </c>
      <c r="C1832">
        <v>1</v>
      </c>
      <c r="D1832" t="s">
        <v>23629</v>
      </c>
      <c r="E1832" t="s">
        <v>23632</v>
      </c>
    </row>
    <row r="1833" spans="1:5" x14ac:dyDescent="0.25">
      <c r="A1833" s="130" t="s">
        <v>24896</v>
      </c>
      <c r="B1833" t="s">
        <v>25119</v>
      </c>
      <c r="C1833">
        <v>1</v>
      </c>
      <c r="D1833" t="s">
        <v>23629</v>
      </c>
      <c r="E1833" t="s">
        <v>23632</v>
      </c>
    </row>
    <row r="1834" spans="1:5" x14ac:dyDescent="0.25">
      <c r="A1834" s="131" t="s">
        <v>24896</v>
      </c>
      <c r="B1834" t="s">
        <v>25120</v>
      </c>
      <c r="C1834">
        <v>1</v>
      </c>
      <c r="D1834" t="s">
        <v>23629</v>
      </c>
      <c r="E1834" t="s">
        <v>23632</v>
      </c>
    </row>
    <row r="1835" spans="1:5" x14ac:dyDescent="0.25">
      <c r="A1835" s="130" t="s">
        <v>24896</v>
      </c>
      <c r="B1835" t="s">
        <v>25121</v>
      </c>
      <c r="C1835">
        <v>1</v>
      </c>
      <c r="D1835" t="s">
        <v>23629</v>
      </c>
      <c r="E1835" t="s">
        <v>23632</v>
      </c>
    </row>
    <row r="1836" spans="1:5" x14ac:dyDescent="0.25">
      <c r="A1836" s="131" t="s">
        <v>24896</v>
      </c>
      <c r="B1836" t="s">
        <v>25122</v>
      </c>
      <c r="C1836">
        <v>1</v>
      </c>
      <c r="D1836" t="s">
        <v>23629</v>
      </c>
      <c r="E1836" t="s">
        <v>23632</v>
      </c>
    </row>
    <row r="1837" spans="1:5" x14ac:dyDescent="0.25">
      <c r="A1837" s="131" t="s">
        <v>24896</v>
      </c>
      <c r="B1837" t="s">
        <v>25123</v>
      </c>
      <c r="C1837">
        <v>1</v>
      </c>
      <c r="D1837" t="s">
        <v>23629</v>
      </c>
      <c r="E1837" t="s">
        <v>23632</v>
      </c>
    </row>
    <row r="1838" spans="1:5" x14ac:dyDescent="0.25">
      <c r="A1838" s="131" t="s">
        <v>24896</v>
      </c>
      <c r="B1838" t="s">
        <v>25124</v>
      </c>
      <c r="C1838">
        <v>1</v>
      </c>
      <c r="D1838" t="s">
        <v>23629</v>
      </c>
      <c r="E1838" t="s">
        <v>23632</v>
      </c>
    </row>
    <row r="1839" spans="1:5" x14ac:dyDescent="0.25">
      <c r="A1839" s="130" t="s">
        <v>24896</v>
      </c>
      <c r="B1839" t="s">
        <v>25125</v>
      </c>
      <c r="C1839">
        <v>1</v>
      </c>
      <c r="D1839" t="s">
        <v>23629</v>
      </c>
      <c r="E1839" t="s">
        <v>23632</v>
      </c>
    </row>
    <row r="1840" spans="1:5" x14ac:dyDescent="0.25">
      <c r="A1840" s="131" t="s">
        <v>24896</v>
      </c>
      <c r="B1840" t="s">
        <v>25126</v>
      </c>
      <c r="C1840">
        <v>1</v>
      </c>
      <c r="D1840" t="s">
        <v>23629</v>
      </c>
      <c r="E1840" t="s">
        <v>23632</v>
      </c>
    </row>
    <row r="1841" spans="1:5" x14ac:dyDescent="0.25">
      <c r="A1841" s="131" t="s">
        <v>24896</v>
      </c>
      <c r="B1841" t="s">
        <v>25127</v>
      </c>
      <c r="C1841">
        <v>1</v>
      </c>
      <c r="D1841" t="s">
        <v>23629</v>
      </c>
      <c r="E1841" t="s">
        <v>23632</v>
      </c>
    </row>
    <row r="1842" spans="1:5" x14ac:dyDescent="0.25">
      <c r="A1842" s="131" t="s">
        <v>24896</v>
      </c>
      <c r="B1842" t="s">
        <v>25128</v>
      </c>
      <c r="C1842">
        <v>1</v>
      </c>
      <c r="D1842" t="s">
        <v>23629</v>
      </c>
      <c r="E1842" t="s">
        <v>23632</v>
      </c>
    </row>
    <row r="1843" spans="1:5" x14ac:dyDescent="0.25">
      <c r="A1843" s="130" t="str">
        <f>LEFT(B1843,1)</f>
        <v>E</v>
      </c>
      <c r="B1843" t="s">
        <v>28756</v>
      </c>
      <c r="C1843">
        <v>1</v>
      </c>
      <c r="D1843" t="s">
        <v>23629</v>
      </c>
      <c r="E1843" t="s">
        <v>23632</v>
      </c>
    </row>
    <row r="1844" spans="1:5" x14ac:dyDescent="0.25">
      <c r="A1844" s="130" t="s">
        <v>24896</v>
      </c>
      <c r="B1844" t="s">
        <v>25129</v>
      </c>
      <c r="C1844">
        <v>1</v>
      </c>
      <c r="D1844" t="s">
        <v>23629</v>
      </c>
      <c r="E1844" t="s">
        <v>23632</v>
      </c>
    </row>
    <row r="1845" spans="1:5" x14ac:dyDescent="0.25">
      <c r="A1845" s="131" t="s">
        <v>17576</v>
      </c>
      <c r="B1845" t="s">
        <v>25158</v>
      </c>
      <c r="C1845">
        <v>1</v>
      </c>
      <c r="D1845" t="s">
        <v>23629</v>
      </c>
      <c r="E1845" t="s">
        <v>23632</v>
      </c>
    </row>
    <row r="1846" spans="1:5" x14ac:dyDescent="0.25">
      <c r="A1846" s="130" t="str">
        <f>LEFT(B1846,1)</f>
        <v>F</v>
      </c>
      <c r="B1846" t="s">
        <v>28460</v>
      </c>
      <c r="C1846">
        <v>1</v>
      </c>
      <c r="D1846" t="s">
        <v>23629</v>
      </c>
      <c r="E1846" t="s">
        <v>23632</v>
      </c>
    </row>
    <row r="1847" spans="1:5" x14ac:dyDescent="0.25">
      <c r="A1847" s="130" t="s">
        <v>17576</v>
      </c>
      <c r="B1847" t="s">
        <v>25159</v>
      </c>
      <c r="C1847">
        <v>1</v>
      </c>
      <c r="D1847" t="s">
        <v>23629</v>
      </c>
      <c r="E1847" t="s">
        <v>23632</v>
      </c>
    </row>
    <row r="1848" spans="1:5" x14ac:dyDescent="0.25">
      <c r="A1848" s="131" t="s">
        <v>17576</v>
      </c>
      <c r="B1848" t="s">
        <v>25160</v>
      </c>
      <c r="C1848">
        <v>1</v>
      </c>
      <c r="D1848" t="s">
        <v>23629</v>
      </c>
      <c r="E1848" t="s">
        <v>23632</v>
      </c>
    </row>
    <row r="1849" spans="1:5" x14ac:dyDescent="0.25">
      <c r="A1849" s="130" t="s">
        <v>17576</v>
      </c>
      <c r="B1849" t="s">
        <v>25161</v>
      </c>
      <c r="C1849">
        <v>1.1000000000000001</v>
      </c>
      <c r="D1849" t="s">
        <v>23629</v>
      </c>
      <c r="E1849" t="s">
        <v>23632</v>
      </c>
    </row>
    <row r="1850" spans="1:5" x14ac:dyDescent="0.25">
      <c r="A1850" s="131" t="str">
        <f>LEFT(B1850,1)</f>
        <v>F</v>
      </c>
      <c r="B1850" t="s">
        <v>25396</v>
      </c>
      <c r="C1850">
        <v>1</v>
      </c>
      <c r="D1850" t="s">
        <v>23629</v>
      </c>
      <c r="E1850" t="s">
        <v>23632</v>
      </c>
    </row>
    <row r="1851" spans="1:5" x14ac:dyDescent="0.25">
      <c r="A1851" s="130" t="str">
        <f>LEFT(B1851,1)</f>
        <v>F</v>
      </c>
      <c r="B1851" t="s">
        <v>25397</v>
      </c>
      <c r="C1851">
        <v>1</v>
      </c>
      <c r="D1851" t="s">
        <v>23629</v>
      </c>
      <c r="E1851" t="s">
        <v>23632</v>
      </c>
    </row>
    <row r="1852" spans="1:5" x14ac:dyDescent="0.25">
      <c r="A1852" s="130" t="str">
        <f>LEFT(B1852,1)</f>
        <v>F</v>
      </c>
      <c r="B1852" t="s">
        <v>29022</v>
      </c>
      <c r="C1852">
        <v>1</v>
      </c>
      <c r="D1852" t="s">
        <v>23629</v>
      </c>
      <c r="E1852" t="s">
        <v>23632</v>
      </c>
    </row>
    <row r="1853" spans="1:5" x14ac:dyDescent="0.25">
      <c r="A1853" s="130" t="str">
        <f>LEFT(B1853,1)</f>
        <v>F</v>
      </c>
      <c r="B1853" t="s">
        <v>25369</v>
      </c>
      <c r="C1853">
        <v>1</v>
      </c>
      <c r="D1853" t="s">
        <v>23629</v>
      </c>
      <c r="E1853" t="s">
        <v>23632</v>
      </c>
    </row>
    <row r="1854" spans="1:5" x14ac:dyDescent="0.25">
      <c r="A1854" s="131" t="s">
        <v>17576</v>
      </c>
      <c r="B1854" t="s">
        <v>25162</v>
      </c>
      <c r="C1854">
        <v>1</v>
      </c>
      <c r="D1854" t="s">
        <v>23629</v>
      </c>
      <c r="E1854" t="s">
        <v>23632</v>
      </c>
    </row>
    <row r="1855" spans="1:5" x14ac:dyDescent="0.25">
      <c r="A1855" s="130" t="s">
        <v>17576</v>
      </c>
      <c r="B1855" t="s">
        <v>25163</v>
      </c>
      <c r="C1855">
        <v>1</v>
      </c>
      <c r="D1855" t="s">
        <v>23629</v>
      </c>
      <c r="E1855" t="s">
        <v>23632</v>
      </c>
    </row>
    <row r="1856" spans="1:5" x14ac:dyDescent="0.25">
      <c r="A1856" s="131" t="s">
        <v>17576</v>
      </c>
      <c r="B1856" t="s">
        <v>25164</v>
      </c>
      <c r="C1856">
        <v>1</v>
      </c>
      <c r="D1856" t="s">
        <v>23629</v>
      </c>
      <c r="E1856" t="s">
        <v>23632</v>
      </c>
    </row>
    <row r="1857" spans="1:5" x14ac:dyDescent="0.25">
      <c r="A1857" s="130" t="str">
        <f>LEFT((B1857),1)</f>
        <v>F</v>
      </c>
      <c r="B1857" t="s">
        <v>25165</v>
      </c>
      <c r="C1857">
        <v>1</v>
      </c>
      <c r="D1857" t="s">
        <v>23629</v>
      </c>
      <c r="E1857" t="s">
        <v>23632</v>
      </c>
    </row>
    <row r="1858" spans="1:5" x14ac:dyDescent="0.25">
      <c r="A1858" s="130" t="str">
        <f>LEFT(B1858,1)</f>
        <v>F</v>
      </c>
      <c r="B1858" t="s">
        <v>28757</v>
      </c>
      <c r="C1858">
        <v>1</v>
      </c>
      <c r="D1858" t="s">
        <v>23629</v>
      </c>
      <c r="E1858" t="s">
        <v>23632</v>
      </c>
    </row>
    <row r="1859" spans="1:5" x14ac:dyDescent="0.25">
      <c r="A1859" s="130" t="s">
        <v>17576</v>
      </c>
      <c r="B1859" t="s">
        <v>25166</v>
      </c>
      <c r="C1859">
        <v>1</v>
      </c>
      <c r="D1859" t="s">
        <v>23629</v>
      </c>
      <c r="E1859" t="s">
        <v>23632</v>
      </c>
    </row>
    <row r="1860" spans="1:5" x14ac:dyDescent="0.25">
      <c r="A1860" s="131" t="str">
        <f>LEFT(B1860,1)</f>
        <v>F</v>
      </c>
      <c r="B1860" t="s">
        <v>25370</v>
      </c>
      <c r="C1860">
        <v>1</v>
      </c>
      <c r="D1860" t="s">
        <v>23629</v>
      </c>
      <c r="E1860" t="s">
        <v>23632</v>
      </c>
    </row>
    <row r="1861" spans="1:5" x14ac:dyDescent="0.25">
      <c r="A1861" s="131" t="s">
        <v>17576</v>
      </c>
      <c r="B1861" t="s">
        <v>25167</v>
      </c>
      <c r="C1861">
        <v>1</v>
      </c>
      <c r="D1861" t="s">
        <v>23629</v>
      </c>
      <c r="E1861" t="s">
        <v>23632</v>
      </c>
    </row>
    <row r="1862" spans="1:5" x14ac:dyDescent="0.25">
      <c r="A1862" s="131" t="str">
        <f>LEFT((B1862),1)</f>
        <v>F</v>
      </c>
      <c r="B1862" t="s">
        <v>25168</v>
      </c>
      <c r="C1862">
        <v>1</v>
      </c>
      <c r="D1862" t="s">
        <v>23629</v>
      </c>
      <c r="E1862" t="s">
        <v>23632</v>
      </c>
    </row>
    <row r="1863" spans="1:5" x14ac:dyDescent="0.25">
      <c r="A1863" s="130" t="s">
        <v>17576</v>
      </c>
      <c r="B1863" t="s">
        <v>25169</v>
      </c>
      <c r="C1863">
        <v>1</v>
      </c>
      <c r="D1863" t="s">
        <v>28924</v>
      </c>
      <c r="E1863" t="s">
        <v>23632</v>
      </c>
    </row>
    <row r="1864" spans="1:5" x14ac:dyDescent="0.25">
      <c r="A1864" s="130" t="str">
        <f>LEFT(B1864,1)</f>
        <v>F</v>
      </c>
      <c r="B1864" t="s">
        <v>25371</v>
      </c>
      <c r="C1864">
        <v>1</v>
      </c>
      <c r="D1864" t="s">
        <v>23629</v>
      </c>
      <c r="E1864" t="s">
        <v>23632</v>
      </c>
    </row>
    <row r="1865" spans="1:5" x14ac:dyDescent="0.25">
      <c r="A1865" s="131" t="s">
        <v>17576</v>
      </c>
      <c r="B1865" t="s">
        <v>25170</v>
      </c>
      <c r="C1865">
        <v>1</v>
      </c>
      <c r="D1865" t="s">
        <v>23629</v>
      </c>
      <c r="E1865" t="s">
        <v>23632</v>
      </c>
    </row>
    <row r="1866" spans="1:5" x14ac:dyDescent="0.25">
      <c r="A1866" s="131" t="s">
        <v>17576</v>
      </c>
      <c r="B1866" t="s">
        <v>25171</v>
      </c>
      <c r="C1866">
        <v>1</v>
      </c>
      <c r="D1866" t="s">
        <v>23629</v>
      </c>
      <c r="E1866" t="s">
        <v>23632</v>
      </c>
    </row>
    <row r="1867" spans="1:5" x14ac:dyDescent="0.25">
      <c r="A1867" s="130" t="s">
        <v>17576</v>
      </c>
      <c r="B1867" t="s">
        <v>25172</v>
      </c>
      <c r="C1867">
        <v>1</v>
      </c>
      <c r="D1867" t="s">
        <v>23629</v>
      </c>
      <c r="E1867" t="s">
        <v>23632</v>
      </c>
    </row>
    <row r="1868" spans="1:5" x14ac:dyDescent="0.25">
      <c r="A1868" s="130" t="str">
        <f>LEFT(B1868,1)</f>
        <v>F</v>
      </c>
      <c r="B1868" t="s">
        <v>28461</v>
      </c>
      <c r="C1868">
        <v>1</v>
      </c>
      <c r="D1868" t="s">
        <v>23629</v>
      </c>
      <c r="E1868" t="s">
        <v>23632</v>
      </c>
    </row>
    <row r="1869" spans="1:5" x14ac:dyDescent="0.25">
      <c r="A1869" s="130" t="str">
        <f>LEFT(B1869,1)</f>
        <v>F</v>
      </c>
      <c r="B1869" t="s">
        <v>29023</v>
      </c>
      <c r="C1869">
        <v>1</v>
      </c>
      <c r="D1869" t="s">
        <v>23629</v>
      </c>
      <c r="E1869" t="s">
        <v>23632</v>
      </c>
    </row>
    <row r="1870" spans="1:5" x14ac:dyDescent="0.25">
      <c r="A1870" s="131" t="s">
        <v>17576</v>
      </c>
      <c r="B1870" t="s">
        <v>25173</v>
      </c>
      <c r="C1870">
        <v>1</v>
      </c>
      <c r="D1870" t="s">
        <v>23629</v>
      </c>
      <c r="E1870" t="s">
        <v>23632</v>
      </c>
    </row>
    <row r="1871" spans="1:5" x14ac:dyDescent="0.25">
      <c r="A1871" s="131" t="str">
        <f>LEFT(B1871,1)</f>
        <v>F</v>
      </c>
      <c r="B1871" t="s">
        <v>25372</v>
      </c>
      <c r="C1871">
        <v>1</v>
      </c>
      <c r="D1871" t="s">
        <v>23629</v>
      </c>
      <c r="E1871" t="s">
        <v>23632</v>
      </c>
    </row>
    <row r="1872" spans="1:5" x14ac:dyDescent="0.25">
      <c r="A1872" s="130" t="str">
        <f>LEFT(B1872,1)</f>
        <v>F</v>
      </c>
      <c r="B1872" t="s">
        <v>25373</v>
      </c>
      <c r="C1872">
        <v>1</v>
      </c>
      <c r="D1872" t="s">
        <v>23629</v>
      </c>
      <c r="E1872" t="s">
        <v>23632</v>
      </c>
    </row>
    <row r="1873" spans="1:5" x14ac:dyDescent="0.25">
      <c r="A1873" s="130" t="s">
        <v>17576</v>
      </c>
      <c r="B1873" t="s">
        <v>25174</v>
      </c>
      <c r="C1873">
        <v>1</v>
      </c>
      <c r="D1873" t="s">
        <v>23629</v>
      </c>
      <c r="E1873" t="s">
        <v>23632</v>
      </c>
    </row>
    <row r="1874" spans="1:5" x14ac:dyDescent="0.25">
      <c r="A1874" s="130" t="s">
        <v>17576</v>
      </c>
      <c r="B1874" t="s">
        <v>25175</v>
      </c>
      <c r="C1874">
        <v>1</v>
      </c>
      <c r="D1874" t="s">
        <v>23629</v>
      </c>
      <c r="E1874" t="s">
        <v>23632</v>
      </c>
    </row>
    <row r="1875" spans="1:5" x14ac:dyDescent="0.25">
      <c r="A1875" s="130" t="str">
        <f>LEFT(B1875,1)</f>
        <v>F</v>
      </c>
      <c r="B1875" t="s">
        <v>29024</v>
      </c>
      <c r="C1875">
        <v>1</v>
      </c>
      <c r="D1875" t="s">
        <v>23629</v>
      </c>
      <c r="E1875" t="s">
        <v>23632</v>
      </c>
    </row>
    <row r="1876" spans="1:5" x14ac:dyDescent="0.25">
      <c r="A1876" s="131" t="s">
        <v>17576</v>
      </c>
      <c r="B1876" t="s">
        <v>25176</v>
      </c>
      <c r="C1876">
        <v>1</v>
      </c>
      <c r="D1876" t="s">
        <v>23629</v>
      </c>
      <c r="E1876" t="s">
        <v>23632</v>
      </c>
    </row>
    <row r="1877" spans="1:5" x14ac:dyDescent="0.25">
      <c r="A1877" s="130" t="str">
        <f>LEFT((B1877),1)</f>
        <v>F</v>
      </c>
      <c r="B1877" t="s">
        <v>25177</v>
      </c>
      <c r="C1877">
        <v>1</v>
      </c>
      <c r="D1877" t="s">
        <v>23629</v>
      </c>
      <c r="E1877" t="s">
        <v>23632</v>
      </c>
    </row>
    <row r="1878" spans="1:5" x14ac:dyDescent="0.25">
      <c r="A1878" s="131" t="str">
        <f>LEFT((B1878),1)</f>
        <v>F</v>
      </c>
      <c r="B1878" t="s">
        <v>25178</v>
      </c>
      <c r="C1878">
        <v>1</v>
      </c>
      <c r="D1878" t="s">
        <v>23629</v>
      </c>
      <c r="E1878" t="s">
        <v>23632</v>
      </c>
    </row>
    <row r="1879" spans="1:5" x14ac:dyDescent="0.25">
      <c r="A1879" s="130" t="s">
        <v>17576</v>
      </c>
      <c r="B1879" t="s">
        <v>25179</v>
      </c>
      <c r="C1879">
        <v>1</v>
      </c>
      <c r="D1879" t="s">
        <v>23629</v>
      </c>
      <c r="E1879" t="s">
        <v>23632</v>
      </c>
    </row>
    <row r="1880" spans="1:5" x14ac:dyDescent="0.25">
      <c r="A1880" s="130" t="str">
        <f>LEFT(B1880,1)</f>
        <v>F</v>
      </c>
      <c r="B1880" t="s">
        <v>28462</v>
      </c>
      <c r="C1880">
        <v>1</v>
      </c>
      <c r="D1880" t="s">
        <v>23629</v>
      </c>
      <c r="E1880" t="s">
        <v>23632</v>
      </c>
    </row>
    <row r="1881" spans="1:5" x14ac:dyDescent="0.25">
      <c r="A1881" s="131" t="s">
        <v>17576</v>
      </c>
      <c r="B1881" t="s">
        <v>25180</v>
      </c>
      <c r="C1881">
        <v>1.1100000000000001</v>
      </c>
      <c r="D1881" t="s">
        <v>23629</v>
      </c>
      <c r="E1881" t="s">
        <v>23632</v>
      </c>
    </row>
    <row r="1882" spans="1:5" x14ac:dyDescent="0.25">
      <c r="A1882" s="130" t="str">
        <f>LEFT(B1882,1)</f>
        <v>F</v>
      </c>
      <c r="B1882" t="s">
        <v>28758</v>
      </c>
      <c r="C1882">
        <v>1</v>
      </c>
      <c r="D1882" t="s">
        <v>23629</v>
      </c>
      <c r="E1882" t="s">
        <v>23632</v>
      </c>
    </row>
    <row r="1883" spans="1:5" x14ac:dyDescent="0.25">
      <c r="A1883" s="130" t="s">
        <v>17576</v>
      </c>
      <c r="B1883" t="s">
        <v>25181</v>
      </c>
      <c r="C1883">
        <v>1</v>
      </c>
      <c r="D1883" t="s">
        <v>23629</v>
      </c>
      <c r="E1883" t="s">
        <v>23632</v>
      </c>
    </row>
    <row r="1884" spans="1:5" x14ac:dyDescent="0.25">
      <c r="A1884" s="130" t="s">
        <v>17576</v>
      </c>
      <c r="B1884" t="s">
        <v>25182</v>
      </c>
      <c r="C1884">
        <v>1</v>
      </c>
      <c r="D1884" t="s">
        <v>23629</v>
      </c>
      <c r="E1884" t="s">
        <v>23632</v>
      </c>
    </row>
    <row r="1885" spans="1:5" x14ac:dyDescent="0.25">
      <c r="A1885" s="131" t="s">
        <v>17576</v>
      </c>
      <c r="B1885" t="s">
        <v>25183</v>
      </c>
      <c r="C1885">
        <v>1</v>
      </c>
      <c r="D1885" t="s">
        <v>23629</v>
      </c>
      <c r="E1885" t="s">
        <v>23632</v>
      </c>
    </row>
    <row r="1886" spans="1:5" x14ac:dyDescent="0.25">
      <c r="A1886" s="130" t="s">
        <v>17576</v>
      </c>
      <c r="B1886" t="s">
        <v>25184</v>
      </c>
      <c r="C1886">
        <v>1</v>
      </c>
      <c r="D1886" t="s">
        <v>23629</v>
      </c>
      <c r="E1886" t="s">
        <v>23632</v>
      </c>
    </row>
    <row r="1887" spans="1:5" x14ac:dyDescent="0.25">
      <c r="A1887" s="130" t="s">
        <v>17576</v>
      </c>
      <c r="B1887" t="s">
        <v>25185</v>
      </c>
      <c r="C1887">
        <v>1</v>
      </c>
      <c r="D1887" t="s">
        <v>23629</v>
      </c>
      <c r="E1887" t="s">
        <v>23632</v>
      </c>
    </row>
    <row r="1888" spans="1:5" x14ac:dyDescent="0.25">
      <c r="A1888" s="130" t="s">
        <v>17576</v>
      </c>
      <c r="B1888" t="s">
        <v>25186</v>
      </c>
      <c r="C1888">
        <v>1</v>
      </c>
      <c r="D1888" t="s">
        <v>23629</v>
      </c>
      <c r="E1888" t="s">
        <v>23632</v>
      </c>
    </row>
    <row r="1889" spans="1:5" x14ac:dyDescent="0.25">
      <c r="A1889" s="131" t="s">
        <v>17576</v>
      </c>
      <c r="B1889" t="s">
        <v>25187</v>
      </c>
      <c r="C1889">
        <v>1</v>
      </c>
      <c r="D1889" t="s">
        <v>23629</v>
      </c>
      <c r="E1889" t="s">
        <v>23632</v>
      </c>
    </row>
    <row r="1890" spans="1:5" x14ac:dyDescent="0.25">
      <c r="A1890" s="130" t="s">
        <v>17576</v>
      </c>
      <c r="B1890" t="s">
        <v>25188</v>
      </c>
      <c r="C1890">
        <v>1</v>
      </c>
      <c r="D1890" t="s">
        <v>23629</v>
      </c>
      <c r="E1890" t="s">
        <v>23632</v>
      </c>
    </row>
    <row r="1891" spans="1:5" x14ac:dyDescent="0.25">
      <c r="A1891" s="131" t="s">
        <v>17576</v>
      </c>
      <c r="B1891" t="s">
        <v>25189</v>
      </c>
      <c r="C1891">
        <v>1</v>
      </c>
      <c r="D1891" t="s">
        <v>23629</v>
      </c>
      <c r="E1891" t="s">
        <v>23632</v>
      </c>
    </row>
    <row r="1892" spans="1:5" x14ac:dyDescent="0.25">
      <c r="A1892" s="131" t="s">
        <v>17576</v>
      </c>
      <c r="B1892" t="s">
        <v>25190</v>
      </c>
      <c r="C1892">
        <v>1</v>
      </c>
      <c r="D1892" t="s">
        <v>23629</v>
      </c>
      <c r="E1892" t="s">
        <v>23632</v>
      </c>
    </row>
    <row r="1893" spans="1:5" x14ac:dyDescent="0.25">
      <c r="A1893" s="131" t="str">
        <f>LEFT(B1893,1)</f>
        <v>F</v>
      </c>
      <c r="B1893" t="s">
        <v>25374</v>
      </c>
      <c r="C1893">
        <v>1</v>
      </c>
      <c r="D1893" t="s">
        <v>23629</v>
      </c>
      <c r="E1893" t="s">
        <v>23632</v>
      </c>
    </row>
    <row r="1894" spans="1:5" x14ac:dyDescent="0.25">
      <c r="A1894" s="131" t="s">
        <v>17576</v>
      </c>
      <c r="B1894" t="s">
        <v>25191</v>
      </c>
      <c r="C1894">
        <v>1</v>
      </c>
      <c r="D1894" t="s">
        <v>23629</v>
      </c>
      <c r="E1894" t="s">
        <v>23632</v>
      </c>
    </row>
    <row r="1895" spans="1:5" x14ac:dyDescent="0.25">
      <c r="A1895" s="130" t="s">
        <v>17576</v>
      </c>
      <c r="B1895" t="s">
        <v>25192</v>
      </c>
      <c r="C1895">
        <v>1</v>
      </c>
      <c r="D1895" t="s">
        <v>23629</v>
      </c>
      <c r="E1895" t="s">
        <v>23632</v>
      </c>
    </row>
    <row r="1896" spans="1:5" x14ac:dyDescent="0.25">
      <c r="A1896" s="130" t="str">
        <f>LEFT(B1896,1)</f>
        <v>F</v>
      </c>
      <c r="B1896" t="s">
        <v>28463</v>
      </c>
      <c r="C1896">
        <v>1</v>
      </c>
      <c r="D1896" t="s">
        <v>23629</v>
      </c>
      <c r="E1896" t="s">
        <v>23632</v>
      </c>
    </row>
    <row r="1897" spans="1:5" x14ac:dyDescent="0.25">
      <c r="A1897" s="131" t="s">
        <v>17576</v>
      </c>
      <c r="B1897" t="s">
        <v>25193</v>
      </c>
      <c r="C1897">
        <v>1</v>
      </c>
      <c r="D1897" t="s">
        <v>23629</v>
      </c>
      <c r="E1897" t="s">
        <v>23632</v>
      </c>
    </row>
    <row r="1898" spans="1:5" x14ac:dyDescent="0.25">
      <c r="A1898" s="130" t="str">
        <f>LEFT(B1898,1)</f>
        <v>F</v>
      </c>
      <c r="B1898" t="s">
        <v>25375</v>
      </c>
      <c r="C1898">
        <v>1</v>
      </c>
      <c r="D1898" t="s">
        <v>23629</v>
      </c>
      <c r="E1898" t="s">
        <v>23632</v>
      </c>
    </row>
    <row r="1899" spans="1:5" x14ac:dyDescent="0.25">
      <c r="A1899" s="130" t="s">
        <v>17576</v>
      </c>
      <c r="B1899" t="s">
        <v>25194</v>
      </c>
      <c r="C1899">
        <v>1</v>
      </c>
      <c r="D1899" t="s">
        <v>23629</v>
      </c>
      <c r="E1899" t="s">
        <v>23632</v>
      </c>
    </row>
    <row r="1900" spans="1:5" x14ac:dyDescent="0.25">
      <c r="A1900" s="130" t="str">
        <f>LEFT(B1900,1)</f>
        <v>F</v>
      </c>
      <c r="B1900" t="s">
        <v>25385</v>
      </c>
      <c r="C1900">
        <v>1</v>
      </c>
      <c r="D1900" t="s">
        <v>23629</v>
      </c>
      <c r="E1900" t="s">
        <v>23632</v>
      </c>
    </row>
    <row r="1901" spans="1:5" x14ac:dyDescent="0.25">
      <c r="A1901" s="130" t="s">
        <v>17576</v>
      </c>
      <c r="B1901" t="s">
        <v>25195</v>
      </c>
      <c r="C1901">
        <v>1</v>
      </c>
      <c r="D1901" t="s">
        <v>23629</v>
      </c>
      <c r="E1901" t="s">
        <v>23632</v>
      </c>
    </row>
    <row r="1902" spans="1:5" x14ac:dyDescent="0.25">
      <c r="A1902" s="130" t="s">
        <v>17576</v>
      </c>
      <c r="B1902" t="s">
        <v>25196</v>
      </c>
      <c r="C1902">
        <v>1</v>
      </c>
      <c r="D1902" t="s">
        <v>23629</v>
      </c>
      <c r="E1902" t="s">
        <v>23632</v>
      </c>
    </row>
    <row r="1903" spans="1:5" x14ac:dyDescent="0.25">
      <c r="A1903" s="130" t="s">
        <v>17576</v>
      </c>
      <c r="B1903" t="s">
        <v>25197</v>
      </c>
      <c r="C1903">
        <v>1</v>
      </c>
      <c r="D1903" t="s">
        <v>23629</v>
      </c>
      <c r="E1903" t="s">
        <v>23632</v>
      </c>
    </row>
    <row r="1904" spans="1:5" x14ac:dyDescent="0.25">
      <c r="A1904" s="130" t="str">
        <f>LEFT(B1904,1)</f>
        <v>F</v>
      </c>
      <c r="B1904" t="s">
        <v>29025</v>
      </c>
      <c r="C1904">
        <v>1</v>
      </c>
      <c r="D1904" t="s">
        <v>23629</v>
      </c>
      <c r="E1904" t="s">
        <v>23632</v>
      </c>
    </row>
    <row r="1905" spans="1:5" x14ac:dyDescent="0.25">
      <c r="A1905" s="131" t="s">
        <v>17576</v>
      </c>
      <c r="B1905" t="s">
        <v>25198</v>
      </c>
      <c r="C1905">
        <v>1</v>
      </c>
      <c r="D1905" t="s">
        <v>23629</v>
      </c>
      <c r="E1905" t="s">
        <v>23632</v>
      </c>
    </row>
    <row r="1906" spans="1:5" x14ac:dyDescent="0.25">
      <c r="A1906" s="130" t="s">
        <v>17576</v>
      </c>
      <c r="B1906" t="s">
        <v>25199</v>
      </c>
      <c r="C1906">
        <v>1.3</v>
      </c>
      <c r="D1906" t="s">
        <v>24320</v>
      </c>
      <c r="E1906" t="s">
        <v>23632</v>
      </c>
    </row>
    <row r="1907" spans="1:5" x14ac:dyDescent="0.25">
      <c r="A1907" s="130" t="str">
        <f>LEFT(B1907,1)</f>
        <v>F</v>
      </c>
      <c r="B1907" t="s">
        <v>28759</v>
      </c>
      <c r="C1907">
        <v>1</v>
      </c>
      <c r="D1907" t="s">
        <v>23629</v>
      </c>
      <c r="E1907" t="s">
        <v>23632</v>
      </c>
    </row>
    <row r="1908" spans="1:5" x14ac:dyDescent="0.25">
      <c r="A1908" s="130" t="s">
        <v>17576</v>
      </c>
      <c r="B1908" t="s">
        <v>25200</v>
      </c>
      <c r="C1908">
        <v>1</v>
      </c>
      <c r="D1908" t="s">
        <v>23629</v>
      </c>
      <c r="E1908" t="s">
        <v>23632</v>
      </c>
    </row>
    <row r="1909" spans="1:5" x14ac:dyDescent="0.25">
      <c r="A1909" s="131" t="s">
        <v>17576</v>
      </c>
      <c r="B1909" t="s">
        <v>25201</v>
      </c>
      <c r="C1909">
        <v>1</v>
      </c>
      <c r="D1909" t="s">
        <v>23629</v>
      </c>
      <c r="E1909" t="s">
        <v>23632</v>
      </c>
    </row>
    <row r="1910" spans="1:5" x14ac:dyDescent="0.25">
      <c r="A1910" s="130" t="str">
        <f>LEFT(B1910,1)</f>
        <v>F</v>
      </c>
      <c r="B1910" t="s">
        <v>28760</v>
      </c>
      <c r="C1910">
        <v>1</v>
      </c>
      <c r="D1910" t="s">
        <v>23629</v>
      </c>
      <c r="E1910" t="s">
        <v>23632</v>
      </c>
    </row>
    <row r="1911" spans="1:5" x14ac:dyDescent="0.25">
      <c r="A1911" s="130" t="str">
        <f>LEFT(B1911,1)</f>
        <v>F</v>
      </c>
      <c r="B1911" t="s">
        <v>25386</v>
      </c>
      <c r="C1911">
        <v>1</v>
      </c>
      <c r="D1911" t="s">
        <v>23629</v>
      </c>
      <c r="E1911" t="s">
        <v>23632</v>
      </c>
    </row>
    <row r="1912" spans="1:5" x14ac:dyDescent="0.25">
      <c r="A1912" s="130" t="str">
        <f>LEFT((B1912),1)</f>
        <v>F</v>
      </c>
      <c r="B1912" t="s">
        <v>25202</v>
      </c>
      <c r="C1912">
        <v>1</v>
      </c>
      <c r="D1912" t="s">
        <v>23629</v>
      </c>
      <c r="E1912" t="s">
        <v>23632</v>
      </c>
    </row>
    <row r="1913" spans="1:5" x14ac:dyDescent="0.25">
      <c r="A1913" s="130" t="str">
        <f>LEFT(B1913,1)</f>
        <v>F</v>
      </c>
      <c r="B1913" t="s">
        <v>29026</v>
      </c>
      <c r="C1913">
        <v>1</v>
      </c>
      <c r="D1913" t="s">
        <v>23629</v>
      </c>
      <c r="E1913" t="s">
        <v>23632</v>
      </c>
    </row>
    <row r="1914" spans="1:5" x14ac:dyDescent="0.25">
      <c r="A1914" s="131" t="str">
        <f>LEFT((B1914),1)</f>
        <v>F</v>
      </c>
      <c r="B1914" t="s">
        <v>25203</v>
      </c>
      <c r="C1914">
        <v>1</v>
      </c>
      <c r="D1914" t="s">
        <v>23629</v>
      </c>
      <c r="E1914" t="s">
        <v>23632</v>
      </c>
    </row>
    <row r="1915" spans="1:5" x14ac:dyDescent="0.25">
      <c r="A1915" s="131" t="s">
        <v>17576</v>
      </c>
      <c r="B1915" t="s">
        <v>25204</v>
      </c>
      <c r="C1915">
        <v>1</v>
      </c>
      <c r="D1915" t="s">
        <v>23629</v>
      </c>
      <c r="E1915" t="s">
        <v>23632</v>
      </c>
    </row>
    <row r="1916" spans="1:5" x14ac:dyDescent="0.25">
      <c r="A1916" s="131" t="str">
        <f>LEFT(B1916,1)</f>
        <v>F</v>
      </c>
      <c r="B1916" t="s">
        <v>25398</v>
      </c>
      <c r="C1916">
        <v>1</v>
      </c>
      <c r="D1916" t="s">
        <v>23629</v>
      </c>
      <c r="E1916" t="s">
        <v>23632</v>
      </c>
    </row>
    <row r="1917" spans="1:5" x14ac:dyDescent="0.25">
      <c r="A1917" s="130" t="s">
        <v>17576</v>
      </c>
      <c r="B1917" t="s">
        <v>25205</v>
      </c>
      <c r="C1917">
        <v>1</v>
      </c>
      <c r="D1917" t="s">
        <v>23629</v>
      </c>
      <c r="E1917" t="s">
        <v>23632</v>
      </c>
    </row>
    <row r="1918" spans="1:5" x14ac:dyDescent="0.25">
      <c r="A1918" s="131" t="str">
        <f>LEFT(B1918,1)</f>
        <v>F</v>
      </c>
      <c r="B1918" t="s">
        <v>25376</v>
      </c>
      <c r="C1918">
        <v>1</v>
      </c>
      <c r="D1918" t="s">
        <v>23629</v>
      </c>
      <c r="E1918" t="s">
        <v>23632</v>
      </c>
    </row>
    <row r="1919" spans="1:5" x14ac:dyDescent="0.25">
      <c r="A1919" s="130" t="s">
        <v>17576</v>
      </c>
      <c r="B1919" t="s">
        <v>25206</v>
      </c>
      <c r="C1919">
        <v>1</v>
      </c>
      <c r="D1919" t="s">
        <v>23629</v>
      </c>
      <c r="E1919" t="s">
        <v>23632</v>
      </c>
    </row>
    <row r="1920" spans="1:5" x14ac:dyDescent="0.25">
      <c r="A1920" s="130" t="str">
        <f>LEFT(B1920,1)</f>
        <v>F</v>
      </c>
      <c r="B1920" t="s">
        <v>25387</v>
      </c>
      <c r="C1920">
        <v>1</v>
      </c>
      <c r="D1920" t="s">
        <v>23629</v>
      </c>
      <c r="E1920" t="s">
        <v>23632</v>
      </c>
    </row>
    <row r="1921" spans="1:5" x14ac:dyDescent="0.25">
      <c r="A1921" s="130" t="s">
        <v>17576</v>
      </c>
      <c r="B1921" t="s">
        <v>25207</v>
      </c>
      <c r="C1921">
        <v>1</v>
      </c>
      <c r="D1921" t="s">
        <v>23629</v>
      </c>
      <c r="E1921" t="s">
        <v>23632</v>
      </c>
    </row>
    <row r="1922" spans="1:5" x14ac:dyDescent="0.25">
      <c r="A1922" s="131" t="s">
        <v>17576</v>
      </c>
      <c r="B1922" t="s">
        <v>25208</v>
      </c>
      <c r="C1922">
        <v>1</v>
      </c>
      <c r="D1922" t="s">
        <v>23629</v>
      </c>
      <c r="E1922" t="s">
        <v>23632</v>
      </c>
    </row>
    <row r="1923" spans="1:5" x14ac:dyDescent="0.25">
      <c r="A1923" s="131" t="s">
        <v>17576</v>
      </c>
      <c r="B1923" t="s">
        <v>25209</v>
      </c>
      <c r="C1923">
        <v>1</v>
      </c>
      <c r="D1923" t="s">
        <v>23629</v>
      </c>
      <c r="E1923" t="s">
        <v>23632</v>
      </c>
    </row>
    <row r="1924" spans="1:5" x14ac:dyDescent="0.25">
      <c r="A1924" s="130" t="s">
        <v>17576</v>
      </c>
      <c r="B1924" t="s">
        <v>25210</v>
      </c>
      <c r="C1924">
        <v>1</v>
      </c>
      <c r="D1924" t="s">
        <v>23629</v>
      </c>
      <c r="E1924" t="s">
        <v>23632</v>
      </c>
    </row>
    <row r="1925" spans="1:5" x14ac:dyDescent="0.25">
      <c r="A1925" s="130" t="s">
        <v>17576</v>
      </c>
      <c r="B1925" t="s">
        <v>25211</v>
      </c>
      <c r="C1925">
        <v>1</v>
      </c>
      <c r="D1925" t="s">
        <v>23629</v>
      </c>
      <c r="E1925" t="s">
        <v>23632</v>
      </c>
    </row>
    <row r="1926" spans="1:5" x14ac:dyDescent="0.25">
      <c r="A1926" s="131" t="s">
        <v>17576</v>
      </c>
      <c r="B1926" t="s">
        <v>25212</v>
      </c>
      <c r="C1926">
        <v>1</v>
      </c>
      <c r="D1926" t="s">
        <v>23629</v>
      </c>
      <c r="E1926" t="s">
        <v>23632</v>
      </c>
    </row>
    <row r="1927" spans="1:5" x14ac:dyDescent="0.25">
      <c r="A1927" s="131" t="s">
        <v>17576</v>
      </c>
      <c r="B1927" t="s">
        <v>25213</v>
      </c>
      <c r="C1927">
        <v>1</v>
      </c>
      <c r="D1927" t="s">
        <v>23629</v>
      </c>
      <c r="E1927" t="s">
        <v>23632</v>
      </c>
    </row>
    <row r="1928" spans="1:5" x14ac:dyDescent="0.25">
      <c r="A1928" s="130" t="str">
        <f>LEFT(B1928,1)</f>
        <v>F</v>
      </c>
      <c r="B1928" t="s">
        <v>29027</v>
      </c>
      <c r="C1928">
        <v>1</v>
      </c>
      <c r="D1928" t="s">
        <v>23629</v>
      </c>
      <c r="E1928" t="s">
        <v>23632</v>
      </c>
    </row>
    <row r="1929" spans="1:5" x14ac:dyDescent="0.25">
      <c r="A1929" s="130" t="s">
        <v>17576</v>
      </c>
      <c r="B1929" t="s">
        <v>25214</v>
      </c>
      <c r="C1929">
        <v>1</v>
      </c>
      <c r="D1929" t="s">
        <v>23629</v>
      </c>
      <c r="E1929" t="s">
        <v>23632</v>
      </c>
    </row>
    <row r="1930" spans="1:5" x14ac:dyDescent="0.25">
      <c r="A1930" s="131" t="s">
        <v>17576</v>
      </c>
      <c r="B1930" t="s">
        <v>25215</v>
      </c>
      <c r="C1930">
        <v>1</v>
      </c>
      <c r="D1930" t="s">
        <v>23629</v>
      </c>
      <c r="E1930" t="s">
        <v>23632</v>
      </c>
    </row>
    <row r="1931" spans="1:5" x14ac:dyDescent="0.25">
      <c r="A1931" s="130" t="s">
        <v>17576</v>
      </c>
      <c r="B1931" t="s">
        <v>25216</v>
      </c>
      <c r="C1931">
        <v>1</v>
      </c>
      <c r="D1931" t="s">
        <v>23629</v>
      </c>
      <c r="E1931" t="s">
        <v>23632</v>
      </c>
    </row>
    <row r="1932" spans="1:5" x14ac:dyDescent="0.25">
      <c r="A1932" s="131" t="s">
        <v>17576</v>
      </c>
      <c r="B1932" t="s">
        <v>25217</v>
      </c>
      <c r="C1932">
        <v>1</v>
      </c>
      <c r="D1932" t="s">
        <v>23629</v>
      </c>
      <c r="E1932" t="s">
        <v>23632</v>
      </c>
    </row>
    <row r="1933" spans="1:5" x14ac:dyDescent="0.25">
      <c r="A1933" s="130" t="str">
        <f>LEFT(B1933,1)</f>
        <v>F</v>
      </c>
      <c r="B1933" t="s">
        <v>28761</v>
      </c>
      <c r="C1933">
        <v>1</v>
      </c>
      <c r="D1933" t="s">
        <v>23629</v>
      </c>
      <c r="E1933" t="s">
        <v>23632</v>
      </c>
    </row>
    <row r="1934" spans="1:5" x14ac:dyDescent="0.25">
      <c r="A1934" s="130" t="str">
        <f>LEFT(B1934,1)</f>
        <v>F</v>
      </c>
      <c r="B1934" t="s">
        <v>25377</v>
      </c>
      <c r="C1934">
        <v>1</v>
      </c>
      <c r="D1934" t="s">
        <v>23629</v>
      </c>
      <c r="E1934" t="s">
        <v>23632</v>
      </c>
    </row>
    <row r="1935" spans="1:5" x14ac:dyDescent="0.25">
      <c r="A1935" s="131" t="s">
        <v>17576</v>
      </c>
      <c r="B1935" t="s">
        <v>25218</v>
      </c>
      <c r="C1935">
        <v>1</v>
      </c>
      <c r="D1935" t="s">
        <v>23629</v>
      </c>
      <c r="E1935" t="s">
        <v>23632</v>
      </c>
    </row>
    <row r="1936" spans="1:5" x14ac:dyDescent="0.25">
      <c r="A1936" s="130" t="s">
        <v>17576</v>
      </c>
      <c r="B1936" t="s">
        <v>25219</v>
      </c>
      <c r="C1936">
        <v>1</v>
      </c>
      <c r="D1936" t="s">
        <v>23629</v>
      </c>
      <c r="E1936" t="s">
        <v>23632</v>
      </c>
    </row>
    <row r="1937" spans="1:5" x14ac:dyDescent="0.25">
      <c r="A1937" s="131" t="s">
        <v>17576</v>
      </c>
      <c r="B1937" t="s">
        <v>25220</v>
      </c>
      <c r="C1937">
        <v>1</v>
      </c>
      <c r="D1937" t="s">
        <v>23629</v>
      </c>
      <c r="E1937" t="s">
        <v>23632</v>
      </c>
    </row>
    <row r="1938" spans="1:5" x14ac:dyDescent="0.25">
      <c r="A1938" s="130" t="s">
        <v>17576</v>
      </c>
      <c r="B1938" t="s">
        <v>25221</v>
      </c>
      <c r="C1938">
        <v>1</v>
      </c>
      <c r="D1938" t="s">
        <v>23629</v>
      </c>
      <c r="E1938" t="s">
        <v>23632</v>
      </c>
    </row>
    <row r="1939" spans="1:5" x14ac:dyDescent="0.25">
      <c r="A1939" s="131" t="s">
        <v>17576</v>
      </c>
      <c r="B1939" t="s">
        <v>25222</v>
      </c>
      <c r="C1939">
        <v>1</v>
      </c>
      <c r="D1939" t="s">
        <v>23629</v>
      </c>
      <c r="E1939" t="s">
        <v>23632</v>
      </c>
    </row>
    <row r="1940" spans="1:5" x14ac:dyDescent="0.25">
      <c r="A1940" s="131" t="s">
        <v>17576</v>
      </c>
      <c r="B1940" t="s">
        <v>25223</v>
      </c>
      <c r="C1940">
        <v>1</v>
      </c>
      <c r="D1940" t="s">
        <v>23629</v>
      </c>
      <c r="E1940" t="s">
        <v>23632</v>
      </c>
    </row>
    <row r="1941" spans="1:5" x14ac:dyDescent="0.25">
      <c r="A1941" s="130" t="str">
        <f>LEFT((B1941),1)</f>
        <v>F</v>
      </c>
      <c r="B1941" t="s">
        <v>25224</v>
      </c>
      <c r="C1941">
        <v>1</v>
      </c>
      <c r="D1941" t="s">
        <v>23629</v>
      </c>
      <c r="E1941" t="s">
        <v>23632</v>
      </c>
    </row>
    <row r="1942" spans="1:5" x14ac:dyDescent="0.25">
      <c r="A1942" s="130" t="s">
        <v>17576</v>
      </c>
      <c r="B1942" t="s">
        <v>25225</v>
      </c>
      <c r="C1942">
        <v>1</v>
      </c>
      <c r="D1942" t="s">
        <v>23629</v>
      </c>
      <c r="E1942" t="s">
        <v>23632</v>
      </c>
    </row>
    <row r="1943" spans="1:5" x14ac:dyDescent="0.25">
      <c r="A1943" s="130" t="str">
        <f>LEFT(B1943,1)</f>
        <v>F</v>
      </c>
      <c r="B1943" t="s">
        <v>28464</v>
      </c>
      <c r="C1943">
        <v>1</v>
      </c>
      <c r="D1943" t="s">
        <v>23629</v>
      </c>
      <c r="E1943" t="s">
        <v>23632</v>
      </c>
    </row>
    <row r="1944" spans="1:5" x14ac:dyDescent="0.25">
      <c r="A1944" s="131" t="str">
        <f>LEFT((B1944),1)</f>
        <v>F</v>
      </c>
      <c r="B1944" t="s">
        <v>25226</v>
      </c>
      <c r="C1944">
        <v>1</v>
      </c>
      <c r="D1944" t="s">
        <v>23629</v>
      </c>
      <c r="E1944" t="s">
        <v>23632</v>
      </c>
    </row>
    <row r="1945" spans="1:5" x14ac:dyDescent="0.25">
      <c r="A1945" s="131" t="s">
        <v>17576</v>
      </c>
      <c r="B1945" t="s">
        <v>25227</v>
      </c>
      <c r="C1945">
        <v>1</v>
      </c>
      <c r="D1945" t="s">
        <v>23629</v>
      </c>
      <c r="E1945" t="s">
        <v>23632</v>
      </c>
    </row>
    <row r="1946" spans="1:5" x14ac:dyDescent="0.25">
      <c r="A1946" s="130" t="str">
        <f>LEFT(B1946,1)</f>
        <v>F</v>
      </c>
      <c r="B1946" t="s">
        <v>25388</v>
      </c>
      <c r="C1946">
        <v>1</v>
      </c>
      <c r="D1946" t="s">
        <v>23629</v>
      </c>
      <c r="E1946" t="s">
        <v>23632</v>
      </c>
    </row>
    <row r="1947" spans="1:5" x14ac:dyDescent="0.25">
      <c r="A1947" s="131" t="s">
        <v>17576</v>
      </c>
      <c r="B1947" t="s">
        <v>25228</v>
      </c>
      <c r="C1947">
        <v>1</v>
      </c>
      <c r="D1947" t="s">
        <v>23629</v>
      </c>
      <c r="E1947" t="s">
        <v>23632</v>
      </c>
    </row>
    <row r="1948" spans="1:5" x14ac:dyDescent="0.25">
      <c r="A1948" s="130" t="s">
        <v>17576</v>
      </c>
      <c r="B1948" t="s">
        <v>25229</v>
      </c>
      <c r="C1948">
        <v>1</v>
      </c>
      <c r="D1948" t="s">
        <v>23629</v>
      </c>
      <c r="E1948" t="s">
        <v>23632</v>
      </c>
    </row>
    <row r="1949" spans="1:5" x14ac:dyDescent="0.25">
      <c r="A1949" s="130" t="str">
        <f>LEFT(B1949,1)</f>
        <v>F</v>
      </c>
      <c r="B1949" t="s">
        <v>25399</v>
      </c>
      <c r="C1949">
        <v>1</v>
      </c>
      <c r="D1949" t="s">
        <v>23629</v>
      </c>
      <c r="E1949" t="s">
        <v>23632</v>
      </c>
    </row>
    <row r="1950" spans="1:5" x14ac:dyDescent="0.25">
      <c r="A1950" s="130" t="str">
        <f>LEFT((B1950),1)</f>
        <v>F</v>
      </c>
      <c r="B1950" t="s">
        <v>25230</v>
      </c>
      <c r="C1950">
        <v>1</v>
      </c>
      <c r="D1950" t="s">
        <v>23629</v>
      </c>
      <c r="E1950" t="s">
        <v>23632</v>
      </c>
    </row>
    <row r="1951" spans="1:5" x14ac:dyDescent="0.25">
      <c r="A1951" s="131" t="s">
        <v>17576</v>
      </c>
      <c r="B1951" t="s">
        <v>25231</v>
      </c>
      <c r="C1951">
        <v>1</v>
      </c>
      <c r="D1951" t="s">
        <v>23629</v>
      </c>
      <c r="E1951" t="s">
        <v>23632</v>
      </c>
    </row>
    <row r="1952" spans="1:5" x14ac:dyDescent="0.25">
      <c r="A1952" s="130" t="str">
        <f>LEFT(B1952,1)</f>
        <v>F</v>
      </c>
      <c r="B1952" t="s">
        <v>28762</v>
      </c>
      <c r="C1952">
        <v>1</v>
      </c>
      <c r="D1952" t="s">
        <v>23629</v>
      </c>
      <c r="E1952" t="s">
        <v>23632</v>
      </c>
    </row>
    <row r="1953" spans="1:5" x14ac:dyDescent="0.25">
      <c r="A1953" s="131" t="s">
        <v>17576</v>
      </c>
      <c r="B1953" t="s">
        <v>25232</v>
      </c>
      <c r="C1953">
        <v>1</v>
      </c>
      <c r="D1953" t="s">
        <v>23629</v>
      </c>
      <c r="E1953" t="s">
        <v>23632</v>
      </c>
    </row>
    <row r="1954" spans="1:5" x14ac:dyDescent="0.25">
      <c r="A1954" s="130" t="str">
        <f>LEFT(B1954,1)</f>
        <v>F</v>
      </c>
      <c r="B1954" t="s">
        <v>25389</v>
      </c>
      <c r="C1954">
        <v>1</v>
      </c>
      <c r="D1954" t="s">
        <v>23629</v>
      </c>
      <c r="E1954" t="s">
        <v>23632</v>
      </c>
    </row>
    <row r="1955" spans="1:5" x14ac:dyDescent="0.25">
      <c r="A1955" s="130" t="str">
        <f>LEFT(B1955,1)</f>
        <v>F</v>
      </c>
      <c r="B1955" t="s">
        <v>28465</v>
      </c>
      <c r="C1955">
        <v>1</v>
      </c>
      <c r="D1955" t="s">
        <v>23629</v>
      </c>
      <c r="E1955" t="s">
        <v>23632</v>
      </c>
    </row>
    <row r="1956" spans="1:5" x14ac:dyDescent="0.25">
      <c r="A1956" s="130" t="s">
        <v>17576</v>
      </c>
      <c r="B1956" t="s">
        <v>25233</v>
      </c>
      <c r="C1956">
        <v>1</v>
      </c>
      <c r="D1956" t="s">
        <v>23629</v>
      </c>
      <c r="E1956" t="s">
        <v>23632</v>
      </c>
    </row>
    <row r="1957" spans="1:5" x14ac:dyDescent="0.25">
      <c r="A1957" s="131" t="str">
        <f>LEFT((B1957),1)</f>
        <v>F</v>
      </c>
      <c r="B1957" t="s">
        <v>25234</v>
      </c>
      <c r="C1957">
        <v>1</v>
      </c>
      <c r="D1957" t="s">
        <v>23629</v>
      </c>
      <c r="E1957" t="s">
        <v>23632</v>
      </c>
    </row>
    <row r="1958" spans="1:5" x14ac:dyDescent="0.25">
      <c r="A1958" s="131" t="s">
        <v>17576</v>
      </c>
      <c r="B1958" t="s">
        <v>25235</v>
      </c>
      <c r="C1958">
        <v>1</v>
      </c>
      <c r="D1958" t="s">
        <v>23629</v>
      </c>
      <c r="E1958" t="s">
        <v>23632</v>
      </c>
    </row>
    <row r="1959" spans="1:5" x14ac:dyDescent="0.25">
      <c r="A1959" s="130" t="str">
        <f>LEFT(B1959,1)</f>
        <v>F</v>
      </c>
      <c r="B1959" t="s">
        <v>28763</v>
      </c>
      <c r="C1959">
        <v>1</v>
      </c>
      <c r="D1959" t="s">
        <v>23629</v>
      </c>
      <c r="E1959" t="s">
        <v>23632</v>
      </c>
    </row>
    <row r="1960" spans="1:5" x14ac:dyDescent="0.25">
      <c r="A1960" s="130" t="s">
        <v>17576</v>
      </c>
      <c r="B1960" t="s">
        <v>25236</v>
      </c>
      <c r="C1960">
        <v>1</v>
      </c>
      <c r="D1960" t="s">
        <v>23629</v>
      </c>
      <c r="E1960" t="s">
        <v>23632</v>
      </c>
    </row>
    <row r="1961" spans="1:5" x14ac:dyDescent="0.25">
      <c r="A1961" s="130" t="str">
        <f>LEFT((B1961),1)</f>
        <v>F</v>
      </c>
      <c r="B1961" t="s">
        <v>25237</v>
      </c>
      <c r="C1961">
        <v>1</v>
      </c>
      <c r="D1961" t="s">
        <v>23629</v>
      </c>
      <c r="E1961" t="s">
        <v>23632</v>
      </c>
    </row>
    <row r="1962" spans="1:5" x14ac:dyDescent="0.25">
      <c r="A1962" s="131" t="s">
        <v>17576</v>
      </c>
      <c r="B1962" t="s">
        <v>25238</v>
      </c>
      <c r="C1962">
        <v>1</v>
      </c>
      <c r="D1962" t="s">
        <v>23629</v>
      </c>
      <c r="E1962" t="s">
        <v>23632</v>
      </c>
    </row>
    <row r="1963" spans="1:5" x14ac:dyDescent="0.25">
      <c r="A1963" s="130" t="s">
        <v>17576</v>
      </c>
      <c r="B1963" t="s">
        <v>25239</v>
      </c>
      <c r="C1963">
        <v>1</v>
      </c>
      <c r="D1963" t="s">
        <v>23629</v>
      </c>
      <c r="E1963" t="s">
        <v>23632</v>
      </c>
    </row>
    <row r="1964" spans="1:5" x14ac:dyDescent="0.25">
      <c r="A1964" s="131" t="s">
        <v>17576</v>
      </c>
      <c r="B1964" t="s">
        <v>25240</v>
      </c>
      <c r="C1964">
        <v>1</v>
      </c>
      <c r="D1964" t="s">
        <v>23629</v>
      </c>
      <c r="E1964" t="s">
        <v>23632</v>
      </c>
    </row>
    <row r="1965" spans="1:5" x14ac:dyDescent="0.25">
      <c r="A1965" s="131" t="str">
        <f>LEFT(B1965,1)</f>
        <v>F</v>
      </c>
      <c r="B1965" t="s">
        <v>25400</v>
      </c>
      <c r="C1965">
        <v>1</v>
      </c>
      <c r="D1965" t="s">
        <v>23629</v>
      </c>
      <c r="E1965" t="s">
        <v>23632</v>
      </c>
    </row>
    <row r="1966" spans="1:5" x14ac:dyDescent="0.25">
      <c r="A1966" s="131" t="s">
        <v>17576</v>
      </c>
      <c r="B1966" t="s">
        <v>25241</v>
      </c>
      <c r="C1966">
        <v>1</v>
      </c>
      <c r="D1966" t="s">
        <v>23629</v>
      </c>
      <c r="E1966" t="s">
        <v>23632</v>
      </c>
    </row>
    <row r="1967" spans="1:5" x14ac:dyDescent="0.25">
      <c r="A1967" s="130" t="s">
        <v>17576</v>
      </c>
      <c r="B1967" t="s">
        <v>25242</v>
      </c>
      <c r="C1967">
        <v>1</v>
      </c>
      <c r="D1967" t="s">
        <v>23629</v>
      </c>
      <c r="E1967" t="s">
        <v>23632</v>
      </c>
    </row>
    <row r="1968" spans="1:5" x14ac:dyDescent="0.25">
      <c r="A1968" s="130" t="s">
        <v>17576</v>
      </c>
      <c r="B1968" t="s">
        <v>25243</v>
      </c>
      <c r="C1968">
        <v>1</v>
      </c>
      <c r="D1968" t="s">
        <v>23629</v>
      </c>
      <c r="E1968" t="s">
        <v>23632</v>
      </c>
    </row>
    <row r="1969" spans="1:5" x14ac:dyDescent="0.25">
      <c r="A1969" s="130" t="str">
        <f>LEFT(B1969,1)</f>
        <v>F</v>
      </c>
      <c r="B1969" t="s">
        <v>28466</v>
      </c>
      <c r="C1969">
        <v>1</v>
      </c>
      <c r="D1969" t="s">
        <v>23629</v>
      </c>
      <c r="E1969" t="s">
        <v>23632</v>
      </c>
    </row>
    <row r="1970" spans="1:5" x14ac:dyDescent="0.25">
      <c r="A1970" s="130" t="s">
        <v>17576</v>
      </c>
      <c r="B1970" t="s">
        <v>25244</v>
      </c>
      <c r="C1970">
        <v>1</v>
      </c>
      <c r="D1970" t="s">
        <v>23629</v>
      </c>
      <c r="E1970" t="s">
        <v>23632</v>
      </c>
    </row>
    <row r="1971" spans="1:5" x14ac:dyDescent="0.25">
      <c r="A1971" s="130" t="str">
        <f>LEFT(B1971,1)</f>
        <v>F</v>
      </c>
      <c r="B1971" t="s">
        <v>29227</v>
      </c>
      <c r="C1971">
        <v>1</v>
      </c>
      <c r="D1971" t="s">
        <v>23629</v>
      </c>
      <c r="E1971" t="s">
        <v>23632</v>
      </c>
    </row>
    <row r="1972" spans="1:5" x14ac:dyDescent="0.25">
      <c r="A1972" s="131" t="s">
        <v>17576</v>
      </c>
      <c r="B1972" t="s">
        <v>25245</v>
      </c>
      <c r="C1972">
        <v>1</v>
      </c>
      <c r="D1972" t="s">
        <v>23629</v>
      </c>
      <c r="E1972" t="s">
        <v>23632</v>
      </c>
    </row>
    <row r="1973" spans="1:5" x14ac:dyDescent="0.25">
      <c r="A1973" s="130" t="str">
        <f>LEFT(B1973,1)</f>
        <v>F</v>
      </c>
      <c r="B1973" t="s">
        <v>28467</v>
      </c>
      <c r="C1973">
        <v>1</v>
      </c>
      <c r="D1973" t="s">
        <v>23629</v>
      </c>
      <c r="E1973" t="s">
        <v>23632</v>
      </c>
    </row>
    <row r="1974" spans="1:5" x14ac:dyDescent="0.25">
      <c r="A1974" s="131" t="s">
        <v>17576</v>
      </c>
      <c r="B1974" t="s">
        <v>25246</v>
      </c>
      <c r="C1974">
        <v>1</v>
      </c>
      <c r="D1974" t="s">
        <v>23629</v>
      </c>
      <c r="E1974" t="s">
        <v>23632</v>
      </c>
    </row>
    <row r="1975" spans="1:5" x14ac:dyDescent="0.25">
      <c r="A1975" s="130" t="s">
        <v>17576</v>
      </c>
      <c r="B1975" t="s">
        <v>25247</v>
      </c>
      <c r="C1975">
        <v>1</v>
      </c>
      <c r="D1975" t="s">
        <v>23629</v>
      </c>
      <c r="E1975" t="s">
        <v>23632</v>
      </c>
    </row>
    <row r="1976" spans="1:5" x14ac:dyDescent="0.25">
      <c r="A1976" s="130" t="s">
        <v>17576</v>
      </c>
      <c r="B1976" t="s">
        <v>25248</v>
      </c>
      <c r="C1976">
        <v>1</v>
      </c>
      <c r="D1976" t="s">
        <v>23629</v>
      </c>
      <c r="E1976" t="s">
        <v>23632</v>
      </c>
    </row>
    <row r="1977" spans="1:5" x14ac:dyDescent="0.25">
      <c r="A1977" s="130" t="s">
        <v>17576</v>
      </c>
      <c r="B1977" t="s">
        <v>25249</v>
      </c>
      <c r="C1977">
        <v>1</v>
      </c>
      <c r="D1977" t="s">
        <v>23629</v>
      </c>
      <c r="E1977" t="s">
        <v>23632</v>
      </c>
    </row>
    <row r="1978" spans="1:5" x14ac:dyDescent="0.25">
      <c r="A1978" s="131" t="s">
        <v>17576</v>
      </c>
      <c r="B1978" t="s">
        <v>25250</v>
      </c>
      <c r="C1978">
        <v>1</v>
      </c>
      <c r="D1978" t="s">
        <v>23629</v>
      </c>
      <c r="E1978" t="s">
        <v>23632</v>
      </c>
    </row>
    <row r="1979" spans="1:5" x14ac:dyDescent="0.25">
      <c r="A1979" s="130" t="s">
        <v>17576</v>
      </c>
      <c r="B1979" t="s">
        <v>25251</v>
      </c>
      <c r="C1979">
        <v>1</v>
      </c>
      <c r="D1979" t="s">
        <v>23629</v>
      </c>
      <c r="E1979" t="s">
        <v>23632</v>
      </c>
    </row>
    <row r="1980" spans="1:5" x14ac:dyDescent="0.25">
      <c r="A1980" s="130" t="str">
        <f>LEFT(B1980,1)</f>
        <v>F</v>
      </c>
      <c r="B1980" t="s">
        <v>28764</v>
      </c>
      <c r="C1980">
        <v>1</v>
      </c>
      <c r="D1980" t="s">
        <v>23629</v>
      </c>
      <c r="E1980" t="s">
        <v>23632</v>
      </c>
    </row>
    <row r="1981" spans="1:5" x14ac:dyDescent="0.25">
      <c r="A1981" s="131" t="str">
        <f>LEFT((B1981),1)</f>
        <v>F</v>
      </c>
      <c r="B1981" t="s">
        <v>25252</v>
      </c>
      <c r="C1981">
        <v>1</v>
      </c>
      <c r="D1981" t="s">
        <v>23629</v>
      </c>
      <c r="E1981" t="s">
        <v>23632</v>
      </c>
    </row>
    <row r="1982" spans="1:5" x14ac:dyDescent="0.25">
      <c r="A1982" s="130" t="str">
        <f>LEFT(B1982,1)</f>
        <v>F</v>
      </c>
      <c r="B1982" t="s">
        <v>28765</v>
      </c>
      <c r="C1982">
        <v>1</v>
      </c>
      <c r="D1982" t="s">
        <v>23629</v>
      </c>
      <c r="E1982" t="s">
        <v>23632</v>
      </c>
    </row>
    <row r="1983" spans="1:5" x14ac:dyDescent="0.25">
      <c r="A1983" s="130" t="s">
        <v>17576</v>
      </c>
      <c r="B1983" t="s">
        <v>25253</v>
      </c>
      <c r="C1983">
        <v>1</v>
      </c>
      <c r="D1983" t="s">
        <v>23629</v>
      </c>
      <c r="E1983" t="s">
        <v>23632</v>
      </c>
    </row>
    <row r="1984" spans="1:5" x14ac:dyDescent="0.25">
      <c r="A1984" s="130" t="str">
        <f>LEFT(B1984,1)</f>
        <v>F</v>
      </c>
      <c r="B1984" t="s">
        <v>28468</v>
      </c>
      <c r="C1984">
        <v>1</v>
      </c>
      <c r="D1984" t="s">
        <v>23629</v>
      </c>
      <c r="E1984" t="s">
        <v>23632</v>
      </c>
    </row>
    <row r="1985" spans="1:5" x14ac:dyDescent="0.25">
      <c r="A1985" s="131" t="s">
        <v>17576</v>
      </c>
      <c r="B1985" t="s">
        <v>25254</v>
      </c>
      <c r="C1985">
        <v>1</v>
      </c>
      <c r="D1985" t="s">
        <v>23629</v>
      </c>
      <c r="E1985" t="s">
        <v>23632</v>
      </c>
    </row>
    <row r="1986" spans="1:5" x14ac:dyDescent="0.25">
      <c r="A1986" s="130" t="s">
        <v>17576</v>
      </c>
      <c r="B1986" t="s">
        <v>25255</v>
      </c>
      <c r="C1986">
        <v>1</v>
      </c>
      <c r="D1986" t="s">
        <v>23629</v>
      </c>
      <c r="E1986" t="s">
        <v>23632</v>
      </c>
    </row>
    <row r="1987" spans="1:5" x14ac:dyDescent="0.25">
      <c r="A1987" s="131" t="s">
        <v>17576</v>
      </c>
      <c r="B1987" t="s">
        <v>25256</v>
      </c>
      <c r="C1987">
        <v>1</v>
      </c>
      <c r="D1987" t="s">
        <v>23629</v>
      </c>
      <c r="E1987" t="s">
        <v>23632</v>
      </c>
    </row>
    <row r="1988" spans="1:5" x14ac:dyDescent="0.25">
      <c r="A1988" s="130" t="s">
        <v>17576</v>
      </c>
      <c r="B1988" t="s">
        <v>25257</v>
      </c>
      <c r="C1988">
        <v>1</v>
      </c>
      <c r="D1988" t="s">
        <v>23629</v>
      </c>
      <c r="E1988" t="s">
        <v>23632</v>
      </c>
    </row>
    <row r="1989" spans="1:5" x14ac:dyDescent="0.25">
      <c r="A1989" s="131" t="s">
        <v>17576</v>
      </c>
      <c r="B1989" t="s">
        <v>25258</v>
      </c>
      <c r="C1989">
        <v>1</v>
      </c>
      <c r="D1989" t="s">
        <v>23629</v>
      </c>
      <c r="E1989" t="s">
        <v>23632</v>
      </c>
    </row>
    <row r="1990" spans="1:5" x14ac:dyDescent="0.25">
      <c r="A1990" s="131" t="s">
        <v>17576</v>
      </c>
      <c r="B1990" t="s">
        <v>25259</v>
      </c>
      <c r="C1990">
        <v>1</v>
      </c>
      <c r="D1990" t="s">
        <v>23629</v>
      </c>
      <c r="E1990" t="s">
        <v>23632</v>
      </c>
    </row>
    <row r="1991" spans="1:5" x14ac:dyDescent="0.25">
      <c r="A1991" s="131" t="str">
        <f>LEFT(B1991,1)</f>
        <v>F</v>
      </c>
      <c r="B1991" t="s">
        <v>25378</v>
      </c>
      <c r="C1991">
        <v>1</v>
      </c>
      <c r="D1991" t="s">
        <v>23629</v>
      </c>
      <c r="E1991" t="s">
        <v>23632</v>
      </c>
    </row>
    <row r="1992" spans="1:5" x14ac:dyDescent="0.25">
      <c r="A1992" s="130" t="str">
        <f>LEFT(B1992,1)</f>
        <v>F</v>
      </c>
      <c r="B1992" t="s">
        <v>28766</v>
      </c>
      <c r="C1992">
        <v>1</v>
      </c>
      <c r="D1992" t="s">
        <v>23629</v>
      </c>
      <c r="E1992" t="s">
        <v>23632</v>
      </c>
    </row>
    <row r="1993" spans="1:5" x14ac:dyDescent="0.25">
      <c r="A1993" s="130" t="s">
        <v>17576</v>
      </c>
      <c r="B1993" t="s">
        <v>25260</v>
      </c>
      <c r="C1993">
        <v>1</v>
      </c>
      <c r="D1993" t="s">
        <v>23629</v>
      </c>
      <c r="E1993" t="s">
        <v>23632</v>
      </c>
    </row>
    <row r="1994" spans="1:5" x14ac:dyDescent="0.25">
      <c r="A1994" s="131" t="s">
        <v>17576</v>
      </c>
      <c r="B1994" t="s">
        <v>25261</v>
      </c>
      <c r="C1994">
        <v>1</v>
      </c>
      <c r="D1994" t="s">
        <v>23629</v>
      </c>
      <c r="E1994" t="s">
        <v>23632</v>
      </c>
    </row>
    <row r="1995" spans="1:5" x14ac:dyDescent="0.25">
      <c r="A1995" s="130" t="str">
        <f>LEFT(B1995,1)</f>
        <v>F</v>
      </c>
      <c r="B1995" t="s">
        <v>29228</v>
      </c>
      <c r="C1995">
        <v>1</v>
      </c>
      <c r="D1995" t="s">
        <v>23629</v>
      </c>
      <c r="E1995" t="s">
        <v>23632</v>
      </c>
    </row>
    <row r="1996" spans="1:5" x14ac:dyDescent="0.25">
      <c r="A1996" s="130" t="s">
        <v>17576</v>
      </c>
      <c r="B1996" t="s">
        <v>25262</v>
      </c>
      <c r="C1996">
        <v>1</v>
      </c>
      <c r="D1996" t="s">
        <v>23629</v>
      </c>
      <c r="E1996" t="s">
        <v>23632</v>
      </c>
    </row>
    <row r="1997" spans="1:5" x14ac:dyDescent="0.25">
      <c r="A1997" s="131" t="s">
        <v>17576</v>
      </c>
      <c r="B1997" t="s">
        <v>25263</v>
      </c>
      <c r="C1997">
        <v>1</v>
      </c>
      <c r="D1997" t="s">
        <v>23629</v>
      </c>
      <c r="E1997" t="s">
        <v>23632</v>
      </c>
    </row>
    <row r="1998" spans="1:5" x14ac:dyDescent="0.25">
      <c r="A1998" s="130" t="str">
        <f>LEFT(B1998,1)</f>
        <v>F</v>
      </c>
      <c r="B1998" t="s">
        <v>28767</v>
      </c>
      <c r="C1998">
        <v>1</v>
      </c>
      <c r="D1998" t="s">
        <v>23629</v>
      </c>
      <c r="E1998" t="s">
        <v>23632</v>
      </c>
    </row>
    <row r="1999" spans="1:5" x14ac:dyDescent="0.25">
      <c r="A1999" s="130" t="str">
        <f>LEFT(B1999,1)</f>
        <v>F</v>
      </c>
      <c r="B1999" t="s">
        <v>29028</v>
      </c>
      <c r="C1999">
        <v>1</v>
      </c>
      <c r="D1999" t="s">
        <v>23629</v>
      </c>
      <c r="E1999" t="s">
        <v>23632</v>
      </c>
    </row>
    <row r="2000" spans="1:5" x14ac:dyDescent="0.25">
      <c r="A2000" s="130" t="str">
        <f>LEFT((B2000),1)</f>
        <v>F</v>
      </c>
      <c r="B2000" t="s">
        <v>25264</v>
      </c>
      <c r="C2000">
        <v>1</v>
      </c>
      <c r="D2000" t="s">
        <v>23629</v>
      </c>
      <c r="E2000" t="s">
        <v>23632</v>
      </c>
    </row>
    <row r="2001" spans="1:5" x14ac:dyDescent="0.25">
      <c r="A2001" s="130" t="s">
        <v>17576</v>
      </c>
      <c r="B2001" t="s">
        <v>25265</v>
      </c>
      <c r="C2001">
        <v>1</v>
      </c>
      <c r="D2001" t="s">
        <v>23629</v>
      </c>
      <c r="E2001" t="s">
        <v>23632</v>
      </c>
    </row>
    <row r="2002" spans="1:5" x14ac:dyDescent="0.25">
      <c r="A2002" s="130" t="str">
        <f>LEFT(B2002,1)</f>
        <v>F</v>
      </c>
      <c r="B2002" t="s">
        <v>29029</v>
      </c>
      <c r="C2002">
        <v>1</v>
      </c>
      <c r="D2002" t="s">
        <v>23629</v>
      </c>
      <c r="E2002" t="s">
        <v>23632</v>
      </c>
    </row>
    <row r="2003" spans="1:5" x14ac:dyDescent="0.25">
      <c r="A2003" s="130" t="s">
        <v>17576</v>
      </c>
      <c r="B2003" t="s">
        <v>25266</v>
      </c>
      <c r="C2003">
        <v>1</v>
      </c>
      <c r="D2003" t="s">
        <v>23629</v>
      </c>
      <c r="E2003" t="s">
        <v>23632</v>
      </c>
    </row>
    <row r="2004" spans="1:5" x14ac:dyDescent="0.25">
      <c r="A2004" s="130" t="str">
        <f>LEFT(B2004,1)</f>
        <v>F</v>
      </c>
      <c r="B2004" t="s">
        <v>25390</v>
      </c>
      <c r="C2004">
        <v>1.04</v>
      </c>
      <c r="D2004" t="s">
        <v>28332</v>
      </c>
      <c r="E2004" t="s">
        <v>23632</v>
      </c>
    </row>
    <row r="2005" spans="1:5" x14ac:dyDescent="0.25">
      <c r="A2005" s="131" t="s">
        <v>17576</v>
      </c>
      <c r="B2005" t="s">
        <v>25267</v>
      </c>
      <c r="C2005">
        <v>1</v>
      </c>
      <c r="D2005" t="s">
        <v>23629</v>
      </c>
      <c r="E2005" t="s">
        <v>23632</v>
      </c>
    </row>
    <row r="2006" spans="1:5" x14ac:dyDescent="0.25">
      <c r="A2006" s="130" t="s">
        <v>17576</v>
      </c>
      <c r="B2006" t="s">
        <v>25268</v>
      </c>
      <c r="C2006">
        <v>1</v>
      </c>
      <c r="D2006" t="s">
        <v>23629</v>
      </c>
      <c r="E2006" t="s">
        <v>23632</v>
      </c>
    </row>
    <row r="2007" spans="1:5" x14ac:dyDescent="0.25">
      <c r="A2007" s="131" t="s">
        <v>17576</v>
      </c>
      <c r="B2007" t="s">
        <v>25269</v>
      </c>
      <c r="C2007">
        <v>1</v>
      </c>
      <c r="D2007" t="s">
        <v>23629</v>
      </c>
      <c r="E2007" t="s">
        <v>23632</v>
      </c>
    </row>
    <row r="2008" spans="1:5" x14ac:dyDescent="0.25">
      <c r="A2008" s="131" t="s">
        <v>17576</v>
      </c>
      <c r="B2008" t="s">
        <v>25270</v>
      </c>
      <c r="C2008">
        <v>1</v>
      </c>
      <c r="D2008" t="s">
        <v>23629</v>
      </c>
      <c r="E2008" t="s">
        <v>23632</v>
      </c>
    </row>
    <row r="2009" spans="1:5" x14ac:dyDescent="0.25">
      <c r="A2009" s="131" t="s">
        <v>17576</v>
      </c>
      <c r="B2009" t="s">
        <v>25271</v>
      </c>
      <c r="C2009">
        <v>1</v>
      </c>
      <c r="D2009" t="s">
        <v>23629</v>
      </c>
      <c r="E2009" t="s">
        <v>23632</v>
      </c>
    </row>
    <row r="2010" spans="1:5" x14ac:dyDescent="0.25">
      <c r="A2010" s="130" t="str">
        <f>LEFT(B2010,1)</f>
        <v>F</v>
      </c>
      <c r="B2010" t="s">
        <v>25391</v>
      </c>
      <c r="C2010">
        <v>1</v>
      </c>
      <c r="D2010" t="s">
        <v>23629</v>
      </c>
      <c r="E2010" t="s">
        <v>23632</v>
      </c>
    </row>
    <row r="2011" spans="1:5" x14ac:dyDescent="0.25">
      <c r="A2011" s="131" t="s">
        <v>17576</v>
      </c>
      <c r="B2011" t="s">
        <v>25272</v>
      </c>
      <c r="C2011">
        <v>1</v>
      </c>
      <c r="D2011" t="s">
        <v>23629</v>
      </c>
      <c r="E2011" t="s">
        <v>23632</v>
      </c>
    </row>
    <row r="2012" spans="1:5" x14ac:dyDescent="0.25">
      <c r="A2012" s="131" t="s">
        <v>17576</v>
      </c>
      <c r="B2012" t="s">
        <v>25273</v>
      </c>
      <c r="C2012">
        <v>1</v>
      </c>
      <c r="D2012" t="s">
        <v>23629</v>
      </c>
      <c r="E2012" t="s">
        <v>23632</v>
      </c>
    </row>
    <row r="2013" spans="1:5" x14ac:dyDescent="0.25">
      <c r="A2013" s="131" t="s">
        <v>17576</v>
      </c>
      <c r="B2013" t="s">
        <v>25274</v>
      </c>
      <c r="C2013">
        <v>1</v>
      </c>
      <c r="D2013" t="s">
        <v>23629</v>
      </c>
      <c r="E2013" t="s">
        <v>23632</v>
      </c>
    </row>
    <row r="2014" spans="1:5" x14ac:dyDescent="0.25">
      <c r="A2014" s="131" t="s">
        <v>17576</v>
      </c>
      <c r="B2014" t="s">
        <v>25275</v>
      </c>
      <c r="C2014">
        <v>1</v>
      </c>
      <c r="D2014" t="s">
        <v>23629</v>
      </c>
      <c r="E2014" t="s">
        <v>23632</v>
      </c>
    </row>
    <row r="2015" spans="1:5" x14ac:dyDescent="0.25">
      <c r="A2015" s="130" t="str">
        <f>LEFT(B2015,1)</f>
        <v>F</v>
      </c>
      <c r="B2015" t="s">
        <v>28469</v>
      </c>
      <c r="C2015">
        <v>1</v>
      </c>
      <c r="D2015" t="s">
        <v>23629</v>
      </c>
      <c r="E2015" t="s">
        <v>23632</v>
      </c>
    </row>
    <row r="2016" spans="1:5" x14ac:dyDescent="0.25">
      <c r="A2016" s="130" t="s">
        <v>17576</v>
      </c>
      <c r="B2016" t="s">
        <v>25276</v>
      </c>
      <c r="C2016">
        <v>1</v>
      </c>
      <c r="D2016" t="s">
        <v>23629</v>
      </c>
      <c r="E2016" t="s">
        <v>23632</v>
      </c>
    </row>
    <row r="2017" spans="1:5" x14ac:dyDescent="0.25">
      <c r="A2017" s="130" t="s">
        <v>17576</v>
      </c>
      <c r="B2017" t="s">
        <v>25277</v>
      </c>
      <c r="C2017">
        <v>1</v>
      </c>
      <c r="D2017" t="s">
        <v>23629</v>
      </c>
      <c r="E2017" t="s">
        <v>23632</v>
      </c>
    </row>
    <row r="2018" spans="1:5" x14ac:dyDescent="0.25">
      <c r="A2018" s="131" t="str">
        <f>LEFT((B2018),1)</f>
        <v>F</v>
      </c>
      <c r="B2018" t="s">
        <v>25278</v>
      </c>
      <c r="C2018">
        <v>1</v>
      </c>
      <c r="D2018" t="s">
        <v>23629</v>
      </c>
      <c r="E2018" t="s">
        <v>23632</v>
      </c>
    </row>
    <row r="2019" spans="1:5" x14ac:dyDescent="0.25">
      <c r="A2019" s="130" t="str">
        <f>LEFT(B2019,1)</f>
        <v>F</v>
      </c>
      <c r="B2019" t="s">
        <v>25379</v>
      </c>
      <c r="C2019">
        <v>1</v>
      </c>
      <c r="D2019" t="s">
        <v>23629</v>
      </c>
      <c r="E2019" t="s">
        <v>23632</v>
      </c>
    </row>
    <row r="2020" spans="1:5" x14ac:dyDescent="0.25">
      <c r="A2020" s="130" t="str">
        <f>LEFT(B2020,1)</f>
        <v>F</v>
      </c>
      <c r="B2020" t="s">
        <v>28768</v>
      </c>
      <c r="C2020">
        <v>1</v>
      </c>
      <c r="D2020" t="s">
        <v>23629</v>
      </c>
      <c r="E2020" t="s">
        <v>23632</v>
      </c>
    </row>
    <row r="2021" spans="1:5" x14ac:dyDescent="0.25">
      <c r="A2021" s="130" t="str">
        <f>LEFT(B2021,1)</f>
        <v>F</v>
      </c>
      <c r="B2021" t="s">
        <v>28769</v>
      </c>
      <c r="C2021">
        <v>1</v>
      </c>
      <c r="D2021" t="s">
        <v>23629</v>
      </c>
      <c r="E2021" t="s">
        <v>23632</v>
      </c>
    </row>
    <row r="2022" spans="1:5" x14ac:dyDescent="0.25">
      <c r="A2022" s="130" t="s">
        <v>17576</v>
      </c>
      <c r="B2022" t="s">
        <v>25279</v>
      </c>
      <c r="C2022">
        <v>1</v>
      </c>
      <c r="D2022" t="s">
        <v>23629</v>
      </c>
      <c r="E2022" t="s">
        <v>23632</v>
      </c>
    </row>
    <row r="2023" spans="1:5" x14ac:dyDescent="0.25">
      <c r="A2023" s="131" t="s">
        <v>17576</v>
      </c>
      <c r="B2023" t="s">
        <v>25280</v>
      </c>
      <c r="C2023">
        <v>1</v>
      </c>
      <c r="D2023" t="s">
        <v>23629</v>
      </c>
      <c r="E2023" t="s">
        <v>23632</v>
      </c>
    </row>
    <row r="2024" spans="1:5" x14ac:dyDescent="0.25">
      <c r="A2024" s="130" t="s">
        <v>17576</v>
      </c>
      <c r="B2024" t="s">
        <v>25281</v>
      </c>
      <c r="C2024">
        <v>1</v>
      </c>
      <c r="D2024" t="s">
        <v>23629</v>
      </c>
      <c r="E2024" t="s">
        <v>23632</v>
      </c>
    </row>
    <row r="2025" spans="1:5" x14ac:dyDescent="0.25">
      <c r="A2025" s="130" t="str">
        <f>LEFT((B2025),1)</f>
        <v>F</v>
      </c>
      <c r="B2025" t="s">
        <v>25282</v>
      </c>
      <c r="C2025">
        <v>1</v>
      </c>
      <c r="D2025" t="s">
        <v>23629</v>
      </c>
      <c r="E2025" t="s">
        <v>23632</v>
      </c>
    </row>
    <row r="2026" spans="1:5" x14ac:dyDescent="0.25">
      <c r="A2026" s="130" t="s">
        <v>17576</v>
      </c>
      <c r="B2026" t="s">
        <v>25283</v>
      </c>
      <c r="C2026">
        <v>1</v>
      </c>
      <c r="D2026" t="s">
        <v>23629</v>
      </c>
      <c r="E2026" t="s">
        <v>23632</v>
      </c>
    </row>
    <row r="2027" spans="1:5" x14ac:dyDescent="0.25">
      <c r="A2027" s="130" t="str">
        <f>LEFT(B2027,1)</f>
        <v>F</v>
      </c>
      <c r="B2027" t="s">
        <v>28470</v>
      </c>
      <c r="C2027">
        <v>1</v>
      </c>
      <c r="D2027" t="s">
        <v>23629</v>
      </c>
      <c r="E2027" t="s">
        <v>23632</v>
      </c>
    </row>
    <row r="2028" spans="1:5" x14ac:dyDescent="0.25">
      <c r="A2028" s="131" t="str">
        <f>LEFT(B2028,1)</f>
        <v>F</v>
      </c>
      <c r="B2028" t="s">
        <v>25380</v>
      </c>
      <c r="C2028">
        <v>1</v>
      </c>
      <c r="D2028" t="s">
        <v>23629</v>
      </c>
      <c r="E2028" t="s">
        <v>23632</v>
      </c>
    </row>
    <row r="2029" spans="1:5" x14ac:dyDescent="0.25">
      <c r="A2029" s="130" t="s">
        <v>17576</v>
      </c>
      <c r="B2029" t="s">
        <v>25284</v>
      </c>
      <c r="C2029">
        <v>1</v>
      </c>
      <c r="D2029" t="s">
        <v>23629</v>
      </c>
      <c r="E2029" t="s">
        <v>23632</v>
      </c>
    </row>
    <row r="2030" spans="1:5" x14ac:dyDescent="0.25">
      <c r="A2030" s="131" t="s">
        <v>17576</v>
      </c>
      <c r="B2030" t="s">
        <v>25285</v>
      </c>
      <c r="C2030">
        <v>1</v>
      </c>
      <c r="D2030" t="s">
        <v>23629</v>
      </c>
      <c r="E2030" t="s">
        <v>23632</v>
      </c>
    </row>
    <row r="2031" spans="1:5" x14ac:dyDescent="0.25">
      <c r="A2031" s="131" t="s">
        <v>17576</v>
      </c>
      <c r="B2031" t="s">
        <v>25286</v>
      </c>
      <c r="C2031">
        <v>1</v>
      </c>
      <c r="D2031" t="s">
        <v>23629</v>
      </c>
      <c r="E2031" t="s">
        <v>23632</v>
      </c>
    </row>
    <row r="2032" spans="1:5" x14ac:dyDescent="0.25">
      <c r="A2032" s="130" t="str">
        <f>LEFT(B2032,1)</f>
        <v>F</v>
      </c>
      <c r="B2032" t="s">
        <v>28770</v>
      </c>
      <c r="C2032">
        <v>1</v>
      </c>
      <c r="D2032" t="s">
        <v>23629</v>
      </c>
      <c r="E2032" t="s">
        <v>23632</v>
      </c>
    </row>
    <row r="2033" spans="1:5" x14ac:dyDescent="0.25">
      <c r="A2033" s="130" t="s">
        <v>17576</v>
      </c>
      <c r="B2033" t="s">
        <v>25287</v>
      </c>
      <c r="C2033">
        <v>1</v>
      </c>
      <c r="D2033" t="s">
        <v>23629</v>
      </c>
      <c r="E2033" t="s">
        <v>23632</v>
      </c>
    </row>
    <row r="2034" spans="1:5" x14ac:dyDescent="0.25">
      <c r="A2034" s="131" t="s">
        <v>17576</v>
      </c>
      <c r="B2034" t="s">
        <v>25288</v>
      </c>
      <c r="C2034">
        <v>1</v>
      </c>
      <c r="D2034" t="s">
        <v>23629</v>
      </c>
      <c r="E2034" t="s">
        <v>23632</v>
      </c>
    </row>
    <row r="2035" spans="1:5" x14ac:dyDescent="0.25">
      <c r="A2035" s="130" t="s">
        <v>17576</v>
      </c>
      <c r="B2035" t="s">
        <v>25289</v>
      </c>
      <c r="C2035">
        <v>1</v>
      </c>
      <c r="D2035" t="s">
        <v>23629</v>
      </c>
      <c r="E2035" t="s">
        <v>23632</v>
      </c>
    </row>
    <row r="2036" spans="1:5" x14ac:dyDescent="0.25">
      <c r="A2036" s="130" t="str">
        <f>LEFT(B2036,1)</f>
        <v>F</v>
      </c>
      <c r="B2036" t="s">
        <v>28771</v>
      </c>
      <c r="C2036">
        <v>1</v>
      </c>
      <c r="D2036" t="s">
        <v>23629</v>
      </c>
      <c r="E2036" t="s">
        <v>23632</v>
      </c>
    </row>
    <row r="2037" spans="1:5" x14ac:dyDescent="0.25">
      <c r="A2037" s="131" t="s">
        <v>17576</v>
      </c>
      <c r="B2037" t="s">
        <v>25290</v>
      </c>
      <c r="C2037">
        <v>1</v>
      </c>
      <c r="D2037" t="s">
        <v>23629</v>
      </c>
      <c r="E2037" t="s">
        <v>23632</v>
      </c>
    </row>
    <row r="2038" spans="1:5" x14ac:dyDescent="0.25">
      <c r="A2038" s="130" t="s">
        <v>17576</v>
      </c>
      <c r="B2038" t="s">
        <v>25291</v>
      </c>
      <c r="C2038">
        <v>1</v>
      </c>
      <c r="D2038" t="s">
        <v>23629</v>
      </c>
      <c r="E2038" t="s">
        <v>23632</v>
      </c>
    </row>
    <row r="2039" spans="1:5" x14ac:dyDescent="0.25">
      <c r="A2039" s="131" t="str">
        <f>LEFT((B2039),1)</f>
        <v>F</v>
      </c>
      <c r="B2039" t="s">
        <v>25292</v>
      </c>
      <c r="C2039">
        <v>1</v>
      </c>
      <c r="D2039" t="s">
        <v>23629</v>
      </c>
      <c r="E2039" t="s">
        <v>23632</v>
      </c>
    </row>
    <row r="2040" spans="1:5" x14ac:dyDescent="0.25">
      <c r="A2040" s="130" t="str">
        <f>LEFT((B2040),1)</f>
        <v>F</v>
      </c>
      <c r="B2040" t="s">
        <v>25293</v>
      </c>
      <c r="C2040">
        <v>1</v>
      </c>
      <c r="D2040" t="s">
        <v>23629</v>
      </c>
      <c r="E2040" t="s">
        <v>23632</v>
      </c>
    </row>
    <row r="2041" spans="1:5" x14ac:dyDescent="0.25">
      <c r="A2041" s="130" t="str">
        <f>LEFT(B2041,1)</f>
        <v>F</v>
      </c>
      <c r="B2041" t="s">
        <v>25392</v>
      </c>
      <c r="C2041">
        <v>1</v>
      </c>
      <c r="D2041" t="s">
        <v>23629</v>
      </c>
      <c r="E2041" t="s">
        <v>23632</v>
      </c>
    </row>
    <row r="2042" spans="1:5" x14ac:dyDescent="0.25">
      <c r="A2042" s="131" t="s">
        <v>17576</v>
      </c>
      <c r="B2042" t="s">
        <v>25294</v>
      </c>
      <c r="C2042">
        <v>1</v>
      </c>
      <c r="D2042" t="s">
        <v>23629</v>
      </c>
      <c r="E2042" t="s">
        <v>23632</v>
      </c>
    </row>
    <row r="2043" spans="1:5" x14ac:dyDescent="0.25">
      <c r="A2043" s="130" t="s">
        <v>17576</v>
      </c>
      <c r="B2043" t="s">
        <v>25295</v>
      </c>
      <c r="C2043">
        <v>1</v>
      </c>
      <c r="D2043" t="s">
        <v>23629</v>
      </c>
      <c r="E2043" t="s">
        <v>23632</v>
      </c>
    </row>
    <row r="2044" spans="1:5" x14ac:dyDescent="0.25">
      <c r="A2044" s="130" t="s">
        <v>17576</v>
      </c>
      <c r="B2044" t="s">
        <v>25296</v>
      </c>
      <c r="C2044">
        <v>1</v>
      </c>
      <c r="D2044" t="s">
        <v>23629</v>
      </c>
      <c r="E2044" t="s">
        <v>23632</v>
      </c>
    </row>
    <row r="2045" spans="1:5" x14ac:dyDescent="0.25">
      <c r="A2045" s="131" t="s">
        <v>17576</v>
      </c>
      <c r="B2045" t="s">
        <v>25297</v>
      </c>
      <c r="C2045">
        <v>1</v>
      </c>
      <c r="D2045" t="s">
        <v>23629</v>
      </c>
      <c r="E2045" t="s">
        <v>23632</v>
      </c>
    </row>
    <row r="2046" spans="1:5" x14ac:dyDescent="0.25">
      <c r="A2046" s="131" t="s">
        <v>17576</v>
      </c>
      <c r="B2046" t="s">
        <v>25298</v>
      </c>
      <c r="C2046">
        <v>1</v>
      </c>
      <c r="D2046" t="s">
        <v>23629</v>
      </c>
      <c r="E2046" t="s">
        <v>23632</v>
      </c>
    </row>
    <row r="2047" spans="1:5" x14ac:dyDescent="0.25">
      <c r="A2047" s="131" t="s">
        <v>17576</v>
      </c>
      <c r="B2047" t="s">
        <v>25299</v>
      </c>
      <c r="C2047">
        <v>1</v>
      </c>
      <c r="D2047" t="s">
        <v>23629</v>
      </c>
      <c r="E2047" t="s">
        <v>23632</v>
      </c>
    </row>
    <row r="2048" spans="1:5" x14ac:dyDescent="0.25">
      <c r="A2048" s="130" t="s">
        <v>17576</v>
      </c>
      <c r="B2048" t="s">
        <v>25300</v>
      </c>
      <c r="C2048">
        <v>1</v>
      </c>
      <c r="D2048" t="s">
        <v>23629</v>
      </c>
      <c r="E2048" t="s">
        <v>23632</v>
      </c>
    </row>
    <row r="2049" spans="1:5" x14ac:dyDescent="0.25">
      <c r="A2049" s="131" t="s">
        <v>17576</v>
      </c>
      <c r="B2049" t="s">
        <v>25301</v>
      </c>
      <c r="C2049">
        <v>1</v>
      </c>
      <c r="D2049" t="s">
        <v>23629</v>
      </c>
      <c r="E2049" t="s">
        <v>23632</v>
      </c>
    </row>
    <row r="2050" spans="1:5" x14ac:dyDescent="0.25">
      <c r="A2050" s="130" t="s">
        <v>17576</v>
      </c>
      <c r="B2050" t="s">
        <v>25302</v>
      </c>
      <c r="C2050">
        <v>1</v>
      </c>
      <c r="D2050" t="s">
        <v>23629</v>
      </c>
      <c r="E2050" t="s">
        <v>23632</v>
      </c>
    </row>
    <row r="2051" spans="1:5" x14ac:dyDescent="0.25">
      <c r="A2051" s="130" t="str">
        <f>LEFT(B2051,1)</f>
        <v>F</v>
      </c>
      <c r="B2051" t="s">
        <v>25393</v>
      </c>
      <c r="C2051">
        <v>1</v>
      </c>
      <c r="D2051" t="s">
        <v>23629</v>
      </c>
      <c r="E2051" t="s">
        <v>23632</v>
      </c>
    </row>
    <row r="2052" spans="1:5" x14ac:dyDescent="0.25">
      <c r="A2052" s="131" t="s">
        <v>17576</v>
      </c>
      <c r="B2052" t="s">
        <v>25303</v>
      </c>
      <c r="C2052">
        <v>1</v>
      </c>
      <c r="D2052" t="s">
        <v>23629</v>
      </c>
      <c r="E2052" t="s">
        <v>23632</v>
      </c>
    </row>
    <row r="2053" spans="1:5" x14ac:dyDescent="0.25">
      <c r="A2053" s="130" t="s">
        <v>17576</v>
      </c>
      <c r="B2053" t="s">
        <v>25304</v>
      </c>
      <c r="C2053">
        <v>1</v>
      </c>
      <c r="D2053" t="s">
        <v>23629</v>
      </c>
      <c r="E2053" t="s">
        <v>23632</v>
      </c>
    </row>
    <row r="2054" spans="1:5" x14ac:dyDescent="0.25">
      <c r="A2054" s="130" t="s">
        <v>17576</v>
      </c>
      <c r="B2054" t="s">
        <v>25305</v>
      </c>
      <c r="C2054">
        <v>1</v>
      </c>
      <c r="D2054" t="s">
        <v>23629</v>
      </c>
      <c r="E2054" t="s">
        <v>23632</v>
      </c>
    </row>
    <row r="2055" spans="1:5" x14ac:dyDescent="0.25">
      <c r="A2055" s="131" t="s">
        <v>17576</v>
      </c>
      <c r="B2055" t="s">
        <v>25306</v>
      </c>
      <c r="C2055">
        <v>1</v>
      </c>
      <c r="D2055" t="s">
        <v>23629</v>
      </c>
      <c r="E2055" t="s">
        <v>23632</v>
      </c>
    </row>
    <row r="2056" spans="1:5" x14ac:dyDescent="0.25">
      <c r="A2056" s="131" t="s">
        <v>17576</v>
      </c>
      <c r="B2056" t="s">
        <v>25307</v>
      </c>
      <c r="C2056">
        <v>1</v>
      </c>
      <c r="D2056" t="s">
        <v>23629</v>
      </c>
      <c r="E2056" t="s">
        <v>23632</v>
      </c>
    </row>
    <row r="2057" spans="1:5" x14ac:dyDescent="0.25">
      <c r="A2057" s="130" t="str">
        <f>LEFT(B2057,1)</f>
        <v>F</v>
      </c>
      <c r="B2057" t="s">
        <v>28471</v>
      </c>
      <c r="C2057">
        <v>1</v>
      </c>
      <c r="D2057" t="s">
        <v>23629</v>
      </c>
      <c r="E2057" t="s">
        <v>23632</v>
      </c>
    </row>
    <row r="2058" spans="1:5" x14ac:dyDescent="0.25">
      <c r="A2058" s="130" t="str">
        <f>LEFT(B2058,1)</f>
        <v>F</v>
      </c>
      <c r="B2058" t="s">
        <v>25401</v>
      </c>
      <c r="C2058">
        <v>1</v>
      </c>
      <c r="D2058" t="s">
        <v>23629</v>
      </c>
      <c r="E2058" t="s">
        <v>23632</v>
      </c>
    </row>
    <row r="2059" spans="1:5" x14ac:dyDescent="0.25">
      <c r="A2059" s="130" t="s">
        <v>17576</v>
      </c>
      <c r="B2059" t="s">
        <v>25308</v>
      </c>
      <c r="C2059">
        <v>1</v>
      </c>
      <c r="D2059" t="s">
        <v>23629</v>
      </c>
      <c r="E2059" t="s">
        <v>23632</v>
      </c>
    </row>
    <row r="2060" spans="1:5" x14ac:dyDescent="0.25">
      <c r="A2060" s="130" t="str">
        <f>LEFT(B2060,1)</f>
        <v>F</v>
      </c>
      <c r="B2060" t="s">
        <v>28772</v>
      </c>
      <c r="C2060">
        <v>1</v>
      </c>
      <c r="D2060" t="s">
        <v>23629</v>
      </c>
      <c r="E2060" t="s">
        <v>23632</v>
      </c>
    </row>
    <row r="2061" spans="1:5" x14ac:dyDescent="0.25">
      <c r="A2061" s="130" t="s">
        <v>17576</v>
      </c>
      <c r="B2061" t="s">
        <v>25309</v>
      </c>
      <c r="C2061">
        <v>1</v>
      </c>
      <c r="D2061" t="s">
        <v>23629</v>
      </c>
      <c r="E2061" t="s">
        <v>23632</v>
      </c>
    </row>
    <row r="2062" spans="1:5" x14ac:dyDescent="0.25">
      <c r="A2062" s="131" t="str">
        <f>LEFT(B2062,1)</f>
        <v>F</v>
      </c>
      <c r="B2062" t="s">
        <v>25402</v>
      </c>
      <c r="C2062">
        <v>1</v>
      </c>
      <c r="D2062" t="s">
        <v>23629</v>
      </c>
      <c r="E2062" t="s">
        <v>23632</v>
      </c>
    </row>
    <row r="2063" spans="1:5" x14ac:dyDescent="0.25">
      <c r="A2063" s="131" t="s">
        <v>17576</v>
      </c>
      <c r="B2063" t="s">
        <v>25310</v>
      </c>
      <c r="C2063">
        <v>1</v>
      </c>
      <c r="D2063" t="s">
        <v>23629</v>
      </c>
      <c r="E2063" t="s">
        <v>23632</v>
      </c>
    </row>
    <row r="2064" spans="1:5" x14ac:dyDescent="0.25">
      <c r="A2064" s="130" t="str">
        <f>LEFT(B2064,1)</f>
        <v>F</v>
      </c>
      <c r="B2064" t="s">
        <v>25403</v>
      </c>
      <c r="C2064">
        <v>1</v>
      </c>
      <c r="D2064" t="s">
        <v>23629</v>
      </c>
      <c r="E2064" t="s">
        <v>23632</v>
      </c>
    </row>
    <row r="2065" spans="1:5" x14ac:dyDescent="0.25">
      <c r="A2065" s="130" t="str">
        <f>LEFT(B2065,1)</f>
        <v>F</v>
      </c>
      <c r="B2065" t="s">
        <v>28773</v>
      </c>
      <c r="C2065">
        <v>1</v>
      </c>
      <c r="D2065" t="s">
        <v>23629</v>
      </c>
      <c r="E2065" t="s">
        <v>23632</v>
      </c>
    </row>
    <row r="2066" spans="1:5" x14ac:dyDescent="0.25">
      <c r="A2066" s="130" t="str">
        <f>LEFT(B2066,1)</f>
        <v>F</v>
      </c>
      <c r="B2066" t="s">
        <v>25381</v>
      </c>
      <c r="C2066">
        <v>1</v>
      </c>
      <c r="D2066" t="s">
        <v>23629</v>
      </c>
      <c r="E2066" t="s">
        <v>23632</v>
      </c>
    </row>
    <row r="2067" spans="1:5" x14ac:dyDescent="0.25">
      <c r="A2067" s="131" t="s">
        <v>17576</v>
      </c>
      <c r="B2067" t="s">
        <v>25311</v>
      </c>
      <c r="C2067">
        <v>1</v>
      </c>
      <c r="D2067" t="s">
        <v>23629</v>
      </c>
      <c r="E2067" t="s">
        <v>23881</v>
      </c>
    </row>
    <row r="2068" spans="1:5" x14ac:dyDescent="0.25">
      <c r="A2068" s="130" t="s">
        <v>17576</v>
      </c>
      <c r="B2068" t="s">
        <v>25312</v>
      </c>
      <c r="C2068">
        <v>1</v>
      </c>
      <c r="D2068" t="s">
        <v>23629</v>
      </c>
      <c r="E2068" t="s">
        <v>23632</v>
      </c>
    </row>
    <row r="2069" spans="1:5" x14ac:dyDescent="0.25">
      <c r="A2069" s="131" t="str">
        <f>LEFT((B2069),1)</f>
        <v>F</v>
      </c>
      <c r="B2069" t="s">
        <v>25313</v>
      </c>
      <c r="C2069">
        <v>1</v>
      </c>
      <c r="D2069" t="s">
        <v>23629</v>
      </c>
      <c r="E2069" t="s">
        <v>23632</v>
      </c>
    </row>
    <row r="2070" spans="1:5" x14ac:dyDescent="0.25">
      <c r="A2070" s="130" t="str">
        <f>LEFT((B2070),1)</f>
        <v>F</v>
      </c>
      <c r="B2070" t="s">
        <v>25314</v>
      </c>
      <c r="C2070">
        <v>1</v>
      </c>
      <c r="D2070" t="s">
        <v>23629</v>
      </c>
      <c r="E2070" t="s">
        <v>23632</v>
      </c>
    </row>
    <row r="2071" spans="1:5" x14ac:dyDescent="0.25">
      <c r="A2071" s="131" t="s">
        <v>17576</v>
      </c>
      <c r="B2071" t="s">
        <v>25315</v>
      </c>
      <c r="C2071">
        <v>1</v>
      </c>
      <c r="D2071" t="s">
        <v>23629</v>
      </c>
      <c r="E2071" t="s">
        <v>23881</v>
      </c>
    </row>
    <row r="2072" spans="1:5" x14ac:dyDescent="0.25">
      <c r="A2072" s="131" t="str">
        <f>LEFT(B2072,1)</f>
        <v>F</v>
      </c>
      <c r="B2072" t="s">
        <v>25404</v>
      </c>
      <c r="C2072">
        <v>1</v>
      </c>
      <c r="D2072" t="s">
        <v>23629</v>
      </c>
      <c r="E2072" t="s">
        <v>23632</v>
      </c>
    </row>
    <row r="2073" spans="1:5" x14ac:dyDescent="0.25">
      <c r="A2073" s="130" t="str">
        <f>LEFT(B2073,1)</f>
        <v>F</v>
      </c>
      <c r="B2073" t="s">
        <v>28472</v>
      </c>
      <c r="C2073">
        <v>1</v>
      </c>
      <c r="D2073" t="s">
        <v>23629</v>
      </c>
      <c r="E2073" t="s">
        <v>23632</v>
      </c>
    </row>
    <row r="2074" spans="1:5" x14ac:dyDescent="0.25">
      <c r="A2074" s="131" t="s">
        <v>17576</v>
      </c>
      <c r="B2074" t="s">
        <v>25316</v>
      </c>
      <c r="C2074">
        <v>1</v>
      </c>
      <c r="D2074" t="s">
        <v>23629</v>
      </c>
      <c r="E2074" t="s">
        <v>23632</v>
      </c>
    </row>
    <row r="2075" spans="1:5" x14ac:dyDescent="0.25">
      <c r="A2075" s="130" t="s">
        <v>17576</v>
      </c>
      <c r="B2075" t="s">
        <v>25317</v>
      </c>
      <c r="C2075">
        <v>1</v>
      </c>
      <c r="D2075" t="s">
        <v>23629</v>
      </c>
      <c r="E2075" t="s">
        <v>23632</v>
      </c>
    </row>
    <row r="2076" spans="1:5" x14ac:dyDescent="0.25">
      <c r="A2076" s="131" t="s">
        <v>17576</v>
      </c>
      <c r="B2076" t="s">
        <v>25318</v>
      </c>
      <c r="C2076">
        <v>1</v>
      </c>
      <c r="D2076" t="s">
        <v>23629</v>
      </c>
      <c r="E2076" t="s">
        <v>23632</v>
      </c>
    </row>
    <row r="2077" spans="1:5" x14ac:dyDescent="0.25">
      <c r="A2077" s="130" t="s">
        <v>17576</v>
      </c>
      <c r="B2077" t="s">
        <v>25319</v>
      </c>
      <c r="C2077">
        <v>1</v>
      </c>
      <c r="D2077" t="s">
        <v>23629</v>
      </c>
      <c r="E2077" t="s">
        <v>23632</v>
      </c>
    </row>
    <row r="2078" spans="1:5" x14ac:dyDescent="0.25">
      <c r="A2078" s="131" t="s">
        <v>17576</v>
      </c>
      <c r="B2078" t="s">
        <v>25320</v>
      </c>
      <c r="C2078">
        <v>1</v>
      </c>
      <c r="D2078" t="s">
        <v>23629</v>
      </c>
      <c r="E2078" t="s">
        <v>23632</v>
      </c>
    </row>
    <row r="2079" spans="1:5" x14ac:dyDescent="0.25">
      <c r="A2079" s="131" t="s">
        <v>17576</v>
      </c>
      <c r="B2079" t="s">
        <v>25321</v>
      </c>
      <c r="C2079">
        <v>1</v>
      </c>
      <c r="D2079" t="s">
        <v>23629</v>
      </c>
      <c r="E2079" t="s">
        <v>23632</v>
      </c>
    </row>
    <row r="2080" spans="1:5" x14ac:dyDescent="0.25">
      <c r="A2080" s="130" t="s">
        <v>17576</v>
      </c>
      <c r="B2080" t="s">
        <v>25322</v>
      </c>
      <c r="C2080">
        <v>1</v>
      </c>
      <c r="D2080" t="s">
        <v>23629</v>
      </c>
      <c r="E2080" t="s">
        <v>23632</v>
      </c>
    </row>
    <row r="2081" spans="1:5" x14ac:dyDescent="0.25">
      <c r="A2081" s="131" t="s">
        <v>17576</v>
      </c>
      <c r="B2081" t="s">
        <v>25323</v>
      </c>
      <c r="C2081">
        <v>1</v>
      </c>
      <c r="D2081" t="s">
        <v>23629</v>
      </c>
      <c r="E2081" t="s">
        <v>23632</v>
      </c>
    </row>
    <row r="2082" spans="1:5" x14ac:dyDescent="0.25">
      <c r="A2082" s="130" t="str">
        <f>LEFT(B2082,1)</f>
        <v>F</v>
      </c>
      <c r="B2082" t="s">
        <v>29229</v>
      </c>
      <c r="C2082">
        <v>1.1100000000000001</v>
      </c>
      <c r="D2082" t="s">
        <v>29285</v>
      </c>
      <c r="E2082" t="s">
        <v>23632</v>
      </c>
    </row>
    <row r="2083" spans="1:5" x14ac:dyDescent="0.25">
      <c r="A2083" s="130" t="s">
        <v>17576</v>
      </c>
      <c r="B2083" t="s">
        <v>25324</v>
      </c>
      <c r="C2083">
        <v>1.1100000000000001</v>
      </c>
      <c r="D2083" t="s">
        <v>23629</v>
      </c>
      <c r="E2083" t="s">
        <v>23632</v>
      </c>
    </row>
    <row r="2084" spans="1:5" x14ac:dyDescent="0.25">
      <c r="A2084" s="130" t="s">
        <v>17576</v>
      </c>
      <c r="B2084" t="s">
        <v>25325</v>
      </c>
      <c r="C2084">
        <v>1.1100000000000001</v>
      </c>
      <c r="D2084" t="s">
        <v>23629</v>
      </c>
      <c r="E2084" t="s">
        <v>23632</v>
      </c>
    </row>
    <row r="2085" spans="1:5" x14ac:dyDescent="0.25">
      <c r="A2085" s="130" t="str">
        <f>LEFT(B2085,1)</f>
        <v>F</v>
      </c>
      <c r="B2085" t="s">
        <v>28774</v>
      </c>
      <c r="C2085">
        <v>1</v>
      </c>
      <c r="D2085" t="s">
        <v>23629</v>
      </c>
      <c r="E2085" t="s">
        <v>23632</v>
      </c>
    </row>
    <row r="2086" spans="1:5" x14ac:dyDescent="0.25">
      <c r="A2086" s="131" t="s">
        <v>17576</v>
      </c>
      <c r="B2086" t="s">
        <v>25326</v>
      </c>
      <c r="C2086">
        <v>1.1100000000000001</v>
      </c>
      <c r="D2086" t="s">
        <v>23629</v>
      </c>
      <c r="E2086" t="s">
        <v>23632</v>
      </c>
    </row>
    <row r="2087" spans="1:5" x14ac:dyDescent="0.25">
      <c r="A2087" s="130" t="s">
        <v>17576</v>
      </c>
      <c r="B2087" t="s">
        <v>25327</v>
      </c>
      <c r="C2087">
        <v>1.1100000000000001</v>
      </c>
      <c r="D2087" t="s">
        <v>23629</v>
      </c>
      <c r="E2087" t="s">
        <v>23632</v>
      </c>
    </row>
    <row r="2088" spans="1:5" x14ac:dyDescent="0.25">
      <c r="A2088" s="131" t="s">
        <v>17576</v>
      </c>
      <c r="B2088" t="s">
        <v>25328</v>
      </c>
      <c r="C2088">
        <v>1.1100000000000001</v>
      </c>
      <c r="D2088" t="s">
        <v>23629</v>
      </c>
      <c r="E2088" t="s">
        <v>23632</v>
      </c>
    </row>
    <row r="2089" spans="1:5" x14ac:dyDescent="0.25">
      <c r="A2089" s="131" t="s">
        <v>17576</v>
      </c>
      <c r="B2089" t="s">
        <v>25329</v>
      </c>
      <c r="C2089">
        <v>1.1499999999999999</v>
      </c>
      <c r="D2089" t="s">
        <v>23629</v>
      </c>
      <c r="E2089" t="s">
        <v>23632</v>
      </c>
    </row>
    <row r="2090" spans="1:5" x14ac:dyDescent="0.25">
      <c r="A2090" s="131" t="str">
        <f>LEFT(B2090,1)</f>
        <v>F</v>
      </c>
      <c r="B2090" t="s">
        <v>25382</v>
      </c>
      <c r="C2090">
        <v>1.1100000000000001</v>
      </c>
      <c r="D2090" t="s">
        <v>23629</v>
      </c>
      <c r="E2090" t="s">
        <v>23632</v>
      </c>
    </row>
    <row r="2091" spans="1:5" x14ac:dyDescent="0.25">
      <c r="A2091" s="130" t="s">
        <v>17576</v>
      </c>
      <c r="B2091" t="s">
        <v>25330</v>
      </c>
      <c r="C2091">
        <v>1.1100000000000001</v>
      </c>
      <c r="D2091" t="s">
        <v>23629</v>
      </c>
      <c r="E2091" t="s">
        <v>23632</v>
      </c>
    </row>
    <row r="2092" spans="1:5" x14ac:dyDescent="0.25">
      <c r="A2092" s="130" t="str">
        <f>LEFT(B2092,1)</f>
        <v>F</v>
      </c>
      <c r="B2092" t="s">
        <v>25394</v>
      </c>
      <c r="C2092">
        <v>1.1100000000000001</v>
      </c>
      <c r="D2092" t="s">
        <v>23629</v>
      </c>
      <c r="E2092" t="s">
        <v>23632</v>
      </c>
    </row>
    <row r="2093" spans="1:5" x14ac:dyDescent="0.25">
      <c r="A2093" s="130" t="s">
        <v>17576</v>
      </c>
      <c r="B2093" t="s">
        <v>25331</v>
      </c>
      <c r="C2093">
        <v>1.1100000000000001</v>
      </c>
      <c r="D2093" t="s">
        <v>23629</v>
      </c>
      <c r="E2093" t="s">
        <v>23632</v>
      </c>
    </row>
    <row r="2094" spans="1:5" x14ac:dyDescent="0.25">
      <c r="A2094" s="130" t="str">
        <f>LEFT(B2094,1)</f>
        <v>F</v>
      </c>
      <c r="B2094" t="s">
        <v>28473</v>
      </c>
      <c r="C2094">
        <v>1.1100000000000001</v>
      </c>
      <c r="D2094" t="s">
        <v>23629</v>
      </c>
      <c r="E2094" t="s">
        <v>23632</v>
      </c>
    </row>
    <row r="2095" spans="1:5" x14ac:dyDescent="0.25">
      <c r="A2095" s="131" t="s">
        <v>17576</v>
      </c>
      <c r="B2095" t="s">
        <v>25332</v>
      </c>
      <c r="C2095">
        <v>1.1100000000000001</v>
      </c>
      <c r="D2095" t="s">
        <v>23629</v>
      </c>
      <c r="E2095" t="s">
        <v>23632</v>
      </c>
    </row>
    <row r="2096" spans="1:5" x14ac:dyDescent="0.25">
      <c r="A2096" s="131" t="s">
        <v>17576</v>
      </c>
      <c r="B2096" t="s">
        <v>25333</v>
      </c>
      <c r="C2096">
        <v>1</v>
      </c>
      <c r="D2096" t="s">
        <v>23629</v>
      </c>
      <c r="E2096" t="s">
        <v>23632</v>
      </c>
    </row>
    <row r="2097" spans="1:5" x14ac:dyDescent="0.25">
      <c r="A2097" s="131" t="s">
        <v>17576</v>
      </c>
      <c r="B2097" t="s">
        <v>25334</v>
      </c>
      <c r="C2097">
        <v>1</v>
      </c>
      <c r="D2097" t="s">
        <v>23629</v>
      </c>
      <c r="E2097" t="s">
        <v>23632</v>
      </c>
    </row>
    <row r="2098" spans="1:5" x14ac:dyDescent="0.25">
      <c r="A2098" s="131" t="s">
        <v>17576</v>
      </c>
      <c r="B2098" t="s">
        <v>25335</v>
      </c>
      <c r="C2098">
        <v>1</v>
      </c>
      <c r="D2098" t="s">
        <v>23629</v>
      </c>
      <c r="E2098" t="s">
        <v>23632</v>
      </c>
    </row>
    <row r="2099" spans="1:5" x14ac:dyDescent="0.25">
      <c r="A2099" s="130" t="s">
        <v>17576</v>
      </c>
      <c r="B2099" t="s">
        <v>25336</v>
      </c>
      <c r="C2099">
        <v>1</v>
      </c>
      <c r="D2099" t="s">
        <v>23629</v>
      </c>
      <c r="E2099" t="s">
        <v>23632</v>
      </c>
    </row>
    <row r="2100" spans="1:5" x14ac:dyDescent="0.25">
      <c r="A2100" s="131" t="s">
        <v>17576</v>
      </c>
      <c r="B2100" t="s">
        <v>25337</v>
      </c>
      <c r="C2100">
        <v>1</v>
      </c>
      <c r="D2100" t="s">
        <v>23629</v>
      </c>
      <c r="E2100" t="s">
        <v>23632</v>
      </c>
    </row>
    <row r="2101" spans="1:5" x14ac:dyDescent="0.25">
      <c r="A2101" s="130" t="s">
        <v>17576</v>
      </c>
      <c r="B2101" t="s">
        <v>25338</v>
      </c>
      <c r="C2101">
        <v>1</v>
      </c>
      <c r="D2101" t="s">
        <v>23629</v>
      </c>
      <c r="E2101" t="s">
        <v>23632</v>
      </c>
    </row>
    <row r="2102" spans="1:5" x14ac:dyDescent="0.25">
      <c r="A2102" s="131" t="s">
        <v>17576</v>
      </c>
      <c r="B2102" t="s">
        <v>25339</v>
      </c>
      <c r="C2102">
        <v>1</v>
      </c>
      <c r="D2102" t="s">
        <v>23629</v>
      </c>
      <c r="E2102" t="s">
        <v>23632</v>
      </c>
    </row>
    <row r="2103" spans="1:5" x14ac:dyDescent="0.25">
      <c r="A2103" s="130" t="str">
        <f>LEFT(B2103,1)</f>
        <v>F</v>
      </c>
      <c r="B2103" t="s">
        <v>28775</v>
      </c>
      <c r="C2103">
        <v>1</v>
      </c>
      <c r="D2103" t="s">
        <v>23629</v>
      </c>
      <c r="E2103" t="s">
        <v>23632</v>
      </c>
    </row>
    <row r="2104" spans="1:5" x14ac:dyDescent="0.25">
      <c r="A2104" s="131" t="s">
        <v>17576</v>
      </c>
      <c r="B2104" t="s">
        <v>25340</v>
      </c>
      <c r="C2104">
        <v>1</v>
      </c>
      <c r="D2104" t="s">
        <v>23629</v>
      </c>
      <c r="E2104" t="s">
        <v>23632</v>
      </c>
    </row>
    <row r="2105" spans="1:5" x14ac:dyDescent="0.25">
      <c r="A2105" s="131" t="s">
        <v>17576</v>
      </c>
      <c r="B2105" t="s">
        <v>25341</v>
      </c>
      <c r="C2105">
        <v>1</v>
      </c>
      <c r="D2105" t="s">
        <v>23629</v>
      </c>
      <c r="E2105" t="s">
        <v>23632</v>
      </c>
    </row>
    <row r="2106" spans="1:5" x14ac:dyDescent="0.25">
      <c r="A2106" s="131" t="s">
        <v>17576</v>
      </c>
      <c r="B2106" t="s">
        <v>25342</v>
      </c>
      <c r="C2106">
        <v>1</v>
      </c>
      <c r="D2106" t="s">
        <v>23629</v>
      </c>
      <c r="E2106" t="s">
        <v>23632</v>
      </c>
    </row>
    <row r="2107" spans="1:5" x14ac:dyDescent="0.25">
      <c r="A2107" s="130" t="s">
        <v>17576</v>
      </c>
      <c r="B2107" t="s">
        <v>25343</v>
      </c>
      <c r="C2107">
        <v>1</v>
      </c>
      <c r="D2107" t="s">
        <v>23629</v>
      </c>
      <c r="E2107" t="s">
        <v>23632</v>
      </c>
    </row>
    <row r="2108" spans="1:5" x14ac:dyDescent="0.25">
      <c r="A2108" s="130" t="s">
        <v>17576</v>
      </c>
      <c r="B2108" t="s">
        <v>25344</v>
      </c>
      <c r="C2108">
        <v>1</v>
      </c>
      <c r="D2108" t="s">
        <v>23629</v>
      </c>
      <c r="E2108" t="s">
        <v>23632</v>
      </c>
    </row>
    <row r="2109" spans="1:5" x14ac:dyDescent="0.25">
      <c r="A2109" s="131" t="s">
        <v>17576</v>
      </c>
      <c r="B2109" t="s">
        <v>25345</v>
      </c>
      <c r="C2109">
        <v>1</v>
      </c>
      <c r="D2109" t="s">
        <v>23629</v>
      </c>
      <c r="E2109" t="s">
        <v>23632</v>
      </c>
    </row>
    <row r="2110" spans="1:5" x14ac:dyDescent="0.25">
      <c r="A2110" s="131" t="str">
        <f>LEFT((B2110),1)</f>
        <v>F</v>
      </c>
      <c r="B2110" t="s">
        <v>25346</v>
      </c>
      <c r="C2110">
        <v>1.05</v>
      </c>
      <c r="D2110" t="s">
        <v>23629</v>
      </c>
      <c r="E2110" t="s">
        <v>23881</v>
      </c>
    </row>
    <row r="2111" spans="1:5" x14ac:dyDescent="0.25">
      <c r="A2111" s="130" t="s">
        <v>17576</v>
      </c>
      <c r="B2111" t="s">
        <v>25347</v>
      </c>
      <c r="C2111">
        <v>1</v>
      </c>
      <c r="D2111" t="s">
        <v>23629</v>
      </c>
      <c r="E2111" t="s">
        <v>23632</v>
      </c>
    </row>
    <row r="2112" spans="1:5" x14ac:dyDescent="0.25">
      <c r="A2112" s="131" t="s">
        <v>17576</v>
      </c>
      <c r="B2112" t="s">
        <v>25348</v>
      </c>
      <c r="C2112">
        <v>1</v>
      </c>
      <c r="D2112" t="s">
        <v>23629</v>
      </c>
      <c r="E2112" t="s">
        <v>23632</v>
      </c>
    </row>
    <row r="2113" spans="1:5" x14ac:dyDescent="0.25">
      <c r="A2113" s="130" t="str">
        <f>LEFT(B2113,1)</f>
        <v>F</v>
      </c>
      <c r="B2113" t="s">
        <v>25405</v>
      </c>
      <c r="C2113">
        <v>1</v>
      </c>
      <c r="D2113" t="s">
        <v>23629</v>
      </c>
      <c r="E2113" t="s">
        <v>23632</v>
      </c>
    </row>
    <row r="2114" spans="1:5" x14ac:dyDescent="0.25">
      <c r="A2114" s="131" t="str">
        <f>LEFT(B2114,1)</f>
        <v>F</v>
      </c>
      <c r="B2114" t="s">
        <v>25406</v>
      </c>
      <c r="C2114">
        <v>1</v>
      </c>
      <c r="D2114" t="s">
        <v>23629</v>
      </c>
      <c r="E2114" t="s">
        <v>23632</v>
      </c>
    </row>
    <row r="2115" spans="1:5" x14ac:dyDescent="0.25">
      <c r="A2115" s="130" t="str">
        <f>LEFT(B2115,1)</f>
        <v>F</v>
      </c>
      <c r="B2115" t="s">
        <v>28474</v>
      </c>
      <c r="C2115">
        <v>1</v>
      </c>
      <c r="D2115" t="s">
        <v>23629</v>
      </c>
      <c r="E2115" t="s">
        <v>23632</v>
      </c>
    </row>
    <row r="2116" spans="1:5" x14ac:dyDescent="0.25">
      <c r="A2116" s="130" t="s">
        <v>17576</v>
      </c>
      <c r="B2116" t="s">
        <v>25349</v>
      </c>
      <c r="C2116">
        <v>1</v>
      </c>
      <c r="D2116" t="s">
        <v>23629</v>
      </c>
      <c r="E2116" t="s">
        <v>23632</v>
      </c>
    </row>
    <row r="2117" spans="1:5" x14ac:dyDescent="0.25">
      <c r="A2117" s="130" t="s">
        <v>17576</v>
      </c>
      <c r="B2117" t="s">
        <v>25350</v>
      </c>
      <c r="C2117">
        <v>1</v>
      </c>
      <c r="D2117" t="s">
        <v>23629</v>
      </c>
      <c r="E2117" t="s">
        <v>23632</v>
      </c>
    </row>
    <row r="2118" spans="1:5" x14ac:dyDescent="0.25">
      <c r="A2118" s="130" t="str">
        <f>LEFT((B2118),1)</f>
        <v>F</v>
      </c>
      <c r="B2118" t="s">
        <v>25351</v>
      </c>
      <c r="C2118">
        <v>1</v>
      </c>
      <c r="D2118" t="s">
        <v>23629</v>
      </c>
      <c r="E2118" t="s">
        <v>23632</v>
      </c>
    </row>
    <row r="2119" spans="1:5" x14ac:dyDescent="0.25">
      <c r="A2119" s="131" t="s">
        <v>17576</v>
      </c>
      <c r="B2119" t="s">
        <v>25352</v>
      </c>
      <c r="C2119">
        <v>1</v>
      </c>
      <c r="D2119" t="s">
        <v>23629</v>
      </c>
      <c r="E2119" t="s">
        <v>23632</v>
      </c>
    </row>
    <row r="2120" spans="1:5" x14ac:dyDescent="0.25">
      <c r="A2120" s="130" t="str">
        <f>LEFT(B2120,1)</f>
        <v>F</v>
      </c>
      <c r="B2120" t="s">
        <v>29230</v>
      </c>
      <c r="C2120">
        <v>1</v>
      </c>
      <c r="D2120" t="s">
        <v>23629</v>
      </c>
      <c r="E2120" t="s">
        <v>23632</v>
      </c>
    </row>
    <row r="2121" spans="1:5" x14ac:dyDescent="0.25">
      <c r="A2121" s="130" t="s">
        <v>17576</v>
      </c>
      <c r="B2121" t="s">
        <v>25353</v>
      </c>
      <c r="C2121">
        <v>1</v>
      </c>
      <c r="D2121" t="s">
        <v>23629</v>
      </c>
      <c r="E2121" t="s">
        <v>23632</v>
      </c>
    </row>
    <row r="2122" spans="1:5" x14ac:dyDescent="0.25">
      <c r="A2122" s="131" t="s">
        <v>17576</v>
      </c>
      <c r="B2122" t="s">
        <v>25354</v>
      </c>
      <c r="C2122">
        <v>1</v>
      </c>
      <c r="D2122" t="s">
        <v>23629</v>
      </c>
      <c r="E2122" t="s">
        <v>23632</v>
      </c>
    </row>
    <row r="2123" spans="1:5" x14ac:dyDescent="0.25">
      <c r="A2123" s="131" t="s">
        <v>17576</v>
      </c>
      <c r="B2123" t="s">
        <v>25355</v>
      </c>
      <c r="C2123">
        <v>1</v>
      </c>
      <c r="D2123" t="s">
        <v>23629</v>
      </c>
      <c r="E2123" t="s">
        <v>23632</v>
      </c>
    </row>
    <row r="2124" spans="1:5" x14ac:dyDescent="0.25">
      <c r="A2124" s="130" t="str">
        <f>LEFT(B2124,1)</f>
        <v>F</v>
      </c>
      <c r="B2124" t="s">
        <v>25395</v>
      </c>
      <c r="C2124">
        <v>1</v>
      </c>
      <c r="D2124" t="s">
        <v>23629</v>
      </c>
      <c r="E2124" t="s">
        <v>23632</v>
      </c>
    </row>
    <row r="2125" spans="1:5" x14ac:dyDescent="0.25">
      <c r="A2125" s="130" t="s">
        <v>17576</v>
      </c>
      <c r="B2125" t="s">
        <v>25356</v>
      </c>
      <c r="C2125">
        <v>1</v>
      </c>
      <c r="D2125" t="s">
        <v>23629</v>
      </c>
      <c r="E2125" t="s">
        <v>23632</v>
      </c>
    </row>
    <row r="2126" spans="1:5" x14ac:dyDescent="0.25">
      <c r="A2126" s="131" t="s">
        <v>17576</v>
      </c>
      <c r="B2126" t="s">
        <v>25357</v>
      </c>
      <c r="C2126">
        <v>1</v>
      </c>
      <c r="D2126" t="s">
        <v>23629</v>
      </c>
      <c r="E2126" t="s">
        <v>23632</v>
      </c>
    </row>
    <row r="2127" spans="1:5" x14ac:dyDescent="0.25">
      <c r="A2127" s="130" t="s">
        <v>17576</v>
      </c>
      <c r="B2127" t="s">
        <v>25358</v>
      </c>
      <c r="C2127">
        <v>1</v>
      </c>
      <c r="D2127" t="s">
        <v>23629</v>
      </c>
      <c r="E2127" t="s">
        <v>23632</v>
      </c>
    </row>
    <row r="2128" spans="1:5" x14ac:dyDescent="0.25">
      <c r="A2128" s="130" t="str">
        <f>LEFT(B2128,1)</f>
        <v>F</v>
      </c>
      <c r="B2128" t="s">
        <v>25383</v>
      </c>
      <c r="C2128">
        <v>1</v>
      </c>
      <c r="D2128" t="s">
        <v>23629</v>
      </c>
      <c r="E2128" t="s">
        <v>23632</v>
      </c>
    </row>
    <row r="2129" spans="1:5" x14ac:dyDescent="0.25">
      <c r="A2129" s="130" t="s">
        <v>17576</v>
      </c>
      <c r="B2129" t="s">
        <v>25359</v>
      </c>
      <c r="C2129">
        <v>1</v>
      </c>
      <c r="D2129" t="s">
        <v>23629</v>
      </c>
      <c r="E2129" t="s">
        <v>23632</v>
      </c>
    </row>
    <row r="2130" spans="1:5" x14ac:dyDescent="0.25">
      <c r="A2130" s="131" t="s">
        <v>17576</v>
      </c>
      <c r="B2130" t="s">
        <v>25360</v>
      </c>
      <c r="C2130">
        <v>1</v>
      </c>
      <c r="D2130" t="s">
        <v>23629</v>
      </c>
      <c r="E2130" t="s">
        <v>23632</v>
      </c>
    </row>
    <row r="2131" spans="1:5" x14ac:dyDescent="0.25">
      <c r="A2131" s="131" t="str">
        <f>LEFT(B2131,1)</f>
        <v>F</v>
      </c>
      <c r="B2131" t="s">
        <v>25384</v>
      </c>
      <c r="C2131">
        <v>1</v>
      </c>
      <c r="D2131" t="s">
        <v>23629</v>
      </c>
      <c r="E2131" t="s">
        <v>23632</v>
      </c>
    </row>
    <row r="2132" spans="1:5" x14ac:dyDescent="0.25">
      <c r="A2132" s="131" t="s">
        <v>17576</v>
      </c>
      <c r="B2132" t="s">
        <v>25361</v>
      </c>
      <c r="C2132">
        <v>1</v>
      </c>
      <c r="D2132" t="s">
        <v>23629</v>
      </c>
      <c r="E2132" t="s">
        <v>23632</v>
      </c>
    </row>
    <row r="2133" spans="1:5" x14ac:dyDescent="0.25">
      <c r="A2133" s="130" t="s">
        <v>17576</v>
      </c>
      <c r="B2133" t="s">
        <v>25362</v>
      </c>
      <c r="C2133">
        <v>1</v>
      </c>
      <c r="D2133" t="s">
        <v>23629</v>
      </c>
      <c r="E2133" t="s">
        <v>23632</v>
      </c>
    </row>
    <row r="2134" spans="1:5" x14ac:dyDescent="0.25">
      <c r="A2134" s="130" t="s">
        <v>17576</v>
      </c>
      <c r="B2134" t="s">
        <v>25363</v>
      </c>
      <c r="C2134">
        <v>1</v>
      </c>
      <c r="D2134" t="s">
        <v>23629</v>
      </c>
      <c r="E2134" t="s">
        <v>23632</v>
      </c>
    </row>
    <row r="2135" spans="1:5" x14ac:dyDescent="0.25">
      <c r="A2135" s="131" t="s">
        <v>17576</v>
      </c>
      <c r="B2135" t="s">
        <v>25364</v>
      </c>
      <c r="C2135">
        <v>1</v>
      </c>
      <c r="D2135" t="s">
        <v>23629</v>
      </c>
      <c r="E2135" t="s">
        <v>23632</v>
      </c>
    </row>
    <row r="2136" spans="1:5" x14ac:dyDescent="0.25">
      <c r="A2136" s="130" t="s">
        <v>17576</v>
      </c>
      <c r="B2136" t="s">
        <v>25365</v>
      </c>
      <c r="C2136">
        <v>1</v>
      </c>
      <c r="D2136" t="s">
        <v>23629</v>
      </c>
      <c r="E2136" t="s">
        <v>23632</v>
      </c>
    </row>
    <row r="2137" spans="1:5" x14ac:dyDescent="0.25">
      <c r="A2137" s="131" t="s">
        <v>17576</v>
      </c>
      <c r="B2137" t="s">
        <v>25366</v>
      </c>
      <c r="C2137">
        <v>1</v>
      </c>
      <c r="D2137" t="s">
        <v>23629</v>
      </c>
      <c r="E2137" t="s">
        <v>23632</v>
      </c>
    </row>
    <row r="2138" spans="1:5" x14ac:dyDescent="0.25">
      <c r="A2138" s="130" t="s">
        <v>17576</v>
      </c>
      <c r="B2138" t="s">
        <v>25367</v>
      </c>
      <c r="C2138">
        <v>1</v>
      </c>
      <c r="D2138" t="s">
        <v>23629</v>
      </c>
      <c r="E2138" t="s">
        <v>23632</v>
      </c>
    </row>
    <row r="2139" spans="1:5" x14ac:dyDescent="0.25">
      <c r="A2139" s="140" t="s">
        <v>17576</v>
      </c>
      <c r="B2139" s="154" t="s">
        <v>25368</v>
      </c>
      <c r="C2139">
        <v>1</v>
      </c>
      <c r="D2139" t="s">
        <v>23629</v>
      </c>
      <c r="E2139" t="s">
        <v>23632</v>
      </c>
    </row>
    <row r="2140" spans="1:5" x14ac:dyDescent="0.25">
      <c r="A2140" s="140" t="s">
        <v>17412</v>
      </c>
      <c r="B2140" s="154" t="s">
        <v>25407</v>
      </c>
      <c r="C2140">
        <v>1</v>
      </c>
      <c r="D2140" t="s">
        <v>23629</v>
      </c>
      <c r="E2140" t="s">
        <v>23632</v>
      </c>
    </row>
    <row r="2141" spans="1:5" x14ac:dyDescent="0.25">
      <c r="A2141" s="130" t="str">
        <f>LEFT(B2141,1)</f>
        <v>G</v>
      </c>
      <c r="B2141" t="s">
        <v>25593</v>
      </c>
      <c r="C2141">
        <v>1</v>
      </c>
      <c r="D2141" t="s">
        <v>23629</v>
      </c>
      <c r="E2141" t="s">
        <v>23632</v>
      </c>
    </row>
    <row r="2142" spans="1:5" x14ac:dyDescent="0.25">
      <c r="A2142" s="131" t="s">
        <v>17412</v>
      </c>
      <c r="B2142" t="s">
        <v>25408</v>
      </c>
      <c r="C2142">
        <v>1</v>
      </c>
      <c r="D2142" t="s">
        <v>23629</v>
      </c>
      <c r="E2142" t="s">
        <v>23632</v>
      </c>
    </row>
    <row r="2143" spans="1:5" x14ac:dyDescent="0.25">
      <c r="A2143" s="130" t="str">
        <f>LEFT(B2143,1)</f>
        <v>G</v>
      </c>
      <c r="B2143" t="s">
        <v>29030</v>
      </c>
      <c r="C2143">
        <v>1</v>
      </c>
      <c r="D2143" t="s">
        <v>23629</v>
      </c>
      <c r="E2143" t="s">
        <v>23632</v>
      </c>
    </row>
    <row r="2144" spans="1:5" x14ac:dyDescent="0.25">
      <c r="A2144" s="130" t="str">
        <f>LEFT(B2144,1)</f>
        <v>G</v>
      </c>
      <c r="B2144" t="s">
        <v>28776</v>
      </c>
      <c r="C2144">
        <v>1</v>
      </c>
      <c r="D2144" t="s">
        <v>23629</v>
      </c>
      <c r="E2144" t="s">
        <v>23632</v>
      </c>
    </row>
    <row r="2145" spans="1:5" x14ac:dyDescent="0.25">
      <c r="A2145" s="130" t="s">
        <v>17412</v>
      </c>
      <c r="B2145" t="s">
        <v>25409</v>
      </c>
      <c r="C2145">
        <v>1</v>
      </c>
      <c r="D2145" t="s">
        <v>23629</v>
      </c>
      <c r="E2145" t="s">
        <v>23632</v>
      </c>
    </row>
    <row r="2146" spans="1:5" x14ac:dyDescent="0.25">
      <c r="A2146" s="130" t="str">
        <f>LEFT(B2146,1)</f>
        <v>G</v>
      </c>
      <c r="B2146" t="s">
        <v>25628</v>
      </c>
      <c r="C2146">
        <v>1</v>
      </c>
      <c r="D2146" t="s">
        <v>23629</v>
      </c>
      <c r="E2146" t="s">
        <v>23632</v>
      </c>
    </row>
    <row r="2147" spans="1:5" x14ac:dyDescent="0.25">
      <c r="A2147" s="131" t="str">
        <f>LEFT(B2147,1)</f>
        <v>G</v>
      </c>
      <c r="B2147" t="s">
        <v>25594</v>
      </c>
      <c r="C2147">
        <v>1</v>
      </c>
      <c r="D2147" t="s">
        <v>23629</v>
      </c>
      <c r="E2147" t="s">
        <v>23632</v>
      </c>
    </row>
    <row r="2148" spans="1:5" x14ac:dyDescent="0.25">
      <c r="A2148" s="130" t="s">
        <v>17412</v>
      </c>
      <c r="B2148" t="s">
        <v>25410</v>
      </c>
      <c r="C2148">
        <v>1</v>
      </c>
      <c r="D2148" t="s">
        <v>23629</v>
      </c>
      <c r="E2148" t="s">
        <v>23632</v>
      </c>
    </row>
    <row r="2149" spans="1:5" x14ac:dyDescent="0.25">
      <c r="A2149" s="131" t="str">
        <f>LEFT(B2149,1)</f>
        <v>G</v>
      </c>
      <c r="B2149" t="s">
        <v>25629</v>
      </c>
      <c r="C2149">
        <v>1</v>
      </c>
      <c r="D2149" t="s">
        <v>23629</v>
      </c>
      <c r="E2149" t="s">
        <v>23632</v>
      </c>
    </row>
    <row r="2150" spans="1:5" x14ac:dyDescent="0.25">
      <c r="A2150" s="130" t="str">
        <f>LEFT(B2150,1)</f>
        <v>G</v>
      </c>
      <c r="B2150" t="s">
        <v>25615</v>
      </c>
      <c r="C2150">
        <v>1</v>
      </c>
      <c r="D2150" t="s">
        <v>23629</v>
      </c>
      <c r="E2150" t="s">
        <v>23632</v>
      </c>
    </row>
    <row r="2151" spans="1:5" x14ac:dyDescent="0.25">
      <c r="A2151" s="131" t="str">
        <f>LEFT((B2151),1)</f>
        <v>G</v>
      </c>
      <c r="B2151" t="s">
        <v>25411</v>
      </c>
      <c r="C2151">
        <v>1</v>
      </c>
      <c r="D2151" t="s">
        <v>23629</v>
      </c>
      <c r="E2151" t="s">
        <v>23632</v>
      </c>
    </row>
    <row r="2152" spans="1:5" x14ac:dyDescent="0.25">
      <c r="A2152" s="130" t="s">
        <v>17412</v>
      </c>
      <c r="B2152" t="s">
        <v>25412</v>
      </c>
      <c r="C2152">
        <v>1</v>
      </c>
      <c r="D2152" t="s">
        <v>23629</v>
      </c>
      <c r="E2152" t="s">
        <v>23632</v>
      </c>
    </row>
    <row r="2153" spans="1:5" x14ac:dyDescent="0.25">
      <c r="A2153" s="130" t="s">
        <v>17412</v>
      </c>
      <c r="B2153" t="s">
        <v>25413</v>
      </c>
      <c r="C2153">
        <v>1</v>
      </c>
      <c r="D2153" t="s">
        <v>23629</v>
      </c>
      <c r="E2153" t="s">
        <v>23632</v>
      </c>
    </row>
    <row r="2154" spans="1:5" x14ac:dyDescent="0.25">
      <c r="A2154" s="131" t="s">
        <v>17412</v>
      </c>
      <c r="B2154" t="s">
        <v>25414</v>
      </c>
      <c r="C2154">
        <v>1</v>
      </c>
      <c r="D2154" t="s">
        <v>23629</v>
      </c>
      <c r="E2154" t="s">
        <v>23632</v>
      </c>
    </row>
    <row r="2155" spans="1:5" x14ac:dyDescent="0.25">
      <c r="A2155" s="130" t="str">
        <f>LEFT(B2155,1)</f>
        <v>G</v>
      </c>
      <c r="B2155" t="s">
        <v>29231</v>
      </c>
      <c r="C2155">
        <v>1</v>
      </c>
      <c r="D2155" t="s">
        <v>23629</v>
      </c>
      <c r="E2155" t="s">
        <v>23632</v>
      </c>
    </row>
    <row r="2156" spans="1:5" x14ac:dyDescent="0.25">
      <c r="A2156" s="130" t="s">
        <v>17412</v>
      </c>
      <c r="B2156" t="s">
        <v>25415</v>
      </c>
      <c r="C2156">
        <v>1</v>
      </c>
      <c r="D2156" t="s">
        <v>23629</v>
      </c>
      <c r="E2156" t="s">
        <v>23632</v>
      </c>
    </row>
    <row r="2157" spans="1:5" x14ac:dyDescent="0.25">
      <c r="A2157" s="130" t="str">
        <f>LEFT(B2157,1)</f>
        <v>G</v>
      </c>
      <c r="B2157" t="s">
        <v>28777</v>
      </c>
      <c r="C2157">
        <v>1</v>
      </c>
      <c r="D2157" t="s">
        <v>23629</v>
      </c>
      <c r="E2157" t="s">
        <v>23632</v>
      </c>
    </row>
    <row r="2158" spans="1:5" x14ac:dyDescent="0.25">
      <c r="A2158" s="130" t="s">
        <v>17412</v>
      </c>
      <c r="B2158" t="s">
        <v>25416</v>
      </c>
      <c r="C2158">
        <v>1</v>
      </c>
      <c r="D2158" t="s">
        <v>23629</v>
      </c>
      <c r="E2158" t="s">
        <v>23632</v>
      </c>
    </row>
    <row r="2159" spans="1:5" x14ac:dyDescent="0.25">
      <c r="A2159" s="130" t="str">
        <f>LEFT(B2159,1)</f>
        <v>G</v>
      </c>
      <c r="B2159" t="s">
        <v>29232</v>
      </c>
      <c r="C2159">
        <v>1</v>
      </c>
      <c r="D2159" t="s">
        <v>23629</v>
      </c>
      <c r="E2159" t="s">
        <v>23632</v>
      </c>
    </row>
    <row r="2160" spans="1:5" x14ac:dyDescent="0.25">
      <c r="A2160" s="130" t="str">
        <f>LEFT(B2160,1)</f>
        <v>G</v>
      </c>
      <c r="B2160" t="s">
        <v>29233</v>
      </c>
      <c r="C2160">
        <v>1</v>
      </c>
      <c r="D2160" t="s">
        <v>23629</v>
      </c>
      <c r="E2160" t="s">
        <v>23632</v>
      </c>
    </row>
    <row r="2161" spans="1:5" x14ac:dyDescent="0.25">
      <c r="A2161" s="131" t="s">
        <v>17412</v>
      </c>
      <c r="B2161" t="s">
        <v>25417</v>
      </c>
      <c r="C2161">
        <v>1</v>
      </c>
      <c r="D2161" t="s">
        <v>23629</v>
      </c>
      <c r="E2161" t="s">
        <v>23632</v>
      </c>
    </row>
    <row r="2162" spans="1:5" x14ac:dyDescent="0.25">
      <c r="A2162" s="131" t="s">
        <v>17412</v>
      </c>
      <c r="B2162" t="s">
        <v>25418</v>
      </c>
      <c r="C2162">
        <v>1</v>
      </c>
      <c r="D2162" t="s">
        <v>23629</v>
      </c>
      <c r="E2162" t="s">
        <v>23632</v>
      </c>
    </row>
    <row r="2163" spans="1:5" x14ac:dyDescent="0.25">
      <c r="A2163" s="130" t="str">
        <f>LEFT(B2163,1)</f>
        <v>G</v>
      </c>
      <c r="B2163" t="s">
        <v>25616</v>
      </c>
      <c r="C2163">
        <v>1</v>
      </c>
      <c r="D2163" t="s">
        <v>23629</v>
      </c>
      <c r="E2163" t="s">
        <v>23632</v>
      </c>
    </row>
    <row r="2164" spans="1:5" x14ac:dyDescent="0.25">
      <c r="A2164" s="131" t="s">
        <v>17412</v>
      </c>
      <c r="B2164" t="s">
        <v>25419</v>
      </c>
      <c r="C2164">
        <v>1</v>
      </c>
      <c r="D2164" t="s">
        <v>23629</v>
      </c>
      <c r="E2164" t="s">
        <v>23632</v>
      </c>
    </row>
    <row r="2165" spans="1:5" x14ac:dyDescent="0.25">
      <c r="A2165" s="130" t="s">
        <v>17412</v>
      </c>
      <c r="B2165" t="s">
        <v>25420</v>
      </c>
      <c r="C2165">
        <v>1</v>
      </c>
      <c r="D2165" t="s">
        <v>23629</v>
      </c>
      <c r="E2165" t="s">
        <v>23632</v>
      </c>
    </row>
    <row r="2166" spans="1:5" x14ac:dyDescent="0.25">
      <c r="A2166" s="131" t="s">
        <v>17412</v>
      </c>
      <c r="B2166" t="s">
        <v>25421</v>
      </c>
      <c r="C2166">
        <v>1</v>
      </c>
      <c r="D2166" t="s">
        <v>23629</v>
      </c>
      <c r="E2166" t="s">
        <v>23632</v>
      </c>
    </row>
    <row r="2167" spans="1:5" x14ac:dyDescent="0.25">
      <c r="A2167" s="130" t="str">
        <f>LEFT(B2167,1)</f>
        <v>G</v>
      </c>
      <c r="B2167" t="s">
        <v>29234</v>
      </c>
      <c r="C2167">
        <v>1</v>
      </c>
      <c r="D2167" t="s">
        <v>23629</v>
      </c>
      <c r="E2167" t="s">
        <v>23632</v>
      </c>
    </row>
    <row r="2168" spans="1:5" x14ac:dyDescent="0.25">
      <c r="A2168" s="131" t="s">
        <v>17412</v>
      </c>
      <c r="B2168" t="s">
        <v>25422</v>
      </c>
      <c r="C2168">
        <v>1</v>
      </c>
      <c r="D2168" t="s">
        <v>23629</v>
      </c>
      <c r="E2168" t="s">
        <v>23632</v>
      </c>
    </row>
    <row r="2169" spans="1:5" x14ac:dyDescent="0.25">
      <c r="A2169" s="130" t="s">
        <v>17412</v>
      </c>
      <c r="B2169" t="s">
        <v>25423</v>
      </c>
      <c r="C2169">
        <v>1</v>
      </c>
      <c r="D2169" t="s">
        <v>23629</v>
      </c>
      <c r="E2169" t="s">
        <v>23632</v>
      </c>
    </row>
    <row r="2170" spans="1:5" x14ac:dyDescent="0.25">
      <c r="A2170" s="130" t="str">
        <f>LEFT(B2170,1)</f>
        <v>G</v>
      </c>
      <c r="B2170" t="s">
        <v>25595</v>
      </c>
      <c r="C2170">
        <v>1.21</v>
      </c>
      <c r="D2170" t="s">
        <v>23629</v>
      </c>
      <c r="E2170" t="s">
        <v>23632</v>
      </c>
    </row>
    <row r="2171" spans="1:5" x14ac:dyDescent="0.25">
      <c r="A2171" s="130" t="str">
        <f>LEFT(B2171,1)</f>
        <v>G</v>
      </c>
      <c r="B2171" t="s">
        <v>29031</v>
      </c>
      <c r="C2171">
        <v>1</v>
      </c>
      <c r="D2171" t="s">
        <v>23629</v>
      </c>
      <c r="E2171" t="s">
        <v>23632</v>
      </c>
    </row>
    <row r="2172" spans="1:5" x14ac:dyDescent="0.25">
      <c r="A2172" s="130" t="s">
        <v>17412</v>
      </c>
      <c r="B2172" t="s">
        <v>25424</v>
      </c>
      <c r="C2172">
        <v>1</v>
      </c>
      <c r="D2172" t="s">
        <v>23629</v>
      </c>
      <c r="E2172" t="s">
        <v>23632</v>
      </c>
    </row>
    <row r="2173" spans="1:5" x14ac:dyDescent="0.25">
      <c r="A2173" s="131" t="s">
        <v>17412</v>
      </c>
      <c r="B2173" t="s">
        <v>25425</v>
      </c>
      <c r="C2173">
        <v>1</v>
      </c>
      <c r="D2173" t="s">
        <v>23629</v>
      </c>
      <c r="E2173" t="s">
        <v>23632</v>
      </c>
    </row>
    <row r="2174" spans="1:5" x14ac:dyDescent="0.25">
      <c r="A2174" s="131" t="str">
        <f>LEFT(B2174,1)</f>
        <v>G</v>
      </c>
      <c r="B2174" t="s">
        <v>25596</v>
      </c>
      <c r="C2174">
        <v>1</v>
      </c>
      <c r="D2174" t="s">
        <v>23629</v>
      </c>
      <c r="E2174" t="s">
        <v>23632</v>
      </c>
    </row>
    <row r="2175" spans="1:5" x14ac:dyDescent="0.25">
      <c r="A2175" s="131" t="s">
        <v>17412</v>
      </c>
      <c r="B2175" t="s">
        <v>25426</v>
      </c>
      <c r="C2175">
        <v>1</v>
      </c>
      <c r="D2175" t="s">
        <v>23629</v>
      </c>
      <c r="E2175" t="s">
        <v>23632</v>
      </c>
    </row>
    <row r="2176" spans="1:5" x14ac:dyDescent="0.25">
      <c r="A2176" s="131" t="s">
        <v>17412</v>
      </c>
      <c r="B2176" t="s">
        <v>25427</v>
      </c>
      <c r="C2176">
        <v>1</v>
      </c>
      <c r="D2176" t="s">
        <v>23629</v>
      </c>
      <c r="E2176" t="s">
        <v>23632</v>
      </c>
    </row>
    <row r="2177" spans="1:5" x14ac:dyDescent="0.25">
      <c r="A2177" s="131" t="s">
        <v>17412</v>
      </c>
      <c r="B2177" t="s">
        <v>25428</v>
      </c>
      <c r="C2177">
        <v>1</v>
      </c>
      <c r="D2177" t="s">
        <v>23629</v>
      </c>
      <c r="E2177" t="s">
        <v>23632</v>
      </c>
    </row>
    <row r="2178" spans="1:5" x14ac:dyDescent="0.25">
      <c r="A2178" s="130" t="s">
        <v>17412</v>
      </c>
      <c r="B2178" t="s">
        <v>25429</v>
      </c>
      <c r="C2178">
        <v>1</v>
      </c>
      <c r="D2178" t="s">
        <v>23629</v>
      </c>
      <c r="E2178" t="s">
        <v>23632</v>
      </c>
    </row>
    <row r="2179" spans="1:5" x14ac:dyDescent="0.25">
      <c r="A2179" s="130" t="str">
        <f>LEFT(B2179,1)</f>
        <v>G</v>
      </c>
      <c r="B2179" t="s">
        <v>28778</v>
      </c>
      <c r="C2179">
        <v>1</v>
      </c>
      <c r="D2179" t="s">
        <v>23629</v>
      </c>
      <c r="E2179" t="s">
        <v>23632</v>
      </c>
    </row>
    <row r="2180" spans="1:5" x14ac:dyDescent="0.25">
      <c r="A2180" s="130" t="str">
        <f>LEFT((B2180),1)</f>
        <v>G</v>
      </c>
      <c r="B2180" t="s">
        <v>25430</v>
      </c>
      <c r="C2180">
        <v>1</v>
      </c>
      <c r="D2180" t="s">
        <v>23629</v>
      </c>
      <c r="E2180" t="s">
        <v>23632</v>
      </c>
    </row>
    <row r="2181" spans="1:5" x14ac:dyDescent="0.25">
      <c r="A2181" s="130" t="s">
        <v>17412</v>
      </c>
      <c r="B2181" t="s">
        <v>25431</v>
      </c>
      <c r="C2181">
        <v>1</v>
      </c>
      <c r="D2181" t="s">
        <v>23629</v>
      </c>
      <c r="E2181" t="s">
        <v>23632</v>
      </c>
    </row>
    <row r="2182" spans="1:5" x14ac:dyDescent="0.25">
      <c r="A2182" s="130" t="str">
        <f>LEFT(B2182,1)</f>
        <v>G</v>
      </c>
      <c r="B2182" t="s">
        <v>28779</v>
      </c>
      <c r="C2182">
        <v>1</v>
      </c>
      <c r="D2182" t="s">
        <v>23629</v>
      </c>
      <c r="E2182" t="s">
        <v>23632</v>
      </c>
    </row>
    <row r="2183" spans="1:5" x14ac:dyDescent="0.25">
      <c r="A2183" s="130" t="s">
        <v>17412</v>
      </c>
      <c r="B2183" t="s">
        <v>25432</v>
      </c>
      <c r="C2183">
        <v>1</v>
      </c>
      <c r="D2183" t="s">
        <v>23629</v>
      </c>
      <c r="E2183" t="s">
        <v>23632</v>
      </c>
    </row>
    <row r="2184" spans="1:5" x14ac:dyDescent="0.25">
      <c r="A2184" s="130" t="str">
        <f>LEFT(B2184,1)</f>
        <v>G</v>
      </c>
      <c r="B2184" t="s">
        <v>28475</v>
      </c>
      <c r="C2184">
        <v>1</v>
      </c>
      <c r="D2184" t="s">
        <v>23629</v>
      </c>
      <c r="E2184" t="s">
        <v>23632</v>
      </c>
    </row>
    <row r="2185" spans="1:5" x14ac:dyDescent="0.25">
      <c r="A2185" s="131" t="s">
        <v>17412</v>
      </c>
      <c r="B2185" t="s">
        <v>25433</v>
      </c>
      <c r="C2185">
        <v>1</v>
      </c>
      <c r="D2185" t="s">
        <v>23629</v>
      </c>
      <c r="E2185" t="s">
        <v>23632</v>
      </c>
    </row>
    <row r="2186" spans="1:5" x14ac:dyDescent="0.25">
      <c r="A2186" s="131" t="s">
        <v>17412</v>
      </c>
      <c r="B2186" t="s">
        <v>25434</v>
      </c>
      <c r="C2186">
        <v>1</v>
      </c>
      <c r="D2186" t="s">
        <v>23629</v>
      </c>
      <c r="E2186" t="s">
        <v>23632</v>
      </c>
    </row>
    <row r="2187" spans="1:5" x14ac:dyDescent="0.25">
      <c r="A2187" s="130" t="s">
        <v>17412</v>
      </c>
      <c r="B2187" t="s">
        <v>25435</v>
      </c>
      <c r="C2187">
        <v>1</v>
      </c>
      <c r="D2187" t="s">
        <v>23629</v>
      </c>
      <c r="E2187" t="s">
        <v>23632</v>
      </c>
    </row>
    <row r="2188" spans="1:5" x14ac:dyDescent="0.25">
      <c r="A2188" s="130" t="str">
        <f>LEFT(B2188,1)</f>
        <v>G</v>
      </c>
      <c r="B2188" t="s">
        <v>28780</v>
      </c>
      <c r="C2188">
        <v>1</v>
      </c>
      <c r="D2188" t="s">
        <v>23629</v>
      </c>
      <c r="E2188" t="s">
        <v>23632</v>
      </c>
    </row>
    <row r="2189" spans="1:5" x14ac:dyDescent="0.25">
      <c r="A2189" s="131" t="s">
        <v>17412</v>
      </c>
      <c r="B2189" t="s">
        <v>25436</v>
      </c>
      <c r="C2189">
        <v>1</v>
      </c>
      <c r="D2189" t="s">
        <v>23629</v>
      </c>
      <c r="E2189" t="s">
        <v>23632</v>
      </c>
    </row>
    <row r="2190" spans="1:5" x14ac:dyDescent="0.25">
      <c r="A2190" s="130" t="s">
        <v>17412</v>
      </c>
      <c r="B2190" t="s">
        <v>25437</v>
      </c>
      <c r="C2190">
        <v>1</v>
      </c>
      <c r="D2190" t="s">
        <v>23629</v>
      </c>
      <c r="E2190" t="s">
        <v>23632</v>
      </c>
    </row>
    <row r="2191" spans="1:5" x14ac:dyDescent="0.25">
      <c r="A2191" s="130" t="s">
        <v>17412</v>
      </c>
      <c r="B2191" t="s">
        <v>25438</v>
      </c>
      <c r="C2191">
        <v>1</v>
      </c>
      <c r="D2191" t="s">
        <v>23629</v>
      </c>
      <c r="E2191" t="s">
        <v>23632</v>
      </c>
    </row>
    <row r="2192" spans="1:5" x14ac:dyDescent="0.25">
      <c r="A2192" s="130" t="str">
        <f>LEFT(B2192,1)</f>
        <v>G</v>
      </c>
      <c r="B2192" t="s">
        <v>25617</v>
      </c>
      <c r="C2192">
        <v>1</v>
      </c>
      <c r="D2192" t="s">
        <v>23629</v>
      </c>
      <c r="E2192" t="s">
        <v>23632</v>
      </c>
    </row>
    <row r="2193" spans="1:5" x14ac:dyDescent="0.25">
      <c r="A2193" s="130" t="s">
        <v>17412</v>
      </c>
      <c r="B2193" t="s">
        <v>25439</v>
      </c>
      <c r="C2193">
        <v>1</v>
      </c>
      <c r="D2193" t="s">
        <v>23629</v>
      </c>
      <c r="E2193" t="s">
        <v>23632</v>
      </c>
    </row>
    <row r="2194" spans="1:5" x14ac:dyDescent="0.25">
      <c r="A2194" s="131" t="str">
        <f>LEFT((B2194),1)</f>
        <v>G</v>
      </c>
      <c r="B2194" t="s">
        <v>25440</v>
      </c>
      <c r="C2194">
        <v>1</v>
      </c>
      <c r="D2194" t="s">
        <v>23629</v>
      </c>
      <c r="E2194" t="s">
        <v>23632</v>
      </c>
    </row>
    <row r="2195" spans="1:5" x14ac:dyDescent="0.25">
      <c r="A2195" s="131" t="s">
        <v>17412</v>
      </c>
      <c r="B2195" t="s">
        <v>25441</v>
      </c>
      <c r="C2195">
        <v>1</v>
      </c>
      <c r="D2195" t="s">
        <v>23629</v>
      </c>
      <c r="E2195" t="s">
        <v>23632</v>
      </c>
    </row>
    <row r="2196" spans="1:5" x14ac:dyDescent="0.25">
      <c r="A2196" s="131" t="s">
        <v>17412</v>
      </c>
      <c r="B2196" t="s">
        <v>25442</v>
      </c>
      <c r="C2196">
        <v>1</v>
      </c>
      <c r="D2196" t="s">
        <v>23629</v>
      </c>
      <c r="E2196" t="s">
        <v>23632</v>
      </c>
    </row>
    <row r="2197" spans="1:5" x14ac:dyDescent="0.25">
      <c r="A2197" s="130" t="str">
        <f>LEFT(B2197,1)</f>
        <v>G</v>
      </c>
      <c r="B2197" t="s">
        <v>25630</v>
      </c>
      <c r="C2197">
        <v>1</v>
      </c>
      <c r="D2197" t="s">
        <v>23629</v>
      </c>
      <c r="E2197" t="s">
        <v>23632</v>
      </c>
    </row>
    <row r="2198" spans="1:5" x14ac:dyDescent="0.25">
      <c r="A2198" s="130" t="str">
        <f>LEFT(B2198,1)</f>
        <v>G</v>
      </c>
      <c r="B2198" t="s">
        <v>25618</v>
      </c>
      <c r="C2198">
        <v>1</v>
      </c>
      <c r="D2198" t="s">
        <v>23629</v>
      </c>
      <c r="E2198" t="s">
        <v>23632</v>
      </c>
    </row>
    <row r="2199" spans="1:5" x14ac:dyDescent="0.25">
      <c r="A2199" s="131" t="s">
        <v>17412</v>
      </c>
      <c r="B2199" t="s">
        <v>25443</v>
      </c>
      <c r="C2199">
        <v>1</v>
      </c>
      <c r="D2199" t="s">
        <v>23629</v>
      </c>
      <c r="E2199" t="s">
        <v>23632</v>
      </c>
    </row>
    <row r="2200" spans="1:5" x14ac:dyDescent="0.25">
      <c r="A2200" s="131" t="s">
        <v>17412</v>
      </c>
      <c r="B2200" t="s">
        <v>25444</v>
      </c>
      <c r="C2200">
        <v>1</v>
      </c>
      <c r="D2200" t="s">
        <v>23629</v>
      </c>
      <c r="E2200" t="s">
        <v>23632</v>
      </c>
    </row>
    <row r="2201" spans="1:5" x14ac:dyDescent="0.25">
      <c r="A2201" s="131" t="s">
        <v>17412</v>
      </c>
      <c r="B2201" t="s">
        <v>25445</v>
      </c>
      <c r="C2201">
        <v>1.1000000000000001</v>
      </c>
      <c r="D2201" t="s">
        <v>23629</v>
      </c>
      <c r="E2201" t="s">
        <v>23632</v>
      </c>
    </row>
    <row r="2202" spans="1:5" x14ac:dyDescent="0.25">
      <c r="A2202" s="130" t="s">
        <v>17412</v>
      </c>
      <c r="B2202" t="s">
        <v>25446</v>
      </c>
      <c r="C2202">
        <v>1.1000000000000001</v>
      </c>
      <c r="D2202" t="s">
        <v>23629</v>
      </c>
      <c r="E2202" t="s">
        <v>23632</v>
      </c>
    </row>
    <row r="2203" spans="1:5" x14ac:dyDescent="0.25">
      <c r="A2203" s="130" t="str">
        <f>LEFT(B2203,1)</f>
        <v>G</v>
      </c>
      <c r="B2203" t="s">
        <v>29032</v>
      </c>
      <c r="C2203">
        <v>1</v>
      </c>
      <c r="D2203" t="s">
        <v>23629</v>
      </c>
      <c r="E2203" t="s">
        <v>23632</v>
      </c>
    </row>
    <row r="2204" spans="1:5" x14ac:dyDescent="0.25">
      <c r="A2204" s="131" t="s">
        <v>17412</v>
      </c>
      <c r="B2204" t="s">
        <v>25447</v>
      </c>
      <c r="C2204">
        <v>1</v>
      </c>
      <c r="D2204" t="s">
        <v>23629</v>
      </c>
      <c r="E2204" t="s">
        <v>23632</v>
      </c>
    </row>
    <row r="2205" spans="1:5" x14ac:dyDescent="0.25">
      <c r="A2205" s="130" t="str">
        <f>LEFT(B2205,1)</f>
        <v>G</v>
      </c>
      <c r="B2205" t="s">
        <v>28781</v>
      </c>
      <c r="C2205">
        <v>1</v>
      </c>
      <c r="D2205" t="s">
        <v>23629</v>
      </c>
      <c r="E2205" t="s">
        <v>23632</v>
      </c>
    </row>
    <row r="2206" spans="1:5" x14ac:dyDescent="0.25">
      <c r="A2206" s="130" t="s">
        <v>17412</v>
      </c>
      <c r="B2206" t="s">
        <v>25448</v>
      </c>
      <c r="C2206">
        <v>1</v>
      </c>
      <c r="D2206" t="s">
        <v>23629</v>
      </c>
      <c r="E2206" t="s">
        <v>23632</v>
      </c>
    </row>
    <row r="2207" spans="1:5" x14ac:dyDescent="0.25">
      <c r="A2207" s="130" t="s">
        <v>17412</v>
      </c>
      <c r="B2207" t="s">
        <v>25449</v>
      </c>
      <c r="C2207">
        <v>1</v>
      </c>
      <c r="D2207" t="s">
        <v>23629</v>
      </c>
      <c r="E2207" t="s">
        <v>23632</v>
      </c>
    </row>
    <row r="2208" spans="1:5" x14ac:dyDescent="0.25">
      <c r="A2208" s="131" t="str">
        <f>LEFT(B2208,1)</f>
        <v>G</v>
      </c>
      <c r="B2208" t="s">
        <v>25631</v>
      </c>
      <c r="C2208">
        <v>1</v>
      </c>
      <c r="D2208" t="s">
        <v>23629</v>
      </c>
      <c r="E2208" t="s">
        <v>23632</v>
      </c>
    </row>
    <row r="2209" spans="1:5" x14ac:dyDescent="0.25">
      <c r="A2209" s="130" t="str">
        <f>LEFT((B2209),1)</f>
        <v>G</v>
      </c>
      <c r="B2209" t="s">
        <v>25450</v>
      </c>
      <c r="C2209">
        <v>1.2</v>
      </c>
      <c r="D2209" t="s">
        <v>23629</v>
      </c>
      <c r="E2209" t="s">
        <v>23632</v>
      </c>
    </row>
    <row r="2210" spans="1:5" x14ac:dyDescent="0.25">
      <c r="A2210" s="131" t="s">
        <v>17412</v>
      </c>
      <c r="B2210" t="s">
        <v>25451</v>
      </c>
      <c r="C2210">
        <v>1</v>
      </c>
      <c r="D2210" t="s">
        <v>23629</v>
      </c>
      <c r="E2210" t="s">
        <v>23632</v>
      </c>
    </row>
    <row r="2211" spans="1:5" x14ac:dyDescent="0.25">
      <c r="A2211" s="130" t="str">
        <f>LEFT(B2211,1)</f>
        <v>G</v>
      </c>
      <c r="B2211" t="s">
        <v>25619</v>
      </c>
      <c r="C2211">
        <v>1</v>
      </c>
      <c r="D2211" t="s">
        <v>23629</v>
      </c>
      <c r="E2211" t="s">
        <v>23632</v>
      </c>
    </row>
    <row r="2212" spans="1:5" x14ac:dyDescent="0.25">
      <c r="A2212" s="130" t="s">
        <v>17412</v>
      </c>
      <c r="B2212" t="s">
        <v>25452</v>
      </c>
      <c r="C2212">
        <v>1</v>
      </c>
      <c r="D2212" t="s">
        <v>23629</v>
      </c>
      <c r="E2212" t="s">
        <v>23632</v>
      </c>
    </row>
    <row r="2213" spans="1:5" x14ac:dyDescent="0.25">
      <c r="A2213" s="131" t="s">
        <v>17412</v>
      </c>
      <c r="B2213" t="s">
        <v>25453</v>
      </c>
      <c r="C2213">
        <v>1</v>
      </c>
      <c r="D2213" t="s">
        <v>23629</v>
      </c>
      <c r="E2213" t="s">
        <v>23632</v>
      </c>
    </row>
    <row r="2214" spans="1:5" x14ac:dyDescent="0.25">
      <c r="A2214" s="130" t="str">
        <f>LEFT(B2214,1)</f>
        <v>G</v>
      </c>
      <c r="B2214" t="s">
        <v>25597</v>
      </c>
      <c r="C2214">
        <v>1</v>
      </c>
      <c r="D2214" t="s">
        <v>23629</v>
      </c>
      <c r="E2214" t="s">
        <v>23632</v>
      </c>
    </row>
    <row r="2215" spans="1:5" x14ac:dyDescent="0.25">
      <c r="A2215" s="130" t="str">
        <f>LEFT(B2215,1)</f>
        <v>G</v>
      </c>
      <c r="B2215" t="s">
        <v>25620</v>
      </c>
      <c r="C2215">
        <v>1</v>
      </c>
      <c r="D2215" t="s">
        <v>23629</v>
      </c>
      <c r="E2215" t="s">
        <v>23632</v>
      </c>
    </row>
    <row r="2216" spans="1:5" x14ac:dyDescent="0.25">
      <c r="A2216" s="131" t="s">
        <v>17412</v>
      </c>
      <c r="B2216" t="s">
        <v>25454</v>
      </c>
      <c r="C2216">
        <v>1</v>
      </c>
      <c r="D2216" t="s">
        <v>23629</v>
      </c>
      <c r="E2216" t="s">
        <v>23632</v>
      </c>
    </row>
    <row r="2217" spans="1:5" x14ac:dyDescent="0.25">
      <c r="A2217" s="131" t="s">
        <v>17412</v>
      </c>
      <c r="B2217" t="s">
        <v>25455</v>
      </c>
      <c r="C2217">
        <v>1</v>
      </c>
      <c r="D2217" t="s">
        <v>23629</v>
      </c>
      <c r="E2217" t="s">
        <v>23632</v>
      </c>
    </row>
    <row r="2218" spans="1:5" x14ac:dyDescent="0.25">
      <c r="A2218" s="130" t="s">
        <v>17412</v>
      </c>
      <c r="B2218" t="s">
        <v>25456</v>
      </c>
      <c r="C2218">
        <v>1</v>
      </c>
      <c r="D2218" t="s">
        <v>23629</v>
      </c>
      <c r="E2218" t="s">
        <v>23632</v>
      </c>
    </row>
    <row r="2219" spans="1:5" x14ac:dyDescent="0.25">
      <c r="A2219" s="131" t="s">
        <v>17412</v>
      </c>
      <c r="B2219" t="s">
        <v>25457</v>
      </c>
      <c r="C2219">
        <v>1</v>
      </c>
      <c r="D2219" t="s">
        <v>23629</v>
      </c>
      <c r="E2219" t="s">
        <v>23632</v>
      </c>
    </row>
    <row r="2220" spans="1:5" x14ac:dyDescent="0.25">
      <c r="A2220" s="130" t="s">
        <v>17412</v>
      </c>
      <c r="B2220" t="s">
        <v>25458</v>
      </c>
      <c r="C2220">
        <v>1</v>
      </c>
      <c r="D2220" t="s">
        <v>23629</v>
      </c>
      <c r="E2220" t="s">
        <v>23632</v>
      </c>
    </row>
    <row r="2221" spans="1:5" x14ac:dyDescent="0.25">
      <c r="A2221" s="131" t="s">
        <v>17412</v>
      </c>
      <c r="B2221" t="s">
        <v>25459</v>
      </c>
      <c r="C2221">
        <v>1</v>
      </c>
      <c r="D2221" t="s">
        <v>23629</v>
      </c>
      <c r="E2221" t="s">
        <v>23632</v>
      </c>
    </row>
    <row r="2222" spans="1:5" x14ac:dyDescent="0.25">
      <c r="A2222" s="131" t="s">
        <v>17412</v>
      </c>
      <c r="B2222" t="s">
        <v>25460</v>
      </c>
      <c r="C2222">
        <v>1</v>
      </c>
      <c r="D2222" t="s">
        <v>23629</v>
      </c>
      <c r="E2222" t="s">
        <v>23632</v>
      </c>
    </row>
    <row r="2223" spans="1:5" x14ac:dyDescent="0.25">
      <c r="A2223" s="130" t="str">
        <f>LEFT(B2223,1)</f>
        <v>G</v>
      </c>
      <c r="B2223" t="s">
        <v>28476</v>
      </c>
      <c r="C2223">
        <v>1</v>
      </c>
      <c r="D2223" t="s">
        <v>23629</v>
      </c>
      <c r="E2223" t="s">
        <v>23632</v>
      </c>
    </row>
    <row r="2224" spans="1:5" x14ac:dyDescent="0.25">
      <c r="A2224" s="130" t="str">
        <f>LEFT(B2224,1)</f>
        <v>G</v>
      </c>
      <c r="B2224" t="s">
        <v>25621</v>
      </c>
      <c r="C2224">
        <v>1</v>
      </c>
      <c r="D2224" t="s">
        <v>23629</v>
      </c>
      <c r="E2224" t="s">
        <v>23632</v>
      </c>
    </row>
    <row r="2225" spans="1:5" x14ac:dyDescent="0.25">
      <c r="A2225" s="130" t="s">
        <v>17412</v>
      </c>
      <c r="B2225" t="s">
        <v>25461</v>
      </c>
      <c r="C2225">
        <v>1</v>
      </c>
      <c r="D2225" t="s">
        <v>23629</v>
      </c>
      <c r="E2225" t="s">
        <v>23632</v>
      </c>
    </row>
    <row r="2226" spans="1:5" x14ac:dyDescent="0.25">
      <c r="A2226" s="131" t="s">
        <v>17412</v>
      </c>
      <c r="B2226" t="s">
        <v>25462</v>
      </c>
      <c r="C2226">
        <v>1</v>
      </c>
      <c r="D2226" t="s">
        <v>23629</v>
      </c>
      <c r="E2226" t="s">
        <v>23632</v>
      </c>
    </row>
    <row r="2227" spans="1:5" x14ac:dyDescent="0.25">
      <c r="A2227" s="130" t="str">
        <f>LEFT(B2227,1)</f>
        <v>G</v>
      </c>
      <c r="B2227" t="s">
        <v>29235</v>
      </c>
      <c r="C2227">
        <v>1</v>
      </c>
      <c r="D2227" t="s">
        <v>23629</v>
      </c>
      <c r="E2227" t="s">
        <v>23632</v>
      </c>
    </row>
    <row r="2228" spans="1:5" x14ac:dyDescent="0.25">
      <c r="A2228" s="131" t="s">
        <v>17412</v>
      </c>
      <c r="B2228" t="s">
        <v>25463</v>
      </c>
      <c r="C2228">
        <v>1</v>
      </c>
      <c r="D2228" t="s">
        <v>23629</v>
      </c>
      <c r="E2228" t="s">
        <v>23632</v>
      </c>
    </row>
    <row r="2229" spans="1:5" x14ac:dyDescent="0.25">
      <c r="A2229" s="130" t="str">
        <f>LEFT(B2229,1)</f>
        <v>G</v>
      </c>
      <c r="B2229" t="s">
        <v>25622</v>
      </c>
      <c r="C2229">
        <v>1</v>
      </c>
      <c r="D2229" t="s">
        <v>23629</v>
      </c>
      <c r="E2229" t="s">
        <v>23632</v>
      </c>
    </row>
    <row r="2230" spans="1:5" x14ac:dyDescent="0.25">
      <c r="A2230" s="131" t="str">
        <f>LEFT(B2230,1)</f>
        <v>G</v>
      </c>
      <c r="B2230" t="s">
        <v>25598</v>
      </c>
      <c r="C2230">
        <v>1</v>
      </c>
      <c r="D2230" t="s">
        <v>23629</v>
      </c>
      <c r="E2230" t="s">
        <v>23632</v>
      </c>
    </row>
    <row r="2231" spans="1:5" x14ac:dyDescent="0.25">
      <c r="A2231" s="130" t="str">
        <f>LEFT(B2231,1)</f>
        <v>G</v>
      </c>
      <c r="B2231" t="s">
        <v>25632</v>
      </c>
      <c r="C2231">
        <v>1</v>
      </c>
      <c r="D2231" t="s">
        <v>23629</v>
      </c>
      <c r="E2231" t="s">
        <v>23632</v>
      </c>
    </row>
    <row r="2232" spans="1:5" x14ac:dyDescent="0.25">
      <c r="A2232" s="130" t="str">
        <f>LEFT(B2232,1)</f>
        <v>G</v>
      </c>
      <c r="B2232" t="s">
        <v>29033</v>
      </c>
      <c r="C2232">
        <v>1</v>
      </c>
      <c r="D2232" t="s">
        <v>23629</v>
      </c>
      <c r="E2232" t="s">
        <v>23632</v>
      </c>
    </row>
    <row r="2233" spans="1:5" x14ac:dyDescent="0.25">
      <c r="A2233" s="130" t="s">
        <v>17412</v>
      </c>
      <c r="B2233" t="s">
        <v>25464</v>
      </c>
      <c r="C2233">
        <v>1.1000000000000001</v>
      </c>
      <c r="D2233" t="s">
        <v>23629</v>
      </c>
      <c r="E2233" t="s">
        <v>23632</v>
      </c>
    </row>
    <row r="2234" spans="1:5" x14ac:dyDescent="0.25">
      <c r="A2234" s="130" t="str">
        <f>LEFT(B2234,1)</f>
        <v>G</v>
      </c>
      <c r="B2234" t="s">
        <v>25599</v>
      </c>
      <c r="C2234">
        <v>1</v>
      </c>
      <c r="D2234" t="s">
        <v>23629</v>
      </c>
      <c r="E2234" t="s">
        <v>23632</v>
      </c>
    </row>
    <row r="2235" spans="1:5" x14ac:dyDescent="0.25">
      <c r="A2235" s="130" t="str">
        <f>LEFT(B2235,1)</f>
        <v>G</v>
      </c>
      <c r="B2235" t="s">
        <v>29034</v>
      </c>
      <c r="C2235">
        <v>1</v>
      </c>
      <c r="D2235" t="s">
        <v>23629</v>
      </c>
      <c r="E2235" t="s">
        <v>23632</v>
      </c>
    </row>
    <row r="2236" spans="1:5" x14ac:dyDescent="0.25">
      <c r="A2236" s="131" t="s">
        <v>17412</v>
      </c>
      <c r="B2236" t="s">
        <v>25465</v>
      </c>
      <c r="C2236">
        <v>1</v>
      </c>
      <c r="D2236" t="s">
        <v>23629</v>
      </c>
      <c r="E2236" t="s">
        <v>23632</v>
      </c>
    </row>
    <row r="2237" spans="1:5" x14ac:dyDescent="0.25">
      <c r="A2237" s="131" t="str">
        <f>LEFT(B2237,1)</f>
        <v>G</v>
      </c>
      <c r="B2237" t="s">
        <v>25633</v>
      </c>
      <c r="C2237">
        <v>1</v>
      </c>
      <c r="D2237" t="s">
        <v>23629</v>
      </c>
      <c r="E2237" t="s">
        <v>23632</v>
      </c>
    </row>
    <row r="2238" spans="1:5" x14ac:dyDescent="0.25">
      <c r="A2238" s="131" t="s">
        <v>17412</v>
      </c>
      <c r="B2238" t="s">
        <v>25466</v>
      </c>
      <c r="C2238">
        <v>1</v>
      </c>
      <c r="D2238" t="s">
        <v>23629</v>
      </c>
      <c r="E2238" t="s">
        <v>23632</v>
      </c>
    </row>
    <row r="2239" spans="1:5" x14ac:dyDescent="0.25">
      <c r="A2239" s="130" t="str">
        <f>LEFT(B2239,1)</f>
        <v>G</v>
      </c>
      <c r="B2239" t="s">
        <v>29035</v>
      </c>
      <c r="C2239">
        <v>1</v>
      </c>
      <c r="D2239" t="s">
        <v>23629</v>
      </c>
      <c r="E2239" t="s">
        <v>23632</v>
      </c>
    </row>
    <row r="2240" spans="1:5" x14ac:dyDescent="0.25">
      <c r="A2240" s="130" t="s">
        <v>17412</v>
      </c>
      <c r="B2240" t="s">
        <v>25467</v>
      </c>
      <c r="C2240">
        <v>1</v>
      </c>
      <c r="D2240" t="s">
        <v>23629</v>
      </c>
      <c r="E2240" t="s">
        <v>23632</v>
      </c>
    </row>
    <row r="2241" spans="1:5" x14ac:dyDescent="0.25">
      <c r="A2241" s="131" t="s">
        <v>17412</v>
      </c>
      <c r="B2241" t="s">
        <v>25468</v>
      </c>
      <c r="C2241">
        <v>1</v>
      </c>
      <c r="D2241" t="s">
        <v>23629</v>
      </c>
      <c r="E2241" t="s">
        <v>23632</v>
      </c>
    </row>
    <row r="2242" spans="1:5" x14ac:dyDescent="0.25">
      <c r="A2242" s="131" t="s">
        <v>17412</v>
      </c>
      <c r="B2242" t="s">
        <v>25469</v>
      </c>
      <c r="C2242">
        <v>1</v>
      </c>
      <c r="D2242" t="s">
        <v>23629</v>
      </c>
      <c r="E2242" t="s">
        <v>23632</v>
      </c>
    </row>
    <row r="2243" spans="1:5" x14ac:dyDescent="0.25">
      <c r="A2243" s="131" t="s">
        <v>17412</v>
      </c>
      <c r="B2243" t="s">
        <v>25470</v>
      </c>
      <c r="C2243">
        <v>1</v>
      </c>
      <c r="D2243" t="s">
        <v>23629</v>
      </c>
      <c r="E2243" t="s">
        <v>23632</v>
      </c>
    </row>
    <row r="2244" spans="1:5" x14ac:dyDescent="0.25">
      <c r="A2244" s="130" t="str">
        <f>LEFT(B2244,1)</f>
        <v>G</v>
      </c>
      <c r="B2244" t="s">
        <v>25634</v>
      </c>
      <c r="C2244">
        <v>1</v>
      </c>
      <c r="D2244" t="s">
        <v>23629</v>
      </c>
      <c r="E2244" t="s">
        <v>23632</v>
      </c>
    </row>
    <row r="2245" spans="1:5" x14ac:dyDescent="0.25">
      <c r="A2245" s="130" t="str">
        <f>LEFT(B2245,1)</f>
        <v>G</v>
      </c>
      <c r="B2245" t="s">
        <v>28477</v>
      </c>
      <c r="C2245">
        <v>1</v>
      </c>
      <c r="D2245" t="s">
        <v>23629</v>
      </c>
      <c r="E2245" t="s">
        <v>23632</v>
      </c>
    </row>
    <row r="2246" spans="1:5" x14ac:dyDescent="0.25">
      <c r="A2246" s="131" t="s">
        <v>17412</v>
      </c>
      <c r="B2246" t="s">
        <v>25471</v>
      </c>
      <c r="C2246">
        <v>1</v>
      </c>
      <c r="D2246" t="s">
        <v>23629</v>
      </c>
      <c r="E2246" t="s">
        <v>23632</v>
      </c>
    </row>
    <row r="2247" spans="1:5" x14ac:dyDescent="0.25">
      <c r="A2247" s="130" t="s">
        <v>17412</v>
      </c>
      <c r="B2247" t="s">
        <v>25472</v>
      </c>
      <c r="C2247">
        <v>1</v>
      </c>
      <c r="D2247" t="s">
        <v>23629</v>
      </c>
      <c r="E2247" t="s">
        <v>23632</v>
      </c>
    </row>
    <row r="2248" spans="1:5" x14ac:dyDescent="0.25">
      <c r="A2248" s="131" t="s">
        <v>17412</v>
      </c>
      <c r="B2248" t="s">
        <v>25473</v>
      </c>
      <c r="C2248">
        <v>1</v>
      </c>
      <c r="D2248" t="s">
        <v>23629</v>
      </c>
      <c r="E2248" t="s">
        <v>23632</v>
      </c>
    </row>
    <row r="2249" spans="1:5" x14ac:dyDescent="0.25">
      <c r="A2249" s="130" t="str">
        <f>LEFT(B2249,1)</f>
        <v>G</v>
      </c>
      <c r="B2249" t="s">
        <v>29236</v>
      </c>
      <c r="C2249">
        <v>1</v>
      </c>
      <c r="D2249" t="s">
        <v>23629</v>
      </c>
      <c r="E2249" t="s">
        <v>23632</v>
      </c>
    </row>
    <row r="2250" spans="1:5" x14ac:dyDescent="0.25">
      <c r="A2250" s="130" t="str">
        <f>LEFT(B2250,1)</f>
        <v>G</v>
      </c>
      <c r="B2250" t="s">
        <v>28782</v>
      </c>
      <c r="C2250">
        <v>1</v>
      </c>
      <c r="D2250" t="s">
        <v>23629</v>
      </c>
      <c r="E2250" t="s">
        <v>23632</v>
      </c>
    </row>
    <row r="2251" spans="1:5" x14ac:dyDescent="0.25">
      <c r="A2251" s="131" t="str">
        <f>LEFT((B2251),1)</f>
        <v>G</v>
      </c>
      <c r="B2251" t="s">
        <v>25474</v>
      </c>
      <c r="C2251">
        <v>1</v>
      </c>
      <c r="D2251" t="s">
        <v>23629</v>
      </c>
      <c r="E2251" t="s">
        <v>23632</v>
      </c>
    </row>
    <row r="2252" spans="1:5" x14ac:dyDescent="0.25">
      <c r="A2252" s="130" t="s">
        <v>17412</v>
      </c>
      <c r="B2252" t="s">
        <v>25475</v>
      </c>
      <c r="C2252">
        <v>1</v>
      </c>
      <c r="D2252" t="s">
        <v>23629</v>
      </c>
      <c r="E2252" t="s">
        <v>23632</v>
      </c>
    </row>
    <row r="2253" spans="1:5" x14ac:dyDescent="0.25">
      <c r="A2253" s="130" t="str">
        <f>LEFT((B2253),1)</f>
        <v>G</v>
      </c>
      <c r="B2253" t="s">
        <v>25476</v>
      </c>
      <c r="C2253">
        <v>1</v>
      </c>
      <c r="D2253" t="s">
        <v>23629</v>
      </c>
      <c r="E2253" t="s">
        <v>23632</v>
      </c>
    </row>
    <row r="2254" spans="1:5" x14ac:dyDescent="0.25">
      <c r="A2254" s="131" t="s">
        <v>17412</v>
      </c>
      <c r="B2254" t="s">
        <v>25477</v>
      </c>
      <c r="C2254">
        <v>1</v>
      </c>
      <c r="D2254" t="s">
        <v>23629</v>
      </c>
      <c r="E2254" t="s">
        <v>23632</v>
      </c>
    </row>
    <row r="2255" spans="1:5" x14ac:dyDescent="0.25">
      <c r="A2255" s="130" t="s">
        <v>17412</v>
      </c>
      <c r="B2255" t="s">
        <v>25478</v>
      </c>
      <c r="C2255">
        <v>1</v>
      </c>
      <c r="D2255" t="s">
        <v>23629</v>
      </c>
      <c r="E2255" t="s">
        <v>23632</v>
      </c>
    </row>
    <row r="2256" spans="1:5" x14ac:dyDescent="0.25">
      <c r="A2256" s="131" t="s">
        <v>17412</v>
      </c>
      <c r="B2256" t="s">
        <v>25479</v>
      </c>
      <c r="C2256">
        <v>1</v>
      </c>
      <c r="D2256" t="s">
        <v>23629</v>
      </c>
      <c r="E2256" t="s">
        <v>23632</v>
      </c>
    </row>
    <row r="2257" spans="1:5" x14ac:dyDescent="0.25">
      <c r="A2257" s="131" t="s">
        <v>17412</v>
      </c>
      <c r="B2257" t="s">
        <v>25480</v>
      </c>
      <c r="C2257">
        <v>1</v>
      </c>
      <c r="D2257" t="s">
        <v>23629</v>
      </c>
      <c r="E2257" t="s">
        <v>23632</v>
      </c>
    </row>
    <row r="2258" spans="1:5" x14ac:dyDescent="0.25">
      <c r="A2258" s="130" t="str">
        <f>LEFT(B2258,1)</f>
        <v>G</v>
      </c>
      <c r="B2258" t="s">
        <v>29036</v>
      </c>
      <c r="C2258">
        <v>1</v>
      </c>
      <c r="D2258" t="s">
        <v>23629</v>
      </c>
      <c r="E2258" t="s">
        <v>23632</v>
      </c>
    </row>
    <row r="2259" spans="1:5" x14ac:dyDescent="0.25">
      <c r="A2259" s="131" t="str">
        <f>LEFT(B2259,1)</f>
        <v>G</v>
      </c>
      <c r="B2259" t="s">
        <v>25635</v>
      </c>
      <c r="C2259">
        <v>1</v>
      </c>
      <c r="D2259" t="s">
        <v>23629</v>
      </c>
      <c r="E2259" t="s">
        <v>23632</v>
      </c>
    </row>
    <row r="2260" spans="1:5" x14ac:dyDescent="0.25">
      <c r="A2260" s="131" t="str">
        <f>LEFT(B2260,1)</f>
        <v>G</v>
      </c>
      <c r="B2260" t="s">
        <v>25600</v>
      </c>
      <c r="C2260">
        <v>1</v>
      </c>
      <c r="D2260" t="s">
        <v>23629</v>
      </c>
      <c r="E2260" t="s">
        <v>23632</v>
      </c>
    </row>
    <row r="2261" spans="1:5" x14ac:dyDescent="0.25">
      <c r="A2261" s="131" t="s">
        <v>17412</v>
      </c>
      <c r="B2261" t="s">
        <v>25481</v>
      </c>
      <c r="C2261">
        <v>1</v>
      </c>
      <c r="D2261" t="s">
        <v>23629</v>
      </c>
      <c r="E2261" t="s">
        <v>23632</v>
      </c>
    </row>
    <row r="2262" spans="1:5" x14ac:dyDescent="0.25">
      <c r="A2262" s="131" t="str">
        <f>LEFT((B2262),1)</f>
        <v>G</v>
      </c>
      <c r="B2262" t="s">
        <v>25482</v>
      </c>
      <c r="C2262">
        <v>1</v>
      </c>
      <c r="D2262" t="s">
        <v>23629</v>
      </c>
      <c r="E2262" t="s">
        <v>23632</v>
      </c>
    </row>
    <row r="2263" spans="1:5" x14ac:dyDescent="0.25">
      <c r="A2263" s="131" t="s">
        <v>17412</v>
      </c>
      <c r="B2263" t="s">
        <v>25483</v>
      </c>
      <c r="C2263">
        <v>1</v>
      </c>
      <c r="D2263" t="s">
        <v>23629</v>
      </c>
      <c r="E2263" t="s">
        <v>23632</v>
      </c>
    </row>
    <row r="2264" spans="1:5" x14ac:dyDescent="0.25">
      <c r="A2264" s="130" t="s">
        <v>17412</v>
      </c>
      <c r="B2264" t="s">
        <v>25484</v>
      </c>
      <c r="C2264">
        <v>1</v>
      </c>
      <c r="D2264" t="s">
        <v>23629</v>
      </c>
      <c r="E2264" t="s">
        <v>23632</v>
      </c>
    </row>
    <row r="2265" spans="1:5" x14ac:dyDescent="0.25">
      <c r="A2265" s="130" t="str">
        <f>LEFT(B2265,1)</f>
        <v>G</v>
      </c>
      <c r="B2265" t="s">
        <v>25601</v>
      </c>
      <c r="C2265">
        <v>1</v>
      </c>
      <c r="D2265" t="s">
        <v>23629</v>
      </c>
      <c r="E2265" t="s">
        <v>23632</v>
      </c>
    </row>
    <row r="2266" spans="1:5" x14ac:dyDescent="0.25">
      <c r="A2266" s="131" t="s">
        <v>17412</v>
      </c>
      <c r="B2266" t="s">
        <v>25485</v>
      </c>
      <c r="C2266">
        <v>1</v>
      </c>
      <c r="D2266" t="s">
        <v>23629</v>
      </c>
      <c r="E2266" t="s">
        <v>23632</v>
      </c>
    </row>
    <row r="2267" spans="1:5" x14ac:dyDescent="0.25">
      <c r="A2267" s="130" t="s">
        <v>17412</v>
      </c>
      <c r="B2267" t="s">
        <v>25486</v>
      </c>
      <c r="C2267">
        <v>1</v>
      </c>
      <c r="D2267" t="s">
        <v>23629</v>
      </c>
      <c r="E2267" t="s">
        <v>23632</v>
      </c>
    </row>
    <row r="2268" spans="1:5" x14ac:dyDescent="0.25">
      <c r="A2268" s="131" t="s">
        <v>17412</v>
      </c>
      <c r="B2268" t="s">
        <v>25487</v>
      </c>
      <c r="C2268">
        <v>1</v>
      </c>
      <c r="D2268" t="s">
        <v>23629</v>
      </c>
      <c r="E2268" t="s">
        <v>23632</v>
      </c>
    </row>
    <row r="2269" spans="1:5" x14ac:dyDescent="0.25">
      <c r="A2269" s="130" t="s">
        <v>17412</v>
      </c>
      <c r="B2269" t="s">
        <v>25488</v>
      </c>
      <c r="C2269">
        <v>1</v>
      </c>
      <c r="D2269" t="s">
        <v>23629</v>
      </c>
      <c r="E2269" t="s">
        <v>23632</v>
      </c>
    </row>
    <row r="2270" spans="1:5" x14ac:dyDescent="0.25">
      <c r="A2270" s="131" t="s">
        <v>17412</v>
      </c>
      <c r="B2270" t="s">
        <v>25489</v>
      </c>
      <c r="C2270">
        <v>1</v>
      </c>
      <c r="D2270" t="s">
        <v>23629</v>
      </c>
      <c r="E2270" t="s">
        <v>23632</v>
      </c>
    </row>
    <row r="2271" spans="1:5" x14ac:dyDescent="0.25">
      <c r="A2271" s="130" t="s">
        <v>17412</v>
      </c>
      <c r="B2271" t="s">
        <v>25490</v>
      </c>
      <c r="C2271">
        <v>1</v>
      </c>
      <c r="D2271" t="s">
        <v>23629</v>
      </c>
      <c r="E2271" t="s">
        <v>23632</v>
      </c>
    </row>
    <row r="2272" spans="1:5" x14ac:dyDescent="0.25">
      <c r="A2272" s="131" t="s">
        <v>17412</v>
      </c>
      <c r="B2272" t="s">
        <v>25491</v>
      </c>
      <c r="C2272">
        <v>1</v>
      </c>
      <c r="D2272" t="s">
        <v>23629</v>
      </c>
      <c r="E2272" t="s">
        <v>23632</v>
      </c>
    </row>
    <row r="2273" spans="1:5" x14ac:dyDescent="0.25">
      <c r="A2273" s="130" t="str">
        <f>LEFT((B2273),1)</f>
        <v>G</v>
      </c>
      <c r="B2273" t="s">
        <v>25492</v>
      </c>
      <c r="C2273">
        <v>1</v>
      </c>
      <c r="D2273" t="s">
        <v>23629</v>
      </c>
      <c r="E2273" t="s">
        <v>23632</v>
      </c>
    </row>
    <row r="2274" spans="1:5" x14ac:dyDescent="0.25">
      <c r="A2274" s="130" t="s">
        <v>17412</v>
      </c>
      <c r="B2274" t="s">
        <v>25493</v>
      </c>
      <c r="C2274">
        <v>1</v>
      </c>
      <c r="D2274" t="s">
        <v>23629</v>
      </c>
      <c r="E2274" t="s">
        <v>23632</v>
      </c>
    </row>
    <row r="2275" spans="1:5" x14ac:dyDescent="0.25">
      <c r="A2275" s="131" t="s">
        <v>17412</v>
      </c>
      <c r="B2275" t="s">
        <v>25494</v>
      </c>
      <c r="C2275">
        <v>1</v>
      </c>
      <c r="D2275" t="s">
        <v>23629</v>
      </c>
      <c r="E2275" t="s">
        <v>23632</v>
      </c>
    </row>
    <row r="2276" spans="1:5" x14ac:dyDescent="0.25">
      <c r="A2276" s="131" t="str">
        <f>LEFT((B2276),1)</f>
        <v>G</v>
      </c>
      <c r="B2276" t="s">
        <v>25495</v>
      </c>
      <c r="C2276">
        <v>1</v>
      </c>
      <c r="D2276" t="s">
        <v>23629</v>
      </c>
      <c r="E2276" t="s">
        <v>23632</v>
      </c>
    </row>
    <row r="2277" spans="1:5" x14ac:dyDescent="0.25">
      <c r="A2277" s="130" t="str">
        <f>LEFT(B2277,1)</f>
        <v>G</v>
      </c>
      <c r="B2277" t="s">
        <v>28478</v>
      </c>
      <c r="C2277">
        <v>1</v>
      </c>
      <c r="D2277" t="s">
        <v>23629</v>
      </c>
      <c r="E2277" t="s">
        <v>23632</v>
      </c>
    </row>
    <row r="2278" spans="1:5" x14ac:dyDescent="0.25">
      <c r="A2278" s="131" t="s">
        <v>17412</v>
      </c>
      <c r="B2278" t="s">
        <v>25496</v>
      </c>
      <c r="C2278">
        <v>1</v>
      </c>
      <c r="D2278" t="s">
        <v>23629</v>
      </c>
      <c r="E2278" t="s">
        <v>23632</v>
      </c>
    </row>
    <row r="2279" spans="1:5" x14ac:dyDescent="0.25">
      <c r="A2279" s="130" t="str">
        <f>LEFT((B2279),1)</f>
        <v>G</v>
      </c>
      <c r="B2279" t="s">
        <v>25497</v>
      </c>
      <c r="C2279">
        <v>1</v>
      </c>
      <c r="D2279" t="s">
        <v>23629</v>
      </c>
      <c r="E2279" t="s">
        <v>23632</v>
      </c>
    </row>
    <row r="2280" spans="1:5" x14ac:dyDescent="0.25">
      <c r="A2280" s="131" t="s">
        <v>17412</v>
      </c>
      <c r="B2280" t="s">
        <v>25498</v>
      </c>
      <c r="C2280">
        <v>1</v>
      </c>
      <c r="D2280" t="s">
        <v>23629</v>
      </c>
      <c r="E2280" t="s">
        <v>23632</v>
      </c>
    </row>
    <row r="2281" spans="1:5" x14ac:dyDescent="0.25">
      <c r="A2281" s="130" t="str">
        <f>LEFT(B2281,1)</f>
        <v>G</v>
      </c>
      <c r="B2281" t="s">
        <v>28783</v>
      </c>
      <c r="C2281">
        <v>1</v>
      </c>
      <c r="D2281" t="s">
        <v>23629</v>
      </c>
      <c r="E2281" t="s">
        <v>23632</v>
      </c>
    </row>
    <row r="2282" spans="1:5" x14ac:dyDescent="0.25">
      <c r="A2282" s="130" t="s">
        <v>17412</v>
      </c>
      <c r="B2282" t="s">
        <v>25499</v>
      </c>
      <c r="C2282">
        <v>1</v>
      </c>
      <c r="D2282" t="s">
        <v>23629</v>
      </c>
      <c r="E2282" t="s">
        <v>23632</v>
      </c>
    </row>
    <row r="2283" spans="1:5" x14ac:dyDescent="0.25">
      <c r="A2283" s="131" t="s">
        <v>17412</v>
      </c>
      <c r="B2283" t="s">
        <v>25500</v>
      </c>
      <c r="C2283">
        <v>1</v>
      </c>
      <c r="D2283" t="s">
        <v>23629</v>
      </c>
      <c r="E2283" t="s">
        <v>23632</v>
      </c>
    </row>
    <row r="2284" spans="1:5" x14ac:dyDescent="0.25">
      <c r="A2284" s="130" t="str">
        <f>LEFT(B2284,1)</f>
        <v>G</v>
      </c>
      <c r="B2284" t="s">
        <v>25636</v>
      </c>
      <c r="C2284">
        <v>1</v>
      </c>
      <c r="D2284" t="s">
        <v>23629</v>
      </c>
      <c r="E2284" t="s">
        <v>23632</v>
      </c>
    </row>
    <row r="2285" spans="1:5" x14ac:dyDescent="0.25">
      <c r="A2285" s="130" t="str">
        <f>LEFT(B2285,1)</f>
        <v>G</v>
      </c>
      <c r="B2285" t="s">
        <v>28784</v>
      </c>
      <c r="C2285">
        <v>1</v>
      </c>
      <c r="D2285" t="s">
        <v>23629</v>
      </c>
      <c r="E2285" t="s">
        <v>23632</v>
      </c>
    </row>
    <row r="2286" spans="1:5" x14ac:dyDescent="0.25">
      <c r="A2286" s="130" t="s">
        <v>17412</v>
      </c>
      <c r="B2286" t="s">
        <v>25501</v>
      </c>
      <c r="C2286">
        <v>1</v>
      </c>
      <c r="D2286" t="s">
        <v>23629</v>
      </c>
      <c r="E2286" t="s">
        <v>23632</v>
      </c>
    </row>
    <row r="2287" spans="1:5" x14ac:dyDescent="0.25">
      <c r="A2287" s="130" t="str">
        <f>LEFT(B2287,1)</f>
        <v>G</v>
      </c>
      <c r="B2287" t="s">
        <v>29037</v>
      </c>
      <c r="C2287">
        <v>1</v>
      </c>
      <c r="D2287" t="s">
        <v>23629</v>
      </c>
      <c r="E2287" t="s">
        <v>23632</v>
      </c>
    </row>
    <row r="2288" spans="1:5" x14ac:dyDescent="0.25">
      <c r="A2288" s="131" t="str">
        <f>LEFT(B2288,1)</f>
        <v>G</v>
      </c>
      <c r="B2288" t="s">
        <v>25602</v>
      </c>
      <c r="C2288">
        <v>1</v>
      </c>
      <c r="D2288" t="s">
        <v>23629</v>
      </c>
      <c r="E2288" t="s">
        <v>23632</v>
      </c>
    </row>
    <row r="2289" spans="1:5" x14ac:dyDescent="0.25">
      <c r="A2289" s="131" t="str">
        <f>LEFT(B2289,1)</f>
        <v>G</v>
      </c>
      <c r="B2289" t="s">
        <v>25637</v>
      </c>
      <c r="C2289">
        <v>1</v>
      </c>
      <c r="D2289" t="s">
        <v>23629</v>
      </c>
      <c r="E2289" t="s">
        <v>23632</v>
      </c>
    </row>
    <row r="2290" spans="1:5" x14ac:dyDescent="0.25">
      <c r="A2290" s="131" t="s">
        <v>17412</v>
      </c>
      <c r="B2290" t="s">
        <v>25502</v>
      </c>
      <c r="C2290">
        <v>1</v>
      </c>
      <c r="D2290" t="s">
        <v>23629</v>
      </c>
      <c r="E2290" t="s">
        <v>23632</v>
      </c>
    </row>
    <row r="2291" spans="1:5" x14ac:dyDescent="0.25">
      <c r="A2291" s="130" t="s">
        <v>17412</v>
      </c>
      <c r="B2291" t="s">
        <v>25503</v>
      </c>
      <c r="C2291">
        <v>1</v>
      </c>
      <c r="D2291" t="s">
        <v>23629</v>
      </c>
      <c r="E2291" t="s">
        <v>23632</v>
      </c>
    </row>
    <row r="2292" spans="1:5" x14ac:dyDescent="0.25">
      <c r="A2292" s="131" t="s">
        <v>17412</v>
      </c>
      <c r="B2292" t="s">
        <v>25504</v>
      </c>
      <c r="C2292">
        <v>1</v>
      </c>
      <c r="D2292" t="s">
        <v>23629</v>
      </c>
      <c r="E2292" t="s">
        <v>23632</v>
      </c>
    </row>
    <row r="2293" spans="1:5" x14ac:dyDescent="0.25">
      <c r="A2293" s="131" t="s">
        <v>17412</v>
      </c>
      <c r="B2293" t="s">
        <v>25505</v>
      </c>
      <c r="C2293">
        <v>1</v>
      </c>
      <c r="D2293" t="s">
        <v>23629</v>
      </c>
      <c r="E2293" t="s">
        <v>23632</v>
      </c>
    </row>
    <row r="2294" spans="1:5" x14ac:dyDescent="0.25">
      <c r="A2294" s="130" t="s">
        <v>17412</v>
      </c>
      <c r="B2294" t="s">
        <v>25506</v>
      </c>
      <c r="C2294">
        <v>1</v>
      </c>
      <c r="D2294" t="s">
        <v>23629</v>
      </c>
      <c r="E2294" t="s">
        <v>23632</v>
      </c>
    </row>
    <row r="2295" spans="1:5" x14ac:dyDescent="0.25">
      <c r="A2295" s="131" t="s">
        <v>17412</v>
      </c>
      <c r="B2295" t="s">
        <v>25507</v>
      </c>
      <c r="C2295">
        <v>1</v>
      </c>
      <c r="D2295" t="s">
        <v>23629</v>
      </c>
      <c r="E2295" t="s">
        <v>23632</v>
      </c>
    </row>
    <row r="2296" spans="1:5" x14ac:dyDescent="0.25">
      <c r="A2296" s="130" t="str">
        <f>LEFT(B2296,1)</f>
        <v>G</v>
      </c>
      <c r="B2296" t="s">
        <v>29038</v>
      </c>
      <c r="C2296">
        <v>1</v>
      </c>
      <c r="D2296" t="s">
        <v>23629</v>
      </c>
      <c r="E2296" t="s">
        <v>23632</v>
      </c>
    </row>
    <row r="2297" spans="1:5" x14ac:dyDescent="0.25">
      <c r="A2297" s="130" t="str">
        <f>LEFT(B2297,1)</f>
        <v>G</v>
      </c>
      <c r="B2297" t="s">
        <v>25623</v>
      </c>
      <c r="C2297">
        <v>1</v>
      </c>
      <c r="D2297" t="s">
        <v>23629</v>
      </c>
      <c r="E2297" t="s">
        <v>23632</v>
      </c>
    </row>
    <row r="2298" spans="1:5" x14ac:dyDescent="0.25">
      <c r="A2298" s="130" t="s">
        <v>17412</v>
      </c>
      <c r="B2298" t="s">
        <v>25508</v>
      </c>
      <c r="C2298">
        <v>1</v>
      </c>
      <c r="D2298" t="s">
        <v>23629</v>
      </c>
      <c r="E2298" t="s">
        <v>23632</v>
      </c>
    </row>
    <row r="2299" spans="1:5" x14ac:dyDescent="0.25">
      <c r="A2299" s="131" t="s">
        <v>17412</v>
      </c>
      <c r="B2299" t="s">
        <v>25509</v>
      </c>
      <c r="C2299">
        <v>1</v>
      </c>
      <c r="D2299" t="s">
        <v>23629</v>
      </c>
      <c r="E2299" t="s">
        <v>23632</v>
      </c>
    </row>
    <row r="2300" spans="1:5" x14ac:dyDescent="0.25">
      <c r="A2300" s="131" t="str">
        <f>LEFT((B2300),1)</f>
        <v>G</v>
      </c>
      <c r="B2300" t="s">
        <v>25510</v>
      </c>
      <c r="C2300">
        <v>1</v>
      </c>
      <c r="D2300" t="s">
        <v>23629</v>
      </c>
      <c r="E2300" t="s">
        <v>23632</v>
      </c>
    </row>
    <row r="2301" spans="1:5" x14ac:dyDescent="0.25">
      <c r="A2301" s="130" t="s">
        <v>17412</v>
      </c>
      <c r="B2301" t="s">
        <v>25511</v>
      </c>
      <c r="C2301">
        <v>1</v>
      </c>
      <c r="D2301" t="s">
        <v>23629</v>
      </c>
      <c r="E2301" t="s">
        <v>23632</v>
      </c>
    </row>
    <row r="2302" spans="1:5" x14ac:dyDescent="0.25">
      <c r="A2302" s="131" t="s">
        <v>17412</v>
      </c>
      <c r="B2302" t="s">
        <v>25512</v>
      </c>
      <c r="C2302">
        <v>1</v>
      </c>
      <c r="D2302" t="s">
        <v>23629</v>
      </c>
      <c r="E2302" t="s">
        <v>23632</v>
      </c>
    </row>
    <row r="2303" spans="1:5" x14ac:dyDescent="0.25">
      <c r="A2303" s="130" t="s">
        <v>17412</v>
      </c>
      <c r="B2303" t="s">
        <v>25513</v>
      </c>
      <c r="C2303">
        <v>1</v>
      </c>
      <c r="D2303" t="s">
        <v>23629</v>
      </c>
      <c r="E2303" t="s">
        <v>23632</v>
      </c>
    </row>
    <row r="2304" spans="1:5" x14ac:dyDescent="0.25">
      <c r="A2304" s="130" t="str">
        <f>LEFT(B2304,1)</f>
        <v>G</v>
      </c>
      <c r="B2304" t="s">
        <v>28479</v>
      </c>
      <c r="C2304">
        <v>1</v>
      </c>
      <c r="D2304" t="s">
        <v>23629</v>
      </c>
      <c r="E2304" t="s">
        <v>23632</v>
      </c>
    </row>
    <row r="2305" spans="1:5" x14ac:dyDescent="0.25">
      <c r="A2305" s="130" t="str">
        <f>LEFT(B2305,1)</f>
        <v>G</v>
      </c>
      <c r="B2305" t="s">
        <v>28480</v>
      </c>
      <c r="C2305">
        <v>1</v>
      </c>
      <c r="D2305" t="s">
        <v>23629</v>
      </c>
      <c r="E2305" t="s">
        <v>23632</v>
      </c>
    </row>
    <row r="2306" spans="1:5" x14ac:dyDescent="0.25">
      <c r="A2306" s="130" t="str">
        <f>LEFT(B2306,1)</f>
        <v>G</v>
      </c>
      <c r="B2306" t="s">
        <v>28481</v>
      </c>
      <c r="C2306">
        <v>1</v>
      </c>
      <c r="D2306" t="s">
        <v>23629</v>
      </c>
      <c r="E2306" t="s">
        <v>23632</v>
      </c>
    </row>
    <row r="2307" spans="1:5" x14ac:dyDescent="0.25">
      <c r="A2307" s="130" t="s">
        <v>17412</v>
      </c>
      <c r="B2307" t="s">
        <v>25514</v>
      </c>
      <c r="C2307">
        <v>1</v>
      </c>
      <c r="D2307" t="s">
        <v>23629</v>
      </c>
      <c r="E2307" t="s">
        <v>23632</v>
      </c>
    </row>
    <row r="2308" spans="1:5" x14ac:dyDescent="0.25">
      <c r="A2308" s="130" t="s">
        <v>17412</v>
      </c>
      <c r="B2308" t="s">
        <v>25515</v>
      </c>
      <c r="C2308">
        <v>1</v>
      </c>
      <c r="D2308" t="s">
        <v>23629</v>
      </c>
      <c r="E2308" t="s">
        <v>23632</v>
      </c>
    </row>
    <row r="2309" spans="1:5" x14ac:dyDescent="0.25">
      <c r="A2309" s="130" t="str">
        <f>LEFT(B2309,1)</f>
        <v>G</v>
      </c>
      <c r="B2309" t="s">
        <v>28482</v>
      </c>
      <c r="C2309">
        <v>1</v>
      </c>
      <c r="D2309" t="s">
        <v>23629</v>
      </c>
      <c r="E2309" t="s">
        <v>23632</v>
      </c>
    </row>
    <row r="2310" spans="1:5" x14ac:dyDescent="0.25">
      <c r="A2310" s="131" t="s">
        <v>17412</v>
      </c>
      <c r="B2310" t="s">
        <v>25516</v>
      </c>
      <c r="C2310">
        <v>1</v>
      </c>
      <c r="D2310" t="s">
        <v>23629</v>
      </c>
      <c r="E2310" t="s">
        <v>23632</v>
      </c>
    </row>
    <row r="2311" spans="1:5" x14ac:dyDescent="0.25">
      <c r="A2311" s="131" t="s">
        <v>17412</v>
      </c>
      <c r="B2311" t="s">
        <v>25517</v>
      </c>
      <c r="C2311">
        <v>1</v>
      </c>
      <c r="D2311" t="s">
        <v>23629</v>
      </c>
      <c r="E2311" t="s">
        <v>23632</v>
      </c>
    </row>
    <row r="2312" spans="1:5" x14ac:dyDescent="0.25">
      <c r="A2312" s="130" t="s">
        <v>17412</v>
      </c>
      <c r="B2312" t="s">
        <v>25518</v>
      </c>
      <c r="C2312">
        <v>1</v>
      </c>
      <c r="D2312" t="s">
        <v>23629</v>
      </c>
      <c r="E2312" t="s">
        <v>23632</v>
      </c>
    </row>
    <row r="2313" spans="1:5" x14ac:dyDescent="0.25">
      <c r="A2313" s="131" t="s">
        <v>17412</v>
      </c>
      <c r="B2313" t="s">
        <v>25519</v>
      </c>
      <c r="C2313">
        <v>1</v>
      </c>
      <c r="D2313" t="s">
        <v>23629</v>
      </c>
      <c r="E2313" t="s">
        <v>23632</v>
      </c>
    </row>
    <row r="2314" spans="1:5" x14ac:dyDescent="0.25">
      <c r="A2314" s="130" t="str">
        <f>LEFT(B2314,1)</f>
        <v>G</v>
      </c>
      <c r="B2314" t="s">
        <v>28483</v>
      </c>
      <c r="C2314">
        <v>1</v>
      </c>
      <c r="D2314" t="s">
        <v>23629</v>
      </c>
      <c r="E2314" t="s">
        <v>23632</v>
      </c>
    </row>
    <row r="2315" spans="1:5" x14ac:dyDescent="0.25">
      <c r="A2315" s="130" t="str">
        <f>LEFT((B2315),1)</f>
        <v>G</v>
      </c>
      <c r="B2315" t="s">
        <v>25520</v>
      </c>
      <c r="C2315">
        <v>1</v>
      </c>
      <c r="D2315" t="s">
        <v>23629</v>
      </c>
      <c r="E2315" t="s">
        <v>23632</v>
      </c>
    </row>
    <row r="2316" spans="1:5" x14ac:dyDescent="0.25">
      <c r="A2316" s="130" t="str">
        <f>LEFT(B2316,1)</f>
        <v>G</v>
      </c>
      <c r="B2316" t="s">
        <v>28484</v>
      </c>
      <c r="C2316">
        <v>1</v>
      </c>
      <c r="D2316" t="s">
        <v>23629</v>
      </c>
      <c r="E2316" t="s">
        <v>23632</v>
      </c>
    </row>
    <row r="2317" spans="1:5" x14ac:dyDescent="0.25">
      <c r="A2317" s="131" t="str">
        <f>LEFT((B2317),1)</f>
        <v>G</v>
      </c>
      <c r="B2317" t="s">
        <v>25521</v>
      </c>
      <c r="C2317">
        <v>1</v>
      </c>
      <c r="D2317" t="s">
        <v>23629</v>
      </c>
      <c r="E2317" t="s">
        <v>23632</v>
      </c>
    </row>
    <row r="2318" spans="1:5" x14ac:dyDescent="0.25">
      <c r="A2318" s="130" t="str">
        <f>LEFT(B2318,1)</f>
        <v>G</v>
      </c>
      <c r="B2318" t="s">
        <v>25624</v>
      </c>
      <c r="C2318">
        <v>1</v>
      </c>
      <c r="D2318" t="s">
        <v>23629</v>
      </c>
      <c r="E2318" t="s">
        <v>23632</v>
      </c>
    </row>
    <row r="2319" spans="1:5" x14ac:dyDescent="0.25">
      <c r="A2319" s="130" t="str">
        <f>LEFT(B2319,1)</f>
        <v>G</v>
      </c>
      <c r="B2319" t="s">
        <v>25638</v>
      </c>
      <c r="C2319">
        <v>1</v>
      </c>
      <c r="D2319" t="s">
        <v>23629</v>
      </c>
      <c r="E2319" t="s">
        <v>23632</v>
      </c>
    </row>
    <row r="2320" spans="1:5" x14ac:dyDescent="0.25">
      <c r="A2320" s="130" t="str">
        <f>LEFT(B2320,1)</f>
        <v>G</v>
      </c>
      <c r="B2320" t="s">
        <v>28485</v>
      </c>
      <c r="C2320">
        <v>1</v>
      </c>
      <c r="D2320" t="s">
        <v>23629</v>
      </c>
      <c r="E2320" t="s">
        <v>23632</v>
      </c>
    </row>
    <row r="2321" spans="1:5" x14ac:dyDescent="0.25">
      <c r="A2321" s="130" t="str">
        <f>LEFT(B2321,1)</f>
        <v>G</v>
      </c>
      <c r="B2321" t="s">
        <v>25603</v>
      </c>
      <c r="C2321">
        <v>1</v>
      </c>
      <c r="D2321" t="s">
        <v>23629</v>
      </c>
      <c r="E2321" t="s">
        <v>23632</v>
      </c>
    </row>
    <row r="2322" spans="1:5" x14ac:dyDescent="0.25">
      <c r="A2322" s="131" t="s">
        <v>17412</v>
      </c>
      <c r="B2322" t="s">
        <v>25522</v>
      </c>
      <c r="C2322">
        <v>1</v>
      </c>
      <c r="D2322" t="s">
        <v>23629</v>
      </c>
      <c r="E2322" t="s">
        <v>23632</v>
      </c>
    </row>
    <row r="2323" spans="1:5" x14ac:dyDescent="0.25">
      <c r="A2323" s="130" t="s">
        <v>17412</v>
      </c>
      <c r="B2323" t="s">
        <v>25523</v>
      </c>
      <c r="C2323">
        <v>1</v>
      </c>
      <c r="D2323" t="s">
        <v>23629</v>
      </c>
      <c r="E2323" t="s">
        <v>23632</v>
      </c>
    </row>
    <row r="2324" spans="1:5" x14ac:dyDescent="0.25">
      <c r="A2324" s="131" t="s">
        <v>17412</v>
      </c>
      <c r="B2324" t="s">
        <v>25524</v>
      </c>
      <c r="C2324">
        <v>1</v>
      </c>
      <c r="D2324" t="s">
        <v>23629</v>
      </c>
      <c r="E2324" t="s">
        <v>23632</v>
      </c>
    </row>
    <row r="2325" spans="1:5" x14ac:dyDescent="0.25">
      <c r="A2325" s="130" t="str">
        <f>LEFT((B2325),1)</f>
        <v>G</v>
      </c>
      <c r="B2325" t="s">
        <v>25525</v>
      </c>
      <c r="C2325">
        <v>1</v>
      </c>
      <c r="D2325" t="s">
        <v>23629</v>
      </c>
      <c r="E2325" t="s">
        <v>23632</v>
      </c>
    </row>
    <row r="2326" spans="1:5" x14ac:dyDescent="0.25">
      <c r="A2326" s="130" t="s">
        <v>17412</v>
      </c>
      <c r="B2326" t="s">
        <v>25526</v>
      </c>
      <c r="C2326">
        <v>1</v>
      </c>
      <c r="D2326" t="s">
        <v>23629</v>
      </c>
      <c r="E2326" t="s">
        <v>23632</v>
      </c>
    </row>
    <row r="2327" spans="1:5" x14ac:dyDescent="0.25">
      <c r="A2327" s="130" t="s">
        <v>17412</v>
      </c>
      <c r="B2327" t="s">
        <v>25527</v>
      </c>
      <c r="C2327">
        <v>1</v>
      </c>
      <c r="D2327" t="s">
        <v>23629</v>
      </c>
      <c r="E2327" t="s">
        <v>23632</v>
      </c>
    </row>
    <row r="2328" spans="1:5" x14ac:dyDescent="0.25">
      <c r="A2328" s="131" t="s">
        <v>17412</v>
      </c>
      <c r="B2328" t="s">
        <v>25528</v>
      </c>
      <c r="C2328">
        <v>1</v>
      </c>
      <c r="D2328" t="s">
        <v>23629</v>
      </c>
      <c r="E2328" t="s">
        <v>23632</v>
      </c>
    </row>
    <row r="2329" spans="1:5" x14ac:dyDescent="0.25">
      <c r="A2329" s="131" t="s">
        <v>17412</v>
      </c>
      <c r="B2329" t="s">
        <v>25529</v>
      </c>
      <c r="C2329">
        <v>1</v>
      </c>
      <c r="D2329" t="s">
        <v>23629</v>
      </c>
      <c r="E2329" t="s">
        <v>23632</v>
      </c>
    </row>
    <row r="2330" spans="1:5" x14ac:dyDescent="0.25">
      <c r="A2330" s="130" t="s">
        <v>17412</v>
      </c>
      <c r="B2330" t="s">
        <v>25530</v>
      </c>
      <c r="C2330">
        <v>1</v>
      </c>
      <c r="D2330" t="s">
        <v>23629</v>
      </c>
      <c r="E2330" t="s">
        <v>23632</v>
      </c>
    </row>
    <row r="2331" spans="1:5" x14ac:dyDescent="0.25">
      <c r="A2331" s="131" t="s">
        <v>17412</v>
      </c>
      <c r="B2331" t="s">
        <v>25531</v>
      </c>
      <c r="C2331">
        <v>1</v>
      </c>
      <c r="D2331" t="s">
        <v>23629</v>
      </c>
      <c r="E2331" t="s">
        <v>23632</v>
      </c>
    </row>
    <row r="2332" spans="1:5" x14ac:dyDescent="0.25">
      <c r="A2332" s="131" t="str">
        <f>LEFT(B2332,1)</f>
        <v>G</v>
      </c>
      <c r="B2332" t="s">
        <v>25639</v>
      </c>
      <c r="C2332">
        <v>1</v>
      </c>
      <c r="D2332" t="s">
        <v>23629</v>
      </c>
      <c r="E2332" t="s">
        <v>23632</v>
      </c>
    </row>
    <row r="2333" spans="1:5" x14ac:dyDescent="0.25">
      <c r="A2333" s="130" t="str">
        <f>LEFT(B2333,1)</f>
        <v>G</v>
      </c>
      <c r="B2333" t="s">
        <v>28486</v>
      </c>
      <c r="C2333">
        <v>1</v>
      </c>
      <c r="D2333" t="s">
        <v>23629</v>
      </c>
      <c r="E2333" t="s">
        <v>23632</v>
      </c>
    </row>
    <row r="2334" spans="1:5" x14ac:dyDescent="0.25">
      <c r="A2334" s="131" t="str">
        <f>LEFT(B2334,1)</f>
        <v>G</v>
      </c>
      <c r="B2334" t="s">
        <v>25604</v>
      </c>
      <c r="C2334">
        <v>1</v>
      </c>
      <c r="D2334" t="s">
        <v>23629</v>
      </c>
      <c r="E2334" t="s">
        <v>23632</v>
      </c>
    </row>
    <row r="2335" spans="1:5" x14ac:dyDescent="0.25">
      <c r="A2335" s="130" t="s">
        <v>17412</v>
      </c>
      <c r="B2335" t="s">
        <v>25532</v>
      </c>
      <c r="C2335">
        <v>1.2</v>
      </c>
      <c r="D2335" t="s">
        <v>23629</v>
      </c>
      <c r="E2335" t="s">
        <v>23632</v>
      </c>
    </row>
    <row r="2336" spans="1:5" x14ac:dyDescent="0.25">
      <c r="A2336" s="130" t="str">
        <f>LEFT(B2336,1)</f>
        <v>G</v>
      </c>
      <c r="B2336" t="s">
        <v>29039</v>
      </c>
      <c r="C2336">
        <v>1</v>
      </c>
      <c r="D2336" t="s">
        <v>23629</v>
      </c>
      <c r="E2336" t="s">
        <v>23632</v>
      </c>
    </row>
    <row r="2337" spans="1:5" x14ac:dyDescent="0.25">
      <c r="A2337" s="131" t="s">
        <v>17412</v>
      </c>
      <c r="B2337" t="s">
        <v>25533</v>
      </c>
      <c r="C2337">
        <v>1</v>
      </c>
      <c r="D2337" t="s">
        <v>23629</v>
      </c>
      <c r="E2337" t="s">
        <v>23632</v>
      </c>
    </row>
    <row r="2338" spans="1:5" x14ac:dyDescent="0.25">
      <c r="A2338" s="131" t="s">
        <v>17412</v>
      </c>
      <c r="B2338" t="s">
        <v>25534</v>
      </c>
      <c r="C2338">
        <v>1</v>
      </c>
      <c r="D2338" t="s">
        <v>23629</v>
      </c>
      <c r="E2338" t="s">
        <v>23632</v>
      </c>
    </row>
    <row r="2339" spans="1:5" x14ac:dyDescent="0.25">
      <c r="A2339" s="131" t="s">
        <v>17412</v>
      </c>
      <c r="B2339" t="s">
        <v>25535</v>
      </c>
      <c r="C2339">
        <v>1</v>
      </c>
      <c r="D2339" t="s">
        <v>23629</v>
      </c>
      <c r="E2339" t="s">
        <v>23632</v>
      </c>
    </row>
    <row r="2340" spans="1:5" x14ac:dyDescent="0.25">
      <c r="A2340" s="130" t="str">
        <f>LEFT(B2340,1)</f>
        <v>G</v>
      </c>
      <c r="B2340" t="s">
        <v>25605</v>
      </c>
      <c r="C2340">
        <v>1</v>
      </c>
      <c r="D2340" t="s">
        <v>25606</v>
      </c>
      <c r="E2340" t="s">
        <v>23632</v>
      </c>
    </row>
    <row r="2341" spans="1:5" x14ac:dyDescent="0.25">
      <c r="A2341" s="131" t="str">
        <f>LEFT(B2341,1)</f>
        <v>G</v>
      </c>
      <c r="B2341" t="s">
        <v>25607</v>
      </c>
      <c r="C2341">
        <v>1</v>
      </c>
      <c r="D2341" t="s">
        <v>23629</v>
      </c>
      <c r="E2341" t="s">
        <v>23632</v>
      </c>
    </row>
    <row r="2342" spans="1:5" x14ac:dyDescent="0.25">
      <c r="A2342" s="131" t="s">
        <v>17412</v>
      </c>
      <c r="B2342" t="s">
        <v>25536</v>
      </c>
      <c r="C2342">
        <v>1</v>
      </c>
      <c r="D2342" t="s">
        <v>23629</v>
      </c>
      <c r="E2342" t="s">
        <v>23632</v>
      </c>
    </row>
    <row r="2343" spans="1:5" x14ac:dyDescent="0.25">
      <c r="A2343" s="130" t="str">
        <f>LEFT(B2343,1)</f>
        <v>G</v>
      </c>
      <c r="B2343" t="s">
        <v>28487</v>
      </c>
      <c r="C2343">
        <v>1</v>
      </c>
      <c r="D2343" t="s">
        <v>23629</v>
      </c>
      <c r="E2343" t="s">
        <v>23632</v>
      </c>
    </row>
    <row r="2344" spans="1:5" x14ac:dyDescent="0.25">
      <c r="A2344" s="130" t="s">
        <v>17412</v>
      </c>
      <c r="B2344" t="s">
        <v>25537</v>
      </c>
      <c r="C2344">
        <v>1</v>
      </c>
      <c r="D2344" t="s">
        <v>23629</v>
      </c>
      <c r="E2344" t="s">
        <v>23632</v>
      </c>
    </row>
    <row r="2345" spans="1:5" x14ac:dyDescent="0.25">
      <c r="A2345" s="130" t="str">
        <f>LEFT(B2345,1)</f>
        <v>G</v>
      </c>
      <c r="B2345" t="s">
        <v>29237</v>
      </c>
      <c r="C2345">
        <v>1</v>
      </c>
      <c r="D2345" t="s">
        <v>23629</v>
      </c>
      <c r="E2345" t="s">
        <v>23632</v>
      </c>
    </row>
    <row r="2346" spans="1:5" x14ac:dyDescent="0.25">
      <c r="A2346" s="131" t="s">
        <v>17412</v>
      </c>
      <c r="B2346" t="s">
        <v>25538</v>
      </c>
      <c r="C2346">
        <v>1</v>
      </c>
      <c r="D2346" t="s">
        <v>23629</v>
      </c>
      <c r="E2346" t="s">
        <v>23632</v>
      </c>
    </row>
    <row r="2347" spans="1:5" x14ac:dyDescent="0.25">
      <c r="A2347" s="131" t="s">
        <v>17412</v>
      </c>
      <c r="B2347" t="s">
        <v>25539</v>
      </c>
      <c r="C2347">
        <v>1</v>
      </c>
      <c r="D2347" t="s">
        <v>23629</v>
      </c>
      <c r="E2347" t="s">
        <v>23632</v>
      </c>
    </row>
    <row r="2348" spans="1:5" x14ac:dyDescent="0.25">
      <c r="A2348" s="130" t="s">
        <v>17412</v>
      </c>
      <c r="B2348" t="s">
        <v>25540</v>
      </c>
      <c r="C2348">
        <v>1</v>
      </c>
      <c r="D2348" t="s">
        <v>23629</v>
      </c>
      <c r="E2348" t="s">
        <v>23632</v>
      </c>
    </row>
    <row r="2349" spans="1:5" x14ac:dyDescent="0.25">
      <c r="A2349" s="131" t="s">
        <v>17412</v>
      </c>
      <c r="B2349" t="s">
        <v>25541</v>
      </c>
      <c r="C2349">
        <v>1</v>
      </c>
      <c r="D2349" t="s">
        <v>23629</v>
      </c>
      <c r="E2349" t="s">
        <v>23632</v>
      </c>
    </row>
    <row r="2350" spans="1:5" x14ac:dyDescent="0.25">
      <c r="A2350" s="130" t="str">
        <f>LEFT(B2350,1)</f>
        <v>G</v>
      </c>
      <c r="B2350" t="s">
        <v>29040</v>
      </c>
      <c r="C2350">
        <v>1</v>
      </c>
      <c r="D2350" t="s">
        <v>23629</v>
      </c>
      <c r="E2350" t="s">
        <v>23632</v>
      </c>
    </row>
    <row r="2351" spans="1:5" x14ac:dyDescent="0.25">
      <c r="A2351" s="130" t="str">
        <f>LEFT(B2351,1)</f>
        <v>G</v>
      </c>
      <c r="B2351" t="s">
        <v>25640</v>
      </c>
      <c r="C2351">
        <v>1</v>
      </c>
      <c r="D2351" t="s">
        <v>23629</v>
      </c>
      <c r="E2351" t="s">
        <v>23632</v>
      </c>
    </row>
    <row r="2352" spans="1:5" x14ac:dyDescent="0.25">
      <c r="A2352" s="131" t="s">
        <v>17412</v>
      </c>
      <c r="B2352" t="s">
        <v>25542</v>
      </c>
      <c r="C2352">
        <v>1</v>
      </c>
      <c r="D2352" t="s">
        <v>23629</v>
      </c>
      <c r="E2352" t="s">
        <v>23632</v>
      </c>
    </row>
    <row r="2353" spans="1:5" x14ac:dyDescent="0.25">
      <c r="A2353" s="131" t="s">
        <v>17412</v>
      </c>
      <c r="B2353" t="s">
        <v>25543</v>
      </c>
      <c r="C2353">
        <v>1</v>
      </c>
      <c r="D2353" t="s">
        <v>23629</v>
      </c>
      <c r="E2353" t="s">
        <v>23632</v>
      </c>
    </row>
    <row r="2354" spans="1:5" x14ac:dyDescent="0.25">
      <c r="A2354" s="130" t="s">
        <v>17412</v>
      </c>
      <c r="B2354" t="s">
        <v>25544</v>
      </c>
      <c r="C2354">
        <v>1</v>
      </c>
      <c r="D2354" t="s">
        <v>23629</v>
      </c>
      <c r="E2354" t="s">
        <v>23632</v>
      </c>
    </row>
    <row r="2355" spans="1:5" x14ac:dyDescent="0.25">
      <c r="A2355" s="130" t="str">
        <f>LEFT(B2355,1)</f>
        <v>G</v>
      </c>
      <c r="B2355" t="s">
        <v>29041</v>
      </c>
      <c r="C2355">
        <v>1</v>
      </c>
      <c r="D2355" t="s">
        <v>23629</v>
      </c>
      <c r="E2355" t="s">
        <v>23632</v>
      </c>
    </row>
    <row r="2356" spans="1:5" x14ac:dyDescent="0.25">
      <c r="A2356" s="130" t="str">
        <f>LEFT(B2356,1)</f>
        <v>G</v>
      </c>
      <c r="B2356" t="s">
        <v>25625</v>
      </c>
      <c r="C2356">
        <v>1</v>
      </c>
      <c r="D2356" t="s">
        <v>23629</v>
      </c>
      <c r="E2356" t="s">
        <v>23632</v>
      </c>
    </row>
    <row r="2357" spans="1:5" x14ac:dyDescent="0.25">
      <c r="A2357" s="131" t="s">
        <v>17412</v>
      </c>
      <c r="B2357" t="s">
        <v>25545</v>
      </c>
      <c r="C2357">
        <v>1</v>
      </c>
      <c r="D2357" t="s">
        <v>23629</v>
      </c>
      <c r="E2357" t="s">
        <v>23632</v>
      </c>
    </row>
    <row r="2358" spans="1:5" x14ac:dyDescent="0.25">
      <c r="A2358" s="130" t="str">
        <f>LEFT(B2358,1)</f>
        <v>G</v>
      </c>
      <c r="B2358" t="s">
        <v>29238</v>
      </c>
      <c r="C2358">
        <v>1</v>
      </c>
      <c r="D2358" t="s">
        <v>23629</v>
      </c>
      <c r="E2358" t="s">
        <v>23632</v>
      </c>
    </row>
    <row r="2359" spans="1:5" x14ac:dyDescent="0.25">
      <c r="A2359" s="131" t="s">
        <v>17412</v>
      </c>
      <c r="B2359" t="s">
        <v>25546</v>
      </c>
      <c r="C2359">
        <v>1</v>
      </c>
      <c r="D2359" t="s">
        <v>23629</v>
      </c>
      <c r="E2359" t="s">
        <v>23632</v>
      </c>
    </row>
    <row r="2360" spans="1:5" x14ac:dyDescent="0.25">
      <c r="A2360" s="131" t="s">
        <v>17412</v>
      </c>
      <c r="B2360" t="s">
        <v>25547</v>
      </c>
      <c r="C2360">
        <v>1</v>
      </c>
      <c r="D2360" t="s">
        <v>23629</v>
      </c>
      <c r="E2360" t="s">
        <v>23632</v>
      </c>
    </row>
    <row r="2361" spans="1:5" x14ac:dyDescent="0.25">
      <c r="A2361" s="131" t="s">
        <v>17412</v>
      </c>
      <c r="B2361" t="s">
        <v>25548</v>
      </c>
      <c r="C2361">
        <v>1</v>
      </c>
      <c r="D2361" t="s">
        <v>23629</v>
      </c>
      <c r="E2361" t="s">
        <v>23632</v>
      </c>
    </row>
    <row r="2362" spans="1:5" x14ac:dyDescent="0.25">
      <c r="A2362" s="130" t="s">
        <v>17412</v>
      </c>
      <c r="B2362" t="s">
        <v>25549</v>
      </c>
      <c r="C2362">
        <v>1</v>
      </c>
      <c r="D2362" t="s">
        <v>23629</v>
      </c>
      <c r="E2362" t="s">
        <v>23632</v>
      </c>
    </row>
    <row r="2363" spans="1:5" x14ac:dyDescent="0.25">
      <c r="A2363" s="130" t="str">
        <f>LEFT(B2363,1)</f>
        <v>G</v>
      </c>
      <c r="B2363" t="s">
        <v>28488</v>
      </c>
      <c r="C2363">
        <v>1</v>
      </c>
      <c r="D2363" t="s">
        <v>23629</v>
      </c>
      <c r="E2363" t="s">
        <v>23632</v>
      </c>
    </row>
    <row r="2364" spans="1:5" x14ac:dyDescent="0.25">
      <c r="A2364" s="130" t="s">
        <v>17412</v>
      </c>
      <c r="B2364" t="s">
        <v>25550</v>
      </c>
      <c r="C2364">
        <v>1</v>
      </c>
      <c r="D2364" t="s">
        <v>23629</v>
      </c>
      <c r="E2364" t="s">
        <v>23632</v>
      </c>
    </row>
    <row r="2365" spans="1:5" x14ac:dyDescent="0.25">
      <c r="A2365" s="130" t="s">
        <v>17412</v>
      </c>
      <c r="B2365" t="s">
        <v>25551</v>
      </c>
      <c r="C2365">
        <v>1</v>
      </c>
      <c r="D2365" t="s">
        <v>23629</v>
      </c>
      <c r="E2365" t="s">
        <v>23632</v>
      </c>
    </row>
    <row r="2366" spans="1:5" x14ac:dyDescent="0.25">
      <c r="A2366" s="130" t="s">
        <v>17412</v>
      </c>
      <c r="B2366" t="s">
        <v>25552</v>
      </c>
      <c r="C2366">
        <v>1</v>
      </c>
      <c r="D2366" t="s">
        <v>23629</v>
      </c>
      <c r="E2366" t="s">
        <v>23632</v>
      </c>
    </row>
    <row r="2367" spans="1:5" x14ac:dyDescent="0.25">
      <c r="A2367" s="131" t="s">
        <v>17412</v>
      </c>
      <c r="B2367" t="s">
        <v>25553</v>
      </c>
      <c r="C2367">
        <v>1</v>
      </c>
      <c r="D2367" t="s">
        <v>23629</v>
      </c>
      <c r="E2367" t="s">
        <v>23632</v>
      </c>
    </row>
    <row r="2368" spans="1:5" x14ac:dyDescent="0.25">
      <c r="A2368" s="130" t="str">
        <f>LEFT(B2368,1)</f>
        <v>G</v>
      </c>
      <c r="B2368" t="s">
        <v>29042</v>
      </c>
      <c r="C2368">
        <v>1</v>
      </c>
      <c r="D2368" t="s">
        <v>23629</v>
      </c>
      <c r="E2368" t="s">
        <v>23632</v>
      </c>
    </row>
    <row r="2369" spans="1:5" x14ac:dyDescent="0.25">
      <c r="A2369" s="130" t="str">
        <f>LEFT(B2369,1)</f>
        <v>G</v>
      </c>
      <c r="B2369" t="s">
        <v>29043</v>
      </c>
      <c r="C2369">
        <v>1</v>
      </c>
      <c r="D2369" t="s">
        <v>23629</v>
      </c>
      <c r="E2369" t="s">
        <v>23632</v>
      </c>
    </row>
    <row r="2370" spans="1:5" x14ac:dyDescent="0.25">
      <c r="A2370" s="130" t="str">
        <f>LEFT(B2370,1)</f>
        <v>G</v>
      </c>
      <c r="B2370" t="s">
        <v>25608</v>
      </c>
      <c r="C2370">
        <v>1</v>
      </c>
      <c r="D2370" t="s">
        <v>23629</v>
      </c>
      <c r="E2370" t="s">
        <v>23632</v>
      </c>
    </row>
    <row r="2371" spans="1:5" x14ac:dyDescent="0.25">
      <c r="A2371" s="131" t="str">
        <f>LEFT(B2371,1)</f>
        <v>G</v>
      </c>
      <c r="B2371" t="s">
        <v>25609</v>
      </c>
      <c r="C2371">
        <v>1</v>
      </c>
      <c r="D2371" t="s">
        <v>23629</v>
      </c>
      <c r="E2371" t="s">
        <v>23632</v>
      </c>
    </row>
    <row r="2372" spans="1:5" x14ac:dyDescent="0.25">
      <c r="A2372" s="131" t="str">
        <f>LEFT(B2372,1)</f>
        <v>G</v>
      </c>
      <c r="B2372" t="s">
        <v>25641</v>
      </c>
      <c r="C2372">
        <v>1</v>
      </c>
      <c r="D2372" t="s">
        <v>23629</v>
      </c>
      <c r="E2372" t="s">
        <v>23632</v>
      </c>
    </row>
    <row r="2373" spans="1:5" x14ac:dyDescent="0.25">
      <c r="A2373" s="130" t="s">
        <v>17412</v>
      </c>
      <c r="B2373" t="s">
        <v>25554</v>
      </c>
      <c r="C2373">
        <v>1</v>
      </c>
      <c r="D2373" t="s">
        <v>23629</v>
      </c>
      <c r="E2373" t="s">
        <v>23632</v>
      </c>
    </row>
    <row r="2374" spans="1:5" x14ac:dyDescent="0.25">
      <c r="A2374" s="131" t="s">
        <v>17412</v>
      </c>
      <c r="B2374" t="s">
        <v>25555</v>
      </c>
      <c r="C2374">
        <v>1</v>
      </c>
      <c r="D2374" t="s">
        <v>23629</v>
      </c>
      <c r="E2374" t="s">
        <v>23632</v>
      </c>
    </row>
    <row r="2375" spans="1:5" x14ac:dyDescent="0.25">
      <c r="A2375" s="130" t="s">
        <v>17412</v>
      </c>
      <c r="B2375" t="s">
        <v>25556</v>
      </c>
      <c r="C2375">
        <v>1</v>
      </c>
      <c r="D2375" t="s">
        <v>23629</v>
      </c>
      <c r="E2375" t="s">
        <v>23632</v>
      </c>
    </row>
    <row r="2376" spans="1:5" x14ac:dyDescent="0.25">
      <c r="A2376" s="130" t="str">
        <f>LEFT(B2376,1)</f>
        <v>G</v>
      </c>
      <c r="B2376" t="s">
        <v>25610</v>
      </c>
      <c r="C2376">
        <v>1</v>
      </c>
      <c r="D2376" t="s">
        <v>23629</v>
      </c>
      <c r="E2376" t="s">
        <v>23632</v>
      </c>
    </row>
    <row r="2377" spans="1:5" x14ac:dyDescent="0.25">
      <c r="A2377" s="131" t="str">
        <f>LEFT(B2377,1)</f>
        <v>G</v>
      </c>
      <c r="B2377" t="s">
        <v>25611</v>
      </c>
      <c r="C2377">
        <v>1</v>
      </c>
      <c r="D2377" t="s">
        <v>23629</v>
      </c>
      <c r="E2377" t="s">
        <v>23632</v>
      </c>
    </row>
    <row r="2378" spans="1:5" x14ac:dyDescent="0.25">
      <c r="A2378" s="131" t="s">
        <v>17412</v>
      </c>
      <c r="B2378" t="s">
        <v>25557</v>
      </c>
      <c r="C2378">
        <v>1</v>
      </c>
      <c r="D2378" t="s">
        <v>23629</v>
      </c>
      <c r="E2378" t="s">
        <v>23632</v>
      </c>
    </row>
    <row r="2379" spans="1:5" x14ac:dyDescent="0.25">
      <c r="A2379" s="131" t="str">
        <f>LEFT((B2379),1)</f>
        <v>G</v>
      </c>
      <c r="B2379" t="s">
        <v>25558</v>
      </c>
      <c r="C2379">
        <v>1</v>
      </c>
      <c r="D2379" t="s">
        <v>23629</v>
      </c>
      <c r="E2379" t="s">
        <v>23632</v>
      </c>
    </row>
    <row r="2380" spans="1:5" x14ac:dyDescent="0.25">
      <c r="A2380" s="130" t="str">
        <f>LEFT(B2380,1)</f>
        <v>G</v>
      </c>
      <c r="B2380" t="s">
        <v>25642</v>
      </c>
      <c r="C2380">
        <v>1</v>
      </c>
      <c r="D2380" t="s">
        <v>23629</v>
      </c>
      <c r="E2380" t="s">
        <v>23632</v>
      </c>
    </row>
    <row r="2381" spans="1:5" x14ac:dyDescent="0.25">
      <c r="A2381" s="130" t="s">
        <v>17412</v>
      </c>
      <c r="B2381" t="s">
        <v>25559</v>
      </c>
      <c r="C2381">
        <v>1</v>
      </c>
      <c r="D2381" t="s">
        <v>23629</v>
      </c>
      <c r="E2381" t="s">
        <v>23632</v>
      </c>
    </row>
    <row r="2382" spans="1:5" x14ac:dyDescent="0.25">
      <c r="A2382" s="130" t="str">
        <f>LEFT(B2382,1)</f>
        <v>G</v>
      </c>
      <c r="B2382" t="s">
        <v>29239</v>
      </c>
      <c r="C2382">
        <v>1</v>
      </c>
      <c r="D2382" t="s">
        <v>23629</v>
      </c>
      <c r="E2382" t="s">
        <v>23632</v>
      </c>
    </row>
    <row r="2383" spans="1:5" x14ac:dyDescent="0.25">
      <c r="A2383" s="130" t="str">
        <f>LEFT((B2383),1)</f>
        <v>G</v>
      </c>
      <c r="B2383" t="s">
        <v>25560</v>
      </c>
      <c r="C2383">
        <v>1</v>
      </c>
      <c r="D2383" t="s">
        <v>23629</v>
      </c>
      <c r="E2383" t="s">
        <v>23632</v>
      </c>
    </row>
    <row r="2384" spans="1:5" x14ac:dyDescent="0.25">
      <c r="A2384" s="130" t="str">
        <f>LEFT(B2384,1)</f>
        <v>G</v>
      </c>
      <c r="B2384" t="s">
        <v>28785</v>
      </c>
      <c r="C2384">
        <v>1</v>
      </c>
      <c r="D2384" t="s">
        <v>23629</v>
      </c>
      <c r="E2384" t="s">
        <v>23632</v>
      </c>
    </row>
    <row r="2385" spans="1:5" x14ac:dyDescent="0.25">
      <c r="A2385" s="131" t="s">
        <v>17412</v>
      </c>
      <c r="B2385" t="s">
        <v>25561</v>
      </c>
      <c r="C2385">
        <v>1</v>
      </c>
      <c r="D2385" t="s">
        <v>23629</v>
      </c>
      <c r="E2385" t="s">
        <v>23632</v>
      </c>
    </row>
    <row r="2386" spans="1:5" x14ac:dyDescent="0.25">
      <c r="A2386" s="131" t="s">
        <v>17412</v>
      </c>
      <c r="B2386" t="s">
        <v>25562</v>
      </c>
      <c r="C2386">
        <v>1</v>
      </c>
      <c r="D2386" t="s">
        <v>23629</v>
      </c>
      <c r="E2386" t="s">
        <v>23632</v>
      </c>
    </row>
    <row r="2387" spans="1:5" x14ac:dyDescent="0.25">
      <c r="A2387" s="130" t="str">
        <f>LEFT(B2387,1)</f>
        <v>G</v>
      </c>
      <c r="B2387" t="s">
        <v>25626</v>
      </c>
      <c r="C2387">
        <v>1</v>
      </c>
      <c r="D2387" t="s">
        <v>23629</v>
      </c>
      <c r="E2387" t="s">
        <v>23632</v>
      </c>
    </row>
    <row r="2388" spans="1:5" x14ac:dyDescent="0.25">
      <c r="A2388" s="130" t="str">
        <f>LEFT(B2388,1)</f>
        <v>G</v>
      </c>
      <c r="B2388" t="s">
        <v>28489</v>
      </c>
      <c r="C2388">
        <v>1</v>
      </c>
      <c r="D2388" t="s">
        <v>23629</v>
      </c>
      <c r="E2388" t="s">
        <v>23632</v>
      </c>
    </row>
    <row r="2389" spans="1:5" x14ac:dyDescent="0.25">
      <c r="A2389" s="130" t="s">
        <v>17412</v>
      </c>
      <c r="B2389" t="s">
        <v>25563</v>
      </c>
      <c r="C2389">
        <v>1</v>
      </c>
      <c r="D2389" t="s">
        <v>23629</v>
      </c>
      <c r="E2389" t="s">
        <v>23632</v>
      </c>
    </row>
    <row r="2390" spans="1:5" x14ac:dyDescent="0.25">
      <c r="A2390" s="131" t="s">
        <v>17412</v>
      </c>
      <c r="B2390" t="s">
        <v>25564</v>
      </c>
      <c r="C2390">
        <v>1</v>
      </c>
      <c r="D2390" t="s">
        <v>23629</v>
      </c>
      <c r="E2390" t="s">
        <v>23632</v>
      </c>
    </row>
    <row r="2391" spans="1:5" x14ac:dyDescent="0.25">
      <c r="A2391" s="131" t="str">
        <f>LEFT((B2391),1)</f>
        <v>G</v>
      </c>
      <c r="B2391" t="s">
        <v>25565</v>
      </c>
      <c r="C2391">
        <v>1</v>
      </c>
      <c r="D2391" t="s">
        <v>23629</v>
      </c>
      <c r="E2391" t="s">
        <v>23632</v>
      </c>
    </row>
    <row r="2392" spans="1:5" x14ac:dyDescent="0.25">
      <c r="A2392" s="130" t="s">
        <v>17412</v>
      </c>
      <c r="B2392" t="s">
        <v>25566</v>
      </c>
      <c r="C2392">
        <v>1</v>
      </c>
      <c r="D2392" t="s">
        <v>23629</v>
      </c>
      <c r="E2392" t="s">
        <v>23632</v>
      </c>
    </row>
    <row r="2393" spans="1:5" x14ac:dyDescent="0.25">
      <c r="A2393" s="130" t="str">
        <f>LEFT(B2393,1)</f>
        <v>G</v>
      </c>
      <c r="B2393" t="s">
        <v>25612</v>
      </c>
      <c r="C2393">
        <v>1</v>
      </c>
      <c r="D2393" t="s">
        <v>23629</v>
      </c>
      <c r="E2393" t="s">
        <v>23632</v>
      </c>
    </row>
    <row r="2394" spans="1:5" x14ac:dyDescent="0.25">
      <c r="A2394" s="131" t="s">
        <v>17412</v>
      </c>
      <c r="B2394" t="s">
        <v>25567</v>
      </c>
      <c r="C2394">
        <v>1</v>
      </c>
      <c r="D2394" t="s">
        <v>23629</v>
      </c>
      <c r="E2394" t="s">
        <v>23632</v>
      </c>
    </row>
    <row r="2395" spans="1:5" x14ac:dyDescent="0.25">
      <c r="A2395" s="130" t="str">
        <f>LEFT(B2395,1)</f>
        <v>G</v>
      </c>
      <c r="B2395" t="s">
        <v>29044</v>
      </c>
      <c r="C2395">
        <v>1</v>
      </c>
      <c r="D2395" t="s">
        <v>23629</v>
      </c>
      <c r="E2395" t="s">
        <v>23632</v>
      </c>
    </row>
    <row r="2396" spans="1:5" x14ac:dyDescent="0.25">
      <c r="A2396" s="130" t="s">
        <v>17412</v>
      </c>
      <c r="B2396" t="s">
        <v>25568</v>
      </c>
      <c r="C2396">
        <v>1</v>
      </c>
      <c r="D2396" t="s">
        <v>23629</v>
      </c>
      <c r="E2396" t="s">
        <v>23632</v>
      </c>
    </row>
    <row r="2397" spans="1:5" x14ac:dyDescent="0.25">
      <c r="A2397" s="130" t="s">
        <v>17412</v>
      </c>
      <c r="B2397" t="s">
        <v>25569</v>
      </c>
      <c r="C2397">
        <v>1</v>
      </c>
      <c r="D2397" t="s">
        <v>23629</v>
      </c>
      <c r="E2397" t="s">
        <v>23632</v>
      </c>
    </row>
    <row r="2398" spans="1:5" x14ac:dyDescent="0.25">
      <c r="A2398" s="130" t="s">
        <v>17412</v>
      </c>
      <c r="B2398" t="s">
        <v>25570</v>
      </c>
      <c r="C2398">
        <v>1</v>
      </c>
      <c r="D2398" t="s">
        <v>23629</v>
      </c>
      <c r="E2398" t="s">
        <v>23632</v>
      </c>
    </row>
    <row r="2399" spans="1:5" x14ac:dyDescent="0.25">
      <c r="A2399" s="131" t="s">
        <v>17412</v>
      </c>
      <c r="B2399" t="s">
        <v>25571</v>
      </c>
      <c r="C2399">
        <v>1</v>
      </c>
      <c r="D2399" t="s">
        <v>23629</v>
      </c>
      <c r="E2399" t="s">
        <v>23632</v>
      </c>
    </row>
    <row r="2400" spans="1:5" x14ac:dyDescent="0.25">
      <c r="A2400" s="130" t="s">
        <v>17412</v>
      </c>
      <c r="B2400" t="s">
        <v>25572</v>
      </c>
      <c r="C2400">
        <v>1</v>
      </c>
      <c r="D2400" t="s">
        <v>23629</v>
      </c>
      <c r="E2400" t="s">
        <v>23632</v>
      </c>
    </row>
    <row r="2401" spans="1:5" x14ac:dyDescent="0.25">
      <c r="A2401" s="131" t="s">
        <v>17412</v>
      </c>
      <c r="B2401" t="s">
        <v>25573</v>
      </c>
      <c r="C2401">
        <v>1</v>
      </c>
      <c r="D2401" t="s">
        <v>23629</v>
      </c>
      <c r="E2401" t="s">
        <v>23632</v>
      </c>
    </row>
    <row r="2402" spans="1:5" x14ac:dyDescent="0.25">
      <c r="A2402" s="131" t="str">
        <f>LEFT(B2402,1)</f>
        <v>G</v>
      </c>
      <c r="B2402" t="s">
        <v>25613</v>
      </c>
      <c r="C2402">
        <v>1</v>
      </c>
      <c r="D2402" t="s">
        <v>23629</v>
      </c>
      <c r="E2402" t="s">
        <v>23632</v>
      </c>
    </row>
    <row r="2403" spans="1:5" x14ac:dyDescent="0.25">
      <c r="A2403" s="130" t="s">
        <v>17412</v>
      </c>
      <c r="B2403" t="s">
        <v>25574</v>
      </c>
      <c r="C2403">
        <v>1</v>
      </c>
      <c r="D2403" t="s">
        <v>23629</v>
      </c>
      <c r="E2403" t="s">
        <v>23632</v>
      </c>
    </row>
    <row r="2404" spans="1:5" x14ac:dyDescent="0.25">
      <c r="A2404" s="130" t="str">
        <f>LEFT(B2404,1)</f>
        <v>G</v>
      </c>
      <c r="B2404" t="s">
        <v>28490</v>
      </c>
      <c r="C2404">
        <v>1</v>
      </c>
      <c r="D2404" t="s">
        <v>23629</v>
      </c>
      <c r="E2404" t="s">
        <v>23632</v>
      </c>
    </row>
    <row r="2405" spans="1:5" x14ac:dyDescent="0.25">
      <c r="A2405" s="131" t="s">
        <v>17412</v>
      </c>
      <c r="B2405" t="s">
        <v>25575</v>
      </c>
      <c r="C2405">
        <v>1</v>
      </c>
      <c r="D2405" t="s">
        <v>23629</v>
      </c>
      <c r="E2405" t="s">
        <v>23632</v>
      </c>
    </row>
    <row r="2406" spans="1:5" x14ac:dyDescent="0.25">
      <c r="A2406" s="130" t="str">
        <f>LEFT(B2406,1)</f>
        <v>G</v>
      </c>
      <c r="B2406" t="s">
        <v>28491</v>
      </c>
      <c r="C2406">
        <v>1</v>
      </c>
      <c r="D2406" t="s">
        <v>23629</v>
      </c>
      <c r="E2406" t="s">
        <v>23632</v>
      </c>
    </row>
    <row r="2407" spans="1:5" x14ac:dyDescent="0.25">
      <c r="A2407" s="130" t="s">
        <v>17412</v>
      </c>
      <c r="B2407" t="s">
        <v>25576</v>
      </c>
      <c r="C2407">
        <v>1</v>
      </c>
      <c r="D2407" t="s">
        <v>23629</v>
      </c>
      <c r="E2407" t="s">
        <v>23632</v>
      </c>
    </row>
    <row r="2408" spans="1:5" x14ac:dyDescent="0.25">
      <c r="A2408" s="131" t="s">
        <v>17412</v>
      </c>
      <c r="B2408" t="s">
        <v>25577</v>
      </c>
      <c r="C2408">
        <v>1</v>
      </c>
      <c r="D2408" t="s">
        <v>23629</v>
      </c>
      <c r="E2408" t="s">
        <v>23632</v>
      </c>
    </row>
    <row r="2409" spans="1:5" x14ac:dyDescent="0.25">
      <c r="A2409" s="130" t="str">
        <f>LEFT(B2409,1)</f>
        <v>G</v>
      </c>
      <c r="B2409" t="s">
        <v>25614</v>
      </c>
      <c r="C2409">
        <v>1</v>
      </c>
      <c r="D2409" t="s">
        <v>23629</v>
      </c>
      <c r="E2409" t="s">
        <v>23632</v>
      </c>
    </row>
    <row r="2410" spans="1:5" x14ac:dyDescent="0.25">
      <c r="A2410" s="130" t="s">
        <v>17412</v>
      </c>
      <c r="B2410" t="s">
        <v>25578</v>
      </c>
      <c r="C2410">
        <v>1</v>
      </c>
      <c r="D2410" t="s">
        <v>23629</v>
      </c>
      <c r="E2410" t="s">
        <v>23632</v>
      </c>
    </row>
    <row r="2411" spans="1:5" x14ac:dyDescent="0.25">
      <c r="A2411" s="130" t="str">
        <f>LEFT(B2411,1)</f>
        <v>G</v>
      </c>
      <c r="B2411" t="s">
        <v>29045</v>
      </c>
      <c r="C2411">
        <v>1</v>
      </c>
      <c r="D2411" t="s">
        <v>23629</v>
      </c>
      <c r="E2411" t="s">
        <v>23632</v>
      </c>
    </row>
    <row r="2412" spans="1:5" x14ac:dyDescent="0.25">
      <c r="A2412" s="130" t="str">
        <f>LEFT((B2412),1)</f>
        <v>G</v>
      </c>
      <c r="B2412" t="s">
        <v>25579</v>
      </c>
      <c r="C2412">
        <v>1</v>
      </c>
      <c r="D2412" t="s">
        <v>23629</v>
      </c>
      <c r="E2412" t="s">
        <v>23632</v>
      </c>
    </row>
    <row r="2413" spans="1:5" x14ac:dyDescent="0.25">
      <c r="A2413" s="131" t="str">
        <f>LEFT((B2413),1)</f>
        <v>G</v>
      </c>
      <c r="B2413" t="s">
        <v>25580</v>
      </c>
      <c r="C2413">
        <v>1</v>
      </c>
      <c r="D2413" t="s">
        <v>23629</v>
      </c>
      <c r="E2413" t="s">
        <v>23632</v>
      </c>
    </row>
    <row r="2414" spans="1:5" x14ac:dyDescent="0.25">
      <c r="A2414" s="131" t="s">
        <v>25581</v>
      </c>
      <c r="B2414" t="s">
        <v>25582</v>
      </c>
      <c r="C2414">
        <v>1</v>
      </c>
      <c r="D2414" t="s">
        <v>23629</v>
      </c>
      <c r="E2414" t="s">
        <v>23632</v>
      </c>
    </row>
    <row r="2415" spans="1:5" x14ac:dyDescent="0.25">
      <c r="A2415" s="130" t="str">
        <f>LEFT(B2415,1)</f>
        <v>G</v>
      </c>
      <c r="B2415" t="s">
        <v>29046</v>
      </c>
      <c r="C2415">
        <v>1</v>
      </c>
      <c r="D2415" t="s">
        <v>23629</v>
      </c>
      <c r="E2415" t="s">
        <v>23632</v>
      </c>
    </row>
    <row r="2416" spans="1:5" x14ac:dyDescent="0.25">
      <c r="A2416" s="131" t="s">
        <v>17412</v>
      </c>
      <c r="B2416" t="s">
        <v>25583</v>
      </c>
      <c r="C2416">
        <v>1</v>
      </c>
      <c r="D2416" t="s">
        <v>23629</v>
      </c>
      <c r="E2416" t="s">
        <v>23632</v>
      </c>
    </row>
    <row r="2417" spans="1:5" x14ac:dyDescent="0.25">
      <c r="A2417" s="130" t="s">
        <v>17412</v>
      </c>
      <c r="B2417" t="s">
        <v>25584</v>
      </c>
      <c r="C2417">
        <v>1</v>
      </c>
      <c r="D2417" t="s">
        <v>23629</v>
      </c>
      <c r="E2417" t="s">
        <v>23632</v>
      </c>
    </row>
    <row r="2418" spans="1:5" x14ac:dyDescent="0.25">
      <c r="A2418" s="130" t="str">
        <f>LEFT(B2418,1)</f>
        <v>G</v>
      </c>
      <c r="B2418" t="s">
        <v>28786</v>
      </c>
      <c r="C2418">
        <v>1</v>
      </c>
      <c r="D2418" t="s">
        <v>23629</v>
      </c>
      <c r="E2418" t="s">
        <v>23632</v>
      </c>
    </row>
    <row r="2419" spans="1:5" x14ac:dyDescent="0.25">
      <c r="A2419" s="130" t="str">
        <f>LEFT(B2419,1)</f>
        <v>G</v>
      </c>
      <c r="B2419" t="s">
        <v>28492</v>
      </c>
      <c r="C2419">
        <v>1</v>
      </c>
      <c r="D2419" t="s">
        <v>23629</v>
      </c>
      <c r="E2419" t="s">
        <v>23632</v>
      </c>
    </row>
    <row r="2420" spans="1:5" x14ac:dyDescent="0.25">
      <c r="A2420" s="130" t="str">
        <f>LEFT(B2420,1)</f>
        <v>G</v>
      </c>
      <c r="B2420" t="s">
        <v>28787</v>
      </c>
      <c r="C2420">
        <v>1</v>
      </c>
      <c r="D2420" t="s">
        <v>23629</v>
      </c>
      <c r="E2420" t="s">
        <v>23632</v>
      </c>
    </row>
    <row r="2421" spans="1:5" x14ac:dyDescent="0.25">
      <c r="A2421" s="130" t="s">
        <v>17412</v>
      </c>
      <c r="B2421" t="s">
        <v>25585</v>
      </c>
      <c r="C2421">
        <v>1</v>
      </c>
      <c r="D2421" t="s">
        <v>23629</v>
      </c>
      <c r="E2421" t="s">
        <v>23632</v>
      </c>
    </row>
    <row r="2422" spans="1:5" x14ac:dyDescent="0.25">
      <c r="A2422" s="130" t="str">
        <f>LEFT(B2422,1)</f>
        <v>G</v>
      </c>
      <c r="B2422" t="s">
        <v>29240</v>
      </c>
      <c r="C2422">
        <v>1</v>
      </c>
      <c r="D2422" t="s">
        <v>23629</v>
      </c>
      <c r="E2422" t="s">
        <v>23632</v>
      </c>
    </row>
    <row r="2423" spans="1:5" x14ac:dyDescent="0.25">
      <c r="A2423" s="130" t="str">
        <f>LEFT(B2423,1)</f>
        <v>G</v>
      </c>
      <c r="B2423" t="s">
        <v>28788</v>
      </c>
      <c r="C2423">
        <v>1</v>
      </c>
      <c r="D2423" t="s">
        <v>23629</v>
      </c>
      <c r="E2423" t="s">
        <v>23632</v>
      </c>
    </row>
    <row r="2424" spans="1:5" x14ac:dyDescent="0.25">
      <c r="A2424" s="131" t="s">
        <v>17412</v>
      </c>
      <c r="B2424" t="s">
        <v>25586</v>
      </c>
      <c r="C2424">
        <v>1</v>
      </c>
      <c r="D2424" t="s">
        <v>23629</v>
      </c>
      <c r="E2424" t="s">
        <v>23632</v>
      </c>
    </row>
    <row r="2425" spans="1:5" x14ac:dyDescent="0.25">
      <c r="A2425" s="130" t="s">
        <v>17412</v>
      </c>
      <c r="B2425" t="s">
        <v>25587</v>
      </c>
      <c r="C2425">
        <v>1</v>
      </c>
      <c r="D2425" t="s">
        <v>23629</v>
      </c>
      <c r="E2425" t="s">
        <v>23632</v>
      </c>
    </row>
    <row r="2426" spans="1:5" x14ac:dyDescent="0.25">
      <c r="A2426" s="131" t="s">
        <v>17412</v>
      </c>
      <c r="B2426" t="s">
        <v>25588</v>
      </c>
      <c r="C2426">
        <v>1</v>
      </c>
      <c r="D2426" t="s">
        <v>23629</v>
      </c>
      <c r="E2426" t="s">
        <v>23632</v>
      </c>
    </row>
    <row r="2427" spans="1:5" x14ac:dyDescent="0.25">
      <c r="A2427" s="130" t="s">
        <v>17412</v>
      </c>
      <c r="B2427" t="s">
        <v>25589</v>
      </c>
      <c r="C2427">
        <v>1</v>
      </c>
      <c r="D2427" t="s">
        <v>23629</v>
      </c>
      <c r="E2427" t="s">
        <v>23632</v>
      </c>
    </row>
    <row r="2428" spans="1:5" x14ac:dyDescent="0.25">
      <c r="A2428" s="131" t="s">
        <v>17412</v>
      </c>
      <c r="B2428" t="s">
        <v>25590</v>
      </c>
      <c r="C2428">
        <v>1</v>
      </c>
      <c r="D2428" t="s">
        <v>23629</v>
      </c>
      <c r="E2428" t="s">
        <v>23632</v>
      </c>
    </row>
    <row r="2429" spans="1:5" x14ac:dyDescent="0.25">
      <c r="A2429" s="130" t="str">
        <f>LEFT(B2429,1)</f>
        <v>G</v>
      </c>
      <c r="B2429" t="s">
        <v>25627</v>
      </c>
      <c r="C2429">
        <v>1</v>
      </c>
      <c r="D2429" t="s">
        <v>23629</v>
      </c>
      <c r="E2429" t="s">
        <v>23632</v>
      </c>
    </row>
    <row r="2430" spans="1:5" x14ac:dyDescent="0.25">
      <c r="A2430" s="131" t="s">
        <v>17412</v>
      </c>
      <c r="B2430" t="s">
        <v>25591</v>
      </c>
      <c r="C2430">
        <v>1</v>
      </c>
      <c r="D2430" t="s">
        <v>23629</v>
      </c>
      <c r="E2430" t="s">
        <v>23632</v>
      </c>
    </row>
    <row r="2431" spans="1:5" x14ac:dyDescent="0.25">
      <c r="A2431" s="131" t="s">
        <v>17412</v>
      </c>
      <c r="B2431" t="s">
        <v>25592</v>
      </c>
      <c r="C2431">
        <v>1</v>
      </c>
      <c r="D2431" t="s">
        <v>23629</v>
      </c>
      <c r="E2431" t="s">
        <v>23632</v>
      </c>
    </row>
    <row r="2432" spans="1:5" x14ac:dyDescent="0.25">
      <c r="A2432" s="130" t="s">
        <v>17370</v>
      </c>
      <c r="B2432" t="s">
        <v>25643</v>
      </c>
      <c r="C2432">
        <v>1</v>
      </c>
      <c r="D2432" t="s">
        <v>23629</v>
      </c>
      <c r="E2432" t="s">
        <v>23632</v>
      </c>
    </row>
    <row r="2433" spans="1:5" x14ac:dyDescent="0.25">
      <c r="A2433" s="131" t="str">
        <f>LEFT(B2433,1)</f>
        <v>H</v>
      </c>
      <c r="B2433" t="s">
        <v>25778</v>
      </c>
      <c r="C2433">
        <v>1</v>
      </c>
      <c r="D2433" t="s">
        <v>23629</v>
      </c>
      <c r="E2433" t="s">
        <v>23632</v>
      </c>
    </row>
    <row r="2434" spans="1:5" x14ac:dyDescent="0.25">
      <c r="A2434" s="131" t="str">
        <f>LEFT(B2434,1)</f>
        <v>H</v>
      </c>
      <c r="B2434" t="s">
        <v>25769</v>
      </c>
      <c r="C2434">
        <v>1</v>
      </c>
      <c r="D2434" t="s">
        <v>23629</v>
      </c>
      <c r="E2434" t="s">
        <v>23632</v>
      </c>
    </row>
    <row r="2435" spans="1:5" x14ac:dyDescent="0.25">
      <c r="A2435" s="130" t="s">
        <v>17370</v>
      </c>
      <c r="B2435" t="s">
        <v>25644</v>
      </c>
      <c r="C2435">
        <v>1</v>
      </c>
      <c r="D2435" t="s">
        <v>23629</v>
      </c>
      <c r="E2435" t="s">
        <v>23632</v>
      </c>
    </row>
    <row r="2436" spans="1:5" x14ac:dyDescent="0.25">
      <c r="A2436" s="131" t="s">
        <v>17370</v>
      </c>
      <c r="B2436" t="s">
        <v>25645</v>
      </c>
      <c r="C2436">
        <v>1</v>
      </c>
      <c r="D2436" t="s">
        <v>23629</v>
      </c>
      <c r="E2436" t="s">
        <v>23632</v>
      </c>
    </row>
    <row r="2437" spans="1:5" x14ac:dyDescent="0.25">
      <c r="A2437" s="131" t="s">
        <v>17370</v>
      </c>
      <c r="B2437" t="s">
        <v>25646</v>
      </c>
      <c r="C2437">
        <v>1</v>
      </c>
      <c r="D2437" t="s">
        <v>23629</v>
      </c>
      <c r="E2437" t="s">
        <v>23632</v>
      </c>
    </row>
    <row r="2438" spans="1:5" x14ac:dyDescent="0.25">
      <c r="A2438" s="131" t="s">
        <v>17370</v>
      </c>
      <c r="B2438" t="s">
        <v>25647</v>
      </c>
      <c r="C2438">
        <v>1</v>
      </c>
      <c r="D2438" t="s">
        <v>23629</v>
      </c>
      <c r="E2438" t="s">
        <v>23632</v>
      </c>
    </row>
    <row r="2439" spans="1:5" x14ac:dyDescent="0.25">
      <c r="A2439" s="130" t="s">
        <v>17370</v>
      </c>
      <c r="B2439" t="s">
        <v>25648</v>
      </c>
      <c r="C2439">
        <v>1</v>
      </c>
      <c r="D2439" t="s">
        <v>23629</v>
      </c>
      <c r="E2439" t="s">
        <v>23632</v>
      </c>
    </row>
    <row r="2440" spans="1:5" x14ac:dyDescent="0.25">
      <c r="A2440" s="131" t="s">
        <v>17370</v>
      </c>
      <c r="B2440" t="s">
        <v>25649</v>
      </c>
      <c r="C2440">
        <v>1</v>
      </c>
      <c r="D2440" t="s">
        <v>23629</v>
      </c>
      <c r="E2440" t="s">
        <v>23632</v>
      </c>
    </row>
    <row r="2441" spans="1:5" x14ac:dyDescent="0.25">
      <c r="A2441" s="130" t="s">
        <v>17370</v>
      </c>
      <c r="B2441" t="s">
        <v>25650</v>
      </c>
      <c r="C2441">
        <v>1</v>
      </c>
      <c r="D2441" t="s">
        <v>23629</v>
      </c>
      <c r="E2441" t="s">
        <v>23632</v>
      </c>
    </row>
    <row r="2442" spans="1:5" x14ac:dyDescent="0.25">
      <c r="A2442" s="130" t="str">
        <f>LEFT(B2442,1)</f>
        <v>H</v>
      </c>
      <c r="B2442" t="s">
        <v>29047</v>
      </c>
      <c r="C2442">
        <v>1</v>
      </c>
      <c r="D2442" t="s">
        <v>23629</v>
      </c>
      <c r="E2442" t="s">
        <v>23632</v>
      </c>
    </row>
    <row r="2443" spans="1:5" x14ac:dyDescent="0.25">
      <c r="A2443" s="130" t="str">
        <f>LEFT(B2443,1)</f>
        <v>H</v>
      </c>
      <c r="B2443" t="s">
        <v>29048</v>
      </c>
      <c r="C2443">
        <v>1</v>
      </c>
      <c r="D2443" t="s">
        <v>23629</v>
      </c>
      <c r="E2443" t="s">
        <v>23632</v>
      </c>
    </row>
    <row r="2444" spans="1:5" x14ac:dyDescent="0.25">
      <c r="A2444" s="131" t="s">
        <v>17370</v>
      </c>
      <c r="B2444" t="s">
        <v>25651</v>
      </c>
      <c r="C2444">
        <v>1</v>
      </c>
      <c r="D2444" t="s">
        <v>23629</v>
      </c>
      <c r="E2444" t="s">
        <v>23632</v>
      </c>
    </row>
    <row r="2445" spans="1:5" x14ac:dyDescent="0.25">
      <c r="A2445" s="130" t="s">
        <v>17370</v>
      </c>
      <c r="B2445" t="s">
        <v>25652</v>
      </c>
      <c r="C2445">
        <v>1</v>
      </c>
      <c r="D2445" t="s">
        <v>23629</v>
      </c>
      <c r="E2445" t="s">
        <v>23632</v>
      </c>
    </row>
    <row r="2446" spans="1:5" x14ac:dyDescent="0.25">
      <c r="A2446" s="130" t="s">
        <v>17370</v>
      </c>
      <c r="B2446" t="s">
        <v>25653</v>
      </c>
      <c r="C2446">
        <v>1</v>
      </c>
      <c r="D2446" t="s">
        <v>23629</v>
      </c>
      <c r="E2446" t="s">
        <v>23632</v>
      </c>
    </row>
    <row r="2447" spans="1:5" x14ac:dyDescent="0.25">
      <c r="A2447" s="130" t="str">
        <f>LEFT(B2447,1)</f>
        <v>H</v>
      </c>
      <c r="B2447" t="s">
        <v>28493</v>
      </c>
      <c r="C2447">
        <v>1</v>
      </c>
      <c r="D2447" t="s">
        <v>23629</v>
      </c>
      <c r="E2447" t="s">
        <v>23632</v>
      </c>
    </row>
    <row r="2448" spans="1:5" x14ac:dyDescent="0.25">
      <c r="A2448" s="130" t="s">
        <v>17370</v>
      </c>
      <c r="B2448" t="s">
        <v>25654</v>
      </c>
      <c r="C2448">
        <v>1</v>
      </c>
      <c r="D2448" t="s">
        <v>23629</v>
      </c>
      <c r="E2448" t="s">
        <v>23632</v>
      </c>
    </row>
    <row r="2449" spans="1:5" x14ac:dyDescent="0.25">
      <c r="A2449" s="130" t="s">
        <v>17370</v>
      </c>
      <c r="B2449" t="s">
        <v>25655</v>
      </c>
      <c r="C2449">
        <v>1</v>
      </c>
      <c r="D2449" t="s">
        <v>23629</v>
      </c>
      <c r="E2449" t="s">
        <v>23632</v>
      </c>
    </row>
    <row r="2450" spans="1:5" x14ac:dyDescent="0.25">
      <c r="A2450" s="131" t="s">
        <v>17370</v>
      </c>
      <c r="B2450" t="s">
        <v>25656</v>
      </c>
      <c r="C2450">
        <v>1</v>
      </c>
      <c r="D2450" t="s">
        <v>23629</v>
      </c>
      <c r="E2450" t="s">
        <v>23881</v>
      </c>
    </row>
    <row r="2451" spans="1:5" x14ac:dyDescent="0.25">
      <c r="A2451" s="130" t="s">
        <v>17370</v>
      </c>
      <c r="B2451" t="s">
        <v>25657</v>
      </c>
      <c r="C2451">
        <v>1</v>
      </c>
      <c r="D2451" t="s">
        <v>23629</v>
      </c>
      <c r="E2451" t="s">
        <v>23632</v>
      </c>
    </row>
    <row r="2452" spans="1:5" x14ac:dyDescent="0.25">
      <c r="A2452" s="131" t="s">
        <v>17370</v>
      </c>
      <c r="B2452" t="s">
        <v>25658</v>
      </c>
      <c r="C2452">
        <v>1</v>
      </c>
      <c r="D2452" t="s">
        <v>23629</v>
      </c>
      <c r="E2452" t="s">
        <v>23632</v>
      </c>
    </row>
    <row r="2453" spans="1:5" x14ac:dyDescent="0.25">
      <c r="A2453" s="130" t="s">
        <v>17370</v>
      </c>
      <c r="B2453" t="s">
        <v>25659</v>
      </c>
      <c r="C2453">
        <v>1</v>
      </c>
      <c r="D2453" t="s">
        <v>23629</v>
      </c>
      <c r="E2453" t="s">
        <v>23632</v>
      </c>
    </row>
    <row r="2454" spans="1:5" x14ac:dyDescent="0.25">
      <c r="A2454" s="130" t="str">
        <f>LEFT(B2454,1)</f>
        <v>H</v>
      </c>
      <c r="B2454" t="s">
        <v>25779</v>
      </c>
      <c r="C2454">
        <v>1</v>
      </c>
      <c r="D2454" t="s">
        <v>23629</v>
      </c>
      <c r="E2454" t="s">
        <v>23632</v>
      </c>
    </row>
    <row r="2455" spans="1:5" x14ac:dyDescent="0.25">
      <c r="A2455" s="130" t="str">
        <f>LEFT(B2455,1)</f>
        <v>H</v>
      </c>
      <c r="B2455" t="s">
        <v>28789</v>
      </c>
      <c r="C2455">
        <v>1</v>
      </c>
      <c r="D2455" t="s">
        <v>23629</v>
      </c>
      <c r="E2455" t="s">
        <v>23632</v>
      </c>
    </row>
    <row r="2456" spans="1:5" x14ac:dyDescent="0.25">
      <c r="A2456" s="130" t="s">
        <v>17370</v>
      </c>
      <c r="B2456" t="s">
        <v>25660</v>
      </c>
      <c r="C2456">
        <v>1</v>
      </c>
      <c r="D2456" t="s">
        <v>23629</v>
      </c>
      <c r="E2456" t="s">
        <v>23632</v>
      </c>
    </row>
    <row r="2457" spans="1:5" x14ac:dyDescent="0.25">
      <c r="A2457" s="131" t="s">
        <v>17370</v>
      </c>
      <c r="B2457" t="s">
        <v>25661</v>
      </c>
      <c r="C2457">
        <v>1</v>
      </c>
      <c r="D2457" t="s">
        <v>23629</v>
      </c>
      <c r="E2457" t="s">
        <v>23632</v>
      </c>
    </row>
    <row r="2458" spans="1:5" x14ac:dyDescent="0.25">
      <c r="A2458" s="131" t="str">
        <f>LEFT(B2458,1)</f>
        <v>H</v>
      </c>
      <c r="B2458" t="s">
        <v>25780</v>
      </c>
      <c r="C2458">
        <v>1</v>
      </c>
      <c r="D2458" t="s">
        <v>23629</v>
      </c>
      <c r="E2458" t="s">
        <v>23632</v>
      </c>
    </row>
    <row r="2459" spans="1:5" x14ac:dyDescent="0.25">
      <c r="A2459" s="130" t="str">
        <f>LEFT((B2459),1)</f>
        <v>H</v>
      </c>
      <c r="B2459" t="s">
        <v>25662</v>
      </c>
      <c r="C2459">
        <v>1</v>
      </c>
      <c r="D2459" t="s">
        <v>23629</v>
      </c>
      <c r="E2459" t="s">
        <v>23632</v>
      </c>
    </row>
    <row r="2460" spans="1:5" x14ac:dyDescent="0.25">
      <c r="A2460" s="130" t="str">
        <f>LEFT(B2460,1)</f>
        <v>H</v>
      </c>
      <c r="B2460" t="s">
        <v>28790</v>
      </c>
      <c r="C2460">
        <v>1</v>
      </c>
      <c r="D2460" t="s">
        <v>23629</v>
      </c>
      <c r="E2460" t="s">
        <v>23632</v>
      </c>
    </row>
    <row r="2461" spans="1:5" x14ac:dyDescent="0.25">
      <c r="A2461" s="130" t="s">
        <v>17370</v>
      </c>
      <c r="B2461" t="s">
        <v>25663</v>
      </c>
      <c r="C2461">
        <v>1</v>
      </c>
      <c r="D2461" t="s">
        <v>23629</v>
      </c>
      <c r="E2461" t="s">
        <v>23632</v>
      </c>
    </row>
    <row r="2462" spans="1:5" x14ac:dyDescent="0.25">
      <c r="A2462" s="131" t="s">
        <v>17370</v>
      </c>
      <c r="B2462" t="s">
        <v>25664</v>
      </c>
      <c r="C2462">
        <v>1</v>
      </c>
      <c r="D2462" t="s">
        <v>23629</v>
      </c>
      <c r="E2462" t="s">
        <v>23881</v>
      </c>
    </row>
    <row r="2463" spans="1:5" x14ac:dyDescent="0.25">
      <c r="A2463" s="130" t="str">
        <f>LEFT(B2463,1)</f>
        <v>H</v>
      </c>
      <c r="B2463" t="s">
        <v>28791</v>
      </c>
      <c r="C2463">
        <v>1</v>
      </c>
      <c r="D2463" t="s">
        <v>23629</v>
      </c>
      <c r="E2463" t="s">
        <v>23632</v>
      </c>
    </row>
    <row r="2464" spans="1:5" x14ac:dyDescent="0.25">
      <c r="A2464" s="131" t="s">
        <v>17370</v>
      </c>
      <c r="B2464" t="s">
        <v>25665</v>
      </c>
      <c r="C2464">
        <v>1</v>
      </c>
      <c r="D2464" t="s">
        <v>23629</v>
      </c>
      <c r="E2464" t="s">
        <v>23632</v>
      </c>
    </row>
    <row r="2465" spans="1:5" x14ac:dyDescent="0.25">
      <c r="A2465" s="130" t="s">
        <v>17370</v>
      </c>
      <c r="B2465" t="s">
        <v>25666</v>
      </c>
      <c r="C2465">
        <v>1</v>
      </c>
      <c r="D2465" t="s">
        <v>23629</v>
      </c>
      <c r="E2465" t="s">
        <v>23632</v>
      </c>
    </row>
    <row r="2466" spans="1:5" x14ac:dyDescent="0.25">
      <c r="A2466" s="131" t="s">
        <v>17370</v>
      </c>
      <c r="B2466" t="s">
        <v>25667</v>
      </c>
      <c r="C2466">
        <v>1</v>
      </c>
      <c r="D2466" t="s">
        <v>23629</v>
      </c>
      <c r="E2466" t="s">
        <v>23632</v>
      </c>
    </row>
    <row r="2467" spans="1:5" x14ac:dyDescent="0.25">
      <c r="A2467" s="131" t="s">
        <v>17370</v>
      </c>
      <c r="B2467" t="s">
        <v>25668</v>
      </c>
      <c r="C2467">
        <v>1</v>
      </c>
      <c r="D2467" t="s">
        <v>23629</v>
      </c>
      <c r="E2467" t="s">
        <v>23632</v>
      </c>
    </row>
    <row r="2468" spans="1:5" x14ac:dyDescent="0.25">
      <c r="A2468" s="130" t="str">
        <f>LEFT(B2468,1)</f>
        <v>H</v>
      </c>
      <c r="B2468" t="s">
        <v>29049</v>
      </c>
      <c r="C2468">
        <v>1</v>
      </c>
      <c r="D2468" t="s">
        <v>23629</v>
      </c>
      <c r="E2468" t="s">
        <v>23632</v>
      </c>
    </row>
    <row r="2469" spans="1:5" x14ac:dyDescent="0.25">
      <c r="A2469" s="130" t="s">
        <v>17370</v>
      </c>
      <c r="B2469" t="s">
        <v>25669</v>
      </c>
      <c r="C2469">
        <v>1</v>
      </c>
      <c r="D2469" t="s">
        <v>23629</v>
      </c>
      <c r="E2469" t="s">
        <v>23632</v>
      </c>
    </row>
    <row r="2470" spans="1:5" x14ac:dyDescent="0.25">
      <c r="A2470" s="131" t="s">
        <v>17370</v>
      </c>
      <c r="B2470" t="s">
        <v>25670</v>
      </c>
      <c r="C2470">
        <v>1</v>
      </c>
      <c r="D2470" t="s">
        <v>23629</v>
      </c>
      <c r="E2470" t="s">
        <v>23632</v>
      </c>
    </row>
    <row r="2471" spans="1:5" x14ac:dyDescent="0.25">
      <c r="A2471" s="130" t="s">
        <v>17370</v>
      </c>
      <c r="B2471" t="s">
        <v>25671</v>
      </c>
      <c r="C2471">
        <v>1</v>
      </c>
      <c r="D2471" t="s">
        <v>23629</v>
      </c>
      <c r="E2471" t="s">
        <v>23632</v>
      </c>
    </row>
    <row r="2472" spans="1:5" x14ac:dyDescent="0.25">
      <c r="A2472" s="130" t="s">
        <v>17370</v>
      </c>
      <c r="B2472" t="s">
        <v>25672</v>
      </c>
      <c r="C2472">
        <v>1</v>
      </c>
      <c r="D2472" t="s">
        <v>23629</v>
      </c>
      <c r="E2472" t="s">
        <v>23632</v>
      </c>
    </row>
    <row r="2473" spans="1:5" x14ac:dyDescent="0.25">
      <c r="A2473" s="131" t="s">
        <v>17370</v>
      </c>
      <c r="B2473" t="s">
        <v>25673</v>
      </c>
      <c r="C2473">
        <v>1</v>
      </c>
      <c r="D2473" t="s">
        <v>23629</v>
      </c>
      <c r="E2473" t="s">
        <v>23632</v>
      </c>
    </row>
    <row r="2474" spans="1:5" x14ac:dyDescent="0.25">
      <c r="A2474" s="130" t="s">
        <v>17370</v>
      </c>
      <c r="B2474" t="s">
        <v>25674</v>
      </c>
      <c r="C2474">
        <v>1</v>
      </c>
      <c r="D2474" t="s">
        <v>23629</v>
      </c>
      <c r="E2474" t="s">
        <v>23632</v>
      </c>
    </row>
    <row r="2475" spans="1:5" x14ac:dyDescent="0.25">
      <c r="A2475" s="130" t="str">
        <f>LEFT(B2475,1)</f>
        <v>H</v>
      </c>
      <c r="B2475" t="s">
        <v>25781</v>
      </c>
      <c r="C2475">
        <v>1</v>
      </c>
      <c r="D2475" t="s">
        <v>23629</v>
      </c>
      <c r="E2475" t="s">
        <v>23632</v>
      </c>
    </row>
    <row r="2476" spans="1:5" x14ac:dyDescent="0.25">
      <c r="A2476" s="130" t="s">
        <v>17370</v>
      </c>
      <c r="B2476" t="s">
        <v>25675</v>
      </c>
      <c r="C2476">
        <v>1.1000000000000001</v>
      </c>
      <c r="D2476" t="s">
        <v>23629</v>
      </c>
      <c r="E2476" t="s">
        <v>23632</v>
      </c>
    </row>
    <row r="2477" spans="1:5" x14ac:dyDescent="0.25">
      <c r="A2477" s="131" t="s">
        <v>17370</v>
      </c>
      <c r="B2477" t="s">
        <v>25676</v>
      </c>
      <c r="C2477">
        <v>1.1499999999999999</v>
      </c>
      <c r="D2477" t="s">
        <v>23629</v>
      </c>
      <c r="E2477" t="s">
        <v>23632</v>
      </c>
    </row>
    <row r="2478" spans="1:5" x14ac:dyDescent="0.25">
      <c r="A2478" s="130" t="s">
        <v>17370</v>
      </c>
      <c r="B2478" t="s">
        <v>25677</v>
      </c>
      <c r="C2478">
        <v>1</v>
      </c>
      <c r="D2478" t="s">
        <v>23629</v>
      </c>
      <c r="E2478" t="s">
        <v>23632</v>
      </c>
    </row>
    <row r="2479" spans="1:5" x14ac:dyDescent="0.25">
      <c r="A2479" s="130" t="str">
        <f>LEFT(B2479,1)</f>
        <v>H</v>
      </c>
      <c r="B2479" t="s">
        <v>28792</v>
      </c>
      <c r="C2479">
        <v>1</v>
      </c>
      <c r="D2479" t="s">
        <v>23629</v>
      </c>
      <c r="E2479" t="s">
        <v>23632</v>
      </c>
    </row>
    <row r="2480" spans="1:5" x14ac:dyDescent="0.25">
      <c r="A2480" s="131" t="s">
        <v>17370</v>
      </c>
      <c r="B2480" t="s">
        <v>25678</v>
      </c>
      <c r="C2480">
        <v>1</v>
      </c>
      <c r="D2480" t="s">
        <v>23629</v>
      </c>
      <c r="E2480" t="s">
        <v>23632</v>
      </c>
    </row>
    <row r="2481" spans="1:5" x14ac:dyDescent="0.25">
      <c r="A2481" s="131" t="s">
        <v>17370</v>
      </c>
      <c r="B2481" t="s">
        <v>25679</v>
      </c>
      <c r="C2481">
        <v>1</v>
      </c>
      <c r="D2481" t="s">
        <v>23629</v>
      </c>
      <c r="E2481" t="s">
        <v>23632</v>
      </c>
    </row>
    <row r="2482" spans="1:5" x14ac:dyDescent="0.25">
      <c r="A2482" s="131" t="str">
        <f>LEFT((B2482),1)</f>
        <v>H</v>
      </c>
      <c r="B2482" t="s">
        <v>25680</v>
      </c>
      <c r="C2482">
        <v>1</v>
      </c>
      <c r="D2482" t="s">
        <v>23629</v>
      </c>
      <c r="E2482" t="s">
        <v>23632</v>
      </c>
    </row>
    <row r="2483" spans="1:5" x14ac:dyDescent="0.25">
      <c r="A2483" s="130" t="s">
        <v>17370</v>
      </c>
      <c r="B2483" t="s">
        <v>25681</v>
      </c>
      <c r="C2483">
        <v>1</v>
      </c>
      <c r="D2483" t="s">
        <v>23629</v>
      </c>
      <c r="E2483" t="s">
        <v>23632</v>
      </c>
    </row>
    <row r="2484" spans="1:5" x14ac:dyDescent="0.25">
      <c r="A2484" s="131" t="s">
        <v>17370</v>
      </c>
      <c r="B2484" t="s">
        <v>25682</v>
      </c>
      <c r="C2484">
        <v>1</v>
      </c>
      <c r="D2484" t="s">
        <v>23629</v>
      </c>
      <c r="E2484" t="s">
        <v>23632</v>
      </c>
    </row>
    <row r="2485" spans="1:5" x14ac:dyDescent="0.25">
      <c r="A2485" s="130" t="str">
        <f>LEFT(B2485,1)</f>
        <v>H</v>
      </c>
      <c r="B2485" t="s">
        <v>25774</v>
      </c>
      <c r="C2485">
        <v>1</v>
      </c>
      <c r="D2485" t="s">
        <v>23629</v>
      </c>
      <c r="E2485" t="s">
        <v>23632</v>
      </c>
    </row>
    <row r="2486" spans="1:5" x14ac:dyDescent="0.25">
      <c r="A2486" s="131" t="s">
        <v>17370</v>
      </c>
      <c r="B2486" t="s">
        <v>25683</v>
      </c>
      <c r="C2486">
        <v>1</v>
      </c>
      <c r="D2486" t="s">
        <v>23629</v>
      </c>
      <c r="E2486" t="s">
        <v>23632</v>
      </c>
    </row>
    <row r="2487" spans="1:5" x14ac:dyDescent="0.25">
      <c r="A2487" s="131" t="s">
        <v>17370</v>
      </c>
      <c r="B2487" t="s">
        <v>25684</v>
      </c>
      <c r="C2487">
        <v>1</v>
      </c>
      <c r="D2487" t="s">
        <v>23629</v>
      </c>
      <c r="E2487" t="s">
        <v>23632</v>
      </c>
    </row>
    <row r="2488" spans="1:5" x14ac:dyDescent="0.25">
      <c r="A2488" s="130" t="s">
        <v>17370</v>
      </c>
      <c r="B2488" t="s">
        <v>25685</v>
      </c>
      <c r="C2488">
        <v>1</v>
      </c>
      <c r="D2488" t="s">
        <v>23629</v>
      </c>
      <c r="E2488" t="s">
        <v>23632</v>
      </c>
    </row>
    <row r="2489" spans="1:5" x14ac:dyDescent="0.25">
      <c r="A2489" s="131" t="s">
        <v>17370</v>
      </c>
      <c r="B2489" t="s">
        <v>25686</v>
      </c>
      <c r="C2489">
        <v>1</v>
      </c>
      <c r="D2489" t="s">
        <v>23629</v>
      </c>
      <c r="E2489" t="s">
        <v>23632</v>
      </c>
    </row>
    <row r="2490" spans="1:5" x14ac:dyDescent="0.25">
      <c r="A2490" s="131" t="s">
        <v>17370</v>
      </c>
      <c r="B2490" t="s">
        <v>25687</v>
      </c>
      <c r="C2490">
        <v>1</v>
      </c>
      <c r="D2490" t="s">
        <v>23629</v>
      </c>
      <c r="E2490" t="s">
        <v>23632</v>
      </c>
    </row>
    <row r="2491" spans="1:5" x14ac:dyDescent="0.25">
      <c r="A2491" s="130" t="s">
        <v>17370</v>
      </c>
      <c r="B2491" t="s">
        <v>25688</v>
      </c>
      <c r="C2491">
        <v>1</v>
      </c>
      <c r="D2491" t="s">
        <v>23629</v>
      </c>
      <c r="E2491" t="s">
        <v>23632</v>
      </c>
    </row>
    <row r="2492" spans="1:5" x14ac:dyDescent="0.25">
      <c r="A2492" s="130" t="s">
        <v>17370</v>
      </c>
      <c r="B2492" t="s">
        <v>25689</v>
      </c>
      <c r="C2492">
        <v>1</v>
      </c>
      <c r="D2492" t="s">
        <v>23629</v>
      </c>
      <c r="E2492" t="s">
        <v>23632</v>
      </c>
    </row>
    <row r="2493" spans="1:5" x14ac:dyDescent="0.25">
      <c r="A2493" s="131" t="str">
        <f>LEFT(B2493,1)</f>
        <v>H</v>
      </c>
      <c r="B2493" t="s">
        <v>25782</v>
      </c>
      <c r="C2493">
        <v>1</v>
      </c>
      <c r="D2493" t="s">
        <v>23629</v>
      </c>
      <c r="E2493" t="s">
        <v>23632</v>
      </c>
    </row>
    <row r="2494" spans="1:5" x14ac:dyDescent="0.25">
      <c r="A2494" s="130" t="str">
        <f>LEFT(B2494,1)</f>
        <v>H</v>
      </c>
      <c r="B2494" t="s">
        <v>28793</v>
      </c>
      <c r="C2494">
        <v>1</v>
      </c>
      <c r="D2494" t="s">
        <v>23629</v>
      </c>
      <c r="E2494" t="s">
        <v>23632</v>
      </c>
    </row>
    <row r="2495" spans="1:5" x14ac:dyDescent="0.25">
      <c r="A2495" s="130" t="s">
        <v>17370</v>
      </c>
      <c r="B2495" t="s">
        <v>25690</v>
      </c>
      <c r="C2495">
        <v>1</v>
      </c>
      <c r="D2495" t="s">
        <v>23629</v>
      </c>
      <c r="E2495" t="s">
        <v>23632</v>
      </c>
    </row>
    <row r="2496" spans="1:5" x14ac:dyDescent="0.25">
      <c r="A2496" s="131" t="s">
        <v>17370</v>
      </c>
      <c r="B2496" t="s">
        <v>25691</v>
      </c>
      <c r="C2496">
        <v>1</v>
      </c>
      <c r="D2496" t="s">
        <v>23629</v>
      </c>
      <c r="E2496" t="s">
        <v>23632</v>
      </c>
    </row>
    <row r="2497" spans="1:5" x14ac:dyDescent="0.25">
      <c r="A2497" s="131" t="s">
        <v>17370</v>
      </c>
      <c r="B2497" t="s">
        <v>25692</v>
      </c>
      <c r="C2497">
        <v>1</v>
      </c>
      <c r="D2497" t="s">
        <v>23629</v>
      </c>
      <c r="E2497" t="s">
        <v>23632</v>
      </c>
    </row>
    <row r="2498" spans="1:5" x14ac:dyDescent="0.25">
      <c r="A2498" s="130" t="str">
        <f>LEFT(B2498,1)</f>
        <v>H</v>
      </c>
      <c r="B2498" t="s">
        <v>29050</v>
      </c>
      <c r="C2498">
        <v>1</v>
      </c>
      <c r="D2498" t="s">
        <v>23629</v>
      </c>
      <c r="E2498" t="s">
        <v>23632</v>
      </c>
    </row>
    <row r="2499" spans="1:5" x14ac:dyDescent="0.25">
      <c r="A2499" s="131" t="s">
        <v>17370</v>
      </c>
      <c r="B2499" t="s">
        <v>25693</v>
      </c>
      <c r="C2499">
        <v>1</v>
      </c>
      <c r="D2499" t="s">
        <v>23629</v>
      </c>
      <c r="E2499" t="s">
        <v>23632</v>
      </c>
    </row>
    <row r="2500" spans="1:5" x14ac:dyDescent="0.25">
      <c r="A2500" s="131" t="s">
        <v>17370</v>
      </c>
      <c r="B2500" t="s">
        <v>25694</v>
      </c>
      <c r="C2500">
        <v>1</v>
      </c>
      <c r="D2500" t="s">
        <v>23629</v>
      </c>
      <c r="E2500" t="s">
        <v>23632</v>
      </c>
    </row>
    <row r="2501" spans="1:5" x14ac:dyDescent="0.25">
      <c r="A2501" s="131" t="s">
        <v>17370</v>
      </c>
      <c r="B2501" t="s">
        <v>25695</v>
      </c>
      <c r="C2501">
        <v>1</v>
      </c>
      <c r="D2501" t="s">
        <v>23629</v>
      </c>
      <c r="E2501" t="s">
        <v>23632</v>
      </c>
    </row>
    <row r="2502" spans="1:5" x14ac:dyDescent="0.25">
      <c r="A2502" s="131" t="s">
        <v>17370</v>
      </c>
      <c r="B2502" t="s">
        <v>25696</v>
      </c>
      <c r="C2502">
        <v>1</v>
      </c>
      <c r="D2502" t="s">
        <v>23629</v>
      </c>
      <c r="E2502" t="s">
        <v>23632</v>
      </c>
    </row>
    <row r="2503" spans="1:5" x14ac:dyDescent="0.25">
      <c r="A2503" s="130" t="s">
        <v>17370</v>
      </c>
      <c r="B2503" t="s">
        <v>25697</v>
      </c>
      <c r="C2503">
        <v>1</v>
      </c>
      <c r="D2503" t="s">
        <v>23629</v>
      </c>
      <c r="E2503" t="s">
        <v>23632</v>
      </c>
    </row>
    <row r="2504" spans="1:5" x14ac:dyDescent="0.25">
      <c r="A2504" s="131" t="s">
        <v>17370</v>
      </c>
      <c r="B2504" t="s">
        <v>25698</v>
      </c>
      <c r="C2504">
        <v>1</v>
      </c>
      <c r="D2504" t="s">
        <v>23629</v>
      </c>
      <c r="E2504" t="s">
        <v>23632</v>
      </c>
    </row>
    <row r="2505" spans="1:5" x14ac:dyDescent="0.25">
      <c r="A2505" s="131" t="s">
        <v>17370</v>
      </c>
      <c r="B2505" t="s">
        <v>25699</v>
      </c>
      <c r="C2505">
        <v>1</v>
      </c>
      <c r="D2505" t="s">
        <v>23629</v>
      </c>
      <c r="E2505" t="s">
        <v>23632</v>
      </c>
    </row>
    <row r="2506" spans="1:5" x14ac:dyDescent="0.25">
      <c r="A2506" s="130" t="s">
        <v>17370</v>
      </c>
      <c r="B2506" t="s">
        <v>25700</v>
      </c>
      <c r="C2506">
        <v>1.1000000000000001</v>
      </c>
      <c r="D2506" t="s">
        <v>23629</v>
      </c>
      <c r="E2506" t="s">
        <v>23632</v>
      </c>
    </row>
    <row r="2507" spans="1:5" x14ac:dyDescent="0.25">
      <c r="A2507" s="131" t="s">
        <v>17370</v>
      </c>
      <c r="B2507" t="s">
        <v>25701</v>
      </c>
      <c r="C2507">
        <v>1</v>
      </c>
      <c r="D2507" t="s">
        <v>23629</v>
      </c>
      <c r="E2507" t="s">
        <v>23632</v>
      </c>
    </row>
    <row r="2508" spans="1:5" x14ac:dyDescent="0.25">
      <c r="A2508" s="130" t="str">
        <f>LEFT(B2508,1)</f>
        <v>H</v>
      </c>
      <c r="B2508" t="s">
        <v>28494</v>
      </c>
      <c r="C2508">
        <v>1</v>
      </c>
      <c r="D2508" t="s">
        <v>23629</v>
      </c>
      <c r="E2508" t="s">
        <v>23632</v>
      </c>
    </row>
    <row r="2509" spans="1:5" x14ac:dyDescent="0.25">
      <c r="A2509" s="130" t="s">
        <v>17370</v>
      </c>
      <c r="B2509" t="s">
        <v>25702</v>
      </c>
      <c r="C2509">
        <v>1</v>
      </c>
      <c r="D2509" t="s">
        <v>23629</v>
      </c>
      <c r="E2509" t="s">
        <v>23632</v>
      </c>
    </row>
    <row r="2510" spans="1:5" x14ac:dyDescent="0.25">
      <c r="A2510" s="130" t="s">
        <v>17370</v>
      </c>
      <c r="B2510" t="s">
        <v>25703</v>
      </c>
      <c r="C2510">
        <v>1</v>
      </c>
      <c r="D2510" t="s">
        <v>23629</v>
      </c>
      <c r="E2510" t="s">
        <v>23632</v>
      </c>
    </row>
    <row r="2511" spans="1:5" x14ac:dyDescent="0.25">
      <c r="A2511" s="131" t="s">
        <v>17370</v>
      </c>
      <c r="B2511" t="s">
        <v>25704</v>
      </c>
      <c r="C2511">
        <v>1</v>
      </c>
      <c r="D2511" t="s">
        <v>23629</v>
      </c>
      <c r="E2511" t="s">
        <v>23632</v>
      </c>
    </row>
    <row r="2512" spans="1:5" x14ac:dyDescent="0.25">
      <c r="A2512" s="130" t="str">
        <f>LEFT((B2512),1)</f>
        <v>H</v>
      </c>
      <c r="B2512" t="s">
        <v>25705</v>
      </c>
      <c r="C2512">
        <v>1</v>
      </c>
      <c r="D2512" t="s">
        <v>23629</v>
      </c>
      <c r="E2512" t="s">
        <v>23632</v>
      </c>
    </row>
    <row r="2513" spans="1:5" x14ac:dyDescent="0.25">
      <c r="A2513" s="131" t="s">
        <v>17370</v>
      </c>
      <c r="B2513" t="s">
        <v>25706</v>
      </c>
      <c r="C2513">
        <v>1</v>
      </c>
      <c r="D2513" t="s">
        <v>23629</v>
      </c>
      <c r="E2513" t="s">
        <v>23632</v>
      </c>
    </row>
    <row r="2514" spans="1:5" x14ac:dyDescent="0.25">
      <c r="A2514" s="131" t="s">
        <v>17370</v>
      </c>
      <c r="B2514" t="s">
        <v>25707</v>
      </c>
      <c r="C2514">
        <v>1</v>
      </c>
      <c r="D2514" t="s">
        <v>23629</v>
      </c>
      <c r="E2514" t="s">
        <v>23632</v>
      </c>
    </row>
    <row r="2515" spans="1:5" x14ac:dyDescent="0.25">
      <c r="A2515" s="130" t="s">
        <v>17370</v>
      </c>
      <c r="B2515" t="s">
        <v>25708</v>
      </c>
      <c r="C2515">
        <v>1</v>
      </c>
      <c r="D2515" t="s">
        <v>23629</v>
      </c>
      <c r="E2515" t="s">
        <v>23632</v>
      </c>
    </row>
    <row r="2516" spans="1:5" x14ac:dyDescent="0.25">
      <c r="A2516" s="130" t="str">
        <f>LEFT(B2516,1)</f>
        <v>H</v>
      </c>
      <c r="B2516" t="s">
        <v>25770</v>
      </c>
      <c r="C2516">
        <v>1</v>
      </c>
      <c r="D2516" t="s">
        <v>23629</v>
      </c>
      <c r="E2516" t="s">
        <v>23632</v>
      </c>
    </row>
    <row r="2517" spans="1:5" x14ac:dyDescent="0.25">
      <c r="A2517" s="130" t="s">
        <v>17370</v>
      </c>
      <c r="B2517" t="s">
        <v>25709</v>
      </c>
      <c r="C2517">
        <v>1</v>
      </c>
      <c r="D2517" t="s">
        <v>23629</v>
      </c>
      <c r="E2517" t="s">
        <v>23632</v>
      </c>
    </row>
    <row r="2518" spans="1:5" x14ac:dyDescent="0.25">
      <c r="A2518" s="131" t="str">
        <f>LEFT((B2518),1)</f>
        <v>H</v>
      </c>
      <c r="B2518" t="s">
        <v>25710</v>
      </c>
      <c r="C2518">
        <v>1</v>
      </c>
      <c r="D2518" t="s">
        <v>23629</v>
      </c>
      <c r="E2518" t="s">
        <v>23632</v>
      </c>
    </row>
    <row r="2519" spans="1:5" x14ac:dyDescent="0.25">
      <c r="A2519" s="130" t="str">
        <f>LEFT(B2519,1)</f>
        <v>H</v>
      </c>
      <c r="B2519" t="s">
        <v>25783</v>
      </c>
      <c r="C2519">
        <v>1</v>
      </c>
      <c r="D2519" t="s">
        <v>23629</v>
      </c>
      <c r="E2519" t="s">
        <v>23632</v>
      </c>
    </row>
    <row r="2520" spans="1:5" x14ac:dyDescent="0.25">
      <c r="A2520" s="130" t="s">
        <v>17370</v>
      </c>
      <c r="B2520" t="s">
        <v>25711</v>
      </c>
      <c r="C2520">
        <v>1</v>
      </c>
      <c r="D2520" t="s">
        <v>23629</v>
      </c>
      <c r="E2520" t="s">
        <v>23632</v>
      </c>
    </row>
    <row r="2521" spans="1:5" x14ac:dyDescent="0.25">
      <c r="A2521" s="131" t="s">
        <v>17370</v>
      </c>
      <c r="B2521" t="s">
        <v>25712</v>
      </c>
      <c r="C2521">
        <v>1</v>
      </c>
      <c r="D2521" t="s">
        <v>23629</v>
      </c>
      <c r="E2521" t="s">
        <v>23632</v>
      </c>
    </row>
    <row r="2522" spans="1:5" x14ac:dyDescent="0.25">
      <c r="A2522" s="130" t="s">
        <v>17370</v>
      </c>
      <c r="B2522" t="s">
        <v>25713</v>
      </c>
      <c r="C2522">
        <v>1</v>
      </c>
      <c r="D2522" t="s">
        <v>23629</v>
      </c>
      <c r="E2522" t="s">
        <v>23632</v>
      </c>
    </row>
    <row r="2523" spans="1:5" x14ac:dyDescent="0.25">
      <c r="A2523" s="130" t="str">
        <f>LEFT((B2523),1)</f>
        <v>H</v>
      </c>
      <c r="B2523" t="s">
        <v>25714</v>
      </c>
      <c r="C2523">
        <v>1</v>
      </c>
      <c r="D2523" t="s">
        <v>23629</v>
      </c>
      <c r="E2523" t="s">
        <v>23632</v>
      </c>
    </row>
    <row r="2524" spans="1:5" x14ac:dyDescent="0.25">
      <c r="A2524" s="130" t="s">
        <v>17370</v>
      </c>
      <c r="B2524" t="s">
        <v>25715</v>
      </c>
      <c r="C2524">
        <v>1</v>
      </c>
      <c r="D2524" t="s">
        <v>23629</v>
      </c>
      <c r="E2524" t="s">
        <v>23632</v>
      </c>
    </row>
    <row r="2525" spans="1:5" x14ac:dyDescent="0.25">
      <c r="A2525" s="131" t="s">
        <v>17370</v>
      </c>
      <c r="B2525" t="s">
        <v>25716</v>
      </c>
      <c r="C2525">
        <v>1</v>
      </c>
      <c r="D2525" t="s">
        <v>23629</v>
      </c>
      <c r="E2525" t="s">
        <v>23632</v>
      </c>
    </row>
    <row r="2526" spans="1:5" x14ac:dyDescent="0.25">
      <c r="A2526" s="130" t="s">
        <v>17370</v>
      </c>
      <c r="B2526" t="s">
        <v>25717</v>
      </c>
      <c r="C2526">
        <v>1</v>
      </c>
      <c r="D2526" t="s">
        <v>23629</v>
      </c>
      <c r="E2526" t="s">
        <v>23632</v>
      </c>
    </row>
    <row r="2527" spans="1:5" x14ac:dyDescent="0.25">
      <c r="A2527" s="131" t="s">
        <v>17370</v>
      </c>
      <c r="B2527" t="s">
        <v>25718</v>
      </c>
      <c r="C2527">
        <v>1</v>
      </c>
      <c r="D2527" t="s">
        <v>23629</v>
      </c>
      <c r="E2527" t="s">
        <v>23632</v>
      </c>
    </row>
    <row r="2528" spans="1:5" x14ac:dyDescent="0.25">
      <c r="A2528" s="131" t="s">
        <v>17370</v>
      </c>
      <c r="B2528" t="s">
        <v>25719</v>
      </c>
      <c r="C2528">
        <v>1</v>
      </c>
      <c r="D2528" t="s">
        <v>23629</v>
      </c>
      <c r="E2528" t="s">
        <v>23632</v>
      </c>
    </row>
    <row r="2529" spans="1:5" x14ac:dyDescent="0.25">
      <c r="A2529" s="131" t="str">
        <f>LEFT(B2529,1)</f>
        <v>H</v>
      </c>
      <c r="B2529" t="s">
        <v>25784</v>
      </c>
      <c r="C2529">
        <v>1</v>
      </c>
      <c r="D2529" t="s">
        <v>23629</v>
      </c>
      <c r="E2529" t="s">
        <v>23632</v>
      </c>
    </row>
    <row r="2530" spans="1:5" x14ac:dyDescent="0.25">
      <c r="A2530" s="130" t="s">
        <v>17370</v>
      </c>
      <c r="B2530" t="s">
        <v>25720</v>
      </c>
      <c r="C2530">
        <v>1</v>
      </c>
      <c r="D2530" t="s">
        <v>23629</v>
      </c>
      <c r="E2530" t="s">
        <v>23632</v>
      </c>
    </row>
    <row r="2531" spans="1:5" x14ac:dyDescent="0.25">
      <c r="A2531" s="131" t="s">
        <v>17370</v>
      </c>
      <c r="B2531" t="s">
        <v>25721</v>
      </c>
      <c r="C2531">
        <v>1</v>
      </c>
      <c r="D2531" t="s">
        <v>23629</v>
      </c>
      <c r="E2531" t="s">
        <v>23632</v>
      </c>
    </row>
    <row r="2532" spans="1:5" x14ac:dyDescent="0.25">
      <c r="A2532" s="130" t="s">
        <v>17370</v>
      </c>
      <c r="B2532" t="s">
        <v>25722</v>
      </c>
      <c r="C2532">
        <v>1</v>
      </c>
      <c r="D2532" t="s">
        <v>23629</v>
      </c>
      <c r="E2532" t="s">
        <v>23632</v>
      </c>
    </row>
    <row r="2533" spans="1:5" x14ac:dyDescent="0.25">
      <c r="A2533" s="131" t="s">
        <v>17370</v>
      </c>
      <c r="B2533" t="s">
        <v>25723</v>
      </c>
      <c r="C2533">
        <v>1</v>
      </c>
      <c r="D2533" t="s">
        <v>23629</v>
      </c>
      <c r="E2533" t="s">
        <v>23632</v>
      </c>
    </row>
    <row r="2534" spans="1:5" x14ac:dyDescent="0.25">
      <c r="A2534" s="130" t="s">
        <v>17370</v>
      </c>
      <c r="B2534" t="s">
        <v>25724</v>
      </c>
      <c r="C2534">
        <v>1</v>
      </c>
      <c r="D2534" t="s">
        <v>23629</v>
      </c>
      <c r="E2534" t="s">
        <v>23632</v>
      </c>
    </row>
    <row r="2535" spans="1:5" x14ac:dyDescent="0.25">
      <c r="A2535" s="131" t="s">
        <v>17370</v>
      </c>
      <c r="B2535" t="s">
        <v>25725</v>
      </c>
      <c r="C2535">
        <v>1</v>
      </c>
      <c r="D2535" t="s">
        <v>23629</v>
      </c>
      <c r="E2535" t="s">
        <v>23632</v>
      </c>
    </row>
    <row r="2536" spans="1:5" x14ac:dyDescent="0.25">
      <c r="A2536" s="130" t="s">
        <v>17370</v>
      </c>
      <c r="B2536" t="s">
        <v>25726</v>
      </c>
      <c r="C2536">
        <v>1.02</v>
      </c>
      <c r="D2536" t="s">
        <v>23629</v>
      </c>
      <c r="E2536" t="s">
        <v>23632</v>
      </c>
    </row>
    <row r="2537" spans="1:5" x14ac:dyDescent="0.25">
      <c r="A2537" s="131" t="s">
        <v>17370</v>
      </c>
      <c r="B2537" t="s">
        <v>25727</v>
      </c>
      <c r="C2537">
        <v>1</v>
      </c>
      <c r="D2537" t="s">
        <v>23629</v>
      </c>
      <c r="E2537" t="s">
        <v>23632</v>
      </c>
    </row>
    <row r="2538" spans="1:5" x14ac:dyDescent="0.25">
      <c r="A2538" s="131" t="str">
        <f>LEFT(B2538,1)</f>
        <v>H</v>
      </c>
      <c r="B2538" t="s">
        <v>25771</v>
      </c>
      <c r="C2538">
        <v>1</v>
      </c>
      <c r="D2538" t="s">
        <v>23629</v>
      </c>
      <c r="E2538" t="s">
        <v>23632</v>
      </c>
    </row>
    <row r="2539" spans="1:5" x14ac:dyDescent="0.25">
      <c r="A2539" s="131" t="str">
        <f>LEFT((B2539),1)</f>
        <v>H</v>
      </c>
      <c r="B2539" t="s">
        <v>25728</v>
      </c>
      <c r="C2539">
        <v>1</v>
      </c>
      <c r="D2539" t="s">
        <v>23629</v>
      </c>
      <c r="E2539" t="s">
        <v>23632</v>
      </c>
    </row>
    <row r="2540" spans="1:5" x14ac:dyDescent="0.25">
      <c r="A2540" s="131" t="s">
        <v>17370</v>
      </c>
      <c r="B2540" t="s">
        <v>25729</v>
      </c>
      <c r="C2540">
        <v>1</v>
      </c>
      <c r="D2540" t="s">
        <v>23629</v>
      </c>
      <c r="E2540" t="s">
        <v>23632</v>
      </c>
    </row>
    <row r="2541" spans="1:5" x14ac:dyDescent="0.25">
      <c r="A2541" s="131" t="s">
        <v>17370</v>
      </c>
      <c r="B2541" t="s">
        <v>25730</v>
      </c>
      <c r="C2541">
        <v>1</v>
      </c>
      <c r="D2541" t="s">
        <v>23629</v>
      </c>
      <c r="E2541" t="s">
        <v>23632</v>
      </c>
    </row>
    <row r="2542" spans="1:5" x14ac:dyDescent="0.25">
      <c r="A2542" s="131" t="s">
        <v>17370</v>
      </c>
      <c r="B2542" t="s">
        <v>25731</v>
      </c>
      <c r="C2542">
        <v>1</v>
      </c>
      <c r="D2542" t="s">
        <v>23629</v>
      </c>
      <c r="E2542" t="s">
        <v>23632</v>
      </c>
    </row>
    <row r="2543" spans="1:5" x14ac:dyDescent="0.25">
      <c r="A2543" s="130" t="s">
        <v>17370</v>
      </c>
      <c r="B2543" t="s">
        <v>25732</v>
      </c>
      <c r="C2543">
        <v>1</v>
      </c>
      <c r="D2543" t="s">
        <v>23629</v>
      </c>
      <c r="E2543" t="s">
        <v>23632</v>
      </c>
    </row>
    <row r="2544" spans="1:5" x14ac:dyDescent="0.25">
      <c r="A2544" s="130" t="s">
        <v>17370</v>
      </c>
      <c r="B2544" t="s">
        <v>25733</v>
      </c>
      <c r="C2544">
        <v>1</v>
      </c>
      <c r="D2544" t="s">
        <v>23629</v>
      </c>
      <c r="E2544" t="s">
        <v>23632</v>
      </c>
    </row>
    <row r="2545" spans="1:5" x14ac:dyDescent="0.25">
      <c r="A2545" s="131" t="s">
        <v>17370</v>
      </c>
      <c r="B2545" t="s">
        <v>25734</v>
      </c>
      <c r="C2545">
        <v>1</v>
      </c>
      <c r="D2545" t="s">
        <v>23629</v>
      </c>
      <c r="E2545" t="s">
        <v>23632</v>
      </c>
    </row>
    <row r="2546" spans="1:5" x14ac:dyDescent="0.25">
      <c r="A2546" s="131" t="s">
        <v>17370</v>
      </c>
      <c r="B2546" t="s">
        <v>25735</v>
      </c>
      <c r="C2546">
        <v>1</v>
      </c>
      <c r="D2546" t="s">
        <v>23629</v>
      </c>
      <c r="E2546" t="s">
        <v>23632</v>
      </c>
    </row>
    <row r="2547" spans="1:5" x14ac:dyDescent="0.25">
      <c r="A2547" s="130" t="s">
        <v>17370</v>
      </c>
      <c r="B2547" t="s">
        <v>25736</v>
      </c>
      <c r="C2547">
        <v>1</v>
      </c>
      <c r="D2547" t="s">
        <v>23629</v>
      </c>
      <c r="E2547" t="s">
        <v>23632</v>
      </c>
    </row>
    <row r="2548" spans="1:5" x14ac:dyDescent="0.25">
      <c r="A2548" s="131" t="s">
        <v>17370</v>
      </c>
      <c r="B2548" t="s">
        <v>25737</v>
      </c>
      <c r="C2548">
        <v>1</v>
      </c>
      <c r="D2548" t="s">
        <v>23629</v>
      </c>
      <c r="E2548" t="s">
        <v>23632</v>
      </c>
    </row>
    <row r="2549" spans="1:5" x14ac:dyDescent="0.25">
      <c r="A2549" s="130" t="s">
        <v>17370</v>
      </c>
      <c r="B2549" t="s">
        <v>25738</v>
      </c>
      <c r="C2549">
        <v>1</v>
      </c>
      <c r="D2549" t="s">
        <v>23629</v>
      </c>
      <c r="E2549" t="s">
        <v>23632</v>
      </c>
    </row>
    <row r="2550" spans="1:5" x14ac:dyDescent="0.25">
      <c r="A2550" s="130" t="s">
        <v>17370</v>
      </c>
      <c r="B2550" t="s">
        <v>25739</v>
      </c>
      <c r="C2550">
        <v>1</v>
      </c>
      <c r="D2550" t="s">
        <v>23629</v>
      </c>
      <c r="E2550" t="s">
        <v>23632</v>
      </c>
    </row>
    <row r="2551" spans="1:5" x14ac:dyDescent="0.25">
      <c r="A2551" s="130" t="s">
        <v>17370</v>
      </c>
      <c r="B2551" t="s">
        <v>25740</v>
      </c>
      <c r="C2551">
        <v>1</v>
      </c>
      <c r="D2551" t="s">
        <v>23629</v>
      </c>
      <c r="E2551" t="s">
        <v>23632</v>
      </c>
    </row>
    <row r="2552" spans="1:5" x14ac:dyDescent="0.25">
      <c r="A2552" s="131" t="s">
        <v>17370</v>
      </c>
      <c r="B2552" t="s">
        <v>25741</v>
      </c>
      <c r="C2552">
        <v>1</v>
      </c>
      <c r="D2552" t="s">
        <v>23629</v>
      </c>
      <c r="E2552" t="s">
        <v>23632</v>
      </c>
    </row>
    <row r="2553" spans="1:5" x14ac:dyDescent="0.25">
      <c r="A2553" s="130" t="str">
        <f>LEFT((B2553),1)</f>
        <v>H</v>
      </c>
      <c r="B2553" t="s">
        <v>25742</v>
      </c>
      <c r="C2553">
        <v>1</v>
      </c>
      <c r="D2553" t="s">
        <v>23629</v>
      </c>
      <c r="E2553" t="s">
        <v>23632</v>
      </c>
    </row>
    <row r="2554" spans="1:5" x14ac:dyDescent="0.25">
      <c r="A2554" s="131" t="s">
        <v>17370</v>
      </c>
      <c r="B2554" t="s">
        <v>25743</v>
      </c>
      <c r="C2554">
        <v>1</v>
      </c>
      <c r="D2554" t="s">
        <v>23629</v>
      </c>
      <c r="E2554" t="s">
        <v>23632</v>
      </c>
    </row>
    <row r="2555" spans="1:5" x14ac:dyDescent="0.25">
      <c r="A2555" s="130" t="str">
        <f>LEFT(B2555,1)</f>
        <v>H</v>
      </c>
      <c r="B2555" t="s">
        <v>28794</v>
      </c>
      <c r="C2555">
        <v>1</v>
      </c>
      <c r="D2555" t="s">
        <v>23629</v>
      </c>
      <c r="E2555" t="s">
        <v>23632</v>
      </c>
    </row>
    <row r="2556" spans="1:5" x14ac:dyDescent="0.25">
      <c r="A2556" s="130" t="s">
        <v>17370</v>
      </c>
      <c r="B2556" t="s">
        <v>25744</v>
      </c>
      <c r="C2556">
        <v>1</v>
      </c>
      <c r="D2556" t="s">
        <v>23629</v>
      </c>
      <c r="E2556" t="s">
        <v>23632</v>
      </c>
    </row>
    <row r="2557" spans="1:5" x14ac:dyDescent="0.25">
      <c r="A2557" s="130" t="str">
        <f>LEFT(B2557,1)</f>
        <v>H</v>
      </c>
      <c r="B2557" t="s">
        <v>28495</v>
      </c>
      <c r="C2557">
        <v>1</v>
      </c>
      <c r="D2557" t="s">
        <v>23629</v>
      </c>
      <c r="E2557" t="s">
        <v>23632</v>
      </c>
    </row>
    <row r="2558" spans="1:5" x14ac:dyDescent="0.25">
      <c r="A2558" s="131" t="s">
        <v>17370</v>
      </c>
      <c r="B2558" t="s">
        <v>25745</v>
      </c>
      <c r="C2558">
        <v>1</v>
      </c>
      <c r="D2558" t="s">
        <v>23629</v>
      </c>
      <c r="E2558" t="s">
        <v>23632</v>
      </c>
    </row>
    <row r="2559" spans="1:5" x14ac:dyDescent="0.25">
      <c r="A2559" s="130" t="s">
        <v>17370</v>
      </c>
      <c r="B2559" t="s">
        <v>25746</v>
      </c>
      <c r="C2559">
        <v>1</v>
      </c>
      <c r="D2559" t="s">
        <v>23629</v>
      </c>
      <c r="E2559" t="s">
        <v>23632</v>
      </c>
    </row>
    <row r="2560" spans="1:5" x14ac:dyDescent="0.25">
      <c r="A2560" s="131" t="s">
        <v>17370</v>
      </c>
      <c r="B2560" t="s">
        <v>25747</v>
      </c>
      <c r="C2560">
        <v>1</v>
      </c>
      <c r="D2560" t="s">
        <v>23629</v>
      </c>
      <c r="E2560" t="s">
        <v>23632</v>
      </c>
    </row>
    <row r="2561" spans="1:5" x14ac:dyDescent="0.25">
      <c r="A2561" s="130" t="str">
        <f>LEFT(B2561,1)</f>
        <v>H</v>
      </c>
      <c r="B2561" t="s">
        <v>29051</v>
      </c>
      <c r="C2561">
        <v>1</v>
      </c>
      <c r="D2561" t="s">
        <v>23629</v>
      </c>
      <c r="E2561" t="s">
        <v>23632</v>
      </c>
    </row>
    <row r="2562" spans="1:5" x14ac:dyDescent="0.25">
      <c r="A2562" s="131" t="s">
        <v>17370</v>
      </c>
      <c r="B2562" t="s">
        <v>25748</v>
      </c>
      <c r="C2562">
        <v>1</v>
      </c>
      <c r="D2562" t="s">
        <v>23629</v>
      </c>
      <c r="E2562" t="s">
        <v>23632</v>
      </c>
    </row>
    <row r="2563" spans="1:5" x14ac:dyDescent="0.25">
      <c r="A2563" s="131" t="s">
        <v>17370</v>
      </c>
      <c r="B2563" t="s">
        <v>25749</v>
      </c>
      <c r="C2563">
        <v>1</v>
      </c>
      <c r="D2563" t="s">
        <v>23629</v>
      </c>
      <c r="E2563" t="s">
        <v>23632</v>
      </c>
    </row>
    <row r="2564" spans="1:5" x14ac:dyDescent="0.25">
      <c r="A2564" s="130" t="s">
        <v>17370</v>
      </c>
      <c r="B2564" t="s">
        <v>25750</v>
      </c>
      <c r="C2564">
        <v>1</v>
      </c>
      <c r="D2564" t="s">
        <v>23629</v>
      </c>
      <c r="E2564" t="s">
        <v>23632</v>
      </c>
    </row>
    <row r="2565" spans="1:5" x14ac:dyDescent="0.25">
      <c r="A2565" s="130" t="s">
        <v>17370</v>
      </c>
      <c r="B2565" t="s">
        <v>25751</v>
      </c>
      <c r="C2565">
        <v>1</v>
      </c>
      <c r="D2565" t="s">
        <v>23629</v>
      </c>
      <c r="E2565" t="s">
        <v>23632</v>
      </c>
    </row>
    <row r="2566" spans="1:5" x14ac:dyDescent="0.25">
      <c r="A2566" s="131" t="s">
        <v>17370</v>
      </c>
      <c r="B2566" t="s">
        <v>25752</v>
      </c>
      <c r="C2566">
        <v>1</v>
      </c>
      <c r="D2566" t="s">
        <v>23629</v>
      </c>
      <c r="E2566" t="s">
        <v>23632</v>
      </c>
    </row>
    <row r="2567" spans="1:5" x14ac:dyDescent="0.25">
      <c r="A2567" s="130" t="s">
        <v>17370</v>
      </c>
      <c r="B2567" t="s">
        <v>25753</v>
      </c>
      <c r="C2567">
        <v>1</v>
      </c>
      <c r="D2567" t="s">
        <v>23629</v>
      </c>
      <c r="E2567" t="s">
        <v>23632</v>
      </c>
    </row>
    <row r="2568" spans="1:5" x14ac:dyDescent="0.25">
      <c r="A2568" s="131" t="s">
        <v>17370</v>
      </c>
      <c r="B2568" t="s">
        <v>25754</v>
      </c>
      <c r="C2568">
        <v>1</v>
      </c>
      <c r="D2568" t="s">
        <v>23629</v>
      </c>
      <c r="E2568" t="s">
        <v>23632</v>
      </c>
    </row>
    <row r="2569" spans="1:5" x14ac:dyDescent="0.25">
      <c r="A2569" s="131" t="s">
        <v>17370</v>
      </c>
      <c r="B2569" t="s">
        <v>25755</v>
      </c>
      <c r="C2569">
        <v>1</v>
      </c>
      <c r="D2569" t="s">
        <v>23629</v>
      </c>
      <c r="E2569" t="s">
        <v>23632</v>
      </c>
    </row>
    <row r="2570" spans="1:5" x14ac:dyDescent="0.25">
      <c r="A2570" s="130" t="s">
        <v>17370</v>
      </c>
      <c r="B2570" t="s">
        <v>25756</v>
      </c>
      <c r="C2570">
        <v>1</v>
      </c>
      <c r="D2570" t="s">
        <v>23629</v>
      </c>
      <c r="E2570" t="s">
        <v>23881</v>
      </c>
    </row>
    <row r="2571" spans="1:5" x14ac:dyDescent="0.25">
      <c r="A2571" s="131" t="s">
        <v>17370</v>
      </c>
      <c r="B2571" t="s">
        <v>25757</v>
      </c>
      <c r="C2571">
        <v>1</v>
      </c>
      <c r="D2571" t="s">
        <v>23629</v>
      </c>
      <c r="E2571" t="s">
        <v>23632</v>
      </c>
    </row>
    <row r="2572" spans="1:5" x14ac:dyDescent="0.25">
      <c r="A2572" s="130" t="str">
        <f>LEFT(B2572,1)</f>
        <v>H</v>
      </c>
      <c r="B2572" t="s">
        <v>25775</v>
      </c>
      <c r="C2572">
        <v>1</v>
      </c>
      <c r="D2572" t="s">
        <v>23629</v>
      </c>
      <c r="E2572" t="s">
        <v>23632</v>
      </c>
    </row>
    <row r="2573" spans="1:5" x14ac:dyDescent="0.25">
      <c r="A2573" s="130" t="s">
        <v>17370</v>
      </c>
      <c r="B2573" t="s">
        <v>25758</v>
      </c>
      <c r="C2573">
        <v>1</v>
      </c>
      <c r="D2573" t="s">
        <v>23629</v>
      </c>
      <c r="E2573" t="s">
        <v>23632</v>
      </c>
    </row>
    <row r="2574" spans="1:5" x14ac:dyDescent="0.25">
      <c r="A2574" s="131" t="s">
        <v>17370</v>
      </c>
      <c r="B2574" t="s">
        <v>25759</v>
      </c>
      <c r="C2574">
        <v>1</v>
      </c>
      <c r="D2574" t="s">
        <v>23629</v>
      </c>
      <c r="E2574" t="s">
        <v>23632</v>
      </c>
    </row>
    <row r="2575" spans="1:5" x14ac:dyDescent="0.25">
      <c r="A2575" s="131" t="s">
        <v>17370</v>
      </c>
      <c r="B2575" t="s">
        <v>25760</v>
      </c>
      <c r="C2575">
        <v>1</v>
      </c>
      <c r="D2575" t="s">
        <v>23629</v>
      </c>
      <c r="E2575" t="s">
        <v>23632</v>
      </c>
    </row>
    <row r="2576" spans="1:5" x14ac:dyDescent="0.25">
      <c r="A2576" s="130" t="str">
        <f>LEFT(B2576,1)</f>
        <v>H</v>
      </c>
      <c r="B2576" t="s">
        <v>28795</v>
      </c>
      <c r="C2576">
        <v>1</v>
      </c>
      <c r="D2576" t="s">
        <v>23629</v>
      </c>
      <c r="E2576" t="s">
        <v>23632</v>
      </c>
    </row>
    <row r="2577" spans="1:5" x14ac:dyDescent="0.25">
      <c r="A2577" s="130" t="str">
        <f>LEFT(B2577,1)</f>
        <v>H</v>
      </c>
      <c r="B2577" t="s">
        <v>25776</v>
      </c>
      <c r="C2577">
        <v>1</v>
      </c>
      <c r="D2577" t="s">
        <v>23629</v>
      </c>
      <c r="E2577" t="s">
        <v>23632</v>
      </c>
    </row>
    <row r="2578" spans="1:5" x14ac:dyDescent="0.25">
      <c r="A2578" s="130" t="str">
        <f>LEFT(B2578,1)</f>
        <v>H</v>
      </c>
      <c r="B2578" t="s">
        <v>25785</v>
      </c>
      <c r="C2578">
        <v>1</v>
      </c>
      <c r="D2578" t="s">
        <v>23629</v>
      </c>
      <c r="E2578" t="s">
        <v>23632</v>
      </c>
    </row>
    <row r="2579" spans="1:5" x14ac:dyDescent="0.25">
      <c r="A2579" s="130" t="s">
        <v>17370</v>
      </c>
      <c r="B2579" t="s">
        <v>25761</v>
      </c>
      <c r="C2579">
        <v>1</v>
      </c>
      <c r="D2579" t="s">
        <v>23629</v>
      </c>
      <c r="E2579" t="s">
        <v>23632</v>
      </c>
    </row>
    <row r="2580" spans="1:5" x14ac:dyDescent="0.25">
      <c r="A2580" s="130" t="str">
        <f>LEFT(B2580,1)</f>
        <v>H</v>
      </c>
      <c r="B2580" t="s">
        <v>25777</v>
      </c>
      <c r="C2580">
        <v>1</v>
      </c>
      <c r="D2580" t="s">
        <v>23629</v>
      </c>
      <c r="E2580" t="s">
        <v>23632</v>
      </c>
    </row>
    <row r="2581" spans="1:5" x14ac:dyDescent="0.25">
      <c r="A2581" s="130" t="str">
        <f>LEFT(B2581,1)</f>
        <v>H</v>
      </c>
      <c r="B2581" t="s">
        <v>28496</v>
      </c>
      <c r="C2581">
        <v>1</v>
      </c>
      <c r="D2581" t="s">
        <v>23629</v>
      </c>
      <c r="E2581" t="s">
        <v>23632</v>
      </c>
    </row>
    <row r="2582" spans="1:5" x14ac:dyDescent="0.25">
      <c r="A2582" s="131" t="str">
        <f>LEFT((B2582),1)</f>
        <v>H</v>
      </c>
      <c r="B2582" t="s">
        <v>25762</v>
      </c>
      <c r="C2582">
        <v>1</v>
      </c>
      <c r="D2582" t="s">
        <v>23629</v>
      </c>
      <c r="E2582" t="s">
        <v>23632</v>
      </c>
    </row>
    <row r="2583" spans="1:5" x14ac:dyDescent="0.25">
      <c r="A2583" s="130" t="str">
        <f>LEFT(B2583,1)</f>
        <v>H</v>
      </c>
      <c r="B2583" t="s">
        <v>28497</v>
      </c>
      <c r="C2583">
        <v>1</v>
      </c>
      <c r="D2583" t="s">
        <v>23629</v>
      </c>
      <c r="E2583" t="s">
        <v>23632</v>
      </c>
    </row>
    <row r="2584" spans="1:5" x14ac:dyDescent="0.25">
      <c r="A2584" s="131" t="str">
        <f>LEFT(B2584,1)</f>
        <v>H</v>
      </c>
      <c r="B2584" t="s">
        <v>25786</v>
      </c>
      <c r="C2584">
        <v>1</v>
      </c>
      <c r="D2584" t="s">
        <v>23629</v>
      </c>
      <c r="E2584" t="s">
        <v>23632</v>
      </c>
    </row>
    <row r="2585" spans="1:5" x14ac:dyDescent="0.25">
      <c r="A2585" s="130" t="str">
        <f>LEFT(B2585,1)</f>
        <v>H</v>
      </c>
      <c r="B2585" t="s">
        <v>25772</v>
      </c>
      <c r="C2585">
        <v>1</v>
      </c>
      <c r="D2585" t="s">
        <v>23629</v>
      </c>
      <c r="E2585" t="s">
        <v>23632</v>
      </c>
    </row>
    <row r="2586" spans="1:5" x14ac:dyDescent="0.25">
      <c r="A2586" s="130" t="s">
        <v>17370</v>
      </c>
      <c r="B2586" t="s">
        <v>25763</v>
      </c>
      <c r="C2586">
        <v>1</v>
      </c>
      <c r="D2586" t="s">
        <v>23629</v>
      </c>
      <c r="E2586" t="s">
        <v>23632</v>
      </c>
    </row>
    <row r="2587" spans="1:5" x14ac:dyDescent="0.25">
      <c r="A2587" s="131" t="str">
        <f>LEFT(B2587,1)</f>
        <v>H</v>
      </c>
      <c r="B2587" t="s">
        <v>25773</v>
      </c>
      <c r="C2587">
        <v>1</v>
      </c>
      <c r="D2587" t="s">
        <v>23629</v>
      </c>
      <c r="E2587" t="s">
        <v>23632</v>
      </c>
    </row>
    <row r="2588" spans="1:5" x14ac:dyDescent="0.25">
      <c r="A2588" s="131" t="s">
        <v>17370</v>
      </c>
      <c r="B2588" t="s">
        <v>25764</v>
      </c>
      <c r="C2588">
        <v>1</v>
      </c>
      <c r="D2588" t="s">
        <v>23629</v>
      </c>
      <c r="E2588" t="s">
        <v>23632</v>
      </c>
    </row>
    <row r="2589" spans="1:5" x14ac:dyDescent="0.25">
      <c r="A2589" s="130" t="s">
        <v>17370</v>
      </c>
      <c r="B2589" t="s">
        <v>25765</v>
      </c>
      <c r="C2589">
        <v>1</v>
      </c>
      <c r="D2589" t="s">
        <v>23629</v>
      </c>
      <c r="E2589" t="s">
        <v>23632</v>
      </c>
    </row>
    <row r="2590" spans="1:5" x14ac:dyDescent="0.25">
      <c r="A2590" s="131" t="s">
        <v>17370</v>
      </c>
      <c r="B2590" t="s">
        <v>25766</v>
      </c>
      <c r="C2590">
        <v>1</v>
      </c>
      <c r="D2590" t="s">
        <v>23629</v>
      </c>
      <c r="E2590" t="s">
        <v>23632</v>
      </c>
    </row>
    <row r="2591" spans="1:5" x14ac:dyDescent="0.25">
      <c r="A2591" s="131" t="s">
        <v>17370</v>
      </c>
      <c r="B2591" t="s">
        <v>25767</v>
      </c>
      <c r="C2591">
        <v>1</v>
      </c>
      <c r="D2591" t="s">
        <v>23629</v>
      </c>
      <c r="E2591" t="s">
        <v>23632</v>
      </c>
    </row>
    <row r="2592" spans="1:5" x14ac:dyDescent="0.25">
      <c r="A2592" s="131" t="s">
        <v>17370</v>
      </c>
      <c r="B2592" t="s">
        <v>25768</v>
      </c>
      <c r="C2592">
        <v>1</v>
      </c>
      <c r="D2592" t="s">
        <v>23629</v>
      </c>
      <c r="E2592" t="s">
        <v>23632</v>
      </c>
    </row>
    <row r="2593" spans="1:5" x14ac:dyDescent="0.25">
      <c r="A2593" s="130" t="str">
        <f>LEFT(B2593,1)</f>
        <v>H</v>
      </c>
      <c r="B2593" t="s">
        <v>28796</v>
      </c>
      <c r="C2593">
        <v>1</v>
      </c>
      <c r="D2593" t="s">
        <v>23629</v>
      </c>
      <c r="E2593" t="s">
        <v>23632</v>
      </c>
    </row>
    <row r="2594" spans="1:5" x14ac:dyDescent="0.25">
      <c r="A2594" s="131" t="s">
        <v>17721</v>
      </c>
      <c r="B2594" t="s">
        <v>25787</v>
      </c>
      <c r="C2594">
        <v>1</v>
      </c>
      <c r="D2594" t="s">
        <v>23629</v>
      </c>
      <c r="E2594" t="s">
        <v>23632</v>
      </c>
    </row>
    <row r="2595" spans="1:5" x14ac:dyDescent="0.25">
      <c r="A2595" s="130" t="s">
        <v>17721</v>
      </c>
      <c r="B2595" t="s">
        <v>25788</v>
      </c>
      <c r="C2595">
        <v>1</v>
      </c>
      <c r="D2595" t="s">
        <v>23629</v>
      </c>
      <c r="E2595" t="s">
        <v>23632</v>
      </c>
    </row>
    <row r="2596" spans="1:5" x14ac:dyDescent="0.25">
      <c r="A2596" s="130" t="s">
        <v>17721</v>
      </c>
      <c r="B2596" t="s">
        <v>25789</v>
      </c>
      <c r="C2596">
        <v>1</v>
      </c>
      <c r="D2596" t="s">
        <v>23629</v>
      </c>
      <c r="E2596" t="s">
        <v>23632</v>
      </c>
    </row>
    <row r="2597" spans="1:5" x14ac:dyDescent="0.25">
      <c r="A2597" s="131" t="s">
        <v>17721</v>
      </c>
      <c r="B2597" t="s">
        <v>25790</v>
      </c>
      <c r="C2597">
        <v>1</v>
      </c>
      <c r="D2597" t="s">
        <v>23629</v>
      </c>
      <c r="E2597" t="s">
        <v>23632</v>
      </c>
    </row>
    <row r="2598" spans="1:5" x14ac:dyDescent="0.25">
      <c r="A2598" s="130" t="str">
        <f>LEFT(B2598,1)</f>
        <v>I</v>
      </c>
      <c r="B2598" t="s">
        <v>28797</v>
      </c>
      <c r="C2598">
        <v>1</v>
      </c>
      <c r="D2598" t="s">
        <v>23629</v>
      </c>
      <c r="E2598" t="s">
        <v>23632</v>
      </c>
    </row>
    <row r="2599" spans="1:5" x14ac:dyDescent="0.25">
      <c r="A2599" s="130" t="str">
        <f>LEFT((B2599),1)</f>
        <v>I</v>
      </c>
      <c r="B2599" t="s">
        <v>25791</v>
      </c>
      <c r="C2599">
        <v>1</v>
      </c>
      <c r="D2599" t="s">
        <v>23629</v>
      </c>
      <c r="E2599" t="s">
        <v>23632</v>
      </c>
    </row>
    <row r="2600" spans="1:5" x14ac:dyDescent="0.25">
      <c r="A2600" s="130" t="s">
        <v>17721</v>
      </c>
      <c r="B2600" t="s">
        <v>25792</v>
      </c>
      <c r="C2600">
        <v>1</v>
      </c>
      <c r="D2600" t="s">
        <v>23629</v>
      </c>
      <c r="E2600" t="s">
        <v>23632</v>
      </c>
    </row>
    <row r="2601" spans="1:5" x14ac:dyDescent="0.25">
      <c r="A2601" s="130" t="s">
        <v>17721</v>
      </c>
      <c r="B2601" t="s">
        <v>25793</v>
      </c>
      <c r="C2601">
        <v>1</v>
      </c>
      <c r="D2601" t="s">
        <v>23629</v>
      </c>
      <c r="E2601" t="s">
        <v>23632</v>
      </c>
    </row>
    <row r="2602" spans="1:5" x14ac:dyDescent="0.25">
      <c r="A2602" s="131" t="s">
        <v>17721</v>
      </c>
      <c r="B2602" t="s">
        <v>25794</v>
      </c>
      <c r="C2602">
        <v>1</v>
      </c>
      <c r="D2602" t="s">
        <v>23629</v>
      </c>
      <c r="E2602" t="s">
        <v>23632</v>
      </c>
    </row>
    <row r="2603" spans="1:5" x14ac:dyDescent="0.25">
      <c r="A2603" s="130" t="s">
        <v>17721</v>
      </c>
      <c r="B2603" t="s">
        <v>25795</v>
      </c>
      <c r="C2603">
        <v>1</v>
      </c>
      <c r="D2603" t="s">
        <v>23629</v>
      </c>
      <c r="E2603" t="s">
        <v>23632</v>
      </c>
    </row>
    <row r="2604" spans="1:5" x14ac:dyDescent="0.25">
      <c r="A2604" s="130" t="s">
        <v>17721</v>
      </c>
      <c r="B2604" t="s">
        <v>25796</v>
      </c>
      <c r="C2604">
        <v>1</v>
      </c>
      <c r="D2604" t="s">
        <v>23629</v>
      </c>
      <c r="E2604" t="s">
        <v>23632</v>
      </c>
    </row>
    <row r="2605" spans="1:5" x14ac:dyDescent="0.25">
      <c r="A2605" s="130" t="s">
        <v>17721</v>
      </c>
      <c r="B2605" t="s">
        <v>25797</v>
      </c>
      <c r="C2605">
        <v>1</v>
      </c>
      <c r="D2605" t="s">
        <v>23629</v>
      </c>
      <c r="E2605" t="s">
        <v>23632</v>
      </c>
    </row>
    <row r="2606" spans="1:5" x14ac:dyDescent="0.25">
      <c r="A2606" s="130" t="s">
        <v>17721</v>
      </c>
      <c r="B2606" t="s">
        <v>25798</v>
      </c>
      <c r="C2606">
        <v>1</v>
      </c>
      <c r="D2606" t="s">
        <v>23629</v>
      </c>
      <c r="E2606" t="s">
        <v>23632</v>
      </c>
    </row>
    <row r="2607" spans="1:5" x14ac:dyDescent="0.25">
      <c r="A2607" s="130" t="str">
        <f>LEFT(B2607,1)</f>
        <v>I</v>
      </c>
      <c r="B2607" t="s">
        <v>26001</v>
      </c>
      <c r="C2607">
        <v>1</v>
      </c>
      <c r="D2607" t="s">
        <v>23629</v>
      </c>
      <c r="E2607" t="s">
        <v>23632</v>
      </c>
    </row>
    <row r="2608" spans="1:5" x14ac:dyDescent="0.25">
      <c r="A2608" s="131" t="s">
        <v>17721</v>
      </c>
      <c r="B2608" t="s">
        <v>25799</v>
      </c>
      <c r="C2608">
        <v>1</v>
      </c>
      <c r="D2608" t="s">
        <v>23629</v>
      </c>
      <c r="E2608" t="s">
        <v>23632</v>
      </c>
    </row>
    <row r="2609" spans="1:5" x14ac:dyDescent="0.25">
      <c r="A2609" s="130" t="str">
        <f>LEFT(B2609,1)</f>
        <v>I</v>
      </c>
      <c r="B2609" t="s">
        <v>25983</v>
      </c>
      <c r="C2609">
        <v>1</v>
      </c>
      <c r="D2609" t="s">
        <v>23629</v>
      </c>
      <c r="E2609" t="s">
        <v>23632</v>
      </c>
    </row>
    <row r="2610" spans="1:5" x14ac:dyDescent="0.25">
      <c r="A2610" s="131" t="s">
        <v>17721</v>
      </c>
      <c r="B2610" t="s">
        <v>25800</v>
      </c>
      <c r="C2610">
        <v>1</v>
      </c>
      <c r="D2610" t="s">
        <v>23629</v>
      </c>
      <c r="E2610" t="s">
        <v>23632</v>
      </c>
    </row>
    <row r="2611" spans="1:5" x14ac:dyDescent="0.25">
      <c r="A2611" s="130" t="s">
        <v>17721</v>
      </c>
      <c r="B2611" t="s">
        <v>25801</v>
      </c>
      <c r="C2611">
        <v>1</v>
      </c>
      <c r="D2611" t="s">
        <v>23629</v>
      </c>
      <c r="E2611" t="s">
        <v>23632</v>
      </c>
    </row>
    <row r="2612" spans="1:5" x14ac:dyDescent="0.25">
      <c r="A2612" s="131" t="s">
        <v>17721</v>
      </c>
      <c r="B2612" t="s">
        <v>25802</v>
      </c>
      <c r="C2612">
        <v>1</v>
      </c>
      <c r="D2612" t="s">
        <v>25606</v>
      </c>
      <c r="E2612" t="s">
        <v>23632</v>
      </c>
    </row>
    <row r="2613" spans="1:5" x14ac:dyDescent="0.25">
      <c r="A2613" s="130" t="str">
        <f>LEFT(B2613,1)</f>
        <v>I</v>
      </c>
      <c r="B2613" t="s">
        <v>29241</v>
      </c>
      <c r="C2613">
        <v>1</v>
      </c>
      <c r="D2613" t="s">
        <v>23629</v>
      </c>
      <c r="E2613" t="s">
        <v>23632</v>
      </c>
    </row>
    <row r="2614" spans="1:5" x14ac:dyDescent="0.25">
      <c r="A2614" s="131" t="s">
        <v>17721</v>
      </c>
      <c r="B2614" t="s">
        <v>25803</v>
      </c>
      <c r="C2614">
        <v>1</v>
      </c>
      <c r="D2614" t="s">
        <v>23629</v>
      </c>
      <c r="E2614" t="s">
        <v>23632</v>
      </c>
    </row>
    <row r="2615" spans="1:5" x14ac:dyDescent="0.25">
      <c r="A2615" s="130" t="s">
        <v>17721</v>
      </c>
      <c r="B2615" t="s">
        <v>25804</v>
      </c>
      <c r="C2615">
        <v>1</v>
      </c>
      <c r="D2615" t="s">
        <v>23629</v>
      </c>
      <c r="E2615" t="s">
        <v>23632</v>
      </c>
    </row>
    <row r="2616" spans="1:5" x14ac:dyDescent="0.25">
      <c r="A2616" s="131" t="s">
        <v>17721</v>
      </c>
      <c r="B2616" t="s">
        <v>25805</v>
      </c>
      <c r="C2616">
        <v>1</v>
      </c>
      <c r="D2616" t="s">
        <v>23629</v>
      </c>
      <c r="E2616" t="s">
        <v>23632</v>
      </c>
    </row>
    <row r="2617" spans="1:5" x14ac:dyDescent="0.25">
      <c r="A2617" s="131" t="s">
        <v>17721</v>
      </c>
      <c r="B2617" t="s">
        <v>25806</v>
      </c>
      <c r="C2617">
        <v>1</v>
      </c>
      <c r="D2617" t="s">
        <v>23629</v>
      </c>
      <c r="E2617" t="s">
        <v>23632</v>
      </c>
    </row>
    <row r="2618" spans="1:5" x14ac:dyDescent="0.25">
      <c r="A2618" s="130" t="s">
        <v>17721</v>
      </c>
      <c r="B2618" t="s">
        <v>25807</v>
      </c>
      <c r="C2618">
        <v>1</v>
      </c>
      <c r="D2618" t="s">
        <v>23629</v>
      </c>
      <c r="E2618" t="s">
        <v>23632</v>
      </c>
    </row>
    <row r="2619" spans="1:5" x14ac:dyDescent="0.25">
      <c r="A2619" s="130" t="s">
        <v>17721</v>
      </c>
      <c r="B2619" t="s">
        <v>25808</v>
      </c>
      <c r="C2619">
        <v>1</v>
      </c>
      <c r="D2619" t="s">
        <v>23629</v>
      </c>
      <c r="E2619" t="s">
        <v>23632</v>
      </c>
    </row>
    <row r="2620" spans="1:5" x14ac:dyDescent="0.25">
      <c r="A2620" s="130" t="s">
        <v>17721</v>
      </c>
      <c r="B2620" t="s">
        <v>25809</v>
      </c>
      <c r="C2620">
        <v>1</v>
      </c>
      <c r="D2620" t="s">
        <v>23629</v>
      </c>
      <c r="E2620" t="s">
        <v>23632</v>
      </c>
    </row>
    <row r="2621" spans="1:5" x14ac:dyDescent="0.25">
      <c r="A2621" s="130" t="str">
        <f>LEFT(B2621,1)</f>
        <v>I</v>
      </c>
      <c r="B2621" t="s">
        <v>26002</v>
      </c>
      <c r="C2621">
        <v>1</v>
      </c>
      <c r="D2621" t="s">
        <v>23629</v>
      </c>
      <c r="E2621" t="s">
        <v>23632</v>
      </c>
    </row>
    <row r="2622" spans="1:5" x14ac:dyDescent="0.25">
      <c r="A2622" s="130" t="s">
        <v>17721</v>
      </c>
      <c r="B2622" t="s">
        <v>25810</v>
      </c>
      <c r="C2622">
        <v>1</v>
      </c>
      <c r="D2622" t="s">
        <v>23629</v>
      </c>
      <c r="E2622" t="s">
        <v>23632</v>
      </c>
    </row>
    <row r="2623" spans="1:5" x14ac:dyDescent="0.25">
      <c r="A2623" s="131" t="s">
        <v>17721</v>
      </c>
      <c r="B2623" t="s">
        <v>25811</v>
      </c>
      <c r="C2623">
        <v>1</v>
      </c>
      <c r="D2623" t="s">
        <v>23629</v>
      </c>
      <c r="E2623" t="s">
        <v>23632</v>
      </c>
    </row>
    <row r="2624" spans="1:5" x14ac:dyDescent="0.25">
      <c r="A2624" s="131" t="str">
        <f>LEFT(B2624,1)</f>
        <v>I</v>
      </c>
      <c r="B2624" t="s">
        <v>25984</v>
      </c>
      <c r="C2624">
        <v>1</v>
      </c>
      <c r="D2624" t="s">
        <v>23629</v>
      </c>
      <c r="E2624" t="s">
        <v>23632</v>
      </c>
    </row>
    <row r="2625" spans="1:5" x14ac:dyDescent="0.25">
      <c r="A2625" s="131" t="s">
        <v>17721</v>
      </c>
      <c r="B2625" t="s">
        <v>25812</v>
      </c>
      <c r="C2625">
        <v>1</v>
      </c>
      <c r="D2625" t="s">
        <v>23629</v>
      </c>
      <c r="E2625" t="s">
        <v>23632</v>
      </c>
    </row>
    <row r="2626" spans="1:5" x14ac:dyDescent="0.25">
      <c r="A2626" s="130" t="str">
        <f>LEFT(B2626,1)</f>
        <v>I</v>
      </c>
      <c r="B2626" t="s">
        <v>26003</v>
      </c>
      <c r="C2626">
        <v>1</v>
      </c>
      <c r="D2626" t="s">
        <v>23629</v>
      </c>
      <c r="E2626" t="s">
        <v>23632</v>
      </c>
    </row>
    <row r="2627" spans="1:5" x14ac:dyDescent="0.25">
      <c r="A2627" s="131" t="s">
        <v>17721</v>
      </c>
      <c r="B2627" t="s">
        <v>25813</v>
      </c>
      <c r="C2627">
        <v>1</v>
      </c>
      <c r="D2627" t="s">
        <v>23629</v>
      </c>
      <c r="E2627" t="s">
        <v>23632</v>
      </c>
    </row>
    <row r="2628" spans="1:5" x14ac:dyDescent="0.25">
      <c r="A2628" s="130" t="str">
        <f>LEFT(B2628,1)</f>
        <v>I</v>
      </c>
      <c r="B2628" t="s">
        <v>29052</v>
      </c>
      <c r="C2628">
        <v>1</v>
      </c>
      <c r="D2628" t="s">
        <v>23629</v>
      </c>
      <c r="E2628" t="s">
        <v>23632</v>
      </c>
    </row>
    <row r="2629" spans="1:5" x14ac:dyDescent="0.25">
      <c r="A2629" s="130" t="str">
        <f>LEFT(B2629,1)</f>
        <v>I</v>
      </c>
      <c r="B2629" t="s">
        <v>26008</v>
      </c>
      <c r="C2629">
        <v>1</v>
      </c>
      <c r="D2629" t="s">
        <v>23629</v>
      </c>
      <c r="E2629" t="s">
        <v>23632</v>
      </c>
    </row>
    <row r="2630" spans="1:5" x14ac:dyDescent="0.25">
      <c r="A2630" s="131" t="s">
        <v>17721</v>
      </c>
      <c r="B2630" t="s">
        <v>25814</v>
      </c>
      <c r="C2630">
        <v>1</v>
      </c>
      <c r="D2630" t="s">
        <v>23629</v>
      </c>
      <c r="E2630" t="s">
        <v>23632</v>
      </c>
    </row>
    <row r="2631" spans="1:5" x14ac:dyDescent="0.25">
      <c r="A2631" s="130" t="s">
        <v>17721</v>
      </c>
      <c r="B2631" t="s">
        <v>25815</v>
      </c>
      <c r="C2631">
        <v>1</v>
      </c>
      <c r="D2631" t="s">
        <v>23629</v>
      </c>
      <c r="E2631" t="s">
        <v>23632</v>
      </c>
    </row>
    <row r="2632" spans="1:5" x14ac:dyDescent="0.25">
      <c r="A2632" s="131" t="s">
        <v>17721</v>
      </c>
      <c r="B2632" t="s">
        <v>25816</v>
      </c>
      <c r="C2632">
        <v>1</v>
      </c>
      <c r="D2632" t="s">
        <v>23629</v>
      </c>
      <c r="E2632" t="s">
        <v>23632</v>
      </c>
    </row>
    <row r="2633" spans="1:5" x14ac:dyDescent="0.25">
      <c r="A2633" s="130" t="s">
        <v>17721</v>
      </c>
      <c r="B2633" t="s">
        <v>25817</v>
      </c>
      <c r="C2633">
        <v>1</v>
      </c>
      <c r="D2633" t="s">
        <v>23629</v>
      </c>
      <c r="E2633" t="s">
        <v>23632</v>
      </c>
    </row>
    <row r="2634" spans="1:5" x14ac:dyDescent="0.25">
      <c r="A2634" s="131" t="s">
        <v>17721</v>
      </c>
      <c r="B2634" t="s">
        <v>25818</v>
      </c>
      <c r="C2634">
        <v>1</v>
      </c>
      <c r="D2634" t="s">
        <v>23629</v>
      </c>
      <c r="E2634" t="s">
        <v>23632</v>
      </c>
    </row>
    <row r="2635" spans="1:5" x14ac:dyDescent="0.25">
      <c r="A2635" s="130" t="str">
        <f>LEFT(B2635,1)</f>
        <v>I</v>
      </c>
      <c r="B2635" t="s">
        <v>29053</v>
      </c>
      <c r="C2635">
        <v>1</v>
      </c>
      <c r="D2635" t="s">
        <v>23629</v>
      </c>
      <c r="E2635" t="s">
        <v>23632</v>
      </c>
    </row>
    <row r="2636" spans="1:5" x14ac:dyDescent="0.25">
      <c r="A2636" s="130" t="s">
        <v>17721</v>
      </c>
      <c r="B2636" t="s">
        <v>25819</v>
      </c>
      <c r="C2636">
        <v>1</v>
      </c>
      <c r="D2636" t="s">
        <v>23629</v>
      </c>
      <c r="E2636" t="s">
        <v>23632</v>
      </c>
    </row>
    <row r="2637" spans="1:5" x14ac:dyDescent="0.25">
      <c r="A2637" s="131" t="s">
        <v>17721</v>
      </c>
      <c r="B2637" t="s">
        <v>25820</v>
      </c>
      <c r="C2637">
        <v>1</v>
      </c>
      <c r="D2637" t="s">
        <v>23629</v>
      </c>
      <c r="E2637" t="s">
        <v>23632</v>
      </c>
    </row>
    <row r="2638" spans="1:5" x14ac:dyDescent="0.25">
      <c r="A2638" s="130" t="str">
        <f>LEFT(B2638,1)</f>
        <v>I</v>
      </c>
      <c r="B2638" t="s">
        <v>25985</v>
      </c>
      <c r="C2638">
        <v>1</v>
      </c>
      <c r="D2638" t="s">
        <v>23629</v>
      </c>
      <c r="E2638" t="s">
        <v>23632</v>
      </c>
    </row>
    <row r="2639" spans="1:5" x14ac:dyDescent="0.25">
      <c r="A2639" s="130" t="str">
        <f>LEFT(B2639,1)</f>
        <v>I</v>
      </c>
      <c r="B2639" t="s">
        <v>28498</v>
      </c>
      <c r="C2639">
        <v>1</v>
      </c>
      <c r="D2639" t="s">
        <v>23629</v>
      </c>
      <c r="E2639" t="s">
        <v>23632</v>
      </c>
    </row>
    <row r="2640" spans="1:5" x14ac:dyDescent="0.25">
      <c r="A2640" s="130" t="s">
        <v>17721</v>
      </c>
      <c r="B2640" t="s">
        <v>25821</v>
      </c>
      <c r="C2640">
        <v>1</v>
      </c>
      <c r="D2640" t="s">
        <v>23629</v>
      </c>
      <c r="E2640" t="s">
        <v>23632</v>
      </c>
    </row>
    <row r="2641" spans="1:5" x14ac:dyDescent="0.25">
      <c r="A2641" s="131" t="s">
        <v>17721</v>
      </c>
      <c r="B2641" t="s">
        <v>25822</v>
      </c>
      <c r="C2641">
        <v>1</v>
      </c>
      <c r="D2641" t="s">
        <v>23629</v>
      </c>
      <c r="E2641" t="s">
        <v>23632</v>
      </c>
    </row>
    <row r="2642" spans="1:5" x14ac:dyDescent="0.25">
      <c r="A2642" s="131" t="str">
        <f>LEFT(B2642,1)</f>
        <v>I</v>
      </c>
      <c r="B2642" t="s">
        <v>26009</v>
      </c>
      <c r="C2642">
        <v>1</v>
      </c>
      <c r="D2642" t="s">
        <v>23629</v>
      </c>
      <c r="E2642" t="s">
        <v>23632</v>
      </c>
    </row>
    <row r="2643" spans="1:5" x14ac:dyDescent="0.25">
      <c r="A2643" s="131" t="s">
        <v>17721</v>
      </c>
      <c r="B2643" t="s">
        <v>25823</v>
      </c>
      <c r="C2643">
        <v>1</v>
      </c>
      <c r="D2643" t="s">
        <v>23629</v>
      </c>
      <c r="E2643" t="s">
        <v>23632</v>
      </c>
    </row>
    <row r="2644" spans="1:5" x14ac:dyDescent="0.25">
      <c r="A2644" s="131" t="s">
        <v>17721</v>
      </c>
      <c r="B2644" t="s">
        <v>25824</v>
      </c>
      <c r="C2644">
        <v>1</v>
      </c>
      <c r="D2644" t="s">
        <v>23629</v>
      </c>
      <c r="E2644" t="s">
        <v>23632</v>
      </c>
    </row>
    <row r="2645" spans="1:5" x14ac:dyDescent="0.25">
      <c r="A2645" s="130" t="str">
        <f>LEFT(B2645,1)</f>
        <v>I</v>
      </c>
      <c r="B2645" t="s">
        <v>28798</v>
      </c>
      <c r="C2645">
        <v>1</v>
      </c>
      <c r="D2645" t="s">
        <v>23629</v>
      </c>
      <c r="E2645" t="s">
        <v>23632</v>
      </c>
    </row>
    <row r="2646" spans="1:5" x14ac:dyDescent="0.25">
      <c r="A2646" s="130" t="s">
        <v>17721</v>
      </c>
      <c r="B2646" t="s">
        <v>25825</v>
      </c>
      <c r="C2646">
        <v>1</v>
      </c>
      <c r="D2646" t="s">
        <v>23629</v>
      </c>
      <c r="E2646" t="s">
        <v>23632</v>
      </c>
    </row>
    <row r="2647" spans="1:5" x14ac:dyDescent="0.25">
      <c r="A2647" s="131" t="str">
        <f>LEFT((B2647),1)</f>
        <v>I</v>
      </c>
      <c r="B2647" t="s">
        <v>25826</v>
      </c>
      <c r="C2647">
        <v>1</v>
      </c>
      <c r="D2647" t="s">
        <v>23629</v>
      </c>
      <c r="E2647" t="s">
        <v>23632</v>
      </c>
    </row>
    <row r="2648" spans="1:5" x14ac:dyDescent="0.25">
      <c r="A2648" s="131" t="s">
        <v>17721</v>
      </c>
      <c r="B2648" t="s">
        <v>25827</v>
      </c>
      <c r="C2648">
        <v>1</v>
      </c>
      <c r="D2648" t="s">
        <v>23629</v>
      </c>
      <c r="E2648" t="s">
        <v>23632</v>
      </c>
    </row>
    <row r="2649" spans="1:5" x14ac:dyDescent="0.25">
      <c r="A2649" s="130" t="s">
        <v>17721</v>
      </c>
      <c r="B2649" t="s">
        <v>25828</v>
      </c>
      <c r="C2649">
        <v>1</v>
      </c>
      <c r="D2649" t="s">
        <v>23629</v>
      </c>
      <c r="E2649" t="s">
        <v>23632</v>
      </c>
    </row>
    <row r="2650" spans="1:5" x14ac:dyDescent="0.25">
      <c r="A2650" s="131" t="s">
        <v>17721</v>
      </c>
      <c r="B2650" t="s">
        <v>25829</v>
      </c>
      <c r="C2650">
        <v>1</v>
      </c>
      <c r="D2650" t="s">
        <v>23629</v>
      </c>
      <c r="E2650" t="s">
        <v>23632</v>
      </c>
    </row>
    <row r="2651" spans="1:5" x14ac:dyDescent="0.25">
      <c r="A2651" s="130" t="s">
        <v>17721</v>
      </c>
      <c r="B2651" t="s">
        <v>25830</v>
      </c>
      <c r="C2651">
        <v>1</v>
      </c>
      <c r="D2651" t="s">
        <v>23629</v>
      </c>
      <c r="E2651" t="s">
        <v>23632</v>
      </c>
    </row>
    <row r="2652" spans="1:5" x14ac:dyDescent="0.25">
      <c r="A2652" s="130" t="str">
        <f>LEFT(B2652,1)</f>
        <v>I</v>
      </c>
      <c r="B2652" t="s">
        <v>26004</v>
      </c>
      <c r="C2652">
        <v>1</v>
      </c>
      <c r="D2652" t="s">
        <v>23629</v>
      </c>
      <c r="E2652" t="s">
        <v>23632</v>
      </c>
    </row>
    <row r="2653" spans="1:5" x14ac:dyDescent="0.25">
      <c r="A2653" s="131" t="s">
        <v>17721</v>
      </c>
      <c r="B2653" t="s">
        <v>25831</v>
      </c>
      <c r="C2653">
        <v>1</v>
      </c>
      <c r="D2653" t="s">
        <v>23629</v>
      </c>
      <c r="E2653" t="s">
        <v>23632</v>
      </c>
    </row>
    <row r="2654" spans="1:5" x14ac:dyDescent="0.25">
      <c r="A2654" s="130" t="str">
        <f>LEFT(B2654,1)</f>
        <v>I</v>
      </c>
      <c r="B2654" t="s">
        <v>29242</v>
      </c>
      <c r="C2654">
        <v>1</v>
      </c>
      <c r="D2654" t="s">
        <v>23629</v>
      </c>
      <c r="E2654" t="s">
        <v>23632</v>
      </c>
    </row>
    <row r="2655" spans="1:5" x14ac:dyDescent="0.25">
      <c r="A2655" s="130" t="str">
        <f>LEFT((B2655),1)</f>
        <v>I</v>
      </c>
      <c r="B2655" t="s">
        <v>25832</v>
      </c>
      <c r="C2655">
        <v>1</v>
      </c>
      <c r="D2655" t="s">
        <v>23629</v>
      </c>
      <c r="E2655" t="s">
        <v>23632</v>
      </c>
    </row>
    <row r="2656" spans="1:5" x14ac:dyDescent="0.25">
      <c r="A2656" s="130" t="s">
        <v>17721</v>
      </c>
      <c r="B2656" t="s">
        <v>25833</v>
      </c>
      <c r="C2656">
        <v>1</v>
      </c>
      <c r="D2656" t="s">
        <v>23629</v>
      </c>
      <c r="E2656" t="s">
        <v>23632</v>
      </c>
    </row>
    <row r="2657" spans="1:5" x14ac:dyDescent="0.25">
      <c r="A2657" s="130" t="str">
        <f>LEFT(B2657,1)</f>
        <v>I</v>
      </c>
      <c r="B2657" t="s">
        <v>28499</v>
      </c>
      <c r="C2657">
        <v>1</v>
      </c>
      <c r="D2657" t="s">
        <v>23629</v>
      </c>
      <c r="E2657" t="s">
        <v>23632</v>
      </c>
    </row>
    <row r="2658" spans="1:5" x14ac:dyDescent="0.25">
      <c r="A2658" s="130" t="str">
        <f>LEFT(B2658,1)</f>
        <v>I</v>
      </c>
      <c r="B2658" t="s">
        <v>28799</v>
      </c>
      <c r="C2658">
        <v>1</v>
      </c>
      <c r="D2658" t="s">
        <v>23629</v>
      </c>
      <c r="E2658" t="s">
        <v>23632</v>
      </c>
    </row>
    <row r="2659" spans="1:5" x14ac:dyDescent="0.25">
      <c r="A2659" s="131" t="str">
        <f>LEFT((B2659),1)</f>
        <v>I</v>
      </c>
      <c r="B2659" t="s">
        <v>25834</v>
      </c>
      <c r="C2659">
        <v>1</v>
      </c>
      <c r="D2659" t="s">
        <v>23629</v>
      </c>
      <c r="E2659" t="s">
        <v>23632</v>
      </c>
    </row>
    <row r="2660" spans="1:5" x14ac:dyDescent="0.25">
      <c r="A2660" s="130" t="str">
        <f>LEFT(B2660,1)</f>
        <v>I</v>
      </c>
      <c r="B2660" t="s">
        <v>26010</v>
      </c>
      <c r="C2660">
        <v>1</v>
      </c>
      <c r="D2660" t="s">
        <v>23629</v>
      </c>
      <c r="E2660" t="s">
        <v>23632</v>
      </c>
    </row>
    <row r="2661" spans="1:5" x14ac:dyDescent="0.25">
      <c r="A2661" s="130" t="s">
        <v>17721</v>
      </c>
      <c r="B2661" t="s">
        <v>25835</v>
      </c>
      <c r="C2661">
        <v>1</v>
      </c>
      <c r="D2661" t="s">
        <v>23629</v>
      </c>
      <c r="E2661" t="s">
        <v>23632</v>
      </c>
    </row>
    <row r="2662" spans="1:5" x14ac:dyDescent="0.25">
      <c r="A2662" s="131" t="s">
        <v>17721</v>
      </c>
      <c r="B2662" t="s">
        <v>25836</v>
      </c>
      <c r="C2662">
        <v>1</v>
      </c>
      <c r="D2662" t="s">
        <v>23629</v>
      </c>
      <c r="E2662" t="s">
        <v>23632</v>
      </c>
    </row>
    <row r="2663" spans="1:5" x14ac:dyDescent="0.25">
      <c r="A2663" s="130" t="s">
        <v>17721</v>
      </c>
      <c r="B2663" t="s">
        <v>25837</v>
      </c>
      <c r="C2663">
        <v>1</v>
      </c>
      <c r="D2663" t="s">
        <v>23629</v>
      </c>
      <c r="E2663" t="s">
        <v>23632</v>
      </c>
    </row>
    <row r="2664" spans="1:5" x14ac:dyDescent="0.25">
      <c r="A2664" s="130" t="str">
        <f>LEFT(B2664,1)</f>
        <v>I</v>
      </c>
      <c r="B2664" t="s">
        <v>28800</v>
      </c>
      <c r="C2664">
        <v>1</v>
      </c>
      <c r="D2664" t="s">
        <v>23629</v>
      </c>
      <c r="E2664" t="s">
        <v>23632</v>
      </c>
    </row>
    <row r="2665" spans="1:5" x14ac:dyDescent="0.25">
      <c r="A2665" s="131" t="s">
        <v>17721</v>
      </c>
      <c r="B2665" t="s">
        <v>25838</v>
      </c>
      <c r="C2665">
        <v>1</v>
      </c>
      <c r="D2665" t="s">
        <v>23629</v>
      </c>
      <c r="E2665" t="s">
        <v>23632</v>
      </c>
    </row>
    <row r="2666" spans="1:5" x14ac:dyDescent="0.25">
      <c r="A2666" s="130" t="str">
        <f>LEFT((B2666),1)</f>
        <v>I</v>
      </c>
      <c r="B2666" t="s">
        <v>25839</v>
      </c>
      <c r="C2666">
        <v>1</v>
      </c>
      <c r="D2666" t="s">
        <v>23629</v>
      </c>
      <c r="E2666" t="s">
        <v>23632</v>
      </c>
    </row>
    <row r="2667" spans="1:5" x14ac:dyDescent="0.25">
      <c r="A2667" s="131" t="s">
        <v>17721</v>
      </c>
      <c r="B2667" t="s">
        <v>25840</v>
      </c>
      <c r="C2667">
        <v>1</v>
      </c>
      <c r="D2667" t="s">
        <v>23629</v>
      </c>
      <c r="E2667" t="s">
        <v>23632</v>
      </c>
    </row>
    <row r="2668" spans="1:5" x14ac:dyDescent="0.25">
      <c r="A2668" s="131" t="s">
        <v>17721</v>
      </c>
      <c r="B2668" t="s">
        <v>25841</v>
      </c>
      <c r="C2668">
        <v>1</v>
      </c>
      <c r="D2668" t="s">
        <v>23629</v>
      </c>
      <c r="E2668" t="s">
        <v>23632</v>
      </c>
    </row>
    <row r="2669" spans="1:5" x14ac:dyDescent="0.25">
      <c r="A2669" s="131" t="str">
        <f>LEFT(B2669,1)</f>
        <v>I</v>
      </c>
      <c r="B2669" t="s">
        <v>25986</v>
      </c>
      <c r="C2669">
        <v>1</v>
      </c>
      <c r="D2669" t="s">
        <v>23629</v>
      </c>
      <c r="E2669" t="s">
        <v>23632</v>
      </c>
    </row>
    <row r="2670" spans="1:5" x14ac:dyDescent="0.25">
      <c r="A2670" s="131" t="s">
        <v>17721</v>
      </c>
      <c r="B2670" t="s">
        <v>25842</v>
      </c>
      <c r="C2670">
        <v>1</v>
      </c>
      <c r="D2670" t="s">
        <v>23629</v>
      </c>
      <c r="E2670" t="s">
        <v>23632</v>
      </c>
    </row>
    <row r="2671" spans="1:5" x14ac:dyDescent="0.25">
      <c r="A2671" s="131" t="s">
        <v>17721</v>
      </c>
      <c r="B2671" t="s">
        <v>25843</v>
      </c>
      <c r="C2671">
        <v>1</v>
      </c>
      <c r="D2671" t="s">
        <v>23629</v>
      </c>
      <c r="E2671" t="s">
        <v>23632</v>
      </c>
    </row>
    <row r="2672" spans="1:5" x14ac:dyDescent="0.25">
      <c r="A2672" s="130" t="s">
        <v>17721</v>
      </c>
      <c r="B2672" t="s">
        <v>25844</v>
      </c>
      <c r="C2672">
        <v>1</v>
      </c>
      <c r="D2672" t="s">
        <v>23629</v>
      </c>
      <c r="E2672" t="s">
        <v>23632</v>
      </c>
    </row>
    <row r="2673" spans="1:5" x14ac:dyDescent="0.25">
      <c r="A2673" s="131" t="s">
        <v>17721</v>
      </c>
      <c r="B2673" t="s">
        <v>25845</v>
      </c>
      <c r="C2673">
        <v>1</v>
      </c>
      <c r="D2673" t="s">
        <v>23629</v>
      </c>
      <c r="E2673" t="s">
        <v>23632</v>
      </c>
    </row>
    <row r="2674" spans="1:5" x14ac:dyDescent="0.25">
      <c r="A2674" s="130" t="s">
        <v>17721</v>
      </c>
      <c r="B2674" t="s">
        <v>25846</v>
      </c>
      <c r="C2674">
        <v>1</v>
      </c>
      <c r="D2674" t="s">
        <v>23629</v>
      </c>
      <c r="E2674" t="s">
        <v>23632</v>
      </c>
    </row>
    <row r="2675" spans="1:5" x14ac:dyDescent="0.25">
      <c r="A2675" s="131" t="s">
        <v>17721</v>
      </c>
      <c r="B2675" t="s">
        <v>25847</v>
      </c>
      <c r="C2675">
        <v>1</v>
      </c>
      <c r="D2675" t="s">
        <v>23629</v>
      </c>
      <c r="E2675" t="s">
        <v>23632</v>
      </c>
    </row>
    <row r="2676" spans="1:5" x14ac:dyDescent="0.25">
      <c r="A2676" s="130" t="s">
        <v>17721</v>
      </c>
      <c r="B2676" t="s">
        <v>25848</v>
      </c>
      <c r="C2676">
        <v>1</v>
      </c>
      <c r="D2676" t="s">
        <v>23629</v>
      </c>
      <c r="E2676" t="s">
        <v>23632</v>
      </c>
    </row>
    <row r="2677" spans="1:5" x14ac:dyDescent="0.25">
      <c r="A2677" s="131" t="s">
        <v>17721</v>
      </c>
      <c r="B2677" t="s">
        <v>25849</v>
      </c>
      <c r="C2677">
        <v>1</v>
      </c>
      <c r="D2677" t="s">
        <v>23629</v>
      </c>
      <c r="E2677" t="s">
        <v>23632</v>
      </c>
    </row>
    <row r="2678" spans="1:5" x14ac:dyDescent="0.25">
      <c r="A2678" s="130" t="s">
        <v>17721</v>
      </c>
      <c r="B2678" t="s">
        <v>25850</v>
      </c>
      <c r="C2678">
        <v>1</v>
      </c>
      <c r="D2678" t="s">
        <v>23629</v>
      </c>
      <c r="E2678" t="s">
        <v>23632</v>
      </c>
    </row>
    <row r="2679" spans="1:5" x14ac:dyDescent="0.25">
      <c r="A2679" s="130" t="str">
        <f>LEFT(B2679,1)</f>
        <v>I</v>
      </c>
      <c r="B2679" t="s">
        <v>25987</v>
      </c>
      <c r="C2679">
        <v>1</v>
      </c>
      <c r="D2679" t="s">
        <v>23629</v>
      </c>
      <c r="E2679" t="s">
        <v>23632</v>
      </c>
    </row>
    <row r="2680" spans="1:5" x14ac:dyDescent="0.25">
      <c r="A2680" s="131" t="s">
        <v>17721</v>
      </c>
      <c r="B2680" t="s">
        <v>25851</v>
      </c>
      <c r="C2680">
        <v>1</v>
      </c>
      <c r="D2680" t="s">
        <v>23629</v>
      </c>
      <c r="E2680" t="s">
        <v>23632</v>
      </c>
    </row>
    <row r="2681" spans="1:5" x14ac:dyDescent="0.25">
      <c r="A2681" s="131" t="str">
        <f>LEFT(B2681,1)</f>
        <v>I</v>
      </c>
      <c r="B2681" t="s">
        <v>26011</v>
      </c>
      <c r="C2681">
        <v>1</v>
      </c>
      <c r="D2681" t="s">
        <v>23629</v>
      </c>
      <c r="E2681" t="s">
        <v>23632</v>
      </c>
    </row>
    <row r="2682" spans="1:5" x14ac:dyDescent="0.25">
      <c r="A2682" s="130" t="s">
        <v>17721</v>
      </c>
      <c r="B2682" t="s">
        <v>25852</v>
      </c>
      <c r="C2682">
        <v>1</v>
      </c>
      <c r="D2682" t="s">
        <v>23629</v>
      </c>
      <c r="E2682" t="s">
        <v>23632</v>
      </c>
    </row>
    <row r="2683" spans="1:5" x14ac:dyDescent="0.25">
      <c r="A2683" s="130" t="str">
        <f>LEFT(B2683,1)</f>
        <v>I</v>
      </c>
      <c r="B2683" t="s">
        <v>26012</v>
      </c>
      <c r="C2683">
        <v>1</v>
      </c>
      <c r="D2683" t="s">
        <v>23629</v>
      </c>
      <c r="E2683" t="s">
        <v>23632</v>
      </c>
    </row>
    <row r="2684" spans="1:5" x14ac:dyDescent="0.25">
      <c r="A2684" s="131" t="s">
        <v>17721</v>
      </c>
      <c r="B2684" t="s">
        <v>25853</v>
      </c>
      <c r="C2684">
        <v>1</v>
      </c>
      <c r="D2684" t="s">
        <v>23629</v>
      </c>
      <c r="E2684" t="s">
        <v>23632</v>
      </c>
    </row>
    <row r="2685" spans="1:5" x14ac:dyDescent="0.25">
      <c r="A2685" s="131" t="str">
        <f>LEFT((B2685),1)</f>
        <v>I</v>
      </c>
      <c r="B2685" t="s">
        <v>25854</v>
      </c>
      <c r="C2685">
        <v>1</v>
      </c>
      <c r="D2685" t="s">
        <v>23629</v>
      </c>
      <c r="E2685" t="s">
        <v>23632</v>
      </c>
    </row>
    <row r="2686" spans="1:5" x14ac:dyDescent="0.25">
      <c r="A2686" s="130" t="s">
        <v>17721</v>
      </c>
      <c r="B2686" t="s">
        <v>25855</v>
      </c>
      <c r="C2686">
        <v>1.1000000000000001</v>
      </c>
      <c r="D2686" t="s">
        <v>23629</v>
      </c>
      <c r="E2686" t="s">
        <v>23632</v>
      </c>
    </row>
    <row r="2687" spans="1:5" x14ac:dyDescent="0.25">
      <c r="A2687" s="130" t="str">
        <f>LEFT(B2687,1)</f>
        <v>I</v>
      </c>
      <c r="B2687" t="s">
        <v>29054</v>
      </c>
      <c r="C2687">
        <v>1</v>
      </c>
      <c r="D2687" t="s">
        <v>23629</v>
      </c>
      <c r="E2687" t="s">
        <v>23632</v>
      </c>
    </row>
    <row r="2688" spans="1:5" x14ac:dyDescent="0.25">
      <c r="A2688" s="131" t="s">
        <v>17721</v>
      </c>
      <c r="B2688" t="s">
        <v>25856</v>
      </c>
      <c r="C2688">
        <v>1</v>
      </c>
      <c r="D2688" t="s">
        <v>23629</v>
      </c>
      <c r="E2688" t="s">
        <v>23632</v>
      </c>
    </row>
    <row r="2689" spans="1:5" x14ac:dyDescent="0.25">
      <c r="A2689" s="130" t="s">
        <v>17721</v>
      </c>
      <c r="B2689" t="s">
        <v>25857</v>
      </c>
      <c r="C2689">
        <v>1</v>
      </c>
      <c r="D2689" t="s">
        <v>23629</v>
      </c>
      <c r="E2689" t="s">
        <v>23632</v>
      </c>
    </row>
    <row r="2690" spans="1:5" x14ac:dyDescent="0.25">
      <c r="A2690" s="130" t="s">
        <v>17721</v>
      </c>
      <c r="B2690" t="s">
        <v>25858</v>
      </c>
      <c r="C2690">
        <v>1</v>
      </c>
      <c r="D2690" t="s">
        <v>23629</v>
      </c>
      <c r="E2690" t="s">
        <v>23632</v>
      </c>
    </row>
    <row r="2691" spans="1:5" x14ac:dyDescent="0.25">
      <c r="A2691" s="131" t="s">
        <v>17721</v>
      </c>
      <c r="B2691" t="s">
        <v>25859</v>
      </c>
      <c r="C2691">
        <v>1.21</v>
      </c>
      <c r="D2691" t="s">
        <v>25860</v>
      </c>
      <c r="E2691" t="s">
        <v>23632</v>
      </c>
    </row>
    <row r="2692" spans="1:5" x14ac:dyDescent="0.25">
      <c r="A2692" s="130" t="s">
        <v>17721</v>
      </c>
      <c r="B2692" t="s">
        <v>25861</v>
      </c>
      <c r="C2692">
        <v>1</v>
      </c>
      <c r="D2692" t="s">
        <v>23629</v>
      </c>
      <c r="E2692" t="s">
        <v>23632</v>
      </c>
    </row>
    <row r="2693" spans="1:5" x14ac:dyDescent="0.25">
      <c r="A2693" s="130" t="s">
        <v>17721</v>
      </c>
      <c r="B2693" t="s">
        <v>25862</v>
      </c>
      <c r="C2693">
        <v>1</v>
      </c>
      <c r="D2693" t="s">
        <v>23629</v>
      </c>
      <c r="E2693" t="s">
        <v>23632</v>
      </c>
    </row>
    <row r="2694" spans="1:5" x14ac:dyDescent="0.25">
      <c r="A2694" s="131" t="s">
        <v>17721</v>
      </c>
      <c r="B2694" t="s">
        <v>25863</v>
      </c>
      <c r="C2694">
        <v>1</v>
      </c>
      <c r="D2694" t="s">
        <v>23629</v>
      </c>
      <c r="E2694" t="s">
        <v>23632</v>
      </c>
    </row>
    <row r="2695" spans="1:5" x14ac:dyDescent="0.25">
      <c r="A2695" s="130" t="str">
        <f>LEFT((B2695),1)</f>
        <v>I</v>
      </c>
      <c r="B2695" t="s">
        <v>25864</v>
      </c>
      <c r="C2695">
        <v>1</v>
      </c>
      <c r="D2695" t="s">
        <v>23629</v>
      </c>
      <c r="E2695" t="s">
        <v>23632</v>
      </c>
    </row>
    <row r="2696" spans="1:5" x14ac:dyDescent="0.25">
      <c r="A2696" s="130" t="s">
        <v>17721</v>
      </c>
      <c r="B2696" t="s">
        <v>25865</v>
      </c>
      <c r="C2696">
        <v>1</v>
      </c>
      <c r="D2696" t="s">
        <v>23629</v>
      </c>
      <c r="E2696" t="s">
        <v>23632</v>
      </c>
    </row>
    <row r="2697" spans="1:5" x14ac:dyDescent="0.25">
      <c r="A2697" s="131" t="s">
        <v>17721</v>
      </c>
      <c r="B2697" t="s">
        <v>25866</v>
      </c>
      <c r="C2697">
        <v>1</v>
      </c>
      <c r="D2697" t="s">
        <v>23629</v>
      </c>
      <c r="E2697" t="s">
        <v>23632</v>
      </c>
    </row>
    <row r="2698" spans="1:5" x14ac:dyDescent="0.25">
      <c r="A2698" s="131" t="s">
        <v>17721</v>
      </c>
      <c r="B2698" t="s">
        <v>25867</v>
      </c>
      <c r="C2698">
        <v>1.21</v>
      </c>
      <c r="D2698" t="s">
        <v>23629</v>
      </c>
      <c r="E2698" t="s">
        <v>23632</v>
      </c>
    </row>
    <row r="2699" spans="1:5" x14ac:dyDescent="0.25">
      <c r="A2699" s="130" t="s">
        <v>17721</v>
      </c>
      <c r="B2699" t="s">
        <v>25868</v>
      </c>
      <c r="C2699">
        <v>1</v>
      </c>
      <c r="D2699" t="s">
        <v>23629</v>
      </c>
      <c r="E2699" t="s">
        <v>23632</v>
      </c>
    </row>
    <row r="2700" spans="1:5" x14ac:dyDescent="0.25">
      <c r="A2700" s="130" t="str">
        <f>LEFT(B2700,1)</f>
        <v>I</v>
      </c>
      <c r="B2700" t="s">
        <v>28500</v>
      </c>
      <c r="C2700">
        <v>1</v>
      </c>
      <c r="D2700" t="s">
        <v>23629</v>
      </c>
      <c r="E2700" t="s">
        <v>23632</v>
      </c>
    </row>
    <row r="2701" spans="1:5" x14ac:dyDescent="0.25">
      <c r="A2701" s="131" t="s">
        <v>17721</v>
      </c>
      <c r="B2701" t="s">
        <v>25869</v>
      </c>
      <c r="C2701">
        <v>1</v>
      </c>
      <c r="D2701" t="s">
        <v>23629</v>
      </c>
      <c r="E2701" t="s">
        <v>23632</v>
      </c>
    </row>
    <row r="2702" spans="1:5" x14ac:dyDescent="0.25">
      <c r="A2702" s="131" t="str">
        <f>LEFT(B2702,1)</f>
        <v>I</v>
      </c>
      <c r="B2702" t="s">
        <v>25988</v>
      </c>
      <c r="C2702">
        <v>1</v>
      </c>
      <c r="D2702" t="s">
        <v>23629</v>
      </c>
      <c r="E2702" t="s">
        <v>23632</v>
      </c>
    </row>
    <row r="2703" spans="1:5" x14ac:dyDescent="0.25">
      <c r="A2703" s="130" t="s">
        <v>17721</v>
      </c>
      <c r="B2703" t="s">
        <v>25870</v>
      </c>
      <c r="C2703">
        <v>1</v>
      </c>
      <c r="D2703" t="s">
        <v>23629</v>
      </c>
      <c r="E2703" t="s">
        <v>23632</v>
      </c>
    </row>
    <row r="2704" spans="1:5" x14ac:dyDescent="0.25">
      <c r="A2704" s="130" t="s">
        <v>17721</v>
      </c>
      <c r="B2704" t="s">
        <v>25871</v>
      </c>
      <c r="C2704">
        <v>1</v>
      </c>
      <c r="D2704" t="s">
        <v>23629</v>
      </c>
      <c r="E2704" t="s">
        <v>23632</v>
      </c>
    </row>
    <row r="2705" spans="1:5" x14ac:dyDescent="0.25">
      <c r="A2705" s="131" t="s">
        <v>17721</v>
      </c>
      <c r="B2705" t="s">
        <v>25872</v>
      </c>
      <c r="C2705">
        <v>1</v>
      </c>
      <c r="D2705" t="s">
        <v>23629</v>
      </c>
      <c r="E2705" t="s">
        <v>23632</v>
      </c>
    </row>
    <row r="2706" spans="1:5" x14ac:dyDescent="0.25">
      <c r="A2706" s="131" t="s">
        <v>17721</v>
      </c>
      <c r="B2706" t="s">
        <v>25873</v>
      </c>
      <c r="C2706">
        <v>1</v>
      </c>
      <c r="D2706" t="s">
        <v>23629</v>
      </c>
      <c r="E2706" t="s">
        <v>23632</v>
      </c>
    </row>
    <row r="2707" spans="1:5" x14ac:dyDescent="0.25">
      <c r="A2707" s="131" t="str">
        <f>LEFT(B2707,1)</f>
        <v>I</v>
      </c>
      <c r="B2707" t="s">
        <v>26013</v>
      </c>
      <c r="C2707">
        <v>1</v>
      </c>
      <c r="D2707" t="s">
        <v>23629</v>
      </c>
      <c r="E2707" t="s">
        <v>23632</v>
      </c>
    </row>
    <row r="2708" spans="1:5" x14ac:dyDescent="0.25">
      <c r="A2708" s="130" t="s">
        <v>17721</v>
      </c>
      <c r="B2708" t="s">
        <v>25874</v>
      </c>
      <c r="C2708">
        <v>1</v>
      </c>
      <c r="D2708" t="s">
        <v>23629</v>
      </c>
      <c r="E2708" t="s">
        <v>23632</v>
      </c>
    </row>
    <row r="2709" spans="1:5" x14ac:dyDescent="0.25">
      <c r="A2709" s="130" t="str">
        <f>LEFT(B2709,1)</f>
        <v>I</v>
      </c>
      <c r="B2709" t="s">
        <v>25989</v>
      </c>
      <c r="C2709">
        <v>1</v>
      </c>
      <c r="D2709" t="s">
        <v>23629</v>
      </c>
      <c r="E2709" t="s">
        <v>23632</v>
      </c>
    </row>
    <row r="2710" spans="1:5" x14ac:dyDescent="0.25">
      <c r="A2710" s="131" t="s">
        <v>17721</v>
      </c>
      <c r="B2710" t="s">
        <v>25875</v>
      </c>
      <c r="C2710">
        <v>1</v>
      </c>
      <c r="D2710" t="s">
        <v>23629</v>
      </c>
      <c r="E2710" t="s">
        <v>23632</v>
      </c>
    </row>
    <row r="2711" spans="1:5" x14ac:dyDescent="0.25">
      <c r="A2711" s="130" t="str">
        <f>LEFT(B2711,1)</f>
        <v>I</v>
      </c>
      <c r="B2711" t="s">
        <v>26014</v>
      </c>
      <c r="C2711">
        <v>1</v>
      </c>
      <c r="D2711" t="s">
        <v>23629</v>
      </c>
      <c r="E2711" t="s">
        <v>23632</v>
      </c>
    </row>
    <row r="2712" spans="1:5" x14ac:dyDescent="0.25">
      <c r="A2712" s="130" t="s">
        <v>17721</v>
      </c>
      <c r="B2712" t="s">
        <v>25876</v>
      </c>
      <c r="C2712">
        <v>1</v>
      </c>
      <c r="D2712" t="s">
        <v>23629</v>
      </c>
      <c r="E2712" t="s">
        <v>23632</v>
      </c>
    </row>
    <row r="2713" spans="1:5" x14ac:dyDescent="0.25">
      <c r="A2713" s="130" t="s">
        <v>17721</v>
      </c>
      <c r="B2713" t="s">
        <v>25877</v>
      </c>
      <c r="C2713">
        <v>1</v>
      </c>
      <c r="D2713" t="s">
        <v>23629</v>
      </c>
      <c r="E2713" t="s">
        <v>23632</v>
      </c>
    </row>
    <row r="2714" spans="1:5" x14ac:dyDescent="0.25">
      <c r="A2714" s="131" t="s">
        <v>17721</v>
      </c>
      <c r="B2714" t="s">
        <v>25878</v>
      </c>
      <c r="C2714">
        <v>1.1000000000000001</v>
      </c>
      <c r="D2714" t="s">
        <v>23629</v>
      </c>
      <c r="E2714" t="s">
        <v>23632</v>
      </c>
    </row>
    <row r="2715" spans="1:5" x14ac:dyDescent="0.25">
      <c r="A2715" s="130" t="s">
        <v>17721</v>
      </c>
      <c r="B2715" t="s">
        <v>25879</v>
      </c>
      <c r="C2715">
        <v>1</v>
      </c>
      <c r="D2715" t="s">
        <v>23629</v>
      </c>
      <c r="E2715" t="s">
        <v>23632</v>
      </c>
    </row>
    <row r="2716" spans="1:5" x14ac:dyDescent="0.25">
      <c r="A2716" s="130" t="s">
        <v>17721</v>
      </c>
      <c r="B2716" t="s">
        <v>25880</v>
      </c>
      <c r="C2716">
        <v>1</v>
      </c>
      <c r="D2716" t="s">
        <v>23629</v>
      </c>
      <c r="E2716" t="s">
        <v>23632</v>
      </c>
    </row>
    <row r="2717" spans="1:5" x14ac:dyDescent="0.25">
      <c r="A2717" s="131" t="s">
        <v>17721</v>
      </c>
      <c r="B2717" t="s">
        <v>25881</v>
      </c>
      <c r="C2717">
        <v>1</v>
      </c>
      <c r="D2717" t="s">
        <v>23629</v>
      </c>
      <c r="E2717" t="s">
        <v>23632</v>
      </c>
    </row>
    <row r="2718" spans="1:5" x14ac:dyDescent="0.25">
      <c r="A2718" s="131" t="s">
        <v>17721</v>
      </c>
      <c r="B2718" t="s">
        <v>25882</v>
      </c>
      <c r="C2718">
        <v>1</v>
      </c>
      <c r="D2718" t="s">
        <v>23629</v>
      </c>
      <c r="E2718" t="s">
        <v>23632</v>
      </c>
    </row>
    <row r="2719" spans="1:5" x14ac:dyDescent="0.25">
      <c r="A2719" s="130" t="s">
        <v>17721</v>
      </c>
      <c r="B2719" t="s">
        <v>25882</v>
      </c>
      <c r="C2719">
        <v>1</v>
      </c>
      <c r="D2719" t="s">
        <v>23629</v>
      </c>
      <c r="E2719" t="s">
        <v>23632</v>
      </c>
    </row>
    <row r="2720" spans="1:5" x14ac:dyDescent="0.25">
      <c r="A2720" s="131" t="s">
        <v>17721</v>
      </c>
      <c r="B2720" t="s">
        <v>25883</v>
      </c>
      <c r="C2720">
        <v>1</v>
      </c>
      <c r="D2720" t="s">
        <v>23629</v>
      </c>
      <c r="E2720" t="s">
        <v>23632</v>
      </c>
    </row>
    <row r="2721" spans="1:5" x14ac:dyDescent="0.25">
      <c r="A2721" s="130" t="s">
        <v>17721</v>
      </c>
      <c r="B2721" t="s">
        <v>25884</v>
      </c>
      <c r="C2721">
        <v>1</v>
      </c>
      <c r="D2721" t="s">
        <v>23629</v>
      </c>
      <c r="E2721" t="s">
        <v>23632</v>
      </c>
    </row>
    <row r="2722" spans="1:5" x14ac:dyDescent="0.25">
      <c r="A2722" s="131" t="s">
        <v>17721</v>
      </c>
      <c r="B2722" t="s">
        <v>25885</v>
      </c>
      <c r="C2722">
        <v>1</v>
      </c>
      <c r="D2722" t="s">
        <v>23629</v>
      </c>
      <c r="E2722" t="s">
        <v>23632</v>
      </c>
    </row>
    <row r="2723" spans="1:5" x14ac:dyDescent="0.25">
      <c r="A2723" s="130" t="s">
        <v>17721</v>
      </c>
      <c r="B2723" t="s">
        <v>25886</v>
      </c>
      <c r="C2723">
        <v>1</v>
      </c>
      <c r="D2723" t="s">
        <v>23629</v>
      </c>
      <c r="E2723" t="s">
        <v>23632</v>
      </c>
    </row>
    <row r="2724" spans="1:5" x14ac:dyDescent="0.25">
      <c r="A2724" s="131" t="str">
        <f>LEFT((B2724),1)</f>
        <v>I</v>
      </c>
      <c r="B2724" t="s">
        <v>25887</v>
      </c>
      <c r="C2724">
        <v>1</v>
      </c>
      <c r="D2724" t="s">
        <v>23629</v>
      </c>
      <c r="E2724" t="s">
        <v>23632</v>
      </c>
    </row>
    <row r="2725" spans="1:5" x14ac:dyDescent="0.25">
      <c r="A2725" s="130" t="s">
        <v>17721</v>
      </c>
      <c r="B2725" t="s">
        <v>25888</v>
      </c>
      <c r="C2725">
        <v>1</v>
      </c>
      <c r="D2725" t="s">
        <v>23629</v>
      </c>
      <c r="E2725" t="s">
        <v>23632</v>
      </c>
    </row>
    <row r="2726" spans="1:5" x14ac:dyDescent="0.25">
      <c r="A2726" s="131" t="str">
        <f>LEFT(B2726,1)</f>
        <v>I</v>
      </c>
      <c r="B2726" t="s">
        <v>25990</v>
      </c>
      <c r="C2726">
        <v>1</v>
      </c>
      <c r="D2726" t="s">
        <v>23629</v>
      </c>
      <c r="E2726" t="s">
        <v>23632</v>
      </c>
    </row>
    <row r="2727" spans="1:5" x14ac:dyDescent="0.25">
      <c r="A2727" s="131" t="s">
        <v>17721</v>
      </c>
      <c r="B2727" t="s">
        <v>25889</v>
      </c>
      <c r="C2727">
        <v>1</v>
      </c>
      <c r="D2727" t="s">
        <v>23629</v>
      </c>
      <c r="E2727" t="s">
        <v>23632</v>
      </c>
    </row>
    <row r="2728" spans="1:5" x14ac:dyDescent="0.25">
      <c r="A2728" s="130" t="s">
        <v>17721</v>
      </c>
      <c r="B2728" t="s">
        <v>25890</v>
      </c>
      <c r="C2728">
        <v>1</v>
      </c>
      <c r="D2728" t="s">
        <v>23629</v>
      </c>
      <c r="E2728" t="s">
        <v>23632</v>
      </c>
    </row>
    <row r="2729" spans="1:5" x14ac:dyDescent="0.25">
      <c r="A2729" s="131" t="s">
        <v>17721</v>
      </c>
      <c r="B2729" t="s">
        <v>25891</v>
      </c>
      <c r="C2729">
        <v>1</v>
      </c>
      <c r="D2729" t="s">
        <v>23629</v>
      </c>
      <c r="E2729" t="s">
        <v>23632</v>
      </c>
    </row>
    <row r="2730" spans="1:5" x14ac:dyDescent="0.25">
      <c r="A2730" s="130" t="s">
        <v>17721</v>
      </c>
      <c r="B2730" t="s">
        <v>25892</v>
      </c>
      <c r="C2730">
        <v>1</v>
      </c>
      <c r="D2730" t="s">
        <v>23629</v>
      </c>
      <c r="E2730" t="s">
        <v>23632</v>
      </c>
    </row>
    <row r="2731" spans="1:5" x14ac:dyDescent="0.25">
      <c r="A2731" s="130" t="str">
        <f>LEFT((B2731),1)</f>
        <v>I</v>
      </c>
      <c r="B2731" t="s">
        <v>25893</v>
      </c>
      <c r="C2731">
        <v>1</v>
      </c>
      <c r="D2731" t="s">
        <v>23629</v>
      </c>
      <c r="E2731" t="s">
        <v>23632</v>
      </c>
    </row>
    <row r="2732" spans="1:5" x14ac:dyDescent="0.25">
      <c r="A2732" s="131" t="str">
        <f>LEFT((B2732),1)</f>
        <v>I</v>
      </c>
      <c r="B2732" t="s">
        <v>25894</v>
      </c>
      <c r="C2732">
        <v>1</v>
      </c>
      <c r="D2732" t="s">
        <v>23629</v>
      </c>
      <c r="E2732" t="s">
        <v>23632</v>
      </c>
    </row>
    <row r="2733" spans="1:5" x14ac:dyDescent="0.25">
      <c r="A2733" s="131" t="s">
        <v>17721</v>
      </c>
      <c r="B2733" t="s">
        <v>25895</v>
      </c>
      <c r="C2733">
        <v>1</v>
      </c>
      <c r="D2733" t="s">
        <v>23629</v>
      </c>
      <c r="E2733" t="s">
        <v>23632</v>
      </c>
    </row>
    <row r="2734" spans="1:5" x14ac:dyDescent="0.25">
      <c r="A2734" s="130" t="str">
        <f>LEFT(B2734,1)</f>
        <v>I</v>
      </c>
      <c r="B2734" t="s">
        <v>28801</v>
      </c>
      <c r="C2734">
        <v>1</v>
      </c>
      <c r="D2734" t="s">
        <v>23629</v>
      </c>
      <c r="E2734" t="s">
        <v>23632</v>
      </c>
    </row>
    <row r="2735" spans="1:5" x14ac:dyDescent="0.25">
      <c r="A2735" s="130" t="s">
        <v>17721</v>
      </c>
      <c r="B2735" t="s">
        <v>25896</v>
      </c>
      <c r="C2735">
        <v>1</v>
      </c>
      <c r="D2735" t="s">
        <v>23629</v>
      </c>
      <c r="E2735" t="s">
        <v>23632</v>
      </c>
    </row>
    <row r="2736" spans="1:5" x14ac:dyDescent="0.25">
      <c r="A2736" s="130" t="s">
        <v>17721</v>
      </c>
      <c r="B2736" t="s">
        <v>25897</v>
      </c>
      <c r="C2736">
        <v>1</v>
      </c>
      <c r="D2736" t="s">
        <v>23629</v>
      </c>
      <c r="E2736" t="s">
        <v>23632</v>
      </c>
    </row>
    <row r="2737" spans="1:5" x14ac:dyDescent="0.25">
      <c r="A2737" s="131" t="s">
        <v>17721</v>
      </c>
      <c r="B2737" t="s">
        <v>25898</v>
      </c>
      <c r="C2737">
        <v>1</v>
      </c>
      <c r="D2737" t="s">
        <v>24380</v>
      </c>
      <c r="E2737" t="s">
        <v>23632</v>
      </c>
    </row>
    <row r="2738" spans="1:5" x14ac:dyDescent="0.25">
      <c r="A2738" s="131" t="s">
        <v>17721</v>
      </c>
      <c r="B2738" t="s">
        <v>25899</v>
      </c>
      <c r="C2738">
        <v>1</v>
      </c>
      <c r="D2738" t="s">
        <v>23629</v>
      </c>
      <c r="E2738" t="s">
        <v>23632</v>
      </c>
    </row>
    <row r="2739" spans="1:5" x14ac:dyDescent="0.25">
      <c r="A2739" s="131" t="s">
        <v>17721</v>
      </c>
      <c r="B2739" t="s">
        <v>25900</v>
      </c>
      <c r="C2739">
        <v>1</v>
      </c>
      <c r="D2739" t="s">
        <v>23629</v>
      </c>
      <c r="E2739" t="s">
        <v>23632</v>
      </c>
    </row>
    <row r="2740" spans="1:5" x14ac:dyDescent="0.25">
      <c r="A2740" s="130" t="s">
        <v>17721</v>
      </c>
      <c r="B2740" t="s">
        <v>25901</v>
      </c>
      <c r="C2740">
        <v>1</v>
      </c>
      <c r="D2740" t="s">
        <v>23629</v>
      </c>
      <c r="E2740" t="s">
        <v>23632</v>
      </c>
    </row>
    <row r="2741" spans="1:5" x14ac:dyDescent="0.25">
      <c r="A2741" s="130" t="s">
        <v>17721</v>
      </c>
      <c r="B2741" t="s">
        <v>25902</v>
      </c>
      <c r="C2741">
        <v>1</v>
      </c>
      <c r="D2741" t="s">
        <v>23629</v>
      </c>
      <c r="E2741" t="s">
        <v>23632</v>
      </c>
    </row>
    <row r="2742" spans="1:5" x14ac:dyDescent="0.25">
      <c r="A2742" s="130" t="s">
        <v>17721</v>
      </c>
      <c r="B2742" t="s">
        <v>25903</v>
      </c>
      <c r="C2742">
        <v>1</v>
      </c>
      <c r="D2742" t="s">
        <v>23629</v>
      </c>
      <c r="E2742" t="s">
        <v>23632</v>
      </c>
    </row>
    <row r="2743" spans="1:5" x14ac:dyDescent="0.25">
      <c r="A2743" s="131" t="s">
        <v>17721</v>
      </c>
      <c r="B2743" t="s">
        <v>25904</v>
      </c>
      <c r="C2743">
        <v>1</v>
      </c>
      <c r="D2743" t="s">
        <v>23629</v>
      </c>
      <c r="E2743" t="s">
        <v>23632</v>
      </c>
    </row>
    <row r="2744" spans="1:5" x14ac:dyDescent="0.25">
      <c r="A2744" s="130" t="s">
        <v>17721</v>
      </c>
      <c r="B2744" t="s">
        <v>25905</v>
      </c>
      <c r="C2744">
        <v>1</v>
      </c>
      <c r="D2744" t="s">
        <v>23629</v>
      </c>
      <c r="E2744" t="s">
        <v>23632</v>
      </c>
    </row>
    <row r="2745" spans="1:5" x14ac:dyDescent="0.25">
      <c r="A2745" s="130" t="str">
        <f>LEFT(B2745,1)</f>
        <v>I</v>
      </c>
      <c r="B2745" t="s">
        <v>25991</v>
      </c>
      <c r="C2745">
        <v>1</v>
      </c>
      <c r="D2745" t="s">
        <v>23629</v>
      </c>
      <c r="E2745" t="s">
        <v>23632</v>
      </c>
    </row>
    <row r="2746" spans="1:5" x14ac:dyDescent="0.25">
      <c r="A2746" s="131" t="str">
        <f>LEFT(B2746,1)</f>
        <v>I</v>
      </c>
      <c r="B2746" t="s">
        <v>26015</v>
      </c>
      <c r="C2746">
        <v>1</v>
      </c>
      <c r="D2746" t="s">
        <v>23629</v>
      </c>
      <c r="E2746" t="s">
        <v>23632</v>
      </c>
    </row>
    <row r="2747" spans="1:5" x14ac:dyDescent="0.25">
      <c r="A2747" s="130" t="s">
        <v>17721</v>
      </c>
      <c r="B2747" t="s">
        <v>25906</v>
      </c>
      <c r="C2747">
        <v>1.1000000000000001</v>
      </c>
      <c r="D2747" t="s">
        <v>25907</v>
      </c>
      <c r="E2747" t="s">
        <v>23632</v>
      </c>
    </row>
    <row r="2748" spans="1:5" x14ac:dyDescent="0.25">
      <c r="A2748" s="131" t="s">
        <v>17721</v>
      </c>
      <c r="B2748" t="s">
        <v>25908</v>
      </c>
      <c r="C2748">
        <v>1</v>
      </c>
      <c r="D2748" t="s">
        <v>23629</v>
      </c>
      <c r="E2748" t="s">
        <v>23632</v>
      </c>
    </row>
    <row r="2749" spans="1:5" x14ac:dyDescent="0.25">
      <c r="A2749" s="130" t="s">
        <v>17721</v>
      </c>
      <c r="B2749" t="s">
        <v>25909</v>
      </c>
      <c r="C2749">
        <v>1</v>
      </c>
      <c r="D2749" t="s">
        <v>23629</v>
      </c>
      <c r="E2749" t="s">
        <v>23632</v>
      </c>
    </row>
    <row r="2750" spans="1:5" x14ac:dyDescent="0.25">
      <c r="A2750" s="130" t="str">
        <f>LEFT((B2750),1)</f>
        <v>I</v>
      </c>
      <c r="B2750" t="s">
        <v>25910</v>
      </c>
      <c r="C2750">
        <v>1</v>
      </c>
      <c r="D2750" t="s">
        <v>23629</v>
      </c>
      <c r="E2750" t="s">
        <v>23632</v>
      </c>
    </row>
    <row r="2751" spans="1:5" x14ac:dyDescent="0.25">
      <c r="A2751" s="130" t="str">
        <f>LEFT(B2751,1)</f>
        <v>I</v>
      </c>
      <c r="B2751" t="s">
        <v>26005</v>
      </c>
      <c r="C2751">
        <v>1</v>
      </c>
      <c r="D2751" t="s">
        <v>23629</v>
      </c>
      <c r="E2751" t="s">
        <v>23632</v>
      </c>
    </row>
    <row r="2752" spans="1:5" x14ac:dyDescent="0.25">
      <c r="A2752" s="131" t="s">
        <v>17721</v>
      </c>
      <c r="B2752" t="s">
        <v>25911</v>
      </c>
      <c r="C2752">
        <v>1</v>
      </c>
      <c r="D2752" t="s">
        <v>23629</v>
      </c>
      <c r="E2752" t="s">
        <v>23632</v>
      </c>
    </row>
    <row r="2753" spans="1:5" x14ac:dyDescent="0.25">
      <c r="A2753" s="131" t="str">
        <f>LEFT((B2753),1)</f>
        <v>I</v>
      </c>
      <c r="B2753" t="s">
        <v>25912</v>
      </c>
      <c r="C2753">
        <v>1</v>
      </c>
      <c r="D2753" t="s">
        <v>23629</v>
      </c>
      <c r="E2753" t="s">
        <v>23632</v>
      </c>
    </row>
    <row r="2754" spans="1:5" x14ac:dyDescent="0.25">
      <c r="A2754" s="130" t="str">
        <f>LEFT((B2754),1)</f>
        <v>I</v>
      </c>
      <c r="B2754" t="s">
        <v>25913</v>
      </c>
      <c r="C2754">
        <v>1.05</v>
      </c>
      <c r="D2754" t="s">
        <v>25860</v>
      </c>
      <c r="E2754" t="s">
        <v>23881</v>
      </c>
    </row>
    <row r="2755" spans="1:5" x14ac:dyDescent="0.25">
      <c r="A2755" s="131" t="s">
        <v>17721</v>
      </c>
      <c r="B2755" t="s">
        <v>25914</v>
      </c>
      <c r="C2755">
        <v>1</v>
      </c>
      <c r="D2755" t="s">
        <v>23629</v>
      </c>
      <c r="E2755" t="s">
        <v>23632</v>
      </c>
    </row>
    <row r="2756" spans="1:5" x14ac:dyDescent="0.25">
      <c r="A2756" s="131" t="str">
        <f>LEFT((B2756),1)</f>
        <v>I</v>
      </c>
      <c r="B2756" t="s">
        <v>25915</v>
      </c>
      <c r="C2756">
        <v>1</v>
      </c>
      <c r="D2756" t="s">
        <v>23629</v>
      </c>
      <c r="E2756" t="s">
        <v>23632</v>
      </c>
    </row>
    <row r="2757" spans="1:5" x14ac:dyDescent="0.25">
      <c r="A2757" s="131" t="str">
        <f>LEFT(B2757,1)</f>
        <v>I</v>
      </c>
      <c r="B2757" t="s">
        <v>25992</v>
      </c>
      <c r="C2757">
        <v>1</v>
      </c>
      <c r="D2757" t="s">
        <v>23629</v>
      </c>
      <c r="E2757" t="s">
        <v>23632</v>
      </c>
    </row>
    <row r="2758" spans="1:5" x14ac:dyDescent="0.25">
      <c r="A2758" s="130" t="s">
        <v>17721</v>
      </c>
      <c r="B2758" t="s">
        <v>25916</v>
      </c>
      <c r="C2758">
        <v>1</v>
      </c>
      <c r="D2758" t="s">
        <v>23629</v>
      </c>
      <c r="E2758" t="s">
        <v>23632</v>
      </c>
    </row>
    <row r="2759" spans="1:5" x14ac:dyDescent="0.25">
      <c r="A2759" s="131" t="s">
        <v>17721</v>
      </c>
      <c r="B2759" t="s">
        <v>25917</v>
      </c>
      <c r="C2759">
        <v>1</v>
      </c>
      <c r="D2759" t="s">
        <v>23629</v>
      </c>
      <c r="E2759" t="s">
        <v>23632</v>
      </c>
    </row>
    <row r="2760" spans="1:5" x14ac:dyDescent="0.25">
      <c r="A2760" s="130" t="s">
        <v>17721</v>
      </c>
      <c r="B2760" t="s">
        <v>25918</v>
      </c>
      <c r="C2760">
        <v>1</v>
      </c>
      <c r="D2760" t="s">
        <v>23629</v>
      </c>
      <c r="E2760" t="s">
        <v>23632</v>
      </c>
    </row>
    <row r="2761" spans="1:5" x14ac:dyDescent="0.25">
      <c r="A2761" s="130" t="str">
        <f>LEFT(B2761,1)</f>
        <v>I</v>
      </c>
      <c r="B2761" t="s">
        <v>28501</v>
      </c>
      <c r="C2761">
        <v>1</v>
      </c>
      <c r="D2761" t="s">
        <v>23629</v>
      </c>
      <c r="E2761" t="s">
        <v>23632</v>
      </c>
    </row>
    <row r="2762" spans="1:5" x14ac:dyDescent="0.25">
      <c r="A2762" s="131" t="s">
        <v>17721</v>
      </c>
      <c r="B2762" t="s">
        <v>25919</v>
      </c>
      <c r="C2762">
        <v>1</v>
      </c>
      <c r="D2762" t="s">
        <v>23629</v>
      </c>
      <c r="E2762" t="s">
        <v>23632</v>
      </c>
    </row>
    <row r="2763" spans="1:5" x14ac:dyDescent="0.25">
      <c r="A2763" s="130" t="s">
        <v>17721</v>
      </c>
      <c r="B2763" t="s">
        <v>25920</v>
      </c>
      <c r="C2763">
        <v>1</v>
      </c>
      <c r="D2763" t="s">
        <v>23629</v>
      </c>
      <c r="E2763" t="s">
        <v>23632</v>
      </c>
    </row>
    <row r="2764" spans="1:5" x14ac:dyDescent="0.25">
      <c r="A2764" s="131" t="s">
        <v>17721</v>
      </c>
      <c r="B2764" t="s">
        <v>25921</v>
      </c>
      <c r="C2764">
        <v>1</v>
      </c>
      <c r="D2764" t="s">
        <v>23629</v>
      </c>
      <c r="E2764" t="s">
        <v>23632</v>
      </c>
    </row>
    <row r="2765" spans="1:5" x14ac:dyDescent="0.25">
      <c r="A2765" s="130" t="str">
        <f>LEFT(B2765,1)</f>
        <v>I</v>
      </c>
      <c r="B2765" t="s">
        <v>28502</v>
      </c>
      <c r="C2765">
        <v>1</v>
      </c>
      <c r="D2765" t="s">
        <v>23629</v>
      </c>
      <c r="E2765" t="s">
        <v>23632</v>
      </c>
    </row>
    <row r="2766" spans="1:5" x14ac:dyDescent="0.25">
      <c r="A2766" s="130" t="s">
        <v>17721</v>
      </c>
      <c r="B2766" t="s">
        <v>25922</v>
      </c>
      <c r="C2766">
        <v>1</v>
      </c>
      <c r="D2766" t="s">
        <v>23629</v>
      </c>
      <c r="E2766" t="s">
        <v>23632</v>
      </c>
    </row>
    <row r="2767" spans="1:5" x14ac:dyDescent="0.25">
      <c r="A2767" s="131" t="s">
        <v>17721</v>
      </c>
      <c r="B2767" t="s">
        <v>25923</v>
      </c>
      <c r="C2767">
        <v>1</v>
      </c>
      <c r="D2767" t="s">
        <v>23629</v>
      </c>
      <c r="E2767" t="s">
        <v>23632</v>
      </c>
    </row>
    <row r="2768" spans="1:5" x14ac:dyDescent="0.25">
      <c r="A2768" s="131" t="s">
        <v>17721</v>
      </c>
      <c r="B2768" t="s">
        <v>25924</v>
      </c>
      <c r="C2768">
        <v>1</v>
      </c>
      <c r="D2768" t="s">
        <v>23629</v>
      </c>
      <c r="E2768" t="s">
        <v>23632</v>
      </c>
    </row>
    <row r="2769" spans="1:5" x14ac:dyDescent="0.25">
      <c r="A2769" s="130" t="s">
        <v>17721</v>
      </c>
      <c r="B2769" t="s">
        <v>25925</v>
      </c>
      <c r="C2769">
        <v>1</v>
      </c>
      <c r="D2769" t="s">
        <v>23629</v>
      </c>
      <c r="E2769" t="s">
        <v>23632</v>
      </c>
    </row>
    <row r="2770" spans="1:5" x14ac:dyDescent="0.25">
      <c r="A2770" s="131" t="s">
        <v>17721</v>
      </c>
      <c r="B2770" t="s">
        <v>25926</v>
      </c>
      <c r="C2770">
        <v>1</v>
      </c>
      <c r="D2770" t="s">
        <v>23629</v>
      </c>
      <c r="E2770" t="s">
        <v>23632</v>
      </c>
    </row>
    <row r="2771" spans="1:5" x14ac:dyDescent="0.25">
      <c r="A2771" s="130" t="str">
        <f>LEFT((B2771),1)</f>
        <v>I</v>
      </c>
      <c r="B2771" t="s">
        <v>25927</v>
      </c>
      <c r="C2771">
        <v>1</v>
      </c>
      <c r="D2771" t="s">
        <v>23629</v>
      </c>
      <c r="E2771" t="s">
        <v>23632</v>
      </c>
    </row>
    <row r="2772" spans="1:5" x14ac:dyDescent="0.25">
      <c r="A2772" s="130" t="str">
        <f>LEFT(B2772,1)</f>
        <v>I</v>
      </c>
      <c r="B2772" t="s">
        <v>25993</v>
      </c>
      <c r="C2772">
        <v>1</v>
      </c>
      <c r="D2772" t="s">
        <v>23629</v>
      </c>
      <c r="E2772" t="s">
        <v>23632</v>
      </c>
    </row>
    <row r="2773" spans="1:5" x14ac:dyDescent="0.25">
      <c r="A2773" s="130" t="s">
        <v>17721</v>
      </c>
      <c r="B2773" t="s">
        <v>25928</v>
      </c>
      <c r="C2773">
        <v>1</v>
      </c>
      <c r="D2773" t="s">
        <v>23629</v>
      </c>
      <c r="E2773" t="s">
        <v>23632</v>
      </c>
    </row>
    <row r="2774" spans="1:5" x14ac:dyDescent="0.25">
      <c r="A2774" s="131" t="s">
        <v>17721</v>
      </c>
      <c r="B2774" t="s">
        <v>25929</v>
      </c>
      <c r="C2774">
        <v>1</v>
      </c>
      <c r="D2774" t="s">
        <v>23629</v>
      </c>
      <c r="E2774" t="s">
        <v>23632</v>
      </c>
    </row>
    <row r="2775" spans="1:5" x14ac:dyDescent="0.25">
      <c r="A2775" s="130" t="str">
        <f>LEFT(B2775,1)</f>
        <v>I</v>
      </c>
      <c r="B2775" t="s">
        <v>29055</v>
      </c>
      <c r="C2775">
        <v>1</v>
      </c>
      <c r="D2775" t="s">
        <v>23629</v>
      </c>
      <c r="E2775" t="s">
        <v>23632</v>
      </c>
    </row>
    <row r="2776" spans="1:5" x14ac:dyDescent="0.25">
      <c r="A2776" s="130" t="str">
        <f>LEFT(B2776,1)</f>
        <v>I</v>
      </c>
      <c r="B2776" t="s">
        <v>28503</v>
      </c>
      <c r="C2776">
        <v>1</v>
      </c>
      <c r="D2776" t="s">
        <v>23629</v>
      </c>
      <c r="E2776" t="s">
        <v>23632</v>
      </c>
    </row>
    <row r="2777" spans="1:5" x14ac:dyDescent="0.25">
      <c r="A2777" s="131" t="s">
        <v>17721</v>
      </c>
      <c r="B2777" t="s">
        <v>25930</v>
      </c>
      <c r="C2777">
        <v>1</v>
      </c>
      <c r="D2777" t="s">
        <v>23629</v>
      </c>
      <c r="E2777" t="s">
        <v>23632</v>
      </c>
    </row>
    <row r="2778" spans="1:5" x14ac:dyDescent="0.25">
      <c r="A2778" s="131" t="str">
        <f>LEFT(B2778,1)</f>
        <v>I</v>
      </c>
      <c r="B2778" t="s">
        <v>25994</v>
      </c>
      <c r="C2778">
        <v>1</v>
      </c>
      <c r="D2778" t="s">
        <v>23629</v>
      </c>
      <c r="E2778" t="s">
        <v>23632</v>
      </c>
    </row>
    <row r="2779" spans="1:5" x14ac:dyDescent="0.25">
      <c r="A2779" s="130" t="s">
        <v>17721</v>
      </c>
      <c r="B2779" t="s">
        <v>25931</v>
      </c>
      <c r="C2779">
        <v>1</v>
      </c>
      <c r="D2779" t="s">
        <v>23629</v>
      </c>
      <c r="E2779" t="s">
        <v>23632</v>
      </c>
    </row>
    <row r="2780" spans="1:5" x14ac:dyDescent="0.25">
      <c r="A2780" s="131" t="s">
        <v>17721</v>
      </c>
      <c r="B2780" t="s">
        <v>25932</v>
      </c>
      <c r="C2780">
        <v>1</v>
      </c>
      <c r="D2780" t="s">
        <v>23629</v>
      </c>
      <c r="E2780" t="s">
        <v>23632</v>
      </c>
    </row>
    <row r="2781" spans="1:5" x14ac:dyDescent="0.25">
      <c r="A2781" s="130" t="s">
        <v>17721</v>
      </c>
      <c r="B2781" t="s">
        <v>25933</v>
      </c>
      <c r="C2781">
        <v>1</v>
      </c>
      <c r="D2781" t="s">
        <v>23629</v>
      </c>
      <c r="E2781" t="s">
        <v>23632</v>
      </c>
    </row>
    <row r="2782" spans="1:5" x14ac:dyDescent="0.25">
      <c r="A2782" s="130" t="s">
        <v>17721</v>
      </c>
      <c r="B2782" t="s">
        <v>25934</v>
      </c>
      <c r="C2782">
        <v>1</v>
      </c>
      <c r="D2782" t="s">
        <v>23629</v>
      </c>
      <c r="E2782" t="s">
        <v>23632</v>
      </c>
    </row>
    <row r="2783" spans="1:5" x14ac:dyDescent="0.25">
      <c r="A2783" s="131" t="s">
        <v>17721</v>
      </c>
      <c r="B2783" t="s">
        <v>25935</v>
      </c>
      <c r="C2783">
        <v>1</v>
      </c>
      <c r="D2783" t="s">
        <v>23629</v>
      </c>
      <c r="E2783" t="s">
        <v>23632</v>
      </c>
    </row>
    <row r="2784" spans="1:5" x14ac:dyDescent="0.25">
      <c r="A2784" s="130" t="str">
        <f>LEFT(B2784,1)</f>
        <v>I</v>
      </c>
      <c r="B2784" t="s">
        <v>25995</v>
      </c>
      <c r="C2784">
        <v>1</v>
      </c>
      <c r="D2784" t="s">
        <v>23629</v>
      </c>
      <c r="E2784" t="s">
        <v>23632</v>
      </c>
    </row>
    <row r="2785" spans="1:5" x14ac:dyDescent="0.25">
      <c r="A2785" s="131" t="s">
        <v>17721</v>
      </c>
      <c r="B2785" t="s">
        <v>25936</v>
      </c>
      <c r="C2785">
        <v>1</v>
      </c>
      <c r="D2785" t="s">
        <v>23629</v>
      </c>
      <c r="E2785" t="s">
        <v>23632</v>
      </c>
    </row>
    <row r="2786" spans="1:5" x14ac:dyDescent="0.25">
      <c r="A2786" s="130" t="s">
        <v>17721</v>
      </c>
      <c r="B2786" t="s">
        <v>25937</v>
      </c>
      <c r="C2786">
        <v>1</v>
      </c>
      <c r="D2786" t="s">
        <v>23629</v>
      </c>
      <c r="E2786" t="s">
        <v>23632</v>
      </c>
    </row>
    <row r="2787" spans="1:5" x14ac:dyDescent="0.25">
      <c r="A2787" s="130" t="s">
        <v>17721</v>
      </c>
      <c r="B2787" t="s">
        <v>25938</v>
      </c>
      <c r="C2787">
        <v>1</v>
      </c>
      <c r="D2787" t="s">
        <v>23629</v>
      </c>
      <c r="E2787" t="s">
        <v>23632</v>
      </c>
    </row>
    <row r="2788" spans="1:5" x14ac:dyDescent="0.25">
      <c r="A2788" s="131" t="s">
        <v>17721</v>
      </c>
      <c r="B2788" t="s">
        <v>25939</v>
      </c>
      <c r="C2788">
        <v>1</v>
      </c>
      <c r="D2788" t="s">
        <v>23629</v>
      </c>
      <c r="E2788" t="s">
        <v>23632</v>
      </c>
    </row>
    <row r="2789" spans="1:5" x14ac:dyDescent="0.25">
      <c r="A2789" s="131" t="s">
        <v>17721</v>
      </c>
      <c r="B2789" t="s">
        <v>25940</v>
      </c>
      <c r="C2789">
        <v>1</v>
      </c>
      <c r="D2789" t="s">
        <v>23629</v>
      </c>
      <c r="E2789" t="s">
        <v>23632</v>
      </c>
    </row>
    <row r="2790" spans="1:5" x14ac:dyDescent="0.25">
      <c r="A2790" s="130" t="s">
        <v>17721</v>
      </c>
      <c r="B2790" t="s">
        <v>25941</v>
      </c>
      <c r="C2790">
        <v>1</v>
      </c>
      <c r="D2790" t="s">
        <v>23629</v>
      </c>
      <c r="E2790" t="s">
        <v>23632</v>
      </c>
    </row>
    <row r="2791" spans="1:5" x14ac:dyDescent="0.25">
      <c r="A2791" s="131" t="s">
        <v>17721</v>
      </c>
      <c r="B2791" t="s">
        <v>25942</v>
      </c>
      <c r="C2791">
        <v>1</v>
      </c>
      <c r="D2791" t="s">
        <v>23629</v>
      </c>
      <c r="E2791" t="s">
        <v>23632</v>
      </c>
    </row>
    <row r="2792" spans="1:5" x14ac:dyDescent="0.25">
      <c r="A2792" s="130" t="s">
        <v>17721</v>
      </c>
      <c r="B2792" t="s">
        <v>25943</v>
      </c>
      <c r="C2792">
        <v>1</v>
      </c>
      <c r="D2792" t="s">
        <v>23629</v>
      </c>
      <c r="E2792" t="s">
        <v>23632</v>
      </c>
    </row>
    <row r="2793" spans="1:5" x14ac:dyDescent="0.25">
      <c r="A2793" s="131" t="str">
        <f>LEFT((B2793),1)</f>
        <v>I</v>
      </c>
      <c r="B2793" t="s">
        <v>25944</v>
      </c>
      <c r="C2793">
        <v>1</v>
      </c>
      <c r="D2793" t="s">
        <v>23629</v>
      </c>
      <c r="E2793" t="s">
        <v>23632</v>
      </c>
    </row>
    <row r="2794" spans="1:5" x14ac:dyDescent="0.25">
      <c r="A2794" s="130" t="str">
        <f>LEFT(B2794,1)</f>
        <v>I</v>
      </c>
      <c r="B2794" t="s">
        <v>29243</v>
      </c>
      <c r="C2794">
        <v>1</v>
      </c>
      <c r="D2794" t="s">
        <v>23629</v>
      </c>
      <c r="E2794" t="s">
        <v>23632</v>
      </c>
    </row>
    <row r="2795" spans="1:5" x14ac:dyDescent="0.25">
      <c r="A2795" s="131" t="s">
        <v>17721</v>
      </c>
      <c r="B2795" t="s">
        <v>25945</v>
      </c>
      <c r="C2795">
        <v>1</v>
      </c>
      <c r="D2795" t="s">
        <v>23629</v>
      </c>
      <c r="E2795" t="s">
        <v>23632</v>
      </c>
    </row>
    <row r="2796" spans="1:5" x14ac:dyDescent="0.25">
      <c r="A2796" s="130" t="s">
        <v>17721</v>
      </c>
      <c r="B2796" t="s">
        <v>25946</v>
      </c>
      <c r="C2796">
        <v>1</v>
      </c>
      <c r="D2796" t="s">
        <v>23629</v>
      </c>
      <c r="E2796" t="s">
        <v>23632</v>
      </c>
    </row>
    <row r="2797" spans="1:5" x14ac:dyDescent="0.25">
      <c r="A2797" s="131" t="s">
        <v>17721</v>
      </c>
      <c r="B2797" t="s">
        <v>25947</v>
      </c>
      <c r="C2797">
        <v>1</v>
      </c>
      <c r="D2797" t="s">
        <v>23629</v>
      </c>
      <c r="E2797" t="s">
        <v>23632</v>
      </c>
    </row>
    <row r="2798" spans="1:5" x14ac:dyDescent="0.25">
      <c r="A2798" s="130" t="s">
        <v>17721</v>
      </c>
      <c r="B2798" t="s">
        <v>25948</v>
      </c>
      <c r="C2798">
        <v>1</v>
      </c>
      <c r="D2798" t="s">
        <v>23629</v>
      </c>
      <c r="E2798" t="s">
        <v>23632</v>
      </c>
    </row>
    <row r="2799" spans="1:5" x14ac:dyDescent="0.25">
      <c r="A2799" s="131" t="s">
        <v>17721</v>
      </c>
      <c r="B2799" t="s">
        <v>25949</v>
      </c>
      <c r="C2799">
        <v>1</v>
      </c>
      <c r="D2799" t="s">
        <v>23629</v>
      </c>
      <c r="E2799" t="s">
        <v>23632</v>
      </c>
    </row>
    <row r="2800" spans="1:5" x14ac:dyDescent="0.25">
      <c r="A2800" s="130" t="str">
        <f>LEFT(B2800,1)</f>
        <v>I</v>
      </c>
      <c r="B2800" t="s">
        <v>28504</v>
      </c>
      <c r="C2800">
        <v>1</v>
      </c>
      <c r="D2800" t="s">
        <v>23629</v>
      </c>
      <c r="E2800" t="s">
        <v>23632</v>
      </c>
    </row>
    <row r="2801" spans="1:5" x14ac:dyDescent="0.25">
      <c r="A2801" s="130" t="s">
        <v>17721</v>
      </c>
      <c r="B2801" t="s">
        <v>25950</v>
      </c>
      <c r="C2801">
        <v>1</v>
      </c>
      <c r="D2801" t="s">
        <v>23629</v>
      </c>
      <c r="E2801" t="s">
        <v>23632</v>
      </c>
    </row>
    <row r="2802" spans="1:5" x14ac:dyDescent="0.25">
      <c r="A2802" s="131" t="s">
        <v>17721</v>
      </c>
      <c r="B2802" t="s">
        <v>25951</v>
      </c>
      <c r="C2802">
        <v>1</v>
      </c>
      <c r="D2802" t="s">
        <v>23629</v>
      </c>
      <c r="E2802" t="s">
        <v>23632</v>
      </c>
    </row>
    <row r="2803" spans="1:5" x14ac:dyDescent="0.25">
      <c r="A2803" s="131" t="str">
        <f>LEFT(B2803,1)</f>
        <v>I</v>
      </c>
      <c r="B2803" t="s">
        <v>25996</v>
      </c>
      <c r="C2803">
        <v>1</v>
      </c>
      <c r="D2803" t="s">
        <v>23629</v>
      </c>
      <c r="E2803" t="s">
        <v>23632</v>
      </c>
    </row>
    <row r="2804" spans="1:5" x14ac:dyDescent="0.25">
      <c r="A2804" s="130" t="s">
        <v>17721</v>
      </c>
      <c r="B2804" t="s">
        <v>25952</v>
      </c>
      <c r="C2804">
        <v>1</v>
      </c>
      <c r="D2804" t="s">
        <v>23629</v>
      </c>
      <c r="E2804" t="s">
        <v>23632</v>
      </c>
    </row>
    <row r="2805" spans="1:5" x14ac:dyDescent="0.25">
      <c r="A2805" s="131" t="s">
        <v>17721</v>
      </c>
      <c r="B2805" t="s">
        <v>25953</v>
      </c>
      <c r="C2805">
        <v>1</v>
      </c>
      <c r="D2805" t="s">
        <v>23629</v>
      </c>
      <c r="E2805" t="s">
        <v>23632</v>
      </c>
    </row>
    <row r="2806" spans="1:5" x14ac:dyDescent="0.25">
      <c r="A2806" s="130" t="s">
        <v>17721</v>
      </c>
      <c r="B2806" t="s">
        <v>25954</v>
      </c>
      <c r="C2806">
        <v>1</v>
      </c>
      <c r="D2806" t="s">
        <v>23629</v>
      </c>
      <c r="E2806" t="s">
        <v>23632</v>
      </c>
    </row>
    <row r="2807" spans="1:5" x14ac:dyDescent="0.25">
      <c r="A2807" s="130" t="s">
        <v>17721</v>
      </c>
      <c r="B2807" t="s">
        <v>25955</v>
      </c>
      <c r="C2807">
        <v>1</v>
      </c>
      <c r="D2807" t="s">
        <v>23629</v>
      </c>
      <c r="E2807" t="s">
        <v>23632</v>
      </c>
    </row>
    <row r="2808" spans="1:5" x14ac:dyDescent="0.25">
      <c r="A2808" s="131" t="s">
        <v>17721</v>
      </c>
      <c r="B2808" t="s">
        <v>25956</v>
      </c>
      <c r="C2808">
        <v>1.1000000000000001</v>
      </c>
      <c r="D2808" t="s">
        <v>23629</v>
      </c>
      <c r="E2808" t="s">
        <v>23881</v>
      </c>
    </row>
    <row r="2809" spans="1:5" x14ac:dyDescent="0.25">
      <c r="A2809" s="131" t="s">
        <v>17721</v>
      </c>
      <c r="B2809" t="s">
        <v>25957</v>
      </c>
      <c r="C2809">
        <v>1</v>
      </c>
      <c r="D2809" t="s">
        <v>23629</v>
      </c>
      <c r="E2809" t="s">
        <v>23632</v>
      </c>
    </row>
    <row r="2810" spans="1:5" x14ac:dyDescent="0.25">
      <c r="A2810" s="130" t="str">
        <f>LEFT(B2810,1)</f>
        <v>I</v>
      </c>
      <c r="B2810" t="s">
        <v>25997</v>
      </c>
      <c r="C2810">
        <v>1</v>
      </c>
      <c r="D2810" t="s">
        <v>23629</v>
      </c>
      <c r="E2810" t="s">
        <v>23632</v>
      </c>
    </row>
    <row r="2811" spans="1:5" x14ac:dyDescent="0.25">
      <c r="A2811" s="130" t="s">
        <v>17721</v>
      </c>
      <c r="B2811" t="s">
        <v>25958</v>
      </c>
      <c r="C2811">
        <v>1</v>
      </c>
      <c r="D2811" t="s">
        <v>23629</v>
      </c>
      <c r="E2811" t="s">
        <v>23632</v>
      </c>
    </row>
    <row r="2812" spans="1:5" x14ac:dyDescent="0.25">
      <c r="A2812" s="131" t="s">
        <v>17721</v>
      </c>
      <c r="B2812" t="s">
        <v>25959</v>
      </c>
      <c r="C2812">
        <v>1</v>
      </c>
      <c r="D2812" t="s">
        <v>23629</v>
      </c>
      <c r="E2812" t="s">
        <v>23632</v>
      </c>
    </row>
    <row r="2813" spans="1:5" x14ac:dyDescent="0.25">
      <c r="A2813" s="130" t="str">
        <f>LEFT(B2813,1)</f>
        <v>I</v>
      </c>
      <c r="B2813" t="s">
        <v>29056</v>
      </c>
      <c r="C2813">
        <v>1</v>
      </c>
      <c r="D2813" t="s">
        <v>23629</v>
      </c>
      <c r="E2813" t="s">
        <v>23632</v>
      </c>
    </row>
    <row r="2814" spans="1:5" x14ac:dyDescent="0.25">
      <c r="A2814" s="131" t="s">
        <v>17721</v>
      </c>
      <c r="B2814" t="s">
        <v>25960</v>
      </c>
      <c r="C2814">
        <v>1</v>
      </c>
      <c r="D2814" t="s">
        <v>25606</v>
      </c>
      <c r="E2814" t="s">
        <v>23632</v>
      </c>
    </row>
    <row r="2815" spans="1:5" x14ac:dyDescent="0.25">
      <c r="A2815" s="131" t="s">
        <v>17721</v>
      </c>
      <c r="B2815" t="s">
        <v>25961</v>
      </c>
      <c r="C2815">
        <v>1</v>
      </c>
      <c r="D2815" t="s">
        <v>23629</v>
      </c>
      <c r="E2815" t="s">
        <v>23632</v>
      </c>
    </row>
    <row r="2816" spans="1:5" x14ac:dyDescent="0.25">
      <c r="A2816" s="131" t="s">
        <v>17721</v>
      </c>
      <c r="B2816" t="s">
        <v>25962</v>
      </c>
      <c r="C2816">
        <v>1</v>
      </c>
      <c r="D2816" t="s">
        <v>23629</v>
      </c>
      <c r="E2816" t="s">
        <v>23632</v>
      </c>
    </row>
    <row r="2817" spans="1:5" x14ac:dyDescent="0.25">
      <c r="A2817" s="130" t="str">
        <f>LEFT(B2817,1)</f>
        <v>I</v>
      </c>
      <c r="B2817" t="s">
        <v>28505</v>
      </c>
      <c r="C2817">
        <v>1</v>
      </c>
      <c r="D2817" t="s">
        <v>23629</v>
      </c>
      <c r="E2817" t="s">
        <v>23632</v>
      </c>
    </row>
    <row r="2818" spans="1:5" x14ac:dyDescent="0.25">
      <c r="A2818" s="130" t="s">
        <v>17721</v>
      </c>
      <c r="B2818" t="s">
        <v>25963</v>
      </c>
      <c r="C2818">
        <v>1</v>
      </c>
      <c r="D2818" t="s">
        <v>23629</v>
      </c>
      <c r="E2818" t="s">
        <v>23632</v>
      </c>
    </row>
    <row r="2819" spans="1:5" x14ac:dyDescent="0.25">
      <c r="A2819" s="131" t="s">
        <v>17721</v>
      </c>
      <c r="B2819" t="s">
        <v>25964</v>
      </c>
      <c r="C2819">
        <v>1</v>
      </c>
      <c r="D2819" t="s">
        <v>23629</v>
      </c>
      <c r="E2819" t="s">
        <v>23632</v>
      </c>
    </row>
    <row r="2820" spans="1:5" x14ac:dyDescent="0.25">
      <c r="A2820" s="130" t="s">
        <v>17721</v>
      </c>
      <c r="B2820" t="s">
        <v>25965</v>
      </c>
      <c r="C2820">
        <v>1</v>
      </c>
      <c r="D2820" t="s">
        <v>23629</v>
      </c>
      <c r="E2820" t="s">
        <v>23632</v>
      </c>
    </row>
    <row r="2821" spans="1:5" x14ac:dyDescent="0.25">
      <c r="A2821" s="131" t="s">
        <v>17721</v>
      </c>
      <c r="B2821" t="s">
        <v>25966</v>
      </c>
      <c r="C2821">
        <v>1</v>
      </c>
      <c r="D2821" t="s">
        <v>23629</v>
      </c>
      <c r="E2821" t="s">
        <v>23632</v>
      </c>
    </row>
    <row r="2822" spans="1:5" x14ac:dyDescent="0.25">
      <c r="A2822" s="130" t="s">
        <v>17721</v>
      </c>
      <c r="B2822" t="s">
        <v>25967</v>
      </c>
      <c r="C2822">
        <v>1</v>
      </c>
      <c r="D2822" t="s">
        <v>23629</v>
      </c>
      <c r="E2822" t="s">
        <v>23632</v>
      </c>
    </row>
    <row r="2823" spans="1:5" x14ac:dyDescent="0.25">
      <c r="A2823" s="130" t="str">
        <f>LEFT(B2823,1)</f>
        <v>I</v>
      </c>
      <c r="B2823" t="s">
        <v>26006</v>
      </c>
      <c r="C2823">
        <v>1</v>
      </c>
      <c r="D2823" t="s">
        <v>23629</v>
      </c>
      <c r="E2823" t="s">
        <v>23632</v>
      </c>
    </row>
    <row r="2824" spans="1:5" x14ac:dyDescent="0.25">
      <c r="A2824" s="131" t="str">
        <f>LEFT(B2824,1)</f>
        <v>I</v>
      </c>
      <c r="B2824" t="s">
        <v>25998</v>
      </c>
      <c r="C2824">
        <v>1</v>
      </c>
      <c r="D2824" t="s">
        <v>23629</v>
      </c>
      <c r="E2824" t="s">
        <v>23632</v>
      </c>
    </row>
    <row r="2825" spans="1:5" x14ac:dyDescent="0.25">
      <c r="A2825" s="131" t="s">
        <v>17721</v>
      </c>
      <c r="B2825" t="s">
        <v>25968</v>
      </c>
      <c r="C2825">
        <v>1</v>
      </c>
      <c r="D2825" t="s">
        <v>23629</v>
      </c>
      <c r="E2825" t="s">
        <v>23632</v>
      </c>
    </row>
    <row r="2826" spans="1:5" x14ac:dyDescent="0.25">
      <c r="A2826" s="130" t="s">
        <v>17721</v>
      </c>
      <c r="B2826" t="s">
        <v>25969</v>
      </c>
      <c r="C2826">
        <v>1</v>
      </c>
      <c r="D2826" t="s">
        <v>23629</v>
      </c>
      <c r="E2826" t="s">
        <v>23632</v>
      </c>
    </row>
    <row r="2827" spans="1:5" x14ac:dyDescent="0.25">
      <c r="A2827" s="130" t="s">
        <v>17721</v>
      </c>
      <c r="B2827" t="s">
        <v>25970</v>
      </c>
      <c r="C2827">
        <v>1</v>
      </c>
      <c r="D2827" t="s">
        <v>23629</v>
      </c>
      <c r="E2827" t="s">
        <v>23632</v>
      </c>
    </row>
    <row r="2828" spans="1:5" x14ac:dyDescent="0.25">
      <c r="A2828" s="130" t="str">
        <f>LEFT(B2828,1)</f>
        <v>I</v>
      </c>
      <c r="B2828" t="s">
        <v>26007</v>
      </c>
      <c r="C2828">
        <v>1</v>
      </c>
      <c r="D2828" t="s">
        <v>23629</v>
      </c>
      <c r="E2828" t="s">
        <v>23632</v>
      </c>
    </row>
    <row r="2829" spans="1:5" x14ac:dyDescent="0.25">
      <c r="A2829" s="130" t="str">
        <f>LEFT(B2829,1)</f>
        <v>I</v>
      </c>
      <c r="B2829" t="s">
        <v>26016</v>
      </c>
      <c r="C2829">
        <v>1</v>
      </c>
      <c r="D2829" t="s">
        <v>23629</v>
      </c>
      <c r="E2829" t="s">
        <v>23632</v>
      </c>
    </row>
    <row r="2830" spans="1:5" x14ac:dyDescent="0.25">
      <c r="A2830" s="131" t="s">
        <v>17721</v>
      </c>
      <c r="B2830" t="s">
        <v>25971</v>
      </c>
      <c r="C2830">
        <v>1</v>
      </c>
      <c r="D2830" t="s">
        <v>23629</v>
      </c>
      <c r="E2830" t="s">
        <v>23632</v>
      </c>
    </row>
    <row r="2831" spans="1:5" x14ac:dyDescent="0.25">
      <c r="A2831" s="130" t="s">
        <v>17721</v>
      </c>
      <c r="B2831" t="s">
        <v>25972</v>
      </c>
      <c r="C2831">
        <v>1</v>
      </c>
      <c r="D2831" t="s">
        <v>23629</v>
      </c>
      <c r="E2831" t="s">
        <v>23632</v>
      </c>
    </row>
    <row r="2832" spans="1:5" x14ac:dyDescent="0.25">
      <c r="A2832" s="130" t="s">
        <v>17721</v>
      </c>
      <c r="B2832" t="s">
        <v>25973</v>
      </c>
      <c r="C2832">
        <v>1</v>
      </c>
      <c r="D2832" t="s">
        <v>23629</v>
      </c>
      <c r="E2832" t="s">
        <v>23632</v>
      </c>
    </row>
    <row r="2833" spans="1:5" x14ac:dyDescent="0.25">
      <c r="A2833" s="131" t="s">
        <v>17721</v>
      </c>
      <c r="B2833" t="s">
        <v>25974</v>
      </c>
      <c r="C2833">
        <v>1</v>
      </c>
      <c r="D2833" t="s">
        <v>23629</v>
      </c>
      <c r="E2833" t="s">
        <v>23632</v>
      </c>
    </row>
    <row r="2834" spans="1:5" x14ac:dyDescent="0.25">
      <c r="A2834" s="131" t="s">
        <v>17721</v>
      </c>
      <c r="B2834" t="s">
        <v>25975</v>
      </c>
      <c r="C2834">
        <v>1</v>
      </c>
      <c r="D2834" t="s">
        <v>23629</v>
      </c>
      <c r="E2834" t="s">
        <v>23632</v>
      </c>
    </row>
    <row r="2835" spans="1:5" x14ac:dyDescent="0.25">
      <c r="A2835" s="130" t="s">
        <v>17721</v>
      </c>
      <c r="B2835" t="s">
        <v>25976</v>
      </c>
      <c r="C2835">
        <v>1</v>
      </c>
      <c r="D2835" t="s">
        <v>23629</v>
      </c>
      <c r="E2835" t="s">
        <v>23632</v>
      </c>
    </row>
    <row r="2836" spans="1:5" x14ac:dyDescent="0.25">
      <c r="A2836" s="130" t="str">
        <f>LEFT(B2836,1)</f>
        <v>I</v>
      </c>
      <c r="B2836" t="s">
        <v>29057</v>
      </c>
      <c r="C2836">
        <v>1</v>
      </c>
      <c r="D2836" t="s">
        <v>23629</v>
      </c>
      <c r="E2836" t="s">
        <v>23632</v>
      </c>
    </row>
    <row r="2837" spans="1:5" x14ac:dyDescent="0.25">
      <c r="A2837" s="131" t="s">
        <v>17721</v>
      </c>
      <c r="B2837" t="s">
        <v>25977</v>
      </c>
      <c r="C2837">
        <v>1</v>
      </c>
      <c r="D2837" t="s">
        <v>23629</v>
      </c>
      <c r="E2837" t="s">
        <v>23632</v>
      </c>
    </row>
    <row r="2838" spans="1:5" x14ac:dyDescent="0.25">
      <c r="A2838" s="130" t="s">
        <v>17721</v>
      </c>
      <c r="B2838" t="s">
        <v>25978</v>
      </c>
      <c r="C2838">
        <v>1</v>
      </c>
      <c r="D2838" t="s">
        <v>23629</v>
      </c>
      <c r="E2838" t="s">
        <v>23632</v>
      </c>
    </row>
    <row r="2839" spans="1:5" x14ac:dyDescent="0.25">
      <c r="A2839" s="131" t="s">
        <v>17721</v>
      </c>
      <c r="B2839" t="s">
        <v>25979</v>
      </c>
      <c r="C2839">
        <v>1</v>
      </c>
      <c r="D2839" t="s">
        <v>23629</v>
      </c>
      <c r="E2839" t="s">
        <v>23632</v>
      </c>
    </row>
    <row r="2840" spans="1:5" x14ac:dyDescent="0.25">
      <c r="A2840" s="131" t="s">
        <v>17721</v>
      </c>
      <c r="B2840" t="s">
        <v>25980</v>
      </c>
      <c r="C2840">
        <v>1</v>
      </c>
      <c r="D2840" t="s">
        <v>23629</v>
      </c>
      <c r="E2840" t="s">
        <v>23632</v>
      </c>
    </row>
    <row r="2841" spans="1:5" x14ac:dyDescent="0.25">
      <c r="A2841" s="130" t="str">
        <f>LEFT(B2841,1)</f>
        <v>I</v>
      </c>
      <c r="B2841" t="s">
        <v>25999</v>
      </c>
      <c r="C2841">
        <v>1</v>
      </c>
      <c r="D2841" t="s">
        <v>23629</v>
      </c>
      <c r="E2841" t="s">
        <v>23632</v>
      </c>
    </row>
    <row r="2842" spans="1:5" x14ac:dyDescent="0.25">
      <c r="A2842" s="131" t="str">
        <f>LEFT(B2842,1)</f>
        <v>I</v>
      </c>
      <c r="B2842" t="s">
        <v>26000</v>
      </c>
      <c r="C2842">
        <v>1</v>
      </c>
      <c r="D2842" t="s">
        <v>23629</v>
      </c>
      <c r="E2842" t="s">
        <v>23632</v>
      </c>
    </row>
    <row r="2843" spans="1:5" x14ac:dyDescent="0.25">
      <c r="A2843" s="130" t="str">
        <f>LEFT(B2843,1)</f>
        <v>I</v>
      </c>
      <c r="B2843" t="s">
        <v>28506</v>
      </c>
      <c r="C2843">
        <v>1</v>
      </c>
      <c r="D2843" t="s">
        <v>23629</v>
      </c>
      <c r="E2843" t="s">
        <v>23632</v>
      </c>
    </row>
    <row r="2844" spans="1:5" x14ac:dyDescent="0.25">
      <c r="A2844" s="130" t="s">
        <v>17721</v>
      </c>
      <c r="B2844" t="s">
        <v>25981</v>
      </c>
      <c r="C2844">
        <v>1</v>
      </c>
      <c r="D2844" t="s">
        <v>23629</v>
      </c>
      <c r="E2844" t="s">
        <v>23632</v>
      </c>
    </row>
    <row r="2845" spans="1:5" x14ac:dyDescent="0.25">
      <c r="A2845" s="131" t="str">
        <f>LEFT(B2845,1)</f>
        <v>I</v>
      </c>
      <c r="B2845" t="s">
        <v>26017</v>
      </c>
      <c r="C2845">
        <v>1</v>
      </c>
      <c r="D2845" t="s">
        <v>23629</v>
      </c>
      <c r="E2845" t="s">
        <v>23632</v>
      </c>
    </row>
    <row r="2846" spans="1:5" x14ac:dyDescent="0.25">
      <c r="A2846" s="131" t="s">
        <v>17721</v>
      </c>
      <c r="B2846" t="s">
        <v>25982</v>
      </c>
      <c r="C2846">
        <v>1</v>
      </c>
      <c r="D2846" t="s">
        <v>23629</v>
      </c>
      <c r="E2846" t="s">
        <v>23632</v>
      </c>
    </row>
    <row r="2847" spans="1:5" x14ac:dyDescent="0.25">
      <c r="A2847" s="130" t="str">
        <f>LEFT(B2847,1)</f>
        <v>I</v>
      </c>
      <c r="B2847" t="s">
        <v>26018</v>
      </c>
      <c r="C2847">
        <v>1</v>
      </c>
      <c r="D2847" t="s">
        <v>23629</v>
      </c>
      <c r="E2847" t="s">
        <v>23632</v>
      </c>
    </row>
    <row r="2848" spans="1:5" x14ac:dyDescent="0.25">
      <c r="A2848" s="130" t="str">
        <f>LEFT(B2848,1)</f>
        <v>J</v>
      </c>
      <c r="B2848" t="s">
        <v>29058</v>
      </c>
      <c r="C2848">
        <v>1</v>
      </c>
      <c r="D2848" t="s">
        <v>23629</v>
      </c>
      <c r="E2848" t="s">
        <v>23632</v>
      </c>
    </row>
    <row r="2849" spans="1:5" x14ac:dyDescent="0.25">
      <c r="A2849" s="131" t="s">
        <v>26019</v>
      </c>
      <c r="B2849" t="s">
        <v>26020</v>
      </c>
      <c r="C2849">
        <v>1</v>
      </c>
      <c r="D2849" t="s">
        <v>23629</v>
      </c>
      <c r="E2849" t="s">
        <v>23632</v>
      </c>
    </row>
    <row r="2850" spans="1:5" x14ac:dyDescent="0.25">
      <c r="A2850" s="130" t="str">
        <f>LEFT(B2850,1)</f>
        <v>J</v>
      </c>
      <c r="B2850" t="s">
        <v>28802</v>
      </c>
      <c r="C2850">
        <v>1</v>
      </c>
      <c r="D2850" t="s">
        <v>23629</v>
      </c>
      <c r="E2850" t="s">
        <v>23632</v>
      </c>
    </row>
    <row r="2851" spans="1:5" x14ac:dyDescent="0.25">
      <c r="A2851" s="131" t="s">
        <v>26019</v>
      </c>
      <c r="B2851" t="s">
        <v>26021</v>
      </c>
      <c r="C2851">
        <v>1</v>
      </c>
      <c r="D2851" t="s">
        <v>23629</v>
      </c>
      <c r="E2851" t="s">
        <v>23632</v>
      </c>
    </row>
    <row r="2852" spans="1:5" x14ac:dyDescent="0.25">
      <c r="A2852" s="131" t="str">
        <f>LEFT(B2852,1)</f>
        <v>J</v>
      </c>
      <c r="B2852" t="s">
        <v>26215</v>
      </c>
      <c r="C2852">
        <v>1</v>
      </c>
      <c r="D2852" t="s">
        <v>23629</v>
      </c>
      <c r="E2852" t="s">
        <v>23632</v>
      </c>
    </row>
    <row r="2853" spans="1:5" x14ac:dyDescent="0.25">
      <c r="A2853" s="131" t="s">
        <v>26019</v>
      </c>
      <c r="B2853" t="s">
        <v>26022</v>
      </c>
      <c r="C2853">
        <v>1</v>
      </c>
      <c r="D2853" t="s">
        <v>23629</v>
      </c>
      <c r="E2853" t="s">
        <v>23632</v>
      </c>
    </row>
    <row r="2854" spans="1:5" x14ac:dyDescent="0.25">
      <c r="A2854" s="130" t="str">
        <f>LEFT(B2854,1)</f>
        <v>J</v>
      </c>
      <c r="B2854" t="s">
        <v>26216</v>
      </c>
      <c r="C2854">
        <v>1</v>
      </c>
      <c r="D2854" t="s">
        <v>23629</v>
      </c>
      <c r="E2854" t="s">
        <v>23632</v>
      </c>
    </row>
    <row r="2855" spans="1:5" x14ac:dyDescent="0.25">
      <c r="A2855" s="130" t="s">
        <v>26019</v>
      </c>
      <c r="B2855" t="s">
        <v>26023</v>
      </c>
      <c r="C2855">
        <v>1</v>
      </c>
      <c r="D2855" t="s">
        <v>23629</v>
      </c>
      <c r="E2855" t="s">
        <v>23632</v>
      </c>
    </row>
    <row r="2856" spans="1:5" x14ac:dyDescent="0.25">
      <c r="A2856" s="130" t="str">
        <f>LEFT(B2856,1)</f>
        <v>J</v>
      </c>
      <c r="B2856" t="s">
        <v>28507</v>
      </c>
      <c r="C2856">
        <v>1</v>
      </c>
      <c r="D2856" t="s">
        <v>23629</v>
      </c>
      <c r="E2856" t="s">
        <v>23632</v>
      </c>
    </row>
    <row r="2857" spans="1:5" x14ac:dyDescent="0.25">
      <c r="A2857" s="131" t="s">
        <v>26019</v>
      </c>
      <c r="B2857" t="s">
        <v>26024</v>
      </c>
      <c r="C2857">
        <v>1</v>
      </c>
      <c r="D2857" t="s">
        <v>23629</v>
      </c>
      <c r="E2857" t="s">
        <v>23632</v>
      </c>
    </row>
    <row r="2858" spans="1:5" x14ac:dyDescent="0.25">
      <c r="A2858" s="130" t="s">
        <v>26019</v>
      </c>
      <c r="B2858" t="s">
        <v>26025</v>
      </c>
      <c r="C2858">
        <v>1</v>
      </c>
      <c r="D2858" t="s">
        <v>23629</v>
      </c>
      <c r="E2858" t="s">
        <v>23632</v>
      </c>
    </row>
    <row r="2859" spans="1:5" x14ac:dyDescent="0.25">
      <c r="A2859" s="130" t="s">
        <v>26019</v>
      </c>
      <c r="B2859" t="s">
        <v>26026</v>
      </c>
      <c r="C2859">
        <v>1</v>
      </c>
      <c r="D2859" t="s">
        <v>23629</v>
      </c>
      <c r="E2859" t="s">
        <v>23632</v>
      </c>
    </row>
    <row r="2860" spans="1:5" x14ac:dyDescent="0.25">
      <c r="A2860" s="131" t="s">
        <v>26019</v>
      </c>
      <c r="B2860" t="s">
        <v>26027</v>
      </c>
      <c r="C2860">
        <v>1</v>
      </c>
      <c r="D2860" t="s">
        <v>23629</v>
      </c>
      <c r="E2860" t="s">
        <v>23632</v>
      </c>
    </row>
    <row r="2861" spans="1:5" x14ac:dyDescent="0.25">
      <c r="A2861" s="130" t="str">
        <f>LEFT(B2861,1)</f>
        <v>J</v>
      </c>
      <c r="B2861" t="s">
        <v>26190</v>
      </c>
      <c r="C2861">
        <v>1</v>
      </c>
      <c r="D2861" t="s">
        <v>23629</v>
      </c>
      <c r="E2861" t="s">
        <v>23632</v>
      </c>
    </row>
    <row r="2862" spans="1:5" x14ac:dyDescent="0.25">
      <c r="A2862" s="131" t="s">
        <v>26019</v>
      </c>
      <c r="B2862" t="s">
        <v>26028</v>
      </c>
      <c r="C2862">
        <v>1</v>
      </c>
      <c r="D2862" t="s">
        <v>23629</v>
      </c>
      <c r="E2862" t="s">
        <v>23632</v>
      </c>
    </row>
    <row r="2863" spans="1:5" x14ac:dyDescent="0.25">
      <c r="A2863" s="131" t="s">
        <v>26019</v>
      </c>
      <c r="B2863" t="s">
        <v>26029</v>
      </c>
      <c r="C2863">
        <v>1</v>
      </c>
      <c r="D2863" t="s">
        <v>23629</v>
      </c>
      <c r="E2863" t="s">
        <v>23632</v>
      </c>
    </row>
    <row r="2864" spans="1:5" x14ac:dyDescent="0.25">
      <c r="A2864" s="130" t="str">
        <f>LEFT(B2864,1)</f>
        <v>J</v>
      </c>
      <c r="B2864" t="s">
        <v>29059</v>
      </c>
      <c r="C2864">
        <v>1</v>
      </c>
      <c r="D2864" t="s">
        <v>23629</v>
      </c>
      <c r="E2864" t="s">
        <v>23632</v>
      </c>
    </row>
    <row r="2865" spans="1:5" x14ac:dyDescent="0.25">
      <c r="A2865" s="130" t="s">
        <v>26019</v>
      </c>
      <c r="B2865" t="s">
        <v>26030</v>
      </c>
      <c r="C2865">
        <v>1</v>
      </c>
      <c r="D2865" t="s">
        <v>23629</v>
      </c>
      <c r="E2865" t="s">
        <v>23632</v>
      </c>
    </row>
    <row r="2866" spans="1:5" x14ac:dyDescent="0.25">
      <c r="A2866" s="130" t="str">
        <f>LEFT(B2866,1)</f>
        <v>J</v>
      </c>
      <c r="B2866" t="s">
        <v>28803</v>
      </c>
      <c r="C2866">
        <v>1</v>
      </c>
      <c r="D2866" t="s">
        <v>23629</v>
      </c>
      <c r="E2866" t="s">
        <v>23632</v>
      </c>
    </row>
    <row r="2867" spans="1:5" x14ac:dyDescent="0.25">
      <c r="A2867" s="130" t="s">
        <v>26019</v>
      </c>
      <c r="B2867" t="s">
        <v>26031</v>
      </c>
      <c r="C2867">
        <v>1</v>
      </c>
      <c r="D2867" t="s">
        <v>23629</v>
      </c>
      <c r="E2867" t="s">
        <v>23632</v>
      </c>
    </row>
    <row r="2868" spans="1:5" x14ac:dyDescent="0.25">
      <c r="A2868" s="131" t="s">
        <v>26019</v>
      </c>
      <c r="B2868" t="s">
        <v>26032</v>
      </c>
      <c r="C2868">
        <v>1</v>
      </c>
      <c r="D2868" t="s">
        <v>23629</v>
      </c>
      <c r="E2868" t="s">
        <v>23632</v>
      </c>
    </row>
    <row r="2869" spans="1:5" x14ac:dyDescent="0.25">
      <c r="A2869" s="131" t="str">
        <f>LEFT(B2869,1)</f>
        <v>J</v>
      </c>
      <c r="B2869" t="s">
        <v>26217</v>
      </c>
      <c r="C2869">
        <v>1</v>
      </c>
      <c r="D2869" t="s">
        <v>23629</v>
      </c>
      <c r="E2869" t="s">
        <v>23632</v>
      </c>
    </row>
    <row r="2870" spans="1:5" x14ac:dyDescent="0.25">
      <c r="A2870" s="131" t="s">
        <v>26019</v>
      </c>
      <c r="B2870" t="s">
        <v>26033</v>
      </c>
      <c r="C2870">
        <v>1</v>
      </c>
      <c r="D2870" t="s">
        <v>23629</v>
      </c>
      <c r="E2870" t="s">
        <v>23632</v>
      </c>
    </row>
    <row r="2871" spans="1:5" x14ac:dyDescent="0.25">
      <c r="A2871" s="131" t="s">
        <v>26019</v>
      </c>
      <c r="B2871" t="s">
        <v>26034</v>
      </c>
      <c r="C2871">
        <v>1</v>
      </c>
      <c r="D2871" t="s">
        <v>23629</v>
      </c>
      <c r="E2871" t="s">
        <v>23632</v>
      </c>
    </row>
    <row r="2872" spans="1:5" x14ac:dyDescent="0.25">
      <c r="A2872" s="130" t="s">
        <v>26019</v>
      </c>
      <c r="B2872" t="s">
        <v>26035</v>
      </c>
      <c r="C2872">
        <v>1</v>
      </c>
      <c r="D2872" t="s">
        <v>23629</v>
      </c>
      <c r="E2872" t="s">
        <v>23632</v>
      </c>
    </row>
    <row r="2873" spans="1:5" x14ac:dyDescent="0.25">
      <c r="A2873" s="130" t="s">
        <v>26019</v>
      </c>
      <c r="B2873" t="s">
        <v>26036</v>
      </c>
      <c r="C2873">
        <v>1</v>
      </c>
      <c r="D2873" t="s">
        <v>23629</v>
      </c>
      <c r="E2873" t="s">
        <v>23632</v>
      </c>
    </row>
    <row r="2874" spans="1:5" x14ac:dyDescent="0.25">
      <c r="A2874" s="131" t="s">
        <v>26019</v>
      </c>
      <c r="B2874" t="s">
        <v>26037</v>
      </c>
      <c r="C2874">
        <v>1</v>
      </c>
      <c r="D2874" t="s">
        <v>23629</v>
      </c>
      <c r="E2874" t="s">
        <v>23632</v>
      </c>
    </row>
    <row r="2875" spans="1:5" x14ac:dyDescent="0.25">
      <c r="A2875" s="130" t="s">
        <v>26019</v>
      </c>
      <c r="B2875" t="s">
        <v>26038</v>
      </c>
      <c r="C2875">
        <v>1</v>
      </c>
      <c r="D2875" t="s">
        <v>23629</v>
      </c>
      <c r="E2875" t="s">
        <v>23632</v>
      </c>
    </row>
    <row r="2876" spans="1:5" x14ac:dyDescent="0.25">
      <c r="A2876" s="130" t="str">
        <f>LEFT(B2876,1)</f>
        <v>J</v>
      </c>
      <c r="B2876" t="s">
        <v>26198</v>
      </c>
      <c r="C2876">
        <v>1</v>
      </c>
      <c r="D2876" t="s">
        <v>23629</v>
      </c>
      <c r="E2876" t="s">
        <v>23632</v>
      </c>
    </row>
    <row r="2877" spans="1:5" x14ac:dyDescent="0.25">
      <c r="A2877" s="131" t="s">
        <v>26019</v>
      </c>
      <c r="B2877" t="s">
        <v>26039</v>
      </c>
      <c r="C2877">
        <v>1</v>
      </c>
      <c r="D2877" t="s">
        <v>23629</v>
      </c>
      <c r="E2877" t="s">
        <v>23632</v>
      </c>
    </row>
    <row r="2878" spans="1:5" x14ac:dyDescent="0.25">
      <c r="A2878" s="130" t="str">
        <f>LEFT(B2878,1)</f>
        <v>J</v>
      </c>
      <c r="B2878" t="s">
        <v>26199</v>
      </c>
      <c r="C2878">
        <v>1</v>
      </c>
      <c r="D2878" t="s">
        <v>23629</v>
      </c>
      <c r="E2878" t="s">
        <v>23632</v>
      </c>
    </row>
    <row r="2879" spans="1:5" x14ac:dyDescent="0.25">
      <c r="A2879" s="131" t="s">
        <v>26019</v>
      </c>
      <c r="B2879" t="s">
        <v>26040</v>
      </c>
      <c r="C2879">
        <v>1</v>
      </c>
      <c r="D2879" t="s">
        <v>23629</v>
      </c>
      <c r="E2879" t="s">
        <v>23632</v>
      </c>
    </row>
    <row r="2880" spans="1:5" x14ac:dyDescent="0.25">
      <c r="A2880" s="130" t="s">
        <v>26019</v>
      </c>
      <c r="B2880" t="s">
        <v>26041</v>
      </c>
      <c r="C2880">
        <v>1</v>
      </c>
      <c r="D2880" t="s">
        <v>23629</v>
      </c>
      <c r="E2880" t="s">
        <v>23632</v>
      </c>
    </row>
    <row r="2881" spans="1:5" x14ac:dyDescent="0.25">
      <c r="A2881" s="131" t="s">
        <v>26019</v>
      </c>
      <c r="B2881" t="s">
        <v>26042</v>
      </c>
      <c r="C2881">
        <v>1</v>
      </c>
      <c r="D2881" t="s">
        <v>23629</v>
      </c>
      <c r="E2881" t="s">
        <v>23632</v>
      </c>
    </row>
    <row r="2882" spans="1:5" x14ac:dyDescent="0.25">
      <c r="A2882" s="130" t="s">
        <v>26019</v>
      </c>
      <c r="B2882" t="s">
        <v>26043</v>
      </c>
      <c r="C2882">
        <v>1</v>
      </c>
      <c r="D2882" t="s">
        <v>23629</v>
      </c>
      <c r="E2882" t="s">
        <v>23632</v>
      </c>
    </row>
    <row r="2883" spans="1:5" x14ac:dyDescent="0.25">
      <c r="A2883" s="130" t="s">
        <v>26019</v>
      </c>
      <c r="B2883" t="s">
        <v>26044</v>
      </c>
      <c r="C2883">
        <v>1</v>
      </c>
      <c r="D2883" t="s">
        <v>23629</v>
      </c>
      <c r="E2883" t="s">
        <v>23632</v>
      </c>
    </row>
    <row r="2884" spans="1:5" x14ac:dyDescent="0.25">
      <c r="A2884" s="131" t="s">
        <v>26019</v>
      </c>
      <c r="B2884" t="s">
        <v>26045</v>
      </c>
      <c r="C2884">
        <v>1</v>
      </c>
      <c r="D2884" t="s">
        <v>23629</v>
      </c>
      <c r="E2884" t="s">
        <v>23632</v>
      </c>
    </row>
    <row r="2885" spans="1:5" x14ac:dyDescent="0.25">
      <c r="A2885" s="130" t="s">
        <v>26019</v>
      </c>
      <c r="B2885" t="s">
        <v>26046</v>
      </c>
      <c r="C2885">
        <v>1</v>
      </c>
      <c r="D2885" t="s">
        <v>23629</v>
      </c>
      <c r="E2885" t="s">
        <v>23632</v>
      </c>
    </row>
    <row r="2886" spans="1:5" x14ac:dyDescent="0.25">
      <c r="A2886" s="130" t="str">
        <f>LEFT(B2886,1)</f>
        <v>J</v>
      </c>
      <c r="B2886" t="s">
        <v>26218</v>
      </c>
      <c r="C2886">
        <v>1</v>
      </c>
      <c r="D2886" t="s">
        <v>23629</v>
      </c>
      <c r="E2886" t="s">
        <v>23632</v>
      </c>
    </row>
    <row r="2887" spans="1:5" x14ac:dyDescent="0.25">
      <c r="A2887" s="130" t="s">
        <v>26019</v>
      </c>
      <c r="B2887" t="s">
        <v>26047</v>
      </c>
      <c r="C2887">
        <v>1</v>
      </c>
      <c r="D2887" t="s">
        <v>23629</v>
      </c>
      <c r="E2887" t="s">
        <v>23632</v>
      </c>
    </row>
    <row r="2888" spans="1:5" x14ac:dyDescent="0.25">
      <c r="A2888" s="131" t="s">
        <v>26019</v>
      </c>
      <c r="B2888" t="s">
        <v>26048</v>
      </c>
      <c r="C2888">
        <v>1</v>
      </c>
      <c r="D2888" t="s">
        <v>23629</v>
      </c>
      <c r="E2888" t="s">
        <v>23632</v>
      </c>
    </row>
    <row r="2889" spans="1:5" x14ac:dyDescent="0.25">
      <c r="A2889" s="130" t="s">
        <v>26019</v>
      </c>
      <c r="B2889" t="s">
        <v>26049</v>
      </c>
      <c r="C2889">
        <v>1</v>
      </c>
      <c r="D2889" t="s">
        <v>23629</v>
      </c>
      <c r="E2889" t="s">
        <v>23632</v>
      </c>
    </row>
    <row r="2890" spans="1:5" x14ac:dyDescent="0.25">
      <c r="A2890" s="130" t="str">
        <f>LEFT(B2890,1)</f>
        <v>J</v>
      </c>
      <c r="B2890" t="s">
        <v>28804</v>
      </c>
      <c r="C2890">
        <v>1</v>
      </c>
      <c r="D2890" t="s">
        <v>23629</v>
      </c>
      <c r="E2890" t="s">
        <v>23632</v>
      </c>
    </row>
    <row r="2891" spans="1:5" x14ac:dyDescent="0.25">
      <c r="A2891" s="130" t="s">
        <v>26019</v>
      </c>
      <c r="B2891" t="s">
        <v>26050</v>
      </c>
      <c r="C2891">
        <v>1</v>
      </c>
      <c r="D2891" t="s">
        <v>23629</v>
      </c>
      <c r="E2891" t="s">
        <v>23632</v>
      </c>
    </row>
    <row r="2892" spans="1:5" x14ac:dyDescent="0.25">
      <c r="A2892" s="130" t="str">
        <f>LEFT(B2892,1)</f>
        <v>J</v>
      </c>
      <c r="B2892" t="s">
        <v>29244</v>
      </c>
      <c r="C2892">
        <v>1</v>
      </c>
      <c r="D2892" t="s">
        <v>23629</v>
      </c>
      <c r="E2892" t="s">
        <v>23632</v>
      </c>
    </row>
    <row r="2893" spans="1:5" x14ac:dyDescent="0.25">
      <c r="A2893" s="130" t="s">
        <v>26019</v>
      </c>
      <c r="B2893" t="s">
        <v>26051</v>
      </c>
      <c r="C2893">
        <v>1</v>
      </c>
      <c r="D2893" t="s">
        <v>23629</v>
      </c>
      <c r="E2893" t="s">
        <v>23632</v>
      </c>
    </row>
    <row r="2894" spans="1:5" x14ac:dyDescent="0.25">
      <c r="A2894" s="131" t="s">
        <v>26019</v>
      </c>
      <c r="B2894" t="s">
        <v>26052</v>
      </c>
      <c r="C2894">
        <v>1</v>
      </c>
      <c r="D2894" t="s">
        <v>23629</v>
      </c>
      <c r="E2894" t="s">
        <v>23632</v>
      </c>
    </row>
    <row r="2895" spans="1:5" x14ac:dyDescent="0.25">
      <c r="A2895" s="130" t="str">
        <f>LEFT(B2895,1)</f>
        <v>J</v>
      </c>
      <c r="B2895" t="s">
        <v>28508</v>
      </c>
      <c r="C2895">
        <v>1</v>
      </c>
      <c r="D2895" t="s">
        <v>23629</v>
      </c>
      <c r="E2895" t="s">
        <v>23632</v>
      </c>
    </row>
    <row r="2896" spans="1:5" x14ac:dyDescent="0.25">
      <c r="A2896" s="130" t="str">
        <f>LEFT(B2896,1)</f>
        <v>J</v>
      </c>
      <c r="B2896" t="s">
        <v>28805</v>
      </c>
      <c r="C2896">
        <v>1</v>
      </c>
      <c r="D2896" t="s">
        <v>23629</v>
      </c>
      <c r="E2896" t="s">
        <v>23632</v>
      </c>
    </row>
    <row r="2897" spans="1:5" x14ac:dyDescent="0.25">
      <c r="A2897" s="130" t="str">
        <f>LEFT((B2897),1)</f>
        <v>J</v>
      </c>
      <c r="B2897" t="s">
        <v>26053</v>
      </c>
      <c r="C2897">
        <v>1</v>
      </c>
      <c r="D2897" t="s">
        <v>23629</v>
      </c>
      <c r="E2897" t="s">
        <v>23632</v>
      </c>
    </row>
    <row r="2898" spans="1:5" x14ac:dyDescent="0.25">
      <c r="A2898" s="131" t="s">
        <v>26019</v>
      </c>
      <c r="B2898" t="s">
        <v>26054</v>
      </c>
      <c r="C2898">
        <v>1</v>
      </c>
      <c r="D2898" t="s">
        <v>23629</v>
      </c>
      <c r="E2898" t="s">
        <v>23632</v>
      </c>
    </row>
    <row r="2899" spans="1:5" x14ac:dyDescent="0.25">
      <c r="A2899" s="130" t="s">
        <v>26019</v>
      </c>
      <c r="B2899" t="s">
        <v>26055</v>
      </c>
      <c r="C2899">
        <v>1</v>
      </c>
      <c r="D2899" t="s">
        <v>23629</v>
      </c>
      <c r="E2899" t="s">
        <v>23632</v>
      </c>
    </row>
    <row r="2900" spans="1:5" x14ac:dyDescent="0.25">
      <c r="A2900" s="131" t="str">
        <f>LEFT(B2900,1)</f>
        <v>J</v>
      </c>
      <c r="B2900" t="s">
        <v>26219</v>
      </c>
      <c r="C2900">
        <v>1</v>
      </c>
      <c r="D2900" t="s">
        <v>23629</v>
      </c>
      <c r="E2900" t="s">
        <v>23632</v>
      </c>
    </row>
    <row r="2901" spans="1:5" x14ac:dyDescent="0.25">
      <c r="A2901" s="130" t="str">
        <f>LEFT(B2901,1)</f>
        <v>J</v>
      </c>
      <c r="B2901" t="s">
        <v>28509</v>
      </c>
      <c r="C2901">
        <v>1</v>
      </c>
      <c r="D2901" t="s">
        <v>23629</v>
      </c>
      <c r="E2901" t="s">
        <v>23632</v>
      </c>
    </row>
    <row r="2902" spans="1:5" x14ac:dyDescent="0.25">
      <c r="A2902" s="131" t="s">
        <v>26019</v>
      </c>
      <c r="B2902" t="s">
        <v>26056</v>
      </c>
      <c r="C2902">
        <v>1</v>
      </c>
      <c r="D2902" t="s">
        <v>23629</v>
      </c>
      <c r="E2902" t="s">
        <v>23632</v>
      </c>
    </row>
    <row r="2903" spans="1:5" x14ac:dyDescent="0.25">
      <c r="A2903" s="131" t="s">
        <v>26019</v>
      </c>
      <c r="B2903" t="s">
        <v>26057</v>
      </c>
      <c r="C2903">
        <v>1</v>
      </c>
      <c r="D2903" t="s">
        <v>23629</v>
      </c>
      <c r="E2903" t="s">
        <v>23632</v>
      </c>
    </row>
    <row r="2904" spans="1:5" x14ac:dyDescent="0.25">
      <c r="A2904" s="131" t="s">
        <v>26019</v>
      </c>
      <c r="B2904" t="s">
        <v>26058</v>
      </c>
      <c r="C2904">
        <v>1</v>
      </c>
      <c r="D2904" t="s">
        <v>23629</v>
      </c>
      <c r="E2904" t="s">
        <v>23632</v>
      </c>
    </row>
    <row r="2905" spans="1:5" x14ac:dyDescent="0.25">
      <c r="A2905" s="130" t="s">
        <v>26019</v>
      </c>
      <c r="B2905" t="s">
        <v>26059</v>
      </c>
      <c r="C2905">
        <v>1</v>
      </c>
      <c r="D2905" t="s">
        <v>23629</v>
      </c>
      <c r="E2905" t="s">
        <v>23632</v>
      </c>
    </row>
    <row r="2906" spans="1:5" x14ac:dyDescent="0.25">
      <c r="A2906" s="131" t="s">
        <v>26019</v>
      </c>
      <c r="B2906" t="s">
        <v>26060</v>
      </c>
      <c r="C2906">
        <v>1</v>
      </c>
      <c r="D2906" t="s">
        <v>23629</v>
      </c>
      <c r="E2906" t="s">
        <v>23632</v>
      </c>
    </row>
    <row r="2907" spans="1:5" x14ac:dyDescent="0.25">
      <c r="A2907" s="130" t="s">
        <v>26019</v>
      </c>
      <c r="B2907" t="s">
        <v>26061</v>
      </c>
      <c r="C2907">
        <v>1</v>
      </c>
      <c r="D2907" t="s">
        <v>23629</v>
      </c>
      <c r="E2907" t="s">
        <v>23632</v>
      </c>
    </row>
    <row r="2908" spans="1:5" x14ac:dyDescent="0.25">
      <c r="A2908" s="131" t="s">
        <v>26019</v>
      </c>
      <c r="B2908" t="s">
        <v>26062</v>
      </c>
      <c r="C2908">
        <v>1</v>
      </c>
      <c r="D2908" t="s">
        <v>23629</v>
      </c>
      <c r="E2908" t="s">
        <v>23632</v>
      </c>
    </row>
    <row r="2909" spans="1:5" x14ac:dyDescent="0.25">
      <c r="A2909" s="131" t="str">
        <f>LEFT(B2909,1)</f>
        <v>J</v>
      </c>
      <c r="B2909" t="s">
        <v>26191</v>
      </c>
      <c r="C2909">
        <v>1</v>
      </c>
      <c r="D2909" t="s">
        <v>23629</v>
      </c>
      <c r="E2909" t="s">
        <v>23632</v>
      </c>
    </row>
    <row r="2910" spans="1:5" x14ac:dyDescent="0.25">
      <c r="A2910" s="130" t="str">
        <f>LEFT(B2910,1)</f>
        <v>J</v>
      </c>
      <c r="B2910" t="s">
        <v>28510</v>
      </c>
      <c r="C2910">
        <v>1</v>
      </c>
      <c r="D2910" t="s">
        <v>23629</v>
      </c>
      <c r="E2910" t="s">
        <v>23632</v>
      </c>
    </row>
    <row r="2911" spans="1:5" x14ac:dyDescent="0.25">
      <c r="A2911" s="130" t="s">
        <v>26019</v>
      </c>
      <c r="B2911" t="s">
        <v>26063</v>
      </c>
      <c r="C2911">
        <v>1</v>
      </c>
      <c r="D2911" t="s">
        <v>23629</v>
      </c>
      <c r="E2911" t="s">
        <v>23632</v>
      </c>
    </row>
    <row r="2912" spans="1:5" x14ac:dyDescent="0.25">
      <c r="A2912" s="131" t="s">
        <v>26019</v>
      </c>
      <c r="B2912" t="s">
        <v>26064</v>
      </c>
      <c r="C2912">
        <v>1</v>
      </c>
      <c r="D2912" t="s">
        <v>23629</v>
      </c>
      <c r="E2912" t="s">
        <v>23632</v>
      </c>
    </row>
    <row r="2913" spans="1:5" x14ac:dyDescent="0.25">
      <c r="A2913" s="130" t="s">
        <v>26019</v>
      </c>
      <c r="B2913" t="s">
        <v>26065</v>
      </c>
      <c r="C2913">
        <v>1</v>
      </c>
      <c r="D2913" t="s">
        <v>23629</v>
      </c>
      <c r="E2913" t="s">
        <v>23632</v>
      </c>
    </row>
    <row r="2914" spans="1:5" x14ac:dyDescent="0.25">
      <c r="A2914" s="130" t="s">
        <v>26019</v>
      </c>
      <c r="B2914" t="s">
        <v>26066</v>
      </c>
      <c r="C2914">
        <v>1</v>
      </c>
      <c r="D2914" t="s">
        <v>23629</v>
      </c>
      <c r="E2914" t="s">
        <v>23632</v>
      </c>
    </row>
    <row r="2915" spans="1:5" x14ac:dyDescent="0.25">
      <c r="A2915" s="130" t="str">
        <f>LEFT(B2915,1)</f>
        <v>J</v>
      </c>
      <c r="B2915" t="s">
        <v>29060</v>
      </c>
      <c r="C2915">
        <v>1</v>
      </c>
      <c r="D2915" t="s">
        <v>23629</v>
      </c>
      <c r="E2915" t="s">
        <v>23632</v>
      </c>
    </row>
    <row r="2916" spans="1:5" x14ac:dyDescent="0.25">
      <c r="A2916" s="130" t="str">
        <f>LEFT(B2916,1)</f>
        <v>J</v>
      </c>
      <c r="B2916" t="s">
        <v>26192</v>
      </c>
      <c r="C2916">
        <v>1</v>
      </c>
      <c r="D2916" t="s">
        <v>23629</v>
      </c>
      <c r="E2916" t="s">
        <v>23632</v>
      </c>
    </row>
    <row r="2917" spans="1:5" x14ac:dyDescent="0.25">
      <c r="A2917" s="131" t="s">
        <v>26019</v>
      </c>
      <c r="B2917" t="s">
        <v>26067</v>
      </c>
      <c r="C2917">
        <v>1</v>
      </c>
      <c r="D2917" t="s">
        <v>23629</v>
      </c>
      <c r="E2917" t="s">
        <v>23632</v>
      </c>
    </row>
    <row r="2918" spans="1:5" x14ac:dyDescent="0.25">
      <c r="A2918" s="130" t="str">
        <f>LEFT(B2918,1)</f>
        <v>J</v>
      </c>
      <c r="B2918" t="s">
        <v>26220</v>
      </c>
      <c r="C2918">
        <v>1</v>
      </c>
      <c r="D2918" t="s">
        <v>23629</v>
      </c>
      <c r="E2918" t="s">
        <v>23632</v>
      </c>
    </row>
    <row r="2919" spans="1:5" x14ac:dyDescent="0.25">
      <c r="A2919" s="131" t="str">
        <f>LEFT(B2919,1)</f>
        <v>J</v>
      </c>
      <c r="B2919" t="s">
        <v>26193</v>
      </c>
      <c r="C2919">
        <v>1</v>
      </c>
      <c r="D2919" t="s">
        <v>23629</v>
      </c>
      <c r="E2919" t="s">
        <v>23632</v>
      </c>
    </row>
    <row r="2920" spans="1:5" x14ac:dyDescent="0.25">
      <c r="A2920" s="131" t="str">
        <f>LEFT(B2920,1)</f>
        <v>J</v>
      </c>
      <c r="B2920" t="s">
        <v>26221</v>
      </c>
      <c r="C2920">
        <v>1</v>
      </c>
      <c r="D2920" t="s">
        <v>23629</v>
      </c>
      <c r="E2920" t="s">
        <v>23632</v>
      </c>
    </row>
    <row r="2921" spans="1:5" x14ac:dyDescent="0.25">
      <c r="A2921" s="130" t="s">
        <v>26019</v>
      </c>
      <c r="B2921" t="s">
        <v>26068</v>
      </c>
      <c r="C2921">
        <v>1</v>
      </c>
      <c r="D2921" t="s">
        <v>23629</v>
      </c>
      <c r="E2921" t="s">
        <v>23632</v>
      </c>
    </row>
    <row r="2922" spans="1:5" x14ac:dyDescent="0.25">
      <c r="A2922" s="131" t="s">
        <v>26019</v>
      </c>
      <c r="B2922" t="s">
        <v>26069</v>
      </c>
      <c r="C2922">
        <v>1</v>
      </c>
      <c r="D2922" t="s">
        <v>23629</v>
      </c>
      <c r="E2922" t="s">
        <v>23632</v>
      </c>
    </row>
    <row r="2923" spans="1:5" x14ac:dyDescent="0.25">
      <c r="A2923" s="131" t="s">
        <v>26019</v>
      </c>
      <c r="B2923" t="s">
        <v>26070</v>
      </c>
      <c r="C2923">
        <v>1</v>
      </c>
      <c r="D2923" t="s">
        <v>23629</v>
      </c>
      <c r="E2923" t="s">
        <v>23632</v>
      </c>
    </row>
    <row r="2924" spans="1:5" x14ac:dyDescent="0.25">
      <c r="A2924" s="131" t="str">
        <f>LEFT((B2924),1)</f>
        <v>J</v>
      </c>
      <c r="B2924" t="s">
        <v>26071</v>
      </c>
      <c r="C2924">
        <v>1</v>
      </c>
      <c r="D2924" t="s">
        <v>23629</v>
      </c>
      <c r="E2924" t="s">
        <v>23632</v>
      </c>
    </row>
    <row r="2925" spans="1:5" x14ac:dyDescent="0.25">
      <c r="A2925" s="130" t="str">
        <f>LEFT(B2925,1)</f>
        <v>J</v>
      </c>
      <c r="B2925" t="s">
        <v>28806</v>
      </c>
      <c r="C2925">
        <v>1</v>
      </c>
      <c r="D2925" t="s">
        <v>23629</v>
      </c>
      <c r="E2925" t="s">
        <v>23632</v>
      </c>
    </row>
    <row r="2926" spans="1:5" x14ac:dyDescent="0.25">
      <c r="A2926" s="131" t="s">
        <v>26019</v>
      </c>
      <c r="B2926" t="s">
        <v>26072</v>
      </c>
      <c r="C2926">
        <v>1</v>
      </c>
      <c r="D2926" t="s">
        <v>23629</v>
      </c>
      <c r="E2926" t="s">
        <v>23632</v>
      </c>
    </row>
    <row r="2927" spans="1:5" x14ac:dyDescent="0.25">
      <c r="A2927" s="131" t="s">
        <v>26019</v>
      </c>
      <c r="B2927" t="s">
        <v>26073</v>
      </c>
      <c r="C2927">
        <v>1</v>
      </c>
      <c r="D2927" t="s">
        <v>23629</v>
      </c>
      <c r="E2927" t="s">
        <v>23632</v>
      </c>
    </row>
    <row r="2928" spans="1:5" x14ac:dyDescent="0.25">
      <c r="A2928" s="131" t="s">
        <v>26019</v>
      </c>
      <c r="B2928" t="s">
        <v>26074</v>
      </c>
      <c r="C2928">
        <v>1</v>
      </c>
      <c r="D2928" t="s">
        <v>23629</v>
      </c>
      <c r="E2928" t="s">
        <v>23632</v>
      </c>
    </row>
    <row r="2929" spans="1:5" x14ac:dyDescent="0.25">
      <c r="A2929" s="131" t="s">
        <v>26019</v>
      </c>
      <c r="B2929" t="s">
        <v>26075</v>
      </c>
      <c r="C2929">
        <v>1</v>
      </c>
      <c r="D2929" t="s">
        <v>23629</v>
      </c>
      <c r="E2929" t="s">
        <v>23632</v>
      </c>
    </row>
    <row r="2930" spans="1:5" x14ac:dyDescent="0.25">
      <c r="A2930" s="131" t="s">
        <v>26019</v>
      </c>
      <c r="B2930" t="s">
        <v>26076</v>
      </c>
      <c r="C2930">
        <v>1</v>
      </c>
      <c r="D2930" t="s">
        <v>23629</v>
      </c>
      <c r="E2930" t="s">
        <v>23632</v>
      </c>
    </row>
    <row r="2931" spans="1:5" x14ac:dyDescent="0.25">
      <c r="A2931" s="130" t="s">
        <v>26019</v>
      </c>
      <c r="B2931" t="s">
        <v>26077</v>
      </c>
      <c r="C2931">
        <v>1</v>
      </c>
      <c r="D2931" t="s">
        <v>23629</v>
      </c>
      <c r="E2931" t="s">
        <v>23632</v>
      </c>
    </row>
    <row r="2932" spans="1:5" x14ac:dyDescent="0.25">
      <c r="A2932" s="130" t="str">
        <f>LEFT(B2932,1)</f>
        <v>J</v>
      </c>
      <c r="B2932" t="s">
        <v>29245</v>
      </c>
      <c r="C2932">
        <v>1</v>
      </c>
      <c r="D2932" t="s">
        <v>23629</v>
      </c>
      <c r="E2932" t="s">
        <v>23632</v>
      </c>
    </row>
    <row r="2933" spans="1:5" x14ac:dyDescent="0.25">
      <c r="A2933" s="131" t="s">
        <v>26019</v>
      </c>
      <c r="B2933" t="s">
        <v>26078</v>
      </c>
      <c r="C2933">
        <v>1</v>
      </c>
      <c r="D2933" t="s">
        <v>23629</v>
      </c>
      <c r="E2933" t="s">
        <v>23632</v>
      </c>
    </row>
    <row r="2934" spans="1:5" x14ac:dyDescent="0.25">
      <c r="A2934" s="130" t="s">
        <v>26019</v>
      </c>
      <c r="B2934" t="s">
        <v>26079</v>
      </c>
      <c r="C2934">
        <v>1</v>
      </c>
      <c r="D2934" t="s">
        <v>23629</v>
      </c>
      <c r="E2934" t="s">
        <v>23632</v>
      </c>
    </row>
    <row r="2935" spans="1:5" x14ac:dyDescent="0.25">
      <c r="A2935" s="131" t="s">
        <v>26019</v>
      </c>
      <c r="B2935" t="s">
        <v>26080</v>
      </c>
      <c r="C2935">
        <v>1</v>
      </c>
      <c r="D2935" t="s">
        <v>23629</v>
      </c>
      <c r="E2935" t="s">
        <v>23632</v>
      </c>
    </row>
    <row r="2936" spans="1:5" x14ac:dyDescent="0.25">
      <c r="A2936" s="130" t="str">
        <f>LEFT(B2936,1)</f>
        <v>J</v>
      </c>
      <c r="B2936" t="s">
        <v>29061</v>
      </c>
      <c r="C2936">
        <v>1</v>
      </c>
      <c r="D2936" t="s">
        <v>23629</v>
      </c>
      <c r="E2936" t="s">
        <v>23632</v>
      </c>
    </row>
    <row r="2937" spans="1:5" x14ac:dyDescent="0.25">
      <c r="A2937" s="130" t="str">
        <f>LEFT((B2937),1)</f>
        <v>J</v>
      </c>
      <c r="B2937" t="s">
        <v>26081</v>
      </c>
      <c r="C2937">
        <v>1</v>
      </c>
      <c r="D2937" t="s">
        <v>23629</v>
      </c>
      <c r="E2937" t="s">
        <v>23632</v>
      </c>
    </row>
    <row r="2938" spans="1:5" x14ac:dyDescent="0.25">
      <c r="A2938" s="130" t="s">
        <v>26019</v>
      </c>
      <c r="B2938" t="s">
        <v>26082</v>
      </c>
      <c r="C2938">
        <v>1</v>
      </c>
      <c r="D2938" t="s">
        <v>23629</v>
      </c>
      <c r="E2938" t="s">
        <v>23632</v>
      </c>
    </row>
    <row r="2939" spans="1:5" x14ac:dyDescent="0.25">
      <c r="A2939" s="131" t="s">
        <v>26019</v>
      </c>
      <c r="B2939" t="s">
        <v>26083</v>
      </c>
      <c r="C2939">
        <v>1</v>
      </c>
      <c r="D2939" t="s">
        <v>23629</v>
      </c>
      <c r="E2939" t="s">
        <v>23632</v>
      </c>
    </row>
    <row r="2940" spans="1:5" x14ac:dyDescent="0.25">
      <c r="A2940" s="131" t="s">
        <v>26019</v>
      </c>
      <c r="B2940" t="s">
        <v>26084</v>
      </c>
      <c r="C2940">
        <v>1</v>
      </c>
      <c r="D2940" t="s">
        <v>23629</v>
      </c>
      <c r="E2940" t="s">
        <v>23632</v>
      </c>
    </row>
    <row r="2941" spans="1:5" x14ac:dyDescent="0.25">
      <c r="A2941" s="131" t="str">
        <f>LEFT((B2941),1)</f>
        <v>J</v>
      </c>
      <c r="B2941" t="s">
        <v>26085</v>
      </c>
      <c r="C2941">
        <v>1</v>
      </c>
      <c r="D2941" t="s">
        <v>23629</v>
      </c>
      <c r="E2941" t="s">
        <v>23632</v>
      </c>
    </row>
    <row r="2942" spans="1:5" x14ac:dyDescent="0.25">
      <c r="A2942" s="131" t="s">
        <v>26019</v>
      </c>
      <c r="B2942" t="s">
        <v>26086</v>
      </c>
      <c r="C2942">
        <v>1</v>
      </c>
      <c r="D2942" t="s">
        <v>23629</v>
      </c>
      <c r="E2942" t="s">
        <v>23632</v>
      </c>
    </row>
    <row r="2943" spans="1:5" x14ac:dyDescent="0.25">
      <c r="A2943" s="130" t="str">
        <f>LEFT(B2943,1)</f>
        <v>J</v>
      </c>
      <c r="B2943" t="s">
        <v>26200</v>
      </c>
      <c r="C2943">
        <v>1</v>
      </c>
      <c r="D2943" t="s">
        <v>23629</v>
      </c>
      <c r="E2943" t="s">
        <v>23632</v>
      </c>
    </row>
    <row r="2944" spans="1:5" x14ac:dyDescent="0.25">
      <c r="A2944" s="130" t="s">
        <v>26019</v>
      </c>
      <c r="B2944" t="s">
        <v>26087</v>
      </c>
      <c r="C2944">
        <v>1</v>
      </c>
      <c r="D2944" t="s">
        <v>23629</v>
      </c>
      <c r="E2944" t="s">
        <v>23632</v>
      </c>
    </row>
    <row r="2945" spans="1:5" x14ac:dyDescent="0.25">
      <c r="A2945" s="130" t="str">
        <f>LEFT(B2945,1)</f>
        <v>J</v>
      </c>
      <c r="B2945" t="s">
        <v>26201</v>
      </c>
      <c r="C2945">
        <v>1</v>
      </c>
      <c r="D2945" t="s">
        <v>23629</v>
      </c>
      <c r="E2945" t="s">
        <v>23632</v>
      </c>
    </row>
    <row r="2946" spans="1:5" x14ac:dyDescent="0.25">
      <c r="A2946" s="130" t="str">
        <f>LEFT(B2946,1)</f>
        <v>J</v>
      </c>
      <c r="B2946" t="s">
        <v>26194</v>
      </c>
      <c r="C2946">
        <v>1</v>
      </c>
      <c r="D2946" t="s">
        <v>23629</v>
      </c>
      <c r="E2946" t="s">
        <v>23632</v>
      </c>
    </row>
    <row r="2947" spans="1:5" x14ac:dyDescent="0.25">
      <c r="A2947" s="131" t="s">
        <v>26019</v>
      </c>
      <c r="B2947" t="s">
        <v>26088</v>
      </c>
      <c r="C2947">
        <v>1</v>
      </c>
      <c r="D2947" t="s">
        <v>23629</v>
      </c>
      <c r="E2947" t="s">
        <v>23632</v>
      </c>
    </row>
    <row r="2948" spans="1:5" x14ac:dyDescent="0.25">
      <c r="A2948" s="131" t="s">
        <v>26019</v>
      </c>
      <c r="B2948" t="s">
        <v>26089</v>
      </c>
      <c r="C2948">
        <v>1</v>
      </c>
      <c r="D2948" t="s">
        <v>23629</v>
      </c>
      <c r="E2948" t="s">
        <v>23632</v>
      </c>
    </row>
    <row r="2949" spans="1:5" x14ac:dyDescent="0.25">
      <c r="A2949" s="130" t="str">
        <f>LEFT(B2949,1)</f>
        <v>J</v>
      </c>
      <c r="B2949" t="s">
        <v>29062</v>
      </c>
      <c r="C2949">
        <v>1</v>
      </c>
      <c r="D2949" t="s">
        <v>23629</v>
      </c>
      <c r="E2949" t="s">
        <v>23632</v>
      </c>
    </row>
    <row r="2950" spans="1:5" x14ac:dyDescent="0.25">
      <c r="A2950" s="131" t="s">
        <v>26019</v>
      </c>
      <c r="B2950" t="s">
        <v>26090</v>
      </c>
      <c r="C2950">
        <v>1</v>
      </c>
      <c r="D2950" t="s">
        <v>23629</v>
      </c>
      <c r="E2950" t="s">
        <v>23632</v>
      </c>
    </row>
    <row r="2951" spans="1:5" x14ac:dyDescent="0.25">
      <c r="A2951" s="131" t="s">
        <v>26019</v>
      </c>
      <c r="B2951" t="s">
        <v>26091</v>
      </c>
      <c r="C2951">
        <v>1</v>
      </c>
      <c r="D2951" t="s">
        <v>23629</v>
      </c>
      <c r="E2951" t="s">
        <v>23632</v>
      </c>
    </row>
    <row r="2952" spans="1:5" x14ac:dyDescent="0.25">
      <c r="A2952" s="130" t="str">
        <f>LEFT((B2952),1)</f>
        <v>J</v>
      </c>
      <c r="B2952" t="s">
        <v>26092</v>
      </c>
      <c r="C2952">
        <v>1</v>
      </c>
      <c r="D2952" t="s">
        <v>23629</v>
      </c>
      <c r="E2952" t="s">
        <v>23632</v>
      </c>
    </row>
    <row r="2953" spans="1:5" x14ac:dyDescent="0.25">
      <c r="A2953" s="130" t="str">
        <f>LEFT(B2953,1)</f>
        <v>J</v>
      </c>
      <c r="B2953" t="s">
        <v>28511</v>
      </c>
      <c r="C2953">
        <v>1</v>
      </c>
      <c r="D2953" t="s">
        <v>23629</v>
      </c>
      <c r="E2953" t="s">
        <v>23632</v>
      </c>
    </row>
    <row r="2954" spans="1:5" x14ac:dyDescent="0.25">
      <c r="A2954" s="131" t="s">
        <v>26019</v>
      </c>
      <c r="B2954" t="s">
        <v>26093</v>
      </c>
      <c r="C2954">
        <v>1</v>
      </c>
      <c r="D2954" t="s">
        <v>23629</v>
      </c>
      <c r="E2954" t="s">
        <v>23632</v>
      </c>
    </row>
    <row r="2955" spans="1:5" x14ac:dyDescent="0.25">
      <c r="A2955" s="130" t="str">
        <f>LEFT(B2955,1)</f>
        <v>J</v>
      </c>
      <c r="B2955" t="s">
        <v>28512</v>
      </c>
      <c r="C2955">
        <v>1</v>
      </c>
      <c r="D2955" t="s">
        <v>23629</v>
      </c>
      <c r="E2955" t="s">
        <v>23632</v>
      </c>
    </row>
    <row r="2956" spans="1:5" x14ac:dyDescent="0.25">
      <c r="A2956" s="131" t="s">
        <v>26019</v>
      </c>
      <c r="B2956" t="s">
        <v>26094</v>
      </c>
      <c r="C2956">
        <v>1</v>
      </c>
      <c r="D2956" t="s">
        <v>23629</v>
      </c>
      <c r="E2956" t="s">
        <v>23632</v>
      </c>
    </row>
    <row r="2957" spans="1:5" x14ac:dyDescent="0.25">
      <c r="A2957" s="131" t="s">
        <v>26019</v>
      </c>
      <c r="B2957" t="s">
        <v>26095</v>
      </c>
      <c r="C2957">
        <v>1</v>
      </c>
      <c r="D2957" t="s">
        <v>23629</v>
      </c>
      <c r="E2957" t="s">
        <v>23632</v>
      </c>
    </row>
    <row r="2958" spans="1:5" x14ac:dyDescent="0.25">
      <c r="A2958" s="130" t="s">
        <v>26019</v>
      </c>
      <c r="B2958" t="s">
        <v>26096</v>
      </c>
      <c r="C2958">
        <v>1</v>
      </c>
      <c r="D2958" t="s">
        <v>23629</v>
      </c>
      <c r="E2958" t="s">
        <v>23632</v>
      </c>
    </row>
    <row r="2959" spans="1:5" x14ac:dyDescent="0.25">
      <c r="A2959" s="131" t="s">
        <v>26019</v>
      </c>
      <c r="B2959" t="s">
        <v>26097</v>
      </c>
      <c r="C2959">
        <v>1</v>
      </c>
      <c r="D2959" t="s">
        <v>23629</v>
      </c>
      <c r="E2959" t="s">
        <v>23632</v>
      </c>
    </row>
    <row r="2960" spans="1:5" x14ac:dyDescent="0.25">
      <c r="A2960" s="130" t="s">
        <v>26019</v>
      </c>
      <c r="B2960" t="s">
        <v>26098</v>
      </c>
      <c r="C2960">
        <v>1</v>
      </c>
      <c r="D2960" t="s">
        <v>23629</v>
      </c>
      <c r="E2960" t="s">
        <v>23632</v>
      </c>
    </row>
    <row r="2961" spans="1:5" x14ac:dyDescent="0.25">
      <c r="A2961" s="130" t="s">
        <v>26019</v>
      </c>
      <c r="B2961" t="s">
        <v>26099</v>
      </c>
      <c r="C2961">
        <v>1</v>
      </c>
      <c r="D2961" t="s">
        <v>23629</v>
      </c>
      <c r="E2961" t="s">
        <v>23632</v>
      </c>
    </row>
    <row r="2962" spans="1:5" x14ac:dyDescent="0.25">
      <c r="A2962" s="131" t="s">
        <v>26019</v>
      </c>
      <c r="B2962" t="s">
        <v>26100</v>
      </c>
      <c r="C2962">
        <v>1</v>
      </c>
      <c r="D2962" t="s">
        <v>23629</v>
      </c>
      <c r="E2962" t="s">
        <v>23632</v>
      </c>
    </row>
    <row r="2963" spans="1:5" x14ac:dyDescent="0.25">
      <c r="A2963" s="130" t="s">
        <v>26019</v>
      </c>
      <c r="B2963" t="s">
        <v>26101</v>
      </c>
      <c r="C2963">
        <v>1</v>
      </c>
      <c r="D2963" t="s">
        <v>23629</v>
      </c>
      <c r="E2963" t="s">
        <v>23632</v>
      </c>
    </row>
    <row r="2964" spans="1:5" x14ac:dyDescent="0.25">
      <c r="A2964" s="130" t="str">
        <f>LEFT(B2964,1)</f>
        <v>J</v>
      </c>
      <c r="B2964" t="s">
        <v>26202</v>
      </c>
      <c r="C2964">
        <v>1</v>
      </c>
      <c r="D2964" t="s">
        <v>23629</v>
      </c>
      <c r="E2964" t="s">
        <v>23632</v>
      </c>
    </row>
    <row r="2965" spans="1:5" x14ac:dyDescent="0.25">
      <c r="A2965" s="130" t="str">
        <f>LEFT(B2965,1)</f>
        <v>J</v>
      </c>
      <c r="B2965" t="s">
        <v>26222</v>
      </c>
      <c r="C2965">
        <v>1</v>
      </c>
      <c r="D2965" t="s">
        <v>23629</v>
      </c>
      <c r="E2965" t="s">
        <v>23632</v>
      </c>
    </row>
    <row r="2966" spans="1:5" x14ac:dyDescent="0.25">
      <c r="A2966" s="130" t="s">
        <v>26019</v>
      </c>
      <c r="B2966" t="s">
        <v>26102</v>
      </c>
      <c r="C2966">
        <v>1</v>
      </c>
      <c r="D2966" t="s">
        <v>23629</v>
      </c>
      <c r="E2966" t="s">
        <v>23632</v>
      </c>
    </row>
    <row r="2967" spans="1:5" x14ac:dyDescent="0.25">
      <c r="A2967" s="130" t="str">
        <f>LEFT(B2967,1)</f>
        <v>J</v>
      </c>
      <c r="B2967" t="s">
        <v>28513</v>
      </c>
      <c r="C2967">
        <v>1</v>
      </c>
      <c r="D2967" t="s">
        <v>23629</v>
      </c>
      <c r="E2967" t="s">
        <v>23632</v>
      </c>
    </row>
    <row r="2968" spans="1:5" x14ac:dyDescent="0.25">
      <c r="A2968" s="131" t="s">
        <v>26019</v>
      </c>
      <c r="B2968" t="s">
        <v>26103</v>
      </c>
      <c r="C2968">
        <v>1</v>
      </c>
      <c r="D2968" t="s">
        <v>23629</v>
      </c>
      <c r="E2968" t="s">
        <v>23632</v>
      </c>
    </row>
    <row r="2969" spans="1:5" x14ac:dyDescent="0.25">
      <c r="A2969" s="131" t="s">
        <v>26019</v>
      </c>
      <c r="B2969" t="s">
        <v>26104</v>
      </c>
      <c r="C2969">
        <v>1</v>
      </c>
      <c r="D2969" t="s">
        <v>23629</v>
      </c>
      <c r="E2969" t="s">
        <v>23632</v>
      </c>
    </row>
    <row r="2970" spans="1:5" x14ac:dyDescent="0.25">
      <c r="A2970" s="130" t="str">
        <f>LEFT(B2970,1)</f>
        <v>J</v>
      </c>
      <c r="B2970" t="s">
        <v>29063</v>
      </c>
      <c r="C2970">
        <v>1</v>
      </c>
      <c r="D2970" t="s">
        <v>23629</v>
      </c>
      <c r="E2970" t="s">
        <v>23632</v>
      </c>
    </row>
    <row r="2971" spans="1:5" x14ac:dyDescent="0.25">
      <c r="A2971" s="130" t="s">
        <v>26019</v>
      </c>
      <c r="B2971" t="s">
        <v>26105</v>
      </c>
      <c r="C2971">
        <v>1</v>
      </c>
      <c r="D2971" t="s">
        <v>23629</v>
      </c>
      <c r="E2971" t="s">
        <v>23632</v>
      </c>
    </row>
    <row r="2972" spans="1:5" x14ac:dyDescent="0.25">
      <c r="A2972" s="131" t="s">
        <v>26019</v>
      </c>
      <c r="B2972" t="s">
        <v>26106</v>
      </c>
      <c r="C2972">
        <v>1</v>
      </c>
      <c r="D2972" t="s">
        <v>23629</v>
      </c>
      <c r="E2972" t="s">
        <v>23632</v>
      </c>
    </row>
    <row r="2973" spans="1:5" x14ac:dyDescent="0.25">
      <c r="A2973" s="130" t="s">
        <v>26019</v>
      </c>
      <c r="B2973" t="s">
        <v>26107</v>
      </c>
      <c r="C2973">
        <v>1</v>
      </c>
      <c r="D2973" t="s">
        <v>23629</v>
      </c>
      <c r="E2973" t="s">
        <v>23632</v>
      </c>
    </row>
    <row r="2974" spans="1:5" x14ac:dyDescent="0.25">
      <c r="A2974" s="131" t="s">
        <v>26019</v>
      </c>
      <c r="B2974" t="s">
        <v>26108</v>
      </c>
      <c r="C2974">
        <v>1</v>
      </c>
      <c r="D2974" t="s">
        <v>23629</v>
      </c>
      <c r="E2974" t="s">
        <v>23632</v>
      </c>
    </row>
    <row r="2975" spans="1:5" x14ac:dyDescent="0.25">
      <c r="A2975" s="131" t="str">
        <f>LEFT(B2975,1)</f>
        <v>J</v>
      </c>
      <c r="B2975" t="s">
        <v>26223</v>
      </c>
      <c r="C2975">
        <v>1</v>
      </c>
      <c r="D2975" t="s">
        <v>23629</v>
      </c>
      <c r="E2975" t="s">
        <v>23632</v>
      </c>
    </row>
    <row r="2976" spans="1:5" x14ac:dyDescent="0.25">
      <c r="A2976" s="130" t="s">
        <v>26019</v>
      </c>
      <c r="B2976" t="s">
        <v>26109</v>
      </c>
      <c r="C2976">
        <v>1</v>
      </c>
      <c r="D2976" t="s">
        <v>23629</v>
      </c>
      <c r="E2976" t="s">
        <v>23632</v>
      </c>
    </row>
    <row r="2977" spans="1:5" x14ac:dyDescent="0.25">
      <c r="A2977" s="131" t="str">
        <f>LEFT((B2977),1)</f>
        <v>J</v>
      </c>
      <c r="B2977" t="s">
        <v>26110</v>
      </c>
      <c r="C2977">
        <v>1</v>
      </c>
      <c r="D2977" t="s">
        <v>23629</v>
      </c>
      <c r="E2977" t="s">
        <v>23632</v>
      </c>
    </row>
    <row r="2978" spans="1:5" x14ac:dyDescent="0.25">
      <c r="A2978" s="131" t="s">
        <v>26019</v>
      </c>
      <c r="B2978" t="s">
        <v>26111</v>
      </c>
      <c r="C2978">
        <v>1</v>
      </c>
      <c r="D2978" t="s">
        <v>23629</v>
      </c>
      <c r="E2978" t="s">
        <v>23632</v>
      </c>
    </row>
    <row r="2979" spans="1:5" x14ac:dyDescent="0.25">
      <c r="A2979" s="130" t="s">
        <v>26019</v>
      </c>
      <c r="B2979" t="s">
        <v>26112</v>
      </c>
      <c r="C2979">
        <v>1</v>
      </c>
      <c r="D2979" t="s">
        <v>23629</v>
      </c>
      <c r="E2979" t="s">
        <v>23632</v>
      </c>
    </row>
    <row r="2980" spans="1:5" x14ac:dyDescent="0.25">
      <c r="A2980" s="131" t="s">
        <v>26019</v>
      </c>
      <c r="B2980" t="s">
        <v>26113</v>
      </c>
      <c r="C2980">
        <v>1</v>
      </c>
      <c r="D2980" t="s">
        <v>23629</v>
      </c>
      <c r="E2980" t="s">
        <v>23632</v>
      </c>
    </row>
    <row r="2981" spans="1:5" x14ac:dyDescent="0.25">
      <c r="A2981" s="131" t="s">
        <v>26019</v>
      </c>
      <c r="B2981" t="s">
        <v>26114</v>
      </c>
      <c r="C2981">
        <v>1</v>
      </c>
      <c r="D2981" t="s">
        <v>23629</v>
      </c>
      <c r="E2981" t="s">
        <v>23632</v>
      </c>
    </row>
    <row r="2982" spans="1:5" x14ac:dyDescent="0.25">
      <c r="A2982" s="130" t="s">
        <v>26019</v>
      </c>
      <c r="B2982" t="s">
        <v>26115</v>
      </c>
      <c r="C2982">
        <v>1</v>
      </c>
      <c r="D2982" t="s">
        <v>23629</v>
      </c>
      <c r="E2982" t="s">
        <v>23632</v>
      </c>
    </row>
    <row r="2983" spans="1:5" x14ac:dyDescent="0.25">
      <c r="A2983" s="131" t="s">
        <v>26019</v>
      </c>
      <c r="B2983" t="s">
        <v>26116</v>
      </c>
      <c r="C2983">
        <v>1</v>
      </c>
      <c r="D2983" t="s">
        <v>23629</v>
      </c>
      <c r="E2983" t="s">
        <v>23632</v>
      </c>
    </row>
    <row r="2984" spans="1:5" x14ac:dyDescent="0.25">
      <c r="A2984" s="131" t="s">
        <v>26019</v>
      </c>
      <c r="B2984" t="s">
        <v>26117</v>
      </c>
      <c r="C2984">
        <v>1</v>
      </c>
      <c r="D2984" t="s">
        <v>23629</v>
      </c>
      <c r="E2984" t="s">
        <v>23632</v>
      </c>
    </row>
    <row r="2985" spans="1:5" x14ac:dyDescent="0.25">
      <c r="A2985" s="130" t="s">
        <v>26019</v>
      </c>
      <c r="B2985" t="s">
        <v>26118</v>
      </c>
      <c r="C2985">
        <v>1</v>
      </c>
      <c r="D2985" t="s">
        <v>23629</v>
      </c>
      <c r="E2985" t="s">
        <v>23632</v>
      </c>
    </row>
    <row r="2986" spans="1:5" x14ac:dyDescent="0.25">
      <c r="A2986" s="130" t="str">
        <f>LEFT(B2986,1)</f>
        <v>J</v>
      </c>
      <c r="B2986" t="s">
        <v>29246</v>
      </c>
      <c r="C2986">
        <v>1</v>
      </c>
      <c r="D2986" t="s">
        <v>23629</v>
      </c>
      <c r="E2986" t="s">
        <v>23632</v>
      </c>
    </row>
    <row r="2987" spans="1:5" x14ac:dyDescent="0.25">
      <c r="A2987" s="130" t="s">
        <v>26019</v>
      </c>
      <c r="B2987" t="s">
        <v>26119</v>
      </c>
      <c r="C2987">
        <v>1</v>
      </c>
      <c r="D2987" t="s">
        <v>23629</v>
      </c>
      <c r="E2987" t="s">
        <v>23632</v>
      </c>
    </row>
    <row r="2988" spans="1:5" x14ac:dyDescent="0.25">
      <c r="A2988" s="131" t="s">
        <v>26019</v>
      </c>
      <c r="B2988" t="s">
        <v>26120</v>
      </c>
      <c r="C2988">
        <v>1</v>
      </c>
      <c r="D2988" t="s">
        <v>23629</v>
      </c>
      <c r="E2988" t="s">
        <v>23632</v>
      </c>
    </row>
    <row r="2989" spans="1:5" x14ac:dyDescent="0.25">
      <c r="A2989" s="130" t="str">
        <f>LEFT(B2989,1)</f>
        <v>J</v>
      </c>
      <c r="B2989" t="s">
        <v>29064</v>
      </c>
      <c r="C2989">
        <v>1</v>
      </c>
      <c r="D2989" t="s">
        <v>23629</v>
      </c>
      <c r="E2989" t="s">
        <v>23632</v>
      </c>
    </row>
    <row r="2990" spans="1:5" x14ac:dyDescent="0.25">
      <c r="A2990" s="130" t="s">
        <v>26019</v>
      </c>
      <c r="B2990" t="s">
        <v>26121</v>
      </c>
      <c r="C2990">
        <v>1</v>
      </c>
      <c r="D2990" t="s">
        <v>23629</v>
      </c>
      <c r="E2990" t="s">
        <v>23632</v>
      </c>
    </row>
    <row r="2991" spans="1:5" x14ac:dyDescent="0.25">
      <c r="A2991" s="130" t="s">
        <v>26019</v>
      </c>
      <c r="B2991" t="s">
        <v>26122</v>
      </c>
      <c r="C2991">
        <v>1</v>
      </c>
      <c r="D2991" t="s">
        <v>23629</v>
      </c>
      <c r="E2991" t="s">
        <v>23632</v>
      </c>
    </row>
    <row r="2992" spans="1:5" x14ac:dyDescent="0.25">
      <c r="A2992" s="131" t="s">
        <v>26019</v>
      </c>
      <c r="B2992" t="s">
        <v>26123</v>
      </c>
      <c r="C2992">
        <v>1</v>
      </c>
      <c r="D2992" t="s">
        <v>23629</v>
      </c>
      <c r="E2992" t="s">
        <v>23632</v>
      </c>
    </row>
    <row r="2993" spans="1:5" x14ac:dyDescent="0.25">
      <c r="A2993" s="130" t="s">
        <v>26019</v>
      </c>
      <c r="B2993" t="s">
        <v>26124</v>
      </c>
      <c r="C2993">
        <v>1</v>
      </c>
      <c r="D2993" t="s">
        <v>23629</v>
      </c>
      <c r="E2993" t="s">
        <v>23632</v>
      </c>
    </row>
    <row r="2994" spans="1:5" x14ac:dyDescent="0.25">
      <c r="A2994" s="130" t="str">
        <f>LEFT((B2994),1)</f>
        <v>J</v>
      </c>
      <c r="B2994" t="s">
        <v>26125</v>
      </c>
      <c r="C2994">
        <v>1</v>
      </c>
      <c r="D2994" t="s">
        <v>23629</v>
      </c>
      <c r="E2994" t="s">
        <v>23632</v>
      </c>
    </row>
    <row r="2995" spans="1:5" x14ac:dyDescent="0.25">
      <c r="A2995" s="131" t="s">
        <v>26019</v>
      </c>
      <c r="B2995" t="s">
        <v>26126</v>
      </c>
      <c r="C2995">
        <v>1</v>
      </c>
      <c r="D2995" t="s">
        <v>23629</v>
      </c>
      <c r="E2995" t="s">
        <v>23632</v>
      </c>
    </row>
    <row r="2996" spans="1:5" x14ac:dyDescent="0.25">
      <c r="A2996" s="131" t="s">
        <v>26019</v>
      </c>
      <c r="B2996" t="s">
        <v>26127</v>
      </c>
      <c r="C2996">
        <v>1</v>
      </c>
      <c r="D2996" t="s">
        <v>23629</v>
      </c>
      <c r="E2996" t="s">
        <v>23632</v>
      </c>
    </row>
    <row r="2997" spans="1:5" x14ac:dyDescent="0.25">
      <c r="A2997" s="131" t="s">
        <v>26019</v>
      </c>
      <c r="B2997" t="s">
        <v>26128</v>
      </c>
      <c r="C2997">
        <v>1</v>
      </c>
      <c r="D2997" t="s">
        <v>23629</v>
      </c>
      <c r="E2997" t="s">
        <v>23632</v>
      </c>
    </row>
    <row r="2998" spans="1:5" x14ac:dyDescent="0.25">
      <c r="A2998" s="130" t="s">
        <v>26019</v>
      </c>
      <c r="B2998" t="s">
        <v>26129</v>
      </c>
      <c r="C2998">
        <v>1</v>
      </c>
      <c r="D2998" t="s">
        <v>23629</v>
      </c>
      <c r="E2998" t="s">
        <v>23632</v>
      </c>
    </row>
    <row r="2999" spans="1:5" x14ac:dyDescent="0.25">
      <c r="A2999" s="131" t="s">
        <v>26019</v>
      </c>
      <c r="B2999" t="s">
        <v>26130</v>
      </c>
      <c r="C2999">
        <v>1</v>
      </c>
      <c r="D2999" t="s">
        <v>23629</v>
      </c>
      <c r="E2999" t="s">
        <v>23632</v>
      </c>
    </row>
    <row r="3000" spans="1:5" x14ac:dyDescent="0.25">
      <c r="A3000" s="130" t="str">
        <f>LEFT(B3000,1)</f>
        <v>J</v>
      </c>
      <c r="B3000" t="s">
        <v>28807</v>
      </c>
      <c r="C3000">
        <v>1</v>
      </c>
      <c r="D3000" t="s">
        <v>23629</v>
      </c>
      <c r="E3000" t="s">
        <v>23632</v>
      </c>
    </row>
    <row r="3001" spans="1:5" x14ac:dyDescent="0.25">
      <c r="A3001" s="130" t="s">
        <v>26019</v>
      </c>
      <c r="B3001" t="s">
        <v>26131</v>
      </c>
      <c r="C3001">
        <v>1</v>
      </c>
      <c r="D3001" t="s">
        <v>23629</v>
      </c>
      <c r="E3001" t="s">
        <v>23632</v>
      </c>
    </row>
    <row r="3002" spans="1:5" x14ac:dyDescent="0.25">
      <c r="A3002" s="130" t="str">
        <f>LEFT(B3002,1)</f>
        <v>J</v>
      </c>
      <c r="B3002" t="s">
        <v>28514</v>
      </c>
      <c r="C3002">
        <v>1</v>
      </c>
      <c r="D3002" t="s">
        <v>23629</v>
      </c>
      <c r="E3002" t="s">
        <v>23632</v>
      </c>
    </row>
    <row r="3003" spans="1:5" x14ac:dyDescent="0.25">
      <c r="A3003" s="130" t="str">
        <f>LEFT(B3003,1)</f>
        <v>J</v>
      </c>
      <c r="B3003" t="s">
        <v>26224</v>
      </c>
      <c r="C3003">
        <v>1</v>
      </c>
      <c r="D3003" t="s">
        <v>23629</v>
      </c>
      <c r="E3003" t="s">
        <v>23632</v>
      </c>
    </row>
    <row r="3004" spans="1:5" x14ac:dyDescent="0.25">
      <c r="A3004" s="131" t="s">
        <v>26019</v>
      </c>
      <c r="B3004" t="s">
        <v>26132</v>
      </c>
      <c r="C3004">
        <v>1</v>
      </c>
      <c r="D3004" t="s">
        <v>23629</v>
      </c>
      <c r="E3004" t="s">
        <v>23632</v>
      </c>
    </row>
    <row r="3005" spans="1:5" x14ac:dyDescent="0.25">
      <c r="A3005" s="130" t="s">
        <v>26019</v>
      </c>
      <c r="B3005" t="s">
        <v>26133</v>
      </c>
      <c r="C3005">
        <v>1</v>
      </c>
      <c r="D3005" t="s">
        <v>23629</v>
      </c>
      <c r="E3005" t="s">
        <v>23632</v>
      </c>
    </row>
    <row r="3006" spans="1:5" x14ac:dyDescent="0.25">
      <c r="A3006" s="131" t="s">
        <v>26019</v>
      </c>
      <c r="B3006" t="s">
        <v>26134</v>
      </c>
      <c r="C3006">
        <v>1</v>
      </c>
      <c r="D3006" t="s">
        <v>23629</v>
      </c>
      <c r="E3006" t="s">
        <v>23632</v>
      </c>
    </row>
    <row r="3007" spans="1:5" x14ac:dyDescent="0.25">
      <c r="A3007" s="130" t="s">
        <v>26019</v>
      </c>
      <c r="B3007" t="s">
        <v>26135</v>
      </c>
      <c r="C3007">
        <v>1</v>
      </c>
      <c r="D3007" t="s">
        <v>23629</v>
      </c>
      <c r="E3007" t="s">
        <v>23632</v>
      </c>
    </row>
    <row r="3008" spans="1:5" x14ac:dyDescent="0.25">
      <c r="A3008" s="130" t="str">
        <f>LEFT(B3008,1)</f>
        <v>J</v>
      </c>
      <c r="B3008" t="s">
        <v>26203</v>
      </c>
      <c r="C3008">
        <v>1</v>
      </c>
      <c r="D3008" t="s">
        <v>23629</v>
      </c>
      <c r="E3008" t="s">
        <v>23632</v>
      </c>
    </row>
    <row r="3009" spans="1:5" x14ac:dyDescent="0.25">
      <c r="A3009" s="130" t="str">
        <f>LEFT(B3009,1)</f>
        <v>J</v>
      </c>
      <c r="B3009" t="s">
        <v>26204</v>
      </c>
      <c r="C3009">
        <v>1</v>
      </c>
      <c r="D3009" t="s">
        <v>23629</v>
      </c>
      <c r="E3009" t="s">
        <v>23632</v>
      </c>
    </row>
    <row r="3010" spans="1:5" x14ac:dyDescent="0.25">
      <c r="A3010" s="131" t="s">
        <v>26019</v>
      </c>
      <c r="B3010" t="s">
        <v>26136</v>
      </c>
      <c r="C3010">
        <v>1</v>
      </c>
      <c r="D3010" t="s">
        <v>23629</v>
      </c>
      <c r="E3010" t="s">
        <v>23632</v>
      </c>
    </row>
    <row r="3011" spans="1:5" x14ac:dyDescent="0.25">
      <c r="A3011" s="131" t="s">
        <v>26019</v>
      </c>
      <c r="B3011" t="s">
        <v>26137</v>
      </c>
      <c r="C3011">
        <v>1</v>
      </c>
      <c r="D3011" t="s">
        <v>23629</v>
      </c>
      <c r="E3011" t="s">
        <v>23632</v>
      </c>
    </row>
    <row r="3012" spans="1:5" x14ac:dyDescent="0.25">
      <c r="A3012" s="130" t="s">
        <v>26019</v>
      </c>
      <c r="B3012" t="s">
        <v>26138</v>
      </c>
      <c r="C3012">
        <v>1</v>
      </c>
      <c r="D3012" t="s">
        <v>23629</v>
      </c>
      <c r="E3012" t="s">
        <v>23632</v>
      </c>
    </row>
    <row r="3013" spans="1:5" x14ac:dyDescent="0.25">
      <c r="A3013" s="131" t="s">
        <v>26019</v>
      </c>
      <c r="B3013" t="s">
        <v>26139</v>
      </c>
      <c r="C3013">
        <v>1</v>
      </c>
      <c r="D3013" t="s">
        <v>23629</v>
      </c>
      <c r="E3013" t="s">
        <v>23632</v>
      </c>
    </row>
    <row r="3014" spans="1:5" x14ac:dyDescent="0.25">
      <c r="A3014" s="131" t="str">
        <f>LEFT((B3014),1)</f>
        <v>J</v>
      </c>
      <c r="B3014" t="s">
        <v>26140</v>
      </c>
      <c r="C3014">
        <v>1</v>
      </c>
      <c r="D3014" t="s">
        <v>23629</v>
      </c>
      <c r="E3014" t="s">
        <v>23632</v>
      </c>
    </row>
    <row r="3015" spans="1:5" x14ac:dyDescent="0.25">
      <c r="A3015" s="130" t="s">
        <v>26019</v>
      </c>
      <c r="B3015" t="s">
        <v>26141</v>
      </c>
      <c r="C3015">
        <v>1</v>
      </c>
      <c r="D3015" t="s">
        <v>23629</v>
      </c>
      <c r="E3015" t="s">
        <v>23632</v>
      </c>
    </row>
    <row r="3016" spans="1:5" x14ac:dyDescent="0.25">
      <c r="A3016" s="130" t="str">
        <f>LEFT(B3016,1)</f>
        <v>J</v>
      </c>
      <c r="B3016" t="s">
        <v>26205</v>
      </c>
      <c r="C3016">
        <v>1</v>
      </c>
      <c r="D3016" t="s">
        <v>23629</v>
      </c>
      <c r="E3016" t="s">
        <v>23632</v>
      </c>
    </row>
    <row r="3017" spans="1:5" x14ac:dyDescent="0.25">
      <c r="A3017" s="131" t="s">
        <v>26019</v>
      </c>
      <c r="B3017" t="s">
        <v>26142</v>
      </c>
      <c r="C3017">
        <v>1</v>
      </c>
      <c r="D3017" t="s">
        <v>23629</v>
      </c>
      <c r="E3017" t="s">
        <v>23632</v>
      </c>
    </row>
    <row r="3018" spans="1:5" x14ac:dyDescent="0.25">
      <c r="A3018" s="131" t="s">
        <v>26019</v>
      </c>
      <c r="B3018" t="s">
        <v>26143</v>
      </c>
      <c r="C3018">
        <v>1</v>
      </c>
      <c r="D3018" t="s">
        <v>23629</v>
      </c>
      <c r="E3018" t="s">
        <v>23632</v>
      </c>
    </row>
    <row r="3019" spans="1:5" x14ac:dyDescent="0.25">
      <c r="A3019" s="131" t="str">
        <f>LEFT(B3019,1)</f>
        <v>J</v>
      </c>
      <c r="B3019" t="s">
        <v>26225</v>
      </c>
      <c r="C3019">
        <v>1</v>
      </c>
      <c r="D3019" t="s">
        <v>23629</v>
      </c>
      <c r="E3019" t="s">
        <v>23632</v>
      </c>
    </row>
    <row r="3020" spans="1:5" x14ac:dyDescent="0.25">
      <c r="A3020" s="131" t="str">
        <f>LEFT(B3020,1)</f>
        <v>J</v>
      </c>
      <c r="B3020" t="s">
        <v>26195</v>
      </c>
      <c r="C3020">
        <v>1</v>
      </c>
      <c r="D3020" t="s">
        <v>23629</v>
      </c>
      <c r="E3020" t="s">
        <v>23632</v>
      </c>
    </row>
    <row r="3021" spans="1:5" x14ac:dyDescent="0.25">
      <c r="A3021" s="130" t="str">
        <f>LEFT((B3021),1)</f>
        <v>J</v>
      </c>
      <c r="B3021" t="s">
        <v>26144</v>
      </c>
      <c r="C3021">
        <v>1</v>
      </c>
      <c r="D3021" t="s">
        <v>23629</v>
      </c>
      <c r="E3021" t="s">
        <v>23632</v>
      </c>
    </row>
    <row r="3022" spans="1:5" x14ac:dyDescent="0.25">
      <c r="A3022" s="130" t="str">
        <f>LEFT(B3022,1)</f>
        <v>J</v>
      </c>
      <c r="B3022" t="s">
        <v>26206</v>
      </c>
      <c r="C3022">
        <v>1</v>
      </c>
      <c r="D3022" t="s">
        <v>23629</v>
      </c>
      <c r="E3022" t="s">
        <v>23632</v>
      </c>
    </row>
    <row r="3023" spans="1:5" x14ac:dyDescent="0.25">
      <c r="A3023" s="131" t="s">
        <v>26019</v>
      </c>
      <c r="B3023" t="s">
        <v>26145</v>
      </c>
      <c r="C3023">
        <v>1</v>
      </c>
      <c r="D3023" t="s">
        <v>23629</v>
      </c>
      <c r="E3023" t="s">
        <v>23632</v>
      </c>
    </row>
    <row r="3024" spans="1:5" x14ac:dyDescent="0.25">
      <c r="A3024" s="130" t="s">
        <v>26019</v>
      </c>
      <c r="B3024" t="s">
        <v>26146</v>
      </c>
      <c r="C3024">
        <v>1</v>
      </c>
      <c r="D3024" t="s">
        <v>23629</v>
      </c>
      <c r="E3024" t="s">
        <v>23632</v>
      </c>
    </row>
    <row r="3025" spans="1:5" x14ac:dyDescent="0.25">
      <c r="A3025" s="130" t="str">
        <f>LEFT(B3025,1)</f>
        <v>J</v>
      </c>
      <c r="B3025" t="s">
        <v>26226</v>
      </c>
      <c r="C3025">
        <v>1</v>
      </c>
      <c r="D3025" t="s">
        <v>23629</v>
      </c>
      <c r="E3025" t="s">
        <v>23632</v>
      </c>
    </row>
    <row r="3026" spans="1:5" x14ac:dyDescent="0.25">
      <c r="A3026" s="130" t="s">
        <v>26019</v>
      </c>
      <c r="B3026" t="s">
        <v>26147</v>
      </c>
      <c r="C3026">
        <v>1</v>
      </c>
      <c r="D3026" t="s">
        <v>23629</v>
      </c>
      <c r="E3026" t="s">
        <v>23632</v>
      </c>
    </row>
    <row r="3027" spans="1:5" x14ac:dyDescent="0.25">
      <c r="A3027" s="131" t="s">
        <v>26019</v>
      </c>
      <c r="B3027" t="s">
        <v>26148</v>
      </c>
      <c r="C3027">
        <v>1</v>
      </c>
      <c r="D3027" t="s">
        <v>23629</v>
      </c>
      <c r="E3027" t="s">
        <v>23632</v>
      </c>
    </row>
    <row r="3028" spans="1:5" x14ac:dyDescent="0.25">
      <c r="A3028" s="130" t="str">
        <f>LEFT(B3028,1)</f>
        <v>J</v>
      </c>
      <c r="B3028" t="s">
        <v>28808</v>
      </c>
      <c r="C3028">
        <v>1</v>
      </c>
      <c r="D3028" t="s">
        <v>23629</v>
      </c>
      <c r="E3028" t="s">
        <v>23632</v>
      </c>
    </row>
    <row r="3029" spans="1:5" x14ac:dyDescent="0.25">
      <c r="A3029" s="130" t="str">
        <f>LEFT(B3029,1)</f>
        <v>J</v>
      </c>
      <c r="B3029" t="s">
        <v>26207</v>
      </c>
      <c r="C3029">
        <v>1</v>
      </c>
      <c r="D3029" t="s">
        <v>23629</v>
      </c>
      <c r="E3029" t="s">
        <v>23632</v>
      </c>
    </row>
    <row r="3030" spans="1:5" x14ac:dyDescent="0.25">
      <c r="A3030" s="130" t="s">
        <v>26019</v>
      </c>
      <c r="B3030" t="s">
        <v>26149</v>
      </c>
      <c r="C3030">
        <v>1</v>
      </c>
      <c r="D3030" t="s">
        <v>23629</v>
      </c>
      <c r="E3030" t="s">
        <v>23632</v>
      </c>
    </row>
    <row r="3031" spans="1:5" x14ac:dyDescent="0.25">
      <c r="A3031" s="131" t="str">
        <f>LEFT((B3031),1)</f>
        <v>J</v>
      </c>
      <c r="B3031" t="s">
        <v>26150</v>
      </c>
      <c r="C3031">
        <v>1</v>
      </c>
      <c r="D3031" t="s">
        <v>23629</v>
      </c>
      <c r="E3031" t="s">
        <v>23632</v>
      </c>
    </row>
    <row r="3032" spans="1:5" x14ac:dyDescent="0.25">
      <c r="A3032" s="130" t="str">
        <f>LEFT((B3032),1)</f>
        <v>J</v>
      </c>
      <c r="B3032" t="s">
        <v>26151</v>
      </c>
      <c r="C3032">
        <v>1</v>
      </c>
      <c r="D3032" t="s">
        <v>23629</v>
      </c>
      <c r="E3032" t="s">
        <v>23632</v>
      </c>
    </row>
    <row r="3033" spans="1:5" x14ac:dyDescent="0.25">
      <c r="A3033" s="130" t="str">
        <f>LEFT(B3033,1)</f>
        <v>J</v>
      </c>
      <c r="B3033" t="s">
        <v>26208</v>
      </c>
      <c r="C3033">
        <v>1</v>
      </c>
      <c r="D3033" t="s">
        <v>23629</v>
      </c>
      <c r="E3033" t="s">
        <v>23632</v>
      </c>
    </row>
    <row r="3034" spans="1:5" x14ac:dyDescent="0.25">
      <c r="A3034" s="130" t="str">
        <f>LEFT(B3034,1)</f>
        <v>J</v>
      </c>
      <c r="B3034" t="s">
        <v>28809</v>
      </c>
      <c r="C3034">
        <v>1</v>
      </c>
      <c r="D3034" t="s">
        <v>23629</v>
      </c>
      <c r="E3034" t="s">
        <v>23632</v>
      </c>
    </row>
    <row r="3035" spans="1:5" x14ac:dyDescent="0.25">
      <c r="A3035" s="131" t="str">
        <f>LEFT(B3035,1)</f>
        <v>J</v>
      </c>
      <c r="B3035" t="s">
        <v>26227</v>
      </c>
      <c r="C3035">
        <v>1</v>
      </c>
      <c r="D3035" t="s">
        <v>23629</v>
      </c>
      <c r="E3035" t="s">
        <v>23632</v>
      </c>
    </row>
    <row r="3036" spans="1:5" x14ac:dyDescent="0.25">
      <c r="A3036" s="130" t="str">
        <f>LEFT(B3036,1)</f>
        <v>J</v>
      </c>
      <c r="B3036" t="s">
        <v>28810</v>
      </c>
      <c r="C3036">
        <v>1</v>
      </c>
      <c r="D3036" t="s">
        <v>23629</v>
      </c>
      <c r="E3036" t="s">
        <v>23632</v>
      </c>
    </row>
    <row r="3037" spans="1:5" x14ac:dyDescent="0.25">
      <c r="A3037" s="130" t="s">
        <v>26019</v>
      </c>
      <c r="B3037" t="s">
        <v>26152</v>
      </c>
      <c r="C3037">
        <v>1</v>
      </c>
      <c r="D3037" t="s">
        <v>23629</v>
      </c>
      <c r="E3037" t="s">
        <v>23632</v>
      </c>
    </row>
    <row r="3038" spans="1:5" x14ac:dyDescent="0.25">
      <c r="A3038" s="130" t="s">
        <v>26019</v>
      </c>
      <c r="B3038" t="s">
        <v>26153</v>
      </c>
      <c r="C3038">
        <v>1</v>
      </c>
      <c r="D3038" t="s">
        <v>23629</v>
      </c>
      <c r="E3038" t="s">
        <v>23632</v>
      </c>
    </row>
    <row r="3039" spans="1:5" x14ac:dyDescent="0.25">
      <c r="A3039" s="130" t="s">
        <v>26019</v>
      </c>
      <c r="B3039" t="s">
        <v>26154</v>
      </c>
      <c r="C3039">
        <v>1</v>
      </c>
      <c r="D3039" t="s">
        <v>23629</v>
      </c>
      <c r="E3039" t="s">
        <v>23632</v>
      </c>
    </row>
    <row r="3040" spans="1:5" x14ac:dyDescent="0.25">
      <c r="A3040" s="130" t="s">
        <v>26019</v>
      </c>
      <c r="B3040" t="s">
        <v>26155</v>
      </c>
      <c r="C3040">
        <v>1</v>
      </c>
      <c r="D3040" t="s">
        <v>23629</v>
      </c>
      <c r="E3040" t="s">
        <v>23632</v>
      </c>
    </row>
    <row r="3041" spans="1:5" x14ac:dyDescent="0.25">
      <c r="A3041" s="130" t="str">
        <f>LEFT(B3041,1)</f>
        <v>J</v>
      </c>
      <c r="B3041" t="s">
        <v>26209</v>
      </c>
      <c r="C3041">
        <v>1</v>
      </c>
      <c r="D3041" t="s">
        <v>23629</v>
      </c>
      <c r="E3041" t="s">
        <v>23632</v>
      </c>
    </row>
    <row r="3042" spans="1:5" x14ac:dyDescent="0.25">
      <c r="A3042" s="131" t="s">
        <v>26019</v>
      </c>
      <c r="B3042" t="s">
        <v>26156</v>
      </c>
      <c r="C3042">
        <v>1</v>
      </c>
      <c r="D3042" t="s">
        <v>23629</v>
      </c>
      <c r="E3042" t="s">
        <v>23632</v>
      </c>
    </row>
    <row r="3043" spans="1:5" x14ac:dyDescent="0.25">
      <c r="A3043" s="131" t="s">
        <v>26019</v>
      </c>
      <c r="B3043" t="s">
        <v>26157</v>
      </c>
      <c r="C3043">
        <v>1</v>
      </c>
      <c r="D3043" t="s">
        <v>23629</v>
      </c>
      <c r="E3043" t="s">
        <v>23632</v>
      </c>
    </row>
    <row r="3044" spans="1:5" x14ac:dyDescent="0.25">
      <c r="A3044" s="131" t="s">
        <v>26019</v>
      </c>
      <c r="B3044" t="s">
        <v>26158</v>
      </c>
      <c r="C3044">
        <v>1</v>
      </c>
      <c r="D3044" t="s">
        <v>23629</v>
      </c>
      <c r="E3044" t="s">
        <v>23632</v>
      </c>
    </row>
    <row r="3045" spans="1:5" x14ac:dyDescent="0.25">
      <c r="A3045" s="130" t="s">
        <v>26019</v>
      </c>
      <c r="B3045" t="s">
        <v>26159</v>
      </c>
      <c r="C3045">
        <v>1</v>
      </c>
      <c r="D3045" t="s">
        <v>23629</v>
      </c>
      <c r="E3045" t="s">
        <v>23632</v>
      </c>
    </row>
    <row r="3046" spans="1:5" x14ac:dyDescent="0.25">
      <c r="A3046" s="131" t="s">
        <v>26019</v>
      </c>
      <c r="B3046" t="s">
        <v>26160</v>
      </c>
      <c r="C3046">
        <v>1</v>
      </c>
      <c r="D3046" t="s">
        <v>23629</v>
      </c>
      <c r="E3046" t="s">
        <v>23632</v>
      </c>
    </row>
    <row r="3047" spans="1:5" x14ac:dyDescent="0.25">
      <c r="A3047" s="131" t="s">
        <v>26019</v>
      </c>
      <c r="B3047" t="s">
        <v>26161</v>
      </c>
      <c r="C3047">
        <v>1</v>
      </c>
      <c r="D3047" t="s">
        <v>23629</v>
      </c>
      <c r="E3047" t="s">
        <v>23632</v>
      </c>
    </row>
    <row r="3048" spans="1:5" x14ac:dyDescent="0.25">
      <c r="A3048" s="130" t="str">
        <f>LEFT(B3048,1)</f>
        <v>J</v>
      </c>
      <c r="B3048" t="s">
        <v>28811</v>
      </c>
      <c r="C3048">
        <v>1</v>
      </c>
      <c r="D3048" t="s">
        <v>23629</v>
      </c>
      <c r="E3048" t="s">
        <v>23632</v>
      </c>
    </row>
    <row r="3049" spans="1:5" x14ac:dyDescent="0.25">
      <c r="A3049" s="130" t="str">
        <f>LEFT(B3049,1)</f>
        <v>J</v>
      </c>
      <c r="B3049" t="s">
        <v>29247</v>
      </c>
      <c r="C3049">
        <v>1</v>
      </c>
      <c r="D3049" t="s">
        <v>23629</v>
      </c>
      <c r="E3049" t="s">
        <v>23632</v>
      </c>
    </row>
    <row r="3050" spans="1:5" x14ac:dyDescent="0.25">
      <c r="A3050" s="130" t="s">
        <v>26019</v>
      </c>
      <c r="B3050" t="s">
        <v>26162</v>
      </c>
      <c r="C3050">
        <v>1</v>
      </c>
      <c r="D3050" t="s">
        <v>23629</v>
      </c>
      <c r="E3050" t="s">
        <v>23632</v>
      </c>
    </row>
    <row r="3051" spans="1:5" x14ac:dyDescent="0.25">
      <c r="A3051" s="130" t="s">
        <v>26019</v>
      </c>
      <c r="B3051" t="s">
        <v>26163</v>
      </c>
      <c r="C3051">
        <v>1</v>
      </c>
      <c r="D3051" t="s">
        <v>23629</v>
      </c>
      <c r="E3051" t="s">
        <v>23632</v>
      </c>
    </row>
    <row r="3052" spans="1:5" x14ac:dyDescent="0.25">
      <c r="A3052" s="131" t="str">
        <f>LEFT((B3052),1)</f>
        <v>J</v>
      </c>
      <c r="B3052" t="s">
        <v>26164</v>
      </c>
      <c r="C3052">
        <v>1</v>
      </c>
      <c r="D3052" t="s">
        <v>23629</v>
      </c>
      <c r="E3052" t="s">
        <v>23632</v>
      </c>
    </row>
    <row r="3053" spans="1:5" x14ac:dyDescent="0.25">
      <c r="A3053" s="130" t="str">
        <f>LEFT((B3053),1)</f>
        <v>J</v>
      </c>
      <c r="B3053" t="s">
        <v>26165</v>
      </c>
      <c r="C3053">
        <v>1</v>
      </c>
      <c r="D3053" t="s">
        <v>23629</v>
      </c>
      <c r="E3053" t="s">
        <v>23632</v>
      </c>
    </row>
    <row r="3054" spans="1:5" x14ac:dyDescent="0.25">
      <c r="A3054" s="131" t="s">
        <v>26019</v>
      </c>
      <c r="B3054" t="s">
        <v>26166</v>
      </c>
      <c r="C3054">
        <v>1</v>
      </c>
      <c r="D3054" t="s">
        <v>23629</v>
      </c>
      <c r="E3054" t="s">
        <v>23632</v>
      </c>
    </row>
    <row r="3055" spans="1:5" x14ac:dyDescent="0.25">
      <c r="A3055" s="131" t="s">
        <v>26019</v>
      </c>
      <c r="B3055" t="s">
        <v>26167</v>
      </c>
      <c r="C3055">
        <v>1</v>
      </c>
      <c r="D3055" t="s">
        <v>23629</v>
      </c>
      <c r="E3055" t="s">
        <v>23632</v>
      </c>
    </row>
    <row r="3056" spans="1:5" x14ac:dyDescent="0.25">
      <c r="A3056" s="131" t="s">
        <v>26019</v>
      </c>
      <c r="B3056" t="s">
        <v>26168</v>
      </c>
      <c r="C3056">
        <v>1</v>
      </c>
      <c r="D3056" t="s">
        <v>23629</v>
      </c>
      <c r="E3056" t="s">
        <v>23632</v>
      </c>
    </row>
    <row r="3057" spans="1:5" x14ac:dyDescent="0.25">
      <c r="A3057" s="130" t="s">
        <v>26019</v>
      </c>
      <c r="B3057" t="s">
        <v>26169</v>
      </c>
      <c r="C3057">
        <v>1</v>
      </c>
      <c r="D3057" t="s">
        <v>23629</v>
      </c>
      <c r="E3057" t="s">
        <v>23632</v>
      </c>
    </row>
    <row r="3058" spans="1:5" x14ac:dyDescent="0.25">
      <c r="A3058" s="130" t="str">
        <f>LEFT(B3058,1)</f>
        <v>J</v>
      </c>
      <c r="B3058" t="s">
        <v>26196</v>
      </c>
      <c r="C3058">
        <v>1</v>
      </c>
      <c r="D3058" t="s">
        <v>23629</v>
      </c>
      <c r="E3058" t="s">
        <v>23632</v>
      </c>
    </row>
    <row r="3059" spans="1:5" x14ac:dyDescent="0.25">
      <c r="A3059" s="131" t="s">
        <v>26019</v>
      </c>
      <c r="B3059" t="s">
        <v>26170</v>
      </c>
      <c r="C3059">
        <v>1</v>
      </c>
      <c r="D3059" t="s">
        <v>23629</v>
      </c>
      <c r="E3059" t="s">
        <v>23632</v>
      </c>
    </row>
    <row r="3060" spans="1:5" x14ac:dyDescent="0.25">
      <c r="A3060" s="131" t="s">
        <v>26019</v>
      </c>
      <c r="B3060" t="s">
        <v>26171</v>
      </c>
      <c r="C3060">
        <v>1</v>
      </c>
      <c r="D3060" t="s">
        <v>23629</v>
      </c>
      <c r="E3060" t="s">
        <v>23632</v>
      </c>
    </row>
    <row r="3061" spans="1:5" x14ac:dyDescent="0.25">
      <c r="A3061" s="131" t="str">
        <f>LEFT(B3061,1)</f>
        <v>J</v>
      </c>
      <c r="B3061" t="s">
        <v>26197</v>
      </c>
      <c r="C3061">
        <v>1</v>
      </c>
      <c r="D3061" t="s">
        <v>23629</v>
      </c>
      <c r="E3061" t="s">
        <v>23632</v>
      </c>
    </row>
    <row r="3062" spans="1:5" x14ac:dyDescent="0.25">
      <c r="A3062" s="130" t="str">
        <f>LEFT(B3062,1)</f>
        <v>J</v>
      </c>
      <c r="B3062" t="s">
        <v>28812</v>
      </c>
      <c r="C3062">
        <v>1</v>
      </c>
      <c r="D3062" t="s">
        <v>23629</v>
      </c>
      <c r="E3062" t="s">
        <v>23632</v>
      </c>
    </row>
    <row r="3063" spans="1:5" x14ac:dyDescent="0.25">
      <c r="A3063" s="130" t="str">
        <f>LEFT(B3063,1)</f>
        <v>J</v>
      </c>
      <c r="B3063" t="s">
        <v>28813</v>
      </c>
      <c r="C3063">
        <v>1</v>
      </c>
      <c r="D3063" t="s">
        <v>23629</v>
      </c>
      <c r="E3063" t="s">
        <v>23632</v>
      </c>
    </row>
    <row r="3064" spans="1:5" x14ac:dyDescent="0.25">
      <c r="A3064" s="130" t="s">
        <v>26019</v>
      </c>
      <c r="B3064" t="s">
        <v>26172</v>
      </c>
      <c r="C3064">
        <v>1</v>
      </c>
      <c r="D3064" t="s">
        <v>23629</v>
      </c>
      <c r="E3064" t="s">
        <v>23632</v>
      </c>
    </row>
    <row r="3065" spans="1:5" x14ac:dyDescent="0.25">
      <c r="A3065" s="130" t="s">
        <v>26019</v>
      </c>
      <c r="B3065" t="s">
        <v>26173</v>
      </c>
      <c r="C3065">
        <v>1</v>
      </c>
      <c r="D3065" t="s">
        <v>23629</v>
      </c>
      <c r="E3065" t="s">
        <v>23632</v>
      </c>
    </row>
    <row r="3066" spans="1:5" x14ac:dyDescent="0.25">
      <c r="A3066" s="130" t="str">
        <f>LEFT(B3066,1)</f>
        <v>J</v>
      </c>
      <c r="B3066" t="s">
        <v>26210</v>
      </c>
      <c r="C3066">
        <v>1</v>
      </c>
      <c r="D3066" t="s">
        <v>23629</v>
      </c>
      <c r="E3066" t="s">
        <v>23632</v>
      </c>
    </row>
    <row r="3067" spans="1:5" x14ac:dyDescent="0.25">
      <c r="A3067" s="130" t="s">
        <v>26019</v>
      </c>
      <c r="B3067" t="s">
        <v>26174</v>
      </c>
      <c r="C3067">
        <v>1</v>
      </c>
      <c r="D3067" t="s">
        <v>23629</v>
      </c>
      <c r="E3067" t="s">
        <v>23632</v>
      </c>
    </row>
    <row r="3068" spans="1:5" x14ac:dyDescent="0.25">
      <c r="A3068" s="131" t="s">
        <v>26019</v>
      </c>
      <c r="B3068" t="s">
        <v>26175</v>
      </c>
      <c r="C3068">
        <v>1</v>
      </c>
      <c r="D3068" t="s">
        <v>23629</v>
      </c>
      <c r="E3068" t="s">
        <v>23632</v>
      </c>
    </row>
    <row r="3069" spans="1:5" x14ac:dyDescent="0.25">
      <c r="A3069" s="130" t="s">
        <v>26019</v>
      </c>
      <c r="B3069" t="s">
        <v>26176</v>
      </c>
      <c r="C3069">
        <v>1.1000000000000001</v>
      </c>
      <c r="D3069" t="s">
        <v>23629</v>
      </c>
      <c r="E3069" t="s">
        <v>23632</v>
      </c>
    </row>
    <row r="3070" spans="1:5" x14ac:dyDescent="0.25">
      <c r="A3070" s="131" t="s">
        <v>26019</v>
      </c>
      <c r="B3070" t="s">
        <v>26177</v>
      </c>
      <c r="C3070">
        <v>1</v>
      </c>
      <c r="D3070" t="s">
        <v>23629</v>
      </c>
      <c r="E3070" t="s">
        <v>23632</v>
      </c>
    </row>
    <row r="3071" spans="1:5" x14ac:dyDescent="0.25">
      <c r="A3071" s="130" t="s">
        <v>26019</v>
      </c>
      <c r="B3071" t="s">
        <v>26178</v>
      </c>
      <c r="C3071">
        <v>1</v>
      </c>
      <c r="D3071" t="s">
        <v>23629</v>
      </c>
      <c r="E3071" t="s">
        <v>23632</v>
      </c>
    </row>
    <row r="3072" spans="1:5" x14ac:dyDescent="0.25">
      <c r="A3072" s="130" t="str">
        <f>LEFT(B3072,1)</f>
        <v>J</v>
      </c>
      <c r="B3072" t="s">
        <v>26211</v>
      </c>
      <c r="C3072">
        <v>1</v>
      </c>
      <c r="D3072" t="s">
        <v>23629</v>
      </c>
      <c r="E3072" t="s">
        <v>23632</v>
      </c>
    </row>
    <row r="3073" spans="1:5" x14ac:dyDescent="0.25">
      <c r="A3073" s="130" t="str">
        <f>LEFT(B3073,1)</f>
        <v>J</v>
      </c>
      <c r="B3073" t="s">
        <v>26212</v>
      </c>
      <c r="C3073">
        <v>1</v>
      </c>
      <c r="D3073" t="s">
        <v>23629</v>
      </c>
      <c r="E3073" t="s">
        <v>23632</v>
      </c>
    </row>
    <row r="3074" spans="1:5" x14ac:dyDescent="0.25">
      <c r="A3074" s="130" t="s">
        <v>26019</v>
      </c>
      <c r="B3074" t="s">
        <v>26179</v>
      </c>
      <c r="C3074">
        <v>1</v>
      </c>
      <c r="D3074" t="s">
        <v>23629</v>
      </c>
      <c r="E3074" t="s">
        <v>23632</v>
      </c>
    </row>
    <row r="3075" spans="1:5" x14ac:dyDescent="0.25">
      <c r="A3075" s="130" t="str">
        <f>LEFT(B3075,1)</f>
        <v>J</v>
      </c>
      <c r="B3075" t="s">
        <v>26213</v>
      </c>
      <c r="C3075">
        <v>1</v>
      </c>
      <c r="D3075" t="s">
        <v>23629</v>
      </c>
      <c r="E3075" t="s">
        <v>23632</v>
      </c>
    </row>
    <row r="3076" spans="1:5" x14ac:dyDescent="0.25">
      <c r="A3076" s="131" t="s">
        <v>26019</v>
      </c>
      <c r="B3076" t="s">
        <v>26180</v>
      </c>
      <c r="C3076">
        <v>1</v>
      </c>
      <c r="D3076" t="s">
        <v>23629</v>
      </c>
      <c r="E3076" t="s">
        <v>23632</v>
      </c>
    </row>
    <row r="3077" spans="1:5" x14ac:dyDescent="0.25">
      <c r="A3077" s="130" t="str">
        <f>LEFT(B3077,1)</f>
        <v>J</v>
      </c>
      <c r="B3077" t="s">
        <v>29065</v>
      </c>
      <c r="C3077">
        <v>1</v>
      </c>
      <c r="D3077" t="s">
        <v>23629</v>
      </c>
      <c r="E3077" t="s">
        <v>23632</v>
      </c>
    </row>
    <row r="3078" spans="1:5" x14ac:dyDescent="0.25">
      <c r="A3078" s="131" t="str">
        <f>LEFT((B3078),1)</f>
        <v>J</v>
      </c>
      <c r="B3078" t="s">
        <v>26181</v>
      </c>
      <c r="C3078">
        <v>1</v>
      </c>
      <c r="D3078" t="s">
        <v>23629</v>
      </c>
      <c r="E3078" t="s">
        <v>23632</v>
      </c>
    </row>
    <row r="3079" spans="1:5" x14ac:dyDescent="0.25">
      <c r="A3079" s="130" t="s">
        <v>26019</v>
      </c>
      <c r="B3079" t="s">
        <v>26182</v>
      </c>
      <c r="C3079">
        <v>1</v>
      </c>
      <c r="D3079" t="s">
        <v>23629</v>
      </c>
      <c r="E3079" t="s">
        <v>23632</v>
      </c>
    </row>
    <row r="3080" spans="1:5" x14ac:dyDescent="0.25">
      <c r="A3080" s="130" t="s">
        <v>26019</v>
      </c>
      <c r="B3080" t="s">
        <v>26183</v>
      </c>
      <c r="C3080">
        <v>1</v>
      </c>
      <c r="D3080" t="s">
        <v>23629</v>
      </c>
      <c r="E3080" t="s">
        <v>23632</v>
      </c>
    </row>
    <row r="3081" spans="1:5" x14ac:dyDescent="0.25">
      <c r="A3081" s="131" t="s">
        <v>26019</v>
      </c>
      <c r="B3081" t="s">
        <v>26184</v>
      </c>
      <c r="C3081">
        <v>1</v>
      </c>
      <c r="D3081" t="s">
        <v>23629</v>
      </c>
      <c r="E3081" t="s">
        <v>23632</v>
      </c>
    </row>
    <row r="3082" spans="1:5" x14ac:dyDescent="0.25">
      <c r="A3082" s="130" t="s">
        <v>26019</v>
      </c>
      <c r="B3082" t="s">
        <v>26185</v>
      </c>
      <c r="C3082">
        <v>1</v>
      </c>
      <c r="D3082" t="s">
        <v>23629</v>
      </c>
      <c r="E3082" t="s">
        <v>23632</v>
      </c>
    </row>
    <row r="3083" spans="1:5" x14ac:dyDescent="0.25">
      <c r="A3083" s="130" t="str">
        <f>LEFT((B3083),1)</f>
        <v>J</v>
      </c>
      <c r="B3083" t="s">
        <v>26186</v>
      </c>
      <c r="C3083">
        <v>1</v>
      </c>
      <c r="D3083" t="s">
        <v>23629</v>
      </c>
      <c r="E3083" t="s">
        <v>23632</v>
      </c>
    </row>
    <row r="3084" spans="1:5" x14ac:dyDescent="0.25">
      <c r="A3084" s="130" t="str">
        <f>LEFT(B3084,1)</f>
        <v>J</v>
      </c>
      <c r="B3084" t="s">
        <v>26214</v>
      </c>
      <c r="C3084">
        <v>1</v>
      </c>
      <c r="D3084" t="s">
        <v>23629</v>
      </c>
      <c r="E3084" t="s">
        <v>23632</v>
      </c>
    </row>
    <row r="3085" spans="1:5" x14ac:dyDescent="0.25">
      <c r="A3085" s="131" t="s">
        <v>26019</v>
      </c>
      <c r="B3085" t="s">
        <v>26187</v>
      </c>
      <c r="C3085">
        <v>1</v>
      </c>
      <c r="D3085" t="s">
        <v>23629</v>
      </c>
      <c r="E3085" t="s">
        <v>23632</v>
      </c>
    </row>
    <row r="3086" spans="1:5" x14ac:dyDescent="0.25">
      <c r="A3086" s="130" t="s">
        <v>26019</v>
      </c>
      <c r="B3086" t="s">
        <v>26188</v>
      </c>
      <c r="C3086">
        <v>1</v>
      </c>
      <c r="D3086" t="s">
        <v>23629</v>
      </c>
      <c r="E3086" t="s">
        <v>23632</v>
      </c>
    </row>
    <row r="3087" spans="1:5" x14ac:dyDescent="0.25">
      <c r="A3087" s="131" t="s">
        <v>26019</v>
      </c>
      <c r="B3087" t="s">
        <v>26189</v>
      </c>
      <c r="C3087">
        <v>1</v>
      </c>
      <c r="D3087" t="s">
        <v>23629</v>
      </c>
      <c r="E3087" t="s">
        <v>23632</v>
      </c>
    </row>
    <row r="3088" spans="1:5" x14ac:dyDescent="0.25">
      <c r="A3088" s="130" t="str">
        <f>LEFT(B3088,1)</f>
        <v>J</v>
      </c>
      <c r="B3088" t="s">
        <v>28515</v>
      </c>
      <c r="C3088">
        <v>1</v>
      </c>
      <c r="D3088" t="s">
        <v>23629</v>
      </c>
      <c r="E3088" t="s">
        <v>23632</v>
      </c>
    </row>
    <row r="3089" spans="1:5" x14ac:dyDescent="0.25">
      <c r="A3089" s="130" t="str">
        <f>LEFT(B3089,1)</f>
        <v>K</v>
      </c>
      <c r="B3089" t="s">
        <v>26255</v>
      </c>
      <c r="C3089">
        <v>1</v>
      </c>
      <c r="D3089" t="s">
        <v>23629</v>
      </c>
      <c r="E3089" t="s">
        <v>23632</v>
      </c>
    </row>
    <row r="3090" spans="1:5" x14ac:dyDescent="0.25">
      <c r="A3090" s="130" t="str">
        <f>LEFT(B3090,1)</f>
        <v>K</v>
      </c>
      <c r="B3090" t="s">
        <v>29248</v>
      </c>
      <c r="C3090">
        <v>1</v>
      </c>
      <c r="D3090" t="s">
        <v>23629</v>
      </c>
      <c r="E3090" t="s">
        <v>23632</v>
      </c>
    </row>
    <row r="3091" spans="1:5" x14ac:dyDescent="0.25">
      <c r="A3091" s="131" t="s">
        <v>26228</v>
      </c>
      <c r="B3091" t="s">
        <v>26229</v>
      </c>
      <c r="C3091">
        <v>1</v>
      </c>
      <c r="D3091" t="s">
        <v>23629</v>
      </c>
      <c r="E3091" t="s">
        <v>23632</v>
      </c>
    </row>
    <row r="3092" spans="1:5" x14ac:dyDescent="0.25">
      <c r="A3092" s="130" t="s">
        <v>26228</v>
      </c>
      <c r="B3092" t="s">
        <v>26230</v>
      </c>
      <c r="C3092">
        <v>1</v>
      </c>
      <c r="D3092" t="s">
        <v>23629</v>
      </c>
      <c r="E3092" t="s">
        <v>23632</v>
      </c>
    </row>
    <row r="3093" spans="1:5" x14ac:dyDescent="0.25">
      <c r="A3093" s="130" t="str">
        <f>LEFT(B3093,1)</f>
        <v>K</v>
      </c>
      <c r="B3093" t="s">
        <v>28516</v>
      </c>
      <c r="C3093">
        <v>1</v>
      </c>
      <c r="D3093" t="s">
        <v>23629</v>
      </c>
      <c r="E3093" t="s">
        <v>23632</v>
      </c>
    </row>
    <row r="3094" spans="1:5" x14ac:dyDescent="0.25">
      <c r="A3094" s="130" t="str">
        <f>LEFT(B3094,1)</f>
        <v>K</v>
      </c>
      <c r="B3094" t="s">
        <v>26259</v>
      </c>
      <c r="C3094">
        <v>1</v>
      </c>
      <c r="D3094" t="s">
        <v>23629</v>
      </c>
      <c r="E3094" t="s">
        <v>23632</v>
      </c>
    </row>
    <row r="3095" spans="1:5" x14ac:dyDescent="0.25">
      <c r="A3095" s="131" t="s">
        <v>26228</v>
      </c>
      <c r="B3095" t="s">
        <v>26231</v>
      </c>
      <c r="C3095">
        <v>1</v>
      </c>
      <c r="D3095" t="s">
        <v>23629</v>
      </c>
      <c r="E3095" t="s">
        <v>23632</v>
      </c>
    </row>
    <row r="3096" spans="1:5" x14ac:dyDescent="0.25">
      <c r="A3096" s="130" t="s">
        <v>26228</v>
      </c>
      <c r="B3096" t="s">
        <v>26232</v>
      </c>
      <c r="C3096">
        <v>1</v>
      </c>
      <c r="D3096" t="s">
        <v>23629</v>
      </c>
      <c r="E3096" t="s">
        <v>23632</v>
      </c>
    </row>
    <row r="3097" spans="1:5" x14ac:dyDescent="0.25">
      <c r="A3097" s="131" t="str">
        <f>LEFT(B3097,1)</f>
        <v>K</v>
      </c>
      <c r="B3097" t="s">
        <v>26256</v>
      </c>
      <c r="C3097">
        <v>1</v>
      </c>
      <c r="D3097" t="s">
        <v>23629</v>
      </c>
      <c r="E3097" t="s">
        <v>23632</v>
      </c>
    </row>
    <row r="3098" spans="1:5" x14ac:dyDescent="0.25">
      <c r="A3098" s="131" t="s">
        <v>26228</v>
      </c>
      <c r="B3098" t="s">
        <v>26233</v>
      </c>
      <c r="C3098">
        <v>1</v>
      </c>
      <c r="D3098" t="s">
        <v>23629</v>
      </c>
      <c r="E3098" t="s">
        <v>23632</v>
      </c>
    </row>
    <row r="3099" spans="1:5" x14ac:dyDescent="0.25">
      <c r="A3099" s="130" t="s">
        <v>26228</v>
      </c>
      <c r="B3099" t="s">
        <v>26234</v>
      </c>
      <c r="C3099">
        <v>1</v>
      </c>
      <c r="D3099" t="s">
        <v>23629</v>
      </c>
      <c r="E3099" t="s">
        <v>23632</v>
      </c>
    </row>
    <row r="3100" spans="1:5" x14ac:dyDescent="0.25">
      <c r="A3100" s="130" t="s">
        <v>26228</v>
      </c>
      <c r="B3100" t="s">
        <v>26235</v>
      </c>
      <c r="C3100">
        <v>1</v>
      </c>
      <c r="D3100" t="s">
        <v>23629</v>
      </c>
      <c r="E3100" t="s">
        <v>23632</v>
      </c>
    </row>
    <row r="3101" spans="1:5" x14ac:dyDescent="0.25">
      <c r="A3101" s="131" t="s">
        <v>26228</v>
      </c>
      <c r="B3101" t="s">
        <v>26236</v>
      </c>
      <c r="C3101">
        <v>1</v>
      </c>
      <c r="D3101" t="s">
        <v>23629</v>
      </c>
      <c r="E3101" t="s">
        <v>23632</v>
      </c>
    </row>
    <row r="3102" spans="1:5" x14ac:dyDescent="0.25">
      <c r="A3102" s="130" t="str">
        <f>LEFT(B3102,1)</f>
        <v>K</v>
      </c>
      <c r="B3102" t="s">
        <v>26260</v>
      </c>
      <c r="C3102">
        <v>1</v>
      </c>
      <c r="D3102" t="s">
        <v>23629</v>
      </c>
      <c r="E3102" t="s">
        <v>23632</v>
      </c>
    </row>
    <row r="3103" spans="1:5" x14ac:dyDescent="0.25">
      <c r="A3103" s="131" t="s">
        <v>26228</v>
      </c>
      <c r="B3103" t="s">
        <v>26237</v>
      </c>
      <c r="C3103">
        <v>1</v>
      </c>
      <c r="D3103" t="s">
        <v>23629</v>
      </c>
      <c r="E3103" t="s">
        <v>23632</v>
      </c>
    </row>
    <row r="3104" spans="1:5" x14ac:dyDescent="0.25">
      <c r="A3104" s="130" t="s">
        <v>26228</v>
      </c>
      <c r="B3104" t="s">
        <v>26238</v>
      </c>
      <c r="C3104">
        <v>1</v>
      </c>
      <c r="D3104" t="s">
        <v>23629</v>
      </c>
      <c r="E3104" t="s">
        <v>23632</v>
      </c>
    </row>
    <row r="3105" spans="1:5" x14ac:dyDescent="0.25">
      <c r="A3105" s="131" t="s">
        <v>26228</v>
      </c>
      <c r="B3105" t="s">
        <v>26239</v>
      </c>
      <c r="C3105">
        <v>1</v>
      </c>
      <c r="D3105" t="s">
        <v>23629</v>
      </c>
      <c r="E3105" t="s">
        <v>23632</v>
      </c>
    </row>
    <row r="3106" spans="1:5" x14ac:dyDescent="0.25">
      <c r="A3106" s="130" t="s">
        <v>26228</v>
      </c>
      <c r="B3106" t="s">
        <v>26240</v>
      </c>
      <c r="C3106">
        <v>1</v>
      </c>
      <c r="D3106" t="s">
        <v>23629</v>
      </c>
      <c r="E3106" t="s">
        <v>23632</v>
      </c>
    </row>
    <row r="3107" spans="1:5" x14ac:dyDescent="0.25">
      <c r="A3107" s="131" t="s">
        <v>26228</v>
      </c>
      <c r="B3107" t="s">
        <v>26241</v>
      </c>
      <c r="C3107">
        <v>1</v>
      </c>
      <c r="D3107" t="s">
        <v>23629</v>
      </c>
      <c r="E3107" t="s">
        <v>23632</v>
      </c>
    </row>
    <row r="3108" spans="1:5" x14ac:dyDescent="0.25">
      <c r="A3108" s="131" t="s">
        <v>26228</v>
      </c>
      <c r="B3108" t="s">
        <v>26242</v>
      </c>
      <c r="C3108">
        <v>1</v>
      </c>
      <c r="D3108" t="s">
        <v>23629</v>
      </c>
      <c r="E3108" t="s">
        <v>23632</v>
      </c>
    </row>
    <row r="3109" spans="1:5" x14ac:dyDescent="0.25">
      <c r="A3109" s="130" t="s">
        <v>26228</v>
      </c>
      <c r="B3109" t="s">
        <v>26243</v>
      </c>
      <c r="C3109">
        <v>1</v>
      </c>
      <c r="D3109" t="s">
        <v>23629</v>
      </c>
      <c r="E3109" t="s">
        <v>23632</v>
      </c>
    </row>
    <row r="3110" spans="1:5" x14ac:dyDescent="0.25">
      <c r="A3110" s="131" t="s">
        <v>26228</v>
      </c>
      <c r="B3110" t="s">
        <v>26244</v>
      </c>
      <c r="C3110">
        <v>1.1000000000000001</v>
      </c>
      <c r="D3110" t="s">
        <v>23629</v>
      </c>
      <c r="E3110" t="s">
        <v>23632</v>
      </c>
    </row>
    <row r="3111" spans="1:5" x14ac:dyDescent="0.25">
      <c r="A3111" s="131" t="s">
        <v>26228</v>
      </c>
      <c r="B3111" t="s">
        <v>26245</v>
      </c>
      <c r="C3111">
        <v>1</v>
      </c>
      <c r="D3111" t="s">
        <v>23629</v>
      </c>
      <c r="E3111" t="s">
        <v>23632</v>
      </c>
    </row>
    <row r="3112" spans="1:5" x14ac:dyDescent="0.25">
      <c r="A3112" s="130" t="str">
        <f>LEFT(B3112,1)</f>
        <v>K</v>
      </c>
      <c r="B3112" t="s">
        <v>26257</v>
      </c>
      <c r="C3112">
        <v>1</v>
      </c>
      <c r="D3112" t="s">
        <v>23629</v>
      </c>
      <c r="E3112" t="s">
        <v>23632</v>
      </c>
    </row>
    <row r="3113" spans="1:5" x14ac:dyDescent="0.25">
      <c r="A3113" s="130" t="s">
        <v>26228</v>
      </c>
      <c r="B3113" t="s">
        <v>26246</v>
      </c>
      <c r="C3113">
        <v>1</v>
      </c>
      <c r="D3113" t="s">
        <v>23629</v>
      </c>
      <c r="E3113" t="s">
        <v>23632</v>
      </c>
    </row>
    <row r="3114" spans="1:5" x14ac:dyDescent="0.25">
      <c r="A3114" s="130" t="s">
        <v>26228</v>
      </c>
      <c r="B3114" t="s">
        <v>26247</v>
      </c>
      <c r="C3114">
        <v>1</v>
      </c>
      <c r="D3114" t="s">
        <v>23629</v>
      </c>
      <c r="E3114" t="s">
        <v>23632</v>
      </c>
    </row>
    <row r="3115" spans="1:5" x14ac:dyDescent="0.25">
      <c r="A3115" s="131" t="s">
        <v>26228</v>
      </c>
      <c r="B3115" t="s">
        <v>26248</v>
      </c>
      <c r="C3115">
        <v>1</v>
      </c>
      <c r="D3115" t="s">
        <v>23629</v>
      </c>
      <c r="E3115" t="s">
        <v>23632</v>
      </c>
    </row>
    <row r="3116" spans="1:5" x14ac:dyDescent="0.25">
      <c r="A3116" s="131" t="str">
        <f>LEFT((B3116),1)</f>
        <v>K</v>
      </c>
      <c r="B3116" t="s">
        <v>26249</v>
      </c>
      <c r="C3116">
        <v>1</v>
      </c>
      <c r="D3116" t="s">
        <v>23629</v>
      </c>
      <c r="E3116" t="s">
        <v>23632</v>
      </c>
    </row>
    <row r="3117" spans="1:5" x14ac:dyDescent="0.25">
      <c r="A3117" s="130" t="s">
        <v>26228</v>
      </c>
      <c r="B3117" t="s">
        <v>26250</v>
      </c>
      <c r="C3117">
        <v>1</v>
      </c>
      <c r="D3117" t="s">
        <v>23629</v>
      </c>
      <c r="E3117" t="s">
        <v>23632</v>
      </c>
    </row>
    <row r="3118" spans="1:5" x14ac:dyDescent="0.25">
      <c r="A3118" s="131" t="s">
        <v>26228</v>
      </c>
      <c r="B3118" t="s">
        <v>26251</v>
      </c>
      <c r="C3118">
        <v>1</v>
      </c>
      <c r="D3118" t="s">
        <v>23629</v>
      </c>
      <c r="E3118" t="s">
        <v>23632</v>
      </c>
    </row>
    <row r="3119" spans="1:5" x14ac:dyDescent="0.25">
      <c r="A3119" s="130" t="s">
        <v>26228</v>
      </c>
      <c r="B3119" t="s">
        <v>26252</v>
      </c>
      <c r="C3119">
        <v>1</v>
      </c>
      <c r="D3119" t="s">
        <v>23629</v>
      </c>
      <c r="E3119" t="s">
        <v>23632</v>
      </c>
    </row>
    <row r="3120" spans="1:5" x14ac:dyDescent="0.25">
      <c r="A3120" s="130" t="s">
        <v>26228</v>
      </c>
      <c r="B3120" t="s">
        <v>26253</v>
      </c>
      <c r="C3120">
        <v>1</v>
      </c>
      <c r="D3120" t="s">
        <v>23629</v>
      </c>
      <c r="E3120" t="s">
        <v>23632</v>
      </c>
    </row>
    <row r="3121" spans="1:5" x14ac:dyDescent="0.25">
      <c r="A3121" s="130" t="str">
        <f>LEFT(B3121,1)</f>
        <v>K</v>
      </c>
      <c r="B3121" t="s">
        <v>28517</v>
      </c>
      <c r="C3121">
        <v>1</v>
      </c>
      <c r="D3121" t="s">
        <v>23629</v>
      </c>
      <c r="E3121" t="s">
        <v>23632</v>
      </c>
    </row>
    <row r="3122" spans="1:5" x14ac:dyDescent="0.25">
      <c r="A3122" s="130" t="str">
        <f>LEFT(B3122,1)</f>
        <v>K</v>
      </c>
      <c r="B3122" t="s">
        <v>26261</v>
      </c>
      <c r="C3122">
        <v>1.1499999999999999</v>
      </c>
      <c r="D3122" t="s">
        <v>23629</v>
      </c>
      <c r="E3122" t="s">
        <v>23632</v>
      </c>
    </row>
    <row r="3123" spans="1:5" x14ac:dyDescent="0.25">
      <c r="A3123" s="130" t="str">
        <f>LEFT(B3123,1)</f>
        <v>K</v>
      </c>
      <c r="B3123" t="s">
        <v>29066</v>
      </c>
      <c r="C3123">
        <v>1</v>
      </c>
      <c r="D3123" t="s">
        <v>23629</v>
      </c>
      <c r="E3123" t="s">
        <v>23632</v>
      </c>
    </row>
    <row r="3124" spans="1:5" x14ac:dyDescent="0.25">
      <c r="A3124" s="131" t="str">
        <f>LEFT(B3124,1)</f>
        <v>K</v>
      </c>
      <c r="B3124" t="s">
        <v>26258</v>
      </c>
      <c r="C3124">
        <v>1</v>
      </c>
      <c r="D3124" t="s">
        <v>23629</v>
      </c>
      <c r="E3124" t="s">
        <v>23632</v>
      </c>
    </row>
    <row r="3125" spans="1:5" x14ac:dyDescent="0.25">
      <c r="A3125" s="130" t="s">
        <v>26228</v>
      </c>
      <c r="B3125" t="s">
        <v>26254</v>
      </c>
      <c r="C3125">
        <v>1</v>
      </c>
      <c r="D3125" t="s">
        <v>23629</v>
      </c>
      <c r="E3125" t="s">
        <v>23632</v>
      </c>
    </row>
    <row r="3126" spans="1:5" x14ac:dyDescent="0.25">
      <c r="A3126" s="130" t="str">
        <f>LEFT(B3126,1)</f>
        <v>K</v>
      </c>
      <c r="B3126" t="s">
        <v>28814</v>
      </c>
      <c r="C3126">
        <v>1</v>
      </c>
      <c r="D3126" t="s">
        <v>23629</v>
      </c>
      <c r="E3126" t="s">
        <v>23632</v>
      </c>
    </row>
    <row r="3127" spans="1:5" x14ac:dyDescent="0.25">
      <c r="A3127" s="130" t="str">
        <f>LEFT(B3127,1)</f>
        <v>L</v>
      </c>
      <c r="B3127" t="s">
        <v>29249</v>
      </c>
      <c r="C3127">
        <v>1</v>
      </c>
      <c r="D3127" t="s">
        <v>23629</v>
      </c>
      <c r="E3127" t="s">
        <v>23632</v>
      </c>
    </row>
    <row r="3128" spans="1:5" x14ac:dyDescent="0.25">
      <c r="A3128" s="131" t="s">
        <v>17568</v>
      </c>
      <c r="B3128" t="s">
        <v>26262</v>
      </c>
      <c r="C3128">
        <v>1</v>
      </c>
      <c r="D3128" t="s">
        <v>23629</v>
      </c>
      <c r="E3128" t="s">
        <v>23632</v>
      </c>
    </row>
    <row r="3129" spans="1:5" x14ac:dyDescent="0.25">
      <c r="A3129" s="130" t="str">
        <f>LEFT((B3129),1)</f>
        <v>L</v>
      </c>
      <c r="B3129" t="s">
        <v>26263</v>
      </c>
      <c r="C3129">
        <v>1</v>
      </c>
      <c r="D3129" t="s">
        <v>23629</v>
      </c>
      <c r="E3129" t="s">
        <v>23632</v>
      </c>
    </row>
    <row r="3130" spans="1:5" x14ac:dyDescent="0.25">
      <c r="A3130" s="131" t="s">
        <v>17568</v>
      </c>
      <c r="B3130" t="s">
        <v>26264</v>
      </c>
      <c r="C3130">
        <v>1</v>
      </c>
      <c r="D3130" t="s">
        <v>23629</v>
      </c>
      <c r="E3130" t="s">
        <v>23632</v>
      </c>
    </row>
    <row r="3131" spans="1:5" x14ac:dyDescent="0.25">
      <c r="A3131" s="131" t="s">
        <v>17568</v>
      </c>
      <c r="B3131" t="s">
        <v>26265</v>
      </c>
      <c r="C3131">
        <v>1</v>
      </c>
      <c r="D3131" t="s">
        <v>23629</v>
      </c>
      <c r="E3131" t="s">
        <v>23632</v>
      </c>
    </row>
    <row r="3132" spans="1:5" x14ac:dyDescent="0.25">
      <c r="A3132" s="130" t="str">
        <f>LEFT(B3132,1)</f>
        <v>L</v>
      </c>
      <c r="B3132" t="s">
        <v>28815</v>
      </c>
      <c r="C3132">
        <v>1</v>
      </c>
      <c r="D3132" t="s">
        <v>23629</v>
      </c>
      <c r="E3132" t="s">
        <v>23632</v>
      </c>
    </row>
    <row r="3133" spans="1:5" x14ac:dyDescent="0.25">
      <c r="A3133" s="131" t="str">
        <f>LEFT((B3133),1)</f>
        <v>L</v>
      </c>
      <c r="B3133" t="s">
        <v>26266</v>
      </c>
      <c r="C3133">
        <v>1</v>
      </c>
      <c r="D3133" t="s">
        <v>23629</v>
      </c>
      <c r="E3133" t="s">
        <v>23632</v>
      </c>
    </row>
    <row r="3134" spans="1:5" x14ac:dyDescent="0.25">
      <c r="A3134" s="130" t="s">
        <v>17568</v>
      </c>
      <c r="B3134" t="s">
        <v>26267</v>
      </c>
      <c r="C3134">
        <v>1</v>
      </c>
      <c r="D3134" t="s">
        <v>23629</v>
      </c>
      <c r="E3134" t="s">
        <v>23632</v>
      </c>
    </row>
    <row r="3135" spans="1:5" x14ac:dyDescent="0.25">
      <c r="A3135" s="131" t="s">
        <v>17568</v>
      </c>
      <c r="B3135" t="s">
        <v>26268</v>
      </c>
      <c r="C3135">
        <v>1</v>
      </c>
      <c r="D3135" t="s">
        <v>23629</v>
      </c>
      <c r="E3135" t="s">
        <v>23632</v>
      </c>
    </row>
    <row r="3136" spans="1:5" x14ac:dyDescent="0.25">
      <c r="A3136" s="130" t="s">
        <v>17568</v>
      </c>
      <c r="B3136" t="s">
        <v>26269</v>
      </c>
      <c r="C3136">
        <v>1</v>
      </c>
      <c r="D3136" t="s">
        <v>23629</v>
      </c>
      <c r="E3136" t="s">
        <v>23632</v>
      </c>
    </row>
    <row r="3137" spans="1:5" x14ac:dyDescent="0.25">
      <c r="A3137" s="131" t="s">
        <v>17568</v>
      </c>
      <c r="B3137" t="s">
        <v>26270</v>
      </c>
      <c r="C3137">
        <v>1</v>
      </c>
      <c r="D3137" t="s">
        <v>23629</v>
      </c>
      <c r="E3137" t="s">
        <v>23632</v>
      </c>
    </row>
    <row r="3138" spans="1:5" x14ac:dyDescent="0.25">
      <c r="A3138" s="130" t="s">
        <v>17568</v>
      </c>
      <c r="B3138" t="s">
        <v>26271</v>
      </c>
      <c r="C3138">
        <v>1</v>
      </c>
      <c r="D3138" t="s">
        <v>23629</v>
      </c>
      <c r="E3138" t="s">
        <v>23632</v>
      </c>
    </row>
    <row r="3139" spans="1:5" x14ac:dyDescent="0.25">
      <c r="A3139" s="130" t="s">
        <v>17568</v>
      </c>
      <c r="B3139" t="s">
        <v>26272</v>
      </c>
      <c r="C3139">
        <v>1</v>
      </c>
      <c r="D3139" t="s">
        <v>23629</v>
      </c>
      <c r="E3139" t="s">
        <v>23632</v>
      </c>
    </row>
    <row r="3140" spans="1:5" x14ac:dyDescent="0.25">
      <c r="A3140" s="131" t="s">
        <v>17568</v>
      </c>
      <c r="B3140" t="s">
        <v>26273</v>
      </c>
      <c r="C3140">
        <v>1</v>
      </c>
      <c r="D3140" t="s">
        <v>23629</v>
      </c>
      <c r="E3140" t="s">
        <v>23632</v>
      </c>
    </row>
    <row r="3141" spans="1:5" x14ac:dyDescent="0.25">
      <c r="A3141" s="130" t="s">
        <v>17568</v>
      </c>
      <c r="B3141" t="s">
        <v>26274</v>
      </c>
      <c r="C3141">
        <v>1</v>
      </c>
      <c r="D3141" t="s">
        <v>23629</v>
      </c>
      <c r="E3141" t="s">
        <v>23632</v>
      </c>
    </row>
    <row r="3142" spans="1:5" x14ac:dyDescent="0.25">
      <c r="A3142" s="130" t="s">
        <v>17568</v>
      </c>
      <c r="B3142" t="s">
        <v>26275</v>
      </c>
      <c r="C3142">
        <v>1</v>
      </c>
      <c r="D3142" t="s">
        <v>23629</v>
      </c>
      <c r="E3142" t="s">
        <v>23632</v>
      </c>
    </row>
    <row r="3143" spans="1:5" x14ac:dyDescent="0.25">
      <c r="A3143" s="131" t="s">
        <v>17568</v>
      </c>
      <c r="B3143" t="s">
        <v>26276</v>
      </c>
      <c r="C3143">
        <v>1</v>
      </c>
      <c r="D3143" t="s">
        <v>23629</v>
      </c>
      <c r="E3143" t="s">
        <v>23632</v>
      </c>
    </row>
    <row r="3144" spans="1:5" x14ac:dyDescent="0.25">
      <c r="A3144" s="130" t="str">
        <f>LEFT(B3144,1)</f>
        <v>L</v>
      </c>
      <c r="B3144" t="s">
        <v>28518</v>
      </c>
      <c r="C3144">
        <v>1</v>
      </c>
      <c r="D3144" t="s">
        <v>23629</v>
      </c>
      <c r="E3144" t="s">
        <v>23632</v>
      </c>
    </row>
    <row r="3145" spans="1:5" x14ac:dyDescent="0.25">
      <c r="A3145" s="130" t="str">
        <f>LEFT(B3145,1)</f>
        <v>L</v>
      </c>
      <c r="B3145" t="s">
        <v>28519</v>
      </c>
      <c r="C3145">
        <v>1</v>
      </c>
      <c r="D3145" t="s">
        <v>23629</v>
      </c>
      <c r="E3145" t="s">
        <v>23632</v>
      </c>
    </row>
    <row r="3146" spans="1:5" x14ac:dyDescent="0.25">
      <c r="A3146" s="131" t="s">
        <v>17568</v>
      </c>
      <c r="B3146" t="s">
        <v>26277</v>
      </c>
      <c r="C3146">
        <v>1</v>
      </c>
      <c r="D3146" t="s">
        <v>23629</v>
      </c>
      <c r="E3146" t="s">
        <v>23632</v>
      </c>
    </row>
    <row r="3147" spans="1:5" x14ac:dyDescent="0.25">
      <c r="A3147" s="130" t="s">
        <v>17568</v>
      </c>
      <c r="B3147" t="s">
        <v>26278</v>
      </c>
      <c r="C3147">
        <v>1</v>
      </c>
      <c r="D3147" t="s">
        <v>23629</v>
      </c>
      <c r="E3147" t="s">
        <v>23632</v>
      </c>
    </row>
    <row r="3148" spans="1:5" x14ac:dyDescent="0.25">
      <c r="A3148" s="131" t="s">
        <v>17568</v>
      </c>
      <c r="B3148" t="s">
        <v>26279</v>
      </c>
      <c r="C3148">
        <v>1</v>
      </c>
      <c r="D3148" t="s">
        <v>23629</v>
      </c>
      <c r="E3148" t="s">
        <v>23881</v>
      </c>
    </row>
    <row r="3149" spans="1:5" x14ac:dyDescent="0.25">
      <c r="A3149" s="131" t="s">
        <v>17568</v>
      </c>
      <c r="B3149" t="s">
        <v>26280</v>
      </c>
      <c r="C3149">
        <v>1</v>
      </c>
      <c r="D3149" t="s">
        <v>23629</v>
      </c>
      <c r="E3149" t="s">
        <v>23632</v>
      </c>
    </row>
    <row r="3150" spans="1:5" x14ac:dyDescent="0.25">
      <c r="A3150" s="131" t="s">
        <v>17568</v>
      </c>
      <c r="B3150" t="s">
        <v>26281</v>
      </c>
      <c r="C3150">
        <v>1</v>
      </c>
      <c r="D3150" t="s">
        <v>23629</v>
      </c>
      <c r="E3150" t="s">
        <v>23632</v>
      </c>
    </row>
    <row r="3151" spans="1:5" x14ac:dyDescent="0.25">
      <c r="A3151" s="130" t="s">
        <v>17568</v>
      </c>
      <c r="B3151" t="s">
        <v>26282</v>
      </c>
      <c r="C3151">
        <v>1</v>
      </c>
      <c r="D3151" t="s">
        <v>23629</v>
      </c>
      <c r="E3151" t="s">
        <v>23632</v>
      </c>
    </row>
    <row r="3152" spans="1:5" x14ac:dyDescent="0.25">
      <c r="A3152" s="131" t="s">
        <v>17568</v>
      </c>
      <c r="B3152" t="s">
        <v>26283</v>
      </c>
      <c r="C3152">
        <v>1</v>
      </c>
      <c r="D3152" t="s">
        <v>23629</v>
      </c>
      <c r="E3152" t="s">
        <v>23632</v>
      </c>
    </row>
    <row r="3153" spans="1:5" x14ac:dyDescent="0.25">
      <c r="A3153" s="130" t="s">
        <v>17568</v>
      </c>
      <c r="B3153" t="s">
        <v>26284</v>
      </c>
      <c r="C3153">
        <v>1</v>
      </c>
      <c r="D3153" t="s">
        <v>23629</v>
      </c>
      <c r="E3153" t="s">
        <v>23632</v>
      </c>
    </row>
    <row r="3154" spans="1:5" x14ac:dyDescent="0.25">
      <c r="A3154" s="131" t="s">
        <v>17568</v>
      </c>
      <c r="B3154" t="s">
        <v>26285</v>
      </c>
      <c r="C3154">
        <v>1</v>
      </c>
      <c r="D3154" t="s">
        <v>23629</v>
      </c>
      <c r="E3154" t="s">
        <v>23632</v>
      </c>
    </row>
    <row r="3155" spans="1:5" x14ac:dyDescent="0.25">
      <c r="A3155" s="131" t="s">
        <v>17568</v>
      </c>
      <c r="B3155" t="s">
        <v>26286</v>
      </c>
      <c r="C3155">
        <v>1</v>
      </c>
      <c r="D3155" t="s">
        <v>23629</v>
      </c>
      <c r="E3155" t="s">
        <v>23632</v>
      </c>
    </row>
    <row r="3156" spans="1:5" x14ac:dyDescent="0.25">
      <c r="A3156" s="130" t="str">
        <f>LEFT(B3156,1)</f>
        <v>L</v>
      </c>
      <c r="B3156" t="s">
        <v>29067</v>
      </c>
      <c r="C3156">
        <v>1</v>
      </c>
      <c r="D3156" t="s">
        <v>23629</v>
      </c>
      <c r="E3156" t="s">
        <v>23632</v>
      </c>
    </row>
    <row r="3157" spans="1:5" x14ac:dyDescent="0.25">
      <c r="A3157" s="131" t="s">
        <v>17568</v>
      </c>
      <c r="B3157" t="s">
        <v>26287</v>
      </c>
      <c r="C3157">
        <v>1</v>
      </c>
      <c r="D3157" t="s">
        <v>23629</v>
      </c>
      <c r="E3157" t="s">
        <v>23632</v>
      </c>
    </row>
    <row r="3158" spans="1:5" x14ac:dyDescent="0.25">
      <c r="A3158" s="131" t="s">
        <v>17568</v>
      </c>
      <c r="B3158" t="s">
        <v>26288</v>
      </c>
      <c r="C3158">
        <v>1</v>
      </c>
      <c r="D3158" t="s">
        <v>23629</v>
      </c>
      <c r="E3158" t="s">
        <v>23632</v>
      </c>
    </row>
    <row r="3159" spans="1:5" x14ac:dyDescent="0.25">
      <c r="A3159" s="130" t="str">
        <f>LEFT(B3159,1)</f>
        <v>L</v>
      </c>
      <c r="B3159" t="s">
        <v>28520</v>
      </c>
      <c r="C3159">
        <v>1</v>
      </c>
      <c r="D3159" t="s">
        <v>23629</v>
      </c>
      <c r="E3159" t="s">
        <v>23632</v>
      </c>
    </row>
    <row r="3160" spans="1:5" x14ac:dyDescent="0.25">
      <c r="A3160" s="131" t="s">
        <v>17568</v>
      </c>
      <c r="B3160" t="s">
        <v>26289</v>
      </c>
      <c r="C3160">
        <v>1</v>
      </c>
      <c r="D3160" t="s">
        <v>23629</v>
      </c>
      <c r="E3160" t="s">
        <v>23632</v>
      </c>
    </row>
    <row r="3161" spans="1:5" x14ac:dyDescent="0.25">
      <c r="A3161" s="130" t="s">
        <v>17568</v>
      </c>
      <c r="B3161" t="s">
        <v>26290</v>
      </c>
      <c r="C3161">
        <v>1</v>
      </c>
      <c r="D3161" t="s">
        <v>23629</v>
      </c>
      <c r="E3161" t="s">
        <v>23632</v>
      </c>
    </row>
    <row r="3162" spans="1:5" x14ac:dyDescent="0.25">
      <c r="A3162" s="130" t="str">
        <f>LEFT(B3162,1)</f>
        <v>L</v>
      </c>
      <c r="B3162" t="s">
        <v>26473</v>
      </c>
      <c r="C3162">
        <v>1</v>
      </c>
      <c r="D3162" t="s">
        <v>23629</v>
      </c>
      <c r="E3162" t="s">
        <v>23632</v>
      </c>
    </row>
    <row r="3163" spans="1:5" x14ac:dyDescent="0.25">
      <c r="A3163" s="130" t="str">
        <f>LEFT(B3163,1)</f>
        <v>L</v>
      </c>
      <c r="B3163" t="s">
        <v>29068</v>
      </c>
      <c r="C3163">
        <v>1</v>
      </c>
      <c r="D3163" t="s">
        <v>23629</v>
      </c>
      <c r="E3163" t="s">
        <v>23632</v>
      </c>
    </row>
    <row r="3164" spans="1:5" x14ac:dyDescent="0.25">
      <c r="A3164" s="130" t="s">
        <v>17568</v>
      </c>
      <c r="B3164" t="s">
        <v>26291</v>
      </c>
      <c r="C3164">
        <v>1</v>
      </c>
      <c r="D3164" t="s">
        <v>23629</v>
      </c>
      <c r="E3164" t="s">
        <v>23632</v>
      </c>
    </row>
    <row r="3165" spans="1:5" x14ac:dyDescent="0.25">
      <c r="A3165" s="130" t="str">
        <f>LEFT((B3165),1)</f>
        <v>L</v>
      </c>
      <c r="B3165" t="s">
        <v>26292</v>
      </c>
      <c r="C3165">
        <v>1</v>
      </c>
      <c r="D3165" t="s">
        <v>23629</v>
      </c>
      <c r="E3165" t="s">
        <v>23632</v>
      </c>
    </row>
    <row r="3166" spans="1:5" x14ac:dyDescent="0.25">
      <c r="A3166" s="131" t="s">
        <v>17568</v>
      </c>
      <c r="B3166" t="s">
        <v>26293</v>
      </c>
      <c r="C3166">
        <v>1</v>
      </c>
      <c r="D3166" t="s">
        <v>23629</v>
      </c>
      <c r="E3166" t="s">
        <v>23632</v>
      </c>
    </row>
    <row r="3167" spans="1:5" x14ac:dyDescent="0.25">
      <c r="A3167" s="131" t="s">
        <v>17568</v>
      </c>
      <c r="B3167" t="s">
        <v>26294</v>
      </c>
      <c r="C3167">
        <v>1</v>
      </c>
      <c r="D3167" t="s">
        <v>23629</v>
      </c>
      <c r="E3167" t="s">
        <v>23632</v>
      </c>
    </row>
    <row r="3168" spans="1:5" x14ac:dyDescent="0.25">
      <c r="A3168" s="131" t="s">
        <v>17568</v>
      </c>
      <c r="B3168" t="s">
        <v>26295</v>
      </c>
      <c r="C3168">
        <v>1</v>
      </c>
      <c r="D3168" t="s">
        <v>23629</v>
      </c>
      <c r="E3168" t="s">
        <v>23632</v>
      </c>
    </row>
    <row r="3169" spans="1:5" x14ac:dyDescent="0.25">
      <c r="A3169" s="131" t="s">
        <v>17568</v>
      </c>
      <c r="B3169" t="s">
        <v>26296</v>
      </c>
      <c r="C3169">
        <v>1</v>
      </c>
      <c r="D3169" t="s">
        <v>23629</v>
      </c>
      <c r="E3169" t="s">
        <v>23632</v>
      </c>
    </row>
    <row r="3170" spans="1:5" x14ac:dyDescent="0.25">
      <c r="A3170" s="130" t="s">
        <v>17568</v>
      </c>
      <c r="B3170" t="s">
        <v>26297</v>
      </c>
      <c r="C3170">
        <v>1</v>
      </c>
      <c r="D3170" t="s">
        <v>23629</v>
      </c>
      <c r="E3170" t="s">
        <v>23632</v>
      </c>
    </row>
    <row r="3171" spans="1:5" x14ac:dyDescent="0.25">
      <c r="A3171" s="131" t="s">
        <v>17568</v>
      </c>
      <c r="B3171" t="s">
        <v>26298</v>
      </c>
      <c r="C3171">
        <v>1</v>
      </c>
      <c r="D3171" t="s">
        <v>23629</v>
      </c>
      <c r="E3171" t="s">
        <v>23632</v>
      </c>
    </row>
    <row r="3172" spans="1:5" x14ac:dyDescent="0.25">
      <c r="A3172" s="131" t="str">
        <f>LEFT((B3172),1)</f>
        <v>L</v>
      </c>
      <c r="B3172" t="s">
        <v>26299</v>
      </c>
      <c r="C3172">
        <v>1</v>
      </c>
      <c r="D3172" t="s">
        <v>23629</v>
      </c>
      <c r="E3172" t="s">
        <v>23632</v>
      </c>
    </row>
    <row r="3173" spans="1:5" x14ac:dyDescent="0.25">
      <c r="A3173" s="130" t="str">
        <f>LEFT((B3173),1)</f>
        <v>L</v>
      </c>
      <c r="B3173" t="s">
        <v>26300</v>
      </c>
      <c r="C3173">
        <v>1</v>
      </c>
      <c r="D3173" t="s">
        <v>23629</v>
      </c>
      <c r="E3173" t="s">
        <v>23632</v>
      </c>
    </row>
    <row r="3174" spans="1:5" x14ac:dyDescent="0.25">
      <c r="A3174" s="130" t="str">
        <f>LEFT(B3174,1)</f>
        <v>L</v>
      </c>
      <c r="B3174" t="s">
        <v>26465</v>
      </c>
      <c r="C3174">
        <v>1</v>
      </c>
      <c r="D3174" t="s">
        <v>23629</v>
      </c>
      <c r="E3174" t="s">
        <v>23632</v>
      </c>
    </row>
    <row r="3175" spans="1:5" x14ac:dyDescent="0.25">
      <c r="A3175" s="130" t="str">
        <f>LEFT(B3175,1)</f>
        <v>L</v>
      </c>
      <c r="B3175" t="s">
        <v>28521</v>
      </c>
      <c r="C3175">
        <v>1</v>
      </c>
      <c r="D3175" t="s">
        <v>23629</v>
      </c>
      <c r="E3175" t="s">
        <v>23632</v>
      </c>
    </row>
    <row r="3176" spans="1:5" x14ac:dyDescent="0.25">
      <c r="A3176" s="130" t="s">
        <v>17568</v>
      </c>
      <c r="B3176" t="s">
        <v>26301</v>
      </c>
      <c r="C3176">
        <v>1</v>
      </c>
      <c r="D3176" t="s">
        <v>23629</v>
      </c>
      <c r="E3176" t="s">
        <v>23632</v>
      </c>
    </row>
    <row r="3177" spans="1:5" x14ac:dyDescent="0.25">
      <c r="A3177" s="131" t="s">
        <v>17568</v>
      </c>
      <c r="B3177" t="s">
        <v>26302</v>
      </c>
      <c r="C3177">
        <v>1</v>
      </c>
      <c r="D3177" t="s">
        <v>23629</v>
      </c>
      <c r="E3177" t="s">
        <v>23632</v>
      </c>
    </row>
    <row r="3178" spans="1:5" x14ac:dyDescent="0.25">
      <c r="A3178" s="130" t="s">
        <v>17568</v>
      </c>
      <c r="B3178" t="s">
        <v>26303</v>
      </c>
      <c r="C3178">
        <v>1</v>
      </c>
      <c r="D3178" t="s">
        <v>23629</v>
      </c>
      <c r="E3178" t="s">
        <v>23632</v>
      </c>
    </row>
    <row r="3179" spans="1:5" x14ac:dyDescent="0.25">
      <c r="A3179" s="130" t="s">
        <v>17568</v>
      </c>
      <c r="B3179" t="s">
        <v>26304</v>
      </c>
      <c r="C3179">
        <v>1</v>
      </c>
      <c r="D3179" t="s">
        <v>23629</v>
      </c>
      <c r="E3179" t="s">
        <v>23632</v>
      </c>
    </row>
    <row r="3180" spans="1:5" x14ac:dyDescent="0.25">
      <c r="A3180" s="131" t="s">
        <v>17568</v>
      </c>
      <c r="B3180" t="s">
        <v>26305</v>
      </c>
      <c r="C3180">
        <v>1</v>
      </c>
      <c r="D3180" t="s">
        <v>23629</v>
      </c>
      <c r="E3180" t="s">
        <v>23632</v>
      </c>
    </row>
    <row r="3181" spans="1:5" x14ac:dyDescent="0.25">
      <c r="A3181" s="130" t="s">
        <v>17568</v>
      </c>
      <c r="B3181" t="s">
        <v>26306</v>
      </c>
      <c r="C3181">
        <v>1</v>
      </c>
      <c r="D3181" t="s">
        <v>23629</v>
      </c>
      <c r="E3181" t="s">
        <v>23632</v>
      </c>
    </row>
    <row r="3182" spans="1:5" x14ac:dyDescent="0.25">
      <c r="A3182" s="131" t="s">
        <v>17568</v>
      </c>
      <c r="B3182" t="s">
        <v>26307</v>
      </c>
      <c r="C3182">
        <v>1</v>
      </c>
      <c r="D3182" t="s">
        <v>23629</v>
      </c>
      <c r="E3182" t="s">
        <v>23632</v>
      </c>
    </row>
    <row r="3183" spans="1:5" x14ac:dyDescent="0.25">
      <c r="A3183" s="130" t="str">
        <f>LEFT(B3183,1)</f>
        <v>L</v>
      </c>
      <c r="B3183" t="s">
        <v>29250</v>
      </c>
      <c r="C3183">
        <v>1</v>
      </c>
      <c r="D3183" t="s">
        <v>23629</v>
      </c>
      <c r="E3183" t="s">
        <v>23632</v>
      </c>
    </row>
    <row r="3184" spans="1:5" x14ac:dyDescent="0.25">
      <c r="A3184" s="131" t="s">
        <v>17568</v>
      </c>
      <c r="B3184" t="s">
        <v>26308</v>
      </c>
      <c r="C3184">
        <v>1</v>
      </c>
      <c r="D3184" t="s">
        <v>23629</v>
      </c>
      <c r="E3184" t="s">
        <v>23632</v>
      </c>
    </row>
    <row r="3185" spans="1:5" x14ac:dyDescent="0.25">
      <c r="A3185" s="130" t="s">
        <v>17568</v>
      </c>
      <c r="B3185" t="s">
        <v>26309</v>
      </c>
      <c r="C3185">
        <v>1</v>
      </c>
      <c r="D3185" t="s">
        <v>23629</v>
      </c>
      <c r="E3185" t="s">
        <v>23632</v>
      </c>
    </row>
    <row r="3186" spans="1:5" x14ac:dyDescent="0.25">
      <c r="A3186" s="130" t="str">
        <f>LEFT(B3186,1)</f>
        <v>L</v>
      </c>
      <c r="B3186" t="s">
        <v>28816</v>
      </c>
      <c r="C3186">
        <v>1</v>
      </c>
      <c r="D3186" t="s">
        <v>23629</v>
      </c>
      <c r="E3186" t="s">
        <v>23632</v>
      </c>
    </row>
    <row r="3187" spans="1:5" x14ac:dyDescent="0.25">
      <c r="A3187" s="131" t="s">
        <v>17568</v>
      </c>
      <c r="B3187" t="s">
        <v>26310</v>
      </c>
      <c r="C3187">
        <v>1</v>
      </c>
      <c r="D3187" t="s">
        <v>23629</v>
      </c>
      <c r="E3187" t="s">
        <v>23632</v>
      </c>
    </row>
    <row r="3188" spans="1:5" x14ac:dyDescent="0.25">
      <c r="A3188" s="130" t="s">
        <v>17568</v>
      </c>
      <c r="B3188" t="s">
        <v>26311</v>
      </c>
      <c r="C3188">
        <v>1</v>
      </c>
      <c r="D3188" t="s">
        <v>23629</v>
      </c>
      <c r="E3188" t="s">
        <v>23632</v>
      </c>
    </row>
    <row r="3189" spans="1:5" x14ac:dyDescent="0.25">
      <c r="A3189" s="130" t="s">
        <v>17568</v>
      </c>
      <c r="B3189" t="s">
        <v>26312</v>
      </c>
      <c r="C3189">
        <v>1</v>
      </c>
      <c r="D3189" t="s">
        <v>23629</v>
      </c>
      <c r="E3189" t="s">
        <v>23632</v>
      </c>
    </row>
    <row r="3190" spans="1:5" x14ac:dyDescent="0.25">
      <c r="A3190" s="131" t="s">
        <v>17568</v>
      </c>
      <c r="B3190" t="s">
        <v>26313</v>
      </c>
      <c r="C3190">
        <v>1</v>
      </c>
      <c r="D3190" t="s">
        <v>23629</v>
      </c>
      <c r="E3190" t="s">
        <v>23632</v>
      </c>
    </row>
    <row r="3191" spans="1:5" x14ac:dyDescent="0.25">
      <c r="A3191" s="130" t="s">
        <v>17568</v>
      </c>
      <c r="B3191" t="s">
        <v>26314</v>
      </c>
      <c r="C3191">
        <v>1</v>
      </c>
      <c r="D3191" t="s">
        <v>23629</v>
      </c>
      <c r="E3191" t="s">
        <v>23632</v>
      </c>
    </row>
    <row r="3192" spans="1:5" x14ac:dyDescent="0.25">
      <c r="A3192" s="131" t="s">
        <v>17568</v>
      </c>
      <c r="B3192" t="s">
        <v>26315</v>
      </c>
      <c r="C3192">
        <v>1</v>
      </c>
      <c r="D3192" t="s">
        <v>23629</v>
      </c>
      <c r="E3192" t="s">
        <v>23632</v>
      </c>
    </row>
    <row r="3193" spans="1:5" x14ac:dyDescent="0.25">
      <c r="A3193" s="130" t="s">
        <v>17568</v>
      </c>
      <c r="B3193" t="s">
        <v>26316</v>
      </c>
      <c r="C3193">
        <v>1</v>
      </c>
      <c r="D3193" t="s">
        <v>23629</v>
      </c>
      <c r="E3193" t="s">
        <v>23632</v>
      </c>
    </row>
    <row r="3194" spans="1:5" x14ac:dyDescent="0.25">
      <c r="A3194" s="131" t="str">
        <f>LEFT((B3194),1)</f>
        <v>L</v>
      </c>
      <c r="B3194" t="s">
        <v>26317</v>
      </c>
      <c r="C3194">
        <v>1</v>
      </c>
      <c r="D3194" t="s">
        <v>23629</v>
      </c>
      <c r="E3194" t="s">
        <v>23632</v>
      </c>
    </row>
    <row r="3195" spans="1:5" x14ac:dyDescent="0.25">
      <c r="A3195" s="131" t="s">
        <v>17568</v>
      </c>
      <c r="B3195" t="s">
        <v>26318</v>
      </c>
      <c r="C3195">
        <v>1</v>
      </c>
      <c r="D3195" t="s">
        <v>23629</v>
      </c>
      <c r="E3195" t="s">
        <v>23632</v>
      </c>
    </row>
    <row r="3196" spans="1:5" x14ac:dyDescent="0.25">
      <c r="A3196" s="130" t="s">
        <v>17568</v>
      </c>
      <c r="B3196" t="s">
        <v>26319</v>
      </c>
      <c r="C3196">
        <v>1</v>
      </c>
      <c r="D3196" t="s">
        <v>23629</v>
      </c>
      <c r="E3196" t="s">
        <v>23632</v>
      </c>
    </row>
    <row r="3197" spans="1:5" x14ac:dyDescent="0.25">
      <c r="A3197" s="130" t="s">
        <v>17568</v>
      </c>
      <c r="B3197" t="s">
        <v>26320</v>
      </c>
      <c r="C3197">
        <v>1</v>
      </c>
      <c r="D3197" t="s">
        <v>23629</v>
      </c>
      <c r="E3197" t="s">
        <v>23632</v>
      </c>
    </row>
    <row r="3198" spans="1:5" x14ac:dyDescent="0.25">
      <c r="A3198" s="131" t="s">
        <v>17568</v>
      </c>
      <c r="B3198" t="s">
        <v>26321</v>
      </c>
      <c r="C3198">
        <v>1</v>
      </c>
      <c r="D3198" t="s">
        <v>23629</v>
      </c>
      <c r="E3198" t="s">
        <v>23632</v>
      </c>
    </row>
    <row r="3199" spans="1:5" x14ac:dyDescent="0.25">
      <c r="A3199" s="131" t="s">
        <v>17568</v>
      </c>
      <c r="B3199" t="s">
        <v>26322</v>
      </c>
      <c r="C3199">
        <v>1</v>
      </c>
      <c r="D3199" t="s">
        <v>23629</v>
      </c>
      <c r="E3199" t="s">
        <v>23632</v>
      </c>
    </row>
    <row r="3200" spans="1:5" x14ac:dyDescent="0.25">
      <c r="A3200" s="130" t="s">
        <v>17568</v>
      </c>
      <c r="B3200" t="s">
        <v>26323</v>
      </c>
      <c r="C3200">
        <v>1</v>
      </c>
      <c r="D3200" t="s">
        <v>23629</v>
      </c>
      <c r="E3200" t="s">
        <v>23632</v>
      </c>
    </row>
    <row r="3201" spans="1:5" x14ac:dyDescent="0.25">
      <c r="A3201" s="131" t="str">
        <f>LEFT(B3201,1)</f>
        <v>L</v>
      </c>
      <c r="B3201" t="s">
        <v>26474</v>
      </c>
      <c r="C3201">
        <v>1</v>
      </c>
      <c r="D3201" t="s">
        <v>23629</v>
      </c>
      <c r="E3201" t="s">
        <v>23632</v>
      </c>
    </row>
    <row r="3202" spans="1:5" x14ac:dyDescent="0.25">
      <c r="A3202" s="131" t="s">
        <v>17568</v>
      </c>
      <c r="B3202" t="s">
        <v>26324</v>
      </c>
      <c r="C3202">
        <v>1</v>
      </c>
      <c r="D3202" t="s">
        <v>23629</v>
      </c>
      <c r="E3202" t="s">
        <v>23632</v>
      </c>
    </row>
    <row r="3203" spans="1:5" x14ac:dyDescent="0.25">
      <c r="A3203" s="130" t="str">
        <f>LEFT((B3203),1)</f>
        <v>L</v>
      </c>
      <c r="B3203" t="s">
        <v>26325</v>
      </c>
      <c r="C3203">
        <v>1</v>
      </c>
      <c r="D3203" t="s">
        <v>23629</v>
      </c>
      <c r="E3203" t="s">
        <v>23632</v>
      </c>
    </row>
    <row r="3204" spans="1:5" x14ac:dyDescent="0.25">
      <c r="A3204" s="130" t="s">
        <v>17568</v>
      </c>
      <c r="B3204" t="s">
        <v>26326</v>
      </c>
      <c r="C3204">
        <v>1</v>
      </c>
      <c r="D3204" t="s">
        <v>23629</v>
      </c>
      <c r="E3204" t="s">
        <v>23632</v>
      </c>
    </row>
    <row r="3205" spans="1:5" x14ac:dyDescent="0.25">
      <c r="A3205" s="131" t="s">
        <v>17568</v>
      </c>
      <c r="B3205" t="s">
        <v>26327</v>
      </c>
      <c r="C3205">
        <v>1.1000000000000001</v>
      </c>
      <c r="D3205" t="s">
        <v>23629</v>
      </c>
      <c r="E3205" t="s">
        <v>23632</v>
      </c>
    </row>
    <row r="3206" spans="1:5" x14ac:dyDescent="0.25">
      <c r="A3206" s="130" t="s">
        <v>17568</v>
      </c>
      <c r="B3206" t="s">
        <v>26328</v>
      </c>
      <c r="C3206">
        <v>1</v>
      </c>
      <c r="D3206" t="s">
        <v>23629</v>
      </c>
      <c r="E3206" t="s">
        <v>23632</v>
      </c>
    </row>
    <row r="3207" spans="1:5" x14ac:dyDescent="0.25">
      <c r="A3207" s="131" t="s">
        <v>17568</v>
      </c>
      <c r="B3207" t="s">
        <v>26329</v>
      </c>
      <c r="C3207">
        <v>1</v>
      </c>
      <c r="D3207" t="s">
        <v>23629</v>
      </c>
      <c r="E3207" t="s">
        <v>23632</v>
      </c>
    </row>
    <row r="3208" spans="1:5" x14ac:dyDescent="0.25">
      <c r="A3208" s="130" t="str">
        <f>LEFT(B3208,1)</f>
        <v>L</v>
      </c>
      <c r="B3208" t="s">
        <v>29069</v>
      </c>
      <c r="C3208">
        <v>1</v>
      </c>
      <c r="D3208" t="s">
        <v>23629</v>
      </c>
      <c r="E3208" t="s">
        <v>23632</v>
      </c>
    </row>
    <row r="3209" spans="1:5" x14ac:dyDescent="0.25">
      <c r="A3209" s="130" t="s">
        <v>17568</v>
      </c>
      <c r="B3209" t="s">
        <v>26330</v>
      </c>
      <c r="C3209">
        <v>1</v>
      </c>
      <c r="D3209" t="s">
        <v>23629</v>
      </c>
      <c r="E3209" t="s">
        <v>23632</v>
      </c>
    </row>
    <row r="3210" spans="1:5" x14ac:dyDescent="0.25">
      <c r="A3210" s="130" t="s">
        <v>17568</v>
      </c>
      <c r="B3210" t="s">
        <v>26331</v>
      </c>
      <c r="C3210">
        <v>1</v>
      </c>
      <c r="D3210" t="s">
        <v>23629</v>
      </c>
      <c r="E3210" t="s">
        <v>23632</v>
      </c>
    </row>
    <row r="3211" spans="1:5" x14ac:dyDescent="0.25">
      <c r="A3211" s="131" t="s">
        <v>17568</v>
      </c>
      <c r="B3211" t="s">
        <v>26332</v>
      </c>
      <c r="C3211">
        <v>1</v>
      </c>
      <c r="D3211" t="s">
        <v>23629</v>
      </c>
      <c r="E3211" t="s">
        <v>23632</v>
      </c>
    </row>
    <row r="3212" spans="1:5" x14ac:dyDescent="0.25">
      <c r="A3212" s="130" t="str">
        <f>LEFT(B3212,1)</f>
        <v>L</v>
      </c>
      <c r="B3212" t="s">
        <v>28522</v>
      </c>
      <c r="C3212">
        <v>1</v>
      </c>
      <c r="D3212" t="s">
        <v>23629</v>
      </c>
      <c r="E3212" t="s">
        <v>23632</v>
      </c>
    </row>
    <row r="3213" spans="1:5" x14ac:dyDescent="0.25">
      <c r="A3213" s="130" t="str">
        <f>LEFT(B3213,1)</f>
        <v>L</v>
      </c>
      <c r="B3213" t="s">
        <v>26475</v>
      </c>
      <c r="C3213">
        <v>1</v>
      </c>
      <c r="D3213" t="s">
        <v>23629</v>
      </c>
      <c r="E3213" t="s">
        <v>23632</v>
      </c>
    </row>
    <row r="3214" spans="1:5" x14ac:dyDescent="0.25">
      <c r="A3214" s="130" t="s">
        <v>17568</v>
      </c>
      <c r="B3214" t="s">
        <v>26333</v>
      </c>
      <c r="C3214">
        <v>1</v>
      </c>
      <c r="D3214" t="s">
        <v>23629</v>
      </c>
      <c r="E3214" t="s">
        <v>23632</v>
      </c>
    </row>
    <row r="3215" spans="1:5" x14ac:dyDescent="0.25">
      <c r="A3215" s="131" t="s">
        <v>17568</v>
      </c>
      <c r="B3215" t="s">
        <v>26334</v>
      </c>
      <c r="C3215">
        <v>1</v>
      </c>
      <c r="D3215" t="s">
        <v>23629</v>
      </c>
      <c r="E3215" t="s">
        <v>23632</v>
      </c>
    </row>
    <row r="3216" spans="1:5" x14ac:dyDescent="0.25">
      <c r="A3216" s="131" t="s">
        <v>17568</v>
      </c>
      <c r="B3216" t="s">
        <v>26335</v>
      </c>
      <c r="C3216">
        <v>1</v>
      </c>
      <c r="D3216" t="s">
        <v>23629</v>
      </c>
      <c r="E3216" t="s">
        <v>23881</v>
      </c>
    </row>
    <row r="3217" spans="1:5" x14ac:dyDescent="0.25">
      <c r="A3217" s="130" t="s">
        <v>17568</v>
      </c>
      <c r="B3217" t="s">
        <v>26336</v>
      </c>
      <c r="C3217">
        <v>1.1000000000000001</v>
      </c>
      <c r="D3217" t="s">
        <v>23629</v>
      </c>
      <c r="E3217" t="s">
        <v>23632</v>
      </c>
    </row>
    <row r="3218" spans="1:5" x14ac:dyDescent="0.25">
      <c r="A3218" s="131" t="str">
        <f>LEFT((B3218),1)</f>
        <v>L</v>
      </c>
      <c r="B3218" t="s">
        <v>26337</v>
      </c>
      <c r="C3218">
        <v>1</v>
      </c>
      <c r="D3218" t="s">
        <v>23629</v>
      </c>
      <c r="E3218" t="s">
        <v>23632</v>
      </c>
    </row>
    <row r="3219" spans="1:5" x14ac:dyDescent="0.25">
      <c r="A3219" s="131" t="str">
        <f>LEFT(B3219,1)</f>
        <v>L</v>
      </c>
      <c r="B3219" t="s">
        <v>26476</v>
      </c>
      <c r="C3219">
        <v>1</v>
      </c>
      <c r="D3219" t="s">
        <v>23629</v>
      </c>
      <c r="E3219" t="s">
        <v>23632</v>
      </c>
    </row>
    <row r="3220" spans="1:5" x14ac:dyDescent="0.25">
      <c r="A3220" s="131" t="s">
        <v>17568</v>
      </c>
      <c r="B3220" t="s">
        <v>26338</v>
      </c>
      <c r="C3220">
        <v>1</v>
      </c>
      <c r="D3220" t="s">
        <v>23629</v>
      </c>
      <c r="E3220" t="s">
        <v>23632</v>
      </c>
    </row>
    <row r="3221" spans="1:5" x14ac:dyDescent="0.25">
      <c r="A3221" s="130" t="str">
        <f>LEFT((B3221),1)</f>
        <v>L</v>
      </c>
      <c r="B3221" t="s">
        <v>26339</v>
      </c>
      <c r="C3221">
        <v>1</v>
      </c>
      <c r="D3221" t="s">
        <v>23629</v>
      </c>
      <c r="E3221" t="s">
        <v>23632</v>
      </c>
    </row>
    <row r="3222" spans="1:5" x14ac:dyDescent="0.25">
      <c r="A3222" s="130" t="str">
        <f>LEFT(B3222,1)</f>
        <v>L</v>
      </c>
      <c r="B3222" t="s">
        <v>28523</v>
      </c>
      <c r="C3222">
        <v>1</v>
      </c>
      <c r="D3222" t="s">
        <v>23629</v>
      </c>
      <c r="E3222" t="s">
        <v>23632</v>
      </c>
    </row>
    <row r="3223" spans="1:5" x14ac:dyDescent="0.25">
      <c r="A3223" s="130" t="s">
        <v>17568</v>
      </c>
      <c r="B3223" t="s">
        <v>26340</v>
      </c>
      <c r="C3223">
        <v>1</v>
      </c>
      <c r="D3223" t="s">
        <v>23629</v>
      </c>
      <c r="E3223" t="s">
        <v>23632</v>
      </c>
    </row>
    <row r="3224" spans="1:5" x14ac:dyDescent="0.25">
      <c r="A3224" s="130" t="str">
        <f>LEFT(B3224,1)</f>
        <v>L</v>
      </c>
      <c r="B3224" t="s">
        <v>28817</v>
      </c>
      <c r="C3224">
        <v>1</v>
      </c>
      <c r="D3224" t="s">
        <v>23629</v>
      </c>
      <c r="E3224" t="s">
        <v>23632</v>
      </c>
    </row>
    <row r="3225" spans="1:5" x14ac:dyDescent="0.25">
      <c r="A3225" s="130" t="s">
        <v>17568</v>
      </c>
      <c r="B3225" t="s">
        <v>26341</v>
      </c>
      <c r="C3225">
        <v>1</v>
      </c>
      <c r="D3225" t="s">
        <v>23629</v>
      </c>
      <c r="E3225" t="s">
        <v>23632</v>
      </c>
    </row>
    <row r="3226" spans="1:5" x14ac:dyDescent="0.25">
      <c r="A3226" s="130" t="str">
        <f>LEFT(B3226,1)</f>
        <v>L</v>
      </c>
      <c r="B3226" t="s">
        <v>26458</v>
      </c>
      <c r="C3226">
        <v>1</v>
      </c>
      <c r="D3226" t="s">
        <v>23629</v>
      </c>
      <c r="E3226" t="s">
        <v>23632</v>
      </c>
    </row>
    <row r="3227" spans="1:5" x14ac:dyDescent="0.25">
      <c r="A3227" s="131" t="s">
        <v>17568</v>
      </c>
      <c r="B3227" t="s">
        <v>26342</v>
      </c>
      <c r="C3227">
        <v>1</v>
      </c>
      <c r="D3227" t="s">
        <v>23629</v>
      </c>
      <c r="E3227" t="s">
        <v>23632</v>
      </c>
    </row>
    <row r="3228" spans="1:5" x14ac:dyDescent="0.25">
      <c r="A3228" s="130" t="s">
        <v>17568</v>
      </c>
      <c r="B3228" t="s">
        <v>26343</v>
      </c>
      <c r="C3228">
        <v>1</v>
      </c>
      <c r="D3228" t="s">
        <v>23629</v>
      </c>
      <c r="E3228" t="s">
        <v>23632</v>
      </c>
    </row>
    <row r="3229" spans="1:5" x14ac:dyDescent="0.25">
      <c r="A3229" s="130" t="str">
        <f>LEFT(B3229,1)</f>
        <v>L</v>
      </c>
      <c r="B3229" t="s">
        <v>29070</v>
      </c>
      <c r="C3229">
        <v>1</v>
      </c>
      <c r="D3229" t="s">
        <v>23629</v>
      </c>
      <c r="E3229" t="s">
        <v>23632</v>
      </c>
    </row>
    <row r="3230" spans="1:5" x14ac:dyDescent="0.25">
      <c r="A3230" s="130" t="s">
        <v>17568</v>
      </c>
      <c r="B3230" t="s">
        <v>26344</v>
      </c>
      <c r="C3230">
        <v>1</v>
      </c>
      <c r="D3230" t="s">
        <v>23629</v>
      </c>
      <c r="E3230" t="s">
        <v>23632</v>
      </c>
    </row>
    <row r="3231" spans="1:5" x14ac:dyDescent="0.25">
      <c r="A3231" s="131" t="str">
        <f>LEFT((B3231),1)</f>
        <v>L</v>
      </c>
      <c r="B3231" t="s">
        <v>26345</v>
      </c>
      <c r="C3231">
        <v>1</v>
      </c>
      <c r="D3231" t="s">
        <v>23629</v>
      </c>
      <c r="E3231" t="s">
        <v>23632</v>
      </c>
    </row>
    <row r="3232" spans="1:5" x14ac:dyDescent="0.25">
      <c r="A3232" s="130" t="s">
        <v>17568</v>
      </c>
      <c r="B3232" t="s">
        <v>26346</v>
      </c>
      <c r="C3232">
        <v>1</v>
      </c>
      <c r="D3232" t="s">
        <v>23629</v>
      </c>
      <c r="E3232" t="s">
        <v>23632</v>
      </c>
    </row>
    <row r="3233" spans="1:5" x14ac:dyDescent="0.25">
      <c r="A3233" s="130" t="s">
        <v>17568</v>
      </c>
      <c r="B3233" t="s">
        <v>26347</v>
      </c>
      <c r="C3233">
        <v>1</v>
      </c>
      <c r="D3233" t="s">
        <v>23629</v>
      </c>
      <c r="E3233" t="s">
        <v>23632</v>
      </c>
    </row>
    <row r="3234" spans="1:5" x14ac:dyDescent="0.25">
      <c r="A3234" s="130" t="s">
        <v>17568</v>
      </c>
      <c r="B3234" t="s">
        <v>26348</v>
      </c>
      <c r="C3234">
        <v>1</v>
      </c>
      <c r="D3234" t="s">
        <v>23629</v>
      </c>
      <c r="E3234" t="s">
        <v>23632</v>
      </c>
    </row>
    <row r="3235" spans="1:5" x14ac:dyDescent="0.25">
      <c r="A3235" s="130" t="str">
        <f>LEFT(B3235,1)</f>
        <v>L</v>
      </c>
      <c r="B3235" t="s">
        <v>28524</v>
      </c>
      <c r="C3235">
        <v>1</v>
      </c>
      <c r="D3235" t="s">
        <v>23629</v>
      </c>
      <c r="E3235" t="s">
        <v>23632</v>
      </c>
    </row>
    <row r="3236" spans="1:5" x14ac:dyDescent="0.25">
      <c r="A3236" s="130" t="str">
        <f>LEFT(B3236,1)</f>
        <v>L</v>
      </c>
      <c r="B3236" t="s">
        <v>29251</v>
      </c>
      <c r="C3236">
        <v>1</v>
      </c>
      <c r="D3236" t="s">
        <v>23629</v>
      </c>
      <c r="E3236" t="s">
        <v>23632</v>
      </c>
    </row>
    <row r="3237" spans="1:5" x14ac:dyDescent="0.25">
      <c r="A3237" s="130" t="str">
        <f>LEFT(B3237,1)</f>
        <v>L</v>
      </c>
      <c r="B3237" t="s">
        <v>28818</v>
      </c>
      <c r="C3237">
        <v>1</v>
      </c>
      <c r="D3237" t="s">
        <v>23629</v>
      </c>
      <c r="E3237" t="s">
        <v>23632</v>
      </c>
    </row>
    <row r="3238" spans="1:5" x14ac:dyDescent="0.25">
      <c r="A3238" s="130" t="str">
        <f>LEFT(B3238,1)</f>
        <v>L</v>
      </c>
      <c r="B3238" t="s">
        <v>26477</v>
      </c>
      <c r="C3238">
        <v>1</v>
      </c>
      <c r="D3238" t="s">
        <v>23629</v>
      </c>
      <c r="E3238" t="s">
        <v>23632</v>
      </c>
    </row>
    <row r="3239" spans="1:5" x14ac:dyDescent="0.25">
      <c r="A3239" s="130" t="s">
        <v>17568</v>
      </c>
      <c r="B3239" t="s">
        <v>26349</v>
      </c>
      <c r="C3239">
        <v>1</v>
      </c>
      <c r="D3239" t="s">
        <v>23629</v>
      </c>
      <c r="E3239" t="s">
        <v>23632</v>
      </c>
    </row>
    <row r="3240" spans="1:5" x14ac:dyDescent="0.25">
      <c r="A3240" s="130" t="str">
        <f>LEFT(B3240,1)</f>
        <v>L</v>
      </c>
      <c r="B3240" t="s">
        <v>28819</v>
      </c>
      <c r="C3240">
        <v>1</v>
      </c>
      <c r="D3240" t="s">
        <v>23629</v>
      </c>
      <c r="E3240" t="s">
        <v>23632</v>
      </c>
    </row>
    <row r="3241" spans="1:5" x14ac:dyDescent="0.25">
      <c r="A3241" s="131" t="s">
        <v>17568</v>
      </c>
      <c r="B3241" t="s">
        <v>26350</v>
      </c>
      <c r="C3241">
        <v>1</v>
      </c>
      <c r="D3241" t="s">
        <v>23629</v>
      </c>
      <c r="E3241" t="s">
        <v>23632</v>
      </c>
    </row>
    <row r="3242" spans="1:5" x14ac:dyDescent="0.25">
      <c r="A3242" s="130" t="s">
        <v>17568</v>
      </c>
      <c r="B3242" t="s">
        <v>26351</v>
      </c>
      <c r="C3242">
        <v>1</v>
      </c>
      <c r="D3242" t="s">
        <v>23629</v>
      </c>
      <c r="E3242" t="s">
        <v>23632</v>
      </c>
    </row>
    <row r="3243" spans="1:5" x14ac:dyDescent="0.25">
      <c r="A3243" s="130" t="s">
        <v>17568</v>
      </c>
      <c r="B3243" t="s">
        <v>26352</v>
      </c>
      <c r="C3243">
        <v>1</v>
      </c>
      <c r="D3243" t="s">
        <v>23629</v>
      </c>
      <c r="E3243" t="s">
        <v>23632</v>
      </c>
    </row>
    <row r="3244" spans="1:5" x14ac:dyDescent="0.25">
      <c r="A3244" s="131" t="str">
        <f>LEFT(B3244,1)</f>
        <v>L</v>
      </c>
      <c r="B3244" t="s">
        <v>26478</v>
      </c>
      <c r="C3244">
        <v>1</v>
      </c>
      <c r="D3244" t="s">
        <v>23629</v>
      </c>
      <c r="E3244" t="s">
        <v>23632</v>
      </c>
    </row>
    <row r="3245" spans="1:5" x14ac:dyDescent="0.25">
      <c r="A3245" s="130" t="str">
        <f>LEFT(B3245,1)</f>
        <v>L</v>
      </c>
      <c r="B3245" t="s">
        <v>28525</v>
      </c>
      <c r="C3245">
        <v>1</v>
      </c>
      <c r="D3245" t="s">
        <v>23629</v>
      </c>
      <c r="E3245" t="s">
        <v>23632</v>
      </c>
    </row>
    <row r="3246" spans="1:5" x14ac:dyDescent="0.25">
      <c r="A3246" s="130" t="str">
        <f>LEFT(B3246,1)</f>
        <v>L</v>
      </c>
      <c r="B3246" t="s">
        <v>29071</v>
      </c>
      <c r="C3246">
        <v>1</v>
      </c>
      <c r="D3246" t="s">
        <v>23629</v>
      </c>
      <c r="E3246" t="s">
        <v>23632</v>
      </c>
    </row>
    <row r="3247" spans="1:5" x14ac:dyDescent="0.25">
      <c r="A3247" s="131" t="s">
        <v>17568</v>
      </c>
      <c r="B3247" t="s">
        <v>26353</v>
      </c>
      <c r="C3247">
        <v>1</v>
      </c>
      <c r="D3247" t="s">
        <v>23629</v>
      </c>
      <c r="E3247" t="s">
        <v>23632</v>
      </c>
    </row>
    <row r="3248" spans="1:5" x14ac:dyDescent="0.25">
      <c r="A3248" s="130" t="str">
        <f>LEFT(B3248,1)</f>
        <v>L</v>
      </c>
      <c r="B3248" t="s">
        <v>29072</v>
      </c>
      <c r="C3248">
        <v>1</v>
      </c>
      <c r="D3248" t="s">
        <v>23629</v>
      </c>
      <c r="E3248" t="s">
        <v>23632</v>
      </c>
    </row>
    <row r="3249" spans="1:5" x14ac:dyDescent="0.25">
      <c r="A3249" s="130" t="str">
        <f>LEFT(B3249,1)</f>
        <v>L</v>
      </c>
      <c r="B3249" t="s">
        <v>28526</v>
      </c>
      <c r="C3249">
        <v>1</v>
      </c>
      <c r="D3249" t="s">
        <v>23629</v>
      </c>
      <c r="E3249" t="s">
        <v>23632</v>
      </c>
    </row>
    <row r="3250" spans="1:5" x14ac:dyDescent="0.25">
      <c r="A3250" s="130" t="s">
        <v>17568</v>
      </c>
      <c r="B3250" t="s">
        <v>26354</v>
      </c>
      <c r="C3250">
        <v>1</v>
      </c>
      <c r="D3250" t="s">
        <v>23629</v>
      </c>
      <c r="E3250" t="s">
        <v>23632</v>
      </c>
    </row>
    <row r="3251" spans="1:5" x14ac:dyDescent="0.25">
      <c r="A3251" s="130" t="str">
        <f>LEFT(B3251,1)</f>
        <v>L</v>
      </c>
      <c r="B3251" t="s">
        <v>29252</v>
      </c>
      <c r="C3251">
        <v>1</v>
      </c>
      <c r="D3251" t="s">
        <v>23629</v>
      </c>
      <c r="E3251" t="s">
        <v>23632</v>
      </c>
    </row>
    <row r="3252" spans="1:5" x14ac:dyDescent="0.25">
      <c r="A3252" s="130" t="s">
        <v>17568</v>
      </c>
      <c r="B3252" t="s">
        <v>26355</v>
      </c>
      <c r="C3252">
        <v>1</v>
      </c>
      <c r="D3252" t="s">
        <v>23629</v>
      </c>
      <c r="E3252" t="s">
        <v>23632</v>
      </c>
    </row>
    <row r="3253" spans="1:5" x14ac:dyDescent="0.25">
      <c r="A3253" s="130" t="str">
        <f>LEFT(B3253,1)</f>
        <v>L</v>
      </c>
      <c r="B3253" t="s">
        <v>26466</v>
      </c>
      <c r="C3253">
        <v>1</v>
      </c>
      <c r="D3253" t="s">
        <v>23629</v>
      </c>
      <c r="E3253" t="s">
        <v>23632</v>
      </c>
    </row>
    <row r="3254" spans="1:5" x14ac:dyDescent="0.25">
      <c r="A3254" s="131" t="s">
        <v>17568</v>
      </c>
      <c r="B3254" t="s">
        <v>26356</v>
      </c>
      <c r="C3254">
        <v>1</v>
      </c>
      <c r="D3254" t="s">
        <v>23629</v>
      </c>
      <c r="E3254" t="s">
        <v>23632</v>
      </c>
    </row>
    <row r="3255" spans="1:5" x14ac:dyDescent="0.25">
      <c r="A3255" s="131" t="s">
        <v>17568</v>
      </c>
      <c r="B3255" t="s">
        <v>26357</v>
      </c>
      <c r="C3255">
        <v>1</v>
      </c>
      <c r="D3255" t="s">
        <v>23629</v>
      </c>
      <c r="E3255" t="s">
        <v>23632</v>
      </c>
    </row>
    <row r="3256" spans="1:5" x14ac:dyDescent="0.25">
      <c r="A3256" s="131" t="s">
        <v>17568</v>
      </c>
      <c r="B3256" t="s">
        <v>26358</v>
      </c>
      <c r="C3256">
        <v>1</v>
      </c>
      <c r="D3256" t="s">
        <v>23629</v>
      </c>
      <c r="E3256" t="s">
        <v>23632</v>
      </c>
    </row>
    <row r="3257" spans="1:5" x14ac:dyDescent="0.25">
      <c r="A3257" s="130" t="str">
        <f>LEFT(B3257,1)</f>
        <v>L</v>
      </c>
      <c r="B3257" t="s">
        <v>28527</v>
      </c>
      <c r="C3257">
        <v>1</v>
      </c>
      <c r="D3257" t="s">
        <v>23629</v>
      </c>
      <c r="E3257" t="s">
        <v>23632</v>
      </c>
    </row>
    <row r="3258" spans="1:5" x14ac:dyDescent="0.25">
      <c r="A3258" s="131" t="str">
        <f>LEFT(B3258,1)</f>
        <v>L</v>
      </c>
      <c r="B3258" t="s">
        <v>26459</v>
      </c>
      <c r="C3258">
        <v>1</v>
      </c>
      <c r="D3258" t="s">
        <v>23629</v>
      </c>
      <c r="E3258" t="s">
        <v>23632</v>
      </c>
    </row>
    <row r="3259" spans="1:5" x14ac:dyDescent="0.25">
      <c r="A3259" s="130" t="str">
        <f>LEFT(B3259,1)</f>
        <v>L</v>
      </c>
      <c r="B3259" t="s">
        <v>29073</v>
      </c>
      <c r="C3259">
        <v>1</v>
      </c>
      <c r="D3259" t="s">
        <v>23629</v>
      </c>
      <c r="E3259" t="s">
        <v>23632</v>
      </c>
    </row>
    <row r="3260" spans="1:5" x14ac:dyDescent="0.25">
      <c r="A3260" s="130" t="s">
        <v>17568</v>
      </c>
      <c r="B3260" t="s">
        <v>26359</v>
      </c>
      <c r="C3260">
        <v>1</v>
      </c>
      <c r="D3260" t="s">
        <v>23629</v>
      </c>
      <c r="E3260" t="s">
        <v>23632</v>
      </c>
    </row>
    <row r="3261" spans="1:5" x14ac:dyDescent="0.25">
      <c r="A3261" s="130" t="s">
        <v>17568</v>
      </c>
      <c r="B3261" t="s">
        <v>26360</v>
      </c>
      <c r="C3261">
        <v>1</v>
      </c>
      <c r="D3261" t="s">
        <v>23629</v>
      </c>
      <c r="E3261" t="s">
        <v>23632</v>
      </c>
    </row>
    <row r="3262" spans="1:5" x14ac:dyDescent="0.25">
      <c r="A3262" s="130" t="str">
        <f>LEFT((B3262),1)</f>
        <v>L</v>
      </c>
      <c r="B3262" t="s">
        <v>26361</v>
      </c>
      <c r="C3262">
        <v>1</v>
      </c>
      <c r="D3262" t="s">
        <v>23629</v>
      </c>
      <c r="E3262" t="s">
        <v>23632</v>
      </c>
    </row>
    <row r="3263" spans="1:5" x14ac:dyDescent="0.25">
      <c r="A3263" s="131" t="s">
        <v>17568</v>
      </c>
      <c r="B3263" t="s">
        <v>26362</v>
      </c>
      <c r="C3263">
        <v>1</v>
      </c>
      <c r="D3263" t="s">
        <v>23629</v>
      </c>
      <c r="E3263" t="s">
        <v>23632</v>
      </c>
    </row>
    <row r="3264" spans="1:5" x14ac:dyDescent="0.25">
      <c r="A3264" s="130" t="str">
        <f>LEFT(B3264,1)</f>
        <v>L</v>
      </c>
      <c r="B3264" t="s">
        <v>26479</v>
      </c>
      <c r="C3264">
        <v>1</v>
      </c>
      <c r="D3264" t="s">
        <v>23629</v>
      </c>
      <c r="E3264" t="s">
        <v>23632</v>
      </c>
    </row>
    <row r="3265" spans="1:5" x14ac:dyDescent="0.25">
      <c r="A3265" s="131" t="str">
        <f>LEFT(B3265,1)</f>
        <v>L</v>
      </c>
      <c r="B3265" t="s">
        <v>26480</v>
      </c>
      <c r="C3265">
        <v>1</v>
      </c>
      <c r="D3265" t="s">
        <v>23629</v>
      </c>
      <c r="E3265" t="s">
        <v>23632</v>
      </c>
    </row>
    <row r="3266" spans="1:5" x14ac:dyDescent="0.25">
      <c r="A3266" s="130" t="s">
        <v>17568</v>
      </c>
      <c r="B3266" t="s">
        <v>26363</v>
      </c>
      <c r="C3266">
        <v>1</v>
      </c>
      <c r="D3266" t="s">
        <v>23629</v>
      </c>
      <c r="E3266" t="s">
        <v>23632</v>
      </c>
    </row>
    <row r="3267" spans="1:5" x14ac:dyDescent="0.25">
      <c r="A3267" s="131" t="s">
        <v>17568</v>
      </c>
      <c r="B3267" t="s">
        <v>26364</v>
      </c>
      <c r="C3267">
        <v>1</v>
      </c>
      <c r="D3267" t="s">
        <v>23629</v>
      </c>
      <c r="E3267" t="s">
        <v>23632</v>
      </c>
    </row>
    <row r="3268" spans="1:5" x14ac:dyDescent="0.25">
      <c r="A3268" s="130" t="s">
        <v>17568</v>
      </c>
      <c r="B3268" t="s">
        <v>26365</v>
      </c>
      <c r="C3268">
        <v>1</v>
      </c>
      <c r="D3268" t="s">
        <v>23629</v>
      </c>
      <c r="E3268" t="s">
        <v>23632</v>
      </c>
    </row>
    <row r="3269" spans="1:5" x14ac:dyDescent="0.25">
      <c r="A3269" s="130" t="str">
        <f>LEFT(B3269,1)</f>
        <v>L</v>
      </c>
      <c r="B3269" t="s">
        <v>26467</v>
      </c>
      <c r="C3269">
        <v>1</v>
      </c>
      <c r="D3269" t="s">
        <v>23629</v>
      </c>
      <c r="E3269" t="s">
        <v>23632</v>
      </c>
    </row>
    <row r="3270" spans="1:5" x14ac:dyDescent="0.25">
      <c r="A3270" s="130" t="s">
        <v>17568</v>
      </c>
      <c r="B3270" t="s">
        <v>26366</v>
      </c>
      <c r="C3270">
        <v>1</v>
      </c>
      <c r="D3270" t="s">
        <v>23629</v>
      </c>
      <c r="E3270" t="s">
        <v>23632</v>
      </c>
    </row>
    <row r="3271" spans="1:5" x14ac:dyDescent="0.25">
      <c r="A3271" s="131" t="str">
        <f>LEFT((B3271),1)</f>
        <v>L</v>
      </c>
      <c r="B3271" t="s">
        <v>26367</v>
      </c>
      <c r="C3271">
        <v>1</v>
      </c>
      <c r="D3271" t="s">
        <v>23629</v>
      </c>
      <c r="E3271" t="s">
        <v>23632</v>
      </c>
    </row>
    <row r="3272" spans="1:5" x14ac:dyDescent="0.25">
      <c r="A3272" s="131" t="s">
        <v>17568</v>
      </c>
      <c r="B3272" t="s">
        <v>26368</v>
      </c>
      <c r="C3272">
        <v>1</v>
      </c>
      <c r="D3272" t="s">
        <v>23629</v>
      </c>
      <c r="E3272" t="s">
        <v>23632</v>
      </c>
    </row>
    <row r="3273" spans="1:5" x14ac:dyDescent="0.25">
      <c r="A3273" s="131" t="s">
        <v>17568</v>
      </c>
      <c r="B3273" t="s">
        <v>26369</v>
      </c>
      <c r="C3273">
        <v>1</v>
      </c>
      <c r="D3273" t="s">
        <v>23629</v>
      </c>
      <c r="E3273" t="s">
        <v>23632</v>
      </c>
    </row>
    <row r="3274" spans="1:5" x14ac:dyDescent="0.25">
      <c r="A3274" s="130" t="s">
        <v>17568</v>
      </c>
      <c r="B3274" t="s">
        <v>26370</v>
      </c>
      <c r="C3274">
        <v>1</v>
      </c>
      <c r="D3274" t="s">
        <v>23629</v>
      </c>
      <c r="E3274" t="s">
        <v>23881</v>
      </c>
    </row>
    <row r="3275" spans="1:5" x14ac:dyDescent="0.25">
      <c r="A3275" s="131" t="s">
        <v>17568</v>
      </c>
      <c r="B3275" t="s">
        <v>26371</v>
      </c>
      <c r="C3275">
        <v>1</v>
      </c>
      <c r="D3275" t="s">
        <v>23629</v>
      </c>
      <c r="E3275" t="s">
        <v>23632</v>
      </c>
    </row>
    <row r="3276" spans="1:5" x14ac:dyDescent="0.25">
      <c r="A3276" s="130" t="str">
        <f>LEFT(B3276,1)</f>
        <v>L</v>
      </c>
      <c r="B3276" t="s">
        <v>29074</v>
      </c>
      <c r="C3276">
        <v>1</v>
      </c>
      <c r="D3276" t="s">
        <v>23629</v>
      </c>
      <c r="E3276" t="s">
        <v>23632</v>
      </c>
    </row>
    <row r="3277" spans="1:5" x14ac:dyDescent="0.25">
      <c r="A3277" s="130" t="s">
        <v>17568</v>
      </c>
      <c r="B3277" t="s">
        <v>26372</v>
      </c>
      <c r="C3277">
        <v>1</v>
      </c>
      <c r="D3277" t="s">
        <v>23629</v>
      </c>
      <c r="E3277" t="s">
        <v>23632</v>
      </c>
    </row>
    <row r="3278" spans="1:5" x14ac:dyDescent="0.25">
      <c r="A3278" s="131" t="s">
        <v>17568</v>
      </c>
      <c r="B3278" t="s">
        <v>26373</v>
      </c>
      <c r="C3278">
        <v>1</v>
      </c>
      <c r="D3278" t="s">
        <v>23629</v>
      </c>
      <c r="E3278" t="s">
        <v>23632</v>
      </c>
    </row>
    <row r="3279" spans="1:5" x14ac:dyDescent="0.25">
      <c r="A3279" s="130" t="str">
        <f>LEFT(B3279,1)</f>
        <v>L</v>
      </c>
      <c r="B3279" t="s">
        <v>26460</v>
      </c>
      <c r="C3279">
        <v>1</v>
      </c>
      <c r="D3279" t="s">
        <v>23629</v>
      </c>
      <c r="E3279" t="s">
        <v>23632</v>
      </c>
    </row>
    <row r="3280" spans="1:5" x14ac:dyDescent="0.25">
      <c r="A3280" s="131" t="str">
        <f>LEFT(B3280,1)</f>
        <v>L</v>
      </c>
      <c r="B3280" t="s">
        <v>26461</v>
      </c>
      <c r="C3280">
        <v>1</v>
      </c>
      <c r="D3280" t="s">
        <v>23629</v>
      </c>
      <c r="E3280" t="s">
        <v>23632</v>
      </c>
    </row>
    <row r="3281" spans="1:5" x14ac:dyDescent="0.25">
      <c r="A3281" s="130" t="str">
        <f>LEFT(B3281,1)</f>
        <v>L</v>
      </c>
      <c r="B3281" t="s">
        <v>29075</v>
      </c>
      <c r="C3281">
        <v>1</v>
      </c>
      <c r="D3281" t="s">
        <v>23629</v>
      </c>
      <c r="E3281" t="s">
        <v>23632</v>
      </c>
    </row>
    <row r="3282" spans="1:5" x14ac:dyDescent="0.25">
      <c r="A3282" s="131" t="s">
        <v>17568</v>
      </c>
      <c r="B3282" t="s">
        <v>26374</v>
      </c>
      <c r="C3282">
        <v>1</v>
      </c>
      <c r="D3282" t="s">
        <v>23629</v>
      </c>
      <c r="E3282" t="s">
        <v>23632</v>
      </c>
    </row>
    <row r="3283" spans="1:5" x14ac:dyDescent="0.25">
      <c r="A3283" s="130" t="str">
        <f>LEFT(B3283,1)</f>
        <v>L</v>
      </c>
      <c r="B3283" t="s">
        <v>26481</v>
      </c>
      <c r="C3283">
        <v>1</v>
      </c>
      <c r="D3283" t="s">
        <v>23629</v>
      </c>
      <c r="E3283" t="s">
        <v>23632</v>
      </c>
    </row>
    <row r="3284" spans="1:5" x14ac:dyDescent="0.25">
      <c r="A3284" s="131" t="s">
        <v>17568</v>
      </c>
      <c r="B3284" t="s">
        <v>26375</v>
      </c>
      <c r="C3284">
        <v>1</v>
      </c>
      <c r="D3284" t="s">
        <v>23629</v>
      </c>
      <c r="E3284" t="s">
        <v>23632</v>
      </c>
    </row>
    <row r="3285" spans="1:5" x14ac:dyDescent="0.25">
      <c r="A3285" s="130" t="s">
        <v>17568</v>
      </c>
      <c r="B3285" t="s">
        <v>26376</v>
      </c>
      <c r="C3285">
        <v>1</v>
      </c>
      <c r="D3285" t="s">
        <v>23629</v>
      </c>
      <c r="E3285" t="s">
        <v>23632</v>
      </c>
    </row>
    <row r="3286" spans="1:5" x14ac:dyDescent="0.25">
      <c r="A3286" s="131" t="s">
        <v>17568</v>
      </c>
      <c r="B3286" t="s">
        <v>26377</v>
      </c>
      <c r="C3286">
        <v>1</v>
      </c>
      <c r="D3286" t="s">
        <v>23629</v>
      </c>
      <c r="E3286" t="s">
        <v>23632</v>
      </c>
    </row>
    <row r="3287" spans="1:5" x14ac:dyDescent="0.25">
      <c r="A3287" s="130" t="str">
        <f>LEFT(B3287,1)</f>
        <v>L</v>
      </c>
      <c r="B3287" t="s">
        <v>28528</v>
      </c>
      <c r="C3287">
        <v>1</v>
      </c>
      <c r="D3287" t="s">
        <v>23629</v>
      </c>
      <c r="E3287" t="s">
        <v>23632</v>
      </c>
    </row>
    <row r="3288" spans="1:5" x14ac:dyDescent="0.25">
      <c r="A3288" s="131" t="s">
        <v>17568</v>
      </c>
      <c r="B3288" t="s">
        <v>26378</v>
      </c>
      <c r="C3288">
        <v>1</v>
      </c>
      <c r="D3288" t="s">
        <v>23629</v>
      </c>
      <c r="E3288" t="s">
        <v>23632</v>
      </c>
    </row>
    <row r="3289" spans="1:5" x14ac:dyDescent="0.25">
      <c r="A3289" s="130" t="s">
        <v>17568</v>
      </c>
      <c r="B3289" t="s">
        <v>26379</v>
      </c>
      <c r="C3289">
        <v>1</v>
      </c>
      <c r="D3289" t="s">
        <v>23629</v>
      </c>
      <c r="E3289" t="s">
        <v>23632</v>
      </c>
    </row>
    <row r="3290" spans="1:5" x14ac:dyDescent="0.25">
      <c r="A3290" s="130" t="s">
        <v>17568</v>
      </c>
      <c r="B3290" t="s">
        <v>26380</v>
      </c>
      <c r="C3290">
        <v>1</v>
      </c>
      <c r="D3290" t="s">
        <v>23629</v>
      </c>
      <c r="E3290" t="s">
        <v>23632</v>
      </c>
    </row>
    <row r="3291" spans="1:5" x14ac:dyDescent="0.25">
      <c r="A3291" s="130" t="s">
        <v>17568</v>
      </c>
      <c r="B3291" t="s">
        <v>26381</v>
      </c>
      <c r="C3291">
        <v>1</v>
      </c>
      <c r="D3291" t="s">
        <v>23629</v>
      </c>
      <c r="E3291" t="s">
        <v>23632</v>
      </c>
    </row>
    <row r="3292" spans="1:5" x14ac:dyDescent="0.25">
      <c r="A3292" s="130" t="str">
        <f>LEFT(B3292,1)</f>
        <v>L</v>
      </c>
      <c r="B3292" t="s">
        <v>26462</v>
      </c>
      <c r="C3292">
        <v>1</v>
      </c>
      <c r="D3292" t="s">
        <v>23629</v>
      </c>
      <c r="E3292" t="s">
        <v>23632</v>
      </c>
    </row>
    <row r="3293" spans="1:5" x14ac:dyDescent="0.25">
      <c r="A3293" s="130" t="s">
        <v>17568</v>
      </c>
      <c r="B3293" t="s">
        <v>26382</v>
      </c>
      <c r="C3293">
        <v>1</v>
      </c>
      <c r="D3293" t="s">
        <v>23629</v>
      </c>
      <c r="E3293" t="s">
        <v>23632</v>
      </c>
    </row>
    <row r="3294" spans="1:5" x14ac:dyDescent="0.25">
      <c r="A3294" s="130" t="s">
        <v>17568</v>
      </c>
      <c r="B3294" t="s">
        <v>26383</v>
      </c>
      <c r="C3294">
        <v>1</v>
      </c>
      <c r="D3294" t="s">
        <v>23629</v>
      </c>
      <c r="E3294" t="s">
        <v>23632</v>
      </c>
    </row>
    <row r="3295" spans="1:5" x14ac:dyDescent="0.25">
      <c r="A3295" s="131" t="s">
        <v>17568</v>
      </c>
      <c r="B3295" t="s">
        <v>26384</v>
      </c>
      <c r="C3295">
        <v>1</v>
      </c>
      <c r="D3295" t="s">
        <v>23629</v>
      </c>
      <c r="E3295" t="s">
        <v>23632</v>
      </c>
    </row>
    <row r="3296" spans="1:5" x14ac:dyDescent="0.25">
      <c r="A3296" s="131" t="str">
        <f>LEFT(B3296,1)</f>
        <v>L</v>
      </c>
      <c r="B3296" t="s">
        <v>26482</v>
      </c>
      <c r="C3296">
        <v>1</v>
      </c>
      <c r="D3296" t="s">
        <v>23629</v>
      </c>
      <c r="E3296" t="s">
        <v>23632</v>
      </c>
    </row>
    <row r="3297" spans="1:5" x14ac:dyDescent="0.25">
      <c r="A3297" s="131" t="s">
        <v>17568</v>
      </c>
      <c r="B3297" t="s">
        <v>26385</v>
      </c>
      <c r="C3297">
        <v>1</v>
      </c>
      <c r="D3297" t="s">
        <v>23629</v>
      </c>
      <c r="E3297" t="s">
        <v>23632</v>
      </c>
    </row>
    <row r="3298" spans="1:5" x14ac:dyDescent="0.25">
      <c r="A3298" s="130" t="str">
        <f>LEFT(B3298,1)</f>
        <v>L</v>
      </c>
      <c r="B3298" t="s">
        <v>29076</v>
      </c>
      <c r="C3298">
        <v>1</v>
      </c>
      <c r="D3298" t="s">
        <v>23629</v>
      </c>
      <c r="E3298" t="s">
        <v>23632</v>
      </c>
    </row>
    <row r="3299" spans="1:5" x14ac:dyDescent="0.25">
      <c r="A3299" s="130" t="str">
        <f>LEFT(B3299,1)</f>
        <v>L</v>
      </c>
      <c r="B3299" t="s">
        <v>28820</v>
      </c>
      <c r="C3299">
        <v>1</v>
      </c>
      <c r="D3299" t="s">
        <v>23629</v>
      </c>
      <c r="E3299" t="s">
        <v>23632</v>
      </c>
    </row>
    <row r="3300" spans="1:5" x14ac:dyDescent="0.25">
      <c r="A3300" s="130" t="s">
        <v>17568</v>
      </c>
      <c r="B3300" t="s">
        <v>26386</v>
      </c>
      <c r="C3300">
        <v>1.21</v>
      </c>
      <c r="D3300" t="s">
        <v>23629</v>
      </c>
      <c r="E3300" t="s">
        <v>23632</v>
      </c>
    </row>
    <row r="3301" spans="1:5" x14ac:dyDescent="0.25">
      <c r="A3301" s="130" t="s">
        <v>17568</v>
      </c>
      <c r="B3301" t="s">
        <v>26387</v>
      </c>
      <c r="C3301">
        <v>1</v>
      </c>
      <c r="D3301" t="s">
        <v>23629</v>
      </c>
      <c r="E3301" t="s">
        <v>23632</v>
      </c>
    </row>
    <row r="3302" spans="1:5" x14ac:dyDescent="0.25">
      <c r="A3302" s="131" t="s">
        <v>17568</v>
      </c>
      <c r="B3302" t="s">
        <v>26388</v>
      </c>
      <c r="C3302">
        <v>1</v>
      </c>
      <c r="D3302" t="s">
        <v>23629</v>
      </c>
      <c r="E3302" t="s">
        <v>23632</v>
      </c>
    </row>
    <row r="3303" spans="1:5" x14ac:dyDescent="0.25">
      <c r="A3303" s="130" t="str">
        <f>LEFT(B3303,1)</f>
        <v>L</v>
      </c>
      <c r="B3303" t="s">
        <v>26483</v>
      </c>
      <c r="C3303">
        <v>1</v>
      </c>
      <c r="D3303" t="s">
        <v>23629</v>
      </c>
      <c r="E3303" t="s">
        <v>23632</v>
      </c>
    </row>
    <row r="3304" spans="1:5" x14ac:dyDescent="0.25">
      <c r="A3304" s="131" t="str">
        <f>LEFT(B3304,1)</f>
        <v>L</v>
      </c>
      <c r="B3304" t="s">
        <v>26463</v>
      </c>
      <c r="C3304">
        <v>1</v>
      </c>
      <c r="D3304" t="s">
        <v>23629</v>
      </c>
      <c r="E3304" t="s">
        <v>23632</v>
      </c>
    </row>
    <row r="3305" spans="1:5" x14ac:dyDescent="0.25">
      <c r="A3305" s="130" t="s">
        <v>17568</v>
      </c>
      <c r="B3305" t="s">
        <v>26389</v>
      </c>
      <c r="C3305">
        <v>1</v>
      </c>
      <c r="D3305" t="s">
        <v>23629</v>
      </c>
      <c r="E3305" t="s">
        <v>23632</v>
      </c>
    </row>
    <row r="3306" spans="1:5" x14ac:dyDescent="0.25">
      <c r="A3306" s="130" t="str">
        <f>LEFT(B3306,1)</f>
        <v>L</v>
      </c>
      <c r="B3306" t="s">
        <v>29077</v>
      </c>
      <c r="C3306">
        <v>1</v>
      </c>
      <c r="D3306" t="s">
        <v>23629</v>
      </c>
      <c r="E3306" t="s">
        <v>23632</v>
      </c>
    </row>
    <row r="3307" spans="1:5" x14ac:dyDescent="0.25">
      <c r="A3307" s="131" t="s">
        <v>17568</v>
      </c>
      <c r="B3307" t="s">
        <v>26390</v>
      </c>
      <c r="C3307">
        <v>1</v>
      </c>
      <c r="D3307" t="s">
        <v>23629</v>
      </c>
      <c r="E3307" t="s">
        <v>23632</v>
      </c>
    </row>
    <row r="3308" spans="1:5" x14ac:dyDescent="0.25">
      <c r="A3308" s="130" t="s">
        <v>17568</v>
      </c>
      <c r="B3308" t="s">
        <v>26391</v>
      </c>
      <c r="C3308">
        <v>1</v>
      </c>
      <c r="D3308" t="s">
        <v>23629</v>
      </c>
      <c r="E3308" t="s">
        <v>23632</v>
      </c>
    </row>
    <row r="3309" spans="1:5" x14ac:dyDescent="0.25">
      <c r="A3309" s="130" t="str">
        <f>LEFT(B3309,1)</f>
        <v>L</v>
      </c>
      <c r="B3309" t="s">
        <v>28529</v>
      </c>
      <c r="C3309">
        <v>1</v>
      </c>
      <c r="D3309" t="s">
        <v>23629</v>
      </c>
      <c r="E3309" t="s">
        <v>23632</v>
      </c>
    </row>
    <row r="3310" spans="1:5" x14ac:dyDescent="0.25">
      <c r="A3310" s="131" t="s">
        <v>17568</v>
      </c>
      <c r="B3310" t="s">
        <v>26392</v>
      </c>
      <c r="C3310">
        <v>1</v>
      </c>
      <c r="D3310" t="s">
        <v>23629</v>
      </c>
      <c r="E3310" t="s">
        <v>23632</v>
      </c>
    </row>
    <row r="3311" spans="1:5" x14ac:dyDescent="0.25">
      <c r="A3311" s="131" t="s">
        <v>17568</v>
      </c>
      <c r="B3311" t="s">
        <v>26393</v>
      </c>
      <c r="C3311">
        <v>1</v>
      </c>
      <c r="D3311" t="s">
        <v>23629</v>
      </c>
      <c r="E3311" t="s">
        <v>23881</v>
      </c>
    </row>
    <row r="3312" spans="1:5" x14ac:dyDescent="0.25">
      <c r="A3312" s="131" t="s">
        <v>17568</v>
      </c>
      <c r="B3312" t="s">
        <v>26394</v>
      </c>
      <c r="C3312">
        <v>1</v>
      </c>
      <c r="D3312" t="s">
        <v>23629</v>
      </c>
      <c r="E3312" t="s">
        <v>23632</v>
      </c>
    </row>
    <row r="3313" spans="1:5" x14ac:dyDescent="0.25">
      <c r="A3313" s="131" t="str">
        <f>LEFT(B3313,1)</f>
        <v>L</v>
      </c>
      <c r="B3313" t="s">
        <v>26484</v>
      </c>
      <c r="C3313">
        <v>1</v>
      </c>
      <c r="D3313" t="s">
        <v>23629</v>
      </c>
      <c r="E3313" t="s">
        <v>23632</v>
      </c>
    </row>
    <row r="3314" spans="1:5" x14ac:dyDescent="0.25">
      <c r="A3314" s="130" t="s">
        <v>17568</v>
      </c>
      <c r="B3314" t="s">
        <v>26395</v>
      </c>
      <c r="C3314">
        <v>1</v>
      </c>
      <c r="D3314" t="s">
        <v>23629</v>
      </c>
      <c r="E3314" t="s">
        <v>23881</v>
      </c>
    </row>
    <row r="3315" spans="1:5" x14ac:dyDescent="0.25">
      <c r="A3315" s="130" t="s">
        <v>17568</v>
      </c>
      <c r="B3315" t="s">
        <v>26396</v>
      </c>
      <c r="C3315">
        <v>1</v>
      </c>
      <c r="D3315" t="s">
        <v>23629</v>
      </c>
      <c r="E3315" t="s">
        <v>23632</v>
      </c>
    </row>
    <row r="3316" spans="1:5" x14ac:dyDescent="0.25">
      <c r="A3316" s="131" t="s">
        <v>17568</v>
      </c>
      <c r="B3316" t="s">
        <v>26397</v>
      </c>
      <c r="C3316">
        <v>1</v>
      </c>
      <c r="D3316" t="s">
        <v>23629</v>
      </c>
      <c r="E3316" t="s">
        <v>23632</v>
      </c>
    </row>
    <row r="3317" spans="1:5" x14ac:dyDescent="0.25">
      <c r="A3317" s="130" t="s">
        <v>17568</v>
      </c>
      <c r="B3317" t="s">
        <v>26398</v>
      </c>
      <c r="C3317">
        <v>1</v>
      </c>
      <c r="D3317" t="s">
        <v>23629</v>
      </c>
      <c r="E3317" t="s">
        <v>23632</v>
      </c>
    </row>
    <row r="3318" spans="1:5" x14ac:dyDescent="0.25">
      <c r="A3318" s="130" t="str">
        <f>LEFT(B3318,1)</f>
        <v>L</v>
      </c>
      <c r="B3318" t="s">
        <v>26468</v>
      </c>
      <c r="C3318">
        <v>1</v>
      </c>
      <c r="D3318" t="s">
        <v>23629</v>
      </c>
      <c r="E3318" t="s">
        <v>23632</v>
      </c>
    </row>
    <row r="3319" spans="1:5" x14ac:dyDescent="0.25">
      <c r="A3319" s="131" t="s">
        <v>17568</v>
      </c>
      <c r="B3319" t="s">
        <v>26399</v>
      </c>
      <c r="C3319">
        <v>1</v>
      </c>
      <c r="D3319" t="s">
        <v>23629</v>
      </c>
      <c r="E3319" t="s">
        <v>23632</v>
      </c>
    </row>
    <row r="3320" spans="1:5" x14ac:dyDescent="0.25">
      <c r="A3320" s="130" t="str">
        <f>LEFT(B3320,1)</f>
        <v>L</v>
      </c>
      <c r="B3320" t="s">
        <v>28530</v>
      </c>
      <c r="C3320">
        <v>1.21</v>
      </c>
      <c r="D3320" t="s">
        <v>23629</v>
      </c>
      <c r="E3320" t="s">
        <v>23632</v>
      </c>
    </row>
    <row r="3321" spans="1:5" x14ac:dyDescent="0.25">
      <c r="A3321" s="131" t="s">
        <v>17568</v>
      </c>
      <c r="B3321" t="s">
        <v>26400</v>
      </c>
      <c r="C3321">
        <v>1</v>
      </c>
      <c r="D3321" t="s">
        <v>23629</v>
      </c>
      <c r="E3321" t="s">
        <v>23632</v>
      </c>
    </row>
    <row r="3322" spans="1:5" x14ac:dyDescent="0.25">
      <c r="A3322" s="131" t="s">
        <v>17568</v>
      </c>
      <c r="B3322" t="s">
        <v>26401</v>
      </c>
      <c r="C3322">
        <v>1</v>
      </c>
      <c r="D3322" t="s">
        <v>23629</v>
      </c>
      <c r="E3322" t="s">
        <v>23632</v>
      </c>
    </row>
    <row r="3323" spans="1:5" x14ac:dyDescent="0.25">
      <c r="A3323" s="130" t="s">
        <v>17568</v>
      </c>
      <c r="B3323" t="s">
        <v>26402</v>
      </c>
      <c r="C3323">
        <v>1</v>
      </c>
      <c r="D3323" t="s">
        <v>23629</v>
      </c>
      <c r="E3323" t="s">
        <v>23632</v>
      </c>
    </row>
    <row r="3324" spans="1:5" x14ac:dyDescent="0.25">
      <c r="A3324" s="130" t="s">
        <v>17568</v>
      </c>
      <c r="B3324" t="s">
        <v>26403</v>
      </c>
      <c r="C3324">
        <v>1</v>
      </c>
      <c r="D3324" t="s">
        <v>23629</v>
      </c>
      <c r="E3324" t="s">
        <v>23632</v>
      </c>
    </row>
    <row r="3325" spans="1:5" x14ac:dyDescent="0.25">
      <c r="A3325" s="130" t="s">
        <v>17568</v>
      </c>
      <c r="B3325" t="s">
        <v>26404</v>
      </c>
      <c r="C3325">
        <v>1</v>
      </c>
      <c r="D3325" t="s">
        <v>23629</v>
      </c>
      <c r="E3325" t="s">
        <v>23632</v>
      </c>
    </row>
    <row r="3326" spans="1:5" x14ac:dyDescent="0.25">
      <c r="A3326" s="130" t="str">
        <f>LEFT(B3326,1)</f>
        <v>L</v>
      </c>
      <c r="B3326" t="s">
        <v>29078</v>
      </c>
      <c r="C3326">
        <v>1</v>
      </c>
      <c r="D3326" t="s">
        <v>23629</v>
      </c>
      <c r="E3326" t="s">
        <v>23632</v>
      </c>
    </row>
    <row r="3327" spans="1:5" x14ac:dyDescent="0.25">
      <c r="A3327" s="130" t="str">
        <f>LEFT(B3327,1)</f>
        <v>L</v>
      </c>
      <c r="B3327" t="s">
        <v>28531</v>
      </c>
      <c r="C3327">
        <v>1</v>
      </c>
      <c r="D3327" t="s">
        <v>23629</v>
      </c>
      <c r="E3327" t="s">
        <v>23632</v>
      </c>
    </row>
    <row r="3328" spans="1:5" x14ac:dyDescent="0.25">
      <c r="A3328" s="130" t="str">
        <f>LEFT(B3328,1)</f>
        <v>L</v>
      </c>
      <c r="B3328" t="s">
        <v>28821</v>
      </c>
      <c r="C3328">
        <v>1</v>
      </c>
      <c r="D3328" t="s">
        <v>23629</v>
      </c>
      <c r="E3328" t="s">
        <v>23632</v>
      </c>
    </row>
    <row r="3329" spans="1:5" x14ac:dyDescent="0.25">
      <c r="A3329" s="130" t="s">
        <v>17568</v>
      </c>
      <c r="B3329" t="s">
        <v>26405</v>
      </c>
      <c r="C3329">
        <v>1</v>
      </c>
      <c r="D3329" t="s">
        <v>23629</v>
      </c>
      <c r="E3329" t="s">
        <v>23632</v>
      </c>
    </row>
    <row r="3330" spans="1:5" x14ac:dyDescent="0.25">
      <c r="A3330" s="130" t="s">
        <v>17568</v>
      </c>
      <c r="B3330" t="s">
        <v>26406</v>
      </c>
      <c r="C3330">
        <v>1</v>
      </c>
      <c r="D3330" t="s">
        <v>23629</v>
      </c>
      <c r="E3330" t="s">
        <v>23632</v>
      </c>
    </row>
    <row r="3331" spans="1:5" x14ac:dyDescent="0.25">
      <c r="A3331" s="131" t="s">
        <v>17568</v>
      </c>
      <c r="B3331" t="s">
        <v>26407</v>
      </c>
      <c r="C3331">
        <v>1</v>
      </c>
      <c r="D3331" t="s">
        <v>23629</v>
      </c>
      <c r="E3331" t="s">
        <v>23632</v>
      </c>
    </row>
    <row r="3332" spans="1:5" x14ac:dyDescent="0.25">
      <c r="A3332" s="130" t="s">
        <v>17568</v>
      </c>
      <c r="B3332" t="s">
        <v>26408</v>
      </c>
      <c r="C3332">
        <v>1</v>
      </c>
      <c r="D3332" t="s">
        <v>23629</v>
      </c>
      <c r="E3332" t="s">
        <v>23632</v>
      </c>
    </row>
    <row r="3333" spans="1:5" x14ac:dyDescent="0.25">
      <c r="A3333" s="131" t="s">
        <v>17568</v>
      </c>
      <c r="B3333" t="s">
        <v>26409</v>
      </c>
      <c r="C3333">
        <v>1</v>
      </c>
      <c r="D3333" t="s">
        <v>23629</v>
      </c>
      <c r="E3333" t="s">
        <v>23632</v>
      </c>
    </row>
    <row r="3334" spans="1:5" x14ac:dyDescent="0.25">
      <c r="A3334" s="130" t="s">
        <v>17568</v>
      </c>
      <c r="B3334" t="s">
        <v>26410</v>
      </c>
      <c r="C3334">
        <v>1</v>
      </c>
      <c r="D3334" t="s">
        <v>23629</v>
      </c>
      <c r="E3334" t="s">
        <v>23632</v>
      </c>
    </row>
    <row r="3335" spans="1:5" x14ac:dyDescent="0.25">
      <c r="A3335" s="130" t="s">
        <v>17568</v>
      </c>
      <c r="B3335" t="s">
        <v>26411</v>
      </c>
      <c r="C3335">
        <v>1</v>
      </c>
      <c r="D3335" t="s">
        <v>23629</v>
      </c>
      <c r="E3335" t="s">
        <v>23632</v>
      </c>
    </row>
    <row r="3336" spans="1:5" x14ac:dyDescent="0.25">
      <c r="A3336" s="131" t="s">
        <v>17568</v>
      </c>
      <c r="B3336" t="s">
        <v>26412</v>
      </c>
      <c r="C3336">
        <v>1</v>
      </c>
      <c r="D3336" t="s">
        <v>23629</v>
      </c>
      <c r="E3336" t="s">
        <v>23632</v>
      </c>
    </row>
    <row r="3337" spans="1:5" x14ac:dyDescent="0.25">
      <c r="A3337" s="130" t="str">
        <f>LEFT(B3337,1)</f>
        <v>L</v>
      </c>
      <c r="B3337" t="s">
        <v>28822</v>
      </c>
      <c r="C3337">
        <v>1</v>
      </c>
      <c r="D3337" t="s">
        <v>23629</v>
      </c>
      <c r="E3337" t="s">
        <v>23632</v>
      </c>
    </row>
    <row r="3338" spans="1:5" x14ac:dyDescent="0.25">
      <c r="A3338" s="130" t="str">
        <f>LEFT(B3338,1)</f>
        <v>L</v>
      </c>
      <c r="B3338" t="s">
        <v>26485</v>
      </c>
      <c r="C3338">
        <v>1</v>
      </c>
      <c r="D3338" t="s">
        <v>23629</v>
      </c>
      <c r="E3338" t="s">
        <v>23632</v>
      </c>
    </row>
    <row r="3339" spans="1:5" x14ac:dyDescent="0.25">
      <c r="A3339" s="130" t="s">
        <v>17568</v>
      </c>
      <c r="B3339" t="s">
        <v>26413</v>
      </c>
      <c r="C3339">
        <v>1</v>
      </c>
      <c r="D3339" t="s">
        <v>23629</v>
      </c>
      <c r="E3339" t="s">
        <v>23632</v>
      </c>
    </row>
    <row r="3340" spans="1:5" x14ac:dyDescent="0.25">
      <c r="A3340" s="131" t="s">
        <v>17568</v>
      </c>
      <c r="B3340" t="s">
        <v>26414</v>
      </c>
      <c r="C3340">
        <v>1</v>
      </c>
      <c r="D3340" t="s">
        <v>23629</v>
      </c>
      <c r="E3340" t="s">
        <v>23632</v>
      </c>
    </row>
    <row r="3341" spans="1:5" x14ac:dyDescent="0.25">
      <c r="A3341" s="130" t="str">
        <f>LEFT(B3341,1)</f>
        <v>L</v>
      </c>
      <c r="B3341" t="s">
        <v>28532</v>
      </c>
      <c r="C3341">
        <v>1</v>
      </c>
      <c r="D3341" t="s">
        <v>23629</v>
      </c>
      <c r="E3341" t="s">
        <v>23632</v>
      </c>
    </row>
    <row r="3342" spans="1:5" x14ac:dyDescent="0.25">
      <c r="A3342" s="130" t="str">
        <f>LEFT(B3342,1)</f>
        <v>L</v>
      </c>
      <c r="B3342" t="s">
        <v>26469</v>
      </c>
      <c r="C3342">
        <v>1</v>
      </c>
      <c r="D3342" t="s">
        <v>23629</v>
      </c>
      <c r="E3342" t="s">
        <v>23632</v>
      </c>
    </row>
    <row r="3343" spans="1:5" x14ac:dyDescent="0.25">
      <c r="A3343" s="131" t="s">
        <v>17568</v>
      </c>
      <c r="B3343" t="s">
        <v>26415</v>
      </c>
      <c r="C3343">
        <v>1</v>
      </c>
      <c r="D3343" t="s">
        <v>23629</v>
      </c>
      <c r="E3343" t="s">
        <v>23632</v>
      </c>
    </row>
    <row r="3344" spans="1:5" x14ac:dyDescent="0.25">
      <c r="A3344" s="130" t="s">
        <v>17568</v>
      </c>
      <c r="B3344" t="s">
        <v>26416</v>
      </c>
      <c r="C3344">
        <v>1</v>
      </c>
      <c r="D3344" t="s">
        <v>23629</v>
      </c>
      <c r="E3344" t="s">
        <v>23632</v>
      </c>
    </row>
    <row r="3345" spans="1:5" x14ac:dyDescent="0.25">
      <c r="A3345" s="131" t="s">
        <v>17568</v>
      </c>
      <c r="B3345" t="s">
        <v>26417</v>
      </c>
      <c r="C3345">
        <v>1.1000000000000001</v>
      </c>
      <c r="D3345" t="s">
        <v>25109</v>
      </c>
      <c r="E3345" t="s">
        <v>23632</v>
      </c>
    </row>
    <row r="3346" spans="1:5" x14ac:dyDescent="0.25">
      <c r="A3346" s="130" t="s">
        <v>17568</v>
      </c>
      <c r="B3346" t="s">
        <v>26418</v>
      </c>
      <c r="C3346">
        <v>1</v>
      </c>
      <c r="D3346" t="s">
        <v>23629</v>
      </c>
      <c r="E3346" t="s">
        <v>23632</v>
      </c>
    </row>
    <row r="3347" spans="1:5" x14ac:dyDescent="0.25">
      <c r="A3347" s="131" t="s">
        <v>17568</v>
      </c>
      <c r="B3347" t="s">
        <v>26419</v>
      </c>
      <c r="C3347">
        <v>1</v>
      </c>
      <c r="D3347" t="s">
        <v>23629</v>
      </c>
      <c r="E3347" t="s">
        <v>23632</v>
      </c>
    </row>
    <row r="3348" spans="1:5" x14ac:dyDescent="0.25">
      <c r="A3348" s="131" t="str">
        <f>LEFT(B3348,1)</f>
        <v>L</v>
      </c>
      <c r="B3348" t="s">
        <v>26486</v>
      </c>
      <c r="C3348">
        <v>1</v>
      </c>
      <c r="D3348" t="s">
        <v>23629</v>
      </c>
      <c r="E3348" t="s">
        <v>23632</v>
      </c>
    </row>
    <row r="3349" spans="1:5" x14ac:dyDescent="0.25">
      <c r="A3349" s="130" t="str">
        <f>LEFT(B3349,1)</f>
        <v>L</v>
      </c>
      <c r="B3349" t="s">
        <v>26464</v>
      </c>
      <c r="C3349">
        <v>1</v>
      </c>
      <c r="D3349" t="s">
        <v>23629</v>
      </c>
      <c r="E3349" t="s">
        <v>23632</v>
      </c>
    </row>
    <row r="3350" spans="1:5" x14ac:dyDescent="0.25">
      <c r="A3350" s="130" t="str">
        <f>LEFT(B3350,1)</f>
        <v>L</v>
      </c>
      <c r="B3350" t="s">
        <v>29253</v>
      </c>
      <c r="C3350">
        <v>1</v>
      </c>
      <c r="D3350" t="s">
        <v>23629</v>
      </c>
      <c r="E3350" t="s">
        <v>23632</v>
      </c>
    </row>
    <row r="3351" spans="1:5" x14ac:dyDescent="0.25">
      <c r="A3351" s="130" t="str">
        <f>LEFT(B3351,1)</f>
        <v>L</v>
      </c>
      <c r="B3351" t="s">
        <v>28533</v>
      </c>
      <c r="C3351">
        <v>1</v>
      </c>
      <c r="D3351" t="s">
        <v>23629</v>
      </c>
      <c r="E3351" t="s">
        <v>23632</v>
      </c>
    </row>
    <row r="3352" spans="1:5" x14ac:dyDescent="0.25">
      <c r="A3352" s="130" t="str">
        <f>LEFT(B3352,1)</f>
        <v>L</v>
      </c>
      <c r="B3352" t="s">
        <v>26487</v>
      </c>
      <c r="C3352">
        <v>1</v>
      </c>
      <c r="D3352" t="s">
        <v>23629</v>
      </c>
      <c r="E3352" t="s">
        <v>23632</v>
      </c>
    </row>
    <row r="3353" spans="1:5" x14ac:dyDescent="0.25">
      <c r="A3353" s="130" t="s">
        <v>17568</v>
      </c>
      <c r="B3353" t="s">
        <v>26420</v>
      </c>
      <c r="C3353">
        <v>1</v>
      </c>
      <c r="D3353" t="s">
        <v>23629</v>
      </c>
      <c r="E3353" t="s">
        <v>23632</v>
      </c>
    </row>
    <row r="3354" spans="1:5" x14ac:dyDescent="0.25">
      <c r="A3354" s="130" t="s">
        <v>17568</v>
      </c>
      <c r="B3354" t="s">
        <v>26421</v>
      </c>
      <c r="C3354">
        <v>1</v>
      </c>
      <c r="D3354" t="s">
        <v>23629</v>
      </c>
      <c r="E3354" t="s">
        <v>23632</v>
      </c>
    </row>
    <row r="3355" spans="1:5" x14ac:dyDescent="0.25">
      <c r="A3355" s="131" t="s">
        <v>17568</v>
      </c>
      <c r="B3355" t="s">
        <v>26422</v>
      </c>
      <c r="C3355">
        <v>1</v>
      </c>
      <c r="D3355" t="s">
        <v>23629</v>
      </c>
      <c r="E3355" t="s">
        <v>23632</v>
      </c>
    </row>
    <row r="3356" spans="1:5" x14ac:dyDescent="0.25">
      <c r="A3356" s="130" t="s">
        <v>17568</v>
      </c>
      <c r="B3356" t="s">
        <v>26423</v>
      </c>
      <c r="C3356">
        <v>1</v>
      </c>
      <c r="D3356" t="s">
        <v>23629</v>
      </c>
      <c r="E3356" t="s">
        <v>23632</v>
      </c>
    </row>
    <row r="3357" spans="1:5" x14ac:dyDescent="0.25">
      <c r="A3357" s="130" t="s">
        <v>17568</v>
      </c>
      <c r="B3357" t="s">
        <v>26424</v>
      </c>
      <c r="C3357">
        <v>1</v>
      </c>
      <c r="D3357" t="s">
        <v>23629</v>
      </c>
      <c r="E3357" t="s">
        <v>23632</v>
      </c>
    </row>
    <row r="3358" spans="1:5" x14ac:dyDescent="0.25">
      <c r="A3358" s="131" t="s">
        <v>17568</v>
      </c>
      <c r="B3358" t="s">
        <v>26425</v>
      </c>
      <c r="C3358">
        <v>1</v>
      </c>
      <c r="D3358" t="s">
        <v>23629</v>
      </c>
      <c r="E3358" t="s">
        <v>23632</v>
      </c>
    </row>
    <row r="3359" spans="1:5" x14ac:dyDescent="0.25">
      <c r="A3359" s="130" t="str">
        <f>LEFT(B3359,1)</f>
        <v>L</v>
      </c>
      <c r="B3359" t="s">
        <v>29079</v>
      </c>
      <c r="C3359">
        <v>1</v>
      </c>
      <c r="D3359" t="s">
        <v>23629</v>
      </c>
      <c r="E3359" t="s">
        <v>23632</v>
      </c>
    </row>
    <row r="3360" spans="1:5" x14ac:dyDescent="0.25">
      <c r="A3360" s="130" t="str">
        <f>LEFT(B3360,1)</f>
        <v>L</v>
      </c>
      <c r="B3360" t="s">
        <v>26470</v>
      </c>
      <c r="C3360">
        <v>1</v>
      </c>
      <c r="D3360" t="s">
        <v>23629</v>
      </c>
      <c r="E3360" t="s">
        <v>23632</v>
      </c>
    </row>
    <row r="3361" spans="1:5" x14ac:dyDescent="0.25">
      <c r="A3361" s="130" t="str">
        <f>LEFT(B3361,1)</f>
        <v>L</v>
      </c>
      <c r="B3361" t="s">
        <v>29254</v>
      </c>
      <c r="C3361">
        <v>1</v>
      </c>
      <c r="D3361" t="s">
        <v>23629</v>
      </c>
      <c r="E3361" t="s">
        <v>23632</v>
      </c>
    </row>
    <row r="3362" spans="1:5" x14ac:dyDescent="0.25">
      <c r="A3362" s="130" t="str">
        <f>LEFT(B3362,1)</f>
        <v>L</v>
      </c>
      <c r="B3362" t="s">
        <v>29080</v>
      </c>
      <c r="C3362">
        <v>1</v>
      </c>
      <c r="D3362" t="s">
        <v>23629</v>
      </c>
      <c r="E3362" t="s">
        <v>23632</v>
      </c>
    </row>
    <row r="3363" spans="1:5" x14ac:dyDescent="0.25">
      <c r="A3363" s="130" t="str">
        <f>LEFT(B3363,1)</f>
        <v>L</v>
      </c>
      <c r="B3363" t="s">
        <v>28534</v>
      </c>
      <c r="C3363">
        <v>1</v>
      </c>
      <c r="D3363" t="s">
        <v>23629</v>
      </c>
      <c r="E3363" t="s">
        <v>23632</v>
      </c>
    </row>
    <row r="3364" spans="1:5" x14ac:dyDescent="0.25">
      <c r="A3364" s="131" t="s">
        <v>17568</v>
      </c>
      <c r="B3364" t="s">
        <v>26426</v>
      </c>
      <c r="C3364">
        <v>1</v>
      </c>
      <c r="D3364" t="s">
        <v>23629</v>
      </c>
      <c r="E3364" t="s">
        <v>23632</v>
      </c>
    </row>
    <row r="3365" spans="1:5" x14ac:dyDescent="0.25">
      <c r="A3365" s="130" t="str">
        <f>LEFT(B3365,1)</f>
        <v>L</v>
      </c>
      <c r="B3365" t="s">
        <v>28823</v>
      </c>
      <c r="C3365">
        <v>1</v>
      </c>
      <c r="D3365" t="s">
        <v>23629</v>
      </c>
      <c r="E3365" t="s">
        <v>23632</v>
      </c>
    </row>
    <row r="3366" spans="1:5" x14ac:dyDescent="0.25">
      <c r="A3366" s="131" t="s">
        <v>17568</v>
      </c>
      <c r="B3366" t="s">
        <v>26427</v>
      </c>
      <c r="C3366">
        <v>1</v>
      </c>
      <c r="D3366" t="s">
        <v>23629</v>
      </c>
      <c r="E3366" t="s">
        <v>23632</v>
      </c>
    </row>
    <row r="3367" spans="1:5" x14ac:dyDescent="0.25">
      <c r="A3367" s="130" t="str">
        <f>LEFT(B3367,1)</f>
        <v>L</v>
      </c>
      <c r="B3367" t="s">
        <v>29081</v>
      </c>
      <c r="C3367">
        <v>1</v>
      </c>
      <c r="D3367" t="s">
        <v>23629</v>
      </c>
      <c r="E3367" t="s">
        <v>23632</v>
      </c>
    </row>
    <row r="3368" spans="1:5" x14ac:dyDescent="0.25">
      <c r="A3368" s="130" t="s">
        <v>17568</v>
      </c>
      <c r="B3368" t="s">
        <v>26428</v>
      </c>
      <c r="C3368">
        <v>1</v>
      </c>
      <c r="D3368" t="s">
        <v>23629</v>
      </c>
      <c r="E3368" t="s">
        <v>23632</v>
      </c>
    </row>
    <row r="3369" spans="1:5" x14ac:dyDescent="0.25">
      <c r="A3369" s="130" t="s">
        <v>17568</v>
      </c>
      <c r="B3369" t="s">
        <v>26429</v>
      </c>
      <c r="C3369">
        <v>1</v>
      </c>
      <c r="D3369" t="s">
        <v>23629</v>
      </c>
      <c r="E3369" t="s">
        <v>23632</v>
      </c>
    </row>
    <row r="3370" spans="1:5" x14ac:dyDescent="0.25">
      <c r="A3370" s="130" t="str">
        <f>LEFT(B3370,1)</f>
        <v>L</v>
      </c>
      <c r="B3370" t="s">
        <v>28824</v>
      </c>
      <c r="C3370">
        <v>1</v>
      </c>
      <c r="D3370" t="s">
        <v>23629</v>
      </c>
      <c r="E3370" t="s">
        <v>23632</v>
      </c>
    </row>
    <row r="3371" spans="1:5" x14ac:dyDescent="0.25">
      <c r="A3371" s="130" t="str">
        <f>LEFT(B3371,1)</f>
        <v>L</v>
      </c>
      <c r="B3371" t="s">
        <v>28825</v>
      </c>
      <c r="C3371">
        <v>1</v>
      </c>
      <c r="D3371" t="s">
        <v>23629</v>
      </c>
      <c r="E3371" t="s">
        <v>23632</v>
      </c>
    </row>
    <row r="3372" spans="1:5" x14ac:dyDescent="0.25">
      <c r="A3372" s="131" t="s">
        <v>17568</v>
      </c>
      <c r="B3372" t="s">
        <v>26430</v>
      </c>
      <c r="C3372">
        <v>1</v>
      </c>
      <c r="D3372" t="s">
        <v>23629</v>
      </c>
      <c r="E3372" t="s">
        <v>23632</v>
      </c>
    </row>
    <row r="3373" spans="1:5" x14ac:dyDescent="0.25">
      <c r="A3373" s="130" t="s">
        <v>17568</v>
      </c>
      <c r="B3373" t="s">
        <v>26431</v>
      </c>
      <c r="C3373">
        <v>1</v>
      </c>
      <c r="D3373" t="s">
        <v>23629</v>
      </c>
      <c r="E3373" t="s">
        <v>23632</v>
      </c>
    </row>
    <row r="3374" spans="1:5" x14ac:dyDescent="0.25">
      <c r="A3374" s="131" t="s">
        <v>17568</v>
      </c>
      <c r="B3374" t="s">
        <v>26432</v>
      </c>
      <c r="C3374">
        <v>1</v>
      </c>
      <c r="D3374" t="s">
        <v>23629</v>
      </c>
      <c r="E3374" t="s">
        <v>23632</v>
      </c>
    </row>
    <row r="3375" spans="1:5" x14ac:dyDescent="0.25">
      <c r="A3375" s="130" t="str">
        <f>LEFT(B3375,1)</f>
        <v>L</v>
      </c>
      <c r="B3375" t="s">
        <v>28826</v>
      </c>
      <c r="C3375">
        <v>1</v>
      </c>
      <c r="D3375" t="s">
        <v>23629</v>
      </c>
      <c r="E3375" t="s">
        <v>23632</v>
      </c>
    </row>
    <row r="3376" spans="1:5" x14ac:dyDescent="0.25">
      <c r="A3376" s="130" t="s">
        <v>17568</v>
      </c>
      <c r="B3376" t="s">
        <v>26433</v>
      </c>
      <c r="C3376">
        <v>1</v>
      </c>
      <c r="D3376" t="s">
        <v>23629</v>
      </c>
      <c r="E3376" t="s">
        <v>23632</v>
      </c>
    </row>
    <row r="3377" spans="1:5" x14ac:dyDescent="0.25">
      <c r="A3377" s="131" t="str">
        <f>LEFT(B3377,1)</f>
        <v>L</v>
      </c>
      <c r="B3377" t="s">
        <v>26488</v>
      </c>
      <c r="C3377">
        <v>1</v>
      </c>
      <c r="D3377" t="s">
        <v>23629</v>
      </c>
      <c r="E3377" t="s">
        <v>23632</v>
      </c>
    </row>
    <row r="3378" spans="1:5" x14ac:dyDescent="0.25">
      <c r="A3378" s="130" t="str">
        <f>LEFT(B3378,1)</f>
        <v>L</v>
      </c>
      <c r="B3378" t="s">
        <v>26471</v>
      </c>
      <c r="C3378">
        <v>1</v>
      </c>
      <c r="D3378" t="s">
        <v>23629</v>
      </c>
      <c r="E3378" t="s">
        <v>23632</v>
      </c>
    </row>
    <row r="3379" spans="1:5" x14ac:dyDescent="0.25">
      <c r="A3379" s="131" t="s">
        <v>17568</v>
      </c>
      <c r="B3379" t="s">
        <v>26434</v>
      </c>
      <c r="C3379">
        <v>1</v>
      </c>
      <c r="D3379" t="s">
        <v>23629</v>
      </c>
      <c r="E3379" t="s">
        <v>23632</v>
      </c>
    </row>
    <row r="3380" spans="1:5" x14ac:dyDescent="0.25">
      <c r="A3380" s="130" t="s">
        <v>17568</v>
      </c>
      <c r="B3380" t="s">
        <v>26435</v>
      </c>
      <c r="C3380">
        <v>1</v>
      </c>
      <c r="D3380" t="s">
        <v>23629</v>
      </c>
      <c r="E3380" t="s">
        <v>23632</v>
      </c>
    </row>
    <row r="3381" spans="1:5" x14ac:dyDescent="0.25">
      <c r="A3381" s="131" t="s">
        <v>17568</v>
      </c>
      <c r="B3381" t="s">
        <v>26436</v>
      </c>
      <c r="C3381">
        <v>1</v>
      </c>
      <c r="D3381" t="s">
        <v>23629</v>
      </c>
      <c r="E3381" t="s">
        <v>23632</v>
      </c>
    </row>
    <row r="3382" spans="1:5" x14ac:dyDescent="0.25">
      <c r="A3382" s="131" t="s">
        <v>17568</v>
      </c>
      <c r="B3382" t="s">
        <v>26437</v>
      </c>
      <c r="C3382">
        <v>1</v>
      </c>
      <c r="D3382" t="s">
        <v>23629</v>
      </c>
      <c r="E3382" t="s">
        <v>23632</v>
      </c>
    </row>
    <row r="3383" spans="1:5" x14ac:dyDescent="0.25">
      <c r="A3383" s="130" t="str">
        <f>LEFT(B3383,1)</f>
        <v>L</v>
      </c>
      <c r="B3383" t="s">
        <v>26489</v>
      </c>
      <c r="C3383">
        <v>1.1100000000000001</v>
      </c>
      <c r="D3383" t="s">
        <v>23629</v>
      </c>
      <c r="E3383" t="s">
        <v>23632</v>
      </c>
    </row>
    <row r="3384" spans="1:5" x14ac:dyDescent="0.25">
      <c r="A3384" s="131" t="s">
        <v>17568</v>
      </c>
      <c r="B3384" t="s">
        <v>26438</v>
      </c>
      <c r="C3384">
        <v>1</v>
      </c>
      <c r="D3384" t="s">
        <v>23629</v>
      </c>
      <c r="E3384" t="s">
        <v>23632</v>
      </c>
    </row>
    <row r="3385" spans="1:5" x14ac:dyDescent="0.25">
      <c r="A3385" s="130" t="s">
        <v>17568</v>
      </c>
      <c r="B3385" t="s">
        <v>26439</v>
      </c>
      <c r="C3385">
        <v>1</v>
      </c>
      <c r="D3385" t="s">
        <v>23629</v>
      </c>
      <c r="E3385" t="s">
        <v>23632</v>
      </c>
    </row>
    <row r="3386" spans="1:5" x14ac:dyDescent="0.25">
      <c r="A3386" s="131" t="s">
        <v>17568</v>
      </c>
      <c r="B3386" t="s">
        <v>26440</v>
      </c>
      <c r="C3386">
        <v>1</v>
      </c>
      <c r="D3386" t="s">
        <v>23629</v>
      </c>
      <c r="E3386" t="s">
        <v>23632</v>
      </c>
    </row>
    <row r="3387" spans="1:5" x14ac:dyDescent="0.25">
      <c r="A3387" s="130" t="str">
        <f>LEFT(B3387,1)</f>
        <v>L</v>
      </c>
      <c r="B3387" t="s">
        <v>26472</v>
      </c>
      <c r="C3387">
        <v>1</v>
      </c>
      <c r="D3387" t="s">
        <v>23629</v>
      </c>
      <c r="E3387" t="s">
        <v>23632</v>
      </c>
    </row>
    <row r="3388" spans="1:5" x14ac:dyDescent="0.25">
      <c r="A3388" s="131" t="s">
        <v>17568</v>
      </c>
      <c r="B3388" t="s">
        <v>26441</v>
      </c>
      <c r="C3388">
        <v>1</v>
      </c>
      <c r="D3388" t="s">
        <v>23629</v>
      </c>
      <c r="E3388" t="s">
        <v>23632</v>
      </c>
    </row>
    <row r="3389" spans="1:5" x14ac:dyDescent="0.25">
      <c r="A3389" s="130" t="str">
        <f>LEFT((B3389),1)</f>
        <v>L</v>
      </c>
      <c r="B3389" t="s">
        <v>26442</v>
      </c>
      <c r="C3389">
        <v>1</v>
      </c>
      <c r="D3389" t="s">
        <v>23629</v>
      </c>
      <c r="E3389" t="s">
        <v>23632</v>
      </c>
    </row>
    <row r="3390" spans="1:5" x14ac:dyDescent="0.25">
      <c r="A3390" s="130" t="str">
        <f>LEFT(B3390,1)</f>
        <v>L</v>
      </c>
      <c r="B3390" t="s">
        <v>28535</v>
      </c>
      <c r="C3390">
        <v>1</v>
      </c>
      <c r="D3390" t="s">
        <v>23629</v>
      </c>
      <c r="E3390" t="s">
        <v>23632</v>
      </c>
    </row>
    <row r="3391" spans="1:5" x14ac:dyDescent="0.25">
      <c r="A3391" s="131" t="str">
        <f>LEFT(B3391,1)</f>
        <v>L</v>
      </c>
      <c r="B3391" t="s">
        <v>26490</v>
      </c>
      <c r="C3391">
        <v>1</v>
      </c>
      <c r="D3391" t="s">
        <v>23629</v>
      </c>
      <c r="E3391" t="s">
        <v>23632</v>
      </c>
    </row>
    <row r="3392" spans="1:5" x14ac:dyDescent="0.25">
      <c r="A3392" s="130" t="str">
        <f>LEFT(B3392,1)</f>
        <v>L</v>
      </c>
      <c r="B3392" t="s">
        <v>26491</v>
      </c>
      <c r="C3392">
        <v>1</v>
      </c>
      <c r="D3392" t="s">
        <v>23629</v>
      </c>
      <c r="E3392" t="s">
        <v>23632</v>
      </c>
    </row>
    <row r="3393" spans="1:5" x14ac:dyDescent="0.25">
      <c r="A3393" s="131" t="s">
        <v>17568</v>
      </c>
      <c r="B3393" t="s">
        <v>26443</v>
      </c>
      <c r="C3393">
        <v>1</v>
      </c>
      <c r="D3393" t="s">
        <v>23629</v>
      </c>
      <c r="E3393" t="s">
        <v>23632</v>
      </c>
    </row>
    <row r="3394" spans="1:5" x14ac:dyDescent="0.25">
      <c r="A3394" s="130" t="str">
        <f>LEFT(B3394,1)</f>
        <v>L</v>
      </c>
      <c r="B3394" t="s">
        <v>29082</v>
      </c>
      <c r="C3394">
        <v>1</v>
      </c>
      <c r="D3394" t="s">
        <v>23629</v>
      </c>
      <c r="E3394" t="s">
        <v>23632</v>
      </c>
    </row>
    <row r="3395" spans="1:5" x14ac:dyDescent="0.25">
      <c r="A3395" s="130" t="s">
        <v>17568</v>
      </c>
      <c r="B3395" t="s">
        <v>26444</v>
      </c>
      <c r="C3395">
        <v>1</v>
      </c>
      <c r="D3395" t="s">
        <v>23629</v>
      </c>
      <c r="E3395" t="s">
        <v>23632</v>
      </c>
    </row>
    <row r="3396" spans="1:5" x14ac:dyDescent="0.25">
      <c r="A3396" s="131" t="s">
        <v>17568</v>
      </c>
      <c r="B3396" t="s">
        <v>26445</v>
      </c>
      <c r="C3396">
        <v>1</v>
      </c>
      <c r="D3396" t="s">
        <v>23629</v>
      </c>
      <c r="E3396" t="s">
        <v>23632</v>
      </c>
    </row>
    <row r="3397" spans="1:5" x14ac:dyDescent="0.25">
      <c r="A3397" s="130" t="s">
        <v>17568</v>
      </c>
      <c r="B3397" t="s">
        <v>26446</v>
      </c>
      <c r="C3397">
        <v>1</v>
      </c>
      <c r="D3397" t="s">
        <v>23629</v>
      </c>
      <c r="E3397" t="s">
        <v>23632</v>
      </c>
    </row>
    <row r="3398" spans="1:5" x14ac:dyDescent="0.25">
      <c r="A3398" s="131" t="str">
        <f>LEFT(B3398,1)</f>
        <v>L</v>
      </c>
      <c r="B3398" t="s">
        <v>26492</v>
      </c>
      <c r="C3398">
        <v>1</v>
      </c>
      <c r="D3398" t="s">
        <v>23629</v>
      </c>
      <c r="E3398" t="s">
        <v>23632</v>
      </c>
    </row>
    <row r="3399" spans="1:5" x14ac:dyDescent="0.25">
      <c r="A3399" s="131" t="s">
        <v>17568</v>
      </c>
      <c r="B3399" t="s">
        <v>26447</v>
      </c>
      <c r="C3399">
        <v>1</v>
      </c>
      <c r="D3399" t="s">
        <v>23629</v>
      </c>
      <c r="E3399" t="s">
        <v>23632</v>
      </c>
    </row>
    <row r="3400" spans="1:5" x14ac:dyDescent="0.25">
      <c r="A3400" s="131" t="s">
        <v>17568</v>
      </c>
      <c r="B3400" t="s">
        <v>26448</v>
      </c>
      <c r="C3400">
        <v>1</v>
      </c>
      <c r="D3400" t="s">
        <v>23629</v>
      </c>
      <c r="E3400" t="s">
        <v>23632</v>
      </c>
    </row>
    <row r="3401" spans="1:5" x14ac:dyDescent="0.25">
      <c r="A3401" s="131" t="s">
        <v>17568</v>
      </c>
      <c r="B3401" t="s">
        <v>26449</v>
      </c>
      <c r="C3401">
        <v>1</v>
      </c>
      <c r="D3401" t="s">
        <v>23629</v>
      </c>
      <c r="E3401" t="s">
        <v>23632</v>
      </c>
    </row>
    <row r="3402" spans="1:5" x14ac:dyDescent="0.25">
      <c r="A3402" s="131" t="s">
        <v>17568</v>
      </c>
      <c r="B3402" t="s">
        <v>26450</v>
      </c>
      <c r="C3402">
        <v>1</v>
      </c>
      <c r="D3402" t="s">
        <v>23629</v>
      </c>
      <c r="E3402" t="s">
        <v>23632</v>
      </c>
    </row>
    <row r="3403" spans="1:5" x14ac:dyDescent="0.25">
      <c r="A3403" s="131" t="s">
        <v>17568</v>
      </c>
      <c r="B3403" t="s">
        <v>26451</v>
      </c>
      <c r="C3403">
        <v>1</v>
      </c>
      <c r="D3403" t="s">
        <v>23629</v>
      </c>
      <c r="E3403" t="s">
        <v>23632</v>
      </c>
    </row>
    <row r="3404" spans="1:5" x14ac:dyDescent="0.25">
      <c r="A3404" s="130" t="s">
        <v>17568</v>
      </c>
      <c r="B3404" t="s">
        <v>26452</v>
      </c>
      <c r="C3404">
        <v>1</v>
      </c>
      <c r="D3404" t="s">
        <v>23629</v>
      </c>
      <c r="E3404" t="s">
        <v>23632</v>
      </c>
    </row>
    <row r="3405" spans="1:5" x14ac:dyDescent="0.25">
      <c r="A3405" s="131" t="s">
        <v>17568</v>
      </c>
      <c r="B3405" t="s">
        <v>26453</v>
      </c>
      <c r="C3405">
        <v>1</v>
      </c>
      <c r="D3405" t="s">
        <v>23629</v>
      </c>
      <c r="E3405" t="s">
        <v>23632</v>
      </c>
    </row>
    <row r="3406" spans="1:5" x14ac:dyDescent="0.25">
      <c r="A3406" s="130" t="str">
        <f>LEFT(B3406,1)</f>
        <v>L</v>
      </c>
      <c r="B3406" t="s">
        <v>28827</v>
      </c>
      <c r="C3406">
        <v>1</v>
      </c>
      <c r="D3406" t="s">
        <v>23629</v>
      </c>
      <c r="E3406" t="s">
        <v>23632</v>
      </c>
    </row>
    <row r="3407" spans="1:5" x14ac:dyDescent="0.25">
      <c r="A3407" s="131" t="s">
        <v>17568</v>
      </c>
      <c r="B3407" t="s">
        <v>26454</v>
      </c>
      <c r="C3407">
        <v>1</v>
      </c>
      <c r="D3407" t="s">
        <v>23629</v>
      </c>
      <c r="E3407" t="s">
        <v>23632</v>
      </c>
    </row>
    <row r="3408" spans="1:5" x14ac:dyDescent="0.25">
      <c r="A3408" s="130" t="str">
        <f>LEFT(B3408,1)</f>
        <v>L</v>
      </c>
      <c r="B3408" t="s">
        <v>28536</v>
      </c>
      <c r="C3408">
        <v>1</v>
      </c>
      <c r="D3408" t="s">
        <v>23629</v>
      </c>
      <c r="E3408" t="s">
        <v>23632</v>
      </c>
    </row>
    <row r="3409" spans="1:5" x14ac:dyDescent="0.25">
      <c r="A3409" s="131" t="s">
        <v>17568</v>
      </c>
      <c r="B3409" t="s">
        <v>26455</v>
      </c>
      <c r="C3409">
        <v>1</v>
      </c>
      <c r="D3409" t="s">
        <v>23629</v>
      </c>
      <c r="E3409" t="s">
        <v>23632</v>
      </c>
    </row>
    <row r="3410" spans="1:5" x14ac:dyDescent="0.25">
      <c r="A3410" s="131" t="s">
        <v>17568</v>
      </c>
      <c r="B3410" t="s">
        <v>26456</v>
      </c>
      <c r="C3410">
        <v>1</v>
      </c>
      <c r="D3410" t="s">
        <v>23629</v>
      </c>
      <c r="E3410" t="s">
        <v>23632</v>
      </c>
    </row>
    <row r="3411" spans="1:5" x14ac:dyDescent="0.25">
      <c r="A3411" s="130" t="s">
        <v>17568</v>
      </c>
      <c r="B3411" t="s">
        <v>26457</v>
      </c>
      <c r="C3411">
        <v>1</v>
      </c>
      <c r="D3411" t="s">
        <v>23629</v>
      </c>
      <c r="E3411" t="s">
        <v>23632</v>
      </c>
    </row>
    <row r="3412" spans="1:5" x14ac:dyDescent="0.25">
      <c r="A3412" s="131" t="s">
        <v>26493</v>
      </c>
      <c r="B3412" t="s">
        <v>26494</v>
      </c>
      <c r="C3412">
        <v>1</v>
      </c>
      <c r="D3412" t="s">
        <v>23629</v>
      </c>
      <c r="E3412" t="s">
        <v>23632</v>
      </c>
    </row>
    <row r="3413" spans="1:5" x14ac:dyDescent="0.25">
      <c r="A3413" s="131" t="str">
        <f>LEFT((B3413),1)</f>
        <v>M</v>
      </c>
      <c r="B3413" t="s">
        <v>26495</v>
      </c>
      <c r="C3413">
        <v>1</v>
      </c>
      <c r="D3413" t="s">
        <v>23629</v>
      </c>
      <c r="E3413" t="s">
        <v>23632</v>
      </c>
    </row>
    <row r="3414" spans="1:5" x14ac:dyDescent="0.25">
      <c r="A3414" s="130" t="s">
        <v>26493</v>
      </c>
      <c r="B3414" t="s">
        <v>26496</v>
      </c>
      <c r="C3414">
        <v>1</v>
      </c>
      <c r="D3414" t="s">
        <v>23629</v>
      </c>
      <c r="E3414" t="s">
        <v>23632</v>
      </c>
    </row>
    <row r="3415" spans="1:5" x14ac:dyDescent="0.25">
      <c r="A3415" s="131" t="s">
        <v>26493</v>
      </c>
      <c r="B3415" t="s">
        <v>26497</v>
      </c>
      <c r="C3415">
        <v>1</v>
      </c>
      <c r="D3415" t="s">
        <v>23629</v>
      </c>
      <c r="E3415" t="s">
        <v>23632</v>
      </c>
    </row>
    <row r="3416" spans="1:5" x14ac:dyDescent="0.25">
      <c r="A3416" s="131" t="s">
        <v>26493</v>
      </c>
      <c r="B3416" t="s">
        <v>28661</v>
      </c>
      <c r="C3416">
        <v>1.2</v>
      </c>
      <c r="D3416" t="s">
        <v>23629</v>
      </c>
      <c r="E3416" t="s">
        <v>23632</v>
      </c>
    </row>
    <row r="3417" spans="1:5" x14ac:dyDescent="0.25">
      <c r="A3417" s="130" t="str">
        <f>LEFT(B3417,1)</f>
        <v>M</v>
      </c>
      <c r="B3417" t="s">
        <v>28828</v>
      </c>
      <c r="C3417">
        <v>1</v>
      </c>
      <c r="D3417" t="s">
        <v>23629</v>
      </c>
      <c r="E3417" t="s">
        <v>23632</v>
      </c>
    </row>
    <row r="3418" spans="1:5" x14ac:dyDescent="0.25">
      <c r="A3418" s="130" t="s">
        <v>26493</v>
      </c>
      <c r="B3418" t="s">
        <v>26498</v>
      </c>
      <c r="C3418">
        <v>1</v>
      </c>
      <c r="D3418" t="s">
        <v>23629</v>
      </c>
      <c r="E3418" t="s">
        <v>23632</v>
      </c>
    </row>
    <row r="3419" spans="1:5" x14ac:dyDescent="0.25">
      <c r="A3419" s="131" t="str">
        <f>LEFT(B3419,1)</f>
        <v>M</v>
      </c>
      <c r="B3419" t="s">
        <v>26811</v>
      </c>
      <c r="C3419">
        <v>1</v>
      </c>
      <c r="D3419" t="s">
        <v>23629</v>
      </c>
      <c r="E3419" t="s">
        <v>23632</v>
      </c>
    </row>
    <row r="3420" spans="1:5" x14ac:dyDescent="0.25">
      <c r="A3420" s="131" t="s">
        <v>26493</v>
      </c>
      <c r="B3420" t="s">
        <v>26499</v>
      </c>
      <c r="C3420">
        <v>1</v>
      </c>
      <c r="D3420" t="s">
        <v>23629</v>
      </c>
      <c r="E3420" t="s">
        <v>23632</v>
      </c>
    </row>
    <row r="3421" spans="1:5" x14ac:dyDescent="0.25">
      <c r="A3421" s="130" t="s">
        <v>26493</v>
      </c>
      <c r="B3421" t="s">
        <v>26500</v>
      </c>
      <c r="C3421">
        <v>1</v>
      </c>
      <c r="D3421" t="s">
        <v>23629</v>
      </c>
      <c r="E3421" t="s">
        <v>23632</v>
      </c>
    </row>
    <row r="3422" spans="1:5" x14ac:dyDescent="0.25">
      <c r="A3422" s="131" t="s">
        <v>26493</v>
      </c>
      <c r="B3422" t="s">
        <v>26501</v>
      </c>
      <c r="C3422">
        <v>1</v>
      </c>
      <c r="D3422" t="s">
        <v>23629</v>
      </c>
      <c r="E3422" t="s">
        <v>23632</v>
      </c>
    </row>
    <row r="3423" spans="1:5" x14ac:dyDescent="0.25">
      <c r="A3423" s="130" t="s">
        <v>26493</v>
      </c>
      <c r="B3423" t="s">
        <v>26502</v>
      </c>
      <c r="C3423">
        <v>1</v>
      </c>
      <c r="D3423" t="s">
        <v>23629</v>
      </c>
      <c r="E3423" t="s">
        <v>23881</v>
      </c>
    </row>
    <row r="3424" spans="1:5" x14ac:dyDescent="0.25">
      <c r="A3424" s="130" t="str">
        <f>LEFT(B3424,1)</f>
        <v>M</v>
      </c>
      <c r="B3424" t="s">
        <v>26833</v>
      </c>
      <c r="C3424">
        <v>1</v>
      </c>
      <c r="D3424" t="s">
        <v>23629</v>
      </c>
      <c r="E3424" t="s">
        <v>23632</v>
      </c>
    </row>
    <row r="3425" spans="1:5" x14ac:dyDescent="0.25">
      <c r="A3425" s="130" t="str">
        <f>LEFT(B3425,1)</f>
        <v>M</v>
      </c>
      <c r="B3425" t="s">
        <v>26853</v>
      </c>
      <c r="C3425">
        <v>1</v>
      </c>
      <c r="D3425" t="s">
        <v>23629</v>
      </c>
      <c r="E3425" t="s">
        <v>23632</v>
      </c>
    </row>
    <row r="3426" spans="1:5" x14ac:dyDescent="0.25">
      <c r="A3426" s="131" t="s">
        <v>26493</v>
      </c>
      <c r="B3426" t="s">
        <v>26503</v>
      </c>
      <c r="C3426">
        <v>1</v>
      </c>
      <c r="D3426" t="s">
        <v>23629</v>
      </c>
      <c r="E3426" t="s">
        <v>23632</v>
      </c>
    </row>
    <row r="3427" spans="1:5" x14ac:dyDescent="0.25">
      <c r="A3427" s="131" t="s">
        <v>26493</v>
      </c>
      <c r="B3427" t="s">
        <v>26504</v>
      </c>
      <c r="C3427">
        <v>1</v>
      </c>
      <c r="D3427" t="s">
        <v>23629</v>
      </c>
      <c r="E3427" t="s">
        <v>23632</v>
      </c>
    </row>
    <row r="3428" spans="1:5" x14ac:dyDescent="0.25">
      <c r="A3428" s="130" t="str">
        <f>LEFT((B3428),1)</f>
        <v>M</v>
      </c>
      <c r="B3428" t="s">
        <v>26505</v>
      </c>
      <c r="C3428">
        <v>1</v>
      </c>
      <c r="D3428" t="s">
        <v>23629</v>
      </c>
      <c r="E3428" t="s">
        <v>23632</v>
      </c>
    </row>
    <row r="3429" spans="1:5" x14ac:dyDescent="0.25">
      <c r="A3429" s="131" t="s">
        <v>26493</v>
      </c>
      <c r="B3429" t="s">
        <v>26506</v>
      </c>
      <c r="C3429">
        <v>1</v>
      </c>
      <c r="D3429" t="s">
        <v>23629</v>
      </c>
      <c r="E3429" t="s">
        <v>23632</v>
      </c>
    </row>
    <row r="3430" spans="1:5" x14ac:dyDescent="0.25">
      <c r="A3430" s="130" t="str">
        <f>LEFT(B3430,1)</f>
        <v>M</v>
      </c>
      <c r="B3430" t="s">
        <v>28537</v>
      </c>
      <c r="C3430">
        <v>1</v>
      </c>
      <c r="D3430" t="s">
        <v>23629</v>
      </c>
      <c r="E3430" t="s">
        <v>23632</v>
      </c>
    </row>
    <row r="3431" spans="1:5" x14ac:dyDescent="0.25">
      <c r="A3431" s="131" t="s">
        <v>26493</v>
      </c>
      <c r="B3431" t="s">
        <v>26507</v>
      </c>
      <c r="C3431">
        <v>1</v>
      </c>
      <c r="D3431" t="s">
        <v>23629</v>
      </c>
      <c r="E3431" t="s">
        <v>23632</v>
      </c>
    </row>
    <row r="3432" spans="1:5" x14ac:dyDescent="0.25">
      <c r="A3432" s="130" t="str">
        <f>LEFT(B3432,1)</f>
        <v>M</v>
      </c>
      <c r="B3432" t="s">
        <v>29083</v>
      </c>
      <c r="C3432">
        <v>1</v>
      </c>
      <c r="D3432" t="s">
        <v>23629</v>
      </c>
      <c r="E3432" t="s">
        <v>23632</v>
      </c>
    </row>
    <row r="3433" spans="1:5" x14ac:dyDescent="0.25">
      <c r="A3433" s="130" t="s">
        <v>26493</v>
      </c>
      <c r="B3433" t="s">
        <v>26508</v>
      </c>
      <c r="C3433">
        <v>1</v>
      </c>
      <c r="D3433" t="s">
        <v>23629</v>
      </c>
      <c r="E3433" t="s">
        <v>23632</v>
      </c>
    </row>
    <row r="3434" spans="1:5" x14ac:dyDescent="0.25">
      <c r="A3434" s="131" t="s">
        <v>26493</v>
      </c>
      <c r="B3434" t="s">
        <v>26509</v>
      </c>
      <c r="C3434">
        <v>1</v>
      </c>
      <c r="D3434" t="s">
        <v>23629</v>
      </c>
      <c r="E3434" t="s">
        <v>23632</v>
      </c>
    </row>
    <row r="3435" spans="1:5" x14ac:dyDescent="0.25">
      <c r="A3435" s="130" t="s">
        <v>26493</v>
      </c>
      <c r="B3435" t="s">
        <v>26510</v>
      </c>
      <c r="C3435">
        <v>1</v>
      </c>
      <c r="D3435" t="s">
        <v>23629</v>
      </c>
      <c r="E3435" t="s">
        <v>23632</v>
      </c>
    </row>
    <row r="3436" spans="1:5" x14ac:dyDescent="0.25">
      <c r="A3436" s="131" t="s">
        <v>26493</v>
      </c>
      <c r="B3436" t="s">
        <v>26511</v>
      </c>
      <c r="C3436">
        <v>1</v>
      </c>
      <c r="D3436" t="s">
        <v>23629</v>
      </c>
      <c r="E3436" t="s">
        <v>23632</v>
      </c>
    </row>
    <row r="3437" spans="1:5" x14ac:dyDescent="0.25">
      <c r="A3437" s="131" t="str">
        <f>LEFT(B3437,1)</f>
        <v>M</v>
      </c>
      <c r="B3437" t="s">
        <v>26854</v>
      </c>
      <c r="C3437">
        <v>1</v>
      </c>
      <c r="D3437" t="s">
        <v>23629</v>
      </c>
      <c r="E3437" t="s">
        <v>23632</v>
      </c>
    </row>
    <row r="3438" spans="1:5" x14ac:dyDescent="0.25">
      <c r="A3438" s="130" t="s">
        <v>26493</v>
      </c>
      <c r="B3438" t="s">
        <v>26512</v>
      </c>
      <c r="C3438">
        <v>1</v>
      </c>
      <c r="D3438" t="s">
        <v>23629</v>
      </c>
      <c r="E3438" t="s">
        <v>23632</v>
      </c>
    </row>
    <row r="3439" spans="1:5" x14ac:dyDescent="0.25">
      <c r="A3439" s="131" t="s">
        <v>26493</v>
      </c>
      <c r="B3439" t="s">
        <v>26513</v>
      </c>
      <c r="C3439">
        <v>1</v>
      </c>
      <c r="D3439" t="s">
        <v>23629</v>
      </c>
      <c r="E3439" t="s">
        <v>23632</v>
      </c>
    </row>
    <row r="3440" spans="1:5" x14ac:dyDescent="0.25">
      <c r="A3440" s="130" t="s">
        <v>26493</v>
      </c>
      <c r="B3440" t="s">
        <v>26514</v>
      </c>
      <c r="C3440">
        <v>1</v>
      </c>
      <c r="D3440" t="s">
        <v>23629</v>
      </c>
      <c r="E3440" t="s">
        <v>23632</v>
      </c>
    </row>
    <row r="3441" spans="1:5" x14ac:dyDescent="0.25">
      <c r="A3441" s="130" t="str">
        <f>LEFT(B3441,1)</f>
        <v>M</v>
      </c>
      <c r="B3441" t="s">
        <v>26855</v>
      </c>
      <c r="C3441">
        <v>1</v>
      </c>
      <c r="D3441" t="s">
        <v>23629</v>
      </c>
      <c r="E3441" t="s">
        <v>23632</v>
      </c>
    </row>
    <row r="3442" spans="1:5" x14ac:dyDescent="0.25">
      <c r="A3442" s="131" t="s">
        <v>26493</v>
      </c>
      <c r="B3442" t="s">
        <v>26515</v>
      </c>
      <c r="C3442">
        <v>1</v>
      </c>
      <c r="D3442" t="s">
        <v>23629</v>
      </c>
      <c r="E3442" t="s">
        <v>23632</v>
      </c>
    </row>
    <row r="3443" spans="1:5" x14ac:dyDescent="0.25">
      <c r="A3443" s="130" t="s">
        <v>26493</v>
      </c>
      <c r="B3443" t="s">
        <v>26516</v>
      </c>
      <c r="C3443">
        <v>1</v>
      </c>
      <c r="D3443" t="s">
        <v>23629</v>
      </c>
      <c r="E3443" t="s">
        <v>23632</v>
      </c>
    </row>
    <row r="3444" spans="1:5" x14ac:dyDescent="0.25">
      <c r="A3444" s="130" t="s">
        <v>26493</v>
      </c>
      <c r="B3444" t="s">
        <v>26517</v>
      </c>
      <c r="C3444">
        <v>1</v>
      </c>
      <c r="D3444" t="s">
        <v>23629</v>
      </c>
      <c r="E3444" t="s">
        <v>23632</v>
      </c>
    </row>
    <row r="3445" spans="1:5" x14ac:dyDescent="0.25">
      <c r="A3445" s="130" t="s">
        <v>26493</v>
      </c>
      <c r="B3445" t="s">
        <v>26518</v>
      </c>
      <c r="C3445">
        <v>1</v>
      </c>
      <c r="D3445" t="s">
        <v>23629</v>
      </c>
      <c r="E3445" t="s">
        <v>23632</v>
      </c>
    </row>
    <row r="3446" spans="1:5" x14ac:dyDescent="0.25">
      <c r="A3446" s="131" t="s">
        <v>26493</v>
      </c>
      <c r="B3446" t="s">
        <v>26519</v>
      </c>
      <c r="C3446">
        <v>1</v>
      </c>
      <c r="D3446" t="s">
        <v>23629</v>
      </c>
      <c r="E3446" t="s">
        <v>23632</v>
      </c>
    </row>
    <row r="3447" spans="1:5" x14ac:dyDescent="0.25">
      <c r="A3447" s="130" t="str">
        <f>LEFT(B3447,1)</f>
        <v>M</v>
      </c>
      <c r="B3447" t="s">
        <v>28829</v>
      </c>
      <c r="C3447">
        <v>1</v>
      </c>
      <c r="D3447" t="s">
        <v>23629</v>
      </c>
      <c r="E3447" t="s">
        <v>23632</v>
      </c>
    </row>
    <row r="3448" spans="1:5" x14ac:dyDescent="0.25">
      <c r="A3448" s="130" t="s">
        <v>26493</v>
      </c>
      <c r="B3448" t="s">
        <v>26520</v>
      </c>
      <c r="C3448">
        <v>1</v>
      </c>
      <c r="D3448" t="s">
        <v>23629</v>
      </c>
      <c r="E3448" t="s">
        <v>23632</v>
      </c>
    </row>
    <row r="3449" spans="1:5" x14ac:dyDescent="0.25">
      <c r="A3449" s="131" t="str">
        <f>LEFT(B3449,1)</f>
        <v>M</v>
      </c>
      <c r="B3449" t="s">
        <v>26856</v>
      </c>
      <c r="C3449">
        <v>1</v>
      </c>
      <c r="D3449" t="s">
        <v>23629</v>
      </c>
      <c r="E3449" t="s">
        <v>23632</v>
      </c>
    </row>
    <row r="3450" spans="1:5" x14ac:dyDescent="0.25">
      <c r="A3450" s="131" t="s">
        <v>26493</v>
      </c>
      <c r="B3450" t="s">
        <v>26521</v>
      </c>
      <c r="C3450">
        <v>1</v>
      </c>
      <c r="D3450" t="s">
        <v>23629</v>
      </c>
      <c r="E3450" t="s">
        <v>23632</v>
      </c>
    </row>
    <row r="3451" spans="1:5" x14ac:dyDescent="0.25">
      <c r="A3451" s="131" t="s">
        <v>26493</v>
      </c>
      <c r="B3451" t="s">
        <v>26522</v>
      </c>
      <c r="C3451">
        <v>1.1000000000000001</v>
      </c>
      <c r="D3451" t="s">
        <v>23629</v>
      </c>
      <c r="E3451" t="s">
        <v>23632</v>
      </c>
    </row>
    <row r="3452" spans="1:5" x14ac:dyDescent="0.25">
      <c r="A3452" s="131" t="str">
        <f>LEFT((B3452),1)</f>
        <v>M</v>
      </c>
      <c r="B3452" t="s">
        <v>26523</v>
      </c>
      <c r="C3452">
        <v>1</v>
      </c>
      <c r="D3452" t="s">
        <v>23629</v>
      </c>
      <c r="E3452" t="s">
        <v>23632</v>
      </c>
    </row>
    <row r="3453" spans="1:5" x14ac:dyDescent="0.25">
      <c r="A3453" s="130" t="s">
        <v>26493</v>
      </c>
      <c r="B3453" t="s">
        <v>26524</v>
      </c>
      <c r="C3453">
        <v>1</v>
      </c>
      <c r="D3453" t="s">
        <v>23629</v>
      </c>
      <c r="E3453" t="s">
        <v>23632</v>
      </c>
    </row>
    <row r="3454" spans="1:5" x14ac:dyDescent="0.25">
      <c r="A3454" s="131" t="s">
        <v>26493</v>
      </c>
      <c r="B3454" t="s">
        <v>26525</v>
      </c>
      <c r="C3454">
        <v>1</v>
      </c>
      <c r="D3454" t="s">
        <v>23629</v>
      </c>
      <c r="E3454" t="s">
        <v>23632</v>
      </c>
    </row>
    <row r="3455" spans="1:5" x14ac:dyDescent="0.25">
      <c r="A3455" s="130" t="s">
        <v>26493</v>
      </c>
      <c r="B3455" t="s">
        <v>26526</v>
      </c>
      <c r="C3455">
        <v>1</v>
      </c>
      <c r="D3455" t="s">
        <v>23629</v>
      </c>
      <c r="E3455" t="s">
        <v>23632</v>
      </c>
    </row>
    <row r="3456" spans="1:5" x14ac:dyDescent="0.25">
      <c r="A3456" s="130" t="str">
        <f>LEFT(B3456,1)</f>
        <v>M</v>
      </c>
      <c r="B3456" t="s">
        <v>28538</v>
      </c>
      <c r="C3456">
        <v>1</v>
      </c>
      <c r="D3456" t="s">
        <v>23629</v>
      </c>
      <c r="E3456" t="s">
        <v>23632</v>
      </c>
    </row>
    <row r="3457" spans="1:5" x14ac:dyDescent="0.25">
      <c r="A3457" s="130" t="str">
        <f>LEFT(B3457,1)</f>
        <v>M</v>
      </c>
      <c r="B3457" t="s">
        <v>26834</v>
      </c>
      <c r="C3457">
        <v>1</v>
      </c>
      <c r="D3457" t="s">
        <v>23629</v>
      </c>
      <c r="E3457" t="s">
        <v>23632</v>
      </c>
    </row>
    <row r="3458" spans="1:5" x14ac:dyDescent="0.25">
      <c r="A3458" s="130" t="s">
        <v>26493</v>
      </c>
      <c r="B3458" t="s">
        <v>26527</v>
      </c>
      <c r="C3458">
        <v>1</v>
      </c>
      <c r="D3458" t="s">
        <v>23629</v>
      </c>
      <c r="E3458" t="s">
        <v>23632</v>
      </c>
    </row>
    <row r="3459" spans="1:5" x14ac:dyDescent="0.25">
      <c r="A3459" s="131" t="s">
        <v>26493</v>
      </c>
      <c r="B3459" t="s">
        <v>26528</v>
      </c>
      <c r="C3459">
        <v>1.21</v>
      </c>
      <c r="D3459" t="s">
        <v>23825</v>
      </c>
      <c r="E3459" t="s">
        <v>23881</v>
      </c>
    </row>
    <row r="3460" spans="1:5" x14ac:dyDescent="0.25">
      <c r="A3460" s="131" t="s">
        <v>26493</v>
      </c>
      <c r="B3460" t="s">
        <v>26529</v>
      </c>
      <c r="C3460">
        <v>1</v>
      </c>
      <c r="D3460" t="s">
        <v>23629</v>
      </c>
      <c r="E3460" t="s">
        <v>23881</v>
      </c>
    </row>
    <row r="3461" spans="1:5" x14ac:dyDescent="0.25">
      <c r="A3461" s="130" t="s">
        <v>26493</v>
      </c>
      <c r="B3461" t="s">
        <v>26530</v>
      </c>
      <c r="C3461">
        <v>1</v>
      </c>
      <c r="D3461" t="s">
        <v>23629</v>
      </c>
      <c r="E3461" t="s">
        <v>23632</v>
      </c>
    </row>
    <row r="3462" spans="1:5" x14ac:dyDescent="0.25">
      <c r="A3462" s="131" t="str">
        <f>LEFT(B3462,1)</f>
        <v>M</v>
      </c>
      <c r="B3462" t="s">
        <v>26813</v>
      </c>
      <c r="C3462">
        <v>1</v>
      </c>
      <c r="D3462" t="s">
        <v>23629</v>
      </c>
      <c r="E3462" t="s">
        <v>23632</v>
      </c>
    </row>
    <row r="3463" spans="1:5" x14ac:dyDescent="0.25">
      <c r="A3463" s="130" t="str">
        <f>LEFT(B3463,1)</f>
        <v>M</v>
      </c>
      <c r="B3463" t="s">
        <v>26812</v>
      </c>
      <c r="C3463">
        <v>1</v>
      </c>
      <c r="D3463" t="s">
        <v>23629</v>
      </c>
      <c r="E3463" t="s">
        <v>23632</v>
      </c>
    </row>
    <row r="3464" spans="1:5" x14ac:dyDescent="0.25">
      <c r="A3464" s="130" t="str">
        <f>LEFT(B3464,1)</f>
        <v>M</v>
      </c>
      <c r="B3464" t="s">
        <v>28539</v>
      </c>
      <c r="C3464">
        <v>1</v>
      </c>
      <c r="D3464" t="s">
        <v>23629</v>
      </c>
      <c r="E3464" t="s">
        <v>23632</v>
      </c>
    </row>
    <row r="3465" spans="1:5" x14ac:dyDescent="0.25">
      <c r="A3465" s="130" t="str">
        <f>LEFT((B3465),1)</f>
        <v>M</v>
      </c>
      <c r="B3465" t="s">
        <v>26531</v>
      </c>
      <c r="C3465">
        <v>1</v>
      </c>
      <c r="D3465" t="s">
        <v>23629</v>
      </c>
      <c r="E3465" t="s">
        <v>23632</v>
      </c>
    </row>
    <row r="3466" spans="1:5" x14ac:dyDescent="0.25">
      <c r="A3466" s="130" t="s">
        <v>26493</v>
      </c>
      <c r="B3466" t="s">
        <v>26532</v>
      </c>
      <c r="C3466">
        <v>1</v>
      </c>
      <c r="D3466" t="s">
        <v>23629</v>
      </c>
      <c r="E3466" t="s">
        <v>23632</v>
      </c>
    </row>
    <row r="3467" spans="1:5" x14ac:dyDescent="0.25">
      <c r="A3467" s="131" t="s">
        <v>26493</v>
      </c>
      <c r="B3467" t="s">
        <v>26533</v>
      </c>
      <c r="C3467">
        <v>1.2</v>
      </c>
      <c r="D3467" t="s">
        <v>23629</v>
      </c>
      <c r="E3467" t="s">
        <v>23632</v>
      </c>
    </row>
    <row r="3468" spans="1:5" x14ac:dyDescent="0.25">
      <c r="A3468" s="131" t="s">
        <v>26493</v>
      </c>
      <c r="B3468" t="s">
        <v>26534</v>
      </c>
      <c r="C3468">
        <v>1</v>
      </c>
      <c r="D3468" t="s">
        <v>23629</v>
      </c>
      <c r="E3468" t="s">
        <v>23632</v>
      </c>
    </row>
    <row r="3469" spans="1:5" x14ac:dyDescent="0.25">
      <c r="A3469" s="130" t="s">
        <v>26493</v>
      </c>
      <c r="B3469" t="s">
        <v>26535</v>
      </c>
      <c r="C3469">
        <v>1</v>
      </c>
      <c r="D3469" t="s">
        <v>23629</v>
      </c>
      <c r="E3469" t="s">
        <v>23632</v>
      </c>
    </row>
    <row r="3470" spans="1:5" x14ac:dyDescent="0.25">
      <c r="A3470" s="131" t="s">
        <v>26493</v>
      </c>
      <c r="B3470" t="s">
        <v>26536</v>
      </c>
      <c r="C3470">
        <v>1</v>
      </c>
      <c r="D3470" t="s">
        <v>23629</v>
      </c>
      <c r="E3470" t="s">
        <v>23632</v>
      </c>
    </row>
    <row r="3471" spans="1:5" x14ac:dyDescent="0.25">
      <c r="A3471" s="130" t="s">
        <v>26493</v>
      </c>
      <c r="B3471" t="s">
        <v>26537</v>
      </c>
      <c r="C3471">
        <v>1</v>
      </c>
      <c r="D3471" t="s">
        <v>23629</v>
      </c>
      <c r="E3471" t="s">
        <v>23632</v>
      </c>
    </row>
    <row r="3472" spans="1:5" x14ac:dyDescent="0.25">
      <c r="A3472" s="131" t="s">
        <v>26493</v>
      </c>
      <c r="B3472" t="s">
        <v>26538</v>
      </c>
      <c r="C3472">
        <v>1</v>
      </c>
      <c r="D3472" t="s">
        <v>23629</v>
      </c>
      <c r="E3472" t="s">
        <v>23632</v>
      </c>
    </row>
    <row r="3473" spans="1:5" x14ac:dyDescent="0.25">
      <c r="A3473" s="131" t="str">
        <f>LEFT((B3473),1)</f>
        <v>M</v>
      </c>
      <c r="B3473" t="s">
        <v>26539</v>
      </c>
      <c r="C3473">
        <v>1</v>
      </c>
      <c r="D3473" t="s">
        <v>23629</v>
      </c>
      <c r="E3473" t="s">
        <v>23632</v>
      </c>
    </row>
    <row r="3474" spans="1:5" x14ac:dyDescent="0.25">
      <c r="A3474" s="130" t="str">
        <f>LEFT(B3474,1)</f>
        <v>M</v>
      </c>
      <c r="B3474" t="s">
        <v>29084</v>
      </c>
      <c r="C3474">
        <v>1</v>
      </c>
      <c r="D3474" t="s">
        <v>23629</v>
      </c>
      <c r="E3474" t="s">
        <v>23632</v>
      </c>
    </row>
    <row r="3475" spans="1:5" x14ac:dyDescent="0.25">
      <c r="A3475" s="130" t="str">
        <f>LEFT(B3475,1)</f>
        <v>M</v>
      </c>
      <c r="B3475" t="s">
        <v>28540</v>
      </c>
      <c r="C3475">
        <v>1</v>
      </c>
      <c r="D3475" t="s">
        <v>23629</v>
      </c>
      <c r="E3475" t="s">
        <v>23632</v>
      </c>
    </row>
    <row r="3476" spans="1:5" x14ac:dyDescent="0.25">
      <c r="A3476" s="130" t="str">
        <f>LEFT(B3476,1)</f>
        <v>M</v>
      </c>
      <c r="B3476" t="s">
        <v>28830</v>
      </c>
      <c r="C3476">
        <v>1</v>
      </c>
      <c r="D3476" t="s">
        <v>23629</v>
      </c>
      <c r="E3476" t="s">
        <v>23632</v>
      </c>
    </row>
    <row r="3477" spans="1:5" x14ac:dyDescent="0.25">
      <c r="A3477" s="130" t="str">
        <f>LEFT((B3477),1)</f>
        <v>M</v>
      </c>
      <c r="B3477" t="s">
        <v>26540</v>
      </c>
      <c r="C3477">
        <v>1</v>
      </c>
      <c r="D3477" t="s">
        <v>23629</v>
      </c>
      <c r="E3477" t="s">
        <v>23632</v>
      </c>
    </row>
    <row r="3478" spans="1:5" x14ac:dyDescent="0.25">
      <c r="A3478" s="130" t="s">
        <v>26493</v>
      </c>
      <c r="B3478" t="s">
        <v>26541</v>
      </c>
      <c r="C3478">
        <v>1</v>
      </c>
      <c r="D3478" t="s">
        <v>23629</v>
      </c>
      <c r="E3478" t="s">
        <v>23632</v>
      </c>
    </row>
    <row r="3479" spans="1:5" x14ac:dyDescent="0.25">
      <c r="A3479" s="130" t="str">
        <f>LEFT(B3479,1)</f>
        <v>M</v>
      </c>
      <c r="B3479" t="s">
        <v>26835</v>
      </c>
      <c r="C3479">
        <v>1</v>
      </c>
      <c r="D3479" t="s">
        <v>23629</v>
      </c>
      <c r="E3479" t="s">
        <v>23632</v>
      </c>
    </row>
    <row r="3480" spans="1:5" x14ac:dyDescent="0.25">
      <c r="A3480" s="131" t="s">
        <v>26493</v>
      </c>
      <c r="B3480" t="s">
        <v>26542</v>
      </c>
      <c r="C3480">
        <v>1</v>
      </c>
      <c r="D3480" t="s">
        <v>23629</v>
      </c>
      <c r="E3480" t="s">
        <v>23632</v>
      </c>
    </row>
    <row r="3481" spans="1:5" x14ac:dyDescent="0.25">
      <c r="A3481" s="130" t="s">
        <v>26493</v>
      </c>
      <c r="B3481" t="s">
        <v>26543</v>
      </c>
      <c r="C3481">
        <v>1</v>
      </c>
      <c r="D3481" t="s">
        <v>23629</v>
      </c>
      <c r="E3481" t="s">
        <v>23881</v>
      </c>
    </row>
    <row r="3482" spans="1:5" x14ac:dyDescent="0.25">
      <c r="A3482" s="130" t="str">
        <f>LEFT(B3482,1)</f>
        <v>M</v>
      </c>
      <c r="B3482" t="s">
        <v>26857</v>
      </c>
      <c r="C3482">
        <v>1</v>
      </c>
      <c r="D3482" t="s">
        <v>23629</v>
      </c>
      <c r="E3482" t="s">
        <v>23632</v>
      </c>
    </row>
    <row r="3483" spans="1:5" x14ac:dyDescent="0.25">
      <c r="A3483" s="130" t="s">
        <v>26493</v>
      </c>
      <c r="B3483" t="s">
        <v>26544</v>
      </c>
      <c r="C3483">
        <v>1</v>
      </c>
      <c r="D3483" t="s">
        <v>23629</v>
      </c>
      <c r="E3483" t="s">
        <v>23632</v>
      </c>
    </row>
    <row r="3484" spans="1:5" x14ac:dyDescent="0.25">
      <c r="A3484" s="130" t="str">
        <f>LEFT(B3484,1)</f>
        <v>M</v>
      </c>
      <c r="B3484" t="s">
        <v>28832</v>
      </c>
      <c r="C3484">
        <v>1</v>
      </c>
      <c r="D3484" t="s">
        <v>23629</v>
      </c>
      <c r="E3484" t="s">
        <v>23632</v>
      </c>
    </row>
    <row r="3485" spans="1:5" x14ac:dyDescent="0.25">
      <c r="A3485" s="131" t="s">
        <v>26493</v>
      </c>
      <c r="B3485" t="s">
        <v>26545</v>
      </c>
      <c r="C3485">
        <v>1</v>
      </c>
      <c r="D3485" t="s">
        <v>23629</v>
      </c>
      <c r="E3485" t="s">
        <v>23632</v>
      </c>
    </row>
    <row r="3486" spans="1:5" x14ac:dyDescent="0.25">
      <c r="A3486" s="131" t="str">
        <f>LEFT(B3486,1)</f>
        <v>M</v>
      </c>
      <c r="B3486" t="s">
        <v>26858</v>
      </c>
      <c r="C3486">
        <v>1</v>
      </c>
      <c r="D3486" t="s">
        <v>23629</v>
      </c>
      <c r="E3486" t="s">
        <v>23632</v>
      </c>
    </row>
    <row r="3487" spans="1:5" x14ac:dyDescent="0.25">
      <c r="A3487" s="131" t="s">
        <v>26493</v>
      </c>
      <c r="B3487" t="s">
        <v>26546</v>
      </c>
      <c r="C3487">
        <v>1</v>
      </c>
      <c r="D3487" t="s">
        <v>23629</v>
      </c>
      <c r="E3487" t="s">
        <v>23632</v>
      </c>
    </row>
    <row r="3488" spans="1:5" x14ac:dyDescent="0.25">
      <c r="A3488" s="130" t="str">
        <f>LEFT(B3488,1)</f>
        <v>M</v>
      </c>
      <c r="B3488" t="s">
        <v>26859</v>
      </c>
      <c r="C3488">
        <v>1</v>
      </c>
      <c r="D3488" t="s">
        <v>23629</v>
      </c>
      <c r="E3488" t="s">
        <v>23632</v>
      </c>
    </row>
    <row r="3489" spans="1:5" x14ac:dyDescent="0.25">
      <c r="A3489" s="130" t="s">
        <v>26493</v>
      </c>
      <c r="B3489" t="s">
        <v>26547</v>
      </c>
      <c r="C3489">
        <v>1</v>
      </c>
      <c r="D3489" t="s">
        <v>23629</v>
      </c>
      <c r="E3489" t="s">
        <v>23632</v>
      </c>
    </row>
    <row r="3490" spans="1:5" x14ac:dyDescent="0.25">
      <c r="A3490" s="130" t="str">
        <f>LEFT(B3490,1)</f>
        <v>M</v>
      </c>
      <c r="B3490" t="s">
        <v>26814</v>
      </c>
      <c r="C3490">
        <v>1</v>
      </c>
      <c r="D3490" t="s">
        <v>23629</v>
      </c>
      <c r="E3490" t="s">
        <v>23632</v>
      </c>
    </row>
    <row r="3491" spans="1:5" x14ac:dyDescent="0.25">
      <c r="A3491" s="131" t="s">
        <v>26493</v>
      </c>
      <c r="B3491" t="s">
        <v>26548</v>
      </c>
      <c r="C3491">
        <v>1</v>
      </c>
      <c r="D3491" t="s">
        <v>23629</v>
      </c>
      <c r="E3491" t="s">
        <v>23632</v>
      </c>
    </row>
    <row r="3492" spans="1:5" x14ac:dyDescent="0.25">
      <c r="A3492" s="130" t="str">
        <f>LEFT(B3492,1)</f>
        <v>M</v>
      </c>
      <c r="B3492" t="s">
        <v>29085</v>
      </c>
      <c r="C3492">
        <v>1</v>
      </c>
      <c r="D3492" t="s">
        <v>23629</v>
      </c>
      <c r="E3492" t="s">
        <v>23632</v>
      </c>
    </row>
    <row r="3493" spans="1:5" x14ac:dyDescent="0.25">
      <c r="A3493" s="130" t="s">
        <v>26493</v>
      </c>
      <c r="B3493" t="s">
        <v>26549</v>
      </c>
      <c r="C3493">
        <v>1</v>
      </c>
      <c r="D3493" t="s">
        <v>23629</v>
      </c>
      <c r="E3493" t="s">
        <v>23632</v>
      </c>
    </row>
    <row r="3494" spans="1:5" x14ac:dyDescent="0.25">
      <c r="A3494" s="131" t="s">
        <v>26493</v>
      </c>
      <c r="B3494" t="s">
        <v>26550</v>
      </c>
      <c r="C3494">
        <v>1</v>
      </c>
      <c r="D3494" t="s">
        <v>23629</v>
      </c>
      <c r="E3494" t="s">
        <v>23632</v>
      </c>
    </row>
    <row r="3495" spans="1:5" x14ac:dyDescent="0.25">
      <c r="A3495" s="130" t="str">
        <f>LEFT(B3495,1)</f>
        <v>M</v>
      </c>
      <c r="B3495" t="s">
        <v>29255</v>
      </c>
      <c r="C3495">
        <v>1</v>
      </c>
      <c r="D3495" t="s">
        <v>23629</v>
      </c>
      <c r="E3495" t="s">
        <v>23632</v>
      </c>
    </row>
    <row r="3496" spans="1:5" x14ac:dyDescent="0.25">
      <c r="A3496" s="131" t="str">
        <f>LEFT(B3496,1)</f>
        <v>M</v>
      </c>
      <c r="B3496" t="s">
        <v>26860</v>
      </c>
      <c r="C3496">
        <v>1</v>
      </c>
      <c r="D3496" t="s">
        <v>23629</v>
      </c>
      <c r="E3496" t="s">
        <v>23632</v>
      </c>
    </row>
    <row r="3497" spans="1:5" x14ac:dyDescent="0.25">
      <c r="A3497" s="130" t="str">
        <f>LEFT(B3497,1)</f>
        <v>M</v>
      </c>
      <c r="B3497" t="s">
        <v>28541</v>
      </c>
      <c r="C3497">
        <v>1</v>
      </c>
      <c r="D3497" t="s">
        <v>23629</v>
      </c>
      <c r="E3497" t="s">
        <v>23632</v>
      </c>
    </row>
    <row r="3498" spans="1:5" x14ac:dyDescent="0.25">
      <c r="A3498" s="130" t="s">
        <v>26493</v>
      </c>
      <c r="B3498" t="s">
        <v>26551</v>
      </c>
      <c r="C3498">
        <v>1</v>
      </c>
      <c r="D3498" t="s">
        <v>23629</v>
      </c>
      <c r="E3498" t="s">
        <v>23632</v>
      </c>
    </row>
    <row r="3499" spans="1:5" x14ac:dyDescent="0.25">
      <c r="A3499" s="130" t="s">
        <v>26493</v>
      </c>
      <c r="B3499" t="s">
        <v>26552</v>
      </c>
      <c r="C3499">
        <v>1</v>
      </c>
      <c r="D3499" t="s">
        <v>23629</v>
      </c>
      <c r="E3499" t="s">
        <v>23632</v>
      </c>
    </row>
    <row r="3500" spans="1:5" x14ac:dyDescent="0.25">
      <c r="A3500" s="130" t="str">
        <f>LEFT(B3500,1)</f>
        <v>M</v>
      </c>
      <c r="B3500" t="s">
        <v>26836</v>
      </c>
      <c r="C3500">
        <v>1</v>
      </c>
      <c r="D3500" t="s">
        <v>23629</v>
      </c>
      <c r="E3500" t="s">
        <v>23632</v>
      </c>
    </row>
    <row r="3501" spans="1:5" x14ac:dyDescent="0.25">
      <c r="A3501" s="130" t="str">
        <f>LEFT(B3501,1)</f>
        <v>M</v>
      </c>
      <c r="B3501" t="s">
        <v>29086</v>
      </c>
      <c r="C3501">
        <v>1</v>
      </c>
      <c r="D3501" t="s">
        <v>23629</v>
      </c>
      <c r="E3501" t="s">
        <v>23632</v>
      </c>
    </row>
    <row r="3502" spans="1:5" x14ac:dyDescent="0.25">
      <c r="A3502" s="131" t="s">
        <v>26493</v>
      </c>
      <c r="B3502" t="s">
        <v>26553</v>
      </c>
      <c r="C3502">
        <v>1</v>
      </c>
      <c r="D3502" t="s">
        <v>23629</v>
      </c>
      <c r="E3502" t="s">
        <v>23632</v>
      </c>
    </row>
    <row r="3503" spans="1:5" x14ac:dyDescent="0.25">
      <c r="A3503" s="130" t="s">
        <v>26493</v>
      </c>
      <c r="B3503" t="s">
        <v>26554</v>
      </c>
      <c r="C3503">
        <v>1</v>
      </c>
      <c r="D3503" t="s">
        <v>23629</v>
      </c>
      <c r="E3503" t="s">
        <v>23632</v>
      </c>
    </row>
    <row r="3504" spans="1:5" x14ac:dyDescent="0.25">
      <c r="A3504" s="131" t="s">
        <v>26493</v>
      </c>
      <c r="B3504" t="s">
        <v>26555</v>
      </c>
      <c r="C3504">
        <v>1</v>
      </c>
      <c r="D3504" t="s">
        <v>23629</v>
      </c>
      <c r="E3504" t="s">
        <v>23632</v>
      </c>
    </row>
    <row r="3505" spans="1:5" x14ac:dyDescent="0.25">
      <c r="A3505" s="131" t="s">
        <v>26493</v>
      </c>
      <c r="B3505" t="s">
        <v>26556</v>
      </c>
      <c r="C3505">
        <v>1</v>
      </c>
      <c r="D3505" t="s">
        <v>23629</v>
      </c>
      <c r="E3505" t="s">
        <v>23632</v>
      </c>
    </row>
    <row r="3506" spans="1:5" x14ac:dyDescent="0.25">
      <c r="A3506" s="130" t="str">
        <f>LEFT(B3506,1)</f>
        <v>M</v>
      </c>
      <c r="B3506" t="s">
        <v>29087</v>
      </c>
      <c r="C3506">
        <v>1</v>
      </c>
      <c r="D3506" t="s">
        <v>23629</v>
      </c>
      <c r="E3506" t="s">
        <v>23632</v>
      </c>
    </row>
    <row r="3507" spans="1:5" x14ac:dyDescent="0.25">
      <c r="A3507" s="130" t="s">
        <v>26493</v>
      </c>
      <c r="B3507" t="s">
        <v>26557</v>
      </c>
      <c r="C3507">
        <v>1</v>
      </c>
      <c r="D3507" t="s">
        <v>23629</v>
      </c>
      <c r="E3507" t="s">
        <v>23632</v>
      </c>
    </row>
    <row r="3508" spans="1:5" x14ac:dyDescent="0.25">
      <c r="A3508" s="130" t="s">
        <v>26493</v>
      </c>
      <c r="B3508" t="s">
        <v>26558</v>
      </c>
      <c r="C3508">
        <v>1</v>
      </c>
      <c r="D3508" t="s">
        <v>23629</v>
      </c>
      <c r="E3508" t="s">
        <v>23632</v>
      </c>
    </row>
    <row r="3509" spans="1:5" x14ac:dyDescent="0.25">
      <c r="A3509" s="131" t="s">
        <v>26493</v>
      </c>
      <c r="B3509" t="s">
        <v>26559</v>
      </c>
      <c r="C3509">
        <v>1</v>
      </c>
      <c r="D3509" t="s">
        <v>23629</v>
      </c>
      <c r="E3509" t="s">
        <v>23632</v>
      </c>
    </row>
    <row r="3510" spans="1:5" x14ac:dyDescent="0.25">
      <c r="A3510" s="130" t="str">
        <f>LEFT(B3510,1)</f>
        <v>M</v>
      </c>
      <c r="B3510" t="s">
        <v>29088</v>
      </c>
      <c r="C3510">
        <v>1</v>
      </c>
      <c r="D3510" t="s">
        <v>23629</v>
      </c>
      <c r="E3510" t="s">
        <v>23632</v>
      </c>
    </row>
    <row r="3511" spans="1:5" x14ac:dyDescent="0.25">
      <c r="A3511" s="131" t="s">
        <v>26493</v>
      </c>
      <c r="B3511" t="s">
        <v>26560</v>
      </c>
      <c r="C3511">
        <v>1</v>
      </c>
      <c r="D3511" t="s">
        <v>23629</v>
      </c>
      <c r="E3511" t="s">
        <v>23632</v>
      </c>
    </row>
    <row r="3512" spans="1:5" x14ac:dyDescent="0.25">
      <c r="A3512" s="130" t="s">
        <v>26493</v>
      </c>
      <c r="B3512" t="s">
        <v>26561</v>
      </c>
      <c r="C3512">
        <v>1</v>
      </c>
      <c r="D3512" t="s">
        <v>23629</v>
      </c>
      <c r="E3512" t="s">
        <v>23632</v>
      </c>
    </row>
    <row r="3513" spans="1:5" x14ac:dyDescent="0.25">
      <c r="A3513" s="130" t="str">
        <f>LEFT(B3513,1)</f>
        <v>M</v>
      </c>
      <c r="B3513" t="s">
        <v>26861</v>
      </c>
      <c r="C3513">
        <v>1</v>
      </c>
      <c r="D3513" t="s">
        <v>23629</v>
      </c>
      <c r="E3513" t="s">
        <v>23632</v>
      </c>
    </row>
    <row r="3514" spans="1:5" x14ac:dyDescent="0.25">
      <c r="A3514" s="131" t="str">
        <f>LEFT(B3514,1)</f>
        <v>M</v>
      </c>
      <c r="B3514" t="s">
        <v>26862</v>
      </c>
      <c r="C3514">
        <v>1</v>
      </c>
      <c r="D3514" t="s">
        <v>23629</v>
      </c>
      <c r="E3514" t="s">
        <v>23632</v>
      </c>
    </row>
    <row r="3515" spans="1:5" x14ac:dyDescent="0.25">
      <c r="A3515" s="131" t="s">
        <v>26493</v>
      </c>
      <c r="B3515" t="s">
        <v>26562</v>
      </c>
      <c r="C3515">
        <v>1</v>
      </c>
      <c r="D3515" t="s">
        <v>23629</v>
      </c>
      <c r="E3515" t="s">
        <v>23632</v>
      </c>
    </row>
    <row r="3516" spans="1:5" x14ac:dyDescent="0.25">
      <c r="A3516" s="130" t="str">
        <f>LEFT(B3516,1)</f>
        <v>M</v>
      </c>
      <c r="B3516" t="s">
        <v>28833</v>
      </c>
      <c r="C3516">
        <v>1</v>
      </c>
      <c r="D3516" t="s">
        <v>23629</v>
      </c>
      <c r="E3516" t="s">
        <v>23632</v>
      </c>
    </row>
    <row r="3517" spans="1:5" x14ac:dyDescent="0.25">
      <c r="A3517" s="130" t="s">
        <v>26493</v>
      </c>
      <c r="B3517" t="s">
        <v>26563</v>
      </c>
      <c r="C3517">
        <v>1</v>
      </c>
      <c r="D3517" t="s">
        <v>23629</v>
      </c>
      <c r="E3517" t="s">
        <v>23632</v>
      </c>
    </row>
    <row r="3518" spans="1:5" x14ac:dyDescent="0.25">
      <c r="A3518" s="130" t="str">
        <f>LEFT(B3518,1)</f>
        <v>M</v>
      </c>
      <c r="B3518" t="s">
        <v>28834</v>
      </c>
      <c r="C3518">
        <v>1</v>
      </c>
      <c r="D3518" t="s">
        <v>23629</v>
      </c>
      <c r="E3518" t="s">
        <v>23632</v>
      </c>
    </row>
    <row r="3519" spans="1:5" x14ac:dyDescent="0.25">
      <c r="A3519" s="131" t="s">
        <v>26493</v>
      </c>
      <c r="B3519" t="s">
        <v>26564</v>
      </c>
      <c r="C3519">
        <v>1</v>
      </c>
      <c r="D3519" t="s">
        <v>23629</v>
      </c>
      <c r="E3519" t="s">
        <v>23632</v>
      </c>
    </row>
    <row r="3520" spans="1:5" x14ac:dyDescent="0.25">
      <c r="A3520" s="131" t="s">
        <v>26493</v>
      </c>
      <c r="B3520" t="s">
        <v>26565</v>
      </c>
      <c r="C3520">
        <v>1</v>
      </c>
      <c r="D3520" t="s">
        <v>23629</v>
      </c>
      <c r="E3520" t="s">
        <v>23632</v>
      </c>
    </row>
    <row r="3521" spans="1:5" x14ac:dyDescent="0.25">
      <c r="A3521" s="130" t="str">
        <f>LEFT(B3521,1)</f>
        <v>M</v>
      </c>
      <c r="B3521" t="s">
        <v>28542</v>
      </c>
      <c r="C3521">
        <v>1</v>
      </c>
      <c r="D3521" t="s">
        <v>23629</v>
      </c>
      <c r="E3521" t="s">
        <v>23632</v>
      </c>
    </row>
    <row r="3522" spans="1:5" x14ac:dyDescent="0.25">
      <c r="A3522" s="130" t="s">
        <v>26493</v>
      </c>
      <c r="B3522" t="s">
        <v>26566</v>
      </c>
      <c r="C3522">
        <v>1</v>
      </c>
      <c r="D3522" t="s">
        <v>23629</v>
      </c>
      <c r="E3522" t="s">
        <v>23632</v>
      </c>
    </row>
    <row r="3523" spans="1:5" x14ac:dyDescent="0.25">
      <c r="A3523" s="131" t="str">
        <f>LEFT(B3523,1)</f>
        <v>M</v>
      </c>
      <c r="B3523" t="s">
        <v>26815</v>
      </c>
      <c r="C3523">
        <v>1</v>
      </c>
      <c r="D3523" t="s">
        <v>23629</v>
      </c>
      <c r="E3523" t="s">
        <v>23632</v>
      </c>
    </row>
    <row r="3524" spans="1:5" x14ac:dyDescent="0.25">
      <c r="A3524" s="130" t="s">
        <v>26493</v>
      </c>
      <c r="B3524" t="s">
        <v>26567</v>
      </c>
      <c r="C3524">
        <v>1</v>
      </c>
      <c r="D3524" t="s">
        <v>23629</v>
      </c>
      <c r="E3524" t="s">
        <v>23632</v>
      </c>
    </row>
    <row r="3525" spans="1:5" x14ac:dyDescent="0.25">
      <c r="A3525" s="130" t="s">
        <v>26493</v>
      </c>
      <c r="B3525" t="s">
        <v>26568</v>
      </c>
      <c r="C3525">
        <v>1</v>
      </c>
      <c r="D3525" t="s">
        <v>23629</v>
      </c>
      <c r="E3525" t="s">
        <v>23632</v>
      </c>
    </row>
    <row r="3526" spans="1:5" x14ac:dyDescent="0.25">
      <c r="A3526" s="130" t="s">
        <v>26493</v>
      </c>
      <c r="B3526" t="s">
        <v>26569</v>
      </c>
      <c r="C3526">
        <v>1</v>
      </c>
      <c r="D3526" t="s">
        <v>23629</v>
      </c>
      <c r="E3526" t="s">
        <v>23632</v>
      </c>
    </row>
    <row r="3527" spans="1:5" x14ac:dyDescent="0.25">
      <c r="A3527" s="131" t="str">
        <f>LEFT((B3527),1)</f>
        <v>M</v>
      </c>
      <c r="B3527" t="s">
        <v>26570</v>
      </c>
      <c r="C3527">
        <v>1</v>
      </c>
      <c r="D3527" t="s">
        <v>23629</v>
      </c>
      <c r="E3527" t="s">
        <v>23632</v>
      </c>
    </row>
    <row r="3528" spans="1:5" x14ac:dyDescent="0.25">
      <c r="A3528" s="131" t="s">
        <v>26493</v>
      </c>
      <c r="B3528" t="s">
        <v>26571</v>
      </c>
      <c r="C3528">
        <v>1</v>
      </c>
      <c r="D3528" t="s">
        <v>23629</v>
      </c>
      <c r="E3528" t="s">
        <v>23632</v>
      </c>
    </row>
    <row r="3529" spans="1:5" x14ac:dyDescent="0.25">
      <c r="A3529" s="130" t="str">
        <f>LEFT((B3529),1)</f>
        <v>M</v>
      </c>
      <c r="B3529" t="s">
        <v>26572</v>
      </c>
      <c r="C3529">
        <v>1</v>
      </c>
      <c r="D3529" t="s">
        <v>23629</v>
      </c>
      <c r="E3529" t="s">
        <v>23632</v>
      </c>
    </row>
    <row r="3530" spans="1:5" x14ac:dyDescent="0.25">
      <c r="A3530" s="131" t="s">
        <v>26493</v>
      </c>
      <c r="B3530" t="s">
        <v>26573</v>
      </c>
      <c r="C3530">
        <v>1</v>
      </c>
      <c r="D3530" t="s">
        <v>23629</v>
      </c>
      <c r="E3530" t="s">
        <v>23632</v>
      </c>
    </row>
    <row r="3531" spans="1:5" x14ac:dyDescent="0.25">
      <c r="A3531" s="130" t="str">
        <f>LEFT(B3531,1)</f>
        <v>M</v>
      </c>
      <c r="B3531" t="s">
        <v>28835</v>
      </c>
      <c r="C3531">
        <v>1</v>
      </c>
      <c r="D3531" t="s">
        <v>23629</v>
      </c>
      <c r="E3531" t="s">
        <v>23632</v>
      </c>
    </row>
    <row r="3532" spans="1:5" x14ac:dyDescent="0.25">
      <c r="A3532" s="130" t="s">
        <v>26493</v>
      </c>
      <c r="B3532" t="s">
        <v>26574</v>
      </c>
      <c r="C3532">
        <v>1</v>
      </c>
      <c r="D3532" t="s">
        <v>23629</v>
      </c>
      <c r="E3532" t="s">
        <v>23632</v>
      </c>
    </row>
    <row r="3533" spans="1:5" x14ac:dyDescent="0.25">
      <c r="A3533" s="131" t="s">
        <v>26493</v>
      </c>
      <c r="B3533" t="s">
        <v>26575</v>
      </c>
      <c r="C3533">
        <v>1</v>
      </c>
      <c r="D3533" t="s">
        <v>23629</v>
      </c>
      <c r="E3533" t="s">
        <v>23881</v>
      </c>
    </row>
    <row r="3534" spans="1:5" x14ac:dyDescent="0.25">
      <c r="A3534" s="131" t="s">
        <v>26493</v>
      </c>
      <c r="B3534" t="s">
        <v>26576</v>
      </c>
      <c r="C3534">
        <v>1</v>
      </c>
      <c r="D3534" t="s">
        <v>23629</v>
      </c>
      <c r="E3534" t="s">
        <v>23632</v>
      </c>
    </row>
    <row r="3535" spans="1:5" x14ac:dyDescent="0.25">
      <c r="A3535" s="130" t="str">
        <f>LEFT(B3535,1)</f>
        <v>M</v>
      </c>
      <c r="B3535" t="s">
        <v>26863</v>
      </c>
      <c r="C3535">
        <v>1</v>
      </c>
      <c r="D3535" t="s">
        <v>23629</v>
      </c>
      <c r="E3535" t="s">
        <v>23632</v>
      </c>
    </row>
    <row r="3536" spans="1:5" x14ac:dyDescent="0.25">
      <c r="A3536" s="130" t="s">
        <v>26493</v>
      </c>
      <c r="B3536" t="s">
        <v>26577</v>
      </c>
      <c r="C3536">
        <v>1</v>
      </c>
      <c r="D3536" t="s">
        <v>24953</v>
      </c>
      <c r="E3536" t="s">
        <v>23632</v>
      </c>
    </row>
    <row r="3537" spans="1:5" x14ac:dyDescent="0.25">
      <c r="A3537" s="130" t="s">
        <v>26493</v>
      </c>
      <c r="B3537" t="s">
        <v>26578</v>
      </c>
      <c r="C3537">
        <v>1</v>
      </c>
      <c r="D3537" t="s">
        <v>23629</v>
      </c>
      <c r="E3537" t="s">
        <v>23632</v>
      </c>
    </row>
    <row r="3538" spans="1:5" x14ac:dyDescent="0.25">
      <c r="A3538" s="130" t="str">
        <f>LEFT(B3538,1)</f>
        <v>M</v>
      </c>
      <c r="B3538" t="s">
        <v>29089</v>
      </c>
      <c r="C3538">
        <v>1</v>
      </c>
      <c r="D3538" t="s">
        <v>23629</v>
      </c>
      <c r="E3538" t="s">
        <v>23632</v>
      </c>
    </row>
    <row r="3539" spans="1:5" x14ac:dyDescent="0.25">
      <c r="A3539" s="130" t="str">
        <f>LEFT(B3539,1)</f>
        <v>M</v>
      </c>
      <c r="B3539" t="s">
        <v>28836</v>
      </c>
      <c r="C3539">
        <v>1</v>
      </c>
      <c r="D3539" t="s">
        <v>23629</v>
      </c>
      <c r="E3539" t="s">
        <v>23632</v>
      </c>
    </row>
    <row r="3540" spans="1:5" x14ac:dyDescent="0.25">
      <c r="A3540" s="131" t="str">
        <f>LEFT(B3540,1)</f>
        <v>M</v>
      </c>
      <c r="B3540" t="s">
        <v>26864</v>
      </c>
      <c r="C3540">
        <v>1</v>
      </c>
      <c r="D3540" t="s">
        <v>23629</v>
      </c>
      <c r="E3540" t="s">
        <v>23632</v>
      </c>
    </row>
    <row r="3541" spans="1:5" x14ac:dyDescent="0.25">
      <c r="A3541" s="131" t="s">
        <v>26493</v>
      </c>
      <c r="B3541" t="s">
        <v>26579</v>
      </c>
      <c r="C3541">
        <v>1</v>
      </c>
      <c r="D3541" t="s">
        <v>23629</v>
      </c>
      <c r="E3541" t="s">
        <v>23632</v>
      </c>
    </row>
    <row r="3542" spans="1:5" x14ac:dyDescent="0.25">
      <c r="A3542" s="130" t="str">
        <f>LEFT(B3542,1)</f>
        <v>M</v>
      </c>
      <c r="B3542" t="s">
        <v>29090</v>
      </c>
      <c r="C3542">
        <v>1</v>
      </c>
      <c r="D3542" t="s">
        <v>23629</v>
      </c>
      <c r="E3542" t="s">
        <v>23632</v>
      </c>
    </row>
    <row r="3543" spans="1:5" x14ac:dyDescent="0.25">
      <c r="A3543" s="130" t="s">
        <v>26493</v>
      </c>
      <c r="B3543" t="s">
        <v>26580</v>
      </c>
      <c r="C3543">
        <v>1</v>
      </c>
      <c r="D3543" t="s">
        <v>23629</v>
      </c>
      <c r="E3543" t="s">
        <v>23632</v>
      </c>
    </row>
    <row r="3544" spans="1:5" x14ac:dyDescent="0.25">
      <c r="A3544" s="130" t="s">
        <v>26493</v>
      </c>
      <c r="B3544" t="s">
        <v>26581</v>
      </c>
      <c r="C3544">
        <v>1</v>
      </c>
      <c r="D3544" t="s">
        <v>23629</v>
      </c>
      <c r="E3544" t="s">
        <v>23632</v>
      </c>
    </row>
    <row r="3545" spans="1:5" x14ac:dyDescent="0.25">
      <c r="A3545" s="130" t="str">
        <f>LEFT(B3545,1)</f>
        <v>M</v>
      </c>
      <c r="B3545" t="s">
        <v>28543</v>
      </c>
      <c r="C3545">
        <v>1</v>
      </c>
      <c r="D3545" t="s">
        <v>23629</v>
      </c>
      <c r="E3545" t="s">
        <v>23632</v>
      </c>
    </row>
    <row r="3546" spans="1:5" x14ac:dyDescent="0.25">
      <c r="A3546" s="130" t="str">
        <f>LEFT(B3546,1)</f>
        <v>M</v>
      </c>
      <c r="B3546" t="s">
        <v>29256</v>
      </c>
      <c r="C3546">
        <v>1</v>
      </c>
      <c r="D3546" t="s">
        <v>23629</v>
      </c>
      <c r="E3546" t="s">
        <v>23632</v>
      </c>
    </row>
    <row r="3547" spans="1:5" x14ac:dyDescent="0.25">
      <c r="A3547" s="131" t="s">
        <v>26493</v>
      </c>
      <c r="B3547" t="s">
        <v>26582</v>
      </c>
      <c r="C3547">
        <v>1</v>
      </c>
      <c r="D3547" t="s">
        <v>23629</v>
      </c>
      <c r="E3547" t="s">
        <v>23632</v>
      </c>
    </row>
    <row r="3548" spans="1:5" x14ac:dyDescent="0.25">
      <c r="A3548" s="130" t="str">
        <f>LEFT(B3548,1)</f>
        <v>M</v>
      </c>
      <c r="B3548" t="s">
        <v>26837</v>
      </c>
      <c r="C3548">
        <v>1</v>
      </c>
      <c r="D3548" t="s">
        <v>23629</v>
      </c>
      <c r="E3548" t="s">
        <v>23632</v>
      </c>
    </row>
    <row r="3549" spans="1:5" x14ac:dyDescent="0.25">
      <c r="A3549" s="131" t="s">
        <v>26493</v>
      </c>
      <c r="B3549" t="s">
        <v>26583</v>
      </c>
      <c r="C3549">
        <v>1</v>
      </c>
      <c r="D3549" t="s">
        <v>23629</v>
      </c>
      <c r="E3549" t="s">
        <v>23632</v>
      </c>
    </row>
    <row r="3550" spans="1:5" x14ac:dyDescent="0.25">
      <c r="A3550" s="130" t="s">
        <v>26493</v>
      </c>
      <c r="B3550" t="s">
        <v>26584</v>
      </c>
      <c r="C3550">
        <v>1</v>
      </c>
      <c r="D3550" t="s">
        <v>23629</v>
      </c>
      <c r="E3550" t="s">
        <v>23632</v>
      </c>
    </row>
    <row r="3551" spans="1:5" x14ac:dyDescent="0.25">
      <c r="A3551" s="130" t="str">
        <f>LEFT(B3551,1)</f>
        <v>M</v>
      </c>
      <c r="B3551" t="s">
        <v>29257</v>
      </c>
      <c r="C3551">
        <v>1</v>
      </c>
      <c r="D3551" t="s">
        <v>23629</v>
      </c>
      <c r="E3551" t="s">
        <v>23632</v>
      </c>
    </row>
    <row r="3552" spans="1:5" x14ac:dyDescent="0.25">
      <c r="A3552" s="130" t="s">
        <v>26493</v>
      </c>
      <c r="B3552" t="s">
        <v>26585</v>
      </c>
      <c r="C3552">
        <v>1</v>
      </c>
      <c r="D3552" t="s">
        <v>23629</v>
      </c>
      <c r="E3552" t="s">
        <v>23632</v>
      </c>
    </row>
    <row r="3553" spans="1:5" x14ac:dyDescent="0.25">
      <c r="A3553" s="131" t="s">
        <v>26493</v>
      </c>
      <c r="B3553" t="s">
        <v>26586</v>
      </c>
      <c r="C3553">
        <v>1</v>
      </c>
      <c r="D3553" t="s">
        <v>23629</v>
      </c>
      <c r="E3553" t="s">
        <v>23632</v>
      </c>
    </row>
    <row r="3554" spans="1:5" x14ac:dyDescent="0.25">
      <c r="A3554" s="130" t="s">
        <v>26493</v>
      </c>
      <c r="B3554" t="s">
        <v>26587</v>
      </c>
      <c r="C3554">
        <v>1</v>
      </c>
      <c r="D3554" t="s">
        <v>23629</v>
      </c>
      <c r="E3554" t="s">
        <v>23632</v>
      </c>
    </row>
    <row r="3555" spans="1:5" x14ac:dyDescent="0.25">
      <c r="A3555" s="131" t="str">
        <f>LEFT((B3555),1)</f>
        <v>M</v>
      </c>
      <c r="B3555" t="s">
        <v>26588</v>
      </c>
      <c r="C3555">
        <v>1</v>
      </c>
      <c r="D3555" t="s">
        <v>23629</v>
      </c>
      <c r="E3555" t="s">
        <v>23632</v>
      </c>
    </row>
    <row r="3556" spans="1:5" x14ac:dyDescent="0.25">
      <c r="A3556" s="130" t="str">
        <f>LEFT(B3556,1)</f>
        <v>M</v>
      </c>
      <c r="B3556" t="s">
        <v>29091</v>
      </c>
      <c r="C3556">
        <v>1</v>
      </c>
      <c r="D3556" t="s">
        <v>23629</v>
      </c>
      <c r="E3556" t="s">
        <v>23632</v>
      </c>
    </row>
    <row r="3557" spans="1:5" x14ac:dyDescent="0.25">
      <c r="A3557" s="131" t="s">
        <v>26493</v>
      </c>
      <c r="B3557" t="s">
        <v>26589</v>
      </c>
      <c r="C3557">
        <v>1</v>
      </c>
      <c r="D3557" t="s">
        <v>23629</v>
      </c>
      <c r="E3557" t="s">
        <v>23632</v>
      </c>
    </row>
    <row r="3558" spans="1:5" x14ac:dyDescent="0.25">
      <c r="A3558" s="131" t="s">
        <v>26493</v>
      </c>
      <c r="B3558" t="s">
        <v>26590</v>
      </c>
      <c r="C3558">
        <v>1</v>
      </c>
      <c r="D3558" t="s">
        <v>23629</v>
      </c>
      <c r="E3558" t="s">
        <v>23632</v>
      </c>
    </row>
    <row r="3559" spans="1:5" x14ac:dyDescent="0.25">
      <c r="A3559" s="130" t="s">
        <v>26493</v>
      </c>
      <c r="B3559" t="s">
        <v>26591</v>
      </c>
      <c r="C3559">
        <v>1</v>
      </c>
      <c r="D3559" t="s">
        <v>23629</v>
      </c>
      <c r="E3559" t="s">
        <v>23632</v>
      </c>
    </row>
    <row r="3560" spans="1:5" x14ac:dyDescent="0.25">
      <c r="A3560" s="130" t="str">
        <f>LEFT(B3560,1)</f>
        <v>M</v>
      </c>
      <c r="B3560" t="s">
        <v>26865</v>
      </c>
      <c r="C3560">
        <v>1</v>
      </c>
      <c r="D3560" t="s">
        <v>23629</v>
      </c>
      <c r="E3560" t="s">
        <v>23632</v>
      </c>
    </row>
    <row r="3561" spans="1:5" x14ac:dyDescent="0.25">
      <c r="A3561" s="130" t="str">
        <f>LEFT(B3561,1)</f>
        <v>M</v>
      </c>
      <c r="B3561" t="s">
        <v>26816</v>
      </c>
      <c r="C3561">
        <v>1</v>
      </c>
      <c r="D3561" t="s">
        <v>23629</v>
      </c>
      <c r="E3561" t="s">
        <v>23632</v>
      </c>
    </row>
    <row r="3562" spans="1:5" x14ac:dyDescent="0.25">
      <c r="A3562" s="130" t="str">
        <f>LEFT(B3562,1)</f>
        <v>M</v>
      </c>
      <c r="B3562" t="s">
        <v>26838</v>
      </c>
      <c r="C3562">
        <v>1</v>
      </c>
      <c r="D3562" t="s">
        <v>23629</v>
      </c>
      <c r="E3562" t="s">
        <v>23632</v>
      </c>
    </row>
    <row r="3563" spans="1:5" x14ac:dyDescent="0.25">
      <c r="A3563" s="131" t="s">
        <v>26493</v>
      </c>
      <c r="B3563" t="s">
        <v>26592</v>
      </c>
      <c r="C3563">
        <v>1</v>
      </c>
      <c r="D3563" t="s">
        <v>23629</v>
      </c>
      <c r="E3563" t="s">
        <v>23632</v>
      </c>
    </row>
    <row r="3564" spans="1:5" x14ac:dyDescent="0.25">
      <c r="A3564" s="130" t="str">
        <f>LEFT(B3564,1)</f>
        <v>M</v>
      </c>
      <c r="B3564" t="s">
        <v>28544</v>
      </c>
      <c r="C3564">
        <v>1</v>
      </c>
      <c r="D3564" t="s">
        <v>23629</v>
      </c>
      <c r="E3564" t="s">
        <v>23632</v>
      </c>
    </row>
    <row r="3565" spans="1:5" x14ac:dyDescent="0.25">
      <c r="A3565" s="131" t="str">
        <f>LEFT(B3565,1)</f>
        <v>M</v>
      </c>
      <c r="B3565" t="s">
        <v>26866</v>
      </c>
      <c r="C3565">
        <v>1</v>
      </c>
      <c r="D3565" t="s">
        <v>23629</v>
      </c>
      <c r="E3565" t="s">
        <v>23632</v>
      </c>
    </row>
    <row r="3566" spans="1:5" x14ac:dyDescent="0.25">
      <c r="A3566" s="131" t="str">
        <f>LEFT(B3566,1)</f>
        <v>M</v>
      </c>
      <c r="B3566" t="s">
        <v>26817</v>
      </c>
      <c r="C3566">
        <v>1</v>
      </c>
      <c r="D3566" t="s">
        <v>23629</v>
      </c>
      <c r="E3566" t="s">
        <v>23632</v>
      </c>
    </row>
    <row r="3567" spans="1:5" x14ac:dyDescent="0.25">
      <c r="A3567" s="130" t="str">
        <f>LEFT(B3567,1)</f>
        <v>M</v>
      </c>
      <c r="B3567" t="s">
        <v>28837</v>
      </c>
      <c r="C3567">
        <v>1</v>
      </c>
      <c r="D3567" t="s">
        <v>23629</v>
      </c>
      <c r="E3567" t="s">
        <v>23632</v>
      </c>
    </row>
    <row r="3568" spans="1:5" x14ac:dyDescent="0.25">
      <c r="A3568" s="130" t="s">
        <v>26493</v>
      </c>
      <c r="B3568" s="155" t="s">
        <v>26593</v>
      </c>
      <c r="C3568">
        <v>1</v>
      </c>
      <c r="D3568" t="s">
        <v>23629</v>
      </c>
      <c r="E3568" t="s">
        <v>23632</v>
      </c>
    </row>
    <row r="3569" spans="1:5" x14ac:dyDescent="0.25">
      <c r="A3569" s="130" t="str">
        <f>LEFT(B3569,1)</f>
        <v>M</v>
      </c>
      <c r="B3569" t="s">
        <v>26818</v>
      </c>
      <c r="C3569">
        <v>1</v>
      </c>
      <c r="D3569" t="s">
        <v>23629</v>
      </c>
      <c r="E3569" t="s">
        <v>23632</v>
      </c>
    </row>
    <row r="3570" spans="1:5" x14ac:dyDescent="0.25">
      <c r="A3570" s="131" t="str">
        <f>LEFT(B3570,1)</f>
        <v>M</v>
      </c>
      <c r="B3570" t="s">
        <v>26819</v>
      </c>
      <c r="C3570">
        <v>1</v>
      </c>
      <c r="D3570" t="s">
        <v>23629</v>
      </c>
      <c r="E3570" t="s">
        <v>23632</v>
      </c>
    </row>
    <row r="3571" spans="1:5" x14ac:dyDescent="0.25">
      <c r="A3571" s="130" t="str">
        <f>LEFT(B3571,1)</f>
        <v>M</v>
      </c>
      <c r="B3571" t="s">
        <v>26867</v>
      </c>
      <c r="C3571">
        <v>1</v>
      </c>
      <c r="D3571" t="s">
        <v>23629</v>
      </c>
      <c r="E3571" t="s">
        <v>23632</v>
      </c>
    </row>
    <row r="3572" spans="1:5" x14ac:dyDescent="0.25">
      <c r="A3572" s="131" t="s">
        <v>26493</v>
      </c>
      <c r="B3572" s="155" t="s">
        <v>26594</v>
      </c>
      <c r="C3572">
        <v>1</v>
      </c>
      <c r="D3572" t="s">
        <v>23629</v>
      </c>
      <c r="E3572" t="s">
        <v>23632</v>
      </c>
    </row>
    <row r="3573" spans="1:5" x14ac:dyDescent="0.25">
      <c r="A3573" s="130" t="str">
        <f>LEFT(B3573,1)</f>
        <v>M</v>
      </c>
      <c r="B3573" t="s">
        <v>28838</v>
      </c>
      <c r="C3573">
        <v>1</v>
      </c>
      <c r="D3573" t="s">
        <v>23629</v>
      </c>
      <c r="E3573" t="s">
        <v>23632</v>
      </c>
    </row>
    <row r="3574" spans="1:5" x14ac:dyDescent="0.25">
      <c r="A3574" s="130" t="str">
        <f>LEFT(B3574,1)</f>
        <v>M</v>
      </c>
      <c r="B3574" t="s">
        <v>26839</v>
      </c>
      <c r="C3574">
        <v>1</v>
      </c>
      <c r="D3574" t="s">
        <v>23629</v>
      </c>
      <c r="E3574" t="s">
        <v>23632</v>
      </c>
    </row>
    <row r="3575" spans="1:5" x14ac:dyDescent="0.25">
      <c r="A3575" s="131" t="s">
        <v>26493</v>
      </c>
      <c r="B3575" t="s">
        <v>26595</v>
      </c>
      <c r="C3575">
        <v>1</v>
      </c>
      <c r="D3575" t="s">
        <v>23629</v>
      </c>
      <c r="E3575" t="s">
        <v>23632</v>
      </c>
    </row>
    <row r="3576" spans="1:5" x14ac:dyDescent="0.25">
      <c r="A3576" s="130" t="s">
        <v>26493</v>
      </c>
      <c r="B3576" t="s">
        <v>26596</v>
      </c>
      <c r="C3576">
        <v>1</v>
      </c>
      <c r="D3576" t="s">
        <v>23629</v>
      </c>
      <c r="E3576" t="s">
        <v>23632</v>
      </c>
    </row>
    <row r="3577" spans="1:5" x14ac:dyDescent="0.25">
      <c r="A3577" s="130" t="str">
        <f>LEFT(B3577,1)</f>
        <v>M</v>
      </c>
      <c r="B3577" t="s">
        <v>26820</v>
      </c>
      <c r="C3577">
        <v>1</v>
      </c>
      <c r="D3577" t="s">
        <v>23629</v>
      </c>
      <c r="E3577" t="s">
        <v>23632</v>
      </c>
    </row>
    <row r="3578" spans="1:5" x14ac:dyDescent="0.25">
      <c r="A3578" s="130" t="str">
        <f>LEFT(B3578,1)</f>
        <v>M</v>
      </c>
      <c r="B3578" t="s">
        <v>26840</v>
      </c>
      <c r="C3578">
        <v>1</v>
      </c>
      <c r="D3578" t="s">
        <v>23629</v>
      </c>
      <c r="E3578" t="s">
        <v>23632</v>
      </c>
    </row>
    <row r="3579" spans="1:5" x14ac:dyDescent="0.25">
      <c r="A3579" s="130" t="s">
        <v>26493</v>
      </c>
      <c r="B3579" t="s">
        <v>26597</v>
      </c>
      <c r="C3579">
        <v>1</v>
      </c>
      <c r="D3579" t="s">
        <v>23629</v>
      </c>
      <c r="E3579" t="s">
        <v>23632</v>
      </c>
    </row>
    <row r="3580" spans="1:5" x14ac:dyDescent="0.25">
      <c r="A3580" s="131" t="s">
        <v>26493</v>
      </c>
      <c r="B3580" t="s">
        <v>26598</v>
      </c>
      <c r="C3580">
        <v>1</v>
      </c>
      <c r="D3580" t="s">
        <v>23629</v>
      </c>
      <c r="E3580" t="s">
        <v>23632</v>
      </c>
    </row>
    <row r="3581" spans="1:5" x14ac:dyDescent="0.25">
      <c r="A3581" s="130" t="str">
        <f>LEFT(B3581,1)</f>
        <v>M</v>
      </c>
      <c r="B3581" t="s">
        <v>28545</v>
      </c>
      <c r="C3581">
        <v>1</v>
      </c>
      <c r="D3581" t="s">
        <v>23629</v>
      </c>
      <c r="E3581" t="s">
        <v>23632</v>
      </c>
    </row>
    <row r="3582" spans="1:5" x14ac:dyDescent="0.25">
      <c r="A3582" s="130" t="s">
        <v>26493</v>
      </c>
      <c r="B3582" t="s">
        <v>26599</v>
      </c>
      <c r="C3582">
        <v>1</v>
      </c>
      <c r="D3582" t="s">
        <v>23629</v>
      </c>
      <c r="E3582" t="s">
        <v>23632</v>
      </c>
    </row>
    <row r="3583" spans="1:5" x14ac:dyDescent="0.25">
      <c r="A3583" s="130" t="str">
        <f>LEFT(B3583,1)</f>
        <v>M</v>
      </c>
      <c r="B3583" t="s">
        <v>26841</v>
      </c>
      <c r="C3583">
        <v>1</v>
      </c>
      <c r="D3583" t="s">
        <v>23629</v>
      </c>
      <c r="E3583" t="s">
        <v>23632</v>
      </c>
    </row>
    <row r="3584" spans="1:5" x14ac:dyDescent="0.25">
      <c r="A3584" s="131" t="s">
        <v>26493</v>
      </c>
      <c r="B3584" t="s">
        <v>26600</v>
      </c>
      <c r="C3584">
        <v>1</v>
      </c>
      <c r="D3584" t="s">
        <v>23629</v>
      </c>
      <c r="E3584" t="s">
        <v>23632</v>
      </c>
    </row>
    <row r="3585" spans="1:5" x14ac:dyDescent="0.25">
      <c r="A3585" s="130" t="s">
        <v>26493</v>
      </c>
      <c r="B3585" t="s">
        <v>26601</v>
      </c>
      <c r="C3585">
        <v>1</v>
      </c>
      <c r="D3585" t="s">
        <v>23629</v>
      </c>
      <c r="E3585" t="s">
        <v>23632</v>
      </c>
    </row>
    <row r="3586" spans="1:5" x14ac:dyDescent="0.25">
      <c r="A3586" s="131" t="s">
        <v>26493</v>
      </c>
      <c r="B3586" t="s">
        <v>26602</v>
      </c>
      <c r="C3586">
        <v>1</v>
      </c>
      <c r="D3586" t="s">
        <v>23629</v>
      </c>
      <c r="E3586" t="s">
        <v>23632</v>
      </c>
    </row>
    <row r="3587" spans="1:5" x14ac:dyDescent="0.25">
      <c r="A3587" s="130" t="s">
        <v>26493</v>
      </c>
      <c r="B3587" t="s">
        <v>26603</v>
      </c>
      <c r="C3587">
        <v>1</v>
      </c>
      <c r="D3587" t="s">
        <v>23629</v>
      </c>
      <c r="E3587" t="s">
        <v>23632</v>
      </c>
    </row>
    <row r="3588" spans="1:5" x14ac:dyDescent="0.25">
      <c r="A3588" s="131" t="str">
        <f>LEFT(B3588,1)</f>
        <v>M</v>
      </c>
      <c r="B3588" t="s">
        <v>26821</v>
      </c>
      <c r="C3588">
        <v>1</v>
      </c>
      <c r="D3588" t="s">
        <v>23629</v>
      </c>
      <c r="E3588" t="s">
        <v>23632</v>
      </c>
    </row>
    <row r="3589" spans="1:5" x14ac:dyDescent="0.25">
      <c r="A3589" s="131" t="s">
        <v>26493</v>
      </c>
      <c r="B3589" t="s">
        <v>26604</v>
      </c>
      <c r="C3589">
        <v>1</v>
      </c>
      <c r="D3589" t="s">
        <v>23629</v>
      </c>
      <c r="E3589" t="s">
        <v>23632</v>
      </c>
    </row>
    <row r="3590" spans="1:5" x14ac:dyDescent="0.25">
      <c r="A3590" s="130" t="str">
        <f>LEFT(B3590,1)</f>
        <v>M</v>
      </c>
      <c r="B3590" t="s">
        <v>28839</v>
      </c>
      <c r="C3590">
        <v>1</v>
      </c>
      <c r="D3590" t="s">
        <v>23629</v>
      </c>
      <c r="E3590" t="s">
        <v>23632</v>
      </c>
    </row>
    <row r="3591" spans="1:5" x14ac:dyDescent="0.25">
      <c r="A3591" s="130" t="s">
        <v>26493</v>
      </c>
      <c r="B3591" t="s">
        <v>26605</v>
      </c>
      <c r="C3591">
        <v>1</v>
      </c>
      <c r="D3591" t="s">
        <v>23629</v>
      </c>
      <c r="E3591" t="s">
        <v>23632</v>
      </c>
    </row>
    <row r="3592" spans="1:5" x14ac:dyDescent="0.25">
      <c r="A3592" s="131" t="s">
        <v>26493</v>
      </c>
      <c r="B3592" t="s">
        <v>26606</v>
      </c>
      <c r="C3592">
        <v>1</v>
      </c>
      <c r="D3592" t="s">
        <v>23629</v>
      </c>
      <c r="E3592" t="s">
        <v>23632</v>
      </c>
    </row>
    <row r="3593" spans="1:5" x14ac:dyDescent="0.25">
      <c r="A3593" s="130" t="str">
        <f>LEFT(B3593,1)</f>
        <v>M</v>
      </c>
      <c r="B3593" t="s">
        <v>28831</v>
      </c>
      <c r="C3593">
        <v>1</v>
      </c>
      <c r="D3593" t="s">
        <v>23629</v>
      </c>
      <c r="E3593" t="s">
        <v>23632</v>
      </c>
    </row>
    <row r="3594" spans="1:5" x14ac:dyDescent="0.25">
      <c r="A3594" s="131" t="s">
        <v>26493</v>
      </c>
      <c r="B3594" t="s">
        <v>26607</v>
      </c>
      <c r="C3594">
        <v>1</v>
      </c>
      <c r="D3594" t="s">
        <v>23629</v>
      </c>
      <c r="E3594" t="s">
        <v>23632</v>
      </c>
    </row>
    <row r="3595" spans="1:5" x14ac:dyDescent="0.25">
      <c r="A3595" s="130" t="s">
        <v>26493</v>
      </c>
      <c r="B3595" t="s">
        <v>26608</v>
      </c>
      <c r="C3595">
        <v>1</v>
      </c>
      <c r="D3595" t="s">
        <v>23629</v>
      </c>
      <c r="E3595" t="s">
        <v>23632</v>
      </c>
    </row>
    <row r="3596" spans="1:5" x14ac:dyDescent="0.25">
      <c r="A3596" s="130" t="str">
        <f>LEFT(B3596,1)</f>
        <v>M</v>
      </c>
      <c r="B3596" t="s">
        <v>29092</v>
      </c>
      <c r="C3596">
        <v>1</v>
      </c>
      <c r="D3596" t="s">
        <v>23629</v>
      </c>
      <c r="E3596" t="s">
        <v>23632</v>
      </c>
    </row>
    <row r="3597" spans="1:5" x14ac:dyDescent="0.25">
      <c r="A3597" s="130" t="str">
        <f>LEFT(B3597,1)</f>
        <v>M</v>
      </c>
      <c r="B3597" t="s">
        <v>28546</v>
      </c>
      <c r="C3597">
        <v>1</v>
      </c>
      <c r="D3597" t="s">
        <v>23629</v>
      </c>
      <c r="E3597" t="s">
        <v>23632</v>
      </c>
    </row>
    <row r="3598" spans="1:5" x14ac:dyDescent="0.25">
      <c r="A3598" s="130" t="str">
        <f>LEFT(B3598,1)</f>
        <v>M</v>
      </c>
      <c r="B3598" t="s">
        <v>28547</v>
      </c>
      <c r="C3598">
        <v>1</v>
      </c>
      <c r="D3598" t="s">
        <v>23629</v>
      </c>
      <c r="E3598" t="s">
        <v>23632</v>
      </c>
    </row>
    <row r="3599" spans="1:5" x14ac:dyDescent="0.25">
      <c r="A3599" s="131" t="s">
        <v>26493</v>
      </c>
      <c r="B3599" t="s">
        <v>26609</v>
      </c>
      <c r="C3599">
        <v>1</v>
      </c>
      <c r="D3599" t="s">
        <v>23629</v>
      </c>
      <c r="E3599" t="s">
        <v>23632</v>
      </c>
    </row>
    <row r="3600" spans="1:5" x14ac:dyDescent="0.25">
      <c r="A3600" s="130" t="str">
        <f>LEFT((B3600),1)</f>
        <v>M</v>
      </c>
      <c r="B3600" t="s">
        <v>26610</v>
      </c>
      <c r="C3600">
        <v>1</v>
      </c>
      <c r="D3600" t="s">
        <v>23629</v>
      </c>
      <c r="E3600" t="s">
        <v>23632</v>
      </c>
    </row>
    <row r="3601" spans="1:5" x14ac:dyDescent="0.25">
      <c r="A3601" s="130" t="s">
        <v>26493</v>
      </c>
      <c r="B3601" t="s">
        <v>26611</v>
      </c>
      <c r="C3601">
        <v>1</v>
      </c>
      <c r="D3601" t="s">
        <v>23629</v>
      </c>
      <c r="E3601" t="s">
        <v>23632</v>
      </c>
    </row>
    <row r="3602" spans="1:5" x14ac:dyDescent="0.25">
      <c r="A3602" s="130" t="s">
        <v>26493</v>
      </c>
      <c r="B3602" t="s">
        <v>26612</v>
      </c>
      <c r="C3602">
        <v>1</v>
      </c>
      <c r="D3602" t="s">
        <v>23629</v>
      </c>
      <c r="E3602" t="s">
        <v>23632</v>
      </c>
    </row>
    <row r="3603" spans="1:5" x14ac:dyDescent="0.25">
      <c r="A3603" s="130" t="s">
        <v>26493</v>
      </c>
      <c r="B3603" t="s">
        <v>26613</v>
      </c>
      <c r="C3603">
        <v>1</v>
      </c>
      <c r="D3603" t="s">
        <v>23629</v>
      </c>
      <c r="E3603" t="s">
        <v>23632</v>
      </c>
    </row>
    <row r="3604" spans="1:5" x14ac:dyDescent="0.25">
      <c r="A3604" s="131" t="str">
        <f>LEFT((B3604),1)</f>
        <v>M</v>
      </c>
      <c r="B3604" t="s">
        <v>26614</v>
      </c>
      <c r="C3604">
        <v>1</v>
      </c>
      <c r="D3604" t="s">
        <v>23629</v>
      </c>
      <c r="E3604" t="s">
        <v>23632</v>
      </c>
    </row>
    <row r="3605" spans="1:5" x14ac:dyDescent="0.25">
      <c r="A3605" s="130" t="s">
        <v>26493</v>
      </c>
      <c r="B3605" t="s">
        <v>26615</v>
      </c>
      <c r="C3605">
        <v>1</v>
      </c>
      <c r="D3605" t="s">
        <v>23629</v>
      </c>
      <c r="E3605" t="s">
        <v>23632</v>
      </c>
    </row>
    <row r="3606" spans="1:5" x14ac:dyDescent="0.25">
      <c r="A3606" s="130" t="str">
        <f>LEFT(B3606,1)</f>
        <v>M</v>
      </c>
      <c r="B3606" t="s">
        <v>28548</v>
      </c>
      <c r="C3606">
        <v>1</v>
      </c>
      <c r="D3606" t="s">
        <v>23629</v>
      </c>
      <c r="E3606" t="s">
        <v>23632</v>
      </c>
    </row>
    <row r="3607" spans="1:5" x14ac:dyDescent="0.25">
      <c r="A3607" s="130" t="str">
        <f>LEFT(B3607,1)</f>
        <v>M</v>
      </c>
      <c r="B3607" t="s">
        <v>26822</v>
      </c>
      <c r="C3607">
        <v>1</v>
      </c>
      <c r="D3607" t="s">
        <v>23629</v>
      </c>
      <c r="E3607" t="s">
        <v>23632</v>
      </c>
    </row>
    <row r="3608" spans="1:5" x14ac:dyDescent="0.25">
      <c r="A3608" s="131" t="s">
        <v>26493</v>
      </c>
      <c r="B3608" t="s">
        <v>26616</v>
      </c>
      <c r="C3608">
        <v>1</v>
      </c>
      <c r="D3608" t="s">
        <v>23629</v>
      </c>
      <c r="E3608" t="s">
        <v>23632</v>
      </c>
    </row>
    <row r="3609" spans="1:5" x14ac:dyDescent="0.25">
      <c r="A3609" s="131" t="str">
        <f>LEFT(B3609,1)</f>
        <v>M</v>
      </c>
      <c r="B3609" t="s">
        <v>26868</v>
      </c>
      <c r="C3609">
        <v>1</v>
      </c>
      <c r="D3609" t="s">
        <v>23629</v>
      </c>
      <c r="E3609" t="s">
        <v>23632</v>
      </c>
    </row>
    <row r="3610" spans="1:5" x14ac:dyDescent="0.25">
      <c r="A3610" s="130" t="str">
        <f>LEFT(B3610,1)</f>
        <v>M</v>
      </c>
      <c r="B3610" t="s">
        <v>26869</v>
      </c>
      <c r="C3610">
        <v>1</v>
      </c>
      <c r="D3610" t="s">
        <v>23629</v>
      </c>
      <c r="E3610" t="s">
        <v>23632</v>
      </c>
    </row>
    <row r="3611" spans="1:5" x14ac:dyDescent="0.25">
      <c r="A3611" s="130" t="s">
        <v>26493</v>
      </c>
      <c r="B3611" t="s">
        <v>26617</v>
      </c>
      <c r="C3611">
        <v>1</v>
      </c>
      <c r="D3611" t="s">
        <v>23629</v>
      </c>
      <c r="E3611" t="s">
        <v>23632</v>
      </c>
    </row>
    <row r="3612" spans="1:5" x14ac:dyDescent="0.25">
      <c r="A3612" s="131" t="s">
        <v>26493</v>
      </c>
      <c r="B3612" t="s">
        <v>26618</v>
      </c>
      <c r="C3612">
        <v>1</v>
      </c>
      <c r="D3612" t="s">
        <v>23629</v>
      </c>
      <c r="E3612" t="s">
        <v>23632</v>
      </c>
    </row>
    <row r="3613" spans="1:5" x14ac:dyDescent="0.25">
      <c r="A3613" s="130" t="s">
        <v>26493</v>
      </c>
      <c r="B3613" t="s">
        <v>26619</v>
      </c>
      <c r="C3613">
        <v>1</v>
      </c>
      <c r="D3613" t="s">
        <v>23629</v>
      </c>
      <c r="E3613" t="s">
        <v>23632</v>
      </c>
    </row>
    <row r="3614" spans="1:5" x14ac:dyDescent="0.25">
      <c r="A3614" s="131" t="str">
        <f>LEFT(B3614,1)</f>
        <v>M</v>
      </c>
      <c r="B3614" t="s">
        <v>26823</v>
      </c>
      <c r="C3614">
        <v>1</v>
      </c>
      <c r="D3614" t="s">
        <v>23629</v>
      </c>
      <c r="E3614" t="s">
        <v>23632</v>
      </c>
    </row>
    <row r="3615" spans="1:5" x14ac:dyDescent="0.25">
      <c r="A3615" s="131" t="s">
        <v>26493</v>
      </c>
      <c r="B3615" t="s">
        <v>26620</v>
      </c>
      <c r="C3615">
        <v>1</v>
      </c>
      <c r="D3615" t="s">
        <v>23629</v>
      </c>
      <c r="E3615" t="s">
        <v>23632</v>
      </c>
    </row>
    <row r="3616" spans="1:5" x14ac:dyDescent="0.25">
      <c r="A3616" s="130" t="s">
        <v>26493</v>
      </c>
      <c r="B3616" t="s">
        <v>26621</v>
      </c>
      <c r="C3616">
        <v>1</v>
      </c>
      <c r="D3616" t="s">
        <v>23629</v>
      </c>
      <c r="E3616" t="s">
        <v>23632</v>
      </c>
    </row>
    <row r="3617" spans="1:5" x14ac:dyDescent="0.25">
      <c r="A3617" s="130" t="s">
        <v>26493</v>
      </c>
      <c r="B3617" t="s">
        <v>26622</v>
      </c>
      <c r="C3617">
        <v>1</v>
      </c>
      <c r="D3617" t="s">
        <v>23629</v>
      </c>
      <c r="E3617" t="s">
        <v>23632</v>
      </c>
    </row>
    <row r="3618" spans="1:5" x14ac:dyDescent="0.25">
      <c r="A3618" s="130" t="str">
        <f>LEFT(B3618,1)</f>
        <v>M</v>
      </c>
      <c r="B3618" t="s">
        <v>28549</v>
      </c>
      <c r="C3618">
        <v>1</v>
      </c>
      <c r="D3618" t="s">
        <v>23629</v>
      </c>
      <c r="E3618" t="s">
        <v>23632</v>
      </c>
    </row>
    <row r="3619" spans="1:5" x14ac:dyDescent="0.25">
      <c r="A3619" s="131" t="s">
        <v>26493</v>
      </c>
      <c r="B3619" t="s">
        <v>26623</v>
      </c>
      <c r="C3619">
        <v>1</v>
      </c>
      <c r="D3619" t="s">
        <v>23629</v>
      </c>
      <c r="E3619" t="s">
        <v>23632</v>
      </c>
    </row>
    <row r="3620" spans="1:5" x14ac:dyDescent="0.25">
      <c r="A3620" s="131" t="s">
        <v>26493</v>
      </c>
      <c r="B3620" t="s">
        <v>26624</v>
      </c>
      <c r="C3620">
        <v>1</v>
      </c>
      <c r="D3620" t="s">
        <v>23629</v>
      </c>
      <c r="E3620" t="s">
        <v>23632</v>
      </c>
    </row>
    <row r="3621" spans="1:5" x14ac:dyDescent="0.25">
      <c r="A3621" s="131" t="s">
        <v>26493</v>
      </c>
      <c r="B3621" t="s">
        <v>26625</v>
      </c>
      <c r="C3621">
        <v>1</v>
      </c>
      <c r="D3621" t="s">
        <v>23629</v>
      </c>
      <c r="E3621" t="s">
        <v>23632</v>
      </c>
    </row>
    <row r="3622" spans="1:5" x14ac:dyDescent="0.25">
      <c r="A3622" s="131" t="s">
        <v>26493</v>
      </c>
      <c r="B3622" t="s">
        <v>26626</v>
      </c>
      <c r="C3622">
        <v>1</v>
      </c>
      <c r="D3622" t="s">
        <v>23629</v>
      </c>
      <c r="E3622" t="s">
        <v>23632</v>
      </c>
    </row>
    <row r="3623" spans="1:5" x14ac:dyDescent="0.25">
      <c r="A3623" s="130" t="s">
        <v>26493</v>
      </c>
      <c r="B3623" t="s">
        <v>26627</v>
      </c>
      <c r="C3623">
        <v>1</v>
      </c>
      <c r="D3623" t="s">
        <v>23629</v>
      </c>
      <c r="E3623" t="s">
        <v>23632</v>
      </c>
    </row>
    <row r="3624" spans="1:5" x14ac:dyDescent="0.25">
      <c r="A3624" s="130" t="str">
        <f>LEFT(B3624,1)</f>
        <v>M</v>
      </c>
      <c r="B3624" t="s">
        <v>26824</v>
      </c>
      <c r="C3624">
        <v>1</v>
      </c>
      <c r="D3624" t="s">
        <v>23629</v>
      </c>
      <c r="E3624" t="s">
        <v>23632</v>
      </c>
    </row>
    <row r="3625" spans="1:5" x14ac:dyDescent="0.25">
      <c r="A3625" s="131" t="s">
        <v>26493</v>
      </c>
      <c r="B3625" t="s">
        <v>26628</v>
      </c>
      <c r="C3625">
        <v>1</v>
      </c>
      <c r="D3625" t="s">
        <v>23629</v>
      </c>
      <c r="E3625" t="s">
        <v>23632</v>
      </c>
    </row>
    <row r="3626" spans="1:5" x14ac:dyDescent="0.25">
      <c r="A3626" s="131" t="s">
        <v>26493</v>
      </c>
      <c r="B3626" t="s">
        <v>26629</v>
      </c>
      <c r="C3626">
        <v>1.1100000000000001</v>
      </c>
      <c r="D3626" t="s">
        <v>23629</v>
      </c>
      <c r="E3626" t="s">
        <v>23632</v>
      </c>
    </row>
    <row r="3627" spans="1:5" x14ac:dyDescent="0.25">
      <c r="A3627" s="130" t="s">
        <v>26493</v>
      </c>
      <c r="B3627" t="s">
        <v>26630</v>
      </c>
      <c r="C3627">
        <v>1</v>
      </c>
      <c r="D3627" t="s">
        <v>23629</v>
      </c>
      <c r="E3627" t="s">
        <v>23881</v>
      </c>
    </row>
    <row r="3628" spans="1:5" x14ac:dyDescent="0.25">
      <c r="A3628" s="130" t="s">
        <v>26493</v>
      </c>
      <c r="B3628" t="s">
        <v>26631</v>
      </c>
      <c r="C3628">
        <v>1</v>
      </c>
      <c r="D3628" t="s">
        <v>23629</v>
      </c>
      <c r="E3628" t="s">
        <v>23632</v>
      </c>
    </row>
    <row r="3629" spans="1:5" x14ac:dyDescent="0.25">
      <c r="A3629" s="131" t="str">
        <f>LEFT(B3629,1)</f>
        <v>M</v>
      </c>
      <c r="B3629" t="s">
        <v>26825</v>
      </c>
      <c r="C3629">
        <v>1</v>
      </c>
      <c r="D3629" t="s">
        <v>23629</v>
      </c>
      <c r="E3629" t="s">
        <v>23632</v>
      </c>
    </row>
    <row r="3630" spans="1:5" x14ac:dyDescent="0.25">
      <c r="A3630" s="130" t="str">
        <f>LEFT(B3630,1)</f>
        <v>M</v>
      </c>
      <c r="B3630" t="s">
        <v>28550</v>
      </c>
      <c r="C3630">
        <v>1</v>
      </c>
      <c r="D3630" t="s">
        <v>23629</v>
      </c>
      <c r="E3630" t="s">
        <v>23632</v>
      </c>
    </row>
    <row r="3631" spans="1:5" x14ac:dyDescent="0.25">
      <c r="A3631" s="130" t="str">
        <f>LEFT(B3631,1)</f>
        <v>M</v>
      </c>
      <c r="B3631" t="s">
        <v>28551</v>
      </c>
      <c r="C3631">
        <v>1</v>
      </c>
      <c r="D3631" t="s">
        <v>23629</v>
      </c>
      <c r="E3631" t="s">
        <v>23632</v>
      </c>
    </row>
    <row r="3632" spans="1:5" x14ac:dyDescent="0.25">
      <c r="A3632" s="130" t="str">
        <f>LEFT(B3632,1)</f>
        <v>M</v>
      </c>
      <c r="B3632" t="s">
        <v>26842</v>
      </c>
      <c r="C3632">
        <v>1</v>
      </c>
      <c r="D3632" t="s">
        <v>23629</v>
      </c>
      <c r="E3632" t="s">
        <v>23632</v>
      </c>
    </row>
    <row r="3633" spans="1:5" x14ac:dyDescent="0.25">
      <c r="A3633" s="131" t="s">
        <v>26493</v>
      </c>
      <c r="B3633" t="s">
        <v>26632</v>
      </c>
      <c r="C3633">
        <v>1</v>
      </c>
      <c r="D3633" t="s">
        <v>23629</v>
      </c>
      <c r="E3633" t="s">
        <v>23632</v>
      </c>
    </row>
    <row r="3634" spans="1:5" x14ac:dyDescent="0.25">
      <c r="A3634" s="130" t="str">
        <f>LEFT(B3634,1)</f>
        <v>M</v>
      </c>
      <c r="B3634" t="s">
        <v>26843</v>
      </c>
      <c r="C3634">
        <v>1</v>
      </c>
      <c r="D3634" t="s">
        <v>23629</v>
      </c>
      <c r="E3634" t="s">
        <v>23632</v>
      </c>
    </row>
    <row r="3635" spans="1:5" x14ac:dyDescent="0.25">
      <c r="A3635" s="130" t="s">
        <v>26493</v>
      </c>
      <c r="B3635" t="s">
        <v>26633</v>
      </c>
      <c r="C3635">
        <v>1</v>
      </c>
      <c r="D3635" t="s">
        <v>23629</v>
      </c>
      <c r="E3635" t="s">
        <v>23632</v>
      </c>
    </row>
    <row r="3636" spans="1:5" x14ac:dyDescent="0.25">
      <c r="A3636" s="130" t="str">
        <f>LEFT(B3636,1)</f>
        <v>M</v>
      </c>
      <c r="B3636" t="s">
        <v>29258</v>
      </c>
      <c r="C3636">
        <v>1</v>
      </c>
      <c r="D3636" t="s">
        <v>23629</v>
      </c>
      <c r="E3636" t="s">
        <v>23632</v>
      </c>
    </row>
    <row r="3637" spans="1:5" x14ac:dyDescent="0.25">
      <c r="A3637" s="131" t="s">
        <v>26493</v>
      </c>
      <c r="B3637" t="s">
        <v>26634</v>
      </c>
      <c r="C3637">
        <v>1</v>
      </c>
      <c r="D3637" t="s">
        <v>23629</v>
      </c>
      <c r="E3637" t="s">
        <v>23632</v>
      </c>
    </row>
    <row r="3638" spans="1:5" x14ac:dyDescent="0.25">
      <c r="A3638" s="131" t="s">
        <v>26493</v>
      </c>
      <c r="B3638" t="s">
        <v>26635</v>
      </c>
      <c r="C3638">
        <v>1</v>
      </c>
      <c r="D3638" t="s">
        <v>23629</v>
      </c>
      <c r="E3638" t="s">
        <v>23632</v>
      </c>
    </row>
    <row r="3639" spans="1:5" x14ac:dyDescent="0.25">
      <c r="A3639" s="130" t="str">
        <f>LEFT(B3639,1)</f>
        <v>M</v>
      </c>
      <c r="B3639" t="s">
        <v>26844</v>
      </c>
      <c r="C3639">
        <v>1</v>
      </c>
      <c r="D3639" t="s">
        <v>23629</v>
      </c>
      <c r="E3639" t="s">
        <v>23632</v>
      </c>
    </row>
    <row r="3640" spans="1:5" x14ac:dyDescent="0.25">
      <c r="A3640" s="130" t="str">
        <f>LEFT((B3640),1)</f>
        <v>M</v>
      </c>
      <c r="B3640" t="s">
        <v>26636</v>
      </c>
      <c r="C3640">
        <v>1</v>
      </c>
      <c r="D3640" t="s">
        <v>23629</v>
      </c>
      <c r="E3640" t="s">
        <v>23632</v>
      </c>
    </row>
    <row r="3641" spans="1:5" x14ac:dyDescent="0.25">
      <c r="A3641" s="130" t="s">
        <v>26493</v>
      </c>
      <c r="B3641" t="s">
        <v>26637</v>
      </c>
      <c r="C3641">
        <v>1</v>
      </c>
      <c r="D3641" t="s">
        <v>23629</v>
      </c>
      <c r="E3641" t="s">
        <v>23632</v>
      </c>
    </row>
    <row r="3642" spans="1:5" x14ac:dyDescent="0.25">
      <c r="A3642" s="130" t="s">
        <v>26493</v>
      </c>
      <c r="B3642" t="s">
        <v>26638</v>
      </c>
      <c r="C3642">
        <v>1</v>
      </c>
      <c r="D3642" t="s">
        <v>23629</v>
      </c>
      <c r="E3642" t="s">
        <v>23632</v>
      </c>
    </row>
    <row r="3643" spans="1:5" x14ac:dyDescent="0.25">
      <c r="A3643" s="130" t="s">
        <v>26493</v>
      </c>
      <c r="B3643" t="s">
        <v>26639</v>
      </c>
      <c r="C3643">
        <v>1</v>
      </c>
      <c r="D3643" t="s">
        <v>23629</v>
      </c>
      <c r="E3643" t="s">
        <v>23632</v>
      </c>
    </row>
    <row r="3644" spans="1:5" x14ac:dyDescent="0.25">
      <c r="A3644" s="130" t="str">
        <f>LEFT(B3644,1)</f>
        <v>M</v>
      </c>
      <c r="B3644" t="s">
        <v>28552</v>
      </c>
      <c r="C3644">
        <v>1</v>
      </c>
      <c r="D3644" t="s">
        <v>23629</v>
      </c>
      <c r="E3644" t="s">
        <v>23632</v>
      </c>
    </row>
    <row r="3645" spans="1:5" x14ac:dyDescent="0.25">
      <c r="A3645" s="131" t="s">
        <v>26493</v>
      </c>
      <c r="B3645" t="s">
        <v>26640</v>
      </c>
      <c r="C3645">
        <v>1</v>
      </c>
      <c r="D3645" t="s">
        <v>23629</v>
      </c>
      <c r="E3645" t="s">
        <v>23632</v>
      </c>
    </row>
    <row r="3646" spans="1:5" x14ac:dyDescent="0.25">
      <c r="A3646" s="130" t="str">
        <f>LEFT(B3646,1)</f>
        <v>M</v>
      </c>
      <c r="B3646" t="s">
        <v>29093</v>
      </c>
      <c r="C3646">
        <v>1</v>
      </c>
      <c r="D3646" t="s">
        <v>23629</v>
      </c>
      <c r="E3646" t="s">
        <v>23632</v>
      </c>
    </row>
    <row r="3647" spans="1:5" x14ac:dyDescent="0.25">
      <c r="A3647" s="131" t="s">
        <v>26493</v>
      </c>
      <c r="B3647" t="s">
        <v>26641</v>
      </c>
      <c r="C3647">
        <v>1</v>
      </c>
      <c r="D3647" t="s">
        <v>23629</v>
      </c>
      <c r="E3647" t="s">
        <v>23632</v>
      </c>
    </row>
    <row r="3648" spans="1:5" x14ac:dyDescent="0.25">
      <c r="A3648" s="130" t="s">
        <v>26493</v>
      </c>
      <c r="B3648" t="s">
        <v>26642</v>
      </c>
      <c r="C3648">
        <v>1</v>
      </c>
      <c r="D3648" t="s">
        <v>23629</v>
      </c>
      <c r="E3648" t="s">
        <v>23632</v>
      </c>
    </row>
    <row r="3649" spans="1:5" x14ac:dyDescent="0.25">
      <c r="A3649" s="131" t="s">
        <v>26493</v>
      </c>
      <c r="B3649" t="s">
        <v>26643</v>
      </c>
      <c r="C3649">
        <v>1</v>
      </c>
      <c r="D3649" t="s">
        <v>23629</v>
      </c>
      <c r="E3649" t="s">
        <v>23632</v>
      </c>
    </row>
    <row r="3650" spans="1:5" x14ac:dyDescent="0.25">
      <c r="A3650" s="130" t="s">
        <v>26493</v>
      </c>
      <c r="B3650" t="s">
        <v>26644</v>
      </c>
      <c r="C3650">
        <v>1</v>
      </c>
      <c r="D3650" t="s">
        <v>23629</v>
      </c>
      <c r="E3650" t="s">
        <v>23632</v>
      </c>
    </row>
    <row r="3651" spans="1:5" x14ac:dyDescent="0.25">
      <c r="A3651" s="131" t="s">
        <v>26493</v>
      </c>
      <c r="B3651" t="s">
        <v>26645</v>
      </c>
      <c r="C3651">
        <v>1</v>
      </c>
      <c r="D3651" t="s">
        <v>23629</v>
      </c>
      <c r="E3651" t="s">
        <v>23632</v>
      </c>
    </row>
    <row r="3652" spans="1:5" x14ac:dyDescent="0.25">
      <c r="A3652" s="130" t="s">
        <v>26493</v>
      </c>
      <c r="B3652" t="s">
        <v>26646</v>
      </c>
      <c r="C3652">
        <v>1</v>
      </c>
      <c r="D3652" t="s">
        <v>23629</v>
      </c>
      <c r="E3652" t="s">
        <v>23632</v>
      </c>
    </row>
    <row r="3653" spans="1:5" x14ac:dyDescent="0.25">
      <c r="A3653" s="131" t="str">
        <f>LEFT((B3653),1)</f>
        <v>M</v>
      </c>
      <c r="B3653" t="s">
        <v>26647</v>
      </c>
      <c r="C3653">
        <v>1</v>
      </c>
      <c r="D3653" t="s">
        <v>23629</v>
      </c>
      <c r="E3653" t="s">
        <v>23632</v>
      </c>
    </row>
    <row r="3654" spans="1:5" x14ac:dyDescent="0.25">
      <c r="A3654" s="131" t="s">
        <v>26493</v>
      </c>
      <c r="B3654" t="s">
        <v>26648</v>
      </c>
      <c r="C3654">
        <v>1</v>
      </c>
      <c r="D3654" t="s">
        <v>23629</v>
      </c>
      <c r="E3654" t="s">
        <v>23632</v>
      </c>
    </row>
    <row r="3655" spans="1:5" x14ac:dyDescent="0.25">
      <c r="A3655" s="131" t="s">
        <v>26493</v>
      </c>
      <c r="B3655" t="s">
        <v>26649</v>
      </c>
      <c r="C3655">
        <v>1.1000000000000001</v>
      </c>
      <c r="D3655" t="s">
        <v>23629</v>
      </c>
      <c r="E3655" t="s">
        <v>23632</v>
      </c>
    </row>
    <row r="3656" spans="1:5" x14ac:dyDescent="0.25">
      <c r="A3656" s="130" t="str">
        <f>LEFT(B3656,1)</f>
        <v>M</v>
      </c>
      <c r="B3656" t="s">
        <v>29094</v>
      </c>
      <c r="C3656">
        <v>1</v>
      </c>
      <c r="D3656" t="s">
        <v>23629</v>
      </c>
      <c r="E3656" t="s">
        <v>23632</v>
      </c>
    </row>
    <row r="3657" spans="1:5" x14ac:dyDescent="0.25">
      <c r="A3657" s="131" t="str">
        <f>LEFT(B3657,1)</f>
        <v>M</v>
      </c>
      <c r="B3657" t="s">
        <v>26870</v>
      </c>
      <c r="C3657">
        <v>1</v>
      </c>
      <c r="D3657" t="s">
        <v>23629</v>
      </c>
      <c r="E3657" t="s">
        <v>23632</v>
      </c>
    </row>
    <row r="3658" spans="1:5" x14ac:dyDescent="0.25">
      <c r="A3658" s="130" t="str">
        <f>LEFT(B3658,1)</f>
        <v>M</v>
      </c>
      <c r="B3658" t="s">
        <v>26845</v>
      </c>
      <c r="C3658">
        <v>1</v>
      </c>
      <c r="D3658" t="s">
        <v>23629</v>
      </c>
      <c r="E3658" t="s">
        <v>23632</v>
      </c>
    </row>
    <row r="3659" spans="1:5" x14ac:dyDescent="0.25">
      <c r="A3659" s="130" t="str">
        <f>LEFT(B3659,1)</f>
        <v>M</v>
      </c>
      <c r="B3659" t="s">
        <v>28840</v>
      </c>
      <c r="C3659">
        <v>1</v>
      </c>
      <c r="D3659" t="s">
        <v>23629</v>
      </c>
      <c r="E3659" t="s">
        <v>23632</v>
      </c>
    </row>
    <row r="3660" spans="1:5" x14ac:dyDescent="0.25">
      <c r="A3660" s="130" t="str">
        <f>LEFT(B3660,1)</f>
        <v>M</v>
      </c>
      <c r="B3660" t="s">
        <v>29095</v>
      </c>
      <c r="C3660">
        <v>1</v>
      </c>
      <c r="D3660" t="s">
        <v>23629</v>
      </c>
      <c r="E3660" t="s">
        <v>23632</v>
      </c>
    </row>
    <row r="3661" spans="1:5" x14ac:dyDescent="0.25">
      <c r="A3661" s="131" t="s">
        <v>26493</v>
      </c>
      <c r="B3661" t="s">
        <v>26650</v>
      </c>
      <c r="C3661">
        <v>1</v>
      </c>
      <c r="D3661" t="s">
        <v>23629</v>
      </c>
      <c r="E3661" t="s">
        <v>23632</v>
      </c>
    </row>
    <row r="3662" spans="1:5" x14ac:dyDescent="0.25">
      <c r="A3662" s="130" t="s">
        <v>26493</v>
      </c>
      <c r="B3662" t="s">
        <v>26651</v>
      </c>
      <c r="C3662">
        <v>1</v>
      </c>
      <c r="D3662" t="s">
        <v>23629</v>
      </c>
      <c r="E3662" t="s">
        <v>23632</v>
      </c>
    </row>
    <row r="3663" spans="1:5" x14ac:dyDescent="0.25">
      <c r="A3663" s="130" t="s">
        <v>26493</v>
      </c>
      <c r="B3663" t="s">
        <v>26652</v>
      </c>
      <c r="C3663">
        <v>1</v>
      </c>
      <c r="D3663" t="s">
        <v>23629</v>
      </c>
      <c r="E3663" t="s">
        <v>23632</v>
      </c>
    </row>
    <row r="3664" spans="1:5" x14ac:dyDescent="0.25">
      <c r="A3664" s="131" t="s">
        <v>26493</v>
      </c>
      <c r="B3664" t="s">
        <v>26653</v>
      </c>
      <c r="C3664">
        <v>1</v>
      </c>
      <c r="D3664" t="s">
        <v>23629</v>
      </c>
      <c r="E3664" t="s">
        <v>23632</v>
      </c>
    </row>
    <row r="3665" spans="1:5" x14ac:dyDescent="0.25">
      <c r="A3665" s="130" t="s">
        <v>26493</v>
      </c>
      <c r="B3665" t="s">
        <v>26654</v>
      </c>
      <c r="C3665">
        <v>1</v>
      </c>
      <c r="D3665" t="s">
        <v>23629</v>
      </c>
      <c r="E3665" t="s">
        <v>23632</v>
      </c>
    </row>
    <row r="3666" spans="1:5" x14ac:dyDescent="0.25">
      <c r="A3666" s="131" t="s">
        <v>26493</v>
      </c>
      <c r="B3666" t="s">
        <v>26655</v>
      </c>
      <c r="C3666">
        <v>1</v>
      </c>
      <c r="D3666" t="s">
        <v>23629</v>
      </c>
      <c r="E3666" t="s">
        <v>23632</v>
      </c>
    </row>
    <row r="3667" spans="1:5" x14ac:dyDescent="0.25">
      <c r="A3667" s="130" t="s">
        <v>26493</v>
      </c>
      <c r="B3667" t="s">
        <v>26656</v>
      </c>
      <c r="C3667">
        <v>1</v>
      </c>
      <c r="D3667" t="s">
        <v>23629</v>
      </c>
      <c r="E3667" t="s">
        <v>23632</v>
      </c>
    </row>
    <row r="3668" spans="1:5" x14ac:dyDescent="0.25">
      <c r="A3668" s="131" t="s">
        <v>26493</v>
      </c>
      <c r="B3668" t="s">
        <v>26657</v>
      </c>
      <c r="C3668">
        <v>1</v>
      </c>
      <c r="D3668" t="s">
        <v>23629</v>
      </c>
      <c r="E3668" t="s">
        <v>23632</v>
      </c>
    </row>
    <row r="3669" spans="1:5" x14ac:dyDescent="0.25">
      <c r="A3669" s="130" t="str">
        <f>LEFT((B3669),1)</f>
        <v>M</v>
      </c>
      <c r="B3669" t="s">
        <v>26658</v>
      </c>
      <c r="C3669">
        <v>1</v>
      </c>
      <c r="D3669" t="s">
        <v>23629</v>
      </c>
      <c r="E3669" t="s">
        <v>23632</v>
      </c>
    </row>
    <row r="3670" spans="1:5" x14ac:dyDescent="0.25">
      <c r="A3670" s="131" t="s">
        <v>26493</v>
      </c>
      <c r="B3670" t="s">
        <v>26659</v>
      </c>
      <c r="C3670">
        <v>1</v>
      </c>
      <c r="D3670" t="s">
        <v>23629</v>
      </c>
      <c r="E3670" t="s">
        <v>23632</v>
      </c>
    </row>
    <row r="3671" spans="1:5" x14ac:dyDescent="0.25">
      <c r="A3671" s="130" t="s">
        <v>26493</v>
      </c>
      <c r="B3671" t="s">
        <v>26660</v>
      </c>
      <c r="C3671">
        <v>1</v>
      </c>
      <c r="D3671" t="s">
        <v>23629</v>
      </c>
      <c r="E3671" t="s">
        <v>23632</v>
      </c>
    </row>
    <row r="3672" spans="1:5" x14ac:dyDescent="0.25">
      <c r="A3672" s="130" t="s">
        <v>26493</v>
      </c>
      <c r="B3672" t="s">
        <v>26661</v>
      </c>
      <c r="C3672">
        <v>1</v>
      </c>
      <c r="D3672" t="s">
        <v>23629</v>
      </c>
      <c r="E3672" t="s">
        <v>23632</v>
      </c>
    </row>
    <row r="3673" spans="1:5" x14ac:dyDescent="0.25">
      <c r="A3673" s="130" t="str">
        <f>LEFT(B3673,1)</f>
        <v>M</v>
      </c>
      <c r="B3673" t="s">
        <v>28841</v>
      </c>
      <c r="C3673">
        <v>1</v>
      </c>
      <c r="D3673" t="s">
        <v>23629</v>
      </c>
      <c r="E3673" t="s">
        <v>23632</v>
      </c>
    </row>
    <row r="3674" spans="1:5" x14ac:dyDescent="0.25">
      <c r="A3674" s="130" t="str">
        <f>LEFT(B3674,1)</f>
        <v>M</v>
      </c>
      <c r="B3674" t="s">
        <v>28842</v>
      </c>
      <c r="C3674">
        <v>1</v>
      </c>
      <c r="D3674" t="s">
        <v>23629</v>
      </c>
      <c r="E3674" t="s">
        <v>23632</v>
      </c>
    </row>
    <row r="3675" spans="1:5" x14ac:dyDescent="0.25">
      <c r="A3675" s="131" t="s">
        <v>26493</v>
      </c>
      <c r="B3675" t="s">
        <v>26662</v>
      </c>
      <c r="C3675">
        <v>1</v>
      </c>
      <c r="D3675" t="s">
        <v>23629</v>
      </c>
      <c r="E3675" t="s">
        <v>23632</v>
      </c>
    </row>
    <row r="3676" spans="1:5" x14ac:dyDescent="0.25">
      <c r="A3676" s="130" t="str">
        <f>LEFT(B3676,1)</f>
        <v>M</v>
      </c>
      <c r="B3676" t="s">
        <v>26846</v>
      </c>
      <c r="C3676">
        <v>1</v>
      </c>
      <c r="D3676" t="s">
        <v>23629</v>
      </c>
      <c r="E3676" t="s">
        <v>23632</v>
      </c>
    </row>
    <row r="3677" spans="1:5" x14ac:dyDescent="0.25">
      <c r="A3677" s="130" t="s">
        <v>26493</v>
      </c>
      <c r="B3677" t="s">
        <v>26663</v>
      </c>
      <c r="C3677">
        <v>1</v>
      </c>
      <c r="D3677" t="s">
        <v>23629</v>
      </c>
      <c r="E3677" t="s">
        <v>23632</v>
      </c>
    </row>
    <row r="3678" spans="1:5" x14ac:dyDescent="0.25">
      <c r="A3678" s="131" t="s">
        <v>26493</v>
      </c>
      <c r="B3678" t="s">
        <v>26664</v>
      </c>
      <c r="C3678">
        <v>1</v>
      </c>
      <c r="D3678" t="s">
        <v>23629</v>
      </c>
      <c r="E3678" t="s">
        <v>23632</v>
      </c>
    </row>
    <row r="3679" spans="1:5" x14ac:dyDescent="0.25">
      <c r="A3679" s="130" t="s">
        <v>26493</v>
      </c>
      <c r="B3679" t="s">
        <v>26665</v>
      </c>
      <c r="C3679">
        <v>1</v>
      </c>
      <c r="D3679" t="s">
        <v>23629</v>
      </c>
      <c r="E3679" t="s">
        <v>23632</v>
      </c>
    </row>
    <row r="3680" spans="1:5" x14ac:dyDescent="0.25">
      <c r="A3680" s="130" t="s">
        <v>26493</v>
      </c>
      <c r="B3680" t="s">
        <v>26666</v>
      </c>
      <c r="C3680">
        <v>1</v>
      </c>
      <c r="D3680" t="s">
        <v>23629</v>
      </c>
      <c r="E3680" t="s">
        <v>23632</v>
      </c>
    </row>
    <row r="3681" spans="1:5" x14ac:dyDescent="0.25">
      <c r="A3681" s="131" t="s">
        <v>26493</v>
      </c>
      <c r="B3681" t="s">
        <v>26667</v>
      </c>
      <c r="C3681">
        <v>1</v>
      </c>
      <c r="D3681" t="s">
        <v>23629</v>
      </c>
      <c r="E3681" t="s">
        <v>23632</v>
      </c>
    </row>
    <row r="3682" spans="1:5" x14ac:dyDescent="0.25">
      <c r="A3682" s="131" t="str">
        <f>LEFT((B3682),1)</f>
        <v>M</v>
      </c>
      <c r="B3682" t="s">
        <v>26668</v>
      </c>
      <c r="C3682">
        <v>1</v>
      </c>
      <c r="D3682" t="s">
        <v>23629</v>
      </c>
      <c r="E3682" t="s">
        <v>23632</v>
      </c>
    </row>
    <row r="3683" spans="1:5" x14ac:dyDescent="0.25">
      <c r="A3683" s="130" t="s">
        <v>26493</v>
      </c>
      <c r="B3683" t="s">
        <v>26669</v>
      </c>
      <c r="C3683">
        <v>1</v>
      </c>
      <c r="D3683" t="s">
        <v>23629</v>
      </c>
      <c r="E3683" t="s">
        <v>23632</v>
      </c>
    </row>
    <row r="3684" spans="1:5" x14ac:dyDescent="0.25">
      <c r="A3684" s="131" t="s">
        <v>26493</v>
      </c>
      <c r="B3684" t="s">
        <v>26670</v>
      </c>
      <c r="C3684">
        <v>1</v>
      </c>
      <c r="D3684" t="s">
        <v>23629</v>
      </c>
      <c r="E3684" t="s">
        <v>23632</v>
      </c>
    </row>
    <row r="3685" spans="1:5" x14ac:dyDescent="0.25">
      <c r="A3685" s="131" t="s">
        <v>26493</v>
      </c>
      <c r="B3685" t="s">
        <v>26671</v>
      </c>
      <c r="C3685">
        <v>1</v>
      </c>
      <c r="D3685" t="s">
        <v>23629</v>
      </c>
      <c r="E3685" t="s">
        <v>23632</v>
      </c>
    </row>
    <row r="3686" spans="1:5" x14ac:dyDescent="0.25">
      <c r="A3686" s="131" t="s">
        <v>26493</v>
      </c>
      <c r="B3686" t="s">
        <v>26672</v>
      </c>
      <c r="C3686">
        <v>1</v>
      </c>
      <c r="D3686" t="s">
        <v>23629</v>
      </c>
      <c r="E3686" t="s">
        <v>23632</v>
      </c>
    </row>
    <row r="3687" spans="1:5" x14ac:dyDescent="0.25">
      <c r="A3687" s="131" t="s">
        <v>26493</v>
      </c>
      <c r="B3687" t="s">
        <v>26673</v>
      </c>
      <c r="C3687">
        <v>1</v>
      </c>
      <c r="D3687" t="s">
        <v>23629</v>
      </c>
      <c r="E3687" t="s">
        <v>23632</v>
      </c>
    </row>
    <row r="3688" spans="1:5" x14ac:dyDescent="0.25">
      <c r="A3688" s="131" t="s">
        <v>26493</v>
      </c>
      <c r="B3688" t="s">
        <v>26674</v>
      </c>
      <c r="C3688">
        <v>1</v>
      </c>
      <c r="D3688" t="s">
        <v>23629</v>
      </c>
      <c r="E3688" t="s">
        <v>23632</v>
      </c>
    </row>
    <row r="3689" spans="1:5" x14ac:dyDescent="0.25">
      <c r="A3689" s="130" t="s">
        <v>26493</v>
      </c>
      <c r="B3689" t="s">
        <v>26675</v>
      </c>
      <c r="C3689">
        <v>1.1000000000000001</v>
      </c>
      <c r="D3689" t="s">
        <v>23629</v>
      </c>
      <c r="E3689" t="s">
        <v>23632</v>
      </c>
    </row>
    <row r="3690" spans="1:5" x14ac:dyDescent="0.25">
      <c r="A3690" s="130" t="str">
        <f>LEFT((B3690),1)</f>
        <v>M</v>
      </c>
      <c r="B3690" t="s">
        <v>26676</v>
      </c>
      <c r="C3690">
        <v>1</v>
      </c>
      <c r="D3690" t="s">
        <v>23629</v>
      </c>
      <c r="E3690" t="s">
        <v>23632</v>
      </c>
    </row>
    <row r="3691" spans="1:5" x14ac:dyDescent="0.25">
      <c r="A3691" s="131" t="s">
        <v>26493</v>
      </c>
      <c r="B3691" t="s">
        <v>26677</v>
      </c>
      <c r="C3691">
        <v>1</v>
      </c>
      <c r="D3691" t="s">
        <v>23629</v>
      </c>
      <c r="E3691" t="s">
        <v>23632</v>
      </c>
    </row>
    <row r="3692" spans="1:5" x14ac:dyDescent="0.25">
      <c r="A3692" s="130" t="s">
        <v>26493</v>
      </c>
      <c r="B3692" t="s">
        <v>26678</v>
      </c>
      <c r="C3692">
        <v>1</v>
      </c>
      <c r="D3692" t="s">
        <v>23629</v>
      </c>
      <c r="E3692" t="s">
        <v>23632</v>
      </c>
    </row>
    <row r="3693" spans="1:5" x14ac:dyDescent="0.25">
      <c r="A3693" s="131" t="s">
        <v>26493</v>
      </c>
      <c r="B3693" t="s">
        <v>26679</v>
      </c>
      <c r="C3693">
        <v>1</v>
      </c>
      <c r="D3693" t="s">
        <v>23629</v>
      </c>
      <c r="E3693" t="s">
        <v>23632</v>
      </c>
    </row>
    <row r="3694" spans="1:5" x14ac:dyDescent="0.25">
      <c r="A3694" s="130" t="s">
        <v>26493</v>
      </c>
      <c r="B3694" t="s">
        <v>26680</v>
      </c>
      <c r="C3694">
        <v>1</v>
      </c>
      <c r="D3694" t="s">
        <v>23629</v>
      </c>
      <c r="E3694" t="s">
        <v>23632</v>
      </c>
    </row>
    <row r="3695" spans="1:5" x14ac:dyDescent="0.25">
      <c r="A3695" s="131" t="s">
        <v>26493</v>
      </c>
      <c r="B3695" t="s">
        <v>26681</v>
      </c>
      <c r="C3695">
        <v>1</v>
      </c>
      <c r="D3695" t="s">
        <v>23629</v>
      </c>
      <c r="E3695" t="s">
        <v>23632</v>
      </c>
    </row>
    <row r="3696" spans="1:5" x14ac:dyDescent="0.25">
      <c r="A3696" s="130" t="str">
        <f>LEFT(B3696,1)</f>
        <v>M</v>
      </c>
      <c r="B3696" t="s">
        <v>29096</v>
      </c>
      <c r="C3696">
        <v>1</v>
      </c>
      <c r="D3696" t="s">
        <v>23629</v>
      </c>
      <c r="E3696" t="s">
        <v>23632</v>
      </c>
    </row>
    <row r="3697" spans="1:5" x14ac:dyDescent="0.25">
      <c r="A3697" s="130" t="s">
        <v>26493</v>
      </c>
      <c r="B3697" t="s">
        <v>26682</v>
      </c>
      <c r="C3697">
        <v>1</v>
      </c>
      <c r="D3697" t="s">
        <v>23629</v>
      </c>
      <c r="E3697" t="s">
        <v>23632</v>
      </c>
    </row>
    <row r="3698" spans="1:5" x14ac:dyDescent="0.25">
      <c r="A3698" s="131" t="s">
        <v>26493</v>
      </c>
      <c r="B3698" t="s">
        <v>26683</v>
      </c>
      <c r="C3698">
        <v>1</v>
      </c>
      <c r="D3698" t="s">
        <v>23629</v>
      </c>
      <c r="E3698" t="s">
        <v>23632</v>
      </c>
    </row>
    <row r="3699" spans="1:5" x14ac:dyDescent="0.25">
      <c r="A3699" s="130" t="s">
        <v>26493</v>
      </c>
      <c r="B3699" t="s">
        <v>26684</v>
      </c>
      <c r="C3699">
        <v>1</v>
      </c>
      <c r="D3699" t="s">
        <v>23629</v>
      </c>
      <c r="E3699" t="s">
        <v>23632</v>
      </c>
    </row>
    <row r="3700" spans="1:5" x14ac:dyDescent="0.25">
      <c r="A3700" s="131" t="s">
        <v>26493</v>
      </c>
      <c r="B3700" t="s">
        <v>26685</v>
      </c>
      <c r="C3700">
        <v>1</v>
      </c>
      <c r="D3700" t="s">
        <v>23629</v>
      </c>
      <c r="E3700" t="s">
        <v>23632</v>
      </c>
    </row>
    <row r="3701" spans="1:5" x14ac:dyDescent="0.25">
      <c r="A3701" s="130" t="s">
        <v>26493</v>
      </c>
      <c r="B3701" t="s">
        <v>26686</v>
      </c>
      <c r="C3701">
        <v>1</v>
      </c>
      <c r="D3701" t="s">
        <v>23629</v>
      </c>
      <c r="E3701" t="s">
        <v>23632</v>
      </c>
    </row>
    <row r="3702" spans="1:5" x14ac:dyDescent="0.25">
      <c r="A3702" s="131" t="s">
        <v>26493</v>
      </c>
      <c r="B3702" t="s">
        <v>26687</v>
      </c>
      <c r="C3702">
        <v>1</v>
      </c>
      <c r="D3702" t="s">
        <v>23629</v>
      </c>
      <c r="E3702" t="s">
        <v>23632</v>
      </c>
    </row>
    <row r="3703" spans="1:5" x14ac:dyDescent="0.25">
      <c r="A3703" s="130" t="s">
        <v>26493</v>
      </c>
      <c r="B3703" t="s">
        <v>26688</v>
      </c>
      <c r="C3703">
        <v>1</v>
      </c>
      <c r="D3703" t="s">
        <v>23629</v>
      </c>
      <c r="E3703" t="s">
        <v>23632</v>
      </c>
    </row>
    <row r="3704" spans="1:5" x14ac:dyDescent="0.25">
      <c r="A3704" s="131" t="s">
        <v>26493</v>
      </c>
      <c r="B3704" t="s">
        <v>26689</v>
      </c>
      <c r="C3704">
        <v>1</v>
      </c>
      <c r="D3704" t="s">
        <v>23629</v>
      </c>
      <c r="E3704" t="s">
        <v>23632</v>
      </c>
    </row>
    <row r="3705" spans="1:5" x14ac:dyDescent="0.25">
      <c r="A3705" s="131" t="str">
        <f>LEFT((B3705),1)</f>
        <v>M</v>
      </c>
      <c r="B3705" t="s">
        <v>26690</v>
      </c>
      <c r="C3705">
        <v>1</v>
      </c>
      <c r="D3705" t="s">
        <v>23629</v>
      </c>
      <c r="E3705" t="s">
        <v>23632</v>
      </c>
    </row>
    <row r="3706" spans="1:5" x14ac:dyDescent="0.25">
      <c r="A3706" s="130" t="s">
        <v>26493</v>
      </c>
      <c r="B3706" t="s">
        <v>26691</v>
      </c>
      <c r="C3706">
        <v>1</v>
      </c>
      <c r="D3706" t="s">
        <v>23629</v>
      </c>
      <c r="E3706" t="s">
        <v>23632</v>
      </c>
    </row>
    <row r="3707" spans="1:5" x14ac:dyDescent="0.25">
      <c r="A3707" s="130" t="str">
        <f>LEFT(B3707,1)</f>
        <v>M</v>
      </c>
      <c r="B3707" t="s">
        <v>29097</v>
      </c>
      <c r="C3707">
        <v>1</v>
      </c>
      <c r="D3707" t="s">
        <v>23629</v>
      </c>
      <c r="E3707" t="s">
        <v>23632</v>
      </c>
    </row>
    <row r="3708" spans="1:5" x14ac:dyDescent="0.25">
      <c r="A3708" s="130" t="s">
        <v>26493</v>
      </c>
      <c r="B3708" t="s">
        <v>26692</v>
      </c>
      <c r="C3708">
        <v>1</v>
      </c>
      <c r="D3708" t="s">
        <v>23629</v>
      </c>
      <c r="E3708" t="s">
        <v>23632</v>
      </c>
    </row>
    <row r="3709" spans="1:5" x14ac:dyDescent="0.25">
      <c r="A3709" s="131" t="s">
        <v>26493</v>
      </c>
      <c r="B3709" t="s">
        <v>26693</v>
      </c>
      <c r="C3709">
        <v>1</v>
      </c>
      <c r="D3709" t="s">
        <v>23629</v>
      </c>
      <c r="E3709" t="s">
        <v>23632</v>
      </c>
    </row>
    <row r="3710" spans="1:5" x14ac:dyDescent="0.25">
      <c r="A3710" s="130" t="s">
        <v>26493</v>
      </c>
      <c r="B3710" t="s">
        <v>26694</v>
      </c>
      <c r="C3710">
        <v>1</v>
      </c>
      <c r="D3710" t="s">
        <v>23629</v>
      </c>
      <c r="E3710" t="s">
        <v>23632</v>
      </c>
    </row>
    <row r="3711" spans="1:5" x14ac:dyDescent="0.25">
      <c r="A3711" s="131" t="s">
        <v>26493</v>
      </c>
      <c r="B3711" t="s">
        <v>26695</v>
      </c>
      <c r="C3711">
        <v>1</v>
      </c>
      <c r="D3711" t="s">
        <v>23629</v>
      </c>
      <c r="E3711" t="s">
        <v>23632</v>
      </c>
    </row>
    <row r="3712" spans="1:5" x14ac:dyDescent="0.25">
      <c r="A3712" s="130" t="str">
        <f>LEFT((B3712),1)</f>
        <v>M</v>
      </c>
      <c r="B3712" t="s">
        <v>26696</v>
      </c>
      <c r="C3712">
        <v>1</v>
      </c>
      <c r="D3712" t="s">
        <v>23629</v>
      </c>
      <c r="E3712" t="s">
        <v>23632</v>
      </c>
    </row>
    <row r="3713" spans="1:5" x14ac:dyDescent="0.25">
      <c r="A3713" s="131" t="s">
        <v>26493</v>
      </c>
      <c r="B3713" t="s">
        <v>26697</v>
      </c>
      <c r="C3713">
        <v>1</v>
      </c>
      <c r="D3713" t="s">
        <v>23629</v>
      </c>
      <c r="E3713" t="s">
        <v>23632</v>
      </c>
    </row>
    <row r="3714" spans="1:5" x14ac:dyDescent="0.25">
      <c r="A3714" s="130" t="str">
        <f>LEFT(B3714,1)</f>
        <v>M</v>
      </c>
      <c r="B3714" t="s">
        <v>26847</v>
      </c>
      <c r="C3714">
        <v>1</v>
      </c>
      <c r="D3714" t="s">
        <v>23629</v>
      </c>
      <c r="E3714" t="s">
        <v>23632</v>
      </c>
    </row>
    <row r="3715" spans="1:5" x14ac:dyDescent="0.25">
      <c r="A3715" s="130" t="str">
        <f>LEFT(B3715,1)</f>
        <v>M</v>
      </c>
      <c r="B3715" t="s">
        <v>26848</v>
      </c>
      <c r="C3715">
        <v>1</v>
      </c>
      <c r="D3715" t="s">
        <v>23629</v>
      </c>
      <c r="E3715" t="s">
        <v>23632</v>
      </c>
    </row>
    <row r="3716" spans="1:5" x14ac:dyDescent="0.25">
      <c r="A3716" s="131" t="str">
        <f>LEFT((B3716),1)</f>
        <v>M</v>
      </c>
      <c r="B3716" t="s">
        <v>26698</v>
      </c>
      <c r="C3716">
        <v>1</v>
      </c>
      <c r="D3716" t="s">
        <v>23629</v>
      </c>
      <c r="E3716" t="s">
        <v>23632</v>
      </c>
    </row>
    <row r="3717" spans="1:5" x14ac:dyDescent="0.25">
      <c r="A3717" s="130" t="s">
        <v>26493</v>
      </c>
      <c r="B3717" t="s">
        <v>26699</v>
      </c>
      <c r="C3717">
        <v>1</v>
      </c>
      <c r="D3717" t="s">
        <v>23629</v>
      </c>
      <c r="E3717" t="s">
        <v>23632</v>
      </c>
    </row>
    <row r="3718" spans="1:5" x14ac:dyDescent="0.25">
      <c r="A3718" s="131" t="s">
        <v>26493</v>
      </c>
      <c r="B3718" t="s">
        <v>26700</v>
      </c>
      <c r="C3718">
        <v>1</v>
      </c>
      <c r="D3718" t="s">
        <v>23629</v>
      </c>
      <c r="E3718" t="s">
        <v>23632</v>
      </c>
    </row>
    <row r="3719" spans="1:5" x14ac:dyDescent="0.25">
      <c r="A3719" s="130" t="str">
        <f>LEFT(B3719,1)</f>
        <v>M</v>
      </c>
      <c r="B3719" t="s">
        <v>29098</v>
      </c>
      <c r="C3719">
        <v>1</v>
      </c>
      <c r="D3719" t="s">
        <v>23629</v>
      </c>
      <c r="E3719" t="s">
        <v>23632</v>
      </c>
    </row>
    <row r="3720" spans="1:5" x14ac:dyDescent="0.25">
      <c r="A3720" s="130" t="s">
        <v>26493</v>
      </c>
      <c r="B3720" t="s">
        <v>26701</v>
      </c>
      <c r="C3720">
        <v>1</v>
      </c>
      <c r="D3720" t="s">
        <v>23629</v>
      </c>
      <c r="E3720" t="s">
        <v>23632</v>
      </c>
    </row>
    <row r="3721" spans="1:5" x14ac:dyDescent="0.25">
      <c r="A3721" s="130" t="str">
        <f>LEFT(B3721,1)</f>
        <v>M</v>
      </c>
      <c r="B3721" t="s">
        <v>26826</v>
      </c>
      <c r="C3721">
        <v>1</v>
      </c>
      <c r="D3721" t="s">
        <v>23629</v>
      </c>
      <c r="E3721" t="s">
        <v>23632</v>
      </c>
    </row>
    <row r="3722" spans="1:5" x14ac:dyDescent="0.25">
      <c r="A3722" s="130" t="s">
        <v>26493</v>
      </c>
      <c r="B3722" t="s">
        <v>26702</v>
      </c>
      <c r="C3722">
        <v>1</v>
      </c>
      <c r="D3722" t="s">
        <v>23629</v>
      </c>
      <c r="E3722" t="s">
        <v>23632</v>
      </c>
    </row>
    <row r="3723" spans="1:5" x14ac:dyDescent="0.25">
      <c r="A3723" s="130" t="str">
        <f>LEFT((B3723),1)</f>
        <v>M</v>
      </c>
      <c r="B3723" t="s">
        <v>26703</v>
      </c>
      <c r="C3723">
        <v>1</v>
      </c>
      <c r="D3723" t="s">
        <v>23629</v>
      </c>
      <c r="E3723" t="s">
        <v>23632</v>
      </c>
    </row>
    <row r="3724" spans="1:5" x14ac:dyDescent="0.25">
      <c r="A3724" s="130" t="str">
        <f>LEFT(B3724,1)</f>
        <v>M</v>
      </c>
      <c r="B3724" t="s">
        <v>26871</v>
      </c>
      <c r="C3724">
        <v>1</v>
      </c>
      <c r="D3724" t="s">
        <v>23629</v>
      </c>
      <c r="E3724" t="s">
        <v>23632</v>
      </c>
    </row>
    <row r="3725" spans="1:5" x14ac:dyDescent="0.25">
      <c r="A3725" s="131" t="s">
        <v>26493</v>
      </c>
      <c r="B3725" t="s">
        <v>26704</v>
      </c>
      <c r="C3725">
        <v>1</v>
      </c>
      <c r="D3725" t="s">
        <v>23629</v>
      </c>
      <c r="E3725" t="s">
        <v>23632</v>
      </c>
    </row>
    <row r="3726" spans="1:5" x14ac:dyDescent="0.25">
      <c r="A3726" s="130" t="s">
        <v>26493</v>
      </c>
      <c r="B3726" t="s">
        <v>26705</v>
      </c>
      <c r="C3726">
        <v>1</v>
      </c>
      <c r="D3726" t="s">
        <v>23629</v>
      </c>
      <c r="E3726" t="s">
        <v>23632</v>
      </c>
    </row>
    <row r="3727" spans="1:5" x14ac:dyDescent="0.25">
      <c r="A3727" s="131" t="s">
        <v>26493</v>
      </c>
      <c r="B3727" t="s">
        <v>26706</v>
      </c>
      <c r="C3727">
        <v>1</v>
      </c>
      <c r="D3727" t="s">
        <v>23629</v>
      </c>
      <c r="E3727" t="s">
        <v>23632</v>
      </c>
    </row>
    <row r="3728" spans="1:5" x14ac:dyDescent="0.25">
      <c r="A3728" s="130" t="s">
        <v>26493</v>
      </c>
      <c r="B3728" t="s">
        <v>26707</v>
      </c>
      <c r="C3728">
        <v>1</v>
      </c>
      <c r="D3728" t="s">
        <v>23629</v>
      </c>
      <c r="E3728" t="s">
        <v>23632</v>
      </c>
    </row>
    <row r="3729" spans="1:5" x14ac:dyDescent="0.25">
      <c r="A3729" s="130" t="str">
        <f>LEFT(B3729,1)</f>
        <v>M</v>
      </c>
      <c r="B3729" t="s">
        <v>28843</v>
      </c>
      <c r="C3729">
        <v>1</v>
      </c>
      <c r="D3729" t="s">
        <v>23629</v>
      </c>
      <c r="E3729" t="s">
        <v>23632</v>
      </c>
    </row>
    <row r="3730" spans="1:5" x14ac:dyDescent="0.25">
      <c r="A3730" s="130" t="s">
        <v>26493</v>
      </c>
      <c r="B3730" t="s">
        <v>26708</v>
      </c>
      <c r="C3730">
        <v>1</v>
      </c>
      <c r="D3730" t="s">
        <v>23629</v>
      </c>
      <c r="E3730" t="s">
        <v>23632</v>
      </c>
    </row>
    <row r="3731" spans="1:5" x14ac:dyDescent="0.25">
      <c r="A3731" s="130" t="str">
        <f>LEFT(B3731,1)</f>
        <v>M</v>
      </c>
      <c r="B3731" t="s">
        <v>29099</v>
      </c>
      <c r="C3731">
        <v>1</v>
      </c>
      <c r="D3731" t="s">
        <v>23629</v>
      </c>
      <c r="E3731" t="s">
        <v>23632</v>
      </c>
    </row>
    <row r="3732" spans="1:5" x14ac:dyDescent="0.25">
      <c r="A3732" s="131" t="s">
        <v>26493</v>
      </c>
      <c r="B3732" t="s">
        <v>26709</v>
      </c>
      <c r="C3732">
        <v>1</v>
      </c>
      <c r="D3732" t="s">
        <v>23629</v>
      </c>
      <c r="E3732" t="s">
        <v>23632</v>
      </c>
    </row>
    <row r="3733" spans="1:5" x14ac:dyDescent="0.25">
      <c r="A3733" s="130" t="str">
        <f>LEFT(B3733,1)</f>
        <v>M</v>
      </c>
      <c r="B3733" t="s">
        <v>28554</v>
      </c>
      <c r="C3733">
        <v>1</v>
      </c>
      <c r="D3733" t="s">
        <v>23629</v>
      </c>
      <c r="E3733" t="s">
        <v>23632</v>
      </c>
    </row>
    <row r="3734" spans="1:5" x14ac:dyDescent="0.25">
      <c r="A3734" s="131" t="s">
        <v>26493</v>
      </c>
      <c r="B3734" t="s">
        <v>26710</v>
      </c>
      <c r="C3734">
        <v>1</v>
      </c>
      <c r="D3734" t="s">
        <v>23629</v>
      </c>
      <c r="E3734" t="s">
        <v>23632</v>
      </c>
    </row>
    <row r="3735" spans="1:5" x14ac:dyDescent="0.25">
      <c r="A3735" s="130" t="s">
        <v>26493</v>
      </c>
      <c r="B3735" t="s">
        <v>26711</v>
      </c>
      <c r="C3735">
        <v>1</v>
      </c>
      <c r="D3735" t="s">
        <v>23629</v>
      </c>
      <c r="E3735" t="s">
        <v>23632</v>
      </c>
    </row>
    <row r="3736" spans="1:5" x14ac:dyDescent="0.25">
      <c r="A3736" s="130" t="s">
        <v>26493</v>
      </c>
      <c r="B3736" t="s">
        <v>26712</v>
      </c>
      <c r="C3736">
        <v>1</v>
      </c>
      <c r="D3736" t="s">
        <v>23629</v>
      </c>
      <c r="E3736" t="s">
        <v>23632</v>
      </c>
    </row>
    <row r="3737" spans="1:5" x14ac:dyDescent="0.25">
      <c r="A3737" s="130" t="str">
        <f>LEFT(B3737,1)</f>
        <v>M</v>
      </c>
      <c r="B3737" t="s">
        <v>28555</v>
      </c>
      <c r="C3737">
        <v>1</v>
      </c>
      <c r="D3737" t="s">
        <v>23629</v>
      </c>
      <c r="E3737" t="s">
        <v>23632</v>
      </c>
    </row>
    <row r="3738" spans="1:5" x14ac:dyDescent="0.25">
      <c r="A3738" s="131" t="s">
        <v>26493</v>
      </c>
      <c r="B3738" t="s">
        <v>26713</v>
      </c>
      <c r="C3738">
        <v>1</v>
      </c>
      <c r="D3738" t="s">
        <v>23629</v>
      </c>
      <c r="E3738" t="s">
        <v>23632</v>
      </c>
    </row>
    <row r="3739" spans="1:5" x14ac:dyDescent="0.25">
      <c r="A3739" s="131" t="str">
        <f>LEFT((B3739),1)</f>
        <v>M</v>
      </c>
      <c r="B3739" t="s">
        <v>26714</v>
      </c>
      <c r="C3739">
        <v>1</v>
      </c>
      <c r="D3739" t="s">
        <v>23629</v>
      </c>
      <c r="E3739" t="s">
        <v>23632</v>
      </c>
    </row>
    <row r="3740" spans="1:5" x14ac:dyDescent="0.25">
      <c r="A3740" s="130" t="str">
        <f>LEFT(B3740,1)</f>
        <v>M</v>
      </c>
      <c r="B3740" t="s">
        <v>28553</v>
      </c>
      <c r="C3740">
        <v>1</v>
      </c>
      <c r="D3740" t="s">
        <v>23629</v>
      </c>
      <c r="E3740" t="s">
        <v>23632</v>
      </c>
    </row>
    <row r="3741" spans="1:5" x14ac:dyDescent="0.25">
      <c r="A3741" s="131" t="s">
        <v>26493</v>
      </c>
      <c r="B3741" t="s">
        <v>26715</v>
      </c>
      <c r="C3741">
        <v>1</v>
      </c>
      <c r="D3741" t="s">
        <v>23629</v>
      </c>
      <c r="E3741" t="s">
        <v>23632</v>
      </c>
    </row>
    <row r="3742" spans="1:5" x14ac:dyDescent="0.25">
      <c r="A3742" s="130" t="s">
        <v>26493</v>
      </c>
      <c r="B3742" t="s">
        <v>26716</v>
      </c>
      <c r="C3742">
        <v>1</v>
      </c>
      <c r="D3742" t="s">
        <v>23629</v>
      </c>
      <c r="E3742" t="s">
        <v>23632</v>
      </c>
    </row>
    <row r="3743" spans="1:5" x14ac:dyDescent="0.25">
      <c r="A3743" s="131" t="s">
        <v>26493</v>
      </c>
      <c r="B3743" t="s">
        <v>26717</v>
      </c>
      <c r="C3743">
        <v>1</v>
      </c>
      <c r="D3743" t="s">
        <v>23629</v>
      </c>
      <c r="E3743" t="s">
        <v>23632</v>
      </c>
    </row>
    <row r="3744" spans="1:5" x14ac:dyDescent="0.25">
      <c r="A3744" s="130" t="str">
        <f>LEFT(B3744,1)</f>
        <v>M</v>
      </c>
      <c r="B3744" t="s">
        <v>29100</v>
      </c>
      <c r="C3744">
        <v>1</v>
      </c>
      <c r="D3744" t="s">
        <v>23629</v>
      </c>
      <c r="E3744" t="s">
        <v>23632</v>
      </c>
    </row>
    <row r="3745" spans="1:5" x14ac:dyDescent="0.25">
      <c r="A3745" s="130" t="s">
        <v>26493</v>
      </c>
      <c r="B3745" t="s">
        <v>26718</v>
      </c>
      <c r="C3745">
        <v>1</v>
      </c>
      <c r="D3745" t="s">
        <v>23629</v>
      </c>
      <c r="E3745" t="s">
        <v>23632</v>
      </c>
    </row>
    <row r="3746" spans="1:5" x14ac:dyDescent="0.25">
      <c r="A3746" s="130" t="str">
        <f>LEFT(B3746,1)</f>
        <v>M</v>
      </c>
      <c r="B3746" t="s">
        <v>28844</v>
      </c>
      <c r="C3746">
        <v>1</v>
      </c>
      <c r="D3746" t="s">
        <v>23629</v>
      </c>
      <c r="E3746" t="s">
        <v>23632</v>
      </c>
    </row>
    <row r="3747" spans="1:5" x14ac:dyDescent="0.25">
      <c r="A3747" s="130" t="str">
        <f>LEFT((B3747),1)</f>
        <v>M</v>
      </c>
      <c r="B3747" t="s">
        <v>26719</v>
      </c>
      <c r="C3747">
        <v>1</v>
      </c>
      <c r="D3747" t="s">
        <v>23629</v>
      </c>
      <c r="E3747" t="s">
        <v>23632</v>
      </c>
    </row>
    <row r="3748" spans="1:5" x14ac:dyDescent="0.25">
      <c r="A3748" s="130" t="s">
        <v>26493</v>
      </c>
      <c r="B3748" t="s">
        <v>26720</v>
      </c>
      <c r="C3748">
        <v>1</v>
      </c>
      <c r="D3748" t="s">
        <v>23629</v>
      </c>
      <c r="E3748" t="s">
        <v>23632</v>
      </c>
    </row>
    <row r="3749" spans="1:5" x14ac:dyDescent="0.25">
      <c r="A3749" s="131" t="s">
        <v>26493</v>
      </c>
      <c r="B3749" t="s">
        <v>26721</v>
      </c>
      <c r="C3749">
        <v>1</v>
      </c>
      <c r="D3749" t="s">
        <v>23629</v>
      </c>
      <c r="E3749" t="s">
        <v>23632</v>
      </c>
    </row>
    <row r="3750" spans="1:5" x14ac:dyDescent="0.25">
      <c r="A3750" s="131" t="s">
        <v>26493</v>
      </c>
      <c r="B3750" t="s">
        <v>26722</v>
      </c>
      <c r="C3750">
        <v>1</v>
      </c>
      <c r="D3750" t="s">
        <v>23629</v>
      </c>
      <c r="E3750" t="s">
        <v>23632</v>
      </c>
    </row>
    <row r="3751" spans="1:5" x14ac:dyDescent="0.25">
      <c r="A3751" s="130" t="s">
        <v>26493</v>
      </c>
      <c r="B3751" t="s">
        <v>26723</v>
      </c>
      <c r="C3751">
        <v>1</v>
      </c>
      <c r="D3751" t="s">
        <v>23629</v>
      </c>
      <c r="E3751" t="s">
        <v>23632</v>
      </c>
    </row>
    <row r="3752" spans="1:5" x14ac:dyDescent="0.25">
      <c r="A3752" s="131" t="s">
        <v>26493</v>
      </c>
      <c r="B3752" t="s">
        <v>26724</v>
      </c>
      <c r="C3752">
        <v>1</v>
      </c>
      <c r="D3752" t="s">
        <v>23629</v>
      </c>
      <c r="E3752" t="s">
        <v>23632</v>
      </c>
    </row>
    <row r="3753" spans="1:5" x14ac:dyDescent="0.25">
      <c r="A3753" s="131" t="str">
        <f>LEFT((B3753),1)</f>
        <v>M</v>
      </c>
      <c r="B3753" t="s">
        <v>26725</v>
      </c>
      <c r="C3753">
        <v>1</v>
      </c>
      <c r="D3753" t="s">
        <v>23629</v>
      </c>
      <c r="E3753" t="s">
        <v>23632</v>
      </c>
    </row>
    <row r="3754" spans="1:5" x14ac:dyDescent="0.25">
      <c r="A3754" s="130" t="str">
        <f>LEFT(B3754,1)</f>
        <v>M</v>
      </c>
      <c r="B3754" t="s">
        <v>28845</v>
      </c>
      <c r="C3754">
        <v>1</v>
      </c>
      <c r="D3754" t="s">
        <v>23629</v>
      </c>
      <c r="E3754" t="s">
        <v>23632</v>
      </c>
    </row>
    <row r="3755" spans="1:5" x14ac:dyDescent="0.25">
      <c r="A3755" s="131" t="s">
        <v>26493</v>
      </c>
      <c r="B3755" t="s">
        <v>26726</v>
      </c>
      <c r="C3755">
        <v>1</v>
      </c>
      <c r="D3755" t="s">
        <v>23629</v>
      </c>
      <c r="E3755" t="s">
        <v>23632</v>
      </c>
    </row>
    <row r="3756" spans="1:5" x14ac:dyDescent="0.25">
      <c r="A3756" s="130" t="str">
        <f>LEFT((B3756),1)</f>
        <v>M</v>
      </c>
      <c r="B3756" t="s">
        <v>26727</v>
      </c>
      <c r="C3756">
        <v>1</v>
      </c>
      <c r="D3756" t="s">
        <v>23629</v>
      </c>
      <c r="E3756" t="s">
        <v>23632</v>
      </c>
    </row>
    <row r="3757" spans="1:5" x14ac:dyDescent="0.25">
      <c r="A3757" s="131" t="s">
        <v>26493</v>
      </c>
      <c r="B3757" t="s">
        <v>26728</v>
      </c>
      <c r="C3757">
        <v>1</v>
      </c>
      <c r="D3757" t="s">
        <v>23629</v>
      </c>
      <c r="E3757" t="s">
        <v>23632</v>
      </c>
    </row>
    <row r="3758" spans="1:5" x14ac:dyDescent="0.25">
      <c r="A3758" s="130" t="str">
        <f>LEFT(B3758,1)</f>
        <v>M</v>
      </c>
      <c r="B3758" t="s">
        <v>29101</v>
      </c>
      <c r="C3758">
        <v>1</v>
      </c>
      <c r="D3758" t="s">
        <v>23629</v>
      </c>
      <c r="E3758" t="s">
        <v>23632</v>
      </c>
    </row>
    <row r="3759" spans="1:5" x14ac:dyDescent="0.25">
      <c r="A3759" s="130" t="s">
        <v>26493</v>
      </c>
      <c r="B3759" t="s">
        <v>26729</v>
      </c>
      <c r="C3759">
        <v>1</v>
      </c>
      <c r="D3759" t="s">
        <v>23629</v>
      </c>
      <c r="E3759" t="s">
        <v>23632</v>
      </c>
    </row>
    <row r="3760" spans="1:5" x14ac:dyDescent="0.25">
      <c r="A3760" s="131" t="s">
        <v>26493</v>
      </c>
      <c r="B3760" t="s">
        <v>26730</v>
      </c>
      <c r="C3760">
        <v>1</v>
      </c>
      <c r="D3760" t="s">
        <v>23629</v>
      </c>
      <c r="E3760" t="s">
        <v>23632</v>
      </c>
    </row>
    <row r="3761" spans="1:5" x14ac:dyDescent="0.25">
      <c r="A3761" s="130" t="str">
        <f>LEFT(B3761,1)</f>
        <v>M</v>
      </c>
      <c r="B3761" t="s">
        <v>29259</v>
      </c>
      <c r="C3761">
        <v>1</v>
      </c>
      <c r="D3761" t="s">
        <v>23629</v>
      </c>
      <c r="E3761" t="s">
        <v>23632</v>
      </c>
    </row>
    <row r="3762" spans="1:5" x14ac:dyDescent="0.25">
      <c r="A3762" s="130" t="str">
        <f>LEFT(B3762,1)</f>
        <v>M</v>
      </c>
      <c r="B3762" t="s">
        <v>28556</v>
      </c>
      <c r="C3762">
        <v>1</v>
      </c>
      <c r="D3762" t="s">
        <v>23629</v>
      </c>
      <c r="E3762" t="s">
        <v>23632</v>
      </c>
    </row>
    <row r="3763" spans="1:5" x14ac:dyDescent="0.25">
      <c r="A3763" s="130" t="s">
        <v>26493</v>
      </c>
      <c r="B3763" t="s">
        <v>26731</v>
      </c>
      <c r="C3763">
        <v>1</v>
      </c>
      <c r="D3763" t="s">
        <v>23629</v>
      </c>
      <c r="E3763" t="s">
        <v>23632</v>
      </c>
    </row>
    <row r="3764" spans="1:5" x14ac:dyDescent="0.25">
      <c r="A3764" s="131" t="s">
        <v>26493</v>
      </c>
      <c r="B3764" t="s">
        <v>26732</v>
      </c>
      <c r="C3764">
        <v>1</v>
      </c>
      <c r="D3764" t="s">
        <v>23629</v>
      </c>
      <c r="E3764" t="s">
        <v>23632</v>
      </c>
    </row>
    <row r="3765" spans="1:5" x14ac:dyDescent="0.25">
      <c r="A3765" s="130" t="str">
        <f>LEFT(B3765,1)</f>
        <v>M</v>
      </c>
      <c r="B3765" t="s">
        <v>26849</v>
      </c>
      <c r="C3765">
        <v>1</v>
      </c>
      <c r="D3765" t="s">
        <v>23629</v>
      </c>
      <c r="E3765" t="s">
        <v>23632</v>
      </c>
    </row>
    <row r="3766" spans="1:5" x14ac:dyDescent="0.25">
      <c r="A3766" s="131" t="str">
        <f>LEFT(B3766,1)</f>
        <v>M</v>
      </c>
      <c r="B3766" t="s">
        <v>26872</v>
      </c>
      <c r="C3766">
        <v>1</v>
      </c>
      <c r="D3766" t="s">
        <v>23629</v>
      </c>
      <c r="E3766" t="s">
        <v>23632</v>
      </c>
    </row>
    <row r="3767" spans="1:5" x14ac:dyDescent="0.25">
      <c r="A3767" s="130" t="s">
        <v>26493</v>
      </c>
      <c r="B3767" t="s">
        <v>26733</v>
      </c>
      <c r="C3767">
        <v>1</v>
      </c>
      <c r="D3767" t="s">
        <v>23629</v>
      </c>
      <c r="E3767" t="s">
        <v>23632</v>
      </c>
    </row>
    <row r="3768" spans="1:5" x14ac:dyDescent="0.25">
      <c r="A3768" s="130" t="str">
        <f>LEFT(B3768,1)</f>
        <v>M</v>
      </c>
      <c r="B3768" t="s">
        <v>29102</v>
      </c>
      <c r="C3768">
        <v>1</v>
      </c>
      <c r="D3768" t="s">
        <v>23629</v>
      </c>
      <c r="E3768" t="s">
        <v>23632</v>
      </c>
    </row>
    <row r="3769" spans="1:5" x14ac:dyDescent="0.25">
      <c r="A3769" s="131" t="s">
        <v>26493</v>
      </c>
      <c r="B3769" t="s">
        <v>26734</v>
      </c>
      <c r="C3769">
        <v>1</v>
      </c>
      <c r="D3769" t="s">
        <v>23629</v>
      </c>
      <c r="E3769" t="s">
        <v>23632</v>
      </c>
    </row>
    <row r="3770" spans="1:5" x14ac:dyDescent="0.25">
      <c r="A3770" s="130" t="s">
        <v>26493</v>
      </c>
      <c r="B3770" t="s">
        <v>26735</v>
      </c>
      <c r="C3770">
        <v>1</v>
      </c>
      <c r="D3770" t="s">
        <v>23629</v>
      </c>
      <c r="E3770" t="s">
        <v>23632</v>
      </c>
    </row>
    <row r="3771" spans="1:5" x14ac:dyDescent="0.25">
      <c r="A3771" s="130" t="str">
        <f>LEFT(B3771,1)</f>
        <v>M</v>
      </c>
      <c r="B3771" t="s">
        <v>26850</v>
      </c>
      <c r="C3771">
        <v>1</v>
      </c>
      <c r="D3771" t="s">
        <v>23629</v>
      </c>
      <c r="E3771" t="s">
        <v>23632</v>
      </c>
    </row>
    <row r="3772" spans="1:5" x14ac:dyDescent="0.25">
      <c r="A3772" s="130" t="str">
        <f>LEFT(B3772,1)</f>
        <v>M</v>
      </c>
      <c r="B3772" t="s">
        <v>29260</v>
      </c>
      <c r="C3772">
        <v>1</v>
      </c>
      <c r="D3772" t="s">
        <v>23629</v>
      </c>
      <c r="E3772" t="s">
        <v>23632</v>
      </c>
    </row>
    <row r="3773" spans="1:5" x14ac:dyDescent="0.25">
      <c r="A3773" s="130" t="s">
        <v>26493</v>
      </c>
      <c r="B3773" t="s">
        <v>26736</v>
      </c>
      <c r="C3773">
        <v>1</v>
      </c>
      <c r="D3773" t="s">
        <v>23629</v>
      </c>
      <c r="E3773" t="s">
        <v>23632</v>
      </c>
    </row>
    <row r="3774" spans="1:5" x14ac:dyDescent="0.25">
      <c r="A3774" s="131" t="str">
        <f>LEFT(B3774,1)</f>
        <v>M</v>
      </c>
      <c r="B3774" t="s">
        <v>26827</v>
      </c>
      <c r="C3774">
        <v>1</v>
      </c>
      <c r="D3774" t="s">
        <v>23629</v>
      </c>
      <c r="E3774" t="s">
        <v>23632</v>
      </c>
    </row>
    <row r="3775" spans="1:5" x14ac:dyDescent="0.25">
      <c r="A3775" s="131" t="s">
        <v>26493</v>
      </c>
      <c r="B3775" t="s">
        <v>26737</v>
      </c>
      <c r="C3775">
        <v>1</v>
      </c>
      <c r="D3775" t="s">
        <v>23629</v>
      </c>
      <c r="E3775" t="s">
        <v>23632</v>
      </c>
    </row>
    <row r="3776" spans="1:5" x14ac:dyDescent="0.25">
      <c r="A3776" s="130" t="str">
        <f>LEFT(B3776,1)</f>
        <v>M</v>
      </c>
      <c r="B3776" t="s">
        <v>29103</v>
      </c>
      <c r="C3776">
        <v>1</v>
      </c>
      <c r="D3776" t="s">
        <v>23629</v>
      </c>
      <c r="E3776" t="s">
        <v>23632</v>
      </c>
    </row>
    <row r="3777" spans="1:5" x14ac:dyDescent="0.25">
      <c r="A3777" s="130" t="str">
        <f>LEFT(B3777,1)</f>
        <v>M</v>
      </c>
      <c r="B3777" t="s">
        <v>26873</v>
      </c>
      <c r="C3777">
        <v>1</v>
      </c>
      <c r="D3777" t="s">
        <v>23629</v>
      </c>
      <c r="E3777" t="s">
        <v>23632</v>
      </c>
    </row>
    <row r="3778" spans="1:5" x14ac:dyDescent="0.25">
      <c r="A3778" s="130" t="str">
        <f>LEFT(B3778,1)</f>
        <v>M</v>
      </c>
      <c r="B3778" t="s">
        <v>28846</v>
      </c>
      <c r="C3778">
        <v>1</v>
      </c>
      <c r="D3778" t="s">
        <v>23629</v>
      </c>
      <c r="E3778" t="s">
        <v>23632</v>
      </c>
    </row>
    <row r="3779" spans="1:5" x14ac:dyDescent="0.25">
      <c r="A3779" s="131" t="s">
        <v>26493</v>
      </c>
      <c r="B3779" t="s">
        <v>26738</v>
      </c>
      <c r="C3779">
        <v>1.21</v>
      </c>
      <c r="D3779" t="s">
        <v>26739</v>
      </c>
      <c r="E3779" t="s">
        <v>23632</v>
      </c>
    </row>
    <row r="3780" spans="1:5" x14ac:dyDescent="0.25">
      <c r="A3780" s="130" t="s">
        <v>26493</v>
      </c>
      <c r="B3780" t="s">
        <v>26740</v>
      </c>
      <c r="C3780">
        <v>1.21</v>
      </c>
      <c r="D3780" t="s">
        <v>25860</v>
      </c>
      <c r="E3780" t="s">
        <v>23632</v>
      </c>
    </row>
    <row r="3781" spans="1:5" x14ac:dyDescent="0.25">
      <c r="A3781" s="131" t="s">
        <v>26493</v>
      </c>
      <c r="B3781" t="s">
        <v>26741</v>
      </c>
      <c r="C3781">
        <v>1.21</v>
      </c>
      <c r="D3781" t="s">
        <v>23629</v>
      </c>
      <c r="E3781" t="s">
        <v>23632</v>
      </c>
    </row>
    <row r="3782" spans="1:5" x14ac:dyDescent="0.25">
      <c r="A3782" s="131" t="str">
        <f>LEFT((B3782),1)</f>
        <v>M</v>
      </c>
      <c r="B3782" t="s">
        <v>26742</v>
      </c>
      <c r="C3782">
        <v>1.21</v>
      </c>
      <c r="D3782" t="s">
        <v>23629</v>
      </c>
      <c r="E3782" t="s">
        <v>23632</v>
      </c>
    </row>
    <row r="3783" spans="1:5" x14ac:dyDescent="0.25">
      <c r="A3783" s="131" t="s">
        <v>26493</v>
      </c>
      <c r="B3783" t="s">
        <v>26743</v>
      </c>
      <c r="C3783">
        <v>1.21</v>
      </c>
      <c r="D3783" t="s">
        <v>23629</v>
      </c>
      <c r="E3783" t="s">
        <v>23632</v>
      </c>
    </row>
    <row r="3784" spans="1:5" x14ac:dyDescent="0.25">
      <c r="A3784" s="130" t="s">
        <v>26493</v>
      </c>
      <c r="B3784" t="s">
        <v>26744</v>
      </c>
      <c r="C3784">
        <v>1.21</v>
      </c>
      <c r="D3784" t="s">
        <v>23629</v>
      </c>
      <c r="E3784" t="s">
        <v>23632</v>
      </c>
    </row>
    <row r="3785" spans="1:5" x14ac:dyDescent="0.25">
      <c r="A3785" s="131" t="s">
        <v>26493</v>
      </c>
      <c r="B3785" t="s">
        <v>26745</v>
      </c>
      <c r="C3785">
        <v>1</v>
      </c>
      <c r="D3785" t="s">
        <v>23629</v>
      </c>
      <c r="E3785" t="s">
        <v>23632</v>
      </c>
    </row>
    <row r="3786" spans="1:5" x14ac:dyDescent="0.25">
      <c r="A3786" s="130" t="s">
        <v>26493</v>
      </c>
      <c r="B3786" t="s">
        <v>26746</v>
      </c>
      <c r="C3786">
        <v>1</v>
      </c>
      <c r="D3786" t="s">
        <v>23629</v>
      </c>
      <c r="E3786" t="s">
        <v>23632</v>
      </c>
    </row>
    <row r="3787" spans="1:5" x14ac:dyDescent="0.25">
      <c r="A3787" s="130" t="str">
        <f>LEFT(B3787,1)</f>
        <v>M</v>
      </c>
      <c r="B3787" t="s">
        <v>28557</v>
      </c>
      <c r="C3787">
        <v>1</v>
      </c>
      <c r="D3787" t="s">
        <v>23629</v>
      </c>
      <c r="E3787" t="s">
        <v>23632</v>
      </c>
    </row>
    <row r="3788" spans="1:5" x14ac:dyDescent="0.25">
      <c r="A3788" s="130" t="s">
        <v>26493</v>
      </c>
      <c r="B3788" t="s">
        <v>26747</v>
      </c>
      <c r="C3788">
        <v>1</v>
      </c>
      <c r="D3788" t="s">
        <v>23629</v>
      </c>
      <c r="E3788" t="s">
        <v>23632</v>
      </c>
    </row>
    <row r="3789" spans="1:5" x14ac:dyDescent="0.25">
      <c r="A3789" s="131" t="s">
        <v>26493</v>
      </c>
      <c r="B3789" t="s">
        <v>26748</v>
      </c>
      <c r="C3789">
        <v>1</v>
      </c>
      <c r="D3789" t="s">
        <v>23629</v>
      </c>
      <c r="E3789" t="s">
        <v>23632</v>
      </c>
    </row>
    <row r="3790" spans="1:5" x14ac:dyDescent="0.25">
      <c r="A3790" s="131" t="s">
        <v>26493</v>
      </c>
      <c r="B3790" t="s">
        <v>26749</v>
      </c>
      <c r="C3790">
        <v>1</v>
      </c>
      <c r="D3790" t="s">
        <v>23629</v>
      </c>
      <c r="E3790" t="s">
        <v>23632</v>
      </c>
    </row>
    <row r="3791" spans="1:5" x14ac:dyDescent="0.25">
      <c r="A3791" s="131" t="s">
        <v>26493</v>
      </c>
      <c r="B3791" t="s">
        <v>26750</v>
      </c>
      <c r="C3791">
        <v>1</v>
      </c>
      <c r="D3791" t="s">
        <v>23629</v>
      </c>
      <c r="E3791" t="s">
        <v>23632</v>
      </c>
    </row>
    <row r="3792" spans="1:5" x14ac:dyDescent="0.25">
      <c r="A3792" s="131" t="s">
        <v>26493</v>
      </c>
      <c r="B3792" t="s">
        <v>26751</v>
      </c>
      <c r="C3792">
        <v>1</v>
      </c>
      <c r="D3792" t="s">
        <v>23629</v>
      </c>
      <c r="E3792" t="s">
        <v>23632</v>
      </c>
    </row>
    <row r="3793" spans="1:5" x14ac:dyDescent="0.25">
      <c r="A3793" s="131" t="s">
        <v>26493</v>
      </c>
      <c r="B3793" t="s">
        <v>26752</v>
      </c>
      <c r="C3793">
        <v>1.1000000000000001</v>
      </c>
      <c r="D3793" t="s">
        <v>23629</v>
      </c>
      <c r="E3793" t="s">
        <v>23632</v>
      </c>
    </row>
    <row r="3794" spans="1:5" x14ac:dyDescent="0.25">
      <c r="A3794" s="131" t="s">
        <v>26493</v>
      </c>
      <c r="B3794" t="s">
        <v>26753</v>
      </c>
      <c r="C3794">
        <v>1</v>
      </c>
      <c r="D3794" t="s">
        <v>23629</v>
      </c>
      <c r="E3794" t="s">
        <v>23632</v>
      </c>
    </row>
    <row r="3795" spans="1:5" x14ac:dyDescent="0.25">
      <c r="A3795" s="130" t="s">
        <v>26493</v>
      </c>
      <c r="B3795" t="s">
        <v>26754</v>
      </c>
      <c r="C3795">
        <v>1</v>
      </c>
      <c r="D3795" t="s">
        <v>23629</v>
      </c>
      <c r="E3795" t="s">
        <v>23632</v>
      </c>
    </row>
    <row r="3796" spans="1:5" x14ac:dyDescent="0.25">
      <c r="A3796" s="130" t="str">
        <f>LEFT(B3796,1)</f>
        <v>M</v>
      </c>
      <c r="B3796" t="s">
        <v>28558</v>
      </c>
      <c r="C3796">
        <v>1</v>
      </c>
      <c r="D3796" t="s">
        <v>23629</v>
      </c>
      <c r="E3796" t="s">
        <v>23632</v>
      </c>
    </row>
    <row r="3797" spans="1:5" x14ac:dyDescent="0.25">
      <c r="A3797" s="131" t="s">
        <v>26493</v>
      </c>
      <c r="B3797" t="s">
        <v>26755</v>
      </c>
      <c r="C3797">
        <v>1</v>
      </c>
      <c r="D3797" t="s">
        <v>23629</v>
      </c>
      <c r="E3797" t="s">
        <v>23632</v>
      </c>
    </row>
    <row r="3798" spans="1:5" x14ac:dyDescent="0.25">
      <c r="A3798" s="131" t="s">
        <v>26493</v>
      </c>
      <c r="B3798" t="s">
        <v>26756</v>
      </c>
      <c r="C3798">
        <v>1</v>
      </c>
      <c r="D3798" t="s">
        <v>23629</v>
      </c>
      <c r="E3798" t="s">
        <v>23632</v>
      </c>
    </row>
    <row r="3799" spans="1:5" x14ac:dyDescent="0.25">
      <c r="A3799" s="130" t="str">
        <f>LEFT(B3799,1)</f>
        <v>M</v>
      </c>
      <c r="B3799" t="s">
        <v>28559</v>
      </c>
      <c r="C3799">
        <v>1</v>
      </c>
      <c r="D3799" t="s">
        <v>23629</v>
      </c>
      <c r="E3799" t="s">
        <v>23632</v>
      </c>
    </row>
    <row r="3800" spans="1:5" x14ac:dyDescent="0.25">
      <c r="A3800" s="131" t="str">
        <f>LEFT(B3800,1)</f>
        <v>M</v>
      </c>
      <c r="B3800" t="s">
        <v>26874</v>
      </c>
      <c r="C3800">
        <v>1</v>
      </c>
      <c r="D3800" t="s">
        <v>23629</v>
      </c>
      <c r="E3800" t="s">
        <v>23632</v>
      </c>
    </row>
    <row r="3801" spans="1:5" x14ac:dyDescent="0.25">
      <c r="A3801" s="131" t="s">
        <v>26493</v>
      </c>
      <c r="B3801" t="s">
        <v>26757</v>
      </c>
      <c r="C3801">
        <v>1</v>
      </c>
      <c r="D3801" t="s">
        <v>23629</v>
      </c>
      <c r="E3801" t="s">
        <v>23632</v>
      </c>
    </row>
    <row r="3802" spans="1:5" x14ac:dyDescent="0.25">
      <c r="A3802" s="131" t="s">
        <v>26493</v>
      </c>
      <c r="B3802" t="s">
        <v>26758</v>
      </c>
      <c r="C3802">
        <v>1</v>
      </c>
      <c r="D3802" t="s">
        <v>23629</v>
      </c>
      <c r="E3802" t="s">
        <v>23632</v>
      </c>
    </row>
    <row r="3803" spans="1:5" x14ac:dyDescent="0.25">
      <c r="A3803" s="131" t="s">
        <v>26493</v>
      </c>
      <c r="B3803" t="s">
        <v>26759</v>
      </c>
      <c r="C3803">
        <v>1</v>
      </c>
      <c r="D3803" t="s">
        <v>23629</v>
      </c>
      <c r="E3803" t="s">
        <v>23632</v>
      </c>
    </row>
    <row r="3804" spans="1:5" x14ac:dyDescent="0.25">
      <c r="A3804" s="130" t="str">
        <f>LEFT(B3804,1)</f>
        <v>M</v>
      </c>
      <c r="B3804" t="s">
        <v>28560</v>
      </c>
      <c r="C3804">
        <v>1</v>
      </c>
      <c r="D3804" t="s">
        <v>23629</v>
      </c>
      <c r="E3804" t="s">
        <v>23632</v>
      </c>
    </row>
    <row r="3805" spans="1:5" x14ac:dyDescent="0.25">
      <c r="A3805" s="130" t="str">
        <f>LEFT(B3805,1)</f>
        <v>M</v>
      </c>
      <c r="B3805" t="s">
        <v>28847</v>
      </c>
      <c r="C3805">
        <v>1</v>
      </c>
      <c r="D3805" t="s">
        <v>23629</v>
      </c>
      <c r="E3805" t="s">
        <v>23632</v>
      </c>
    </row>
    <row r="3806" spans="1:5" x14ac:dyDescent="0.25">
      <c r="A3806" s="130" t="s">
        <v>26493</v>
      </c>
      <c r="B3806" t="s">
        <v>26760</v>
      </c>
      <c r="C3806">
        <v>1</v>
      </c>
      <c r="D3806" t="s">
        <v>23629</v>
      </c>
      <c r="E3806" t="s">
        <v>23632</v>
      </c>
    </row>
    <row r="3807" spans="1:5" x14ac:dyDescent="0.25">
      <c r="A3807" s="131" t="s">
        <v>26493</v>
      </c>
      <c r="B3807" t="s">
        <v>26761</v>
      </c>
      <c r="C3807">
        <v>1</v>
      </c>
      <c r="D3807" t="s">
        <v>23629</v>
      </c>
      <c r="E3807" t="s">
        <v>23632</v>
      </c>
    </row>
    <row r="3808" spans="1:5" x14ac:dyDescent="0.25">
      <c r="A3808" s="130" t="s">
        <v>26493</v>
      </c>
      <c r="B3808" t="s">
        <v>26762</v>
      </c>
      <c r="C3808">
        <v>1</v>
      </c>
      <c r="D3808" t="s">
        <v>23629</v>
      </c>
      <c r="E3808" t="s">
        <v>23632</v>
      </c>
    </row>
    <row r="3809" spans="1:5" x14ac:dyDescent="0.25">
      <c r="A3809" s="130" t="str">
        <f>LEFT(B3809,1)</f>
        <v>M</v>
      </c>
      <c r="B3809" t="s">
        <v>26828</v>
      </c>
      <c r="C3809">
        <v>1</v>
      </c>
      <c r="D3809" t="s">
        <v>23629</v>
      </c>
      <c r="E3809" t="s">
        <v>23632</v>
      </c>
    </row>
    <row r="3810" spans="1:5" x14ac:dyDescent="0.25">
      <c r="A3810" s="130" t="s">
        <v>26493</v>
      </c>
      <c r="B3810" t="s">
        <v>26763</v>
      </c>
      <c r="C3810">
        <v>1</v>
      </c>
      <c r="D3810" t="s">
        <v>23629</v>
      </c>
      <c r="E3810" t="s">
        <v>23632</v>
      </c>
    </row>
    <row r="3811" spans="1:5" x14ac:dyDescent="0.25">
      <c r="A3811" s="131" t="s">
        <v>26493</v>
      </c>
      <c r="B3811" t="s">
        <v>26764</v>
      </c>
      <c r="C3811">
        <v>1</v>
      </c>
      <c r="D3811" t="s">
        <v>23629</v>
      </c>
      <c r="E3811" t="s">
        <v>23632</v>
      </c>
    </row>
    <row r="3812" spans="1:5" x14ac:dyDescent="0.25">
      <c r="A3812" s="131" t="str">
        <f>LEFT(B3812,1)</f>
        <v>M</v>
      </c>
      <c r="B3812" t="s">
        <v>26829</v>
      </c>
      <c r="C3812">
        <v>1.25</v>
      </c>
      <c r="D3812" t="s">
        <v>23629</v>
      </c>
      <c r="E3812" t="s">
        <v>23632</v>
      </c>
    </row>
    <row r="3813" spans="1:5" x14ac:dyDescent="0.25">
      <c r="A3813" s="130" t="str">
        <f>LEFT((B3813),1)</f>
        <v>M</v>
      </c>
      <c r="B3813" t="s">
        <v>26765</v>
      </c>
      <c r="C3813">
        <v>1</v>
      </c>
      <c r="D3813" t="s">
        <v>23629</v>
      </c>
      <c r="E3813" t="s">
        <v>23632</v>
      </c>
    </row>
    <row r="3814" spans="1:5" x14ac:dyDescent="0.25">
      <c r="A3814" s="131" t="s">
        <v>26493</v>
      </c>
      <c r="B3814" t="s">
        <v>26766</v>
      </c>
      <c r="C3814">
        <v>1</v>
      </c>
      <c r="D3814" t="s">
        <v>23629</v>
      </c>
      <c r="E3814" t="s">
        <v>23632</v>
      </c>
    </row>
    <row r="3815" spans="1:5" x14ac:dyDescent="0.25">
      <c r="A3815" s="131" t="s">
        <v>26493</v>
      </c>
      <c r="B3815" t="s">
        <v>26767</v>
      </c>
      <c r="C3815">
        <v>1</v>
      </c>
      <c r="D3815" t="s">
        <v>23629</v>
      </c>
      <c r="E3815" t="s">
        <v>23632</v>
      </c>
    </row>
    <row r="3816" spans="1:5" x14ac:dyDescent="0.25">
      <c r="A3816" s="131" t="s">
        <v>26493</v>
      </c>
      <c r="B3816" t="s">
        <v>26768</v>
      </c>
      <c r="C3816">
        <v>1</v>
      </c>
      <c r="D3816" t="s">
        <v>23629</v>
      </c>
      <c r="E3816" t="s">
        <v>23632</v>
      </c>
    </row>
    <row r="3817" spans="1:5" x14ac:dyDescent="0.25">
      <c r="A3817" s="130" t="str">
        <f>LEFT(B3817,1)</f>
        <v>M</v>
      </c>
      <c r="B3817" t="s">
        <v>26875</v>
      </c>
      <c r="C3817">
        <v>1</v>
      </c>
      <c r="D3817" t="s">
        <v>23629</v>
      </c>
      <c r="E3817" t="s">
        <v>23632</v>
      </c>
    </row>
    <row r="3818" spans="1:5" x14ac:dyDescent="0.25">
      <c r="A3818" s="131" t="str">
        <f>LEFT(B3818,1)</f>
        <v>M</v>
      </c>
      <c r="B3818" t="s">
        <v>26876</v>
      </c>
      <c r="C3818">
        <v>1</v>
      </c>
      <c r="D3818" t="s">
        <v>23629</v>
      </c>
      <c r="E3818" t="s">
        <v>23632</v>
      </c>
    </row>
    <row r="3819" spans="1:5" x14ac:dyDescent="0.25">
      <c r="A3819" s="130" t="s">
        <v>26493</v>
      </c>
      <c r="B3819" t="s">
        <v>26769</v>
      </c>
      <c r="C3819">
        <v>1</v>
      </c>
      <c r="D3819" t="s">
        <v>23629</v>
      </c>
      <c r="E3819" t="s">
        <v>23632</v>
      </c>
    </row>
    <row r="3820" spans="1:5" x14ac:dyDescent="0.25">
      <c r="A3820" s="131" t="s">
        <v>26493</v>
      </c>
      <c r="B3820" t="s">
        <v>26770</v>
      </c>
      <c r="C3820">
        <v>1</v>
      </c>
      <c r="D3820" t="s">
        <v>23629</v>
      </c>
      <c r="E3820" t="s">
        <v>23632</v>
      </c>
    </row>
    <row r="3821" spans="1:5" x14ac:dyDescent="0.25">
      <c r="A3821" s="130" t="s">
        <v>26493</v>
      </c>
      <c r="B3821" t="s">
        <v>26771</v>
      </c>
      <c r="C3821">
        <v>1</v>
      </c>
      <c r="D3821" t="s">
        <v>23629</v>
      </c>
      <c r="E3821" t="s">
        <v>23632</v>
      </c>
    </row>
    <row r="3822" spans="1:5" x14ac:dyDescent="0.25">
      <c r="A3822" s="131" t="s">
        <v>26493</v>
      </c>
      <c r="B3822" t="s">
        <v>26772</v>
      </c>
      <c r="C3822">
        <v>1</v>
      </c>
      <c r="D3822" t="s">
        <v>23629</v>
      </c>
      <c r="E3822" t="s">
        <v>23632</v>
      </c>
    </row>
    <row r="3823" spans="1:5" x14ac:dyDescent="0.25">
      <c r="A3823" s="131" t="s">
        <v>26493</v>
      </c>
      <c r="B3823" t="s">
        <v>26773</v>
      </c>
      <c r="C3823">
        <v>1</v>
      </c>
      <c r="D3823" t="s">
        <v>23629</v>
      </c>
      <c r="E3823" t="s">
        <v>23632</v>
      </c>
    </row>
    <row r="3824" spans="1:5" x14ac:dyDescent="0.25">
      <c r="A3824" s="131" t="s">
        <v>26493</v>
      </c>
      <c r="B3824" t="s">
        <v>26774</v>
      </c>
      <c r="C3824">
        <v>1</v>
      </c>
      <c r="D3824" t="s">
        <v>23629</v>
      </c>
      <c r="E3824" t="s">
        <v>23632</v>
      </c>
    </row>
    <row r="3825" spans="1:5" x14ac:dyDescent="0.25">
      <c r="A3825" s="130" t="s">
        <v>26493</v>
      </c>
      <c r="B3825" t="s">
        <v>26775</v>
      </c>
      <c r="C3825">
        <v>1</v>
      </c>
      <c r="D3825" t="s">
        <v>23629</v>
      </c>
      <c r="E3825" t="s">
        <v>23632</v>
      </c>
    </row>
    <row r="3826" spans="1:5" x14ac:dyDescent="0.25">
      <c r="A3826" s="131" t="s">
        <v>26493</v>
      </c>
      <c r="B3826" t="s">
        <v>26776</v>
      </c>
      <c r="C3826">
        <v>1</v>
      </c>
      <c r="D3826" t="s">
        <v>23629</v>
      </c>
      <c r="E3826" t="s">
        <v>23632</v>
      </c>
    </row>
    <row r="3827" spans="1:5" x14ac:dyDescent="0.25">
      <c r="A3827" s="131" t="s">
        <v>26493</v>
      </c>
      <c r="B3827" t="s">
        <v>26777</v>
      </c>
      <c r="C3827">
        <v>1</v>
      </c>
      <c r="D3827" t="s">
        <v>23629</v>
      </c>
      <c r="E3827" t="s">
        <v>23632</v>
      </c>
    </row>
    <row r="3828" spans="1:5" x14ac:dyDescent="0.25">
      <c r="A3828" s="131" t="s">
        <v>26493</v>
      </c>
      <c r="B3828" t="s">
        <v>26778</v>
      </c>
      <c r="C3828">
        <v>1</v>
      </c>
      <c r="D3828" t="s">
        <v>23629</v>
      </c>
      <c r="E3828" t="s">
        <v>23632</v>
      </c>
    </row>
    <row r="3829" spans="1:5" x14ac:dyDescent="0.25">
      <c r="A3829" s="131" t="s">
        <v>26493</v>
      </c>
      <c r="B3829" t="s">
        <v>26779</v>
      </c>
      <c r="C3829">
        <v>1</v>
      </c>
      <c r="D3829" t="s">
        <v>23629</v>
      </c>
      <c r="E3829" t="s">
        <v>23632</v>
      </c>
    </row>
    <row r="3830" spans="1:5" x14ac:dyDescent="0.25">
      <c r="A3830" s="130" t="str">
        <f>LEFT(B3830,1)</f>
        <v>M</v>
      </c>
      <c r="B3830" t="s">
        <v>28561</v>
      </c>
      <c r="C3830">
        <v>1</v>
      </c>
      <c r="D3830" t="s">
        <v>23629</v>
      </c>
      <c r="E3830" t="s">
        <v>23632</v>
      </c>
    </row>
    <row r="3831" spans="1:5" x14ac:dyDescent="0.25">
      <c r="A3831" s="130" t="s">
        <v>26493</v>
      </c>
      <c r="B3831" t="s">
        <v>26780</v>
      </c>
      <c r="C3831">
        <v>1</v>
      </c>
      <c r="D3831" t="s">
        <v>23629</v>
      </c>
      <c r="E3831" t="s">
        <v>23632</v>
      </c>
    </row>
    <row r="3832" spans="1:5" x14ac:dyDescent="0.25">
      <c r="A3832" s="130" t="str">
        <f>LEFT(B3832,1)</f>
        <v>M</v>
      </c>
      <c r="B3832" t="s">
        <v>26830</v>
      </c>
      <c r="C3832">
        <v>1</v>
      </c>
      <c r="D3832" t="s">
        <v>23629</v>
      </c>
      <c r="E3832" t="s">
        <v>23632</v>
      </c>
    </row>
    <row r="3833" spans="1:5" x14ac:dyDescent="0.25">
      <c r="A3833" s="131" t="s">
        <v>26493</v>
      </c>
      <c r="B3833" t="s">
        <v>26781</v>
      </c>
      <c r="C3833">
        <v>1</v>
      </c>
      <c r="D3833" t="s">
        <v>23629</v>
      </c>
      <c r="E3833" t="s">
        <v>23632</v>
      </c>
    </row>
    <row r="3834" spans="1:5" x14ac:dyDescent="0.25">
      <c r="A3834" s="130" t="s">
        <v>26493</v>
      </c>
      <c r="B3834" t="s">
        <v>26782</v>
      </c>
      <c r="C3834">
        <v>1</v>
      </c>
      <c r="D3834" t="s">
        <v>23629</v>
      </c>
      <c r="E3834" t="s">
        <v>23632</v>
      </c>
    </row>
    <row r="3835" spans="1:5" x14ac:dyDescent="0.25">
      <c r="A3835" s="131" t="s">
        <v>26493</v>
      </c>
      <c r="B3835" t="s">
        <v>26783</v>
      </c>
      <c r="C3835">
        <v>1</v>
      </c>
      <c r="D3835" t="s">
        <v>23629</v>
      </c>
      <c r="E3835" t="s">
        <v>23632</v>
      </c>
    </row>
    <row r="3836" spans="1:5" x14ac:dyDescent="0.25">
      <c r="A3836" s="130" t="s">
        <v>26493</v>
      </c>
      <c r="B3836" t="s">
        <v>26784</v>
      </c>
      <c r="C3836">
        <v>1</v>
      </c>
      <c r="D3836" t="s">
        <v>23629</v>
      </c>
      <c r="E3836" t="s">
        <v>23632</v>
      </c>
    </row>
    <row r="3837" spans="1:5" x14ac:dyDescent="0.25">
      <c r="A3837" s="131" t="str">
        <f>LEFT((B3837),1)</f>
        <v>M</v>
      </c>
      <c r="B3837" t="s">
        <v>26785</v>
      </c>
      <c r="C3837">
        <v>1</v>
      </c>
      <c r="D3837" t="s">
        <v>23629</v>
      </c>
      <c r="E3837" t="s">
        <v>23632</v>
      </c>
    </row>
    <row r="3838" spans="1:5" x14ac:dyDescent="0.25">
      <c r="A3838" s="131" t="s">
        <v>26493</v>
      </c>
      <c r="B3838" t="s">
        <v>26786</v>
      </c>
      <c r="C3838">
        <v>1</v>
      </c>
      <c r="D3838" t="s">
        <v>23629</v>
      </c>
      <c r="E3838" t="s">
        <v>23632</v>
      </c>
    </row>
    <row r="3839" spans="1:5" x14ac:dyDescent="0.25">
      <c r="A3839" s="130" t="str">
        <f>LEFT(B3839,1)</f>
        <v>M</v>
      </c>
      <c r="B3839" t="s">
        <v>26877</v>
      </c>
      <c r="C3839">
        <v>1</v>
      </c>
      <c r="D3839" t="s">
        <v>23629</v>
      </c>
      <c r="E3839" t="s">
        <v>23632</v>
      </c>
    </row>
    <row r="3840" spans="1:5" x14ac:dyDescent="0.25">
      <c r="A3840" s="130" t="str">
        <f>LEFT(B3840,1)</f>
        <v>M</v>
      </c>
      <c r="B3840" t="s">
        <v>29104</v>
      </c>
      <c r="C3840">
        <v>1.1100000000000001</v>
      </c>
      <c r="D3840" t="s">
        <v>28662</v>
      </c>
      <c r="E3840" t="s">
        <v>23881</v>
      </c>
    </row>
    <row r="3841" spans="1:5" x14ac:dyDescent="0.25">
      <c r="A3841" s="131" t="s">
        <v>26493</v>
      </c>
      <c r="B3841" t="s">
        <v>26787</v>
      </c>
      <c r="C3841">
        <v>1</v>
      </c>
      <c r="D3841" t="s">
        <v>23629</v>
      </c>
      <c r="E3841" t="s">
        <v>23632</v>
      </c>
    </row>
    <row r="3842" spans="1:5" x14ac:dyDescent="0.25">
      <c r="A3842" s="131" t="s">
        <v>26493</v>
      </c>
      <c r="B3842" t="s">
        <v>26788</v>
      </c>
      <c r="C3842">
        <v>1</v>
      </c>
      <c r="D3842" t="s">
        <v>23629</v>
      </c>
      <c r="E3842" t="s">
        <v>23632</v>
      </c>
    </row>
    <row r="3843" spans="1:5" x14ac:dyDescent="0.25">
      <c r="A3843" s="130" t="s">
        <v>26493</v>
      </c>
      <c r="B3843" t="s">
        <v>26789</v>
      </c>
      <c r="C3843">
        <v>1</v>
      </c>
      <c r="D3843" t="s">
        <v>23629</v>
      </c>
      <c r="E3843" t="s">
        <v>23632</v>
      </c>
    </row>
    <row r="3844" spans="1:5" x14ac:dyDescent="0.25">
      <c r="A3844" s="130" t="s">
        <v>26493</v>
      </c>
      <c r="B3844" t="s">
        <v>26790</v>
      </c>
      <c r="C3844">
        <v>1</v>
      </c>
      <c r="D3844" t="s">
        <v>23629</v>
      </c>
      <c r="E3844" t="s">
        <v>23632</v>
      </c>
    </row>
    <row r="3845" spans="1:5" x14ac:dyDescent="0.25">
      <c r="A3845" s="131" t="s">
        <v>26493</v>
      </c>
      <c r="B3845" t="s">
        <v>26791</v>
      </c>
      <c r="C3845">
        <v>1</v>
      </c>
      <c r="D3845" t="s">
        <v>23629</v>
      </c>
      <c r="E3845" t="s">
        <v>23632</v>
      </c>
    </row>
    <row r="3846" spans="1:5" x14ac:dyDescent="0.25">
      <c r="A3846" s="130" t="s">
        <v>26493</v>
      </c>
      <c r="B3846" t="s">
        <v>26792</v>
      </c>
      <c r="C3846">
        <v>1</v>
      </c>
      <c r="D3846" t="s">
        <v>23629</v>
      </c>
      <c r="E3846" t="s">
        <v>23632</v>
      </c>
    </row>
    <row r="3847" spans="1:5" x14ac:dyDescent="0.25">
      <c r="A3847" s="131" t="s">
        <v>26493</v>
      </c>
      <c r="B3847" t="s">
        <v>26793</v>
      </c>
      <c r="C3847">
        <v>1</v>
      </c>
      <c r="D3847" t="s">
        <v>23629</v>
      </c>
      <c r="E3847" t="s">
        <v>23632</v>
      </c>
    </row>
    <row r="3848" spans="1:5" x14ac:dyDescent="0.25">
      <c r="A3848" s="130" t="s">
        <v>26493</v>
      </c>
      <c r="B3848" t="s">
        <v>26794</v>
      </c>
      <c r="C3848">
        <v>1</v>
      </c>
      <c r="D3848" t="s">
        <v>23629</v>
      </c>
      <c r="E3848" t="s">
        <v>23632</v>
      </c>
    </row>
    <row r="3849" spans="1:5" x14ac:dyDescent="0.25">
      <c r="A3849" s="131" t="s">
        <v>26493</v>
      </c>
      <c r="B3849" t="s">
        <v>26795</v>
      </c>
      <c r="C3849">
        <v>1</v>
      </c>
      <c r="D3849" t="s">
        <v>23629</v>
      </c>
      <c r="E3849" t="s">
        <v>23632</v>
      </c>
    </row>
    <row r="3850" spans="1:5" x14ac:dyDescent="0.25">
      <c r="A3850" s="130" t="s">
        <v>26493</v>
      </c>
      <c r="B3850" t="s">
        <v>26796</v>
      </c>
      <c r="C3850">
        <v>1</v>
      </c>
      <c r="D3850" t="s">
        <v>23629</v>
      </c>
      <c r="E3850" t="s">
        <v>23632</v>
      </c>
    </row>
    <row r="3851" spans="1:5" x14ac:dyDescent="0.25">
      <c r="A3851" s="131" t="s">
        <v>26493</v>
      </c>
      <c r="B3851" t="s">
        <v>26797</v>
      </c>
      <c r="C3851">
        <v>1</v>
      </c>
      <c r="D3851" t="s">
        <v>23629</v>
      </c>
      <c r="E3851" t="s">
        <v>23632</v>
      </c>
    </row>
    <row r="3852" spans="1:5" x14ac:dyDescent="0.25">
      <c r="A3852" s="131" t="str">
        <f>LEFT(B3852,1)</f>
        <v>M</v>
      </c>
      <c r="B3852" t="s">
        <v>26831</v>
      </c>
      <c r="C3852">
        <v>1</v>
      </c>
      <c r="D3852" t="s">
        <v>23629</v>
      </c>
      <c r="E3852" t="s">
        <v>23632</v>
      </c>
    </row>
    <row r="3853" spans="1:5" x14ac:dyDescent="0.25">
      <c r="A3853" s="130" t="str">
        <f>LEFT(B3853,1)</f>
        <v>M</v>
      </c>
      <c r="B3853" t="s">
        <v>26832</v>
      </c>
      <c r="C3853">
        <v>1</v>
      </c>
      <c r="D3853" t="s">
        <v>23629</v>
      </c>
      <c r="E3853" t="s">
        <v>23632</v>
      </c>
    </row>
    <row r="3854" spans="1:5" x14ac:dyDescent="0.25">
      <c r="A3854" s="131" t="s">
        <v>26493</v>
      </c>
      <c r="B3854" t="s">
        <v>26798</v>
      </c>
      <c r="C3854">
        <v>1.1000000000000001</v>
      </c>
      <c r="D3854" t="s">
        <v>23629</v>
      </c>
      <c r="E3854" t="s">
        <v>23632</v>
      </c>
    </row>
    <row r="3855" spans="1:5" x14ac:dyDescent="0.25">
      <c r="A3855" s="130" t="str">
        <f>LEFT(B3855,1)</f>
        <v>M</v>
      </c>
      <c r="B3855" t="s">
        <v>28848</v>
      </c>
      <c r="C3855">
        <v>1</v>
      </c>
      <c r="D3855" t="s">
        <v>23629</v>
      </c>
      <c r="E3855" t="s">
        <v>23632</v>
      </c>
    </row>
    <row r="3856" spans="1:5" x14ac:dyDescent="0.25">
      <c r="A3856" s="130" t="s">
        <v>26493</v>
      </c>
      <c r="B3856" t="s">
        <v>26799</v>
      </c>
      <c r="C3856">
        <v>1</v>
      </c>
      <c r="D3856" t="s">
        <v>23629</v>
      </c>
      <c r="E3856" t="s">
        <v>23632</v>
      </c>
    </row>
    <row r="3857" spans="1:5" x14ac:dyDescent="0.25">
      <c r="A3857" s="131" t="s">
        <v>26493</v>
      </c>
      <c r="B3857" t="s">
        <v>26800</v>
      </c>
      <c r="C3857">
        <v>1</v>
      </c>
      <c r="D3857" t="s">
        <v>23629</v>
      </c>
      <c r="E3857" t="s">
        <v>23632</v>
      </c>
    </row>
    <row r="3858" spans="1:5" x14ac:dyDescent="0.25">
      <c r="A3858" s="130" t="str">
        <f>LEFT(B3858,1)</f>
        <v>M</v>
      </c>
      <c r="B3858" t="s">
        <v>29105</v>
      </c>
      <c r="C3858">
        <v>1</v>
      </c>
      <c r="D3858" t="s">
        <v>23629</v>
      </c>
      <c r="E3858" t="s">
        <v>23632</v>
      </c>
    </row>
    <row r="3859" spans="1:5" x14ac:dyDescent="0.25">
      <c r="A3859" s="131" t="s">
        <v>26493</v>
      </c>
      <c r="B3859" t="s">
        <v>26801</v>
      </c>
      <c r="C3859">
        <v>1</v>
      </c>
      <c r="D3859" t="s">
        <v>23629</v>
      </c>
      <c r="E3859" t="s">
        <v>23632</v>
      </c>
    </row>
    <row r="3860" spans="1:5" x14ac:dyDescent="0.25">
      <c r="A3860" s="130" t="str">
        <f>LEFT((B3860),1)</f>
        <v>M</v>
      </c>
      <c r="B3860" t="s">
        <v>26802</v>
      </c>
      <c r="C3860">
        <v>1</v>
      </c>
      <c r="D3860" t="s">
        <v>23629</v>
      </c>
      <c r="E3860" t="s">
        <v>23632</v>
      </c>
    </row>
    <row r="3861" spans="1:5" x14ac:dyDescent="0.25">
      <c r="A3861" s="131" t="s">
        <v>26493</v>
      </c>
      <c r="B3861" t="s">
        <v>26803</v>
      </c>
      <c r="C3861">
        <v>1</v>
      </c>
      <c r="D3861" t="s">
        <v>23629</v>
      </c>
      <c r="E3861" t="s">
        <v>23632</v>
      </c>
    </row>
    <row r="3862" spans="1:5" x14ac:dyDescent="0.25">
      <c r="A3862" s="130" t="str">
        <f>LEFT(B3862,1)</f>
        <v>M</v>
      </c>
      <c r="B3862" t="s">
        <v>28562</v>
      </c>
      <c r="C3862">
        <v>1</v>
      </c>
      <c r="D3862" t="s">
        <v>23629</v>
      </c>
      <c r="E3862" t="s">
        <v>23632</v>
      </c>
    </row>
    <row r="3863" spans="1:5" x14ac:dyDescent="0.25">
      <c r="A3863" s="131" t="s">
        <v>26493</v>
      </c>
      <c r="B3863" t="s">
        <v>26804</v>
      </c>
      <c r="C3863">
        <v>1</v>
      </c>
      <c r="D3863" t="s">
        <v>23629</v>
      </c>
      <c r="E3863" t="s">
        <v>23881</v>
      </c>
    </row>
    <row r="3864" spans="1:5" x14ac:dyDescent="0.25">
      <c r="A3864" s="130" t="s">
        <v>26493</v>
      </c>
      <c r="B3864" t="s">
        <v>26805</v>
      </c>
      <c r="C3864">
        <v>1</v>
      </c>
      <c r="D3864" t="s">
        <v>23629</v>
      </c>
      <c r="E3864" t="s">
        <v>23632</v>
      </c>
    </row>
    <row r="3865" spans="1:5" x14ac:dyDescent="0.25">
      <c r="A3865" s="130" t="str">
        <f>LEFT(B3865,1)</f>
        <v>M</v>
      </c>
      <c r="B3865" t="s">
        <v>26851</v>
      </c>
      <c r="C3865">
        <v>1</v>
      </c>
      <c r="D3865" t="s">
        <v>23629</v>
      </c>
      <c r="E3865" t="s">
        <v>23632</v>
      </c>
    </row>
    <row r="3866" spans="1:5" x14ac:dyDescent="0.25">
      <c r="A3866" s="130" t="str">
        <f>LEFT(B3866,1)</f>
        <v>M</v>
      </c>
      <c r="B3866" t="s">
        <v>29106</v>
      </c>
      <c r="C3866">
        <v>1</v>
      </c>
      <c r="D3866" t="s">
        <v>23629</v>
      </c>
      <c r="E3866" t="s">
        <v>23632</v>
      </c>
    </row>
    <row r="3867" spans="1:5" x14ac:dyDescent="0.25">
      <c r="A3867" s="130" t="s">
        <v>26493</v>
      </c>
      <c r="B3867" t="s">
        <v>26806</v>
      </c>
      <c r="C3867">
        <v>1</v>
      </c>
      <c r="D3867" t="s">
        <v>23629</v>
      </c>
      <c r="E3867" t="s">
        <v>23632</v>
      </c>
    </row>
    <row r="3868" spans="1:5" x14ac:dyDescent="0.25">
      <c r="A3868" s="131" t="s">
        <v>26493</v>
      </c>
      <c r="B3868" t="s">
        <v>26807</v>
      </c>
      <c r="C3868">
        <v>1</v>
      </c>
      <c r="D3868" t="s">
        <v>23629</v>
      </c>
      <c r="E3868" t="s">
        <v>23632</v>
      </c>
    </row>
    <row r="3869" spans="1:5" x14ac:dyDescent="0.25">
      <c r="A3869" s="130" t="str">
        <f>LEFT(B3869,1)</f>
        <v>M</v>
      </c>
      <c r="B3869" t="s">
        <v>26852</v>
      </c>
      <c r="C3869">
        <v>1</v>
      </c>
      <c r="D3869" t="s">
        <v>23629</v>
      </c>
      <c r="E3869" t="s">
        <v>23632</v>
      </c>
    </row>
    <row r="3870" spans="1:5" x14ac:dyDescent="0.25">
      <c r="A3870" s="131" t="s">
        <v>26493</v>
      </c>
      <c r="B3870" t="s">
        <v>26808</v>
      </c>
      <c r="C3870">
        <v>1</v>
      </c>
      <c r="D3870" t="s">
        <v>23629</v>
      </c>
      <c r="E3870" t="s">
        <v>23632</v>
      </c>
    </row>
    <row r="3871" spans="1:5" x14ac:dyDescent="0.25">
      <c r="A3871" s="130" t="s">
        <v>26493</v>
      </c>
      <c r="B3871" t="s">
        <v>26809</v>
      </c>
      <c r="C3871">
        <v>1</v>
      </c>
      <c r="D3871" t="s">
        <v>23629</v>
      </c>
      <c r="E3871" t="s">
        <v>23632</v>
      </c>
    </row>
    <row r="3872" spans="1:5" x14ac:dyDescent="0.25">
      <c r="A3872" s="130" t="str">
        <f>LEFT(B3872,1)</f>
        <v>M</v>
      </c>
      <c r="B3872" t="s">
        <v>28563</v>
      </c>
      <c r="C3872">
        <v>1</v>
      </c>
      <c r="D3872" t="s">
        <v>23629</v>
      </c>
      <c r="E3872" t="s">
        <v>23632</v>
      </c>
    </row>
    <row r="3873" spans="1:5" x14ac:dyDescent="0.25">
      <c r="A3873" s="130" t="s">
        <v>26493</v>
      </c>
      <c r="B3873" t="s">
        <v>26810</v>
      </c>
      <c r="C3873">
        <v>1</v>
      </c>
      <c r="D3873" t="s">
        <v>23629</v>
      </c>
      <c r="E3873" t="s">
        <v>23632</v>
      </c>
    </row>
    <row r="3874" spans="1:5" x14ac:dyDescent="0.25">
      <c r="A3874" s="130" t="s">
        <v>26878</v>
      </c>
      <c r="B3874" t="s">
        <v>26879</v>
      </c>
      <c r="C3874">
        <v>1</v>
      </c>
      <c r="D3874" t="s">
        <v>23629</v>
      </c>
      <c r="E3874" t="s">
        <v>23632</v>
      </c>
    </row>
    <row r="3875" spans="1:5" x14ac:dyDescent="0.25">
      <c r="A3875" s="131" t="s">
        <v>26878</v>
      </c>
      <c r="B3875" t="s">
        <v>26880</v>
      </c>
      <c r="C3875">
        <v>1</v>
      </c>
      <c r="D3875" t="s">
        <v>23629</v>
      </c>
      <c r="E3875" t="s">
        <v>23632</v>
      </c>
    </row>
    <row r="3876" spans="1:5" x14ac:dyDescent="0.25">
      <c r="A3876" s="131" t="s">
        <v>26878</v>
      </c>
      <c r="B3876" t="s">
        <v>26881</v>
      </c>
      <c r="C3876">
        <v>1</v>
      </c>
      <c r="D3876" t="s">
        <v>23629</v>
      </c>
      <c r="E3876" t="s">
        <v>23632</v>
      </c>
    </row>
    <row r="3877" spans="1:5" x14ac:dyDescent="0.25">
      <c r="A3877" s="130" t="s">
        <v>26878</v>
      </c>
      <c r="B3877" t="s">
        <v>26882</v>
      </c>
      <c r="C3877">
        <v>1</v>
      </c>
      <c r="D3877" t="s">
        <v>23629</v>
      </c>
      <c r="E3877" t="s">
        <v>23632</v>
      </c>
    </row>
    <row r="3878" spans="1:5" x14ac:dyDescent="0.25">
      <c r="A3878" s="130" t="str">
        <f>LEFT(B3878,1)</f>
        <v>N</v>
      </c>
      <c r="B3878" t="s">
        <v>29261</v>
      </c>
      <c r="C3878">
        <v>1</v>
      </c>
      <c r="D3878" t="s">
        <v>23629</v>
      </c>
      <c r="E3878" t="s">
        <v>23632</v>
      </c>
    </row>
    <row r="3879" spans="1:5" x14ac:dyDescent="0.25">
      <c r="A3879" s="131" t="str">
        <f>LEFT(B3879,1)</f>
        <v>N</v>
      </c>
      <c r="B3879" t="s">
        <v>26976</v>
      </c>
      <c r="C3879">
        <v>1</v>
      </c>
      <c r="D3879" t="s">
        <v>23629</v>
      </c>
      <c r="E3879" t="s">
        <v>23632</v>
      </c>
    </row>
    <row r="3880" spans="1:5" x14ac:dyDescent="0.25">
      <c r="A3880" s="131" t="s">
        <v>26878</v>
      </c>
      <c r="B3880" t="s">
        <v>26883</v>
      </c>
      <c r="C3880">
        <v>1</v>
      </c>
      <c r="D3880" t="s">
        <v>23629</v>
      </c>
      <c r="E3880" t="s">
        <v>23632</v>
      </c>
    </row>
    <row r="3881" spans="1:5" x14ac:dyDescent="0.25">
      <c r="A3881" s="131" t="str">
        <f>LEFT((B3881),1)</f>
        <v>N</v>
      </c>
      <c r="B3881" t="s">
        <v>26884</v>
      </c>
      <c r="C3881">
        <v>1</v>
      </c>
      <c r="D3881" t="s">
        <v>23629</v>
      </c>
      <c r="E3881" t="s">
        <v>23632</v>
      </c>
    </row>
    <row r="3882" spans="1:5" x14ac:dyDescent="0.25">
      <c r="A3882" s="131" t="s">
        <v>26878</v>
      </c>
      <c r="B3882" t="s">
        <v>26885</v>
      </c>
      <c r="C3882">
        <v>1</v>
      </c>
      <c r="D3882" t="s">
        <v>23629</v>
      </c>
      <c r="E3882" t="s">
        <v>23632</v>
      </c>
    </row>
    <row r="3883" spans="1:5" x14ac:dyDescent="0.25">
      <c r="A3883" s="131" t="s">
        <v>26878</v>
      </c>
      <c r="B3883" t="s">
        <v>26886</v>
      </c>
      <c r="C3883">
        <v>1</v>
      </c>
      <c r="D3883" t="s">
        <v>23629</v>
      </c>
      <c r="E3883" t="s">
        <v>23632</v>
      </c>
    </row>
    <row r="3884" spans="1:5" x14ac:dyDescent="0.25">
      <c r="A3884" s="130" t="s">
        <v>26878</v>
      </c>
      <c r="B3884" t="s">
        <v>26887</v>
      </c>
      <c r="C3884">
        <v>1</v>
      </c>
      <c r="D3884" t="s">
        <v>23629</v>
      </c>
      <c r="E3884" t="s">
        <v>23632</v>
      </c>
    </row>
    <row r="3885" spans="1:5" x14ac:dyDescent="0.25">
      <c r="A3885" s="130" t="str">
        <f>LEFT(B3885,1)</f>
        <v>N</v>
      </c>
      <c r="B3885" t="s">
        <v>28564</v>
      </c>
      <c r="C3885">
        <v>1</v>
      </c>
      <c r="D3885" t="s">
        <v>23629</v>
      </c>
      <c r="E3885" t="s">
        <v>23632</v>
      </c>
    </row>
    <row r="3886" spans="1:5" x14ac:dyDescent="0.25">
      <c r="A3886" s="130" t="str">
        <f>LEFT((B3886),1)</f>
        <v>N</v>
      </c>
      <c r="B3886" t="s">
        <v>26888</v>
      </c>
      <c r="C3886">
        <v>1</v>
      </c>
      <c r="D3886" t="s">
        <v>23629</v>
      </c>
      <c r="E3886" t="s">
        <v>23632</v>
      </c>
    </row>
    <row r="3887" spans="1:5" x14ac:dyDescent="0.25">
      <c r="A3887" s="131" t="s">
        <v>26878</v>
      </c>
      <c r="B3887" t="s">
        <v>26889</v>
      </c>
      <c r="C3887">
        <v>1</v>
      </c>
      <c r="D3887" t="s">
        <v>23629</v>
      </c>
      <c r="E3887" t="s">
        <v>23632</v>
      </c>
    </row>
    <row r="3888" spans="1:5" x14ac:dyDescent="0.25">
      <c r="A3888" s="130" t="str">
        <f>LEFT(B3888,1)</f>
        <v>N</v>
      </c>
      <c r="B3888" t="s">
        <v>26977</v>
      </c>
      <c r="C3888">
        <v>1</v>
      </c>
      <c r="D3888" t="s">
        <v>23629</v>
      </c>
      <c r="E3888" t="s">
        <v>23632</v>
      </c>
    </row>
    <row r="3889" spans="1:5" x14ac:dyDescent="0.25">
      <c r="A3889" s="131" t="s">
        <v>26878</v>
      </c>
      <c r="B3889" t="s">
        <v>26890</v>
      </c>
      <c r="C3889">
        <v>1</v>
      </c>
      <c r="D3889" t="s">
        <v>23629</v>
      </c>
      <c r="E3889" t="s">
        <v>23632</v>
      </c>
    </row>
    <row r="3890" spans="1:5" x14ac:dyDescent="0.25">
      <c r="A3890" s="130" t="s">
        <v>26878</v>
      </c>
      <c r="B3890" t="s">
        <v>26891</v>
      </c>
      <c r="C3890">
        <v>1</v>
      </c>
      <c r="D3890" t="s">
        <v>23629</v>
      </c>
      <c r="E3890" t="s">
        <v>23632</v>
      </c>
    </row>
    <row r="3891" spans="1:5" x14ac:dyDescent="0.25">
      <c r="A3891" s="130" t="s">
        <v>26878</v>
      </c>
      <c r="B3891" t="s">
        <v>26892</v>
      </c>
      <c r="C3891">
        <v>1</v>
      </c>
      <c r="D3891" t="s">
        <v>23629</v>
      </c>
      <c r="E3891" t="s">
        <v>23632</v>
      </c>
    </row>
    <row r="3892" spans="1:5" x14ac:dyDescent="0.25">
      <c r="A3892" s="131" t="s">
        <v>26878</v>
      </c>
      <c r="B3892" t="s">
        <v>26893</v>
      </c>
      <c r="C3892">
        <v>1</v>
      </c>
      <c r="D3892" t="s">
        <v>23629</v>
      </c>
      <c r="E3892" t="s">
        <v>23632</v>
      </c>
    </row>
    <row r="3893" spans="1:5" x14ac:dyDescent="0.25">
      <c r="A3893" s="130" t="str">
        <f>LEFT(B3893,1)</f>
        <v>N</v>
      </c>
      <c r="B3893" t="s">
        <v>28565</v>
      </c>
      <c r="C3893">
        <v>1</v>
      </c>
      <c r="D3893" t="s">
        <v>23629</v>
      </c>
      <c r="E3893" t="s">
        <v>23632</v>
      </c>
    </row>
    <row r="3894" spans="1:5" x14ac:dyDescent="0.25">
      <c r="A3894" s="131" t="str">
        <f>LEFT((B3894),1)</f>
        <v>N</v>
      </c>
      <c r="B3894" t="s">
        <v>26894</v>
      </c>
      <c r="C3894">
        <v>1</v>
      </c>
      <c r="D3894" t="s">
        <v>23629</v>
      </c>
      <c r="E3894" t="s">
        <v>23632</v>
      </c>
    </row>
    <row r="3895" spans="1:5" x14ac:dyDescent="0.25">
      <c r="A3895" s="131" t="s">
        <v>26878</v>
      </c>
      <c r="B3895" t="s">
        <v>26895</v>
      </c>
      <c r="C3895">
        <v>1</v>
      </c>
      <c r="D3895" t="s">
        <v>23629</v>
      </c>
      <c r="E3895" t="s">
        <v>23632</v>
      </c>
    </row>
    <row r="3896" spans="1:5" x14ac:dyDescent="0.25">
      <c r="A3896" s="131" t="s">
        <v>26878</v>
      </c>
      <c r="B3896" t="s">
        <v>26896</v>
      </c>
      <c r="C3896">
        <v>1</v>
      </c>
      <c r="D3896" t="s">
        <v>23629</v>
      </c>
      <c r="E3896" t="s">
        <v>23632</v>
      </c>
    </row>
    <row r="3897" spans="1:5" x14ac:dyDescent="0.25">
      <c r="A3897" s="130" t="str">
        <f>LEFT(B3897,1)</f>
        <v>N</v>
      </c>
      <c r="B3897" t="s">
        <v>26966</v>
      </c>
      <c r="C3897">
        <v>1</v>
      </c>
      <c r="D3897" t="s">
        <v>23629</v>
      </c>
      <c r="E3897" t="s">
        <v>23632</v>
      </c>
    </row>
    <row r="3898" spans="1:5" x14ac:dyDescent="0.25">
      <c r="A3898" s="130" t="str">
        <f>LEFT(B3898,1)</f>
        <v>N</v>
      </c>
      <c r="B3898" t="s">
        <v>28849</v>
      </c>
      <c r="C3898">
        <v>1</v>
      </c>
      <c r="D3898" t="s">
        <v>23629</v>
      </c>
      <c r="E3898" t="s">
        <v>23632</v>
      </c>
    </row>
    <row r="3899" spans="1:5" x14ac:dyDescent="0.25">
      <c r="A3899" s="130" t="s">
        <v>26878</v>
      </c>
      <c r="B3899" t="s">
        <v>26897</v>
      </c>
      <c r="C3899">
        <v>1</v>
      </c>
      <c r="D3899" t="s">
        <v>23629</v>
      </c>
      <c r="E3899" t="s">
        <v>23632</v>
      </c>
    </row>
    <row r="3900" spans="1:5" x14ac:dyDescent="0.25">
      <c r="A3900" s="131" t="s">
        <v>26878</v>
      </c>
      <c r="B3900" t="s">
        <v>26898</v>
      </c>
      <c r="C3900">
        <v>1</v>
      </c>
      <c r="D3900" t="s">
        <v>23629</v>
      </c>
      <c r="E3900" t="s">
        <v>23632</v>
      </c>
    </row>
    <row r="3901" spans="1:5" x14ac:dyDescent="0.25">
      <c r="A3901" s="130" t="str">
        <f>LEFT(B3901,1)</f>
        <v>N</v>
      </c>
      <c r="B3901" t="s">
        <v>26967</v>
      </c>
      <c r="C3901">
        <v>1</v>
      </c>
      <c r="D3901" t="s">
        <v>23629</v>
      </c>
      <c r="E3901" t="s">
        <v>23632</v>
      </c>
    </row>
    <row r="3902" spans="1:5" x14ac:dyDescent="0.25">
      <c r="A3902" s="131" t="str">
        <f>LEFT(B3902,1)</f>
        <v>N</v>
      </c>
      <c r="B3902" t="s">
        <v>26960</v>
      </c>
      <c r="C3902">
        <v>1</v>
      </c>
      <c r="D3902" t="s">
        <v>23629</v>
      </c>
      <c r="E3902" t="s">
        <v>23632</v>
      </c>
    </row>
    <row r="3903" spans="1:5" x14ac:dyDescent="0.25">
      <c r="A3903" s="130" t="s">
        <v>26878</v>
      </c>
      <c r="B3903" t="s">
        <v>26899</v>
      </c>
      <c r="C3903">
        <v>1</v>
      </c>
      <c r="D3903" t="s">
        <v>23629</v>
      </c>
      <c r="E3903" t="s">
        <v>23632</v>
      </c>
    </row>
    <row r="3904" spans="1:5" x14ac:dyDescent="0.25">
      <c r="A3904" s="131" t="s">
        <v>26878</v>
      </c>
      <c r="B3904" t="s">
        <v>26900</v>
      </c>
      <c r="C3904">
        <v>1</v>
      </c>
      <c r="D3904" t="s">
        <v>23629</v>
      </c>
      <c r="E3904" t="s">
        <v>23632</v>
      </c>
    </row>
    <row r="3905" spans="1:5" x14ac:dyDescent="0.25">
      <c r="A3905" s="130" t="s">
        <v>26878</v>
      </c>
      <c r="B3905" t="s">
        <v>26901</v>
      </c>
      <c r="C3905">
        <v>1</v>
      </c>
      <c r="D3905" t="s">
        <v>23629</v>
      </c>
      <c r="E3905" t="s">
        <v>23632</v>
      </c>
    </row>
    <row r="3906" spans="1:5" x14ac:dyDescent="0.25">
      <c r="A3906" s="130" t="s">
        <v>26878</v>
      </c>
      <c r="B3906" t="s">
        <v>26902</v>
      </c>
      <c r="C3906">
        <v>1</v>
      </c>
      <c r="D3906" t="s">
        <v>23629</v>
      </c>
      <c r="E3906" t="s">
        <v>23632</v>
      </c>
    </row>
    <row r="3907" spans="1:5" x14ac:dyDescent="0.25">
      <c r="A3907" s="130" t="s">
        <v>26878</v>
      </c>
      <c r="B3907" t="s">
        <v>26903</v>
      </c>
      <c r="C3907">
        <v>1</v>
      </c>
      <c r="D3907" t="s">
        <v>23629</v>
      </c>
      <c r="E3907" t="s">
        <v>23632</v>
      </c>
    </row>
    <row r="3908" spans="1:5" x14ac:dyDescent="0.25">
      <c r="A3908" s="130" t="str">
        <f>LEFT(B3908,1)</f>
        <v>N</v>
      </c>
      <c r="B3908" t="s">
        <v>28566</v>
      </c>
      <c r="C3908">
        <v>1</v>
      </c>
      <c r="D3908" t="s">
        <v>23629</v>
      </c>
      <c r="E3908" t="s">
        <v>23632</v>
      </c>
    </row>
    <row r="3909" spans="1:5" x14ac:dyDescent="0.25">
      <c r="A3909" s="131" t="str">
        <f>LEFT(B3909,1)</f>
        <v>N</v>
      </c>
      <c r="B3909" t="s">
        <v>26978</v>
      </c>
      <c r="C3909">
        <v>1</v>
      </c>
      <c r="D3909" t="s">
        <v>23629</v>
      </c>
      <c r="E3909" t="s">
        <v>23632</v>
      </c>
    </row>
    <row r="3910" spans="1:5" x14ac:dyDescent="0.25">
      <c r="A3910" s="131" t="s">
        <v>26878</v>
      </c>
      <c r="B3910" t="s">
        <v>26904</v>
      </c>
      <c r="C3910">
        <v>1</v>
      </c>
      <c r="D3910" t="s">
        <v>23629</v>
      </c>
      <c r="E3910" t="s">
        <v>23632</v>
      </c>
    </row>
    <row r="3911" spans="1:5" x14ac:dyDescent="0.25">
      <c r="A3911" s="130" t="str">
        <f>LEFT(B3911,1)</f>
        <v>N</v>
      </c>
      <c r="B3911" t="s">
        <v>26979</v>
      </c>
      <c r="C3911">
        <v>1</v>
      </c>
      <c r="D3911" t="s">
        <v>23629</v>
      </c>
      <c r="E3911" t="s">
        <v>23632</v>
      </c>
    </row>
    <row r="3912" spans="1:5" x14ac:dyDescent="0.25">
      <c r="A3912" s="130" t="str">
        <f>LEFT((B3912),1)</f>
        <v>N</v>
      </c>
      <c r="B3912" t="s">
        <v>26905</v>
      </c>
      <c r="C3912">
        <v>1</v>
      </c>
      <c r="D3912" t="s">
        <v>23629</v>
      </c>
      <c r="E3912" t="s">
        <v>23632</v>
      </c>
    </row>
    <row r="3913" spans="1:5" x14ac:dyDescent="0.25">
      <c r="A3913" s="130" t="s">
        <v>26878</v>
      </c>
      <c r="B3913" t="s">
        <v>26906</v>
      </c>
      <c r="C3913">
        <v>1</v>
      </c>
      <c r="D3913" t="s">
        <v>23629</v>
      </c>
      <c r="E3913" t="s">
        <v>23632</v>
      </c>
    </row>
    <row r="3914" spans="1:5" x14ac:dyDescent="0.25">
      <c r="A3914" s="131" t="s">
        <v>26878</v>
      </c>
      <c r="B3914" t="s">
        <v>26907</v>
      </c>
      <c r="C3914">
        <v>1</v>
      </c>
      <c r="D3914" t="s">
        <v>23629</v>
      </c>
      <c r="E3914" t="s">
        <v>23632</v>
      </c>
    </row>
    <row r="3915" spans="1:5" x14ac:dyDescent="0.25">
      <c r="A3915" s="130" t="s">
        <v>26878</v>
      </c>
      <c r="B3915" t="s">
        <v>26908</v>
      </c>
      <c r="C3915">
        <v>1</v>
      </c>
      <c r="D3915" t="s">
        <v>23629</v>
      </c>
      <c r="E3915" t="s">
        <v>23632</v>
      </c>
    </row>
    <row r="3916" spans="1:5" x14ac:dyDescent="0.25">
      <c r="A3916" s="130" t="s">
        <v>26878</v>
      </c>
      <c r="B3916" t="s">
        <v>26909</v>
      </c>
      <c r="C3916">
        <v>1</v>
      </c>
      <c r="D3916" t="s">
        <v>23629</v>
      </c>
      <c r="E3916" t="s">
        <v>23632</v>
      </c>
    </row>
    <row r="3917" spans="1:5" x14ac:dyDescent="0.25">
      <c r="A3917" s="131" t="s">
        <v>26878</v>
      </c>
      <c r="B3917" t="s">
        <v>26910</v>
      </c>
      <c r="C3917">
        <v>1</v>
      </c>
      <c r="D3917" t="s">
        <v>23629</v>
      </c>
      <c r="E3917" t="s">
        <v>23632</v>
      </c>
    </row>
    <row r="3918" spans="1:5" x14ac:dyDescent="0.25">
      <c r="A3918" s="130" t="str">
        <f>LEFT(B3918,1)</f>
        <v>N</v>
      </c>
      <c r="B3918" t="s">
        <v>26961</v>
      </c>
      <c r="C3918">
        <v>1</v>
      </c>
      <c r="D3918" t="s">
        <v>23629</v>
      </c>
      <c r="E3918" t="s">
        <v>23632</v>
      </c>
    </row>
    <row r="3919" spans="1:5" x14ac:dyDescent="0.25">
      <c r="A3919" s="130" t="str">
        <f>LEFT(B3919,1)</f>
        <v>N</v>
      </c>
      <c r="B3919" t="s">
        <v>28850</v>
      </c>
      <c r="C3919">
        <v>1</v>
      </c>
      <c r="D3919" t="s">
        <v>23629</v>
      </c>
      <c r="E3919" t="s">
        <v>23632</v>
      </c>
    </row>
    <row r="3920" spans="1:5" x14ac:dyDescent="0.25">
      <c r="A3920" s="130" t="str">
        <f>LEFT(B3920,1)</f>
        <v>N</v>
      </c>
      <c r="B3920" t="s">
        <v>26968</v>
      </c>
      <c r="C3920">
        <v>1</v>
      </c>
      <c r="D3920" t="s">
        <v>23629</v>
      </c>
      <c r="E3920" t="s">
        <v>23632</v>
      </c>
    </row>
    <row r="3921" spans="1:5" x14ac:dyDescent="0.25">
      <c r="A3921" s="130" t="s">
        <v>26878</v>
      </c>
      <c r="B3921" t="s">
        <v>26911</v>
      </c>
      <c r="C3921">
        <v>1.21</v>
      </c>
      <c r="D3921" t="s">
        <v>23629</v>
      </c>
      <c r="E3921" t="s">
        <v>23632</v>
      </c>
    </row>
    <row r="3922" spans="1:5" x14ac:dyDescent="0.25">
      <c r="A3922" s="131" t="s">
        <v>26878</v>
      </c>
      <c r="B3922" t="s">
        <v>26912</v>
      </c>
      <c r="C3922">
        <v>1</v>
      </c>
      <c r="D3922" t="s">
        <v>23629</v>
      </c>
      <c r="E3922" t="s">
        <v>23632</v>
      </c>
    </row>
    <row r="3923" spans="1:5" x14ac:dyDescent="0.25">
      <c r="A3923" s="130" t="s">
        <v>26878</v>
      </c>
      <c r="B3923" t="s">
        <v>26913</v>
      </c>
      <c r="C3923">
        <v>1</v>
      </c>
      <c r="D3923" t="s">
        <v>23629</v>
      </c>
      <c r="E3923" t="s">
        <v>23632</v>
      </c>
    </row>
    <row r="3924" spans="1:5" x14ac:dyDescent="0.25">
      <c r="A3924" s="131" t="s">
        <v>26878</v>
      </c>
      <c r="B3924" t="s">
        <v>26914</v>
      </c>
      <c r="C3924">
        <v>1</v>
      </c>
      <c r="D3924" t="s">
        <v>23629</v>
      </c>
      <c r="E3924" t="s">
        <v>23632</v>
      </c>
    </row>
    <row r="3925" spans="1:5" x14ac:dyDescent="0.25">
      <c r="A3925" s="130" t="s">
        <v>26878</v>
      </c>
      <c r="B3925" t="s">
        <v>26915</v>
      </c>
      <c r="C3925">
        <v>1</v>
      </c>
      <c r="D3925" t="s">
        <v>23629</v>
      </c>
      <c r="E3925" t="s">
        <v>23632</v>
      </c>
    </row>
    <row r="3926" spans="1:5" x14ac:dyDescent="0.25">
      <c r="A3926" s="130" t="str">
        <f>LEFT(B3926,1)</f>
        <v>N</v>
      </c>
      <c r="B3926" t="s">
        <v>29262</v>
      </c>
      <c r="C3926">
        <v>1</v>
      </c>
      <c r="D3926" t="s">
        <v>23629</v>
      </c>
      <c r="E3926" t="s">
        <v>23632</v>
      </c>
    </row>
    <row r="3927" spans="1:5" x14ac:dyDescent="0.25">
      <c r="A3927" s="130" t="str">
        <f>LEFT(B3927,1)</f>
        <v>N</v>
      </c>
      <c r="B3927" t="s">
        <v>28567</v>
      </c>
      <c r="C3927">
        <v>1</v>
      </c>
      <c r="D3927" t="s">
        <v>23629</v>
      </c>
      <c r="E3927" t="s">
        <v>23632</v>
      </c>
    </row>
    <row r="3928" spans="1:5" x14ac:dyDescent="0.25">
      <c r="A3928" s="131" t="str">
        <f>LEFT(B3928,1)</f>
        <v>N</v>
      </c>
      <c r="B3928" t="s">
        <v>26962</v>
      </c>
      <c r="C3928">
        <v>1</v>
      </c>
      <c r="D3928" t="s">
        <v>23629</v>
      </c>
      <c r="E3928" t="s">
        <v>23632</v>
      </c>
    </row>
    <row r="3929" spans="1:5" x14ac:dyDescent="0.25">
      <c r="A3929" s="131" t="s">
        <v>26878</v>
      </c>
      <c r="B3929" t="s">
        <v>26916</v>
      </c>
      <c r="C3929">
        <v>1</v>
      </c>
      <c r="D3929" t="s">
        <v>23629</v>
      </c>
      <c r="E3929" t="s">
        <v>23632</v>
      </c>
    </row>
    <row r="3930" spans="1:5" x14ac:dyDescent="0.25">
      <c r="A3930" s="130" t="str">
        <f>LEFT(B3930,1)</f>
        <v>N</v>
      </c>
      <c r="B3930" t="s">
        <v>26969</v>
      </c>
      <c r="C3930">
        <v>1</v>
      </c>
      <c r="D3930" t="s">
        <v>23629</v>
      </c>
      <c r="E3930" t="s">
        <v>23632</v>
      </c>
    </row>
    <row r="3931" spans="1:5" x14ac:dyDescent="0.25">
      <c r="A3931" s="131" t="str">
        <f>LEFT(B3931,1)</f>
        <v>N</v>
      </c>
      <c r="B3931" t="s">
        <v>26980</v>
      </c>
      <c r="C3931">
        <v>1</v>
      </c>
      <c r="D3931" t="s">
        <v>23629</v>
      </c>
      <c r="E3931" t="s">
        <v>23632</v>
      </c>
    </row>
    <row r="3932" spans="1:5" x14ac:dyDescent="0.25">
      <c r="A3932" s="131" t="s">
        <v>26878</v>
      </c>
      <c r="B3932" t="s">
        <v>26917</v>
      </c>
      <c r="C3932">
        <v>1</v>
      </c>
      <c r="D3932" t="s">
        <v>23629</v>
      </c>
      <c r="E3932" t="s">
        <v>23632</v>
      </c>
    </row>
    <row r="3933" spans="1:5" x14ac:dyDescent="0.25">
      <c r="A3933" s="130" t="str">
        <f>LEFT(B3933,1)</f>
        <v>N</v>
      </c>
      <c r="B3933" t="s">
        <v>26970</v>
      </c>
      <c r="C3933">
        <v>1</v>
      </c>
      <c r="D3933" t="s">
        <v>23629</v>
      </c>
      <c r="E3933" t="s">
        <v>23632</v>
      </c>
    </row>
    <row r="3934" spans="1:5" x14ac:dyDescent="0.25">
      <c r="A3934" s="130" t="str">
        <f>LEFT(B3934,1)</f>
        <v>N</v>
      </c>
      <c r="B3934" t="s">
        <v>26971</v>
      </c>
      <c r="C3934">
        <v>1</v>
      </c>
      <c r="D3934" t="s">
        <v>23629</v>
      </c>
      <c r="E3934" t="s">
        <v>23632</v>
      </c>
    </row>
    <row r="3935" spans="1:5" x14ac:dyDescent="0.25">
      <c r="A3935" s="130" t="s">
        <v>26878</v>
      </c>
      <c r="B3935" t="s">
        <v>26918</v>
      </c>
      <c r="C3935">
        <v>1</v>
      </c>
      <c r="D3935" t="s">
        <v>23629</v>
      </c>
      <c r="E3935" t="s">
        <v>23632</v>
      </c>
    </row>
    <row r="3936" spans="1:5" x14ac:dyDescent="0.25">
      <c r="A3936" s="130" t="str">
        <f>LEFT(B3936,1)</f>
        <v>N</v>
      </c>
      <c r="B3936" t="s">
        <v>26963</v>
      </c>
      <c r="C3936">
        <v>1</v>
      </c>
      <c r="D3936" t="s">
        <v>23629</v>
      </c>
      <c r="E3936" t="s">
        <v>23632</v>
      </c>
    </row>
    <row r="3937" spans="1:5" x14ac:dyDescent="0.25">
      <c r="A3937" s="130" t="str">
        <f>LEFT(B3937,1)</f>
        <v>N</v>
      </c>
      <c r="B3937" t="s">
        <v>26981</v>
      </c>
      <c r="C3937">
        <v>1</v>
      </c>
      <c r="D3937" t="s">
        <v>23629</v>
      </c>
      <c r="E3937" t="s">
        <v>23632</v>
      </c>
    </row>
    <row r="3938" spans="1:5" x14ac:dyDescent="0.25">
      <c r="A3938" s="130" t="s">
        <v>26878</v>
      </c>
      <c r="B3938" t="s">
        <v>26919</v>
      </c>
      <c r="C3938">
        <v>1</v>
      </c>
      <c r="D3938" t="s">
        <v>23629</v>
      </c>
      <c r="E3938" t="s">
        <v>23632</v>
      </c>
    </row>
    <row r="3939" spans="1:5" x14ac:dyDescent="0.25">
      <c r="A3939" s="131" t="s">
        <v>26878</v>
      </c>
      <c r="B3939" t="s">
        <v>26920</v>
      </c>
      <c r="C3939">
        <v>1</v>
      </c>
      <c r="D3939" t="s">
        <v>23629</v>
      </c>
      <c r="E3939" t="s">
        <v>23632</v>
      </c>
    </row>
    <row r="3940" spans="1:5" x14ac:dyDescent="0.25">
      <c r="A3940" s="130" t="s">
        <v>26878</v>
      </c>
      <c r="B3940" t="s">
        <v>26921</v>
      </c>
      <c r="C3940">
        <v>1</v>
      </c>
      <c r="D3940" t="s">
        <v>23629</v>
      </c>
      <c r="E3940" t="s">
        <v>23632</v>
      </c>
    </row>
    <row r="3941" spans="1:5" x14ac:dyDescent="0.25">
      <c r="A3941" s="131" t="s">
        <v>26878</v>
      </c>
      <c r="B3941" t="s">
        <v>26922</v>
      </c>
      <c r="C3941">
        <v>1</v>
      </c>
      <c r="D3941" t="s">
        <v>23629</v>
      </c>
      <c r="E3941" t="s">
        <v>23632</v>
      </c>
    </row>
    <row r="3942" spans="1:5" x14ac:dyDescent="0.25">
      <c r="A3942" s="130" t="s">
        <v>26878</v>
      </c>
      <c r="B3942" t="s">
        <v>26923</v>
      </c>
      <c r="C3942">
        <v>1</v>
      </c>
      <c r="D3942" t="s">
        <v>23629</v>
      </c>
      <c r="E3942" t="s">
        <v>23632</v>
      </c>
    </row>
    <row r="3943" spans="1:5" x14ac:dyDescent="0.25">
      <c r="A3943" s="130" t="str">
        <f>LEFT(B3943,1)</f>
        <v>N</v>
      </c>
      <c r="B3943" t="s">
        <v>26972</v>
      </c>
      <c r="C3943">
        <v>1</v>
      </c>
      <c r="D3943" t="s">
        <v>23629</v>
      </c>
      <c r="E3943" t="s">
        <v>23632</v>
      </c>
    </row>
    <row r="3944" spans="1:5" x14ac:dyDescent="0.25">
      <c r="A3944" s="131" t="s">
        <v>26878</v>
      </c>
      <c r="B3944" t="s">
        <v>26924</v>
      </c>
      <c r="C3944">
        <v>1</v>
      </c>
      <c r="D3944" t="s">
        <v>23629</v>
      </c>
      <c r="E3944" t="s">
        <v>23632</v>
      </c>
    </row>
    <row r="3945" spans="1:5" x14ac:dyDescent="0.25">
      <c r="A3945" s="130" t="str">
        <f>LEFT(B3945,1)</f>
        <v>N</v>
      </c>
      <c r="B3945" t="s">
        <v>26973</v>
      </c>
      <c r="C3945">
        <v>1</v>
      </c>
      <c r="D3945" t="s">
        <v>23629</v>
      </c>
      <c r="E3945" t="s">
        <v>23632</v>
      </c>
    </row>
    <row r="3946" spans="1:5" x14ac:dyDescent="0.25">
      <c r="A3946" s="131" t="str">
        <f>LEFT((B3946),1)</f>
        <v>N</v>
      </c>
      <c r="B3946" t="s">
        <v>26925</v>
      </c>
      <c r="C3946">
        <v>1</v>
      </c>
      <c r="D3946" t="s">
        <v>23629</v>
      </c>
      <c r="E3946" t="s">
        <v>23632</v>
      </c>
    </row>
    <row r="3947" spans="1:5" x14ac:dyDescent="0.25">
      <c r="A3947" s="131" t="s">
        <v>26878</v>
      </c>
      <c r="B3947" t="s">
        <v>26926</v>
      </c>
      <c r="C3947">
        <v>1</v>
      </c>
      <c r="D3947" t="s">
        <v>23629</v>
      </c>
      <c r="E3947" t="s">
        <v>23632</v>
      </c>
    </row>
    <row r="3948" spans="1:5" x14ac:dyDescent="0.25">
      <c r="A3948" s="130" t="str">
        <f>LEFT(B3948,1)</f>
        <v>N</v>
      </c>
      <c r="B3948" t="s">
        <v>28568</v>
      </c>
      <c r="C3948">
        <v>1</v>
      </c>
      <c r="D3948" t="s">
        <v>23629</v>
      </c>
      <c r="E3948" t="s">
        <v>23632</v>
      </c>
    </row>
    <row r="3949" spans="1:5" x14ac:dyDescent="0.25">
      <c r="A3949" s="130" t="s">
        <v>26878</v>
      </c>
      <c r="B3949" t="s">
        <v>26927</v>
      </c>
      <c r="C3949">
        <v>1</v>
      </c>
      <c r="D3949" t="s">
        <v>23629</v>
      </c>
      <c r="E3949" t="s">
        <v>23632</v>
      </c>
    </row>
    <row r="3950" spans="1:5" x14ac:dyDescent="0.25">
      <c r="A3950" s="131" t="s">
        <v>26878</v>
      </c>
      <c r="B3950" t="s">
        <v>26928</v>
      </c>
      <c r="C3950">
        <v>1</v>
      </c>
      <c r="D3950" t="s">
        <v>23629</v>
      </c>
      <c r="E3950" t="s">
        <v>23632</v>
      </c>
    </row>
    <row r="3951" spans="1:5" x14ac:dyDescent="0.25">
      <c r="A3951" s="131" t="s">
        <v>26878</v>
      </c>
      <c r="B3951" t="s">
        <v>26929</v>
      </c>
      <c r="C3951">
        <v>1</v>
      </c>
      <c r="D3951" t="s">
        <v>23629</v>
      </c>
      <c r="E3951" t="s">
        <v>23632</v>
      </c>
    </row>
    <row r="3952" spans="1:5" x14ac:dyDescent="0.25">
      <c r="A3952" s="131" t="s">
        <v>26878</v>
      </c>
      <c r="B3952" t="s">
        <v>26930</v>
      </c>
      <c r="C3952">
        <v>1</v>
      </c>
      <c r="D3952" t="s">
        <v>23629</v>
      </c>
      <c r="E3952" t="s">
        <v>23632</v>
      </c>
    </row>
    <row r="3953" spans="1:5" x14ac:dyDescent="0.25">
      <c r="A3953" s="130" t="s">
        <v>26878</v>
      </c>
      <c r="B3953" t="s">
        <v>26931</v>
      </c>
      <c r="C3953">
        <v>1</v>
      </c>
      <c r="D3953" t="s">
        <v>23629</v>
      </c>
      <c r="E3953" t="s">
        <v>23632</v>
      </c>
    </row>
    <row r="3954" spans="1:5" x14ac:dyDescent="0.25">
      <c r="A3954" s="130" t="str">
        <f>LEFT(B3954,1)</f>
        <v>N</v>
      </c>
      <c r="B3954" t="s">
        <v>29107</v>
      </c>
      <c r="C3954">
        <v>1</v>
      </c>
      <c r="D3954" t="s">
        <v>23629</v>
      </c>
      <c r="E3954" t="s">
        <v>23632</v>
      </c>
    </row>
    <row r="3955" spans="1:5" x14ac:dyDescent="0.25">
      <c r="A3955" s="131" t="str">
        <f>LEFT(B3955,1)</f>
        <v>N</v>
      </c>
      <c r="B3955" t="s">
        <v>26964</v>
      </c>
      <c r="C3955">
        <v>1</v>
      </c>
      <c r="D3955" t="s">
        <v>23629</v>
      </c>
      <c r="E3955" t="s">
        <v>23632</v>
      </c>
    </row>
    <row r="3956" spans="1:5" x14ac:dyDescent="0.25">
      <c r="A3956" s="131" t="s">
        <v>26878</v>
      </c>
      <c r="B3956" t="s">
        <v>26932</v>
      </c>
      <c r="C3956">
        <v>1</v>
      </c>
      <c r="D3956" t="s">
        <v>23629</v>
      </c>
      <c r="E3956" t="s">
        <v>23632</v>
      </c>
    </row>
    <row r="3957" spans="1:5" x14ac:dyDescent="0.25">
      <c r="A3957" s="131" t="s">
        <v>26878</v>
      </c>
      <c r="B3957" t="s">
        <v>26933</v>
      </c>
      <c r="C3957">
        <v>1</v>
      </c>
      <c r="D3957" t="s">
        <v>23629</v>
      </c>
      <c r="E3957" t="s">
        <v>23632</v>
      </c>
    </row>
    <row r="3958" spans="1:5" x14ac:dyDescent="0.25">
      <c r="A3958" s="130" t="str">
        <f>LEFT(B3958,1)</f>
        <v>N</v>
      </c>
      <c r="B3958" t="s">
        <v>26974</v>
      </c>
      <c r="C3958">
        <v>1</v>
      </c>
      <c r="D3958" t="s">
        <v>23629</v>
      </c>
      <c r="E3958" t="s">
        <v>23632</v>
      </c>
    </row>
    <row r="3959" spans="1:5" x14ac:dyDescent="0.25">
      <c r="A3959" s="130" t="s">
        <v>26878</v>
      </c>
      <c r="B3959" t="s">
        <v>26934</v>
      </c>
      <c r="C3959">
        <v>1</v>
      </c>
      <c r="D3959" t="s">
        <v>23629</v>
      </c>
      <c r="E3959" t="s">
        <v>23632</v>
      </c>
    </row>
    <row r="3960" spans="1:5" x14ac:dyDescent="0.25">
      <c r="A3960" s="131" t="s">
        <v>26878</v>
      </c>
      <c r="B3960" t="s">
        <v>26935</v>
      </c>
      <c r="C3960">
        <v>1</v>
      </c>
      <c r="D3960" t="s">
        <v>23629</v>
      </c>
      <c r="E3960" t="s">
        <v>23632</v>
      </c>
    </row>
    <row r="3961" spans="1:5" x14ac:dyDescent="0.25">
      <c r="A3961" s="130" t="s">
        <v>26878</v>
      </c>
      <c r="B3961" t="s">
        <v>26936</v>
      </c>
      <c r="C3961">
        <v>1</v>
      </c>
      <c r="D3961" t="s">
        <v>23629</v>
      </c>
      <c r="E3961" t="s">
        <v>23632</v>
      </c>
    </row>
    <row r="3962" spans="1:5" x14ac:dyDescent="0.25">
      <c r="A3962" s="130" t="str">
        <f>LEFT(B3962,1)</f>
        <v>N</v>
      </c>
      <c r="B3962" t="s">
        <v>26975</v>
      </c>
      <c r="C3962">
        <v>1</v>
      </c>
      <c r="D3962" t="s">
        <v>23629</v>
      </c>
      <c r="E3962" t="s">
        <v>23632</v>
      </c>
    </row>
    <row r="3963" spans="1:5" x14ac:dyDescent="0.25">
      <c r="A3963" s="131" t="s">
        <v>26878</v>
      </c>
      <c r="B3963" t="s">
        <v>26937</v>
      </c>
      <c r="C3963">
        <v>1</v>
      </c>
      <c r="D3963" t="s">
        <v>23629</v>
      </c>
      <c r="E3963" t="s">
        <v>23632</v>
      </c>
    </row>
    <row r="3964" spans="1:5" x14ac:dyDescent="0.25">
      <c r="A3964" s="130" t="s">
        <v>26878</v>
      </c>
      <c r="B3964" t="s">
        <v>26938</v>
      </c>
      <c r="C3964">
        <v>1</v>
      </c>
      <c r="D3964" t="s">
        <v>23629</v>
      </c>
      <c r="E3964" t="s">
        <v>23632</v>
      </c>
    </row>
    <row r="3965" spans="1:5" x14ac:dyDescent="0.25">
      <c r="A3965" s="130" t="str">
        <f>LEFT((B3965),1)</f>
        <v>N</v>
      </c>
      <c r="B3965" t="s">
        <v>26939</v>
      </c>
      <c r="C3965">
        <v>1</v>
      </c>
      <c r="D3965" t="s">
        <v>23629</v>
      </c>
      <c r="E3965" t="s">
        <v>23632</v>
      </c>
    </row>
    <row r="3966" spans="1:5" x14ac:dyDescent="0.25">
      <c r="A3966" s="131" t="s">
        <v>26878</v>
      </c>
      <c r="B3966" t="s">
        <v>26940</v>
      </c>
      <c r="C3966">
        <v>1</v>
      </c>
      <c r="D3966" t="s">
        <v>23629</v>
      </c>
      <c r="E3966" t="s">
        <v>23632</v>
      </c>
    </row>
    <row r="3967" spans="1:5" x14ac:dyDescent="0.25">
      <c r="A3967" s="130" t="str">
        <f>LEFT(B3967,1)</f>
        <v>N</v>
      </c>
      <c r="B3967" t="s">
        <v>29108</v>
      </c>
      <c r="C3967">
        <v>1</v>
      </c>
      <c r="D3967" t="s">
        <v>23629</v>
      </c>
      <c r="E3967" t="s">
        <v>23632</v>
      </c>
    </row>
    <row r="3968" spans="1:5" x14ac:dyDescent="0.25">
      <c r="A3968" s="130" t="s">
        <v>26878</v>
      </c>
      <c r="B3968" t="s">
        <v>26941</v>
      </c>
      <c r="C3968">
        <v>1</v>
      </c>
      <c r="D3968" t="s">
        <v>23629</v>
      </c>
      <c r="E3968" t="s">
        <v>23632</v>
      </c>
    </row>
    <row r="3969" spans="1:5" x14ac:dyDescent="0.25">
      <c r="A3969" s="130" t="str">
        <f>LEFT(B3969,1)</f>
        <v>N</v>
      </c>
      <c r="B3969" t="s">
        <v>28569</v>
      </c>
      <c r="C3969">
        <v>1</v>
      </c>
      <c r="D3969" t="s">
        <v>23629</v>
      </c>
      <c r="E3969" t="s">
        <v>23632</v>
      </c>
    </row>
    <row r="3970" spans="1:5" x14ac:dyDescent="0.25">
      <c r="A3970" s="130" t="str">
        <f>LEFT(B3970,1)</f>
        <v>N</v>
      </c>
      <c r="B3970" t="s">
        <v>28851</v>
      </c>
      <c r="C3970">
        <v>1</v>
      </c>
      <c r="D3970" t="s">
        <v>23629</v>
      </c>
      <c r="E3970" t="s">
        <v>23632</v>
      </c>
    </row>
    <row r="3971" spans="1:5" x14ac:dyDescent="0.25">
      <c r="A3971" s="130" t="str">
        <f>LEFT(B3971,1)</f>
        <v>N</v>
      </c>
      <c r="B3971" t="s">
        <v>28852</v>
      </c>
      <c r="C3971">
        <v>1</v>
      </c>
      <c r="D3971" t="s">
        <v>23629</v>
      </c>
      <c r="E3971" t="s">
        <v>23632</v>
      </c>
    </row>
    <row r="3972" spans="1:5" x14ac:dyDescent="0.25">
      <c r="A3972" s="131" t="str">
        <f>LEFT(B3972,1)</f>
        <v>N</v>
      </c>
      <c r="B3972" t="s">
        <v>26982</v>
      </c>
      <c r="C3972">
        <v>1</v>
      </c>
      <c r="D3972" t="s">
        <v>23629</v>
      </c>
      <c r="E3972" t="s">
        <v>23632</v>
      </c>
    </row>
    <row r="3973" spans="1:5" x14ac:dyDescent="0.25">
      <c r="A3973" s="130" t="s">
        <v>26878</v>
      </c>
      <c r="B3973" t="s">
        <v>26942</v>
      </c>
      <c r="C3973">
        <v>1</v>
      </c>
      <c r="D3973" t="s">
        <v>23629</v>
      </c>
      <c r="E3973" t="s">
        <v>23632</v>
      </c>
    </row>
    <row r="3974" spans="1:5" x14ac:dyDescent="0.25">
      <c r="A3974" s="130" t="str">
        <f>LEFT(B3974,1)</f>
        <v>N</v>
      </c>
      <c r="B3974" t="s">
        <v>26983</v>
      </c>
      <c r="C3974">
        <v>1</v>
      </c>
      <c r="D3974" t="s">
        <v>23629</v>
      </c>
      <c r="E3974" t="s">
        <v>23632</v>
      </c>
    </row>
    <row r="3975" spans="1:5" x14ac:dyDescent="0.25">
      <c r="A3975" s="131" t="s">
        <v>26878</v>
      </c>
      <c r="B3975" t="s">
        <v>26943</v>
      </c>
      <c r="C3975">
        <v>1</v>
      </c>
      <c r="D3975" t="s">
        <v>23629</v>
      </c>
      <c r="E3975" t="s">
        <v>23632</v>
      </c>
    </row>
    <row r="3976" spans="1:5" x14ac:dyDescent="0.25">
      <c r="A3976" s="131" t="s">
        <v>26878</v>
      </c>
      <c r="B3976" t="s">
        <v>26944</v>
      </c>
      <c r="C3976">
        <v>1</v>
      </c>
      <c r="D3976" t="s">
        <v>23629</v>
      </c>
      <c r="E3976" t="s">
        <v>23632</v>
      </c>
    </row>
    <row r="3977" spans="1:5" x14ac:dyDescent="0.25">
      <c r="A3977" s="130" t="str">
        <f>LEFT(B3977,1)</f>
        <v>N</v>
      </c>
      <c r="B3977" t="s">
        <v>28853</v>
      </c>
      <c r="C3977">
        <v>1</v>
      </c>
      <c r="D3977" t="s">
        <v>23629</v>
      </c>
      <c r="E3977" t="s">
        <v>23632</v>
      </c>
    </row>
    <row r="3978" spans="1:5" x14ac:dyDescent="0.25">
      <c r="A3978" s="131" t="s">
        <v>26878</v>
      </c>
      <c r="B3978" t="s">
        <v>26945</v>
      </c>
      <c r="C3978">
        <v>1</v>
      </c>
      <c r="D3978" t="s">
        <v>23629</v>
      </c>
      <c r="E3978" t="s">
        <v>23632</v>
      </c>
    </row>
    <row r="3979" spans="1:5" x14ac:dyDescent="0.25">
      <c r="A3979" s="131" t="str">
        <f>LEFT(B3979,1)</f>
        <v>N</v>
      </c>
      <c r="B3979" t="s">
        <v>26984</v>
      </c>
      <c r="C3979">
        <v>1</v>
      </c>
      <c r="D3979" t="s">
        <v>23629</v>
      </c>
      <c r="E3979" t="s">
        <v>23632</v>
      </c>
    </row>
    <row r="3980" spans="1:5" x14ac:dyDescent="0.25">
      <c r="A3980" s="130" t="s">
        <v>26878</v>
      </c>
      <c r="B3980" t="s">
        <v>26946</v>
      </c>
      <c r="C3980">
        <v>1</v>
      </c>
      <c r="D3980" t="s">
        <v>23629</v>
      </c>
      <c r="E3980" t="s">
        <v>23632</v>
      </c>
    </row>
    <row r="3981" spans="1:5" x14ac:dyDescent="0.25">
      <c r="A3981" s="131" t="s">
        <v>26878</v>
      </c>
      <c r="B3981" t="s">
        <v>26947</v>
      </c>
      <c r="C3981">
        <v>1</v>
      </c>
      <c r="D3981" t="s">
        <v>23629</v>
      </c>
      <c r="E3981" t="s">
        <v>23632</v>
      </c>
    </row>
    <row r="3982" spans="1:5" x14ac:dyDescent="0.25">
      <c r="A3982" s="130" t="s">
        <v>26878</v>
      </c>
      <c r="B3982" t="s">
        <v>26948</v>
      </c>
      <c r="C3982">
        <v>1</v>
      </c>
      <c r="D3982" t="s">
        <v>23629</v>
      </c>
      <c r="E3982" t="s">
        <v>23632</v>
      </c>
    </row>
    <row r="3983" spans="1:5" x14ac:dyDescent="0.25">
      <c r="A3983" s="131" t="str">
        <f>LEFT((B3983),1)</f>
        <v>N</v>
      </c>
      <c r="B3983" t="s">
        <v>26949</v>
      </c>
      <c r="C3983">
        <v>1</v>
      </c>
      <c r="D3983" t="s">
        <v>23629</v>
      </c>
      <c r="E3983" t="s">
        <v>23632</v>
      </c>
    </row>
    <row r="3984" spans="1:5" x14ac:dyDescent="0.25">
      <c r="A3984" s="131" t="s">
        <v>26878</v>
      </c>
      <c r="B3984" t="s">
        <v>26950</v>
      </c>
      <c r="C3984">
        <v>1</v>
      </c>
      <c r="D3984" t="s">
        <v>23629</v>
      </c>
      <c r="E3984" t="s">
        <v>23632</v>
      </c>
    </row>
    <row r="3985" spans="1:5" x14ac:dyDescent="0.25">
      <c r="A3985" s="130" t="s">
        <v>26878</v>
      </c>
      <c r="B3985" t="s">
        <v>26951</v>
      </c>
      <c r="C3985">
        <v>1</v>
      </c>
      <c r="D3985" t="s">
        <v>23629</v>
      </c>
      <c r="E3985" t="s">
        <v>23632</v>
      </c>
    </row>
    <row r="3986" spans="1:5" x14ac:dyDescent="0.25">
      <c r="A3986" s="131" t="s">
        <v>26878</v>
      </c>
      <c r="B3986" t="s">
        <v>26952</v>
      </c>
      <c r="C3986">
        <v>1</v>
      </c>
      <c r="D3986" t="s">
        <v>23629</v>
      </c>
      <c r="E3986" t="s">
        <v>23632</v>
      </c>
    </row>
    <row r="3987" spans="1:5" x14ac:dyDescent="0.25">
      <c r="A3987" s="130" t="str">
        <f>LEFT(B3987,1)</f>
        <v>N</v>
      </c>
      <c r="B3987" t="s">
        <v>26985</v>
      </c>
      <c r="C3987">
        <v>1</v>
      </c>
      <c r="D3987" t="s">
        <v>23629</v>
      </c>
      <c r="E3987" t="s">
        <v>23632</v>
      </c>
    </row>
    <row r="3988" spans="1:5" x14ac:dyDescent="0.25">
      <c r="A3988" s="130" t="str">
        <f>LEFT(B3988,1)</f>
        <v>N</v>
      </c>
      <c r="B3988" t="s">
        <v>28570</v>
      </c>
      <c r="C3988">
        <v>1</v>
      </c>
      <c r="D3988" t="s">
        <v>23629</v>
      </c>
      <c r="E3988" t="s">
        <v>23632</v>
      </c>
    </row>
    <row r="3989" spans="1:5" x14ac:dyDescent="0.25">
      <c r="A3989" s="130" t="str">
        <f>LEFT(B3989,1)</f>
        <v>N</v>
      </c>
      <c r="B3989" t="s">
        <v>29109</v>
      </c>
      <c r="C3989">
        <v>1</v>
      </c>
      <c r="D3989" t="s">
        <v>23629</v>
      </c>
      <c r="E3989" t="s">
        <v>23632</v>
      </c>
    </row>
    <row r="3990" spans="1:5" x14ac:dyDescent="0.25">
      <c r="A3990" s="130" t="str">
        <f>LEFT(B3990,1)</f>
        <v>N</v>
      </c>
      <c r="B3990" t="s">
        <v>29110</v>
      </c>
      <c r="C3990">
        <v>1</v>
      </c>
      <c r="D3990" t="s">
        <v>23629</v>
      </c>
      <c r="E3990" t="s">
        <v>23632</v>
      </c>
    </row>
    <row r="3991" spans="1:5" x14ac:dyDescent="0.25">
      <c r="A3991" s="130" t="str">
        <f>LEFT(B3991,1)</f>
        <v>N</v>
      </c>
      <c r="B3991" t="s">
        <v>29263</v>
      </c>
      <c r="C3991">
        <v>1</v>
      </c>
      <c r="D3991" t="s">
        <v>23629</v>
      </c>
      <c r="E3991" t="s">
        <v>23632</v>
      </c>
    </row>
    <row r="3992" spans="1:5" x14ac:dyDescent="0.25">
      <c r="A3992" s="131" t="s">
        <v>26878</v>
      </c>
      <c r="B3992" t="s">
        <v>26953</v>
      </c>
      <c r="C3992">
        <v>1</v>
      </c>
      <c r="D3992" t="s">
        <v>23629</v>
      </c>
      <c r="E3992" t="s">
        <v>23632</v>
      </c>
    </row>
    <row r="3993" spans="1:5" x14ac:dyDescent="0.25">
      <c r="A3993" s="130" t="s">
        <v>26878</v>
      </c>
      <c r="B3993" t="s">
        <v>26954</v>
      </c>
      <c r="C3993">
        <v>1</v>
      </c>
      <c r="D3993" t="s">
        <v>23629</v>
      </c>
      <c r="E3993" t="s">
        <v>23632</v>
      </c>
    </row>
    <row r="3994" spans="1:5" x14ac:dyDescent="0.25">
      <c r="A3994" s="131" t="s">
        <v>26878</v>
      </c>
      <c r="B3994" t="s">
        <v>26955</v>
      </c>
      <c r="C3994">
        <v>1</v>
      </c>
      <c r="D3994" t="s">
        <v>23629</v>
      </c>
      <c r="E3994" t="s">
        <v>23632</v>
      </c>
    </row>
    <row r="3995" spans="1:5" x14ac:dyDescent="0.25">
      <c r="A3995" s="130" t="s">
        <v>26878</v>
      </c>
      <c r="B3995" t="s">
        <v>26956</v>
      </c>
      <c r="C3995">
        <v>1</v>
      </c>
      <c r="D3995" t="s">
        <v>23629</v>
      </c>
      <c r="E3995" t="s">
        <v>23632</v>
      </c>
    </row>
    <row r="3996" spans="1:5" x14ac:dyDescent="0.25">
      <c r="A3996" s="130" t="str">
        <f>LEFT(B3996,1)</f>
        <v>N</v>
      </c>
      <c r="B3996" t="s">
        <v>26965</v>
      </c>
      <c r="C3996">
        <v>1</v>
      </c>
      <c r="D3996" t="s">
        <v>23629</v>
      </c>
      <c r="E3996" t="s">
        <v>23632</v>
      </c>
    </row>
    <row r="3997" spans="1:5" x14ac:dyDescent="0.25">
      <c r="A3997" s="131" t="s">
        <v>26878</v>
      </c>
      <c r="B3997" t="s">
        <v>26957</v>
      </c>
      <c r="C3997">
        <v>1</v>
      </c>
      <c r="D3997" t="s">
        <v>23629</v>
      </c>
      <c r="E3997" t="s">
        <v>23632</v>
      </c>
    </row>
    <row r="3998" spans="1:5" x14ac:dyDescent="0.25">
      <c r="A3998" s="130" t="s">
        <v>26878</v>
      </c>
      <c r="B3998" t="s">
        <v>26958</v>
      </c>
      <c r="C3998">
        <v>1</v>
      </c>
      <c r="D3998" t="s">
        <v>23629</v>
      </c>
      <c r="E3998" t="s">
        <v>23632</v>
      </c>
    </row>
    <row r="3999" spans="1:5" x14ac:dyDescent="0.25">
      <c r="A3999" s="130" t="str">
        <f>LEFT(B3999,1)</f>
        <v>N</v>
      </c>
      <c r="B3999" t="s">
        <v>28571</v>
      </c>
      <c r="C3999">
        <v>1</v>
      </c>
      <c r="D3999" t="s">
        <v>23629</v>
      </c>
      <c r="E3999" t="s">
        <v>23632</v>
      </c>
    </row>
    <row r="4000" spans="1:5" x14ac:dyDescent="0.25">
      <c r="A4000" s="131" t="s">
        <v>26878</v>
      </c>
      <c r="B4000" t="s">
        <v>26959</v>
      </c>
      <c r="C4000">
        <v>1</v>
      </c>
      <c r="D4000" t="s">
        <v>23629</v>
      </c>
      <c r="E4000" t="s">
        <v>23632</v>
      </c>
    </row>
    <row r="4001" spans="1:5" x14ac:dyDescent="0.25">
      <c r="A4001" s="130" t="s">
        <v>26986</v>
      </c>
      <c r="B4001" t="s">
        <v>26987</v>
      </c>
      <c r="C4001">
        <v>1</v>
      </c>
      <c r="D4001" t="s">
        <v>23629</v>
      </c>
      <c r="E4001" t="s">
        <v>23632</v>
      </c>
    </row>
    <row r="4002" spans="1:5" x14ac:dyDescent="0.25">
      <c r="A4002" s="131" t="s">
        <v>26986</v>
      </c>
      <c r="B4002" t="s">
        <v>26988</v>
      </c>
      <c r="C4002">
        <v>1</v>
      </c>
      <c r="D4002" t="s">
        <v>23629</v>
      </c>
      <c r="E4002" t="s">
        <v>23632</v>
      </c>
    </row>
    <row r="4003" spans="1:5" x14ac:dyDescent="0.25">
      <c r="A4003" s="131" t="s">
        <v>26986</v>
      </c>
      <c r="B4003" t="s">
        <v>26989</v>
      </c>
      <c r="C4003">
        <v>1</v>
      </c>
      <c r="D4003" t="s">
        <v>23629</v>
      </c>
      <c r="E4003" t="s">
        <v>23632</v>
      </c>
    </row>
    <row r="4004" spans="1:5" x14ac:dyDescent="0.25">
      <c r="A4004" s="131" t="str">
        <f>LEFT(B4004,1)</f>
        <v>O</v>
      </c>
      <c r="B4004" t="s">
        <v>27059</v>
      </c>
      <c r="C4004">
        <v>1</v>
      </c>
      <c r="D4004" t="s">
        <v>23629</v>
      </c>
      <c r="E4004" t="s">
        <v>23632</v>
      </c>
    </row>
    <row r="4005" spans="1:5" x14ac:dyDescent="0.25">
      <c r="A4005" s="130" t="s">
        <v>26986</v>
      </c>
      <c r="B4005" t="s">
        <v>26990</v>
      </c>
      <c r="C4005">
        <v>1</v>
      </c>
      <c r="D4005" t="s">
        <v>23629</v>
      </c>
      <c r="E4005" t="s">
        <v>23632</v>
      </c>
    </row>
    <row r="4006" spans="1:5" x14ac:dyDescent="0.25">
      <c r="A4006" s="130" t="str">
        <f>LEFT(B4006,1)</f>
        <v>O</v>
      </c>
      <c r="B4006" t="s">
        <v>28854</v>
      </c>
      <c r="C4006">
        <v>1</v>
      </c>
      <c r="D4006" t="s">
        <v>23629</v>
      </c>
      <c r="E4006" t="s">
        <v>23632</v>
      </c>
    </row>
    <row r="4007" spans="1:5" x14ac:dyDescent="0.25">
      <c r="A4007" s="130" t="s">
        <v>26986</v>
      </c>
      <c r="B4007" t="s">
        <v>26991</v>
      </c>
      <c r="C4007">
        <v>1</v>
      </c>
      <c r="D4007" t="s">
        <v>23629</v>
      </c>
      <c r="E4007" t="s">
        <v>23632</v>
      </c>
    </row>
    <row r="4008" spans="1:5" x14ac:dyDescent="0.25">
      <c r="A4008" s="130" t="str">
        <f>LEFT(B4008,1)</f>
        <v>O</v>
      </c>
      <c r="B4008" t="s">
        <v>29111</v>
      </c>
      <c r="C4008">
        <v>1</v>
      </c>
      <c r="D4008" t="s">
        <v>23629</v>
      </c>
      <c r="E4008" t="s">
        <v>23632</v>
      </c>
    </row>
    <row r="4009" spans="1:5" x14ac:dyDescent="0.25">
      <c r="A4009" s="131" t="s">
        <v>26986</v>
      </c>
      <c r="B4009" t="s">
        <v>26992</v>
      </c>
      <c r="C4009">
        <v>1</v>
      </c>
      <c r="D4009" t="s">
        <v>23629</v>
      </c>
      <c r="E4009" t="s">
        <v>23632</v>
      </c>
    </row>
    <row r="4010" spans="1:5" x14ac:dyDescent="0.25">
      <c r="A4010" s="130" t="s">
        <v>26986</v>
      </c>
      <c r="B4010" t="s">
        <v>26993</v>
      </c>
      <c r="C4010">
        <v>1</v>
      </c>
      <c r="D4010" t="s">
        <v>23629</v>
      </c>
      <c r="E4010" t="s">
        <v>23632</v>
      </c>
    </row>
    <row r="4011" spans="1:5" x14ac:dyDescent="0.25">
      <c r="A4011" s="130" t="str">
        <f>LEFT(B4011,1)</f>
        <v>O</v>
      </c>
      <c r="B4011" t="s">
        <v>28572</v>
      </c>
      <c r="C4011">
        <v>1</v>
      </c>
      <c r="D4011" t="s">
        <v>23629</v>
      </c>
      <c r="E4011" t="s">
        <v>23632</v>
      </c>
    </row>
    <row r="4012" spans="1:5" x14ac:dyDescent="0.25">
      <c r="A4012" s="131" t="s">
        <v>26986</v>
      </c>
      <c r="B4012" t="s">
        <v>26994</v>
      </c>
      <c r="C4012">
        <v>1</v>
      </c>
      <c r="D4012" t="s">
        <v>23629</v>
      </c>
      <c r="E4012" t="s">
        <v>23632</v>
      </c>
    </row>
    <row r="4013" spans="1:5" x14ac:dyDescent="0.25">
      <c r="A4013" s="130" t="s">
        <v>26986</v>
      </c>
      <c r="B4013" t="s">
        <v>26995</v>
      </c>
      <c r="C4013">
        <v>1</v>
      </c>
      <c r="D4013" t="s">
        <v>23629</v>
      </c>
      <c r="E4013" t="s">
        <v>23632</v>
      </c>
    </row>
    <row r="4014" spans="1:5" x14ac:dyDescent="0.25">
      <c r="A4014" s="130" t="s">
        <v>26986</v>
      </c>
      <c r="B4014" t="s">
        <v>26996</v>
      </c>
      <c r="C4014">
        <v>1</v>
      </c>
      <c r="D4014" t="s">
        <v>23629</v>
      </c>
      <c r="E4014" t="s">
        <v>23632</v>
      </c>
    </row>
    <row r="4015" spans="1:5" x14ac:dyDescent="0.25">
      <c r="A4015" s="131" t="s">
        <v>26986</v>
      </c>
      <c r="B4015" t="s">
        <v>26997</v>
      </c>
      <c r="C4015">
        <v>1</v>
      </c>
      <c r="D4015" t="s">
        <v>23629</v>
      </c>
      <c r="E4015" t="s">
        <v>23632</v>
      </c>
    </row>
    <row r="4016" spans="1:5" x14ac:dyDescent="0.25">
      <c r="A4016" s="131" t="s">
        <v>26986</v>
      </c>
      <c r="B4016" t="s">
        <v>26998</v>
      </c>
      <c r="C4016">
        <v>1</v>
      </c>
      <c r="D4016" t="s">
        <v>23629</v>
      </c>
      <c r="E4016" t="s">
        <v>23632</v>
      </c>
    </row>
    <row r="4017" spans="1:5" x14ac:dyDescent="0.25">
      <c r="A4017" s="130" t="str">
        <f>LEFT(B4017,1)</f>
        <v>O</v>
      </c>
      <c r="B4017" t="s">
        <v>27061</v>
      </c>
      <c r="C4017">
        <v>1</v>
      </c>
      <c r="D4017" t="s">
        <v>23629</v>
      </c>
      <c r="E4017" t="s">
        <v>23632</v>
      </c>
    </row>
    <row r="4018" spans="1:5" x14ac:dyDescent="0.25">
      <c r="A4018" s="130" t="s">
        <v>26986</v>
      </c>
      <c r="B4018" t="s">
        <v>26999</v>
      </c>
      <c r="C4018">
        <v>1</v>
      </c>
      <c r="D4018" t="s">
        <v>23629</v>
      </c>
      <c r="E4018" t="s">
        <v>23632</v>
      </c>
    </row>
    <row r="4019" spans="1:5" x14ac:dyDescent="0.25">
      <c r="A4019" s="130" t="s">
        <v>26986</v>
      </c>
      <c r="B4019" t="s">
        <v>27000</v>
      </c>
      <c r="C4019">
        <v>1</v>
      </c>
      <c r="D4019" t="s">
        <v>23629</v>
      </c>
      <c r="E4019" t="s">
        <v>23632</v>
      </c>
    </row>
    <row r="4020" spans="1:5" x14ac:dyDescent="0.25">
      <c r="A4020" s="130" t="s">
        <v>26986</v>
      </c>
      <c r="B4020" t="s">
        <v>27001</v>
      </c>
      <c r="C4020">
        <v>1</v>
      </c>
      <c r="D4020" t="s">
        <v>23629</v>
      </c>
      <c r="E4020" t="s">
        <v>23632</v>
      </c>
    </row>
    <row r="4021" spans="1:5" x14ac:dyDescent="0.25">
      <c r="A4021" s="130" t="str">
        <f>LEFT(B4021,1)</f>
        <v>O</v>
      </c>
      <c r="B4021" t="s">
        <v>28573</v>
      </c>
      <c r="C4021">
        <v>1</v>
      </c>
      <c r="D4021" t="s">
        <v>23629</v>
      </c>
      <c r="E4021" t="s">
        <v>23632</v>
      </c>
    </row>
    <row r="4022" spans="1:5" x14ac:dyDescent="0.25">
      <c r="A4022" s="131" t="s">
        <v>26986</v>
      </c>
      <c r="B4022" t="s">
        <v>27002</v>
      </c>
      <c r="C4022">
        <v>1</v>
      </c>
      <c r="D4022" t="s">
        <v>23629</v>
      </c>
      <c r="E4022" t="s">
        <v>23632</v>
      </c>
    </row>
    <row r="4023" spans="1:5" x14ac:dyDescent="0.25">
      <c r="A4023" s="130" t="str">
        <f>LEFT(B4023,1)</f>
        <v>O</v>
      </c>
      <c r="B4023" t="s">
        <v>28855</v>
      </c>
      <c r="C4023">
        <v>1</v>
      </c>
      <c r="D4023" t="s">
        <v>23629</v>
      </c>
      <c r="E4023" t="s">
        <v>23632</v>
      </c>
    </row>
    <row r="4024" spans="1:5" x14ac:dyDescent="0.25">
      <c r="A4024" s="130" t="s">
        <v>26986</v>
      </c>
      <c r="B4024" t="s">
        <v>27003</v>
      </c>
      <c r="C4024">
        <v>1</v>
      </c>
      <c r="D4024" t="s">
        <v>23629</v>
      </c>
      <c r="E4024" t="s">
        <v>23632</v>
      </c>
    </row>
    <row r="4025" spans="1:5" x14ac:dyDescent="0.25">
      <c r="A4025" s="130" t="s">
        <v>26986</v>
      </c>
      <c r="B4025" t="s">
        <v>27004</v>
      </c>
      <c r="C4025">
        <v>1.21</v>
      </c>
      <c r="D4025" t="s">
        <v>23629</v>
      </c>
      <c r="E4025" t="s">
        <v>23881</v>
      </c>
    </row>
    <row r="4026" spans="1:5" x14ac:dyDescent="0.25">
      <c r="A4026" s="130" t="str">
        <f>LEFT(B4026,1)</f>
        <v>O</v>
      </c>
      <c r="B4026" t="s">
        <v>27062</v>
      </c>
      <c r="C4026">
        <v>1</v>
      </c>
      <c r="D4026" t="s">
        <v>23629</v>
      </c>
      <c r="E4026" t="s">
        <v>23632</v>
      </c>
    </row>
    <row r="4027" spans="1:5" x14ac:dyDescent="0.25">
      <c r="A4027" s="131" t="str">
        <f>LEFT(B4027,1)</f>
        <v>O</v>
      </c>
      <c r="B4027" t="s">
        <v>27065</v>
      </c>
      <c r="C4027">
        <v>1</v>
      </c>
      <c r="D4027" t="s">
        <v>23629</v>
      </c>
      <c r="E4027" t="s">
        <v>23632</v>
      </c>
    </row>
    <row r="4028" spans="1:5" x14ac:dyDescent="0.25">
      <c r="A4028" s="131" t="s">
        <v>26986</v>
      </c>
      <c r="B4028" t="s">
        <v>27005</v>
      </c>
      <c r="C4028">
        <v>1</v>
      </c>
      <c r="D4028" t="s">
        <v>23629</v>
      </c>
      <c r="E4028" t="s">
        <v>23632</v>
      </c>
    </row>
    <row r="4029" spans="1:5" x14ac:dyDescent="0.25">
      <c r="A4029" s="130" t="str">
        <f>LEFT((B4029),1)</f>
        <v>O</v>
      </c>
      <c r="B4029" t="s">
        <v>27006</v>
      </c>
      <c r="C4029">
        <v>1</v>
      </c>
      <c r="D4029" t="s">
        <v>23629</v>
      </c>
      <c r="E4029" t="s">
        <v>23632</v>
      </c>
    </row>
    <row r="4030" spans="1:5" x14ac:dyDescent="0.25">
      <c r="A4030" s="131" t="s">
        <v>26986</v>
      </c>
      <c r="B4030" t="s">
        <v>27007</v>
      </c>
      <c r="C4030">
        <v>1</v>
      </c>
      <c r="D4030" t="s">
        <v>23629</v>
      </c>
      <c r="E4030" t="s">
        <v>23632</v>
      </c>
    </row>
    <row r="4031" spans="1:5" x14ac:dyDescent="0.25">
      <c r="A4031" s="130" t="s">
        <v>26986</v>
      </c>
      <c r="B4031" t="s">
        <v>27008</v>
      </c>
      <c r="C4031">
        <v>1.1000000000000001</v>
      </c>
      <c r="D4031" t="s">
        <v>23629</v>
      </c>
      <c r="E4031" t="s">
        <v>23881</v>
      </c>
    </row>
    <row r="4032" spans="1:5" x14ac:dyDescent="0.25">
      <c r="A4032" s="131" t="s">
        <v>26986</v>
      </c>
      <c r="B4032" t="s">
        <v>27009</v>
      </c>
      <c r="C4032">
        <v>1</v>
      </c>
      <c r="D4032" t="s">
        <v>23629</v>
      </c>
      <c r="E4032" t="s">
        <v>23632</v>
      </c>
    </row>
    <row r="4033" spans="1:5" x14ac:dyDescent="0.25">
      <c r="A4033" s="131" t="s">
        <v>26986</v>
      </c>
      <c r="B4033" t="s">
        <v>27010</v>
      </c>
      <c r="C4033">
        <v>1</v>
      </c>
      <c r="D4033" t="s">
        <v>23629</v>
      </c>
      <c r="E4033" t="s">
        <v>23632</v>
      </c>
    </row>
    <row r="4034" spans="1:5" x14ac:dyDescent="0.25">
      <c r="A4034" s="131" t="s">
        <v>26986</v>
      </c>
      <c r="B4034" t="s">
        <v>27011</v>
      </c>
      <c r="C4034">
        <v>1</v>
      </c>
      <c r="D4034" t="s">
        <v>23629</v>
      </c>
      <c r="E4034" t="s">
        <v>23632</v>
      </c>
    </row>
    <row r="4035" spans="1:5" x14ac:dyDescent="0.25">
      <c r="A4035" s="130" t="s">
        <v>26986</v>
      </c>
      <c r="B4035" t="s">
        <v>27012</v>
      </c>
      <c r="C4035">
        <v>1</v>
      </c>
      <c r="D4035" t="s">
        <v>23629</v>
      </c>
      <c r="E4035" t="s">
        <v>23632</v>
      </c>
    </row>
    <row r="4036" spans="1:5" x14ac:dyDescent="0.25">
      <c r="A4036" s="131" t="s">
        <v>26986</v>
      </c>
      <c r="B4036" t="s">
        <v>27013</v>
      </c>
      <c r="C4036">
        <v>1</v>
      </c>
      <c r="D4036" t="s">
        <v>23629</v>
      </c>
      <c r="E4036" t="s">
        <v>23632</v>
      </c>
    </row>
    <row r="4037" spans="1:5" x14ac:dyDescent="0.25">
      <c r="A4037" s="131" t="s">
        <v>26986</v>
      </c>
      <c r="B4037" t="s">
        <v>27014</v>
      </c>
      <c r="C4037">
        <v>1</v>
      </c>
      <c r="D4037" t="s">
        <v>23629</v>
      </c>
      <c r="E4037" t="s">
        <v>23632</v>
      </c>
    </row>
    <row r="4038" spans="1:5" x14ac:dyDescent="0.25">
      <c r="A4038" s="130" t="str">
        <f>LEFT(B4038,1)</f>
        <v>O</v>
      </c>
      <c r="B4038" t="s">
        <v>28856</v>
      </c>
      <c r="C4038">
        <v>1</v>
      </c>
      <c r="D4038" t="s">
        <v>23629</v>
      </c>
      <c r="E4038" t="s">
        <v>23632</v>
      </c>
    </row>
    <row r="4039" spans="1:5" x14ac:dyDescent="0.25">
      <c r="A4039" s="130" t="str">
        <f>LEFT(B4039,1)</f>
        <v>O</v>
      </c>
      <c r="B4039" t="s">
        <v>29112</v>
      </c>
      <c r="C4039">
        <v>1</v>
      </c>
      <c r="D4039" t="s">
        <v>23629</v>
      </c>
      <c r="E4039" t="s">
        <v>23632</v>
      </c>
    </row>
    <row r="4040" spans="1:5" x14ac:dyDescent="0.25">
      <c r="A4040" s="130" t="s">
        <v>26986</v>
      </c>
      <c r="B4040" t="s">
        <v>27015</v>
      </c>
      <c r="C4040">
        <v>1</v>
      </c>
      <c r="D4040" t="s">
        <v>23629</v>
      </c>
      <c r="E4040" t="s">
        <v>23632</v>
      </c>
    </row>
    <row r="4041" spans="1:5" x14ac:dyDescent="0.25">
      <c r="A4041" s="131" t="s">
        <v>26986</v>
      </c>
      <c r="B4041" t="s">
        <v>27016</v>
      </c>
      <c r="C4041">
        <v>1</v>
      </c>
      <c r="D4041" t="s">
        <v>23629</v>
      </c>
      <c r="E4041" t="s">
        <v>23632</v>
      </c>
    </row>
    <row r="4042" spans="1:5" x14ac:dyDescent="0.25">
      <c r="A4042" s="131" t="s">
        <v>26986</v>
      </c>
      <c r="B4042" t="s">
        <v>27017</v>
      </c>
      <c r="C4042">
        <v>1</v>
      </c>
      <c r="D4042" t="s">
        <v>23629</v>
      </c>
      <c r="E4042" t="s">
        <v>23632</v>
      </c>
    </row>
    <row r="4043" spans="1:5" x14ac:dyDescent="0.25">
      <c r="A4043" s="130" t="s">
        <v>26986</v>
      </c>
      <c r="B4043" t="s">
        <v>27018</v>
      </c>
      <c r="C4043">
        <v>1</v>
      </c>
      <c r="D4043" t="s">
        <v>23629</v>
      </c>
      <c r="E4043" t="s">
        <v>23632</v>
      </c>
    </row>
    <row r="4044" spans="1:5" x14ac:dyDescent="0.25">
      <c r="A4044" s="131" t="s">
        <v>26986</v>
      </c>
      <c r="B4044" t="s">
        <v>27019</v>
      </c>
      <c r="C4044">
        <v>1</v>
      </c>
      <c r="D4044" t="s">
        <v>23629</v>
      </c>
      <c r="E4044" t="s">
        <v>23632</v>
      </c>
    </row>
    <row r="4045" spans="1:5" x14ac:dyDescent="0.25">
      <c r="A4045" s="130" t="str">
        <f>LEFT(B4045,1)</f>
        <v>O</v>
      </c>
      <c r="B4045" t="s">
        <v>28857</v>
      </c>
      <c r="C4045">
        <v>1</v>
      </c>
      <c r="D4045" t="s">
        <v>23629</v>
      </c>
      <c r="E4045" t="s">
        <v>23632</v>
      </c>
    </row>
    <row r="4046" spans="1:5" x14ac:dyDescent="0.25">
      <c r="A4046" s="131" t="s">
        <v>26986</v>
      </c>
      <c r="B4046" t="s">
        <v>27020</v>
      </c>
      <c r="C4046">
        <v>1</v>
      </c>
      <c r="D4046" t="s">
        <v>23629</v>
      </c>
      <c r="E4046" t="s">
        <v>23632</v>
      </c>
    </row>
    <row r="4047" spans="1:5" x14ac:dyDescent="0.25">
      <c r="A4047" s="130" t="s">
        <v>26986</v>
      </c>
      <c r="B4047" t="s">
        <v>27021</v>
      </c>
      <c r="C4047">
        <v>1</v>
      </c>
      <c r="D4047" t="s">
        <v>23629</v>
      </c>
      <c r="E4047" t="s">
        <v>23632</v>
      </c>
    </row>
    <row r="4048" spans="1:5" x14ac:dyDescent="0.25">
      <c r="A4048" s="130" t="s">
        <v>26986</v>
      </c>
      <c r="B4048" t="s">
        <v>27022</v>
      </c>
      <c r="C4048">
        <v>1</v>
      </c>
      <c r="D4048" t="s">
        <v>23629</v>
      </c>
      <c r="E4048" t="s">
        <v>23632</v>
      </c>
    </row>
    <row r="4049" spans="1:5" x14ac:dyDescent="0.25">
      <c r="A4049" s="131" t="s">
        <v>26986</v>
      </c>
      <c r="B4049" t="s">
        <v>27023</v>
      </c>
      <c r="C4049">
        <v>1</v>
      </c>
      <c r="D4049" t="s">
        <v>23629</v>
      </c>
      <c r="E4049" t="s">
        <v>23632</v>
      </c>
    </row>
    <row r="4050" spans="1:5" x14ac:dyDescent="0.25">
      <c r="A4050" s="130" t="s">
        <v>26986</v>
      </c>
      <c r="B4050" t="s">
        <v>27024</v>
      </c>
      <c r="C4050">
        <v>1</v>
      </c>
      <c r="D4050" t="s">
        <v>23629</v>
      </c>
      <c r="E4050" t="s">
        <v>23632</v>
      </c>
    </row>
    <row r="4051" spans="1:5" x14ac:dyDescent="0.25">
      <c r="A4051" s="131" t="s">
        <v>26986</v>
      </c>
      <c r="B4051" t="s">
        <v>27025</v>
      </c>
      <c r="C4051">
        <v>1</v>
      </c>
      <c r="D4051" t="s">
        <v>23629</v>
      </c>
      <c r="E4051" t="s">
        <v>23632</v>
      </c>
    </row>
    <row r="4052" spans="1:5" x14ac:dyDescent="0.25">
      <c r="A4052" s="130" t="str">
        <f>LEFT(B4052,1)</f>
        <v>O</v>
      </c>
      <c r="B4052" t="s">
        <v>28858</v>
      </c>
      <c r="C4052">
        <v>1</v>
      </c>
      <c r="D4052" t="s">
        <v>23629</v>
      </c>
      <c r="E4052" t="s">
        <v>23632</v>
      </c>
    </row>
    <row r="4053" spans="1:5" x14ac:dyDescent="0.25">
      <c r="A4053" s="130" t="str">
        <f>LEFT(B4053,1)</f>
        <v>O</v>
      </c>
      <c r="B4053" t="s">
        <v>27060</v>
      </c>
      <c r="C4053">
        <v>1</v>
      </c>
      <c r="D4053" t="s">
        <v>23629</v>
      </c>
      <c r="E4053" t="s">
        <v>23632</v>
      </c>
    </row>
    <row r="4054" spans="1:5" x14ac:dyDescent="0.25">
      <c r="A4054" s="130" t="s">
        <v>26986</v>
      </c>
      <c r="B4054" t="s">
        <v>27026</v>
      </c>
      <c r="C4054">
        <v>1</v>
      </c>
      <c r="D4054" t="s">
        <v>23629</v>
      </c>
      <c r="E4054" t="s">
        <v>23632</v>
      </c>
    </row>
    <row r="4055" spans="1:5" x14ac:dyDescent="0.25">
      <c r="A4055" s="130" t="s">
        <v>26986</v>
      </c>
      <c r="B4055" t="s">
        <v>27027</v>
      </c>
      <c r="C4055">
        <v>1</v>
      </c>
      <c r="D4055" t="s">
        <v>23629</v>
      </c>
      <c r="E4055" t="s">
        <v>23632</v>
      </c>
    </row>
    <row r="4056" spans="1:5" x14ac:dyDescent="0.25">
      <c r="A4056" s="131" t="s">
        <v>26986</v>
      </c>
      <c r="B4056" t="s">
        <v>27028</v>
      </c>
      <c r="C4056">
        <v>1</v>
      </c>
      <c r="D4056" t="s">
        <v>23629</v>
      </c>
      <c r="E4056" t="s">
        <v>23632</v>
      </c>
    </row>
    <row r="4057" spans="1:5" x14ac:dyDescent="0.25">
      <c r="A4057" s="130" t="s">
        <v>26986</v>
      </c>
      <c r="B4057" t="s">
        <v>27029</v>
      </c>
      <c r="C4057">
        <v>1</v>
      </c>
      <c r="D4057" t="s">
        <v>23629</v>
      </c>
      <c r="E4057" t="s">
        <v>23632</v>
      </c>
    </row>
    <row r="4058" spans="1:5" x14ac:dyDescent="0.25">
      <c r="A4058" s="131" t="s">
        <v>26986</v>
      </c>
      <c r="B4058" t="s">
        <v>27030</v>
      </c>
      <c r="C4058">
        <v>1</v>
      </c>
      <c r="D4058" t="s">
        <v>23629</v>
      </c>
      <c r="E4058" t="s">
        <v>23632</v>
      </c>
    </row>
    <row r="4059" spans="1:5" x14ac:dyDescent="0.25">
      <c r="A4059" s="131" t="s">
        <v>26986</v>
      </c>
      <c r="B4059" t="s">
        <v>27031</v>
      </c>
      <c r="C4059">
        <v>1</v>
      </c>
      <c r="D4059" t="s">
        <v>23629</v>
      </c>
      <c r="E4059" t="s">
        <v>23632</v>
      </c>
    </row>
    <row r="4060" spans="1:5" x14ac:dyDescent="0.25">
      <c r="A4060" s="130" t="s">
        <v>26986</v>
      </c>
      <c r="B4060" t="s">
        <v>27032</v>
      </c>
      <c r="C4060">
        <v>1</v>
      </c>
      <c r="D4060" t="s">
        <v>23629</v>
      </c>
      <c r="E4060" t="s">
        <v>23632</v>
      </c>
    </row>
    <row r="4061" spans="1:5" x14ac:dyDescent="0.25">
      <c r="A4061" s="130" t="str">
        <f>LEFT(B4061,1)</f>
        <v>O</v>
      </c>
      <c r="B4061" t="s">
        <v>27063</v>
      </c>
      <c r="C4061">
        <v>1</v>
      </c>
      <c r="D4061" t="s">
        <v>23629</v>
      </c>
      <c r="E4061" t="s">
        <v>23632</v>
      </c>
    </row>
    <row r="4062" spans="1:5" x14ac:dyDescent="0.25">
      <c r="A4062" s="131" t="str">
        <f>LEFT((B4062),1)</f>
        <v>O</v>
      </c>
      <c r="B4062" t="s">
        <v>27033</v>
      </c>
      <c r="C4062">
        <v>1</v>
      </c>
      <c r="D4062" t="s">
        <v>23629</v>
      </c>
      <c r="E4062" t="s">
        <v>23632</v>
      </c>
    </row>
    <row r="4063" spans="1:5" x14ac:dyDescent="0.25">
      <c r="A4063" s="131" t="s">
        <v>26986</v>
      </c>
      <c r="B4063" t="s">
        <v>27034</v>
      </c>
      <c r="C4063">
        <v>1</v>
      </c>
      <c r="D4063" t="s">
        <v>23629</v>
      </c>
      <c r="E4063" t="s">
        <v>23632</v>
      </c>
    </row>
    <row r="4064" spans="1:5" x14ac:dyDescent="0.25">
      <c r="A4064" s="131" t="s">
        <v>26986</v>
      </c>
      <c r="B4064" t="s">
        <v>27035</v>
      </c>
      <c r="C4064">
        <v>1</v>
      </c>
      <c r="D4064" t="s">
        <v>23629</v>
      </c>
      <c r="E4064" t="s">
        <v>23632</v>
      </c>
    </row>
    <row r="4065" spans="1:5" x14ac:dyDescent="0.25">
      <c r="A4065" s="130" t="str">
        <f>LEFT(B4065,1)</f>
        <v>O</v>
      </c>
      <c r="B4065" t="s">
        <v>28859</v>
      </c>
      <c r="C4065">
        <v>1</v>
      </c>
      <c r="D4065" t="s">
        <v>23629</v>
      </c>
      <c r="E4065" t="s">
        <v>23632</v>
      </c>
    </row>
    <row r="4066" spans="1:5" x14ac:dyDescent="0.25">
      <c r="A4066" s="130" t="s">
        <v>26986</v>
      </c>
      <c r="B4066" t="s">
        <v>27036</v>
      </c>
      <c r="C4066">
        <v>1</v>
      </c>
      <c r="D4066" t="s">
        <v>28333</v>
      </c>
      <c r="E4066" t="s">
        <v>23632</v>
      </c>
    </row>
    <row r="4067" spans="1:5" x14ac:dyDescent="0.25">
      <c r="A4067" s="130" t="str">
        <f>LEFT(B4067,1)</f>
        <v>O</v>
      </c>
      <c r="B4067" t="s">
        <v>29113</v>
      </c>
      <c r="C4067">
        <v>1</v>
      </c>
      <c r="D4067" t="s">
        <v>23629</v>
      </c>
      <c r="E4067" t="s">
        <v>23632</v>
      </c>
    </row>
    <row r="4068" spans="1:5" x14ac:dyDescent="0.25">
      <c r="A4068" s="131" t="s">
        <v>26986</v>
      </c>
      <c r="B4068" t="s">
        <v>27037</v>
      </c>
      <c r="C4068">
        <v>1</v>
      </c>
      <c r="D4068" t="s">
        <v>23629</v>
      </c>
      <c r="E4068" t="s">
        <v>23632</v>
      </c>
    </row>
    <row r="4069" spans="1:5" x14ac:dyDescent="0.25">
      <c r="A4069" s="130" t="s">
        <v>26986</v>
      </c>
      <c r="B4069" t="s">
        <v>27038</v>
      </c>
      <c r="C4069">
        <v>1</v>
      </c>
      <c r="D4069" t="s">
        <v>23629</v>
      </c>
      <c r="E4069" t="s">
        <v>23632</v>
      </c>
    </row>
    <row r="4070" spans="1:5" x14ac:dyDescent="0.25">
      <c r="A4070" s="130" t="str">
        <f>LEFT(B4070,1)</f>
        <v>O</v>
      </c>
      <c r="B4070" t="s">
        <v>29114</v>
      </c>
      <c r="C4070">
        <v>1</v>
      </c>
      <c r="D4070" t="s">
        <v>23629</v>
      </c>
      <c r="E4070" t="s">
        <v>23632</v>
      </c>
    </row>
    <row r="4071" spans="1:5" x14ac:dyDescent="0.25">
      <c r="A4071" s="130" t="s">
        <v>26986</v>
      </c>
      <c r="B4071" t="s">
        <v>27039</v>
      </c>
      <c r="C4071">
        <v>1</v>
      </c>
      <c r="D4071" t="s">
        <v>23629</v>
      </c>
      <c r="E4071" t="s">
        <v>23632</v>
      </c>
    </row>
    <row r="4072" spans="1:5" x14ac:dyDescent="0.25">
      <c r="A4072" s="131" t="s">
        <v>26986</v>
      </c>
      <c r="B4072" t="s">
        <v>27040</v>
      </c>
      <c r="C4072">
        <v>1</v>
      </c>
      <c r="D4072" t="s">
        <v>23629</v>
      </c>
      <c r="E4072" t="s">
        <v>23632</v>
      </c>
    </row>
    <row r="4073" spans="1:5" x14ac:dyDescent="0.25">
      <c r="A4073" s="130" t="str">
        <f>LEFT(B4073,1)</f>
        <v>O</v>
      </c>
      <c r="B4073" t="s">
        <v>29115</v>
      </c>
      <c r="C4073">
        <v>1</v>
      </c>
      <c r="D4073" t="s">
        <v>23629</v>
      </c>
      <c r="E4073" t="s">
        <v>23632</v>
      </c>
    </row>
    <row r="4074" spans="1:5" x14ac:dyDescent="0.25">
      <c r="A4074" s="131" t="s">
        <v>26986</v>
      </c>
      <c r="B4074" t="s">
        <v>27041</v>
      </c>
      <c r="C4074">
        <v>1</v>
      </c>
      <c r="D4074" t="s">
        <v>23629</v>
      </c>
      <c r="E4074" t="s">
        <v>23632</v>
      </c>
    </row>
    <row r="4075" spans="1:5" x14ac:dyDescent="0.25">
      <c r="A4075" s="130" t="s">
        <v>26986</v>
      </c>
      <c r="B4075" t="s">
        <v>27042</v>
      </c>
      <c r="C4075">
        <v>1</v>
      </c>
      <c r="D4075" t="s">
        <v>23629</v>
      </c>
      <c r="E4075" t="s">
        <v>23632</v>
      </c>
    </row>
    <row r="4076" spans="1:5" x14ac:dyDescent="0.25">
      <c r="A4076" s="130" t="str">
        <f>LEFT(B4076,1)</f>
        <v>O</v>
      </c>
      <c r="B4076" t="s">
        <v>28860</v>
      </c>
      <c r="C4076">
        <v>1</v>
      </c>
      <c r="D4076" t="s">
        <v>23629</v>
      </c>
      <c r="E4076" t="s">
        <v>23632</v>
      </c>
    </row>
    <row r="4077" spans="1:5" x14ac:dyDescent="0.25">
      <c r="A4077" s="130" t="str">
        <f>LEFT(B4077,1)</f>
        <v>O</v>
      </c>
      <c r="B4077" t="s">
        <v>27066</v>
      </c>
      <c r="C4077">
        <v>1</v>
      </c>
      <c r="D4077" t="s">
        <v>23629</v>
      </c>
      <c r="E4077" t="s">
        <v>23632</v>
      </c>
    </row>
    <row r="4078" spans="1:5" x14ac:dyDescent="0.25">
      <c r="A4078" s="131" t="s">
        <v>26986</v>
      </c>
      <c r="B4078" t="s">
        <v>27043</v>
      </c>
      <c r="C4078">
        <v>1</v>
      </c>
      <c r="D4078" t="s">
        <v>23629</v>
      </c>
      <c r="E4078" t="s">
        <v>23632</v>
      </c>
    </row>
    <row r="4079" spans="1:5" x14ac:dyDescent="0.25">
      <c r="A4079" s="130" t="s">
        <v>26986</v>
      </c>
      <c r="B4079" t="s">
        <v>27044</v>
      </c>
      <c r="C4079">
        <v>1</v>
      </c>
      <c r="D4079" t="s">
        <v>23629</v>
      </c>
      <c r="E4079" t="s">
        <v>23632</v>
      </c>
    </row>
    <row r="4080" spans="1:5" x14ac:dyDescent="0.25">
      <c r="A4080" s="131" t="s">
        <v>26986</v>
      </c>
      <c r="B4080" t="s">
        <v>27045</v>
      </c>
      <c r="C4080">
        <v>1</v>
      </c>
      <c r="D4080" t="s">
        <v>23629</v>
      </c>
      <c r="E4080" t="s">
        <v>23632</v>
      </c>
    </row>
    <row r="4081" spans="1:5" x14ac:dyDescent="0.25">
      <c r="A4081" s="130" t="s">
        <v>26986</v>
      </c>
      <c r="B4081" t="s">
        <v>27046</v>
      </c>
      <c r="C4081">
        <v>1</v>
      </c>
      <c r="D4081" t="s">
        <v>23629</v>
      </c>
      <c r="E4081" t="s">
        <v>23632</v>
      </c>
    </row>
    <row r="4082" spans="1:5" x14ac:dyDescent="0.25">
      <c r="A4082" s="130" t="str">
        <f>LEFT((B4082),1)</f>
        <v>O</v>
      </c>
      <c r="B4082" t="s">
        <v>27047</v>
      </c>
      <c r="C4082">
        <v>1</v>
      </c>
      <c r="D4082" t="s">
        <v>23629</v>
      </c>
      <c r="E4082" t="s">
        <v>23632</v>
      </c>
    </row>
    <row r="4083" spans="1:5" x14ac:dyDescent="0.25">
      <c r="A4083" s="131" t="s">
        <v>26986</v>
      </c>
      <c r="B4083" t="s">
        <v>27048</v>
      </c>
      <c r="C4083">
        <v>1</v>
      </c>
      <c r="D4083" t="s">
        <v>23629</v>
      </c>
      <c r="E4083" t="s">
        <v>23632</v>
      </c>
    </row>
    <row r="4084" spans="1:5" x14ac:dyDescent="0.25">
      <c r="A4084" s="130" t="s">
        <v>26986</v>
      </c>
      <c r="B4084" t="s">
        <v>27049</v>
      </c>
      <c r="C4084">
        <v>1</v>
      </c>
      <c r="D4084" t="s">
        <v>23629</v>
      </c>
      <c r="E4084" t="s">
        <v>23632</v>
      </c>
    </row>
    <row r="4085" spans="1:5" x14ac:dyDescent="0.25">
      <c r="A4085" s="130" t="str">
        <f>LEFT(B4085,1)</f>
        <v>O</v>
      </c>
      <c r="B4085" t="s">
        <v>27064</v>
      </c>
      <c r="C4085">
        <v>1</v>
      </c>
      <c r="D4085" t="s">
        <v>23629</v>
      </c>
      <c r="E4085" t="s">
        <v>23632</v>
      </c>
    </row>
    <row r="4086" spans="1:5" x14ac:dyDescent="0.25">
      <c r="A4086" s="131" t="s">
        <v>26986</v>
      </c>
      <c r="B4086" t="s">
        <v>27050</v>
      </c>
      <c r="C4086">
        <v>1</v>
      </c>
      <c r="D4086" t="s">
        <v>23629</v>
      </c>
      <c r="E4086" t="s">
        <v>23632</v>
      </c>
    </row>
    <row r="4087" spans="1:5" x14ac:dyDescent="0.25">
      <c r="A4087" s="131" t="str">
        <f>LEFT(B4087,1)</f>
        <v>O</v>
      </c>
      <c r="B4087" t="s">
        <v>27067</v>
      </c>
      <c r="C4087">
        <v>1</v>
      </c>
      <c r="D4087" t="s">
        <v>23629</v>
      </c>
      <c r="E4087" t="s">
        <v>23632</v>
      </c>
    </row>
    <row r="4088" spans="1:5" x14ac:dyDescent="0.25">
      <c r="A4088" s="130" t="s">
        <v>26986</v>
      </c>
      <c r="B4088" t="s">
        <v>27051</v>
      </c>
      <c r="C4088">
        <v>1</v>
      </c>
      <c r="D4088" t="s">
        <v>23629</v>
      </c>
      <c r="E4088" t="s">
        <v>23632</v>
      </c>
    </row>
    <row r="4089" spans="1:5" x14ac:dyDescent="0.25">
      <c r="A4089" s="130" t="s">
        <v>26986</v>
      </c>
      <c r="B4089" t="s">
        <v>27052</v>
      </c>
      <c r="C4089">
        <v>1</v>
      </c>
      <c r="D4089" t="s">
        <v>23629</v>
      </c>
      <c r="E4089" t="s">
        <v>23632</v>
      </c>
    </row>
    <row r="4090" spans="1:5" x14ac:dyDescent="0.25">
      <c r="A4090" s="130" t="s">
        <v>26986</v>
      </c>
      <c r="B4090" t="s">
        <v>27053</v>
      </c>
      <c r="C4090">
        <v>1</v>
      </c>
      <c r="D4090" t="s">
        <v>23629</v>
      </c>
      <c r="E4090" t="s">
        <v>23632</v>
      </c>
    </row>
    <row r="4091" spans="1:5" x14ac:dyDescent="0.25">
      <c r="A4091" s="131" t="str">
        <f>LEFT((B4091),1)</f>
        <v>O</v>
      </c>
      <c r="B4091" t="s">
        <v>27054</v>
      </c>
      <c r="C4091">
        <v>1</v>
      </c>
      <c r="D4091" t="s">
        <v>23629</v>
      </c>
      <c r="E4091" t="s">
        <v>23632</v>
      </c>
    </row>
    <row r="4092" spans="1:5" x14ac:dyDescent="0.25">
      <c r="A4092" s="131" t="s">
        <v>26986</v>
      </c>
      <c r="B4092" t="s">
        <v>27055</v>
      </c>
      <c r="C4092">
        <v>1</v>
      </c>
      <c r="D4092" t="s">
        <v>23629</v>
      </c>
      <c r="E4092" t="s">
        <v>23632</v>
      </c>
    </row>
    <row r="4093" spans="1:5" x14ac:dyDescent="0.25">
      <c r="A4093" s="130" t="str">
        <f>LEFT(B4093,1)</f>
        <v>O</v>
      </c>
      <c r="B4093" t="s">
        <v>29116</v>
      </c>
      <c r="C4093">
        <v>1</v>
      </c>
      <c r="D4093" t="s">
        <v>23629</v>
      </c>
      <c r="E4093" t="s">
        <v>23632</v>
      </c>
    </row>
    <row r="4094" spans="1:5" x14ac:dyDescent="0.25">
      <c r="A4094" s="130" t="str">
        <f>LEFT((B4094),1)</f>
        <v>O</v>
      </c>
      <c r="B4094" t="s">
        <v>27056</v>
      </c>
      <c r="C4094">
        <v>1</v>
      </c>
      <c r="D4094" t="s">
        <v>23629</v>
      </c>
      <c r="E4094" t="s">
        <v>23632</v>
      </c>
    </row>
    <row r="4095" spans="1:5" x14ac:dyDescent="0.25">
      <c r="A4095" s="130" t="s">
        <v>26986</v>
      </c>
      <c r="B4095" t="s">
        <v>27057</v>
      </c>
      <c r="C4095">
        <v>1</v>
      </c>
      <c r="D4095" t="s">
        <v>23629</v>
      </c>
      <c r="E4095" t="s">
        <v>23632</v>
      </c>
    </row>
    <row r="4096" spans="1:5" x14ac:dyDescent="0.25">
      <c r="A4096" s="130" t="s">
        <v>26986</v>
      </c>
      <c r="B4096" t="s">
        <v>27058</v>
      </c>
      <c r="C4096">
        <v>1</v>
      </c>
      <c r="D4096" t="s">
        <v>23629</v>
      </c>
      <c r="E4096" t="s">
        <v>23632</v>
      </c>
    </row>
    <row r="4097" spans="1:5" x14ac:dyDescent="0.25">
      <c r="A4097" s="130" t="str">
        <f>LEFT(B4097,1)</f>
        <v>P</v>
      </c>
      <c r="B4097" t="s">
        <v>28574</v>
      </c>
      <c r="C4097">
        <v>1</v>
      </c>
      <c r="D4097" t="s">
        <v>23629</v>
      </c>
      <c r="E4097" t="s">
        <v>23632</v>
      </c>
    </row>
    <row r="4098" spans="1:5" x14ac:dyDescent="0.25">
      <c r="A4098" s="131" t="s">
        <v>27068</v>
      </c>
      <c r="B4098" t="s">
        <v>27069</v>
      </c>
      <c r="C4098">
        <v>1</v>
      </c>
      <c r="D4098" t="s">
        <v>23629</v>
      </c>
      <c r="E4098" t="s">
        <v>23632</v>
      </c>
    </row>
    <row r="4099" spans="1:5" x14ac:dyDescent="0.25">
      <c r="A4099" s="131" t="str">
        <f>LEFT((B4099),1)</f>
        <v>P</v>
      </c>
      <c r="B4099" t="s">
        <v>27070</v>
      </c>
      <c r="C4099">
        <v>1</v>
      </c>
      <c r="D4099" t="s">
        <v>23629</v>
      </c>
      <c r="E4099" t="s">
        <v>23632</v>
      </c>
    </row>
    <row r="4100" spans="1:5" x14ac:dyDescent="0.25">
      <c r="A4100" s="130" t="str">
        <f>LEFT((B4100),1)</f>
        <v>P</v>
      </c>
      <c r="B4100" t="s">
        <v>27071</v>
      </c>
      <c r="C4100">
        <v>1</v>
      </c>
      <c r="D4100" t="s">
        <v>23629</v>
      </c>
      <c r="E4100" t="s">
        <v>23632</v>
      </c>
    </row>
    <row r="4101" spans="1:5" x14ac:dyDescent="0.25">
      <c r="A4101" s="130" t="s">
        <v>27068</v>
      </c>
      <c r="B4101" t="s">
        <v>27072</v>
      </c>
      <c r="C4101">
        <v>1</v>
      </c>
      <c r="D4101" t="s">
        <v>23629</v>
      </c>
      <c r="E4101" t="s">
        <v>23632</v>
      </c>
    </row>
    <row r="4102" spans="1:5" x14ac:dyDescent="0.25">
      <c r="A4102" s="130" t="str">
        <f>LEFT(B4102,1)</f>
        <v>P</v>
      </c>
      <c r="B4102" t="s">
        <v>28575</v>
      </c>
      <c r="C4102">
        <v>1</v>
      </c>
      <c r="D4102" t="s">
        <v>23629</v>
      </c>
      <c r="E4102" t="s">
        <v>23632</v>
      </c>
    </row>
    <row r="4103" spans="1:5" x14ac:dyDescent="0.25">
      <c r="A4103" s="131" t="s">
        <v>27068</v>
      </c>
      <c r="B4103" t="s">
        <v>27073</v>
      </c>
      <c r="C4103">
        <v>1</v>
      </c>
      <c r="D4103" t="s">
        <v>23629</v>
      </c>
      <c r="E4103" t="s">
        <v>23632</v>
      </c>
    </row>
    <row r="4104" spans="1:5" x14ac:dyDescent="0.25">
      <c r="A4104" s="131" t="s">
        <v>27068</v>
      </c>
      <c r="B4104" t="s">
        <v>27074</v>
      </c>
      <c r="C4104">
        <v>1</v>
      </c>
      <c r="D4104" t="s">
        <v>23629</v>
      </c>
      <c r="E4104" t="s">
        <v>23632</v>
      </c>
    </row>
    <row r="4105" spans="1:5" x14ac:dyDescent="0.25">
      <c r="A4105" s="130" t="s">
        <v>27068</v>
      </c>
      <c r="B4105" t="s">
        <v>27075</v>
      </c>
      <c r="C4105">
        <v>1</v>
      </c>
      <c r="D4105" t="s">
        <v>23629</v>
      </c>
      <c r="E4105" t="s">
        <v>23632</v>
      </c>
    </row>
    <row r="4106" spans="1:5" x14ac:dyDescent="0.25">
      <c r="A4106" s="130" t="s">
        <v>27068</v>
      </c>
      <c r="B4106" t="s">
        <v>27076</v>
      </c>
      <c r="C4106">
        <v>1</v>
      </c>
      <c r="D4106" t="s">
        <v>23629</v>
      </c>
      <c r="E4106" t="s">
        <v>23632</v>
      </c>
    </row>
    <row r="4107" spans="1:5" x14ac:dyDescent="0.25">
      <c r="A4107" s="131" t="s">
        <v>27068</v>
      </c>
      <c r="B4107" t="s">
        <v>27077</v>
      </c>
      <c r="C4107">
        <v>1</v>
      </c>
      <c r="D4107" t="s">
        <v>23629</v>
      </c>
      <c r="E4107" t="s">
        <v>23632</v>
      </c>
    </row>
    <row r="4108" spans="1:5" x14ac:dyDescent="0.25">
      <c r="A4108" s="130" t="s">
        <v>27068</v>
      </c>
      <c r="B4108" t="s">
        <v>27078</v>
      </c>
      <c r="C4108">
        <v>1</v>
      </c>
      <c r="D4108" t="s">
        <v>23629</v>
      </c>
      <c r="E4108" t="s">
        <v>23632</v>
      </c>
    </row>
    <row r="4109" spans="1:5" x14ac:dyDescent="0.25">
      <c r="A4109" s="131" t="s">
        <v>27068</v>
      </c>
      <c r="B4109" t="s">
        <v>27079</v>
      </c>
      <c r="C4109">
        <v>1</v>
      </c>
      <c r="D4109" t="s">
        <v>23629</v>
      </c>
      <c r="E4109" t="s">
        <v>23632</v>
      </c>
    </row>
    <row r="4110" spans="1:5" x14ac:dyDescent="0.25">
      <c r="A4110" s="130" t="str">
        <f>LEFT(B4110,1)</f>
        <v>P</v>
      </c>
      <c r="B4110" t="s">
        <v>27319</v>
      </c>
      <c r="C4110">
        <v>1</v>
      </c>
      <c r="D4110" t="s">
        <v>23629</v>
      </c>
      <c r="E4110" t="s">
        <v>23632</v>
      </c>
    </row>
    <row r="4111" spans="1:5" x14ac:dyDescent="0.25">
      <c r="A4111" s="130" t="str">
        <f>LEFT(B4111,1)</f>
        <v>P</v>
      </c>
      <c r="B4111" t="s">
        <v>27310</v>
      </c>
      <c r="C4111">
        <v>1</v>
      </c>
      <c r="D4111" t="s">
        <v>23629</v>
      </c>
      <c r="E4111" t="s">
        <v>23632</v>
      </c>
    </row>
    <row r="4112" spans="1:5" x14ac:dyDescent="0.25">
      <c r="A4112" s="131" t="str">
        <f>LEFT(B4112,1)</f>
        <v>P</v>
      </c>
      <c r="B4112" t="s">
        <v>27303</v>
      </c>
      <c r="C4112">
        <v>1</v>
      </c>
      <c r="D4112" t="s">
        <v>23629</v>
      </c>
      <c r="E4112" t="s">
        <v>23632</v>
      </c>
    </row>
    <row r="4113" spans="1:5" x14ac:dyDescent="0.25">
      <c r="A4113" s="131" t="s">
        <v>27068</v>
      </c>
      <c r="B4113" t="s">
        <v>27080</v>
      </c>
      <c r="C4113">
        <v>1</v>
      </c>
      <c r="D4113" t="s">
        <v>23629</v>
      </c>
      <c r="E4113" t="s">
        <v>23632</v>
      </c>
    </row>
    <row r="4114" spans="1:5" x14ac:dyDescent="0.25">
      <c r="A4114" s="130" t="str">
        <f>LEFT(B4114,1)</f>
        <v>P</v>
      </c>
      <c r="B4114" t="s">
        <v>28861</v>
      </c>
      <c r="C4114">
        <v>1</v>
      </c>
      <c r="D4114" t="s">
        <v>23629</v>
      </c>
      <c r="E4114" t="s">
        <v>23632</v>
      </c>
    </row>
    <row r="4115" spans="1:5" x14ac:dyDescent="0.25">
      <c r="A4115" s="131" t="str">
        <f>LEFT((B4115),1)</f>
        <v>P</v>
      </c>
      <c r="B4115" t="s">
        <v>27081</v>
      </c>
      <c r="C4115">
        <v>1</v>
      </c>
      <c r="D4115" t="s">
        <v>23629</v>
      </c>
      <c r="E4115" t="s">
        <v>23632</v>
      </c>
    </row>
    <row r="4116" spans="1:5" x14ac:dyDescent="0.25">
      <c r="A4116" s="131" t="s">
        <v>27068</v>
      </c>
      <c r="B4116" t="s">
        <v>27082</v>
      </c>
      <c r="C4116">
        <v>1</v>
      </c>
      <c r="D4116" t="s">
        <v>23629</v>
      </c>
      <c r="E4116" t="s">
        <v>23632</v>
      </c>
    </row>
    <row r="4117" spans="1:5" x14ac:dyDescent="0.25">
      <c r="A4117" s="130" t="str">
        <f>LEFT((B4117),1)</f>
        <v>P</v>
      </c>
      <c r="B4117" t="s">
        <v>27083</v>
      </c>
      <c r="C4117">
        <v>1</v>
      </c>
      <c r="D4117" t="s">
        <v>23629</v>
      </c>
      <c r="E4117" t="s">
        <v>23632</v>
      </c>
    </row>
    <row r="4118" spans="1:5" x14ac:dyDescent="0.25">
      <c r="A4118" s="130" t="s">
        <v>27068</v>
      </c>
      <c r="B4118" t="s">
        <v>27084</v>
      </c>
      <c r="C4118">
        <v>1</v>
      </c>
      <c r="D4118" t="s">
        <v>23629</v>
      </c>
      <c r="E4118" t="s">
        <v>23632</v>
      </c>
    </row>
    <row r="4119" spans="1:5" x14ac:dyDescent="0.25">
      <c r="A4119" s="130" t="s">
        <v>27068</v>
      </c>
      <c r="B4119" t="s">
        <v>27085</v>
      </c>
      <c r="C4119">
        <v>1</v>
      </c>
      <c r="D4119" t="s">
        <v>23629</v>
      </c>
      <c r="E4119" t="s">
        <v>23881</v>
      </c>
    </row>
    <row r="4120" spans="1:5" x14ac:dyDescent="0.25">
      <c r="A4120" s="131" t="s">
        <v>27068</v>
      </c>
      <c r="B4120" t="s">
        <v>27086</v>
      </c>
      <c r="C4120">
        <v>1</v>
      </c>
      <c r="D4120" t="s">
        <v>23629</v>
      </c>
      <c r="E4120" t="s">
        <v>23632</v>
      </c>
    </row>
    <row r="4121" spans="1:5" x14ac:dyDescent="0.25">
      <c r="A4121" s="131" t="s">
        <v>27068</v>
      </c>
      <c r="B4121" t="s">
        <v>27087</v>
      </c>
      <c r="C4121">
        <v>1</v>
      </c>
      <c r="D4121" t="s">
        <v>23629</v>
      </c>
      <c r="E4121" t="s">
        <v>23632</v>
      </c>
    </row>
    <row r="4122" spans="1:5" x14ac:dyDescent="0.25">
      <c r="A4122" s="131" t="s">
        <v>27068</v>
      </c>
      <c r="B4122" t="s">
        <v>27088</v>
      </c>
      <c r="C4122">
        <v>1</v>
      </c>
      <c r="D4122" t="s">
        <v>23629</v>
      </c>
      <c r="E4122" t="s">
        <v>23632</v>
      </c>
    </row>
    <row r="4123" spans="1:5" x14ac:dyDescent="0.25">
      <c r="A4123" s="131" t="s">
        <v>27068</v>
      </c>
      <c r="B4123" t="s">
        <v>27089</v>
      </c>
      <c r="C4123">
        <v>1</v>
      </c>
      <c r="D4123" t="s">
        <v>23629</v>
      </c>
      <c r="E4123" t="s">
        <v>23632</v>
      </c>
    </row>
    <row r="4124" spans="1:5" x14ac:dyDescent="0.25">
      <c r="A4124" s="130" t="s">
        <v>27068</v>
      </c>
      <c r="B4124" t="s">
        <v>27090</v>
      </c>
      <c r="C4124">
        <v>1</v>
      </c>
      <c r="D4124" t="s">
        <v>23629</v>
      </c>
      <c r="E4124" t="s">
        <v>23632</v>
      </c>
    </row>
    <row r="4125" spans="1:5" x14ac:dyDescent="0.25">
      <c r="A4125" s="130" t="s">
        <v>27068</v>
      </c>
      <c r="B4125" t="s">
        <v>27091</v>
      </c>
      <c r="C4125">
        <v>1</v>
      </c>
      <c r="D4125" t="s">
        <v>23629</v>
      </c>
      <c r="E4125" t="s">
        <v>23632</v>
      </c>
    </row>
    <row r="4126" spans="1:5" x14ac:dyDescent="0.25">
      <c r="A4126" s="130" t="str">
        <f>LEFT(B4126,1)</f>
        <v>P</v>
      </c>
      <c r="B4126" t="s">
        <v>27311</v>
      </c>
      <c r="C4126">
        <v>1</v>
      </c>
      <c r="D4126" t="s">
        <v>23629</v>
      </c>
      <c r="E4126" t="s">
        <v>23632</v>
      </c>
    </row>
    <row r="4127" spans="1:5" x14ac:dyDescent="0.25">
      <c r="A4127" s="130" t="s">
        <v>27068</v>
      </c>
      <c r="B4127" t="s">
        <v>27092</v>
      </c>
      <c r="C4127">
        <v>1</v>
      </c>
      <c r="D4127" t="s">
        <v>23629</v>
      </c>
      <c r="E4127" t="s">
        <v>23632</v>
      </c>
    </row>
    <row r="4128" spans="1:5" x14ac:dyDescent="0.25">
      <c r="A4128" s="131" t="s">
        <v>27068</v>
      </c>
      <c r="B4128" t="s">
        <v>27093</v>
      </c>
      <c r="C4128">
        <v>1</v>
      </c>
      <c r="D4128" t="s">
        <v>23629</v>
      </c>
      <c r="E4128" t="s">
        <v>23632</v>
      </c>
    </row>
    <row r="4129" spans="1:5" x14ac:dyDescent="0.25">
      <c r="A4129" s="131" t="s">
        <v>27068</v>
      </c>
      <c r="B4129" t="s">
        <v>27094</v>
      </c>
      <c r="C4129">
        <v>1</v>
      </c>
      <c r="D4129" t="s">
        <v>23629</v>
      </c>
      <c r="E4129" t="s">
        <v>23632</v>
      </c>
    </row>
    <row r="4130" spans="1:5" x14ac:dyDescent="0.25">
      <c r="A4130" s="130" t="s">
        <v>27068</v>
      </c>
      <c r="B4130" t="s">
        <v>27095</v>
      </c>
      <c r="C4130">
        <v>1</v>
      </c>
      <c r="D4130" t="s">
        <v>23629</v>
      </c>
      <c r="E4130" t="s">
        <v>23632</v>
      </c>
    </row>
    <row r="4131" spans="1:5" x14ac:dyDescent="0.25">
      <c r="A4131" s="131" t="s">
        <v>27068</v>
      </c>
      <c r="B4131" t="s">
        <v>27096</v>
      </c>
      <c r="C4131">
        <v>1</v>
      </c>
      <c r="D4131" t="s">
        <v>23629</v>
      </c>
      <c r="E4131" t="s">
        <v>23632</v>
      </c>
    </row>
    <row r="4132" spans="1:5" x14ac:dyDescent="0.25">
      <c r="A4132" s="131" t="s">
        <v>27068</v>
      </c>
      <c r="B4132" t="s">
        <v>27097</v>
      </c>
      <c r="C4132">
        <v>1</v>
      </c>
      <c r="D4132" t="s">
        <v>23629</v>
      </c>
      <c r="E4132" t="s">
        <v>23632</v>
      </c>
    </row>
    <row r="4133" spans="1:5" x14ac:dyDescent="0.25">
      <c r="A4133" s="130" t="str">
        <f>LEFT(B4133,1)</f>
        <v>P</v>
      </c>
      <c r="B4133" t="s">
        <v>28576</v>
      </c>
      <c r="C4133">
        <v>1</v>
      </c>
      <c r="D4133" t="s">
        <v>23629</v>
      </c>
      <c r="E4133" t="s">
        <v>23632</v>
      </c>
    </row>
    <row r="4134" spans="1:5" x14ac:dyDescent="0.25">
      <c r="A4134" s="131" t="s">
        <v>27068</v>
      </c>
      <c r="B4134" t="s">
        <v>27098</v>
      </c>
      <c r="C4134">
        <v>1</v>
      </c>
      <c r="D4134" t="s">
        <v>23629</v>
      </c>
      <c r="E4134" t="s">
        <v>23632</v>
      </c>
    </row>
    <row r="4135" spans="1:5" x14ac:dyDescent="0.25">
      <c r="A4135" s="130" t="s">
        <v>27068</v>
      </c>
      <c r="B4135" t="s">
        <v>27099</v>
      </c>
      <c r="C4135">
        <v>1</v>
      </c>
      <c r="D4135" t="s">
        <v>23629</v>
      </c>
      <c r="E4135" t="s">
        <v>23632</v>
      </c>
    </row>
    <row r="4136" spans="1:5" x14ac:dyDescent="0.25">
      <c r="A4136" s="130" t="s">
        <v>27068</v>
      </c>
      <c r="B4136" t="s">
        <v>27100</v>
      </c>
      <c r="C4136">
        <v>1</v>
      </c>
      <c r="D4136" t="s">
        <v>23629</v>
      </c>
      <c r="E4136" t="s">
        <v>23632</v>
      </c>
    </row>
    <row r="4137" spans="1:5" x14ac:dyDescent="0.25">
      <c r="A4137" s="130" t="str">
        <f>LEFT(B4137,1)</f>
        <v>P</v>
      </c>
      <c r="B4137" t="s">
        <v>29117</v>
      </c>
      <c r="C4137">
        <v>1</v>
      </c>
      <c r="D4137" t="s">
        <v>23629</v>
      </c>
      <c r="E4137" t="s">
        <v>23632</v>
      </c>
    </row>
    <row r="4138" spans="1:5" x14ac:dyDescent="0.25">
      <c r="A4138" s="131" t="s">
        <v>27068</v>
      </c>
      <c r="B4138" t="s">
        <v>27101</v>
      </c>
      <c r="C4138">
        <v>1</v>
      </c>
      <c r="D4138" t="s">
        <v>23629</v>
      </c>
      <c r="E4138" t="s">
        <v>23632</v>
      </c>
    </row>
    <row r="4139" spans="1:5" x14ac:dyDescent="0.25">
      <c r="A4139" s="131" t="s">
        <v>27068</v>
      </c>
      <c r="B4139" t="s">
        <v>27102</v>
      </c>
      <c r="C4139">
        <v>1</v>
      </c>
      <c r="D4139" t="s">
        <v>23629</v>
      </c>
      <c r="E4139" t="s">
        <v>23632</v>
      </c>
    </row>
    <row r="4140" spans="1:5" x14ac:dyDescent="0.25">
      <c r="A4140" s="131" t="str">
        <f>LEFT((B4140),1)</f>
        <v>P</v>
      </c>
      <c r="B4140" t="s">
        <v>27103</v>
      </c>
      <c r="C4140">
        <v>1</v>
      </c>
      <c r="D4140" t="s">
        <v>23629</v>
      </c>
      <c r="E4140" t="s">
        <v>23632</v>
      </c>
    </row>
    <row r="4141" spans="1:5" x14ac:dyDescent="0.25">
      <c r="A4141" s="131" t="s">
        <v>27068</v>
      </c>
      <c r="B4141" t="s">
        <v>27104</v>
      </c>
      <c r="C4141">
        <v>1</v>
      </c>
      <c r="D4141" t="s">
        <v>23629</v>
      </c>
      <c r="E4141" t="s">
        <v>23632</v>
      </c>
    </row>
    <row r="4142" spans="1:5" x14ac:dyDescent="0.25">
      <c r="A4142" s="130" t="s">
        <v>27068</v>
      </c>
      <c r="B4142" t="s">
        <v>27105</v>
      </c>
      <c r="C4142">
        <v>1</v>
      </c>
      <c r="D4142" t="s">
        <v>23629</v>
      </c>
      <c r="E4142" t="s">
        <v>23632</v>
      </c>
    </row>
    <row r="4143" spans="1:5" x14ac:dyDescent="0.25">
      <c r="A4143" s="130" t="s">
        <v>27068</v>
      </c>
      <c r="B4143" t="s">
        <v>27106</v>
      </c>
      <c r="C4143">
        <v>1</v>
      </c>
      <c r="D4143" t="s">
        <v>23629</v>
      </c>
      <c r="E4143" t="s">
        <v>23632</v>
      </c>
    </row>
    <row r="4144" spans="1:5" x14ac:dyDescent="0.25">
      <c r="A4144" s="130" t="str">
        <f>LEFT(B4144,1)</f>
        <v>P</v>
      </c>
      <c r="B4144" t="s">
        <v>28577</v>
      </c>
      <c r="C4144">
        <v>1</v>
      </c>
      <c r="D4144" t="s">
        <v>23629</v>
      </c>
      <c r="E4144" t="s">
        <v>23632</v>
      </c>
    </row>
    <row r="4145" spans="1:5" x14ac:dyDescent="0.25">
      <c r="A4145" s="131" t="s">
        <v>27068</v>
      </c>
      <c r="B4145" t="s">
        <v>27107</v>
      </c>
      <c r="C4145">
        <v>1</v>
      </c>
      <c r="D4145" t="s">
        <v>23629</v>
      </c>
      <c r="E4145" t="s">
        <v>23632</v>
      </c>
    </row>
    <row r="4146" spans="1:5" x14ac:dyDescent="0.25">
      <c r="A4146" s="131" t="s">
        <v>27068</v>
      </c>
      <c r="B4146" t="s">
        <v>27108</v>
      </c>
      <c r="C4146">
        <v>1</v>
      </c>
      <c r="D4146" t="s">
        <v>23629</v>
      </c>
      <c r="E4146" t="s">
        <v>23632</v>
      </c>
    </row>
    <row r="4147" spans="1:5" x14ac:dyDescent="0.25">
      <c r="A4147" s="130" t="s">
        <v>27068</v>
      </c>
      <c r="B4147" t="s">
        <v>27109</v>
      </c>
      <c r="C4147">
        <v>1</v>
      </c>
      <c r="D4147" t="s">
        <v>23629</v>
      </c>
      <c r="E4147" t="s">
        <v>23632</v>
      </c>
    </row>
    <row r="4148" spans="1:5" x14ac:dyDescent="0.25">
      <c r="A4148" s="130" t="str">
        <f>LEFT(B4148,1)</f>
        <v>P</v>
      </c>
      <c r="B4148" t="s">
        <v>28578</v>
      </c>
      <c r="C4148">
        <v>1</v>
      </c>
      <c r="D4148" t="s">
        <v>23629</v>
      </c>
      <c r="E4148" t="s">
        <v>23632</v>
      </c>
    </row>
    <row r="4149" spans="1:5" x14ac:dyDescent="0.25">
      <c r="A4149" s="131" t="s">
        <v>27068</v>
      </c>
      <c r="B4149" t="s">
        <v>27110</v>
      </c>
      <c r="C4149">
        <v>1</v>
      </c>
      <c r="D4149" t="s">
        <v>23629</v>
      </c>
      <c r="E4149" t="s">
        <v>23632</v>
      </c>
    </row>
    <row r="4150" spans="1:5" x14ac:dyDescent="0.25">
      <c r="A4150" s="130" t="str">
        <f>LEFT(B4150,1)</f>
        <v>P</v>
      </c>
      <c r="B4150" t="s">
        <v>29264</v>
      </c>
      <c r="C4150">
        <v>1</v>
      </c>
      <c r="D4150" t="s">
        <v>23629</v>
      </c>
      <c r="E4150" t="s">
        <v>23632</v>
      </c>
    </row>
    <row r="4151" spans="1:5" x14ac:dyDescent="0.25">
      <c r="A4151" s="130" t="str">
        <f>LEFT(B4151,1)</f>
        <v>P</v>
      </c>
      <c r="B4151" t="s">
        <v>27304</v>
      </c>
      <c r="C4151">
        <v>1.1000000000000001</v>
      </c>
      <c r="D4151" t="s">
        <v>23629</v>
      </c>
      <c r="E4151" t="s">
        <v>23881</v>
      </c>
    </row>
    <row r="4152" spans="1:5" x14ac:dyDescent="0.25">
      <c r="A4152" s="131" t="s">
        <v>27068</v>
      </c>
      <c r="B4152" t="s">
        <v>27111</v>
      </c>
      <c r="C4152">
        <v>1</v>
      </c>
      <c r="D4152" t="s">
        <v>23629</v>
      </c>
      <c r="E4152" t="s">
        <v>23632</v>
      </c>
    </row>
    <row r="4153" spans="1:5" x14ac:dyDescent="0.25">
      <c r="A4153" s="130" t="str">
        <f>LEFT(B4153,1)</f>
        <v>P</v>
      </c>
      <c r="B4153" t="s">
        <v>27312</v>
      </c>
      <c r="C4153">
        <v>1</v>
      </c>
      <c r="D4153" t="s">
        <v>23629</v>
      </c>
      <c r="E4153" t="s">
        <v>23632</v>
      </c>
    </row>
    <row r="4154" spans="1:5" x14ac:dyDescent="0.25">
      <c r="A4154" s="131" t="s">
        <v>27068</v>
      </c>
      <c r="B4154" t="s">
        <v>27112</v>
      </c>
      <c r="C4154">
        <v>1</v>
      </c>
      <c r="D4154" t="s">
        <v>23629</v>
      </c>
      <c r="E4154" t="s">
        <v>23632</v>
      </c>
    </row>
    <row r="4155" spans="1:5" x14ac:dyDescent="0.25">
      <c r="A4155" s="130" t="s">
        <v>27068</v>
      </c>
      <c r="B4155" t="s">
        <v>27113</v>
      </c>
      <c r="C4155">
        <v>1</v>
      </c>
      <c r="D4155" t="s">
        <v>23629</v>
      </c>
      <c r="E4155" t="s">
        <v>23632</v>
      </c>
    </row>
    <row r="4156" spans="1:5" x14ac:dyDescent="0.25">
      <c r="A4156" s="131" t="s">
        <v>27068</v>
      </c>
      <c r="B4156" t="s">
        <v>27114</v>
      </c>
      <c r="C4156">
        <v>1</v>
      </c>
      <c r="D4156" t="s">
        <v>23629</v>
      </c>
      <c r="E4156" t="s">
        <v>23632</v>
      </c>
    </row>
    <row r="4157" spans="1:5" x14ac:dyDescent="0.25">
      <c r="A4157" s="130" t="s">
        <v>27068</v>
      </c>
      <c r="B4157" t="s">
        <v>27115</v>
      </c>
      <c r="C4157">
        <v>1</v>
      </c>
      <c r="D4157" t="s">
        <v>23629</v>
      </c>
      <c r="E4157" t="s">
        <v>23632</v>
      </c>
    </row>
    <row r="4158" spans="1:5" x14ac:dyDescent="0.25">
      <c r="A4158" s="130" t="s">
        <v>27068</v>
      </c>
      <c r="B4158" t="s">
        <v>27116</v>
      </c>
      <c r="C4158">
        <v>1.1000000000000001</v>
      </c>
      <c r="D4158" t="s">
        <v>23629</v>
      </c>
      <c r="E4158" t="s">
        <v>23632</v>
      </c>
    </row>
    <row r="4159" spans="1:5" x14ac:dyDescent="0.25">
      <c r="A4159" s="131" t="s">
        <v>27068</v>
      </c>
      <c r="B4159" t="s">
        <v>27117</v>
      </c>
      <c r="C4159">
        <v>1</v>
      </c>
      <c r="D4159" t="s">
        <v>23629</v>
      </c>
      <c r="E4159" t="s">
        <v>23632</v>
      </c>
    </row>
    <row r="4160" spans="1:5" x14ac:dyDescent="0.25">
      <c r="A4160" s="130" t="str">
        <f>LEFT((B4160),1)</f>
        <v>P</v>
      </c>
      <c r="B4160" t="s">
        <v>27118</v>
      </c>
      <c r="C4160">
        <v>1</v>
      </c>
      <c r="D4160" t="s">
        <v>23629</v>
      </c>
      <c r="E4160" t="s">
        <v>23632</v>
      </c>
    </row>
    <row r="4161" spans="1:5" x14ac:dyDescent="0.25">
      <c r="A4161" s="130" t="str">
        <f>LEFT(B4161,1)</f>
        <v>P</v>
      </c>
      <c r="B4161" t="s">
        <v>28579</v>
      </c>
      <c r="C4161">
        <v>1</v>
      </c>
      <c r="D4161" t="s">
        <v>23629</v>
      </c>
      <c r="E4161" t="s">
        <v>23632</v>
      </c>
    </row>
    <row r="4162" spans="1:5" x14ac:dyDescent="0.25">
      <c r="A4162" s="131" t="s">
        <v>27068</v>
      </c>
      <c r="B4162" t="s">
        <v>27119</v>
      </c>
      <c r="C4162">
        <v>1</v>
      </c>
      <c r="D4162" t="s">
        <v>23629</v>
      </c>
      <c r="E4162" t="s">
        <v>23632</v>
      </c>
    </row>
    <row r="4163" spans="1:5" x14ac:dyDescent="0.25">
      <c r="A4163" s="130" t="s">
        <v>27068</v>
      </c>
      <c r="B4163" t="s">
        <v>27120</v>
      </c>
      <c r="C4163">
        <v>1.1000000000000001</v>
      </c>
      <c r="D4163" t="s">
        <v>23629</v>
      </c>
      <c r="E4163" t="s">
        <v>23632</v>
      </c>
    </row>
    <row r="4164" spans="1:5" x14ac:dyDescent="0.25">
      <c r="A4164" s="131" t="s">
        <v>27068</v>
      </c>
      <c r="B4164" t="s">
        <v>27121</v>
      </c>
      <c r="C4164">
        <v>1</v>
      </c>
      <c r="D4164" t="s">
        <v>23629</v>
      </c>
      <c r="E4164" t="s">
        <v>23632</v>
      </c>
    </row>
    <row r="4165" spans="1:5" x14ac:dyDescent="0.25">
      <c r="A4165" s="131" t="s">
        <v>27068</v>
      </c>
      <c r="B4165" t="s">
        <v>27122</v>
      </c>
      <c r="C4165">
        <v>1</v>
      </c>
      <c r="D4165" t="s">
        <v>23629</v>
      </c>
      <c r="E4165" t="s">
        <v>23632</v>
      </c>
    </row>
    <row r="4166" spans="1:5" x14ac:dyDescent="0.25">
      <c r="A4166" s="131" t="s">
        <v>27068</v>
      </c>
      <c r="B4166" t="s">
        <v>27123</v>
      </c>
      <c r="C4166">
        <v>1</v>
      </c>
      <c r="D4166" t="s">
        <v>23629</v>
      </c>
      <c r="E4166" t="s">
        <v>23632</v>
      </c>
    </row>
    <row r="4167" spans="1:5" x14ac:dyDescent="0.25">
      <c r="A4167" s="130" t="s">
        <v>27068</v>
      </c>
      <c r="B4167" t="s">
        <v>27124</v>
      </c>
      <c r="C4167">
        <v>1</v>
      </c>
      <c r="D4167" t="s">
        <v>23629</v>
      </c>
      <c r="E4167" t="s">
        <v>23632</v>
      </c>
    </row>
    <row r="4168" spans="1:5" x14ac:dyDescent="0.25">
      <c r="A4168" s="131" t="s">
        <v>27068</v>
      </c>
      <c r="B4168" t="s">
        <v>27125</v>
      </c>
      <c r="C4168">
        <v>1.1000000000000001</v>
      </c>
      <c r="D4168" t="s">
        <v>23629</v>
      </c>
      <c r="E4168" t="s">
        <v>23632</v>
      </c>
    </row>
    <row r="4169" spans="1:5" x14ac:dyDescent="0.25">
      <c r="A4169" s="130" t="s">
        <v>27068</v>
      </c>
      <c r="B4169" t="s">
        <v>27126</v>
      </c>
      <c r="C4169">
        <v>1.1000000000000001</v>
      </c>
      <c r="D4169" t="s">
        <v>23629</v>
      </c>
      <c r="E4169" t="s">
        <v>23632</v>
      </c>
    </row>
    <row r="4170" spans="1:5" x14ac:dyDescent="0.25">
      <c r="A4170" s="131" t="s">
        <v>27068</v>
      </c>
      <c r="B4170" t="s">
        <v>27127</v>
      </c>
      <c r="C4170">
        <v>1.1000000000000001</v>
      </c>
      <c r="D4170" t="s">
        <v>23629</v>
      </c>
      <c r="E4170" t="s">
        <v>23632</v>
      </c>
    </row>
    <row r="4171" spans="1:5" x14ac:dyDescent="0.25">
      <c r="A4171" s="131" t="str">
        <f>LEFT(B4171,1)</f>
        <v>P</v>
      </c>
      <c r="B4171" t="s">
        <v>27320</v>
      </c>
      <c r="C4171">
        <v>1</v>
      </c>
      <c r="D4171" t="s">
        <v>23629</v>
      </c>
      <c r="E4171" t="s">
        <v>23632</v>
      </c>
    </row>
    <row r="4172" spans="1:5" x14ac:dyDescent="0.25">
      <c r="A4172" s="130" t="str">
        <f>LEFT(B4172,1)</f>
        <v>P</v>
      </c>
      <c r="B4172" t="s">
        <v>29118</v>
      </c>
      <c r="C4172">
        <v>1</v>
      </c>
      <c r="D4172" t="s">
        <v>23629</v>
      </c>
      <c r="E4172" t="s">
        <v>23632</v>
      </c>
    </row>
    <row r="4173" spans="1:5" x14ac:dyDescent="0.25">
      <c r="A4173" s="130" t="str">
        <f>LEFT(B4173,1)</f>
        <v>P</v>
      </c>
      <c r="B4173" t="s">
        <v>29265</v>
      </c>
      <c r="C4173">
        <v>1</v>
      </c>
      <c r="D4173" t="s">
        <v>23629</v>
      </c>
      <c r="E4173" t="s">
        <v>23632</v>
      </c>
    </row>
    <row r="4174" spans="1:5" x14ac:dyDescent="0.25">
      <c r="A4174" s="130" t="s">
        <v>27068</v>
      </c>
      <c r="B4174" t="s">
        <v>27128</v>
      </c>
      <c r="C4174">
        <v>1</v>
      </c>
      <c r="D4174" t="s">
        <v>23629</v>
      </c>
      <c r="E4174" t="s">
        <v>23632</v>
      </c>
    </row>
    <row r="4175" spans="1:5" x14ac:dyDescent="0.25">
      <c r="A4175" s="130" t="s">
        <v>27068</v>
      </c>
      <c r="B4175" t="s">
        <v>27129</v>
      </c>
      <c r="C4175">
        <v>1</v>
      </c>
      <c r="D4175" t="s">
        <v>23629</v>
      </c>
      <c r="E4175" t="s">
        <v>23881</v>
      </c>
    </row>
    <row r="4176" spans="1:5" x14ac:dyDescent="0.25">
      <c r="A4176" s="130" t="str">
        <f>LEFT(B4176,1)</f>
        <v>P</v>
      </c>
      <c r="B4176" t="s">
        <v>28580</v>
      </c>
      <c r="C4176">
        <v>1</v>
      </c>
      <c r="D4176" t="s">
        <v>23629</v>
      </c>
      <c r="E4176" t="s">
        <v>23632</v>
      </c>
    </row>
    <row r="4177" spans="1:5" x14ac:dyDescent="0.25">
      <c r="A4177" s="131" t="s">
        <v>27068</v>
      </c>
      <c r="B4177" t="s">
        <v>27130</v>
      </c>
      <c r="C4177">
        <v>1</v>
      </c>
      <c r="D4177" t="s">
        <v>23629</v>
      </c>
      <c r="E4177" t="s">
        <v>23632</v>
      </c>
    </row>
    <row r="4178" spans="1:5" x14ac:dyDescent="0.25">
      <c r="A4178" s="130" t="s">
        <v>27068</v>
      </c>
      <c r="B4178" t="s">
        <v>27131</v>
      </c>
      <c r="C4178">
        <v>1</v>
      </c>
      <c r="D4178" t="s">
        <v>23629</v>
      </c>
      <c r="E4178" t="s">
        <v>23632</v>
      </c>
    </row>
    <row r="4179" spans="1:5" x14ac:dyDescent="0.25">
      <c r="A4179" s="130" t="s">
        <v>27068</v>
      </c>
      <c r="B4179" t="s">
        <v>27132</v>
      </c>
      <c r="C4179">
        <v>1</v>
      </c>
      <c r="D4179" t="s">
        <v>23629</v>
      </c>
      <c r="E4179" t="s">
        <v>23632</v>
      </c>
    </row>
    <row r="4180" spans="1:5" x14ac:dyDescent="0.25">
      <c r="A4180" s="131" t="s">
        <v>27068</v>
      </c>
      <c r="B4180" t="s">
        <v>27133</v>
      </c>
      <c r="C4180">
        <v>1</v>
      </c>
      <c r="D4180" t="s">
        <v>23629</v>
      </c>
      <c r="E4180" t="s">
        <v>23632</v>
      </c>
    </row>
    <row r="4181" spans="1:5" x14ac:dyDescent="0.25">
      <c r="A4181" s="130" t="s">
        <v>27068</v>
      </c>
      <c r="B4181" t="s">
        <v>27134</v>
      </c>
      <c r="C4181">
        <v>1</v>
      </c>
      <c r="D4181" t="s">
        <v>23629</v>
      </c>
      <c r="E4181" t="s">
        <v>23632</v>
      </c>
    </row>
    <row r="4182" spans="1:5" x14ac:dyDescent="0.25">
      <c r="A4182" s="130" t="str">
        <f>LEFT(B4182,1)</f>
        <v>P</v>
      </c>
      <c r="B4182" t="s">
        <v>27321</v>
      </c>
      <c r="C4182">
        <v>1</v>
      </c>
      <c r="D4182" t="s">
        <v>23629</v>
      </c>
      <c r="E4182" t="s">
        <v>23632</v>
      </c>
    </row>
    <row r="4183" spans="1:5" x14ac:dyDescent="0.25">
      <c r="A4183" s="130" t="s">
        <v>27068</v>
      </c>
      <c r="B4183" t="s">
        <v>27135</v>
      </c>
      <c r="C4183">
        <v>1.2</v>
      </c>
      <c r="D4183" t="s">
        <v>27136</v>
      </c>
      <c r="E4183" t="s">
        <v>23632</v>
      </c>
    </row>
    <row r="4184" spans="1:5" x14ac:dyDescent="0.25">
      <c r="A4184" s="131" t="s">
        <v>27068</v>
      </c>
      <c r="B4184" t="s">
        <v>27137</v>
      </c>
      <c r="C4184">
        <v>1</v>
      </c>
      <c r="D4184" t="s">
        <v>23629</v>
      </c>
      <c r="E4184" t="s">
        <v>23632</v>
      </c>
    </row>
    <row r="4185" spans="1:5" x14ac:dyDescent="0.25">
      <c r="A4185" s="130" t="s">
        <v>27068</v>
      </c>
      <c r="B4185" t="s">
        <v>27138</v>
      </c>
      <c r="C4185">
        <v>1</v>
      </c>
      <c r="D4185" t="s">
        <v>23629</v>
      </c>
      <c r="E4185" t="s">
        <v>23632</v>
      </c>
    </row>
    <row r="4186" spans="1:5" x14ac:dyDescent="0.25">
      <c r="A4186" s="130" t="s">
        <v>27068</v>
      </c>
      <c r="B4186" t="s">
        <v>27139</v>
      </c>
      <c r="C4186">
        <v>1.1000000000000001</v>
      </c>
      <c r="D4186" t="s">
        <v>23629</v>
      </c>
      <c r="E4186" t="s">
        <v>23632</v>
      </c>
    </row>
    <row r="4187" spans="1:5" x14ac:dyDescent="0.25">
      <c r="A4187" s="130" t="s">
        <v>27068</v>
      </c>
      <c r="B4187" t="s">
        <v>27140</v>
      </c>
      <c r="C4187">
        <v>1</v>
      </c>
      <c r="D4187" t="s">
        <v>23629</v>
      </c>
      <c r="E4187" t="s">
        <v>23632</v>
      </c>
    </row>
    <row r="4188" spans="1:5" x14ac:dyDescent="0.25">
      <c r="A4188" s="131" t="str">
        <f>LEFT((B4188),1)</f>
        <v>P</v>
      </c>
      <c r="B4188" t="s">
        <v>27141</v>
      </c>
      <c r="C4188">
        <v>1</v>
      </c>
      <c r="D4188" t="s">
        <v>27142</v>
      </c>
      <c r="E4188" t="s">
        <v>23632</v>
      </c>
    </row>
    <row r="4189" spans="1:5" x14ac:dyDescent="0.25">
      <c r="A4189" s="130" t="str">
        <f>LEFT(B4189,1)</f>
        <v>P</v>
      </c>
      <c r="B4189" t="s">
        <v>28581</v>
      </c>
      <c r="C4189">
        <v>1</v>
      </c>
      <c r="D4189" t="s">
        <v>23629</v>
      </c>
      <c r="E4189" t="s">
        <v>23632</v>
      </c>
    </row>
    <row r="4190" spans="1:5" x14ac:dyDescent="0.25">
      <c r="A4190" s="130" t="str">
        <f>LEFT((B4190),1)</f>
        <v>P</v>
      </c>
      <c r="B4190" t="s">
        <v>27143</v>
      </c>
      <c r="C4190">
        <v>1</v>
      </c>
      <c r="D4190" t="s">
        <v>23629</v>
      </c>
      <c r="E4190" t="s">
        <v>23632</v>
      </c>
    </row>
    <row r="4191" spans="1:5" x14ac:dyDescent="0.25">
      <c r="A4191" s="131" t="s">
        <v>27068</v>
      </c>
      <c r="B4191" t="s">
        <v>27144</v>
      </c>
      <c r="C4191">
        <v>1</v>
      </c>
      <c r="D4191" t="s">
        <v>23629</v>
      </c>
      <c r="E4191" t="s">
        <v>23632</v>
      </c>
    </row>
    <row r="4192" spans="1:5" x14ac:dyDescent="0.25">
      <c r="A4192" s="130" t="s">
        <v>27068</v>
      </c>
      <c r="B4192" t="s">
        <v>27145</v>
      </c>
      <c r="C4192">
        <v>1</v>
      </c>
      <c r="D4192" t="s">
        <v>23629</v>
      </c>
      <c r="E4192" t="s">
        <v>23632</v>
      </c>
    </row>
    <row r="4193" spans="1:5" x14ac:dyDescent="0.25">
      <c r="A4193" s="131" t="s">
        <v>27068</v>
      </c>
      <c r="B4193" t="s">
        <v>27146</v>
      </c>
      <c r="C4193">
        <v>1</v>
      </c>
      <c r="D4193" t="s">
        <v>23629</v>
      </c>
      <c r="E4193" t="s">
        <v>23632</v>
      </c>
    </row>
    <row r="4194" spans="1:5" x14ac:dyDescent="0.25">
      <c r="A4194" s="130" t="str">
        <f>LEFT(B4194,1)</f>
        <v>P</v>
      </c>
      <c r="B4194" t="s">
        <v>28862</v>
      </c>
      <c r="C4194">
        <v>1</v>
      </c>
      <c r="D4194" t="s">
        <v>23629</v>
      </c>
      <c r="E4194" t="s">
        <v>23632</v>
      </c>
    </row>
    <row r="4195" spans="1:5" x14ac:dyDescent="0.25">
      <c r="A4195" s="130" t="str">
        <f>LEFT(B4195,1)</f>
        <v>P</v>
      </c>
      <c r="B4195" t="s">
        <v>28863</v>
      </c>
      <c r="C4195">
        <v>1</v>
      </c>
      <c r="D4195" t="s">
        <v>23629</v>
      </c>
      <c r="E4195" t="s">
        <v>23632</v>
      </c>
    </row>
    <row r="4196" spans="1:5" x14ac:dyDescent="0.25">
      <c r="A4196" s="131" t="str">
        <f>LEFT(B4196,1)</f>
        <v>P</v>
      </c>
      <c r="B4196" t="s">
        <v>27322</v>
      </c>
      <c r="C4196">
        <v>1</v>
      </c>
      <c r="D4196" t="s">
        <v>23629</v>
      </c>
      <c r="E4196" t="s">
        <v>23632</v>
      </c>
    </row>
    <row r="4197" spans="1:5" x14ac:dyDescent="0.25">
      <c r="A4197" s="130" t="s">
        <v>27068</v>
      </c>
      <c r="B4197" t="s">
        <v>27147</v>
      </c>
      <c r="C4197">
        <v>1</v>
      </c>
      <c r="D4197" t="s">
        <v>23629</v>
      </c>
      <c r="E4197" t="s">
        <v>23632</v>
      </c>
    </row>
    <row r="4198" spans="1:5" x14ac:dyDescent="0.25">
      <c r="A4198" s="130" t="str">
        <f>LEFT(B4198,1)</f>
        <v>P</v>
      </c>
      <c r="B4198" t="s">
        <v>28582</v>
      </c>
      <c r="C4198">
        <v>1</v>
      </c>
      <c r="D4198" t="s">
        <v>23629</v>
      </c>
      <c r="E4198" t="s">
        <v>23632</v>
      </c>
    </row>
    <row r="4199" spans="1:5" x14ac:dyDescent="0.25">
      <c r="A4199" s="131" t="s">
        <v>27068</v>
      </c>
      <c r="B4199" t="s">
        <v>27148</v>
      </c>
      <c r="C4199">
        <v>1</v>
      </c>
      <c r="D4199" t="s">
        <v>23629</v>
      </c>
      <c r="E4199" t="s">
        <v>23632</v>
      </c>
    </row>
    <row r="4200" spans="1:5" x14ac:dyDescent="0.25">
      <c r="A4200" s="130" t="s">
        <v>27068</v>
      </c>
      <c r="B4200" t="s">
        <v>27149</v>
      </c>
      <c r="C4200">
        <v>1</v>
      </c>
      <c r="D4200" t="s">
        <v>23629</v>
      </c>
      <c r="E4200" t="s">
        <v>23632</v>
      </c>
    </row>
    <row r="4201" spans="1:5" x14ac:dyDescent="0.25">
      <c r="A4201" s="130" t="s">
        <v>27068</v>
      </c>
      <c r="B4201" t="s">
        <v>27150</v>
      </c>
      <c r="C4201">
        <v>1</v>
      </c>
      <c r="D4201" t="s">
        <v>23629</v>
      </c>
      <c r="E4201" t="s">
        <v>23632</v>
      </c>
    </row>
    <row r="4202" spans="1:5" x14ac:dyDescent="0.25">
      <c r="A4202" s="131" t="s">
        <v>27068</v>
      </c>
      <c r="B4202" t="s">
        <v>27151</v>
      </c>
      <c r="C4202">
        <v>1</v>
      </c>
      <c r="D4202" t="s">
        <v>23629</v>
      </c>
      <c r="E4202" t="s">
        <v>23632</v>
      </c>
    </row>
    <row r="4203" spans="1:5" x14ac:dyDescent="0.25">
      <c r="A4203" s="130" t="str">
        <f>LEFT(B4203,1)</f>
        <v>P</v>
      </c>
      <c r="B4203" t="s">
        <v>27313</v>
      </c>
      <c r="C4203">
        <v>1</v>
      </c>
      <c r="D4203" t="s">
        <v>23629</v>
      </c>
      <c r="E4203" t="s">
        <v>23632</v>
      </c>
    </row>
    <row r="4204" spans="1:5" x14ac:dyDescent="0.25">
      <c r="A4204" s="131" t="s">
        <v>27068</v>
      </c>
      <c r="B4204" t="s">
        <v>27152</v>
      </c>
      <c r="C4204">
        <v>1</v>
      </c>
      <c r="D4204" t="s">
        <v>23629</v>
      </c>
      <c r="E4204" t="s">
        <v>23632</v>
      </c>
    </row>
    <row r="4205" spans="1:5" x14ac:dyDescent="0.25">
      <c r="A4205" s="130" t="s">
        <v>27068</v>
      </c>
      <c r="B4205" t="s">
        <v>27153</v>
      </c>
      <c r="C4205">
        <v>1</v>
      </c>
      <c r="D4205" t="s">
        <v>23629</v>
      </c>
      <c r="E4205" t="s">
        <v>23632</v>
      </c>
    </row>
    <row r="4206" spans="1:5" x14ac:dyDescent="0.25">
      <c r="A4206" s="131" t="str">
        <f>LEFT((B4206),1)</f>
        <v>P</v>
      </c>
      <c r="B4206" t="s">
        <v>27154</v>
      </c>
      <c r="C4206">
        <v>1</v>
      </c>
      <c r="D4206" t="s">
        <v>23629</v>
      </c>
      <c r="E4206" t="s">
        <v>23632</v>
      </c>
    </row>
    <row r="4207" spans="1:5" x14ac:dyDescent="0.25">
      <c r="A4207" s="130" t="s">
        <v>27068</v>
      </c>
      <c r="B4207" t="s">
        <v>27155</v>
      </c>
      <c r="C4207">
        <v>1</v>
      </c>
      <c r="D4207" t="s">
        <v>23629</v>
      </c>
      <c r="E4207" t="s">
        <v>23632</v>
      </c>
    </row>
    <row r="4208" spans="1:5" x14ac:dyDescent="0.25">
      <c r="A4208" s="130" t="s">
        <v>27068</v>
      </c>
      <c r="B4208" t="s">
        <v>27156</v>
      </c>
      <c r="C4208">
        <v>1</v>
      </c>
      <c r="D4208" t="s">
        <v>23629</v>
      </c>
      <c r="E4208" t="s">
        <v>23632</v>
      </c>
    </row>
    <row r="4209" spans="1:5" x14ac:dyDescent="0.25">
      <c r="A4209" s="131" t="s">
        <v>27068</v>
      </c>
      <c r="B4209" t="s">
        <v>27157</v>
      </c>
      <c r="C4209">
        <v>1.21</v>
      </c>
      <c r="D4209" t="s">
        <v>23629</v>
      </c>
      <c r="E4209" t="s">
        <v>23632</v>
      </c>
    </row>
    <row r="4210" spans="1:5" x14ac:dyDescent="0.25">
      <c r="A4210" s="130" t="str">
        <f>LEFT(B4210,1)</f>
        <v>P</v>
      </c>
      <c r="B4210" t="s">
        <v>29266</v>
      </c>
      <c r="C4210">
        <v>1</v>
      </c>
      <c r="D4210" t="s">
        <v>23629</v>
      </c>
      <c r="E4210" t="s">
        <v>23632</v>
      </c>
    </row>
    <row r="4211" spans="1:5" x14ac:dyDescent="0.25">
      <c r="A4211" s="131" t="s">
        <v>27068</v>
      </c>
      <c r="B4211" t="s">
        <v>27158</v>
      </c>
      <c r="C4211">
        <v>1</v>
      </c>
      <c r="D4211" t="s">
        <v>23629</v>
      </c>
      <c r="E4211" t="s">
        <v>23632</v>
      </c>
    </row>
    <row r="4212" spans="1:5" x14ac:dyDescent="0.25">
      <c r="A4212" s="131" t="s">
        <v>27068</v>
      </c>
      <c r="B4212" t="s">
        <v>27159</v>
      </c>
      <c r="C4212">
        <v>1</v>
      </c>
      <c r="D4212" t="s">
        <v>23629</v>
      </c>
      <c r="E4212" t="s">
        <v>23632</v>
      </c>
    </row>
    <row r="4213" spans="1:5" x14ac:dyDescent="0.25">
      <c r="A4213" s="130" t="str">
        <f>LEFT(B4213,1)</f>
        <v>P</v>
      </c>
      <c r="B4213" t="s">
        <v>27323</v>
      </c>
      <c r="C4213">
        <v>1</v>
      </c>
      <c r="D4213" t="s">
        <v>23629</v>
      </c>
      <c r="E4213" t="s">
        <v>23632</v>
      </c>
    </row>
    <row r="4214" spans="1:5" x14ac:dyDescent="0.25">
      <c r="A4214" s="131" t="str">
        <f>LEFT(B4214,1)</f>
        <v>P</v>
      </c>
      <c r="B4214" t="s">
        <v>27305</v>
      </c>
      <c r="C4214">
        <v>1</v>
      </c>
      <c r="D4214" t="s">
        <v>23629</v>
      </c>
      <c r="E4214" t="s">
        <v>23632</v>
      </c>
    </row>
    <row r="4215" spans="1:5" x14ac:dyDescent="0.25">
      <c r="A4215" s="131" t="str">
        <f>LEFT(B4215,1)</f>
        <v>P</v>
      </c>
      <c r="B4215" t="s">
        <v>27324</v>
      </c>
      <c r="C4215">
        <v>1</v>
      </c>
      <c r="D4215" t="s">
        <v>23629</v>
      </c>
      <c r="E4215" t="s">
        <v>23632</v>
      </c>
    </row>
    <row r="4216" spans="1:5" x14ac:dyDescent="0.25">
      <c r="A4216" s="130" t="s">
        <v>27068</v>
      </c>
      <c r="B4216" t="s">
        <v>27160</v>
      </c>
      <c r="C4216">
        <v>1</v>
      </c>
      <c r="D4216" t="s">
        <v>23629</v>
      </c>
      <c r="E4216" t="s">
        <v>23632</v>
      </c>
    </row>
    <row r="4217" spans="1:5" x14ac:dyDescent="0.25">
      <c r="A4217" s="131" t="s">
        <v>27068</v>
      </c>
      <c r="B4217" t="s">
        <v>27161</v>
      </c>
      <c r="C4217">
        <v>1</v>
      </c>
      <c r="D4217" t="s">
        <v>23629</v>
      </c>
      <c r="E4217" t="s">
        <v>23632</v>
      </c>
    </row>
    <row r="4218" spans="1:5" x14ac:dyDescent="0.25">
      <c r="A4218" s="130" t="str">
        <f>LEFT(B4218,1)</f>
        <v>P</v>
      </c>
      <c r="B4218" t="s">
        <v>27325</v>
      </c>
      <c r="C4218">
        <v>1</v>
      </c>
      <c r="D4218" t="s">
        <v>23629</v>
      </c>
      <c r="E4218" t="s">
        <v>23632</v>
      </c>
    </row>
    <row r="4219" spans="1:5" x14ac:dyDescent="0.25">
      <c r="A4219" s="130" t="s">
        <v>27068</v>
      </c>
      <c r="B4219" t="s">
        <v>27162</v>
      </c>
      <c r="C4219">
        <v>1</v>
      </c>
      <c r="D4219" t="s">
        <v>23629</v>
      </c>
      <c r="E4219" t="s">
        <v>23632</v>
      </c>
    </row>
    <row r="4220" spans="1:5" x14ac:dyDescent="0.25">
      <c r="A4220" s="130" t="str">
        <f>LEFT(B4220,1)</f>
        <v>P</v>
      </c>
      <c r="B4220" t="s">
        <v>28583</v>
      </c>
      <c r="C4220">
        <v>1</v>
      </c>
      <c r="D4220" t="s">
        <v>23629</v>
      </c>
      <c r="E4220" t="s">
        <v>23632</v>
      </c>
    </row>
    <row r="4221" spans="1:5" x14ac:dyDescent="0.25">
      <c r="A4221" s="130" t="str">
        <f>LEFT(B4221,1)</f>
        <v>P</v>
      </c>
      <c r="B4221" t="s">
        <v>28864</v>
      </c>
      <c r="C4221">
        <v>1</v>
      </c>
      <c r="D4221" t="s">
        <v>23629</v>
      </c>
      <c r="E4221" t="s">
        <v>23632</v>
      </c>
    </row>
    <row r="4222" spans="1:5" x14ac:dyDescent="0.25">
      <c r="A4222" s="131" t="s">
        <v>27068</v>
      </c>
      <c r="B4222" t="s">
        <v>27163</v>
      </c>
      <c r="C4222">
        <v>1</v>
      </c>
      <c r="D4222" t="s">
        <v>23629</v>
      </c>
      <c r="E4222" t="s">
        <v>23632</v>
      </c>
    </row>
    <row r="4223" spans="1:5" x14ac:dyDescent="0.25">
      <c r="A4223" s="130" t="str">
        <f>LEFT(B4223,1)</f>
        <v>P</v>
      </c>
      <c r="B4223" t="s">
        <v>28865</v>
      </c>
      <c r="C4223">
        <v>1</v>
      </c>
      <c r="D4223" t="s">
        <v>23629</v>
      </c>
      <c r="E4223" t="s">
        <v>23632</v>
      </c>
    </row>
    <row r="4224" spans="1:5" x14ac:dyDescent="0.25">
      <c r="A4224" s="131" t="str">
        <f>LEFT(B4224,1)</f>
        <v>P</v>
      </c>
      <c r="B4224" t="s">
        <v>27326</v>
      </c>
      <c r="C4224">
        <v>1</v>
      </c>
      <c r="D4224" t="s">
        <v>23629</v>
      </c>
      <c r="E4224" t="s">
        <v>23632</v>
      </c>
    </row>
    <row r="4225" spans="1:5" x14ac:dyDescent="0.25">
      <c r="A4225" s="131" t="s">
        <v>27068</v>
      </c>
      <c r="B4225" t="s">
        <v>27164</v>
      </c>
      <c r="C4225">
        <v>1</v>
      </c>
      <c r="D4225" t="s">
        <v>23629</v>
      </c>
      <c r="E4225" t="s">
        <v>23632</v>
      </c>
    </row>
    <row r="4226" spans="1:5" x14ac:dyDescent="0.25">
      <c r="A4226" s="130" t="s">
        <v>27068</v>
      </c>
      <c r="B4226" t="s">
        <v>27165</v>
      </c>
      <c r="C4226">
        <v>1</v>
      </c>
      <c r="D4226" t="s">
        <v>23629</v>
      </c>
      <c r="E4226" t="s">
        <v>23632</v>
      </c>
    </row>
    <row r="4227" spans="1:5" x14ac:dyDescent="0.25">
      <c r="A4227" s="131" t="s">
        <v>27068</v>
      </c>
      <c r="B4227" t="s">
        <v>27166</v>
      </c>
      <c r="C4227">
        <v>1</v>
      </c>
      <c r="D4227" t="s">
        <v>23629</v>
      </c>
      <c r="E4227" t="s">
        <v>23632</v>
      </c>
    </row>
    <row r="4228" spans="1:5" x14ac:dyDescent="0.25">
      <c r="A4228" s="130" t="s">
        <v>27068</v>
      </c>
      <c r="B4228" t="s">
        <v>27167</v>
      </c>
      <c r="C4228">
        <v>1</v>
      </c>
      <c r="D4228" t="s">
        <v>23629</v>
      </c>
      <c r="E4228" t="s">
        <v>23632</v>
      </c>
    </row>
    <row r="4229" spans="1:5" x14ac:dyDescent="0.25">
      <c r="A4229" s="131" t="s">
        <v>27068</v>
      </c>
      <c r="B4229" t="s">
        <v>27168</v>
      </c>
      <c r="C4229">
        <v>1</v>
      </c>
      <c r="D4229" t="s">
        <v>23629</v>
      </c>
      <c r="E4229" t="s">
        <v>23632</v>
      </c>
    </row>
    <row r="4230" spans="1:5" x14ac:dyDescent="0.25">
      <c r="A4230" s="130" t="str">
        <f>LEFT(B4230,1)</f>
        <v>P</v>
      </c>
      <c r="B4230" t="s">
        <v>28866</v>
      </c>
      <c r="C4230">
        <v>1</v>
      </c>
      <c r="D4230" t="s">
        <v>23629</v>
      </c>
      <c r="E4230" t="s">
        <v>23632</v>
      </c>
    </row>
    <row r="4231" spans="1:5" x14ac:dyDescent="0.25">
      <c r="A4231" s="130" t="s">
        <v>27068</v>
      </c>
      <c r="B4231" t="s">
        <v>27169</v>
      </c>
      <c r="C4231">
        <v>1</v>
      </c>
      <c r="D4231" t="s">
        <v>23629</v>
      </c>
      <c r="E4231" t="s">
        <v>23632</v>
      </c>
    </row>
    <row r="4232" spans="1:5" x14ac:dyDescent="0.25">
      <c r="A4232" s="131" t="s">
        <v>27068</v>
      </c>
      <c r="B4232" t="s">
        <v>27170</v>
      </c>
      <c r="C4232">
        <v>1.1100000000000001</v>
      </c>
      <c r="D4232" t="s">
        <v>23629</v>
      </c>
      <c r="E4232" t="s">
        <v>23632</v>
      </c>
    </row>
    <row r="4233" spans="1:5" x14ac:dyDescent="0.25">
      <c r="A4233" s="131" t="s">
        <v>27068</v>
      </c>
      <c r="B4233" t="s">
        <v>27171</v>
      </c>
      <c r="C4233">
        <v>1</v>
      </c>
      <c r="D4233" t="s">
        <v>23629</v>
      </c>
      <c r="E4233" t="s">
        <v>23632</v>
      </c>
    </row>
    <row r="4234" spans="1:5" x14ac:dyDescent="0.25">
      <c r="A4234" s="130" t="s">
        <v>27068</v>
      </c>
      <c r="B4234" t="s">
        <v>27172</v>
      </c>
      <c r="C4234">
        <v>1</v>
      </c>
      <c r="D4234" t="s">
        <v>23629</v>
      </c>
      <c r="E4234" t="s">
        <v>23632</v>
      </c>
    </row>
    <row r="4235" spans="1:5" x14ac:dyDescent="0.25">
      <c r="A4235" s="131" t="s">
        <v>27068</v>
      </c>
      <c r="B4235" t="s">
        <v>27173</v>
      </c>
      <c r="C4235">
        <v>1</v>
      </c>
      <c r="D4235" t="s">
        <v>23629</v>
      </c>
      <c r="E4235" t="s">
        <v>23632</v>
      </c>
    </row>
    <row r="4236" spans="1:5" x14ac:dyDescent="0.25">
      <c r="A4236" s="130" t="s">
        <v>27068</v>
      </c>
      <c r="B4236" t="s">
        <v>27174</v>
      </c>
      <c r="C4236">
        <v>1</v>
      </c>
      <c r="D4236" t="s">
        <v>23629</v>
      </c>
      <c r="E4236" t="s">
        <v>23632</v>
      </c>
    </row>
    <row r="4237" spans="1:5" x14ac:dyDescent="0.25">
      <c r="A4237" s="130" t="s">
        <v>27068</v>
      </c>
      <c r="B4237" t="s">
        <v>27175</v>
      </c>
      <c r="C4237">
        <v>1</v>
      </c>
      <c r="D4237" t="s">
        <v>23629</v>
      </c>
      <c r="E4237" t="s">
        <v>23632</v>
      </c>
    </row>
    <row r="4238" spans="1:5" x14ac:dyDescent="0.25">
      <c r="A4238" s="131" t="s">
        <v>27068</v>
      </c>
      <c r="B4238" t="s">
        <v>27176</v>
      </c>
      <c r="C4238">
        <v>1</v>
      </c>
      <c r="D4238" t="s">
        <v>23629</v>
      </c>
      <c r="E4238" t="s">
        <v>23632</v>
      </c>
    </row>
    <row r="4239" spans="1:5" x14ac:dyDescent="0.25">
      <c r="A4239" s="130" t="s">
        <v>27068</v>
      </c>
      <c r="B4239" t="s">
        <v>27177</v>
      </c>
      <c r="C4239">
        <v>1</v>
      </c>
      <c r="D4239" t="s">
        <v>23629</v>
      </c>
      <c r="E4239" t="s">
        <v>23632</v>
      </c>
    </row>
    <row r="4240" spans="1:5" x14ac:dyDescent="0.25">
      <c r="A4240" s="130" t="str">
        <f>LEFT(B4240,1)</f>
        <v>P</v>
      </c>
      <c r="B4240" t="s">
        <v>27314</v>
      </c>
      <c r="C4240">
        <v>1</v>
      </c>
      <c r="D4240" t="s">
        <v>23629</v>
      </c>
      <c r="E4240" t="s">
        <v>23632</v>
      </c>
    </row>
    <row r="4241" spans="1:5" x14ac:dyDescent="0.25">
      <c r="A4241" s="131" t="s">
        <v>27068</v>
      </c>
      <c r="B4241" t="s">
        <v>27178</v>
      </c>
      <c r="C4241">
        <v>1</v>
      </c>
      <c r="D4241" t="s">
        <v>23629</v>
      </c>
      <c r="E4241" t="s">
        <v>23632</v>
      </c>
    </row>
    <row r="4242" spans="1:5" x14ac:dyDescent="0.25">
      <c r="A4242" s="130" t="str">
        <f>LEFT(B4242,1)</f>
        <v>P</v>
      </c>
      <c r="B4242" t="s">
        <v>27315</v>
      </c>
      <c r="C4242">
        <v>1</v>
      </c>
      <c r="D4242" t="s">
        <v>23629</v>
      </c>
      <c r="E4242" t="s">
        <v>23632</v>
      </c>
    </row>
    <row r="4243" spans="1:5" x14ac:dyDescent="0.25">
      <c r="A4243" s="130" t="s">
        <v>27068</v>
      </c>
      <c r="B4243" t="s">
        <v>27179</v>
      </c>
      <c r="C4243">
        <v>1</v>
      </c>
      <c r="D4243" t="s">
        <v>23629</v>
      </c>
      <c r="E4243" t="s">
        <v>23632</v>
      </c>
    </row>
    <row r="4244" spans="1:5" x14ac:dyDescent="0.25">
      <c r="A4244" s="130" t="str">
        <f>LEFT(B4244,1)</f>
        <v>P</v>
      </c>
      <c r="B4244" t="s">
        <v>27327</v>
      </c>
      <c r="C4244">
        <v>1</v>
      </c>
      <c r="D4244" t="s">
        <v>23629</v>
      </c>
      <c r="E4244" t="s">
        <v>23632</v>
      </c>
    </row>
    <row r="4245" spans="1:5" x14ac:dyDescent="0.25">
      <c r="A4245" s="131" t="s">
        <v>27068</v>
      </c>
      <c r="B4245" t="s">
        <v>27180</v>
      </c>
      <c r="C4245">
        <v>1</v>
      </c>
      <c r="D4245" t="s">
        <v>23629</v>
      </c>
      <c r="E4245" t="s">
        <v>23632</v>
      </c>
    </row>
    <row r="4246" spans="1:5" x14ac:dyDescent="0.25">
      <c r="A4246" s="130" t="s">
        <v>27068</v>
      </c>
      <c r="B4246" t="s">
        <v>27181</v>
      </c>
      <c r="C4246">
        <v>1</v>
      </c>
      <c r="D4246" t="s">
        <v>23629</v>
      </c>
      <c r="E4246" t="s">
        <v>23632</v>
      </c>
    </row>
    <row r="4247" spans="1:5" x14ac:dyDescent="0.25">
      <c r="A4247" s="131" t="s">
        <v>27068</v>
      </c>
      <c r="B4247" t="s">
        <v>27182</v>
      </c>
      <c r="C4247">
        <v>1</v>
      </c>
      <c r="D4247" t="s">
        <v>23629</v>
      </c>
      <c r="E4247" t="s">
        <v>23632</v>
      </c>
    </row>
    <row r="4248" spans="1:5" x14ac:dyDescent="0.25">
      <c r="A4248" s="130" t="s">
        <v>27068</v>
      </c>
      <c r="B4248" t="s">
        <v>27183</v>
      </c>
      <c r="C4248">
        <v>1</v>
      </c>
      <c r="D4248" t="s">
        <v>23629</v>
      </c>
      <c r="E4248" t="s">
        <v>23632</v>
      </c>
    </row>
    <row r="4249" spans="1:5" x14ac:dyDescent="0.25">
      <c r="A4249" s="131" t="s">
        <v>27068</v>
      </c>
      <c r="B4249" t="s">
        <v>27184</v>
      </c>
      <c r="C4249">
        <v>1</v>
      </c>
      <c r="D4249" t="s">
        <v>23629</v>
      </c>
      <c r="E4249" t="s">
        <v>23632</v>
      </c>
    </row>
    <row r="4250" spans="1:5" x14ac:dyDescent="0.25">
      <c r="A4250" s="130" t="s">
        <v>27068</v>
      </c>
      <c r="B4250" t="s">
        <v>27185</v>
      </c>
      <c r="C4250">
        <v>1</v>
      </c>
      <c r="D4250" t="s">
        <v>23629</v>
      </c>
      <c r="E4250" t="s">
        <v>23632</v>
      </c>
    </row>
    <row r="4251" spans="1:5" x14ac:dyDescent="0.25">
      <c r="A4251" s="131" t="s">
        <v>27068</v>
      </c>
      <c r="B4251" t="s">
        <v>27186</v>
      </c>
      <c r="C4251">
        <v>1</v>
      </c>
      <c r="D4251" t="s">
        <v>25109</v>
      </c>
      <c r="E4251" t="s">
        <v>23632</v>
      </c>
    </row>
    <row r="4252" spans="1:5" x14ac:dyDescent="0.25">
      <c r="A4252" s="130" t="s">
        <v>27068</v>
      </c>
      <c r="B4252" t="s">
        <v>27187</v>
      </c>
      <c r="C4252">
        <v>1</v>
      </c>
      <c r="D4252" t="s">
        <v>23629</v>
      </c>
      <c r="E4252" t="s">
        <v>23632</v>
      </c>
    </row>
    <row r="4253" spans="1:5" x14ac:dyDescent="0.25">
      <c r="A4253" s="130" t="str">
        <f>LEFT(B4253,1)</f>
        <v>P</v>
      </c>
      <c r="B4253" t="s">
        <v>29119</v>
      </c>
      <c r="C4253">
        <v>1</v>
      </c>
      <c r="D4253" t="s">
        <v>23629</v>
      </c>
      <c r="E4253" t="s">
        <v>23632</v>
      </c>
    </row>
    <row r="4254" spans="1:5" x14ac:dyDescent="0.25">
      <c r="A4254" s="131" t="s">
        <v>27068</v>
      </c>
      <c r="B4254" t="s">
        <v>27188</v>
      </c>
      <c r="C4254">
        <v>1</v>
      </c>
      <c r="D4254" t="s">
        <v>23629</v>
      </c>
      <c r="E4254" t="s">
        <v>23632</v>
      </c>
    </row>
    <row r="4255" spans="1:5" x14ac:dyDescent="0.25">
      <c r="A4255" s="131" t="s">
        <v>27068</v>
      </c>
      <c r="B4255" t="s">
        <v>27189</v>
      </c>
      <c r="C4255">
        <v>1</v>
      </c>
      <c r="D4255" t="s">
        <v>23629</v>
      </c>
      <c r="E4255" t="s">
        <v>23632</v>
      </c>
    </row>
    <row r="4256" spans="1:5" x14ac:dyDescent="0.25">
      <c r="A4256" s="130" t="s">
        <v>27068</v>
      </c>
      <c r="B4256" t="s">
        <v>27190</v>
      </c>
      <c r="C4256">
        <v>1</v>
      </c>
      <c r="D4256" t="s">
        <v>23629</v>
      </c>
      <c r="E4256" t="s">
        <v>23632</v>
      </c>
    </row>
    <row r="4257" spans="1:5" x14ac:dyDescent="0.25">
      <c r="A4257" s="131" t="s">
        <v>27068</v>
      </c>
      <c r="B4257" t="s">
        <v>27191</v>
      </c>
      <c r="C4257">
        <v>1</v>
      </c>
      <c r="D4257" t="s">
        <v>23629</v>
      </c>
      <c r="E4257" t="s">
        <v>23632</v>
      </c>
    </row>
    <row r="4258" spans="1:5" x14ac:dyDescent="0.25">
      <c r="A4258" s="130" t="str">
        <f>LEFT(B4258,1)</f>
        <v>P</v>
      </c>
      <c r="B4258" t="s">
        <v>27306</v>
      </c>
      <c r="C4258">
        <v>1</v>
      </c>
      <c r="D4258" t="s">
        <v>23629</v>
      </c>
      <c r="E4258" t="s">
        <v>23632</v>
      </c>
    </row>
    <row r="4259" spans="1:5" x14ac:dyDescent="0.25">
      <c r="A4259" s="130" t="str">
        <f>LEFT(B4259,1)</f>
        <v>P</v>
      </c>
      <c r="B4259" t="s">
        <v>28584</v>
      </c>
      <c r="C4259">
        <v>1</v>
      </c>
      <c r="D4259" t="s">
        <v>23629</v>
      </c>
      <c r="E4259" t="s">
        <v>23632</v>
      </c>
    </row>
    <row r="4260" spans="1:5" x14ac:dyDescent="0.25">
      <c r="A4260" s="130" t="s">
        <v>27068</v>
      </c>
      <c r="B4260" t="s">
        <v>27192</v>
      </c>
      <c r="C4260">
        <v>1</v>
      </c>
      <c r="D4260" t="s">
        <v>23629</v>
      </c>
      <c r="E4260" t="s">
        <v>23632</v>
      </c>
    </row>
    <row r="4261" spans="1:5" x14ac:dyDescent="0.25">
      <c r="A4261" s="130" t="str">
        <f>LEFT((B4261),1)</f>
        <v>P</v>
      </c>
      <c r="B4261" t="s">
        <v>27193</v>
      </c>
      <c r="C4261">
        <v>1</v>
      </c>
      <c r="D4261" t="s">
        <v>23629</v>
      </c>
      <c r="E4261" t="s">
        <v>23632</v>
      </c>
    </row>
    <row r="4262" spans="1:5" x14ac:dyDescent="0.25">
      <c r="A4262" s="130" t="s">
        <v>27068</v>
      </c>
      <c r="B4262" t="s">
        <v>27194</v>
      </c>
      <c r="C4262">
        <v>1</v>
      </c>
      <c r="D4262" t="s">
        <v>23629</v>
      </c>
      <c r="E4262" t="s">
        <v>23632</v>
      </c>
    </row>
    <row r="4263" spans="1:5" x14ac:dyDescent="0.25">
      <c r="A4263" s="131" t="str">
        <f>LEFT((B4263),1)</f>
        <v>P</v>
      </c>
      <c r="B4263" t="s">
        <v>27195</v>
      </c>
      <c r="C4263">
        <v>1</v>
      </c>
      <c r="D4263" t="s">
        <v>23629</v>
      </c>
      <c r="E4263" t="s">
        <v>23632</v>
      </c>
    </row>
    <row r="4264" spans="1:5" x14ac:dyDescent="0.25">
      <c r="A4264" s="131" t="s">
        <v>27068</v>
      </c>
      <c r="B4264" t="s">
        <v>27196</v>
      </c>
      <c r="C4264">
        <v>1</v>
      </c>
      <c r="D4264" t="s">
        <v>23629</v>
      </c>
      <c r="E4264" t="s">
        <v>23632</v>
      </c>
    </row>
    <row r="4265" spans="1:5" x14ac:dyDescent="0.25">
      <c r="A4265" s="131" t="str">
        <f>LEFT(B4265,1)</f>
        <v>P</v>
      </c>
      <c r="B4265" t="s">
        <v>27307</v>
      </c>
      <c r="C4265">
        <v>1</v>
      </c>
      <c r="D4265" t="s">
        <v>23629</v>
      </c>
      <c r="E4265" t="s">
        <v>23632</v>
      </c>
    </row>
    <row r="4266" spans="1:5" x14ac:dyDescent="0.25">
      <c r="A4266" s="130" t="s">
        <v>27068</v>
      </c>
      <c r="B4266" t="s">
        <v>27197</v>
      </c>
      <c r="C4266">
        <v>1</v>
      </c>
      <c r="D4266" t="s">
        <v>23629</v>
      </c>
      <c r="E4266" t="s">
        <v>23632</v>
      </c>
    </row>
    <row r="4267" spans="1:5" x14ac:dyDescent="0.25">
      <c r="A4267" s="131" t="s">
        <v>27068</v>
      </c>
      <c r="B4267" t="s">
        <v>27198</v>
      </c>
      <c r="C4267">
        <v>1</v>
      </c>
      <c r="D4267" t="s">
        <v>23629</v>
      </c>
      <c r="E4267" t="s">
        <v>23632</v>
      </c>
    </row>
    <row r="4268" spans="1:5" x14ac:dyDescent="0.25">
      <c r="A4268" s="130" t="str">
        <f>LEFT(B4268,1)</f>
        <v>P</v>
      </c>
      <c r="B4268" t="s">
        <v>28867</v>
      </c>
      <c r="C4268">
        <v>1</v>
      </c>
      <c r="D4268" t="s">
        <v>23629</v>
      </c>
      <c r="E4268" t="s">
        <v>23632</v>
      </c>
    </row>
    <row r="4269" spans="1:5" x14ac:dyDescent="0.25">
      <c r="A4269" s="131" t="str">
        <f>LEFT(B4269,1)</f>
        <v>P</v>
      </c>
      <c r="B4269" t="s">
        <v>27328</v>
      </c>
      <c r="C4269">
        <v>1</v>
      </c>
      <c r="D4269" t="s">
        <v>23629</v>
      </c>
      <c r="E4269" t="s">
        <v>23632</v>
      </c>
    </row>
    <row r="4270" spans="1:5" x14ac:dyDescent="0.25">
      <c r="A4270" s="130" t="str">
        <f>LEFT(B4270,1)</f>
        <v>P</v>
      </c>
      <c r="B4270" t="s">
        <v>27329</v>
      </c>
      <c r="C4270">
        <v>1</v>
      </c>
      <c r="D4270" t="s">
        <v>23629</v>
      </c>
      <c r="E4270" t="s">
        <v>23632</v>
      </c>
    </row>
    <row r="4271" spans="1:5" x14ac:dyDescent="0.25">
      <c r="A4271" s="130" t="s">
        <v>27068</v>
      </c>
      <c r="B4271" t="s">
        <v>27199</v>
      </c>
      <c r="C4271">
        <v>1</v>
      </c>
      <c r="D4271" t="s">
        <v>23629</v>
      </c>
      <c r="E4271" t="s">
        <v>23632</v>
      </c>
    </row>
    <row r="4272" spans="1:5" x14ac:dyDescent="0.25">
      <c r="A4272" s="130" t="str">
        <f>LEFT(B4272,1)</f>
        <v>P</v>
      </c>
      <c r="B4272" t="s">
        <v>28585</v>
      </c>
      <c r="C4272">
        <v>1</v>
      </c>
      <c r="D4272" t="s">
        <v>23629</v>
      </c>
      <c r="E4272" t="s">
        <v>23632</v>
      </c>
    </row>
    <row r="4273" spans="1:5" x14ac:dyDescent="0.25">
      <c r="A4273" s="131" t="s">
        <v>27068</v>
      </c>
      <c r="B4273" t="s">
        <v>27200</v>
      </c>
      <c r="C4273">
        <v>1</v>
      </c>
      <c r="D4273" t="s">
        <v>23629</v>
      </c>
      <c r="E4273" t="s">
        <v>23632</v>
      </c>
    </row>
    <row r="4274" spans="1:5" x14ac:dyDescent="0.25">
      <c r="A4274" s="130" t="str">
        <f>LEFT(B4274,1)</f>
        <v>P</v>
      </c>
      <c r="B4274" t="s">
        <v>28586</v>
      </c>
      <c r="C4274">
        <v>1</v>
      </c>
      <c r="D4274" t="s">
        <v>23629</v>
      </c>
      <c r="E4274" t="s">
        <v>23632</v>
      </c>
    </row>
    <row r="4275" spans="1:5" x14ac:dyDescent="0.25">
      <c r="A4275" s="130" t="s">
        <v>27068</v>
      </c>
      <c r="B4275" t="s">
        <v>27201</v>
      </c>
      <c r="C4275">
        <v>1</v>
      </c>
      <c r="D4275" t="s">
        <v>23629</v>
      </c>
      <c r="E4275" t="s">
        <v>23632</v>
      </c>
    </row>
    <row r="4276" spans="1:5" x14ac:dyDescent="0.25">
      <c r="A4276" s="131" t="s">
        <v>27068</v>
      </c>
      <c r="B4276" t="s">
        <v>27202</v>
      </c>
      <c r="C4276">
        <v>1</v>
      </c>
      <c r="D4276" t="s">
        <v>23629</v>
      </c>
      <c r="E4276" t="s">
        <v>23632</v>
      </c>
    </row>
    <row r="4277" spans="1:5" x14ac:dyDescent="0.25">
      <c r="A4277" s="130" t="str">
        <f>LEFT(B4277,1)</f>
        <v>P</v>
      </c>
      <c r="B4277" t="s">
        <v>29120</v>
      </c>
      <c r="C4277">
        <v>1</v>
      </c>
      <c r="D4277" t="s">
        <v>23629</v>
      </c>
      <c r="E4277" t="s">
        <v>23632</v>
      </c>
    </row>
    <row r="4278" spans="1:5" x14ac:dyDescent="0.25">
      <c r="A4278" s="130" t="s">
        <v>27068</v>
      </c>
      <c r="B4278" t="s">
        <v>27203</v>
      </c>
      <c r="C4278">
        <v>1</v>
      </c>
      <c r="D4278" t="s">
        <v>23629</v>
      </c>
      <c r="E4278" t="s">
        <v>23632</v>
      </c>
    </row>
    <row r="4279" spans="1:5" x14ac:dyDescent="0.25">
      <c r="A4279" s="131" t="s">
        <v>27068</v>
      </c>
      <c r="B4279" t="s">
        <v>27204</v>
      </c>
      <c r="C4279">
        <v>1</v>
      </c>
      <c r="D4279" t="s">
        <v>23629</v>
      </c>
      <c r="E4279" t="s">
        <v>23632</v>
      </c>
    </row>
    <row r="4280" spans="1:5" x14ac:dyDescent="0.25">
      <c r="A4280" s="130" t="s">
        <v>27068</v>
      </c>
      <c r="B4280" t="s">
        <v>27205</v>
      </c>
      <c r="C4280">
        <v>1</v>
      </c>
      <c r="D4280" t="s">
        <v>23629</v>
      </c>
      <c r="E4280" t="s">
        <v>23632</v>
      </c>
    </row>
    <row r="4281" spans="1:5" x14ac:dyDescent="0.25">
      <c r="A4281" s="131" t="s">
        <v>27068</v>
      </c>
      <c r="B4281" t="s">
        <v>27206</v>
      </c>
      <c r="C4281">
        <v>1</v>
      </c>
      <c r="D4281" t="s">
        <v>23629</v>
      </c>
      <c r="E4281" t="s">
        <v>23632</v>
      </c>
    </row>
    <row r="4282" spans="1:5" x14ac:dyDescent="0.25">
      <c r="A4282" s="130" t="s">
        <v>27068</v>
      </c>
      <c r="B4282" t="s">
        <v>27207</v>
      </c>
      <c r="C4282">
        <v>1</v>
      </c>
      <c r="D4282" t="s">
        <v>23629</v>
      </c>
      <c r="E4282" t="s">
        <v>23632</v>
      </c>
    </row>
    <row r="4283" spans="1:5" x14ac:dyDescent="0.25">
      <c r="A4283" s="131" t="s">
        <v>27068</v>
      </c>
      <c r="B4283" t="s">
        <v>27208</v>
      </c>
      <c r="C4283">
        <v>1</v>
      </c>
      <c r="D4283" t="s">
        <v>23629</v>
      </c>
      <c r="E4283" t="s">
        <v>23632</v>
      </c>
    </row>
    <row r="4284" spans="1:5" x14ac:dyDescent="0.25">
      <c r="A4284" s="130" t="str">
        <f>LEFT(B4284,1)</f>
        <v>P</v>
      </c>
      <c r="B4284" t="s">
        <v>27316</v>
      </c>
      <c r="C4284">
        <v>1</v>
      </c>
      <c r="D4284" t="s">
        <v>23629</v>
      </c>
      <c r="E4284" t="s">
        <v>23632</v>
      </c>
    </row>
    <row r="4285" spans="1:5" x14ac:dyDescent="0.25">
      <c r="A4285" s="130" t="str">
        <f>LEFT(B4285,1)</f>
        <v>P</v>
      </c>
      <c r="B4285" t="s">
        <v>28868</v>
      </c>
      <c r="C4285">
        <v>1</v>
      </c>
      <c r="D4285" t="s">
        <v>23629</v>
      </c>
      <c r="E4285" t="s">
        <v>23632</v>
      </c>
    </row>
    <row r="4286" spans="1:5" x14ac:dyDescent="0.25">
      <c r="A4286" s="130" t="s">
        <v>27068</v>
      </c>
      <c r="B4286" t="s">
        <v>27209</v>
      </c>
      <c r="C4286">
        <v>1</v>
      </c>
      <c r="D4286" t="s">
        <v>23629</v>
      </c>
      <c r="E4286" t="s">
        <v>23632</v>
      </c>
    </row>
    <row r="4287" spans="1:5" x14ac:dyDescent="0.25">
      <c r="A4287" s="131" t="s">
        <v>27068</v>
      </c>
      <c r="B4287" t="s">
        <v>27210</v>
      </c>
      <c r="C4287">
        <v>1</v>
      </c>
      <c r="D4287" t="s">
        <v>23629</v>
      </c>
      <c r="E4287" t="s">
        <v>23632</v>
      </c>
    </row>
    <row r="4288" spans="1:5" x14ac:dyDescent="0.25">
      <c r="A4288" s="130" t="s">
        <v>27068</v>
      </c>
      <c r="B4288" t="s">
        <v>27211</v>
      </c>
      <c r="C4288">
        <v>1</v>
      </c>
      <c r="D4288" t="s">
        <v>23629</v>
      </c>
      <c r="E4288" t="s">
        <v>23632</v>
      </c>
    </row>
    <row r="4289" spans="1:5" x14ac:dyDescent="0.25">
      <c r="A4289" s="131" t="s">
        <v>27068</v>
      </c>
      <c r="B4289" t="s">
        <v>27212</v>
      </c>
      <c r="C4289">
        <v>1</v>
      </c>
      <c r="D4289" t="s">
        <v>23629</v>
      </c>
      <c r="E4289" t="s">
        <v>23632</v>
      </c>
    </row>
    <row r="4290" spans="1:5" x14ac:dyDescent="0.25">
      <c r="A4290" s="130" t="s">
        <v>27068</v>
      </c>
      <c r="B4290" t="s">
        <v>27213</v>
      </c>
      <c r="C4290">
        <v>1</v>
      </c>
      <c r="D4290" t="s">
        <v>23629</v>
      </c>
      <c r="E4290" t="s">
        <v>23632</v>
      </c>
    </row>
    <row r="4291" spans="1:5" x14ac:dyDescent="0.25">
      <c r="A4291" s="131" t="s">
        <v>27068</v>
      </c>
      <c r="B4291" t="s">
        <v>27214</v>
      </c>
      <c r="C4291">
        <v>1</v>
      </c>
      <c r="D4291" t="s">
        <v>23629</v>
      </c>
      <c r="E4291" t="s">
        <v>23632</v>
      </c>
    </row>
    <row r="4292" spans="1:5" x14ac:dyDescent="0.25">
      <c r="A4292" s="130" t="str">
        <f>LEFT(B4292,1)</f>
        <v>P</v>
      </c>
      <c r="B4292" t="s">
        <v>28869</v>
      </c>
      <c r="C4292">
        <v>1</v>
      </c>
      <c r="D4292" t="s">
        <v>23629</v>
      </c>
      <c r="E4292" t="s">
        <v>23632</v>
      </c>
    </row>
    <row r="4293" spans="1:5" x14ac:dyDescent="0.25">
      <c r="A4293" s="130" t="str">
        <f>LEFT((B4293),1)</f>
        <v>P</v>
      </c>
      <c r="B4293" t="s">
        <v>27215</v>
      </c>
      <c r="C4293">
        <v>1</v>
      </c>
      <c r="D4293" t="s">
        <v>23629</v>
      </c>
      <c r="E4293" t="s">
        <v>23632</v>
      </c>
    </row>
    <row r="4294" spans="1:5" x14ac:dyDescent="0.25">
      <c r="A4294" s="130" t="s">
        <v>27068</v>
      </c>
      <c r="B4294" t="s">
        <v>27216</v>
      </c>
      <c r="C4294">
        <v>1</v>
      </c>
      <c r="D4294" t="s">
        <v>23629</v>
      </c>
      <c r="E4294" t="s">
        <v>23632</v>
      </c>
    </row>
    <row r="4295" spans="1:5" x14ac:dyDescent="0.25">
      <c r="A4295" s="131" t="str">
        <f>LEFT(B4295,1)</f>
        <v>P</v>
      </c>
      <c r="B4295" t="s">
        <v>27330</v>
      </c>
      <c r="C4295">
        <v>1</v>
      </c>
      <c r="D4295" t="s">
        <v>23629</v>
      </c>
      <c r="E4295" t="s">
        <v>23632</v>
      </c>
    </row>
    <row r="4296" spans="1:5" x14ac:dyDescent="0.25">
      <c r="A4296" s="131" t="s">
        <v>27068</v>
      </c>
      <c r="B4296" t="s">
        <v>27217</v>
      </c>
      <c r="C4296">
        <v>1</v>
      </c>
      <c r="D4296" t="s">
        <v>23629</v>
      </c>
      <c r="E4296" t="s">
        <v>23632</v>
      </c>
    </row>
    <row r="4297" spans="1:5" x14ac:dyDescent="0.25">
      <c r="A4297" s="130" t="s">
        <v>27068</v>
      </c>
      <c r="B4297" t="s">
        <v>27218</v>
      </c>
      <c r="C4297">
        <v>1</v>
      </c>
      <c r="D4297" t="s">
        <v>23629</v>
      </c>
      <c r="E4297" t="s">
        <v>23632</v>
      </c>
    </row>
    <row r="4298" spans="1:5" x14ac:dyDescent="0.25">
      <c r="A4298" s="131" t="s">
        <v>27068</v>
      </c>
      <c r="B4298" t="s">
        <v>27219</v>
      </c>
      <c r="C4298">
        <v>1</v>
      </c>
      <c r="D4298" t="s">
        <v>23629</v>
      </c>
      <c r="E4298" t="s">
        <v>23632</v>
      </c>
    </row>
    <row r="4299" spans="1:5" x14ac:dyDescent="0.25">
      <c r="A4299" s="130" t="str">
        <f>LEFT(B4299,1)</f>
        <v>P</v>
      </c>
      <c r="B4299" t="s">
        <v>27331</v>
      </c>
      <c r="C4299">
        <v>1</v>
      </c>
      <c r="D4299" t="s">
        <v>23629</v>
      </c>
      <c r="E4299" t="s">
        <v>23632</v>
      </c>
    </row>
    <row r="4300" spans="1:5" x14ac:dyDescent="0.25">
      <c r="A4300" s="130" t="str">
        <f>LEFT(B4300,1)</f>
        <v>P</v>
      </c>
      <c r="B4300" t="s">
        <v>28587</v>
      </c>
      <c r="C4300">
        <v>1</v>
      </c>
      <c r="D4300" t="s">
        <v>23629</v>
      </c>
      <c r="E4300" t="s">
        <v>23632</v>
      </c>
    </row>
    <row r="4301" spans="1:5" x14ac:dyDescent="0.25">
      <c r="A4301" s="130" t="str">
        <f>LEFT(B4301,1)</f>
        <v>P</v>
      </c>
      <c r="B4301" t="s">
        <v>28588</v>
      </c>
      <c r="C4301">
        <v>1</v>
      </c>
      <c r="D4301" t="s">
        <v>23629</v>
      </c>
      <c r="E4301" t="s">
        <v>23632</v>
      </c>
    </row>
    <row r="4302" spans="1:5" x14ac:dyDescent="0.25">
      <c r="A4302" s="130" t="str">
        <f>LEFT(B4302,1)</f>
        <v>P</v>
      </c>
      <c r="B4302" t="s">
        <v>27317</v>
      </c>
      <c r="C4302">
        <v>1</v>
      </c>
      <c r="D4302" t="s">
        <v>23629</v>
      </c>
      <c r="E4302" t="s">
        <v>23632</v>
      </c>
    </row>
    <row r="4303" spans="1:5" x14ac:dyDescent="0.25">
      <c r="A4303" s="130" t="s">
        <v>27068</v>
      </c>
      <c r="B4303" t="s">
        <v>27220</v>
      </c>
      <c r="C4303">
        <v>1</v>
      </c>
      <c r="D4303" t="s">
        <v>23629</v>
      </c>
      <c r="E4303" t="s">
        <v>23632</v>
      </c>
    </row>
    <row r="4304" spans="1:5" x14ac:dyDescent="0.25">
      <c r="A4304" s="131" t="s">
        <v>27068</v>
      </c>
      <c r="B4304" t="s">
        <v>27221</v>
      </c>
      <c r="C4304">
        <v>1</v>
      </c>
      <c r="D4304" t="s">
        <v>23629</v>
      </c>
      <c r="E4304" t="s">
        <v>23632</v>
      </c>
    </row>
    <row r="4305" spans="1:5" x14ac:dyDescent="0.25">
      <c r="A4305" s="131" t="s">
        <v>27068</v>
      </c>
      <c r="B4305" t="s">
        <v>27222</v>
      </c>
      <c r="C4305">
        <v>1</v>
      </c>
      <c r="D4305" t="s">
        <v>23629</v>
      </c>
      <c r="E4305" t="s">
        <v>23632</v>
      </c>
    </row>
    <row r="4306" spans="1:5" x14ac:dyDescent="0.25">
      <c r="A4306" s="130" t="s">
        <v>27068</v>
      </c>
      <c r="B4306" t="s">
        <v>27223</v>
      </c>
      <c r="C4306">
        <v>1</v>
      </c>
      <c r="D4306" t="s">
        <v>23629</v>
      </c>
      <c r="E4306" t="s">
        <v>23632</v>
      </c>
    </row>
    <row r="4307" spans="1:5" x14ac:dyDescent="0.25">
      <c r="A4307" s="131" t="s">
        <v>27068</v>
      </c>
      <c r="B4307" t="s">
        <v>27224</v>
      </c>
      <c r="C4307">
        <v>1</v>
      </c>
      <c r="D4307" t="s">
        <v>23629</v>
      </c>
      <c r="E4307" t="s">
        <v>23632</v>
      </c>
    </row>
    <row r="4308" spans="1:5" x14ac:dyDescent="0.25">
      <c r="A4308" s="130" t="s">
        <v>27068</v>
      </c>
      <c r="B4308" t="s">
        <v>27225</v>
      </c>
      <c r="C4308">
        <v>1</v>
      </c>
      <c r="D4308" t="s">
        <v>23629</v>
      </c>
      <c r="E4308" t="s">
        <v>23632</v>
      </c>
    </row>
    <row r="4309" spans="1:5" x14ac:dyDescent="0.25">
      <c r="A4309" s="131" t="str">
        <f>LEFT((B4309),1)</f>
        <v>P</v>
      </c>
      <c r="B4309" t="s">
        <v>27226</v>
      </c>
      <c r="C4309">
        <v>1</v>
      </c>
      <c r="D4309" t="s">
        <v>23629</v>
      </c>
      <c r="E4309" t="s">
        <v>23632</v>
      </c>
    </row>
    <row r="4310" spans="1:5" x14ac:dyDescent="0.25">
      <c r="A4310" s="131" t="s">
        <v>27068</v>
      </c>
      <c r="B4310" t="s">
        <v>27227</v>
      </c>
      <c r="C4310">
        <v>1</v>
      </c>
      <c r="D4310" t="s">
        <v>23629</v>
      </c>
      <c r="E4310" t="s">
        <v>23632</v>
      </c>
    </row>
    <row r="4311" spans="1:5" x14ac:dyDescent="0.25">
      <c r="A4311" s="130" t="s">
        <v>27068</v>
      </c>
      <c r="B4311" t="s">
        <v>27228</v>
      </c>
      <c r="C4311">
        <v>1</v>
      </c>
      <c r="D4311" t="s">
        <v>23629</v>
      </c>
      <c r="E4311" t="s">
        <v>23632</v>
      </c>
    </row>
    <row r="4312" spans="1:5" x14ac:dyDescent="0.25">
      <c r="A4312" s="131" t="s">
        <v>27068</v>
      </c>
      <c r="B4312" t="s">
        <v>27229</v>
      </c>
      <c r="C4312">
        <v>1</v>
      </c>
      <c r="D4312" t="s">
        <v>23629</v>
      </c>
      <c r="E4312" t="s">
        <v>23632</v>
      </c>
    </row>
    <row r="4313" spans="1:5" x14ac:dyDescent="0.25">
      <c r="A4313" s="130" t="s">
        <v>27068</v>
      </c>
      <c r="B4313" t="s">
        <v>27230</v>
      </c>
      <c r="C4313">
        <v>1</v>
      </c>
      <c r="D4313" t="s">
        <v>23629</v>
      </c>
      <c r="E4313" t="s">
        <v>23632</v>
      </c>
    </row>
    <row r="4314" spans="1:5" x14ac:dyDescent="0.25">
      <c r="A4314" s="131" t="str">
        <f>LEFT(B4314,1)</f>
        <v>P</v>
      </c>
      <c r="B4314" t="s">
        <v>27332</v>
      </c>
      <c r="C4314">
        <v>1</v>
      </c>
      <c r="D4314" t="s">
        <v>23629</v>
      </c>
      <c r="E4314" t="s">
        <v>23632</v>
      </c>
    </row>
    <row r="4315" spans="1:5" x14ac:dyDescent="0.25">
      <c r="A4315" s="131" t="s">
        <v>27068</v>
      </c>
      <c r="B4315" t="s">
        <v>27231</v>
      </c>
      <c r="C4315">
        <v>1</v>
      </c>
      <c r="D4315" t="s">
        <v>23629</v>
      </c>
      <c r="E4315" t="s">
        <v>23632</v>
      </c>
    </row>
    <row r="4316" spans="1:5" x14ac:dyDescent="0.25">
      <c r="A4316" s="130" t="str">
        <f>LEFT(B4316,1)</f>
        <v>P</v>
      </c>
      <c r="B4316" t="s">
        <v>27308</v>
      </c>
      <c r="C4316">
        <v>1</v>
      </c>
      <c r="D4316" t="s">
        <v>23629</v>
      </c>
      <c r="E4316" t="s">
        <v>23632</v>
      </c>
    </row>
    <row r="4317" spans="1:5" x14ac:dyDescent="0.25">
      <c r="A4317" s="130" t="s">
        <v>27068</v>
      </c>
      <c r="B4317" t="s">
        <v>27232</v>
      </c>
      <c r="C4317">
        <v>1</v>
      </c>
      <c r="D4317" t="s">
        <v>23629</v>
      </c>
      <c r="E4317" t="s">
        <v>23632</v>
      </c>
    </row>
    <row r="4318" spans="1:5" x14ac:dyDescent="0.25">
      <c r="A4318" s="130" t="str">
        <f>LEFT(B4318,1)</f>
        <v>P</v>
      </c>
      <c r="B4318" t="s">
        <v>28870</v>
      </c>
      <c r="C4318">
        <v>1</v>
      </c>
      <c r="D4318" t="s">
        <v>23629</v>
      </c>
      <c r="E4318" t="s">
        <v>23632</v>
      </c>
    </row>
    <row r="4319" spans="1:5" x14ac:dyDescent="0.25">
      <c r="A4319" s="131" t="str">
        <f>LEFT(B4319,1)</f>
        <v>P</v>
      </c>
      <c r="B4319" t="s">
        <v>27309</v>
      </c>
      <c r="C4319">
        <v>1</v>
      </c>
      <c r="D4319" t="s">
        <v>23629</v>
      </c>
      <c r="E4319" t="s">
        <v>23632</v>
      </c>
    </row>
    <row r="4320" spans="1:5" x14ac:dyDescent="0.25">
      <c r="A4320" s="131" t="s">
        <v>27068</v>
      </c>
      <c r="B4320" t="s">
        <v>27233</v>
      </c>
      <c r="C4320">
        <v>1</v>
      </c>
      <c r="D4320" t="s">
        <v>23629</v>
      </c>
      <c r="E4320" t="s">
        <v>23632</v>
      </c>
    </row>
    <row r="4321" spans="1:5" x14ac:dyDescent="0.25">
      <c r="A4321" s="130" t="s">
        <v>27068</v>
      </c>
      <c r="B4321" t="s">
        <v>27234</v>
      </c>
      <c r="C4321">
        <v>1</v>
      </c>
      <c r="D4321" t="s">
        <v>23629</v>
      </c>
      <c r="E4321" t="s">
        <v>23632</v>
      </c>
    </row>
    <row r="4322" spans="1:5" x14ac:dyDescent="0.25">
      <c r="A4322" s="131" t="s">
        <v>27068</v>
      </c>
      <c r="B4322" t="s">
        <v>27235</v>
      </c>
      <c r="C4322">
        <v>1</v>
      </c>
      <c r="D4322" t="s">
        <v>23629</v>
      </c>
      <c r="E4322" t="s">
        <v>23632</v>
      </c>
    </row>
    <row r="4323" spans="1:5" x14ac:dyDescent="0.25">
      <c r="A4323" s="130" t="s">
        <v>27068</v>
      </c>
      <c r="B4323" t="s">
        <v>27236</v>
      </c>
      <c r="C4323">
        <v>1</v>
      </c>
      <c r="D4323" t="s">
        <v>23629</v>
      </c>
      <c r="E4323" t="s">
        <v>23632</v>
      </c>
    </row>
    <row r="4324" spans="1:5" x14ac:dyDescent="0.25">
      <c r="A4324" s="131" t="s">
        <v>27068</v>
      </c>
      <c r="B4324" t="s">
        <v>27237</v>
      </c>
      <c r="C4324">
        <v>1</v>
      </c>
      <c r="D4324" t="s">
        <v>23629</v>
      </c>
      <c r="E4324" t="s">
        <v>23632</v>
      </c>
    </row>
    <row r="4325" spans="1:5" x14ac:dyDescent="0.25">
      <c r="A4325" s="130" t="s">
        <v>27068</v>
      </c>
      <c r="B4325" t="s">
        <v>27238</v>
      </c>
      <c r="C4325">
        <v>1</v>
      </c>
      <c r="D4325" t="s">
        <v>23629</v>
      </c>
      <c r="E4325" t="s">
        <v>23632</v>
      </c>
    </row>
    <row r="4326" spans="1:5" x14ac:dyDescent="0.25">
      <c r="A4326" s="131" t="s">
        <v>27068</v>
      </c>
      <c r="B4326" t="s">
        <v>27239</v>
      </c>
      <c r="C4326">
        <v>1</v>
      </c>
      <c r="D4326" t="s">
        <v>23629</v>
      </c>
      <c r="E4326" t="s">
        <v>23632</v>
      </c>
    </row>
    <row r="4327" spans="1:5" x14ac:dyDescent="0.25">
      <c r="A4327" s="130" t="s">
        <v>27068</v>
      </c>
      <c r="B4327" t="s">
        <v>27240</v>
      </c>
      <c r="C4327">
        <v>1</v>
      </c>
      <c r="D4327" t="s">
        <v>23629</v>
      </c>
      <c r="E4327" t="s">
        <v>23632</v>
      </c>
    </row>
    <row r="4328" spans="1:5" x14ac:dyDescent="0.25">
      <c r="A4328" s="130" t="str">
        <f>LEFT(B4328,1)</f>
        <v>P</v>
      </c>
      <c r="B4328" t="s">
        <v>29121</v>
      </c>
      <c r="C4328">
        <v>1</v>
      </c>
      <c r="D4328" t="s">
        <v>23629</v>
      </c>
      <c r="E4328" t="s">
        <v>23632</v>
      </c>
    </row>
    <row r="4329" spans="1:5" x14ac:dyDescent="0.25">
      <c r="A4329" s="130" t="str">
        <f>LEFT(B4329,1)</f>
        <v>P</v>
      </c>
      <c r="B4329" t="s">
        <v>28589</v>
      </c>
      <c r="C4329">
        <v>1</v>
      </c>
      <c r="D4329" t="s">
        <v>23629</v>
      </c>
      <c r="E4329" t="s">
        <v>23632</v>
      </c>
    </row>
    <row r="4330" spans="1:5" x14ac:dyDescent="0.25">
      <c r="A4330" s="131" t="s">
        <v>27068</v>
      </c>
      <c r="B4330" t="s">
        <v>27241</v>
      </c>
      <c r="C4330">
        <v>1</v>
      </c>
      <c r="D4330" t="s">
        <v>23629</v>
      </c>
      <c r="E4330" t="s">
        <v>23632</v>
      </c>
    </row>
    <row r="4331" spans="1:5" x14ac:dyDescent="0.25">
      <c r="A4331" s="130" t="s">
        <v>27068</v>
      </c>
      <c r="B4331" t="s">
        <v>27242</v>
      </c>
      <c r="C4331">
        <v>1</v>
      </c>
      <c r="D4331" t="s">
        <v>23629</v>
      </c>
      <c r="E4331" t="s">
        <v>23632</v>
      </c>
    </row>
    <row r="4332" spans="1:5" x14ac:dyDescent="0.25">
      <c r="A4332" s="131" t="s">
        <v>27068</v>
      </c>
      <c r="B4332" t="s">
        <v>27243</v>
      </c>
      <c r="C4332">
        <v>1</v>
      </c>
      <c r="D4332" t="s">
        <v>23629</v>
      </c>
      <c r="E4332" t="s">
        <v>23632</v>
      </c>
    </row>
    <row r="4333" spans="1:5" x14ac:dyDescent="0.25">
      <c r="A4333" s="130" t="s">
        <v>27068</v>
      </c>
      <c r="B4333" t="s">
        <v>27244</v>
      </c>
      <c r="C4333">
        <v>1</v>
      </c>
      <c r="D4333" t="s">
        <v>23629</v>
      </c>
      <c r="E4333" t="s">
        <v>23632</v>
      </c>
    </row>
    <row r="4334" spans="1:5" x14ac:dyDescent="0.25">
      <c r="A4334" s="130" t="str">
        <f>LEFT(B4334,1)</f>
        <v>P</v>
      </c>
      <c r="B4334" t="s">
        <v>29122</v>
      </c>
      <c r="C4334">
        <v>1</v>
      </c>
      <c r="D4334" t="s">
        <v>23629</v>
      </c>
      <c r="E4334" t="s">
        <v>23632</v>
      </c>
    </row>
    <row r="4335" spans="1:5" x14ac:dyDescent="0.25">
      <c r="A4335" s="130" t="str">
        <f>LEFT((B4335),1)</f>
        <v>P</v>
      </c>
      <c r="B4335" t="s">
        <v>27245</v>
      </c>
      <c r="C4335">
        <v>1</v>
      </c>
      <c r="D4335" t="s">
        <v>23629</v>
      </c>
      <c r="E4335" t="s">
        <v>23632</v>
      </c>
    </row>
    <row r="4336" spans="1:5" x14ac:dyDescent="0.25">
      <c r="A4336" s="131" t="s">
        <v>27068</v>
      </c>
      <c r="B4336" t="s">
        <v>27246</v>
      </c>
      <c r="C4336">
        <v>1</v>
      </c>
      <c r="D4336" t="s">
        <v>23629</v>
      </c>
      <c r="E4336" t="s">
        <v>23632</v>
      </c>
    </row>
    <row r="4337" spans="1:5" x14ac:dyDescent="0.25">
      <c r="A4337" s="130" t="s">
        <v>27068</v>
      </c>
      <c r="B4337" t="s">
        <v>27247</v>
      </c>
      <c r="C4337">
        <v>1</v>
      </c>
      <c r="D4337" t="s">
        <v>23629</v>
      </c>
      <c r="E4337" t="s">
        <v>23632</v>
      </c>
    </row>
    <row r="4338" spans="1:5" x14ac:dyDescent="0.25">
      <c r="A4338" s="130" t="s">
        <v>27068</v>
      </c>
      <c r="B4338" t="s">
        <v>27248</v>
      </c>
      <c r="C4338">
        <v>1.18</v>
      </c>
      <c r="D4338" t="s">
        <v>23629</v>
      </c>
      <c r="E4338" t="s">
        <v>23632</v>
      </c>
    </row>
    <row r="4339" spans="1:5" x14ac:dyDescent="0.25">
      <c r="A4339" s="131" t="s">
        <v>27068</v>
      </c>
      <c r="B4339" t="s">
        <v>27249</v>
      </c>
      <c r="C4339">
        <v>1</v>
      </c>
      <c r="D4339" t="s">
        <v>23629</v>
      </c>
      <c r="E4339" t="s">
        <v>23632</v>
      </c>
    </row>
    <row r="4340" spans="1:5" x14ac:dyDescent="0.25">
      <c r="A4340" s="130" t="s">
        <v>27068</v>
      </c>
      <c r="B4340" t="s">
        <v>27250</v>
      </c>
      <c r="C4340">
        <v>1</v>
      </c>
      <c r="D4340" t="s">
        <v>23629</v>
      </c>
      <c r="E4340" t="s">
        <v>23632</v>
      </c>
    </row>
    <row r="4341" spans="1:5" x14ac:dyDescent="0.25">
      <c r="A4341" s="130" t="s">
        <v>27068</v>
      </c>
      <c r="B4341" t="s">
        <v>27251</v>
      </c>
      <c r="C4341">
        <v>1</v>
      </c>
      <c r="D4341" t="s">
        <v>23629</v>
      </c>
      <c r="E4341" t="s">
        <v>23632</v>
      </c>
    </row>
    <row r="4342" spans="1:5" x14ac:dyDescent="0.25">
      <c r="A4342" s="131" t="s">
        <v>27068</v>
      </c>
      <c r="B4342" t="s">
        <v>27252</v>
      </c>
      <c r="C4342">
        <v>1</v>
      </c>
      <c r="D4342" t="s">
        <v>23629</v>
      </c>
      <c r="E4342" t="s">
        <v>23632</v>
      </c>
    </row>
    <row r="4343" spans="1:5" x14ac:dyDescent="0.25">
      <c r="A4343" s="131" t="s">
        <v>27068</v>
      </c>
      <c r="B4343" t="s">
        <v>27253</v>
      </c>
      <c r="C4343">
        <v>1</v>
      </c>
      <c r="D4343" t="s">
        <v>23629</v>
      </c>
      <c r="E4343" t="s">
        <v>23632</v>
      </c>
    </row>
    <row r="4344" spans="1:5" x14ac:dyDescent="0.25">
      <c r="A4344" s="130" t="s">
        <v>27068</v>
      </c>
      <c r="B4344" t="s">
        <v>27254</v>
      </c>
      <c r="C4344">
        <v>1</v>
      </c>
      <c r="D4344" t="s">
        <v>23629</v>
      </c>
      <c r="E4344" t="s">
        <v>23632</v>
      </c>
    </row>
    <row r="4345" spans="1:5" x14ac:dyDescent="0.25">
      <c r="A4345" s="130" t="str">
        <f>LEFT(B4345,1)</f>
        <v>P</v>
      </c>
      <c r="B4345" t="s">
        <v>29267</v>
      </c>
      <c r="C4345">
        <v>1</v>
      </c>
      <c r="D4345" t="s">
        <v>23629</v>
      </c>
      <c r="E4345" t="s">
        <v>23632</v>
      </c>
    </row>
    <row r="4346" spans="1:5" x14ac:dyDescent="0.25">
      <c r="A4346" s="131" t="s">
        <v>27068</v>
      </c>
      <c r="B4346" t="s">
        <v>27255</v>
      </c>
      <c r="C4346">
        <v>1</v>
      </c>
      <c r="D4346" t="s">
        <v>23629</v>
      </c>
      <c r="E4346" t="s">
        <v>23632</v>
      </c>
    </row>
    <row r="4347" spans="1:5" x14ac:dyDescent="0.25">
      <c r="A4347" s="130" t="s">
        <v>27068</v>
      </c>
      <c r="B4347" t="s">
        <v>27256</v>
      </c>
      <c r="C4347">
        <v>1</v>
      </c>
      <c r="D4347" t="s">
        <v>23629</v>
      </c>
      <c r="E4347" t="s">
        <v>23632</v>
      </c>
    </row>
    <row r="4348" spans="1:5" x14ac:dyDescent="0.25">
      <c r="A4348" s="130" t="str">
        <f>LEFT(B4348,1)</f>
        <v>P</v>
      </c>
      <c r="B4348" t="s">
        <v>27333</v>
      </c>
      <c r="C4348">
        <v>1</v>
      </c>
      <c r="D4348" t="s">
        <v>23629</v>
      </c>
      <c r="E4348" t="s">
        <v>23632</v>
      </c>
    </row>
    <row r="4349" spans="1:5" x14ac:dyDescent="0.25">
      <c r="A4349" s="131" t="s">
        <v>27068</v>
      </c>
      <c r="B4349" t="s">
        <v>27257</v>
      </c>
      <c r="C4349">
        <v>1</v>
      </c>
      <c r="D4349" t="s">
        <v>23629</v>
      </c>
      <c r="E4349" t="s">
        <v>23632</v>
      </c>
    </row>
    <row r="4350" spans="1:5" x14ac:dyDescent="0.25">
      <c r="A4350" s="130" t="s">
        <v>27068</v>
      </c>
      <c r="B4350" t="s">
        <v>27258</v>
      </c>
      <c r="C4350">
        <v>1</v>
      </c>
      <c r="D4350" t="s">
        <v>23629</v>
      </c>
      <c r="E4350" t="s">
        <v>23632</v>
      </c>
    </row>
    <row r="4351" spans="1:5" x14ac:dyDescent="0.25">
      <c r="A4351" s="130" t="str">
        <f>LEFT(B4351,1)</f>
        <v>P</v>
      </c>
      <c r="B4351" t="s">
        <v>29123</v>
      </c>
      <c r="C4351">
        <v>1</v>
      </c>
      <c r="D4351" t="s">
        <v>23629</v>
      </c>
      <c r="E4351" t="s">
        <v>23632</v>
      </c>
    </row>
    <row r="4352" spans="1:5" x14ac:dyDescent="0.25">
      <c r="A4352" s="130" t="s">
        <v>27068</v>
      </c>
      <c r="B4352" t="s">
        <v>27259</v>
      </c>
      <c r="C4352">
        <v>1</v>
      </c>
      <c r="D4352" t="s">
        <v>23629</v>
      </c>
      <c r="E4352" t="s">
        <v>23632</v>
      </c>
    </row>
    <row r="4353" spans="1:5" x14ac:dyDescent="0.25">
      <c r="A4353" s="131" t="str">
        <f>LEFT((B4353),1)</f>
        <v>P</v>
      </c>
      <c r="B4353" t="s">
        <v>27260</v>
      </c>
      <c r="C4353">
        <v>1</v>
      </c>
      <c r="D4353" t="s">
        <v>23629</v>
      </c>
      <c r="E4353" t="s">
        <v>23632</v>
      </c>
    </row>
    <row r="4354" spans="1:5" x14ac:dyDescent="0.25">
      <c r="A4354" s="131" t="s">
        <v>27068</v>
      </c>
      <c r="B4354" t="s">
        <v>27261</v>
      </c>
      <c r="C4354">
        <v>1</v>
      </c>
      <c r="D4354" t="s">
        <v>23629</v>
      </c>
      <c r="E4354" t="s">
        <v>23632</v>
      </c>
    </row>
    <row r="4355" spans="1:5" x14ac:dyDescent="0.25">
      <c r="A4355" s="130" t="s">
        <v>27068</v>
      </c>
      <c r="B4355" t="s">
        <v>27262</v>
      </c>
      <c r="C4355">
        <v>1</v>
      </c>
      <c r="D4355" t="s">
        <v>23629</v>
      </c>
      <c r="E4355" t="s">
        <v>23632</v>
      </c>
    </row>
    <row r="4356" spans="1:5" x14ac:dyDescent="0.25">
      <c r="A4356" s="130" t="str">
        <f>LEFT(B4356,1)</f>
        <v>P</v>
      </c>
      <c r="B4356" t="s">
        <v>28871</v>
      </c>
      <c r="C4356">
        <v>1</v>
      </c>
      <c r="D4356" t="s">
        <v>23629</v>
      </c>
      <c r="E4356" t="s">
        <v>23632</v>
      </c>
    </row>
    <row r="4357" spans="1:5" x14ac:dyDescent="0.25">
      <c r="A4357" s="131" t="s">
        <v>27068</v>
      </c>
      <c r="B4357" t="s">
        <v>27263</v>
      </c>
      <c r="C4357">
        <v>1</v>
      </c>
      <c r="D4357" t="s">
        <v>23629</v>
      </c>
      <c r="E4357" t="s">
        <v>23632</v>
      </c>
    </row>
    <row r="4358" spans="1:5" x14ac:dyDescent="0.25">
      <c r="A4358" s="130" t="s">
        <v>27068</v>
      </c>
      <c r="B4358" t="s">
        <v>27264</v>
      </c>
      <c r="C4358">
        <v>1</v>
      </c>
      <c r="D4358" t="s">
        <v>23629</v>
      </c>
      <c r="E4358" t="s">
        <v>23632</v>
      </c>
    </row>
    <row r="4359" spans="1:5" x14ac:dyDescent="0.25">
      <c r="A4359" s="131" t="s">
        <v>27068</v>
      </c>
      <c r="B4359" t="s">
        <v>27265</v>
      </c>
      <c r="C4359">
        <v>1</v>
      </c>
      <c r="D4359" t="s">
        <v>23629</v>
      </c>
      <c r="E4359" t="s">
        <v>23632</v>
      </c>
    </row>
    <row r="4360" spans="1:5" x14ac:dyDescent="0.25">
      <c r="A4360" s="130" t="str">
        <f>LEFT((B4360),1)</f>
        <v>P</v>
      </c>
      <c r="B4360" t="s">
        <v>27266</v>
      </c>
      <c r="C4360">
        <v>1</v>
      </c>
      <c r="D4360" t="s">
        <v>23629</v>
      </c>
      <c r="E4360" t="s">
        <v>23632</v>
      </c>
    </row>
    <row r="4361" spans="1:5" x14ac:dyDescent="0.25">
      <c r="A4361" s="130" t="s">
        <v>27068</v>
      </c>
      <c r="B4361" t="s">
        <v>27267</v>
      </c>
      <c r="C4361">
        <v>1</v>
      </c>
      <c r="D4361" t="s">
        <v>23629</v>
      </c>
      <c r="E4361" t="s">
        <v>23632</v>
      </c>
    </row>
    <row r="4362" spans="1:5" x14ac:dyDescent="0.25">
      <c r="A4362" s="131" t="s">
        <v>27068</v>
      </c>
      <c r="B4362" t="s">
        <v>27268</v>
      </c>
      <c r="C4362">
        <v>1</v>
      </c>
      <c r="D4362" t="s">
        <v>23629</v>
      </c>
      <c r="E4362" t="s">
        <v>23632</v>
      </c>
    </row>
    <row r="4363" spans="1:5" x14ac:dyDescent="0.25">
      <c r="A4363" s="130" t="s">
        <v>27068</v>
      </c>
      <c r="B4363" t="s">
        <v>27269</v>
      </c>
      <c r="C4363">
        <v>1</v>
      </c>
      <c r="D4363" t="s">
        <v>23629</v>
      </c>
      <c r="E4363" t="s">
        <v>23632</v>
      </c>
    </row>
    <row r="4364" spans="1:5" x14ac:dyDescent="0.25">
      <c r="A4364" s="131" t="str">
        <f>LEFT((B4364),1)</f>
        <v>P</v>
      </c>
      <c r="B4364" t="s">
        <v>27270</v>
      </c>
      <c r="C4364">
        <v>1</v>
      </c>
      <c r="D4364" t="s">
        <v>23629</v>
      </c>
      <c r="E4364" t="s">
        <v>23632</v>
      </c>
    </row>
    <row r="4365" spans="1:5" x14ac:dyDescent="0.25">
      <c r="A4365" s="131" t="str">
        <f>LEFT(B4365,1)</f>
        <v>P</v>
      </c>
      <c r="B4365" t="s">
        <v>27334</v>
      </c>
      <c r="C4365">
        <v>1</v>
      </c>
      <c r="D4365" t="s">
        <v>23629</v>
      </c>
      <c r="E4365" t="s">
        <v>23632</v>
      </c>
    </row>
    <row r="4366" spans="1:5" x14ac:dyDescent="0.25">
      <c r="A4366" s="131" t="s">
        <v>27068</v>
      </c>
      <c r="B4366" t="s">
        <v>27271</v>
      </c>
      <c r="C4366">
        <v>1</v>
      </c>
      <c r="D4366" t="s">
        <v>23629</v>
      </c>
      <c r="E4366" t="s">
        <v>23632</v>
      </c>
    </row>
    <row r="4367" spans="1:5" x14ac:dyDescent="0.25">
      <c r="A4367" s="131" t="s">
        <v>27068</v>
      </c>
      <c r="B4367" t="s">
        <v>27272</v>
      </c>
      <c r="C4367">
        <v>1</v>
      </c>
      <c r="D4367" t="s">
        <v>23629</v>
      </c>
      <c r="E4367" t="s">
        <v>23632</v>
      </c>
    </row>
    <row r="4368" spans="1:5" x14ac:dyDescent="0.25">
      <c r="A4368" s="130" t="s">
        <v>27068</v>
      </c>
      <c r="B4368" t="s">
        <v>27273</v>
      </c>
      <c r="C4368">
        <v>1</v>
      </c>
      <c r="D4368" t="s">
        <v>23629</v>
      </c>
      <c r="E4368" t="s">
        <v>23632</v>
      </c>
    </row>
    <row r="4369" spans="1:5" x14ac:dyDescent="0.25">
      <c r="A4369" s="130" t="str">
        <f>LEFT(B4369,1)</f>
        <v>P</v>
      </c>
      <c r="B4369" t="s">
        <v>28590</v>
      </c>
      <c r="C4369">
        <v>1</v>
      </c>
      <c r="D4369" t="s">
        <v>23629</v>
      </c>
      <c r="E4369" t="s">
        <v>23632</v>
      </c>
    </row>
    <row r="4370" spans="1:5" x14ac:dyDescent="0.25">
      <c r="A4370" s="131" t="s">
        <v>27068</v>
      </c>
      <c r="B4370" t="s">
        <v>27274</v>
      </c>
      <c r="C4370">
        <v>1</v>
      </c>
      <c r="D4370" t="s">
        <v>23629</v>
      </c>
      <c r="E4370" t="s">
        <v>23632</v>
      </c>
    </row>
    <row r="4371" spans="1:5" x14ac:dyDescent="0.25">
      <c r="A4371" s="130" t="str">
        <f>LEFT(B4371,1)</f>
        <v>P</v>
      </c>
      <c r="B4371" t="s">
        <v>27335</v>
      </c>
      <c r="C4371">
        <v>1</v>
      </c>
      <c r="D4371" t="s">
        <v>23629</v>
      </c>
      <c r="E4371" t="s">
        <v>23632</v>
      </c>
    </row>
    <row r="4372" spans="1:5" x14ac:dyDescent="0.25">
      <c r="A4372" s="130" t="s">
        <v>27068</v>
      </c>
      <c r="B4372" t="s">
        <v>27275</v>
      </c>
      <c r="C4372">
        <v>1</v>
      </c>
      <c r="D4372" t="s">
        <v>23629</v>
      </c>
      <c r="E4372" t="s">
        <v>23632</v>
      </c>
    </row>
    <row r="4373" spans="1:5" x14ac:dyDescent="0.25">
      <c r="A4373" s="130" t="str">
        <f>LEFT(B4373,1)</f>
        <v>P</v>
      </c>
      <c r="B4373" t="s">
        <v>28591</v>
      </c>
      <c r="C4373">
        <v>1</v>
      </c>
      <c r="D4373" t="s">
        <v>23629</v>
      </c>
      <c r="E4373" t="s">
        <v>23632</v>
      </c>
    </row>
    <row r="4374" spans="1:5" x14ac:dyDescent="0.25">
      <c r="A4374" s="131" t="s">
        <v>27068</v>
      </c>
      <c r="B4374" t="s">
        <v>27276</v>
      </c>
      <c r="C4374">
        <v>1</v>
      </c>
      <c r="D4374" t="s">
        <v>23629</v>
      </c>
      <c r="E4374" t="s">
        <v>23632</v>
      </c>
    </row>
    <row r="4375" spans="1:5" x14ac:dyDescent="0.25">
      <c r="A4375" s="130" t="str">
        <f>LEFT(B4375,1)</f>
        <v>P</v>
      </c>
      <c r="B4375" t="s">
        <v>27318</v>
      </c>
      <c r="C4375">
        <v>1</v>
      </c>
      <c r="D4375" t="s">
        <v>23629</v>
      </c>
      <c r="E4375" t="s">
        <v>23632</v>
      </c>
    </row>
    <row r="4376" spans="1:5" x14ac:dyDescent="0.25">
      <c r="A4376" s="130" t="s">
        <v>27068</v>
      </c>
      <c r="B4376" t="s">
        <v>27277</v>
      </c>
      <c r="C4376">
        <v>1</v>
      </c>
      <c r="D4376" t="s">
        <v>23629</v>
      </c>
      <c r="E4376" t="s">
        <v>23632</v>
      </c>
    </row>
    <row r="4377" spans="1:5" x14ac:dyDescent="0.25">
      <c r="A4377" s="131" t="s">
        <v>27068</v>
      </c>
      <c r="B4377" t="s">
        <v>27278</v>
      </c>
      <c r="C4377">
        <v>1</v>
      </c>
      <c r="D4377" t="s">
        <v>23629</v>
      </c>
      <c r="E4377" t="s">
        <v>23632</v>
      </c>
    </row>
    <row r="4378" spans="1:5" x14ac:dyDescent="0.25">
      <c r="A4378" s="130" t="s">
        <v>27068</v>
      </c>
      <c r="B4378" t="s">
        <v>27279</v>
      </c>
      <c r="C4378">
        <v>1</v>
      </c>
      <c r="D4378" t="s">
        <v>23629</v>
      </c>
      <c r="E4378" t="s">
        <v>23632</v>
      </c>
    </row>
    <row r="4379" spans="1:5" x14ac:dyDescent="0.25">
      <c r="A4379" s="131" t="s">
        <v>27068</v>
      </c>
      <c r="B4379" t="s">
        <v>27280</v>
      </c>
      <c r="C4379">
        <v>1</v>
      </c>
      <c r="D4379" t="s">
        <v>23629</v>
      </c>
      <c r="E4379" t="s">
        <v>23632</v>
      </c>
    </row>
    <row r="4380" spans="1:5" x14ac:dyDescent="0.25">
      <c r="A4380" s="131" t="str">
        <f>LEFT(B4380,1)</f>
        <v>P</v>
      </c>
      <c r="B4380" t="s">
        <v>27336</v>
      </c>
      <c r="C4380">
        <v>1</v>
      </c>
      <c r="D4380" t="s">
        <v>23629</v>
      </c>
      <c r="E4380" t="s">
        <v>23632</v>
      </c>
    </row>
    <row r="4381" spans="1:5" x14ac:dyDescent="0.25">
      <c r="A4381" s="130" t="str">
        <f>LEFT((B4381),1)</f>
        <v>P</v>
      </c>
      <c r="B4381" t="s">
        <v>27281</v>
      </c>
      <c r="C4381">
        <v>1</v>
      </c>
      <c r="D4381" t="s">
        <v>23629</v>
      </c>
      <c r="E4381" t="s">
        <v>23632</v>
      </c>
    </row>
    <row r="4382" spans="1:5" x14ac:dyDescent="0.25">
      <c r="A4382" s="130" t="str">
        <f>LEFT(B4382,1)</f>
        <v>P</v>
      </c>
      <c r="B4382" t="s">
        <v>28592</v>
      </c>
      <c r="C4382">
        <v>1</v>
      </c>
      <c r="D4382" t="s">
        <v>23629</v>
      </c>
      <c r="E4382" t="s">
        <v>23632</v>
      </c>
    </row>
    <row r="4383" spans="1:5" x14ac:dyDescent="0.25">
      <c r="A4383" s="130" t="s">
        <v>27068</v>
      </c>
      <c r="B4383" t="s">
        <v>27282</v>
      </c>
      <c r="C4383">
        <v>1</v>
      </c>
      <c r="D4383" t="s">
        <v>23629</v>
      </c>
      <c r="E4383" t="s">
        <v>23632</v>
      </c>
    </row>
    <row r="4384" spans="1:5" x14ac:dyDescent="0.25">
      <c r="A4384" s="130" t="s">
        <v>27068</v>
      </c>
      <c r="B4384" t="s">
        <v>27283</v>
      </c>
      <c r="C4384">
        <v>1</v>
      </c>
      <c r="D4384" t="s">
        <v>23629</v>
      </c>
      <c r="E4384" t="s">
        <v>23632</v>
      </c>
    </row>
    <row r="4385" spans="1:5" x14ac:dyDescent="0.25">
      <c r="A4385" s="131" t="s">
        <v>27068</v>
      </c>
      <c r="B4385" t="s">
        <v>27284</v>
      </c>
      <c r="C4385">
        <v>1</v>
      </c>
      <c r="D4385" t="s">
        <v>23629</v>
      </c>
      <c r="E4385" t="s">
        <v>23632</v>
      </c>
    </row>
    <row r="4386" spans="1:5" x14ac:dyDescent="0.25">
      <c r="A4386" s="130" t="str">
        <f>LEFT(B4386,1)</f>
        <v>P</v>
      </c>
      <c r="B4386" t="s">
        <v>28872</v>
      </c>
      <c r="C4386">
        <v>1</v>
      </c>
      <c r="D4386" t="s">
        <v>23629</v>
      </c>
      <c r="E4386" t="s">
        <v>23632</v>
      </c>
    </row>
    <row r="4387" spans="1:5" x14ac:dyDescent="0.25">
      <c r="A4387" s="130" t="str">
        <f>LEFT(B4387,1)</f>
        <v>P</v>
      </c>
      <c r="B4387" t="s">
        <v>28873</v>
      </c>
      <c r="C4387">
        <v>1</v>
      </c>
      <c r="D4387" t="s">
        <v>23629</v>
      </c>
      <c r="E4387" t="s">
        <v>23632</v>
      </c>
    </row>
    <row r="4388" spans="1:5" x14ac:dyDescent="0.25">
      <c r="A4388" s="130" t="s">
        <v>27068</v>
      </c>
      <c r="B4388" t="s">
        <v>27285</v>
      </c>
      <c r="C4388">
        <v>1</v>
      </c>
      <c r="D4388" t="s">
        <v>23629</v>
      </c>
      <c r="E4388" t="s">
        <v>23632</v>
      </c>
    </row>
    <row r="4389" spans="1:5" x14ac:dyDescent="0.25">
      <c r="A4389" s="131" t="s">
        <v>27068</v>
      </c>
      <c r="B4389" t="s">
        <v>27286</v>
      </c>
      <c r="C4389">
        <v>1</v>
      </c>
      <c r="D4389" t="s">
        <v>23629</v>
      </c>
      <c r="E4389" t="s">
        <v>23632</v>
      </c>
    </row>
    <row r="4390" spans="1:5" x14ac:dyDescent="0.25">
      <c r="A4390" s="130" t="s">
        <v>27068</v>
      </c>
      <c r="B4390" t="s">
        <v>27287</v>
      </c>
      <c r="C4390">
        <v>1</v>
      </c>
      <c r="D4390" t="s">
        <v>23629</v>
      </c>
      <c r="E4390" t="s">
        <v>23632</v>
      </c>
    </row>
    <row r="4391" spans="1:5" x14ac:dyDescent="0.25">
      <c r="A4391" s="131" t="s">
        <v>27068</v>
      </c>
      <c r="B4391" t="s">
        <v>27288</v>
      </c>
      <c r="C4391">
        <v>1</v>
      </c>
      <c r="D4391" t="s">
        <v>23629</v>
      </c>
      <c r="E4391" t="s">
        <v>23632</v>
      </c>
    </row>
    <row r="4392" spans="1:5" x14ac:dyDescent="0.25">
      <c r="A4392" s="130" t="s">
        <v>27068</v>
      </c>
      <c r="B4392" t="s">
        <v>27289</v>
      </c>
      <c r="C4392">
        <v>1</v>
      </c>
      <c r="D4392" t="s">
        <v>23629</v>
      </c>
      <c r="E4392" t="s">
        <v>23632</v>
      </c>
    </row>
    <row r="4393" spans="1:5" x14ac:dyDescent="0.25">
      <c r="A4393" s="131" t="s">
        <v>27068</v>
      </c>
      <c r="B4393" t="s">
        <v>27290</v>
      </c>
      <c r="C4393">
        <v>1</v>
      </c>
      <c r="D4393" t="s">
        <v>23629</v>
      </c>
      <c r="E4393" t="s">
        <v>23632</v>
      </c>
    </row>
    <row r="4394" spans="1:5" x14ac:dyDescent="0.25">
      <c r="A4394" s="130" t="s">
        <v>27068</v>
      </c>
      <c r="B4394" t="s">
        <v>27291</v>
      </c>
      <c r="C4394">
        <v>1.21</v>
      </c>
      <c r="D4394" t="s">
        <v>23629</v>
      </c>
      <c r="E4394" t="s">
        <v>23881</v>
      </c>
    </row>
    <row r="4395" spans="1:5" x14ac:dyDescent="0.25">
      <c r="A4395" s="131" t="s">
        <v>27068</v>
      </c>
      <c r="B4395" t="s">
        <v>27292</v>
      </c>
      <c r="C4395">
        <v>1</v>
      </c>
      <c r="D4395" t="s">
        <v>23629</v>
      </c>
      <c r="E4395" t="s">
        <v>23632</v>
      </c>
    </row>
    <row r="4396" spans="1:5" x14ac:dyDescent="0.25">
      <c r="A4396" s="131" t="s">
        <v>27068</v>
      </c>
      <c r="B4396" t="s">
        <v>27293</v>
      </c>
      <c r="C4396">
        <v>1</v>
      </c>
      <c r="D4396" t="s">
        <v>23629</v>
      </c>
      <c r="E4396" t="s">
        <v>23632</v>
      </c>
    </row>
    <row r="4397" spans="1:5" x14ac:dyDescent="0.25">
      <c r="A4397" s="130" t="s">
        <v>27068</v>
      </c>
      <c r="B4397" t="s">
        <v>27294</v>
      </c>
      <c r="C4397">
        <v>1</v>
      </c>
      <c r="D4397" t="s">
        <v>23629</v>
      </c>
      <c r="E4397" t="s">
        <v>23632</v>
      </c>
    </row>
    <row r="4398" spans="1:5" x14ac:dyDescent="0.25">
      <c r="A4398" s="131" t="s">
        <v>27068</v>
      </c>
      <c r="B4398" t="s">
        <v>27295</v>
      </c>
      <c r="C4398">
        <v>1</v>
      </c>
      <c r="D4398" t="s">
        <v>23629</v>
      </c>
      <c r="E4398" t="s">
        <v>23632</v>
      </c>
    </row>
    <row r="4399" spans="1:5" x14ac:dyDescent="0.25">
      <c r="A4399" s="131" t="s">
        <v>27068</v>
      </c>
      <c r="B4399" t="s">
        <v>27296</v>
      </c>
      <c r="C4399">
        <v>1</v>
      </c>
      <c r="D4399" t="s">
        <v>23629</v>
      </c>
      <c r="E4399" t="s">
        <v>23632</v>
      </c>
    </row>
    <row r="4400" spans="1:5" x14ac:dyDescent="0.25">
      <c r="A4400" s="131" t="str">
        <f>LEFT((B4400),1)</f>
        <v>P</v>
      </c>
      <c r="B4400" t="s">
        <v>27297</v>
      </c>
      <c r="C4400">
        <v>1</v>
      </c>
      <c r="D4400" t="s">
        <v>23629</v>
      </c>
      <c r="E4400" t="s">
        <v>23632</v>
      </c>
    </row>
    <row r="4401" spans="1:5" x14ac:dyDescent="0.25">
      <c r="A4401" s="130" t="s">
        <v>27068</v>
      </c>
      <c r="B4401" t="s">
        <v>27298</v>
      </c>
      <c r="C4401">
        <v>1</v>
      </c>
      <c r="D4401" t="s">
        <v>23629</v>
      </c>
      <c r="E4401" t="s">
        <v>23632</v>
      </c>
    </row>
    <row r="4402" spans="1:5" x14ac:dyDescent="0.25">
      <c r="A4402" s="130" t="s">
        <v>27068</v>
      </c>
      <c r="B4402" t="s">
        <v>27299</v>
      </c>
      <c r="C4402">
        <v>1</v>
      </c>
      <c r="D4402" t="s">
        <v>23629</v>
      </c>
      <c r="E4402" t="s">
        <v>23632</v>
      </c>
    </row>
    <row r="4403" spans="1:5" x14ac:dyDescent="0.25">
      <c r="A4403" s="131" t="s">
        <v>27068</v>
      </c>
      <c r="B4403" t="s">
        <v>27300</v>
      </c>
      <c r="C4403">
        <v>1.21</v>
      </c>
      <c r="D4403" t="s">
        <v>23629</v>
      </c>
      <c r="E4403" t="s">
        <v>23632</v>
      </c>
    </row>
    <row r="4404" spans="1:5" x14ac:dyDescent="0.25">
      <c r="A4404" s="130" t="s">
        <v>27068</v>
      </c>
      <c r="B4404" t="s">
        <v>27301</v>
      </c>
      <c r="C4404">
        <v>1</v>
      </c>
      <c r="D4404" t="s">
        <v>23629</v>
      </c>
      <c r="E4404" t="s">
        <v>23632</v>
      </c>
    </row>
    <row r="4405" spans="1:5" x14ac:dyDescent="0.25">
      <c r="A4405" s="131" t="s">
        <v>27068</v>
      </c>
      <c r="B4405" t="s">
        <v>27302</v>
      </c>
      <c r="C4405">
        <v>1</v>
      </c>
      <c r="D4405" t="s">
        <v>23629</v>
      </c>
      <c r="E4405" t="s">
        <v>23632</v>
      </c>
    </row>
    <row r="4406" spans="1:5" x14ac:dyDescent="0.25">
      <c r="A4406" s="130" t="s">
        <v>27337</v>
      </c>
      <c r="B4406" t="s">
        <v>27338</v>
      </c>
      <c r="C4406">
        <v>1</v>
      </c>
      <c r="D4406" t="s">
        <v>23629</v>
      </c>
      <c r="E4406" t="s">
        <v>23632</v>
      </c>
    </row>
    <row r="4407" spans="1:5" x14ac:dyDescent="0.25">
      <c r="A4407" s="131" t="s">
        <v>27337</v>
      </c>
      <c r="B4407" t="s">
        <v>27339</v>
      </c>
      <c r="C4407">
        <v>1</v>
      </c>
      <c r="D4407" t="s">
        <v>23629</v>
      </c>
      <c r="E4407" t="s">
        <v>23632</v>
      </c>
    </row>
    <row r="4408" spans="1:5" x14ac:dyDescent="0.25">
      <c r="A4408" s="130" t="s">
        <v>27337</v>
      </c>
      <c r="B4408" t="s">
        <v>27340</v>
      </c>
      <c r="C4408">
        <v>1</v>
      </c>
      <c r="D4408" t="s">
        <v>23629</v>
      </c>
      <c r="E4408" t="s">
        <v>23632</v>
      </c>
    </row>
    <row r="4409" spans="1:5" x14ac:dyDescent="0.25">
      <c r="A4409" s="130" t="str">
        <f>LEFT((B4409),1)</f>
        <v>Q</v>
      </c>
      <c r="B4409" t="s">
        <v>27341</v>
      </c>
      <c r="C4409">
        <v>1</v>
      </c>
      <c r="D4409" t="s">
        <v>23629</v>
      </c>
      <c r="E4409" t="s">
        <v>23632</v>
      </c>
    </row>
    <row r="4410" spans="1:5" x14ac:dyDescent="0.25">
      <c r="A4410" s="131" t="s">
        <v>27337</v>
      </c>
      <c r="B4410" t="s">
        <v>27342</v>
      </c>
      <c r="C4410">
        <v>1</v>
      </c>
      <c r="D4410" t="s">
        <v>23629</v>
      </c>
      <c r="E4410" t="s">
        <v>23632</v>
      </c>
    </row>
    <row r="4411" spans="1:5" x14ac:dyDescent="0.25">
      <c r="A4411" s="131" t="str">
        <f>LEFT((B4411),1)</f>
        <v>Q</v>
      </c>
      <c r="B4411" t="s">
        <v>27343</v>
      </c>
      <c r="C4411">
        <v>1</v>
      </c>
      <c r="D4411" t="s">
        <v>23629</v>
      </c>
      <c r="E4411" t="s">
        <v>23632</v>
      </c>
    </row>
    <row r="4412" spans="1:5" x14ac:dyDescent="0.25">
      <c r="A4412" s="130" t="s">
        <v>27337</v>
      </c>
      <c r="B4412" t="s">
        <v>27344</v>
      </c>
      <c r="C4412">
        <v>1</v>
      </c>
      <c r="D4412" t="s">
        <v>23629</v>
      </c>
      <c r="E4412" t="s">
        <v>23881</v>
      </c>
    </row>
    <row r="4413" spans="1:5" x14ac:dyDescent="0.25">
      <c r="A4413" s="130" t="str">
        <f>LEFT(B4413,1)</f>
        <v>Q</v>
      </c>
      <c r="B4413" t="s">
        <v>29124</v>
      </c>
      <c r="C4413">
        <v>1</v>
      </c>
      <c r="D4413" t="s">
        <v>23629</v>
      </c>
      <c r="E4413" t="s">
        <v>23632</v>
      </c>
    </row>
    <row r="4414" spans="1:5" x14ac:dyDescent="0.25">
      <c r="A4414" s="130" t="str">
        <f>LEFT(B4414,1)</f>
        <v>Q</v>
      </c>
      <c r="B4414" t="s">
        <v>27362</v>
      </c>
      <c r="C4414">
        <v>1</v>
      </c>
      <c r="D4414" t="s">
        <v>23629</v>
      </c>
      <c r="E4414" t="s">
        <v>23632</v>
      </c>
    </row>
    <row r="4415" spans="1:5" x14ac:dyDescent="0.25">
      <c r="A4415" s="131" t="s">
        <v>27337</v>
      </c>
      <c r="B4415" t="s">
        <v>27345</v>
      </c>
      <c r="C4415">
        <v>1</v>
      </c>
      <c r="D4415" t="s">
        <v>23629</v>
      </c>
      <c r="E4415" t="s">
        <v>23632</v>
      </c>
    </row>
    <row r="4416" spans="1:5" x14ac:dyDescent="0.25">
      <c r="A4416" s="130" t="s">
        <v>27337</v>
      </c>
      <c r="B4416" t="s">
        <v>27346</v>
      </c>
      <c r="C4416">
        <v>1</v>
      </c>
      <c r="D4416" t="s">
        <v>23629</v>
      </c>
      <c r="E4416" t="s">
        <v>23632</v>
      </c>
    </row>
    <row r="4417" spans="1:5" x14ac:dyDescent="0.25">
      <c r="A4417" s="131" t="s">
        <v>27337</v>
      </c>
      <c r="B4417" t="s">
        <v>27347</v>
      </c>
      <c r="C4417">
        <v>1.1000000000000001</v>
      </c>
      <c r="D4417" t="s">
        <v>23629</v>
      </c>
      <c r="E4417" t="s">
        <v>23632</v>
      </c>
    </row>
    <row r="4418" spans="1:5" x14ac:dyDescent="0.25">
      <c r="A4418" s="130" t="str">
        <f>LEFT(B4418,1)</f>
        <v>Q</v>
      </c>
      <c r="B4418" t="s">
        <v>28874</v>
      </c>
      <c r="C4418">
        <v>1</v>
      </c>
      <c r="D4418" t="s">
        <v>23629</v>
      </c>
      <c r="E4418" t="s">
        <v>23632</v>
      </c>
    </row>
    <row r="4419" spans="1:5" x14ac:dyDescent="0.25">
      <c r="A4419" s="130" t="s">
        <v>27337</v>
      </c>
      <c r="B4419" t="s">
        <v>27348</v>
      </c>
      <c r="C4419">
        <v>1.21</v>
      </c>
      <c r="D4419" t="s">
        <v>23629</v>
      </c>
      <c r="E4419" t="s">
        <v>23881</v>
      </c>
    </row>
    <row r="4420" spans="1:5" x14ac:dyDescent="0.25">
      <c r="A4420" s="130" t="str">
        <f>LEFT(B4420,1)</f>
        <v>Q</v>
      </c>
      <c r="B4420" t="s">
        <v>29125</v>
      </c>
      <c r="C4420">
        <v>1</v>
      </c>
      <c r="D4420" t="s">
        <v>23629</v>
      </c>
      <c r="E4420" t="s">
        <v>23632</v>
      </c>
    </row>
    <row r="4421" spans="1:5" x14ac:dyDescent="0.25">
      <c r="A4421" s="130" t="s">
        <v>27337</v>
      </c>
      <c r="B4421" t="s">
        <v>27349</v>
      </c>
      <c r="C4421">
        <v>1</v>
      </c>
      <c r="D4421" t="s">
        <v>23629</v>
      </c>
      <c r="E4421" t="s">
        <v>23632</v>
      </c>
    </row>
    <row r="4422" spans="1:5" x14ac:dyDescent="0.25">
      <c r="A4422" s="131" t="s">
        <v>27337</v>
      </c>
      <c r="B4422" t="s">
        <v>27350</v>
      </c>
      <c r="C4422">
        <v>1</v>
      </c>
      <c r="D4422" t="s">
        <v>23629</v>
      </c>
      <c r="E4422" t="s">
        <v>23632</v>
      </c>
    </row>
    <row r="4423" spans="1:5" x14ac:dyDescent="0.25">
      <c r="A4423" s="130" t="s">
        <v>27337</v>
      </c>
      <c r="B4423" t="s">
        <v>27351</v>
      </c>
      <c r="C4423">
        <v>1</v>
      </c>
      <c r="D4423" t="s">
        <v>23629</v>
      </c>
      <c r="E4423" t="s">
        <v>23632</v>
      </c>
    </row>
    <row r="4424" spans="1:5" x14ac:dyDescent="0.25">
      <c r="A4424" s="131" t="s">
        <v>27337</v>
      </c>
      <c r="B4424" t="s">
        <v>27352</v>
      </c>
      <c r="C4424">
        <v>1</v>
      </c>
      <c r="D4424" t="s">
        <v>23629</v>
      </c>
      <c r="E4424" t="s">
        <v>23632</v>
      </c>
    </row>
    <row r="4425" spans="1:5" x14ac:dyDescent="0.25">
      <c r="A4425" s="131" t="s">
        <v>27337</v>
      </c>
      <c r="B4425" t="s">
        <v>27353</v>
      </c>
      <c r="C4425">
        <v>1</v>
      </c>
      <c r="D4425" t="s">
        <v>23629</v>
      </c>
      <c r="E4425" t="s">
        <v>23632</v>
      </c>
    </row>
    <row r="4426" spans="1:5" x14ac:dyDescent="0.25">
      <c r="A4426" s="130" t="s">
        <v>27337</v>
      </c>
      <c r="B4426" t="s">
        <v>27354</v>
      </c>
      <c r="C4426">
        <v>1</v>
      </c>
      <c r="D4426" t="s">
        <v>23629</v>
      </c>
      <c r="E4426" t="s">
        <v>23632</v>
      </c>
    </row>
    <row r="4427" spans="1:5" x14ac:dyDescent="0.25">
      <c r="A4427" s="131" t="s">
        <v>27337</v>
      </c>
      <c r="B4427" t="s">
        <v>27355</v>
      </c>
      <c r="C4427">
        <v>1</v>
      </c>
      <c r="D4427" t="s">
        <v>23629</v>
      </c>
      <c r="E4427" t="s">
        <v>23632</v>
      </c>
    </row>
    <row r="4428" spans="1:5" x14ac:dyDescent="0.25">
      <c r="A4428" s="130" t="s">
        <v>27337</v>
      </c>
      <c r="B4428" t="s">
        <v>27356</v>
      </c>
      <c r="C4428">
        <v>1.1000000000000001</v>
      </c>
      <c r="D4428" t="s">
        <v>23629</v>
      </c>
      <c r="E4428" t="s">
        <v>23632</v>
      </c>
    </row>
    <row r="4429" spans="1:5" x14ac:dyDescent="0.25">
      <c r="A4429" s="130" t="s">
        <v>27337</v>
      </c>
      <c r="B4429" t="s">
        <v>27357</v>
      </c>
      <c r="C4429">
        <v>1</v>
      </c>
      <c r="D4429" t="s">
        <v>23629</v>
      </c>
      <c r="E4429" t="s">
        <v>23632</v>
      </c>
    </row>
    <row r="4430" spans="1:5" x14ac:dyDescent="0.25">
      <c r="A4430" s="131" t="s">
        <v>27337</v>
      </c>
      <c r="B4430" t="s">
        <v>27358</v>
      </c>
      <c r="C4430">
        <v>1.1000000000000001</v>
      </c>
      <c r="D4430" t="s">
        <v>23629</v>
      </c>
      <c r="E4430" t="s">
        <v>23632</v>
      </c>
    </row>
    <row r="4431" spans="1:5" x14ac:dyDescent="0.25">
      <c r="A4431" s="130" t="s">
        <v>27337</v>
      </c>
      <c r="B4431" t="s">
        <v>27359</v>
      </c>
      <c r="C4431">
        <v>1</v>
      </c>
      <c r="D4431" t="s">
        <v>23629</v>
      </c>
      <c r="E4431" t="s">
        <v>23632</v>
      </c>
    </row>
    <row r="4432" spans="1:5" x14ac:dyDescent="0.25">
      <c r="A4432" s="131" t="s">
        <v>27337</v>
      </c>
      <c r="B4432" t="s">
        <v>27360</v>
      </c>
      <c r="C4432">
        <v>1</v>
      </c>
      <c r="D4432" t="s">
        <v>23629</v>
      </c>
      <c r="E4432" t="s">
        <v>23632</v>
      </c>
    </row>
    <row r="4433" spans="1:5" x14ac:dyDescent="0.25">
      <c r="A4433" s="130" t="s">
        <v>27337</v>
      </c>
      <c r="B4433" t="s">
        <v>27361</v>
      </c>
      <c r="C4433">
        <v>1</v>
      </c>
      <c r="D4433" t="s">
        <v>23629</v>
      </c>
      <c r="E4433" t="s">
        <v>23632</v>
      </c>
    </row>
    <row r="4434" spans="1:5" x14ac:dyDescent="0.25">
      <c r="A4434" s="131" t="s">
        <v>17372</v>
      </c>
      <c r="B4434" t="s">
        <v>27363</v>
      </c>
      <c r="C4434">
        <v>1</v>
      </c>
      <c r="D4434" t="s">
        <v>23629</v>
      </c>
      <c r="E4434" t="s">
        <v>23632</v>
      </c>
    </row>
    <row r="4435" spans="1:5" x14ac:dyDescent="0.25">
      <c r="A4435" s="131" t="s">
        <v>17372</v>
      </c>
      <c r="B4435" t="s">
        <v>27364</v>
      </c>
      <c r="C4435">
        <v>1</v>
      </c>
      <c r="D4435" t="s">
        <v>23629</v>
      </c>
      <c r="E4435" t="s">
        <v>23632</v>
      </c>
    </row>
    <row r="4436" spans="1:5" x14ac:dyDescent="0.25">
      <c r="A4436" s="130" t="str">
        <f>LEFT(B4436,1)</f>
        <v>R</v>
      </c>
      <c r="B4436" t="s">
        <v>29126</v>
      </c>
      <c r="C4436">
        <v>1</v>
      </c>
      <c r="D4436" t="s">
        <v>23629</v>
      </c>
      <c r="E4436" t="s">
        <v>23632</v>
      </c>
    </row>
    <row r="4437" spans="1:5" x14ac:dyDescent="0.25">
      <c r="A4437" s="130" t="s">
        <v>17372</v>
      </c>
      <c r="B4437" t="s">
        <v>27365</v>
      </c>
      <c r="C4437">
        <v>1</v>
      </c>
      <c r="D4437" t="s">
        <v>23629</v>
      </c>
      <c r="E4437" t="s">
        <v>23632</v>
      </c>
    </row>
    <row r="4438" spans="1:5" x14ac:dyDescent="0.25">
      <c r="A4438" s="130" t="s">
        <v>17372</v>
      </c>
      <c r="B4438" t="s">
        <v>27366</v>
      </c>
      <c r="C4438">
        <v>1</v>
      </c>
      <c r="D4438" t="s">
        <v>23629</v>
      </c>
      <c r="E4438" t="s">
        <v>23632</v>
      </c>
    </row>
    <row r="4439" spans="1:5" x14ac:dyDescent="0.25">
      <c r="A4439" s="130" t="str">
        <f>LEFT((B4439),1)</f>
        <v>R</v>
      </c>
      <c r="B4439" t="s">
        <v>27367</v>
      </c>
      <c r="C4439">
        <v>1</v>
      </c>
      <c r="D4439" t="s">
        <v>23629</v>
      </c>
      <c r="E4439" t="s">
        <v>23632</v>
      </c>
    </row>
    <row r="4440" spans="1:5" x14ac:dyDescent="0.25">
      <c r="A4440" s="130" t="str">
        <f>LEFT(B4440,1)</f>
        <v>R</v>
      </c>
      <c r="B4440" t="s">
        <v>29268</v>
      </c>
      <c r="C4440">
        <v>1</v>
      </c>
      <c r="D4440" t="s">
        <v>23629</v>
      </c>
      <c r="E4440" t="s">
        <v>23632</v>
      </c>
    </row>
    <row r="4441" spans="1:5" x14ac:dyDescent="0.25">
      <c r="A4441" s="131" t="s">
        <v>17372</v>
      </c>
      <c r="B4441" t="s">
        <v>27368</v>
      </c>
      <c r="C4441">
        <v>1</v>
      </c>
      <c r="D4441" t="s">
        <v>23629</v>
      </c>
      <c r="E4441" t="s">
        <v>23632</v>
      </c>
    </row>
    <row r="4442" spans="1:5" x14ac:dyDescent="0.25">
      <c r="A4442" s="131" t="s">
        <v>17372</v>
      </c>
      <c r="B4442" t="s">
        <v>27369</v>
      </c>
      <c r="C4442">
        <v>1</v>
      </c>
      <c r="D4442" t="s">
        <v>23629</v>
      </c>
      <c r="E4442" t="s">
        <v>23632</v>
      </c>
    </row>
    <row r="4443" spans="1:5" x14ac:dyDescent="0.25">
      <c r="A4443" s="130" t="str">
        <f>LEFT(B4443,1)</f>
        <v>R</v>
      </c>
      <c r="B4443" t="s">
        <v>27535</v>
      </c>
      <c r="C4443">
        <v>1</v>
      </c>
      <c r="D4443" t="s">
        <v>23629</v>
      </c>
      <c r="E4443" t="s">
        <v>23632</v>
      </c>
    </row>
    <row r="4444" spans="1:5" x14ac:dyDescent="0.25">
      <c r="A4444" s="131" t="str">
        <f>LEFT(B4444,1)</f>
        <v>R</v>
      </c>
      <c r="B4444" t="s">
        <v>27526</v>
      </c>
      <c r="C4444">
        <v>1</v>
      </c>
      <c r="D4444" t="s">
        <v>23629</v>
      </c>
      <c r="E4444" t="s">
        <v>23632</v>
      </c>
    </row>
    <row r="4445" spans="1:5" x14ac:dyDescent="0.25">
      <c r="A4445" s="130" t="str">
        <f>LEFT(B4445,1)</f>
        <v>R</v>
      </c>
      <c r="B4445" t="s">
        <v>29269</v>
      </c>
      <c r="C4445">
        <v>1</v>
      </c>
      <c r="D4445" t="s">
        <v>23629</v>
      </c>
      <c r="E4445" t="s">
        <v>23632</v>
      </c>
    </row>
    <row r="4446" spans="1:5" x14ac:dyDescent="0.25">
      <c r="A4446" s="131" t="s">
        <v>17372</v>
      </c>
      <c r="B4446" t="s">
        <v>27370</v>
      </c>
      <c r="C4446">
        <v>1.2</v>
      </c>
      <c r="D4446" t="s">
        <v>23629</v>
      </c>
      <c r="E4446" t="s">
        <v>23632</v>
      </c>
    </row>
    <row r="4447" spans="1:5" x14ac:dyDescent="0.25">
      <c r="A4447" s="130" t="s">
        <v>17372</v>
      </c>
      <c r="B4447" t="s">
        <v>27371</v>
      </c>
      <c r="C4447">
        <v>1</v>
      </c>
      <c r="D4447" t="s">
        <v>23629</v>
      </c>
      <c r="E4447" t="s">
        <v>23632</v>
      </c>
    </row>
    <row r="4448" spans="1:5" x14ac:dyDescent="0.25">
      <c r="A4448" s="131" t="s">
        <v>17372</v>
      </c>
      <c r="B4448" t="s">
        <v>27372</v>
      </c>
      <c r="C4448">
        <v>1</v>
      </c>
      <c r="D4448" t="s">
        <v>23629</v>
      </c>
      <c r="E4448" t="s">
        <v>23632</v>
      </c>
    </row>
    <row r="4449" spans="1:5" x14ac:dyDescent="0.25">
      <c r="A4449" s="131" t="s">
        <v>17372</v>
      </c>
      <c r="B4449" t="s">
        <v>27373</v>
      </c>
      <c r="C4449">
        <v>1</v>
      </c>
      <c r="D4449" t="s">
        <v>23629</v>
      </c>
      <c r="E4449" t="s">
        <v>23632</v>
      </c>
    </row>
    <row r="4450" spans="1:5" x14ac:dyDescent="0.25">
      <c r="A4450" s="130" t="s">
        <v>17372</v>
      </c>
      <c r="B4450" t="s">
        <v>27374</v>
      </c>
      <c r="C4450">
        <v>1</v>
      </c>
      <c r="D4450" t="s">
        <v>23629</v>
      </c>
      <c r="E4450" t="s">
        <v>23632</v>
      </c>
    </row>
    <row r="4451" spans="1:5" x14ac:dyDescent="0.25">
      <c r="A4451" s="131" t="s">
        <v>17372</v>
      </c>
      <c r="B4451" t="s">
        <v>27375</v>
      </c>
      <c r="C4451">
        <v>1</v>
      </c>
      <c r="D4451" t="s">
        <v>23629</v>
      </c>
      <c r="E4451" t="s">
        <v>23632</v>
      </c>
    </row>
    <row r="4452" spans="1:5" x14ac:dyDescent="0.25">
      <c r="A4452" s="130" t="s">
        <v>17372</v>
      </c>
      <c r="B4452" t="s">
        <v>27376</v>
      </c>
      <c r="C4452">
        <v>1</v>
      </c>
      <c r="D4452" t="s">
        <v>23629</v>
      </c>
      <c r="E4452" t="s">
        <v>23632</v>
      </c>
    </row>
    <row r="4453" spans="1:5" x14ac:dyDescent="0.25">
      <c r="A4453" s="131" t="s">
        <v>17372</v>
      </c>
      <c r="B4453" t="s">
        <v>27377</v>
      </c>
      <c r="C4453">
        <v>1</v>
      </c>
      <c r="D4453" t="s">
        <v>23629</v>
      </c>
      <c r="E4453" t="s">
        <v>23632</v>
      </c>
    </row>
    <row r="4454" spans="1:5" x14ac:dyDescent="0.25">
      <c r="A4454" s="130" t="s">
        <v>17372</v>
      </c>
      <c r="B4454" t="s">
        <v>27378</v>
      </c>
      <c r="C4454">
        <v>1</v>
      </c>
      <c r="D4454" t="s">
        <v>23629</v>
      </c>
      <c r="E4454" t="s">
        <v>23632</v>
      </c>
    </row>
    <row r="4455" spans="1:5" x14ac:dyDescent="0.25">
      <c r="A4455" s="130" t="s">
        <v>17372</v>
      </c>
      <c r="B4455" t="s">
        <v>27379</v>
      </c>
      <c r="C4455">
        <v>1</v>
      </c>
      <c r="D4455" t="s">
        <v>23629</v>
      </c>
      <c r="E4455" t="s">
        <v>23632</v>
      </c>
    </row>
    <row r="4456" spans="1:5" x14ac:dyDescent="0.25">
      <c r="A4456" s="131" t="s">
        <v>17372</v>
      </c>
      <c r="B4456" t="s">
        <v>27380</v>
      </c>
      <c r="C4456">
        <v>1</v>
      </c>
      <c r="D4456" t="s">
        <v>23629</v>
      </c>
      <c r="E4456" t="s">
        <v>23632</v>
      </c>
    </row>
    <row r="4457" spans="1:5" x14ac:dyDescent="0.25">
      <c r="A4457" s="130" t="str">
        <f>LEFT(B4457,1)</f>
        <v>R</v>
      </c>
      <c r="B4457" t="s">
        <v>29270</v>
      </c>
      <c r="C4457">
        <v>1</v>
      </c>
      <c r="D4457" t="s">
        <v>23629</v>
      </c>
      <c r="E4457" t="s">
        <v>23632</v>
      </c>
    </row>
    <row r="4458" spans="1:5" x14ac:dyDescent="0.25">
      <c r="A4458" s="130" t="str">
        <f>LEFT(B4458,1)</f>
        <v>R</v>
      </c>
      <c r="B4458" t="s">
        <v>29127</v>
      </c>
      <c r="C4458">
        <v>1</v>
      </c>
      <c r="D4458" t="s">
        <v>23629</v>
      </c>
      <c r="E4458" t="s">
        <v>23632</v>
      </c>
    </row>
    <row r="4459" spans="1:5" x14ac:dyDescent="0.25">
      <c r="A4459" s="131" t="s">
        <v>17372</v>
      </c>
      <c r="B4459" t="s">
        <v>27381</v>
      </c>
      <c r="C4459">
        <v>1</v>
      </c>
      <c r="D4459" t="s">
        <v>23629</v>
      </c>
      <c r="E4459" t="s">
        <v>23632</v>
      </c>
    </row>
    <row r="4460" spans="1:5" x14ac:dyDescent="0.25">
      <c r="A4460" s="130" t="str">
        <f>LEFT(B4460,1)</f>
        <v>R</v>
      </c>
      <c r="B4460" t="s">
        <v>27539</v>
      </c>
      <c r="C4460">
        <v>1</v>
      </c>
      <c r="D4460" t="s">
        <v>23629</v>
      </c>
      <c r="E4460" t="s">
        <v>23632</v>
      </c>
    </row>
    <row r="4461" spans="1:5" x14ac:dyDescent="0.25">
      <c r="A4461" s="130" t="str">
        <f>LEFT(B4461,1)</f>
        <v>R</v>
      </c>
      <c r="B4461" t="s">
        <v>28593</v>
      </c>
      <c r="C4461">
        <v>1</v>
      </c>
      <c r="D4461" t="s">
        <v>23629</v>
      </c>
      <c r="E4461" t="s">
        <v>23632</v>
      </c>
    </row>
    <row r="4462" spans="1:5" x14ac:dyDescent="0.25">
      <c r="A4462" s="130" t="str">
        <f>LEFT(B4462,1)</f>
        <v>R</v>
      </c>
      <c r="B4462" t="s">
        <v>29128</v>
      </c>
      <c r="C4462">
        <v>1</v>
      </c>
      <c r="D4462" t="s">
        <v>23629</v>
      </c>
      <c r="E4462" t="s">
        <v>23632</v>
      </c>
    </row>
    <row r="4463" spans="1:5" x14ac:dyDescent="0.25">
      <c r="A4463" s="130" t="s">
        <v>17372</v>
      </c>
      <c r="B4463" t="s">
        <v>27382</v>
      </c>
      <c r="C4463">
        <v>1</v>
      </c>
      <c r="D4463" t="s">
        <v>23629</v>
      </c>
      <c r="E4463" t="s">
        <v>23632</v>
      </c>
    </row>
    <row r="4464" spans="1:5" x14ac:dyDescent="0.25">
      <c r="A4464" s="131" t="s">
        <v>17372</v>
      </c>
      <c r="B4464" t="s">
        <v>27383</v>
      </c>
      <c r="C4464">
        <v>1</v>
      </c>
      <c r="D4464" t="s">
        <v>23629</v>
      </c>
      <c r="E4464" t="s">
        <v>23632</v>
      </c>
    </row>
    <row r="4465" spans="1:5" x14ac:dyDescent="0.25">
      <c r="A4465" s="130" t="str">
        <f>LEFT(B4465,1)</f>
        <v>R</v>
      </c>
      <c r="B4465" t="s">
        <v>29129</v>
      </c>
      <c r="C4465">
        <v>1</v>
      </c>
      <c r="D4465" t="s">
        <v>23629</v>
      </c>
      <c r="E4465" t="s">
        <v>23632</v>
      </c>
    </row>
    <row r="4466" spans="1:5" x14ac:dyDescent="0.25">
      <c r="A4466" s="131" t="str">
        <f>LEFT((B4466),1)</f>
        <v>R</v>
      </c>
      <c r="B4466" t="s">
        <v>27384</v>
      </c>
      <c r="C4466">
        <v>1</v>
      </c>
      <c r="D4466" t="s">
        <v>23629</v>
      </c>
      <c r="E4466" t="s">
        <v>23632</v>
      </c>
    </row>
    <row r="4467" spans="1:5" x14ac:dyDescent="0.25">
      <c r="A4467" s="130" t="str">
        <f>LEFT((B4467),1)</f>
        <v>R</v>
      </c>
      <c r="B4467" t="s">
        <v>27385</v>
      </c>
      <c r="C4467">
        <v>1</v>
      </c>
      <c r="D4467" t="s">
        <v>23629</v>
      </c>
      <c r="E4467" t="s">
        <v>23632</v>
      </c>
    </row>
    <row r="4468" spans="1:5" x14ac:dyDescent="0.25">
      <c r="A4468" s="130" t="str">
        <f>LEFT(B4468,1)</f>
        <v>R</v>
      </c>
      <c r="B4468" t="s">
        <v>28594</v>
      </c>
      <c r="C4468">
        <v>1</v>
      </c>
      <c r="D4468" t="s">
        <v>23629</v>
      </c>
      <c r="E4468" t="s">
        <v>23632</v>
      </c>
    </row>
    <row r="4469" spans="1:5" x14ac:dyDescent="0.25">
      <c r="A4469" s="130" t="str">
        <f>LEFT(B4469,1)</f>
        <v>R</v>
      </c>
      <c r="B4469" t="s">
        <v>28875</v>
      </c>
      <c r="C4469">
        <v>1</v>
      </c>
      <c r="D4469" t="s">
        <v>23629</v>
      </c>
      <c r="E4469" t="s">
        <v>23632</v>
      </c>
    </row>
    <row r="4470" spans="1:5" x14ac:dyDescent="0.25">
      <c r="A4470" s="130" t="s">
        <v>17372</v>
      </c>
      <c r="B4470" t="s">
        <v>27386</v>
      </c>
      <c r="C4470">
        <v>1</v>
      </c>
      <c r="D4470" t="s">
        <v>23629</v>
      </c>
      <c r="E4470" t="s">
        <v>23632</v>
      </c>
    </row>
    <row r="4471" spans="1:5" x14ac:dyDescent="0.25">
      <c r="A4471" s="131" t="s">
        <v>17372</v>
      </c>
      <c r="B4471" t="s">
        <v>27387</v>
      </c>
      <c r="C4471">
        <v>1</v>
      </c>
      <c r="D4471" t="s">
        <v>23629</v>
      </c>
      <c r="E4471" t="s">
        <v>23632</v>
      </c>
    </row>
    <row r="4472" spans="1:5" x14ac:dyDescent="0.25">
      <c r="A4472" s="130" t="str">
        <f>LEFT(B4472,1)</f>
        <v>R</v>
      </c>
      <c r="B4472" t="s">
        <v>28876</v>
      </c>
      <c r="C4472">
        <v>1</v>
      </c>
      <c r="D4472" t="s">
        <v>23629</v>
      </c>
      <c r="E4472" t="s">
        <v>23632</v>
      </c>
    </row>
    <row r="4473" spans="1:5" x14ac:dyDescent="0.25">
      <c r="A4473" s="130" t="s">
        <v>17372</v>
      </c>
      <c r="B4473" t="s">
        <v>27388</v>
      </c>
      <c r="C4473">
        <v>1</v>
      </c>
      <c r="D4473" t="s">
        <v>23629</v>
      </c>
      <c r="E4473" t="s">
        <v>23632</v>
      </c>
    </row>
    <row r="4474" spans="1:5" x14ac:dyDescent="0.25">
      <c r="A4474" s="130" t="s">
        <v>17372</v>
      </c>
      <c r="B4474" t="s">
        <v>27389</v>
      </c>
      <c r="C4474">
        <v>1</v>
      </c>
      <c r="D4474" t="s">
        <v>23629</v>
      </c>
      <c r="E4474" t="s">
        <v>23632</v>
      </c>
    </row>
    <row r="4475" spans="1:5" x14ac:dyDescent="0.25">
      <c r="A4475" s="131" t="s">
        <v>17372</v>
      </c>
      <c r="B4475" t="s">
        <v>27390</v>
      </c>
      <c r="C4475">
        <v>1</v>
      </c>
      <c r="D4475" t="s">
        <v>23629</v>
      </c>
      <c r="E4475" t="s">
        <v>23632</v>
      </c>
    </row>
    <row r="4476" spans="1:5" x14ac:dyDescent="0.25">
      <c r="A4476" s="130" t="s">
        <v>17372</v>
      </c>
      <c r="B4476" t="s">
        <v>27391</v>
      </c>
      <c r="C4476">
        <v>1</v>
      </c>
      <c r="D4476" t="s">
        <v>23629</v>
      </c>
      <c r="E4476" t="s">
        <v>23632</v>
      </c>
    </row>
    <row r="4477" spans="1:5" x14ac:dyDescent="0.25">
      <c r="A4477" s="131" t="s">
        <v>17372</v>
      </c>
      <c r="B4477" t="s">
        <v>27392</v>
      </c>
      <c r="C4477">
        <v>1</v>
      </c>
      <c r="D4477" t="s">
        <v>23629</v>
      </c>
      <c r="E4477" t="s">
        <v>23632</v>
      </c>
    </row>
    <row r="4478" spans="1:5" x14ac:dyDescent="0.25">
      <c r="A4478" s="130" t="s">
        <v>17372</v>
      </c>
      <c r="B4478" t="s">
        <v>27393</v>
      </c>
      <c r="C4478">
        <v>1</v>
      </c>
      <c r="D4478" t="s">
        <v>23629</v>
      </c>
      <c r="E4478" t="s">
        <v>23632</v>
      </c>
    </row>
    <row r="4479" spans="1:5" x14ac:dyDescent="0.25">
      <c r="A4479" s="131" t="s">
        <v>17372</v>
      </c>
      <c r="B4479" t="s">
        <v>27394</v>
      </c>
      <c r="C4479">
        <v>1</v>
      </c>
      <c r="D4479" t="s">
        <v>23629</v>
      </c>
      <c r="E4479" t="s">
        <v>23632</v>
      </c>
    </row>
    <row r="4480" spans="1:5" x14ac:dyDescent="0.25">
      <c r="A4480" s="130" t="s">
        <v>17372</v>
      </c>
      <c r="B4480" t="s">
        <v>27395</v>
      </c>
      <c r="C4480">
        <v>1</v>
      </c>
      <c r="D4480" t="s">
        <v>23629</v>
      </c>
      <c r="E4480" t="s">
        <v>23632</v>
      </c>
    </row>
    <row r="4481" spans="1:5" x14ac:dyDescent="0.25">
      <c r="A4481" s="131" t="s">
        <v>17372</v>
      </c>
      <c r="B4481" t="s">
        <v>27396</v>
      </c>
      <c r="C4481">
        <v>1.1499999999999999</v>
      </c>
      <c r="D4481" t="s">
        <v>23629</v>
      </c>
      <c r="E4481" t="s">
        <v>23632</v>
      </c>
    </row>
    <row r="4482" spans="1:5" x14ac:dyDescent="0.25">
      <c r="A4482" s="130" t="s">
        <v>17372</v>
      </c>
      <c r="B4482" t="s">
        <v>27397</v>
      </c>
      <c r="C4482">
        <v>1</v>
      </c>
      <c r="D4482" t="s">
        <v>23629</v>
      </c>
      <c r="E4482" t="s">
        <v>23632</v>
      </c>
    </row>
    <row r="4483" spans="1:5" x14ac:dyDescent="0.25">
      <c r="A4483" s="131" t="s">
        <v>17372</v>
      </c>
      <c r="B4483" t="s">
        <v>27398</v>
      </c>
      <c r="C4483">
        <v>1</v>
      </c>
      <c r="D4483" t="s">
        <v>23629</v>
      </c>
      <c r="E4483" t="s">
        <v>23632</v>
      </c>
    </row>
    <row r="4484" spans="1:5" x14ac:dyDescent="0.25">
      <c r="A4484" s="130" t="s">
        <v>17372</v>
      </c>
      <c r="B4484" t="s">
        <v>27399</v>
      </c>
      <c r="C4484">
        <v>1</v>
      </c>
      <c r="D4484" t="s">
        <v>23629</v>
      </c>
      <c r="E4484" t="s">
        <v>23632</v>
      </c>
    </row>
    <row r="4485" spans="1:5" x14ac:dyDescent="0.25">
      <c r="A4485" s="130" t="s">
        <v>17372</v>
      </c>
      <c r="B4485" t="s">
        <v>27400</v>
      </c>
      <c r="C4485">
        <v>1</v>
      </c>
      <c r="D4485" t="s">
        <v>23629</v>
      </c>
      <c r="E4485" t="s">
        <v>23632</v>
      </c>
    </row>
    <row r="4486" spans="1:5" x14ac:dyDescent="0.25">
      <c r="A4486" s="131" t="s">
        <v>17372</v>
      </c>
      <c r="B4486" t="s">
        <v>27401</v>
      </c>
      <c r="C4486">
        <v>1</v>
      </c>
      <c r="D4486" t="s">
        <v>23629</v>
      </c>
      <c r="E4486" t="s">
        <v>23632</v>
      </c>
    </row>
    <row r="4487" spans="1:5" x14ac:dyDescent="0.25">
      <c r="A4487" s="131" t="s">
        <v>17372</v>
      </c>
      <c r="B4487" t="s">
        <v>27402</v>
      </c>
      <c r="C4487">
        <v>1</v>
      </c>
      <c r="D4487" t="s">
        <v>23629</v>
      </c>
      <c r="E4487" t="s">
        <v>23632</v>
      </c>
    </row>
    <row r="4488" spans="1:5" x14ac:dyDescent="0.25">
      <c r="A4488" s="130" t="s">
        <v>17372</v>
      </c>
      <c r="B4488" t="s">
        <v>27403</v>
      </c>
      <c r="C4488">
        <v>1</v>
      </c>
      <c r="D4488" t="s">
        <v>23629</v>
      </c>
      <c r="E4488" t="s">
        <v>23632</v>
      </c>
    </row>
    <row r="4489" spans="1:5" x14ac:dyDescent="0.25">
      <c r="A4489" s="131" t="s">
        <v>17372</v>
      </c>
      <c r="B4489" t="s">
        <v>27404</v>
      </c>
      <c r="C4489">
        <v>1</v>
      </c>
      <c r="D4489" t="s">
        <v>23629</v>
      </c>
      <c r="E4489" t="s">
        <v>23632</v>
      </c>
    </row>
    <row r="4490" spans="1:5" x14ac:dyDescent="0.25">
      <c r="A4490" s="130" t="s">
        <v>17372</v>
      </c>
      <c r="B4490" t="s">
        <v>27405</v>
      </c>
      <c r="C4490">
        <v>1</v>
      </c>
      <c r="D4490" t="s">
        <v>23629</v>
      </c>
      <c r="E4490" t="s">
        <v>23632</v>
      </c>
    </row>
    <row r="4491" spans="1:5" x14ac:dyDescent="0.25">
      <c r="A4491" s="131" t="s">
        <v>17372</v>
      </c>
      <c r="B4491" t="s">
        <v>27406</v>
      </c>
      <c r="C4491">
        <v>1</v>
      </c>
      <c r="D4491" t="s">
        <v>23629</v>
      </c>
      <c r="E4491" t="s">
        <v>23632</v>
      </c>
    </row>
    <row r="4492" spans="1:5" x14ac:dyDescent="0.25">
      <c r="A4492" s="130" t="s">
        <v>17372</v>
      </c>
      <c r="B4492" t="s">
        <v>27407</v>
      </c>
      <c r="C4492">
        <v>1</v>
      </c>
      <c r="D4492" t="s">
        <v>23629</v>
      </c>
      <c r="E4492" t="s">
        <v>23632</v>
      </c>
    </row>
    <row r="4493" spans="1:5" x14ac:dyDescent="0.25">
      <c r="A4493" s="130" t="str">
        <f>LEFT(B4493,1)</f>
        <v>R</v>
      </c>
      <c r="B4493" t="s">
        <v>28595</v>
      </c>
      <c r="C4493">
        <v>1</v>
      </c>
      <c r="D4493" t="s">
        <v>23629</v>
      </c>
      <c r="E4493" t="s">
        <v>23632</v>
      </c>
    </row>
    <row r="4494" spans="1:5" x14ac:dyDescent="0.25">
      <c r="A4494" s="130" t="str">
        <f>LEFT(B4494,1)</f>
        <v>R</v>
      </c>
      <c r="B4494" t="s">
        <v>28877</v>
      </c>
      <c r="C4494">
        <v>1</v>
      </c>
      <c r="D4494" t="s">
        <v>23629</v>
      </c>
      <c r="E4494" t="s">
        <v>23632</v>
      </c>
    </row>
    <row r="4495" spans="1:5" x14ac:dyDescent="0.25">
      <c r="A4495" s="131" t="s">
        <v>17372</v>
      </c>
      <c r="B4495" t="s">
        <v>27408</v>
      </c>
      <c r="C4495">
        <v>1</v>
      </c>
      <c r="D4495" t="s">
        <v>23629</v>
      </c>
      <c r="E4495" t="s">
        <v>23632</v>
      </c>
    </row>
    <row r="4496" spans="1:5" x14ac:dyDescent="0.25">
      <c r="A4496" s="130" t="s">
        <v>17372</v>
      </c>
      <c r="B4496" t="s">
        <v>27409</v>
      </c>
      <c r="C4496">
        <v>1</v>
      </c>
      <c r="D4496" t="s">
        <v>23629</v>
      </c>
      <c r="E4496" t="s">
        <v>23632</v>
      </c>
    </row>
    <row r="4497" spans="1:5" x14ac:dyDescent="0.25">
      <c r="A4497" s="131" t="s">
        <v>17372</v>
      </c>
      <c r="B4497" t="s">
        <v>27410</v>
      </c>
      <c r="C4497">
        <v>1</v>
      </c>
      <c r="D4497" t="s">
        <v>23629</v>
      </c>
      <c r="E4497" t="s">
        <v>23632</v>
      </c>
    </row>
    <row r="4498" spans="1:5" x14ac:dyDescent="0.25">
      <c r="A4498" s="130" t="s">
        <v>17372</v>
      </c>
      <c r="B4498" t="s">
        <v>27411</v>
      </c>
      <c r="C4498">
        <v>1</v>
      </c>
      <c r="D4498" t="s">
        <v>23629</v>
      </c>
      <c r="E4498" t="s">
        <v>23632</v>
      </c>
    </row>
    <row r="4499" spans="1:5" x14ac:dyDescent="0.25">
      <c r="A4499" s="131" t="s">
        <v>17372</v>
      </c>
      <c r="B4499" t="s">
        <v>27412</v>
      </c>
      <c r="C4499">
        <v>1</v>
      </c>
      <c r="D4499" t="s">
        <v>23629</v>
      </c>
      <c r="E4499" t="s">
        <v>23632</v>
      </c>
    </row>
    <row r="4500" spans="1:5" x14ac:dyDescent="0.25">
      <c r="A4500" s="131" t="str">
        <f>LEFT((B4500),1)</f>
        <v>R</v>
      </c>
      <c r="B4500" t="s">
        <v>27413</v>
      </c>
      <c r="C4500">
        <v>1</v>
      </c>
      <c r="D4500" t="s">
        <v>23629</v>
      </c>
      <c r="E4500" t="s">
        <v>23632</v>
      </c>
    </row>
    <row r="4501" spans="1:5" x14ac:dyDescent="0.25">
      <c r="A4501" s="130" t="s">
        <v>17372</v>
      </c>
      <c r="B4501" t="s">
        <v>27414</v>
      </c>
      <c r="C4501">
        <v>1</v>
      </c>
      <c r="D4501" t="s">
        <v>23629</v>
      </c>
      <c r="E4501" t="s">
        <v>23632</v>
      </c>
    </row>
    <row r="4502" spans="1:5" x14ac:dyDescent="0.25">
      <c r="A4502" s="130" t="str">
        <f>LEFT(B4502,1)</f>
        <v>R</v>
      </c>
      <c r="B4502" t="s">
        <v>27527</v>
      </c>
      <c r="C4502">
        <v>1</v>
      </c>
      <c r="D4502" t="s">
        <v>23629</v>
      </c>
      <c r="E4502" t="s">
        <v>23632</v>
      </c>
    </row>
    <row r="4503" spans="1:5" x14ac:dyDescent="0.25">
      <c r="A4503" s="131" t="s">
        <v>17372</v>
      </c>
      <c r="B4503" t="s">
        <v>27415</v>
      </c>
      <c r="C4503">
        <v>1</v>
      </c>
      <c r="D4503" t="s">
        <v>23629</v>
      </c>
      <c r="E4503" t="s">
        <v>23632</v>
      </c>
    </row>
    <row r="4504" spans="1:5" x14ac:dyDescent="0.25">
      <c r="A4504" s="130" t="str">
        <f>LEFT(B4504,1)</f>
        <v>R</v>
      </c>
      <c r="B4504" t="s">
        <v>28878</v>
      </c>
      <c r="C4504">
        <v>1</v>
      </c>
      <c r="D4504" t="s">
        <v>23629</v>
      </c>
      <c r="E4504" t="s">
        <v>23632</v>
      </c>
    </row>
    <row r="4505" spans="1:5" x14ac:dyDescent="0.25">
      <c r="A4505" s="131" t="str">
        <f>LEFT(B4505,1)</f>
        <v>R</v>
      </c>
      <c r="B4505" t="s">
        <v>27528</v>
      </c>
      <c r="C4505">
        <v>1</v>
      </c>
      <c r="D4505" t="s">
        <v>23629</v>
      </c>
      <c r="E4505" t="s">
        <v>23632</v>
      </c>
    </row>
    <row r="4506" spans="1:5" x14ac:dyDescent="0.25">
      <c r="A4506" s="130" t="s">
        <v>17372</v>
      </c>
      <c r="B4506" t="s">
        <v>27416</v>
      </c>
      <c r="C4506">
        <v>1</v>
      </c>
      <c r="D4506" t="s">
        <v>23629</v>
      </c>
      <c r="E4506" t="s">
        <v>23632</v>
      </c>
    </row>
    <row r="4507" spans="1:5" x14ac:dyDescent="0.25">
      <c r="A4507" s="131" t="str">
        <f>LEFT(B4507,1)</f>
        <v>R</v>
      </c>
      <c r="B4507" t="s">
        <v>27540</v>
      </c>
      <c r="C4507">
        <v>1</v>
      </c>
      <c r="D4507" t="s">
        <v>23629</v>
      </c>
      <c r="E4507" t="s">
        <v>23632</v>
      </c>
    </row>
    <row r="4508" spans="1:5" x14ac:dyDescent="0.25">
      <c r="A4508" s="131" t="s">
        <v>17372</v>
      </c>
      <c r="B4508" t="s">
        <v>27417</v>
      </c>
      <c r="C4508">
        <v>1</v>
      </c>
      <c r="D4508" t="s">
        <v>23629</v>
      </c>
      <c r="E4508" t="s">
        <v>23632</v>
      </c>
    </row>
    <row r="4509" spans="1:5" x14ac:dyDescent="0.25">
      <c r="A4509" s="130" t="str">
        <f>LEFT(B4509,1)</f>
        <v>R</v>
      </c>
      <c r="B4509" t="s">
        <v>28596</v>
      </c>
      <c r="C4509">
        <v>1</v>
      </c>
      <c r="D4509" t="s">
        <v>23629</v>
      </c>
      <c r="E4509" t="s">
        <v>23632</v>
      </c>
    </row>
    <row r="4510" spans="1:5" x14ac:dyDescent="0.25">
      <c r="A4510" s="130" t="s">
        <v>17372</v>
      </c>
      <c r="B4510" t="s">
        <v>27418</v>
      </c>
      <c r="C4510">
        <v>1</v>
      </c>
      <c r="D4510" t="s">
        <v>23629</v>
      </c>
      <c r="E4510" t="s">
        <v>23632</v>
      </c>
    </row>
    <row r="4511" spans="1:5" x14ac:dyDescent="0.25">
      <c r="A4511" s="130" t="s">
        <v>17372</v>
      </c>
      <c r="B4511" t="s">
        <v>27419</v>
      </c>
      <c r="C4511">
        <v>1</v>
      </c>
      <c r="D4511" t="s">
        <v>23629</v>
      </c>
      <c r="E4511" t="s">
        <v>23632</v>
      </c>
    </row>
    <row r="4512" spans="1:5" x14ac:dyDescent="0.25">
      <c r="A4512" s="131" t="s">
        <v>17372</v>
      </c>
      <c r="B4512" t="s">
        <v>27420</v>
      </c>
      <c r="C4512">
        <v>1</v>
      </c>
      <c r="D4512" t="s">
        <v>23629</v>
      </c>
      <c r="E4512" t="s">
        <v>23632</v>
      </c>
    </row>
    <row r="4513" spans="1:5" x14ac:dyDescent="0.25">
      <c r="A4513" s="130" t="s">
        <v>17372</v>
      </c>
      <c r="B4513" t="s">
        <v>27421</v>
      </c>
      <c r="C4513">
        <v>1</v>
      </c>
      <c r="D4513" t="s">
        <v>23629</v>
      </c>
      <c r="E4513" t="s">
        <v>23632</v>
      </c>
    </row>
    <row r="4514" spans="1:5" x14ac:dyDescent="0.25">
      <c r="A4514" s="131" t="s">
        <v>17372</v>
      </c>
      <c r="B4514" t="s">
        <v>27422</v>
      </c>
      <c r="C4514">
        <v>1</v>
      </c>
      <c r="D4514" t="s">
        <v>23629</v>
      </c>
      <c r="E4514" t="s">
        <v>23632</v>
      </c>
    </row>
    <row r="4515" spans="1:5" x14ac:dyDescent="0.25">
      <c r="A4515" s="130" t="s">
        <v>17372</v>
      </c>
      <c r="B4515" t="s">
        <v>27423</v>
      </c>
      <c r="C4515">
        <v>1</v>
      </c>
      <c r="D4515" t="s">
        <v>23629</v>
      </c>
      <c r="E4515" t="s">
        <v>23632</v>
      </c>
    </row>
    <row r="4516" spans="1:5" x14ac:dyDescent="0.25">
      <c r="A4516" s="131" t="s">
        <v>17372</v>
      </c>
      <c r="B4516" t="s">
        <v>27424</v>
      </c>
      <c r="C4516">
        <v>1</v>
      </c>
      <c r="D4516" t="s">
        <v>23629</v>
      </c>
      <c r="E4516" t="s">
        <v>23632</v>
      </c>
    </row>
    <row r="4517" spans="1:5" x14ac:dyDescent="0.25">
      <c r="A4517" s="130" t="str">
        <f>LEFT(B4517,1)</f>
        <v>R</v>
      </c>
      <c r="B4517" t="s">
        <v>28879</v>
      </c>
      <c r="C4517">
        <v>1</v>
      </c>
      <c r="D4517" t="s">
        <v>23629</v>
      </c>
      <c r="E4517" t="s">
        <v>23632</v>
      </c>
    </row>
    <row r="4518" spans="1:5" x14ac:dyDescent="0.25">
      <c r="A4518" s="130" t="s">
        <v>17372</v>
      </c>
      <c r="B4518" t="s">
        <v>27425</v>
      </c>
      <c r="C4518">
        <v>1</v>
      </c>
      <c r="D4518" t="s">
        <v>23629</v>
      </c>
      <c r="E4518" t="s">
        <v>23632</v>
      </c>
    </row>
    <row r="4519" spans="1:5" x14ac:dyDescent="0.25">
      <c r="A4519" s="130" t="str">
        <f>LEFT(B4519,1)</f>
        <v>R</v>
      </c>
      <c r="B4519" t="s">
        <v>29130</v>
      </c>
      <c r="C4519">
        <v>1</v>
      </c>
      <c r="D4519" t="s">
        <v>23629</v>
      </c>
      <c r="E4519" t="s">
        <v>23632</v>
      </c>
    </row>
    <row r="4520" spans="1:5" x14ac:dyDescent="0.25">
      <c r="A4520" s="131" t="s">
        <v>17372</v>
      </c>
      <c r="B4520" t="s">
        <v>27426</v>
      </c>
      <c r="C4520">
        <v>1</v>
      </c>
      <c r="D4520" t="s">
        <v>23629</v>
      </c>
      <c r="E4520" t="s">
        <v>23632</v>
      </c>
    </row>
    <row r="4521" spans="1:5" x14ac:dyDescent="0.25">
      <c r="A4521" s="131" t="s">
        <v>17372</v>
      </c>
      <c r="B4521" t="s">
        <v>27427</v>
      </c>
      <c r="C4521">
        <v>1</v>
      </c>
      <c r="D4521" t="s">
        <v>23629</v>
      </c>
      <c r="E4521" t="s">
        <v>23632</v>
      </c>
    </row>
    <row r="4522" spans="1:5" x14ac:dyDescent="0.25">
      <c r="A4522" s="130" t="s">
        <v>17372</v>
      </c>
      <c r="B4522" t="s">
        <v>27428</v>
      </c>
      <c r="C4522">
        <v>1</v>
      </c>
      <c r="D4522" t="s">
        <v>23629</v>
      </c>
      <c r="E4522" t="s">
        <v>23632</v>
      </c>
    </row>
    <row r="4523" spans="1:5" x14ac:dyDescent="0.25">
      <c r="A4523" s="130" t="s">
        <v>17372</v>
      </c>
      <c r="B4523" t="s">
        <v>27429</v>
      </c>
      <c r="C4523">
        <v>1</v>
      </c>
      <c r="D4523" t="s">
        <v>23629</v>
      </c>
      <c r="E4523" t="s">
        <v>23632</v>
      </c>
    </row>
    <row r="4524" spans="1:5" x14ac:dyDescent="0.25">
      <c r="A4524" s="130" t="str">
        <f>LEFT(B4524,1)</f>
        <v>R</v>
      </c>
      <c r="B4524" t="s">
        <v>27541</v>
      </c>
      <c r="C4524">
        <v>1</v>
      </c>
      <c r="D4524" t="s">
        <v>23629</v>
      </c>
      <c r="E4524" t="s">
        <v>23632</v>
      </c>
    </row>
    <row r="4525" spans="1:5" x14ac:dyDescent="0.25">
      <c r="A4525" s="131" t="s">
        <v>17372</v>
      </c>
      <c r="B4525" t="s">
        <v>27430</v>
      </c>
      <c r="C4525">
        <v>1</v>
      </c>
      <c r="D4525" t="s">
        <v>23629</v>
      </c>
      <c r="E4525" t="s">
        <v>23632</v>
      </c>
    </row>
    <row r="4526" spans="1:5" x14ac:dyDescent="0.25">
      <c r="A4526" s="130" t="str">
        <f>LEFT((B4526),1)</f>
        <v>R</v>
      </c>
      <c r="B4526" t="s">
        <v>27431</v>
      </c>
      <c r="C4526">
        <v>1</v>
      </c>
      <c r="D4526" t="s">
        <v>23629</v>
      </c>
      <c r="E4526" t="s">
        <v>23632</v>
      </c>
    </row>
    <row r="4527" spans="1:5" x14ac:dyDescent="0.25">
      <c r="A4527" s="131" t="str">
        <f>LEFT((B4527),1)</f>
        <v>R</v>
      </c>
      <c r="B4527" t="s">
        <v>27432</v>
      </c>
      <c r="C4527">
        <v>1</v>
      </c>
      <c r="D4527" t="s">
        <v>23629</v>
      </c>
      <c r="E4527" t="s">
        <v>23632</v>
      </c>
    </row>
    <row r="4528" spans="1:5" x14ac:dyDescent="0.25">
      <c r="A4528" s="130" t="str">
        <f>LEFT(B4528,1)</f>
        <v>R</v>
      </c>
      <c r="B4528" t="s">
        <v>28880</v>
      </c>
      <c r="C4528">
        <v>1</v>
      </c>
      <c r="D4528" t="s">
        <v>23629</v>
      </c>
      <c r="E4528" t="s">
        <v>23632</v>
      </c>
    </row>
    <row r="4529" spans="1:5" x14ac:dyDescent="0.25">
      <c r="A4529" s="130" t="s">
        <v>17372</v>
      </c>
      <c r="B4529" t="s">
        <v>27433</v>
      </c>
      <c r="C4529">
        <v>1</v>
      </c>
      <c r="D4529" t="s">
        <v>23629</v>
      </c>
      <c r="E4529" t="s">
        <v>23632</v>
      </c>
    </row>
    <row r="4530" spans="1:5" x14ac:dyDescent="0.25">
      <c r="A4530" s="130" t="str">
        <f>LEFT(B4530,1)</f>
        <v>R</v>
      </c>
      <c r="B4530" t="s">
        <v>27536</v>
      </c>
      <c r="C4530">
        <v>1</v>
      </c>
      <c r="D4530" t="s">
        <v>23629</v>
      </c>
      <c r="E4530" t="s">
        <v>23632</v>
      </c>
    </row>
    <row r="4531" spans="1:5" x14ac:dyDescent="0.25">
      <c r="A4531" s="131" t="s">
        <v>17372</v>
      </c>
      <c r="B4531" t="s">
        <v>27434</v>
      </c>
      <c r="C4531">
        <v>1</v>
      </c>
      <c r="D4531" t="s">
        <v>23629</v>
      </c>
      <c r="E4531" t="s">
        <v>23632</v>
      </c>
    </row>
    <row r="4532" spans="1:5" x14ac:dyDescent="0.25">
      <c r="A4532" s="130" t="s">
        <v>17372</v>
      </c>
      <c r="B4532" t="s">
        <v>27435</v>
      </c>
      <c r="C4532">
        <v>1</v>
      </c>
      <c r="D4532" t="s">
        <v>23629</v>
      </c>
      <c r="E4532" t="s">
        <v>23632</v>
      </c>
    </row>
    <row r="4533" spans="1:5" x14ac:dyDescent="0.25">
      <c r="A4533" s="130" t="str">
        <f>LEFT(B4533,1)</f>
        <v>R</v>
      </c>
      <c r="B4533" t="s">
        <v>29131</v>
      </c>
      <c r="C4533">
        <v>1</v>
      </c>
      <c r="D4533" t="s">
        <v>23629</v>
      </c>
      <c r="E4533" t="s">
        <v>23632</v>
      </c>
    </row>
    <row r="4534" spans="1:5" x14ac:dyDescent="0.25">
      <c r="A4534" s="131" t="s">
        <v>17372</v>
      </c>
      <c r="B4534" t="s">
        <v>27436</v>
      </c>
      <c r="C4534">
        <v>1</v>
      </c>
      <c r="D4534" t="s">
        <v>23629</v>
      </c>
      <c r="E4534" t="s">
        <v>23632</v>
      </c>
    </row>
    <row r="4535" spans="1:5" x14ac:dyDescent="0.25">
      <c r="A4535" s="130" t="s">
        <v>17372</v>
      </c>
      <c r="B4535" t="s">
        <v>27437</v>
      </c>
      <c r="C4535">
        <v>1</v>
      </c>
      <c r="D4535" t="s">
        <v>23629</v>
      </c>
      <c r="E4535" t="s">
        <v>23632</v>
      </c>
    </row>
    <row r="4536" spans="1:5" x14ac:dyDescent="0.25">
      <c r="A4536" s="130" t="str">
        <f>LEFT((B4536),1)</f>
        <v>R</v>
      </c>
      <c r="B4536" t="s">
        <v>27438</v>
      </c>
      <c r="C4536">
        <v>1</v>
      </c>
      <c r="D4536" t="s">
        <v>23629</v>
      </c>
      <c r="E4536" t="s">
        <v>23632</v>
      </c>
    </row>
    <row r="4537" spans="1:5" x14ac:dyDescent="0.25">
      <c r="A4537" s="131" t="s">
        <v>17372</v>
      </c>
      <c r="B4537" t="s">
        <v>27439</v>
      </c>
      <c r="C4537">
        <v>1</v>
      </c>
      <c r="D4537" t="s">
        <v>23629</v>
      </c>
      <c r="E4537" t="s">
        <v>23632</v>
      </c>
    </row>
    <row r="4538" spans="1:5" x14ac:dyDescent="0.25">
      <c r="A4538" s="131" t="str">
        <f>LEFT(B4538,1)</f>
        <v>R</v>
      </c>
      <c r="B4538" t="s">
        <v>27542</v>
      </c>
      <c r="C4538">
        <v>1</v>
      </c>
      <c r="D4538" t="s">
        <v>23629</v>
      </c>
      <c r="E4538" t="s">
        <v>23632</v>
      </c>
    </row>
    <row r="4539" spans="1:5" x14ac:dyDescent="0.25">
      <c r="A4539" s="130" t="s">
        <v>17372</v>
      </c>
      <c r="B4539" t="s">
        <v>27440</v>
      </c>
      <c r="C4539">
        <v>1</v>
      </c>
      <c r="D4539" t="s">
        <v>23629</v>
      </c>
      <c r="E4539" t="s">
        <v>23632</v>
      </c>
    </row>
    <row r="4540" spans="1:5" x14ac:dyDescent="0.25">
      <c r="A4540" s="131" t="s">
        <v>17372</v>
      </c>
      <c r="B4540" t="s">
        <v>27441</v>
      </c>
      <c r="C4540">
        <v>1</v>
      </c>
      <c r="D4540" t="s">
        <v>23629</v>
      </c>
      <c r="E4540" t="s">
        <v>23632</v>
      </c>
    </row>
    <row r="4541" spans="1:5" x14ac:dyDescent="0.25">
      <c r="A4541" s="130" t="s">
        <v>17372</v>
      </c>
      <c r="B4541" t="s">
        <v>27442</v>
      </c>
      <c r="C4541">
        <v>1</v>
      </c>
      <c r="D4541" t="s">
        <v>23629</v>
      </c>
      <c r="E4541" t="s">
        <v>23632</v>
      </c>
    </row>
    <row r="4542" spans="1:5" x14ac:dyDescent="0.25">
      <c r="A4542" s="131" t="s">
        <v>17372</v>
      </c>
      <c r="B4542" t="s">
        <v>27443</v>
      </c>
      <c r="C4542">
        <v>1</v>
      </c>
      <c r="D4542" t="s">
        <v>23629</v>
      </c>
      <c r="E4542" t="s">
        <v>23632</v>
      </c>
    </row>
    <row r="4543" spans="1:5" x14ac:dyDescent="0.25">
      <c r="A4543" s="130" t="str">
        <f>LEFT(B4543,1)</f>
        <v>R</v>
      </c>
      <c r="B4543" t="s">
        <v>27529</v>
      </c>
      <c r="C4543">
        <v>1.04</v>
      </c>
      <c r="D4543" t="s">
        <v>28332</v>
      </c>
      <c r="E4543" t="s">
        <v>23632</v>
      </c>
    </row>
    <row r="4544" spans="1:5" x14ac:dyDescent="0.25">
      <c r="A4544" s="130" t="s">
        <v>17372</v>
      </c>
      <c r="B4544" t="s">
        <v>27444</v>
      </c>
      <c r="C4544">
        <v>1</v>
      </c>
      <c r="D4544" t="s">
        <v>23629</v>
      </c>
      <c r="E4544" t="s">
        <v>23632</v>
      </c>
    </row>
    <row r="4545" spans="1:5" x14ac:dyDescent="0.25">
      <c r="A4545" s="131" t="s">
        <v>17372</v>
      </c>
      <c r="B4545" t="s">
        <v>27445</v>
      </c>
      <c r="C4545">
        <v>1</v>
      </c>
      <c r="D4545" t="s">
        <v>23629</v>
      </c>
      <c r="E4545" t="s">
        <v>23632</v>
      </c>
    </row>
    <row r="4546" spans="1:5" x14ac:dyDescent="0.25">
      <c r="A4546" s="131" t="str">
        <f>LEFT(B4546,1)</f>
        <v>R</v>
      </c>
      <c r="B4546" t="s">
        <v>27530</v>
      </c>
      <c r="C4546">
        <v>1</v>
      </c>
      <c r="D4546" t="s">
        <v>23629</v>
      </c>
      <c r="E4546" t="s">
        <v>23632</v>
      </c>
    </row>
    <row r="4547" spans="1:5" x14ac:dyDescent="0.25">
      <c r="A4547" s="130" t="s">
        <v>17372</v>
      </c>
      <c r="B4547" t="s">
        <v>27446</v>
      </c>
      <c r="C4547">
        <v>1</v>
      </c>
      <c r="D4547" t="s">
        <v>23629</v>
      </c>
      <c r="E4547" t="s">
        <v>23632</v>
      </c>
    </row>
    <row r="4548" spans="1:5" x14ac:dyDescent="0.25">
      <c r="A4548" s="131" t="s">
        <v>17372</v>
      </c>
      <c r="B4548" t="s">
        <v>27447</v>
      </c>
      <c r="C4548">
        <v>1</v>
      </c>
      <c r="D4548" t="s">
        <v>23629</v>
      </c>
      <c r="E4548" t="s">
        <v>23632</v>
      </c>
    </row>
    <row r="4549" spans="1:5" x14ac:dyDescent="0.25">
      <c r="A4549" s="130" t="s">
        <v>17372</v>
      </c>
      <c r="B4549" t="s">
        <v>27448</v>
      </c>
      <c r="C4549">
        <v>1</v>
      </c>
      <c r="D4549" t="s">
        <v>23629</v>
      </c>
      <c r="E4549" t="s">
        <v>23881</v>
      </c>
    </row>
    <row r="4550" spans="1:5" x14ac:dyDescent="0.25">
      <c r="A4550" s="131" t="s">
        <v>17372</v>
      </c>
      <c r="B4550" t="s">
        <v>27449</v>
      </c>
      <c r="C4550">
        <v>1</v>
      </c>
      <c r="D4550" t="s">
        <v>23629</v>
      </c>
      <c r="E4550" t="s">
        <v>23632</v>
      </c>
    </row>
    <row r="4551" spans="1:5" x14ac:dyDescent="0.25">
      <c r="A4551" s="130" t="str">
        <f>LEFT(B4551,1)</f>
        <v>R</v>
      </c>
      <c r="B4551" t="s">
        <v>29132</v>
      </c>
      <c r="C4551">
        <v>1</v>
      </c>
      <c r="D4551" t="s">
        <v>23629</v>
      </c>
      <c r="E4551" t="s">
        <v>23632</v>
      </c>
    </row>
    <row r="4552" spans="1:5" x14ac:dyDescent="0.25">
      <c r="A4552" s="130" t="s">
        <v>17372</v>
      </c>
      <c r="B4552" t="s">
        <v>27450</v>
      </c>
      <c r="C4552">
        <v>1</v>
      </c>
      <c r="D4552" t="s">
        <v>23629</v>
      </c>
      <c r="E4552" t="s">
        <v>23632</v>
      </c>
    </row>
    <row r="4553" spans="1:5" x14ac:dyDescent="0.25">
      <c r="A4553" s="131" t="s">
        <v>17372</v>
      </c>
      <c r="B4553" t="s">
        <v>27451</v>
      </c>
      <c r="C4553">
        <v>1</v>
      </c>
      <c r="D4553" t="s">
        <v>23629</v>
      </c>
      <c r="E4553" t="s">
        <v>23632</v>
      </c>
    </row>
    <row r="4554" spans="1:5" x14ac:dyDescent="0.25">
      <c r="A4554" s="130" t="s">
        <v>17372</v>
      </c>
      <c r="B4554" t="s">
        <v>27452</v>
      </c>
      <c r="C4554">
        <v>1</v>
      </c>
      <c r="D4554" t="s">
        <v>23629</v>
      </c>
      <c r="E4554" t="s">
        <v>23632</v>
      </c>
    </row>
    <row r="4555" spans="1:5" x14ac:dyDescent="0.25">
      <c r="A4555" s="130" t="str">
        <f>LEFT(B4555,1)</f>
        <v>R</v>
      </c>
      <c r="B4555" t="s">
        <v>27531</v>
      </c>
      <c r="C4555">
        <v>1</v>
      </c>
      <c r="D4555" t="s">
        <v>23629</v>
      </c>
      <c r="E4555" t="s">
        <v>23632</v>
      </c>
    </row>
    <row r="4556" spans="1:5" x14ac:dyDescent="0.25">
      <c r="A4556" s="131" t="s">
        <v>17372</v>
      </c>
      <c r="B4556" t="s">
        <v>27453</v>
      </c>
      <c r="C4556">
        <v>1</v>
      </c>
      <c r="D4556" t="s">
        <v>23629</v>
      </c>
      <c r="E4556" t="s">
        <v>23632</v>
      </c>
    </row>
    <row r="4557" spans="1:5" x14ac:dyDescent="0.25">
      <c r="A4557" s="131" t="str">
        <f>LEFT((B4557),1)</f>
        <v>R</v>
      </c>
      <c r="B4557" t="s">
        <v>27454</v>
      </c>
      <c r="C4557">
        <v>1</v>
      </c>
      <c r="D4557" t="s">
        <v>23629</v>
      </c>
      <c r="E4557" t="s">
        <v>23632</v>
      </c>
    </row>
    <row r="4558" spans="1:5" x14ac:dyDescent="0.25">
      <c r="A4558" s="130" t="s">
        <v>17372</v>
      </c>
      <c r="B4558" t="s">
        <v>27455</v>
      </c>
      <c r="C4558">
        <v>1.1100000000000001</v>
      </c>
      <c r="D4558" t="s">
        <v>28662</v>
      </c>
      <c r="E4558" t="s">
        <v>23632</v>
      </c>
    </row>
    <row r="4559" spans="1:5" x14ac:dyDescent="0.25">
      <c r="A4559" s="130" t="str">
        <f>LEFT(B4559,1)</f>
        <v>R</v>
      </c>
      <c r="B4559" t="s">
        <v>28597</v>
      </c>
      <c r="C4559">
        <v>1</v>
      </c>
      <c r="D4559" t="s">
        <v>23629</v>
      </c>
      <c r="E4559" t="s">
        <v>23632</v>
      </c>
    </row>
    <row r="4560" spans="1:5" x14ac:dyDescent="0.25">
      <c r="A4560" s="131" t="s">
        <v>17372</v>
      </c>
      <c r="B4560" t="s">
        <v>27456</v>
      </c>
      <c r="C4560">
        <v>1</v>
      </c>
      <c r="D4560" t="s">
        <v>23629</v>
      </c>
      <c r="E4560" t="s">
        <v>23632</v>
      </c>
    </row>
    <row r="4561" spans="1:5" x14ac:dyDescent="0.25">
      <c r="A4561" s="130" t="str">
        <f>LEFT(B4561,1)</f>
        <v>R</v>
      </c>
      <c r="B4561" t="s">
        <v>29133</v>
      </c>
      <c r="C4561">
        <v>1</v>
      </c>
      <c r="D4561" t="s">
        <v>23629</v>
      </c>
      <c r="E4561" t="s">
        <v>23632</v>
      </c>
    </row>
    <row r="4562" spans="1:5" x14ac:dyDescent="0.25">
      <c r="A4562" s="131" t="s">
        <v>17372</v>
      </c>
      <c r="B4562" t="s">
        <v>27457</v>
      </c>
      <c r="C4562">
        <v>1</v>
      </c>
      <c r="D4562" t="s">
        <v>23629</v>
      </c>
      <c r="E4562" t="s">
        <v>23632</v>
      </c>
    </row>
    <row r="4563" spans="1:5" x14ac:dyDescent="0.25">
      <c r="A4563" s="130" t="s">
        <v>17372</v>
      </c>
      <c r="B4563" t="s">
        <v>27458</v>
      </c>
      <c r="C4563">
        <v>1</v>
      </c>
      <c r="D4563" t="s">
        <v>23629</v>
      </c>
      <c r="E4563" t="s">
        <v>23632</v>
      </c>
    </row>
    <row r="4564" spans="1:5" x14ac:dyDescent="0.25">
      <c r="A4564" s="131" t="s">
        <v>17372</v>
      </c>
      <c r="B4564" t="s">
        <v>27459</v>
      </c>
      <c r="C4564">
        <v>1</v>
      </c>
      <c r="D4564" t="s">
        <v>23629</v>
      </c>
      <c r="E4564" t="s">
        <v>23632</v>
      </c>
    </row>
    <row r="4565" spans="1:5" x14ac:dyDescent="0.25">
      <c r="A4565" s="130" t="str">
        <f>LEFT(B4565,1)</f>
        <v>R</v>
      </c>
      <c r="B4565" t="s">
        <v>29134</v>
      </c>
      <c r="C4565">
        <v>1</v>
      </c>
      <c r="D4565" t="s">
        <v>23629</v>
      </c>
      <c r="E4565" t="s">
        <v>23632</v>
      </c>
    </row>
    <row r="4566" spans="1:5" x14ac:dyDescent="0.25">
      <c r="A4566" s="130" t="str">
        <f>LEFT(B4566,1)</f>
        <v>R</v>
      </c>
      <c r="B4566" t="s">
        <v>27543</v>
      </c>
      <c r="C4566">
        <v>1</v>
      </c>
      <c r="D4566" t="s">
        <v>23629</v>
      </c>
      <c r="E4566" t="s">
        <v>23632</v>
      </c>
    </row>
    <row r="4567" spans="1:5" x14ac:dyDescent="0.25">
      <c r="A4567" s="130" t="s">
        <v>17372</v>
      </c>
      <c r="B4567" t="s">
        <v>27460</v>
      </c>
      <c r="C4567">
        <v>1</v>
      </c>
      <c r="D4567" t="s">
        <v>23629</v>
      </c>
      <c r="E4567" t="s">
        <v>23632</v>
      </c>
    </row>
    <row r="4568" spans="1:5" x14ac:dyDescent="0.25">
      <c r="A4568" s="131" t="s">
        <v>17372</v>
      </c>
      <c r="B4568" t="s">
        <v>27461</v>
      </c>
      <c r="C4568">
        <v>1</v>
      </c>
      <c r="D4568" t="s">
        <v>23629</v>
      </c>
      <c r="E4568" t="s">
        <v>23632</v>
      </c>
    </row>
    <row r="4569" spans="1:5" x14ac:dyDescent="0.25">
      <c r="A4569" s="130" t="s">
        <v>17372</v>
      </c>
      <c r="B4569" t="s">
        <v>27462</v>
      </c>
      <c r="C4569">
        <v>1</v>
      </c>
      <c r="D4569" t="s">
        <v>23629</v>
      </c>
      <c r="E4569" t="s">
        <v>23632</v>
      </c>
    </row>
    <row r="4570" spans="1:5" x14ac:dyDescent="0.25">
      <c r="A4570" s="131" t="str">
        <f>LEFT(B4570,1)</f>
        <v>R</v>
      </c>
      <c r="B4570" t="s">
        <v>27544</v>
      </c>
      <c r="C4570">
        <v>1</v>
      </c>
      <c r="D4570" t="s">
        <v>23629</v>
      </c>
      <c r="E4570" t="s">
        <v>23632</v>
      </c>
    </row>
    <row r="4571" spans="1:5" x14ac:dyDescent="0.25">
      <c r="A4571" s="130" t="str">
        <f>LEFT(B4571,1)</f>
        <v>R</v>
      </c>
      <c r="B4571" t="s">
        <v>29135</v>
      </c>
      <c r="C4571">
        <v>1</v>
      </c>
      <c r="D4571" t="s">
        <v>23629</v>
      </c>
      <c r="E4571" t="s">
        <v>23632</v>
      </c>
    </row>
    <row r="4572" spans="1:5" x14ac:dyDescent="0.25">
      <c r="A4572" s="131" t="s">
        <v>17372</v>
      </c>
      <c r="B4572" t="s">
        <v>27463</v>
      </c>
      <c r="C4572">
        <v>1</v>
      </c>
      <c r="D4572" t="s">
        <v>23629</v>
      </c>
      <c r="E4572" t="s">
        <v>23632</v>
      </c>
    </row>
    <row r="4573" spans="1:5" x14ac:dyDescent="0.25">
      <c r="A4573" s="130" t="str">
        <f>LEFT(B4573,1)</f>
        <v>R</v>
      </c>
      <c r="B4573" t="s">
        <v>28598</v>
      </c>
      <c r="C4573">
        <v>1</v>
      </c>
      <c r="D4573" t="s">
        <v>23629</v>
      </c>
      <c r="E4573" t="s">
        <v>23632</v>
      </c>
    </row>
    <row r="4574" spans="1:5" x14ac:dyDescent="0.25">
      <c r="A4574" s="130" t="s">
        <v>17372</v>
      </c>
      <c r="B4574" t="s">
        <v>27464</v>
      </c>
      <c r="C4574">
        <v>1</v>
      </c>
      <c r="D4574" t="s">
        <v>23629</v>
      </c>
      <c r="E4574" t="s">
        <v>23632</v>
      </c>
    </row>
    <row r="4575" spans="1:5" x14ac:dyDescent="0.25">
      <c r="A4575" s="131" t="s">
        <v>17372</v>
      </c>
      <c r="B4575" t="s">
        <v>27465</v>
      </c>
      <c r="C4575">
        <v>1</v>
      </c>
      <c r="D4575" t="s">
        <v>23629</v>
      </c>
      <c r="E4575" t="s">
        <v>23632</v>
      </c>
    </row>
    <row r="4576" spans="1:5" x14ac:dyDescent="0.25">
      <c r="A4576" s="130" t="s">
        <v>17372</v>
      </c>
      <c r="B4576" t="s">
        <v>27466</v>
      </c>
      <c r="C4576">
        <v>1</v>
      </c>
      <c r="D4576" t="s">
        <v>23629</v>
      </c>
      <c r="E4576" t="s">
        <v>23632</v>
      </c>
    </row>
    <row r="4577" spans="1:5" x14ac:dyDescent="0.25">
      <c r="A4577" s="130" t="s">
        <v>17372</v>
      </c>
      <c r="B4577" t="s">
        <v>27467</v>
      </c>
      <c r="C4577">
        <v>1</v>
      </c>
      <c r="D4577" t="s">
        <v>23629</v>
      </c>
      <c r="E4577" t="s">
        <v>23632</v>
      </c>
    </row>
    <row r="4578" spans="1:5" x14ac:dyDescent="0.25">
      <c r="A4578" s="130" t="str">
        <f>LEFT(B4578,1)</f>
        <v>R</v>
      </c>
      <c r="B4578" t="s">
        <v>29136</v>
      </c>
      <c r="C4578">
        <v>1</v>
      </c>
      <c r="D4578" t="s">
        <v>23629</v>
      </c>
      <c r="E4578" t="s">
        <v>23632</v>
      </c>
    </row>
    <row r="4579" spans="1:5" x14ac:dyDescent="0.25">
      <c r="A4579" s="130" t="str">
        <f>LEFT(B4579,1)</f>
        <v>R</v>
      </c>
      <c r="B4579" t="s">
        <v>28599</v>
      </c>
      <c r="C4579">
        <v>1</v>
      </c>
      <c r="D4579" t="s">
        <v>23629</v>
      </c>
      <c r="E4579" t="s">
        <v>23632</v>
      </c>
    </row>
    <row r="4580" spans="1:5" x14ac:dyDescent="0.25">
      <c r="A4580" s="130" t="str">
        <f>LEFT((B4580),1)</f>
        <v>R</v>
      </c>
      <c r="B4580" t="s">
        <v>27468</v>
      </c>
      <c r="C4580">
        <v>1</v>
      </c>
      <c r="D4580" t="s">
        <v>23629</v>
      </c>
      <c r="E4580" t="s">
        <v>23632</v>
      </c>
    </row>
    <row r="4581" spans="1:5" x14ac:dyDescent="0.25">
      <c r="A4581" s="131" t="s">
        <v>17372</v>
      </c>
      <c r="B4581" t="s">
        <v>27469</v>
      </c>
      <c r="C4581">
        <v>1</v>
      </c>
      <c r="D4581" t="s">
        <v>23629</v>
      </c>
      <c r="E4581" t="s">
        <v>23632</v>
      </c>
    </row>
    <row r="4582" spans="1:5" x14ac:dyDescent="0.25">
      <c r="A4582" s="130" t="str">
        <f>LEFT(B4582,1)</f>
        <v>R</v>
      </c>
      <c r="B4582" t="s">
        <v>28881</v>
      </c>
      <c r="C4582">
        <v>1</v>
      </c>
      <c r="D4582" t="s">
        <v>23629</v>
      </c>
      <c r="E4582" t="s">
        <v>23632</v>
      </c>
    </row>
    <row r="4583" spans="1:5" x14ac:dyDescent="0.25">
      <c r="A4583" s="130" t="s">
        <v>17372</v>
      </c>
      <c r="B4583" t="s">
        <v>27470</v>
      </c>
      <c r="C4583">
        <v>1</v>
      </c>
      <c r="D4583" t="s">
        <v>23629</v>
      </c>
      <c r="E4583" t="s">
        <v>23632</v>
      </c>
    </row>
    <row r="4584" spans="1:5" x14ac:dyDescent="0.25">
      <c r="A4584" s="131" t="str">
        <f>LEFT(B4584,1)</f>
        <v>R</v>
      </c>
      <c r="B4584" t="s">
        <v>27532</v>
      </c>
      <c r="C4584">
        <v>1</v>
      </c>
      <c r="D4584" t="s">
        <v>23629</v>
      </c>
      <c r="E4584" t="s">
        <v>23632</v>
      </c>
    </row>
    <row r="4585" spans="1:5" x14ac:dyDescent="0.25">
      <c r="A4585" s="131" t="s">
        <v>17372</v>
      </c>
      <c r="B4585" t="s">
        <v>27471</v>
      </c>
      <c r="C4585">
        <v>1</v>
      </c>
      <c r="D4585" t="s">
        <v>23629</v>
      </c>
      <c r="E4585" t="s">
        <v>23632</v>
      </c>
    </row>
    <row r="4586" spans="1:5" x14ac:dyDescent="0.25">
      <c r="A4586" s="130" t="s">
        <v>17372</v>
      </c>
      <c r="B4586" t="s">
        <v>27472</v>
      </c>
      <c r="C4586">
        <v>1</v>
      </c>
      <c r="D4586" t="s">
        <v>23629</v>
      </c>
      <c r="E4586" t="s">
        <v>23632</v>
      </c>
    </row>
    <row r="4587" spans="1:5" x14ac:dyDescent="0.25">
      <c r="A4587" s="131" t="str">
        <f>LEFT((B4587),1)</f>
        <v>R</v>
      </c>
      <c r="B4587" t="s">
        <v>27473</v>
      </c>
      <c r="C4587">
        <v>1</v>
      </c>
      <c r="D4587" t="s">
        <v>23629</v>
      </c>
      <c r="E4587" t="s">
        <v>23632</v>
      </c>
    </row>
    <row r="4588" spans="1:5" x14ac:dyDescent="0.25">
      <c r="A4588" s="130" t="str">
        <f>LEFT((B4588),1)</f>
        <v>R</v>
      </c>
      <c r="B4588" t="s">
        <v>27474</v>
      </c>
      <c r="C4588">
        <v>1</v>
      </c>
      <c r="D4588" t="s">
        <v>23629</v>
      </c>
      <c r="E4588" t="s">
        <v>23632</v>
      </c>
    </row>
    <row r="4589" spans="1:5" x14ac:dyDescent="0.25">
      <c r="A4589" s="131" t="s">
        <v>17372</v>
      </c>
      <c r="B4589" t="s">
        <v>27475</v>
      </c>
      <c r="C4589">
        <v>1</v>
      </c>
      <c r="D4589" t="s">
        <v>23629</v>
      </c>
      <c r="E4589" t="s">
        <v>23632</v>
      </c>
    </row>
    <row r="4590" spans="1:5" x14ac:dyDescent="0.25">
      <c r="A4590" s="131" t="s">
        <v>17372</v>
      </c>
      <c r="B4590" t="s">
        <v>27476</v>
      </c>
      <c r="C4590">
        <v>1</v>
      </c>
      <c r="D4590" t="s">
        <v>23629</v>
      </c>
      <c r="E4590" t="s">
        <v>23632</v>
      </c>
    </row>
    <row r="4591" spans="1:5" x14ac:dyDescent="0.25">
      <c r="A4591" s="130" t="s">
        <v>17372</v>
      </c>
      <c r="B4591" t="s">
        <v>27477</v>
      </c>
      <c r="C4591">
        <v>1</v>
      </c>
      <c r="D4591" t="s">
        <v>23629</v>
      </c>
      <c r="E4591" t="s">
        <v>23632</v>
      </c>
    </row>
    <row r="4592" spans="1:5" x14ac:dyDescent="0.25">
      <c r="A4592" s="131" t="s">
        <v>17372</v>
      </c>
      <c r="B4592" t="s">
        <v>27478</v>
      </c>
      <c r="C4592">
        <v>1</v>
      </c>
      <c r="D4592" t="s">
        <v>23629</v>
      </c>
      <c r="E4592" t="s">
        <v>23632</v>
      </c>
    </row>
    <row r="4593" spans="1:5" x14ac:dyDescent="0.25">
      <c r="A4593" s="130" t="s">
        <v>17372</v>
      </c>
      <c r="B4593" t="s">
        <v>27479</v>
      </c>
      <c r="C4593">
        <v>1</v>
      </c>
      <c r="D4593" t="s">
        <v>23629</v>
      </c>
      <c r="E4593" t="s">
        <v>23632</v>
      </c>
    </row>
    <row r="4594" spans="1:5" x14ac:dyDescent="0.25">
      <c r="A4594" s="131" t="s">
        <v>17372</v>
      </c>
      <c r="B4594" t="s">
        <v>27480</v>
      </c>
      <c r="C4594">
        <v>1</v>
      </c>
      <c r="D4594" t="s">
        <v>23629</v>
      </c>
      <c r="E4594" t="s">
        <v>23632</v>
      </c>
    </row>
    <row r="4595" spans="1:5" x14ac:dyDescent="0.25">
      <c r="A4595" s="130" t="s">
        <v>17372</v>
      </c>
      <c r="B4595" t="s">
        <v>27481</v>
      </c>
      <c r="C4595">
        <v>1</v>
      </c>
      <c r="D4595" t="s">
        <v>23629</v>
      </c>
      <c r="E4595" t="s">
        <v>23632</v>
      </c>
    </row>
    <row r="4596" spans="1:5" x14ac:dyDescent="0.25">
      <c r="A4596" s="130" t="s">
        <v>17372</v>
      </c>
      <c r="B4596" t="s">
        <v>27482</v>
      </c>
      <c r="C4596">
        <v>1</v>
      </c>
      <c r="D4596" t="s">
        <v>23629</v>
      </c>
      <c r="E4596" t="s">
        <v>23632</v>
      </c>
    </row>
    <row r="4597" spans="1:5" x14ac:dyDescent="0.25">
      <c r="A4597" s="131" t="s">
        <v>17372</v>
      </c>
      <c r="B4597" t="s">
        <v>27483</v>
      </c>
      <c r="C4597">
        <v>1</v>
      </c>
      <c r="D4597" t="s">
        <v>23629</v>
      </c>
      <c r="E4597" t="s">
        <v>23632</v>
      </c>
    </row>
    <row r="4598" spans="1:5" x14ac:dyDescent="0.25">
      <c r="A4598" s="130" t="s">
        <v>17372</v>
      </c>
      <c r="B4598" t="s">
        <v>27484</v>
      </c>
      <c r="C4598">
        <v>1</v>
      </c>
      <c r="D4598" t="s">
        <v>23629</v>
      </c>
      <c r="E4598" t="s">
        <v>23632</v>
      </c>
    </row>
    <row r="4599" spans="1:5" x14ac:dyDescent="0.25">
      <c r="A4599" s="131" t="s">
        <v>17372</v>
      </c>
      <c r="B4599" t="s">
        <v>27485</v>
      </c>
      <c r="C4599">
        <v>1</v>
      </c>
      <c r="D4599" t="s">
        <v>23629</v>
      </c>
      <c r="E4599" t="s">
        <v>23632</v>
      </c>
    </row>
    <row r="4600" spans="1:5" x14ac:dyDescent="0.25">
      <c r="A4600" s="130" t="str">
        <f>LEFT(B4600,1)</f>
        <v>R</v>
      </c>
      <c r="B4600" t="s">
        <v>28600</v>
      </c>
      <c r="C4600">
        <v>1</v>
      </c>
      <c r="D4600" t="s">
        <v>23629</v>
      </c>
      <c r="E4600" t="s">
        <v>23632</v>
      </c>
    </row>
    <row r="4601" spans="1:5" x14ac:dyDescent="0.25">
      <c r="A4601" s="130" t="str">
        <f>LEFT(B4601,1)</f>
        <v>R</v>
      </c>
      <c r="B4601" t="s">
        <v>29137</v>
      </c>
      <c r="C4601">
        <v>1</v>
      </c>
      <c r="D4601" t="s">
        <v>23629</v>
      </c>
      <c r="E4601" t="s">
        <v>23632</v>
      </c>
    </row>
    <row r="4602" spans="1:5" x14ac:dyDescent="0.25">
      <c r="A4602" s="130" t="s">
        <v>17372</v>
      </c>
      <c r="B4602" t="s">
        <v>27486</v>
      </c>
      <c r="C4602">
        <v>1</v>
      </c>
      <c r="D4602" t="s">
        <v>23629</v>
      </c>
      <c r="E4602" t="s">
        <v>23632</v>
      </c>
    </row>
    <row r="4603" spans="1:5" x14ac:dyDescent="0.25">
      <c r="A4603" s="131" t="s">
        <v>17372</v>
      </c>
      <c r="B4603" t="s">
        <v>27487</v>
      </c>
      <c r="C4603">
        <v>1</v>
      </c>
      <c r="D4603" t="s">
        <v>23629</v>
      </c>
      <c r="E4603" t="s">
        <v>23632</v>
      </c>
    </row>
    <row r="4604" spans="1:5" x14ac:dyDescent="0.25">
      <c r="A4604" s="130" t="s">
        <v>17372</v>
      </c>
      <c r="B4604" t="s">
        <v>27488</v>
      </c>
      <c r="C4604">
        <v>1</v>
      </c>
      <c r="D4604" t="s">
        <v>23629</v>
      </c>
      <c r="E4604" t="s">
        <v>23632</v>
      </c>
    </row>
    <row r="4605" spans="1:5" x14ac:dyDescent="0.25">
      <c r="A4605" s="131" t="s">
        <v>17372</v>
      </c>
      <c r="B4605" t="s">
        <v>27489</v>
      </c>
      <c r="C4605">
        <v>1</v>
      </c>
      <c r="D4605" t="s">
        <v>23629</v>
      </c>
      <c r="E4605" t="s">
        <v>23632</v>
      </c>
    </row>
    <row r="4606" spans="1:5" x14ac:dyDescent="0.25">
      <c r="A4606" s="130" t="str">
        <f>LEFT(B4606,1)</f>
        <v>R</v>
      </c>
      <c r="B4606" t="s">
        <v>27545</v>
      </c>
      <c r="C4606">
        <v>1</v>
      </c>
      <c r="D4606" t="s">
        <v>23629</v>
      </c>
      <c r="E4606" t="s">
        <v>23632</v>
      </c>
    </row>
    <row r="4607" spans="1:5" x14ac:dyDescent="0.25">
      <c r="A4607" s="130" t="str">
        <f>LEFT(B4607,1)</f>
        <v>R</v>
      </c>
      <c r="B4607" t="s">
        <v>29138</v>
      </c>
      <c r="C4607">
        <v>1</v>
      </c>
      <c r="D4607" t="s">
        <v>23629</v>
      </c>
      <c r="E4607" t="s">
        <v>23632</v>
      </c>
    </row>
    <row r="4608" spans="1:5" x14ac:dyDescent="0.25">
      <c r="A4608" s="131" t="str">
        <f>LEFT((B4608),1)</f>
        <v>R</v>
      </c>
      <c r="B4608" t="s">
        <v>27490</v>
      </c>
      <c r="C4608">
        <v>1</v>
      </c>
      <c r="D4608" t="s">
        <v>23629</v>
      </c>
      <c r="E4608" t="s">
        <v>23632</v>
      </c>
    </row>
    <row r="4609" spans="1:5" x14ac:dyDescent="0.25">
      <c r="A4609" s="130" t="str">
        <f>LEFT(B4609,1)</f>
        <v>R</v>
      </c>
      <c r="B4609" t="s">
        <v>27533</v>
      </c>
      <c r="C4609">
        <v>1</v>
      </c>
      <c r="D4609" t="s">
        <v>23629</v>
      </c>
      <c r="E4609" t="s">
        <v>23632</v>
      </c>
    </row>
    <row r="4610" spans="1:5" x14ac:dyDescent="0.25">
      <c r="A4610" s="130" t="s">
        <v>17372</v>
      </c>
      <c r="B4610" t="s">
        <v>27491</v>
      </c>
      <c r="C4610">
        <v>1</v>
      </c>
      <c r="D4610" t="s">
        <v>23629</v>
      </c>
      <c r="E4610" t="s">
        <v>23632</v>
      </c>
    </row>
    <row r="4611" spans="1:5" x14ac:dyDescent="0.25">
      <c r="A4611" s="131" t="s">
        <v>17372</v>
      </c>
      <c r="B4611" t="s">
        <v>27492</v>
      </c>
      <c r="C4611">
        <v>1</v>
      </c>
      <c r="D4611" t="s">
        <v>23629</v>
      </c>
      <c r="E4611" t="s">
        <v>23632</v>
      </c>
    </row>
    <row r="4612" spans="1:5" x14ac:dyDescent="0.25">
      <c r="A4612" s="130" t="str">
        <f>LEFT(B4612,1)</f>
        <v>R</v>
      </c>
      <c r="B4612" t="s">
        <v>29139</v>
      </c>
      <c r="C4612">
        <v>1</v>
      </c>
      <c r="D4612" t="s">
        <v>23629</v>
      </c>
      <c r="E4612" t="s">
        <v>23632</v>
      </c>
    </row>
    <row r="4613" spans="1:5" x14ac:dyDescent="0.25">
      <c r="A4613" s="130" t="s">
        <v>17372</v>
      </c>
      <c r="B4613" t="s">
        <v>27493</v>
      </c>
      <c r="C4613">
        <v>1</v>
      </c>
      <c r="D4613" t="s">
        <v>23629</v>
      </c>
      <c r="E4613" t="s">
        <v>23632</v>
      </c>
    </row>
    <row r="4614" spans="1:5" x14ac:dyDescent="0.25">
      <c r="A4614" s="131" t="s">
        <v>17372</v>
      </c>
      <c r="B4614" t="s">
        <v>27494</v>
      </c>
      <c r="C4614">
        <v>1</v>
      </c>
      <c r="D4614" t="s">
        <v>23629</v>
      </c>
      <c r="E4614" t="s">
        <v>23632</v>
      </c>
    </row>
    <row r="4615" spans="1:5" x14ac:dyDescent="0.25">
      <c r="A4615" s="130" t="str">
        <f>LEFT(B4615,1)</f>
        <v>R</v>
      </c>
      <c r="B4615" t="s">
        <v>28601</v>
      </c>
      <c r="C4615">
        <v>1</v>
      </c>
      <c r="D4615" t="s">
        <v>23629</v>
      </c>
      <c r="E4615" t="s">
        <v>23632</v>
      </c>
    </row>
    <row r="4616" spans="1:5" x14ac:dyDescent="0.25">
      <c r="A4616" s="130" t="s">
        <v>17372</v>
      </c>
      <c r="B4616" t="s">
        <v>27495</v>
      </c>
      <c r="C4616">
        <v>1</v>
      </c>
      <c r="D4616" t="s">
        <v>23629</v>
      </c>
      <c r="E4616" t="s">
        <v>23881</v>
      </c>
    </row>
    <row r="4617" spans="1:5" x14ac:dyDescent="0.25">
      <c r="A4617" s="131" t="s">
        <v>17372</v>
      </c>
      <c r="B4617" t="s">
        <v>27496</v>
      </c>
      <c r="C4617">
        <v>1</v>
      </c>
      <c r="D4617" t="s">
        <v>23629</v>
      </c>
      <c r="E4617" t="s">
        <v>23632</v>
      </c>
    </row>
    <row r="4618" spans="1:5" x14ac:dyDescent="0.25">
      <c r="A4618" s="130" t="s">
        <v>17372</v>
      </c>
      <c r="B4618" t="s">
        <v>27497</v>
      </c>
      <c r="C4618">
        <v>1</v>
      </c>
      <c r="D4618" t="s">
        <v>23629</v>
      </c>
      <c r="E4618" t="s">
        <v>23632</v>
      </c>
    </row>
    <row r="4619" spans="1:5" x14ac:dyDescent="0.25">
      <c r="A4619" s="131" t="s">
        <v>17372</v>
      </c>
      <c r="B4619" t="s">
        <v>27498</v>
      </c>
      <c r="C4619">
        <v>1</v>
      </c>
      <c r="D4619" t="s">
        <v>23629</v>
      </c>
      <c r="E4619" t="s">
        <v>23632</v>
      </c>
    </row>
    <row r="4620" spans="1:5" x14ac:dyDescent="0.25">
      <c r="A4620" s="130" t="s">
        <v>17372</v>
      </c>
      <c r="B4620" t="s">
        <v>27499</v>
      </c>
      <c r="C4620">
        <v>1</v>
      </c>
      <c r="D4620" t="s">
        <v>23629</v>
      </c>
      <c r="E4620" t="s">
        <v>23632</v>
      </c>
    </row>
    <row r="4621" spans="1:5" x14ac:dyDescent="0.25">
      <c r="A4621" s="131" t="s">
        <v>17372</v>
      </c>
      <c r="B4621" t="s">
        <v>27500</v>
      </c>
      <c r="C4621">
        <v>1</v>
      </c>
      <c r="D4621" t="s">
        <v>23629</v>
      </c>
      <c r="E4621" t="s">
        <v>23632</v>
      </c>
    </row>
    <row r="4622" spans="1:5" x14ac:dyDescent="0.25">
      <c r="A4622" s="131" t="s">
        <v>17372</v>
      </c>
      <c r="B4622" t="s">
        <v>27501</v>
      </c>
      <c r="C4622">
        <v>1</v>
      </c>
      <c r="D4622" t="s">
        <v>23629</v>
      </c>
      <c r="E4622" t="s">
        <v>23632</v>
      </c>
    </row>
    <row r="4623" spans="1:5" x14ac:dyDescent="0.25">
      <c r="A4623" s="131" t="s">
        <v>17372</v>
      </c>
      <c r="B4623" t="s">
        <v>27502</v>
      </c>
      <c r="C4623">
        <v>1</v>
      </c>
      <c r="D4623" t="s">
        <v>23629</v>
      </c>
      <c r="E4623" t="s">
        <v>23632</v>
      </c>
    </row>
    <row r="4624" spans="1:5" x14ac:dyDescent="0.25">
      <c r="A4624" s="130" t="str">
        <f>LEFT(B4624,1)</f>
        <v>R</v>
      </c>
      <c r="B4624" t="s">
        <v>27537</v>
      </c>
      <c r="C4624">
        <v>1</v>
      </c>
      <c r="D4624" t="s">
        <v>23629</v>
      </c>
      <c r="E4624" t="s">
        <v>23632</v>
      </c>
    </row>
    <row r="4625" spans="1:5" x14ac:dyDescent="0.25">
      <c r="A4625" s="130" t="str">
        <f>LEFT(B4625,1)</f>
        <v>R</v>
      </c>
      <c r="B4625" t="s">
        <v>28882</v>
      </c>
      <c r="C4625">
        <v>1</v>
      </c>
      <c r="D4625" t="s">
        <v>23629</v>
      </c>
      <c r="E4625" t="s">
        <v>23632</v>
      </c>
    </row>
    <row r="4626" spans="1:5" x14ac:dyDescent="0.25">
      <c r="A4626" s="130" t="s">
        <v>17372</v>
      </c>
      <c r="B4626" t="s">
        <v>27503</v>
      </c>
      <c r="C4626">
        <v>1</v>
      </c>
      <c r="D4626" t="s">
        <v>23629</v>
      </c>
      <c r="E4626" t="s">
        <v>23632</v>
      </c>
    </row>
    <row r="4627" spans="1:5" x14ac:dyDescent="0.25">
      <c r="A4627" s="130" t="s">
        <v>17372</v>
      </c>
      <c r="B4627" t="s">
        <v>27504</v>
      </c>
      <c r="C4627">
        <v>1</v>
      </c>
      <c r="D4627" t="s">
        <v>23629</v>
      </c>
      <c r="E4627" t="s">
        <v>23632</v>
      </c>
    </row>
    <row r="4628" spans="1:5" x14ac:dyDescent="0.25">
      <c r="A4628" s="131" t="s">
        <v>17372</v>
      </c>
      <c r="B4628" t="s">
        <v>27505</v>
      </c>
      <c r="C4628">
        <v>1</v>
      </c>
      <c r="D4628" t="s">
        <v>23629</v>
      </c>
      <c r="E4628" t="s">
        <v>23632</v>
      </c>
    </row>
    <row r="4629" spans="1:5" x14ac:dyDescent="0.25">
      <c r="A4629" s="130" t="s">
        <v>17372</v>
      </c>
      <c r="B4629" t="s">
        <v>27506</v>
      </c>
      <c r="C4629">
        <v>1</v>
      </c>
      <c r="D4629" t="s">
        <v>23629</v>
      </c>
      <c r="E4629" t="s">
        <v>23632</v>
      </c>
    </row>
    <row r="4630" spans="1:5" x14ac:dyDescent="0.25">
      <c r="A4630" s="130" t="str">
        <f>LEFT(B4630,1)</f>
        <v>R</v>
      </c>
      <c r="B4630" t="s">
        <v>29271</v>
      </c>
      <c r="C4630">
        <v>1</v>
      </c>
      <c r="D4630" t="s">
        <v>23629</v>
      </c>
      <c r="E4630" t="s">
        <v>23632</v>
      </c>
    </row>
    <row r="4631" spans="1:5" x14ac:dyDescent="0.25">
      <c r="A4631" s="131" t="s">
        <v>17372</v>
      </c>
      <c r="B4631" t="s">
        <v>27507</v>
      </c>
      <c r="C4631">
        <v>1</v>
      </c>
      <c r="D4631" t="s">
        <v>23629</v>
      </c>
      <c r="E4631" t="s">
        <v>23632</v>
      </c>
    </row>
    <row r="4632" spans="1:5" x14ac:dyDescent="0.25">
      <c r="A4632" s="130" t="str">
        <f>LEFT(B4632,1)</f>
        <v>R</v>
      </c>
      <c r="B4632" t="s">
        <v>28883</v>
      </c>
      <c r="C4632">
        <v>1</v>
      </c>
      <c r="D4632" t="s">
        <v>23629</v>
      </c>
      <c r="E4632" t="s">
        <v>23632</v>
      </c>
    </row>
    <row r="4633" spans="1:5" x14ac:dyDescent="0.25">
      <c r="A4633" s="131" t="str">
        <f>LEFT(B4633,1)</f>
        <v>R</v>
      </c>
      <c r="B4633" t="s">
        <v>27534</v>
      </c>
      <c r="C4633">
        <v>1</v>
      </c>
      <c r="D4633" t="s">
        <v>23629</v>
      </c>
      <c r="E4633" t="s">
        <v>23632</v>
      </c>
    </row>
    <row r="4634" spans="1:5" x14ac:dyDescent="0.25">
      <c r="A4634" s="130" t="s">
        <v>17372</v>
      </c>
      <c r="B4634" t="s">
        <v>27508</v>
      </c>
      <c r="C4634">
        <v>1</v>
      </c>
      <c r="D4634" t="s">
        <v>23629</v>
      </c>
      <c r="E4634" t="s">
        <v>23632</v>
      </c>
    </row>
    <row r="4635" spans="1:5" x14ac:dyDescent="0.25">
      <c r="A4635" s="130" t="s">
        <v>17372</v>
      </c>
      <c r="B4635" t="s">
        <v>27509</v>
      </c>
      <c r="C4635">
        <v>1</v>
      </c>
      <c r="D4635" t="s">
        <v>23629</v>
      </c>
      <c r="E4635" t="s">
        <v>23632</v>
      </c>
    </row>
    <row r="4636" spans="1:5" x14ac:dyDescent="0.25">
      <c r="A4636" s="130" t="str">
        <f>LEFT(B4636,1)</f>
        <v>R</v>
      </c>
      <c r="B4636" t="s">
        <v>28884</v>
      </c>
      <c r="C4636">
        <v>1</v>
      </c>
      <c r="D4636" t="s">
        <v>23629</v>
      </c>
      <c r="E4636" t="s">
        <v>23632</v>
      </c>
    </row>
    <row r="4637" spans="1:5" x14ac:dyDescent="0.25">
      <c r="A4637" s="131" t="s">
        <v>17372</v>
      </c>
      <c r="B4637" t="s">
        <v>27510</v>
      </c>
      <c r="C4637">
        <v>1</v>
      </c>
      <c r="D4637" t="s">
        <v>23629</v>
      </c>
      <c r="E4637" t="s">
        <v>23632</v>
      </c>
    </row>
    <row r="4638" spans="1:5" x14ac:dyDescent="0.25">
      <c r="A4638" s="130" t="s">
        <v>17372</v>
      </c>
      <c r="B4638" t="s">
        <v>27511</v>
      </c>
      <c r="C4638">
        <v>1</v>
      </c>
      <c r="D4638" t="s">
        <v>23629</v>
      </c>
      <c r="E4638" t="s">
        <v>23632</v>
      </c>
    </row>
    <row r="4639" spans="1:5" x14ac:dyDescent="0.25">
      <c r="A4639" s="131" t="s">
        <v>17372</v>
      </c>
      <c r="B4639" t="s">
        <v>27512</v>
      </c>
      <c r="C4639">
        <v>1</v>
      </c>
      <c r="D4639" t="s">
        <v>23629</v>
      </c>
      <c r="E4639" t="s">
        <v>23632</v>
      </c>
    </row>
    <row r="4640" spans="1:5" x14ac:dyDescent="0.25">
      <c r="A4640" s="130" t="s">
        <v>17372</v>
      </c>
      <c r="B4640" t="s">
        <v>27513</v>
      </c>
      <c r="C4640">
        <v>1</v>
      </c>
      <c r="D4640" t="s">
        <v>23629</v>
      </c>
      <c r="E4640" t="s">
        <v>23632</v>
      </c>
    </row>
    <row r="4641" spans="1:5" x14ac:dyDescent="0.25">
      <c r="A4641" s="131" t="s">
        <v>17372</v>
      </c>
      <c r="B4641" t="s">
        <v>27514</v>
      </c>
      <c r="C4641">
        <v>1</v>
      </c>
      <c r="D4641" t="s">
        <v>23629</v>
      </c>
      <c r="E4641" t="s">
        <v>23632</v>
      </c>
    </row>
    <row r="4642" spans="1:5" x14ac:dyDescent="0.25">
      <c r="A4642" s="131" t="str">
        <f>LEFT(B4642,1)</f>
        <v>R</v>
      </c>
      <c r="B4642" t="s">
        <v>27546</v>
      </c>
      <c r="C4642">
        <v>1</v>
      </c>
      <c r="D4642" t="s">
        <v>23629</v>
      </c>
      <c r="E4642" t="s">
        <v>23632</v>
      </c>
    </row>
    <row r="4643" spans="1:5" x14ac:dyDescent="0.25">
      <c r="A4643" s="131" t="s">
        <v>17372</v>
      </c>
      <c r="B4643" t="s">
        <v>27515</v>
      </c>
      <c r="C4643">
        <v>1</v>
      </c>
      <c r="D4643" t="s">
        <v>23629</v>
      </c>
      <c r="E4643" t="s">
        <v>23632</v>
      </c>
    </row>
    <row r="4644" spans="1:5" x14ac:dyDescent="0.25">
      <c r="A4644" s="130" t="str">
        <f>LEFT(B4644,1)</f>
        <v>R</v>
      </c>
      <c r="B4644" t="s">
        <v>27538</v>
      </c>
      <c r="C4644">
        <v>1</v>
      </c>
      <c r="D4644" t="s">
        <v>23629</v>
      </c>
      <c r="E4644" t="s">
        <v>23632</v>
      </c>
    </row>
    <row r="4645" spans="1:5" x14ac:dyDescent="0.25">
      <c r="A4645" s="130" t="str">
        <f>LEFT((B4645),1)</f>
        <v>R</v>
      </c>
      <c r="B4645" t="s">
        <v>27516</v>
      </c>
      <c r="C4645">
        <v>1</v>
      </c>
      <c r="D4645" t="s">
        <v>23629</v>
      </c>
      <c r="E4645" t="s">
        <v>23632</v>
      </c>
    </row>
    <row r="4646" spans="1:5" x14ac:dyDescent="0.25">
      <c r="A4646" s="131" t="s">
        <v>17372</v>
      </c>
      <c r="B4646" t="s">
        <v>27517</v>
      </c>
      <c r="C4646">
        <v>1</v>
      </c>
      <c r="D4646" t="s">
        <v>23629</v>
      </c>
      <c r="E4646" t="s">
        <v>23632</v>
      </c>
    </row>
    <row r="4647" spans="1:5" x14ac:dyDescent="0.25">
      <c r="A4647" s="130" t="s">
        <v>17372</v>
      </c>
      <c r="B4647" t="s">
        <v>27518</v>
      </c>
      <c r="C4647">
        <v>1</v>
      </c>
      <c r="D4647" t="s">
        <v>23629</v>
      </c>
      <c r="E4647" t="s">
        <v>23632</v>
      </c>
    </row>
    <row r="4648" spans="1:5" x14ac:dyDescent="0.25">
      <c r="A4648" s="130" t="s">
        <v>17372</v>
      </c>
      <c r="B4648" t="s">
        <v>27519</v>
      </c>
      <c r="C4648">
        <v>1</v>
      </c>
      <c r="D4648" t="s">
        <v>23629</v>
      </c>
      <c r="E4648" t="s">
        <v>23632</v>
      </c>
    </row>
    <row r="4649" spans="1:5" x14ac:dyDescent="0.25">
      <c r="A4649" s="131" t="s">
        <v>17372</v>
      </c>
      <c r="B4649" t="s">
        <v>27520</v>
      </c>
      <c r="C4649">
        <v>1</v>
      </c>
      <c r="D4649" t="s">
        <v>23629</v>
      </c>
      <c r="E4649" t="s">
        <v>23632</v>
      </c>
    </row>
    <row r="4650" spans="1:5" x14ac:dyDescent="0.25">
      <c r="A4650" s="130" t="str">
        <f>LEFT(B4650,1)</f>
        <v>R</v>
      </c>
      <c r="B4650" t="s">
        <v>29272</v>
      </c>
      <c r="C4650">
        <v>1</v>
      </c>
      <c r="D4650" t="s">
        <v>23629</v>
      </c>
      <c r="E4650" t="s">
        <v>23632</v>
      </c>
    </row>
    <row r="4651" spans="1:5" x14ac:dyDescent="0.25">
      <c r="A4651" s="130" t="s">
        <v>17372</v>
      </c>
      <c r="B4651" t="s">
        <v>27521</v>
      </c>
      <c r="C4651">
        <v>1</v>
      </c>
      <c r="D4651" t="s">
        <v>23629</v>
      </c>
      <c r="E4651" t="s">
        <v>23632</v>
      </c>
    </row>
    <row r="4652" spans="1:5" x14ac:dyDescent="0.25">
      <c r="A4652" s="130" t="str">
        <f>LEFT(B4652,1)</f>
        <v>R</v>
      </c>
      <c r="B4652" t="s">
        <v>29140</v>
      </c>
      <c r="C4652">
        <v>1</v>
      </c>
      <c r="D4652" t="s">
        <v>23629</v>
      </c>
      <c r="E4652" t="s">
        <v>23632</v>
      </c>
    </row>
    <row r="4653" spans="1:5" x14ac:dyDescent="0.25">
      <c r="A4653" s="130" t="s">
        <v>17372</v>
      </c>
      <c r="B4653" t="s">
        <v>27522</v>
      </c>
      <c r="C4653">
        <v>1</v>
      </c>
      <c r="D4653" t="s">
        <v>23629</v>
      </c>
      <c r="E4653" t="s">
        <v>23632</v>
      </c>
    </row>
    <row r="4654" spans="1:5" x14ac:dyDescent="0.25">
      <c r="A4654" s="130" t="str">
        <f>LEFT(B4654,1)</f>
        <v>R</v>
      </c>
      <c r="B4654" t="s">
        <v>29141</v>
      </c>
      <c r="C4654">
        <v>1</v>
      </c>
      <c r="D4654" t="s">
        <v>23629</v>
      </c>
      <c r="E4654" t="s">
        <v>23632</v>
      </c>
    </row>
    <row r="4655" spans="1:5" x14ac:dyDescent="0.25">
      <c r="A4655" s="130" t="str">
        <f>LEFT(B4655,1)</f>
        <v>R</v>
      </c>
      <c r="B4655" t="s">
        <v>29142</v>
      </c>
      <c r="C4655">
        <v>1</v>
      </c>
      <c r="D4655" t="s">
        <v>23629</v>
      </c>
      <c r="E4655" t="s">
        <v>23632</v>
      </c>
    </row>
    <row r="4656" spans="1:5" x14ac:dyDescent="0.25">
      <c r="A4656" s="130" t="str">
        <f>LEFT(B4656,1)</f>
        <v>R</v>
      </c>
      <c r="B4656" t="s">
        <v>29143</v>
      </c>
      <c r="C4656">
        <v>1</v>
      </c>
      <c r="D4656" t="s">
        <v>23629</v>
      </c>
      <c r="E4656" t="s">
        <v>23632</v>
      </c>
    </row>
    <row r="4657" spans="1:5" x14ac:dyDescent="0.25">
      <c r="A4657" s="130" t="str">
        <f>LEFT(B4657,1)</f>
        <v>R</v>
      </c>
      <c r="B4657" t="s">
        <v>28602</v>
      </c>
      <c r="C4657">
        <v>1</v>
      </c>
      <c r="D4657" t="s">
        <v>23629</v>
      </c>
      <c r="E4657" t="s">
        <v>23632</v>
      </c>
    </row>
    <row r="4658" spans="1:5" x14ac:dyDescent="0.25">
      <c r="A4658" s="131" t="s">
        <v>17372</v>
      </c>
      <c r="B4658" t="s">
        <v>27523</v>
      </c>
      <c r="C4658">
        <v>1</v>
      </c>
      <c r="D4658" t="s">
        <v>23629</v>
      </c>
      <c r="E4658" t="s">
        <v>23632</v>
      </c>
    </row>
    <row r="4659" spans="1:5" x14ac:dyDescent="0.25">
      <c r="A4659" s="130" t="s">
        <v>17372</v>
      </c>
      <c r="B4659" t="s">
        <v>27524</v>
      </c>
      <c r="C4659">
        <v>1</v>
      </c>
      <c r="D4659" t="s">
        <v>23629</v>
      </c>
      <c r="E4659" t="s">
        <v>23632</v>
      </c>
    </row>
    <row r="4660" spans="1:5" x14ac:dyDescent="0.25">
      <c r="A4660" s="131" t="s">
        <v>17372</v>
      </c>
      <c r="B4660" t="s">
        <v>27525</v>
      </c>
      <c r="C4660">
        <v>1</v>
      </c>
      <c r="D4660" t="s">
        <v>23629</v>
      </c>
      <c r="E4660" t="s">
        <v>23632</v>
      </c>
    </row>
    <row r="4661" spans="1:5" x14ac:dyDescent="0.25">
      <c r="A4661" s="130" t="s">
        <v>17574</v>
      </c>
      <c r="B4661" t="s">
        <v>27547</v>
      </c>
      <c r="C4661">
        <v>1</v>
      </c>
      <c r="D4661" t="s">
        <v>23629</v>
      </c>
      <c r="E4661" t="s">
        <v>23632</v>
      </c>
    </row>
    <row r="4662" spans="1:5" x14ac:dyDescent="0.25">
      <c r="A4662" s="130" t="str">
        <f>LEFT(B4662,1)</f>
        <v>S</v>
      </c>
      <c r="B4662" t="s">
        <v>27861</v>
      </c>
      <c r="C4662">
        <v>1</v>
      </c>
      <c r="D4662" t="s">
        <v>23629</v>
      </c>
      <c r="E4662" t="s">
        <v>23632</v>
      </c>
    </row>
    <row r="4663" spans="1:5" x14ac:dyDescent="0.25">
      <c r="A4663" s="131" t="s">
        <v>17574</v>
      </c>
      <c r="B4663" t="s">
        <v>27548</v>
      </c>
      <c r="C4663">
        <v>1</v>
      </c>
      <c r="D4663" t="s">
        <v>23629</v>
      </c>
      <c r="E4663" t="s">
        <v>23632</v>
      </c>
    </row>
    <row r="4664" spans="1:5" x14ac:dyDescent="0.25">
      <c r="A4664" s="131" t="s">
        <v>17574</v>
      </c>
      <c r="B4664" t="s">
        <v>27549</v>
      </c>
      <c r="C4664">
        <v>1</v>
      </c>
      <c r="D4664" t="s">
        <v>23629</v>
      </c>
      <c r="E4664" t="s">
        <v>23632</v>
      </c>
    </row>
    <row r="4665" spans="1:5" x14ac:dyDescent="0.25">
      <c r="A4665" s="130" t="s">
        <v>17574</v>
      </c>
      <c r="B4665" t="s">
        <v>27550</v>
      </c>
      <c r="C4665">
        <v>1</v>
      </c>
      <c r="D4665" t="s">
        <v>23629</v>
      </c>
      <c r="E4665" t="s">
        <v>23632</v>
      </c>
    </row>
    <row r="4666" spans="1:5" x14ac:dyDescent="0.25">
      <c r="A4666" s="130" t="str">
        <f>LEFT(B4666,1)</f>
        <v>S</v>
      </c>
      <c r="B4666" t="s">
        <v>29144</v>
      </c>
      <c r="C4666">
        <v>1</v>
      </c>
      <c r="D4666" t="s">
        <v>23629</v>
      </c>
      <c r="E4666" t="s">
        <v>23632</v>
      </c>
    </row>
    <row r="4667" spans="1:5" x14ac:dyDescent="0.25">
      <c r="A4667" s="130" t="s">
        <v>17574</v>
      </c>
      <c r="B4667" t="s">
        <v>27551</v>
      </c>
      <c r="C4667">
        <v>1</v>
      </c>
      <c r="D4667" t="s">
        <v>23629</v>
      </c>
      <c r="E4667" t="s">
        <v>23632</v>
      </c>
    </row>
    <row r="4668" spans="1:5" x14ac:dyDescent="0.25">
      <c r="A4668" s="131" t="s">
        <v>17574</v>
      </c>
      <c r="B4668" t="s">
        <v>27552</v>
      </c>
      <c r="C4668">
        <v>1</v>
      </c>
      <c r="D4668" t="s">
        <v>23629</v>
      </c>
      <c r="E4668" t="s">
        <v>23632</v>
      </c>
    </row>
    <row r="4669" spans="1:5" x14ac:dyDescent="0.25">
      <c r="A4669" s="130" t="s">
        <v>17574</v>
      </c>
      <c r="B4669" t="s">
        <v>27553</v>
      </c>
      <c r="C4669">
        <v>1</v>
      </c>
      <c r="D4669" t="s">
        <v>23629</v>
      </c>
      <c r="E4669" t="s">
        <v>23632</v>
      </c>
    </row>
    <row r="4670" spans="1:5" x14ac:dyDescent="0.25">
      <c r="A4670" s="130" t="str">
        <f>LEFT(B4670,1)</f>
        <v>S</v>
      </c>
      <c r="B4670" t="s">
        <v>27887</v>
      </c>
      <c r="C4670">
        <v>1</v>
      </c>
      <c r="D4670" t="s">
        <v>23629</v>
      </c>
      <c r="E4670" t="s">
        <v>23632</v>
      </c>
    </row>
    <row r="4671" spans="1:5" x14ac:dyDescent="0.25">
      <c r="A4671" s="131" t="s">
        <v>17574</v>
      </c>
      <c r="B4671" t="s">
        <v>27554</v>
      </c>
      <c r="C4671">
        <v>1</v>
      </c>
      <c r="D4671" t="s">
        <v>23629</v>
      </c>
      <c r="E4671" t="s">
        <v>27555</v>
      </c>
    </row>
    <row r="4672" spans="1:5" x14ac:dyDescent="0.25">
      <c r="A4672" s="130" t="s">
        <v>17574</v>
      </c>
      <c r="B4672" t="s">
        <v>27556</v>
      </c>
      <c r="C4672">
        <v>1</v>
      </c>
      <c r="D4672" t="s">
        <v>23629</v>
      </c>
      <c r="E4672" t="s">
        <v>23632</v>
      </c>
    </row>
    <row r="4673" spans="1:5" x14ac:dyDescent="0.25">
      <c r="A4673" s="131" t="s">
        <v>17574</v>
      </c>
      <c r="B4673" t="s">
        <v>27557</v>
      </c>
      <c r="C4673">
        <v>1.1000000000000001</v>
      </c>
      <c r="D4673" t="s">
        <v>23629</v>
      </c>
      <c r="E4673" t="s">
        <v>23632</v>
      </c>
    </row>
    <row r="4674" spans="1:5" x14ac:dyDescent="0.25">
      <c r="A4674" s="130" t="s">
        <v>17574</v>
      </c>
      <c r="B4674" t="s">
        <v>27558</v>
      </c>
      <c r="C4674">
        <v>1</v>
      </c>
      <c r="D4674" t="s">
        <v>23629</v>
      </c>
      <c r="E4674" t="s">
        <v>23632</v>
      </c>
    </row>
    <row r="4675" spans="1:5" x14ac:dyDescent="0.25">
      <c r="A4675" s="131" t="str">
        <f>LEFT((B4675),1)</f>
        <v>S</v>
      </c>
      <c r="B4675" t="s">
        <v>27559</v>
      </c>
      <c r="C4675">
        <v>1</v>
      </c>
      <c r="D4675" t="s">
        <v>23629</v>
      </c>
      <c r="E4675" t="s">
        <v>23632</v>
      </c>
    </row>
    <row r="4676" spans="1:5" x14ac:dyDescent="0.25">
      <c r="A4676" s="131" t="s">
        <v>17574</v>
      </c>
      <c r="B4676" t="s">
        <v>27560</v>
      </c>
      <c r="C4676">
        <v>1</v>
      </c>
      <c r="D4676" t="s">
        <v>23629</v>
      </c>
      <c r="E4676" t="s">
        <v>23632</v>
      </c>
    </row>
    <row r="4677" spans="1:5" x14ac:dyDescent="0.25">
      <c r="A4677" s="130" t="str">
        <f>LEFT((B4677),1)</f>
        <v>S</v>
      </c>
      <c r="B4677" t="s">
        <v>27561</v>
      </c>
      <c r="C4677">
        <v>1</v>
      </c>
      <c r="D4677" t="s">
        <v>23629</v>
      </c>
      <c r="E4677" t="s">
        <v>23632</v>
      </c>
    </row>
    <row r="4678" spans="1:5" x14ac:dyDescent="0.25">
      <c r="A4678" s="131" t="s">
        <v>17574</v>
      </c>
      <c r="B4678" t="s">
        <v>27562</v>
      </c>
      <c r="C4678">
        <v>1</v>
      </c>
      <c r="D4678" t="s">
        <v>23629</v>
      </c>
      <c r="E4678" t="s">
        <v>23632</v>
      </c>
    </row>
    <row r="4679" spans="1:5" x14ac:dyDescent="0.25">
      <c r="A4679" s="130" t="s">
        <v>17574</v>
      </c>
      <c r="B4679" t="s">
        <v>27563</v>
      </c>
      <c r="C4679">
        <v>1</v>
      </c>
      <c r="D4679" t="s">
        <v>23629</v>
      </c>
      <c r="E4679" t="s">
        <v>23632</v>
      </c>
    </row>
    <row r="4680" spans="1:5" x14ac:dyDescent="0.25">
      <c r="A4680" s="130" t="str">
        <f>LEFT(B4680,1)</f>
        <v>S</v>
      </c>
      <c r="B4680" t="s">
        <v>29145</v>
      </c>
      <c r="C4680">
        <v>1</v>
      </c>
      <c r="D4680" t="s">
        <v>23629</v>
      </c>
      <c r="E4680" t="s">
        <v>23632</v>
      </c>
    </row>
    <row r="4681" spans="1:5" x14ac:dyDescent="0.25">
      <c r="A4681" s="131" t="s">
        <v>17574</v>
      </c>
      <c r="B4681" t="s">
        <v>27564</v>
      </c>
      <c r="C4681">
        <v>1.1000000000000001</v>
      </c>
      <c r="D4681" t="s">
        <v>25860</v>
      </c>
      <c r="E4681" t="s">
        <v>23632</v>
      </c>
    </row>
    <row r="4682" spans="1:5" x14ac:dyDescent="0.25">
      <c r="A4682" s="130" t="s">
        <v>17574</v>
      </c>
      <c r="B4682" t="s">
        <v>27565</v>
      </c>
      <c r="C4682">
        <v>1</v>
      </c>
      <c r="D4682" t="s">
        <v>23629</v>
      </c>
      <c r="E4682" t="s">
        <v>23632</v>
      </c>
    </row>
    <row r="4683" spans="1:5" x14ac:dyDescent="0.25">
      <c r="A4683" s="130" t="str">
        <f>LEFT(B4683,1)</f>
        <v>S</v>
      </c>
      <c r="B4683" t="s">
        <v>29273</v>
      </c>
      <c r="C4683">
        <v>1</v>
      </c>
      <c r="D4683" t="s">
        <v>23629</v>
      </c>
      <c r="E4683" t="s">
        <v>23632</v>
      </c>
    </row>
    <row r="4684" spans="1:5" x14ac:dyDescent="0.25">
      <c r="A4684" s="131" t="str">
        <f>LEFT((B4684),1)</f>
        <v>S</v>
      </c>
      <c r="B4684" t="s">
        <v>27566</v>
      </c>
      <c r="C4684">
        <v>1</v>
      </c>
      <c r="D4684" t="s">
        <v>23629</v>
      </c>
      <c r="E4684" t="s">
        <v>23632</v>
      </c>
    </row>
    <row r="4685" spans="1:5" x14ac:dyDescent="0.25">
      <c r="A4685" s="130" t="s">
        <v>17574</v>
      </c>
      <c r="B4685" t="s">
        <v>27567</v>
      </c>
      <c r="C4685">
        <v>1</v>
      </c>
      <c r="D4685" t="s">
        <v>23629</v>
      </c>
      <c r="E4685" t="s">
        <v>23632</v>
      </c>
    </row>
    <row r="4686" spans="1:5" x14ac:dyDescent="0.25">
      <c r="A4686" s="130" t="str">
        <f>LEFT(B4686,1)</f>
        <v>S</v>
      </c>
      <c r="B4686" t="s">
        <v>28885</v>
      </c>
      <c r="C4686">
        <v>1</v>
      </c>
      <c r="D4686" t="s">
        <v>23629</v>
      </c>
      <c r="E4686" t="s">
        <v>23632</v>
      </c>
    </row>
    <row r="4687" spans="1:5" x14ac:dyDescent="0.25">
      <c r="A4687" s="130" t="str">
        <f>LEFT((B4687),1)</f>
        <v>S</v>
      </c>
      <c r="B4687" t="s">
        <v>27568</v>
      </c>
      <c r="C4687">
        <v>1</v>
      </c>
      <c r="D4687" t="s">
        <v>23629</v>
      </c>
      <c r="E4687" t="s">
        <v>23632</v>
      </c>
    </row>
    <row r="4688" spans="1:5" x14ac:dyDescent="0.25">
      <c r="A4688" s="131" t="s">
        <v>17574</v>
      </c>
      <c r="B4688" t="s">
        <v>27569</v>
      </c>
      <c r="C4688">
        <v>1</v>
      </c>
      <c r="D4688" t="s">
        <v>23629</v>
      </c>
      <c r="E4688" t="s">
        <v>23632</v>
      </c>
    </row>
    <row r="4689" spans="1:5" x14ac:dyDescent="0.25">
      <c r="A4689" s="131" t="s">
        <v>17574</v>
      </c>
      <c r="B4689" t="s">
        <v>27570</v>
      </c>
      <c r="C4689">
        <v>1</v>
      </c>
      <c r="D4689" t="s">
        <v>23629</v>
      </c>
      <c r="E4689" t="s">
        <v>23632</v>
      </c>
    </row>
    <row r="4690" spans="1:5" x14ac:dyDescent="0.25">
      <c r="A4690" s="130" t="s">
        <v>17574</v>
      </c>
      <c r="B4690" t="s">
        <v>27571</v>
      </c>
      <c r="C4690">
        <v>1</v>
      </c>
      <c r="D4690" t="s">
        <v>23629</v>
      </c>
      <c r="E4690" t="s">
        <v>23632</v>
      </c>
    </row>
    <row r="4691" spans="1:5" x14ac:dyDescent="0.25">
      <c r="A4691" s="130" t="str">
        <f>LEFT(B4691,1)</f>
        <v>S</v>
      </c>
      <c r="B4691" t="s">
        <v>28886</v>
      </c>
      <c r="C4691">
        <v>1</v>
      </c>
      <c r="D4691" t="s">
        <v>23629</v>
      </c>
      <c r="E4691" t="s">
        <v>23632</v>
      </c>
    </row>
    <row r="4692" spans="1:5" x14ac:dyDescent="0.25">
      <c r="A4692" s="131" t="s">
        <v>17574</v>
      </c>
      <c r="B4692" t="s">
        <v>27572</v>
      </c>
      <c r="C4692">
        <v>1</v>
      </c>
      <c r="D4692" t="s">
        <v>23629</v>
      </c>
      <c r="E4692" t="s">
        <v>23632</v>
      </c>
    </row>
    <row r="4693" spans="1:5" x14ac:dyDescent="0.25">
      <c r="A4693" s="130" t="s">
        <v>17574</v>
      </c>
      <c r="B4693" t="s">
        <v>27573</v>
      </c>
      <c r="C4693">
        <v>1</v>
      </c>
      <c r="D4693" t="s">
        <v>23629</v>
      </c>
      <c r="E4693" t="s">
        <v>23632</v>
      </c>
    </row>
    <row r="4694" spans="1:5" x14ac:dyDescent="0.25">
      <c r="A4694" s="131" t="s">
        <v>17574</v>
      </c>
      <c r="B4694" t="s">
        <v>27574</v>
      </c>
      <c r="C4694">
        <v>1.21</v>
      </c>
      <c r="D4694" t="s">
        <v>25860</v>
      </c>
      <c r="E4694" t="s">
        <v>23632</v>
      </c>
    </row>
    <row r="4695" spans="1:5" x14ac:dyDescent="0.25">
      <c r="A4695" s="130" t="s">
        <v>17574</v>
      </c>
      <c r="B4695" t="s">
        <v>27575</v>
      </c>
      <c r="C4695">
        <v>1</v>
      </c>
      <c r="D4695" t="s">
        <v>23629</v>
      </c>
      <c r="E4695" t="s">
        <v>23632</v>
      </c>
    </row>
    <row r="4696" spans="1:5" x14ac:dyDescent="0.25">
      <c r="A4696" s="131" t="s">
        <v>17574</v>
      </c>
      <c r="B4696" t="s">
        <v>27576</v>
      </c>
      <c r="C4696">
        <v>1.1100000000000001</v>
      </c>
      <c r="D4696" t="s">
        <v>23629</v>
      </c>
      <c r="E4696" t="s">
        <v>23632</v>
      </c>
    </row>
    <row r="4697" spans="1:5" x14ac:dyDescent="0.25">
      <c r="A4697" s="130" t="str">
        <f>LEFT(B4697,1)</f>
        <v>S</v>
      </c>
      <c r="B4697" t="s">
        <v>28887</v>
      </c>
      <c r="C4697">
        <v>1</v>
      </c>
      <c r="D4697" t="s">
        <v>23629</v>
      </c>
      <c r="E4697" t="s">
        <v>23632</v>
      </c>
    </row>
    <row r="4698" spans="1:5" x14ac:dyDescent="0.25">
      <c r="A4698" s="130" t="s">
        <v>17574</v>
      </c>
      <c r="B4698" t="s">
        <v>27577</v>
      </c>
      <c r="C4698">
        <v>1</v>
      </c>
      <c r="D4698" t="s">
        <v>23629</v>
      </c>
      <c r="E4698" t="s">
        <v>23632</v>
      </c>
    </row>
    <row r="4699" spans="1:5" x14ac:dyDescent="0.25">
      <c r="A4699" s="131" t="s">
        <v>17574</v>
      </c>
      <c r="B4699" t="s">
        <v>27578</v>
      </c>
      <c r="C4699">
        <v>1</v>
      </c>
      <c r="D4699" t="s">
        <v>23629</v>
      </c>
      <c r="E4699" t="s">
        <v>23632</v>
      </c>
    </row>
    <row r="4700" spans="1:5" x14ac:dyDescent="0.25">
      <c r="A4700" s="131" t="str">
        <f>LEFT(B4700,1)</f>
        <v>S</v>
      </c>
      <c r="B4700" t="s">
        <v>27862</v>
      </c>
      <c r="C4700">
        <v>1</v>
      </c>
      <c r="D4700" t="s">
        <v>23629</v>
      </c>
      <c r="E4700" t="s">
        <v>23632</v>
      </c>
    </row>
    <row r="4701" spans="1:5" x14ac:dyDescent="0.25">
      <c r="A4701" s="130" t="s">
        <v>17574</v>
      </c>
      <c r="B4701" t="s">
        <v>27579</v>
      </c>
      <c r="C4701">
        <v>1</v>
      </c>
      <c r="D4701" t="s">
        <v>23629</v>
      </c>
      <c r="E4701" t="s">
        <v>23632</v>
      </c>
    </row>
    <row r="4702" spans="1:5" x14ac:dyDescent="0.25">
      <c r="A4702" s="131" t="str">
        <f>LEFT(B4702,1)</f>
        <v>S</v>
      </c>
      <c r="B4702" t="s">
        <v>27888</v>
      </c>
      <c r="C4702">
        <v>1</v>
      </c>
      <c r="D4702" t="s">
        <v>23629</v>
      </c>
      <c r="E4702" t="s">
        <v>23632</v>
      </c>
    </row>
    <row r="4703" spans="1:5" x14ac:dyDescent="0.25">
      <c r="A4703" s="131" t="s">
        <v>17574</v>
      </c>
      <c r="B4703" t="s">
        <v>27580</v>
      </c>
      <c r="C4703">
        <v>1</v>
      </c>
      <c r="D4703" t="s">
        <v>23629</v>
      </c>
      <c r="E4703" t="s">
        <v>23632</v>
      </c>
    </row>
    <row r="4704" spans="1:5" x14ac:dyDescent="0.25">
      <c r="A4704" s="130" t="str">
        <f>LEFT(B4704,1)</f>
        <v>S</v>
      </c>
      <c r="B4704" t="s">
        <v>27863</v>
      </c>
      <c r="C4704">
        <v>1</v>
      </c>
      <c r="D4704" t="s">
        <v>23629</v>
      </c>
      <c r="E4704" t="s">
        <v>23632</v>
      </c>
    </row>
    <row r="4705" spans="1:5" x14ac:dyDescent="0.25">
      <c r="A4705" s="130" t="s">
        <v>17574</v>
      </c>
      <c r="B4705" t="s">
        <v>27581</v>
      </c>
      <c r="C4705">
        <v>1</v>
      </c>
      <c r="D4705" t="s">
        <v>23629</v>
      </c>
      <c r="E4705" t="s">
        <v>23632</v>
      </c>
    </row>
    <row r="4706" spans="1:5" x14ac:dyDescent="0.25">
      <c r="A4706" s="131" t="s">
        <v>17574</v>
      </c>
      <c r="B4706" t="s">
        <v>27582</v>
      </c>
      <c r="C4706">
        <v>1</v>
      </c>
      <c r="D4706" t="s">
        <v>23629</v>
      </c>
      <c r="E4706" t="s">
        <v>23632</v>
      </c>
    </row>
    <row r="4707" spans="1:5" x14ac:dyDescent="0.25">
      <c r="A4707" s="130" t="s">
        <v>17574</v>
      </c>
      <c r="B4707" t="s">
        <v>27583</v>
      </c>
      <c r="C4707">
        <v>1</v>
      </c>
      <c r="D4707" t="s">
        <v>23629</v>
      </c>
      <c r="E4707" t="s">
        <v>23632</v>
      </c>
    </row>
    <row r="4708" spans="1:5" x14ac:dyDescent="0.25">
      <c r="A4708" s="131" t="str">
        <f>LEFT(B4708,1)</f>
        <v>S</v>
      </c>
      <c r="B4708" t="s">
        <v>27864</v>
      </c>
      <c r="C4708">
        <v>1</v>
      </c>
      <c r="D4708" t="s">
        <v>23629</v>
      </c>
      <c r="E4708" t="s">
        <v>23632</v>
      </c>
    </row>
    <row r="4709" spans="1:5" x14ac:dyDescent="0.25">
      <c r="A4709" s="131" t="s">
        <v>17574</v>
      </c>
      <c r="B4709" t="s">
        <v>27584</v>
      </c>
      <c r="C4709">
        <v>1</v>
      </c>
      <c r="D4709" t="s">
        <v>23629</v>
      </c>
      <c r="E4709" t="s">
        <v>23632</v>
      </c>
    </row>
    <row r="4710" spans="1:5" x14ac:dyDescent="0.25">
      <c r="A4710" s="131" t="s">
        <v>17574</v>
      </c>
      <c r="B4710" t="s">
        <v>27585</v>
      </c>
      <c r="C4710">
        <v>1</v>
      </c>
      <c r="D4710" t="s">
        <v>23629</v>
      </c>
      <c r="E4710" t="s">
        <v>23632</v>
      </c>
    </row>
    <row r="4711" spans="1:5" x14ac:dyDescent="0.25">
      <c r="A4711" s="130" t="s">
        <v>17574</v>
      </c>
      <c r="B4711" t="s">
        <v>27586</v>
      </c>
      <c r="C4711">
        <v>1</v>
      </c>
      <c r="D4711" t="s">
        <v>23629</v>
      </c>
      <c r="E4711" t="s">
        <v>23632</v>
      </c>
    </row>
    <row r="4712" spans="1:5" x14ac:dyDescent="0.25">
      <c r="A4712" s="130" t="str">
        <f>LEFT(B4712,1)</f>
        <v>S</v>
      </c>
      <c r="B4712" t="s">
        <v>28888</v>
      </c>
      <c r="C4712">
        <v>1</v>
      </c>
      <c r="D4712" t="s">
        <v>23629</v>
      </c>
      <c r="E4712" t="s">
        <v>23632</v>
      </c>
    </row>
    <row r="4713" spans="1:5" x14ac:dyDescent="0.25">
      <c r="A4713" s="131" t="s">
        <v>17574</v>
      </c>
      <c r="B4713" t="s">
        <v>27587</v>
      </c>
      <c r="C4713">
        <v>1</v>
      </c>
      <c r="D4713" t="s">
        <v>23629</v>
      </c>
      <c r="E4713" t="s">
        <v>23632</v>
      </c>
    </row>
    <row r="4714" spans="1:5" x14ac:dyDescent="0.25">
      <c r="A4714" s="130" t="str">
        <f>LEFT(B4714,1)</f>
        <v>S</v>
      </c>
      <c r="B4714" t="s">
        <v>29146</v>
      </c>
      <c r="C4714">
        <v>1</v>
      </c>
      <c r="D4714" t="s">
        <v>23629</v>
      </c>
      <c r="E4714" t="s">
        <v>23632</v>
      </c>
    </row>
    <row r="4715" spans="1:5" x14ac:dyDescent="0.25">
      <c r="A4715" s="130" t="s">
        <v>17574</v>
      </c>
      <c r="B4715" t="s">
        <v>27588</v>
      </c>
      <c r="C4715">
        <v>1</v>
      </c>
      <c r="D4715" t="s">
        <v>23629</v>
      </c>
      <c r="E4715" t="s">
        <v>23632</v>
      </c>
    </row>
    <row r="4716" spans="1:5" x14ac:dyDescent="0.25">
      <c r="A4716" s="131" t="s">
        <v>17574</v>
      </c>
      <c r="B4716" t="s">
        <v>27589</v>
      </c>
      <c r="C4716">
        <v>1</v>
      </c>
      <c r="D4716" t="s">
        <v>23629</v>
      </c>
      <c r="E4716" t="s">
        <v>23632</v>
      </c>
    </row>
    <row r="4717" spans="1:5" x14ac:dyDescent="0.25">
      <c r="A4717" s="130" t="s">
        <v>17574</v>
      </c>
      <c r="B4717" t="s">
        <v>27590</v>
      </c>
      <c r="C4717">
        <v>1</v>
      </c>
      <c r="D4717" t="s">
        <v>23629</v>
      </c>
      <c r="E4717" t="s">
        <v>23632</v>
      </c>
    </row>
    <row r="4718" spans="1:5" x14ac:dyDescent="0.25">
      <c r="A4718" s="130" t="s">
        <v>17574</v>
      </c>
      <c r="B4718" t="s">
        <v>27591</v>
      </c>
      <c r="C4718">
        <v>1</v>
      </c>
      <c r="D4718" t="s">
        <v>23629</v>
      </c>
      <c r="E4718" t="s">
        <v>23632</v>
      </c>
    </row>
    <row r="4719" spans="1:5" x14ac:dyDescent="0.25">
      <c r="A4719" s="131" t="s">
        <v>17574</v>
      </c>
      <c r="B4719" t="s">
        <v>27592</v>
      </c>
      <c r="C4719">
        <v>1</v>
      </c>
      <c r="D4719" t="s">
        <v>23629</v>
      </c>
      <c r="E4719" t="s">
        <v>23632</v>
      </c>
    </row>
    <row r="4720" spans="1:5" x14ac:dyDescent="0.25">
      <c r="A4720" s="130" t="str">
        <f>LEFT(B4720,1)</f>
        <v>S</v>
      </c>
      <c r="B4720" t="s">
        <v>28603</v>
      </c>
      <c r="C4720">
        <v>1</v>
      </c>
      <c r="D4720" t="s">
        <v>23629</v>
      </c>
      <c r="E4720" t="s">
        <v>23632</v>
      </c>
    </row>
    <row r="4721" spans="1:5" x14ac:dyDescent="0.25">
      <c r="A4721" s="130" t="s">
        <v>17574</v>
      </c>
      <c r="B4721" t="s">
        <v>27593</v>
      </c>
      <c r="C4721">
        <v>1</v>
      </c>
      <c r="D4721" t="s">
        <v>23629</v>
      </c>
      <c r="E4721" t="s">
        <v>23632</v>
      </c>
    </row>
    <row r="4722" spans="1:5" x14ac:dyDescent="0.25">
      <c r="A4722" s="130" t="str">
        <f>LEFT(B4722,1)</f>
        <v>S</v>
      </c>
      <c r="B4722" t="s">
        <v>27874</v>
      </c>
      <c r="C4722">
        <v>1</v>
      </c>
      <c r="D4722" t="s">
        <v>23629</v>
      </c>
      <c r="E4722" t="s">
        <v>23632</v>
      </c>
    </row>
    <row r="4723" spans="1:5" x14ac:dyDescent="0.25">
      <c r="A4723" s="131" t="s">
        <v>17574</v>
      </c>
      <c r="B4723" t="s">
        <v>27594</v>
      </c>
      <c r="C4723">
        <v>1</v>
      </c>
      <c r="D4723" t="s">
        <v>23629</v>
      </c>
      <c r="E4723" t="s">
        <v>23881</v>
      </c>
    </row>
    <row r="4724" spans="1:5" x14ac:dyDescent="0.25">
      <c r="A4724" s="130" t="s">
        <v>17574</v>
      </c>
      <c r="B4724" t="s">
        <v>27595</v>
      </c>
      <c r="C4724">
        <v>1</v>
      </c>
      <c r="D4724" t="s">
        <v>23629</v>
      </c>
      <c r="E4724" t="s">
        <v>23881</v>
      </c>
    </row>
    <row r="4725" spans="1:5" x14ac:dyDescent="0.25">
      <c r="A4725" s="131" t="s">
        <v>17574</v>
      </c>
      <c r="B4725" t="s">
        <v>27596</v>
      </c>
      <c r="C4725">
        <v>1</v>
      </c>
      <c r="D4725" t="s">
        <v>23629</v>
      </c>
      <c r="E4725" t="s">
        <v>23632</v>
      </c>
    </row>
    <row r="4726" spans="1:5" x14ac:dyDescent="0.25">
      <c r="A4726" s="130" t="s">
        <v>17574</v>
      </c>
      <c r="B4726" t="s">
        <v>27597</v>
      </c>
      <c r="C4726">
        <v>1</v>
      </c>
      <c r="D4726" t="s">
        <v>23629</v>
      </c>
      <c r="E4726" t="s">
        <v>23632</v>
      </c>
    </row>
    <row r="4727" spans="1:5" x14ac:dyDescent="0.25">
      <c r="A4727" s="131" t="s">
        <v>17574</v>
      </c>
      <c r="B4727" t="s">
        <v>27598</v>
      </c>
      <c r="C4727">
        <v>1</v>
      </c>
      <c r="D4727" t="s">
        <v>23629</v>
      </c>
      <c r="E4727" t="s">
        <v>23632</v>
      </c>
    </row>
    <row r="4728" spans="1:5" x14ac:dyDescent="0.25">
      <c r="A4728" s="130" t="s">
        <v>17574</v>
      </c>
      <c r="B4728" t="s">
        <v>27599</v>
      </c>
      <c r="C4728">
        <v>1</v>
      </c>
      <c r="D4728" t="s">
        <v>23629</v>
      </c>
      <c r="E4728" t="s">
        <v>23632</v>
      </c>
    </row>
    <row r="4729" spans="1:5" x14ac:dyDescent="0.25">
      <c r="A4729" s="131" t="s">
        <v>17574</v>
      </c>
      <c r="B4729" t="s">
        <v>27600</v>
      </c>
      <c r="C4729">
        <v>1</v>
      </c>
      <c r="D4729" t="s">
        <v>23629</v>
      </c>
      <c r="E4729" t="s">
        <v>23632</v>
      </c>
    </row>
    <row r="4730" spans="1:5" x14ac:dyDescent="0.25">
      <c r="A4730" s="130" t="str">
        <f>LEFT(B4730,1)</f>
        <v>S</v>
      </c>
      <c r="B4730" t="s">
        <v>28604</v>
      </c>
      <c r="C4730">
        <v>1</v>
      </c>
      <c r="D4730" t="s">
        <v>23629</v>
      </c>
      <c r="E4730" t="s">
        <v>23632</v>
      </c>
    </row>
    <row r="4731" spans="1:5" x14ac:dyDescent="0.25">
      <c r="A4731" s="130" t="str">
        <f>LEFT(B4731,1)</f>
        <v>S</v>
      </c>
      <c r="B4731" t="s">
        <v>27865</v>
      </c>
      <c r="C4731">
        <v>1</v>
      </c>
      <c r="D4731" t="s">
        <v>23629</v>
      </c>
      <c r="E4731" t="s">
        <v>23632</v>
      </c>
    </row>
    <row r="4732" spans="1:5" x14ac:dyDescent="0.25">
      <c r="A4732" s="130" t="str">
        <f>LEFT(B4732,1)</f>
        <v>S</v>
      </c>
      <c r="B4732" t="s">
        <v>28605</v>
      </c>
      <c r="C4732">
        <v>1</v>
      </c>
      <c r="D4732" t="s">
        <v>23629</v>
      </c>
      <c r="E4732" t="s">
        <v>23632</v>
      </c>
    </row>
    <row r="4733" spans="1:5" x14ac:dyDescent="0.25">
      <c r="A4733" s="130" t="str">
        <f>LEFT(B4733,1)</f>
        <v>S</v>
      </c>
      <c r="B4733" t="s">
        <v>29147</v>
      </c>
      <c r="C4733">
        <v>1</v>
      </c>
      <c r="D4733" t="s">
        <v>23629</v>
      </c>
      <c r="E4733" t="s">
        <v>23632</v>
      </c>
    </row>
    <row r="4734" spans="1:5" x14ac:dyDescent="0.25">
      <c r="A4734" s="130" t="str">
        <f>LEFT(B4734,1)</f>
        <v>S</v>
      </c>
      <c r="B4734" t="s">
        <v>27889</v>
      </c>
      <c r="C4734">
        <v>1</v>
      </c>
      <c r="D4734" t="s">
        <v>23629</v>
      </c>
      <c r="E4734" t="s">
        <v>23632</v>
      </c>
    </row>
    <row r="4735" spans="1:5" x14ac:dyDescent="0.25">
      <c r="A4735" s="130" t="s">
        <v>17574</v>
      </c>
      <c r="B4735" t="s">
        <v>27601</v>
      </c>
      <c r="C4735">
        <v>1</v>
      </c>
      <c r="D4735" t="s">
        <v>23629</v>
      </c>
      <c r="E4735" t="s">
        <v>23632</v>
      </c>
    </row>
    <row r="4736" spans="1:5" x14ac:dyDescent="0.25">
      <c r="A4736" s="131" t="s">
        <v>17574</v>
      </c>
      <c r="B4736" t="s">
        <v>27602</v>
      </c>
      <c r="C4736">
        <v>1</v>
      </c>
      <c r="D4736" t="s">
        <v>23629</v>
      </c>
      <c r="E4736" t="s">
        <v>23632</v>
      </c>
    </row>
    <row r="4737" spans="1:5" x14ac:dyDescent="0.25">
      <c r="A4737" s="130" t="s">
        <v>17574</v>
      </c>
      <c r="B4737" t="s">
        <v>27603</v>
      </c>
      <c r="C4737">
        <v>1</v>
      </c>
      <c r="D4737" t="s">
        <v>23629</v>
      </c>
      <c r="E4737" t="s">
        <v>23632</v>
      </c>
    </row>
    <row r="4738" spans="1:5" x14ac:dyDescent="0.25">
      <c r="A4738" s="131" t="s">
        <v>17574</v>
      </c>
      <c r="B4738" t="s">
        <v>27604</v>
      </c>
      <c r="C4738">
        <v>1</v>
      </c>
      <c r="D4738" t="s">
        <v>23629</v>
      </c>
      <c r="E4738" t="s">
        <v>23632</v>
      </c>
    </row>
    <row r="4739" spans="1:5" x14ac:dyDescent="0.25">
      <c r="A4739" s="130" t="s">
        <v>17574</v>
      </c>
      <c r="B4739" t="s">
        <v>27605</v>
      </c>
      <c r="C4739">
        <v>1</v>
      </c>
      <c r="D4739" t="s">
        <v>23629</v>
      </c>
      <c r="E4739" t="s">
        <v>23632</v>
      </c>
    </row>
    <row r="4740" spans="1:5" x14ac:dyDescent="0.25">
      <c r="A4740" s="130" t="str">
        <f>LEFT(B4740,1)</f>
        <v>S</v>
      </c>
      <c r="B4740" t="s">
        <v>29274</v>
      </c>
      <c r="C4740">
        <v>1</v>
      </c>
      <c r="D4740" t="s">
        <v>23629</v>
      </c>
      <c r="E4740" t="s">
        <v>23632</v>
      </c>
    </row>
    <row r="4741" spans="1:5" x14ac:dyDescent="0.25">
      <c r="A4741" s="131" t="str">
        <f>LEFT((B4741),1)</f>
        <v>S</v>
      </c>
      <c r="B4741" t="s">
        <v>27606</v>
      </c>
      <c r="C4741">
        <v>1</v>
      </c>
      <c r="D4741" t="s">
        <v>23629</v>
      </c>
      <c r="E4741" t="s">
        <v>23632</v>
      </c>
    </row>
    <row r="4742" spans="1:5" x14ac:dyDescent="0.25">
      <c r="A4742" s="131" t="str">
        <f>LEFT(B4742,1)</f>
        <v>S</v>
      </c>
      <c r="B4742" t="s">
        <v>27890</v>
      </c>
      <c r="C4742">
        <v>1</v>
      </c>
      <c r="D4742" t="s">
        <v>23629</v>
      </c>
      <c r="E4742" t="s">
        <v>23632</v>
      </c>
    </row>
    <row r="4743" spans="1:5" x14ac:dyDescent="0.25">
      <c r="A4743" s="130" t="str">
        <f>LEFT(B4743,1)</f>
        <v>S</v>
      </c>
      <c r="B4743" t="s">
        <v>28889</v>
      </c>
      <c r="C4743">
        <v>1</v>
      </c>
      <c r="D4743" t="s">
        <v>23629</v>
      </c>
      <c r="E4743" t="s">
        <v>23632</v>
      </c>
    </row>
    <row r="4744" spans="1:5" x14ac:dyDescent="0.25">
      <c r="A4744" s="131" t="s">
        <v>17574</v>
      </c>
      <c r="B4744" t="s">
        <v>27607</v>
      </c>
      <c r="C4744">
        <v>1</v>
      </c>
      <c r="D4744" t="s">
        <v>23629</v>
      </c>
      <c r="E4744" t="s">
        <v>23632</v>
      </c>
    </row>
    <row r="4745" spans="1:5" x14ac:dyDescent="0.25">
      <c r="A4745" s="130" t="s">
        <v>17574</v>
      </c>
      <c r="B4745" t="s">
        <v>27608</v>
      </c>
      <c r="C4745">
        <v>1</v>
      </c>
      <c r="D4745" t="s">
        <v>23629</v>
      </c>
      <c r="E4745" t="s">
        <v>23632</v>
      </c>
    </row>
    <row r="4746" spans="1:5" x14ac:dyDescent="0.25">
      <c r="A4746" s="131" t="s">
        <v>17574</v>
      </c>
      <c r="B4746" t="s">
        <v>27609</v>
      </c>
      <c r="C4746">
        <v>1</v>
      </c>
      <c r="D4746" t="s">
        <v>23629</v>
      </c>
      <c r="E4746" t="s">
        <v>23632</v>
      </c>
    </row>
    <row r="4747" spans="1:5" x14ac:dyDescent="0.25">
      <c r="A4747" s="131" t="s">
        <v>17574</v>
      </c>
      <c r="B4747" t="s">
        <v>27610</v>
      </c>
      <c r="C4747">
        <v>1</v>
      </c>
      <c r="D4747" t="s">
        <v>23629</v>
      </c>
      <c r="E4747" t="s">
        <v>23632</v>
      </c>
    </row>
    <row r="4748" spans="1:5" x14ac:dyDescent="0.25">
      <c r="A4748" s="130" t="str">
        <f>LEFT(B4748,1)</f>
        <v>S</v>
      </c>
      <c r="B4748" t="s">
        <v>28606</v>
      </c>
      <c r="C4748">
        <v>1</v>
      </c>
      <c r="D4748" t="s">
        <v>23629</v>
      </c>
      <c r="E4748" t="s">
        <v>23632</v>
      </c>
    </row>
    <row r="4749" spans="1:5" x14ac:dyDescent="0.25">
      <c r="A4749" s="130" t="str">
        <f>LEFT((B4749),1)</f>
        <v>S</v>
      </c>
      <c r="B4749" t="s">
        <v>27611</v>
      </c>
      <c r="C4749">
        <v>1</v>
      </c>
      <c r="D4749" t="s">
        <v>23629</v>
      </c>
      <c r="E4749" t="s">
        <v>23632</v>
      </c>
    </row>
    <row r="4750" spans="1:5" x14ac:dyDescent="0.25">
      <c r="A4750" s="130" t="s">
        <v>17574</v>
      </c>
      <c r="B4750" t="s">
        <v>27612</v>
      </c>
      <c r="C4750">
        <v>1</v>
      </c>
      <c r="D4750" t="s">
        <v>23629</v>
      </c>
      <c r="E4750" t="s">
        <v>23632</v>
      </c>
    </row>
    <row r="4751" spans="1:5" x14ac:dyDescent="0.25">
      <c r="A4751" s="131" t="s">
        <v>17574</v>
      </c>
      <c r="B4751" t="s">
        <v>27613</v>
      </c>
      <c r="C4751">
        <v>1</v>
      </c>
      <c r="D4751" t="s">
        <v>23629</v>
      </c>
      <c r="E4751" t="s">
        <v>23632</v>
      </c>
    </row>
    <row r="4752" spans="1:5" x14ac:dyDescent="0.25">
      <c r="A4752" s="130" t="s">
        <v>17574</v>
      </c>
      <c r="B4752" t="s">
        <v>27614</v>
      </c>
      <c r="C4752">
        <v>1</v>
      </c>
      <c r="D4752" t="s">
        <v>23629</v>
      </c>
      <c r="E4752" t="s">
        <v>23632</v>
      </c>
    </row>
    <row r="4753" spans="1:5" x14ac:dyDescent="0.25">
      <c r="A4753" s="130" t="s">
        <v>17574</v>
      </c>
      <c r="B4753" t="s">
        <v>27615</v>
      </c>
      <c r="C4753">
        <v>1</v>
      </c>
      <c r="D4753" t="s">
        <v>23629</v>
      </c>
      <c r="E4753" t="s">
        <v>23632</v>
      </c>
    </row>
    <row r="4754" spans="1:5" x14ac:dyDescent="0.25">
      <c r="A4754" s="131" t="s">
        <v>17574</v>
      </c>
      <c r="B4754" t="s">
        <v>27616</v>
      </c>
      <c r="C4754">
        <v>1</v>
      </c>
      <c r="D4754" t="s">
        <v>23629</v>
      </c>
      <c r="E4754" t="s">
        <v>23632</v>
      </c>
    </row>
    <row r="4755" spans="1:5" x14ac:dyDescent="0.25">
      <c r="A4755" s="130" t="str">
        <f>LEFT(B4755,1)</f>
        <v>S</v>
      </c>
      <c r="B4755" t="s">
        <v>28890</v>
      </c>
      <c r="C4755">
        <v>1</v>
      </c>
      <c r="D4755" t="s">
        <v>23629</v>
      </c>
      <c r="E4755" t="s">
        <v>23632</v>
      </c>
    </row>
    <row r="4756" spans="1:5" x14ac:dyDescent="0.25">
      <c r="A4756" s="130" t="s">
        <v>17574</v>
      </c>
      <c r="B4756" t="s">
        <v>27617</v>
      </c>
      <c r="C4756">
        <v>1</v>
      </c>
      <c r="D4756" t="s">
        <v>23629</v>
      </c>
      <c r="E4756" t="s">
        <v>23632</v>
      </c>
    </row>
    <row r="4757" spans="1:5" x14ac:dyDescent="0.25">
      <c r="A4757" s="131" t="str">
        <f>LEFT(B4757,1)</f>
        <v>S</v>
      </c>
      <c r="B4757" t="s">
        <v>27866</v>
      </c>
      <c r="C4757">
        <v>1</v>
      </c>
      <c r="D4757" t="s">
        <v>23629</v>
      </c>
      <c r="E4757" t="s">
        <v>23632</v>
      </c>
    </row>
    <row r="4758" spans="1:5" x14ac:dyDescent="0.25">
      <c r="A4758" s="131" t="s">
        <v>17574</v>
      </c>
      <c r="B4758" t="s">
        <v>27618</v>
      </c>
      <c r="C4758">
        <v>1</v>
      </c>
      <c r="D4758" t="s">
        <v>23629</v>
      </c>
      <c r="E4758" t="s">
        <v>23632</v>
      </c>
    </row>
    <row r="4759" spans="1:5" x14ac:dyDescent="0.25">
      <c r="A4759" s="131" t="str">
        <f>LEFT((B4759),1)</f>
        <v>S</v>
      </c>
      <c r="B4759" t="s">
        <v>27619</v>
      </c>
      <c r="C4759">
        <v>1</v>
      </c>
      <c r="D4759" t="s">
        <v>23629</v>
      </c>
      <c r="E4759" t="s">
        <v>23632</v>
      </c>
    </row>
    <row r="4760" spans="1:5" x14ac:dyDescent="0.25">
      <c r="A4760" s="130" t="s">
        <v>17574</v>
      </c>
      <c r="B4760" t="s">
        <v>27620</v>
      </c>
      <c r="C4760">
        <v>1</v>
      </c>
      <c r="D4760" t="s">
        <v>23629</v>
      </c>
      <c r="E4760" t="s">
        <v>23632</v>
      </c>
    </row>
    <row r="4761" spans="1:5" x14ac:dyDescent="0.25">
      <c r="A4761" s="130" t="str">
        <f>LEFT(B4761,1)</f>
        <v>S</v>
      </c>
      <c r="B4761" t="s">
        <v>28607</v>
      </c>
      <c r="C4761">
        <v>1</v>
      </c>
      <c r="D4761" t="s">
        <v>23629</v>
      </c>
      <c r="E4761" t="s">
        <v>23632</v>
      </c>
    </row>
    <row r="4762" spans="1:5" x14ac:dyDescent="0.25">
      <c r="A4762" s="131" t="s">
        <v>17574</v>
      </c>
      <c r="B4762" t="s">
        <v>27621</v>
      </c>
      <c r="C4762">
        <v>1</v>
      </c>
      <c r="D4762" t="s">
        <v>23629</v>
      </c>
      <c r="E4762" t="s">
        <v>23632</v>
      </c>
    </row>
    <row r="4763" spans="1:5" x14ac:dyDescent="0.25">
      <c r="A4763" s="130" t="s">
        <v>17574</v>
      </c>
      <c r="B4763" t="s">
        <v>27622</v>
      </c>
      <c r="C4763">
        <v>1</v>
      </c>
      <c r="D4763" t="s">
        <v>23629</v>
      </c>
      <c r="E4763" t="s">
        <v>23632</v>
      </c>
    </row>
    <row r="4764" spans="1:5" x14ac:dyDescent="0.25">
      <c r="A4764" s="130" t="s">
        <v>17574</v>
      </c>
      <c r="B4764" t="s">
        <v>27623</v>
      </c>
      <c r="C4764">
        <v>1</v>
      </c>
      <c r="D4764" t="s">
        <v>23629</v>
      </c>
      <c r="E4764" t="s">
        <v>23632</v>
      </c>
    </row>
    <row r="4765" spans="1:5" x14ac:dyDescent="0.25">
      <c r="A4765" s="131" t="s">
        <v>17574</v>
      </c>
      <c r="B4765" t="s">
        <v>27624</v>
      </c>
      <c r="C4765">
        <v>1</v>
      </c>
      <c r="D4765" t="s">
        <v>23629</v>
      </c>
      <c r="E4765" t="s">
        <v>23632</v>
      </c>
    </row>
    <row r="4766" spans="1:5" x14ac:dyDescent="0.25">
      <c r="A4766" s="131" t="s">
        <v>17574</v>
      </c>
      <c r="B4766" t="s">
        <v>27625</v>
      </c>
      <c r="C4766">
        <v>1</v>
      </c>
      <c r="D4766" t="s">
        <v>23629</v>
      </c>
      <c r="E4766" t="s">
        <v>23632</v>
      </c>
    </row>
    <row r="4767" spans="1:5" x14ac:dyDescent="0.25">
      <c r="A4767" s="131" t="s">
        <v>17574</v>
      </c>
      <c r="B4767" t="s">
        <v>27626</v>
      </c>
      <c r="C4767">
        <v>1</v>
      </c>
      <c r="D4767" t="s">
        <v>23629</v>
      </c>
      <c r="E4767" t="s">
        <v>23632</v>
      </c>
    </row>
    <row r="4768" spans="1:5" x14ac:dyDescent="0.25">
      <c r="A4768" s="130" t="s">
        <v>17574</v>
      </c>
      <c r="B4768" t="s">
        <v>27627</v>
      </c>
      <c r="C4768">
        <v>1</v>
      </c>
      <c r="D4768" t="s">
        <v>23629</v>
      </c>
      <c r="E4768" t="s">
        <v>23632</v>
      </c>
    </row>
    <row r="4769" spans="1:5" x14ac:dyDescent="0.25">
      <c r="A4769" s="131" t="s">
        <v>17574</v>
      </c>
      <c r="B4769" t="s">
        <v>27628</v>
      </c>
      <c r="C4769">
        <v>1</v>
      </c>
      <c r="D4769" t="s">
        <v>23629</v>
      </c>
      <c r="E4769" t="s">
        <v>23632</v>
      </c>
    </row>
    <row r="4770" spans="1:5" x14ac:dyDescent="0.25">
      <c r="A4770" s="130" t="s">
        <v>17574</v>
      </c>
      <c r="B4770" t="s">
        <v>27629</v>
      </c>
      <c r="C4770">
        <v>1</v>
      </c>
      <c r="D4770" t="s">
        <v>23629</v>
      </c>
      <c r="E4770" t="s">
        <v>23632</v>
      </c>
    </row>
    <row r="4771" spans="1:5" x14ac:dyDescent="0.25">
      <c r="A4771" s="131" t="s">
        <v>17574</v>
      </c>
      <c r="B4771" t="s">
        <v>27630</v>
      </c>
      <c r="C4771">
        <v>1</v>
      </c>
      <c r="D4771" t="s">
        <v>23629</v>
      </c>
      <c r="E4771" t="s">
        <v>23632</v>
      </c>
    </row>
    <row r="4772" spans="1:5" x14ac:dyDescent="0.25">
      <c r="A4772" s="130" t="s">
        <v>17574</v>
      </c>
      <c r="B4772" t="s">
        <v>27631</v>
      </c>
      <c r="C4772">
        <v>1</v>
      </c>
      <c r="D4772" t="s">
        <v>23629</v>
      </c>
      <c r="E4772" t="s">
        <v>23632</v>
      </c>
    </row>
    <row r="4773" spans="1:5" x14ac:dyDescent="0.25">
      <c r="A4773" s="130" t="s">
        <v>17574</v>
      </c>
      <c r="B4773" t="s">
        <v>27632</v>
      </c>
      <c r="C4773">
        <v>1</v>
      </c>
      <c r="D4773" t="s">
        <v>23629</v>
      </c>
      <c r="E4773" t="s">
        <v>23632</v>
      </c>
    </row>
    <row r="4774" spans="1:5" x14ac:dyDescent="0.25">
      <c r="A4774" s="131" t="s">
        <v>17574</v>
      </c>
      <c r="B4774" t="s">
        <v>27633</v>
      </c>
      <c r="C4774">
        <v>1</v>
      </c>
      <c r="D4774" t="s">
        <v>23629</v>
      </c>
      <c r="E4774" t="s">
        <v>23632</v>
      </c>
    </row>
    <row r="4775" spans="1:5" x14ac:dyDescent="0.25">
      <c r="A4775" s="131" t="s">
        <v>17574</v>
      </c>
      <c r="B4775" t="s">
        <v>27634</v>
      </c>
      <c r="C4775">
        <v>1</v>
      </c>
      <c r="D4775" t="s">
        <v>23629</v>
      </c>
      <c r="E4775" t="s">
        <v>23632</v>
      </c>
    </row>
    <row r="4776" spans="1:5" x14ac:dyDescent="0.25">
      <c r="A4776" s="130" t="s">
        <v>17574</v>
      </c>
      <c r="B4776" t="s">
        <v>27635</v>
      </c>
      <c r="C4776">
        <v>1</v>
      </c>
      <c r="D4776" t="s">
        <v>23629</v>
      </c>
      <c r="E4776" t="s">
        <v>23632</v>
      </c>
    </row>
    <row r="4777" spans="1:5" x14ac:dyDescent="0.25">
      <c r="A4777" s="131" t="s">
        <v>17574</v>
      </c>
      <c r="B4777" t="s">
        <v>27636</v>
      </c>
      <c r="C4777">
        <v>1</v>
      </c>
      <c r="D4777" t="s">
        <v>23629</v>
      </c>
      <c r="E4777" t="s">
        <v>23632</v>
      </c>
    </row>
    <row r="4778" spans="1:5" x14ac:dyDescent="0.25">
      <c r="A4778" s="130" t="s">
        <v>17574</v>
      </c>
      <c r="B4778" t="s">
        <v>27637</v>
      </c>
      <c r="C4778">
        <v>1</v>
      </c>
      <c r="D4778" t="s">
        <v>23629</v>
      </c>
      <c r="E4778" t="s">
        <v>23632</v>
      </c>
    </row>
    <row r="4779" spans="1:5" x14ac:dyDescent="0.25">
      <c r="A4779" s="130" t="s">
        <v>17574</v>
      </c>
      <c r="B4779" t="s">
        <v>27638</v>
      </c>
      <c r="C4779">
        <v>1</v>
      </c>
      <c r="D4779" t="s">
        <v>23629</v>
      </c>
      <c r="E4779" t="s">
        <v>23632</v>
      </c>
    </row>
    <row r="4780" spans="1:5" x14ac:dyDescent="0.25">
      <c r="A4780" s="131" t="s">
        <v>17574</v>
      </c>
      <c r="B4780" t="s">
        <v>27639</v>
      </c>
      <c r="C4780">
        <v>1</v>
      </c>
      <c r="D4780" t="s">
        <v>23629</v>
      </c>
      <c r="E4780" t="s">
        <v>23632</v>
      </c>
    </row>
    <row r="4781" spans="1:5" x14ac:dyDescent="0.25">
      <c r="A4781" s="130" t="str">
        <f>LEFT(B4781,1)</f>
        <v>S</v>
      </c>
      <c r="B4781" t="s">
        <v>28608</v>
      </c>
      <c r="C4781">
        <v>1</v>
      </c>
      <c r="D4781" t="s">
        <v>23629</v>
      </c>
      <c r="E4781" t="s">
        <v>23632</v>
      </c>
    </row>
    <row r="4782" spans="1:5" x14ac:dyDescent="0.25">
      <c r="A4782" s="131" t="s">
        <v>17574</v>
      </c>
      <c r="B4782" t="s">
        <v>27640</v>
      </c>
      <c r="C4782">
        <v>1</v>
      </c>
      <c r="D4782" t="s">
        <v>23629</v>
      </c>
      <c r="E4782" t="s">
        <v>23632</v>
      </c>
    </row>
    <row r="4783" spans="1:5" x14ac:dyDescent="0.25">
      <c r="A4783" s="130" t="s">
        <v>17574</v>
      </c>
      <c r="B4783" t="s">
        <v>27641</v>
      </c>
      <c r="C4783">
        <v>1</v>
      </c>
      <c r="D4783" t="s">
        <v>23629</v>
      </c>
      <c r="E4783" t="s">
        <v>23632</v>
      </c>
    </row>
    <row r="4784" spans="1:5" x14ac:dyDescent="0.25">
      <c r="A4784" s="130" t="s">
        <v>17574</v>
      </c>
      <c r="B4784" t="s">
        <v>27642</v>
      </c>
      <c r="C4784">
        <v>1</v>
      </c>
      <c r="D4784" t="s">
        <v>23629</v>
      </c>
      <c r="E4784" t="s">
        <v>23632</v>
      </c>
    </row>
    <row r="4785" spans="1:5" x14ac:dyDescent="0.25">
      <c r="A4785" s="131" t="s">
        <v>17574</v>
      </c>
      <c r="B4785" t="s">
        <v>27643</v>
      </c>
      <c r="C4785">
        <v>1</v>
      </c>
      <c r="D4785" t="s">
        <v>23629</v>
      </c>
      <c r="E4785" t="s">
        <v>23632</v>
      </c>
    </row>
    <row r="4786" spans="1:5" x14ac:dyDescent="0.25">
      <c r="A4786" s="130" t="s">
        <v>17574</v>
      </c>
      <c r="B4786" t="s">
        <v>27644</v>
      </c>
      <c r="C4786">
        <v>1</v>
      </c>
      <c r="D4786" t="s">
        <v>23629</v>
      </c>
      <c r="E4786" t="s">
        <v>23632</v>
      </c>
    </row>
    <row r="4787" spans="1:5" x14ac:dyDescent="0.25">
      <c r="A4787" s="131" t="s">
        <v>17574</v>
      </c>
      <c r="B4787" t="s">
        <v>27645</v>
      </c>
      <c r="C4787">
        <v>1</v>
      </c>
      <c r="D4787" t="s">
        <v>23629</v>
      </c>
      <c r="E4787" t="s">
        <v>23632</v>
      </c>
    </row>
    <row r="4788" spans="1:5" x14ac:dyDescent="0.25">
      <c r="A4788" s="130" t="str">
        <f>LEFT(B4788,1)</f>
        <v>S</v>
      </c>
      <c r="B4788" t="s">
        <v>28609</v>
      </c>
      <c r="C4788">
        <v>1</v>
      </c>
      <c r="D4788" t="s">
        <v>23629</v>
      </c>
      <c r="E4788" t="s">
        <v>23632</v>
      </c>
    </row>
    <row r="4789" spans="1:5" x14ac:dyDescent="0.25">
      <c r="A4789" s="130" t="s">
        <v>17574</v>
      </c>
      <c r="B4789" t="s">
        <v>27646</v>
      </c>
      <c r="C4789">
        <v>1</v>
      </c>
      <c r="D4789" t="s">
        <v>23629</v>
      </c>
      <c r="E4789" t="s">
        <v>23632</v>
      </c>
    </row>
    <row r="4790" spans="1:5" x14ac:dyDescent="0.25">
      <c r="A4790" s="131" t="s">
        <v>17574</v>
      </c>
      <c r="B4790" t="s">
        <v>27647</v>
      </c>
      <c r="C4790">
        <v>1</v>
      </c>
      <c r="D4790" t="s">
        <v>23629</v>
      </c>
      <c r="E4790" t="s">
        <v>23632</v>
      </c>
    </row>
    <row r="4791" spans="1:5" x14ac:dyDescent="0.25">
      <c r="A4791" s="130" t="s">
        <v>17574</v>
      </c>
      <c r="B4791" t="s">
        <v>27648</v>
      </c>
      <c r="C4791">
        <v>1</v>
      </c>
      <c r="D4791" t="s">
        <v>23629</v>
      </c>
      <c r="E4791" t="s">
        <v>23632</v>
      </c>
    </row>
    <row r="4792" spans="1:5" x14ac:dyDescent="0.25">
      <c r="A4792" s="131" t="s">
        <v>17574</v>
      </c>
      <c r="B4792" t="s">
        <v>27649</v>
      </c>
      <c r="C4792">
        <v>1</v>
      </c>
      <c r="D4792" t="s">
        <v>23629</v>
      </c>
      <c r="E4792" t="s">
        <v>23632</v>
      </c>
    </row>
    <row r="4793" spans="1:5" x14ac:dyDescent="0.25">
      <c r="A4793" s="130" t="str">
        <f>LEFT(B4793,1)</f>
        <v>S</v>
      </c>
      <c r="B4793" t="s">
        <v>28891</v>
      </c>
      <c r="C4793">
        <v>1</v>
      </c>
      <c r="D4793" t="s">
        <v>23629</v>
      </c>
      <c r="E4793" t="s">
        <v>23632</v>
      </c>
    </row>
    <row r="4794" spans="1:5" x14ac:dyDescent="0.25">
      <c r="A4794" s="130" t="s">
        <v>17574</v>
      </c>
      <c r="B4794" t="s">
        <v>27650</v>
      </c>
      <c r="C4794">
        <v>1</v>
      </c>
      <c r="D4794" t="s">
        <v>23629</v>
      </c>
      <c r="E4794" t="s">
        <v>23632</v>
      </c>
    </row>
    <row r="4795" spans="1:5" x14ac:dyDescent="0.25">
      <c r="A4795" s="131" t="s">
        <v>17574</v>
      </c>
      <c r="B4795" t="s">
        <v>27651</v>
      </c>
      <c r="C4795">
        <v>1</v>
      </c>
      <c r="D4795" t="s">
        <v>23629</v>
      </c>
      <c r="E4795" t="s">
        <v>23632</v>
      </c>
    </row>
    <row r="4796" spans="1:5" x14ac:dyDescent="0.25">
      <c r="A4796" s="130" t="s">
        <v>17574</v>
      </c>
      <c r="B4796" t="s">
        <v>27652</v>
      </c>
      <c r="C4796">
        <v>1</v>
      </c>
      <c r="D4796" t="s">
        <v>23629</v>
      </c>
      <c r="E4796" t="s">
        <v>23632</v>
      </c>
    </row>
    <row r="4797" spans="1:5" x14ac:dyDescent="0.25">
      <c r="A4797" s="130" t="str">
        <f>LEFT(B4797,1)</f>
        <v>S</v>
      </c>
      <c r="B4797" t="s">
        <v>27867</v>
      </c>
      <c r="C4797">
        <v>1</v>
      </c>
      <c r="D4797" t="s">
        <v>23629</v>
      </c>
      <c r="E4797" t="s">
        <v>23632</v>
      </c>
    </row>
    <row r="4798" spans="1:5" x14ac:dyDescent="0.25">
      <c r="A4798" s="131" t="s">
        <v>17574</v>
      </c>
      <c r="B4798" t="s">
        <v>27653</v>
      </c>
      <c r="C4798">
        <v>1</v>
      </c>
      <c r="D4798" t="s">
        <v>23629</v>
      </c>
      <c r="E4798" t="s">
        <v>23632</v>
      </c>
    </row>
    <row r="4799" spans="1:5" x14ac:dyDescent="0.25">
      <c r="A4799" s="130" t="s">
        <v>17574</v>
      </c>
      <c r="B4799" t="s">
        <v>27654</v>
      </c>
      <c r="C4799">
        <v>1</v>
      </c>
      <c r="D4799" t="s">
        <v>23629</v>
      </c>
      <c r="E4799" t="s">
        <v>23632</v>
      </c>
    </row>
    <row r="4800" spans="1:5" x14ac:dyDescent="0.25">
      <c r="A4800" s="131" t="s">
        <v>17574</v>
      </c>
      <c r="B4800" t="s">
        <v>27655</v>
      </c>
      <c r="C4800">
        <v>1</v>
      </c>
      <c r="D4800" t="s">
        <v>23629</v>
      </c>
      <c r="E4800" t="s">
        <v>23632</v>
      </c>
    </row>
    <row r="4801" spans="1:5" x14ac:dyDescent="0.25">
      <c r="A4801" s="131" t="s">
        <v>17574</v>
      </c>
      <c r="B4801" t="s">
        <v>27656</v>
      </c>
      <c r="C4801">
        <v>1</v>
      </c>
      <c r="D4801" t="s">
        <v>23629</v>
      </c>
      <c r="E4801" t="s">
        <v>23632</v>
      </c>
    </row>
    <row r="4802" spans="1:5" x14ac:dyDescent="0.25">
      <c r="A4802" s="130" t="s">
        <v>17574</v>
      </c>
      <c r="B4802" t="s">
        <v>27657</v>
      </c>
      <c r="C4802">
        <v>1</v>
      </c>
      <c r="D4802" t="s">
        <v>23629</v>
      </c>
      <c r="E4802" t="s">
        <v>23632</v>
      </c>
    </row>
    <row r="4803" spans="1:5" x14ac:dyDescent="0.25">
      <c r="A4803" s="130" t="s">
        <v>17574</v>
      </c>
      <c r="B4803" t="s">
        <v>27658</v>
      </c>
      <c r="C4803">
        <v>1</v>
      </c>
      <c r="D4803" t="s">
        <v>23629</v>
      </c>
      <c r="E4803" t="s">
        <v>23632</v>
      </c>
    </row>
    <row r="4804" spans="1:5" x14ac:dyDescent="0.25">
      <c r="A4804" s="131" t="s">
        <v>17574</v>
      </c>
      <c r="B4804" t="s">
        <v>27659</v>
      </c>
      <c r="C4804">
        <v>1</v>
      </c>
      <c r="D4804" t="s">
        <v>23629</v>
      </c>
      <c r="E4804" t="s">
        <v>23632</v>
      </c>
    </row>
    <row r="4805" spans="1:5" x14ac:dyDescent="0.25">
      <c r="A4805" s="130" t="str">
        <f>LEFT((B4805),1)</f>
        <v>S</v>
      </c>
      <c r="B4805" t="s">
        <v>27660</v>
      </c>
      <c r="C4805">
        <v>1</v>
      </c>
      <c r="D4805" t="s">
        <v>23629</v>
      </c>
      <c r="E4805" t="s">
        <v>23632</v>
      </c>
    </row>
    <row r="4806" spans="1:5" x14ac:dyDescent="0.25">
      <c r="A4806" s="130" t="s">
        <v>17574</v>
      </c>
      <c r="B4806" t="s">
        <v>27661</v>
      </c>
      <c r="C4806">
        <v>1</v>
      </c>
      <c r="D4806" t="s">
        <v>23629</v>
      </c>
      <c r="E4806" t="s">
        <v>23632</v>
      </c>
    </row>
    <row r="4807" spans="1:5" x14ac:dyDescent="0.25">
      <c r="A4807" s="130" t="str">
        <f>LEFT(B4807,1)</f>
        <v>S</v>
      </c>
      <c r="B4807" t="s">
        <v>27891</v>
      </c>
      <c r="C4807">
        <v>1</v>
      </c>
      <c r="D4807" t="s">
        <v>23629</v>
      </c>
      <c r="E4807" t="s">
        <v>23632</v>
      </c>
    </row>
    <row r="4808" spans="1:5" x14ac:dyDescent="0.25">
      <c r="A4808" s="131" t="s">
        <v>17574</v>
      </c>
      <c r="B4808" t="s">
        <v>27662</v>
      </c>
      <c r="C4808">
        <v>1</v>
      </c>
      <c r="D4808" t="s">
        <v>23629</v>
      </c>
      <c r="E4808" t="s">
        <v>23632</v>
      </c>
    </row>
    <row r="4809" spans="1:5" x14ac:dyDescent="0.25">
      <c r="A4809" s="130" t="s">
        <v>17574</v>
      </c>
      <c r="B4809" t="s">
        <v>27663</v>
      </c>
      <c r="C4809">
        <v>1</v>
      </c>
      <c r="D4809" t="s">
        <v>23629</v>
      </c>
      <c r="E4809" t="s">
        <v>23632</v>
      </c>
    </row>
    <row r="4810" spans="1:5" x14ac:dyDescent="0.25">
      <c r="A4810" s="130" t="str">
        <f>LEFT(B4810,1)</f>
        <v>S</v>
      </c>
      <c r="B4810" t="s">
        <v>28892</v>
      </c>
      <c r="C4810">
        <v>1</v>
      </c>
      <c r="D4810" t="s">
        <v>23629</v>
      </c>
      <c r="E4810" t="s">
        <v>23632</v>
      </c>
    </row>
    <row r="4811" spans="1:5" x14ac:dyDescent="0.25">
      <c r="A4811" s="131" t="s">
        <v>17574</v>
      </c>
      <c r="B4811" t="s">
        <v>27664</v>
      </c>
      <c r="C4811">
        <v>1</v>
      </c>
      <c r="D4811" t="s">
        <v>23629</v>
      </c>
      <c r="E4811" t="s">
        <v>23632</v>
      </c>
    </row>
    <row r="4812" spans="1:5" x14ac:dyDescent="0.25">
      <c r="A4812" s="130" t="s">
        <v>17574</v>
      </c>
      <c r="B4812" t="s">
        <v>27665</v>
      </c>
      <c r="C4812">
        <v>1</v>
      </c>
      <c r="D4812" t="s">
        <v>23629</v>
      </c>
      <c r="E4812" t="s">
        <v>23632</v>
      </c>
    </row>
    <row r="4813" spans="1:5" x14ac:dyDescent="0.25">
      <c r="A4813" s="131" t="s">
        <v>17574</v>
      </c>
      <c r="B4813" t="s">
        <v>27666</v>
      </c>
      <c r="C4813">
        <v>1</v>
      </c>
      <c r="D4813" t="s">
        <v>23629</v>
      </c>
      <c r="E4813" t="s">
        <v>23881</v>
      </c>
    </row>
    <row r="4814" spans="1:5" x14ac:dyDescent="0.25">
      <c r="A4814" s="130" t="str">
        <f>LEFT(B4814,1)</f>
        <v>S</v>
      </c>
      <c r="B4814" t="s">
        <v>27875</v>
      </c>
      <c r="C4814">
        <v>1</v>
      </c>
      <c r="D4814" t="s">
        <v>23629</v>
      </c>
      <c r="E4814" t="s">
        <v>23632</v>
      </c>
    </row>
    <row r="4815" spans="1:5" x14ac:dyDescent="0.25">
      <c r="A4815" s="130" t="s">
        <v>17574</v>
      </c>
      <c r="B4815" t="s">
        <v>27667</v>
      </c>
      <c r="C4815">
        <v>1</v>
      </c>
      <c r="D4815" t="s">
        <v>23629</v>
      </c>
      <c r="E4815" t="s">
        <v>23632</v>
      </c>
    </row>
    <row r="4816" spans="1:5" x14ac:dyDescent="0.25">
      <c r="A4816" s="131" t="s">
        <v>17574</v>
      </c>
      <c r="B4816" t="s">
        <v>27668</v>
      </c>
      <c r="C4816">
        <v>1</v>
      </c>
      <c r="D4816" t="s">
        <v>23629</v>
      </c>
      <c r="E4816" t="s">
        <v>23632</v>
      </c>
    </row>
    <row r="4817" spans="1:5" x14ac:dyDescent="0.25">
      <c r="A4817" s="130" t="s">
        <v>17574</v>
      </c>
      <c r="B4817" t="s">
        <v>27669</v>
      </c>
      <c r="C4817">
        <v>1</v>
      </c>
      <c r="D4817" t="s">
        <v>23629</v>
      </c>
      <c r="E4817" t="s">
        <v>23632</v>
      </c>
    </row>
    <row r="4818" spans="1:5" x14ac:dyDescent="0.25">
      <c r="A4818" s="131" t="s">
        <v>17574</v>
      </c>
      <c r="B4818" t="s">
        <v>27670</v>
      </c>
      <c r="C4818">
        <v>1</v>
      </c>
      <c r="D4818" t="s">
        <v>23629</v>
      </c>
      <c r="E4818" t="s">
        <v>23632</v>
      </c>
    </row>
    <row r="4819" spans="1:5" x14ac:dyDescent="0.25">
      <c r="A4819" s="130" t="str">
        <f>LEFT(B4819,1)</f>
        <v>S</v>
      </c>
      <c r="B4819" t="s">
        <v>28893</v>
      </c>
      <c r="C4819">
        <v>1</v>
      </c>
      <c r="D4819" t="s">
        <v>23629</v>
      </c>
      <c r="E4819" t="s">
        <v>23632</v>
      </c>
    </row>
    <row r="4820" spans="1:5" x14ac:dyDescent="0.25">
      <c r="A4820" s="130" t="str">
        <f>LEFT(B4820,1)</f>
        <v>S</v>
      </c>
      <c r="B4820" t="s">
        <v>29275</v>
      </c>
      <c r="C4820">
        <v>1</v>
      </c>
      <c r="D4820" t="s">
        <v>23629</v>
      </c>
      <c r="E4820" t="s">
        <v>23632</v>
      </c>
    </row>
    <row r="4821" spans="1:5" x14ac:dyDescent="0.25">
      <c r="A4821" s="131" t="str">
        <f>LEFT(B4821,1)</f>
        <v>S</v>
      </c>
      <c r="B4821" t="s">
        <v>27868</v>
      </c>
      <c r="C4821">
        <v>1</v>
      </c>
      <c r="D4821" t="s">
        <v>23629</v>
      </c>
      <c r="E4821" t="s">
        <v>23632</v>
      </c>
    </row>
    <row r="4822" spans="1:5" x14ac:dyDescent="0.25">
      <c r="A4822" s="130" t="str">
        <f>LEFT(B4822,1)</f>
        <v>S</v>
      </c>
      <c r="B4822" t="s">
        <v>27876</v>
      </c>
      <c r="C4822">
        <v>1</v>
      </c>
      <c r="D4822" t="s">
        <v>23629</v>
      </c>
      <c r="E4822" t="s">
        <v>23632</v>
      </c>
    </row>
    <row r="4823" spans="1:5" x14ac:dyDescent="0.25">
      <c r="A4823" s="130" t="str">
        <f>LEFT(B4823,1)</f>
        <v>S</v>
      </c>
      <c r="B4823" t="s">
        <v>28610</v>
      </c>
      <c r="C4823">
        <v>1</v>
      </c>
      <c r="D4823" t="s">
        <v>23629</v>
      </c>
      <c r="E4823" t="s">
        <v>23632</v>
      </c>
    </row>
    <row r="4824" spans="1:5" x14ac:dyDescent="0.25">
      <c r="A4824" s="130" t="s">
        <v>17574</v>
      </c>
      <c r="B4824" t="s">
        <v>27671</v>
      </c>
      <c r="C4824">
        <v>1</v>
      </c>
      <c r="D4824" t="s">
        <v>23629</v>
      </c>
      <c r="E4824" t="s">
        <v>23632</v>
      </c>
    </row>
    <row r="4825" spans="1:5" x14ac:dyDescent="0.25">
      <c r="A4825" s="130" t="str">
        <f>LEFT(B4825,1)</f>
        <v>S</v>
      </c>
      <c r="B4825" t="s">
        <v>28894</v>
      </c>
      <c r="C4825">
        <v>1</v>
      </c>
      <c r="D4825" t="s">
        <v>23629</v>
      </c>
      <c r="E4825" t="s">
        <v>23632</v>
      </c>
    </row>
    <row r="4826" spans="1:5" x14ac:dyDescent="0.25">
      <c r="A4826" s="130" t="str">
        <f>LEFT(B4826,1)</f>
        <v>S</v>
      </c>
      <c r="B4826" t="s">
        <v>27877</v>
      </c>
      <c r="C4826">
        <v>1</v>
      </c>
      <c r="D4826" t="s">
        <v>23629</v>
      </c>
      <c r="E4826" t="s">
        <v>23632</v>
      </c>
    </row>
    <row r="4827" spans="1:5" x14ac:dyDescent="0.25">
      <c r="A4827" s="131" t="str">
        <f>LEFT(B4827,1)</f>
        <v>S</v>
      </c>
      <c r="B4827" t="s">
        <v>27892</v>
      </c>
      <c r="C4827">
        <v>1</v>
      </c>
      <c r="D4827" t="s">
        <v>23629</v>
      </c>
      <c r="E4827" t="s">
        <v>23632</v>
      </c>
    </row>
    <row r="4828" spans="1:5" x14ac:dyDescent="0.25">
      <c r="A4828" s="131" t="s">
        <v>17574</v>
      </c>
      <c r="B4828" t="s">
        <v>27672</v>
      </c>
      <c r="C4828">
        <v>1</v>
      </c>
      <c r="D4828" t="s">
        <v>23629</v>
      </c>
      <c r="E4828" t="s">
        <v>23881</v>
      </c>
    </row>
    <row r="4829" spans="1:5" x14ac:dyDescent="0.25">
      <c r="A4829" s="130" t="str">
        <f>LEFT(B4829,1)</f>
        <v>S</v>
      </c>
      <c r="B4829" t="s">
        <v>27878</v>
      </c>
      <c r="C4829">
        <v>1</v>
      </c>
      <c r="D4829" t="s">
        <v>23629</v>
      </c>
      <c r="E4829" t="s">
        <v>23632</v>
      </c>
    </row>
    <row r="4830" spans="1:5" x14ac:dyDescent="0.25">
      <c r="A4830" s="130" t="s">
        <v>17574</v>
      </c>
      <c r="B4830" t="s">
        <v>27673</v>
      </c>
      <c r="C4830">
        <v>1</v>
      </c>
      <c r="D4830" t="s">
        <v>23629</v>
      </c>
      <c r="E4830" t="s">
        <v>23632</v>
      </c>
    </row>
    <row r="4831" spans="1:5" x14ac:dyDescent="0.25">
      <c r="A4831" s="131" t="s">
        <v>17574</v>
      </c>
      <c r="B4831" t="s">
        <v>27674</v>
      </c>
      <c r="C4831">
        <v>1</v>
      </c>
      <c r="D4831" t="s">
        <v>23629</v>
      </c>
      <c r="E4831" t="s">
        <v>23632</v>
      </c>
    </row>
    <row r="4832" spans="1:5" x14ac:dyDescent="0.25">
      <c r="A4832" s="130" t="str">
        <f>LEFT(B4832,1)</f>
        <v>S</v>
      </c>
      <c r="B4832" t="s">
        <v>28611</v>
      </c>
      <c r="C4832">
        <v>1</v>
      </c>
      <c r="D4832" t="s">
        <v>23629</v>
      </c>
      <c r="E4832" t="s">
        <v>23632</v>
      </c>
    </row>
    <row r="4833" spans="1:5" x14ac:dyDescent="0.25">
      <c r="A4833" s="130" t="s">
        <v>17574</v>
      </c>
      <c r="B4833" t="s">
        <v>27675</v>
      </c>
      <c r="C4833">
        <v>1</v>
      </c>
      <c r="D4833" t="s">
        <v>23629</v>
      </c>
      <c r="E4833" t="s">
        <v>23632</v>
      </c>
    </row>
    <row r="4834" spans="1:5" x14ac:dyDescent="0.25">
      <c r="A4834" s="131" t="s">
        <v>17574</v>
      </c>
      <c r="B4834" t="s">
        <v>27676</v>
      </c>
      <c r="C4834">
        <v>1</v>
      </c>
      <c r="D4834" t="s">
        <v>23629</v>
      </c>
      <c r="E4834" t="s">
        <v>23632</v>
      </c>
    </row>
    <row r="4835" spans="1:5" x14ac:dyDescent="0.25">
      <c r="A4835" s="130" t="str">
        <f>LEFT(B4835,1)</f>
        <v>S</v>
      </c>
      <c r="B4835" t="s">
        <v>29148</v>
      </c>
      <c r="C4835">
        <v>1</v>
      </c>
      <c r="D4835" t="s">
        <v>23629</v>
      </c>
      <c r="E4835" t="s">
        <v>23632</v>
      </c>
    </row>
    <row r="4836" spans="1:5" x14ac:dyDescent="0.25">
      <c r="A4836" s="130" t="s">
        <v>17574</v>
      </c>
      <c r="B4836" t="s">
        <v>27677</v>
      </c>
      <c r="C4836">
        <v>1</v>
      </c>
      <c r="D4836" t="s">
        <v>23629</v>
      </c>
      <c r="E4836" t="s">
        <v>23632</v>
      </c>
    </row>
    <row r="4837" spans="1:5" x14ac:dyDescent="0.25">
      <c r="A4837" s="131" t="s">
        <v>17574</v>
      </c>
      <c r="B4837" t="s">
        <v>27678</v>
      </c>
      <c r="C4837">
        <v>1</v>
      </c>
      <c r="D4837" t="s">
        <v>23629</v>
      </c>
      <c r="E4837" t="s">
        <v>23632</v>
      </c>
    </row>
    <row r="4838" spans="1:5" x14ac:dyDescent="0.25">
      <c r="A4838" s="131" t="s">
        <v>17574</v>
      </c>
      <c r="B4838" t="s">
        <v>27679</v>
      </c>
      <c r="C4838">
        <v>1</v>
      </c>
      <c r="D4838" t="s">
        <v>23629</v>
      </c>
      <c r="E4838" t="s">
        <v>23632</v>
      </c>
    </row>
    <row r="4839" spans="1:5" x14ac:dyDescent="0.25">
      <c r="A4839" s="130" t="str">
        <f>LEFT(B4839,1)</f>
        <v>S</v>
      </c>
      <c r="B4839" t="s">
        <v>29149</v>
      </c>
      <c r="C4839">
        <v>1</v>
      </c>
      <c r="D4839" t="s">
        <v>23629</v>
      </c>
      <c r="E4839" t="s">
        <v>23632</v>
      </c>
    </row>
    <row r="4840" spans="1:5" x14ac:dyDescent="0.25">
      <c r="A4840" s="130" t="s">
        <v>17574</v>
      </c>
      <c r="B4840" t="s">
        <v>27680</v>
      </c>
      <c r="C4840">
        <v>1</v>
      </c>
      <c r="D4840" t="s">
        <v>23629</v>
      </c>
      <c r="E4840" t="s">
        <v>23632</v>
      </c>
    </row>
    <row r="4841" spans="1:5" x14ac:dyDescent="0.25">
      <c r="A4841" s="130" t="s">
        <v>17574</v>
      </c>
      <c r="B4841" t="s">
        <v>27681</v>
      </c>
      <c r="C4841">
        <v>1</v>
      </c>
      <c r="D4841" t="s">
        <v>23629</v>
      </c>
      <c r="E4841" t="s">
        <v>23632</v>
      </c>
    </row>
    <row r="4842" spans="1:5" x14ac:dyDescent="0.25">
      <c r="A4842" s="131" t="s">
        <v>17574</v>
      </c>
      <c r="B4842" t="s">
        <v>27682</v>
      </c>
      <c r="C4842">
        <v>1</v>
      </c>
      <c r="D4842" t="s">
        <v>23629</v>
      </c>
      <c r="E4842" t="s">
        <v>23632</v>
      </c>
    </row>
    <row r="4843" spans="1:5" x14ac:dyDescent="0.25">
      <c r="A4843" s="131" t="s">
        <v>17574</v>
      </c>
      <c r="B4843" t="s">
        <v>27683</v>
      </c>
      <c r="C4843">
        <v>1</v>
      </c>
      <c r="D4843" t="s">
        <v>23629</v>
      </c>
      <c r="E4843" t="s">
        <v>23632</v>
      </c>
    </row>
    <row r="4844" spans="1:5" x14ac:dyDescent="0.25">
      <c r="A4844" s="130" t="s">
        <v>17574</v>
      </c>
      <c r="B4844" t="s">
        <v>27684</v>
      </c>
      <c r="C4844">
        <v>1</v>
      </c>
      <c r="D4844" t="s">
        <v>23629</v>
      </c>
      <c r="E4844" t="s">
        <v>23632</v>
      </c>
    </row>
    <row r="4845" spans="1:5" x14ac:dyDescent="0.25">
      <c r="A4845" s="130" t="str">
        <f>LEFT(B4845,1)</f>
        <v>S</v>
      </c>
      <c r="B4845" t="s">
        <v>29150</v>
      </c>
      <c r="C4845">
        <v>1</v>
      </c>
      <c r="D4845" t="s">
        <v>23629</v>
      </c>
      <c r="E4845" t="s">
        <v>23632</v>
      </c>
    </row>
    <row r="4846" spans="1:5" x14ac:dyDescent="0.25">
      <c r="A4846" s="131" t="s">
        <v>17574</v>
      </c>
      <c r="B4846" t="s">
        <v>27685</v>
      </c>
      <c r="C4846">
        <v>1</v>
      </c>
      <c r="D4846" t="s">
        <v>23629</v>
      </c>
      <c r="E4846" t="s">
        <v>23632</v>
      </c>
    </row>
    <row r="4847" spans="1:5" x14ac:dyDescent="0.25">
      <c r="A4847" s="130" t="s">
        <v>17574</v>
      </c>
      <c r="B4847" t="s">
        <v>27686</v>
      </c>
      <c r="C4847">
        <v>1</v>
      </c>
      <c r="D4847" t="s">
        <v>23629</v>
      </c>
      <c r="E4847" t="s">
        <v>23632</v>
      </c>
    </row>
    <row r="4848" spans="1:5" x14ac:dyDescent="0.25">
      <c r="A4848" s="130" t="str">
        <f>LEFT(B4848,1)</f>
        <v>S</v>
      </c>
      <c r="B4848" t="s">
        <v>28612</v>
      </c>
      <c r="C4848">
        <v>1</v>
      </c>
      <c r="D4848" t="s">
        <v>23629</v>
      </c>
      <c r="E4848" t="s">
        <v>23632</v>
      </c>
    </row>
    <row r="4849" spans="1:5" x14ac:dyDescent="0.25">
      <c r="A4849" s="130" t="str">
        <f>LEFT(B4849,1)</f>
        <v>S</v>
      </c>
      <c r="B4849" t="s">
        <v>29151</v>
      </c>
      <c r="C4849">
        <v>1</v>
      </c>
      <c r="D4849" t="s">
        <v>23629</v>
      </c>
      <c r="E4849" t="s">
        <v>23632</v>
      </c>
    </row>
    <row r="4850" spans="1:5" x14ac:dyDescent="0.25">
      <c r="A4850" s="130" t="str">
        <f>LEFT(B4850,1)</f>
        <v>S</v>
      </c>
      <c r="B4850" t="s">
        <v>27869</v>
      </c>
      <c r="C4850">
        <v>1</v>
      </c>
      <c r="D4850" t="s">
        <v>23629</v>
      </c>
      <c r="E4850" t="s">
        <v>23632</v>
      </c>
    </row>
    <row r="4851" spans="1:5" x14ac:dyDescent="0.25">
      <c r="A4851" s="130" t="str">
        <f>LEFT(B4851,1)</f>
        <v>S</v>
      </c>
      <c r="B4851" t="s">
        <v>27893</v>
      </c>
      <c r="C4851">
        <v>1</v>
      </c>
      <c r="D4851" t="s">
        <v>23629</v>
      </c>
      <c r="E4851" t="s">
        <v>23632</v>
      </c>
    </row>
    <row r="4852" spans="1:5" x14ac:dyDescent="0.25">
      <c r="A4852" s="131" t="s">
        <v>17574</v>
      </c>
      <c r="B4852" t="s">
        <v>27687</v>
      </c>
      <c r="C4852">
        <v>1</v>
      </c>
      <c r="D4852" t="s">
        <v>23629</v>
      </c>
      <c r="E4852" t="s">
        <v>23632</v>
      </c>
    </row>
    <row r="4853" spans="1:5" x14ac:dyDescent="0.25">
      <c r="A4853" s="131" t="str">
        <f>LEFT((B4853),1)</f>
        <v>S</v>
      </c>
      <c r="B4853" t="s">
        <v>27688</v>
      </c>
      <c r="C4853">
        <v>1</v>
      </c>
      <c r="D4853" t="s">
        <v>23629</v>
      </c>
      <c r="E4853" t="s">
        <v>23632</v>
      </c>
    </row>
    <row r="4854" spans="1:5" x14ac:dyDescent="0.25">
      <c r="A4854" s="130" t="s">
        <v>17574</v>
      </c>
      <c r="B4854" t="s">
        <v>27689</v>
      </c>
      <c r="C4854">
        <v>1</v>
      </c>
      <c r="D4854" t="s">
        <v>23629</v>
      </c>
      <c r="E4854" t="s">
        <v>23632</v>
      </c>
    </row>
    <row r="4855" spans="1:5" x14ac:dyDescent="0.25">
      <c r="A4855" s="130" t="s">
        <v>17574</v>
      </c>
      <c r="B4855" t="s">
        <v>27690</v>
      </c>
      <c r="C4855">
        <v>1</v>
      </c>
      <c r="D4855" t="s">
        <v>23629</v>
      </c>
      <c r="E4855" t="s">
        <v>23632</v>
      </c>
    </row>
    <row r="4856" spans="1:5" x14ac:dyDescent="0.25">
      <c r="A4856" s="131" t="s">
        <v>17574</v>
      </c>
      <c r="B4856" t="s">
        <v>27691</v>
      </c>
      <c r="C4856">
        <v>1</v>
      </c>
      <c r="D4856" t="s">
        <v>23629</v>
      </c>
      <c r="E4856" t="s">
        <v>23632</v>
      </c>
    </row>
    <row r="4857" spans="1:5" x14ac:dyDescent="0.25">
      <c r="A4857" s="130" t="s">
        <v>17574</v>
      </c>
      <c r="B4857" t="s">
        <v>27692</v>
      </c>
      <c r="C4857">
        <v>1</v>
      </c>
      <c r="D4857" t="s">
        <v>23629</v>
      </c>
      <c r="E4857" t="s">
        <v>23632</v>
      </c>
    </row>
    <row r="4858" spans="1:5" x14ac:dyDescent="0.25">
      <c r="A4858" s="131" t="s">
        <v>17574</v>
      </c>
      <c r="B4858" t="s">
        <v>27693</v>
      </c>
      <c r="C4858">
        <v>1</v>
      </c>
      <c r="D4858" t="s">
        <v>23629</v>
      </c>
      <c r="E4858" t="s">
        <v>23632</v>
      </c>
    </row>
    <row r="4859" spans="1:5" x14ac:dyDescent="0.25">
      <c r="A4859" s="130" t="s">
        <v>17574</v>
      </c>
      <c r="B4859" t="s">
        <v>27694</v>
      </c>
      <c r="C4859">
        <v>1</v>
      </c>
      <c r="D4859" t="s">
        <v>23629</v>
      </c>
      <c r="E4859" t="s">
        <v>23632</v>
      </c>
    </row>
    <row r="4860" spans="1:5" x14ac:dyDescent="0.25">
      <c r="A4860" s="130" t="str">
        <f>LEFT(B4860,1)</f>
        <v>S</v>
      </c>
      <c r="B4860" t="s">
        <v>28895</v>
      </c>
      <c r="C4860">
        <v>1</v>
      </c>
      <c r="D4860" t="s">
        <v>23629</v>
      </c>
      <c r="E4860" t="s">
        <v>23632</v>
      </c>
    </row>
    <row r="4861" spans="1:5" x14ac:dyDescent="0.25">
      <c r="A4861" s="131" t="s">
        <v>17574</v>
      </c>
      <c r="B4861" t="s">
        <v>27695</v>
      </c>
      <c r="C4861">
        <v>1</v>
      </c>
      <c r="D4861" t="s">
        <v>23629</v>
      </c>
      <c r="E4861" t="s">
        <v>23632</v>
      </c>
    </row>
    <row r="4862" spans="1:5" x14ac:dyDescent="0.25">
      <c r="A4862" s="130" t="s">
        <v>17574</v>
      </c>
      <c r="B4862" t="s">
        <v>27696</v>
      </c>
      <c r="C4862">
        <v>1.1000000000000001</v>
      </c>
      <c r="D4862" t="s">
        <v>23629</v>
      </c>
      <c r="E4862" t="s">
        <v>23632</v>
      </c>
    </row>
    <row r="4863" spans="1:5" x14ac:dyDescent="0.25">
      <c r="A4863" s="131" t="s">
        <v>17574</v>
      </c>
      <c r="B4863" t="s">
        <v>27697</v>
      </c>
      <c r="C4863">
        <v>1</v>
      </c>
      <c r="D4863" t="s">
        <v>23629</v>
      </c>
      <c r="E4863" t="s">
        <v>23632</v>
      </c>
    </row>
    <row r="4864" spans="1:5" x14ac:dyDescent="0.25">
      <c r="A4864" s="130" t="s">
        <v>17574</v>
      </c>
      <c r="B4864" t="s">
        <v>27698</v>
      </c>
      <c r="C4864">
        <v>1</v>
      </c>
      <c r="D4864" t="s">
        <v>23629</v>
      </c>
      <c r="E4864" t="s">
        <v>23632</v>
      </c>
    </row>
    <row r="4865" spans="1:5" x14ac:dyDescent="0.25">
      <c r="A4865" s="131" t="s">
        <v>17574</v>
      </c>
      <c r="B4865" t="s">
        <v>27699</v>
      </c>
      <c r="C4865">
        <v>1</v>
      </c>
      <c r="D4865" t="s">
        <v>23629</v>
      </c>
      <c r="E4865" t="s">
        <v>23632</v>
      </c>
    </row>
    <row r="4866" spans="1:5" x14ac:dyDescent="0.25">
      <c r="A4866" s="130" t="s">
        <v>17574</v>
      </c>
      <c r="B4866" t="s">
        <v>27700</v>
      </c>
      <c r="C4866">
        <v>1</v>
      </c>
      <c r="D4866" t="s">
        <v>23629</v>
      </c>
      <c r="E4866" t="s">
        <v>23632</v>
      </c>
    </row>
    <row r="4867" spans="1:5" x14ac:dyDescent="0.25">
      <c r="A4867" s="131" t="s">
        <v>17574</v>
      </c>
      <c r="B4867" t="s">
        <v>27701</v>
      </c>
      <c r="C4867">
        <v>1</v>
      </c>
      <c r="D4867" t="s">
        <v>23629</v>
      </c>
      <c r="E4867" t="s">
        <v>23632</v>
      </c>
    </row>
    <row r="4868" spans="1:5" x14ac:dyDescent="0.25">
      <c r="A4868" s="130" t="s">
        <v>17574</v>
      </c>
      <c r="B4868" t="s">
        <v>27702</v>
      </c>
      <c r="C4868">
        <v>1</v>
      </c>
      <c r="D4868" t="s">
        <v>23629</v>
      </c>
      <c r="E4868" t="s">
        <v>23632</v>
      </c>
    </row>
    <row r="4869" spans="1:5" x14ac:dyDescent="0.25">
      <c r="A4869" s="130" t="s">
        <v>17574</v>
      </c>
      <c r="B4869" t="s">
        <v>27703</v>
      </c>
      <c r="C4869">
        <v>1</v>
      </c>
      <c r="D4869" t="s">
        <v>23629</v>
      </c>
      <c r="E4869" t="s">
        <v>23632</v>
      </c>
    </row>
    <row r="4870" spans="1:5" x14ac:dyDescent="0.25">
      <c r="A4870" s="131" t="s">
        <v>17574</v>
      </c>
      <c r="B4870" t="s">
        <v>27704</v>
      </c>
      <c r="C4870">
        <v>1</v>
      </c>
      <c r="D4870" t="s">
        <v>23629</v>
      </c>
      <c r="E4870" t="s">
        <v>23632</v>
      </c>
    </row>
    <row r="4871" spans="1:5" x14ac:dyDescent="0.25">
      <c r="A4871" s="131" t="str">
        <f>LEFT(B4871,1)</f>
        <v>S</v>
      </c>
      <c r="B4871" t="s">
        <v>27894</v>
      </c>
      <c r="C4871">
        <v>1</v>
      </c>
      <c r="D4871" t="s">
        <v>23629</v>
      </c>
      <c r="E4871" t="s">
        <v>23632</v>
      </c>
    </row>
    <row r="4872" spans="1:5" x14ac:dyDescent="0.25">
      <c r="A4872" s="131" t="s">
        <v>17574</v>
      </c>
      <c r="B4872" t="s">
        <v>27705</v>
      </c>
      <c r="C4872">
        <v>1</v>
      </c>
      <c r="D4872" t="s">
        <v>23629</v>
      </c>
      <c r="E4872" t="s">
        <v>23632</v>
      </c>
    </row>
    <row r="4873" spans="1:5" x14ac:dyDescent="0.25">
      <c r="A4873" s="130" t="s">
        <v>17574</v>
      </c>
      <c r="B4873" t="s">
        <v>27706</v>
      </c>
      <c r="C4873">
        <v>1</v>
      </c>
      <c r="D4873" t="s">
        <v>23629</v>
      </c>
      <c r="E4873" t="s">
        <v>23632</v>
      </c>
    </row>
    <row r="4874" spans="1:5" x14ac:dyDescent="0.25">
      <c r="A4874" s="131" t="s">
        <v>17574</v>
      </c>
      <c r="B4874" t="s">
        <v>27707</v>
      </c>
      <c r="C4874">
        <v>1</v>
      </c>
      <c r="D4874" t="s">
        <v>23629</v>
      </c>
      <c r="E4874" t="s">
        <v>23632</v>
      </c>
    </row>
    <row r="4875" spans="1:5" x14ac:dyDescent="0.25">
      <c r="A4875" s="130" t="s">
        <v>17574</v>
      </c>
      <c r="B4875" t="s">
        <v>27708</v>
      </c>
      <c r="C4875">
        <v>1</v>
      </c>
      <c r="D4875" t="s">
        <v>23629</v>
      </c>
      <c r="E4875" t="s">
        <v>23632</v>
      </c>
    </row>
    <row r="4876" spans="1:5" x14ac:dyDescent="0.25">
      <c r="A4876" s="131" t="s">
        <v>17574</v>
      </c>
      <c r="B4876" t="s">
        <v>27709</v>
      </c>
      <c r="C4876">
        <v>1</v>
      </c>
      <c r="D4876" t="s">
        <v>23629</v>
      </c>
      <c r="E4876" t="s">
        <v>23632</v>
      </c>
    </row>
    <row r="4877" spans="1:5" x14ac:dyDescent="0.25">
      <c r="A4877" s="130" t="s">
        <v>17574</v>
      </c>
      <c r="B4877" t="s">
        <v>27710</v>
      </c>
      <c r="C4877">
        <v>1</v>
      </c>
      <c r="D4877" t="s">
        <v>23629</v>
      </c>
      <c r="E4877" t="s">
        <v>23632</v>
      </c>
    </row>
    <row r="4878" spans="1:5" x14ac:dyDescent="0.25">
      <c r="A4878" s="130" t="str">
        <f>LEFT(B4878,1)</f>
        <v>S</v>
      </c>
      <c r="B4878" t="s">
        <v>28613</v>
      </c>
      <c r="C4878">
        <v>1</v>
      </c>
      <c r="D4878" t="s">
        <v>23629</v>
      </c>
      <c r="E4878" t="s">
        <v>23632</v>
      </c>
    </row>
    <row r="4879" spans="1:5" x14ac:dyDescent="0.25">
      <c r="A4879" s="130" t="str">
        <f>LEFT((B4879),1)</f>
        <v>S</v>
      </c>
      <c r="B4879" t="s">
        <v>27711</v>
      </c>
      <c r="C4879">
        <v>1</v>
      </c>
      <c r="D4879" t="s">
        <v>23629</v>
      </c>
      <c r="E4879" t="s">
        <v>23632</v>
      </c>
    </row>
    <row r="4880" spans="1:5" x14ac:dyDescent="0.25">
      <c r="A4880" s="130" t="str">
        <f>LEFT(B4880,1)</f>
        <v>S</v>
      </c>
      <c r="B4880" t="s">
        <v>29152</v>
      </c>
      <c r="C4880">
        <v>1</v>
      </c>
      <c r="D4880" t="s">
        <v>23629</v>
      </c>
      <c r="E4880" t="s">
        <v>23632</v>
      </c>
    </row>
    <row r="4881" spans="1:5" x14ac:dyDescent="0.25">
      <c r="A4881" s="131" t="str">
        <f>LEFT((B4881),1)</f>
        <v>S</v>
      </c>
      <c r="B4881" t="s">
        <v>27712</v>
      </c>
      <c r="C4881">
        <v>1</v>
      </c>
      <c r="D4881" t="s">
        <v>23629</v>
      </c>
      <c r="E4881" t="s">
        <v>23632</v>
      </c>
    </row>
    <row r="4882" spans="1:5" x14ac:dyDescent="0.25">
      <c r="A4882" s="131" t="s">
        <v>17574</v>
      </c>
      <c r="B4882" t="s">
        <v>27713</v>
      </c>
      <c r="C4882">
        <v>1</v>
      </c>
      <c r="D4882" t="s">
        <v>23629</v>
      </c>
      <c r="E4882" t="s">
        <v>23632</v>
      </c>
    </row>
    <row r="4883" spans="1:5" x14ac:dyDescent="0.25">
      <c r="A4883" s="130" t="str">
        <f>LEFT(B4883,1)</f>
        <v>S</v>
      </c>
      <c r="B4883" t="s">
        <v>29153</v>
      </c>
      <c r="C4883">
        <v>1</v>
      </c>
      <c r="D4883" t="s">
        <v>23629</v>
      </c>
      <c r="E4883" t="s">
        <v>23632</v>
      </c>
    </row>
    <row r="4884" spans="1:5" x14ac:dyDescent="0.25">
      <c r="A4884" s="130" t="s">
        <v>17574</v>
      </c>
      <c r="B4884" t="s">
        <v>27714</v>
      </c>
      <c r="C4884">
        <v>1</v>
      </c>
      <c r="D4884" t="s">
        <v>23629</v>
      </c>
      <c r="E4884" t="s">
        <v>23632</v>
      </c>
    </row>
    <row r="4885" spans="1:5" x14ac:dyDescent="0.25">
      <c r="A4885" s="131" t="s">
        <v>17574</v>
      </c>
      <c r="B4885" t="s">
        <v>27715</v>
      </c>
      <c r="C4885">
        <v>1.21</v>
      </c>
      <c r="D4885" t="s">
        <v>23629</v>
      </c>
      <c r="E4885" t="s">
        <v>23632</v>
      </c>
    </row>
    <row r="4886" spans="1:5" x14ac:dyDescent="0.25">
      <c r="A4886" s="130" t="s">
        <v>17574</v>
      </c>
      <c r="B4886" t="s">
        <v>27716</v>
      </c>
      <c r="C4886">
        <v>1</v>
      </c>
      <c r="D4886" t="s">
        <v>23629</v>
      </c>
      <c r="E4886" t="s">
        <v>23632</v>
      </c>
    </row>
    <row r="4887" spans="1:5" x14ac:dyDescent="0.25">
      <c r="A4887" s="130" t="s">
        <v>17574</v>
      </c>
      <c r="B4887" t="s">
        <v>27717</v>
      </c>
      <c r="C4887">
        <v>1</v>
      </c>
      <c r="D4887" t="s">
        <v>23629</v>
      </c>
      <c r="E4887" t="s">
        <v>23632</v>
      </c>
    </row>
    <row r="4888" spans="1:5" x14ac:dyDescent="0.25">
      <c r="A4888" s="131" t="str">
        <f>LEFT(B4888,1)</f>
        <v>S</v>
      </c>
      <c r="B4888" t="s">
        <v>27870</v>
      </c>
      <c r="C4888">
        <v>1</v>
      </c>
      <c r="D4888" t="s">
        <v>23629</v>
      </c>
      <c r="E4888" t="s">
        <v>23632</v>
      </c>
    </row>
    <row r="4889" spans="1:5" x14ac:dyDescent="0.25">
      <c r="A4889" s="131" t="s">
        <v>17574</v>
      </c>
      <c r="B4889" t="s">
        <v>27718</v>
      </c>
      <c r="C4889">
        <v>1</v>
      </c>
      <c r="D4889" t="s">
        <v>23629</v>
      </c>
      <c r="E4889" t="s">
        <v>23632</v>
      </c>
    </row>
    <row r="4890" spans="1:5" x14ac:dyDescent="0.25">
      <c r="A4890" s="131" t="s">
        <v>17574</v>
      </c>
      <c r="B4890" t="s">
        <v>27719</v>
      </c>
      <c r="C4890">
        <v>1.21</v>
      </c>
      <c r="D4890" t="s">
        <v>25109</v>
      </c>
      <c r="E4890" t="s">
        <v>23881</v>
      </c>
    </row>
    <row r="4891" spans="1:5" x14ac:dyDescent="0.25">
      <c r="A4891" s="130" t="s">
        <v>17574</v>
      </c>
      <c r="B4891" t="s">
        <v>27720</v>
      </c>
      <c r="C4891">
        <v>1.1000000000000001</v>
      </c>
      <c r="D4891" t="s">
        <v>23629</v>
      </c>
      <c r="E4891" t="s">
        <v>23632</v>
      </c>
    </row>
    <row r="4892" spans="1:5" x14ac:dyDescent="0.25">
      <c r="A4892" s="131" t="s">
        <v>17574</v>
      </c>
      <c r="B4892" t="s">
        <v>27721</v>
      </c>
      <c r="C4892">
        <v>1</v>
      </c>
      <c r="D4892" t="s">
        <v>23629</v>
      </c>
      <c r="E4892" t="s">
        <v>23632</v>
      </c>
    </row>
    <row r="4893" spans="1:5" x14ac:dyDescent="0.25">
      <c r="A4893" s="130" t="s">
        <v>17574</v>
      </c>
      <c r="B4893" t="s">
        <v>27722</v>
      </c>
      <c r="C4893">
        <v>1</v>
      </c>
      <c r="D4893" t="s">
        <v>23629</v>
      </c>
      <c r="E4893" t="s">
        <v>23632</v>
      </c>
    </row>
    <row r="4894" spans="1:5" x14ac:dyDescent="0.25">
      <c r="A4894" s="131" t="s">
        <v>17574</v>
      </c>
      <c r="B4894" t="s">
        <v>27723</v>
      </c>
      <c r="C4894">
        <v>1</v>
      </c>
      <c r="D4894" t="s">
        <v>23629</v>
      </c>
      <c r="E4894" t="s">
        <v>23632</v>
      </c>
    </row>
    <row r="4895" spans="1:5" x14ac:dyDescent="0.25">
      <c r="A4895" s="130" t="str">
        <f>LEFT(B4895,1)</f>
        <v>S</v>
      </c>
      <c r="B4895" t="s">
        <v>27895</v>
      </c>
      <c r="C4895">
        <v>1</v>
      </c>
      <c r="D4895" t="s">
        <v>23629</v>
      </c>
      <c r="E4895" t="s">
        <v>23632</v>
      </c>
    </row>
    <row r="4896" spans="1:5" x14ac:dyDescent="0.25">
      <c r="A4896" s="131" t="s">
        <v>17574</v>
      </c>
      <c r="B4896" t="s">
        <v>27724</v>
      </c>
      <c r="C4896">
        <v>1</v>
      </c>
      <c r="D4896" t="s">
        <v>23629</v>
      </c>
      <c r="E4896" t="s">
        <v>23632</v>
      </c>
    </row>
    <row r="4897" spans="1:5" x14ac:dyDescent="0.25">
      <c r="A4897" s="130" t="str">
        <f>LEFT(B4897,1)</f>
        <v>S</v>
      </c>
      <c r="B4897" t="s">
        <v>28614</v>
      </c>
      <c r="C4897">
        <v>1</v>
      </c>
      <c r="D4897" t="s">
        <v>23629</v>
      </c>
      <c r="E4897" t="s">
        <v>23632</v>
      </c>
    </row>
    <row r="4898" spans="1:5" x14ac:dyDescent="0.25">
      <c r="A4898" s="130" t="s">
        <v>17574</v>
      </c>
      <c r="B4898" t="s">
        <v>27725</v>
      </c>
      <c r="C4898">
        <v>1</v>
      </c>
      <c r="D4898" t="s">
        <v>23629</v>
      </c>
      <c r="E4898" t="s">
        <v>23632</v>
      </c>
    </row>
    <row r="4899" spans="1:5" x14ac:dyDescent="0.25">
      <c r="A4899" s="131" t="s">
        <v>17574</v>
      </c>
      <c r="B4899" t="s">
        <v>27726</v>
      </c>
      <c r="C4899">
        <v>1</v>
      </c>
      <c r="D4899" t="s">
        <v>23629</v>
      </c>
      <c r="E4899" t="s">
        <v>23632</v>
      </c>
    </row>
    <row r="4900" spans="1:5" x14ac:dyDescent="0.25">
      <c r="A4900" s="130" t="s">
        <v>17574</v>
      </c>
      <c r="B4900" t="s">
        <v>27727</v>
      </c>
      <c r="C4900">
        <v>1</v>
      </c>
      <c r="D4900" t="s">
        <v>23629</v>
      </c>
      <c r="E4900" t="s">
        <v>23632</v>
      </c>
    </row>
    <row r="4901" spans="1:5" x14ac:dyDescent="0.25">
      <c r="A4901" s="130" t="str">
        <f>LEFT(B4901,1)</f>
        <v>S</v>
      </c>
      <c r="B4901" t="s">
        <v>28615</v>
      </c>
      <c r="C4901">
        <v>1</v>
      </c>
      <c r="D4901" t="s">
        <v>23629</v>
      </c>
      <c r="E4901" t="s">
        <v>23632</v>
      </c>
    </row>
    <row r="4902" spans="1:5" x14ac:dyDescent="0.25">
      <c r="A4902" s="131" t="s">
        <v>17574</v>
      </c>
      <c r="B4902" t="s">
        <v>27728</v>
      </c>
      <c r="C4902">
        <v>1</v>
      </c>
      <c r="D4902" t="s">
        <v>23629</v>
      </c>
      <c r="E4902" t="s">
        <v>23632</v>
      </c>
    </row>
    <row r="4903" spans="1:5" x14ac:dyDescent="0.25">
      <c r="A4903" s="130" t="s">
        <v>17574</v>
      </c>
      <c r="B4903" t="s">
        <v>27729</v>
      </c>
      <c r="C4903">
        <v>1</v>
      </c>
      <c r="D4903" t="s">
        <v>23629</v>
      </c>
      <c r="E4903" t="s">
        <v>23632</v>
      </c>
    </row>
    <row r="4904" spans="1:5" x14ac:dyDescent="0.25">
      <c r="A4904" s="131" t="s">
        <v>17574</v>
      </c>
      <c r="B4904" t="s">
        <v>27730</v>
      </c>
      <c r="C4904">
        <v>1</v>
      </c>
      <c r="D4904" t="s">
        <v>23629</v>
      </c>
      <c r="E4904" t="s">
        <v>23632</v>
      </c>
    </row>
    <row r="4905" spans="1:5" x14ac:dyDescent="0.25">
      <c r="A4905" s="130" t="s">
        <v>17574</v>
      </c>
      <c r="B4905" t="s">
        <v>27731</v>
      </c>
      <c r="C4905">
        <v>1</v>
      </c>
      <c r="D4905" t="s">
        <v>23629</v>
      </c>
      <c r="E4905" t="s">
        <v>23632</v>
      </c>
    </row>
    <row r="4906" spans="1:5" x14ac:dyDescent="0.25">
      <c r="A4906" s="130" t="s">
        <v>17574</v>
      </c>
      <c r="B4906" t="s">
        <v>27732</v>
      </c>
      <c r="C4906">
        <v>1</v>
      </c>
      <c r="D4906" t="s">
        <v>23629</v>
      </c>
      <c r="E4906" t="s">
        <v>23632</v>
      </c>
    </row>
    <row r="4907" spans="1:5" x14ac:dyDescent="0.25">
      <c r="A4907" s="131" t="s">
        <v>17574</v>
      </c>
      <c r="B4907" t="s">
        <v>27733</v>
      </c>
      <c r="C4907">
        <v>1</v>
      </c>
      <c r="D4907" t="s">
        <v>23629</v>
      </c>
      <c r="E4907" t="s">
        <v>23632</v>
      </c>
    </row>
    <row r="4908" spans="1:5" x14ac:dyDescent="0.25">
      <c r="A4908" s="130" t="s">
        <v>17574</v>
      </c>
      <c r="B4908" t="s">
        <v>27734</v>
      </c>
      <c r="C4908">
        <v>1.1000000000000001</v>
      </c>
      <c r="D4908" t="s">
        <v>23629</v>
      </c>
      <c r="E4908" t="s">
        <v>23632</v>
      </c>
    </row>
    <row r="4909" spans="1:5" x14ac:dyDescent="0.25">
      <c r="A4909" s="131" t="s">
        <v>17574</v>
      </c>
      <c r="B4909" t="s">
        <v>27735</v>
      </c>
      <c r="C4909">
        <v>1</v>
      </c>
      <c r="D4909" t="s">
        <v>23629</v>
      </c>
      <c r="E4909" t="s">
        <v>23632</v>
      </c>
    </row>
    <row r="4910" spans="1:5" x14ac:dyDescent="0.25">
      <c r="A4910" s="131" t="s">
        <v>17574</v>
      </c>
      <c r="B4910" t="s">
        <v>27736</v>
      </c>
      <c r="C4910">
        <v>1</v>
      </c>
      <c r="D4910" t="s">
        <v>23629</v>
      </c>
      <c r="E4910" t="s">
        <v>23632</v>
      </c>
    </row>
    <row r="4911" spans="1:5" x14ac:dyDescent="0.25">
      <c r="A4911" s="131" t="s">
        <v>17574</v>
      </c>
      <c r="B4911" t="s">
        <v>27737</v>
      </c>
      <c r="C4911">
        <v>1</v>
      </c>
      <c r="D4911" t="s">
        <v>23629</v>
      </c>
      <c r="E4911" t="s">
        <v>23632</v>
      </c>
    </row>
    <row r="4912" spans="1:5" x14ac:dyDescent="0.25">
      <c r="A4912" s="130" t="s">
        <v>17574</v>
      </c>
      <c r="B4912" t="s">
        <v>27738</v>
      </c>
      <c r="C4912">
        <v>1</v>
      </c>
      <c r="D4912" t="s">
        <v>23629</v>
      </c>
      <c r="E4912" t="s">
        <v>23632</v>
      </c>
    </row>
    <row r="4913" spans="1:5" x14ac:dyDescent="0.25">
      <c r="A4913" s="131" t="s">
        <v>17574</v>
      </c>
      <c r="B4913" t="s">
        <v>27739</v>
      </c>
      <c r="C4913">
        <v>1.1200000000000001</v>
      </c>
      <c r="D4913" t="s">
        <v>23629</v>
      </c>
      <c r="E4913" t="s">
        <v>23632</v>
      </c>
    </row>
    <row r="4914" spans="1:5" x14ac:dyDescent="0.25">
      <c r="A4914" s="130" t="s">
        <v>17574</v>
      </c>
      <c r="B4914" t="s">
        <v>27740</v>
      </c>
      <c r="C4914">
        <v>1</v>
      </c>
      <c r="D4914" t="s">
        <v>23629</v>
      </c>
      <c r="E4914" t="s">
        <v>23632</v>
      </c>
    </row>
    <row r="4915" spans="1:5" x14ac:dyDescent="0.25">
      <c r="A4915" s="131" t="s">
        <v>17574</v>
      </c>
      <c r="B4915" t="s">
        <v>27741</v>
      </c>
      <c r="C4915">
        <v>1</v>
      </c>
      <c r="D4915" t="s">
        <v>23629</v>
      </c>
      <c r="E4915" t="s">
        <v>23632</v>
      </c>
    </row>
    <row r="4916" spans="1:5" x14ac:dyDescent="0.25">
      <c r="A4916" s="130" t="s">
        <v>17574</v>
      </c>
      <c r="B4916" t="s">
        <v>27742</v>
      </c>
      <c r="C4916">
        <v>1</v>
      </c>
      <c r="D4916" t="s">
        <v>23629</v>
      </c>
      <c r="E4916" t="s">
        <v>23632</v>
      </c>
    </row>
    <row r="4917" spans="1:5" x14ac:dyDescent="0.25">
      <c r="A4917" s="131" t="s">
        <v>17574</v>
      </c>
      <c r="B4917" t="s">
        <v>27743</v>
      </c>
      <c r="C4917">
        <v>1</v>
      </c>
      <c r="D4917" t="s">
        <v>23629</v>
      </c>
      <c r="E4917" t="s">
        <v>23632</v>
      </c>
    </row>
    <row r="4918" spans="1:5" x14ac:dyDescent="0.25">
      <c r="A4918" s="130" t="s">
        <v>17574</v>
      </c>
      <c r="B4918" t="s">
        <v>27744</v>
      </c>
      <c r="C4918">
        <v>1</v>
      </c>
      <c r="D4918" t="s">
        <v>23629</v>
      </c>
      <c r="E4918" t="s">
        <v>23632</v>
      </c>
    </row>
    <row r="4919" spans="1:5" x14ac:dyDescent="0.25">
      <c r="A4919" s="130" t="str">
        <f>LEFT(B4919,1)</f>
        <v>S</v>
      </c>
      <c r="B4919" t="s">
        <v>28896</v>
      </c>
      <c r="C4919">
        <v>1</v>
      </c>
      <c r="D4919" t="s">
        <v>23629</v>
      </c>
      <c r="E4919" t="s">
        <v>23632</v>
      </c>
    </row>
    <row r="4920" spans="1:5" x14ac:dyDescent="0.25">
      <c r="A4920" s="131" t="s">
        <v>17574</v>
      </c>
      <c r="B4920" t="s">
        <v>27745</v>
      </c>
      <c r="C4920">
        <v>1</v>
      </c>
      <c r="D4920" t="s">
        <v>23629</v>
      </c>
      <c r="E4920" t="s">
        <v>23632</v>
      </c>
    </row>
    <row r="4921" spans="1:5" x14ac:dyDescent="0.25">
      <c r="A4921" s="130" t="str">
        <f>LEFT(B4921,1)</f>
        <v>S</v>
      </c>
      <c r="B4921" t="s">
        <v>28616</v>
      </c>
      <c r="C4921">
        <v>1</v>
      </c>
      <c r="D4921" t="s">
        <v>23629</v>
      </c>
      <c r="E4921" t="s">
        <v>23632</v>
      </c>
    </row>
    <row r="4922" spans="1:5" x14ac:dyDescent="0.25">
      <c r="A4922" s="130" t="s">
        <v>17574</v>
      </c>
      <c r="B4922" t="s">
        <v>27746</v>
      </c>
      <c r="C4922">
        <v>1</v>
      </c>
      <c r="D4922" t="s">
        <v>23629</v>
      </c>
      <c r="E4922" t="s">
        <v>23632</v>
      </c>
    </row>
    <row r="4923" spans="1:5" x14ac:dyDescent="0.25">
      <c r="A4923" s="131" t="s">
        <v>17574</v>
      </c>
      <c r="B4923" t="s">
        <v>27747</v>
      </c>
      <c r="C4923">
        <v>1</v>
      </c>
      <c r="D4923" t="s">
        <v>23629</v>
      </c>
      <c r="E4923" t="s">
        <v>23632</v>
      </c>
    </row>
    <row r="4924" spans="1:5" x14ac:dyDescent="0.25">
      <c r="A4924" s="130" t="s">
        <v>17574</v>
      </c>
      <c r="B4924" t="s">
        <v>27748</v>
      </c>
      <c r="C4924">
        <v>1</v>
      </c>
      <c r="D4924" t="s">
        <v>23629</v>
      </c>
      <c r="E4924" t="s">
        <v>23632</v>
      </c>
    </row>
    <row r="4925" spans="1:5" x14ac:dyDescent="0.25">
      <c r="A4925" s="130" t="str">
        <f>LEFT(B4925,1)</f>
        <v>S</v>
      </c>
      <c r="B4925" t="s">
        <v>28617</v>
      </c>
      <c r="C4925">
        <v>1</v>
      </c>
      <c r="D4925" t="s">
        <v>23629</v>
      </c>
      <c r="E4925" t="s">
        <v>23632</v>
      </c>
    </row>
    <row r="4926" spans="1:5" x14ac:dyDescent="0.25">
      <c r="A4926" s="130" t="s">
        <v>27902</v>
      </c>
      <c r="B4926" t="s">
        <v>27903</v>
      </c>
      <c r="C4926">
        <v>1</v>
      </c>
      <c r="D4926" t="s">
        <v>23629</v>
      </c>
      <c r="E4926" t="s">
        <v>23632</v>
      </c>
    </row>
    <row r="4927" spans="1:5" x14ac:dyDescent="0.25">
      <c r="A4927" s="131" t="s">
        <v>17574</v>
      </c>
      <c r="B4927" t="s">
        <v>27749</v>
      </c>
      <c r="C4927">
        <v>1</v>
      </c>
      <c r="D4927" t="s">
        <v>23629</v>
      </c>
      <c r="E4927" t="s">
        <v>23632</v>
      </c>
    </row>
    <row r="4928" spans="1:5" x14ac:dyDescent="0.25">
      <c r="A4928" s="130" t="s">
        <v>17574</v>
      </c>
      <c r="B4928" t="s">
        <v>27750</v>
      </c>
      <c r="C4928">
        <v>1</v>
      </c>
      <c r="D4928" t="s">
        <v>23629</v>
      </c>
      <c r="E4928" t="s">
        <v>23632</v>
      </c>
    </row>
    <row r="4929" spans="1:5" x14ac:dyDescent="0.25">
      <c r="A4929" s="130" t="s">
        <v>17574</v>
      </c>
      <c r="B4929" t="s">
        <v>27751</v>
      </c>
      <c r="C4929">
        <v>1</v>
      </c>
      <c r="D4929" t="s">
        <v>23629</v>
      </c>
      <c r="E4929" t="s">
        <v>23632</v>
      </c>
    </row>
    <row r="4930" spans="1:5" x14ac:dyDescent="0.25">
      <c r="A4930" s="131" t="s">
        <v>17574</v>
      </c>
      <c r="B4930" t="s">
        <v>27752</v>
      </c>
      <c r="C4930">
        <v>1</v>
      </c>
      <c r="D4930" t="s">
        <v>23629</v>
      </c>
      <c r="E4930" t="s">
        <v>23632</v>
      </c>
    </row>
    <row r="4931" spans="1:5" x14ac:dyDescent="0.25">
      <c r="A4931" s="130" t="str">
        <f>LEFT((B4931),1)</f>
        <v>S</v>
      </c>
      <c r="B4931" t="s">
        <v>27753</v>
      </c>
      <c r="C4931">
        <v>1</v>
      </c>
      <c r="D4931" t="s">
        <v>23629</v>
      </c>
      <c r="E4931" t="s">
        <v>23632</v>
      </c>
    </row>
    <row r="4932" spans="1:5" x14ac:dyDescent="0.25">
      <c r="A4932" s="130" t="s">
        <v>17574</v>
      </c>
      <c r="B4932" t="s">
        <v>27754</v>
      </c>
      <c r="C4932">
        <v>1</v>
      </c>
      <c r="D4932" t="s">
        <v>23629</v>
      </c>
      <c r="E4932" t="s">
        <v>23632</v>
      </c>
    </row>
    <row r="4933" spans="1:5" x14ac:dyDescent="0.25">
      <c r="A4933" s="130" t="s">
        <v>17574</v>
      </c>
      <c r="B4933" t="s">
        <v>27755</v>
      </c>
      <c r="C4933">
        <v>1</v>
      </c>
      <c r="D4933" t="s">
        <v>23629</v>
      </c>
      <c r="E4933" t="s">
        <v>23632</v>
      </c>
    </row>
    <row r="4934" spans="1:5" x14ac:dyDescent="0.25">
      <c r="A4934" s="131" t="str">
        <f>LEFT(B4934,1)</f>
        <v>S</v>
      </c>
      <c r="B4934" t="s">
        <v>27896</v>
      </c>
      <c r="C4934">
        <v>1</v>
      </c>
      <c r="D4934" t="s">
        <v>23629</v>
      </c>
      <c r="E4934" t="s">
        <v>23632</v>
      </c>
    </row>
    <row r="4935" spans="1:5" x14ac:dyDescent="0.25">
      <c r="A4935" s="131" t="s">
        <v>17574</v>
      </c>
      <c r="B4935" t="s">
        <v>27756</v>
      </c>
      <c r="C4935">
        <v>1.1000000000000001</v>
      </c>
      <c r="D4935" t="s">
        <v>23629</v>
      </c>
      <c r="E4935" t="s">
        <v>23632</v>
      </c>
    </row>
    <row r="4936" spans="1:5" x14ac:dyDescent="0.25">
      <c r="A4936" s="130" t="s">
        <v>17574</v>
      </c>
      <c r="B4936" t="s">
        <v>27757</v>
      </c>
      <c r="C4936">
        <v>1</v>
      </c>
      <c r="D4936" t="s">
        <v>27758</v>
      </c>
      <c r="E4936" t="s">
        <v>23632</v>
      </c>
    </row>
    <row r="4937" spans="1:5" x14ac:dyDescent="0.25">
      <c r="A4937" s="131" t="s">
        <v>17574</v>
      </c>
      <c r="B4937" t="s">
        <v>27759</v>
      </c>
      <c r="C4937">
        <v>1</v>
      </c>
      <c r="D4937" t="s">
        <v>23629</v>
      </c>
      <c r="E4937" t="s">
        <v>23632</v>
      </c>
    </row>
    <row r="4938" spans="1:5" x14ac:dyDescent="0.25">
      <c r="A4938" s="130" t="s">
        <v>17574</v>
      </c>
      <c r="B4938" t="s">
        <v>27760</v>
      </c>
      <c r="C4938">
        <v>1</v>
      </c>
      <c r="D4938" t="s">
        <v>23629</v>
      </c>
      <c r="E4938" t="s">
        <v>23632</v>
      </c>
    </row>
    <row r="4939" spans="1:5" x14ac:dyDescent="0.25">
      <c r="A4939" s="130" t="str">
        <f>LEFT(B4939,1)</f>
        <v>S</v>
      </c>
      <c r="B4939" t="s">
        <v>29154</v>
      </c>
      <c r="C4939">
        <v>1</v>
      </c>
      <c r="D4939" t="s">
        <v>23629</v>
      </c>
      <c r="E4939" t="s">
        <v>23632</v>
      </c>
    </row>
    <row r="4940" spans="1:5" x14ac:dyDescent="0.25">
      <c r="A4940" s="131" t="s">
        <v>17574</v>
      </c>
      <c r="B4940" t="s">
        <v>27761</v>
      </c>
      <c r="C4940">
        <v>1</v>
      </c>
      <c r="D4940" t="s">
        <v>23629</v>
      </c>
      <c r="E4940" t="s">
        <v>23881</v>
      </c>
    </row>
    <row r="4941" spans="1:5" x14ac:dyDescent="0.25">
      <c r="A4941" s="130" t="s">
        <v>17574</v>
      </c>
      <c r="B4941" t="s">
        <v>27762</v>
      </c>
      <c r="C4941">
        <v>1.1000000000000001</v>
      </c>
      <c r="D4941" t="s">
        <v>23629</v>
      </c>
      <c r="E4941" t="s">
        <v>23632</v>
      </c>
    </row>
    <row r="4942" spans="1:5" x14ac:dyDescent="0.25">
      <c r="A4942" s="131" t="s">
        <v>17574</v>
      </c>
      <c r="B4942" t="s">
        <v>27763</v>
      </c>
      <c r="C4942">
        <v>1</v>
      </c>
      <c r="D4942" t="s">
        <v>23629</v>
      </c>
      <c r="E4942" t="s">
        <v>23632</v>
      </c>
    </row>
    <row r="4943" spans="1:5" x14ac:dyDescent="0.25">
      <c r="A4943" s="131" t="s">
        <v>17574</v>
      </c>
      <c r="B4943" t="s">
        <v>27764</v>
      </c>
      <c r="C4943">
        <v>1</v>
      </c>
      <c r="D4943" t="s">
        <v>23629</v>
      </c>
      <c r="E4943" t="s">
        <v>23632</v>
      </c>
    </row>
    <row r="4944" spans="1:5" x14ac:dyDescent="0.25">
      <c r="A4944" s="130" t="s">
        <v>17574</v>
      </c>
      <c r="B4944" t="s">
        <v>27765</v>
      </c>
      <c r="C4944">
        <v>1</v>
      </c>
      <c r="D4944" t="s">
        <v>23629</v>
      </c>
      <c r="E4944" t="s">
        <v>23632</v>
      </c>
    </row>
    <row r="4945" spans="1:5" x14ac:dyDescent="0.25">
      <c r="A4945" s="131" t="s">
        <v>17574</v>
      </c>
      <c r="B4945" t="s">
        <v>27766</v>
      </c>
      <c r="C4945">
        <v>1</v>
      </c>
      <c r="D4945" t="s">
        <v>23629</v>
      </c>
      <c r="E4945" t="s">
        <v>23632</v>
      </c>
    </row>
    <row r="4946" spans="1:5" x14ac:dyDescent="0.25">
      <c r="A4946" s="130" t="s">
        <v>17574</v>
      </c>
      <c r="B4946" t="s">
        <v>27767</v>
      </c>
      <c r="C4946">
        <v>1</v>
      </c>
      <c r="D4946" t="s">
        <v>23629</v>
      </c>
      <c r="E4946" t="s">
        <v>23632</v>
      </c>
    </row>
    <row r="4947" spans="1:5" x14ac:dyDescent="0.25">
      <c r="A4947" s="130" t="str">
        <f>LEFT(B4947,1)</f>
        <v>S</v>
      </c>
      <c r="B4947" t="s">
        <v>28897</v>
      </c>
      <c r="C4947">
        <v>1</v>
      </c>
      <c r="D4947" t="s">
        <v>23629</v>
      </c>
      <c r="E4947" t="s">
        <v>23632</v>
      </c>
    </row>
    <row r="4948" spans="1:5" x14ac:dyDescent="0.25">
      <c r="A4948" s="131" t="s">
        <v>17574</v>
      </c>
      <c r="B4948" t="s">
        <v>27768</v>
      </c>
      <c r="C4948">
        <v>1</v>
      </c>
      <c r="D4948" t="s">
        <v>23629</v>
      </c>
      <c r="E4948" t="s">
        <v>23632</v>
      </c>
    </row>
    <row r="4949" spans="1:5" x14ac:dyDescent="0.25">
      <c r="A4949" s="130" t="s">
        <v>17574</v>
      </c>
      <c r="B4949" t="s">
        <v>27769</v>
      </c>
      <c r="C4949">
        <v>1</v>
      </c>
      <c r="D4949" t="s">
        <v>23629</v>
      </c>
      <c r="E4949" t="s">
        <v>23632</v>
      </c>
    </row>
    <row r="4950" spans="1:5" x14ac:dyDescent="0.25">
      <c r="A4950" s="130" t="str">
        <f>LEFT(B4950,1)</f>
        <v>S</v>
      </c>
      <c r="B4950" t="s">
        <v>27879</v>
      </c>
      <c r="C4950">
        <v>1</v>
      </c>
      <c r="D4950" t="s">
        <v>23629</v>
      </c>
      <c r="E4950" t="s">
        <v>23632</v>
      </c>
    </row>
    <row r="4951" spans="1:5" x14ac:dyDescent="0.25">
      <c r="A4951" s="131" t="s">
        <v>17574</v>
      </c>
      <c r="B4951" t="s">
        <v>27770</v>
      </c>
      <c r="C4951">
        <v>1</v>
      </c>
      <c r="D4951" t="s">
        <v>23629</v>
      </c>
      <c r="E4951" t="s">
        <v>23632</v>
      </c>
    </row>
    <row r="4952" spans="1:5" x14ac:dyDescent="0.25">
      <c r="A4952" s="130" t="s">
        <v>17574</v>
      </c>
      <c r="B4952" t="s">
        <v>27771</v>
      </c>
      <c r="C4952">
        <v>1</v>
      </c>
      <c r="D4952" t="s">
        <v>23629</v>
      </c>
      <c r="E4952" t="s">
        <v>23632</v>
      </c>
    </row>
    <row r="4953" spans="1:5" x14ac:dyDescent="0.25">
      <c r="A4953" s="130" t="str">
        <f>LEFT(B4953,1)</f>
        <v>S</v>
      </c>
      <c r="B4953" t="s">
        <v>28618</v>
      </c>
      <c r="C4953">
        <v>1</v>
      </c>
      <c r="D4953" t="s">
        <v>23629</v>
      </c>
      <c r="E4953" t="s">
        <v>23632</v>
      </c>
    </row>
    <row r="4954" spans="1:5" x14ac:dyDescent="0.25">
      <c r="A4954" s="131" t="s">
        <v>17574</v>
      </c>
      <c r="B4954" t="s">
        <v>27772</v>
      </c>
      <c r="C4954">
        <v>1</v>
      </c>
      <c r="D4954" t="s">
        <v>23629</v>
      </c>
      <c r="E4954" t="s">
        <v>23632</v>
      </c>
    </row>
    <row r="4955" spans="1:5" x14ac:dyDescent="0.25">
      <c r="A4955" s="130" t="s">
        <v>17574</v>
      </c>
      <c r="B4955" t="s">
        <v>27773</v>
      </c>
      <c r="C4955">
        <v>1</v>
      </c>
      <c r="D4955" t="s">
        <v>23629</v>
      </c>
      <c r="E4955" t="s">
        <v>23632</v>
      </c>
    </row>
    <row r="4956" spans="1:5" x14ac:dyDescent="0.25">
      <c r="A4956" s="131" t="s">
        <v>17574</v>
      </c>
      <c r="B4956" t="s">
        <v>27774</v>
      </c>
      <c r="C4956">
        <v>1</v>
      </c>
      <c r="D4956" t="s">
        <v>23629</v>
      </c>
      <c r="E4956" t="s">
        <v>23632</v>
      </c>
    </row>
    <row r="4957" spans="1:5" x14ac:dyDescent="0.25">
      <c r="A4957" s="131" t="s">
        <v>17574</v>
      </c>
      <c r="B4957" t="s">
        <v>27775</v>
      </c>
      <c r="C4957">
        <v>1</v>
      </c>
      <c r="D4957" t="s">
        <v>23629</v>
      </c>
      <c r="E4957" t="s">
        <v>23632</v>
      </c>
    </row>
    <row r="4958" spans="1:5" x14ac:dyDescent="0.25">
      <c r="A4958" s="130" t="s">
        <v>17574</v>
      </c>
      <c r="B4958" t="s">
        <v>27776</v>
      </c>
      <c r="C4958">
        <v>1</v>
      </c>
      <c r="D4958" t="s">
        <v>23629</v>
      </c>
      <c r="E4958" t="s">
        <v>23632</v>
      </c>
    </row>
    <row r="4959" spans="1:5" x14ac:dyDescent="0.25">
      <c r="A4959" s="130" t="str">
        <f>LEFT(B4959,1)</f>
        <v>S</v>
      </c>
      <c r="B4959" t="s">
        <v>27897</v>
      </c>
      <c r="C4959">
        <v>1</v>
      </c>
      <c r="D4959" t="s">
        <v>23629</v>
      </c>
      <c r="E4959" t="s">
        <v>23632</v>
      </c>
    </row>
    <row r="4960" spans="1:5" x14ac:dyDescent="0.25">
      <c r="A4960" s="131" t="s">
        <v>17574</v>
      </c>
      <c r="B4960" t="s">
        <v>27777</v>
      </c>
      <c r="C4960">
        <v>1</v>
      </c>
      <c r="D4960" t="s">
        <v>23629</v>
      </c>
      <c r="E4960" t="s">
        <v>23632</v>
      </c>
    </row>
    <row r="4961" spans="1:5" x14ac:dyDescent="0.25">
      <c r="A4961" s="130" t="str">
        <f>LEFT(B4961,1)</f>
        <v>S</v>
      </c>
      <c r="B4961" t="s">
        <v>28619</v>
      </c>
      <c r="C4961">
        <v>1</v>
      </c>
      <c r="D4961" t="s">
        <v>23629</v>
      </c>
      <c r="E4961" t="s">
        <v>23632</v>
      </c>
    </row>
    <row r="4962" spans="1:5" x14ac:dyDescent="0.25">
      <c r="A4962" s="130" t="s">
        <v>17574</v>
      </c>
      <c r="B4962" t="s">
        <v>27778</v>
      </c>
      <c r="C4962">
        <v>1</v>
      </c>
      <c r="D4962" t="s">
        <v>23629</v>
      </c>
      <c r="E4962" t="s">
        <v>23632</v>
      </c>
    </row>
    <row r="4963" spans="1:5" x14ac:dyDescent="0.25">
      <c r="A4963" s="130" t="s">
        <v>17574</v>
      </c>
      <c r="B4963" t="s">
        <v>27779</v>
      </c>
      <c r="C4963">
        <v>1</v>
      </c>
      <c r="D4963" t="s">
        <v>23629</v>
      </c>
      <c r="E4963" t="s">
        <v>23632</v>
      </c>
    </row>
    <row r="4964" spans="1:5" x14ac:dyDescent="0.25">
      <c r="A4964" s="130" t="str">
        <f>LEFT(B4964,1)</f>
        <v>S</v>
      </c>
      <c r="B4964" t="s">
        <v>29155</v>
      </c>
      <c r="C4964">
        <v>1</v>
      </c>
      <c r="D4964" t="s">
        <v>23629</v>
      </c>
      <c r="E4964" t="s">
        <v>23632</v>
      </c>
    </row>
    <row r="4965" spans="1:5" x14ac:dyDescent="0.25">
      <c r="A4965" s="131" t="s">
        <v>17574</v>
      </c>
      <c r="B4965" t="s">
        <v>27780</v>
      </c>
      <c r="C4965">
        <v>1</v>
      </c>
      <c r="D4965" t="s">
        <v>23629</v>
      </c>
      <c r="E4965" t="s">
        <v>23632</v>
      </c>
    </row>
    <row r="4966" spans="1:5" x14ac:dyDescent="0.25">
      <c r="A4966" s="130" t="s">
        <v>17574</v>
      </c>
      <c r="B4966" t="s">
        <v>27781</v>
      </c>
      <c r="C4966">
        <v>1</v>
      </c>
      <c r="D4966" t="s">
        <v>23629</v>
      </c>
      <c r="E4966" t="s">
        <v>23632</v>
      </c>
    </row>
    <row r="4967" spans="1:5" x14ac:dyDescent="0.25">
      <c r="A4967" s="131" t="s">
        <v>17574</v>
      </c>
      <c r="B4967" t="s">
        <v>27782</v>
      </c>
      <c r="C4967">
        <v>1</v>
      </c>
      <c r="D4967" t="s">
        <v>23629</v>
      </c>
      <c r="E4967" t="s">
        <v>23632</v>
      </c>
    </row>
    <row r="4968" spans="1:5" x14ac:dyDescent="0.25">
      <c r="A4968" s="130" t="s">
        <v>17574</v>
      </c>
      <c r="B4968" t="s">
        <v>27783</v>
      </c>
      <c r="C4968">
        <v>1</v>
      </c>
      <c r="D4968" t="s">
        <v>23629</v>
      </c>
      <c r="E4968" t="s">
        <v>23632</v>
      </c>
    </row>
    <row r="4969" spans="1:5" x14ac:dyDescent="0.25">
      <c r="A4969" s="130" t="s">
        <v>17574</v>
      </c>
      <c r="B4969" t="s">
        <v>27784</v>
      </c>
      <c r="C4969">
        <v>1</v>
      </c>
      <c r="D4969" t="s">
        <v>23629</v>
      </c>
      <c r="E4969" t="s">
        <v>23632</v>
      </c>
    </row>
    <row r="4970" spans="1:5" x14ac:dyDescent="0.25">
      <c r="A4970" s="131" t="s">
        <v>17574</v>
      </c>
      <c r="B4970" t="s">
        <v>27785</v>
      </c>
      <c r="C4970">
        <v>1</v>
      </c>
      <c r="D4970" t="s">
        <v>23629</v>
      </c>
      <c r="E4970" t="s">
        <v>23632</v>
      </c>
    </row>
    <row r="4971" spans="1:5" x14ac:dyDescent="0.25">
      <c r="A4971" s="130" t="s">
        <v>17574</v>
      </c>
      <c r="B4971" t="s">
        <v>27786</v>
      </c>
      <c r="C4971">
        <v>1</v>
      </c>
      <c r="D4971" t="s">
        <v>23629</v>
      </c>
      <c r="E4971" t="s">
        <v>23632</v>
      </c>
    </row>
    <row r="4972" spans="1:5" x14ac:dyDescent="0.25">
      <c r="A4972" s="130" t="str">
        <f>LEFT(B4972,1)</f>
        <v>S</v>
      </c>
      <c r="B4972" t="s">
        <v>28620</v>
      </c>
      <c r="C4972">
        <v>1</v>
      </c>
      <c r="D4972" t="s">
        <v>23629</v>
      </c>
      <c r="E4972" t="s">
        <v>23632</v>
      </c>
    </row>
    <row r="4973" spans="1:5" x14ac:dyDescent="0.25">
      <c r="A4973" s="131" t="s">
        <v>17574</v>
      </c>
      <c r="B4973" t="s">
        <v>27787</v>
      </c>
      <c r="C4973">
        <v>1</v>
      </c>
      <c r="D4973" t="s">
        <v>23629</v>
      </c>
      <c r="E4973" t="s">
        <v>23632</v>
      </c>
    </row>
    <row r="4974" spans="1:5" x14ac:dyDescent="0.25">
      <c r="A4974" s="130" t="s">
        <v>17574</v>
      </c>
      <c r="B4974" t="s">
        <v>27788</v>
      </c>
      <c r="C4974">
        <v>1.2</v>
      </c>
      <c r="D4974" t="s">
        <v>23629</v>
      </c>
      <c r="E4974" t="s">
        <v>23632</v>
      </c>
    </row>
    <row r="4975" spans="1:5" x14ac:dyDescent="0.25">
      <c r="A4975" s="131" t="s">
        <v>17574</v>
      </c>
      <c r="B4975" t="s">
        <v>27789</v>
      </c>
      <c r="C4975">
        <v>1</v>
      </c>
      <c r="D4975" t="s">
        <v>23629</v>
      </c>
      <c r="E4975" t="s">
        <v>23632</v>
      </c>
    </row>
    <row r="4976" spans="1:5" x14ac:dyDescent="0.25">
      <c r="A4976" s="131" t="s">
        <v>17574</v>
      </c>
      <c r="B4976" t="s">
        <v>27790</v>
      </c>
      <c r="C4976">
        <v>1</v>
      </c>
      <c r="D4976" t="s">
        <v>23629</v>
      </c>
      <c r="E4976" t="s">
        <v>23632</v>
      </c>
    </row>
    <row r="4977" spans="1:5" x14ac:dyDescent="0.25">
      <c r="A4977" s="130" t="s">
        <v>17574</v>
      </c>
      <c r="B4977" t="s">
        <v>27791</v>
      </c>
      <c r="C4977">
        <v>1.21</v>
      </c>
      <c r="D4977" t="s">
        <v>23629</v>
      </c>
      <c r="E4977" t="s">
        <v>23632</v>
      </c>
    </row>
    <row r="4978" spans="1:5" x14ac:dyDescent="0.25">
      <c r="A4978" s="131" t="str">
        <f>LEFT((B4978),1)</f>
        <v>S</v>
      </c>
      <c r="B4978" t="s">
        <v>27792</v>
      </c>
      <c r="C4978">
        <v>1</v>
      </c>
      <c r="D4978" t="s">
        <v>23629</v>
      </c>
      <c r="E4978" t="s">
        <v>23632</v>
      </c>
    </row>
    <row r="4979" spans="1:5" x14ac:dyDescent="0.25">
      <c r="A4979" s="131" t="s">
        <v>17574</v>
      </c>
      <c r="B4979" t="s">
        <v>27793</v>
      </c>
      <c r="C4979">
        <v>1</v>
      </c>
      <c r="D4979" t="s">
        <v>23629</v>
      </c>
      <c r="E4979" t="s">
        <v>23632</v>
      </c>
    </row>
    <row r="4980" spans="1:5" x14ac:dyDescent="0.25">
      <c r="A4980" s="131" t="str">
        <f>LEFT(B4980,1)</f>
        <v>S</v>
      </c>
      <c r="B4980" t="s">
        <v>27898</v>
      </c>
      <c r="C4980">
        <v>1</v>
      </c>
      <c r="D4980" t="s">
        <v>23629</v>
      </c>
      <c r="E4980" t="s">
        <v>23632</v>
      </c>
    </row>
    <row r="4981" spans="1:5" x14ac:dyDescent="0.25">
      <c r="A4981" s="130" t="s">
        <v>17574</v>
      </c>
      <c r="B4981" t="s">
        <v>27794</v>
      </c>
      <c r="C4981">
        <v>1</v>
      </c>
      <c r="D4981" t="s">
        <v>23629</v>
      </c>
      <c r="E4981" t="s">
        <v>23632</v>
      </c>
    </row>
    <row r="4982" spans="1:5" x14ac:dyDescent="0.25">
      <c r="A4982" s="130" t="str">
        <f>LEFT(B4982,1)</f>
        <v>S</v>
      </c>
      <c r="B4982" t="s">
        <v>27871</v>
      </c>
      <c r="C4982">
        <v>1</v>
      </c>
      <c r="D4982" t="s">
        <v>23629</v>
      </c>
      <c r="E4982" t="s">
        <v>23632</v>
      </c>
    </row>
    <row r="4983" spans="1:5" x14ac:dyDescent="0.25">
      <c r="A4983" s="130" t="str">
        <f>LEFT(B4983,1)</f>
        <v>S</v>
      </c>
      <c r="B4983" t="s">
        <v>27899</v>
      </c>
      <c r="C4983">
        <v>1</v>
      </c>
      <c r="D4983" t="s">
        <v>23629</v>
      </c>
      <c r="E4983" t="s">
        <v>23632</v>
      </c>
    </row>
    <row r="4984" spans="1:5" x14ac:dyDescent="0.25">
      <c r="A4984" s="130" t="str">
        <f>LEFT(B4984,1)</f>
        <v>S</v>
      </c>
      <c r="B4984" t="s">
        <v>27880</v>
      </c>
      <c r="C4984">
        <v>1</v>
      </c>
      <c r="D4984" t="s">
        <v>23629</v>
      </c>
      <c r="E4984" t="s">
        <v>23632</v>
      </c>
    </row>
    <row r="4985" spans="1:5" x14ac:dyDescent="0.25">
      <c r="A4985" s="131" t="s">
        <v>17574</v>
      </c>
      <c r="B4985" t="s">
        <v>27795</v>
      </c>
      <c r="C4985">
        <v>1</v>
      </c>
      <c r="D4985" t="s">
        <v>23629</v>
      </c>
      <c r="E4985" t="s">
        <v>23632</v>
      </c>
    </row>
    <row r="4986" spans="1:5" x14ac:dyDescent="0.25">
      <c r="A4986" s="130" t="s">
        <v>17574</v>
      </c>
      <c r="B4986" t="s">
        <v>27796</v>
      </c>
      <c r="C4986">
        <v>1</v>
      </c>
      <c r="D4986" t="s">
        <v>23629</v>
      </c>
      <c r="E4986" t="s">
        <v>23632</v>
      </c>
    </row>
    <row r="4987" spans="1:5" x14ac:dyDescent="0.25">
      <c r="A4987" s="130" t="str">
        <f>LEFT((B4987),1)</f>
        <v>S</v>
      </c>
      <c r="B4987" t="s">
        <v>27797</v>
      </c>
      <c r="C4987">
        <v>1</v>
      </c>
      <c r="D4987" t="s">
        <v>23629</v>
      </c>
      <c r="E4987" t="s">
        <v>23632</v>
      </c>
    </row>
    <row r="4988" spans="1:5" x14ac:dyDescent="0.25">
      <c r="A4988" s="131" t="s">
        <v>17574</v>
      </c>
      <c r="B4988" t="s">
        <v>27798</v>
      </c>
      <c r="C4988">
        <v>1</v>
      </c>
      <c r="D4988" t="s">
        <v>23629</v>
      </c>
      <c r="E4988" t="s">
        <v>23632</v>
      </c>
    </row>
    <row r="4989" spans="1:5" x14ac:dyDescent="0.25">
      <c r="A4989" s="130" t="s">
        <v>17574</v>
      </c>
      <c r="B4989" t="s">
        <v>27799</v>
      </c>
      <c r="C4989">
        <v>1</v>
      </c>
      <c r="D4989" t="s">
        <v>23629</v>
      </c>
      <c r="E4989" t="s">
        <v>23632</v>
      </c>
    </row>
    <row r="4990" spans="1:5" x14ac:dyDescent="0.25">
      <c r="A4990" s="131" t="s">
        <v>17574</v>
      </c>
      <c r="B4990" t="s">
        <v>27800</v>
      </c>
      <c r="C4990">
        <v>1</v>
      </c>
      <c r="D4990" t="s">
        <v>23629</v>
      </c>
      <c r="E4990" t="s">
        <v>23632</v>
      </c>
    </row>
    <row r="4991" spans="1:5" x14ac:dyDescent="0.25">
      <c r="A4991" s="131" t="str">
        <f>LEFT(B4991,1)</f>
        <v>S</v>
      </c>
      <c r="B4991" t="s">
        <v>27872</v>
      </c>
      <c r="C4991">
        <v>1</v>
      </c>
      <c r="D4991" t="s">
        <v>23629</v>
      </c>
      <c r="E4991" t="s">
        <v>23632</v>
      </c>
    </row>
    <row r="4992" spans="1:5" x14ac:dyDescent="0.25">
      <c r="A4992" s="130" t="s">
        <v>17574</v>
      </c>
      <c r="B4992" t="s">
        <v>27801</v>
      </c>
      <c r="C4992">
        <v>1</v>
      </c>
      <c r="D4992" t="s">
        <v>23629</v>
      </c>
      <c r="E4992" t="s">
        <v>23632</v>
      </c>
    </row>
    <row r="4993" spans="1:5" x14ac:dyDescent="0.25">
      <c r="A4993" s="131" t="s">
        <v>17574</v>
      </c>
      <c r="B4993" t="s">
        <v>27802</v>
      </c>
      <c r="C4993">
        <v>1</v>
      </c>
      <c r="D4993" t="s">
        <v>23629</v>
      </c>
      <c r="E4993" t="s">
        <v>23632</v>
      </c>
    </row>
    <row r="4994" spans="1:5" x14ac:dyDescent="0.25">
      <c r="A4994" s="130" t="s">
        <v>17574</v>
      </c>
      <c r="B4994" t="s">
        <v>27803</v>
      </c>
      <c r="C4994">
        <v>1</v>
      </c>
      <c r="D4994" t="s">
        <v>23629</v>
      </c>
      <c r="E4994" t="s">
        <v>23632</v>
      </c>
    </row>
    <row r="4995" spans="1:5" x14ac:dyDescent="0.25">
      <c r="A4995" s="131" t="s">
        <v>17574</v>
      </c>
      <c r="B4995" t="s">
        <v>27804</v>
      </c>
      <c r="C4995">
        <v>1</v>
      </c>
      <c r="D4995" t="s">
        <v>23629</v>
      </c>
      <c r="E4995" t="s">
        <v>23632</v>
      </c>
    </row>
    <row r="4996" spans="1:5" x14ac:dyDescent="0.25">
      <c r="A4996" s="131" t="str">
        <f>LEFT((B4996),1)</f>
        <v>S</v>
      </c>
      <c r="B4996" t="s">
        <v>27805</v>
      </c>
      <c r="C4996">
        <v>1</v>
      </c>
      <c r="D4996" t="s">
        <v>23629</v>
      </c>
      <c r="E4996" t="s">
        <v>23632</v>
      </c>
    </row>
    <row r="4997" spans="1:5" x14ac:dyDescent="0.25">
      <c r="A4997" s="130" t="str">
        <f>LEFT(B4997,1)</f>
        <v>S</v>
      </c>
      <c r="B4997" t="s">
        <v>28621</v>
      </c>
      <c r="C4997">
        <v>1</v>
      </c>
      <c r="D4997" t="s">
        <v>23629</v>
      </c>
      <c r="E4997" t="s">
        <v>23632</v>
      </c>
    </row>
    <row r="4998" spans="1:5" x14ac:dyDescent="0.25">
      <c r="A4998" s="130" t="s">
        <v>17574</v>
      </c>
      <c r="B4998" t="s">
        <v>27806</v>
      </c>
      <c r="C4998">
        <v>1</v>
      </c>
      <c r="D4998" t="s">
        <v>23629</v>
      </c>
      <c r="E4998" t="s">
        <v>23632</v>
      </c>
    </row>
    <row r="4999" spans="1:5" x14ac:dyDescent="0.25">
      <c r="A4999" s="130" t="str">
        <f>LEFT(B4999,1)</f>
        <v>S</v>
      </c>
      <c r="B4999" t="s">
        <v>28622</v>
      </c>
      <c r="C4999">
        <v>1</v>
      </c>
      <c r="D4999" t="s">
        <v>23629</v>
      </c>
      <c r="E4999" t="s">
        <v>23632</v>
      </c>
    </row>
    <row r="5000" spans="1:5" x14ac:dyDescent="0.25">
      <c r="A5000" s="131" t="s">
        <v>17574</v>
      </c>
      <c r="B5000" t="s">
        <v>27807</v>
      </c>
      <c r="C5000">
        <v>1</v>
      </c>
      <c r="D5000" t="s">
        <v>23629</v>
      </c>
      <c r="E5000" t="s">
        <v>23632</v>
      </c>
    </row>
    <row r="5001" spans="1:5" x14ac:dyDescent="0.25">
      <c r="A5001" s="130" t="s">
        <v>17574</v>
      </c>
      <c r="B5001" t="s">
        <v>27808</v>
      </c>
      <c r="C5001">
        <v>1</v>
      </c>
      <c r="D5001" t="s">
        <v>23629</v>
      </c>
      <c r="E5001" t="s">
        <v>23632</v>
      </c>
    </row>
    <row r="5002" spans="1:5" x14ac:dyDescent="0.25">
      <c r="A5002" s="130" t="str">
        <f>LEFT(B5002,1)</f>
        <v>S</v>
      </c>
      <c r="B5002" t="s">
        <v>29276</v>
      </c>
      <c r="C5002">
        <v>1</v>
      </c>
      <c r="D5002" t="s">
        <v>23629</v>
      </c>
      <c r="E5002" t="s">
        <v>23632</v>
      </c>
    </row>
    <row r="5003" spans="1:5" x14ac:dyDescent="0.25">
      <c r="A5003" s="131" t="s">
        <v>17574</v>
      </c>
      <c r="B5003" t="s">
        <v>27809</v>
      </c>
      <c r="C5003">
        <v>1</v>
      </c>
      <c r="D5003" t="s">
        <v>23629</v>
      </c>
      <c r="E5003" t="s">
        <v>23632</v>
      </c>
    </row>
    <row r="5004" spans="1:5" x14ac:dyDescent="0.25">
      <c r="A5004" s="131" t="str">
        <f>LEFT(B5004,1)</f>
        <v>S</v>
      </c>
      <c r="B5004" t="s">
        <v>27900</v>
      </c>
      <c r="C5004">
        <v>1</v>
      </c>
      <c r="D5004" t="s">
        <v>23629</v>
      </c>
      <c r="E5004" t="s">
        <v>23632</v>
      </c>
    </row>
    <row r="5005" spans="1:5" x14ac:dyDescent="0.25">
      <c r="A5005" s="130" t="s">
        <v>17574</v>
      </c>
      <c r="B5005" t="s">
        <v>27810</v>
      </c>
      <c r="C5005">
        <v>1</v>
      </c>
      <c r="D5005" t="s">
        <v>23629</v>
      </c>
      <c r="E5005" t="s">
        <v>23632</v>
      </c>
    </row>
    <row r="5006" spans="1:5" x14ac:dyDescent="0.25">
      <c r="A5006" s="130" t="str">
        <f>LEFT(B5006,1)</f>
        <v>S</v>
      </c>
      <c r="B5006" t="s">
        <v>27881</v>
      </c>
      <c r="C5006">
        <v>1</v>
      </c>
      <c r="D5006" t="s">
        <v>23629</v>
      </c>
      <c r="E5006" t="s">
        <v>23632</v>
      </c>
    </row>
    <row r="5007" spans="1:5" x14ac:dyDescent="0.25">
      <c r="A5007" s="131" t="s">
        <v>17574</v>
      </c>
      <c r="B5007" t="s">
        <v>27811</v>
      </c>
      <c r="C5007">
        <v>1</v>
      </c>
      <c r="D5007" t="s">
        <v>23629</v>
      </c>
      <c r="E5007" t="s">
        <v>23632</v>
      </c>
    </row>
    <row r="5008" spans="1:5" x14ac:dyDescent="0.25">
      <c r="A5008" s="130" t="s">
        <v>17574</v>
      </c>
      <c r="B5008" t="s">
        <v>27812</v>
      </c>
      <c r="C5008">
        <v>1</v>
      </c>
      <c r="D5008" t="s">
        <v>23629</v>
      </c>
      <c r="E5008" t="s">
        <v>23632</v>
      </c>
    </row>
    <row r="5009" spans="1:5" x14ac:dyDescent="0.25">
      <c r="A5009" s="131" t="s">
        <v>17574</v>
      </c>
      <c r="B5009" t="s">
        <v>27813</v>
      </c>
      <c r="C5009">
        <v>1</v>
      </c>
      <c r="D5009" t="s">
        <v>23629</v>
      </c>
      <c r="E5009" t="s">
        <v>23632</v>
      </c>
    </row>
    <row r="5010" spans="1:5" x14ac:dyDescent="0.25">
      <c r="A5010" s="131" t="s">
        <v>17574</v>
      </c>
      <c r="B5010" t="s">
        <v>27814</v>
      </c>
      <c r="C5010">
        <v>1</v>
      </c>
      <c r="D5010" t="s">
        <v>23629</v>
      </c>
      <c r="E5010" t="s">
        <v>23632</v>
      </c>
    </row>
    <row r="5011" spans="1:5" x14ac:dyDescent="0.25">
      <c r="A5011" s="130" t="str">
        <f>LEFT(B5011,1)</f>
        <v>S</v>
      </c>
      <c r="B5011" t="s">
        <v>27882</v>
      </c>
      <c r="C5011">
        <v>1</v>
      </c>
      <c r="D5011" t="s">
        <v>23629</v>
      </c>
      <c r="E5011" t="s">
        <v>23632</v>
      </c>
    </row>
    <row r="5012" spans="1:5" x14ac:dyDescent="0.25">
      <c r="A5012" s="130" t="s">
        <v>17574</v>
      </c>
      <c r="B5012" t="s">
        <v>27815</v>
      </c>
      <c r="C5012">
        <v>1</v>
      </c>
      <c r="D5012" t="s">
        <v>23629</v>
      </c>
      <c r="E5012" t="s">
        <v>23632</v>
      </c>
    </row>
    <row r="5013" spans="1:5" x14ac:dyDescent="0.25">
      <c r="A5013" s="130" t="str">
        <f>LEFT(B5013,1)</f>
        <v>S</v>
      </c>
      <c r="B5013" t="s">
        <v>27883</v>
      </c>
      <c r="C5013">
        <v>1</v>
      </c>
      <c r="D5013" t="s">
        <v>23629</v>
      </c>
      <c r="E5013" t="s">
        <v>23632</v>
      </c>
    </row>
    <row r="5014" spans="1:5" x14ac:dyDescent="0.25">
      <c r="A5014" s="130" t="s">
        <v>17574</v>
      </c>
      <c r="B5014" t="s">
        <v>27816</v>
      </c>
      <c r="C5014">
        <v>1</v>
      </c>
      <c r="D5014" t="s">
        <v>23629</v>
      </c>
      <c r="E5014" t="s">
        <v>23632</v>
      </c>
    </row>
    <row r="5015" spans="1:5" x14ac:dyDescent="0.25">
      <c r="A5015" s="130" t="str">
        <f>LEFT(B5015,1)</f>
        <v>S</v>
      </c>
      <c r="B5015" t="s">
        <v>29156</v>
      </c>
      <c r="C5015">
        <v>1</v>
      </c>
      <c r="D5015" t="s">
        <v>23629</v>
      </c>
      <c r="E5015" t="s">
        <v>23632</v>
      </c>
    </row>
    <row r="5016" spans="1:5" x14ac:dyDescent="0.25">
      <c r="A5016" s="131" t="s">
        <v>17574</v>
      </c>
      <c r="B5016" t="s">
        <v>27817</v>
      </c>
      <c r="C5016">
        <v>1</v>
      </c>
      <c r="D5016" t="s">
        <v>23629</v>
      </c>
      <c r="E5016" t="s">
        <v>23881</v>
      </c>
    </row>
    <row r="5017" spans="1:5" x14ac:dyDescent="0.25">
      <c r="A5017" s="130" t="s">
        <v>17574</v>
      </c>
      <c r="B5017" t="s">
        <v>27818</v>
      </c>
      <c r="C5017">
        <v>1</v>
      </c>
      <c r="D5017" t="s">
        <v>23629</v>
      </c>
      <c r="E5017" t="s">
        <v>23632</v>
      </c>
    </row>
    <row r="5018" spans="1:5" x14ac:dyDescent="0.25">
      <c r="A5018" s="131" t="s">
        <v>17574</v>
      </c>
      <c r="B5018" t="s">
        <v>27819</v>
      </c>
      <c r="C5018">
        <v>1.18</v>
      </c>
      <c r="D5018" t="s">
        <v>28662</v>
      </c>
      <c r="E5018" t="s">
        <v>23632</v>
      </c>
    </row>
    <row r="5019" spans="1:5" x14ac:dyDescent="0.25">
      <c r="A5019" s="130" t="s">
        <v>17574</v>
      </c>
      <c r="B5019" t="s">
        <v>27820</v>
      </c>
      <c r="C5019">
        <v>1</v>
      </c>
      <c r="D5019" t="s">
        <v>23629</v>
      </c>
      <c r="E5019" t="s">
        <v>23632</v>
      </c>
    </row>
    <row r="5020" spans="1:5" x14ac:dyDescent="0.25">
      <c r="A5020" s="131" t="s">
        <v>17574</v>
      </c>
      <c r="B5020" t="s">
        <v>27821</v>
      </c>
      <c r="C5020">
        <v>1</v>
      </c>
      <c r="D5020" t="s">
        <v>23629</v>
      </c>
      <c r="E5020" t="s">
        <v>23632</v>
      </c>
    </row>
    <row r="5021" spans="1:5" x14ac:dyDescent="0.25">
      <c r="A5021" s="130" t="s">
        <v>17574</v>
      </c>
      <c r="B5021" t="s">
        <v>27822</v>
      </c>
      <c r="C5021">
        <v>1</v>
      </c>
      <c r="D5021" t="s">
        <v>23629</v>
      </c>
      <c r="E5021" t="s">
        <v>23632</v>
      </c>
    </row>
    <row r="5022" spans="1:5" x14ac:dyDescent="0.25">
      <c r="A5022" s="131" t="s">
        <v>17574</v>
      </c>
      <c r="B5022" t="s">
        <v>27823</v>
      </c>
      <c r="C5022">
        <v>1</v>
      </c>
      <c r="D5022" t="s">
        <v>23629</v>
      </c>
      <c r="E5022" t="s">
        <v>23632</v>
      </c>
    </row>
    <row r="5023" spans="1:5" x14ac:dyDescent="0.25">
      <c r="A5023" s="130" t="str">
        <f>LEFT((B5023),1)</f>
        <v>S</v>
      </c>
      <c r="B5023" t="s">
        <v>27824</v>
      </c>
      <c r="C5023">
        <v>1</v>
      </c>
      <c r="D5023" t="s">
        <v>23629</v>
      </c>
      <c r="E5023" t="s">
        <v>23632</v>
      </c>
    </row>
    <row r="5024" spans="1:5" x14ac:dyDescent="0.25">
      <c r="A5024" s="130" t="str">
        <f>LEFT(B5024,1)</f>
        <v>S</v>
      </c>
      <c r="B5024" t="s">
        <v>28623</v>
      </c>
      <c r="C5024">
        <v>1</v>
      </c>
      <c r="D5024" t="s">
        <v>23629</v>
      </c>
      <c r="E5024" t="s">
        <v>23632</v>
      </c>
    </row>
    <row r="5025" spans="1:5" x14ac:dyDescent="0.25">
      <c r="A5025" s="130" t="s">
        <v>17574</v>
      </c>
      <c r="B5025" t="s">
        <v>27825</v>
      </c>
      <c r="C5025">
        <v>1</v>
      </c>
      <c r="D5025" t="s">
        <v>23629</v>
      </c>
      <c r="E5025" t="s">
        <v>23632</v>
      </c>
    </row>
    <row r="5026" spans="1:5" x14ac:dyDescent="0.25">
      <c r="A5026" s="131" t="s">
        <v>17574</v>
      </c>
      <c r="B5026" t="s">
        <v>27826</v>
      </c>
      <c r="C5026">
        <v>1</v>
      </c>
      <c r="D5026" t="s">
        <v>23629</v>
      </c>
      <c r="E5026" t="s">
        <v>23632</v>
      </c>
    </row>
    <row r="5027" spans="1:5" x14ac:dyDescent="0.25">
      <c r="A5027" s="130" t="s">
        <v>17574</v>
      </c>
      <c r="B5027" t="s">
        <v>27827</v>
      </c>
      <c r="C5027">
        <v>1</v>
      </c>
      <c r="D5027" t="s">
        <v>23629</v>
      </c>
      <c r="E5027" t="s">
        <v>23632</v>
      </c>
    </row>
    <row r="5028" spans="1:5" x14ac:dyDescent="0.25">
      <c r="A5028" s="130" t="str">
        <f>LEFT(B5028,1)</f>
        <v>S</v>
      </c>
      <c r="B5028" t="s">
        <v>29277</v>
      </c>
      <c r="C5028">
        <v>1</v>
      </c>
      <c r="D5028" t="s">
        <v>23629</v>
      </c>
      <c r="E5028" t="s">
        <v>23632</v>
      </c>
    </row>
    <row r="5029" spans="1:5" x14ac:dyDescent="0.25">
      <c r="A5029" s="131" t="s">
        <v>17574</v>
      </c>
      <c r="B5029" t="s">
        <v>27828</v>
      </c>
      <c r="C5029">
        <v>1</v>
      </c>
      <c r="D5029" t="s">
        <v>23629</v>
      </c>
      <c r="E5029" t="s">
        <v>23632</v>
      </c>
    </row>
    <row r="5030" spans="1:5" x14ac:dyDescent="0.25">
      <c r="A5030" s="130" t="s">
        <v>17574</v>
      </c>
      <c r="B5030" t="s">
        <v>27829</v>
      </c>
      <c r="C5030">
        <v>1</v>
      </c>
      <c r="D5030" t="s">
        <v>23629</v>
      </c>
      <c r="E5030" t="s">
        <v>23632</v>
      </c>
    </row>
    <row r="5031" spans="1:5" x14ac:dyDescent="0.25">
      <c r="A5031" s="131" t="s">
        <v>17574</v>
      </c>
      <c r="B5031" t="s">
        <v>27830</v>
      </c>
      <c r="C5031">
        <v>1</v>
      </c>
      <c r="D5031" t="s">
        <v>23629</v>
      </c>
      <c r="E5031" t="s">
        <v>23632</v>
      </c>
    </row>
    <row r="5032" spans="1:5" x14ac:dyDescent="0.25">
      <c r="A5032" s="130" t="str">
        <f>LEFT(B5032,1)</f>
        <v>S</v>
      </c>
      <c r="B5032" t="s">
        <v>27901</v>
      </c>
      <c r="C5032">
        <v>1</v>
      </c>
      <c r="D5032" t="s">
        <v>23629</v>
      </c>
      <c r="E5032" t="s">
        <v>23632</v>
      </c>
    </row>
    <row r="5033" spans="1:5" x14ac:dyDescent="0.25">
      <c r="A5033" s="130" t="str">
        <f>LEFT(B5033,1)</f>
        <v>S</v>
      </c>
      <c r="B5033" t="s">
        <v>27884</v>
      </c>
      <c r="C5033">
        <v>1</v>
      </c>
      <c r="D5033" t="s">
        <v>23629</v>
      </c>
      <c r="E5033" t="s">
        <v>23632</v>
      </c>
    </row>
    <row r="5034" spans="1:5" x14ac:dyDescent="0.25">
      <c r="A5034" s="130" t="s">
        <v>17574</v>
      </c>
      <c r="B5034" t="s">
        <v>27831</v>
      </c>
      <c r="C5034">
        <v>1</v>
      </c>
      <c r="D5034" t="s">
        <v>23629</v>
      </c>
      <c r="E5034" t="s">
        <v>23632</v>
      </c>
    </row>
    <row r="5035" spans="1:5" x14ac:dyDescent="0.25">
      <c r="A5035" s="130" t="str">
        <f>LEFT(B5035,1)</f>
        <v>S</v>
      </c>
      <c r="B5035" t="s">
        <v>27885</v>
      </c>
      <c r="C5035">
        <v>1</v>
      </c>
      <c r="D5035" t="s">
        <v>23629</v>
      </c>
      <c r="E5035" t="s">
        <v>23632</v>
      </c>
    </row>
    <row r="5036" spans="1:5" x14ac:dyDescent="0.25">
      <c r="A5036" s="130" t="str">
        <f>LEFT(B5036,1)</f>
        <v>S</v>
      </c>
      <c r="B5036" t="s">
        <v>28898</v>
      </c>
      <c r="C5036">
        <v>1</v>
      </c>
      <c r="D5036" t="s">
        <v>23629</v>
      </c>
      <c r="E5036" t="s">
        <v>23632</v>
      </c>
    </row>
    <row r="5037" spans="1:5" x14ac:dyDescent="0.25">
      <c r="A5037" s="131" t="s">
        <v>17574</v>
      </c>
      <c r="B5037" t="s">
        <v>27832</v>
      </c>
      <c r="C5037">
        <v>1</v>
      </c>
      <c r="D5037" t="s">
        <v>23629</v>
      </c>
      <c r="E5037" t="s">
        <v>23632</v>
      </c>
    </row>
    <row r="5038" spans="1:5" x14ac:dyDescent="0.25">
      <c r="A5038" s="130" t="str">
        <f>LEFT(B5038,1)</f>
        <v>S</v>
      </c>
      <c r="B5038" t="s">
        <v>28899</v>
      </c>
      <c r="C5038">
        <v>1</v>
      </c>
      <c r="D5038" t="s">
        <v>23629</v>
      </c>
      <c r="E5038" t="s">
        <v>23632</v>
      </c>
    </row>
    <row r="5039" spans="1:5" x14ac:dyDescent="0.25">
      <c r="A5039" s="130" t="s">
        <v>17574</v>
      </c>
      <c r="B5039" t="s">
        <v>27833</v>
      </c>
      <c r="C5039">
        <v>1.1000000000000001</v>
      </c>
      <c r="D5039" t="s">
        <v>23629</v>
      </c>
      <c r="E5039" t="s">
        <v>23632</v>
      </c>
    </row>
    <row r="5040" spans="1:5" x14ac:dyDescent="0.25">
      <c r="A5040" s="131" t="s">
        <v>17574</v>
      </c>
      <c r="B5040" t="s">
        <v>27834</v>
      </c>
      <c r="C5040">
        <v>1</v>
      </c>
      <c r="D5040" t="s">
        <v>23629</v>
      </c>
      <c r="E5040" t="s">
        <v>23632</v>
      </c>
    </row>
    <row r="5041" spans="1:5" x14ac:dyDescent="0.25">
      <c r="A5041" s="130" t="s">
        <v>17574</v>
      </c>
      <c r="B5041" t="s">
        <v>27835</v>
      </c>
      <c r="C5041">
        <v>1.1499999999999999</v>
      </c>
      <c r="D5041" t="s">
        <v>23629</v>
      </c>
      <c r="E5041" t="s">
        <v>23632</v>
      </c>
    </row>
    <row r="5042" spans="1:5" x14ac:dyDescent="0.25">
      <c r="A5042" s="131" t="s">
        <v>17574</v>
      </c>
      <c r="B5042" t="s">
        <v>27836</v>
      </c>
      <c r="C5042">
        <v>1</v>
      </c>
      <c r="D5042" t="s">
        <v>23629</v>
      </c>
      <c r="E5042" t="s">
        <v>23632</v>
      </c>
    </row>
    <row r="5043" spans="1:5" x14ac:dyDescent="0.25">
      <c r="A5043" s="130" t="s">
        <v>17574</v>
      </c>
      <c r="B5043" t="s">
        <v>27837</v>
      </c>
      <c r="C5043">
        <v>1</v>
      </c>
      <c r="D5043" t="s">
        <v>23629</v>
      </c>
      <c r="E5043" t="s">
        <v>23632</v>
      </c>
    </row>
    <row r="5044" spans="1:5" x14ac:dyDescent="0.25">
      <c r="A5044" s="130" t="s">
        <v>17574</v>
      </c>
      <c r="B5044" t="s">
        <v>27838</v>
      </c>
      <c r="C5044">
        <v>1</v>
      </c>
      <c r="D5044" t="s">
        <v>23629</v>
      </c>
      <c r="E5044" t="s">
        <v>23632</v>
      </c>
    </row>
    <row r="5045" spans="1:5" x14ac:dyDescent="0.25">
      <c r="A5045" s="131" t="s">
        <v>17574</v>
      </c>
      <c r="B5045" t="s">
        <v>27839</v>
      </c>
      <c r="C5045">
        <v>1</v>
      </c>
      <c r="D5045" t="s">
        <v>23629</v>
      </c>
      <c r="E5045" t="s">
        <v>23632</v>
      </c>
    </row>
    <row r="5046" spans="1:5" x14ac:dyDescent="0.25">
      <c r="A5046" s="130" t="str">
        <f>LEFT(B5046,1)</f>
        <v>S</v>
      </c>
      <c r="B5046" t="s">
        <v>28624</v>
      </c>
      <c r="C5046">
        <v>1</v>
      </c>
      <c r="D5046" t="s">
        <v>23629</v>
      </c>
      <c r="E5046" t="s">
        <v>23632</v>
      </c>
    </row>
    <row r="5047" spans="1:5" x14ac:dyDescent="0.25">
      <c r="A5047" s="130" t="s">
        <v>17574</v>
      </c>
      <c r="B5047" t="s">
        <v>27840</v>
      </c>
      <c r="C5047">
        <v>1</v>
      </c>
      <c r="D5047" t="s">
        <v>23629</v>
      </c>
      <c r="E5047" t="s">
        <v>23632</v>
      </c>
    </row>
    <row r="5048" spans="1:5" x14ac:dyDescent="0.25">
      <c r="A5048" s="131" t="s">
        <v>17574</v>
      </c>
      <c r="B5048" t="s">
        <v>27841</v>
      </c>
      <c r="C5048">
        <v>1</v>
      </c>
      <c r="D5048" t="s">
        <v>23629</v>
      </c>
      <c r="E5048" t="s">
        <v>23632</v>
      </c>
    </row>
    <row r="5049" spans="1:5" x14ac:dyDescent="0.25">
      <c r="A5049" s="130" t="str">
        <f>LEFT(B5049,1)</f>
        <v>S</v>
      </c>
      <c r="B5049" t="s">
        <v>28625</v>
      </c>
      <c r="C5049">
        <v>1</v>
      </c>
      <c r="D5049" t="s">
        <v>23629</v>
      </c>
      <c r="E5049" t="s">
        <v>23632</v>
      </c>
    </row>
    <row r="5050" spans="1:5" x14ac:dyDescent="0.25">
      <c r="A5050" s="130" t="s">
        <v>17574</v>
      </c>
      <c r="B5050" t="s">
        <v>27842</v>
      </c>
      <c r="C5050">
        <v>1</v>
      </c>
      <c r="D5050" t="s">
        <v>23629</v>
      </c>
      <c r="E5050" t="s">
        <v>23632</v>
      </c>
    </row>
    <row r="5051" spans="1:5" x14ac:dyDescent="0.25">
      <c r="A5051" s="131" t="s">
        <v>17574</v>
      </c>
      <c r="B5051" t="s">
        <v>27843</v>
      </c>
      <c r="C5051">
        <v>1</v>
      </c>
      <c r="D5051" t="s">
        <v>23629</v>
      </c>
      <c r="E5051" t="s">
        <v>23632</v>
      </c>
    </row>
    <row r="5052" spans="1:5" x14ac:dyDescent="0.25">
      <c r="A5052" s="130" t="s">
        <v>17574</v>
      </c>
      <c r="B5052" t="s">
        <v>27844</v>
      </c>
      <c r="C5052">
        <v>1.1000000000000001</v>
      </c>
      <c r="D5052" t="s">
        <v>23629</v>
      </c>
      <c r="E5052" t="s">
        <v>23632</v>
      </c>
    </row>
    <row r="5053" spans="1:5" x14ac:dyDescent="0.25">
      <c r="A5053" s="131" t="s">
        <v>17574</v>
      </c>
      <c r="B5053" t="s">
        <v>27845</v>
      </c>
      <c r="C5053">
        <v>1</v>
      </c>
      <c r="D5053" t="s">
        <v>23629</v>
      </c>
      <c r="E5053" t="s">
        <v>23632</v>
      </c>
    </row>
    <row r="5054" spans="1:5" x14ac:dyDescent="0.25">
      <c r="A5054" s="131" t="s">
        <v>17574</v>
      </c>
      <c r="B5054" t="s">
        <v>27846</v>
      </c>
      <c r="C5054">
        <v>1</v>
      </c>
      <c r="D5054" t="s">
        <v>23629</v>
      </c>
      <c r="E5054" t="s">
        <v>23632</v>
      </c>
    </row>
    <row r="5055" spans="1:5" x14ac:dyDescent="0.25">
      <c r="A5055" s="130" t="s">
        <v>17574</v>
      </c>
      <c r="B5055" t="s">
        <v>27847</v>
      </c>
      <c r="C5055">
        <v>1</v>
      </c>
      <c r="D5055" t="s">
        <v>23629</v>
      </c>
      <c r="E5055" t="s">
        <v>23632</v>
      </c>
    </row>
    <row r="5056" spans="1:5" x14ac:dyDescent="0.25">
      <c r="A5056" s="131" t="s">
        <v>17574</v>
      </c>
      <c r="B5056" t="s">
        <v>27848</v>
      </c>
      <c r="C5056">
        <v>1</v>
      </c>
      <c r="D5056" t="s">
        <v>23629</v>
      </c>
      <c r="E5056" t="s">
        <v>23632</v>
      </c>
    </row>
    <row r="5057" spans="1:5" x14ac:dyDescent="0.25">
      <c r="A5057" s="130" t="s">
        <v>17574</v>
      </c>
      <c r="B5057" t="s">
        <v>27849</v>
      </c>
      <c r="C5057">
        <v>1</v>
      </c>
      <c r="D5057" t="s">
        <v>23629</v>
      </c>
      <c r="E5057" t="s">
        <v>23632</v>
      </c>
    </row>
    <row r="5058" spans="1:5" x14ac:dyDescent="0.25">
      <c r="A5058" s="130" t="str">
        <f>LEFT(B5058,1)</f>
        <v>S</v>
      </c>
      <c r="B5058" t="s">
        <v>27873</v>
      </c>
      <c r="C5058">
        <v>1</v>
      </c>
      <c r="D5058" t="s">
        <v>23629</v>
      </c>
      <c r="E5058" t="s">
        <v>23632</v>
      </c>
    </row>
    <row r="5059" spans="1:5" x14ac:dyDescent="0.25">
      <c r="A5059" s="130" t="s">
        <v>17574</v>
      </c>
      <c r="B5059" t="s">
        <v>27850</v>
      </c>
      <c r="C5059">
        <v>1</v>
      </c>
      <c r="D5059" t="s">
        <v>23629</v>
      </c>
      <c r="E5059" t="s">
        <v>23632</v>
      </c>
    </row>
    <row r="5060" spans="1:5" x14ac:dyDescent="0.25">
      <c r="A5060" s="130" t="str">
        <f>LEFT(B5060,1)</f>
        <v>S</v>
      </c>
      <c r="B5060" t="s">
        <v>27886</v>
      </c>
      <c r="C5060">
        <v>1</v>
      </c>
      <c r="D5060" t="s">
        <v>23629</v>
      </c>
      <c r="E5060" t="s">
        <v>23632</v>
      </c>
    </row>
    <row r="5061" spans="1:5" x14ac:dyDescent="0.25">
      <c r="A5061" s="131" t="s">
        <v>17574</v>
      </c>
      <c r="B5061" t="s">
        <v>27851</v>
      </c>
      <c r="C5061">
        <v>1</v>
      </c>
      <c r="D5061" t="s">
        <v>23629</v>
      </c>
      <c r="E5061" t="s">
        <v>23632</v>
      </c>
    </row>
    <row r="5062" spans="1:5" x14ac:dyDescent="0.25">
      <c r="A5062" s="131" t="s">
        <v>17574</v>
      </c>
      <c r="B5062" t="s">
        <v>27852</v>
      </c>
      <c r="C5062">
        <v>1</v>
      </c>
      <c r="D5062" t="s">
        <v>23629</v>
      </c>
      <c r="E5062" t="s">
        <v>23632</v>
      </c>
    </row>
    <row r="5063" spans="1:5" x14ac:dyDescent="0.25">
      <c r="A5063" s="131" t="s">
        <v>17574</v>
      </c>
      <c r="B5063" t="s">
        <v>27853</v>
      </c>
      <c r="C5063">
        <v>1</v>
      </c>
      <c r="D5063" t="s">
        <v>23629</v>
      </c>
      <c r="E5063" t="s">
        <v>23632</v>
      </c>
    </row>
    <row r="5064" spans="1:5" x14ac:dyDescent="0.25">
      <c r="A5064" s="130" t="s">
        <v>17574</v>
      </c>
      <c r="B5064" t="s">
        <v>27854</v>
      </c>
      <c r="C5064">
        <v>1</v>
      </c>
      <c r="D5064" t="s">
        <v>23629</v>
      </c>
      <c r="E5064" t="s">
        <v>23632</v>
      </c>
    </row>
    <row r="5065" spans="1:5" x14ac:dyDescent="0.25">
      <c r="A5065" s="130" t="s">
        <v>17574</v>
      </c>
      <c r="B5065" t="s">
        <v>27855</v>
      </c>
      <c r="C5065">
        <v>1</v>
      </c>
      <c r="D5065" t="s">
        <v>23629</v>
      </c>
      <c r="E5065" t="s">
        <v>23632</v>
      </c>
    </row>
    <row r="5066" spans="1:5" x14ac:dyDescent="0.25">
      <c r="A5066" s="131" t="s">
        <v>17574</v>
      </c>
      <c r="B5066" t="s">
        <v>27856</v>
      </c>
      <c r="C5066">
        <v>1</v>
      </c>
      <c r="D5066" t="s">
        <v>23629</v>
      </c>
      <c r="E5066" t="s">
        <v>23632</v>
      </c>
    </row>
    <row r="5067" spans="1:5" x14ac:dyDescent="0.25">
      <c r="A5067" s="130" t="s">
        <v>17574</v>
      </c>
      <c r="B5067" t="s">
        <v>27857</v>
      </c>
      <c r="C5067">
        <v>1</v>
      </c>
      <c r="D5067" t="s">
        <v>23629</v>
      </c>
      <c r="E5067" t="s">
        <v>23881</v>
      </c>
    </row>
    <row r="5068" spans="1:5" x14ac:dyDescent="0.25">
      <c r="A5068" s="131" t="s">
        <v>17574</v>
      </c>
      <c r="B5068" t="s">
        <v>27858</v>
      </c>
      <c r="C5068">
        <v>1</v>
      </c>
      <c r="D5068" t="s">
        <v>23629</v>
      </c>
      <c r="E5068" t="s">
        <v>23632</v>
      </c>
    </row>
    <row r="5069" spans="1:5" x14ac:dyDescent="0.25">
      <c r="A5069" s="130" t="s">
        <v>17574</v>
      </c>
      <c r="B5069" t="s">
        <v>27859</v>
      </c>
      <c r="C5069">
        <v>1</v>
      </c>
      <c r="D5069" t="s">
        <v>23629</v>
      </c>
      <c r="E5069" t="s">
        <v>23632</v>
      </c>
    </row>
    <row r="5070" spans="1:5" x14ac:dyDescent="0.25">
      <c r="A5070" s="131" t="s">
        <v>17574</v>
      </c>
      <c r="B5070" t="s">
        <v>27860</v>
      </c>
      <c r="C5070">
        <v>1</v>
      </c>
      <c r="D5070" t="s">
        <v>23629</v>
      </c>
      <c r="E5070" t="s">
        <v>23632</v>
      </c>
    </row>
    <row r="5071" spans="1:5" x14ac:dyDescent="0.25">
      <c r="A5071" s="130" t="str">
        <f>LEFT(B5071,1)</f>
        <v>T</v>
      </c>
      <c r="B5071" t="s">
        <v>29278</v>
      </c>
      <c r="C5071">
        <v>1</v>
      </c>
      <c r="D5071" t="s">
        <v>23629</v>
      </c>
      <c r="E5071" t="s">
        <v>23632</v>
      </c>
    </row>
    <row r="5072" spans="1:5" x14ac:dyDescent="0.25">
      <c r="A5072" s="131" t="s">
        <v>17571</v>
      </c>
      <c r="B5072" t="s">
        <v>27904</v>
      </c>
      <c r="C5072">
        <v>1</v>
      </c>
      <c r="D5072" t="s">
        <v>23629</v>
      </c>
      <c r="E5072" t="s">
        <v>23632</v>
      </c>
    </row>
    <row r="5073" spans="1:5" x14ac:dyDescent="0.25">
      <c r="A5073" s="130" t="s">
        <v>17571</v>
      </c>
      <c r="B5073" t="s">
        <v>27905</v>
      </c>
      <c r="C5073">
        <v>1</v>
      </c>
      <c r="D5073" t="s">
        <v>23629</v>
      </c>
      <c r="E5073" t="s">
        <v>23632</v>
      </c>
    </row>
    <row r="5074" spans="1:5" x14ac:dyDescent="0.25">
      <c r="A5074" s="131" t="s">
        <v>17571</v>
      </c>
      <c r="B5074" t="s">
        <v>27906</v>
      </c>
      <c r="C5074">
        <v>1</v>
      </c>
      <c r="D5074" t="s">
        <v>23629</v>
      </c>
      <c r="E5074" t="s">
        <v>23632</v>
      </c>
    </row>
    <row r="5075" spans="1:5" x14ac:dyDescent="0.25">
      <c r="A5075" s="130" t="s">
        <v>17571</v>
      </c>
      <c r="B5075" t="s">
        <v>27907</v>
      </c>
      <c r="C5075">
        <v>1</v>
      </c>
      <c r="D5075" t="s">
        <v>23629</v>
      </c>
      <c r="E5075" t="s">
        <v>23632</v>
      </c>
    </row>
    <row r="5076" spans="1:5" x14ac:dyDescent="0.25">
      <c r="A5076" s="130" t="str">
        <f>LEFT(B5076,1)</f>
        <v>T</v>
      </c>
      <c r="B5076" t="s">
        <v>28626</v>
      </c>
      <c r="C5076">
        <v>1</v>
      </c>
      <c r="D5076" t="s">
        <v>27142</v>
      </c>
      <c r="E5076" t="s">
        <v>23881</v>
      </c>
    </row>
    <row r="5077" spans="1:5" x14ac:dyDescent="0.25">
      <c r="A5077" s="131" t="s">
        <v>17571</v>
      </c>
      <c r="B5077" t="s">
        <v>27908</v>
      </c>
      <c r="C5077">
        <v>1</v>
      </c>
      <c r="D5077" t="s">
        <v>23629</v>
      </c>
      <c r="E5077" t="s">
        <v>23632</v>
      </c>
    </row>
    <row r="5078" spans="1:5" x14ac:dyDescent="0.25">
      <c r="A5078" s="130" t="s">
        <v>17571</v>
      </c>
      <c r="B5078" t="s">
        <v>27909</v>
      </c>
      <c r="C5078">
        <v>1</v>
      </c>
      <c r="D5078" t="s">
        <v>23629</v>
      </c>
      <c r="E5078" t="s">
        <v>23632</v>
      </c>
    </row>
    <row r="5079" spans="1:5" x14ac:dyDescent="0.25">
      <c r="A5079" s="131" t="s">
        <v>17571</v>
      </c>
      <c r="B5079" t="s">
        <v>27910</v>
      </c>
      <c r="C5079">
        <v>1</v>
      </c>
      <c r="D5079" t="s">
        <v>23629</v>
      </c>
      <c r="E5079" t="s">
        <v>23632</v>
      </c>
    </row>
    <row r="5080" spans="1:5" x14ac:dyDescent="0.25">
      <c r="A5080" s="130" t="s">
        <v>17571</v>
      </c>
      <c r="B5080" t="s">
        <v>27911</v>
      </c>
      <c r="C5080">
        <v>1</v>
      </c>
      <c r="D5080" t="s">
        <v>23629</v>
      </c>
      <c r="E5080" t="s">
        <v>23632</v>
      </c>
    </row>
    <row r="5081" spans="1:5" x14ac:dyDescent="0.25">
      <c r="A5081" s="131" t="s">
        <v>17571</v>
      </c>
      <c r="B5081" t="s">
        <v>27912</v>
      </c>
      <c r="C5081">
        <v>1</v>
      </c>
      <c r="D5081" t="s">
        <v>23629</v>
      </c>
      <c r="E5081" t="s">
        <v>23632</v>
      </c>
    </row>
    <row r="5082" spans="1:5" x14ac:dyDescent="0.25">
      <c r="A5082" s="130" t="s">
        <v>17571</v>
      </c>
      <c r="B5082" t="s">
        <v>27913</v>
      </c>
      <c r="C5082">
        <v>1</v>
      </c>
      <c r="D5082" t="s">
        <v>23629</v>
      </c>
      <c r="E5082" t="s">
        <v>23632</v>
      </c>
    </row>
    <row r="5083" spans="1:5" x14ac:dyDescent="0.25">
      <c r="A5083" s="131" t="s">
        <v>17571</v>
      </c>
      <c r="B5083" t="s">
        <v>27914</v>
      </c>
      <c r="C5083">
        <v>1</v>
      </c>
      <c r="D5083" t="s">
        <v>23629</v>
      </c>
      <c r="E5083" t="s">
        <v>23632</v>
      </c>
    </row>
    <row r="5084" spans="1:5" x14ac:dyDescent="0.25">
      <c r="A5084" s="130" t="s">
        <v>17571</v>
      </c>
      <c r="B5084" t="s">
        <v>27915</v>
      </c>
      <c r="C5084">
        <v>1</v>
      </c>
      <c r="D5084" t="s">
        <v>23629</v>
      </c>
      <c r="E5084" t="s">
        <v>23632</v>
      </c>
    </row>
    <row r="5085" spans="1:5" x14ac:dyDescent="0.25">
      <c r="A5085" s="130" t="s">
        <v>17571</v>
      </c>
      <c r="B5085" t="s">
        <v>27916</v>
      </c>
      <c r="C5085">
        <v>1</v>
      </c>
      <c r="D5085" t="s">
        <v>23629</v>
      </c>
      <c r="E5085" t="s">
        <v>23632</v>
      </c>
    </row>
    <row r="5086" spans="1:5" x14ac:dyDescent="0.25">
      <c r="A5086" s="130" t="s">
        <v>17571</v>
      </c>
      <c r="B5086" t="s">
        <v>27917</v>
      </c>
      <c r="C5086">
        <v>1</v>
      </c>
      <c r="D5086" t="s">
        <v>23629</v>
      </c>
      <c r="E5086" t="s">
        <v>23632</v>
      </c>
    </row>
    <row r="5087" spans="1:5" x14ac:dyDescent="0.25">
      <c r="A5087" s="131" t="s">
        <v>17571</v>
      </c>
      <c r="B5087" t="s">
        <v>27918</v>
      </c>
      <c r="C5087">
        <v>1</v>
      </c>
      <c r="D5087" t="s">
        <v>23629</v>
      </c>
      <c r="E5087" t="s">
        <v>23632</v>
      </c>
    </row>
    <row r="5088" spans="1:5" x14ac:dyDescent="0.25">
      <c r="A5088" s="130" t="s">
        <v>17571</v>
      </c>
      <c r="B5088" t="s">
        <v>27919</v>
      </c>
      <c r="C5088">
        <v>1</v>
      </c>
      <c r="D5088" t="s">
        <v>23629</v>
      </c>
      <c r="E5088" t="s">
        <v>23632</v>
      </c>
    </row>
    <row r="5089" spans="1:5" x14ac:dyDescent="0.25">
      <c r="A5089" s="131" t="s">
        <v>17571</v>
      </c>
      <c r="B5089" t="s">
        <v>27920</v>
      </c>
      <c r="C5089">
        <v>1</v>
      </c>
      <c r="D5089" t="s">
        <v>23629</v>
      </c>
      <c r="E5089" t="s">
        <v>23632</v>
      </c>
    </row>
    <row r="5090" spans="1:5" x14ac:dyDescent="0.25">
      <c r="A5090" s="130" t="s">
        <v>17571</v>
      </c>
      <c r="B5090" t="s">
        <v>27921</v>
      </c>
      <c r="C5090">
        <v>1</v>
      </c>
      <c r="D5090" t="s">
        <v>23629</v>
      </c>
      <c r="E5090" t="s">
        <v>23632</v>
      </c>
    </row>
    <row r="5091" spans="1:5" x14ac:dyDescent="0.25">
      <c r="A5091" s="131" t="s">
        <v>17571</v>
      </c>
      <c r="B5091" t="s">
        <v>27922</v>
      </c>
      <c r="C5091">
        <v>1</v>
      </c>
      <c r="D5091" t="s">
        <v>23629</v>
      </c>
      <c r="E5091" t="s">
        <v>23632</v>
      </c>
    </row>
    <row r="5092" spans="1:5" x14ac:dyDescent="0.25">
      <c r="A5092" s="130" t="s">
        <v>17571</v>
      </c>
      <c r="B5092" t="s">
        <v>27923</v>
      </c>
      <c r="C5092">
        <v>1.28</v>
      </c>
      <c r="D5092" t="s">
        <v>23629</v>
      </c>
      <c r="E5092" t="s">
        <v>23632</v>
      </c>
    </row>
    <row r="5093" spans="1:5" x14ac:dyDescent="0.25">
      <c r="A5093" s="131" t="s">
        <v>17571</v>
      </c>
      <c r="B5093" t="s">
        <v>27924</v>
      </c>
      <c r="C5093">
        <v>1</v>
      </c>
      <c r="D5093" t="s">
        <v>23629</v>
      </c>
      <c r="E5093" t="s">
        <v>23632</v>
      </c>
    </row>
    <row r="5094" spans="1:5" x14ac:dyDescent="0.25">
      <c r="A5094" s="130" t="s">
        <v>17571</v>
      </c>
      <c r="B5094" t="s">
        <v>27925</v>
      </c>
      <c r="C5094">
        <v>1</v>
      </c>
      <c r="D5094" t="s">
        <v>23629</v>
      </c>
      <c r="E5094" t="s">
        <v>23632</v>
      </c>
    </row>
    <row r="5095" spans="1:5" x14ac:dyDescent="0.25">
      <c r="A5095" s="131" t="s">
        <v>17571</v>
      </c>
      <c r="B5095" t="s">
        <v>27926</v>
      </c>
      <c r="C5095">
        <v>1</v>
      </c>
      <c r="D5095" t="s">
        <v>23629</v>
      </c>
      <c r="E5095" t="s">
        <v>23632</v>
      </c>
    </row>
    <row r="5096" spans="1:5" x14ac:dyDescent="0.25">
      <c r="A5096" s="130" t="s">
        <v>17571</v>
      </c>
      <c r="B5096" t="s">
        <v>27927</v>
      </c>
      <c r="C5096">
        <v>1</v>
      </c>
      <c r="D5096" t="s">
        <v>23629</v>
      </c>
      <c r="E5096" t="s">
        <v>23632</v>
      </c>
    </row>
    <row r="5097" spans="1:5" x14ac:dyDescent="0.25">
      <c r="A5097" s="131" t="s">
        <v>17571</v>
      </c>
      <c r="B5097" t="s">
        <v>27928</v>
      </c>
      <c r="C5097">
        <v>1</v>
      </c>
      <c r="D5097" t="s">
        <v>23629</v>
      </c>
      <c r="E5097" t="s">
        <v>23632</v>
      </c>
    </row>
    <row r="5098" spans="1:5" x14ac:dyDescent="0.25">
      <c r="A5098" s="130" t="s">
        <v>17571</v>
      </c>
      <c r="B5098" t="s">
        <v>27929</v>
      </c>
      <c r="C5098">
        <v>1</v>
      </c>
      <c r="D5098" t="s">
        <v>23629</v>
      </c>
      <c r="E5098" t="s">
        <v>23632</v>
      </c>
    </row>
    <row r="5099" spans="1:5" x14ac:dyDescent="0.25">
      <c r="A5099" s="131" t="s">
        <v>17571</v>
      </c>
      <c r="B5099" t="s">
        <v>27930</v>
      </c>
      <c r="C5099">
        <v>1</v>
      </c>
      <c r="D5099" t="s">
        <v>23629</v>
      </c>
      <c r="E5099" t="s">
        <v>23632</v>
      </c>
    </row>
    <row r="5100" spans="1:5" x14ac:dyDescent="0.25">
      <c r="A5100" s="130" t="s">
        <v>17571</v>
      </c>
      <c r="B5100" t="s">
        <v>27931</v>
      </c>
      <c r="C5100">
        <v>1</v>
      </c>
      <c r="D5100" t="s">
        <v>23629</v>
      </c>
      <c r="E5100" t="s">
        <v>23632</v>
      </c>
    </row>
    <row r="5101" spans="1:5" x14ac:dyDescent="0.25">
      <c r="A5101" s="131" t="s">
        <v>17571</v>
      </c>
      <c r="B5101" t="s">
        <v>27932</v>
      </c>
      <c r="C5101">
        <v>1</v>
      </c>
      <c r="D5101" t="s">
        <v>23629</v>
      </c>
      <c r="E5101" t="s">
        <v>23632</v>
      </c>
    </row>
    <row r="5102" spans="1:5" x14ac:dyDescent="0.25">
      <c r="A5102" s="131" t="s">
        <v>17571</v>
      </c>
      <c r="B5102" t="s">
        <v>27933</v>
      </c>
      <c r="C5102">
        <v>1</v>
      </c>
      <c r="D5102" t="s">
        <v>23629</v>
      </c>
      <c r="E5102" t="s">
        <v>23632</v>
      </c>
    </row>
    <row r="5103" spans="1:5" x14ac:dyDescent="0.25">
      <c r="A5103" s="130" t="s">
        <v>17571</v>
      </c>
      <c r="B5103" t="s">
        <v>27934</v>
      </c>
      <c r="C5103">
        <v>1</v>
      </c>
      <c r="D5103" t="s">
        <v>23629</v>
      </c>
      <c r="E5103" t="s">
        <v>23632</v>
      </c>
    </row>
    <row r="5104" spans="1:5" x14ac:dyDescent="0.25">
      <c r="A5104" s="131" t="str">
        <f>LEFT((B5104),1)</f>
        <v>T</v>
      </c>
      <c r="B5104" t="s">
        <v>27935</v>
      </c>
      <c r="C5104">
        <v>1</v>
      </c>
      <c r="D5104" t="s">
        <v>23629</v>
      </c>
      <c r="E5104" t="s">
        <v>23632</v>
      </c>
    </row>
    <row r="5105" spans="1:5" x14ac:dyDescent="0.25">
      <c r="A5105" s="130" t="str">
        <f>LEFT(B5105,1)</f>
        <v>T</v>
      </c>
      <c r="B5105" t="s">
        <v>29157</v>
      </c>
      <c r="C5105">
        <v>1</v>
      </c>
      <c r="D5105" t="s">
        <v>23629</v>
      </c>
      <c r="E5105" t="s">
        <v>23632</v>
      </c>
    </row>
    <row r="5106" spans="1:5" x14ac:dyDescent="0.25">
      <c r="A5106" s="131" t="s">
        <v>17571</v>
      </c>
      <c r="B5106" t="s">
        <v>27936</v>
      </c>
      <c r="C5106">
        <v>1</v>
      </c>
      <c r="D5106" t="s">
        <v>23629</v>
      </c>
      <c r="E5106" t="s">
        <v>23632</v>
      </c>
    </row>
    <row r="5107" spans="1:5" x14ac:dyDescent="0.25">
      <c r="A5107" s="131" t="s">
        <v>17571</v>
      </c>
      <c r="B5107" t="s">
        <v>27937</v>
      </c>
      <c r="C5107">
        <v>1</v>
      </c>
      <c r="D5107" t="s">
        <v>23629</v>
      </c>
      <c r="E5107" t="s">
        <v>23632</v>
      </c>
    </row>
    <row r="5108" spans="1:5" x14ac:dyDescent="0.25">
      <c r="A5108" s="130" t="s">
        <v>17571</v>
      </c>
      <c r="B5108" t="s">
        <v>27938</v>
      </c>
      <c r="C5108">
        <v>1</v>
      </c>
      <c r="D5108" t="s">
        <v>23629</v>
      </c>
      <c r="E5108" t="s">
        <v>23632</v>
      </c>
    </row>
    <row r="5109" spans="1:5" x14ac:dyDescent="0.25">
      <c r="A5109" s="130" t="s">
        <v>17571</v>
      </c>
      <c r="B5109" t="s">
        <v>27939</v>
      </c>
      <c r="C5109">
        <v>1.1499999999999999</v>
      </c>
      <c r="D5109" t="s">
        <v>23629</v>
      </c>
      <c r="E5109" t="s">
        <v>23632</v>
      </c>
    </row>
    <row r="5110" spans="1:5" x14ac:dyDescent="0.25">
      <c r="A5110" s="130" t="s">
        <v>17571</v>
      </c>
      <c r="B5110" t="s">
        <v>27940</v>
      </c>
      <c r="C5110">
        <v>1.1499999999999999</v>
      </c>
      <c r="D5110" t="s">
        <v>23629</v>
      </c>
      <c r="E5110" t="s">
        <v>23632</v>
      </c>
    </row>
    <row r="5111" spans="1:5" x14ac:dyDescent="0.25">
      <c r="A5111" s="131" t="s">
        <v>17571</v>
      </c>
      <c r="B5111" t="s">
        <v>27941</v>
      </c>
      <c r="C5111">
        <v>1.1499999999999999</v>
      </c>
      <c r="D5111" t="s">
        <v>23629</v>
      </c>
      <c r="E5111" t="s">
        <v>23632</v>
      </c>
    </row>
    <row r="5112" spans="1:5" x14ac:dyDescent="0.25">
      <c r="A5112" s="130" t="s">
        <v>17571</v>
      </c>
      <c r="B5112" t="s">
        <v>27942</v>
      </c>
      <c r="C5112">
        <v>1.1499999999999999</v>
      </c>
      <c r="D5112" t="s">
        <v>23629</v>
      </c>
      <c r="E5112" t="s">
        <v>23632</v>
      </c>
    </row>
    <row r="5113" spans="1:5" x14ac:dyDescent="0.25">
      <c r="A5113" s="131" t="s">
        <v>17571</v>
      </c>
      <c r="B5113" t="s">
        <v>27943</v>
      </c>
      <c r="C5113">
        <v>1.1000000000000001</v>
      </c>
      <c r="D5113" t="s">
        <v>23629</v>
      </c>
      <c r="E5113" t="s">
        <v>23632</v>
      </c>
    </row>
    <row r="5114" spans="1:5" x14ac:dyDescent="0.25">
      <c r="A5114" s="130" t="s">
        <v>17571</v>
      </c>
      <c r="B5114" t="s">
        <v>27944</v>
      </c>
      <c r="C5114">
        <v>1</v>
      </c>
      <c r="D5114" t="s">
        <v>23629</v>
      </c>
      <c r="E5114" t="s">
        <v>23632</v>
      </c>
    </row>
    <row r="5115" spans="1:5" x14ac:dyDescent="0.25">
      <c r="A5115" s="130" t="str">
        <f>LEFT(B5115,1)</f>
        <v>T</v>
      </c>
      <c r="B5115" t="s">
        <v>29279</v>
      </c>
      <c r="C5115">
        <v>1</v>
      </c>
      <c r="D5115" t="s">
        <v>23629</v>
      </c>
      <c r="E5115" t="s">
        <v>23632</v>
      </c>
    </row>
    <row r="5116" spans="1:5" x14ac:dyDescent="0.25">
      <c r="A5116" s="131" t="s">
        <v>17571</v>
      </c>
      <c r="B5116" t="s">
        <v>27945</v>
      </c>
      <c r="C5116">
        <v>1</v>
      </c>
      <c r="D5116" t="s">
        <v>23629</v>
      </c>
      <c r="E5116" t="s">
        <v>23632</v>
      </c>
    </row>
    <row r="5117" spans="1:5" x14ac:dyDescent="0.25">
      <c r="A5117" s="130" t="s">
        <v>17571</v>
      </c>
      <c r="B5117" t="s">
        <v>27946</v>
      </c>
      <c r="C5117">
        <v>1</v>
      </c>
      <c r="D5117" t="s">
        <v>23629</v>
      </c>
      <c r="E5117" t="s">
        <v>23632</v>
      </c>
    </row>
    <row r="5118" spans="1:5" x14ac:dyDescent="0.25">
      <c r="A5118" s="130" t="str">
        <f>LEFT(B5118,1)</f>
        <v>T</v>
      </c>
      <c r="B5118" t="s">
        <v>28116</v>
      </c>
      <c r="C5118">
        <v>1</v>
      </c>
      <c r="D5118" t="s">
        <v>23629</v>
      </c>
      <c r="E5118" t="s">
        <v>23632</v>
      </c>
    </row>
    <row r="5119" spans="1:5" x14ac:dyDescent="0.25">
      <c r="A5119" s="131" t="str">
        <f>LEFT(B5119,1)</f>
        <v>T</v>
      </c>
      <c r="B5119" t="s">
        <v>28106</v>
      </c>
      <c r="C5119">
        <v>1</v>
      </c>
      <c r="D5119" t="s">
        <v>23629</v>
      </c>
      <c r="E5119" t="s">
        <v>23632</v>
      </c>
    </row>
    <row r="5120" spans="1:5" x14ac:dyDescent="0.25">
      <c r="A5120" s="130" t="str">
        <f>LEFT((B5120),1)</f>
        <v>T</v>
      </c>
      <c r="B5120" t="s">
        <v>27947</v>
      </c>
      <c r="C5120">
        <v>1</v>
      </c>
      <c r="D5120" t="s">
        <v>23629</v>
      </c>
      <c r="E5120" t="s">
        <v>23632</v>
      </c>
    </row>
    <row r="5121" spans="1:5" x14ac:dyDescent="0.25">
      <c r="A5121" s="131" t="str">
        <f>LEFT((B5121),1)</f>
        <v>T</v>
      </c>
      <c r="B5121" t="s">
        <v>27948</v>
      </c>
      <c r="C5121">
        <v>1</v>
      </c>
      <c r="D5121" t="s">
        <v>23629</v>
      </c>
      <c r="E5121" t="s">
        <v>23632</v>
      </c>
    </row>
    <row r="5122" spans="1:5" x14ac:dyDescent="0.25">
      <c r="A5122" s="130" t="str">
        <f>LEFT((B5122),1)</f>
        <v>T</v>
      </c>
      <c r="B5122" t="s">
        <v>27949</v>
      </c>
      <c r="C5122">
        <v>1</v>
      </c>
      <c r="D5122" t="s">
        <v>23629</v>
      </c>
      <c r="E5122" t="s">
        <v>23632</v>
      </c>
    </row>
    <row r="5123" spans="1:5" x14ac:dyDescent="0.25">
      <c r="A5123" s="131" t="s">
        <v>17571</v>
      </c>
      <c r="B5123" t="s">
        <v>27950</v>
      </c>
      <c r="C5123">
        <v>1</v>
      </c>
      <c r="D5123" t="s">
        <v>23629</v>
      </c>
      <c r="E5123" t="s">
        <v>23632</v>
      </c>
    </row>
    <row r="5124" spans="1:5" x14ac:dyDescent="0.25">
      <c r="A5124" s="130" t="str">
        <f>LEFT(B5124,1)</f>
        <v>T</v>
      </c>
      <c r="B5124" t="s">
        <v>28107</v>
      </c>
      <c r="C5124">
        <v>1</v>
      </c>
      <c r="D5124" t="s">
        <v>23629</v>
      </c>
      <c r="E5124" t="s">
        <v>23632</v>
      </c>
    </row>
    <row r="5125" spans="1:5" x14ac:dyDescent="0.25">
      <c r="A5125" s="130" t="s">
        <v>17571</v>
      </c>
      <c r="B5125" t="s">
        <v>27951</v>
      </c>
      <c r="C5125">
        <v>1</v>
      </c>
      <c r="D5125" t="s">
        <v>23629</v>
      </c>
      <c r="E5125" t="s">
        <v>23632</v>
      </c>
    </row>
    <row r="5126" spans="1:5" x14ac:dyDescent="0.25">
      <c r="A5126" s="131" t="str">
        <f>LEFT((B5126),1)</f>
        <v>T</v>
      </c>
      <c r="B5126" t="s">
        <v>27952</v>
      </c>
      <c r="C5126">
        <v>1</v>
      </c>
      <c r="D5126" t="s">
        <v>23629</v>
      </c>
      <c r="E5126" t="s">
        <v>23632</v>
      </c>
    </row>
    <row r="5127" spans="1:5" x14ac:dyDescent="0.25">
      <c r="A5127" s="131" t="s">
        <v>17571</v>
      </c>
      <c r="B5127" t="s">
        <v>27953</v>
      </c>
      <c r="C5127">
        <v>1</v>
      </c>
      <c r="D5127" t="s">
        <v>23629</v>
      </c>
      <c r="E5127" t="s">
        <v>23632</v>
      </c>
    </row>
    <row r="5128" spans="1:5" x14ac:dyDescent="0.25">
      <c r="A5128" s="130" t="s">
        <v>17571</v>
      </c>
      <c r="B5128" t="s">
        <v>27954</v>
      </c>
      <c r="C5128">
        <v>1</v>
      </c>
      <c r="D5128" t="s">
        <v>23629</v>
      </c>
      <c r="E5128" t="s">
        <v>23632</v>
      </c>
    </row>
    <row r="5129" spans="1:5" x14ac:dyDescent="0.25">
      <c r="A5129" s="130" t="str">
        <f>LEFT((B5129),1)</f>
        <v>T</v>
      </c>
      <c r="B5129" t="s">
        <v>27955</v>
      </c>
      <c r="C5129">
        <v>1</v>
      </c>
      <c r="D5129" t="s">
        <v>23629</v>
      </c>
      <c r="E5129" t="s">
        <v>23632</v>
      </c>
    </row>
    <row r="5130" spans="1:5" x14ac:dyDescent="0.25">
      <c r="A5130" s="131" t="s">
        <v>17571</v>
      </c>
      <c r="B5130" t="s">
        <v>27956</v>
      </c>
      <c r="C5130">
        <v>1</v>
      </c>
      <c r="D5130" t="s">
        <v>23629</v>
      </c>
      <c r="E5130" t="s">
        <v>23632</v>
      </c>
    </row>
    <row r="5131" spans="1:5" x14ac:dyDescent="0.25">
      <c r="A5131" s="130" t="s">
        <v>17571</v>
      </c>
      <c r="B5131" t="s">
        <v>27957</v>
      </c>
      <c r="C5131">
        <v>1</v>
      </c>
      <c r="D5131" t="s">
        <v>23629</v>
      </c>
      <c r="E5131" t="s">
        <v>23632</v>
      </c>
    </row>
    <row r="5132" spans="1:5" x14ac:dyDescent="0.25">
      <c r="A5132" s="131" t="s">
        <v>17571</v>
      </c>
      <c r="B5132" t="s">
        <v>27958</v>
      </c>
      <c r="C5132">
        <v>1</v>
      </c>
      <c r="D5132" t="s">
        <v>23629</v>
      </c>
      <c r="E5132" t="s">
        <v>23632</v>
      </c>
    </row>
    <row r="5133" spans="1:5" x14ac:dyDescent="0.25">
      <c r="A5133" s="130" t="s">
        <v>17571</v>
      </c>
      <c r="B5133" t="s">
        <v>27959</v>
      </c>
      <c r="C5133">
        <v>1</v>
      </c>
      <c r="D5133" t="s">
        <v>23629</v>
      </c>
      <c r="E5133" t="s">
        <v>23632</v>
      </c>
    </row>
    <row r="5134" spans="1:5" x14ac:dyDescent="0.25">
      <c r="A5134" s="131" t="s">
        <v>17571</v>
      </c>
      <c r="B5134" t="s">
        <v>27960</v>
      </c>
      <c r="C5134">
        <v>1</v>
      </c>
      <c r="D5134" t="s">
        <v>23629</v>
      </c>
      <c r="E5134" t="s">
        <v>23632</v>
      </c>
    </row>
    <row r="5135" spans="1:5" x14ac:dyDescent="0.25">
      <c r="A5135" s="131" t="s">
        <v>17571</v>
      </c>
      <c r="B5135" t="s">
        <v>27961</v>
      </c>
      <c r="C5135">
        <v>1</v>
      </c>
      <c r="D5135" t="s">
        <v>23629</v>
      </c>
      <c r="E5135" t="s">
        <v>23632</v>
      </c>
    </row>
    <row r="5136" spans="1:5" x14ac:dyDescent="0.25">
      <c r="A5136" s="130" t="s">
        <v>17571</v>
      </c>
      <c r="B5136" t="s">
        <v>27962</v>
      </c>
      <c r="C5136">
        <v>1</v>
      </c>
      <c r="D5136" t="s">
        <v>23629</v>
      </c>
      <c r="E5136" t="s">
        <v>23632</v>
      </c>
    </row>
    <row r="5137" spans="1:5" x14ac:dyDescent="0.25">
      <c r="A5137" s="130" t="s">
        <v>17571</v>
      </c>
      <c r="B5137" t="s">
        <v>27963</v>
      </c>
      <c r="C5137">
        <v>1</v>
      </c>
      <c r="D5137" t="s">
        <v>23629</v>
      </c>
      <c r="E5137" t="s">
        <v>23632</v>
      </c>
    </row>
    <row r="5138" spans="1:5" x14ac:dyDescent="0.25">
      <c r="A5138" s="131" t="s">
        <v>17571</v>
      </c>
      <c r="B5138" t="s">
        <v>27964</v>
      </c>
      <c r="C5138">
        <v>1</v>
      </c>
      <c r="D5138" t="s">
        <v>23629</v>
      </c>
      <c r="E5138" t="s">
        <v>23632</v>
      </c>
    </row>
    <row r="5139" spans="1:5" x14ac:dyDescent="0.25">
      <c r="A5139" s="130" t="str">
        <f>LEFT(B5139,1)</f>
        <v>T</v>
      </c>
      <c r="B5139" t="s">
        <v>28627</v>
      </c>
      <c r="C5139">
        <v>1</v>
      </c>
      <c r="D5139" t="s">
        <v>23629</v>
      </c>
      <c r="E5139" t="s">
        <v>23632</v>
      </c>
    </row>
    <row r="5140" spans="1:5" x14ac:dyDescent="0.25">
      <c r="A5140" s="130" t="s">
        <v>17571</v>
      </c>
      <c r="B5140" t="s">
        <v>27965</v>
      </c>
      <c r="C5140">
        <v>1</v>
      </c>
      <c r="D5140" t="s">
        <v>23629</v>
      </c>
      <c r="E5140" t="s">
        <v>23632</v>
      </c>
    </row>
    <row r="5141" spans="1:5" x14ac:dyDescent="0.25">
      <c r="A5141" s="131" t="s">
        <v>17571</v>
      </c>
      <c r="B5141" t="s">
        <v>27966</v>
      </c>
      <c r="C5141">
        <v>1</v>
      </c>
      <c r="D5141" t="s">
        <v>23629</v>
      </c>
      <c r="E5141" t="s">
        <v>23632</v>
      </c>
    </row>
    <row r="5142" spans="1:5" x14ac:dyDescent="0.25">
      <c r="A5142" s="130" t="str">
        <f>LEFT(B5142,1)</f>
        <v>T</v>
      </c>
      <c r="B5142" t="s">
        <v>29158</v>
      </c>
      <c r="C5142">
        <v>1</v>
      </c>
      <c r="D5142" t="s">
        <v>23629</v>
      </c>
      <c r="E5142" t="s">
        <v>23632</v>
      </c>
    </row>
    <row r="5143" spans="1:5" x14ac:dyDescent="0.25">
      <c r="A5143" s="130" t="s">
        <v>17571</v>
      </c>
      <c r="B5143" t="s">
        <v>27967</v>
      </c>
      <c r="C5143">
        <v>1</v>
      </c>
      <c r="D5143" t="s">
        <v>23629</v>
      </c>
      <c r="E5143" t="s">
        <v>23632</v>
      </c>
    </row>
    <row r="5144" spans="1:5" x14ac:dyDescent="0.25">
      <c r="A5144" s="130" t="str">
        <f>LEFT(B5144,1)</f>
        <v>T</v>
      </c>
      <c r="B5144" t="s">
        <v>28117</v>
      </c>
      <c r="C5144">
        <v>1</v>
      </c>
      <c r="D5144" t="s">
        <v>23629</v>
      </c>
      <c r="E5144" t="s">
        <v>23632</v>
      </c>
    </row>
    <row r="5145" spans="1:5" x14ac:dyDescent="0.25">
      <c r="A5145" s="131" t="s">
        <v>17571</v>
      </c>
      <c r="B5145" t="s">
        <v>27968</v>
      </c>
      <c r="C5145">
        <v>1.1100000000000001</v>
      </c>
      <c r="D5145" t="s">
        <v>23629</v>
      </c>
      <c r="E5145" t="s">
        <v>23632</v>
      </c>
    </row>
    <row r="5146" spans="1:5" x14ac:dyDescent="0.25">
      <c r="A5146" s="130" t="s">
        <v>17571</v>
      </c>
      <c r="B5146" t="s">
        <v>27969</v>
      </c>
      <c r="C5146">
        <v>1</v>
      </c>
      <c r="D5146" t="s">
        <v>23629</v>
      </c>
      <c r="E5146" t="s">
        <v>23632</v>
      </c>
    </row>
    <row r="5147" spans="1:5" x14ac:dyDescent="0.25">
      <c r="A5147" s="130" t="str">
        <f>LEFT(B5147,1)</f>
        <v>T</v>
      </c>
      <c r="B5147" t="s">
        <v>28900</v>
      </c>
      <c r="C5147">
        <v>1</v>
      </c>
      <c r="D5147" t="s">
        <v>23629</v>
      </c>
      <c r="E5147" t="s">
        <v>23632</v>
      </c>
    </row>
    <row r="5148" spans="1:5" x14ac:dyDescent="0.25">
      <c r="A5148" s="131" t="s">
        <v>17571</v>
      </c>
      <c r="B5148" t="s">
        <v>27970</v>
      </c>
      <c r="C5148">
        <v>1</v>
      </c>
      <c r="D5148" t="s">
        <v>23629</v>
      </c>
      <c r="E5148" t="s">
        <v>23632</v>
      </c>
    </row>
    <row r="5149" spans="1:5" x14ac:dyDescent="0.25">
      <c r="A5149" s="130" t="s">
        <v>17571</v>
      </c>
      <c r="B5149" t="s">
        <v>27971</v>
      </c>
      <c r="C5149">
        <v>1</v>
      </c>
      <c r="D5149" t="s">
        <v>23629</v>
      </c>
      <c r="E5149" t="s">
        <v>23632</v>
      </c>
    </row>
    <row r="5150" spans="1:5" x14ac:dyDescent="0.25">
      <c r="A5150" s="130" t="str">
        <f>LEFT((B5150),1)</f>
        <v>T</v>
      </c>
      <c r="B5150" t="s">
        <v>27972</v>
      </c>
      <c r="C5150">
        <v>1</v>
      </c>
      <c r="D5150" t="s">
        <v>23629</v>
      </c>
      <c r="E5150" t="s">
        <v>23632</v>
      </c>
    </row>
    <row r="5151" spans="1:5" x14ac:dyDescent="0.25">
      <c r="A5151" s="131" t="str">
        <f>LEFT((B5151),1)</f>
        <v>T</v>
      </c>
      <c r="B5151" t="s">
        <v>27973</v>
      </c>
      <c r="C5151">
        <v>1</v>
      </c>
      <c r="D5151" t="s">
        <v>23629</v>
      </c>
      <c r="E5151" t="s">
        <v>23632</v>
      </c>
    </row>
    <row r="5152" spans="1:5" x14ac:dyDescent="0.25">
      <c r="A5152" s="131" t="s">
        <v>17571</v>
      </c>
      <c r="B5152" t="s">
        <v>27974</v>
      </c>
      <c r="C5152">
        <v>1</v>
      </c>
      <c r="D5152" t="s">
        <v>23629</v>
      </c>
      <c r="E5152" t="s">
        <v>23632</v>
      </c>
    </row>
    <row r="5153" spans="1:5" x14ac:dyDescent="0.25">
      <c r="A5153" s="130" t="s">
        <v>17571</v>
      </c>
      <c r="B5153" t="s">
        <v>27975</v>
      </c>
      <c r="C5153">
        <v>1.21</v>
      </c>
      <c r="D5153" t="s">
        <v>23629</v>
      </c>
      <c r="E5153" t="s">
        <v>23632</v>
      </c>
    </row>
    <row r="5154" spans="1:5" x14ac:dyDescent="0.25">
      <c r="A5154" s="131" t="s">
        <v>17571</v>
      </c>
      <c r="B5154" t="s">
        <v>27976</v>
      </c>
      <c r="C5154">
        <v>1</v>
      </c>
      <c r="D5154" t="s">
        <v>23629</v>
      </c>
      <c r="E5154" t="s">
        <v>23632</v>
      </c>
    </row>
    <row r="5155" spans="1:5" x14ac:dyDescent="0.25">
      <c r="A5155" s="131" t="str">
        <f>LEFT(B5155,1)</f>
        <v>T</v>
      </c>
      <c r="B5155" t="s">
        <v>28108</v>
      </c>
      <c r="C5155">
        <v>1</v>
      </c>
      <c r="D5155" t="s">
        <v>23629</v>
      </c>
      <c r="E5155" t="s">
        <v>23632</v>
      </c>
    </row>
    <row r="5156" spans="1:5" x14ac:dyDescent="0.25">
      <c r="A5156" s="130" t="s">
        <v>17571</v>
      </c>
      <c r="B5156" t="s">
        <v>27977</v>
      </c>
      <c r="C5156">
        <v>1</v>
      </c>
      <c r="D5156" t="s">
        <v>23629</v>
      </c>
      <c r="E5156" t="s">
        <v>23632</v>
      </c>
    </row>
    <row r="5157" spans="1:5" x14ac:dyDescent="0.25">
      <c r="A5157" s="131" t="s">
        <v>17571</v>
      </c>
      <c r="B5157" t="s">
        <v>27978</v>
      </c>
      <c r="C5157">
        <v>1</v>
      </c>
      <c r="D5157" t="s">
        <v>23629</v>
      </c>
      <c r="E5157" t="s">
        <v>23632</v>
      </c>
    </row>
    <row r="5158" spans="1:5" x14ac:dyDescent="0.25">
      <c r="A5158" s="130" t="s">
        <v>17571</v>
      </c>
      <c r="B5158" t="s">
        <v>27979</v>
      </c>
      <c r="C5158">
        <v>1</v>
      </c>
      <c r="D5158" t="s">
        <v>23629</v>
      </c>
      <c r="E5158" t="s">
        <v>23632</v>
      </c>
    </row>
    <row r="5159" spans="1:5" x14ac:dyDescent="0.25">
      <c r="A5159" s="130" t="str">
        <f>LEFT(B5159,1)</f>
        <v>T</v>
      </c>
      <c r="B5159" t="s">
        <v>28901</v>
      </c>
      <c r="C5159">
        <v>1.21</v>
      </c>
      <c r="D5159" t="s">
        <v>28925</v>
      </c>
      <c r="E5159" t="s">
        <v>23881</v>
      </c>
    </row>
    <row r="5160" spans="1:5" x14ac:dyDescent="0.25">
      <c r="A5160" s="131" t="s">
        <v>17571</v>
      </c>
      <c r="B5160" t="s">
        <v>27980</v>
      </c>
      <c r="C5160">
        <v>1</v>
      </c>
      <c r="D5160" t="s">
        <v>23629</v>
      </c>
      <c r="E5160" t="s">
        <v>23632</v>
      </c>
    </row>
    <row r="5161" spans="1:5" x14ac:dyDescent="0.25">
      <c r="A5161" s="130" t="s">
        <v>17571</v>
      </c>
      <c r="B5161" t="s">
        <v>27981</v>
      </c>
      <c r="C5161">
        <v>1</v>
      </c>
      <c r="D5161" t="s">
        <v>23629</v>
      </c>
      <c r="E5161" t="s">
        <v>23632</v>
      </c>
    </row>
    <row r="5162" spans="1:5" x14ac:dyDescent="0.25">
      <c r="A5162" s="131" t="s">
        <v>17571</v>
      </c>
      <c r="B5162" t="s">
        <v>27982</v>
      </c>
      <c r="C5162">
        <v>1</v>
      </c>
      <c r="D5162" t="s">
        <v>23629</v>
      </c>
      <c r="E5162" t="s">
        <v>23632</v>
      </c>
    </row>
    <row r="5163" spans="1:5" x14ac:dyDescent="0.25">
      <c r="A5163" s="131" t="str">
        <f>LEFT(B5163,1)</f>
        <v>T</v>
      </c>
      <c r="B5163" t="s">
        <v>28119</v>
      </c>
      <c r="C5163">
        <v>1</v>
      </c>
      <c r="D5163" t="s">
        <v>23629</v>
      </c>
      <c r="E5163" t="s">
        <v>23632</v>
      </c>
    </row>
    <row r="5164" spans="1:5" x14ac:dyDescent="0.25">
      <c r="A5164" s="130" t="str">
        <f>LEFT(B5164,1)</f>
        <v>T</v>
      </c>
      <c r="B5164" t="s">
        <v>28628</v>
      </c>
      <c r="C5164">
        <v>1</v>
      </c>
      <c r="D5164" t="s">
        <v>23629</v>
      </c>
      <c r="E5164" t="s">
        <v>23632</v>
      </c>
    </row>
    <row r="5165" spans="1:5" x14ac:dyDescent="0.25">
      <c r="A5165" s="130" t="str">
        <f>LEFT(B5165,1)</f>
        <v>T</v>
      </c>
      <c r="B5165" t="s">
        <v>28629</v>
      </c>
      <c r="C5165">
        <v>1</v>
      </c>
      <c r="D5165" t="s">
        <v>23629</v>
      </c>
      <c r="E5165" t="s">
        <v>23632</v>
      </c>
    </row>
    <row r="5166" spans="1:5" x14ac:dyDescent="0.25">
      <c r="A5166" s="130" t="str">
        <f>LEFT(B5166,1)</f>
        <v>T</v>
      </c>
      <c r="B5166" t="s">
        <v>28118</v>
      </c>
      <c r="C5166">
        <v>1</v>
      </c>
      <c r="D5166" t="s">
        <v>23629</v>
      </c>
      <c r="E5166" t="s">
        <v>23632</v>
      </c>
    </row>
    <row r="5167" spans="1:5" x14ac:dyDescent="0.25">
      <c r="A5167" s="130" t="s">
        <v>17571</v>
      </c>
      <c r="B5167" t="s">
        <v>27983</v>
      </c>
      <c r="C5167">
        <v>1</v>
      </c>
      <c r="D5167" t="s">
        <v>28663</v>
      </c>
      <c r="E5167" t="s">
        <v>23632</v>
      </c>
    </row>
    <row r="5168" spans="1:5" x14ac:dyDescent="0.25">
      <c r="A5168" s="131" t="s">
        <v>17571</v>
      </c>
      <c r="B5168" t="s">
        <v>27984</v>
      </c>
      <c r="C5168">
        <v>1</v>
      </c>
      <c r="D5168" t="s">
        <v>23629</v>
      </c>
      <c r="E5168" t="s">
        <v>23632</v>
      </c>
    </row>
    <row r="5169" spans="1:5" x14ac:dyDescent="0.25">
      <c r="A5169" s="131" t="s">
        <v>17571</v>
      </c>
      <c r="B5169" t="s">
        <v>27985</v>
      </c>
      <c r="C5169">
        <v>1</v>
      </c>
      <c r="D5169" t="s">
        <v>23629</v>
      </c>
      <c r="E5169" t="s">
        <v>23632</v>
      </c>
    </row>
    <row r="5170" spans="1:5" x14ac:dyDescent="0.25">
      <c r="A5170" s="130" t="s">
        <v>17571</v>
      </c>
      <c r="B5170" t="s">
        <v>27986</v>
      </c>
      <c r="C5170">
        <v>1</v>
      </c>
      <c r="D5170" t="s">
        <v>23629</v>
      </c>
      <c r="E5170" t="s">
        <v>23632</v>
      </c>
    </row>
    <row r="5171" spans="1:5" x14ac:dyDescent="0.25">
      <c r="A5171" s="131" t="s">
        <v>17571</v>
      </c>
      <c r="B5171" t="s">
        <v>27987</v>
      </c>
      <c r="C5171">
        <v>1</v>
      </c>
      <c r="D5171" t="s">
        <v>23629</v>
      </c>
      <c r="E5171" t="s">
        <v>23632</v>
      </c>
    </row>
    <row r="5172" spans="1:5" x14ac:dyDescent="0.25">
      <c r="A5172" s="131" t="s">
        <v>17571</v>
      </c>
      <c r="B5172" t="s">
        <v>27988</v>
      </c>
      <c r="C5172">
        <v>1</v>
      </c>
      <c r="D5172" t="s">
        <v>23629</v>
      </c>
      <c r="E5172" t="s">
        <v>23632</v>
      </c>
    </row>
    <row r="5173" spans="1:5" x14ac:dyDescent="0.25">
      <c r="A5173" s="130" t="s">
        <v>17571</v>
      </c>
      <c r="B5173" t="s">
        <v>27989</v>
      </c>
      <c r="C5173">
        <v>1</v>
      </c>
      <c r="D5173" t="s">
        <v>23629</v>
      </c>
      <c r="E5173" t="s">
        <v>23632</v>
      </c>
    </row>
    <row r="5174" spans="1:5" x14ac:dyDescent="0.25">
      <c r="A5174" s="130" t="str">
        <f>LEFT(B5174,1)</f>
        <v>T</v>
      </c>
      <c r="B5174" t="s">
        <v>28109</v>
      </c>
      <c r="C5174">
        <v>1</v>
      </c>
      <c r="D5174" t="s">
        <v>23629</v>
      </c>
      <c r="E5174" t="s">
        <v>23632</v>
      </c>
    </row>
    <row r="5175" spans="1:5" x14ac:dyDescent="0.25">
      <c r="A5175" s="131" t="s">
        <v>17571</v>
      </c>
      <c r="B5175" t="s">
        <v>27990</v>
      </c>
      <c r="C5175">
        <v>1</v>
      </c>
      <c r="D5175" t="s">
        <v>23629</v>
      </c>
      <c r="E5175" t="s">
        <v>23632</v>
      </c>
    </row>
    <row r="5176" spans="1:5" x14ac:dyDescent="0.25">
      <c r="A5176" s="130" t="s">
        <v>17571</v>
      </c>
      <c r="B5176" t="s">
        <v>27991</v>
      </c>
      <c r="C5176">
        <v>1</v>
      </c>
      <c r="D5176" t="s">
        <v>23629</v>
      </c>
      <c r="E5176" t="s">
        <v>23632</v>
      </c>
    </row>
    <row r="5177" spans="1:5" x14ac:dyDescent="0.25">
      <c r="A5177" s="130" t="s">
        <v>17571</v>
      </c>
      <c r="B5177" t="s">
        <v>27992</v>
      </c>
      <c r="C5177">
        <v>1</v>
      </c>
      <c r="D5177" t="s">
        <v>23629</v>
      </c>
      <c r="E5177" t="s">
        <v>23632</v>
      </c>
    </row>
    <row r="5178" spans="1:5" x14ac:dyDescent="0.25">
      <c r="A5178" s="131" t="s">
        <v>17571</v>
      </c>
      <c r="B5178" t="s">
        <v>27993</v>
      </c>
      <c r="C5178">
        <v>1</v>
      </c>
      <c r="D5178" t="s">
        <v>23629</v>
      </c>
      <c r="E5178" t="s">
        <v>23632</v>
      </c>
    </row>
    <row r="5179" spans="1:5" x14ac:dyDescent="0.25">
      <c r="A5179" s="130" t="str">
        <f>LEFT(B5179,1)</f>
        <v>T</v>
      </c>
      <c r="B5179" t="s">
        <v>29159</v>
      </c>
      <c r="C5179">
        <v>1</v>
      </c>
      <c r="D5179" t="s">
        <v>23629</v>
      </c>
      <c r="E5179" t="s">
        <v>23632</v>
      </c>
    </row>
    <row r="5180" spans="1:5" x14ac:dyDescent="0.25">
      <c r="A5180" s="131" t="str">
        <f>LEFT((B5180),1)</f>
        <v>T</v>
      </c>
      <c r="B5180" t="s">
        <v>27994</v>
      </c>
      <c r="C5180">
        <v>1</v>
      </c>
      <c r="D5180" t="s">
        <v>23629</v>
      </c>
      <c r="E5180" t="s">
        <v>23632</v>
      </c>
    </row>
    <row r="5181" spans="1:5" x14ac:dyDescent="0.25">
      <c r="A5181" s="130" t="s">
        <v>17571</v>
      </c>
      <c r="B5181" t="s">
        <v>27995</v>
      </c>
      <c r="C5181">
        <v>1</v>
      </c>
      <c r="D5181" t="s">
        <v>23629</v>
      </c>
      <c r="E5181" t="s">
        <v>23632</v>
      </c>
    </row>
    <row r="5182" spans="1:5" x14ac:dyDescent="0.25">
      <c r="A5182" s="131" t="s">
        <v>17571</v>
      </c>
      <c r="B5182" t="s">
        <v>27996</v>
      </c>
      <c r="C5182">
        <v>1</v>
      </c>
      <c r="D5182" t="s">
        <v>23629</v>
      </c>
      <c r="E5182" t="s">
        <v>23632</v>
      </c>
    </row>
    <row r="5183" spans="1:5" x14ac:dyDescent="0.25">
      <c r="A5183" s="130" t="s">
        <v>17571</v>
      </c>
      <c r="B5183" t="s">
        <v>27997</v>
      </c>
      <c r="C5183">
        <v>1</v>
      </c>
      <c r="D5183" t="s">
        <v>23629</v>
      </c>
      <c r="E5183" t="s">
        <v>23632</v>
      </c>
    </row>
    <row r="5184" spans="1:5" x14ac:dyDescent="0.25">
      <c r="A5184" s="130" t="str">
        <f>LEFT((B5184),1)</f>
        <v>T</v>
      </c>
      <c r="B5184" t="s">
        <v>27998</v>
      </c>
      <c r="C5184">
        <v>1</v>
      </c>
      <c r="D5184" t="s">
        <v>23629</v>
      </c>
      <c r="E5184" t="s">
        <v>23632</v>
      </c>
    </row>
    <row r="5185" spans="1:5" x14ac:dyDescent="0.25">
      <c r="A5185" s="131" t="s">
        <v>17571</v>
      </c>
      <c r="B5185" t="s">
        <v>27999</v>
      </c>
      <c r="C5185">
        <v>1</v>
      </c>
      <c r="D5185" t="s">
        <v>23629</v>
      </c>
      <c r="E5185" t="s">
        <v>23632</v>
      </c>
    </row>
    <row r="5186" spans="1:5" x14ac:dyDescent="0.25">
      <c r="A5186" s="130" t="s">
        <v>17571</v>
      </c>
      <c r="B5186" t="s">
        <v>28000</v>
      </c>
      <c r="C5186">
        <v>1</v>
      </c>
      <c r="D5186" t="s">
        <v>23629</v>
      </c>
      <c r="E5186" t="s">
        <v>23632</v>
      </c>
    </row>
    <row r="5187" spans="1:5" x14ac:dyDescent="0.25">
      <c r="A5187" s="131" t="s">
        <v>17571</v>
      </c>
      <c r="B5187" t="s">
        <v>28001</v>
      </c>
      <c r="C5187">
        <v>1</v>
      </c>
      <c r="D5187" t="s">
        <v>23629</v>
      </c>
      <c r="E5187" t="s">
        <v>23632</v>
      </c>
    </row>
    <row r="5188" spans="1:5" x14ac:dyDescent="0.25">
      <c r="A5188" s="130" t="s">
        <v>17571</v>
      </c>
      <c r="B5188" t="s">
        <v>28002</v>
      </c>
      <c r="C5188">
        <v>1</v>
      </c>
      <c r="D5188" t="s">
        <v>23629</v>
      </c>
      <c r="E5188" t="s">
        <v>23632</v>
      </c>
    </row>
    <row r="5189" spans="1:5" x14ac:dyDescent="0.25">
      <c r="A5189" s="131" t="str">
        <f>LEFT((B5189),1)</f>
        <v>T</v>
      </c>
      <c r="B5189" t="s">
        <v>28003</v>
      </c>
      <c r="C5189">
        <v>1</v>
      </c>
      <c r="D5189" t="s">
        <v>23629</v>
      </c>
      <c r="E5189" t="s">
        <v>23632</v>
      </c>
    </row>
    <row r="5190" spans="1:5" x14ac:dyDescent="0.25">
      <c r="A5190" s="131" t="s">
        <v>17571</v>
      </c>
      <c r="B5190" t="s">
        <v>28004</v>
      </c>
      <c r="C5190">
        <v>1</v>
      </c>
      <c r="D5190" t="s">
        <v>23629</v>
      </c>
      <c r="E5190" t="s">
        <v>23632</v>
      </c>
    </row>
    <row r="5191" spans="1:5" x14ac:dyDescent="0.25">
      <c r="A5191" s="130" t="s">
        <v>17571</v>
      </c>
      <c r="B5191" t="s">
        <v>28005</v>
      </c>
      <c r="C5191">
        <v>1</v>
      </c>
      <c r="D5191" t="s">
        <v>23629</v>
      </c>
      <c r="E5191" t="s">
        <v>23632</v>
      </c>
    </row>
    <row r="5192" spans="1:5" x14ac:dyDescent="0.25">
      <c r="A5192" s="131" t="s">
        <v>17571</v>
      </c>
      <c r="B5192" t="s">
        <v>28006</v>
      </c>
      <c r="C5192">
        <v>1</v>
      </c>
      <c r="D5192" t="s">
        <v>23629</v>
      </c>
      <c r="E5192" t="s">
        <v>23632</v>
      </c>
    </row>
    <row r="5193" spans="1:5" x14ac:dyDescent="0.25">
      <c r="A5193" s="130" t="s">
        <v>17571</v>
      </c>
      <c r="B5193" t="s">
        <v>28007</v>
      </c>
      <c r="C5193">
        <v>1</v>
      </c>
      <c r="D5193" t="s">
        <v>23629</v>
      </c>
      <c r="E5193" t="s">
        <v>23632</v>
      </c>
    </row>
    <row r="5194" spans="1:5" x14ac:dyDescent="0.25">
      <c r="A5194" s="130" t="s">
        <v>17571</v>
      </c>
      <c r="B5194" t="s">
        <v>28008</v>
      </c>
      <c r="C5194">
        <v>1</v>
      </c>
      <c r="D5194" t="s">
        <v>23629</v>
      </c>
      <c r="E5194" t="s">
        <v>23632</v>
      </c>
    </row>
    <row r="5195" spans="1:5" x14ac:dyDescent="0.25">
      <c r="A5195" s="131" t="s">
        <v>17571</v>
      </c>
      <c r="B5195" t="s">
        <v>28009</v>
      </c>
      <c r="C5195">
        <v>1</v>
      </c>
      <c r="D5195" t="s">
        <v>23629</v>
      </c>
      <c r="E5195" t="s">
        <v>23632</v>
      </c>
    </row>
    <row r="5196" spans="1:5" x14ac:dyDescent="0.25">
      <c r="A5196" s="130" t="s">
        <v>17571</v>
      </c>
      <c r="B5196" t="s">
        <v>28010</v>
      </c>
      <c r="C5196">
        <v>1</v>
      </c>
      <c r="D5196" t="s">
        <v>23629</v>
      </c>
      <c r="E5196" t="s">
        <v>23632</v>
      </c>
    </row>
    <row r="5197" spans="1:5" x14ac:dyDescent="0.25">
      <c r="A5197" s="131" t="s">
        <v>17571</v>
      </c>
      <c r="B5197" t="s">
        <v>28011</v>
      </c>
      <c r="C5197">
        <v>1.21</v>
      </c>
      <c r="D5197" t="s">
        <v>24432</v>
      </c>
      <c r="E5197" t="s">
        <v>23632</v>
      </c>
    </row>
    <row r="5198" spans="1:5" x14ac:dyDescent="0.25">
      <c r="A5198" s="131" t="str">
        <f>LEFT(B5198,1)</f>
        <v>T</v>
      </c>
      <c r="B5198" t="s">
        <v>28110</v>
      </c>
      <c r="C5198">
        <v>1</v>
      </c>
      <c r="D5198" t="s">
        <v>23629</v>
      </c>
      <c r="E5198" t="s">
        <v>23632</v>
      </c>
    </row>
    <row r="5199" spans="1:5" x14ac:dyDescent="0.25">
      <c r="A5199" s="130" t="s">
        <v>17571</v>
      </c>
      <c r="B5199" t="s">
        <v>28012</v>
      </c>
      <c r="C5199">
        <v>1</v>
      </c>
      <c r="D5199" t="s">
        <v>23629</v>
      </c>
      <c r="E5199" t="s">
        <v>23632</v>
      </c>
    </row>
    <row r="5200" spans="1:5" x14ac:dyDescent="0.25">
      <c r="A5200" s="131" t="s">
        <v>17571</v>
      </c>
      <c r="B5200" t="s">
        <v>28013</v>
      </c>
      <c r="C5200">
        <v>1</v>
      </c>
      <c r="D5200" t="s">
        <v>23629</v>
      </c>
      <c r="E5200" t="s">
        <v>23632</v>
      </c>
    </row>
    <row r="5201" spans="1:5" x14ac:dyDescent="0.25">
      <c r="A5201" s="130" t="s">
        <v>17571</v>
      </c>
      <c r="B5201" t="s">
        <v>28014</v>
      </c>
      <c r="C5201">
        <v>1</v>
      </c>
      <c r="D5201" t="s">
        <v>23629</v>
      </c>
      <c r="E5201" t="s">
        <v>23632</v>
      </c>
    </row>
    <row r="5202" spans="1:5" x14ac:dyDescent="0.25">
      <c r="A5202" s="131" t="s">
        <v>17571</v>
      </c>
      <c r="B5202" t="s">
        <v>28015</v>
      </c>
      <c r="C5202">
        <v>1.05</v>
      </c>
      <c r="D5202" t="s">
        <v>23629</v>
      </c>
      <c r="E5202" t="s">
        <v>23632</v>
      </c>
    </row>
    <row r="5203" spans="1:5" x14ac:dyDescent="0.25">
      <c r="A5203" s="131" t="s">
        <v>17571</v>
      </c>
      <c r="B5203" t="s">
        <v>28016</v>
      </c>
      <c r="C5203">
        <v>1</v>
      </c>
      <c r="D5203" t="s">
        <v>23629</v>
      </c>
      <c r="E5203" t="s">
        <v>23632</v>
      </c>
    </row>
    <row r="5204" spans="1:5" x14ac:dyDescent="0.25">
      <c r="A5204" s="130" t="s">
        <v>17571</v>
      </c>
      <c r="B5204" t="s">
        <v>28017</v>
      </c>
      <c r="C5204">
        <v>1</v>
      </c>
      <c r="D5204" t="s">
        <v>23629</v>
      </c>
      <c r="E5204" t="s">
        <v>23632</v>
      </c>
    </row>
    <row r="5205" spans="1:5" x14ac:dyDescent="0.25">
      <c r="A5205" s="130" t="s">
        <v>17571</v>
      </c>
      <c r="B5205" t="s">
        <v>28018</v>
      </c>
      <c r="C5205">
        <v>1</v>
      </c>
      <c r="D5205" t="s">
        <v>23629</v>
      </c>
      <c r="E5205" t="s">
        <v>23632</v>
      </c>
    </row>
    <row r="5206" spans="1:5" x14ac:dyDescent="0.25">
      <c r="A5206" s="130" t="str">
        <f>LEFT(B5206,1)</f>
        <v>T</v>
      </c>
      <c r="B5206" t="s">
        <v>28630</v>
      </c>
      <c r="C5206">
        <v>1</v>
      </c>
      <c r="D5206" t="s">
        <v>23629</v>
      </c>
      <c r="E5206" t="s">
        <v>23632</v>
      </c>
    </row>
    <row r="5207" spans="1:5" x14ac:dyDescent="0.25">
      <c r="A5207" s="131" t="s">
        <v>17571</v>
      </c>
      <c r="B5207" t="s">
        <v>28019</v>
      </c>
      <c r="C5207">
        <v>1</v>
      </c>
      <c r="D5207" t="s">
        <v>23629</v>
      </c>
      <c r="E5207" t="s">
        <v>23632</v>
      </c>
    </row>
    <row r="5208" spans="1:5" x14ac:dyDescent="0.25">
      <c r="A5208" s="130" t="str">
        <f>LEFT(B5208,1)</f>
        <v>T</v>
      </c>
      <c r="B5208" t="s">
        <v>28120</v>
      </c>
      <c r="C5208">
        <v>1</v>
      </c>
      <c r="D5208" t="s">
        <v>23629</v>
      </c>
      <c r="E5208" t="s">
        <v>23632</v>
      </c>
    </row>
    <row r="5209" spans="1:5" x14ac:dyDescent="0.25">
      <c r="A5209" s="130" t="s">
        <v>17571</v>
      </c>
      <c r="B5209" t="s">
        <v>28020</v>
      </c>
      <c r="C5209">
        <v>1</v>
      </c>
      <c r="D5209" t="s">
        <v>23629</v>
      </c>
      <c r="E5209" t="s">
        <v>23632</v>
      </c>
    </row>
    <row r="5210" spans="1:5" x14ac:dyDescent="0.25">
      <c r="A5210" s="131" t="s">
        <v>17571</v>
      </c>
      <c r="B5210" t="s">
        <v>28021</v>
      </c>
      <c r="C5210">
        <v>1</v>
      </c>
      <c r="D5210" t="s">
        <v>23629</v>
      </c>
      <c r="E5210" t="s">
        <v>23632</v>
      </c>
    </row>
    <row r="5211" spans="1:5" x14ac:dyDescent="0.25">
      <c r="A5211" s="130" t="s">
        <v>17571</v>
      </c>
      <c r="B5211" t="s">
        <v>28022</v>
      </c>
      <c r="C5211">
        <v>1</v>
      </c>
      <c r="D5211" t="s">
        <v>23629</v>
      </c>
      <c r="E5211" t="s">
        <v>23632</v>
      </c>
    </row>
    <row r="5212" spans="1:5" x14ac:dyDescent="0.25">
      <c r="A5212" s="131" t="s">
        <v>17571</v>
      </c>
      <c r="B5212" t="s">
        <v>28023</v>
      </c>
      <c r="C5212">
        <v>1</v>
      </c>
      <c r="D5212" t="s">
        <v>23629</v>
      </c>
      <c r="E5212" t="s">
        <v>23632</v>
      </c>
    </row>
    <row r="5213" spans="1:5" x14ac:dyDescent="0.25">
      <c r="A5213" s="130" t="s">
        <v>17571</v>
      </c>
      <c r="B5213" t="s">
        <v>28024</v>
      </c>
      <c r="C5213">
        <v>1</v>
      </c>
      <c r="D5213" t="s">
        <v>23629</v>
      </c>
      <c r="E5213" t="s">
        <v>23632</v>
      </c>
    </row>
    <row r="5214" spans="1:5" x14ac:dyDescent="0.25">
      <c r="A5214" s="131" t="s">
        <v>17571</v>
      </c>
      <c r="B5214" t="s">
        <v>28025</v>
      </c>
      <c r="C5214">
        <v>1</v>
      </c>
      <c r="D5214" t="s">
        <v>23629</v>
      </c>
      <c r="E5214" t="s">
        <v>23632</v>
      </c>
    </row>
    <row r="5215" spans="1:5" x14ac:dyDescent="0.25">
      <c r="A5215" s="130" t="str">
        <f>LEFT(B5215,1)</f>
        <v>T</v>
      </c>
      <c r="B5215" t="s">
        <v>28631</v>
      </c>
      <c r="C5215">
        <v>1</v>
      </c>
      <c r="D5215" t="s">
        <v>23629</v>
      </c>
      <c r="E5215" t="s">
        <v>23632</v>
      </c>
    </row>
    <row r="5216" spans="1:5" x14ac:dyDescent="0.25">
      <c r="A5216" s="131" t="s">
        <v>17571</v>
      </c>
      <c r="B5216" t="s">
        <v>28026</v>
      </c>
      <c r="C5216">
        <v>1</v>
      </c>
      <c r="D5216" t="s">
        <v>23629</v>
      </c>
      <c r="E5216" t="s">
        <v>23632</v>
      </c>
    </row>
    <row r="5217" spans="1:5" x14ac:dyDescent="0.25">
      <c r="A5217" s="130" t="str">
        <f>LEFT(B5217,1)</f>
        <v>T</v>
      </c>
      <c r="B5217" t="s">
        <v>28902</v>
      </c>
      <c r="C5217">
        <v>1</v>
      </c>
      <c r="D5217" t="s">
        <v>23629</v>
      </c>
      <c r="E5217" t="s">
        <v>23632</v>
      </c>
    </row>
    <row r="5218" spans="1:5" x14ac:dyDescent="0.25">
      <c r="A5218" s="130" t="s">
        <v>17571</v>
      </c>
      <c r="B5218" t="s">
        <v>28027</v>
      </c>
      <c r="C5218">
        <v>1</v>
      </c>
      <c r="D5218" t="s">
        <v>23629</v>
      </c>
      <c r="E5218" t="s">
        <v>23632</v>
      </c>
    </row>
    <row r="5219" spans="1:5" x14ac:dyDescent="0.25">
      <c r="A5219" s="130" t="str">
        <f>LEFT(B5219,1)</f>
        <v>T</v>
      </c>
      <c r="B5219" t="s">
        <v>29160</v>
      </c>
      <c r="C5219">
        <v>1</v>
      </c>
      <c r="D5219" t="s">
        <v>23629</v>
      </c>
      <c r="E5219" t="s">
        <v>23632</v>
      </c>
    </row>
    <row r="5220" spans="1:5" x14ac:dyDescent="0.25">
      <c r="A5220" s="131" t="s">
        <v>17571</v>
      </c>
      <c r="B5220" t="s">
        <v>28028</v>
      </c>
      <c r="C5220">
        <v>1</v>
      </c>
      <c r="D5220" t="s">
        <v>23629</v>
      </c>
      <c r="E5220" t="s">
        <v>23632</v>
      </c>
    </row>
    <row r="5221" spans="1:5" x14ac:dyDescent="0.25">
      <c r="A5221" s="130" t="str">
        <f>LEFT(B5221,1)</f>
        <v>T</v>
      </c>
      <c r="B5221" t="s">
        <v>28632</v>
      </c>
      <c r="C5221">
        <v>1</v>
      </c>
      <c r="D5221" t="s">
        <v>23629</v>
      </c>
      <c r="E5221" t="s">
        <v>23632</v>
      </c>
    </row>
    <row r="5222" spans="1:5" x14ac:dyDescent="0.25">
      <c r="A5222" s="130" t="s">
        <v>17571</v>
      </c>
      <c r="B5222" t="s">
        <v>28029</v>
      </c>
      <c r="C5222">
        <v>1.1100000000000001</v>
      </c>
      <c r="D5222" t="s">
        <v>23629</v>
      </c>
      <c r="E5222" t="s">
        <v>23632</v>
      </c>
    </row>
    <row r="5223" spans="1:5" x14ac:dyDescent="0.25">
      <c r="A5223" s="131" t="s">
        <v>17571</v>
      </c>
      <c r="B5223" t="s">
        <v>28030</v>
      </c>
      <c r="C5223">
        <v>1</v>
      </c>
      <c r="D5223" t="s">
        <v>23629</v>
      </c>
      <c r="E5223" t="s">
        <v>23632</v>
      </c>
    </row>
    <row r="5224" spans="1:5" x14ac:dyDescent="0.25">
      <c r="A5224" s="130" t="str">
        <f>LEFT((B5224),1)</f>
        <v>T</v>
      </c>
      <c r="B5224" t="s">
        <v>28031</v>
      </c>
      <c r="C5224">
        <v>1</v>
      </c>
      <c r="D5224" t="s">
        <v>23629</v>
      </c>
      <c r="E5224" t="s">
        <v>23632</v>
      </c>
    </row>
    <row r="5225" spans="1:5" x14ac:dyDescent="0.25">
      <c r="A5225" s="130" t="s">
        <v>17571</v>
      </c>
      <c r="B5225" t="s">
        <v>28032</v>
      </c>
      <c r="C5225">
        <v>1</v>
      </c>
      <c r="D5225" t="s">
        <v>23629</v>
      </c>
      <c r="E5225" t="s">
        <v>23632</v>
      </c>
    </row>
    <row r="5226" spans="1:5" x14ac:dyDescent="0.25">
      <c r="A5226" s="130" t="str">
        <f>LEFT(B5226,1)</f>
        <v>T</v>
      </c>
      <c r="B5226" t="s">
        <v>28111</v>
      </c>
      <c r="C5226">
        <v>1</v>
      </c>
      <c r="D5226" t="s">
        <v>23629</v>
      </c>
      <c r="E5226" t="s">
        <v>23632</v>
      </c>
    </row>
    <row r="5227" spans="1:5" x14ac:dyDescent="0.25">
      <c r="A5227" s="131" t="s">
        <v>17571</v>
      </c>
      <c r="B5227" t="s">
        <v>28033</v>
      </c>
      <c r="C5227">
        <v>1</v>
      </c>
      <c r="D5227" t="s">
        <v>23629</v>
      </c>
      <c r="E5227" t="s">
        <v>23632</v>
      </c>
    </row>
    <row r="5228" spans="1:5" x14ac:dyDescent="0.25">
      <c r="A5228" s="130" t="str">
        <f>LEFT(B5228,1)</f>
        <v>T</v>
      </c>
      <c r="B5228" t="s">
        <v>29161</v>
      </c>
      <c r="C5228">
        <v>1</v>
      </c>
      <c r="D5228" t="s">
        <v>23629</v>
      </c>
      <c r="E5228" t="s">
        <v>23632</v>
      </c>
    </row>
    <row r="5229" spans="1:5" x14ac:dyDescent="0.25">
      <c r="A5229" s="130" t="s">
        <v>17571</v>
      </c>
      <c r="B5229" t="s">
        <v>28034</v>
      </c>
      <c r="C5229">
        <v>1</v>
      </c>
      <c r="D5229" t="s">
        <v>23629</v>
      </c>
      <c r="E5229" t="s">
        <v>23632</v>
      </c>
    </row>
    <row r="5230" spans="1:5" x14ac:dyDescent="0.25">
      <c r="A5230" s="131" t="s">
        <v>17571</v>
      </c>
      <c r="B5230" t="s">
        <v>28035</v>
      </c>
      <c r="C5230">
        <v>1</v>
      </c>
      <c r="D5230" t="s">
        <v>23629</v>
      </c>
      <c r="E5230" t="s">
        <v>23632</v>
      </c>
    </row>
    <row r="5231" spans="1:5" x14ac:dyDescent="0.25">
      <c r="A5231" s="130" t="s">
        <v>17571</v>
      </c>
      <c r="B5231" t="s">
        <v>28036</v>
      </c>
      <c r="C5231">
        <v>1</v>
      </c>
      <c r="D5231" t="s">
        <v>23629</v>
      </c>
      <c r="E5231" t="s">
        <v>23632</v>
      </c>
    </row>
    <row r="5232" spans="1:5" x14ac:dyDescent="0.25">
      <c r="A5232" s="131" t="s">
        <v>17571</v>
      </c>
      <c r="B5232" t="s">
        <v>28037</v>
      </c>
      <c r="C5232">
        <v>1</v>
      </c>
      <c r="D5232" t="s">
        <v>23629</v>
      </c>
      <c r="E5232" t="s">
        <v>23632</v>
      </c>
    </row>
    <row r="5233" spans="1:5" x14ac:dyDescent="0.25">
      <c r="A5233" s="130" t="str">
        <f>LEFT(B5233,1)</f>
        <v>T</v>
      </c>
      <c r="B5233" t="s">
        <v>28903</v>
      </c>
      <c r="C5233">
        <v>1</v>
      </c>
      <c r="D5233" t="s">
        <v>23629</v>
      </c>
      <c r="E5233" t="s">
        <v>23632</v>
      </c>
    </row>
    <row r="5234" spans="1:5" x14ac:dyDescent="0.25">
      <c r="A5234" s="130" t="s">
        <v>17571</v>
      </c>
      <c r="B5234" t="s">
        <v>28038</v>
      </c>
      <c r="C5234">
        <v>1</v>
      </c>
      <c r="D5234" t="s">
        <v>23629</v>
      </c>
      <c r="E5234" t="s">
        <v>23632</v>
      </c>
    </row>
    <row r="5235" spans="1:5" x14ac:dyDescent="0.25">
      <c r="A5235" s="130" t="str">
        <f>LEFT(B5235,1)</f>
        <v>T</v>
      </c>
      <c r="B5235" t="s">
        <v>29162</v>
      </c>
      <c r="C5235">
        <v>1</v>
      </c>
      <c r="D5235" t="s">
        <v>23629</v>
      </c>
      <c r="E5235" t="s">
        <v>23632</v>
      </c>
    </row>
    <row r="5236" spans="1:5" x14ac:dyDescent="0.25">
      <c r="A5236" s="131" t="s">
        <v>17571</v>
      </c>
      <c r="B5236" t="s">
        <v>28039</v>
      </c>
      <c r="C5236">
        <v>1</v>
      </c>
      <c r="D5236" t="s">
        <v>23629</v>
      </c>
      <c r="E5236" t="s">
        <v>23632</v>
      </c>
    </row>
    <row r="5237" spans="1:5" x14ac:dyDescent="0.25">
      <c r="A5237" s="130" t="s">
        <v>17571</v>
      </c>
      <c r="B5237" t="s">
        <v>28040</v>
      </c>
      <c r="C5237">
        <v>1</v>
      </c>
      <c r="D5237" t="s">
        <v>23629</v>
      </c>
      <c r="E5237" t="s">
        <v>23632</v>
      </c>
    </row>
    <row r="5238" spans="1:5" x14ac:dyDescent="0.25">
      <c r="A5238" s="131" t="s">
        <v>17571</v>
      </c>
      <c r="B5238" t="s">
        <v>28041</v>
      </c>
      <c r="C5238">
        <v>1</v>
      </c>
      <c r="D5238" t="s">
        <v>23629</v>
      </c>
      <c r="E5238" t="s">
        <v>23632</v>
      </c>
    </row>
    <row r="5239" spans="1:5" x14ac:dyDescent="0.25">
      <c r="A5239" s="130" t="s">
        <v>17571</v>
      </c>
      <c r="B5239" t="s">
        <v>28042</v>
      </c>
      <c r="C5239">
        <v>1</v>
      </c>
      <c r="D5239" t="s">
        <v>23629</v>
      </c>
      <c r="E5239" t="s">
        <v>23632</v>
      </c>
    </row>
    <row r="5240" spans="1:5" x14ac:dyDescent="0.25">
      <c r="A5240" s="131" t="s">
        <v>17571</v>
      </c>
      <c r="B5240" t="s">
        <v>28043</v>
      </c>
      <c r="C5240">
        <v>1</v>
      </c>
      <c r="D5240" t="s">
        <v>23629</v>
      </c>
      <c r="E5240" t="s">
        <v>23632</v>
      </c>
    </row>
    <row r="5241" spans="1:5" x14ac:dyDescent="0.25">
      <c r="A5241" s="130" t="s">
        <v>17571</v>
      </c>
      <c r="B5241" t="s">
        <v>28044</v>
      </c>
      <c r="C5241">
        <v>1</v>
      </c>
      <c r="D5241" t="s">
        <v>23629</v>
      </c>
      <c r="E5241" t="s">
        <v>23632</v>
      </c>
    </row>
    <row r="5242" spans="1:5" x14ac:dyDescent="0.25">
      <c r="A5242" s="131" t="s">
        <v>17571</v>
      </c>
      <c r="B5242" t="s">
        <v>28045</v>
      </c>
      <c r="C5242">
        <v>1</v>
      </c>
      <c r="D5242" t="s">
        <v>23629</v>
      </c>
      <c r="E5242" t="s">
        <v>23632</v>
      </c>
    </row>
    <row r="5243" spans="1:5" x14ac:dyDescent="0.25">
      <c r="A5243" s="131" t="str">
        <f>LEFT(B5243,1)</f>
        <v>T</v>
      </c>
      <c r="B5243" t="s">
        <v>28121</v>
      </c>
      <c r="C5243">
        <v>1</v>
      </c>
      <c r="D5243" t="s">
        <v>23629</v>
      </c>
      <c r="E5243" t="s">
        <v>23632</v>
      </c>
    </row>
    <row r="5244" spans="1:5" x14ac:dyDescent="0.25">
      <c r="A5244" s="130" t="s">
        <v>17571</v>
      </c>
      <c r="B5244" t="s">
        <v>28046</v>
      </c>
      <c r="C5244">
        <v>1</v>
      </c>
      <c r="D5244" t="s">
        <v>23629</v>
      </c>
      <c r="E5244" t="s">
        <v>23632</v>
      </c>
    </row>
    <row r="5245" spans="1:5" x14ac:dyDescent="0.25">
      <c r="A5245" s="130" t="s">
        <v>17571</v>
      </c>
      <c r="B5245" t="s">
        <v>28047</v>
      </c>
      <c r="C5245">
        <v>1</v>
      </c>
      <c r="D5245" t="s">
        <v>23629</v>
      </c>
      <c r="E5245" t="s">
        <v>23632</v>
      </c>
    </row>
    <row r="5246" spans="1:5" x14ac:dyDescent="0.25">
      <c r="A5246" s="130" t="str">
        <f>LEFT(B5246,1)</f>
        <v>T</v>
      </c>
      <c r="B5246" t="s">
        <v>29163</v>
      </c>
      <c r="C5246">
        <v>1</v>
      </c>
      <c r="D5246" t="s">
        <v>23629</v>
      </c>
      <c r="E5246" t="s">
        <v>23632</v>
      </c>
    </row>
    <row r="5247" spans="1:5" x14ac:dyDescent="0.25">
      <c r="A5247" s="131" t="s">
        <v>17571</v>
      </c>
      <c r="B5247" t="s">
        <v>28048</v>
      </c>
      <c r="C5247">
        <v>1</v>
      </c>
      <c r="D5247" t="s">
        <v>23629</v>
      </c>
      <c r="E5247" t="s">
        <v>23632</v>
      </c>
    </row>
    <row r="5248" spans="1:5" x14ac:dyDescent="0.25">
      <c r="A5248" s="130" t="s">
        <v>17571</v>
      </c>
      <c r="B5248" t="s">
        <v>28049</v>
      </c>
      <c r="C5248">
        <v>1</v>
      </c>
      <c r="D5248" t="s">
        <v>23629</v>
      </c>
      <c r="E5248" t="s">
        <v>23632</v>
      </c>
    </row>
    <row r="5249" spans="1:5" x14ac:dyDescent="0.25">
      <c r="A5249" s="131" t="s">
        <v>17571</v>
      </c>
      <c r="B5249" t="s">
        <v>28050</v>
      </c>
      <c r="C5249">
        <v>1</v>
      </c>
      <c r="D5249" t="s">
        <v>23629</v>
      </c>
      <c r="E5249" t="s">
        <v>23632</v>
      </c>
    </row>
    <row r="5250" spans="1:5" x14ac:dyDescent="0.25">
      <c r="A5250" s="130" t="s">
        <v>17571</v>
      </c>
      <c r="B5250" t="s">
        <v>28051</v>
      </c>
      <c r="C5250">
        <v>1</v>
      </c>
      <c r="D5250" t="s">
        <v>23629</v>
      </c>
      <c r="E5250" t="s">
        <v>23632</v>
      </c>
    </row>
    <row r="5251" spans="1:5" x14ac:dyDescent="0.25">
      <c r="A5251" s="131" t="s">
        <v>17571</v>
      </c>
      <c r="B5251" t="s">
        <v>28052</v>
      </c>
      <c r="C5251">
        <v>1</v>
      </c>
      <c r="D5251" t="s">
        <v>23629</v>
      </c>
      <c r="E5251" t="s">
        <v>23632</v>
      </c>
    </row>
    <row r="5252" spans="1:5" x14ac:dyDescent="0.25">
      <c r="A5252" s="130" t="str">
        <f>LEFT(B5252,1)</f>
        <v>T</v>
      </c>
      <c r="B5252" t="s">
        <v>28122</v>
      </c>
      <c r="C5252">
        <v>1</v>
      </c>
      <c r="D5252" t="s">
        <v>23629</v>
      </c>
      <c r="E5252" t="s">
        <v>23632</v>
      </c>
    </row>
    <row r="5253" spans="1:5" x14ac:dyDescent="0.25">
      <c r="A5253" s="131" t="s">
        <v>17571</v>
      </c>
      <c r="B5253" t="s">
        <v>28053</v>
      </c>
      <c r="C5253">
        <v>1</v>
      </c>
      <c r="D5253" t="s">
        <v>23629</v>
      </c>
      <c r="E5253" t="s">
        <v>23632</v>
      </c>
    </row>
    <row r="5254" spans="1:5" x14ac:dyDescent="0.25">
      <c r="A5254" s="130" t="s">
        <v>17571</v>
      </c>
      <c r="B5254" t="s">
        <v>28054</v>
      </c>
      <c r="C5254">
        <v>1</v>
      </c>
      <c r="D5254" t="s">
        <v>23629</v>
      </c>
      <c r="E5254" t="s">
        <v>23632</v>
      </c>
    </row>
    <row r="5255" spans="1:5" x14ac:dyDescent="0.25">
      <c r="A5255" s="131" t="s">
        <v>17571</v>
      </c>
      <c r="B5255" t="s">
        <v>28055</v>
      </c>
      <c r="C5255">
        <v>1</v>
      </c>
      <c r="D5255" t="s">
        <v>23629</v>
      </c>
      <c r="E5255" t="s">
        <v>23632</v>
      </c>
    </row>
    <row r="5256" spans="1:5" x14ac:dyDescent="0.25">
      <c r="A5256" s="130" t="s">
        <v>17571</v>
      </c>
      <c r="B5256" t="s">
        <v>28056</v>
      </c>
      <c r="C5256">
        <v>1</v>
      </c>
      <c r="D5256" t="s">
        <v>23629</v>
      </c>
      <c r="E5256" t="s">
        <v>23632</v>
      </c>
    </row>
    <row r="5257" spans="1:5" x14ac:dyDescent="0.25">
      <c r="A5257" s="131" t="s">
        <v>17571</v>
      </c>
      <c r="B5257" t="s">
        <v>28057</v>
      </c>
      <c r="C5257">
        <v>1</v>
      </c>
      <c r="D5257" t="s">
        <v>23629</v>
      </c>
      <c r="E5257" t="s">
        <v>23632</v>
      </c>
    </row>
    <row r="5258" spans="1:5" x14ac:dyDescent="0.25">
      <c r="A5258" s="131" t="str">
        <f>LEFT(B5258,1)</f>
        <v>T</v>
      </c>
      <c r="B5258" t="s">
        <v>28112</v>
      </c>
      <c r="C5258">
        <v>1</v>
      </c>
      <c r="D5258" t="s">
        <v>23629</v>
      </c>
      <c r="E5258" t="s">
        <v>23632</v>
      </c>
    </row>
    <row r="5259" spans="1:5" x14ac:dyDescent="0.25">
      <c r="A5259" s="130" t="s">
        <v>17571</v>
      </c>
      <c r="B5259" t="s">
        <v>28058</v>
      </c>
      <c r="C5259">
        <v>1.1499999999999999</v>
      </c>
      <c r="D5259" t="s">
        <v>24432</v>
      </c>
      <c r="E5259" t="s">
        <v>23632</v>
      </c>
    </row>
    <row r="5260" spans="1:5" x14ac:dyDescent="0.25">
      <c r="A5260" s="130" t="str">
        <f>LEFT(B5260,1)</f>
        <v>T</v>
      </c>
      <c r="B5260" t="s">
        <v>28633</v>
      </c>
      <c r="C5260">
        <v>1</v>
      </c>
      <c r="D5260" t="s">
        <v>23629</v>
      </c>
      <c r="E5260" t="s">
        <v>23632</v>
      </c>
    </row>
    <row r="5261" spans="1:5" x14ac:dyDescent="0.25">
      <c r="A5261" s="130" t="str">
        <f>LEFT(B5261,1)</f>
        <v>T</v>
      </c>
      <c r="B5261" t="s">
        <v>28634</v>
      </c>
      <c r="C5261">
        <v>1</v>
      </c>
      <c r="D5261" t="s">
        <v>23629</v>
      </c>
      <c r="E5261" t="s">
        <v>23632</v>
      </c>
    </row>
    <row r="5262" spans="1:5" x14ac:dyDescent="0.25">
      <c r="A5262" s="130" t="str">
        <f>LEFT(B5262,1)</f>
        <v>T</v>
      </c>
      <c r="B5262" t="s">
        <v>28635</v>
      </c>
      <c r="C5262">
        <v>1</v>
      </c>
      <c r="D5262" t="s">
        <v>23629</v>
      </c>
      <c r="E5262" t="s">
        <v>23632</v>
      </c>
    </row>
    <row r="5263" spans="1:5" x14ac:dyDescent="0.25">
      <c r="A5263" s="131" t="s">
        <v>17571</v>
      </c>
      <c r="B5263" t="s">
        <v>28059</v>
      </c>
      <c r="C5263">
        <v>1</v>
      </c>
      <c r="D5263" t="s">
        <v>23629</v>
      </c>
      <c r="E5263" t="s">
        <v>23632</v>
      </c>
    </row>
    <row r="5264" spans="1:5" x14ac:dyDescent="0.25">
      <c r="A5264" s="131" t="str">
        <f>LEFT((B5264),1)</f>
        <v>T</v>
      </c>
      <c r="B5264" t="s">
        <v>28060</v>
      </c>
      <c r="C5264">
        <v>1</v>
      </c>
      <c r="D5264" t="s">
        <v>23629</v>
      </c>
      <c r="E5264" t="s">
        <v>23632</v>
      </c>
    </row>
    <row r="5265" spans="1:5" x14ac:dyDescent="0.25">
      <c r="A5265" s="130" t="str">
        <f>LEFT(B5265,1)</f>
        <v>T</v>
      </c>
      <c r="B5265" t="s">
        <v>28636</v>
      </c>
      <c r="C5265">
        <v>1</v>
      </c>
      <c r="D5265" t="s">
        <v>23629</v>
      </c>
      <c r="E5265" t="s">
        <v>23632</v>
      </c>
    </row>
    <row r="5266" spans="1:5" x14ac:dyDescent="0.25">
      <c r="A5266" s="130" t="str">
        <f>LEFT(B5266,1)</f>
        <v>T</v>
      </c>
      <c r="B5266" t="s">
        <v>29164</v>
      </c>
      <c r="C5266">
        <v>1</v>
      </c>
      <c r="D5266" t="s">
        <v>23629</v>
      </c>
      <c r="E5266" t="s">
        <v>23632</v>
      </c>
    </row>
    <row r="5267" spans="1:5" x14ac:dyDescent="0.25">
      <c r="A5267" s="130" t="s">
        <v>17571</v>
      </c>
      <c r="B5267" t="s">
        <v>28061</v>
      </c>
      <c r="C5267">
        <v>1</v>
      </c>
      <c r="D5267" t="s">
        <v>23629</v>
      </c>
      <c r="E5267" t="s">
        <v>23632</v>
      </c>
    </row>
    <row r="5268" spans="1:5" x14ac:dyDescent="0.25">
      <c r="A5268" s="130" t="s">
        <v>17571</v>
      </c>
      <c r="B5268" t="s">
        <v>28062</v>
      </c>
      <c r="C5268">
        <v>1</v>
      </c>
      <c r="D5268" t="s">
        <v>23629</v>
      </c>
      <c r="E5268" t="s">
        <v>23632</v>
      </c>
    </row>
    <row r="5269" spans="1:5" x14ac:dyDescent="0.25">
      <c r="A5269" s="131" t="s">
        <v>17571</v>
      </c>
      <c r="B5269" t="s">
        <v>28063</v>
      </c>
      <c r="C5269">
        <v>1</v>
      </c>
      <c r="D5269" t="s">
        <v>23629</v>
      </c>
      <c r="E5269" t="s">
        <v>23632</v>
      </c>
    </row>
    <row r="5270" spans="1:5" x14ac:dyDescent="0.25">
      <c r="A5270" s="130" t="s">
        <v>17571</v>
      </c>
      <c r="B5270" t="s">
        <v>28064</v>
      </c>
      <c r="C5270">
        <v>1</v>
      </c>
      <c r="D5270" t="s">
        <v>23629</v>
      </c>
      <c r="E5270" t="s">
        <v>23632</v>
      </c>
    </row>
    <row r="5271" spans="1:5" x14ac:dyDescent="0.25">
      <c r="A5271" s="131" t="s">
        <v>17571</v>
      </c>
      <c r="B5271" t="s">
        <v>28065</v>
      </c>
      <c r="C5271">
        <v>1</v>
      </c>
      <c r="D5271" t="s">
        <v>23629</v>
      </c>
      <c r="E5271" t="s">
        <v>23632</v>
      </c>
    </row>
    <row r="5272" spans="1:5" x14ac:dyDescent="0.25">
      <c r="A5272" s="130" t="s">
        <v>17571</v>
      </c>
      <c r="B5272" t="s">
        <v>28066</v>
      </c>
      <c r="C5272">
        <v>1</v>
      </c>
      <c r="D5272" t="s">
        <v>23629</v>
      </c>
      <c r="E5272" t="s">
        <v>23632</v>
      </c>
    </row>
    <row r="5273" spans="1:5" x14ac:dyDescent="0.25">
      <c r="A5273" s="130" t="str">
        <f>LEFT((B5273),1)</f>
        <v>T</v>
      </c>
      <c r="B5273" t="s">
        <v>28067</v>
      </c>
      <c r="C5273">
        <v>1</v>
      </c>
      <c r="D5273" t="s">
        <v>23629</v>
      </c>
      <c r="E5273" t="s">
        <v>23632</v>
      </c>
    </row>
    <row r="5274" spans="1:5" x14ac:dyDescent="0.25">
      <c r="A5274" s="131" t="s">
        <v>17571</v>
      </c>
      <c r="B5274" t="s">
        <v>28068</v>
      </c>
      <c r="C5274">
        <v>1</v>
      </c>
      <c r="D5274" t="s">
        <v>23629</v>
      </c>
      <c r="E5274" t="s">
        <v>23632</v>
      </c>
    </row>
    <row r="5275" spans="1:5" x14ac:dyDescent="0.25">
      <c r="A5275" s="131" t="str">
        <f>LEFT(B5275,1)</f>
        <v>T</v>
      </c>
      <c r="B5275" t="s">
        <v>28123</v>
      </c>
      <c r="C5275">
        <v>1</v>
      </c>
      <c r="D5275" t="s">
        <v>23629</v>
      </c>
      <c r="E5275" t="s">
        <v>23632</v>
      </c>
    </row>
    <row r="5276" spans="1:5" x14ac:dyDescent="0.25">
      <c r="A5276" s="130" t="s">
        <v>17571</v>
      </c>
      <c r="B5276" t="s">
        <v>28069</v>
      </c>
      <c r="C5276">
        <v>1</v>
      </c>
      <c r="D5276" t="s">
        <v>23629</v>
      </c>
      <c r="E5276" t="s">
        <v>23632</v>
      </c>
    </row>
    <row r="5277" spans="1:5" x14ac:dyDescent="0.25">
      <c r="A5277" s="131" t="s">
        <v>17571</v>
      </c>
      <c r="B5277" t="s">
        <v>28070</v>
      </c>
      <c r="C5277">
        <v>1</v>
      </c>
      <c r="D5277" t="s">
        <v>23629</v>
      </c>
      <c r="E5277" t="s">
        <v>23632</v>
      </c>
    </row>
    <row r="5278" spans="1:5" x14ac:dyDescent="0.25">
      <c r="A5278" s="130" t="s">
        <v>17571</v>
      </c>
      <c r="B5278" t="s">
        <v>28071</v>
      </c>
      <c r="C5278">
        <v>1</v>
      </c>
      <c r="D5278" t="s">
        <v>23629</v>
      </c>
      <c r="E5278" t="s">
        <v>23632</v>
      </c>
    </row>
    <row r="5279" spans="1:5" x14ac:dyDescent="0.25">
      <c r="A5279" s="131" t="s">
        <v>17571</v>
      </c>
      <c r="B5279" t="s">
        <v>28072</v>
      </c>
      <c r="C5279">
        <v>1</v>
      </c>
      <c r="D5279" t="s">
        <v>23629</v>
      </c>
      <c r="E5279" t="s">
        <v>23632</v>
      </c>
    </row>
    <row r="5280" spans="1:5" x14ac:dyDescent="0.25">
      <c r="A5280" s="131" t="str">
        <f>LEFT((B5280),1)</f>
        <v>T</v>
      </c>
      <c r="B5280" t="s">
        <v>28073</v>
      </c>
      <c r="C5280">
        <v>1</v>
      </c>
      <c r="D5280" t="s">
        <v>23629</v>
      </c>
      <c r="E5280" t="s">
        <v>23632</v>
      </c>
    </row>
    <row r="5281" spans="1:5" x14ac:dyDescent="0.25">
      <c r="A5281" s="131" t="s">
        <v>17571</v>
      </c>
      <c r="B5281" t="s">
        <v>28074</v>
      </c>
      <c r="C5281">
        <v>1</v>
      </c>
      <c r="D5281" t="s">
        <v>23629</v>
      </c>
      <c r="E5281" t="s">
        <v>23632</v>
      </c>
    </row>
    <row r="5282" spans="1:5" x14ac:dyDescent="0.25">
      <c r="A5282" s="130" t="str">
        <f>LEFT(B5282,1)</f>
        <v>T</v>
      </c>
      <c r="B5282" t="s">
        <v>29165</v>
      </c>
      <c r="C5282">
        <v>1</v>
      </c>
      <c r="D5282" t="s">
        <v>23629</v>
      </c>
      <c r="E5282" t="s">
        <v>23632</v>
      </c>
    </row>
    <row r="5283" spans="1:5" x14ac:dyDescent="0.25">
      <c r="A5283" s="130" t="str">
        <f>LEFT(B5283,1)</f>
        <v>T</v>
      </c>
      <c r="B5283" t="s">
        <v>29166</v>
      </c>
      <c r="C5283">
        <v>1</v>
      </c>
      <c r="D5283" t="s">
        <v>23629</v>
      </c>
      <c r="E5283" t="s">
        <v>23632</v>
      </c>
    </row>
    <row r="5284" spans="1:5" x14ac:dyDescent="0.25">
      <c r="A5284" s="130" t="s">
        <v>17571</v>
      </c>
      <c r="B5284" t="s">
        <v>28075</v>
      </c>
      <c r="C5284">
        <v>1</v>
      </c>
      <c r="D5284" t="s">
        <v>23629</v>
      </c>
      <c r="E5284" t="s">
        <v>23632</v>
      </c>
    </row>
    <row r="5285" spans="1:5" x14ac:dyDescent="0.25">
      <c r="A5285" s="130" t="s">
        <v>17571</v>
      </c>
      <c r="B5285" t="s">
        <v>28076</v>
      </c>
      <c r="C5285">
        <v>1</v>
      </c>
      <c r="D5285" t="s">
        <v>23629</v>
      </c>
      <c r="E5285" t="s">
        <v>23632</v>
      </c>
    </row>
    <row r="5286" spans="1:5" x14ac:dyDescent="0.25">
      <c r="A5286" s="131" t="s">
        <v>17571</v>
      </c>
      <c r="B5286" t="s">
        <v>28077</v>
      </c>
      <c r="C5286">
        <v>1</v>
      </c>
      <c r="D5286" t="s">
        <v>23629</v>
      </c>
      <c r="E5286" t="s">
        <v>23632</v>
      </c>
    </row>
    <row r="5287" spans="1:5" x14ac:dyDescent="0.25">
      <c r="A5287" s="131" t="s">
        <v>17571</v>
      </c>
      <c r="B5287" t="s">
        <v>28078</v>
      </c>
      <c r="C5287">
        <v>1</v>
      </c>
      <c r="D5287" t="s">
        <v>23629</v>
      </c>
      <c r="E5287" t="s">
        <v>23632</v>
      </c>
    </row>
    <row r="5288" spans="1:5" x14ac:dyDescent="0.25">
      <c r="A5288" s="130" t="s">
        <v>17571</v>
      </c>
      <c r="B5288" t="s">
        <v>28079</v>
      </c>
      <c r="C5288">
        <v>1</v>
      </c>
      <c r="D5288" t="s">
        <v>23629</v>
      </c>
      <c r="E5288" t="s">
        <v>23632</v>
      </c>
    </row>
    <row r="5289" spans="1:5" x14ac:dyDescent="0.25">
      <c r="A5289" s="130" t="s">
        <v>17571</v>
      </c>
      <c r="B5289" t="s">
        <v>28080</v>
      </c>
      <c r="C5289">
        <v>1</v>
      </c>
      <c r="D5289" t="s">
        <v>23629</v>
      </c>
      <c r="E5289" t="s">
        <v>23632</v>
      </c>
    </row>
    <row r="5290" spans="1:5" x14ac:dyDescent="0.25">
      <c r="A5290" s="131" t="s">
        <v>17571</v>
      </c>
      <c r="B5290" t="s">
        <v>28081</v>
      </c>
      <c r="C5290">
        <v>1</v>
      </c>
      <c r="D5290" t="s">
        <v>23629</v>
      </c>
      <c r="E5290" t="s">
        <v>23632</v>
      </c>
    </row>
    <row r="5291" spans="1:5" x14ac:dyDescent="0.25">
      <c r="A5291" s="130" t="s">
        <v>17571</v>
      </c>
      <c r="B5291" t="s">
        <v>28082</v>
      </c>
      <c r="C5291">
        <v>1</v>
      </c>
      <c r="D5291" t="s">
        <v>23629</v>
      </c>
      <c r="E5291" t="s">
        <v>23632</v>
      </c>
    </row>
    <row r="5292" spans="1:5" x14ac:dyDescent="0.25">
      <c r="A5292" s="131" t="s">
        <v>17571</v>
      </c>
      <c r="B5292" t="s">
        <v>28083</v>
      </c>
      <c r="C5292">
        <v>1</v>
      </c>
      <c r="D5292" t="s">
        <v>23629</v>
      </c>
      <c r="E5292" t="s">
        <v>23632</v>
      </c>
    </row>
    <row r="5293" spans="1:5" x14ac:dyDescent="0.25">
      <c r="A5293" s="130" t="str">
        <f>LEFT(B5293,1)</f>
        <v>T</v>
      </c>
      <c r="B5293" t="s">
        <v>29167</v>
      </c>
      <c r="C5293">
        <v>1</v>
      </c>
      <c r="D5293" t="s">
        <v>23629</v>
      </c>
      <c r="E5293" t="s">
        <v>23632</v>
      </c>
    </row>
    <row r="5294" spans="1:5" x14ac:dyDescent="0.25">
      <c r="A5294" s="130" t="s">
        <v>17571</v>
      </c>
      <c r="B5294" t="s">
        <v>28084</v>
      </c>
      <c r="C5294">
        <v>1</v>
      </c>
      <c r="D5294" t="s">
        <v>23629</v>
      </c>
      <c r="E5294" t="s">
        <v>23632</v>
      </c>
    </row>
    <row r="5295" spans="1:5" x14ac:dyDescent="0.25">
      <c r="A5295" s="130" t="str">
        <f>LEFT(B5295,1)</f>
        <v>T</v>
      </c>
      <c r="B5295" t="s">
        <v>28904</v>
      </c>
      <c r="C5295">
        <v>1</v>
      </c>
      <c r="D5295" t="s">
        <v>23629</v>
      </c>
      <c r="E5295" t="s">
        <v>23632</v>
      </c>
    </row>
    <row r="5296" spans="1:5" x14ac:dyDescent="0.25">
      <c r="A5296" s="131" t="s">
        <v>17571</v>
      </c>
      <c r="B5296" t="s">
        <v>28085</v>
      </c>
      <c r="C5296">
        <v>1</v>
      </c>
      <c r="D5296" t="s">
        <v>23629</v>
      </c>
      <c r="E5296" t="s">
        <v>23632</v>
      </c>
    </row>
    <row r="5297" spans="1:5" x14ac:dyDescent="0.25">
      <c r="A5297" s="130" t="str">
        <f>LEFT((B5297),1)</f>
        <v>T</v>
      </c>
      <c r="B5297" t="s">
        <v>28086</v>
      </c>
      <c r="C5297">
        <v>1</v>
      </c>
      <c r="D5297" t="s">
        <v>23629</v>
      </c>
      <c r="E5297" t="s">
        <v>23632</v>
      </c>
    </row>
    <row r="5298" spans="1:5" x14ac:dyDescent="0.25">
      <c r="A5298" s="130" t="s">
        <v>17571</v>
      </c>
      <c r="B5298" t="s">
        <v>28087</v>
      </c>
      <c r="C5298">
        <v>1</v>
      </c>
      <c r="D5298" t="s">
        <v>23629</v>
      </c>
      <c r="E5298" t="s">
        <v>23632</v>
      </c>
    </row>
    <row r="5299" spans="1:5" x14ac:dyDescent="0.25">
      <c r="A5299" s="130" t="str">
        <f>LEFT(B5299,1)</f>
        <v>T</v>
      </c>
      <c r="B5299" t="s">
        <v>28637</v>
      </c>
      <c r="C5299">
        <v>1</v>
      </c>
      <c r="D5299" t="s">
        <v>23629</v>
      </c>
      <c r="E5299" t="s">
        <v>23632</v>
      </c>
    </row>
    <row r="5300" spans="1:5" x14ac:dyDescent="0.25">
      <c r="A5300" s="130" t="str">
        <f>LEFT(B5300,1)</f>
        <v>T</v>
      </c>
      <c r="B5300" t="s">
        <v>28113</v>
      </c>
      <c r="C5300">
        <v>1</v>
      </c>
      <c r="D5300" t="s">
        <v>23629</v>
      </c>
      <c r="E5300" t="s">
        <v>23632</v>
      </c>
    </row>
    <row r="5301" spans="1:5" x14ac:dyDescent="0.25">
      <c r="A5301" s="131" t="s">
        <v>17571</v>
      </c>
      <c r="B5301" t="s">
        <v>28088</v>
      </c>
      <c r="C5301">
        <v>1</v>
      </c>
      <c r="D5301" t="s">
        <v>23629</v>
      </c>
      <c r="E5301" t="s">
        <v>23632</v>
      </c>
    </row>
    <row r="5302" spans="1:5" x14ac:dyDescent="0.25">
      <c r="A5302" s="130" t="str">
        <f>LEFT(B5302,1)</f>
        <v>T</v>
      </c>
      <c r="B5302" t="s">
        <v>29168</v>
      </c>
      <c r="C5302">
        <v>1</v>
      </c>
      <c r="D5302" t="s">
        <v>23629</v>
      </c>
      <c r="E5302" t="s">
        <v>23632</v>
      </c>
    </row>
    <row r="5303" spans="1:5" x14ac:dyDescent="0.25">
      <c r="A5303" s="130" t="str">
        <f>LEFT(B5303,1)</f>
        <v>T</v>
      </c>
      <c r="B5303" t="s">
        <v>29169</v>
      </c>
      <c r="C5303">
        <v>1</v>
      </c>
      <c r="D5303" t="s">
        <v>23629</v>
      </c>
      <c r="E5303" t="s">
        <v>23632</v>
      </c>
    </row>
    <row r="5304" spans="1:5" x14ac:dyDescent="0.25">
      <c r="A5304" s="130" t="s">
        <v>17571</v>
      </c>
      <c r="B5304" t="s">
        <v>28089</v>
      </c>
      <c r="C5304">
        <v>1</v>
      </c>
      <c r="D5304" t="s">
        <v>23629</v>
      </c>
      <c r="E5304" t="s">
        <v>23632</v>
      </c>
    </row>
    <row r="5305" spans="1:5" x14ac:dyDescent="0.25">
      <c r="A5305" s="131" t="s">
        <v>17571</v>
      </c>
      <c r="B5305" t="s">
        <v>28090</v>
      </c>
      <c r="C5305">
        <v>1</v>
      </c>
      <c r="D5305" t="s">
        <v>23629</v>
      </c>
      <c r="E5305" t="s">
        <v>23632</v>
      </c>
    </row>
    <row r="5306" spans="1:5" x14ac:dyDescent="0.25">
      <c r="A5306" s="130" t="str">
        <f>LEFT(B5306,1)</f>
        <v>T</v>
      </c>
      <c r="B5306" t="s">
        <v>29280</v>
      </c>
      <c r="C5306">
        <v>1</v>
      </c>
      <c r="D5306" t="s">
        <v>23629</v>
      </c>
      <c r="E5306" t="s">
        <v>23632</v>
      </c>
    </row>
    <row r="5307" spans="1:5" x14ac:dyDescent="0.25">
      <c r="A5307" s="130" t="s">
        <v>17571</v>
      </c>
      <c r="B5307" t="s">
        <v>28091</v>
      </c>
      <c r="C5307">
        <v>1</v>
      </c>
      <c r="D5307" t="s">
        <v>23629</v>
      </c>
      <c r="E5307" t="s">
        <v>23632</v>
      </c>
    </row>
    <row r="5308" spans="1:5" x14ac:dyDescent="0.25">
      <c r="A5308" s="130" t="str">
        <f>LEFT(B5308,1)</f>
        <v>T</v>
      </c>
      <c r="B5308" t="s">
        <v>28905</v>
      </c>
      <c r="C5308">
        <v>1</v>
      </c>
      <c r="D5308" t="s">
        <v>23629</v>
      </c>
      <c r="E5308" t="s">
        <v>23632</v>
      </c>
    </row>
    <row r="5309" spans="1:5" x14ac:dyDescent="0.25">
      <c r="A5309" s="130" t="str">
        <f>LEFT(B5309,1)</f>
        <v>T</v>
      </c>
      <c r="B5309" t="s">
        <v>28638</v>
      </c>
      <c r="C5309">
        <v>1</v>
      </c>
      <c r="D5309" t="s">
        <v>23629</v>
      </c>
      <c r="E5309" t="s">
        <v>23632</v>
      </c>
    </row>
    <row r="5310" spans="1:5" x14ac:dyDescent="0.25">
      <c r="A5310" s="131" t="s">
        <v>17571</v>
      </c>
      <c r="B5310" t="s">
        <v>28092</v>
      </c>
      <c r="C5310">
        <v>1</v>
      </c>
      <c r="D5310" t="s">
        <v>23629</v>
      </c>
      <c r="E5310" t="s">
        <v>23632</v>
      </c>
    </row>
    <row r="5311" spans="1:5" x14ac:dyDescent="0.25">
      <c r="A5311" s="131" t="s">
        <v>17571</v>
      </c>
      <c r="B5311" t="s">
        <v>28093</v>
      </c>
      <c r="C5311">
        <v>1</v>
      </c>
      <c r="D5311" t="s">
        <v>23629</v>
      </c>
      <c r="E5311" t="s">
        <v>23632</v>
      </c>
    </row>
    <row r="5312" spans="1:5" x14ac:dyDescent="0.25">
      <c r="A5312" s="130" t="s">
        <v>17571</v>
      </c>
      <c r="B5312" t="s">
        <v>28094</v>
      </c>
      <c r="C5312">
        <v>1</v>
      </c>
      <c r="D5312" t="s">
        <v>23629</v>
      </c>
      <c r="E5312" t="s">
        <v>23632</v>
      </c>
    </row>
    <row r="5313" spans="1:5" x14ac:dyDescent="0.25">
      <c r="A5313" s="131" t="s">
        <v>17571</v>
      </c>
      <c r="B5313" t="s">
        <v>28095</v>
      </c>
      <c r="C5313">
        <v>1</v>
      </c>
      <c r="D5313" t="s">
        <v>23629</v>
      </c>
      <c r="E5313" t="s">
        <v>23632</v>
      </c>
    </row>
    <row r="5314" spans="1:5" x14ac:dyDescent="0.25">
      <c r="A5314" s="130" t="s">
        <v>17571</v>
      </c>
      <c r="B5314" t="s">
        <v>28096</v>
      </c>
      <c r="C5314">
        <v>1</v>
      </c>
      <c r="D5314" t="s">
        <v>23629</v>
      </c>
      <c r="E5314" t="s">
        <v>23632</v>
      </c>
    </row>
    <row r="5315" spans="1:5" x14ac:dyDescent="0.25">
      <c r="A5315" s="131" t="str">
        <f>LEFT(B5315,1)</f>
        <v>T</v>
      </c>
      <c r="B5315" t="s">
        <v>28114</v>
      </c>
      <c r="C5315">
        <v>1.1499999999999999</v>
      </c>
      <c r="D5315" t="s">
        <v>23629</v>
      </c>
      <c r="E5315" t="s">
        <v>23632</v>
      </c>
    </row>
    <row r="5316" spans="1:5" x14ac:dyDescent="0.25">
      <c r="A5316" s="131" t="s">
        <v>17571</v>
      </c>
      <c r="B5316" t="s">
        <v>28097</v>
      </c>
      <c r="C5316">
        <v>1</v>
      </c>
      <c r="D5316" t="s">
        <v>23629</v>
      </c>
      <c r="E5316" t="s">
        <v>23632</v>
      </c>
    </row>
    <row r="5317" spans="1:5" x14ac:dyDescent="0.25">
      <c r="A5317" s="130" t="s">
        <v>17571</v>
      </c>
      <c r="B5317" t="s">
        <v>28098</v>
      </c>
      <c r="C5317">
        <v>1</v>
      </c>
      <c r="D5317" t="s">
        <v>23629</v>
      </c>
      <c r="E5317" t="s">
        <v>23632</v>
      </c>
    </row>
    <row r="5318" spans="1:5" x14ac:dyDescent="0.25">
      <c r="A5318" s="131" t="s">
        <v>17571</v>
      </c>
      <c r="B5318" t="s">
        <v>28099</v>
      </c>
      <c r="C5318">
        <v>1</v>
      </c>
      <c r="D5318" t="s">
        <v>28100</v>
      </c>
      <c r="E5318" t="s">
        <v>23632</v>
      </c>
    </row>
    <row r="5319" spans="1:5" x14ac:dyDescent="0.25">
      <c r="A5319" s="130" t="str">
        <f>LEFT(B5319,1)</f>
        <v>T</v>
      </c>
      <c r="B5319" t="s">
        <v>28906</v>
      </c>
      <c r="C5319">
        <v>1</v>
      </c>
      <c r="D5319" t="s">
        <v>23629</v>
      </c>
      <c r="E5319" t="s">
        <v>23632</v>
      </c>
    </row>
    <row r="5320" spans="1:5" x14ac:dyDescent="0.25">
      <c r="A5320" s="130" t="str">
        <f>LEFT(B5320,1)</f>
        <v>T</v>
      </c>
      <c r="B5320" t="s">
        <v>28115</v>
      </c>
      <c r="C5320">
        <v>1</v>
      </c>
      <c r="D5320" t="s">
        <v>23629</v>
      </c>
      <c r="E5320" t="s">
        <v>23632</v>
      </c>
    </row>
    <row r="5321" spans="1:5" x14ac:dyDescent="0.25">
      <c r="A5321" s="131" t="s">
        <v>17571</v>
      </c>
      <c r="B5321" t="s">
        <v>28101</v>
      </c>
      <c r="C5321">
        <v>1</v>
      </c>
      <c r="D5321" t="s">
        <v>23629</v>
      </c>
      <c r="E5321" t="s">
        <v>23632</v>
      </c>
    </row>
    <row r="5322" spans="1:5" x14ac:dyDescent="0.25">
      <c r="A5322" s="130" t="s">
        <v>17571</v>
      </c>
      <c r="B5322" t="s">
        <v>28102</v>
      </c>
      <c r="C5322">
        <v>1</v>
      </c>
      <c r="D5322" t="s">
        <v>23629</v>
      </c>
      <c r="E5322" t="s">
        <v>23632</v>
      </c>
    </row>
    <row r="5323" spans="1:5" x14ac:dyDescent="0.25">
      <c r="A5323" s="130" t="s">
        <v>17571</v>
      </c>
      <c r="B5323" t="s">
        <v>28103</v>
      </c>
      <c r="C5323">
        <v>1.1000000000000001</v>
      </c>
      <c r="D5323" t="s">
        <v>23629</v>
      </c>
      <c r="E5323" t="s">
        <v>23632</v>
      </c>
    </row>
    <row r="5324" spans="1:5" x14ac:dyDescent="0.25">
      <c r="A5324" s="131" t="s">
        <v>17571</v>
      </c>
      <c r="B5324" t="s">
        <v>28104</v>
      </c>
      <c r="C5324">
        <v>1</v>
      </c>
      <c r="D5324" t="s">
        <v>23629</v>
      </c>
      <c r="E5324" t="s">
        <v>23632</v>
      </c>
    </row>
    <row r="5325" spans="1:5" x14ac:dyDescent="0.25">
      <c r="A5325" s="130" t="s">
        <v>17571</v>
      </c>
      <c r="B5325" t="s">
        <v>28105</v>
      </c>
      <c r="C5325">
        <v>1</v>
      </c>
      <c r="D5325" t="s">
        <v>23629</v>
      </c>
      <c r="E5325" t="s">
        <v>23632</v>
      </c>
    </row>
    <row r="5326" spans="1:5" x14ac:dyDescent="0.25">
      <c r="A5326" s="130" t="s">
        <v>18316</v>
      </c>
      <c r="B5326" t="s">
        <v>28124</v>
      </c>
      <c r="C5326">
        <v>1</v>
      </c>
      <c r="D5326" t="s">
        <v>23629</v>
      </c>
      <c r="E5326" t="s">
        <v>23632</v>
      </c>
    </row>
    <row r="5327" spans="1:5" x14ac:dyDescent="0.25">
      <c r="A5327" s="131" t="s">
        <v>18316</v>
      </c>
      <c r="B5327" t="s">
        <v>28125</v>
      </c>
      <c r="C5327">
        <v>1</v>
      </c>
      <c r="D5327" t="s">
        <v>23629</v>
      </c>
      <c r="E5327" t="s">
        <v>23632</v>
      </c>
    </row>
    <row r="5328" spans="1:5" x14ac:dyDescent="0.25">
      <c r="A5328" s="130" t="s">
        <v>18316</v>
      </c>
      <c r="B5328" t="s">
        <v>28126</v>
      </c>
      <c r="C5328">
        <v>1</v>
      </c>
      <c r="D5328" t="s">
        <v>23629</v>
      </c>
      <c r="E5328" t="s">
        <v>23632</v>
      </c>
    </row>
    <row r="5329" spans="1:5" x14ac:dyDescent="0.25">
      <c r="A5329" s="131" t="s">
        <v>18316</v>
      </c>
      <c r="B5329" t="s">
        <v>28127</v>
      </c>
      <c r="C5329">
        <v>1</v>
      </c>
      <c r="D5329" t="s">
        <v>23629</v>
      </c>
      <c r="E5329" t="s">
        <v>23632</v>
      </c>
    </row>
    <row r="5330" spans="1:5" x14ac:dyDescent="0.25">
      <c r="A5330" s="131" t="s">
        <v>18316</v>
      </c>
      <c r="B5330" t="s">
        <v>28128</v>
      </c>
      <c r="C5330">
        <v>1</v>
      </c>
      <c r="D5330" t="s">
        <v>23629</v>
      </c>
      <c r="E5330" t="s">
        <v>23632</v>
      </c>
    </row>
    <row r="5331" spans="1:5" x14ac:dyDescent="0.25">
      <c r="A5331" s="130" t="s">
        <v>18316</v>
      </c>
      <c r="B5331" t="s">
        <v>28129</v>
      </c>
      <c r="C5331">
        <v>1</v>
      </c>
      <c r="D5331" t="s">
        <v>23629</v>
      </c>
      <c r="E5331" t="s">
        <v>23632</v>
      </c>
    </row>
    <row r="5332" spans="1:5" x14ac:dyDescent="0.25">
      <c r="A5332" s="131" t="s">
        <v>18316</v>
      </c>
      <c r="B5332" t="s">
        <v>28130</v>
      </c>
      <c r="C5332">
        <v>1</v>
      </c>
      <c r="D5332" t="s">
        <v>23629</v>
      </c>
      <c r="E5332" t="s">
        <v>23632</v>
      </c>
    </row>
    <row r="5333" spans="1:5" x14ac:dyDescent="0.25">
      <c r="A5333" s="130" t="s">
        <v>18316</v>
      </c>
      <c r="B5333" t="s">
        <v>28131</v>
      </c>
      <c r="C5333">
        <v>1</v>
      </c>
      <c r="D5333" t="s">
        <v>23629</v>
      </c>
      <c r="E5333" t="s">
        <v>23632</v>
      </c>
    </row>
    <row r="5334" spans="1:5" x14ac:dyDescent="0.25">
      <c r="A5334" s="130" t="str">
        <f>LEFT(B5334,1)</f>
        <v>U</v>
      </c>
      <c r="B5334" t="s">
        <v>28157</v>
      </c>
      <c r="C5334">
        <v>1</v>
      </c>
      <c r="D5334" t="s">
        <v>23629</v>
      </c>
      <c r="E5334" t="s">
        <v>23632</v>
      </c>
    </row>
    <row r="5335" spans="1:5" x14ac:dyDescent="0.25">
      <c r="A5335" s="131" t="s">
        <v>18316</v>
      </c>
      <c r="B5335" t="s">
        <v>28132</v>
      </c>
      <c r="C5335">
        <v>1</v>
      </c>
      <c r="D5335" t="s">
        <v>23629</v>
      </c>
      <c r="E5335" t="s">
        <v>23632</v>
      </c>
    </row>
    <row r="5336" spans="1:5" x14ac:dyDescent="0.25">
      <c r="A5336" s="130" t="s">
        <v>18316</v>
      </c>
      <c r="B5336" t="s">
        <v>28133</v>
      </c>
      <c r="C5336">
        <v>1</v>
      </c>
      <c r="D5336" t="s">
        <v>23629</v>
      </c>
      <c r="E5336" t="s">
        <v>23632</v>
      </c>
    </row>
    <row r="5337" spans="1:5" x14ac:dyDescent="0.25">
      <c r="A5337" s="131" t="str">
        <f>LEFT((B5337),1)</f>
        <v>U</v>
      </c>
      <c r="B5337" t="s">
        <v>28134</v>
      </c>
      <c r="C5337">
        <v>1</v>
      </c>
      <c r="D5337" t="s">
        <v>23629</v>
      </c>
      <c r="E5337" t="s">
        <v>23632</v>
      </c>
    </row>
    <row r="5338" spans="1:5" x14ac:dyDescent="0.25">
      <c r="A5338" s="131" t="s">
        <v>18316</v>
      </c>
      <c r="B5338" t="s">
        <v>28135</v>
      </c>
      <c r="C5338">
        <v>1</v>
      </c>
      <c r="D5338" t="s">
        <v>23629</v>
      </c>
      <c r="E5338" t="s">
        <v>23632</v>
      </c>
    </row>
    <row r="5339" spans="1:5" x14ac:dyDescent="0.25">
      <c r="A5339" s="130" t="str">
        <f>LEFT(B5339,1)</f>
        <v>U</v>
      </c>
      <c r="B5339" t="s">
        <v>28907</v>
      </c>
      <c r="C5339">
        <v>1</v>
      </c>
      <c r="D5339" t="s">
        <v>23629</v>
      </c>
      <c r="E5339" t="s">
        <v>23632</v>
      </c>
    </row>
    <row r="5340" spans="1:5" x14ac:dyDescent="0.25">
      <c r="A5340" s="130" t="str">
        <f>LEFT(B5340,1)</f>
        <v>U</v>
      </c>
      <c r="B5340" t="s">
        <v>28639</v>
      </c>
      <c r="C5340">
        <v>1</v>
      </c>
      <c r="D5340" t="s">
        <v>23629</v>
      </c>
      <c r="E5340" t="s">
        <v>23632</v>
      </c>
    </row>
    <row r="5341" spans="1:5" x14ac:dyDescent="0.25">
      <c r="A5341" s="130" t="s">
        <v>18316</v>
      </c>
      <c r="B5341" t="s">
        <v>28136</v>
      </c>
      <c r="C5341">
        <v>1</v>
      </c>
      <c r="D5341" t="s">
        <v>23629</v>
      </c>
      <c r="E5341" t="s">
        <v>23632</v>
      </c>
    </row>
    <row r="5342" spans="1:5" x14ac:dyDescent="0.25">
      <c r="A5342" s="131" t="s">
        <v>18316</v>
      </c>
      <c r="B5342" t="s">
        <v>28137</v>
      </c>
      <c r="C5342">
        <v>1</v>
      </c>
      <c r="D5342" t="s">
        <v>23629</v>
      </c>
      <c r="E5342" t="s">
        <v>23632</v>
      </c>
    </row>
    <row r="5343" spans="1:5" x14ac:dyDescent="0.25">
      <c r="A5343" s="130" t="s">
        <v>18316</v>
      </c>
      <c r="B5343" t="s">
        <v>28138</v>
      </c>
      <c r="C5343">
        <v>1</v>
      </c>
      <c r="D5343" t="s">
        <v>23629</v>
      </c>
      <c r="E5343" t="s">
        <v>23632</v>
      </c>
    </row>
    <row r="5344" spans="1:5" x14ac:dyDescent="0.25">
      <c r="A5344" s="130" t="str">
        <f>LEFT(B5344,1)</f>
        <v>U</v>
      </c>
      <c r="B5344" t="s">
        <v>29170</v>
      </c>
      <c r="C5344">
        <v>1</v>
      </c>
      <c r="D5344" t="s">
        <v>23629</v>
      </c>
      <c r="E5344" t="s">
        <v>23632</v>
      </c>
    </row>
    <row r="5345" spans="1:5" x14ac:dyDescent="0.25">
      <c r="A5345" s="130" t="s">
        <v>18316</v>
      </c>
      <c r="B5345" t="s">
        <v>28139</v>
      </c>
      <c r="C5345">
        <v>1</v>
      </c>
      <c r="D5345" t="s">
        <v>23629</v>
      </c>
      <c r="E5345" t="s">
        <v>23632</v>
      </c>
    </row>
    <row r="5346" spans="1:5" x14ac:dyDescent="0.25">
      <c r="A5346" s="131" t="s">
        <v>18316</v>
      </c>
      <c r="B5346" t="s">
        <v>28140</v>
      </c>
      <c r="C5346">
        <v>1</v>
      </c>
      <c r="D5346" t="s">
        <v>23629</v>
      </c>
      <c r="E5346" t="s">
        <v>23632</v>
      </c>
    </row>
    <row r="5347" spans="1:5" x14ac:dyDescent="0.25">
      <c r="A5347" s="130" t="str">
        <f>LEFT(B5347,1)</f>
        <v>U</v>
      </c>
      <c r="B5347" t="s">
        <v>29171</v>
      </c>
      <c r="C5347">
        <v>1</v>
      </c>
      <c r="D5347" t="s">
        <v>23629</v>
      </c>
      <c r="E5347" t="s">
        <v>23632</v>
      </c>
    </row>
    <row r="5348" spans="1:5" x14ac:dyDescent="0.25">
      <c r="A5348" s="130" t="s">
        <v>18316</v>
      </c>
      <c r="B5348" t="s">
        <v>28141</v>
      </c>
      <c r="C5348">
        <v>1</v>
      </c>
      <c r="D5348" t="s">
        <v>23629</v>
      </c>
      <c r="E5348" t="s">
        <v>23632</v>
      </c>
    </row>
    <row r="5349" spans="1:5" x14ac:dyDescent="0.25">
      <c r="A5349" s="131" t="s">
        <v>18316</v>
      </c>
      <c r="B5349" t="s">
        <v>28142</v>
      </c>
      <c r="C5349">
        <v>1</v>
      </c>
      <c r="D5349" t="s">
        <v>23629</v>
      </c>
      <c r="E5349" t="s">
        <v>23632</v>
      </c>
    </row>
    <row r="5350" spans="1:5" x14ac:dyDescent="0.25">
      <c r="A5350" s="130" t="s">
        <v>18316</v>
      </c>
      <c r="B5350" t="s">
        <v>28143</v>
      </c>
      <c r="C5350">
        <v>1</v>
      </c>
      <c r="D5350" t="s">
        <v>23629</v>
      </c>
      <c r="E5350" t="s">
        <v>23632</v>
      </c>
    </row>
    <row r="5351" spans="1:5" x14ac:dyDescent="0.25">
      <c r="A5351" s="131" t="s">
        <v>18316</v>
      </c>
      <c r="B5351" t="s">
        <v>28144</v>
      </c>
      <c r="C5351">
        <v>1</v>
      </c>
      <c r="D5351" t="s">
        <v>23629</v>
      </c>
      <c r="E5351" t="s">
        <v>23632</v>
      </c>
    </row>
    <row r="5352" spans="1:5" x14ac:dyDescent="0.25">
      <c r="A5352" s="130" t="str">
        <f>LEFT(B5352,1)</f>
        <v>U</v>
      </c>
      <c r="B5352" t="s">
        <v>28160</v>
      </c>
      <c r="C5352">
        <v>1</v>
      </c>
      <c r="D5352" t="s">
        <v>23629</v>
      </c>
      <c r="E5352" t="s">
        <v>23632</v>
      </c>
    </row>
    <row r="5353" spans="1:5" x14ac:dyDescent="0.25">
      <c r="A5353" s="130" t="s">
        <v>18316</v>
      </c>
      <c r="B5353" t="s">
        <v>28145</v>
      </c>
      <c r="C5353">
        <v>1</v>
      </c>
      <c r="D5353" t="s">
        <v>23629</v>
      </c>
      <c r="E5353" t="s">
        <v>23632</v>
      </c>
    </row>
    <row r="5354" spans="1:5" x14ac:dyDescent="0.25">
      <c r="A5354" s="131" t="s">
        <v>18316</v>
      </c>
      <c r="B5354" t="s">
        <v>28146</v>
      </c>
      <c r="C5354">
        <v>1</v>
      </c>
      <c r="D5354" t="s">
        <v>23629</v>
      </c>
      <c r="E5354" t="s">
        <v>23632</v>
      </c>
    </row>
    <row r="5355" spans="1:5" x14ac:dyDescent="0.25">
      <c r="A5355" s="130" t="s">
        <v>18316</v>
      </c>
      <c r="B5355" t="s">
        <v>28147</v>
      </c>
      <c r="C5355">
        <v>1</v>
      </c>
      <c r="D5355" t="s">
        <v>23629</v>
      </c>
      <c r="E5355" t="s">
        <v>23632</v>
      </c>
    </row>
    <row r="5356" spans="1:5" x14ac:dyDescent="0.25">
      <c r="A5356" s="131" t="s">
        <v>18316</v>
      </c>
      <c r="B5356" t="s">
        <v>28148</v>
      </c>
      <c r="C5356">
        <v>1</v>
      </c>
      <c r="D5356" t="s">
        <v>23629</v>
      </c>
      <c r="E5356" t="s">
        <v>23632</v>
      </c>
    </row>
    <row r="5357" spans="1:5" x14ac:dyDescent="0.25">
      <c r="A5357" s="130" t="str">
        <f>LEFT(B5357,1)</f>
        <v>U</v>
      </c>
      <c r="B5357" t="s">
        <v>28158</v>
      </c>
      <c r="C5357">
        <v>1</v>
      </c>
      <c r="D5357" t="s">
        <v>23629</v>
      </c>
      <c r="E5357" t="s">
        <v>23632</v>
      </c>
    </row>
    <row r="5358" spans="1:5" x14ac:dyDescent="0.25">
      <c r="A5358" s="130" t="s">
        <v>18316</v>
      </c>
      <c r="B5358" t="s">
        <v>28149</v>
      </c>
      <c r="C5358">
        <v>1</v>
      </c>
      <c r="D5358" t="s">
        <v>23629</v>
      </c>
      <c r="E5358" t="s">
        <v>23632</v>
      </c>
    </row>
    <row r="5359" spans="1:5" x14ac:dyDescent="0.25">
      <c r="A5359" s="131" t="s">
        <v>18316</v>
      </c>
      <c r="B5359" t="s">
        <v>28150</v>
      </c>
      <c r="C5359">
        <v>1</v>
      </c>
      <c r="D5359" t="s">
        <v>23629</v>
      </c>
      <c r="E5359" t="s">
        <v>23632</v>
      </c>
    </row>
    <row r="5360" spans="1:5" x14ac:dyDescent="0.25">
      <c r="A5360" s="130" t="s">
        <v>18316</v>
      </c>
      <c r="B5360" t="s">
        <v>28151</v>
      </c>
      <c r="C5360">
        <v>1</v>
      </c>
      <c r="D5360" t="s">
        <v>23629</v>
      </c>
      <c r="E5360" t="s">
        <v>23632</v>
      </c>
    </row>
    <row r="5361" spans="1:5" x14ac:dyDescent="0.25">
      <c r="A5361" s="131" t="s">
        <v>18316</v>
      </c>
      <c r="B5361" t="s">
        <v>28152</v>
      </c>
      <c r="C5361">
        <v>1</v>
      </c>
      <c r="D5361" t="s">
        <v>23629</v>
      </c>
      <c r="E5361" t="s">
        <v>23632</v>
      </c>
    </row>
    <row r="5362" spans="1:5" x14ac:dyDescent="0.25">
      <c r="A5362" s="130" t="str">
        <f>LEFT(B5362,1)</f>
        <v>U</v>
      </c>
      <c r="B5362" t="s">
        <v>28159</v>
      </c>
      <c r="C5362">
        <v>1</v>
      </c>
      <c r="D5362" t="s">
        <v>23629</v>
      </c>
      <c r="E5362" t="s">
        <v>23632</v>
      </c>
    </row>
    <row r="5363" spans="1:5" x14ac:dyDescent="0.25">
      <c r="A5363" s="131" t="s">
        <v>18316</v>
      </c>
      <c r="B5363" t="s">
        <v>28153</v>
      </c>
      <c r="C5363">
        <v>1</v>
      </c>
      <c r="D5363" t="s">
        <v>23629</v>
      </c>
      <c r="E5363" t="s">
        <v>23632</v>
      </c>
    </row>
    <row r="5364" spans="1:5" x14ac:dyDescent="0.25">
      <c r="A5364" s="130" t="s">
        <v>18316</v>
      </c>
      <c r="B5364" t="s">
        <v>28154</v>
      </c>
      <c r="C5364">
        <v>1</v>
      </c>
      <c r="D5364" t="s">
        <v>23629</v>
      </c>
      <c r="E5364" t="s">
        <v>23632</v>
      </c>
    </row>
    <row r="5365" spans="1:5" x14ac:dyDescent="0.25">
      <c r="A5365" s="130" t="str">
        <f>LEFT((B5365),1)</f>
        <v>U</v>
      </c>
      <c r="B5365" t="s">
        <v>28155</v>
      </c>
      <c r="C5365">
        <v>1</v>
      </c>
      <c r="D5365" t="s">
        <v>23629</v>
      </c>
      <c r="E5365" t="s">
        <v>23632</v>
      </c>
    </row>
    <row r="5366" spans="1:5" x14ac:dyDescent="0.25">
      <c r="A5366" s="131" t="s">
        <v>18316</v>
      </c>
      <c r="B5366" t="s">
        <v>28156</v>
      </c>
      <c r="C5366">
        <v>1.21</v>
      </c>
      <c r="D5366" t="s">
        <v>23629</v>
      </c>
      <c r="E5366" t="s">
        <v>23632</v>
      </c>
    </row>
    <row r="5367" spans="1:5" x14ac:dyDescent="0.25">
      <c r="A5367" s="130" t="str">
        <f>LEFT(B5367,1)</f>
        <v>U</v>
      </c>
      <c r="B5367" t="s">
        <v>28908</v>
      </c>
      <c r="C5367">
        <v>1</v>
      </c>
      <c r="D5367" t="s">
        <v>23629</v>
      </c>
      <c r="E5367" t="s">
        <v>23632</v>
      </c>
    </row>
    <row r="5368" spans="1:5" x14ac:dyDescent="0.25">
      <c r="A5368" s="130" t="str">
        <f>LEFT(B5368,1)</f>
        <v>U</v>
      </c>
      <c r="B5368" t="s">
        <v>29172</v>
      </c>
      <c r="C5368">
        <v>1</v>
      </c>
      <c r="D5368" t="s">
        <v>23629</v>
      </c>
      <c r="E5368" t="s">
        <v>23632</v>
      </c>
    </row>
    <row r="5369" spans="1:5" x14ac:dyDescent="0.25">
      <c r="A5369" s="130" t="s">
        <v>17865</v>
      </c>
      <c r="B5369" t="s">
        <v>28161</v>
      </c>
      <c r="C5369">
        <v>1</v>
      </c>
      <c r="D5369" t="s">
        <v>23629</v>
      </c>
      <c r="E5369" t="s">
        <v>23632</v>
      </c>
    </row>
    <row r="5370" spans="1:5" x14ac:dyDescent="0.25">
      <c r="A5370" s="131" t="s">
        <v>17865</v>
      </c>
      <c r="B5370" t="s">
        <v>28162</v>
      </c>
      <c r="C5370">
        <v>1</v>
      </c>
      <c r="D5370" t="s">
        <v>23629</v>
      </c>
      <c r="E5370" t="s">
        <v>23632</v>
      </c>
    </row>
    <row r="5371" spans="1:5" x14ac:dyDescent="0.25">
      <c r="A5371" s="131" t="str">
        <f>LEFT(B5371,1)</f>
        <v>V</v>
      </c>
      <c r="B5371" t="s">
        <v>28238</v>
      </c>
      <c r="C5371">
        <v>1</v>
      </c>
      <c r="D5371" t="s">
        <v>23629</v>
      </c>
      <c r="E5371" t="s">
        <v>23632</v>
      </c>
    </row>
    <row r="5372" spans="1:5" x14ac:dyDescent="0.25">
      <c r="A5372" s="130" t="s">
        <v>17865</v>
      </c>
      <c r="B5372" t="s">
        <v>28163</v>
      </c>
      <c r="C5372">
        <v>1</v>
      </c>
      <c r="D5372" t="s">
        <v>23629</v>
      </c>
      <c r="E5372" t="s">
        <v>23632</v>
      </c>
    </row>
    <row r="5373" spans="1:5" x14ac:dyDescent="0.25">
      <c r="A5373" s="131" t="s">
        <v>17865</v>
      </c>
      <c r="B5373" t="s">
        <v>28164</v>
      </c>
      <c r="C5373">
        <v>1</v>
      </c>
      <c r="D5373" t="s">
        <v>23629</v>
      </c>
      <c r="E5373" t="s">
        <v>23632</v>
      </c>
    </row>
    <row r="5374" spans="1:5" x14ac:dyDescent="0.25">
      <c r="A5374" s="130" t="s">
        <v>17865</v>
      </c>
      <c r="B5374" t="s">
        <v>28165</v>
      </c>
      <c r="C5374">
        <v>1</v>
      </c>
      <c r="D5374" t="s">
        <v>23629</v>
      </c>
      <c r="E5374" t="s">
        <v>23632</v>
      </c>
    </row>
    <row r="5375" spans="1:5" x14ac:dyDescent="0.25">
      <c r="A5375" s="131" t="s">
        <v>17865</v>
      </c>
      <c r="B5375" t="s">
        <v>28166</v>
      </c>
      <c r="C5375">
        <v>1</v>
      </c>
      <c r="D5375" t="s">
        <v>23629</v>
      </c>
      <c r="E5375" t="s">
        <v>23632</v>
      </c>
    </row>
    <row r="5376" spans="1:5" x14ac:dyDescent="0.25">
      <c r="A5376" s="130" t="s">
        <v>17865</v>
      </c>
      <c r="B5376" t="s">
        <v>28167</v>
      </c>
      <c r="C5376">
        <v>1</v>
      </c>
      <c r="D5376" t="s">
        <v>23629</v>
      </c>
      <c r="E5376" t="s">
        <v>23632</v>
      </c>
    </row>
    <row r="5377" spans="1:5" x14ac:dyDescent="0.25">
      <c r="A5377" s="130" t="str">
        <f>LEFT(B5377,1)</f>
        <v>V</v>
      </c>
      <c r="B5377" t="s">
        <v>28640</v>
      </c>
      <c r="C5377">
        <v>1</v>
      </c>
      <c r="D5377" t="s">
        <v>23629</v>
      </c>
      <c r="E5377" t="s">
        <v>23632</v>
      </c>
    </row>
    <row r="5378" spans="1:5" x14ac:dyDescent="0.25">
      <c r="A5378" s="130" t="str">
        <f>LEFT(B5378,1)</f>
        <v>V</v>
      </c>
      <c r="B5378" t="s">
        <v>28909</v>
      </c>
      <c r="C5378">
        <v>1</v>
      </c>
      <c r="D5378" t="s">
        <v>23629</v>
      </c>
      <c r="E5378" t="s">
        <v>23632</v>
      </c>
    </row>
    <row r="5379" spans="1:5" x14ac:dyDescent="0.25">
      <c r="A5379" s="131" t="s">
        <v>17865</v>
      </c>
      <c r="B5379" t="s">
        <v>28168</v>
      </c>
      <c r="C5379">
        <v>1</v>
      </c>
      <c r="D5379" t="s">
        <v>23629</v>
      </c>
      <c r="E5379" t="s">
        <v>23632</v>
      </c>
    </row>
    <row r="5380" spans="1:5" x14ac:dyDescent="0.25">
      <c r="A5380" s="130" t="s">
        <v>17865</v>
      </c>
      <c r="B5380" t="s">
        <v>28169</v>
      </c>
      <c r="C5380">
        <v>1</v>
      </c>
      <c r="D5380" t="s">
        <v>23629</v>
      </c>
      <c r="E5380" t="s">
        <v>23632</v>
      </c>
    </row>
    <row r="5381" spans="1:5" x14ac:dyDescent="0.25">
      <c r="A5381" s="130" t="str">
        <f>LEFT(B5381,1)</f>
        <v>V</v>
      </c>
      <c r="B5381" t="s">
        <v>28910</v>
      </c>
      <c r="C5381">
        <v>1</v>
      </c>
      <c r="D5381" t="s">
        <v>23629</v>
      </c>
      <c r="E5381" t="s">
        <v>23632</v>
      </c>
    </row>
    <row r="5382" spans="1:5" x14ac:dyDescent="0.25">
      <c r="A5382" s="131" t="str">
        <f>LEFT(B5382,1)</f>
        <v>V</v>
      </c>
      <c r="B5382" t="s">
        <v>28243</v>
      </c>
      <c r="C5382">
        <v>1</v>
      </c>
      <c r="D5382" t="s">
        <v>23629</v>
      </c>
      <c r="E5382" t="s">
        <v>23632</v>
      </c>
    </row>
    <row r="5383" spans="1:5" x14ac:dyDescent="0.25">
      <c r="A5383" s="131" t="s">
        <v>17865</v>
      </c>
      <c r="B5383" t="s">
        <v>28170</v>
      </c>
      <c r="C5383">
        <v>1</v>
      </c>
      <c r="D5383" t="s">
        <v>23629</v>
      </c>
      <c r="E5383" t="s">
        <v>23632</v>
      </c>
    </row>
    <row r="5384" spans="1:5" x14ac:dyDescent="0.25">
      <c r="A5384" s="130" t="str">
        <f>LEFT(B5384,1)</f>
        <v>V</v>
      </c>
      <c r="B5384" t="s">
        <v>28911</v>
      </c>
      <c r="C5384">
        <v>1</v>
      </c>
      <c r="D5384" t="s">
        <v>23629</v>
      </c>
      <c r="E5384" t="s">
        <v>23632</v>
      </c>
    </row>
    <row r="5385" spans="1:5" x14ac:dyDescent="0.25">
      <c r="A5385" s="130" t="s">
        <v>17865</v>
      </c>
      <c r="B5385" t="s">
        <v>28171</v>
      </c>
      <c r="C5385">
        <v>1</v>
      </c>
      <c r="D5385" t="s">
        <v>23629</v>
      </c>
      <c r="E5385" t="s">
        <v>23632</v>
      </c>
    </row>
    <row r="5386" spans="1:5" x14ac:dyDescent="0.25">
      <c r="A5386" s="131" t="s">
        <v>17865</v>
      </c>
      <c r="B5386" t="s">
        <v>28172</v>
      </c>
      <c r="C5386">
        <v>1</v>
      </c>
      <c r="D5386" t="s">
        <v>23629</v>
      </c>
      <c r="E5386" t="s">
        <v>23632</v>
      </c>
    </row>
    <row r="5387" spans="1:5" x14ac:dyDescent="0.25">
      <c r="A5387" s="130" t="s">
        <v>17865</v>
      </c>
      <c r="B5387" t="s">
        <v>28173</v>
      </c>
      <c r="C5387">
        <v>1</v>
      </c>
      <c r="D5387" t="s">
        <v>23629</v>
      </c>
      <c r="E5387" t="s">
        <v>23632</v>
      </c>
    </row>
    <row r="5388" spans="1:5" x14ac:dyDescent="0.25">
      <c r="A5388" s="130" t="s">
        <v>17865</v>
      </c>
      <c r="B5388" t="s">
        <v>28174</v>
      </c>
      <c r="C5388">
        <v>1</v>
      </c>
      <c r="D5388" t="s">
        <v>23629</v>
      </c>
      <c r="E5388" t="s">
        <v>23632</v>
      </c>
    </row>
    <row r="5389" spans="1:5" x14ac:dyDescent="0.25">
      <c r="A5389" s="131" t="s">
        <v>17865</v>
      </c>
      <c r="B5389" t="s">
        <v>28175</v>
      </c>
      <c r="C5389">
        <v>1</v>
      </c>
      <c r="D5389" t="s">
        <v>23629</v>
      </c>
      <c r="E5389" t="s">
        <v>23632</v>
      </c>
    </row>
    <row r="5390" spans="1:5" x14ac:dyDescent="0.25">
      <c r="A5390" s="130" t="str">
        <f>LEFT(B5390,1)</f>
        <v>V</v>
      </c>
      <c r="B5390" t="s">
        <v>29173</v>
      </c>
      <c r="C5390">
        <v>1</v>
      </c>
      <c r="D5390" t="s">
        <v>23629</v>
      </c>
      <c r="E5390" t="s">
        <v>23632</v>
      </c>
    </row>
    <row r="5391" spans="1:5" x14ac:dyDescent="0.25">
      <c r="A5391" s="130" t="s">
        <v>17865</v>
      </c>
      <c r="B5391" t="s">
        <v>28176</v>
      </c>
      <c r="C5391">
        <v>1</v>
      </c>
      <c r="D5391" t="s">
        <v>23629</v>
      </c>
      <c r="E5391" t="s">
        <v>23632</v>
      </c>
    </row>
    <row r="5392" spans="1:5" x14ac:dyDescent="0.25">
      <c r="A5392" s="131" t="s">
        <v>17865</v>
      </c>
      <c r="B5392" t="s">
        <v>28177</v>
      </c>
      <c r="C5392">
        <v>1</v>
      </c>
      <c r="D5392" t="s">
        <v>23629</v>
      </c>
      <c r="E5392" t="s">
        <v>23632</v>
      </c>
    </row>
    <row r="5393" spans="1:5" x14ac:dyDescent="0.25">
      <c r="A5393" s="130" t="str">
        <f>LEFT(B5393,1)</f>
        <v>V</v>
      </c>
      <c r="B5393" t="s">
        <v>28244</v>
      </c>
      <c r="C5393">
        <v>1</v>
      </c>
      <c r="D5393" t="s">
        <v>23629</v>
      </c>
      <c r="E5393" t="s">
        <v>23632</v>
      </c>
    </row>
    <row r="5394" spans="1:5" x14ac:dyDescent="0.25">
      <c r="A5394" s="130" t="s">
        <v>17865</v>
      </c>
      <c r="B5394" t="s">
        <v>28178</v>
      </c>
      <c r="C5394">
        <v>1</v>
      </c>
      <c r="D5394" t="s">
        <v>23629</v>
      </c>
      <c r="E5394" t="s">
        <v>23632</v>
      </c>
    </row>
    <row r="5395" spans="1:5" x14ac:dyDescent="0.25">
      <c r="A5395" s="131" t="s">
        <v>17865</v>
      </c>
      <c r="B5395" t="s">
        <v>28179</v>
      </c>
      <c r="C5395">
        <v>1</v>
      </c>
      <c r="D5395" t="s">
        <v>23629</v>
      </c>
      <c r="E5395" t="s">
        <v>23632</v>
      </c>
    </row>
    <row r="5396" spans="1:5" x14ac:dyDescent="0.25">
      <c r="A5396" s="130" t="s">
        <v>17865</v>
      </c>
      <c r="B5396" t="s">
        <v>28180</v>
      </c>
      <c r="C5396">
        <v>1</v>
      </c>
      <c r="D5396" t="s">
        <v>23629</v>
      </c>
      <c r="E5396" t="s">
        <v>23632</v>
      </c>
    </row>
    <row r="5397" spans="1:5" x14ac:dyDescent="0.25">
      <c r="A5397" s="131" t="s">
        <v>17865</v>
      </c>
      <c r="B5397" t="s">
        <v>28181</v>
      </c>
      <c r="C5397">
        <v>1.1000000000000001</v>
      </c>
      <c r="D5397" t="s">
        <v>23629</v>
      </c>
      <c r="E5397" t="s">
        <v>23632</v>
      </c>
    </row>
    <row r="5398" spans="1:5" x14ac:dyDescent="0.25">
      <c r="A5398" s="130" t="s">
        <v>17865</v>
      </c>
      <c r="B5398" t="s">
        <v>28182</v>
      </c>
      <c r="C5398">
        <v>1</v>
      </c>
      <c r="D5398" t="s">
        <v>23629</v>
      </c>
      <c r="E5398" t="s">
        <v>23632</v>
      </c>
    </row>
    <row r="5399" spans="1:5" x14ac:dyDescent="0.25">
      <c r="A5399" s="131" t="s">
        <v>17865</v>
      </c>
      <c r="B5399" t="s">
        <v>28183</v>
      </c>
      <c r="C5399">
        <v>1</v>
      </c>
      <c r="D5399" t="s">
        <v>23629</v>
      </c>
      <c r="E5399" t="s">
        <v>23632</v>
      </c>
    </row>
    <row r="5400" spans="1:5" x14ac:dyDescent="0.25">
      <c r="A5400" s="130" t="str">
        <f>LEFT(B5400,1)</f>
        <v>V</v>
      </c>
      <c r="B5400" t="s">
        <v>28912</v>
      </c>
      <c r="C5400">
        <v>1</v>
      </c>
      <c r="D5400" t="s">
        <v>23629</v>
      </c>
      <c r="E5400" t="s">
        <v>23632</v>
      </c>
    </row>
    <row r="5401" spans="1:5" x14ac:dyDescent="0.25">
      <c r="A5401" s="131" t="s">
        <v>17865</v>
      </c>
      <c r="B5401" t="s">
        <v>28184</v>
      </c>
      <c r="C5401">
        <v>1</v>
      </c>
      <c r="D5401" t="s">
        <v>23629</v>
      </c>
      <c r="E5401" t="s">
        <v>23632</v>
      </c>
    </row>
    <row r="5402" spans="1:5" x14ac:dyDescent="0.25">
      <c r="A5402" s="130" t="str">
        <f>LEFT(B5402,1)</f>
        <v>V</v>
      </c>
      <c r="B5402" t="s">
        <v>28913</v>
      </c>
      <c r="C5402">
        <v>1</v>
      </c>
      <c r="D5402" t="s">
        <v>23629</v>
      </c>
      <c r="E5402" t="s">
        <v>23632</v>
      </c>
    </row>
    <row r="5403" spans="1:5" x14ac:dyDescent="0.25">
      <c r="A5403" s="130" t="s">
        <v>17865</v>
      </c>
      <c r="B5403" t="s">
        <v>28185</v>
      </c>
      <c r="C5403">
        <v>1</v>
      </c>
      <c r="D5403" t="s">
        <v>23629</v>
      </c>
      <c r="E5403" t="s">
        <v>23632</v>
      </c>
    </row>
    <row r="5404" spans="1:5" x14ac:dyDescent="0.25">
      <c r="A5404" s="131" t="str">
        <f>LEFT((B5404),1)</f>
        <v>V</v>
      </c>
      <c r="B5404" t="s">
        <v>28186</v>
      </c>
      <c r="C5404">
        <v>1</v>
      </c>
      <c r="D5404" t="s">
        <v>23629</v>
      </c>
      <c r="E5404" t="s">
        <v>23632</v>
      </c>
    </row>
    <row r="5405" spans="1:5" x14ac:dyDescent="0.25">
      <c r="A5405" s="131" t="s">
        <v>17865</v>
      </c>
      <c r="B5405" t="s">
        <v>28187</v>
      </c>
      <c r="C5405">
        <v>1</v>
      </c>
      <c r="D5405" t="s">
        <v>23629</v>
      </c>
      <c r="E5405" t="s">
        <v>23632</v>
      </c>
    </row>
    <row r="5406" spans="1:5" x14ac:dyDescent="0.25">
      <c r="A5406" s="130" t="s">
        <v>17865</v>
      </c>
      <c r="B5406" t="s">
        <v>28188</v>
      </c>
      <c r="C5406">
        <v>1</v>
      </c>
      <c r="D5406" t="s">
        <v>23629</v>
      </c>
      <c r="E5406" t="s">
        <v>23632</v>
      </c>
    </row>
    <row r="5407" spans="1:5" x14ac:dyDescent="0.25">
      <c r="A5407" s="131" t="s">
        <v>17865</v>
      </c>
      <c r="B5407" t="s">
        <v>28189</v>
      </c>
      <c r="C5407">
        <v>1</v>
      </c>
      <c r="D5407" t="s">
        <v>23629</v>
      </c>
      <c r="E5407" t="s">
        <v>23632</v>
      </c>
    </row>
    <row r="5408" spans="1:5" x14ac:dyDescent="0.25">
      <c r="A5408" s="130" t="s">
        <v>17865</v>
      </c>
      <c r="B5408" t="s">
        <v>28190</v>
      </c>
      <c r="C5408">
        <v>1</v>
      </c>
      <c r="D5408" t="s">
        <v>23629</v>
      </c>
      <c r="E5408" t="s">
        <v>23632</v>
      </c>
    </row>
    <row r="5409" spans="1:5" x14ac:dyDescent="0.25">
      <c r="A5409" s="131" t="s">
        <v>17865</v>
      </c>
      <c r="B5409" t="s">
        <v>28191</v>
      </c>
      <c r="C5409">
        <v>1</v>
      </c>
      <c r="D5409" t="s">
        <v>23629</v>
      </c>
      <c r="E5409" t="s">
        <v>23632</v>
      </c>
    </row>
    <row r="5410" spans="1:5" x14ac:dyDescent="0.25">
      <c r="A5410" s="130" t="s">
        <v>17865</v>
      </c>
      <c r="B5410" t="s">
        <v>28192</v>
      </c>
      <c r="C5410">
        <v>1</v>
      </c>
      <c r="D5410" t="s">
        <v>23629</v>
      </c>
      <c r="E5410" t="s">
        <v>23632</v>
      </c>
    </row>
    <row r="5411" spans="1:5" x14ac:dyDescent="0.25">
      <c r="A5411" s="130" t="str">
        <f>LEFT(B5411,1)</f>
        <v>V</v>
      </c>
      <c r="B5411" t="s">
        <v>29174</v>
      </c>
      <c r="C5411">
        <v>1</v>
      </c>
      <c r="D5411" t="s">
        <v>23629</v>
      </c>
      <c r="E5411" t="s">
        <v>23632</v>
      </c>
    </row>
    <row r="5412" spans="1:5" x14ac:dyDescent="0.25">
      <c r="A5412" s="131" t="s">
        <v>17865</v>
      </c>
      <c r="B5412" t="s">
        <v>28193</v>
      </c>
      <c r="C5412">
        <v>1.1100000000000001</v>
      </c>
      <c r="D5412" t="s">
        <v>23629</v>
      </c>
      <c r="E5412" t="s">
        <v>23632</v>
      </c>
    </row>
    <row r="5413" spans="1:5" x14ac:dyDescent="0.25">
      <c r="A5413" s="130" t="str">
        <f>LEFT((B5413),1)</f>
        <v>V</v>
      </c>
      <c r="B5413" t="s">
        <v>28194</v>
      </c>
      <c r="C5413">
        <v>1.1100000000000001</v>
      </c>
      <c r="D5413" t="s">
        <v>23629</v>
      </c>
      <c r="E5413" t="s">
        <v>23632</v>
      </c>
    </row>
    <row r="5414" spans="1:5" x14ac:dyDescent="0.25">
      <c r="A5414" s="130" t="str">
        <f>LEFT(B5414,1)</f>
        <v>V</v>
      </c>
      <c r="B5414" t="s">
        <v>28914</v>
      </c>
      <c r="C5414">
        <v>1</v>
      </c>
      <c r="D5414" t="s">
        <v>23629</v>
      </c>
      <c r="E5414" t="s">
        <v>23632</v>
      </c>
    </row>
    <row r="5415" spans="1:5" x14ac:dyDescent="0.25">
      <c r="A5415" s="130" t="s">
        <v>17865</v>
      </c>
      <c r="B5415" t="s">
        <v>28195</v>
      </c>
      <c r="C5415">
        <v>1</v>
      </c>
      <c r="D5415" t="s">
        <v>23629</v>
      </c>
      <c r="E5415" t="s">
        <v>23632</v>
      </c>
    </row>
    <row r="5416" spans="1:5" x14ac:dyDescent="0.25">
      <c r="A5416" s="130" t="str">
        <f>LEFT(B5416,1)</f>
        <v>V</v>
      </c>
      <c r="B5416" t="s">
        <v>28641</v>
      </c>
      <c r="C5416">
        <v>1</v>
      </c>
      <c r="D5416" t="s">
        <v>23629</v>
      </c>
      <c r="E5416" t="s">
        <v>23632</v>
      </c>
    </row>
    <row r="5417" spans="1:5" x14ac:dyDescent="0.25">
      <c r="A5417" s="131" t="s">
        <v>17865</v>
      </c>
      <c r="B5417" t="s">
        <v>28196</v>
      </c>
      <c r="C5417">
        <v>1</v>
      </c>
      <c r="D5417" t="s">
        <v>23629</v>
      </c>
      <c r="E5417" t="s">
        <v>23632</v>
      </c>
    </row>
    <row r="5418" spans="1:5" x14ac:dyDescent="0.25">
      <c r="A5418" s="130" t="str">
        <f>LEFT(B5418,1)</f>
        <v>V</v>
      </c>
      <c r="B5418" t="s">
        <v>28642</v>
      </c>
      <c r="C5418">
        <v>1</v>
      </c>
      <c r="D5418" t="s">
        <v>23629</v>
      </c>
      <c r="E5418" t="s">
        <v>23632</v>
      </c>
    </row>
    <row r="5419" spans="1:5" x14ac:dyDescent="0.25">
      <c r="A5419" s="130" t="s">
        <v>17865</v>
      </c>
      <c r="B5419" t="s">
        <v>28197</v>
      </c>
      <c r="C5419">
        <v>1</v>
      </c>
      <c r="D5419" t="s">
        <v>23629</v>
      </c>
      <c r="E5419" t="s">
        <v>23632</v>
      </c>
    </row>
    <row r="5420" spans="1:5" x14ac:dyDescent="0.25">
      <c r="A5420" s="131" t="s">
        <v>17865</v>
      </c>
      <c r="B5420" t="s">
        <v>28198</v>
      </c>
      <c r="C5420">
        <v>1</v>
      </c>
      <c r="D5420" t="s">
        <v>23629</v>
      </c>
      <c r="E5420" t="s">
        <v>23632</v>
      </c>
    </row>
    <row r="5421" spans="1:5" x14ac:dyDescent="0.25">
      <c r="A5421" s="130" t="str">
        <f>LEFT(B5421,1)</f>
        <v>V</v>
      </c>
      <c r="B5421" t="s">
        <v>28643</v>
      </c>
      <c r="C5421">
        <v>1</v>
      </c>
      <c r="D5421" t="s">
        <v>23629</v>
      </c>
      <c r="E5421" t="s">
        <v>23632</v>
      </c>
    </row>
    <row r="5422" spans="1:5" x14ac:dyDescent="0.25">
      <c r="A5422" s="130" t="s">
        <v>17865</v>
      </c>
      <c r="B5422" t="s">
        <v>28199</v>
      </c>
      <c r="C5422">
        <v>1</v>
      </c>
      <c r="D5422" t="s">
        <v>23629</v>
      </c>
      <c r="E5422" t="s">
        <v>23632</v>
      </c>
    </row>
    <row r="5423" spans="1:5" x14ac:dyDescent="0.25">
      <c r="A5423" s="131" t="s">
        <v>17865</v>
      </c>
      <c r="B5423" t="s">
        <v>28200</v>
      </c>
      <c r="C5423">
        <v>1</v>
      </c>
      <c r="D5423" t="s">
        <v>23629</v>
      </c>
      <c r="E5423" t="s">
        <v>23632</v>
      </c>
    </row>
    <row r="5424" spans="1:5" x14ac:dyDescent="0.25">
      <c r="A5424" s="130" t="str">
        <f>LEFT(B5424,1)</f>
        <v>V</v>
      </c>
      <c r="B5424" t="s">
        <v>28644</v>
      </c>
      <c r="C5424">
        <v>1</v>
      </c>
      <c r="D5424" t="s">
        <v>23629</v>
      </c>
      <c r="E5424" t="s">
        <v>23632</v>
      </c>
    </row>
    <row r="5425" spans="1:5" x14ac:dyDescent="0.25">
      <c r="A5425" s="131" t="str">
        <f>LEFT(B5425,1)</f>
        <v>V</v>
      </c>
      <c r="B5425" t="s">
        <v>28245</v>
      </c>
      <c r="C5425">
        <v>1</v>
      </c>
      <c r="D5425" t="s">
        <v>23629</v>
      </c>
      <c r="E5425" t="s">
        <v>23632</v>
      </c>
    </row>
    <row r="5426" spans="1:5" x14ac:dyDescent="0.25">
      <c r="A5426" s="130" t="s">
        <v>17865</v>
      </c>
      <c r="B5426" t="s">
        <v>28201</v>
      </c>
      <c r="C5426">
        <v>1.21</v>
      </c>
      <c r="D5426" t="s">
        <v>28202</v>
      </c>
      <c r="E5426" t="s">
        <v>23632</v>
      </c>
    </row>
    <row r="5427" spans="1:5" x14ac:dyDescent="0.25">
      <c r="A5427" s="130" t="str">
        <f>LEFT(B5427,1)</f>
        <v>V</v>
      </c>
      <c r="B5427" t="s">
        <v>28241</v>
      </c>
      <c r="C5427">
        <v>1.21</v>
      </c>
      <c r="D5427" t="s">
        <v>23629</v>
      </c>
      <c r="E5427" t="s">
        <v>23881</v>
      </c>
    </row>
    <row r="5428" spans="1:5" x14ac:dyDescent="0.25">
      <c r="A5428" s="130" t="s">
        <v>17865</v>
      </c>
      <c r="B5428" t="s">
        <v>28203</v>
      </c>
      <c r="C5428">
        <v>1</v>
      </c>
      <c r="D5428" t="s">
        <v>23629</v>
      </c>
      <c r="E5428" t="s">
        <v>23632</v>
      </c>
    </row>
    <row r="5429" spans="1:5" x14ac:dyDescent="0.25">
      <c r="A5429" s="131" t="s">
        <v>17865</v>
      </c>
      <c r="B5429" t="s">
        <v>28204</v>
      </c>
      <c r="C5429">
        <v>1</v>
      </c>
      <c r="D5429" t="s">
        <v>23629</v>
      </c>
      <c r="E5429" t="s">
        <v>23632</v>
      </c>
    </row>
    <row r="5430" spans="1:5" x14ac:dyDescent="0.25">
      <c r="A5430" s="130" t="str">
        <f>LEFT(B5430,1)</f>
        <v>V</v>
      </c>
      <c r="B5430" t="s">
        <v>28915</v>
      </c>
      <c r="C5430">
        <v>1</v>
      </c>
      <c r="D5430" t="s">
        <v>23629</v>
      </c>
      <c r="E5430" t="s">
        <v>23632</v>
      </c>
    </row>
    <row r="5431" spans="1:5" x14ac:dyDescent="0.25">
      <c r="A5431" s="131" t="s">
        <v>17865</v>
      </c>
      <c r="B5431" t="s">
        <v>28205</v>
      </c>
      <c r="C5431">
        <v>1</v>
      </c>
      <c r="D5431" t="s">
        <v>23629</v>
      </c>
      <c r="E5431" t="s">
        <v>23632</v>
      </c>
    </row>
    <row r="5432" spans="1:5" x14ac:dyDescent="0.25">
      <c r="A5432" s="131" t="str">
        <f>LEFT((B5432),1)</f>
        <v>V</v>
      </c>
      <c r="B5432" t="s">
        <v>28206</v>
      </c>
      <c r="C5432">
        <v>1</v>
      </c>
      <c r="D5432" t="s">
        <v>23629</v>
      </c>
      <c r="E5432" t="s">
        <v>23632</v>
      </c>
    </row>
    <row r="5433" spans="1:5" x14ac:dyDescent="0.25">
      <c r="A5433" s="130" t="s">
        <v>17865</v>
      </c>
      <c r="B5433" t="s">
        <v>28207</v>
      </c>
      <c r="C5433">
        <v>1</v>
      </c>
      <c r="D5433" t="s">
        <v>23629</v>
      </c>
      <c r="E5433" t="s">
        <v>23632</v>
      </c>
    </row>
    <row r="5434" spans="1:5" x14ac:dyDescent="0.25">
      <c r="A5434" s="130" t="s">
        <v>17865</v>
      </c>
      <c r="B5434" t="s">
        <v>28208</v>
      </c>
      <c r="C5434">
        <v>1</v>
      </c>
      <c r="D5434" t="s">
        <v>23629</v>
      </c>
      <c r="E5434" t="s">
        <v>23632</v>
      </c>
    </row>
    <row r="5435" spans="1:5" x14ac:dyDescent="0.25">
      <c r="A5435" s="130" t="str">
        <f>LEFT(B5435,1)</f>
        <v>V</v>
      </c>
      <c r="B5435" t="s">
        <v>28242</v>
      </c>
      <c r="C5435">
        <v>1</v>
      </c>
      <c r="D5435" t="s">
        <v>23629</v>
      </c>
      <c r="E5435" t="s">
        <v>23632</v>
      </c>
    </row>
    <row r="5436" spans="1:5" x14ac:dyDescent="0.25">
      <c r="A5436" s="131" t="s">
        <v>17865</v>
      </c>
      <c r="B5436" t="s">
        <v>28209</v>
      </c>
      <c r="C5436">
        <v>1</v>
      </c>
      <c r="D5436" t="s">
        <v>23629</v>
      </c>
      <c r="E5436" t="s">
        <v>23632</v>
      </c>
    </row>
    <row r="5437" spans="1:5" x14ac:dyDescent="0.25">
      <c r="A5437" s="130" t="str">
        <f>LEFT((B5437),1)</f>
        <v>V</v>
      </c>
      <c r="B5437" t="s">
        <v>28210</v>
      </c>
      <c r="C5437">
        <v>1</v>
      </c>
      <c r="D5437" t="s">
        <v>23629</v>
      </c>
      <c r="E5437" t="s">
        <v>23632</v>
      </c>
    </row>
    <row r="5438" spans="1:5" x14ac:dyDescent="0.25">
      <c r="A5438" s="130" t="s">
        <v>17865</v>
      </c>
      <c r="B5438" t="s">
        <v>28211</v>
      </c>
      <c r="C5438">
        <v>1</v>
      </c>
      <c r="D5438" t="s">
        <v>23629</v>
      </c>
      <c r="E5438" t="s">
        <v>23632</v>
      </c>
    </row>
    <row r="5439" spans="1:5" x14ac:dyDescent="0.25">
      <c r="A5439" s="130" t="str">
        <f>LEFT(B5439,1)</f>
        <v>V</v>
      </c>
      <c r="B5439" t="s">
        <v>28246</v>
      </c>
      <c r="C5439">
        <v>1</v>
      </c>
      <c r="D5439" t="s">
        <v>23629</v>
      </c>
      <c r="E5439" t="s">
        <v>23632</v>
      </c>
    </row>
    <row r="5440" spans="1:5" x14ac:dyDescent="0.25">
      <c r="A5440" s="131" t="s">
        <v>17865</v>
      </c>
      <c r="B5440" t="s">
        <v>28212</v>
      </c>
      <c r="C5440">
        <v>1</v>
      </c>
      <c r="D5440" t="s">
        <v>23629</v>
      </c>
      <c r="E5440" t="s">
        <v>23632</v>
      </c>
    </row>
    <row r="5441" spans="1:5" x14ac:dyDescent="0.25">
      <c r="A5441" s="130" t="s">
        <v>17865</v>
      </c>
      <c r="B5441" t="s">
        <v>28213</v>
      </c>
      <c r="C5441">
        <v>1</v>
      </c>
      <c r="D5441" t="s">
        <v>23629</v>
      </c>
      <c r="E5441" t="s">
        <v>23632</v>
      </c>
    </row>
    <row r="5442" spans="1:5" x14ac:dyDescent="0.25">
      <c r="A5442" s="130" t="str">
        <f>LEFT(B5442,1)</f>
        <v>V</v>
      </c>
      <c r="B5442" t="s">
        <v>29175</v>
      </c>
      <c r="C5442">
        <v>1</v>
      </c>
      <c r="D5442" t="s">
        <v>23629</v>
      </c>
      <c r="E5442" t="s">
        <v>23632</v>
      </c>
    </row>
    <row r="5443" spans="1:5" x14ac:dyDescent="0.25">
      <c r="A5443" s="131" t="s">
        <v>17865</v>
      </c>
      <c r="B5443" t="s">
        <v>28214</v>
      </c>
      <c r="C5443">
        <v>1</v>
      </c>
      <c r="D5443" t="s">
        <v>23629</v>
      </c>
      <c r="E5443" t="s">
        <v>23632</v>
      </c>
    </row>
    <row r="5444" spans="1:5" x14ac:dyDescent="0.25">
      <c r="A5444" s="130" t="s">
        <v>17865</v>
      </c>
      <c r="B5444" t="s">
        <v>28215</v>
      </c>
      <c r="C5444">
        <v>1</v>
      </c>
      <c r="D5444" t="s">
        <v>23629</v>
      </c>
      <c r="E5444" t="s">
        <v>23632</v>
      </c>
    </row>
    <row r="5445" spans="1:5" x14ac:dyDescent="0.25">
      <c r="A5445" s="131" t="s">
        <v>17865</v>
      </c>
      <c r="B5445" t="s">
        <v>28216</v>
      </c>
      <c r="C5445">
        <v>1</v>
      </c>
      <c r="D5445" t="s">
        <v>23629</v>
      </c>
      <c r="E5445" t="s">
        <v>23632</v>
      </c>
    </row>
    <row r="5446" spans="1:5" x14ac:dyDescent="0.25">
      <c r="A5446" s="130" t="s">
        <v>17865</v>
      </c>
      <c r="B5446" t="s">
        <v>28217</v>
      </c>
      <c r="C5446">
        <v>1</v>
      </c>
      <c r="D5446" t="s">
        <v>23629</v>
      </c>
      <c r="E5446" t="s">
        <v>23632</v>
      </c>
    </row>
    <row r="5447" spans="1:5" x14ac:dyDescent="0.25">
      <c r="A5447" s="131" t="s">
        <v>17865</v>
      </c>
      <c r="B5447" t="s">
        <v>28218</v>
      </c>
      <c r="C5447">
        <v>1</v>
      </c>
      <c r="D5447" t="s">
        <v>23629</v>
      </c>
      <c r="E5447" t="s">
        <v>23632</v>
      </c>
    </row>
    <row r="5448" spans="1:5" x14ac:dyDescent="0.25">
      <c r="A5448" s="130" t="str">
        <f>LEFT(B5448,1)</f>
        <v>V</v>
      </c>
      <c r="B5448" t="s">
        <v>28239</v>
      </c>
      <c r="C5448">
        <v>1</v>
      </c>
      <c r="D5448" t="s">
        <v>23629</v>
      </c>
      <c r="E5448" t="s">
        <v>23632</v>
      </c>
    </row>
    <row r="5449" spans="1:5" x14ac:dyDescent="0.25">
      <c r="A5449" s="130" t="s">
        <v>17865</v>
      </c>
      <c r="B5449" t="s">
        <v>28219</v>
      </c>
      <c r="C5449">
        <v>1</v>
      </c>
      <c r="D5449" t="s">
        <v>23629</v>
      </c>
      <c r="E5449" t="s">
        <v>23632</v>
      </c>
    </row>
    <row r="5450" spans="1:5" x14ac:dyDescent="0.25">
      <c r="A5450" s="131" t="str">
        <f>LEFT(B5450,1)</f>
        <v>V</v>
      </c>
      <c r="B5450" t="s">
        <v>28247</v>
      </c>
      <c r="C5450">
        <v>1</v>
      </c>
      <c r="D5450" t="s">
        <v>23629</v>
      </c>
      <c r="E5450" t="s">
        <v>23632</v>
      </c>
    </row>
    <row r="5451" spans="1:5" x14ac:dyDescent="0.25">
      <c r="A5451" s="131" t="s">
        <v>17865</v>
      </c>
      <c r="B5451" t="s">
        <v>28220</v>
      </c>
      <c r="C5451">
        <v>1</v>
      </c>
      <c r="D5451" t="s">
        <v>23629</v>
      </c>
      <c r="E5451" t="s">
        <v>23632</v>
      </c>
    </row>
    <row r="5452" spans="1:5" x14ac:dyDescent="0.25">
      <c r="A5452" s="130" t="s">
        <v>17865</v>
      </c>
      <c r="B5452" t="s">
        <v>28221</v>
      </c>
      <c r="C5452">
        <v>1</v>
      </c>
      <c r="D5452" t="s">
        <v>23629</v>
      </c>
      <c r="E5452" t="s">
        <v>23632</v>
      </c>
    </row>
    <row r="5453" spans="1:5" x14ac:dyDescent="0.25">
      <c r="A5453" s="131" t="s">
        <v>17865</v>
      </c>
      <c r="B5453" t="s">
        <v>28222</v>
      </c>
      <c r="C5453">
        <v>1</v>
      </c>
      <c r="D5453" t="s">
        <v>23629</v>
      </c>
      <c r="E5453" t="s">
        <v>23632</v>
      </c>
    </row>
    <row r="5454" spans="1:5" x14ac:dyDescent="0.25">
      <c r="A5454" s="130" t="str">
        <f>LEFT(B5454,1)</f>
        <v>V</v>
      </c>
      <c r="B5454" t="s">
        <v>28645</v>
      </c>
      <c r="C5454">
        <v>1</v>
      </c>
      <c r="D5454" t="s">
        <v>23629</v>
      </c>
      <c r="E5454" t="s">
        <v>23632</v>
      </c>
    </row>
    <row r="5455" spans="1:5" x14ac:dyDescent="0.25">
      <c r="A5455" s="131" t="s">
        <v>17865</v>
      </c>
      <c r="B5455" t="s">
        <v>28223</v>
      </c>
      <c r="C5455">
        <v>1</v>
      </c>
      <c r="D5455" t="s">
        <v>23629</v>
      </c>
      <c r="E5455" t="s">
        <v>23632</v>
      </c>
    </row>
    <row r="5456" spans="1:5" x14ac:dyDescent="0.25">
      <c r="A5456" s="130" t="str">
        <f>LEFT(B5456,1)</f>
        <v>V</v>
      </c>
      <c r="B5456" t="s">
        <v>29281</v>
      </c>
      <c r="C5456">
        <v>1</v>
      </c>
      <c r="D5456" t="s">
        <v>23629</v>
      </c>
      <c r="E5456" t="s">
        <v>23632</v>
      </c>
    </row>
    <row r="5457" spans="1:5" x14ac:dyDescent="0.25">
      <c r="A5457" s="130" t="s">
        <v>17865</v>
      </c>
      <c r="B5457" t="s">
        <v>28224</v>
      </c>
      <c r="C5457">
        <v>1</v>
      </c>
      <c r="D5457" t="s">
        <v>23629</v>
      </c>
      <c r="E5457" t="s">
        <v>23632</v>
      </c>
    </row>
    <row r="5458" spans="1:5" x14ac:dyDescent="0.25">
      <c r="A5458" s="130" t="s">
        <v>17865</v>
      </c>
      <c r="B5458" t="s">
        <v>28225</v>
      </c>
      <c r="C5458">
        <v>1</v>
      </c>
      <c r="D5458" t="s">
        <v>23629</v>
      </c>
      <c r="E5458" t="s">
        <v>23632</v>
      </c>
    </row>
    <row r="5459" spans="1:5" x14ac:dyDescent="0.25">
      <c r="A5459" s="131" t="s">
        <v>17865</v>
      </c>
      <c r="B5459" t="s">
        <v>28226</v>
      </c>
      <c r="C5459">
        <v>1</v>
      </c>
      <c r="D5459" t="s">
        <v>23629</v>
      </c>
      <c r="E5459" t="s">
        <v>23632</v>
      </c>
    </row>
    <row r="5460" spans="1:5" x14ac:dyDescent="0.25">
      <c r="A5460" s="130" t="str">
        <f>LEFT(B5460,1)</f>
        <v>V</v>
      </c>
      <c r="B5460" t="s">
        <v>28916</v>
      </c>
      <c r="C5460">
        <v>1</v>
      </c>
      <c r="D5460" t="s">
        <v>23629</v>
      </c>
      <c r="E5460" t="s">
        <v>23632</v>
      </c>
    </row>
    <row r="5461" spans="1:5" x14ac:dyDescent="0.25">
      <c r="A5461" s="130" t="str">
        <f>LEFT(B5461,1)</f>
        <v>V</v>
      </c>
      <c r="B5461" t="s">
        <v>28917</v>
      </c>
      <c r="C5461">
        <v>1</v>
      </c>
      <c r="D5461" t="s">
        <v>23629</v>
      </c>
      <c r="E5461" t="s">
        <v>23632</v>
      </c>
    </row>
    <row r="5462" spans="1:5" x14ac:dyDescent="0.25">
      <c r="A5462" s="130" t="str">
        <f>LEFT(B5462,1)</f>
        <v>V</v>
      </c>
      <c r="B5462" t="s">
        <v>28248</v>
      </c>
      <c r="C5462">
        <v>1</v>
      </c>
      <c r="D5462" t="s">
        <v>23629</v>
      </c>
      <c r="E5462" t="s">
        <v>23632</v>
      </c>
    </row>
    <row r="5463" spans="1:5" x14ac:dyDescent="0.25">
      <c r="A5463" s="130" t="str">
        <f>LEFT(B5463,1)</f>
        <v>V</v>
      </c>
      <c r="B5463" t="s">
        <v>28918</v>
      </c>
      <c r="C5463">
        <v>1</v>
      </c>
      <c r="D5463" t="s">
        <v>23629</v>
      </c>
      <c r="E5463" t="s">
        <v>23632</v>
      </c>
    </row>
    <row r="5464" spans="1:5" x14ac:dyDescent="0.25">
      <c r="A5464" s="131" t="s">
        <v>17865</v>
      </c>
      <c r="B5464" t="s">
        <v>28227</v>
      </c>
      <c r="C5464">
        <v>1</v>
      </c>
      <c r="D5464" t="s">
        <v>23629</v>
      </c>
      <c r="E5464" t="s">
        <v>23632</v>
      </c>
    </row>
    <row r="5465" spans="1:5" x14ac:dyDescent="0.25">
      <c r="A5465" s="130" t="str">
        <f>LEFT(B5465,1)</f>
        <v>V</v>
      </c>
      <c r="B5465" t="s">
        <v>29176</v>
      </c>
      <c r="C5465">
        <v>1</v>
      </c>
      <c r="D5465" t="s">
        <v>23629</v>
      </c>
      <c r="E5465" t="s">
        <v>23632</v>
      </c>
    </row>
    <row r="5466" spans="1:5" x14ac:dyDescent="0.25">
      <c r="A5466" s="130" t="s">
        <v>17865</v>
      </c>
      <c r="B5466" t="s">
        <v>28228</v>
      </c>
      <c r="C5466">
        <v>1</v>
      </c>
      <c r="D5466" t="s">
        <v>23629</v>
      </c>
      <c r="E5466" t="s">
        <v>23632</v>
      </c>
    </row>
    <row r="5467" spans="1:5" x14ac:dyDescent="0.25">
      <c r="A5467" s="131" t="s">
        <v>17865</v>
      </c>
      <c r="B5467" t="s">
        <v>28229</v>
      </c>
      <c r="C5467">
        <v>1</v>
      </c>
      <c r="D5467" t="s">
        <v>23629</v>
      </c>
      <c r="E5467" t="s">
        <v>23632</v>
      </c>
    </row>
    <row r="5468" spans="1:5" x14ac:dyDescent="0.25">
      <c r="A5468" s="130" t="s">
        <v>17865</v>
      </c>
      <c r="B5468" t="s">
        <v>28230</v>
      </c>
      <c r="C5468">
        <v>1</v>
      </c>
      <c r="D5468" t="s">
        <v>23629</v>
      </c>
      <c r="E5468" t="s">
        <v>23632</v>
      </c>
    </row>
    <row r="5469" spans="1:5" x14ac:dyDescent="0.25">
      <c r="A5469" s="130" t="str">
        <f>LEFT(B5469,1)</f>
        <v>V</v>
      </c>
      <c r="B5469" t="s">
        <v>28919</v>
      </c>
      <c r="C5469">
        <v>1</v>
      </c>
      <c r="D5469" t="s">
        <v>23629</v>
      </c>
      <c r="E5469" t="s">
        <v>23632</v>
      </c>
    </row>
    <row r="5470" spans="1:5" x14ac:dyDescent="0.25">
      <c r="A5470" s="131" t="s">
        <v>17865</v>
      </c>
      <c r="B5470" t="s">
        <v>28231</v>
      </c>
      <c r="C5470">
        <v>1</v>
      </c>
      <c r="D5470" t="s">
        <v>23629</v>
      </c>
      <c r="E5470" t="s">
        <v>23632</v>
      </c>
    </row>
    <row r="5471" spans="1:5" x14ac:dyDescent="0.25">
      <c r="A5471" s="130" t="str">
        <f>LEFT(B5471,1)</f>
        <v>V</v>
      </c>
      <c r="B5471" t="s">
        <v>29282</v>
      </c>
      <c r="C5471">
        <v>1</v>
      </c>
      <c r="D5471" t="s">
        <v>23629</v>
      </c>
      <c r="E5471" t="s">
        <v>23632</v>
      </c>
    </row>
    <row r="5472" spans="1:5" x14ac:dyDescent="0.25">
      <c r="A5472" s="130" t="s">
        <v>17865</v>
      </c>
      <c r="B5472" t="s">
        <v>28232</v>
      </c>
      <c r="C5472">
        <v>1</v>
      </c>
      <c r="D5472" t="s">
        <v>23629</v>
      </c>
      <c r="E5472" t="s">
        <v>23632</v>
      </c>
    </row>
    <row r="5473" spans="1:5" x14ac:dyDescent="0.25">
      <c r="A5473" s="131" t="s">
        <v>17865</v>
      </c>
      <c r="B5473" t="s">
        <v>28233</v>
      </c>
      <c r="C5473">
        <v>1</v>
      </c>
      <c r="D5473" t="s">
        <v>23629</v>
      </c>
      <c r="E5473" t="s">
        <v>23632</v>
      </c>
    </row>
    <row r="5474" spans="1:5" x14ac:dyDescent="0.25">
      <c r="A5474" s="130" t="str">
        <f>LEFT(B5474,1)</f>
        <v>V</v>
      </c>
      <c r="B5474" t="s">
        <v>28920</v>
      </c>
      <c r="C5474">
        <v>1</v>
      </c>
      <c r="D5474" t="s">
        <v>23629</v>
      </c>
      <c r="E5474" t="s">
        <v>23632</v>
      </c>
    </row>
    <row r="5475" spans="1:5" x14ac:dyDescent="0.25">
      <c r="A5475" s="130" t="s">
        <v>17865</v>
      </c>
      <c r="B5475" t="s">
        <v>28234</v>
      </c>
      <c r="C5475">
        <v>1</v>
      </c>
      <c r="D5475" t="s">
        <v>23629</v>
      </c>
      <c r="E5475" t="s">
        <v>23632</v>
      </c>
    </row>
    <row r="5476" spans="1:5" x14ac:dyDescent="0.25">
      <c r="A5476" s="130" t="s">
        <v>17865</v>
      </c>
      <c r="B5476" t="s">
        <v>28235</v>
      </c>
      <c r="C5476">
        <v>1</v>
      </c>
      <c r="D5476" t="s">
        <v>23629</v>
      </c>
      <c r="E5476" t="s">
        <v>23632</v>
      </c>
    </row>
    <row r="5477" spans="1:5" x14ac:dyDescent="0.25">
      <c r="A5477" s="131" t="str">
        <f>LEFT(B5477,1)</f>
        <v>V</v>
      </c>
      <c r="B5477" t="s">
        <v>28240</v>
      </c>
      <c r="C5477">
        <v>1</v>
      </c>
      <c r="D5477" t="s">
        <v>23629</v>
      </c>
      <c r="E5477" t="s">
        <v>23632</v>
      </c>
    </row>
    <row r="5478" spans="1:5" x14ac:dyDescent="0.25">
      <c r="A5478" s="131" t="s">
        <v>17865</v>
      </c>
      <c r="B5478" t="s">
        <v>28236</v>
      </c>
      <c r="C5478">
        <v>1</v>
      </c>
      <c r="D5478" t="s">
        <v>23629</v>
      </c>
      <c r="E5478" t="s">
        <v>23632</v>
      </c>
    </row>
    <row r="5479" spans="1:5" x14ac:dyDescent="0.25">
      <c r="A5479" s="130" t="s">
        <v>17865</v>
      </c>
      <c r="B5479" t="s">
        <v>28237</v>
      </c>
      <c r="C5479">
        <v>1</v>
      </c>
      <c r="D5479" t="s">
        <v>23629</v>
      </c>
      <c r="E5479" t="s">
        <v>23632</v>
      </c>
    </row>
    <row r="5480" spans="1:5" x14ac:dyDescent="0.25">
      <c r="A5480" s="131" t="s">
        <v>17449</v>
      </c>
      <c r="B5480" t="s">
        <v>28249</v>
      </c>
      <c r="C5480">
        <v>1</v>
      </c>
      <c r="D5480" t="s">
        <v>23629</v>
      </c>
      <c r="E5480" t="s">
        <v>23632</v>
      </c>
    </row>
    <row r="5481" spans="1:5" x14ac:dyDescent="0.25">
      <c r="A5481" s="130" t="s">
        <v>17449</v>
      </c>
      <c r="B5481" t="s">
        <v>28250</v>
      </c>
      <c r="C5481">
        <v>1</v>
      </c>
      <c r="D5481" t="s">
        <v>23629</v>
      </c>
      <c r="E5481" t="s">
        <v>23632</v>
      </c>
    </row>
    <row r="5482" spans="1:5" x14ac:dyDescent="0.25">
      <c r="A5482" s="130" t="str">
        <f>LEFT(B5482,1)</f>
        <v>W</v>
      </c>
      <c r="B5482" t="s">
        <v>29177</v>
      </c>
      <c r="C5482">
        <v>1</v>
      </c>
      <c r="D5482" t="s">
        <v>23629</v>
      </c>
      <c r="E5482" t="s">
        <v>23632</v>
      </c>
    </row>
    <row r="5483" spans="1:5" x14ac:dyDescent="0.25">
      <c r="A5483" s="131" t="s">
        <v>17449</v>
      </c>
      <c r="B5483" t="s">
        <v>28251</v>
      </c>
      <c r="C5483">
        <v>1</v>
      </c>
      <c r="D5483" t="s">
        <v>23629</v>
      </c>
      <c r="E5483" t="s">
        <v>23632</v>
      </c>
    </row>
    <row r="5484" spans="1:5" x14ac:dyDescent="0.25">
      <c r="A5484" s="130" t="s">
        <v>17449</v>
      </c>
      <c r="B5484" t="s">
        <v>28252</v>
      </c>
      <c r="C5484">
        <v>1</v>
      </c>
      <c r="D5484" t="s">
        <v>23629</v>
      </c>
      <c r="E5484" t="s">
        <v>23632</v>
      </c>
    </row>
    <row r="5485" spans="1:5" x14ac:dyDescent="0.25">
      <c r="A5485" s="131" t="s">
        <v>17449</v>
      </c>
      <c r="B5485" t="s">
        <v>28253</v>
      </c>
      <c r="C5485">
        <v>1</v>
      </c>
      <c r="D5485" t="s">
        <v>23629</v>
      </c>
      <c r="E5485" t="s">
        <v>23632</v>
      </c>
    </row>
    <row r="5486" spans="1:5" x14ac:dyDescent="0.25">
      <c r="A5486" s="130" t="s">
        <v>17449</v>
      </c>
      <c r="B5486" t="s">
        <v>28254</v>
      </c>
      <c r="C5486">
        <v>1</v>
      </c>
      <c r="D5486" t="s">
        <v>23629</v>
      </c>
      <c r="E5486" t="s">
        <v>23632</v>
      </c>
    </row>
    <row r="5487" spans="1:5" x14ac:dyDescent="0.25">
      <c r="A5487" s="131" t="s">
        <v>17449</v>
      </c>
      <c r="B5487" t="s">
        <v>28255</v>
      </c>
      <c r="C5487">
        <v>1</v>
      </c>
      <c r="D5487" t="s">
        <v>23629</v>
      </c>
      <c r="E5487" t="s">
        <v>23632</v>
      </c>
    </row>
    <row r="5488" spans="1:5" x14ac:dyDescent="0.25">
      <c r="A5488" s="130" t="s">
        <v>17449</v>
      </c>
      <c r="B5488" t="s">
        <v>28256</v>
      </c>
      <c r="C5488">
        <v>1</v>
      </c>
      <c r="D5488" t="s">
        <v>23629</v>
      </c>
      <c r="E5488" t="s">
        <v>23632</v>
      </c>
    </row>
    <row r="5489" spans="1:5" x14ac:dyDescent="0.25">
      <c r="A5489" s="131" t="str">
        <f>LEFT((B5489),1)</f>
        <v>W</v>
      </c>
      <c r="B5489" t="s">
        <v>28257</v>
      </c>
      <c r="C5489">
        <v>1</v>
      </c>
      <c r="D5489" t="s">
        <v>23629</v>
      </c>
      <c r="E5489" t="s">
        <v>23632</v>
      </c>
    </row>
    <row r="5490" spans="1:5" x14ac:dyDescent="0.25">
      <c r="A5490" s="131" t="s">
        <v>17449</v>
      </c>
      <c r="B5490" t="s">
        <v>28258</v>
      </c>
      <c r="C5490">
        <v>1</v>
      </c>
      <c r="D5490" t="s">
        <v>23629</v>
      </c>
      <c r="E5490" t="s">
        <v>23632</v>
      </c>
    </row>
    <row r="5491" spans="1:5" x14ac:dyDescent="0.25">
      <c r="A5491" s="130" t="str">
        <f>LEFT(B5491,1)</f>
        <v>W</v>
      </c>
      <c r="B5491" t="s">
        <v>28278</v>
      </c>
      <c r="C5491">
        <v>1</v>
      </c>
      <c r="D5491" t="s">
        <v>23629</v>
      </c>
      <c r="E5491" t="s">
        <v>23632</v>
      </c>
    </row>
    <row r="5492" spans="1:5" x14ac:dyDescent="0.25">
      <c r="A5492" s="130" t="str">
        <f>LEFT(B5492,1)</f>
        <v>W</v>
      </c>
      <c r="B5492" t="s">
        <v>28921</v>
      </c>
      <c r="C5492">
        <v>1</v>
      </c>
      <c r="D5492" t="s">
        <v>23629</v>
      </c>
      <c r="E5492" t="s">
        <v>23632</v>
      </c>
    </row>
    <row r="5493" spans="1:5" x14ac:dyDescent="0.25">
      <c r="A5493" s="131" t="s">
        <v>17449</v>
      </c>
      <c r="B5493" t="s">
        <v>28259</v>
      </c>
      <c r="C5493">
        <v>1</v>
      </c>
      <c r="D5493" t="s">
        <v>23629</v>
      </c>
      <c r="E5493" t="s">
        <v>23632</v>
      </c>
    </row>
    <row r="5494" spans="1:5" x14ac:dyDescent="0.25">
      <c r="A5494" s="131" t="str">
        <f>LEFT(B5494,1)</f>
        <v>W</v>
      </c>
      <c r="B5494" t="s">
        <v>28281</v>
      </c>
      <c r="C5494">
        <v>1</v>
      </c>
      <c r="D5494" t="s">
        <v>23629</v>
      </c>
      <c r="E5494" t="s">
        <v>23632</v>
      </c>
    </row>
    <row r="5495" spans="1:5" x14ac:dyDescent="0.25">
      <c r="A5495" s="130" t="str">
        <f>LEFT(B5495,1)</f>
        <v>W</v>
      </c>
      <c r="B5495" t="s">
        <v>28280</v>
      </c>
      <c r="C5495">
        <v>1</v>
      </c>
      <c r="D5495" t="s">
        <v>23629</v>
      </c>
      <c r="E5495" t="s">
        <v>23632</v>
      </c>
    </row>
    <row r="5496" spans="1:5" x14ac:dyDescent="0.25">
      <c r="A5496" s="130" t="s">
        <v>17449</v>
      </c>
      <c r="B5496" t="s">
        <v>28260</v>
      </c>
      <c r="C5496">
        <v>1</v>
      </c>
      <c r="D5496" t="s">
        <v>23629</v>
      </c>
      <c r="E5496" t="s">
        <v>23632</v>
      </c>
    </row>
    <row r="5497" spans="1:5" x14ac:dyDescent="0.25">
      <c r="A5497" s="130" t="str">
        <f>LEFT(B5497,1)</f>
        <v>W</v>
      </c>
      <c r="B5497" t="s">
        <v>29283</v>
      </c>
      <c r="C5497">
        <v>1</v>
      </c>
      <c r="D5497" t="s">
        <v>23629</v>
      </c>
      <c r="E5497" t="s">
        <v>23632</v>
      </c>
    </row>
    <row r="5498" spans="1:5" x14ac:dyDescent="0.25">
      <c r="A5498" s="131" t="s">
        <v>17449</v>
      </c>
      <c r="B5498" t="s">
        <v>28261</v>
      </c>
      <c r="C5498">
        <v>1</v>
      </c>
      <c r="D5498" t="s">
        <v>23629</v>
      </c>
      <c r="E5498" t="s">
        <v>23632</v>
      </c>
    </row>
    <row r="5499" spans="1:5" x14ac:dyDescent="0.25">
      <c r="A5499" s="130" t="s">
        <v>17449</v>
      </c>
      <c r="B5499" t="s">
        <v>28262</v>
      </c>
      <c r="C5499">
        <v>1</v>
      </c>
      <c r="D5499" t="s">
        <v>23629</v>
      </c>
      <c r="E5499" t="s">
        <v>23632</v>
      </c>
    </row>
    <row r="5500" spans="1:5" x14ac:dyDescent="0.25">
      <c r="A5500" s="131" t="s">
        <v>17449</v>
      </c>
      <c r="B5500" t="s">
        <v>28263</v>
      </c>
      <c r="C5500">
        <v>1</v>
      </c>
      <c r="D5500" t="s">
        <v>23629</v>
      </c>
      <c r="E5500" t="s">
        <v>23632</v>
      </c>
    </row>
    <row r="5501" spans="1:5" x14ac:dyDescent="0.25">
      <c r="A5501" s="130" t="s">
        <v>17449</v>
      </c>
      <c r="B5501" t="s">
        <v>28264</v>
      </c>
      <c r="C5501">
        <v>1</v>
      </c>
      <c r="D5501" t="s">
        <v>23629</v>
      </c>
      <c r="E5501" t="s">
        <v>23632</v>
      </c>
    </row>
    <row r="5502" spans="1:5" x14ac:dyDescent="0.25">
      <c r="A5502" s="130" t="s">
        <v>17449</v>
      </c>
      <c r="B5502" t="s">
        <v>28265</v>
      </c>
      <c r="C5502">
        <v>1</v>
      </c>
      <c r="D5502" t="s">
        <v>23629</v>
      </c>
      <c r="E5502" t="s">
        <v>23632</v>
      </c>
    </row>
    <row r="5503" spans="1:5" x14ac:dyDescent="0.25">
      <c r="A5503" s="131" t="s">
        <v>17449</v>
      </c>
      <c r="B5503" t="s">
        <v>28266</v>
      </c>
      <c r="C5503">
        <v>1</v>
      </c>
      <c r="D5503" t="s">
        <v>23629</v>
      </c>
      <c r="E5503" t="s">
        <v>23632</v>
      </c>
    </row>
    <row r="5504" spans="1:5" x14ac:dyDescent="0.25">
      <c r="A5504" s="130" t="s">
        <v>17449</v>
      </c>
      <c r="B5504" t="s">
        <v>28267</v>
      </c>
      <c r="C5504">
        <v>1</v>
      </c>
      <c r="D5504" t="s">
        <v>23629</v>
      </c>
      <c r="E5504" t="s">
        <v>23632</v>
      </c>
    </row>
    <row r="5505" spans="1:5" x14ac:dyDescent="0.25">
      <c r="A5505" s="130" t="str">
        <f>LEFT(B5505,1)</f>
        <v>W</v>
      </c>
      <c r="B5505" t="s">
        <v>28279</v>
      </c>
      <c r="C5505">
        <v>1</v>
      </c>
      <c r="D5505" t="s">
        <v>23629</v>
      </c>
      <c r="E5505" t="s">
        <v>23632</v>
      </c>
    </row>
    <row r="5506" spans="1:5" x14ac:dyDescent="0.25">
      <c r="A5506" s="131" t="s">
        <v>17449</v>
      </c>
      <c r="B5506" t="s">
        <v>28268</v>
      </c>
      <c r="C5506">
        <v>1</v>
      </c>
      <c r="D5506" t="s">
        <v>23629</v>
      </c>
      <c r="E5506" t="s">
        <v>23632</v>
      </c>
    </row>
    <row r="5507" spans="1:5" x14ac:dyDescent="0.25">
      <c r="A5507" s="130" t="s">
        <v>17449</v>
      </c>
      <c r="B5507" t="s">
        <v>28269</v>
      </c>
      <c r="C5507">
        <v>1</v>
      </c>
      <c r="D5507" t="s">
        <v>23629</v>
      </c>
      <c r="E5507" t="s">
        <v>23632</v>
      </c>
    </row>
    <row r="5508" spans="1:5" x14ac:dyDescent="0.25">
      <c r="A5508" s="130" t="str">
        <f>LEFT(B5508,1)</f>
        <v>W</v>
      </c>
      <c r="B5508" t="s">
        <v>28646</v>
      </c>
      <c r="C5508">
        <v>1</v>
      </c>
      <c r="D5508" t="s">
        <v>23629</v>
      </c>
      <c r="E5508" t="s">
        <v>23632</v>
      </c>
    </row>
    <row r="5509" spans="1:5" x14ac:dyDescent="0.25">
      <c r="A5509" s="130" t="str">
        <f>LEFT((B5509),1)</f>
        <v>W</v>
      </c>
      <c r="B5509" t="s">
        <v>28270</v>
      </c>
      <c r="C5509">
        <v>1</v>
      </c>
      <c r="D5509" t="s">
        <v>23629</v>
      </c>
      <c r="E5509" t="s">
        <v>23632</v>
      </c>
    </row>
    <row r="5510" spans="1:5" x14ac:dyDescent="0.25">
      <c r="A5510" s="131" t="s">
        <v>17449</v>
      </c>
      <c r="B5510" t="s">
        <v>28271</v>
      </c>
      <c r="C5510">
        <v>1</v>
      </c>
      <c r="D5510" t="s">
        <v>23629</v>
      </c>
      <c r="E5510" t="s">
        <v>23632</v>
      </c>
    </row>
    <row r="5511" spans="1:5" x14ac:dyDescent="0.25">
      <c r="A5511" s="130" t="str">
        <f>LEFT(B5511,1)</f>
        <v>W</v>
      </c>
      <c r="B5511" t="s">
        <v>29178</v>
      </c>
      <c r="C5511">
        <v>1</v>
      </c>
      <c r="D5511" t="s">
        <v>23629</v>
      </c>
      <c r="E5511" t="s">
        <v>23632</v>
      </c>
    </row>
    <row r="5512" spans="1:5" x14ac:dyDescent="0.25">
      <c r="A5512" s="130" t="str">
        <f>LEFT(B5512,1)</f>
        <v>W</v>
      </c>
      <c r="B5512" t="s">
        <v>28647</v>
      </c>
      <c r="C5512">
        <v>1</v>
      </c>
      <c r="D5512" t="s">
        <v>23629</v>
      </c>
      <c r="E5512" t="s">
        <v>23632</v>
      </c>
    </row>
    <row r="5513" spans="1:5" x14ac:dyDescent="0.25">
      <c r="A5513" s="130" t="s">
        <v>17449</v>
      </c>
      <c r="B5513" t="s">
        <v>28272</v>
      </c>
      <c r="C5513">
        <v>1</v>
      </c>
      <c r="D5513" t="s">
        <v>23629</v>
      </c>
      <c r="E5513" t="s">
        <v>23632</v>
      </c>
    </row>
    <row r="5514" spans="1:5" x14ac:dyDescent="0.25">
      <c r="A5514" s="130" t="str">
        <f>LEFT(B5514,1)</f>
        <v>W</v>
      </c>
      <c r="B5514" t="s">
        <v>29179</v>
      </c>
      <c r="C5514">
        <v>1</v>
      </c>
      <c r="D5514" t="s">
        <v>23629</v>
      </c>
      <c r="E5514" t="s">
        <v>23632</v>
      </c>
    </row>
    <row r="5515" spans="1:5" x14ac:dyDescent="0.25">
      <c r="A5515" s="130" t="str">
        <f>LEFT(B5515,1)</f>
        <v>W</v>
      </c>
      <c r="B5515" t="s">
        <v>28922</v>
      </c>
      <c r="C5515">
        <v>1</v>
      </c>
      <c r="D5515" t="s">
        <v>23629</v>
      </c>
      <c r="E5515" t="s">
        <v>23632</v>
      </c>
    </row>
    <row r="5516" spans="1:5" x14ac:dyDescent="0.25">
      <c r="A5516" s="131" t="s">
        <v>17449</v>
      </c>
      <c r="B5516" t="s">
        <v>28273</v>
      </c>
      <c r="C5516">
        <v>1</v>
      </c>
      <c r="D5516" t="s">
        <v>23629</v>
      </c>
      <c r="E5516" t="s">
        <v>23632</v>
      </c>
    </row>
    <row r="5517" spans="1:5" x14ac:dyDescent="0.25">
      <c r="A5517" s="130" t="s">
        <v>17449</v>
      </c>
      <c r="B5517" t="s">
        <v>28274</v>
      </c>
      <c r="C5517">
        <v>1</v>
      </c>
      <c r="D5517" t="s">
        <v>23629</v>
      </c>
      <c r="E5517" t="s">
        <v>23632</v>
      </c>
    </row>
    <row r="5518" spans="1:5" x14ac:dyDescent="0.25">
      <c r="A5518" s="131" t="s">
        <v>17449</v>
      </c>
      <c r="B5518" t="s">
        <v>28275</v>
      </c>
      <c r="C5518">
        <v>1</v>
      </c>
      <c r="D5518" t="s">
        <v>23629</v>
      </c>
      <c r="E5518" t="s">
        <v>23632</v>
      </c>
    </row>
    <row r="5519" spans="1:5" x14ac:dyDescent="0.25">
      <c r="A5519" s="131" t="s">
        <v>17449</v>
      </c>
      <c r="B5519" t="s">
        <v>28276</v>
      </c>
      <c r="C5519">
        <v>1</v>
      </c>
      <c r="D5519" t="s">
        <v>23629</v>
      </c>
      <c r="E5519" t="s">
        <v>23632</v>
      </c>
    </row>
    <row r="5520" spans="1:5" x14ac:dyDescent="0.25">
      <c r="A5520" s="130" t="str">
        <f>LEFT(B5520,1)</f>
        <v>W</v>
      </c>
      <c r="B5520" t="s">
        <v>29180</v>
      </c>
      <c r="C5520">
        <v>1</v>
      </c>
      <c r="D5520" t="s">
        <v>23629</v>
      </c>
      <c r="E5520" t="s">
        <v>23632</v>
      </c>
    </row>
    <row r="5521" spans="1:5" x14ac:dyDescent="0.25">
      <c r="A5521" s="130" t="s">
        <v>17449</v>
      </c>
      <c r="B5521" t="s">
        <v>28277</v>
      </c>
      <c r="C5521">
        <v>1</v>
      </c>
      <c r="D5521" t="s">
        <v>23629</v>
      </c>
      <c r="E5521" t="s">
        <v>23632</v>
      </c>
    </row>
    <row r="5522" spans="1:5" x14ac:dyDescent="0.25">
      <c r="A5522" s="130" t="str">
        <f t="shared" ref="A5522:A5562" si="2">LEFT(B5522,1)</f>
        <v>X</v>
      </c>
      <c r="B5522" t="s">
        <v>28282</v>
      </c>
      <c r="C5522">
        <v>1</v>
      </c>
      <c r="D5522" t="s">
        <v>23629</v>
      </c>
      <c r="E5522" t="s">
        <v>23632</v>
      </c>
    </row>
    <row r="5523" spans="1:5" x14ac:dyDescent="0.25">
      <c r="A5523" s="130" t="str">
        <f t="shared" si="2"/>
        <v>X</v>
      </c>
      <c r="B5523" t="s">
        <v>28284</v>
      </c>
      <c r="C5523">
        <v>1</v>
      </c>
      <c r="D5523" t="s">
        <v>23629</v>
      </c>
      <c r="E5523" t="s">
        <v>23632</v>
      </c>
    </row>
    <row r="5524" spans="1:5" x14ac:dyDescent="0.25">
      <c r="A5524" s="130" t="str">
        <f t="shared" si="2"/>
        <v>X</v>
      </c>
      <c r="B5524" t="s">
        <v>28648</v>
      </c>
      <c r="C5524">
        <v>1</v>
      </c>
      <c r="D5524" t="s">
        <v>23629</v>
      </c>
      <c r="E5524" t="s">
        <v>23632</v>
      </c>
    </row>
    <row r="5525" spans="1:5" x14ac:dyDescent="0.25">
      <c r="A5525" s="130" t="str">
        <f t="shared" si="2"/>
        <v>X</v>
      </c>
      <c r="B5525" t="s">
        <v>28283</v>
      </c>
      <c r="C5525">
        <v>1</v>
      </c>
      <c r="D5525" t="s">
        <v>23629</v>
      </c>
      <c r="E5525" t="s">
        <v>23632</v>
      </c>
    </row>
    <row r="5526" spans="1:5" x14ac:dyDescent="0.25">
      <c r="A5526" s="130" t="str">
        <f t="shared" si="2"/>
        <v>Y</v>
      </c>
      <c r="B5526" t="s">
        <v>28285</v>
      </c>
      <c r="C5526">
        <v>1</v>
      </c>
      <c r="D5526" t="s">
        <v>23629</v>
      </c>
      <c r="E5526" t="s">
        <v>23632</v>
      </c>
    </row>
    <row r="5527" spans="1:5" x14ac:dyDescent="0.25">
      <c r="A5527" s="130" t="str">
        <f t="shared" si="2"/>
        <v>Y</v>
      </c>
      <c r="B5527" t="s">
        <v>28286</v>
      </c>
      <c r="C5527">
        <v>1</v>
      </c>
      <c r="D5527" t="s">
        <v>23629</v>
      </c>
      <c r="E5527" t="s">
        <v>23632</v>
      </c>
    </row>
    <row r="5528" spans="1:5" x14ac:dyDescent="0.25">
      <c r="A5528" s="131" t="str">
        <f t="shared" si="2"/>
        <v>Y</v>
      </c>
      <c r="B5528" t="s">
        <v>28300</v>
      </c>
      <c r="C5528">
        <v>1</v>
      </c>
      <c r="D5528" t="s">
        <v>23629</v>
      </c>
      <c r="E5528" t="s">
        <v>23632</v>
      </c>
    </row>
    <row r="5529" spans="1:5" x14ac:dyDescent="0.25">
      <c r="A5529" s="130" t="str">
        <f t="shared" si="2"/>
        <v>Y</v>
      </c>
      <c r="B5529" t="s">
        <v>28287</v>
      </c>
      <c r="C5529">
        <v>1</v>
      </c>
      <c r="D5529" t="s">
        <v>23629</v>
      </c>
      <c r="E5529" t="s">
        <v>23632</v>
      </c>
    </row>
    <row r="5530" spans="1:5" x14ac:dyDescent="0.25">
      <c r="A5530" s="130" t="str">
        <f t="shared" si="2"/>
        <v>Y</v>
      </c>
      <c r="B5530" t="s">
        <v>28288</v>
      </c>
      <c r="C5530">
        <v>1</v>
      </c>
      <c r="D5530" t="s">
        <v>23629</v>
      </c>
      <c r="E5530" t="s">
        <v>23632</v>
      </c>
    </row>
    <row r="5531" spans="1:5" x14ac:dyDescent="0.25">
      <c r="A5531" s="130" t="str">
        <f t="shared" si="2"/>
        <v>Y</v>
      </c>
      <c r="B5531" t="s">
        <v>28289</v>
      </c>
      <c r="C5531">
        <v>1</v>
      </c>
      <c r="D5531" t="s">
        <v>23629</v>
      </c>
      <c r="E5531" t="s">
        <v>23632</v>
      </c>
    </row>
    <row r="5532" spans="1:5" x14ac:dyDescent="0.25">
      <c r="A5532" s="130" t="str">
        <f t="shared" si="2"/>
        <v>Y</v>
      </c>
      <c r="B5532" t="s">
        <v>28290</v>
      </c>
      <c r="C5532">
        <v>1</v>
      </c>
      <c r="D5532" t="s">
        <v>23629</v>
      </c>
      <c r="E5532" t="s">
        <v>23632</v>
      </c>
    </row>
    <row r="5533" spans="1:5" x14ac:dyDescent="0.25">
      <c r="A5533" s="130" t="str">
        <f t="shared" si="2"/>
        <v>Y</v>
      </c>
      <c r="B5533" t="s">
        <v>28291</v>
      </c>
      <c r="C5533">
        <v>1</v>
      </c>
      <c r="D5533" t="s">
        <v>23629</v>
      </c>
      <c r="E5533" t="s">
        <v>23632</v>
      </c>
    </row>
    <row r="5534" spans="1:5" x14ac:dyDescent="0.25">
      <c r="A5534" s="130" t="str">
        <f t="shared" si="2"/>
        <v>Y</v>
      </c>
      <c r="B5534" t="s">
        <v>28292</v>
      </c>
      <c r="C5534">
        <v>1</v>
      </c>
      <c r="D5534" t="s">
        <v>23629</v>
      </c>
      <c r="E5534" t="s">
        <v>23632</v>
      </c>
    </row>
    <row r="5535" spans="1:5" x14ac:dyDescent="0.25">
      <c r="A5535" s="130" t="str">
        <f t="shared" si="2"/>
        <v>Y</v>
      </c>
      <c r="B5535" t="s">
        <v>28293</v>
      </c>
      <c r="C5535">
        <v>1.1000000000000001</v>
      </c>
      <c r="D5535" t="s">
        <v>23629</v>
      </c>
      <c r="E5535" t="s">
        <v>23632</v>
      </c>
    </row>
    <row r="5536" spans="1:5" x14ac:dyDescent="0.25">
      <c r="A5536" s="131" t="str">
        <f t="shared" si="2"/>
        <v>Y</v>
      </c>
      <c r="B5536" t="s">
        <v>28297</v>
      </c>
      <c r="C5536">
        <v>1</v>
      </c>
      <c r="D5536" t="s">
        <v>23629</v>
      </c>
      <c r="E5536" t="s">
        <v>23632</v>
      </c>
    </row>
    <row r="5537" spans="1:5" x14ac:dyDescent="0.25">
      <c r="A5537" s="130" t="str">
        <f t="shared" si="2"/>
        <v>Y</v>
      </c>
      <c r="B5537" t="s">
        <v>28294</v>
      </c>
      <c r="C5537">
        <v>1</v>
      </c>
      <c r="D5537" t="s">
        <v>23629</v>
      </c>
      <c r="E5537" t="s">
        <v>23632</v>
      </c>
    </row>
    <row r="5538" spans="1:5" x14ac:dyDescent="0.25">
      <c r="A5538" s="130" t="str">
        <f t="shared" si="2"/>
        <v>Y</v>
      </c>
      <c r="B5538" t="s">
        <v>28298</v>
      </c>
      <c r="C5538">
        <v>1.3</v>
      </c>
      <c r="D5538" t="s">
        <v>23629</v>
      </c>
      <c r="E5538" t="s">
        <v>23881</v>
      </c>
    </row>
    <row r="5539" spans="1:5" x14ac:dyDescent="0.25">
      <c r="A5539" s="130" t="str">
        <f t="shared" si="2"/>
        <v>Y</v>
      </c>
      <c r="B5539" t="s">
        <v>28295</v>
      </c>
      <c r="C5539">
        <v>1.3</v>
      </c>
      <c r="D5539" t="s">
        <v>23629</v>
      </c>
      <c r="E5539" t="s">
        <v>23632</v>
      </c>
    </row>
    <row r="5540" spans="1:5" x14ac:dyDescent="0.25">
      <c r="A5540" s="130" t="str">
        <f t="shared" si="2"/>
        <v>Y</v>
      </c>
      <c r="B5540" t="s">
        <v>28296</v>
      </c>
      <c r="C5540">
        <v>1</v>
      </c>
      <c r="D5540" t="s">
        <v>23629</v>
      </c>
      <c r="E5540" t="s">
        <v>23632</v>
      </c>
    </row>
    <row r="5541" spans="1:5" x14ac:dyDescent="0.25">
      <c r="A5541" s="131" t="str">
        <f t="shared" si="2"/>
        <v>Y</v>
      </c>
      <c r="B5541" t="s">
        <v>28299</v>
      </c>
      <c r="C5541">
        <v>1</v>
      </c>
      <c r="D5541" t="s">
        <v>23629</v>
      </c>
      <c r="E5541" t="s">
        <v>23632</v>
      </c>
    </row>
    <row r="5542" spans="1:5" x14ac:dyDescent="0.25">
      <c r="A5542" s="130" t="str">
        <f t="shared" si="2"/>
        <v>Z</v>
      </c>
      <c r="B5542" t="s">
        <v>28923</v>
      </c>
      <c r="C5542">
        <v>1</v>
      </c>
      <c r="D5542" t="s">
        <v>23629</v>
      </c>
      <c r="E5542" t="s">
        <v>23632</v>
      </c>
    </row>
    <row r="5543" spans="1:5" x14ac:dyDescent="0.25">
      <c r="A5543" s="130" t="str">
        <f t="shared" si="2"/>
        <v>Z</v>
      </c>
      <c r="B5543" t="s">
        <v>28301</v>
      </c>
      <c r="C5543">
        <v>1</v>
      </c>
      <c r="D5543" t="s">
        <v>23629</v>
      </c>
      <c r="E5543" t="s">
        <v>23632</v>
      </c>
    </row>
    <row r="5544" spans="1:5" x14ac:dyDescent="0.25">
      <c r="A5544" s="131" t="str">
        <f t="shared" si="2"/>
        <v>Z</v>
      </c>
      <c r="B5544" t="s">
        <v>28302</v>
      </c>
      <c r="C5544">
        <v>1</v>
      </c>
      <c r="D5544" t="s">
        <v>23629</v>
      </c>
      <c r="E5544" t="s">
        <v>23632</v>
      </c>
    </row>
    <row r="5545" spans="1:5" x14ac:dyDescent="0.25">
      <c r="A5545" s="130" t="str">
        <f t="shared" si="2"/>
        <v>Z</v>
      </c>
      <c r="B5545" t="s">
        <v>28303</v>
      </c>
      <c r="C5545">
        <v>1</v>
      </c>
      <c r="D5545" t="s">
        <v>23629</v>
      </c>
      <c r="E5545" t="s">
        <v>23632</v>
      </c>
    </row>
    <row r="5546" spans="1:5" x14ac:dyDescent="0.25">
      <c r="A5546" s="130" t="str">
        <f t="shared" si="2"/>
        <v>Z</v>
      </c>
      <c r="B5546" t="s">
        <v>29181</v>
      </c>
      <c r="C5546">
        <v>1</v>
      </c>
      <c r="D5546" t="s">
        <v>23629</v>
      </c>
      <c r="E5546" t="s">
        <v>23632</v>
      </c>
    </row>
    <row r="5547" spans="1:5" x14ac:dyDescent="0.25">
      <c r="A5547" s="130" t="str">
        <f t="shared" si="2"/>
        <v>Z</v>
      </c>
      <c r="B5547" t="s">
        <v>28318</v>
      </c>
      <c r="C5547">
        <v>1</v>
      </c>
      <c r="D5547" t="s">
        <v>23629</v>
      </c>
      <c r="E5547" t="s">
        <v>23632</v>
      </c>
    </row>
    <row r="5548" spans="1:5" x14ac:dyDescent="0.25">
      <c r="A5548" s="131" t="str">
        <f t="shared" si="2"/>
        <v>Z</v>
      </c>
      <c r="B5548" t="s">
        <v>28304</v>
      </c>
      <c r="C5548">
        <v>1</v>
      </c>
      <c r="D5548" t="s">
        <v>23629</v>
      </c>
      <c r="E5548" t="s">
        <v>23632</v>
      </c>
    </row>
    <row r="5549" spans="1:5" x14ac:dyDescent="0.25">
      <c r="A5549" s="130" t="str">
        <f t="shared" si="2"/>
        <v>Z</v>
      </c>
      <c r="B5549" t="s">
        <v>28305</v>
      </c>
      <c r="C5549">
        <v>1</v>
      </c>
      <c r="D5549" t="s">
        <v>23629</v>
      </c>
      <c r="E5549" t="s">
        <v>23632</v>
      </c>
    </row>
    <row r="5550" spans="1:5" x14ac:dyDescent="0.25">
      <c r="A5550" s="131" t="str">
        <f t="shared" si="2"/>
        <v>Z</v>
      </c>
      <c r="B5550" t="s">
        <v>28306</v>
      </c>
      <c r="C5550">
        <v>1</v>
      </c>
      <c r="D5550" t="s">
        <v>23629</v>
      </c>
      <c r="E5550" t="s">
        <v>23632</v>
      </c>
    </row>
    <row r="5551" spans="1:5" x14ac:dyDescent="0.25">
      <c r="A5551" s="130" t="str">
        <f t="shared" si="2"/>
        <v>Z</v>
      </c>
      <c r="B5551" t="s">
        <v>28307</v>
      </c>
      <c r="C5551">
        <v>1</v>
      </c>
      <c r="D5551" t="s">
        <v>23629</v>
      </c>
      <c r="E5551" t="s">
        <v>23632</v>
      </c>
    </row>
    <row r="5552" spans="1:5" x14ac:dyDescent="0.25">
      <c r="A5552" s="131" t="str">
        <f t="shared" si="2"/>
        <v>Z</v>
      </c>
      <c r="B5552" t="s">
        <v>28308</v>
      </c>
      <c r="C5552">
        <v>1</v>
      </c>
      <c r="D5552" t="s">
        <v>23629</v>
      </c>
      <c r="E5552" t="s">
        <v>23632</v>
      </c>
    </row>
    <row r="5553" spans="1:5" x14ac:dyDescent="0.25">
      <c r="A5553" s="130" t="str">
        <f t="shared" si="2"/>
        <v>Z</v>
      </c>
      <c r="B5553" t="s">
        <v>28309</v>
      </c>
      <c r="C5553">
        <v>1</v>
      </c>
      <c r="D5553" t="s">
        <v>23629</v>
      </c>
      <c r="E5553" t="s">
        <v>23632</v>
      </c>
    </row>
    <row r="5554" spans="1:5" x14ac:dyDescent="0.25">
      <c r="A5554" s="130" t="str">
        <f t="shared" si="2"/>
        <v>Z</v>
      </c>
      <c r="B5554" t="s">
        <v>29284</v>
      </c>
      <c r="C5554">
        <v>1</v>
      </c>
      <c r="D5554" t="s">
        <v>23629</v>
      </c>
      <c r="E5554" t="s">
        <v>23632</v>
      </c>
    </row>
    <row r="5555" spans="1:5" x14ac:dyDescent="0.25">
      <c r="A5555" s="131" t="str">
        <f t="shared" si="2"/>
        <v>Z</v>
      </c>
      <c r="B5555" t="s">
        <v>28310</v>
      </c>
      <c r="C5555">
        <v>1</v>
      </c>
      <c r="D5555" t="s">
        <v>23629</v>
      </c>
      <c r="E5555" t="s">
        <v>23632</v>
      </c>
    </row>
    <row r="5556" spans="1:5" x14ac:dyDescent="0.25">
      <c r="A5556" s="130" t="str">
        <f t="shared" si="2"/>
        <v>Z</v>
      </c>
      <c r="B5556" t="s">
        <v>28311</v>
      </c>
      <c r="C5556">
        <v>1</v>
      </c>
      <c r="D5556" t="s">
        <v>23629</v>
      </c>
      <c r="E5556" t="s">
        <v>23632</v>
      </c>
    </row>
    <row r="5557" spans="1:5" x14ac:dyDescent="0.25">
      <c r="A5557" s="131" t="str">
        <f t="shared" si="2"/>
        <v>Z</v>
      </c>
      <c r="B5557" t="s">
        <v>28312</v>
      </c>
      <c r="C5557">
        <v>1</v>
      </c>
      <c r="D5557" t="s">
        <v>23629</v>
      </c>
      <c r="E5557" t="s">
        <v>23632</v>
      </c>
    </row>
    <row r="5558" spans="1:5" x14ac:dyDescent="0.25">
      <c r="A5558" s="130" t="str">
        <f t="shared" si="2"/>
        <v>Z</v>
      </c>
      <c r="B5558" t="s">
        <v>28313</v>
      </c>
      <c r="C5558">
        <v>1</v>
      </c>
      <c r="D5558" t="s">
        <v>23629</v>
      </c>
      <c r="E5558" t="s">
        <v>23632</v>
      </c>
    </row>
    <row r="5559" spans="1:5" x14ac:dyDescent="0.25">
      <c r="A5559" s="131" t="str">
        <f t="shared" si="2"/>
        <v>Z</v>
      </c>
      <c r="B5559" t="s">
        <v>28314</v>
      </c>
      <c r="C5559">
        <v>1</v>
      </c>
      <c r="D5559" t="s">
        <v>23629</v>
      </c>
      <c r="E5559" t="s">
        <v>23632</v>
      </c>
    </row>
    <row r="5560" spans="1:5" x14ac:dyDescent="0.25">
      <c r="A5560" s="130" t="str">
        <f t="shared" si="2"/>
        <v>Z</v>
      </c>
      <c r="B5560" t="s">
        <v>28315</v>
      </c>
      <c r="C5560">
        <v>1</v>
      </c>
      <c r="D5560" t="s">
        <v>23629</v>
      </c>
      <c r="E5560" t="s">
        <v>23632</v>
      </c>
    </row>
    <row r="5561" spans="1:5" x14ac:dyDescent="0.25">
      <c r="A5561" s="131" t="str">
        <f t="shared" si="2"/>
        <v>Z</v>
      </c>
      <c r="B5561" t="s">
        <v>28316</v>
      </c>
      <c r="C5561">
        <v>1</v>
      </c>
      <c r="D5561" t="s">
        <v>23629</v>
      </c>
      <c r="E5561" t="s">
        <v>23632</v>
      </c>
    </row>
    <row r="5562" spans="1:5" x14ac:dyDescent="0.25">
      <c r="A5562" s="130" t="str">
        <f t="shared" si="2"/>
        <v>Z</v>
      </c>
      <c r="B5562" t="s">
        <v>28317</v>
      </c>
      <c r="C5562">
        <v>1</v>
      </c>
      <c r="D5562" t="s">
        <v>23629</v>
      </c>
      <c r="E5562" t="s">
        <v>23632</v>
      </c>
    </row>
    <row r="5563" spans="1:5" x14ac:dyDescent="0.25">
      <c r="E5563" t="s">
        <v>23632</v>
      </c>
    </row>
  </sheetData>
  <autoFilter ref="A1:E4974" xr:uid="{AB40EF8B-7166-484A-AC22-8F46FCF2F81A}">
    <sortState xmlns:xlrd2="http://schemas.microsoft.com/office/spreadsheetml/2017/richdata2" ref="A2:E5563">
      <sortCondition ref="B1:B4974"/>
    </sortState>
  </autoFilter>
  <sortState xmlns:xlrd2="http://schemas.microsoft.com/office/spreadsheetml/2017/richdata2" ref="A2131:E2337">
    <sortCondition ref="A2131:A2337"/>
    <sortCondition ref="E2131:E233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theme="1" tint="0.499984740745262"/>
  </sheetPr>
  <dimension ref="B1:O1336"/>
  <sheetViews>
    <sheetView showGridLines="0" zoomScaleNormal="100" workbookViewId="0">
      <selection activeCell="D1336" sqref="D1336"/>
    </sheetView>
  </sheetViews>
  <sheetFormatPr baseColWidth="10" defaultColWidth="10.5703125" defaultRowHeight="12.75" x14ac:dyDescent="0.2"/>
  <cols>
    <col min="1" max="1" width="1.5703125" style="44" customWidth="1"/>
    <col min="2" max="2" width="18.5703125" style="56" hidden="1" customWidth="1"/>
    <col min="3" max="3" width="8.42578125" style="57" bestFit="1" customWidth="1"/>
    <col min="4" max="5" width="10.5703125" style="44" bestFit="1" customWidth="1"/>
    <col min="6" max="6" width="5.5703125" style="44" bestFit="1" customWidth="1"/>
    <col min="7" max="7" width="12.42578125" style="44" bestFit="1" customWidth="1"/>
    <col min="8" max="8" width="9.42578125" style="44" bestFit="1" customWidth="1"/>
    <col min="9" max="9" width="14.42578125" style="44" customWidth="1"/>
    <col min="10" max="10" width="9.7109375" style="44" bestFit="1" customWidth="1"/>
    <col min="11" max="11" width="7.42578125" style="44" bestFit="1" customWidth="1"/>
    <col min="12" max="12" width="8.5703125" style="44" bestFit="1" customWidth="1"/>
    <col min="13" max="13" width="10.5703125" style="44" bestFit="1" customWidth="1"/>
    <col min="14" max="14" width="8.5703125" style="44" bestFit="1" customWidth="1"/>
    <col min="15" max="15" width="9.42578125" style="44" bestFit="1" customWidth="1"/>
    <col min="16" max="16" width="7.42578125" style="44" bestFit="1" customWidth="1"/>
    <col min="17" max="17" width="11.42578125" style="44" bestFit="1" customWidth="1"/>
    <col min="18" max="16384" width="10.5703125" style="44"/>
  </cols>
  <sheetData>
    <row r="1" spans="2:15" ht="11.25" x14ac:dyDescent="0.25">
      <c r="B1" s="45"/>
      <c r="C1" s="44"/>
      <c r="N1" s="46"/>
    </row>
    <row r="2" spans="2:15" s="45" customFormat="1" ht="11.25" x14ac:dyDescent="0.25">
      <c r="B2" s="47" t="s">
        <v>28319</v>
      </c>
      <c r="C2" s="66" t="s">
        <v>28320</v>
      </c>
      <c r="D2" s="66" t="s">
        <v>28321</v>
      </c>
      <c r="E2" s="66" t="s">
        <v>28322</v>
      </c>
      <c r="F2" s="66" t="s">
        <v>28323</v>
      </c>
      <c r="G2" s="66" t="s">
        <v>28324</v>
      </c>
      <c r="H2" s="66" t="s">
        <v>28325</v>
      </c>
      <c r="I2" s="66" t="s">
        <v>28326</v>
      </c>
      <c r="J2" s="66" t="s">
        <v>28327</v>
      </c>
      <c r="K2" s="66" t="s">
        <v>0</v>
      </c>
      <c r="L2" s="66" t="s">
        <v>28328</v>
      </c>
      <c r="M2" s="66" t="s">
        <v>28329</v>
      </c>
      <c r="N2" s="66" t="s">
        <v>28330</v>
      </c>
      <c r="O2" s="66" t="s">
        <v>28331</v>
      </c>
    </row>
    <row r="3" spans="2:15" ht="11.25" x14ac:dyDescent="0.25">
      <c r="B3" s="48" t="str">
        <f>IFERROR(INDEX(#REF!,MATCH(0,INDEX(COUNTIF($B$2:B2,#REF!),0,0),0)),"")</f>
        <v/>
      </c>
      <c r="C3" s="58" t="str">
        <f>IF(Ofertas[[#This Row],[Prov_Desc]]="","",Ref_Turbigas)</f>
        <v/>
      </c>
      <c r="D3" s="59" t="str">
        <f>IF(Ofertas[[#This Row],[Prov_Desc]]="","",Fecha)</f>
        <v/>
      </c>
      <c r="E3" s="60" t="str">
        <f>IF(Ofertas[[#This Row],[Prov_Desc]]="","",Contacto_Turbigas)</f>
        <v/>
      </c>
      <c r="F3" s="61" t="str">
        <f>IF(Ofertas[[#This Row],[Prov_Desc]]="","",Revision)</f>
        <v/>
      </c>
      <c r="G3" s="62" t="str">
        <f>IF(Ofertas[[#This Row],[Prov_Desc]]="","",Ref_LESER)</f>
        <v/>
      </c>
      <c r="H3" s="62" t="str">
        <f>IF(Ofertas[[#This Row],[Prov_Desc]]="","",LEFT(Ofertas[[#This Row],[Prov_Desc]],FIND("_",Ofertas[[#This Row],[Prov_Desc]])-1))</f>
        <v/>
      </c>
      <c r="I3" s="62" t="str">
        <f>IF(Ofertas[[#This Row],[Prov_Desc]]="","",RIGHT(Ofertas[[#This Row],[Prov_Desc]],LEN(Ofertas[[#This Row],[Prov_Desc]])-FIND("_",Ofertas[[#This Row],[Prov_Desc]])))</f>
        <v/>
      </c>
      <c r="J3" s="62" t="str">
        <f>IF(Ofertas[[#This Row],[Prov_Desc]]="","",Ref_Cliente)</f>
        <v/>
      </c>
      <c r="K3" s="62" t="str">
        <f>IF(Ofertas[[#This Row],[Prov_Desc]]="","",Cliente)</f>
        <v/>
      </c>
      <c r="L3" s="61" t="str">
        <f>IF(Ofertas[[#This Row],[Prov_Desc]]="","",SUMIF(#REF!,Ofertas[[#This Row],[Prov_Desc]],#REF!))</f>
        <v/>
      </c>
      <c r="M3" s="63" t="str">
        <f>IF(Ofertas[[#This Row],[Prov_Desc]]="","",SUMIF(#REF!,Ofertas[[#This Row],[Prov_Desc]],#REF!))</f>
        <v/>
      </c>
      <c r="N3" s="64" t="str">
        <f>IF(Ofertas[[#This Row],[Prov_Desc]]="","",Beneficio)</f>
        <v/>
      </c>
      <c r="O3" s="63" t="str">
        <f>IF(Ofertas[[#This Row],[Prov_Desc]]="","",SUMIF(#REF!,Ofertas[[#This Row],[Prov_Desc]],#REF!))</f>
        <v/>
      </c>
    </row>
    <row r="4" spans="2:15" ht="11.25" x14ac:dyDescent="0.25">
      <c r="B4" s="48" t="str">
        <f>IFERROR(INDEX(#REF!,MATCH(0,INDEX(COUNTIF($B$2:B3,#REF!),0,0),0)),"")</f>
        <v/>
      </c>
      <c r="C4" s="58" t="str">
        <f>IF(Ofertas[[#This Row],[Prov_Desc]]="","",Ref_Turbigas)</f>
        <v/>
      </c>
      <c r="D4" s="59" t="str">
        <f>IF(Ofertas[[#This Row],[Prov_Desc]]="","",Fecha)</f>
        <v/>
      </c>
      <c r="E4" s="60" t="str">
        <f>IF(Ofertas[[#This Row],[Prov_Desc]]="","",Contacto_Turbigas)</f>
        <v/>
      </c>
      <c r="F4" s="61" t="str">
        <f>IF(Ofertas[[#This Row],[Prov_Desc]]="","",Revision)</f>
        <v/>
      </c>
      <c r="G4" s="62" t="str">
        <f>IF(Ofertas[[#This Row],[Prov_Desc]]="","",Ref_LESER)</f>
        <v/>
      </c>
      <c r="H4" s="62" t="str">
        <f>IF(Ofertas[[#This Row],[Prov_Desc]]="","",LEFT(Ofertas[[#This Row],[Prov_Desc]],FIND("_",Ofertas[[#This Row],[Prov_Desc]])-1))</f>
        <v/>
      </c>
      <c r="I4" s="62" t="str">
        <f>IF(Ofertas[[#This Row],[Prov_Desc]]="","",RIGHT(Ofertas[[#This Row],[Prov_Desc]],LEN(Ofertas[[#This Row],[Prov_Desc]])-FIND("_",Ofertas[[#This Row],[Prov_Desc]])))</f>
        <v/>
      </c>
      <c r="J4" s="62" t="str">
        <f>IF(Ofertas[[#This Row],[Prov_Desc]]="","",Ref_Cliente)</f>
        <v/>
      </c>
      <c r="K4" s="62" t="str">
        <f>IF(Ofertas[[#This Row],[Prov_Desc]]="","",Cliente)</f>
        <v/>
      </c>
      <c r="L4" s="61" t="str">
        <f>IF(Ofertas[[#This Row],[Prov_Desc]]="","",SUMIF(#REF!,Ofertas[[#This Row],[Prov_Desc]],#REF!))</f>
        <v/>
      </c>
      <c r="M4" s="63" t="str">
        <f>IF(Ofertas[[#This Row],[Prov_Desc]]="","",SUMIF(#REF!,Ofertas[[#This Row],[Prov_Desc]],#REF!))</f>
        <v/>
      </c>
      <c r="N4" s="64" t="str">
        <f>IF(Ofertas[[#This Row],[Prov_Desc]]="","",Beneficio)</f>
        <v/>
      </c>
      <c r="O4" s="63" t="str">
        <f>IF(Ofertas[[#This Row],[Prov_Desc]]="","",SUMIF(#REF!,Ofertas[[#This Row],[Prov_Desc]],#REF!))</f>
        <v/>
      </c>
    </row>
    <row r="5" spans="2:15" ht="11.25" x14ac:dyDescent="0.25">
      <c r="B5" s="48" t="str">
        <f>IFERROR(INDEX(#REF!,MATCH(0,INDEX(COUNTIF($B$2:B4,#REF!),0,0),0)),"")</f>
        <v/>
      </c>
      <c r="C5" s="58" t="str">
        <f>IF(Ofertas[[#This Row],[Prov_Desc]]="","",Ref_Turbigas)</f>
        <v/>
      </c>
      <c r="D5" s="59" t="str">
        <f>IF(Ofertas[[#This Row],[Prov_Desc]]="","",Fecha)</f>
        <v/>
      </c>
      <c r="E5" s="60" t="str">
        <f>IF(Ofertas[[#This Row],[Prov_Desc]]="","",Contacto_Turbigas)</f>
        <v/>
      </c>
      <c r="F5" s="61" t="str">
        <f>IF(Ofertas[[#This Row],[Prov_Desc]]="","",Revision)</f>
        <v/>
      </c>
      <c r="G5" s="62" t="str">
        <f>IF(Ofertas[[#This Row],[Prov_Desc]]="","",Ref_LESER)</f>
        <v/>
      </c>
      <c r="H5" s="62" t="str">
        <f>IF(Ofertas[[#This Row],[Prov_Desc]]="","",LEFT(Ofertas[[#This Row],[Prov_Desc]],FIND("_",Ofertas[[#This Row],[Prov_Desc]])-1))</f>
        <v/>
      </c>
      <c r="I5" s="62" t="str">
        <f>IF(Ofertas[[#This Row],[Prov_Desc]]="","",RIGHT(Ofertas[[#This Row],[Prov_Desc]],LEN(Ofertas[[#This Row],[Prov_Desc]])-FIND("_",Ofertas[[#This Row],[Prov_Desc]])))</f>
        <v/>
      </c>
      <c r="J5" s="62" t="str">
        <f>IF(Ofertas[[#This Row],[Prov_Desc]]="","",Ref_Cliente)</f>
        <v/>
      </c>
      <c r="K5" s="62" t="str">
        <f>IF(Ofertas[[#This Row],[Prov_Desc]]="","",Cliente)</f>
        <v/>
      </c>
      <c r="L5" s="61" t="str">
        <f>IF(Ofertas[[#This Row],[Prov_Desc]]="","",SUMIF(#REF!,Ofertas[[#This Row],[Prov_Desc]],#REF!))</f>
        <v/>
      </c>
      <c r="M5" s="63" t="str">
        <f>IF(Ofertas[[#This Row],[Prov_Desc]]="","",SUMIF(#REF!,Ofertas[[#This Row],[Prov_Desc]],#REF!))</f>
        <v/>
      </c>
      <c r="N5" s="64" t="str">
        <f>IF(Ofertas[[#This Row],[Prov_Desc]]="","",Beneficio)</f>
        <v/>
      </c>
      <c r="O5" s="63" t="str">
        <f>IF(Ofertas[[#This Row],[Prov_Desc]]="","",SUMIF(#REF!,Ofertas[[#This Row],[Prov_Desc]],#REF!))</f>
        <v/>
      </c>
    </row>
    <row r="6" spans="2:15" ht="11.25" x14ac:dyDescent="0.25">
      <c r="B6" s="48" t="str">
        <f>IFERROR(INDEX(#REF!,MATCH(0,INDEX(COUNTIF($B$2:B5,#REF!),0,0),0)),"")</f>
        <v/>
      </c>
      <c r="C6" s="58" t="str">
        <f>IF(Ofertas[[#This Row],[Prov_Desc]]="","",Ref_Turbigas)</f>
        <v/>
      </c>
      <c r="D6" s="59" t="str">
        <f>IF(Ofertas[[#This Row],[Prov_Desc]]="","",Fecha)</f>
        <v/>
      </c>
      <c r="E6" s="60" t="str">
        <f>IF(Ofertas[[#This Row],[Prov_Desc]]="","",Contacto_Turbigas)</f>
        <v/>
      </c>
      <c r="F6" s="61" t="str">
        <f>IF(Ofertas[[#This Row],[Prov_Desc]]="","",Revision)</f>
        <v/>
      </c>
      <c r="G6" s="62" t="str">
        <f>IF(Ofertas[[#This Row],[Prov_Desc]]="","",Ref_LESER)</f>
        <v/>
      </c>
      <c r="H6" s="62" t="str">
        <f>IF(Ofertas[[#This Row],[Prov_Desc]]="","",LEFT(Ofertas[[#This Row],[Prov_Desc]],FIND("_",Ofertas[[#This Row],[Prov_Desc]])-1))</f>
        <v/>
      </c>
      <c r="I6" s="62" t="str">
        <f>IF(Ofertas[[#This Row],[Prov_Desc]]="","",RIGHT(Ofertas[[#This Row],[Prov_Desc]],LEN(Ofertas[[#This Row],[Prov_Desc]])-FIND("_",Ofertas[[#This Row],[Prov_Desc]])))</f>
        <v/>
      </c>
      <c r="J6" s="62" t="str">
        <f>IF(Ofertas[[#This Row],[Prov_Desc]]="","",Ref_Cliente)</f>
        <v/>
      </c>
      <c r="K6" s="62" t="str">
        <f>IF(Ofertas[[#This Row],[Prov_Desc]]="","",Cliente)</f>
        <v/>
      </c>
      <c r="L6" s="61" t="str">
        <f>IF(Ofertas[[#This Row],[Prov_Desc]]="","",SUMIF(#REF!,Ofertas[[#This Row],[Prov_Desc]],#REF!))</f>
        <v/>
      </c>
      <c r="M6" s="63" t="str">
        <f>IF(Ofertas[[#This Row],[Prov_Desc]]="","",SUMIF(#REF!,Ofertas[[#This Row],[Prov_Desc]],#REF!))</f>
        <v/>
      </c>
      <c r="N6" s="64" t="str">
        <f>IF(Ofertas[[#This Row],[Prov_Desc]]="","",Beneficio)</f>
        <v/>
      </c>
      <c r="O6" s="63" t="str">
        <f>IF(Ofertas[[#This Row],[Prov_Desc]]="","",SUMIF(#REF!,Ofertas[[#This Row],[Prov_Desc]],#REF!))</f>
        <v/>
      </c>
    </row>
    <row r="7" spans="2:15" ht="11.25" x14ac:dyDescent="0.25">
      <c r="B7" s="48" t="str">
        <f>IFERROR(INDEX(#REF!,MATCH(0,INDEX(COUNTIF($B$2:B6,#REF!),0,0),0)),"")</f>
        <v/>
      </c>
      <c r="C7" s="58" t="str">
        <f>IF(Ofertas[[#This Row],[Prov_Desc]]="","",Ref_Turbigas)</f>
        <v/>
      </c>
      <c r="D7" s="59" t="str">
        <f>IF(Ofertas[[#This Row],[Prov_Desc]]="","",Fecha)</f>
        <v/>
      </c>
      <c r="E7" s="60" t="str">
        <f>IF(Ofertas[[#This Row],[Prov_Desc]]="","",Contacto_Turbigas)</f>
        <v/>
      </c>
      <c r="F7" s="61" t="str">
        <f>IF(Ofertas[[#This Row],[Prov_Desc]]="","",Revision)</f>
        <v/>
      </c>
      <c r="G7" s="62" t="str">
        <f>IF(Ofertas[[#This Row],[Prov_Desc]]="","",Ref_LESER)</f>
        <v/>
      </c>
      <c r="H7" s="62" t="str">
        <f>IF(Ofertas[[#This Row],[Prov_Desc]]="","",LEFT(Ofertas[[#This Row],[Prov_Desc]],FIND("_",Ofertas[[#This Row],[Prov_Desc]])-1))</f>
        <v/>
      </c>
      <c r="I7" s="62" t="str">
        <f>IF(Ofertas[[#This Row],[Prov_Desc]]="","",RIGHT(Ofertas[[#This Row],[Prov_Desc]],LEN(Ofertas[[#This Row],[Prov_Desc]])-FIND("_",Ofertas[[#This Row],[Prov_Desc]])))</f>
        <v/>
      </c>
      <c r="J7" s="62" t="str">
        <f>IF(Ofertas[[#This Row],[Prov_Desc]]="","",Ref_Cliente)</f>
        <v/>
      </c>
      <c r="K7" s="62" t="str">
        <f>IF(Ofertas[[#This Row],[Prov_Desc]]="","",Cliente)</f>
        <v/>
      </c>
      <c r="L7" s="61" t="str">
        <f>IF(Ofertas[[#This Row],[Prov_Desc]]="","",SUMIF(#REF!,Ofertas[[#This Row],[Prov_Desc]],#REF!))</f>
        <v/>
      </c>
      <c r="M7" s="63" t="str">
        <f>IF(Ofertas[[#This Row],[Prov_Desc]]="","",SUMIF(#REF!,Ofertas[[#This Row],[Prov_Desc]],#REF!))</f>
        <v/>
      </c>
      <c r="N7" s="64" t="str">
        <f>IF(Ofertas[[#This Row],[Prov_Desc]]="","",Beneficio)</f>
        <v/>
      </c>
      <c r="O7" s="63" t="str">
        <f>IF(Ofertas[[#This Row],[Prov_Desc]]="","",SUMIF(#REF!,Ofertas[[#This Row],[Prov_Desc]],#REF!))</f>
        <v/>
      </c>
    </row>
    <row r="8" spans="2:15" ht="11.25" x14ac:dyDescent="0.25">
      <c r="B8" s="49"/>
      <c r="C8" s="50"/>
      <c r="D8" s="51"/>
      <c r="E8" s="52"/>
      <c r="F8" s="51"/>
      <c r="G8" s="53"/>
      <c r="H8" s="53"/>
      <c r="I8" s="53"/>
      <c r="J8" s="53"/>
      <c r="K8" s="53"/>
      <c r="L8" s="51">
        <f>SUBTOTAL(109,Ofertas[Unidades])</f>
        <v>0</v>
      </c>
      <c r="M8" s="54">
        <f>SUBTOTAL(109,Ofertas[Valor Oferta])</f>
        <v>0</v>
      </c>
      <c r="N8" s="55" t="e">
        <f>SUBTOTAL(101,Ofertas[Beneficio])</f>
        <v>#DIV/0!</v>
      </c>
      <c r="O8" s="54">
        <f>SUBTOTAL(109,Ofertas[Costo Exw])</f>
        <v>0</v>
      </c>
    </row>
    <row r="1336" spans="4:4" ht="15" x14ac:dyDescent="0.25">
      <c r="D1336"/>
    </row>
  </sheetData>
  <sheetProtection selectLockedCells="1"/>
  <conditionalFormatting sqref="C3:O7">
    <cfRule type="expression" dxfId="4" priority="1">
      <formula>$O3="Budget"</formula>
    </cfRule>
    <cfRule type="expression" dxfId="3" priority="2">
      <formula>$O3="Inactiva"</formula>
    </cfRule>
    <cfRule type="expression" dxfId="2" priority="3">
      <formula>$O3="Anulada"</formula>
    </cfRule>
    <cfRule type="expression" dxfId="1" priority="4">
      <formula>$O3="Perdida"</formula>
    </cfRule>
    <cfRule type="expression" dxfId="0" priority="5">
      <formula>$O3="Ganada"</formula>
    </cfRule>
  </conditionalFormatting>
  <dataValidations count="2">
    <dataValidation type="list" allowBlank="1" showInputMessage="1" showErrorMessage="1" sqref="E3:E7" xr:uid="{00000000-0002-0000-0400-000000000000}">
      <formula1>"Julio,Paula,Carolina,Martin"</formula1>
    </dataValidation>
    <dataValidation type="list" allowBlank="1" showInputMessage="1" showErrorMessage="1" sqref="F3:F7" xr:uid="{00000000-0002-0000-0400-000001000000}">
      <formula1>"0,1,2,3,4,5,6,7"</formula1>
    </dataValidation>
  </dataValidations>
  <pageMargins left="0.7" right="0.7" top="0.75" bottom="0.75" header="0.3" footer="0.3"/>
  <pageSetup paperSize="9" orientation="portrait" r:id="rId1"/>
  <ignoredErrors>
    <ignoredError sqref="C4:D7 C3:D3 L3:M3 L4:M7 O4:O7 O3" unlockedFormula="1"/>
    <ignoredError sqref="E3:K3 E4:K7 N3 N4:N7" unlockedFormula="1" listDataValidation="1"/>
  </ignoredErrors>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CA41C0F7BF38324894300409FE0159AF" ma:contentTypeVersion="18" ma:contentTypeDescription="Crear nuevo documento." ma:contentTypeScope="" ma:versionID="028c7d50a92f4748c72ed858805895d9">
  <xsd:schema xmlns:xsd="http://www.w3.org/2001/XMLSchema" xmlns:xs="http://www.w3.org/2001/XMLSchema" xmlns:p="http://schemas.microsoft.com/office/2006/metadata/properties" xmlns:ns2="0a5954ba-96f8-438f-b34b-a5457f58ee3b" xmlns:ns3="d2c281bf-6834-4cd1-845e-6247ade83edc" targetNamespace="http://schemas.microsoft.com/office/2006/metadata/properties" ma:root="true" ma:fieldsID="5028ce3ae451c934219ce4e009c3d805" ns2:_="" ns3:_="">
    <xsd:import namespace="0a5954ba-96f8-438f-b34b-a5457f58ee3b"/>
    <xsd:import namespace="d2c281bf-6834-4cd1-845e-6247ade83ed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ServiceAutoKeyPoints" minOccurs="0"/>
                <xsd:element ref="ns3:MediaServiceKeyPoint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5954ba-96f8-438f-b34b-a5457f58ee3b"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a5184cd-0235-42b2-9f0e-b3e53e666a0e}" ma:internalName="TaxCatchAll" ma:showField="CatchAllData" ma:web="0a5954ba-96f8-438f-b34b-a5457f58ee3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2c281bf-6834-4cd1-845e-6247ade83ed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91e185df-2181-4cba-a380-bbc1fc91391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d2c281bf-6834-4cd1-845e-6247ade83edc">
      <Terms xmlns="http://schemas.microsoft.com/office/infopath/2007/PartnerControls"/>
    </lcf76f155ced4ddcb4097134ff3c332f>
    <TaxCatchAll xmlns="0a5954ba-96f8-438f-b34b-a5457f58ee3b" xsi:nil="true"/>
  </documentManagement>
</p:properties>
</file>

<file path=customXml/itemProps1.xml><?xml version="1.0" encoding="utf-8"?>
<ds:datastoreItem xmlns:ds="http://schemas.openxmlformats.org/officeDocument/2006/customXml" ds:itemID="{C8A62714-3456-40C1-9C1A-D1E2A20DEB6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5954ba-96f8-438f-b34b-a5457f58ee3b"/>
    <ds:schemaRef ds:uri="d2c281bf-6834-4cd1-845e-6247ade83ed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D84565B-9E56-433A-8B77-BAF48F9FF856}">
  <ds:schemaRefs>
    <ds:schemaRef ds:uri="http://schemas.microsoft.com/sharepoint/v3/contenttype/forms"/>
  </ds:schemaRefs>
</ds:datastoreItem>
</file>

<file path=customXml/itemProps3.xml><?xml version="1.0" encoding="utf-8"?>
<ds:datastoreItem xmlns:ds="http://schemas.openxmlformats.org/officeDocument/2006/customXml" ds:itemID="{DE8B75D6-39B9-4B83-A495-5F459B8EE5A0}">
  <ds:schemaRefs>
    <ds:schemaRef ds:uri="http://schemas.microsoft.com/DataMashup"/>
  </ds:schemaRefs>
</ds:datastoreItem>
</file>

<file path=customXml/itemProps4.xml><?xml version="1.0" encoding="utf-8"?>
<ds:datastoreItem xmlns:ds="http://schemas.openxmlformats.org/officeDocument/2006/customXml" ds:itemID="{BDEFD369-CDDC-482E-8813-53491B7AE724}">
  <ds:schemaRefs>
    <ds:schemaRef ds:uri="http://schemas.microsoft.com/office/2006/metadata/properties"/>
    <ds:schemaRef ds:uri="http://schemas.microsoft.com/office/infopath/2007/PartnerControls"/>
    <ds:schemaRef ds:uri="d2c281bf-6834-4cd1-845e-6247ade83edc"/>
    <ds:schemaRef ds:uri="0a5954ba-96f8-438f-b34b-a5457f58ee3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9</vt:i4>
      </vt:variant>
    </vt:vector>
  </HeadingPairs>
  <TitlesOfParts>
    <vt:vector size="16" baseType="lpstr">
      <vt:lpstr>Armado Presupuesto</vt:lpstr>
      <vt:lpstr>Presupuesto</vt:lpstr>
      <vt:lpstr>Carta</vt:lpstr>
      <vt:lpstr>Contactos</vt:lpstr>
      <vt:lpstr>Precio Lista</vt:lpstr>
      <vt:lpstr>Clientes</vt:lpstr>
      <vt:lpstr>Registro</vt:lpstr>
      <vt:lpstr>A_Z</vt:lpstr>
      <vt:lpstr>ABC</vt:lpstr>
      <vt:lpstr>Carta!Área_de_impresión</vt:lpstr>
      <vt:lpstr>Contactos!Área_de_impresión</vt:lpstr>
      <vt:lpstr>'Precio Lista'!Área_de_impresión</vt:lpstr>
      <vt:lpstr>Presupuesto!Área_de_impresión</vt:lpstr>
      <vt:lpstr>Clientes_2</vt:lpstr>
      <vt:lpstr>Multiplicador</vt:lpstr>
      <vt:lpstr>NombreClientes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Santiago Tejedor</dc:creator>
  <cp:keywords/>
  <dc:description/>
  <cp:lastModifiedBy>Santiago Tejedor</cp:lastModifiedBy>
  <cp:revision/>
  <dcterms:created xsi:type="dcterms:W3CDTF">2020-05-22T09:22:44Z</dcterms:created>
  <dcterms:modified xsi:type="dcterms:W3CDTF">2026-01-26T18:24:09Z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0x010100CA41C0F7BF38324894300409FE0159AF</vt:lpwstr>
  </property>
  <property fmtid="{D5CDD505-2E9C-101B-9397-08002B2CF9AE}" pid="3" name="MediaServiceImageTags">
    <vt:lpwstr/>
  </property>
</Properties>
</file>